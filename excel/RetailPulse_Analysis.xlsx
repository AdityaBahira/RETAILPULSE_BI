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Product_Analysis" sheetId="3" state="visible" r:id="rId3"/>
    <sheet xmlns:r="http://schemas.openxmlformats.org/officeDocument/2006/relationships" name="Category_Analysis" sheetId="4" state="visible" r:id="rId4"/>
    <sheet xmlns:r="http://schemas.openxmlformats.org/officeDocument/2006/relationships" name="Regional_Analysis" sheetId="5" state="visible" r:id="rId5"/>
    <sheet xmlns:r="http://schemas.openxmlformats.org/officeDocument/2006/relationships" name="Monthly_Analysis" sheetId="6" state="visible" r:id="rId6"/>
    <sheet xmlns:r="http://schemas.openxmlformats.org/officeDocument/2006/relationships" name="Data_Audit" sheetId="7" state="visible" r:id="rId7"/>
    <sheet xmlns:r="http://schemas.openxmlformats.org/officeDocument/2006/relationships" name="Business_Q&amp;A" sheetId="8" state="visible" r:id="rId8"/>
    <sheet xmlns:r="http://schemas.openxmlformats.org/officeDocument/2006/relationships" name="Customer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Calendar" sheetId="11" state="visible" r:id="rId11"/>
    <sheet xmlns:r="http://schemas.openxmlformats.org/officeDocument/2006/relationships" name="Geograph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E78"/>
      <sz val="15"/>
    </font>
    <font>
      <name val="Calibri"/>
      <b val="1"/>
      <sz val="11"/>
    </font>
    <font>
      <name val="Calibri"/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10" fontId="1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3" fontId="1" fillId="0" borderId="1" pivotButton="0" quotePrefix="0" xfId="0"/>
    <xf numFmtId="0" fontId="5" fillId="0" borderId="0" pivotButton="0" quotePrefix="0" xfId="0"/>
    <xf numFmtId="164" fontId="4" fillId="0" borderId="1" pivotButton="0" quotePrefix="0" xfId="0"/>
    <xf numFmtId="10" fontId="4" fillId="0" borderId="1" pivotButton="0" quotePrefix="0" xfId="0"/>
    <xf numFmtId="3" fontId="4" fillId="0" borderId="1" pivotButton="0" quotePrefix="0" xfId="0"/>
    <xf numFmtId="0" fontId="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'Product_Analysis'!$B$5:$B$14</f>
            </numRef>
          </cat>
          <val>
            <numRef>
              <f>'Product_Analysis'!$D$5:$D$14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'Product_Analysis'!E18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'Product_Analysis'!$B$19:$B$28</f>
            </numRef>
          </cat>
          <val>
            <numRef>
              <f>'Product_Analysis'!$E$19:$E$28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'Category_Analysis'!$A$4:$A$8</f>
            </numRef>
          </cat>
          <val>
            <numRef>
              <f>'Category_Analysis'!$B$4:$B$8</f>
            </numRef>
          </val>
        </ser>
        <ser>
          <idx val="1"/>
          <order val="1"/>
          <tx>
            <strRef>
              <f>'Category_Analysis'!C3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'Category_Analysis'!$A$4:$A$8</f>
            </numRef>
          </cat>
          <val>
            <numRef>
              <f>'Category_Analysis'!$C$4:$C$8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'Regional_Analysis'!B3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'Regional_Analysis'!$A$4:$A$7</f>
            </numRef>
          </cat>
          <val>
            <numRef>
              <f>'Regional_Analysis'!$B$4:$B$7</f>
            </numRef>
          </val>
        </ser>
        <ser>
          <idx val="1"/>
          <order val="1"/>
          <tx>
            <strRef>
              <f>'Regional_Analysis'!C3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'Regional_Analysis'!$A$4:$A$7</f>
            </numRef>
          </cat>
          <val>
            <numRef>
              <f>'Regional_Analysis'!$C$4:$C$7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and Profit Trend (2025)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'Monthly_Analysis'!$A$4:$A$15</f>
            </numRef>
          </cat>
          <val>
            <numRef>
              <f>'Monthly_Analysis'!$B$4:$B$15</f>
            </numRef>
          </val>
        </ser>
        <ser>
          <idx val="1"/>
          <order val="1"/>
          <tx>
            <strRef>
              <f>'Monthly_Analysis'!C3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'Monthly_Analysis'!$A$4:$A$15</f>
            </numRef>
          </cat>
          <val>
            <numRef>
              <f>'Monthly_Analysis'!$C$4:$C$15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16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9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22" customWidth="1" min="5" max="5"/>
    <col width="17" customWidth="1" min="6" max="6"/>
    <col width="12" customWidth="1" min="7" max="7"/>
    <col width="16" customWidth="1" min="8" max="8"/>
    <col width="21" customWidth="1" min="9" max="9"/>
    <col width="16" customWidth="1" min="10" max="10"/>
    <col width="12" customWidth="1" min="11" max="11"/>
    <col width="13" customWidth="1" min="12" max="12"/>
    <col width="12" customWidth="1" min="13" max="13"/>
    <col width="12" customWidth="1" min="14" max="14"/>
    <col width="25" customWidth="1" min="15" max="15"/>
    <col width="15" customWidth="1" min="16" max="16"/>
    <col width="26" customWidth="1" min="17" max="17"/>
    <col width="32" customWidth="1" min="18" max="18"/>
    <col width="36" customWidth="1" min="19" max="1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Sales_Channel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Cost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Profit_Margin</t>
        </is>
      </c>
      <c r="R1" s="1" t="inlineStr">
        <is>
          <t>Month</t>
        </is>
      </c>
      <c r="S1" s="1" t="inlineStr">
        <is>
          <t>Year_Month</t>
        </is>
      </c>
    </row>
    <row r="2">
      <c r="A2" s="2" t="inlineStr">
        <is>
          <t>O000447</t>
        </is>
      </c>
      <c r="B2" s="2" t="inlineStr">
        <is>
          <t>2025-01-01</t>
        </is>
      </c>
      <c r="C2" s="2" t="inlineStr">
        <is>
          <t>C0522</t>
        </is>
      </c>
      <c r="D2" s="2" t="inlineStr">
        <is>
          <t>P0016</t>
        </is>
      </c>
      <c r="E2" s="2" t="inlineStr">
        <is>
          <t>Casual Shirt</t>
        </is>
      </c>
      <c r="F2" s="2" t="inlineStr">
        <is>
          <t>Fashion</t>
        </is>
      </c>
      <c r="G2" s="2" t="inlineStr">
        <is>
          <t>North</t>
        </is>
      </c>
      <c r="H2" s="2" t="inlineStr">
        <is>
          <t>Haryana</t>
        </is>
      </c>
      <c r="I2" s="2" t="inlineStr">
        <is>
          <t>Faridabad</t>
        </is>
      </c>
      <c r="J2" s="2" t="inlineStr">
        <is>
          <t>Store</t>
        </is>
      </c>
      <c r="K2" s="2" t="n">
        <v>3</v>
      </c>
      <c r="L2" s="3" t="n">
        <v>1311.58</v>
      </c>
      <c r="M2" s="4" t="n">
        <v>0.2</v>
      </c>
      <c r="N2" s="3" t="n">
        <v>2643.14</v>
      </c>
      <c r="O2" s="3">
        <f>K2*L2*(1-M2)</f>
        <v/>
      </c>
      <c r="P2" s="3">
        <f>O2-N2</f>
        <v/>
      </c>
      <c r="Q2" s="5">
        <f>IFERROR(P2/O2,0)</f>
        <v/>
      </c>
      <c r="R2" s="2">
        <f>TEXT(DATEVALUE(B2),"mmm")</f>
        <v/>
      </c>
      <c r="S2" s="2">
        <f>TEXT(DATEVALUE(B2),"yyyy-mm")</f>
        <v/>
      </c>
    </row>
    <row r="3">
      <c r="A3" s="2" t="inlineStr">
        <is>
          <t>O004192</t>
        </is>
      </c>
      <c r="B3" s="2" t="inlineStr">
        <is>
          <t>2025-01-01</t>
        </is>
      </c>
      <c r="C3" s="2" t="inlineStr">
        <is>
          <t>C0305</t>
        </is>
      </c>
      <c r="D3" s="2" t="inlineStr">
        <is>
          <t>P0022</t>
        </is>
      </c>
      <c r="E3" s="2" t="inlineStr">
        <is>
          <t>Face Wash</t>
        </is>
      </c>
      <c r="F3" s="2" t="inlineStr">
        <is>
          <t>Beauty</t>
        </is>
      </c>
      <c r="G3" s="2" t="inlineStr">
        <is>
          <t>North</t>
        </is>
      </c>
      <c r="H3" s="2" t="inlineStr">
        <is>
          <t>Delhi</t>
        </is>
      </c>
      <c r="I3" s="2" t="inlineStr">
        <is>
          <t>New Delhi</t>
        </is>
      </c>
      <c r="J3" s="2" t="inlineStr">
        <is>
          <t>Online</t>
        </is>
      </c>
      <c r="K3" s="2" t="n">
        <v>4</v>
      </c>
      <c r="L3" s="3" t="n">
        <v>554.13</v>
      </c>
      <c r="M3" s="4" t="n">
        <v>0.1</v>
      </c>
      <c r="N3" s="3" t="n">
        <v>1388.41</v>
      </c>
      <c r="O3" s="3">
        <f>K3*L3*(1-M3)</f>
        <v/>
      </c>
      <c r="P3" s="3">
        <f>O3-N3</f>
        <v/>
      </c>
      <c r="Q3" s="5">
        <f>IFERROR(P3/O3,0)</f>
        <v/>
      </c>
      <c r="R3" s="2">
        <f>TEXT(DATEVALUE(B3),"mmm")</f>
        <v/>
      </c>
      <c r="S3" s="2">
        <f>TEXT(DATEVALUE(B3),"yyyy-mm")</f>
        <v/>
      </c>
    </row>
    <row r="4">
      <c r="A4" s="2" t="inlineStr">
        <is>
          <t>O003581</t>
        </is>
      </c>
      <c r="B4" s="2" t="inlineStr">
        <is>
          <t>2025-01-01</t>
        </is>
      </c>
      <c r="C4" s="2" t="inlineStr">
        <is>
          <t>C0355</t>
        </is>
      </c>
      <c r="D4" s="2" t="inlineStr">
        <is>
          <t>P0028</t>
        </is>
      </c>
      <c r="E4" s="2" t="inlineStr">
        <is>
          <t>Trimmer</t>
        </is>
      </c>
      <c r="F4" s="2" t="inlineStr">
        <is>
          <t>Beauty</t>
        </is>
      </c>
      <c r="G4" s="2" t="inlineStr">
        <is>
          <t>West</t>
        </is>
      </c>
      <c r="H4" s="2" t="inlineStr">
        <is>
          <t>Maharashtra</t>
        </is>
      </c>
      <c r="I4" s="2" t="inlineStr">
        <is>
          <t>Thane</t>
        </is>
      </c>
      <c r="J4" s="2" t="inlineStr">
        <is>
          <t>Online</t>
        </is>
      </c>
      <c r="K4" s="2" t="n">
        <v>6</v>
      </c>
      <c r="L4" s="3" t="n">
        <v>441.36</v>
      </c>
      <c r="M4" s="4" t="n">
        <v>0.05</v>
      </c>
      <c r="N4" s="3" t="n">
        <v>1553.15</v>
      </c>
      <c r="O4" s="3">
        <f>K4*L4*(1-M4)</f>
        <v/>
      </c>
      <c r="P4" s="3">
        <f>O4-N4</f>
        <v/>
      </c>
      <c r="Q4" s="5">
        <f>IFERROR(P4/O4,0)</f>
        <v/>
      </c>
      <c r="R4" s="2">
        <f>TEXT(DATEVALUE(B4),"mmm")</f>
        <v/>
      </c>
      <c r="S4" s="2">
        <f>TEXT(DATEVALUE(B4),"yyyy-mm")</f>
        <v/>
      </c>
    </row>
    <row r="5">
      <c r="A5" s="2" t="inlineStr">
        <is>
          <t>O003276</t>
        </is>
      </c>
      <c r="B5" s="2" t="inlineStr">
        <is>
          <t>2025-01-01</t>
        </is>
      </c>
      <c r="C5" s="2" t="inlineStr">
        <is>
          <t>C0608</t>
        </is>
      </c>
      <c r="D5" s="2" t="inlineStr">
        <is>
          <t>P0003</t>
        </is>
      </c>
      <c r="E5" s="2" t="inlineStr">
        <is>
          <t>Smartwatch</t>
        </is>
      </c>
      <c r="F5" s="2" t="inlineStr">
        <is>
          <t>Electronics</t>
        </is>
      </c>
      <c r="G5" s="2" t="inlineStr">
        <is>
          <t>West</t>
        </is>
      </c>
      <c r="H5" s="2" t="inlineStr">
        <is>
          <t>Maharashtra</t>
        </is>
      </c>
      <c r="I5" s="2" t="inlineStr">
        <is>
          <t>Nagpur</t>
        </is>
      </c>
      <c r="J5" s="2" t="inlineStr">
        <is>
          <t>Store</t>
        </is>
      </c>
      <c r="K5" s="2" t="n">
        <v>2</v>
      </c>
      <c r="L5" s="3" t="n">
        <v>2309.18</v>
      </c>
      <c r="M5" s="4" t="n">
        <v>0.05</v>
      </c>
      <c r="N5" s="3" t="n">
        <v>2400.66</v>
      </c>
      <c r="O5" s="3">
        <f>K5*L5*(1-M5)</f>
        <v/>
      </c>
      <c r="P5" s="3">
        <f>O5-N5</f>
        <v/>
      </c>
      <c r="Q5" s="5">
        <f>IFERROR(P5/O5,0)</f>
        <v/>
      </c>
      <c r="R5" s="2">
        <f>TEXT(DATEVALUE(B5),"mmm")</f>
        <v/>
      </c>
      <c r="S5" s="2">
        <f>TEXT(DATEVALUE(B5),"yyyy-mm")</f>
        <v/>
      </c>
    </row>
    <row r="6">
      <c r="A6" s="2" t="inlineStr">
        <is>
          <t>O003072</t>
        </is>
      </c>
      <c r="B6" s="2" t="inlineStr">
        <is>
          <t>2025-01-01</t>
        </is>
      </c>
      <c r="C6" s="2" t="inlineStr">
        <is>
          <t>C0260</t>
        </is>
      </c>
      <c r="D6" s="2" t="inlineStr">
        <is>
          <t>P0014</t>
        </is>
      </c>
      <c r="E6" s="2" t="inlineStr">
        <is>
          <t>Coffee Maker</t>
        </is>
      </c>
      <c r="F6" s="2" t="inlineStr">
        <is>
          <t>Home &amp; Kitchen</t>
        </is>
      </c>
      <c r="G6" s="2" t="inlineStr">
        <is>
          <t>South</t>
        </is>
      </c>
      <c r="H6" s="2" t="inlineStr">
        <is>
          <t>Tamil Nadu</t>
        </is>
      </c>
      <c r="I6" s="2" t="inlineStr">
        <is>
          <t>Chennai</t>
        </is>
      </c>
      <c r="J6" s="2" t="inlineStr">
        <is>
          <t>Store</t>
        </is>
      </c>
      <c r="K6" s="2" t="n">
        <v>4</v>
      </c>
      <c r="L6" s="3" t="n">
        <v>1001.34</v>
      </c>
      <c r="M6" s="4" t="n">
        <v>0</v>
      </c>
      <c r="N6" s="3" t="n">
        <v>3067.32</v>
      </c>
      <c r="O6" s="3">
        <f>K6*L6*(1-M6)</f>
        <v/>
      </c>
      <c r="P6" s="3">
        <f>O6-N6</f>
        <v/>
      </c>
      <c r="Q6" s="5">
        <f>IFERROR(P6/O6,0)</f>
        <v/>
      </c>
      <c r="R6" s="2">
        <f>TEXT(DATEVALUE(B6),"mmm")</f>
        <v/>
      </c>
      <c r="S6" s="2">
        <f>TEXT(DATEVALUE(B6),"yyyy-mm")</f>
        <v/>
      </c>
    </row>
    <row r="7">
      <c r="A7" s="2" t="inlineStr">
        <is>
          <t>O002011</t>
        </is>
      </c>
      <c r="B7" s="2" t="inlineStr">
        <is>
          <t>2025-01-01</t>
        </is>
      </c>
      <c r="C7" s="2" t="inlineStr">
        <is>
          <t>C0581</t>
        </is>
      </c>
      <c r="D7" s="2" t="inlineStr">
        <is>
          <t>P0022</t>
        </is>
      </c>
      <c r="E7" s="2" t="inlineStr">
        <is>
          <t>Face Wash</t>
        </is>
      </c>
      <c r="F7" s="2" t="inlineStr">
        <is>
          <t>Beauty</t>
        </is>
      </c>
      <c r="G7" s="2" t="inlineStr">
        <is>
          <t>North</t>
        </is>
      </c>
      <c r="H7" s="2" t="inlineStr">
        <is>
          <t>Haryana</t>
        </is>
      </c>
      <c r="I7" s="2" t="inlineStr">
        <is>
          <t>Faridabad</t>
        </is>
      </c>
      <c r="J7" s="2" t="inlineStr">
        <is>
          <t>Online</t>
        </is>
      </c>
      <c r="K7" s="2" t="n">
        <v>5</v>
      </c>
      <c r="L7" s="3" t="n">
        <v>537.0599999999999</v>
      </c>
      <c r="M7" s="4" t="n">
        <v>0.1</v>
      </c>
      <c r="N7" s="3" t="n">
        <v>1723.22</v>
      </c>
      <c r="O7" s="3">
        <f>K7*L7*(1-M7)</f>
        <v/>
      </c>
      <c r="P7" s="3">
        <f>O7-N7</f>
        <v/>
      </c>
      <c r="Q7" s="5">
        <f>IFERROR(P7/O7,0)</f>
        <v/>
      </c>
      <c r="R7" s="2">
        <f>TEXT(DATEVALUE(B7),"mmm")</f>
        <v/>
      </c>
      <c r="S7" s="2">
        <f>TEXT(DATEVALUE(B7),"yyyy-mm")</f>
        <v/>
      </c>
    </row>
    <row r="8">
      <c r="A8" s="2" t="inlineStr">
        <is>
          <t>O001988</t>
        </is>
      </c>
      <c r="B8" s="2" t="inlineStr">
        <is>
          <t>2025-01-01</t>
        </is>
      </c>
      <c r="C8" s="2" t="inlineStr">
        <is>
          <t>C0732</t>
        </is>
      </c>
      <c r="D8" s="2" t="inlineStr">
        <is>
          <t>P0007</t>
        </is>
      </c>
      <c r="E8" s="2" t="inlineStr">
        <is>
          <t>Wireless Mouse</t>
        </is>
      </c>
      <c r="F8" s="2" t="inlineStr">
        <is>
          <t>Electronics</t>
        </is>
      </c>
      <c r="G8" s="2" t="inlineStr">
        <is>
          <t>North</t>
        </is>
      </c>
      <c r="H8" s="2" t="inlineStr">
        <is>
          <t>Uttar Pradesh</t>
        </is>
      </c>
      <c r="I8" s="2" t="inlineStr">
        <is>
          <t>Varanasi</t>
        </is>
      </c>
      <c r="J8" s="2" t="inlineStr">
        <is>
          <t>Store</t>
        </is>
      </c>
      <c r="K8" s="2" t="n">
        <v>2</v>
      </c>
      <c r="L8" s="3" t="n">
        <v>1024.87</v>
      </c>
      <c r="M8" s="4" t="n">
        <v>0.1</v>
      </c>
      <c r="N8" s="3" t="n">
        <v>1273.97</v>
      </c>
      <c r="O8" s="3">
        <f>K8*L8*(1-M8)</f>
        <v/>
      </c>
      <c r="P8" s="3">
        <f>O8-N8</f>
        <v/>
      </c>
      <c r="Q8" s="5">
        <f>IFERROR(P8/O8,0)</f>
        <v/>
      </c>
      <c r="R8" s="2">
        <f>TEXT(DATEVALUE(B8),"mmm")</f>
        <v/>
      </c>
      <c r="S8" s="2">
        <f>TEXT(DATEVALUE(B8),"yyyy-mm")</f>
        <v/>
      </c>
    </row>
    <row r="9">
      <c r="A9" s="2" t="inlineStr">
        <is>
          <t>O002071</t>
        </is>
      </c>
      <c r="B9" s="2" t="inlineStr">
        <is>
          <t>2025-01-01</t>
        </is>
      </c>
      <c r="C9" s="2" t="inlineStr">
        <is>
          <t>C0667</t>
        </is>
      </c>
      <c r="D9" s="2" t="inlineStr">
        <is>
          <t>P0007</t>
        </is>
      </c>
      <c r="E9" s="2" t="inlineStr">
        <is>
          <t>Wireless Mouse</t>
        </is>
      </c>
      <c r="F9" s="2" t="inlineStr">
        <is>
          <t>Electronics</t>
        </is>
      </c>
      <c r="G9" s="2" t="inlineStr">
        <is>
          <t>West</t>
        </is>
      </c>
      <c r="H9" s="2" t="inlineStr">
        <is>
          <t>Goa</t>
        </is>
      </c>
      <c r="I9" s="2" t="inlineStr">
        <is>
          <t>Panaji</t>
        </is>
      </c>
      <c r="J9" s="2" t="inlineStr">
        <is>
          <t>Online</t>
        </is>
      </c>
      <c r="K9" s="2" t="n">
        <v>1</v>
      </c>
      <c r="L9" s="3" t="n">
        <v>952.6799999999999</v>
      </c>
      <c r="M9" s="4" t="n">
        <v>0.05</v>
      </c>
      <c r="N9" s="3" t="n">
        <v>601.74</v>
      </c>
      <c r="O9" s="3">
        <f>K9*L9*(1-M9)</f>
        <v/>
      </c>
      <c r="P9" s="3">
        <f>O9-N9</f>
        <v/>
      </c>
      <c r="Q9" s="5">
        <f>IFERROR(P9/O9,0)</f>
        <v/>
      </c>
      <c r="R9" s="2">
        <f>TEXT(DATEVALUE(B9),"mmm")</f>
        <v/>
      </c>
      <c r="S9" s="2">
        <f>TEXT(DATEVALUE(B9),"yyyy-mm")</f>
        <v/>
      </c>
    </row>
    <row r="10">
      <c r="A10" s="2" t="inlineStr">
        <is>
          <t>O001029</t>
        </is>
      </c>
      <c r="B10" s="2" t="inlineStr">
        <is>
          <t>2025-01-01</t>
        </is>
      </c>
      <c r="C10" s="2" t="inlineStr">
        <is>
          <t>C0494</t>
        </is>
      </c>
      <c r="D10" s="2" t="inlineStr">
        <is>
          <t>P0013</t>
        </is>
      </c>
      <c r="E10" s="2" t="inlineStr">
        <is>
          <t>Storage Organizer</t>
        </is>
      </c>
      <c r="F10" s="2" t="inlineStr">
        <is>
          <t>Home &amp; Kitchen</t>
        </is>
      </c>
      <c r="G10" s="2" t="inlineStr">
        <is>
          <t>North</t>
        </is>
      </c>
      <c r="H10" s="2" t="inlineStr">
        <is>
          <t>Delhi</t>
        </is>
      </c>
      <c r="I10" s="2" t="inlineStr">
        <is>
          <t>New Delhi</t>
        </is>
      </c>
      <c r="J10" s="2" t="inlineStr">
        <is>
          <t>Online</t>
        </is>
      </c>
      <c r="K10" s="2" t="n">
        <v>2</v>
      </c>
      <c r="L10" s="3" t="n">
        <v>596.1</v>
      </c>
      <c r="M10" s="4" t="n">
        <v>0.05</v>
      </c>
      <c r="N10" s="3" t="n">
        <v>712.4299999999999</v>
      </c>
      <c r="O10" s="3">
        <f>K10*L10*(1-M10)</f>
        <v/>
      </c>
      <c r="P10" s="3">
        <f>O10-N10</f>
        <v/>
      </c>
      <c r="Q10" s="5">
        <f>IFERROR(P10/O10,0)</f>
        <v/>
      </c>
      <c r="R10" s="2">
        <f>TEXT(DATEVALUE(B10),"mmm")</f>
        <v/>
      </c>
      <c r="S10" s="2">
        <f>TEXT(DATEVALUE(B10),"yyyy-mm")</f>
        <v/>
      </c>
    </row>
    <row r="11">
      <c r="A11" s="2" t="inlineStr">
        <is>
          <t>O000992</t>
        </is>
      </c>
      <c r="B11" s="2" t="inlineStr">
        <is>
          <t>2025-01-01</t>
        </is>
      </c>
      <c r="C11" s="2" t="inlineStr">
        <is>
          <t>C0568</t>
        </is>
      </c>
      <c r="D11" s="2" t="inlineStr">
        <is>
          <t>P0021</t>
        </is>
      </c>
      <c r="E11" s="2" t="inlineStr">
        <is>
          <t>Wallet</t>
        </is>
      </c>
      <c r="F11" s="2" t="inlineStr">
        <is>
          <t>Fashion</t>
        </is>
      </c>
      <c r="G11" s="2" t="inlineStr">
        <is>
          <t>West</t>
        </is>
      </c>
      <c r="H11" s="2" t="inlineStr">
        <is>
          <t>Gujarat</t>
        </is>
      </c>
      <c r="I11" s="2" t="inlineStr">
        <is>
          <t>Ahmedabad</t>
        </is>
      </c>
      <c r="J11" s="2" t="inlineStr">
        <is>
          <t>Online</t>
        </is>
      </c>
      <c r="K11" s="2" t="n">
        <v>2</v>
      </c>
      <c r="L11" s="3" t="n">
        <v>2034.07</v>
      </c>
      <c r="M11" s="4" t="n">
        <v>0</v>
      </c>
      <c r="N11" s="3" t="n">
        <v>2421.92</v>
      </c>
      <c r="O11" s="3">
        <f>K11*L11*(1-M11)</f>
        <v/>
      </c>
      <c r="P11" s="3">
        <f>O11-N11</f>
        <v/>
      </c>
      <c r="Q11" s="5">
        <f>IFERROR(P11/O11,0)</f>
        <v/>
      </c>
      <c r="R11" s="2">
        <f>TEXT(DATEVALUE(B11),"mmm")</f>
        <v/>
      </c>
      <c r="S11" s="2">
        <f>TEXT(DATEVALUE(B11),"yyyy-mm")</f>
        <v/>
      </c>
    </row>
    <row r="12">
      <c r="A12" s="2" t="inlineStr">
        <is>
          <t>O000849</t>
        </is>
      </c>
      <c r="B12" s="2" t="inlineStr">
        <is>
          <t>2025-01-01</t>
        </is>
      </c>
      <c r="C12" s="2" t="inlineStr">
        <is>
          <t>C0445</t>
        </is>
      </c>
      <c r="D12" s="2" t="inlineStr">
        <is>
          <t>P0022</t>
        </is>
      </c>
      <c r="E12" s="2" t="inlineStr">
        <is>
          <t>Face Wash</t>
        </is>
      </c>
      <c r="F12" s="2" t="inlineStr">
        <is>
          <t>Beauty</t>
        </is>
      </c>
      <c r="G12" s="2" t="inlineStr">
        <is>
          <t>South</t>
        </is>
      </c>
      <c r="H12" s="2" t="inlineStr">
        <is>
          <t>Telangana</t>
        </is>
      </c>
      <c r="I12" s="2" t="inlineStr">
        <is>
          <t>Hyderabad</t>
        </is>
      </c>
      <c r="J12" s="2" t="inlineStr">
        <is>
          <t>Online</t>
        </is>
      </c>
      <c r="K12" s="2" t="n">
        <v>5</v>
      </c>
      <c r="L12" s="3" t="n">
        <v>550.1799999999999</v>
      </c>
      <c r="M12" s="4" t="n">
        <v>0</v>
      </c>
      <c r="N12" s="3" t="n">
        <v>1728.13</v>
      </c>
      <c r="O12" s="3">
        <f>K12*L12*(1-M12)</f>
        <v/>
      </c>
      <c r="P12" s="3">
        <f>O12-N12</f>
        <v/>
      </c>
      <c r="Q12" s="5">
        <f>IFERROR(P12/O12,0)</f>
        <v/>
      </c>
      <c r="R12" s="2">
        <f>TEXT(DATEVALUE(B12),"mmm")</f>
        <v/>
      </c>
      <c r="S12" s="2">
        <f>TEXT(DATEVALUE(B12),"yyyy-mm")</f>
        <v/>
      </c>
    </row>
    <row r="13">
      <c r="A13" s="2" t="inlineStr">
        <is>
          <t>O000756</t>
        </is>
      </c>
      <c r="B13" s="2" t="inlineStr">
        <is>
          <t>2025-01-01</t>
        </is>
      </c>
      <c r="C13" s="2" t="inlineStr">
        <is>
          <t>C0051</t>
        </is>
      </c>
      <c r="D13" s="2" t="inlineStr">
        <is>
          <t>P0016</t>
        </is>
      </c>
      <c r="E13" s="2" t="inlineStr">
        <is>
          <t>Casual Shirt</t>
        </is>
      </c>
      <c r="F13" s="2" t="inlineStr">
        <is>
          <t>Fashion</t>
        </is>
      </c>
      <c r="G13" s="2" t="inlineStr">
        <is>
          <t>West</t>
        </is>
      </c>
      <c r="H13" s="2" t="inlineStr">
        <is>
          <t>Goa</t>
        </is>
      </c>
      <c r="I13" s="2" t="inlineStr">
        <is>
          <t>Margao</t>
        </is>
      </c>
      <c r="J13" s="2" t="inlineStr">
        <is>
          <t>Store</t>
        </is>
      </c>
      <c r="K13" s="2" t="n">
        <v>2</v>
      </c>
      <c r="L13" s="3" t="n">
        <v>1339.45</v>
      </c>
      <c r="M13" s="4" t="n">
        <v>0.05</v>
      </c>
      <c r="N13" s="3" t="n">
        <v>1841.15</v>
      </c>
      <c r="O13" s="3">
        <f>K13*L13*(1-M13)</f>
        <v/>
      </c>
      <c r="P13" s="3">
        <f>O13-N13</f>
        <v/>
      </c>
      <c r="Q13" s="5">
        <f>IFERROR(P13/O13,0)</f>
        <v/>
      </c>
      <c r="R13" s="2">
        <f>TEXT(DATEVALUE(B13),"mmm")</f>
        <v/>
      </c>
      <c r="S13" s="2">
        <f>TEXT(DATEVALUE(B13),"yyyy-mm")</f>
        <v/>
      </c>
    </row>
    <row r="14">
      <c r="A14" s="2" t="inlineStr">
        <is>
          <t>O000678</t>
        </is>
      </c>
      <c r="B14" s="2" t="inlineStr">
        <is>
          <t>2025-01-01</t>
        </is>
      </c>
      <c r="C14" s="2" t="inlineStr">
        <is>
          <t>C0747</t>
        </is>
      </c>
      <c r="D14" s="2" t="inlineStr">
        <is>
          <t>P0016</t>
        </is>
      </c>
      <c r="E14" s="2" t="inlineStr">
        <is>
          <t>Casual Shirt</t>
        </is>
      </c>
      <c r="F14" s="2" t="inlineStr">
        <is>
          <t>Fashion</t>
        </is>
      </c>
      <c r="G14" s="2" t="inlineStr">
        <is>
          <t>North</t>
        </is>
      </c>
      <c r="H14" s="2" t="inlineStr">
        <is>
          <t>Haryana</t>
        </is>
      </c>
      <c r="I14" s="2" t="inlineStr">
        <is>
          <t>Faridabad</t>
        </is>
      </c>
      <c r="J14" s="2" t="inlineStr">
        <is>
          <t>Online</t>
        </is>
      </c>
      <c r="K14" s="2" t="n">
        <v>3</v>
      </c>
      <c r="L14" s="3" t="n">
        <v>1337.9</v>
      </c>
      <c r="M14" s="4" t="n">
        <v>0.1</v>
      </c>
      <c r="N14" s="3" t="n">
        <v>2747.45</v>
      </c>
      <c r="O14" s="3">
        <f>K14*L14*(1-M14)</f>
        <v/>
      </c>
      <c r="P14" s="3">
        <f>O14-N14</f>
        <v/>
      </c>
      <c r="Q14" s="5">
        <f>IFERROR(P14/O14,0)</f>
        <v/>
      </c>
      <c r="R14" s="2">
        <f>TEXT(DATEVALUE(B14),"mmm")</f>
        <v/>
      </c>
      <c r="S14" s="2">
        <f>TEXT(DATEVALUE(B14),"yyyy-mm")</f>
        <v/>
      </c>
    </row>
    <row r="15">
      <c r="A15" s="2" t="inlineStr">
        <is>
          <t>O000649</t>
        </is>
      </c>
      <c r="B15" s="2" t="inlineStr">
        <is>
          <t>2025-01-01</t>
        </is>
      </c>
      <c r="C15" s="2" t="inlineStr">
        <is>
          <t>C0782</t>
        </is>
      </c>
      <c r="D15" s="2" t="inlineStr">
        <is>
          <t>P0012</t>
        </is>
      </c>
      <c r="E15" s="2" t="inlineStr">
        <is>
          <t>Water Bottle</t>
        </is>
      </c>
      <c r="F15" s="2" t="inlineStr">
        <is>
          <t>Home &amp; Kitchen</t>
        </is>
      </c>
      <c r="G15" s="2" t="inlineStr">
        <is>
          <t>East</t>
        </is>
      </c>
      <c r="H15" s="2" t="inlineStr">
        <is>
          <t>Bihar</t>
        </is>
      </c>
      <c r="I15" s="2" t="inlineStr">
        <is>
          <t>Patna</t>
        </is>
      </c>
      <c r="J15" s="2" t="inlineStr">
        <is>
          <t>Online</t>
        </is>
      </c>
      <c r="K15" s="2" t="n">
        <v>2</v>
      </c>
      <c r="L15" s="3" t="n">
        <v>992.26</v>
      </c>
      <c r="M15" s="4" t="n">
        <v>0</v>
      </c>
      <c r="N15" s="3" t="n">
        <v>1236.31</v>
      </c>
      <c r="O15" s="3">
        <f>K15*L15*(1-M15)</f>
        <v/>
      </c>
      <c r="P15" s="3">
        <f>O15-N15</f>
        <v/>
      </c>
      <c r="Q15" s="5">
        <f>IFERROR(P15/O15,0)</f>
        <v/>
      </c>
      <c r="R15" s="2">
        <f>TEXT(DATEVALUE(B15),"mmm")</f>
        <v/>
      </c>
      <c r="S15" s="2">
        <f>TEXT(DATEVALUE(B15),"yyyy-mm")</f>
        <v/>
      </c>
    </row>
    <row r="16">
      <c r="A16" s="2" t="inlineStr">
        <is>
          <t>O001165</t>
        </is>
      </c>
      <c r="B16" s="2" t="inlineStr">
        <is>
          <t>2025-01-01</t>
        </is>
      </c>
      <c r="C16" s="2" t="inlineStr">
        <is>
          <t>C0037</t>
        </is>
      </c>
      <c r="D16" s="2" t="inlineStr">
        <is>
          <t>P0007</t>
        </is>
      </c>
      <c r="E16" s="2" t="inlineStr">
        <is>
          <t>Wireless Mouse</t>
        </is>
      </c>
      <c r="F16" s="2" t="inlineStr">
        <is>
          <t>Electronics</t>
        </is>
      </c>
      <c r="G16" s="2" t="inlineStr">
        <is>
          <t>West</t>
        </is>
      </c>
      <c r="H16" s="2" t="inlineStr">
        <is>
          <t>Gujarat</t>
        </is>
      </c>
      <c r="I16" s="2" t="inlineStr">
        <is>
          <t>Vadodara</t>
        </is>
      </c>
      <c r="J16" s="2" t="inlineStr">
        <is>
          <t>Store</t>
        </is>
      </c>
      <c r="K16" s="2" t="n">
        <v>5</v>
      </c>
      <c r="L16" s="3" t="n">
        <v>985.01</v>
      </c>
      <c r="M16" s="4" t="n">
        <v>0.1</v>
      </c>
      <c r="N16" s="3" t="n">
        <v>3070.44</v>
      </c>
      <c r="O16" s="3">
        <f>K16*L16*(1-M16)</f>
        <v/>
      </c>
      <c r="P16" s="3">
        <f>O16-N16</f>
        <v/>
      </c>
      <c r="Q16" s="5">
        <f>IFERROR(P16/O16,0)</f>
        <v/>
      </c>
      <c r="R16" s="2">
        <f>TEXT(DATEVALUE(B16),"mmm")</f>
        <v/>
      </c>
      <c r="S16" s="2">
        <f>TEXT(DATEVALUE(B16),"yyyy-mm")</f>
        <v/>
      </c>
    </row>
    <row r="17">
      <c r="A17" s="2" t="inlineStr">
        <is>
          <t>O003153</t>
        </is>
      </c>
      <c r="B17" s="2" t="inlineStr">
        <is>
          <t>2025-01-02</t>
        </is>
      </c>
      <c r="C17" s="2" t="inlineStr">
        <is>
          <t>C0004</t>
        </is>
      </c>
      <c r="D17" s="2" t="inlineStr">
        <is>
          <t>P0004</t>
        </is>
      </c>
      <c r="E17" s="2" t="inlineStr">
        <is>
          <t>USB-C Hub</t>
        </is>
      </c>
      <c r="F17" s="2" t="inlineStr">
        <is>
          <t>Electronics</t>
        </is>
      </c>
      <c r="G17" s="2" t="inlineStr">
        <is>
          <t>West</t>
        </is>
      </c>
      <c r="H17" s="2" t="inlineStr">
        <is>
          <t>Goa</t>
        </is>
      </c>
      <c r="I17" s="2" t="inlineStr">
        <is>
          <t>Panaji</t>
        </is>
      </c>
      <c r="J17" s="2" t="inlineStr">
        <is>
          <t>Online</t>
        </is>
      </c>
      <c r="K17" s="2" t="n">
        <v>1</v>
      </c>
      <c r="L17" s="3" t="n">
        <v>1256.45</v>
      </c>
      <c r="M17" s="4" t="n">
        <v>0.05</v>
      </c>
      <c r="N17" s="3" t="n">
        <v>934.02</v>
      </c>
      <c r="O17" s="3">
        <f>K17*L17*(1-M17)</f>
        <v/>
      </c>
      <c r="P17" s="3">
        <f>O17-N17</f>
        <v/>
      </c>
      <c r="Q17" s="5">
        <f>IFERROR(P17/O17,0)</f>
        <v/>
      </c>
      <c r="R17" s="2">
        <f>TEXT(DATEVALUE(B17),"mmm")</f>
        <v/>
      </c>
      <c r="S17" s="2">
        <f>TEXT(DATEVALUE(B17),"yyyy-mm")</f>
        <v/>
      </c>
    </row>
    <row r="18">
      <c r="A18" s="2" t="inlineStr">
        <is>
          <t>O004759</t>
        </is>
      </c>
      <c r="B18" s="2" t="inlineStr">
        <is>
          <t>2025-01-02</t>
        </is>
      </c>
      <c r="C18" s="2" t="inlineStr">
        <is>
          <t>C0577</t>
        </is>
      </c>
      <c r="D18" s="2" t="inlineStr">
        <is>
          <t>P0014</t>
        </is>
      </c>
      <c r="E18" s="2" t="inlineStr">
        <is>
          <t>Coffee Maker</t>
        </is>
      </c>
      <c r="F18" s="2" t="inlineStr">
        <is>
          <t>Home &amp; Kitchen</t>
        </is>
      </c>
      <c r="G18" s="2" t="inlineStr">
        <is>
          <t>West</t>
        </is>
      </c>
      <c r="H18" s="2" t="inlineStr">
        <is>
          <t>Gujarat</t>
        </is>
      </c>
      <c r="I18" s="2" t="inlineStr">
        <is>
          <t>Surat</t>
        </is>
      </c>
      <c r="J18" s="2" t="inlineStr">
        <is>
          <t>Online</t>
        </is>
      </c>
      <c r="K18" s="2" t="n">
        <v>1</v>
      </c>
      <c r="L18" s="3" t="n">
        <v>1051.99</v>
      </c>
      <c r="M18" s="4" t="n">
        <v>0.1</v>
      </c>
      <c r="N18" s="3" t="n">
        <v>748.29</v>
      </c>
      <c r="O18" s="3">
        <f>K18*L18*(1-M18)</f>
        <v/>
      </c>
      <c r="P18" s="3">
        <f>O18-N18</f>
        <v/>
      </c>
      <c r="Q18" s="5">
        <f>IFERROR(P18/O18,0)</f>
        <v/>
      </c>
      <c r="R18" s="2">
        <f>TEXT(DATEVALUE(B18),"mmm")</f>
        <v/>
      </c>
      <c r="S18" s="2">
        <f>TEXT(DATEVALUE(B18),"yyyy-mm")</f>
        <v/>
      </c>
    </row>
    <row r="19">
      <c r="A19" s="2" t="inlineStr">
        <is>
          <t>O004324</t>
        </is>
      </c>
      <c r="B19" s="2" t="inlineStr">
        <is>
          <t>2025-01-02</t>
        </is>
      </c>
      <c r="C19" s="2" t="inlineStr">
        <is>
          <t>C0072</t>
        </is>
      </c>
      <c r="D19" s="2" t="inlineStr">
        <is>
          <t>P0030</t>
        </is>
      </c>
      <c r="E19" s="2" t="inlineStr">
        <is>
          <t>Dumbbells</t>
        </is>
      </c>
      <c r="F19" s="2" t="inlineStr">
        <is>
          <t>Sports</t>
        </is>
      </c>
      <c r="G19" s="2" t="inlineStr">
        <is>
          <t>West</t>
        </is>
      </c>
      <c r="H19" s="2" t="inlineStr">
        <is>
          <t>Goa</t>
        </is>
      </c>
      <c r="I19" s="2" t="inlineStr">
        <is>
          <t>Panaji</t>
        </is>
      </c>
      <c r="J19" s="2" t="inlineStr">
        <is>
          <t>Store</t>
        </is>
      </c>
      <c r="K19" s="2" t="n">
        <v>4</v>
      </c>
      <c r="L19" s="3" t="n">
        <v>1501.22</v>
      </c>
      <c r="M19" s="4" t="n">
        <v>0</v>
      </c>
      <c r="N19" s="3" t="n">
        <v>4246.56</v>
      </c>
      <c r="O19" s="3">
        <f>K19*L19*(1-M19)</f>
        <v/>
      </c>
      <c r="P19" s="3">
        <f>O19-N19</f>
        <v/>
      </c>
      <c r="Q19" s="5">
        <f>IFERROR(P19/O19,0)</f>
        <v/>
      </c>
      <c r="R19" s="2">
        <f>TEXT(DATEVALUE(B19),"mmm")</f>
        <v/>
      </c>
      <c r="S19" s="2">
        <f>TEXT(DATEVALUE(B19),"yyyy-mm")</f>
        <v/>
      </c>
    </row>
    <row r="20">
      <c r="A20" s="2" t="inlineStr">
        <is>
          <t>O004250</t>
        </is>
      </c>
      <c r="B20" s="2" t="inlineStr">
        <is>
          <t>2025-01-02</t>
        </is>
      </c>
      <c r="C20" s="2" t="inlineStr">
        <is>
          <t>C0507</t>
        </is>
      </c>
      <c r="D20" s="2" t="inlineStr">
        <is>
          <t>P0027</t>
        </is>
      </c>
      <c r="E20" s="2" t="inlineStr">
        <is>
          <t>Moisturizer</t>
        </is>
      </c>
      <c r="F20" s="2" t="inlineStr">
        <is>
          <t>Beauty</t>
        </is>
      </c>
      <c r="G20" s="2" t="inlineStr">
        <is>
          <t>West</t>
        </is>
      </c>
      <c r="H20" s="2" t="inlineStr">
        <is>
          <t>Gujarat</t>
        </is>
      </c>
      <c r="I20" s="2" t="inlineStr">
        <is>
          <t>Surat</t>
        </is>
      </c>
      <c r="J20" s="2" t="inlineStr">
        <is>
          <t>Online</t>
        </is>
      </c>
      <c r="K20" s="2" t="n">
        <v>3</v>
      </c>
      <c r="L20" s="3" t="n">
        <v>918.78</v>
      </c>
      <c r="M20" s="4" t="n">
        <v>0</v>
      </c>
      <c r="N20" s="3" t="n">
        <v>2080.06</v>
      </c>
      <c r="O20" s="3">
        <f>K20*L20*(1-M20)</f>
        <v/>
      </c>
      <c r="P20" s="3">
        <f>O20-N20</f>
        <v/>
      </c>
      <c r="Q20" s="5">
        <f>IFERROR(P20/O20,0)</f>
        <v/>
      </c>
      <c r="R20" s="2">
        <f>TEXT(DATEVALUE(B20),"mmm")</f>
        <v/>
      </c>
      <c r="S20" s="2">
        <f>TEXT(DATEVALUE(B20),"yyyy-mm")</f>
        <v/>
      </c>
    </row>
    <row r="21">
      <c r="A21" s="2" t="inlineStr">
        <is>
          <t>O003331</t>
        </is>
      </c>
      <c r="B21" s="2" t="inlineStr">
        <is>
          <t>2025-01-02</t>
        </is>
      </c>
      <c r="C21" s="2" t="inlineStr">
        <is>
          <t>C0551</t>
        </is>
      </c>
      <c r="D21" s="2" t="inlineStr">
        <is>
          <t>P0023</t>
        </is>
      </c>
      <c r="E21" s="2" t="inlineStr">
        <is>
          <t>Skin Care Kit</t>
        </is>
      </c>
      <c r="F21" s="2" t="inlineStr">
        <is>
          <t>Beauty</t>
        </is>
      </c>
      <c r="G21" s="2" t="inlineStr">
        <is>
          <t>North</t>
        </is>
      </c>
      <c r="H21" s="2" t="inlineStr">
        <is>
          <t>Uttar Pradesh</t>
        </is>
      </c>
      <c r="I21" s="2" t="inlineStr">
        <is>
          <t>Varanasi</t>
        </is>
      </c>
      <c r="J21" s="2" t="inlineStr">
        <is>
          <t>Store</t>
        </is>
      </c>
      <c r="K21" s="2" t="n">
        <v>6</v>
      </c>
      <c r="L21" s="3" t="n">
        <v>1398.59</v>
      </c>
      <c r="M21" s="4" t="n">
        <v>0.05</v>
      </c>
      <c r="N21" s="3" t="n">
        <v>5377.12</v>
      </c>
      <c r="O21" s="3">
        <f>K21*L21*(1-M21)</f>
        <v/>
      </c>
      <c r="P21" s="3">
        <f>O21-N21</f>
        <v/>
      </c>
      <c r="Q21" s="5">
        <f>IFERROR(P21/O21,0)</f>
        <v/>
      </c>
      <c r="R21" s="2">
        <f>TEXT(DATEVALUE(B21),"mmm")</f>
        <v/>
      </c>
      <c r="S21" s="2">
        <f>TEXT(DATEVALUE(B21),"yyyy-mm")</f>
        <v/>
      </c>
    </row>
    <row r="22">
      <c r="A22" s="2" t="inlineStr">
        <is>
          <t>O002911</t>
        </is>
      </c>
      <c r="B22" s="2" t="inlineStr">
        <is>
          <t>2025-01-02</t>
        </is>
      </c>
      <c r="C22" s="2" t="inlineStr">
        <is>
          <t>C0242</t>
        </is>
      </c>
      <c r="D22" s="2" t="inlineStr">
        <is>
          <t>P0011</t>
        </is>
      </c>
      <c r="E22" s="2" t="inlineStr">
        <is>
          <t>Cookware Set</t>
        </is>
      </c>
      <c r="F22" s="2" t="inlineStr">
        <is>
          <t>Home &amp; Kitchen</t>
        </is>
      </c>
      <c r="G22" s="2" t="inlineStr">
        <is>
          <t>East</t>
        </is>
      </c>
      <c r="H22" s="2" t="inlineStr">
        <is>
          <t>Odisha</t>
        </is>
      </c>
      <c r="I22" s="2" t="inlineStr">
        <is>
          <t>Bhubaneswar</t>
        </is>
      </c>
      <c r="J22" s="2" t="inlineStr">
        <is>
          <t>Online</t>
        </is>
      </c>
      <c r="K22" s="2" t="n">
        <v>2</v>
      </c>
      <c r="L22" s="3" t="n">
        <v>705.25</v>
      </c>
      <c r="M22" s="4" t="n">
        <v>0.25</v>
      </c>
      <c r="N22" s="3" t="n">
        <v>934.54</v>
      </c>
      <c r="O22" s="3">
        <f>K22*L22*(1-M22)</f>
        <v/>
      </c>
      <c r="P22" s="3">
        <f>O22-N22</f>
        <v/>
      </c>
      <c r="Q22" s="5">
        <f>IFERROR(P22/O22,0)</f>
        <v/>
      </c>
      <c r="R22" s="2">
        <f>TEXT(DATEVALUE(B22),"mmm")</f>
        <v/>
      </c>
      <c r="S22" s="2">
        <f>TEXT(DATEVALUE(B22),"yyyy-mm")</f>
        <v/>
      </c>
    </row>
    <row r="23">
      <c r="A23" s="2" t="inlineStr">
        <is>
          <t>O000264</t>
        </is>
      </c>
      <c r="B23" s="2" t="inlineStr">
        <is>
          <t>2025-01-02</t>
        </is>
      </c>
      <c r="C23" s="2" t="inlineStr">
        <is>
          <t>C0303</t>
        </is>
      </c>
      <c r="D23" s="2" t="inlineStr">
        <is>
          <t>P0011</t>
        </is>
      </c>
      <c r="E23" s="2" t="inlineStr">
        <is>
          <t>Cookware Set</t>
        </is>
      </c>
      <c r="F23" s="2" t="inlineStr">
        <is>
          <t>Home &amp; Kitchen</t>
        </is>
      </c>
      <c r="G23" s="2" t="inlineStr">
        <is>
          <t>East</t>
        </is>
      </c>
      <c r="H23" s="2" t="inlineStr">
        <is>
          <t>Odisha</t>
        </is>
      </c>
      <c r="I23" s="2" t="inlineStr">
        <is>
          <t>Bhubaneswar</t>
        </is>
      </c>
      <c r="J23" s="2" t="inlineStr">
        <is>
          <t>Store</t>
        </is>
      </c>
      <c r="K23" s="2" t="n">
        <v>3</v>
      </c>
      <c r="L23" s="3" t="n">
        <v>715.48</v>
      </c>
      <c r="M23" s="4" t="n">
        <v>0.25</v>
      </c>
      <c r="N23" s="3" t="n">
        <v>1433.58</v>
      </c>
      <c r="O23" s="3">
        <f>K23*L23*(1-M23)</f>
        <v/>
      </c>
      <c r="P23" s="3">
        <f>O23-N23</f>
        <v/>
      </c>
      <c r="Q23" s="5">
        <f>IFERROR(P23/O23,0)</f>
        <v/>
      </c>
      <c r="R23" s="2">
        <f>TEXT(DATEVALUE(B23),"mmm")</f>
        <v/>
      </c>
      <c r="S23" s="2">
        <f>TEXT(DATEVALUE(B23),"yyyy-mm")</f>
        <v/>
      </c>
    </row>
    <row r="24">
      <c r="A24" s="2" t="inlineStr">
        <is>
          <t>O001949</t>
        </is>
      </c>
      <c r="B24" s="2" t="inlineStr">
        <is>
          <t>2025-01-02</t>
        </is>
      </c>
      <c r="C24" s="2" t="inlineStr">
        <is>
          <t>C0473</t>
        </is>
      </c>
      <c r="D24" s="2" t="inlineStr">
        <is>
          <t>P0011</t>
        </is>
      </c>
      <c r="E24" s="2" t="inlineStr">
        <is>
          <t>Cookware Set</t>
        </is>
      </c>
      <c r="F24" s="2" t="inlineStr">
        <is>
          <t>Home &amp; Kitchen</t>
        </is>
      </c>
      <c r="G24" s="2" t="inlineStr">
        <is>
          <t>East</t>
        </is>
      </c>
      <c r="H24" s="2" t="inlineStr">
        <is>
          <t>Odisha</t>
        </is>
      </c>
      <c r="I24" s="2" t="inlineStr">
        <is>
          <t>Bhubaneswar</t>
        </is>
      </c>
      <c r="J24" s="2" t="inlineStr">
        <is>
          <t>Online</t>
        </is>
      </c>
      <c r="K24" s="2" t="n">
        <v>2</v>
      </c>
      <c r="L24" s="3" t="n">
        <v>721.26</v>
      </c>
      <c r="M24" s="4" t="n">
        <v>0</v>
      </c>
      <c r="N24" s="3" t="n">
        <v>945.08</v>
      </c>
      <c r="O24" s="3">
        <f>K24*L24*(1-M24)</f>
        <v/>
      </c>
      <c r="P24" s="3">
        <f>O24-N24</f>
        <v/>
      </c>
      <c r="Q24" s="5">
        <f>IFERROR(P24/O24,0)</f>
        <v/>
      </c>
      <c r="R24" s="2">
        <f>TEXT(DATEVALUE(B24),"mmm")</f>
        <v/>
      </c>
      <c r="S24" s="2">
        <f>TEXT(DATEVALUE(B24),"yyyy-mm")</f>
        <v/>
      </c>
    </row>
    <row r="25">
      <c r="A25" s="2" t="inlineStr">
        <is>
          <t>O001824</t>
        </is>
      </c>
      <c r="B25" s="2" t="inlineStr">
        <is>
          <t>2025-01-02</t>
        </is>
      </c>
      <c r="C25" s="2" t="inlineStr">
        <is>
          <t>C0373</t>
        </is>
      </c>
      <c r="D25" s="2" t="inlineStr">
        <is>
          <t>P0011</t>
        </is>
      </c>
      <c r="E25" s="2" t="inlineStr">
        <is>
          <t>Cookware Set</t>
        </is>
      </c>
      <c r="F25" s="2" t="inlineStr">
        <is>
          <t>Home &amp; Kitchen</t>
        </is>
      </c>
      <c r="G25" s="2" t="inlineStr">
        <is>
          <t>North</t>
        </is>
      </c>
      <c r="H25" s="2" t="inlineStr">
        <is>
          <t>Uttar Pradesh</t>
        </is>
      </c>
      <c r="I25" s="2" t="inlineStr">
        <is>
          <t>Noida</t>
        </is>
      </c>
      <c r="J25" s="2" t="inlineStr">
        <is>
          <t>Online</t>
        </is>
      </c>
      <c r="K25" s="2" t="n">
        <v>1</v>
      </c>
      <c r="L25" s="3" t="n">
        <v>676.1799999999999</v>
      </c>
      <c r="M25" s="4" t="n">
        <v>0.1</v>
      </c>
      <c r="N25" s="3" t="n">
        <v>475.36</v>
      </c>
      <c r="O25" s="3">
        <f>K25*L25*(1-M25)</f>
        <v/>
      </c>
      <c r="P25" s="3">
        <f>O25-N25</f>
        <v/>
      </c>
      <c r="Q25" s="5">
        <f>IFERROR(P25/O25,0)</f>
        <v/>
      </c>
      <c r="R25" s="2">
        <f>TEXT(DATEVALUE(B25),"mmm")</f>
        <v/>
      </c>
      <c r="S25" s="2">
        <f>TEXT(DATEVALUE(B25),"yyyy-mm")</f>
        <v/>
      </c>
    </row>
    <row r="26">
      <c r="A26" s="2" t="inlineStr">
        <is>
          <t>O001290</t>
        </is>
      </c>
      <c r="B26" s="2" t="inlineStr">
        <is>
          <t>2025-01-02</t>
        </is>
      </c>
      <c r="C26" s="2" t="inlineStr">
        <is>
          <t>C0582</t>
        </is>
      </c>
      <c r="D26" s="2" t="inlineStr">
        <is>
          <t>P0011</t>
        </is>
      </c>
      <c r="E26" s="2" t="inlineStr">
        <is>
          <t>Cookware Set</t>
        </is>
      </c>
      <c r="F26" s="2" t="inlineStr">
        <is>
          <t>Home &amp; Kitchen</t>
        </is>
      </c>
      <c r="G26" s="2" t="inlineStr">
        <is>
          <t>West</t>
        </is>
      </c>
      <c r="H26" s="2" t="inlineStr">
        <is>
          <t>Gujarat</t>
        </is>
      </c>
      <c r="I26" s="2" t="inlineStr">
        <is>
          <t>Ahmedabad</t>
        </is>
      </c>
      <c r="J26" s="2" t="inlineStr">
        <is>
          <t>Online</t>
        </is>
      </c>
      <c r="K26" s="2" t="n">
        <v>2</v>
      </c>
      <c r="L26" s="3" t="n">
        <v>729.52</v>
      </c>
      <c r="M26" s="4" t="n">
        <v>0.2</v>
      </c>
      <c r="N26" s="3" t="n">
        <v>914.28</v>
      </c>
      <c r="O26" s="3">
        <f>K26*L26*(1-M26)</f>
        <v/>
      </c>
      <c r="P26" s="3">
        <f>O26-N26</f>
        <v/>
      </c>
      <c r="Q26" s="5">
        <f>IFERROR(P26/O26,0)</f>
        <v/>
      </c>
      <c r="R26" s="2">
        <f>TEXT(DATEVALUE(B26),"mmm")</f>
        <v/>
      </c>
      <c r="S26" s="2">
        <f>TEXT(DATEVALUE(B26),"yyyy-mm")</f>
        <v/>
      </c>
    </row>
    <row r="27">
      <c r="A27" s="2" t="inlineStr">
        <is>
          <t>O000207</t>
        </is>
      </c>
      <c r="B27" s="2" t="inlineStr">
        <is>
          <t>2025-01-02</t>
        </is>
      </c>
      <c r="C27" s="2" t="inlineStr">
        <is>
          <t>C0380</t>
        </is>
      </c>
      <c r="D27" s="2" t="inlineStr">
        <is>
          <t>P0020</t>
        </is>
      </c>
      <c r="E27" s="2" t="inlineStr">
        <is>
          <t>Sneakers</t>
        </is>
      </c>
      <c r="F27" s="2" t="inlineStr">
        <is>
          <t>Fashion</t>
        </is>
      </c>
      <c r="G27" s="2" t="inlineStr">
        <is>
          <t>West</t>
        </is>
      </c>
      <c r="H27" s="2" t="inlineStr">
        <is>
          <t>Gujarat</t>
        </is>
      </c>
      <c r="I27" s="2" t="inlineStr">
        <is>
          <t>Surat</t>
        </is>
      </c>
      <c r="J27" s="2" t="inlineStr">
        <is>
          <t>Online</t>
        </is>
      </c>
      <c r="K27" s="2" t="n">
        <v>6</v>
      </c>
      <c r="L27" s="3" t="n">
        <v>2017.3</v>
      </c>
      <c r="M27" s="4" t="n">
        <v>0.05</v>
      </c>
      <c r="N27" s="3" t="n">
        <v>8927.43</v>
      </c>
      <c r="O27" s="3">
        <f>K27*L27*(1-M27)</f>
        <v/>
      </c>
      <c r="P27" s="3">
        <f>O27-N27</f>
        <v/>
      </c>
      <c r="Q27" s="5">
        <f>IFERROR(P27/O27,0)</f>
        <v/>
      </c>
      <c r="R27" s="2">
        <f>TEXT(DATEVALUE(B27),"mmm")</f>
        <v/>
      </c>
      <c r="S27" s="2">
        <f>TEXT(DATEVALUE(B27),"yyyy-mm")</f>
        <v/>
      </c>
    </row>
    <row r="28">
      <c r="A28" s="2" t="inlineStr">
        <is>
          <t>O000064</t>
        </is>
      </c>
      <c r="B28" s="2" t="inlineStr">
        <is>
          <t>2025-01-02</t>
        </is>
      </c>
      <c r="C28" s="2" t="inlineStr">
        <is>
          <t>C0373</t>
        </is>
      </c>
      <c r="D28" s="2" t="inlineStr">
        <is>
          <t>P0032</t>
        </is>
      </c>
      <c r="E28" s="2" t="inlineStr">
        <is>
          <t>Football</t>
        </is>
      </c>
      <c r="F28" s="2" t="inlineStr">
        <is>
          <t>Sports</t>
        </is>
      </c>
      <c r="G28" s="2" t="inlineStr">
        <is>
          <t>South</t>
        </is>
      </c>
      <c r="H28" s="2" t="inlineStr">
        <is>
          <t>Telangana</t>
        </is>
      </c>
      <c r="I28" s="2" t="inlineStr">
        <is>
          <t>Hyderabad</t>
        </is>
      </c>
      <c r="J28" s="2" t="inlineStr">
        <is>
          <t>Online</t>
        </is>
      </c>
      <c r="K28" s="2" t="n">
        <v>2</v>
      </c>
      <c r="L28" s="3" t="n">
        <v>816.76</v>
      </c>
      <c r="M28" s="4" t="n">
        <v>0.15</v>
      </c>
      <c r="N28" s="3" t="n">
        <v>1100.11</v>
      </c>
      <c r="O28" s="3">
        <f>K28*L28*(1-M28)</f>
        <v/>
      </c>
      <c r="P28" s="3">
        <f>O28-N28</f>
        <v/>
      </c>
      <c r="Q28" s="5">
        <f>IFERROR(P28/O28,0)</f>
        <v/>
      </c>
      <c r="R28" s="2">
        <f>TEXT(DATEVALUE(B28),"mmm")</f>
        <v/>
      </c>
      <c r="S28" s="2">
        <f>TEXT(DATEVALUE(B28),"yyyy-mm")</f>
        <v/>
      </c>
    </row>
    <row r="29">
      <c r="A29" s="2" t="inlineStr">
        <is>
          <t>O002174</t>
        </is>
      </c>
      <c r="B29" s="2" t="inlineStr">
        <is>
          <t>2025-01-02</t>
        </is>
      </c>
      <c r="C29" s="2" t="inlineStr">
        <is>
          <t>C0769</t>
        </is>
      </c>
      <c r="D29" s="2" t="inlineStr">
        <is>
          <t>P0016</t>
        </is>
      </c>
      <c r="E29" s="2" t="inlineStr">
        <is>
          <t>Casual Shirt</t>
        </is>
      </c>
      <c r="F29" s="2" t="inlineStr">
        <is>
          <t>Fashion</t>
        </is>
      </c>
      <c r="G29" s="2" t="inlineStr">
        <is>
          <t>North</t>
        </is>
      </c>
      <c r="H29" s="2" t="inlineStr">
        <is>
          <t>Delhi</t>
        </is>
      </c>
      <c r="I29" s="2" t="inlineStr">
        <is>
          <t>New Delhi</t>
        </is>
      </c>
      <c r="J29" s="2" t="inlineStr">
        <is>
          <t>Store</t>
        </is>
      </c>
      <c r="K29" s="2" t="n">
        <v>1</v>
      </c>
      <c r="L29" s="3" t="n">
        <v>1258.15</v>
      </c>
      <c r="M29" s="4" t="n">
        <v>0.1</v>
      </c>
      <c r="N29" s="3" t="n">
        <v>925.04</v>
      </c>
      <c r="O29" s="3">
        <f>K29*L29*(1-M29)</f>
        <v/>
      </c>
      <c r="P29" s="3">
        <f>O29-N29</f>
        <v/>
      </c>
      <c r="Q29" s="5">
        <f>IFERROR(P29/O29,0)</f>
        <v/>
      </c>
      <c r="R29" s="2">
        <f>TEXT(DATEVALUE(B29),"mmm")</f>
        <v/>
      </c>
      <c r="S29" s="2">
        <f>TEXT(DATEVALUE(B29),"yyyy-mm")</f>
        <v/>
      </c>
    </row>
    <row r="30">
      <c r="A30" s="2" t="inlineStr">
        <is>
          <t>O003770</t>
        </is>
      </c>
      <c r="B30" s="2" t="inlineStr">
        <is>
          <t>2025-01-03</t>
        </is>
      </c>
      <c r="C30" s="2" t="inlineStr">
        <is>
          <t>C0390</t>
        </is>
      </c>
      <c r="D30" s="2" t="inlineStr">
        <is>
          <t>P0017</t>
        </is>
      </c>
      <c r="E30" s="2" t="inlineStr">
        <is>
          <t>Jeans</t>
        </is>
      </c>
      <c r="F30" s="2" t="inlineStr">
        <is>
          <t>Fashion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Vadodara</t>
        </is>
      </c>
      <c r="J30" s="2" t="inlineStr">
        <is>
          <t>Store</t>
        </is>
      </c>
      <c r="K30" s="2" t="n">
        <v>1</v>
      </c>
      <c r="L30" s="3" t="n">
        <v>1447.98</v>
      </c>
      <c r="M30" s="4" t="n">
        <v>0.1</v>
      </c>
      <c r="N30" s="3" t="n">
        <v>1016.32</v>
      </c>
      <c r="O30" s="3">
        <f>K30*L30*(1-M30)</f>
        <v/>
      </c>
      <c r="P30" s="3">
        <f>O30-N30</f>
        <v/>
      </c>
      <c r="Q30" s="5">
        <f>IFERROR(P30/O30,0)</f>
        <v/>
      </c>
      <c r="R30" s="2">
        <f>TEXT(DATEVALUE(B30),"mmm")</f>
        <v/>
      </c>
      <c r="S30" s="2">
        <f>TEXT(DATEVALUE(B30),"yyyy-mm")</f>
        <v/>
      </c>
    </row>
    <row r="31">
      <c r="A31" s="2" t="inlineStr">
        <is>
          <t>O004846</t>
        </is>
      </c>
      <c r="B31" s="2" t="inlineStr">
        <is>
          <t>2025-01-03</t>
        </is>
      </c>
      <c r="C31" s="2" t="inlineStr">
        <is>
          <t>C0597</t>
        </is>
      </c>
      <c r="D31" s="2" t="inlineStr">
        <is>
          <t>P0006</t>
        </is>
      </c>
      <c r="E31" s="2" t="inlineStr">
        <is>
          <t>Mechanical Keyboard</t>
        </is>
      </c>
      <c r="F31" s="2" t="inlineStr">
        <is>
          <t>Electronics</t>
        </is>
      </c>
      <c r="G31" s="2" t="inlineStr">
        <is>
          <t>West</t>
        </is>
      </c>
      <c r="H31" s="2" t="inlineStr">
        <is>
          <t>Goa</t>
        </is>
      </c>
      <c r="I31" s="2" t="inlineStr">
        <is>
          <t>Margao</t>
        </is>
      </c>
      <c r="J31" s="2" t="inlineStr">
        <is>
          <t>Online</t>
        </is>
      </c>
      <c r="K31" s="2" t="n">
        <v>3</v>
      </c>
      <c r="L31" s="3" t="n">
        <v>2598.02</v>
      </c>
      <c r="M31" s="4" t="n">
        <v>0.05</v>
      </c>
      <c r="N31" s="3" t="n">
        <v>4403.23</v>
      </c>
      <c r="O31" s="3">
        <f>K31*L31*(1-M31)</f>
        <v/>
      </c>
      <c r="P31" s="3">
        <f>O31-N31</f>
        <v/>
      </c>
      <c r="Q31" s="5">
        <f>IFERROR(P31/O31,0)</f>
        <v/>
      </c>
      <c r="R31" s="2">
        <f>TEXT(DATEVALUE(B31),"mmm")</f>
        <v/>
      </c>
      <c r="S31" s="2">
        <f>TEXT(DATEVALUE(B31),"yyyy-mm")</f>
        <v/>
      </c>
    </row>
    <row r="32">
      <c r="A32" s="2" t="inlineStr">
        <is>
          <t>O004688</t>
        </is>
      </c>
      <c r="B32" s="2" t="inlineStr">
        <is>
          <t>2025-01-03</t>
        </is>
      </c>
      <c r="C32" s="2" t="inlineStr">
        <is>
          <t>C0056</t>
        </is>
      </c>
      <c r="D32" s="2" t="inlineStr">
        <is>
          <t>P0014</t>
        </is>
      </c>
      <c r="E32" s="2" t="inlineStr">
        <is>
          <t>Coffee Maker</t>
        </is>
      </c>
      <c r="F32" s="2" t="inlineStr">
        <is>
          <t>Home &amp; Kitchen</t>
        </is>
      </c>
      <c r="G32" s="2" t="inlineStr">
        <is>
          <t>East</t>
        </is>
      </c>
      <c r="H32" s="2" t="inlineStr">
        <is>
          <t>Odisha</t>
        </is>
      </c>
      <c r="I32" s="2" t="inlineStr">
        <is>
          <t>Bhubaneswar</t>
        </is>
      </c>
      <c r="J32" s="2" t="inlineStr">
        <is>
          <t>Online</t>
        </is>
      </c>
      <c r="K32" s="2" t="n">
        <v>3</v>
      </c>
      <c r="L32" s="3" t="n">
        <v>1072.14</v>
      </c>
      <c r="M32" s="4" t="n">
        <v>0.05</v>
      </c>
      <c r="N32" s="3" t="n">
        <v>2331.83</v>
      </c>
      <c r="O32" s="3">
        <f>K32*L32*(1-M32)</f>
        <v/>
      </c>
      <c r="P32" s="3">
        <f>O32-N32</f>
        <v/>
      </c>
      <c r="Q32" s="5">
        <f>IFERROR(P32/O32,0)</f>
        <v/>
      </c>
      <c r="R32" s="2">
        <f>TEXT(DATEVALUE(B32),"mmm")</f>
        <v/>
      </c>
      <c r="S32" s="2">
        <f>TEXT(DATEVALUE(B32),"yyyy-mm")</f>
        <v/>
      </c>
    </row>
    <row r="33">
      <c r="A33" s="2" t="inlineStr">
        <is>
          <t>O004490</t>
        </is>
      </c>
      <c r="B33" s="2" t="inlineStr">
        <is>
          <t>2025-01-03</t>
        </is>
      </c>
      <c r="C33" s="2" t="inlineStr">
        <is>
          <t>C0648</t>
        </is>
      </c>
      <c r="D33" s="2" t="inlineStr">
        <is>
          <t>P0004</t>
        </is>
      </c>
      <c r="E33" s="2" t="inlineStr">
        <is>
          <t>USB-C Hub</t>
        </is>
      </c>
      <c r="F33" s="2" t="inlineStr">
        <is>
          <t>Electronics</t>
        </is>
      </c>
      <c r="G33" s="2" t="inlineStr">
        <is>
          <t>East</t>
        </is>
      </c>
      <c r="H33" s="2" t="inlineStr">
        <is>
          <t>West Bengal</t>
        </is>
      </c>
      <c r="I33" s="2" t="inlineStr">
        <is>
          <t>Durgapur</t>
        </is>
      </c>
      <c r="J33" s="2" t="inlineStr">
        <is>
          <t>Online</t>
        </is>
      </c>
      <c r="K33" s="2" t="n">
        <v>2</v>
      </c>
      <c r="L33" s="3" t="n">
        <v>1232.15</v>
      </c>
      <c r="M33" s="4" t="n">
        <v>0.1</v>
      </c>
      <c r="N33" s="3" t="n">
        <v>1849.02</v>
      </c>
      <c r="O33" s="3">
        <f>K33*L33*(1-M33)</f>
        <v/>
      </c>
      <c r="P33" s="3">
        <f>O33-N33</f>
        <v/>
      </c>
      <c r="Q33" s="5">
        <f>IFERROR(P33/O33,0)</f>
        <v/>
      </c>
      <c r="R33" s="2">
        <f>TEXT(DATEVALUE(B33),"mmm")</f>
        <v/>
      </c>
      <c r="S33" s="2">
        <f>TEXT(DATEVALUE(B33),"yyyy-mm")</f>
        <v/>
      </c>
    </row>
    <row r="34">
      <c r="A34" s="2" t="inlineStr">
        <is>
          <t>O004206</t>
        </is>
      </c>
      <c r="B34" s="2" t="inlineStr">
        <is>
          <t>2025-01-03</t>
        </is>
      </c>
      <c r="C34" s="2" t="inlineStr">
        <is>
          <t>C0581</t>
        </is>
      </c>
      <c r="D34" s="2" t="inlineStr">
        <is>
          <t>P0022</t>
        </is>
      </c>
      <c r="E34" s="2" t="inlineStr">
        <is>
          <t>Face Wash</t>
        </is>
      </c>
      <c r="F34" s="2" t="inlineStr">
        <is>
          <t>Beauty</t>
        </is>
      </c>
      <c r="G34" s="2" t="inlineStr">
        <is>
          <t>North</t>
        </is>
      </c>
      <c r="H34" s="2" t="inlineStr">
        <is>
          <t>Punjab</t>
        </is>
      </c>
      <c r="I34" s="2" t="inlineStr">
        <is>
          <t>Ludhiana</t>
        </is>
      </c>
      <c r="J34" s="2" t="inlineStr">
        <is>
          <t>Store</t>
        </is>
      </c>
      <c r="K34" s="2" t="n">
        <v>4</v>
      </c>
      <c r="L34" s="3" t="n">
        <v>554.45</v>
      </c>
      <c r="M34" s="4" t="n">
        <v>0</v>
      </c>
      <c r="N34" s="3" t="n">
        <v>1451.43</v>
      </c>
      <c r="O34" s="3">
        <f>K34*L34*(1-M34)</f>
        <v/>
      </c>
      <c r="P34" s="3">
        <f>O34-N34</f>
        <v/>
      </c>
      <c r="Q34" s="5">
        <f>IFERROR(P34/O34,0)</f>
        <v/>
      </c>
      <c r="R34" s="2">
        <f>TEXT(DATEVALUE(B34),"mmm")</f>
        <v/>
      </c>
      <c r="S34" s="2">
        <f>TEXT(DATEVALUE(B34),"yyyy-mm")</f>
        <v/>
      </c>
    </row>
    <row r="35">
      <c r="A35" s="2" t="inlineStr">
        <is>
          <t>O004132</t>
        </is>
      </c>
      <c r="B35" s="2" t="inlineStr">
        <is>
          <t>2025-01-03</t>
        </is>
      </c>
      <c r="C35" s="2" t="inlineStr">
        <is>
          <t>C0772</t>
        </is>
      </c>
      <c r="D35" s="2" t="inlineStr">
        <is>
          <t>P0025</t>
        </is>
      </c>
      <c r="E35" s="2" t="inlineStr">
        <is>
          <t>Perfume</t>
        </is>
      </c>
      <c r="F35" s="2" t="inlineStr">
        <is>
          <t>Beauty</t>
        </is>
      </c>
      <c r="G35" s="2" t="inlineStr">
        <is>
          <t>East</t>
        </is>
      </c>
      <c r="H35" s="2" t="inlineStr">
        <is>
          <t>Bihar</t>
        </is>
      </c>
      <c r="I35" s="2" t="inlineStr">
        <is>
          <t>Patna</t>
        </is>
      </c>
      <c r="J35" s="2" t="inlineStr">
        <is>
          <t>Store</t>
        </is>
      </c>
      <c r="K35" s="2" t="n">
        <v>2</v>
      </c>
      <c r="L35" s="3" t="n">
        <v>818.04</v>
      </c>
      <c r="M35" s="4" t="n">
        <v>0</v>
      </c>
      <c r="N35" s="3" t="n">
        <v>1201.48</v>
      </c>
      <c r="O35" s="3">
        <f>K35*L35*(1-M35)</f>
        <v/>
      </c>
      <c r="P35" s="3">
        <f>O35-N35</f>
        <v/>
      </c>
      <c r="Q35" s="5">
        <f>IFERROR(P35/O35,0)</f>
        <v/>
      </c>
      <c r="R35" s="2">
        <f>TEXT(DATEVALUE(B35),"mmm")</f>
        <v/>
      </c>
      <c r="S35" s="2">
        <f>TEXT(DATEVALUE(B35),"yyyy-mm")</f>
        <v/>
      </c>
    </row>
    <row r="36">
      <c r="A36" s="2" t="inlineStr">
        <is>
          <t>O002732</t>
        </is>
      </c>
      <c r="B36" s="2" t="inlineStr">
        <is>
          <t>2025-01-03</t>
        </is>
      </c>
      <c r="C36" s="2" t="inlineStr">
        <is>
          <t>C0309</t>
        </is>
      </c>
      <c r="D36" s="2" t="inlineStr">
        <is>
          <t>P0027</t>
        </is>
      </c>
      <c r="E36" s="2" t="inlineStr">
        <is>
          <t>Moisturizer</t>
        </is>
      </c>
      <c r="F36" s="2" t="inlineStr">
        <is>
          <t>Beauty</t>
        </is>
      </c>
      <c r="G36" s="2" t="inlineStr">
        <is>
          <t>North</t>
        </is>
      </c>
      <c r="H36" s="2" t="inlineStr">
        <is>
          <t>Haryana</t>
        </is>
      </c>
      <c r="I36" s="2" t="inlineStr">
        <is>
          <t>Faridabad</t>
        </is>
      </c>
      <c r="J36" s="2" t="inlineStr">
        <is>
          <t>Online</t>
        </is>
      </c>
      <c r="K36" s="2" t="n">
        <v>1</v>
      </c>
      <c r="L36" s="3" t="n">
        <v>945.6</v>
      </c>
      <c r="M36" s="4" t="n">
        <v>0</v>
      </c>
      <c r="N36" s="3" t="n">
        <v>701.51</v>
      </c>
      <c r="O36" s="3">
        <f>K36*L36*(1-M36)</f>
        <v/>
      </c>
      <c r="P36" s="3">
        <f>O36-N36</f>
        <v/>
      </c>
      <c r="Q36" s="5">
        <f>IFERROR(P36/O36,0)</f>
        <v/>
      </c>
      <c r="R36" s="2">
        <f>TEXT(DATEVALUE(B36),"mmm")</f>
        <v/>
      </c>
      <c r="S36" s="2">
        <f>TEXT(DATEVALUE(B36),"yyyy-mm")</f>
        <v/>
      </c>
    </row>
    <row r="37">
      <c r="A37" s="2" t="inlineStr">
        <is>
          <t>O003931</t>
        </is>
      </c>
      <c r="B37" s="2" t="inlineStr">
        <is>
          <t>2025-01-03</t>
        </is>
      </c>
      <c r="C37" s="2" t="inlineStr">
        <is>
          <t>C0745</t>
        </is>
      </c>
      <c r="D37" s="2" t="inlineStr">
        <is>
          <t>P0018</t>
        </is>
      </c>
      <c r="E37" s="2" t="inlineStr">
        <is>
          <t>Backpack</t>
        </is>
      </c>
      <c r="F37" s="2" t="inlineStr">
        <is>
          <t>Fashion</t>
        </is>
      </c>
      <c r="G37" s="2" t="inlineStr">
        <is>
          <t>West</t>
        </is>
      </c>
      <c r="H37" s="2" t="inlineStr">
        <is>
          <t>Goa</t>
        </is>
      </c>
      <c r="I37" s="2" t="inlineStr">
        <is>
          <t>Panaji</t>
        </is>
      </c>
      <c r="J37" s="2" t="inlineStr">
        <is>
          <t>Store</t>
        </is>
      </c>
      <c r="K37" s="2" t="n">
        <v>1</v>
      </c>
      <c r="L37" s="3" t="n">
        <v>1775.55</v>
      </c>
      <c r="M37" s="4" t="n">
        <v>0.1</v>
      </c>
      <c r="N37" s="3" t="n">
        <v>1331.72</v>
      </c>
      <c r="O37" s="3">
        <f>K37*L37*(1-M37)</f>
        <v/>
      </c>
      <c r="P37" s="3">
        <f>O37-N37</f>
        <v/>
      </c>
      <c r="Q37" s="5">
        <f>IFERROR(P37/O37,0)</f>
        <v/>
      </c>
      <c r="R37" s="2">
        <f>TEXT(DATEVALUE(B37),"mmm")</f>
        <v/>
      </c>
      <c r="S37" s="2">
        <f>TEXT(DATEVALUE(B37),"yyyy-mm")</f>
        <v/>
      </c>
    </row>
    <row r="38">
      <c r="A38" s="2" t="inlineStr">
        <is>
          <t>O002658</t>
        </is>
      </c>
      <c r="B38" s="2" t="inlineStr">
        <is>
          <t>2025-01-03</t>
        </is>
      </c>
      <c r="C38" s="2" t="inlineStr">
        <is>
          <t>C0233</t>
        </is>
      </c>
      <c r="D38" s="2" t="inlineStr">
        <is>
          <t>P0024</t>
        </is>
      </c>
      <c r="E38" s="2" t="inlineStr">
        <is>
          <t>Hair Dryer</t>
        </is>
      </c>
      <c r="F38" s="2" t="inlineStr">
        <is>
          <t>Beauty</t>
        </is>
      </c>
      <c r="G38" s="2" t="inlineStr">
        <is>
          <t>West</t>
        </is>
      </c>
      <c r="H38" s="2" t="inlineStr">
        <is>
          <t>Goa</t>
        </is>
      </c>
      <c r="I38" s="2" t="inlineStr">
        <is>
          <t>Panaji</t>
        </is>
      </c>
      <c r="J38" s="2" t="inlineStr">
        <is>
          <t>Store</t>
        </is>
      </c>
      <c r="K38" s="2" t="n">
        <v>1</v>
      </c>
      <c r="L38" s="3" t="n">
        <v>979.52</v>
      </c>
      <c r="M38" s="4" t="n">
        <v>0</v>
      </c>
      <c r="N38" s="3" t="n">
        <v>712.1900000000001</v>
      </c>
      <c r="O38" s="3">
        <f>K38*L38*(1-M38)</f>
        <v/>
      </c>
      <c r="P38" s="3">
        <f>O38-N38</f>
        <v/>
      </c>
      <c r="Q38" s="5">
        <f>IFERROR(P38/O38,0)</f>
        <v/>
      </c>
      <c r="R38" s="2">
        <f>TEXT(DATEVALUE(B38),"mmm")</f>
        <v/>
      </c>
      <c r="S38" s="2">
        <f>TEXT(DATEVALUE(B38),"yyyy-mm")</f>
        <v/>
      </c>
    </row>
    <row r="39">
      <c r="A39" s="2" t="inlineStr">
        <is>
          <t>O002322</t>
        </is>
      </c>
      <c r="B39" s="2" t="inlineStr">
        <is>
          <t>2025-01-03</t>
        </is>
      </c>
      <c r="C39" s="2" t="inlineStr">
        <is>
          <t>C0562</t>
        </is>
      </c>
      <c r="D39" s="2" t="inlineStr">
        <is>
          <t>P0004</t>
        </is>
      </c>
      <c r="E39" s="2" t="inlineStr">
        <is>
          <t>USB-C Hub</t>
        </is>
      </c>
      <c r="F39" s="2" t="inlineStr">
        <is>
          <t>Electronics</t>
        </is>
      </c>
      <c r="G39" s="2" t="inlineStr">
        <is>
          <t>South</t>
        </is>
      </c>
      <c r="H39" s="2" t="inlineStr">
        <is>
          <t>Karnataka</t>
        </is>
      </c>
      <c r="I39" s="2" t="inlineStr">
        <is>
          <t>Mysuru</t>
        </is>
      </c>
      <c r="J39" s="2" t="inlineStr">
        <is>
          <t>Online</t>
        </is>
      </c>
      <c r="K39" s="2" t="n">
        <v>1</v>
      </c>
      <c r="L39" s="3" t="n">
        <v>1240.4</v>
      </c>
      <c r="M39" s="4" t="n">
        <v>0</v>
      </c>
      <c r="N39" s="3" t="n">
        <v>950.13</v>
      </c>
      <c r="O39" s="3">
        <f>K39*L39*(1-M39)</f>
        <v/>
      </c>
      <c r="P39" s="3">
        <f>O39-N39</f>
        <v/>
      </c>
      <c r="Q39" s="5">
        <f>IFERROR(P39/O39,0)</f>
        <v/>
      </c>
      <c r="R39" s="2">
        <f>TEXT(DATEVALUE(B39),"mmm")</f>
        <v/>
      </c>
      <c r="S39" s="2">
        <f>TEXT(DATEVALUE(B39),"yyyy-mm")</f>
        <v/>
      </c>
    </row>
    <row r="40">
      <c r="A40" s="2" t="inlineStr">
        <is>
          <t>O002678</t>
        </is>
      </c>
      <c r="B40" s="2" t="inlineStr">
        <is>
          <t>2025-01-03</t>
        </is>
      </c>
      <c r="C40" s="2" t="inlineStr">
        <is>
          <t>C0206</t>
        </is>
      </c>
      <c r="D40" s="2" t="inlineStr">
        <is>
          <t>P0011</t>
        </is>
      </c>
      <c r="E40" s="2" t="inlineStr">
        <is>
          <t>Cookware Set</t>
        </is>
      </c>
      <c r="F40" s="2" t="inlineStr">
        <is>
          <t>Home &amp; Kitchen</t>
        </is>
      </c>
      <c r="G40" s="2" t="inlineStr">
        <is>
          <t>West</t>
        </is>
      </c>
      <c r="H40" s="2" t="inlineStr">
        <is>
          <t>Goa</t>
        </is>
      </c>
      <c r="I40" s="2" t="inlineStr">
        <is>
          <t>Margao</t>
        </is>
      </c>
      <c r="J40" s="2" t="inlineStr">
        <is>
          <t>Online</t>
        </is>
      </c>
      <c r="K40" s="2" t="n">
        <v>1</v>
      </c>
      <c r="L40" s="3" t="n">
        <v>691.61</v>
      </c>
      <c r="M40" s="4" t="n">
        <v>0</v>
      </c>
      <c r="N40" s="3" t="n">
        <v>484.94</v>
      </c>
      <c r="O40" s="3">
        <f>K40*L40*(1-M40)</f>
        <v/>
      </c>
      <c r="P40" s="3">
        <f>O40-N40</f>
        <v/>
      </c>
      <c r="Q40" s="5">
        <f>IFERROR(P40/O40,0)</f>
        <v/>
      </c>
      <c r="R40" s="2">
        <f>TEXT(DATEVALUE(B40),"mmm")</f>
        <v/>
      </c>
      <c r="S40" s="2">
        <f>TEXT(DATEVALUE(B40),"yyyy-mm")</f>
        <v/>
      </c>
    </row>
    <row r="41">
      <c r="A41" s="2" t="inlineStr">
        <is>
          <t>O002125</t>
        </is>
      </c>
      <c r="B41" s="2" t="inlineStr">
        <is>
          <t>2025-01-03</t>
        </is>
      </c>
      <c r="C41" s="2" t="inlineStr">
        <is>
          <t>C0718</t>
        </is>
      </c>
      <c r="D41" s="2" t="inlineStr">
        <is>
          <t>P0021</t>
        </is>
      </c>
      <c r="E41" s="2" t="inlineStr">
        <is>
          <t>Wallet</t>
        </is>
      </c>
      <c r="F41" s="2" t="inlineStr">
        <is>
          <t>Fashion</t>
        </is>
      </c>
      <c r="G41" s="2" t="inlineStr">
        <is>
          <t>North</t>
        </is>
      </c>
      <c r="H41" s="2" t="inlineStr">
        <is>
          <t>Haryana</t>
        </is>
      </c>
      <c r="I41" s="2" t="inlineStr">
        <is>
          <t>Faridabad</t>
        </is>
      </c>
      <c r="J41" s="2" t="inlineStr">
        <is>
          <t>Online</t>
        </is>
      </c>
      <c r="K41" s="2" t="n">
        <v>1</v>
      </c>
      <c r="L41" s="3" t="n">
        <v>2036.8</v>
      </c>
      <c r="M41" s="4" t="n">
        <v>0.15</v>
      </c>
      <c r="N41" s="3" t="n">
        <v>1193.12</v>
      </c>
      <c r="O41" s="3">
        <f>K41*L41*(1-M41)</f>
        <v/>
      </c>
      <c r="P41" s="3">
        <f>O41-N41</f>
        <v/>
      </c>
      <c r="Q41" s="5">
        <f>IFERROR(P41/O41,0)</f>
        <v/>
      </c>
      <c r="R41" s="2">
        <f>TEXT(DATEVALUE(B41),"mmm")</f>
        <v/>
      </c>
      <c r="S41" s="2">
        <f>TEXT(DATEVALUE(B41),"yyyy-mm")</f>
        <v/>
      </c>
    </row>
    <row r="42">
      <c r="A42" s="2" t="inlineStr">
        <is>
          <t>O001865</t>
        </is>
      </c>
      <c r="B42" s="2" t="inlineStr">
        <is>
          <t>2025-01-03</t>
        </is>
      </c>
      <c r="C42" s="2" t="inlineStr">
        <is>
          <t>C0536</t>
        </is>
      </c>
      <c r="D42" s="2" t="inlineStr">
        <is>
          <t>P0006</t>
        </is>
      </c>
      <c r="E42" s="2" t="inlineStr">
        <is>
          <t>Mechanical Keyboard</t>
        </is>
      </c>
      <c r="F42" s="2" t="inlineStr">
        <is>
          <t>Electronics</t>
        </is>
      </c>
      <c r="G42" s="2" t="inlineStr">
        <is>
          <t>West</t>
        </is>
      </c>
      <c r="H42" s="2" t="inlineStr">
        <is>
          <t>Goa</t>
        </is>
      </c>
      <c r="I42" s="2" t="inlineStr">
        <is>
          <t>Margao</t>
        </is>
      </c>
      <c r="J42" s="2" t="inlineStr">
        <is>
          <t>Online</t>
        </is>
      </c>
      <c r="K42" s="2" t="n">
        <v>4</v>
      </c>
      <c r="L42" s="3" t="n">
        <v>2599.53</v>
      </c>
      <c r="M42" s="4" t="n">
        <v>0.1</v>
      </c>
      <c r="N42" s="3" t="n">
        <v>5785.22</v>
      </c>
      <c r="O42" s="3">
        <f>K42*L42*(1-M42)</f>
        <v/>
      </c>
      <c r="P42" s="3">
        <f>O42-N42</f>
        <v/>
      </c>
      <c r="Q42" s="5">
        <f>IFERROR(P42/O42,0)</f>
        <v/>
      </c>
      <c r="R42" s="2">
        <f>TEXT(DATEVALUE(B42),"mmm")</f>
        <v/>
      </c>
      <c r="S42" s="2">
        <f>TEXT(DATEVALUE(B42),"yyyy-mm")</f>
        <v/>
      </c>
    </row>
    <row r="43">
      <c r="A43" s="2" t="inlineStr">
        <is>
          <t>O001578</t>
        </is>
      </c>
      <c r="B43" s="2" t="inlineStr">
        <is>
          <t>2025-01-03</t>
        </is>
      </c>
      <c r="C43" s="2" t="inlineStr">
        <is>
          <t>C0077</t>
        </is>
      </c>
      <c r="D43" s="2" t="inlineStr">
        <is>
          <t>P0011</t>
        </is>
      </c>
      <c r="E43" s="2" t="inlineStr">
        <is>
          <t>Cookware Set</t>
        </is>
      </c>
      <c r="F43" s="2" t="inlineStr">
        <is>
          <t>Home &amp; Kitchen</t>
        </is>
      </c>
      <c r="G43" s="2" t="inlineStr">
        <is>
          <t>West</t>
        </is>
      </c>
      <c r="H43" s="2" t="inlineStr">
        <is>
          <t>Goa</t>
        </is>
      </c>
      <c r="I43" s="2" t="inlineStr">
        <is>
          <t>Panaji</t>
        </is>
      </c>
      <c r="J43" s="2" t="inlineStr">
        <is>
          <t>Online</t>
        </is>
      </c>
      <c r="K43" s="2" t="n">
        <v>1</v>
      </c>
      <c r="L43" s="3" t="n">
        <v>717.2</v>
      </c>
      <c r="M43" s="4" t="n">
        <v>0.05</v>
      </c>
      <c r="N43" s="3" t="n">
        <v>483.41</v>
      </c>
      <c r="O43" s="3">
        <f>K43*L43*(1-M43)</f>
        <v/>
      </c>
      <c r="P43" s="3">
        <f>O43-N43</f>
        <v/>
      </c>
      <c r="Q43" s="5">
        <f>IFERROR(P43/O43,0)</f>
        <v/>
      </c>
      <c r="R43" s="2">
        <f>TEXT(DATEVALUE(B43),"mmm")</f>
        <v/>
      </c>
      <c r="S43" s="2">
        <f>TEXT(DATEVALUE(B43),"yyyy-mm")</f>
        <v/>
      </c>
    </row>
    <row r="44">
      <c r="A44" s="2" t="inlineStr">
        <is>
          <t>O001519</t>
        </is>
      </c>
      <c r="B44" s="2" t="inlineStr">
        <is>
          <t>2025-01-03</t>
        </is>
      </c>
      <c r="C44" s="2" t="inlineStr">
        <is>
          <t>C0519</t>
        </is>
      </c>
      <c r="D44" s="2" t="inlineStr">
        <is>
          <t>P0006</t>
        </is>
      </c>
      <c r="E44" s="2" t="inlineStr">
        <is>
          <t>Mechanical Keyboard</t>
        </is>
      </c>
      <c r="F44" s="2" t="inlineStr">
        <is>
          <t>Electronics</t>
        </is>
      </c>
      <c r="G44" s="2" t="inlineStr">
        <is>
          <t>East</t>
        </is>
      </c>
      <c r="H44" s="2" t="inlineStr">
        <is>
          <t>Odisha</t>
        </is>
      </c>
      <c r="I44" s="2" t="inlineStr">
        <is>
          <t>Cuttack</t>
        </is>
      </c>
      <c r="J44" s="2" t="inlineStr">
        <is>
          <t>Online</t>
        </is>
      </c>
      <c r="K44" s="2" t="n">
        <v>3</v>
      </c>
      <c r="L44" s="3" t="n">
        <v>2606.36</v>
      </c>
      <c r="M44" s="4" t="n">
        <v>0.2</v>
      </c>
      <c r="N44" s="3" t="n">
        <v>4516.69</v>
      </c>
      <c r="O44" s="3">
        <f>K44*L44*(1-M44)</f>
        <v/>
      </c>
      <c r="P44" s="3">
        <f>O44-N44</f>
        <v/>
      </c>
      <c r="Q44" s="5">
        <f>IFERROR(P44/O44,0)</f>
        <v/>
      </c>
      <c r="R44" s="2">
        <f>TEXT(DATEVALUE(B44),"mmm")</f>
        <v/>
      </c>
      <c r="S44" s="2">
        <f>TEXT(DATEVALUE(B44),"yyyy-mm")</f>
        <v/>
      </c>
    </row>
    <row r="45">
      <c r="A45" s="2" t="inlineStr">
        <is>
          <t>O000896</t>
        </is>
      </c>
      <c r="B45" s="2" t="inlineStr">
        <is>
          <t>2025-01-03</t>
        </is>
      </c>
      <c r="C45" s="2" t="inlineStr">
        <is>
          <t>C0478</t>
        </is>
      </c>
      <c r="D45" s="2" t="inlineStr">
        <is>
          <t>P0016</t>
        </is>
      </c>
      <c r="E45" s="2" t="inlineStr">
        <is>
          <t>Casual Shirt</t>
        </is>
      </c>
      <c r="F45" s="2" t="inlineStr">
        <is>
          <t>Fashion</t>
        </is>
      </c>
      <c r="G45" s="2" t="inlineStr">
        <is>
          <t>North</t>
        </is>
      </c>
      <c r="H45" s="2" t="inlineStr">
        <is>
          <t>Delhi</t>
        </is>
      </c>
      <c r="I45" s="2" t="inlineStr">
        <is>
          <t>New Delhi</t>
        </is>
      </c>
      <c r="J45" s="2" t="inlineStr">
        <is>
          <t>Store</t>
        </is>
      </c>
      <c r="K45" s="2" t="n">
        <v>2</v>
      </c>
      <c r="L45" s="3" t="n">
        <v>1281.91</v>
      </c>
      <c r="M45" s="4" t="n">
        <v>0</v>
      </c>
      <c r="N45" s="3" t="n">
        <v>1750.78</v>
      </c>
      <c r="O45" s="3">
        <f>K45*L45*(1-M45)</f>
        <v/>
      </c>
      <c r="P45" s="3">
        <f>O45-N45</f>
        <v/>
      </c>
      <c r="Q45" s="5">
        <f>IFERROR(P45/O45,0)</f>
        <v/>
      </c>
      <c r="R45" s="2">
        <f>TEXT(DATEVALUE(B45),"mmm")</f>
        <v/>
      </c>
      <c r="S45" s="2">
        <f>TEXT(DATEVALUE(B45),"yyyy-mm")</f>
        <v/>
      </c>
    </row>
    <row r="46">
      <c r="A46" s="2" t="inlineStr">
        <is>
          <t>O004105</t>
        </is>
      </c>
      <c r="B46" s="2" t="inlineStr">
        <is>
          <t>2025-01-04</t>
        </is>
      </c>
      <c r="C46" s="2" t="inlineStr">
        <is>
          <t>C0721</t>
        </is>
      </c>
      <c r="D46" s="2" t="inlineStr">
        <is>
          <t>P0006</t>
        </is>
      </c>
      <c r="E46" s="2" t="inlineStr">
        <is>
          <t>Mechanical Keyboard</t>
        </is>
      </c>
      <c r="F46" s="2" t="inlineStr">
        <is>
          <t>Electronics</t>
        </is>
      </c>
      <c r="G46" s="2" t="inlineStr">
        <is>
          <t>West</t>
        </is>
      </c>
      <c r="H46" s="2" t="inlineStr">
        <is>
          <t>Maharashtra</t>
        </is>
      </c>
      <c r="I46" s="2" t="inlineStr">
        <is>
          <t>Mumbai</t>
        </is>
      </c>
      <c r="J46" s="2" t="inlineStr">
        <is>
          <t>Online</t>
        </is>
      </c>
      <c r="K46" s="2" t="n">
        <v>1</v>
      </c>
      <c r="L46" s="3" t="n">
        <v>2628.15</v>
      </c>
      <c r="M46" s="4" t="n">
        <v>0.05</v>
      </c>
      <c r="N46" s="3" t="n">
        <v>1502.82</v>
      </c>
      <c r="O46" s="3">
        <f>K46*L46*(1-M46)</f>
        <v/>
      </c>
      <c r="P46" s="3">
        <f>O46-N46</f>
        <v/>
      </c>
      <c r="Q46" s="5">
        <f>IFERROR(P46/O46,0)</f>
        <v/>
      </c>
      <c r="R46" s="2">
        <f>TEXT(DATEVALUE(B46),"mmm")</f>
        <v/>
      </c>
      <c r="S46" s="2">
        <f>TEXT(DATEVALUE(B46),"yyyy-mm")</f>
        <v/>
      </c>
    </row>
    <row r="47">
      <c r="A47" s="2" t="inlineStr">
        <is>
          <t>O003867</t>
        </is>
      </c>
      <c r="B47" s="2" t="inlineStr">
        <is>
          <t>2025-01-04</t>
        </is>
      </c>
      <c r="C47" s="2" t="inlineStr">
        <is>
          <t>C0394</t>
        </is>
      </c>
      <c r="D47" s="2" t="inlineStr">
        <is>
          <t>P0002</t>
        </is>
      </c>
      <c r="E47" s="2" t="inlineStr">
        <is>
          <t>Bluetooth Speaker</t>
        </is>
      </c>
      <c r="F47" s="2" t="inlineStr">
        <is>
          <t>Electronics</t>
        </is>
      </c>
      <c r="G47" s="2" t="inlineStr">
        <is>
          <t>West</t>
        </is>
      </c>
      <c r="H47" s="2" t="inlineStr">
        <is>
          <t>Goa</t>
        </is>
      </c>
      <c r="I47" s="2" t="inlineStr">
        <is>
          <t>Margao</t>
        </is>
      </c>
      <c r="J47" s="2" t="inlineStr">
        <is>
          <t>Online</t>
        </is>
      </c>
      <c r="K47" s="2" t="n">
        <v>2</v>
      </c>
      <c r="L47" s="3" t="n">
        <v>1398.92</v>
      </c>
      <c r="M47" s="4" t="n">
        <v>0.15</v>
      </c>
      <c r="N47" s="3" t="n">
        <v>1602.49</v>
      </c>
      <c r="O47" s="3">
        <f>K47*L47*(1-M47)</f>
        <v/>
      </c>
      <c r="P47" s="3">
        <f>O47-N47</f>
        <v/>
      </c>
      <c r="Q47" s="5">
        <f>IFERROR(P47/O47,0)</f>
        <v/>
      </c>
      <c r="R47" s="2">
        <f>TEXT(DATEVALUE(B47),"mmm")</f>
        <v/>
      </c>
      <c r="S47" s="2">
        <f>TEXT(DATEVALUE(B47),"yyyy-mm")</f>
        <v/>
      </c>
    </row>
    <row r="48">
      <c r="A48" s="2" t="inlineStr">
        <is>
          <t>O003078</t>
        </is>
      </c>
      <c r="B48" s="2" t="inlineStr">
        <is>
          <t>2025-01-04</t>
        </is>
      </c>
      <c r="C48" s="2" t="inlineStr">
        <is>
          <t>C0506</t>
        </is>
      </c>
      <c r="D48" s="2" t="inlineStr">
        <is>
          <t>P0014</t>
        </is>
      </c>
      <c r="E48" s="2" t="inlineStr">
        <is>
          <t>Coffee Maker</t>
        </is>
      </c>
      <c r="F48" s="2" t="inlineStr">
        <is>
          <t>Home &amp; Kitchen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Thiruvananthapuram</t>
        </is>
      </c>
      <c r="J48" s="2" t="inlineStr">
        <is>
          <t>Store</t>
        </is>
      </c>
      <c r="K48" s="2" t="n">
        <v>6</v>
      </c>
      <c r="L48" s="3" t="n">
        <v>1030.48</v>
      </c>
      <c r="M48" s="4" t="n">
        <v>0</v>
      </c>
      <c r="N48" s="3" t="n">
        <v>4573.63</v>
      </c>
      <c r="O48" s="3">
        <f>K48*L48*(1-M48)</f>
        <v/>
      </c>
      <c r="P48" s="3">
        <f>O48-N48</f>
        <v/>
      </c>
      <c r="Q48" s="5">
        <f>IFERROR(P48/O48,0)</f>
        <v/>
      </c>
      <c r="R48" s="2">
        <f>TEXT(DATEVALUE(B48),"mmm")</f>
        <v/>
      </c>
      <c r="S48" s="2">
        <f>TEXT(DATEVALUE(B48),"yyyy-mm")</f>
        <v/>
      </c>
    </row>
    <row r="49">
      <c r="A49" s="2" t="inlineStr">
        <is>
          <t>O002729</t>
        </is>
      </c>
      <c r="B49" s="2" t="inlineStr">
        <is>
          <t>2025-01-04</t>
        </is>
      </c>
      <c r="C49" s="2" t="inlineStr">
        <is>
          <t>C0100</t>
        </is>
      </c>
      <c r="D49" s="2" t="inlineStr">
        <is>
          <t>P0007</t>
        </is>
      </c>
      <c r="E49" s="2" t="inlineStr">
        <is>
          <t>Wireless Mouse</t>
        </is>
      </c>
      <c r="F49" s="2" t="inlineStr">
        <is>
          <t>Electronics</t>
        </is>
      </c>
      <c r="G49" s="2" t="inlineStr">
        <is>
          <t>East</t>
        </is>
      </c>
      <c r="H49" s="2" t="inlineStr">
        <is>
          <t>Bihar</t>
        </is>
      </c>
      <c r="I49" s="2" t="inlineStr">
        <is>
          <t>Gaya</t>
        </is>
      </c>
      <c r="J49" s="2" t="inlineStr">
        <is>
          <t>Online</t>
        </is>
      </c>
      <c r="K49" s="2" t="n">
        <v>1</v>
      </c>
      <c r="L49" s="3" t="n">
        <v>971.28</v>
      </c>
      <c r="M49" s="4" t="n">
        <v>0</v>
      </c>
      <c r="N49" s="3" t="n">
        <v>613.65</v>
      </c>
      <c r="O49" s="3">
        <f>K49*L49*(1-M49)</f>
        <v/>
      </c>
      <c r="P49" s="3">
        <f>O49-N49</f>
        <v/>
      </c>
      <c r="Q49" s="5">
        <f>IFERROR(P49/O49,0)</f>
        <v/>
      </c>
      <c r="R49" s="2">
        <f>TEXT(DATEVALUE(B49),"mmm")</f>
        <v/>
      </c>
      <c r="S49" s="2">
        <f>TEXT(DATEVALUE(B49),"yyyy-mm")</f>
        <v/>
      </c>
    </row>
    <row r="50">
      <c r="A50" s="2" t="inlineStr">
        <is>
          <t>O001912</t>
        </is>
      </c>
      <c r="B50" s="2" t="inlineStr">
        <is>
          <t>2025-01-04</t>
        </is>
      </c>
      <c r="C50" s="2" t="inlineStr">
        <is>
          <t>C0664</t>
        </is>
      </c>
      <c r="D50" s="2" t="inlineStr">
        <is>
          <t>P0022</t>
        </is>
      </c>
      <c r="E50" s="2" t="inlineStr">
        <is>
          <t>Face Wash</t>
        </is>
      </c>
      <c r="F50" s="2" t="inlineStr">
        <is>
          <t>Beauty</t>
        </is>
      </c>
      <c r="G50" s="2" t="inlineStr">
        <is>
          <t>East</t>
        </is>
      </c>
      <c r="H50" s="2" t="inlineStr">
        <is>
          <t>Bihar</t>
        </is>
      </c>
      <c r="I50" s="2" t="inlineStr">
        <is>
          <t>Gaya</t>
        </is>
      </c>
      <c r="J50" s="2" t="inlineStr">
        <is>
          <t>Store</t>
        </is>
      </c>
      <c r="K50" s="2" t="n">
        <v>1</v>
      </c>
      <c r="L50" s="3" t="n">
        <v>543.28</v>
      </c>
      <c r="M50" s="4" t="n">
        <v>0</v>
      </c>
      <c r="N50" s="3" t="n">
        <v>346.01</v>
      </c>
      <c r="O50" s="3">
        <f>K50*L50*(1-M50)</f>
        <v/>
      </c>
      <c r="P50" s="3">
        <f>O50-N50</f>
        <v/>
      </c>
      <c r="Q50" s="5">
        <f>IFERROR(P50/O50,0)</f>
        <v/>
      </c>
      <c r="R50" s="2">
        <f>TEXT(DATEVALUE(B50),"mmm")</f>
        <v/>
      </c>
      <c r="S50" s="2">
        <f>TEXT(DATEVALUE(B50),"yyyy-mm")</f>
        <v/>
      </c>
    </row>
    <row r="51">
      <c r="A51" s="2" t="inlineStr">
        <is>
          <t>O001724</t>
        </is>
      </c>
      <c r="B51" s="2" t="inlineStr">
        <is>
          <t>2025-01-04</t>
        </is>
      </c>
      <c r="C51" s="2" t="inlineStr">
        <is>
          <t>C0393</t>
        </is>
      </c>
      <c r="D51" s="2" t="inlineStr">
        <is>
          <t>P0007</t>
        </is>
      </c>
      <c r="E51" s="2" t="inlineStr">
        <is>
          <t>Wireless Mouse</t>
        </is>
      </c>
      <c r="F51" s="2" t="inlineStr">
        <is>
          <t>Electronics</t>
        </is>
      </c>
      <c r="G51" s="2" t="inlineStr">
        <is>
          <t>South</t>
        </is>
      </c>
      <c r="H51" s="2" t="inlineStr">
        <is>
          <t>Karnataka</t>
        </is>
      </c>
      <c r="I51" s="2" t="inlineStr">
        <is>
          <t>Mangaluru</t>
        </is>
      </c>
      <c r="J51" s="2" t="inlineStr">
        <is>
          <t>Online</t>
        </is>
      </c>
      <c r="K51" s="2" t="n">
        <v>2</v>
      </c>
      <c r="L51" s="3" t="n">
        <v>969.72</v>
      </c>
      <c r="M51" s="4" t="n">
        <v>0.05</v>
      </c>
      <c r="N51" s="3" t="n">
        <v>1264.96</v>
      </c>
      <c r="O51" s="3">
        <f>K51*L51*(1-M51)</f>
        <v/>
      </c>
      <c r="P51" s="3">
        <f>O51-N51</f>
        <v/>
      </c>
      <c r="Q51" s="5">
        <f>IFERROR(P51/O51,0)</f>
        <v/>
      </c>
      <c r="R51" s="2">
        <f>TEXT(DATEVALUE(B51),"mmm")</f>
        <v/>
      </c>
      <c r="S51" s="2">
        <f>TEXT(DATEVALUE(B51),"yyyy-mm")</f>
        <v/>
      </c>
    </row>
    <row r="52">
      <c r="A52" s="2" t="inlineStr">
        <is>
          <t>O001329</t>
        </is>
      </c>
      <c r="B52" s="2" t="inlineStr">
        <is>
          <t>2025-01-04</t>
        </is>
      </c>
      <c r="C52" s="2" t="inlineStr">
        <is>
          <t>C0441</t>
        </is>
      </c>
      <c r="D52" s="2" t="inlineStr">
        <is>
          <t>P0008</t>
        </is>
      </c>
      <c r="E52" s="2" t="inlineStr">
        <is>
          <t>Air Fryer</t>
        </is>
      </c>
      <c r="F52" s="2" t="inlineStr">
        <is>
          <t>Home &amp; Kitchen</t>
        </is>
      </c>
      <c r="G52" s="2" t="inlineStr">
        <is>
          <t>North</t>
        </is>
      </c>
      <c r="H52" s="2" t="inlineStr">
        <is>
          <t>Delhi</t>
        </is>
      </c>
      <c r="I52" s="2" t="inlineStr">
        <is>
          <t>New Delhi</t>
        </is>
      </c>
      <c r="J52" s="2" t="inlineStr">
        <is>
          <t>Store</t>
        </is>
      </c>
      <c r="K52" s="2" t="n">
        <v>1</v>
      </c>
      <c r="L52" s="3" t="n">
        <v>1039.83</v>
      </c>
      <c r="M52" s="4" t="n">
        <v>0</v>
      </c>
      <c r="N52" s="3" t="n">
        <v>695.88</v>
      </c>
      <c r="O52" s="3">
        <f>K52*L52*(1-M52)</f>
        <v/>
      </c>
      <c r="P52" s="3">
        <f>O52-N52</f>
        <v/>
      </c>
      <c r="Q52" s="5">
        <f>IFERROR(P52/O52,0)</f>
        <v/>
      </c>
      <c r="R52" s="2">
        <f>TEXT(DATEVALUE(B52),"mmm")</f>
        <v/>
      </c>
      <c r="S52" s="2">
        <f>TEXT(DATEVALUE(B52),"yyyy-mm")</f>
        <v/>
      </c>
    </row>
    <row r="53">
      <c r="A53" s="2" t="inlineStr">
        <is>
          <t>O000969</t>
        </is>
      </c>
      <c r="B53" s="2" t="inlineStr">
        <is>
          <t>2025-01-04</t>
        </is>
      </c>
      <c r="C53" s="2" t="inlineStr">
        <is>
          <t>C0179</t>
        </is>
      </c>
      <c r="D53" s="2" t="inlineStr">
        <is>
          <t>P0008</t>
        </is>
      </c>
      <c r="E53" s="2" t="inlineStr">
        <is>
          <t>Air Fryer</t>
        </is>
      </c>
      <c r="F53" s="2" t="inlineStr">
        <is>
          <t>Home &amp; Kitchen</t>
        </is>
      </c>
      <c r="G53" s="2" t="inlineStr">
        <is>
          <t>East</t>
        </is>
      </c>
      <c r="H53" s="2" t="inlineStr">
        <is>
          <t>Odisha</t>
        </is>
      </c>
      <c r="I53" s="2" t="inlineStr">
        <is>
          <t>Cuttack</t>
        </is>
      </c>
      <c r="J53" s="2" t="inlineStr">
        <is>
          <t>Online</t>
        </is>
      </c>
      <c r="K53" s="2" t="n">
        <v>1</v>
      </c>
      <c r="L53" s="3" t="n">
        <v>1004.54</v>
      </c>
      <c r="M53" s="4" t="n">
        <v>0.15</v>
      </c>
      <c r="N53" s="3" t="n">
        <v>674.95</v>
      </c>
      <c r="O53" s="3">
        <f>K53*L53*(1-M53)</f>
        <v/>
      </c>
      <c r="P53" s="3">
        <f>O53-N53</f>
        <v/>
      </c>
      <c r="Q53" s="5">
        <f>IFERROR(P53/O53,0)</f>
        <v/>
      </c>
      <c r="R53" s="2">
        <f>TEXT(DATEVALUE(B53),"mmm")</f>
        <v/>
      </c>
      <c r="S53" s="2">
        <f>TEXT(DATEVALUE(B53),"yyyy-mm")</f>
        <v/>
      </c>
    </row>
    <row r="54">
      <c r="A54" s="2" t="inlineStr">
        <is>
          <t>O000949</t>
        </is>
      </c>
      <c r="B54" s="2" t="inlineStr">
        <is>
          <t>2025-01-04</t>
        </is>
      </c>
      <c r="C54" s="2" t="inlineStr">
        <is>
          <t>C0719</t>
        </is>
      </c>
      <c r="D54" s="2" t="inlineStr">
        <is>
          <t>P0014</t>
        </is>
      </c>
      <c r="E54" s="2" t="inlineStr">
        <is>
          <t>Coffee Maker</t>
        </is>
      </c>
      <c r="F54" s="2" t="inlineStr">
        <is>
          <t>Home &amp; Kitchen</t>
        </is>
      </c>
      <c r="G54" s="2" t="inlineStr">
        <is>
          <t>West</t>
        </is>
      </c>
      <c r="H54" s="2" t="inlineStr">
        <is>
          <t>Maharashtra</t>
        </is>
      </c>
      <c r="I54" s="2" t="inlineStr">
        <is>
          <t>Mumbai</t>
        </is>
      </c>
      <c r="J54" s="2" t="inlineStr">
        <is>
          <t>Store</t>
        </is>
      </c>
      <c r="K54" s="2" t="n">
        <v>5</v>
      </c>
      <c r="L54" s="3" t="n">
        <v>1072.32</v>
      </c>
      <c r="M54" s="4" t="n">
        <v>0.15</v>
      </c>
      <c r="N54" s="3" t="n">
        <v>3913.87</v>
      </c>
      <c r="O54" s="3">
        <f>K54*L54*(1-M54)</f>
        <v/>
      </c>
      <c r="P54" s="3">
        <f>O54-N54</f>
        <v/>
      </c>
      <c r="Q54" s="5">
        <f>IFERROR(P54/O54,0)</f>
        <v/>
      </c>
      <c r="R54" s="2">
        <f>TEXT(DATEVALUE(B54),"mmm")</f>
        <v/>
      </c>
      <c r="S54" s="2">
        <f>TEXT(DATEVALUE(B54),"yyyy-mm")</f>
        <v/>
      </c>
    </row>
    <row r="55">
      <c r="A55" s="2" t="inlineStr">
        <is>
          <t>O000497</t>
        </is>
      </c>
      <c r="B55" s="2" t="inlineStr">
        <is>
          <t>2025-01-04</t>
        </is>
      </c>
      <c r="C55" s="2" t="inlineStr">
        <is>
          <t>C0284</t>
        </is>
      </c>
      <c r="D55" s="2" t="inlineStr">
        <is>
          <t>P0004</t>
        </is>
      </c>
      <c r="E55" s="2" t="inlineStr">
        <is>
          <t>USB-C Hub</t>
        </is>
      </c>
      <c r="F55" s="2" t="inlineStr">
        <is>
          <t>Electronics</t>
        </is>
      </c>
      <c r="G55" s="2" t="inlineStr">
        <is>
          <t>East</t>
        </is>
      </c>
      <c r="H55" s="2" t="inlineStr">
        <is>
          <t>Bihar</t>
        </is>
      </c>
      <c r="I55" s="2" t="inlineStr">
        <is>
          <t>Gaya</t>
        </is>
      </c>
      <c r="J55" s="2" t="inlineStr">
        <is>
          <t>Online</t>
        </is>
      </c>
      <c r="K55" s="2" t="n">
        <v>4</v>
      </c>
      <c r="L55" s="3" t="n">
        <v>1310.03</v>
      </c>
      <c r="M55" s="4" t="n">
        <v>0.25</v>
      </c>
      <c r="N55" s="3" t="n">
        <v>3613.72</v>
      </c>
      <c r="O55" s="3">
        <f>K55*L55*(1-M55)</f>
        <v/>
      </c>
      <c r="P55" s="3">
        <f>O55-N55</f>
        <v/>
      </c>
      <c r="Q55" s="5">
        <f>IFERROR(P55/O55,0)</f>
        <v/>
      </c>
      <c r="R55" s="2">
        <f>TEXT(DATEVALUE(B55),"mmm")</f>
        <v/>
      </c>
      <c r="S55" s="2">
        <f>TEXT(DATEVALUE(B55),"yyyy-mm")</f>
        <v/>
      </c>
    </row>
    <row r="56">
      <c r="A56" s="2" t="inlineStr">
        <is>
          <t>O000326</t>
        </is>
      </c>
      <c r="B56" s="2" t="inlineStr">
        <is>
          <t>2025-01-04</t>
        </is>
      </c>
      <c r="C56" s="2" t="inlineStr">
        <is>
          <t>C0202</t>
        </is>
      </c>
      <c r="D56" s="2" t="inlineStr">
        <is>
          <t>P0017</t>
        </is>
      </c>
      <c r="E56" s="2" t="inlineStr">
        <is>
          <t>Jeans</t>
        </is>
      </c>
      <c r="F56" s="2" t="inlineStr">
        <is>
          <t>Fashion</t>
        </is>
      </c>
      <c r="G56" s="2" t="inlineStr">
        <is>
          <t>South</t>
        </is>
      </c>
      <c r="H56" s="2" t="inlineStr">
        <is>
          <t>Telangana</t>
        </is>
      </c>
      <c r="I56" s="2" t="inlineStr">
        <is>
          <t>Warangal</t>
        </is>
      </c>
      <c r="J56" s="2" t="inlineStr">
        <is>
          <t>Store</t>
        </is>
      </c>
      <c r="K56" s="2" t="n">
        <v>3</v>
      </c>
      <c r="L56" s="3" t="n">
        <v>1472.76</v>
      </c>
      <c r="M56" s="4" t="n">
        <v>0</v>
      </c>
      <c r="N56" s="3" t="n">
        <v>3020.09</v>
      </c>
      <c r="O56" s="3">
        <f>K56*L56*(1-M56)</f>
        <v/>
      </c>
      <c r="P56" s="3">
        <f>O56-N56</f>
        <v/>
      </c>
      <c r="Q56" s="5">
        <f>IFERROR(P56/O56,0)</f>
        <v/>
      </c>
      <c r="R56" s="2">
        <f>TEXT(DATEVALUE(B56),"mmm")</f>
        <v/>
      </c>
      <c r="S56" s="2">
        <f>TEXT(DATEVALUE(B56),"yyyy-mm")</f>
        <v/>
      </c>
    </row>
    <row r="57">
      <c r="A57" s="2" t="inlineStr">
        <is>
          <t>O001487</t>
        </is>
      </c>
      <c r="B57" s="2" t="inlineStr">
        <is>
          <t>2025-01-04</t>
        </is>
      </c>
      <c r="C57" s="2" t="inlineStr">
        <is>
          <t>C0404</t>
        </is>
      </c>
      <c r="D57" s="2" t="inlineStr">
        <is>
          <t>P0004</t>
        </is>
      </c>
      <c r="E57" s="2" t="inlineStr">
        <is>
          <t>USB-C Hub</t>
        </is>
      </c>
      <c r="F57" s="2" t="inlineStr">
        <is>
          <t>Electronics</t>
        </is>
      </c>
      <c r="G57" s="2" t="inlineStr">
        <is>
          <t>South</t>
        </is>
      </c>
      <c r="H57" s="2" t="inlineStr">
        <is>
          <t>Karnataka</t>
        </is>
      </c>
      <c r="I57" s="2" t="inlineStr">
        <is>
          <t>Bengaluru</t>
        </is>
      </c>
      <c r="J57" s="2" t="inlineStr">
        <is>
          <t>Online</t>
        </is>
      </c>
      <c r="K57" s="2" t="n">
        <v>2</v>
      </c>
      <c r="L57" s="3" t="n">
        <v>1302.75</v>
      </c>
      <c r="M57" s="4" t="n">
        <v>0.2</v>
      </c>
      <c r="N57" s="3" t="n">
        <v>1887.79</v>
      </c>
      <c r="O57" s="3">
        <f>K57*L57*(1-M57)</f>
        <v/>
      </c>
      <c r="P57" s="3">
        <f>O57-N57</f>
        <v/>
      </c>
      <c r="Q57" s="5">
        <f>IFERROR(P57/O57,0)</f>
        <v/>
      </c>
      <c r="R57" s="2">
        <f>TEXT(DATEVALUE(B57),"mmm")</f>
        <v/>
      </c>
      <c r="S57" s="2">
        <f>TEXT(DATEVALUE(B57),"yyyy-mm")</f>
        <v/>
      </c>
    </row>
    <row r="58">
      <c r="A58" s="2" t="inlineStr">
        <is>
          <t>O002331</t>
        </is>
      </c>
      <c r="B58" s="2" t="inlineStr">
        <is>
          <t>2025-01-05</t>
        </is>
      </c>
      <c r="C58" s="2" t="inlineStr">
        <is>
          <t>C0748</t>
        </is>
      </c>
      <c r="D58" s="2" t="inlineStr">
        <is>
          <t>P0003</t>
        </is>
      </c>
      <c r="E58" s="2" t="inlineStr">
        <is>
          <t>Smartwatch</t>
        </is>
      </c>
      <c r="F58" s="2" t="inlineStr">
        <is>
          <t>Electronics</t>
        </is>
      </c>
      <c r="G58" s="2" t="inlineStr">
        <is>
          <t>East</t>
        </is>
      </c>
      <c r="H58" s="2" t="inlineStr">
        <is>
          <t>West Bengal</t>
        </is>
      </c>
      <c r="I58" s="2" t="inlineStr">
        <is>
          <t>Durgapur</t>
        </is>
      </c>
      <c r="J58" s="2" t="inlineStr">
        <is>
          <t>Online</t>
        </is>
      </c>
      <c r="K58" s="2" t="n">
        <v>6</v>
      </c>
      <c r="L58" s="3" t="n">
        <v>2352.44</v>
      </c>
      <c r="M58" s="4" t="n">
        <v>0</v>
      </c>
      <c r="N58" s="3" t="n">
        <v>7103.58</v>
      </c>
      <c r="O58" s="3">
        <f>K58*L58*(1-M58)</f>
        <v/>
      </c>
      <c r="P58" s="3">
        <f>O58-N58</f>
        <v/>
      </c>
      <c r="Q58" s="5">
        <f>IFERROR(P58/O58,0)</f>
        <v/>
      </c>
      <c r="R58" s="2">
        <f>TEXT(DATEVALUE(B58),"mmm")</f>
        <v/>
      </c>
      <c r="S58" s="2">
        <f>TEXT(DATEVALUE(B58),"yyyy-mm")</f>
        <v/>
      </c>
    </row>
    <row r="59">
      <c r="A59" s="2" t="inlineStr">
        <is>
          <t>O004798</t>
        </is>
      </c>
      <c r="B59" s="2" t="inlineStr">
        <is>
          <t>2025-01-05</t>
        </is>
      </c>
      <c r="C59" s="2" t="inlineStr">
        <is>
          <t>C0035</t>
        </is>
      </c>
      <c r="D59" s="2" t="inlineStr">
        <is>
          <t>P0013</t>
        </is>
      </c>
      <c r="E59" s="2" t="inlineStr">
        <is>
          <t>Storage Organizer</t>
        </is>
      </c>
      <c r="F59" s="2" t="inlineStr">
        <is>
          <t>Home &amp; Kitchen</t>
        </is>
      </c>
      <c r="G59" s="2" t="inlineStr">
        <is>
          <t>South</t>
        </is>
      </c>
      <c r="H59" s="2" t="inlineStr">
        <is>
          <t>Tamil Nadu</t>
        </is>
      </c>
      <c r="I59" s="2" t="inlineStr">
        <is>
          <t>Chennai</t>
        </is>
      </c>
      <c r="J59" s="2" t="inlineStr">
        <is>
          <t>Online</t>
        </is>
      </c>
      <c r="K59" s="2" t="n">
        <v>3</v>
      </c>
      <c r="L59" s="3" t="n">
        <v>549.3</v>
      </c>
      <c r="M59" s="4" t="n">
        <v>0.1</v>
      </c>
      <c r="N59" s="3" t="n">
        <v>1073.24</v>
      </c>
      <c r="O59" s="3">
        <f>K59*L59*(1-M59)</f>
        <v/>
      </c>
      <c r="P59" s="3">
        <f>O59-N59</f>
        <v/>
      </c>
      <c r="Q59" s="5">
        <f>IFERROR(P59/O59,0)</f>
        <v/>
      </c>
      <c r="R59" s="2">
        <f>TEXT(DATEVALUE(B59),"mmm")</f>
        <v/>
      </c>
      <c r="S59" s="2">
        <f>TEXT(DATEVALUE(B59),"yyyy-mm")</f>
        <v/>
      </c>
    </row>
    <row r="60">
      <c r="A60" s="2" t="inlineStr">
        <is>
          <t>O004271</t>
        </is>
      </c>
      <c r="B60" s="2" t="inlineStr">
        <is>
          <t>2025-01-05</t>
        </is>
      </c>
      <c r="C60" s="2" t="inlineStr">
        <is>
          <t>C0778</t>
        </is>
      </c>
      <c r="D60" s="2" t="inlineStr">
        <is>
          <t>P0022</t>
        </is>
      </c>
      <c r="E60" s="2" t="inlineStr">
        <is>
          <t>Face Wash</t>
        </is>
      </c>
      <c r="F60" s="2" t="inlineStr">
        <is>
          <t>Beauty</t>
        </is>
      </c>
      <c r="G60" s="2" t="inlineStr">
        <is>
          <t>North</t>
        </is>
      </c>
      <c r="H60" s="2" t="inlineStr">
        <is>
          <t>Uttar Pradesh</t>
        </is>
      </c>
      <c r="I60" s="2" t="inlineStr">
        <is>
          <t>Kanpur</t>
        </is>
      </c>
      <c r="J60" s="2" t="inlineStr">
        <is>
          <t>Store</t>
        </is>
      </c>
      <c r="K60" s="2" t="n">
        <v>4</v>
      </c>
      <c r="L60" s="3" t="n">
        <v>532.3200000000001</v>
      </c>
      <c r="M60" s="4" t="n">
        <v>0.1</v>
      </c>
      <c r="N60" s="3" t="n">
        <v>1449.24</v>
      </c>
      <c r="O60" s="3">
        <f>K60*L60*(1-M60)</f>
        <v/>
      </c>
      <c r="P60" s="3">
        <f>O60-N60</f>
        <v/>
      </c>
      <c r="Q60" s="5">
        <f>IFERROR(P60/O60,0)</f>
        <v/>
      </c>
      <c r="R60" s="2">
        <f>TEXT(DATEVALUE(B60),"mmm")</f>
        <v/>
      </c>
      <c r="S60" s="2">
        <f>TEXT(DATEVALUE(B60),"yyyy-mm")</f>
        <v/>
      </c>
    </row>
    <row r="61">
      <c r="A61" s="2" t="inlineStr">
        <is>
          <t>O003908</t>
        </is>
      </c>
      <c r="B61" s="2" t="inlineStr">
        <is>
          <t>2025-01-05</t>
        </is>
      </c>
      <c r="C61" s="2" t="inlineStr">
        <is>
          <t>C0554</t>
        </is>
      </c>
      <c r="D61" s="2" t="inlineStr">
        <is>
          <t>P0015</t>
        </is>
      </c>
      <c r="E61" s="2" t="inlineStr">
        <is>
          <t>Running Shoes</t>
        </is>
      </c>
      <c r="F61" s="2" t="inlineStr">
        <is>
          <t>Fashion</t>
        </is>
      </c>
      <c r="G61" s="2" t="inlineStr">
        <is>
          <t>South</t>
        </is>
      </c>
      <c r="H61" s="2" t="inlineStr">
        <is>
          <t>Kerala</t>
        </is>
      </c>
      <c r="I61" s="2" t="inlineStr">
        <is>
          <t>Thiruvananthapuram</t>
        </is>
      </c>
      <c r="J61" s="2" t="inlineStr">
        <is>
          <t>Store</t>
        </is>
      </c>
      <c r="K61" s="2" t="n">
        <v>5</v>
      </c>
      <c r="L61" s="3" t="n">
        <v>591.86</v>
      </c>
      <c r="M61" s="4" t="n">
        <v>0.05</v>
      </c>
      <c r="N61" s="3" t="n">
        <v>1794.69</v>
      </c>
      <c r="O61" s="3">
        <f>K61*L61*(1-M61)</f>
        <v/>
      </c>
      <c r="P61" s="3">
        <f>O61-N61</f>
        <v/>
      </c>
      <c r="Q61" s="5">
        <f>IFERROR(P61/O61,0)</f>
        <v/>
      </c>
      <c r="R61" s="2">
        <f>TEXT(DATEVALUE(B61),"mmm")</f>
        <v/>
      </c>
      <c r="S61" s="2">
        <f>TEXT(DATEVALUE(B61),"yyyy-mm")</f>
        <v/>
      </c>
    </row>
    <row r="62">
      <c r="A62" s="2" t="inlineStr">
        <is>
          <t>O003495</t>
        </is>
      </c>
      <c r="B62" s="2" t="inlineStr">
        <is>
          <t>2025-01-05</t>
        </is>
      </c>
      <c r="C62" s="2" t="inlineStr">
        <is>
          <t>C0715</t>
        </is>
      </c>
      <c r="D62" s="2" t="inlineStr">
        <is>
          <t>P0032</t>
        </is>
      </c>
      <c r="E62" s="2" t="inlineStr">
        <is>
          <t>Football</t>
        </is>
      </c>
      <c r="F62" s="2" t="inlineStr">
        <is>
          <t>Sports</t>
        </is>
      </c>
      <c r="G62" s="2" t="inlineStr">
        <is>
          <t>South</t>
        </is>
      </c>
      <c r="H62" s="2" t="inlineStr">
        <is>
          <t>Tamil Nadu</t>
        </is>
      </c>
      <c r="I62" s="2" t="inlineStr">
        <is>
          <t>Coimbatore</t>
        </is>
      </c>
      <c r="J62" s="2" t="inlineStr">
        <is>
          <t>Store</t>
        </is>
      </c>
      <c r="K62" s="2" t="n">
        <v>3</v>
      </c>
      <c r="L62" s="3" t="n">
        <v>819.16</v>
      </c>
      <c r="M62" s="4" t="n">
        <v>0.05</v>
      </c>
      <c r="N62" s="3" t="n">
        <v>1641.71</v>
      </c>
      <c r="O62" s="3">
        <f>K62*L62*(1-M62)</f>
        <v/>
      </c>
      <c r="P62" s="3">
        <f>O62-N62</f>
        <v/>
      </c>
      <c r="Q62" s="5">
        <f>IFERROR(P62/O62,0)</f>
        <v/>
      </c>
      <c r="R62" s="2">
        <f>TEXT(DATEVALUE(B62),"mmm")</f>
        <v/>
      </c>
      <c r="S62" s="2">
        <f>TEXT(DATEVALUE(B62),"yyyy-mm")</f>
        <v/>
      </c>
    </row>
    <row r="63">
      <c r="A63" s="2" t="inlineStr">
        <is>
          <t>O003478</t>
        </is>
      </c>
      <c r="B63" s="2" t="inlineStr">
        <is>
          <t>2025-01-05</t>
        </is>
      </c>
      <c r="C63" s="2" t="inlineStr">
        <is>
          <t>C0007</t>
        </is>
      </c>
      <c r="D63" s="2" t="inlineStr">
        <is>
          <t>P0029</t>
        </is>
      </c>
      <c r="E63" s="2" t="inlineStr">
        <is>
          <t>Yoga Mat</t>
        </is>
      </c>
      <c r="F63" s="2" t="inlineStr">
        <is>
          <t>Sports</t>
        </is>
      </c>
      <c r="G63" s="2" t="inlineStr">
        <is>
          <t>East</t>
        </is>
      </c>
      <c r="H63" s="2" t="inlineStr">
        <is>
          <t>West Bengal</t>
        </is>
      </c>
      <c r="I63" s="2" t="inlineStr">
        <is>
          <t>Kolkata</t>
        </is>
      </c>
      <c r="J63" s="2" t="inlineStr">
        <is>
          <t>Online</t>
        </is>
      </c>
      <c r="K63" s="2" t="n">
        <v>2</v>
      </c>
      <c r="L63" s="3" t="n">
        <v>2349.85</v>
      </c>
      <c r="M63" s="4" t="n">
        <v>0.1</v>
      </c>
      <c r="N63" s="3" t="n">
        <v>2693.68</v>
      </c>
      <c r="O63" s="3">
        <f>K63*L63*(1-M63)</f>
        <v/>
      </c>
      <c r="P63" s="3">
        <f>O63-N63</f>
        <v/>
      </c>
      <c r="Q63" s="5">
        <f>IFERROR(P63/O63,0)</f>
        <v/>
      </c>
      <c r="R63" s="2">
        <f>TEXT(DATEVALUE(B63),"mmm")</f>
        <v/>
      </c>
      <c r="S63" s="2">
        <f>TEXT(DATEVALUE(B63),"yyyy-mm")</f>
        <v/>
      </c>
    </row>
    <row r="64">
      <c r="A64" s="2" t="inlineStr">
        <is>
          <t>O002910</t>
        </is>
      </c>
      <c r="B64" s="2" t="inlineStr">
        <is>
          <t>2025-01-05</t>
        </is>
      </c>
      <c r="C64" s="2" t="inlineStr">
        <is>
          <t>C0523</t>
        </is>
      </c>
      <c r="D64" s="2" t="inlineStr">
        <is>
          <t>P0022</t>
        </is>
      </c>
      <c r="E64" s="2" t="inlineStr">
        <is>
          <t>Face Wash</t>
        </is>
      </c>
      <c r="F64" s="2" t="inlineStr">
        <is>
          <t>Beauty</t>
        </is>
      </c>
      <c r="G64" s="2" t="inlineStr">
        <is>
          <t>North</t>
        </is>
      </c>
      <c r="H64" s="2" t="inlineStr">
        <is>
          <t>Delhi</t>
        </is>
      </c>
      <c r="I64" s="2" t="inlineStr">
        <is>
          <t>New Delhi</t>
        </is>
      </c>
      <c r="J64" s="2" t="inlineStr">
        <is>
          <t>Online</t>
        </is>
      </c>
      <c r="K64" s="2" t="n">
        <v>6</v>
      </c>
      <c r="L64" s="3" t="n">
        <v>544.7</v>
      </c>
      <c r="M64" s="4" t="n">
        <v>0.15</v>
      </c>
      <c r="N64" s="3" t="n">
        <v>2096.59</v>
      </c>
      <c r="O64" s="3">
        <f>K64*L64*(1-M64)</f>
        <v/>
      </c>
      <c r="P64" s="3">
        <f>O64-N64</f>
        <v/>
      </c>
      <c r="Q64" s="5">
        <f>IFERROR(P64/O64,0)</f>
        <v/>
      </c>
      <c r="R64" s="2">
        <f>TEXT(DATEVALUE(B64),"mmm")</f>
        <v/>
      </c>
      <c r="S64" s="2">
        <f>TEXT(DATEVALUE(B64),"yyyy-mm")</f>
        <v/>
      </c>
    </row>
    <row r="65">
      <c r="A65" s="2" t="inlineStr">
        <is>
          <t>O002432</t>
        </is>
      </c>
      <c r="B65" s="2" t="inlineStr">
        <is>
          <t>2025-01-05</t>
        </is>
      </c>
      <c r="C65" s="2" t="inlineStr">
        <is>
          <t>C0519</t>
        </is>
      </c>
      <c r="D65" s="2" t="inlineStr">
        <is>
          <t>P0017</t>
        </is>
      </c>
      <c r="E65" s="2" t="inlineStr">
        <is>
          <t>Jeans</t>
        </is>
      </c>
      <c r="F65" s="2" t="inlineStr">
        <is>
          <t>Fashion</t>
        </is>
      </c>
      <c r="G65" s="2" t="inlineStr">
        <is>
          <t>West</t>
        </is>
      </c>
      <c r="H65" s="2" t="inlineStr">
        <is>
          <t>Maharashtra</t>
        </is>
      </c>
      <c r="I65" s="2" t="inlineStr">
        <is>
          <t>Nagpur</t>
        </is>
      </c>
      <c r="J65" s="2" t="inlineStr">
        <is>
          <t>Store</t>
        </is>
      </c>
      <c r="K65" s="2" t="n">
        <v>5</v>
      </c>
      <c r="L65" s="3" t="n">
        <v>1429.94</v>
      </c>
      <c r="M65" s="4" t="n">
        <v>0.25</v>
      </c>
      <c r="N65" s="3" t="n">
        <v>5202.76</v>
      </c>
      <c r="O65" s="3">
        <f>K65*L65*(1-M65)</f>
        <v/>
      </c>
      <c r="P65" s="3">
        <f>O65-N65</f>
        <v/>
      </c>
      <c r="Q65" s="5">
        <f>IFERROR(P65/O65,0)</f>
        <v/>
      </c>
      <c r="R65" s="2">
        <f>TEXT(DATEVALUE(B65),"mmm")</f>
        <v/>
      </c>
      <c r="S65" s="2">
        <f>TEXT(DATEVALUE(B65),"yyyy-mm")</f>
        <v/>
      </c>
    </row>
    <row r="66">
      <c r="A66" s="2" t="inlineStr">
        <is>
          <t>O002282</t>
        </is>
      </c>
      <c r="B66" s="2" t="inlineStr">
        <is>
          <t>2025-01-05</t>
        </is>
      </c>
      <c r="C66" s="2" t="inlineStr">
        <is>
          <t>C0619</t>
        </is>
      </c>
      <c r="D66" s="2" t="inlineStr">
        <is>
          <t>P0022</t>
        </is>
      </c>
      <c r="E66" s="2" t="inlineStr">
        <is>
          <t>Face Wash</t>
        </is>
      </c>
      <c r="F66" s="2" t="inlineStr">
        <is>
          <t>Beauty</t>
        </is>
      </c>
      <c r="G66" s="2" t="inlineStr">
        <is>
          <t>North</t>
        </is>
      </c>
      <c r="H66" s="2" t="inlineStr">
        <is>
          <t>Delhi</t>
        </is>
      </c>
      <c r="I66" s="2" t="inlineStr">
        <is>
          <t>New Delhi</t>
        </is>
      </c>
      <c r="J66" s="2" t="inlineStr">
        <is>
          <t>Store</t>
        </is>
      </c>
      <c r="K66" s="2" t="n">
        <v>2</v>
      </c>
      <c r="L66" s="3" t="n">
        <v>556.96</v>
      </c>
      <c r="M66" s="4" t="n">
        <v>0.1</v>
      </c>
      <c r="N66" s="3" t="n">
        <v>719.05</v>
      </c>
      <c r="O66" s="3">
        <f>K66*L66*(1-M66)</f>
        <v/>
      </c>
      <c r="P66" s="3">
        <f>O66-N66</f>
        <v/>
      </c>
      <c r="Q66" s="5">
        <f>IFERROR(P66/O66,0)</f>
        <v/>
      </c>
      <c r="R66" s="2">
        <f>TEXT(DATEVALUE(B66),"mmm")</f>
        <v/>
      </c>
      <c r="S66" s="2">
        <f>TEXT(DATEVALUE(B66),"yyyy-mm")</f>
        <v/>
      </c>
    </row>
    <row r="67">
      <c r="A67" s="2" t="inlineStr">
        <is>
          <t>O000129</t>
        </is>
      </c>
      <c r="B67" s="2" t="inlineStr">
        <is>
          <t>2025-01-05</t>
        </is>
      </c>
      <c r="C67" s="2" t="inlineStr">
        <is>
          <t>C0556</t>
        </is>
      </c>
      <c r="D67" s="2" t="inlineStr">
        <is>
          <t>P0021</t>
        </is>
      </c>
      <c r="E67" s="2" t="inlineStr">
        <is>
          <t>Wallet</t>
        </is>
      </c>
      <c r="F67" s="2" t="inlineStr">
        <is>
          <t>Fashion</t>
        </is>
      </c>
      <c r="G67" s="2" t="inlineStr">
        <is>
          <t>East</t>
        </is>
      </c>
      <c r="H67" s="2" t="inlineStr">
        <is>
          <t>Bihar</t>
        </is>
      </c>
      <c r="I67" s="2" t="inlineStr">
        <is>
          <t>Gaya</t>
        </is>
      </c>
      <c r="J67" s="2" t="inlineStr">
        <is>
          <t>Store</t>
        </is>
      </c>
      <c r="K67" s="2" t="n">
        <v>2</v>
      </c>
      <c r="L67" s="3" t="n">
        <v>2093.26</v>
      </c>
      <c r="M67" s="4" t="n">
        <v>0.05</v>
      </c>
      <c r="N67" s="3" t="n">
        <v>2393.16</v>
      </c>
      <c r="O67" s="3">
        <f>K67*L67*(1-M67)</f>
        <v/>
      </c>
      <c r="P67" s="3">
        <f>O67-N67</f>
        <v/>
      </c>
      <c r="Q67" s="5">
        <f>IFERROR(P67/O67,0)</f>
        <v/>
      </c>
      <c r="R67" s="2">
        <f>TEXT(DATEVALUE(B67),"mmm")</f>
        <v/>
      </c>
      <c r="S67" s="2">
        <f>TEXT(DATEVALUE(B67),"yyyy-mm")</f>
        <v/>
      </c>
    </row>
    <row r="68">
      <c r="A68" s="2" t="inlineStr">
        <is>
          <t>O001562</t>
        </is>
      </c>
      <c r="B68" s="2" t="inlineStr">
        <is>
          <t>2025-01-05</t>
        </is>
      </c>
      <c r="C68" s="2" t="inlineStr">
        <is>
          <t>C0500</t>
        </is>
      </c>
      <c r="D68" s="2" t="inlineStr">
        <is>
          <t>P0014</t>
        </is>
      </c>
      <c r="E68" s="2" t="inlineStr">
        <is>
          <t>Coffee Maker</t>
        </is>
      </c>
      <c r="F68" s="2" t="inlineStr">
        <is>
          <t>Home &amp; Kitchen</t>
        </is>
      </c>
      <c r="G68" s="2" t="inlineStr">
        <is>
          <t>West</t>
        </is>
      </c>
      <c r="H68" s="2" t="inlineStr">
        <is>
          <t>Maharashtra</t>
        </is>
      </c>
      <c r="I68" s="2" t="inlineStr">
        <is>
          <t>Pune</t>
        </is>
      </c>
      <c r="J68" s="2" t="inlineStr">
        <is>
          <t>Store</t>
        </is>
      </c>
      <c r="K68" s="2" t="n">
        <v>1</v>
      </c>
      <c r="L68" s="3" t="n">
        <v>1058.77</v>
      </c>
      <c r="M68" s="4" t="n">
        <v>0.1</v>
      </c>
      <c r="N68" s="3" t="n">
        <v>777.92</v>
      </c>
      <c r="O68" s="3">
        <f>K68*L68*(1-M68)</f>
        <v/>
      </c>
      <c r="P68" s="3">
        <f>O68-N68</f>
        <v/>
      </c>
      <c r="Q68" s="5">
        <f>IFERROR(P68/O68,0)</f>
        <v/>
      </c>
      <c r="R68" s="2">
        <f>TEXT(DATEVALUE(B68),"mmm")</f>
        <v/>
      </c>
      <c r="S68" s="2">
        <f>TEXT(DATEVALUE(B68),"yyyy-mm")</f>
        <v/>
      </c>
    </row>
    <row r="69">
      <c r="A69" s="2" t="inlineStr">
        <is>
          <t>O001092</t>
        </is>
      </c>
      <c r="B69" s="2" t="inlineStr">
        <is>
          <t>2025-01-05</t>
        </is>
      </c>
      <c r="C69" s="2" t="inlineStr">
        <is>
          <t>C0088</t>
        </is>
      </c>
      <c r="D69" s="2" t="inlineStr">
        <is>
          <t>P0011</t>
        </is>
      </c>
      <c r="E69" s="2" t="inlineStr">
        <is>
          <t>Cookware Set</t>
        </is>
      </c>
      <c r="F69" s="2" t="inlineStr">
        <is>
          <t>Home &amp; Kitchen</t>
        </is>
      </c>
      <c r="G69" s="2" t="inlineStr">
        <is>
          <t>West</t>
        </is>
      </c>
      <c r="H69" s="2" t="inlineStr">
        <is>
          <t>Gujarat</t>
        </is>
      </c>
      <c r="I69" s="2" t="inlineStr">
        <is>
          <t>Surat</t>
        </is>
      </c>
      <c r="J69" s="2" t="inlineStr">
        <is>
          <t>Store</t>
        </is>
      </c>
      <c r="K69" s="2" t="n">
        <v>1</v>
      </c>
      <c r="L69" s="3" t="n">
        <v>732.71</v>
      </c>
      <c r="M69" s="4" t="n">
        <v>0.2</v>
      </c>
      <c r="N69" s="3" t="n">
        <v>457.56</v>
      </c>
      <c r="O69" s="3">
        <f>K69*L69*(1-M69)</f>
        <v/>
      </c>
      <c r="P69" s="3">
        <f>O69-N69</f>
        <v/>
      </c>
      <c r="Q69" s="5">
        <f>IFERROR(P69/O69,0)</f>
        <v/>
      </c>
      <c r="R69" s="2">
        <f>TEXT(DATEVALUE(B69),"mmm")</f>
        <v/>
      </c>
      <c r="S69" s="2">
        <f>TEXT(DATEVALUE(B69),"yyyy-mm")</f>
        <v/>
      </c>
    </row>
    <row r="70">
      <c r="A70" s="2" t="inlineStr">
        <is>
          <t>O001045</t>
        </is>
      </c>
      <c r="B70" s="2" t="inlineStr">
        <is>
          <t>2025-01-05</t>
        </is>
      </c>
      <c r="C70" s="2" t="inlineStr">
        <is>
          <t>C0745</t>
        </is>
      </c>
      <c r="D70" s="2" t="inlineStr">
        <is>
          <t>P0012</t>
        </is>
      </c>
      <c r="E70" s="2" t="inlineStr">
        <is>
          <t>Water Bottle</t>
        </is>
      </c>
      <c r="F70" s="2" t="inlineStr">
        <is>
          <t>Home &amp; Kitchen</t>
        </is>
      </c>
      <c r="G70" s="2" t="inlineStr">
        <is>
          <t>East</t>
        </is>
      </c>
      <c r="H70" s="2" t="inlineStr">
        <is>
          <t>Bihar</t>
        </is>
      </c>
      <c r="I70" s="2" t="inlineStr">
        <is>
          <t>Gaya</t>
        </is>
      </c>
      <c r="J70" s="2" t="inlineStr">
        <is>
          <t>Store</t>
        </is>
      </c>
      <c r="K70" s="2" t="n">
        <v>1</v>
      </c>
      <c r="L70" s="3" t="n">
        <v>959.79</v>
      </c>
      <c r="M70" s="4" t="n">
        <v>0.1</v>
      </c>
      <c r="N70" s="3" t="n">
        <v>643.7</v>
      </c>
      <c r="O70" s="3">
        <f>K70*L70*(1-M70)</f>
        <v/>
      </c>
      <c r="P70" s="3">
        <f>O70-N70</f>
        <v/>
      </c>
      <c r="Q70" s="5">
        <f>IFERROR(P70/O70,0)</f>
        <v/>
      </c>
      <c r="R70" s="2">
        <f>TEXT(DATEVALUE(B70),"mmm")</f>
        <v/>
      </c>
      <c r="S70" s="2">
        <f>TEXT(DATEVALUE(B70),"yyyy-mm")</f>
        <v/>
      </c>
    </row>
    <row r="71">
      <c r="A71" s="2" t="inlineStr">
        <is>
          <t>O000843</t>
        </is>
      </c>
      <c r="B71" s="2" t="inlineStr">
        <is>
          <t>2025-01-05</t>
        </is>
      </c>
      <c r="C71" s="2" t="inlineStr">
        <is>
          <t>C0315</t>
        </is>
      </c>
      <c r="D71" s="2" t="inlineStr">
        <is>
          <t>P0024</t>
        </is>
      </c>
      <c r="E71" s="2" t="inlineStr">
        <is>
          <t>Hair Dryer</t>
        </is>
      </c>
      <c r="F71" s="2" t="inlineStr">
        <is>
          <t>Beauty</t>
        </is>
      </c>
      <c r="G71" s="2" t="inlineStr">
        <is>
          <t>West</t>
        </is>
      </c>
      <c r="H71" s="2" t="inlineStr">
        <is>
          <t>Gujarat</t>
        </is>
      </c>
      <c r="I71" s="2" t="inlineStr">
        <is>
          <t>Surat</t>
        </is>
      </c>
      <c r="J71" s="2" t="inlineStr">
        <is>
          <t>Store</t>
        </is>
      </c>
      <c r="K71" s="2" t="n">
        <v>1</v>
      </c>
      <c r="L71" s="3" t="n">
        <v>1036.41</v>
      </c>
      <c r="M71" s="4" t="n">
        <v>0.05</v>
      </c>
      <c r="N71" s="3" t="n">
        <v>742.17</v>
      </c>
      <c r="O71" s="3">
        <f>K71*L71*(1-M71)</f>
        <v/>
      </c>
      <c r="P71" s="3">
        <f>O71-N71</f>
        <v/>
      </c>
      <c r="Q71" s="5">
        <f>IFERROR(P71/O71,0)</f>
        <v/>
      </c>
      <c r="R71" s="2">
        <f>TEXT(DATEVALUE(B71),"mmm")</f>
        <v/>
      </c>
      <c r="S71" s="2">
        <f>TEXT(DATEVALUE(B71),"yyyy-mm")</f>
        <v/>
      </c>
    </row>
    <row r="72">
      <c r="A72" s="2" t="inlineStr">
        <is>
          <t>O000721</t>
        </is>
      </c>
      <c r="B72" s="2" t="inlineStr">
        <is>
          <t>2025-01-05</t>
        </is>
      </c>
      <c r="C72" s="2" t="inlineStr">
        <is>
          <t>C0510</t>
        </is>
      </c>
      <c r="D72" s="2" t="inlineStr">
        <is>
          <t>P0004</t>
        </is>
      </c>
      <c r="E72" s="2" t="inlineStr">
        <is>
          <t>USB-C Hub</t>
        </is>
      </c>
      <c r="F72" s="2" t="inlineStr">
        <is>
          <t>Electronics</t>
        </is>
      </c>
      <c r="G72" s="2" t="inlineStr">
        <is>
          <t>North</t>
        </is>
      </c>
      <c r="H72" s="2" t="inlineStr">
        <is>
          <t>Uttar Pradesh</t>
        </is>
      </c>
      <c r="I72" s="2" t="inlineStr">
        <is>
          <t>Kanpur</t>
        </is>
      </c>
      <c r="J72" s="2" t="inlineStr">
        <is>
          <t>Store</t>
        </is>
      </c>
      <c r="K72" s="2" t="n">
        <v>3</v>
      </c>
      <c r="L72" s="3" t="n">
        <v>1214.41</v>
      </c>
      <c r="M72" s="4" t="n">
        <v>0.1</v>
      </c>
      <c r="N72" s="3" t="n">
        <v>2848.61</v>
      </c>
      <c r="O72" s="3">
        <f>K72*L72*(1-M72)</f>
        <v/>
      </c>
      <c r="P72" s="3">
        <f>O72-N72</f>
        <v/>
      </c>
      <c r="Q72" s="5">
        <f>IFERROR(P72/O72,0)</f>
        <v/>
      </c>
      <c r="R72" s="2">
        <f>TEXT(DATEVALUE(B72),"mmm")</f>
        <v/>
      </c>
      <c r="S72" s="2">
        <f>TEXT(DATEVALUE(B72),"yyyy-mm")</f>
        <v/>
      </c>
    </row>
    <row r="73">
      <c r="A73" s="2" t="inlineStr">
        <is>
          <t>O000614</t>
        </is>
      </c>
      <c r="B73" s="2" t="inlineStr">
        <is>
          <t>2025-01-05</t>
        </is>
      </c>
      <c r="C73" s="2" t="inlineStr">
        <is>
          <t>C0568</t>
        </is>
      </c>
      <c r="D73" s="2" t="inlineStr">
        <is>
          <t>P0012</t>
        </is>
      </c>
      <c r="E73" s="2" t="inlineStr">
        <is>
          <t>Water Bottle</t>
        </is>
      </c>
      <c r="F73" s="2" t="inlineStr">
        <is>
          <t>Home &amp; Kitchen</t>
        </is>
      </c>
      <c r="G73" s="2" t="inlineStr">
        <is>
          <t>West</t>
        </is>
      </c>
      <c r="H73" s="2" t="inlineStr">
        <is>
          <t>Gujarat</t>
        </is>
      </c>
      <c r="I73" s="2" t="inlineStr">
        <is>
          <t>Ahmedabad</t>
        </is>
      </c>
      <c r="J73" s="2" t="inlineStr">
        <is>
          <t>Store</t>
        </is>
      </c>
      <c r="K73" s="2" t="n">
        <v>4</v>
      </c>
      <c r="L73" s="3" t="n">
        <v>938.15</v>
      </c>
      <c r="M73" s="4" t="n">
        <v>0.1</v>
      </c>
      <c r="N73" s="3" t="n">
        <v>2518.08</v>
      </c>
      <c r="O73" s="3">
        <f>K73*L73*(1-M73)</f>
        <v/>
      </c>
      <c r="P73" s="3">
        <f>O73-N73</f>
        <v/>
      </c>
      <c r="Q73" s="5">
        <f>IFERROR(P73/O73,0)</f>
        <v/>
      </c>
      <c r="R73" s="2">
        <f>TEXT(DATEVALUE(B73),"mmm")</f>
        <v/>
      </c>
      <c r="S73" s="2">
        <f>TEXT(DATEVALUE(B73),"yyyy-mm")</f>
        <v/>
      </c>
    </row>
    <row r="74">
      <c r="A74" s="2" t="inlineStr">
        <is>
          <t>O000416</t>
        </is>
      </c>
      <c r="B74" s="2" t="inlineStr">
        <is>
          <t>2025-01-05</t>
        </is>
      </c>
      <c r="C74" s="2" t="inlineStr">
        <is>
          <t>C0418</t>
        </is>
      </c>
      <c r="D74" s="2" t="inlineStr">
        <is>
          <t>P0007</t>
        </is>
      </c>
      <c r="E74" s="2" t="inlineStr">
        <is>
          <t>Wireless Mouse</t>
        </is>
      </c>
      <c r="F74" s="2" t="inlineStr">
        <is>
          <t>Electronics</t>
        </is>
      </c>
      <c r="G74" s="2" t="inlineStr">
        <is>
          <t>East</t>
        </is>
      </c>
      <c r="H74" s="2" t="inlineStr">
        <is>
          <t>Odisha</t>
        </is>
      </c>
      <c r="I74" s="2" t="inlineStr">
        <is>
          <t>Bhubaneswar</t>
        </is>
      </c>
      <c r="J74" s="2" t="inlineStr">
        <is>
          <t>Store</t>
        </is>
      </c>
      <c r="K74" s="2" t="n">
        <v>2</v>
      </c>
      <c r="L74" s="3" t="n">
        <v>1012.17</v>
      </c>
      <c r="M74" s="4" t="n">
        <v>0.05</v>
      </c>
      <c r="N74" s="3" t="n">
        <v>1264.03</v>
      </c>
      <c r="O74" s="3">
        <f>K74*L74*(1-M74)</f>
        <v/>
      </c>
      <c r="P74" s="3">
        <f>O74-N74</f>
        <v/>
      </c>
      <c r="Q74" s="5">
        <f>IFERROR(P74/O74,0)</f>
        <v/>
      </c>
      <c r="R74" s="2">
        <f>TEXT(DATEVALUE(B74),"mmm")</f>
        <v/>
      </c>
      <c r="S74" s="2">
        <f>TEXT(DATEVALUE(B74),"yyyy-mm")</f>
        <v/>
      </c>
    </row>
    <row r="75">
      <c r="A75" s="2" t="inlineStr">
        <is>
          <t>O002052</t>
        </is>
      </c>
      <c r="B75" s="2" t="inlineStr">
        <is>
          <t>2025-01-05</t>
        </is>
      </c>
      <c r="C75" s="2" t="inlineStr">
        <is>
          <t>C0045</t>
        </is>
      </c>
      <c r="D75" s="2" t="inlineStr">
        <is>
          <t>P0013</t>
        </is>
      </c>
      <c r="E75" s="2" t="inlineStr">
        <is>
          <t>Storage Organizer</t>
        </is>
      </c>
      <c r="F75" s="2" t="inlineStr">
        <is>
          <t>Home &amp; Kitchen</t>
        </is>
      </c>
      <c r="G75" s="2" t="inlineStr">
        <is>
          <t>North</t>
        </is>
      </c>
      <c r="H75" s="2" t="inlineStr">
        <is>
          <t>Haryana</t>
        </is>
      </c>
      <c r="I75" s="2" t="inlineStr">
        <is>
          <t>Faridabad</t>
        </is>
      </c>
      <c r="J75" s="2" t="inlineStr">
        <is>
          <t>Online</t>
        </is>
      </c>
      <c r="K75" s="2" t="n">
        <v>6</v>
      </c>
      <c r="L75" s="3" t="n">
        <v>551.7</v>
      </c>
      <c r="M75" s="4" t="n">
        <v>0.05</v>
      </c>
      <c r="N75" s="3" t="n">
        <v>2098.84</v>
      </c>
      <c r="O75" s="3">
        <f>K75*L75*(1-M75)</f>
        <v/>
      </c>
      <c r="P75" s="3">
        <f>O75-N75</f>
        <v/>
      </c>
      <c r="Q75" s="5">
        <f>IFERROR(P75/O75,0)</f>
        <v/>
      </c>
      <c r="R75" s="2">
        <f>TEXT(DATEVALUE(B75),"mmm")</f>
        <v/>
      </c>
      <c r="S75" s="2">
        <f>TEXT(DATEVALUE(B75),"yyyy-mm")</f>
        <v/>
      </c>
    </row>
    <row r="76">
      <c r="A76" s="2" t="inlineStr">
        <is>
          <t>O004538</t>
        </is>
      </c>
      <c r="B76" s="2" t="inlineStr">
        <is>
          <t>2025-01-06</t>
        </is>
      </c>
      <c r="C76" s="2" t="inlineStr">
        <is>
          <t>C0311</t>
        </is>
      </c>
      <c r="D76" s="2" t="inlineStr">
        <is>
          <t>P0035</t>
        </is>
      </c>
      <c r="E76" s="2" t="inlineStr">
        <is>
          <t>Skipping Rope</t>
        </is>
      </c>
      <c r="F76" s="2" t="inlineStr">
        <is>
          <t>Sports</t>
        </is>
      </c>
      <c r="G76" s="2" t="inlineStr">
        <is>
          <t>West</t>
        </is>
      </c>
      <c r="H76" s="2" t="inlineStr">
        <is>
          <t>Goa</t>
        </is>
      </c>
      <c r="I76" s="2" t="inlineStr">
        <is>
          <t>Margao</t>
        </is>
      </c>
      <c r="J76" s="2" t="inlineStr">
        <is>
          <t>Online</t>
        </is>
      </c>
      <c r="K76" s="2" t="n">
        <v>1</v>
      </c>
      <c r="L76" s="3" t="n">
        <v>695.0599999999999</v>
      </c>
      <c r="M76" s="4" t="n">
        <v>0.1</v>
      </c>
      <c r="N76" s="3" t="n">
        <v>412.35</v>
      </c>
      <c r="O76" s="3">
        <f>K76*L76*(1-M76)</f>
        <v/>
      </c>
      <c r="P76" s="3">
        <f>O76-N76</f>
        <v/>
      </c>
      <c r="Q76" s="5">
        <f>IFERROR(P76/O76,0)</f>
        <v/>
      </c>
      <c r="R76" s="2">
        <f>TEXT(DATEVALUE(B76),"mmm")</f>
        <v/>
      </c>
      <c r="S76" s="2">
        <f>TEXT(DATEVALUE(B76),"yyyy-mm")</f>
        <v/>
      </c>
    </row>
    <row r="77">
      <c r="A77" s="2" t="inlineStr">
        <is>
          <t>O004664</t>
        </is>
      </c>
      <c r="B77" s="2" t="inlineStr">
        <is>
          <t>2025-01-06</t>
        </is>
      </c>
      <c r="C77" s="2" t="inlineStr">
        <is>
          <t>C0640</t>
        </is>
      </c>
      <c r="D77" s="2" t="inlineStr">
        <is>
          <t>P0016</t>
        </is>
      </c>
      <c r="E77" s="2" t="inlineStr">
        <is>
          <t>Casual Shirt</t>
        </is>
      </c>
      <c r="F77" s="2" t="inlineStr">
        <is>
          <t>Fashion</t>
        </is>
      </c>
      <c r="G77" s="2" t="inlineStr">
        <is>
          <t>North</t>
        </is>
      </c>
      <c r="H77" s="2" t="inlineStr">
        <is>
          <t>Uttar Pradesh</t>
        </is>
      </c>
      <c r="I77" s="2" t="inlineStr">
        <is>
          <t>Lucknow</t>
        </is>
      </c>
      <c r="J77" s="2" t="inlineStr">
        <is>
          <t>Online</t>
        </is>
      </c>
      <c r="K77" s="2" t="n">
        <v>2</v>
      </c>
      <c r="L77" s="3" t="n">
        <v>1267.36</v>
      </c>
      <c r="M77" s="4" t="n">
        <v>0</v>
      </c>
      <c r="N77" s="3" t="n">
        <v>1827.82</v>
      </c>
      <c r="O77" s="3">
        <f>K77*L77*(1-M77)</f>
        <v/>
      </c>
      <c r="P77" s="3">
        <f>O77-N77</f>
        <v/>
      </c>
      <c r="Q77" s="5">
        <f>IFERROR(P77/O77,0)</f>
        <v/>
      </c>
      <c r="R77" s="2">
        <f>TEXT(DATEVALUE(B77),"mmm")</f>
        <v/>
      </c>
      <c r="S77" s="2">
        <f>TEXT(DATEVALUE(B77),"yyyy-mm")</f>
        <v/>
      </c>
    </row>
    <row r="78">
      <c r="A78" s="2" t="inlineStr">
        <is>
          <t>O003932</t>
        </is>
      </c>
      <c r="B78" s="2" t="inlineStr">
        <is>
          <t>2025-01-06</t>
        </is>
      </c>
      <c r="C78" s="2" t="inlineStr">
        <is>
          <t>C0189</t>
        </is>
      </c>
      <c r="D78" s="2" t="inlineStr">
        <is>
          <t>P0022</t>
        </is>
      </c>
      <c r="E78" s="2" t="inlineStr">
        <is>
          <t>Face Wash</t>
        </is>
      </c>
      <c r="F78" s="2" t="inlineStr">
        <is>
          <t>Beauty</t>
        </is>
      </c>
      <c r="G78" s="2" t="inlineStr">
        <is>
          <t>North</t>
        </is>
      </c>
      <c r="H78" s="2" t="inlineStr">
        <is>
          <t>Uttar Pradesh</t>
        </is>
      </c>
      <c r="I78" s="2" t="inlineStr">
        <is>
          <t>Noida</t>
        </is>
      </c>
      <c r="J78" s="2" t="inlineStr">
        <is>
          <t>Online</t>
        </is>
      </c>
      <c r="K78" s="2" t="n">
        <v>2</v>
      </c>
      <c r="L78" s="3" t="n">
        <v>531.05</v>
      </c>
      <c r="M78" s="4" t="n">
        <v>0.15</v>
      </c>
      <c r="N78" s="3" t="n">
        <v>686.88</v>
      </c>
      <c r="O78" s="3">
        <f>K78*L78*(1-M78)</f>
        <v/>
      </c>
      <c r="P78" s="3">
        <f>O78-N78</f>
        <v/>
      </c>
      <c r="Q78" s="5">
        <f>IFERROR(P78/O78,0)</f>
        <v/>
      </c>
      <c r="R78" s="2">
        <f>TEXT(DATEVALUE(B78),"mmm")</f>
        <v/>
      </c>
      <c r="S78" s="2">
        <f>TEXT(DATEVALUE(B78),"yyyy-mm")</f>
        <v/>
      </c>
    </row>
    <row r="79">
      <c r="A79" s="2" t="inlineStr">
        <is>
          <t>O004309</t>
        </is>
      </c>
      <c r="B79" s="2" t="inlineStr">
        <is>
          <t>2025-01-06</t>
        </is>
      </c>
      <c r="C79" s="2" t="inlineStr">
        <is>
          <t>C0374</t>
        </is>
      </c>
      <c r="D79" s="2" t="inlineStr">
        <is>
          <t>P0030</t>
        </is>
      </c>
      <c r="E79" s="2" t="inlineStr">
        <is>
          <t>Dumbbells</t>
        </is>
      </c>
      <c r="F79" s="2" t="inlineStr">
        <is>
          <t>Sports</t>
        </is>
      </c>
      <c r="G79" s="2" t="inlineStr">
        <is>
          <t>North</t>
        </is>
      </c>
      <c r="H79" s="2" t="inlineStr">
        <is>
          <t>Punjab</t>
        </is>
      </c>
      <c r="I79" s="2" t="inlineStr">
        <is>
          <t>Amritsar</t>
        </is>
      </c>
      <c r="J79" s="2" t="inlineStr">
        <is>
          <t>Online</t>
        </is>
      </c>
      <c r="K79" s="2" t="n">
        <v>1</v>
      </c>
      <c r="L79" s="3" t="n">
        <v>1617.79</v>
      </c>
      <c r="M79" s="4" t="n">
        <v>0</v>
      </c>
      <c r="N79" s="3" t="n">
        <v>1007.73</v>
      </c>
      <c r="O79" s="3">
        <f>K79*L79*(1-M79)</f>
        <v/>
      </c>
      <c r="P79" s="3">
        <f>O79-N79</f>
        <v/>
      </c>
      <c r="Q79" s="5">
        <f>IFERROR(P79/O79,0)</f>
        <v/>
      </c>
      <c r="R79" s="2">
        <f>TEXT(DATEVALUE(B79),"mmm")</f>
        <v/>
      </c>
      <c r="S79" s="2">
        <f>TEXT(DATEVALUE(B79),"yyyy-mm")</f>
        <v/>
      </c>
    </row>
    <row r="80">
      <c r="A80" s="2" t="inlineStr">
        <is>
          <t>O000935</t>
        </is>
      </c>
      <c r="B80" s="2" t="inlineStr">
        <is>
          <t>2025-01-06</t>
        </is>
      </c>
      <c r="C80" s="2" t="inlineStr">
        <is>
          <t>C0705</t>
        </is>
      </c>
      <c r="D80" s="2" t="inlineStr">
        <is>
          <t>P0031</t>
        </is>
      </c>
      <c r="E80" s="2" t="inlineStr">
        <is>
          <t>Cricket Bat</t>
        </is>
      </c>
      <c r="F80" s="2" t="inlineStr">
        <is>
          <t>Sports</t>
        </is>
      </c>
      <c r="G80" s="2" t="inlineStr">
        <is>
          <t>West</t>
        </is>
      </c>
      <c r="H80" s="2" t="inlineStr">
        <is>
          <t>Goa</t>
        </is>
      </c>
      <c r="I80" s="2" t="inlineStr">
        <is>
          <t>Panaji</t>
        </is>
      </c>
      <c r="J80" s="2" t="inlineStr">
        <is>
          <t>Store</t>
        </is>
      </c>
      <c r="K80" s="2" t="n">
        <v>1</v>
      </c>
      <c r="L80" s="3" t="n">
        <v>1439.9</v>
      </c>
      <c r="M80" s="4" t="n">
        <v>0.05</v>
      </c>
      <c r="N80" s="3" t="n">
        <v>939.47</v>
      </c>
      <c r="O80" s="3">
        <f>K80*L80*(1-M80)</f>
        <v/>
      </c>
      <c r="P80" s="3">
        <f>O80-N80</f>
        <v/>
      </c>
      <c r="Q80" s="5">
        <f>IFERROR(P80/O80,0)</f>
        <v/>
      </c>
      <c r="R80" s="2">
        <f>TEXT(DATEVALUE(B80),"mmm")</f>
        <v/>
      </c>
      <c r="S80" s="2">
        <f>TEXT(DATEVALUE(B80),"yyyy-mm")</f>
        <v/>
      </c>
    </row>
    <row r="81">
      <c r="A81" s="2" t="inlineStr">
        <is>
          <t>O000965</t>
        </is>
      </c>
      <c r="B81" s="2" t="inlineStr">
        <is>
          <t>2025-01-06</t>
        </is>
      </c>
      <c r="C81" s="2" t="inlineStr">
        <is>
          <t>C0221</t>
        </is>
      </c>
      <c r="D81" s="2" t="inlineStr">
        <is>
          <t>P0011</t>
        </is>
      </c>
      <c r="E81" s="2" t="inlineStr">
        <is>
          <t>Cookware Set</t>
        </is>
      </c>
      <c r="F81" s="2" t="inlineStr">
        <is>
          <t>Home &amp; Kitchen</t>
        </is>
      </c>
      <c r="G81" s="2" t="inlineStr">
        <is>
          <t>South</t>
        </is>
      </c>
      <c r="H81" s="2" t="inlineStr">
        <is>
          <t>Telangana</t>
        </is>
      </c>
      <c r="I81" s="2" t="inlineStr">
        <is>
          <t>Hyderabad</t>
        </is>
      </c>
      <c r="J81" s="2" t="inlineStr">
        <is>
          <t>Store</t>
        </is>
      </c>
      <c r="K81" s="2" t="n">
        <v>1</v>
      </c>
      <c r="L81" s="3" t="n">
        <v>713.9400000000001</v>
      </c>
      <c r="M81" s="4" t="n">
        <v>0.1</v>
      </c>
      <c r="N81" s="3" t="n">
        <v>472.83</v>
      </c>
      <c r="O81" s="3">
        <f>K81*L81*(1-M81)</f>
        <v/>
      </c>
      <c r="P81" s="3">
        <f>O81-N81</f>
        <v/>
      </c>
      <c r="Q81" s="5">
        <f>IFERROR(P81/O81,0)</f>
        <v/>
      </c>
      <c r="R81" s="2">
        <f>TEXT(DATEVALUE(B81),"mmm")</f>
        <v/>
      </c>
      <c r="S81" s="2">
        <f>TEXT(DATEVALUE(B81),"yyyy-mm")</f>
        <v/>
      </c>
    </row>
    <row r="82">
      <c r="A82" s="2" t="inlineStr">
        <is>
          <t>O000742</t>
        </is>
      </c>
      <c r="B82" s="2" t="inlineStr">
        <is>
          <t>2025-01-06</t>
        </is>
      </c>
      <c r="C82" s="2" t="inlineStr">
        <is>
          <t>C0568</t>
        </is>
      </c>
      <c r="D82" s="2" t="inlineStr">
        <is>
          <t>P0003</t>
        </is>
      </c>
      <c r="E82" s="2" t="inlineStr">
        <is>
          <t>Smartwatch</t>
        </is>
      </c>
      <c r="F82" s="2" t="inlineStr">
        <is>
          <t>Electronics</t>
        </is>
      </c>
      <c r="G82" s="2" t="inlineStr">
        <is>
          <t>West</t>
        </is>
      </c>
      <c r="H82" s="2" t="inlineStr">
        <is>
          <t>Gujarat</t>
        </is>
      </c>
      <c r="I82" s="2" t="inlineStr">
        <is>
          <t>Ahmedabad</t>
        </is>
      </c>
      <c r="J82" s="2" t="inlineStr">
        <is>
          <t>Online</t>
        </is>
      </c>
      <c r="K82" s="2" t="n">
        <v>3</v>
      </c>
      <c r="L82" s="3" t="n">
        <v>2315.09</v>
      </c>
      <c r="M82" s="4" t="n">
        <v>0.2</v>
      </c>
      <c r="N82" s="3" t="n">
        <v>3527.74</v>
      </c>
      <c r="O82" s="3">
        <f>K82*L82*(1-M82)</f>
        <v/>
      </c>
      <c r="P82" s="3">
        <f>O82-N82</f>
        <v/>
      </c>
      <c r="Q82" s="5">
        <f>IFERROR(P82/O82,0)</f>
        <v/>
      </c>
      <c r="R82" s="2">
        <f>TEXT(DATEVALUE(B82),"mmm")</f>
        <v/>
      </c>
      <c r="S82" s="2">
        <f>TEXT(DATEVALUE(B82),"yyyy-mm")</f>
        <v/>
      </c>
    </row>
    <row r="83">
      <c r="A83" s="2" t="inlineStr">
        <is>
          <t>O000335</t>
        </is>
      </c>
      <c r="B83" s="2" t="inlineStr">
        <is>
          <t>2025-01-06</t>
        </is>
      </c>
      <c r="C83" s="2" t="inlineStr">
        <is>
          <t>C0700</t>
        </is>
      </c>
      <c r="D83" s="2" t="inlineStr">
        <is>
          <t>P0027</t>
        </is>
      </c>
      <c r="E83" s="2" t="inlineStr">
        <is>
          <t>Moisturizer</t>
        </is>
      </c>
      <c r="F83" s="2" t="inlineStr">
        <is>
          <t>Beauty</t>
        </is>
      </c>
      <c r="G83" s="2" t="inlineStr">
        <is>
          <t>South</t>
        </is>
      </c>
      <c r="H83" s="2" t="inlineStr">
        <is>
          <t>Telangana</t>
        </is>
      </c>
      <c r="I83" s="2" t="inlineStr">
        <is>
          <t>Hyderabad</t>
        </is>
      </c>
      <c r="J83" s="2" t="inlineStr">
        <is>
          <t>Online</t>
        </is>
      </c>
      <c r="K83" s="2" t="n">
        <v>1</v>
      </c>
      <c r="L83" s="3" t="n">
        <v>926.26</v>
      </c>
      <c r="M83" s="4" t="n">
        <v>0</v>
      </c>
      <c r="N83" s="3" t="n">
        <v>667.37</v>
      </c>
      <c r="O83" s="3">
        <f>K83*L83*(1-M83)</f>
        <v/>
      </c>
      <c r="P83" s="3">
        <f>O83-N83</f>
        <v/>
      </c>
      <c r="Q83" s="5">
        <f>IFERROR(P83/O83,0)</f>
        <v/>
      </c>
      <c r="R83" s="2">
        <f>TEXT(DATEVALUE(B83),"mmm")</f>
        <v/>
      </c>
      <c r="S83" s="2">
        <f>TEXT(DATEVALUE(B83),"yyyy-mm")</f>
        <v/>
      </c>
    </row>
    <row r="84">
      <c r="A84" s="2" t="inlineStr">
        <is>
          <t>O004946</t>
        </is>
      </c>
      <c r="B84" s="2" t="inlineStr">
        <is>
          <t>2025-01-07</t>
        </is>
      </c>
      <c r="C84" s="2" t="inlineStr">
        <is>
          <t>C0255</t>
        </is>
      </c>
      <c r="D84" s="2" t="inlineStr">
        <is>
          <t>P0001</t>
        </is>
      </c>
      <c r="E84" s="2" t="inlineStr">
        <is>
          <t>Wireless Headphones</t>
        </is>
      </c>
      <c r="F84" s="2" t="inlineStr">
        <is>
          <t>Electronics</t>
        </is>
      </c>
      <c r="G84" s="2" t="inlineStr">
        <is>
          <t>North</t>
        </is>
      </c>
      <c r="H84" s="2" t="inlineStr">
        <is>
          <t>Haryana</t>
        </is>
      </c>
      <c r="I84" s="2" t="inlineStr">
        <is>
          <t>Gurugram</t>
        </is>
      </c>
      <c r="J84" s="2" t="inlineStr">
        <is>
          <t>Online</t>
        </is>
      </c>
      <c r="K84" s="2" t="n">
        <v>1</v>
      </c>
      <c r="L84" s="3" t="n">
        <v>1287.89</v>
      </c>
      <c r="M84" s="4" t="n">
        <v>0.05</v>
      </c>
      <c r="N84" s="3" t="n">
        <v>679.47</v>
      </c>
      <c r="O84" s="3">
        <f>K84*L84*(1-M84)</f>
        <v/>
      </c>
      <c r="P84" s="3">
        <f>O84-N84</f>
        <v/>
      </c>
      <c r="Q84" s="5">
        <f>IFERROR(P84/O84,0)</f>
        <v/>
      </c>
      <c r="R84" s="2">
        <f>TEXT(DATEVALUE(B84),"mmm")</f>
        <v/>
      </c>
      <c r="S84" s="2">
        <f>TEXT(DATEVALUE(B84),"yyyy-mm")</f>
        <v/>
      </c>
    </row>
    <row r="85">
      <c r="A85" s="2" t="inlineStr">
        <is>
          <t>O004617</t>
        </is>
      </c>
      <c r="B85" s="2" t="inlineStr">
        <is>
          <t>2025-01-07</t>
        </is>
      </c>
      <c r="C85" s="2" t="inlineStr">
        <is>
          <t>C0425</t>
        </is>
      </c>
      <c r="D85" s="2" t="inlineStr">
        <is>
          <t>P0024</t>
        </is>
      </c>
      <c r="E85" s="2" t="inlineStr">
        <is>
          <t>Hair Dryer</t>
        </is>
      </c>
      <c r="F85" s="2" t="inlineStr">
        <is>
          <t>Beauty</t>
        </is>
      </c>
      <c r="G85" s="2" t="inlineStr">
        <is>
          <t>South</t>
        </is>
      </c>
      <c r="H85" s="2" t="inlineStr">
        <is>
          <t>Telangana</t>
        </is>
      </c>
      <c r="I85" s="2" t="inlineStr">
        <is>
          <t>Warangal</t>
        </is>
      </c>
      <c r="J85" s="2" t="inlineStr">
        <is>
          <t>Online</t>
        </is>
      </c>
      <c r="K85" s="2" t="n">
        <v>2</v>
      </c>
      <c r="L85" s="3" t="n">
        <v>1003.98</v>
      </c>
      <c r="M85" s="4" t="n">
        <v>0.05</v>
      </c>
      <c r="N85" s="3" t="n">
        <v>1466.61</v>
      </c>
      <c r="O85" s="3">
        <f>K85*L85*(1-M85)</f>
        <v/>
      </c>
      <c r="P85" s="3">
        <f>O85-N85</f>
        <v/>
      </c>
      <c r="Q85" s="5">
        <f>IFERROR(P85/O85,0)</f>
        <v/>
      </c>
      <c r="R85" s="2">
        <f>TEXT(DATEVALUE(B85),"mmm")</f>
        <v/>
      </c>
      <c r="S85" s="2">
        <f>TEXT(DATEVALUE(B85),"yyyy-mm")</f>
        <v/>
      </c>
    </row>
    <row r="86">
      <c r="A86" s="2" t="inlineStr">
        <is>
          <t>O004373</t>
        </is>
      </c>
      <c r="B86" s="2" t="inlineStr">
        <is>
          <t>2025-01-07</t>
        </is>
      </c>
      <c r="C86" s="2" t="inlineStr">
        <is>
          <t>C0778</t>
        </is>
      </c>
      <c r="D86" s="2" t="inlineStr">
        <is>
          <t>P0014</t>
        </is>
      </c>
      <c r="E86" s="2" t="inlineStr">
        <is>
          <t>Coffee Maker</t>
        </is>
      </c>
      <c r="F86" s="2" t="inlineStr">
        <is>
          <t>Home &amp; Kitchen</t>
        </is>
      </c>
      <c r="G86" s="2" t="inlineStr">
        <is>
          <t>North</t>
        </is>
      </c>
      <c r="H86" s="2" t="inlineStr">
        <is>
          <t>Punjab</t>
        </is>
      </c>
      <c r="I86" s="2" t="inlineStr">
        <is>
          <t>Jalandhar</t>
        </is>
      </c>
      <c r="J86" s="2" t="inlineStr">
        <is>
          <t>Online</t>
        </is>
      </c>
      <c r="K86" s="2" t="n">
        <v>2</v>
      </c>
      <c r="L86" s="3" t="n">
        <v>1047</v>
      </c>
      <c r="M86" s="4" t="n">
        <v>0.1</v>
      </c>
      <c r="N86" s="3" t="n">
        <v>1487.67</v>
      </c>
      <c r="O86" s="3">
        <f>K86*L86*(1-M86)</f>
        <v/>
      </c>
      <c r="P86" s="3">
        <f>O86-N86</f>
        <v/>
      </c>
      <c r="Q86" s="5">
        <f>IFERROR(P86/O86,0)</f>
        <v/>
      </c>
      <c r="R86" s="2">
        <f>TEXT(DATEVALUE(B86),"mmm")</f>
        <v/>
      </c>
      <c r="S86" s="2">
        <f>TEXT(DATEVALUE(B86),"yyyy-mm")</f>
        <v/>
      </c>
    </row>
    <row r="87">
      <c r="A87" s="2" t="inlineStr">
        <is>
          <t>O004254</t>
        </is>
      </c>
      <c r="B87" s="2" t="inlineStr">
        <is>
          <t>2025-01-07</t>
        </is>
      </c>
      <c r="C87" s="2" t="inlineStr">
        <is>
          <t>C0577</t>
        </is>
      </c>
      <c r="D87" s="2" t="inlineStr">
        <is>
          <t>P0029</t>
        </is>
      </c>
      <c r="E87" s="2" t="inlineStr">
        <is>
          <t>Yoga Mat</t>
        </is>
      </c>
      <c r="F87" s="2" t="inlineStr">
        <is>
          <t>Sports</t>
        </is>
      </c>
      <c r="G87" s="2" t="inlineStr">
        <is>
          <t>West</t>
        </is>
      </c>
      <c r="H87" s="2" t="inlineStr">
        <is>
          <t>Maharashtra</t>
        </is>
      </c>
      <c r="I87" s="2" t="inlineStr">
        <is>
          <t>Mumbai</t>
        </is>
      </c>
      <c r="J87" s="2" t="inlineStr">
        <is>
          <t>Online</t>
        </is>
      </c>
      <c r="K87" s="2" t="n">
        <v>3</v>
      </c>
      <c r="L87" s="3" t="n">
        <v>2417.88</v>
      </c>
      <c r="M87" s="4" t="n">
        <v>0</v>
      </c>
      <c r="N87" s="3" t="n">
        <v>3851.17</v>
      </c>
      <c r="O87" s="3">
        <f>K87*L87*(1-M87)</f>
        <v/>
      </c>
      <c r="P87" s="3">
        <f>O87-N87</f>
        <v/>
      </c>
      <c r="Q87" s="5">
        <f>IFERROR(P87/O87,0)</f>
        <v/>
      </c>
      <c r="R87" s="2">
        <f>TEXT(DATEVALUE(B87),"mmm")</f>
        <v/>
      </c>
      <c r="S87" s="2">
        <f>TEXT(DATEVALUE(B87),"yyyy-mm")</f>
        <v/>
      </c>
    </row>
    <row r="88">
      <c r="A88" s="2" t="inlineStr">
        <is>
          <t>O003837</t>
        </is>
      </c>
      <c r="B88" s="2" t="inlineStr">
        <is>
          <t>2025-01-07</t>
        </is>
      </c>
      <c r="C88" s="2" t="inlineStr">
        <is>
          <t>C0581</t>
        </is>
      </c>
      <c r="D88" s="2" t="inlineStr">
        <is>
          <t>P0014</t>
        </is>
      </c>
      <c r="E88" s="2" t="inlineStr">
        <is>
          <t>Coffee Maker</t>
        </is>
      </c>
      <c r="F88" s="2" t="inlineStr">
        <is>
          <t>Home &amp; Kitchen</t>
        </is>
      </c>
      <c r="G88" s="2" t="inlineStr">
        <is>
          <t>West</t>
        </is>
      </c>
      <c r="H88" s="2" t="inlineStr">
        <is>
          <t>Gujarat</t>
        </is>
      </c>
      <c r="I88" s="2" t="inlineStr">
        <is>
          <t>Ahmedabad</t>
        </is>
      </c>
      <c r="J88" s="2" t="inlineStr">
        <is>
          <t>Store</t>
        </is>
      </c>
      <c r="K88" s="2" t="n">
        <v>2</v>
      </c>
      <c r="L88" s="3" t="n">
        <v>1027.5</v>
      </c>
      <c r="M88" s="4" t="n">
        <v>0.05</v>
      </c>
      <c r="N88" s="3" t="n">
        <v>1567.21</v>
      </c>
      <c r="O88" s="3">
        <f>K88*L88*(1-M88)</f>
        <v/>
      </c>
      <c r="P88" s="3">
        <f>O88-N88</f>
        <v/>
      </c>
      <c r="Q88" s="5">
        <f>IFERROR(P88/O88,0)</f>
        <v/>
      </c>
      <c r="R88" s="2">
        <f>TEXT(DATEVALUE(B88),"mmm")</f>
        <v/>
      </c>
      <c r="S88" s="2">
        <f>TEXT(DATEVALUE(B88),"yyyy-mm")</f>
        <v/>
      </c>
    </row>
    <row r="89">
      <c r="A89" s="2" t="inlineStr">
        <is>
          <t>O002863</t>
        </is>
      </c>
      <c r="B89" s="2" t="inlineStr">
        <is>
          <t>2025-01-07</t>
        </is>
      </c>
      <c r="C89" s="2" t="inlineStr">
        <is>
          <t>C0469</t>
        </is>
      </c>
      <c r="D89" s="2" t="inlineStr">
        <is>
          <t>P0028</t>
        </is>
      </c>
      <c r="E89" s="2" t="inlineStr">
        <is>
          <t>Trimmer</t>
        </is>
      </c>
      <c r="F89" s="2" t="inlineStr">
        <is>
          <t>Beauty</t>
        </is>
      </c>
      <c r="G89" s="2" t="inlineStr">
        <is>
          <t>West</t>
        </is>
      </c>
      <c r="H89" s="2" t="inlineStr">
        <is>
          <t>Gujarat</t>
        </is>
      </c>
      <c r="I89" s="2" t="inlineStr">
        <is>
          <t>Surat</t>
        </is>
      </c>
      <c r="J89" s="2" t="inlineStr">
        <is>
          <t>Online</t>
        </is>
      </c>
      <c r="K89" s="2" t="n">
        <v>2</v>
      </c>
      <c r="L89" s="3" t="n">
        <v>453.28</v>
      </c>
      <c r="M89" s="4" t="n">
        <v>0.05</v>
      </c>
      <c r="N89" s="3" t="n">
        <v>497.35</v>
      </c>
      <c r="O89" s="3">
        <f>K89*L89*(1-M89)</f>
        <v/>
      </c>
      <c r="P89" s="3">
        <f>O89-N89</f>
        <v/>
      </c>
      <c r="Q89" s="5">
        <f>IFERROR(P89/O89,0)</f>
        <v/>
      </c>
      <c r="R89" s="2">
        <f>TEXT(DATEVALUE(B89),"mmm")</f>
        <v/>
      </c>
      <c r="S89" s="2">
        <f>TEXT(DATEVALUE(B89),"yyyy-mm")</f>
        <v/>
      </c>
    </row>
    <row r="90">
      <c r="A90" s="2" t="inlineStr">
        <is>
          <t>O002468</t>
        </is>
      </c>
      <c r="B90" s="2" t="inlineStr">
        <is>
          <t>2025-01-07</t>
        </is>
      </c>
      <c r="C90" s="2" t="inlineStr">
        <is>
          <t>C0213</t>
        </is>
      </c>
      <c r="D90" s="2" t="inlineStr">
        <is>
          <t>P0017</t>
        </is>
      </c>
      <c r="E90" s="2" t="inlineStr">
        <is>
          <t>Jeans</t>
        </is>
      </c>
      <c r="F90" s="2" t="inlineStr">
        <is>
          <t>Fashion</t>
        </is>
      </c>
      <c r="G90" s="2" t="inlineStr">
        <is>
          <t>North</t>
        </is>
      </c>
      <c r="H90" s="2" t="inlineStr">
        <is>
          <t>Uttar Pradesh</t>
        </is>
      </c>
      <c r="I90" s="2" t="inlineStr">
        <is>
          <t>Kanpur</t>
        </is>
      </c>
      <c r="J90" s="2" t="inlineStr">
        <is>
          <t>Online</t>
        </is>
      </c>
      <c r="K90" s="2" t="n">
        <v>2</v>
      </c>
      <c r="L90" s="3" t="n">
        <v>1549.59</v>
      </c>
      <c r="M90" s="4" t="n">
        <v>0.1</v>
      </c>
      <c r="N90" s="3" t="n">
        <v>2115.24</v>
      </c>
      <c r="O90" s="3">
        <f>K90*L90*(1-M90)</f>
        <v/>
      </c>
      <c r="P90" s="3">
        <f>O90-N90</f>
        <v/>
      </c>
      <c r="Q90" s="5">
        <f>IFERROR(P90/O90,0)</f>
        <v/>
      </c>
      <c r="R90" s="2">
        <f>TEXT(DATEVALUE(B90),"mmm")</f>
        <v/>
      </c>
      <c r="S90" s="2">
        <f>TEXT(DATEVALUE(B90),"yyyy-mm")</f>
        <v/>
      </c>
    </row>
    <row r="91">
      <c r="A91" s="2" t="inlineStr">
        <is>
          <t>O003380</t>
        </is>
      </c>
      <c r="B91" s="2" t="inlineStr">
        <is>
          <t>2025-01-07</t>
        </is>
      </c>
      <c r="C91" s="2" t="inlineStr">
        <is>
          <t>C0387</t>
        </is>
      </c>
      <c r="D91" s="2" t="inlineStr">
        <is>
          <t>P0016</t>
        </is>
      </c>
      <c r="E91" s="2" t="inlineStr">
        <is>
          <t>Casual Shirt</t>
        </is>
      </c>
      <c r="F91" s="2" t="inlineStr">
        <is>
          <t>Fashion</t>
        </is>
      </c>
      <c r="G91" s="2" t="inlineStr">
        <is>
          <t>West</t>
        </is>
      </c>
      <c r="H91" s="2" t="inlineStr">
        <is>
          <t>Goa</t>
        </is>
      </c>
      <c r="I91" s="2" t="inlineStr">
        <is>
          <t>Margao</t>
        </is>
      </c>
      <c r="J91" s="2" t="inlineStr">
        <is>
          <t>Online</t>
        </is>
      </c>
      <c r="K91" s="2" t="n">
        <v>1</v>
      </c>
      <c r="L91" s="3" t="n">
        <v>1257.84</v>
      </c>
      <c r="M91" s="4" t="n">
        <v>0.1</v>
      </c>
      <c r="N91" s="3" t="n">
        <v>885.09</v>
      </c>
      <c r="O91" s="3">
        <f>K91*L91*(1-M91)</f>
        <v/>
      </c>
      <c r="P91" s="3">
        <f>O91-N91</f>
        <v/>
      </c>
      <c r="Q91" s="5">
        <f>IFERROR(P91/O91,0)</f>
        <v/>
      </c>
      <c r="R91" s="2">
        <f>TEXT(DATEVALUE(B91),"mmm")</f>
        <v/>
      </c>
      <c r="S91" s="2">
        <f>TEXT(DATEVALUE(B91),"yyyy-mm")</f>
        <v/>
      </c>
    </row>
    <row r="92">
      <c r="A92" s="2" t="inlineStr">
        <is>
          <t>O001860</t>
        </is>
      </c>
      <c r="B92" s="2" t="inlineStr">
        <is>
          <t>2025-01-07</t>
        </is>
      </c>
      <c r="C92" s="2" t="inlineStr">
        <is>
          <t>C0673</t>
        </is>
      </c>
      <c r="D92" s="2" t="inlineStr">
        <is>
          <t>P0007</t>
        </is>
      </c>
      <c r="E92" s="2" t="inlineStr">
        <is>
          <t>Wireless Mouse</t>
        </is>
      </c>
      <c r="F92" s="2" t="inlineStr">
        <is>
          <t>Electronics</t>
        </is>
      </c>
      <c r="G92" s="2" t="inlineStr">
        <is>
          <t>North</t>
        </is>
      </c>
      <c r="H92" s="2" t="inlineStr">
        <is>
          <t>Delhi</t>
        </is>
      </c>
      <c r="I92" s="2" t="inlineStr">
        <is>
          <t>New Delhi</t>
        </is>
      </c>
      <c r="J92" s="2" t="inlineStr">
        <is>
          <t>Online</t>
        </is>
      </c>
      <c r="K92" s="2" t="n">
        <v>3</v>
      </c>
      <c r="L92" s="3" t="n">
        <v>946.4400000000001</v>
      </c>
      <c r="M92" s="4" t="n">
        <v>0.05</v>
      </c>
      <c r="N92" s="3" t="n">
        <v>1919.29</v>
      </c>
      <c r="O92" s="3">
        <f>K92*L92*(1-M92)</f>
        <v/>
      </c>
      <c r="P92" s="3">
        <f>O92-N92</f>
        <v/>
      </c>
      <c r="Q92" s="5">
        <f>IFERROR(P92/O92,0)</f>
        <v/>
      </c>
      <c r="R92" s="2">
        <f>TEXT(DATEVALUE(B92),"mmm")</f>
        <v/>
      </c>
      <c r="S92" s="2">
        <f>TEXT(DATEVALUE(B92),"yyyy-mm")</f>
        <v/>
      </c>
    </row>
    <row r="93">
      <c r="A93" s="2" t="inlineStr">
        <is>
          <t>O001715</t>
        </is>
      </c>
      <c r="B93" s="2" t="inlineStr">
        <is>
          <t>2025-01-07</t>
        </is>
      </c>
      <c r="C93" s="2" t="inlineStr">
        <is>
          <t>C0359</t>
        </is>
      </c>
      <c r="D93" s="2" t="inlineStr">
        <is>
          <t>P0019</t>
        </is>
      </c>
      <c r="E93" s="2" t="inlineStr">
        <is>
          <t>Jacket</t>
        </is>
      </c>
      <c r="F93" s="2" t="inlineStr">
        <is>
          <t>Fashion</t>
        </is>
      </c>
      <c r="G93" s="2" t="inlineStr">
        <is>
          <t>East</t>
        </is>
      </c>
      <c r="H93" s="2" t="inlineStr">
        <is>
          <t>West Bengal</t>
        </is>
      </c>
      <c r="I93" s="2" t="inlineStr">
        <is>
          <t>Kolkata</t>
        </is>
      </c>
      <c r="J93" s="2" t="inlineStr">
        <is>
          <t>Store</t>
        </is>
      </c>
      <c r="K93" s="2" t="n">
        <v>3</v>
      </c>
      <c r="L93" s="3" t="n">
        <v>1057.74</v>
      </c>
      <c r="M93" s="4" t="n">
        <v>0.1</v>
      </c>
      <c r="N93" s="3" t="n">
        <v>1959.11</v>
      </c>
      <c r="O93" s="3">
        <f>K93*L93*(1-M93)</f>
        <v/>
      </c>
      <c r="P93" s="3">
        <f>O93-N93</f>
        <v/>
      </c>
      <c r="Q93" s="5">
        <f>IFERROR(P93/O93,0)</f>
        <v/>
      </c>
      <c r="R93" s="2">
        <f>TEXT(DATEVALUE(B93),"mmm")</f>
        <v/>
      </c>
      <c r="S93" s="2">
        <f>TEXT(DATEVALUE(B93),"yyyy-mm")</f>
        <v/>
      </c>
    </row>
    <row r="94">
      <c r="A94" s="2" t="inlineStr">
        <is>
          <t>O001651</t>
        </is>
      </c>
      <c r="B94" s="2" t="inlineStr">
        <is>
          <t>2025-01-07</t>
        </is>
      </c>
      <c r="C94" s="2" t="inlineStr">
        <is>
          <t>C0175</t>
        </is>
      </c>
      <c r="D94" s="2" t="inlineStr">
        <is>
          <t>P0015</t>
        </is>
      </c>
      <c r="E94" s="2" t="inlineStr">
        <is>
          <t>Running Shoes</t>
        </is>
      </c>
      <c r="F94" s="2" t="inlineStr">
        <is>
          <t>Fashion</t>
        </is>
      </c>
      <c r="G94" s="2" t="inlineStr">
        <is>
          <t>East</t>
        </is>
      </c>
      <c r="H94" s="2" t="inlineStr">
        <is>
          <t>Bihar</t>
        </is>
      </c>
      <c r="I94" s="2" t="inlineStr">
        <is>
          <t>Gaya</t>
        </is>
      </c>
      <c r="J94" s="2" t="inlineStr">
        <is>
          <t>Store</t>
        </is>
      </c>
      <c r="K94" s="2" t="n">
        <v>2</v>
      </c>
      <c r="L94" s="3" t="n">
        <v>602.12</v>
      </c>
      <c r="M94" s="4" t="n">
        <v>0.1</v>
      </c>
      <c r="N94" s="3" t="n">
        <v>758.6799999999999</v>
      </c>
      <c r="O94" s="3">
        <f>K94*L94*(1-M94)</f>
        <v/>
      </c>
      <c r="P94" s="3">
        <f>O94-N94</f>
        <v/>
      </c>
      <c r="Q94" s="5">
        <f>IFERROR(P94/O94,0)</f>
        <v/>
      </c>
      <c r="R94" s="2">
        <f>TEXT(DATEVALUE(B94),"mmm")</f>
        <v/>
      </c>
      <c r="S94" s="2">
        <f>TEXT(DATEVALUE(B94),"yyyy-mm")</f>
        <v/>
      </c>
    </row>
    <row r="95">
      <c r="A95" s="2" t="inlineStr">
        <is>
          <t>O001463</t>
        </is>
      </c>
      <c r="B95" s="2" t="inlineStr">
        <is>
          <t>2025-01-07</t>
        </is>
      </c>
      <c r="C95" s="2" t="inlineStr">
        <is>
          <t>C0725</t>
        </is>
      </c>
      <c r="D95" s="2" t="inlineStr">
        <is>
          <t>P0024</t>
        </is>
      </c>
      <c r="E95" s="2" t="inlineStr">
        <is>
          <t>Hair Dryer</t>
        </is>
      </c>
      <c r="F95" s="2" t="inlineStr">
        <is>
          <t>Beauty</t>
        </is>
      </c>
      <c r="G95" s="2" t="inlineStr">
        <is>
          <t>West</t>
        </is>
      </c>
      <c r="H95" s="2" t="inlineStr">
        <is>
          <t>Goa</t>
        </is>
      </c>
      <c r="I95" s="2" t="inlineStr">
        <is>
          <t>Panaji</t>
        </is>
      </c>
      <c r="J95" s="2" t="inlineStr">
        <is>
          <t>Store</t>
        </is>
      </c>
      <c r="K95" s="2" t="n">
        <v>1</v>
      </c>
      <c r="L95" s="3" t="n">
        <v>1013.71</v>
      </c>
      <c r="M95" s="4" t="n">
        <v>0.15</v>
      </c>
      <c r="N95" s="3" t="n">
        <v>711.48</v>
      </c>
      <c r="O95" s="3">
        <f>K95*L95*(1-M95)</f>
        <v/>
      </c>
      <c r="P95" s="3">
        <f>O95-N95</f>
        <v/>
      </c>
      <c r="Q95" s="5">
        <f>IFERROR(P95/O95,0)</f>
        <v/>
      </c>
      <c r="R95" s="2">
        <f>TEXT(DATEVALUE(B95),"mmm")</f>
        <v/>
      </c>
      <c r="S95" s="2">
        <f>TEXT(DATEVALUE(B95),"yyyy-mm")</f>
        <v/>
      </c>
    </row>
    <row r="96">
      <c r="A96" s="2" t="inlineStr">
        <is>
          <t>O001278</t>
        </is>
      </c>
      <c r="B96" s="2" t="inlineStr">
        <is>
          <t>2025-01-07</t>
        </is>
      </c>
      <c r="C96" s="2" t="inlineStr">
        <is>
          <t>C0412</t>
        </is>
      </c>
      <c r="D96" s="2" t="inlineStr">
        <is>
          <t>P0029</t>
        </is>
      </c>
      <c r="E96" s="2" t="inlineStr">
        <is>
          <t>Yoga Mat</t>
        </is>
      </c>
      <c r="F96" s="2" t="inlineStr">
        <is>
          <t>Sports</t>
        </is>
      </c>
      <c r="G96" s="2" t="inlineStr">
        <is>
          <t>South</t>
        </is>
      </c>
      <c r="H96" s="2" t="inlineStr">
        <is>
          <t>Tamil Nadu</t>
        </is>
      </c>
      <c r="I96" s="2" t="inlineStr">
        <is>
          <t>Coimbatore</t>
        </is>
      </c>
      <c r="J96" s="2" t="inlineStr">
        <is>
          <t>Store</t>
        </is>
      </c>
      <c r="K96" s="2" t="n">
        <v>5</v>
      </c>
      <c r="L96" s="3" t="n">
        <v>2414.65</v>
      </c>
      <c r="M96" s="4" t="n">
        <v>0.1</v>
      </c>
      <c r="N96" s="3" t="n">
        <v>6610.57</v>
      </c>
      <c r="O96" s="3">
        <f>K96*L96*(1-M96)</f>
        <v/>
      </c>
      <c r="P96" s="3">
        <f>O96-N96</f>
        <v/>
      </c>
      <c r="Q96" s="5">
        <f>IFERROR(P96/O96,0)</f>
        <v/>
      </c>
      <c r="R96" s="2">
        <f>TEXT(DATEVALUE(B96),"mmm")</f>
        <v/>
      </c>
      <c r="S96" s="2">
        <f>TEXT(DATEVALUE(B96),"yyyy-mm")</f>
        <v/>
      </c>
    </row>
    <row r="97">
      <c r="A97" s="2" t="inlineStr">
        <is>
          <t>O000895</t>
        </is>
      </c>
      <c r="B97" s="2" t="inlineStr">
        <is>
          <t>2025-01-07</t>
        </is>
      </c>
      <c r="C97" s="2" t="inlineStr">
        <is>
          <t>C0156</t>
        </is>
      </c>
      <c r="D97" s="2" t="inlineStr">
        <is>
          <t>P0007</t>
        </is>
      </c>
      <c r="E97" s="2" t="inlineStr">
        <is>
          <t>Wireless Mouse</t>
        </is>
      </c>
      <c r="F97" s="2" t="inlineStr">
        <is>
          <t>Electronics</t>
        </is>
      </c>
      <c r="G97" s="2" t="inlineStr">
        <is>
          <t>West</t>
        </is>
      </c>
      <c r="H97" s="2" t="inlineStr">
        <is>
          <t>Goa</t>
        </is>
      </c>
      <c r="I97" s="2" t="inlineStr">
        <is>
          <t>Panaji</t>
        </is>
      </c>
      <c r="J97" s="2" t="inlineStr">
        <is>
          <t>Online</t>
        </is>
      </c>
      <c r="K97" s="2" t="n">
        <v>5</v>
      </c>
      <c r="L97" s="3" t="n">
        <v>952.23</v>
      </c>
      <c r="M97" s="4" t="n">
        <v>0</v>
      </c>
      <c r="N97" s="3" t="n">
        <v>3176.49</v>
      </c>
      <c r="O97" s="3">
        <f>K97*L97*(1-M97)</f>
        <v/>
      </c>
      <c r="P97" s="3">
        <f>O97-N97</f>
        <v/>
      </c>
      <c r="Q97" s="5">
        <f>IFERROR(P97/O97,0)</f>
        <v/>
      </c>
      <c r="R97" s="2">
        <f>TEXT(DATEVALUE(B97),"mmm")</f>
        <v/>
      </c>
      <c r="S97" s="2">
        <f>TEXT(DATEVALUE(B97),"yyyy-mm")</f>
        <v/>
      </c>
    </row>
    <row r="98">
      <c r="A98" s="2" t="inlineStr">
        <is>
          <t>O000606</t>
        </is>
      </c>
      <c r="B98" s="2" t="inlineStr">
        <is>
          <t>2025-01-07</t>
        </is>
      </c>
      <c r="C98" s="2" t="inlineStr">
        <is>
          <t>C0597</t>
        </is>
      </c>
      <c r="D98" s="2" t="inlineStr">
        <is>
          <t>P0004</t>
        </is>
      </c>
      <c r="E98" s="2" t="inlineStr">
        <is>
          <t>USB-C Hub</t>
        </is>
      </c>
      <c r="F98" s="2" t="inlineStr">
        <is>
          <t>Electronics</t>
        </is>
      </c>
      <c r="G98" s="2" t="inlineStr">
        <is>
          <t>South</t>
        </is>
      </c>
      <c r="H98" s="2" t="inlineStr">
        <is>
          <t>Telangana</t>
        </is>
      </c>
      <c r="I98" s="2" t="inlineStr">
        <is>
          <t>Warangal</t>
        </is>
      </c>
      <c r="J98" s="2" t="inlineStr">
        <is>
          <t>Online</t>
        </is>
      </c>
      <c r="K98" s="2" t="n">
        <v>4</v>
      </c>
      <c r="L98" s="3" t="n">
        <v>1286.44</v>
      </c>
      <c r="M98" s="4" t="n">
        <v>0.05</v>
      </c>
      <c r="N98" s="3" t="n">
        <v>3648.79</v>
      </c>
      <c r="O98" s="3">
        <f>K98*L98*(1-M98)</f>
        <v/>
      </c>
      <c r="P98" s="3">
        <f>O98-N98</f>
        <v/>
      </c>
      <c r="Q98" s="5">
        <f>IFERROR(P98/O98,0)</f>
        <v/>
      </c>
      <c r="R98" s="2">
        <f>TEXT(DATEVALUE(B98),"mmm")</f>
        <v/>
      </c>
      <c r="S98" s="2">
        <f>TEXT(DATEVALUE(B98),"yyyy-mm")</f>
        <v/>
      </c>
    </row>
    <row r="99">
      <c r="A99" s="2" t="inlineStr">
        <is>
          <t>O002382</t>
        </is>
      </c>
      <c r="B99" s="2" t="inlineStr">
        <is>
          <t>2025-01-07</t>
        </is>
      </c>
      <c r="C99" s="2" t="inlineStr">
        <is>
          <t>C0557</t>
        </is>
      </c>
      <c r="D99" s="2" t="inlineStr">
        <is>
          <t>P0006</t>
        </is>
      </c>
      <c r="E99" s="2" t="inlineStr">
        <is>
          <t>Mechanical Keyboard</t>
        </is>
      </c>
      <c r="F99" s="2" t="inlineStr">
        <is>
          <t>Electronics</t>
        </is>
      </c>
      <c r="G99" s="2" t="inlineStr">
        <is>
          <t>North</t>
        </is>
      </c>
      <c r="H99" s="2" t="inlineStr">
        <is>
          <t>Uttar Pradesh</t>
        </is>
      </c>
      <c r="I99" s="2" t="inlineStr">
        <is>
          <t>Varanasi</t>
        </is>
      </c>
      <c r="J99" s="2" t="inlineStr">
        <is>
          <t>Online</t>
        </is>
      </c>
      <c r="K99" s="2" t="n">
        <v>1</v>
      </c>
      <c r="L99" s="3" t="n">
        <v>2747.86</v>
      </c>
      <c r="M99" s="4" t="n">
        <v>0.1</v>
      </c>
      <c r="N99" s="3" t="n">
        <v>1485.34</v>
      </c>
      <c r="O99" s="3">
        <f>K99*L99*(1-M99)</f>
        <v/>
      </c>
      <c r="P99" s="3">
        <f>O99-N99</f>
        <v/>
      </c>
      <c r="Q99" s="5">
        <f>IFERROR(P99/O99,0)</f>
        <v/>
      </c>
      <c r="R99" s="2">
        <f>TEXT(DATEVALUE(B99),"mmm")</f>
        <v/>
      </c>
      <c r="S99" s="2">
        <f>TEXT(DATEVALUE(B99),"yyyy-mm")</f>
        <v/>
      </c>
    </row>
    <row r="100">
      <c r="A100" s="2" t="inlineStr">
        <is>
          <t>O003289</t>
        </is>
      </c>
      <c r="B100" s="2" t="inlineStr">
        <is>
          <t>2025-01-08</t>
        </is>
      </c>
      <c r="C100" s="2" t="inlineStr">
        <is>
          <t>C0374</t>
        </is>
      </c>
      <c r="D100" s="2" t="inlineStr">
        <is>
          <t>P0032</t>
        </is>
      </c>
      <c r="E100" s="2" t="inlineStr">
        <is>
          <t>Football</t>
        </is>
      </c>
      <c r="F100" s="2" t="inlineStr">
        <is>
          <t>Sports</t>
        </is>
      </c>
      <c r="G100" s="2" t="inlineStr">
        <is>
          <t>North</t>
        </is>
      </c>
      <c r="H100" s="2" t="inlineStr">
        <is>
          <t>Haryana</t>
        </is>
      </c>
      <c r="I100" s="2" t="inlineStr">
        <is>
          <t>Faridabad</t>
        </is>
      </c>
      <c r="J100" s="2" t="inlineStr">
        <is>
          <t>Store</t>
        </is>
      </c>
      <c r="K100" s="2" t="n">
        <v>1</v>
      </c>
      <c r="L100" s="3" t="n">
        <v>814.6900000000001</v>
      </c>
      <c r="M100" s="4" t="n">
        <v>0.1</v>
      </c>
      <c r="N100" s="3" t="n">
        <v>535</v>
      </c>
      <c r="O100" s="3">
        <f>K100*L100*(1-M100)</f>
        <v/>
      </c>
      <c r="P100" s="3">
        <f>O100-N100</f>
        <v/>
      </c>
      <c r="Q100" s="5">
        <f>IFERROR(P100/O100,0)</f>
        <v/>
      </c>
      <c r="R100" s="2">
        <f>TEXT(DATEVALUE(B100),"mmm")</f>
        <v/>
      </c>
      <c r="S100" s="2">
        <f>TEXT(DATEVALUE(B100),"yyyy-mm")</f>
        <v/>
      </c>
    </row>
    <row r="101">
      <c r="A101" s="2" t="inlineStr">
        <is>
          <t>O003476</t>
        </is>
      </c>
      <c r="B101" s="2" t="inlineStr">
        <is>
          <t>2025-01-08</t>
        </is>
      </c>
      <c r="C101" s="2" t="inlineStr">
        <is>
          <t>C0375</t>
        </is>
      </c>
      <c r="D101" s="2" t="inlineStr">
        <is>
          <t>P0005</t>
        </is>
      </c>
      <c r="E101" s="2" t="inlineStr">
        <is>
          <t>Power Bank</t>
        </is>
      </c>
      <c r="F101" s="2" t="inlineStr">
        <is>
          <t>Electronics</t>
        </is>
      </c>
      <c r="G101" s="2" t="inlineStr">
        <is>
          <t>North</t>
        </is>
      </c>
      <c r="H101" s="2" t="inlineStr">
        <is>
          <t>Delhi</t>
        </is>
      </c>
      <c r="I101" s="2" t="inlineStr">
        <is>
          <t>New Delhi</t>
        </is>
      </c>
      <c r="J101" s="2" t="inlineStr">
        <is>
          <t>Online</t>
        </is>
      </c>
      <c r="K101" s="2" t="n">
        <v>4</v>
      </c>
      <c r="L101" s="3" t="n">
        <v>1166.82</v>
      </c>
      <c r="M101" s="4" t="n">
        <v>0</v>
      </c>
      <c r="N101" s="3" t="n">
        <v>2786.53</v>
      </c>
      <c r="O101" s="3">
        <f>K101*L101*(1-M101)</f>
        <v/>
      </c>
      <c r="P101" s="3">
        <f>O101-N101</f>
        <v/>
      </c>
      <c r="Q101" s="5">
        <f>IFERROR(P101/O101,0)</f>
        <v/>
      </c>
      <c r="R101" s="2">
        <f>TEXT(DATEVALUE(B101),"mmm")</f>
        <v/>
      </c>
      <c r="S101" s="2">
        <f>TEXT(DATEVALUE(B101),"yyyy-mm")</f>
        <v/>
      </c>
    </row>
    <row r="102">
      <c r="A102" s="2" t="inlineStr">
        <is>
          <t>O003934</t>
        </is>
      </c>
      <c r="B102" s="2" t="inlineStr">
        <is>
          <t>2025-01-08</t>
        </is>
      </c>
      <c r="C102" s="2" t="inlineStr">
        <is>
          <t>C0352</t>
        </is>
      </c>
      <c r="D102" s="2" t="inlineStr">
        <is>
          <t>P0022</t>
        </is>
      </c>
      <c r="E102" s="2" t="inlineStr">
        <is>
          <t>Face Wash</t>
        </is>
      </c>
      <c r="F102" s="2" t="inlineStr">
        <is>
          <t>Beauty</t>
        </is>
      </c>
      <c r="G102" s="2" t="inlineStr">
        <is>
          <t>West</t>
        </is>
      </c>
      <c r="H102" s="2" t="inlineStr">
        <is>
          <t>Gujarat</t>
        </is>
      </c>
      <c r="I102" s="2" t="inlineStr">
        <is>
          <t>Vadodara</t>
        </is>
      </c>
      <c r="J102" s="2" t="inlineStr">
        <is>
          <t>Online</t>
        </is>
      </c>
      <c r="K102" s="2" t="n">
        <v>1</v>
      </c>
      <c r="L102" s="3" t="n">
        <v>558.95</v>
      </c>
      <c r="M102" s="4" t="n">
        <v>0.2</v>
      </c>
      <c r="N102" s="3" t="n">
        <v>339.52</v>
      </c>
      <c r="O102" s="3">
        <f>K102*L102*(1-M102)</f>
        <v/>
      </c>
      <c r="P102" s="3">
        <f>O102-N102</f>
        <v/>
      </c>
      <c r="Q102" s="5">
        <f>IFERROR(P102/O102,0)</f>
        <v/>
      </c>
      <c r="R102" s="2">
        <f>TEXT(DATEVALUE(B102),"mmm")</f>
        <v/>
      </c>
      <c r="S102" s="2">
        <f>TEXT(DATEVALUE(B102),"yyyy-mm")</f>
        <v/>
      </c>
    </row>
    <row r="103">
      <c r="A103" s="2" t="inlineStr">
        <is>
          <t>O004936</t>
        </is>
      </c>
      <c r="B103" s="2" t="inlineStr">
        <is>
          <t>2025-01-08</t>
        </is>
      </c>
      <c r="C103" s="2" t="inlineStr">
        <is>
          <t>C0161</t>
        </is>
      </c>
      <c r="D103" s="2" t="inlineStr">
        <is>
          <t>P0024</t>
        </is>
      </c>
      <c r="E103" s="2" t="inlineStr">
        <is>
          <t>Hair Dryer</t>
        </is>
      </c>
      <c r="F103" s="2" t="inlineStr">
        <is>
          <t>Beauty</t>
        </is>
      </c>
      <c r="G103" s="2" t="inlineStr">
        <is>
          <t>West</t>
        </is>
      </c>
      <c r="H103" s="2" t="inlineStr">
        <is>
          <t>Goa</t>
        </is>
      </c>
      <c r="I103" s="2" t="inlineStr">
        <is>
          <t>Margao</t>
        </is>
      </c>
      <c r="J103" s="2" t="inlineStr">
        <is>
          <t>Online</t>
        </is>
      </c>
      <c r="K103" s="2" t="n">
        <v>2</v>
      </c>
      <c r="L103" s="3" t="n">
        <v>1026.4</v>
      </c>
      <c r="M103" s="4" t="n">
        <v>0.05</v>
      </c>
      <c r="N103" s="3" t="n">
        <v>1431.02</v>
      </c>
      <c r="O103" s="3">
        <f>K103*L103*(1-M103)</f>
        <v/>
      </c>
      <c r="P103" s="3">
        <f>O103-N103</f>
        <v/>
      </c>
      <c r="Q103" s="5">
        <f>IFERROR(P103/O103,0)</f>
        <v/>
      </c>
      <c r="R103" s="2">
        <f>TEXT(DATEVALUE(B103),"mmm")</f>
        <v/>
      </c>
      <c r="S103" s="2">
        <f>TEXT(DATEVALUE(B103),"yyyy-mm")</f>
        <v/>
      </c>
    </row>
    <row r="104">
      <c r="A104" s="2" t="inlineStr">
        <is>
          <t>O003981</t>
        </is>
      </c>
      <c r="B104" s="2" t="inlineStr">
        <is>
          <t>2025-01-08</t>
        </is>
      </c>
      <c r="C104" s="2" t="inlineStr">
        <is>
          <t>C0179</t>
        </is>
      </c>
      <c r="D104" s="2" t="inlineStr">
        <is>
          <t>P0030</t>
        </is>
      </c>
      <c r="E104" s="2" t="inlineStr">
        <is>
          <t>Dumbbells</t>
        </is>
      </c>
      <c r="F104" s="2" t="inlineStr">
        <is>
          <t>Sports</t>
        </is>
      </c>
      <c r="G104" s="2" t="inlineStr">
        <is>
          <t>North</t>
        </is>
      </c>
      <c r="H104" s="2" t="inlineStr">
        <is>
          <t>Punjab</t>
        </is>
      </c>
      <c r="I104" s="2" t="inlineStr">
        <is>
          <t>Ludhiana</t>
        </is>
      </c>
      <c r="J104" s="2" t="inlineStr">
        <is>
          <t>Online</t>
        </is>
      </c>
      <c r="K104" s="2" t="n">
        <v>2</v>
      </c>
      <c r="L104" s="3" t="n">
        <v>1614.18</v>
      </c>
      <c r="M104" s="4" t="n">
        <v>0.2</v>
      </c>
      <c r="N104" s="3" t="n">
        <v>2078.15</v>
      </c>
      <c r="O104" s="3">
        <f>K104*L104*(1-M104)</f>
        <v/>
      </c>
      <c r="P104" s="3">
        <f>O104-N104</f>
        <v/>
      </c>
      <c r="Q104" s="5">
        <f>IFERROR(P104/O104,0)</f>
        <v/>
      </c>
      <c r="R104" s="2">
        <f>TEXT(DATEVALUE(B104),"mmm")</f>
        <v/>
      </c>
      <c r="S104" s="2">
        <f>TEXT(DATEVALUE(B104),"yyyy-mm")</f>
        <v/>
      </c>
    </row>
    <row r="105">
      <c r="A105" s="2" t="inlineStr">
        <is>
          <t>O004744</t>
        </is>
      </c>
      <c r="B105" s="2" t="inlineStr">
        <is>
          <t>2025-01-08</t>
        </is>
      </c>
      <c r="C105" s="2" t="inlineStr">
        <is>
          <t>C0113</t>
        </is>
      </c>
      <c r="D105" s="2" t="inlineStr">
        <is>
          <t>P0004</t>
        </is>
      </c>
      <c r="E105" s="2" t="inlineStr">
        <is>
          <t>USB-C Hub</t>
        </is>
      </c>
      <c r="F105" s="2" t="inlineStr">
        <is>
          <t>Electronics</t>
        </is>
      </c>
      <c r="G105" s="2" t="inlineStr">
        <is>
          <t>West</t>
        </is>
      </c>
      <c r="H105" s="2" t="inlineStr">
        <is>
          <t>Maharashtra</t>
        </is>
      </c>
      <c r="I105" s="2" t="inlineStr">
        <is>
          <t>Thane</t>
        </is>
      </c>
      <c r="J105" s="2" t="inlineStr">
        <is>
          <t>Store</t>
        </is>
      </c>
      <c r="K105" s="2" t="n">
        <v>3</v>
      </c>
      <c r="L105" s="3" t="n">
        <v>1240.69</v>
      </c>
      <c r="M105" s="4" t="n">
        <v>0.1</v>
      </c>
      <c r="N105" s="3" t="n">
        <v>2760.98</v>
      </c>
      <c r="O105" s="3">
        <f>K105*L105*(1-M105)</f>
        <v/>
      </c>
      <c r="P105" s="3">
        <f>O105-N105</f>
        <v/>
      </c>
      <c r="Q105" s="5">
        <f>IFERROR(P105/O105,0)</f>
        <v/>
      </c>
      <c r="R105" s="2">
        <f>TEXT(DATEVALUE(B105),"mmm")</f>
        <v/>
      </c>
      <c r="S105" s="2">
        <f>TEXT(DATEVALUE(B105),"yyyy-mm")</f>
        <v/>
      </c>
    </row>
    <row r="106">
      <c r="A106" s="2" t="inlineStr">
        <is>
          <t>O003182</t>
        </is>
      </c>
      <c r="B106" s="2" t="inlineStr">
        <is>
          <t>2025-01-08</t>
        </is>
      </c>
      <c r="C106" s="2" t="inlineStr">
        <is>
          <t>C0155</t>
        </is>
      </c>
      <c r="D106" s="2" t="inlineStr">
        <is>
          <t>P0007</t>
        </is>
      </c>
      <c r="E106" s="2" t="inlineStr">
        <is>
          <t>Wireless Mouse</t>
        </is>
      </c>
      <c r="F106" s="2" t="inlineStr">
        <is>
          <t>Electronics</t>
        </is>
      </c>
      <c r="G106" s="2" t="inlineStr">
        <is>
          <t>East</t>
        </is>
      </c>
      <c r="H106" s="2" t="inlineStr">
        <is>
          <t>West Bengal</t>
        </is>
      </c>
      <c r="I106" s="2" t="inlineStr">
        <is>
          <t>Kolkata</t>
        </is>
      </c>
      <c r="J106" s="2" t="inlineStr">
        <is>
          <t>Online</t>
        </is>
      </c>
      <c r="K106" s="2" t="n">
        <v>1</v>
      </c>
      <c r="L106" s="3" t="n">
        <v>948.17</v>
      </c>
      <c r="M106" s="4" t="n">
        <v>0.15</v>
      </c>
      <c r="N106" s="3" t="n">
        <v>620.04</v>
      </c>
      <c r="O106" s="3">
        <f>K106*L106*(1-M106)</f>
        <v/>
      </c>
      <c r="P106" s="3">
        <f>O106-N106</f>
        <v/>
      </c>
      <c r="Q106" s="5">
        <f>IFERROR(P106/O106,0)</f>
        <v/>
      </c>
      <c r="R106" s="2">
        <f>TEXT(DATEVALUE(B106),"mmm")</f>
        <v/>
      </c>
      <c r="S106" s="2">
        <f>TEXT(DATEVALUE(B106),"yyyy-mm")</f>
        <v/>
      </c>
    </row>
    <row r="107">
      <c r="A107" s="2" t="inlineStr">
        <is>
          <t>O003978</t>
        </is>
      </c>
      <c r="B107" s="2" t="inlineStr">
        <is>
          <t>2025-01-08</t>
        </is>
      </c>
      <c r="C107" s="2" t="inlineStr">
        <is>
          <t>C0614</t>
        </is>
      </c>
      <c r="D107" s="2" t="inlineStr">
        <is>
          <t>P0022</t>
        </is>
      </c>
      <c r="E107" s="2" t="inlineStr">
        <is>
          <t>Face Wash</t>
        </is>
      </c>
      <c r="F107" s="2" t="inlineStr">
        <is>
          <t>Beauty</t>
        </is>
      </c>
      <c r="G107" s="2" t="inlineStr">
        <is>
          <t>West</t>
        </is>
      </c>
      <c r="H107" s="2" t="inlineStr">
        <is>
          <t>Goa</t>
        </is>
      </c>
      <c r="I107" s="2" t="inlineStr">
        <is>
          <t>Margao</t>
        </is>
      </c>
      <c r="J107" s="2" t="inlineStr">
        <is>
          <t>Store</t>
        </is>
      </c>
      <c r="K107" s="2" t="n">
        <v>1</v>
      </c>
      <c r="L107" s="3" t="n">
        <v>549.95</v>
      </c>
      <c r="M107" s="4" t="n">
        <v>0.15</v>
      </c>
      <c r="N107" s="3" t="n">
        <v>339.88</v>
      </c>
      <c r="O107" s="3">
        <f>K107*L107*(1-M107)</f>
        <v/>
      </c>
      <c r="P107" s="3">
        <f>O107-N107</f>
        <v/>
      </c>
      <c r="Q107" s="5">
        <f>IFERROR(P107/O107,0)</f>
        <v/>
      </c>
      <c r="R107" s="2">
        <f>TEXT(DATEVALUE(B107),"mmm")</f>
        <v/>
      </c>
      <c r="S107" s="2">
        <f>TEXT(DATEVALUE(B107),"yyyy-mm")</f>
        <v/>
      </c>
    </row>
    <row r="108">
      <c r="A108" s="2" t="inlineStr">
        <is>
          <t>O002990</t>
        </is>
      </c>
      <c r="B108" s="2" t="inlineStr">
        <is>
          <t>2025-01-08</t>
        </is>
      </c>
      <c r="C108" s="2" t="inlineStr">
        <is>
          <t>C0474</t>
        </is>
      </c>
      <c r="D108" s="2" t="inlineStr">
        <is>
          <t>P0011</t>
        </is>
      </c>
      <c r="E108" s="2" t="inlineStr">
        <is>
          <t>Cookware Set</t>
        </is>
      </c>
      <c r="F108" s="2" t="inlineStr">
        <is>
          <t>Home &amp; Kitchen</t>
        </is>
      </c>
      <c r="G108" s="2" t="inlineStr">
        <is>
          <t>North</t>
        </is>
      </c>
      <c r="H108" s="2" t="inlineStr">
        <is>
          <t>Haryana</t>
        </is>
      </c>
      <c r="I108" s="2" t="inlineStr">
        <is>
          <t>Gurugram</t>
        </is>
      </c>
      <c r="J108" s="2" t="inlineStr">
        <is>
          <t>Store</t>
        </is>
      </c>
      <c r="K108" s="2" t="n">
        <v>1</v>
      </c>
      <c r="L108" s="3" t="n">
        <v>713.4299999999999</v>
      </c>
      <c r="M108" s="4" t="n">
        <v>0.05</v>
      </c>
      <c r="N108" s="3" t="n">
        <v>480.22</v>
      </c>
      <c r="O108" s="3">
        <f>K108*L108*(1-M108)</f>
        <v/>
      </c>
      <c r="P108" s="3">
        <f>O108-N108</f>
        <v/>
      </c>
      <c r="Q108" s="5">
        <f>IFERROR(P108/O108,0)</f>
        <v/>
      </c>
      <c r="R108" s="2">
        <f>TEXT(DATEVALUE(B108),"mmm")</f>
        <v/>
      </c>
      <c r="S108" s="2">
        <f>TEXT(DATEVALUE(B108),"yyyy-mm")</f>
        <v/>
      </c>
    </row>
    <row r="109">
      <c r="A109" s="2" t="inlineStr">
        <is>
          <t>O000829</t>
        </is>
      </c>
      <c r="B109" s="2" t="inlineStr">
        <is>
          <t>2025-01-08</t>
        </is>
      </c>
      <c r="C109" s="2" t="inlineStr">
        <is>
          <t>C0405</t>
        </is>
      </c>
      <c r="D109" s="2" t="inlineStr">
        <is>
          <t>P0022</t>
        </is>
      </c>
      <c r="E109" s="2" t="inlineStr">
        <is>
          <t>Face Wash</t>
        </is>
      </c>
      <c r="F109" s="2" t="inlineStr">
        <is>
          <t>Beauty</t>
        </is>
      </c>
      <c r="G109" s="2" t="inlineStr">
        <is>
          <t>East</t>
        </is>
      </c>
      <c r="H109" s="2" t="inlineStr">
        <is>
          <t>Bihar</t>
        </is>
      </c>
      <c r="I109" s="2" t="inlineStr">
        <is>
          <t>Gaya</t>
        </is>
      </c>
      <c r="J109" s="2" t="inlineStr">
        <is>
          <t>Store</t>
        </is>
      </c>
      <c r="K109" s="2" t="n">
        <v>1</v>
      </c>
      <c r="L109" s="3" t="n">
        <v>533.22</v>
      </c>
      <c r="M109" s="4" t="n">
        <v>0</v>
      </c>
      <c r="N109" s="3" t="n">
        <v>361.51</v>
      </c>
      <c r="O109" s="3">
        <f>K109*L109*(1-M109)</f>
        <v/>
      </c>
      <c r="P109" s="3">
        <f>O109-N109</f>
        <v/>
      </c>
      <c r="Q109" s="5">
        <f>IFERROR(P109/O109,0)</f>
        <v/>
      </c>
      <c r="R109" s="2">
        <f>TEXT(DATEVALUE(B109),"mmm")</f>
        <v/>
      </c>
      <c r="S109" s="2">
        <f>TEXT(DATEVALUE(B109),"yyyy-mm")</f>
        <v/>
      </c>
    </row>
    <row r="110">
      <c r="A110" s="2" t="inlineStr">
        <is>
          <t>O002566</t>
        </is>
      </c>
      <c r="B110" s="2" t="inlineStr">
        <is>
          <t>2025-01-08</t>
        </is>
      </c>
      <c r="C110" s="2" t="inlineStr">
        <is>
          <t>C0502</t>
        </is>
      </c>
      <c r="D110" s="2" t="inlineStr">
        <is>
          <t>P0005</t>
        </is>
      </c>
      <c r="E110" s="2" t="inlineStr">
        <is>
          <t>Power Bank</t>
        </is>
      </c>
      <c r="F110" s="2" t="inlineStr">
        <is>
          <t>Electronics</t>
        </is>
      </c>
      <c r="G110" s="2" t="inlineStr">
        <is>
          <t>South</t>
        </is>
      </c>
      <c r="H110" s="2" t="inlineStr">
        <is>
          <t>Karnataka</t>
        </is>
      </c>
      <c r="I110" s="2" t="inlineStr">
        <is>
          <t>Mysuru</t>
        </is>
      </c>
      <c r="J110" s="2" t="inlineStr">
        <is>
          <t>Store</t>
        </is>
      </c>
      <c r="K110" s="2" t="n">
        <v>1</v>
      </c>
      <c r="L110" s="3" t="n">
        <v>1105.91</v>
      </c>
      <c r="M110" s="4" t="n">
        <v>0.1</v>
      </c>
      <c r="N110" s="3" t="n">
        <v>670.78</v>
      </c>
      <c r="O110" s="3">
        <f>K110*L110*(1-M110)</f>
        <v/>
      </c>
      <c r="P110" s="3">
        <f>O110-N110</f>
        <v/>
      </c>
      <c r="Q110" s="5">
        <f>IFERROR(P110/O110,0)</f>
        <v/>
      </c>
      <c r="R110" s="2">
        <f>TEXT(DATEVALUE(B110),"mmm")</f>
        <v/>
      </c>
      <c r="S110" s="2">
        <f>TEXT(DATEVALUE(B110),"yyyy-mm")</f>
        <v/>
      </c>
    </row>
    <row r="111">
      <c r="A111" s="2" t="inlineStr">
        <is>
          <t>O002544</t>
        </is>
      </c>
      <c r="B111" s="2" t="inlineStr">
        <is>
          <t>2025-01-08</t>
        </is>
      </c>
      <c r="C111" s="2" t="inlineStr">
        <is>
          <t>C0498</t>
        </is>
      </c>
      <c r="D111" s="2" t="inlineStr">
        <is>
          <t>P0006</t>
        </is>
      </c>
      <c r="E111" s="2" t="inlineStr">
        <is>
          <t>Mechanical Keyboard</t>
        </is>
      </c>
      <c r="F111" s="2" t="inlineStr">
        <is>
          <t>Electronics</t>
        </is>
      </c>
      <c r="G111" s="2" t="inlineStr">
        <is>
          <t>South</t>
        </is>
      </c>
      <c r="H111" s="2" t="inlineStr">
        <is>
          <t>Kerala</t>
        </is>
      </c>
      <c r="I111" s="2" t="inlineStr">
        <is>
          <t>Thiruvananthapuram</t>
        </is>
      </c>
      <c r="J111" s="2" t="inlineStr">
        <is>
          <t>Online</t>
        </is>
      </c>
      <c r="K111" s="2" t="n">
        <v>2</v>
      </c>
      <c r="L111" s="3" t="n">
        <v>2805.13</v>
      </c>
      <c r="M111" s="4" t="n">
        <v>0</v>
      </c>
      <c r="N111" s="3" t="n">
        <v>3009.78</v>
      </c>
      <c r="O111" s="3">
        <f>K111*L111*(1-M111)</f>
        <v/>
      </c>
      <c r="P111" s="3">
        <f>O111-N111</f>
        <v/>
      </c>
      <c r="Q111" s="5">
        <f>IFERROR(P111/O111,0)</f>
        <v/>
      </c>
      <c r="R111" s="2">
        <f>TEXT(DATEVALUE(B111),"mmm")</f>
        <v/>
      </c>
      <c r="S111" s="2">
        <f>TEXT(DATEVALUE(B111),"yyyy-mm")</f>
        <v/>
      </c>
    </row>
    <row r="112">
      <c r="A112" s="2" t="inlineStr">
        <is>
          <t>O002045</t>
        </is>
      </c>
      <c r="B112" s="2" t="inlineStr">
        <is>
          <t>2025-01-08</t>
        </is>
      </c>
      <c r="C112" s="2" t="inlineStr">
        <is>
          <t>C0590</t>
        </is>
      </c>
      <c r="D112" s="2" t="inlineStr">
        <is>
          <t>P0007</t>
        </is>
      </c>
      <c r="E112" s="2" t="inlineStr">
        <is>
          <t>Wireless Mouse</t>
        </is>
      </c>
      <c r="F112" s="2" t="inlineStr">
        <is>
          <t>Electronics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Thiruvananthapuram</t>
        </is>
      </c>
      <c r="J112" s="2" t="inlineStr">
        <is>
          <t>Online</t>
        </is>
      </c>
      <c r="K112" s="2" t="n">
        <v>1</v>
      </c>
      <c r="L112" s="3" t="n">
        <v>964.35</v>
      </c>
      <c r="M112" s="4" t="n">
        <v>0.15</v>
      </c>
      <c r="N112" s="3" t="n">
        <v>604.3099999999999</v>
      </c>
      <c r="O112" s="3">
        <f>K112*L112*(1-M112)</f>
        <v/>
      </c>
      <c r="P112" s="3">
        <f>O112-N112</f>
        <v/>
      </c>
      <c r="Q112" s="5">
        <f>IFERROR(P112/O112,0)</f>
        <v/>
      </c>
      <c r="R112" s="2">
        <f>TEXT(DATEVALUE(B112),"mmm")</f>
        <v/>
      </c>
      <c r="S112" s="2">
        <f>TEXT(DATEVALUE(B112),"yyyy-mm")</f>
        <v/>
      </c>
    </row>
    <row r="113">
      <c r="A113" s="2" t="inlineStr">
        <is>
          <t>O001942</t>
        </is>
      </c>
      <c r="B113" s="2" t="inlineStr">
        <is>
          <t>2025-01-08</t>
        </is>
      </c>
      <c r="C113" s="2" t="inlineStr">
        <is>
          <t>C0674</t>
        </is>
      </c>
      <c r="D113" s="2" t="inlineStr">
        <is>
          <t>P0015</t>
        </is>
      </c>
      <c r="E113" s="2" t="inlineStr">
        <is>
          <t>Running Shoes</t>
        </is>
      </c>
      <c r="F113" s="2" t="inlineStr">
        <is>
          <t>Fashion</t>
        </is>
      </c>
      <c r="G113" s="2" t="inlineStr">
        <is>
          <t>East</t>
        </is>
      </c>
      <c r="H113" s="2" t="inlineStr">
        <is>
          <t>West Bengal</t>
        </is>
      </c>
      <c r="I113" s="2" t="inlineStr">
        <is>
          <t>Durgapur</t>
        </is>
      </c>
      <c r="J113" s="2" t="inlineStr">
        <is>
          <t>Store</t>
        </is>
      </c>
      <c r="K113" s="2" t="n">
        <v>1</v>
      </c>
      <c r="L113" s="3" t="n">
        <v>623.64</v>
      </c>
      <c r="M113" s="4" t="n">
        <v>0.05</v>
      </c>
      <c r="N113" s="3" t="n">
        <v>359.45</v>
      </c>
      <c r="O113" s="3">
        <f>K113*L113*(1-M113)</f>
        <v/>
      </c>
      <c r="P113" s="3">
        <f>O113-N113</f>
        <v/>
      </c>
      <c r="Q113" s="5">
        <f>IFERROR(P113/O113,0)</f>
        <v/>
      </c>
      <c r="R113" s="2">
        <f>TEXT(DATEVALUE(B113),"mmm")</f>
        <v/>
      </c>
      <c r="S113" s="2">
        <f>TEXT(DATEVALUE(B113),"yyyy-mm")</f>
        <v/>
      </c>
    </row>
    <row r="114">
      <c r="A114" s="2" t="inlineStr">
        <is>
          <t>O001765</t>
        </is>
      </c>
      <c r="B114" s="2" t="inlineStr">
        <is>
          <t>2025-01-08</t>
        </is>
      </c>
      <c r="C114" s="2" t="inlineStr">
        <is>
          <t>C0085</t>
        </is>
      </c>
      <c r="D114" s="2" t="inlineStr">
        <is>
          <t>P0022</t>
        </is>
      </c>
      <c r="E114" s="2" t="inlineStr">
        <is>
          <t>Face Wash</t>
        </is>
      </c>
      <c r="F114" s="2" t="inlineStr">
        <is>
          <t>Beauty</t>
        </is>
      </c>
      <c r="G114" s="2" t="inlineStr">
        <is>
          <t>South</t>
        </is>
      </c>
      <c r="H114" s="2" t="inlineStr">
        <is>
          <t>Kerala</t>
        </is>
      </c>
      <c r="I114" s="2" t="inlineStr">
        <is>
          <t>Thiruvananthapuram</t>
        </is>
      </c>
      <c r="J114" s="2" t="inlineStr">
        <is>
          <t>Online</t>
        </is>
      </c>
      <c r="K114" s="2" t="n">
        <v>2</v>
      </c>
      <c r="L114" s="3" t="n">
        <v>570.36</v>
      </c>
      <c r="M114" s="4" t="n">
        <v>0.2</v>
      </c>
      <c r="N114" s="3" t="n">
        <v>684.09</v>
      </c>
      <c r="O114" s="3">
        <f>K114*L114*(1-M114)</f>
        <v/>
      </c>
      <c r="P114" s="3">
        <f>O114-N114</f>
        <v/>
      </c>
      <c r="Q114" s="5">
        <f>IFERROR(P114/O114,0)</f>
        <v/>
      </c>
      <c r="R114" s="2">
        <f>TEXT(DATEVALUE(B114),"mmm")</f>
        <v/>
      </c>
      <c r="S114" s="2">
        <f>TEXT(DATEVALUE(B114),"yyyy-mm")</f>
        <v/>
      </c>
    </row>
    <row r="115">
      <c r="A115" s="2" t="inlineStr">
        <is>
          <t>O001251</t>
        </is>
      </c>
      <c r="B115" s="2" t="inlineStr">
        <is>
          <t>2025-01-08</t>
        </is>
      </c>
      <c r="C115" s="2" t="inlineStr">
        <is>
          <t>C0031</t>
        </is>
      </c>
      <c r="D115" s="2" t="inlineStr">
        <is>
          <t>P0006</t>
        </is>
      </c>
      <c r="E115" s="2" t="inlineStr">
        <is>
          <t>Mechanical Keyboard</t>
        </is>
      </c>
      <c r="F115" s="2" t="inlineStr">
        <is>
          <t>Electronics</t>
        </is>
      </c>
      <c r="G115" s="2" t="inlineStr">
        <is>
          <t>South</t>
        </is>
      </c>
      <c r="H115" s="2" t="inlineStr">
        <is>
          <t>Karnataka</t>
        </is>
      </c>
      <c r="I115" s="2" t="inlineStr">
        <is>
          <t>Bengaluru</t>
        </is>
      </c>
      <c r="J115" s="2" t="inlineStr">
        <is>
          <t>Online</t>
        </is>
      </c>
      <c r="K115" s="2" t="n">
        <v>2</v>
      </c>
      <c r="L115" s="3" t="n">
        <v>2623.96</v>
      </c>
      <c r="M115" s="4" t="n">
        <v>0.05</v>
      </c>
      <c r="N115" s="3" t="n">
        <v>2903.81</v>
      </c>
      <c r="O115" s="3">
        <f>K115*L115*(1-M115)</f>
        <v/>
      </c>
      <c r="P115" s="3">
        <f>O115-N115</f>
        <v/>
      </c>
      <c r="Q115" s="5">
        <f>IFERROR(P115/O115,0)</f>
        <v/>
      </c>
      <c r="R115" s="2">
        <f>TEXT(DATEVALUE(B115),"mmm")</f>
        <v/>
      </c>
      <c r="S115" s="2">
        <f>TEXT(DATEVALUE(B115),"yyyy-mm")</f>
        <v/>
      </c>
    </row>
    <row r="116">
      <c r="A116" s="2" t="inlineStr">
        <is>
          <t>O000876</t>
        </is>
      </c>
      <c r="B116" s="2" t="inlineStr">
        <is>
          <t>2025-01-08</t>
        </is>
      </c>
      <c r="C116" s="2" t="inlineStr">
        <is>
          <t>C0663</t>
        </is>
      </c>
      <c r="D116" s="2" t="inlineStr">
        <is>
          <t>P0018</t>
        </is>
      </c>
      <c r="E116" s="2" t="inlineStr">
        <is>
          <t>Backpack</t>
        </is>
      </c>
      <c r="F116" s="2" t="inlineStr">
        <is>
          <t>Fashion</t>
        </is>
      </c>
      <c r="G116" s="2" t="inlineStr">
        <is>
          <t>South</t>
        </is>
      </c>
      <c r="H116" s="2" t="inlineStr">
        <is>
          <t>Tamil Nadu</t>
        </is>
      </c>
      <c r="I116" s="2" t="inlineStr">
        <is>
          <t>Chennai</t>
        </is>
      </c>
      <c r="J116" s="2" t="inlineStr">
        <is>
          <t>Online</t>
        </is>
      </c>
      <c r="K116" s="2" t="n">
        <v>3</v>
      </c>
      <c r="L116" s="3" t="n">
        <v>1877.19</v>
      </c>
      <c r="M116" s="4" t="n">
        <v>0.15</v>
      </c>
      <c r="N116" s="3" t="n">
        <v>3994.33</v>
      </c>
      <c r="O116" s="3">
        <f>K116*L116*(1-M116)</f>
        <v/>
      </c>
      <c r="P116" s="3">
        <f>O116-N116</f>
        <v/>
      </c>
      <c r="Q116" s="5">
        <f>IFERROR(P116/O116,0)</f>
        <v/>
      </c>
      <c r="R116" s="2">
        <f>TEXT(DATEVALUE(B116),"mmm")</f>
        <v/>
      </c>
      <c r="S116" s="2">
        <f>TEXT(DATEVALUE(B116),"yyyy-mm")</f>
        <v/>
      </c>
    </row>
    <row r="117">
      <c r="A117" s="2" t="inlineStr">
        <is>
          <t>O000688</t>
        </is>
      </c>
      <c r="B117" s="2" t="inlineStr">
        <is>
          <t>2025-01-08</t>
        </is>
      </c>
      <c r="C117" s="2" t="inlineStr">
        <is>
          <t>C0390</t>
        </is>
      </c>
      <c r="D117" s="2" t="inlineStr">
        <is>
          <t>P0021</t>
        </is>
      </c>
      <c r="E117" s="2" t="inlineStr">
        <is>
          <t>Wallet</t>
        </is>
      </c>
      <c r="F117" s="2" t="inlineStr">
        <is>
          <t>Fashion</t>
        </is>
      </c>
      <c r="G117" s="2" t="inlineStr">
        <is>
          <t>South</t>
        </is>
      </c>
      <c r="H117" s="2" t="inlineStr">
        <is>
          <t>Telangana</t>
        </is>
      </c>
      <c r="I117" s="2" t="inlineStr">
        <is>
          <t>Hyderabad</t>
        </is>
      </c>
      <c r="J117" s="2" t="inlineStr">
        <is>
          <t>Store</t>
        </is>
      </c>
      <c r="K117" s="2" t="n">
        <v>2</v>
      </c>
      <c r="L117" s="3" t="n">
        <v>1938.04</v>
      </c>
      <c r="M117" s="4" t="n">
        <v>0.05</v>
      </c>
      <c r="N117" s="3" t="n">
        <v>2479.66</v>
      </c>
      <c r="O117" s="3">
        <f>K117*L117*(1-M117)</f>
        <v/>
      </c>
      <c r="P117" s="3">
        <f>O117-N117</f>
        <v/>
      </c>
      <c r="Q117" s="5">
        <f>IFERROR(P117/O117,0)</f>
        <v/>
      </c>
      <c r="R117" s="2">
        <f>TEXT(DATEVALUE(B117),"mmm")</f>
        <v/>
      </c>
      <c r="S117" s="2">
        <f>TEXT(DATEVALUE(B117),"yyyy-mm")</f>
        <v/>
      </c>
    </row>
    <row r="118">
      <c r="A118" s="2" t="inlineStr">
        <is>
          <t>O002967</t>
        </is>
      </c>
      <c r="B118" s="2" t="inlineStr">
        <is>
          <t>2025-01-08</t>
        </is>
      </c>
      <c r="C118" s="2" t="inlineStr">
        <is>
          <t>C0069</t>
        </is>
      </c>
      <c r="D118" s="2" t="inlineStr">
        <is>
          <t>P0008</t>
        </is>
      </c>
      <c r="E118" s="2" t="inlineStr">
        <is>
          <t>Air Fryer</t>
        </is>
      </c>
      <c r="F118" s="2" t="inlineStr">
        <is>
          <t>Home &amp; Kitchen</t>
        </is>
      </c>
      <c r="G118" s="2" t="inlineStr">
        <is>
          <t>West</t>
        </is>
      </c>
      <c r="H118" s="2" t="inlineStr">
        <is>
          <t>Goa</t>
        </is>
      </c>
      <c r="I118" s="2" t="inlineStr">
        <is>
          <t>Panaji</t>
        </is>
      </c>
      <c r="J118" s="2" t="inlineStr">
        <is>
          <t>Online</t>
        </is>
      </c>
      <c r="K118" s="2" t="n">
        <v>6</v>
      </c>
      <c r="L118" s="3" t="n">
        <v>1022.69</v>
      </c>
      <c r="M118" s="4" t="n">
        <v>0.05</v>
      </c>
      <c r="N118" s="3" t="n">
        <v>4116.93</v>
      </c>
      <c r="O118" s="3">
        <f>K118*L118*(1-M118)</f>
        <v/>
      </c>
      <c r="P118" s="3">
        <f>O118-N118</f>
        <v/>
      </c>
      <c r="Q118" s="5">
        <f>IFERROR(P118/O118,0)</f>
        <v/>
      </c>
      <c r="R118" s="2">
        <f>TEXT(DATEVALUE(B118),"mmm")</f>
        <v/>
      </c>
      <c r="S118" s="2">
        <f>TEXT(DATEVALUE(B118),"yyyy-mm")</f>
        <v/>
      </c>
    </row>
    <row r="119">
      <c r="A119" s="2" t="inlineStr">
        <is>
          <t>O001784</t>
        </is>
      </c>
      <c r="B119" s="2" t="inlineStr">
        <is>
          <t>2025-01-09</t>
        </is>
      </c>
      <c r="C119" s="2" t="inlineStr">
        <is>
          <t>C0568</t>
        </is>
      </c>
      <c r="D119" s="2" t="inlineStr">
        <is>
          <t>P0022</t>
        </is>
      </c>
      <c r="E119" s="2" t="inlineStr">
        <is>
          <t>Face Wash</t>
        </is>
      </c>
      <c r="F119" s="2" t="inlineStr">
        <is>
          <t>Beauty</t>
        </is>
      </c>
      <c r="G119" s="2" t="inlineStr">
        <is>
          <t>South</t>
        </is>
      </c>
      <c r="H119" s="2" t="inlineStr">
        <is>
          <t>Tamil Nadu</t>
        </is>
      </c>
      <c r="I119" s="2" t="inlineStr">
        <is>
          <t>Chennai</t>
        </is>
      </c>
      <c r="J119" s="2" t="inlineStr">
        <is>
          <t>Online</t>
        </is>
      </c>
      <c r="K119" s="2" t="n">
        <v>2</v>
      </c>
      <c r="L119" s="3" t="n">
        <v>532.8200000000001</v>
      </c>
      <c r="M119" s="4" t="n">
        <v>0.05</v>
      </c>
      <c r="N119" s="3" t="n">
        <v>707.39</v>
      </c>
      <c r="O119" s="3">
        <f>K119*L119*(1-M119)</f>
        <v/>
      </c>
      <c r="P119" s="3">
        <f>O119-N119</f>
        <v/>
      </c>
      <c r="Q119" s="5">
        <f>IFERROR(P119/O119,0)</f>
        <v/>
      </c>
      <c r="R119" s="2">
        <f>TEXT(DATEVALUE(B119),"mmm")</f>
        <v/>
      </c>
      <c r="S119" s="2">
        <f>TEXT(DATEVALUE(B119),"yyyy-mm")</f>
        <v/>
      </c>
    </row>
    <row r="120">
      <c r="A120" s="2" t="inlineStr">
        <is>
          <t>O002204</t>
        </is>
      </c>
      <c r="B120" s="2" t="inlineStr">
        <is>
          <t>2025-01-09</t>
        </is>
      </c>
      <c r="C120" s="2" t="inlineStr">
        <is>
          <t>C0495</t>
        </is>
      </c>
      <c r="D120" s="2" t="inlineStr">
        <is>
          <t>P0016</t>
        </is>
      </c>
      <c r="E120" s="2" t="inlineStr">
        <is>
          <t>Casual Shirt</t>
        </is>
      </c>
      <c r="F120" s="2" t="inlineStr">
        <is>
          <t>Fashion</t>
        </is>
      </c>
      <c r="G120" s="2" t="inlineStr">
        <is>
          <t>West</t>
        </is>
      </c>
      <c r="H120" s="2" t="inlineStr">
        <is>
          <t>Maharashtra</t>
        </is>
      </c>
      <c r="I120" s="2" t="inlineStr">
        <is>
          <t>Nashik</t>
        </is>
      </c>
      <c r="J120" s="2" t="inlineStr">
        <is>
          <t>Store</t>
        </is>
      </c>
      <c r="K120" s="2" t="n">
        <v>2</v>
      </c>
      <c r="L120" s="3" t="n">
        <v>1293.67</v>
      </c>
      <c r="M120" s="4" t="n">
        <v>0</v>
      </c>
      <c r="N120" s="3" t="n">
        <v>1856.75</v>
      </c>
      <c r="O120" s="3">
        <f>K120*L120*(1-M120)</f>
        <v/>
      </c>
      <c r="P120" s="3">
        <f>O120-N120</f>
        <v/>
      </c>
      <c r="Q120" s="5">
        <f>IFERROR(P120/O120,0)</f>
        <v/>
      </c>
      <c r="R120" s="2">
        <f>TEXT(DATEVALUE(B120),"mmm")</f>
        <v/>
      </c>
      <c r="S120" s="2">
        <f>TEXT(DATEVALUE(B120),"yyyy-mm")</f>
        <v/>
      </c>
    </row>
    <row r="121">
      <c r="A121" s="2" t="inlineStr">
        <is>
          <t>O004167</t>
        </is>
      </c>
      <c r="B121" s="2" t="inlineStr">
        <is>
          <t>2025-01-09</t>
        </is>
      </c>
      <c r="C121" s="2" t="inlineStr">
        <is>
          <t>C0634</t>
        </is>
      </c>
      <c r="D121" s="2" t="inlineStr">
        <is>
          <t>P0004</t>
        </is>
      </c>
      <c r="E121" s="2" t="inlineStr">
        <is>
          <t>USB-C Hub</t>
        </is>
      </c>
      <c r="F121" s="2" t="inlineStr">
        <is>
          <t>Electronics</t>
        </is>
      </c>
      <c r="G121" s="2" t="inlineStr">
        <is>
          <t>West</t>
        </is>
      </c>
      <c r="H121" s="2" t="inlineStr">
        <is>
          <t>Gujarat</t>
        </is>
      </c>
      <c r="I121" s="2" t="inlineStr">
        <is>
          <t>Surat</t>
        </is>
      </c>
      <c r="J121" s="2" t="inlineStr">
        <is>
          <t>Online</t>
        </is>
      </c>
      <c r="K121" s="2" t="n">
        <v>1</v>
      </c>
      <c r="L121" s="3" t="n">
        <v>1249.59</v>
      </c>
      <c r="M121" s="4" t="n">
        <v>0.2</v>
      </c>
      <c r="N121" s="3" t="n">
        <v>942.1</v>
      </c>
      <c r="O121" s="3">
        <f>K121*L121*(1-M121)</f>
        <v/>
      </c>
      <c r="P121" s="3">
        <f>O121-N121</f>
        <v/>
      </c>
      <c r="Q121" s="5">
        <f>IFERROR(P121/O121,0)</f>
        <v/>
      </c>
      <c r="R121" s="2">
        <f>TEXT(DATEVALUE(B121),"mmm")</f>
        <v/>
      </c>
      <c r="S121" s="2">
        <f>TEXT(DATEVALUE(B121),"yyyy-mm")</f>
        <v/>
      </c>
    </row>
    <row r="122">
      <c r="A122" s="2" t="inlineStr">
        <is>
          <t>O001844</t>
        </is>
      </c>
      <c r="B122" s="2" t="inlineStr">
        <is>
          <t>2025-01-09</t>
        </is>
      </c>
      <c r="C122" s="2" t="inlineStr">
        <is>
          <t>C0456</t>
        </is>
      </c>
      <c r="D122" s="2" t="inlineStr">
        <is>
          <t>P0031</t>
        </is>
      </c>
      <c r="E122" s="2" t="inlineStr">
        <is>
          <t>Cricket Bat</t>
        </is>
      </c>
      <c r="F122" s="2" t="inlineStr">
        <is>
          <t>Sports</t>
        </is>
      </c>
      <c r="G122" s="2" t="inlineStr">
        <is>
          <t>West</t>
        </is>
      </c>
      <c r="H122" s="2" t="inlineStr">
        <is>
          <t>Gujarat</t>
        </is>
      </c>
      <c r="I122" s="2" t="inlineStr">
        <is>
          <t>Vadodara</t>
        </is>
      </c>
      <c r="J122" s="2" t="inlineStr">
        <is>
          <t>Online</t>
        </is>
      </c>
      <c r="K122" s="2" t="n">
        <v>1</v>
      </c>
      <c r="L122" s="3" t="n">
        <v>1376.74</v>
      </c>
      <c r="M122" s="4" t="n">
        <v>0</v>
      </c>
      <c r="N122" s="3" t="n">
        <v>919.5700000000001</v>
      </c>
      <c r="O122" s="3">
        <f>K122*L122*(1-M122)</f>
        <v/>
      </c>
      <c r="P122" s="3">
        <f>O122-N122</f>
        <v/>
      </c>
      <c r="Q122" s="5">
        <f>IFERROR(P122/O122,0)</f>
        <v/>
      </c>
      <c r="R122" s="2">
        <f>TEXT(DATEVALUE(B122),"mmm")</f>
        <v/>
      </c>
      <c r="S122" s="2">
        <f>TEXT(DATEVALUE(B122),"yyyy-mm")</f>
        <v/>
      </c>
    </row>
    <row r="123">
      <c r="A123" s="2" t="inlineStr">
        <is>
          <t>O001598</t>
        </is>
      </c>
      <c r="B123" s="2" t="inlineStr">
        <is>
          <t>2025-01-09</t>
        </is>
      </c>
      <c r="C123" s="2" t="inlineStr">
        <is>
          <t>C0447</t>
        </is>
      </c>
      <c r="D123" s="2" t="inlineStr">
        <is>
          <t>P0031</t>
        </is>
      </c>
      <c r="E123" s="2" t="inlineStr">
        <is>
          <t>Cricket Bat</t>
        </is>
      </c>
      <c r="F123" s="2" t="inlineStr">
        <is>
          <t>Sports</t>
        </is>
      </c>
      <c r="G123" s="2" t="inlineStr">
        <is>
          <t>West</t>
        </is>
      </c>
      <c r="H123" s="2" t="inlineStr">
        <is>
          <t>Gujarat</t>
        </is>
      </c>
      <c r="I123" s="2" t="inlineStr">
        <is>
          <t>Surat</t>
        </is>
      </c>
      <c r="J123" s="2" t="inlineStr">
        <is>
          <t>Store</t>
        </is>
      </c>
      <c r="K123" s="2" t="n">
        <v>2</v>
      </c>
      <c r="L123" s="3" t="n">
        <v>1337.74</v>
      </c>
      <c r="M123" s="4" t="n">
        <v>0.2</v>
      </c>
      <c r="N123" s="3" t="n">
        <v>1899.62</v>
      </c>
      <c r="O123" s="3">
        <f>K123*L123*(1-M123)</f>
        <v/>
      </c>
      <c r="P123" s="3">
        <f>O123-N123</f>
        <v/>
      </c>
      <c r="Q123" s="5">
        <f>IFERROR(P123/O123,0)</f>
        <v/>
      </c>
      <c r="R123" s="2">
        <f>TEXT(DATEVALUE(B123),"mmm")</f>
        <v/>
      </c>
      <c r="S123" s="2">
        <f>TEXT(DATEVALUE(B123),"yyyy-mm")</f>
        <v/>
      </c>
    </row>
    <row r="124">
      <c r="A124" s="2" t="inlineStr">
        <is>
          <t>O000270</t>
        </is>
      </c>
      <c r="B124" s="2" t="inlineStr">
        <is>
          <t>2025-01-09</t>
        </is>
      </c>
      <c r="C124" s="2" t="inlineStr">
        <is>
          <t>C0267</t>
        </is>
      </c>
      <c r="D124" s="2" t="inlineStr">
        <is>
          <t>P0012</t>
        </is>
      </c>
      <c r="E124" s="2" t="inlineStr">
        <is>
          <t>Water Bottle</t>
        </is>
      </c>
      <c r="F124" s="2" t="inlineStr">
        <is>
          <t>Home &amp; Kitchen</t>
        </is>
      </c>
      <c r="G124" s="2" t="inlineStr">
        <is>
          <t>North</t>
        </is>
      </c>
      <c r="H124" s="2" t="inlineStr">
        <is>
          <t>Punjab</t>
        </is>
      </c>
      <c r="I124" s="2" t="inlineStr">
        <is>
          <t>Amritsar</t>
        </is>
      </c>
      <c r="J124" s="2" t="inlineStr">
        <is>
          <t>Online</t>
        </is>
      </c>
      <c r="K124" s="2" t="n">
        <v>2</v>
      </c>
      <c r="L124" s="3" t="n">
        <v>985.1900000000001</v>
      </c>
      <c r="M124" s="4" t="n">
        <v>0.2</v>
      </c>
      <c r="N124" s="3" t="n">
        <v>1250.23</v>
      </c>
      <c r="O124" s="3">
        <f>K124*L124*(1-M124)</f>
        <v/>
      </c>
      <c r="P124" s="3">
        <f>O124-N124</f>
        <v/>
      </c>
      <c r="Q124" s="5">
        <f>IFERROR(P124/O124,0)</f>
        <v/>
      </c>
      <c r="R124" s="2">
        <f>TEXT(DATEVALUE(B124),"mmm")</f>
        <v/>
      </c>
      <c r="S124" s="2">
        <f>TEXT(DATEVALUE(B124),"yyyy-mm")</f>
        <v/>
      </c>
    </row>
    <row r="125">
      <c r="A125" s="2" t="inlineStr">
        <is>
          <t>O001320</t>
        </is>
      </c>
      <c r="B125" s="2" t="inlineStr">
        <is>
          <t>2025-01-09</t>
        </is>
      </c>
      <c r="C125" s="2" t="inlineStr">
        <is>
          <t>C0734</t>
        </is>
      </c>
      <c r="D125" s="2" t="inlineStr">
        <is>
          <t>P0007</t>
        </is>
      </c>
      <c r="E125" s="2" t="inlineStr">
        <is>
          <t>Wireless Mouse</t>
        </is>
      </c>
      <c r="F125" s="2" t="inlineStr">
        <is>
          <t>Electronics</t>
        </is>
      </c>
      <c r="G125" s="2" t="inlineStr">
        <is>
          <t>North</t>
        </is>
      </c>
      <c r="H125" s="2" t="inlineStr">
        <is>
          <t>Delhi</t>
        </is>
      </c>
      <c r="I125" s="2" t="inlineStr">
        <is>
          <t>New Delhi</t>
        </is>
      </c>
      <c r="J125" s="2" t="inlineStr">
        <is>
          <t>Store</t>
        </is>
      </c>
      <c r="K125" s="2" t="n">
        <v>2</v>
      </c>
      <c r="L125" s="3" t="n">
        <v>994.3099999999999</v>
      </c>
      <c r="M125" s="4" t="n">
        <v>0.15</v>
      </c>
      <c r="N125" s="3" t="n">
        <v>1207.35</v>
      </c>
      <c r="O125" s="3">
        <f>K125*L125*(1-M125)</f>
        <v/>
      </c>
      <c r="P125" s="3">
        <f>O125-N125</f>
        <v/>
      </c>
      <c r="Q125" s="5">
        <f>IFERROR(P125/O125,0)</f>
        <v/>
      </c>
      <c r="R125" s="2">
        <f>TEXT(DATEVALUE(B125),"mmm")</f>
        <v/>
      </c>
      <c r="S125" s="2">
        <f>TEXT(DATEVALUE(B125),"yyyy-mm")</f>
        <v/>
      </c>
    </row>
    <row r="126">
      <c r="A126" s="2" t="inlineStr">
        <is>
          <t>O000602</t>
        </is>
      </c>
      <c r="B126" s="2" t="inlineStr">
        <is>
          <t>2025-01-09</t>
        </is>
      </c>
      <c r="C126" s="2" t="inlineStr">
        <is>
          <t>C0694</t>
        </is>
      </c>
      <c r="D126" s="2" t="inlineStr">
        <is>
          <t>P0005</t>
        </is>
      </c>
      <c r="E126" s="2" t="inlineStr">
        <is>
          <t>Power Bank</t>
        </is>
      </c>
      <c r="F126" s="2" t="inlineStr">
        <is>
          <t>Electronics</t>
        </is>
      </c>
      <c r="G126" s="2" t="inlineStr">
        <is>
          <t>North</t>
        </is>
      </c>
      <c r="H126" s="2" t="inlineStr">
        <is>
          <t>Uttar Pradesh</t>
        </is>
      </c>
      <c r="I126" s="2" t="inlineStr">
        <is>
          <t>Lucknow</t>
        </is>
      </c>
      <c r="J126" s="2" t="inlineStr">
        <is>
          <t>Online</t>
        </is>
      </c>
      <c r="K126" s="2" t="n">
        <v>4</v>
      </c>
      <c r="L126" s="3" t="n">
        <v>1133.97</v>
      </c>
      <c r="M126" s="4" t="n">
        <v>0.05</v>
      </c>
      <c r="N126" s="3" t="n">
        <v>2676.93</v>
      </c>
      <c r="O126" s="3">
        <f>K126*L126*(1-M126)</f>
        <v/>
      </c>
      <c r="P126" s="3">
        <f>O126-N126</f>
        <v/>
      </c>
      <c r="Q126" s="5">
        <f>IFERROR(P126/O126,0)</f>
        <v/>
      </c>
      <c r="R126" s="2">
        <f>TEXT(DATEVALUE(B126),"mmm")</f>
        <v/>
      </c>
      <c r="S126" s="2">
        <f>TEXT(DATEVALUE(B126),"yyyy-mm")</f>
        <v/>
      </c>
    </row>
    <row r="127">
      <c r="A127" s="2" t="inlineStr">
        <is>
          <t>O000098</t>
        </is>
      </c>
      <c r="B127" s="2" t="inlineStr">
        <is>
          <t>2025-01-09</t>
        </is>
      </c>
      <c r="C127" s="2" t="inlineStr">
        <is>
          <t>C0013</t>
        </is>
      </c>
      <c r="D127" s="2" t="inlineStr">
        <is>
          <t>P0003</t>
        </is>
      </c>
      <c r="E127" s="2" t="inlineStr">
        <is>
          <t>Smartwatch</t>
        </is>
      </c>
      <c r="F127" s="2" t="inlineStr">
        <is>
          <t>Electronics</t>
        </is>
      </c>
      <c r="G127" s="2" t="inlineStr">
        <is>
          <t>West</t>
        </is>
      </c>
      <c r="H127" s="2" t="inlineStr">
        <is>
          <t>Gujarat</t>
        </is>
      </c>
      <c r="I127" s="2" t="inlineStr">
        <is>
          <t>Vadodara</t>
        </is>
      </c>
      <c r="J127" s="2" t="inlineStr">
        <is>
          <t>Store</t>
        </is>
      </c>
      <c r="K127" s="2" t="n">
        <v>2</v>
      </c>
      <c r="L127" s="3" t="n">
        <v>2336.76</v>
      </c>
      <c r="M127" s="4" t="n">
        <v>0.05</v>
      </c>
      <c r="N127" s="3" t="n">
        <v>2342.13</v>
      </c>
      <c r="O127" s="3">
        <f>K127*L127*(1-M127)</f>
        <v/>
      </c>
      <c r="P127" s="3">
        <f>O127-N127</f>
        <v/>
      </c>
      <c r="Q127" s="5">
        <f>IFERROR(P127/O127,0)</f>
        <v/>
      </c>
      <c r="R127" s="2">
        <f>TEXT(DATEVALUE(B127),"mmm")</f>
        <v/>
      </c>
      <c r="S127" s="2">
        <f>TEXT(DATEVALUE(B127),"yyyy-mm")</f>
        <v/>
      </c>
    </row>
    <row r="128">
      <c r="A128" s="2" t="inlineStr">
        <is>
          <t>O001568</t>
        </is>
      </c>
      <c r="B128" s="2" t="inlineStr">
        <is>
          <t>2025-01-09</t>
        </is>
      </c>
      <c r="C128" s="2" t="inlineStr">
        <is>
          <t>C0556</t>
        </is>
      </c>
      <c r="D128" s="2" t="inlineStr">
        <is>
          <t>P0023</t>
        </is>
      </c>
      <c r="E128" s="2" t="inlineStr">
        <is>
          <t>Skin Care Kit</t>
        </is>
      </c>
      <c r="F128" s="2" t="inlineStr">
        <is>
          <t>Beauty</t>
        </is>
      </c>
      <c r="G128" s="2" t="inlineStr">
        <is>
          <t>South</t>
        </is>
      </c>
      <c r="H128" s="2" t="inlineStr">
        <is>
          <t>Karnataka</t>
        </is>
      </c>
      <c r="I128" s="2" t="inlineStr">
        <is>
          <t>Bengaluru</t>
        </is>
      </c>
      <c r="J128" s="2" t="inlineStr">
        <is>
          <t>Online</t>
        </is>
      </c>
      <c r="K128" s="2" t="n">
        <v>1</v>
      </c>
      <c r="L128" s="3" t="n">
        <v>1383.16</v>
      </c>
      <c r="M128" s="4" t="n">
        <v>0.1</v>
      </c>
      <c r="N128" s="3" t="n">
        <v>891.1799999999999</v>
      </c>
      <c r="O128" s="3">
        <f>K128*L128*(1-M128)</f>
        <v/>
      </c>
      <c r="P128" s="3">
        <f>O128-N128</f>
        <v/>
      </c>
      <c r="Q128" s="5">
        <f>IFERROR(P128/O128,0)</f>
        <v/>
      </c>
      <c r="R128" s="2">
        <f>TEXT(DATEVALUE(B128),"mmm")</f>
        <v/>
      </c>
      <c r="S128" s="2">
        <f>TEXT(DATEVALUE(B128),"yyyy-mm")</f>
        <v/>
      </c>
    </row>
    <row r="129">
      <c r="A129" s="2" t="inlineStr">
        <is>
          <t>O004169</t>
        </is>
      </c>
      <c r="B129" s="2" t="inlineStr">
        <is>
          <t>2025-01-10</t>
        </is>
      </c>
      <c r="C129" s="2" t="inlineStr">
        <is>
          <t>C0785</t>
        </is>
      </c>
      <c r="D129" s="2" t="inlineStr">
        <is>
          <t>P0007</t>
        </is>
      </c>
      <c r="E129" s="2" t="inlineStr">
        <is>
          <t>Wireless Mouse</t>
        </is>
      </c>
      <c r="F129" s="2" t="inlineStr">
        <is>
          <t>Electronics</t>
        </is>
      </c>
      <c r="G129" s="2" t="inlineStr">
        <is>
          <t>West</t>
        </is>
      </c>
      <c r="H129" s="2" t="inlineStr">
        <is>
          <t>Maharashtra</t>
        </is>
      </c>
      <c r="I129" s="2" t="inlineStr">
        <is>
          <t>Thane</t>
        </is>
      </c>
      <c r="J129" s="2" t="inlineStr">
        <is>
          <t>Store</t>
        </is>
      </c>
      <c r="K129" s="2" t="n">
        <v>3</v>
      </c>
      <c r="L129" s="3" t="n">
        <v>992.26</v>
      </c>
      <c r="M129" s="4" t="n">
        <v>0.05</v>
      </c>
      <c r="N129" s="3" t="n">
        <v>1930.47</v>
      </c>
      <c r="O129" s="3">
        <f>K129*L129*(1-M129)</f>
        <v/>
      </c>
      <c r="P129" s="3">
        <f>O129-N129</f>
        <v/>
      </c>
      <c r="Q129" s="5">
        <f>IFERROR(P129/O129,0)</f>
        <v/>
      </c>
      <c r="R129" s="2">
        <f>TEXT(DATEVALUE(B129),"mmm")</f>
        <v/>
      </c>
      <c r="S129" s="2">
        <f>TEXT(DATEVALUE(B129),"yyyy-mm")</f>
        <v/>
      </c>
    </row>
    <row r="130">
      <c r="A130" s="2" t="inlineStr">
        <is>
          <t>O004016</t>
        </is>
      </c>
      <c r="B130" s="2" t="inlineStr">
        <is>
          <t>2025-01-10</t>
        </is>
      </c>
      <c r="C130" s="2" t="inlineStr">
        <is>
          <t>C0348</t>
        </is>
      </c>
      <c r="D130" s="2" t="inlineStr">
        <is>
          <t>P0020</t>
        </is>
      </c>
      <c r="E130" s="2" t="inlineStr">
        <is>
          <t>Sneakers</t>
        </is>
      </c>
      <c r="F130" s="2" t="inlineStr">
        <is>
          <t>Fashion</t>
        </is>
      </c>
      <c r="G130" s="2" t="inlineStr">
        <is>
          <t>South</t>
        </is>
      </c>
      <c r="H130" s="2" t="inlineStr">
        <is>
          <t>Karnataka</t>
        </is>
      </c>
      <c r="I130" s="2" t="inlineStr">
        <is>
          <t>Bengaluru</t>
        </is>
      </c>
      <c r="J130" s="2" t="inlineStr">
        <is>
          <t>Online</t>
        </is>
      </c>
      <c r="K130" s="2" t="n">
        <v>2</v>
      </c>
      <c r="L130" s="3" t="n">
        <v>2012.35</v>
      </c>
      <c r="M130" s="4" t="n">
        <v>0</v>
      </c>
      <c r="N130" s="3" t="n">
        <v>3010.26</v>
      </c>
      <c r="O130" s="3">
        <f>K130*L130*(1-M130)</f>
        <v/>
      </c>
      <c r="P130" s="3">
        <f>O130-N130</f>
        <v/>
      </c>
      <c r="Q130" s="5">
        <f>IFERROR(P130/O130,0)</f>
        <v/>
      </c>
      <c r="R130" s="2">
        <f>TEXT(DATEVALUE(B130),"mmm")</f>
        <v/>
      </c>
      <c r="S130" s="2">
        <f>TEXT(DATEVALUE(B130),"yyyy-mm")</f>
        <v/>
      </c>
    </row>
    <row r="131">
      <c r="A131" s="2" t="inlineStr">
        <is>
          <t>O003652</t>
        </is>
      </c>
      <c r="B131" s="2" t="inlineStr">
        <is>
          <t>2025-01-10</t>
        </is>
      </c>
      <c r="C131" s="2" t="inlineStr">
        <is>
          <t>C0427</t>
        </is>
      </c>
      <c r="D131" s="2" t="inlineStr">
        <is>
          <t>P0016</t>
        </is>
      </c>
      <c r="E131" s="2" t="inlineStr">
        <is>
          <t>Casual Shirt</t>
        </is>
      </c>
      <c r="F131" s="2" t="inlineStr">
        <is>
          <t>Fashion</t>
        </is>
      </c>
      <c r="G131" s="2" t="inlineStr">
        <is>
          <t>South</t>
        </is>
      </c>
      <c r="H131" s="2" t="inlineStr">
        <is>
          <t>Karnataka</t>
        </is>
      </c>
      <c r="I131" s="2" t="inlineStr">
        <is>
          <t>Mysuru</t>
        </is>
      </c>
      <c r="J131" s="2" t="inlineStr">
        <is>
          <t>Store</t>
        </is>
      </c>
      <c r="K131" s="2" t="n">
        <v>3</v>
      </c>
      <c r="L131" s="3" t="n">
        <v>1332.26</v>
      </c>
      <c r="M131" s="4" t="n">
        <v>0.2</v>
      </c>
      <c r="N131" s="3" t="n">
        <v>2762.82</v>
      </c>
      <c r="O131" s="3">
        <f>K131*L131*(1-M131)</f>
        <v/>
      </c>
      <c r="P131" s="3">
        <f>O131-N131</f>
        <v/>
      </c>
      <c r="Q131" s="5">
        <f>IFERROR(P131/O131,0)</f>
        <v/>
      </c>
      <c r="R131" s="2">
        <f>TEXT(DATEVALUE(B131),"mmm")</f>
        <v/>
      </c>
      <c r="S131" s="2">
        <f>TEXT(DATEVALUE(B131),"yyyy-mm")</f>
        <v/>
      </c>
    </row>
    <row r="132">
      <c r="A132" s="2" t="inlineStr">
        <is>
          <t>O002684</t>
        </is>
      </c>
      <c r="B132" s="2" t="inlineStr">
        <is>
          <t>2025-01-10</t>
        </is>
      </c>
      <c r="C132" s="2" t="inlineStr">
        <is>
          <t>C0179</t>
        </is>
      </c>
      <c r="D132" s="2" t="inlineStr">
        <is>
          <t>P0003</t>
        </is>
      </c>
      <c r="E132" s="2" t="inlineStr">
        <is>
          <t>Smartwatch</t>
        </is>
      </c>
      <c r="F132" s="2" t="inlineStr">
        <is>
          <t>Electronics</t>
        </is>
      </c>
      <c r="G132" s="2" t="inlineStr">
        <is>
          <t>West</t>
        </is>
      </c>
      <c r="H132" s="2" t="inlineStr">
        <is>
          <t>Maharashtra</t>
        </is>
      </c>
      <c r="I132" s="2" t="inlineStr">
        <is>
          <t>Mumbai</t>
        </is>
      </c>
      <c r="J132" s="2" t="inlineStr">
        <is>
          <t>Online</t>
        </is>
      </c>
      <c r="K132" s="2" t="n">
        <v>3</v>
      </c>
      <c r="L132" s="3" t="n">
        <v>2199.52</v>
      </c>
      <c r="M132" s="4" t="n">
        <v>0</v>
      </c>
      <c r="N132" s="3" t="n">
        <v>3664.26</v>
      </c>
      <c r="O132" s="3">
        <f>K132*L132*(1-M132)</f>
        <v/>
      </c>
      <c r="P132" s="3">
        <f>O132-N132</f>
        <v/>
      </c>
      <c r="Q132" s="5">
        <f>IFERROR(P132/O132,0)</f>
        <v/>
      </c>
      <c r="R132" s="2">
        <f>TEXT(DATEVALUE(B132),"mmm")</f>
        <v/>
      </c>
      <c r="S132" s="2">
        <f>TEXT(DATEVALUE(B132),"yyyy-mm")</f>
        <v/>
      </c>
    </row>
    <row r="133">
      <c r="A133" s="2" t="inlineStr">
        <is>
          <t>O002602</t>
        </is>
      </c>
      <c r="B133" s="2" t="inlineStr">
        <is>
          <t>2025-01-10</t>
        </is>
      </c>
      <c r="C133" s="2" t="inlineStr">
        <is>
          <t>C0313</t>
        </is>
      </c>
      <c r="D133" s="2" t="inlineStr">
        <is>
          <t>P0024</t>
        </is>
      </c>
      <c r="E133" s="2" t="inlineStr">
        <is>
          <t>Hair Dryer</t>
        </is>
      </c>
      <c r="F133" s="2" t="inlineStr">
        <is>
          <t>Beauty</t>
        </is>
      </c>
      <c r="G133" s="2" t="inlineStr">
        <is>
          <t>North</t>
        </is>
      </c>
      <c r="H133" s="2" t="inlineStr">
        <is>
          <t>Uttar Pradesh</t>
        </is>
      </c>
      <c r="I133" s="2" t="inlineStr">
        <is>
          <t>Noida</t>
        </is>
      </c>
      <c r="J133" s="2" t="inlineStr">
        <is>
          <t>Online</t>
        </is>
      </c>
      <c r="K133" s="2" t="n">
        <v>2</v>
      </c>
      <c r="L133" s="3" t="n">
        <v>1045.66</v>
      </c>
      <c r="M133" s="4" t="n">
        <v>0.05</v>
      </c>
      <c r="N133" s="3" t="n">
        <v>1497.94</v>
      </c>
      <c r="O133" s="3">
        <f>K133*L133*(1-M133)</f>
        <v/>
      </c>
      <c r="P133" s="3">
        <f>O133-N133</f>
        <v/>
      </c>
      <c r="Q133" s="5">
        <f>IFERROR(P133/O133,0)</f>
        <v/>
      </c>
      <c r="R133" s="2">
        <f>TEXT(DATEVALUE(B133),"mmm")</f>
        <v/>
      </c>
      <c r="S133" s="2">
        <f>TEXT(DATEVALUE(B133),"yyyy-mm")</f>
        <v/>
      </c>
    </row>
    <row r="134">
      <c r="A134" s="2" t="inlineStr">
        <is>
          <t>O002525</t>
        </is>
      </c>
      <c r="B134" s="2" t="inlineStr">
        <is>
          <t>2025-01-10</t>
        </is>
      </c>
      <c r="C134" s="2" t="inlineStr">
        <is>
          <t>C0090</t>
        </is>
      </c>
      <c r="D134" s="2" t="inlineStr">
        <is>
          <t>P0003</t>
        </is>
      </c>
      <c r="E134" s="2" t="inlineStr">
        <is>
          <t>Smartwatch</t>
        </is>
      </c>
      <c r="F134" s="2" t="inlineStr">
        <is>
          <t>Electronics</t>
        </is>
      </c>
      <c r="G134" s="2" t="inlineStr">
        <is>
          <t>South</t>
        </is>
      </c>
      <c r="H134" s="2" t="inlineStr">
        <is>
          <t>Tamil Nadu</t>
        </is>
      </c>
      <c r="I134" s="2" t="inlineStr">
        <is>
          <t>Coimbatore</t>
        </is>
      </c>
      <c r="J134" s="2" t="inlineStr">
        <is>
          <t>Online</t>
        </is>
      </c>
      <c r="K134" s="2" t="n">
        <v>2</v>
      </c>
      <c r="L134" s="3" t="n">
        <v>2260.69</v>
      </c>
      <c r="M134" s="4" t="n">
        <v>0</v>
      </c>
      <c r="N134" s="3" t="n">
        <v>2318.94</v>
      </c>
      <c r="O134" s="3">
        <f>K134*L134*(1-M134)</f>
        <v/>
      </c>
      <c r="P134" s="3">
        <f>O134-N134</f>
        <v/>
      </c>
      <c r="Q134" s="5">
        <f>IFERROR(P134/O134,0)</f>
        <v/>
      </c>
      <c r="R134" s="2">
        <f>TEXT(DATEVALUE(B134),"mmm")</f>
        <v/>
      </c>
      <c r="S134" s="2">
        <f>TEXT(DATEVALUE(B134),"yyyy-mm")</f>
        <v/>
      </c>
    </row>
    <row r="135">
      <c r="A135" s="2" t="inlineStr">
        <is>
          <t>O001973</t>
        </is>
      </c>
      <c r="B135" s="2" t="inlineStr">
        <is>
          <t>2025-01-10</t>
        </is>
      </c>
      <c r="C135" s="2" t="inlineStr">
        <is>
          <t>C0347</t>
        </is>
      </c>
      <c r="D135" s="2" t="inlineStr">
        <is>
          <t>P0017</t>
        </is>
      </c>
      <c r="E135" s="2" t="inlineStr">
        <is>
          <t>Jeans</t>
        </is>
      </c>
      <c r="F135" s="2" t="inlineStr">
        <is>
          <t>Fashion</t>
        </is>
      </c>
      <c r="G135" s="2" t="inlineStr">
        <is>
          <t>West</t>
        </is>
      </c>
      <c r="H135" s="2" t="inlineStr">
        <is>
          <t>Gujarat</t>
        </is>
      </c>
      <c r="I135" s="2" t="inlineStr">
        <is>
          <t>Surat</t>
        </is>
      </c>
      <c r="J135" s="2" t="inlineStr">
        <is>
          <t>Online</t>
        </is>
      </c>
      <c r="K135" s="2" t="n">
        <v>2</v>
      </c>
      <c r="L135" s="3" t="n">
        <v>1520.51</v>
      </c>
      <c r="M135" s="4" t="n">
        <v>0.05</v>
      </c>
      <c r="N135" s="3" t="n">
        <v>2022.81</v>
      </c>
      <c r="O135" s="3">
        <f>K135*L135*(1-M135)</f>
        <v/>
      </c>
      <c r="P135" s="3">
        <f>O135-N135</f>
        <v/>
      </c>
      <c r="Q135" s="5">
        <f>IFERROR(P135/O135,0)</f>
        <v/>
      </c>
      <c r="R135" s="2">
        <f>TEXT(DATEVALUE(B135),"mmm")</f>
        <v/>
      </c>
      <c r="S135" s="2">
        <f>TEXT(DATEVALUE(B135),"yyyy-mm")</f>
        <v/>
      </c>
    </row>
    <row r="136">
      <c r="A136" s="2" t="inlineStr">
        <is>
          <t>O001091</t>
        </is>
      </c>
      <c r="B136" s="2" t="inlineStr">
        <is>
          <t>2025-01-10</t>
        </is>
      </c>
      <c r="C136" s="2" t="inlineStr">
        <is>
          <t>C0320</t>
        </is>
      </c>
      <c r="D136" s="2" t="inlineStr">
        <is>
          <t>P0016</t>
        </is>
      </c>
      <c r="E136" s="2" t="inlineStr">
        <is>
          <t>Casual Shirt</t>
        </is>
      </c>
      <c r="F136" s="2" t="inlineStr">
        <is>
          <t>Fashion</t>
        </is>
      </c>
      <c r="G136" s="2" t="inlineStr">
        <is>
          <t>South</t>
        </is>
      </c>
      <c r="H136" s="2" t="inlineStr">
        <is>
          <t>Kerala</t>
        </is>
      </c>
      <c r="I136" s="2" t="inlineStr">
        <is>
          <t>Kochi</t>
        </is>
      </c>
      <c r="J136" s="2" t="inlineStr">
        <is>
          <t>Online</t>
        </is>
      </c>
      <c r="K136" s="2" t="n">
        <v>1</v>
      </c>
      <c r="L136" s="3" t="n">
        <v>1313.4</v>
      </c>
      <c r="M136" s="4" t="n">
        <v>0.05</v>
      </c>
      <c r="N136" s="3" t="n">
        <v>899.33</v>
      </c>
      <c r="O136" s="3">
        <f>K136*L136*(1-M136)</f>
        <v/>
      </c>
      <c r="P136" s="3">
        <f>O136-N136</f>
        <v/>
      </c>
      <c r="Q136" s="5">
        <f>IFERROR(P136/O136,0)</f>
        <v/>
      </c>
      <c r="R136" s="2">
        <f>TEXT(DATEVALUE(B136),"mmm")</f>
        <v/>
      </c>
      <c r="S136" s="2">
        <f>TEXT(DATEVALUE(B136),"yyyy-mm")</f>
        <v/>
      </c>
    </row>
    <row r="137">
      <c r="A137" s="2" t="inlineStr">
        <is>
          <t>O001004</t>
        </is>
      </c>
      <c r="B137" s="2" t="inlineStr">
        <is>
          <t>2025-01-10</t>
        </is>
      </c>
      <c r="C137" s="2" t="inlineStr">
        <is>
          <t>C0614</t>
        </is>
      </c>
      <c r="D137" s="2" t="inlineStr">
        <is>
          <t>P0007</t>
        </is>
      </c>
      <c r="E137" s="2" t="inlineStr">
        <is>
          <t>Wireless Mouse</t>
        </is>
      </c>
      <c r="F137" s="2" t="inlineStr">
        <is>
          <t>Electronics</t>
        </is>
      </c>
      <c r="G137" s="2" t="inlineStr">
        <is>
          <t>West</t>
        </is>
      </c>
      <c r="H137" s="2" t="inlineStr">
        <is>
          <t>Gujarat</t>
        </is>
      </c>
      <c r="I137" s="2" t="inlineStr">
        <is>
          <t>Vadodara</t>
        </is>
      </c>
      <c r="J137" s="2" t="inlineStr">
        <is>
          <t>Online</t>
        </is>
      </c>
      <c r="K137" s="2" t="n">
        <v>2</v>
      </c>
      <c r="L137" s="3" t="n">
        <v>994.46</v>
      </c>
      <c r="M137" s="4" t="n">
        <v>0.05</v>
      </c>
      <c r="N137" s="3" t="n">
        <v>1216.96</v>
      </c>
      <c r="O137" s="3">
        <f>K137*L137*(1-M137)</f>
        <v/>
      </c>
      <c r="P137" s="3">
        <f>O137-N137</f>
        <v/>
      </c>
      <c r="Q137" s="5">
        <f>IFERROR(P137/O137,0)</f>
        <v/>
      </c>
      <c r="R137" s="2">
        <f>TEXT(DATEVALUE(B137),"mmm")</f>
        <v/>
      </c>
      <c r="S137" s="2">
        <f>TEXT(DATEVALUE(B137),"yyyy-mm")</f>
        <v/>
      </c>
    </row>
    <row r="138">
      <c r="A138" s="2" t="inlineStr">
        <is>
          <t>O000715</t>
        </is>
      </c>
      <c r="B138" s="2" t="inlineStr">
        <is>
          <t>2025-01-10</t>
        </is>
      </c>
      <c r="C138" s="2" t="inlineStr">
        <is>
          <t>C0741</t>
        </is>
      </c>
      <c r="D138" s="2" t="inlineStr">
        <is>
          <t>P0003</t>
        </is>
      </c>
      <c r="E138" s="2" t="inlineStr">
        <is>
          <t>Smartwatch</t>
        </is>
      </c>
      <c r="F138" s="2" t="inlineStr">
        <is>
          <t>Electronics</t>
        </is>
      </c>
      <c r="G138" s="2" t="inlineStr">
        <is>
          <t>North</t>
        </is>
      </c>
      <c r="H138" s="2" t="inlineStr">
        <is>
          <t>Haryana</t>
        </is>
      </c>
      <c r="I138" s="2" t="inlineStr">
        <is>
          <t>Gurugram</t>
        </is>
      </c>
      <c r="J138" s="2" t="inlineStr">
        <is>
          <t>Online</t>
        </is>
      </c>
      <c r="K138" s="2" t="n">
        <v>1</v>
      </c>
      <c r="L138" s="3" t="n">
        <v>2334.86</v>
      </c>
      <c r="M138" s="4" t="n">
        <v>0.05</v>
      </c>
      <c r="N138" s="3" t="n">
        <v>1213.82</v>
      </c>
      <c r="O138" s="3">
        <f>K138*L138*(1-M138)</f>
        <v/>
      </c>
      <c r="P138" s="3">
        <f>O138-N138</f>
        <v/>
      </c>
      <c r="Q138" s="5">
        <f>IFERROR(P138/O138,0)</f>
        <v/>
      </c>
      <c r="R138" s="2">
        <f>TEXT(DATEVALUE(B138),"mmm")</f>
        <v/>
      </c>
      <c r="S138" s="2">
        <f>TEXT(DATEVALUE(B138),"yyyy-mm")</f>
        <v/>
      </c>
    </row>
    <row r="139">
      <c r="A139" s="2" t="inlineStr">
        <is>
          <t>O000485</t>
        </is>
      </c>
      <c r="B139" s="2" t="inlineStr">
        <is>
          <t>2025-01-10</t>
        </is>
      </c>
      <c r="C139" s="2" t="inlineStr">
        <is>
          <t>C0265</t>
        </is>
      </c>
      <c r="D139" s="2" t="inlineStr">
        <is>
          <t>P0009</t>
        </is>
      </c>
      <c r="E139" s="2" t="inlineStr">
        <is>
          <t>Electric Kettle</t>
        </is>
      </c>
      <c r="F139" s="2" t="inlineStr">
        <is>
          <t>Home &amp; Kitchen</t>
        </is>
      </c>
      <c r="G139" s="2" t="inlineStr">
        <is>
          <t>West</t>
        </is>
      </c>
      <c r="H139" s="2" t="inlineStr">
        <is>
          <t>Gujarat</t>
        </is>
      </c>
      <c r="I139" s="2" t="inlineStr">
        <is>
          <t>Ahmedabad</t>
        </is>
      </c>
      <c r="J139" s="2" t="inlineStr">
        <is>
          <t>Online</t>
        </is>
      </c>
      <c r="K139" s="2" t="n">
        <v>1</v>
      </c>
      <c r="L139" s="3" t="n">
        <v>2123.9</v>
      </c>
      <c r="M139" s="4" t="n">
        <v>0.1</v>
      </c>
      <c r="N139" s="3" t="n">
        <v>1162.75</v>
      </c>
      <c r="O139" s="3">
        <f>K139*L139*(1-M139)</f>
        <v/>
      </c>
      <c r="P139" s="3">
        <f>O139-N139</f>
        <v/>
      </c>
      <c r="Q139" s="5">
        <f>IFERROR(P139/O139,0)</f>
        <v/>
      </c>
      <c r="R139" s="2">
        <f>TEXT(DATEVALUE(B139),"mmm")</f>
        <v/>
      </c>
      <c r="S139" s="2">
        <f>TEXT(DATEVALUE(B139),"yyyy-mm")</f>
        <v/>
      </c>
    </row>
    <row r="140">
      <c r="A140" s="2" t="inlineStr">
        <is>
          <t>O002206</t>
        </is>
      </c>
      <c r="B140" s="2" t="inlineStr">
        <is>
          <t>2025-01-10</t>
        </is>
      </c>
      <c r="C140" s="2" t="inlineStr">
        <is>
          <t>C0373</t>
        </is>
      </c>
      <c r="D140" s="2" t="inlineStr">
        <is>
          <t>P0032</t>
        </is>
      </c>
      <c r="E140" s="2" t="inlineStr">
        <is>
          <t>Football</t>
        </is>
      </c>
      <c r="F140" s="2" t="inlineStr">
        <is>
          <t>Sports</t>
        </is>
      </c>
      <c r="G140" s="2" t="inlineStr">
        <is>
          <t>North</t>
        </is>
      </c>
      <c r="H140" s="2" t="inlineStr">
        <is>
          <t>Haryana</t>
        </is>
      </c>
      <c r="I140" s="2" t="inlineStr">
        <is>
          <t>Faridabad</t>
        </is>
      </c>
      <c r="J140" s="2" t="inlineStr">
        <is>
          <t>Store</t>
        </is>
      </c>
      <c r="K140" s="2" t="n">
        <v>2</v>
      </c>
      <c r="L140" s="3" t="n">
        <v>842.62</v>
      </c>
      <c r="M140" s="4" t="n">
        <v>0.1</v>
      </c>
      <c r="N140" s="3" t="n">
        <v>1075.17</v>
      </c>
      <c r="O140" s="3">
        <f>K140*L140*(1-M140)</f>
        <v/>
      </c>
      <c r="P140" s="3">
        <f>O140-N140</f>
        <v/>
      </c>
      <c r="Q140" s="5">
        <f>IFERROR(P140/O140,0)</f>
        <v/>
      </c>
      <c r="R140" s="2">
        <f>TEXT(DATEVALUE(B140),"mmm")</f>
        <v/>
      </c>
      <c r="S140" s="2">
        <f>TEXT(DATEVALUE(B140),"yyyy-mm")</f>
        <v/>
      </c>
    </row>
    <row r="141">
      <c r="A141" s="2" t="inlineStr">
        <is>
          <t>O003726</t>
        </is>
      </c>
      <c r="B141" s="2" t="inlineStr">
        <is>
          <t>2025-01-11</t>
        </is>
      </c>
      <c r="C141" s="2" t="inlineStr">
        <is>
          <t>C0043</t>
        </is>
      </c>
      <c r="D141" s="2" t="inlineStr">
        <is>
          <t>P0021</t>
        </is>
      </c>
      <c r="E141" s="2" t="inlineStr">
        <is>
          <t>Wallet</t>
        </is>
      </c>
      <c r="F141" s="2" t="inlineStr">
        <is>
          <t>Fashion</t>
        </is>
      </c>
      <c r="G141" s="2" t="inlineStr">
        <is>
          <t>North</t>
        </is>
      </c>
      <c r="H141" s="2" t="inlineStr">
        <is>
          <t>Punjab</t>
        </is>
      </c>
      <c r="I141" s="2" t="inlineStr">
        <is>
          <t>Ludhiana</t>
        </is>
      </c>
      <c r="J141" s="2" t="inlineStr">
        <is>
          <t>Online</t>
        </is>
      </c>
      <c r="K141" s="2" t="n">
        <v>1</v>
      </c>
      <c r="L141" s="3" t="n">
        <v>2071.78</v>
      </c>
      <c r="M141" s="4" t="n">
        <v>0.05</v>
      </c>
      <c r="N141" s="3" t="n">
        <v>1238.49</v>
      </c>
      <c r="O141" s="3">
        <f>K141*L141*(1-M141)</f>
        <v/>
      </c>
      <c r="P141" s="3">
        <f>O141-N141</f>
        <v/>
      </c>
      <c r="Q141" s="5">
        <f>IFERROR(P141/O141,0)</f>
        <v/>
      </c>
      <c r="R141" s="2">
        <f>TEXT(DATEVALUE(B141),"mmm")</f>
        <v/>
      </c>
      <c r="S141" s="2">
        <f>TEXT(DATEVALUE(B141),"yyyy-mm")</f>
        <v/>
      </c>
    </row>
    <row r="142">
      <c r="A142" s="2" t="inlineStr">
        <is>
          <t>O004578</t>
        </is>
      </c>
      <c r="B142" s="2" t="inlineStr">
        <is>
          <t>2025-01-11</t>
        </is>
      </c>
      <c r="C142" s="2" t="inlineStr">
        <is>
          <t>C0029</t>
        </is>
      </c>
      <c r="D142" s="2" t="inlineStr">
        <is>
          <t>P0030</t>
        </is>
      </c>
      <c r="E142" s="2" t="inlineStr">
        <is>
          <t>Dumbbells</t>
        </is>
      </c>
      <c r="F142" s="2" t="inlineStr">
        <is>
          <t>Sports</t>
        </is>
      </c>
      <c r="G142" s="2" t="inlineStr">
        <is>
          <t>East</t>
        </is>
      </c>
      <c r="H142" s="2" t="inlineStr">
        <is>
          <t>Odisha</t>
        </is>
      </c>
      <c r="I142" s="2" t="inlineStr">
        <is>
          <t>Bhubaneswar</t>
        </is>
      </c>
      <c r="J142" s="2" t="inlineStr">
        <is>
          <t>Online</t>
        </is>
      </c>
      <c r="K142" s="2" t="n">
        <v>1</v>
      </c>
      <c r="L142" s="3" t="n">
        <v>1491.59</v>
      </c>
      <c r="M142" s="4" t="n">
        <v>0.1</v>
      </c>
      <c r="N142" s="3" t="n">
        <v>1057.12</v>
      </c>
      <c r="O142" s="3">
        <f>K142*L142*(1-M142)</f>
        <v/>
      </c>
      <c r="P142" s="3">
        <f>O142-N142</f>
        <v/>
      </c>
      <c r="Q142" s="5">
        <f>IFERROR(P142/O142,0)</f>
        <v/>
      </c>
      <c r="R142" s="2">
        <f>TEXT(DATEVALUE(B142),"mmm")</f>
        <v/>
      </c>
      <c r="S142" s="2">
        <f>TEXT(DATEVALUE(B142),"yyyy-mm")</f>
        <v/>
      </c>
    </row>
    <row r="143">
      <c r="A143" s="2" t="inlineStr">
        <is>
          <t>O003943</t>
        </is>
      </c>
      <c r="B143" s="2" t="inlineStr">
        <is>
          <t>2025-01-11</t>
        </is>
      </c>
      <c r="C143" s="2" t="inlineStr">
        <is>
          <t>C0384</t>
        </is>
      </c>
      <c r="D143" s="2" t="inlineStr">
        <is>
          <t>P0016</t>
        </is>
      </c>
      <c r="E143" s="2" t="inlineStr">
        <is>
          <t>Casual Shirt</t>
        </is>
      </c>
      <c r="F143" s="2" t="inlineStr">
        <is>
          <t>Fashion</t>
        </is>
      </c>
      <c r="G143" s="2" t="inlineStr">
        <is>
          <t>East</t>
        </is>
      </c>
      <c r="H143" s="2" t="inlineStr">
        <is>
          <t>West Bengal</t>
        </is>
      </c>
      <c r="I143" s="2" t="inlineStr">
        <is>
          <t>Kolkata</t>
        </is>
      </c>
      <c r="J143" s="2" t="inlineStr">
        <is>
          <t>Online</t>
        </is>
      </c>
      <c r="K143" s="2" t="n">
        <v>1</v>
      </c>
      <c r="L143" s="3" t="n">
        <v>1285.03</v>
      </c>
      <c r="M143" s="4" t="n">
        <v>0.15</v>
      </c>
      <c r="N143" s="3" t="n">
        <v>921.23</v>
      </c>
      <c r="O143" s="3">
        <f>K143*L143*(1-M143)</f>
        <v/>
      </c>
      <c r="P143" s="3">
        <f>O143-N143</f>
        <v/>
      </c>
      <c r="Q143" s="5">
        <f>IFERROR(P143/O143,0)</f>
        <v/>
      </c>
      <c r="R143" s="2">
        <f>TEXT(DATEVALUE(B143),"mmm")</f>
        <v/>
      </c>
      <c r="S143" s="2">
        <f>TEXT(DATEVALUE(B143),"yyyy-mm")</f>
        <v/>
      </c>
    </row>
    <row r="144">
      <c r="A144" s="2" t="inlineStr">
        <is>
          <t>O004976</t>
        </is>
      </c>
      <c r="B144" s="2" t="inlineStr">
        <is>
          <t>2025-01-11</t>
        </is>
      </c>
      <c r="C144" s="2" t="inlineStr">
        <is>
          <t>C0568</t>
        </is>
      </c>
      <c r="D144" s="2" t="inlineStr">
        <is>
          <t>P0007</t>
        </is>
      </c>
      <c r="E144" s="2" t="inlineStr">
        <is>
          <t>Wireless Mouse</t>
        </is>
      </c>
      <c r="F144" s="2" t="inlineStr">
        <is>
          <t>Electronics</t>
        </is>
      </c>
      <c r="G144" s="2" t="inlineStr">
        <is>
          <t>West</t>
        </is>
      </c>
      <c r="H144" s="2" t="inlineStr">
        <is>
          <t>Maharashtra</t>
        </is>
      </c>
      <c r="I144" s="2" t="inlineStr">
        <is>
          <t>Nashik</t>
        </is>
      </c>
      <c r="J144" s="2" t="inlineStr">
        <is>
          <t>Store</t>
        </is>
      </c>
      <c r="K144" s="2" t="n">
        <v>1</v>
      </c>
      <c r="L144" s="3" t="n">
        <v>957.0700000000001</v>
      </c>
      <c r="M144" s="4" t="n">
        <v>0</v>
      </c>
      <c r="N144" s="3" t="n">
        <v>638.3099999999999</v>
      </c>
      <c r="O144" s="3">
        <f>K144*L144*(1-M144)</f>
        <v/>
      </c>
      <c r="P144" s="3">
        <f>O144-N144</f>
        <v/>
      </c>
      <c r="Q144" s="5">
        <f>IFERROR(P144/O144,0)</f>
        <v/>
      </c>
      <c r="R144" s="2">
        <f>TEXT(DATEVALUE(B144),"mmm")</f>
        <v/>
      </c>
      <c r="S144" s="2">
        <f>TEXT(DATEVALUE(B144),"yyyy-mm")</f>
        <v/>
      </c>
    </row>
    <row r="145">
      <c r="A145" s="2" t="inlineStr">
        <is>
          <t>O002601</t>
        </is>
      </c>
      <c r="B145" s="2" t="inlineStr">
        <is>
          <t>2025-01-11</t>
        </is>
      </c>
      <c r="C145" s="2" t="inlineStr">
        <is>
          <t>C0329</t>
        </is>
      </c>
      <c r="D145" s="2" t="inlineStr">
        <is>
          <t>P0007</t>
        </is>
      </c>
      <c r="E145" s="2" t="inlineStr">
        <is>
          <t>Wireless Mouse</t>
        </is>
      </c>
      <c r="F145" s="2" t="inlineStr">
        <is>
          <t>Electronics</t>
        </is>
      </c>
      <c r="G145" s="2" t="inlineStr">
        <is>
          <t>North</t>
        </is>
      </c>
      <c r="H145" s="2" t="inlineStr">
        <is>
          <t>Haryana</t>
        </is>
      </c>
      <c r="I145" s="2" t="inlineStr">
        <is>
          <t>Gurugram</t>
        </is>
      </c>
      <c r="J145" s="2" t="inlineStr">
        <is>
          <t>Online</t>
        </is>
      </c>
      <c r="K145" s="2" t="n">
        <v>2</v>
      </c>
      <c r="L145" s="3" t="n">
        <v>1010.29</v>
      </c>
      <c r="M145" s="4" t="n">
        <v>0.15</v>
      </c>
      <c r="N145" s="3" t="n">
        <v>1271.74</v>
      </c>
      <c r="O145" s="3">
        <f>K145*L145*(1-M145)</f>
        <v/>
      </c>
      <c r="P145" s="3">
        <f>O145-N145</f>
        <v/>
      </c>
      <c r="Q145" s="5">
        <f>IFERROR(P145/O145,0)</f>
        <v/>
      </c>
      <c r="R145" s="2">
        <f>TEXT(DATEVALUE(B145),"mmm")</f>
        <v/>
      </c>
      <c r="S145" s="2">
        <f>TEXT(DATEVALUE(B145),"yyyy-mm")</f>
        <v/>
      </c>
    </row>
    <row r="146">
      <c r="A146" s="2" t="inlineStr">
        <is>
          <t>O001380</t>
        </is>
      </c>
      <c r="B146" s="2" t="inlineStr">
        <is>
          <t>2025-01-11</t>
        </is>
      </c>
      <c r="C146" s="2" t="inlineStr">
        <is>
          <t>C0016</t>
        </is>
      </c>
      <c r="D146" s="2" t="inlineStr">
        <is>
          <t>P0017</t>
        </is>
      </c>
      <c r="E146" s="2" t="inlineStr">
        <is>
          <t>Jeans</t>
        </is>
      </c>
      <c r="F146" s="2" t="inlineStr">
        <is>
          <t>Fashion</t>
        </is>
      </c>
      <c r="G146" s="2" t="inlineStr">
        <is>
          <t>West</t>
        </is>
      </c>
      <c r="H146" s="2" t="inlineStr">
        <is>
          <t>Gujarat</t>
        </is>
      </c>
      <c r="I146" s="2" t="inlineStr">
        <is>
          <t>Ahmedabad</t>
        </is>
      </c>
      <c r="J146" s="2" t="inlineStr">
        <is>
          <t>Online</t>
        </is>
      </c>
      <c r="K146" s="2" t="n">
        <v>1</v>
      </c>
      <c r="L146" s="3" t="n">
        <v>1543.86</v>
      </c>
      <c r="M146" s="4" t="n">
        <v>0.05</v>
      </c>
      <c r="N146" s="3" t="n">
        <v>1055.1</v>
      </c>
      <c r="O146" s="3">
        <f>K146*L146*(1-M146)</f>
        <v/>
      </c>
      <c r="P146" s="3">
        <f>O146-N146</f>
        <v/>
      </c>
      <c r="Q146" s="5">
        <f>IFERROR(P146/O146,0)</f>
        <v/>
      </c>
      <c r="R146" s="2">
        <f>TEXT(DATEVALUE(B146),"mmm")</f>
        <v/>
      </c>
      <c r="S146" s="2">
        <f>TEXT(DATEVALUE(B146),"yyyy-mm")</f>
        <v/>
      </c>
    </row>
    <row r="147">
      <c r="A147" s="2" t="inlineStr">
        <is>
          <t>O001802</t>
        </is>
      </c>
      <c r="B147" s="2" t="inlineStr">
        <is>
          <t>2025-01-11</t>
        </is>
      </c>
      <c r="C147" s="2" t="inlineStr">
        <is>
          <t>C0644</t>
        </is>
      </c>
      <c r="D147" s="2" t="inlineStr">
        <is>
          <t>P0020</t>
        </is>
      </c>
      <c r="E147" s="2" t="inlineStr">
        <is>
          <t>Sneakers</t>
        </is>
      </c>
      <c r="F147" s="2" t="inlineStr">
        <is>
          <t>Fashion</t>
        </is>
      </c>
      <c r="G147" s="2" t="inlineStr">
        <is>
          <t>South</t>
        </is>
      </c>
      <c r="H147" s="2" t="inlineStr">
        <is>
          <t>Karnataka</t>
        </is>
      </c>
      <c r="I147" s="2" t="inlineStr">
        <is>
          <t>Mysuru</t>
        </is>
      </c>
      <c r="J147" s="2" t="inlineStr">
        <is>
          <t>Store</t>
        </is>
      </c>
      <c r="K147" s="2" t="n">
        <v>1</v>
      </c>
      <c r="L147" s="3" t="n">
        <v>1908.5</v>
      </c>
      <c r="M147" s="4" t="n">
        <v>0.1</v>
      </c>
      <c r="N147" s="3" t="n">
        <v>1534.92</v>
      </c>
      <c r="O147" s="3">
        <f>K147*L147*(1-M147)</f>
        <v/>
      </c>
      <c r="P147" s="3">
        <f>O147-N147</f>
        <v/>
      </c>
      <c r="Q147" s="5">
        <f>IFERROR(P147/O147,0)</f>
        <v/>
      </c>
      <c r="R147" s="2">
        <f>TEXT(DATEVALUE(B147),"mmm")</f>
        <v/>
      </c>
      <c r="S147" s="2">
        <f>TEXT(DATEVALUE(B147),"yyyy-mm")</f>
        <v/>
      </c>
    </row>
    <row r="148">
      <c r="A148" s="2" t="inlineStr">
        <is>
          <t>O001539</t>
        </is>
      </c>
      <c r="B148" s="2" t="inlineStr">
        <is>
          <t>2025-01-11</t>
        </is>
      </c>
      <c r="C148" s="2" t="inlineStr">
        <is>
          <t>C0784</t>
        </is>
      </c>
      <c r="D148" s="2" t="inlineStr">
        <is>
          <t>P0023</t>
        </is>
      </c>
      <c r="E148" s="2" t="inlineStr">
        <is>
          <t>Skin Care Kit</t>
        </is>
      </c>
      <c r="F148" s="2" t="inlineStr">
        <is>
          <t>Beauty</t>
        </is>
      </c>
      <c r="G148" s="2" t="inlineStr">
        <is>
          <t>South</t>
        </is>
      </c>
      <c r="H148" s="2" t="inlineStr">
        <is>
          <t>Karnataka</t>
        </is>
      </c>
      <c r="I148" s="2" t="inlineStr">
        <is>
          <t>Mangaluru</t>
        </is>
      </c>
      <c r="J148" s="2" t="inlineStr">
        <is>
          <t>Online</t>
        </is>
      </c>
      <c r="K148" s="2" t="n">
        <v>4</v>
      </c>
      <c r="L148" s="3" t="n">
        <v>1407.65</v>
      </c>
      <c r="M148" s="4" t="n">
        <v>0.1</v>
      </c>
      <c r="N148" s="3" t="n">
        <v>3474.93</v>
      </c>
      <c r="O148" s="3">
        <f>K148*L148*(1-M148)</f>
        <v/>
      </c>
      <c r="P148" s="3">
        <f>O148-N148</f>
        <v/>
      </c>
      <c r="Q148" s="5">
        <f>IFERROR(P148/O148,0)</f>
        <v/>
      </c>
      <c r="R148" s="2">
        <f>TEXT(DATEVALUE(B148),"mmm")</f>
        <v/>
      </c>
      <c r="S148" s="2">
        <f>TEXT(DATEVALUE(B148),"yyyy-mm")</f>
        <v/>
      </c>
    </row>
    <row r="149">
      <c r="A149" s="2" t="inlineStr">
        <is>
          <t>O001293</t>
        </is>
      </c>
      <c r="B149" s="2" t="inlineStr">
        <is>
          <t>2025-01-11</t>
        </is>
      </c>
      <c r="C149" s="2" t="inlineStr">
        <is>
          <t>C0752</t>
        </is>
      </c>
      <c r="D149" s="2" t="inlineStr">
        <is>
          <t>P0024</t>
        </is>
      </c>
      <c r="E149" s="2" t="inlineStr">
        <is>
          <t>Hair Dryer</t>
        </is>
      </c>
      <c r="F149" s="2" t="inlineStr">
        <is>
          <t>Beauty</t>
        </is>
      </c>
      <c r="G149" s="2" t="inlineStr">
        <is>
          <t>East</t>
        </is>
      </c>
      <c r="H149" s="2" t="inlineStr">
        <is>
          <t>Odisha</t>
        </is>
      </c>
      <c r="I149" s="2" t="inlineStr">
        <is>
          <t>Bhubaneswar</t>
        </is>
      </c>
      <c r="J149" s="2" t="inlineStr">
        <is>
          <t>Online</t>
        </is>
      </c>
      <c r="K149" s="2" t="n">
        <v>1</v>
      </c>
      <c r="L149" s="3" t="n">
        <v>992.97</v>
      </c>
      <c r="M149" s="4" t="n">
        <v>0.05</v>
      </c>
      <c r="N149" s="3" t="n">
        <v>735.53</v>
      </c>
      <c r="O149" s="3">
        <f>K149*L149*(1-M149)</f>
        <v/>
      </c>
      <c r="P149" s="3">
        <f>O149-N149</f>
        <v/>
      </c>
      <c r="Q149" s="5">
        <f>IFERROR(P149/O149,0)</f>
        <v/>
      </c>
      <c r="R149" s="2">
        <f>TEXT(DATEVALUE(B149),"mmm")</f>
        <v/>
      </c>
      <c r="S149" s="2">
        <f>TEXT(DATEVALUE(B149),"yyyy-mm")</f>
        <v/>
      </c>
    </row>
    <row r="150">
      <c r="A150" s="2" t="inlineStr">
        <is>
          <t>O001123</t>
        </is>
      </c>
      <c r="B150" s="2" t="inlineStr">
        <is>
          <t>2025-01-11</t>
        </is>
      </c>
      <c r="C150" s="2" t="inlineStr">
        <is>
          <t>C0474</t>
        </is>
      </c>
      <c r="D150" s="2" t="inlineStr">
        <is>
          <t>P0022</t>
        </is>
      </c>
      <c r="E150" s="2" t="inlineStr">
        <is>
          <t>Face Wash</t>
        </is>
      </c>
      <c r="F150" s="2" t="inlineStr">
        <is>
          <t>Beauty</t>
        </is>
      </c>
      <c r="G150" s="2" t="inlineStr">
        <is>
          <t>East</t>
        </is>
      </c>
      <c r="H150" s="2" t="inlineStr">
        <is>
          <t>Odisha</t>
        </is>
      </c>
      <c r="I150" s="2" t="inlineStr">
        <is>
          <t>Cuttack</t>
        </is>
      </c>
      <c r="J150" s="2" t="inlineStr">
        <is>
          <t>Online</t>
        </is>
      </c>
      <c r="K150" s="2" t="n">
        <v>1</v>
      </c>
      <c r="L150" s="3" t="n">
        <v>533.79</v>
      </c>
      <c r="M150" s="4" t="n">
        <v>0.1</v>
      </c>
      <c r="N150" s="3" t="n">
        <v>347.85</v>
      </c>
      <c r="O150" s="3">
        <f>K150*L150*(1-M150)</f>
        <v/>
      </c>
      <c r="P150" s="3">
        <f>O150-N150</f>
        <v/>
      </c>
      <c r="Q150" s="5">
        <f>IFERROR(P150/O150,0)</f>
        <v/>
      </c>
      <c r="R150" s="2">
        <f>TEXT(DATEVALUE(B150),"mmm")</f>
        <v/>
      </c>
      <c r="S150" s="2">
        <f>TEXT(DATEVALUE(B150),"yyyy-mm")</f>
        <v/>
      </c>
    </row>
    <row r="151">
      <c r="A151" s="2" t="inlineStr">
        <is>
          <t>O002241</t>
        </is>
      </c>
      <c r="B151" s="2" t="inlineStr">
        <is>
          <t>2025-01-11</t>
        </is>
      </c>
      <c r="C151" s="2" t="inlineStr">
        <is>
          <t>C0550</t>
        </is>
      </c>
      <c r="D151" s="2" t="inlineStr">
        <is>
          <t>P0018</t>
        </is>
      </c>
      <c r="E151" s="2" t="inlineStr">
        <is>
          <t>Backpack</t>
        </is>
      </c>
      <c r="F151" s="2" t="inlineStr">
        <is>
          <t>Fashion</t>
        </is>
      </c>
      <c r="G151" s="2" t="inlineStr">
        <is>
          <t>West</t>
        </is>
      </c>
      <c r="H151" s="2" t="inlineStr">
        <is>
          <t>Gujarat</t>
        </is>
      </c>
      <c r="I151" s="2" t="inlineStr">
        <is>
          <t>Vadodara</t>
        </is>
      </c>
      <c r="J151" s="2" t="inlineStr">
        <is>
          <t>Online</t>
        </is>
      </c>
      <c r="K151" s="2" t="n">
        <v>1</v>
      </c>
      <c r="L151" s="3" t="n">
        <v>1834.4</v>
      </c>
      <c r="M151" s="4" t="n">
        <v>0.15</v>
      </c>
      <c r="N151" s="3" t="n">
        <v>1328.41</v>
      </c>
      <c r="O151" s="3">
        <f>K151*L151*(1-M151)</f>
        <v/>
      </c>
      <c r="P151" s="3">
        <f>O151-N151</f>
        <v/>
      </c>
      <c r="Q151" s="5">
        <f>IFERROR(P151/O151,0)</f>
        <v/>
      </c>
      <c r="R151" s="2">
        <f>TEXT(DATEVALUE(B151),"mmm")</f>
        <v/>
      </c>
      <c r="S151" s="2">
        <f>TEXT(DATEVALUE(B151),"yyyy-mm")</f>
        <v/>
      </c>
    </row>
    <row r="152">
      <c r="A152" s="2" t="inlineStr">
        <is>
          <t>O002319</t>
        </is>
      </c>
      <c r="B152" s="2" t="inlineStr">
        <is>
          <t>2025-01-12</t>
        </is>
      </c>
      <c r="C152" s="2" t="inlineStr">
        <is>
          <t>C0569</t>
        </is>
      </c>
      <c r="D152" s="2" t="inlineStr">
        <is>
          <t>P0016</t>
        </is>
      </c>
      <c r="E152" s="2" t="inlineStr">
        <is>
          <t>Casual Shirt</t>
        </is>
      </c>
      <c r="F152" s="2" t="inlineStr">
        <is>
          <t>Fashion</t>
        </is>
      </c>
      <c r="G152" s="2" t="inlineStr">
        <is>
          <t>East</t>
        </is>
      </c>
      <c r="H152" s="2" t="inlineStr">
        <is>
          <t>Odisha</t>
        </is>
      </c>
      <c r="I152" s="2" t="inlineStr">
        <is>
          <t>Bhubaneswar</t>
        </is>
      </c>
      <c r="J152" s="2" t="inlineStr">
        <is>
          <t>Online</t>
        </is>
      </c>
      <c r="K152" s="2" t="n">
        <v>3</v>
      </c>
      <c r="L152" s="3" t="n">
        <v>1343.91</v>
      </c>
      <c r="M152" s="4" t="n">
        <v>0.05</v>
      </c>
      <c r="N152" s="3" t="n">
        <v>2733.02</v>
      </c>
      <c r="O152" s="3">
        <f>K152*L152*(1-M152)</f>
        <v/>
      </c>
      <c r="P152" s="3">
        <f>O152-N152</f>
        <v/>
      </c>
      <c r="Q152" s="5">
        <f>IFERROR(P152/O152,0)</f>
        <v/>
      </c>
      <c r="R152" s="2">
        <f>TEXT(DATEVALUE(B152),"mmm")</f>
        <v/>
      </c>
      <c r="S152" s="2">
        <f>TEXT(DATEVALUE(B152),"yyyy-mm")</f>
        <v/>
      </c>
    </row>
    <row r="153">
      <c r="A153" s="2" t="inlineStr">
        <is>
          <t>O004264</t>
        </is>
      </c>
      <c r="B153" s="2" t="inlineStr">
        <is>
          <t>2025-01-12</t>
        </is>
      </c>
      <c r="C153" s="2" t="inlineStr">
        <is>
          <t>C0763</t>
        </is>
      </c>
      <c r="D153" s="2" t="inlineStr">
        <is>
          <t>P0016</t>
        </is>
      </c>
      <c r="E153" s="2" t="inlineStr">
        <is>
          <t>Casual Shirt</t>
        </is>
      </c>
      <c r="F153" s="2" t="inlineStr">
        <is>
          <t>Fashion</t>
        </is>
      </c>
      <c r="G153" s="2" t="inlineStr">
        <is>
          <t>East</t>
        </is>
      </c>
      <c r="H153" s="2" t="inlineStr">
        <is>
          <t>Odisha</t>
        </is>
      </c>
      <c r="I153" s="2" t="inlineStr">
        <is>
          <t>Cuttack</t>
        </is>
      </c>
      <c r="J153" s="2" t="inlineStr">
        <is>
          <t>Online</t>
        </is>
      </c>
      <c r="K153" s="2" t="n">
        <v>1</v>
      </c>
      <c r="L153" s="3" t="n">
        <v>1336.38</v>
      </c>
      <c r="M153" s="4" t="n">
        <v>0.1</v>
      </c>
      <c r="N153" s="3" t="n">
        <v>924.6900000000001</v>
      </c>
      <c r="O153" s="3">
        <f>K153*L153*(1-M153)</f>
        <v/>
      </c>
      <c r="P153" s="3">
        <f>O153-N153</f>
        <v/>
      </c>
      <c r="Q153" s="5">
        <f>IFERROR(P153/O153,0)</f>
        <v/>
      </c>
      <c r="R153" s="2">
        <f>TEXT(DATEVALUE(B153),"mmm")</f>
        <v/>
      </c>
      <c r="S153" s="2">
        <f>TEXT(DATEVALUE(B153),"yyyy-mm")</f>
        <v/>
      </c>
    </row>
    <row r="154">
      <c r="A154" s="2" t="inlineStr">
        <is>
          <t>O003841</t>
        </is>
      </c>
      <c r="B154" s="2" t="inlineStr">
        <is>
          <t>2025-01-12</t>
        </is>
      </c>
      <c r="C154" s="2" t="inlineStr">
        <is>
          <t>C0062</t>
        </is>
      </c>
      <c r="D154" s="2" t="inlineStr">
        <is>
          <t>P0013</t>
        </is>
      </c>
      <c r="E154" s="2" t="inlineStr">
        <is>
          <t>Storage Organizer</t>
        </is>
      </c>
      <c r="F154" s="2" t="inlineStr">
        <is>
          <t>Home &amp; Kitchen</t>
        </is>
      </c>
      <c r="G154" s="2" t="inlineStr">
        <is>
          <t>North</t>
        </is>
      </c>
      <c r="H154" s="2" t="inlineStr">
        <is>
          <t>Delhi</t>
        </is>
      </c>
      <c r="I154" s="2" t="inlineStr">
        <is>
          <t>New Delhi</t>
        </is>
      </c>
      <c r="J154" s="2" t="inlineStr">
        <is>
          <t>Store</t>
        </is>
      </c>
      <c r="K154" s="2" t="n">
        <v>2</v>
      </c>
      <c r="L154" s="3" t="n">
        <v>591.17</v>
      </c>
      <c r="M154" s="4" t="n">
        <v>0.1</v>
      </c>
      <c r="N154" s="3" t="n">
        <v>699.85</v>
      </c>
      <c r="O154" s="3">
        <f>K154*L154*(1-M154)</f>
        <v/>
      </c>
      <c r="P154" s="3">
        <f>O154-N154</f>
        <v/>
      </c>
      <c r="Q154" s="5">
        <f>IFERROR(P154/O154,0)</f>
        <v/>
      </c>
      <c r="R154" s="2">
        <f>TEXT(DATEVALUE(B154),"mmm")</f>
        <v/>
      </c>
      <c r="S154" s="2">
        <f>TEXT(DATEVALUE(B154),"yyyy-mm")</f>
        <v/>
      </c>
    </row>
    <row r="155">
      <c r="A155" s="2" t="inlineStr">
        <is>
          <t>O003668</t>
        </is>
      </c>
      <c r="B155" s="2" t="inlineStr">
        <is>
          <t>2025-01-12</t>
        </is>
      </c>
      <c r="C155" s="2" t="inlineStr">
        <is>
          <t>C0636</t>
        </is>
      </c>
      <c r="D155" s="2" t="inlineStr">
        <is>
          <t>P0011</t>
        </is>
      </c>
      <c r="E155" s="2" t="inlineStr">
        <is>
          <t>Cookware Set</t>
        </is>
      </c>
      <c r="F155" s="2" t="inlineStr">
        <is>
          <t>Home &amp; Kitchen</t>
        </is>
      </c>
      <c r="G155" s="2" t="inlineStr">
        <is>
          <t>West</t>
        </is>
      </c>
      <c r="H155" s="2" t="inlineStr">
        <is>
          <t>Maharashtra</t>
        </is>
      </c>
      <c r="I155" s="2" t="inlineStr">
        <is>
          <t>Mumbai</t>
        </is>
      </c>
      <c r="J155" s="2" t="inlineStr">
        <is>
          <t>Store</t>
        </is>
      </c>
      <c r="K155" s="2" t="n">
        <v>1</v>
      </c>
      <c r="L155" s="3" t="n">
        <v>698.5</v>
      </c>
      <c r="M155" s="4" t="n">
        <v>0.2</v>
      </c>
      <c r="N155" s="3" t="n">
        <v>457.63</v>
      </c>
      <c r="O155" s="3">
        <f>K155*L155*(1-M155)</f>
        <v/>
      </c>
      <c r="P155" s="3">
        <f>O155-N155</f>
        <v/>
      </c>
      <c r="Q155" s="5">
        <f>IFERROR(P155/O155,0)</f>
        <v/>
      </c>
      <c r="R155" s="2">
        <f>TEXT(DATEVALUE(B155),"mmm")</f>
        <v/>
      </c>
      <c r="S155" s="2">
        <f>TEXT(DATEVALUE(B155),"yyyy-mm")</f>
        <v/>
      </c>
    </row>
    <row r="156">
      <c r="A156" s="2" t="inlineStr">
        <is>
          <t>O003499</t>
        </is>
      </c>
      <c r="B156" s="2" t="inlineStr">
        <is>
          <t>2025-01-12</t>
        </is>
      </c>
      <c r="C156" s="2" t="inlineStr">
        <is>
          <t>C0548</t>
        </is>
      </c>
      <c r="D156" s="2" t="inlineStr">
        <is>
          <t>P0031</t>
        </is>
      </c>
      <c r="E156" s="2" t="inlineStr">
        <is>
          <t>Cricket Bat</t>
        </is>
      </c>
      <c r="F156" s="2" t="inlineStr">
        <is>
          <t>Sports</t>
        </is>
      </c>
      <c r="G156" s="2" t="inlineStr">
        <is>
          <t>North</t>
        </is>
      </c>
      <c r="H156" s="2" t="inlineStr">
        <is>
          <t>Haryana</t>
        </is>
      </c>
      <c r="I156" s="2" t="inlineStr">
        <is>
          <t>Faridabad</t>
        </is>
      </c>
      <c r="J156" s="2" t="inlineStr">
        <is>
          <t>Store</t>
        </is>
      </c>
      <c r="K156" s="2" t="n">
        <v>3</v>
      </c>
      <c r="L156" s="3" t="n">
        <v>1447.21</v>
      </c>
      <c r="M156" s="4" t="n">
        <v>0</v>
      </c>
      <c r="N156" s="3" t="n">
        <v>2827.41</v>
      </c>
      <c r="O156" s="3">
        <f>K156*L156*(1-M156)</f>
        <v/>
      </c>
      <c r="P156" s="3">
        <f>O156-N156</f>
        <v/>
      </c>
      <c r="Q156" s="5">
        <f>IFERROR(P156/O156,0)</f>
        <v/>
      </c>
      <c r="R156" s="2">
        <f>TEXT(DATEVALUE(B156),"mmm")</f>
        <v/>
      </c>
      <c r="S156" s="2">
        <f>TEXT(DATEVALUE(B156),"yyyy-mm")</f>
        <v/>
      </c>
    </row>
    <row r="157">
      <c r="A157" s="2" t="inlineStr">
        <is>
          <t>O003000</t>
        </is>
      </c>
      <c r="B157" s="2" t="inlineStr">
        <is>
          <t>2025-01-12</t>
        </is>
      </c>
      <c r="C157" s="2" t="inlineStr">
        <is>
          <t>C0250</t>
        </is>
      </c>
      <c r="D157" s="2" t="inlineStr">
        <is>
          <t>P0013</t>
        </is>
      </c>
      <c r="E157" s="2" t="inlineStr">
        <is>
          <t>Storage Organizer</t>
        </is>
      </c>
      <c r="F157" s="2" t="inlineStr">
        <is>
          <t>Home &amp; Kitchen</t>
        </is>
      </c>
      <c r="G157" s="2" t="inlineStr">
        <is>
          <t>West</t>
        </is>
      </c>
      <c r="H157" s="2" t="inlineStr">
        <is>
          <t>Gujarat</t>
        </is>
      </c>
      <c r="I157" s="2" t="inlineStr">
        <is>
          <t>Ahmedabad</t>
        </is>
      </c>
      <c r="J157" s="2" t="inlineStr">
        <is>
          <t>Online</t>
        </is>
      </c>
      <c r="K157" s="2" t="n">
        <v>3</v>
      </c>
      <c r="L157" s="3" t="n">
        <v>595.6</v>
      </c>
      <c r="M157" s="4" t="n">
        <v>0.05</v>
      </c>
      <c r="N157" s="3" t="n">
        <v>1078.81</v>
      </c>
      <c r="O157" s="3">
        <f>K157*L157*(1-M157)</f>
        <v/>
      </c>
      <c r="P157" s="3">
        <f>O157-N157</f>
        <v/>
      </c>
      <c r="Q157" s="5">
        <f>IFERROR(P157/O157,0)</f>
        <v/>
      </c>
      <c r="R157" s="2">
        <f>TEXT(DATEVALUE(B157),"mmm")</f>
        <v/>
      </c>
      <c r="S157" s="2">
        <f>TEXT(DATEVALUE(B157),"yyyy-mm")</f>
        <v/>
      </c>
    </row>
    <row r="158">
      <c r="A158" s="2" t="inlineStr">
        <is>
          <t>O002696</t>
        </is>
      </c>
      <c r="B158" s="2" t="inlineStr">
        <is>
          <t>2025-01-12</t>
        </is>
      </c>
      <c r="C158" s="2" t="inlineStr">
        <is>
          <t>C0675</t>
        </is>
      </c>
      <c r="D158" s="2" t="inlineStr">
        <is>
          <t>P0021</t>
        </is>
      </c>
      <c r="E158" s="2" t="inlineStr">
        <is>
          <t>Wallet</t>
        </is>
      </c>
      <c r="F158" s="2" t="inlineStr">
        <is>
          <t>Fashion</t>
        </is>
      </c>
      <c r="G158" s="2" t="inlineStr">
        <is>
          <t>West</t>
        </is>
      </c>
      <c r="H158" s="2" t="inlineStr">
        <is>
          <t>Gujarat</t>
        </is>
      </c>
      <c r="I158" s="2" t="inlineStr">
        <is>
          <t>Vadodara</t>
        </is>
      </c>
      <c r="J158" s="2" t="inlineStr">
        <is>
          <t>Online</t>
        </is>
      </c>
      <c r="K158" s="2" t="n">
        <v>3</v>
      </c>
      <c r="L158" s="3" t="n">
        <v>2078.02</v>
      </c>
      <c r="M158" s="4" t="n">
        <v>0.05</v>
      </c>
      <c r="N158" s="3" t="n">
        <v>3522.31</v>
      </c>
      <c r="O158" s="3">
        <f>K158*L158*(1-M158)</f>
        <v/>
      </c>
      <c r="P158" s="3">
        <f>O158-N158</f>
        <v/>
      </c>
      <c r="Q158" s="5">
        <f>IFERROR(P158/O158,0)</f>
        <v/>
      </c>
      <c r="R158" s="2">
        <f>TEXT(DATEVALUE(B158),"mmm")</f>
        <v/>
      </c>
      <c r="S158" s="2">
        <f>TEXT(DATEVALUE(B158),"yyyy-mm")</f>
        <v/>
      </c>
    </row>
    <row r="159">
      <c r="A159" s="2" t="inlineStr">
        <is>
          <t>O002413</t>
        </is>
      </c>
      <c r="B159" s="2" t="inlineStr">
        <is>
          <t>2025-01-12</t>
        </is>
      </c>
      <c r="C159" s="2" t="inlineStr">
        <is>
          <t>C0773</t>
        </is>
      </c>
      <c r="D159" s="2" t="inlineStr">
        <is>
          <t>P0027</t>
        </is>
      </c>
      <c r="E159" s="2" t="inlineStr">
        <is>
          <t>Moisturizer</t>
        </is>
      </c>
      <c r="F159" s="2" t="inlineStr">
        <is>
          <t>Beauty</t>
        </is>
      </c>
      <c r="G159" s="2" t="inlineStr">
        <is>
          <t>West</t>
        </is>
      </c>
      <c r="H159" s="2" t="inlineStr">
        <is>
          <t>Maharashtra</t>
        </is>
      </c>
      <c r="I159" s="2" t="inlineStr">
        <is>
          <t>Thane</t>
        </is>
      </c>
      <c r="J159" s="2" t="inlineStr">
        <is>
          <t>Store</t>
        </is>
      </c>
      <c r="K159" s="2" t="n">
        <v>2</v>
      </c>
      <c r="L159" s="3" t="n">
        <v>942.62</v>
      </c>
      <c r="M159" s="4" t="n">
        <v>0.15</v>
      </c>
      <c r="N159" s="3" t="n">
        <v>1401.69</v>
      </c>
      <c r="O159" s="3">
        <f>K159*L159*(1-M159)</f>
        <v/>
      </c>
      <c r="P159" s="3">
        <f>O159-N159</f>
        <v/>
      </c>
      <c r="Q159" s="5">
        <f>IFERROR(P159/O159,0)</f>
        <v/>
      </c>
      <c r="R159" s="2">
        <f>TEXT(DATEVALUE(B159),"mmm")</f>
        <v/>
      </c>
      <c r="S159" s="2">
        <f>TEXT(DATEVALUE(B159),"yyyy-mm")</f>
        <v/>
      </c>
    </row>
    <row r="160">
      <c r="A160" s="2" t="inlineStr">
        <is>
          <t>O002369</t>
        </is>
      </c>
      <c r="B160" s="2" t="inlineStr">
        <is>
          <t>2025-01-12</t>
        </is>
      </c>
      <c r="C160" s="2" t="inlineStr">
        <is>
          <t>C0444</t>
        </is>
      </c>
      <c r="D160" s="2" t="inlineStr">
        <is>
          <t>P0014</t>
        </is>
      </c>
      <c r="E160" s="2" t="inlineStr">
        <is>
          <t>Coffee Maker</t>
        </is>
      </c>
      <c r="F160" s="2" t="inlineStr">
        <is>
          <t>Home &amp; Kitchen</t>
        </is>
      </c>
      <c r="G160" s="2" t="inlineStr">
        <is>
          <t>East</t>
        </is>
      </c>
      <c r="H160" s="2" t="inlineStr">
        <is>
          <t>Bihar</t>
        </is>
      </c>
      <c r="I160" s="2" t="inlineStr">
        <is>
          <t>Gaya</t>
        </is>
      </c>
      <c r="J160" s="2" t="inlineStr">
        <is>
          <t>Store</t>
        </is>
      </c>
      <c r="K160" s="2" t="n">
        <v>4</v>
      </c>
      <c r="L160" s="3" t="n">
        <v>1066.69</v>
      </c>
      <c r="M160" s="4" t="n">
        <v>0.15</v>
      </c>
      <c r="N160" s="3" t="n">
        <v>3105.47</v>
      </c>
      <c r="O160" s="3">
        <f>K160*L160*(1-M160)</f>
        <v/>
      </c>
      <c r="P160" s="3">
        <f>O160-N160</f>
        <v/>
      </c>
      <c r="Q160" s="5">
        <f>IFERROR(P160/O160,0)</f>
        <v/>
      </c>
      <c r="R160" s="2">
        <f>TEXT(DATEVALUE(B160),"mmm")</f>
        <v/>
      </c>
      <c r="S160" s="2">
        <f>TEXT(DATEVALUE(B160),"yyyy-mm")</f>
        <v/>
      </c>
    </row>
    <row r="161">
      <c r="A161" s="2" t="inlineStr">
        <is>
          <t>O002134</t>
        </is>
      </c>
      <c r="B161" s="2" t="inlineStr">
        <is>
          <t>2025-01-12</t>
        </is>
      </c>
      <c r="C161" s="2" t="inlineStr">
        <is>
          <t>C0322</t>
        </is>
      </c>
      <c r="D161" s="2" t="inlineStr">
        <is>
          <t>P0008</t>
        </is>
      </c>
      <c r="E161" s="2" t="inlineStr">
        <is>
          <t>Air Fryer</t>
        </is>
      </c>
      <c r="F161" s="2" t="inlineStr">
        <is>
          <t>Home &amp; Kitchen</t>
        </is>
      </c>
      <c r="G161" s="2" t="inlineStr">
        <is>
          <t>West</t>
        </is>
      </c>
      <c r="H161" s="2" t="inlineStr">
        <is>
          <t>Goa</t>
        </is>
      </c>
      <c r="I161" s="2" t="inlineStr">
        <is>
          <t>Panaji</t>
        </is>
      </c>
      <c r="J161" s="2" t="inlineStr">
        <is>
          <t>Online</t>
        </is>
      </c>
      <c r="K161" s="2" t="n">
        <v>1</v>
      </c>
      <c r="L161" s="3" t="n">
        <v>1083.74</v>
      </c>
      <c r="M161" s="4" t="n">
        <v>0</v>
      </c>
      <c r="N161" s="3" t="n">
        <v>679.59</v>
      </c>
      <c r="O161" s="3">
        <f>K161*L161*(1-M161)</f>
        <v/>
      </c>
      <c r="P161" s="3">
        <f>O161-N161</f>
        <v/>
      </c>
      <c r="Q161" s="5">
        <f>IFERROR(P161/O161,0)</f>
        <v/>
      </c>
      <c r="R161" s="2">
        <f>TEXT(DATEVALUE(B161),"mmm")</f>
        <v/>
      </c>
      <c r="S161" s="2">
        <f>TEXT(DATEVALUE(B161),"yyyy-mm")</f>
        <v/>
      </c>
    </row>
    <row r="162">
      <c r="A162" s="2" t="inlineStr">
        <is>
          <t>O001755</t>
        </is>
      </c>
      <c r="B162" s="2" t="inlineStr">
        <is>
          <t>2025-01-12</t>
        </is>
      </c>
      <c r="C162" s="2" t="inlineStr">
        <is>
          <t>C0267</t>
        </is>
      </c>
      <c r="D162" s="2" t="inlineStr">
        <is>
          <t>P0008</t>
        </is>
      </c>
      <c r="E162" s="2" t="inlineStr">
        <is>
          <t>Air Fryer</t>
        </is>
      </c>
      <c r="F162" s="2" t="inlineStr">
        <is>
          <t>Home &amp; Kitchen</t>
        </is>
      </c>
      <c r="G162" s="2" t="inlineStr">
        <is>
          <t>West</t>
        </is>
      </c>
      <c r="H162" s="2" t="inlineStr">
        <is>
          <t>Goa</t>
        </is>
      </c>
      <c r="I162" s="2" t="inlineStr">
        <is>
          <t>Panaji</t>
        </is>
      </c>
      <c r="J162" s="2" t="inlineStr">
        <is>
          <t>Online</t>
        </is>
      </c>
      <c r="K162" s="2" t="n">
        <v>1</v>
      </c>
      <c r="L162" s="3" t="n">
        <v>1050.27</v>
      </c>
      <c r="M162" s="4" t="n">
        <v>0.15</v>
      </c>
      <c r="N162" s="3" t="n">
        <v>662.16</v>
      </c>
      <c r="O162" s="3">
        <f>K162*L162*(1-M162)</f>
        <v/>
      </c>
      <c r="P162" s="3">
        <f>O162-N162</f>
        <v/>
      </c>
      <c r="Q162" s="5">
        <f>IFERROR(P162/O162,0)</f>
        <v/>
      </c>
      <c r="R162" s="2">
        <f>TEXT(DATEVALUE(B162),"mmm")</f>
        <v/>
      </c>
      <c r="S162" s="2">
        <f>TEXT(DATEVALUE(B162),"yyyy-mm")</f>
        <v/>
      </c>
    </row>
    <row r="163">
      <c r="A163" s="2" t="inlineStr">
        <is>
          <t>O001873</t>
        </is>
      </c>
      <c r="B163" s="2" t="inlineStr">
        <is>
          <t>2025-01-12</t>
        </is>
      </c>
      <c r="C163" s="2" t="inlineStr">
        <is>
          <t>C0147</t>
        </is>
      </c>
      <c r="D163" s="2" t="inlineStr">
        <is>
          <t>P0004</t>
        </is>
      </c>
      <c r="E163" s="2" t="inlineStr">
        <is>
          <t>USB-C Hub</t>
        </is>
      </c>
      <c r="F163" s="2" t="inlineStr">
        <is>
          <t>Electronics</t>
        </is>
      </c>
      <c r="G163" s="2" t="inlineStr">
        <is>
          <t>South</t>
        </is>
      </c>
      <c r="H163" s="2" t="inlineStr">
        <is>
          <t>Karnataka</t>
        </is>
      </c>
      <c r="I163" s="2" t="inlineStr">
        <is>
          <t>Mysuru</t>
        </is>
      </c>
      <c r="J163" s="2" t="inlineStr">
        <is>
          <t>Online</t>
        </is>
      </c>
      <c r="K163" s="2" t="n">
        <v>2</v>
      </c>
      <c r="L163" s="3" t="n">
        <v>1269.44</v>
      </c>
      <c r="M163" s="4" t="n">
        <v>0</v>
      </c>
      <c r="N163" s="3" t="n">
        <v>1869.98</v>
      </c>
      <c r="O163" s="3">
        <f>K163*L163*(1-M163)</f>
        <v/>
      </c>
      <c r="P163" s="3">
        <f>O163-N163</f>
        <v/>
      </c>
      <c r="Q163" s="5">
        <f>IFERROR(P163/O163,0)</f>
        <v/>
      </c>
      <c r="R163" s="2">
        <f>TEXT(DATEVALUE(B163),"mmm")</f>
        <v/>
      </c>
      <c r="S163" s="2">
        <f>TEXT(DATEVALUE(B163),"yyyy-mm")</f>
        <v/>
      </c>
    </row>
    <row r="164">
      <c r="A164" s="2" t="inlineStr">
        <is>
          <t>O000519</t>
        </is>
      </c>
      <c r="B164" s="2" t="inlineStr">
        <is>
          <t>2025-01-12</t>
        </is>
      </c>
      <c r="C164" s="2" t="inlineStr">
        <is>
          <t>C0182</t>
        </is>
      </c>
      <c r="D164" s="2" t="inlineStr">
        <is>
          <t>P0020</t>
        </is>
      </c>
      <c r="E164" s="2" t="inlineStr">
        <is>
          <t>Sneakers</t>
        </is>
      </c>
      <c r="F164" s="2" t="inlineStr">
        <is>
          <t>Fashion</t>
        </is>
      </c>
      <c r="G164" s="2" t="inlineStr">
        <is>
          <t>East</t>
        </is>
      </c>
      <c r="H164" s="2" t="inlineStr">
        <is>
          <t>Odisha</t>
        </is>
      </c>
      <c r="I164" s="2" t="inlineStr">
        <is>
          <t>Bhubaneswar</t>
        </is>
      </c>
      <c r="J164" s="2" t="inlineStr">
        <is>
          <t>Store</t>
        </is>
      </c>
      <c r="K164" s="2" t="n">
        <v>3</v>
      </c>
      <c r="L164" s="3" t="n">
        <v>1954.62</v>
      </c>
      <c r="M164" s="4" t="n">
        <v>0.15</v>
      </c>
      <c r="N164" s="3" t="n">
        <v>4507.29</v>
      </c>
      <c r="O164" s="3">
        <f>K164*L164*(1-M164)</f>
        <v/>
      </c>
      <c r="P164" s="3">
        <f>O164-N164</f>
        <v/>
      </c>
      <c r="Q164" s="5">
        <f>IFERROR(P164/O164,0)</f>
        <v/>
      </c>
      <c r="R164" s="2">
        <f>TEXT(DATEVALUE(B164),"mmm")</f>
        <v/>
      </c>
      <c r="S164" s="2">
        <f>TEXT(DATEVALUE(B164),"yyyy-mm")</f>
        <v/>
      </c>
    </row>
    <row r="165">
      <c r="A165" s="2" t="inlineStr">
        <is>
          <t>O000852</t>
        </is>
      </c>
      <c r="B165" s="2" t="inlineStr">
        <is>
          <t>2025-01-12</t>
        </is>
      </c>
      <c r="C165" s="2" t="inlineStr">
        <is>
          <t>C0544</t>
        </is>
      </c>
      <c r="D165" s="2" t="inlineStr">
        <is>
          <t>P0006</t>
        </is>
      </c>
      <c r="E165" s="2" t="inlineStr">
        <is>
          <t>Mechanical Keyboard</t>
        </is>
      </c>
      <c r="F165" s="2" t="inlineStr">
        <is>
          <t>Electronics</t>
        </is>
      </c>
      <c r="G165" s="2" t="inlineStr">
        <is>
          <t>North</t>
        </is>
      </c>
      <c r="H165" s="2" t="inlineStr">
        <is>
          <t>Uttar Pradesh</t>
        </is>
      </c>
      <c r="I165" s="2" t="inlineStr">
        <is>
          <t>Lucknow</t>
        </is>
      </c>
      <c r="J165" s="2" t="inlineStr">
        <is>
          <t>Online</t>
        </is>
      </c>
      <c r="K165" s="2" t="n">
        <v>2</v>
      </c>
      <c r="L165" s="3" t="n">
        <v>2681.86</v>
      </c>
      <c r="M165" s="4" t="n">
        <v>0.1</v>
      </c>
      <c r="N165" s="3" t="n">
        <v>2891.57</v>
      </c>
      <c r="O165" s="3">
        <f>K165*L165*(1-M165)</f>
        <v/>
      </c>
      <c r="P165" s="3">
        <f>O165-N165</f>
        <v/>
      </c>
      <c r="Q165" s="5">
        <f>IFERROR(P165/O165,0)</f>
        <v/>
      </c>
      <c r="R165" s="2">
        <f>TEXT(DATEVALUE(B165),"mmm")</f>
        <v/>
      </c>
      <c r="S165" s="2">
        <f>TEXT(DATEVALUE(B165),"yyyy-mm")</f>
        <v/>
      </c>
    </row>
    <row r="166">
      <c r="A166" s="2" t="inlineStr">
        <is>
          <t>O001424</t>
        </is>
      </c>
      <c r="B166" s="2" t="inlineStr">
        <is>
          <t>2025-01-12</t>
        </is>
      </c>
      <c r="C166" s="2" t="inlineStr">
        <is>
          <t>C0013</t>
        </is>
      </c>
      <c r="D166" s="2" t="inlineStr">
        <is>
          <t>P0001</t>
        </is>
      </c>
      <c r="E166" s="2" t="inlineStr">
        <is>
          <t>Wireless Headphones</t>
        </is>
      </c>
      <c r="F166" s="2" t="inlineStr">
        <is>
          <t>Electronics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Store</t>
        </is>
      </c>
      <c r="K166" s="2" t="n">
        <v>2</v>
      </c>
      <c r="L166" s="3" t="n">
        <v>1309.96</v>
      </c>
      <c r="M166" s="4" t="n">
        <v>0.05</v>
      </c>
      <c r="N166" s="3" t="n">
        <v>1373.96</v>
      </c>
      <c r="O166" s="3">
        <f>K166*L166*(1-M166)</f>
        <v/>
      </c>
      <c r="P166" s="3">
        <f>O166-N166</f>
        <v/>
      </c>
      <c r="Q166" s="5">
        <f>IFERROR(P166/O166,0)</f>
        <v/>
      </c>
      <c r="R166" s="2">
        <f>TEXT(DATEVALUE(B166),"mmm")</f>
        <v/>
      </c>
      <c r="S166" s="2">
        <f>TEXT(DATEVALUE(B166),"yyyy-mm")</f>
        <v/>
      </c>
    </row>
    <row r="167">
      <c r="A167" s="2" t="inlineStr">
        <is>
          <t>O001434</t>
        </is>
      </c>
      <c r="B167" s="2" t="inlineStr">
        <is>
          <t>2025-01-12</t>
        </is>
      </c>
      <c r="C167" s="2" t="inlineStr">
        <is>
          <t>C0800</t>
        </is>
      </c>
      <c r="D167" s="2" t="inlineStr">
        <is>
          <t>P0014</t>
        </is>
      </c>
      <c r="E167" s="2" t="inlineStr">
        <is>
          <t>Coffee Maker</t>
        </is>
      </c>
      <c r="F167" s="2" t="inlineStr">
        <is>
          <t>Home &amp; Kitchen</t>
        </is>
      </c>
      <c r="G167" s="2" t="inlineStr">
        <is>
          <t>East</t>
        </is>
      </c>
      <c r="H167" s="2" t="inlineStr">
        <is>
          <t>Odisha</t>
        </is>
      </c>
      <c r="I167" s="2" t="inlineStr">
        <is>
          <t>Bhubaneswar</t>
        </is>
      </c>
      <c r="J167" s="2" t="inlineStr">
        <is>
          <t>Store</t>
        </is>
      </c>
      <c r="K167" s="2" t="n">
        <v>1</v>
      </c>
      <c r="L167" s="3" t="n">
        <v>1051.22</v>
      </c>
      <c r="M167" s="4" t="n">
        <v>0.15</v>
      </c>
      <c r="N167" s="3" t="n">
        <v>768.86</v>
      </c>
      <c r="O167" s="3">
        <f>K167*L167*(1-M167)</f>
        <v/>
      </c>
      <c r="P167" s="3">
        <f>O167-N167</f>
        <v/>
      </c>
      <c r="Q167" s="5">
        <f>IFERROR(P167/O167,0)</f>
        <v/>
      </c>
      <c r="R167" s="2">
        <f>TEXT(DATEVALUE(B167),"mmm")</f>
        <v/>
      </c>
      <c r="S167" s="2">
        <f>TEXT(DATEVALUE(B167),"yyyy-mm")</f>
        <v/>
      </c>
    </row>
    <row r="168">
      <c r="A168" s="2" t="inlineStr">
        <is>
          <t>O000682</t>
        </is>
      </c>
      <c r="B168" s="2" t="inlineStr">
        <is>
          <t>2025-01-12</t>
        </is>
      </c>
      <c r="C168" s="2" t="inlineStr">
        <is>
          <t>C0041</t>
        </is>
      </c>
      <c r="D168" s="2" t="inlineStr">
        <is>
          <t>P0035</t>
        </is>
      </c>
      <c r="E168" s="2" t="inlineStr">
        <is>
          <t>Skipping Rope</t>
        </is>
      </c>
      <c r="F168" s="2" t="inlineStr">
        <is>
          <t>Sports</t>
        </is>
      </c>
      <c r="G168" s="2" t="inlineStr">
        <is>
          <t>West</t>
        </is>
      </c>
      <c r="H168" s="2" t="inlineStr">
        <is>
          <t>Goa</t>
        </is>
      </c>
      <c r="I168" s="2" t="inlineStr">
        <is>
          <t>Panaji</t>
        </is>
      </c>
      <c r="J168" s="2" t="inlineStr">
        <is>
          <t>Online</t>
        </is>
      </c>
      <c r="K168" s="2" t="n">
        <v>1</v>
      </c>
      <c r="L168" s="3" t="n">
        <v>740.54</v>
      </c>
      <c r="M168" s="4" t="n">
        <v>0.1</v>
      </c>
      <c r="N168" s="3" t="n">
        <v>400.7</v>
      </c>
      <c r="O168" s="3">
        <f>K168*L168*(1-M168)</f>
        <v/>
      </c>
      <c r="P168" s="3">
        <f>O168-N168</f>
        <v/>
      </c>
      <c r="Q168" s="5">
        <f>IFERROR(P168/O168,0)</f>
        <v/>
      </c>
      <c r="R168" s="2">
        <f>TEXT(DATEVALUE(B168),"mmm")</f>
        <v/>
      </c>
      <c r="S168" s="2">
        <f>TEXT(DATEVALUE(B168),"yyyy-mm")</f>
        <v/>
      </c>
    </row>
    <row r="169">
      <c r="A169" s="2" t="inlineStr">
        <is>
          <t>O001701</t>
        </is>
      </c>
      <c r="B169" s="2" t="inlineStr">
        <is>
          <t>2025-01-12</t>
        </is>
      </c>
      <c r="C169" s="2" t="inlineStr">
        <is>
          <t>C0064</t>
        </is>
      </c>
      <c r="D169" s="2" t="inlineStr">
        <is>
          <t>P0001</t>
        </is>
      </c>
      <c r="E169" s="2" t="inlineStr">
        <is>
          <t>Wireless Headphones</t>
        </is>
      </c>
      <c r="F169" s="2" t="inlineStr">
        <is>
          <t>Electronics</t>
        </is>
      </c>
      <c r="G169" s="2" t="inlineStr">
        <is>
          <t>North</t>
        </is>
      </c>
      <c r="H169" s="2" t="inlineStr">
        <is>
          <t>Delhi</t>
        </is>
      </c>
      <c r="I169" s="2" t="inlineStr">
        <is>
          <t>New Delhi</t>
        </is>
      </c>
      <c r="J169" s="2" t="inlineStr">
        <is>
          <t>Store</t>
        </is>
      </c>
      <c r="K169" s="2" t="n">
        <v>1</v>
      </c>
      <c r="L169" s="3" t="n">
        <v>1280.36</v>
      </c>
      <c r="M169" s="4" t="n">
        <v>0.05</v>
      </c>
      <c r="N169" s="3" t="n">
        <v>687.27</v>
      </c>
      <c r="O169" s="3">
        <f>K169*L169*(1-M169)</f>
        <v/>
      </c>
      <c r="P169" s="3">
        <f>O169-N169</f>
        <v/>
      </c>
      <c r="Q169" s="5">
        <f>IFERROR(P169/O169,0)</f>
        <v/>
      </c>
      <c r="R169" s="2">
        <f>TEXT(DATEVALUE(B169),"mmm")</f>
        <v/>
      </c>
      <c r="S169" s="2">
        <f>TEXT(DATEVALUE(B169),"yyyy-mm")</f>
        <v/>
      </c>
    </row>
    <row r="170">
      <c r="A170" s="2" t="inlineStr">
        <is>
          <t>O002021</t>
        </is>
      </c>
      <c r="B170" s="2" t="inlineStr">
        <is>
          <t>2025-01-12</t>
        </is>
      </c>
      <c r="C170" s="2" t="inlineStr">
        <is>
          <t>C0694</t>
        </is>
      </c>
      <c r="D170" s="2" t="inlineStr">
        <is>
          <t>P0022</t>
        </is>
      </c>
      <c r="E170" s="2" t="inlineStr">
        <is>
          <t>Face Wash</t>
        </is>
      </c>
      <c r="F170" s="2" t="inlineStr">
        <is>
          <t>Beauty</t>
        </is>
      </c>
      <c r="G170" s="2" t="inlineStr">
        <is>
          <t>West</t>
        </is>
      </c>
      <c r="H170" s="2" t="inlineStr">
        <is>
          <t>Goa</t>
        </is>
      </c>
      <c r="I170" s="2" t="inlineStr">
        <is>
          <t>Margao</t>
        </is>
      </c>
      <c r="J170" s="2" t="inlineStr">
        <is>
          <t>Online</t>
        </is>
      </c>
      <c r="K170" s="2" t="n">
        <v>1</v>
      </c>
      <c r="L170" s="3" t="n">
        <v>539.77</v>
      </c>
      <c r="M170" s="4" t="n">
        <v>0.05</v>
      </c>
      <c r="N170" s="3" t="n">
        <v>345.76</v>
      </c>
      <c r="O170" s="3">
        <f>K170*L170*(1-M170)</f>
        <v/>
      </c>
      <c r="P170" s="3">
        <f>O170-N170</f>
        <v/>
      </c>
      <c r="Q170" s="5">
        <f>IFERROR(P170/O170,0)</f>
        <v/>
      </c>
      <c r="R170" s="2">
        <f>TEXT(DATEVALUE(B170),"mmm")</f>
        <v/>
      </c>
      <c r="S170" s="2">
        <f>TEXT(DATEVALUE(B170),"yyyy-mm")</f>
        <v/>
      </c>
    </row>
    <row r="171">
      <c r="A171" s="2" t="inlineStr">
        <is>
          <t>O001871</t>
        </is>
      </c>
      <c r="B171" s="2" t="inlineStr">
        <is>
          <t>2025-01-12</t>
        </is>
      </c>
      <c r="C171" s="2" t="inlineStr">
        <is>
          <t>C0150</t>
        </is>
      </c>
      <c r="D171" s="2" t="inlineStr">
        <is>
          <t>P0026</t>
        </is>
      </c>
      <c r="E171" s="2" t="inlineStr">
        <is>
          <t>Shampoo</t>
        </is>
      </c>
      <c r="F171" s="2" t="inlineStr">
        <is>
          <t>Beauty</t>
        </is>
      </c>
      <c r="G171" s="2" t="inlineStr">
        <is>
          <t>South</t>
        </is>
      </c>
      <c r="H171" s="2" t="inlineStr">
        <is>
          <t>Tamil Nadu</t>
        </is>
      </c>
      <c r="I171" s="2" t="inlineStr">
        <is>
          <t>Madurai</t>
        </is>
      </c>
      <c r="J171" s="2" t="inlineStr">
        <is>
          <t>Store</t>
        </is>
      </c>
      <c r="K171" s="2" t="n">
        <v>2</v>
      </c>
      <c r="L171" s="3" t="n">
        <v>904.78</v>
      </c>
      <c r="M171" s="4" t="n">
        <v>0.15</v>
      </c>
      <c r="N171" s="3" t="n">
        <v>1033.71</v>
      </c>
      <c r="O171" s="3">
        <f>K171*L171*(1-M171)</f>
        <v/>
      </c>
      <c r="P171" s="3">
        <f>O171-N171</f>
        <v/>
      </c>
      <c r="Q171" s="5">
        <f>IFERROR(P171/O171,0)</f>
        <v/>
      </c>
      <c r="R171" s="2">
        <f>TEXT(DATEVALUE(B171),"mmm")</f>
        <v/>
      </c>
      <c r="S171" s="2">
        <f>TEXT(DATEVALUE(B171),"yyyy-mm")</f>
        <v/>
      </c>
    </row>
    <row r="172">
      <c r="A172" s="2" t="inlineStr">
        <is>
          <t>O001668</t>
        </is>
      </c>
      <c r="B172" s="2" t="inlineStr">
        <is>
          <t>2025-01-12</t>
        </is>
      </c>
      <c r="C172" s="2" t="inlineStr">
        <is>
          <t>C0011</t>
        </is>
      </c>
      <c r="D172" s="2" t="inlineStr">
        <is>
          <t>P0032</t>
        </is>
      </c>
      <c r="E172" s="2" t="inlineStr">
        <is>
          <t>Football</t>
        </is>
      </c>
      <c r="F172" s="2" t="inlineStr">
        <is>
          <t>Sports</t>
        </is>
      </c>
      <c r="G172" s="2" t="inlineStr">
        <is>
          <t>West</t>
        </is>
      </c>
      <c r="H172" s="2" t="inlineStr">
        <is>
          <t>Gujarat</t>
        </is>
      </c>
      <c r="I172" s="2" t="inlineStr">
        <is>
          <t>Surat</t>
        </is>
      </c>
      <c r="J172" s="2" t="inlineStr">
        <is>
          <t>Online</t>
        </is>
      </c>
      <c r="K172" s="2" t="n">
        <v>6</v>
      </c>
      <c r="L172" s="3" t="n">
        <v>800.4400000000001</v>
      </c>
      <c r="M172" s="4" t="n">
        <v>0.2</v>
      </c>
      <c r="N172" s="3" t="n">
        <v>3252.65</v>
      </c>
      <c r="O172" s="3">
        <f>K172*L172*(1-M172)</f>
        <v/>
      </c>
      <c r="P172" s="3">
        <f>O172-N172</f>
        <v/>
      </c>
      <c r="Q172" s="5">
        <f>IFERROR(P172/O172,0)</f>
        <v/>
      </c>
      <c r="R172" s="2">
        <f>TEXT(DATEVALUE(B172),"mmm")</f>
        <v/>
      </c>
      <c r="S172" s="2">
        <f>TEXT(DATEVALUE(B172),"yyyy-mm")</f>
        <v/>
      </c>
    </row>
    <row r="173">
      <c r="A173" s="2" t="inlineStr">
        <is>
          <t>O003622</t>
        </is>
      </c>
      <c r="B173" s="2" t="inlineStr">
        <is>
          <t>2025-01-13</t>
        </is>
      </c>
      <c r="C173" s="2" t="inlineStr">
        <is>
          <t>C0175</t>
        </is>
      </c>
      <c r="D173" s="2" t="inlineStr">
        <is>
          <t>P0012</t>
        </is>
      </c>
      <c r="E173" s="2" t="inlineStr">
        <is>
          <t>Water Bottle</t>
        </is>
      </c>
      <c r="F173" s="2" t="inlineStr">
        <is>
          <t>Home &amp; Kitchen</t>
        </is>
      </c>
      <c r="G173" s="2" t="inlineStr">
        <is>
          <t>North</t>
        </is>
      </c>
      <c r="H173" s="2" t="inlineStr">
        <is>
          <t>Delhi</t>
        </is>
      </c>
      <c r="I173" s="2" t="inlineStr">
        <is>
          <t>New Delhi</t>
        </is>
      </c>
      <c r="J173" s="2" t="inlineStr">
        <is>
          <t>Online</t>
        </is>
      </c>
      <c r="K173" s="2" t="n">
        <v>1</v>
      </c>
      <c r="L173" s="3" t="n">
        <v>962.9299999999999</v>
      </c>
      <c r="M173" s="4" t="n">
        <v>0.15</v>
      </c>
      <c r="N173" s="3" t="n">
        <v>624.11</v>
      </c>
      <c r="O173" s="3">
        <f>K173*L173*(1-M173)</f>
        <v/>
      </c>
      <c r="P173" s="3">
        <f>O173-N173</f>
        <v/>
      </c>
      <c r="Q173" s="5">
        <f>IFERROR(P173/O173,0)</f>
        <v/>
      </c>
      <c r="R173" s="2">
        <f>TEXT(DATEVALUE(B173),"mmm")</f>
        <v/>
      </c>
      <c r="S173" s="2">
        <f>TEXT(DATEVALUE(B173),"yyyy-mm")</f>
        <v/>
      </c>
    </row>
    <row r="174">
      <c r="A174" s="2" t="inlineStr">
        <is>
          <t>O004924</t>
        </is>
      </c>
      <c r="B174" s="2" t="inlineStr">
        <is>
          <t>2025-01-13</t>
        </is>
      </c>
      <c r="C174" s="2" t="inlineStr">
        <is>
          <t>C0568</t>
        </is>
      </c>
      <c r="D174" s="2" t="inlineStr">
        <is>
          <t>P0010</t>
        </is>
      </c>
      <c r="E174" s="2" t="inlineStr">
        <is>
          <t>Mixer Grinder</t>
        </is>
      </c>
      <c r="F174" s="2" t="inlineStr">
        <is>
          <t>Home &amp; Kitchen</t>
        </is>
      </c>
      <c r="G174" s="2" t="inlineStr">
        <is>
          <t>East</t>
        </is>
      </c>
      <c r="H174" s="2" t="inlineStr">
        <is>
          <t>Bihar</t>
        </is>
      </c>
      <c r="I174" s="2" t="inlineStr">
        <is>
          <t>Patna</t>
        </is>
      </c>
      <c r="J174" s="2" t="inlineStr">
        <is>
          <t>Store</t>
        </is>
      </c>
      <c r="K174" s="2" t="n">
        <v>4</v>
      </c>
      <c r="L174" s="3" t="n">
        <v>1574.82</v>
      </c>
      <c r="M174" s="4" t="n">
        <v>0</v>
      </c>
      <c r="N174" s="3" t="n">
        <v>4070.33</v>
      </c>
      <c r="O174" s="3">
        <f>K174*L174*(1-M174)</f>
        <v/>
      </c>
      <c r="P174" s="3">
        <f>O174-N174</f>
        <v/>
      </c>
      <c r="Q174" s="5">
        <f>IFERROR(P174/O174,0)</f>
        <v/>
      </c>
      <c r="R174" s="2">
        <f>TEXT(DATEVALUE(B174),"mmm")</f>
        <v/>
      </c>
      <c r="S174" s="2">
        <f>TEXT(DATEVALUE(B174),"yyyy-mm")</f>
        <v/>
      </c>
    </row>
    <row r="175">
      <c r="A175" s="2" t="inlineStr">
        <is>
          <t>O004239</t>
        </is>
      </c>
      <c r="B175" s="2" t="inlineStr">
        <is>
          <t>2025-01-13</t>
        </is>
      </c>
      <c r="C175" s="2" t="inlineStr">
        <is>
          <t>C0422</t>
        </is>
      </c>
      <c r="D175" s="2" t="inlineStr">
        <is>
          <t>P0004</t>
        </is>
      </c>
      <c r="E175" s="2" t="inlineStr">
        <is>
          <t>USB-C Hub</t>
        </is>
      </c>
      <c r="F175" s="2" t="inlineStr">
        <is>
          <t>Electronics</t>
        </is>
      </c>
      <c r="G175" s="2" t="inlineStr">
        <is>
          <t>West</t>
        </is>
      </c>
      <c r="H175" s="2" t="inlineStr">
        <is>
          <t>Maharashtra</t>
        </is>
      </c>
      <c r="I175" s="2" t="inlineStr">
        <is>
          <t>Thane</t>
        </is>
      </c>
      <c r="J175" s="2" t="inlineStr">
        <is>
          <t>Store</t>
        </is>
      </c>
      <c r="K175" s="2" t="n">
        <v>1</v>
      </c>
      <c r="L175" s="3" t="n">
        <v>1248.22</v>
      </c>
      <c r="M175" s="4" t="n">
        <v>0</v>
      </c>
      <c r="N175" s="3" t="n">
        <v>899.84</v>
      </c>
      <c r="O175" s="3">
        <f>K175*L175*(1-M175)</f>
        <v/>
      </c>
      <c r="P175" s="3">
        <f>O175-N175</f>
        <v/>
      </c>
      <c r="Q175" s="5">
        <f>IFERROR(P175/O175,0)</f>
        <v/>
      </c>
      <c r="R175" s="2">
        <f>TEXT(DATEVALUE(B175),"mmm")</f>
        <v/>
      </c>
      <c r="S175" s="2">
        <f>TEXT(DATEVALUE(B175),"yyyy-mm")</f>
        <v/>
      </c>
    </row>
    <row r="176">
      <c r="A176" s="2" t="inlineStr">
        <is>
          <t>O003794</t>
        </is>
      </c>
      <c r="B176" s="2" t="inlineStr">
        <is>
          <t>2025-01-13</t>
        </is>
      </c>
      <c r="C176" s="2" t="inlineStr">
        <is>
          <t>C0376</t>
        </is>
      </c>
      <c r="D176" s="2" t="inlineStr">
        <is>
          <t>P0005</t>
        </is>
      </c>
      <c r="E176" s="2" t="inlineStr">
        <is>
          <t>Power Bank</t>
        </is>
      </c>
      <c r="F176" s="2" t="inlineStr">
        <is>
          <t>Electronics</t>
        </is>
      </c>
      <c r="G176" s="2" t="inlineStr">
        <is>
          <t>West</t>
        </is>
      </c>
      <c r="H176" s="2" t="inlineStr">
        <is>
          <t>Goa</t>
        </is>
      </c>
      <c r="I176" s="2" t="inlineStr">
        <is>
          <t>Margao</t>
        </is>
      </c>
      <c r="J176" s="2" t="inlineStr">
        <is>
          <t>Online</t>
        </is>
      </c>
      <c r="K176" s="2" t="n">
        <v>2</v>
      </c>
      <c r="L176" s="3" t="n">
        <v>1145.2</v>
      </c>
      <c r="M176" s="4" t="n">
        <v>0.15</v>
      </c>
      <c r="N176" s="3" t="n">
        <v>1351.27</v>
      </c>
      <c r="O176" s="3">
        <f>K176*L176*(1-M176)</f>
        <v/>
      </c>
      <c r="P176" s="3">
        <f>O176-N176</f>
        <v/>
      </c>
      <c r="Q176" s="5">
        <f>IFERROR(P176/O176,0)</f>
        <v/>
      </c>
      <c r="R176" s="2">
        <f>TEXT(DATEVALUE(B176),"mmm")</f>
        <v/>
      </c>
      <c r="S176" s="2">
        <f>TEXT(DATEVALUE(B176),"yyyy-mm")</f>
        <v/>
      </c>
    </row>
    <row r="177">
      <c r="A177" s="2" t="inlineStr">
        <is>
          <t>O003782</t>
        </is>
      </c>
      <c r="B177" s="2" t="inlineStr">
        <is>
          <t>2025-01-13</t>
        </is>
      </c>
      <c r="C177" s="2" t="inlineStr">
        <is>
          <t>C0666</t>
        </is>
      </c>
      <c r="D177" s="2" t="inlineStr">
        <is>
          <t>P0011</t>
        </is>
      </c>
      <c r="E177" s="2" t="inlineStr">
        <is>
          <t>Cookware Set</t>
        </is>
      </c>
      <c r="F177" s="2" t="inlineStr">
        <is>
          <t>Home &amp; Kitchen</t>
        </is>
      </c>
      <c r="G177" s="2" t="inlineStr">
        <is>
          <t>South</t>
        </is>
      </c>
      <c r="H177" s="2" t="inlineStr">
        <is>
          <t>Tamil Nadu</t>
        </is>
      </c>
      <c r="I177" s="2" t="inlineStr">
        <is>
          <t>Madurai</t>
        </is>
      </c>
      <c r="J177" s="2" t="inlineStr">
        <is>
          <t>Online</t>
        </is>
      </c>
      <c r="K177" s="2" t="n">
        <v>1</v>
      </c>
      <c r="L177" s="3" t="n">
        <v>689.39</v>
      </c>
      <c r="M177" s="4" t="n">
        <v>0.05</v>
      </c>
      <c r="N177" s="3" t="n">
        <v>471.87</v>
      </c>
      <c r="O177" s="3">
        <f>K177*L177*(1-M177)</f>
        <v/>
      </c>
      <c r="P177" s="3">
        <f>O177-N177</f>
        <v/>
      </c>
      <c r="Q177" s="5">
        <f>IFERROR(P177/O177,0)</f>
        <v/>
      </c>
      <c r="R177" s="2">
        <f>TEXT(DATEVALUE(B177),"mmm")</f>
        <v/>
      </c>
      <c r="S177" s="2">
        <f>TEXT(DATEVALUE(B177),"yyyy-mm")</f>
        <v/>
      </c>
    </row>
    <row r="178">
      <c r="A178" s="2" t="inlineStr">
        <is>
          <t>O003749</t>
        </is>
      </c>
      <c r="B178" s="2" t="inlineStr">
        <is>
          <t>2025-01-13</t>
        </is>
      </c>
      <c r="C178" s="2" t="inlineStr">
        <is>
          <t>C0325</t>
        </is>
      </c>
      <c r="D178" s="2" t="inlineStr">
        <is>
          <t>P0010</t>
        </is>
      </c>
      <c r="E178" s="2" t="inlineStr">
        <is>
          <t>Mixer Grinder</t>
        </is>
      </c>
      <c r="F178" s="2" t="inlineStr">
        <is>
          <t>Home &amp; Kitchen</t>
        </is>
      </c>
      <c r="G178" s="2" t="inlineStr">
        <is>
          <t>South</t>
        </is>
      </c>
      <c r="H178" s="2" t="inlineStr">
        <is>
          <t>Kerala</t>
        </is>
      </c>
      <c r="I178" s="2" t="inlineStr">
        <is>
          <t>Kochi</t>
        </is>
      </c>
      <c r="J178" s="2" t="inlineStr">
        <is>
          <t>Online</t>
        </is>
      </c>
      <c r="K178" s="2" t="n">
        <v>1</v>
      </c>
      <c r="L178" s="3" t="n">
        <v>1673.67</v>
      </c>
      <c r="M178" s="4" t="n">
        <v>0.05</v>
      </c>
      <c r="N178" s="3" t="n">
        <v>1057.58</v>
      </c>
      <c r="O178" s="3">
        <f>K178*L178*(1-M178)</f>
        <v/>
      </c>
      <c r="P178" s="3">
        <f>O178-N178</f>
        <v/>
      </c>
      <c r="Q178" s="5">
        <f>IFERROR(P178/O178,0)</f>
        <v/>
      </c>
      <c r="R178" s="2">
        <f>TEXT(DATEVALUE(B178),"mmm")</f>
        <v/>
      </c>
      <c r="S178" s="2">
        <f>TEXT(DATEVALUE(B178),"yyyy-mm")</f>
        <v/>
      </c>
    </row>
    <row r="179">
      <c r="A179" s="2" t="inlineStr">
        <is>
          <t>O003722</t>
        </is>
      </c>
      <c r="B179" s="2" t="inlineStr">
        <is>
          <t>2025-01-13</t>
        </is>
      </c>
      <c r="C179" s="2" t="inlineStr">
        <is>
          <t>C0476</t>
        </is>
      </c>
      <c r="D179" s="2" t="inlineStr">
        <is>
          <t>P0018</t>
        </is>
      </c>
      <c r="E179" s="2" t="inlineStr">
        <is>
          <t>Backpack</t>
        </is>
      </c>
      <c r="F179" s="2" t="inlineStr">
        <is>
          <t>Fashion</t>
        </is>
      </c>
      <c r="G179" s="2" t="inlineStr">
        <is>
          <t>North</t>
        </is>
      </c>
      <c r="H179" s="2" t="inlineStr">
        <is>
          <t>Delhi</t>
        </is>
      </c>
      <c r="I179" s="2" t="inlineStr">
        <is>
          <t>New Delhi</t>
        </is>
      </c>
      <c r="J179" s="2" t="inlineStr">
        <is>
          <t>Online</t>
        </is>
      </c>
      <c r="K179" s="2" t="n">
        <v>2</v>
      </c>
      <c r="L179" s="3" t="n">
        <v>1874.59</v>
      </c>
      <c r="M179" s="4" t="n">
        <v>0.1</v>
      </c>
      <c r="N179" s="3" t="n">
        <v>2630.12</v>
      </c>
      <c r="O179" s="3">
        <f>K179*L179*(1-M179)</f>
        <v/>
      </c>
      <c r="P179" s="3">
        <f>O179-N179</f>
        <v/>
      </c>
      <c r="Q179" s="5">
        <f>IFERROR(P179/O179,0)</f>
        <v/>
      </c>
      <c r="R179" s="2">
        <f>TEXT(DATEVALUE(B179),"mmm")</f>
        <v/>
      </c>
      <c r="S179" s="2">
        <f>TEXT(DATEVALUE(B179),"yyyy-mm")</f>
        <v/>
      </c>
    </row>
    <row r="180">
      <c r="A180" s="2" t="inlineStr">
        <is>
          <t>O003543</t>
        </is>
      </c>
      <c r="B180" s="2" t="inlineStr">
        <is>
          <t>2025-01-13</t>
        </is>
      </c>
      <c r="C180" s="2" t="inlineStr">
        <is>
          <t>C0685</t>
        </is>
      </c>
      <c r="D180" s="2" t="inlineStr">
        <is>
          <t>P0016</t>
        </is>
      </c>
      <c r="E180" s="2" t="inlineStr">
        <is>
          <t>Casual Shirt</t>
        </is>
      </c>
      <c r="F180" s="2" t="inlineStr">
        <is>
          <t>Fashion</t>
        </is>
      </c>
      <c r="G180" s="2" t="inlineStr">
        <is>
          <t>North</t>
        </is>
      </c>
      <c r="H180" s="2" t="inlineStr">
        <is>
          <t>Delhi</t>
        </is>
      </c>
      <c r="I180" s="2" t="inlineStr">
        <is>
          <t>New Delhi</t>
        </is>
      </c>
      <c r="J180" s="2" t="inlineStr">
        <is>
          <t>Online</t>
        </is>
      </c>
      <c r="K180" s="2" t="n">
        <v>1</v>
      </c>
      <c r="L180" s="3" t="n">
        <v>1303.16</v>
      </c>
      <c r="M180" s="4" t="n">
        <v>0.05</v>
      </c>
      <c r="N180" s="3" t="n">
        <v>892.52</v>
      </c>
      <c r="O180" s="3">
        <f>K180*L180*(1-M180)</f>
        <v/>
      </c>
      <c r="P180" s="3">
        <f>O180-N180</f>
        <v/>
      </c>
      <c r="Q180" s="5">
        <f>IFERROR(P180/O180,0)</f>
        <v/>
      </c>
      <c r="R180" s="2">
        <f>TEXT(DATEVALUE(B180),"mmm")</f>
        <v/>
      </c>
      <c r="S180" s="2">
        <f>TEXT(DATEVALUE(B180),"yyyy-mm")</f>
        <v/>
      </c>
    </row>
    <row r="181">
      <c r="A181" s="2" t="inlineStr">
        <is>
          <t>O002485</t>
        </is>
      </c>
      <c r="B181" s="2" t="inlineStr">
        <is>
          <t>2025-01-13</t>
        </is>
      </c>
      <c r="C181" s="2" t="inlineStr">
        <is>
          <t>C0731</t>
        </is>
      </c>
      <c r="D181" s="2" t="inlineStr">
        <is>
          <t>P0012</t>
        </is>
      </c>
      <c r="E181" s="2" t="inlineStr">
        <is>
          <t>Water Bottle</t>
        </is>
      </c>
      <c r="F181" s="2" t="inlineStr">
        <is>
          <t>Home &amp; Kitchen</t>
        </is>
      </c>
      <c r="G181" s="2" t="inlineStr">
        <is>
          <t>South</t>
        </is>
      </c>
      <c r="H181" s="2" t="inlineStr">
        <is>
          <t>Tamil Nadu</t>
        </is>
      </c>
      <c r="I181" s="2" t="inlineStr">
        <is>
          <t>Chennai</t>
        </is>
      </c>
      <c r="J181" s="2" t="inlineStr">
        <is>
          <t>Store</t>
        </is>
      </c>
      <c r="K181" s="2" t="n">
        <v>1</v>
      </c>
      <c r="L181" s="3" t="n">
        <v>932.73</v>
      </c>
      <c r="M181" s="4" t="n">
        <v>0.15</v>
      </c>
      <c r="N181" s="3" t="n">
        <v>604.86</v>
      </c>
      <c r="O181" s="3">
        <f>K181*L181*(1-M181)</f>
        <v/>
      </c>
      <c r="P181" s="3">
        <f>O181-N181</f>
        <v/>
      </c>
      <c r="Q181" s="5">
        <f>IFERROR(P181/O181,0)</f>
        <v/>
      </c>
      <c r="R181" s="2">
        <f>TEXT(DATEVALUE(B181),"mmm")</f>
        <v/>
      </c>
      <c r="S181" s="2">
        <f>TEXT(DATEVALUE(B181),"yyyy-mm")</f>
        <v/>
      </c>
    </row>
    <row r="182">
      <c r="A182" s="2" t="inlineStr">
        <is>
          <t>O001671</t>
        </is>
      </c>
      <c r="B182" s="2" t="inlineStr">
        <is>
          <t>2025-01-13</t>
        </is>
      </c>
      <c r="C182" s="2" t="inlineStr">
        <is>
          <t>C0073</t>
        </is>
      </c>
      <c r="D182" s="2" t="inlineStr">
        <is>
          <t>P0010</t>
        </is>
      </c>
      <c r="E182" s="2" t="inlineStr">
        <is>
          <t>Mixer Grinder</t>
        </is>
      </c>
      <c r="F182" s="2" t="inlineStr">
        <is>
          <t>Home &amp; Kitchen</t>
        </is>
      </c>
      <c r="G182" s="2" t="inlineStr">
        <is>
          <t>North</t>
        </is>
      </c>
      <c r="H182" s="2" t="inlineStr">
        <is>
          <t>Delhi</t>
        </is>
      </c>
      <c r="I182" s="2" t="inlineStr">
        <is>
          <t>New Delhi</t>
        </is>
      </c>
      <c r="J182" s="2" t="inlineStr">
        <is>
          <t>Store</t>
        </is>
      </c>
      <c r="K182" s="2" t="n">
        <v>1</v>
      </c>
      <c r="L182" s="3" t="n">
        <v>1586.53</v>
      </c>
      <c r="M182" s="4" t="n">
        <v>0.1</v>
      </c>
      <c r="N182" s="3" t="n">
        <v>1080.08</v>
      </c>
      <c r="O182" s="3">
        <f>K182*L182*(1-M182)</f>
        <v/>
      </c>
      <c r="P182" s="3">
        <f>O182-N182</f>
        <v/>
      </c>
      <c r="Q182" s="5">
        <f>IFERROR(P182/O182,0)</f>
        <v/>
      </c>
      <c r="R182" s="2">
        <f>TEXT(DATEVALUE(B182),"mmm")</f>
        <v/>
      </c>
      <c r="S182" s="2">
        <f>TEXT(DATEVALUE(B182),"yyyy-mm")</f>
        <v/>
      </c>
    </row>
    <row r="183">
      <c r="A183" s="2" t="inlineStr">
        <is>
          <t>O001008</t>
        </is>
      </c>
      <c r="B183" s="2" t="inlineStr">
        <is>
          <t>2025-01-13</t>
        </is>
      </c>
      <c r="C183" s="2" t="inlineStr">
        <is>
          <t>C0104</t>
        </is>
      </c>
      <c r="D183" s="2" t="inlineStr">
        <is>
          <t>P0027</t>
        </is>
      </c>
      <c r="E183" s="2" t="inlineStr">
        <is>
          <t>Moisturizer</t>
        </is>
      </c>
      <c r="F183" s="2" t="inlineStr">
        <is>
          <t>Beauty</t>
        </is>
      </c>
      <c r="G183" s="2" t="inlineStr">
        <is>
          <t>West</t>
        </is>
      </c>
      <c r="H183" s="2" t="inlineStr">
        <is>
          <t>Gujarat</t>
        </is>
      </c>
      <c r="I183" s="2" t="inlineStr">
        <is>
          <t>Surat</t>
        </is>
      </c>
      <c r="J183" s="2" t="inlineStr">
        <is>
          <t>Store</t>
        </is>
      </c>
      <c r="K183" s="2" t="n">
        <v>1</v>
      </c>
      <c r="L183" s="3" t="n">
        <v>917.49</v>
      </c>
      <c r="M183" s="4" t="n">
        <v>0.05</v>
      </c>
      <c r="N183" s="3" t="n">
        <v>707.03</v>
      </c>
      <c r="O183" s="3">
        <f>K183*L183*(1-M183)</f>
        <v/>
      </c>
      <c r="P183" s="3">
        <f>O183-N183</f>
        <v/>
      </c>
      <c r="Q183" s="5">
        <f>IFERROR(P183/O183,0)</f>
        <v/>
      </c>
      <c r="R183" s="2">
        <f>TEXT(DATEVALUE(B183),"mmm")</f>
        <v/>
      </c>
      <c r="S183" s="2">
        <f>TEXT(DATEVALUE(B183),"yyyy-mm")</f>
        <v/>
      </c>
    </row>
    <row r="184">
      <c r="A184" s="2" t="inlineStr">
        <is>
          <t>O000917</t>
        </is>
      </c>
      <c r="B184" s="2" t="inlineStr">
        <is>
          <t>2025-01-13</t>
        </is>
      </c>
      <c r="C184" s="2" t="inlineStr">
        <is>
          <t>C0116</t>
        </is>
      </c>
      <c r="D184" s="2" t="inlineStr">
        <is>
          <t>P0029</t>
        </is>
      </c>
      <c r="E184" s="2" t="inlineStr">
        <is>
          <t>Yoga Mat</t>
        </is>
      </c>
      <c r="F184" s="2" t="inlineStr">
        <is>
          <t>Sports</t>
        </is>
      </c>
      <c r="G184" s="2" t="inlineStr">
        <is>
          <t>South</t>
        </is>
      </c>
      <c r="H184" s="2" t="inlineStr">
        <is>
          <t>Telangana</t>
        </is>
      </c>
      <c r="I184" s="2" t="inlineStr">
        <is>
          <t>Hyderabad</t>
        </is>
      </c>
      <c r="J184" s="2" t="inlineStr">
        <is>
          <t>Online</t>
        </is>
      </c>
      <c r="K184" s="2" t="n">
        <v>2</v>
      </c>
      <c r="L184" s="3" t="n">
        <v>2372.17</v>
      </c>
      <c r="M184" s="4" t="n">
        <v>0</v>
      </c>
      <c r="N184" s="3" t="n">
        <v>2587.18</v>
      </c>
      <c r="O184" s="3">
        <f>K184*L184*(1-M184)</f>
        <v/>
      </c>
      <c r="P184" s="3">
        <f>O184-N184</f>
        <v/>
      </c>
      <c r="Q184" s="5">
        <f>IFERROR(P184/O184,0)</f>
        <v/>
      </c>
      <c r="R184" s="2">
        <f>TEXT(DATEVALUE(B184),"mmm")</f>
        <v/>
      </c>
      <c r="S184" s="2">
        <f>TEXT(DATEVALUE(B184),"yyyy-mm")</f>
        <v/>
      </c>
    </row>
    <row r="185">
      <c r="A185" s="2" t="inlineStr">
        <is>
          <t>O000555</t>
        </is>
      </c>
      <c r="B185" s="2" t="inlineStr">
        <is>
          <t>2025-01-13</t>
        </is>
      </c>
      <c r="C185" s="2" t="inlineStr">
        <is>
          <t>C0095</t>
        </is>
      </c>
      <c r="D185" s="2" t="inlineStr">
        <is>
          <t>P0027</t>
        </is>
      </c>
      <c r="E185" s="2" t="inlineStr">
        <is>
          <t>Moisturizer</t>
        </is>
      </c>
      <c r="F185" s="2" t="inlineStr">
        <is>
          <t>Beauty</t>
        </is>
      </c>
      <c r="G185" s="2" t="inlineStr">
        <is>
          <t>East</t>
        </is>
      </c>
      <c r="H185" s="2" t="inlineStr">
        <is>
          <t>Odisha</t>
        </is>
      </c>
      <c r="I185" s="2" t="inlineStr">
        <is>
          <t>Cuttack</t>
        </is>
      </c>
      <c r="J185" s="2" t="inlineStr">
        <is>
          <t>Online</t>
        </is>
      </c>
      <c r="K185" s="2" t="n">
        <v>1</v>
      </c>
      <c r="L185" s="3" t="n">
        <v>913.55</v>
      </c>
      <c r="M185" s="4" t="n">
        <v>0.2</v>
      </c>
      <c r="N185" s="3" t="n">
        <v>707.02</v>
      </c>
      <c r="O185" s="3">
        <f>K185*L185*(1-M185)</f>
        <v/>
      </c>
      <c r="P185" s="3">
        <f>O185-N185</f>
        <v/>
      </c>
      <c r="Q185" s="5">
        <f>IFERROR(P185/O185,0)</f>
        <v/>
      </c>
      <c r="R185" s="2">
        <f>TEXT(DATEVALUE(B185),"mmm")</f>
        <v/>
      </c>
      <c r="S185" s="2">
        <f>TEXT(DATEVALUE(B185),"yyyy-mm")</f>
        <v/>
      </c>
    </row>
    <row r="186">
      <c r="A186" s="2" t="inlineStr">
        <is>
          <t>O000379</t>
        </is>
      </c>
      <c r="B186" s="2" t="inlineStr">
        <is>
          <t>2025-01-13</t>
        </is>
      </c>
      <c r="C186" s="2" t="inlineStr">
        <is>
          <t>C0214</t>
        </is>
      </c>
      <c r="D186" s="2" t="inlineStr">
        <is>
          <t>P0022</t>
        </is>
      </c>
      <c r="E186" s="2" t="inlineStr">
        <is>
          <t>Face Wash</t>
        </is>
      </c>
      <c r="F186" s="2" t="inlineStr">
        <is>
          <t>Beauty</t>
        </is>
      </c>
      <c r="G186" s="2" t="inlineStr">
        <is>
          <t>North</t>
        </is>
      </c>
      <c r="H186" s="2" t="inlineStr">
        <is>
          <t>Uttar Pradesh</t>
        </is>
      </c>
      <c r="I186" s="2" t="inlineStr">
        <is>
          <t>Kanpur</t>
        </is>
      </c>
      <c r="J186" s="2" t="inlineStr">
        <is>
          <t>Online</t>
        </is>
      </c>
      <c r="K186" s="2" t="n">
        <v>4</v>
      </c>
      <c r="L186" s="3" t="n">
        <v>561.35</v>
      </c>
      <c r="M186" s="4" t="n">
        <v>0.1</v>
      </c>
      <c r="N186" s="3" t="n">
        <v>1401.2</v>
      </c>
      <c r="O186" s="3">
        <f>K186*L186*(1-M186)</f>
        <v/>
      </c>
      <c r="P186" s="3">
        <f>O186-N186</f>
        <v/>
      </c>
      <c r="Q186" s="5">
        <f>IFERROR(P186/O186,0)</f>
        <v/>
      </c>
      <c r="R186" s="2">
        <f>TEXT(DATEVALUE(B186),"mmm")</f>
        <v/>
      </c>
      <c r="S186" s="2">
        <f>TEXT(DATEVALUE(B186),"yyyy-mm")</f>
        <v/>
      </c>
    </row>
    <row r="187">
      <c r="A187" s="2" t="inlineStr">
        <is>
          <t>O000152</t>
        </is>
      </c>
      <c r="B187" s="2" t="inlineStr">
        <is>
          <t>2025-01-13</t>
        </is>
      </c>
      <c r="C187" s="2" t="inlineStr">
        <is>
          <t>C0439</t>
        </is>
      </c>
      <c r="D187" s="2" t="inlineStr">
        <is>
          <t>P0004</t>
        </is>
      </c>
      <c r="E187" s="2" t="inlineStr">
        <is>
          <t>USB-C Hub</t>
        </is>
      </c>
      <c r="F187" s="2" t="inlineStr">
        <is>
          <t>Electronics</t>
        </is>
      </c>
      <c r="G187" s="2" t="inlineStr">
        <is>
          <t>North</t>
        </is>
      </c>
      <c r="H187" s="2" t="inlineStr">
        <is>
          <t>Delhi</t>
        </is>
      </c>
      <c r="I187" s="2" t="inlineStr">
        <is>
          <t>New Delhi</t>
        </is>
      </c>
      <c r="J187" s="2" t="inlineStr">
        <is>
          <t>Store</t>
        </is>
      </c>
      <c r="K187" s="2" t="n">
        <v>1</v>
      </c>
      <c r="L187" s="3" t="n">
        <v>1268.42</v>
      </c>
      <c r="M187" s="4" t="n">
        <v>0.1</v>
      </c>
      <c r="N187" s="3" t="n">
        <v>921.6</v>
      </c>
      <c r="O187" s="3">
        <f>K187*L187*(1-M187)</f>
        <v/>
      </c>
      <c r="P187" s="3">
        <f>O187-N187</f>
        <v/>
      </c>
      <c r="Q187" s="5">
        <f>IFERROR(P187/O187,0)</f>
        <v/>
      </c>
      <c r="R187" s="2">
        <f>TEXT(DATEVALUE(B187),"mmm")</f>
        <v/>
      </c>
      <c r="S187" s="2">
        <f>TEXT(DATEVALUE(B187),"yyyy-mm")</f>
        <v/>
      </c>
    </row>
    <row r="188">
      <c r="A188" s="2" t="inlineStr">
        <is>
          <t>O002690</t>
        </is>
      </c>
      <c r="B188" s="2" t="inlineStr">
        <is>
          <t>2025-01-13</t>
        </is>
      </c>
      <c r="C188" s="2" t="inlineStr">
        <is>
          <t>C0200</t>
        </is>
      </c>
      <c r="D188" s="2" t="inlineStr">
        <is>
          <t>P0023</t>
        </is>
      </c>
      <c r="E188" s="2" t="inlineStr">
        <is>
          <t>Skin Care Kit</t>
        </is>
      </c>
      <c r="F188" s="2" t="inlineStr">
        <is>
          <t>Beauty</t>
        </is>
      </c>
      <c r="G188" s="2" t="inlineStr">
        <is>
          <t>North</t>
        </is>
      </c>
      <c r="H188" s="2" t="inlineStr">
        <is>
          <t>Uttar Pradesh</t>
        </is>
      </c>
      <c r="I188" s="2" t="inlineStr">
        <is>
          <t>Kanpur</t>
        </is>
      </c>
      <c r="J188" s="2" t="inlineStr">
        <is>
          <t>Store</t>
        </is>
      </c>
      <c r="K188" s="2" t="n">
        <v>2</v>
      </c>
      <c r="L188" s="3" t="n">
        <v>1428.94</v>
      </c>
      <c r="M188" s="4" t="n">
        <v>0.1</v>
      </c>
      <c r="N188" s="3" t="n">
        <v>1809.76</v>
      </c>
      <c r="O188" s="3">
        <f>K188*L188*(1-M188)</f>
        <v/>
      </c>
      <c r="P188" s="3">
        <f>O188-N188</f>
        <v/>
      </c>
      <c r="Q188" s="5">
        <f>IFERROR(P188/O188,0)</f>
        <v/>
      </c>
      <c r="R188" s="2">
        <f>TEXT(DATEVALUE(B188),"mmm")</f>
        <v/>
      </c>
      <c r="S188" s="2">
        <f>TEXT(DATEVALUE(B188),"yyyy-mm")</f>
        <v/>
      </c>
    </row>
    <row r="189">
      <c r="A189" s="2" t="inlineStr">
        <is>
          <t>O002383</t>
        </is>
      </c>
      <c r="B189" s="2" t="inlineStr">
        <is>
          <t>2025-01-14</t>
        </is>
      </c>
      <c r="C189" s="2" t="inlineStr">
        <is>
          <t>C0726</t>
        </is>
      </c>
      <c r="D189" s="2" t="inlineStr">
        <is>
          <t>P0022</t>
        </is>
      </c>
      <c r="E189" s="2" t="inlineStr">
        <is>
          <t>Face Wash</t>
        </is>
      </c>
      <c r="F189" s="2" t="inlineStr">
        <is>
          <t>Beauty</t>
        </is>
      </c>
      <c r="G189" s="2" t="inlineStr">
        <is>
          <t>South</t>
        </is>
      </c>
      <c r="H189" s="2" t="inlineStr">
        <is>
          <t>Kerala</t>
        </is>
      </c>
      <c r="I189" s="2" t="inlineStr">
        <is>
          <t>Thiruvananthapuram</t>
        </is>
      </c>
      <c r="J189" s="2" t="inlineStr">
        <is>
          <t>Store</t>
        </is>
      </c>
      <c r="K189" s="2" t="n">
        <v>1</v>
      </c>
      <c r="L189" s="3" t="n">
        <v>556.74</v>
      </c>
      <c r="M189" s="4" t="n">
        <v>0.05</v>
      </c>
      <c r="N189" s="3" t="n">
        <v>349.51</v>
      </c>
      <c r="O189" s="3">
        <f>K189*L189*(1-M189)</f>
        <v/>
      </c>
      <c r="P189" s="3">
        <f>O189-N189</f>
        <v/>
      </c>
      <c r="Q189" s="5">
        <f>IFERROR(P189/O189,0)</f>
        <v/>
      </c>
      <c r="R189" s="2">
        <f>TEXT(DATEVALUE(B189),"mmm")</f>
        <v/>
      </c>
      <c r="S189" s="2">
        <f>TEXT(DATEVALUE(B189),"yyyy-mm")</f>
        <v/>
      </c>
    </row>
    <row r="190">
      <c r="A190" s="2" t="inlineStr">
        <is>
          <t>O004881</t>
        </is>
      </c>
      <c r="B190" s="2" t="inlineStr">
        <is>
          <t>2025-01-14</t>
        </is>
      </c>
      <c r="C190" s="2" t="inlineStr">
        <is>
          <t>C0309</t>
        </is>
      </c>
      <c r="D190" s="2" t="inlineStr">
        <is>
          <t>P0014</t>
        </is>
      </c>
      <c r="E190" s="2" t="inlineStr">
        <is>
          <t>Coffee Maker</t>
        </is>
      </c>
      <c r="F190" s="2" t="inlineStr">
        <is>
          <t>Home &amp; Kitchen</t>
        </is>
      </c>
      <c r="G190" s="2" t="inlineStr">
        <is>
          <t>South</t>
        </is>
      </c>
      <c r="H190" s="2" t="inlineStr">
        <is>
          <t>Karnataka</t>
        </is>
      </c>
      <c r="I190" s="2" t="inlineStr">
        <is>
          <t>Mysuru</t>
        </is>
      </c>
      <c r="J190" s="2" t="inlineStr">
        <is>
          <t>Store</t>
        </is>
      </c>
      <c r="K190" s="2" t="n">
        <v>2</v>
      </c>
      <c r="L190" s="3" t="n">
        <v>1062.72</v>
      </c>
      <c r="M190" s="4" t="n">
        <v>0.1</v>
      </c>
      <c r="N190" s="3" t="n">
        <v>1576.69</v>
      </c>
      <c r="O190" s="3">
        <f>K190*L190*(1-M190)</f>
        <v/>
      </c>
      <c r="P190" s="3">
        <f>O190-N190</f>
        <v/>
      </c>
      <c r="Q190" s="5">
        <f>IFERROR(P190/O190,0)</f>
        <v/>
      </c>
      <c r="R190" s="2">
        <f>TEXT(DATEVALUE(B190),"mmm")</f>
        <v/>
      </c>
      <c r="S190" s="2">
        <f>TEXT(DATEVALUE(B190),"yyyy-mm")</f>
        <v/>
      </c>
    </row>
    <row r="191">
      <c r="A191" s="2" t="inlineStr">
        <is>
          <t>O004291</t>
        </is>
      </c>
      <c r="B191" s="2" t="inlineStr">
        <is>
          <t>2025-01-14</t>
        </is>
      </c>
      <c r="C191" s="2" t="inlineStr">
        <is>
          <t>C0427</t>
        </is>
      </c>
      <c r="D191" s="2" t="inlineStr">
        <is>
          <t>P0016</t>
        </is>
      </c>
      <c r="E191" s="2" t="inlineStr">
        <is>
          <t>Casual Shirt</t>
        </is>
      </c>
      <c r="F191" s="2" t="inlineStr">
        <is>
          <t>Fashion</t>
        </is>
      </c>
      <c r="G191" s="2" t="inlineStr">
        <is>
          <t>North</t>
        </is>
      </c>
      <c r="H191" s="2" t="inlineStr">
        <is>
          <t>Haryana</t>
        </is>
      </c>
      <c r="I191" s="2" t="inlineStr">
        <is>
          <t>Gurugram</t>
        </is>
      </c>
      <c r="J191" s="2" t="inlineStr">
        <is>
          <t>Online</t>
        </is>
      </c>
      <c r="K191" s="2" t="n">
        <v>6</v>
      </c>
      <c r="L191" s="3" t="n">
        <v>1270.77</v>
      </c>
      <c r="M191" s="4" t="n">
        <v>0</v>
      </c>
      <c r="N191" s="3" t="n">
        <v>5332.26</v>
      </c>
      <c r="O191" s="3">
        <f>K191*L191*(1-M191)</f>
        <v/>
      </c>
      <c r="P191" s="3">
        <f>O191-N191</f>
        <v/>
      </c>
      <c r="Q191" s="5">
        <f>IFERROR(P191/O191,0)</f>
        <v/>
      </c>
      <c r="R191" s="2">
        <f>TEXT(DATEVALUE(B191),"mmm")</f>
        <v/>
      </c>
      <c r="S191" s="2">
        <f>TEXT(DATEVALUE(B191),"yyyy-mm")</f>
        <v/>
      </c>
    </row>
    <row r="192">
      <c r="A192" s="2" t="inlineStr">
        <is>
          <t>O003657</t>
        </is>
      </c>
      <c r="B192" s="2" t="inlineStr">
        <is>
          <t>2025-01-14</t>
        </is>
      </c>
      <c r="C192" s="2" t="inlineStr">
        <is>
          <t>C0622</t>
        </is>
      </c>
      <c r="D192" s="2" t="inlineStr">
        <is>
          <t>P0010</t>
        </is>
      </c>
      <c r="E192" s="2" t="inlineStr">
        <is>
          <t>Mixer Grinder</t>
        </is>
      </c>
      <c r="F192" s="2" t="inlineStr">
        <is>
          <t>Home &amp; Kitchen</t>
        </is>
      </c>
      <c r="G192" s="2" t="inlineStr">
        <is>
          <t>North</t>
        </is>
      </c>
      <c r="H192" s="2" t="inlineStr">
        <is>
          <t>Uttar Pradesh</t>
        </is>
      </c>
      <c r="I192" s="2" t="inlineStr">
        <is>
          <t>Lucknow</t>
        </is>
      </c>
      <c r="J192" s="2" t="inlineStr">
        <is>
          <t>Online</t>
        </is>
      </c>
      <c r="K192" s="2" t="n">
        <v>2</v>
      </c>
      <c r="L192" s="3" t="n">
        <v>1694.14</v>
      </c>
      <c r="M192" s="4" t="n">
        <v>0.1</v>
      </c>
      <c r="N192" s="3" t="n">
        <v>2100.9</v>
      </c>
      <c r="O192" s="3">
        <f>K192*L192*(1-M192)</f>
        <v/>
      </c>
      <c r="P192" s="3">
        <f>O192-N192</f>
        <v/>
      </c>
      <c r="Q192" s="5">
        <f>IFERROR(P192/O192,0)</f>
        <v/>
      </c>
      <c r="R192" s="2">
        <f>TEXT(DATEVALUE(B192),"mmm")</f>
        <v/>
      </c>
      <c r="S192" s="2">
        <f>TEXT(DATEVALUE(B192),"yyyy-mm")</f>
        <v/>
      </c>
    </row>
    <row r="193">
      <c r="A193" s="2" t="inlineStr">
        <is>
          <t>O002731</t>
        </is>
      </c>
      <c r="B193" s="2" t="inlineStr">
        <is>
          <t>2025-01-14</t>
        </is>
      </c>
      <c r="C193" s="2" t="inlineStr">
        <is>
          <t>C0218</t>
        </is>
      </c>
      <c r="D193" s="2" t="inlineStr">
        <is>
          <t>P0023</t>
        </is>
      </c>
      <c r="E193" s="2" t="inlineStr">
        <is>
          <t>Skin Care Kit</t>
        </is>
      </c>
      <c r="F193" s="2" t="inlineStr">
        <is>
          <t>Beauty</t>
        </is>
      </c>
      <c r="G193" s="2" t="inlineStr">
        <is>
          <t>South</t>
        </is>
      </c>
      <c r="H193" s="2" t="inlineStr">
        <is>
          <t>Tamil Nadu</t>
        </is>
      </c>
      <c r="I193" s="2" t="inlineStr">
        <is>
          <t>Chennai</t>
        </is>
      </c>
      <c r="J193" s="2" t="inlineStr">
        <is>
          <t>Store</t>
        </is>
      </c>
      <c r="K193" s="2" t="n">
        <v>3</v>
      </c>
      <c r="L193" s="3" t="n">
        <v>1402.6</v>
      </c>
      <c r="M193" s="4" t="n">
        <v>0.1</v>
      </c>
      <c r="N193" s="3" t="n">
        <v>2716.33</v>
      </c>
      <c r="O193" s="3">
        <f>K193*L193*(1-M193)</f>
        <v/>
      </c>
      <c r="P193" s="3">
        <f>O193-N193</f>
        <v/>
      </c>
      <c r="Q193" s="5">
        <f>IFERROR(P193/O193,0)</f>
        <v/>
      </c>
      <c r="R193" s="2">
        <f>TEXT(DATEVALUE(B193),"mmm")</f>
        <v/>
      </c>
      <c r="S193" s="2">
        <f>TEXT(DATEVALUE(B193),"yyyy-mm")</f>
        <v/>
      </c>
    </row>
    <row r="194">
      <c r="A194" s="2" t="inlineStr">
        <is>
          <t>O002698</t>
        </is>
      </c>
      <c r="B194" s="2" t="inlineStr">
        <is>
          <t>2025-01-14</t>
        </is>
      </c>
      <c r="C194" s="2" t="inlineStr">
        <is>
          <t>C0407</t>
        </is>
      </c>
      <c r="D194" s="2" t="inlineStr">
        <is>
          <t>P0026</t>
        </is>
      </c>
      <c r="E194" s="2" t="inlineStr">
        <is>
          <t>Shampoo</t>
        </is>
      </c>
      <c r="F194" s="2" t="inlineStr">
        <is>
          <t>Beauty</t>
        </is>
      </c>
      <c r="G194" s="2" t="inlineStr">
        <is>
          <t>East</t>
        </is>
      </c>
      <c r="H194" s="2" t="inlineStr">
        <is>
          <t>Bihar</t>
        </is>
      </c>
      <c r="I194" s="2" t="inlineStr">
        <is>
          <t>Gaya</t>
        </is>
      </c>
      <c r="J194" s="2" t="inlineStr">
        <is>
          <t>Online</t>
        </is>
      </c>
      <c r="K194" s="2" t="n">
        <v>1</v>
      </c>
      <c r="L194" s="3" t="n">
        <v>878.5700000000001</v>
      </c>
      <c r="M194" s="4" t="n">
        <v>0.05</v>
      </c>
      <c r="N194" s="3" t="n">
        <v>510.5</v>
      </c>
      <c r="O194" s="3">
        <f>K194*L194*(1-M194)</f>
        <v/>
      </c>
      <c r="P194" s="3">
        <f>O194-N194</f>
        <v/>
      </c>
      <c r="Q194" s="5">
        <f>IFERROR(P194/O194,0)</f>
        <v/>
      </c>
      <c r="R194" s="2">
        <f>TEXT(DATEVALUE(B194),"mmm")</f>
        <v/>
      </c>
      <c r="S194" s="2">
        <f>TEXT(DATEVALUE(B194),"yyyy-mm")</f>
        <v/>
      </c>
    </row>
    <row r="195">
      <c r="A195" s="2" t="inlineStr">
        <is>
          <t>O002471</t>
        </is>
      </c>
      <c r="B195" s="2" t="inlineStr">
        <is>
          <t>2025-01-14</t>
        </is>
      </c>
      <c r="C195" s="2" t="inlineStr">
        <is>
          <t>C0430</t>
        </is>
      </c>
      <c r="D195" s="2" t="inlineStr">
        <is>
          <t>P0021</t>
        </is>
      </c>
      <c r="E195" s="2" t="inlineStr">
        <is>
          <t>Wallet</t>
        </is>
      </c>
      <c r="F195" s="2" t="inlineStr">
        <is>
          <t>Fashion</t>
        </is>
      </c>
      <c r="G195" s="2" t="inlineStr">
        <is>
          <t>East</t>
        </is>
      </c>
      <c r="H195" s="2" t="inlineStr">
        <is>
          <t>West Bengal</t>
        </is>
      </c>
      <c r="I195" s="2" t="inlineStr">
        <is>
          <t>Kolkata</t>
        </is>
      </c>
      <c r="J195" s="2" t="inlineStr">
        <is>
          <t>Online</t>
        </is>
      </c>
      <c r="K195" s="2" t="n">
        <v>2</v>
      </c>
      <c r="L195" s="3" t="n">
        <v>1993.59</v>
      </c>
      <c r="M195" s="4" t="n">
        <v>0.1</v>
      </c>
      <c r="N195" s="3" t="n">
        <v>2438.64</v>
      </c>
      <c r="O195" s="3">
        <f>K195*L195*(1-M195)</f>
        <v/>
      </c>
      <c r="P195" s="3">
        <f>O195-N195</f>
        <v/>
      </c>
      <c r="Q195" s="5">
        <f>IFERROR(P195/O195,0)</f>
        <v/>
      </c>
      <c r="R195" s="2">
        <f>TEXT(DATEVALUE(B195),"mmm")</f>
        <v/>
      </c>
      <c r="S195" s="2">
        <f>TEXT(DATEVALUE(B195),"yyyy-mm")</f>
        <v/>
      </c>
    </row>
    <row r="196">
      <c r="A196" s="2" t="inlineStr">
        <is>
          <t>O001947</t>
        </is>
      </c>
      <c r="B196" s="2" t="inlineStr">
        <is>
          <t>2025-01-14</t>
        </is>
      </c>
      <c r="C196" s="2" t="inlineStr">
        <is>
          <t>C0418</t>
        </is>
      </c>
      <c r="D196" s="2" t="inlineStr">
        <is>
          <t>P0004</t>
        </is>
      </c>
      <c r="E196" s="2" t="inlineStr">
        <is>
          <t>USB-C Hub</t>
        </is>
      </c>
      <c r="F196" s="2" t="inlineStr">
        <is>
          <t>Electronics</t>
        </is>
      </c>
      <c r="G196" s="2" t="inlineStr">
        <is>
          <t>North</t>
        </is>
      </c>
      <c r="H196" s="2" t="inlineStr">
        <is>
          <t>Uttar Pradesh</t>
        </is>
      </c>
      <c r="I196" s="2" t="inlineStr">
        <is>
          <t>Varanasi</t>
        </is>
      </c>
      <c r="J196" s="2" t="inlineStr">
        <is>
          <t>Online</t>
        </is>
      </c>
      <c r="K196" s="2" t="n">
        <v>3</v>
      </c>
      <c r="L196" s="3" t="n">
        <v>1247.33</v>
      </c>
      <c r="M196" s="4" t="n">
        <v>0.15</v>
      </c>
      <c r="N196" s="3" t="n">
        <v>2728.26</v>
      </c>
      <c r="O196" s="3">
        <f>K196*L196*(1-M196)</f>
        <v/>
      </c>
      <c r="P196" s="3">
        <f>O196-N196</f>
        <v/>
      </c>
      <c r="Q196" s="5">
        <f>IFERROR(P196/O196,0)</f>
        <v/>
      </c>
      <c r="R196" s="2">
        <f>TEXT(DATEVALUE(B196),"mmm")</f>
        <v/>
      </c>
      <c r="S196" s="2">
        <f>TEXT(DATEVALUE(B196),"yyyy-mm")</f>
        <v/>
      </c>
    </row>
    <row r="197">
      <c r="A197" s="2" t="inlineStr">
        <is>
          <t>O001956</t>
        </is>
      </c>
      <c r="B197" s="2" t="inlineStr">
        <is>
          <t>2025-01-14</t>
        </is>
      </c>
      <c r="C197" s="2" t="inlineStr">
        <is>
          <t>C0438</t>
        </is>
      </c>
      <c r="D197" s="2" t="inlineStr">
        <is>
          <t>P0011</t>
        </is>
      </c>
      <c r="E197" s="2" t="inlineStr">
        <is>
          <t>Cookware Set</t>
        </is>
      </c>
      <c r="F197" s="2" t="inlineStr">
        <is>
          <t>Home &amp; Kitchen</t>
        </is>
      </c>
      <c r="G197" s="2" t="inlineStr">
        <is>
          <t>West</t>
        </is>
      </c>
      <c r="H197" s="2" t="inlineStr">
        <is>
          <t>Gujarat</t>
        </is>
      </c>
      <c r="I197" s="2" t="inlineStr">
        <is>
          <t>Surat</t>
        </is>
      </c>
      <c r="J197" s="2" t="inlineStr">
        <is>
          <t>Store</t>
        </is>
      </c>
      <c r="K197" s="2" t="n">
        <v>1</v>
      </c>
      <c r="L197" s="3" t="n">
        <v>691.65</v>
      </c>
      <c r="M197" s="4" t="n">
        <v>0.2</v>
      </c>
      <c r="N197" s="3" t="n">
        <v>460.94</v>
      </c>
      <c r="O197" s="3">
        <f>K197*L197*(1-M197)</f>
        <v/>
      </c>
      <c r="P197" s="3">
        <f>O197-N197</f>
        <v/>
      </c>
      <c r="Q197" s="5">
        <f>IFERROR(P197/O197,0)</f>
        <v/>
      </c>
      <c r="R197" s="2">
        <f>TEXT(DATEVALUE(B197),"mmm")</f>
        <v/>
      </c>
      <c r="S197" s="2">
        <f>TEXT(DATEVALUE(B197),"yyyy-mm")</f>
        <v/>
      </c>
    </row>
    <row r="198">
      <c r="A198" s="2" t="inlineStr">
        <is>
          <t>O001473</t>
        </is>
      </c>
      <c r="B198" s="2" t="inlineStr">
        <is>
          <t>2025-01-14</t>
        </is>
      </c>
      <c r="C198" s="2" t="inlineStr">
        <is>
          <t>C0471</t>
        </is>
      </c>
      <c r="D198" s="2" t="inlineStr">
        <is>
          <t>P0024</t>
        </is>
      </c>
      <c r="E198" s="2" t="inlineStr">
        <is>
          <t>Hair Dryer</t>
        </is>
      </c>
      <c r="F198" s="2" t="inlineStr">
        <is>
          <t>Beauty</t>
        </is>
      </c>
      <c r="G198" s="2" t="inlineStr">
        <is>
          <t>West</t>
        </is>
      </c>
      <c r="H198" s="2" t="inlineStr">
        <is>
          <t>Maharashtra</t>
        </is>
      </c>
      <c r="I198" s="2" t="inlineStr">
        <is>
          <t>Nagpur</t>
        </is>
      </c>
      <c r="J198" s="2" t="inlineStr">
        <is>
          <t>Online</t>
        </is>
      </c>
      <c r="K198" s="2" t="n">
        <v>3</v>
      </c>
      <c r="L198" s="3" t="n">
        <v>998.09</v>
      </c>
      <c r="M198" s="4" t="n">
        <v>0.05</v>
      </c>
      <c r="N198" s="3" t="n">
        <v>2190.59</v>
      </c>
      <c r="O198" s="3">
        <f>K198*L198*(1-M198)</f>
        <v/>
      </c>
      <c r="P198" s="3">
        <f>O198-N198</f>
        <v/>
      </c>
      <c r="Q198" s="5">
        <f>IFERROR(P198/O198,0)</f>
        <v/>
      </c>
      <c r="R198" s="2">
        <f>TEXT(DATEVALUE(B198),"mmm")</f>
        <v/>
      </c>
      <c r="S198" s="2">
        <f>TEXT(DATEVALUE(B198),"yyyy-mm")</f>
        <v/>
      </c>
    </row>
    <row r="199">
      <c r="A199" s="2" t="inlineStr">
        <is>
          <t>O001319</t>
        </is>
      </c>
      <c r="B199" s="2" t="inlineStr">
        <is>
          <t>2025-01-14</t>
        </is>
      </c>
      <c r="C199" s="2" t="inlineStr">
        <is>
          <t>C0598</t>
        </is>
      </c>
      <c r="D199" s="2" t="inlineStr">
        <is>
          <t>P0016</t>
        </is>
      </c>
      <c r="E199" s="2" t="inlineStr">
        <is>
          <t>Casual Shirt</t>
        </is>
      </c>
      <c r="F199" s="2" t="inlineStr">
        <is>
          <t>Fashion</t>
        </is>
      </c>
      <c r="G199" s="2" t="inlineStr">
        <is>
          <t>North</t>
        </is>
      </c>
      <c r="H199" s="2" t="inlineStr">
        <is>
          <t>Punjab</t>
        </is>
      </c>
      <c r="I199" s="2" t="inlineStr">
        <is>
          <t>Jalandhar</t>
        </is>
      </c>
      <c r="J199" s="2" t="inlineStr">
        <is>
          <t>Online</t>
        </is>
      </c>
      <c r="K199" s="2" t="n">
        <v>2</v>
      </c>
      <c r="L199" s="3" t="n">
        <v>1255.7</v>
      </c>
      <c r="M199" s="4" t="n">
        <v>0.15</v>
      </c>
      <c r="N199" s="3" t="n">
        <v>1768.48</v>
      </c>
      <c r="O199" s="3">
        <f>K199*L199*(1-M199)</f>
        <v/>
      </c>
      <c r="P199" s="3">
        <f>O199-N199</f>
        <v/>
      </c>
      <c r="Q199" s="5">
        <f>IFERROR(P199/O199,0)</f>
        <v/>
      </c>
      <c r="R199" s="2">
        <f>TEXT(DATEVALUE(B199),"mmm")</f>
        <v/>
      </c>
      <c r="S199" s="2">
        <f>TEXT(DATEVALUE(B199),"yyyy-mm")</f>
        <v/>
      </c>
    </row>
    <row r="200">
      <c r="A200" s="2" t="inlineStr">
        <is>
          <t>O001058</t>
        </is>
      </c>
      <c r="B200" s="2" t="inlineStr">
        <is>
          <t>2025-01-14</t>
        </is>
      </c>
      <c r="C200" s="2" t="inlineStr">
        <is>
          <t>C0606</t>
        </is>
      </c>
      <c r="D200" s="2" t="inlineStr">
        <is>
          <t>P0019</t>
        </is>
      </c>
      <c r="E200" s="2" t="inlineStr">
        <is>
          <t>Jacket</t>
        </is>
      </c>
      <c r="F200" s="2" t="inlineStr">
        <is>
          <t>Fashion</t>
        </is>
      </c>
      <c r="G200" s="2" t="inlineStr">
        <is>
          <t>South</t>
        </is>
      </c>
      <c r="H200" s="2" t="inlineStr">
        <is>
          <t>Kerala</t>
        </is>
      </c>
      <c r="I200" s="2" t="inlineStr">
        <is>
          <t>Thiruvananthapuram</t>
        </is>
      </c>
      <c r="J200" s="2" t="inlineStr">
        <is>
          <t>Online</t>
        </is>
      </c>
      <c r="K200" s="2" t="n">
        <v>1</v>
      </c>
      <c r="L200" s="3" t="n">
        <v>1031.89</v>
      </c>
      <c r="M200" s="4" t="n">
        <v>0</v>
      </c>
      <c r="N200" s="3" t="n">
        <v>660.09</v>
      </c>
      <c r="O200" s="3">
        <f>K200*L200*(1-M200)</f>
        <v/>
      </c>
      <c r="P200" s="3">
        <f>O200-N200</f>
        <v/>
      </c>
      <c r="Q200" s="5">
        <f>IFERROR(P200/O200,0)</f>
        <v/>
      </c>
      <c r="R200" s="2">
        <f>TEXT(DATEVALUE(B200),"mmm")</f>
        <v/>
      </c>
      <c r="S200" s="2">
        <f>TEXT(DATEVALUE(B200),"yyyy-mm")</f>
        <v/>
      </c>
    </row>
    <row r="201">
      <c r="A201" s="2" t="inlineStr">
        <is>
          <t>O000892</t>
        </is>
      </c>
      <c r="B201" s="2" t="inlineStr">
        <is>
          <t>2025-01-14</t>
        </is>
      </c>
      <c r="C201" s="2" t="inlineStr">
        <is>
          <t>C0475</t>
        </is>
      </c>
      <c r="D201" s="2" t="inlineStr">
        <is>
          <t>P0020</t>
        </is>
      </c>
      <c r="E201" s="2" t="inlineStr">
        <is>
          <t>Sneakers</t>
        </is>
      </c>
      <c r="F201" s="2" t="inlineStr">
        <is>
          <t>Fashion</t>
        </is>
      </c>
      <c r="G201" s="2" t="inlineStr">
        <is>
          <t>South</t>
        </is>
      </c>
      <c r="H201" s="2" t="inlineStr">
        <is>
          <t>Telangana</t>
        </is>
      </c>
      <c r="I201" s="2" t="inlineStr">
        <is>
          <t>Hyderabad</t>
        </is>
      </c>
      <c r="J201" s="2" t="inlineStr">
        <is>
          <t>Store</t>
        </is>
      </c>
      <c r="K201" s="2" t="n">
        <v>1</v>
      </c>
      <c r="L201" s="3" t="n">
        <v>1857.66</v>
      </c>
      <c r="M201" s="4" t="n">
        <v>0.1</v>
      </c>
      <c r="N201" s="3" t="n">
        <v>1517.56</v>
      </c>
      <c r="O201" s="3">
        <f>K201*L201*(1-M201)</f>
        <v/>
      </c>
      <c r="P201" s="3">
        <f>O201-N201</f>
        <v/>
      </c>
      <c r="Q201" s="5">
        <f>IFERROR(P201/O201,0)</f>
        <v/>
      </c>
      <c r="R201" s="2">
        <f>TEXT(DATEVALUE(B201),"mmm")</f>
        <v/>
      </c>
      <c r="S201" s="2">
        <f>TEXT(DATEVALUE(B201),"yyyy-mm")</f>
        <v/>
      </c>
    </row>
    <row r="202">
      <c r="A202" s="2" t="inlineStr">
        <is>
          <t>O000886</t>
        </is>
      </c>
      <c r="B202" s="2" t="inlineStr">
        <is>
          <t>2025-01-14</t>
        </is>
      </c>
      <c r="C202" s="2" t="inlineStr">
        <is>
          <t>C0212</t>
        </is>
      </c>
      <c r="D202" s="2" t="inlineStr">
        <is>
          <t>P0007</t>
        </is>
      </c>
      <c r="E202" s="2" t="inlineStr">
        <is>
          <t>Wireless Mouse</t>
        </is>
      </c>
      <c r="F202" s="2" t="inlineStr">
        <is>
          <t>Electronics</t>
        </is>
      </c>
      <c r="G202" s="2" t="inlineStr">
        <is>
          <t>East</t>
        </is>
      </c>
      <c r="H202" s="2" t="inlineStr">
        <is>
          <t>Odisha</t>
        </is>
      </c>
      <c r="I202" s="2" t="inlineStr">
        <is>
          <t>Bhubaneswar</t>
        </is>
      </c>
      <c r="J202" s="2" t="inlineStr">
        <is>
          <t>Online</t>
        </is>
      </c>
      <c r="K202" s="2" t="n">
        <v>2</v>
      </c>
      <c r="L202" s="3" t="n">
        <v>1023.53</v>
      </c>
      <c r="M202" s="4" t="n">
        <v>0.1</v>
      </c>
      <c r="N202" s="3" t="n">
        <v>1253.43</v>
      </c>
      <c r="O202" s="3">
        <f>K202*L202*(1-M202)</f>
        <v/>
      </c>
      <c r="P202" s="3">
        <f>O202-N202</f>
        <v/>
      </c>
      <c r="Q202" s="5">
        <f>IFERROR(P202/O202,0)</f>
        <v/>
      </c>
      <c r="R202" s="2">
        <f>TEXT(DATEVALUE(B202),"mmm")</f>
        <v/>
      </c>
      <c r="S202" s="2">
        <f>TEXT(DATEVALUE(B202),"yyyy-mm")</f>
        <v/>
      </c>
    </row>
    <row r="203">
      <c r="A203" s="2" t="inlineStr">
        <is>
          <t>O000676</t>
        </is>
      </c>
      <c r="B203" s="2" t="inlineStr">
        <is>
          <t>2025-01-14</t>
        </is>
      </c>
      <c r="C203" s="2" t="inlineStr">
        <is>
          <t>C0618</t>
        </is>
      </c>
      <c r="D203" s="2" t="inlineStr">
        <is>
          <t>P0031</t>
        </is>
      </c>
      <c r="E203" s="2" t="inlineStr">
        <is>
          <t>Cricket Bat</t>
        </is>
      </c>
      <c r="F203" s="2" t="inlineStr">
        <is>
          <t>Sports</t>
        </is>
      </c>
      <c r="G203" s="2" t="inlineStr">
        <is>
          <t>East</t>
        </is>
      </c>
      <c r="H203" s="2" t="inlineStr">
        <is>
          <t>West Bengal</t>
        </is>
      </c>
      <c r="I203" s="2" t="inlineStr">
        <is>
          <t>Durgapur</t>
        </is>
      </c>
      <c r="J203" s="2" t="inlineStr">
        <is>
          <t>Store</t>
        </is>
      </c>
      <c r="K203" s="2" t="n">
        <v>4</v>
      </c>
      <c r="L203" s="3" t="n">
        <v>1341.42</v>
      </c>
      <c r="M203" s="4" t="n">
        <v>0</v>
      </c>
      <c r="N203" s="3" t="n">
        <v>3773.91</v>
      </c>
      <c r="O203" s="3">
        <f>K203*L203*(1-M203)</f>
        <v/>
      </c>
      <c r="P203" s="3">
        <f>O203-N203</f>
        <v/>
      </c>
      <c r="Q203" s="5">
        <f>IFERROR(P203/O203,0)</f>
        <v/>
      </c>
      <c r="R203" s="2">
        <f>TEXT(DATEVALUE(B203),"mmm")</f>
        <v/>
      </c>
      <c r="S203" s="2">
        <f>TEXT(DATEVALUE(B203),"yyyy-mm")</f>
        <v/>
      </c>
    </row>
    <row r="204">
      <c r="A204" s="2" t="inlineStr">
        <is>
          <t>O000051</t>
        </is>
      </c>
      <c r="B204" s="2" t="inlineStr">
        <is>
          <t>2025-01-14</t>
        </is>
      </c>
      <c r="C204" s="2" t="inlineStr">
        <is>
          <t>C0778</t>
        </is>
      </c>
      <c r="D204" s="2" t="inlineStr">
        <is>
          <t>P0032</t>
        </is>
      </c>
      <c r="E204" s="2" t="inlineStr">
        <is>
          <t>Football</t>
        </is>
      </c>
      <c r="F204" s="2" t="inlineStr">
        <is>
          <t>Sports</t>
        </is>
      </c>
      <c r="G204" s="2" t="inlineStr">
        <is>
          <t>East</t>
        </is>
      </c>
      <c r="H204" s="2" t="inlineStr">
        <is>
          <t>Bihar</t>
        </is>
      </c>
      <c r="I204" s="2" t="inlineStr">
        <is>
          <t>Gaya</t>
        </is>
      </c>
      <c r="J204" s="2" t="inlineStr">
        <is>
          <t>Store</t>
        </is>
      </c>
      <c r="K204" s="2" t="n">
        <v>2</v>
      </c>
      <c r="L204" s="3" t="n">
        <v>835.37</v>
      </c>
      <c r="M204" s="4" t="n">
        <v>0.1</v>
      </c>
      <c r="N204" s="3" t="n">
        <v>1072.15</v>
      </c>
      <c r="O204" s="3">
        <f>K204*L204*(1-M204)</f>
        <v/>
      </c>
      <c r="P204" s="3">
        <f>O204-N204</f>
        <v/>
      </c>
      <c r="Q204" s="5">
        <f>IFERROR(P204/O204,0)</f>
        <v/>
      </c>
      <c r="R204" s="2">
        <f>TEXT(DATEVALUE(B204),"mmm")</f>
        <v/>
      </c>
      <c r="S204" s="2">
        <f>TEXT(DATEVALUE(B204),"yyyy-mm")</f>
        <v/>
      </c>
    </row>
    <row r="205">
      <c r="A205" s="2" t="inlineStr">
        <is>
          <t>O001870</t>
        </is>
      </c>
      <c r="B205" s="2" t="inlineStr">
        <is>
          <t>2025-01-14</t>
        </is>
      </c>
      <c r="C205" s="2" t="inlineStr">
        <is>
          <t>C0082</t>
        </is>
      </c>
      <c r="D205" s="2" t="inlineStr">
        <is>
          <t>P0024</t>
        </is>
      </c>
      <c r="E205" s="2" t="inlineStr">
        <is>
          <t>Hair Dryer</t>
        </is>
      </c>
      <c r="F205" s="2" t="inlineStr">
        <is>
          <t>Beauty</t>
        </is>
      </c>
      <c r="G205" s="2" t="inlineStr">
        <is>
          <t>North</t>
        </is>
      </c>
      <c r="H205" s="2" t="inlineStr">
        <is>
          <t>Delhi</t>
        </is>
      </c>
      <c r="I205" s="2" t="inlineStr">
        <is>
          <t>New Delhi</t>
        </is>
      </c>
      <c r="J205" s="2" t="inlineStr">
        <is>
          <t>Online</t>
        </is>
      </c>
      <c r="K205" s="2" t="n">
        <v>2</v>
      </c>
      <c r="L205" s="3" t="n">
        <v>1012.54</v>
      </c>
      <c r="M205" s="4" t="n">
        <v>0</v>
      </c>
      <c r="N205" s="3" t="n">
        <v>1451.87</v>
      </c>
      <c r="O205" s="3">
        <f>K205*L205*(1-M205)</f>
        <v/>
      </c>
      <c r="P205" s="3">
        <f>O205-N205</f>
        <v/>
      </c>
      <c r="Q205" s="5">
        <f>IFERROR(P205/O205,0)</f>
        <v/>
      </c>
      <c r="R205" s="2">
        <f>TEXT(DATEVALUE(B205),"mmm")</f>
        <v/>
      </c>
      <c r="S205" s="2">
        <f>TEXT(DATEVALUE(B205),"yyyy-mm")</f>
        <v/>
      </c>
    </row>
    <row r="206">
      <c r="A206" s="2" t="inlineStr">
        <is>
          <t>O001776</t>
        </is>
      </c>
      <c r="B206" s="2" t="inlineStr">
        <is>
          <t>2025-01-15</t>
        </is>
      </c>
      <c r="C206" s="2" t="inlineStr">
        <is>
          <t>C0793</t>
        </is>
      </c>
      <c r="D206" s="2" t="inlineStr">
        <is>
          <t>P0011</t>
        </is>
      </c>
      <c r="E206" s="2" t="inlineStr">
        <is>
          <t>Cookware Set</t>
        </is>
      </c>
      <c r="F206" s="2" t="inlineStr">
        <is>
          <t>Home &amp; Kitchen</t>
        </is>
      </c>
      <c r="G206" s="2" t="inlineStr">
        <is>
          <t>North</t>
        </is>
      </c>
      <c r="H206" s="2" t="inlineStr">
        <is>
          <t>Delhi</t>
        </is>
      </c>
      <c r="I206" s="2" t="inlineStr">
        <is>
          <t>New Delhi</t>
        </is>
      </c>
      <c r="J206" s="2" t="inlineStr">
        <is>
          <t>Store</t>
        </is>
      </c>
      <c r="K206" s="2" t="n">
        <v>1</v>
      </c>
      <c r="L206" s="3" t="n">
        <v>707.22</v>
      </c>
      <c r="M206" s="4" t="n">
        <v>0.1</v>
      </c>
      <c r="N206" s="3" t="n">
        <v>485.68</v>
      </c>
      <c r="O206" s="3">
        <f>K206*L206*(1-M206)</f>
        <v/>
      </c>
      <c r="P206" s="3">
        <f>O206-N206</f>
        <v/>
      </c>
      <c r="Q206" s="5">
        <f>IFERROR(P206/O206,0)</f>
        <v/>
      </c>
      <c r="R206" s="2">
        <f>TEXT(DATEVALUE(B206),"mmm")</f>
        <v/>
      </c>
      <c r="S206" s="2">
        <f>TEXT(DATEVALUE(B206),"yyyy-mm")</f>
        <v/>
      </c>
    </row>
    <row r="207">
      <c r="A207" s="2" t="inlineStr">
        <is>
          <t>O003916</t>
        </is>
      </c>
      <c r="B207" s="2" t="inlineStr">
        <is>
          <t>2025-01-15</t>
        </is>
      </c>
      <c r="C207" s="2" t="inlineStr">
        <is>
          <t>C0745</t>
        </is>
      </c>
      <c r="D207" s="2" t="inlineStr">
        <is>
          <t>P0021</t>
        </is>
      </c>
      <c r="E207" s="2" t="inlineStr">
        <is>
          <t>Wallet</t>
        </is>
      </c>
      <c r="F207" s="2" t="inlineStr">
        <is>
          <t>Fashion</t>
        </is>
      </c>
      <c r="G207" s="2" t="inlineStr">
        <is>
          <t>West</t>
        </is>
      </c>
      <c r="H207" s="2" t="inlineStr">
        <is>
          <t>Maharashtra</t>
        </is>
      </c>
      <c r="I207" s="2" t="inlineStr">
        <is>
          <t>Nashik</t>
        </is>
      </c>
      <c r="J207" s="2" t="inlineStr">
        <is>
          <t>Online</t>
        </is>
      </c>
      <c r="K207" s="2" t="n">
        <v>2</v>
      </c>
      <c r="L207" s="3" t="n">
        <v>2065.81</v>
      </c>
      <c r="M207" s="4" t="n">
        <v>0</v>
      </c>
      <c r="N207" s="3" t="n">
        <v>2390.36</v>
      </c>
      <c r="O207" s="3">
        <f>K207*L207*(1-M207)</f>
        <v/>
      </c>
      <c r="P207" s="3">
        <f>O207-N207</f>
        <v/>
      </c>
      <c r="Q207" s="5">
        <f>IFERROR(P207/O207,0)</f>
        <v/>
      </c>
      <c r="R207" s="2">
        <f>TEXT(DATEVALUE(B207),"mmm")</f>
        <v/>
      </c>
      <c r="S207" s="2">
        <f>TEXT(DATEVALUE(B207),"yyyy-mm")</f>
        <v/>
      </c>
    </row>
    <row r="208">
      <c r="A208" s="2" t="inlineStr">
        <is>
          <t>O003189</t>
        </is>
      </c>
      <c r="B208" s="2" t="inlineStr">
        <is>
          <t>2025-01-15</t>
        </is>
      </c>
      <c r="C208" s="2" t="inlineStr">
        <is>
          <t>C0437</t>
        </is>
      </c>
      <c r="D208" s="2" t="inlineStr">
        <is>
          <t>P0030</t>
        </is>
      </c>
      <c r="E208" s="2" t="inlineStr">
        <is>
          <t>Dumbbells</t>
        </is>
      </c>
      <c r="F208" s="2" t="inlineStr">
        <is>
          <t>Sports</t>
        </is>
      </c>
      <c r="G208" s="2" t="inlineStr">
        <is>
          <t>North</t>
        </is>
      </c>
      <c r="H208" s="2" t="inlineStr">
        <is>
          <t>Haryana</t>
        </is>
      </c>
      <c r="I208" s="2" t="inlineStr">
        <is>
          <t>Gurugram</t>
        </is>
      </c>
      <c r="J208" s="2" t="inlineStr">
        <is>
          <t>Online</t>
        </is>
      </c>
      <c r="K208" s="2" t="n">
        <v>3</v>
      </c>
      <c r="L208" s="3" t="n">
        <v>1564.13</v>
      </c>
      <c r="M208" s="4" t="n">
        <v>0.1</v>
      </c>
      <c r="N208" s="3" t="n">
        <v>3212.55</v>
      </c>
      <c r="O208" s="3">
        <f>K208*L208*(1-M208)</f>
        <v/>
      </c>
      <c r="P208" s="3">
        <f>O208-N208</f>
        <v/>
      </c>
      <c r="Q208" s="5">
        <f>IFERROR(P208/O208,0)</f>
        <v/>
      </c>
      <c r="R208" s="2">
        <f>TEXT(DATEVALUE(B208),"mmm")</f>
        <v/>
      </c>
      <c r="S208" s="2">
        <f>TEXT(DATEVALUE(B208),"yyyy-mm")</f>
        <v/>
      </c>
    </row>
    <row r="209">
      <c r="A209" s="2" t="inlineStr">
        <is>
          <t>O001749</t>
        </is>
      </c>
      <c r="B209" s="2" t="inlineStr">
        <is>
          <t>2025-01-15</t>
        </is>
      </c>
      <c r="C209" s="2" t="inlineStr">
        <is>
          <t>C0388</t>
        </is>
      </c>
      <c r="D209" s="2" t="inlineStr">
        <is>
          <t>P0022</t>
        </is>
      </c>
      <c r="E209" s="2" t="inlineStr">
        <is>
          <t>Face Wash</t>
        </is>
      </c>
      <c r="F209" s="2" t="inlineStr">
        <is>
          <t>Beauty</t>
        </is>
      </c>
      <c r="G209" s="2" t="inlineStr">
        <is>
          <t>West</t>
        </is>
      </c>
      <c r="H209" s="2" t="inlineStr">
        <is>
          <t>Gujarat</t>
        </is>
      </c>
      <c r="I209" s="2" t="inlineStr">
        <is>
          <t>Vadodara</t>
        </is>
      </c>
      <c r="J209" s="2" t="inlineStr">
        <is>
          <t>Store</t>
        </is>
      </c>
      <c r="K209" s="2" t="n">
        <v>2</v>
      </c>
      <c r="L209" s="3" t="n">
        <v>529.25</v>
      </c>
      <c r="M209" s="4" t="n">
        <v>0</v>
      </c>
      <c r="N209" s="3" t="n">
        <v>689.52</v>
      </c>
      <c r="O209" s="3">
        <f>K209*L209*(1-M209)</f>
        <v/>
      </c>
      <c r="P209" s="3">
        <f>O209-N209</f>
        <v/>
      </c>
      <c r="Q209" s="5">
        <f>IFERROR(P209/O209,0)</f>
        <v/>
      </c>
      <c r="R209" s="2">
        <f>TEXT(DATEVALUE(B209),"mmm")</f>
        <v/>
      </c>
      <c r="S209" s="2">
        <f>TEXT(DATEVALUE(B209),"yyyy-mm")</f>
        <v/>
      </c>
    </row>
    <row r="210">
      <c r="A210" s="2" t="inlineStr">
        <is>
          <t>O001486</t>
        </is>
      </c>
      <c r="B210" s="2" t="inlineStr">
        <is>
          <t>2025-01-15</t>
        </is>
      </c>
      <c r="C210" s="2" t="inlineStr">
        <is>
          <t>C0686</t>
        </is>
      </c>
      <c r="D210" s="2" t="inlineStr">
        <is>
          <t>P0016</t>
        </is>
      </c>
      <c r="E210" s="2" t="inlineStr">
        <is>
          <t>Casual Shirt</t>
        </is>
      </c>
      <c r="F210" s="2" t="inlineStr">
        <is>
          <t>Fashion</t>
        </is>
      </c>
      <c r="G210" s="2" t="inlineStr">
        <is>
          <t>West</t>
        </is>
      </c>
      <c r="H210" s="2" t="inlineStr">
        <is>
          <t>Maharashtra</t>
        </is>
      </c>
      <c r="I210" s="2" t="inlineStr">
        <is>
          <t>Mumbai</t>
        </is>
      </c>
      <c r="J210" s="2" t="inlineStr">
        <is>
          <t>Store</t>
        </is>
      </c>
      <c r="K210" s="2" t="n">
        <v>1</v>
      </c>
      <c r="L210" s="3" t="n">
        <v>1294.24</v>
      </c>
      <c r="M210" s="4" t="n">
        <v>0.05</v>
      </c>
      <c r="N210" s="3" t="n">
        <v>879.12</v>
      </c>
      <c r="O210" s="3">
        <f>K210*L210*(1-M210)</f>
        <v/>
      </c>
      <c r="P210" s="3">
        <f>O210-N210</f>
        <v/>
      </c>
      <c r="Q210" s="5">
        <f>IFERROR(P210/O210,0)</f>
        <v/>
      </c>
      <c r="R210" s="2">
        <f>TEXT(DATEVALUE(B210),"mmm")</f>
        <v/>
      </c>
      <c r="S210" s="2">
        <f>TEXT(DATEVALUE(B210),"yyyy-mm")</f>
        <v/>
      </c>
    </row>
    <row r="211">
      <c r="A211" s="2" t="inlineStr">
        <is>
          <t>O001078</t>
        </is>
      </c>
      <c r="B211" s="2" t="inlineStr">
        <is>
          <t>2025-01-15</t>
        </is>
      </c>
      <c r="C211" s="2" t="inlineStr">
        <is>
          <t>C0236</t>
        </is>
      </c>
      <c r="D211" s="2" t="inlineStr">
        <is>
          <t>P0013</t>
        </is>
      </c>
      <c r="E211" s="2" t="inlineStr">
        <is>
          <t>Storage Organizer</t>
        </is>
      </c>
      <c r="F211" s="2" t="inlineStr">
        <is>
          <t>Home &amp; Kitchen</t>
        </is>
      </c>
      <c r="G211" s="2" t="inlineStr">
        <is>
          <t>South</t>
        </is>
      </c>
      <c r="H211" s="2" t="inlineStr">
        <is>
          <t>Karnataka</t>
        </is>
      </c>
      <c r="I211" s="2" t="inlineStr">
        <is>
          <t>Bengaluru</t>
        </is>
      </c>
      <c r="J211" s="2" t="inlineStr">
        <is>
          <t>Store</t>
        </is>
      </c>
      <c r="K211" s="2" t="n">
        <v>4</v>
      </c>
      <c r="L211" s="3" t="n">
        <v>583.89</v>
      </c>
      <c r="M211" s="4" t="n">
        <v>0.1</v>
      </c>
      <c r="N211" s="3" t="n">
        <v>1419.29</v>
      </c>
      <c r="O211" s="3">
        <f>K211*L211*(1-M211)</f>
        <v/>
      </c>
      <c r="P211" s="3">
        <f>O211-N211</f>
        <v/>
      </c>
      <c r="Q211" s="5">
        <f>IFERROR(P211/O211,0)</f>
        <v/>
      </c>
      <c r="R211" s="2">
        <f>TEXT(DATEVALUE(B211),"mmm")</f>
        <v/>
      </c>
      <c r="S211" s="2">
        <f>TEXT(DATEVALUE(B211),"yyyy-mm")</f>
        <v/>
      </c>
    </row>
    <row r="212">
      <c r="A212" s="2" t="inlineStr">
        <is>
          <t>O000904</t>
        </is>
      </c>
      <c r="B212" s="2" t="inlineStr">
        <is>
          <t>2025-01-15</t>
        </is>
      </c>
      <c r="C212" s="2" t="inlineStr">
        <is>
          <t>C0457</t>
        </is>
      </c>
      <c r="D212" s="2" t="inlineStr">
        <is>
          <t>P0025</t>
        </is>
      </c>
      <c r="E212" s="2" t="inlineStr">
        <is>
          <t>Perfume</t>
        </is>
      </c>
      <c r="F212" s="2" t="inlineStr">
        <is>
          <t>Beauty</t>
        </is>
      </c>
      <c r="G212" s="2" t="inlineStr">
        <is>
          <t>East</t>
        </is>
      </c>
      <c r="H212" s="2" t="inlineStr">
        <is>
          <t>Bihar</t>
        </is>
      </c>
      <c r="I212" s="2" t="inlineStr">
        <is>
          <t>Gaya</t>
        </is>
      </c>
      <c r="J212" s="2" t="inlineStr">
        <is>
          <t>Store</t>
        </is>
      </c>
      <c r="K212" s="2" t="n">
        <v>1</v>
      </c>
      <c r="L212" s="3" t="n">
        <v>840.2</v>
      </c>
      <c r="M212" s="4" t="n">
        <v>0.1</v>
      </c>
      <c r="N212" s="3" t="n">
        <v>598.97</v>
      </c>
      <c r="O212" s="3">
        <f>K212*L212*(1-M212)</f>
        <v/>
      </c>
      <c r="P212" s="3">
        <f>O212-N212</f>
        <v/>
      </c>
      <c r="Q212" s="5">
        <f>IFERROR(P212/O212,0)</f>
        <v/>
      </c>
      <c r="R212" s="2">
        <f>TEXT(DATEVALUE(B212),"mmm")</f>
        <v/>
      </c>
      <c r="S212" s="2">
        <f>TEXT(DATEVALUE(B212),"yyyy-mm")</f>
        <v/>
      </c>
    </row>
    <row r="213">
      <c r="A213" s="2" t="inlineStr">
        <is>
          <t>O000135</t>
        </is>
      </c>
      <c r="B213" s="2" t="inlineStr">
        <is>
          <t>2025-01-15</t>
        </is>
      </c>
      <c r="C213" s="2" t="inlineStr">
        <is>
          <t>C0495</t>
        </is>
      </c>
      <c r="D213" s="2" t="inlineStr">
        <is>
          <t>P0012</t>
        </is>
      </c>
      <c r="E213" s="2" t="inlineStr">
        <is>
          <t>Water Bottle</t>
        </is>
      </c>
      <c r="F213" s="2" t="inlineStr">
        <is>
          <t>Home &amp; Kitchen</t>
        </is>
      </c>
      <c r="G213" s="2" t="inlineStr">
        <is>
          <t>West</t>
        </is>
      </c>
      <c r="H213" s="2" t="inlineStr">
        <is>
          <t>Gujarat</t>
        </is>
      </c>
      <c r="I213" s="2" t="inlineStr">
        <is>
          <t>Ahmedabad</t>
        </is>
      </c>
      <c r="J213" s="2" t="inlineStr">
        <is>
          <t>Online</t>
        </is>
      </c>
      <c r="K213" s="2" t="n">
        <v>2</v>
      </c>
      <c r="L213" s="3" t="n">
        <v>995.24</v>
      </c>
      <c r="M213" s="4" t="n">
        <v>0.2</v>
      </c>
      <c r="N213" s="3" t="n">
        <v>1277.9</v>
      </c>
      <c r="O213" s="3">
        <f>K213*L213*(1-M213)</f>
        <v/>
      </c>
      <c r="P213" s="3">
        <f>O213-N213</f>
        <v/>
      </c>
      <c r="Q213" s="5">
        <f>IFERROR(P213/O213,0)</f>
        <v/>
      </c>
      <c r="R213" s="2">
        <f>TEXT(DATEVALUE(B213),"mmm")</f>
        <v/>
      </c>
      <c r="S213" s="2">
        <f>TEXT(DATEVALUE(B213),"yyyy-mm")</f>
        <v/>
      </c>
    </row>
    <row r="214">
      <c r="A214" s="2" t="inlineStr">
        <is>
          <t>O000093</t>
        </is>
      </c>
      <c r="B214" s="2" t="inlineStr">
        <is>
          <t>2025-01-15</t>
        </is>
      </c>
      <c r="C214" s="2" t="inlineStr">
        <is>
          <t>C0400</t>
        </is>
      </c>
      <c r="D214" s="2" t="inlineStr">
        <is>
          <t>P0023</t>
        </is>
      </c>
      <c r="E214" s="2" t="inlineStr">
        <is>
          <t>Skin Care Kit</t>
        </is>
      </c>
      <c r="F214" s="2" t="inlineStr">
        <is>
          <t>Beauty</t>
        </is>
      </c>
      <c r="G214" s="2" t="inlineStr">
        <is>
          <t>West</t>
        </is>
      </c>
      <c r="H214" s="2" t="inlineStr">
        <is>
          <t>Goa</t>
        </is>
      </c>
      <c r="I214" s="2" t="inlineStr">
        <is>
          <t>Panaji</t>
        </is>
      </c>
      <c r="J214" s="2" t="inlineStr">
        <is>
          <t>Online</t>
        </is>
      </c>
      <c r="K214" s="2" t="n">
        <v>1</v>
      </c>
      <c r="L214" s="3" t="n">
        <v>1395.41</v>
      </c>
      <c r="M214" s="4" t="n">
        <v>0.1</v>
      </c>
      <c r="N214" s="3" t="n">
        <v>872.1900000000001</v>
      </c>
      <c r="O214" s="3">
        <f>K214*L214*(1-M214)</f>
        <v/>
      </c>
      <c r="P214" s="3">
        <f>O214-N214</f>
        <v/>
      </c>
      <c r="Q214" s="5">
        <f>IFERROR(P214/O214,0)</f>
        <v/>
      </c>
      <c r="R214" s="2">
        <f>TEXT(DATEVALUE(B214),"mmm")</f>
        <v/>
      </c>
      <c r="S214" s="2">
        <f>TEXT(DATEVALUE(B214),"yyyy-mm")</f>
        <v/>
      </c>
    </row>
    <row r="215">
      <c r="A215" s="2" t="inlineStr">
        <is>
          <t>O001104</t>
        </is>
      </c>
      <c r="B215" s="2" t="inlineStr">
        <is>
          <t>2025-01-15</t>
        </is>
      </c>
      <c r="C215" s="2" t="inlineStr">
        <is>
          <t>C0344</t>
        </is>
      </c>
      <c r="D215" s="2" t="inlineStr">
        <is>
          <t>P0025</t>
        </is>
      </c>
      <c r="E215" s="2" t="inlineStr">
        <is>
          <t>Perfume</t>
        </is>
      </c>
      <c r="F215" s="2" t="inlineStr">
        <is>
          <t>Beauty</t>
        </is>
      </c>
      <c r="G215" s="2" t="inlineStr">
        <is>
          <t>East</t>
        </is>
      </c>
      <c r="H215" s="2" t="inlineStr">
        <is>
          <t>West Bengal</t>
        </is>
      </c>
      <c r="I215" s="2" t="inlineStr">
        <is>
          <t>Kolkata</t>
        </is>
      </c>
      <c r="J215" s="2" t="inlineStr">
        <is>
          <t>Online</t>
        </is>
      </c>
      <c r="K215" s="2" t="n">
        <v>3</v>
      </c>
      <c r="L215" s="3" t="n">
        <v>780.29</v>
      </c>
      <c r="M215" s="4" t="n">
        <v>0.2</v>
      </c>
      <c r="N215" s="3" t="n">
        <v>1814.69</v>
      </c>
      <c r="O215" s="3">
        <f>K215*L215*(1-M215)</f>
        <v/>
      </c>
      <c r="P215" s="3">
        <f>O215-N215</f>
        <v/>
      </c>
      <c r="Q215" s="5">
        <f>IFERROR(P215/O215,0)</f>
        <v/>
      </c>
      <c r="R215" s="2">
        <f>TEXT(DATEVALUE(B215),"mmm")</f>
        <v/>
      </c>
      <c r="S215" s="2">
        <f>TEXT(DATEVALUE(B215),"yyyy-mm")</f>
        <v/>
      </c>
    </row>
    <row r="216">
      <c r="A216" s="2" t="inlineStr">
        <is>
          <t>O003842</t>
        </is>
      </c>
      <c r="B216" s="2" t="inlineStr">
        <is>
          <t>2025-01-16</t>
        </is>
      </c>
      <c r="C216" s="2" t="inlineStr">
        <is>
          <t>C0292</t>
        </is>
      </c>
      <c r="D216" s="2" t="inlineStr">
        <is>
          <t>P0032</t>
        </is>
      </c>
      <c r="E216" s="2" t="inlineStr">
        <is>
          <t>Football</t>
        </is>
      </c>
      <c r="F216" s="2" t="inlineStr">
        <is>
          <t>Sports</t>
        </is>
      </c>
      <c r="G216" s="2" t="inlineStr">
        <is>
          <t>West</t>
        </is>
      </c>
      <c r="H216" s="2" t="inlineStr">
        <is>
          <t>Maharashtra</t>
        </is>
      </c>
      <c r="I216" s="2" t="inlineStr">
        <is>
          <t>Thane</t>
        </is>
      </c>
      <c r="J216" s="2" t="inlineStr">
        <is>
          <t>Online</t>
        </is>
      </c>
      <c r="K216" s="2" t="n">
        <v>4</v>
      </c>
      <c r="L216" s="3" t="n">
        <v>819.6900000000001</v>
      </c>
      <c r="M216" s="4" t="n">
        <v>0.15</v>
      </c>
      <c r="N216" s="3" t="n">
        <v>2173.68</v>
      </c>
      <c r="O216" s="3">
        <f>K216*L216*(1-M216)</f>
        <v/>
      </c>
      <c r="P216" s="3">
        <f>O216-N216</f>
        <v/>
      </c>
      <c r="Q216" s="5">
        <f>IFERROR(P216/O216,0)</f>
        <v/>
      </c>
      <c r="R216" s="2">
        <f>TEXT(DATEVALUE(B216),"mmm")</f>
        <v/>
      </c>
      <c r="S216" s="2">
        <f>TEXT(DATEVALUE(B216),"yyyy-mm")</f>
        <v/>
      </c>
    </row>
    <row r="217">
      <c r="A217" s="2" t="inlineStr">
        <is>
          <t>O004743</t>
        </is>
      </c>
      <c r="B217" s="2" t="inlineStr">
        <is>
          <t>2025-01-16</t>
        </is>
      </c>
      <c r="C217" s="2" t="inlineStr">
        <is>
          <t>C0707</t>
        </is>
      </c>
      <c r="D217" s="2" t="inlineStr">
        <is>
          <t>P0019</t>
        </is>
      </c>
      <c r="E217" s="2" t="inlineStr">
        <is>
          <t>Jacket</t>
        </is>
      </c>
      <c r="F217" s="2" t="inlineStr">
        <is>
          <t>Fashion</t>
        </is>
      </c>
      <c r="G217" s="2" t="inlineStr">
        <is>
          <t>South</t>
        </is>
      </c>
      <c r="H217" s="2" t="inlineStr">
        <is>
          <t>Karnataka</t>
        </is>
      </c>
      <c r="I217" s="2" t="inlineStr">
        <is>
          <t>Bengaluru</t>
        </is>
      </c>
      <c r="J217" s="2" t="inlineStr">
        <is>
          <t>Online</t>
        </is>
      </c>
      <c r="K217" s="2" t="n">
        <v>3</v>
      </c>
      <c r="L217" s="3" t="n">
        <v>1068.45</v>
      </c>
      <c r="M217" s="4" t="n">
        <v>0.05</v>
      </c>
      <c r="N217" s="3" t="n">
        <v>2055.7</v>
      </c>
      <c r="O217" s="3">
        <f>K217*L217*(1-M217)</f>
        <v/>
      </c>
      <c r="P217" s="3">
        <f>O217-N217</f>
        <v/>
      </c>
      <c r="Q217" s="5">
        <f>IFERROR(P217/O217,0)</f>
        <v/>
      </c>
      <c r="R217" s="2">
        <f>TEXT(DATEVALUE(B217),"mmm")</f>
        <v/>
      </c>
      <c r="S217" s="2">
        <f>TEXT(DATEVALUE(B217),"yyyy-mm")</f>
        <v/>
      </c>
    </row>
    <row r="218">
      <c r="A218" s="2" t="inlineStr">
        <is>
          <t>O004424</t>
        </is>
      </c>
      <c r="B218" s="2" t="inlineStr">
        <is>
          <t>2025-01-16</t>
        </is>
      </c>
      <c r="C218" s="2" t="inlineStr">
        <is>
          <t>C0298</t>
        </is>
      </c>
      <c r="D218" s="2" t="inlineStr">
        <is>
          <t>P0018</t>
        </is>
      </c>
      <c r="E218" s="2" t="inlineStr">
        <is>
          <t>Backpack</t>
        </is>
      </c>
      <c r="F218" s="2" t="inlineStr">
        <is>
          <t>Fashion</t>
        </is>
      </c>
      <c r="G218" s="2" t="inlineStr">
        <is>
          <t>South</t>
        </is>
      </c>
      <c r="H218" s="2" t="inlineStr">
        <is>
          <t>Kerala</t>
        </is>
      </c>
      <c r="I218" s="2" t="inlineStr">
        <is>
          <t>Thiruvananthapuram</t>
        </is>
      </c>
      <c r="J218" s="2" t="inlineStr">
        <is>
          <t>Store</t>
        </is>
      </c>
      <c r="K218" s="2" t="n">
        <v>2</v>
      </c>
      <c r="L218" s="3" t="n">
        <v>1758.25</v>
      </c>
      <c r="M218" s="4" t="n">
        <v>0.1</v>
      </c>
      <c r="N218" s="3" t="n">
        <v>2634.96</v>
      </c>
      <c r="O218" s="3">
        <f>K218*L218*(1-M218)</f>
        <v/>
      </c>
      <c r="P218" s="3">
        <f>O218-N218</f>
        <v/>
      </c>
      <c r="Q218" s="5">
        <f>IFERROR(P218/O218,0)</f>
        <v/>
      </c>
      <c r="R218" s="2">
        <f>TEXT(DATEVALUE(B218),"mmm")</f>
        <v/>
      </c>
      <c r="S218" s="2">
        <f>TEXT(DATEVALUE(B218),"yyyy-mm")</f>
        <v/>
      </c>
    </row>
    <row r="219">
      <c r="A219" s="2" t="inlineStr">
        <is>
          <t>O004153</t>
        </is>
      </c>
      <c r="B219" s="2" t="inlineStr">
        <is>
          <t>2025-01-16</t>
        </is>
      </c>
      <c r="C219" s="2" t="inlineStr">
        <is>
          <t>C0249</t>
        </is>
      </c>
      <c r="D219" s="2" t="inlineStr">
        <is>
          <t>P0008</t>
        </is>
      </c>
      <c r="E219" s="2" t="inlineStr">
        <is>
          <t>Air Fryer</t>
        </is>
      </c>
      <c r="F219" s="2" t="inlineStr">
        <is>
          <t>Home &amp; Kitchen</t>
        </is>
      </c>
      <c r="G219" s="2" t="inlineStr">
        <is>
          <t>South</t>
        </is>
      </c>
      <c r="H219" s="2" t="inlineStr">
        <is>
          <t>Tamil Nadu</t>
        </is>
      </c>
      <c r="I219" s="2" t="inlineStr">
        <is>
          <t>Coimbatore</t>
        </is>
      </c>
      <c r="J219" s="2" t="inlineStr">
        <is>
          <t>Online</t>
        </is>
      </c>
      <c r="K219" s="2" t="n">
        <v>2</v>
      </c>
      <c r="L219" s="3" t="n">
        <v>1029.58</v>
      </c>
      <c r="M219" s="4" t="n">
        <v>0</v>
      </c>
      <c r="N219" s="3" t="n">
        <v>1363.3</v>
      </c>
      <c r="O219" s="3">
        <f>K219*L219*(1-M219)</f>
        <v/>
      </c>
      <c r="P219" s="3">
        <f>O219-N219</f>
        <v/>
      </c>
      <c r="Q219" s="5">
        <f>IFERROR(P219/O219,0)</f>
        <v/>
      </c>
      <c r="R219" s="2">
        <f>TEXT(DATEVALUE(B219),"mmm")</f>
        <v/>
      </c>
      <c r="S219" s="2">
        <f>TEXT(DATEVALUE(B219),"yyyy-mm")</f>
        <v/>
      </c>
    </row>
    <row r="220">
      <c r="A220" s="2" t="inlineStr">
        <is>
          <t>O003754</t>
        </is>
      </c>
      <c r="B220" s="2" t="inlineStr">
        <is>
          <t>2025-01-16</t>
        </is>
      </c>
      <c r="C220" s="2" t="inlineStr">
        <is>
          <t>C0618</t>
        </is>
      </c>
      <c r="D220" s="2" t="inlineStr">
        <is>
          <t>P0008</t>
        </is>
      </c>
      <c r="E220" s="2" t="inlineStr">
        <is>
          <t>Air Fryer</t>
        </is>
      </c>
      <c r="F220" s="2" t="inlineStr">
        <is>
          <t>Home &amp; Kitchen</t>
        </is>
      </c>
      <c r="G220" s="2" t="inlineStr">
        <is>
          <t>West</t>
        </is>
      </c>
      <c r="H220" s="2" t="inlineStr">
        <is>
          <t>Goa</t>
        </is>
      </c>
      <c r="I220" s="2" t="inlineStr">
        <is>
          <t>Margao</t>
        </is>
      </c>
      <c r="J220" s="2" t="inlineStr">
        <is>
          <t>Online</t>
        </is>
      </c>
      <c r="K220" s="2" t="n">
        <v>1</v>
      </c>
      <c r="L220" s="3" t="n">
        <v>1038.14</v>
      </c>
      <c r="M220" s="4" t="n">
        <v>0.2</v>
      </c>
      <c r="N220" s="3" t="n">
        <v>679.25</v>
      </c>
      <c r="O220" s="3">
        <f>K220*L220*(1-M220)</f>
        <v/>
      </c>
      <c r="P220" s="3">
        <f>O220-N220</f>
        <v/>
      </c>
      <c r="Q220" s="5">
        <f>IFERROR(P220/O220,0)</f>
        <v/>
      </c>
      <c r="R220" s="2">
        <f>TEXT(DATEVALUE(B220),"mmm")</f>
        <v/>
      </c>
      <c r="S220" s="2">
        <f>TEXT(DATEVALUE(B220),"yyyy-mm")</f>
        <v/>
      </c>
    </row>
    <row r="221">
      <c r="A221" s="2" t="inlineStr">
        <is>
          <t>O000498</t>
        </is>
      </c>
      <c r="B221" s="2" t="inlineStr">
        <is>
          <t>2025-01-16</t>
        </is>
      </c>
      <c r="C221" s="2" t="inlineStr">
        <is>
          <t>C0255</t>
        </is>
      </c>
      <c r="D221" s="2" t="inlineStr">
        <is>
          <t>P0027</t>
        </is>
      </c>
      <c r="E221" s="2" t="inlineStr">
        <is>
          <t>Moisturizer</t>
        </is>
      </c>
      <c r="F221" s="2" t="inlineStr">
        <is>
          <t>Beauty</t>
        </is>
      </c>
      <c r="G221" s="2" t="inlineStr">
        <is>
          <t>North</t>
        </is>
      </c>
      <c r="H221" s="2" t="inlineStr">
        <is>
          <t>Punjab</t>
        </is>
      </c>
      <c r="I221" s="2" t="inlineStr">
        <is>
          <t>Amritsar</t>
        </is>
      </c>
      <c r="J221" s="2" t="inlineStr">
        <is>
          <t>Online</t>
        </is>
      </c>
      <c r="K221" s="2" t="n">
        <v>1</v>
      </c>
      <c r="L221" s="3" t="n">
        <v>966.46</v>
      </c>
      <c r="M221" s="4" t="n">
        <v>0.15</v>
      </c>
      <c r="N221" s="3" t="n">
        <v>680.4400000000001</v>
      </c>
      <c r="O221" s="3">
        <f>K221*L221*(1-M221)</f>
        <v/>
      </c>
      <c r="P221" s="3">
        <f>O221-N221</f>
        <v/>
      </c>
      <c r="Q221" s="5">
        <f>IFERROR(P221/O221,0)</f>
        <v/>
      </c>
      <c r="R221" s="2">
        <f>TEXT(DATEVALUE(B221),"mmm")</f>
        <v/>
      </c>
      <c r="S221" s="2">
        <f>TEXT(DATEVALUE(B221),"yyyy-mm")</f>
        <v/>
      </c>
    </row>
    <row r="222">
      <c r="A222" s="2" t="inlineStr">
        <is>
          <t>O003162</t>
        </is>
      </c>
      <c r="B222" s="2" t="inlineStr">
        <is>
          <t>2025-01-16</t>
        </is>
      </c>
      <c r="C222" s="2" t="inlineStr">
        <is>
          <t>C0004</t>
        </is>
      </c>
      <c r="D222" s="2" t="inlineStr">
        <is>
          <t>P0014</t>
        </is>
      </c>
      <c r="E222" s="2" t="inlineStr">
        <is>
          <t>Coffee Maker</t>
        </is>
      </c>
      <c r="F222" s="2" t="inlineStr">
        <is>
          <t>Home &amp; Kitchen</t>
        </is>
      </c>
      <c r="G222" s="2" t="inlineStr">
        <is>
          <t>West</t>
        </is>
      </c>
      <c r="H222" s="2" t="inlineStr">
        <is>
          <t>Maharashtra</t>
        </is>
      </c>
      <c r="I222" s="2" t="inlineStr">
        <is>
          <t>Nagpur</t>
        </is>
      </c>
      <c r="J222" s="2" t="inlineStr">
        <is>
          <t>Online</t>
        </is>
      </c>
      <c r="K222" s="2" t="n">
        <v>4</v>
      </c>
      <c r="L222" s="3" t="n">
        <v>1090.59</v>
      </c>
      <c r="M222" s="4" t="n">
        <v>0.2</v>
      </c>
      <c r="N222" s="3" t="n">
        <v>3144.28</v>
      </c>
      <c r="O222" s="3">
        <f>K222*L222*(1-M222)</f>
        <v/>
      </c>
      <c r="P222" s="3">
        <f>O222-N222</f>
        <v/>
      </c>
      <c r="Q222" s="5">
        <f>IFERROR(P222/O222,0)</f>
        <v/>
      </c>
      <c r="R222" s="2">
        <f>TEXT(DATEVALUE(B222),"mmm")</f>
        <v/>
      </c>
      <c r="S222" s="2">
        <f>TEXT(DATEVALUE(B222),"yyyy-mm")</f>
        <v/>
      </c>
    </row>
    <row r="223">
      <c r="A223" s="2" t="inlineStr">
        <is>
          <t>O003002</t>
        </is>
      </c>
      <c r="B223" s="2" t="inlineStr">
        <is>
          <t>2025-01-16</t>
        </is>
      </c>
      <c r="C223" s="2" t="inlineStr">
        <is>
          <t>C0629</t>
        </is>
      </c>
      <c r="D223" s="2" t="inlineStr">
        <is>
          <t>P0030</t>
        </is>
      </c>
      <c r="E223" s="2" t="inlineStr">
        <is>
          <t>Dumbbells</t>
        </is>
      </c>
      <c r="F223" s="2" t="inlineStr">
        <is>
          <t>Sports</t>
        </is>
      </c>
      <c r="G223" s="2" t="inlineStr">
        <is>
          <t>North</t>
        </is>
      </c>
      <c r="H223" s="2" t="inlineStr">
        <is>
          <t>Uttar Pradesh</t>
        </is>
      </c>
      <c r="I223" s="2" t="inlineStr">
        <is>
          <t>Noida</t>
        </is>
      </c>
      <c r="J223" s="2" t="inlineStr">
        <is>
          <t>Store</t>
        </is>
      </c>
      <c r="K223" s="2" t="n">
        <v>1</v>
      </c>
      <c r="L223" s="3" t="n">
        <v>1518.73</v>
      </c>
      <c r="M223" s="4" t="n">
        <v>0</v>
      </c>
      <c r="N223" s="3" t="n">
        <v>1032.38</v>
      </c>
      <c r="O223" s="3">
        <f>K223*L223*(1-M223)</f>
        <v/>
      </c>
      <c r="P223" s="3">
        <f>O223-N223</f>
        <v/>
      </c>
      <c r="Q223" s="5">
        <f>IFERROR(P223/O223,0)</f>
        <v/>
      </c>
      <c r="R223" s="2">
        <f>TEXT(DATEVALUE(B223),"mmm")</f>
        <v/>
      </c>
      <c r="S223" s="2">
        <f>TEXT(DATEVALUE(B223),"yyyy-mm")</f>
        <v/>
      </c>
    </row>
    <row r="224">
      <c r="A224" s="2" t="inlineStr">
        <is>
          <t>O001491</t>
        </is>
      </c>
      <c r="B224" s="2" t="inlineStr">
        <is>
          <t>2025-01-16</t>
        </is>
      </c>
      <c r="C224" s="2" t="inlineStr">
        <is>
          <t>C0042</t>
        </is>
      </c>
      <c r="D224" s="2" t="inlineStr">
        <is>
          <t>P0019</t>
        </is>
      </c>
      <c r="E224" s="2" t="inlineStr">
        <is>
          <t>Jacket</t>
        </is>
      </c>
      <c r="F224" s="2" t="inlineStr">
        <is>
          <t>Fashion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Margao</t>
        </is>
      </c>
      <c r="J224" s="2" t="inlineStr">
        <is>
          <t>Online</t>
        </is>
      </c>
      <c r="K224" s="2" t="n">
        <v>5</v>
      </c>
      <c r="L224" s="3" t="n">
        <v>1008.46</v>
      </c>
      <c r="M224" s="4" t="n">
        <v>0</v>
      </c>
      <c r="N224" s="3" t="n">
        <v>3305.33</v>
      </c>
      <c r="O224" s="3">
        <f>K224*L224*(1-M224)</f>
        <v/>
      </c>
      <c r="P224" s="3">
        <f>O224-N224</f>
        <v/>
      </c>
      <c r="Q224" s="5">
        <f>IFERROR(P224/O224,0)</f>
        <v/>
      </c>
      <c r="R224" s="2">
        <f>TEXT(DATEVALUE(B224),"mmm")</f>
        <v/>
      </c>
      <c r="S224" s="2">
        <f>TEXT(DATEVALUE(B224),"yyyy-mm")</f>
        <v/>
      </c>
    </row>
    <row r="225">
      <c r="A225" s="2" t="inlineStr">
        <is>
          <t>O001455</t>
        </is>
      </c>
      <c r="B225" s="2" t="inlineStr">
        <is>
          <t>2025-01-16</t>
        </is>
      </c>
      <c r="C225" s="2" t="inlineStr">
        <is>
          <t>C0187</t>
        </is>
      </c>
      <c r="D225" s="2" t="inlineStr">
        <is>
          <t>P0014</t>
        </is>
      </c>
      <c r="E225" s="2" t="inlineStr">
        <is>
          <t>Coffee Maker</t>
        </is>
      </c>
      <c r="F225" s="2" t="inlineStr">
        <is>
          <t>Home &amp; Kitchen</t>
        </is>
      </c>
      <c r="G225" s="2" t="inlineStr">
        <is>
          <t>East</t>
        </is>
      </c>
      <c r="H225" s="2" t="inlineStr">
        <is>
          <t>West Bengal</t>
        </is>
      </c>
      <c r="I225" s="2" t="inlineStr">
        <is>
          <t>Durgapur</t>
        </is>
      </c>
      <c r="J225" s="2" t="inlineStr">
        <is>
          <t>Store</t>
        </is>
      </c>
      <c r="K225" s="2" t="n">
        <v>3</v>
      </c>
      <c r="L225" s="3" t="n">
        <v>1002.41</v>
      </c>
      <c r="M225" s="4" t="n">
        <v>0</v>
      </c>
      <c r="N225" s="3" t="n">
        <v>2354.31</v>
      </c>
      <c r="O225" s="3">
        <f>K225*L225*(1-M225)</f>
        <v/>
      </c>
      <c r="P225" s="3">
        <f>O225-N225</f>
        <v/>
      </c>
      <c r="Q225" s="5">
        <f>IFERROR(P225/O225,0)</f>
        <v/>
      </c>
      <c r="R225" s="2">
        <f>TEXT(DATEVALUE(B225),"mmm")</f>
        <v/>
      </c>
      <c r="S225" s="2">
        <f>TEXT(DATEVALUE(B225),"yyyy-mm")</f>
        <v/>
      </c>
    </row>
    <row r="226">
      <c r="A226" s="2" t="inlineStr">
        <is>
          <t>O003613</t>
        </is>
      </c>
      <c r="B226" s="2" t="inlineStr">
        <is>
          <t>2025-01-16</t>
        </is>
      </c>
      <c r="C226" s="2" t="inlineStr">
        <is>
          <t>C0321</t>
        </is>
      </c>
      <c r="D226" s="2" t="inlineStr">
        <is>
          <t>P0022</t>
        </is>
      </c>
      <c r="E226" s="2" t="inlineStr">
        <is>
          <t>Face Wash</t>
        </is>
      </c>
      <c r="F226" s="2" t="inlineStr">
        <is>
          <t>Beauty</t>
        </is>
      </c>
      <c r="G226" s="2" t="inlineStr">
        <is>
          <t>North</t>
        </is>
      </c>
      <c r="H226" s="2" t="inlineStr">
        <is>
          <t>Punjab</t>
        </is>
      </c>
      <c r="I226" s="2" t="inlineStr">
        <is>
          <t>Ludhiana</t>
        </is>
      </c>
      <c r="J226" s="2" t="inlineStr">
        <is>
          <t>Store</t>
        </is>
      </c>
      <c r="K226" s="2" t="n">
        <v>2</v>
      </c>
      <c r="L226" s="3" t="n">
        <v>540.9299999999999</v>
      </c>
      <c r="M226" s="4" t="n">
        <v>0.15</v>
      </c>
      <c r="N226" s="3" t="n">
        <v>683.85</v>
      </c>
      <c r="O226" s="3">
        <f>K226*L226*(1-M226)</f>
        <v/>
      </c>
      <c r="P226" s="3">
        <f>O226-N226</f>
        <v/>
      </c>
      <c r="Q226" s="5">
        <f>IFERROR(P226/O226,0)</f>
        <v/>
      </c>
      <c r="R226" s="2">
        <f>TEXT(DATEVALUE(B226),"mmm")</f>
        <v/>
      </c>
      <c r="S226" s="2">
        <f>TEXT(DATEVALUE(B226),"yyyy-mm")</f>
        <v/>
      </c>
    </row>
    <row r="227">
      <c r="A227" s="2" t="inlineStr">
        <is>
          <t>O004625</t>
        </is>
      </c>
      <c r="B227" s="2" t="inlineStr">
        <is>
          <t>2025-01-17</t>
        </is>
      </c>
      <c r="C227" s="2" t="inlineStr">
        <is>
          <t>C0590</t>
        </is>
      </c>
      <c r="D227" s="2" t="inlineStr">
        <is>
          <t>P0011</t>
        </is>
      </c>
      <c r="E227" s="2" t="inlineStr">
        <is>
          <t>Cookware Set</t>
        </is>
      </c>
      <c r="F227" s="2" t="inlineStr">
        <is>
          <t>Home &amp; Kitchen</t>
        </is>
      </c>
      <c r="G227" s="2" t="inlineStr">
        <is>
          <t>West</t>
        </is>
      </c>
      <c r="H227" s="2" t="inlineStr">
        <is>
          <t>Gujarat</t>
        </is>
      </c>
      <c r="I227" s="2" t="inlineStr">
        <is>
          <t>Vadodara</t>
        </is>
      </c>
      <c r="J227" s="2" t="inlineStr">
        <is>
          <t>Store</t>
        </is>
      </c>
      <c r="K227" s="2" t="n">
        <v>2</v>
      </c>
      <c r="L227" s="3" t="n">
        <v>704.89</v>
      </c>
      <c r="M227" s="4" t="n">
        <v>0.05</v>
      </c>
      <c r="N227" s="3" t="n">
        <v>934.62</v>
      </c>
      <c r="O227" s="3">
        <f>K227*L227*(1-M227)</f>
        <v/>
      </c>
      <c r="P227" s="3">
        <f>O227-N227</f>
        <v/>
      </c>
      <c r="Q227" s="5">
        <f>IFERROR(P227/O227,0)</f>
        <v/>
      </c>
      <c r="R227" s="2">
        <f>TEXT(DATEVALUE(B227),"mmm")</f>
        <v/>
      </c>
      <c r="S227" s="2">
        <f>TEXT(DATEVALUE(B227),"yyyy-mm")</f>
        <v/>
      </c>
    </row>
    <row r="228">
      <c r="A228" s="2" t="inlineStr">
        <is>
          <t>O003501</t>
        </is>
      </c>
      <c r="B228" s="2" t="inlineStr">
        <is>
          <t>2025-01-17</t>
        </is>
      </c>
      <c r="C228" s="2" t="inlineStr">
        <is>
          <t>C0710</t>
        </is>
      </c>
      <c r="D228" s="2" t="inlineStr">
        <is>
          <t>P0023</t>
        </is>
      </c>
      <c r="E228" s="2" t="inlineStr">
        <is>
          <t>Skin Care Kit</t>
        </is>
      </c>
      <c r="F228" s="2" t="inlineStr">
        <is>
          <t>Beauty</t>
        </is>
      </c>
      <c r="G228" s="2" t="inlineStr">
        <is>
          <t>West</t>
        </is>
      </c>
      <c r="H228" s="2" t="inlineStr">
        <is>
          <t>Goa</t>
        </is>
      </c>
      <c r="I228" s="2" t="inlineStr">
        <is>
          <t>Panaji</t>
        </is>
      </c>
      <c r="J228" s="2" t="inlineStr">
        <is>
          <t>Online</t>
        </is>
      </c>
      <c r="K228" s="2" t="n">
        <v>2</v>
      </c>
      <c r="L228" s="3" t="n">
        <v>1432.72</v>
      </c>
      <c r="M228" s="4" t="n">
        <v>0.05</v>
      </c>
      <c r="N228" s="3" t="n">
        <v>1746.01</v>
      </c>
      <c r="O228" s="3">
        <f>K228*L228*(1-M228)</f>
        <v/>
      </c>
      <c r="P228" s="3">
        <f>O228-N228</f>
        <v/>
      </c>
      <c r="Q228" s="5">
        <f>IFERROR(P228/O228,0)</f>
        <v/>
      </c>
      <c r="R228" s="2">
        <f>TEXT(DATEVALUE(B228),"mmm")</f>
        <v/>
      </c>
      <c r="S228" s="2">
        <f>TEXT(DATEVALUE(B228),"yyyy-mm")</f>
        <v/>
      </c>
    </row>
    <row r="229">
      <c r="A229" s="2" t="inlineStr">
        <is>
          <t>O003880</t>
        </is>
      </c>
      <c r="B229" s="2" t="inlineStr">
        <is>
          <t>2025-01-17</t>
        </is>
      </c>
      <c r="C229" s="2" t="inlineStr">
        <is>
          <t>C0754</t>
        </is>
      </c>
      <c r="D229" s="2" t="inlineStr">
        <is>
          <t>P0020</t>
        </is>
      </c>
      <c r="E229" s="2" t="inlineStr">
        <is>
          <t>Sneakers</t>
        </is>
      </c>
      <c r="F229" s="2" t="inlineStr">
        <is>
          <t>Fashion</t>
        </is>
      </c>
      <c r="G229" s="2" t="inlineStr">
        <is>
          <t>South</t>
        </is>
      </c>
      <c r="H229" s="2" t="inlineStr">
        <is>
          <t>Tamil Nadu</t>
        </is>
      </c>
      <c r="I229" s="2" t="inlineStr">
        <is>
          <t>Chennai</t>
        </is>
      </c>
      <c r="J229" s="2" t="inlineStr">
        <is>
          <t>Online</t>
        </is>
      </c>
      <c r="K229" s="2" t="n">
        <v>1</v>
      </c>
      <c r="L229" s="3" t="n">
        <v>1970.05</v>
      </c>
      <c r="M229" s="4" t="n">
        <v>0</v>
      </c>
      <c r="N229" s="3" t="n">
        <v>1474.54</v>
      </c>
      <c r="O229" s="3">
        <f>K229*L229*(1-M229)</f>
        <v/>
      </c>
      <c r="P229" s="3">
        <f>O229-N229</f>
        <v/>
      </c>
      <c r="Q229" s="5">
        <f>IFERROR(P229/O229,0)</f>
        <v/>
      </c>
      <c r="R229" s="2">
        <f>TEXT(DATEVALUE(B229),"mmm")</f>
        <v/>
      </c>
      <c r="S229" s="2">
        <f>TEXT(DATEVALUE(B229),"yyyy-mm")</f>
        <v/>
      </c>
    </row>
    <row r="230">
      <c r="A230" s="2" t="inlineStr">
        <is>
          <t>O003261</t>
        </is>
      </c>
      <c r="B230" s="2" t="inlineStr">
        <is>
          <t>2025-01-17</t>
        </is>
      </c>
      <c r="C230" s="2" t="inlineStr">
        <is>
          <t>C0523</t>
        </is>
      </c>
      <c r="D230" s="2" t="inlineStr">
        <is>
          <t>P0007</t>
        </is>
      </c>
      <c r="E230" s="2" t="inlineStr">
        <is>
          <t>Wireless Mouse</t>
        </is>
      </c>
      <c r="F230" s="2" t="inlineStr">
        <is>
          <t>Electronics</t>
        </is>
      </c>
      <c r="G230" s="2" t="inlineStr">
        <is>
          <t>South</t>
        </is>
      </c>
      <c r="H230" s="2" t="inlineStr">
        <is>
          <t>Karnataka</t>
        </is>
      </c>
      <c r="I230" s="2" t="inlineStr">
        <is>
          <t>Mangaluru</t>
        </is>
      </c>
      <c r="J230" s="2" t="inlineStr">
        <is>
          <t>Online</t>
        </is>
      </c>
      <c r="K230" s="2" t="n">
        <v>1</v>
      </c>
      <c r="L230" s="3" t="n">
        <v>940.92</v>
      </c>
      <c r="M230" s="4" t="n">
        <v>0</v>
      </c>
      <c r="N230" s="3" t="n">
        <v>632.11</v>
      </c>
      <c r="O230" s="3">
        <f>K230*L230*(1-M230)</f>
        <v/>
      </c>
      <c r="P230" s="3">
        <f>O230-N230</f>
        <v/>
      </c>
      <c r="Q230" s="5">
        <f>IFERROR(P230/O230,0)</f>
        <v/>
      </c>
      <c r="R230" s="2">
        <f>TEXT(DATEVALUE(B230),"mmm")</f>
        <v/>
      </c>
      <c r="S230" s="2">
        <f>TEXT(DATEVALUE(B230),"yyyy-mm")</f>
        <v/>
      </c>
    </row>
    <row r="231">
      <c r="A231" s="2" t="inlineStr">
        <is>
          <t>O004307</t>
        </is>
      </c>
      <c r="B231" s="2" t="inlineStr">
        <is>
          <t>2025-01-17</t>
        </is>
      </c>
      <c r="C231" s="2" t="inlineStr">
        <is>
          <t>C0694</t>
        </is>
      </c>
      <c r="D231" s="2" t="inlineStr">
        <is>
          <t>P0019</t>
        </is>
      </c>
      <c r="E231" s="2" t="inlineStr">
        <is>
          <t>Jacket</t>
        </is>
      </c>
      <c r="F231" s="2" t="inlineStr">
        <is>
          <t>Fashion</t>
        </is>
      </c>
      <c r="G231" s="2" t="inlineStr">
        <is>
          <t>South</t>
        </is>
      </c>
      <c r="H231" s="2" t="inlineStr">
        <is>
          <t>Tamil Nadu</t>
        </is>
      </c>
      <c r="I231" s="2" t="inlineStr">
        <is>
          <t>Chennai</t>
        </is>
      </c>
      <c r="J231" s="2" t="inlineStr">
        <is>
          <t>Online</t>
        </is>
      </c>
      <c r="K231" s="2" t="n">
        <v>1</v>
      </c>
      <c r="L231" s="3" t="n">
        <v>989.11</v>
      </c>
      <c r="M231" s="4" t="n">
        <v>0.25</v>
      </c>
      <c r="N231" s="3" t="n">
        <v>665.52</v>
      </c>
      <c r="O231" s="3">
        <f>K231*L231*(1-M231)</f>
        <v/>
      </c>
      <c r="P231" s="3">
        <f>O231-N231</f>
        <v/>
      </c>
      <c r="Q231" s="5">
        <f>IFERROR(P231/O231,0)</f>
        <v/>
      </c>
      <c r="R231" s="2">
        <f>TEXT(DATEVALUE(B231),"mmm")</f>
        <v/>
      </c>
      <c r="S231" s="2">
        <f>TEXT(DATEVALUE(B231),"yyyy-mm")</f>
        <v/>
      </c>
    </row>
    <row r="232">
      <c r="A232" s="2" t="inlineStr">
        <is>
          <t>O004611</t>
        </is>
      </c>
      <c r="B232" s="2" t="inlineStr">
        <is>
          <t>2025-01-17</t>
        </is>
      </c>
      <c r="C232" s="2" t="inlineStr">
        <is>
          <t>C0597</t>
        </is>
      </c>
      <c r="D232" s="2" t="inlineStr">
        <is>
          <t>P0008</t>
        </is>
      </c>
      <c r="E232" s="2" t="inlineStr">
        <is>
          <t>Air Fryer</t>
        </is>
      </c>
      <c r="F232" s="2" t="inlineStr">
        <is>
          <t>Home &amp; Kitchen</t>
        </is>
      </c>
      <c r="G232" s="2" t="inlineStr">
        <is>
          <t>West</t>
        </is>
      </c>
      <c r="H232" s="2" t="inlineStr">
        <is>
          <t>Gujarat</t>
        </is>
      </c>
      <c r="I232" s="2" t="inlineStr">
        <is>
          <t>Vadodara</t>
        </is>
      </c>
      <c r="J232" s="2" t="inlineStr">
        <is>
          <t>Store</t>
        </is>
      </c>
      <c r="K232" s="2" t="n">
        <v>3</v>
      </c>
      <c r="L232" s="3" t="n">
        <v>1059.2</v>
      </c>
      <c r="M232" s="4" t="n">
        <v>0</v>
      </c>
      <c r="N232" s="3" t="n">
        <v>2016.12</v>
      </c>
      <c r="O232" s="3">
        <f>K232*L232*(1-M232)</f>
        <v/>
      </c>
      <c r="P232" s="3">
        <f>O232-N232</f>
        <v/>
      </c>
      <c r="Q232" s="5">
        <f>IFERROR(P232/O232,0)</f>
        <v/>
      </c>
      <c r="R232" s="2">
        <f>TEXT(DATEVALUE(B232),"mmm")</f>
        <v/>
      </c>
      <c r="S232" s="2">
        <f>TEXT(DATEVALUE(B232),"yyyy-mm")</f>
        <v/>
      </c>
    </row>
    <row r="233">
      <c r="A233" s="2" t="inlineStr">
        <is>
          <t>O004039</t>
        </is>
      </c>
      <c r="B233" s="2" t="inlineStr">
        <is>
          <t>2025-01-17</t>
        </is>
      </c>
      <c r="C233" s="2" t="inlineStr">
        <is>
          <t>C0225</t>
        </is>
      </c>
      <c r="D233" s="2" t="inlineStr">
        <is>
          <t>P0004</t>
        </is>
      </c>
      <c r="E233" s="2" t="inlineStr">
        <is>
          <t>USB-C Hub</t>
        </is>
      </c>
      <c r="F233" s="2" t="inlineStr">
        <is>
          <t>Electronics</t>
        </is>
      </c>
      <c r="G233" s="2" t="inlineStr">
        <is>
          <t>North</t>
        </is>
      </c>
      <c r="H233" s="2" t="inlineStr">
        <is>
          <t>Delhi</t>
        </is>
      </c>
      <c r="I233" s="2" t="inlineStr">
        <is>
          <t>New Delhi</t>
        </is>
      </c>
      <c r="J233" s="2" t="inlineStr">
        <is>
          <t>Online</t>
        </is>
      </c>
      <c r="K233" s="2" t="n">
        <v>1</v>
      </c>
      <c r="L233" s="3" t="n">
        <v>1259.25</v>
      </c>
      <c r="M233" s="4" t="n">
        <v>0</v>
      </c>
      <c r="N233" s="3" t="n">
        <v>906.54</v>
      </c>
      <c r="O233" s="3">
        <f>K233*L233*(1-M233)</f>
        <v/>
      </c>
      <c r="P233" s="3">
        <f>O233-N233</f>
        <v/>
      </c>
      <c r="Q233" s="5">
        <f>IFERROR(P233/O233,0)</f>
        <v/>
      </c>
      <c r="R233" s="2">
        <f>TEXT(DATEVALUE(B233),"mmm")</f>
        <v/>
      </c>
      <c r="S233" s="2">
        <f>TEXT(DATEVALUE(B233),"yyyy-mm")</f>
        <v/>
      </c>
    </row>
    <row r="234">
      <c r="A234" s="2" t="inlineStr">
        <is>
          <t>O002903</t>
        </is>
      </c>
      <c r="B234" s="2" t="inlineStr">
        <is>
          <t>2025-01-17</t>
        </is>
      </c>
      <c r="C234" s="2" t="inlineStr">
        <is>
          <t>C0097</t>
        </is>
      </c>
      <c r="D234" s="2" t="inlineStr">
        <is>
          <t>P0006</t>
        </is>
      </c>
      <c r="E234" s="2" t="inlineStr">
        <is>
          <t>Mechanical Keyboard</t>
        </is>
      </c>
      <c r="F234" s="2" t="inlineStr">
        <is>
          <t>Electronics</t>
        </is>
      </c>
      <c r="G234" s="2" t="inlineStr">
        <is>
          <t>North</t>
        </is>
      </c>
      <c r="H234" s="2" t="inlineStr">
        <is>
          <t>Punjab</t>
        </is>
      </c>
      <c r="I234" s="2" t="inlineStr">
        <is>
          <t>Jalandhar</t>
        </is>
      </c>
      <c r="J234" s="2" t="inlineStr">
        <is>
          <t>Online</t>
        </is>
      </c>
      <c r="K234" s="2" t="n">
        <v>1</v>
      </c>
      <c r="L234" s="3" t="n">
        <v>2661.23</v>
      </c>
      <c r="M234" s="4" t="n">
        <v>0</v>
      </c>
      <c r="N234" s="3" t="n">
        <v>1525.42</v>
      </c>
      <c r="O234" s="3">
        <f>K234*L234*(1-M234)</f>
        <v/>
      </c>
      <c r="P234" s="3">
        <f>O234-N234</f>
        <v/>
      </c>
      <c r="Q234" s="5">
        <f>IFERROR(P234/O234,0)</f>
        <v/>
      </c>
      <c r="R234" s="2">
        <f>TEXT(DATEVALUE(B234),"mmm")</f>
        <v/>
      </c>
      <c r="S234" s="2">
        <f>TEXT(DATEVALUE(B234),"yyyy-mm")</f>
        <v/>
      </c>
    </row>
    <row r="235">
      <c r="A235" s="2" t="inlineStr">
        <is>
          <t>O003805</t>
        </is>
      </c>
      <c r="B235" s="2" t="inlineStr">
        <is>
          <t>2025-01-17</t>
        </is>
      </c>
      <c r="C235" s="2" t="inlineStr">
        <is>
          <t>C0454</t>
        </is>
      </c>
      <c r="D235" s="2" t="inlineStr">
        <is>
          <t>P0017</t>
        </is>
      </c>
      <c r="E235" s="2" t="inlineStr">
        <is>
          <t>Jeans</t>
        </is>
      </c>
      <c r="F235" s="2" t="inlineStr">
        <is>
          <t>Fashion</t>
        </is>
      </c>
      <c r="G235" s="2" t="inlineStr">
        <is>
          <t>East</t>
        </is>
      </c>
      <c r="H235" s="2" t="inlineStr">
        <is>
          <t>Bihar</t>
        </is>
      </c>
      <c r="I235" s="2" t="inlineStr">
        <is>
          <t>Gaya</t>
        </is>
      </c>
      <c r="J235" s="2" t="inlineStr">
        <is>
          <t>Online</t>
        </is>
      </c>
      <c r="K235" s="2" t="n">
        <v>1</v>
      </c>
      <c r="L235" s="3" t="n">
        <v>1532.58</v>
      </c>
      <c r="M235" s="4" t="n">
        <v>0.15</v>
      </c>
      <c r="N235" s="3" t="n">
        <v>1050.44</v>
      </c>
      <c r="O235" s="3">
        <f>K235*L235*(1-M235)</f>
        <v/>
      </c>
      <c r="P235" s="3">
        <f>O235-N235</f>
        <v/>
      </c>
      <c r="Q235" s="5">
        <f>IFERROR(P235/O235,0)</f>
        <v/>
      </c>
      <c r="R235" s="2">
        <f>TEXT(DATEVALUE(B235),"mmm")</f>
        <v/>
      </c>
      <c r="S235" s="2">
        <f>TEXT(DATEVALUE(B235),"yyyy-mm")</f>
        <v/>
      </c>
    </row>
    <row r="236">
      <c r="A236" s="2" t="inlineStr">
        <is>
          <t>O002517</t>
        </is>
      </c>
      <c r="B236" s="2" t="inlineStr">
        <is>
          <t>2025-01-17</t>
        </is>
      </c>
      <c r="C236" s="2" t="inlineStr">
        <is>
          <t>C0095</t>
        </is>
      </c>
      <c r="D236" s="2" t="inlineStr">
        <is>
          <t>P0008</t>
        </is>
      </c>
      <c r="E236" s="2" t="inlineStr">
        <is>
          <t>Air Fryer</t>
        </is>
      </c>
      <c r="F236" s="2" t="inlineStr">
        <is>
          <t>Home &amp; Kitchen</t>
        </is>
      </c>
      <c r="G236" s="2" t="inlineStr">
        <is>
          <t>South</t>
        </is>
      </c>
      <c r="H236" s="2" t="inlineStr">
        <is>
          <t>Telangana</t>
        </is>
      </c>
      <c r="I236" s="2" t="inlineStr">
        <is>
          <t>Warangal</t>
        </is>
      </c>
      <c r="J236" s="2" t="inlineStr">
        <is>
          <t>Store</t>
        </is>
      </c>
      <c r="K236" s="2" t="n">
        <v>1</v>
      </c>
      <c r="L236" s="3" t="n">
        <v>1032.17</v>
      </c>
      <c r="M236" s="4" t="n">
        <v>0.15</v>
      </c>
      <c r="N236" s="3" t="n">
        <v>690.37</v>
      </c>
      <c r="O236" s="3">
        <f>K236*L236*(1-M236)</f>
        <v/>
      </c>
      <c r="P236" s="3">
        <f>O236-N236</f>
        <v/>
      </c>
      <c r="Q236" s="5">
        <f>IFERROR(P236/O236,0)</f>
        <v/>
      </c>
      <c r="R236" s="2">
        <f>TEXT(DATEVALUE(B236),"mmm")</f>
        <v/>
      </c>
      <c r="S236" s="2">
        <f>TEXT(DATEVALUE(B236),"yyyy-mm")</f>
        <v/>
      </c>
    </row>
    <row r="237">
      <c r="A237" s="2" t="inlineStr">
        <is>
          <t>O001700</t>
        </is>
      </c>
      <c r="B237" s="2" t="inlineStr">
        <is>
          <t>2025-01-17</t>
        </is>
      </c>
      <c r="C237" s="2" t="inlineStr">
        <is>
          <t>C0766</t>
        </is>
      </c>
      <c r="D237" s="2" t="inlineStr">
        <is>
          <t>P0017</t>
        </is>
      </c>
      <c r="E237" s="2" t="inlineStr">
        <is>
          <t>Jeans</t>
        </is>
      </c>
      <c r="F237" s="2" t="inlineStr">
        <is>
          <t>Fashion</t>
        </is>
      </c>
      <c r="G237" s="2" t="inlineStr">
        <is>
          <t>North</t>
        </is>
      </c>
      <c r="H237" s="2" t="inlineStr">
        <is>
          <t>Punjab</t>
        </is>
      </c>
      <c r="I237" s="2" t="inlineStr">
        <is>
          <t>Ludhiana</t>
        </is>
      </c>
      <c r="J237" s="2" t="inlineStr">
        <is>
          <t>Store</t>
        </is>
      </c>
      <c r="K237" s="2" t="n">
        <v>5</v>
      </c>
      <c r="L237" s="3" t="n">
        <v>1507.79</v>
      </c>
      <c r="M237" s="4" t="n">
        <v>0</v>
      </c>
      <c r="N237" s="3" t="n">
        <v>4961.7</v>
      </c>
      <c r="O237" s="3">
        <f>K237*L237*(1-M237)</f>
        <v/>
      </c>
      <c r="P237" s="3">
        <f>O237-N237</f>
        <v/>
      </c>
      <c r="Q237" s="5">
        <f>IFERROR(P237/O237,0)</f>
        <v/>
      </c>
      <c r="R237" s="2">
        <f>TEXT(DATEVALUE(B237),"mmm")</f>
        <v/>
      </c>
      <c r="S237" s="2">
        <f>TEXT(DATEVALUE(B237),"yyyy-mm")</f>
        <v/>
      </c>
    </row>
    <row r="238">
      <c r="A238" s="2" t="inlineStr">
        <is>
          <t>O001676</t>
        </is>
      </c>
      <c r="B238" s="2" t="inlineStr">
        <is>
          <t>2025-01-17</t>
        </is>
      </c>
      <c r="C238" s="2" t="inlineStr">
        <is>
          <t>C0786</t>
        </is>
      </c>
      <c r="D238" s="2" t="inlineStr">
        <is>
          <t>P0010</t>
        </is>
      </c>
      <c r="E238" s="2" t="inlineStr">
        <is>
          <t>Mixer Grinder</t>
        </is>
      </c>
      <c r="F238" s="2" t="inlineStr">
        <is>
          <t>Home &amp; Kitchen</t>
        </is>
      </c>
      <c r="G238" s="2" t="inlineStr">
        <is>
          <t>West</t>
        </is>
      </c>
      <c r="H238" s="2" t="inlineStr">
        <is>
          <t>Goa</t>
        </is>
      </c>
      <c r="I238" s="2" t="inlineStr">
        <is>
          <t>Panaji</t>
        </is>
      </c>
      <c r="J238" s="2" t="inlineStr">
        <is>
          <t>Store</t>
        </is>
      </c>
      <c r="K238" s="2" t="n">
        <v>1</v>
      </c>
      <c r="L238" s="3" t="n">
        <v>1625.51</v>
      </c>
      <c r="M238" s="4" t="n">
        <v>0</v>
      </c>
      <c r="N238" s="3" t="n">
        <v>1081.29</v>
      </c>
      <c r="O238" s="3">
        <f>K238*L238*(1-M238)</f>
        <v/>
      </c>
      <c r="P238" s="3">
        <f>O238-N238</f>
        <v/>
      </c>
      <c r="Q238" s="5">
        <f>IFERROR(P238/O238,0)</f>
        <v/>
      </c>
      <c r="R238" s="2">
        <f>TEXT(DATEVALUE(B238),"mmm")</f>
        <v/>
      </c>
      <c r="S238" s="2">
        <f>TEXT(DATEVALUE(B238),"yyyy-mm")</f>
        <v/>
      </c>
    </row>
    <row r="239">
      <c r="A239" s="2" t="inlineStr">
        <is>
          <t>O001429</t>
        </is>
      </c>
      <c r="B239" s="2" t="inlineStr">
        <is>
          <t>2025-01-17</t>
        </is>
      </c>
      <c r="C239" s="2" t="inlineStr">
        <is>
          <t>C0038</t>
        </is>
      </c>
      <c r="D239" s="2" t="inlineStr">
        <is>
          <t>P0033</t>
        </is>
      </c>
      <c r="E239" s="2" t="inlineStr">
        <is>
          <t>Resistance Bands</t>
        </is>
      </c>
      <c r="F239" s="2" t="inlineStr">
        <is>
          <t>Sports</t>
        </is>
      </c>
      <c r="G239" s="2" t="inlineStr">
        <is>
          <t>East</t>
        </is>
      </c>
      <c r="H239" s="2" t="inlineStr">
        <is>
          <t>Bihar</t>
        </is>
      </c>
      <c r="I239" s="2" t="inlineStr">
        <is>
          <t>Patna</t>
        </is>
      </c>
      <c r="J239" s="2" t="inlineStr">
        <is>
          <t>Online</t>
        </is>
      </c>
      <c r="K239" s="2" t="n">
        <v>1</v>
      </c>
      <c r="L239" s="3" t="n">
        <v>1092.38</v>
      </c>
      <c r="M239" s="4" t="n">
        <v>0.1</v>
      </c>
      <c r="N239" s="3" t="n">
        <v>756.67</v>
      </c>
      <c r="O239" s="3">
        <f>K239*L239*(1-M239)</f>
        <v/>
      </c>
      <c r="P239" s="3">
        <f>O239-N239</f>
        <v/>
      </c>
      <c r="Q239" s="5">
        <f>IFERROR(P239/O239,0)</f>
        <v/>
      </c>
      <c r="R239" s="2">
        <f>TEXT(DATEVALUE(B239),"mmm")</f>
        <v/>
      </c>
      <c r="S239" s="2">
        <f>TEXT(DATEVALUE(B239),"yyyy-mm")</f>
        <v/>
      </c>
    </row>
    <row r="240">
      <c r="A240" s="2" t="inlineStr">
        <is>
          <t>O001409</t>
        </is>
      </c>
      <c r="B240" s="2" t="inlineStr">
        <is>
          <t>2025-01-17</t>
        </is>
      </c>
      <c r="C240" s="2" t="inlineStr">
        <is>
          <t>C0525</t>
        </is>
      </c>
      <c r="D240" s="2" t="inlineStr">
        <is>
          <t>P0014</t>
        </is>
      </c>
      <c r="E240" s="2" t="inlineStr">
        <is>
          <t>Coffee Maker</t>
        </is>
      </c>
      <c r="F240" s="2" t="inlineStr">
        <is>
          <t>Home &amp; Kitchen</t>
        </is>
      </c>
      <c r="G240" s="2" t="inlineStr">
        <is>
          <t>North</t>
        </is>
      </c>
      <c r="H240" s="2" t="inlineStr">
        <is>
          <t>Punjab</t>
        </is>
      </c>
      <c r="I240" s="2" t="inlineStr">
        <is>
          <t>Ludhiana</t>
        </is>
      </c>
      <c r="J240" s="2" t="inlineStr">
        <is>
          <t>Online</t>
        </is>
      </c>
      <c r="K240" s="2" t="n">
        <v>2</v>
      </c>
      <c r="L240" s="3" t="n">
        <v>1032.01</v>
      </c>
      <c r="M240" s="4" t="n">
        <v>0.15</v>
      </c>
      <c r="N240" s="3" t="n">
        <v>1523.39</v>
      </c>
      <c r="O240" s="3">
        <f>K240*L240*(1-M240)</f>
        <v/>
      </c>
      <c r="P240" s="3">
        <f>O240-N240</f>
        <v/>
      </c>
      <c r="Q240" s="5">
        <f>IFERROR(P240/O240,0)</f>
        <v/>
      </c>
      <c r="R240" s="2">
        <f>TEXT(DATEVALUE(B240),"mmm")</f>
        <v/>
      </c>
      <c r="S240" s="2">
        <f>TEXT(DATEVALUE(B240),"yyyy-mm")</f>
        <v/>
      </c>
    </row>
    <row r="241">
      <c r="A241" s="2" t="inlineStr">
        <is>
          <t>O001345</t>
        </is>
      </c>
      <c r="B241" s="2" t="inlineStr">
        <is>
          <t>2025-01-17</t>
        </is>
      </c>
      <c r="C241" s="2" t="inlineStr">
        <is>
          <t>C0667</t>
        </is>
      </c>
      <c r="D241" s="2" t="inlineStr">
        <is>
          <t>P0034</t>
        </is>
      </c>
      <c r="E241" s="2" t="inlineStr">
        <is>
          <t>Gym Gloves</t>
        </is>
      </c>
      <c r="F241" s="2" t="inlineStr">
        <is>
          <t>Sports</t>
        </is>
      </c>
      <c r="G241" s="2" t="inlineStr">
        <is>
          <t>North</t>
        </is>
      </c>
      <c r="H241" s="2" t="inlineStr">
        <is>
          <t>Punjab</t>
        </is>
      </c>
      <c r="I241" s="2" t="inlineStr">
        <is>
          <t>Amritsar</t>
        </is>
      </c>
      <c r="J241" s="2" t="inlineStr">
        <is>
          <t>Store</t>
        </is>
      </c>
      <c r="K241" s="2" t="n">
        <v>4</v>
      </c>
      <c r="L241" s="3" t="n">
        <v>633.26</v>
      </c>
      <c r="M241" s="4" t="n">
        <v>0</v>
      </c>
      <c r="N241" s="3" t="n">
        <v>1660.77</v>
      </c>
      <c r="O241" s="3">
        <f>K241*L241*(1-M241)</f>
        <v/>
      </c>
      <c r="P241" s="3">
        <f>O241-N241</f>
        <v/>
      </c>
      <c r="Q241" s="5">
        <f>IFERROR(P241/O241,0)</f>
        <v/>
      </c>
      <c r="R241" s="2">
        <f>TEXT(DATEVALUE(B241),"mmm")</f>
        <v/>
      </c>
      <c r="S241" s="2">
        <f>TEXT(DATEVALUE(B241),"yyyy-mm")</f>
        <v/>
      </c>
    </row>
    <row r="242">
      <c r="A242" s="2" t="inlineStr">
        <is>
          <t>O001184</t>
        </is>
      </c>
      <c r="B242" s="2" t="inlineStr">
        <is>
          <t>2025-01-17</t>
        </is>
      </c>
      <c r="C242" s="2" t="inlineStr">
        <is>
          <t>C0228</t>
        </is>
      </c>
      <c r="D242" s="2" t="inlineStr">
        <is>
          <t>P0016</t>
        </is>
      </c>
      <c r="E242" s="2" t="inlineStr">
        <is>
          <t>Casual Shirt</t>
        </is>
      </c>
      <c r="F242" s="2" t="inlineStr">
        <is>
          <t>Fashion</t>
        </is>
      </c>
      <c r="G242" s="2" t="inlineStr">
        <is>
          <t>South</t>
        </is>
      </c>
      <c r="H242" s="2" t="inlineStr">
        <is>
          <t>Kerala</t>
        </is>
      </c>
      <c r="I242" s="2" t="inlineStr">
        <is>
          <t>Kochi</t>
        </is>
      </c>
      <c r="J242" s="2" t="inlineStr">
        <is>
          <t>Online</t>
        </is>
      </c>
      <c r="K242" s="2" t="n">
        <v>5</v>
      </c>
      <c r="L242" s="3" t="n">
        <v>1318.51</v>
      </c>
      <c r="M242" s="4" t="n">
        <v>0</v>
      </c>
      <c r="N242" s="3" t="n">
        <v>4433.64</v>
      </c>
      <c r="O242" s="3">
        <f>K242*L242*(1-M242)</f>
        <v/>
      </c>
      <c r="P242" s="3">
        <f>O242-N242</f>
        <v/>
      </c>
      <c r="Q242" s="5">
        <f>IFERROR(P242/O242,0)</f>
        <v/>
      </c>
      <c r="R242" s="2">
        <f>TEXT(DATEVALUE(B242),"mmm")</f>
        <v/>
      </c>
      <c r="S242" s="2">
        <f>TEXT(DATEVALUE(B242),"yyyy-mm")</f>
        <v/>
      </c>
    </row>
    <row r="243">
      <c r="A243" s="2" t="inlineStr">
        <is>
          <t>O000330</t>
        </is>
      </c>
      <c r="B243" s="2" t="inlineStr">
        <is>
          <t>2025-01-17</t>
        </is>
      </c>
      <c r="C243" s="2" t="inlineStr">
        <is>
          <t>C0183</t>
        </is>
      </c>
      <c r="D243" s="2" t="inlineStr">
        <is>
          <t>P0031</t>
        </is>
      </c>
      <c r="E243" s="2" t="inlineStr">
        <is>
          <t>Cricket Bat</t>
        </is>
      </c>
      <c r="F243" s="2" t="inlineStr">
        <is>
          <t>Sports</t>
        </is>
      </c>
      <c r="G243" s="2" t="inlineStr">
        <is>
          <t>North</t>
        </is>
      </c>
      <c r="H243" s="2" t="inlineStr">
        <is>
          <t>Haryana</t>
        </is>
      </c>
      <c r="I243" s="2" t="inlineStr">
        <is>
          <t>Gurugram</t>
        </is>
      </c>
      <c r="J243" s="2" t="inlineStr">
        <is>
          <t>Online</t>
        </is>
      </c>
      <c r="K243" s="2" t="n">
        <v>1</v>
      </c>
      <c r="L243" s="3" t="n">
        <v>1382</v>
      </c>
      <c r="M243" s="4" t="n">
        <v>0</v>
      </c>
      <c r="N243" s="3" t="n">
        <v>932.12</v>
      </c>
      <c r="O243" s="3">
        <f>K243*L243*(1-M243)</f>
        <v/>
      </c>
      <c r="P243" s="3">
        <f>O243-N243</f>
        <v/>
      </c>
      <c r="Q243" s="5">
        <f>IFERROR(P243/O243,0)</f>
        <v/>
      </c>
      <c r="R243" s="2">
        <f>TEXT(DATEVALUE(B243),"mmm")</f>
        <v/>
      </c>
      <c r="S243" s="2">
        <f>TEXT(DATEVALUE(B243),"yyyy-mm")</f>
        <v/>
      </c>
    </row>
    <row r="244">
      <c r="A244" s="2" t="inlineStr">
        <is>
          <t>O002551</t>
        </is>
      </c>
      <c r="B244" s="2" t="inlineStr">
        <is>
          <t>2025-01-17</t>
        </is>
      </c>
      <c r="C244" s="2" t="inlineStr">
        <is>
          <t>C0485</t>
        </is>
      </c>
      <c r="D244" s="2" t="inlineStr">
        <is>
          <t>P0008</t>
        </is>
      </c>
      <c r="E244" s="2" t="inlineStr">
        <is>
          <t>Air Fryer</t>
        </is>
      </c>
      <c r="F244" s="2" t="inlineStr">
        <is>
          <t>Home &amp; Kitchen</t>
        </is>
      </c>
      <c r="G244" s="2" t="inlineStr">
        <is>
          <t>South</t>
        </is>
      </c>
      <c r="H244" s="2" t="inlineStr">
        <is>
          <t>Karnataka</t>
        </is>
      </c>
      <c r="I244" s="2" t="inlineStr">
        <is>
          <t>Mangaluru</t>
        </is>
      </c>
      <c r="J244" s="2" t="inlineStr">
        <is>
          <t>Online</t>
        </is>
      </c>
      <c r="K244" s="2" t="n">
        <v>2</v>
      </c>
      <c r="L244" s="3" t="n">
        <v>1060.44</v>
      </c>
      <c r="M244" s="4" t="n">
        <v>0</v>
      </c>
      <c r="N244" s="3" t="n">
        <v>1334.13</v>
      </c>
      <c r="O244" s="3">
        <f>K244*L244*(1-M244)</f>
        <v/>
      </c>
      <c r="P244" s="3">
        <f>O244-N244</f>
        <v/>
      </c>
      <c r="Q244" s="5">
        <f>IFERROR(P244/O244,0)</f>
        <v/>
      </c>
      <c r="R244" s="2">
        <f>TEXT(DATEVALUE(B244),"mmm")</f>
        <v/>
      </c>
      <c r="S244" s="2">
        <f>TEXT(DATEVALUE(B244),"yyyy-mm")</f>
        <v/>
      </c>
    </row>
    <row r="245">
      <c r="A245" s="2" t="inlineStr">
        <is>
          <t>O004563</t>
        </is>
      </c>
      <c r="B245" s="2" t="inlineStr">
        <is>
          <t>2025-01-18</t>
        </is>
      </c>
      <c r="C245" s="2" t="inlineStr">
        <is>
          <t>C0454</t>
        </is>
      </c>
      <c r="D245" s="2" t="inlineStr">
        <is>
          <t>P0011</t>
        </is>
      </c>
      <c r="E245" s="2" t="inlineStr">
        <is>
          <t>Cookware Set</t>
        </is>
      </c>
      <c r="F245" s="2" t="inlineStr">
        <is>
          <t>Home &amp; Kitchen</t>
        </is>
      </c>
      <c r="G245" s="2" t="inlineStr">
        <is>
          <t>West</t>
        </is>
      </c>
      <c r="H245" s="2" t="inlineStr">
        <is>
          <t>Gujarat</t>
        </is>
      </c>
      <c r="I245" s="2" t="inlineStr">
        <is>
          <t>Surat</t>
        </is>
      </c>
      <c r="J245" s="2" t="inlineStr">
        <is>
          <t>Online</t>
        </is>
      </c>
      <c r="K245" s="2" t="n">
        <v>2</v>
      </c>
      <c r="L245" s="3" t="n">
        <v>702.78</v>
      </c>
      <c r="M245" s="4" t="n">
        <v>0.15</v>
      </c>
      <c r="N245" s="3" t="n">
        <v>965.84</v>
      </c>
      <c r="O245" s="3">
        <f>K245*L245*(1-M245)</f>
        <v/>
      </c>
      <c r="P245" s="3">
        <f>O245-N245</f>
        <v/>
      </c>
      <c r="Q245" s="5">
        <f>IFERROR(P245/O245,0)</f>
        <v/>
      </c>
      <c r="R245" s="2">
        <f>TEXT(DATEVALUE(B245),"mmm")</f>
        <v/>
      </c>
      <c r="S245" s="2">
        <f>TEXT(DATEVALUE(B245),"yyyy-mm")</f>
        <v/>
      </c>
    </row>
    <row r="246">
      <c r="A246" s="2" t="inlineStr">
        <is>
          <t>O004470</t>
        </is>
      </c>
      <c r="B246" s="2" t="inlineStr">
        <is>
          <t>2025-01-18</t>
        </is>
      </c>
      <c r="C246" s="2" t="inlineStr">
        <is>
          <t>C0745</t>
        </is>
      </c>
      <c r="D246" s="2" t="inlineStr">
        <is>
          <t>P0010</t>
        </is>
      </c>
      <c r="E246" s="2" t="inlineStr">
        <is>
          <t>Mixer Grinder</t>
        </is>
      </c>
      <c r="F246" s="2" t="inlineStr">
        <is>
          <t>Home &amp; Kitchen</t>
        </is>
      </c>
      <c r="G246" s="2" t="inlineStr">
        <is>
          <t>North</t>
        </is>
      </c>
      <c r="H246" s="2" t="inlineStr">
        <is>
          <t>Delhi</t>
        </is>
      </c>
      <c r="I246" s="2" t="inlineStr">
        <is>
          <t>New Delhi</t>
        </is>
      </c>
      <c r="J246" s="2" t="inlineStr">
        <is>
          <t>Online</t>
        </is>
      </c>
      <c r="K246" s="2" t="n">
        <v>1</v>
      </c>
      <c r="L246" s="3" t="n">
        <v>1682.21</v>
      </c>
      <c r="M246" s="4" t="n">
        <v>0.1</v>
      </c>
      <c r="N246" s="3" t="n">
        <v>1051.7</v>
      </c>
      <c r="O246" s="3">
        <f>K246*L246*(1-M246)</f>
        <v/>
      </c>
      <c r="P246" s="3">
        <f>O246-N246</f>
        <v/>
      </c>
      <c r="Q246" s="5">
        <f>IFERROR(P246/O246,0)</f>
        <v/>
      </c>
      <c r="R246" s="2">
        <f>TEXT(DATEVALUE(B246),"mmm")</f>
        <v/>
      </c>
      <c r="S246" s="2">
        <f>TEXT(DATEVALUE(B246),"yyyy-mm")</f>
        <v/>
      </c>
    </row>
    <row r="247">
      <c r="A247" s="2" t="inlineStr">
        <is>
          <t>O002624</t>
        </is>
      </c>
      <c r="B247" s="2" t="inlineStr">
        <is>
          <t>2025-01-18</t>
        </is>
      </c>
      <c r="C247" s="2" t="inlineStr">
        <is>
          <t>C0081</t>
        </is>
      </c>
      <c r="D247" s="2" t="inlineStr">
        <is>
          <t>P0021</t>
        </is>
      </c>
      <c r="E247" s="2" t="inlineStr">
        <is>
          <t>Wallet</t>
        </is>
      </c>
      <c r="F247" s="2" t="inlineStr">
        <is>
          <t>Fashion</t>
        </is>
      </c>
      <c r="G247" s="2" t="inlineStr">
        <is>
          <t>West</t>
        </is>
      </c>
      <c r="H247" s="2" t="inlineStr">
        <is>
          <t>Maharashtra</t>
        </is>
      </c>
      <c r="I247" s="2" t="inlineStr">
        <is>
          <t>Nagpur</t>
        </is>
      </c>
      <c r="J247" s="2" t="inlineStr">
        <is>
          <t>Store</t>
        </is>
      </c>
      <c r="K247" s="2" t="n">
        <v>3</v>
      </c>
      <c r="L247" s="3" t="n">
        <v>2006.31</v>
      </c>
      <c r="M247" s="4" t="n">
        <v>0.05</v>
      </c>
      <c r="N247" s="3" t="n">
        <v>3602.05</v>
      </c>
      <c r="O247" s="3">
        <f>K247*L247*(1-M247)</f>
        <v/>
      </c>
      <c r="P247" s="3">
        <f>O247-N247</f>
        <v/>
      </c>
      <c r="Q247" s="5">
        <f>IFERROR(P247/O247,0)</f>
        <v/>
      </c>
      <c r="R247" s="2">
        <f>TEXT(DATEVALUE(B247),"mmm")</f>
        <v/>
      </c>
      <c r="S247" s="2">
        <f>TEXT(DATEVALUE(B247),"yyyy-mm")</f>
        <v/>
      </c>
    </row>
    <row r="248">
      <c r="A248" s="2" t="inlineStr">
        <is>
          <t>O001228</t>
        </is>
      </c>
      <c r="B248" s="2" t="inlineStr">
        <is>
          <t>2025-01-18</t>
        </is>
      </c>
      <c r="C248" s="2" t="inlineStr">
        <is>
          <t>C0133</t>
        </is>
      </c>
      <c r="D248" s="2" t="inlineStr">
        <is>
          <t>P0008</t>
        </is>
      </c>
      <c r="E248" s="2" t="inlineStr">
        <is>
          <t>Air Fryer</t>
        </is>
      </c>
      <c r="F248" s="2" t="inlineStr">
        <is>
          <t>Home &amp; Kitchen</t>
        </is>
      </c>
      <c r="G248" s="2" t="inlineStr">
        <is>
          <t>West</t>
        </is>
      </c>
      <c r="H248" s="2" t="inlineStr">
        <is>
          <t>Gujarat</t>
        </is>
      </c>
      <c r="I248" s="2" t="inlineStr">
        <is>
          <t>Vadodara</t>
        </is>
      </c>
      <c r="J248" s="2" t="inlineStr">
        <is>
          <t>Store</t>
        </is>
      </c>
      <c r="K248" s="2" t="n">
        <v>2</v>
      </c>
      <c r="L248" s="3" t="n">
        <v>1055.64</v>
      </c>
      <c r="M248" s="4" t="n">
        <v>0.15</v>
      </c>
      <c r="N248" s="3" t="n">
        <v>1356.64</v>
      </c>
      <c r="O248" s="3">
        <f>K248*L248*(1-M248)</f>
        <v/>
      </c>
      <c r="P248" s="3">
        <f>O248-N248</f>
        <v/>
      </c>
      <c r="Q248" s="5">
        <f>IFERROR(P248/O248,0)</f>
        <v/>
      </c>
      <c r="R248" s="2">
        <f>TEXT(DATEVALUE(B248),"mmm")</f>
        <v/>
      </c>
      <c r="S248" s="2">
        <f>TEXT(DATEVALUE(B248),"yyyy-mm")</f>
        <v/>
      </c>
    </row>
    <row r="249">
      <c r="A249" s="2" t="inlineStr">
        <is>
          <t>O000353</t>
        </is>
      </c>
      <c r="B249" s="2" t="inlineStr">
        <is>
          <t>2025-01-18</t>
        </is>
      </c>
      <c r="C249" s="2" t="inlineStr">
        <is>
          <t>C0032</t>
        </is>
      </c>
      <c r="D249" s="2" t="inlineStr">
        <is>
          <t>P0017</t>
        </is>
      </c>
      <c r="E249" s="2" t="inlineStr">
        <is>
          <t>Jeans</t>
        </is>
      </c>
      <c r="F249" s="2" t="inlineStr">
        <is>
          <t>Fashion</t>
        </is>
      </c>
      <c r="G249" s="2" t="inlineStr">
        <is>
          <t>West</t>
        </is>
      </c>
      <c r="H249" s="2" t="inlineStr">
        <is>
          <t>Gujarat</t>
        </is>
      </c>
      <c r="I249" s="2" t="inlineStr">
        <is>
          <t>Vadodara</t>
        </is>
      </c>
      <c r="J249" s="2" t="inlineStr">
        <is>
          <t>Store</t>
        </is>
      </c>
      <c r="K249" s="2" t="n">
        <v>3</v>
      </c>
      <c r="L249" s="3" t="n">
        <v>1495.57</v>
      </c>
      <c r="M249" s="4" t="n">
        <v>0.1</v>
      </c>
      <c r="N249" s="3" t="n">
        <v>2987</v>
      </c>
      <c r="O249" s="3">
        <f>K249*L249*(1-M249)</f>
        <v/>
      </c>
      <c r="P249" s="3">
        <f>O249-N249</f>
        <v/>
      </c>
      <c r="Q249" s="5">
        <f>IFERROR(P249/O249,0)</f>
        <v/>
      </c>
      <c r="R249" s="2">
        <f>TEXT(DATEVALUE(B249),"mmm")</f>
        <v/>
      </c>
      <c r="S249" s="2">
        <f>TEXT(DATEVALUE(B249),"yyyy-mm")</f>
        <v/>
      </c>
    </row>
    <row r="250">
      <c r="A250" s="2" t="inlineStr">
        <is>
          <t>O001936</t>
        </is>
      </c>
      <c r="B250" s="2" t="inlineStr">
        <is>
          <t>2025-01-18</t>
        </is>
      </c>
      <c r="C250" s="2" t="inlineStr">
        <is>
          <t>C0294</t>
        </is>
      </c>
      <c r="D250" s="2" t="inlineStr">
        <is>
          <t>P0011</t>
        </is>
      </c>
      <c r="E250" s="2" t="inlineStr">
        <is>
          <t>Cookware Set</t>
        </is>
      </c>
      <c r="F250" s="2" t="inlineStr">
        <is>
          <t>Home &amp; Kitchen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Online</t>
        </is>
      </c>
      <c r="K250" s="2" t="n">
        <v>1</v>
      </c>
      <c r="L250" s="3" t="n">
        <v>706.36</v>
      </c>
      <c r="M250" s="4" t="n">
        <v>0.1</v>
      </c>
      <c r="N250" s="3" t="n">
        <v>462.02</v>
      </c>
      <c r="O250" s="3">
        <f>K250*L250*(1-M250)</f>
        <v/>
      </c>
      <c r="P250" s="3">
        <f>O250-N250</f>
        <v/>
      </c>
      <c r="Q250" s="5">
        <f>IFERROR(P250/O250,0)</f>
        <v/>
      </c>
      <c r="R250" s="2">
        <f>TEXT(DATEVALUE(B250),"mmm")</f>
        <v/>
      </c>
      <c r="S250" s="2">
        <f>TEXT(DATEVALUE(B250),"yyyy-mm")</f>
        <v/>
      </c>
    </row>
    <row r="251">
      <c r="A251" s="2" t="inlineStr">
        <is>
          <t>O003279</t>
        </is>
      </c>
      <c r="B251" s="2" t="inlineStr">
        <is>
          <t>2025-01-19</t>
        </is>
      </c>
      <c r="C251" s="2" t="inlineStr">
        <is>
          <t>C0066</t>
        </is>
      </c>
      <c r="D251" s="2" t="inlineStr">
        <is>
          <t>P0020</t>
        </is>
      </c>
      <c r="E251" s="2" t="inlineStr">
        <is>
          <t>Sneakers</t>
        </is>
      </c>
      <c r="F251" s="2" t="inlineStr">
        <is>
          <t>Fashion</t>
        </is>
      </c>
      <c r="G251" s="2" t="inlineStr">
        <is>
          <t>West</t>
        </is>
      </c>
      <c r="H251" s="2" t="inlineStr">
        <is>
          <t>Gujarat</t>
        </is>
      </c>
      <c r="I251" s="2" t="inlineStr">
        <is>
          <t>Surat</t>
        </is>
      </c>
      <c r="J251" s="2" t="inlineStr">
        <is>
          <t>Online</t>
        </is>
      </c>
      <c r="K251" s="2" t="n">
        <v>1</v>
      </c>
      <c r="L251" s="3" t="n">
        <v>1937.14</v>
      </c>
      <c r="M251" s="4" t="n">
        <v>0.05</v>
      </c>
      <c r="N251" s="3" t="n">
        <v>1470.01</v>
      </c>
      <c r="O251" s="3">
        <f>K251*L251*(1-M251)</f>
        <v/>
      </c>
      <c r="P251" s="3">
        <f>O251-N251</f>
        <v/>
      </c>
      <c r="Q251" s="5">
        <f>IFERROR(P251/O251,0)</f>
        <v/>
      </c>
      <c r="R251" s="2">
        <f>TEXT(DATEVALUE(B251),"mmm")</f>
        <v/>
      </c>
      <c r="S251" s="2">
        <f>TEXT(DATEVALUE(B251),"yyyy-mm")</f>
        <v/>
      </c>
    </row>
    <row r="252">
      <c r="A252" s="2" t="inlineStr">
        <is>
          <t>O004857</t>
        </is>
      </c>
      <c r="B252" s="2" t="inlineStr">
        <is>
          <t>2025-01-19</t>
        </is>
      </c>
      <c r="C252" s="2" t="inlineStr">
        <is>
          <t>C0407</t>
        </is>
      </c>
      <c r="D252" s="2" t="inlineStr">
        <is>
          <t>P0010</t>
        </is>
      </c>
      <c r="E252" s="2" t="inlineStr">
        <is>
          <t>Mixer Grinder</t>
        </is>
      </c>
      <c r="F252" s="2" t="inlineStr">
        <is>
          <t>Home &amp; Kitchen</t>
        </is>
      </c>
      <c r="G252" s="2" t="inlineStr">
        <is>
          <t>West</t>
        </is>
      </c>
      <c r="H252" s="2" t="inlineStr">
        <is>
          <t>Gujarat</t>
        </is>
      </c>
      <c r="I252" s="2" t="inlineStr">
        <is>
          <t>Ahmedabad</t>
        </is>
      </c>
      <c r="J252" s="2" t="inlineStr">
        <is>
          <t>Online</t>
        </is>
      </c>
      <c r="K252" s="2" t="n">
        <v>2</v>
      </c>
      <c r="L252" s="3" t="n">
        <v>1630.45</v>
      </c>
      <c r="M252" s="4" t="n">
        <v>0.15</v>
      </c>
      <c r="N252" s="3" t="n">
        <v>2112.37</v>
      </c>
      <c r="O252" s="3">
        <f>K252*L252*(1-M252)</f>
        <v/>
      </c>
      <c r="P252" s="3">
        <f>O252-N252</f>
        <v/>
      </c>
      <c r="Q252" s="5">
        <f>IFERROR(P252/O252,0)</f>
        <v/>
      </c>
      <c r="R252" s="2">
        <f>TEXT(DATEVALUE(B252),"mmm")</f>
        <v/>
      </c>
      <c r="S252" s="2">
        <f>TEXT(DATEVALUE(B252),"yyyy-mm")</f>
        <v/>
      </c>
    </row>
    <row r="253">
      <c r="A253" s="2" t="inlineStr">
        <is>
          <t>O004593</t>
        </is>
      </c>
      <c r="B253" s="2" t="inlineStr">
        <is>
          <t>2025-01-19</t>
        </is>
      </c>
      <c r="C253" s="2" t="inlineStr">
        <is>
          <t>C0034</t>
        </is>
      </c>
      <c r="D253" s="2" t="inlineStr">
        <is>
          <t>P0021</t>
        </is>
      </c>
      <c r="E253" s="2" t="inlineStr">
        <is>
          <t>Wallet</t>
        </is>
      </c>
      <c r="F253" s="2" t="inlineStr">
        <is>
          <t>Fashion</t>
        </is>
      </c>
      <c r="G253" s="2" t="inlineStr">
        <is>
          <t>East</t>
        </is>
      </c>
      <c r="H253" s="2" t="inlineStr">
        <is>
          <t>Bihar</t>
        </is>
      </c>
      <c r="I253" s="2" t="inlineStr">
        <is>
          <t>Gaya</t>
        </is>
      </c>
      <c r="J253" s="2" t="inlineStr">
        <is>
          <t>Store</t>
        </is>
      </c>
      <c r="K253" s="2" t="n">
        <v>2</v>
      </c>
      <c r="L253" s="3" t="n">
        <v>2059.49</v>
      </c>
      <c r="M253" s="4" t="n">
        <v>0</v>
      </c>
      <c r="N253" s="3" t="n">
        <v>2487.1</v>
      </c>
      <c r="O253" s="3">
        <f>K253*L253*(1-M253)</f>
        <v/>
      </c>
      <c r="P253" s="3">
        <f>O253-N253</f>
        <v/>
      </c>
      <c r="Q253" s="5">
        <f>IFERROR(P253/O253,0)</f>
        <v/>
      </c>
      <c r="R253" s="2">
        <f>TEXT(DATEVALUE(B253),"mmm")</f>
        <v/>
      </c>
      <c r="S253" s="2">
        <f>TEXT(DATEVALUE(B253),"yyyy-mm")</f>
        <v/>
      </c>
    </row>
    <row r="254">
      <c r="A254" s="2" t="inlineStr">
        <is>
          <t>O004280</t>
        </is>
      </c>
      <c r="B254" s="2" t="inlineStr">
        <is>
          <t>2025-01-19</t>
        </is>
      </c>
      <c r="C254" s="2" t="inlineStr">
        <is>
          <t>C0694</t>
        </is>
      </c>
      <c r="D254" s="2" t="inlineStr">
        <is>
          <t>P0009</t>
        </is>
      </c>
      <c r="E254" s="2" t="inlineStr">
        <is>
          <t>Electric Kettle</t>
        </is>
      </c>
      <c r="F254" s="2" t="inlineStr">
        <is>
          <t>Home &amp; Kitchen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Faridabad</t>
        </is>
      </c>
      <c r="J254" s="2" t="inlineStr">
        <is>
          <t>Online</t>
        </is>
      </c>
      <c r="K254" s="2" t="n">
        <v>2</v>
      </c>
      <c r="L254" s="3" t="n">
        <v>2166.03</v>
      </c>
      <c r="M254" s="4" t="n">
        <v>0</v>
      </c>
      <c r="N254" s="3" t="n">
        <v>2349.39</v>
      </c>
      <c r="O254" s="3">
        <f>K254*L254*(1-M254)</f>
        <v/>
      </c>
      <c r="P254" s="3">
        <f>O254-N254</f>
        <v/>
      </c>
      <c r="Q254" s="5">
        <f>IFERROR(P254/O254,0)</f>
        <v/>
      </c>
      <c r="R254" s="2">
        <f>TEXT(DATEVALUE(B254),"mmm")</f>
        <v/>
      </c>
      <c r="S254" s="2">
        <f>TEXT(DATEVALUE(B254),"yyyy-mm")</f>
        <v/>
      </c>
    </row>
    <row r="255">
      <c r="A255" s="2" t="inlineStr">
        <is>
          <t>O003962</t>
        </is>
      </c>
      <c r="B255" s="2" t="inlineStr">
        <is>
          <t>2025-01-19</t>
        </is>
      </c>
      <c r="C255" s="2" t="inlineStr">
        <is>
          <t>C0661</t>
        </is>
      </c>
      <c r="D255" s="2" t="inlineStr">
        <is>
          <t>P0021</t>
        </is>
      </c>
      <c r="E255" s="2" t="inlineStr">
        <is>
          <t>Wallet</t>
        </is>
      </c>
      <c r="F255" s="2" t="inlineStr">
        <is>
          <t>Fashion</t>
        </is>
      </c>
      <c r="G255" s="2" t="inlineStr">
        <is>
          <t>East</t>
        </is>
      </c>
      <c r="H255" s="2" t="inlineStr">
        <is>
          <t>West Bengal</t>
        </is>
      </c>
      <c r="I255" s="2" t="inlineStr">
        <is>
          <t>Durgapur</t>
        </is>
      </c>
      <c r="J255" s="2" t="inlineStr">
        <is>
          <t>Online</t>
        </is>
      </c>
      <c r="K255" s="2" t="n">
        <v>2</v>
      </c>
      <c r="L255" s="3" t="n">
        <v>1950.79</v>
      </c>
      <c r="M255" s="4" t="n">
        <v>0.15</v>
      </c>
      <c r="N255" s="3" t="n">
        <v>2404.2</v>
      </c>
      <c r="O255" s="3">
        <f>K255*L255*(1-M255)</f>
        <v/>
      </c>
      <c r="P255" s="3">
        <f>O255-N255</f>
        <v/>
      </c>
      <c r="Q255" s="5">
        <f>IFERROR(P255/O255,0)</f>
        <v/>
      </c>
      <c r="R255" s="2">
        <f>TEXT(DATEVALUE(B255),"mmm")</f>
        <v/>
      </c>
      <c r="S255" s="2">
        <f>TEXT(DATEVALUE(B255),"yyyy-mm")</f>
        <v/>
      </c>
    </row>
    <row r="256">
      <c r="A256" s="2" t="inlineStr">
        <is>
          <t>O003569</t>
        </is>
      </c>
      <c r="B256" s="2" t="inlineStr">
        <is>
          <t>2025-01-19</t>
        </is>
      </c>
      <c r="C256" s="2" t="inlineStr">
        <is>
          <t>C0106</t>
        </is>
      </c>
      <c r="D256" s="2" t="inlineStr">
        <is>
          <t>P0006</t>
        </is>
      </c>
      <c r="E256" s="2" t="inlineStr">
        <is>
          <t>Mechanical Keyboard</t>
        </is>
      </c>
      <c r="F256" s="2" t="inlineStr">
        <is>
          <t>Electronics</t>
        </is>
      </c>
      <c r="G256" s="2" t="inlineStr">
        <is>
          <t>South</t>
        </is>
      </c>
      <c r="H256" s="2" t="inlineStr">
        <is>
          <t>Tamil Nadu</t>
        </is>
      </c>
      <c r="I256" s="2" t="inlineStr">
        <is>
          <t>Coimbatore</t>
        </is>
      </c>
      <c r="J256" s="2" t="inlineStr">
        <is>
          <t>Store</t>
        </is>
      </c>
      <c r="K256" s="2" t="n">
        <v>4</v>
      </c>
      <c r="L256" s="3" t="n">
        <v>2806.87</v>
      </c>
      <c r="M256" s="4" t="n">
        <v>0.1</v>
      </c>
      <c r="N256" s="3" t="n">
        <v>5781.13</v>
      </c>
      <c r="O256" s="3">
        <f>K256*L256*(1-M256)</f>
        <v/>
      </c>
      <c r="P256" s="3">
        <f>O256-N256</f>
        <v/>
      </c>
      <c r="Q256" s="5">
        <f>IFERROR(P256/O256,0)</f>
        <v/>
      </c>
      <c r="R256" s="2">
        <f>TEXT(DATEVALUE(B256),"mmm")</f>
        <v/>
      </c>
      <c r="S256" s="2">
        <f>TEXT(DATEVALUE(B256),"yyyy-mm")</f>
        <v/>
      </c>
    </row>
    <row r="257">
      <c r="A257" s="2" t="inlineStr">
        <is>
          <t>O002757</t>
        </is>
      </c>
      <c r="B257" s="2" t="inlineStr">
        <is>
          <t>2025-01-19</t>
        </is>
      </c>
      <c r="C257" s="2" t="inlineStr">
        <is>
          <t>C0354</t>
        </is>
      </c>
      <c r="D257" s="2" t="inlineStr">
        <is>
          <t>P0007</t>
        </is>
      </c>
      <c r="E257" s="2" t="inlineStr">
        <is>
          <t>Wireless Mouse</t>
        </is>
      </c>
      <c r="F257" s="2" t="inlineStr">
        <is>
          <t>Electronics</t>
        </is>
      </c>
      <c r="G257" s="2" t="inlineStr">
        <is>
          <t>East</t>
        </is>
      </c>
      <c r="H257" s="2" t="inlineStr">
        <is>
          <t>Odisha</t>
        </is>
      </c>
      <c r="I257" s="2" t="inlineStr">
        <is>
          <t>Bhubaneswar</t>
        </is>
      </c>
      <c r="J257" s="2" t="inlineStr">
        <is>
          <t>Online</t>
        </is>
      </c>
      <c r="K257" s="2" t="n">
        <v>3</v>
      </c>
      <c r="L257" s="3" t="n">
        <v>980.72</v>
      </c>
      <c r="M257" s="4" t="n">
        <v>0.15</v>
      </c>
      <c r="N257" s="3" t="n">
        <v>1859.51</v>
      </c>
      <c r="O257" s="3">
        <f>K257*L257*(1-M257)</f>
        <v/>
      </c>
      <c r="P257" s="3">
        <f>O257-N257</f>
        <v/>
      </c>
      <c r="Q257" s="5">
        <f>IFERROR(P257/O257,0)</f>
        <v/>
      </c>
      <c r="R257" s="2">
        <f>TEXT(DATEVALUE(B257),"mmm")</f>
        <v/>
      </c>
      <c r="S257" s="2">
        <f>TEXT(DATEVALUE(B257),"yyyy-mm")</f>
        <v/>
      </c>
    </row>
    <row r="258">
      <c r="A258" s="2" t="inlineStr">
        <is>
          <t>O001227</t>
        </is>
      </c>
      <c r="B258" s="2" t="inlineStr">
        <is>
          <t>2025-01-19</t>
        </is>
      </c>
      <c r="C258" s="2" t="inlineStr">
        <is>
          <t>C0753</t>
        </is>
      </c>
      <c r="D258" s="2" t="inlineStr">
        <is>
          <t>P0007</t>
        </is>
      </c>
      <c r="E258" s="2" t="inlineStr">
        <is>
          <t>Wireless Mouse</t>
        </is>
      </c>
      <c r="F258" s="2" t="inlineStr">
        <is>
          <t>Electronics</t>
        </is>
      </c>
      <c r="G258" s="2" t="inlineStr">
        <is>
          <t>West</t>
        </is>
      </c>
      <c r="H258" s="2" t="inlineStr">
        <is>
          <t>Maharashtra</t>
        </is>
      </c>
      <c r="I258" s="2" t="inlineStr">
        <is>
          <t>Pune</t>
        </is>
      </c>
      <c r="J258" s="2" t="inlineStr">
        <is>
          <t>Online</t>
        </is>
      </c>
      <c r="K258" s="2" t="n">
        <v>3</v>
      </c>
      <c r="L258" s="3" t="n">
        <v>941.42</v>
      </c>
      <c r="M258" s="4" t="n">
        <v>0.15</v>
      </c>
      <c r="N258" s="3" t="n">
        <v>1866.01</v>
      </c>
      <c r="O258" s="3">
        <f>K258*L258*(1-M258)</f>
        <v/>
      </c>
      <c r="P258" s="3">
        <f>O258-N258</f>
        <v/>
      </c>
      <c r="Q258" s="5">
        <f>IFERROR(P258/O258,0)</f>
        <v/>
      </c>
      <c r="R258" s="2">
        <f>TEXT(DATEVALUE(B258),"mmm")</f>
        <v/>
      </c>
      <c r="S258" s="2">
        <f>TEXT(DATEVALUE(B258),"yyyy-mm")</f>
        <v/>
      </c>
    </row>
    <row r="259">
      <c r="A259" s="2" t="inlineStr">
        <is>
          <t>O002260</t>
        </is>
      </c>
      <c r="B259" s="2" t="inlineStr">
        <is>
          <t>2025-01-19</t>
        </is>
      </c>
      <c r="C259" s="2" t="inlineStr">
        <is>
          <t>C0438</t>
        </is>
      </c>
      <c r="D259" s="2" t="inlineStr">
        <is>
          <t>P0021</t>
        </is>
      </c>
      <c r="E259" s="2" t="inlineStr">
        <is>
          <t>Wallet</t>
        </is>
      </c>
      <c r="F259" s="2" t="inlineStr">
        <is>
          <t>Fashion</t>
        </is>
      </c>
      <c r="G259" s="2" t="inlineStr">
        <is>
          <t>North</t>
        </is>
      </c>
      <c r="H259" s="2" t="inlineStr">
        <is>
          <t>Delhi</t>
        </is>
      </c>
      <c r="I259" s="2" t="inlineStr">
        <is>
          <t>New Delhi</t>
        </is>
      </c>
      <c r="J259" s="2" t="inlineStr">
        <is>
          <t>Store</t>
        </is>
      </c>
      <c r="K259" s="2" t="n">
        <v>4</v>
      </c>
      <c r="L259" s="3" t="n">
        <v>1987.31</v>
      </c>
      <c r="M259" s="4" t="n">
        <v>0.15</v>
      </c>
      <c r="N259" s="3" t="n">
        <v>4883.62</v>
      </c>
      <c r="O259" s="3">
        <f>K259*L259*(1-M259)</f>
        <v/>
      </c>
      <c r="P259" s="3">
        <f>O259-N259</f>
        <v/>
      </c>
      <c r="Q259" s="5">
        <f>IFERROR(P259/O259,0)</f>
        <v/>
      </c>
      <c r="R259" s="2">
        <f>TEXT(DATEVALUE(B259),"mmm")</f>
        <v/>
      </c>
      <c r="S259" s="2">
        <f>TEXT(DATEVALUE(B259),"yyyy-mm")</f>
        <v/>
      </c>
    </row>
    <row r="260">
      <c r="A260" s="2" t="inlineStr">
        <is>
          <t>O002220</t>
        </is>
      </c>
      <c r="B260" s="2" t="inlineStr">
        <is>
          <t>2025-01-19</t>
        </is>
      </c>
      <c r="C260" s="2" t="inlineStr">
        <is>
          <t>C0697</t>
        </is>
      </c>
      <c r="D260" s="2" t="inlineStr">
        <is>
          <t>P0014</t>
        </is>
      </c>
      <c r="E260" s="2" t="inlineStr">
        <is>
          <t>Coffee Maker</t>
        </is>
      </c>
      <c r="F260" s="2" t="inlineStr">
        <is>
          <t>Home &amp; Kitchen</t>
        </is>
      </c>
      <c r="G260" s="2" t="inlineStr">
        <is>
          <t>East</t>
        </is>
      </c>
      <c r="H260" s="2" t="inlineStr">
        <is>
          <t>Odisha</t>
        </is>
      </c>
      <c r="I260" s="2" t="inlineStr">
        <is>
          <t>Cuttack</t>
        </is>
      </c>
      <c r="J260" s="2" t="inlineStr">
        <is>
          <t>Store</t>
        </is>
      </c>
      <c r="K260" s="2" t="n">
        <v>1</v>
      </c>
      <c r="L260" s="3" t="n">
        <v>1021.92</v>
      </c>
      <c r="M260" s="4" t="n">
        <v>0.05</v>
      </c>
      <c r="N260" s="3" t="n">
        <v>759.23</v>
      </c>
      <c r="O260" s="3">
        <f>K260*L260*(1-M260)</f>
        <v/>
      </c>
      <c r="P260" s="3">
        <f>O260-N260</f>
        <v/>
      </c>
      <c r="Q260" s="5">
        <f>IFERROR(P260/O260,0)</f>
        <v/>
      </c>
      <c r="R260" s="2">
        <f>TEXT(DATEVALUE(B260),"mmm")</f>
        <v/>
      </c>
      <c r="S260" s="2">
        <f>TEXT(DATEVALUE(B260),"yyyy-mm")</f>
        <v/>
      </c>
    </row>
    <row r="261">
      <c r="A261" s="2" t="inlineStr">
        <is>
          <t>O002098</t>
        </is>
      </c>
      <c r="B261" s="2" t="inlineStr">
        <is>
          <t>2025-01-19</t>
        </is>
      </c>
      <c r="C261" s="2" t="inlineStr">
        <is>
          <t>C0734</t>
        </is>
      </c>
      <c r="D261" s="2" t="inlineStr">
        <is>
          <t>P0035</t>
        </is>
      </c>
      <c r="E261" s="2" t="inlineStr">
        <is>
          <t>Skipping Rope</t>
        </is>
      </c>
      <c r="F261" s="2" t="inlineStr">
        <is>
          <t>Sports</t>
        </is>
      </c>
      <c r="G261" s="2" t="inlineStr">
        <is>
          <t>North</t>
        </is>
      </c>
      <c r="H261" s="2" t="inlineStr">
        <is>
          <t>Punjab</t>
        </is>
      </c>
      <c r="I261" s="2" t="inlineStr">
        <is>
          <t>Jalandhar</t>
        </is>
      </c>
      <c r="J261" s="2" t="inlineStr">
        <is>
          <t>Online</t>
        </is>
      </c>
      <c r="K261" s="2" t="n">
        <v>2</v>
      </c>
      <c r="L261" s="3" t="n">
        <v>734.67</v>
      </c>
      <c r="M261" s="4" t="n">
        <v>0.15</v>
      </c>
      <c r="N261" s="3" t="n">
        <v>800.36</v>
      </c>
      <c r="O261" s="3">
        <f>K261*L261*(1-M261)</f>
        <v/>
      </c>
      <c r="P261" s="3">
        <f>O261-N261</f>
        <v/>
      </c>
      <c r="Q261" s="5">
        <f>IFERROR(P261/O261,0)</f>
        <v/>
      </c>
      <c r="R261" s="2">
        <f>TEXT(DATEVALUE(B261),"mmm")</f>
        <v/>
      </c>
      <c r="S261" s="2">
        <f>TEXT(DATEVALUE(B261),"yyyy-mm")</f>
        <v/>
      </c>
    </row>
    <row r="262">
      <c r="A262" s="2" t="inlineStr">
        <is>
          <t>O000637</t>
        </is>
      </c>
      <c r="B262" s="2" t="inlineStr">
        <is>
          <t>2025-01-19</t>
        </is>
      </c>
      <c r="C262" s="2" t="inlineStr">
        <is>
          <t>C0014</t>
        </is>
      </c>
      <c r="D262" s="2" t="inlineStr">
        <is>
          <t>P0007</t>
        </is>
      </c>
      <c r="E262" s="2" t="inlineStr">
        <is>
          <t>Wireless Mouse</t>
        </is>
      </c>
      <c r="F262" s="2" t="inlineStr">
        <is>
          <t>Electronics</t>
        </is>
      </c>
      <c r="G262" s="2" t="inlineStr">
        <is>
          <t>South</t>
        </is>
      </c>
      <c r="H262" s="2" t="inlineStr">
        <is>
          <t>Telangana</t>
        </is>
      </c>
      <c r="I262" s="2" t="inlineStr">
        <is>
          <t>Hyderabad</t>
        </is>
      </c>
      <c r="J262" s="2" t="inlineStr">
        <is>
          <t>Online</t>
        </is>
      </c>
      <c r="K262" s="2" t="n">
        <v>3</v>
      </c>
      <c r="L262" s="3" t="n">
        <v>1005.45</v>
      </c>
      <c r="M262" s="4" t="n">
        <v>0</v>
      </c>
      <c r="N262" s="3" t="n">
        <v>1882.98</v>
      </c>
      <c r="O262" s="3">
        <f>K262*L262*(1-M262)</f>
        <v/>
      </c>
      <c r="P262" s="3">
        <f>O262-N262</f>
        <v/>
      </c>
      <c r="Q262" s="5">
        <f>IFERROR(P262/O262,0)</f>
        <v/>
      </c>
      <c r="R262" s="2">
        <f>TEXT(DATEVALUE(B262),"mmm")</f>
        <v/>
      </c>
      <c r="S262" s="2">
        <f>TEXT(DATEVALUE(B262),"yyyy-mm")</f>
        <v/>
      </c>
    </row>
    <row r="263">
      <c r="A263" s="2" t="inlineStr">
        <is>
          <t>O000567</t>
        </is>
      </c>
      <c r="B263" s="2" t="inlineStr">
        <is>
          <t>2025-01-19</t>
        </is>
      </c>
      <c r="C263" s="2" t="inlineStr">
        <is>
          <t>C0667</t>
        </is>
      </c>
      <c r="D263" s="2" t="inlineStr">
        <is>
          <t>P0017</t>
        </is>
      </c>
      <c r="E263" s="2" t="inlineStr">
        <is>
          <t>Jeans</t>
        </is>
      </c>
      <c r="F263" s="2" t="inlineStr">
        <is>
          <t>Fashion</t>
        </is>
      </c>
      <c r="G263" s="2" t="inlineStr">
        <is>
          <t>West</t>
        </is>
      </c>
      <c r="H263" s="2" t="inlineStr">
        <is>
          <t>Gujarat</t>
        </is>
      </c>
      <c r="I263" s="2" t="inlineStr">
        <is>
          <t>Vadodara</t>
        </is>
      </c>
      <c r="J263" s="2" t="inlineStr">
        <is>
          <t>Store</t>
        </is>
      </c>
      <c r="K263" s="2" t="n">
        <v>2</v>
      </c>
      <c r="L263" s="3" t="n">
        <v>1441.56</v>
      </c>
      <c r="M263" s="4" t="n">
        <v>0.05</v>
      </c>
      <c r="N263" s="3" t="n">
        <v>2025.66</v>
      </c>
      <c r="O263" s="3">
        <f>K263*L263*(1-M263)</f>
        <v/>
      </c>
      <c r="P263" s="3">
        <f>O263-N263</f>
        <v/>
      </c>
      <c r="Q263" s="5">
        <f>IFERROR(P263/O263,0)</f>
        <v/>
      </c>
      <c r="R263" s="2">
        <f>TEXT(DATEVALUE(B263),"mmm")</f>
        <v/>
      </c>
      <c r="S263" s="2">
        <f>TEXT(DATEVALUE(B263),"yyyy-mm")</f>
        <v/>
      </c>
    </row>
    <row r="264">
      <c r="A264" s="2" t="inlineStr">
        <is>
          <t>O002661</t>
        </is>
      </c>
      <c r="B264" s="2" t="inlineStr">
        <is>
          <t>2025-01-19</t>
        </is>
      </c>
      <c r="C264" s="2" t="inlineStr">
        <is>
          <t>C0589</t>
        </is>
      </c>
      <c r="D264" s="2" t="inlineStr">
        <is>
          <t>P0012</t>
        </is>
      </c>
      <c r="E264" s="2" t="inlineStr">
        <is>
          <t>Water Bottle</t>
        </is>
      </c>
      <c r="F264" s="2" t="inlineStr">
        <is>
          <t>Home &amp; Kitchen</t>
        </is>
      </c>
      <c r="G264" s="2" t="inlineStr">
        <is>
          <t>East</t>
        </is>
      </c>
      <c r="H264" s="2" t="inlineStr">
        <is>
          <t>West Bengal</t>
        </is>
      </c>
      <c r="I264" s="2" t="inlineStr">
        <is>
          <t>Durgapur</t>
        </is>
      </c>
      <c r="J264" s="2" t="inlineStr">
        <is>
          <t>Store</t>
        </is>
      </c>
      <c r="K264" s="2" t="n">
        <v>1</v>
      </c>
      <c r="L264" s="3" t="n">
        <v>931.4</v>
      </c>
      <c r="M264" s="4" t="n">
        <v>0.1</v>
      </c>
      <c r="N264" s="3" t="n">
        <v>637.73</v>
      </c>
      <c r="O264" s="3">
        <f>K264*L264*(1-M264)</f>
        <v/>
      </c>
      <c r="P264" s="3">
        <f>O264-N264</f>
        <v/>
      </c>
      <c r="Q264" s="5">
        <f>IFERROR(P264/O264,0)</f>
        <v/>
      </c>
      <c r="R264" s="2">
        <f>TEXT(DATEVALUE(B264),"mmm")</f>
        <v/>
      </c>
      <c r="S264" s="2">
        <f>TEXT(DATEVALUE(B264),"yyyy-mm")</f>
        <v/>
      </c>
    </row>
    <row r="265">
      <c r="A265" s="2" t="inlineStr">
        <is>
          <t>O002712</t>
        </is>
      </c>
      <c r="B265" s="2" t="inlineStr">
        <is>
          <t>2025-01-20</t>
        </is>
      </c>
      <c r="C265" s="2" t="inlineStr">
        <is>
          <t>C0700</t>
        </is>
      </c>
      <c r="D265" s="2" t="inlineStr">
        <is>
          <t>P0014</t>
        </is>
      </c>
      <c r="E265" s="2" t="inlineStr">
        <is>
          <t>Coffee Maker</t>
        </is>
      </c>
      <c r="F265" s="2" t="inlineStr">
        <is>
          <t>Home &amp; Kitchen</t>
        </is>
      </c>
      <c r="G265" s="2" t="inlineStr">
        <is>
          <t>East</t>
        </is>
      </c>
      <c r="H265" s="2" t="inlineStr">
        <is>
          <t>Odisha</t>
        </is>
      </c>
      <c r="I265" s="2" t="inlineStr">
        <is>
          <t>Cuttack</t>
        </is>
      </c>
      <c r="J265" s="2" t="inlineStr">
        <is>
          <t>Online</t>
        </is>
      </c>
      <c r="K265" s="2" t="n">
        <v>2</v>
      </c>
      <c r="L265" s="3" t="n">
        <v>1068.5</v>
      </c>
      <c r="M265" s="4" t="n">
        <v>0.15</v>
      </c>
      <c r="N265" s="3" t="n">
        <v>1568.83</v>
      </c>
      <c r="O265" s="3">
        <f>K265*L265*(1-M265)</f>
        <v/>
      </c>
      <c r="P265" s="3">
        <f>O265-N265</f>
        <v/>
      </c>
      <c r="Q265" s="5">
        <f>IFERROR(P265/O265,0)</f>
        <v/>
      </c>
      <c r="R265" s="2">
        <f>TEXT(DATEVALUE(B265),"mmm")</f>
        <v/>
      </c>
      <c r="S265" s="2">
        <f>TEXT(DATEVALUE(B265),"yyyy-mm")</f>
        <v/>
      </c>
    </row>
    <row r="266">
      <c r="A266" s="2" t="inlineStr">
        <is>
          <t>O004681</t>
        </is>
      </c>
      <c r="B266" s="2" t="inlineStr">
        <is>
          <t>2025-01-20</t>
        </is>
      </c>
      <c r="C266" s="2" t="inlineStr">
        <is>
          <t>C0049</t>
        </is>
      </c>
      <c r="D266" s="2" t="inlineStr">
        <is>
          <t>P0005</t>
        </is>
      </c>
      <c r="E266" s="2" t="inlineStr">
        <is>
          <t>Power Bank</t>
        </is>
      </c>
      <c r="F266" s="2" t="inlineStr">
        <is>
          <t>Electronics</t>
        </is>
      </c>
      <c r="G266" s="2" t="inlineStr">
        <is>
          <t>North</t>
        </is>
      </c>
      <c r="H266" s="2" t="inlineStr">
        <is>
          <t>Punjab</t>
        </is>
      </c>
      <c r="I266" s="2" t="inlineStr">
        <is>
          <t>Amritsar</t>
        </is>
      </c>
      <c r="J266" s="2" t="inlineStr">
        <is>
          <t>Online</t>
        </is>
      </c>
      <c r="K266" s="2" t="n">
        <v>4</v>
      </c>
      <c r="L266" s="3" t="n">
        <v>1109.83</v>
      </c>
      <c r="M266" s="4" t="n">
        <v>0.05</v>
      </c>
      <c r="N266" s="3" t="n">
        <v>2761.66</v>
      </c>
      <c r="O266" s="3">
        <f>K266*L266*(1-M266)</f>
        <v/>
      </c>
      <c r="P266" s="3">
        <f>O266-N266</f>
        <v/>
      </c>
      <c r="Q266" s="5">
        <f>IFERROR(P266/O266,0)</f>
        <v/>
      </c>
      <c r="R266" s="2">
        <f>TEXT(DATEVALUE(B266),"mmm")</f>
        <v/>
      </c>
      <c r="S266" s="2">
        <f>TEXT(DATEVALUE(B266),"yyyy-mm")</f>
        <v/>
      </c>
    </row>
    <row r="267">
      <c r="A267" s="2" t="inlineStr">
        <is>
          <t>O004335</t>
        </is>
      </c>
      <c r="B267" s="2" t="inlineStr">
        <is>
          <t>2025-01-20</t>
        </is>
      </c>
      <c r="C267" s="2" t="inlineStr">
        <is>
          <t>C0005</t>
        </is>
      </c>
      <c r="D267" s="2" t="inlineStr">
        <is>
          <t>P0007</t>
        </is>
      </c>
      <c r="E267" s="2" t="inlineStr">
        <is>
          <t>Wireless Mouse</t>
        </is>
      </c>
      <c r="F267" s="2" t="inlineStr">
        <is>
          <t>Electronics</t>
        </is>
      </c>
      <c r="G267" s="2" t="inlineStr">
        <is>
          <t>West</t>
        </is>
      </c>
      <c r="H267" s="2" t="inlineStr">
        <is>
          <t>Goa</t>
        </is>
      </c>
      <c r="I267" s="2" t="inlineStr">
        <is>
          <t>Margao</t>
        </is>
      </c>
      <c r="J267" s="2" t="inlineStr">
        <is>
          <t>Store</t>
        </is>
      </c>
      <c r="K267" s="2" t="n">
        <v>4</v>
      </c>
      <c r="L267" s="3" t="n">
        <v>949.71</v>
      </c>
      <c r="M267" s="4" t="n">
        <v>0.1</v>
      </c>
      <c r="N267" s="3" t="n">
        <v>2439.95</v>
      </c>
      <c r="O267" s="3">
        <f>K267*L267*(1-M267)</f>
        <v/>
      </c>
      <c r="P267" s="3">
        <f>O267-N267</f>
        <v/>
      </c>
      <c r="Q267" s="5">
        <f>IFERROR(P267/O267,0)</f>
        <v/>
      </c>
      <c r="R267" s="2">
        <f>TEXT(DATEVALUE(B267),"mmm")</f>
        <v/>
      </c>
      <c r="S267" s="2">
        <f>TEXT(DATEVALUE(B267),"yyyy-mm")</f>
        <v/>
      </c>
    </row>
    <row r="268">
      <c r="A268" s="2" t="inlineStr">
        <is>
          <t>O003497</t>
        </is>
      </c>
      <c r="B268" s="2" t="inlineStr">
        <is>
          <t>2025-01-20</t>
        </is>
      </c>
      <c r="C268" s="2" t="inlineStr">
        <is>
          <t>C0247</t>
        </is>
      </c>
      <c r="D268" s="2" t="inlineStr">
        <is>
          <t>P0024</t>
        </is>
      </c>
      <c r="E268" s="2" t="inlineStr">
        <is>
          <t>Hair Dryer</t>
        </is>
      </c>
      <c r="F268" s="2" t="inlineStr">
        <is>
          <t>Beauty</t>
        </is>
      </c>
      <c r="G268" s="2" t="inlineStr">
        <is>
          <t>South</t>
        </is>
      </c>
      <c r="H268" s="2" t="inlineStr">
        <is>
          <t>Telangana</t>
        </is>
      </c>
      <c r="I268" s="2" t="inlineStr">
        <is>
          <t>Hyderabad</t>
        </is>
      </c>
      <c r="J268" s="2" t="inlineStr">
        <is>
          <t>Store</t>
        </is>
      </c>
      <c r="K268" s="2" t="n">
        <v>3</v>
      </c>
      <c r="L268" s="3" t="n">
        <v>1041.35</v>
      </c>
      <c r="M268" s="4" t="n">
        <v>0.15</v>
      </c>
      <c r="N268" s="3" t="n">
        <v>2185.49</v>
      </c>
      <c r="O268" s="3">
        <f>K268*L268*(1-M268)</f>
        <v/>
      </c>
      <c r="P268" s="3">
        <f>O268-N268</f>
        <v/>
      </c>
      <c r="Q268" s="5">
        <f>IFERROR(P268/O268,0)</f>
        <v/>
      </c>
      <c r="R268" s="2">
        <f>TEXT(DATEVALUE(B268),"mmm")</f>
        <v/>
      </c>
      <c r="S268" s="2">
        <f>TEXT(DATEVALUE(B268),"yyyy-mm")</f>
        <v/>
      </c>
    </row>
    <row r="269">
      <c r="A269" s="2" t="inlineStr">
        <is>
          <t>O004916</t>
        </is>
      </c>
      <c r="B269" s="2" t="inlineStr">
        <is>
          <t>2025-01-20</t>
        </is>
      </c>
      <c r="C269" s="2" t="inlineStr">
        <is>
          <t>C0400</t>
        </is>
      </c>
      <c r="D269" s="2" t="inlineStr">
        <is>
          <t>P0030</t>
        </is>
      </c>
      <c r="E269" s="2" t="inlineStr">
        <is>
          <t>Dumbbells</t>
        </is>
      </c>
      <c r="F269" s="2" t="inlineStr">
        <is>
          <t>Sports</t>
        </is>
      </c>
      <c r="G269" s="2" t="inlineStr">
        <is>
          <t>North</t>
        </is>
      </c>
      <c r="H269" s="2" t="inlineStr">
        <is>
          <t>Haryana</t>
        </is>
      </c>
      <c r="I269" s="2" t="inlineStr">
        <is>
          <t>Faridabad</t>
        </is>
      </c>
      <c r="J269" s="2" t="inlineStr">
        <is>
          <t>Store</t>
        </is>
      </c>
      <c r="K269" s="2" t="n">
        <v>3</v>
      </c>
      <c r="L269" s="3" t="n">
        <v>1583.24</v>
      </c>
      <c r="M269" s="4" t="n">
        <v>0.05</v>
      </c>
      <c r="N269" s="3" t="n">
        <v>3070.79</v>
      </c>
      <c r="O269" s="3">
        <f>K269*L269*(1-M269)</f>
        <v/>
      </c>
      <c r="P269" s="3">
        <f>O269-N269</f>
        <v/>
      </c>
      <c r="Q269" s="5">
        <f>IFERROR(P269/O269,0)</f>
        <v/>
      </c>
      <c r="R269" s="2">
        <f>TEXT(DATEVALUE(B269),"mmm")</f>
        <v/>
      </c>
      <c r="S269" s="2">
        <f>TEXT(DATEVALUE(B269),"yyyy-mm")</f>
        <v/>
      </c>
    </row>
    <row r="270">
      <c r="A270" s="2" t="inlineStr">
        <is>
          <t>O002725</t>
        </is>
      </c>
      <c r="B270" s="2" t="inlineStr">
        <is>
          <t>2025-01-20</t>
        </is>
      </c>
      <c r="C270" s="2" t="inlineStr">
        <is>
          <t>C0632</t>
        </is>
      </c>
      <c r="D270" s="2" t="inlineStr">
        <is>
          <t>P0021</t>
        </is>
      </c>
      <c r="E270" s="2" t="inlineStr">
        <is>
          <t>Wallet</t>
        </is>
      </c>
      <c r="F270" s="2" t="inlineStr">
        <is>
          <t>Fashion</t>
        </is>
      </c>
      <c r="G270" s="2" t="inlineStr">
        <is>
          <t>East</t>
        </is>
      </c>
      <c r="H270" s="2" t="inlineStr">
        <is>
          <t>West Bengal</t>
        </is>
      </c>
      <c r="I270" s="2" t="inlineStr">
        <is>
          <t>Durgapur</t>
        </is>
      </c>
      <c r="J270" s="2" t="inlineStr">
        <is>
          <t>Store</t>
        </is>
      </c>
      <c r="K270" s="2" t="n">
        <v>1</v>
      </c>
      <c r="L270" s="3" t="n">
        <v>1934.72</v>
      </c>
      <c r="M270" s="4" t="n">
        <v>0.1</v>
      </c>
      <c r="N270" s="3" t="n">
        <v>1240.77</v>
      </c>
      <c r="O270" s="3">
        <f>K270*L270*(1-M270)</f>
        <v/>
      </c>
      <c r="P270" s="3">
        <f>O270-N270</f>
        <v/>
      </c>
      <c r="Q270" s="5">
        <f>IFERROR(P270/O270,0)</f>
        <v/>
      </c>
      <c r="R270" s="2">
        <f>TEXT(DATEVALUE(B270),"mmm")</f>
        <v/>
      </c>
      <c r="S270" s="2">
        <f>TEXT(DATEVALUE(B270),"yyyy-mm")</f>
        <v/>
      </c>
    </row>
    <row r="271">
      <c r="A271" s="2" t="inlineStr">
        <is>
          <t>O002700</t>
        </is>
      </c>
      <c r="B271" s="2" t="inlineStr">
        <is>
          <t>2025-01-20</t>
        </is>
      </c>
      <c r="C271" s="2" t="inlineStr">
        <is>
          <t>C0216</t>
        </is>
      </c>
      <c r="D271" s="2" t="inlineStr">
        <is>
          <t>P0004</t>
        </is>
      </c>
      <c r="E271" s="2" t="inlineStr">
        <is>
          <t>USB-C Hub</t>
        </is>
      </c>
      <c r="F271" s="2" t="inlineStr">
        <is>
          <t>Electronics</t>
        </is>
      </c>
      <c r="G271" s="2" t="inlineStr">
        <is>
          <t>East</t>
        </is>
      </c>
      <c r="H271" s="2" t="inlineStr">
        <is>
          <t>Odisha</t>
        </is>
      </c>
      <c r="I271" s="2" t="inlineStr">
        <is>
          <t>Cuttack</t>
        </is>
      </c>
      <c r="J271" s="2" t="inlineStr">
        <is>
          <t>Online</t>
        </is>
      </c>
      <c r="K271" s="2" t="n">
        <v>4</v>
      </c>
      <c r="L271" s="3" t="n">
        <v>1260.18</v>
      </c>
      <c r="M271" s="4" t="n">
        <v>0.05</v>
      </c>
      <c r="N271" s="3" t="n">
        <v>3579.88</v>
      </c>
      <c r="O271" s="3">
        <f>K271*L271*(1-M271)</f>
        <v/>
      </c>
      <c r="P271" s="3">
        <f>O271-N271</f>
        <v/>
      </c>
      <c r="Q271" s="5">
        <f>IFERROR(P271/O271,0)</f>
        <v/>
      </c>
      <c r="R271" s="2">
        <f>TEXT(DATEVALUE(B271),"mmm")</f>
        <v/>
      </c>
      <c r="S271" s="2">
        <f>TEXT(DATEVALUE(B271),"yyyy-mm")</f>
        <v/>
      </c>
    </row>
    <row r="272">
      <c r="A272" s="2" t="inlineStr">
        <is>
          <t>O002934</t>
        </is>
      </c>
      <c r="B272" s="2" t="inlineStr">
        <is>
          <t>2025-01-20</t>
        </is>
      </c>
      <c r="C272" s="2" t="inlineStr">
        <is>
          <t>C0319</t>
        </is>
      </c>
      <c r="D272" s="2" t="inlineStr">
        <is>
          <t>P0018</t>
        </is>
      </c>
      <c r="E272" s="2" t="inlineStr">
        <is>
          <t>Backpack</t>
        </is>
      </c>
      <c r="F272" s="2" t="inlineStr">
        <is>
          <t>Fashion</t>
        </is>
      </c>
      <c r="G272" s="2" t="inlineStr">
        <is>
          <t>South</t>
        </is>
      </c>
      <c r="H272" s="2" t="inlineStr">
        <is>
          <t>Kerala</t>
        </is>
      </c>
      <c r="I272" s="2" t="inlineStr">
        <is>
          <t>Kochi</t>
        </is>
      </c>
      <c r="J272" s="2" t="inlineStr">
        <is>
          <t>Online</t>
        </is>
      </c>
      <c r="K272" s="2" t="n">
        <v>1</v>
      </c>
      <c r="L272" s="3" t="n">
        <v>1762.49</v>
      </c>
      <c r="M272" s="4" t="n">
        <v>0.15</v>
      </c>
      <c r="N272" s="3" t="n">
        <v>1378.13</v>
      </c>
      <c r="O272" s="3">
        <f>K272*L272*(1-M272)</f>
        <v/>
      </c>
      <c r="P272" s="3">
        <f>O272-N272</f>
        <v/>
      </c>
      <c r="Q272" s="5">
        <f>IFERROR(P272/O272,0)</f>
        <v/>
      </c>
      <c r="R272" s="2">
        <f>TEXT(DATEVALUE(B272),"mmm")</f>
        <v/>
      </c>
      <c r="S272" s="2">
        <f>TEXT(DATEVALUE(B272),"yyyy-mm")</f>
        <v/>
      </c>
    </row>
    <row r="273">
      <c r="A273" s="2" t="inlineStr">
        <is>
          <t>O002008</t>
        </is>
      </c>
      <c r="B273" s="2" t="inlineStr">
        <is>
          <t>2025-01-20</t>
        </is>
      </c>
      <c r="C273" s="2" t="inlineStr">
        <is>
          <t>C0480</t>
        </is>
      </c>
      <c r="D273" s="2" t="inlineStr">
        <is>
          <t>P0011</t>
        </is>
      </c>
      <c r="E273" s="2" t="inlineStr">
        <is>
          <t>Cookware Set</t>
        </is>
      </c>
      <c r="F273" s="2" t="inlineStr">
        <is>
          <t>Home &amp; Kitchen</t>
        </is>
      </c>
      <c r="G273" s="2" t="inlineStr">
        <is>
          <t>North</t>
        </is>
      </c>
      <c r="H273" s="2" t="inlineStr">
        <is>
          <t>Uttar Pradesh</t>
        </is>
      </c>
      <c r="I273" s="2" t="inlineStr">
        <is>
          <t>Lucknow</t>
        </is>
      </c>
      <c r="J273" s="2" t="inlineStr">
        <is>
          <t>Store</t>
        </is>
      </c>
      <c r="K273" s="2" t="n">
        <v>5</v>
      </c>
      <c r="L273" s="3" t="n">
        <v>717.71</v>
      </c>
      <c r="M273" s="4" t="n">
        <v>0.05</v>
      </c>
      <c r="N273" s="3" t="n">
        <v>2344.21</v>
      </c>
      <c r="O273" s="3">
        <f>K273*L273*(1-M273)</f>
        <v/>
      </c>
      <c r="P273" s="3">
        <f>O273-N273</f>
        <v/>
      </c>
      <c r="Q273" s="5">
        <f>IFERROR(P273/O273,0)</f>
        <v/>
      </c>
      <c r="R273" s="2">
        <f>TEXT(DATEVALUE(B273),"mmm")</f>
        <v/>
      </c>
      <c r="S273" s="2">
        <f>TEXT(DATEVALUE(B273),"yyyy-mm")</f>
        <v/>
      </c>
    </row>
    <row r="274">
      <c r="A274" s="2" t="inlineStr">
        <is>
          <t>O001915</t>
        </is>
      </c>
      <c r="B274" s="2" t="inlineStr">
        <is>
          <t>2025-01-20</t>
        </is>
      </c>
      <c r="C274" s="2" t="inlineStr">
        <is>
          <t>C0536</t>
        </is>
      </c>
      <c r="D274" s="2" t="inlineStr">
        <is>
          <t>P0011</t>
        </is>
      </c>
      <c r="E274" s="2" t="inlineStr">
        <is>
          <t>Cookware Set</t>
        </is>
      </c>
      <c r="F274" s="2" t="inlineStr">
        <is>
          <t>Home &amp; Kitchen</t>
        </is>
      </c>
      <c r="G274" s="2" t="inlineStr">
        <is>
          <t>West</t>
        </is>
      </c>
      <c r="H274" s="2" t="inlineStr">
        <is>
          <t>Goa</t>
        </is>
      </c>
      <c r="I274" s="2" t="inlineStr">
        <is>
          <t>Panaji</t>
        </is>
      </c>
      <c r="J274" s="2" t="inlineStr">
        <is>
          <t>Store</t>
        </is>
      </c>
      <c r="K274" s="2" t="n">
        <v>2</v>
      </c>
      <c r="L274" s="3" t="n">
        <v>732.8099999999999</v>
      </c>
      <c r="M274" s="4" t="n">
        <v>0</v>
      </c>
      <c r="N274" s="3" t="n">
        <v>967.98</v>
      </c>
      <c r="O274" s="3">
        <f>K274*L274*(1-M274)</f>
        <v/>
      </c>
      <c r="P274" s="3">
        <f>O274-N274</f>
        <v/>
      </c>
      <c r="Q274" s="5">
        <f>IFERROR(P274/O274,0)</f>
        <v/>
      </c>
      <c r="R274" s="2">
        <f>TEXT(DATEVALUE(B274),"mmm")</f>
        <v/>
      </c>
      <c r="S274" s="2">
        <f>TEXT(DATEVALUE(B274),"yyyy-mm")</f>
        <v/>
      </c>
    </row>
    <row r="275">
      <c r="A275" s="2" t="inlineStr">
        <is>
          <t>O001570</t>
        </is>
      </c>
      <c r="B275" s="2" t="inlineStr">
        <is>
          <t>2025-01-20</t>
        </is>
      </c>
      <c r="C275" s="2" t="inlineStr">
        <is>
          <t>C0037</t>
        </is>
      </c>
      <c r="D275" s="2" t="inlineStr">
        <is>
          <t>P0020</t>
        </is>
      </c>
      <c r="E275" s="2" t="inlineStr">
        <is>
          <t>Sneakers</t>
        </is>
      </c>
      <c r="F275" s="2" t="inlineStr">
        <is>
          <t>Fashion</t>
        </is>
      </c>
      <c r="G275" s="2" t="inlineStr">
        <is>
          <t>South</t>
        </is>
      </c>
      <c r="H275" s="2" t="inlineStr">
        <is>
          <t>Telangana</t>
        </is>
      </c>
      <c r="I275" s="2" t="inlineStr">
        <is>
          <t>Hyderabad</t>
        </is>
      </c>
      <c r="J275" s="2" t="inlineStr">
        <is>
          <t>Online</t>
        </is>
      </c>
      <c r="K275" s="2" t="n">
        <v>1</v>
      </c>
      <c r="L275" s="3" t="n">
        <v>1907.64</v>
      </c>
      <c r="M275" s="4" t="n">
        <v>0.05</v>
      </c>
      <c r="N275" s="3" t="n">
        <v>1498.33</v>
      </c>
      <c r="O275" s="3">
        <f>K275*L275*(1-M275)</f>
        <v/>
      </c>
      <c r="P275" s="3">
        <f>O275-N275</f>
        <v/>
      </c>
      <c r="Q275" s="5">
        <f>IFERROR(P275/O275,0)</f>
        <v/>
      </c>
      <c r="R275" s="2">
        <f>TEXT(DATEVALUE(B275),"mmm")</f>
        <v/>
      </c>
      <c r="S275" s="2">
        <f>TEXT(DATEVALUE(B275),"yyyy-mm")</f>
        <v/>
      </c>
    </row>
    <row r="276">
      <c r="A276" s="2" t="inlineStr">
        <is>
          <t>O001297</t>
        </is>
      </c>
      <c r="B276" s="2" t="inlineStr">
        <is>
          <t>2025-01-20</t>
        </is>
      </c>
      <c r="C276" s="2" t="inlineStr">
        <is>
          <t>C0395</t>
        </is>
      </c>
      <c r="D276" s="2" t="inlineStr">
        <is>
          <t>P0027</t>
        </is>
      </c>
      <c r="E276" s="2" t="inlineStr">
        <is>
          <t>Moisturizer</t>
        </is>
      </c>
      <c r="F276" s="2" t="inlineStr">
        <is>
          <t>Beauty</t>
        </is>
      </c>
      <c r="G276" s="2" t="inlineStr">
        <is>
          <t>West</t>
        </is>
      </c>
      <c r="H276" s="2" t="inlineStr">
        <is>
          <t>Maharashtra</t>
        </is>
      </c>
      <c r="I276" s="2" t="inlineStr">
        <is>
          <t>Mumbai</t>
        </is>
      </c>
      <c r="J276" s="2" t="inlineStr">
        <is>
          <t>Online</t>
        </is>
      </c>
      <c r="K276" s="2" t="n">
        <v>1</v>
      </c>
      <c r="L276" s="3" t="n">
        <v>915.78</v>
      </c>
      <c r="M276" s="4" t="n">
        <v>0.1</v>
      </c>
      <c r="N276" s="3" t="n">
        <v>698.24</v>
      </c>
      <c r="O276" s="3">
        <f>K276*L276*(1-M276)</f>
        <v/>
      </c>
      <c r="P276" s="3">
        <f>O276-N276</f>
        <v/>
      </c>
      <c r="Q276" s="5">
        <f>IFERROR(P276/O276,0)</f>
        <v/>
      </c>
      <c r="R276" s="2">
        <f>TEXT(DATEVALUE(B276),"mmm")</f>
        <v/>
      </c>
      <c r="S276" s="2">
        <f>TEXT(DATEVALUE(B276),"yyyy-mm")</f>
        <v/>
      </c>
    </row>
    <row r="277">
      <c r="A277" s="2" t="inlineStr">
        <is>
          <t>O000988</t>
        </is>
      </c>
      <c r="B277" s="2" t="inlineStr">
        <is>
          <t>2025-01-20</t>
        </is>
      </c>
      <c r="C277" s="2" t="inlineStr">
        <is>
          <t>C0024</t>
        </is>
      </c>
      <c r="D277" s="2" t="inlineStr">
        <is>
          <t>P0028</t>
        </is>
      </c>
      <c r="E277" s="2" t="inlineStr">
        <is>
          <t>Trimmer</t>
        </is>
      </c>
      <c r="F277" s="2" t="inlineStr">
        <is>
          <t>Beauty</t>
        </is>
      </c>
      <c r="G277" s="2" t="inlineStr">
        <is>
          <t>South</t>
        </is>
      </c>
      <c r="H277" s="2" t="inlineStr">
        <is>
          <t>Karnataka</t>
        </is>
      </c>
      <c r="I277" s="2" t="inlineStr">
        <is>
          <t>Bengaluru</t>
        </is>
      </c>
      <c r="J277" s="2" t="inlineStr">
        <is>
          <t>Online</t>
        </is>
      </c>
      <c r="K277" s="2" t="n">
        <v>2</v>
      </c>
      <c r="L277" s="3" t="n">
        <v>447.52</v>
      </c>
      <c r="M277" s="4" t="n">
        <v>0.05</v>
      </c>
      <c r="N277" s="3" t="n">
        <v>503.33</v>
      </c>
      <c r="O277" s="3">
        <f>K277*L277*(1-M277)</f>
        <v/>
      </c>
      <c r="P277" s="3">
        <f>O277-N277</f>
        <v/>
      </c>
      <c r="Q277" s="5">
        <f>IFERROR(P277/O277,0)</f>
        <v/>
      </c>
      <c r="R277" s="2">
        <f>TEXT(DATEVALUE(B277),"mmm")</f>
        <v/>
      </c>
      <c r="S277" s="2">
        <f>TEXT(DATEVALUE(B277),"yyyy-mm")</f>
        <v/>
      </c>
    </row>
    <row r="278">
      <c r="A278" s="2" t="inlineStr">
        <is>
          <t>O000672</t>
        </is>
      </c>
      <c r="B278" s="2" t="inlineStr">
        <is>
          <t>2025-01-20</t>
        </is>
      </c>
      <c r="C278" s="2" t="inlineStr">
        <is>
          <t>C0416</t>
        </is>
      </c>
      <c r="D278" s="2" t="inlineStr">
        <is>
          <t>P0003</t>
        </is>
      </c>
      <c r="E278" s="2" t="inlineStr">
        <is>
          <t>Smartwatch</t>
        </is>
      </c>
      <c r="F278" s="2" t="inlineStr">
        <is>
          <t>Electronics</t>
        </is>
      </c>
      <c r="G278" s="2" t="inlineStr">
        <is>
          <t>North</t>
        </is>
      </c>
      <c r="H278" s="2" t="inlineStr">
        <is>
          <t>Uttar Pradesh</t>
        </is>
      </c>
      <c r="I278" s="2" t="inlineStr">
        <is>
          <t>Lucknow</t>
        </is>
      </c>
      <c r="J278" s="2" t="inlineStr">
        <is>
          <t>Store</t>
        </is>
      </c>
      <c r="K278" s="2" t="n">
        <v>1</v>
      </c>
      <c r="L278" s="3" t="n">
        <v>2228.68</v>
      </c>
      <c r="M278" s="4" t="n">
        <v>0.2</v>
      </c>
      <c r="N278" s="3" t="n">
        <v>1169.63</v>
      </c>
      <c r="O278" s="3">
        <f>K278*L278*(1-M278)</f>
        <v/>
      </c>
      <c r="P278" s="3">
        <f>O278-N278</f>
        <v/>
      </c>
      <c r="Q278" s="5">
        <f>IFERROR(P278/O278,0)</f>
        <v/>
      </c>
      <c r="R278" s="2">
        <f>TEXT(DATEVALUE(B278),"mmm")</f>
        <v/>
      </c>
      <c r="S278" s="2">
        <f>TEXT(DATEVALUE(B278),"yyyy-mm")</f>
        <v/>
      </c>
    </row>
    <row r="279">
      <c r="A279" s="2" t="inlineStr">
        <is>
          <t>O000384</t>
        </is>
      </c>
      <c r="B279" s="2" t="inlineStr">
        <is>
          <t>2025-01-20</t>
        </is>
      </c>
      <c r="C279" s="2" t="inlineStr">
        <is>
          <t>C0216</t>
        </is>
      </c>
      <c r="D279" s="2" t="inlineStr">
        <is>
          <t>P0011</t>
        </is>
      </c>
      <c r="E279" s="2" t="inlineStr">
        <is>
          <t>Cookware Set</t>
        </is>
      </c>
      <c r="F279" s="2" t="inlineStr">
        <is>
          <t>Home &amp; Kitchen</t>
        </is>
      </c>
      <c r="G279" s="2" t="inlineStr">
        <is>
          <t>North</t>
        </is>
      </c>
      <c r="H279" s="2" t="inlineStr">
        <is>
          <t>Uttar Pradesh</t>
        </is>
      </c>
      <c r="I279" s="2" t="inlineStr">
        <is>
          <t>Varanasi</t>
        </is>
      </c>
      <c r="J279" s="2" t="inlineStr">
        <is>
          <t>Online</t>
        </is>
      </c>
      <c r="K279" s="2" t="n">
        <v>3</v>
      </c>
      <c r="L279" s="3" t="n">
        <v>702.9299999999999</v>
      </c>
      <c r="M279" s="4" t="n">
        <v>0.05</v>
      </c>
      <c r="N279" s="3" t="n">
        <v>1441.63</v>
      </c>
      <c r="O279" s="3">
        <f>K279*L279*(1-M279)</f>
        <v/>
      </c>
      <c r="P279" s="3">
        <f>O279-N279</f>
        <v/>
      </c>
      <c r="Q279" s="5">
        <f>IFERROR(P279/O279,0)</f>
        <v/>
      </c>
      <c r="R279" s="2">
        <f>TEXT(DATEVALUE(B279),"mmm")</f>
        <v/>
      </c>
      <c r="S279" s="2">
        <f>TEXT(DATEVALUE(B279),"yyyy-mm")</f>
        <v/>
      </c>
    </row>
    <row r="280">
      <c r="A280" s="2" t="inlineStr">
        <is>
          <t>O002421</t>
        </is>
      </c>
      <c r="B280" s="2" t="inlineStr">
        <is>
          <t>2025-01-20</t>
        </is>
      </c>
      <c r="C280" s="2" t="inlineStr">
        <is>
          <t>C0685</t>
        </is>
      </c>
      <c r="D280" s="2" t="inlineStr">
        <is>
          <t>P0016</t>
        </is>
      </c>
      <c r="E280" s="2" t="inlineStr">
        <is>
          <t>Casual Shirt</t>
        </is>
      </c>
      <c r="F280" s="2" t="inlineStr">
        <is>
          <t>Fashion</t>
        </is>
      </c>
      <c r="G280" s="2" t="inlineStr">
        <is>
          <t>West</t>
        </is>
      </c>
      <c r="H280" s="2" t="inlineStr">
        <is>
          <t>Gujarat</t>
        </is>
      </c>
      <c r="I280" s="2" t="inlineStr">
        <is>
          <t>Vadodara</t>
        </is>
      </c>
      <c r="J280" s="2" t="inlineStr">
        <is>
          <t>Online</t>
        </is>
      </c>
      <c r="K280" s="2" t="n">
        <v>1</v>
      </c>
      <c r="L280" s="3" t="n">
        <v>1265.2</v>
      </c>
      <c r="M280" s="4" t="n">
        <v>0</v>
      </c>
      <c r="N280" s="3" t="n">
        <v>918.14</v>
      </c>
      <c r="O280" s="3">
        <f>K280*L280*(1-M280)</f>
        <v/>
      </c>
      <c r="P280" s="3">
        <f>O280-N280</f>
        <v/>
      </c>
      <c r="Q280" s="5">
        <f>IFERROR(P280/O280,0)</f>
        <v/>
      </c>
      <c r="R280" s="2">
        <f>TEXT(DATEVALUE(B280),"mmm")</f>
        <v/>
      </c>
      <c r="S280" s="2">
        <f>TEXT(DATEVALUE(B280),"yyyy-mm")</f>
        <v/>
      </c>
    </row>
    <row r="281">
      <c r="A281" s="2" t="inlineStr">
        <is>
          <t>O004499</t>
        </is>
      </c>
      <c r="B281" s="2" t="inlineStr">
        <is>
          <t>2025-01-21</t>
        </is>
      </c>
      <c r="C281" s="2" t="inlineStr">
        <is>
          <t>C0579</t>
        </is>
      </c>
      <c r="D281" s="2" t="inlineStr">
        <is>
          <t>P0032</t>
        </is>
      </c>
      <c r="E281" s="2" t="inlineStr">
        <is>
          <t>Football</t>
        </is>
      </c>
      <c r="F281" s="2" t="inlineStr">
        <is>
          <t>Sports</t>
        </is>
      </c>
      <c r="G281" s="2" t="inlineStr">
        <is>
          <t>West</t>
        </is>
      </c>
      <c r="H281" s="2" t="inlineStr">
        <is>
          <t>Maharashtra</t>
        </is>
      </c>
      <c r="I281" s="2" t="inlineStr">
        <is>
          <t>Mumbai</t>
        </is>
      </c>
      <c r="J281" s="2" t="inlineStr">
        <is>
          <t>Online</t>
        </is>
      </c>
      <c r="K281" s="2" t="n">
        <v>4</v>
      </c>
      <c r="L281" s="3" t="n">
        <v>794.13</v>
      </c>
      <c r="M281" s="4" t="n">
        <v>0.1</v>
      </c>
      <c r="N281" s="3" t="n">
        <v>2076.78</v>
      </c>
      <c r="O281" s="3">
        <f>K281*L281*(1-M281)</f>
        <v/>
      </c>
      <c r="P281" s="3">
        <f>O281-N281</f>
        <v/>
      </c>
      <c r="Q281" s="5">
        <f>IFERROR(P281/O281,0)</f>
        <v/>
      </c>
      <c r="R281" s="2">
        <f>TEXT(DATEVALUE(B281),"mmm")</f>
        <v/>
      </c>
      <c r="S281" s="2">
        <f>TEXT(DATEVALUE(B281),"yyyy-mm")</f>
        <v/>
      </c>
    </row>
    <row r="282">
      <c r="A282" s="2" t="inlineStr">
        <is>
          <t>O003778</t>
        </is>
      </c>
      <c r="B282" s="2" t="inlineStr">
        <is>
          <t>2025-01-21</t>
        </is>
      </c>
      <c r="C282" s="2" t="inlineStr">
        <is>
          <t>C0550</t>
        </is>
      </c>
      <c r="D282" s="2" t="inlineStr">
        <is>
          <t>P0013</t>
        </is>
      </c>
      <c r="E282" s="2" t="inlineStr">
        <is>
          <t>Storage Organizer</t>
        </is>
      </c>
      <c r="F282" s="2" t="inlineStr">
        <is>
          <t>Home &amp; Kitchen</t>
        </is>
      </c>
      <c r="G282" s="2" t="inlineStr">
        <is>
          <t>North</t>
        </is>
      </c>
      <c r="H282" s="2" t="inlineStr">
        <is>
          <t>Delhi</t>
        </is>
      </c>
      <c r="I282" s="2" t="inlineStr">
        <is>
          <t>New Delhi</t>
        </is>
      </c>
      <c r="J282" s="2" t="inlineStr">
        <is>
          <t>Store</t>
        </is>
      </c>
      <c r="K282" s="2" t="n">
        <v>3</v>
      </c>
      <c r="L282" s="3" t="n">
        <v>563.67</v>
      </c>
      <c r="M282" s="4" t="n">
        <v>0</v>
      </c>
      <c r="N282" s="3" t="n">
        <v>1083.61</v>
      </c>
      <c r="O282" s="3">
        <f>K282*L282*(1-M282)</f>
        <v/>
      </c>
      <c r="P282" s="3">
        <f>O282-N282</f>
        <v/>
      </c>
      <c r="Q282" s="5">
        <f>IFERROR(P282/O282,0)</f>
        <v/>
      </c>
      <c r="R282" s="2">
        <f>TEXT(DATEVALUE(B282),"mmm")</f>
        <v/>
      </c>
      <c r="S282" s="2">
        <f>TEXT(DATEVALUE(B282),"yyyy-mm")</f>
        <v/>
      </c>
    </row>
    <row r="283">
      <c r="A283" s="2" t="inlineStr">
        <is>
          <t>O003640</t>
        </is>
      </c>
      <c r="B283" s="2" t="inlineStr">
        <is>
          <t>2025-01-21</t>
        </is>
      </c>
      <c r="C283" s="2" t="inlineStr">
        <is>
          <t>C0150</t>
        </is>
      </c>
      <c r="D283" s="2" t="inlineStr">
        <is>
          <t>P0016</t>
        </is>
      </c>
      <c r="E283" s="2" t="inlineStr">
        <is>
          <t>Casual Shirt</t>
        </is>
      </c>
      <c r="F283" s="2" t="inlineStr">
        <is>
          <t>Fashion</t>
        </is>
      </c>
      <c r="G283" s="2" t="inlineStr">
        <is>
          <t>South</t>
        </is>
      </c>
      <c r="H283" s="2" t="inlineStr">
        <is>
          <t>Telangana</t>
        </is>
      </c>
      <c r="I283" s="2" t="inlineStr">
        <is>
          <t>Hyderabad</t>
        </is>
      </c>
      <c r="J283" s="2" t="inlineStr">
        <is>
          <t>Store</t>
        </is>
      </c>
      <c r="K283" s="2" t="n">
        <v>1</v>
      </c>
      <c r="L283" s="3" t="n">
        <v>1288.2</v>
      </c>
      <c r="M283" s="4" t="n">
        <v>0.1</v>
      </c>
      <c r="N283" s="3" t="n">
        <v>908.54</v>
      </c>
      <c r="O283" s="3">
        <f>K283*L283*(1-M283)</f>
        <v/>
      </c>
      <c r="P283" s="3">
        <f>O283-N283</f>
        <v/>
      </c>
      <c r="Q283" s="5">
        <f>IFERROR(P283/O283,0)</f>
        <v/>
      </c>
      <c r="R283" s="2">
        <f>TEXT(DATEVALUE(B283),"mmm")</f>
        <v/>
      </c>
      <c r="S283" s="2">
        <f>TEXT(DATEVALUE(B283),"yyyy-mm")</f>
        <v/>
      </c>
    </row>
    <row r="284">
      <c r="A284" s="2" t="inlineStr">
        <is>
          <t>O003453</t>
        </is>
      </c>
      <c r="B284" s="2" t="inlineStr">
        <is>
          <t>2025-01-21</t>
        </is>
      </c>
      <c r="C284" s="2" t="inlineStr">
        <is>
          <t>C0357</t>
        </is>
      </c>
      <c r="D284" s="2" t="inlineStr">
        <is>
          <t>P0008</t>
        </is>
      </c>
      <c r="E284" s="2" t="inlineStr">
        <is>
          <t>Air Fryer</t>
        </is>
      </c>
      <c r="F284" s="2" t="inlineStr">
        <is>
          <t>Home &amp; Kitchen</t>
        </is>
      </c>
      <c r="G284" s="2" t="inlineStr">
        <is>
          <t>South</t>
        </is>
      </c>
      <c r="H284" s="2" t="inlineStr">
        <is>
          <t>Karnataka</t>
        </is>
      </c>
      <c r="I284" s="2" t="inlineStr">
        <is>
          <t>Bengaluru</t>
        </is>
      </c>
      <c r="J284" s="2" t="inlineStr">
        <is>
          <t>Online</t>
        </is>
      </c>
      <c r="K284" s="2" t="n">
        <v>1</v>
      </c>
      <c r="L284" s="3" t="n">
        <v>1085.7</v>
      </c>
      <c r="M284" s="4" t="n">
        <v>0.05</v>
      </c>
      <c r="N284" s="3" t="n">
        <v>698.16</v>
      </c>
      <c r="O284" s="3">
        <f>K284*L284*(1-M284)</f>
        <v/>
      </c>
      <c r="P284" s="3">
        <f>O284-N284</f>
        <v/>
      </c>
      <c r="Q284" s="5">
        <f>IFERROR(P284/O284,0)</f>
        <v/>
      </c>
      <c r="R284" s="2">
        <f>TEXT(DATEVALUE(B284),"mmm")</f>
        <v/>
      </c>
      <c r="S284" s="2">
        <f>TEXT(DATEVALUE(B284),"yyyy-mm")</f>
        <v/>
      </c>
    </row>
    <row r="285">
      <c r="A285" s="2" t="inlineStr">
        <is>
          <t>O003196</t>
        </is>
      </c>
      <c r="B285" s="2" t="inlineStr">
        <is>
          <t>2025-01-21</t>
        </is>
      </c>
      <c r="C285" s="2" t="inlineStr">
        <is>
          <t>C0480</t>
        </is>
      </c>
      <c r="D285" s="2" t="inlineStr">
        <is>
          <t>P0007</t>
        </is>
      </c>
      <c r="E285" s="2" t="inlineStr">
        <is>
          <t>Wireless Mouse</t>
        </is>
      </c>
      <c r="F285" s="2" t="inlineStr">
        <is>
          <t>Electronics</t>
        </is>
      </c>
      <c r="G285" s="2" t="inlineStr">
        <is>
          <t>South</t>
        </is>
      </c>
      <c r="H285" s="2" t="inlineStr">
        <is>
          <t>Karnataka</t>
        </is>
      </c>
      <c r="I285" s="2" t="inlineStr">
        <is>
          <t>Bengaluru</t>
        </is>
      </c>
      <c r="J285" s="2" t="inlineStr">
        <is>
          <t>Store</t>
        </is>
      </c>
      <c r="K285" s="2" t="n">
        <v>2</v>
      </c>
      <c r="L285" s="3" t="n">
        <v>948.46</v>
      </c>
      <c r="M285" s="4" t="n">
        <v>0.05</v>
      </c>
      <c r="N285" s="3" t="n">
        <v>1239.41</v>
      </c>
      <c r="O285" s="3">
        <f>K285*L285*(1-M285)</f>
        <v/>
      </c>
      <c r="P285" s="3">
        <f>O285-N285</f>
        <v/>
      </c>
      <c r="Q285" s="5">
        <f>IFERROR(P285/O285,0)</f>
        <v/>
      </c>
      <c r="R285" s="2">
        <f>TEXT(DATEVALUE(B285),"mmm")</f>
        <v/>
      </c>
      <c r="S285" s="2">
        <f>TEXT(DATEVALUE(B285),"yyyy-mm")</f>
        <v/>
      </c>
    </row>
    <row r="286">
      <c r="A286" s="2" t="inlineStr">
        <is>
          <t>O003083</t>
        </is>
      </c>
      <c r="B286" s="2" t="inlineStr">
        <is>
          <t>2025-01-21</t>
        </is>
      </c>
      <c r="C286" s="2" t="inlineStr">
        <is>
          <t>C0309</t>
        </is>
      </c>
      <c r="D286" s="2" t="inlineStr">
        <is>
          <t>P0032</t>
        </is>
      </c>
      <c r="E286" s="2" t="inlineStr">
        <is>
          <t>Football</t>
        </is>
      </c>
      <c r="F286" s="2" t="inlineStr">
        <is>
          <t>Sports</t>
        </is>
      </c>
      <c r="G286" s="2" t="inlineStr">
        <is>
          <t>West</t>
        </is>
      </c>
      <c r="H286" s="2" t="inlineStr">
        <is>
          <t>Maharashtra</t>
        </is>
      </c>
      <c r="I286" s="2" t="inlineStr">
        <is>
          <t>Mumbai</t>
        </is>
      </c>
      <c r="J286" s="2" t="inlineStr">
        <is>
          <t>Online</t>
        </is>
      </c>
      <c r="K286" s="2" t="n">
        <v>4</v>
      </c>
      <c r="L286" s="3" t="n">
        <v>839.4299999999999</v>
      </c>
      <c r="M286" s="4" t="n">
        <v>0.05</v>
      </c>
      <c r="N286" s="3" t="n">
        <v>2151.09</v>
      </c>
      <c r="O286" s="3">
        <f>K286*L286*(1-M286)</f>
        <v/>
      </c>
      <c r="P286" s="3">
        <f>O286-N286</f>
        <v/>
      </c>
      <c r="Q286" s="5">
        <f>IFERROR(P286/O286,0)</f>
        <v/>
      </c>
      <c r="R286" s="2">
        <f>TEXT(DATEVALUE(B286),"mmm")</f>
        <v/>
      </c>
      <c r="S286" s="2">
        <f>TEXT(DATEVALUE(B286),"yyyy-mm")</f>
        <v/>
      </c>
    </row>
    <row r="287">
      <c r="A287" s="2" t="inlineStr">
        <is>
          <t>O003006</t>
        </is>
      </c>
      <c r="B287" s="2" t="inlineStr">
        <is>
          <t>2025-01-21</t>
        </is>
      </c>
      <c r="C287" s="2" t="inlineStr">
        <is>
          <t>C0778</t>
        </is>
      </c>
      <c r="D287" s="2" t="inlineStr">
        <is>
          <t>P0028</t>
        </is>
      </c>
      <c r="E287" s="2" t="inlineStr">
        <is>
          <t>Trimmer</t>
        </is>
      </c>
      <c r="F287" s="2" t="inlineStr">
        <is>
          <t>Beauty</t>
        </is>
      </c>
      <c r="G287" s="2" t="inlineStr">
        <is>
          <t>South</t>
        </is>
      </c>
      <c r="H287" s="2" t="inlineStr">
        <is>
          <t>Karnataka</t>
        </is>
      </c>
      <c r="I287" s="2" t="inlineStr">
        <is>
          <t>Bengaluru</t>
        </is>
      </c>
      <c r="J287" s="2" t="inlineStr">
        <is>
          <t>Store</t>
        </is>
      </c>
      <c r="K287" s="2" t="n">
        <v>4</v>
      </c>
      <c r="L287" s="3" t="n">
        <v>441.71</v>
      </c>
      <c r="M287" s="4" t="n">
        <v>0</v>
      </c>
      <c r="N287" s="3" t="n">
        <v>981.3</v>
      </c>
      <c r="O287" s="3">
        <f>K287*L287*(1-M287)</f>
        <v/>
      </c>
      <c r="P287" s="3">
        <f>O287-N287</f>
        <v/>
      </c>
      <c r="Q287" s="5">
        <f>IFERROR(P287/O287,0)</f>
        <v/>
      </c>
      <c r="R287" s="2">
        <f>TEXT(DATEVALUE(B287),"mmm")</f>
        <v/>
      </c>
      <c r="S287" s="2">
        <f>TEXT(DATEVALUE(B287),"yyyy-mm")</f>
        <v/>
      </c>
    </row>
    <row r="288">
      <c r="A288" s="2" t="inlineStr">
        <is>
          <t>O003731</t>
        </is>
      </c>
      <c r="B288" s="2" t="inlineStr">
        <is>
          <t>2025-01-21</t>
        </is>
      </c>
      <c r="C288" s="2" t="inlineStr">
        <is>
          <t>C0416</t>
        </is>
      </c>
      <c r="D288" s="2" t="inlineStr">
        <is>
          <t>P0017</t>
        </is>
      </c>
      <c r="E288" s="2" t="inlineStr">
        <is>
          <t>Jeans</t>
        </is>
      </c>
      <c r="F288" s="2" t="inlineStr">
        <is>
          <t>Fashion</t>
        </is>
      </c>
      <c r="G288" s="2" t="inlineStr">
        <is>
          <t>West</t>
        </is>
      </c>
      <c r="H288" s="2" t="inlineStr">
        <is>
          <t>Goa</t>
        </is>
      </c>
      <c r="I288" s="2" t="inlineStr">
        <is>
          <t>Panaji</t>
        </is>
      </c>
      <c r="J288" s="2" t="inlineStr">
        <is>
          <t>Store</t>
        </is>
      </c>
      <c r="K288" s="2" t="n">
        <v>1</v>
      </c>
      <c r="L288" s="3" t="n">
        <v>1479.35</v>
      </c>
      <c r="M288" s="4" t="n">
        <v>0.15</v>
      </c>
      <c r="N288" s="3" t="n">
        <v>993.4400000000001</v>
      </c>
      <c r="O288" s="3">
        <f>K288*L288*(1-M288)</f>
        <v/>
      </c>
      <c r="P288" s="3">
        <f>O288-N288</f>
        <v/>
      </c>
      <c r="Q288" s="5">
        <f>IFERROR(P288/O288,0)</f>
        <v/>
      </c>
      <c r="R288" s="2">
        <f>TEXT(DATEVALUE(B288),"mmm")</f>
        <v/>
      </c>
      <c r="S288" s="2">
        <f>TEXT(DATEVALUE(B288),"yyyy-mm")</f>
        <v/>
      </c>
    </row>
    <row r="289">
      <c r="A289" s="2" t="inlineStr">
        <is>
          <t>O002860</t>
        </is>
      </c>
      <c r="B289" s="2" t="inlineStr">
        <is>
          <t>2025-01-21</t>
        </is>
      </c>
      <c r="C289" s="2" t="inlineStr">
        <is>
          <t>C0314</t>
        </is>
      </c>
      <c r="D289" s="2" t="inlineStr">
        <is>
          <t>P0026</t>
        </is>
      </c>
      <c r="E289" s="2" t="inlineStr">
        <is>
          <t>Shampoo</t>
        </is>
      </c>
      <c r="F289" s="2" t="inlineStr">
        <is>
          <t>Beauty</t>
        </is>
      </c>
      <c r="G289" s="2" t="inlineStr">
        <is>
          <t>South</t>
        </is>
      </c>
      <c r="H289" s="2" t="inlineStr">
        <is>
          <t>Tamil Nadu</t>
        </is>
      </c>
      <c r="I289" s="2" t="inlineStr">
        <is>
          <t>Coimbatore</t>
        </is>
      </c>
      <c r="J289" s="2" t="inlineStr">
        <is>
          <t>Store</t>
        </is>
      </c>
      <c r="K289" s="2" t="n">
        <v>1</v>
      </c>
      <c r="L289" s="3" t="n">
        <v>892.54</v>
      </c>
      <c r="M289" s="4" t="n">
        <v>0.05</v>
      </c>
      <c r="N289" s="3" t="n">
        <v>507.77</v>
      </c>
      <c r="O289" s="3">
        <f>K289*L289*(1-M289)</f>
        <v/>
      </c>
      <c r="P289" s="3">
        <f>O289-N289</f>
        <v/>
      </c>
      <c r="Q289" s="5">
        <f>IFERROR(P289/O289,0)</f>
        <v/>
      </c>
      <c r="R289" s="2">
        <f>TEXT(DATEVALUE(B289),"mmm")</f>
        <v/>
      </c>
      <c r="S289" s="2">
        <f>TEXT(DATEVALUE(B289),"yyyy-mm")</f>
        <v/>
      </c>
    </row>
    <row r="290">
      <c r="A290" s="2" t="inlineStr">
        <is>
          <t>O002512</t>
        </is>
      </c>
      <c r="B290" s="2" t="inlineStr">
        <is>
          <t>2025-01-21</t>
        </is>
      </c>
      <c r="C290" s="2" t="inlineStr">
        <is>
          <t>C0581</t>
        </is>
      </c>
      <c r="D290" s="2" t="inlineStr">
        <is>
          <t>P0022</t>
        </is>
      </c>
      <c r="E290" s="2" t="inlineStr">
        <is>
          <t>Face Wash</t>
        </is>
      </c>
      <c r="F290" s="2" t="inlineStr">
        <is>
          <t>Beauty</t>
        </is>
      </c>
      <c r="G290" s="2" t="inlineStr">
        <is>
          <t>West</t>
        </is>
      </c>
      <c r="H290" s="2" t="inlineStr">
        <is>
          <t>Maharashtra</t>
        </is>
      </c>
      <c r="I290" s="2" t="inlineStr">
        <is>
          <t>Pune</t>
        </is>
      </c>
      <c r="J290" s="2" t="inlineStr">
        <is>
          <t>Online</t>
        </is>
      </c>
      <c r="K290" s="2" t="n">
        <v>1</v>
      </c>
      <c r="L290" s="3" t="n">
        <v>536.4400000000001</v>
      </c>
      <c r="M290" s="4" t="n">
        <v>0.05</v>
      </c>
      <c r="N290" s="3" t="n">
        <v>360.81</v>
      </c>
      <c r="O290" s="3">
        <f>K290*L290*(1-M290)</f>
        <v/>
      </c>
      <c r="P290" s="3">
        <f>O290-N290</f>
        <v/>
      </c>
      <c r="Q290" s="5">
        <f>IFERROR(P290/O290,0)</f>
        <v/>
      </c>
      <c r="R290" s="2">
        <f>TEXT(DATEVALUE(B290),"mmm")</f>
        <v/>
      </c>
      <c r="S290" s="2">
        <f>TEXT(DATEVALUE(B290),"yyyy-mm")</f>
        <v/>
      </c>
    </row>
    <row r="291">
      <c r="A291" s="2" t="inlineStr">
        <is>
          <t>O002146</t>
        </is>
      </c>
      <c r="B291" s="2" t="inlineStr">
        <is>
          <t>2025-01-21</t>
        </is>
      </c>
      <c r="C291" s="2" t="inlineStr">
        <is>
          <t>C0071</t>
        </is>
      </c>
      <c r="D291" s="2" t="inlineStr">
        <is>
          <t>P0021</t>
        </is>
      </c>
      <c r="E291" s="2" t="inlineStr">
        <is>
          <t>Wallet</t>
        </is>
      </c>
      <c r="F291" s="2" t="inlineStr">
        <is>
          <t>Fashion</t>
        </is>
      </c>
      <c r="G291" s="2" t="inlineStr">
        <is>
          <t>West</t>
        </is>
      </c>
      <c r="H291" s="2" t="inlineStr">
        <is>
          <t>Maharashtra</t>
        </is>
      </c>
      <c r="I291" s="2" t="inlineStr">
        <is>
          <t>Mumbai</t>
        </is>
      </c>
      <c r="J291" s="2" t="inlineStr">
        <is>
          <t>Online</t>
        </is>
      </c>
      <c r="K291" s="2" t="n">
        <v>1</v>
      </c>
      <c r="L291" s="3" t="n">
        <v>2049</v>
      </c>
      <c r="M291" s="4" t="n">
        <v>0</v>
      </c>
      <c r="N291" s="3" t="n">
        <v>1243.92</v>
      </c>
      <c r="O291" s="3">
        <f>K291*L291*(1-M291)</f>
        <v/>
      </c>
      <c r="P291" s="3">
        <f>O291-N291</f>
        <v/>
      </c>
      <c r="Q291" s="5">
        <f>IFERROR(P291/O291,0)</f>
        <v/>
      </c>
      <c r="R291" s="2">
        <f>TEXT(DATEVALUE(B291),"mmm")</f>
        <v/>
      </c>
      <c r="S291" s="2">
        <f>TEXT(DATEVALUE(B291),"yyyy-mm")</f>
        <v/>
      </c>
    </row>
    <row r="292">
      <c r="A292" s="2" t="inlineStr">
        <is>
          <t>O001938</t>
        </is>
      </c>
      <c r="B292" s="2" t="inlineStr">
        <is>
          <t>2025-01-21</t>
        </is>
      </c>
      <c r="C292" s="2" t="inlineStr">
        <is>
          <t>C0282</t>
        </is>
      </c>
      <c r="D292" s="2" t="inlineStr">
        <is>
          <t>P0022</t>
        </is>
      </c>
      <c r="E292" s="2" t="inlineStr">
        <is>
          <t>Face Wash</t>
        </is>
      </c>
      <c r="F292" s="2" t="inlineStr">
        <is>
          <t>Beauty</t>
        </is>
      </c>
      <c r="G292" s="2" t="inlineStr">
        <is>
          <t>North</t>
        </is>
      </c>
      <c r="H292" s="2" t="inlineStr">
        <is>
          <t>Uttar Pradesh</t>
        </is>
      </c>
      <c r="I292" s="2" t="inlineStr">
        <is>
          <t>Varanasi</t>
        </is>
      </c>
      <c r="J292" s="2" t="inlineStr">
        <is>
          <t>Online</t>
        </is>
      </c>
      <c r="K292" s="2" t="n">
        <v>1</v>
      </c>
      <c r="L292" s="3" t="n">
        <v>572.01</v>
      </c>
      <c r="M292" s="4" t="n">
        <v>0</v>
      </c>
      <c r="N292" s="3" t="n">
        <v>360.86</v>
      </c>
      <c r="O292" s="3">
        <f>K292*L292*(1-M292)</f>
        <v/>
      </c>
      <c r="P292" s="3">
        <f>O292-N292</f>
        <v/>
      </c>
      <c r="Q292" s="5">
        <f>IFERROR(P292/O292,0)</f>
        <v/>
      </c>
      <c r="R292" s="2">
        <f>TEXT(DATEVALUE(B292),"mmm")</f>
        <v/>
      </c>
      <c r="S292" s="2">
        <f>TEXT(DATEVALUE(B292),"yyyy-mm")</f>
        <v/>
      </c>
    </row>
    <row r="293">
      <c r="A293" s="2" t="inlineStr">
        <is>
          <t>O001741</t>
        </is>
      </c>
      <c r="B293" s="2" t="inlineStr">
        <is>
          <t>2025-01-21</t>
        </is>
      </c>
      <c r="C293" s="2" t="inlineStr">
        <is>
          <t>C0555</t>
        </is>
      </c>
      <c r="D293" s="2" t="inlineStr">
        <is>
          <t>P0014</t>
        </is>
      </c>
      <c r="E293" s="2" t="inlineStr">
        <is>
          <t>Coffee Maker</t>
        </is>
      </c>
      <c r="F293" s="2" t="inlineStr">
        <is>
          <t>Home &amp; Kitchen</t>
        </is>
      </c>
      <c r="G293" s="2" t="inlineStr">
        <is>
          <t>West</t>
        </is>
      </c>
      <c r="H293" s="2" t="inlineStr">
        <is>
          <t>Gujarat</t>
        </is>
      </c>
      <c r="I293" s="2" t="inlineStr">
        <is>
          <t>Surat</t>
        </is>
      </c>
      <c r="J293" s="2" t="inlineStr">
        <is>
          <t>Online</t>
        </is>
      </c>
      <c r="K293" s="2" t="n">
        <v>3</v>
      </c>
      <c r="L293" s="3" t="n">
        <v>1090.16</v>
      </c>
      <c r="M293" s="4" t="n">
        <v>0.05</v>
      </c>
      <c r="N293" s="3" t="n">
        <v>2306.41</v>
      </c>
      <c r="O293" s="3">
        <f>K293*L293*(1-M293)</f>
        <v/>
      </c>
      <c r="P293" s="3">
        <f>O293-N293</f>
        <v/>
      </c>
      <c r="Q293" s="5">
        <f>IFERROR(P293/O293,0)</f>
        <v/>
      </c>
      <c r="R293" s="2">
        <f>TEXT(DATEVALUE(B293),"mmm")</f>
        <v/>
      </c>
      <c r="S293" s="2">
        <f>TEXT(DATEVALUE(B293),"yyyy-mm")</f>
        <v/>
      </c>
    </row>
    <row r="294">
      <c r="A294" s="2" t="inlineStr">
        <is>
          <t>O000045</t>
        </is>
      </c>
      <c r="B294" s="2" t="inlineStr">
        <is>
          <t>2025-01-21</t>
        </is>
      </c>
      <c r="C294" s="2" t="inlineStr">
        <is>
          <t>C0739</t>
        </is>
      </c>
      <c r="D294" s="2" t="inlineStr">
        <is>
          <t>P0027</t>
        </is>
      </c>
      <c r="E294" s="2" t="inlineStr">
        <is>
          <t>Moisturizer</t>
        </is>
      </c>
      <c r="F294" s="2" t="inlineStr">
        <is>
          <t>Beauty</t>
        </is>
      </c>
      <c r="G294" s="2" t="inlineStr">
        <is>
          <t>North</t>
        </is>
      </c>
      <c r="H294" s="2" t="inlineStr">
        <is>
          <t>Delhi</t>
        </is>
      </c>
      <c r="I294" s="2" t="inlineStr">
        <is>
          <t>New Delhi</t>
        </is>
      </c>
      <c r="J294" s="2" t="inlineStr">
        <is>
          <t>Store</t>
        </is>
      </c>
      <c r="K294" s="2" t="n">
        <v>1</v>
      </c>
      <c r="L294" s="3" t="n">
        <v>981.08</v>
      </c>
      <c r="M294" s="4" t="n">
        <v>0.2</v>
      </c>
      <c r="N294" s="3" t="n">
        <v>672.65</v>
      </c>
      <c r="O294" s="3">
        <f>K294*L294*(1-M294)</f>
        <v/>
      </c>
      <c r="P294" s="3">
        <f>O294-N294</f>
        <v/>
      </c>
      <c r="Q294" s="5">
        <f>IFERROR(P294/O294,0)</f>
        <v/>
      </c>
      <c r="R294" s="2">
        <f>TEXT(DATEVALUE(B294),"mmm")</f>
        <v/>
      </c>
      <c r="S294" s="2">
        <f>TEXT(DATEVALUE(B294),"yyyy-mm")</f>
        <v/>
      </c>
    </row>
    <row r="295">
      <c r="A295" s="2" t="inlineStr">
        <is>
          <t>O000007</t>
        </is>
      </c>
      <c r="B295" s="2" t="inlineStr">
        <is>
          <t>2025-01-21</t>
        </is>
      </c>
      <c r="C295" s="2" t="inlineStr">
        <is>
          <t>C0303</t>
        </is>
      </c>
      <c r="D295" s="2" t="inlineStr">
        <is>
          <t>P0027</t>
        </is>
      </c>
      <c r="E295" s="2" t="inlineStr">
        <is>
          <t>Moisturizer</t>
        </is>
      </c>
      <c r="F295" s="2" t="inlineStr">
        <is>
          <t>Beauty</t>
        </is>
      </c>
      <c r="G295" s="2" t="inlineStr">
        <is>
          <t>West</t>
        </is>
      </c>
      <c r="H295" s="2" t="inlineStr">
        <is>
          <t>Goa</t>
        </is>
      </c>
      <c r="I295" s="2" t="inlineStr">
        <is>
          <t>Panaji</t>
        </is>
      </c>
      <c r="J295" s="2" t="inlineStr">
        <is>
          <t>Store</t>
        </is>
      </c>
      <c r="K295" s="2" t="n">
        <v>2</v>
      </c>
      <c r="L295" s="3" t="n">
        <v>920.37</v>
      </c>
      <c r="M295" s="4" t="n">
        <v>0.05</v>
      </c>
      <c r="N295" s="3" t="n">
        <v>1344.87</v>
      </c>
      <c r="O295" s="3">
        <f>K295*L295*(1-M295)</f>
        <v/>
      </c>
      <c r="P295" s="3">
        <f>O295-N295</f>
        <v/>
      </c>
      <c r="Q295" s="5">
        <f>IFERROR(P295/O295,0)</f>
        <v/>
      </c>
      <c r="R295" s="2">
        <f>TEXT(DATEVALUE(B295),"mmm")</f>
        <v/>
      </c>
      <c r="S295" s="2">
        <f>TEXT(DATEVALUE(B295),"yyyy-mm")</f>
        <v/>
      </c>
    </row>
    <row r="296">
      <c r="A296" s="2" t="inlineStr">
        <is>
          <t>O002877</t>
        </is>
      </c>
      <c r="B296" s="2" t="inlineStr">
        <is>
          <t>2025-01-21</t>
        </is>
      </c>
      <c r="C296" s="2" t="inlineStr">
        <is>
          <t>C0311</t>
        </is>
      </c>
      <c r="D296" s="2" t="inlineStr">
        <is>
          <t>P0024</t>
        </is>
      </c>
      <c r="E296" s="2" t="inlineStr">
        <is>
          <t>Hair Dryer</t>
        </is>
      </c>
      <c r="F296" s="2" t="inlineStr">
        <is>
          <t>Beauty</t>
        </is>
      </c>
      <c r="G296" s="2" t="inlineStr">
        <is>
          <t>West</t>
        </is>
      </c>
      <c r="H296" s="2" t="inlineStr">
        <is>
          <t>Gujarat</t>
        </is>
      </c>
      <c r="I296" s="2" t="inlineStr">
        <is>
          <t>Vadodara</t>
        </is>
      </c>
      <c r="J296" s="2" t="inlineStr">
        <is>
          <t>Online</t>
        </is>
      </c>
      <c r="K296" s="2" t="n">
        <v>1</v>
      </c>
      <c r="L296" s="3" t="n">
        <v>986.5599999999999</v>
      </c>
      <c r="M296" s="4" t="n">
        <v>0.1</v>
      </c>
      <c r="N296" s="3" t="n">
        <v>757.9299999999999</v>
      </c>
      <c r="O296" s="3">
        <f>K296*L296*(1-M296)</f>
        <v/>
      </c>
      <c r="P296" s="3">
        <f>O296-N296</f>
        <v/>
      </c>
      <c r="Q296" s="5">
        <f>IFERROR(P296/O296,0)</f>
        <v/>
      </c>
      <c r="R296" s="2">
        <f>TEXT(DATEVALUE(B296),"mmm")</f>
        <v/>
      </c>
      <c r="S296" s="2">
        <f>TEXT(DATEVALUE(B296),"yyyy-mm")</f>
        <v/>
      </c>
    </row>
    <row r="297">
      <c r="A297" s="2" t="inlineStr">
        <is>
          <t>O004793</t>
        </is>
      </c>
      <c r="B297" s="2" t="inlineStr">
        <is>
          <t>2025-01-22</t>
        </is>
      </c>
      <c r="C297" s="2" t="inlineStr">
        <is>
          <t>C0123</t>
        </is>
      </c>
      <c r="D297" s="2" t="inlineStr">
        <is>
          <t>P0021</t>
        </is>
      </c>
      <c r="E297" s="2" t="inlineStr">
        <is>
          <t>Wallet</t>
        </is>
      </c>
      <c r="F297" s="2" t="inlineStr">
        <is>
          <t>Fashion</t>
        </is>
      </c>
      <c r="G297" s="2" t="inlineStr">
        <is>
          <t>East</t>
        </is>
      </c>
      <c r="H297" s="2" t="inlineStr">
        <is>
          <t>Bihar</t>
        </is>
      </c>
      <c r="I297" s="2" t="inlineStr">
        <is>
          <t>Patna</t>
        </is>
      </c>
      <c r="J297" s="2" t="inlineStr">
        <is>
          <t>Online</t>
        </is>
      </c>
      <c r="K297" s="2" t="n">
        <v>4</v>
      </c>
      <c r="L297" s="3" t="n">
        <v>2010.54</v>
      </c>
      <c r="M297" s="4" t="n">
        <v>0</v>
      </c>
      <c r="N297" s="3" t="n">
        <v>4898.28</v>
      </c>
      <c r="O297" s="3">
        <f>K297*L297*(1-M297)</f>
        <v/>
      </c>
      <c r="P297" s="3">
        <f>O297-N297</f>
        <v/>
      </c>
      <c r="Q297" s="5">
        <f>IFERROR(P297/O297,0)</f>
        <v/>
      </c>
      <c r="R297" s="2">
        <f>TEXT(DATEVALUE(B297),"mmm")</f>
        <v/>
      </c>
      <c r="S297" s="2">
        <f>TEXT(DATEVALUE(B297),"yyyy-mm")</f>
        <v/>
      </c>
    </row>
    <row r="298">
      <c r="A298" s="2" t="inlineStr">
        <is>
          <t>O004663</t>
        </is>
      </c>
      <c r="B298" s="2" t="inlineStr">
        <is>
          <t>2025-01-22</t>
        </is>
      </c>
      <c r="C298" s="2" t="inlineStr">
        <is>
          <t>C0659</t>
        </is>
      </c>
      <c r="D298" s="2" t="inlineStr">
        <is>
          <t>P0013</t>
        </is>
      </c>
      <c r="E298" s="2" t="inlineStr">
        <is>
          <t>Storage Organizer</t>
        </is>
      </c>
      <c r="F298" s="2" t="inlineStr">
        <is>
          <t>Home &amp; Kitchen</t>
        </is>
      </c>
      <c r="G298" s="2" t="inlineStr">
        <is>
          <t>East</t>
        </is>
      </c>
      <c r="H298" s="2" t="inlineStr">
        <is>
          <t>Bihar</t>
        </is>
      </c>
      <c r="I298" s="2" t="inlineStr">
        <is>
          <t>Gaya</t>
        </is>
      </c>
      <c r="J298" s="2" t="inlineStr">
        <is>
          <t>Online</t>
        </is>
      </c>
      <c r="K298" s="2" t="n">
        <v>3</v>
      </c>
      <c r="L298" s="3" t="n">
        <v>586.53</v>
      </c>
      <c r="M298" s="4" t="n">
        <v>0</v>
      </c>
      <c r="N298" s="3" t="n">
        <v>1111.71</v>
      </c>
      <c r="O298" s="3">
        <f>K298*L298*(1-M298)</f>
        <v/>
      </c>
      <c r="P298" s="3">
        <f>O298-N298</f>
        <v/>
      </c>
      <c r="Q298" s="5">
        <f>IFERROR(P298/O298,0)</f>
        <v/>
      </c>
      <c r="R298" s="2">
        <f>TEXT(DATEVALUE(B298),"mmm")</f>
        <v/>
      </c>
      <c r="S298" s="2">
        <f>TEXT(DATEVALUE(B298),"yyyy-mm")</f>
        <v/>
      </c>
    </row>
    <row r="299">
      <c r="A299" s="2" t="inlineStr">
        <is>
          <t>O004329</t>
        </is>
      </c>
      <c r="B299" s="2" t="inlineStr">
        <is>
          <t>2025-01-22</t>
        </is>
      </c>
      <c r="C299" s="2" t="inlineStr">
        <is>
          <t>C0120</t>
        </is>
      </c>
      <c r="D299" s="2" t="inlineStr">
        <is>
          <t>P0016</t>
        </is>
      </c>
      <c r="E299" s="2" t="inlineStr">
        <is>
          <t>Casual Shirt</t>
        </is>
      </c>
      <c r="F299" s="2" t="inlineStr">
        <is>
          <t>Fashion</t>
        </is>
      </c>
      <c r="G299" s="2" t="inlineStr">
        <is>
          <t>East</t>
        </is>
      </c>
      <c r="H299" s="2" t="inlineStr">
        <is>
          <t>Bihar</t>
        </is>
      </c>
      <c r="I299" s="2" t="inlineStr">
        <is>
          <t>Patna</t>
        </is>
      </c>
      <c r="J299" s="2" t="inlineStr">
        <is>
          <t>Store</t>
        </is>
      </c>
      <c r="K299" s="2" t="n">
        <v>1</v>
      </c>
      <c r="L299" s="3" t="n">
        <v>1335.09</v>
      </c>
      <c r="M299" s="4" t="n">
        <v>0.05</v>
      </c>
      <c r="N299" s="3" t="n">
        <v>901.26</v>
      </c>
      <c r="O299" s="3">
        <f>K299*L299*(1-M299)</f>
        <v/>
      </c>
      <c r="P299" s="3">
        <f>O299-N299</f>
        <v/>
      </c>
      <c r="Q299" s="5">
        <f>IFERROR(P299/O299,0)</f>
        <v/>
      </c>
      <c r="R299" s="2">
        <f>TEXT(DATEVALUE(B299),"mmm")</f>
        <v/>
      </c>
      <c r="S299" s="2">
        <f>TEXT(DATEVALUE(B299),"yyyy-mm")</f>
        <v/>
      </c>
    </row>
    <row r="300">
      <c r="A300" s="2" t="inlineStr">
        <is>
          <t>O004251</t>
        </is>
      </c>
      <c r="B300" s="2" t="inlineStr">
        <is>
          <t>2025-01-22</t>
        </is>
      </c>
      <c r="C300" s="2" t="inlineStr">
        <is>
          <t>C0359</t>
        </is>
      </c>
      <c r="D300" s="2" t="inlineStr">
        <is>
          <t>P0022</t>
        </is>
      </c>
      <c r="E300" s="2" t="inlineStr">
        <is>
          <t>Face Wash</t>
        </is>
      </c>
      <c r="F300" s="2" t="inlineStr">
        <is>
          <t>Beauty</t>
        </is>
      </c>
      <c r="G300" s="2" t="inlineStr">
        <is>
          <t>North</t>
        </is>
      </c>
      <c r="H300" s="2" t="inlineStr">
        <is>
          <t>Delhi</t>
        </is>
      </c>
      <c r="I300" s="2" t="inlineStr">
        <is>
          <t>New Delhi</t>
        </is>
      </c>
      <c r="J300" s="2" t="inlineStr">
        <is>
          <t>Online</t>
        </is>
      </c>
      <c r="K300" s="2" t="n">
        <v>1</v>
      </c>
      <c r="L300" s="3" t="n">
        <v>574.8099999999999</v>
      </c>
      <c r="M300" s="4" t="n">
        <v>0</v>
      </c>
      <c r="N300" s="3" t="n">
        <v>351.57</v>
      </c>
      <c r="O300" s="3">
        <f>K300*L300*(1-M300)</f>
        <v/>
      </c>
      <c r="P300" s="3">
        <f>O300-N300</f>
        <v/>
      </c>
      <c r="Q300" s="5">
        <f>IFERROR(P300/O300,0)</f>
        <v/>
      </c>
      <c r="R300" s="2">
        <f>TEXT(DATEVALUE(B300),"mmm")</f>
        <v/>
      </c>
      <c r="S300" s="2">
        <f>TEXT(DATEVALUE(B300),"yyyy-mm")</f>
        <v/>
      </c>
    </row>
    <row r="301">
      <c r="A301" s="2" t="inlineStr">
        <is>
          <t>O004154</t>
        </is>
      </c>
      <c r="B301" s="2" t="inlineStr">
        <is>
          <t>2025-01-22</t>
        </is>
      </c>
      <c r="C301" s="2" t="inlineStr">
        <is>
          <t>C0713</t>
        </is>
      </c>
      <c r="D301" s="2" t="inlineStr">
        <is>
          <t>P0009</t>
        </is>
      </c>
      <c r="E301" s="2" t="inlineStr">
        <is>
          <t>Electric Kettle</t>
        </is>
      </c>
      <c r="F301" s="2" t="inlineStr">
        <is>
          <t>Home &amp; Kitchen</t>
        </is>
      </c>
      <c r="G301" s="2" t="inlineStr">
        <is>
          <t>North</t>
        </is>
      </c>
      <c r="H301" s="2" t="inlineStr">
        <is>
          <t>Uttar Pradesh</t>
        </is>
      </c>
      <c r="I301" s="2" t="inlineStr">
        <is>
          <t>Varanasi</t>
        </is>
      </c>
      <c r="J301" s="2" t="inlineStr">
        <is>
          <t>Online</t>
        </is>
      </c>
      <c r="K301" s="2" t="n">
        <v>1</v>
      </c>
      <c r="L301" s="3" t="n">
        <v>2095.55</v>
      </c>
      <c r="M301" s="4" t="n">
        <v>0.1</v>
      </c>
      <c r="N301" s="3" t="n">
        <v>1096.21</v>
      </c>
      <c r="O301" s="3">
        <f>K301*L301*(1-M301)</f>
        <v/>
      </c>
      <c r="P301" s="3">
        <f>O301-N301</f>
        <v/>
      </c>
      <c r="Q301" s="5">
        <f>IFERROR(P301/O301,0)</f>
        <v/>
      </c>
      <c r="R301" s="2">
        <f>TEXT(DATEVALUE(B301),"mmm")</f>
        <v/>
      </c>
      <c r="S301" s="2">
        <f>TEXT(DATEVALUE(B301),"yyyy-mm")</f>
        <v/>
      </c>
    </row>
    <row r="302">
      <c r="A302" s="2" t="inlineStr">
        <is>
          <t>O003661</t>
        </is>
      </c>
      <c r="B302" s="2" t="inlineStr">
        <is>
          <t>2025-01-22</t>
        </is>
      </c>
      <c r="C302" s="2" t="inlineStr">
        <is>
          <t>C0506</t>
        </is>
      </c>
      <c r="D302" s="2" t="inlineStr">
        <is>
          <t>P0027</t>
        </is>
      </c>
      <c r="E302" s="2" t="inlineStr">
        <is>
          <t>Moisturizer</t>
        </is>
      </c>
      <c r="F302" s="2" t="inlineStr">
        <is>
          <t>Beauty</t>
        </is>
      </c>
      <c r="G302" s="2" t="inlineStr">
        <is>
          <t>North</t>
        </is>
      </c>
      <c r="H302" s="2" t="inlineStr">
        <is>
          <t>Uttar Pradesh</t>
        </is>
      </c>
      <c r="I302" s="2" t="inlineStr">
        <is>
          <t>Noida</t>
        </is>
      </c>
      <c r="J302" s="2" t="inlineStr">
        <is>
          <t>Online</t>
        </is>
      </c>
      <c r="K302" s="2" t="n">
        <v>1</v>
      </c>
      <c r="L302" s="3" t="n">
        <v>917.99</v>
      </c>
      <c r="M302" s="4" t="n">
        <v>0</v>
      </c>
      <c r="N302" s="3" t="n">
        <v>666.4400000000001</v>
      </c>
      <c r="O302" s="3">
        <f>K302*L302*(1-M302)</f>
        <v/>
      </c>
      <c r="P302" s="3">
        <f>O302-N302</f>
        <v/>
      </c>
      <c r="Q302" s="5">
        <f>IFERROR(P302/O302,0)</f>
        <v/>
      </c>
      <c r="R302" s="2">
        <f>TEXT(DATEVALUE(B302),"mmm")</f>
        <v/>
      </c>
      <c r="S302" s="2">
        <f>TEXT(DATEVALUE(B302),"yyyy-mm")</f>
        <v/>
      </c>
    </row>
    <row r="303">
      <c r="A303" s="2" t="inlineStr">
        <is>
          <t>O003548</t>
        </is>
      </c>
      <c r="B303" s="2" t="inlineStr">
        <is>
          <t>2025-01-22</t>
        </is>
      </c>
      <c r="C303" s="2" t="inlineStr">
        <is>
          <t>C0630</t>
        </is>
      </c>
      <c r="D303" s="2" t="inlineStr">
        <is>
          <t>P0007</t>
        </is>
      </c>
      <c r="E303" s="2" t="inlineStr">
        <is>
          <t>Wireless Mouse</t>
        </is>
      </c>
      <c r="F303" s="2" t="inlineStr">
        <is>
          <t>Electronics</t>
        </is>
      </c>
      <c r="G303" s="2" t="inlineStr">
        <is>
          <t>South</t>
        </is>
      </c>
      <c r="H303" s="2" t="inlineStr">
        <is>
          <t>Karnataka</t>
        </is>
      </c>
      <c r="I303" s="2" t="inlineStr">
        <is>
          <t>Mysuru</t>
        </is>
      </c>
      <c r="J303" s="2" t="inlineStr">
        <is>
          <t>Store</t>
        </is>
      </c>
      <c r="K303" s="2" t="n">
        <v>1</v>
      </c>
      <c r="L303" s="3" t="n">
        <v>977.04</v>
      </c>
      <c r="M303" s="4" t="n">
        <v>0.1</v>
      </c>
      <c r="N303" s="3" t="n">
        <v>619.08</v>
      </c>
      <c r="O303" s="3">
        <f>K303*L303*(1-M303)</f>
        <v/>
      </c>
      <c r="P303" s="3">
        <f>O303-N303</f>
        <v/>
      </c>
      <c r="Q303" s="5">
        <f>IFERROR(P303/O303,0)</f>
        <v/>
      </c>
      <c r="R303" s="2">
        <f>TEXT(DATEVALUE(B303),"mmm")</f>
        <v/>
      </c>
      <c r="S303" s="2">
        <f>TEXT(DATEVALUE(B303),"yyyy-mm")</f>
        <v/>
      </c>
    </row>
    <row r="304">
      <c r="A304" s="2" t="inlineStr">
        <is>
          <t>O001864</t>
        </is>
      </c>
      <c r="B304" s="2" t="inlineStr">
        <is>
          <t>2025-01-22</t>
        </is>
      </c>
      <c r="C304" s="2" t="inlineStr">
        <is>
          <t>C0456</t>
        </is>
      </c>
      <c r="D304" s="2" t="inlineStr">
        <is>
          <t>P0015</t>
        </is>
      </c>
      <c r="E304" s="2" t="inlineStr">
        <is>
          <t>Running Shoes</t>
        </is>
      </c>
      <c r="F304" s="2" t="inlineStr">
        <is>
          <t>Fashion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Store</t>
        </is>
      </c>
      <c r="K304" s="2" t="n">
        <v>1</v>
      </c>
      <c r="L304" s="3" t="n">
        <v>583.63</v>
      </c>
      <c r="M304" s="4" t="n">
        <v>0.05</v>
      </c>
      <c r="N304" s="3" t="n">
        <v>365.47</v>
      </c>
      <c r="O304" s="3">
        <f>K304*L304*(1-M304)</f>
        <v/>
      </c>
      <c r="P304" s="3">
        <f>O304-N304</f>
        <v/>
      </c>
      <c r="Q304" s="5">
        <f>IFERROR(P304/O304,0)</f>
        <v/>
      </c>
      <c r="R304" s="2">
        <f>TEXT(DATEVALUE(B304),"mmm")</f>
        <v/>
      </c>
      <c r="S304" s="2">
        <f>TEXT(DATEVALUE(B304),"yyyy-mm")</f>
        <v/>
      </c>
    </row>
    <row r="305">
      <c r="A305" s="2" t="inlineStr">
        <is>
          <t>O002641</t>
        </is>
      </c>
      <c r="B305" s="2" t="inlineStr">
        <is>
          <t>2025-01-22</t>
        </is>
      </c>
      <c r="C305" s="2" t="inlineStr">
        <is>
          <t>C0336</t>
        </is>
      </c>
      <c r="D305" s="2" t="inlineStr">
        <is>
          <t>P0028</t>
        </is>
      </c>
      <c r="E305" s="2" t="inlineStr">
        <is>
          <t>Trimmer</t>
        </is>
      </c>
      <c r="F305" s="2" t="inlineStr">
        <is>
          <t>Beauty</t>
        </is>
      </c>
      <c r="G305" s="2" t="inlineStr">
        <is>
          <t>East</t>
        </is>
      </c>
      <c r="H305" s="2" t="inlineStr">
        <is>
          <t>Odisha</t>
        </is>
      </c>
      <c r="I305" s="2" t="inlineStr">
        <is>
          <t>Cuttack</t>
        </is>
      </c>
      <c r="J305" s="2" t="inlineStr">
        <is>
          <t>Store</t>
        </is>
      </c>
      <c r="K305" s="2" t="n">
        <v>2</v>
      </c>
      <c r="L305" s="3" t="n">
        <v>463.19</v>
      </c>
      <c r="M305" s="4" t="n">
        <v>0.1</v>
      </c>
      <c r="N305" s="3" t="n">
        <v>504.7</v>
      </c>
      <c r="O305" s="3">
        <f>K305*L305*(1-M305)</f>
        <v/>
      </c>
      <c r="P305" s="3">
        <f>O305-N305</f>
        <v/>
      </c>
      <c r="Q305" s="5">
        <f>IFERROR(P305/O305,0)</f>
        <v/>
      </c>
      <c r="R305" s="2">
        <f>TEXT(DATEVALUE(B305),"mmm")</f>
        <v/>
      </c>
      <c r="S305" s="2">
        <f>TEXT(DATEVALUE(B305),"yyyy-mm")</f>
        <v/>
      </c>
    </row>
    <row r="306">
      <c r="A306" s="2" t="inlineStr">
        <is>
          <t>O001735</t>
        </is>
      </c>
      <c r="B306" s="2" t="inlineStr">
        <is>
          <t>2025-01-22</t>
        </is>
      </c>
      <c r="C306" s="2" t="inlineStr">
        <is>
          <t>C0471</t>
        </is>
      </c>
      <c r="D306" s="2" t="inlineStr">
        <is>
          <t>P0007</t>
        </is>
      </c>
      <c r="E306" s="2" t="inlineStr">
        <is>
          <t>Wireless Mouse</t>
        </is>
      </c>
      <c r="F306" s="2" t="inlineStr">
        <is>
          <t>Electronics</t>
        </is>
      </c>
      <c r="G306" s="2" t="inlineStr">
        <is>
          <t>South</t>
        </is>
      </c>
      <c r="H306" s="2" t="inlineStr">
        <is>
          <t>Karnataka</t>
        </is>
      </c>
      <c r="I306" s="2" t="inlineStr">
        <is>
          <t>Mysuru</t>
        </is>
      </c>
      <c r="J306" s="2" t="inlineStr">
        <is>
          <t>Store</t>
        </is>
      </c>
      <c r="K306" s="2" t="n">
        <v>1</v>
      </c>
      <c r="L306" s="3" t="n">
        <v>972.96</v>
      </c>
      <c r="M306" s="4" t="n">
        <v>0.05</v>
      </c>
      <c r="N306" s="3" t="n">
        <v>614.66</v>
      </c>
      <c r="O306" s="3">
        <f>K306*L306*(1-M306)</f>
        <v/>
      </c>
      <c r="P306" s="3">
        <f>O306-N306</f>
        <v/>
      </c>
      <c r="Q306" s="5">
        <f>IFERROR(P306/O306,0)</f>
        <v/>
      </c>
      <c r="R306" s="2">
        <f>TEXT(DATEVALUE(B306),"mmm")</f>
        <v/>
      </c>
      <c r="S306" s="2">
        <f>TEXT(DATEVALUE(B306),"yyyy-mm")</f>
        <v/>
      </c>
    </row>
    <row r="307">
      <c r="A307" s="2" t="inlineStr">
        <is>
          <t>O001703</t>
        </is>
      </c>
      <c r="B307" s="2" t="inlineStr">
        <is>
          <t>2025-01-22</t>
        </is>
      </c>
      <c r="C307" s="2" t="inlineStr">
        <is>
          <t>C0444</t>
        </is>
      </c>
      <c r="D307" s="2" t="inlineStr">
        <is>
          <t>P0014</t>
        </is>
      </c>
      <c r="E307" s="2" t="inlineStr">
        <is>
          <t>Coffee Maker</t>
        </is>
      </c>
      <c r="F307" s="2" t="inlineStr">
        <is>
          <t>Home &amp; Kitchen</t>
        </is>
      </c>
      <c r="G307" s="2" t="inlineStr">
        <is>
          <t>North</t>
        </is>
      </c>
      <c r="H307" s="2" t="inlineStr">
        <is>
          <t>Haryana</t>
        </is>
      </c>
      <c r="I307" s="2" t="inlineStr">
        <is>
          <t>Gurugram</t>
        </is>
      </c>
      <c r="J307" s="2" t="inlineStr">
        <is>
          <t>Store</t>
        </is>
      </c>
      <c r="K307" s="2" t="n">
        <v>1</v>
      </c>
      <c r="L307" s="3" t="n">
        <v>1075.7</v>
      </c>
      <c r="M307" s="4" t="n">
        <v>0.1</v>
      </c>
      <c r="N307" s="3" t="n">
        <v>760.98</v>
      </c>
      <c r="O307" s="3">
        <f>K307*L307*(1-M307)</f>
        <v/>
      </c>
      <c r="P307" s="3">
        <f>O307-N307</f>
        <v/>
      </c>
      <c r="Q307" s="5">
        <f>IFERROR(P307/O307,0)</f>
        <v/>
      </c>
      <c r="R307" s="2">
        <f>TEXT(DATEVALUE(B307),"mmm")</f>
        <v/>
      </c>
      <c r="S307" s="2">
        <f>TEXT(DATEVALUE(B307),"yyyy-mm")</f>
        <v/>
      </c>
    </row>
    <row r="308">
      <c r="A308" s="2" t="inlineStr">
        <is>
          <t>O000847</t>
        </is>
      </c>
      <c r="B308" s="2" t="inlineStr">
        <is>
          <t>2025-01-22</t>
        </is>
      </c>
      <c r="C308" s="2" t="inlineStr">
        <is>
          <t>C0652</t>
        </is>
      </c>
      <c r="D308" s="2" t="inlineStr">
        <is>
          <t>P0018</t>
        </is>
      </c>
      <c r="E308" s="2" t="inlineStr">
        <is>
          <t>Backpack</t>
        </is>
      </c>
      <c r="F308" s="2" t="inlineStr">
        <is>
          <t>Fashion</t>
        </is>
      </c>
      <c r="G308" s="2" t="inlineStr">
        <is>
          <t>North</t>
        </is>
      </c>
      <c r="H308" s="2" t="inlineStr">
        <is>
          <t>Punjab</t>
        </is>
      </c>
      <c r="I308" s="2" t="inlineStr">
        <is>
          <t>Jalandhar</t>
        </is>
      </c>
      <c r="J308" s="2" t="inlineStr">
        <is>
          <t>Online</t>
        </is>
      </c>
      <c r="K308" s="2" t="n">
        <v>6</v>
      </c>
      <c r="L308" s="3" t="n">
        <v>1870.12</v>
      </c>
      <c r="M308" s="4" t="n">
        <v>0.05</v>
      </c>
      <c r="N308" s="3" t="n">
        <v>8218.32</v>
      </c>
      <c r="O308" s="3">
        <f>K308*L308*(1-M308)</f>
        <v/>
      </c>
      <c r="P308" s="3">
        <f>O308-N308</f>
        <v/>
      </c>
      <c r="Q308" s="5">
        <f>IFERROR(P308/O308,0)</f>
        <v/>
      </c>
      <c r="R308" s="2">
        <f>TEXT(DATEVALUE(B308),"mmm")</f>
        <v/>
      </c>
      <c r="S308" s="2">
        <f>TEXT(DATEVALUE(B308),"yyyy-mm")</f>
        <v/>
      </c>
    </row>
    <row r="309">
      <c r="A309" s="2" t="inlineStr">
        <is>
          <t>O000308</t>
        </is>
      </c>
      <c r="B309" s="2" t="inlineStr">
        <is>
          <t>2025-01-22</t>
        </is>
      </c>
      <c r="C309" s="2" t="inlineStr">
        <is>
          <t>C0622</t>
        </is>
      </c>
      <c r="D309" s="2" t="inlineStr">
        <is>
          <t>P0006</t>
        </is>
      </c>
      <c r="E309" s="2" t="inlineStr">
        <is>
          <t>Mechanical Keyboard</t>
        </is>
      </c>
      <c r="F309" s="2" t="inlineStr">
        <is>
          <t>Electronics</t>
        </is>
      </c>
      <c r="G309" s="2" t="inlineStr">
        <is>
          <t>North</t>
        </is>
      </c>
      <c r="H309" s="2" t="inlineStr">
        <is>
          <t>Delhi</t>
        </is>
      </c>
      <c r="I309" s="2" t="inlineStr">
        <is>
          <t>New Delhi</t>
        </is>
      </c>
      <c r="J309" s="2" t="inlineStr">
        <is>
          <t>Online</t>
        </is>
      </c>
      <c r="K309" s="2" t="n">
        <v>3</v>
      </c>
      <c r="L309" s="3" t="n">
        <v>2732.87</v>
      </c>
      <c r="M309" s="4" t="n">
        <v>0.05</v>
      </c>
      <c r="N309" s="3" t="n">
        <v>4371.91</v>
      </c>
      <c r="O309" s="3">
        <f>K309*L309*(1-M309)</f>
        <v/>
      </c>
      <c r="P309" s="3">
        <f>O309-N309</f>
        <v/>
      </c>
      <c r="Q309" s="5">
        <f>IFERROR(P309/O309,0)</f>
        <v/>
      </c>
      <c r="R309" s="2">
        <f>TEXT(DATEVALUE(B309),"mmm")</f>
        <v/>
      </c>
      <c r="S309" s="2">
        <f>TEXT(DATEVALUE(B309),"yyyy-mm")</f>
        <v/>
      </c>
    </row>
    <row r="310">
      <c r="A310" s="2" t="inlineStr">
        <is>
          <t>O000026</t>
        </is>
      </c>
      <c r="B310" s="2" t="inlineStr">
        <is>
          <t>2025-01-22</t>
        </is>
      </c>
      <c r="C310" s="2" t="inlineStr">
        <is>
          <t>C0430</t>
        </is>
      </c>
      <c r="D310" s="2" t="inlineStr">
        <is>
          <t>P0003</t>
        </is>
      </c>
      <c r="E310" s="2" t="inlineStr">
        <is>
          <t>Smartwatch</t>
        </is>
      </c>
      <c r="F310" s="2" t="inlineStr">
        <is>
          <t>Electronics</t>
        </is>
      </c>
      <c r="G310" s="2" t="inlineStr">
        <is>
          <t>West</t>
        </is>
      </c>
      <c r="H310" s="2" t="inlineStr">
        <is>
          <t>Goa</t>
        </is>
      </c>
      <c r="I310" s="2" t="inlineStr">
        <is>
          <t>Panaji</t>
        </is>
      </c>
      <c r="J310" s="2" t="inlineStr">
        <is>
          <t>Store</t>
        </is>
      </c>
      <c r="K310" s="2" t="n">
        <v>2</v>
      </c>
      <c r="L310" s="3" t="n">
        <v>2328.46</v>
      </c>
      <c r="M310" s="4" t="n">
        <v>0.05</v>
      </c>
      <c r="N310" s="3" t="n">
        <v>2347.41</v>
      </c>
      <c r="O310" s="3">
        <f>K310*L310*(1-M310)</f>
        <v/>
      </c>
      <c r="P310" s="3">
        <f>O310-N310</f>
        <v/>
      </c>
      <c r="Q310" s="5">
        <f>IFERROR(P310/O310,0)</f>
        <v/>
      </c>
      <c r="R310" s="2">
        <f>TEXT(DATEVALUE(B310),"mmm")</f>
        <v/>
      </c>
      <c r="S310" s="2">
        <f>TEXT(DATEVALUE(B310),"yyyy-mm")</f>
        <v/>
      </c>
    </row>
    <row r="311">
      <c r="A311" s="2" t="inlineStr">
        <is>
          <t>O002912</t>
        </is>
      </c>
      <c r="B311" s="2" t="inlineStr">
        <is>
          <t>2025-01-22</t>
        </is>
      </c>
      <c r="C311" s="2" t="inlineStr">
        <is>
          <t>C0650</t>
        </is>
      </c>
      <c r="D311" s="2" t="inlineStr">
        <is>
          <t>P0003</t>
        </is>
      </c>
      <c r="E311" s="2" t="inlineStr">
        <is>
          <t>Smartwatch</t>
        </is>
      </c>
      <c r="F311" s="2" t="inlineStr">
        <is>
          <t>Electronics</t>
        </is>
      </c>
      <c r="G311" s="2" t="inlineStr">
        <is>
          <t>South</t>
        </is>
      </c>
      <c r="H311" s="2" t="inlineStr">
        <is>
          <t>Telangana</t>
        </is>
      </c>
      <c r="I311" s="2" t="inlineStr">
        <is>
          <t>Warangal</t>
        </is>
      </c>
      <c r="J311" s="2" t="inlineStr">
        <is>
          <t>Online</t>
        </is>
      </c>
      <c r="K311" s="2" t="n">
        <v>6</v>
      </c>
      <c r="L311" s="3" t="n">
        <v>2321.66</v>
      </c>
      <c r="M311" s="4" t="n">
        <v>0</v>
      </c>
      <c r="N311" s="3" t="n">
        <v>7021.36</v>
      </c>
      <c r="O311" s="3">
        <f>K311*L311*(1-M311)</f>
        <v/>
      </c>
      <c r="P311" s="3">
        <f>O311-N311</f>
        <v/>
      </c>
      <c r="Q311" s="5">
        <f>IFERROR(P311/O311,0)</f>
        <v/>
      </c>
      <c r="R311" s="2">
        <f>TEXT(DATEVALUE(B311),"mmm")</f>
        <v/>
      </c>
      <c r="S311" s="2">
        <f>TEXT(DATEVALUE(B311),"yyyy-mm")</f>
        <v/>
      </c>
    </row>
    <row r="312">
      <c r="A312" s="2" t="inlineStr">
        <is>
          <t>O003596</t>
        </is>
      </c>
      <c r="B312" s="2" t="inlineStr">
        <is>
          <t>2025-01-23</t>
        </is>
      </c>
      <c r="C312" s="2" t="inlineStr">
        <is>
          <t>C0555</t>
        </is>
      </c>
      <c r="D312" s="2" t="inlineStr">
        <is>
          <t>P0031</t>
        </is>
      </c>
      <c r="E312" s="2" t="inlineStr">
        <is>
          <t>Cricket Bat</t>
        </is>
      </c>
      <c r="F312" s="2" t="inlineStr">
        <is>
          <t>Sports</t>
        </is>
      </c>
      <c r="G312" s="2" t="inlineStr">
        <is>
          <t>West</t>
        </is>
      </c>
      <c r="H312" s="2" t="inlineStr">
        <is>
          <t>Gujarat</t>
        </is>
      </c>
      <c r="I312" s="2" t="inlineStr">
        <is>
          <t>Vadodara</t>
        </is>
      </c>
      <c r="J312" s="2" t="inlineStr">
        <is>
          <t>Store</t>
        </is>
      </c>
      <c r="K312" s="2" t="n">
        <v>1</v>
      </c>
      <c r="L312" s="3" t="n">
        <v>1366.69</v>
      </c>
      <c r="M312" s="4" t="n">
        <v>0</v>
      </c>
      <c r="N312" s="3" t="n">
        <v>954.9</v>
      </c>
      <c r="O312" s="3">
        <f>K312*L312*(1-M312)</f>
        <v/>
      </c>
      <c r="P312" s="3">
        <f>O312-N312</f>
        <v/>
      </c>
      <c r="Q312" s="5">
        <f>IFERROR(P312/O312,0)</f>
        <v/>
      </c>
      <c r="R312" s="2">
        <f>TEXT(DATEVALUE(B312),"mmm")</f>
        <v/>
      </c>
      <c r="S312" s="2">
        <f>TEXT(DATEVALUE(B312),"yyyy-mm")</f>
        <v/>
      </c>
    </row>
    <row r="313">
      <c r="A313" s="2" t="inlineStr">
        <is>
          <t>O004513</t>
        </is>
      </c>
      <c r="B313" s="2" t="inlineStr">
        <is>
          <t>2025-01-23</t>
        </is>
      </c>
      <c r="C313" s="2" t="inlineStr">
        <is>
          <t>C0456</t>
        </is>
      </c>
      <c r="D313" s="2" t="inlineStr">
        <is>
          <t>P0013</t>
        </is>
      </c>
      <c r="E313" s="2" t="inlineStr">
        <is>
          <t>Storage Organizer</t>
        </is>
      </c>
      <c r="F313" s="2" t="inlineStr">
        <is>
          <t>Home &amp; Kitchen</t>
        </is>
      </c>
      <c r="G313" s="2" t="inlineStr">
        <is>
          <t>East</t>
        </is>
      </c>
      <c r="H313" s="2" t="inlineStr">
        <is>
          <t>West Bengal</t>
        </is>
      </c>
      <c r="I313" s="2" t="inlineStr">
        <is>
          <t>Durgapur</t>
        </is>
      </c>
      <c r="J313" s="2" t="inlineStr">
        <is>
          <t>Online</t>
        </is>
      </c>
      <c r="K313" s="2" t="n">
        <v>2</v>
      </c>
      <c r="L313" s="3" t="n">
        <v>580.77</v>
      </c>
      <c r="M313" s="4" t="n">
        <v>0.05</v>
      </c>
      <c r="N313" s="3" t="n">
        <v>707.36</v>
      </c>
      <c r="O313" s="3">
        <f>K313*L313*(1-M313)</f>
        <v/>
      </c>
      <c r="P313" s="3">
        <f>O313-N313</f>
        <v/>
      </c>
      <c r="Q313" s="5">
        <f>IFERROR(P313/O313,0)</f>
        <v/>
      </c>
      <c r="R313" s="2">
        <f>TEXT(DATEVALUE(B313),"mmm")</f>
        <v/>
      </c>
      <c r="S313" s="2">
        <f>TEXT(DATEVALUE(B313),"yyyy-mm")</f>
        <v/>
      </c>
    </row>
    <row r="314">
      <c r="A314" s="2" t="inlineStr">
        <is>
          <t>O003719</t>
        </is>
      </c>
      <c r="B314" s="2" t="inlineStr">
        <is>
          <t>2025-01-23</t>
        </is>
      </c>
      <c r="C314" s="2" t="inlineStr">
        <is>
          <t>C0684</t>
        </is>
      </c>
      <c r="D314" s="2" t="inlineStr">
        <is>
          <t>P0016</t>
        </is>
      </c>
      <c r="E314" s="2" t="inlineStr">
        <is>
          <t>Casual Shirt</t>
        </is>
      </c>
      <c r="F314" s="2" t="inlineStr">
        <is>
          <t>Fashion</t>
        </is>
      </c>
      <c r="G314" s="2" t="inlineStr">
        <is>
          <t>South</t>
        </is>
      </c>
      <c r="H314" s="2" t="inlineStr">
        <is>
          <t>Kerala</t>
        </is>
      </c>
      <c r="I314" s="2" t="inlineStr">
        <is>
          <t>Kochi</t>
        </is>
      </c>
      <c r="J314" s="2" t="inlineStr">
        <is>
          <t>Online</t>
        </is>
      </c>
      <c r="K314" s="2" t="n">
        <v>2</v>
      </c>
      <c r="L314" s="3" t="n">
        <v>1275.96</v>
      </c>
      <c r="M314" s="4" t="n">
        <v>0</v>
      </c>
      <c r="N314" s="3" t="n">
        <v>1842.88</v>
      </c>
      <c r="O314" s="3">
        <f>K314*L314*(1-M314)</f>
        <v/>
      </c>
      <c r="P314" s="3">
        <f>O314-N314</f>
        <v/>
      </c>
      <c r="Q314" s="5">
        <f>IFERROR(P314/O314,0)</f>
        <v/>
      </c>
      <c r="R314" s="2">
        <f>TEXT(DATEVALUE(B314),"mmm")</f>
        <v/>
      </c>
      <c r="S314" s="2">
        <f>TEXT(DATEVALUE(B314),"yyyy-mm")</f>
        <v/>
      </c>
    </row>
    <row r="315">
      <c r="A315" s="2" t="inlineStr">
        <is>
          <t>O003649</t>
        </is>
      </c>
      <c r="B315" s="2" t="inlineStr">
        <is>
          <t>2025-01-23</t>
        </is>
      </c>
      <c r="C315" s="2" t="inlineStr">
        <is>
          <t>C0095</t>
        </is>
      </c>
      <c r="D315" s="2" t="inlineStr">
        <is>
          <t>P0006</t>
        </is>
      </c>
      <c r="E315" s="2" t="inlineStr">
        <is>
          <t>Mechanical Keyboard</t>
        </is>
      </c>
      <c r="F315" s="2" t="inlineStr">
        <is>
          <t>Electronics</t>
        </is>
      </c>
      <c r="G315" s="2" t="inlineStr">
        <is>
          <t>West</t>
        </is>
      </c>
      <c r="H315" s="2" t="inlineStr">
        <is>
          <t>Gujarat</t>
        </is>
      </c>
      <c r="I315" s="2" t="inlineStr">
        <is>
          <t>Vadodara</t>
        </is>
      </c>
      <c r="J315" s="2" t="inlineStr">
        <is>
          <t>Online</t>
        </is>
      </c>
      <c r="K315" s="2" t="n">
        <v>2</v>
      </c>
      <c r="L315" s="3" t="n">
        <v>2678.58</v>
      </c>
      <c r="M315" s="4" t="n">
        <v>0.05</v>
      </c>
      <c r="N315" s="3" t="n">
        <v>3035.14</v>
      </c>
      <c r="O315" s="3">
        <f>K315*L315*(1-M315)</f>
        <v/>
      </c>
      <c r="P315" s="3">
        <f>O315-N315</f>
        <v/>
      </c>
      <c r="Q315" s="5">
        <f>IFERROR(P315/O315,0)</f>
        <v/>
      </c>
      <c r="R315" s="2">
        <f>TEXT(DATEVALUE(B315),"mmm")</f>
        <v/>
      </c>
      <c r="S315" s="2">
        <f>TEXT(DATEVALUE(B315),"yyyy-mm")</f>
        <v/>
      </c>
    </row>
    <row r="316">
      <c r="A316" s="2" t="inlineStr">
        <is>
          <t>O003369</t>
        </is>
      </c>
      <c r="B316" s="2" t="inlineStr">
        <is>
          <t>2025-01-23</t>
        </is>
      </c>
      <c r="C316" s="2" t="inlineStr">
        <is>
          <t>C0023</t>
        </is>
      </c>
      <c r="D316" s="2" t="inlineStr">
        <is>
          <t>P0016</t>
        </is>
      </c>
      <c r="E316" s="2" t="inlineStr">
        <is>
          <t>Casual Shirt</t>
        </is>
      </c>
      <c r="F316" s="2" t="inlineStr">
        <is>
          <t>Fashion</t>
        </is>
      </c>
      <c r="G316" s="2" t="inlineStr">
        <is>
          <t>West</t>
        </is>
      </c>
      <c r="H316" s="2" t="inlineStr">
        <is>
          <t>Gujarat</t>
        </is>
      </c>
      <c r="I316" s="2" t="inlineStr">
        <is>
          <t>Surat</t>
        </is>
      </c>
      <c r="J316" s="2" t="inlineStr">
        <is>
          <t>Store</t>
        </is>
      </c>
      <c r="K316" s="2" t="n">
        <v>2</v>
      </c>
      <c r="L316" s="3" t="n">
        <v>1337.07</v>
      </c>
      <c r="M316" s="4" t="n">
        <v>0</v>
      </c>
      <c r="N316" s="3" t="n">
        <v>1796.27</v>
      </c>
      <c r="O316" s="3">
        <f>K316*L316*(1-M316)</f>
        <v/>
      </c>
      <c r="P316" s="3">
        <f>O316-N316</f>
        <v/>
      </c>
      <c r="Q316" s="5">
        <f>IFERROR(P316/O316,0)</f>
        <v/>
      </c>
      <c r="R316" s="2">
        <f>TEXT(DATEVALUE(B316),"mmm")</f>
        <v/>
      </c>
      <c r="S316" s="2">
        <f>TEXT(DATEVALUE(B316),"yyyy-mm")</f>
        <v/>
      </c>
    </row>
    <row r="317">
      <c r="A317" s="2" t="inlineStr">
        <is>
          <t>O001130</t>
        </is>
      </c>
      <c r="B317" s="2" t="inlineStr">
        <is>
          <t>2025-01-23</t>
        </is>
      </c>
      <c r="C317" s="2" t="inlineStr">
        <is>
          <t>C0213</t>
        </is>
      </c>
      <c r="D317" s="2" t="inlineStr">
        <is>
          <t>P0027</t>
        </is>
      </c>
      <c r="E317" s="2" t="inlineStr">
        <is>
          <t>Moisturizer</t>
        </is>
      </c>
      <c r="F317" s="2" t="inlineStr">
        <is>
          <t>Beauty</t>
        </is>
      </c>
      <c r="G317" s="2" t="inlineStr">
        <is>
          <t>North</t>
        </is>
      </c>
      <c r="H317" s="2" t="inlineStr">
        <is>
          <t>Delhi</t>
        </is>
      </c>
      <c r="I317" s="2" t="inlineStr">
        <is>
          <t>New Delhi</t>
        </is>
      </c>
      <c r="J317" s="2" t="inlineStr">
        <is>
          <t>Online</t>
        </is>
      </c>
      <c r="K317" s="2" t="n">
        <v>3</v>
      </c>
      <c r="L317" s="3" t="n">
        <v>964.3099999999999</v>
      </c>
      <c r="M317" s="4" t="n">
        <v>0.2</v>
      </c>
      <c r="N317" s="3" t="n">
        <v>2043.39</v>
      </c>
      <c r="O317" s="3">
        <f>K317*L317*(1-M317)</f>
        <v/>
      </c>
      <c r="P317" s="3">
        <f>O317-N317</f>
        <v/>
      </c>
      <c r="Q317" s="5">
        <f>IFERROR(P317/O317,0)</f>
        <v/>
      </c>
      <c r="R317" s="2">
        <f>TEXT(DATEVALUE(B317),"mmm")</f>
        <v/>
      </c>
      <c r="S317" s="2">
        <f>TEXT(DATEVALUE(B317),"yyyy-mm")</f>
        <v/>
      </c>
    </row>
    <row r="318">
      <c r="A318" s="2" t="inlineStr">
        <is>
          <t>O001658</t>
        </is>
      </c>
      <c r="B318" s="2" t="inlineStr">
        <is>
          <t>2025-01-23</t>
        </is>
      </c>
      <c r="C318" s="2" t="inlineStr">
        <is>
          <t>C0309</t>
        </is>
      </c>
      <c r="D318" s="2" t="inlineStr">
        <is>
          <t>P0030</t>
        </is>
      </c>
      <c r="E318" s="2" t="inlineStr">
        <is>
          <t>Dumbbells</t>
        </is>
      </c>
      <c r="F318" s="2" t="inlineStr">
        <is>
          <t>Sports</t>
        </is>
      </c>
      <c r="G318" s="2" t="inlineStr">
        <is>
          <t>East</t>
        </is>
      </c>
      <c r="H318" s="2" t="inlineStr">
        <is>
          <t>Bihar</t>
        </is>
      </c>
      <c r="I318" s="2" t="inlineStr">
        <is>
          <t>Patna</t>
        </is>
      </c>
      <c r="J318" s="2" t="inlineStr">
        <is>
          <t>Online</t>
        </is>
      </c>
      <c r="K318" s="2" t="n">
        <v>1</v>
      </c>
      <c r="L318" s="3" t="n">
        <v>1540.6</v>
      </c>
      <c r="M318" s="4" t="n">
        <v>0.05</v>
      </c>
      <c r="N318" s="3" t="n">
        <v>1009.64</v>
      </c>
      <c r="O318" s="3">
        <f>K318*L318*(1-M318)</f>
        <v/>
      </c>
      <c r="P318" s="3">
        <f>O318-N318</f>
        <v/>
      </c>
      <c r="Q318" s="5">
        <f>IFERROR(P318/O318,0)</f>
        <v/>
      </c>
      <c r="R318" s="2">
        <f>TEXT(DATEVALUE(B318),"mmm")</f>
        <v/>
      </c>
      <c r="S318" s="2">
        <f>TEXT(DATEVALUE(B318),"yyyy-mm")</f>
        <v/>
      </c>
    </row>
    <row r="319">
      <c r="A319" s="2" t="inlineStr">
        <is>
          <t>O002662</t>
        </is>
      </c>
      <c r="B319" s="2" t="inlineStr">
        <is>
          <t>2025-01-23</t>
        </is>
      </c>
      <c r="C319" s="2" t="inlineStr">
        <is>
          <t>C0568</t>
        </is>
      </c>
      <c r="D319" s="2" t="inlineStr">
        <is>
          <t>P0012</t>
        </is>
      </c>
      <c r="E319" s="2" t="inlineStr">
        <is>
          <t>Water Bottle</t>
        </is>
      </c>
      <c r="F319" s="2" t="inlineStr">
        <is>
          <t>Home &amp; Kitchen</t>
        </is>
      </c>
      <c r="G319" s="2" t="inlineStr">
        <is>
          <t>West</t>
        </is>
      </c>
      <c r="H319" s="2" t="inlineStr">
        <is>
          <t>Gujarat</t>
        </is>
      </c>
      <c r="I319" s="2" t="inlineStr">
        <is>
          <t>Ahmedabad</t>
        </is>
      </c>
      <c r="J319" s="2" t="inlineStr">
        <is>
          <t>Store</t>
        </is>
      </c>
      <c r="K319" s="2" t="n">
        <v>1</v>
      </c>
      <c r="L319" s="3" t="n">
        <v>1018.24</v>
      </c>
      <c r="M319" s="4" t="n">
        <v>0</v>
      </c>
      <c r="N319" s="3" t="n">
        <v>641.03</v>
      </c>
      <c r="O319" s="3">
        <f>K319*L319*(1-M319)</f>
        <v/>
      </c>
      <c r="P319" s="3">
        <f>O319-N319</f>
        <v/>
      </c>
      <c r="Q319" s="5">
        <f>IFERROR(P319/O319,0)</f>
        <v/>
      </c>
      <c r="R319" s="2">
        <f>TEXT(DATEVALUE(B319),"mmm")</f>
        <v/>
      </c>
      <c r="S319" s="2">
        <f>TEXT(DATEVALUE(B319),"yyyy-mm")</f>
        <v/>
      </c>
    </row>
    <row r="320">
      <c r="A320" s="2" t="inlineStr">
        <is>
          <t>O001063</t>
        </is>
      </c>
      <c r="B320" s="2" t="inlineStr">
        <is>
          <t>2025-01-23</t>
        </is>
      </c>
      <c r="C320" s="2" t="inlineStr">
        <is>
          <t>C0740</t>
        </is>
      </c>
      <c r="D320" s="2" t="inlineStr">
        <is>
          <t>P0026</t>
        </is>
      </c>
      <c r="E320" s="2" t="inlineStr">
        <is>
          <t>Shampoo</t>
        </is>
      </c>
      <c r="F320" s="2" t="inlineStr">
        <is>
          <t>Beauty</t>
        </is>
      </c>
      <c r="G320" s="2" t="inlineStr">
        <is>
          <t>North</t>
        </is>
      </c>
      <c r="H320" s="2" t="inlineStr">
        <is>
          <t>Haryana</t>
        </is>
      </c>
      <c r="I320" s="2" t="inlineStr">
        <is>
          <t>Gurugram</t>
        </is>
      </c>
      <c r="J320" s="2" t="inlineStr">
        <is>
          <t>Online</t>
        </is>
      </c>
      <c r="K320" s="2" t="n">
        <v>3</v>
      </c>
      <c r="L320" s="3" t="n">
        <v>919.05</v>
      </c>
      <c r="M320" s="4" t="n">
        <v>0</v>
      </c>
      <c r="N320" s="3" t="n">
        <v>1515.29</v>
      </c>
      <c r="O320" s="3">
        <f>K320*L320*(1-M320)</f>
        <v/>
      </c>
      <c r="P320" s="3">
        <f>O320-N320</f>
        <v/>
      </c>
      <c r="Q320" s="5">
        <f>IFERROR(P320/O320,0)</f>
        <v/>
      </c>
      <c r="R320" s="2">
        <f>TEXT(DATEVALUE(B320),"mmm")</f>
        <v/>
      </c>
      <c r="S320" s="2">
        <f>TEXT(DATEVALUE(B320),"yyyy-mm")</f>
        <v/>
      </c>
    </row>
    <row r="321">
      <c r="A321" s="2" t="inlineStr">
        <is>
          <t>O000748</t>
        </is>
      </c>
      <c r="B321" s="2" t="inlineStr">
        <is>
          <t>2025-01-23</t>
        </is>
      </c>
      <c r="C321" s="2" t="inlineStr">
        <is>
          <t>C0060</t>
        </is>
      </c>
      <c r="D321" s="2" t="inlineStr">
        <is>
          <t>P0003</t>
        </is>
      </c>
      <c r="E321" s="2" t="inlineStr">
        <is>
          <t>Smartwatch</t>
        </is>
      </c>
      <c r="F321" s="2" t="inlineStr">
        <is>
          <t>Electronics</t>
        </is>
      </c>
      <c r="G321" s="2" t="inlineStr">
        <is>
          <t>South</t>
        </is>
      </c>
      <c r="H321" s="2" t="inlineStr">
        <is>
          <t>Telangana</t>
        </is>
      </c>
      <c r="I321" s="2" t="inlineStr">
        <is>
          <t>Warangal</t>
        </is>
      </c>
      <c r="J321" s="2" t="inlineStr">
        <is>
          <t>Store</t>
        </is>
      </c>
      <c r="K321" s="2" t="n">
        <v>1</v>
      </c>
      <c r="L321" s="3" t="n">
        <v>2237.76</v>
      </c>
      <c r="M321" s="4" t="n">
        <v>0</v>
      </c>
      <c r="N321" s="3" t="n">
        <v>1147.29</v>
      </c>
      <c r="O321" s="3">
        <f>K321*L321*(1-M321)</f>
        <v/>
      </c>
      <c r="P321" s="3">
        <f>O321-N321</f>
        <v/>
      </c>
      <c r="Q321" s="5">
        <f>IFERROR(P321/O321,0)</f>
        <v/>
      </c>
      <c r="R321" s="2">
        <f>TEXT(DATEVALUE(B321),"mmm")</f>
        <v/>
      </c>
      <c r="S321" s="2">
        <f>TEXT(DATEVALUE(B321),"yyyy-mm")</f>
        <v/>
      </c>
    </row>
    <row r="322">
      <c r="A322" s="2" t="inlineStr">
        <is>
          <t>O000483</t>
        </is>
      </c>
      <c r="B322" s="2" t="inlineStr">
        <is>
          <t>2025-01-23</t>
        </is>
      </c>
      <c r="C322" s="2" t="inlineStr">
        <is>
          <t>C0390</t>
        </is>
      </c>
      <c r="D322" s="2" t="inlineStr">
        <is>
          <t>P0010</t>
        </is>
      </c>
      <c r="E322" s="2" t="inlineStr">
        <is>
          <t>Mixer Grinder</t>
        </is>
      </c>
      <c r="F322" s="2" t="inlineStr">
        <is>
          <t>Home &amp; Kitchen</t>
        </is>
      </c>
      <c r="G322" s="2" t="inlineStr">
        <is>
          <t>South</t>
        </is>
      </c>
      <c r="H322" s="2" t="inlineStr">
        <is>
          <t>Tamil Nadu</t>
        </is>
      </c>
      <c r="I322" s="2" t="inlineStr">
        <is>
          <t>Chennai</t>
        </is>
      </c>
      <c r="J322" s="2" t="inlineStr">
        <is>
          <t>Store</t>
        </is>
      </c>
      <c r="K322" s="2" t="n">
        <v>2</v>
      </c>
      <c r="L322" s="3" t="n">
        <v>1680.04</v>
      </c>
      <c r="M322" s="4" t="n">
        <v>0.05</v>
      </c>
      <c r="N322" s="3" t="n">
        <v>2085.78</v>
      </c>
      <c r="O322" s="3">
        <f>K322*L322*(1-M322)</f>
        <v/>
      </c>
      <c r="P322" s="3">
        <f>O322-N322</f>
        <v/>
      </c>
      <c r="Q322" s="5">
        <f>IFERROR(P322/O322,0)</f>
        <v/>
      </c>
      <c r="R322" s="2">
        <f>TEXT(DATEVALUE(B322),"mmm")</f>
        <v/>
      </c>
      <c r="S322" s="2">
        <f>TEXT(DATEVALUE(B322),"yyyy-mm")</f>
        <v/>
      </c>
    </row>
    <row r="323">
      <c r="A323" s="2" t="inlineStr">
        <is>
          <t>O004104</t>
        </is>
      </c>
      <c r="B323" s="2" t="inlineStr">
        <is>
          <t>2025-01-24</t>
        </is>
      </c>
      <c r="C323" s="2" t="inlineStr">
        <is>
          <t>C0597</t>
        </is>
      </c>
      <c r="D323" s="2" t="inlineStr">
        <is>
          <t>P0021</t>
        </is>
      </c>
      <c r="E323" s="2" t="inlineStr">
        <is>
          <t>Wallet</t>
        </is>
      </c>
      <c r="F323" s="2" t="inlineStr">
        <is>
          <t>Fashion</t>
        </is>
      </c>
      <c r="G323" s="2" t="inlineStr">
        <is>
          <t>North</t>
        </is>
      </c>
      <c r="H323" s="2" t="inlineStr">
        <is>
          <t>Haryana</t>
        </is>
      </c>
      <c r="I323" s="2" t="inlineStr">
        <is>
          <t>Gurugram</t>
        </is>
      </c>
      <c r="J323" s="2" t="inlineStr">
        <is>
          <t>Store</t>
        </is>
      </c>
      <c r="K323" s="2" t="n">
        <v>3</v>
      </c>
      <c r="L323" s="3" t="n">
        <v>2032.25</v>
      </c>
      <c r="M323" s="4" t="n">
        <v>0.1</v>
      </c>
      <c r="N323" s="3" t="n">
        <v>3627.42</v>
      </c>
      <c r="O323" s="3">
        <f>K323*L323*(1-M323)</f>
        <v/>
      </c>
      <c r="P323" s="3">
        <f>O323-N323</f>
        <v/>
      </c>
      <c r="Q323" s="5">
        <f>IFERROR(P323/O323,0)</f>
        <v/>
      </c>
      <c r="R323" s="2">
        <f>TEXT(DATEVALUE(B323),"mmm")</f>
        <v/>
      </c>
      <c r="S323" s="2">
        <f>TEXT(DATEVALUE(B323),"yyyy-mm")</f>
        <v/>
      </c>
    </row>
    <row r="324">
      <c r="A324" s="2" t="inlineStr">
        <is>
          <t>O003808</t>
        </is>
      </c>
      <c r="B324" s="2" t="inlineStr">
        <is>
          <t>2025-01-24</t>
        </is>
      </c>
      <c r="C324" s="2" t="inlineStr">
        <is>
          <t>C0273</t>
        </is>
      </c>
      <c r="D324" s="2" t="inlineStr">
        <is>
          <t>P0019</t>
        </is>
      </c>
      <c r="E324" s="2" t="inlineStr">
        <is>
          <t>Jacket</t>
        </is>
      </c>
      <c r="F324" s="2" t="inlineStr">
        <is>
          <t>Fashion</t>
        </is>
      </c>
      <c r="G324" s="2" t="inlineStr">
        <is>
          <t>South</t>
        </is>
      </c>
      <c r="H324" s="2" t="inlineStr">
        <is>
          <t>Karnataka</t>
        </is>
      </c>
      <c r="I324" s="2" t="inlineStr">
        <is>
          <t>Mangaluru</t>
        </is>
      </c>
      <c r="J324" s="2" t="inlineStr">
        <is>
          <t>Online</t>
        </is>
      </c>
      <c r="K324" s="2" t="n">
        <v>1</v>
      </c>
      <c r="L324" s="3" t="n">
        <v>1068.48</v>
      </c>
      <c r="M324" s="4" t="n">
        <v>0.05</v>
      </c>
      <c r="N324" s="3" t="n">
        <v>661.41</v>
      </c>
      <c r="O324" s="3">
        <f>K324*L324*(1-M324)</f>
        <v/>
      </c>
      <c r="P324" s="3">
        <f>O324-N324</f>
        <v/>
      </c>
      <c r="Q324" s="5">
        <f>IFERROR(P324/O324,0)</f>
        <v/>
      </c>
      <c r="R324" s="2">
        <f>TEXT(DATEVALUE(B324),"mmm")</f>
        <v/>
      </c>
      <c r="S324" s="2">
        <f>TEXT(DATEVALUE(B324),"yyyy-mm")</f>
        <v/>
      </c>
    </row>
    <row r="325">
      <c r="A325" s="2" t="inlineStr">
        <is>
          <t>O003724</t>
        </is>
      </c>
      <c r="B325" s="2" t="inlineStr">
        <is>
          <t>2025-01-24</t>
        </is>
      </c>
      <c r="C325" s="2" t="inlineStr">
        <is>
          <t>C0494</t>
        </is>
      </c>
      <c r="D325" s="2" t="inlineStr">
        <is>
          <t>P0030</t>
        </is>
      </c>
      <c r="E325" s="2" t="inlineStr">
        <is>
          <t>Dumbbells</t>
        </is>
      </c>
      <c r="F325" s="2" t="inlineStr">
        <is>
          <t>Sports</t>
        </is>
      </c>
      <c r="G325" s="2" t="inlineStr">
        <is>
          <t>South</t>
        </is>
      </c>
      <c r="H325" s="2" t="inlineStr">
        <is>
          <t>Telangana</t>
        </is>
      </c>
      <c r="I325" s="2" t="inlineStr">
        <is>
          <t>Hyderabad</t>
        </is>
      </c>
      <c r="J325" s="2" t="inlineStr">
        <is>
          <t>Online</t>
        </is>
      </c>
      <c r="K325" s="2" t="n">
        <v>3</v>
      </c>
      <c r="L325" s="3" t="n">
        <v>1604.96</v>
      </c>
      <c r="M325" s="4" t="n">
        <v>0.05</v>
      </c>
      <c r="N325" s="3" t="n">
        <v>3180.48</v>
      </c>
      <c r="O325" s="3">
        <f>K325*L325*(1-M325)</f>
        <v/>
      </c>
      <c r="P325" s="3">
        <f>O325-N325</f>
        <v/>
      </c>
      <c r="Q325" s="5">
        <f>IFERROR(P325/O325,0)</f>
        <v/>
      </c>
      <c r="R325" s="2">
        <f>TEXT(DATEVALUE(B325),"mmm")</f>
        <v/>
      </c>
      <c r="S325" s="2">
        <f>TEXT(DATEVALUE(B325),"yyyy-mm")</f>
        <v/>
      </c>
    </row>
    <row r="326">
      <c r="A326" s="2" t="inlineStr">
        <is>
          <t>O004103</t>
        </is>
      </c>
      <c r="B326" s="2" t="inlineStr">
        <is>
          <t>2025-01-24</t>
        </is>
      </c>
      <c r="C326" s="2" t="inlineStr">
        <is>
          <t>C0093</t>
        </is>
      </c>
      <c r="D326" s="2" t="inlineStr">
        <is>
          <t>P0011</t>
        </is>
      </c>
      <c r="E326" s="2" t="inlineStr">
        <is>
          <t>Cookware Set</t>
        </is>
      </c>
      <c r="F326" s="2" t="inlineStr">
        <is>
          <t>Home &amp; Kitchen</t>
        </is>
      </c>
      <c r="G326" s="2" t="inlineStr">
        <is>
          <t>West</t>
        </is>
      </c>
      <c r="H326" s="2" t="inlineStr">
        <is>
          <t>Gujarat</t>
        </is>
      </c>
      <c r="I326" s="2" t="inlineStr">
        <is>
          <t>Ahmedabad</t>
        </is>
      </c>
      <c r="J326" s="2" t="inlineStr">
        <is>
          <t>Online</t>
        </is>
      </c>
      <c r="K326" s="2" t="n">
        <v>3</v>
      </c>
      <c r="L326" s="3" t="n">
        <v>692.02</v>
      </c>
      <c r="M326" s="4" t="n">
        <v>0.1</v>
      </c>
      <c r="N326" s="3" t="n">
        <v>1439.65</v>
      </c>
      <c r="O326" s="3">
        <f>K326*L326*(1-M326)</f>
        <v/>
      </c>
      <c r="P326" s="3">
        <f>O326-N326</f>
        <v/>
      </c>
      <c r="Q326" s="5">
        <f>IFERROR(P326/O326,0)</f>
        <v/>
      </c>
      <c r="R326" s="2">
        <f>TEXT(DATEVALUE(B326),"mmm")</f>
        <v/>
      </c>
      <c r="S326" s="2">
        <f>TEXT(DATEVALUE(B326),"yyyy-mm")</f>
        <v/>
      </c>
    </row>
    <row r="327">
      <c r="A327" s="2" t="inlineStr">
        <is>
          <t>O002713</t>
        </is>
      </c>
      <c r="B327" s="2" t="inlineStr">
        <is>
          <t>2025-01-24</t>
        </is>
      </c>
      <c r="C327" s="2" t="inlineStr">
        <is>
          <t>C0711</t>
        </is>
      </c>
      <c r="D327" s="2" t="inlineStr">
        <is>
          <t>P0032</t>
        </is>
      </c>
      <c r="E327" s="2" t="inlineStr">
        <is>
          <t>Football</t>
        </is>
      </c>
      <c r="F327" s="2" t="inlineStr">
        <is>
          <t>Sports</t>
        </is>
      </c>
      <c r="G327" s="2" t="inlineStr">
        <is>
          <t>South</t>
        </is>
      </c>
      <c r="H327" s="2" t="inlineStr">
        <is>
          <t>Kerala</t>
        </is>
      </c>
      <c r="I327" s="2" t="inlineStr">
        <is>
          <t>Thiruvananthapuram</t>
        </is>
      </c>
      <c r="J327" s="2" t="inlineStr">
        <is>
          <t>Store</t>
        </is>
      </c>
      <c r="K327" s="2" t="n">
        <v>2</v>
      </c>
      <c r="L327" s="3" t="n">
        <v>778.49</v>
      </c>
      <c r="M327" s="4" t="n">
        <v>0.15</v>
      </c>
      <c r="N327" s="3" t="n">
        <v>1091.66</v>
      </c>
      <c r="O327" s="3">
        <f>K327*L327*(1-M327)</f>
        <v/>
      </c>
      <c r="P327" s="3">
        <f>O327-N327</f>
        <v/>
      </c>
      <c r="Q327" s="5">
        <f>IFERROR(P327/O327,0)</f>
        <v/>
      </c>
      <c r="R327" s="2">
        <f>TEXT(DATEVALUE(B327),"mmm")</f>
        <v/>
      </c>
      <c r="S327" s="2">
        <f>TEXT(DATEVALUE(B327),"yyyy-mm")</f>
        <v/>
      </c>
    </row>
    <row r="328">
      <c r="A328" s="2" t="inlineStr">
        <is>
          <t>O001910</t>
        </is>
      </c>
      <c r="B328" s="2" t="inlineStr">
        <is>
          <t>2025-01-24</t>
        </is>
      </c>
      <c r="C328" s="2" t="inlineStr">
        <is>
          <t>C0316</t>
        </is>
      </c>
      <c r="D328" s="2" t="inlineStr">
        <is>
          <t>P0022</t>
        </is>
      </c>
      <c r="E328" s="2" t="inlineStr">
        <is>
          <t>Face Wash</t>
        </is>
      </c>
      <c r="F328" s="2" t="inlineStr">
        <is>
          <t>Beauty</t>
        </is>
      </c>
      <c r="G328" s="2" t="inlineStr">
        <is>
          <t>North</t>
        </is>
      </c>
      <c r="H328" s="2" t="inlineStr">
        <is>
          <t>Delhi</t>
        </is>
      </c>
      <c r="I328" s="2" t="inlineStr">
        <is>
          <t>New Delhi</t>
        </is>
      </c>
      <c r="J328" s="2" t="inlineStr">
        <is>
          <t>Store</t>
        </is>
      </c>
      <c r="K328" s="2" t="n">
        <v>1</v>
      </c>
      <c r="L328" s="3" t="n">
        <v>536.6900000000001</v>
      </c>
      <c r="M328" s="4" t="n">
        <v>0</v>
      </c>
      <c r="N328" s="3" t="n">
        <v>344.71</v>
      </c>
      <c r="O328" s="3">
        <f>K328*L328*(1-M328)</f>
        <v/>
      </c>
      <c r="P328" s="3">
        <f>O328-N328</f>
        <v/>
      </c>
      <c r="Q328" s="5">
        <f>IFERROR(P328/O328,0)</f>
        <v/>
      </c>
      <c r="R328" s="2">
        <f>TEXT(DATEVALUE(B328),"mmm")</f>
        <v/>
      </c>
      <c r="S328" s="2">
        <f>TEXT(DATEVALUE(B328),"yyyy-mm")</f>
        <v/>
      </c>
    </row>
    <row r="329">
      <c r="A329" s="2" t="inlineStr">
        <is>
          <t>O001773</t>
        </is>
      </c>
      <c r="B329" s="2" t="inlineStr">
        <is>
          <t>2025-01-24</t>
        </is>
      </c>
      <c r="C329" s="2" t="inlineStr">
        <is>
          <t>C0014</t>
        </is>
      </c>
      <c r="D329" s="2" t="inlineStr">
        <is>
          <t>P0016</t>
        </is>
      </c>
      <c r="E329" s="2" t="inlineStr">
        <is>
          <t>Casual Shirt</t>
        </is>
      </c>
      <c r="F329" s="2" t="inlineStr">
        <is>
          <t>Fashion</t>
        </is>
      </c>
      <c r="G329" s="2" t="inlineStr">
        <is>
          <t>North</t>
        </is>
      </c>
      <c r="H329" s="2" t="inlineStr">
        <is>
          <t>Haryana</t>
        </is>
      </c>
      <c r="I329" s="2" t="inlineStr">
        <is>
          <t>Gurugram</t>
        </is>
      </c>
      <c r="J329" s="2" t="inlineStr">
        <is>
          <t>Store</t>
        </is>
      </c>
      <c r="K329" s="2" t="n">
        <v>1</v>
      </c>
      <c r="L329" s="3" t="n">
        <v>1238.21</v>
      </c>
      <c r="M329" s="4" t="n">
        <v>0.2</v>
      </c>
      <c r="N329" s="3" t="n">
        <v>901.01</v>
      </c>
      <c r="O329" s="3">
        <f>K329*L329*(1-M329)</f>
        <v/>
      </c>
      <c r="P329" s="3">
        <f>O329-N329</f>
        <v/>
      </c>
      <c r="Q329" s="5">
        <f>IFERROR(P329/O329,0)</f>
        <v/>
      </c>
      <c r="R329" s="2">
        <f>TEXT(DATEVALUE(B329),"mmm")</f>
        <v/>
      </c>
      <c r="S329" s="2">
        <f>TEXT(DATEVALUE(B329),"yyyy-mm")</f>
        <v/>
      </c>
    </row>
    <row r="330">
      <c r="A330" s="2" t="inlineStr">
        <is>
          <t>O002739</t>
        </is>
      </c>
      <c r="B330" s="2" t="inlineStr">
        <is>
          <t>2025-01-24</t>
        </is>
      </c>
      <c r="C330" s="2" t="inlineStr">
        <is>
          <t>C0450</t>
        </is>
      </c>
      <c r="D330" s="2" t="inlineStr">
        <is>
          <t>P0014</t>
        </is>
      </c>
      <c r="E330" s="2" t="inlineStr">
        <is>
          <t>Coffee Maker</t>
        </is>
      </c>
      <c r="F330" s="2" t="inlineStr">
        <is>
          <t>Home &amp; Kitchen</t>
        </is>
      </c>
      <c r="G330" s="2" t="inlineStr">
        <is>
          <t>West</t>
        </is>
      </c>
      <c r="H330" s="2" t="inlineStr">
        <is>
          <t>Goa</t>
        </is>
      </c>
      <c r="I330" s="2" t="inlineStr">
        <is>
          <t>Panaji</t>
        </is>
      </c>
      <c r="J330" s="2" t="inlineStr">
        <is>
          <t>Online</t>
        </is>
      </c>
      <c r="K330" s="2" t="n">
        <v>2</v>
      </c>
      <c r="L330" s="3" t="n">
        <v>1046.26</v>
      </c>
      <c r="M330" s="4" t="n">
        <v>0.05</v>
      </c>
      <c r="N330" s="3" t="n">
        <v>1500.58</v>
      </c>
      <c r="O330" s="3">
        <f>K330*L330*(1-M330)</f>
        <v/>
      </c>
      <c r="P330" s="3">
        <f>O330-N330</f>
        <v/>
      </c>
      <c r="Q330" s="5">
        <f>IFERROR(P330/O330,0)</f>
        <v/>
      </c>
      <c r="R330" s="2">
        <f>TEXT(DATEVALUE(B330),"mmm")</f>
        <v/>
      </c>
      <c r="S330" s="2">
        <f>TEXT(DATEVALUE(B330),"yyyy-mm")</f>
        <v/>
      </c>
    </row>
    <row r="331">
      <c r="A331" s="2" t="inlineStr">
        <is>
          <t>O002409</t>
        </is>
      </c>
      <c r="B331" s="2" t="inlineStr">
        <is>
          <t>2025-01-25</t>
        </is>
      </c>
      <c r="C331" s="2" t="inlineStr">
        <is>
          <t>C0445</t>
        </is>
      </c>
      <c r="D331" s="2" t="inlineStr">
        <is>
          <t>P0027</t>
        </is>
      </c>
      <c r="E331" s="2" t="inlineStr">
        <is>
          <t>Moisturizer</t>
        </is>
      </c>
      <c r="F331" s="2" t="inlineStr">
        <is>
          <t>Beauty</t>
        </is>
      </c>
      <c r="G331" s="2" t="inlineStr">
        <is>
          <t>East</t>
        </is>
      </c>
      <c r="H331" s="2" t="inlineStr">
        <is>
          <t>Odisha</t>
        </is>
      </c>
      <c r="I331" s="2" t="inlineStr">
        <is>
          <t>Bhubaneswar</t>
        </is>
      </c>
      <c r="J331" s="2" t="inlineStr">
        <is>
          <t>Store</t>
        </is>
      </c>
      <c r="K331" s="2" t="n">
        <v>2</v>
      </c>
      <c r="L331" s="3" t="n">
        <v>915.9</v>
      </c>
      <c r="M331" s="4" t="n">
        <v>0.05</v>
      </c>
      <c r="N331" s="3" t="n">
        <v>1357.28</v>
      </c>
      <c r="O331" s="3">
        <f>K331*L331*(1-M331)</f>
        <v/>
      </c>
      <c r="P331" s="3">
        <f>O331-N331</f>
        <v/>
      </c>
      <c r="Q331" s="5">
        <f>IFERROR(P331/O331,0)</f>
        <v/>
      </c>
      <c r="R331" s="2">
        <f>TEXT(DATEVALUE(B331),"mmm")</f>
        <v/>
      </c>
      <c r="S331" s="2">
        <f>TEXT(DATEVALUE(B331),"yyyy-mm")</f>
        <v/>
      </c>
    </row>
    <row r="332">
      <c r="A332" s="2" t="inlineStr">
        <is>
          <t>O004853</t>
        </is>
      </c>
      <c r="B332" s="2" t="inlineStr">
        <is>
          <t>2025-01-25</t>
        </is>
      </c>
      <c r="C332" s="2" t="inlineStr">
        <is>
          <t>C0300</t>
        </is>
      </c>
      <c r="D332" s="2" t="inlineStr">
        <is>
          <t>P0007</t>
        </is>
      </c>
      <c r="E332" s="2" t="inlineStr">
        <is>
          <t>Wireless Mouse</t>
        </is>
      </c>
      <c r="F332" s="2" t="inlineStr">
        <is>
          <t>Electronics</t>
        </is>
      </c>
      <c r="G332" s="2" t="inlineStr">
        <is>
          <t>North</t>
        </is>
      </c>
      <c r="H332" s="2" t="inlineStr">
        <is>
          <t>Delhi</t>
        </is>
      </c>
      <c r="I332" s="2" t="inlineStr">
        <is>
          <t>New Delhi</t>
        </is>
      </c>
      <c r="J332" s="2" t="inlineStr">
        <is>
          <t>Online</t>
        </is>
      </c>
      <c r="K332" s="2" t="n">
        <v>2</v>
      </c>
      <c r="L332" s="3" t="n">
        <v>1027.48</v>
      </c>
      <c r="M332" s="4" t="n">
        <v>0.05</v>
      </c>
      <c r="N332" s="3" t="n">
        <v>1242.35</v>
      </c>
      <c r="O332" s="3">
        <f>K332*L332*(1-M332)</f>
        <v/>
      </c>
      <c r="P332" s="3">
        <f>O332-N332</f>
        <v/>
      </c>
      <c r="Q332" s="5">
        <f>IFERROR(P332/O332,0)</f>
        <v/>
      </c>
      <c r="R332" s="2">
        <f>TEXT(DATEVALUE(B332),"mmm")</f>
        <v/>
      </c>
      <c r="S332" s="2">
        <f>TEXT(DATEVALUE(B332),"yyyy-mm")</f>
        <v/>
      </c>
    </row>
    <row r="333">
      <c r="A333" s="2" t="inlineStr">
        <is>
          <t>O004635</t>
        </is>
      </c>
      <c r="B333" s="2" t="inlineStr">
        <is>
          <t>2025-01-25</t>
        </is>
      </c>
      <c r="C333" s="2" t="inlineStr">
        <is>
          <t>C0332</t>
        </is>
      </c>
      <c r="D333" s="2" t="inlineStr">
        <is>
          <t>P0011</t>
        </is>
      </c>
      <c r="E333" s="2" t="inlineStr">
        <is>
          <t>Cookware Set</t>
        </is>
      </c>
      <c r="F333" s="2" t="inlineStr">
        <is>
          <t>Home &amp; Kitchen</t>
        </is>
      </c>
      <c r="G333" s="2" t="inlineStr">
        <is>
          <t>South</t>
        </is>
      </c>
      <c r="H333" s="2" t="inlineStr">
        <is>
          <t>Karnataka</t>
        </is>
      </c>
      <c r="I333" s="2" t="inlineStr">
        <is>
          <t>Bengaluru</t>
        </is>
      </c>
      <c r="J333" s="2" t="inlineStr">
        <is>
          <t>Store</t>
        </is>
      </c>
      <c r="K333" s="2" t="n">
        <v>1</v>
      </c>
      <c r="L333" s="3" t="n">
        <v>681.1799999999999</v>
      </c>
      <c r="M333" s="4" t="n">
        <v>0.1</v>
      </c>
      <c r="N333" s="3" t="n">
        <v>459.52</v>
      </c>
      <c r="O333" s="3">
        <f>K333*L333*(1-M333)</f>
        <v/>
      </c>
      <c r="P333" s="3">
        <f>O333-N333</f>
        <v/>
      </c>
      <c r="Q333" s="5">
        <f>IFERROR(P333/O333,0)</f>
        <v/>
      </c>
      <c r="R333" s="2">
        <f>TEXT(DATEVALUE(B333),"mmm")</f>
        <v/>
      </c>
      <c r="S333" s="2">
        <f>TEXT(DATEVALUE(B333),"yyyy-mm")</f>
        <v/>
      </c>
    </row>
    <row r="334">
      <c r="A334" s="2" t="inlineStr">
        <is>
          <t>O004627</t>
        </is>
      </c>
      <c r="B334" s="2" t="inlineStr">
        <is>
          <t>2025-01-25</t>
        </is>
      </c>
      <c r="C334" s="2" t="inlineStr">
        <is>
          <t>C0278</t>
        </is>
      </c>
      <c r="D334" s="2" t="inlineStr">
        <is>
          <t>P0004</t>
        </is>
      </c>
      <c r="E334" s="2" t="inlineStr">
        <is>
          <t>USB-C Hub</t>
        </is>
      </c>
      <c r="F334" s="2" t="inlineStr">
        <is>
          <t>Electronics</t>
        </is>
      </c>
      <c r="G334" s="2" t="inlineStr">
        <is>
          <t>West</t>
        </is>
      </c>
      <c r="H334" s="2" t="inlineStr">
        <is>
          <t>Maharashtra</t>
        </is>
      </c>
      <c r="I334" s="2" t="inlineStr">
        <is>
          <t>Thane</t>
        </is>
      </c>
      <c r="J334" s="2" t="inlineStr">
        <is>
          <t>Online</t>
        </is>
      </c>
      <c r="K334" s="2" t="n">
        <v>1</v>
      </c>
      <c r="L334" s="3" t="n">
        <v>1283.35</v>
      </c>
      <c r="M334" s="4" t="n">
        <v>0.05</v>
      </c>
      <c r="N334" s="3" t="n">
        <v>938.25</v>
      </c>
      <c r="O334" s="3">
        <f>K334*L334*(1-M334)</f>
        <v/>
      </c>
      <c r="P334" s="3">
        <f>O334-N334</f>
        <v/>
      </c>
      <c r="Q334" s="5">
        <f>IFERROR(P334/O334,0)</f>
        <v/>
      </c>
      <c r="R334" s="2">
        <f>TEXT(DATEVALUE(B334),"mmm")</f>
        <v/>
      </c>
      <c r="S334" s="2">
        <f>TEXT(DATEVALUE(B334),"yyyy-mm")</f>
        <v/>
      </c>
    </row>
    <row r="335">
      <c r="A335" s="2" t="inlineStr">
        <is>
          <t>O004369</t>
        </is>
      </c>
      <c r="B335" s="2" t="inlineStr">
        <is>
          <t>2025-01-25</t>
        </is>
      </c>
      <c r="C335" s="2" t="inlineStr">
        <is>
          <t>C0355</t>
        </is>
      </c>
      <c r="D335" s="2" t="inlineStr">
        <is>
          <t>P0022</t>
        </is>
      </c>
      <c r="E335" s="2" t="inlineStr">
        <is>
          <t>Face Wash</t>
        </is>
      </c>
      <c r="F335" s="2" t="inlineStr">
        <is>
          <t>Beauty</t>
        </is>
      </c>
      <c r="G335" s="2" t="inlineStr">
        <is>
          <t>East</t>
        </is>
      </c>
      <c r="H335" s="2" t="inlineStr">
        <is>
          <t>Odisha</t>
        </is>
      </c>
      <c r="I335" s="2" t="inlineStr">
        <is>
          <t>Bhubaneswar</t>
        </is>
      </c>
      <c r="J335" s="2" t="inlineStr">
        <is>
          <t>Online</t>
        </is>
      </c>
      <c r="K335" s="2" t="n">
        <v>2</v>
      </c>
      <c r="L335" s="3" t="n">
        <v>564.05</v>
      </c>
      <c r="M335" s="4" t="n">
        <v>0.1</v>
      </c>
      <c r="N335" s="3" t="n">
        <v>701.92</v>
      </c>
      <c r="O335" s="3">
        <f>K335*L335*(1-M335)</f>
        <v/>
      </c>
      <c r="P335" s="3">
        <f>O335-N335</f>
        <v/>
      </c>
      <c r="Q335" s="5">
        <f>IFERROR(P335/O335,0)</f>
        <v/>
      </c>
      <c r="R335" s="2">
        <f>TEXT(DATEVALUE(B335),"mmm")</f>
        <v/>
      </c>
      <c r="S335" s="2">
        <f>TEXT(DATEVALUE(B335),"yyyy-mm")</f>
        <v/>
      </c>
    </row>
    <row r="336">
      <c r="A336" s="2" t="inlineStr">
        <is>
          <t>O004146</t>
        </is>
      </c>
      <c r="B336" s="2" t="inlineStr">
        <is>
          <t>2025-01-25</t>
        </is>
      </c>
      <c r="C336" s="2" t="inlineStr">
        <is>
          <t>C0508</t>
        </is>
      </c>
      <c r="D336" s="2" t="inlineStr">
        <is>
          <t>P0007</t>
        </is>
      </c>
      <c r="E336" s="2" t="inlineStr">
        <is>
          <t>Wireless Mouse</t>
        </is>
      </c>
      <c r="F336" s="2" t="inlineStr">
        <is>
          <t>Electronics</t>
        </is>
      </c>
      <c r="G336" s="2" t="inlineStr">
        <is>
          <t>West</t>
        </is>
      </c>
      <c r="H336" s="2" t="inlineStr">
        <is>
          <t>Goa</t>
        </is>
      </c>
      <c r="I336" s="2" t="inlineStr">
        <is>
          <t>Margao</t>
        </is>
      </c>
      <c r="J336" s="2" t="inlineStr">
        <is>
          <t>Online</t>
        </is>
      </c>
      <c r="K336" s="2" t="n">
        <v>3</v>
      </c>
      <c r="L336" s="3" t="n">
        <v>994.92</v>
      </c>
      <c r="M336" s="4" t="n">
        <v>0.1</v>
      </c>
      <c r="N336" s="3" t="n">
        <v>1932.48</v>
      </c>
      <c r="O336" s="3">
        <f>K336*L336*(1-M336)</f>
        <v/>
      </c>
      <c r="P336" s="3">
        <f>O336-N336</f>
        <v/>
      </c>
      <c r="Q336" s="5">
        <f>IFERROR(P336/O336,0)</f>
        <v/>
      </c>
      <c r="R336" s="2">
        <f>TEXT(DATEVALUE(B336),"mmm")</f>
        <v/>
      </c>
      <c r="S336" s="2">
        <f>TEXT(DATEVALUE(B336),"yyyy-mm")</f>
        <v/>
      </c>
    </row>
    <row r="337">
      <c r="A337" s="2" t="inlineStr">
        <is>
          <t>O003886</t>
        </is>
      </c>
      <c r="B337" s="2" t="inlineStr">
        <is>
          <t>2025-01-25</t>
        </is>
      </c>
      <c r="C337" s="2" t="inlineStr">
        <is>
          <t>C0715</t>
        </is>
      </c>
      <c r="D337" s="2" t="inlineStr">
        <is>
          <t>P0005</t>
        </is>
      </c>
      <c r="E337" s="2" t="inlineStr">
        <is>
          <t>Power Bank</t>
        </is>
      </c>
      <c r="F337" s="2" t="inlineStr">
        <is>
          <t>Electronics</t>
        </is>
      </c>
      <c r="G337" s="2" t="inlineStr">
        <is>
          <t>South</t>
        </is>
      </c>
      <c r="H337" s="2" t="inlineStr">
        <is>
          <t>Telangana</t>
        </is>
      </c>
      <c r="I337" s="2" t="inlineStr">
        <is>
          <t>Hyderabad</t>
        </is>
      </c>
      <c r="J337" s="2" t="inlineStr">
        <is>
          <t>Online</t>
        </is>
      </c>
      <c r="K337" s="2" t="n">
        <v>2</v>
      </c>
      <c r="L337" s="3" t="n">
        <v>1133.6</v>
      </c>
      <c r="M337" s="4" t="n">
        <v>0.25</v>
      </c>
      <c r="N337" s="3" t="n">
        <v>1377.75</v>
      </c>
      <c r="O337" s="3">
        <f>K337*L337*(1-M337)</f>
        <v/>
      </c>
      <c r="P337" s="3">
        <f>O337-N337</f>
        <v/>
      </c>
      <c r="Q337" s="5">
        <f>IFERROR(P337/O337,0)</f>
        <v/>
      </c>
      <c r="R337" s="2">
        <f>TEXT(DATEVALUE(B337),"mmm")</f>
        <v/>
      </c>
      <c r="S337" s="2">
        <f>TEXT(DATEVALUE(B337),"yyyy-mm")</f>
        <v/>
      </c>
    </row>
    <row r="338">
      <c r="A338" s="2" t="inlineStr">
        <is>
          <t>O003579</t>
        </is>
      </c>
      <c r="B338" s="2" t="inlineStr">
        <is>
          <t>2025-01-25</t>
        </is>
      </c>
      <c r="C338" s="2" t="inlineStr">
        <is>
          <t>C0619</t>
        </is>
      </c>
      <c r="D338" s="2" t="inlineStr">
        <is>
          <t>P0030</t>
        </is>
      </c>
      <c r="E338" s="2" t="inlineStr">
        <is>
          <t>Dumbbells</t>
        </is>
      </c>
      <c r="F338" s="2" t="inlineStr">
        <is>
          <t>Sports</t>
        </is>
      </c>
      <c r="G338" s="2" t="inlineStr">
        <is>
          <t>South</t>
        </is>
      </c>
      <c r="H338" s="2" t="inlineStr">
        <is>
          <t>Karnataka</t>
        </is>
      </c>
      <c r="I338" s="2" t="inlineStr">
        <is>
          <t>Mysuru</t>
        </is>
      </c>
      <c r="J338" s="2" t="inlineStr">
        <is>
          <t>Store</t>
        </is>
      </c>
      <c r="K338" s="2" t="n">
        <v>1</v>
      </c>
      <c r="L338" s="3" t="n">
        <v>1620.94</v>
      </c>
      <c r="M338" s="4" t="n">
        <v>0.05</v>
      </c>
      <c r="N338" s="3" t="n">
        <v>1024.6</v>
      </c>
      <c r="O338" s="3">
        <f>K338*L338*(1-M338)</f>
        <v/>
      </c>
      <c r="P338" s="3">
        <f>O338-N338</f>
        <v/>
      </c>
      <c r="Q338" s="5">
        <f>IFERROR(P338/O338,0)</f>
        <v/>
      </c>
      <c r="R338" s="2">
        <f>TEXT(DATEVALUE(B338),"mmm")</f>
        <v/>
      </c>
      <c r="S338" s="2">
        <f>TEXT(DATEVALUE(B338),"yyyy-mm")</f>
        <v/>
      </c>
    </row>
    <row r="339">
      <c r="A339" s="2" t="inlineStr">
        <is>
          <t>O003018</t>
        </is>
      </c>
      <c r="B339" s="2" t="inlineStr">
        <is>
          <t>2025-01-25</t>
        </is>
      </c>
      <c r="C339" s="2" t="inlineStr">
        <is>
          <t>C0651</t>
        </is>
      </c>
      <c r="D339" s="2" t="inlineStr">
        <is>
          <t>P0023</t>
        </is>
      </c>
      <c r="E339" s="2" t="inlineStr">
        <is>
          <t>Skin Care Kit</t>
        </is>
      </c>
      <c r="F339" s="2" t="inlineStr">
        <is>
          <t>Beauty</t>
        </is>
      </c>
      <c r="G339" s="2" t="inlineStr">
        <is>
          <t>South</t>
        </is>
      </c>
      <c r="H339" s="2" t="inlineStr">
        <is>
          <t>Telangana</t>
        </is>
      </c>
      <c r="I339" s="2" t="inlineStr">
        <is>
          <t>Hyderabad</t>
        </is>
      </c>
      <c r="J339" s="2" t="inlineStr">
        <is>
          <t>Online</t>
        </is>
      </c>
      <c r="K339" s="2" t="n">
        <v>5</v>
      </c>
      <c r="L339" s="3" t="n">
        <v>1464.1</v>
      </c>
      <c r="M339" s="4" t="n">
        <v>0.1</v>
      </c>
      <c r="N339" s="3" t="n">
        <v>4390.14</v>
      </c>
      <c r="O339" s="3">
        <f>K339*L339*(1-M339)</f>
        <v/>
      </c>
      <c r="P339" s="3">
        <f>O339-N339</f>
        <v/>
      </c>
      <c r="Q339" s="5">
        <f>IFERROR(P339/O339,0)</f>
        <v/>
      </c>
      <c r="R339" s="2">
        <f>TEXT(DATEVALUE(B339),"mmm")</f>
        <v/>
      </c>
      <c r="S339" s="2">
        <f>TEXT(DATEVALUE(B339),"yyyy-mm")</f>
        <v/>
      </c>
    </row>
    <row r="340">
      <c r="A340" s="2" t="inlineStr">
        <is>
          <t>O002406</t>
        </is>
      </c>
      <c r="B340" s="2" t="inlineStr">
        <is>
          <t>2025-01-25</t>
        </is>
      </c>
      <c r="C340" s="2" t="inlineStr">
        <is>
          <t>C0637</t>
        </is>
      </c>
      <c r="D340" s="2" t="inlineStr">
        <is>
          <t>P0032</t>
        </is>
      </c>
      <c r="E340" s="2" t="inlineStr">
        <is>
          <t>Football</t>
        </is>
      </c>
      <c r="F340" s="2" t="inlineStr">
        <is>
          <t>Sports</t>
        </is>
      </c>
      <c r="G340" s="2" t="inlineStr">
        <is>
          <t>West</t>
        </is>
      </c>
      <c r="H340" s="2" t="inlineStr">
        <is>
          <t>Maharashtra</t>
        </is>
      </c>
      <c r="I340" s="2" t="inlineStr">
        <is>
          <t>Nashik</t>
        </is>
      </c>
      <c r="J340" s="2" t="inlineStr">
        <is>
          <t>Online</t>
        </is>
      </c>
      <c r="K340" s="2" t="n">
        <v>2</v>
      </c>
      <c r="L340" s="3" t="n">
        <v>795.01</v>
      </c>
      <c r="M340" s="4" t="n">
        <v>0.05</v>
      </c>
      <c r="N340" s="3" t="n">
        <v>1060.88</v>
      </c>
      <c r="O340" s="3">
        <f>K340*L340*(1-M340)</f>
        <v/>
      </c>
      <c r="P340" s="3">
        <f>O340-N340</f>
        <v/>
      </c>
      <c r="Q340" s="5">
        <f>IFERROR(P340/O340,0)</f>
        <v/>
      </c>
      <c r="R340" s="2">
        <f>TEXT(DATEVALUE(B340),"mmm")</f>
        <v/>
      </c>
      <c r="S340" s="2">
        <f>TEXT(DATEVALUE(B340),"yyyy-mm")</f>
        <v/>
      </c>
    </row>
    <row r="341">
      <c r="A341" s="2" t="inlineStr">
        <is>
          <t>O001415</t>
        </is>
      </c>
      <c r="B341" s="2" t="inlineStr">
        <is>
          <t>2025-01-25</t>
        </is>
      </c>
      <c r="C341" s="2" t="inlineStr">
        <is>
          <t>C0712</t>
        </is>
      </c>
      <c r="D341" s="2" t="inlineStr">
        <is>
          <t>P0031</t>
        </is>
      </c>
      <c r="E341" s="2" t="inlineStr">
        <is>
          <t>Cricket Bat</t>
        </is>
      </c>
      <c r="F341" s="2" t="inlineStr">
        <is>
          <t>Sports</t>
        </is>
      </c>
      <c r="G341" s="2" t="inlineStr">
        <is>
          <t>West</t>
        </is>
      </c>
      <c r="H341" s="2" t="inlineStr">
        <is>
          <t>Maharashtra</t>
        </is>
      </c>
      <c r="I341" s="2" t="inlineStr">
        <is>
          <t>Nashik</t>
        </is>
      </c>
      <c r="J341" s="2" t="inlineStr">
        <is>
          <t>Store</t>
        </is>
      </c>
      <c r="K341" s="2" t="n">
        <v>4</v>
      </c>
      <c r="L341" s="3" t="n">
        <v>1326.23</v>
      </c>
      <c r="M341" s="4" t="n">
        <v>0.1</v>
      </c>
      <c r="N341" s="3" t="n">
        <v>3855.85</v>
      </c>
      <c r="O341" s="3">
        <f>K341*L341*(1-M341)</f>
        <v/>
      </c>
      <c r="P341" s="3">
        <f>O341-N341</f>
        <v/>
      </c>
      <c r="Q341" s="5">
        <f>IFERROR(P341/O341,0)</f>
        <v/>
      </c>
      <c r="R341" s="2">
        <f>TEXT(DATEVALUE(B341),"mmm")</f>
        <v/>
      </c>
      <c r="S341" s="2">
        <f>TEXT(DATEVALUE(B341),"yyyy-mm")</f>
        <v/>
      </c>
    </row>
    <row r="342">
      <c r="A342" s="2" t="inlineStr">
        <is>
          <t>O001874</t>
        </is>
      </c>
      <c r="B342" s="2" t="inlineStr">
        <is>
          <t>2025-01-25</t>
        </is>
      </c>
      <c r="C342" s="2" t="inlineStr">
        <is>
          <t>C0774</t>
        </is>
      </c>
      <c r="D342" s="2" t="inlineStr">
        <is>
          <t>P0021</t>
        </is>
      </c>
      <c r="E342" s="2" t="inlineStr">
        <is>
          <t>Wallet</t>
        </is>
      </c>
      <c r="F342" s="2" t="inlineStr">
        <is>
          <t>Fashion</t>
        </is>
      </c>
      <c r="G342" s="2" t="inlineStr">
        <is>
          <t>South</t>
        </is>
      </c>
      <c r="H342" s="2" t="inlineStr">
        <is>
          <t>Kerala</t>
        </is>
      </c>
      <c r="I342" s="2" t="inlineStr">
        <is>
          <t>Thiruvananthapuram</t>
        </is>
      </c>
      <c r="J342" s="2" t="inlineStr">
        <is>
          <t>Store</t>
        </is>
      </c>
      <c r="K342" s="2" t="n">
        <v>1</v>
      </c>
      <c r="L342" s="3" t="n">
        <v>1986.49</v>
      </c>
      <c r="M342" s="4" t="n">
        <v>0</v>
      </c>
      <c r="N342" s="3" t="n">
        <v>1203.63</v>
      </c>
      <c r="O342" s="3">
        <f>K342*L342*(1-M342)</f>
        <v/>
      </c>
      <c r="P342" s="3">
        <f>O342-N342</f>
        <v/>
      </c>
      <c r="Q342" s="5">
        <f>IFERROR(P342/O342,0)</f>
        <v/>
      </c>
      <c r="R342" s="2">
        <f>TEXT(DATEVALUE(B342),"mmm")</f>
        <v/>
      </c>
      <c r="S342" s="2">
        <f>TEXT(DATEVALUE(B342),"yyyy-mm")</f>
        <v/>
      </c>
    </row>
    <row r="343">
      <c r="A343" s="2" t="inlineStr">
        <is>
          <t>O001600</t>
        </is>
      </c>
      <c r="B343" s="2" t="inlineStr">
        <is>
          <t>2025-01-25</t>
        </is>
      </c>
      <c r="C343" s="2" t="inlineStr">
        <is>
          <t>C0520</t>
        </is>
      </c>
      <c r="D343" s="2" t="inlineStr">
        <is>
          <t>P0018</t>
        </is>
      </c>
      <c r="E343" s="2" t="inlineStr">
        <is>
          <t>Backpack</t>
        </is>
      </c>
      <c r="F343" s="2" t="inlineStr">
        <is>
          <t>Fashion</t>
        </is>
      </c>
      <c r="G343" s="2" t="inlineStr">
        <is>
          <t>East</t>
        </is>
      </c>
      <c r="H343" s="2" t="inlineStr">
        <is>
          <t>Odisha</t>
        </is>
      </c>
      <c r="I343" s="2" t="inlineStr">
        <is>
          <t>Bhubaneswar</t>
        </is>
      </c>
      <c r="J343" s="2" t="inlineStr">
        <is>
          <t>Store</t>
        </is>
      </c>
      <c r="K343" s="2" t="n">
        <v>1</v>
      </c>
      <c r="L343" s="3" t="n">
        <v>1902.07</v>
      </c>
      <c r="M343" s="4" t="n">
        <v>0</v>
      </c>
      <c r="N343" s="3" t="n">
        <v>1383.07</v>
      </c>
      <c r="O343" s="3">
        <f>K343*L343*(1-M343)</f>
        <v/>
      </c>
      <c r="P343" s="3">
        <f>O343-N343</f>
        <v/>
      </c>
      <c r="Q343" s="5">
        <f>IFERROR(P343/O343,0)</f>
        <v/>
      </c>
      <c r="R343" s="2">
        <f>TEXT(DATEVALUE(B343),"mmm")</f>
        <v/>
      </c>
      <c r="S343" s="2">
        <f>TEXT(DATEVALUE(B343),"yyyy-mm")</f>
        <v/>
      </c>
    </row>
    <row r="344">
      <c r="A344" s="2" t="inlineStr">
        <is>
          <t>O001445</t>
        </is>
      </c>
      <c r="B344" s="2" t="inlineStr">
        <is>
          <t>2025-01-25</t>
        </is>
      </c>
      <c r="C344" s="2" t="inlineStr">
        <is>
          <t>C0430</t>
        </is>
      </c>
      <c r="D344" s="2" t="inlineStr">
        <is>
          <t>P0002</t>
        </is>
      </c>
      <c r="E344" s="2" t="inlineStr">
        <is>
          <t>Bluetooth Speaker</t>
        </is>
      </c>
      <c r="F344" s="2" t="inlineStr">
        <is>
          <t>Electronics</t>
        </is>
      </c>
      <c r="G344" s="2" t="inlineStr">
        <is>
          <t>West</t>
        </is>
      </c>
      <c r="H344" s="2" t="inlineStr">
        <is>
          <t>Gujarat</t>
        </is>
      </c>
      <c r="I344" s="2" t="inlineStr">
        <is>
          <t>Surat</t>
        </is>
      </c>
      <c r="J344" s="2" t="inlineStr">
        <is>
          <t>Store</t>
        </is>
      </c>
      <c r="K344" s="2" t="n">
        <v>3</v>
      </c>
      <c r="L344" s="3" t="n">
        <v>1356.37</v>
      </c>
      <c r="M344" s="4" t="n">
        <v>0</v>
      </c>
      <c r="N344" s="3" t="n">
        <v>2413.2</v>
      </c>
      <c r="O344" s="3">
        <f>K344*L344*(1-M344)</f>
        <v/>
      </c>
      <c r="P344" s="3">
        <f>O344-N344</f>
        <v/>
      </c>
      <c r="Q344" s="5">
        <f>IFERROR(P344/O344,0)</f>
        <v/>
      </c>
      <c r="R344" s="2">
        <f>TEXT(DATEVALUE(B344),"mmm")</f>
        <v/>
      </c>
      <c r="S344" s="2">
        <f>TEXT(DATEVALUE(B344),"yyyy-mm")</f>
        <v/>
      </c>
    </row>
    <row r="345">
      <c r="A345" s="2" t="inlineStr">
        <is>
          <t>O001191</t>
        </is>
      </c>
      <c r="B345" s="2" t="inlineStr">
        <is>
          <t>2025-01-25</t>
        </is>
      </c>
      <c r="C345" s="2" t="inlineStr">
        <is>
          <t>C0284</t>
        </is>
      </c>
      <c r="D345" s="2" t="inlineStr">
        <is>
          <t>P0012</t>
        </is>
      </c>
      <c r="E345" s="2" t="inlineStr">
        <is>
          <t>Water Bottle</t>
        </is>
      </c>
      <c r="F345" s="2" t="inlineStr">
        <is>
          <t>Home &amp; Kitchen</t>
        </is>
      </c>
      <c r="G345" s="2" t="inlineStr">
        <is>
          <t>East</t>
        </is>
      </c>
      <c r="H345" s="2" t="inlineStr">
        <is>
          <t>Bihar</t>
        </is>
      </c>
      <c r="I345" s="2" t="inlineStr">
        <is>
          <t>Gaya</t>
        </is>
      </c>
      <c r="J345" s="2" t="inlineStr">
        <is>
          <t>Online</t>
        </is>
      </c>
      <c r="K345" s="2" t="n">
        <v>2</v>
      </c>
      <c r="L345" s="3" t="n">
        <v>1016.11</v>
      </c>
      <c r="M345" s="4" t="n">
        <v>0.05</v>
      </c>
      <c r="N345" s="3" t="n">
        <v>1279.95</v>
      </c>
      <c r="O345" s="3">
        <f>K345*L345*(1-M345)</f>
        <v/>
      </c>
      <c r="P345" s="3">
        <f>O345-N345</f>
        <v/>
      </c>
      <c r="Q345" s="5">
        <f>IFERROR(P345/O345,0)</f>
        <v/>
      </c>
      <c r="R345" s="2">
        <f>TEXT(DATEVALUE(B345),"mmm")</f>
        <v/>
      </c>
      <c r="S345" s="2">
        <f>TEXT(DATEVALUE(B345),"yyyy-mm")</f>
        <v/>
      </c>
    </row>
    <row r="346">
      <c r="A346" s="2" t="inlineStr">
        <is>
          <t>O001178</t>
        </is>
      </c>
      <c r="B346" s="2" t="inlineStr">
        <is>
          <t>2025-01-25</t>
        </is>
      </c>
      <c r="C346" s="2" t="inlineStr">
        <is>
          <t>C0393</t>
        </is>
      </c>
      <c r="D346" s="2" t="inlineStr">
        <is>
          <t>P0012</t>
        </is>
      </c>
      <c r="E346" s="2" t="inlineStr">
        <is>
          <t>Water Bottle</t>
        </is>
      </c>
      <c r="F346" s="2" t="inlineStr">
        <is>
          <t>Home &amp; Kitchen</t>
        </is>
      </c>
      <c r="G346" s="2" t="inlineStr">
        <is>
          <t>West</t>
        </is>
      </c>
      <c r="H346" s="2" t="inlineStr">
        <is>
          <t>Gujarat</t>
        </is>
      </c>
      <c r="I346" s="2" t="inlineStr">
        <is>
          <t>Vadodara</t>
        </is>
      </c>
      <c r="J346" s="2" t="inlineStr">
        <is>
          <t>Online</t>
        </is>
      </c>
      <c r="K346" s="2" t="n">
        <v>2</v>
      </c>
      <c r="L346" s="3" t="n">
        <v>964.02</v>
      </c>
      <c r="M346" s="4" t="n">
        <v>0.05</v>
      </c>
      <c r="N346" s="3" t="n">
        <v>1232.77</v>
      </c>
      <c r="O346" s="3">
        <f>K346*L346*(1-M346)</f>
        <v/>
      </c>
      <c r="P346" s="3">
        <f>O346-N346</f>
        <v/>
      </c>
      <c r="Q346" s="5">
        <f>IFERROR(P346/O346,0)</f>
        <v/>
      </c>
      <c r="R346" s="2">
        <f>TEXT(DATEVALUE(B346),"mmm")</f>
        <v/>
      </c>
      <c r="S346" s="2">
        <f>TEXT(DATEVALUE(B346),"yyyy-mm")</f>
        <v/>
      </c>
    </row>
    <row r="347">
      <c r="A347" s="2" t="inlineStr">
        <is>
          <t>O000919</t>
        </is>
      </c>
      <c r="B347" s="2" t="inlineStr">
        <is>
          <t>2025-01-25</t>
        </is>
      </c>
      <c r="C347" s="2" t="inlineStr">
        <is>
          <t>C0599</t>
        </is>
      </c>
      <c r="D347" s="2" t="inlineStr">
        <is>
          <t>P0007</t>
        </is>
      </c>
      <c r="E347" s="2" t="inlineStr">
        <is>
          <t>Wireless Mouse</t>
        </is>
      </c>
      <c r="F347" s="2" t="inlineStr">
        <is>
          <t>Electronics</t>
        </is>
      </c>
      <c r="G347" s="2" t="inlineStr">
        <is>
          <t>North</t>
        </is>
      </c>
      <c r="H347" s="2" t="inlineStr">
        <is>
          <t>Haryana</t>
        </is>
      </c>
      <c r="I347" s="2" t="inlineStr">
        <is>
          <t>Faridabad</t>
        </is>
      </c>
      <c r="J347" s="2" t="inlineStr">
        <is>
          <t>Online</t>
        </is>
      </c>
      <c r="K347" s="2" t="n">
        <v>5</v>
      </c>
      <c r="L347" s="3" t="n">
        <v>985.97</v>
      </c>
      <c r="M347" s="4" t="n">
        <v>0.05</v>
      </c>
      <c r="N347" s="3" t="n">
        <v>3046.79</v>
      </c>
      <c r="O347" s="3">
        <f>K347*L347*(1-M347)</f>
        <v/>
      </c>
      <c r="P347" s="3">
        <f>O347-N347</f>
        <v/>
      </c>
      <c r="Q347" s="5">
        <f>IFERROR(P347/O347,0)</f>
        <v/>
      </c>
      <c r="R347" s="2">
        <f>TEXT(DATEVALUE(B347),"mmm")</f>
        <v/>
      </c>
      <c r="S347" s="2">
        <f>TEXT(DATEVALUE(B347),"yyyy-mm")</f>
        <v/>
      </c>
    </row>
    <row r="348">
      <c r="A348" s="2" t="inlineStr">
        <is>
          <t>O000915</t>
        </is>
      </c>
      <c r="B348" s="2" t="inlineStr">
        <is>
          <t>2025-01-25</t>
        </is>
      </c>
      <c r="C348" s="2" t="inlineStr">
        <is>
          <t>C0103</t>
        </is>
      </c>
      <c r="D348" s="2" t="inlineStr">
        <is>
          <t>P0022</t>
        </is>
      </c>
      <c r="E348" s="2" t="inlineStr">
        <is>
          <t>Face Wash</t>
        </is>
      </c>
      <c r="F348" s="2" t="inlineStr">
        <is>
          <t>Beauty</t>
        </is>
      </c>
      <c r="G348" s="2" t="inlineStr">
        <is>
          <t>South</t>
        </is>
      </c>
      <c r="H348" s="2" t="inlineStr">
        <is>
          <t>Karnataka</t>
        </is>
      </c>
      <c r="I348" s="2" t="inlineStr">
        <is>
          <t>Bengaluru</t>
        </is>
      </c>
      <c r="J348" s="2" t="inlineStr">
        <is>
          <t>Store</t>
        </is>
      </c>
      <c r="K348" s="2" t="n">
        <v>1</v>
      </c>
      <c r="L348" s="3" t="n">
        <v>542.72</v>
      </c>
      <c r="M348" s="4" t="n">
        <v>0.2</v>
      </c>
      <c r="N348" s="3" t="n">
        <v>359.34</v>
      </c>
      <c r="O348" s="3">
        <f>K348*L348*(1-M348)</f>
        <v/>
      </c>
      <c r="P348" s="3">
        <f>O348-N348</f>
        <v/>
      </c>
      <c r="Q348" s="5">
        <f>IFERROR(P348/O348,0)</f>
        <v/>
      </c>
      <c r="R348" s="2">
        <f>TEXT(DATEVALUE(B348),"mmm")</f>
        <v/>
      </c>
      <c r="S348" s="2">
        <f>TEXT(DATEVALUE(B348),"yyyy-mm")</f>
        <v/>
      </c>
    </row>
    <row r="349">
      <c r="A349" s="2" t="inlineStr">
        <is>
          <t>O000581</t>
        </is>
      </c>
      <c r="B349" s="2" t="inlineStr">
        <is>
          <t>2025-01-25</t>
        </is>
      </c>
      <c r="C349" s="2" t="inlineStr">
        <is>
          <t>C0554</t>
        </is>
      </c>
      <c r="D349" s="2" t="inlineStr">
        <is>
          <t>P0011</t>
        </is>
      </c>
      <c r="E349" s="2" t="inlineStr">
        <is>
          <t>Cookware Set</t>
        </is>
      </c>
      <c r="F349" s="2" t="inlineStr">
        <is>
          <t>Home &amp; Kitchen</t>
        </is>
      </c>
      <c r="G349" s="2" t="inlineStr">
        <is>
          <t>North</t>
        </is>
      </c>
      <c r="H349" s="2" t="inlineStr">
        <is>
          <t>Uttar Pradesh</t>
        </is>
      </c>
      <c r="I349" s="2" t="inlineStr">
        <is>
          <t>Kanpur</t>
        </is>
      </c>
      <c r="J349" s="2" t="inlineStr">
        <is>
          <t>Online</t>
        </is>
      </c>
      <c r="K349" s="2" t="n">
        <v>3</v>
      </c>
      <c r="L349" s="3" t="n">
        <v>732.05</v>
      </c>
      <c r="M349" s="4" t="n">
        <v>0.1</v>
      </c>
      <c r="N349" s="3" t="n">
        <v>1428.38</v>
      </c>
      <c r="O349" s="3">
        <f>K349*L349*(1-M349)</f>
        <v/>
      </c>
      <c r="P349" s="3">
        <f>O349-N349</f>
        <v/>
      </c>
      <c r="Q349" s="5">
        <f>IFERROR(P349/O349,0)</f>
        <v/>
      </c>
      <c r="R349" s="2">
        <f>TEXT(DATEVALUE(B349),"mmm")</f>
        <v/>
      </c>
      <c r="S349" s="2">
        <f>TEXT(DATEVALUE(B349),"yyyy-mm")</f>
        <v/>
      </c>
    </row>
    <row r="350">
      <c r="A350" s="2" t="inlineStr">
        <is>
          <t>O002393</t>
        </is>
      </c>
      <c r="B350" s="2" t="inlineStr">
        <is>
          <t>2025-01-25</t>
        </is>
      </c>
      <c r="C350" s="2" t="inlineStr">
        <is>
          <t>C0506</t>
        </is>
      </c>
      <c r="D350" s="2" t="inlineStr">
        <is>
          <t>P0005</t>
        </is>
      </c>
      <c r="E350" s="2" t="inlineStr">
        <is>
          <t>Power Bank</t>
        </is>
      </c>
      <c r="F350" s="2" t="inlineStr">
        <is>
          <t>Electronics</t>
        </is>
      </c>
      <c r="G350" s="2" t="inlineStr">
        <is>
          <t>East</t>
        </is>
      </c>
      <c r="H350" s="2" t="inlineStr">
        <is>
          <t>Odisha</t>
        </is>
      </c>
      <c r="I350" s="2" t="inlineStr">
        <is>
          <t>Bhubaneswar</t>
        </is>
      </c>
      <c r="J350" s="2" t="inlineStr">
        <is>
          <t>Online</t>
        </is>
      </c>
      <c r="K350" s="2" t="n">
        <v>1</v>
      </c>
      <c r="L350" s="3" t="n">
        <v>1123.16</v>
      </c>
      <c r="M350" s="4" t="n">
        <v>0.1</v>
      </c>
      <c r="N350" s="3" t="n">
        <v>684.13</v>
      </c>
      <c r="O350" s="3">
        <f>K350*L350*(1-M350)</f>
        <v/>
      </c>
      <c r="P350" s="3">
        <f>O350-N350</f>
        <v/>
      </c>
      <c r="Q350" s="5">
        <f>IFERROR(P350/O350,0)</f>
        <v/>
      </c>
      <c r="R350" s="2">
        <f>TEXT(DATEVALUE(B350),"mmm")</f>
        <v/>
      </c>
      <c r="S350" s="2">
        <f>TEXT(DATEVALUE(B350),"yyyy-mm")</f>
        <v/>
      </c>
    </row>
    <row r="351">
      <c r="A351" s="2" t="inlineStr">
        <is>
          <t>O002949</t>
        </is>
      </c>
      <c r="B351" s="2" t="inlineStr">
        <is>
          <t>2025-01-26</t>
        </is>
      </c>
      <c r="C351" s="2" t="inlineStr">
        <is>
          <t>C0519</t>
        </is>
      </c>
      <c r="D351" s="2" t="inlineStr">
        <is>
          <t>P0023</t>
        </is>
      </c>
      <c r="E351" s="2" t="inlineStr">
        <is>
          <t>Skin Care Kit</t>
        </is>
      </c>
      <c r="F351" s="2" t="inlineStr">
        <is>
          <t>Beauty</t>
        </is>
      </c>
      <c r="G351" s="2" t="inlineStr">
        <is>
          <t>East</t>
        </is>
      </c>
      <c r="H351" s="2" t="inlineStr">
        <is>
          <t>Bihar</t>
        </is>
      </c>
      <c r="I351" s="2" t="inlineStr">
        <is>
          <t>Patna</t>
        </is>
      </c>
      <c r="J351" s="2" t="inlineStr">
        <is>
          <t>Online</t>
        </is>
      </c>
      <c r="K351" s="2" t="n">
        <v>3</v>
      </c>
      <c r="L351" s="3" t="n">
        <v>1366.74</v>
      </c>
      <c r="M351" s="4" t="n">
        <v>0</v>
      </c>
      <c r="N351" s="3" t="n">
        <v>2774.58</v>
      </c>
      <c r="O351" s="3">
        <f>K351*L351*(1-M351)</f>
        <v/>
      </c>
      <c r="P351" s="3">
        <f>O351-N351</f>
        <v/>
      </c>
      <c r="Q351" s="5">
        <f>IFERROR(P351/O351,0)</f>
        <v/>
      </c>
      <c r="R351" s="2">
        <f>TEXT(DATEVALUE(B351),"mmm")</f>
        <v/>
      </c>
      <c r="S351" s="2">
        <f>TEXT(DATEVALUE(B351),"yyyy-mm")</f>
        <v/>
      </c>
    </row>
    <row r="352">
      <c r="A352" s="2" t="inlineStr">
        <is>
          <t>O004930</t>
        </is>
      </c>
      <c r="B352" s="2" t="inlineStr">
        <is>
          <t>2025-01-26</t>
        </is>
      </c>
      <c r="C352" s="2" t="inlineStr">
        <is>
          <t>C0499</t>
        </is>
      </c>
      <c r="D352" s="2" t="inlineStr">
        <is>
          <t>P0004</t>
        </is>
      </c>
      <c r="E352" s="2" t="inlineStr">
        <is>
          <t>USB-C Hub</t>
        </is>
      </c>
      <c r="F352" s="2" t="inlineStr">
        <is>
          <t>Electronics</t>
        </is>
      </c>
      <c r="G352" s="2" t="inlineStr">
        <is>
          <t>South</t>
        </is>
      </c>
      <c r="H352" s="2" t="inlineStr">
        <is>
          <t>Karnataka</t>
        </is>
      </c>
      <c r="I352" s="2" t="inlineStr">
        <is>
          <t>Mysuru</t>
        </is>
      </c>
      <c r="J352" s="2" t="inlineStr">
        <is>
          <t>Online</t>
        </is>
      </c>
      <c r="K352" s="2" t="n">
        <v>5</v>
      </c>
      <c r="L352" s="3" t="n">
        <v>1266.59</v>
      </c>
      <c r="M352" s="4" t="n">
        <v>0.15</v>
      </c>
      <c r="N352" s="3" t="n">
        <v>4696.28</v>
      </c>
      <c r="O352" s="3">
        <f>K352*L352*(1-M352)</f>
        <v/>
      </c>
      <c r="P352" s="3">
        <f>O352-N352</f>
        <v/>
      </c>
      <c r="Q352" s="5">
        <f>IFERROR(P352/O352,0)</f>
        <v/>
      </c>
      <c r="R352" s="2">
        <f>TEXT(DATEVALUE(B352),"mmm")</f>
        <v/>
      </c>
      <c r="S352" s="2">
        <f>TEXT(DATEVALUE(B352),"yyyy-mm")</f>
        <v/>
      </c>
    </row>
    <row r="353">
      <c r="A353" s="2" t="inlineStr">
        <is>
          <t>O003885</t>
        </is>
      </c>
      <c r="B353" s="2" t="inlineStr">
        <is>
          <t>2025-01-26</t>
        </is>
      </c>
      <c r="C353" s="2" t="inlineStr">
        <is>
          <t>C0123</t>
        </is>
      </c>
      <c r="D353" s="2" t="inlineStr">
        <is>
          <t>P0004</t>
        </is>
      </c>
      <c r="E353" s="2" t="inlineStr">
        <is>
          <t>USB-C Hub</t>
        </is>
      </c>
      <c r="F353" s="2" t="inlineStr">
        <is>
          <t>Electronics</t>
        </is>
      </c>
      <c r="G353" s="2" t="inlineStr">
        <is>
          <t>West</t>
        </is>
      </c>
      <c r="H353" s="2" t="inlineStr">
        <is>
          <t>Gujarat</t>
        </is>
      </c>
      <c r="I353" s="2" t="inlineStr">
        <is>
          <t>Surat</t>
        </is>
      </c>
      <c r="J353" s="2" t="inlineStr">
        <is>
          <t>Online</t>
        </is>
      </c>
      <c r="K353" s="2" t="n">
        <v>1</v>
      </c>
      <c r="L353" s="3" t="n">
        <v>1267.87</v>
      </c>
      <c r="M353" s="4" t="n">
        <v>0.1</v>
      </c>
      <c r="N353" s="3" t="n">
        <v>902.77</v>
      </c>
      <c r="O353" s="3">
        <f>K353*L353*(1-M353)</f>
        <v/>
      </c>
      <c r="P353" s="3">
        <f>O353-N353</f>
        <v/>
      </c>
      <c r="Q353" s="5">
        <f>IFERROR(P353/O353,0)</f>
        <v/>
      </c>
      <c r="R353" s="2">
        <f>TEXT(DATEVALUE(B353),"mmm")</f>
        <v/>
      </c>
      <c r="S353" s="2">
        <f>TEXT(DATEVALUE(B353),"yyyy-mm")</f>
        <v/>
      </c>
    </row>
    <row r="354">
      <c r="A354" s="2" t="inlineStr">
        <is>
          <t>O003192</t>
        </is>
      </c>
      <c r="B354" s="2" t="inlineStr">
        <is>
          <t>2025-01-26</t>
        </is>
      </c>
      <c r="C354" s="2" t="inlineStr">
        <is>
          <t>C0771</t>
        </is>
      </c>
      <c r="D354" s="2" t="inlineStr">
        <is>
          <t>P0020</t>
        </is>
      </c>
      <c r="E354" s="2" t="inlineStr">
        <is>
          <t>Sneakers</t>
        </is>
      </c>
      <c r="F354" s="2" t="inlineStr">
        <is>
          <t>Fashion</t>
        </is>
      </c>
      <c r="G354" s="2" t="inlineStr">
        <is>
          <t>South</t>
        </is>
      </c>
      <c r="H354" s="2" t="inlineStr">
        <is>
          <t>Telangana</t>
        </is>
      </c>
      <c r="I354" s="2" t="inlineStr">
        <is>
          <t>Warangal</t>
        </is>
      </c>
      <c r="J354" s="2" t="inlineStr">
        <is>
          <t>Store</t>
        </is>
      </c>
      <c r="K354" s="2" t="n">
        <v>2</v>
      </c>
      <c r="L354" s="3" t="n">
        <v>1922.05</v>
      </c>
      <c r="M354" s="4" t="n">
        <v>0.1</v>
      </c>
      <c r="N354" s="3" t="n">
        <v>3052.33</v>
      </c>
      <c r="O354" s="3">
        <f>K354*L354*(1-M354)</f>
        <v/>
      </c>
      <c r="P354" s="3">
        <f>O354-N354</f>
        <v/>
      </c>
      <c r="Q354" s="5">
        <f>IFERROR(P354/O354,0)</f>
        <v/>
      </c>
      <c r="R354" s="2">
        <f>TEXT(DATEVALUE(B354),"mmm")</f>
        <v/>
      </c>
      <c r="S354" s="2">
        <f>TEXT(DATEVALUE(B354),"yyyy-mm")</f>
        <v/>
      </c>
    </row>
    <row r="355">
      <c r="A355" s="2" t="inlineStr">
        <is>
          <t>O002203</t>
        </is>
      </c>
      <c r="B355" s="2" t="inlineStr">
        <is>
          <t>2025-01-26</t>
        </is>
      </c>
      <c r="C355" s="2" t="inlineStr">
        <is>
          <t>C0597</t>
        </is>
      </c>
      <c r="D355" s="2" t="inlineStr">
        <is>
          <t>P0011</t>
        </is>
      </c>
      <c r="E355" s="2" t="inlineStr">
        <is>
          <t>Cookware Set</t>
        </is>
      </c>
      <c r="F355" s="2" t="inlineStr">
        <is>
          <t>Home &amp; Kitchen</t>
        </is>
      </c>
      <c r="G355" s="2" t="inlineStr">
        <is>
          <t>East</t>
        </is>
      </c>
      <c r="H355" s="2" t="inlineStr">
        <is>
          <t>West Bengal</t>
        </is>
      </c>
      <c r="I355" s="2" t="inlineStr">
        <is>
          <t>Kolkata</t>
        </is>
      </c>
      <c r="J355" s="2" t="inlineStr">
        <is>
          <t>Online</t>
        </is>
      </c>
      <c r="K355" s="2" t="n">
        <v>5</v>
      </c>
      <c r="L355" s="3" t="n">
        <v>699.6900000000001</v>
      </c>
      <c r="M355" s="4" t="n">
        <v>0.1</v>
      </c>
      <c r="N355" s="3" t="n">
        <v>2285.35</v>
      </c>
      <c r="O355" s="3">
        <f>K355*L355*(1-M355)</f>
        <v/>
      </c>
      <c r="P355" s="3">
        <f>O355-N355</f>
        <v/>
      </c>
      <c r="Q355" s="5">
        <f>IFERROR(P355/O355,0)</f>
        <v/>
      </c>
      <c r="R355" s="2">
        <f>TEXT(DATEVALUE(B355),"mmm")</f>
        <v/>
      </c>
      <c r="S355" s="2">
        <f>TEXT(DATEVALUE(B355),"yyyy-mm")</f>
        <v/>
      </c>
    </row>
    <row r="356">
      <c r="A356" s="2" t="inlineStr">
        <is>
          <t>O002062</t>
        </is>
      </c>
      <c r="B356" s="2" t="inlineStr">
        <is>
          <t>2025-01-26</t>
        </is>
      </c>
      <c r="C356" s="2" t="inlineStr">
        <is>
          <t>C0734</t>
        </is>
      </c>
      <c r="D356" s="2" t="inlineStr">
        <is>
          <t>P0004</t>
        </is>
      </c>
      <c r="E356" s="2" t="inlineStr">
        <is>
          <t>USB-C Hub</t>
        </is>
      </c>
      <c r="F356" s="2" t="inlineStr">
        <is>
          <t>Electronics</t>
        </is>
      </c>
      <c r="G356" s="2" t="inlineStr">
        <is>
          <t>North</t>
        </is>
      </c>
      <c r="H356" s="2" t="inlineStr">
        <is>
          <t>Haryana</t>
        </is>
      </c>
      <c r="I356" s="2" t="inlineStr">
        <is>
          <t>Faridabad</t>
        </is>
      </c>
      <c r="J356" s="2" t="inlineStr">
        <is>
          <t>Online</t>
        </is>
      </c>
      <c r="K356" s="2" t="n">
        <v>1</v>
      </c>
      <c r="L356" s="3" t="n">
        <v>1308.97</v>
      </c>
      <c r="M356" s="4" t="n">
        <v>0</v>
      </c>
      <c r="N356" s="3" t="n">
        <v>932.24</v>
      </c>
      <c r="O356" s="3">
        <f>K356*L356*(1-M356)</f>
        <v/>
      </c>
      <c r="P356" s="3">
        <f>O356-N356</f>
        <v/>
      </c>
      <c r="Q356" s="5">
        <f>IFERROR(P356/O356,0)</f>
        <v/>
      </c>
      <c r="R356" s="2">
        <f>TEXT(DATEVALUE(B356),"mmm")</f>
        <v/>
      </c>
      <c r="S356" s="2">
        <f>TEXT(DATEVALUE(B356),"yyyy-mm")</f>
        <v/>
      </c>
    </row>
    <row r="357">
      <c r="A357" s="2" t="inlineStr">
        <is>
          <t>O001721</t>
        </is>
      </c>
      <c r="B357" s="2" t="inlineStr">
        <is>
          <t>2025-01-26</t>
        </is>
      </c>
      <c r="C357" s="2" t="inlineStr">
        <is>
          <t>C0483</t>
        </is>
      </c>
      <c r="D357" s="2" t="inlineStr">
        <is>
          <t>P0020</t>
        </is>
      </c>
      <c r="E357" s="2" t="inlineStr">
        <is>
          <t>Sneakers</t>
        </is>
      </c>
      <c r="F357" s="2" t="inlineStr">
        <is>
          <t>Fashion</t>
        </is>
      </c>
      <c r="G357" s="2" t="inlineStr">
        <is>
          <t>South</t>
        </is>
      </c>
      <c r="H357" s="2" t="inlineStr">
        <is>
          <t>Tamil Nadu</t>
        </is>
      </c>
      <c r="I357" s="2" t="inlineStr">
        <is>
          <t>Coimbatore</t>
        </is>
      </c>
      <c r="J357" s="2" t="inlineStr">
        <is>
          <t>Online</t>
        </is>
      </c>
      <c r="K357" s="2" t="n">
        <v>2</v>
      </c>
      <c r="L357" s="3" t="n">
        <v>1932.69</v>
      </c>
      <c r="M357" s="4" t="n">
        <v>0.05</v>
      </c>
      <c r="N357" s="3" t="n">
        <v>3089.48</v>
      </c>
      <c r="O357" s="3">
        <f>K357*L357*(1-M357)</f>
        <v/>
      </c>
      <c r="P357" s="3">
        <f>O357-N357</f>
        <v/>
      </c>
      <c r="Q357" s="5">
        <f>IFERROR(P357/O357,0)</f>
        <v/>
      </c>
      <c r="R357" s="2">
        <f>TEXT(DATEVALUE(B357),"mmm")</f>
        <v/>
      </c>
      <c r="S357" s="2">
        <f>TEXT(DATEVALUE(B357),"yyyy-mm")</f>
        <v/>
      </c>
    </row>
    <row r="358">
      <c r="A358" s="2" t="inlineStr">
        <is>
          <t>O001451</t>
        </is>
      </c>
      <c r="B358" s="2" t="inlineStr">
        <is>
          <t>2025-01-26</t>
        </is>
      </c>
      <c r="C358" s="2" t="inlineStr">
        <is>
          <t>C0599</t>
        </is>
      </c>
      <c r="D358" s="2" t="inlineStr">
        <is>
          <t>P0027</t>
        </is>
      </c>
      <c r="E358" s="2" t="inlineStr">
        <is>
          <t>Moisturizer</t>
        </is>
      </c>
      <c r="F358" s="2" t="inlineStr">
        <is>
          <t>Beauty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Warangal</t>
        </is>
      </c>
      <c r="J358" s="2" t="inlineStr">
        <is>
          <t>Online</t>
        </is>
      </c>
      <c r="K358" s="2" t="n">
        <v>5</v>
      </c>
      <c r="L358" s="3" t="n">
        <v>990.42</v>
      </c>
      <c r="M358" s="4" t="n">
        <v>0.05</v>
      </c>
      <c r="N358" s="3" t="n">
        <v>3533.2</v>
      </c>
      <c r="O358" s="3">
        <f>K358*L358*(1-M358)</f>
        <v/>
      </c>
      <c r="P358" s="3">
        <f>O358-N358</f>
        <v/>
      </c>
      <c r="Q358" s="5">
        <f>IFERROR(P358/O358,0)</f>
        <v/>
      </c>
      <c r="R358" s="2">
        <f>TEXT(DATEVALUE(B358),"mmm")</f>
        <v/>
      </c>
      <c r="S358" s="2">
        <f>TEXT(DATEVALUE(B358),"yyyy-mm")</f>
        <v/>
      </c>
    </row>
    <row r="359">
      <c r="A359" s="2" t="inlineStr">
        <is>
          <t>O000978</t>
        </is>
      </c>
      <c r="B359" s="2" t="inlineStr">
        <is>
          <t>2025-01-26</t>
        </is>
      </c>
      <c r="C359" s="2" t="inlineStr">
        <is>
          <t>C0786</t>
        </is>
      </c>
      <c r="D359" s="2" t="inlineStr">
        <is>
          <t>P0022</t>
        </is>
      </c>
      <c r="E359" s="2" t="inlineStr">
        <is>
          <t>Face Wash</t>
        </is>
      </c>
      <c r="F359" s="2" t="inlineStr">
        <is>
          <t>Beauty</t>
        </is>
      </c>
      <c r="G359" s="2" t="inlineStr">
        <is>
          <t>South</t>
        </is>
      </c>
      <c r="H359" s="2" t="inlineStr">
        <is>
          <t>Karnataka</t>
        </is>
      </c>
      <c r="I359" s="2" t="inlineStr">
        <is>
          <t>Mangaluru</t>
        </is>
      </c>
      <c r="J359" s="2" t="inlineStr">
        <is>
          <t>Online</t>
        </is>
      </c>
      <c r="K359" s="2" t="n">
        <v>2</v>
      </c>
      <c r="L359" s="3" t="n">
        <v>554.01</v>
      </c>
      <c r="M359" s="4" t="n">
        <v>0.1</v>
      </c>
      <c r="N359" s="3" t="n">
        <v>723.96</v>
      </c>
      <c r="O359" s="3">
        <f>K359*L359*(1-M359)</f>
        <v/>
      </c>
      <c r="P359" s="3">
        <f>O359-N359</f>
        <v/>
      </c>
      <c r="Q359" s="5">
        <f>IFERROR(P359/O359,0)</f>
        <v/>
      </c>
      <c r="R359" s="2">
        <f>TEXT(DATEVALUE(B359),"mmm")</f>
        <v/>
      </c>
      <c r="S359" s="2">
        <f>TEXT(DATEVALUE(B359),"yyyy-mm")</f>
        <v/>
      </c>
    </row>
    <row r="360">
      <c r="A360" s="2" t="inlineStr">
        <is>
          <t>O000873</t>
        </is>
      </c>
      <c r="B360" s="2" t="inlineStr">
        <is>
          <t>2025-01-26</t>
        </is>
      </c>
      <c r="C360" s="2" t="inlineStr">
        <is>
          <t>C0095</t>
        </is>
      </c>
      <c r="D360" s="2" t="inlineStr">
        <is>
          <t>P0007</t>
        </is>
      </c>
      <c r="E360" s="2" t="inlineStr">
        <is>
          <t>Wireless Mouse</t>
        </is>
      </c>
      <c r="F360" s="2" t="inlineStr">
        <is>
          <t>Electronics</t>
        </is>
      </c>
      <c r="G360" s="2" t="inlineStr">
        <is>
          <t>North</t>
        </is>
      </c>
      <c r="H360" s="2" t="inlineStr">
        <is>
          <t>Uttar Pradesh</t>
        </is>
      </c>
      <c r="I360" s="2" t="inlineStr">
        <is>
          <t>Noida</t>
        </is>
      </c>
      <c r="J360" s="2" t="inlineStr">
        <is>
          <t>Online</t>
        </is>
      </c>
      <c r="K360" s="2" t="n">
        <v>1</v>
      </c>
      <c r="L360" s="3" t="n">
        <v>988.96</v>
      </c>
      <c r="M360" s="4" t="n">
        <v>0.2</v>
      </c>
      <c r="N360" s="3" t="n">
        <v>622.3</v>
      </c>
      <c r="O360" s="3">
        <f>K360*L360*(1-M360)</f>
        <v/>
      </c>
      <c r="P360" s="3">
        <f>O360-N360</f>
        <v/>
      </c>
      <c r="Q360" s="5">
        <f>IFERROR(P360/O360,0)</f>
        <v/>
      </c>
      <c r="R360" s="2">
        <f>TEXT(DATEVALUE(B360),"mmm")</f>
        <v/>
      </c>
      <c r="S360" s="2">
        <f>TEXT(DATEVALUE(B360),"yyyy-mm")</f>
        <v/>
      </c>
    </row>
    <row r="361">
      <c r="A361" s="2" t="inlineStr">
        <is>
          <t>O000376</t>
        </is>
      </c>
      <c r="B361" s="2" t="inlineStr">
        <is>
          <t>2025-01-26</t>
        </is>
      </c>
      <c r="C361" s="2" t="inlineStr">
        <is>
          <t>C0597</t>
        </is>
      </c>
      <c r="D361" s="2" t="inlineStr">
        <is>
          <t>P0008</t>
        </is>
      </c>
      <c r="E361" s="2" t="inlineStr">
        <is>
          <t>Air Fryer</t>
        </is>
      </c>
      <c r="F361" s="2" t="inlineStr">
        <is>
          <t>Home &amp; Kitchen</t>
        </is>
      </c>
      <c r="G361" s="2" t="inlineStr">
        <is>
          <t>East</t>
        </is>
      </c>
      <c r="H361" s="2" t="inlineStr">
        <is>
          <t>West Bengal</t>
        </is>
      </c>
      <c r="I361" s="2" t="inlineStr">
        <is>
          <t>Kolkata</t>
        </is>
      </c>
      <c r="J361" s="2" t="inlineStr">
        <is>
          <t>Store</t>
        </is>
      </c>
      <c r="K361" s="2" t="n">
        <v>5</v>
      </c>
      <c r="L361" s="3" t="n">
        <v>1033.74</v>
      </c>
      <c r="M361" s="4" t="n">
        <v>0</v>
      </c>
      <c r="N361" s="3" t="n">
        <v>3425.76</v>
      </c>
      <c r="O361" s="3">
        <f>K361*L361*(1-M361)</f>
        <v/>
      </c>
      <c r="P361" s="3">
        <f>O361-N361</f>
        <v/>
      </c>
      <c r="Q361" s="5">
        <f>IFERROR(P361/O361,0)</f>
        <v/>
      </c>
      <c r="R361" s="2">
        <f>TEXT(DATEVALUE(B361),"mmm")</f>
        <v/>
      </c>
      <c r="S361" s="2">
        <f>TEXT(DATEVALUE(B361),"yyyy-mm")</f>
        <v/>
      </c>
    </row>
    <row r="362">
      <c r="A362" s="2" t="inlineStr">
        <is>
          <t>O004819</t>
        </is>
      </c>
      <c r="B362" s="2" t="inlineStr">
        <is>
          <t>2025-01-27</t>
        </is>
      </c>
      <c r="C362" s="2" t="inlineStr">
        <is>
          <t>C0364</t>
        </is>
      </c>
      <c r="D362" s="2" t="inlineStr">
        <is>
          <t>P0035</t>
        </is>
      </c>
      <c r="E362" s="2" t="inlineStr">
        <is>
          <t>Skipping Rope</t>
        </is>
      </c>
      <c r="F362" s="2" t="inlineStr">
        <is>
          <t>Sports</t>
        </is>
      </c>
      <c r="G362" s="2" t="inlineStr">
        <is>
          <t>South</t>
        </is>
      </c>
      <c r="H362" s="2" t="inlineStr">
        <is>
          <t>Telangana</t>
        </is>
      </c>
      <c r="I362" s="2" t="inlineStr">
        <is>
          <t>Hyderabad</t>
        </is>
      </c>
      <c r="J362" s="2" t="inlineStr">
        <is>
          <t>Store</t>
        </is>
      </c>
      <c r="K362" s="2" t="n">
        <v>2</v>
      </c>
      <c r="L362" s="3" t="n">
        <v>682.42</v>
      </c>
      <c r="M362" s="4" t="n">
        <v>0.1</v>
      </c>
      <c r="N362" s="3" t="n">
        <v>831.3200000000001</v>
      </c>
      <c r="O362" s="3">
        <f>K362*L362*(1-M362)</f>
        <v/>
      </c>
      <c r="P362" s="3">
        <f>O362-N362</f>
        <v/>
      </c>
      <c r="Q362" s="5">
        <f>IFERROR(P362/O362,0)</f>
        <v/>
      </c>
      <c r="R362" s="2">
        <f>TEXT(DATEVALUE(B362),"mmm")</f>
        <v/>
      </c>
      <c r="S362" s="2">
        <f>TEXT(DATEVALUE(B362),"yyyy-mm")</f>
        <v/>
      </c>
    </row>
    <row r="363">
      <c r="A363" s="2" t="inlineStr">
        <is>
          <t>O003630</t>
        </is>
      </c>
      <c r="B363" s="2" t="inlineStr">
        <is>
          <t>2025-01-27</t>
        </is>
      </c>
      <c r="C363" s="2" t="inlineStr">
        <is>
          <t>C0255</t>
        </is>
      </c>
      <c r="D363" s="2" t="inlineStr">
        <is>
          <t>P0029</t>
        </is>
      </c>
      <c r="E363" s="2" t="inlineStr">
        <is>
          <t>Yoga Mat</t>
        </is>
      </c>
      <c r="F363" s="2" t="inlineStr">
        <is>
          <t>Sports</t>
        </is>
      </c>
      <c r="G363" s="2" t="inlineStr">
        <is>
          <t>North</t>
        </is>
      </c>
      <c r="H363" s="2" t="inlineStr">
        <is>
          <t>Delhi</t>
        </is>
      </c>
      <c r="I363" s="2" t="inlineStr">
        <is>
          <t>New Delhi</t>
        </is>
      </c>
      <c r="J363" s="2" t="inlineStr">
        <is>
          <t>Online</t>
        </is>
      </c>
      <c r="K363" s="2" t="n">
        <v>2</v>
      </c>
      <c r="L363" s="3" t="n">
        <v>2405</v>
      </c>
      <c r="M363" s="4" t="n">
        <v>0.15</v>
      </c>
      <c r="N363" s="3" t="n">
        <v>2590.34</v>
      </c>
      <c r="O363" s="3">
        <f>K363*L363*(1-M363)</f>
        <v/>
      </c>
      <c r="P363" s="3">
        <f>O363-N363</f>
        <v/>
      </c>
      <c r="Q363" s="5">
        <f>IFERROR(P363/O363,0)</f>
        <v/>
      </c>
      <c r="R363" s="2">
        <f>TEXT(DATEVALUE(B363),"mmm")</f>
        <v/>
      </c>
      <c r="S363" s="2">
        <f>TEXT(DATEVALUE(B363),"yyyy-mm")</f>
        <v/>
      </c>
    </row>
    <row r="364">
      <c r="A364" s="2" t="inlineStr">
        <is>
          <t>O002283</t>
        </is>
      </c>
      <c r="B364" s="2" t="inlineStr">
        <is>
          <t>2025-01-27</t>
        </is>
      </c>
      <c r="C364" s="2" t="inlineStr">
        <is>
          <t>C0595</t>
        </is>
      </c>
      <c r="D364" s="2" t="inlineStr">
        <is>
          <t>P0020</t>
        </is>
      </c>
      <c r="E364" s="2" t="inlineStr">
        <is>
          <t>Sneakers</t>
        </is>
      </c>
      <c r="F364" s="2" t="inlineStr">
        <is>
          <t>Fashion</t>
        </is>
      </c>
      <c r="G364" s="2" t="inlineStr">
        <is>
          <t>South</t>
        </is>
      </c>
      <c r="H364" s="2" t="inlineStr">
        <is>
          <t>Kerala</t>
        </is>
      </c>
      <c r="I364" s="2" t="inlineStr">
        <is>
          <t>Thiruvananthapuram</t>
        </is>
      </c>
      <c r="J364" s="2" t="inlineStr">
        <is>
          <t>Store</t>
        </is>
      </c>
      <c r="K364" s="2" t="n">
        <v>1</v>
      </c>
      <c r="L364" s="3" t="n">
        <v>1889.28</v>
      </c>
      <c r="M364" s="4" t="n">
        <v>0</v>
      </c>
      <c r="N364" s="3" t="n">
        <v>1485.56</v>
      </c>
      <c r="O364" s="3">
        <f>K364*L364*(1-M364)</f>
        <v/>
      </c>
      <c r="P364" s="3">
        <f>O364-N364</f>
        <v/>
      </c>
      <c r="Q364" s="5">
        <f>IFERROR(P364/O364,0)</f>
        <v/>
      </c>
      <c r="R364" s="2">
        <f>TEXT(DATEVALUE(B364),"mmm")</f>
        <v/>
      </c>
      <c r="S364" s="2">
        <f>TEXT(DATEVALUE(B364),"yyyy-mm")</f>
        <v/>
      </c>
    </row>
    <row r="365">
      <c r="A365" s="2" t="inlineStr">
        <is>
          <t>O001767</t>
        </is>
      </c>
      <c r="B365" s="2" t="inlineStr">
        <is>
          <t>2025-01-27</t>
        </is>
      </c>
      <c r="C365" s="2" t="inlineStr">
        <is>
          <t>C0684</t>
        </is>
      </c>
      <c r="D365" s="2" t="inlineStr">
        <is>
          <t>P0022</t>
        </is>
      </c>
      <c r="E365" s="2" t="inlineStr">
        <is>
          <t>Face Wash</t>
        </is>
      </c>
      <c r="F365" s="2" t="inlineStr">
        <is>
          <t>Beauty</t>
        </is>
      </c>
      <c r="G365" s="2" t="inlineStr">
        <is>
          <t>West</t>
        </is>
      </c>
      <c r="H365" s="2" t="inlineStr">
        <is>
          <t>Maharashtra</t>
        </is>
      </c>
      <c r="I365" s="2" t="inlineStr">
        <is>
          <t>Mumbai</t>
        </is>
      </c>
      <c r="J365" s="2" t="inlineStr">
        <is>
          <t>Online</t>
        </is>
      </c>
      <c r="K365" s="2" t="n">
        <v>4</v>
      </c>
      <c r="L365" s="3" t="n">
        <v>556.37</v>
      </c>
      <c r="M365" s="4" t="n">
        <v>0.1</v>
      </c>
      <c r="N365" s="3" t="n">
        <v>1435.12</v>
      </c>
      <c r="O365" s="3">
        <f>K365*L365*(1-M365)</f>
        <v/>
      </c>
      <c r="P365" s="3">
        <f>O365-N365</f>
        <v/>
      </c>
      <c r="Q365" s="5">
        <f>IFERROR(P365/O365,0)</f>
        <v/>
      </c>
      <c r="R365" s="2">
        <f>TEXT(DATEVALUE(B365),"mmm")</f>
        <v/>
      </c>
      <c r="S365" s="2">
        <f>TEXT(DATEVALUE(B365),"yyyy-mm")</f>
        <v/>
      </c>
    </row>
    <row r="366">
      <c r="A366" s="2" t="inlineStr">
        <is>
          <t>O002164</t>
        </is>
      </c>
      <c r="B366" s="2" t="inlineStr">
        <is>
          <t>2025-01-27</t>
        </is>
      </c>
      <c r="C366" s="2" t="inlineStr">
        <is>
          <t>C0597</t>
        </is>
      </c>
      <c r="D366" s="2" t="inlineStr">
        <is>
          <t>P0013</t>
        </is>
      </c>
      <c r="E366" s="2" t="inlineStr">
        <is>
          <t>Storage Organizer</t>
        </is>
      </c>
      <c r="F366" s="2" t="inlineStr">
        <is>
          <t>Home &amp; Kitchen</t>
        </is>
      </c>
      <c r="G366" s="2" t="inlineStr">
        <is>
          <t>South</t>
        </is>
      </c>
      <c r="H366" s="2" t="inlineStr">
        <is>
          <t>Kerala</t>
        </is>
      </c>
      <c r="I366" s="2" t="inlineStr">
        <is>
          <t>Kochi</t>
        </is>
      </c>
      <c r="J366" s="2" t="inlineStr">
        <is>
          <t>Online</t>
        </is>
      </c>
      <c r="K366" s="2" t="n">
        <v>1</v>
      </c>
      <c r="L366" s="3" t="n">
        <v>557.29</v>
      </c>
      <c r="M366" s="4" t="n">
        <v>0</v>
      </c>
      <c r="N366" s="3" t="n">
        <v>356.1</v>
      </c>
      <c r="O366" s="3">
        <f>K366*L366*(1-M366)</f>
        <v/>
      </c>
      <c r="P366" s="3">
        <f>O366-N366</f>
        <v/>
      </c>
      <c r="Q366" s="5">
        <f>IFERROR(P366/O366,0)</f>
        <v/>
      </c>
      <c r="R366" s="2">
        <f>TEXT(DATEVALUE(B366),"mmm")</f>
        <v/>
      </c>
      <c r="S366" s="2">
        <f>TEXT(DATEVALUE(B366),"yyyy-mm")</f>
        <v/>
      </c>
    </row>
    <row r="367">
      <c r="A367" s="2" t="inlineStr">
        <is>
          <t>O001736</t>
        </is>
      </c>
      <c r="B367" s="2" t="inlineStr">
        <is>
          <t>2025-01-27</t>
        </is>
      </c>
      <c r="C367" s="2" t="inlineStr">
        <is>
          <t>C0351</t>
        </is>
      </c>
      <c r="D367" s="2" t="inlineStr">
        <is>
          <t>P0016</t>
        </is>
      </c>
      <c r="E367" s="2" t="inlineStr">
        <is>
          <t>Casual Shirt</t>
        </is>
      </c>
      <c r="F367" s="2" t="inlineStr">
        <is>
          <t>Fashion</t>
        </is>
      </c>
      <c r="G367" s="2" t="inlineStr">
        <is>
          <t>South</t>
        </is>
      </c>
      <c r="H367" s="2" t="inlineStr">
        <is>
          <t>Telangana</t>
        </is>
      </c>
      <c r="I367" s="2" t="inlineStr">
        <is>
          <t>Hyderabad</t>
        </is>
      </c>
      <c r="J367" s="2" t="inlineStr">
        <is>
          <t>Online</t>
        </is>
      </c>
      <c r="K367" s="2" t="n">
        <v>1</v>
      </c>
      <c r="L367" s="3" t="n">
        <v>1268.97</v>
      </c>
      <c r="M367" s="4" t="n">
        <v>0</v>
      </c>
      <c r="N367" s="3" t="n">
        <v>910.6</v>
      </c>
      <c r="O367" s="3">
        <f>K367*L367*(1-M367)</f>
        <v/>
      </c>
      <c r="P367" s="3">
        <f>O367-N367</f>
        <v/>
      </c>
      <c r="Q367" s="5">
        <f>IFERROR(P367/O367,0)</f>
        <v/>
      </c>
      <c r="R367" s="2">
        <f>TEXT(DATEVALUE(B367),"mmm")</f>
        <v/>
      </c>
      <c r="S367" s="2">
        <f>TEXT(DATEVALUE(B367),"yyyy-mm")</f>
        <v/>
      </c>
    </row>
    <row r="368">
      <c r="A368" s="2" t="inlineStr">
        <is>
          <t>O001353</t>
        </is>
      </c>
      <c r="B368" s="2" t="inlineStr">
        <is>
          <t>2025-01-27</t>
        </is>
      </c>
      <c r="C368" s="2" t="inlineStr">
        <is>
          <t>C0700</t>
        </is>
      </c>
      <c r="D368" s="2" t="inlineStr">
        <is>
          <t>P0026</t>
        </is>
      </c>
      <c r="E368" s="2" t="inlineStr">
        <is>
          <t>Shampoo</t>
        </is>
      </c>
      <c r="F368" s="2" t="inlineStr">
        <is>
          <t>Beauty</t>
        </is>
      </c>
      <c r="G368" s="2" t="inlineStr">
        <is>
          <t>North</t>
        </is>
      </c>
      <c r="H368" s="2" t="inlineStr">
        <is>
          <t>Uttar Pradesh</t>
        </is>
      </c>
      <c r="I368" s="2" t="inlineStr">
        <is>
          <t>Varanasi</t>
        </is>
      </c>
      <c r="J368" s="2" t="inlineStr">
        <is>
          <t>Online</t>
        </is>
      </c>
      <c r="K368" s="2" t="n">
        <v>1</v>
      </c>
      <c r="L368" s="3" t="n">
        <v>844.95</v>
      </c>
      <c r="M368" s="4" t="n">
        <v>0.1</v>
      </c>
      <c r="N368" s="3" t="n">
        <v>507.25</v>
      </c>
      <c r="O368" s="3">
        <f>K368*L368*(1-M368)</f>
        <v/>
      </c>
      <c r="P368" s="3">
        <f>O368-N368</f>
        <v/>
      </c>
      <c r="Q368" s="5">
        <f>IFERROR(P368/O368,0)</f>
        <v/>
      </c>
      <c r="R368" s="2">
        <f>TEXT(DATEVALUE(B368),"mmm")</f>
        <v/>
      </c>
      <c r="S368" s="2">
        <f>TEXT(DATEVALUE(B368),"yyyy-mm")</f>
        <v/>
      </c>
    </row>
    <row r="369">
      <c r="A369" s="2" t="inlineStr">
        <is>
          <t>O000317</t>
        </is>
      </c>
      <c r="B369" s="2" t="inlineStr">
        <is>
          <t>2025-01-27</t>
        </is>
      </c>
      <c r="C369" s="2" t="inlineStr">
        <is>
          <t>C0166</t>
        </is>
      </c>
      <c r="D369" s="2" t="inlineStr">
        <is>
          <t>P0002</t>
        </is>
      </c>
      <c r="E369" s="2" t="inlineStr">
        <is>
          <t>Bluetooth Speaker</t>
        </is>
      </c>
      <c r="F369" s="2" t="inlineStr">
        <is>
          <t>Electronics</t>
        </is>
      </c>
      <c r="G369" s="2" t="inlineStr">
        <is>
          <t>North</t>
        </is>
      </c>
      <c r="H369" s="2" t="inlineStr">
        <is>
          <t>Punjab</t>
        </is>
      </c>
      <c r="I369" s="2" t="inlineStr">
        <is>
          <t>Ludhiana</t>
        </is>
      </c>
      <c r="J369" s="2" t="inlineStr">
        <is>
          <t>Store</t>
        </is>
      </c>
      <c r="K369" s="2" t="n">
        <v>1</v>
      </c>
      <c r="L369" s="3" t="n">
        <v>1362.34</v>
      </c>
      <c r="M369" s="4" t="n">
        <v>0.1</v>
      </c>
      <c r="N369" s="3" t="n">
        <v>839.28</v>
      </c>
      <c r="O369" s="3">
        <f>K369*L369*(1-M369)</f>
        <v/>
      </c>
      <c r="P369" s="3">
        <f>O369-N369</f>
        <v/>
      </c>
      <c r="Q369" s="5">
        <f>IFERROR(P369/O369,0)</f>
        <v/>
      </c>
      <c r="R369" s="2">
        <f>TEXT(DATEVALUE(B369),"mmm")</f>
        <v/>
      </c>
      <c r="S369" s="2">
        <f>TEXT(DATEVALUE(B369),"yyyy-mm")</f>
        <v/>
      </c>
    </row>
    <row r="370">
      <c r="A370" s="2" t="inlineStr">
        <is>
          <t>O001759</t>
        </is>
      </c>
      <c r="B370" s="2" t="inlineStr">
        <is>
          <t>2025-01-27</t>
        </is>
      </c>
      <c r="C370" s="2" t="inlineStr">
        <is>
          <t>C0566</t>
        </is>
      </c>
      <c r="D370" s="2" t="inlineStr">
        <is>
          <t>P0011</t>
        </is>
      </c>
      <c r="E370" s="2" t="inlineStr">
        <is>
          <t>Cookware Set</t>
        </is>
      </c>
      <c r="F370" s="2" t="inlineStr">
        <is>
          <t>Home &amp; Kitchen</t>
        </is>
      </c>
      <c r="G370" s="2" t="inlineStr">
        <is>
          <t>East</t>
        </is>
      </c>
      <c r="H370" s="2" t="inlineStr">
        <is>
          <t>Odisha</t>
        </is>
      </c>
      <c r="I370" s="2" t="inlineStr">
        <is>
          <t>Bhubaneswar</t>
        </is>
      </c>
      <c r="J370" s="2" t="inlineStr">
        <is>
          <t>Online</t>
        </is>
      </c>
      <c r="K370" s="2" t="n">
        <v>1</v>
      </c>
      <c r="L370" s="3" t="n">
        <v>685.4299999999999</v>
      </c>
      <c r="M370" s="4" t="n">
        <v>0.1</v>
      </c>
      <c r="N370" s="3" t="n">
        <v>458.84</v>
      </c>
      <c r="O370" s="3">
        <f>K370*L370*(1-M370)</f>
        <v/>
      </c>
      <c r="P370" s="3">
        <f>O370-N370</f>
        <v/>
      </c>
      <c r="Q370" s="5">
        <f>IFERROR(P370/O370,0)</f>
        <v/>
      </c>
      <c r="R370" s="2">
        <f>TEXT(DATEVALUE(B370),"mmm")</f>
        <v/>
      </c>
      <c r="S370" s="2">
        <f>TEXT(DATEVALUE(B370),"yyyy-mm")</f>
        <v/>
      </c>
    </row>
    <row r="371">
      <c r="A371" s="2" t="inlineStr">
        <is>
          <t>O003740</t>
        </is>
      </c>
      <c r="B371" s="2" t="inlineStr">
        <is>
          <t>2025-01-28</t>
        </is>
      </c>
      <c r="C371" s="2" t="inlineStr">
        <is>
          <t>C0774</t>
        </is>
      </c>
      <c r="D371" s="2" t="inlineStr">
        <is>
          <t>P0011</t>
        </is>
      </c>
      <c r="E371" s="2" t="inlineStr">
        <is>
          <t>Cookware Set</t>
        </is>
      </c>
      <c r="F371" s="2" t="inlineStr">
        <is>
          <t>Home &amp; Kitchen</t>
        </is>
      </c>
      <c r="G371" s="2" t="inlineStr">
        <is>
          <t>West</t>
        </is>
      </c>
      <c r="H371" s="2" t="inlineStr">
        <is>
          <t>Gujarat</t>
        </is>
      </c>
      <c r="I371" s="2" t="inlineStr">
        <is>
          <t>Surat</t>
        </is>
      </c>
      <c r="J371" s="2" t="inlineStr">
        <is>
          <t>Online</t>
        </is>
      </c>
      <c r="K371" s="2" t="n">
        <v>2</v>
      </c>
      <c r="L371" s="3" t="n">
        <v>732.75</v>
      </c>
      <c r="M371" s="4" t="n">
        <v>0.1</v>
      </c>
      <c r="N371" s="3" t="n">
        <v>929.5</v>
      </c>
      <c r="O371" s="3">
        <f>K371*L371*(1-M371)</f>
        <v/>
      </c>
      <c r="P371" s="3">
        <f>O371-N371</f>
        <v/>
      </c>
      <c r="Q371" s="5">
        <f>IFERROR(P371/O371,0)</f>
        <v/>
      </c>
      <c r="R371" s="2">
        <f>TEXT(DATEVALUE(B371),"mmm")</f>
        <v/>
      </c>
      <c r="S371" s="2">
        <f>TEXT(DATEVALUE(B371),"yyyy-mm")</f>
        <v/>
      </c>
    </row>
    <row r="372">
      <c r="A372" s="2" t="inlineStr">
        <is>
          <t>O004869</t>
        </is>
      </c>
      <c r="B372" s="2" t="inlineStr">
        <is>
          <t>2025-01-28</t>
        </is>
      </c>
      <c r="C372" s="2" t="inlineStr">
        <is>
          <t>C0720</t>
        </is>
      </c>
      <c r="D372" s="2" t="inlineStr">
        <is>
          <t>P0011</t>
        </is>
      </c>
      <c r="E372" s="2" t="inlineStr">
        <is>
          <t>Cookware Set</t>
        </is>
      </c>
      <c r="F372" s="2" t="inlineStr">
        <is>
          <t>Home &amp; Kitchen</t>
        </is>
      </c>
      <c r="G372" s="2" t="inlineStr">
        <is>
          <t>West</t>
        </is>
      </c>
      <c r="H372" s="2" t="inlineStr">
        <is>
          <t>Maharashtra</t>
        </is>
      </c>
      <c r="I372" s="2" t="inlineStr">
        <is>
          <t>Mumbai</t>
        </is>
      </c>
      <c r="J372" s="2" t="inlineStr">
        <is>
          <t>Online</t>
        </is>
      </c>
      <c r="K372" s="2" t="n">
        <v>5</v>
      </c>
      <c r="L372" s="3" t="n">
        <v>679.47</v>
      </c>
      <c r="M372" s="4" t="n">
        <v>0</v>
      </c>
      <c r="N372" s="3" t="n">
        <v>2314.53</v>
      </c>
      <c r="O372" s="3">
        <f>K372*L372*(1-M372)</f>
        <v/>
      </c>
      <c r="P372" s="3">
        <f>O372-N372</f>
        <v/>
      </c>
      <c r="Q372" s="5">
        <f>IFERROR(P372/O372,0)</f>
        <v/>
      </c>
      <c r="R372" s="2">
        <f>TEXT(DATEVALUE(B372),"mmm")</f>
        <v/>
      </c>
      <c r="S372" s="2">
        <f>TEXT(DATEVALUE(B372),"yyyy-mm")</f>
        <v/>
      </c>
    </row>
    <row r="373">
      <c r="A373" s="2" t="inlineStr">
        <is>
          <t>O004789</t>
        </is>
      </c>
      <c r="B373" s="2" t="inlineStr">
        <is>
          <t>2025-01-28</t>
        </is>
      </c>
      <c r="C373" s="2" t="inlineStr">
        <is>
          <t>C0350</t>
        </is>
      </c>
      <c r="D373" s="2" t="inlineStr">
        <is>
          <t>P0032</t>
        </is>
      </c>
      <c r="E373" s="2" t="inlineStr">
        <is>
          <t>Football</t>
        </is>
      </c>
      <c r="F373" s="2" t="inlineStr">
        <is>
          <t>Sports</t>
        </is>
      </c>
      <c r="G373" s="2" t="inlineStr">
        <is>
          <t>North</t>
        </is>
      </c>
      <c r="H373" s="2" t="inlineStr">
        <is>
          <t>Punjab</t>
        </is>
      </c>
      <c r="I373" s="2" t="inlineStr">
        <is>
          <t>Amritsar</t>
        </is>
      </c>
      <c r="J373" s="2" t="inlineStr">
        <is>
          <t>Online</t>
        </is>
      </c>
      <c r="K373" s="2" t="n">
        <v>2</v>
      </c>
      <c r="L373" s="3" t="n">
        <v>778.49</v>
      </c>
      <c r="M373" s="4" t="n">
        <v>0.1</v>
      </c>
      <c r="N373" s="3" t="n">
        <v>1057.95</v>
      </c>
      <c r="O373" s="3">
        <f>K373*L373*(1-M373)</f>
        <v/>
      </c>
      <c r="P373" s="3">
        <f>O373-N373</f>
        <v/>
      </c>
      <c r="Q373" s="5">
        <f>IFERROR(P373/O373,0)</f>
        <v/>
      </c>
      <c r="R373" s="2">
        <f>TEXT(DATEVALUE(B373),"mmm")</f>
        <v/>
      </c>
      <c r="S373" s="2">
        <f>TEXT(DATEVALUE(B373),"yyyy-mm")</f>
        <v/>
      </c>
    </row>
    <row r="374">
      <c r="A374" s="2" t="inlineStr">
        <is>
          <t>O004577</t>
        </is>
      </c>
      <c r="B374" s="2" t="inlineStr">
        <is>
          <t>2025-01-28</t>
        </is>
      </c>
      <c r="C374" s="2" t="inlineStr">
        <is>
          <t>C0694</t>
        </is>
      </c>
      <c r="D374" s="2" t="inlineStr">
        <is>
          <t>P0004</t>
        </is>
      </c>
      <c r="E374" s="2" t="inlineStr">
        <is>
          <t>USB-C Hub</t>
        </is>
      </c>
      <c r="F374" s="2" t="inlineStr">
        <is>
          <t>Electronics</t>
        </is>
      </c>
      <c r="G374" s="2" t="inlineStr">
        <is>
          <t>South</t>
        </is>
      </c>
      <c r="H374" s="2" t="inlineStr">
        <is>
          <t>Telangana</t>
        </is>
      </c>
      <c r="I374" s="2" t="inlineStr">
        <is>
          <t>Warangal</t>
        </is>
      </c>
      <c r="J374" s="2" t="inlineStr">
        <is>
          <t>Online</t>
        </is>
      </c>
      <c r="K374" s="2" t="n">
        <v>2</v>
      </c>
      <c r="L374" s="3" t="n">
        <v>1236.19</v>
      </c>
      <c r="M374" s="4" t="n">
        <v>0</v>
      </c>
      <c r="N374" s="3" t="n">
        <v>1893.27</v>
      </c>
      <c r="O374" s="3">
        <f>K374*L374*(1-M374)</f>
        <v/>
      </c>
      <c r="P374" s="3">
        <f>O374-N374</f>
        <v/>
      </c>
      <c r="Q374" s="5">
        <f>IFERROR(P374/O374,0)</f>
        <v/>
      </c>
      <c r="R374" s="2">
        <f>TEXT(DATEVALUE(B374),"mmm")</f>
        <v/>
      </c>
      <c r="S374" s="2">
        <f>TEXT(DATEVALUE(B374),"yyyy-mm")</f>
        <v/>
      </c>
    </row>
    <row r="375">
      <c r="A375" s="2" t="inlineStr">
        <is>
          <t>O003877</t>
        </is>
      </c>
      <c r="B375" s="2" t="inlineStr">
        <is>
          <t>2025-01-28</t>
        </is>
      </c>
      <c r="C375" s="2" t="inlineStr">
        <is>
          <t>C0101</t>
        </is>
      </c>
      <c r="D375" s="2" t="inlineStr">
        <is>
          <t>P0017</t>
        </is>
      </c>
      <c r="E375" s="2" t="inlineStr">
        <is>
          <t>Jeans</t>
        </is>
      </c>
      <c r="F375" s="2" t="inlineStr">
        <is>
          <t>Fashion</t>
        </is>
      </c>
      <c r="G375" s="2" t="inlineStr">
        <is>
          <t>South</t>
        </is>
      </c>
      <c r="H375" s="2" t="inlineStr">
        <is>
          <t>Tamil Nadu</t>
        </is>
      </c>
      <c r="I375" s="2" t="inlineStr">
        <is>
          <t>Madurai</t>
        </is>
      </c>
      <c r="J375" s="2" t="inlineStr">
        <is>
          <t>Online</t>
        </is>
      </c>
      <c r="K375" s="2" t="n">
        <v>2</v>
      </c>
      <c r="L375" s="3" t="n">
        <v>1479.91</v>
      </c>
      <c r="M375" s="4" t="n">
        <v>0.1</v>
      </c>
      <c r="N375" s="3" t="n">
        <v>2073.42</v>
      </c>
      <c r="O375" s="3">
        <f>K375*L375*(1-M375)</f>
        <v/>
      </c>
      <c r="P375" s="3">
        <f>O375-N375</f>
        <v/>
      </c>
      <c r="Q375" s="5">
        <f>IFERROR(P375/O375,0)</f>
        <v/>
      </c>
      <c r="R375" s="2">
        <f>TEXT(DATEVALUE(B375),"mmm")</f>
        <v/>
      </c>
      <c r="S375" s="2">
        <f>TEXT(DATEVALUE(B375),"yyyy-mm")</f>
        <v/>
      </c>
    </row>
    <row r="376">
      <c r="A376" s="2" t="inlineStr">
        <is>
          <t>O003774</t>
        </is>
      </c>
      <c r="B376" s="2" t="inlineStr">
        <is>
          <t>2025-01-28</t>
        </is>
      </c>
      <c r="C376" s="2" t="inlineStr">
        <is>
          <t>C0053</t>
        </is>
      </c>
      <c r="D376" s="2" t="inlineStr">
        <is>
          <t>P0022</t>
        </is>
      </c>
      <c r="E376" s="2" t="inlineStr">
        <is>
          <t>Face Wash</t>
        </is>
      </c>
      <c r="F376" s="2" t="inlineStr">
        <is>
          <t>Beauty</t>
        </is>
      </c>
      <c r="G376" s="2" t="inlineStr">
        <is>
          <t>North</t>
        </is>
      </c>
      <c r="H376" s="2" t="inlineStr">
        <is>
          <t>Punjab</t>
        </is>
      </c>
      <c r="I376" s="2" t="inlineStr">
        <is>
          <t>Jalandhar</t>
        </is>
      </c>
      <c r="J376" s="2" t="inlineStr">
        <is>
          <t>Store</t>
        </is>
      </c>
      <c r="K376" s="2" t="n">
        <v>6</v>
      </c>
      <c r="L376" s="3" t="n">
        <v>548.89</v>
      </c>
      <c r="M376" s="4" t="n">
        <v>0</v>
      </c>
      <c r="N376" s="3" t="n">
        <v>2181.96</v>
      </c>
      <c r="O376" s="3">
        <f>K376*L376*(1-M376)</f>
        <v/>
      </c>
      <c r="P376" s="3">
        <f>O376-N376</f>
        <v/>
      </c>
      <c r="Q376" s="5">
        <f>IFERROR(P376/O376,0)</f>
        <v/>
      </c>
      <c r="R376" s="2">
        <f>TEXT(DATEVALUE(B376),"mmm")</f>
        <v/>
      </c>
      <c r="S376" s="2">
        <f>TEXT(DATEVALUE(B376),"yyyy-mm")</f>
        <v/>
      </c>
    </row>
    <row r="377">
      <c r="A377" s="2" t="inlineStr">
        <is>
          <t>O003771</t>
        </is>
      </c>
      <c r="B377" s="2" t="inlineStr">
        <is>
          <t>2025-01-28</t>
        </is>
      </c>
      <c r="C377" s="2" t="inlineStr">
        <is>
          <t>C0150</t>
        </is>
      </c>
      <c r="D377" s="2" t="inlineStr">
        <is>
          <t>P0011</t>
        </is>
      </c>
      <c r="E377" s="2" t="inlineStr">
        <is>
          <t>Cookware Set</t>
        </is>
      </c>
      <c r="F377" s="2" t="inlineStr">
        <is>
          <t>Home &amp; Kitchen</t>
        </is>
      </c>
      <c r="G377" s="2" t="inlineStr">
        <is>
          <t>West</t>
        </is>
      </c>
      <c r="H377" s="2" t="inlineStr">
        <is>
          <t>Maharashtra</t>
        </is>
      </c>
      <c r="I377" s="2" t="inlineStr">
        <is>
          <t>Nagpur</t>
        </is>
      </c>
      <c r="J377" s="2" t="inlineStr">
        <is>
          <t>Store</t>
        </is>
      </c>
      <c r="K377" s="2" t="n">
        <v>1</v>
      </c>
      <c r="L377" s="3" t="n">
        <v>707.14</v>
      </c>
      <c r="M377" s="4" t="n">
        <v>0.05</v>
      </c>
      <c r="N377" s="3" t="n">
        <v>469.63</v>
      </c>
      <c r="O377" s="3">
        <f>K377*L377*(1-M377)</f>
        <v/>
      </c>
      <c r="P377" s="3">
        <f>O377-N377</f>
        <v/>
      </c>
      <c r="Q377" s="5">
        <f>IFERROR(P377/O377,0)</f>
        <v/>
      </c>
      <c r="R377" s="2">
        <f>TEXT(DATEVALUE(B377),"mmm")</f>
        <v/>
      </c>
      <c r="S377" s="2">
        <f>TEXT(DATEVALUE(B377),"yyyy-mm")</f>
        <v/>
      </c>
    </row>
    <row r="378">
      <c r="A378" s="2" t="inlineStr">
        <is>
          <t>O003326</t>
        </is>
      </c>
      <c r="B378" s="2" t="inlineStr">
        <is>
          <t>2025-01-28</t>
        </is>
      </c>
      <c r="C378" s="2" t="inlineStr">
        <is>
          <t>C0243</t>
        </is>
      </c>
      <c r="D378" s="2" t="inlineStr">
        <is>
          <t>P0019</t>
        </is>
      </c>
      <c r="E378" s="2" t="inlineStr">
        <is>
          <t>Jacket</t>
        </is>
      </c>
      <c r="F378" s="2" t="inlineStr">
        <is>
          <t>Fashion</t>
        </is>
      </c>
      <c r="G378" s="2" t="inlineStr">
        <is>
          <t>West</t>
        </is>
      </c>
      <c r="H378" s="2" t="inlineStr">
        <is>
          <t>Maharashtra</t>
        </is>
      </c>
      <c r="I378" s="2" t="inlineStr">
        <is>
          <t>Nagpur</t>
        </is>
      </c>
      <c r="J378" s="2" t="inlineStr">
        <is>
          <t>Store</t>
        </is>
      </c>
      <c r="K378" s="2" t="n">
        <v>1</v>
      </c>
      <c r="L378" s="3" t="n">
        <v>1059.56</v>
      </c>
      <c r="M378" s="4" t="n">
        <v>0.05</v>
      </c>
      <c r="N378" s="3" t="n">
        <v>694.84</v>
      </c>
      <c r="O378" s="3">
        <f>K378*L378*(1-M378)</f>
        <v/>
      </c>
      <c r="P378" s="3">
        <f>O378-N378</f>
        <v/>
      </c>
      <c r="Q378" s="5">
        <f>IFERROR(P378/O378,0)</f>
        <v/>
      </c>
      <c r="R378" s="2">
        <f>TEXT(DATEVALUE(B378),"mmm")</f>
        <v/>
      </c>
      <c r="S378" s="2">
        <f>TEXT(DATEVALUE(B378),"yyyy-mm")</f>
        <v/>
      </c>
    </row>
    <row r="379">
      <c r="A379" s="2" t="inlineStr">
        <is>
          <t>O001964</t>
        </is>
      </c>
      <c r="B379" s="2" t="inlineStr">
        <is>
          <t>2025-01-28</t>
        </is>
      </c>
      <c r="C379" s="2" t="inlineStr">
        <is>
          <t>C0420</t>
        </is>
      </c>
      <c r="D379" s="2" t="inlineStr">
        <is>
          <t>P0014</t>
        </is>
      </c>
      <c r="E379" s="2" t="inlineStr">
        <is>
          <t>Coffee Maker</t>
        </is>
      </c>
      <c r="F379" s="2" t="inlineStr">
        <is>
          <t>Home &amp; Kitchen</t>
        </is>
      </c>
      <c r="G379" s="2" t="inlineStr">
        <is>
          <t>East</t>
        </is>
      </c>
      <c r="H379" s="2" t="inlineStr">
        <is>
          <t>West Bengal</t>
        </is>
      </c>
      <c r="I379" s="2" t="inlineStr">
        <is>
          <t>Durgapur</t>
        </is>
      </c>
      <c r="J379" s="2" t="inlineStr">
        <is>
          <t>Store</t>
        </is>
      </c>
      <c r="K379" s="2" t="n">
        <v>2</v>
      </c>
      <c r="L379" s="3" t="n">
        <v>1001.59</v>
      </c>
      <c r="M379" s="4" t="n">
        <v>0.2</v>
      </c>
      <c r="N379" s="3" t="n">
        <v>1567.96</v>
      </c>
      <c r="O379" s="3">
        <f>K379*L379*(1-M379)</f>
        <v/>
      </c>
      <c r="P379" s="3">
        <f>O379-N379</f>
        <v/>
      </c>
      <c r="Q379" s="5">
        <f>IFERROR(P379/O379,0)</f>
        <v/>
      </c>
      <c r="R379" s="2">
        <f>TEXT(DATEVALUE(B379),"mmm")</f>
        <v/>
      </c>
      <c r="S379" s="2">
        <f>TEXT(DATEVALUE(B379),"yyyy-mm")</f>
        <v/>
      </c>
    </row>
    <row r="380">
      <c r="A380" s="2" t="inlineStr">
        <is>
          <t>O002898</t>
        </is>
      </c>
      <c r="B380" s="2" t="inlineStr">
        <is>
          <t>2025-01-28</t>
        </is>
      </c>
      <c r="C380" s="2" t="inlineStr">
        <is>
          <t>C0049</t>
        </is>
      </c>
      <c r="D380" s="2" t="inlineStr">
        <is>
          <t>P0009</t>
        </is>
      </c>
      <c r="E380" s="2" t="inlineStr">
        <is>
          <t>Electric Kettle</t>
        </is>
      </c>
      <c r="F380" s="2" t="inlineStr">
        <is>
          <t>Home &amp; Kitchen</t>
        </is>
      </c>
      <c r="G380" s="2" t="inlineStr">
        <is>
          <t>North</t>
        </is>
      </c>
      <c r="H380" s="2" t="inlineStr">
        <is>
          <t>Delhi</t>
        </is>
      </c>
      <c r="I380" s="2" t="inlineStr">
        <is>
          <t>New Delhi</t>
        </is>
      </c>
      <c r="J380" s="2" t="inlineStr">
        <is>
          <t>Online</t>
        </is>
      </c>
      <c r="K380" s="2" t="n">
        <v>3</v>
      </c>
      <c r="L380" s="3" t="n">
        <v>2032.88</v>
      </c>
      <c r="M380" s="4" t="n">
        <v>0.05</v>
      </c>
      <c r="N380" s="3" t="n">
        <v>3525.01</v>
      </c>
      <c r="O380" s="3">
        <f>K380*L380*(1-M380)</f>
        <v/>
      </c>
      <c r="P380" s="3">
        <f>O380-N380</f>
        <v/>
      </c>
      <c r="Q380" s="5">
        <f>IFERROR(P380/O380,0)</f>
        <v/>
      </c>
      <c r="R380" s="2">
        <f>TEXT(DATEVALUE(B380),"mmm")</f>
        <v/>
      </c>
      <c r="S380" s="2">
        <f>TEXT(DATEVALUE(B380),"yyyy-mm")</f>
        <v/>
      </c>
    </row>
    <row r="381">
      <c r="A381" s="2" t="inlineStr">
        <is>
          <t>O002560</t>
        </is>
      </c>
      <c r="B381" s="2" t="inlineStr">
        <is>
          <t>2025-01-28</t>
        </is>
      </c>
      <c r="C381" s="2" t="inlineStr">
        <is>
          <t>C0768</t>
        </is>
      </c>
      <c r="D381" s="2" t="inlineStr">
        <is>
          <t>P0032</t>
        </is>
      </c>
      <c r="E381" s="2" t="inlineStr">
        <is>
          <t>Football</t>
        </is>
      </c>
      <c r="F381" s="2" t="inlineStr">
        <is>
          <t>Sports</t>
        </is>
      </c>
      <c r="G381" s="2" t="inlineStr">
        <is>
          <t>East</t>
        </is>
      </c>
      <c r="H381" s="2" t="inlineStr">
        <is>
          <t>West Bengal</t>
        </is>
      </c>
      <c r="I381" s="2" t="inlineStr">
        <is>
          <t>Kolkata</t>
        </is>
      </c>
      <c r="J381" s="2" t="inlineStr">
        <is>
          <t>Store</t>
        </is>
      </c>
      <c r="K381" s="2" t="n">
        <v>1</v>
      </c>
      <c r="L381" s="3" t="n">
        <v>797.9400000000001</v>
      </c>
      <c r="M381" s="4" t="n">
        <v>0.05</v>
      </c>
      <c r="N381" s="3" t="n">
        <v>549.3200000000001</v>
      </c>
      <c r="O381" s="3">
        <f>K381*L381*(1-M381)</f>
        <v/>
      </c>
      <c r="P381" s="3">
        <f>O381-N381</f>
        <v/>
      </c>
      <c r="Q381" s="5">
        <f>IFERROR(P381/O381,0)</f>
        <v/>
      </c>
      <c r="R381" s="2">
        <f>TEXT(DATEVALUE(B381),"mmm")</f>
        <v/>
      </c>
      <c r="S381" s="2">
        <f>TEXT(DATEVALUE(B381),"yyyy-mm")</f>
        <v/>
      </c>
    </row>
    <row r="382">
      <c r="A382" s="2" t="inlineStr">
        <is>
          <t>O000907</t>
        </is>
      </c>
      <c r="B382" s="2" t="inlineStr">
        <is>
          <t>2025-01-28</t>
        </is>
      </c>
      <c r="C382" s="2" t="inlineStr">
        <is>
          <t>C0189</t>
        </is>
      </c>
      <c r="D382" s="2" t="inlineStr">
        <is>
          <t>P0006</t>
        </is>
      </c>
      <c r="E382" s="2" t="inlineStr">
        <is>
          <t>Mechanical Keyboard</t>
        </is>
      </c>
      <c r="F382" s="2" t="inlineStr">
        <is>
          <t>Electronics</t>
        </is>
      </c>
      <c r="G382" s="2" t="inlineStr">
        <is>
          <t>South</t>
        </is>
      </c>
      <c r="H382" s="2" t="inlineStr">
        <is>
          <t>Kerala</t>
        </is>
      </c>
      <c r="I382" s="2" t="inlineStr">
        <is>
          <t>Kochi</t>
        </is>
      </c>
      <c r="J382" s="2" t="inlineStr">
        <is>
          <t>Store</t>
        </is>
      </c>
      <c r="K382" s="2" t="n">
        <v>1</v>
      </c>
      <c r="L382" s="3" t="n">
        <v>2779.33</v>
      </c>
      <c r="M382" s="4" t="n">
        <v>0</v>
      </c>
      <c r="N382" s="3" t="n">
        <v>1502.5</v>
      </c>
      <c r="O382" s="3">
        <f>K382*L382*(1-M382)</f>
        <v/>
      </c>
      <c r="P382" s="3">
        <f>O382-N382</f>
        <v/>
      </c>
      <c r="Q382" s="5">
        <f>IFERROR(P382/O382,0)</f>
        <v/>
      </c>
      <c r="R382" s="2">
        <f>TEXT(DATEVALUE(B382),"mmm")</f>
        <v/>
      </c>
      <c r="S382" s="2">
        <f>TEXT(DATEVALUE(B382),"yyyy-mm")</f>
        <v/>
      </c>
    </row>
    <row r="383">
      <c r="A383" s="2" t="inlineStr">
        <is>
          <t>O000887</t>
        </is>
      </c>
      <c r="B383" s="2" t="inlineStr">
        <is>
          <t>2025-01-28</t>
        </is>
      </c>
      <c r="C383" s="2" t="inlineStr">
        <is>
          <t>C0438</t>
        </is>
      </c>
      <c r="D383" s="2" t="inlineStr">
        <is>
          <t>P0008</t>
        </is>
      </c>
      <c r="E383" s="2" t="inlineStr">
        <is>
          <t>Air Fryer</t>
        </is>
      </c>
      <c r="F383" s="2" t="inlineStr">
        <is>
          <t>Home &amp; Kitchen</t>
        </is>
      </c>
      <c r="G383" s="2" t="inlineStr">
        <is>
          <t>North</t>
        </is>
      </c>
      <c r="H383" s="2" t="inlineStr">
        <is>
          <t>Delhi</t>
        </is>
      </c>
      <c r="I383" s="2" t="inlineStr">
        <is>
          <t>New Delhi</t>
        </is>
      </c>
      <c r="J383" s="2" t="inlineStr">
        <is>
          <t>Store</t>
        </is>
      </c>
      <c r="K383" s="2" t="n">
        <v>3</v>
      </c>
      <c r="L383" s="3" t="n">
        <v>1032.03</v>
      </c>
      <c r="M383" s="4" t="n">
        <v>0.05</v>
      </c>
      <c r="N383" s="3" t="n">
        <v>2042.07</v>
      </c>
      <c r="O383" s="3">
        <f>K383*L383*(1-M383)</f>
        <v/>
      </c>
      <c r="P383" s="3">
        <f>O383-N383</f>
        <v/>
      </c>
      <c r="Q383" s="5">
        <f>IFERROR(P383/O383,0)</f>
        <v/>
      </c>
      <c r="R383" s="2">
        <f>TEXT(DATEVALUE(B383),"mmm")</f>
        <v/>
      </c>
      <c r="S383" s="2">
        <f>TEXT(DATEVALUE(B383),"yyyy-mm")</f>
        <v/>
      </c>
    </row>
    <row r="384">
      <c r="A384" s="2" t="inlineStr">
        <is>
          <t>O000697</t>
        </is>
      </c>
      <c r="B384" s="2" t="inlineStr">
        <is>
          <t>2025-01-28</t>
        </is>
      </c>
      <c r="C384" s="2" t="inlineStr">
        <is>
          <t>C0691</t>
        </is>
      </c>
      <c r="D384" s="2" t="inlineStr">
        <is>
          <t>P0026</t>
        </is>
      </c>
      <c r="E384" s="2" t="inlineStr">
        <is>
          <t>Shampoo</t>
        </is>
      </c>
      <c r="F384" s="2" t="inlineStr">
        <is>
          <t>Beauty</t>
        </is>
      </c>
      <c r="G384" s="2" t="inlineStr">
        <is>
          <t>South</t>
        </is>
      </c>
      <c r="H384" s="2" t="inlineStr">
        <is>
          <t>Karnataka</t>
        </is>
      </c>
      <c r="I384" s="2" t="inlineStr">
        <is>
          <t>Mysuru</t>
        </is>
      </c>
      <c r="J384" s="2" t="inlineStr">
        <is>
          <t>Online</t>
        </is>
      </c>
      <c r="K384" s="2" t="n">
        <v>2</v>
      </c>
      <c r="L384" s="3" t="n">
        <v>885.5700000000001</v>
      </c>
      <c r="M384" s="4" t="n">
        <v>0.15</v>
      </c>
      <c r="N384" s="3" t="n">
        <v>1019.43</v>
      </c>
      <c r="O384" s="3">
        <f>K384*L384*(1-M384)</f>
        <v/>
      </c>
      <c r="P384" s="3">
        <f>O384-N384</f>
        <v/>
      </c>
      <c r="Q384" s="5">
        <f>IFERROR(P384/O384,0)</f>
        <v/>
      </c>
      <c r="R384" s="2">
        <f>TEXT(DATEVALUE(B384),"mmm")</f>
        <v/>
      </c>
      <c r="S384" s="2">
        <f>TEXT(DATEVALUE(B384),"yyyy-mm")</f>
        <v/>
      </c>
    </row>
    <row r="385">
      <c r="A385" s="2" t="inlineStr">
        <is>
          <t>O000165</t>
        </is>
      </c>
      <c r="B385" s="2" t="inlineStr">
        <is>
          <t>2025-01-28</t>
        </is>
      </c>
      <c r="C385" s="2" t="inlineStr">
        <is>
          <t>C0653</t>
        </is>
      </c>
      <c r="D385" s="2" t="inlineStr">
        <is>
          <t>P0022</t>
        </is>
      </c>
      <c r="E385" s="2" t="inlineStr">
        <is>
          <t>Face Wash</t>
        </is>
      </c>
      <c r="F385" s="2" t="inlineStr">
        <is>
          <t>Beauty</t>
        </is>
      </c>
      <c r="G385" s="2" t="inlineStr">
        <is>
          <t>West</t>
        </is>
      </c>
      <c r="H385" s="2" t="inlineStr">
        <is>
          <t>Maharashtra</t>
        </is>
      </c>
      <c r="I385" s="2" t="inlineStr">
        <is>
          <t>Nagpur</t>
        </is>
      </c>
      <c r="J385" s="2" t="inlineStr">
        <is>
          <t>Online</t>
        </is>
      </c>
      <c r="K385" s="2" t="n">
        <v>3</v>
      </c>
      <c r="L385" s="3" t="n">
        <v>548.2</v>
      </c>
      <c r="M385" s="4" t="n">
        <v>0</v>
      </c>
      <c r="N385" s="3" t="n">
        <v>1019.8</v>
      </c>
      <c r="O385" s="3">
        <f>K385*L385*(1-M385)</f>
        <v/>
      </c>
      <c r="P385" s="3">
        <f>O385-N385</f>
        <v/>
      </c>
      <c r="Q385" s="5">
        <f>IFERROR(P385/O385,0)</f>
        <v/>
      </c>
      <c r="R385" s="2">
        <f>TEXT(DATEVALUE(B385),"mmm")</f>
        <v/>
      </c>
      <c r="S385" s="2">
        <f>TEXT(DATEVALUE(B385),"yyyy-mm")</f>
        <v/>
      </c>
    </row>
    <row r="386">
      <c r="A386" s="2" t="inlineStr">
        <is>
          <t>O000110</t>
        </is>
      </c>
      <c r="B386" s="2" t="inlineStr">
        <is>
          <t>2025-01-28</t>
        </is>
      </c>
      <c r="C386" s="2" t="inlineStr">
        <is>
          <t>C0746</t>
        </is>
      </c>
      <c r="D386" s="2" t="inlineStr">
        <is>
          <t>P0007</t>
        </is>
      </c>
      <c r="E386" s="2" t="inlineStr">
        <is>
          <t>Wireless Mouse</t>
        </is>
      </c>
      <c r="F386" s="2" t="inlineStr">
        <is>
          <t>Electronics</t>
        </is>
      </c>
      <c r="G386" s="2" t="inlineStr">
        <is>
          <t>East</t>
        </is>
      </c>
      <c r="H386" s="2" t="inlineStr">
        <is>
          <t>West Bengal</t>
        </is>
      </c>
      <c r="I386" s="2" t="inlineStr">
        <is>
          <t>Durgapur</t>
        </is>
      </c>
      <c r="J386" s="2" t="inlineStr">
        <is>
          <t>Online</t>
        </is>
      </c>
      <c r="K386" s="2" t="n">
        <v>2</v>
      </c>
      <c r="L386" s="3" t="n">
        <v>944.04</v>
      </c>
      <c r="M386" s="4" t="n">
        <v>0</v>
      </c>
      <c r="N386" s="3" t="n">
        <v>1257.22</v>
      </c>
      <c r="O386" s="3">
        <f>K386*L386*(1-M386)</f>
        <v/>
      </c>
      <c r="P386" s="3">
        <f>O386-N386</f>
        <v/>
      </c>
      <c r="Q386" s="5">
        <f>IFERROR(P386/O386,0)</f>
        <v/>
      </c>
      <c r="R386" s="2">
        <f>TEXT(DATEVALUE(B386),"mmm")</f>
        <v/>
      </c>
      <c r="S386" s="2">
        <f>TEXT(DATEVALUE(B386),"yyyy-mm")</f>
        <v/>
      </c>
    </row>
    <row r="387">
      <c r="A387" s="2" t="inlineStr">
        <is>
          <t>O003205</t>
        </is>
      </c>
      <c r="B387" s="2" t="inlineStr">
        <is>
          <t>2025-01-28</t>
        </is>
      </c>
      <c r="C387" s="2" t="inlineStr">
        <is>
          <t>C0177</t>
        </is>
      </c>
      <c r="D387" s="2" t="inlineStr">
        <is>
          <t>P0007</t>
        </is>
      </c>
      <c r="E387" s="2" t="inlineStr">
        <is>
          <t>Wireless Mouse</t>
        </is>
      </c>
      <c r="F387" s="2" t="inlineStr">
        <is>
          <t>Electronics</t>
        </is>
      </c>
      <c r="G387" s="2" t="inlineStr">
        <is>
          <t>West</t>
        </is>
      </c>
      <c r="H387" s="2" t="inlineStr">
        <is>
          <t>Gujarat</t>
        </is>
      </c>
      <c r="I387" s="2" t="inlineStr">
        <is>
          <t>Ahmedabad</t>
        </is>
      </c>
      <c r="J387" s="2" t="inlineStr">
        <is>
          <t>Store</t>
        </is>
      </c>
      <c r="K387" s="2" t="n">
        <v>6</v>
      </c>
      <c r="L387" s="3" t="n">
        <v>948.86</v>
      </c>
      <c r="M387" s="4" t="n">
        <v>0.05</v>
      </c>
      <c r="N387" s="3" t="n">
        <v>3641.28</v>
      </c>
      <c r="O387" s="3">
        <f>K387*L387*(1-M387)</f>
        <v/>
      </c>
      <c r="P387" s="3">
        <f>O387-N387</f>
        <v/>
      </c>
      <c r="Q387" s="5">
        <f>IFERROR(P387/O387,0)</f>
        <v/>
      </c>
      <c r="R387" s="2">
        <f>TEXT(DATEVALUE(B387),"mmm")</f>
        <v/>
      </c>
      <c r="S387" s="2">
        <f>TEXT(DATEVALUE(B387),"yyyy-mm")</f>
        <v/>
      </c>
    </row>
    <row r="388">
      <c r="A388" s="2" t="inlineStr">
        <is>
          <t>O002646</t>
        </is>
      </c>
      <c r="B388" s="2" t="inlineStr">
        <is>
          <t>2025-01-29</t>
        </is>
      </c>
      <c r="C388" s="2" t="inlineStr">
        <is>
          <t>C0661</t>
        </is>
      </c>
      <c r="D388" s="2" t="inlineStr">
        <is>
          <t>P0012</t>
        </is>
      </c>
      <c r="E388" s="2" t="inlineStr">
        <is>
          <t>Water Bottle</t>
        </is>
      </c>
      <c r="F388" s="2" t="inlineStr">
        <is>
          <t>Home &amp; Kitchen</t>
        </is>
      </c>
      <c r="G388" s="2" t="inlineStr">
        <is>
          <t>West</t>
        </is>
      </c>
      <c r="H388" s="2" t="inlineStr">
        <is>
          <t>Gujarat</t>
        </is>
      </c>
      <c r="I388" s="2" t="inlineStr">
        <is>
          <t>Vadodara</t>
        </is>
      </c>
      <c r="J388" s="2" t="inlineStr">
        <is>
          <t>Store</t>
        </is>
      </c>
      <c r="K388" s="2" t="n">
        <v>2</v>
      </c>
      <c r="L388" s="3" t="n">
        <v>1004.01</v>
      </c>
      <c r="M388" s="4" t="n">
        <v>0.05</v>
      </c>
      <c r="N388" s="3" t="n">
        <v>1215.25</v>
      </c>
      <c r="O388" s="3">
        <f>K388*L388*(1-M388)</f>
        <v/>
      </c>
      <c r="P388" s="3">
        <f>O388-N388</f>
        <v/>
      </c>
      <c r="Q388" s="5">
        <f>IFERROR(P388/O388,0)</f>
        <v/>
      </c>
      <c r="R388" s="2">
        <f>TEXT(DATEVALUE(B388),"mmm")</f>
        <v/>
      </c>
      <c r="S388" s="2">
        <f>TEXT(DATEVALUE(B388),"yyyy-mm")</f>
        <v/>
      </c>
    </row>
    <row r="389">
      <c r="A389" s="2" t="inlineStr">
        <is>
          <t>O004937</t>
        </is>
      </c>
      <c r="B389" s="2" t="inlineStr">
        <is>
          <t>2025-01-29</t>
        </is>
      </c>
      <c r="C389" s="2" t="inlineStr">
        <is>
          <t>C0501</t>
        </is>
      </c>
      <c r="D389" s="2" t="inlineStr">
        <is>
          <t>P0029</t>
        </is>
      </c>
      <c r="E389" s="2" t="inlineStr">
        <is>
          <t>Yoga Mat</t>
        </is>
      </c>
      <c r="F389" s="2" t="inlineStr">
        <is>
          <t>Sports</t>
        </is>
      </c>
      <c r="G389" s="2" t="inlineStr">
        <is>
          <t>West</t>
        </is>
      </c>
      <c r="H389" s="2" t="inlineStr">
        <is>
          <t>Maharashtra</t>
        </is>
      </c>
      <c r="I389" s="2" t="inlineStr">
        <is>
          <t>Pune</t>
        </is>
      </c>
      <c r="J389" s="2" t="inlineStr">
        <is>
          <t>Online</t>
        </is>
      </c>
      <c r="K389" s="2" t="n">
        <v>1</v>
      </c>
      <c r="L389" s="3" t="n">
        <v>2347.1</v>
      </c>
      <c r="M389" s="4" t="n">
        <v>0.05</v>
      </c>
      <c r="N389" s="3" t="n">
        <v>1354.44</v>
      </c>
      <c r="O389" s="3">
        <f>K389*L389*(1-M389)</f>
        <v/>
      </c>
      <c r="P389" s="3">
        <f>O389-N389</f>
        <v/>
      </c>
      <c r="Q389" s="5">
        <f>IFERROR(P389/O389,0)</f>
        <v/>
      </c>
      <c r="R389" s="2">
        <f>TEXT(DATEVALUE(B389),"mmm")</f>
        <v/>
      </c>
      <c r="S389" s="2">
        <f>TEXT(DATEVALUE(B389),"yyyy-mm")</f>
        <v/>
      </c>
    </row>
    <row r="390">
      <c r="A390" s="2" t="inlineStr">
        <is>
          <t>O004856</t>
        </is>
      </c>
      <c r="B390" s="2" t="inlineStr">
        <is>
          <t>2025-01-29</t>
        </is>
      </c>
      <c r="C390" s="2" t="inlineStr">
        <is>
          <t>C0435</t>
        </is>
      </c>
      <c r="D390" s="2" t="inlineStr">
        <is>
          <t>P0011</t>
        </is>
      </c>
      <c r="E390" s="2" t="inlineStr">
        <is>
          <t>Cookware Set</t>
        </is>
      </c>
      <c r="F390" s="2" t="inlineStr">
        <is>
          <t>Home &amp; Kitchen</t>
        </is>
      </c>
      <c r="G390" s="2" t="inlineStr">
        <is>
          <t>South</t>
        </is>
      </c>
      <c r="H390" s="2" t="inlineStr">
        <is>
          <t>Kerala</t>
        </is>
      </c>
      <c r="I390" s="2" t="inlineStr">
        <is>
          <t>Thiruvananthapuram</t>
        </is>
      </c>
      <c r="J390" s="2" t="inlineStr">
        <is>
          <t>Store</t>
        </is>
      </c>
      <c r="K390" s="2" t="n">
        <v>1</v>
      </c>
      <c r="L390" s="3" t="n">
        <v>692.91</v>
      </c>
      <c r="M390" s="4" t="n">
        <v>0.15</v>
      </c>
      <c r="N390" s="3" t="n">
        <v>474.18</v>
      </c>
      <c r="O390" s="3">
        <f>K390*L390*(1-M390)</f>
        <v/>
      </c>
      <c r="P390" s="3">
        <f>O390-N390</f>
        <v/>
      </c>
      <c r="Q390" s="5">
        <f>IFERROR(P390/O390,0)</f>
        <v/>
      </c>
      <c r="R390" s="2">
        <f>TEXT(DATEVALUE(B390),"mmm")</f>
        <v/>
      </c>
      <c r="S390" s="2">
        <f>TEXT(DATEVALUE(B390),"yyyy-mm")</f>
        <v/>
      </c>
    </row>
    <row r="391">
      <c r="A391" s="2" t="inlineStr">
        <is>
          <t>O004725</t>
        </is>
      </c>
      <c r="B391" s="2" t="inlineStr">
        <is>
          <t>2025-01-29</t>
        </is>
      </c>
      <c r="C391" s="2" t="inlineStr">
        <is>
          <t>C0635</t>
        </is>
      </c>
      <c r="D391" s="2" t="inlineStr">
        <is>
          <t>P0006</t>
        </is>
      </c>
      <c r="E391" s="2" t="inlineStr">
        <is>
          <t>Mechanical Keyboard</t>
        </is>
      </c>
      <c r="F391" s="2" t="inlineStr">
        <is>
          <t>Electronics</t>
        </is>
      </c>
      <c r="G391" s="2" t="inlineStr">
        <is>
          <t>East</t>
        </is>
      </c>
      <c r="H391" s="2" t="inlineStr">
        <is>
          <t>West Bengal</t>
        </is>
      </c>
      <c r="I391" s="2" t="inlineStr">
        <is>
          <t>Kolkata</t>
        </is>
      </c>
      <c r="J391" s="2" t="inlineStr">
        <is>
          <t>Online</t>
        </is>
      </c>
      <c r="K391" s="2" t="n">
        <v>3</v>
      </c>
      <c r="L391" s="3" t="n">
        <v>2708.46</v>
      </c>
      <c r="M391" s="4" t="n">
        <v>0.1</v>
      </c>
      <c r="N391" s="3" t="n">
        <v>4484.26</v>
      </c>
      <c r="O391" s="3">
        <f>K391*L391*(1-M391)</f>
        <v/>
      </c>
      <c r="P391" s="3">
        <f>O391-N391</f>
        <v/>
      </c>
      <c r="Q391" s="5">
        <f>IFERROR(P391/O391,0)</f>
        <v/>
      </c>
      <c r="R391" s="2">
        <f>TEXT(DATEVALUE(B391),"mmm")</f>
        <v/>
      </c>
      <c r="S391" s="2">
        <f>TEXT(DATEVALUE(B391),"yyyy-mm")</f>
        <v/>
      </c>
    </row>
    <row r="392">
      <c r="A392" s="2" t="inlineStr">
        <is>
          <t>O004631</t>
        </is>
      </c>
      <c r="B392" s="2" t="inlineStr">
        <is>
          <t>2025-01-29</t>
        </is>
      </c>
      <c r="C392" s="2" t="inlineStr">
        <is>
          <t>C0684</t>
        </is>
      </c>
      <c r="D392" s="2" t="inlineStr">
        <is>
          <t>P0016</t>
        </is>
      </c>
      <c r="E392" s="2" t="inlineStr">
        <is>
          <t>Casual Shirt</t>
        </is>
      </c>
      <c r="F392" s="2" t="inlineStr">
        <is>
          <t>Fashion</t>
        </is>
      </c>
      <c r="G392" s="2" t="inlineStr">
        <is>
          <t>North</t>
        </is>
      </c>
      <c r="H392" s="2" t="inlineStr">
        <is>
          <t>Delhi</t>
        </is>
      </c>
      <c r="I392" s="2" t="inlineStr">
        <is>
          <t>New Delhi</t>
        </is>
      </c>
      <c r="J392" s="2" t="inlineStr">
        <is>
          <t>Online</t>
        </is>
      </c>
      <c r="K392" s="2" t="n">
        <v>2</v>
      </c>
      <c r="L392" s="3" t="n">
        <v>1268.77</v>
      </c>
      <c r="M392" s="4" t="n">
        <v>0.1</v>
      </c>
      <c r="N392" s="3" t="n">
        <v>1803.35</v>
      </c>
      <c r="O392" s="3">
        <f>K392*L392*(1-M392)</f>
        <v/>
      </c>
      <c r="P392" s="3">
        <f>O392-N392</f>
        <v/>
      </c>
      <c r="Q392" s="5">
        <f>IFERROR(P392/O392,0)</f>
        <v/>
      </c>
      <c r="R392" s="2">
        <f>TEXT(DATEVALUE(B392),"mmm")</f>
        <v/>
      </c>
      <c r="S392" s="2">
        <f>TEXT(DATEVALUE(B392),"yyyy-mm")</f>
        <v/>
      </c>
    </row>
    <row r="393">
      <c r="A393" s="2" t="inlineStr">
        <is>
          <t>O004296</t>
        </is>
      </c>
      <c r="B393" s="2" t="inlineStr">
        <is>
          <t>2025-01-29</t>
        </is>
      </c>
      <c r="C393" s="2" t="inlineStr">
        <is>
          <t>C0715</t>
        </is>
      </c>
      <c r="D393" s="2" t="inlineStr">
        <is>
          <t>P0021</t>
        </is>
      </c>
      <c r="E393" s="2" t="inlineStr">
        <is>
          <t>Wallet</t>
        </is>
      </c>
      <c r="F393" s="2" t="inlineStr">
        <is>
          <t>Fashion</t>
        </is>
      </c>
      <c r="G393" s="2" t="inlineStr">
        <is>
          <t>South</t>
        </is>
      </c>
      <c r="H393" s="2" t="inlineStr">
        <is>
          <t>Kerala</t>
        </is>
      </c>
      <c r="I393" s="2" t="inlineStr">
        <is>
          <t>Thiruvananthapuram</t>
        </is>
      </c>
      <c r="J393" s="2" t="inlineStr">
        <is>
          <t>Store</t>
        </is>
      </c>
      <c r="K393" s="2" t="n">
        <v>3</v>
      </c>
      <c r="L393" s="3" t="n">
        <v>1961.05</v>
      </c>
      <c r="M393" s="4" t="n">
        <v>0</v>
      </c>
      <c r="N393" s="3" t="n">
        <v>3530.41</v>
      </c>
      <c r="O393" s="3">
        <f>K393*L393*(1-M393)</f>
        <v/>
      </c>
      <c r="P393" s="3">
        <f>O393-N393</f>
        <v/>
      </c>
      <c r="Q393" s="5">
        <f>IFERROR(P393/O393,0)</f>
        <v/>
      </c>
      <c r="R393" s="2">
        <f>TEXT(DATEVALUE(B393),"mmm")</f>
        <v/>
      </c>
      <c r="S393" s="2">
        <f>TEXT(DATEVALUE(B393),"yyyy-mm")</f>
        <v/>
      </c>
    </row>
    <row r="394">
      <c r="A394" s="2" t="inlineStr">
        <is>
          <t>O003809</t>
        </is>
      </c>
      <c r="B394" s="2" t="inlineStr">
        <is>
          <t>2025-01-29</t>
        </is>
      </c>
      <c r="C394" s="2" t="inlineStr">
        <is>
          <t>C0630</t>
        </is>
      </c>
      <c r="D394" s="2" t="inlineStr">
        <is>
          <t>P0029</t>
        </is>
      </c>
      <c r="E394" s="2" t="inlineStr">
        <is>
          <t>Yoga Mat</t>
        </is>
      </c>
      <c r="F394" s="2" t="inlineStr">
        <is>
          <t>Sports</t>
        </is>
      </c>
      <c r="G394" s="2" t="inlineStr">
        <is>
          <t>West</t>
        </is>
      </c>
      <c r="H394" s="2" t="inlineStr">
        <is>
          <t>Gujarat</t>
        </is>
      </c>
      <c r="I394" s="2" t="inlineStr">
        <is>
          <t>Ahmedabad</t>
        </is>
      </c>
      <c r="J394" s="2" t="inlineStr">
        <is>
          <t>Online</t>
        </is>
      </c>
      <c r="K394" s="2" t="n">
        <v>3</v>
      </c>
      <c r="L394" s="3" t="n">
        <v>2437.66</v>
      </c>
      <c r="M394" s="4" t="n">
        <v>0.1</v>
      </c>
      <c r="N394" s="3" t="n">
        <v>3996.89</v>
      </c>
      <c r="O394" s="3">
        <f>K394*L394*(1-M394)</f>
        <v/>
      </c>
      <c r="P394" s="3">
        <f>O394-N394</f>
        <v/>
      </c>
      <c r="Q394" s="5">
        <f>IFERROR(P394/O394,0)</f>
        <v/>
      </c>
      <c r="R394" s="2">
        <f>TEXT(DATEVALUE(B394),"mmm")</f>
        <v/>
      </c>
      <c r="S394" s="2">
        <f>TEXT(DATEVALUE(B394),"yyyy-mm")</f>
        <v/>
      </c>
    </row>
    <row r="395">
      <c r="A395" s="2" t="inlineStr">
        <is>
          <t>O002523</t>
        </is>
      </c>
      <c r="B395" s="2" t="inlineStr">
        <is>
          <t>2025-01-29</t>
        </is>
      </c>
      <c r="C395" s="2" t="inlineStr">
        <is>
          <t>C0364</t>
        </is>
      </c>
      <c r="D395" s="2" t="inlineStr">
        <is>
          <t>P0003</t>
        </is>
      </c>
      <c r="E395" s="2" t="inlineStr">
        <is>
          <t>Smartwatch</t>
        </is>
      </c>
      <c r="F395" s="2" t="inlineStr">
        <is>
          <t>Electronics</t>
        </is>
      </c>
      <c r="G395" s="2" t="inlineStr">
        <is>
          <t>North</t>
        </is>
      </c>
      <c r="H395" s="2" t="inlineStr">
        <is>
          <t>Delhi</t>
        </is>
      </c>
      <c r="I395" s="2" t="inlineStr">
        <is>
          <t>New Delhi</t>
        </is>
      </c>
      <c r="J395" s="2" t="inlineStr">
        <is>
          <t>Store</t>
        </is>
      </c>
      <c r="K395" s="2" t="n">
        <v>1</v>
      </c>
      <c r="L395" s="3" t="n">
        <v>2369.37</v>
      </c>
      <c r="M395" s="4" t="n">
        <v>0.1</v>
      </c>
      <c r="N395" s="3" t="n">
        <v>1178.64</v>
      </c>
      <c r="O395" s="3">
        <f>K395*L395*(1-M395)</f>
        <v/>
      </c>
      <c r="P395" s="3">
        <f>O395-N395</f>
        <v/>
      </c>
      <c r="Q395" s="5">
        <f>IFERROR(P395/O395,0)</f>
        <v/>
      </c>
      <c r="R395" s="2">
        <f>TEXT(DATEVALUE(B395),"mmm")</f>
        <v/>
      </c>
      <c r="S395" s="2">
        <f>TEXT(DATEVALUE(B395),"yyyy-mm")</f>
        <v/>
      </c>
    </row>
    <row r="396">
      <c r="A396" s="2" t="inlineStr">
        <is>
          <t>O001376</t>
        </is>
      </c>
      <c r="B396" s="2" t="inlineStr">
        <is>
          <t>2025-01-29</t>
        </is>
      </c>
      <c r="C396" s="2" t="inlineStr">
        <is>
          <t>C0616</t>
        </is>
      </c>
      <c r="D396" s="2" t="inlineStr">
        <is>
          <t>P0014</t>
        </is>
      </c>
      <c r="E396" s="2" t="inlineStr">
        <is>
          <t>Coffee Maker</t>
        </is>
      </c>
      <c r="F396" s="2" t="inlineStr">
        <is>
          <t>Home &amp; Kitchen</t>
        </is>
      </c>
      <c r="G396" s="2" t="inlineStr">
        <is>
          <t>West</t>
        </is>
      </c>
      <c r="H396" s="2" t="inlineStr">
        <is>
          <t>Gujarat</t>
        </is>
      </c>
      <c r="I396" s="2" t="inlineStr">
        <is>
          <t>Vadodara</t>
        </is>
      </c>
      <c r="J396" s="2" t="inlineStr">
        <is>
          <t>Store</t>
        </is>
      </c>
      <c r="K396" s="2" t="n">
        <v>2</v>
      </c>
      <c r="L396" s="3" t="n">
        <v>1066.69</v>
      </c>
      <c r="M396" s="4" t="n">
        <v>0.05</v>
      </c>
      <c r="N396" s="3" t="n">
        <v>1546.14</v>
      </c>
      <c r="O396" s="3">
        <f>K396*L396*(1-M396)</f>
        <v/>
      </c>
      <c r="P396" s="3">
        <f>O396-N396</f>
        <v/>
      </c>
      <c r="Q396" s="5">
        <f>IFERROR(P396/O396,0)</f>
        <v/>
      </c>
      <c r="R396" s="2">
        <f>TEXT(DATEVALUE(B396),"mmm")</f>
        <v/>
      </c>
      <c r="S396" s="2">
        <f>TEXT(DATEVALUE(B396),"yyyy-mm")</f>
        <v/>
      </c>
    </row>
    <row r="397">
      <c r="A397" s="2" t="inlineStr">
        <is>
          <t>O001592</t>
        </is>
      </c>
      <c r="B397" s="2" t="inlineStr">
        <is>
          <t>2025-01-29</t>
        </is>
      </c>
      <c r="C397" s="2" t="inlineStr">
        <is>
          <t>C0590</t>
        </is>
      </c>
      <c r="D397" s="2" t="inlineStr">
        <is>
          <t>P0021</t>
        </is>
      </c>
      <c r="E397" s="2" t="inlineStr">
        <is>
          <t>Wallet</t>
        </is>
      </c>
      <c r="F397" s="2" t="inlineStr">
        <is>
          <t>Fashion</t>
        </is>
      </c>
      <c r="G397" s="2" t="inlineStr">
        <is>
          <t>West</t>
        </is>
      </c>
      <c r="H397" s="2" t="inlineStr">
        <is>
          <t>Gujarat</t>
        </is>
      </c>
      <c r="I397" s="2" t="inlineStr">
        <is>
          <t>Vadodara</t>
        </is>
      </c>
      <c r="J397" s="2" t="inlineStr">
        <is>
          <t>Online</t>
        </is>
      </c>
      <c r="K397" s="2" t="n">
        <v>1</v>
      </c>
      <c r="L397" s="3" t="n">
        <v>2084.26</v>
      </c>
      <c r="M397" s="4" t="n">
        <v>0</v>
      </c>
      <c r="N397" s="3" t="n">
        <v>1222.57</v>
      </c>
      <c r="O397" s="3">
        <f>K397*L397*(1-M397)</f>
        <v/>
      </c>
      <c r="P397" s="3">
        <f>O397-N397</f>
        <v/>
      </c>
      <c r="Q397" s="5">
        <f>IFERROR(P397/O397,0)</f>
        <v/>
      </c>
      <c r="R397" s="2">
        <f>TEXT(DATEVALUE(B397),"mmm")</f>
        <v/>
      </c>
      <c r="S397" s="2">
        <f>TEXT(DATEVALUE(B397),"yyyy-mm")</f>
        <v/>
      </c>
    </row>
    <row r="398">
      <c r="A398" s="2" t="inlineStr">
        <is>
          <t>O001506</t>
        </is>
      </c>
      <c r="B398" s="2" t="inlineStr">
        <is>
          <t>2025-01-29</t>
        </is>
      </c>
      <c r="C398" s="2" t="inlineStr">
        <is>
          <t>C0567</t>
        </is>
      </c>
      <c r="D398" s="2" t="inlineStr">
        <is>
          <t>P0007</t>
        </is>
      </c>
      <c r="E398" s="2" t="inlineStr">
        <is>
          <t>Wireless Mouse</t>
        </is>
      </c>
      <c r="F398" s="2" t="inlineStr">
        <is>
          <t>Electronics</t>
        </is>
      </c>
      <c r="G398" s="2" t="inlineStr">
        <is>
          <t>West</t>
        </is>
      </c>
      <c r="H398" s="2" t="inlineStr">
        <is>
          <t>Goa</t>
        </is>
      </c>
      <c r="I398" s="2" t="inlineStr">
        <is>
          <t>Margao</t>
        </is>
      </c>
      <c r="J398" s="2" t="inlineStr">
        <is>
          <t>Online</t>
        </is>
      </c>
      <c r="K398" s="2" t="n">
        <v>1</v>
      </c>
      <c r="L398" s="3" t="n">
        <v>998.96</v>
      </c>
      <c r="M398" s="4" t="n">
        <v>0.05</v>
      </c>
      <c r="N398" s="3" t="n">
        <v>623.4</v>
      </c>
      <c r="O398" s="3">
        <f>K398*L398*(1-M398)</f>
        <v/>
      </c>
      <c r="P398" s="3">
        <f>O398-N398</f>
        <v/>
      </c>
      <c r="Q398" s="5">
        <f>IFERROR(P398/O398,0)</f>
        <v/>
      </c>
      <c r="R398" s="2">
        <f>TEXT(DATEVALUE(B398),"mmm")</f>
        <v/>
      </c>
      <c r="S398" s="2">
        <f>TEXT(DATEVALUE(B398),"yyyy-mm")</f>
        <v/>
      </c>
    </row>
    <row r="399">
      <c r="A399" s="2" t="inlineStr">
        <is>
          <t>O001716</t>
        </is>
      </c>
      <c r="B399" s="2" t="inlineStr">
        <is>
          <t>2025-01-29</t>
        </is>
      </c>
      <c r="C399" s="2" t="inlineStr">
        <is>
          <t>C0408</t>
        </is>
      </c>
      <c r="D399" s="2" t="inlineStr">
        <is>
          <t>P0007</t>
        </is>
      </c>
      <c r="E399" s="2" t="inlineStr">
        <is>
          <t>Wireless Mouse</t>
        </is>
      </c>
      <c r="F399" s="2" t="inlineStr">
        <is>
          <t>Electronics</t>
        </is>
      </c>
      <c r="G399" s="2" t="inlineStr">
        <is>
          <t>East</t>
        </is>
      </c>
      <c r="H399" s="2" t="inlineStr">
        <is>
          <t>West Bengal</t>
        </is>
      </c>
      <c r="I399" s="2" t="inlineStr">
        <is>
          <t>Durgapur</t>
        </is>
      </c>
      <c r="J399" s="2" t="inlineStr">
        <is>
          <t>Store</t>
        </is>
      </c>
      <c r="K399" s="2" t="n">
        <v>1</v>
      </c>
      <c r="L399" s="3" t="n">
        <v>1002.59</v>
      </c>
      <c r="M399" s="4" t="n">
        <v>0.05</v>
      </c>
      <c r="N399" s="3" t="n">
        <v>624.16</v>
      </c>
      <c r="O399" s="3">
        <f>K399*L399*(1-M399)</f>
        <v/>
      </c>
      <c r="P399" s="3">
        <f>O399-N399</f>
        <v/>
      </c>
      <c r="Q399" s="5">
        <f>IFERROR(P399/O399,0)</f>
        <v/>
      </c>
      <c r="R399" s="2">
        <f>TEXT(DATEVALUE(B399),"mmm")</f>
        <v/>
      </c>
      <c r="S399" s="2">
        <f>TEXT(DATEVALUE(B399),"yyyy-mm")</f>
        <v/>
      </c>
    </row>
    <row r="400">
      <c r="A400" s="2" t="inlineStr">
        <is>
          <t>O001331</t>
        </is>
      </c>
      <c r="B400" s="2" t="inlineStr">
        <is>
          <t>2025-01-29</t>
        </is>
      </c>
      <c r="C400" s="2" t="inlineStr">
        <is>
          <t>C0035</t>
        </is>
      </c>
      <c r="D400" s="2" t="inlineStr">
        <is>
          <t>P0005</t>
        </is>
      </c>
      <c r="E400" s="2" t="inlineStr">
        <is>
          <t>Power Bank</t>
        </is>
      </c>
      <c r="F400" s="2" t="inlineStr">
        <is>
          <t>Electronics</t>
        </is>
      </c>
      <c r="G400" s="2" t="inlineStr">
        <is>
          <t>North</t>
        </is>
      </c>
      <c r="H400" s="2" t="inlineStr">
        <is>
          <t>Haryana</t>
        </is>
      </c>
      <c r="I400" s="2" t="inlineStr">
        <is>
          <t>Faridabad</t>
        </is>
      </c>
      <c r="J400" s="2" t="inlineStr">
        <is>
          <t>Store</t>
        </is>
      </c>
      <c r="K400" s="2" t="n">
        <v>2</v>
      </c>
      <c r="L400" s="3" t="n">
        <v>1121.11</v>
      </c>
      <c r="M400" s="4" t="n">
        <v>0.05</v>
      </c>
      <c r="N400" s="3" t="n">
        <v>1360.47</v>
      </c>
      <c r="O400" s="3">
        <f>K400*L400*(1-M400)</f>
        <v/>
      </c>
      <c r="P400" s="3">
        <f>O400-N400</f>
        <v/>
      </c>
      <c r="Q400" s="5">
        <f>IFERROR(P400/O400,0)</f>
        <v/>
      </c>
      <c r="R400" s="2">
        <f>TEXT(DATEVALUE(B400),"mmm")</f>
        <v/>
      </c>
      <c r="S400" s="2">
        <f>TEXT(DATEVALUE(B400),"yyyy-mm")</f>
        <v/>
      </c>
    </row>
    <row r="401">
      <c r="A401" s="2" t="inlineStr">
        <is>
          <t>O001153</t>
        </is>
      </c>
      <c r="B401" s="2" t="inlineStr">
        <is>
          <t>2025-01-29</t>
        </is>
      </c>
      <c r="C401" s="2" t="inlineStr">
        <is>
          <t>C0392</t>
        </is>
      </c>
      <c r="D401" s="2" t="inlineStr">
        <is>
          <t>P0005</t>
        </is>
      </c>
      <c r="E401" s="2" t="inlineStr">
        <is>
          <t>Power Bank</t>
        </is>
      </c>
      <c r="F401" s="2" t="inlineStr">
        <is>
          <t>Electronics</t>
        </is>
      </c>
      <c r="G401" s="2" t="inlineStr">
        <is>
          <t>North</t>
        </is>
      </c>
      <c r="H401" s="2" t="inlineStr">
        <is>
          <t>Punjab</t>
        </is>
      </c>
      <c r="I401" s="2" t="inlineStr">
        <is>
          <t>Ludhiana</t>
        </is>
      </c>
      <c r="J401" s="2" t="inlineStr">
        <is>
          <t>Store</t>
        </is>
      </c>
      <c r="K401" s="2" t="n">
        <v>6</v>
      </c>
      <c r="L401" s="3" t="n">
        <v>1156.81</v>
      </c>
      <c r="M401" s="4" t="n">
        <v>0.2</v>
      </c>
      <c r="N401" s="3" t="n">
        <v>4178.54</v>
      </c>
      <c r="O401" s="3">
        <f>K401*L401*(1-M401)</f>
        <v/>
      </c>
      <c r="P401" s="3">
        <f>O401-N401</f>
        <v/>
      </c>
      <c r="Q401" s="5">
        <f>IFERROR(P401/O401,0)</f>
        <v/>
      </c>
      <c r="R401" s="2">
        <f>TEXT(DATEVALUE(B401),"mmm")</f>
        <v/>
      </c>
      <c r="S401" s="2">
        <f>TEXT(DATEVALUE(B401),"yyyy-mm")</f>
        <v/>
      </c>
    </row>
    <row r="402">
      <c r="A402" s="2" t="inlineStr">
        <is>
          <t>O000615</t>
        </is>
      </c>
      <c r="B402" s="2" t="inlineStr">
        <is>
          <t>2025-01-29</t>
        </is>
      </c>
      <c r="C402" s="2" t="inlineStr">
        <is>
          <t>C0284</t>
        </is>
      </c>
      <c r="D402" s="2" t="inlineStr">
        <is>
          <t>P0005</t>
        </is>
      </c>
      <c r="E402" s="2" t="inlineStr">
        <is>
          <t>Power Bank</t>
        </is>
      </c>
      <c r="F402" s="2" t="inlineStr">
        <is>
          <t>Electronics</t>
        </is>
      </c>
      <c r="G402" s="2" t="inlineStr">
        <is>
          <t>North</t>
        </is>
      </c>
      <c r="H402" s="2" t="inlineStr">
        <is>
          <t>Punjab</t>
        </is>
      </c>
      <c r="I402" s="2" t="inlineStr">
        <is>
          <t>Amritsar</t>
        </is>
      </c>
      <c r="J402" s="2" t="inlineStr">
        <is>
          <t>Store</t>
        </is>
      </c>
      <c r="K402" s="2" t="n">
        <v>1</v>
      </c>
      <c r="L402" s="3" t="n">
        <v>1166.59</v>
      </c>
      <c r="M402" s="4" t="n">
        <v>0.05</v>
      </c>
      <c r="N402" s="3" t="n">
        <v>659.29</v>
      </c>
      <c r="O402" s="3">
        <f>K402*L402*(1-M402)</f>
        <v/>
      </c>
      <c r="P402" s="3">
        <f>O402-N402</f>
        <v/>
      </c>
      <c r="Q402" s="5">
        <f>IFERROR(P402/O402,0)</f>
        <v/>
      </c>
      <c r="R402" s="2">
        <f>TEXT(DATEVALUE(B402),"mmm")</f>
        <v/>
      </c>
      <c r="S402" s="2">
        <f>TEXT(DATEVALUE(B402),"yyyy-mm")</f>
        <v/>
      </c>
    </row>
    <row r="403">
      <c r="A403" s="2" t="inlineStr">
        <is>
          <t>O000150</t>
        </is>
      </c>
      <c r="B403" s="2" t="inlineStr">
        <is>
          <t>2025-01-29</t>
        </is>
      </c>
      <c r="C403" s="2" t="inlineStr">
        <is>
          <t>C0661</t>
        </is>
      </c>
      <c r="D403" s="2" t="inlineStr">
        <is>
          <t>P0021</t>
        </is>
      </c>
      <c r="E403" s="2" t="inlineStr">
        <is>
          <t>Wallet</t>
        </is>
      </c>
      <c r="F403" s="2" t="inlineStr">
        <is>
          <t>Fashion</t>
        </is>
      </c>
      <c r="G403" s="2" t="inlineStr">
        <is>
          <t>North</t>
        </is>
      </c>
      <c r="H403" s="2" t="inlineStr">
        <is>
          <t>Haryana</t>
        </is>
      </c>
      <c r="I403" s="2" t="inlineStr">
        <is>
          <t>Faridabad</t>
        </is>
      </c>
      <c r="J403" s="2" t="inlineStr">
        <is>
          <t>Online</t>
        </is>
      </c>
      <c r="K403" s="2" t="n">
        <v>2</v>
      </c>
      <c r="L403" s="3" t="n">
        <v>2098.83</v>
      </c>
      <c r="M403" s="4" t="n">
        <v>0.1</v>
      </c>
      <c r="N403" s="3" t="n">
        <v>2400.15</v>
      </c>
      <c r="O403" s="3">
        <f>K403*L403*(1-M403)</f>
        <v/>
      </c>
      <c r="P403" s="3">
        <f>O403-N403</f>
        <v/>
      </c>
      <c r="Q403" s="5">
        <f>IFERROR(P403/O403,0)</f>
        <v/>
      </c>
      <c r="R403" s="2">
        <f>TEXT(DATEVALUE(B403),"mmm")</f>
        <v/>
      </c>
      <c r="S403" s="2">
        <f>TEXT(DATEVALUE(B403),"yyyy-mm")</f>
        <v/>
      </c>
    </row>
    <row r="404">
      <c r="A404" s="2" t="inlineStr">
        <is>
          <t>O004655</t>
        </is>
      </c>
      <c r="B404" s="2" t="inlineStr">
        <is>
          <t>2025-01-30</t>
        </is>
      </c>
      <c r="C404" s="2" t="inlineStr">
        <is>
          <t>C0568</t>
        </is>
      </c>
      <c r="D404" s="2" t="inlineStr">
        <is>
          <t>P0024</t>
        </is>
      </c>
      <c r="E404" s="2" t="inlineStr">
        <is>
          <t>Hair Dryer</t>
        </is>
      </c>
      <c r="F404" s="2" t="inlineStr">
        <is>
          <t>Beauty</t>
        </is>
      </c>
      <c r="G404" s="2" t="inlineStr">
        <is>
          <t>North</t>
        </is>
      </c>
      <c r="H404" s="2" t="inlineStr">
        <is>
          <t>Punjab</t>
        </is>
      </c>
      <c r="I404" s="2" t="inlineStr">
        <is>
          <t>Jalandhar</t>
        </is>
      </c>
      <c r="J404" s="2" t="inlineStr">
        <is>
          <t>Online</t>
        </is>
      </c>
      <c r="K404" s="2" t="n">
        <v>2</v>
      </c>
      <c r="L404" s="3" t="n">
        <v>1039.01</v>
      </c>
      <c r="M404" s="4" t="n">
        <v>0.1</v>
      </c>
      <c r="N404" s="3" t="n">
        <v>1493.4</v>
      </c>
      <c r="O404" s="3">
        <f>K404*L404*(1-M404)</f>
        <v/>
      </c>
      <c r="P404" s="3">
        <f>O404-N404</f>
        <v/>
      </c>
      <c r="Q404" s="5">
        <f>IFERROR(P404/O404,0)</f>
        <v/>
      </c>
      <c r="R404" s="2">
        <f>TEXT(DATEVALUE(B404),"mmm")</f>
        <v/>
      </c>
      <c r="S404" s="2">
        <f>TEXT(DATEVALUE(B404),"yyyy-mm")</f>
        <v/>
      </c>
    </row>
    <row r="405">
      <c r="A405" s="2" t="inlineStr">
        <is>
          <t>O004143</t>
        </is>
      </c>
      <c r="B405" s="2" t="inlineStr">
        <is>
          <t>2025-01-30</t>
        </is>
      </c>
      <c r="C405" s="2" t="inlineStr">
        <is>
          <t>C0388</t>
        </is>
      </c>
      <c r="D405" s="2" t="inlineStr">
        <is>
          <t>P0002</t>
        </is>
      </c>
      <c r="E405" s="2" t="inlineStr">
        <is>
          <t>Bluetooth Speaker</t>
        </is>
      </c>
      <c r="F405" s="2" t="inlineStr">
        <is>
          <t>Electronics</t>
        </is>
      </c>
      <c r="G405" s="2" t="inlineStr">
        <is>
          <t>North</t>
        </is>
      </c>
      <c r="H405" s="2" t="inlineStr">
        <is>
          <t>Haryana</t>
        </is>
      </c>
      <c r="I405" s="2" t="inlineStr">
        <is>
          <t>Faridabad</t>
        </is>
      </c>
      <c r="J405" s="2" t="inlineStr">
        <is>
          <t>Store</t>
        </is>
      </c>
      <c r="K405" s="2" t="n">
        <v>4</v>
      </c>
      <c r="L405" s="3" t="n">
        <v>1405.02</v>
      </c>
      <c r="M405" s="4" t="n">
        <v>0.05</v>
      </c>
      <c r="N405" s="3" t="n">
        <v>3306.93</v>
      </c>
      <c r="O405" s="3">
        <f>K405*L405*(1-M405)</f>
        <v/>
      </c>
      <c r="P405" s="3">
        <f>O405-N405</f>
        <v/>
      </c>
      <c r="Q405" s="5">
        <f>IFERROR(P405/O405,0)</f>
        <v/>
      </c>
      <c r="R405" s="2">
        <f>TEXT(DATEVALUE(B405),"mmm")</f>
        <v/>
      </c>
      <c r="S405" s="2">
        <f>TEXT(DATEVALUE(B405),"yyyy-mm")</f>
        <v/>
      </c>
    </row>
    <row r="406">
      <c r="A406" s="2" t="inlineStr">
        <is>
          <t>O003662</t>
        </is>
      </c>
      <c r="B406" s="2" t="inlineStr">
        <is>
          <t>2025-01-30</t>
        </is>
      </c>
      <c r="C406" s="2" t="inlineStr">
        <is>
          <t>C0397</t>
        </is>
      </c>
      <c r="D406" s="2" t="inlineStr">
        <is>
          <t>P0010</t>
        </is>
      </c>
      <c r="E406" s="2" t="inlineStr">
        <is>
          <t>Mixer Grinder</t>
        </is>
      </c>
      <c r="F406" s="2" t="inlineStr">
        <is>
          <t>Home &amp; Kitchen</t>
        </is>
      </c>
      <c r="G406" s="2" t="inlineStr">
        <is>
          <t>East</t>
        </is>
      </c>
      <c r="H406" s="2" t="inlineStr">
        <is>
          <t>Bihar</t>
        </is>
      </c>
      <c r="I406" s="2" t="inlineStr">
        <is>
          <t>Patna</t>
        </is>
      </c>
      <c r="J406" s="2" t="inlineStr">
        <is>
          <t>Online</t>
        </is>
      </c>
      <c r="K406" s="2" t="n">
        <v>2</v>
      </c>
      <c r="L406" s="3" t="n">
        <v>1694.19</v>
      </c>
      <c r="M406" s="4" t="n">
        <v>0.1</v>
      </c>
      <c r="N406" s="3" t="n">
        <v>2021.42</v>
      </c>
      <c r="O406" s="3">
        <f>K406*L406*(1-M406)</f>
        <v/>
      </c>
      <c r="P406" s="3">
        <f>O406-N406</f>
        <v/>
      </c>
      <c r="Q406" s="5">
        <f>IFERROR(P406/O406,0)</f>
        <v/>
      </c>
      <c r="R406" s="2">
        <f>TEXT(DATEVALUE(B406),"mmm")</f>
        <v/>
      </c>
      <c r="S406" s="2">
        <f>TEXT(DATEVALUE(B406),"yyyy-mm")</f>
        <v/>
      </c>
    </row>
    <row r="407">
      <c r="A407" s="2" t="inlineStr">
        <is>
          <t>O003574</t>
        </is>
      </c>
      <c r="B407" s="2" t="inlineStr">
        <is>
          <t>2025-01-30</t>
        </is>
      </c>
      <c r="C407" s="2" t="inlineStr">
        <is>
          <t>C0394</t>
        </is>
      </c>
      <c r="D407" s="2" t="inlineStr">
        <is>
          <t>P0031</t>
        </is>
      </c>
      <c r="E407" s="2" t="inlineStr">
        <is>
          <t>Cricket Bat</t>
        </is>
      </c>
      <c r="F407" s="2" t="inlineStr">
        <is>
          <t>Sports</t>
        </is>
      </c>
      <c r="G407" s="2" t="inlineStr">
        <is>
          <t>West</t>
        </is>
      </c>
      <c r="H407" s="2" t="inlineStr">
        <is>
          <t>Gujarat</t>
        </is>
      </c>
      <c r="I407" s="2" t="inlineStr">
        <is>
          <t>Surat</t>
        </is>
      </c>
      <c r="J407" s="2" t="inlineStr">
        <is>
          <t>Online</t>
        </is>
      </c>
      <c r="K407" s="2" t="n">
        <v>2</v>
      </c>
      <c r="L407" s="3" t="n">
        <v>1361.36</v>
      </c>
      <c r="M407" s="4" t="n">
        <v>0</v>
      </c>
      <c r="N407" s="3" t="n">
        <v>1950.42</v>
      </c>
      <c r="O407" s="3">
        <f>K407*L407*(1-M407)</f>
        <v/>
      </c>
      <c r="P407" s="3">
        <f>O407-N407</f>
        <v/>
      </c>
      <c r="Q407" s="5">
        <f>IFERROR(P407/O407,0)</f>
        <v/>
      </c>
      <c r="R407" s="2">
        <f>TEXT(DATEVALUE(B407),"mmm")</f>
        <v/>
      </c>
      <c r="S407" s="2">
        <f>TEXT(DATEVALUE(B407),"yyyy-mm")</f>
        <v/>
      </c>
    </row>
    <row r="408">
      <c r="A408" s="2" t="inlineStr">
        <is>
          <t>O003418</t>
        </is>
      </c>
      <c r="B408" s="2" t="inlineStr">
        <is>
          <t>2025-01-30</t>
        </is>
      </c>
      <c r="C408" s="2" t="inlineStr">
        <is>
          <t>C0766</t>
        </is>
      </c>
      <c r="D408" s="2" t="inlineStr">
        <is>
          <t>P0024</t>
        </is>
      </c>
      <c r="E408" s="2" t="inlineStr">
        <is>
          <t>Hair Dryer</t>
        </is>
      </c>
      <c r="F408" s="2" t="inlineStr">
        <is>
          <t>Beauty</t>
        </is>
      </c>
      <c r="G408" s="2" t="inlineStr">
        <is>
          <t>South</t>
        </is>
      </c>
      <c r="H408" s="2" t="inlineStr">
        <is>
          <t>Tamil Nadu</t>
        </is>
      </c>
      <c r="I408" s="2" t="inlineStr">
        <is>
          <t>Chennai</t>
        </is>
      </c>
      <c r="J408" s="2" t="inlineStr">
        <is>
          <t>Online</t>
        </is>
      </c>
      <c r="K408" s="2" t="n">
        <v>3</v>
      </c>
      <c r="L408" s="3" t="n">
        <v>1047.97</v>
      </c>
      <c r="M408" s="4" t="n">
        <v>0.05</v>
      </c>
      <c r="N408" s="3" t="n">
        <v>2217.5</v>
      </c>
      <c r="O408" s="3">
        <f>K408*L408*(1-M408)</f>
        <v/>
      </c>
      <c r="P408" s="3">
        <f>O408-N408</f>
        <v/>
      </c>
      <c r="Q408" s="5">
        <f>IFERROR(P408/O408,0)</f>
        <v/>
      </c>
      <c r="R408" s="2">
        <f>TEXT(DATEVALUE(B408),"mmm")</f>
        <v/>
      </c>
      <c r="S408" s="2">
        <f>TEXT(DATEVALUE(B408),"yyyy-mm")</f>
        <v/>
      </c>
    </row>
    <row r="409">
      <c r="A409" s="2" t="inlineStr">
        <is>
          <t>O002752</t>
        </is>
      </c>
      <c r="B409" s="2" t="inlineStr">
        <is>
          <t>2025-01-30</t>
        </is>
      </c>
      <c r="C409" s="2" t="inlineStr">
        <is>
          <t>C0797</t>
        </is>
      </c>
      <c r="D409" s="2" t="inlineStr">
        <is>
          <t>P0011</t>
        </is>
      </c>
      <c r="E409" s="2" t="inlineStr">
        <is>
          <t>Cookware Set</t>
        </is>
      </c>
      <c r="F409" s="2" t="inlineStr">
        <is>
          <t>Home &amp; Kitchen</t>
        </is>
      </c>
      <c r="G409" s="2" t="inlineStr">
        <is>
          <t>South</t>
        </is>
      </c>
      <c r="H409" s="2" t="inlineStr">
        <is>
          <t>Tamil Nadu</t>
        </is>
      </c>
      <c r="I409" s="2" t="inlineStr">
        <is>
          <t>Coimbatore</t>
        </is>
      </c>
      <c r="J409" s="2" t="inlineStr">
        <is>
          <t>Online</t>
        </is>
      </c>
      <c r="K409" s="2" t="n">
        <v>2</v>
      </c>
      <c r="L409" s="3" t="n">
        <v>711.77</v>
      </c>
      <c r="M409" s="4" t="n">
        <v>0.1</v>
      </c>
      <c r="N409" s="3" t="n">
        <v>915.74</v>
      </c>
      <c r="O409" s="3">
        <f>K409*L409*(1-M409)</f>
        <v/>
      </c>
      <c r="P409" s="3">
        <f>O409-N409</f>
        <v/>
      </c>
      <c r="Q409" s="5">
        <f>IFERROR(P409/O409,0)</f>
        <v/>
      </c>
      <c r="R409" s="2">
        <f>TEXT(DATEVALUE(B409),"mmm")</f>
        <v/>
      </c>
      <c r="S409" s="2">
        <f>TEXT(DATEVALUE(B409),"yyyy-mm")</f>
        <v/>
      </c>
    </row>
    <row r="410">
      <c r="A410" s="2" t="inlineStr">
        <is>
          <t>O003110</t>
        </is>
      </c>
      <c r="B410" s="2" t="inlineStr">
        <is>
          <t>2025-01-30</t>
        </is>
      </c>
      <c r="C410" s="2" t="inlineStr">
        <is>
          <t>C0249</t>
        </is>
      </c>
      <c r="D410" s="2" t="inlineStr">
        <is>
          <t>P0014</t>
        </is>
      </c>
      <c r="E410" s="2" t="inlineStr">
        <is>
          <t>Coffee Maker</t>
        </is>
      </c>
      <c r="F410" s="2" t="inlineStr">
        <is>
          <t>Home &amp; Kitchen</t>
        </is>
      </c>
      <c r="G410" s="2" t="inlineStr">
        <is>
          <t>North</t>
        </is>
      </c>
      <c r="H410" s="2" t="inlineStr">
        <is>
          <t>Uttar Pradesh</t>
        </is>
      </c>
      <c r="I410" s="2" t="inlineStr">
        <is>
          <t>Varanasi</t>
        </is>
      </c>
      <c r="J410" s="2" t="inlineStr">
        <is>
          <t>Store</t>
        </is>
      </c>
      <c r="K410" s="2" t="n">
        <v>5</v>
      </c>
      <c r="L410" s="3" t="n">
        <v>1052.72</v>
      </c>
      <c r="M410" s="4" t="n">
        <v>0.1</v>
      </c>
      <c r="N410" s="3" t="n">
        <v>3936.68</v>
      </c>
      <c r="O410" s="3">
        <f>K410*L410*(1-M410)</f>
        <v/>
      </c>
      <c r="P410" s="3">
        <f>O410-N410</f>
        <v/>
      </c>
      <c r="Q410" s="5">
        <f>IFERROR(P410/O410,0)</f>
        <v/>
      </c>
      <c r="R410" s="2">
        <f>TEXT(DATEVALUE(B410),"mmm")</f>
        <v/>
      </c>
      <c r="S410" s="2">
        <f>TEXT(DATEVALUE(B410),"yyyy-mm")</f>
        <v/>
      </c>
    </row>
    <row r="411">
      <c r="A411" s="2" t="inlineStr">
        <is>
          <t>O002663</t>
        </is>
      </c>
      <c r="B411" s="2" t="inlineStr">
        <is>
          <t>2025-01-30</t>
        </is>
      </c>
      <c r="C411" s="2" t="inlineStr">
        <is>
          <t>C0648</t>
        </is>
      </c>
      <c r="D411" s="2" t="inlineStr">
        <is>
          <t>P0017</t>
        </is>
      </c>
      <c r="E411" s="2" t="inlineStr">
        <is>
          <t>Jeans</t>
        </is>
      </c>
      <c r="F411" s="2" t="inlineStr">
        <is>
          <t>Fashion</t>
        </is>
      </c>
      <c r="G411" s="2" t="inlineStr">
        <is>
          <t>South</t>
        </is>
      </c>
      <c r="H411" s="2" t="inlineStr">
        <is>
          <t>Telangana</t>
        </is>
      </c>
      <c r="I411" s="2" t="inlineStr">
        <is>
          <t>Hyderabad</t>
        </is>
      </c>
      <c r="J411" s="2" t="inlineStr">
        <is>
          <t>Online</t>
        </is>
      </c>
      <c r="K411" s="2" t="n">
        <v>2</v>
      </c>
      <c r="L411" s="3" t="n">
        <v>1448.86</v>
      </c>
      <c r="M411" s="4" t="n">
        <v>0.1</v>
      </c>
      <c r="N411" s="3" t="n">
        <v>2112.99</v>
      </c>
      <c r="O411" s="3">
        <f>K411*L411*(1-M411)</f>
        <v/>
      </c>
      <c r="P411" s="3">
        <f>O411-N411</f>
        <v/>
      </c>
      <c r="Q411" s="5">
        <f>IFERROR(P411/O411,0)</f>
        <v/>
      </c>
      <c r="R411" s="2">
        <f>TEXT(DATEVALUE(B411),"mmm")</f>
        <v/>
      </c>
      <c r="S411" s="2">
        <f>TEXT(DATEVALUE(B411),"yyyy-mm")</f>
        <v/>
      </c>
    </row>
    <row r="412">
      <c r="A412" s="2" t="inlineStr">
        <is>
          <t>O002324</t>
        </is>
      </c>
      <c r="B412" s="2" t="inlineStr">
        <is>
          <t>2025-01-30</t>
        </is>
      </c>
      <c r="C412" s="2" t="inlineStr">
        <is>
          <t>C0390</t>
        </is>
      </c>
      <c r="D412" s="2" t="inlineStr">
        <is>
          <t>P0027</t>
        </is>
      </c>
      <c r="E412" s="2" t="inlineStr">
        <is>
          <t>Moisturizer</t>
        </is>
      </c>
      <c r="F412" s="2" t="inlineStr">
        <is>
          <t>Beauty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Store</t>
        </is>
      </c>
      <c r="K412" s="2" t="n">
        <v>3</v>
      </c>
      <c r="L412" s="3" t="n">
        <v>975.73</v>
      </c>
      <c r="M412" s="4" t="n">
        <v>0.05</v>
      </c>
      <c r="N412" s="3" t="n">
        <v>2016.32</v>
      </c>
      <c r="O412" s="3">
        <f>K412*L412*(1-M412)</f>
        <v/>
      </c>
      <c r="P412" s="3">
        <f>O412-N412</f>
        <v/>
      </c>
      <c r="Q412" s="5">
        <f>IFERROR(P412/O412,0)</f>
        <v/>
      </c>
      <c r="R412" s="2">
        <f>TEXT(DATEVALUE(B412),"mmm")</f>
        <v/>
      </c>
      <c r="S412" s="2">
        <f>TEXT(DATEVALUE(B412),"yyyy-mm")</f>
        <v/>
      </c>
    </row>
    <row r="413">
      <c r="A413" s="2" t="inlineStr">
        <is>
          <t>O000802</t>
        </is>
      </c>
      <c r="B413" s="2" t="inlineStr">
        <is>
          <t>2025-01-30</t>
        </is>
      </c>
      <c r="C413" s="2" t="inlineStr">
        <is>
          <t>C0195</t>
        </is>
      </c>
      <c r="D413" s="2" t="inlineStr">
        <is>
          <t>P0025</t>
        </is>
      </c>
      <c r="E413" s="2" t="inlineStr">
        <is>
          <t>Perfume</t>
        </is>
      </c>
      <c r="F413" s="2" t="inlineStr">
        <is>
          <t>Beauty</t>
        </is>
      </c>
      <c r="G413" s="2" t="inlineStr">
        <is>
          <t>South</t>
        </is>
      </c>
      <c r="H413" s="2" t="inlineStr">
        <is>
          <t>Karnataka</t>
        </is>
      </c>
      <c r="I413" s="2" t="inlineStr">
        <is>
          <t>Bengaluru</t>
        </is>
      </c>
      <c r="J413" s="2" t="inlineStr">
        <is>
          <t>Online</t>
        </is>
      </c>
      <c r="K413" s="2" t="n">
        <v>1</v>
      </c>
      <c r="L413" s="3" t="n">
        <v>797.46</v>
      </c>
      <c r="M413" s="4" t="n">
        <v>0</v>
      </c>
      <c r="N413" s="3" t="n">
        <v>606.0599999999999</v>
      </c>
      <c r="O413" s="3">
        <f>K413*L413*(1-M413)</f>
        <v/>
      </c>
      <c r="P413" s="3">
        <f>O413-N413</f>
        <v/>
      </c>
      <c r="Q413" s="5">
        <f>IFERROR(P413/O413,0)</f>
        <v/>
      </c>
      <c r="R413" s="2">
        <f>TEXT(DATEVALUE(B413),"mmm")</f>
        <v/>
      </c>
      <c r="S413" s="2">
        <f>TEXT(DATEVALUE(B413),"yyyy-mm")</f>
        <v/>
      </c>
    </row>
    <row r="414">
      <c r="A414" s="2" t="inlineStr">
        <is>
          <t>O003358</t>
        </is>
      </c>
      <c r="B414" s="2" t="inlineStr">
        <is>
          <t>2025-01-30</t>
        </is>
      </c>
      <c r="C414" s="2" t="inlineStr">
        <is>
          <t>C0568</t>
        </is>
      </c>
      <c r="D414" s="2" t="inlineStr">
        <is>
          <t>P0024</t>
        </is>
      </c>
      <c r="E414" s="2" t="inlineStr">
        <is>
          <t>Hair Dryer</t>
        </is>
      </c>
      <c r="F414" s="2" t="inlineStr">
        <is>
          <t>Beauty</t>
        </is>
      </c>
      <c r="G414" s="2" t="inlineStr">
        <is>
          <t>South</t>
        </is>
      </c>
      <c r="H414" s="2" t="inlineStr">
        <is>
          <t>Tamil Nadu</t>
        </is>
      </c>
      <c r="I414" s="2" t="inlineStr">
        <is>
          <t>Chennai</t>
        </is>
      </c>
      <c r="J414" s="2" t="inlineStr">
        <is>
          <t>Online</t>
        </is>
      </c>
      <c r="K414" s="2" t="n">
        <v>2</v>
      </c>
      <c r="L414" s="3" t="n">
        <v>1034.87</v>
      </c>
      <c r="M414" s="4" t="n">
        <v>0.1</v>
      </c>
      <c r="N414" s="3" t="n">
        <v>1433.71</v>
      </c>
      <c r="O414" s="3">
        <f>K414*L414*(1-M414)</f>
        <v/>
      </c>
      <c r="P414" s="3">
        <f>O414-N414</f>
        <v/>
      </c>
      <c r="Q414" s="5">
        <f>IFERROR(P414/O414,0)</f>
        <v/>
      </c>
      <c r="R414" s="2">
        <f>TEXT(DATEVALUE(B414),"mmm")</f>
        <v/>
      </c>
      <c r="S414" s="2">
        <f>TEXT(DATEVALUE(B414),"yyyy-mm")</f>
        <v/>
      </c>
    </row>
    <row r="415">
      <c r="A415" s="2" t="inlineStr">
        <is>
          <t>O003646</t>
        </is>
      </c>
      <c r="B415" s="2" t="inlineStr">
        <is>
          <t>2025-01-31</t>
        </is>
      </c>
      <c r="C415" s="2" t="inlineStr">
        <is>
          <t>C0275</t>
        </is>
      </c>
      <c r="D415" s="2" t="inlineStr">
        <is>
          <t>P0004</t>
        </is>
      </c>
      <c r="E415" s="2" t="inlineStr">
        <is>
          <t>USB-C Hub</t>
        </is>
      </c>
      <c r="F415" s="2" t="inlineStr">
        <is>
          <t>Electronics</t>
        </is>
      </c>
      <c r="G415" s="2" t="inlineStr">
        <is>
          <t>North</t>
        </is>
      </c>
      <c r="H415" s="2" t="inlineStr">
        <is>
          <t>Haryana</t>
        </is>
      </c>
      <c r="I415" s="2" t="inlineStr">
        <is>
          <t>Faridabad</t>
        </is>
      </c>
      <c r="J415" s="2" t="inlineStr">
        <is>
          <t>Store</t>
        </is>
      </c>
      <c r="K415" s="2" t="n">
        <v>1</v>
      </c>
      <c r="L415" s="3" t="n">
        <v>1234.11</v>
      </c>
      <c r="M415" s="4" t="n">
        <v>0.1</v>
      </c>
      <c r="N415" s="3" t="n">
        <v>898.55</v>
      </c>
      <c r="O415" s="3">
        <f>K415*L415*(1-M415)</f>
        <v/>
      </c>
      <c r="P415" s="3">
        <f>O415-N415</f>
        <v/>
      </c>
      <c r="Q415" s="5">
        <f>IFERROR(P415/O415,0)</f>
        <v/>
      </c>
      <c r="R415" s="2">
        <f>TEXT(DATEVALUE(B415),"mmm")</f>
        <v/>
      </c>
      <c r="S415" s="2">
        <f>TEXT(DATEVALUE(B415),"yyyy-mm")</f>
        <v/>
      </c>
    </row>
    <row r="416">
      <c r="A416" s="2" t="inlineStr">
        <is>
          <t>O003753</t>
        </is>
      </c>
      <c r="B416" s="2" t="inlineStr">
        <is>
          <t>2025-01-31</t>
        </is>
      </c>
      <c r="C416" s="2" t="inlineStr">
        <is>
          <t>C0001</t>
        </is>
      </c>
      <c r="D416" s="2" t="inlineStr">
        <is>
          <t>P0022</t>
        </is>
      </c>
      <c r="E416" s="2" t="inlineStr">
        <is>
          <t>Face Wash</t>
        </is>
      </c>
      <c r="F416" s="2" t="inlineStr">
        <is>
          <t>Beauty</t>
        </is>
      </c>
      <c r="G416" s="2" t="inlineStr">
        <is>
          <t>North</t>
        </is>
      </c>
      <c r="H416" s="2" t="inlineStr">
        <is>
          <t>Uttar Pradesh</t>
        </is>
      </c>
      <c r="I416" s="2" t="inlineStr">
        <is>
          <t>Noida</t>
        </is>
      </c>
      <c r="J416" s="2" t="inlineStr">
        <is>
          <t>Store</t>
        </is>
      </c>
      <c r="K416" s="2" t="n">
        <v>3</v>
      </c>
      <c r="L416" s="3" t="n">
        <v>560</v>
      </c>
      <c r="M416" s="4" t="n">
        <v>0.05</v>
      </c>
      <c r="N416" s="3" t="n">
        <v>1064.5</v>
      </c>
      <c r="O416" s="3">
        <f>K416*L416*(1-M416)</f>
        <v/>
      </c>
      <c r="P416" s="3">
        <f>O416-N416</f>
        <v/>
      </c>
      <c r="Q416" s="5">
        <f>IFERROR(P416/O416,0)</f>
        <v/>
      </c>
      <c r="R416" s="2">
        <f>TEXT(DATEVALUE(B416),"mmm")</f>
        <v/>
      </c>
      <c r="S416" s="2">
        <f>TEXT(DATEVALUE(B416),"yyyy-mm")</f>
        <v/>
      </c>
    </row>
    <row r="417">
      <c r="A417" s="2" t="inlineStr">
        <is>
          <t>O003399</t>
        </is>
      </c>
      <c r="B417" s="2" t="inlineStr">
        <is>
          <t>2025-01-31</t>
        </is>
      </c>
      <c r="C417" s="2" t="inlineStr">
        <is>
          <t>C0049</t>
        </is>
      </c>
      <c r="D417" s="2" t="inlineStr">
        <is>
          <t>P0031</t>
        </is>
      </c>
      <c r="E417" s="2" t="inlineStr">
        <is>
          <t>Cricket Bat</t>
        </is>
      </c>
      <c r="F417" s="2" t="inlineStr">
        <is>
          <t>Sports</t>
        </is>
      </c>
      <c r="G417" s="2" t="inlineStr">
        <is>
          <t>South</t>
        </is>
      </c>
      <c r="H417" s="2" t="inlineStr">
        <is>
          <t>Tamil Nadu</t>
        </is>
      </c>
      <c r="I417" s="2" t="inlineStr">
        <is>
          <t>Coimbatore</t>
        </is>
      </c>
      <c r="J417" s="2" t="inlineStr">
        <is>
          <t>Online</t>
        </is>
      </c>
      <c r="K417" s="2" t="n">
        <v>3</v>
      </c>
      <c r="L417" s="3" t="n">
        <v>1331.24</v>
      </c>
      <c r="M417" s="4" t="n">
        <v>0</v>
      </c>
      <c r="N417" s="3" t="n">
        <v>2788.1</v>
      </c>
      <c r="O417" s="3">
        <f>K417*L417*(1-M417)</f>
        <v/>
      </c>
      <c r="P417" s="3">
        <f>O417-N417</f>
        <v/>
      </c>
      <c r="Q417" s="5">
        <f>IFERROR(P417/O417,0)</f>
        <v/>
      </c>
      <c r="R417" s="2">
        <f>TEXT(DATEVALUE(B417),"mmm")</f>
        <v/>
      </c>
      <c r="S417" s="2">
        <f>TEXT(DATEVALUE(B417),"yyyy-mm")</f>
        <v/>
      </c>
    </row>
    <row r="418">
      <c r="A418" s="2" t="inlineStr">
        <is>
          <t>O000960</t>
        </is>
      </c>
      <c r="B418" s="2" t="inlineStr">
        <is>
          <t>2025-01-31</t>
        </is>
      </c>
      <c r="C418" s="2" t="inlineStr">
        <is>
          <t>C0607</t>
        </is>
      </c>
      <c r="D418" s="2" t="inlineStr">
        <is>
          <t>P0030</t>
        </is>
      </c>
      <c r="E418" s="2" t="inlineStr">
        <is>
          <t>Dumbbells</t>
        </is>
      </c>
      <c r="F418" s="2" t="inlineStr">
        <is>
          <t>Sports</t>
        </is>
      </c>
      <c r="G418" s="2" t="inlineStr">
        <is>
          <t>South</t>
        </is>
      </c>
      <c r="H418" s="2" t="inlineStr">
        <is>
          <t>Kerala</t>
        </is>
      </c>
      <c r="I418" s="2" t="inlineStr">
        <is>
          <t>Kochi</t>
        </is>
      </c>
      <c r="J418" s="2" t="inlineStr">
        <is>
          <t>Online</t>
        </is>
      </c>
      <c r="K418" s="2" t="n">
        <v>1</v>
      </c>
      <c r="L418" s="3" t="n">
        <v>1556.49</v>
      </c>
      <c r="M418" s="4" t="n">
        <v>0</v>
      </c>
      <c r="N418" s="3" t="n">
        <v>1047.83</v>
      </c>
      <c r="O418" s="3">
        <f>K418*L418*(1-M418)</f>
        <v/>
      </c>
      <c r="P418" s="3">
        <f>O418-N418</f>
        <v/>
      </c>
      <c r="Q418" s="5">
        <f>IFERROR(P418/O418,0)</f>
        <v/>
      </c>
      <c r="R418" s="2">
        <f>TEXT(DATEVALUE(B418),"mmm")</f>
        <v/>
      </c>
      <c r="S418" s="2">
        <f>TEXT(DATEVALUE(B418),"yyyy-mm")</f>
        <v/>
      </c>
    </row>
    <row r="419">
      <c r="A419" s="2" t="inlineStr">
        <is>
          <t>O002419</t>
        </is>
      </c>
      <c r="B419" s="2" t="inlineStr">
        <is>
          <t>2025-01-31</t>
        </is>
      </c>
      <c r="C419" s="2" t="inlineStr">
        <is>
          <t>C0294</t>
        </is>
      </c>
      <c r="D419" s="2" t="inlineStr">
        <is>
          <t>P0008</t>
        </is>
      </c>
      <c r="E419" s="2" t="inlineStr">
        <is>
          <t>Air Fryer</t>
        </is>
      </c>
      <c r="F419" s="2" t="inlineStr">
        <is>
          <t>Home &amp; Kitchen</t>
        </is>
      </c>
      <c r="G419" s="2" t="inlineStr">
        <is>
          <t>West</t>
        </is>
      </c>
      <c r="H419" s="2" t="inlineStr">
        <is>
          <t>Maharashtra</t>
        </is>
      </c>
      <c r="I419" s="2" t="inlineStr">
        <is>
          <t>Nagpur</t>
        </is>
      </c>
      <c r="J419" s="2" t="inlineStr">
        <is>
          <t>Online</t>
        </is>
      </c>
      <c r="K419" s="2" t="n">
        <v>3</v>
      </c>
      <c r="L419" s="3" t="n">
        <v>1074.18</v>
      </c>
      <c r="M419" s="4" t="n">
        <v>0.15</v>
      </c>
      <c r="N419" s="3" t="n">
        <v>2083.44</v>
      </c>
      <c r="O419" s="3">
        <f>K419*L419*(1-M419)</f>
        <v/>
      </c>
      <c r="P419" s="3">
        <f>O419-N419</f>
        <v/>
      </c>
      <c r="Q419" s="5">
        <f>IFERROR(P419/O419,0)</f>
        <v/>
      </c>
      <c r="R419" s="2">
        <f>TEXT(DATEVALUE(B419),"mmm")</f>
        <v/>
      </c>
      <c r="S419" s="2">
        <f>TEXT(DATEVALUE(B419),"yyyy-mm")</f>
        <v/>
      </c>
    </row>
    <row r="420">
      <c r="A420" s="2" t="inlineStr">
        <is>
          <t>O001657</t>
        </is>
      </c>
      <c r="B420" s="2" t="inlineStr">
        <is>
          <t>2025-01-31</t>
        </is>
      </c>
      <c r="C420" s="2" t="inlineStr">
        <is>
          <t>C0301</t>
        </is>
      </c>
      <c r="D420" s="2" t="inlineStr">
        <is>
          <t>P0024</t>
        </is>
      </c>
      <c r="E420" s="2" t="inlineStr">
        <is>
          <t>Hair Dryer</t>
        </is>
      </c>
      <c r="F420" s="2" t="inlineStr">
        <is>
          <t>Beauty</t>
        </is>
      </c>
      <c r="G420" s="2" t="inlineStr">
        <is>
          <t>West</t>
        </is>
      </c>
      <c r="H420" s="2" t="inlineStr">
        <is>
          <t>Maharashtra</t>
        </is>
      </c>
      <c r="I420" s="2" t="inlineStr">
        <is>
          <t>Mumbai</t>
        </is>
      </c>
      <c r="J420" s="2" t="inlineStr">
        <is>
          <t>Online</t>
        </is>
      </c>
      <c r="K420" s="2" t="n">
        <v>3</v>
      </c>
      <c r="L420" s="3" t="n">
        <v>1006.12</v>
      </c>
      <c r="M420" s="4" t="n">
        <v>0.15</v>
      </c>
      <c r="N420" s="3" t="n">
        <v>2257.76</v>
      </c>
      <c r="O420" s="3">
        <f>K420*L420*(1-M420)</f>
        <v/>
      </c>
      <c r="P420" s="3">
        <f>O420-N420</f>
        <v/>
      </c>
      <c r="Q420" s="5">
        <f>IFERROR(P420/O420,0)</f>
        <v/>
      </c>
      <c r="R420" s="2">
        <f>TEXT(DATEVALUE(B420),"mmm")</f>
        <v/>
      </c>
      <c r="S420" s="2">
        <f>TEXT(DATEVALUE(B420),"yyyy-mm")</f>
        <v/>
      </c>
    </row>
    <row r="421">
      <c r="A421" s="2" t="inlineStr">
        <is>
          <t>O002831</t>
        </is>
      </c>
      <c r="B421" s="2" t="inlineStr">
        <is>
          <t>2025-01-31</t>
        </is>
      </c>
      <c r="C421" s="2" t="inlineStr">
        <is>
          <t>C0125</t>
        </is>
      </c>
      <c r="D421" s="2" t="inlineStr">
        <is>
          <t>P0016</t>
        </is>
      </c>
      <c r="E421" s="2" t="inlineStr">
        <is>
          <t>Casual Shirt</t>
        </is>
      </c>
      <c r="F421" s="2" t="inlineStr">
        <is>
          <t>Fashion</t>
        </is>
      </c>
      <c r="G421" s="2" t="inlineStr">
        <is>
          <t>South</t>
        </is>
      </c>
      <c r="H421" s="2" t="inlineStr">
        <is>
          <t>Karnataka</t>
        </is>
      </c>
      <c r="I421" s="2" t="inlineStr">
        <is>
          <t>Mangaluru</t>
        </is>
      </c>
      <c r="J421" s="2" t="inlineStr">
        <is>
          <t>Online</t>
        </is>
      </c>
      <c r="K421" s="2" t="n">
        <v>2</v>
      </c>
      <c r="L421" s="3" t="n">
        <v>1302.36</v>
      </c>
      <c r="M421" s="4" t="n">
        <v>0.05</v>
      </c>
      <c r="N421" s="3" t="n">
        <v>1785.74</v>
      </c>
      <c r="O421" s="3">
        <f>K421*L421*(1-M421)</f>
        <v/>
      </c>
      <c r="P421" s="3">
        <f>O421-N421</f>
        <v/>
      </c>
      <c r="Q421" s="5">
        <f>IFERROR(P421/O421,0)</f>
        <v/>
      </c>
      <c r="R421" s="2">
        <f>TEXT(DATEVALUE(B421),"mmm")</f>
        <v/>
      </c>
      <c r="S421" s="2">
        <f>TEXT(DATEVALUE(B421),"yyyy-mm")</f>
        <v/>
      </c>
    </row>
    <row r="422">
      <c r="A422" s="2" t="inlineStr">
        <is>
          <t>O001221</t>
        </is>
      </c>
      <c r="B422" s="2" t="inlineStr">
        <is>
          <t>2025-02-01</t>
        </is>
      </c>
      <c r="C422" s="2" t="inlineStr">
        <is>
          <t>C0283</t>
        </is>
      </c>
      <c r="D422" s="2" t="inlineStr">
        <is>
          <t>P0011</t>
        </is>
      </c>
      <c r="E422" s="2" t="inlineStr">
        <is>
          <t>Cookware Set</t>
        </is>
      </c>
      <c r="F422" s="2" t="inlineStr">
        <is>
          <t>Home &amp; Kitchen</t>
        </is>
      </c>
      <c r="G422" s="2" t="inlineStr">
        <is>
          <t>North</t>
        </is>
      </c>
      <c r="H422" s="2" t="inlineStr">
        <is>
          <t>Haryana</t>
        </is>
      </c>
      <c r="I422" s="2" t="inlineStr">
        <is>
          <t>Faridabad</t>
        </is>
      </c>
      <c r="J422" s="2" t="inlineStr">
        <is>
          <t>Store</t>
        </is>
      </c>
      <c r="K422" s="2" t="n">
        <v>3</v>
      </c>
      <c r="L422" s="3" t="n">
        <v>704.39</v>
      </c>
      <c r="M422" s="4" t="n">
        <v>0.05</v>
      </c>
      <c r="N422" s="3" t="n">
        <v>1384.15</v>
      </c>
      <c r="O422" s="3">
        <f>K422*L422*(1-M422)</f>
        <v/>
      </c>
      <c r="P422" s="3">
        <f>O422-N422</f>
        <v/>
      </c>
      <c r="Q422" s="5">
        <f>IFERROR(P422/O422,0)</f>
        <v/>
      </c>
      <c r="R422" s="2">
        <f>TEXT(DATEVALUE(B422),"mmm")</f>
        <v/>
      </c>
      <c r="S422" s="2">
        <f>TEXT(DATEVALUE(B422),"yyyy-mm")</f>
        <v/>
      </c>
    </row>
    <row r="423">
      <c r="A423" s="2" t="inlineStr">
        <is>
          <t>O001801</t>
        </is>
      </c>
      <c r="B423" s="2" t="inlineStr">
        <is>
          <t>2025-02-01</t>
        </is>
      </c>
      <c r="C423" s="2" t="inlineStr">
        <is>
          <t>C0321</t>
        </is>
      </c>
      <c r="D423" s="2" t="inlineStr">
        <is>
          <t>P0011</t>
        </is>
      </c>
      <c r="E423" s="2" t="inlineStr">
        <is>
          <t>Cookware Set</t>
        </is>
      </c>
      <c r="F423" s="2" t="inlineStr">
        <is>
          <t>Home &amp; Kitchen</t>
        </is>
      </c>
      <c r="G423" s="2" t="inlineStr">
        <is>
          <t>North</t>
        </is>
      </c>
      <c r="H423" s="2" t="inlineStr">
        <is>
          <t>Uttar Pradesh</t>
        </is>
      </c>
      <c r="I423" s="2" t="inlineStr">
        <is>
          <t>Kanpur</t>
        </is>
      </c>
      <c r="J423" s="2" t="inlineStr">
        <is>
          <t>Store</t>
        </is>
      </c>
      <c r="K423" s="2" t="n">
        <v>2</v>
      </c>
      <c r="L423" s="3" t="n">
        <v>730.62</v>
      </c>
      <c r="M423" s="4" t="n">
        <v>0.25</v>
      </c>
      <c r="N423" s="3" t="n">
        <v>924.97</v>
      </c>
      <c r="O423" s="3">
        <f>K423*L423*(1-M423)</f>
        <v/>
      </c>
      <c r="P423" s="3">
        <f>O423-N423</f>
        <v/>
      </c>
      <c r="Q423" s="5">
        <f>IFERROR(P423/O423,0)</f>
        <v/>
      </c>
      <c r="R423" s="2">
        <f>TEXT(DATEVALUE(B423),"mmm")</f>
        <v/>
      </c>
      <c r="S423" s="2">
        <f>TEXT(DATEVALUE(B423),"yyyy-mm")</f>
        <v/>
      </c>
    </row>
    <row r="424">
      <c r="A424" s="2" t="inlineStr">
        <is>
          <t>O002618</t>
        </is>
      </c>
      <c r="B424" s="2" t="inlineStr">
        <is>
          <t>2025-02-01</t>
        </is>
      </c>
      <c r="C424" s="2" t="inlineStr">
        <is>
          <t>C0677</t>
        </is>
      </c>
      <c r="D424" s="2" t="inlineStr">
        <is>
          <t>P0034</t>
        </is>
      </c>
      <c r="E424" s="2" t="inlineStr">
        <is>
          <t>Gym Gloves</t>
        </is>
      </c>
      <c r="F424" s="2" t="inlineStr">
        <is>
          <t>Sports</t>
        </is>
      </c>
      <c r="G424" s="2" t="inlineStr">
        <is>
          <t>North</t>
        </is>
      </c>
      <c r="H424" s="2" t="inlineStr">
        <is>
          <t>Delhi</t>
        </is>
      </c>
      <c r="I424" s="2" t="inlineStr">
        <is>
          <t>New Delhi</t>
        </is>
      </c>
      <c r="J424" s="2" t="inlineStr">
        <is>
          <t>Online</t>
        </is>
      </c>
      <c r="K424" s="2" t="n">
        <v>3</v>
      </c>
      <c r="L424" s="3" t="n">
        <v>591.3</v>
      </c>
      <c r="M424" s="4" t="n">
        <v>0.1</v>
      </c>
      <c r="N424" s="3" t="n">
        <v>1172.82</v>
      </c>
      <c r="O424" s="3">
        <f>K424*L424*(1-M424)</f>
        <v/>
      </c>
      <c r="P424" s="3">
        <f>O424-N424</f>
        <v/>
      </c>
      <c r="Q424" s="5">
        <f>IFERROR(P424/O424,0)</f>
        <v/>
      </c>
      <c r="R424" s="2">
        <f>TEXT(DATEVALUE(B424),"mmm")</f>
        <v/>
      </c>
      <c r="S424" s="2">
        <f>TEXT(DATEVALUE(B424),"yyyy-mm")</f>
        <v/>
      </c>
    </row>
    <row r="425">
      <c r="A425" s="2" t="inlineStr">
        <is>
          <t>O002932</t>
        </is>
      </c>
      <c r="B425" s="2" t="inlineStr">
        <is>
          <t>2025-02-01</t>
        </is>
      </c>
      <c r="C425" s="2" t="inlineStr">
        <is>
          <t>C0314</t>
        </is>
      </c>
      <c r="D425" s="2" t="inlineStr">
        <is>
          <t>P0009</t>
        </is>
      </c>
      <c r="E425" s="2" t="inlineStr">
        <is>
          <t>Electric Kettle</t>
        </is>
      </c>
      <c r="F425" s="2" t="inlineStr">
        <is>
          <t>Home &amp; Kitchen</t>
        </is>
      </c>
      <c r="G425" s="2" t="inlineStr">
        <is>
          <t>East</t>
        </is>
      </c>
      <c r="H425" s="2" t="inlineStr">
        <is>
          <t>West Bengal</t>
        </is>
      </c>
      <c r="I425" s="2" t="inlineStr">
        <is>
          <t>Kolkata</t>
        </is>
      </c>
      <c r="J425" s="2" t="inlineStr">
        <is>
          <t>Store</t>
        </is>
      </c>
      <c r="K425" s="2" t="n">
        <v>3</v>
      </c>
      <c r="L425" s="3" t="n">
        <v>2081.88</v>
      </c>
      <c r="M425" s="4" t="n">
        <v>0.15</v>
      </c>
      <c r="N425" s="3" t="n">
        <v>3487.35</v>
      </c>
      <c r="O425" s="3">
        <f>K425*L425*(1-M425)</f>
        <v/>
      </c>
      <c r="P425" s="3">
        <f>O425-N425</f>
        <v/>
      </c>
      <c r="Q425" s="5">
        <f>IFERROR(P425/O425,0)</f>
        <v/>
      </c>
      <c r="R425" s="2">
        <f>TEXT(DATEVALUE(B425),"mmm")</f>
        <v/>
      </c>
      <c r="S425" s="2">
        <f>TEXT(DATEVALUE(B425),"yyyy-mm")</f>
        <v/>
      </c>
    </row>
    <row r="426">
      <c r="A426" s="2" t="inlineStr">
        <is>
          <t>O002998</t>
        </is>
      </c>
      <c r="B426" s="2" t="inlineStr">
        <is>
          <t>2025-02-01</t>
        </is>
      </c>
      <c r="C426" s="2" t="inlineStr">
        <is>
          <t>C0077</t>
        </is>
      </c>
      <c r="D426" s="2" t="inlineStr">
        <is>
          <t>P0030</t>
        </is>
      </c>
      <c r="E426" s="2" t="inlineStr">
        <is>
          <t>Dumbbells</t>
        </is>
      </c>
      <c r="F426" s="2" t="inlineStr">
        <is>
          <t>Sports</t>
        </is>
      </c>
      <c r="G426" s="2" t="inlineStr">
        <is>
          <t>South</t>
        </is>
      </c>
      <c r="H426" s="2" t="inlineStr">
        <is>
          <t>Telangana</t>
        </is>
      </c>
      <c r="I426" s="2" t="inlineStr">
        <is>
          <t>Warangal</t>
        </is>
      </c>
      <c r="J426" s="2" t="inlineStr">
        <is>
          <t>Online</t>
        </is>
      </c>
      <c r="K426" s="2" t="n">
        <v>1</v>
      </c>
      <c r="L426" s="3" t="n">
        <v>1566.48</v>
      </c>
      <c r="M426" s="4" t="n">
        <v>0.05</v>
      </c>
      <c r="N426" s="3" t="n">
        <v>1031.44</v>
      </c>
      <c r="O426" s="3">
        <f>K426*L426*(1-M426)</f>
        <v/>
      </c>
      <c r="P426" s="3">
        <f>O426-N426</f>
        <v/>
      </c>
      <c r="Q426" s="5">
        <f>IFERROR(P426/O426,0)</f>
        <v/>
      </c>
      <c r="R426" s="2">
        <f>TEXT(DATEVALUE(B426),"mmm")</f>
        <v/>
      </c>
      <c r="S426" s="2">
        <f>TEXT(DATEVALUE(B426),"yyyy-mm")</f>
        <v/>
      </c>
    </row>
    <row r="427">
      <c r="A427" s="2" t="inlineStr">
        <is>
          <t>O003650</t>
        </is>
      </c>
      <c r="B427" s="2" t="inlineStr">
        <is>
          <t>2025-02-01</t>
        </is>
      </c>
      <c r="C427" s="2" t="inlineStr">
        <is>
          <t>C0562</t>
        </is>
      </c>
      <c r="D427" s="2" t="inlineStr">
        <is>
          <t>P0034</t>
        </is>
      </c>
      <c r="E427" s="2" t="inlineStr">
        <is>
          <t>Gym Gloves</t>
        </is>
      </c>
      <c r="F427" s="2" t="inlineStr">
        <is>
          <t>Sports</t>
        </is>
      </c>
      <c r="G427" s="2" t="inlineStr">
        <is>
          <t>East</t>
        </is>
      </c>
      <c r="H427" s="2" t="inlineStr">
        <is>
          <t>West Bengal</t>
        </is>
      </c>
      <c r="I427" s="2" t="inlineStr">
        <is>
          <t>Kolkata</t>
        </is>
      </c>
      <c r="J427" s="2" t="inlineStr">
        <is>
          <t>Online</t>
        </is>
      </c>
      <c r="K427" s="2" t="n">
        <v>2</v>
      </c>
      <c r="L427" s="3" t="n">
        <v>635.89</v>
      </c>
      <c r="M427" s="4" t="n">
        <v>0</v>
      </c>
      <c r="N427" s="3" t="n">
        <v>817.1</v>
      </c>
      <c r="O427" s="3">
        <f>K427*L427*(1-M427)</f>
        <v/>
      </c>
      <c r="P427" s="3">
        <f>O427-N427</f>
        <v/>
      </c>
      <c r="Q427" s="5">
        <f>IFERROR(P427/O427,0)</f>
        <v/>
      </c>
      <c r="R427" s="2">
        <f>TEXT(DATEVALUE(B427),"mmm")</f>
        <v/>
      </c>
      <c r="S427" s="2">
        <f>TEXT(DATEVALUE(B427),"yyyy-mm")</f>
        <v/>
      </c>
    </row>
    <row r="428">
      <c r="A428" s="2" t="inlineStr">
        <is>
          <t>O004163</t>
        </is>
      </c>
      <c r="B428" s="2" t="inlineStr">
        <is>
          <t>2025-02-01</t>
        </is>
      </c>
      <c r="C428" s="2" t="inlineStr">
        <is>
          <t>C0717</t>
        </is>
      </c>
      <c r="D428" s="2" t="inlineStr">
        <is>
          <t>P0009</t>
        </is>
      </c>
      <c r="E428" s="2" t="inlineStr">
        <is>
          <t>Electric Kettle</t>
        </is>
      </c>
      <c r="F428" s="2" t="inlineStr">
        <is>
          <t>Home &amp; Kitchen</t>
        </is>
      </c>
      <c r="G428" s="2" t="inlineStr">
        <is>
          <t>North</t>
        </is>
      </c>
      <c r="H428" s="2" t="inlineStr">
        <is>
          <t>Uttar Pradesh</t>
        </is>
      </c>
      <c r="I428" s="2" t="inlineStr">
        <is>
          <t>Kanpur</t>
        </is>
      </c>
      <c r="J428" s="2" t="inlineStr">
        <is>
          <t>Store</t>
        </is>
      </c>
      <c r="K428" s="2" t="n">
        <v>4</v>
      </c>
      <c r="L428" s="3" t="n">
        <v>2112.27</v>
      </c>
      <c r="M428" s="4" t="n">
        <v>0</v>
      </c>
      <c r="N428" s="3" t="n">
        <v>4572.43</v>
      </c>
      <c r="O428" s="3">
        <f>K428*L428*(1-M428)</f>
        <v/>
      </c>
      <c r="P428" s="3">
        <f>O428-N428</f>
        <v/>
      </c>
      <c r="Q428" s="5">
        <f>IFERROR(P428/O428,0)</f>
        <v/>
      </c>
      <c r="R428" s="2">
        <f>TEXT(DATEVALUE(B428),"mmm")</f>
        <v/>
      </c>
      <c r="S428" s="2">
        <f>TEXT(DATEVALUE(B428),"yyyy-mm")</f>
        <v/>
      </c>
    </row>
    <row r="429">
      <c r="A429" s="2" t="inlineStr">
        <is>
          <t>O004219</t>
        </is>
      </c>
      <c r="B429" s="2" t="inlineStr">
        <is>
          <t>2025-02-01</t>
        </is>
      </c>
      <c r="C429" s="2" t="inlineStr">
        <is>
          <t>C0103</t>
        </is>
      </c>
      <c r="D429" s="2" t="inlineStr">
        <is>
          <t>P0011</t>
        </is>
      </c>
      <c r="E429" s="2" t="inlineStr">
        <is>
          <t>Cookware Set</t>
        </is>
      </c>
      <c r="F429" s="2" t="inlineStr">
        <is>
          <t>Home &amp; Kitchen</t>
        </is>
      </c>
      <c r="G429" s="2" t="inlineStr">
        <is>
          <t>North</t>
        </is>
      </c>
      <c r="H429" s="2" t="inlineStr">
        <is>
          <t>Haryana</t>
        </is>
      </c>
      <c r="I429" s="2" t="inlineStr">
        <is>
          <t>Gurugram</t>
        </is>
      </c>
      <c r="J429" s="2" t="inlineStr">
        <is>
          <t>Store</t>
        </is>
      </c>
      <c r="K429" s="2" t="n">
        <v>2</v>
      </c>
      <c r="L429" s="3" t="n">
        <v>708.87</v>
      </c>
      <c r="M429" s="4" t="n">
        <v>0.05</v>
      </c>
      <c r="N429" s="3" t="n">
        <v>969.63</v>
      </c>
      <c r="O429" s="3">
        <f>K429*L429*(1-M429)</f>
        <v/>
      </c>
      <c r="P429" s="3">
        <f>O429-N429</f>
        <v/>
      </c>
      <c r="Q429" s="5">
        <f>IFERROR(P429/O429,0)</f>
        <v/>
      </c>
      <c r="R429" s="2">
        <f>TEXT(DATEVALUE(B429),"mmm")</f>
        <v/>
      </c>
      <c r="S429" s="2">
        <f>TEXT(DATEVALUE(B429),"yyyy-mm")</f>
        <v/>
      </c>
    </row>
    <row r="430">
      <c r="A430" s="2" t="inlineStr">
        <is>
          <t>O004524</t>
        </is>
      </c>
      <c r="B430" s="2" t="inlineStr">
        <is>
          <t>2025-02-01</t>
        </is>
      </c>
      <c r="C430" s="2" t="inlineStr">
        <is>
          <t>C0034</t>
        </is>
      </c>
      <c r="D430" s="2" t="inlineStr">
        <is>
          <t>P0007</t>
        </is>
      </c>
      <c r="E430" s="2" t="inlineStr">
        <is>
          <t>Wireless Mouse</t>
        </is>
      </c>
      <c r="F430" s="2" t="inlineStr">
        <is>
          <t>Electronics</t>
        </is>
      </c>
      <c r="G430" s="2" t="inlineStr">
        <is>
          <t>South</t>
        </is>
      </c>
      <c r="H430" s="2" t="inlineStr">
        <is>
          <t>Telangana</t>
        </is>
      </c>
      <c r="I430" s="2" t="inlineStr">
        <is>
          <t>Hyderabad</t>
        </is>
      </c>
      <c r="J430" s="2" t="inlineStr">
        <is>
          <t>Online</t>
        </is>
      </c>
      <c r="K430" s="2" t="n">
        <v>3</v>
      </c>
      <c r="L430" s="3" t="n">
        <v>979.75</v>
      </c>
      <c r="M430" s="4" t="n">
        <v>0.05</v>
      </c>
      <c r="N430" s="3" t="n">
        <v>1885.62</v>
      </c>
      <c r="O430" s="3">
        <f>K430*L430*(1-M430)</f>
        <v/>
      </c>
      <c r="P430" s="3">
        <f>O430-N430</f>
        <v/>
      </c>
      <c r="Q430" s="5">
        <f>IFERROR(P430/O430,0)</f>
        <v/>
      </c>
      <c r="R430" s="2">
        <f>TEXT(DATEVALUE(B430),"mmm")</f>
        <v/>
      </c>
      <c r="S430" s="2">
        <f>TEXT(DATEVALUE(B430),"yyyy-mm")</f>
        <v/>
      </c>
    </row>
    <row r="431">
      <c r="A431" s="2" t="inlineStr">
        <is>
          <t>O003835</t>
        </is>
      </c>
      <c r="B431" s="2" t="inlineStr">
        <is>
          <t>2025-02-02</t>
        </is>
      </c>
      <c r="C431" s="2" t="inlineStr">
        <is>
          <t>C0681</t>
        </is>
      </c>
      <c r="D431" s="2" t="inlineStr">
        <is>
          <t>P0011</t>
        </is>
      </c>
      <c r="E431" s="2" t="inlineStr">
        <is>
          <t>Cookware Set</t>
        </is>
      </c>
      <c r="F431" s="2" t="inlineStr">
        <is>
          <t>Home &amp; Kitchen</t>
        </is>
      </c>
      <c r="G431" s="2" t="inlineStr">
        <is>
          <t>South</t>
        </is>
      </c>
      <c r="H431" s="2" t="inlineStr">
        <is>
          <t>Telangana</t>
        </is>
      </c>
      <c r="I431" s="2" t="inlineStr">
        <is>
          <t>Hyderabad</t>
        </is>
      </c>
      <c r="J431" s="2" t="inlineStr">
        <is>
          <t>Online</t>
        </is>
      </c>
      <c r="K431" s="2" t="n">
        <v>1</v>
      </c>
      <c r="L431" s="3" t="n">
        <v>708.5</v>
      </c>
      <c r="M431" s="4" t="n">
        <v>0</v>
      </c>
      <c r="N431" s="3" t="n">
        <v>455.97</v>
      </c>
      <c r="O431" s="3">
        <f>K431*L431*(1-M431)</f>
        <v/>
      </c>
      <c r="P431" s="3">
        <f>O431-N431</f>
        <v/>
      </c>
      <c r="Q431" s="5">
        <f>IFERROR(P431/O431,0)</f>
        <v/>
      </c>
      <c r="R431" s="2">
        <f>TEXT(DATEVALUE(B431),"mmm")</f>
        <v/>
      </c>
      <c r="S431" s="2">
        <f>TEXT(DATEVALUE(B431),"yyyy-mm")</f>
        <v/>
      </c>
    </row>
    <row r="432">
      <c r="A432" s="2" t="inlineStr">
        <is>
          <t>O004277</t>
        </is>
      </c>
      <c r="B432" s="2" t="inlineStr">
        <is>
          <t>2025-02-02</t>
        </is>
      </c>
      <c r="C432" s="2" t="inlineStr">
        <is>
          <t>C0374</t>
        </is>
      </c>
      <c r="D432" s="2" t="inlineStr">
        <is>
          <t>P0007</t>
        </is>
      </c>
      <c r="E432" s="2" t="inlineStr">
        <is>
          <t>Wireless Mouse</t>
        </is>
      </c>
      <c r="F432" s="2" t="inlineStr">
        <is>
          <t>Electronics</t>
        </is>
      </c>
      <c r="G432" s="2" t="inlineStr">
        <is>
          <t>North</t>
        </is>
      </c>
      <c r="H432" s="2" t="inlineStr">
        <is>
          <t>Uttar Pradesh</t>
        </is>
      </c>
      <c r="I432" s="2" t="inlineStr">
        <is>
          <t>Varanasi</t>
        </is>
      </c>
      <c r="J432" s="2" t="inlineStr">
        <is>
          <t>Online</t>
        </is>
      </c>
      <c r="K432" s="2" t="n">
        <v>2</v>
      </c>
      <c r="L432" s="3" t="n">
        <v>969.5</v>
      </c>
      <c r="M432" s="4" t="n">
        <v>0.2</v>
      </c>
      <c r="N432" s="3" t="n">
        <v>1260.76</v>
      </c>
      <c r="O432" s="3">
        <f>K432*L432*(1-M432)</f>
        <v/>
      </c>
      <c r="P432" s="3">
        <f>O432-N432</f>
        <v/>
      </c>
      <c r="Q432" s="5">
        <f>IFERROR(P432/O432,0)</f>
        <v/>
      </c>
      <c r="R432" s="2">
        <f>TEXT(DATEVALUE(B432),"mmm")</f>
        <v/>
      </c>
      <c r="S432" s="2">
        <f>TEXT(DATEVALUE(B432),"yyyy-mm")</f>
        <v/>
      </c>
    </row>
    <row r="433">
      <c r="A433" s="2" t="inlineStr">
        <is>
          <t>O001717</t>
        </is>
      </c>
      <c r="B433" s="2" t="inlineStr">
        <is>
          <t>2025-02-02</t>
        </is>
      </c>
      <c r="C433" s="2" t="inlineStr">
        <is>
          <t>C0393</t>
        </is>
      </c>
      <c r="D433" s="2" t="inlineStr">
        <is>
          <t>P0017</t>
        </is>
      </c>
      <c r="E433" s="2" t="inlineStr">
        <is>
          <t>Jeans</t>
        </is>
      </c>
      <c r="F433" s="2" t="inlineStr">
        <is>
          <t>Fashion</t>
        </is>
      </c>
      <c r="G433" s="2" t="inlineStr">
        <is>
          <t>East</t>
        </is>
      </c>
      <c r="H433" s="2" t="inlineStr">
        <is>
          <t>Bihar</t>
        </is>
      </c>
      <c r="I433" s="2" t="inlineStr">
        <is>
          <t>Patna</t>
        </is>
      </c>
      <c r="J433" s="2" t="inlineStr">
        <is>
          <t>Online</t>
        </is>
      </c>
      <c r="K433" s="2" t="n">
        <v>2</v>
      </c>
      <c r="L433" s="3" t="n">
        <v>1486.14</v>
      </c>
      <c r="M433" s="4" t="n">
        <v>0.05</v>
      </c>
      <c r="N433" s="3" t="n">
        <v>2084.49</v>
      </c>
      <c r="O433" s="3">
        <f>K433*L433*(1-M433)</f>
        <v/>
      </c>
      <c r="P433" s="3">
        <f>O433-N433</f>
        <v/>
      </c>
      <c r="Q433" s="5">
        <f>IFERROR(P433/O433,0)</f>
        <v/>
      </c>
      <c r="R433" s="2">
        <f>TEXT(DATEVALUE(B433),"mmm")</f>
        <v/>
      </c>
      <c r="S433" s="2">
        <f>TEXT(DATEVALUE(B433),"yyyy-mm")</f>
        <v/>
      </c>
    </row>
    <row r="434">
      <c r="A434" s="2" t="inlineStr">
        <is>
          <t>O000115</t>
        </is>
      </c>
      <c r="B434" s="2" t="inlineStr">
        <is>
          <t>2025-02-02</t>
        </is>
      </c>
      <c r="C434" s="2" t="inlineStr">
        <is>
          <t>C0194</t>
        </is>
      </c>
      <c r="D434" s="2" t="inlineStr">
        <is>
          <t>P0005</t>
        </is>
      </c>
      <c r="E434" s="2" t="inlineStr">
        <is>
          <t>Power Bank</t>
        </is>
      </c>
      <c r="F434" s="2" t="inlineStr">
        <is>
          <t>Electronics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Nagpur</t>
        </is>
      </c>
      <c r="J434" s="2" t="inlineStr">
        <is>
          <t>Store</t>
        </is>
      </c>
      <c r="K434" s="2" t="n">
        <v>2</v>
      </c>
      <c r="L434" s="3" t="n">
        <v>1134.23</v>
      </c>
      <c r="M434" s="4" t="n">
        <v>0.1</v>
      </c>
      <c r="N434" s="3" t="n">
        <v>1337.86</v>
      </c>
      <c r="O434" s="3">
        <f>K434*L434*(1-M434)</f>
        <v/>
      </c>
      <c r="P434" s="3">
        <f>O434-N434</f>
        <v/>
      </c>
      <c r="Q434" s="5">
        <f>IFERROR(P434/O434,0)</f>
        <v/>
      </c>
      <c r="R434" s="2">
        <f>TEXT(DATEVALUE(B434),"mmm")</f>
        <v/>
      </c>
      <c r="S434" s="2">
        <f>TEXT(DATEVALUE(B434),"yyyy-mm")</f>
        <v/>
      </c>
    </row>
    <row r="435">
      <c r="A435" s="2" t="inlineStr">
        <is>
          <t>O000306</t>
        </is>
      </c>
      <c r="B435" s="2" t="inlineStr">
        <is>
          <t>2025-02-02</t>
        </is>
      </c>
      <c r="C435" s="2" t="inlineStr">
        <is>
          <t>C0393</t>
        </is>
      </c>
      <c r="D435" s="2" t="inlineStr">
        <is>
          <t>P0027</t>
        </is>
      </c>
      <c r="E435" s="2" t="inlineStr">
        <is>
          <t>Moisturizer</t>
        </is>
      </c>
      <c r="F435" s="2" t="inlineStr">
        <is>
          <t>Beauty</t>
        </is>
      </c>
      <c r="G435" s="2" t="inlineStr">
        <is>
          <t>South</t>
        </is>
      </c>
      <c r="H435" s="2" t="inlineStr">
        <is>
          <t>Kerala</t>
        </is>
      </c>
      <c r="I435" s="2" t="inlineStr">
        <is>
          <t>Kochi</t>
        </is>
      </c>
      <c r="J435" s="2" t="inlineStr">
        <is>
          <t>Online</t>
        </is>
      </c>
      <c r="K435" s="2" t="n">
        <v>4</v>
      </c>
      <c r="L435" s="3" t="n">
        <v>937</v>
      </c>
      <c r="M435" s="4" t="n">
        <v>0.15</v>
      </c>
      <c r="N435" s="3" t="n">
        <v>2786.32</v>
      </c>
      <c r="O435" s="3">
        <f>K435*L435*(1-M435)</f>
        <v/>
      </c>
      <c r="P435" s="3">
        <f>O435-N435</f>
        <v/>
      </c>
      <c r="Q435" s="5">
        <f>IFERROR(P435/O435,0)</f>
        <v/>
      </c>
      <c r="R435" s="2">
        <f>TEXT(DATEVALUE(B435),"mmm")</f>
        <v/>
      </c>
      <c r="S435" s="2">
        <f>TEXT(DATEVALUE(B435),"yyyy-mm")</f>
        <v/>
      </c>
    </row>
    <row r="436">
      <c r="A436" s="2" t="inlineStr">
        <is>
          <t>O000508</t>
        </is>
      </c>
      <c r="B436" s="2" t="inlineStr">
        <is>
          <t>2025-02-02</t>
        </is>
      </c>
      <c r="C436" s="2" t="inlineStr">
        <is>
          <t>C0434</t>
        </is>
      </c>
      <c r="D436" s="2" t="inlineStr">
        <is>
          <t>P0011</t>
        </is>
      </c>
      <c r="E436" s="2" t="inlineStr">
        <is>
          <t>Cookware Set</t>
        </is>
      </c>
      <c r="F436" s="2" t="inlineStr">
        <is>
          <t>Home &amp; Kitchen</t>
        </is>
      </c>
      <c r="G436" s="2" t="inlineStr">
        <is>
          <t>North</t>
        </is>
      </c>
      <c r="H436" s="2" t="inlineStr">
        <is>
          <t>Punjab</t>
        </is>
      </c>
      <c r="I436" s="2" t="inlineStr">
        <is>
          <t>Amritsar</t>
        </is>
      </c>
      <c r="J436" s="2" t="inlineStr">
        <is>
          <t>Online</t>
        </is>
      </c>
      <c r="K436" s="2" t="n">
        <v>1</v>
      </c>
      <c r="L436" s="3" t="n">
        <v>722.61</v>
      </c>
      <c r="M436" s="4" t="n">
        <v>0.1</v>
      </c>
      <c r="N436" s="3" t="n">
        <v>484.46</v>
      </c>
      <c r="O436" s="3">
        <f>K436*L436*(1-M436)</f>
        <v/>
      </c>
      <c r="P436" s="3">
        <f>O436-N436</f>
        <v/>
      </c>
      <c r="Q436" s="5">
        <f>IFERROR(P436/O436,0)</f>
        <v/>
      </c>
      <c r="R436" s="2">
        <f>TEXT(DATEVALUE(B436),"mmm")</f>
        <v/>
      </c>
      <c r="S436" s="2">
        <f>TEXT(DATEVALUE(B436),"yyyy-mm")</f>
        <v/>
      </c>
    </row>
    <row r="437">
      <c r="A437" s="2" t="inlineStr">
        <is>
          <t>O004022</t>
        </is>
      </c>
      <c r="B437" s="2" t="inlineStr">
        <is>
          <t>2025-02-03</t>
        </is>
      </c>
      <c r="C437" s="2" t="inlineStr">
        <is>
          <t>C0694</t>
        </is>
      </c>
      <c r="D437" s="2" t="inlineStr">
        <is>
          <t>P0022</t>
        </is>
      </c>
      <c r="E437" s="2" t="inlineStr">
        <is>
          <t>Face Wash</t>
        </is>
      </c>
      <c r="F437" s="2" t="inlineStr">
        <is>
          <t>Beauty</t>
        </is>
      </c>
      <c r="G437" s="2" t="inlineStr">
        <is>
          <t>South</t>
        </is>
      </c>
      <c r="H437" s="2" t="inlineStr">
        <is>
          <t>Kerala</t>
        </is>
      </c>
      <c r="I437" s="2" t="inlineStr">
        <is>
          <t>Thiruvananthapuram</t>
        </is>
      </c>
      <c r="J437" s="2" t="inlineStr">
        <is>
          <t>Online</t>
        </is>
      </c>
      <c r="K437" s="2" t="n">
        <v>1</v>
      </c>
      <c r="L437" s="3" t="n">
        <v>570.3200000000001</v>
      </c>
      <c r="M437" s="4" t="n">
        <v>0</v>
      </c>
      <c r="N437" s="3" t="n">
        <v>355.06</v>
      </c>
      <c r="O437" s="3">
        <f>K437*L437*(1-M437)</f>
        <v/>
      </c>
      <c r="P437" s="3">
        <f>O437-N437</f>
        <v/>
      </c>
      <c r="Q437" s="5">
        <f>IFERROR(P437/O437,0)</f>
        <v/>
      </c>
      <c r="R437" s="2">
        <f>TEXT(DATEVALUE(B437),"mmm")</f>
        <v/>
      </c>
      <c r="S437" s="2">
        <f>TEXT(DATEVALUE(B437),"yyyy-mm")</f>
        <v/>
      </c>
    </row>
    <row r="438">
      <c r="A438" s="2" t="inlineStr">
        <is>
          <t>O002502</t>
        </is>
      </c>
      <c r="B438" s="2" t="inlineStr">
        <is>
          <t>2025-02-03</t>
        </is>
      </c>
      <c r="C438" s="2" t="inlineStr">
        <is>
          <t>C0523</t>
        </is>
      </c>
      <c r="D438" s="2" t="inlineStr">
        <is>
          <t>P0016</t>
        </is>
      </c>
      <c r="E438" s="2" t="inlineStr">
        <is>
          <t>Casual Shirt</t>
        </is>
      </c>
      <c r="F438" s="2" t="inlineStr">
        <is>
          <t>Fashion</t>
        </is>
      </c>
      <c r="G438" s="2" t="inlineStr">
        <is>
          <t>North</t>
        </is>
      </c>
      <c r="H438" s="2" t="inlineStr">
        <is>
          <t>Punjab</t>
        </is>
      </c>
      <c r="I438" s="2" t="inlineStr">
        <is>
          <t>Amritsar</t>
        </is>
      </c>
      <c r="J438" s="2" t="inlineStr">
        <is>
          <t>Store</t>
        </is>
      </c>
      <c r="K438" s="2" t="n">
        <v>2</v>
      </c>
      <c r="L438" s="3" t="n">
        <v>1294.95</v>
      </c>
      <c r="M438" s="4" t="n">
        <v>0.1</v>
      </c>
      <c r="N438" s="3" t="n">
        <v>1847.33</v>
      </c>
      <c r="O438" s="3">
        <f>K438*L438*(1-M438)</f>
        <v/>
      </c>
      <c r="P438" s="3">
        <f>O438-N438</f>
        <v/>
      </c>
      <c r="Q438" s="5">
        <f>IFERROR(P438/O438,0)</f>
        <v/>
      </c>
      <c r="R438" s="2">
        <f>TEXT(DATEVALUE(B438),"mmm")</f>
        <v/>
      </c>
      <c r="S438" s="2">
        <f>TEXT(DATEVALUE(B438),"yyyy-mm")</f>
        <v/>
      </c>
    </row>
    <row r="439">
      <c r="A439" s="2" t="inlineStr">
        <is>
          <t>O001496</t>
        </is>
      </c>
      <c r="B439" s="2" t="inlineStr">
        <is>
          <t>2025-02-03</t>
        </is>
      </c>
      <c r="C439" s="2" t="inlineStr">
        <is>
          <t>C0252</t>
        </is>
      </c>
      <c r="D439" s="2" t="inlineStr">
        <is>
          <t>P0005</t>
        </is>
      </c>
      <c r="E439" s="2" t="inlineStr">
        <is>
          <t>Power Bank</t>
        </is>
      </c>
      <c r="F439" s="2" t="inlineStr">
        <is>
          <t>Electronics</t>
        </is>
      </c>
      <c r="G439" s="2" t="inlineStr">
        <is>
          <t>North</t>
        </is>
      </c>
      <c r="H439" s="2" t="inlineStr">
        <is>
          <t>Delhi</t>
        </is>
      </c>
      <c r="I439" s="2" t="inlineStr">
        <is>
          <t>New Delhi</t>
        </is>
      </c>
      <c r="J439" s="2" t="inlineStr">
        <is>
          <t>Online</t>
        </is>
      </c>
      <c r="K439" s="2" t="n">
        <v>3</v>
      </c>
      <c r="L439" s="3" t="n">
        <v>1136.22</v>
      </c>
      <c r="M439" s="4" t="n">
        <v>0.15</v>
      </c>
      <c r="N439" s="3" t="n">
        <v>2090.02</v>
      </c>
      <c r="O439" s="3">
        <f>K439*L439*(1-M439)</f>
        <v/>
      </c>
      <c r="P439" s="3">
        <f>O439-N439</f>
        <v/>
      </c>
      <c r="Q439" s="5">
        <f>IFERROR(P439/O439,0)</f>
        <v/>
      </c>
      <c r="R439" s="2">
        <f>TEXT(DATEVALUE(B439),"mmm")</f>
        <v/>
      </c>
      <c r="S439" s="2">
        <f>TEXT(DATEVALUE(B439),"yyyy-mm")</f>
        <v/>
      </c>
    </row>
    <row r="440">
      <c r="A440" s="2" t="inlineStr">
        <is>
          <t>O001344</t>
        </is>
      </c>
      <c r="B440" s="2" t="inlineStr">
        <is>
          <t>2025-02-03</t>
        </is>
      </c>
      <c r="C440" s="2" t="inlineStr">
        <is>
          <t>C0385</t>
        </is>
      </c>
      <c r="D440" s="2" t="inlineStr">
        <is>
          <t>P0024</t>
        </is>
      </c>
      <c r="E440" s="2" t="inlineStr">
        <is>
          <t>Hair Dryer</t>
        </is>
      </c>
      <c r="F440" s="2" t="inlineStr">
        <is>
          <t>Beauty</t>
        </is>
      </c>
      <c r="G440" s="2" t="inlineStr">
        <is>
          <t>South</t>
        </is>
      </c>
      <c r="H440" s="2" t="inlineStr">
        <is>
          <t>Karnataka</t>
        </is>
      </c>
      <c r="I440" s="2" t="inlineStr">
        <is>
          <t>Bengaluru</t>
        </is>
      </c>
      <c r="J440" s="2" t="inlineStr">
        <is>
          <t>Store</t>
        </is>
      </c>
      <c r="K440" s="2" t="n">
        <v>1</v>
      </c>
      <c r="L440" s="3" t="n">
        <v>975.47</v>
      </c>
      <c r="M440" s="4" t="n">
        <v>0</v>
      </c>
      <c r="N440" s="3" t="n">
        <v>719.0599999999999</v>
      </c>
      <c r="O440" s="3">
        <f>K440*L440*(1-M440)</f>
        <v/>
      </c>
      <c r="P440" s="3">
        <f>O440-N440</f>
        <v/>
      </c>
      <c r="Q440" s="5">
        <f>IFERROR(P440/O440,0)</f>
        <v/>
      </c>
      <c r="R440" s="2">
        <f>TEXT(DATEVALUE(B440),"mmm")</f>
        <v/>
      </c>
      <c r="S440" s="2">
        <f>TEXT(DATEVALUE(B440),"yyyy-mm")</f>
        <v/>
      </c>
    </row>
    <row r="441">
      <c r="A441" s="2" t="inlineStr">
        <is>
          <t>O003046</t>
        </is>
      </c>
      <c r="B441" s="2" t="inlineStr">
        <is>
          <t>2025-02-03</t>
        </is>
      </c>
      <c r="C441" s="2" t="inlineStr">
        <is>
          <t>C0750</t>
        </is>
      </c>
      <c r="D441" s="2" t="inlineStr">
        <is>
          <t>P0007</t>
        </is>
      </c>
      <c r="E441" s="2" t="inlineStr">
        <is>
          <t>Wireless Mouse</t>
        </is>
      </c>
      <c r="F441" s="2" t="inlineStr">
        <is>
          <t>Electronics</t>
        </is>
      </c>
      <c r="G441" s="2" t="inlineStr">
        <is>
          <t>South</t>
        </is>
      </c>
      <c r="H441" s="2" t="inlineStr">
        <is>
          <t>Kerala</t>
        </is>
      </c>
      <c r="I441" s="2" t="inlineStr">
        <is>
          <t>Thiruvananthapuram</t>
        </is>
      </c>
      <c r="J441" s="2" t="inlineStr">
        <is>
          <t>Online</t>
        </is>
      </c>
      <c r="K441" s="2" t="n">
        <v>3</v>
      </c>
      <c r="L441" s="3" t="n">
        <v>1019.43</v>
      </c>
      <c r="M441" s="4" t="n">
        <v>0</v>
      </c>
      <c r="N441" s="3" t="n">
        <v>1828.9</v>
      </c>
      <c r="O441" s="3">
        <f>K441*L441*(1-M441)</f>
        <v/>
      </c>
      <c r="P441" s="3">
        <f>O441-N441</f>
        <v/>
      </c>
      <c r="Q441" s="5">
        <f>IFERROR(P441/O441,0)</f>
        <v/>
      </c>
      <c r="R441" s="2">
        <f>TEXT(DATEVALUE(B441),"mmm")</f>
        <v/>
      </c>
      <c r="S441" s="2">
        <f>TEXT(DATEVALUE(B441),"yyyy-mm")</f>
        <v/>
      </c>
    </row>
    <row r="442">
      <c r="A442" s="2" t="inlineStr">
        <is>
          <t>O000855</t>
        </is>
      </c>
      <c r="B442" s="2" t="inlineStr">
        <is>
          <t>2025-02-03</t>
        </is>
      </c>
      <c r="C442" s="2" t="inlineStr">
        <is>
          <t>C0233</t>
        </is>
      </c>
      <c r="D442" s="2" t="inlineStr">
        <is>
          <t>P0019</t>
        </is>
      </c>
      <c r="E442" s="2" t="inlineStr">
        <is>
          <t>Jacket</t>
        </is>
      </c>
      <c r="F442" s="2" t="inlineStr">
        <is>
          <t>Fashion</t>
        </is>
      </c>
      <c r="G442" s="2" t="inlineStr">
        <is>
          <t>North</t>
        </is>
      </c>
      <c r="H442" s="2" t="inlineStr">
        <is>
          <t>Uttar Pradesh</t>
        </is>
      </c>
      <c r="I442" s="2" t="inlineStr">
        <is>
          <t>Varanasi</t>
        </is>
      </c>
      <c r="J442" s="2" t="inlineStr">
        <is>
          <t>Store</t>
        </is>
      </c>
      <c r="K442" s="2" t="n">
        <v>2</v>
      </c>
      <c r="L442" s="3" t="n">
        <v>1010.32</v>
      </c>
      <c r="M442" s="4" t="n">
        <v>0.1</v>
      </c>
      <c r="N442" s="3" t="n">
        <v>1356.74</v>
      </c>
      <c r="O442" s="3">
        <f>K442*L442*(1-M442)</f>
        <v/>
      </c>
      <c r="P442" s="3">
        <f>O442-N442</f>
        <v/>
      </c>
      <c r="Q442" s="5">
        <f>IFERROR(P442/O442,0)</f>
        <v/>
      </c>
      <c r="R442" s="2">
        <f>TEXT(DATEVALUE(B442),"mmm")</f>
        <v/>
      </c>
      <c r="S442" s="2">
        <f>TEXT(DATEVALUE(B442),"yyyy-mm")</f>
        <v/>
      </c>
    </row>
    <row r="443">
      <c r="A443" s="2" t="inlineStr">
        <is>
          <t>O000815</t>
        </is>
      </c>
      <c r="B443" s="2" t="inlineStr">
        <is>
          <t>2025-02-03</t>
        </is>
      </c>
      <c r="C443" s="2" t="inlineStr">
        <is>
          <t>C0341</t>
        </is>
      </c>
      <c r="D443" s="2" t="inlineStr">
        <is>
          <t>P0013</t>
        </is>
      </c>
      <c r="E443" s="2" t="inlineStr">
        <is>
          <t>Storage Organizer</t>
        </is>
      </c>
      <c r="F443" s="2" t="inlineStr">
        <is>
          <t>Home &amp; Kitchen</t>
        </is>
      </c>
      <c r="G443" s="2" t="inlineStr">
        <is>
          <t>South</t>
        </is>
      </c>
      <c r="H443" s="2" t="inlineStr">
        <is>
          <t>Karnataka</t>
        </is>
      </c>
      <c r="I443" s="2" t="inlineStr">
        <is>
          <t>Bengaluru</t>
        </is>
      </c>
      <c r="J443" s="2" t="inlineStr">
        <is>
          <t>Store</t>
        </is>
      </c>
      <c r="K443" s="2" t="n">
        <v>3</v>
      </c>
      <c r="L443" s="3" t="n">
        <v>573.8200000000001</v>
      </c>
      <c r="M443" s="4" t="n">
        <v>0</v>
      </c>
      <c r="N443" s="3" t="n">
        <v>1091.49</v>
      </c>
      <c r="O443" s="3">
        <f>K443*L443*(1-M443)</f>
        <v/>
      </c>
      <c r="P443" s="3">
        <f>O443-N443</f>
        <v/>
      </c>
      <c r="Q443" s="5">
        <f>IFERROR(P443/O443,0)</f>
        <v/>
      </c>
      <c r="R443" s="2">
        <f>TEXT(DATEVALUE(B443),"mmm")</f>
        <v/>
      </c>
      <c r="S443" s="2">
        <f>TEXT(DATEVALUE(B443),"yyyy-mm")</f>
        <v/>
      </c>
    </row>
    <row r="444">
      <c r="A444" s="2" t="inlineStr">
        <is>
          <t>O000762</t>
        </is>
      </c>
      <c r="B444" s="2" t="inlineStr">
        <is>
          <t>2025-02-03</t>
        </is>
      </c>
      <c r="C444" s="2" t="inlineStr">
        <is>
          <t>C0150</t>
        </is>
      </c>
      <c r="D444" s="2" t="inlineStr">
        <is>
          <t>P0006</t>
        </is>
      </c>
      <c r="E444" s="2" t="inlineStr">
        <is>
          <t>Mechanical Keyboard</t>
        </is>
      </c>
      <c r="F444" s="2" t="inlineStr">
        <is>
          <t>Electronics</t>
        </is>
      </c>
      <c r="G444" s="2" t="inlineStr">
        <is>
          <t>North</t>
        </is>
      </c>
      <c r="H444" s="2" t="inlineStr">
        <is>
          <t>Delhi</t>
        </is>
      </c>
      <c r="I444" s="2" t="inlineStr">
        <is>
          <t>New Delhi</t>
        </is>
      </c>
      <c r="J444" s="2" t="inlineStr">
        <is>
          <t>Store</t>
        </is>
      </c>
      <c r="K444" s="2" t="n">
        <v>1</v>
      </c>
      <c r="L444" s="3" t="n">
        <v>2799.99</v>
      </c>
      <c r="M444" s="4" t="n">
        <v>0.05</v>
      </c>
      <c r="N444" s="3" t="n">
        <v>1490.71</v>
      </c>
      <c r="O444" s="3">
        <f>K444*L444*(1-M444)</f>
        <v/>
      </c>
      <c r="P444" s="3">
        <f>O444-N444</f>
        <v/>
      </c>
      <c r="Q444" s="5">
        <f>IFERROR(P444/O444,0)</f>
        <v/>
      </c>
      <c r="R444" s="2">
        <f>TEXT(DATEVALUE(B444),"mmm")</f>
        <v/>
      </c>
      <c r="S444" s="2">
        <f>TEXT(DATEVALUE(B444),"yyyy-mm")</f>
        <v/>
      </c>
    </row>
    <row r="445">
      <c r="A445" s="2" t="inlineStr">
        <is>
          <t>O000928</t>
        </is>
      </c>
      <c r="B445" s="2" t="inlineStr">
        <is>
          <t>2025-02-03</t>
        </is>
      </c>
      <c r="C445" s="2" t="inlineStr">
        <is>
          <t>C0568</t>
        </is>
      </c>
      <c r="D445" s="2" t="inlineStr">
        <is>
          <t>P0024</t>
        </is>
      </c>
      <c r="E445" s="2" t="inlineStr">
        <is>
          <t>Hair Dryer</t>
        </is>
      </c>
      <c r="F445" s="2" t="inlineStr">
        <is>
          <t>Beauty</t>
        </is>
      </c>
      <c r="G445" s="2" t="inlineStr">
        <is>
          <t>West</t>
        </is>
      </c>
      <c r="H445" s="2" t="inlineStr">
        <is>
          <t>Maharashtra</t>
        </is>
      </c>
      <c r="I445" s="2" t="inlineStr">
        <is>
          <t>Nagpur</t>
        </is>
      </c>
      <c r="J445" s="2" t="inlineStr">
        <is>
          <t>Store</t>
        </is>
      </c>
      <c r="K445" s="2" t="n">
        <v>1</v>
      </c>
      <c r="L445" s="3" t="n">
        <v>983.88</v>
      </c>
      <c r="M445" s="4" t="n">
        <v>0.1</v>
      </c>
      <c r="N445" s="3" t="n">
        <v>730.79</v>
      </c>
      <c r="O445" s="3">
        <f>K445*L445*(1-M445)</f>
        <v/>
      </c>
      <c r="P445" s="3">
        <f>O445-N445</f>
        <v/>
      </c>
      <c r="Q445" s="5">
        <f>IFERROR(P445/O445,0)</f>
        <v/>
      </c>
      <c r="R445" s="2">
        <f>TEXT(DATEVALUE(B445),"mmm")</f>
        <v/>
      </c>
      <c r="S445" s="2">
        <f>TEXT(DATEVALUE(B445),"yyyy-mm")</f>
        <v/>
      </c>
    </row>
    <row r="446">
      <c r="A446" s="2" t="inlineStr">
        <is>
          <t>O003108</t>
        </is>
      </c>
      <c r="B446" s="2" t="inlineStr">
        <is>
          <t>2025-02-04</t>
        </is>
      </c>
      <c r="C446" s="2" t="inlineStr">
        <is>
          <t>C0519</t>
        </is>
      </c>
      <c r="D446" s="2" t="inlineStr">
        <is>
          <t>P0004</t>
        </is>
      </c>
      <c r="E446" s="2" t="inlineStr">
        <is>
          <t>USB-C Hub</t>
        </is>
      </c>
      <c r="F446" s="2" t="inlineStr">
        <is>
          <t>Electronics</t>
        </is>
      </c>
      <c r="G446" s="2" t="inlineStr">
        <is>
          <t>West</t>
        </is>
      </c>
      <c r="H446" s="2" t="inlineStr">
        <is>
          <t>Maharashtra</t>
        </is>
      </c>
      <c r="I446" s="2" t="inlineStr">
        <is>
          <t>Nashik</t>
        </is>
      </c>
      <c r="J446" s="2" t="inlineStr">
        <is>
          <t>Online</t>
        </is>
      </c>
      <c r="K446" s="2" t="n">
        <v>5</v>
      </c>
      <c r="L446" s="3" t="n">
        <v>1238.56</v>
      </c>
      <c r="M446" s="4" t="n">
        <v>0.1</v>
      </c>
      <c r="N446" s="3" t="n">
        <v>4706.56</v>
      </c>
      <c r="O446" s="3">
        <f>K446*L446*(1-M446)</f>
        <v/>
      </c>
      <c r="P446" s="3">
        <f>O446-N446</f>
        <v/>
      </c>
      <c r="Q446" s="5">
        <f>IFERROR(P446/O446,0)</f>
        <v/>
      </c>
      <c r="R446" s="2">
        <f>TEXT(DATEVALUE(B446),"mmm")</f>
        <v/>
      </c>
      <c r="S446" s="2">
        <f>TEXT(DATEVALUE(B446),"yyyy-mm")</f>
        <v/>
      </c>
    </row>
    <row r="447">
      <c r="A447" s="2" t="inlineStr">
        <is>
          <t>O003592</t>
        </is>
      </c>
      <c r="B447" s="2" t="inlineStr">
        <is>
          <t>2025-02-04</t>
        </is>
      </c>
      <c r="C447" s="2" t="inlineStr">
        <is>
          <t>C0361</t>
        </is>
      </c>
      <c r="D447" s="2" t="inlineStr">
        <is>
          <t>P0028</t>
        </is>
      </c>
      <c r="E447" s="2" t="inlineStr">
        <is>
          <t>Trimmer</t>
        </is>
      </c>
      <c r="F447" s="2" t="inlineStr">
        <is>
          <t>Beauty</t>
        </is>
      </c>
      <c r="G447" s="2" t="inlineStr">
        <is>
          <t>East</t>
        </is>
      </c>
      <c r="H447" s="2" t="inlineStr">
        <is>
          <t>Odisha</t>
        </is>
      </c>
      <c r="I447" s="2" t="inlineStr">
        <is>
          <t>Bhubaneswar</t>
        </is>
      </c>
      <c r="J447" s="2" t="inlineStr">
        <is>
          <t>Online</t>
        </is>
      </c>
      <c r="K447" s="2" t="n">
        <v>1</v>
      </c>
      <c r="L447" s="3" t="n">
        <v>471.45</v>
      </c>
      <c r="M447" s="4" t="n">
        <v>0.05</v>
      </c>
      <c r="N447" s="3" t="n">
        <v>250.96</v>
      </c>
      <c r="O447" s="3">
        <f>K447*L447*(1-M447)</f>
        <v/>
      </c>
      <c r="P447" s="3">
        <f>O447-N447</f>
        <v/>
      </c>
      <c r="Q447" s="5">
        <f>IFERROR(P447/O447,0)</f>
        <v/>
      </c>
      <c r="R447" s="2">
        <f>TEXT(DATEVALUE(B447),"mmm")</f>
        <v/>
      </c>
      <c r="S447" s="2">
        <f>TEXT(DATEVALUE(B447),"yyyy-mm")</f>
        <v/>
      </c>
    </row>
    <row r="448">
      <c r="A448" s="2" t="inlineStr">
        <is>
          <t>O003562</t>
        </is>
      </c>
      <c r="B448" s="2" t="inlineStr">
        <is>
          <t>2025-02-04</t>
        </is>
      </c>
      <c r="C448" s="2" t="inlineStr">
        <is>
          <t>C0311</t>
        </is>
      </c>
      <c r="D448" s="2" t="inlineStr">
        <is>
          <t>P0013</t>
        </is>
      </c>
      <c r="E448" s="2" t="inlineStr">
        <is>
          <t>Storage Organizer</t>
        </is>
      </c>
      <c r="F448" s="2" t="inlineStr">
        <is>
          <t>Home &amp; Kitchen</t>
        </is>
      </c>
      <c r="G448" s="2" t="inlineStr">
        <is>
          <t>South</t>
        </is>
      </c>
      <c r="H448" s="2" t="inlineStr">
        <is>
          <t>Kerala</t>
        </is>
      </c>
      <c r="I448" s="2" t="inlineStr">
        <is>
          <t>Kochi</t>
        </is>
      </c>
      <c r="J448" s="2" t="inlineStr">
        <is>
          <t>Online</t>
        </is>
      </c>
      <c r="K448" s="2" t="n">
        <v>2</v>
      </c>
      <c r="L448" s="3" t="n">
        <v>551.76</v>
      </c>
      <c r="M448" s="4" t="n">
        <v>0</v>
      </c>
      <c r="N448" s="3" t="n">
        <v>737</v>
      </c>
      <c r="O448" s="3">
        <f>K448*L448*(1-M448)</f>
        <v/>
      </c>
      <c r="P448" s="3">
        <f>O448-N448</f>
        <v/>
      </c>
      <c r="Q448" s="5">
        <f>IFERROR(P448/O448,0)</f>
        <v/>
      </c>
      <c r="R448" s="2">
        <f>TEXT(DATEVALUE(B448),"mmm")</f>
        <v/>
      </c>
      <c r="S448" s="2">
        <f>TEXT(DATEVALUE(B448),"yyyy-mm")</f>
        <v/>
      </c>
    </row>
    <row r="449">
      <c r="A449" s="2" t="inlineStr">
        <is>
          <t>O003425</t>
        </is>
      </c>
      <c r="B449" s="2" t="inlineStr">
        <is>
          <t>2025-02-04</t>
        </is>
      </c>
      <c r="C449" s="2" t="inlineStr">
        <is>
          <t>C0329</t>
        </is>
      </c>
      <c r="D449" s="2" t="inlineStr">
        <is>
          <t>P0011</t>
        </is>
      </c>
      <c r="E449" s="2" t="inlineStr">
        <is>
          <t>Cookware Set</t>
        </is>
      </c>
      <c r="F449" s="2" t="inlineStr">
        <is>
          <t>Home &amp; Kitchen</t>
        </is>
      </c>
      <c r="G449" s="2" t="inlineStr">
        <is>
          <t>North</t>
        </is>
      </c>
      <c r="H449" s="2" t="inlineStr">
        <is>
          <t>Haryana</t>
        </is>
      </c>
      <c r="I449" s="2" t="inlineStr">
        <is>
          <t>Gurugram</t>
        </is>
      </c>
      <c r="J449" s="2" t="inlineStr">
        <is>
          <t>Online</t>
        </is>
      </c>
      <c r="K449" s="2" t="n">
        <v>1</v>
      </c>
      <c r="L449" s="3" t="n">
        <v>672.4</v>
      </c>
      <c r="M449" s="4" t="n">
        <v>0</v>
      </c>
      <c r="N449" s="3" t="n">
        <v>472.35</v>
      </c>
      <c r="O449" s="3">
        <f>K449*L449*(1-M449)</f>
        <v/>
      </c>
      <c r="P449" s="3">
        <f>O449-N449</f>
        <v/>
      </c>
      <c r="Q449" s="5">
        <f>IFERROR(P449/O449,0)</f>
        <v/>
      </c>
      <c r="R449" s="2">
        <f>TEXT(DATEVALUE(B449),"mmm")</f>
        <v/>
      </c>
      <c r="S449" s="2">
        <f>TEXT(DATEVALUE(B449),"yyyy-mm")</f>
        <v/>
      </c>
    </row>
    <row r="450">
      <c r="A450" s="2" t="inlineStr">
        <is>
          <t>O003179</t>
        </is>
      </c>
      <c r="B450" s="2" t="inlineStr">
        <is>
          <t>2025-02-04</t>
        </is>
      </c>
      <c r="C450" s="2" t="inlineStr">
        <is>
          <t>C0354</t>
        </is>
      </c>
      <c r="D450" s="2" t="inlineStr">
        <is>
          <t>P0007</t>
        </is>
      </c>
      <c r="E450" s="2" t="inlineStr">
        <is>
          <t>Wireless Mouse</t>
        </is>
      </c>
      <c r="F450" s="2" t="inlineStr">
        <is>
          <t>Electronics</t>
        </is>
      </c>
      <c r="G450" s="2" t="inlineStr">
        <is>
          <t>South</t>
        </is>
      </c>
      <c r="H450" s="2" t="inlineStr">
        <is>
          <t>Telangana</t>
        </is>
      </c>
      <c r="I450" s="2" t="inlineStr">
        <is>
          <t>Hyderabad</t>
        </is>
      </c>
      <c r="J450" s="2" t="inlineStr">
        <is>
          <t>Online</t>
        </is>
      </c>
      <c r="K450" s="2" t="n">
        <v>1</v>
      </c>
      <c r="L450" s="3" t="n">
        <v>1023.97</v>
      </c>
      <c r="M450" s="4" t="n">
        <v>0.1</v>
      </c>
      <c r="N450" s="3" t="n">
        <v>614.4400000000001</v>
      </c>
      <c r="O450" s="3">
        <f>K450*L450*(1-M450)</f>
        <v/>
      </c>
      <c r="P450" s="3">
        <f>O450-N450</f>
        <v/>
      </c>
      <c r="Q450" s="5">
        <f>IFERROR(P450/O450,0)</f>
        <v/>
      </c>
      <c r="R450" s="2">
        <f>TEXT(DATEVALUE(B450),"mmm")</f>
        <v/>
      </c>
      <c r="S450" s="2">
        <f>TEXT(DATEVALUE(B450),"yyyy-mm")</f>
        <v/>
      </c>
    </row>
    <row r="451">
      <c r="A451" s="2" t="inlineStr">
        <is>
          <t>O004540</t>
        </is>
      </c>
      <c r="B451" s="2" t="inlineStr">
        <is>
          <t>2025-02-04</t>
        </is>
      </c>
      <c r="C451" s="2" t="inlineStr">
        <is>
          <t>C0150</t>
        </is>
      </c>
      <c r="D451" s="2" t="inlineStr">
        <is>
          <t>P0006</t>
        </is>
      </c>
      <c r="E451" s="2" t="inlineStr">
        <is>
          <t>Mechanical Keyboard</t>
        </is>
      </c>
      <c r="F451" s="2" t="inlineStr">
        <is>
          <t>Electronics</t>
        </is>
      </c>
      <c r="G451" s="2" t="inlineStr">
        <is>
          <t>South</t>
        </is>
      </c>
      <c r="H451" s="2" t="inlineStr">
        <is>
          <t>Telangana</t>
        </is>
      </c>
      <c r="I451" s="2" t="inlineStr">
        <is>
          <t>Hyderabad</t>
        </is>
      </c>
      <c r="J451" s="2" t="inlineStr">
        <is>
          <t>Online</t>
        </is>
      </c>
      <c r="K451" s="2" t="n">
        <v>5</v>
      </c>
      <c r="L451" s="3" t="n">
        <v>2640.71</v>
      </c>
      <c r="M451" s="4" t="n">
        <v>0.05</v>
      </c>
      <c r="N451" s="3" t="n">
        <v>7194.54</v>
      </c>
      <c r="O451" s="3">
        <f>K451*L451*(1-M451)</f>
        <v/>
      </c>
      <c r="P451" s="3">
        <f>O451-N451</f>
        <v/>
      </c>
      <c r="Q451" s="5">
        <f>IFERROR(P451/O451,0)</f>
        <v/>
      </c>
      <c r="R451" s="2">
        <f>TEXT(DATEVALUE(B451),"mmm")</f>
        <v/>
      </c>
      <c r="S451" s="2">
        <f>TEXT(DATEVALUE(B451),"yyyy-mm")</f>
        <v/>
      </c>
    </row>
    <row r="452">
      <c r="A452" s="2" t="inlineStr">
        <is>
          <t>O003166</t>
        </is>
      </c>
      <c r="B452" s="2" t="inlineStr">
        <is>
          <t>2025-02-04</t>
        </is>
      </c>
      <c r="C452" s="2" t="inlineStr">
        <is>
          <t>C0226</t>
        </is>
      </c>
      <c r="D452" s="2" t="inlineStr">
        <is>
          <t>P0003</t>
        </is>
      </c>
      <c r="E452" s="2" t="inlineStr">
        <is>
          <t>Smartwatch</t>
        </is>
      </c>
      <c r="F452" s="2" t="inlineStr">
        <is>
          <t>Electronics</t>
        </is>
      </c>
      <c r="G452" s="2" t="inlineStr">
        <is>
          <t>East</t>
        </is>
      </c>
      <c r="H452" s="2" t="inlineStr">
        <is>
          <t>West Bengal</t>
        </is>
      </c>
      <c r="I452" s="2" t="inlineStr">
        <is>
          <t>Kolkata</t>
        </is>
      </c>
      <c r="J452" s="2" t="inlineStr">
        <is>
          <t>Online</t>
        </is>
      </c>
      <c r="K452" s="2" t="n">
        <v>1</v>
      </c>
      <c r="L452" s="3" t="n">
        <v>2204.16</v>
      </c>
      <c r="M452" s="4" t="n">
        <v>0.1</v>
      </c>
      <c r="N452" s="3" t="n">
        <v>1223.89</v>
      </c>
      <c r="O452" s="3">
        <f>K452*L452*(1-M452)</f>
        <v/>
      </c>
      <c r="P452" s="3">
        <f>O452-N452</f>
        <v/>
      </c>
      <c r="Q452" s="5">
        <f>IFERROR(P452/O452,0)</f>
        <v/>
      </c>
      <c r="R452" s="2">
        <f>TEXT(DATEVALUE(B452),"mmm")</f>
        <v/>
      </c>
      <c r="S452" s="2">
        <f>TEXT(DATEVALUE(B452),"yyyy-mm")</f>
        <v/>
      </c>
    </row>
    <row r="453">
      <c r="A453" s="2" t="inlineStr">
        <is>
          <t>O002803</t>
        </is>
      </c>
      <c r="B453" s="2" t="inlineStr">
        <is>
          <t>2025-02-04</t>
        </is>
      </c>
      <c r="C453" s="2" t="inlineStr">
        <is>
          <t>C0568</t>
        </is>
      </c>
      <c r="D453" s="2" t="inlineStr">
        <is>
          <t>P0004</t>
        </is>
      </c>
      <c r="E453" s="2" t="inlineStr">
        <is>
          <t>USB-C Hub</t>
        </is>
      </c>
      <c r="F453" s="2" t="inlineStr">
        <is>
          <t>Electronics</t>
        </is>
      </c>
      <c r="G453" s="2" t="inlineStr">
        <is>
          <t>West</t>
        </is>
      </c>
      <c r="H453" s="2" t="inlineStr">
        <is>
          <t>Goa</t>
        </is>
      </c>
      <c r="I453" s="2" t="inlineStr">
        <is>
          <t>Panaji</t>
        </is>
      </c>
      <c r="J453" s="2" t="inlineStr">
        <is>
          <t>Online</t>
        </is>
      </c>
      <c r="K453" s="2" t="n">
        <v>3</v>
      </c>
      <c r="L453" s="3" t="n">
        <v>1285.37</v>
      </c>
      <c r="M453" s="4" t="n">
        <v>0.05</v>
      </c>
      <c r="N453" s="3" t="n">
        <v>2813.77</v>
      </c>
      <c r="O453" s="3">
        <f>K453*L453*(1-M453)</f>
        <v/>
      </c>
      <c r="P453" s="3">
        <f>O453-N453</f>
        <v/>
      </c>
      <c r="Q453" s="5">
        <f>IFERROR(P453/O453,0)</f>
        <v/>
      </c>
      <c r="R453" s="2">
        <f>TEXT(DATEVALUE(B453),"mmm")</f>
        <v/>
      </c>
      <c r="S453" s="2">
        <f>TEXT(DATEVALUE(B453),"yyyy-mm")</f>
        <v/>
      </c>
    </row>
    <row r="454">
      <c r="A454" s="2" t="inlineStr">
        <is>
          <t>O000709</t>
        </is>
      </c>
      <c r="B454" s="2" t="inlineStr">
        <is>
          <t>2025-02-04</t>
        </is>
      </c>
      <c r="C454" s="2" t="inlineStr">
        <is>
          <t>C0395</t>
        </is>
      </c>
      <c r="D454" s="2" t="inlineStr">
        <is>
          <t>P0017</t>
        </is>
      </c>
      <c r="E454" s="2" t="inlineStr">
        <is>
          <t>Jeans</t>
        </is>
      </c>
      <c r="F454" s="2" t="inlineStr">
        <is>
          <t>Fashion</t>
        </is>
      </c>
      <c r="G454" s="2" t="inlineStr">
        <is>
          <t>West</t>
        </is>
      </c>
      <c r="H454" s="2" t="inlineStr">
        <is>
          <t>Maharashtra</t>
        </is>
      </c>
      <c r="I454" s="2" t="inlineStr">
        <is>
          <t>Nagpur</t>
        </is>
      </c>
      <c r="J454" s="2" t="inlineStr">
        <is>
          <t>Online</t>
        </is>
      </c>
      <c r="K454" s="2" t="n">
        <v>5</v>
      </c>
      <c r="L454" s="3" t="n">
        <v>1503.29</v>
      </c>
      <c r="M454" s="4" t="n">
        <v>0.1</v>
      </c>
      <c r="N454" s="3" t="n">
        <v>5165.78</v>
      </c>
      <c r="O454" s="3">
        <f>K454*L454*(1-M454)</f>
        <v/>
      </c>
      <c r="P454" s="3">
        <f>O454-N454</f>
        <v/>
      </c>
      <c r="Q454" s="5">
        <f>IFERROR(P454/O454,0)</f>
        <v/>
      </c>
      <c r="R454" s="2">
        <f>TEXT(DATEVALUE(B454),"mmm")</f>
        <v/>
      </c>
      <c r="S454" s="2">
        <f>TEXT(DATEVALUE(B454),"yyyy-mm")</f>
        <v/>
      </c>
    </row>
    <row r="455">
      <c r="A455" s="2" t="inlineStr">
        <is>
          <t>O001901</t>
        </is>
      </c>
      <c r="B455" s="2" t="inlineStr">
        <is>
          <t>2025-02-04</t>
        </is>
      </c>
      <c r="C455" s="2" t="inlineStr">
        <is>
          <t>C0568</t>
        </is>
      </c>
      <c r="D455" s="2" t="inlineStr">
        <is>
          <t>P0004</t>
        </is>
      </c>
      <c r="E455" s="2" t="inlineStr">
        <is>
          <t>USB-C Hub</t>
        </is>
      </c>
      <c r="F455" s="2" t="inlineStr">
        <is>
          <t>Electronics</t>
        </is>
      </c>
      <c r="G455" s="2" t="inlineStr">
        <is>
          <t>East</t>
        </is>
      </c>
      <c r="H455" s="2" t="inlineStr">
        <is>
          <t>Bihar</t>
        </is>
      </c>
      <c r="I455" s="2" t="inlineStr">
        <is>
          <t>Gaya</t>
        </is>
      </c>
      <c r="J455" s="2" t="inlineStr">
        <is>
          <t>Store</t>
        </is>
      </c>
      <c r="K455" s="2" t="n">
        <v>5</v>
      </c>
      <c r="L455" s="3" t="n">
        <v>1238.93</v>
      </c>
      <c r="M455" s="4" t="n">
        <v>0.15</v>
      </c>
      <c r="N455" s="3" t="n">
        <v>4565.74</v>
      </c>
      <c r="O455" s="3">
        <f>K455*L455*(1-M455)</f>
        <v/>
      </c>
      <c r="P455" s="3">
        <f>O455-N455</f>
        <v/>
      </c>
      <c r="Q455" s="5">
        <f>IFERROR(P455/O455,0)</f>
        <v/>
      </c>
      <c r="R455" s="2">
        <f>TEXT(DATEVALUE(B455),"mmm")</f>
        <v/>
      </c>
      <c r="S455" s="2">
        <f>TEXT(DATEVALUE(B455),"yyyy-mm")</f>
        <v/>
      </c>
    </row>
    <row r="456">
      <c r="A456" s="2" t="inlineStr">
        <is>
          <t>O001028</t>
        </is>
      </c>
      <c r="B456" s="2" t="inlineStr">
        <is>
          <t>2025-02-04</t>
        </is>
      </c>
      <c r="C456" s="2" t="inlineStr">
        <is>
          <t>C0034</t>
        </is>
      </c>
      <c r="D456" s="2" t="inlineStr">
        <is>
          <t>P0004</t>
        </is>
      </c>
      <c r="E456" s="2" t="inlineStr">
        <is>
          <t>USB-C Hub</t>
        </is>
      </c>
      <c r="F456" s="2" t="inlineStr">
        <is>
          <t>Electronics</t>
        </is>
      </c>
      <c r="G456" s="2" t="inlineStr">
        <is>
          <t>West</t>
        </is>
      </c>
      <c r="H456" s="2" t="inlineStr">
        <is>
          <t>Goa</t>
        </is>
      </c>
      <c r="I456" s="2" t="inlineStr">
        <is>
          <t>Panaji</t>
        </is>
      </c>
      <c r="J456" s="2" t="inlineStr">
        <is>
          <t>Online</t>
        </is>
      </c>
      <c r="K456" s="2" t="n">
        <v>2</v>
      </c>
      <c r="L456" s="3" t="n">
        <v>1239.51</v>
      </c>
      <c r="M456" s="4" t="n">
        <v>0</v>
      </c>
      <c r="N456" s="3" t="n">
        <v>1912.38</v>
      </c>
      <c r="O456" s="3">
        <f>K456*L456*(1-M456)</f>
        <v/>
      </c>
      <c r="P456" s="3">
        <f>O456-N456</f>
        <v/>
      </c>
      <c r="Q456" s="5">
        <f>IFERROR(P456/O456,0)</f>
        <v/>
      </c>
      <c r="R456" s="2">
        <f>TEXT(DATEVALUE(B456),"mmm")</f>
        <v/>
      </c>
      <c r="S456" s="2">
        <f>TEXT(DATEVALUE(B456),"yyyy-mm")</f>
        <v/>
      </c>
    </row>
    <row r="457">
      <c r="A457" s="2" t="inlineStr">
        <is>
          <t>O000524</t>
        </is>
      </c>
      <c r="B457" s="2" t="inlineStr">
        <is>
          <t>2025-02-04</t>
        </is>
      </c>
      <c r="C457" s="2" t="inlineStr">
        <is>
          <t>C0179</t>
        </is>
      </c>
      <c r="D457" s="2" t="inlineStr">
        <is>
          <t>P0004</t>
        </is>
      </c>
      <c r="E457" s="2" t="inlineStr">
        <is>
          <t>USB-C Hub</t>
        </is>
      </c>
      <c r="F457" s="2" t="inlineStr">
        <is>
          <t>Electronics</t>
        </is>
      </c>
      <c r="G457" s="2" t="inlineStr">
        <is>
          <t>West</t>
        </is>
      </c>
      <c r="H457" s="2" t="inlineStr">
        <is>
          <t>Goa</t>
        </is>
      </c>
      <c r="I457" s="2" t="inlineStr">
        <is>
          <t>Panaji</t>
        </is>
      </c>
      <c r="J457" s="2" t="inlineStr">
        <is>
          <t>Store</t>
        </is>
      </c>
      <c r="K457" s="2" t="n">
        <v>1</v>
      </c>
      <c r="L457" s="3" t="n">
        <v>1276.25</v>
      </c>
      <c r="M457" s="4" t="n">
        <v>0.05</v>
      </c>
      <c r="N457" s="3" t="n">
        <v>930.35</v>
      </c>
      <c r="O457" s="3">
        <f>K457*L457*(1-M457)</f>
        <v/>
      </c>
      <c r="P457" s="3">
        <f>O457-N457</f>
        <v/>
      </c>
      <c r="Q457" s="5">
        <f>IFERROR(P457/O457,0)</f>
        <v/>
      </c>
      <c r="R457" s="2">
        <f>TEXT(DATEVALUE(B457),"mmm")</f>
        <v/>
      </c>
      <c r="S457" s="2">
        <f>TEXT(DATEVALUE(B457),"yyyy-mm")</f>
        <v/>
      </c>
    </row>
    <row r="458">
      <c r="A458" s="2" t="inlineStr">
        <is>
          <t>O000327</t>
        </is>
      </c>
      <c r="B458" s="2" t="inlineStr">
        <is>
          <t>2025-02-04</t>
        </is>
      </c>
      <c r="C458" s="2" t="inlineStr">
        <is>
          <t>C0230</t>
        </is>
      </c>
      <c r="D458" s="2" t="inlineStr">
        <is>
          <t>P0010</t>
        </is>
      </c>
      <c r="E458" s="2" t="inlineStr">
        <is>
          <t>Mixer Grinder</t>
        </is>
      </c>
      <c r="F458" s="2" t="inlineStr">
        <is>
          <t>Home &amp; Kitchen</t>
        </is>
      </c>
      <c r="G458" s="2" t="inlineStr">
        <is>
          <t>West</t>
        </is>
      </c>
      <c r="H458" s="2" t="inlineStr">
        <is>
          <t>Goa</t>
        </is>
      </c>
      <c r="I458" s="2" t="inlineStr">
        <is>
          <t>Panaji</t>
        </is>
      </c>
      <c r="J458" s="2" t="inlineStr">
        <is>
          <t>Store</t>
        </is>
      </c>
      <c r="K458" s="2" t="n">
        <v>5</v>
      </c>
      <c r="L458" s="3" t="n">
        <v>1677.34</v>
      </c>
      <c r="M458" s="4" t="n">
        <v>0.05</v>
      </c>
      <c r="N458" s="3" t="n">
        <v>5136.99</v>
      </c>
      <c r="O458" s="3">
        <f>K458*L458*(1-M458)</f>
        <v/>
      </c>
      <c r="P458" s="3">
        <f>O458-N458</f>
        <v/>
      </c>
      <c r="Q458" s="5">
        <f>IFERROR(P458/O458,0)</f>
        <v/>
      </c>
      <c r="R458" s="2">
        <f>TEXT(DATEVALUE(B458),"mmm")</f>
        <v/>
      </c>
      <c r="S458" s="2">
        <f>TEXT(DATEVALUE(B458),"yyyy-mm")</f>
        <v/>
      </c>
    </row>
    <row r="459">
      <c r="A459" s="2" t="inlineStr">
        <is>
          <t>O000124</t>
        </is>
      </c>
      <c r="B459" s="2" t="inlineStr">
        <is>
          <t>2025-02-04</t>
        </is>
      </c>
      <c r="C459" s="2" t="inlineStr">
        <is>
          <t>C0125</t>
        </is>
      </c>
      <c r="D459" s="2" t="inlineStr">
        <is>
          <t>P0005</t>
        </is>
      </c>
      <c r="E459" s="2" t="inlineStr">
        <is>
          <t>Power Bank</t>
        </is>
      </c>
      <c r="F459" s="2" t="inlineStr">
        <is>
          <t>Electronics</t>
        </is>
      </c>
      <c r="G459" s="2" t="inlineStr">
        <is>
          <t>West</t>
        </is>
      </c>
      <c r="H459" s="2" t="inlineStr">
        <is>
          <t>Goa</t>
        </is>
      </c>
      <c r="I459" s="2" t="inlineStr">
        <is>
          <t>Margao</t>
        </is>
      </c>
      <c r="J459" s="2" t="inlineStr">
        <is>
          <t>Online</t>
        </is>
      </c>
      <c r="K459" s="2" t="n">
        <v>2</v>
      </c>
      <c r="L459" s="3" t="n">
        <v>1138.04</v>
      </c>
      <c r="M459" s="4" t="n">
        <v>0.25</v>
      </c>
      <c r="N459" s="3" t="n">
        <v>1324.28</v>
      </c>
      <c r="O459" s="3">
        <f>K459*L459*(1-M459)</f>
        <v/>
      </c>
      <c r="P459" s="3">
        <f>O459-N459</f>
        <v/>
      </c>
      <c r="Q459" s="5">
        <f>IFERROR(P459/O459,0)</f>
        <v/>
      </c>
      <c r="R459" s="2">
        <f>TEXT(DATEVALUE(B459),"mmm")</f>
        <v/>
      </c>
      <c r="S459" s="2">
        <f>TEXT(DATEVALUE(B459),"yyyy-mm")</f>
        <v/>
      </c>
    </row>
    <row r="460">
      <c r="A460" s="2" t="inlineStr">
        <is>
          <t>O000059</t>
        </is>
      </c>
      <c r="B460" s="2" t="inlineStr">
        <is>
          <t>2025-02-04</t>
        </is>
      </c>
      <c r="C460" s="2" t="inlineStr">
        <is>
          <t>C0703</t>
        </is>
      </c>
      <c r="D460" s="2" t="inlineStr">
        <is>
          <t>P0032</t>
        </is>
      </c>
      <c r="E460" s="2" t="inlineStr">
        <is>
          <t>Football</t>
        </is>
      </c>
      <c r="F460" s="2" t="inlineStr">
        <is>
          <t>Sports</t>
        </is>
      </c>
      <c r="G460" s="2" t="inlineStr">
        <is>
          <t>West</t>
        </is>
      </c>
      <c r="H460" s="2" t="inlineStr">
        <is>
          <t>Maharashtra</t>
        </is>
      </c>
      <c r="I460" s="2" t="inlineStr">
        <is>
          <t>Mumbai</t>
        </is>
      </c>
      <c r="J460" s="2" t="inlineStr">
        <is>
          <t>Store</t>
        </is>
      </c>
      <c r="K460" s="2" t="n">
        <v>3</v>
      </c>
      <c r="L460" s="3" t="n">
        <v>819.78</v>
      </c>
      <c r="M460" s="4" t="n">
        <v>0.25</v>
      </c>
      <c r="N460" s="3" t="n">
        <v>1602.3</v>
      </c>
      <c r="O460" s="3">
        <f>K460*L460*(1-M460)</f>
        <v/>
      </c>
      <c r="P460" s="3">
        <f>O460-N460</f>
        <v/>
      </c>
      <c r="Q460" s="5">
        <f>IFERROR(P460/O460,0)</f>
        <v/>
      </c>
      <c r="R460" s="2">
        <f>TEXT(DATEVALUE(B460),"mmm")</f>
        <v/>
      </c>
      <c r="S460" s="2">
        <f>TEXT(DATEVALUE(B460),"yyyy-mm")</f>
        <v/>
      </c>
    </row>
    <row r="461">
      <c r="A461" s="2" t="inlineStr">
        <is>
          <t>O002013</t>
        </is>
      </c>
      <c r="B461" s="2" t="inlineStr">
        <is>
          <t>2025-02-04</t>
        </is>
      </c>
      <c r="C461" s="2" t="inlineStr">
        <is>
          <t>C0637</t>
        </is>
      </c>
      <c r="D461" s="2" t="inlineStr">
        <is>
          <t>P0032</t>
        </is>
      </c>
      <c r="E461" s="2" t="inlineStr">
        <is>
          <t>Football</t>
        </is>
      </c>
      <c r="F461" s="2" t="inlineStr">
        <is>
          <t>Sports</t>
        </is>
      </c>
      <c r="G461" s="2" t="inlineStr">
        <is>
          <t>North</t>
        </is>
      </c>
      <c r="H461" s="2" t="inlineStr">
        <is>
          <t>Punjab</t>
        </is>
      </c>
      <c r="I461" s="2" t="inlineStr">
        <is>
          <t>Jalandhar</t>
        </is>
      </c>
      <c r="J461" s="2" t="inlineStr">
        <is>
          <t>Online</t>
        </is>
      </c>
      <c r="K461" s="2" t="n">
        <v>1</v>
      </c>
      <c r="L461" s="3" t="n">
        <v>831.9</v>
      </c>
      <c r="M461" s="4" t="n">
        <v>0.15</v>
      </c>
      <c r="N461" s="3" t="n">
        <v>546.98</v>
      </c>
      <c r="O461" s="3">
        <f>K461*L461*(1-M461)</f>
        <v/>
      </c>
      <c r="P461" s="3">
        <f>O461-N461</f>
        <v/>
      </c>
      <c r="Q461" s="5">
        <f>IFERROR(P461/O461,0)</f>
        <v/>
      </c>
      <c r="R461" s="2">
        <f>TEXT(DATEVALUE(B461),"mmm")</f>
        <v/>
      </c>
      <c r="S461" s="2">
        <f>TEXT(DATEVALUE(B461),"yyyy-mm")</f>
        <v/>
      </c>
    </row>
    <row r="462">
      <c r="A462" s="2" t="inlineStr">
        <is>
          <t>O002268</t>
        </is>
      </c>
      <c r="B462" s="2" t="inlineStr">
        <is>
          <t>2025-02-05</t>
        </is>
      </c>
      <c r="C462" s="2" t="inlineStr">
        <is>
          <t>C0758</t>
        </is>
      </c>
      <c r="D462" s="2" t="inlineStr">
        <is>
          <t>P0013</t>
        </is>
      </c>
      <c r="E462" s="2" t="inlineStr">
        <is>
          <t>Storage Organizer</t>
        </is>
      </c>
      <c r="F462" s="2" t="inlineStr">
        <is>
          <t>Home &amp; Kitchen</t>
        </is>
      </c>
      <c r="G462" s="2" t="inlineStr">
        <is>
          <t>East</t>
        </is>
      </c>
      <c r="H462" s="2" t="inlineStr">
        <is>
          <t>Bihar</t>
        </is>
      </c>
      <c r="I462" s="2" t="inlineStr">
        <is>
          <t>Gaya</t>
        </is>
      </c>
      <c r="J462" s="2" t="inlineStr">
        <is>
          <t>Online</t>
        </is>
      </c>
      <c r="K462" s="2" t="n">
        <v>2</v>
      </c>
      <c r="L462" s="3" t="n">
        <v>552.05</v>
      </c>
      <c r="M462" s="4" t="n">
        <v>0</v>
      </c>
      <c r="N462" s="3" t="n">
        <v>728.26</v>
      </c>
      <c r="O462" s="3">
        <f>K462*L462*(1-M462)</f>
        <v/>
      </c>
      <c r="P462" s="3">
        <f>O462-N462</f>
        <v/>
      </c>
      <c r="Q462" s="5">
        <f>IFERROR(P462/O462,0)</f>
        <v/>
      </c>
      <c r="R462" s="2">
        <f>TEXT(DATEVALUE(B462),"mmm")</f>
        <v/>
      </c>
      <c r="S462" s="2">
        <f>TEXT(DATEVALUE(B462),"yyyy-mm")</f>
        <v/>
      </c>
    </row>
    <row r="463">
      <c r="A463" s="2" t="inlineStr">
        <is>
          <t>O003997</t>
        </is>
      </c>
      <c r="B463" s="2" t="inlineStr">
        <is>
          <t>2025-02-05</t>
        </is>
      </c>
      <c r="C463" s="2" t="inlineStr">
        <is>
          <t>C0775</t>
        </is>
      </c>
      <c r="D463" s="2" t="inlineStr">
        <is>
          <t>P0014</t>
        </is>
      </c>
      <c r="E463" s="2" t="inlineStr">
        <is>
          <t>Coffee Maker</t>
        </is>
      </c>
      <c r="F463" s="2" t="inlineStr">
        <is>
          <t>Home &amp; Kitchen</t>
        </is>
      </c>
      <c r="G463" s="2" t="inlineStr">
        <is>
          <t>South</t>
        </is>
      </c>
      <c r="H463" s="2" t="inlineStr">
        <is>
          <t>Kerala</t>
        </is>
      </c>
      <c r="I463" s="2" t="inlineStr">
        <is>
          <t>Thiruvananthapuram</t>
        </is>
      </c>
      <c r="J463" s="2" t="inlineStr">
        <is>
          <t>Store</t>
        </is>
      </c>
      <c r="K463" s="2" t="n">
        <v>1</v>
      </c>
      <c r="L463" s="3" t="n">
        <v>1070.29</v>
      </c>
      <c r="M463" s="4" t="n">
        <v>0.1</v>
      </c>
      <c r="N463" s="3" t="n">
        <v>790.4</v>
      </c>
      <c r="O463" s="3">
        <f>K463*L463*(1-M463)</f>
        <v/>
      </c>
      <c r="P463" s="3">
        <f>O463-N463</f>
        <v/>
      </c>
      <c r="Q463" s="5">
        <f>IFERROR(P463/O463,0)</f>
        <v/>
      </c>
      <c r="R463" s="2">
        <f>TEXT(DATEVALUE(B463),"mmm")</f>
        <v/>
      </c>
      <c r="S463" s="2">
        <f>TEXT(DATEVALUE(B463),"yyyy-mm")</f>
        <v/>
      </c>
    </row>
    <row r="464">
      <c r="A464" s="2" t="inlineStr">
        <is>
          <t>O002834</t>
        </is>
      </c>
      <c r="B464" s="2" t="inlineStr">
        <is>
          <t>2025-02-05</t>
        </is>
      </c>
      <c r="C464" s="2" t="inlineStr">
        <is>
          <t>C0456</t>
        </is>
      </c>
      <c r="D464" s="2" t="inlineStr">
        <is>
          <t>P0005</t>
        </is>
      </c>
      <c r="E464" s="2" t="inlineStr">
        <is>
          <t>Power Bank</t>
        </is>
      </c>
      <c r="F464" s="2" t="inlineStr">
        <is>
          <t>Electronics</t>
        </is>
      </c>
      <c r="G464" s="2" t="inlineStr">
        <is>
          <t>South</t>
        </is>
      </c>
      <c r="H464" s="2" t="inlineStr">
        <is>
          <t>Telangana</t>
        </is>
      </c>
      <c r="I464" s="2" t="inlineStr">
        <is>
          <t>Warangal</t>
        </is>
      </c>
      <c r="J464" s="2" t="inlineStr">
        <is>
          <t>Online</t>
        </is>
      </c>
      <c r="K464" s="2" t="n">
        <v>3</v>
      </c>
      <c r="L464" s="3" t="n">
        <v>1150.42</v>
      </c>
      <c r="M464" s="4" t="n">
        <v>0.2</v>
      </c>
      <c r="N464" s="3" t="n">
        <v>2077.36</v>
      </c>
      <c r="O464" s="3">
        <f>K464*L464*(1-M464)</f>
        <v/>
      </c>
      <c r="P464" s="3">
        <f>O464-N464</f>
        <v/>
      </c>
      <c r="Q464" s="5">
        <f>IFERROR(P464/O464,0)</f>
        <v/>
      </c>
      <c r="R464" s="2">
        <f>TEXT(DATEVALUE(B464),"mmm")</f>
        <v/>
      </c>
      <c r="S464" s="2">
        <f>TEXT(DATEVALUE(B464),"yyyy-mm")</f>
        <v/>
      </c>
    </row>
    <row r="465">
      <c r="A465" s="2" t="inlineStr">
        <is>
          <t>O002309</t>
        </is>
      </c>
      <c r="B465" s="2" t="inlineStr">
        <is>
          <t>2025-02-05</t>
        </is>
      </c>
      <c r="C465" s="2" t="inlineStr">
        <is>
          <t>C0723</t>
        </is>
      </c>
      <c r="D465" s="2" t="inlineStr">
        <is>
          <t>P0003</t>
        </is>
      </c>
      <c r="E465" s="2" t="inlineStr">
        <is>
          <t>Smartwatch</t>
        </is>
      </c>
      <c r="F465" s="2" t="inlineStr">
        <is>
          <t>Electronics</t>
        </is>
      </c>
      <c r="G465" s="2" t="inlineStr">
        <is>
          <t>East</t>
        </is>
      </c>
      <c r="H465" s="2" t="inlineStr">
        <is>
          <t>West Bengal</t>
        </is>
      </c>
      <c r="I465" s="2" t="inlineStr">
        <is>
          <t>Durgapur</t>
        </is>
      </c>
      <c r="J465" s="2" t="inlineStr">
        <is>
          <t>Online</t>
        </is>
      </c>
      <c r="K465" s="2" t="n">
        <v>2</v>
      </c>
      <c r="L465" s="3" t="n">
        <v>2236.04</v>
      </c>
      <c r="M465" s="4" t="n">
        <v>0.1</v>
      </c>
      <c r="N465" s="3" t="n">
        <v>2325.37</v>
      </c>
      <c r="O465" s="3">
        <f>K465*L465*(1-M465)</f>
        <v/>
      </c>
      <c r="P465" s="3">
        <f>O465-N465</f>
        <v/>
      </c>
      <c r="Q465" s="5">
        <f>IFERROR(P465/O465,0)</f>
        <v/>
      </c>
      <c r="R465" s="2">
        <f>TEXT(DATEVALUE(B465),"mmm")</f>
        <v/>
      </c>
      <c r="S465" s="2">
        <f>TEXT(DATEVALUE(B465),"yyyy-mm")</f>
        <v/>
      </c>
    </row>
    <row r="466">
      <c r="A466" s="2" t="inlineStr">
        <is>
          <t>O002190</t>
        </is>
      </c>
      <c r="B466" s="2" t="inlineStr">
        <is>
          <t>2025-02-05</t>
        </is>
      </c>
      <c r="C466" s="2" t="inlineStr">
        <is>
          <t>C0553</t>
        </is>
      </c>
      <c r="D466" s="2" t="inlineStr">
        <is>
          <t>P0019</t>
        </is>
      </c>
      <c r="E466" s="2" t="inlineStr">
        <is>
          <t>Jacket</t>
        </is>
      </c>
      <c r="F466" s="2" t="inlineStr">
        <is>
          <t>Fashion</t>
        </is>
      </c>
      <c r="G466" s="2" t="inlineStr">
        <is>
          <t>East</t>
        </is>
      </c>
      <c r="H466" s="2" t="inlineStr">
        <is>
          <t>Odisha</t>
        </is>
      </c>
      <c r="I466" s="2" t="inlineStr">
        <is>
          <t>Bhubaneswar</t>
        </is>
      </c>
      <c r="J466" s="2" t="inlineStr">
        <is>
          <t>Store</t>
        </is>
      </c>
      <c r="K466" s="2" t="n">
        <v>1</v>
      </c>
      <c r="L466" s="3" t="n">
        <v>1038.07</v>
      </c>
      <c r="M466" s="4" t="n">
        <v>0.15</v>
      </c>
      <c r="N466" s="3" t="n">
        <v>669.8200000000001</v>
      </c>
      <c r="O466" s="3">
        <f>K466*L466*(1-M466)</f>
        <v/>
      </c>
      <c r="P466" s="3">
        <f>O466-N466</f>
        <v/>
      </c>
      <c r="Q466" s="5">
        <f>IFERROR(P466/O466,0)</f>
        <v/>
      </c>
      <c r="R466" s="2">
        <f>TEXT(DATEVALUE(B466),"mmm")</f>
        <v/>
      </c>
      <c r="S466" s="2">
        <f>TEXT(DATEVALUE(B466),"yyyy-mm")</f>
        <v/>
      </c>
    </row>
    <row r="467">
      <c r="A467" s="2" t="inlineStr">
        <is>
          <t>O004527</t>
        </is>
      </c>
      <c r="B467" s="2" t="inlineStr">
        <is>
          <t>2025-02-05</t>
        </is>
      </c>
      <c r="C467" s="2" t="inlineStr">
        <is>
          <t>C0768</t>
        </is>
      </c>
      <c r="D467" s="2" t="inlineStr">
        <is>
          <t>P0016</t>
        </is>
      </c>
      <c r="E467" s="2" t="inlineStr">
        <is>
          <t>Casual Shirt</t>
        </is>
      </c>
      <c r="F467" s="2" t="inlineStr">
        <is>
          <t>Fashion</t>
        </is>
      </c>
      <c r="G467" s="2" t="inlineStr">
        <is>
          <t>North</t>
        </is>
      </c>
      <c r="H467" s="2" t="inlineStr">
        <is>
          <t>Punjab</t>
        </is>
      </c>
      <c r="I467" s="2" t="inlineStr">
        <is>
          <t>Ludhiana</t>
        </is>
      </c>
      <c r="J467" s="2" t="inlineStr">
        <is>
          <t>Store</t>
        </is>
      </c>
      <c r="K467" s="2" t="n">
        <v>1</v>
      </c>
      <c r="L467" s="3" t="n">
        <v>1233.97</v>
      </c>
      <c r="M467" s="4" t="n">
        <v>0.05</v>
      </c>
      <c r="N467" s="3" t="n">
        <v>885.47</v>
      </c>
      <c r="O467" s="3">
        <f>K467*L467*(1-M467)</f>
        <v/>
      </c>
      <c r="P467" s="3">
        <f>O467-N467</f>
        <v/>
      </c>
      <c r="Q467" s="5">
        <f>IFERROR(P467/O467,0)</f>
        <v/>
      </c>
      <c r="R467" s="2">
        <f>TEXT(DATEVALUE(B467),"mmm")</f>
        <v/>
      </c>
      <c r="S467" s="2">
        <f>TEXT(DATEVALUE(B467),"yyyy-mm")</f>
        <v/>
      </c>
    </row>
    <row r="468">
      <c r="A468" s="2" t="inlineStr">
        <is>
          <t>O001286</t>
        </is>
      </c>
      <c r="B468" s="2" t="inlineStr">
        <is>
          <t>2025-02-05</t>
        </is>
      </c>
      <c r="C468" s="2" t="inlineStr">
        <is>
          <t>C0314</t>
        </is>
      </c>
      <c r="D468" s="2" t="inlineStr">
        <is>
          <t>P0011</t>
        </is>
      </c>
      <c r="E468" s="2" t="inlineStr">
        <is>
          <t>Cookware Set</t>
        </is>
      </c>
      <c r="F468" s="2" t="inlineStr">
        <is>
          <t>Home &amp; Kitchen</t>
        </is>
      </c>
      <c r="G468" s="2" t="inlineStr">
        <is>
          <t>West</t>
        </is>
      </c>
      <c r="H468" s="2" t="inlineStr">
        <is>
          <t>Gujarat</t>
        </is>
      </c>
      <c r="I468" s="2" t="inlineStr">
        <is>
          <t>Surat</t>
        </is>
      </c>
      <c r="J468" s="2" t="inlineStr">
        <is>
          <t>Store</t>
        </is>
      </c>
      <c r="K468" s="2" t="n">
        <v>1</v>
      </c>
      <c r="L468" s="3" t="n">
        <v>674</v>
      </c>
      <c r="M468" s="4" t="n">
        <v>0.2</v>
      </c>
      <c r="N468" s="3" t="n">
        <v>465.64</v>
      </c>
      <c r="O468" s="3">
        <f>K468*L468*(1-M468)</f>
        <v/>
      </c>
      <c r="P468" s="3">
        <f>O468-N468</f>
        <v/>
      </c>
      <c r="Q468" s="5">
        <f>IFERROR(P468/O468,0)</f>
        <v/>
      </c>
      <c r="R468" s="2">
        <f>TEXT(DATEVALUE(B468),"mmm")</f>
        <v/>
      </c>
      <c r="S468" s="2">
        <f>TEXT(DATEVALUE(B468),"yyyy-mm")</f>
        <v/>
      </c>
    </row>
    <row r="469">
      <c r="A469" s="2" t="inlineStr">
        <is>
          <t>O000963</t>
        </is>
      </c>
      <c r="B469" s="2" t="inlineStr">
        <is>
          <t>2025-02-05</t>
        </is>
      </c>
      <c r="C469" s="2" t="inlineStr">
        <is>
          <t>C0730</t>
        </is>
      </c>
      <c r="D469" s="2" t="inlineStr">
        <is>
          <t>P0032</t>
        </is>
      </c>
      <c r="E469" s="2" t="inlineStr">
        <is>
          <t>Football</t>
        </is>
      </c>
      <c r="F469" s="2" t="inlineStr">
        <is>
          <t>Sports</t>
        </is>
      </c>
      <c r="G469" s="2" t="inlineStr">
        <is>
          <t>West</t>
        </is>
      </c>
      <c r="H469" s="2" t="inlineStr">
        <is>
          <t>Goa</t>
        </is>
      </c>
      <c r="I469" s="2" t="inlineStr">
        <is>
          <t>Margao</t>
        </is>
      </c>
      <c r="J469" s="2" t="inlineStr">
        <is>
          <t>Store</t>
        </is>
      </c>
      <c r="K469" s="2" t="n">
        <v>1</v>
      </c>
      <c r="L469" s="3" t="n">
        <v>825.97</v>
      </c>
      <c r="M469" s="4" t="n">
        <v>0.05</v>
      </c>
      <c r="N469" s="3" t="n">
        <v>525.0599999999999</v>
      </c>
      <c r="O469" s="3">
        <f>K469*L469*(1-M469)</f>
        <v/>
      </c>
      <c r="P469" s="3">
        <f>O469-N469</f>
        <v/>
      </c>
      <c r="Q469" s="5">
        <f>IFERROR(P469/O469,0)</f>
        <v/>
      </c>
      <c r="R469" s="2">
        <f>TEXT(DATEVALUE(B469),"mmm")</f>
        <v/>
      </c>
      <c r="S469" s="2">
        <f>TEXT(DATEVALUE(B469),"yyyy-mm")</f>
        <v/>
      </c>
    </row>
    <row r="470">
      <c r="A470" s="2" t="inlineStr">
        <is>
          <t>O000546</t>
        </is>
      </c>
      <c r="B470" s="2" t="inlineStr">
        <is>
          <t>2025-02-05</t>
        </is>
      </c>
      <c r="C470" s="2" t="inlineStr">
        <is>
          <t>C0039</t>
        </is>
      </c>
      <c r="D470" s="2" t="inlineStr">
        <is>
          <t>P0029</t>
        </is>
      </c>
      <c r="E470" s="2" t="inlineStr">
        <is>
          <t>Yoga Mat</t>
        </is>
      </c>
      <c r="F470" s="2" t="inlineStr">
        <is>
          <t>Sports</t>
        </is>
      </c>
      <c r="G470" s="2" t="inlineStr">
        <is>
          <t>West</t>
        </is>
      </c>
      <c r="H470" s="2" t="inlineStr">
        <is>
          <t>Maharashtra</t>
        </is>
      </c>
      <c r="I470" s="2" t="inlineStr">
        <is>
          <t>Thane</t>
        </is>
      </c>
      <c r="J470" s="2" t="inlineStr">
        <is>
          <t>Online</t>
        </is>
      </c>
      <c r="K470" s="2" t="n">
        <v>2</v>
      </c>
      <c r="L470" s="3" t="n">
        <v>2376.41</v>
      </c>
      <c r="M470" s="4" t="n">
        <v>0.25</v>
      </c>
      <c r="N470" s="3" t="n">
        <v>2552.71</v>
      </c>
      <c r="O470" s="3">
        <f>K470*L470*(1-M470)</f>
        <v/>
      </c>
      <c r="P470" s="3">
        <f>O470-N470</f>
        <v/>
      </c>
      <c r="Q470" s="5">
        <f>IFERROR(P470/O470,0)</f>
        <v/>
      </c>
      <c r="R470" s="2">
        <f>TEXT(DATEVALUE(B470),"mmm")</f>
        <v/>
      </c>
      <c r="S470" s="2">
        <f>TEXT(DATEVALUE(B470),"yyyy-mm")</f>
        <v/>
      </c>
    </row>
    <row r="471">
      <c r="A471" s="2" t="inlineStr">
        <is>
          <t>O000382</t>
        </is>
      </c>
      <c r="B471" s="2" t="inlineStr">
        <is>
          <t>2025-02-05</t>
        </is>
      </c>
      <c r="C471" s="2" t="inlineStr">
        <is>
          <t>C0143</t>
        </is>
      </c>
      <c r="D471" s="2" t="inlineStr">
        <is>
          <t>P0006</t>
        </is>
      </c>
      <c r="E471" s="2" t="inlineStr">
        <is>
          <t>Mechanical Keyboard</t>
        </is>
      </c>
      <c r="F471" s="2" t="inlineStr">
        <is>
          <t>Electronics</t>
        </is>
      </c>
      <c r="G471" s="2" t="inlineStr">
        <is>
          <t>West</t>
        </is>
      </c>
      <c r="H471" s="2" t="inlineStr">
        <is>
          <t>Maharashtra</t>
        </is>
      </c>
      <c r="I471" s="2" t="inlineStr">
        <is>
          <t>Thane</t>
        </is>
      </c>
      <c r="J471" s="2" t="inlineStr">
        <is>
          <t>Online</t>
        </is>
      </c>
      <c r="K471" s="2" t="n">
        <v>2</v>
      </c>
      <c r="L471" s="3" t="n">
        <v>2781.28</v>
      </c>
      <c r="M471" s="4" t="n">
        <v>0.05</v>
      </c>
      <c r="N471" s="3" t="n">
        <v>3012.07</v>
      </c>
      <c r="O471" s="3">
        <f>K471*L471*(1-M471)</f>
        <v/>
      </c>
      <c r="P471" s="3">
        <f>O471-N471</f>
        <v/>
      </c>
      <c r="Q471" s="5">
        <f>IFERROR(P471/O471,0)</f>
        <v/>
      </c>
      <c r="R471" s="2">
        <f>TEXT(DATEVALUE(B471),"mmm")</f>
        <v/>
      </c>
      <c r="S471" s="2">
        <f>TEXT(DATEVALUE(B471),"yyyy-mm")</f>
        <v/>
      </c>
    </row>
    <row r="472">
      <c r="A472" s="2" t="inlineStr">
        <is>
          <t>O000151</t>
        </is>
      </c>
      <c r="B472" s="2" t="inlineStr">
        <is>
          <t>2025-02-05</t>
        </is>
      </c>
      <c r="C472" s="2" t="inlineStr">
        <is>
          <t>C0391</t>
        </is>
      </c>
      <c r="D472" s="2" t="inlineStr">
        <is>
          <t>P0017</t>
        </is>
      </c>
      <c r="E472" s="2" t="inlineStr">
        <is>
          <t>Jeans</t>
        </is>
      </c>
      <c r="F472" s="2" t="inlineStr">
        <is>
          <t>Fashion</t>
        </is>
      </c>
      <c r="G472" s="2" t="inlineStr">
        <is>
          <t>West</t>
        </is>
      </c>
      <c r="H472" s="2" t="inlineStr">
        <is>
          <t>Maharashtra</t>
        </is>
      </c>
      <c r="I472" s="2" t="inlineStr">
        <is>
          <t>Pune</t>
        </is>
      </c>
      <c r="J472" s="2" t="inlineStr">
        <is>
          <t>Online</t>
        </is>
      </c>
      <c r="K472" s="2" t="n">
        <v>3</v>
      </c>
      <c r="L472" s="3" t="n">
        <v>1510.86</v>
      </c>
      <c r="M472" s="4" t="n">
        <v>0</v>
      </c>
      <c r="N472" s="3" t="n">
        <v>3156</v>
      </c>
      <c r="O472" s="3">
        <f>K472*L472*(1-M472)</f>
        <v/>
      </c>
      <c r="P472" s="3">
        <f>O472-N472</f>
        <v/>
      </c>
      <c r="Q472" s="5">
        <f>IFERROR(P472/O472,0)</f>
        <v/>
      </c>
      <c r="R472" s="2">
        <f>TEXT(DATEVALUE(B472),"mmm")</f>
        <v/>
      </c>
      <c r="S472" s="2">
        <f>TEXT(DATEVALUE(B472),"yyyy-mm")</f>
        <v/>
      </c>
    </row>
    <row r="473">
      <c r="A473" s="2" t="inlineStr">
        <is>
          <t>O001397</t>
        </is>
      </c>
      <c r="B473" s="2" t="inlineStr">
        <is>
          <t>2025-02-05</t>
        </is>
      </c>
      <c r="C473" s="2" t="inlineStr">
        <is>
          <t>C0234</t>
        </is>
      </c>
      <c r="D473" s="2" t="inlineStr">
        <is>
          <t>P0007</t>
        </is>
      </c>
      <c r="E473" s="2" t="inlineStr">
        <is>
          <t>Wireless Mouse</t>
        </is>
      </c>
      <c r="F473" s="2" t="inlineStr">
        <is>
          <t>Electronics</t>
        </is>
      </c>
      <c r="G473" s="2" t="inlineStr">
        <is>
          <t>West</t>
        </is>
      </c>
      <c r="H473" s="2" t="inlineStr">
        <is>
          <t>Maharashtra</t>
        </is>
      </c>
      <c r="I473" s="2" t="inlineStr">
        <is>
          <t>Mumbai</t>
        </is>
      </c>
      <c r="J473" s="2" t="inlineStr">
        <is>
          <t>Online</t>
        </is>
      </c>
      <c r="K473" s="2" t="n">
        <v>1</v>
      </c>
      <c r="L473" s="3" t="n">
        <v>962.45</v>
      </c>
      <c r="M473" s="4" t="n">
        <v>0.15</v>
      </c>
      <c r="N473" s="3" t="n">
        <v>608.6</v>
      </c>
      <c r="O473" s="3">
        <f>K473*L473*(1-M473)</f>
        <v/>
      </c>
      <c r="P473" s="3">
        <f>O473-N473</f>
        <v/>
      </c>
      <c r="Q473" s="5">
        <f>IFERROR(P473/O473,0)</f>
        <v/>
      </c>
      <c r="R473" s="2">
        <f>TEXT(DATEVALUE(B473),"mmm")</f>
        <v/>
      </c>
      <c r="S473" s="2">
        <f>TEXT(DATEVALUE(B473),"yyyy-mm")</f>
        <v/>
      </c>
    </row>
    <row r="474">
      <c r="A474" s="2" t="inlineStr">
        <is>
          <t>O004467</t>
        </is>
      </c>
      <c r="B474" s="2" t="inlineStr">
        <is>
          <t>2025-02-06</t>
        </is>
      </c>
      <c r="C474" s="2" t="inlineStr">
        <is>
          <t>C0255</t>
        </is>
      </c>
      <c r="D474" s="2" t="inlineStr">
        <is>
          <t>P0034</t>
        </is>
      </c>
      <c r="E474" s="2" t="inlineStr">
        <is>
          <t>Gym Gloves</t>
        </is>
      </c>
      <c r="F474" s="2" t="inlineStr">
        <is>
          <t>Sports</t>
        </is>
      </c>
      <c r="G474" s="2" t="inlineStr">
        <is>
          <t>West</t>
        </is>
      </c>
      <c r="H474" s="2" t="inlineStr">
        <is>
          <t>Maharashtra</t>
        </is>
      </c>
      <c r="I474" s="2" t="inlineStr">
        <is>
          <t>Mumbai</t>
        </is>
      </c>
      <c r="J474" s="2" t="inlineStr">
        <is>
          <t>Store</t>
        </is>
      </c>
      <c r="K474" s="2" t="n">
        <v>3</v>
      </c>
      <c r="L474" s="3" t="n">
        <v>614.91</v>
      </c>
      <c r="M474" s="4" t="n">
        <v>0</v>
      </c>
      <c r="N474" s="3" t="n">
        <v>1234.87</v>
      </c>
      <c r="O474" s="3">
        <f>K474*L474*(1-M474)</f>
        <v/>
      </c>
      <c r="P474" s="3">
        <f>O474-N474</f>
        <v/>
      </c>
      <c r="Q474" s="5">
        <f>IFERROR(P474/O474,0)</f>
        <v/>
      </c>
      <c r="R474" s="2">
        <f>TEXT(DATEVALUE(B474),"mmm")</f>
        <v/>
      </c>
      <c r="S474" s="2">
        <f>TEXT(DATEVALUE(B474),"yyyy-mm")</f>
        <v/>
      </c>
    </row>
    <row r="475">
      <c r="A475" s="2" t="inlineStr">
        <is>
          <t>O004451</t>
        </is>
      </c>
      <c r="B475" s="2" t="inlineStr">
        <is>
          <t>2025-02-06</t>
        </is>
      </c>
      <c r="C475" s="2" t="inlineStr">
        <is>
          <t>C0216</t>
        </is>
      </c>
      <c r="D475" s="2" t="inlineStr">
        <is>
          <t>P0004</t>
        </is>
      </c>
      <c r="E475" s="2" t="inlineStr">
        <is>
          <t>USB-C Hub</t>
        </is>
      </c>
      <c r="F475" s="2" t="inlineStr">
        <is>
          <t>Electronics</t>
        </is>
      </c>
      <c r="G475" s="2" t="inlineStr">
        <is>
          <t>West</t>
        </is>
      </c>
      <c r="H475" s="2" t="inlineStr">
        <is>
          <t>Maharashtra</t>
        </is>
      </c>
      <c r="I475" s="2" t="inlineStr">
        <is>
          <t>Nagpur</t>
        </is>
      </c>
      <c r="J475" s="2" t="inlineStr">
        <is>
          <t>Store</t>
        </is>
      </c>
      <c r="K475" s="2" t="n">
        <v>1</v>
      </c>
      <c r="L475" s="3" t="n">
        <v>1235.69</v>
      </c>
      <c r="M475" s="4" t="n">
        <v>0.2</v>
      </c>
      <c r="N475" s="3" t="n">
        <v>934.55</v>
      </c>
      <c r="O475" s="3">
        <f>K475*L475*(1-M475)</f>
        <v/>
      </c>
      <c r="P475" s="3">
        <f>O475-N475</f>
        <v/>
      </c>
      <c r="Q475" s="5">
        <f>IFERROR(P475/O475,0)</f>
        <v/>
      </c>
      <c r="R475" s="2">
        <f>TEXT(DATEVALUE(B475),"mmm")</f>
        <v/>
      </c>
      <c r="S475" s="2">
        <f>TEXT(DATEVALUE(B475),"yyyy-mm")</f>
        <v/>
      </c>
    </row>
    <row r="476">
      <c r="A476" s="2" t="inlineStr">
        <is>
          <t>O003582</t>
        </is>
      </c>
      <c r="B476" s="2" t="inlineStr">
        <is>
          <t>2025-02-06</t>
        </is>
      </c>
      <c r="C476" s="2" t="inlineStr">
        <is>
          <t>C0268</t>
        </is>
      </c>
      <c r="D476" s="2" t="inlineStr">
        <is>
          <t>P0004</t>
        </is>
      </c>
      <c r="E476" s="2" t="inlineStr">
        <is>
          <t>USB-C Hub</t>
        </is>
      </c>
      <c r="F476" s="2" t="inlineStr">
        <is>
          <t>Electronics</t>
        </is>
      </c>
      <c r="G476" s="2" t="inlineStr">
        <is>
          <t>West</t>
        </is>
      </c>
      <c r="H476" s="2" t="inlineStr">
        <is>
          <t>Gujarat</t>
        </is>
      </c>
      <c r="I476" s="2" t="inlineStr">
        <is>
          <t>Vadodara</t>
        </is>
      </c>
      <c r="J476" s="2" t="inlineStr">
        <is>
          <t>Store</t>
        </is>
      </c>
      <c r="K476" s="2" t="n">
        <v>1</v>
      </c>
      <c r="L476" s="3" t="n">
        <v>1311.16</v>
      </c>
      <c r="M476" s="4" t="n">
        <v>0</v>
      </c>
      <c r="N476" s="3" t="n">
        <v>906.1900000000001</v>
      </c>
      <c r="O476" s="3">
        <f>K476*L476*(1-M476)</f>
        <v/>
      </c>
      <c r="P476" s="3">
        <f>O476-N476</f>
        <v/>
      </c>
      <c r="Q476" s="5">
        <f>IFERROR(P476/O476,0)</f>
        <v/>
      </c>
      <c r="R476" s="2">
        <f>TEXT(DATEVALUE(B476),"mmm")</f>
        <v/>
      </c>
      <c r="S476" s="2">
        <f>TEXT(DATEVALUE(B476),"yyyy-mm")</f>
        <v/>
      </c>
    </row>
    <row r="477">
      <c r="A477" s="2" t="inlineStr">
        <is>
          <t>O003580</t>
        </is>
      </c>
      <c r="B477" s="2" t="inlineStr">
        <is>
          <t>2025-02-06</t>
        </is>
      </c>
      <c r="C477" s="2" t="inlineStr">
        <is>
          <t>C0273</t>
        </is>
      </c>
      <c r="D477" s="2" t="inlineStr">
        <is>
          <t>P0033</t>
        </is>
      </c>
      <c r="E477" s="2" t="inlineStr">
        <is>
          <t>Resistance Bands</t>
        </is>
      </c>
      <c r="F477" s="2" t="inlineStr">
        <is>
          <t>Sports</t>
        </is>
      </c>
      <c r="G477" s="2" t="inlineStr">
        <is>
          <t>North</t>
        </is>
      </c>
      <c r="H477" s="2" t="inlineStr">
        <is>
          <t>Haryana</t>
        </is>
      </c>
      <c r="I477" s="2" t="inlineStr">
        <is>
          <t>Gurugram</t>
        </is>
      </c>
      <c r="J477" s="2" t="inlineStr">
        <is>
          <t>Store</t>
        </is>
      </c>
      <c r="K477" s="2" t="n">
        <v>2</v>
      </c>
      <c r="L477" s="3" t="n">
        <v>1174.13</v>
      </c>
      <c r="M477" s="4" t="n">
        <v>0</v>
      </c>
      <c r="N477" s="3" t="n">
        <v>1514.9</v>
      </c>
      <c r="O477" s="3">
        <f>K477*L477*(1-M477)</f>
        <v/>
      </c>
      <c r="P477" s="3">
        <f>O477-N477</f>
        <v/>
      </c>
      <c r="Q477" s="5">
        <f>IFERROR(P477/O477,0)</f>
        <v/>
      </c>
      <c r="R477" s="2">
        <f>TEXT(DATEVALUE(B477),"mmm")</f>
        <v/>
      </c>
      <c r="S477" s="2">
        <f>TEXT(DATEVALUE(B477),"yyyy-mm")</f>
        <v/>
      </c>
    </row>
    <row r="478">
      <c r="A478" s="2" t="inlineStr">
        <is>
          <t>O003421</t>
        </is>
      </c>
      <c r="B478" s="2" t="inlineStr">
        <is>
          <t>2025-02-06</t>
        </is>
      </c>
      <c r="C478" s="2" t="inlineStr">
        <is>
          <t>C0065</t>
        </is>
      </c>
      <c r="D478" s="2" t="inlineStr">
        <is>
          <t>P0002</t>
        </is>
      </c>
      <c r="E478" s="2" t="inlineStr">
        <is>
          <t>Bluetooth Speaker</t>
        </is>
      </c>
      <c r="F478" s="2" t="inlineStr">
        <is>
          <t>Electronics</t>
        </is>
      </c>
      <c r="G478" s="2" t="inlineStr">
        <is>
          <t>West</t>
        </is>
      </c>
      <c r="H478" s="2" t="inlineStr">
        <is>
          <t>Goa</t>
        </is>
      </c>
      <c r="I478" s="2" t="inlineStr">
        <is>
          <t>Margao</t>
        </is>
      </c>
      <c r="J478" s="2" t="inlineStr">
        <is>
          <t>Online</t>
        </is>
      </c>
      <c r="K478" s="2" t="n">
        <v>2</v>
      </c>
      <c r="L478" s="3" t="n">
        <v>1384.34</v>
      </c>
      <c r="M478" s="4" t="n">
        <v>0</v>
      </c>
      <c r="N478" s="3" t="n">
        <v>1654.94</v>
      </c>
      <c r="O478" s="3">
        <f>K478*L478*(1-M478)</f>
        <v/>
      </c>
      <c r="P478" s="3">
        <f>O478-N478</f>
        <v/>
      </c>
      <c r="Q478" s="5">
        <f>IFERROR(P478/O478,0)</f>
        <v/>
      </c>
      <c r="R478" s="2">
        <f>TEXT(DATEVALUE(B478),"mmm")</f>
        <v/>
      </c>
      <c r="S478" s="2">
        <f>TEXT(DATEVALUE(B478),"yyyy-mm")</f>
        <v/>
      </c>
    </row>
    <row r="479">
      <c r="A479" s="2" t="inlineStr">
        <is>
          <t>O003258</t>
        </is>
      </c>
      <c r="B479" s="2" t="inlineStr">
        <is>
          <t>2025-02-06</t>
        </is>
      </c>
      <c r="C479" s="2" t="inlineStr">
        <is>
          <t>C0394</t>
        </is>
      </c>
      <c r="D479" s="2" t="inlineStr">
        <is>
          <t>P0021</t>
        </is>
      </c>
      <c r="E479" s="2" t="inlineStr">
        <is>
          <t>Wallet</t>
        </is>
      </c>
      <c r="F479" s="2" t="inlineStr">
        <is>
          <t>Fashion</t>
        </is>
      </c>
      <c r="G479" s="2" t="inlineStr">
        <is>
          <t>North</t>
        </is>
      </c>
      <c r="H479" s="2" t="inlineStr">
        <is>
          <t>Punjab</t>
        </is>
      </c>
      <c r="I479" s="2" t="inlineStr">
        <is>
          <t>Ludhiana</t>
        </is>
      </c>
      <c r="J479" s="2" t="inlineStr">
        <is>
          <t>Store</t>
        </is>
      </c>
      <c r="K479" s="2" t="n">
        <v>3</v>
      </c>
      <c r="L479" s="3" t="n">
        <v>1987.46</v>
      </c>
      <c r="M479" s="4" t="n">
        <v>0</v>
      </c>
      <c r="N479" s="3" t="n">
        <v>3593.17</v>
      </c>
      <c r="O479" s="3">
        <f>K479*L479*(1-M479)</f>
        <v/>
      </c>
      <c r="P479" s="3">
        <f>O479-N479</f>
        <v/>
      </c>
      <c r="Q479" s="5">
        <f>IFERROR(P479/O479,0)</f>
        <v/>
      </c>
      <c r="R479" s="2">
        <f>TEXT(DATEVALUE(B479),"mmm")</f>
        <v/>
      </c>
      <c r="S479" s="2">
        <f>TEXT(DATEVALUE(B479),"yyyy-mm")</f>
        <v/>
      </c>
    </row>
    <row r="480">
      <c r="A480" s="2" t="inlineStr">
        <is>
          <t>O001692</t>
        </is>
      </c>
      <c r="B480" s="2" t="inlineStr">
        <is>
          <t>2025-02-06</t>
        </is>
      </c>
      <c r="C480" s="2" t="inlineStr">
        <is>
          <t>C0609</t>
        </is>
      </c>
      <c r="D480" s="2" t="inlineStr">
        <is>
          <t>P0018</t>
        </is>
      </c>
      <c r="E480" s="2" t="inlineStr">
        <is>
          <t>Backpack</t>
        </is>
      </c>
      <c r="F480" s="2" t="inlineStr">
        <is>
          <t>Fashion</t>
        </is>
      </c>
      <c r="G480" s="2" t="inlineStr">
        <is>
          <t>North</t>
        </is>
      </c>
      <c r="H480" s="2" t="inlineStr">
        <is>
          <t>Uttar Pradesh</t>
        </is>
      </c>
      <c r="I480" s="2" t="inlineStr">
        <is>
          <t>Kanpur</t>
        </is>
      </c>
      <c r="J480" s="2" t="inlineStr">
        <is>
          <t>Store</t>
        </is>
      </c>
      <c r="K480" s="2" t="n">
        <v>4</v>
      </c>
      <c r="L480" s="3" t="n">
        <v>1816.71</v>
      </c>
      <c r="M480" s="4" t="n">
        <v>0.05</v>
      </c>
      <c r="N480" s="3" t="n">
        <v>5532.21</v>
      </c>
      <c r="O480" s="3">
        <f>K480*L480*(1-M480)</f>
        <v/>
      </c>
      <c r="P480" s="3">
        <f>O480-N480</f>
        <v/>
      </c>
      <c r="Q480" s="5">
        <f>IFERROR(P480/O480,0)</f>
        <v/>
      </c>
      <c r="R480" s="2">
        <f>TEXT(DATEVALUE(B480),"mmm")</f>
        <v/>
      </c>
      <c r="S480" s="2">
        <f>TEXT(DATEVALUE(B480),"yyyy-mm")</f>
        <v/>
      </c>
    </row>
    <row r="481">
      <c r="A481" s="2" t="inlineStr">
        <is>
          <t>O001609</t>
        </is>
      </c>
      <c r="B481" s="2" t="inlineStr">
        <is>
          <t>2025-02-06</t>
        </is>
      </c>
      <c r="C481" s="2" t="inlineStr">
        <is>
          <t>C0028</t>
        </is>
      </c>
      <c r="D481" s="2" t="inlineStr">
        <is>
          <t>P0028</t>
        </is>
      </c>
      <c r="E481" s="2" t="inlineStr">
        <is>
          <t>Trimmer</t>
        </is>
      </c>
      <c r="F481" s="2" t="inlineStr">
        <is>
          <t>Beauty</t>
        </is>
      </c>
      <c r="G481" s="2" t="inlineStr">
        <is>
          <t>East</t>
        </is>
      </c>
      <c r="H481" s="2" t="inlineStr">
        <is>
          <t>Odisha</t>
        </is>
      </c>
      <c r="I481" s="2" t="inlineStr">
        <is>
          <t>Cuttack</t>
        </is>
      </c>
      <c r="J481" s="2" t="inlineStr">
        <is>
          <t>Online</t>
        </is>
      </c>
      <c r="K481" s="2" t="n">
        <v>1</v>
      </c>
      <c r="L481" s="3" t="n">
        <v>446.26</v>
      </c>
      <c r="M481" s="4" t="n">
        <v>0.05</v>
      </c>
      <c r="N481" s="3" t="n">
        <v>257.02</v>
      </c>
      <c r="O481" s="3">
        <f>K481*L481*(1-M481)</f>
        <v/>
      </c>
      <c r="P481" s="3">
        <f>O481-N481</f>
        <v/>
      </c>
      <c r="Q481" s="5">
        <f>IFERROR(P481/O481,0)</f>
        <v/>
      </c>
      <c r="R481" s="2">
        <f>TEXT(DATEVALUE(B481),"mmm")</f>
        <v/>
      </c>
      <c r="S481" s="2">
        <f>TEXT(DATEVALUE(B481),"yyyy-mm")</f>
        <v/>
      </c>
    </row>
    <row r="482">
      <c r="A482" s="2" t="inlineStr">
        <is>
          <t>O000552</t>
        </is>
      </c>
      <c r="B482" s="2" t="inlineStr">
        <is>
          <t>2025-02-06</t>
        </is>
      </c>
      <c r="C482" s="2" t="inlineStr">
        <is>
          <t>C0510</t>
        </is>
      </c>
      <c r="D482" s="2" t="inlineStr">
        <is>
          <t>P0010</t>
        </is>
      </c>
      <c r="E482" s="2" t="inlineStr">
        <is>
          <t>Mixer Grinder</t>
        </is>
      </c>
      <c r="F482" s="2" t="inlineStr">
        <is>
          <t>Home &amp; Kitchen</t>
        </is>
      </c>
      <c r="G482" s="2" t="inlineStr">
        <is>
          <t>East</t>
        </is>
      </c>
      <c r="H482" s="2" t="inlineStr">
        <is>
          <t>West Bengal</t>
        </is>
      </c>
      <c r="I482" s="2" t="inlineStr">
        <is>
          <t>Durgapur</t>
        </is>
      </c>
      <c r="J482" s="2" t="inlineStr">
        <is>
          <t>Online</t>
        </is>
      </c>
      <c r="K482" s="2" t="n">
        <v>1</v>
      </c>
      <c r="L482" s="3" t="n">
        <v>1578.41</v>
      </c>
      <c r="M482" s="4" t="n">
        <v>0.05</v>
      </c>
      <c r="N482" s="3" t="n">
        <v>1014.83</v>
      </c>
      <c r="O482" s="3">
        <f>K482*L482*(1-M482)</f>
        <v/>
      </c>
      <c r="P482" s="3">
        <f>O482-N482</f>
        <v/>
      </c>
      <c r="Q482" s="5">
        <f>IFERROR(P482/O482,0)</f>
        <v/>
      </c>
      <c r="R482" s="2">
        <f>TEXT(DATEVALUE(B482),"mmm")</f>
        <v/>
      </c>
      <c r="S482" s="2">
        <f>TEXT(DATEVALUE(B482),"yyyy-mm")</f>
        <v/>
      </c>
    </row>
    <row r="483">
      <c r="A483" s="2" t="inlineStr">
        <is>
          <t>O000338</t>
        </is>
      </c>
      <c r="B483" s="2" t="inlineStr">
        <is>
          <t>2025-02-06</t>
        </is>
      </c>
      <c r="C483" s="2" t="inlineStr">
        <is>
          <t>C0574</t>
        </is>
      </c>
      <c r="D483" s="2" t="inlineStr">
        <is>
          <t>P0007</t>
        </is>
      </c>
      <c r="E483" s="2" t="inlineStr">
        <is>
          <t>Wireless Mouse</t>
        </is>
      </c>
      <c r="F483" s="2" t="inlineStr">
        <is>
          <t>Electronics</t>
        </is>
      </c>
      <c r="G483" s="2" t="inlineStr">
        <is>
          <t>North</t>
        </is>
      </c>
      <c r="H483" s="2" t="inlineStr">
        <is>
          <t>Punjab</t>
        </is>
      </c>
      <c r="I483" s="2" t="inlineStr">
        <is>
          <t>Ludhiana</t>
        </is>
      </c>
      <c r="J483" s="2" t="inlineStr">
        <is>
          <t>Online</t>
        </is>
      </c>
      <c r="K483" s="2" t="n">
        <v>6</v>
      </c>
      <c r="L483" s="3" t="n">
        <v>953.46</v>
      </c>
      <c r="M483" s="4" t="n">
        <v>0.1</v>
      </c>
      <c r="N483" s="3" t="n">
        <v>3700.7</v>
      </c>
      <c r="O483" s="3">
        <f>K483*L483*(1-M483)</f>
        <v/>
      </c>
      <c r="P483" s="3">
        <f>O483-N483</f>
        <v/>
      </c>
      <c r="Q483" s="5">
        <f>IFERROR(P483/O483,0)</f>
        <v/>
      </c>
      <c r="R483" s="2">
        <f>TEXT(DATEVALUE(B483),"mmm")</f>
        <v/>
      </c>
      <c r="S483" s="2">
        <f>TEXT(DATEVALUE(B483),"yyyy-mm")</f>
        <v/>
      </c>
    </row>
    <row r="484">
      <c r="A484" s="2" t="inlineStr">
        <is>
          <t>O000268</t>
        </is>
      </c>
      <c r="B484" s="2" t="inlineStr">
        <is>
          <t>2025-02-06</t>
        </is>
      </c>
      <c r="C484" s="2" t="inlineStr">
        <is>
          <t>C0385</t>
        </is>
      </c>
      <c r="D484" s="2" t="inlineStr">
        <is>
          <t>P0034</t>
        </is>
      </c>
      <c r="E484" s="2" t="inlineStr">
        <is>
          <t>Gym Gloves</t>
        </is>
      </c>
      <c r="F484" s="2" t="inlineStr">
        <is>
          <t>Sports</t>
        </is>
      </c>
      <c r="G484" s="2" t="inlineStr">
        <is>
          <t>West</t>
        </is>
      </c>
      <c r="H484" s="2" t="inlineStr">
        <is>
          <t>Maharashtra</t>
        </is>
      </c>
      <c r="I484" s="2" t="inlineStr">
        <is>
          <t>Mumbai</t>
        </is>
      </c>
      <c r="J484" s="2" t="inlineStr">
        <is>
          <t>Online</t>
        </is>
      </c>
      <c r="K484" s="2" t="n">
        <v>1</v>
      </c>
      <c r="L484" s="3" t="n">
        <v>609.42</v>
      </c>
      <c r="M484" s="4" t="n">
        <v>0.2</v>
      </c>
      <c r="N484" s="3" t="n">
        <v>409.67</v>
      </c>
      <c r="O484" s="3">
        <f>K484*L484*(1-M484)</f>
        <v/>
      </c>
      <c r="P484" s="3">
        <f>O484-N484</f>
        <v/>
      </c>
      <c r="Q484" s="5">
        <f>IFERROR(P484/O484,0)</f>
        <v/>
      </c>
      <c r="R484" s="2">
        <f>TEXT(DATEVALUE(B484),"mmm")</f>
        <v/>
      </c>
      <c r="S484" s="2">
        <f>TEXT(DATEVALUE(B484),"yyyy-mm")</f>
        <v/>
      </c>
    </row>
    <row r="485">
      <c r="A485" s="2" t="inlineStr">
        <is>
          <t>O001893</t>
        </is>
      </c>
      <c r="B485" s="2" t="inlineStr">
        <is>
          <t>2025-02-06</t>
        </is>
      </c>
      <c r="C485" s="2" t="inlineStr">
        <is>
          <t>C0728</t>
        </is>
      </c>
      <c r="D485" s="2" t="inlineStr">
        <is>
          <t>P0017</t>
        </is>
      </c>
      <c r="E485" s="2" t="inlineStr">
        <is>
          <t>Jeans</t>
        </is>
      </c>
      <c r="F485" s="2" t="inlineStr">
        <is>
          <t>Fashion</t>
        </is>
      </c>
      <c r="G485" s="2" t="inlineStr">
        <is>
          <t>North</t>
        </is>
      </c>
      <c r="H485" s="2" t="inlineStr">
        <is>
          <t>Delhi</t>
        </is>
      </c>
      <c r="I485" s="2" t="inlineStr">
        <is>
          <t>New Delhi</t>
        </is>
      </c>
      <c r="J485" s="2" t="inlineStr">
        <is>
          <t>Store</t>
        </is>
      </c>
      <c r="K485" s="2" t="n">
        <v>2</v>
      </c>
      <c r="L485" s="3" t="n">
        <v>1519.92</v>
      </c>
      <c r="M485" s="4" t="n">
        <v>0.15</v>
      </c>
      <c r="N485" s="3" t="n">
        <v>1999.83</v>
      </c>
      <c r="O485" s="3">
        <f>K485*L485*(1-M485)</f>
        <v/>
      </c>
      <c r="P485" s="3">
        <f>O485-N485</f>
        <v/>
      </c>
      <c r="Q485" s="5">
        <f>IFERROR(P485/O485,0)</f>
        <v/>
      </c>
      <c r="R485" s="2">
        <f>TEXT(DATEVALUE(B485),"mmm")</f>
        <v/>
      </c>
      <c r="S485" s="2">
        <f>TEXT(DATEVALUE(B485),"yyyy-mm")</f>
        <v/>
      </c>
    </row>
    <row r="486">
      <c r="A486" s="2" t="inlineStr">
        <is>
          <t>O003103</t>
        </is>
      </c>
      <c r="B486" s="2" t="inlineStr">
        <is>
          <t>2025-02-07</t>
        </is>
      </c>
      <c r="C486" s="2" t="inlineStr">
        <is>
          <t>C0374</t>
        </is>
      </c>
      <c r="D486" s="2" t="inlineStr">
        <is>
          <t>P0035</t>
        </is>
      </c>
      <c r="E486" s="2" t="inlineStr">
        <is>
          <t>Skipping Rope</t>
        </is>
      </c>
      <c r="F486" s="2" t="inlineStr">
        <is>
          <t>Sports</t>
        </is>
      </c>
      <c r="G486" s="2" t="inlineStr">
        <is>
          <t>West</t>
        </is>
      </c>
      <c r="H486" s="2" t="inlineStr">
        <is>
          <t>Goa</t>
        </is>
      </c>
      <c r="I486" s="2" t="inlineStr">
        <is>
          <t>Panaji</t>
        </is>
      </c>
      <c r="J486" s="2" t="inlineStr">
        <is>
          <t>Online</t>
        </is>
      </c>
      <c r="K486" s="2" t="n">
        <v>1</v>
      </c>
      <c r="L486" s="3" t="n">
        <v>712.4400000000001</v>
      </c>
      <c r="M486" s="4" t="n">
        <v>0.15</v>
      </c>
      <c r="N486" s="3" t="n">
        <v>415.08</v>
      </c>
      <c r="O486" s="3">
        <f>K486*L486*(1-M486)</f>
        <v/>
      </c>
      <c r="P486" s="3">
        <f>O486-N486</f>
        <v/>
      </c>
      <c r="Q486" s="5">
        <f>IFERROR(P486/O486,0)</f>
        <v/>
      </c>
      <c r="R486" s="2">
        <f>TEXT(DATEVALUE(B486),"mmm")</f>
        <v/>
      </c>
      <c r="S486" s="2">
        <f>TEXT(DATEVALUE(B486),"yyyy-mm")</f>
        <v/>
      </c>
    </row>
    <row r="487">
      <c r="A487" s="2" t="inlineStr">
        <is>
          <t>O004817</t>
        </is>
      </c>
      <c r="B487" s="2" t="inlineStr">
        <is>
          <t>2025-02-07</t>
        </is>
      </c>
      <c r="C487" s="2" t="inlineStr">
        <is>
          <t>C0724</t>
        </is>
      </c>
      <c r="D487" s="2" t="inlineStr">
        <is>
          <t>P0009</t>
        </is>
      </c>
      <c r="E487" s="2" t="inlineStr">
        <is>
          <t>Electric Kettle</t>
        </is>
      </c>
      <c r="F487" s="2" t="inlineStr">
        <is>
          <t>Home &amp; Kitchen</t>
        </is>
      </c>
      <c r="G487" s="2" t="inlineStr">
        <is>
          <t>North</t>
        </is>
      </c>
      <c r="H487" s="2" t="inlineStr">
        <is>
          <t>Uttar Pradesh</t>
        </is>
      </c>
      <c r="I487" s="2" t="inlineStr">
        <is>
          <t>Varanasi</t>
        </is>
      </c>
      <c r="J487" s="2" t="inlineStr">
        <is>
          <t>Online</t>
        </is>
      </c>
      <c r="K487" s="2" t="n">
        <v>1</v>
      </c>
      <c r="L487" s="3" t="n">
        <v>2045.7</v>
      </c>
      <c r="M487" s="4" t="n">
        <v>0.05</v>
      </c>
      <c r="N487" s="3" t="n">
        <v>1106.09</v>
      </c>
      <c r="O487" s="3">
        <f>K487*L487*(1-M487)</f>
        <v/>
      </c>
      <c r="P487" s="3">
        <f>O487-N487</f>
        <v/>
      </c>
      <c r="Q487" s="5">
        <f>IFERROR(P487/O487,0)</f>
        <v/>
      </c>
      <c r="R487" s="2">
        <f>TEXT(DATEVALUE(B487),"mmm")</f>
        <v/>
      </c>
      <c r="S487" s="2">
        <f>TEXT(DATEVALUE(B487),"yyyy-mm")</f>
        <v/>
      </c>
    </row>
    <row r="488">
      <c r="A488" s="2" t="inlineStr">
        <is>
          <t>O004494</t>
        </is>
      </c>
      <c r="B488" s="2" t="inlineStr">
        <is>
          <t>2025-02-07</t>
        </is>
      </c>
      <c r="C488" s="2" t="inlineStr">
        <is>
          <t>C0393</t>
        </is>
      </c>
      <c r="D488" s="2" t="inlineStr">
        <is>
          <t>P0010</t>
        </is>
      </c>
      <c r="E488" s="2" t="inlineStr">
        <is>
          <t>Mixer Grinder</t>
        </is>
      </c>
      <c r="F488" s="2" t="inlineStr">
        <is>
          <t>Home &amp; Kitchen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Margao</t>
        </is>
      </c>
      <c r="J488" s="2" t="inlineStr">
        <is>
          <t>Store</t>
        </is>
      </c>
      <c r="K488" s="2" t="n">
        <v>2</v>
      </c>
      <c r="L488" s="3" t="n">
        <v>1697.06</v>
      </c>
      <c r="M488" s="4" t="n">
        <v>0.15</v>
      </c>
      <c r="N488" s="3" t="n">
        <v>2020.26</v>
      </c>
      <c r="O488" s="3">
        <f>K488*L488*(1-M488)</f>
        <v/>
      </c>
      <c r="P488" s="3">
        <f>O488-N488</f>
        <v/>
      </c>
      <c r="Q488" s="5">
        <f>IFERROR(P488/O488,0)</f>
        <v/>
      </c>
      <c r="R488" s="2">
        <f>TEXT(DATEVALUE(B488),"mmm")</f>
        <v/>
      </c>
      <c r="S488" s="2">
        <f>TEXT(DATEVALUE(B488),"yyyy-mm")</f>
        <v/>
      </c>
    </row>
    <row r="489">
      <c r="A489" s="2" t="inlineStr">
        <is>
          <t>O004430</t>
        </is>
      </c>
      <c r="B489" s="2" t="inlineStr">
        <is>
          <t>2025-02-07</t>
        </is>
      </c>
      <c r="C489" s="2" t="inlineStr">
        <is>
          <t>C0510</t>
        </is>
      </c>
      <c r="D489" s="2" t="inlineStr">
        <is>
          <t>P0008</t>
        </is>
      </c>
      <c r="E489" s="2" t="inlineStr">
        <is>
          <t>Air Fryer</t>
        </is>
      </c>
      <c r="F489" s="2" t="inlineStr">
        <is>
          <t>Home &amp; Kitchen</t>
        </is>
      </c>
      <c r="G489" s="2" t="inlineStr">
        <is>
          <t>South</t>
        </is>
      </c>
      <c r="H489" s="2" t="inlineStr">
        <is>
          <t>Karnataka</t>
        </is>
      </c>
      <c r="I489" s="2" t="inlineStr">
        <is>
          <t>Mysuru</t>
        </is>
      </c>
      <c r="J489" s="2" t="inlineStr">
        <is>
          <t>Store</t>
        </is>
      </c>
      <c r="K489" s="2" t="n">
        <v>2</v>
      </c>
      <c r="L489" s="3" t="n">
        <v>1084.92</v>
      </c>
      <c r="M489" s="4" t="n">
        <v>0</v>
      </c>
      <c r="N489" s="3" t="n">
        <v>1340.24</v>
      </c>
      <c r="O489" s="3">
        <f>K489*L489*(1-M489)</f>
        <v/>
      </c>
      <c r="P489" s="3">
        <f>O489-N489</f>
        <v/>
      </c>
      <c r="Q489" s="5">
        <f>IFERROR(P489/O489,0)</f>
        <v/>
      </c>
      <c r="R489" s="2">
        <f>TEXT(DATEVALUE(B489),"mmm")</f>
        <v/>
      </c>
      <c r="S489" s="2">
        <f>TEXT(DATEVALUE(B489),"yyyy-mm")</f>
        <v/>
      </c>
    </row>
    <row r="490">
      <c r="A490" s="2" t="inlineStr">
        <is>
          <t>O004137</t>
        </is>
      </c>
      <c r="B490" s="2" t="inlineStr">
        <is>
          <t>2025-02-07</t>
        </is>
      </c>
      <c r="C490" s="2" t="inlineStr">
        <is>
          <t>C0233</t>
        </is>
      </c>
      <c r="D490" s="2" t="inlineStr">
        <is>
          <t>P0029</t>
        </is>
      </c>
      <c r="E490" s="2" t="inlineStr">
        <is>
          <t>Yoga Mat</t>
        </is>
      </c>
      <c r="F490" s="2" t="inlineStr">
        <is>
          <t>Sports</t>
        </is>
      </c>
      <c r="G490" s="2" t="inlineStr">
        <is>
          <t>West</t>
        </is>
      </c>
      <c r="H490" s="2" t="inlineStr">
        <is>
          <t>Gujarat</t>
        </is>
      </c>
      <c r="I490" s="2" t="inlineStr">
        <is>
          <t>Surat</t>
        </is>
      </c>
      <c r="J490" s="2" t="inlineStr">
        <is>
          <t>Online</t>
        </is>
      </c>
      <c r="K490" s="2" t="n">
        <v>1</v>
      </c>
      <c r="L490" s="3" t="n">
        <v>2435.83</v>
      </c>
      <c r="M490" s="4" t="n">
        <v>0.05</v>
      </c>
      <c r="N490" s="3" t="n">
        <v>1319.2</v>
      </c>
      <c r="O490" s="3">
        <f>K490*L490*(1-M490)</f>
        <v/>
      </c>
      <c r="P490" s="3">
        <f>O490-N490</f>
        <v/>
      </c>
      <c r="Q490" s="5">
        <f>IFERROR(P490/O490,0)</f>
        <v/>
      </c>
      <c r="R490" s="2">
        <f>TEXT(DATEVALUE(B490),"mmm")</f>
        <v/>
      </c>
      <c r="S490" s="2">
        <f>TEXT(DATEVALUE(B490),"yyyy-mm")</f>
        <v/>
      </c>
    </row>
    <row r="491">
      <c r="A491" s="2" t="inlineStr">
        <is>
          <t>O003198</t>
        </is>
      </c>
      <c r="B491" s="2" t="inlineStr">
        <is>
          <t>2025-02-07</t>
        </is>
      </c>
      <c r="C491" s="2" t="inlineStr">
        <is>
          <t>C0233</t>
        </is>
      </c>
      <c r="D491" s="2" t="inlineStr">
        <is>
          <t>P0004</t>
        </is>
      </c>
      <c r="E491" s="2" t="inlineStr">
        <is>
          <t>USB-C Hub</t>
        </is>
      </c>
      <c r="F491" s="2" t="inlineStr">
        <is>
          <t>Electronics</t>
        </is>
      </c>
      <c r="G491" s="2" t="inlineStr">
        <is>
          <t>South</t>
        </is>
      </c>
      <c r="H491" s="2" t="inlineStr">
        <is>
          <t>Kerala</t>
        </is>
      </c>
      <c r="I491" s="2" t="inlineStr">
        <is>
          <t>Kochi</t>
        </is>
      </c>
      <c r="J491" s="2" t="inlineStr">
        <is>
          <t>Online</t>
        </is>
      </c>
      <c r="K491" s="2" t="n">
        <v>3</v>
      </c>
      <c r="L491" s="3" t="n">
        <v>1258.16</v>
      </c>
      <c r="M491" s="4" t="n">
        <v>0.1</v>
      </c>
      <c r="N491" s="3" t="n">
        <v>2712.33</v>
      </c>
      <c r="O491" s="3">
        <f>K491*L491*(1-M491)</f>
        <v/>
      </c>
      <c r="P491" s="3">
        <f>O491-N491</f>
        <v/>
      </c>
      <c r="Q491" s="5">
        <f>IFERROR(P491/O491,0)</f>
        <v/>
      </c>
      <c r="R491" s="2">
        <f>TEXT(DATEVALUE(B491),"mmm")</f>
        <v/>
      </c>
      <c r="S491" s="2">
        <f>TEXT(DATEVALUE(B491),"yyyy-mm")</f>
        <v/>
      </c>
    </row>
    <row r="492">
      <c r="A492" s="2" t="inlineStr">
        <is>
          <t>O002721</t>
        </is>
      </c>
      <c r="B492" s="2" t="inlineStr">
        <is>
          <t>2025-02-07</t>
        </is>
      </c>
      <c r="C492" s="2" t="inlineStr">
        <is>
          <t>C0570</t>
        </is>
      </c>
      <c r="D492" s="2" t="inlineStr">
        <is>
          <t>P0011</t>
        </is>
      </c>
      <c r="E492" s="2" t="inlineStr">
        <is>
          <t>Cookware Set</t>
        </is>
      </c>
      <c r="F492" s="2" t="inlineStr">
        <is>
          <t>Home &amp; Kitchen</t>
        </is>
      </c>
      <c r="G492" s="2" t="inlineStr">
        <is>
          <t>North</t>
        </is>
      </c>
      <c r="H492" s="2" t="inlineStr">
        <is>
          <t>Punjab</t>
        </is>
      </c>
      <c r="I492" s="2" t="inlineStr">
        <is>
          <t>Amritsar</t>
        </is>
      </c>
      <c r="J492" s="2" t="inlineStr">
        <is>
          <t>Online</t>
        </is>
      </c>
      <c r="K492" s="2" t="n">
        <v>1</v>
      </c>
      <c r="L492" s="3" t="n">
        <v>693.5599999999999</v>
      </c>
      <c r="M492" s="4" t="n">
        <v>0.2</v>
      </c>
      <c r="N492" s="3" t="n">
        <v>476.39</v>
      </c>
      <c r="O492" s="3">
        <f>K492*L492*(1-M492)</f>
        <v/>
      </c>
      <c r="P492" s="3">
        <f>O492-N492</f>
        <v/>
      </c>
      <c r="Q492" s="5">
        <f>IFERROR(P492/O492,0)</f>
        <v/>
      </c>
      <c r="R492" s="2">
        <f>TEXT(DATEVALUE(B492),"mmm")</f>
        <v/>
      </c>
      <c r="S492" s="2">
        <f>TEXT(DATEVALUE(B492),"yyyy-mm")</f>
        <v/>
      </c>
    </row>
    <row r="493">
      <c r="A493" s="2" t="inlineStr">
        <is>
          <t>O001084</t>
        </is>
      </c>
      <c r="B493" s="2" t="inlineStr">
        <is>
          <t>2025-02-07</t>
        </is>
      </c>
      <c r="C493" s="2" t="inlineStr">
        <is>
          <t>C0056</t>
        </is>
      </c>
      <c r="D493" s="2" t="inlineStr">
        <is>
          <t>P0007</t>
        </is>
      </c>
      <c r="E493" s="2" t="inlineStr">
        <is>
          <t>Wireless Mouse</t>
        </is>
      </c>
      <c r="F493" s="2" t="inlineStr">
        <is>
          <t>Electronics</t>
        </is>
      </c>
      <c r="G493" s="2" t="inlineStr">
        <is>
          <t>West</t>
        </is>
      </c>
      <c r="H493" s="2" t="inlineStr">
        <is>
          <t>Goa</t>
        </is>
      </c>
      <c r="I493" s="2" t="inlineStr">
        <is>
          <t>Panaji</t>
        </is>
      </c>
      <c r="J493" s="2" t="inlineStr">
        <is>
          <t>Online</t>
        </is>
      </c>
      <c r="K493" s="2" t="n">
        <v>3</v>
      </c>
      <c r="L493" s="3" t="n">
        <v>1002.46</v>
      </c>
      <c r="M493" s="4" t="n">
        <v>0.05</v>
      </c>
      <c r="N493" s="3" t="n">
        <v>1898.83</v>
      </c>
      <c r="O493" s="3">
        <f>K493*L493*(1-M493)</f>
        <v/>
      </c>
      <c r="P493" s="3">
        <f>O493-N493</f>
        <v/>
      </c>
      <c r="Q493" s="5">
        <f>IFERROR(P493/O493,0)</f>
        <v/>
      </c>
      <c r="R493" s="2">
        <f>TEXT(DATEVALUE(B493),"mmm")</f>
        <v/>
      </c>
      <c r="S493" s="2">
        <f>TEXT(DATEVALUE(B493),"yyyy-mm")</f>
        <v/>
      </c>
    </row>
    <row r="494">
      <c r="A494" s="2" t="inlineStr">
        <is>
          <t>O002344</t>
        </is>
      </c>
      <c r="B494" s="2" t="inlineStr">
        <is>
          <t>2025-02-07</t>
        </is>
      </c>
      <c r="C494" s="2" t="inlineStr">
        <is>
          <t>C0014</t>
        </is>
      </c>
      <c r="D494" s="2" t="inlineStr">
        <is>
          <t>P0026</t>
        </is>
      </c>
      <c r="E494" s="2" t="inlineStr">
        <is>
          <t>Shampoo</t>
        </is>
      </c>
      <c r="F494" s="2" t="inlineStr">
        <is>
          <t>Beauty</t>
        </is>
      </c>
      <c r="G494" s="2" t="inlineStr">
        <is>
          <t>South</t>
        </is>
      </c>
      <c r="H494" s="2" t="inlineStr">
        <is>
          <t>Karnataka</t>
        </is>
      </c>
      <c r="I494" s="2" t="inlineStr">
        <is>
          <t>Mysuru</t>
        </is>
      </c>
      <c r="J494" s="2" t="inlineStr">
        <is>
          <t>Store</t>
        </is>
      </c>
      <c r="K494" s="2" t="n">
        <v>3</v>
      </c>
      <c r="L494" s="3" t="n">
        <v>892.65</v>
      </c>
      <c r="M494" s="4" t="n">
        <v>0.05</v>
      </c>
      <c r="N494" s="3" t="n">
        <v>1579.69</v>
      </c>
      <c r="O494" s="3">
        <f>K494*L494*(1-M494)</f>
        <v/>
      </c>
      <c r="P494" s="3">
        <f>O494-N494</f>
        <v/>
      </c>
      <c r="Q494" s="5">
        <f>IFERROR(P494/O494,0)</f>
        <v/>
      </c>
      <c r="R494" s="2">
        <f>TEXT(DATEVALUE(B494),"mmm")</f>
        <v/>
      </c>
      <c r="S494" s="2">
        <f>TEXT(DATEVALUE(B494),"yyyy-mm")</f>
        <v/>
      </c>
    </row>
    <row r="495">
      <c r="A495" s="2" t="inlineStr">
        <is>
          <t>O001604</t>
        </is>
      </c>
      <c r="B495" s="2" t="inlineStr">
        <is>
          <t>2025-02-07</t>
        </is>
      </c>
      <c r="C495" s="2" t="inlineStr">
        <is>
          <t>C0394</t>
        </is>
      </c>
      <c r="D495" s="2" t="inlineStr">
        <is>
          <t>P0015</t>
        </is>
      </c>
      <c r="E495" s="2" t="inlineStr">
        <is>
          <t>Running Shoes</t>
        </is>
      </c>
      <c r="F495" s="2" t="inlineStr">
        <is>
          <t>Fashion</t>
        </is>
      </c>
      <c r="G495" s="2" t="inlineStr">
        <is>
          <t>West</t>
        </is>
      </c>
      <c r="H495" s="2" t="inlineStr">
        <is>
          <t>Maharashtra</t>
        </is>
      </c>
      <c r="I495" s="2" t="inlineStr">
        <is>
          <t>Pune</t>
        </is>
      </c>
      <c r="J495" s="2" t="inlineStr">
        <is>
          <t>Store</t>
        </is>
      </c>
      <c r="K495" s="2" t="n">
        <v>4</v>
      </c>
      <c r="L495" s="3" t="n">
        <v>578.75</v>
      </c>
      <c r="M495" s="4" t="n">
        <v>0.05</v>
      </c>
      <c r="N495" s="3" t="n">
        <v>1453.73</v>
      </c>
      <c r="O495" s="3">
        <f>K495*L495*(1-M495)</f>
        <v/>
      </c>
      <c r="P495" s="3">
        <f>O495-N495</f>
        <v/>
      </c>
      <c r="Q495" s="5">
        <f>IFERROR(P495/O495,0)</f>
        <v/>
      </c>
      <c r="R495" s="2">
        <f>TEXT(DATEVALUE(B495),"mmm")</f>
        <v/>
      </c>
      <c r="S495" s="2">
        <f>TEXT(DATEVALUE(B495),"yyyy-mm")</f>
        <v/>
      </c>
    </row>
    <row r="496">
      <c r="A496" s="2" t="inlineStr">
        <is>
          <t>O001127</t>
        </is>
      </c>
      <c r="B496" s="2" t="inlineStr">
        <is>
          <t>2025-02-07</t>
        </is>
      </c>
      <c r="C496" s="2" t="inlineStr">
        <is>
          <t>C0125</t>
        </is>
      </c>
      <c r="D496" s="2" t="inlineStr">
        <is>
          <t>P0008</t>
        </is>
      </c>
      <c r="E496" s="2" t="inlineStr">
        <is>
          <t>Air Fryer</t>
        </is>
      </c>
      <c r="F496" s="2" t="inlineStr">
        <is>
          <t>Home &amp; Kitchen</t>
        </is>
      </c>
      <c r="G496" s="2" t="inlineStr">
        <is>
          <t>West</t>
        </is>
      </c>
      <c r="H496" s="2" t="inlineStr">
        <is>
          <t>Gujarat</t>
        </is>
      </c>
      <c r="I496" s="2" t="inlineStr">
        <is>
          <t>Surat</t>
        </is>
      </c>
      <c r="J496" s="2" t="inlineStr">
        <is>
          <t>Store</t>
        </is>
      </c>
      <c r="K496" s="2" t="n">
        <v>4</v>
      </c>
      <c r="L496" s="3" t="n">
        <v>1008.32</v>
      </c>
      <c r="M496" s="4" t="n">
        <v>0.25</v>
      </c>
      <c r="N496" s="3" t="n">
        <v>2789.83</v>
      </c>
      <c r="O496" s="3">
        <f>K496*L496*(1-M496)</f>
        <v/>
      </c>
      <c r="P496" s="3">
        <f>O496-N496</f>
        <v/>
      </c>
      <c r="Q496" s="5">
        <f>IFERROR(P496/O496,0)</f>
        <v/>
      </c>
      <c r="R496" s="2">
        <f>TEXT(DATEVALUE(B496),"mmm")</f>
        <v/>
      </c>
      <c r="S496" s="2">
        <f>TEXT(DATEVALUE(B496),"yyyy-mm")</f>
        <v/>
      </c>
    </row>
    <row r="497">
      <c r="A497" s="2" t="inlineStr">
        <is>
          <t>O001018</t>
        </is>
      </c>
      <c r="B497" s="2" t="inlineStr">
        <is>
          <t>2025-02-07</t>
        </is>
      </c>
      <c r="C497" s="2" t="inlineStr">
        <is>
          <t>C0575</t>
        </is>
      </c>
      <c r="D497" s="2" t="inlineStr">
        <is>
          <t>P0027</t>
        </is>
      </c>
      <c r="E497" s="2" t="inlineStr">
        <is>
          <t>Moisturizer</t>
        </is>
      </c>
      <c r="F497" s="2" t="inlineStr">
        <is>
          <t>Beauty</t>
        </is>
      </c>
      <c r="G497" s="2" t="inlineStr">
        <is>
          <t>West</t>
        </is>
      </c>
      <c r="H497" s="2" t="inlineStr">
        <is>
          <t>Goa</t>
        </is>
      </c>
      <c r="I497" s="2" t="inlineStr">
        <is>
          <t>Panaji</t>
        </is>
      </c>
      <c r="J497" s="2" t="inlineStr">
        <is>
          <t>Online</t>
        </is>
      </c>
      <c r="K497" s="2" t="n">
        <v>2</v>
      </c>
      <c r="L497" s="3" t="n">
        <v>987.2</v>
      </c>
      <c r="M497" s="4" t="n">
        <v>0.1</v>
      </c>
      <c r="N497" s="3" t="n">
        <v>1405.5</v>
      </c>
      <c r="O497" s="3">
        <f>K497*L497*(1-M497)</f>
        <v/>
      </c>
      <c r="P497" s="3">
        <f>O497-N497</f>
        <v/>
      </c>
      <c r="Q497" s="5">
        <f>IFERROR(P497/O497,0)</f>
        <v/>
      </c>
      <c r="R497" s="2">
        <f>TEXT(DATEVALUE(B497),"mmm")</f>
        <v/>
      </c>
      <c r="S497" s="2">
        <f>TEXT(DATEVALUE(B497),"yyyy-mm")</f>
        <v/>
      </c>
    </row>
    <row r="498">
      <c r="A498" s="2" t="inlineStr">
        <is>
          <t>O000996</t>
        </is>
      </c>
      <c r="B498" s="2" t="inlineStr">
        <is>
          <t>2025-02-07</t>
        </is>
      </c>
      <c r="C498" s="2" t="inlineStr">
        <is>
          <t>C0672</t>
        </is>
      </c>
      <c r="D498" s="2" t="inlineStr">
        <is>
          <t>P0011</t>
        </is>
      </c>
      <c r="E498" s="2" t="inlineStr">
        <is>
          <t>Cookware Set</t>
        </is>
      </c>
      <c r="F498" s="2" t="inlineStr">
        <is>
          <t>Home &amp; Kitchen</t>
        </is>
      </c>
      <c r="G498" s="2" t="inlineStr">
        <is>
          <t>North</t>
        </is>
      </c>
      <c r="H498" s="2" t="inlineStr">
        <is>
          <t>Uttar Pradesh</t>
        </is>
      </c>
      <c r="I498" s="2" t="inlineStr">
        <is>
          <t>Kanpur</t>
        </is>
      </c>
      <c r="J498" s="2" t="inlineStr">
        <is>
          <t>Online</t>
        </is>
      </c>
      <c r="K498" s="2" t="n">
        <v>1</v>
      </c>
      <c r="L498" s="3" t="n">
        <v>690.96</v>
      </c>
      <c r="M498" s="4" t="n">
        <v>0.15</v>
      </c>
      <c r="N498" s="3" t="n">
        <v>486.23</v>
      </c>
      <c r="O498" s="3">
        <f>K498*L498*(1-M498)</f>
        <v/>
      </c>
      <c r="P498" s="3">
        <f>O498-N498</f>
        <v/>
      </c>
      <c r="Q498" s="5">
        <f>IFERROR(P498/O498,0)</f>
        <v/>
      </c>
      <c r="R498" s="2">
        <f>TEXT(DATEVALUE(B498),"mmm")</f>
        <v/>
      </c>
      <c r="S498" s="2">
        <f>TEXT(DATEVALUE(B498),"yyyy-mm")</f>
        <v/>
      </c>
    </row>
    <row r="499">
      <c r="A499" s="2" t="inlineStr">
        <is>
          <t>O000311</t>
        </is>
      </c>
      <c r="B499" s="2" t="inlineStr">
        <is>
          <t>2025-02-07</t>
        </is>
      </c>
      <c r="C499" s="2" t="inlineStr">
        <is>
          <t>C0758</t>
        </is>
      </c>
      <c r="D499" s="2" t="inlineStr">
        <is>
          <t>P0031</t>
        </is>
      </c>
      <c r="E499" s="2" t="inlineStr">
        <is>
          <t>Cricket Bat</t>
        </is>
      </c>
      <c r="F499" s="2" t="inlineStr">
        <is>
          <t>Sports</t>
        </is>
      </c>
      <c r="G499" s="2" t="inlineStr">
        <is>
          <t>South</t>
        </is>
      </c>
      <c r="H499" s="2" t="inlineStr">
        <is>
          <t>Tamil Nadu</t>
        </is>
      </c>
      <c r="I499" s="2" t="inlineStr">
        <is>
          <t>Chennai</t>
        </is>
      </c>
      <c r="J499" s="2" t="inlineStr">
        <is>
          <t>Online</t>
        </is>
      </c>
      <c r="K499" s="2" t="n">
        <v>2</v>
      </c>
      <c r="L499" s="3" t="n">
        <v>1349.13</v>
      </c>
      <c r="M499" s="4" t="n">
        <v>0.1</v>
      </c>
      <c r="N499" s="3" t="n">
        <v>1844.84</v>
      </c>
      <c r="O499" s="3">
        <f>K499*L499*(1-M499)</f>
        <v/>
      </c>
      <c r="P499" s="3">
        <f>O499-N499</f>
        <v/>
      </c>
      <c r="Q499" s="5">
        <f>IFERROR(P499/O499,0)</f>
        <v/>
      </c>
      <c r="R499" s="2">
        <f>TEXT(DATEVALUE(B499),"mmm")</f>
        <v/>
      </c>
      <c r="S499" s="2">
        <f>TEXT(DATEVALUE(B499),"yyyy-mm")</f>
        <v/>
      </c>
    </row>
    <row r="500">
      <c r="A500" s="2" t="inlineStr">
        <is>
          <t>O002569</t>
        </is>
      </c>
      <c r="B500" s="2" t="inlineStr">
        <is>
          <t>2025-02-07</t>
        </is>
      </c>
      <c r="C500" s="2" t="inlineStr">
        <is>
          <t>C0678</t>
        </is>
      </c>
      <c r="D500" s="2" t="inlineStr">
        <is>
          <t>P0024</t>
        </is>
      </c>
      <c r="E500" s="2" t="inlineStr">
        <is>
          <t>Hair Dryer</t>
        </is>
      </c>
      <c r="F500" s="2" t="inlineStr">
        <is>
          <t>Beauty</t>
        </is>
      </c>
      <c r="G500" s="2" t="inlineStr">
        <is>
          <t>South</t>
        </is>
      </c>
      <c r="H500" s="2" t="inlineStr">
        <is>
          <t>Telangana</t>
        </is>
      </c>
      <c r="I500" s="2" t="inlineStr">
        <is>
          <t>Warangal</t>
        </is>
      </c>
      <c r="J500" s="2" t="inlineStr">
        <is>
          <t>Online</t>
        </is>
      </c>
      <c r="K500" s="2" t="n">
        <v>4</v>
      </c>
      <c r="L500" s="3" t="n">
        <v>1042.7</v>
      </c>
      <c r="M500" s="4" t="n">
        <v>0.05</v>
      </c>
      <c r="N500" s="3" t="n">
        <v>2978.53</v>
      </c>
      <c r="O500" s="3">
        <f>K500*L500*(1-M500)</f>
        <v/>
      </c>
      <c r="P500" s="3">
        <f>O500-N500</f>
        <v/>
      </c>
      <c r="Q500" s="5">
        <f>IFERROR(P500/O500,0)</f>
        <v/>
      </c>
      <c r="R500" s="2">
        <f>TEXT(DATEVALUE(B500),"mmm")</f>
        <v/>
      </c>
      <c r="S500" s="2">
        <f>TEXT(DATEVALUE(B500),"yyyy-mm")</f>
        <v/>
      </c>
    </row>
    <row r="501">
      <c r="A501" s="2" t="inlineStr">
        <is>
          <t>O002184</t>
        </is>
      </c>
      <c r="B501" s="2" t="inlineStr">
        <is>
          <t>2025-02-08</t>
        </is>
      </c>
      <c r="C501" s="2" t="inlineStr">
        <is>
          <t>C0375</t>
        </is>
      </c>
      <c r="D501" s="2" t="inlineStr">
        <is>
          <t>P0017</t>
        </is>
      </c>
      <c r="E501" s="2" t="inlineStr">
        <is>
          <t>Jeans</t>
        </is>
      </c>
      <c r="F501" s="2" t="inlineStr">
        <is>
          <t>Fashion</t>
        </is>
      </c>
      <c r="G501" s="2" t="inlineStr">
        <is>
          <t>North</t>
        </is>
      </c>
      <c r="H501" s="2" t="inlineStr">
        <is>
          <t>Delhi</t>
        </is>
      </c>
      <c r="I501" s="2" t="inlineStr">
        <is>
          <t>New Delhi</t>
        </is>
      </c>
      <c r="J501" s="2" t="inlineStr">
        <is>
          <t>Online</t>
        </is>
      </c>
      <c r="K501" s="2" t="n">
        <v>5</v>
      </c>
      <c r="L501" s="3" t="n">
        <v>1427.05</v>
      </c>
      <c r="M501" s="4" t="n">
        <v>0</v>
      </c>
      <c r="N501" s="3" t="n">
        <v>5002.27</v>
      </c>
      <c r="O501" s="3">
        <f>K501*L501*(1-M501)</f>
        <v/>
      </c>
      <c r="P501" s="3">
        <f>O501-N501</f>
        <v/>
      </c>
      <c r="Q501" s="5">
        <f>IFERROR(P501/O501,0)</f>
        <v/>
      </c>
      <c r="R501" s="2">
        <f>TEXT(DATEVALUE(B501),"mmm")</f>
        <v/>
      </c>
      <c r="S501" s="2">
        <f>TEXT(DATEVALUE(B501),"yyyy-mm")</f>
        <v/>
      </c>
    </row>
    <row r="502">
      <c r="A502" s="2" t="inlineStr">
        <is>
          <t>O002621</t>
        </is>
      </c>
      <c r="B502" s="2" t="inlineStr">
        <is>
          <t>2025-02-08</t>
        </is>
      </c>
      <c r="C502" s="2" t="inlineStr">
        <is>
          <t>C0376</t>
        </is>
      </c>
      <c r="D502" s="2" t="inlineStr">
        <is>
          <t>P0035</t>
        </is>
      </c>
      <c r="E502" s="2" t="inlineStr">
        <is>
          <t>Skipping Rope</t>
        </is>
      </c>
      <c r="F502" s="2" t="inlineStr">
        <is>
          <t>Sports</t>
        </is>
      </c>
      <c r="G502" s="2" t="inlineStr">
        <is>
          <t>South</t>
        </is>
      </c>
      <c r="H502" s="2" t="inlineStr">
        <is>
          <t>Kerala</t>
        </is>
      </c>
      <c r="I502" s="2" t="inlineStr">
        <is>
          <t>Kochi</t>
        </is>
      </c>
      <c r="J502" s="2" t="inlineStr">
        <is>
          <t>Online</t>
        </is>
      </c>
      <c r="K502" s="2" t="n">
        <v>1</v>
      </c>
      <c r="L502" s="3" t="n">
        <v>723.23</v>
      </c>
      <c r="M502" s="4" t="n">
        <v>0</v>
      </c>
      <c r="N502" s="3" t="n">
        <v>414.99</v>
      </c>
      <c r="O502" s="3">
        <f>K502*L502*(1-M502)</f>
        <v/>
      </c>
      <c r="P502" s="3">
        <f>O502-N502</f>
        <v/>
      </c>
      <c r="Q502" s="5">
        <f>IFERROR(P502/O502,0)</f>
        <v/>
      </c>
      <c r="R502" s="2">
        <f>TEXT(DATEVALUE(B502),"mmm")</f>
        <v/>
      </c>
      <c r="S502" s="2">
        <f>TEXT(DATEVALUE(B502),"yyyy-mm")</f>
        <v/>
      </c>
    </row>
    <row r="503">
      <c r="A503" s="2" t="inlineStr">
        <is>
          <t>O003089</t>
        </is>
      </c>
      <c r="B503" s="2" t="inlineStr">
        <is>
          <t>2025-02-08</t>
        </is>
      </c>
      <c r="C503" s="2" t="inlineStr">
        <is>
          <t>C0350</t>
        </is>
      </c>
      <c r="D503" s="2" t="inlineStr">
        <is>
          <t>P0006</t>
        </is>
      </c>
      <c r="E503" s="2" t="inlineStr">
        <is>
          <t>Mechanical Keyboard</t>
        </is>
      </c>
      <c r="F503" s="2" t="inlineStr">
        <is>
          <t>Electronics</t>
        </is>
      </c>
      <c r="G503" s="2" t="inlineStr">
        <is>
          <t>North</t>
        </is>
      </c>
      <c r="H503" s="2" t="inlineStr">
        <is>
          <t>Punjab</t>
        </is>
      </c>
      <c r="I503" s="2" t="inlineStr">
        <is>
          <t>Ludhiana</t>
        </is>
      </c>
      <c r="J503" s="2" t="inlineStr">
        <is>
          <t>Store</t>
        </is>
      </c>
      <c r="K503" s="2" t="n">
        <v>2</v>
      </c>
      <c r="L503" s="3" t="n">
        <v>2793.78</v>
      </c>
      <c r="M503" s="4" t="n">
        <v>0</v>
      </c>
      <c r="N503" s="3" t="n">
        <v>2951.28</v>
      </c>
      <c r="O503" s="3">
        <f>K503*L503*(1-M503)</f>
        <v/>
      </c>
      <c r="P503" s="3">
        <f>O503-N503</f>
        <v/>
      </c>
      <c r="Q503" s="5">
        <f>IFERROR(P503/O503,0)</f>
        <v/>
      </c>
      <c r="R503" s="2">
        <f>TEXT(DATEVALUE(B503),"mmm")</f>
        <v/>
      </c>
      <c r="S503" s="2">
        <f>TEXT(DATEVALUE(B503),"yyyy-mm")</f>
        <v/>
      </c>
    </row>
    <row r="504">
      <c r="A504" s="2" t="inlineStr">
        <is>
          <t>O003268</t>
        </is>
      </c>
      <c r="B504" s="2" t="inlineStr">
        <is>
          <t>2025-02-08</t>
        </is>
      </c>
      <c r="C504" s="2" t="inlineStr">
        <is>
          <t>C0478</t>
        </is>
      </c>
      <c r="D504" s="2" t="inlineStr">
        <is>
          <t>P0007</t>
        </is>
      </c>
      <c r="E504" s="2" t="inlineStr">
        <is>
          <t>Wireless Mouse</t>
        </is>
      </c>
      <c r="F504" s="2" t="inlineStr">
        <is>
          <t>Electronics</t>
        </is>
      </c>
      <c r="G504" s="2" t="inlineStr">
        <is>
          <t>East</t>
        </is>
      </c>
      <c r="H504" s="2" t="inlineStr">
        <is>
          <t>Bihar</t>
        </is>
      </c>
      <c r="I504" s="2" t="inlineStr">
        <is>
          <t>Gaya</t>
        </is>
      </c>
      <c r="J504" s="2" t="inlineStr">
        <is>
          <t>Store</t>
        </is>
      </c>
      <c r="K504" s="2" t="n">
        <v>1</v>
      </c>
      <c r="L504" s="3" t="n">
        <v>1015.55</v>
      </c>
      <c r="M504" s="4" t="n">
        <v>0.05</v>
      </c>
      <c r="N504" s="3" t="n">
        <v>633.99</v>
      </c>
      <c r="O504" s="3">
        <f>K504*L504*(1-M504)</f>
        <v/>
      </c>
      <c r="P504" s="3">
        <f>O504-N504</f>
        <v/>
      </c>
      <c r="Q504" s="5">
        <f>IFERROR(P504/O504,0)</f>
        <v/>
      </c>
      <c r="R504" s="2">
        <f>TEXT(DATEVALUE(B504),"mmm")</f>
        <v/>
      </c>
      <c r="S504" s="2">
        <f>TEXT(DATEVALUE(B504),"yyyy-mm")</f>
        <v/>
      </c>
    </row>
    <row r="505">
      <c r="A505" s="2" t="inlineStr">
        <is>
          <t>O004407</t>
        </is>
      </c>
      <c r="B505" s="2" t="inlineStr">
        <is>
          <t>2025-02-08</t>
        </is>
      </c>
      <c r="C505" s="2" t="inlineStr">
        <is>
          <t>C0098</t>
        </is>
      </c>
      <c r="D505" s="2" t="inlineStr">
        <is>
          <t>P0032</t>
        </is>
      </c>
      <c r="E505" s="2" t="inlineStr">
        <is>
          <t>Football</t>
        </is>
      </c>
      <c r="F505" s="2" t="inlineStr">
        <is>
          <t>Sports</t>
        </is>
      </c>
      <c r="G505" s="2" t="inlineStr">
        <is>
          <t>East</t>
        </is>
      </c>
      <c r="H505" s="2" t="inlineStr">
        <is>
          <t>West Bengal</t>
        </is>
      </c>
      <c r="I505" s="2" t="inlineStr">
        <is>
          <t>Durgapur</t>
        </is>
      </c>
      <c r="J505" s="2" t="inlineStr">
        <is>
          <t>Store</t>
        </is>
      </c>
      <c r="K505" s="2" t="n">
        <v>1</v>
      </c>
      <c r="L505" s="3" t="n">
        <v>830.27</v>
      </c>
      <c r="M505" s="4" t="n">
        <v>0.2</v>
      </c>
      <c r="N505" s="3" t="n">
        <v>549.1</v>
      </c>
      <c r="O505" s="3">
        <f>K505*L505*(1-M505)</f>
        <v/>
      </c>
      <c r="P505" s="3">
        <f>O505-N505</f>
        <v/>
      </c>
      <c r="Q505" s="5">
        <f>IFERROR(P505/O505,0)</f>
        <v/>
      </c>
      <c r="R505" s="2">
        <f>TEXT(DATEVALUE(B505),"mmm")</f>
        <v/>
      </c>
      <c r="S505" s="2">
        <f>TEXT(DATEVALUE(B505),"yyyy-mm")</f>
        <v/>
      </c>
    </row>
    <row r="506">
      <c r="A506" s="2" t="inlineStr">
        <is>
          <t>O003985</t>
        </is>
      </c>
      <c r="B506" s="2" t="inlineStr">
        <is>
          <t>2025-02-08</t>
        </is>
      </c>
      <c r="C506" s="2" t="inlineStr">
        <is>
          <t>C0110</t>
        </is>
      </c>
      <c r="D506" s="2" t="inlineStr">
        <is>
          <t>P0016</t>
        </is>
      </c>
      <c r="E506" s="2" t="inlineStr">
        <is>
          <t>Casual Shirt</t>
        </is>
      </c>
      <c r="F506" s="2" t="inlineStr">
        <is>
          <t>Fashion</t>
        </is>
      </c>
      <c r="G506" s="2" t="inlineStr">
        <is>
          <t>North</t>
        </is>
      </c>
      <c r="H506" s="2" t="inlineStr">
        <is>
          <t>Haryana</t>
        </is>
      </c>
      <c r="I506" s="2" t="inlineStr">
        <is>
          <t>Gurugram</t>
        </is>
      </c>
      <c r="J506" s="2" t="inlineStr">
        <is>
          <t>Online</t>
        </is>
      </c>
      <c r="K506" s="2" t="n">
        <v>2</v>
      </c>
      <c r="L506" s="3" t="n">
        <v>1236.99</v>
      </c>
      <c r="M506" s="4" t="n">
        <v>0.1</v>
      </c>
      <c r="N506" s="3" t="n">
        <v>1818.11</v>
      </c>
      <c r="O506" s="3">
        <f>K506*L506*(1-M506)</f>
        <v/>
      </c>
      <c r="P506" s="3">
        <f>O506-N506</f>
        <v/>
      </c>
      <c r="Q506" s="5">
        <f>IFERROR(P506/O506,0)</f>
        <v/>
      </c>
      <c r="R506" s="2">
        <f>TEXT(DATEVALUE(B506),"mmm")</f>
        <v/>
      </c>
      <c r="S506" s="2">
        <f>TEXT(DATEVALUE(B506),"yyyy-mm")</f>
        <v/>
      </c>
    </row>
    <row r="507">
      <c r="A507" s="2" t="inlineStr">
        <is>
          <t>O004152</t>
        </is>
      </c>
      <c r="B507" s="2" t="inlineStr">
        <is>
          <t>2025-02-08</t>
        </is>
      </c>
      <c r="C507" s="2" t="inlineStr">
        <is>
          <t>C0451</t>
        </is>
      </c>
      <c r="D507" s="2" t="inlineStr">
        <is>
          <t>P0007</t>
        </is>
      </c>
      <c r="E507" s="2" t="inlineStr">
        <is>
          <t>Wireless Mouse</t>
        </is>
      </c>
      <c r="F507" s="2" t="inlineStr">
        <is>
          <t>Electronics</t>
        </is>
      </c>
      <c r="G507" s="2" t="inlineStr">
        <is>
          <t>North</t>
        </is>
      </c>
      <c r="H507" s="2" t="inlineStr">
        <is>
          <t>Uttar Pradesh</t>
        </is>
      </c>
      <c r="I507" s="2" t="inlineStr">
        <is>
          <t>Varanasi</t>
        </is>
      </c>
      <c r="J507" s="2" t="inlineStr">
        <is>
          <t>Online</t>
        </is>
      </c>
      <c r="K507" s="2" t="n">
        <v>1</v>
      </c>
      <c r="L507" s="3" t="n">
        <v>980.67</v>
      </c>
      <c r="M507" s="4" t="n">
        <v>0.05</v>
      </c>
      <c r="N507" s="3" t="n">
        <v>603.3200000000001</v>
      </c>
      <c r="O507" s="3">
        <f>K507*L507*(1-M507)</f>
        <v/>
      </c>
      <c r="P507" s="3">
        <f>O507-N507</f>
        <v/>
      </c>
      <c r="Q507" s="5">
        <f>IFERROR(P507/O507,0)</f>
        <v/>
      </c>
      <c r="R507" s="2">
        <f>TEXT(DATEVALUE(B507),"mmm")</f>
        <v/>
      </c>
      <c r="S507" s="2">
        <f>TEXT(DATEVALUE(B507),"yyyy-mm")</f>
        <v/>
      </c>
    </row>
    <row r="508">
      <c r="A508" s="2" t="inlineStr">
        <is>
          <t>O004541</t>
        </is>
      </c>
      <c r="B508" s="2" t="inlineStr">
        <is>
          <t>2025-02-08</t>
        </is>
      </c>
      <c r="C508" s="2" t="inlineStr">
        <is>
          <t>C0188</t>
        </is>
      </c>
      <c r="D508" s="2" t="inlineStr">
        <is>
          <t>P0008</t>
        </is>
      </c>
      <c r="E508" s="2" t="inlineStr">
        <is>
          <t>Air Fryer</t>
        </is>
      </c>
      <c r="F508" s="2" t="inlineStr">
        <is>
          <t>Home &amp; Kitchen</t>
        </is>
      </c>
      <c r="G508" s="2" t="inlineStr">
        <is>
          <t>West</t>
        </is>
      </c>
      <c r="H508" s="2" t="inlineStr">
        <is>
          <t>Gujarat</t>
        </is>
      </c>
      <c r="I508" s="2" t="inlineStr">
        <is>
          <t>Surat</t>
        </is>
      </c>
      <c r="J508" s="2" t="inlineStr">
        <is>
          <t>Store</t>
        </is>
      </c>
      <c r="K508" s="2" t="n">
        <v>3</v>
      </c>
      <c r="L508" s="3" t="n">
        <v>1025.08</v>
      </c>
      <c r="M508" s="4" t="n">
        <v>0</v>
      </c>
      <c r="N508" s="3" t="n">
        <v>2075.5</v>
      </c>
      <c r="O508" s="3">
        <f>K508*L508*(1-M508)</f>
        <v/>
      </c>
      <c r="P508" s="3">
        <f>O508-N508</f>
        <v/>
      </c>
      <c r="Q508" s="5">
        <f>IFERROR(P508/O508,0)</f>
        <v/>
      </c>
      <c r="R508" s="2">
        <f>TEXT(DATEVALUE(B508),"mmm")</f>
        <v/>
      </c>
      <c r="S508" s="2">
        <f>TEXT(DATEVALUE(B508),"yyyy-mm")</f>
        <v/>
      </c>
    </row>
    <row r="509">
      <c r="A509" s="2" t="inlineStr">
        <is>
          <t>O002033</t>
        </is>
      </c>
      <c r="B509" s="2" t="inlineStr">
        <is>
          <t>2025-02-08</t>
        </is>
      </c>
      <c r="C509" s="2" t="inlineStr">
        <is>
          <t>C0420</t>
        </is>
      </c>
      <c r="D509" s="2" t="inlineStr">
        <is>
          <t>P0022</t>
        </is>
      </c>
      <c r="E509" s="2" t="inlineStr">
        <is>
          <t>Face Wash</t>
        </is>
      </c>
      <c r="F509" s="2" t="inlineStr">
        <is>
          <t>Beauty</t>
        </is>
      </c>
      <c r="G509" s="2" t="inlineStr">
        <is>
          <t>West</t>
        </is>
      </c>
      <c r="H509" s="2" t="inlineStr">
        <is>
          <t>Maharashtra</t>
        </is>
      </c>
      <c r="I509" s="2" t="inlineStr">
        <is>
          <t>Nagpur</t>
        </is>
      </c>
      <c r="J509" s="2" t="inlineStr">
        <is>
          <t>Online</t>
        </is>
      </c>
      <c r="K509" s="2" t="n">
        <v>4</v>
      </c>
      <c r="L509" s="3" t="n">
        <v>548.54</v>
      </c>
      <c r="M509" s="4" t="n">
        <v>0.1</v>
      </c>
      <c r="N509" s="3" t="n">
        <v>1374.6</v>
      </c>
      <c r="O509" s="3">
        <f>K509*L509*(1-M509)</f>
        <v/>
      </c>
      <c r="P509" s="3">
        <f>O509-N509</f>
        <v/>
      </c>
      <c r="Q509" s="5">
        <f>IFERROR(P509/O509,0)</f>
        <v/>
      </c>
      <c r="R509" s="2">
        <f>TEXT(DATEVALUE(B509),"mmm")</f>
        <v/>
      </c>
      <c r="S509" s="2">
        <f>TEXT(DATEVALUE(B509),"yyyy-mm")</f>
        <v/>
      </c>
    </row>
    <row r="510">
      <c r="A510" s="2" t="inlineStr">
        <is>
          <t>O003325</t>
        </is>
      </c>
      <c r="B510" s="2" t="inlineStr">
        <is>
          <t>2025-02-08</t>
        </is>
      </c>
      <c r="C510" s="2" t="inlineStr">
        <is>
          <t>C0707</t>
        </is>
      </c>
      <c r="D510" s="2" t="inlineStr">
        <is>
          <t>P0007</t>
        </is>
      </c>
      <c r="E510" s="2" t="inlineStr">
        <is>
          <t>Wireless Mouse</t>
        </is>
      </c>
      <c r="F510" s="2" t="inlineStr">
        <is>
          <t>Electronics</t>
        </is>
      </c>
      <c r="G510" s="2" t="inlineStr">
        <is>
          <t>West</t>
        </is>
      </c>
      <c r="H510" s="2" t="inlineStr">
        <is>
          <t>Gujarat</t>
        </is>
      </c>
      <c r="I510" s="2" t="inlineStr">
        <is>
          <t>Vadodara</t>
        </is>
      </c>
      <c r="J510" s="2" t="inlineStr">
        <is>
          <t>Online</t>
        </is>
      </c>
      <c r="K510" s="2" t="n">
        <v>3</v>
      </c>
      <c r="L510" s="3" t="n">
        <v>976.84</v>
      </c>
      <c r="M510" s="4" t="n">
        <v>0.05</v>
      </c>
      <c r="N510" s="3" t="n">
        <v>1883.78</v>
      </c>
      <c r="O510" s="3">
        <f>K510*L510*(1-M510)</f>
        <v/>
      </c>
      <c r="P510" s="3">
        <f>O510-N510</f>
        <v/>
      </c>
      <c r="Q510" s="5">
        <f>IFERROR(P510/O510,0)</f>
        <v/>
      </c>
      <c r="R510" s="2">
        <f>TEXT(DATEVALUE(B510),"mmm")</f>
        <v/>
      </c>
      <c r="S510" s="2">
        <f>TEXT(DATEVALUE(B510),"yyyy-mm")</f>
        <v/>
      </c>
    </row>
    <row r="511">
      <c r="A511" s="2" t="inlineStr">
        <is>
          <t>O001726</t>
        </is>
      </c>
      <c r="B511" s="2" t="inlineStr">
        <is>
          <t>2025-02-08</t>
        </is>
      </c>
      <c r="C511" s="2" t="inlineStr">
        <is>
          <t>C0728</t>
        </is>
      </c>
      <c r="D511" s="2" t="inlineStr">
        <is>
          <t>P0011</t>
        </is>
      </c>
      <c r="E511" s="2" t="inlineStr">
        <is>
          <t>Cookware Set</t>
        </is>
      </c>
      <c r="F511" s="2" t="inlineStr">
        <is>
          <t>Home &amp; Kitchen</t>
        </is>
      </c>
      <c r="G511" s="2" t="inlineStr">
        <is>
          <t>East</t>
        </is>
      </c>
      <c r="H511" s="2" t="inlineStr">
        <is>
          <t>Odisha</t>
        </is>
      </c>
      <c r="I511" s="2" t="inlineStr">
        <is>
          <t>Cuttack</t>
        </is>
      </c>
      <c r="J511" s="2" t="inlineStr">
        <is>
          <t>Online</t>
        </is>
      </c>
      <c r="K511" s="2" t="n">
        <v>6</v>
      </c>
      <c r="L511" s="3" t="n">
        <v>729.09</v>
      </c>
      <c r="M511" s="4" t="n">
        <v>0.2</v>
      </c>
      <c r="N511" s="3" t="n">
        <v>2932.35</v>
      </c>
      <c r="O511" s="3">
        <f>K511*L511*(1-M511)</f>
        <v/>
      </c>
      <c r="P511" s="3">
        <f>O511-N511</f>
        <v/>
      </c>
      <c r="Q511" s="5">
        <f>IFERROR(P511/O511,0)</f>
        <v/>
      </c>
      <c r="R511" s="2">
        <f>TEXT(DATEVALUE(B511),"mmm")</f>
        <v/>
      </c>
      <c r="S511" s="2">
        <f>TEXT(DATEVALUE(B511),"yyyy-mm")</f>
        <v/>
      </c>
    </row>
    <row r="512">
      <c r="A512" s="2" t="inlineStr">
        <is>
          <t>O000766</t>
        </is>
      </c>
      <c r="B512" s="2" t="inlineStr">
        <is>
          <t>2025-02-08</t>
        </is>
      </c>
      <c r="C512" s="2" t="inlineStr">
        <is>
          <t>C0298</t>
        </is>
      </c>
      <c r="D512" s="2" t="inlineStr">
        <is>
          <t>P0001</t>
        </is>
      </c>
      <c r="E512" s="2" t="inlineStr">
        <is>
          <t>Wireless Headphones</t>
        </is>
      </c>
      <c r="F512" s="2" t="inlineStr">
        <is>
          <t>Electronics</t>
        </is>
      </c>
      <c r="G512" s="2" t="inlineStr">
        <is>
          <t>South</t>
        </is>
      </c>
      <c r="H512" s="2" t="inlineStr">
        <is>
          <t>Kerala</t>
        </is>
      </c>
      <c r="I512" s="2" t="inlineStr">
        <is>
          <t>Thiruvananthapuram</t>
        </is>
      </c>
      <c r="J512" s="2" t="inlineStr">
        <is>
          <t>Store</t>
        </is>
      </c>
      <c r="K512" s="2" t="n">
        <v>2</v>
      </c>
      <c r="L512" s="3" t="n">
        <v>1372.95</v>
      </c>
      <c r="M512" s="4" t="n">
        <v>0.05</v>
      </c>
      <c r="N512" s="3" t="n">
        <v>1406.15</v>
      </c>
      <c r="O512" s="3">
        <f>K512*L512*(1-M512)</f>
        <v/>
      </c>
      <c r="P512" s="3">
        <f>O512-N512</f>
        <v/>
      </c>
      <c r="Q512" s="5">
        <f>IFERROR(P512/O512,0)</f>
        <v/>
      </c>
      <c r="R512" s="2">
        <f>TEXT(DATEVALUE(B512),"mmm")</f>
        <v/>
      </c>
      <c r="S512" s="2">
        <f>TEXT(DATEVALUE(B512),"yyyy-mm")</f>
        <v/>
      </c>
    </row>
    <row r="513">
      <c r="A513" s="2" t="inlineStr">
        <is>
          <t>O001504</t>
        </is>
      </c>
      <c r="B513" s="2" t="inlineStr">
        <is>
          <t>2025-02-08</t>
        </is>
      </c>
      <c r="C513" s="2" t="inlineStr">
        <is>
          <t>C0250</t>
        </is>
      </c>
      <c r="D513" s="2" t="inlineStr">
        <is>
          <t>P0006</t>
        </is>
      </c>
      <c r="E513" s="2" t="inlineStr">
        <is>
          <t>Mechanical Keyboard</t>
        </is>
      </c>
      <c r="F513" s="2" t="inlineStr">
        <is>
          <t>Electronics</t>
        </is>
      </c>
      <c r="G513" s="2" t="inlineStr">
        <is>
          <t>North</t>
        </is>
      </c>
      <c r="H513" s="2" t="inlineStr">
        <is>
          <t>Delhi</t>
        </is>
      </c>
      <c r="I513" s="2" t="inlineStr">
        <is>
          <t>New Delhi</t>
        </is>
      </c>
      <c r="J513" s="2" t="inlineStr">
        <is>
          <t>Online</t>
        </is>
      </c>
      <c r="K513" s="2" t="n">
        <v>1</v>
      </c>
      <c r="L513" s="3" t="n">
        <v>2760.9</v>
      </c>
      <c r="M513" s="4" t="n">
        <v>0</v>
      </c>
      <c r="N513" s="3" t="n">
        <v>1516.57</v>
      </c>
      <c r="O513" s="3">
        <f>K513*L513*(1-M513)</f>
        <v/>
      </c>
      <c r="P513" s="3">
        <f>O513-N513</f>
        <v/>
      </c>
      <c r="Q513" s="5">
        <f>IFERROR(P513/O513,0)</f>
        <v/>
      </c>
      <c r="R513" s="2">
        <f>TEXT(DATEVALUE(B513),"mmm")</f>
        <v/>
      </c>
      <c r="S513" s="2">
        <f>TEXT(DATEVALUE(B513),"yyyy-mm")</f>
        <v/>
      </c>
    </row>
    <row r="514">
      <c r="A514" s="2" t="inlineStr">
        <is>
          <t>O000250</t>
        </is>
      </c>
      <c r="B514" s="2" t="inlineStr">
        <is>
          <t>2025-02-08</t>
        </is>
      </c>
      <c r="C514" s="2" t="inlineStr">
        <is>
          <t>C0375</t>
        </is>
      </c>
      <c r="D514" s="2" t="inlineStr">
        <is>
          <t>P0026</t>
        </is>
      </c>
      <c r="E514" s="2" t="inlineStr">
        <is>
          <t>Shampoo</t>
        </is>
      </c>
      <c r="F514" s="2" t="inlineStr">
        <is>
          <t>Beauty</t>
        </is>
      </c>
      <c r="G514" s="2" t="inlineStr">
        <is>
          <t>West</t>
        </is>
      </c>
      <c r="H514" s="2" t="inlineStr">
        <is>
          <t>Maharashtra</t>
        </is>
      </c>
      <c r="I514" s="2" t="inlineStr">
        <is>
          <t>Mumbai</t>
        </is>
      </c>
      <c r="J514" s="2" t="inlineStr">
        <is>
          <t>Store</t>
        </is>
      </c>
      <c r="K514" s="2" t="n">
        <v>5</v>
      </c>
      <c r="L514" s="3" t="n">
        <v>897.96</v>
      </c>
      <c r="M514" s="4" t="n">
        <v>0.05</v>
      </c>
      <c r="N514" s="3" t="n">
        <v>2586.32</v>
      </c>
      <c r="O514" s="3">
        <f>K514*L514*(1-M514)</f>
        <v/>
      </c>
      <c r="P514" s="3">
        <f>O514-N514</f>
        <v/>
      </c>
      <c r="Q514" s="5">
        <f>IFERROR(P514/O514,0)</f>
        <v/>
      </c>
      <c r="R514" s="2">
        <f>TEXT(DATEVALUE(B514),"mmm")</f>
        <v/>
      </c>
      <c r="S514" s="2">
        <f>TEXT(DATEVALUE(B514),"yyyy-mm")</f>
        <v/>
      </c>
    </row>
    <row r="515">
      <c r="A515" s="2" t="inlineStr">
        <is>
          <t>O000373</t>
        </is>
      </c>
      <c r="B515" s="2" t="inlineStr">
        <is>
          <t>2025-02-08</t>
        </is>
      </c>
      <c r="C515" s="2" t="inlineStr">
        <is>
          <t>C0076</t>
        </is>
      </c>
      <c r="D515" s="2" t="inlineStr">
        <is>
          <t>P0010</t>
        </is>
      </c>
      <c r="E515" s="2" t="inlineStr">
        <is>
          <t>Mixer Grinder</t>
        </is>
      </c>
      <c r="F515" s="2" t="inlineStr">
        <is>
          <t>Home &amp; Kitchen</t>
        </is>
      </c>
      <c r="G515" s="2" t="inlineStr">
        <is>
          <t>West</t>
        </is>
      </c>
      <c r="H515" s="2" t="inlineStr">
        <is>
          <t>Gujarat</t>
        </is>
      </c>
      <c r="I515" s="2" t="inlineStr">
        <is>
          <t>Vadodara</t>
        </is>
      </c>
      <c r="J515" s="2" t="inlineStr">
        <is>
          <t>Online</t>
        </is>
      </c>
      <c r="K515" s="2" t="n">
        <v>2</v>
      </c>
      <c r="L515" s="3" t="n">
        <v>1623.14</v>
      </c>
      <c r="M515" s="4" t="n">
        <v>0.05</v>
      </c>
      <c r="N515" s="3" t="n">
        <v>2158.82</v>
      </c>
      <c r="O515" s="3">
        <f>K515*L515*(1-M515)</f>
        <v/>
      </c>
      <c r="P515" s="3">
        <f>O515-N515</f>
        <v/>
      </c>
      <c r="Q515" s="5">
        <f>IFERROR(P515/O515,0)</f>
        <v/>
      </c>
      <c r="R515" s="2">
        <f>TEXT(DATEVALUE(B515),"mmm")</f>
        <v/>
      </c>
      <c r="S515" s="2">
        <f>TEXT(DATEVALUE(B515),"yyyy-mm")</f>
        <v/>
      </c>
    </row>
    <row r="516">
      <c r="A516" s="2" t="inlineStr">
        <is>
          <t>O001662</t>
        </is>
      </c>
      <c r="B516" s="2" t="inlineStr">
        <is>
          <t>2025-02-08</t>
        </is>
      </c>
      <c r="C516" s="2" t="inlineStr">
        <is>
          <t>C0588</t>
        </is>
      </c>
      <c r="D516" s="2" t="inlineStr">
        <is>
          <t>P0012</t>
        </is>
      </c>
      <c r="E516" s="2" t="inlineStr">
        <is>
          <t>Water Bottle</t>
        </is>
      </c>
      <c r="F516" s="2" t="inlineStr">
        <is>
          <t>Home &amp; Kitchen</t>
        </is>
      </c>
      <c r="G516" s="2" t="inlineStr">
        <is>
          <t>West</t>
        </is>
      </c>
      <c r="H516" s="2" t="inlineStr">
        <is>
          <t>Gujarat</t>
        </is>
      </c>
      <c r="I516" s="2" t="inlineStr">
        <is>
          <t>Surat</t>
        </is>
      </c>
      <c r="J516" s="2" t="inlineStr">
        <is>
          <t>Online</t>
        </is>
      </c>
      <c r="K516" s="2" t="n">
        <v>2</v>
      </c>
      <c r="L516" s="3" t="n">
        <v>966.3200000000001</v>
      </c>
      <c r="M516" s="4" t="n">
        <v>0.2</v>
      </c>
      <c r="N516" s="3" t="n">
        <v>1263.17</v>
      </c>
      <c r="O516" s="3">
        <f>K516*L516*(1-M516)</f>
        <v/>
      </c>
      <c r="P516" s="3">
        <f>O516-N516</f>
        <v/>
      </c>
      <c r="Q516" s="5">
        <f>IFERROR(P516/O516,0)</f>
        <v/>
      </c>
      <c r="R516" s="2">
        <f>TEXT(DATEVALUE(B516),"mmm")</f>
        <v/>
      </c>
      <c r="S516" s="2">
        <f>TEXT(DATEVALUE(B516),"yyyy-mm")</f>
        <v/>
      </c>
    </row>
    <row r="517">
      <c r="A517" s="2" t="inlineStr">
        <is>
          <t>O000586</t>
        </is>
      </c>
      <c r="B517" s="2" t="inlineStr">
        <is>
          <t>2025-02-08</t>
        </is>
      </c>
      <c r="C517" s="2" t="inlineStr">
        <is>
          <t>C0264</t>
        </is>
      </c>
      <c r="D517" s="2" t="inlineStr">
        <is>
          <t>P0017</t>
        </is>
      </c>
      <c r="E517" s="2" t="inlineStr">
        <is>
          <t>Jeans</t>
        </is>
      </c>
      <c r="F517" s="2" t="inlineStr">
        <is>
          <t>Fashion</t>
        </is>
      </c>
      <c r="G517" s="2" t="inlineStr">
        <is>
          <t>West</t>
        </is>
      </c>
      <c r="H517" s="2" t="inlineStr">
        <is>
          <t>Goa</t>
        </is>
      </c>
      <c r="I517" s="2" t="inlineStr">
        <is>
          <t>Panaji</t>
        </is>
      </c>
      <c r="J517" s="2" t="inlineStr">
        <is>
          <t>Online</t>
        </is>
      </c>
      <c r="K517" s="2" t="n">
        <v>1</v>
      </c>
      <c r="L517" s="3" t="n">
        <v>1432.71</v>
      </c>
      <c r="M517" s="4" t="n">
        <v>0</v>
      </c>
      <c r="N517" s="3" t="n">
        <v>998.22</v>
      </c>
      <c r="O517" s="3">
        <f>K517*L517*(1-M517)</f>
        <v/>
      </c>
      <c r="P517" s="3">
        <f>O517-N517</f>
        <v/>
      </c>
      <c r="Q517" s="5">
        <f>IFERROR(P517/O517,0)</f>
        <v/>
      </c>
      <c r="R517" s="2">
        <f>TEXT(DATEVALUE(B517),"mmm")</f>
        <v/>
      </c>
      <c r="S517" s="2">
        <f>TEXT(DATEVALUE(B517),"yyyy-mm")</f>
        <v/>
      </c>
    </row>
    <row r="518">
      <c r="A518" s="2" t="inlineStr">
        <is>
          <t>O000638</t>
        </is>
      </c>
      <c r="B518" s="2" t="inlineStr">
        <is>
          <t>2025-02-08</t>
        </is>
      </c>
      <c r="C518" s="2" t="inlineStr">
        <is>
          <t>C0211</t>
        </is>
      </c>
      <c r="D518" s="2" t="inlineStr">
        <is>
          <t>P0003</t>
        </is>
      </c>
      <c r="E518" s="2" t="inlineStr">
        <is>
          <t>Smartwatch</t>
        </is>
      </c>
      <c r="F518" s="2" t="inlineStr">
        <is>
          <t>Electronics</t>
        </is>
      </c>
      <c r="G518" s="2" t="inlineStr">
        <is>
          <t>West</t>
        </is>
      </c>
      <c r="H518" s="2" t="inlineStr">
        <is>
          <t>Maharashtra</t>
        </is>
      </c>
      <c r="I518" s="2" t="inlineStr">
        <is>
          <t>Nagpur</t>
        </is>
      </c>
      <c r="J518" s="2" t="inlineStr">
        <is>
          <t>Online</t>
        </is>
      </c>
      <c r="K518" s="2" t="n">
        <v>3</v>
      </c>
      <c r="L518" s="3" t="n">
        <v>2192.13</v>
      </c>
      <c r="M518" s="4" t="n">
        <v>0.05</v>
      </c>
      <c r="N518" s="3" t="n">
        <v>3542.74</v>
      </c>
      <c r="O518" s="3">
        <f>K518*L518*(1-M518)</f>
        <v/>
      </c>
      <c r="P518" s="3">
        <f>O518-N518</f>
        <v/>
      </c>
      <c r="Q518" s="5">
        <f>IFERROR(P518/O518,0)</f>
        <v/>
      </c>
      <c r="R518" s="2">
        <f>TEXT(DATEVALUE(B518),"mmm")</f>
        <v/>
      </c>
      <c r="S518" s="2">
        <f>TEXT(DATEVALUE(B518),"yyyy-mm")</f>
        <v/>
      </c>
    </row>
    <row r="519">
      <c r="A519" s="2" t="inlineStr">
        <is>
          <t>O000477</t>
        </is>
      </c>
      <c r="B519" s="2" t="inlineStr">
        <is>
          <t>2025-02-08</t>
        </is>
      </c>
      <c r="C519" s="2" t="inlineStr">
        <is>
          <t>C0221</t>
        </is>
      </c>
      <c r="D519" s="2" t="inlineStr">
        <is>
          <t>P0022</t>
        </is>
      </c>
      <c r="E519" s="2" t="inlineStr">
        <is>
          <t>Face Wash</t>
        </is>
      </c>
      <c r="F519" s="2" t="inlineStr">
        <is>
          <t>Beauty</t>
        </is>
      </c>
      <c r="G519" s="2" t="inlineStr">
        <is>
          <t>South</t>
        </is>
      </c>
      <c r="H519" s="2" t="inlineStr">
        <is>
          <t>Tamil Nadu</t>
        </is>
      </c>
      <c r="I519" s="2" t="inlineStr">
        <is>
          <t>Madurai</t>
        </is>
      </c>
      <c r="J519" s="2" t="inlineStr">
        <is>
          <t>Online</t>
        </is>
      </c>
      <c r="K519" s="2" t="n">
        <v>2</v>
      </c>
      <c r="L519" s="3" t="n">
        <v>565.11</v>
      </c>
      <c r="M519" s="4" t="n">
        <v>0.1</v>
      </c>
      <c r="N519" s="3" t="n">
        <v>721.91</v>
      </c>
      <c r="O519" s="3">
        <f>K519*L519*(1-M519)</f>
        <v/>
      </c>
      <c r="P519" s="3">
        <f>O519-N519</f>
        <v/>
      </c>
      <c r="Q519" s="5">
        <f>IFERROR(P519/O519,0)</f>
        <v/>
      </c>
      <c r="R519" s="2">
        <f>TEXT(DATEVALUE(B519),"mmm")</f>
        <v/>
      </c>
      <c r="S519" s="2">
        <f>TEXT(DATEVALUE(B519),"yyyy-mm")</f>
        <v/>
      </c>
    </row>
    <row r="520">
      <c r="A520" s="2" t="inlineStr">
        <is>
          <t>O000909</t>
        </is>
      </c>
      <c r="B520" s="2" t="inlineStr">
        <is>
          <t>2025-02-08</t>
        </is>
      </c>
      <c r="C520" s="2" t="inlineStr">
        <is>
          <t>C0101</t>
        </is>
      </c>
      <c r="D520" s="2" t="inlineStr">
        <is>
          <t>P0014</t>
        </is>
      </c>
      <c r="E520" s="2" t="inlineStr">
        <is>
          <t>Coffee Maker</t>
        </is>
      </c>
      <c r="F520" s="2" t="inlineStr">
        <is>
          <t>Home &amp; Kitchen</t>
        </is>
      </c>
      <c r="G520" s="2" t="inlineStr">
        <is>
          <t>South</t>
        </is>
      </c>
      <c r="H520" s="2" t="inlineStr">
        <is>
          <t>Karnataka</t>
        </is>
      </c>
      <c r="I520" s="2" t="inlineStr">
        <is>
          <t>Mysuru</t>
        </is>
      </c>
      <c r="J520" s="2" t="inlineStr">
        <is>
          <t>Store</t>
        </is>
      </c>
      <c r="K520" s="2" t="n">
        <v>4</v>
      </c>
      <c r="L520" s="3" t="n">
        <v>1066.62</v>
      </c>
      <c r="M520" s="4" t="n">
        <v>0</v>
      </c>
      <c r="N520" s="3" t="n">
        <v>3129.14</v>
      </c>
      <c r="O520" s="3">
        <f>K520*L520*(1-M520)</f>
        <v/>
      </c>
      <c r="P520" s="3">
        <f>O520-N520</f>
        <v/>
      </c>
      <c r="Q520" s="5">
        <f>IFERROR(P520/O520,0)</f>
        <v/>
      </c>
      <c r="R520" s="2">
        <f>TEXT(DATEVALUE(B520),"mmm")</f>
        <v/>
      </c>
      <c r="S520" s="2">
        <f>TEXT(DATEVALUE(B520),"yyyy-mm")</f>
        <v/>
      </c>
    </row>
    <row r="521">
      <c r="A521" s="2" t="inlineStr">
        <is>
          <t>O001072</t>
        </is>
      </c>
      <c r="B521" s="2" t="inlineStr">
        <is>
          <t>2025-02-08</t>
        </is>
      </c>
      <c r="C521" s="2" t="inlineStr">
        <is>
          <t>C0684</t>
        </is>
      </c>
      <c r="D521" s="2" t="inlineStr">
        <is>
          <t>P0035</t>
        </is>
      </c>
      <c r="E521" s="2" t="inlineStr">
        <is>
          <t>Skipping Rope</t>
        </is>
      </c>
      <c r="F521" s="2" t="inlineStr">
        <is>
          <t>Sports</t>
        </is>
      </c>
      <c r="G521" s="2" t="inlineStr">
        <is>
          <t>West</t>
        </is>
      </c>
      <c r="H521" s="2" t="inlineStr">
        <is>
          <t>Gujarat</t>
        </is>
      </c>
      <c r="I521" s="2" t="inlineStr">
        <is>
          <t>Surat</t>
        </is>
      </c>
      <c r="J521" s="2" t="inlineStr">
        <is>
          <t>Online</t>
        </is>
      </c>
      <c r="K521" s="2" t="n">
        <v>2</v>
      </c>
      <c r="L521" s="3" t="n">
        <v>709.05</v>
      </c>
      <c r="M521" s="4" t="n">
        <v>0.1</v>
      </c>
      <c r="N521" s="3" t="n">
        <v>824.33</v>
      </c>
      <c r="O521" s="3">
        <f>K521*L521*(1-M521)</f>
        <v/>
      </c>
      <c r="P521" s="3">
        <f>O521-N521</f>
        <v/>
      </c>
      <c r="Q521" s="5">
        <f>IFERROR(P521/O521,0)</f>
        <v/>
      </c>
      <c r="R521" s="2">
        <f>TEXT(DATEVALUE(B521),"mmm")</f>
        <v/>
      </c>
      <c r="S521" s="2">
        <f>TEXT(DATEVALUE(B521),"yyyy-mm")</f>
        <v/>
      </c>
    </row>
    <row r="522">
      <c r="A522" s="2" t="inlineStr">
        <is>
          <t>O001416</t>
        </is>
      </c>
      <c r="B522" s="2" t="inlineStr">
        <is>
          <t>2025-02-08</t>
        </is>
      </c>
      <c r="C522" s="2" t="inlineStr">
        <is>
          <t>C0783</t>
        </is>
      </c>
      <c r="D522" s="2" t="inlineStr">
        <is>
          <t>P0031</t>
        </is>
      </c>
      <c r="E522" s="2" t="inlineStr">
        <is>
          <t>Cricket Bat</t>
        </is>
      </c>
      <c r="F522" s="2" t="inlineStr">
        <is>
          <t>Sports</t>
        </is>
      </c>
      <c r="G522" s="2" t="inlineStr">
        <is>
          <t>West</t>
        </is>
      </c>
      <c r="H522" s="2" t="inlineStr">
        <is>
          <t>Gujarat</t>
        </is>
      </c>
      <c r="I522" s="2" t="inlineStr">
        <is>
          <t>Surat</t>
        </is>
      </c>
      <c r="J522" s="2" t="inlineStr">
        <is>
          <t>Online</t>
        </is>
      </c>
      <c r="K522" s="2" t="n">
        <v>1</v>
      </c>
      <c r="L522" s="3" t="n">
        <v>1443.49</v>
      </c>
      <c r="M522" s="4" t="n">
        <v>0.1</v>
      </c>
      <c r="N522" s="3" t="n">
        <v>972.5</v>
      </c>
      <c r="O522" s="3">
        <f>K522*L522*(1-M522)</f>
        <v/>
      </c>
      <c r="P522" s="3">
        <f>O522-N522</f>
        <v/>
      </c>
      <c r="Q522" s="5">
        <f>IFERROR(P522/O522,0)</f>
        <v/>
      </c>
      <c r="R522" s="2">
        <f>TEXT(DATEVALUE(B522),"mmm")</f>
        <v/>
      </c>
      <c r="S522" s="2">
        <f>TEXT(DATEVALUE(B522),"yyyy-mm")</f>
        <v/>
      </c>
    </row>
    <row r="523">
      <c r="A523" s="2" t="inlineStr">
        <is>
          <t>O001485</t>
        </is>
      </c>
      <c r="B523" s="2" t="inlineStr">
        <is>
          <t>2025-02-08</t>
        </is>
      </c>
      <c r="C523" s="2" t="inlineStr">
        <is>
          <t>C0369</t>
        </is>
      </c>
      <c r="D523" s="2" t="inlineStr">
        <is>
          <t>P0017</t>
        </is>
      </c>
      <c r="E523" s="2" t="inlineStr">
        <is>
          <t>Jeans</t>
        </is>
      </c>
      <c r="F523" s="2" t="inlineStr">
        <is>
          <t>Fashion</t>
        </is>
      </c>
      <c r="G523" s="2" t="inlineStr">
        <is>
          <t>East</t>
        </is>
      </c>
      <c r="H523" s="2" t="inlineStr">
        <is>
          <t>Odisha</t>
        </is>
      </c>
      <c r="I523" s="2" t="inlineStr">
        <is>
          <t>Bhubaneswar</t>
        </is>
      </c>
      <c r="J523" s="2" t="inlineStr">
        <is>
          <t>Store</t>
        </is>
      </c>
      <c r="K523" s="2" t="n">
        <v>2</v>
      </c>
      <c r="L523" s="3" t="n">
        <v>1442.1</v>
      </c>
      <c r="M523" s="4" t="n">
        <v>0.05</v>
      </c>
      <c r="N523" s="3" t="n">
        <v>2059.69</v>
      </c>
      <c r="O523" s="3">
        <f>K523*L523*(1-M523)</f>
        <v/>
      </c>
      <c r="P523" s="3">
        <f>O523-N523</f>
        <v/>
      </c>
      <c r="Q523" s="5">
        <f>IFERROR(P523/O523,0)</f>
        <v/>
      </c>
      <c r="R523" s="2">
        <f>TEXT(DATEVALUE(B523),"mmm")</f>
        <v/>
      </c>
      <c r="S523" s="2">
        <f>TEXT(DATEVALUE(B523),"yyyy-mm")</f>
        <v/>
      </c>
    </row>
    <row r="524">
      <c r="A524" s="2" t="inlineStr">
        <is>
          <t>O004692</t>
        </is>
      </c>
      <c r="B524" s="2" t="inlineStr">
        <is>
          <t>2025-02-09</t>
        </is>
      </c>
      <c r="C524" s="2" t="inlineStr">
        <is>
          <t>C0597</t>
        </is>
      </c>
      <c r="D524" s="2" t="inlineStr">
        <is>
          <t>P0016</t>
        </is>
      </c>
      <c r="E524" s="2" t="inlineStr">
        <is>
          <t>Casual Shirt</t>
        </is>
      </c>
      <c r="F524" s="2" t="inlineStr">
        <is>
          <t>Fashion</t>
        </is>
      </c>
      <c r="G524" s="2" t="inlineStr">
        <is>
          <t>West</t>
        </is>
      </c>
      <c r="H524" s="2" t="inlineStr">
        <is>
          <t>Goa</t>
        </is>
      </c>
      <c r="I524" s="2" t="inlineStr">
        <is>
          <t>Margao</t>
        </is>
      </c>
      <c r="J524" s="2" t="inlineStr">
        <is>
          <t>Store</t>
        </is>
      </c>
      <c r="K524" s="2" t="n">
        <v>1</v>
      </c>
      <c r="L524" s="3" t="n">
        <v>1255.88</v>
      </c>
      <c r="M524" s="4" t="n">
        <v>0.05</v>
      </c>
      <c r="N524" s="3" t="n">
        <v>889.0700000000001</v>
      </c>
      <c r="O524" s="3">
        <f>K524*L524*(1-M524)</f>
        <v/>
      </c>
      <c r="P524" s="3">
        <f>O524-N524</f>
        <v/>
      </c>
      <c r="Q524" s="5">
        <f>IFERROR(P524/O524,0)</f>
        <v/>
      </c>
      <c r="R524" s="2">
        <f>TEXT(DATEVALUE(B524),"mmm")</f>
        <v/>
      </c>
      <c r="S524" s="2">
        <f>TEXT(DATEVALUE(B524),"yyyy-mm")</f>
        <v/>
      </c>
    </row>
    <row r="525">
      <c r="A525" s="2" t="inlineStr">
        <is>
          <t>O004100</t>
        </is>
      </c>
      <c r="B525" s="2" t="inlineStr">
        <is>
          <t>2025-02-09</t>
        </is>
      </c>
      <c r="C525" s="2" t="inlineStr">
        <is>
          <t>C0682</t>
        </is>
      </c>
      <c r="D525" s="2" t="inlineStr">
        <is>
          <t>P0019</t>
        </is>
      </c>
      <c r="E525" s="2" t="inlineStr">
        <is>
          <t>Jacket</t>
        </is>
      </c>
      <c r="F525" s="2" t="inlineStr">
        <is>
          <t>Fashion</t>
        </is>
      </c>
      <c r="G525" s="2" t="inlineStr">
        <is>
          <t>West</t>
        </is>
      </c>
      <c r="H525" s="2" t="inlineStr">
        <is>
          <t>Gujarat</t>
        </is>
      </c>
      <c r="I525" s="2" t="inlineStr">
        <is>
          <t>Ahmedabad</t>
        </is>
      </c>
      <c r="J525" s="2" t="inlineStr">
        <is>
          <t>Online</t>
        </is>
      </c>
      <c r="K525" s="2" t="n">
        <v>2</v>
      </c>
      <c r="L525" s="3" t="n">
        <v>1028.74</v>
      </c>
      <c r="M525" s="4" t="n">
        <v>0.15</v>
      </c>
      <c r="N525" s="3" t="n">
        <v>1326.06</v>
      </c>
      <c r="O525" s="3">
        <f>K525*L525*(1-M525)</f>
        <v/>
      </c>
      <c r="P525" s="3">
        <f>O525-N525</f>
        <v/>
      </c>
      <c r="Q525" s="5">
        <f>IFERROR(P525/O525,0)</f>
        <v/>
      </c>
      <c r="R525" s="2">
        <f>TEXT(DATEVALUE(B525),"mmm")</f>
        <v/>
      </c>
      <c r="S525" s="2">
        <f>TEXT(DATEVALUE(B525),"yyyy-mm")</f>
        <v/>
      </c>
    </row>
    <row r="526">
      <c r="A526" s="2" t="inlineStr">
        <is>
          <t>O004080</t>
        </is>
      </c>
      <c r="B526" s="2" t="inlineStr">
        <is>
          <t>2025-02-09</t>
        </is>
      </c>
      <c r="C526" s="2" t="inlineStr">
        <is>
          <t>C0548</t>
        </is>
      </c>
      <c r="D526" s="2" t="inlineStr">
        <is>
          <t>P0006</t>
        </is>
      </c>
      <c r="E526" s="2" t="inlineStr">
        <is>
          <t>Mechanical Keyboard</t>
        </is>
      </c>
      <c r="F526" s="2" t="inlineStr">
        <is>
          <t>Electronics</t>
        </is>
      </c>
      <c r="G526" s="2" t="inlineStr">
        <is>
          <t>East</t>
        </is>
      </c>
      <c r="H526" s="2" t="inlineStr">
        <is>
          <t>West Bengal</t>
        </is>
      </c>
      <c r="I526" s="2" t="inlineStr">
        <is>
          <t>Durgapur</t>
        </is>
      </c>
      <c r="J526" s="2" t="inlineStr">
        <is>
          <t>Store</t>
        </is>
      </c>
      <c r="K526" s="2" t="n">
        <v>1</v>
      </c>
      <c r="L526" s="3" t="n">
        <v>2747.93</v>
      </c>
      <c r="M526" s="4" t="n">
        <v>0.05</v>
      </c>
      <c r="N526" s="3" t="n">
        <v>1505.45</v>
      </c>
      <c r="O526" s="3">
        <f>K526*L526*(1-M526)</f>
        <v/>
      </c>
      <c r="P526" s="3">
        <f>O526-N526</f>
        <v/>
      </c>
      <c r="Q526" s="5">
        <f>IFERROR(P526/O526,0)</f>
        <v/>
      </c>
      <c r="R526" s="2">
        <f>TEXT(DATEVALUE(B526),"mmm")</f>
        <v/>
      </c>
      <c r="S526" s="2">
        <f>TEXT(DATEVALUE(B526),"yyyy-mm")</f>
        <v/>
      </c>
    </row>
    <row r="527">
      <c r="A527" s="2" t="inlineStr">
        <is>
          <t>O002987</t>
        </is>
      </c>
      <c r="B527" s="2" t="inlineStr">
        <is>
          <t>2025-02-09</t>
        </is>
      </c>
      <c r="C527" s="2" t="inlineStr">
        <is>
          <t>C0430</t>
        </is>
      </c>
      <c r="D527" s="2" t="inlineStr">
        <is>
          <t>P0021</t>
        </is>
      </c>
      <c r="E527" s="2" t="inlineStr">
        <is>
          <t>Wallet</t>
        </is>
      </c>
      <c r="F527" s="2" t="inlineStr">
        <is>
          <t>Fashion</t>
        </is>
      </c>
      <c r="G527" s="2" t="inlineStr">
        <is>
          <t>South</t>
        </is>
      </c>
      <c r="H527" s="2" t="inlineStr">
        <is>
          <t>Karnataka</t>
        </is>
      </c>
      <c r="I527" s="2" t="inlineStr">
        <is>
          <t>Mysuru</t>
        </is>
      </c>
      <c r="J527" s="2" t="inlineStr">
        <is>
          <t>Store</t>
        </is>
      </c>
      <c r="K527" s="2" t="n">
        <v>3</v>
      </c>
      <c r="L527" s="3" t="n">
        <v>1948.03</v>
      </c>
      <c r="M527" s="4" t="n">
        <v>0</v>
      </c>
      <c r="N527" s="3" t="n">
        <v>3581.24</v>
      </c>
      <c r="O527" s="3">
        <f>K527*L527*(1-M527)</f>
        <v/>
      </c>
      <c r="P527" s="3">
        <f>O527-N527</f>
        <v/>
      </c>
      <c r="Q527" s="5">
        <f>IFERROR(P527/O527,0)</f>
        <v/>
      </c>
      <c r="R527" s="2">
        <f>TEXT(DATEVALUE(B527),"mmm")</f>
        <v/>
      </c>
      <c r="S527" s="2">
        <f>TEXT(DATEVALUE(B527),"yyyy-mm")</f>
        <v/>
      </c>
    </row>
    <row r="528">
      <c r="A528" s="2" t="inlineStr">
        <is>
          <t>O004748</t>
        </is>
      </c>
      <c r="B528" s="2" t="inlineStr">
        <is>
          <t>2025-02-09</t>
        </is>
      </c>
      <c r="C528" s="2" t="inlineStr">
        <is>
          <t>C0388</t>
        </is>
      </c>
      <c r="D528" s="2" t="inlineStr">
        <is>
          <t>P0022</t>
        </is>
      </c>
      <c r="E528" s="2" t="inlineStr">
        <is>
          <t>Face Wash</t>
        </is>
      </c>
      <c r="F528" s="2" t="inlineStr">
        <is>
          <t>Beauty</t>
        </is>
      </c>
      <c r="G528" s="2" t="inlineStr">
        <is>
          <t>East</t>
        </is>
      </c>
      <c r="H528" s="2" t="inlineStr">
        <is>
          <t>Odisha</t>
        </is>
      </c>
      <c r="I528" s="2" t="inlineStr">
        <is>
          <t>Cuttack</t>
        </is>
      </c>
      <c r="J528" s="2" t="inlineStr">
        <is>
          <t>Store</t>
        </is>
      </c>
      <c r="K528" s="2" t="n">
        <v>4</v>
      </c>
      <c r="L528" s="3" t="n">
        <v>564.87</v>
      </c>
      <c r="M528" s="4" t="n">
        <v>0.05</v>
      </c>
      <c r="N528" s="3" t="n">
        <v>1385.93</v>
      </c>
      <c r="O528" s="3">
        <f>K528*L528*(1-M528)</f>
        <v/>
      </c>
      <c r="P528" s="3">
        <f>O528-N528</f>
        <v/>
      </c>
      <c r="Q528" s="5">
        <f>IFERROR(P528/O528,0)</f>
        <v/>
      </c>
      <c r="R528" s="2">
        <f>TEXT(DATEVALUE(B528),"mmm")</f>
        <v/>
      </c>
      <c r="S528" s="2">
        <f>TEXT(DATEVALUE(B528),"yyyy-mm")</f>
        <v/>
      </c>
    </row>
    <row r="529">
      <c r="A529" s="2" t="inlineStr">
        <is>
          <t>O002453</t>
        </is>
      </c>
      <c r="B529" s="2" t="inlineStr">
        <is>
          <t>2025-02-09</t>
        </is>
      </c>
      <c r="C529" s="2" t="inlineStr">
        <is>
          <t>C0506</t>
        </is>
      </c>
      <c r="D529" s="2" t="inlineStr">
        <is>
          <t>P0007</t>
        </is>
      </c>
      <c r="E529" s="2" t="inlineStr">
        <is>
          <t>Wireless Mouse</t>
        </is>
      </c>
      <c r="F529" s="2" t="inlineStr">
        <is>
          <t>Electronics</t>
        </is>
      </c>
      <c r="G529" s="2" t="inlineStr">
        <is>
          <t>South</t>
        </is>
      </c>
      <c r="H529" s="2" t="inlineStr">
        <is>
          <t>Karnataka</t>
        </is>
      </c>
      <c r="I529" s="2" t="inlineStr">
        <is>
          <t>Mysuru</t>
        </is>
      </c>
      <c r="J529" s="2" t="inlineStr">
        <is>
          <t>Online</t>
        </is>
      </c>
      <c r="K529" s="2" t="n">
        <v>2</v>
      </c>
      <c r="L529" s="3" t="n">
        <v>996.53</v>
      </c>
      <c r="M529" s="4" t="n">
        <v>0.15</v>
      </c>
      <c r="N529" s="3" t="n">
        <v>1228.87</v>
      </c>
      <c r="O529" s="3">
        <f>K529*L529*(1-M529)</f>
        <v/>
      </c>
      <c r="P529" s="3">
        <f>O529-N529</f>
        <v/>
      </c>
      <c r="Q529" s="5">
        <f>IFERROR(P529/O529,0)</f>
        <v/>
      </c>
      <c r="R529" s="2">
        <f>TEXT(DATEVALUE(B529),"mmm")</f>
        <v/>
      </c>
      <c r="S529" s="2">
        <f>TEXT(DATEVALUE(B529),"yyyy-mm")</f>
        <v/>
      </c>
    </row>
    <row r="530">
      <c r="A530" s="2" t="inlineStr">
        <is>
          <t>O001624</t>
        </is>
      </c>
      <c r="B530" s="2" t="inlineStr">
        <is>
          <t>2025-02-09</t>
        </is>
      </c>
      <c r="C530" s="2" t="inlineStr">
        <is>
          <t>C0298</t>
        </is>
      </c>
      <c r="D530" s="2" t="inlineStr">
        <is>
          <t>P0011</t>
        </is>
      </c>
      <c r="E530" s="2" t="inlineStr">
        <is>
          <t>Cookware Set</t>
        </is>
      </c>
      <c r="F530" s="2" t="inlineStr">
        <is>
          <t>Home &amp; Kitchen</t>
        </is>
      </c>
      <c r="G530" s="2" t="inlineStr">
        <is>
          <t>North</t>
        </is>
      </c>
      <c r="H530" s="2" t="inlineStr">
        <is>
          <t>Haryana</t>
        </is>
      </c>
      <c r="I530" s="2" t="inlineStr">
        <is>
          <t>Gurugram</t>
        </is>
      </c>
      <c r="J530" s="2" t="inlineStr">
        <is>
          <t>Store</t>
        </is>
      </c>
      <c r="K530" s="2" t="n">
        <v>3</v>
      </c>
      <c r="L530" s="3" t="n">
        <v>715.79</v>
      </c>
      <c r="M530" s="4" t="n">
        <v>0.05</v>
      </c>
      <c r="N530" s="3" t="n">
        <v>1436.27</v>
      </c>
      <c r="O530" s="3">
        <f>K530*L530*(1-M530)</f>
        <v/>
      </c>
      <c r="P530" s="3">
        <f>O530-N530</f>
        <v/>
      </c>
      <c r="Q530" s="5">
        <f>IFERROR(P530/O530,0)</f>
        <v/>
      </c>
      <c r="R530" s="2">
        <f>TEXT(DATEVALUE(B530),"mmm")</f>
        <v/>
      </c>
      <c r="S530" s="2">
        <f>TEXT(DATEVALUE(B530),"yyyy-mm")</f>
        <v/>
      </c>
    </row>
    <row r="531">
      <c r="A531" s="2" t="inlineStr">
        <is>
          <t>O001626</t>
        </is>
      </c>
      <c r="B531" s="2" t="inlineStr">
        <is>
          <t>2025-02-09</t>
        </is>
      </c>
      <c r="C531" s="2" t="inlineStr">
        <is>
          <t>C0495</t>
        </is>
      </c>
      <c r="D531" s="2" t="inlineStr">
        <is>
          <t>P0006</t>
        </is>
      </c>
      <c r="E531" s="2" t="inlineStr">
        <is>
          <t>Mechanical Keyboard</t>
        </is>
      </c>
      <c r="F531" s="2" t="inlineStr">
        <is>
          <t>Electronics</t>
        </is>
      </c>
      <c r="G531" s="2" t="inlineStr">
        <is>
          <t>North</t>
        </is>
      </c>
      <c r="H531" s="2" t="inlineStr">
        <is>
          <t>Uttar Pradesh</t>
        </is>
      </c>
      <c r="I531" s="2" t="inlineStr">
        <is>
          <t>Varanasi</t>
        </is>
      </c>
      <c r="J531" s="2" t="inlineStr">
        <is>
          <t>Online</t>
        </is>
      </c>
      <c r="K531" s="2" t="n">
        <v>3</v>
      </c>
      <c r="L531" s="3" t="n">
        <v>2621.04</v>
      </c>
      <c r="M531" s="4" t="n">
        <v>0</v>
      </c>
      <c r="N531" s="3" t="n">
        <v>4327.55</v>
      </c>
      <c r="O531" s="3">
        <f>K531*L531*(1-M531)</f>
        <v/>
      </c>
      <c r="P531" s="3">
        <f>O531-N531</f>
        <v/>
      </c>
      <c r="Q531" s="5">
        <f>IFERROR(P531/O531,0)</f>
        <v/>
      </c>
      <c r="R531" s="2">
        <f>TEXT(DATEVALUE(B531),"mmm")</f>
        <v/>
      </c>
      <c r="S531" s="2">
        <f>TEXT(DATEVALUE(B531),"yyyy-mm")</f>
        <v/>
      </c>
    </row>
    <row r="532">
      <c r="A532" s="2" t="inlineStr">
        <is>
          <t>O001615</t>
        </is>
      </c>
      <c r="B532" s="2" t="inlineStr">
        <is>
          <t>2025-02-09</t>
        </is>
      </c>
      <c r="C532" s="2" t="inlineStr">
        <is>
          <t>C0231</t>
        </is>
      </c>
      <c r="D532" s="2" t="inlineStr">
        <is>
          <t>P0007</t>
        </is>
      </c>
      <c r="E532" s="2" t="inlineStr">
        <is>
          <t>Wireless Mouse</t>
        </is>
      </c>
      <c r="F532" s="2" t="inlineStr">
        <is>
          <t>Electronics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Madurai</t>
        </is>
      </c>
      <c r="J532" s="2" t="inlineStr">
        <is>
          <t>Online</t>
        </is>
      </c>
      <c r="K532" s="2" t="n">
        <v>3</v>
      </c>
      <c r="L532" s="3" t="n">
        <v>982.9400000000001</v>
      </c>
      <c r="M532" s="4" t="n">
        <v>0.1</v>
      </c>
      <c r="N532" s="3" t="n">
        <v>1919.45</v>
      </c>
      <c r="O532" s="3">
        <f>K532*L532*(1-M532)</f>
        <v/>
      </c>
      <c r="P532" s="3">
        <f>O532-N532</f>
        <v/>
      </c>
      <c r="Q532" s="5">
        <f>IFERROR(P532/O532,0)</f>
        <v/>
      </c>
      <c r="R532" s="2">
        <f>TEXT(DATEVALUE(B532),"mmm")</f>
        <v/>
      </c>
      <c r="S532" s="2">
        <f>TEXT(DATEVALUE(B532),"yyyy-mm")</f>
        <v/>
      </c>
    </row>
    <row r="533">
      <c r="A533" s="2" t="inlineStr">
        <is>
          <t>O001599</t>
        </is>
      </c>
      <c r="B533" s="2" t="inlineStr">
        <is>
          <t>2025-02-09</t>
        </is>
      </c>
      <c r="C533" s="2" t="inlineStr">
        <is>
          <t>C0165</t>
        </is>
      </c>
      <c r="D533" s="2" t="inlineStr">
        <is>
          <t>P0022</t>
        </is>
      </c>
      <c r="E533" s="2" t="inlineStr">
        <is>
          <t>Face Wash</t>
        </is>
      </c>
      <c r="F533" s="2" t="inlineStr">
        <is>
          <t>Beauty</t>
        </is>
      </c>
      <c r="G533" s="2" t="inlineStr">
        <is>
          <t>West</t>
        </is>
      </c>
      <c r="H533" s="2" t="inlineStr">
        <is>
          <t>Gujarat</t>
        </is>
      </c>
      <c r="I533" s="2" t="inlineStr">
        <is>
          <t>Ahmedabad</t>
        </is>
      </c>
      <c r="J533" s="2" t="inlineStr">
        <is>
          <t>Store</t>
        </is>
      </c>
      <c r="K533" s="2" t="n">
        <v>1</v>
      </c>
      <c r="L533" s="3" t="n">
        <v>539.52</v>
      </c>
      <c r="M533" s="4" t="n">
        <v>0.15</v>
      </c>
      <c r="N533" s="3" t="n">
        <v>360.73</v>
      </c>
      <c r="O533" s="3">
        <f>K533*L533*(1-M533)</f>
        <v/>
      </c>
      <c r="P533" s="3">
        <f>O533-N533</f>
        <v/>
      </c>
      <c r="Q533" s="5">
        <f>IFERROR(P533/O533,0)</f>
        <v/>
      </c>
      <c r="R533" s="2">
        <f>TEXT(DATEVALUE(B533),"mmm")</f>
        <v/>
      </c>
      <c r="S533" s="2">
        <f>TEXT(DATEVALUE(B533),"yyyy-mm")</f>
        <v/>
      </c>
    </row>
    <row r="534">
      <c r="A534" s="2" t="inlineStr">
        <is>
          <t>O001321</t>
        </is>
      </c>
      <c r="B534" s="2" t="inlineStr">
        <is>
          <t>2025-02-09</t>
        </is>
      </c>
      <c r="C534" s="2" t="inlineStr">
        <is>
          <t>C0003</t>
        </is>
      </c>
      <c r="D534" s="2" t="inlineStr">
        <is>
          <t>P0032</t>
        </is>
      </c>
      <c r="E534" s="2" t="inlineStr">
        <is>
          <t>Football</t>
        </is>
      </c>
      <c r="F534" s="2" t="inlineStr">
        <is>
          <t>Sports</t>
        </is>
      </c>
      <c r="G534" s="2" t="inlineStr">
        <is>
          <t>South</t>
        </is>
      </c>
      <c r="H534" s="2" t="inlineStr">
        <is>
          <t>Telangana</t>
        </is>
      </c>
      <c r="I534" s="2" t="inlineStr">
        <is>
          <t>Warangal</t>
        </is>
      </c>
      <c r="J534" s="2" t="inlineStr">
        <is>
          <t>Online</t>
        </is>
      </c>
      <c r="K534" s="2" t="n">
        <v>3</v>
      </c>
      <c r="L534" s="3" t="n">
        <v>844.42</v>
      </c>
      <c r="M534" s="4" t="n">
        <v>0</v>
      </c>
      <c r="N534" s="3" t="n">
        <v>1645.14</v>
      </c>
      <c r="O534" s="3">
        <f>K534*L534*(1-M534)</f>
        <v/>
      </c>
      <c r="P534" s="3">
        <f>O534-N534</f>
        <v/>
      </c>
      <c r="Q534" s="5">
        <f>IFERROR(P534/O534,0)</f>
        <v/>
      </c>
      <c r="R534" s="2">
        <f>TEXT(DATEVALUE(B534),"mmm")</f>
        <v/>
      </c>
      <c r="S534" s="2">
        <f>TEXT(DATEVALUE(B534),"yyyy-mm")</f>
        <v/>
      </c>
    </row>
    <row r="535">
      <c r="A535" s="2" t="inlineStr">
        <is>
          <t>O000961</t>
        </is>
      </c>
      <c r="B535" s="2" t="inlineStr">
        <is>
          <t>2025-02-09</t>
        </is>
      </c>
      <c r="C535" s="2" t="inlineStr">
        <is>
          <t>C0394</t>
        </is>
      </c>
      <c r="D535" s="2" t="inlineStr">
        <is>
          <t>P0027</t>
        </is>
      </c>
      <c r="E535" s="2" t="inlineStr">
        <is>
          <t>Moisturizer</t>
        </is>
      </c>
      <c r="F535" s="2" t="inlineStr">
        <is>
          <t>Beauty</t>
        </is>
      </c>
      <c r="G535" s="2" t="inlineStr">
        <is>
          <t>South</t>
        </is>
      </c>
      <c r="H535" s="2" t="inlineStr">
        <is>
          <t>Tamil Nadu</t>
        </is>
      </c>
      <c r="I535" s="2" t="inlineStr">
        <is>
          <t>Chennai</t>
        </is>
      </c>
      <c r="J535" s="2" t="inlineStr">
        <is>
          <t>Store</t>
        </is>
      </c>
      <c r="K535" s="2" t="n">
        <v>1</v>
      </c>
      <c r="L535" s="3" t="n">
        <v>972.28</v>
      </c>
      <c r="M535" s="4" t="n">
        <v>0</v>
      </c>
      <c r="N535" s="3" t="n">
        <v>664.21</v>
      </c>
      <c r="O535" s="3">
        <f>K535*L535*(1-M535)</f>
        <v/>
      </c>
      <c r="P535" s="3">
        <f>O535-N535</f>
        <v/>
      </c>
      <c r="Q535" s="5">
        <f>IFERROR(P535/O535,0)</f>
        <v/>
      </c>
      <c r="R535" s="2">
        <f>TEXT(DATEVALUE(B535),"mmm")</f>
        <v/>
      </c>
      <c r="S535" s="2">
        <f>TEXT(DATEVALUE(B535),"yyyy-mm")</f>
        <v/>
      </c>
    </row>
    <row r="536">
      <c r="A536" s="2" t="inlineStr">
        <is>
          <t>O001937</t>
        </is>
      </c>
      <c r="B536" s="2" t="inlineStr">
        <is>
          <t>2025-02-09</t>
        </is>
      </c>
      <c r="C536" s="2" t="inlineStr">
        <is>
          <t>C0172</t>
        </is>
      </c>
      <c r="D536" s="2" t="inlineStr">
        <is>
          <t>P0027</t>
        </is>
      </c>
      <c r="E536" s="2" t="inlineStr">
        <is>
          <t>Moisturizer</t>
        </is>
      </c>
      <c r="F536" s="2" t="inlineStr">
        <is>
          <t>Beauty</t>
        </is>
      </c>
      <c r="G536" s="2" t="inlineStr">
        <is>
          <t>North</t>
        </is>
      </c>
      <c r="H536" s="2" t="inlineStr">
        <is>
          <t>Uttar Pradesh</t>
        </is>
      </c>
      <c r="I536" s="2" t="inlineStr">
        <is>
          <t>Lucknow</t>
        </is>
      </c>
      <c r="J536" s="2" t="inlineStr">
        <is>
          <t>Online</t>
        </is>
      </c>
      <c r="K536" s="2" t="n">
        <v>1</v>
      </c>
      <c r="L536" s="3" t="n">
        <v>996.3099999999999</v>
      </c>
      <c r="M536" s="4" t="n">
        <v>0.1</v>
      </c>
      <c r="N536" s="3" t="n">
        <v>693.25</v>
      </c>
      <c r="O536" s="3">
        <f>K536*L536*(1-M536)</f>
        <v/>
      </c>
      <c r="P536" s="3">
        <f>O536-N536</f>
        <v/>
      </c>
      <c r="Q536" s="5">
        <f>IFERROR(P536/O536,0)</f>
        <v/>
      </c>
      <c r="R536" s="2">
        <f>TEXT(DATEVALUE(B536),"mmm")</f>
        <v/>
      </c>
      <c r="S536" s="2">
        <f>TEXT(DATEVALUE(B536),"yyyy-mm")</f>
        <v/>
      </c>
    </row>
    <row r="537">
      <c r="A537" s="2" t="inlineStr">
        <is>
          <t>O003267</t>
        </is>
      </c>
      <c r="B537" s="2" t="inlineStr">
        <is>
          <t>2025-02-10</t>
        </is>
      </c>
      <c r="C537" s="2" t="inlineStr">
        <is>
          <t>C0354</t>
        </is>
      </c>
      <c r="D537" s="2" t="inlineStr">
        <is>
          <t>P0007</t>
        </is>
      </c>
      <c r="E537" s="2" t="inlineStr">
        <is>
          <t>Wireless Mouse</t>
        </is>
      </c>
      <c r="F537" s="2" t="inlineStr">
        <is>
          <t>Electronics</t>
        </is>
      </c>
      <c r="G537" s="2" t="inlineStr">
        <is>
          <t>West</t>
        </is>
      </c>
      <c r="H537" s="2" t="inlineStr">
        <is>
          <t>Goa</t>
        </is>
      </c>
      <c r="I537" s="2" t="inlineStr">
        <is>
          <t>Panaji</t>
        </is>
      </c>
      <c r="J537" s="2" t="inlineStr">
        <is>
          <t>Store</t>
        </is>
      </c>
      <c r="K537" s="2" t="n">
        <v>2</v>
      </c>
      <c r="L537" s="3" t="n">
        <v>962.5700000000001</v>
      </c>
      <c r="M537" s="4" t="n">
        <v>0.15</v>
      </c>
      <c r="N537" s="3" t="n">
        <v>1220.57</v>
      </c>
      <c r="O537" s="3">
        <f>K537*L537*(1-M537)</f>
        <v/>
      </c>
      <c r="P537" s="3">
        <f>O537-N537</f>
        <v/>
      </c>
      <c r="Q537" s="5">
        <f>IFERROR(P537/O537,0)</f>
        <v/>
      </c>
      <c r="R537" s="2">
        <f>TEXT(DATEVALUE(B537),"mmm")</f>
        <v/>
      </c>
      <c r="S537" s="2">
        <f>TEXT(DATEVALUE(B537),"yyyy-mm")</f>
        <v/>
      </c>
    </row>
    <row r="538">
      <c r="A538" s="2" t="inlineStr">
        <is>
          <t>O004336</t>
        </is>
      </c>
      <c r="B538" s="2" t="inlineStr">
        <is>
          <t>2025-02-10</t>
        </is>
      </c>
      <c r="C538" s="2" t="inlineStr">
        <is>
          <t>C0255</t>
        </is>
      </c>
      <c r="D538" s="2" t="inlineStr">
        <is>
          <t>P0007</t>
        </is>
      </c>
      <c r="E538" s="2" t="inlineStr">
        <is>
          <t>Wireless Mouse</t>
        </is>
      </c>
      <c r="F538" s="2" t="inlineStr">
        <is>
          <t>Electronics</t>
        </is>
      </c>
      <c r="G538" s="2" t="inlineStr">
        <is>
          <t>North</t>
        </is>
      </c>
      <c r="H538" s="2" t="inlineStr">
        <is>
          <t>Delhi</t>
        </is>
      </c>
      <c r="I538" s="2" t="inlineStr">
        <is>
          <t>New Delhi</t>
        </is>
      </c>
      <c r="J538" s="2" t="inlineStr">
        <is>
          <t>Online</t>
        </is>
      </c>
      <c r="K538" s="2" t="n">
        <v>1</v>
      </c>
      <c r="L538" s="3" t="n">
        <v>980.1799999999999</v>
      </c>
      <c r="M538" s="4" t="n">
        <v>0</v>
      </c>
      <c r="N538" s="3" t="n">
        <v>610.8099999999999</v>
      </c>
      <c r="O538" s="3">
        <f>K538*L538*(1-M538)</f>
        <v/>
      </c>
      <c r="P538" s="3">
        <f>O538-N538</f>
        <v/>
      </c>
      <c r="Q538" s="5">
        <f>IFERROR(P538/O538,0)</f>
        <v/>
      </c>
      <c r="R538" s="2">
        <f>TEXT(DATEVALUE(B538),"mmm")</f>
        <v/>
      </c>
      <c r="S538" s="2">
        <f>TEXT(DATEVALUE(B538),"yyyy-mm")</f>
        <v/>
      </c>
    </row>
    <row r="539">
      <c r="A539" s="2" t="inlineStr">
        <is>
          <t>O004090</t>
        </is>
      </c>
      <c r="B539" s="2" t="inlineStr">
        <is>
          <t>2025-02-10</t>
        </is>
      </c>
      <c r="C539" s="2" t="inlineStr">
        <is>
          <t>C0694</t>
        </is>
      </c>
      <c r="D539" s="2" t="inlineStr">
        <is>
          <t>P0021</t>
        </is>
      </c>
      <c r="E539" s="2" t="inlineStr">
        <is>
          <t>Wallet</t>
        </is>
      </c>
      <c r="F539" s="2" t="inlineStr">
        <is>
          <t>Fashion</t>
        </is>
      </c>
      <c r="G539" s="2" t="inlineStr">
        <is>
          <t>North</t>
        </is>
      </c>
      <c r="H539" s="2" t="inlineStr">
        <is>
          <t>Delhi</t>
        </is>
      </c>
      <c r="I539" s="2" t="inlineStr">
        <is>
          <t>New Delhi</t>
        </is>
      </c>
      <c r="J539" s="2" t="inlineStr">
        <is>
          <t>Online</t>
        </is>
      </c>
      <c r="K539" s="2" t="n">
        <v>1</v>
      </c>
      <c r="L539" s="3" t="n">
        <v>2094.87</v>
      </c>
      <c r="M539" s="4" t="n">
        <v>0</v>
      </c>
      <c r="N539" s="3" t="n">
        <v>1195.75</v>
      </c>
      <c r="O539" s="3">
        <f>K539*L539*(1-M539)</f>
        <v/>
      </c>
      <c r="P539" s="3">
        <f>O539-N539</f>
        <v/>
      </c>
      <c r="Q539" s="5">
        <f>IFERROR(P539/O539,0)</f>
        <v/>
      </c>
      <c r="R539" s="2">
        <f>TEXT(DATEVALUE(B539),"mmm")</f>
        <v/>
      </c>
      <c r="S539" s="2">
        <f>TEXT(DATEVALUE(B539),"yyyy-mm")</f>
        <v/>
      </c>
    </row>
    <row r="540">
      <c r="A540" s="2" t="inlineStr">
        <is>
          <t>O004058</t>
        </is>
      </c>
      <c r="B540" s="2" t="inlineStr">
        <is>
          <t>2025-02-10</t>
        </is>
      </c>
      <c r="C540" s="2" t="inlineStr">
        <is>
          <t>C0249</t>
        </is>
      </c>
      <c r="D540" s="2" t="inlineStr">
        <is>
          <t>P0011</t>
        </is>
      </c>
      <c r="E540" s="2" t="inlineStr">
        <is>
          <t>Cookware Set</t>
        </is>
      </c>
      <c r="F540" s="2" t="inlineStr">
        <is>
          <t>Home &amp; Kitchen</t>
        </is>
      </c>
      <c r="G540" s="2" t="inlineStr">
        <is>
          <t>South</t>
        </is>
      </c>
      <c r="H540" s="2" t="inlineStr">
        <is>
          <t>Tamil Nadu</t>
        </is>
      </c>
      <c r="I540" s="2" t="inlineStr">
        <is>
          <t>Madurai</t>
        </is>
      </c>
      <c r="J540" s="2" t="inlineStr">
        <is>
          <t>Online</t>
        </is>
      </c>
      <c r="K540" s="2" t="n">
        <v>3</v>
      </c>
      <c r="L540" s="3" t="n">
        <v>698.1</v>
      </c>
      <c r="M540" s="4" t="n">
        <v>0.15</v>
      </c>
      <c r="N540" s="3" t="n">
        <v>1370.39</v>
      </c>
      <c r="O540" s="3">
        <f>K540*L540*(1-M540)</f>
        <v/>
      </c>
      <c r="P540" s="3">
        <f>O540-N540</f>
        <v/>
      </c>
      <c r="Q540" s="5">
        <f>IFERROR(P540/O540,0)</f>
        <v/>
      </c>
      <c r="R540" s="2">
        <f>TEXT(DATEVALUE(B540),"mmm")</f>
        <v/>
      </c>
      <c r="S540" s="2">
        <f>TEXT(DATEVALUE(B540),"yyyy-mm")</f>
        <v/>
      </c>
    </row>
    <row r="541">
      <c r="A541" s="2" t="inlineStr">
        <is>
          <t>O003741</t>
        </is>
      </c>
      <c r="B541" s="2" t="inlineStr">
        <is>
          <t>2025-02-10</t>
        </is>
      </c>
      <c r="C541" s="2" t="inlineStr">
        <is>
          <t>C0475</t>
        </is>
      </c>
      <c r="D541" s="2" t="inlineStr">
        <is>
          <t>P0004</t>
        </is>
      </c>
      <c r="E541" s="2" t="inlineStr">
        <is>
          <t>USB-C Hub</t>
        </is>
      </c>
      <c r="F541" s="2" t="inlineStr">
        <is>
          <t>Electronics</t>
        </is>
      </c>
      <c r="G541" s="2" t="inlineStr">
        <is>
          <t>South</t>
        </is>
      </c>
      <c r="H541" s="2" t="inlineStr">
        <is>
          <t>Telangana</t>
        </is>
      </c>
      <c r="I541" s="2" t="inlineStr">
        <is>
          <t>Hyderabad</t>
        </is>
      </c>
      <c r="J541" s="2" t="inlineStr">
        <is>
          <t>Store</t>
        </is>
      </c>
      <c r="K541" s="2" t="n">
        <v>2</v>
      </c>
      <c r="L541" s="3" t="n">
        <v>1309.87</v>
      </c>
      <c r="M541" s="4" t="n">
        <v>0.15</v>
      </c>
      <c r="N541" s="3" t="n">
        <v>1863.04</v>
      </c>
      <c r="O541" s="3">
        <f>K541*L541*(1-M541)</f>
        <v/>
      </c>
      <c r="P541" s="3">
        <f>O541-N541</f>
        <v/>
      </c>
      <c r="Q541" s="5">
        <f>IFERROR(P541/O541,0)</f>
        <v/>
      </c>
      <c r="R541" s="2">
        <f>TEXT(DATEVALUE(B541),"mmm")</f>
        <v/>
      </c>
      <c r="S541" s="2">
        <f>TEXT(DATEVALUE(B541),"yyyy-mm")</f>
        <v/>
      </c>
    </row>
    <row r="542">
      <c r="A542" s="2" t="inlineStr">
        <is>
          <t>O003367</t>
        </is>
      </c>
      <c r="B542" s="2" t="inlineStr">
        <is>
          <t>2025-02-10</t>
        </is>
      </c>
      <c r="C542" s="2" t="inlineStr">
        <is>
          <t>C0694</t>
        </is>
      </c>
      <c r="D542" s="2" t="inlineStr">
        <is>
          <t>P0010</t>
        </is>
      </c>
      <c r="E542" s="2" t="inlineStr">
        <is>
          <t>Mixer Grinder</t>
        </is>
      </c>
      <c r="F542" s="2" t="inlineStr">
        <is>
          <t>Home &amp; Kitchen</t>
        </is>
      </c>
      <c r="G542" s="2" t="inlineStr">
        <is>
          <t>East</t>
        </is>
      </c>
      <c r="H542" s="2" t="inlineStr">
        <is>
          <t>West Bengal</t>
        </is>
      </c>
      <c r="I542" s="2" t="inlineStr">
        <is>
          <t>Kolkata</t>
        </is>
      </c>
      <c r="J542" s="2" t="inlineStr">
        <is>
          <t>Store</t>
        </is>
      </c>
      <c r="K542" s="2" t="n">
        <v>2</v>
      </c>
      <c r="L542" s="3" t="n">
        <v>1684.37</v>
      </c>
      <c r="M542" s="4" t="n">
        <v>0.05</v>
      </c>
      <c r="N542" s="3" t="n">
        <v>2070.24</v>
      </c>
      <c r="O542" s="3">
        <f>K542*L542*(1-M542)</f>
        <v/>
      </c>
      <c r="P542" s="3">
        <f>O542-N542</f>
        <v/>
      </c>
      <c r="Q542" s="5">
        <f>IFERROR(P542/O542,0)</f>
        <v/>
      </c>
      <c r="R542" s="2">
        <f>TEXT(DATEVALUE(B542),"mmm")</f>
        <v/>
      </c>
      <c r="S542" s="2">
        <f>TEXT(DATEVALUE(B542),"yyyy-mm")</f>
        <v/>
      </c>
    </row>
    <row r="543">
      <c r="A543" s="2" t="inlineStr">
        <is>
          <t>O004403</t>
        </is>
      </c>
      <c r="B543" s="2" t="inlineStr">
        <is>
          <t>2025-02-10</t>
        </is>
      </c>
      <c r="C543" s="2" t="inlineStr">
        <is>
          <t>C0199</t>
        </is>
      </c>
      <c r="D543" s="2" t="inlineStr">
        <is>
          <t>P0029</t>
        </is>
      </c>
      <c r="E543" s="2" t="inlineStr">
        <is>
          <t>Yoga Mat</t>
        </is>
      </c>
      <c r="F543" s="2" t="inlineStr">
        <is>
          <t>Sports</t>
        </is>
      </c>
      <c r="G543" s="2" t="inlineStr">
        <is>
          <t>East</t>
        </is>
      </c>
      <c r="H543" s="2" t="inlineStr">
        <is>
          <t>Bihar</t>
        </is>
      </c>
      <c r="I543" s="2" t="inlineStr">
        <is>
          <t>Gaya</t>
        </is>
      </c>
      <c r="J543" s="2" t="inlineStr">
        <is>
          <t>Online</t>
        </is>
      </c>
      <c r="K543" s="2" t="n">
        <v>1</v>
      </c>
      <c r="L543" s="3" t="n">
        <v>2328.17</v>
      </c>
      <c r="M543" s="4" t="n">
        <v>0.15</v>
      </c>
      <c r="N543" s="3" t="n">
        <v>1311.17</v>
      </c>
      <c r="O543" s="3">
        <f>K543*L543*(1-M543)</f>
        <v/>
      </c>
      <c r="P543" s="3">
        <f>O543-N543</f>
        <v/>
      </c>
      <c r="Q543" s="5">
        <f>IFERROR(P543/O543,0)</f>
        <v/>
      </c>
      <c r="R543" s="2">
        <f>TEXT(DATEVALUE(B543),"mmm")</f>
        <v/>
      </c>
      <c r="S543" s="2">
        <f>TEXT(DATEVALUE(B543),"yyyy-mm")</f>
        <v/>
      </c>
    </row>
    <row r="544">
      <c r="A544" s="2" t="inlineStr">
        <is>
          <t>O003260</t>
        </is>
      </c>
      <c r="B544" s="2" t="inlineStr">
        <is>
          <t>2025-02-10</t>
        </is>
      </c>
      <c r="C544" s="2" t="inlineStr">
        <is>
          <t>C0711</t>
        </is>
      </c>
      <c r="D544" s="2" t="inlineStr">
        <is>
          <t>P0003</t>
        </is>
      </c>
      <c r="E544" s="2" t="inlineStr">
        <is>
          <t>Smartwatch</t>
        </is>
      </c>
      <c r="F544" s="2" t="inlineStr">
        <is>
          <t>Electronics</t>
        </is>
      </c>
      <c r="G544" s="2" t="inlineStr">
        <is>
          <t>South</t>
        </is>
      </c>
      <c r="H544" s="2" t="inlineStr">
        <is>
          <t>Tamil Nadu</t>
        </is>
      </c>
      <c r="I544" s="2" t="inlineStr">
        <is>
          <t>Chennai</t>
        </is>
      </c>
      <c r="J544" s="2" t="inlineStr">
        <is>
          <t>Online</t>
        </is>
      </c>
      <c r="K544" s="2" t="n">
        <v>2</v>
      </c>
      <c r="L544" s="3" t="n">
        <v>2341.99</v>
      </c>
      <c r="M544" s="4" t="n">
        <v>0.05</v>
      </c>
      <c r="N544" s="3" t="n">
        <v>2347.79</v>
      </c>
      <c r="O544" s="3">
        <f>K544*L544*(1-M544)</f>
        <v/>
      </c>
      <c r="P544" s="3">
        <f>O544-N544</f>
        <v/>
      </c>
      <c r="Q544" s="5">
        <f>IFERROR(P544/O544,0)</f>
        <v/>
      </c>
      <c r="R544" s="2">
        <f>TEXT(DATEVALUE(B544),"mmm")</f>
        <v/>
      </c>
      <c r="S544" s="2">
        <f>TEXT(DATEVALUE(B544),"yyyy-mm")</f>
        <v/>
      </c>
    </row>
    <row r="545">
      <c r="A545" s="2" t="inlineStr">
        <is>
          <t>O003313</t>
        </is>
      </c>
      <c r="B545" s="2" t="inlineStr">
        <is>
          <t>2025-02-10</t>
        </is>
      </c>
      <c r="C545" s="2" t="inlineStr">
        <is>
          <t>C0013</t>
        </is>
      </c>
      <c r="D545" s="2" t="inlineStr">
        <is>
          <t>P0022</t>
        </is>
      </c>
      <c r="E545" s="2" t="inlineStr">
        <is>
          <t>Face Wash</t>
        </is>
      </c>
      <c r="F545" s="2" t="inlineStr">
        <is>
          <t>Beauty</t>
        </is>
      </c>
      <c r="G545" s="2" t="inlineStr">
        <is>
          <t>North</t>
        </is>
      </c>
      <c r="H545" s="2" t="inlineStr">
        <is>
          <t>Punjab</t>
        </is>
      </c>
      <c r="I545" s="2" t="inlineStr">
        <is>
          <t>Jalandhar</t>
        </is>
      </c>
      <c r="J545" s="2" t="inlineStr">
        <is>
          <t>Online</t>
        </is>
      </c>
      <c r="K545" s="2" t="n">
        <v>1</v>
      </c>
      <c r="L545" s="3" t="n">
        <v>534.48</v>
      </c>
      <c r="M545" s="4" t="n">
        <v>0.05</v>
      </c>
      <c r="N545" s="3" t="n">
        <v>350.52</v>
      </c>
      <c r="O545" s="3">
        <f>K545*L545*(1-M545)</f>
        <v/>
      </c>
      <c r="P545" s="3">
        <f>O545-N545</f>
        <v/>
      </c>
      <c r="Q545" s="5">
        <f>IFERROR(P545/O545,0)</f>
        <v/>
      </c>
      <c r="R545" s="2">
        <f>TEXT(DATEVALUE(B545),"mmm")</f>
        <v/>
      </c>
      <c r="S545" s="2">
        <f>TEXT(DATEVALUE(B545),"yyyy-mm")</f>
        <v/>
      </c>
    </row>
    <row r="546">
      <c r="A546" s="2" t="inlineStr">
        <is>
          <t>O003047</t>
        </is>
      </c>
      <c r="B546" s="2" t="inlineStr">
        <is>
          <t>2025-02-10</t>
        </is>
      </c>
      <c r="C546" s="2" t="inlineStr">
        <is>
          <t>C0154</t>
        </is>
      </c>
      <c r="D546" s="2" t="inlineStr">
        <is>
          <t>P0022</t>
        </is>
      </c>
      <c r="E546" s="2" t="inlineStr">
        <is>
          <t>Face Wash</t>
        </is>
      </c>
      <c r="F546" s="2" t="inlineStr">
        <is>
          <t>Beauty</t>
        </is>
      </c>
      <c r="G546" s="2" t="inlineStr">
        <is>
          <t>South</t>
        </is>
      </c>
      <c r="H546" s="2" t="inlineStr">
        <is>
          <t>Karnataka</t>
        </is>
      </c>
      <c r="I546" s="2" t="inlineStr">
        <is>
          <t>Bengaluru</t>
        </is>
      </c>
      <c r="J546" s="2" t="inlineStr">
        <is>
          <t>Online</t>
        </is>
      </c>
      <c r="K546" s="2" t="n">
        <v>1</v>
      </c>
      <c r="L546" s="3" t="n">
        <v>564.48</v>
      </c>
      <c r="M546" s="4" t="n">
        <v>0.05</v>
      </c>
      <c r="N546" s="3" t="n">
        <v>342.26</v>
      </c>
      <c r="O546" s="3">
        <f>K546*L546*(1-M546)</f>
        <v/>
      </c>
      <c r="P546" s="3">
        <f>O546-N546</f>
        <v/>
      </c>
      <c r="Q546" s="5">
        <f>IFERROR(P546/O546,0)</f>
        <v/>
      </c>
      <c r="R546" s="2">
        <f>TEXT(DATEVALUE(B546),"mmm")</f>
        <v/>
      </c>
      <c r="S546" s="2">
        <f>TEXT(DATEVALUE(B546),"yyyy-mm")</f>
        <v/>
      </c>
    </row>
    <row r="547">
      <c r="A547" s="2" t="inlineStr">
        <is>
          <t>O000091</t>
        </is>
      </c>
      <c r="B547" s="2" t="inlineStr">
        <is>
          <t>2025-02-10</t>
        </is>
      </c>
      <c r="C547" s="2" t="inlineStr">
        <is>
          <t>C0694</t>
        </is>
      </c>
      <c r="D547" s="2" t="inlineStr">
        <is>
          <t>P0021</t>
        </is>
      </c>
      <c r="E547" s="2" t="inlineStr">
        <is>
          <t>Wallet</t>
        </is>
      </c>
      <c r="F547" s="2" t="inlineStr">
        <is>
          <t>Fashion</t>
        </is>
      </c>
      <c r="G547" s="2" t="inlineStr">
        <is>
          <t>North</t>
        </is>
      </c>
      <c r="H547" s="2" t="inlineStr">
        <is>
          <t>Haryana</t>
        </is>
      </c>
      <c r="I547" s="2" t="inlineStr">
        <is>
          <t>Faridabad</t>
        </is>
      </c>
      <c r="J547" s="2" t="inlineStr">
        <is>
          <t>Online</t>
        </is>
      </c>
      <c r="K547" s="2" t="n">
        <v>4</v>
      </c>
      <c r="L547" s="3" t="n">
        <v>1937.91</v>
      </c>
      <c r="M547" s="4" t="n">
        <v>0.05</v>
      </c>
      <c r="N547" s="3" t="n">
        <v>4746.19</v>
      </c>
      <c r="O547" s="3">
        <f>K547*L547*(1-M547)</f>
        <v/>
      </c>
      <c r="P547" s="3">
        <f>O547-N547</f>
        <v/>
      </c>
      <c r="Q547" s="5">
        <f>IFERROR(P547/O547,0)</f>
        <v/>
      </c>
      <c r="R547" s="2">
        <f>TEXT(DATEVALUE(B547),"mmm")</f>
        <v/>
      </c>
      <c r="S547" s="2">
        <f>TEXT(DATEVALUE(B547),"yyyy-mm")</f>
        <v/>
      </c>
    </row>
    <row r="548">
      <c r="A548" s="2" t="inlineStr">
        <is>
          <t>O000109</t>
        </is>
      </c>
      <c r="B548" s="2" t="inlineStr">
        <is>
          <t>2025-02-10</t>
        </is>
      </c>
      <c r="C548" s="2" t="inlineStr">
        <is>
          <t>C0077</t>
        </is>
      </c>
      <c r="D548" s="2" t="inlineStr">
        <is>
          <t>P0009</t>
        </is>
      </c>
      <c r="E548" s="2" t="inlineStr">
        <is>
          <t>Electric Kettle</t>
        </is>
      </c>
      <c r="F548" s="2" t="inlineStr">
        <is>
          <t>Home &amp; Kitchen</t>
        </is>
      </c>
      <c r="G548" s="2" t="inlineStr">
        <is>
          <t>East</t>
        </is>
      </c>
      <c r="H548" s="2" t="inlineStr">
        <is>
          <t>West Bengal</t>
        </is>
      </c>
      <c r="I548" s="2" t="inlineStr">
        <is>
          <t>Durgapur</t>
        </is>
      </c>
      <c r="J548" s="2" t="inlineStr">
        <is>
          <t>Store</t>
        </is>
      </c>
      <c r="K548" s="2" t="n">
        <v>4</v>
      </c>
      <c r="L548" s="3" t="n">
        <v>2153.78</v>
      </c>
      <c r="M548" s="4" t="n">
        <v>0.05</v>
      </c>
      <c r="N548" s="3" t="n">
        <v>4411.71</v>
      </c>
      <c r="O548" s="3">
        <f>K548*L548*(1-M548)</f>
        <v/>
      </c>
      <c r="P548" s="3">
        <f>O548-N548</f>
        <v/>
      </c>
      <c r="Q548" s="5">
        <f>IFERROR(P548/O548,0)</f>
        <v/>
      </c>
      <c r="R548" s="2">
        <f>TEXT(DATEVALUE(B548),"mmm")</f>
        <v/>
      </c>
      <c r="S548" s="2">
        <f>TEXT(DATEVALUE(B548),"yyyy-mm")</f>
        <v/>
      </c>
    </row>
    <row r="549">
      <c r="A549" s="2" t="inlineStr">
        <is>
          <t>O000700</t>
        </is>
      </c>
      <c r="B549" s="2" t="inlineStr">
        <is>
          <t>2025-02-10</t>
        </is>
      </c>
      <c r="C549" s="2" t="inlineStr">
        <is>
          <t>C0182</t>
        </is>
      </c>
      <c r="D549" s="2" t="inlineStr">
        <is>
          <t>P0011</t>
        </is>
      </c>
      <c r="E549" s="2" t="inlineStr">
        <is>
          <t>Cookware Set</t>
        </is>
      </c>
      <c r="F549" s="2" t="inlineStr">
        <is>
          <t>Home &amp; Kitchen</t>
        </is>
      </c>
      <c r="G549" s="2" t="inlineStr">
        <is>
          <t>East</t>
        </is>
      </c>
      <c r="H549" s="2" t="inlineStr">
        <is>
          <t>West Bengal</t>
        </is>
      </c>
      <c r="I549" s="2" t="inlineStr">
        <is>
          <t>Durgapur</t>
        </is>
      </c>
      <c r="J549" s="2" t="inlineStr">
        <is>
          <t>Online</t>
        </is>
      </c>
      <c r="K549" s="2" t="n">
        <v>3</v>
      </c>
      <c r="L549" s="3" t="n">
        <v>696.1900000000001</v>
      </c>
      <c r="M549" s="4" t="n">
        <v>0</v>
      </c>
      <c r="N549" s="3" t="n">
        <v>1402.58</v>
      </c>
      <c r="O549" s="3">
        <f>K549*L549*(1-M549)</f>
        <v/>
      </c>
      <c r="P549" s="3">
        <f>O549-N549</f>
        <v/>
      </c>
      <c r="Q549" s="5">
        <f>IFERROR(P549/O549,0)</f>
        <v/>
      </c>
      <c r="R549" s="2">
        <f>TEXT(DATEVALUE(B549),"mmm")</f>
        <v/>
      </c>
      <c r="S549" s="2">
        <f>TEXT(DATEVALUE(B549),"yyyy-mm")</f>
        <v/>
      </c>
    </row>
    <row r="550">
      <c r="A550" s="2" t="inlineStr">
        <is>
          <t>O003149</t>
        </is>
      </c>
      <c r="B550" s="2" t="inlineStr">
        <is>
          <t>2025-02-10</t>
        </is>
      </c>
      <c r="C550" s="2" t="inlineStr">
        <is>
          <t>C0311</t>
        </is>
      </c>
      <c r="D550" s="2" t="inlineStr">
        <is>
          <t>P0015</t>
        </is>
      </c>
      <c r="E550" s="2" t="inlineStr">
        <is>
          <t>Running Shoes</t>
        </is>
      </c>
      <c r="F550" s="2" t="inlineStr">
        <is>
          <t>Fashion</t>
        </is>
      </c>
      <c r="G550" s="2" t="inlineStr">
        <is>
          <t>North</t>
        </is>
      </c>
      <c r="H550" s="2" t="inlineStr">
        <is>
          <t>Punjab</t>
        </is>
      </c>
      <c r="I550" s="2" t="inlineStr">
        <is>
          <t>Jalandhar</t>
        </is>
      </c>
      <c r="J550" s="2" t="inlineStr">
        <is>
          <t>Online</t>
        </is>
      </c>
      <c r="K550" s="2" t="n">
        <v>1</v>
      </c>
      <c r="L550" s="3" t="n">
        <v>577.4</v>
      </c>
      <c r="M550" s="4" t="n">
        <v>0</v>
      </c>
      <c r="N550" s="3" t="n">
        <v>374.12</v>
      </c>
      <c r="O550" s="3">
        <f>K550*L550*(1-M550)</f>
        <v/>
      </c>
      <c r="P550" s="3">
        <f>O550-N550</f>
        <v/>
      </c>
      <c r="Q550" s="5">
        <f>IFERROR(P550/O550,0)</f>
        <v/>
      </c>
      <c r="R550" s="2">
        <f>TEXT(DATEVALUE(B550),"mmm")</f>
        <v/>
      </c>
      <c r="S550" s="2">
        <f>TEXT(DATEVALUE(B550),"yyyy-mm")</f>
        <v/>
      </c>
    </row>
    <row r="551">
      <c r="A551" s="2" t="inlineStr">
        <is>
          <t>O001811</t>
        </is>
      </c>
      <c r="B551" s="2" t="inlineStr">
        <is>
          <t>2025-02-10</t>
        </is>
      </c>
      <c r="C551" s="2" t="inlineStr">
        <is>
          <t>C0023</t>
        </is>
      </c>
      <c r="D551" s="2" t="inlineStr">
        <is>
          <t>P0012</t>
        </is>
      </c>
      <c r="E551" s="2" t="inlineStr">
        <is>
          <t>Water Bottle</t>
        </is>
      </c>
      <c r="F551" s="2" t="inlineStr">
        <is>
          <t>Home &amp; Kitchen</t>
        </is>
      </c>
      <c r="G551" s="2" t="inlineStr">
        <is>
          <t>West</t>
        </is>
      </c>
      <c r="H551" s="2" t="inlineStr">
        <is>
          <t>Maharashtra</t>
        </is>
      </c>
      <c r="I551" s="2" t="inlineStr">
        <is>
          <t>Nashik</t>
        </is>
      </c>
      <c r="J551" s="2" t="inlineStr">
        <is>
          <t>Online</t>
        </is>
      </c>
      <c r="K551" s="2" t="n">
        <v>2</v>
      </c>
      <c r="L551" s="3" t="n">
        <v>952.5700000000001</v>
      </c>
      <c r="M551" s="4" t="n">
        <v>0.1</v>
      </c>
      <c r="N551" s="3" t="n">
        <v>1216.36</v>
      </c>
      <c r="O551" s="3">
        <f>K551*L551*(1-M551)</f>
        <v/>
      </c>
      <c r="P551" s="3">
        <f>O551-N551</f>
        <v/>
      </c>
      <c r="Q551" s="5">
        <f>IFERROR(P551/O551,0)</f>
        <v/>
      </c>
      <c r="R551" s="2">
        <f>TEXT(DATEVALUE(B551),"mmm")</f>
        <v/>
      </c>
      <c r="S551" s="2">
        <f>TEXT(DATEVALUE(B551),"yyyy-mm")</f>
        <v/>
      </c>
    </row>
    <row r="552">
      <c r="A552" s="2" t="inlineStr">
        <is>
          <t>O001849</t>
        </is>
      </c>
      <c r="B552" s="2" t="inlineStr">
        <is>
          <t>2025-02-10</t>
        </is>
      </c>
      <c r="C552" s="2" t="inlineStr">
        <is>
          <t>C0100</t>
        </is>
      </c>
      <c r="D552" s="2" t="inlineStr">
        <is>
          <t>P0015</t>
        </is>
      </c>
      <c r="E552" s="2" t="inlineStr">
        <is>
          <t>Running Shoes</t>
        </is>
      </c>
      <c r="F552" s="2" t="inlineStr">
        <is>
          <t>Fashion</t>
        </is>
      </c>
      <c r="G552" s="2" t="inlineStr">
        <is>
          <t>South</t>
        </is>
      </c>
      <c r="H552" s="2" t="inlineStr">
        <is>
          <t>Tamil Nadu</t>
        </is>
      </c>
      <c r="I552" s="2" t="inlineStr">
        <is>
          <t>Coimbatore</t>
        </is>
      </c>
      <c r="J552" s="2" t="inlineStr">
        <is>
          <t>Online</t>
        </is>
      </c>
      <c r="K552" s="2" t="n">
        <v>1</v>
      </c>
      <c r="L552" s="3" t="n">
        <v>620.7</v>
      </c>
      <c r="M552" s="4" t="n">
        <v>0</v>
      </c>
      <c r="N552" s="3" t="n">
        <v>377.34</v>
      </c>
      <c r="O552" s="3">
        <f>K552*L552*(1-M552)</f>
        <v/>
      </c>
      <c r="P552" s="3">
        <f>O552-N552</f>
        <v/>
      </c>
      <c r="Q552" s="5">
        <f>IFERROR(P552/O552,0)</f>
        <v/>
      </c>
      <c r="R552" s="2">
        <f>TEXT(DATEVALUE(B552),"mmm")</f>
        <v/>
      </c>
      <c r="S552" s="2">
        <f>TEXT(DATEVALUE(B552),"yyyy-mm")</f>
        <v/>
      </c>
    </row>
    <row r="553">
      <c r="A553" s="2" t="inlineStr">
        <is>
          <t>O001952</t>
        </is>
      </c>
      <c r="B553" s="2" t="inlineStr">
        <is>
          <t>2025-02-10</t>
        </is>
      </c>
      <c r="C553" s="2" t="inlineStr">
        <is>
          <t>C0502</t>
        </is>
      </c>
      <c r="D553" s="2" t="inlineStr">
        <is>
          <t>P0022</t>
        </is>
      </c>
      <c r="E553" s="2" t="inlineStr">
        <is>
          <t>Face Wash</t>
        </is>
      </c>
      <c r="F553" s="2" t="inlineStr">
        <is>
          <t>Beauty</t>
        </is>
      </c>
      <c r="G553" s="2" t="inlineStr">
        <is>
          <t>South</t>
        </is>
      </c>
      <c r="H553" s="2" t="inlineStr">
        <is>
          <t>Tamil Nadu</t>
        </is>
      </c>
      <c r="I553" s="2" t="inlineStr">
        <is>
          <t>Coimbatore</t>
        </is>
      </c>
      <c r="J553" s="2" t="inlineStr">
        <is>
          <t>Store</t>
        </is>
      </c>
      <c r="K553" s="2" t="n">
        <v>3</v>
      </c>
      <c r="L553" s="3" t="n">
        <v>558.76</v>
      </c>
      <c r="M553" s="4" t="n">
        <v>0</v>
      </c>
      <c r="N553" s="3" t="n">
        <v>1056.31</v>
      </c>
      <c r="O553" s="3">
        <f>K553*L553*(1-M553)</f>
        <v/>
      </c>
      <c r="P553" s="3">
        <f>O553-N553</f>
        <v/>
      </c>
      <c r="Q553" s="5">
        <f>IFERROR(P553/O553,0)</f>
        <v/>
      </c>
      <c r="R553" s="2">
        <f>TEXT(DATEVALUE(B553),"mmm")</f>
        <v/>
      </c>
      <c r="S553" s="2">
        <f>TEXT(DATEVALUE(B553),"yyyy-mm")</f>
        <v/>
      </c>
    </row>
    <row r="554">
      <c r="A554" s="2" t="inlineStr">
        <is>
          <t>O001343</t>
        </is>
      </c>
      <c r="B554" s="2" t="inlineStr">
        <is>
          <t>2025-02-10</t>
        </is>
      </c>
      <c r="C554" s="2" t="inlineStr">
        <is>
          <t>C0100</t>
        </is>
      </c>
      <c r="D554" s="2" t="inlineStr">
        <is>
          <t>P0022</t>
        </is>
      </c>
      <c r="E554" s="2" t="inlineStr">
        <is>
          <t>Face Wash</t>
        </is>
      </c>
      <c r="F554" s="2" t="inlineStr">
        <is>
          <t>Beauty</t>
        </is>
      </c>
      <c r="G554" s="2" t="inlineStr">
        <is>
          <t>West</t>
        </is>
      </c>
      <c r="H554" s="2" t="inlineStr">
        <is>
          <t>Gujarat</t>
        </is>
      </c>
      <c r="I554" s="2" t="inlineStr">
        <is>
          <t>Vadodara</t>
        </is>
      </c>
      <c r="J554" s="2" t="inlineStr">
        <is>
          <t>Store</t>
        </is>
      </c>
      <c r="K554" s="2" t="n">
        <v>2</v>
      </c>
      <c r="L554" s="3" t="n">
        <v>542.99</v>
      </c>
      <c r="M554" s="4" t="n">
        <v>0</v>
      </c>
      <c r="N554" s="3" t="n">
        <v>714.41</v>
      </c>
      <c r="O554" s="3">
        <f>K554*L554*(1-M554)</f>
        <v/>
      </c>
      <c r="P554" s="3">
        <f>O554-N554</f>
        <v/>
      </c>
      <c r="Q554" s="5">
        <f>IFERROR(P554/O554,0)</f>
        <v/>
      </c>
      <c r="R554" s="2">
        <f>TEXT(DATEVALUE(B554),"mmm")</f>
        <v/>
      </c>
      <c r="S554" s="2">
        <f>TEXT(DATEVALUE(B554),"yyyy-mm")</f>
        <v/>
      </c>
    </row>
    <row r="555">
      <c r="A555" s="2" t="inlineStr">
        <is>
          <t>O002977</t>
        </is>
      </c>
      <c r="B555" s="2" t="inlineStr">
        <is>
          <t>2025-02-11</t>
        </is>
      </c>
      <c r="C555" s="2" t="inlineStr">
        <is>
          <t>C0053</t>
        </is>
      </c>
      <c r="D555" s="2" t="inlineStr">
        <is>
          <t>P0016</t>
        </is>
      </c>
      <c r="E555" s="2" t="inlineStr">
        <is>
          <t>Casual Shirt</t>
        </is>
      </c>
      <c r="F555" s="2" t="inlineStr">
        <is>
          <t>Fashion</t>
        </is>
      </c>
      <c r="G555" s="2" t="inlineStr">
        <is>
          <t>West</t>
        </is>
      </c>
      <c r="H555" s="2" t="inlineStr">
        <is>
          <t>Goa</t>
        </is>
      </c>
      <c r="I555" s="2" t="inlineStr">
        <is>
          <t>Margao</t>
        </is>
      </c>
      <c r="J555" s="2" t="inlineStr">
        <is>
          <t>Store</t>
        </is>
      </c>
      <c r="K555" s="2" t="n">
        <v>1</v>
      </c>
      <c r="L555" s="3" t="n">
        <v>1248.54</v>
      </c>
      <c r="M555" s="4" t="n">
        <v>0.05</v>
      </c>
      <c r="N555" s="3" t="n">
        <v>911.78</v>
      </c>
      <c r="O555" s="3">
        <f>K555*L555*(1-M555)</f>
        <v/>
      </c>
      <c r="P555" s="3">
        <f>O555-N555</f>
        <v/>
      </c>
      <c r="Q555" s="5">
        <f>IFERROR(P555/O555,0)</f>
        <v/>
      </c>
      <c r="R555" s="2">
        <f>TEXT(DATEVALUE(B555),"mmm")</f>
        <v/>
      </c>
      <c r="S555" s="2">
        <f>TEXT(DATEVALUE(B555),"yyyy-mm")</f>
        <v/>
      </c>
    </row>
    <row r="556">
      <c r="A556" s="2" t="inlineStr">
        <is>
          <t>O002955</t>
        </is>
      </c>
      <c r="B556" s="2" t="inlineStr">
        <is>
          <t>2025-02-11</t>
        </is>
      </c>
      <c r="C556" s="2" t="inlineStr">
        <is>
          <t>C0393</t>
        </is>
      </c>
      <c r="D556" s="2" t="inlineStr">
        <is>
          <t>P0017</t>
        </is>
      </c>
      <c r="E556" s="2" t="inlineStr">
        <is>
          <t>Jeans</t>
        </is>
      </c>
      <c r="F556" s="2" t="inlineStr">
        <is>
          <t>Fashion</t>
        </is>
      </c>
      <c r="G556" s="2" t="inlineStr">
        <is>
          <t>North</t>
        </is>
      </c>
      <c r="H556" s="2" t="inlineStr">
        <is>
          <t>Haryana</t>
        </is>
      </c>
      <c r="I556" s="2" t="inlineStr">
        <is>
          <t>Faridabad</t>
        </is>
      </c>
      <c r="J556" s="2" t="inlineStr">
        <is>
          <t>Online</t>
        </is>
      </c>
      <c r="K556" s="2" t="n">
        <v>1</v>
      </c>
      <c r="L556" s="3" t="n">
        <v>1442.2</v>
      </c>
      <c r="M556" s="4" t="n">
        <v>0.1</v>
      </c>
      <c r="N556" s="3" t="n">
        <v>1012.55</v>
      </c>
      <c r="O556" s="3">
        <f>K556*L556*(1-M556)</f>
        <v/>
      </c>
      <c r="P556" s="3">
        <f>O556-N556</f>
        <v/>
      </c>
      <c r="Q556" s="5">
        <f>IFERROR(P556/O556,0)</f>
        <v/>
      </c>
      <c r="R556" s="2">
        <f>TEXT(DATEVALUE(B556),"mmm")</f>
        <v/>
      </c>
      <c r="S556" s="2">
        <f>TEXT(DATEVALUE(B556),"yyyy-mm")</f>
        <v/>
      </c>
    </row>
    <row r="557">
      <c r="A557" s="2" t="inlineStr">
        <is>
          <t>O002511</t>
        </is>
      </c>
      <c r="B557" s="2" t="inlineStr">
        <is>
          <t>2025-02-11</t>
        </is>
      </c>
      <c r="C557" s="2" t="inlineStr">
        <is>
          <t>C0176</t>
        </is>
      </c>
      <c r="D557" s="2" t="inlineStr">
        <is>
          <t>P0023</t>
        </is>
      </c>
      <c r="E557" s="2" t="inlineStr">
        <is>
          <t>Skin Care Kit</t>
        </is>
      </c>
      <c r="F557" s="2" t="inlineStr">
        <is>
          <t>Beauty</t>
        </is>
      </c>
      <c r="G557" s="2" t="inlineStr">
        <is>
          <t>East</t>
        </is>
      </c>
      <c r="H557" s="2" t="inlineStr">
        <is>
          <t>Odisha</t>
        </is>
      </c>
      <c r="I557" s="2" t="inlineStr">
        <is>
          <t>Bhubaneswar</t>
        </is>
      </c>
      <c r="J557" s="2" t="inlineStr">
        <is>
          <t>Online</t>
        </is>
      </c>
      <c r="K557" s="2" t="n">
        <v>1</v>
      </c>
      <c r="L557" s="3" t="n">
        <v>1349.85</v>
      </c>
      <c r="M557" s="4" t="n">
        <v>0.05</v>
      </c>
      <c r="N557" s="3" t="n">
        <v>925.04</v>
      </c>
      <c r="O557" s="3">
        <f>K557*L557*(1-M557)</f>
        <v/>
      </c>
      <c r="P557" s="3">
        <f>O557-N557</f>
        <v/>
      </c>
      <c r="Q557" s="5">
        <f>IFERROR(P557/O557,0)</f>
        <v/>
      </c>
      <c r="R557" s="2">
        <f>TEXT(DATEVALUE(B557),"mmm")</f>
        <v/>
      </c>
      <c r="S557" s="2">
        <f>TEXT(DATEVALUE(B557),"yyyy-mm")</f>
        <v/>
      </c>
    </row>
    <row r="558">
      <c r="A558" s="2" t="inlineStr">
        <is>
          <t>O002372</t>
        </is>
      </c>
      <c r="B558" s="2" t="inlineStr">
        <is>
          <t>2025-02-11</t>
        </is>
      </c>
      <c r="C558" s="2" t="inlineStr">
        <is>
          <t>C0082</t>
        </is>
      </c>
      <c r="D558" s="2" t="inlineStr">
        <is>
          <t>P0017</t>
        </is>
      </c>
      <c r="E558" s="2" t="inlineStr">
        <is>
          <t>Jeans</t>
        </is>
      </c>
      <c r="F558" s="2" t="inlineStr">
        <is>
          <t>Fashion</t>
        </is>
      </c>
      <c r="G558" s="2" t="inlineStr">
        <is>
          <t>East</t>
        </is>
      </c>
      <c r="H558" s="2" t="inlineStr">
        <is>
          <t>Odisha</t>
        </is>
      </c>
      <c r="I558" s="2" t="inlineStr">
        <is>
          <t>Bhubaneswar</t>
        </is>
      </c>
      <c r="J558" s="2" t="inlineStr">
        <is>
          <t>Online</t>
        </is>
      </c>
      <c r="K558" s="2" t="n">
        <v>1</v>
      </c>
      <c r="L558" s="3" t="n">
        <v>1524.09</v>
      </c>
      <c r="M558" s="4" t="n">
        <v>0</v>
      </c>
      <c r="N558" s="3" t="n">
        <v>1018.97</v>
      </c>
      <c r="O558" s="3">
        <f>K558*L558*(1-M558)</f>
        <v/>
      </c>
      <c r="P558" s="3">
        <f>O558-N558</f>
        <v/>
      </c>
      <c r="Q558" s="5">
        <f>IFERROR(P558/O558,0)</f>
        <v/>
      </c>
      <c r="R558" s="2">
        <f>TEXT(DATEVALUE(B558),"mmm")</f>
        <v/>
      </c>
      <c r="S558" s="2">
        <f>TEXT(DATEVALUE(B558),"yyyy-mm")</f>
        <v/>
      </c>
    </row>
    <row r="559">
      <c r="A559" s="2" t="inlineStr">
        <is>
          <t>O002264</t>
        </is>
      </c>
      <c r="B559" s="2" t="inlineStr">
        <is>
          <t>2025-02-11</t>
        </is>
      </c>
      <c r="C559" s="2" t="inlineStr">
        <is>
          <t>C0406</t>
        </is>
      </c>
      <c r="D559" s="2" t="inlineStr">
        <is>
          <t>P0007</t>
        </is>
      </c>
      <c r="E559" s="2" t="inlineStr">
        <is>
          <t>Wireless Mouse</t>
        </is>
      </c>
      <c r="F559" s="2" t="inlineStr">
        <is>
          <t>Electronics</t>
        </is>
      </c>
      <c r="G559" s="2" t="inlineStr">
        <is>
          <t>West</t>
        </is>
      </c>
      <c r="H559" s="2" t="inlineStr">
        <is>
          <t>Goa</t>
        </is>
      </c>
      <c r="I559" s="2" t="inlineStr">
        <is>
          <t>Margao</t>
        </is>
      </c>
      <c r="J559" s="2" t="inlineStr">
        <is>
          <t>Online</t>
        </is>
      </c>
      <c r="K559" s="2" t="n">
        <v>1</v>
      </c>
      <c r="L559" s="3" t="n">
        <v>950.08</v>
      </c>
      <c r="M559" s="4" t="n">
        <v>0.15</v>
      </c>
      <c r="N559" s="3" t="n">
        <v>643.36</v>
      </c>
      <c r="O559" s="3">
        <f>K559*L559*(1-M559)</f>
        <v/>
      </c>
      <c r="P559" s="3">
        <f>O559-N559</f>
        <v/>
      </c>
      <c r="Q559" s="5">
        <f>IFERROR(P559/O559,0)</f>
        <v/>
      </c>
      <c r="R559" s="2">
        <f>TEXT(DATEVALUE(B559),"mmm")</f>
        <v/>
      </c>
      <c r="S559" s="2">
        <f>TEXT(DATEVALUE(B559),"yyyy-mm")</f>
        <v/>
      </c>
    </row>
    <row r="560">
      <c r="A560" s="2" t="inlineStr">
        <is>
          <t>O002253</t>
        </is>
      </c>
      <c r="B560" s="2" t="inlineStr">
        <is>
          <t>2025-02-11</t>
        </is>
      </c>
      <c r="C560" s="2" t="inlineStr">
        <is>
          <t>C0152</t>
        </is>
      </c>
      <c r="D560" s="2" t="inlineStr">
        <is>
          <t>P0032</t>
        </is>
      </c>
      <c r="E560" s="2" t="inlineStr">
        <is>
          <t>Football</t>
        </is>
      </c>
      <c r="F560" s="2" t="inlineStr">
        <is>
          <t>Sports</t>
        </is>
      </c>
      <c r="G560" s="2" t="inlineStr">
        <is>
          <t>West</t>
        </is>
      </c>
      <c r="H560" s="2" t="inlineStr">
        <is>
          <t>Maharashtra</t>
        </is>
      </c>
      <c r="I560" s="2" t="inlineStr">
        <is>
          <t>Pune</t>
        </is>
      </c>
      <c r="J560" s="2" t="inlineStr">
        <is>
          <t>Online</t>
        </is>
      </c>
      <c r="K560" s="2" t="n">
        <v>1</v>
      </c>
      <c r="L560" s="3" t="n">
        <v>832.9299999999999</v>
      </c>
      <c r="M560" s="4" t="n">
        <v>0.1</v>
      </c>
      <c r="N560" s="3" t="n">
        <v>536.33</v>
      </c>
      <c r="O560" s="3">
        <f>K560*L560*(1-M560)</f>
        <v/>
      </c>
      <c r="P560" s="3">
        <f>O560-N560</f>
        <v/>
      </c>
      <c r="Q560" s="5">
        <f>IFERROR(P560/O560,0)</f>
        <v/>
      </c>
      <c r="R560" s="2">
        <f>TEXT(DATEVALUE(B560),"mmm")</f>
        <v/>
      </c>
      <c r="S560" s="2">
        <f>TEXT(DATEVALUE(B560),"yyyy-mm")</f>
        <v/>
      </c>
    </row>
    <row r="561">
      <c r="A561" s="2" t="inlineStr">
        <is>
          <t>O003447</t>
        </is>
      </c>
      <c r="B561" s="2" t="inlineStr">
        <is>
          <t>2025-02-11</t>
        </is>
      </c>
      <c r="C561" s="2" t="inlineStr">
        <is>
          <t>C0568</t>
        </is>
      </c>
      <c r="D561" s="2" t="inlineStr">
        <is>
          <t>P0022</t>
        </is>
      </c>
      <c r="E561" s="2" t="inlineStr">
        <is>
          <t>Face Wash</t>
        </is>
      </c>
      <c r="F561" s="2" t="inlineStr">
        <is>
          <t>Beauty</t>
        </is>
      </c>
      <c r="G561" s="2" t="inlineStr">
        <is>
          <t>West</t>
        </is>
      </c>
      <c r="H561" s="2" t="inlineStr">
        <is>
          <t>Maharashtra</t>
        </is>
      </c>
      <c r="I561" s="2" t="inlineStr">
        <is>
          <t>Thane</t>
        </is>
      </c>
      <c r="J561" s="2" t="inlineStr">
        <is>
          <t>Store</t>
        </is>
      </c>
      <c r="K561" s="2" t="n">
        <v>1</v>
      </c>
      <c r="L561" s="3" t="n">
        <v>535.22</v>
      </c>
      <c r="M561" s="4" t="n">
        <v>0</v>
      </c>
      <c r="N561" s="3" t="n">
        <v>350.2</v>
      </c>
      <c r="O561" s="3">
        <f>K561*L561*(1-M561)</f>
        <v/>
      </c>
      <c r="P561" s="3">
        <f>O561-N561</f>
        <v/>
      </c>
      <c r="Q561" s="5">
        <f>IFERROR(P561/O561,0)</f>
        <v/>
      </c>
      <c r="R561" s="2">
        <f>TEXT(DATEVALUE(B561),"mmm")</f>
        <v/>
      </c>
      <c r="S561" s="2">
        <f>TEXT(DATEVALUE(B561),"yyyy-mm")</f>
        <v/>
      </c>
    </row>
    <row r="562">
      <c r="A562" s="2" t="inlineStr">
        <is>
          <t>O001341</t>
        </is>
      </c>
      <c r="B562" s="2" t="inlineStr">
        <is>
          <t>2025-02-11</t>
        </is>
      </c>
      <c r="C562" s="2" t="inlineStr">
        <is>
          <t>C0416</t>
        </is>
      </c>
      <c r="D562" s="2" t="inlineStr">
        <is>
          <t>P0022</t>
        </is>
      </c>
      <c r="E562" s="2" t="inlineStr">
        <is>
          <t>Face Wash</t>
        </is>
      </c>
      <c r="F562" s="2" t="inlineStr">
        <is>
          <t>Beauty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Online</t>
        </is>
      </c>
      <c r="K562" s="2" t="n">
        <v>1</v>
      </c>
      <c r="L562" s="3" t="n">
        <v>540.45</v>
      </c>
      <c r="M562" s="4" t="n">
        <v>0.1</v>
      </c>
      <c r="N562" s="3" t="n">
        <v>354.67</v>
      </c>
      <c r="O562" s="3">
        <f>K562*L562*(1-M562)</f>
        <v/>
      </c>
      <c r="P562" s="3">
        <f>O562-N562</f>
        <v/>
      </c>
      <c r="Q562" s="5">
        <f>IFERROR(P562/O562,0)</f>
        <v/>
      </c>
      <c r="R562" s="2">
        <f>TEXT(DATEVALUE(B562),"mmm")</f>
        <v/>
      </c>
      <c r="S562" s="2">
        <f>TEXT(DATEVALUE(B562),"yyyy-mm")</f>
        <v/>
      </c>
    </row>
    <row r="563">
      <c r="A563" s="2" t="inlineStr">
        <is>
          <t>O001414</t>
        </is>
      </c>
      <c r="B563" s="2" t="inlineStr">
        <is>
          <t>2025-02-11</t>
        </is>
      </c>
      <c r="C563" s="2" t="inlineStr">
        <is>
          <t>C0345</t>
        </is>
      </c>
      <c r="D563" s="2" t="inlineStr">
        <is>
          <t>P0011</t>
        </is>
      </c>
      <c r="E563" s="2" t="inlineStr">
        <is>
          <t>Cookware Set</t>
        </is>
      </c>
      <c r="F563" s="2" t="inlineStr">
        <is>
          <t>Home &amp; Kitchen</t>
        </is>
      </c>
      <c r="G563" s="2" t="inlineStr">
        <is>
          <t>West</t>
        </is>
      </c>
      <c r="H563" s="2" t="inlineStr">
        <is>
          <t>Gujarat</t>
        </is>
      </c>
      <c r="I563" s="2" t="inlineStr">
        <is>
          <t>Vadodara</t>
        </is>
      </c>
      <c r="J563" s="2" t="inlineStr">
        <is>
          <t>Online</t>
        </is>
      </c>
      <c r="K563" s="2" t="n">
        <v>2</v>
      </c>
      <c r="L563" s="3" t="n">
        <v>676.62</v>
      </c>
      <c r="M563" s="4" t="n">
        <v>0.2</v>
      </c>
      <c r="N563" s="3" t="n">
        <v>940.28</v>
      </c>
      <c r="O563" s="3">
        <f>K563*L563*(1-M563)</f>
        <v/>
      </c>
      <c r="P563" s="3">
        <f>O563-N563</f>
        <v/>
      </c>
      <c r="Q563" s="5">
        <f>IFERROR(P563/O563,0)</f>
        <v/>
      </c>
      <c r="R563" s="2">
        <f>TEXT(DATEVALUE(B563),"mmm")</f>
        <v/>
      </c>
      <c r="S563" s="2">
        <f>TEXT(DATEVALUE(B563),"yyyy-mm")</f>
        <v/>
      </c>
    </row>
    <row r="564">
      <c r="A564" s="2" t="inlineStr">
        <is>
          <t>O000137</t>
        </is>
      </c>
      <c r="B564" s="2" t="inlineStr">
        <is>
          <t>2025-02-11</t>
        </is>
      </c>
      <c r="C564" s="2" t="inlineStr">
        <is>
          <t>C0389</t>
        </is>
      </c>
      <c r="D564" s="2" t="inlineStr">
        <is>
          <t>P0001</t>
        </is>
      </c>
      <c r="E564" s="2" t="inlineStr">
        <is>
          <t>Wireless Headphones</t>
        </is>
      </c>
      <c r="F564" s="2" t="inlineStr">
        <is>
          <t>Electronics</t>
        </is>
      </c>
      <c r="G564" s="2" t="inlineStr">
        <is>
          <t>West</t>
        </is>
      </c>
      <c r="H564" s="2" t="inlineStr">
        <is>
          <t>Maharashtra</t>
        </is>
      </c>
      <c r="I564" s="2" t="inlineStr">
        <is>
          <t>Nashik</t>
        </is>
      </c>
      <c r="J564" s="2" t="inlineStr">
        <is>
          <t>Online</t>
        </is>
      </c>
      <c r="K564" s="2" t="n">
        <v>3</v>
      </c>
      <c r="L564" s="3" t="n">
        <v>1355.34</v>
      </c>
      <c r="M564" s="4" t="n">
        <v>0.1</v>
      </c>
      <c r="N564" s="3" t="n">
        <v>2170.8</v>
      </c>
      <c r="O564" s="3">
        <f>K564*L564*(1-M564)</f>
        <v/>
      </c>
      <c r="P564" s="3">
        <f>O564-N564</f>
        <v/>
      </c>
      <c r="Q564" s="5">
        <f>IFERROR(P564/O564,0)</f>
        <v/>
      </c>
      <c r="R564" s="2">
        <f>TEXT(DATEVALUE(B564),"mmm")</f>
        <v/>
      </c>
      <c r="S564" s="2">
        <f>TEXT(DATEVALUE(B564),"yyyy-mm")</f>
        <v/>
      </c>
    </row>
    <row r="565">
      <c r="A565" s="2" t="inlineStr">
        <is>
          <t>O000589</t>
        </is>
      </c>
      <c r="B565" s="2" t="inlineStr">
        <is>
          <t>2025-02-11</t>
        </is>
      </c>
      <c r="C565" s="2" t="inlineStr">
        <is>
          <t>C0212</t>
        </is>
      </c>
      <c r="D565" s="2" t="inlineStr">
        <is>
          <t>P0002</t>
        </is>
      </c>
      <c r="E565" s="2" t="inlineStr">
        <is>
          <t>Bluetooth Speaker</t>
        </is>
      </c>
      <c r="F565" s="2" t="inlineStr">
        <is>
          <t>Electronics</t>
        </is>
      </c>
      <c r="G565" s="2" t="inlineStr">
        <is>
          <t>South</t>
        </is>
      </c>
      <c r="H565" s="2" t="inlineStr">
        <is>
          <t>Kerala</t>
        </is>
      </c>
      <c r="I565" s="2" t="inlineStr">
        <is>
          <t>Thiruvananthapuram</t>
        </is>
      </c>
      <c r="J565" s="2" t="inlineStr">
        <is>
          <t>Store</t>
        </is>
      </c>
      <c r="K565" s="2" t="n">
        <v>2</v>
      </c>
      <c r="L565" s="3" t="n">
        <v>1381.67</v>
      </c>
      <c r="M565" s="4" t="n">
        <v>0</v>
      </c>
      <c r="N565" s="3" t="n">
        <v>1625.18</v>
      </c>
      <c r="O565" s="3">
        <f>K565*L565*(1-M565)</f>
        <v/>
      </c>
      <c r="P565" s="3">
        <f>O565-N565</f>
        <v/>
      </c>
      <c r="Q565" s="5">
        <f>IFERROR(P565/O565,0)</f>
        <v/>
      </c>
      <c r="R565" s="2">
        <f>TEXT(DATEVALUE(B565),"mmm")</f>
        <v/>
      </c>
      <c r="S565" s="2">
        <f>TEXT(DATEVALUE(B565),"yyyy-mm")</f>
        <v/>
      </c>
    </row>
    <row r="566">
      <c r="A566" s="2" t="inlineStr">
        <is>
          <t>O002513</t>
        </is>
      </c>
      <c r="B566" s="2" t="inlineStr">
        <is>
          <t>2025-02-11</t>
        </is>
      </c>
      <c r="C566" s="2" t="inlineStr">
        <is>
          <t>C0310</t>
        </is>
      </c>
      <c r="D566" s="2" t="inlineStr">
        <is>
          <t>P0006</t>
        </is>
      </c>
      <c r="E566" s="2" t="inlineStr">
        <is>
          <t>Mechanical Keyboard</t>
        </is>
      </c>
      <c r="F566" s="2" t="inlineStr">
        <is>
          <t>Electronics</t>
        </is>
      </c>
      <c r="G566" s="2" t="inlineStr">
        <is>
          <t>South</t>
        </is>
      </c>
      <c r="H566" s="2" t="inlineStr">
        <is>
          <t>Karnataka</t>
        </is>
      </c>
      <c r="I566" s="2" t="inlineStr">
        <is>
          <t>Mangaluru</t>
        </is>
      </c>
      <c r="J566" s="2" t="inlineStr">
        <is>
          <t>Online</t>
        </is>
      </c>
      <c r="K566" s="2" t="n">
        <v>1</v>
      </c>
      <c r="L566" s="3" t="n">
        <v>2691.15</v>
      </c>
      <c r="M566" s="4" t="n">
        <v>0.2</v>
      </c>
      <c r="N566" s="3" t="n">
        <v>1488.51</v>
      </c>
      <c r="O566" s="3">
        <f>K566*L566*(1-M566)</f>
        <v/>
      </c>
      <c r="P566" s="3">
        <f>O566-N566</f>
        <v/>
      </c>
      <c r="Q566" s="5">
        <f>IFERROR(P566/O566,0)</f>
        <v/>
      </c>
      <c r="R566" s="2">
        <f>TEXT(DATEVALUE(B566),"mmm")</f>
        <v/>
      </c>
      <c r="S566" s="2">
        <f>TEXT(DATEVALUE(B566),"yyyy-mm")</f>
        <v/>
      </c>
    </row>
    <row r="567">
      <c r="A567" s="2" t="inlineStr">
        <is>
          <t>O000933</t>
        </is>
      </c>
      <c r="B567" s="2" t="inlineStr">
        <is>
          <t>2025-02-11</t>
        </is>
      </c>
      <c r="C567" s="2" t="inlineStr">
        <is>
          <t>C0240</t>
        </is>
      </c>
      <c r="D567" s="2" t="inlineStr">
        <is>
          <t>P0034</t>
        </is>
      </c>
      <c r="E567" s="2" t="inlineStr">
        <is>
          <t>Gym Gloves</t>
        </is>
      </c>
      <c r="F567" s="2" t="inlineStr">
        <is>
          <t>Sports</t>
        </is>
      </c>
      <c r="G567" s="2" t="inlineStr">
        <is>
          <t>West</t>
        </is>
      </c>
      <c r="H567" s="2" t="inlineStr">
        <is>
          <t>Gujarat</t>
        </is>
      </c>
      <c r="I567" s="2" t="inlineStr">
        <is>
          <t>Ahmedabad</t>
        </is>
      </c>
      <c r="J567" s="2" t="inlineStr">
        <is>
          <t>Online</t>
        </is>
      </c>
      <c r="K567" s="2" t="n">
        <v>4</v>
      </c>
      <c r="L567" s="3" t="n">
        <v>600.54</v>
      </c>
      <c r="M567" s="4" t="n">
        <v>0.05</v>
      </c>
      <c r="N567" s="3" t="n">
        <v>1600.34</v>
      </c>
      <c r="O567" s="3">
        <f>K567*L567*(1-M567)</f>
        <v/>
      </c>
      <c r="P567" s="3">
        <f>O567-N567</f>
        <v/>
      </c>
      <c r="Q567" s="5">
        <f>IFERROR(P567/O567,0)</f>
        <v/>
      </c>
      <c r="R567" s="2">
        <f>TEXT(DATEVALUE(B567),"mmm")</f>
        <v/>
      </c>
      <c r="S567" s="2">
        <f>TEXT(DATEVALUE(B567),"yyyy-mm")</f>
        <v/>
      </c>
    </row>
    <row r="568">
      <c r="A568" s="2" t="inlineStr">
        <is>
          <t>O001052</t>
        </is>
      </c>
      <c r="B568" s="2" t="inlineStr">
        <is>
          <t>2025-02-11</t>
        </is>
      </c>
      <c r="C568" s="2" t="inlineStr">
        <is>
          <t>C0639</t>
        </is>
      </c>
      <c r="D568" s="2" t="inlineStr">
        <is>
          <t>P0016</t>
        </is>
      </c>
      <c r="E568" s="2" t="inlineStr">
        <is>
          <t>Casual Shirt</t>
        </is>
      </c>
      <c r="F568" s="2" t="inlineStr">
        <is>
          <t>Fashion</t>
        </is>
      </c>
      <c r="G568" s="2" t="inlineStr">
        <is>
          <t>South</t>
        </is>
      </c>
      <c r="H568" s="2" t="inlineStr">
        <is>
          <t>Tamil Nadu</t>
        </is>
      </c>
      <c r="I568" s="2" t="inlineStr">
        <is>
          <t>Madurai</t>
        </is>
      </c>
      <c r="J568" s="2" t="inlineStr">
        <is>
          <t>Online</t>
        </is>
      </c>
      <c r="K568" s="2" t="n">
        <v>2</v>
      </c>
      <c r="L568" s="3" t="n">
        <v>1257.39</v>
      </c>
      <c r="M568" s="4" t="n">
        <v>0.1</v>
      </c>
      <c r="N568" s="3" t="n">
        <v>1786.89</v>
      </c>
      <c r="O568" s="3">
        <f>K568*L568*(1-M568)</f>
        <v/>
      </c>
      <c r="P568" s="3">
        <f>O568-N568</f>
        <v/>
      </c>
      <c r="Q568" s="5">
        <f>IFERROR(P568/O568,0)</f>
        <v/>
      </c>
      <c r="R568" s="2">
        <f>TEXT(DATEVALUE(B568),"mmm")</f>
        <v/>
      </c>
      <c r="S568" s="2">
        <f>TEXT(DATEVALUE(B568),"yyyy-mm")</f>
        <v/>
      </c>
    </row>
    <row r="569">
      <c r="A569" s="2" t="inlineStr">
        <is>
          <t>O001077</t>
        </is>
      </c>
      <c r="B569" s="2" t="inlineStr">
        <is>
          <t>2025-02-11</t>
        </is>
      </c>
      <c r="C569" s="2" t="inlineStr">
        <is>
          <t>C0553</t>
        </is>
      </c>
      <c r="D569" s="2" t="inlineStr">
        <is>
          <t>P0007</t>
        </is>
      </c>
      <c r="E569" s="2" t="inlineStr">
        <is>
          <t>Wireless Mouse</t>
        </is>
      </c>
      <c r="F569" s="2" t="inlineStr">
        <is>
          <t>Electronics</t>
        </is>
      </c>
      <c r="G569" s="2" t="inlineStr">
        <is>
          <t>South</t>
        </is>
      </c>
      <c r="H569" s="2" t="inlineStr">
        <is>
          <t>Kerala</t>
        </is>
      </c>
      <c r="I569" s="2" t="inlineStr">
        <is>
          <t>Kochi</t>
        </is>
      </c>
      <c r="J569" s="2" t="inlineStr">
        <is>
          <t>Store</t>
        </is>
      </c>
      <c r="K569" s="2" t="n">
        <v>2</v>
      </c>
      <c r="L569" s="3" t="n">
        <v>1009.38</v>
      </c>
      <c r="M569" s="4" t="n">
        <v>0.2</v>
      </c>
      <c r="N569" s="3" t="n">
        <v>1288.55</v>
      </c>
      <c r="O569" s="3">
        <f>K569*L569*(1-M569)</f>
        <v/>
      </c>
      <c r="P569" s="3">
        <f>O569-N569</f>
        <v/>
      </c>
      <c r="Q569" s="5">
        <f>IFERROR(P569/O569,0)</f>
        <v/>
      </c>
      <c r="R569" s="2">
        <f>TEXT(DATEVALUE(B569),"mmm")</f>
        <v/>
      </c>
      <c r="S569" s="2">
        <f>TEXT(DATEVALUE(B569),"yyyy-mm")</f>
        <v/>
      </c>
    </row>
    <row r="570">
      <c r="A570" s="2" t="inlineStr">
        <is>
          <t>O004911</t>
        </is>
      </c>
      <c r="B570" s="2" t="inlineStr">
        <is>
          <t>2025-02-12</t>
        </is>
      </c>
      <c r="C570" s="2" t="inlineStr">
        <is>
          <t>C0607</t>
        </is>
      </c>
      <c r="D570" s="2" t="inlineStr">
        <is>
          <t>P0004</t>
        </is>
      </c>
      <c r="E570" s="2" t="inlineStr">
        <is>
          <t>USB-C Hub</t>
        </is>
      </c>
      <c r="F570" s="2" t="inlineStr">
        <is>
          <t>Electronics</t>
        </is>
      </c>
      <c r="G570" s="2" t="inlineStr">
        <is>
          <t>West</t>
        </is>
      </c>
      <c r="H570" s="2" t="inlineStr">
        <is>
          <t>Goa</t>
        </is>
      </c>
      <c r="I570" s="2" t="inlineStr">
        <is>
          <t>Margao</t>
        </is>
      </c>
      <c r="J570" s="2" t="inlineStr">
        <is>
          <t>Online</t>
        </is>
      </c>
      <c r="K570" s="2" t="n">
        <v>2</v>
      </c>
      <c r="L570" s="3" t="n">
        <v>1305.4</v>
      </c>
      <c r="M570" s="4" t="n">
        <v>0</v>
      </c>
      <c r="N570" s="3" t="n">
        <v>1810.6</v>
      </c>
      <c r="O570" s="3">
        <f>K570*L570*(1-M570)</f>
        <v/>
      </c>
      <c r="P570" s="3">
        <f>O570-N570</f>
        <v/>
      </c>
      <c r="Q570" s="5">
        <f>IFERROR(P570/O570,0)</f>
        <v/>
      </c>
      <c r="R570" s="2">
        <f>TEXT(DATEVALUE(B570),"mmm")</f>
        <v/>
      </c>
      <c r="S570" s="2">
        <f>TEXT(DATEVALUE(B570),"yyyy-mm")</f>
        <v/>
      </c>
    </row>
    <row r="571">
      <c r="A571" s="2" t="inlineStr">
        <is>
          <t>O004402</t>
        </is>
      </c>
      <c r="B571" s="2" t="inlineStr">
        <is>
          <t>2025-02-12</t>
        </is>
      </c>
      <c r="C571" s="2" t="inlineStr">
        <is>
          <t>C0619</t>
        </is>
      </c>
      <c r="D571" s="2" t="inlineStr">
        <is>
          <t>P0002</t>
        </is>
      </c>
      <c r="E571" s="2" t="inlineStr">
        <is>
          <t>Bluetooth Speaker</t>
        </is>
      </c>
      <c r="F571" s="2" t="inlineStr">
        <is>
          <t>Electronics</t>
        </is>
      </c>
      <c r="G571" s="2" t="inlineStr">
        <is>
          <t>North</t>
        </is>
      </c>
      <c r="H571" s="2" t="inlineStr">
        <is>
          <t>Punjab</t>
        </is>
      </c>
      <c r="I571" s="2" t="inlineStr">
        <is>
          <t>Ludhiana</t>
        </is>
      </c>
      <c r="J571" s="2" t="inlineStr">
        <is>
          <t>Online</t>
        </is>
      </c>
      <c r="K571" s="2" t="n">
        <v>1</v>
      </c>
      <c r="L571" s="3" t="n">
        <v>1336.68</v>
      </c>
      <c r="M571" s="4" t="n">
        <v>0.1</v>
      </c>
      <c r="N571" s="3" t="n">
        <v>821.01</v>
      </c>
      <c r="O571" s="3">
        <f>K571*L571*(1-M571)</f>
        <v/>
      </c>
      <c r="P571" s="3">
        <f>O571-N571</f>
        <v/>
      </c>
      <c r="Q571" s="5">
        <f>IFERROR(P571/O571,0)</f>
        <v/>
      </c>
      <c r="R571" s="2">
        <f>TEXT(DATEVALUE(B571),"mmm")</f>
        <v/>
      </c>
      <c r="S571" s="2">
        <f>TEXT(DATEVALUE(B571),"yyyy-mm")</f>
        <v/>
      </c>
    </row>
    <row r="572">
      <c r="A572" s="2" t="inlineStr">
        <is>
          <t>O004245</t>
        </is>
      </c>
      <c r="B572" s="2" t="inlineStr">
        <is>
          <t>2025-02-12</t>
        </is>
      </c>
      <c r="C572" s="2" t="inlineStr">
        <is>
          <t>C0225</t>
        </is>
      </c>
      <c r="D572" s="2" t="inlineStr">
        <is>
          <t>P0006</t>
        </is>
      </c>
      <c r="E572" s="2" t="inlineStr">
        <is>
          <t>Mechanical Keyboard</t>
        </is>
      </c>
      <c r="F572" s="2" t="inlineStr">
        <is>
          <t>Electronics</t>
        </is>
      </c>
      <c r="G572" s="2" t="inlineStr">
        <is>
          <t>South</t>
        </is>
      </c>
      <c r="H572" s="2" t="inlineStr">
        <is>
          <t>Karnataka</t>
        </is>
      </c>
      <c r="I572" s="2" t="inlineStr">
        <is>
          <t>Bengaluru</t>
        </is>
      </c>
      <c r="J572" s="2" t="inlineStr">
        <is>
          <t>Online</t>
        </is>
      </c>
      <c r="K572" s="2" t="n">
        <v>2</v>
      </c>
      <c r="L572" s="3" t="n">
        <v>2702.22</v>
      </c>
      <c r="M572" s="4" t="n">
        <v>0.15</v>
      </c>
      <c r="N572" s="3" t="n">
        <v>3003.59</v>
      </c>
      <c r="O572" s="3">
        <f>K572*L572*(1-M572)</f>
        <v/>
      </c>
      <c r="P572" s="3">
        <f>O572-N572</f>
        <v/>
      </c>
      <c r="Q572" s="5">
        <f>IFERROR(P572/O572,0)</f>
        <v/>
      </c>
      <c r="R572" s="2">
        <f>TEXT(DATEVALUE(B572),"mmm")</f>
        <v/>
      </c>
      <c r="S572" s="2">
        <f>TEXT(DATEVALUE(B572),"yyyy-mm")</f>
        <v/>
      </c>
    </row>
    <row r="573">
      <c r="A573" s="2" t="inlineStr">
        <is>
          <t>O004223</t>
        </is>
      </c>
      <c r="B573" s="2" t="inlineStr">
        <is>
          <t>2025-02-12</t>
        </is>
      </c>
      <c r="C573" s="2" t="inlineStr">
        <is>
          <t>C0744</t>
        </is>
      </c>
      <c r="D573" s="2" t="inlineStr">
        <is>
          <t>P0011</t>
        </is>
      </c>
      <c r="E573" s="2" t="inlineStr">
        <is>
          <t>Cookware Set</t>
        </is>
      </c>
      <c r="F573" s="2" t="inlineStr">
        <is>
          <t>Home &amp; Kitchen</t>
        </is>
      </c>
      <c r="G573" s="2" t="inlineStr">
        <is>
          <t>South</t>
        </is>
      </c>
      <c r="H573" s="2" t="inlineStr">
        <is>
          <t>Telangana</t>
        </is>
      </c>
      <c r="I573" s="2" t="inlineStr">
        <is>
          <t>Warangal</t>
        </is>
      </c>
      <c r="J573" s="2" t="inlineStr">
        <is>
          <t>Store</t>
        </is>
      </c>
      <c r="K573" s="2" t="n">
        <v>1</v>
      </c>
      <c r="L573" s="3" t="n">
        <v>712.85</v>
      </c>
      <c r="M573" s="4" t="n">
        <v>0.05</v>
      </c>
      <c r="N573" s="3" t="n">
        <v>465.5</v>
      </c>
      <c r="O573" s="3">
        <f>K573*L573*(1-M573)</f>
        <v/>
      </c>
      <c r="P573" s="3">
        <f>O573-N573</f>
        <v/>
      </c>
      <c r="Q573" s="5">
        <f>IFERROR(P573/O573,0)</f>
        <v/>
      </c>
      <c r="R573" s="2">
        <f>TEXT(DATEVALUE(B573),"mmm")</f>
        <v/>
      </c>
      <c r="S573" s="2">
        <f>TEXT(DATEVALUE(B573),"yyyy-mm")</f>
        <v/>
      </c>
    </row>
    <row r="574">
      <c r="A574" s="2" t="inlineStr">
        <is>
          <t>O003244</t>
        </is>
      </c>
      <c r="B574" s="2" t="inlineStr">
        <is>
          <t>2025-02-12</t>
        </is>
      </c>
      <c r="C574" s="2" t="inlineStr">
        <is>
          <t>C0547</t>
        </is>
      </c>
      <c r="D574" s="2" t="inlineStr">
        <is>
          <t>P0016</t>
        </is>
      </c>
      <c r="E574" s="2" t="inlineStr">
        <is>
          <t>Casual Shirt</t>
        </is>
      </c>
      <c r="F574" s="2" t="inlineStr">
        <is>
          <t>Fashion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Online</t>
        </is>
      </c>
      <c r="K574" s="2" t="n">
        <v>1</v>
      </c>
      <c r="L574" s="3" t="n">
        <v>1245.21</v>
      </c>
      <c r="M574" s="4" t="n">
        <v>0.05</v>
      </c>
      <c r="N574" s="3" t="n">
        <v>885.54</v>
      </c>
      <c r="O574" s="3">
        <f>K574*L574*(1-M574)</f>
        <v/>
      </c>
      <c r="P574" s="3">
        <f>O574-N574</f>
        <v/>
      </c>
      <c r="Q574" s="5">
        <f>IFERROR(P574/O574,0)</f>
        <v/>
      </c>
      <c r="R574" s="2">
        <f>TEXT(DATEVALUE(B574),"mmm")</f>
        <v/>
      </c>
      <c r="S574" s="2">
        <f>TEXT(DATEVALUE(B574),"yyyy-mm")</f>
        <v/>
      </c>
    </row>
    <row r="575">
      <c r="A575" s="2" t="inlineStr">
        <is>
          <t>O003844</t>
        </is>
      </c>
      <c r="B575" s="2" t="inlineStr">
        <is>
          <t>2025-02-12</t>
        </is>
      </c>
      <c r="C575" s="2" t="inlineStr">
        <is>
          <t>C0769</t>
        </is>
      </c>
      <c r="D575" s="2" t="inlineStr">
        <is>
          <t>P0026</t>
        </is>
      </c>
      <c r="E575" s="2" t="inlineStr">
        <is>
          <t>Shampoo</t>
        </is>
      </c>
      <c r="F575" s="2" t="inlineStr">
        <is>
          <t>Beauty</t>
        </is>
      </c>
      <c r="G575" s="2" t="inlineStr">
        <is>
          <t>South</t>
        </is>
      </c>
      <c r="H575" s="2" t="inlineStr">
        <is>
          <t>Telangana</t>
        </is>
      </c>
      <c r="I575" s="2" t="inlineStr">
        <is>
          <t>Warangal</t>
        </is>
      </c>
      <c r="J575" s="2" t="inlineStr">
        <is>
          <t>Store</t>
        </is>
      </c>
      <c r="K575" s="2" t="n">
        <v>1</v>
      </c>
      <c r="L575" s="3" t="n">
        <v>868.63</v>
      </c>
      <c r="M575" s="4" t="n">
        <v>0.05</v>
      </c>
      <c r="N575" s="3" t="n">
        <v>523.73</v>
      </c>
      <c r="O575" s="3">
        <f>K575*L575*(1-M575)</f>
        <v/>
      </c>
      <c r="P575" s="3">
        <f>O575-N575</f>
        <v/>
      </c>
      <c r="Q575" s="5">
        <f>IFERROR(P575/O575,0)</f>
        <v/>
      </c>
      <c r="R575" s="2">
        <f>TEXT(DATEVALUE(B575),"mmm")</f>
        <v/>
      </c>
      <c r="S575" s="2">
        <f>TEXT(DATEVALUE(B575),"yyyy-mm")</f>
        <v/>
      </c>
    </row>
    <row r="576">
      <c r="A576" s="2" t="inlineStr">
        <is>
          <t>O002426</t>
        </is>
      </c>
      <c r="B576" s="2" t="inlineStr">
        <is>
          <t>2025-02-12</t>
        </is>
      </c>
      <c r="C576" s="2" t="inlineStr">
        <is>
          <t>C0607</t>
        </is>
      </c>
      <c r="D576" s="2" t="inlineStr">
        <is>
          <t>P0011</t>
        </is>
      </c>
      <c r="E576" s="2" t="inlineStr">
        <is>
          <t>Cookware Set</t>
        </is>
      </c>
      <c r="F576" s="2" t="inlineStr">
        <is>
          <t>Home &amp; Kitchen</t>
        </is>
      </c>
      <c r="G576" s="2" t="inlineStr">
        <is>
          <t>East</t>
        </is>
      </c>
      <c r="H576" s="2" t="inlineStr">
        <is>
          <t>Bihar</t>
        </is>
      </c>
      <c r="I576" s="2" t="inlineStr">
        <is>
          <t>Gaya</t>
        </is>
      </c>
      <c r="J576" s="2" t="inlineStr">
        <is>
          <t>Online</t>
        </is>
      </c>
      <c r="K576" s="2" t="n">
        <v>1</v>
      </c>
      <c r="L576" s="3" t="n">
        <v>672.3099999999999</v>
      </c>
      <c r="M576" s="4" t="n">
        <v>0.1</v>
      </c>
      <c r="N576" s="3" t="n">
        <v>460.71</v>
      </c>
      <c r="O576" s="3">
        <f>K576*L576*(1-M576)</f>
        <v/>
      </c>
      <c r="P576" s="3">
        <f>O576-N576</f>
        <v/>
      </c>
      <c r="Q576" s="5">
        <f>IFERROR(P576/O576,0)</f>
        <v/>
      </c>
      <c r="R576" s="2">
        <f>TEXT(DATEVALUE(B576),"mmm")</f>
        <v/>
      </c>
      <c r="S576" s="2">
        <f>TEXT(DATEVALUE(B576),"yyyy-mm")</f>
        <v/>
      </c>
    </row>
    <row r="577">
      <c r="A577" s="2" t="inlineStr">
        <is>
          <t>O002141</t>
        </is>
      </c>
      <c r="B577" s="2" t="inlineStr">
        <is>
          <t>2025-02-12</t>
        </is>
      </c>
      <c r="C577" s="2" t="inlineStr">
        <is>
          <t>C0188</t>
        </is>
      </c>
      <c r="D577" s="2" t="inlineStr">
        <is>
          <t>P0009</t>
        </is>
      </c>
      <c r="E577" s="2" t="inlineStr">
        <is>
          <t>Electric Kettle</t>
        </is>
      </c>
      <c r="F577" s="2" t="inlineStr">
        <is>
          <t>Home &amp; Kitchen</t>
        </is>
      </c>
      <c r="G577" s="2" t="inlineStr">
        <is>
          <t>West</t>
        </is>
      </c>
      <c r="H577" s="2" t="inlineStr">
        <is>
          <t>Goa</t>
        </is>
      </c>
      <c r="I577" s="2" t="inlineStr">
        <is>
          <t>Panaji</t>
        </is>
      </c>
      <c r="J577" s="2" t="inlineStr">
        <is>
          <t>Online</t>
        </is>
      </c>
      <c r="K577" s="2" t="n">
        <v>1</v>
      </c>
      <c r="L577" s="3" t="n">
        <v>2014.4</v>
      </c>
      <c r="M577" s="4" t="n">
        <v>0.05</v>
      </c>
      <c r="N577" s="3" t="n">
        <v>1131.88</v>
      </c>
      <c r="O577" s="3">
        <f>K577*L577*(1-M577)</f>
        <v/>
      </c>
      <c r="P577" s="3">
        <f>O577-N577</f>
        <v/>
      </c>
      <c r="Q577" s="5">
        <f>IFERROR(P577/O577,0)</f>
        <v/>
      </c>
      <c r="R577" s="2">
        <f>TEXT(DATEVALUE(B577),"mmm")</f>
        <v/>
      </c>
      <c r="S577" s="2">
        <f>TEXT(DATEVALUE(B577),"yyyy-mm")</f>
        <v/>
      </c>
    </row>
    <row r="578">
      <c r="A578" s="2" t="inlineStr">
        <is>
          <t>O000821</t>
        </is>
      </c>
      <c r="B578" s="2" t="inlineStr">
        <is>
          <t>2025-02-12</t>
        </is>
      </c>
      <c r="C578" s="2" t="inlineStr">
        <is>
          <t>C0772</t>
        </is>
      </c>
      <c r="D578" s="2" t="inlineStr">
        <is>
          <t>P0006</t>
        </is>
      </c>
      <c r="E578" s="2" t="inlineStr">
        <is>
          <t>Mechanical Keyboard</t>
        </is>
      </c>
      <c r="F578" s="2" t="inlineStr">
        <is>
          <t>Electronics</t>
        </is>
      </c>
      <c r="G578" s="2" t="inlineStr">
        <is>
          <t>East</t>
        </is>
      </c>
      <c r="H578" s="2" t="inlineStr">
        <is>
          <t>Bihar</t>
        </is>
      </c>
      <c r="I578" s="2" t="inlineStr">
        <is>
          <t>Patna</t>
        </is>
      </c>
      <c r="J578" s="2" t="inlineStr">
        <is>
          <t>Store</t>
        </is>
      </c>
      <c r="K578" s="2" t="n">
        <v>2</v>
      </c>
      <c r="L578" s="3" t="n">
        <v>2643.25</v>
      </c>
      <c r="M578" s="4" t="n">
        <v>0.1</v>
      </c>
      <c r="N578" s="3" t="n">
        <v>3046.61</v>
      </c>
      <c r="O578" s="3">
        <f>K578*L578*(1-M578)</f>
        <v/>
      </c>
      <c r="P578" s="3">
        <f>O578-N578</f>
        <v/>
      </c>
      <c r="Q578" s="5">
        <f>IFERROR(P578/O578,0)</f>
        <v/>
      </c>
      <c r="R578" s="2">
        <f>TEXT(DATEVALUE(B578),"mmm")</f>
        <v/>
      </c>
      <c r="S578" s="2">
        <f>TEXT(DATEVALUE(B578),"yyyy-mm")</f>
        <v/>
      </c>
    </row>
    <row r="579">
      <c r="A579" s="2" t="inlineStr">
        <is>
          <t>O000516</t>
        </is>
      </c>
      <c r="B579" s="2" t="inlineStr">
        <is>
          <t>2025-02-12</t>
        </is>
      </c>
      <c r="C579" s="2" t="inlineStr">
        <is>
          <t>C0328</t>
        </is>
      </c>
      <c r="D579" s="2" t="inlineStr">
        <is>
          <t>P0004</t>
        </is>
      </c>
      <c r="E579" s="2" t="inlineStr">
        <is>
          <t>USB-C Hub</t>
        </is>
      </c>
      <c r="F579" s="2" t="inlineStr">
        <is>
          <t>Electronics</t>
        </is>
      </c>
      <c r="G579" s="2" t="inlineStr">
        <is>
          <t>South</t>
        </is>
      </c>
      <c r="H579" s="2" t="inlineStr">
        <is>
          <t>Tamil Nadu</t>
        </is>
      </c>
      <c r="I579" s="2" t="inlineStr">
        <is>
          <t>Madurai</t>
        </is>
      </c>
      <c r="J579" s="2" t="inlineStr">
        <is>
          <t>Store</t>
        </is>
      </c>
      <c r="K579" s="2" t="n">
        <v>3</v>
      </c>
      <c r="L579" s="3" t="n">
        <v>1227.5</v>
      </c>
      <c r="M579" s="4" t="n">
        <v>0.05</v>
      </c>
      <c r="N579" s="3" t="n">
        <v>2828.08</v>
      </c>
      <c r="O579" s="3">
        <f>K579*L579*(1-M579)</f>
        <v/>
      </c>
      <c r="P579" s="3">
        <f>O579-N579</f>
        <v/>
      </c>
      <c r="Q579" s="5">
        <f>IFERROR(P579/O579,0)</f>
        <v/>
      </c>
      <c r="R579" s="2">
        <f>TEXT(DATEVALUE(B579),"mmm")</f>
        <v/>
      </c>
      <c r="S579" s="2">
        <f>TEXT(DATEVALUE(B579),"yyyy-mm")</f>
        <v/>
      </c>
    </row>
    <row r="580">
      <c r="A580" s="2" t="inlineStr">
        <is>
          <t>O002899</t>
        </is>
      </c>
      <c r="B580" s="2" t="inlineStr">
        <is>
          <t>2025-02-12</t>
        </is>
      </c>
      <c r="C580" s="2" t="inlineStr">
        <is>
          <t>C0060</t>
        </is>
      </c>
      <c r="D580" s="2" t="inlineStr">
        <is>
          <t>P0016</t>
        </is>
      </c>
      <c r="E580" s="2" t="inlineStr">
        <is>
          <t>Casual Shirt</t>
        </is>
      </c>
      <c r="F580" s="2" t="inlineStr">
        <is>
          <t>Fashion</t>
        </is>
      </c>
      <c r="G580" s="2" t="inlineStr">
        <is>
          <t>North</t>
        </is>
      </c>
      <c r="H580" s="2" t="inlineStr">
        <is>
          <t>Punjab</t>
        </is>
      </c>
      <c r="I580" s="2" t="inlineStr">
        <is>
          <t>Jalandhar</t>
        </is>
      </c>
      <c r="J580" s="2" t="inlineStr">
        <is>
          <t>Online</t>
        </is>
      </c>
      <c r="K580" s="2" t="n">
        <v>2</v>
      </c>
      <c r="L580" s="3" t="n">
        <v>1265.07</v>
      </c>
      <c r="M580" s="4" t="n">
        <v>0.1</v>
      </c>
      <c r="N580" s="3" t="n">
        <v>1860.91</v>
      </c>
      <c r="O580" s="3">
        <f>K580*L580*(1-M580)</f>
        <v/>
      </c>
      <c r="P580" s="3">
        <f>O580-N580</f>
        <v/>
      </c>
      <c r="Q580" s="5">
        <f>IFERROR(P580/O580,0)</f>
        <v/>
      </c>
      <c r="R580" s="2">
        <f>TEXT(DATEVALUE(B580),"mmm")</f>
        <v/>
      </c>
      <c r="S580" s="2">
        <f>TEXT(DATEVALUE(B580),"yyyy-mm")</f>
        <v/>
      </c>
    </row>
    <row r="581">
      <c r="A581" s="2" t="inlineStr">
        <is>
          <t>O002548</t>
        </is>
      </c>
      <c r="B581" s="2" t="inlineStr">
        <is>
          <t>2025-02-12</t>
        </is>
      </c>
      <c r="C581" s="2" t="inlineStr">
        <is>
          <t>C0653</t>
        </is>
      </c>
      <c r="D581" s="2" t="inlineStr">
        <is>
          <t>P0031</t>
        </is>
      </c>
      <c r="E581" s="2" t="inlineStr">
        <is>
          <t>Cricket Bat</t>
        </is>
      </c>
      <c r="F581" s="2" t="inlineStr">
        <is>
          <t>Sports</t>
        </is>
      </c>
      <c r="G581" s="2" t="inlineStr">
        <is>
          <t>South</t>
        </is>
      </c>
      <c r="H581" s="2" t="inlineStr">
        <is>
          <t>Kerala</t>
        </is>
      </c>
      <c r="I581" s="2" t="inlineStr">
        <is>
          <t>Kochi</t>
        </is>
      </c>
      <c r="J581" s="2" t="inlineStr">
        <is>
          <t>Online</t>
        </is>
      </c>
      <c r="K581" s="2" t="n">
        <v>1</v>
      </c>
      <c r="L581" s="3" t="n">
        <v>1429.6</v>
      </c>
      <c r="M581" s="4" t="n">
        <v>0</v>
      </c>
      <c r="N581" s="3" t="n">
        <v>946.1900000000001</v>
      </c>
      <c r="O581" s="3">
        <f>K581*L581*(1-M581)</f>
        <v/>
      </c>
      <c r="P581" s="3">
        <f>O581-N581</f>
        <v/>
      </c>
      <c r="Q581" s="5">
        <f>IFERROR(P581/O581,0)</f>
        <v/>
      </c>
      <c r="R581" s="2">
        <f>TEXT(DATEVALUE(B581),"mmm")</f>
        <v/>
      </c>
      <c r="S581" s="2">
        <f>TEXT(DATEVALUE(B581),"yyyy-mm")</f>
        <v/>
      </c>
    </row>
    <row r="582">
      <c r="A582" s="2" t="inlineStr">
        <is>
          <t>O002652</t>
        </is>
      </c>
      <c r="B582" s="2" t="inlineStr">
        <is>
          <t>2025-02-13</t>
        </is>
      </c>
      <c r="C582" s="2" t="inlineStr">
        <is>
          <t>C0505</t>
        </is>
      </c>
      <c r="D582" s="2" t="inlineStr">
        <is>
          <t>P0004</t>
        </is>
      </c>
      <c r="E582" s="2" t="inlineStr">
        <is>
          <t>USB-C Hub</t>
        </is>
      </c>
      <c r="F582" s="2" t="inlineStr">
        <is>
          <t>Electronics</t>
        </is>
      </c>
      <c r="G582" s="2" t="inlineStr">
        <is>
          <t>West</t>
        </is>
      </c>
      <c r="H582" s="2" t="inlineStr">
        <is>
          <t>Gujarat</t>
        </is>
      </c>
      <c r="I582" s="2" t="inlineStr">
        <is>
          <t>Surat</t>
        </is>
      </c>
      <c r="J582" s="2" t="inlineStr">
        <is>
          <t>Store</t>
        </is>
      </c>
      <c r="K582" s="2" t="n">
        <v>1</v>
      </c>
      <c r="L582" s="3" t="n">
        <v>1245.04</v>
      </c>
      <c r="M582" s="4" t="n">
        <v>0.1</v>
      </c>
      <c r="N582" s="3" t="n">
        <v>933.86</v>
      </c>
      <c r="O582" s="3">
        <f>K582*L582*(1-M582)</f>
        <v/>
      </c>
      <c r="P582" s="3">
        <f>O582-N582</f>
        <v/>
      </c>
      <c r="Q582" s="5">
        <f>IFERROR(P582/O582,0)</f>
        <v/>
      </c>
      <c r="R582" s="2">
        <f>TEXT(DATEVALUE(B582),"mmm")</f>
        <v/>
      </c>
      <c r="S582" s="2">
        <f>TEXT(DATEVALUE(B582),"yyyy-mm")</f>
        <v/>
      </c>
    </row>
    <row r="583">
      <c r="A583" s="2" t="inlineStr">
        <is>
          <t>O004724</t>
        </is>
      </c>
      <c r="B583" s="2" t="inlineStr">
        <is>
          <t>2025-02-13</t>
        </is>
      </c>
      <c r="C583" s="2" t="inlineStr">
        <is>
          <t>C0578</t>
        </is>
      </c>
      <c r="D583" s="2" t="inlineStr">
        <is>
          <t>P0004</t>
        </is>
      </c>
      <c r="E583" s="2" t="inlineStr">
        <is>
          <t>USB-C Hub</t>
        </is>
      </c>
      <c r="F583" s="2" t="inlineStr">
        <is>
          <t>Electronics</t>
        </is>
      </c>
      <c r="G583" s="2" t="inlineStr">
        <is>
          <t>North</t>
        </is>
      </c>
      <c r="H583" s="2" t="inlineStr">
        <is>
          <t>Punjab</t>
        </is>
      </c>
      <c r="I583" s="2" t="inlineStr">
        <is>
          <t>Jalandhar</t>
        </is>
      </c>
      <c r="J583" s="2" t="inlineStr">
        <is>
          <t>Online</t>
        </is>
      </c>
      <c r="K583" s="2" t="n">
        <v>3</v>
      </c>
      <c r="L583" s="3" t="n">
        <v>1315.9</v>
      </c>
      <c r="M583" s="4" t="n">
        <v>0.25</v>
      </c>
      <c r="N583" s="3" t="n">
        <v>2801.24</v>
      </c>
      <c r="O583" s="3">
        <f>K583*L583*(1-M583)</f>
        <v/>
      </c>
      <c r="P583" s="3">
        <f>O583-N583</f>
        <v/>
      </c>
      <c r="Q583" s="5">
        <f>IFERROR(P583/O583,0)</f>
        <v/>
      </c>
      <c r="R583" s="2">
        <f>TEXT(DATEVALUE(B583),"mmm")</f>
        <v/>
      </c>
      <c r="S583" s="2">
        <f>TEXT(DATEVALUE(B583),"yyyy-mm")</f>
        <v/>
      </c>
    </row>
    <row r="584">
      <c r="A584" s="2" t="inlineStr">
        <is>
          <t>O003994</t>
        </is>
      </c>
      <c r="B584" s="2" t="inlineStr">
        <is>
          <t>2025-02-13</t>
        </is>
      </c>
      <c r="C584" s="2" t="inlineStr">
        <is>
          <t>C0694</t>
        </is>
      </c>
      <c r="D584" s="2" t="inlineStr">
        <is>
          <t>P0002</t>
        </is>
      </c>
      <c r="E584" s="2" t="inlineStr">
        <is>
          <t>Bluetooth Speaker</t>
        </is>
      </c>
      <c r="F584" s="2" t="inlineStr">
        <is>
          <t>Electronics</t>
        </is>
      </c>
      <c r="G584" s="2" t="inlineStr">
        <is>
          <t>South</t>
        </is>
      </c>
      <c r="H584" s="2" t="inlineStr">
        <is>
          <t>Telangana</t>
        </is>
      </c>
      <c r="I584" s="2" t="inlineStr">
        <is>
          <t>Warangal</t>
        </is>
      </c>
      <c r="J584" s="2" t="inlineStr">
        <is>
          <t>Online</t>
        </is>
      </c>
      <c r="K584" s="2" t="n">
        <v>6</v>
      </c>
      <c r="L584" s="3" t="n">
        <v>1368.52</v>
      </c>
      <c r="M584" s="4" t="n">
        <v>0.05</v>
      </c>
      <c r="N584" s="3" t="n">
        <v>5053.15</v>
      </c>
      <c r="O584" s="3">
        <f>K584*L584*(1-M584)</f>
        <v/>
      </c>
      <c r="P584" s="3">
        <f>O584-N584</f>
        <v/>
      </c>
      <c r="Q584" s="5">
        <f>IFERROR(P584/O584,0)</f>
        <v/>
      </c>
      <c r="R584" s="2">
        <f>TEXT(DATEVALUE(B584),"mmm")</f>
        <v/>
      </c>
      <c r="S584" s="2">
        <f>TEXT(DATEVALUE(B584),"yyyy-mm")</f>
        <v/>
      </c>
    </row>
    <row r="585">
      <c r="A585" s="2" t="inlineStr">
        <is>
          <t>O003789</t>
        </is>
      </c>
      <c r="B585" s="2" t="inlineStr">
        <is>
          <t>2025-02-13</t>
        </is>
      </c>
      <c r="C585" s="2" t="inlineStr">
        <is>
          <t>C0322</t>
        </is>
      </c>
      <c r="D585" s="2" t="inlineStr">
        <is>
          <t>P0002</t>
        </is>
      </c>
      <c r="E585" s="2" t="inlineStr">
        <is>
          <t>Bluetooth Speaker</t>
        </is>
      </c>
      <c r="F585" s="2" t="inlineStr">
        <is>
          <t>Electronics</t>
        </is>
      </c>
      <c r="G585" s="2" t="inlineStr">
        <is>
          <t>West</t>
        </is>
      </c>
      <c r="H585" s="2" t="inlineStr">
        <is>
          <t>Goa</t>
        </is>
      </c>
      <c r="I585" s="2" t="inlineStr">
        <is>
          <t>Margao</t>
        </is>
      </c>
      <c r="J585" s="2" t="inlineStr">
        <is>
          <t>Online</t>
        </is>
      </c>
      <c r="K585" s="2" t="n">
        <v>4</v>
      </c>
      <c r="L585" s="3" t="n">
        <v>1423.31</v>
      </c>
      <c r="M585" s="4" t="n">
        <v>0.15</v>
      </c>
      <c r="N585" s="3" t="n">
        <v>3216.82</v>
      </c>
      <c r="O585" s="3">
        <f>K585*L585*(1-M585)</f>
        <v/>
      </c>
      <c r="P585" s="3">
        <f>O585-N585</f>
        <v/>
      </c>
      <c r="Q585" s="5">
        <f>IFERROR(P585/O585,0)</f>
        <v/>
      </c>
      <c r="R585" s="2">
        <f>TEXT(DATEVALUE(B585),"mmm")</f>
        <v/>
      </c>
      <c r="S585" s="2">
        <f>TEXT(DATEVALUE(B585),"yyyy-mm")</f>
        <v/>
      </c>
    </row>
    <row r="586">
      <c r="A586" s="2" t="inlineStr">
        <is>
          <t>O002953</t>
        </is>
      </c>
      <c r="B586" s="2" t="inlineStr">
        <is>
          <t>2025-02-13</t>
        </is>
      </c>
      <c r="C586" s="2" t="inlineStr">
        <is>
          <t>C0394</t>
        </is>
      </c>
      <c r="D586" s="2" t="inlineStr">
        <is>
          <t>P0031</t>
        </is>
      </c>
      <c r="E586" s="2" t="inlineStr">
        <is>
          <t>Cricket Bat</t>
        </is>
      </c>
      <c r="F586" s="2" t="inlineStr">
        <is>
          <t>Sports</t>
        </is>
      </c>
      <c r="G586" s="2" t="inlineStr">
        <is>
          <t>West</t>
        </is>
      </c>
      <c r="H586" s="2" t="inlineStr">
        <is>
          <t>Gujarat</t>
        </is>
      </c>
      <c r="I586" s="2" t="inlineStr">
        <is>
          <t>Ahmedabad</t>
        </is>
      </c>
      <c r="J586" s="2" t="inlineStr">
        <is>
          <t>Online</t>
        </is>
      </c>
      <c r="K586" s="2" t="n">
        <v>6</v>
      </c>
      <c r="L586" s="3" t="n">
        <v>1434.33</v>
      </c>
      <c r="M586" s="4" t="n">
        <v>0.2</v>
      </c>
      <c r="N586" s="3" t="n">
        <v>5702.44</v>
      </c>
      <c r="O586" s="3">
        <f>K586*L586*(1-M586)</f>
        <v/>
      </c>
      <c r="P586" s="3">
        <f>O586-N586</f>
        <v/>
      </c>
      <c r="Q586" s="5">
        <f>IFERROR(P586/O586,0)</f>
        <v/>
      </c>
      <c r="R586" s="2">
        <f>TEXT(DATEVALUE(B586),"mmm")</f>
        <v/>
      </c>
      <c r="S586" s="2">
        <f>TEXT(DATEVALUE(B586),"yyyy-mm")</f>
        <v/>
      </c>
    </row>
    <row r="587">
      <c r="A587" s="2" t="inlineStr">
        <is>
          <t>O002850</t>
        </is>
      </c>
      <c r="B587" s="2" t="inlineStr">
        <is>
          <t>2025-02-13</t>
        </is>
      </c>
      <c r="C587" s="2" t="inlineStr">
        <is>
          <t>C0434</t>
        </is>
      </c>
      <c r="D587" s="2" t="inlineStr">
        <is>
          <t>P0006</t>
        </is>
      </c>
      <c r="E587" s="2" t="inlineStr">
        <is>
          <t>Mechanical Keyboard</t>
        </is>
      </c>
      <c r="F587" s="2" t="inlineStr">
        <is>
          <t>Electronics</t>
        </is>
      </c>
      <c r="G587" s="2" t="inlineStr">
        <is>
          <t>North</t>
        </is>
      </c>
      <c r="H587" s="2" t="inlineStr">
        <is>
          <t>Delhi</t>
        </is>
      </c>
      <c r="I587" s="2" t="inlineStr">
        <is>
          <t>New Delhi</t>
        </is>
      </c>
      <c r="J587" s="2" t="inlineStr">
        <is>
          <t>Online</t>
        </is>
      </c>
      <c r="K587" s="2" t="n">
        <v>3</v>
      </c>
      <c r="L587" s="3" t="n">
        <v>2634.74</v>
      </c>
      <c r="M587" s="4" t="n">
        <v>0.05</v>
      </c>
      <c r="N587" s="3" t="n">
        <v>4362.75</v>
      </c>
      <c r="O587" s="3">
        <f>K587*L587*(1-M587)</f>
        <v/>
      </c>
      <c r="P587" s="3">
        <f>O587-N587</f>
        <v/>
      </c>
      <c r="Q587" s="5">
        <f>IFERROR(P587/O587,0)</f>
        <v/>
      </c>
      <c r="R587" s="2">
        <f>TEXT(DATEVALUE(B587),"mmm")</f>
        <v/>
      </c>
      <c r="S587" s="2">
        <f>TEXT(DATEVALUE(B587),"yyyy-mm")</f>
        <v/>
      </c>
    </row>
    <row r="588">
      <c r="A588" s="2" t="inlineStr">
        <is>
          <t>O001999</t>
        </is>
      </c>
      <c r="B588" s="2" t="inlineStr">
        <is>
          <t>2025-02-13</t>
        </is>
      </c>
      <c r="C588" s="2" t="inlineStr">
        <is>
          <t>C0021</t>
        </is>
      </c>
      <c r="D588" s="2" t="inlineStr">
        <is>
          <t>P0019</t>
        </is>
      </c>
      <c r="E588" s="2" t="inlineStr">
        <is>
          <t>Jacket</t>
        </is>
      </c>
      <c r="F588" s="2" t="inlineStr">
        <is>
          <t>Fashion</t>
        </is>
      </c>
      <c r="G588" s="2" t="inlineStr">
        <is>
          <t>West</t>
        </is>
      </c>
      <c r="H588" s="2" t="inlineStr">
        <is>
          <t>Gujarat</t>
        </is>
      </c>
      <c r="I588" s="2" t="inlineStr">
        <is>
          <t>Ahmedabad</t>
        </is>
      </c>
      <c r="J588" s="2" t="inlineStr">
        <is>
          <t>Online</t>
        </is>
      </c>
      <c r="K588" s="2" t="n">
        <v>3</v>
      </c>
      <c r="L588" s="3" t="n">
        <v>1028.11</v>
      </c>
      <c r="M588" s="4" t="n">
        <v>0.15</v>
      </c>
      <c r="N588" s="3" t="n">
        <v>1972.84</v>
      </c>
      <c r="O588" s="3">
        <f>K588*L588*(1-M588)</f>
        <v/>
      </c>
      <c r="P588" s="3">
        <f>O588-N588</f>
        <v/>
      </c>
      <c r="Q588" s="5">
        <f>IFERROR(P588/O588,0)</f>
        <v/>
      </c>
      <c r="R588" s="2">
        <f>TEXT(DATEVALUE(B588),"mmm")</f>
        <v/>
      </c>
      <c r="S588" s="2">
        <f>TEXT(DATEVALUE(B588),"yyyy-mm")</f>
        <v/>
      </c>
    </row>
    <row r="589">
      <c r="A589" s="2" t="inlineStr">
        <is>
          <t>O000657</t>
        </is>
      </c>
      <c r="B589" s="2" t="inlineStr">
        <is>
          <t>2025-02-13</t>
        </is>
      </c>
      <c r="C589" s="2" t="inlineStr">
        <is>
          <t>C0024</t>
        </is>
      </c>
      <c r="D589" s="2" t="inlineStr">
        <is>
          <t>P0023</t>
        </is>
      </c>
      <c r="E589" s="2" t="inlineStr">
        <is>
          <t>Skin Care Kit</t>
        </is>
      </c>
      <c r="F589" s="2" t="inlineStr">
        <is>
          <t>Beauty</t>
        </is>
      </c>
      <c r="G589" s="2" t="inlineStr">
        <is>
          <t>South</t>
        </is>
      </c>
      <c r="H589" s="2" t="inlineStr">
        <is>
          <t>Karnataka</t>
        </is>
      </c>
      <c r="I589" s="2" t="inlineStr">
        <is>
          <t>Mysuru</t>
        </is>
      </c>
      <c r="J589" s="2" t="inlineStr">
        <is>
          <t>Online</t>
        </is>
      </c>
      <c r="K589" s="2" t="n">
        <v>3</v>
      </c>
      <c r="L589" s="3" t="n">
        <v>1409.04</v>
      </c>
      <c r="M589" s="4" t="n">
        <v>0.15</v>
      </c>
      <c r="N589" s="3" t="n">
        <v>2671.27</v>
      </c>
      <c r="O589" s="3">
        <f>K589*L589*(1-M589)</f>
        <v/>
      </c>
      <c r="P589" s="3">
        <f>O589-N589</f>
        <v/>
      </c>
      <c r="Q589" s="5">
        <f>IFERROR(P589/O589,0)</f>
        <v/>
      </c>
      <c r="R589" s="2">
        <f>TEXT(DATEVALUE(B589),"mmm")</f>
        <v/>
      </c>
      <c r="S589" s="2">
        <f>TEXT(DATEVALUE(B589),"yyyy-mm")</f>
        <v/>
      </c>
    </row>
    <row r="590">
      <c r="A590" s="2" t="inlineStr">
        <is>
          <t>O000517</t>
        </is>
      </c>
      <c r="B590" s="2" t="inlineStr">
        <is>
          <t>2025-02-13</t>
        </is>
      </c>
      <c r="C590" s="2" t="inlineStr">
        <is>
          <t>C0677</t>
        </is>
      </c>
      <c r="D590" s="2" t="inlineStr">
        <is>
          <t>P0017</t>
        </is>
      </c>
      <c r="E590" s="2" t="inlineStr">
        <is>
          <t>Jeans</t>
        </is>
      </c>
      <c r="F590" s="2" t="inlineStr">
        <is>
          <t>Fashion</t>
        </is>
      </c>
      <c r="G590" s="2" t="inlineStr">
        <is>
          <t>South</t>
        </is>
      </c>
      <c r="H590" s="2" t="inlineStr">
        <is>
          <t>Kerala</t>
        </is>
      </c>
      <c r="I590" s="2" t="inlineStr">
        <is>
          <t>Thiruvananthapuram</t>
        </is>
      </c>
      <c r="J590" s="2" t="inlineStr">
        <is>
          <t>Online</t>
        </is>
      </c>
      <c r="K590" s="2" t="n">
        <v>2</v>
      </c>
      <c r="L590" s="3" t="n">
        <v>1502.99</v>
      </c>
      <c r="M590" s="4" t="n">
        <v>0</v>
      </c>
      <c r="N590" s="3" t="n">
        <v>1999.54</v>
      </c>
      <c r="O590" s="3">
        <f>K590*L590*(1-M590)</f>
        <v/>
      </c>
      <c r="P590" s="3">
        <f>O590-N590</f>
        <v/>
      </c>
      <c r="Q590" s="5">
        <f>IFERROR(P590/O590,0)</f>
        <v/>
      </c>
      <c r="R590" s="2">
        <f>TEXT(DATEVALUE(B590),"mmm")</f>
        <v/>
      </c>
      <c r="S590" s="2">
        <f>TEXT(DATEVALUE(B590),"yyyy-mm")</f>
        <v/>
      </c>
    </row>
    <row r="591">
      <c r="A591" s="2" t="inlineStr">
        <is>
          <t>O000167</t>
        </is>
      </c>
      <c r="B591" s="2" t="inlineStr">
        <is>
          <t>2025-02-13</t>
        </is>
      </c>
      <c r="C591" s="2" t="inlineStr">
        <is>
          <t>C0316</t>
        </is>
      </c>
      <c r="D591" s="2" t="inlineStr">
        <is>
          <t>P0007</t>
        </is>
      </c>
      <c r="E591" s="2" t="inlineStr">
        <is>
          <t>Wireless Mouse</t>
        </is>
      </c>
      <c r="F591" s="2" t="inlineStr">
        <is>
          <t>Electronics</t>
        </is>
      </c>
      <c r="G591" s="2" t="inlineStr">
        <is>
          <t>South</t>
        </is>
      </c>
      <c r="H591" s="2" t="inlineStr">
        <is>
          <t>Karnataka</t>
        </is>
      </c>
      <c r="I591" s="2" t="inlineStr">
        <is>
          <t>Mangaluru</t>
        </is>
      </c>
      <c r="J591" s="2" t="inlineStr">
        <is>
          <t>Online</t>
        </is>
      </c>
      <c r="K591" s="2" t="n">
        <v>1</v>
      </c>
      <c r="L591" s="3" t="n">
        <v>994.77</v>
      </c>
      <c r="M591" s="4" t="n">
        <v>0.15</v>
      </c>
      <c r="N591" s="3" t="n">
        <v>613.1799999999999</v>
      </c>
      <c r="O591" s="3">
        <f>K591*L591*(1-M591)</f>
        <v/>
      </c>
      <c r="P591" s="3">
        <f>O591-N591</f>
        <v/>
      </c>
      <c r="Q591" s="5">
        <f>IFERROR(P591/O591,0)</f>
        <v/>
      </c>
      <c r="R591" s="2">
        <f>TEXT(DATEVALUE(B591),"mmm")</f>
        <v/>
      </c>
      <c r="S591" s="2">
        <f>TEXT(DATEVALUE(B591),"yyyy-mm")</f>
        <v/>
      </c>
    </row>
    <row r="592">
      <c r="A592" s="2" t="inlineStr">
        <is>
          <t>O000071</t>
        </is>
      </c>
      <c r="B592" s="2" t="inlineStr">
        <is>
          <t>2025-02-13</t>
        </is>
      </c>
      <c r="C592" s="2" t="inlineStr">
        <is>
          <t>C0218</t>
        </is>
      </c>
      <c r="D592" s="2" t="inlineStr">
        <is>
          <t>P0011</t>
        </is>
      </c>
      <c r="E592" s="2" t="inlineStr">
        <is>
          <t>Cookware Set</t>
        </is>
      </c>
      <c r="F592" s="2" t="inlineStr">
        <is>
          <t>Home &amp; Kitchen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Store</t>
        </is>
      </c>
      <c r="K592" s="2" t="n">
        <v>5</v>
      </c>
      <c r="L592" s="3" t="n">
        <v>705.29</v>
      </c>
      <c r="M592" s="4" t="n">
        <v>0.1</v>
      </c>
      <c r="N592" s="3" t="n">
        <v>2377.4</v>
      </c>
      <c r="O592" s="3">
        <f>K592*L592*(1-M592)</f>
        <v/>
      </c>
      <c r="P592" s="3">
        <f>O592-N592</f>
        <v/>
      </c>
      <c r="Q592" s="5">
        <f>IFERROR(P592/O592,0)</f>
        <v/>
      </c>
      <c r="R592" s="2">
        <f>TEXT(DATEVALUE(B592),"mmm")</f>
        <v/>
      </c>
      <c r="S592" s="2">
        <f>TEXT(DATEVALUE(B592),"yyyy-mm")</f>
        <v/>
      </c>
    </row>
    <row r="593">
      <c r="A593" s="2" t="inlineStr">
        <is>
          <t>O001427</t>
        </is>
      </c>
      <c r="B593" s="2" t="inlineStr">
        <is>
          <t>2025-02-13</t>
        </is>
      </c>
      <c r="C593" s="2" t="inlineStr">
        <is>
          <t>C0400</t>
        </is>
      </c>
      <c r="D593" s="2" t="inlineStr">
        <is>
          <t>P0016</t>
        </is>
      </c>
      <c r="E593" s="2" t="inlineStr">
        <is>
          <t>Casual Shirt</t>
        </is>
      </c>
      <c r="F593" s="2" t="inlineStr">
        <is>
          <t>Fashion</t>
        </is>
      </c>
      <c r="G593" s="2" t="inlineStr">
        <is>
          <t>South</t>
        </is>
      </c>
      <c r="H593" s="2" t="inlineStr">
        <is>
          <t>Telangana</t>
        </is>
      </c>
      <c r="I593" s="2" t="inlineStr">
        <is>
          <t>Hyderabad</t>
        </is>
      </c>
      <c r="J593" s="2" t="inlineStr">
        <is>
          <t>Store</t>
        </is>
      </c>
      <c r="K593" s="2" t="n">
        <v>2</v>
      </c>
      <c r="L593" s="3" t="n">
        <v>1321.33</v>
      </c>
      <c r="M593" s="4" t="n">
        <v>0</v>
      </c>
      <c r="N593" s="3" t="n">
        <v>1865.8</v>
      </c>
      <c r="O593" s="3">
        <f>K593*L593*(1-M593)</f>
        <v/>
      </c>
      <c r="P593" s="3">
        <f>O593-N593</f>
        <v/>
      </c>
      <c r="Q593" s="5">
        <f>IFERROR(P593/O593,0)</f>
        <v/>
      </c>
      <c r="R593" s="2">
        <f>TEXT(DATEVALUE(B593),"mmm")</f>
        <v/>
      </c>
      <c r="S593" s="2">
        <f>TEXT(DATEVALUE(B593),"yyyy-mm")</f>
        <v/>
      </c>
    </row>
    <row r="594">
      <c r="A594" s="2" t="inlineStr">
        <is>
          <t>O004947</t>
        </is>
      </c>
      <c r="B594" s="2" t="inlineStr">
        <is>
          <t>2025-02-14</t>
        </is>
      </c>
      <c r="C594" s="2" t="inlineStr">
        <is>
          <t>C0174</t>
        </is>
      </c>
      <c r="D594" s="2" t="inlineStr">
        <is>
          <t>P0013</t>
        </is>
      </c>
      <c r="E594" s="2" t="inlineStr">
        <is>
          <t>Storage Organizer</t>
        </is>
      </c>
      <c r="F594" s="2" t="inlineStr">
        <is>
          <t>Home &amp; Kitchen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Durgapur</t>
        </is>
      </c>
      <c r="J594" s="2" t="inlineStr">
        <is>
          <t>Online</t>
        </is>
      </c>
      <c r="K594" s="2" t="n">
        <v>2</v>
      </c>
      <c r="L594" s="3" t="n">
        <v>594.8099999999999</v>
      </c>
      <c r="M594" s="4" t="n">
        <v>0.05</v>
      </c>
      <c r="N594" s="3" t="n">
        <v>701.1</v>
      </c>
      <c r="O594" s="3">
        <f>K594*L594*(1-M594)</f>
        <v/>
      </c>
      <c r="P594" s="3">
        <f>O594-N594</f>
        <v/>
      </c>
      <c r="Q594" s="5">
        <f>IFERROR(P594/O594,0)</f>
        <v/>
      </c>
      <c r="R594" s="2">
        <f>TEXT(DATEVALUE(B594),"mmm")</f>
        <v/>
      </c>
      <c r="S594" s="2">
        <f>TEXT(DATEVALUE(B594),"yyyy-mm")</f>
        <v/>
      </c>
    </row>
    <row r="595">
      <c r="A595" s="2" t="inlineStr">
        <is>
          <t>O004679</t>
        </is>
      </c>
      <c r="B595" s="2" t="inlineStr">
        <is>
          <t>2025-02-14</t>
        </is>
      </c>
      <c r="C595" s="2" t="inlineStr">
        <is>
          <t>C0280</t>
        </is>
      </c>
      <c r="D595" s="2" t="inlineStr">
        <is>
          <t>P0004</t>
        </is>
      </c>
      <c r="E595" s="2" t="inlineStr">
        <is>
          <t>USB-C Hub</t>
        </is>
      </c>
      <c r="F595" s="2" t="inlineStr">
        <is>
          <t>Electronics</t>
        </is>
      </c>
      <c r="G595" s="2" t="inlineStr">
        <is>
          <t>South</t>
        </is>
      </c>
      <c r="H595" s="2" t="inlineStr">
        <is>
          <t>Tamil Nadu</t>
        </is>
      </c>
      <c r="I595" s="2" t="inlineStr">
        <is>
          <t>Coimbatore</t>
        </is>
      </c>
      <c r="J595" s="2" t="inlineStr">
        <is>
          <t>Online</t>
        </is>
      </c>
      <c r="K595" s="2" t="n">
        <v>2</v>
      </c>
      <c r="L595" s="3" t="n">
        <v>1264.09</v>
      </c>
      <c r="M595" s="4" t="n">
        <v>0.1</v>
      </c>
      <c r="N595" s="3" t="n">
        <v>1843.03</v>
      </c>
      <c r="O595" s="3">
        <f>K595*L595*(1-M595)</f>
        <v/>
      </c>
      <c r="P595" s="3">
        <f>O595-N595</f>
        <v/>
      </c>
      <c r="Q595" s="5">
        <f>IFERROR(P595/O595,0)</f>
        <v/>
      </c>
      <c r="R595" s="2">
        <f>TEXT(DATEVALUE(B595),"mmm")</f>
        <v/>
      </c>
      <c r="S595" s="2">
        <f>TEXT(DATEVALUE(B595),"yyyy-mm")</f>
        <v/>
      </c>
    </row>
    <row r="596">
      <c r="A596" s="2" t="inlineStr">
        <is>
          <t>O004557</t>
        </is>
      </c>
      <c r="B596" s="2" t="inlineStr">
        <is>
          <t>2025-02-14</t>
        </is>
      </c>
      <c r="C596" s="2" t="inlineStr">
        <is>
          <t>C0443</t>
        </is>
      </c>
      <c r="D596" s="2" t="inlineStr">
        <is>
          <t>P0031</t>
        </is>
      </c>
      <c r="E596" s="2" t="inlineStr">
        <is>
          <t>Cricket Bat</t>
        </is>
      </c>
      <c r="F596" s="2" t="inlineStr">
        <is>
          <t>Sports</t>
        </is>
      </c>
      <c r="G596" s="2" t="inlineStr">
        <is>
          <t>North</t>
        </is>
      </c>
      <c r="H596" s="2" t="inlineStr">
        <is>
          <t>Punjab</t>
        </is>
      </c>
      <c r="I596" s="2" t="inlineStr">
        <is>
          <t>Amritsar</t>
        </is>
      </c>
      <c r="J596" s="2" t="inlineStr">
        <is>
          <t>Online</t>
        </is>
      </c>
      <c r="K596" s="2" t="n">
        <v>3</v>
      </c>
      <c r="L596" s="3" t="n">
        <v>1373.1</v>
      </c>
      <c r="M596" s="4" t="n">
        <v>0.1</v>
      </c>
      <c r="N596" s="3" t="n">
        <v>2916</v>
      </c>
      <c r="O596" s="3">
        <f>K596*L596*(1-M596)</f>
        <v/>
      </c>
      <c r="P596" s="3">
        <f>O596-N596</f>
        <v/>
      </c>
      <c r="Q596" s="5">
        <f>IFERROR(P596/O596,0)</f>
        <v/>
      </c>
      <c r="R596" s="2">
        <f>TEXT(DATEVALUE(B596),"mmm")</f>
        <v/>
      </c>
      <c r="S596" s="2">
        <f>TEXT(DATEVALUE(B596),"yyyy-mm")</f>
        <v/>
      </c>
    </row>
    <row r="597">
      <c r="A597" s="2" t="inlineStr">
        <is>
          <t>O003854</t>
        </is>
      </c>
      <c r="B597" s="2" t="inlineStr">
        <is>
          <t>2025-02-14</t>
        </is>
      </c>
      <c r="C597" s="2" t="inlineStr">
        <is>
          <t>C0290</t>
        </is>
      </c>
      <c r="D597" s="2" t="inlineStr">
        <is>
          <t>P0022</t>
        </is>
      </c>
      <c r="E597" s="2" t="inlineStr">
        <is>
          <t>Face Wash</t>
        </is>
      </c>
      <c r="F597" s="2" t="inlineStr">
        <is>
          <t>Beauty</t>
        </is>
      </c>
      <c r="G597" s="2" t="inlineStr">
        <is>
          <t>South</t>
        </is>
      </c>
      <c r="H597" s="2" t="inlineStr">
        <is>
          <t>Telangana</t>
        </is>
      </c>
      <c r="I597" s="2" t="inlineStr">
        <is>
          <t>Warangal</t>
        </is>
      </c>
      <c r="J597" s="2" t="inlineStr">
        <is>
          <t>Online</t>
        </is>
      </c>
      <c r="K597" s="2" t="n">
        <v>4</v>
      </c>
      <c r="L597" s="3" t="n">
        <v>536.96</v>
      </c>
      <c r="M597" s="4" t="n">
        <v>0.15</v>
      </c>
      <c r="N597" s="3" t="n">
        <v>1370.97</v>
      </c>
      <c r="O597" s="3">
        <f>K597*L597*(1-M597)</f>
        <v/>
      </c>
      <c r="P597" s="3">
        <f>O597-N597</f>
        <v/>
      </c>
      <c r="Q597" s="5">
        <f>IFERROR(P597/O597,0)</f>
        <v/>
      </c>
      <c r="R597" s="2">
        <f>TEXT(DATEVALUE(B597),"mmm")</f>
        <v/>
      </c>
      <c r="S597" s="2">
        <f>TEXT(DATEVALUE(B597),"yyyy-mm")</f>
        <v/>
      </c>
    </row>
    <row r="598">
      <c r="A598" s="2" t="inlineStr">
        <is>
          <t>O003608</t>
        </is>
      </c>
      <c r="B598" s="2" t="inlineStr">
        <is>
          <t>2025-02-14</t>
        </is>
      </c>
      <c r="C598" s="2" t="inlineStr">
        <is>
          <t>C0780</t>
        </is>
      </c>
      <c r="D598" s="2" t="inlineStr">
        <is>
          <t>P0030</t>
        </is>
      </c>
      <c r="E598" s="2" t="inlineStr">
        <is>
          <t>Dumbbells</t>
        </is>
      </c>
      <c r="F598" s="2" t="inlineStr">
        <is>
          <t>Sports</t>
        </is>
      </c>
      <c r="G598" s="2" t="inlineStr">
        <is>
          <t>North</t>
        </is>
      </c>
      <c r="H598" s="2" t="inlineStr">
        <is>
          <t>Punjab</t>
        </is>
      </c>
      <c r="I598" s="2" t="inlineStr">
        <is>
          <t>Jalandhar</t>
        </is>
      </c>
      <c r="J598" s="2" t="inlineStr">
        <is>
          <t>Online</t>
        </is>
      </c>
      <c r="K598" s="2" t="n">
        <v>2</v>
      </c>
      <c r="L598" s="3" t="n">
        <v>1511.12</v>
      </c>
      <c r="M598" s="4" t="n">
        <v>0</v>
      </c>
      <c r="N598" s="3" t="n">
        <v>2114.43</v>
      </c>
      <c r="O598" s="3">
        <f>K598*L598*(1-M598)</f>
        <v/>
      </c>
      <c r="P598" s="3">
        <f>O598-N598</f>
        <v/>
      </c>
      <c r="Q598" s="5">
        <f>IFERROR(P598/O598,0)</f>
        <v/>
      </c>
      <c r="R598" s="2">
        <f>TEXT(DATEVALUE(B598),"mmm")</f>
        <v/>
      </c>
      <c r="S598" s="2">
        <f>TEXT(DATEVALUE(B598),"yyyy-mm")</f>
        <v/>
      </c>
    </row>
    <row r="599">
      <c r="A599" s="2" t="inlineStr">
        <is>
          <t>O003275</t>
        </is>
      </c>
      <c r="B599" s="2" t="inlineStr">
        <is>
          <t>2025-02-14</t>
        </is>
      </c>
      <c r="C599" s="2" t="inlineStr">
        <is>
          <t>C0719</t>
        </is>
      </c>
      <c r="D599" s="2" t="inlineStr">
        <is>
          <t>P0031</t>
        </is>
      </c>
      <c r="E599" s="2" t="inlineStr">
        <is>
          <t>Cricket Bat</t>
        </is>
      </c>
      <c r="F599" s="2" t="inlineStr">
        <is>
          <t>Sports</t>
        </is>
      </c>
      <c r="G599" s="2" t="inlineStr">
        <is>
          <t>South</t>
        </is>
      </c>
      <c r="H599" s="2" t="inlineStr">
        <is>
          <t>Karnataka</t>
        </is>
      </c>
      <c r="I599" s="2" t="inlineStr">
        <is>
          <t>Mysuru</t>
        </is>
      </c>
      <c r="J599" s="2" t="inlineStr">
        <is>
          <t>Online</t>
        </is>
      </c>
      <c r="K599" s="2" t="n">
        <v>1</v>
      </c>
      <c r="L599" s="3" t="n">
        <v>1383</v>
      </c>
      <c r="M599" s="4" t="n">
        <v>0.15</v>
      </c>
      <c r="N599" s="3" t="n">
        <v>961.71</v>
      </c>
      <c r="O599" s="3">
        <f>K599*L599*(1-M599)</f>
        <v/>
      </c>
      <c r="P599" s="3">
        <f>O599-N599</f>
        <v/>
      </c>
      <c r="Q599" s="5">
        <f>IFERROR(P599/O599,0)</f>
        <v/>
      </c>
      <c r="R599" s="2">
        <f>TEXT(DATEVALUE(B599),"mmm")</f>
        <v/>
      </c>
      <c r="S599" s="2">
        <f>TEXT(DATEVALUE(B599),"yyyy-mm")</f>
        <v/>
      </c>
    </row>
    <row r="600">
      <c r="A600" s="2" t="inlineStr">
        <is>
          <t>O001654</t>
        </is>
      </c>
      <c r="B600" s="2" t="inlineStr">
        <is>
          <t>2025-02-14</t>
        </is>
      </c>
      <c r="C600" s="2" t="inlineStr">
        <is>
          <t>C0747</t>
        </is>
      </c>
      <c r="D600" s="2" t="inlineStr">
        <is>
          <t>P0002</t>
        </is>
      </c>
      <c r="E600" s="2" t="inlineStr">
        <is>
          <t>Bluetooth Speaker</t>
        </is>
      </c>
      <c r="F600" s="2" t="inlineStr">
        <is>
          <t>Electronics</t>
        </is>
      </c>
      <c r="G600" s="2" t="inlineStr">
        <is>
          <t>South</t>
        </is>
      </c>
      <c r="H600" s="2" t="inlineStr">
        <is>
          <t>Karnataka</t>
        </is>
      </c>
      <c r="I600" s="2" t="inlineStr">
        <is>
          <t>Mangaluru</t>
        </is>
      </c>
      <c r="J600" s="2" t="inlineStr">
        <is>
          <t>Online</t>
        </is>
      </c>
      <c r="K600" s="2" t="n">
        <v>2</v>
      </c>
      <c r="L600" s="3" t="n">
        <v>1425.99</v>
      </c>
      <c r="M600" s="4" t="n">
        <v>0</v>
      </c>
      <c r="N600" s="3" t="n">
        <v>1696.73</v>
      </c>
      <c r="O600" s="3">
        <f>K600*L600*(1-M600)</f>
        <v/>
      </c>
      <c r="P600" s="3">
        <f>O600-N600</f>
        <v/>
      </c>
      <c r="Q600" s="5">
        <f>IFERROR(P600/O600,0)</f>
        <v/>
      </c>
      <c r="R600" s="2">
        <f>TEXT(DATEVALUE(B600),"mmm")</f>
        <v/>
      </c>
      <c r="S600" s="2">
        <f>TEXT(DATEVALUE(B600),"yyyy-mm")</f>
        <v/>
      </c>
    </row>
    <row r="601">
      <c r="A601" s="2" t="inlineStr">
        <is>
          <t>O001643</t>
        </is>
      </c>
      <c r="B601" s="2" t="inlineStr">
        <is>
          <t>2025-02-14</t>
        </is>
      </c>
      <c r="C601" s="2" t="inlineStr">
        <is>
          <t>C0771</t>
        </is>
      </c>
      <c r="D601" s="2" t="inlineStr">
        <is>
          <t>P0004</t>
        </is>
      </c>
      <c r="E601" s="2" t="inlineStr">
        <is>
          <t>USB-C Hub</t>
        </is>
      </c>
      <c r="F601" s="2" t="inlineStr">
        <is>
          <t>Electronics</t>
        </is>
      </c>
      <c r="G601" s="2" t="inlineStr">
        <is>
          <t>South</t>
        </is>
      </c>
      <c r="H601" s="2" t="inlineStr">
        <is>
          <t>Tamil Nadu</t>
        </is>
      </c>
      <c r="I601" s="2" t="inlineStr">
        <is>
          <t>Coimbatore</t>
        </is>
      </c>
      <c r="J601" s="2" t="inlineStr">
        <is>
          <t>Online</t>
        </is>
      </c>
      <c r="K601" s="2" t="n">
        <v>1</v>
      </c>
      <c r="L601" s="3" t="n">
        <v>1224.27</v>
      </c>
      <c r="M601" s="4" t="n">
        <v>0.05</v>
      </c>
      <c r="N601" s="3" t="n">
        <v>956.79</v>
      </c>
      <c r="O601" s="3">
        <f>K601*L601*(1-M601)</f>
        <v/>
      </c>
      <c r="P601" s="3">
        <f>O601-N601</f>
        <v/>
      </c>
      <c r="Q601" s="5">
        <f>IFERROR(P601/O601,0)</f>
        <v/>
      </c>
      <c r="R601" s="2">
        <f>TEXT(DATEVALUE(B601),"mmm")</f>
        <v/>
      </c>
      <c r="S601" s="2">
        <f>TEXT(DATEVALUE(B601),"yyyy-mm")</f>
        <v/>
      </c>
    </row>
    <row r="602">
      <c r="A602" s="2" t="inlineStr">
        <is>
          <t>O000161</t>
        </is>
      </c>
      <c r="B602" s="2" t="inlineStr">
        <is>
          <t>2025-02-14</t>
        </is>
      </c>
      <c r="C602" s="2" t="inlineStr">
        <is>
          <t>C0203</t>
        </is>
      </c>
      <c r="D602" s="2" t="inlineStr">
        <is>
          <t>P0014</t>
        </is>
      </c>
      <c r="E602" s="2" t="inlineStr">
        <is>
          <t>Coffee Maker</t>
        </is>
      </c>
      <c r="F602" s="2" t="inlineStr">
        <is>
          <t>Home &amp; Kitchen</t>
        </is>
      </c>
      <c r="G602" s="2" t="inlineStr">
        <is>
          <t>North</t>
        </is>
      </c>
      <c r="H602" s="2" t="inlineStr">
        <is>
          <t>Delhi</t>
        </is>
      </c>
      <c r="I602" s="2" t="inlineStr">
        <is>
          <t>New Delhi</t>
        </is>
      </c>
      <c r="J602" s="2" t="inlineStr">
        <is>
          <t>Store</t>
        </is>
      </c>
      <c r="K602" s="2" t="n">
        <v>6</v>
      </c>
      <c r="L602" s="3" t="n">
        <v>1069.31</v>
      </c>
      <c r="M602" s="4" t="n">
        <v>0.05</v>
      </c>
      <c r="N602" s="3" t="n">
        <v>4576.43</v>
      </c>
      <c r="O602" s="3">
        <f>K602*L602*(1-M602)</f>
        <v/>
      </c>
      <c r="P602" s="3">
        <f>O602-N602</f>
        <v/>
      </c>
      <c r="Q602" s="5">
        <f>IFERROR(P602/O602,0)</f>
        <v/>
      </c>
      <c r="R602" s="2">
        <f>TEXT(DATEVALUE(B602),"mmm")</f>
        <v/>
      </c>
      <c r="S602" s="2">
        <f>TEXT(DATEVALUE(B602),"yyyy-mm")</f>
        <v/>
      </c>
    </row>
    <row r="603">
      <c r="A603" s="2" t="inlineStr">
        <is>
          <t>O003406</t>
        </is>
      </c>
      <c r="B603" s="2" t="inlineStr">
        <is>
          <t>2025-02-14</t>
        </is>
      </c>
      <c r="C603" s="2" t="inlineStr">
        <is>
          <t>C0390</t>
        </is>
      </c>
      <c r="D603" s="2" t="inlineStr">
        <is>
          <t>P0017</t>
        </is>
      </c>
      <c r="E603" s="2" t="inlineStr">
        <is>
          <t>Jeans</t>
        </is>
      </c>
      <c r="F603" s="2" t="inlineStr">
        <is>
          <t>Fashion</t>
        </is>
      </c>
      <c r="G603" s="2" t="inlineStr">
        <is>
          <t>West</t>
        </is>
      </c>
      <c r="H603" s="2" t="inlineStr">
        <is>
          <t>Goa</t>
        </is>
      </c>
      <c r="I603" s="2" t="inlineStr">
        <is>
          <t>Panaji</t>
        </is>
      </c>
      <c r="J603" s="2" t="inlineStr">
        <is>
          <t>Online</t>
        </is>
      </c>
      <c r="K603" s="2" t="n">
        <v>1</v>
      </c>
      <c r="L603" s="3" t="n">
        <v>1458.65</v>
      </c>
      <c r="M603" s="4" t="n">
        <v>0.15</v>
      </c>
      <c r="N603" s="3" t="n">
        <v>1043.4</v>
      </c>
      <c r="O603" s="3">
        <f>K603*L603*(1-M603)</f>
        <v/>
      </c>
      <c r="P603" s="3">
        <f>O603-N603</f>
        <v/>
      </c>
      <c r="Q603" s="5">
        <f>IFERROR(P603/O603,0)</f>
        <v/>
      </c>
      <c r="R603" s="2">
        <f>TEXT(DATEVALUE(B603),"mmm")</f>
        <v/>
      </c>
      <c r="S603" s="2">
        <f>TEXT(DATEVALUE(B603),"yyyy-mm")</f>
        <v/>
      </c>
    </row>
    <row r="604">
      <c r="A604" s="2" t="inlineStr">
        <is>
          <t>O003498</t>
        </is>
      </c>
      <c r="B604" s="2" t="inlineStr">
        <is>
          <t>2025-02-15</t>
        </is>
      </c>
      <c r="C604" s="2" t="inlineStr">
        <is>
          <t>C0327</t>
        </is>
      </c>
      <c r="D604" s="2" t="inlineStr">
        <is>
          <t>P0009</t>
        </is>
      </c>
      <c r="E604" s="2" t="inlineStr">
        <is>
          <t>Electric Kettle</t>
        </is>
      </c>
      <c r="F604" s="2" t="inlineStr">
        <is>
          <t>Home &amp; Kitchen</t>
        </is>
      </c>
      <c r="G604" s="2" t="inlineStr">
        <is>
          <t>West</t>
        </is>
      </c>
      <c r="H604" s="2" t="inlineStr">
        <is>
          <t>Maharashtra</t>
        </is>
      </c>
      <c r="I604" s="2" t="inlineStr">
        <is>
          <t>Thane</t>
        </is>
      </c>
      <c r="J604" s="2" t="inlineStr">
        <is>
          <t>Online</t>
        </is>
      </c>
      <c r="K604" s="2" t="n">
        <v>1</v>
      </c>
      <c r="L604" s="3" t="n">
        <v>2124.22</v>
      </c>
      <c r="M604" s="4" t="n">
        <v>0.05</v>
      </c>
      <c r="N604" s="3" t="n">
        <v>1106.54</v>
      </c>
      <c r="O604" s="3">
        <f>K604*L604*(1-M604)</f>
        <v/>
      </c>
      <c r="P604" s="3">
        <f>O604-N604</f>
        <v/>
      </c>
      <c r="Q604" s="5">
        <f>IFERROR(P604/O604,0)</f>
        <v/>
      </c>
      <c r="R604" s="2">
        <f>TEXT(DATEVALUE(B604),"mmm")</f>
        <v/>
      </c>
      <c r="S604" s="2">
        <f>TEXT(DATEVALUE(B604),"yyyy-mm")</f>
        <v/>
      </c>
    </row>
    <row r="605">
      <c r="A605" s="2" t="inlineStr">
        <is>
          <t>O004381</t>
        </is>
      </c>
      <c r="B605" s="2" t="inlineStr">
        <is>
          <t>2025-02-15</t>
        </is>
      </c>
      <c r="C605" s="2" t="inlineStr">
        <is>
          <t>C0519</t>
        </is>
      </c>
      <c r="D605" s="2" t="inlineStr">
        <is>
          <t>P0027</t>
        </is>
      </c>
      <c r="E605" s="2" t="inlineStr">
        <is>
          <t>Moisturizer</t>
        </is>
      </c>
      <c r="F605" s="2" t="inlineStr">
        <is>
          <t>Beauty</t>
        </is>
      </c>
      <c r="G605" s="2" t="inlineStr">
        <is>
          <t>West</t>
        </is>
      </c>
      <c r="H605" s="2" t="inlineStr">
        <is>
          <t>Goa</t>
        </is>
      </c>
      <c r="I605" s="2" t="inlineStr">
        <is>
          <t>Panaji</t>
        </is>
      </c>
      <c r="J605" s="2" t="inlineStr">
        <is>
          <t>Online</t>
        </is>
      </c>
      <c r="K605" s="2" t="n">
        <v>3</v>
      </c>
      <c r="L605" s="3" t="n">
        <v>923.79</v>
      </c>
      <c r="M605" s="4" t="n">
        <v>0.05</v>
      </c>
      <c r="N605" s="3" t="n">
        <v>2058.34</v>
      </c>
      <c r="O605" s="3">
        <f>K605*L605*(1-M605)</f>
        <v/>
      </c>
      <c r="P605" s="3">
        <f>O605-N605</f>
        <v/>
      </c>
      <c r="Q605" s="5">
        <f>IFERROR(P605/O605,0)</f>
        <v/>
      </c>
      <c r="R605" s="2">
        <f>TEXT(DATEVALUE(B605),"mmm")</f>
        <v/>
      </c>
      <c r="S605" s="2">
        <f>TEXT(DATEVALUE(B605),"yyyy-mm")</f>
        <v/>
      </c>
    </row>
    <row r="606">
      <c r="A606" s="2" t="inlineStr">
        <is>
          <t>O004094</t>
        </is>
      </c>
      <c r="B606" s="2" t="inlineStr">
        <is>
          <t>2025-02-15</t>
        </is>
      </c>
      <c r="C606" s="2" t="inlineStr">
        <is>
          <t>C0476</t>
        </is>
      </c>
      <c r="D606" s="2" t="inlineStr">
        <is>
          <t>P0004</t>
        </is>
      </c>
      <c r="E606" s="2" t="inlineStr">
        <is>
          <t>USB-C Hub</t>
        </is>
      </c>
      <c r="F606" s="2" t="inlineStr">
        <is>
          <t>Electronics</t>
        </is>
      </c>
      <c r="G606" s="2" t="inlineStr">
        <is>
          <t>South</t>
        </is>
      </c>
      <c r="H606" s="2" t="inlineStr">
        <is>
          <t>Tamil Nadu</t>
        </is>
      </c>
      <c r="I606" s="2" t="inlineStr">
        <is>
          <t>Coimbatore</t>
        </is>
      </c>
      <c r="J606" s="2" t="inlineStr">
        <is>
          <t>Online</t>
        </is>
      </c>
      <c r="K606" s="2" t="n">
        <v>1</v>
      </c>
      <c r="L606" s="3" t="n">
        <v>1233.13</v>
      </c>
      <c r="M606" s="4" t="n">
        <v>0</v>
      </c>
      <c r="N606" s="3" t="n">
        <v>921.15</v>
      </c>
      <c r="O606" s="3">
        <f>K606*L606*(1-M606)</f>
        <v/>
      </c>
      <c r="P606" s="3">
        <f>O606-N606</f>
        <v/>
      </c>
      <c r="Q606" s="5">
        <f>IFERROR(P606/O606,0)</f>
        <v/>
      </c>
      <c r="R606" s="2">
        <f>TEXT(DATEVALUE(B606),"mmm")</f>
        <v/>
      </c>
      <c r="S606" s="2">
        <f>TEXT(DATEVALUE(B606),"yyyy-mm")</f>
        <v/>
      </c>
    </row>
    <row r="607">
      <c r="A607" s="2" t="inlineStr">
        <is>
          <t>O003921</t>
        </is>
      </c>
      <c r="B607" s="2" t="inlineStr">
        <is>
          <t>2025-02-15</t>
        </is>
      </c>
      <c r="C607" s="2" t="inlineStr">
        <is>
          <t>C0294</t>
        </is>
      </c>
      <c r="D607" s="2" t="inlineStr">
        <is>
          <t>P0031</t>
        </is>
      </c>
      <c r="E607" s="2" t="inlineStr">
        <is>
          <t>Cricket Bat</t>
        </is>
      </c>
      <c r="F607" s="2" t="inlineStr">
        <is>
          <t>Sports</t>
        </is>
      </c>
      <c r="G607" s="2" t="inlineStr">
        <is>
          <t>South</t>
        </is>
      </c>
      <c r="H607" s="2" t="inlineStr">
        <is>
          <t>Kerala</t>
        </is>
      </c>
      <c r="I607" s="2" t="inlineStr">
        <is>
          <t>Thiruvananthapuram</t>
        </is>
      </c>
      <c r="J607" s="2" t="inlineStr">
        <is>
          <t>Store</t>
        </is>
      </c>
      <c r="K607" s="2" t="n">
        <v>2</v>
      </c>
      <c r="L607" s="3" t="n">
        <v>1417.17</v>
      </c>
      <c r="M607" s="4" t="n">
        <v>0.1</v>
      </c>
      <c r="N607" s="3" t="n">
        <v>1929.27</v>
      </c>
      <c r="O607" s="3">
        <f>K607*L607*(1-M607)</f>
        <v/>
      </c>
      <c r="P607" s="3">
        <f>O607-N607</f>
        <v/>
      </c>
      <c r="Q607" s="5">
        <f>IFERROR(P607/O607,0)</f>
        <v/>
      </c>
      <c r="R607" s="2">
        <f>TEXT(DATEVALUE(B607),"mmm")</f>
        <v/>
      </c>
      <c r="S607" s="2">
        <f>TEXT(DATEVALUE(B607),"yyyy-mm")</f>
        <v/>
      </c>
    </row>
    <row r="608">
      <c r="A608" s="2" t="inlineStr">
        <is>
          <t>O003793</t>
        </is>
      </c>
      <c r="B608" s="2" t="inlineStr">
        <is>
          <t>2025-02-15</t>
        </is>
      </c>
      <c r="C608" s="2" t="inlineStr">
        <is>
          <t>C0379</t>
        </is>
      </c>
      <c r="D608" s="2" t="inlineStr">
        <is>
          <t>P0010</t>
        </is>
      </c>
      <c r="E608" s="2" t="inlineStr">
        <is>
          <t>Mixer Grinder</t>
        </is>
      </c>
      <c r="F608" s="2" t="inlineStr">
        <is>
          <t>Home &amp; Kitchen</t>
        </is>
      </c>
      <c r="G608" s="2" t="inlineStr">
        <is>
          <t>West</t>
        </is>
      </c>
      <c r="H608" s="2" t="inlineStr">
        <is>
          <t>Gujarat</t>
        </is>
      </c>
      <c r="I608" s="2" t="inlineStr">
        <is>
          <t>Surat</t>
        </is>
      </c>
      <c r="J608" s="2" t="inlineStr">
        <is>
          <t>Store</t>
        </is>
      </c>
      <c r="K608" s="2" t="n">
        <v>4</v>
      </c>
      <c r="L608" s="3" t="n">
        <v>1591.63</v>
      </c>
      <c r="M608" s="4" t="n">
        <v>0.1</v>
      </c>
      <c r="N608" s="3" t="n">
        <v>4101.97</v>
      </c>
      <c r="O608" s="3">
        <f>K608*L608*(1-M608)</f>
        <v/>
      </c>
      <c r="P608" s="3">
        <f>O608-N608</f>
        <v/>
      </c>
      <c r="Q608" s="5">
        <f>IFERROR(P608/O608,0)</f>
        <v/>
      </c>
      <c r="R608" s="2">
        <f>TEXT(DATEVALUE(B608),"mmm")</f>
        <v/>
      </c>
      <c r="S608" s="2">
        <f>TEXT(DATEVALUE(B608),"yyyy-mm")</f>
        <v/>
      </c>
    </row>
    <row r="609">
      <c r="A609" s="2" t="inlineStr">
        <is>
          <t>O004555</t>
        </is>
      </c>
      <c r="B609" s="2" t="inlineStr">
        <is>
          <t>2025-02-15</t>
        </is>
      </c>
      <c r="C609" s="2" t="inlineStr">
        <is>
          <t>C0585</t>
        </is>
      </c>
      <c r="D609" s="2" t="inlineStr">
        <is>
          <t>P0007</t>
        </is>
      </c>
      <c r="E609" s="2" t="inlineStr">
        <is>
          <t>Wireless Mouse</t>
        </is>
      </c>
      <c r="F609" s="2" t="inlineStr">
        <is>
          <t>Electronics</t>
        </is>
      </c>
      <c r="G609" s="2" t="inlineStr">
        <is>
          <t>West</t>
        </is>
      </c>
      <c r="H609" s="2" t="inlineStr">
        <is>
          <t>Goa</t>
        </is>
      </c>
      <c r="I609" s="2" t="inlineStr">
        <is>
          <t>Margao</t>
        </is>
      </c>
      <c r="J609" s="2" t="inlineStr">
        <is>
          <t>Online</t>
        </is>
      </c>
      <c r="K609" s="2" t="n">
        <v>1</v>
      </c>
      <c r="L609" s="3" t="n">
        <v>993.53</v>
      </c>
      <c r="M609" s="4" t="n">
        <v>0.1</v>
      </c>
      <c r="N609" s="3" t="n">
        <v>628.26</v>
      </c>
      <c r="O609" s="3">
        <f>K609*L609*(1-M609)</f>
        <v/>
      </c>
      <c r="P609" s="3">
        <f>O609-N609</f>
        <v/>
      </c>
      <c r="Q609" s="5">
        <f>IFERROR(P609/O609,0)</f>
        <v/>
      </c>
      <c r="R609" s="2">
        <f>TEXT(DATEVALUE(B609),"mmm")</f>
        <v/>
      </c>
      <c r="S609" s="2">
        <f>TEXT(DATEVALUE(B609),"yyyy-mm")</f>
        <v/>
      </c>
    </row>
    <row r="610">
      <c r="A610" s="2" t="inlineStr">
        <is>
          <t>O003274</t>
        </is>
      </c>
      <c r="B610" s="2" t="inlineStr">
        <is>
          <t>2025-02-15</t>
        </is>
      </c>
      <c r="C610" s="2" t="inlineStr">
        <is>
          <t>C0319</t>
        </is>
      </c>
      <c r="D610" s="2" t="inlineStr">
        <is>
          <t>P0013</t>
        </is>
      </c>
      <c r="E610" s="2" t="inlineStr">
        <is>
          <t>Storage Organizer</t>
        </is>
      </c>
      <c r="F610" s="2" t="inlineStr">
        <is>
          <t>Home &amp; Kitchen</t>
        </is>
      </c>
      <c r="G610" s="2" t="inlineStr">
        <is>
          <t>South</t>
        </is>
      </c>
      <c r="H610" s="2" t="inlineStr">
        <is>
          <t>Telangana</t>
        </is>
      </c>
      <c r="I610" s="2" t="inlineStr">
        <is>
          <t>Warangal</t>
        </is>
      </c>
      <c r="J610" s="2" t="inlineStr">
        <is>
          <t>Online</t>
        </is>
      </c>
      <c r="K610" s="2" t="n">
        <v>1</v>
      </c>
      <c r="L610" s="3" t="n">
        <v>549.5700000000001</v>
      </c>
      <c r="M610" s="4" t="n">
        <v>0.05</v>
      </c>
      <c r="N610" s="3" t="n">
        <v>354.49</v>
      </c>
      <c r="O610" s="3">
        <f>K610*L610*(1-M610)</f>
        <v/>
      </c>
      <c r="P610" s="3">
        <f>O610-N610</f>
        <v/>
      </c>
      <c r="Q610" s="5">
        <f>IFERROR(P610/O610,0)</f>
        <v/>
      </c>
      <c r="R610" s="2">
        <f>TEXT(DATEVALUE(B610),"mmm")</f>
        <v/>
      </c>
      <c r="S610" s="2">
        <f>TEXT(DATEVALUE(B610),"yyyy-mm")</f>
        <v/>
      </c>
    </row>
    <row r="611">
      <c r="A611" s="2" t="inlineStr">
        <is>
          <t>O001672</t>
        </is>
      </c>
      <c r="B611" s="2" t="inlineStr">
        <is>
          <t>2025-02-15</t>
        </is>
      </c>
      <c r="C611" s="2" t="inlineStr">
        <is>
          <t>C0609</t>
        </is>
      </c>
      <c r="D611" s="2" t="inlineStr">
        <is>
          <t>P0032</t>
        </is>
      </c>
      <c r="E611" s="2" t="inlineStr">
        <is>
          <t>Football</t>
        </is>
      </c>
      <c r="F611" s="2" t="inlineStr">
        <is>
          <t>Sports</t>
        </is>
      </c>
      <c r="G611" s="2" t="inlineStr">
        <is>
          <t>West</t>
        </is>
      </c>
      <c r="H611" s="2" t="inlineStr">
        <is>
          <t>Gujarat</t>
        </is>
      </c>
      <c r="I611" s="2" t="inlineStr">
        <is>
          <t>Surat</t>
        </is>
      </c>
      <c r="J611" s="2" t="inlineStr">
        <is>
          <t>Store</t>
        </is>
      </c>
      <c r="K611" s="2" t="n">
        <v>3</v>
      </c>
      <c r="L611" s="3" t="n">
        <v>797.35</v>
      </c>
      <c r="M611" s="4" t="n">
        <v>0.1</v>
      </c>
      <c r="N611" s="3" t="n">
        <v>1626.64</v>
      </c>
      <c r="O611" s="3">
        <f>K611*L611*(1-M611)</f>
        <v/>
      </c>
      <c r="P611" s="3">
        <f>O611-N611</f>
        <v/>
      </c>
      <c r="Q611" s="5">
        <f>IFERROR(P611/O611,0)</f>
        <v/>
      </c>
      <c r="R611" s="2">
        <f>TEXT(DATEVALUE(B611),"mmm")</f>
        <v/>
      </c>
      <c r="S611" s="2">
        <f>TEXT(DATEVALUE(B611),"yyyy-mm")</f>
        <v/>
      </c>
    </row>
    <row r="612">
      <c r="A612" s="2" t="inlineStr">
        <is>
          <t>O001813</t>
        </is>
      </c>
      <c r="B612" s="2" t="inlineStr">
        <is>
          <t>2025-02-15</t>
        </is>
      </c>
      <c r="C612" s="2" t="inlineStr">
        <is>
          <t>C0346</t>
        </is>
      </c>
      <c r="D612" s="2" t="inlineStr">
        <is>
          <t>P0034</t>
        </is>
      </c>
      <c r="E612" s="2" t="inlineStr">
        <is>
          <t>Gym Gloves</t>
        </is>
      </c>
      <c r="F612" s="2" t="inlineStr">
        <is>
          <t>Sports</t>
        </is>
      </c>
      <c r="G612" s="2" t="inlineStr">
        <is>
          <t>West</t>
        </is>
      </c>
      <c r="H612" s="2" t="inlineStr">
        <is>
          <t>Goa</t>
        </is>
      </c>
      <c r="I612" s="2" t="inlineStr">
        <is>
          <t>Margao</t>
        </is>
      </c>
      <c r="J612" s="2" t="inlineStr">
        <is>
          <t>Online</t>
        </is>
      </c>
      <c r="K612" s="2" t="n">
        <v>3</v>
      </c>
      <c r="L612" s="3" t="n">
        <v>634.76</v>
      </c>
      <c r="M612" s="4" t="n">
        <v>0</v>
      </c>
      <c r="N612" s="3" t="n">
        <v>1210.26</v>
      </c>
      <c r="O612" s="3">
        <f>K612*L612*(1-M612)</f>
        <v/>
      </c>
      <c r="P612" s="3">
        <f>O612-N612</f>
        <v/>
      </c>
      <c r="Q612" s="5">
        <f>IFERROR(P612/O612,0)</f>
        <v/>
      </c>
      <c r="R612" s="2">
        <f>TEXT(DATEVALUE(B612),"mmm")</f>
        <v/>
      </c>
      <c r="S612" s="2">
        <f>TEXT(DATEVALUE(B612),"yyyy-mm")</f>
        <v/>
      </c>
    </row>
    <row r="613">
      <c r="A613" s="2" t="inlineStr">
        <is>
          <t>O001775</t>
        </is>
      </c>
      <c r="B613" s="2" t="inlineStr">
        <is>
          <t>2025-02-15</t>
        </is>
      </c>
      <c r="C613" s="2" t="inlineStr">
        <is>
          <t>C0064</t>
        </is>
      </c>
      <c r="D613" s="2" t="inlineStr">
        <is>
          <t>P0007</t>
        </is>
      </c>
      <c r="E613" s="2" t="inlineStr">
        <is>
          <t>Wireless Mouse</t>
        </is>
      </c>
      <c r="F613" s="2" t="inlineStr">
        <is>
          <t>Electronics</t>
        </is>
      </c>
      <c r="G613" s="2" t="inlineStr">
        <is>
          <t>West</t>
        </is>
      </c>
      <c r="H613" s="2" t="inlineStr">
        <is>
          <t>Gujarat</t>
        </is>
      </c>
      <c r="I613" s="2" t="inlineStr">
        <is>
          <t>Ahmedabad</t>
        </is>
      </c>
      <c r="J613" s="2" t="inlineStr">
        <is>
          <t>Online</t>
        </is>
      </c>
      <c r="K613" s="2" t="n">
        <v>3</v>
      </c>
      <c r="L613" s="3" t="n">
        <v>1006.31</v>
      </c>
      <c r="M613" s="4" t="n">
        <v>0.1</v>
      </c>
      <c r="N613" s="3" t="n">
        <v>1930.26</v>
      </c>
      <c r="O613" s="3">
        <f>K613*L613*(1-M613)</f>
        <v/>
      </c>
      <c r="P613" s="3">
        <f>O613-N613</f>
        <v/>
      </c>
      <c r="Q613" s="5">
        <f>IFERROR(P613/O613,0)</f>
        <v/>
      </c>
      <c r="R613" s="2">
        <f>TEXT(DATEVALUE(B613),"mmm")</f>
        <v/>
      </c>
      <c r="S613" s="2">
        <f>TEXT(DATEVALUE(B613),"yyyy-mm")</f>
        <v/>
      </c>
    </row>
    <row r="614">
      <c r="A614" s="2" t="inlineStr">
        <is>
          <t>O001366</t>
        </is>
      </c>
      <c r="B614" s="2" t="inlineStr">
        <is>
          <t>2025-02-15</t>
        </is>
      </c>
      <c r="C614" s="2" t="inlineStr">
        <is>
          <t>C0522</t>
        </is>
      </c>
      <c r="D614" s="2" t="inlineStr">
        <is>
          <t>P0022</t>
        </is>
      </c>
      <c r="E614" s="2" t="inlineStr">
        <is>
          <t>Face Wash</t>
        </is>
      </c>
      <c r="F614" s="2" t="inlineStr">
        <is>
          <t>Beauty</t>
        </is>
      </c>
      <c r="G614" s="2" t="inlineStr">
        <is>
          <t>South</t>
        </is>
      </c>
      <c r="H614" s="2" t="inlineStr">
        <is>
          <t>Karnataka</t>
        </is>
      </c>
      <c r="I614" s="2" t="inlineStr">
        <is>
          <t>Bengaluru</t>
        </is>
      </c>
      <c r="J614" s="2" t="inlineStr">
        <is>
          <t>Store</t>
        </is>
      </c>
      <c r="K614" s="2" t="n">
        <v>3</v>
      </c>
      <c r="L614" s="3" t="n">
        <v>553.85</v>
      </c>
      <c r="M614" s="4" t="n">
        <v>0.1</v>
      </c>
      <c r="N614" s="3" t="n">
        <v>1076.14</v>
      </c>
      <c r="O614" s="3">
        <f>K614*L614*(1-M614)</f>
        <v/>
      </c>
      <c r="P614" s="3">
        <f>O614-N614</f>
        <v/>
      </c>
      <c r="Q614" s="5">
        <f>IFERROR(P614/O614,0)</f>
        <v/>
      </c>
      <c r="R614" s="2">
        <f>TEXT(DATEVALUE(B614),"mmm")</f>
        <v/>
      </c>
      <c r="S614" s="2">
        <f>TEXT(DATEVALUE(B614),"yyyy-mm")</f>
        <v/>
      </c>
    </row>
    <row r="615">
      <c r="A615" s="2" t="inlineStr">
        <is>
          <t>O000854</t>
        </is>
      </c>
      <c r="B615" s="2" t="inlineStr">
        <is>
          <t>2025-02-15</t>
        </is>
      </c>
      <c r="C615" s="2" t="inlineStr">
        <is>
          <t>C0085</t>
        </is>
      </c>
      <c r="D615" s="2" t="inlineStr">
        <is>
          <t>P0013</t>
        </is>
      </c>
      <c r="E615" s="2" t="inlineStr">
        <is>
          <t>Storage Organizer</t>
        </is>
      </c>
      <c r="F615" s="2" t="inlineStr">
        <is>
          <t>Home &amp; Kitchen</t>
        </is>
      </c>
      <c r="G615" s="2" t="inlineStr">
        <is>
          <t>West</t>
        </is>
      </c>
      <c r="H615" s="2" t="inlineStr">
        <is>
          <t>Gujarat</t>
        </is>
      </c>
      <c r="I615" s="2" t="inlineStr">
        <is>
          <t>Ahmedabad</t>
        </is>
      </c>
      <c r="J615" s="2" t="inlineStr">
        <is>
          <t>Online</t>
        </is>
      </c>
      <c r="K615" s="2" t="n">
        <v>1</v>
      </c>
      <c r="L615" s="3" t="n">
        <v>548.8200000000001</v>
      </c>
      <c r="M615" s="4" t="n">
        <v>0</v>
      </c>
      <c r="N615" s="3" t="n">
        <v>358.37</v>
      </c>
      <c r="O615" s="3">
        <f>K615*L615*(1-M615)</f>
        <v/>
      </c>
      <c r="P615" s="3">
        <f>O615-N615</f>
        <v/>
      </c>
      <c r="Q615" s="5">
        <f>IFERROR(P615/O615,0)</f>
        <v/>
      </c>
      <c r="R615" s="2">
        <f>TEXT(DATEVALUE(B615),"mmm")</f>
        <v/>
      </c>
      <c r="S615" s="2">
        <f>TEXT(DATEVALUE(B615),"yyyy-mm")</f>
        <v/>
      </c>
    </row>
    <row r="616">
      <c r="A616" s="2" t="inlineStr">
        <is>
          <t>O000708</t>
        </is>
      </c>
      <c r="B616" s="2" t="inlineStr">
        <is>
          <t>2025-02-15</t>
        </is>
      </c>
      <c r="C616" s="2" t="inlineStr">
        <is>
          <t>C0226</t>
        </is>
      </c>
      <c r="D616" s="2" t="inlineStr">
        <is>
          <t>P0032</t>
        </is>
      </c>
      <c r="E616" s="2" t="inlineStr">
        <is>
          <t>Football</t>
        </is>
      </c>
      <c r="F616" s="2" t="inlineStr">
        <is>
          <t>Sports</t>
        </is>
      </c>
      <c r="G616" s="2" t="inlineStr">
        <is>
          <t>West</t>
        </is>
      </c>
      <c r="H616" s="2" t="inlineStr">
        <is>
          <t>Maharashtra</t>
        </is>
      </c>
      <c r="I616" s="2" t="inlineStr">
        <is>
          <t>Thane</t>
        </is>
      </c>
      <c r="J616" s="2" t="inlineStr">
        <is>
          <t>Store</t>
        </is>
      </c>
      <c r="K616" s="2" t="n">
        <v>2</v>
      </c>
      <c r="L616" s="3" t="n">
        <v>813.98</v>
      </c>
      <c r="M616" s="4" t="n">
        <v>0.1</v>
      </c>
      <c r="N616" s="3" t="n">
        <v>1043.63</v>
      </c>
      <c r="O616" s="3">
        <f>K616*L616*(1-M616)</f>
        <v/>
      </c>
      <c r="P616" s="3">
        <f>O616-N616</f>
        <v/>
      </c>
      <c r="Q616" s="5">
        <f>IFERROR(P616/O616,0)</f>
        <v/>
      </c>
      <c r="R616" s="2">
        <f>TEXT(DATEVALUE(B616),"mmm")</f>
        <v/>
      </c>
      <c r="S616" s="2">
        <f>TEXT(DATEVALUE(B616),"yyyy-mm")</f>
        <v/>
      </c>
    </row>
    <row r="617">
      <c r="A617" s="2" t="inlineStr">
        <is>
          <t>O000334</t>
        </is>
      </c>
      <c r="B617" s="2" t="inlineStr">
        <is>
          <t>2025-02-15</t>
        </is>
      </c>
      <c r="C617" s="2" t="inlineStr">
        <is>
          <t>C0397</t>
        </is>
      </c>
      <c r="D617" s="2" t="inlineStr">
        <is>
          <t>P0014</t>
        </is>
      </c>
      <c r="E617" s="2" t="inlineStr">
        <is>
          <t>Coffee Maker</t>
        </is>
      </c>
      <c r="F617" s="2" t="inlineStr">
        <is>
          <t>Home &amp; Kitchen</t>
        </is>
      </c>
      <c r="G617" s="2" t="inlineStr">
        <is>
          <t>West</t>
        </is>
      </c>
      <c r="H617" s="2" t="inlineStr">
        <is>
          <t>Gujarat</t>
        </is>
      </c>
      <c r="I617" s="2" t="inlineStr">
        <is>
          <t>Ahmedabad</t>
        </is>
      </c>
      <c r="J617" s="2" t="inlineStr">
        <is>
          <t>Store</t>
        </is>
      </c>
      <c r="K617" s="2" t="n">
        <v>1</v>
      </c>
      <c r="L617" s="3" t="n">
        <v>1038.93</v>
      </c>
      <c r="M617" s="4" t="n">
        <v>0</v>
      </c>
      <c r="N617" s="3" t="n">
        <v>786.37</v>
      </c>
      <c r="O617" s="3">
        <f>K617*L617*(1-M617)</f>
        <v/>
      </c>
      <c r="P617" s="3">
        <f>O617-N617</f>
        <v/>
      </c>
      <c r="Q617" s="5">
        <f>IFERROR(P617/O617,0)</f>
        <v/>
      </c>
      <c r="R617" s="2">
        <f>TEXT(DATEVALUE(B617),"mmm")</f>
        <v/>
      </c>
      <c r="S617" s="2">
        <f>TEXT(DATEVALUE(B617),"yyyy-mm")</f>
        <v/>
      </c>
    </row>
    <row r="618">
      <c r="A618" s="2" t="inlineStr">
        <is>
          <t>O003102</t>
        </is>
      </c>
      <c r="B618" s="2" t="inlineStr">
        <is>
          <t>2025-02-15</t>
        </is>
      </c>
      <c r="C618" s="2" t="inlineStr">
        <is>
          <t>C0473</t>
        </is>
      </c>
      <c r="D618" s="2" t="inlineStr">
        <is>
          <t>P0004</t>
        </is>
      </c>
      <c r="E618" s="2" t="inlineStr">
        <is>
          <t>USB-C Hub</t>
        </is>
      </c>
      <c r="F618" s="2" t="inlineStr">
        <is>
          <t>Electronics</t>
        </is>
      </c>
      <c r="G618" s="2" t="inlineStr">
        <is>
          <t>West</t>
        </is>
      </c>
      <c r="H618" s="2" t="inlineStr">
        <is>
          <t>Goa</t>
        </is>
      </c>
      <c r="I618" s="2" t="inlineStr">
        <is>
          <t>Margao</t>
        </is>
      </c>
      <c r="J618" s="2" t="inlineStr">
        <is>
          <t>Store</t>
        </is>
      </c>
      <c r="K618" s="2" t="n">
        <v>1</v>
      </c>
      <c r="L618" s="3" t="n">
        <v>1289.44</v>
      </c>
      <c r="M618" s="4" t="n">
        <v>0.05</v>
      </c>
      <c r="N618" s="3" t="n">
        <v>896.97</v>
      </c>
      <c r="O618" s="3">
        <f>K618*L618*(1-M618)</f>
        <v/>
      </c>
      <c r="P618" s="3">
        <f>O618-N618</f>
        <v/>
      </c>
      <c r="Q618" s="5">
        <f>IFERROR(P618/O618,0)</f>
        <v/>
      </c>
      <c r="R618" s="2">
        <f>TEXT(DATEVALUE(B618),"mmm")</f>
        <v/>
      </c>
      <c r="S618" s="2">
        <f>TEXT(DATEVALUE(B618),"yyyy-mm")</f>
        <v/>
      </c>
    </row>
    <row r="619">
      <c r="A619" s="2" t="inlineStr">
        <is>
          <t>O003188</t>
        </is>
      </c>
      <c r="B619" s="2" t="inlineStr">
        <is>
          <t>2025-02-16</t>
        </is>
      </c>
      <c r="C619" s="2" t="inlineStr">
        <is>
          <t>C0265</t>
        </is>
      </c>
      <c r="D619" s="2" t="inlineStr">
        <is>
          <t>P0031</t>
        </is>
      </c>
      <c r="E619" s="2" t="inlineStr">
        <is>
          <t>Cricket Bat</t>
        </is>
      </c>
      <c r="F619" s="2" t="inlineStr">
        <is>
          <t>Sports</t>
        </is>
      </c>
      <c r="G619" s="2" t="inlineStr">
        <is>
          <t>East</t>
        </is>
      </c>
      <c r="H619" s="2" t="inlineStr">
        <is>
          <t>Odisha</t>
        </is>
      </c>
      <c r="I619" s="2" t="inlineStr">
        <is>
          <t>Bhubaneswar</t>
        </is>
      </c>
      <c r="J619" s="2" t="inlineStr">
        <is>
          <t>Store</t>
        </is>
      </c>
      <c r="K619" s="2" t="n">
        <v>2</v>
      </c>
      <c r="L619" s="3" t="n">
        <v>1437.46</v>
      </c>
      <c r="M619" s="4" t="n">
        <v>0.05</v>
      </c>
      <c r="N619" s="3" t="n">
        <v>1850.14</v>
      </c>
      <c r="O619" s="3">
        <f>K619*L619*(1-M619)</f>
        <v/>
      </c>
      <c r="P619" s="3">
        <f>O619-N619</f>
        <v/>
      </c>
      <c r="Q619" s="5">
        <f>IFERROR(P619/O619,0)</f>
        <v/>
      </c>
      <c r="R619" s="2">
        <f>TEXT(DATEVALUE(B619),"mmm")</f>
        <v/>
      </c>
      <c r="S619" s="2">
        <f>TEXT(DATEVALUE(B619),"yyyy-mm")</f>
        <v/>
      </c>
    </row>
    <row r="620">
      <c r="A620" s="2" t="inlineStr">
        <is>
          <t>O003385</t>
        </is>
      </c>
      <c r="B620" s="2" t="inlineStr">
        <is>
          <t>2025-02-16</t>
        </is>
      </c>
      <c r="C620" s="2" t="inlineStr">
        <is>
          <t>C0487</t>
        </is>
      </c>
      <c r="D620" s="2" t="inlineStr">
        <is>
          <t>P0022</t>
        </is>
      </c>
      <c r="E620" s="2" t="inlineStr">
        <is>
          <t>Face Wash</t>
        </is>
      </c>
      <c r="F620" s="2" t="inlineStr">
        <is>
          <t>Beauty</t>
        </is>
      </c>
      <c r="G620" s="2" t="inlineStr">
        <is>
          <t>North</t>
        </is>
      </c>
      <c r="H620" s="2" t="inlineStr">
        <is>
          <t>Delhi</t>
        </is>
      </c>
      <c r="I620" s="2" t="inlineStr">
        <is>
          <t>New Delhi</t>
        </is>
      </c>
      <c r="J620" s="2" t="inlineStr">
        <is>
          <t>Store</t>
        </is>
      </c>
      <c r="K620" s="2" t="n">
        <v>1</v>
      </c>
      <c r="L620" s="3" t="n">
        <v>555.3200000000001</v>
      </c>
      <c r="M620" s="4" t="n">
        <v>0.15</v>
      </c>
      <c r="N620" s="3" t="n">
        <v>358.33</v>
      </c>
      <c r="O620" s="3">
        <f>K620*L620*(1-M620)</f>
        <v/>
      </c>
      <c r="P620" s="3">
        <f>O620-N620</f>
        <v/>
      </c>
      <c r="Q620" s="5">
        <f>IFERROR(P620/O620,0)</f>
        <v/>
      </c>
      <c r="R620" s="2">
        <f>TEXT(DATEVALUE(B620),"mmm")</f>
        <v/>
      </c>
      <c r="S620" s="2">
        <f>TEXT(DATEVALUE(B620),"yyyy-mm")</f>
        <v/>
      </c>
    </row>
    <row r="621">
      <c r="A621" s="2" t="inlineStr">
        <is>
          <t>O003490</t>
        </is>
      </c>
      <c r="B621" s="2" t="inlineStr">
        <is>
          <t>2025-02-16</t>
        </is>
      </c>
      <c r="C621" s="2" t="inlineStr">
        <is>
          <t>C0259</t>
        </is>
      </c>
      <c r="D621" s="2" t="inlineStr">
        <is>
          <t>P0023</t>
        </is>
      </c>
      <c r="E621" s="2" t="inlineStr">
        <is>
          <t>Skin Care Kit</t>
        </is>
      </c>
      <c r="F621" s="2" t="inlineStr">
        <is>
          <t>Beauty</t>
        </is>
      </c>
      <c r="G621" s="2" t="inlineStr">
        <is>
          <t>North</t>
        </is>
      </c>
      <c r="H621" s="2" t="inlineStr">
        <is>
          <t>Punjab</t>
        </is>
      </c>
      <c r="I621" s="2" t="inlineStr">
        <is>
          <t>Ludhiana</t>
        </is>
      </c>
      <c r="J621" s="2" t="inlineStr">
        <is>
          <t>Online</t>
        </is>
      </c>
      <c r="K621" s="2" t="n">
        <v>2</v>
      </c>
      <c r="L621" s="3" t="n">
        <v>1355.91</v>
      </c>
      <c r="M621" s="4" t="n">
        <v>0</v>
      </c>
      <c r="N621" s="3" t="n">
        <v>1780.09</v>
      </c>
      <c r="O621" s="3">
        <f>K621*L621*(1-M621)</f>
        <v/>
      </c>
      <c r="P621" s="3">
        <f>O621-N621</f>
        <v/>
      </c>
      <c r="Q621" s="5">
        <f>IFERROR(P621/O621,0)</f>
        <v/>
      </c>
      <c r="R621" s="2">
        <f>TEXT(DATEVALUE(B621),"mmm")</f>
        <v/>
      </c>
      <c r="S621" s="2">
        <f>TEXT(DATEVALUE(B621),"yyyy-mm")</f>
        <v/>
      </c>
    </row>
    <row r="622">
      <c r="A622" s="2" t="inlineStr">
        <is>
          <t>O003902</t>
        </is>
      </c>
      <c r="B622" s="2" t="inlineStr">
        <is>
          <t>2025-02-16</t>
        </is>
      </c>
      <c r="C622" s="2" t="inlineStr">
        <is>
          <t>C0568</t>
        </is>
      </c>
      <c r="D622" s="2" t="inlineStr">
        <is>
          <t>P0008</t>
        </is>
      </c>
      <c r="E622" s="2" t="inlineStr">
        <is>
          <t>Air Fryer</t>
        </is>
      </c>
      <c r="F622" s="2" t="inlineStr">
        <is>
          <t>Home &amp; Kitchen</t>
        </is>
      </c>
      <c r="G622" s="2" t="inlineStr">
        <is>
          <t>South</t>
        </is>
      </c>
      <c r="H622" s="2" t="inlineStr">
        <is>
          <t>Karnataka</t>
        </is>
      </c>
      <c r="I622" s="2" t="inlineStr">
        <is>
          <t>Bengaluru</t>
        </is>
      </c>
      <c r="J622" s="2" t="inlineStr">
        <is>
          <t>Online</t>
        </is>
      </c>
      <c r="K622" s="2" t="n">
        <v>6</v>
      </c>
      <c r="L622" s="3" t="n">
        <v>1042.13</v>
      </c>
      <c r="M622" s="4" t="n">
        <v>0.05</v>
      </c>
      <c r="N622" s="3" t="n">
        <v>4028.94</v>
      </c>
      <c r="O622" s="3">
        <f>K622*L622*(1-M622)</f>
        <v/>
      </c>
      <c r="P622" s="3">
        <f>O622-N622</f>
        <v/>
      </c>
      <c r="Q622" s="5">
        <f>IFERROR(P622/O622,0)</f>
        <v/>
      </c>
      <c r="R622" s="2">
        <f>TEXT(DATEVALUE(B622),"mmm")</f>
        <v/>
      </c>
      <c r="S622" s="2">
        <f>TEXT(DATEVALUE(B622),"yyyy-mm")</f>
        <v/>
      </c>
    </row>
    <row r="623">
      <c r="A623" s="2" t="inlineStr">
        <is>
          <t>O004411</t>
        </is>
      </c>
      <c r="B623" s="2" t="inlineStr">
        <is>
          <t>2025-02-16</t>
        </is>
      </c>
      <c r="C623" s="2" t="inlineStr">
        <is>
          <t>C0029</t>
        </is>
      </c>
      <c r="D623" s="2" t="inlineStr">
        <is>
          <t>P0011</t>
        </is>
      </c>
      <c r="E623" s="2" t="inlineStr">
        <is>
          <t>Cookware Set</t>
        </is>
      </c>
      <c r="F623" s="2" t="inlineStr">
        <is>
          <t>Home &amp; Kitchen</t>
        </is>
      </c>
      <c r="G623" s="2" t="inlineStr">
        <is>
          <t>West</t>
        </is>
      </c>
      <c r="H623" s="2" t="inlineStr">
        <is>
          <t>Goa</t>
        </is>
      </c>
      <c r="I623" s="2" t="inlineStr">
        <is>
          <t>Margao</t>
        </is>
      </c>
      <c r="J623" s="2" t="inlineStr">
        <is>
          <t>Online</t>
        </is>
      </c>
      <c r="K623" s="2" t="n">
        <v>1</v>
      </c>
      <c r="L623" s="3" t="n">
        <v>725.21</v>
      </c>
      <c r="M623" s="4" t="n">
        <v>0.15</v>
      </c>
      <c r="N623" s="3" t="n">
        <v>474.14</v>
      </c>
      <c r="O623" s="3">
        <f>K623*L623*(1-M623)</f>
        <v/>
      </c>
      <c r="P623" s="3">
        <f>O623-N623</f>
        <v/>
      </c>
      <c r="Q623" s="5">
        <f>IFERROR(P623/O623,0)</f>
        <v/>
      </c>
      <c r="R623" s="2">
        <f>TEXT(DATEVALUE(B623),"mmm")</f>
        <v/>
      </c>
      <c r="S623" s="2">
        <f>TEXT(DATEVALUE(B623),"yyyy-mm")</f>
        <v/>
      </c>
    </row>
    <row r="624">
      <c r="A624" s="2" t="inlineStr">
        <is>
          <t>O004283</t>
        </is>
      </c>
      <c r="B624" s="2" t="inlineStr">
        <is>
          <t>2025-02-16</t>
        </is>
      </c>
      <c r="C624" s="2" t="inlineStr">
        <is>
          <t>C0531</t>
        </is>
      </c>
      <c r="D624" s="2" t="inlineStr">
        <is>
          <t>P0024</t>
        </is>
      </c>
      <c r="E624" s="2" t="inlineStr">
        <is>
          <t>Hair Dryer</t>
        </is>
      </c>
      <c r="F624" s="2" t="inlineStr">
        <is>
          <t>Beauty</t>
        </is>
      </c>
      <c r="G624" s="2" t="inlineStr">
        <is>
          <t>South</t>
        </is>
      </c>
      <c r="H624" s="2" t="inlineStr">
        <is>
          <t>Tamil Nadu</t>
        </is>
      </c>
      <c r="I624" s="2" t="inlineStr">
        <is>
          <t>Madurai</t>
        </is>
      </c>
      <c r="J624" s="2" t="inlineStr">
        <is>
          <t>Store</t>
        </is>
      </c>
      <c r="K624" s="2" t="n">
        <v>2</v>
      </c>
      <c r="L624" s="3" t="n">
        <v>986.1900000000001</v>
      </c>
      <c r="M624" s="4" t="n">
        <v>0.1</v>
      </c>
      <c r="N624" s="3" t="n">
        <v>1475.47</v>
      </c>
      <c r="O624" s="3">
        <f>K624*L624*(1-M624)</f>
        <v/>
      </c>
      <c r="P624" s="3">
        <f>O624-N624</f>
        <v/>
      </c>
      <c r="Q624" s="5">
        <f>IFERROR(P624/O624,0)</f>
        <v/>
      </c>
      <c r="R624" s="2">
        <f>TEXT(DATEVALUE(B624),"mmm")</f>
        <v/>
      </c>
      <c r="S624" s="2">
        <f>TEXT(DATEVALUE(B624),"yyyy-mm")</f>
        <v/>
      </c>
    </row>
    <row r="625">
      <c r="A625" s="2" t="inlineStr">
        <is>
          <t>O004582</t>
        </is>
      </c>
      <c r="B625" s="2" t="inlineStr">
        <is>
          <t>2025-02-16</t>
        </is>
      </c>
      <c r="C625" s="2" t="inlineStr">
        <is>
          <t>C0798</t>
        </is>
      </c>
      <c r="D625" s="2" t="inlineStr">
        <is>
          <t>P0005</t>
        </is>
      </c>
      <c r="E625" s="2" t="inlineStr">
        <is>
          <t>Power Bank</t>
        </is>
      </c>
      <c r="F625" s="2" t="inlineStr">
        <is>
          <t>Electronics</t>
        </is>
      </c>
      <c r="G625" s="2" t="inlineStr">
        <is>
          <t>South</t>
        </is>
      </c>
      <c r="H625" s="2" t="inlineStr">
        <is>
          <t>Tamil Nadu</t>
        </is>
      </c>
      <c r="I625" s="2" t="inlineStr">
        <is>
          <t>Madurai</t>
        </is>
      </c>
      <c r="J625" s="2" t="inlineStr">
        <is>
          <t>Online</t>
        </is>
      </c>
      <c r="K625" s="2" t="n">
        <v>1</v>
      </c>
      <c r="L625" s="3" t="n">
        <v>1162.75</v>
      </c>
      <c r="M625" s="4" t="n">
        <v>0</v>
      </c>
      <c r="N625" s="3" t="n">
        <v>659.54</v>
      </c>
      <c r="O625" s="3">
        <f>K625*L625*(1-M625)</f>
        <v/>
      </c>
      <c r="P625" s="3">
        <f>O625-N625</f>
        <v/>
      </c>
      <c r="Q625" s="5">
        <f>IFERROR(P625/O625,0)</f>
        <v/>
      </c>
      <c r="R625" s="2">
        <f>TEXT(DATEVALUE(B625),"mmm")</f>
        <v/>
      </c>
      <c r="S625" s="2">
        <f>TEXT(DATEVALUE(B625),"yyyy-mm")</f>
        <v/>
      </c>
    </row>
    <row r="626">
      <c r="A626" s="2" t="inlineStr">
        <is>
          <t>O003068</t>
        </is>
      </c>
      <c r="B626" s="2" t="inlineStr">
        <is>
          <t>2025-02-16</t>
        </is>
      </c>
      <c r="C626" s="2" t="inlineStr">
        <is>
          <t>C0234</t>
        </is>
      </c>
      <c r="D626" s="2" t="inlineStr">
        <is>
          <t>P0026</t>
        </is>
      </c>
      <c r="E626" s="2" t="inlineStr">
        <is>
          <t>Shampoo</t>
        </is>
      </c>
      <c r="F626" s="2" t="inlineStr">
        <is>
          <t>Beauty</t>
        </is>
      </c>
      <c r="G626" s="2" t="inlineStr">
        <is>
          <t>North</t>
        </is>
      </c>
      <c r="H626" s="2" t="inlineStr">
        <is>
          <t>Punjab</t>
        </is>
      </c>
      <c r="I626" s="2" t="inlineStr">
        <is>
          <t>Jalandhar</t>
        </is>
      </c>
      <c r="J626" s="2" t="inlineStr">
        <is>
          <t>Store</t>
        </is>
      </c>
      <c r="K626" s="2" t="n">
        <v>1</v>
      </c>
      <c r="L626" s="3" t="n">
        <v>908.46</v>
      </c>
      <c r="M626" s="4" t="n">
        <v>0.15</v>
      </c>
      <c r="N626" s="3" t="n">
        <v>522.8200000000001</v>
      </c>
      <c r="O626" s="3">
        <f>K626*L626*(1-M626)</f>
        <v/>
      </c>
      <c r="P626" s="3">
        <f>O626-N626</f>
        <v/>
      </c>
      <c r="Q626" s="5">
        <f>IFERROR(P626/O626,0)</f>
        <v/>
      </c>
      <c r="R626" s="2">
        <f>TEXT(DATEVALUE(B626),"mmm")</f>
        <v/>
      </c>
      <c r="S626" s="2">
        <f>TEXT(DATEVALUE(B626),"yyyy-mm")</f>
        <v/>
      </c>
    </row>
    <row r="627">
      <c r="A627" s="2" t="inlineStr">
        <is>
          <t>O004150</t>
        </is>
      </c>
      <c r="B627" s="2" t="inlineStr">
        <is>
          <t>2025-02-16</t>
        </is>
      </c>
      <c r="C627" s="2" t="inlineStr">
        <is>
          <t>C0523</t>
        </is>
      </c>
      <c r="D627" s="2" t="inlineStr">
        <is>
          <t>P0001</t>
        </is>
      </c>
      <c r="E627" s="2" t="inlineStr">
        <is>
          <t>Wireless Headphones</t>
        </is>
      </c>
      <c r="F627" s="2" t="inlineStr">
        <is>
          <t>Electronics</t>
        </is>
      </c>
      <c r="G627" s="2" t="inlineStr">
        <is>
          <t>East</t>
        </is>
      </c>
      <c r="H627" s="2" t="inlineStr">
        <is>
          <t>Bihar</t>
        </is>
      </c>
      <c r="I627" s="2" t="inlineStr">
        <is>
          <t>Patna</t>
        </is>
      </c>
      <c r="J627" s="2" t="inlineStr">
        <is>
          <t>Online</t>
        </is>
      </c>
      <c r="K627" s="2" t="n">
        <v>6</v>
      </c>
      <c r="L627" s="3" t="n">
        <v>1338.34</v>
      </c>
      <c r="M627" s="4" t="n">
        <v>0.05</v>
      </c>
      <c r="N627" s="3" t="n">
        <v>4132.08</v>
      </c>
      <c r="O627" s="3">
        <f>K627*L627*(1-M627)</f>
        <v/>
      </c>
      <c r="P627" s="3">
        <f>O627-N627</f>
        <v/>
      </c>
      <c r="Q627" s="5">
        <f>IFERROR(P627/O627,0)</f>
        <v/>
      </c>
      <c r="R627" s="2">
        <f>TEXT(DATEVALUE(B627),"mmm")</f>
        <v/>
      </c>
      <c r="S627" s="2">
        <f>TEXT(DATEVALUE(B627),"yyyy-mm")</f>
        <v/>
      </c>
    </row>
    <row r="628">
      <c r="A628" s="2" t="inlineStr">
        <is>
          <t>O002973</t>
        </is>
      </c>
      <c r="B628" s="2" t="inlineStr">
        <is>
          <t>2025-02-16</t>
        </is>
      </c>
      <c r="C628" s="2" t="inlineStr">
        <is>
          <t>C0474</t>
        </is>
      </c>
      <c r="D628" s="2" t="inlineStr">
        <is>
          <t>P0016</t>
        </is>
      </c>
      <c r="E628" s="2" t="inlineStr">
        <is>
          <t>Casual Shirt</t>
        </is>
      </c>
      <c r="F628" s="2" t="inlineStr">
        <is>
          <t>Fashion</t>
        </is>
      </c>
      <c r="G628" s="2" t="inlineStr">
        <is>
          <t>East</t>
        </is>
      </c>
      <c r="H628" s="2" t="inlineStr">
        <is>
          <t>West Bengal</t>
        </is>
      </c>
      <c r="I628" s="2" t="inlineStr">
        <is>
          <t>Kolkata</t>
        </is>
      </c>
      <c r="J628" s="2" t="inlineStr">
        <is>
          <t>Online</t>
        </is>
      </c>
      <c r="K628" s="2" t="n">
        <v>2</v>
      </c>
      <c r="L628" s="3" t="n">
        <v>1232</v>
      </c>
      <c r="M628" s="4" t="n">
        <v>0.05</v>
      </c>
      <c r="N628" s="3" t="n">
        <v>1763.06</v>
      </c>
      <c r="O628" s="3">
        <f>K628*L628*(1-M628)</f>
        <v/>
      </c>
      <c r="P628" s="3">
        <f>O628-N628</f>
        <v/>
      </c>
      <c r="Q628" s="5">
        <f>IFERROR(P628/O628,0)</f>
        <v/>
      </c>
      <c r="R628" s="2">
        <f>TEXT(DATEVALUE(B628),"mmm")</f>
        <v/>
      </c>
      <c r="S628" s="2">
        <f>TEXT(DATEVALUE(B628),"yyyy-mm")</f>
        <v/>
      </c>
    </row>
    <row r="629">
      <c r="A629" s="2" t="inlineStr">
        <is>
          <t>O001565</t>
        </is>
      </c>
      <c r="B629" s="2" t="inlineStr">
        <is>
          <t>2025-02-16</t>
        </is>
      </c>
      <c r="C629" s="2" t="inlineStr">
        <is>
          <t>C0456</t>
        </is>
      </c>
      <c r="D629" s="2" t="inlineStr">
        <is>
          <t>P0032</t>
        </is>
      </c>
      <c r="E629" s="2" t="inlineStr">
        <is>
          <t>Football</t>
        </is>
      </c>
      <c r="F629" s="2" t="inlineStr">
        <is>
          <t>Sports</t>
        </is>
      </c>
      <c r="G629" s="2" t="inlineStr">
        <is>
          <t>East</t>
        </is>
      </c>
      <c r="H629" s="2" t="inlineStr">
        <is>
          <t>Bihar</t>
        </is>
      </c>
      <c r="I629" s="2" t="inlineStr">
        <is>
          <t>Patna</t>
        </is>
      </c>
      <c r="J629" s="2" t="inlineStr">
        <is>
          <t>Online</t>
        </is>
      </c>
      <c r="K629" s="2" t="n">
        <v>2</v>
      </c>
      <c r="L629" s="3" t="n">
        <v>827.73</v>
      </c>
      <c r="M629" s="4" t="n">
        <v>0</v>
      </c>
      <c r="N629" s="3" t="n">
        <v>1085.48</v>
      </c>
      <c r="O629" s="3">
        <f>K629*L629*(1-M629)</f>
        <v/>
      </c>
      <c r="P629" s="3">
        <f>O629-N629</f>
        <v/>
      </c>
      <c r="Q629" s="5">
        <f>IFERROR(P629/O629,0)</f>
        <v/>
      </c>
      <c r="R629" s="2">
        <f>TEXT(DATEVALUE(B629),"mmm")</f>
        <v/>
      </c>
      <c r="S629" s="2">
        <f>TEXT(DATEVALUE(B629),"yyyy-mm")</f>
        <v/>
      </c>
    </row>
    <row r="630">
      <c r="A630" s="2" t="inlineStr">
        <is>
          <t>O002779</t>
        </is>
      </c>
      <c r="B630" s="2" t="inlineStr">
        <is>
          <t>2025-02-16</t>
        </is>
      </c>
      <c r="C630" s="2" t="inlineStr">
        <is>
          <t>C0057</t>
        </is>
      </c>
      <c r="D630" s="2" t="inlineStr">
        <is>
          <t>P0014</t>
        </is>
      </c>
      <c r="E630" s="2" t="inlineStr">
        <is>
          <t>Coffee Maker</t>
        </is>
      </c>
      <c r="F630" s="2" t="inlineStr">
        <is>
          <t>Home &amp; Kitchen</t>
        </is>
      </c>
      <c r="G630" s="2" t="inlineStr">
        <is>
          <t>South</t>
        </is>
      </c>
      <c r="H630" s="2" t="inlineStr">
        <is>
          <t>Telangana</t>
        </is>
      </c>
      <c r="I630" s="2" t="inlineStr">
        <is>
          <t>Hyderabad</t>
        </is>
      </c>
      <c r="J630" s="2" t="inlineStr">
        <is>
          <t>Store</t>
        </is>
      </c>
      <c r="K630" s="2" t="n">
        <v>2</v>
      </c>
      <c r="L630" s="3" t="n">
        <v>1086.79</v>
      </c>
      <c r="M630" s="4" t="n">
        <v>0.05</v>
      </c>
      <c r="N630" s="3" t="n">
        <v>1554.98</v>
      </c>
      <c r="O630" s="3">
        <f>K630*L630*(1-M630)</f>
        <v/>
      </c>
      <c r="P630" s="3">
        <f>O630-N630</f>
        <v/>
      </c>
      <c r="Q630" s="5">
        <f>IFERROR(P630/O630,0)</f>
        <v/>
      </c>
      <c r="R630" s="2">
        <f>TEXT(DATEVALUE(B630),"mmm")</f>
        <v/>
      </c>
      <c r="S630" s="2">
        <f>TEXT(DATEVALUE(B630),"yyyy-mm")</f>
        <v/>
      </c>
    </row>
    <row r="631">
      <c r="A631" s="2" t="inlineStr">
        <is>
          <t>O000422</t>
        </is>
      </c>
      <c r="B631" s="2" t="inlineStr">
        <is>
          <t>2025-02-16</t>
        </is>
      </c>
      <c r="C631" s="2" t="inlineStr">
        <is>
          <t>C0049</t>
        </is>
      </c>
      <c r="D631" s="2" t="inlineStr">
        <is>
          <t>P0034</t>
        </is>
      </c>
      <c r="E631" s="2" t="inlineStr">
        <is>
          <t>Gym Gloves</t>
        </is>
      </c>
      <c r="F631" s="2" t="inlineStr">
        <is>
          <t>Sports</t>
        </is>
      </c>
      <c r="G631" s="2" t="inlineStr">
        <is>
          <t>North</t>
        </is>
      </c>
      <c r="H631" s="2" t="inlineStr">
        <is>
          <t>Haryana</t>
        </is>
      </c>
      <c r="I631" s="2" t="inlineStr">
        <is>
          <t>Faridabad</t>
        </is>
      </c>
      <c r="J631" s="2" t="inlineStr">
        <is>
          <t>Online</t>
        </is>
      </c>
      <c r="K631" s="2" t="n">
        <v>1</v>
      </c>
      <c r="L631" s="3" t="n">
        <v>592.38</v>
      </c>
      <c r="M631" s="4" t="n">
        <v>0.2</v>
      </c>
      <c r="N631" s="3" t="n">
        <v>408.5</v>
      </c>
      <c r="O631" s="3">
        <f>K631*L631*(1-M631)</f>
        <v/>
      </c>
      <c r="P631" s="3">
        <f>O631-N631</f>
        <v/>
      </c>
      <c r="Q631" s="5">
        <f>IFERROR(P631/O631,0)</f>
        <v/>
      </c>
      <c r="R631" s="2">
        <f>TEXT(DATEVALUE(B631),"mmm")</f>
        <v/>
      </c>
      <c r="S631" s="2">
        <f>TEXT(DATEVALUE(B631),"yyyy-mm")</f>
        <v/>
      </c>
    </row>
    <row r="632">
      <c r="A632" s="2" t="inlineStr">
        <is>
          <t>O000673</t>
        </is>
      </c>
      <c r="B632" s="2" t="inlineStr">
        <is>
          <t>2025-02-16</t>
        </is>
      </c>
      <c r="C632" s="2" t="inlineStr">
        <is>
          <t>C0523</t>
        </is>
      </c>
      <c r="D632" s="2" t="inlineStr">
        <is>
          <t>P0013</t>
        </is>
      </c>
      <c r="E632" s="2" t="inlineStr">
        <is>
          <t>Storage Organizer</t>
        </is>
      </c>
      <c r="F632" s="2" t="inlineStr">
        <is>
          <t>Home &amp; Kitchen</t>
        </is>
      </c>
      <c r="G632" s="2" t="inlineStr">
        <is>
          <t>South</t>
        </is>
      </c>
      <c r="H632" s="2" t="inlineStr">
        <is>
          <t>Kerala</t>
        </is>
      </c>
      <c r="I632" s="2" t="inlineStr">
        <is>
          <t>Thiruvananthapuram</t>
        </is>
      </c>
      <c r="J632" s="2" t="inlineStr">
        <is>
          <t>Store</t>
        </is>
      </c>
      <c r="K632" s="2" t="n">
        <v>1</v>
      </c>
      <c r="L632" s="3" t="n">
        <v>582.8200000000001</v>
      </c>
      <c r="M632" s="4" t="n">
        <v>0.1</v>
      </c>
      <c r="N632" s="3" t="n">
        <v>354.78</v>
      </c>
      <c r="O632" s="3">
        <f>K632*L632*(1-M632)</f>
        <v/>
      </c>
      <c r="P632" s="3">
        <f>O632-N632</f>
        <v/>
      </c>
      <c r="Q632" s="5">
        <f>IFERROR(P632/O632,0)</f>
        <v/>
      </c>
      <c r="R632" s="2">
        <f>TEXT(DATEVALUE(B632),"mmm")</f>
        <v/>
      </c>
      <c r="S632" s="2">
        <f>TEXT(DATEVALUE(B632),"yyyy-mm")</f>
        <v/>
      </c>
    </row>
    <row r="633">
      <c r="A633" s="2" t="inlineStr">
        <is>
          <t>O000862</t>
        </is>
      </c>
      <c r="B633" s="2" t="inlineStr">
        <is>
          <t>2025-02-16</t>
        </is>
      </c>
      <c r="C633" s="2" t="inlineStr">
        <is>
          <t>C0267</t>
        </is>
      </c>
      <c r="D633" s="2" t="inlineStr">
        <is>
          <t>P0002</t>
        </is>
      </c>
      <c r="E633" s="2" t="inlineStr">
        <is>
          <t>Bluetooth Speaker</t>
        </is>
      </c>
      <c r="F633" s="2" t="inlineStr">
        <is>
          <t>Electronics</t>
        </is>
      </c>
      <c r="G633" s="2" t="inlineStr">
        <is>
          <t>South</t>
        </is>
      </c>
      <c r="H633" s="2" t="inlineStr">
        <is>
          <t>Telangana</t>
        </is>
      </c>
      <c r="I633" s="2" t="inlineStr">
        <is>
          <t>Warangal</t>
        </is>
      </c>
      <c r="J633" s="2" t="inlineStr">
        <is>
          <t>Store</t>
        </is>
      </c>
      <c r="K633" s="2" t="n">
        <v>1</v>
      </c>
      <c r="L633" s="3" t="n">
        <v>1327.15</v>
      </c>
      <c r="M633" s="4" t="n">
        <v>0.1</v>
      </c>
      <c r="N633" s="3" t="n">
        <v>821.5599999999999</v>
      </c>
      <c r="O633" s="3">
        <f>K633*L633*(1-M633)</f>
        <v/>
      </c>
      <c r="P633" s="3">
        <f>O633-N633</f>
        <v/>
      </c>
      <c r="Q633" s="5">
        <f>IFERROR(P633/O633,0)</f>
        <v/>
      </c>
      <c r="R633" s="2">
        <f>TEXT(DATEVALUE(B633),"mmm")</f>
        <v/>
      </c>
      <c r="S633" s="2">
        <f>TEXT(DATEVALUE(B633),"yyyy-mm")</f>
        <v/>
      </c>
    </row>
    <row r="634">
      <c r="A634" s="2" t="inlineStr">
        <is>
          <t>O000991</t>
        </is>
      </c>
      <c r="B634" s="2" t="inlineStr">
        <is>
          <t>2025-02-16</t>
        </is>
      </c>
      <c r="C634" s="2" t="inlineStr">
        <is>
          <t>C0506</t>
        </is>
      </c>
      <c r="D634" s="2" t="inlineStr">
        <is>
          <t>P0011</t>
        </is>
      </c>
      <c r="E634" s="2" t="inlineStr">
        <is>
          <t>Cookware Set</t>
        </is>
      </c>
      <c r="F634" s="2" t="inlineStr">
        <is>
          <t>Home &amp; Kitchen</t>
        </is>
      </c>
      <c r="G634" s="2" t="inlineStr">
        <is>
          <t>East</t>
        </is>
      </c>
      <c r="H634" s="2" t="inlineStr">
        <is>
          <t>Bihar</t>
        </is>
      </c>
      <c r="I634" s="2" t="inlineStr">
        <is>
          <t>Gaya</t>
        </is>
      </c>
      <c r="J634" s="2" t="inlineStr">
        <is>
          <t>Online</t>
        </is>
      </c>
      <c r="K634" s="2" t="n">
        <v>1</v>
      </c>
      <c r="L634" s="3" t="n">
        <v>700.1</v>
      </c>
      <c r="M634" s="4" t="n">
        <v>0.1</v>
      </c>
      <c r="N634" s="3" t="n">
        <v>474.33</v>
      </c>
      <c r="O634" s="3">
        <f>K634*L634*(1-M634)</f>
        <v/>
      </c>
      <c r="P634" s="3">
        <f>O634-N634</f>
        <v/>
      </c>
      <c r="Q634" s="5">
        <f>IFERROR(P634/O634,0)</f>
        <v/>
      </c>
      <c r="R634" s="2">
        <f>TEXT(DATEVALUE(B634),"mmm")</f>
        <v/>
      </c>
      <c r="S634" s="2">
        <f>TEXT(DATEVALUE(B634),"yyyy-mm")</f>
        <v/>
      </c>
    </row>
    <row r="635">
      <c r="A635" s="2" t="inlineStr">
        <is>
          <t>O000471</t>
        </is>
      </c>
      <c r="B635" s="2" t="inlineStr">
        <is>
          <t>2025-02-16</t>
        </is>
      </c>
      <c r="C635" s="2" t="inlineStr">
        <is>
          <t>C0571</t>
        </is>
      </c>
      <c r="D635" s="2" t="inlineStr">
        <is>
          <t>P0031</t>
        </is>
      </c>
      <c r="E635" s="2" t="inlineStr">
        <is>
          <t>Cricket Bat</t>
        </is>
      </c>
      <c r="F635" s="2" t="inlineStr">
        <is>
          <t>Sports</t>
        </is>
      </c>
      <c r="G635" s="2" t="inlineStr">
        <is>
          <t>South</t>
        </is>
      </c>
      <c r="H635" s="2" t="inlineStr">
        <is>
          <t>Kerala</t>
        </is>
      </c>
      <c r="I635" s="2" t="inlineStr">
        <is>
          <t>Thiruvananthapuram</t>
        </is>
      </c>
      <c r="J635" s="2" t="inlineStr">
        <is>
          <t>Online</t>
        </is>
      </c>
      <c r="K635" s="2" t="n">
        <v>1</v>
      </c>
      <c r="L635" s="3" t="n">
        <v>1416.21</v>
      </c>
      <c r="M635" s="4" t="n">
        <v>0.1</v>
      </c>
      <c r="N635" s="3" t="n">
        <v>928.6799999999999</v>
      </c>
      <c r="O635" s="3">
        <f>K635*L635*(1-M635)</f>
        <v/>
      </c>
      <c r="P635" s="3">
        <f>O635-N635</f>
        <v/>
      </c>
      <c r="Q635" s="5">
        <f>IFERROR(P635/O635,0)</f>
        <v/>
      </c>
      <c r="R635" s="2">
        <f>TEXT(DATEVALUE(B635),"mmm")</f>
        <v/>
      </c>
      <c r="S635" s="2">
        <f>TEXT(DATEVALUE(B635),"yyyy-mm")</f>
        <v/>
      </c>
    </row>
    <row r="636">
      <c r="A636" s="2" t="inlineStr">
        <is>
          <t>O001452</t>
        </is>
      </c>
      <c r="B636" s="2" t="inlineStr">
        <is>
          <t>2025-02-16</t>
        </is>
      </c>
      <c r="C636" s="2" t="inlineStr">
        <is>
          <t>C0749</t>
        </is>
      </c>
      <c r="D636" s="2" t="inlineStr">
        <is>
          <t>P0009</t>
        </is>
      </c>
      <c r="E636" s="2" t="inlineStr">
        <is>
          <t>Electric Kettle</t>
        </is>
      </c>
      <c r="F636" s="2" t="inlineStr">
        <is>
          <t>Home &amp; Kitchen</t>
        </is>
      </c>
      <c r="G636" s="2" t="inlineStr">
        <is>
          <t>South</t>
        </is>
      </c>
      <c r="H636" s="2" t="inlineStr">
        <is>
          <t>Tamil Nadu</t>
        </is>
      </c>
      <c r="I636" s="2" t="inlineStr">
        <is>
          <t>Chennai</t>
        </is>
      </c>
      <c r="J636" s="2" t="inlineStr">
        <is>
          <t>Store</t>
        </is>
      </c>
      <c r="K636" s="2" t="n">
        <v>1</v>
      </c>
      <c r="L636" s="3" t="n">
        <v>2164.47</v>
      </c>
      <c r="M636" s="4" t="n">
        <v>0.05</v>
      </c>
      <c r="N636" s="3" t="n">
        <v>1125.66</v>
      </c>
      <c r="O636" s="3">
        <f>K636*L636*(1-M636)</f>
        <v/>
      </c>
      <c r="P636" s="3">
        <f>O636-N636</f>
        <v/>
      </c>
      <c r="Q636" s="5">
        <f>IFERROR(P636/O636,0)</f>
        <v/>
      </c>
      <c r="R636" s="2">
        <f>TEXT(DATEVALUE(B636),"mmm")</f>
        <v/>
      </c>
      <c r="S636" s="2">
        <f>TEXT(DATEVALUE(B636),"yyyy-mm")</f>
        <v/>
      </c>
    </row>
    <row r="637">
      <c r="A637" s="2" t="inlineStr">
        <is>
          <t>O002781</t>
        </is>
      </c>
      <c r="B637" s="2" t="inlineStr">
        <is>
          <t>2025-02-16</t>
        </is>
      </c>
      <c r="C637" s="2" t="inlineStr">
        <is>
          <t>C0134</t>
        </is>
      </c>
      <c r="D637" s="2" t="inlineStr">
        <is>
          <t>P0032</t>
        </is>
      </c>
      <c r="E637" s="2" t="inlineStr">
        <is>
          <t>Football</t>
        </is>
      </c>
      <c r="F637" s="2" t="inlineStr">
        <is>
          <t>Sports</t>
        </is>
      </c>
      <c r="G637" s="2" t="inlineStr">
        <is>
          <t>West</t>
        </is>
      </c>
      <c r="H637" s="2" t="inlineStr">
        <is>
          <t>Gujarat</t>
        </is>
      </c>
      <c r="I637" s="2" t="inlineStr">
        <is>
          <t>Vadodara</t>
        </is>
      </c>
      <c r="J637" s="2" t="inlineStr">
        <is>
          <t>Store</t>
        </is>
      </c>
      <c r="K637" s="2" t="n">
        <v>2</v>
      </c>
      <c r="L637" s="3" t="n">
        <v>817.59</v>
      </c>
      <c r="M637" s="4" t="n">
        <v>0.05</v>
      </c>
      <c r="N637" s="3" t="n">
        <v>1070.58</v>
      </c>
      <c r="O637" s="3">
        <f>K637*L637*(1-M637)</f>
        <v/>
      </c>
      <c r="P637" s="3">
        <f>O637-N637</f>
        <v/>
      </c>
      <c r="Q637" s="5">
        <f>IFERROR(P637/O637,0)</f>
        <v/>
      </c>
      <c r="R637" s="2">
        <f>TEXT(DATEVALUE(B637),"mmm")</f>
        <v/>
      </c>
      <c r="S637" s="2">
        <f>TEXT(DATEVALUE(B637),"yyyy-mm")</f>
        <v/>
      </c>
    </row>
    <row r="638">
      <c r="A638" s="2" t="inlineStr">
        <is>
          <t>O002197</t>
        </is>
      </c>
      <c r="B638" s="2" t="inlineStr">
        <is>
          <t>2025-02-16</t>
        </is>
      </c>
      <c r="C638" s="2" t="inlineStr">
        <is>
          <t>C0082</t>
        </is>
      </c>
      <c r="D638" s="2" t="inlineStr">
        <is>
          <t>P0004</t>
        </is>
      </c>
      <c r="E638" s="2" t="inlineStr">
        <is>
          <t>USB-C Hub</t>
        </is>
      </c>
      <c r="F638" s="2" t="inlineStr">
        <is>
          <t>Electronics</t>
        </is>
      </c>
      <c r="G638" s="2" t="inlineStr">
        <is>
          <t>East</t>
        </is>
      </c>
      <c r="H638" s="2" t="inlineStr">
        <is>
          <t>Odisha</t>
        </is>
      </c>
      <c r="I638" s="2" t="inlineStr">
        <is>
          <t>Bhubaneswar</t>
        </is>
      </c>
      <c r="J638" s="2" t="inlineStr">
        <is>
          <t>Store</t>
        </is>
      </c>
      <c r="K638" s="2" t="n">
        <v>3</v>
      </c>
      <c r="L638" s="3" t="n">
        <v>1266.24</v>
      </c>
      <c r="M638" s="4" t="n">
        <v>0.1</v>
      </c>
      <c r="N638" s="3" t="n">
        <v>2718.1</v>
      </c>
      <c r="O638" s="3">
        <f>K638*L638*(1-M638)</f>
        <v/>
      </c>
      <c r="P638" s="3">
        <f>O638-N638</f>
        <v/>
      </c>
      <c r="Q638" s="5">
        <f>IFERROR(P638/O638,0)</f>
        <v/>
      </c>
      <c r="R638" s="2">
        <f>TEXT(DATEVALUE(B638),"mmm")</f>
        <v/>
      </c>
      <c r="S638" s="2">
        <f>TEXT(DATEVALUE(B638),"yyyy-mm")</f>
        <v/>
      </c>
    </row>
    <row r="639">
      <c r="A639" s="2" t="inlineStr">
        <is>
          <t>O001109</t>
        </is>
      </c>
      <c r="B639" s="2" t="inlineStr">
        <is>
          <t>2025-02-16</t>
        </is>
      </c>
      <c r="C639" s="2" t="inlineStr">
        <is>
          <t>C0298</t>
        </is>
      </c>
      <c r="D639" s="2" t="inlineStr">
        <is>
          <t>P0028</t>
        </is>
      </c>
      <c r="E639" s="2" t="inlineStr">
        <is>
          <t>Trimmer</t>
        </is>
      </c>
      <c r="F639" s="2" t="inlineStr">
        <is>
          <t>Beauty</t>
        </is>
      </c>
      <c r="G639" s="2" t="inlineStr">
        <is>
          <t>West</t>
        </is>
      </c>
      <c r="H639" s="2" t="inlineStr">
        <is>
          <t>Goa</t>
        </is>
      </c>
      <c r="I639" s="2" t="inlineStr">
        <is>
          <t>Margao</t>
        </is>
      </c>
      <c r="J639" s="2" t="inlineStr">
        <is>
          <t>Online</t>
        </is>
      </c>
      <c r="K639" s="2" t="n">
        <v>1</v>
      </c>
      <c r="L639" s="3" t="n">
        <v>453.67</v>
      </c>
      <c r="M639" s="4" t="n">
        <v>0.15</v>
      </c>
      <c r="N639" s="3" t="n">
        <v>245.12</v>
      </c>
      <c r="O639" s="3">
        <f>K639*L639*(1-M639)</f>
        <v/>
      </c>
      <c r="P639" s="3">
        <f>O639-N639</f>
        <v/>
      </c>
      <c r="Q639" s="5">
        <f>IFERROR(P639/O639,0)</f>
        <v/>
      </c>
      <c r="R639" s="2">
        <f>TEXT(DATEVALUE(B639),"mmm")</f>
        <v/>
      </c>
      <c r="S639" s="2">
        <f>TEXT(DATEVALUE(B639),"yyyy-mm")</f>
        <v/>
      </c>
    </row>
    <row r="640">
      <c r="A640" s="2" t="inlineStr">
        <is>
          <t>O004350</t>
        </is>
      </c>
      <c r="B640" s="2" t="inlineStr">
        <is>
          <t>2025-02-17</t>
        </is>
      </c>
      <c r="C640" s="2" t="inlineStr">
        <is>
          <t>C0002</t>
        </is>
      </c>
      <c r="D640" s="2" t="inlineStr">
        <is>
          <t>P0010</t>
        </is>
      </c>
      <c r="E640" s="2" t="inlineStr">
        <is>
          <t>Mixer Grinder</t>
        </is>
      </c>
      <c r="F640" s="2" t="inlineStr">
        <is>
          <t>Home &amp; Kitchen</t>
        </is>
      </c>
      <c r="G640" s="2" t="inlineStr">
        <is>
          <t>East</t>
        </is>
      </c>
      <c r="H640" s="2" t="inlineStr">
        <is>
          <t>Bihar</t>
        </is>
      </c>
      <c r="I640" s="2" t="inlineStr">
        <is>
          <t>Gaya</t>
        </is>
      </c>
      <c r="J640" s="2" t="inlineStr">
        <is>
          <t>Store</t>
        </is>
      </c>
      <c r="K640" s="2" t="n">
        <v>5</v>
      </c>
      <c r="L640" s="3" t="n">
        <v>1597.66</v>
      </c>
      <c r="M640" s="4" t="n">
        <v>0.05</v>
      </c>
      <c r="N640" s="3" t="n">
        <v>5403.2</v>
      </c>
      <c r="O640" s="3">
        <f>K640*L640*(1-M640)</f>
        <v/>
      </c>
      <c r="P640" s="3">
        <f>O640-N640</f>
        <v/>
      </c>
      <c r="Q640" s="5">
        <f>IFERROR(P640/O640,0)</f>
        <v/>
      </c>
      <c r="R640" s="2">
        <f>TEXT(DATEVALUE(B640),"mmm")</f>
        <v/>
      </c>
      <c r="S640" s="2">
        <f>TEXT(DATEVALUE(B640),"yyyy-mm")</f>
        <v/>
      </c>
    </row>
    <row r="641">
      <c r="A641" s="2" t="inlineStr">
        <is>
          <t>O004863</t>
        </is>
      </c>
      <c r="B641" s="2" t="inlineStr">
        <is>
          <t>2025-02-17</t>
        </is>
      </c>
      <c r="C641" s="2" t="inlineStr">
        <is>
          <t>C0096</t>
        </is>
      </c>
      <c r="D641" s="2" t="inlineStr">
        <is>
          <t>P0031</t>
        </is>
      </c>
      <c r="E641" s="2" t="inlineStr">
        <is>
          <t>Cricket Bat</t>
        </is>
      </c>
      <c r="F641" s="2" t="inlineStr">
        <is>
          <t>Sports</t>
        </is>
      </c>
      <c r="G641" s="2" t="inlineStr">
        <is>
          <t>West</t>
        </is>
      </c>
      <c r="H641" s="2" t="inlineStr">
        <is>
          <t>Maharashtra</t>
        </is>
      </c>
      <c r="I641" s="2" t="inlineStr">
        <is>
          <t>Nagpur</t>
        </is>
      </c>
      <c r="J641" s="2" t="inlineStr">
        <is>
          <t>Store</t>
        </is>
      </c>
      <c r="K641" s="2" t="n">
        <v>1</v>
      </c>
      <c r="L641" s="3" t="n">
        <v>1432.18</v>
      </c>
      <c r="M641" s="4" t="n">
        <v>0.2</v>
      </c>
      <c r="N641" s="3" t="n">
        <v>956.73</v>
      </c>
      <c r="O641" s="3">
        <f>K641*L641*(1-M641)</f>
        <v/>
      </c>
      <c r="P641" s="3">
        <f>O641-N641</f>
        <v/>
      </c>
      <c r="Q641" s="5">
        <f>IFERROR(P641/O641,0)</f>
        <v/>
      </c>
      <c r="R641" s="2">
        <f>TEXT(DATEVALUE(B641),"mmm")</f>
        <v/>
      </c>
      <c r="S641" s="2">
        <f>TEXT(DATEVALUE(B641),"yyyy-mm")</f>
        <v/>
      </c>
    </row>
    <row r="642">
      <c r="A642" s="2" t="inlineStr">
        <is>
          <t>O004711</t>
        </is>
      </c>
      <c r="B642" s="2" t="inlineStr">
        <is>
          <t>2025-02-17</t>
        </is>
      </c>
      <c r="C642" s="2" t="inlineStr">
        <is>
          <t>C0727</t>
        </is>
      </c>
      <c r="D642" s="2" t="inlineStr">
        <is>
          <t>P0010</t>
        </is>
      </c>
      <c r="E642" s="2" t="inlineStr">
        <is>
          <t>Mixer Grinder</t>
        </is>
      </c>
      <c r="F642" s="2" t="inlineStr">
        <is>
          <t>Home &amp; Kitchen</t>
        </is>
      </c>
      <c r="G642" s="2" t="inlineStr">
        <is>
          <t>West</t>
        </is>
      </c>
      <c r="H642" s="2" t="inlineStr">
        <is>
          <t>Gujarat</t>
        </is>
      </c>
      <c r="I642" s="2" t="inlineStr">
        <is>
          <t>Vadodara</t>
        </is>
      </c>
      <c r="J642" s="2" t="inlineStr">
        <is>
          <t>Store</t>
        </is>
      </c>
      <c r="K642" s="2" t="n">
        <v>3</v>
      </c>
      <c r="L642" s="3" t="n">
        <v>1588.72</v>
      </c>
      <c r="M642" s="4" t="n">
        <v>0.05</v>
      </c>
      <c r="N642" s="3" t="n">
        <v>3171.48</v>
      </c>
      <c r="O642" s="3">
        <f>K642*L642*(1-M642)</f>
        <v/>
      </c>
      <c r="P642" s="3">
        <f>O642-N642</f>
        <v/>
      </c>
      <c r="Q642" s="5">
        <f>IFERROR(P642/O642,0)</f>
        <v/>
      </c>
      <c r="R642" s="2">
        <f>TEXT(DATEVALUE(B642),"mmm")</f>
        <v/>
      </c>
      <c r="S642" s="2">
        <f>TEXT(DATEVALUE(B642),"yyyy-mm")</f>
        <v/>
      </c>
    </row>
    <row r="643">
      <c r="A643" s="2" t="inlineStr">
        <is>
          <t>O004659</t>
        </is>
      </c>
      <c r="B643" s="2" t="inlineStr">
        <is>
          <t>2025-02-17</t>
        </is>
      </c>
      <c r="C643" s="2" t="inlineStr">
        <is>
          <t>C0479</t>
        </is>
      </c>
      <c r="D643" s="2" t="inlineStr">
        <is>
          <t>P0003</t>
        </is>
      </c>
      <c r="E643" s="2" t="inlineStr">
        <is>
          <t>Smartwatch</t>
        </is>
      </c>
      <c r="F643" s="2" t="inlineStr">
        <is>
          <t>Electronics</t>
        </is>
      </c>
      <c r="G643" s="2" t="inlineStr">
        <is>
          <t>South</t>
        </is>
      </c>
      <c r="H643" s="2" t="inlineStr">
        <is>
          <t>Karnataka</t>
        </is>
      </c>
      <c r="I643" s="2" t="inlineStr">
        <is>
          <t>Mysuru</t>
        </is>
      </c>
      <c r="J643" s="2" t="inlineStr">
        <is>
          <t>Online</t>
        </is>
      </c>
      <c r="K643" s="2" t="n">
        <v>2</v>
      </c>
      <c r="L643" s="3" t="n">
        <v>2262.22</v>
      </c>
      <c r="M643" s="4" t="n">
        <v>0.15</v>
      </c>
      <c r="N643" s="3" t="n">
        <v>2420.72</v>
      </c>
      <c r="O643" s="3">
        <f>K643*L643*(1-M643)</f>
        <v/>
      </c>
      <c r="P643" s="3">
        <f>O643-N643</f>
        <v/>
      </c>
      <c r="Q643" s="5">
        <f>IFERROR(P643/O643,0)</f>
        <v/>
      </c>
      <c r="R643" s="2">
        <f>TEXT(DATEVALUE(B643),"mmm")</f>
        <v/>
      </c>
      <c r="S643" s="2">
        <f>TEXT(DATEVALUE(B643),"yyyy-mm")</f>
        <v/>
      </c>
    </row>
    <row r="644">
      <c r="A644" s="2" t="inlineStr">
        <is>
          <t>O004603</t>
        </is>
      </c>
      <c r="B644" s="2" t="inlineStr">
        <is>
          <t>2025-02-17</t>
        </is>
      </c>
      <c r="C644" s="2" t="inlineStr">
        <is>
          <t>C0499</t>
        </is>
      </c>
      <c r="D644" s="2" t="inlineStr">
        <is>
          <t>P0031</t>
        </is>
      </c>
      <c r="E644" s="2" t="inlineStr">
        <is>
          <t>Cricket Bat</t>
        </is>
      </c>
      <c r="F644" s="2" t="inlineStr">
        <is>
          <t>Sports</t>
        </is>
      </c>
      <c r="G644" s="2" t="inlineStr">
        <is>
          <t>South</t>
        </is>
      </c>
      <c r="H644" s="2" t="inlineStr">
        <is>
          <t>Telangana</t>
        </is>
      </c>
      <c r="I644" s="2" t="inlineStr">
        <is>
          <t>Warangal</t>
        </is>
      </c>
      <c r="J644" s="2" t="inlineStr">
        <is>
          <t>Store</t>
        </is>
      </c>
      <c r="K644" s="2" t="n">
        <v>2</v>
      </c>
      <c r="L644" s="3" t="n">
        <v>1446.08</v>
      </c>
      <c r="M644" s="4" t="n">
        <v>0.15</v>
      </c>
      <c r="N644" s="3" t="n">
        <v>1824.78</v>
      </c>
      <c r="O644" s="3">
        <f>K644*L644*(1-M644)</f>
        <v/>
      </c>
      <c r="P644" s="3">
        <f>O644-N644</f>
        <v/>
      </c>
      <c r="Q644" s="5">
        <f>IFERROR(P644/O644,0)</f>
        <v/>
      </c>
      <c r="R644" s="2">
        <f>TEXT(DATEVALUE(B644),"mmm")</f>
        <v/>
      </c>
      <c r="S644" s="2">
        <f>TEXT(DATEVALUE(B644),"yyyy-mm")</f>
        <v/>
      </c>
    </row>
    <row r="645">
      <c r="A645" s="2" t="inlineStr">
        <is>
          <t>O004364</t>
        </is>
      </c>
      <c r="B645" s="2" t="inlineStr">
        <is>
          <t>2025-02-17</t>
        </is>
      </c>
      <c r="C645" s="2" t="inlineStr">
        <is>
          <t>C0434</t>
        </is>
      </c>
      <c r="D645" s="2" t="inlineStr">
        <is>
          <t>P0002</t>
        </is>
      </c>
      <c r="E645" s="2" t="inlineStr">
        <is>
          <t>Bluetooth Speaker</t>
        </is>
      </c>
      <c r="F645" s="2" t="inlineStr">
        <is>
          <t>Electronics</t>
        </is>
      </c>
      <c r="G645" s="2" t="inlineStr">
        <is>
          <t>West</t>
        </is>
      </c>
      <c r="H645" s="2" t="inlineStr">
        <is>
          <t>Gujarat</t>
        </is>
      </c>
      <c r="I645" s="2" t="inlineStr">
        <is>
          <t>Surat</t>
        </is>
      </c>
      <c r="J645" s="2" t="inlineStr">
        <is>
          <t>Online</t>
        </is>
      </c>
      <c r="K645" s="2" t="n">
        <v>2</v>
      </c>
      <c r="L645" s="3" t="n">
        <v>1390.7</v>
      </c>
      <c r="M645" s="4" t="n">
        <v>0.25</v>
      </c>
      <c r="N645" s="3" t="n">
        <v>1632.2</v>
      </c>
      <c r="O645" s="3">
        <f>K645*L645*(1-M645)</f>
        <v/>
      </c>
      <c r="P645" s="3">
        <f>O645-N645</f>
        <v/>
      </c>
      <c r="Q645" s="5">
        <f>IFERROR(P645/O645,0)</f>
        <v/>
      </c>
      <c r="R645" s="2">
        <f>TEXT(DATEVALUE(B645),"mmm")</f>
        <v/>
      </c>
      <c r="S645" s="2">
        <f>TEXT(DATEVALUE(B645),"yyyy-mm")</f>
        <v/>
      </c>
    </row>
    <row r="646">
      <c r="A646" s="2" t="inlineStr">
        <is>
          <t>O004173</t>
        </is>
      </c>
      <c r="B646" s="2" t="inlineStr">
        <is>
          <t>2025-02-17</t>
        </is>
      </c>
      <c r="C646" s="2" t="inlineStr">
        <is>
          <t>C0123</t>
        </is>
      </c>
      <c r="D646" s="2" t="inlineStr">
        <is>
          <t>P0031</t>
        </is>
      </c>
      <c r="E646" s="2" t="inlineStr">
        <is>
          <t>Cricket Bat</t>
        </is>
      </c>
      <c r="F646" s="2" t="inlineStr">
        <is>
          <t>Sports</t>
        </is>
      </c>
      <c r="G646" s="2" t="inlineStr">
        <is>
          <t>North</t>
        </is>
      </c>
      <c r="H646" s="2" t="inlineStr">
        <is>
          <t>Punjab</t>
        </is>
      </c>
      <c r="I646" s="2" t="inlineStr">
        <is>
          <t>Jalandhar</t>
        </is>
      </c>
      <c r="J646" s="2" t="inlineStr">
        <is>
          <t>Online</t>
        </is>
      </c>
      <c r="K646" s="2" t="n">
        <v>2</v>
      </c>
      <c r="L646" s="3" t="n">
        <v>1403.09</v>
      </c>
      <c r="M646" s="4" t="n">
        <v>0.05</v>
      </c>
      <c r="N646" s="3" t="n">
        <v>1896.03</v>
      </c>
      <c r="O646" s="3">
        <f>K646*L646*(1-M646)</f>
        <v/>
      </c>
      <c r="P646" s="3">
        <f>O646-N646</f>
        <v/>
      </c>
      <c r="Q646" s="5">
        <f>IFERROR(P646/O646,0)</f>
        <v/>
      </c>
      <c r="R646" s="2">
        <f>TEXT(DATEVALUE(B646),"mmm")</f>
        <v/>
      </c>
      <c r="S646" s="2">
        <f>TEXT(DATEVALUE(B646),"yyyy-mm")</f>
        <v/>
      </c>
    </row>
    <row r="647">
      <c r="A647" s="2" t="inlineStr">
        <is>
          <t>O003952</t>
        </is>
      </c>
      <c r="B647" s="2" t="inlineStr">
        <is>
          <t>2025-02-17</t>
        </is>
      </c>
      <c r="C647" s="2" t="inlineStr">
        <is>
          <t>C0273</t>
        </is>
      </c>
      <c r="D647" s="2" t="inlineStr">
        <is>
          <t>P0001</t>
        </is>
      </c>
      <c r="E647" s="2" t="inlineStr">
        <is>
          <t>Wireless Headphones</t>
        </is>
      </c>
      <c r="F647" s="2" t="inlineStr">
        <is>
          <t>Electronics</t>
        </is>
      </c>
      <c r="G647" s="2" t="inlineStr">
        <is>
          <t>North</t>
        </is>
      </c>
      <c r="H647" s="2" t="inlineStr">
        <is>
          <t>Uttar Pradesh</t>
        </is>
      </c>
      <c r="I647" s="2" t="inlineStr">
        <is>
          <t>Lucknow</t>
        </is>
      </c>
      <c r="J647" s="2" t="inlineStr">
        <is>
          <t>Online</t>
        </is>
      </c>
      <c r="K647" s="2" t="n">
        <v>1</v>
      </c>
      <c r="L647" s="3" t="n">
        <v>1368.95</v>
      </c>
      <c r="M647" s="4" t="n">
        <v>0.05</v>
      </c>
      <c r="N647" s="3" t="n">
        <v>726.65</v>
      </c>
      <c r="O647" s="3">
        <f>K647*L647*(1-M647)</f>
        <v/>
      </c>
      <c r="P647" s="3">
        <f>O647-N647</f>
        <v/>
      </c>
      <c r="Q647" s="5">
        <f>IFERROR(P647/O647,0)</f>
        <v/>
      </c>
      <c r="R647" s="2">
        <f>TEXT(DATEVALUE(B647),"mmm")</f>
        <v/>
      </c>
      <c r="S647" s="2">
        <f>TEXT(DATEVALUE(B647),"yyyy-mm")</f>
        <v/>
      </c>
    </row>
    <row r="648">
      <c r="A648" s="2" t="inlineStr">
        <is>
          <t>O003529</t>
        </is>
      </c>
      <c r="B648" s="2" t="inlineStr">
        <is>
          <t>2025-02-17</t>
        </is>
      </c>
      <c r="C648" s="2" t="inlineStr">
        <is>
          <t>C0457</t>
        </is>
      </c>
      <c r="D648" s="2" t="inlineStr">
        <is>
          <t>P0004</t>
        </is>
      </c>
      <c r="E648" s="2" t="inlineStr">
        <is>
          <t>USB-C Hub</t>
        </is>
      </c>
      <c r="F648" s="2" t="inlineStr">
        <is>
          <t>Electronics</t>
        </is>
      </c>
      <c r="G648" s="2" t="inlineStr">
        <is>
          <t>South</t>
        </is>
      </c>
      <c r="H648" s="2" t="inlineStr">
        <is>
          <t>Tamil Nadu</t>
        </is>
      </c>
      <c r="I648" s="2" t="inlineStr">
        <is>
          <t>Madurai</t>
        </is>
      </c>
      <c r="J648" s="2" t="inlineStr">
        <is>
          <t>Store</t>
        </is>
      </c>
      <c r="K648" s="2" t="n">
        <v>2</v>
      </c>
      <c r="L648" s="3" t="n">
        <v>1280.54</v>
      </c>
      <c r="M648" s="4" t="n">
        <v>0</v>
      </c>
      <c r="N648" s="3" t="n">
        <v>1824.08</v>
      </c>
      <c r="O648" s="3">
        <f>K648*L648*(1-M648)</f>
        <v/>
      </c>
      <c r="P648" s="3">
        <f>O648-N648</f>
        <v/>
      </c>
      <c r="Q648" s="5">
        <f>IFERROR(P648/O648,0)</f>
        <v/>
      </c>
      <c r="R648" s="2">
        <f>TEXT(DATEVALUE(B648),"mmm")</f>
        <v/>
      </c>
      <c r="S648" s="2">
        <f>TEXT(DATEVALUE(B648),"yyyy-mm")</f>
        <v/>
      </c>
    </row>
    <row r="649">
      <c r="A649" s="2" t="inlineStr">
        <is>
          <t>O003372</t>
        </is>
      </c>
      <c r="B649" s="2" t="inlineStr">
        <is>
          <t>2025-02-17</t>
        </is>
      </c>
      <c r="C649" s="2" t="inlineStr">
        <is>
          <t>C0668</t>
        </is>
      </c>
      <c r="D649" s="2" t="inlineStr">
        <is>
          <t>P0004</t>
        </is>
      </c>
      <c r="E649" s="2" t="inlineStr">
        <is>
          <t>USB-C Hub</t>
        </is>
      </c>
      <c r="F649" s="2" t="inlineStr">
        <is>
          <t>Electronics</t>
        </is>
      </c>
      <c r="G649" s="2" t="inlineStr">
        <is>
          <t>South</t>
        </is>
      </c>
      <c r="H649" s="2" t="inlineStr">
        <is>
          <t>Karnataka</t>
        </is>
      </c>
      <c r="I649" s="2" t="inlineStr">
        <is>
          <t>Bengaluru</t>
        </is>
      </c>
      <c r="J649" s="2" t="inlineStr">
        <is>
          <t>Online</t>
        </is>
      </c>
      <c r="K649" s="2" t="n">
        <v>1</v>
      </c>
      <c r="L649" s="3" t="n">
        <v>1285.1</v>
      </c>
      <c r="M649" s="4" t="n">
        <v>0.05</v>
      </c>
      <c r="N649" s="3" t="n">
        <v>928.79</v>
      </c>
      <c r="O649" s="3">
        <f>K649*L649*(1-M649)</f>
        <v/>
      </c>
      <c r="P649" s="3">
        <f>O649-N649</f>
        <v/>
      </c>
      <c r="Q649" s="5">
        <f>IFERROR(P649/O649,0)</f>
        <v/>
      </c>
      <c r="R649" s="2">
        <f>TEXT(DATEVALUE(B649),"mmm")</f>
        <v/>
      </c>
      <c r="S649" s="2">
        <f>TEXT(DATEVALUE(B649),"yyyy-mm")</f>
        <v/>
      </c>
    </row>
    <row r="650">
      <c r="A650" s="2" t="inlineStr">
        <is>
          <t>O002522</t>
        </is>
      </c>
      <c r="B650" s="2" t="inlineStr">
        <is>
          <t>2025-02-17</t>
        </is>
      </c>
      <c r="C650" s="2" t="inlineStr">
        <is>
          <t>C0583</t>
        </is>
      </c>
      <c r="D650" s="2" t="inlineStr">
        <is>
          <t>P0035</t>
        </is>
      </c>
      <c r="E650" s="2" t="inlineStr">
        <is>
          <t>Skipping Rope</t>
        </is>
      </c>
      <c r="F650" s="2" t="inlineStr">
        <is>
          <t>Sports</t>
        </is>
      </c>
      <c r="G650" s="2" t="inlineStr">
        <is>
          <t>West</t>
        </is>
      </c>
      <c r="H650" s="2" t="inlineStr">
        <is>
          <t>Maharashtra</t>
        </is>
      </c>
      <c r="I650" s="2" t="inlineStr">
        <is>
          <t>Mumbai</t>
        </is>
      </c>
      <c r="J650" s="2" t="inlineStr">
        <is>
          <t>Online</t>
        </is>
      </c>
      <c r="K650" s="2" t="n">
        <v>1</v>
      </c>
      <c r="L650" s="3" t="n">
        <v>686.05</v>
      </c>
      <c r="M650" s="4" t="n">
        <v>0</v>
      </c>
      <c r="N650" s="3" t="n">
        <v>418.69</v>
      </c>
      <c r="O650" s="3">
        <f>K650*L650*(1-M650)</f>
        <v/>
      </c>
      <c r="P650" s="3">
        <f>O650-N650</f>
        <v/>
      </c>
      <c r="Q650" s="5">
        <f>IFERROR(P650/O650,0)</f>
        <v/>
      </c>
      <c r="R650" s="2">
        <f>TEXT(DATEVALUE(B650),"mmm")</f>
        <v/>
      </c>
      <c r="S650" s="2">
        <f>TEXT(DATEVALUE(B650),"yyyy-mm")</f>
        <v/>
      </c>
    </row>
    <row r="651">
      <c r="A651" s="2" t="inlineStr">
        <is>
          <t>O000870</t>
        </is>
      </c>
      <c r="B651" s="2" t="inlineStr">
        <is>
          <t>2025-02-17</t>
        </is>
      </c>
      <c r="C651" s="2" t="inlineStr">
        <is>
          <t>C0667</t>
        </is>
      </c>
      <c r="D651" s="2" t="inlineStr">
        <is>
          <t>P0013</t>
        </is>
      </c>
      <c r="E651" s="2" t="inlineStr">
        <is>
          <t>Storage Organizer</t>
        </is>
      </c>
      <c r="F651" s="2" t="inlineStr">
        <is>
          <t>Home &amp; Kitchen</t>
        </is>
      </c>
      <c r="G651" s="2" t="inlineStr">
        <is>
          <t>West</t>
        </is>
      </c>
      <c r="H651" s="2" t="inlineStr">
        <is>
          <t>Goa</t>
        </is>
      </c>
      <c r="I651" s="2" t="inlineStr">
        <is>
          <t>Panaji</t>
        </is>
      </c>
      <c r="J651" s="2" t="inlineStr">
        <is>
          <t>Store</t>
        </is>
      </c>
      <c r="K651" s="2" t="n">
        <v>4</v>
      </c>
      <c r="L651" s="3" t="n">
        <v>562.54</v>
      </c>
      <c r="M651" s="4" t="n">
        <v>0.1</v>
      </c>
      <c r="N651" s="3" t="n">
        <v>1422.47</v>
      </c>
      <c r="O651" s="3">
        <f>K651*L651*(1-M651)</f>
        <v/>
      </c>
      <c r="P651" s="3">
        <f>O651-N651</f>
        <v/>
      </c>
      <c r="Q651" s="5">
        <f>IFERROR(P651/O651,0)</f>
        <v/>
      </c>
      <c r="R651" s="2">
        <f>TEXT(DATEVALUE(B651),"mmm")</f>
        <v/>
      </c>
      <c r="S651" s="2">
        <f>TEXT(DATEVALUE(B651),"yyyy-mm")</f>
        <v/>
      </c>
    </row>
    <row r="652">
      <c r="A652" s="2" t="inlineStr">
        <is>
          <t>O000453</t>
        </is>
      </c>
      <c r="B652" s="2" t="inlineStr">
        <is>
          <t>2025-02-17</t>
        </is>
      </c>
      <c r="C652" s="2" t="inlineStr">
        <is>
          <t>C0736</t>
        </is>
      </c>
      <c r="D652" s="2" t="inlineStr">
        <is>
          <t>P0009</t>
        </is>
      </c>
      <c r="E652" s="2" t="inlineStr">
        <is>
          <t>Electric Kettle</t>
        </is>
      </c>
      <c r="F652" s="2" t="inlineStr">
        <is>
          <t>Home &amp; Kitchen</t>
        </is>
      </c>
      <c r="G652" s="2" t="inlineStr">
        <is>
          <t>East</t>
        </is>
      </c>
      <c r="H652" s="2" t="inlineStr">
        <is>
          <t>Odisha</t>
        </is>
      </c>
      <c r="I652" s="2" t="inlineStr">
        <is>
          <t>Cuttack</t>
        </is>
      </c>
      <c r="J652" s="2" t="inlineStr">
        <is>
          <t>Store</t>
        </is>
      </c>
      <c r="K652" s="2" t="n">
        <v>3</v>
      </c>
      <c r="L652" s="3" t="n">
        <v>2117.47</v>
      </c>
      <c r="M652" s="4" t="n">
        <v>0.1</v>
      </c>
      <c r="N652" s="3" t="n">
        <v>3503.78</v>
      </c>
      <c r="O652" s="3">
        <f>K652*L652*(1-M652)</f>
        <v/>
      </c>
      <c r="P652" s="3">
        <f>O652-N652</f>
        <v/>
      </c>
      <c r="Q652" s="5">
        <f>IFERROR(P652/O652,0)</f>
        <v/>
      </c>
      <c r="R652" s="2">
        <f>TEXT(DATEVALUE(B652),"mmm")</f>
        <v/>
      </c>
      <c r="S652" s="2">
        <f>TEXT(DATEVALUE(B652),"yyyy-mm")</f>
        <v/>
      </c>
    </row>
    <row r="653">
      <c r="A653" s="2" t="inlineStr">
        <is>
          <t>O000116</t>
        </is>
      </c>
      <c r="B653" s="2" t="inlineStr">
        <is>
          <t>2025-02-17</t>
        </is>
      </c>
      <c r="C653" s="2" t="inlineStr">
        <is>
          <t>C0686</t>
        </is>
      </c>
      <c r="D653" s="2" t="inlineStr">
        <is>
          <t>P0022</t>
        </is>
      </c>
      <c r="E653" s="2" t="inlineStr">
        <is>
          <t>Face Wash</t>
        </is>
      </c>
      <c r="F653" s="2" t="inlineStr">
        <is>
          <t>Beauty</t>
        </is>
      </c>
      <c r="G653" s="2" t="inlineStr">
        <is>
          <t>South</t>
        </is>
      </c>
      <c r="H653" s="2" t="inlineStr">
        <is>
          <t>Tamil Nadu</t>
        </is>
      </c>
      <c r="I653" s="2" t="inlineStr">
        <is>
          <t>Madurai</t>
        </is>
      </c>
      <c r="J653" s="2" t="inlineStr">
        <is>
          <t>Store</t>
        </is>
      </c>
      <c r="K653" s="2" t="n">
        <v>3</v>
      </c>
      <c r="L653" s="3" t="n">
        <v>528.15</v>
      </c>
      <c r="M653" s="4" t="n">
        <v>0.05</v>
      </c>
      <c r="N653" s="3" t="n">
        <v>1033.19</v>
      </c>
      <c r="O653" s="3">
        <f>K653*L653*(1-M653)</f>
        <v/>
      </c>
      <c r="P653" s="3">
        <f>O653-N653</f>
        <v/>
      </c>
      <c r="Q653" s="5">
        <f>IFERROR(P653/O653,0)</f>
        <v/>
      </c>
      <c r="R653" s="2">
        <f>TEXT(DATEVALUE(B653),"mmm")</f>
        <v/>
      </c>
      <c r="S653" s="2">
        <f>TEXT(DATEVALUE(B653),"yyyy-mm")</f>
        <v/>
      </c>
    </row>
    <row r="654">
      <c r="A654" s="2" t="inlineStr">
        <is>
          <t>O004705</t>
        </is>
      </c>
      <c r="B654" s="2" t="inlineStr">
        <is>
          <t>2025-02-18</t>
        </is>
      </c>
      <c r="C654" s="2" t="inlineStr">
        <is>
          <t>C0703</t>
        </is>
      </c>
      <c r="D654" s="2" t="inlineStr">
        <is>
          <t>P0027</t>
        </is>
      </c>
      <c r="E654" s="2" t="inlineStr">
        <is>
          <t>Moisturizer</t>
        </is>
      </c>
      <c r="F654" s="2" t="inlineStr">
        <is>
          <t>Beauty</t>
        </is>
      </c>
      <c r="G654" s="2" t="inlineStr">
        <is>
          <t>East</t>
        </is>
      </c>
      <c r="H654" s="2" t="inlineStr">
        <is>
          <t>Bihar</t>
        </is>
      </c>
      <c r="I654" s="2" t="inlineStr">
        <is>
          <t>Gaya</t>
        </is>
      </c>
      <c r="J654" s="2" t="inlineStr">
        <is>
          <t>Online</t>
        </is>
      </c>
      <c r="K654" s="2" t="n">
        <v>3</v>
      </c>
      <c r="L654" s="3" t="n">
        <v>983.1900000000001</v>
      </c>
      <c r="M654" s="4" t="n">
        <v>0.1</v>
      </c>
      <c r="N654" s="3" t="n">
        <v>2022.86</v>
      </c>
      <c r="O654" s="3">
        <f>K654*L654*(1-M654)</f>
        <v/>
      </c>
      <c r="P654" s="3">
        <f>O654-N654</f>
        <v/>
      </c>
      <c r="Q654" s="5">
        <f>IFERROR(P654/O654,0)</f>
        <v/>
      </c>
      <c r="R654" s="2">
        <f>TEXT(DATEVALUE(B654),"mmm")</f>
        <v/>
      </c>
      <c r="S654" s="2">
        <f>TEXT(DATEVALUE(B654),"yyyy-mm")</f>
        <v/>
      </c>
    </row>
    <row r="655">
      <c r="A655" s="2" t="inlineStr">
        <is>
          <t>O004674</t>
        </is>
      </c>
      <c r="B655" s="2" t="inlineStr">
        <is>
          <t>2025-02-18</t>
        </is>
      </c>
      <c r="C655" s="2" t="inlineStr">
        <is>
          <t>C0348</t>
        </is>
      </c>
      <c r="D655" s="2" t="inlineStr">
        <is>
          <t>P0016</t>
        </is>
      </c>
      <c r="E655" s="2" t="inlineStr">
        <is>
          <t>Casual Shirt</t>
        </is>
      </c>
      <c r="F655" s="2" t="inlineStr">
        <is>
          <t>Fashion</t>
        </is>
      </c>
      <c r="G655" s="2" t="inlineStr">
        <is>
          <t>North</t>
        </is>
      </c>
      <c r="H655" s="2" t="inlineStr">
        <is>
          <t>Punjab</t>
        </is>
      </c>
      <c r="I655" s="2" t="inlineStr">
        <is>
          <t>Jalandhar</t>
        </is>
      </c>
      <c r="J655" s="2" t="inlineStr">
        <is>
          <t>Online</t>
        </is>
      </c>
      <c r="K655" s="2" t="n">
        <v>1</v>
      </c>
      <c r="L655" s="3" t="n">
        <v>1326.53</v>
      </c>
      <c r="M655" s="4" t="n">
        <v>0.1</v>
      </c>
      <c r="N655" s="3" t="n">
        <v>920.28</v>
      </c>
      <c r="O655" s="3">
        <f>K655*L655*(1-M655)</f>
        <v/>
      </c>
      <c r="P655" s="3">
        <f>O655-N655</f>
        <v/>
      </c>
      <c r="Q655" s="5">
        <f>IFERROR(P655/O655,0)</f>
        <v/>
      </c>
      <c r="R655" s="2">
        <f>TEXT(DATEVALUE(B655),"mmm")</f>
        <v/>
      </c>
      <c r="S655" s="2">
        <f>TEXT(DATEVALUE(B655),"yyyy-mm")</f>
        <v/>
      </c>
    </row>
    <row r="656">
      <c r="A656" s="2" t="inlineStr">
        <is>
          <t>O004209</t>
        </is>
      </c>
      <c r="B656" s="2" t="inlineStr">
        <is>
          <t>2025-02-18</t>
        </is>
      </c>
      <c r="C656" s="2" t="inlineStr">
        <is>
          <t>C0761</t>
        </is>
      </c>
      <c r="D656" s="2" t="inlineStr">
        <is>
          <t>P0016</t>
        </is>
      </c>
      <c r="E656" s="2" t="inlineStr">
        <is>
          <t>Casual Shirt</t>
        </is>
      </c>
      <c r="F656" s="2" t="inlineStr">
        <is>
          <t>Fashion</t>
        </is>
      </c>
      <c r="G656" s="2" t="inlineStr">
        <is>
          <t>West</t>
        </is>
      </c>
      <c r="H656" s="2" t="inlineStr">
        <is>
          <t>Goa</t>
        </is>
      </c>
      <c r="I656" s="2" t="inlineStr">
        <is>
          <t>Margao</t>
        </is>
      </c>
      <c r="J656" s="2" t="inlineStr">
        <is>
          <t>Online</t>
        </is>
      </c>
      <c r="K656" s="2" t="n">
        <v>2</v>
      </c>
      <c r="L656" s="3" t="n">
        <v>1264.51</v>
      </c>
      <c r="M656" s="4" t="n">
        <v>0.2</v>
      </c>
      <c r="N656" s="3" t="n">
        <v>1780.95</v>
      </c>
      <c r="O656" s="3">
        <f>K656*L656*(1-M656)</f>
        <v/>
      </c>
      <c r="P656" s="3">
        <f>O656-N656</f>
        <v/>
      </c>
      <c r="Q656" s="5">
        <f>IFERROR(P656/O656,0)</f>
        <v/>
      </c>
      <c r="R656" s="2">
        <f>TEXT(DATEVALUE(B656),"mmm")</f>
        <v/>
      </c>
      <c r="S656" s="2">
        <f>TEXT(DATEVALUE(B656),"yyyy-mm")</f>
        <v/>
      </c>
    </row>
    <row r="657">
      <c r="A657" s="2" t="inlineStr">
        <is>
          <t>O003895</t>
        </is>
      </c>
      <c r="B657" s="2" t="inlineStr">
        <is>
          <t>2025-02-18</t>
        </is>
      </c>
      <c r="C657" s="2" t="inlineStr">
        <is>
          <t>C0150</t>
        </is>
      </c>
      <c r="D657" s="2" t="inlineStr">
        <is>
          <t>P0007</t>
        </is>
      </c>
      <c r="E657" s="2" t="inlineStr">
        <is>
          <t>Wireless Mouse</t>
        </is>
      </c>
      <c r="F657" s="2" t="inlineStr">
        <is>
          <t>Electronics</t>
        </is>
      </c>
      <c r="G657" s="2" t="inlineStr">
        <is>
          <t>West</t>
        </is>
      </c>
      <c r="H657" s="2" t="inlineStr">
        <is>
          <t>Goa</t>
        </is>
      </c>
      <c r="I657" s="2" t="inlineStr">
        <is>
          <t>Panaji</t>
        </is>
      </c>
      <c r="J657" s="2" t="inlineStr">
        <is>
          <t>Store</t>
        </is>
      </c>
      <c r="K657" s="2" t="n">
        <v>5</v>
      </c>
      <c r="L657" s="3" t="n">
        <v>1021.62</v>
      </c>
      <c r="M657" s="4" t="n">
        <v>0</v>
      </c>
      <c r="N657" s="3" t="n">
        <v>3140.28</v>
      </c>
      <c r="O657" s="3">
        <f>K657*L657*(1-M657)</f>
        <v/>
      </c>
      <c r="P657" s="3">
        <f>O657-N657</f>
        <v/>
      </c>
      <c r="Q657" s="5">
        <f>IFERROR(P657/O657,0)</f>
        <v/>
      </c>
      <c r="R657" s="2">
        <f>TEXT(DATEVALUE(B657),"mmm")</f>
        <v/>
      </c>
      <c r="S657" s="2">
        <f>TEXT(DATEVALUE(B657),"yyyy-mm")</f>
        <v/>
      </c>
    </row>
    <row r="658">
      <c r="A658" s="2" t="inlineStr">
        <is>
          <t>O003784</t>
        </is>
      </c>
      <c r="B658" s="2" t="inlineStr">
        <is>
          <t>2025-02-18</t>
        </is>
      </c>
      <c r="C658" s="2" t="inlineStr">
        <is>
          <t>C0120</t>
        </is>
      </c>
      <c r="D658" s="2" t="inlineStr">
        <is>
          <t>P0021</t>
        </is>
      </c>
      <c r="E658" s="2" t="inlineStr">
        <is>
          <t>Wallet</t>
        </is>
      </c>
      <c r="F658" s="2" t="inlineStr">
        <is>
          <t>Fashion</t>
        </is>
      </c>
      <c r="G658" s="2" t="inlineStr">
        <is>
          <t>South</t>
        </is>
      </c>
      <c r="H658" s="2" t="inlineStr">
        <is>
          <t>Telangana</t>
        </is>
      </c>
      <c r="I658" s="2" t="inlineStr">
        <is>
          <t>Warangal</t>
        </is>
      </c>
      <c r="J658" s="2" t="inlineStr">
        <is>
          <t>Online</t>
        </is>
      </c>
      <c r="K658" s="2" t="n">
        <v>1</v>
      </c>
      <c r="L658" s="3" t="n">
        <v>2100.22</v>
      </c>
      <c r="M658" s="4" t="n">
        <v>0</v>
      </c>
      <c r="N658" s="3" t="n">
        <v>1214.93</v>
      </c>
      <c r="O658" s="3">
        <f>K658*L658*(1-M658)</f>
        <v/>
      </c>
      <c r="P658" s="3">
        <f>O658-N658</f>
        <v/>
      </c>
      <c r="Q658" s="5">
        <f>IFERROR(P658/O658,0)</f>
        <v/>
      </c>
      <c r="R658" s="2">
        <f>TEXT(DATEVALUE(B658),"mmm")</f>
        <v/>
      </c>
      <c r="S658" s="2">
        <f>TEXT(DATEVALUE(B658),"yyyy-mm")</f>
        <v/>
      </c>
    </row>
    <row r="659">
      <c r="A659" s="2" t="inlineStr">
        <is>
          <t>O003346</t>
        </is>
      </c>
      <c r="B659" s="2" t="inlineStr">
        <is>
          <t>2025-02-18</t>
        </is>
      </c>
      <c r="C659" s="2" t="inlineStr">
        <is>
          <t>C0722</t>
        </is>
      </c>
      <c r="D659" s="2" t="inlineStr">
        <is>
          <t>P0008</t>
        </is>
      </c>
      <c r="E659" s="2" t="inlineStr">
        <is>
          <t>Air Fryer</t>
        </is>
      </c>
      <c r="F659" s="2" t="inlineStr">
        <is>
          <t>Home &amp; Kitchen</t>
        </is>
      </c>
      <c r="G659" s="2" t="inlineStr">
        <is>
          <t>West</t>
        </is>
      </c>
      <c r="H659" s="2" t="inlineStr">
        <is>
          <t>Gujarat</t>
        </is>
      </c>
      <c r="I659" s="2" t="inlineStr">
        <is>
          <t>Ahmedabad</t>
        </is>
      </c>
      <c r="J659" s="2" t="inlineStr">
        <is>
          <t>Store</t>
        </is>
      </c>
      <c r="K659" s="2" t="n">
        <v>3</v>
      </c>
      <c r="L659" s="3" t="n">
        <v>1041.42</v>
      </c>
      <c r="M659" s="4" t="n">
        <v>0.15</v>
      </c>
      <c r="N659" s="3" t="n">
        <v>2005.96</v>
      </c>
      <c r="O659" s="3">
        <f>K659*L659*(1-M659)</f>
        <v/>
      </c>
      <c r="P659" s="3">
        <f>O659-N659</f>
        <v/>
      </c>
      <c r="Q659" s="5">
        <f>IFERROR(P659/O659,0)</f>
        <v/>
      </c>
      <c r="R659" s="2">
        <f>TEXT(DATEVALUE(B659),"mmm")</f>
        <v/>
      </c>
      <c r="S659" s="2">
        <f>TEXT(DATEVALUE(B659),"yyyy-mm")</f>
        <v/>
      </c>
    </row>
    <row r="660">
      <c r="A660" s="2" t="inlineStr">
        <is>
          <t>O003240</t>
        </is>
      </c>
      <c r="B660" s="2" t="inlineStr">
        <is>
          <t>2025-02-18</t>
        </is>
      </c>
      <c r="C660" s="2" t="inlineStr">
        <is>
          <t>C0717</t>
        </is>
      </c>
      <c r="D660" s="2" t="inlineStr">
        <is>
          <t>P0031</t>
        </is>
      </c>
      <c r="E660" s="2" t="inlineStr">
        <is>
          <t>Cricket Bat</t>
        </is>
      </c>
      <c r="F660" s="2" t="inlineStr">
        <is>
          <t>Sports</t>
        </is>
      </c>
      <c r="G660" s="2" t="inlineStr">
        <is>
          <t>West</t>
        </is>
      </c>
      <c r="H660" s="2" t="inlineStr">
        <is>
          <t>Gujarat</t>
        </is>
      </c>
      <c r="I660" s="2" t="inlineStr">
        <is>
          <t>Vadodara</t>
        </is>
      </c>
      <c r="J660" s="2" t="inlineStr">
        <is>
          <t>Online</t>
        </is>
      </c>
      <c r="K660" s="2" t="n">
        <v>3</v>
      </c>
      <c r="L660" s="3" t="n">
        <v>1392</v>
      </c>
      <c r="M660" s="4" t="n">
        <v>0</v>
      </c>
      <c r="N660" s="3" t="n">
        <v>2736.46</v>
      </c>
      <c r="O660" s="3">
        <f>K660*L660*(1-M660)</f>
        <v/>
      </c>
      <c r="P660" s="3">
        <f>O660-N660</f>
        <v/>
      </c>
      <c r="Q660" s="5">
        <f>IFERROR(P660/O660,0)</f>
        <v/>
      </c>
      <c r="R660" s="2">
        <f>TEXT(DATEVALUE(B660),"mmm")</f>
        <v/>
      </c>
      <c r="S660" s="2">
        <f>TEXT(DATEVALUE(B660),"yyyy-mm")</f>
        <v/>
      </c>
    </row>
    <row r="661">
      <c r="A661" s="2" t="inlineStr">
        <is>
          <t>O002931</t>
        </is>
      </c>
      <c r="B661" s="2" t="inlineStr">
        <is>
          <t>2025-02-18</t>
        </is>
      </c>
      <c r="C661" s="2" t="inlineStr">
        <is>
          <t>C0036</t>
        </is>
      </c>
      <c r="D661" s="2" t="inlineStr">
        <is>
          <t>P0031</t>
        </is>
      </c>
      <c r="E661" s="2" t="inlineStr">
        <is>
          <t>Cricket Bat</t>
        </is>
      </c>
      <c r="F661" s="2" t="inlineStr">
        <is>
          <t>Sports</t>
        </is>
      </c>
      <c r="G661" s="2" t="inlineStr">
        <is>
          <t>South</t>
        </is>
      </c>
      <c r="H661" s="2" t="inlineStr">
        <is>
          <t>Tamil Nadu</t>
        </is>
      </c>
      <c r="I661" s="2" t="inlineStr">
        <is>
          <t>Coimbatore</t>
        </is>
      </c>
      <c r="J661" s="2" t="inlineStr">
        <is>
          <t>Online</t>
        </is>
      </c>
      <c r="K661" s="2" t="n">
        <v>2</v>
      </c>
      <c r="L661" s="3" t="n">
        <v>1389.19</v>
      </c>
      <c r="M661" s="4" t="n">
        <v>0.1</v>
      </c>
      <c r="N661" s="3" t="n">
        <v>1897.56</v>
      </c>
      <c r="O661" s="3">
        <f>K661*L661*(1-M661)</f>
        <v/>
      </c>
      <c r="P661" s="3">
        <f>O661-N661</f>
        <v/>
      </c>
      <c r="Q661" s="5">
        <f>IFERROR(P661/O661,0)</f>
        <v/>
      </c>
      <c r="R661" s="2">
        <f>TEXT(DATEVALUE(B661),"mmm")</f>
        <v/>
      </c>
      <c r="S661" s="2">
        <f>TEXT(DATEVALUE(B661),"yyyy-mm")</f>
        <v/>
      </c>
    </row>
    <row r="662">
      <c r="A662" s="2" t="inlineStr">
        <is>
          <t>O002808</t>
        </is>
      </c>
      <c r="B662" s="2" t="inlineStr">
        <is>
          <t>2025-02-18</t>
        </is>
      </c>
      <c r="C662" s="2" t="inlineStr">
        <is>
          <t>C0444</t>
        </is>
      </c>
      <c r="D662" s="2" t="inlineStr">
        <is>
          <t>P0011</t>
        </is>
      </c>
      <c r="E662" s="2" t="inlineStr">
        <is>
          <t>Cookware Set</t>
        </is>
      </c>
      <c r="F662" s="2" t="inlineStr">
        <is>
          <t>Home &amp; Kitchen</t>
        </is>
      </c>
      <c r="G662" s="2" t="inlineStr">
        <is>
          <t>North</t>
        </is>
      </c>
      <c r="H662" s="2" t="inlineStr">
        <is>
          <t>Punjab</t>
        </is>
      </c>
      <c r="I662" s="2" t="inlineStr">
        <is>
          <t>Ludhiana</t>
        </is>
      </c>
      <c r="J662" s="2" t="inlineStr">
        <is>
          <t>Online</t>
        </is>
      </c>
      <c r="K662" s="2" t="n">
        <v>3</v>
      </c>
      <c r="L662" s="3" t="n">
        <v>721.48</v>
      </c>
      <c r="M662" s="4" t="n">
        <v>0.15</v>
      </c>
      <c r="N662" s="3" t="n">
        <v>1377.47</v>
      </c>
      <c r="O662" s="3">
        <f>K662*L662*(1-M662)</f>
        <v/>
      </c>
      <c r="P662" s="3">
        <f>O662-N662</f>
        <v/>
      </c>
      <c r="Q662" s="5">
        <f>IFERROR(P662/O662,0)</f>
        <v/>
      </c>
      <c r="R662" s="2">
        <f>TEXT(DATEVALUE(B662),"mmm")</f>
        <v/>
      </c>
      <c r="S662" s="2">
        <f>TEXT(DATEVALUE(B662),"yyyy-mm")</f>
        <v/>
      </c>
    </row>
    <row r="663">
      <c r="A663" s="2" t="inlineStr">
        <is>
          <t>O003678</t>
        </is>
      </c>
      <c r="B663" s="2" t="inlineStr">
        <is>
          <t>2025-02-18</t>
        </is>
      </c>
      <c r="C663" s="2" t="inlineStr">
        <is>
          <t>C0428</t>
        </is>
      </c>
      <c r="D663" s="2" t="inlineStr">
        <is>
          <t>P0022</t>
        </is>
      </c>
      <c r="E663" s="2" t="inlineStr">
        <is>
          <t>Face Wash</t>
        </is>
      </c>
      <c r="F663" s="2" t="inlineStr">
        <is>
          <t>Beauty</t>
        </is>
      </c>
      <c r="G663" s="2" t="inlineStr">
        <is>
          <t>South</t>
        </is>
      </c>
      <c r="H663" s="2" t="inlineStr">
        <is>
          <t>Tamil Nadu</t>
        </is>
      </c>
      <c r="I663" s="2" t="inlineStr">
        <is>
          <t>Coimbatore</t>
        </is>
      </c>
      <c r="J663" s="2" t="inlineStr">
        <is>
          <t>Online</t>
        </is>
      </c>
      <c r="K663" s="2" t="n">
        <v>1</v>
      </c>
      <c r="L663" s="3" t="n">
        <v>542.54</v>
      </c>
      <c r="M663" s="4" t="n">
        <v>0</v>
      </c>
      <c r="N663" s="3" t="n">
        <v>340.68</v>
      </c>
      <c r="O663" s="3">
        <f>K663*L663*(1-M663)</f>
        <v/>
      </c>
      <c r="P663" s="3">
        <f>O663-N663</f>
        <v/>
      </c>
      <c r="Q663" s="5">
        <f>IFERROR(P663/O663,0)</f>
        <v/>
      </c>
      <c r="R663" s="2">
        <f>TEXT(DATEVALUE(B663),"mmm")</f>
        <v/>
      </c>
      <c r="S663" s="2">
        <f>TEXT(DATEVALUE(B663),"yyyy-mm")</f>
        <v/>
      </c>
    </row>
    <row r="664">
      <c r="A664" s="2" t="inlineStr">
        <is>
          <t>O002371</t>
        </is>
      </c>
      <c r="B664" s="2" t="inlineStr">
        <is>
          <t>2025-02-18</t>
        </is>
      </c>
      <c r="C664" s="2" t="inlineStr">
        <is>
          <t>C0477</t>
        </is>
      </c>
      <c r="D664" s="2" t="inlineStr">
        <is>
          <t>P0006</t>
        </is>
      </c>
      <c r="E664" s="2" t="inlineStr">
        <is>
          <t>Mechanical Keyboard</t>
        </is>
      </c>
      <c r="F664" s="2" t="inlineStr">
        <is>
          <t>Electronics</t>
        </is>
      </c>
      <c r="G664" s="2" t="inlineStr">
        <is>
          <t>South</t>
        </is>
      </c>
      <c r="H664" s="2" t="inlineStr">
        <is>
          <t>Tamil Nadu</t>
        </is>
      </c>
      <c r="I664" s="2" t="inlineStr">
        <is>
          <t>Madurai</t>
        </is>
      </c>
      <c r="J664" s="2" t="inlineStr">
        <is>
          <t>Store</t>
        </is>
      </c>
      <c r="K664" s="2" t="n">
        <v>3</v>
      </c>
      <c r="L664" s="3" t="n">
        <v>2604.76</v>
      </c>
      <c r="M664" s="4" t="n">
        <v>0.1</v>
      </c>
      <c r="N664" s="3" t="n">
        <v>4546.65</v>
      </c>
      <c r="O664" s="3">
        <f>K664*L664*(1-M664)</f>
        <v/>
      </c>
      <c r="P664" s="3">
        <f>O664-N664</f>
        <v/>
      </c>
      <c r="Q664" s="5">
        <f>IFERROR(P664/O664,0)</f>
        <v/>
      </c>
      <c r="R664" s="2">
        <f>TEXT(DATEVALUE(B664),"mmm")</f>
        <v/>
      </c>
      <c r="S664" s="2">
        <f>TEXT(DATEVALUE(B664),"yyyy-mm")</f>
        <v/>
      </c>
    </row>
    <row r="665">
      <c r="A665" s="2" t="inlineStr">
        <is>
          <t>O002279</t>
        </is>
      </c>
      <c r="B665" s="2" t="inlineStr">
        <is>
          <t>2025-02-18</t>
        </is>
      </c>
      <c r="C665" s="2" t="inlineStr">
        <is>
          <t>C0723</t>
        </is>
      </c>
      <c r="D665" s="2" t="inlineStr">
        <is>
          <t>P0008</t>
        </is>
      </c>
      <c r="E665" s="2" t="inlineStr">
        <is>
          <t>Air Fryer</t>
        </is>
      </c>
      <c r="F665" s="2" t="inlineStr">
        <is>
          <t>Home &amp; Kitchen</t>
        </is>
      </c>
      <c r="G665" s="2" t="inlineStr">
        <is>
          <t>South</t>
        </is>
      </c>
      <c r="H665" s="2" t="inlineStr">
        <is>
          <t>Kerala</t>
        </is>
      </c>
      <c r="I665" s="2" t="inlineStr">
        <is>
          <t>Kochi</t>
        </is>
      </c>
      <c r="J665" s="2" t="inlineStr">
        <is>
          <t>Store</t>
        </is>
      </c>
      <c r="K665" s="2" t="n">
        <v>3</v>
      </c>
      <c r="L665" s="3" t="n">
        <v>1022.11</v>
      </c>
      <c r="M665" s="4" t="n">
        <v>0.05</v>
      </c>
      <c r="N665" s="3" t="n">
        <v>2000.69</v>
      </c>
      <c r="O665" s="3">
        <f>K665*L665*(1-M665)</f>
        <v/>
      </c>
      <c r="P665" s="3">
        <f>O665-N665</f>
        <v/>
      </c>
      <c r="Q665" s="5">
        <f>IFERROR(P665/O665,0)</f>
        <v/>
      </c>
      <c r="R665" s="2">
        <f>TEXT(DATEVALUE(B665),"mmm")</f>
        <v/>
      </c>
      <c r="S665" s="2">
        <f>TEXT(DATEVALUE(B665),"yyyy-mm")</f>
        <v/>
      </c>
    </row>
    <row r="666">
      <c r="A666" s="2" t="inlineStr">
        <is>
          <t>O002231</t>
        </is>
      </c>
      <c r="B666" s="2" t="inlineStr">
        <is>
          <t>2025-02-18</t>
        </is>
      </c>
      <c r="C666" s="2" t="inlineStr">
        <is>
          <t>C0768</t>
        </is>
      </c>
      <c r="D666" s="2" t="inlineStr">
        <is>
          <t>P0028</t>
        </is>
      </c>
      <c r="E666" s="2" t="inlineStr">
        <is>
          <t>Trimmer</t>
        </is>
      </c>
      <c r="F666" s="2" t="inlineStr">
        <is>
          <t>Beauty</t>
        </is>
      </c>
      <c r="G666" s="2" t="inlineStr">
        <is>
          <t>North</t>
        </is>
      </c>
      <c r="H666" s="2" t="inlineStr">
        <is>
          <t>Delhi</t>
        </is>
      </c>
      <c r="I666" s="2" t="inlineStr">
        <is>
          <t>New Delhi</t>
        </is>
      </c>
      <c r="J666" s="2" t="inlineStr">
        <is>
          <t>Store</t>
        </is>
      </c>
      <c r="K666" s="2" t="n">
        <v>2</v>
      </c>
      <c r="L666" s="3" t="n">
        <v>454.06</v>
      </c>
      <c r="M666" s="4" t="n">
        <v>0.15</v>
      </c>
      <c r="N666" s="3" t="n">
        <v>517.1900000000001</v>
      </c>
      <c r="O666" s="3">
        <f>K666*L666*(1-M666)</f>
        <v/>
      </c>
      <c r="P666" s="3">
        <f>O666-N666</f>
        <v/>
      </c>
      <c r="Q666" s="5">
        <f>IFERROR(P666/O666,0)</f>
        <v/>
      </c>
      <c r="R666" s="2">
        <f>TEXT(DATEVALUE(B666),"mmm")</f>
        <v/>
      </c>
      <c r="S666" s="2">
        <f>TEXT(DATEVALUE(B666),"yyyy-mm")</f>
        <v/>
      </c>
    </row>
    <row r="667">
      <c r="A667" s="2" t="inlineStr">
        <is>
          <t>O002578</t>
        </is>
      </c>
      <c r="B667" s="2" t="inlineStr">
        <is>
          <t>2025-02-18</t>
        </is>
      </c>
      <c r="C667" s="2" t="inlineStr">
        <is>
          <t>C0778</t>
        </is>
      </c>
      <c r="D667" s="2" t="inlineStr">
        <is>
          <t>P0012</t>
        </is>
      </c>
      <c r="E667" s="2" t="inlineStr">
        <is>
          <t>Water Bottle</t>
        </is>
      </c>
      <c r="F667" s="2" t="inlineStr">
        <is>
          <t>Home &amp; Kitchen</t>
        </is>
      </c>
      <c r="G667" s="2" t="inlineStr">
        <is>
          <t>East</t>
        </is>
      </c>
      <c r="H667" s="2" t="inlineStr">
        <is>
          <t>West Bengal</t>
        </is>
      </c>
      <c r="I667" s="2" t="inlineStr">
        <is>
          <t>Durgapur</t>
        </is>
      </c>
      <c r="J667" s="2" t="inlineStr">
        <is>
          <t>Online</t>
        </is>
      </c>
      <c r="K667" s="2" t="n">
        <v>1</v>
      </c>
      <c r="L667" s="3" t="n">
        <v>982.17</v>
      </c>
      <c r="M667" s="4" t="n">
        <v>0</v>
      </c>
      <c r="N667" s="3" t="n">
        <v>637.8200000000001</v>
      </c>
      <c r="O667" s="3">
        <f>K667*L667*(1-M667)</f>
        <v/>
      </c>
      <c r="P667" s="3">
        <f>O667-N667</f>
        <v/>
      </c>
      <c r="Q667" s="5">
        <f>IFERROR(P667/O667,0)</f>
        <v/>
      </c>
      <c r="R667" s="2">
        <f>TEXT(DATEVALUE(B667),"mmm")</f>
        <v/>
      </c>
      <c r="S667" s="2">
        <f>TEXT(DATEVALUE(B667),"yyyy-mm")</f>
        <v/>
      </c>
    </row>
    <row r="668">
      <c r="A668" s="2" t="inlineStr">
        <is>
          <t>O002213</t>
        </is>
      </c>
      <c r="B668" s="2" t="inlineStr">
        <is>
          <t>2025-02-18</t>
        </is>
      </c>
      <c r="C668" s="2" t="inlineStr">
        <is>
          <t>C0004</t>
        </is>
      </c>
      <c r="D668" s="2" t="inlineStr">
        <is>
          <t>P0002</t>
        </is>
      </c>
      <c r="E668" s="2" t="inlineStr">
        <is>
          <t>Bluetooth Speaker</t>
        </is>
      </c>
      <c r="F668" s="2" t="inlineStr">
        <is>
          <t>Electronics</t>
        </is>
      </c>
      <c r="G668" s="2" t="inlineStr">
        <is>
          <t>South</t>
        </is>
      </c>
      <c r="H668" s="2" t="inlineStr">
        <is>
          <t>Telangana</t>
        </is>
      </c>
      <c r="I668" s="2" t="inlineStr">
        <is>
          <t>Warangal</t>
        </is>
      </c>
      <c r="J668" s="2" t="inlineStr">
        <is>
          <t>Online</t>
        </is>
      </c>
      <c r="K668" s="2" t="n">
        <v>6</v>
      </c>
      <c r="L668" s="3" t="n">
        <v>1375.34</v>
      </c>
      <c r="M668" s="4" t="n">
        <v>0.05</v>
      </c>
      <c r="N668" s="3" t="n">
        <v>4981.37</v>
      </c>
      <c r="O668" s="3">
        <f>K668*L668*(1-M668)</f>
        <v/>
      </c>
      <c r="P668" s="3">
        <f>O668-N668</f>
        <v/>
      </c>
      <c r="Q668" s="5">
        <f>IFERROR(P668/O668,0)</f>
        <v/>
      </c>
      <c r="R668" s="2">
        <f>TEXT(DATEVALUE(B668),"mmm")</f>
        <v/>
      </c>
      <c r="S668" s="2">
        <f>TEXT(DATEVALUE(B668),"yyyy-mm")</f>
        <v/>
      </c>
    </row>
    <row r="669">
      <c r="A669" s="2" t="inlineStr">
        <is>
          <t>O001213</t>
        </is>
      </c>
      <c r="B669" s="2" t="inlineStr">
        <is>
          <t>2025-02-18</t>
        </is>
      </c>
      <c r="C669" s="2" t="inlineStr">
        <is>
          <t>C0694</t>
        </is>
      </c>
      <c r="D669" s="2" t="inlineStr">
        <is>
          <t>P0031</t>
        </is>
      </c>
      <c r="E669" s="2" t="inlineStr">
        <is>
          <t>Cricket Bat</t>
        </is>
      </c>
      <c r="F669" s="2" t="inlineStr">
        <is>
          <t>Sports</t>
        </is>
      </c>
      <c r="G669" s="2" t="inlineStr">
        <is>
          <t>West</t>
        </is>
      </c>
      <c r="H669" s="2" t="inlineStr">
        <is>
          <t>Maharashtra</t>
        </is>
      </c>
      <c r="I669" s="2" t="inlineStr">
        <is>
          <t>Nagpur</t>
        </is>
      </c>
      <c r="J669" s="2" t="inlineStr">
        <is>
          <t>Online</t>
        </is>
      </c>
      <c r="K669" s="2" t="n">
        <v>1</v>
      </c>
      <c r="L669" s="3" t="n">
        <v>1446.67</v>
      </c>
      <c r="M669" s="4" t="n">
        <v>0.1</v>
      </c>
      <c r="N669" s="3" t="n">
        <v>929.59</v>
      </c>
      <c r="O669" s="3">
        <f>K669*L669*(1-M669)</f>
        <v/>
      </c>
      <c r="P669" s="3">
        <f>O669-N669</f>
        <v/>
      </c>
      <c r="Q669" s="5">
        <f>IFERROR(P669/O669,0)</f>
        <v/>
      </c>
      <c r="R669" s="2">
        <f>TEXT(DATEVALUE(B669),"mmm")</f>
        <v/>
      </c>
      <c r="S669" s="2">
        <f>TEXT(DATEVALUE(B669),"yyyy-mm")</f>
        <v/>
      </c>
    </row>
    <row r="670">
      <c r="A670" s="2" t="inlineStr">
        <is>
          <t>O001202</t>
        </is>
      </c>
      <c r="B670" s="2" t="inlineStr">
        <is>
          <t>2025-02-18</t>
        </is>
      </c>
      <c r="C670" s="2" t="inlineStr">
        <is>
          <t>C0427</t>
        </is>
      </c>
      <c r="D670" s="2" t="inlineStr">
        <is>
          <t>P0006</t>
        </is>
      </c>
      <c r="E670" s="2" t="inlineStr">
        <is>
          <t>Mechanical Keyboard</t>
        </is>
      </c>
      <c r="F670" s="2" t="inlineStr">
        <is>
          <t>Electronics</t>
        </is>
      </c>
      <c r="G670" s="2" t="inlineStr">
        <is>
          <t>North</t>
        </is>
      </c>
      <c r="H670" s="2" t="inlineStr">
        <is>
          <t>Delhi</t>
        </is>
      </c>
      <c r="I670" s="2" t="inlineStr">
        <is>
          <t>New Delhi</t>
        </is>
      </c>
      <c r="J670" s="2" t="inlineStr">
        <is>
          <t>Store</t>
        </is>
      </c>
      <c r="K670" s="2" t="n">
        <v>2</v>
      </c>
      <c r="L670" s="3" t="n">
        <v>2688.81</v>
      </c>
      <c r="M670" s="4" t="n">
        <v>0.1</v>
      </c>
      <c r="N670" s="3" t="n">
        <v>2995.25</v>
      </c>
      <c r="O670" s="3">
        <f>K670*L670*(1-M670)</f>
        <v/>
      </c>
      <c r="P670" s="3">
        <f>O670-N670</f>
        <v/>
      </c>
      <c r="Q670" s="5">
        <f>IFERROR(P670/O670,0)</f>
        <v/>
      </c>
      <c r="R670" s="2">
        <f>TEXT(DATEVALUE(B670),"mmm")</f>
        <v/>
      </c>
      <c r="S670" s="2">
        <f>TEXT(DATEVALUE(B670),"yyyy-mm")</f>
        <v/>
      </c>
    </row>
    <row r="671">
      <c r="A671" s="2" t="inlineStr">
        <is>
          <t>O000329</t>
        </is>
      </c>
      <c r="B671" s="2" t="inlineStr">
        <is>
          <t>2025-02-18</t>
        </is>
      </c>
      <c r="C671" s="2" t="inlineStr">
        <is>
          <t>C0428</t>
        </is>
      </c>
      <c r="D671" s="2" t="inlineStr">
        <is>
          <t>P0009</t>
        </is>
      </c>
      <c r="E671" s="2" t="inlineStr">
        <is>
          <t>Electric Kettle</t>
        </is>
      </c>
      <c r="F671" s="2" t="inlineStr">
        <is>
          <t>Home &amp; Kitchen</t>
        </is>
      </c>
      <c r="G671" s="2" t="inlineStr">
        <is>
          <t>North</t>
        </is>
      </c>
      <c r="H671" s="2" t="inlineStr">
        <is>
          <t>Punjab</t>
        </is>
      </c>
      <c r="I671" s="2" t="inlineStr">
        <is>
          <t>Amritsar</t>
        </is>
      </c>
      <c r="J671" s="2" t="inlineStr">
        <is>
          <t>Store</t>
        </is>
      </c>
      <c r="K671" s="2" t="n">
        <v>3</v>
      </c>
      <c r="L671" s="3" t="n">
        <v>2084.86</v>
      </c>
      <c r="M671" s="4" t="n">
        <v>0.05</v>
      </c>
      <c r="N671" s="3" t="n">
        <v>3409.22</v>
      </c>
      <c r="O671" s="3">
        <f>K671*L671*(1-M671)</f>
        <v/>
      </c>
      <c r="P671" s="3">
        <f>O671-N671</f>
        <v/>
      </c>
      <c r="Q671" s="5">
        <f>IFERROR(P671/O671,0)</f>
        <v/>
      </c>
      <c r="R671" s="2">
        <f>TEXT(DATEVALUE(B671),"mmm")</f>
        <v/>
      </c>
      <c r="S671" s="2">
        <f>TEXT(DATEVALUE(B671),"yyyy-mm")</f>
        <v/>
      </c>
    </row>
    <row r="672">
      <c r="A672" s="2" t="inlineStr">
        <is>
          <t>O000030</t>
        </is>
      </c>
      <c r="B672" s="2" t="inlineStr">
        <is>
          <t>2025-02-18</t>
        </is>
      </c>
      <c r="C672" s="2" t="inlineStr">
        <is>
          <t>C0049</t>
        </is>
      </c>
      <c r="D672" s="2" t="inlineStr">
        <is>
          <t>P0010</t>
        </is>
      </c>
      <c r="E672" s="2" t="inlineStr">
        <is>
          <t>Mixer Grinder</t>
        </is>
      </c>
      <c r="F672" s="2" t="inlineStr">
        <is>
          <t>Home &amp; Kitchen</t>
        </is>
      </c>
      <c r="G672" s="2" t="inlineStr">
        <is>
          <t>West</t>
        </is>
      </c>
      <c r="H672" s="2" t="inlineStr">
        <is>
          <t>Maharashtra</t>
        </is>
      </c>
      <c r="I672" s="2" t="inlineStr">
        <is>
          <t>Thane</t>
        </is>
      </c>
      <c r="J672" s="2" t="inlineStr">
        <is>
          <t>Online</t>
        </is>
      </c>
      <c r="K672" s="2" t="n">
        <v>2</v>
      </c>
      <c r="L672" s="3" t="n">
        <v>1578.26</v>
      </c>
      <c r="M672" s="4" t="n">
        <v>0.15</v>
      </c>
      <c r="N672" s="3" t="n">
        <v>2089.04</v>
      </c>
      <c r="O672" s="3">
        <f>K672*L672*(1-M672)</f>
        <v/>
      </c>
      <c r="P672" s="3">
        <f>O672-N672</f>
        <v/>
      </c>
      <c r="Q672" s="5">
        <f>IFERROR(P672/O672,0)</f>
        <v/>
      </c>
      <c r="R672" s="2">
        <f>TEXT(DATEVALUE(B672),"mmm")</f>
        <v/>
      </c>
      <c r="S672" s="2">
        <f>TEXT(DATEVALUE(B672),"yyyy-mm")</f>
        <v/>
      </c>
    </row>
    <row r="673">
      <c r="A673" s="2" t="inlineStr">
        <is>
          <t>O004876</t>
        </is>
      </c>
      <c r="B673" s="2" t="inlineStr">
        <is>
          <t>2025-02-19</t>
        </is>
      </c>
      <c r="C673" s="2" t="inlineStr">
        <is>
          <t>C0423</t>
        </is>
      </c>
      <c r="D673" s="2" t="inlineStr">
        <is>
          <t>P0014</t>
        </is>
      </c>
      <c r="E673" s="2" t="inlineStr">
        <is>
          <t>Coffee Maker</t>
        </is>
      </c>
      <c r="F673" s="2" t="inlineStr">
        <is>
          <t>Home &amp; Kitchen</t>
        </is>
      </c>
      <c r="G673" s="2" t="inlineStr">
        <is>
          <t>West</t>
        </is>
      </c>
      <c r="H673" s="2" t="inlineStr">
        <is>
          <t>Gujarat</t>
        </is>
      </c>
      <c r="I673" s="2" t="inlineStr">
        <is>
          <t>Ahmedabad</t>
        </is>
      </c>
      <c r="J673" s="2" t="inlineStr">
        <is>
          <t>Online</t>
        </is>
      </c>
      <c r="K673" s="2" t="n">
        <v>1</v>
      </c>
      <c r="L673" s="3" t="n">
        <v>1047.83</v>
      </c>
      <c r="M673" s="4" t="n">
        <v>0.15</v>
      </c>
      <c r="N673" s="3" t="n">
        <v>772.77</v>
      </c>
      <c r="O673" s="3">
        <f>K673*L673*(1-M673)</f>
        <v/>
      </c>
      <c r="P673" s="3">
        <f>O673-N673</f>
        <v/>
      </c>
      <c r="Q673" s="5">
        <f>IFERROR(P673/O673,0)</f>
        <v/>
      </c>
      <c r="R673" s="2">
        <f>TEXT(DATEVALUE(B673),"mmm")</f>
        <v/>
      </c>
      <c r="S673" s="2">
        <f>TEXT(DATEVALUE(B673),"yyyy-mm")</f>
        <v/>
      </c>
    </row>
    <row r="674">
      <c r="A674" s="2" t="inlineStr">
        <is>
          <t>O004279</t>
        </is>
      </c>
      <c r="B674" s="2" t="inlineStr">
        <is>
          <t>2025-02-19</t>
        </is>
      </c>
      <c r="C674" s="2" t="inlineStr">
        <is>
          <t>C0341</t>
        </is>
      </c>
      <c r="D674" s="2" t="inlineStr">
        <is>
          <t>P0031</t>
        </is>
      </c>
      <c r="E674" s="2" t="inlineStr">
        <is>
          <t>Cricket Bat</t>
        </is>
      </c>
      <c r="F674" s="2" t="inlineStr">
        <is>
          <t>Sports</t>
        </is>
      </c>
      <c r="G674" s="2" t="inlineStr">
        <is>
          <t>North</t>
        </is>
      </c>
      <c r="H674" s="2" t="inlineStr">
        <is>
          <t>Haryana</t>
        </is>
      </c>
      <c r="I674" s="2" t="inlineStr">
        <is>
          <t>Faridabad</t>
        </is>
      </c>
      <c r="J674" s="2" t="inlineStr">
        <is>
          <t>Store</t>
        </is>
      </c>
      <c r="K674" s="2" t="n">
        <v>2</v>
      </c>
      <c r="L674" s="3" t="n">
        <v>1399.07</v>
      </c>
      <c r="M674" s="4" t="n">
        <v>0</v>
      </c>
      <c r="N674" s="3" t="n">
        <v>1945.52</v>
      </c>
      <c r="O674" s="3">
        <f>K674*L674*(1-M674)</f>
        <v/>
      </c>
      <c r="P674" s="3">
        <f>O674-N674</f>
        <v/>
      </c>
      <c r="Q674" s="5">
        <f>IFERROR(P674/O674,0)</f>
        <v/>
      </c>
      <c r="R674" s="2">
        <f>TEXT(DATEVALUE(B674),"mmm")</f>
        <v/>
      </c>
      <c r="S674" s="2">
        <f>TEXT(DATEVALUE(B674),"yyyy-mm")</f>
        <v/>
      </c>
    </row>
    <row r="675">
      <c r="A675" s="2" t="inlineStr">
        <is>
          <t>O003942</t>
        </is>
      </c>
      <c r="B675" s="2" t="inlineStr">
        <is>
          <t>2025-02-19</t>
        </is>
      </c>
      <c r="C675" s="2" t="inlineStr">
        <is>
          <t>C0510</t>
        </is>
      </c>
      <c r="D675" s="2" t="inlineStr">
        <is>
          <t>P0022</t>
        </is>
      </c>
      <c r="E675" s="2" t="inlineStr">
        <is>
          <t>Face Wash</t>
        </is>
      </c>
      <c r="F675" s="2" t="inlineStr">
        <is>
          <t>Beauty</t>
        </is>
      </c>
      <c r="G675" s="2" t="inlineStr">
        <is>
          <t>South</t>
        </is>
      </c>
      <c r="H675" s="2" t="inlineStr">
        <is>
          <t>Karnataka</t>
        </is>
      </c>
      <c r="I675" s="2" t="inlineStr">
        <is>
          <t>Mysuru</t>
        </is>
      </c>
      <c r="J675" s="2" t="inlineStr">
        <is>
          <t>Online</t>
        </is>
      </c>
      <c r="K675" s="2" t="n">
        <v>3</v>
      </c>
      <c r="L675" s="3" t="n">
        <v>528.73</v>
      </c>
      <c r="M675" s="4" t="n">
        <v>0.1</v>
      </c>
      <c r="N675" s="3" t="n">
        <v>1036.7</v>
      </c>
      <c r="O675" s="3">
        <f>K675*L675*(1-M675)</f>
        <v/>
      </c>
      <c r="P675" s="3">
        <f>O675-N675</f>
        <v/>
      </c>
      <c r="Q675" s="5">
        <f>IFERROR(P675/O675,0)</f>
        <v/>
      </c>
      <c r="R675" s="2">
        <f>TEXT(DATEVALUE(B675),"mmm")</f>
        <v/>
      </c>
      <c r="S675" s="2">
        <f>TEXT(DATEVALUE(B675),"yyyy-mm")</f>
        <v/>
      </c>
    </row>
    <row r="676">
      <c r="A676" s="2" t="inlineStr">
        <is>
          <t>O003169</t>
        </is>
      </c>
      <c r="B676" s="2" t="inlineStr">
        <is>
          <t>2025-02-19</t>
        </is>
      </c>
      <c r="C676" s="2" t="inlineStr">
        <is>
          <t>C0311</t>
        </is>
      </c>
      <c r="D676" s="2" t="inlineStr">
        <is>
          <t>P0015</t>
        </is>
      </c>
      <c r="E676" s="2" t="inlineStr">
        <is>
          <t>Running Shoes</t>
        </is>
      </c>
      <c r="F676" s="2" t="inlineStr">
        <is>
          <t>Fashion</t>
        </is>
      </c>
      <c r="G676" s="2" t="inlineStr">
        <is>
          <t>West</t>
        </is>
      </c>
      <c r="H676" s="2" t="inlineStr">
        <is>
          <t>Goa</t>
        </is>
      </c>
      <c r="I676" s="2" t="inlineStr">
        <is>
          <t>Margao</t>
        </is>
      </c>
      <c r="J676" s="2" t="inlineStr">
        <is>
          <t>Online</t>
        </is>
      </c>
      <c r="K676" s="2" t="n">
        <v>2</v>
      </c>
      <c r="L676" s="3" t="n">
        <v>609.63</v>
      </c>
      <c r="M676" s="4" t="n">
        <v>0.1</v>
      </c>
      <c r="N676" s="3" t="n">
        <v>751.63</v>
      </c>
      <c r="O676" s="3">
        <f>K676*L676*(1-M676)</f>
        <v/>
      </c>
      <c r="P676" s="3">
        <f>O676-N676</f>
        <v/>
      </c>
      <c r="Q676" s="5">
        <f>IFERROR(P676/O676,0)</f>
        <v/>
      </c>
      <c r="R676" s="2">
        <f>TEXT(DATEVALUE(B676),"mmm")</f>
        <v/>
      </c>
      <c r="S676" s="2">
        <f>TEXT(DATEVALUE(B676),"yyyy-mm")</f>
        <v/>
      </c>
    </row>
    <row r="677">
      <c r="A677" s="2" t="inlineStr">
        <is>
          <t>O002791</t>
        </is>
      </c>
      <c r="B677" s="2" t="inlineStr">
        <is>
          <t>2025-02-19</t>
        </is>
      </c>
      <c r="C677" s="2" t="inlineStr">
        <is>
          <t>C0636</t>
        </is>
      </c>
      <c r="D677" s="2" t="inlineStr">
        <is>
          <t>P0017</t>
        </is>
      </c>
      <c r="E677" s="2" t="inlineStr">
        <is>
          <t>Jeans</t>
        </is>
      </c>
      <c r="F677" s="2" t="inlineStr">
        <is>
          <t>Fashion</t>
        </is>
      </c>
      <c r="G677" s="2" t="inlineStr">
        <is>
          <t>North</t>
        </is>
      </c>
      <c r="H677" s="2" t="inlineStr">
        <is>
          <t>Delhi</t>
        </is>
      </c>
      <c r="I677" s="2" t="inlineStr">
        <is>
          <t>New Delhi</t>
        </is>
      </c>
      <c r="J677" s="2" t="inlineStr">
        <is>
          <t>Online</t>
        </is>
      </c>
      <c r="K677" s="2" t="n">
        <v>2</v>
      </c>
      <c r="L677" s="3" t="n">
        <v>1544.85</v>
      </c>
      <c r="M677" s="4" t="n">
        <v>0.15</v>
      </c>
      <c r="N677" s="3" t="n">
        <v>2013.66</v>
      </c>
      <c r="O677" s="3">
        <f>K677*L677*(1-M677)</f>
        <v/>
      </c>
      <c r="P677" s="3">
        <f>O677-N677</f>
        <v/>
      </c>
      <c r="Q677" s="5">
        <f>IFERROR(P677/O677,0)</f>
        <v/>
      </c>
      <c r="R677" s="2">
        <f>TEXT(DATEVALUE(B677),"mmm")</f>
        <v/>
      </c>
      <c r="S677" s="2">
        <f>TEXT(DATEVALUE(B677),"yyyy-mm")</f>
        <v/>
      </c>
    </row>
    <row r="678">
      <c r="A678" s="2" t="inlineStr">
        <is>
          <t>O004984</t>
        </is>
      </c>
      <c r="B678" s="2" t="inlineStr">
        <is>
          <t>2025-02-19</t>
        </is>
      </c>
      <c r="C678" s="2" t="inlineStr">
        <is>
          <t>C0330</t>
        </is>
      </c>
      <c r="D678" s="2" t="inlineStr">
        <is>
          <t>P0022</t>
        </is>
      </c>
      <c r="E678" s="2" t="inlineStr">
        <is>
          <t>Face Wash</t>
        </is>
      </c>
      <c r="F678" s="2" t="inlineStr">
        <is>
          <t>Beauty</t>
        </is>
      </c>
      <c r="G678" s="2" t="inlineStr">
        <is>
          <t>East</t>
        </is>
      </c>
      <c r="H678" s="2" t="inlineStr">
        <is>
          <t>Bihar</t>
        </is>
      </c>
      <c r="I678" s="2" t="inlineStr">
        <is>
          <t>Patna</t>
        </is>
      </c>
      <c r="J678" s="2" t="inlineStr">
        <is>
          <t>Online</t>
        </is>
      </c>
      <c r="K678" s="2" t="n">
        <v>5</v>
      </c>
      <c r="L678" s="3" t="n">
        <v>573.39</v>
      </c>
      <c r="M678" s="4" t="n">
        <v>0.15</v>
      </c>
      <c r="N678" s="3" t="n">
        <v>1763.04</v>
      </c>
      <c r="O678" s="3">
        <f>K678*L678*(1-M678)</f>
        <v/>
      </c>
      <c r="P678" s="3">
        <f>O678-N678</f>
        <v/>
      </c>
      <c r="Q678" s="5">
        <f>IFERROR(P678/O678,0)</f>
        <v/>
      </c>
      <c r="R678" s="2">
        <f>TEXT(DATEVALUE(B678),"mmm")</f>
        <v/>
      </c>
      <c r="S678" s="2">
        <f>TEXT(DATEVALUE(B678),"yyyy-mm")</f>
        <v/>
      </c>
    </row>
    <row r="679">
      <c r="A679" s="2" t="inlineStr">
        <is>
          <t>O002289</t>
        </is>
      </c>
      <c r="B679" s="2" t="inlineStr">
        <is>
          <t>2025-02-19</t>
        </is>
      </c>
      <c r="C679" s="2" t="inlineStr">
        <is>
          <t>C0597</t>
        </is>
      </c>
      <c r="D679" s="2" t="inlineStr">
        <is>
          <t>P0012</t>
        </is>
      </c>
      <c r="E679" s="2" t="inlineStr">
        <is>
          <t>Water Bottle</t>
        </is>
      </c>
      <c r="F679" s="2" t="inlineStr">
        <is>
          <t>Home &amp; Kitchen</t>
        </is>
      </c>
      <c r="G679" s="2" t="inlineStr">
        <is>
          <t>North</t>
        </is>
      </c>
      <c r="H679" s="2" t="inlineStr">
        <is>
          <t>Uttar Pradesh</t>
        </is>
      </c>
      <c r="I679" s="2" t="inlineStr">
        <is>
          <t>Kanpur</t>
        </is>
      </c>
      <c r="J679" s="2" t="inlineStr">
        <is>
          <t>Store</t>
        </is>
      </c>
      <c r="K679" s="2" t="n">
        <v>4</v>
      </c>
      <c r="L679" s="3" t="n">
        <v>989.98</v>
      </c>
      <c r="M679" s="4" t="n">
        <v>0</v>
      </c>
      <c r="N679" s="3" t="n">
        <v>2509.44</v>
      </c>
      <c r="O679" s="3">
        <f>K679*L679*(1-M679)</f>
        <v/>
      </c>
      <c r="P679" s="3">
        <f>O679-N679</f>
        <v/>
      </c>
      <c r="Q679" s="5">
        <f>IFERROR(P679/O679,0)</f>
        <v/>
      </c>
      <c r="R679" s="2">
        <f>TEXT(DATEVALUE(B679),"mmm")</f>
        <v/>
      </c>
      <c r="S679" s="2">
        <f>TEXT(DATEVALUE(B679),"yyyy-mm")</f>
        <v/>
      </c>
    </row>
    <row r="680">
      <c r="A680" s="2" t="inlineStr">
        <is>
          <t>O002218</t>
        </is>
      </c>
      <c r="B680" s="2" t="inlineStr">
        <is>
          <t>2025-02-19</t>
        </is>
      </c>
      <c r="C680" s="2" t="inlineStr">
        <is>
          <t>C0314</t>
        </is>
      </c>
      <c r="D680" s="2" t="inlineStr">
        <is>
          <t>P0014</t>
        </is>
      </c>
      <c r="E680" s="2" t="inlineStr">
        <is>
          <t>Coffee Maker</t>
        </is>
      </c>
      <c r="F680" s="2" t="inlineStr">
        <is>
          <t>Home &amp; Kitchen</t>
        </is>
      </c>
      <c r="G680" s="2" t="inlineStr">
        <is>
          <t>North</t>
        </is>
      </c>
      <c r="H680" s="2" t="inlineStr">
        <is>
          <t>Punjab</t>
        </is>
      </c>
      <c r="I680" s="2" t="inlineStr">
        <is>
          <t>Amritsar</t>
        </is>
      </c>
      <c r="J680" s="2" t="inlineStr">
        <is>
          <t>Online</t>
        </is>
      </c>
      <c r="K680" s="2" t="n">
        <v>1</v>
      </c>
      <c r="L680" s="3" t="n">
        <v>1071.93</v>
      </c>
      <c r="M680" s="4" t="n">
        <v>0.15</v>
      </c>
      <c r="N680" s="3" t="n">
        <v>769.03</v>
      </c>
      <c r="O680" s="3">
        <f>K680*L680*(1-M680)</f>
        <v/>
      </c>
      <c r="P680" s="3">
        <f>O680-N680</f>
        <v/>
      </c>
      <c r="Q680" s="5">
        <f>IFERROR(P680/O680,0)</f>
        <v/>
      </c>
      <c r="R680" s="2">
        <f>TEXT(DATEVALUE(B680),"mmm")</f>
        <v/>
      </c>
      <c r="S680" s="2">
        <f>TEXT(DATEVALUE(B680),"yyyy-mm")</f>
        <v/>
      </c>
    </row>
    <row r="681">
      <c r="A681" s="2" t="inlineStr">
        <is>
          <t>O001917</t>
        </is>
      </c>
      <c r="B681" s="2" t="inlineStr">
        <is>
          <t>2025-02-19</t>
        </is>
      </c>
      <c r="C681" s="2" t="inlineStr">
        <is>
          <t>C0169</t>
        </is>
      </c>
      <c r="D681" s="2" t="inlineStr">
        <is>
          <t>P0009</t>
        </is>
      </c>
      <c r="E681" s="2" t="inlineStr">
        <is>
          <t>Electric Kettle</t>
        </is>
      </c>
      <c r="F681" s="2" t="inlineStr">
        <is>
          <t>Home &amp; Kitchen</t>
        </is>
      </c>
      <c r="G681" s="2" t="inlineStr">
        <is>
          <t>West</t>
        </is>
      </c>
      <c r="H681" s="2" t="inlineStr">
        <is>
          <t>Goa</t>
        </is>
      </c>
      <c r="I681" s="2" t="inlineStr">
        <is>
          <t>Panaji</t>
        </is>
      </c>
      <c r="J681" s="2" t="inlineStr">
        <is>
          <t>Online</t>
        </is>
      </c>
      <c r="K681" s="2" t="n">
        <v>4</v>
      </c>
      <c r="L681" s="3" t="n">
        <v>2129.28</v>
      </c>
      <c r="M681" s="4" t="n">
        <v>0.1</v>
      </c>
      <c r="N681" s="3" t="n">
        <v>4636.29</v>
      </c>
      <c r="O681" s="3">
        <f>K681*L681*(1-M681)</f>
        <v/>
      </c>
      <c r="P681" s="3">
        <f>O681-N681</f>
        <v/>
      </c>
      <c r="Q681" s="5">
        <f>IFERROR(P681/O681,0)</f>
        <v/>
      </c>
      <c r="R681" s="2">
        <f>TEXT(DATEVALUE(B681),"mmm")</f>
        <v/>
      </c>
      <c r="S681" s="2">
        <f>TEXT(DATEVALUE(B681),"yyyy-mm")</f>
        <v/>
      </c>
    </row>
    <row r="682">
      <c r="A682" s="2" t="inlineStr">
        <is>
          <t>O001769</t>
        </is>
      </c>
      <c r="B682" s="2" t="inlineStr">
        <is>
          <t>2025-02-19</t>
        </is>
      </c>
      <c r="C682" s="2" t="inlineStr">
        <is>
          <t>C0734</t>
        </is>
      </c>
      <c r="D682" s="2" t="inlineStr">
        <is>
          <t>P0003</t>
        </is>
      </c>
      <c r="E682" s="2" t="inlineStr">
        <is>
          <t>Smartwatch</t>
        </is>
      </c>
      <c r="F682" s="2" t="inlineStr">
        <is>
          <t>Electronics</t>
        </is>
      </c>
      <c r="G682" s="2" t="inlineStr">
        <is>
          <t>East</t>
        </is>
      </c>
      <c r="H682" s="2" t="inlineStr">
        <is>
          <t>Odisha</t>
        </is>
      </c>
      <c r="I682" s="2" t="inlineStr">
        <is>
          <t>Cuttack</t>
        </is>
      </c>
      <c r="J682" s="2" t="inlineStr">
        <is>
          <t>Online</t>
        </is>
      </c>
      <c r="K682" s="2" t="n">
        <v>4</v>
      </c>
      <c r="L682" s="3" t="n">
        <v>2241.3</v>
      </c>
      <c r="M682" s="4" t="n">
        <v>0</v>
      </c>
      <c r="N682" s="3" t="n">
        <v>4771.32</v>
      </c>
      <c r="O682" s="3">
        <f>K682*L682*(1-M682)</f>
        <v/>
      </c>
      <c r="P682" s="3">
        <f>O682-N682</f>
        <v/>
      </c>
      <c r="Q682" s="5">
        <f>IFERROR(P682/O682,0)</f>
        <v/>
      </c>
      <c r="R682" s="2">
        <f>TEXT(DATEVALUE(B682),"mmm")</f>
        <v/>
      </c>
      <c r="S682" s="2">
        <f>TEXT(DATEVALUE(B682),"yyyy-mm")</f>
        <v/>
      </c>
    </row>
    <row r="683">
      <c r="A683" s="2" t="inlineStr">
        <is>
          <t>O000062</t>
        </is>
      </c>
      <c r="B683" s="2" t="inlineStr">
        <is>
          <t>2025-02-19</t>
        </is>
      </c>
      <c r="C683" s="2" t="inlineStr">
        <is>
          <t>C0496</t>
        </is>
      </c>
      <c r="D683" s="2" t="inlineStr">
        <is>
          <t>P0010</t>
        </is>
      </c>
      <c r="E683" s="2" t="inlineStr">
        <is>
          <t>Mixer Grinder</t>
        </is>
      </c>
      <c r="F683" s="2" t="inlineStr">
        <is>
          <t>Home &amp; Kitchen</t>
        </is>
      </c>
      <c r="G683" s="2" t="inlineStr">
        <is>
          <t>North</t>
        </is>
      </c>
      <c r="H683" s="2" t="inlineStr">
        <is>
          <t>Haryana</t>
        </is>
      </c>
      <c r="I683" s="2" t="inlineStr">
        <is>
          <t>Gurugram</t>
        </is>
      </c>
      <c r="J683" s="2" t="inlineStr">
        <is>
          <t>Store</t>
        </is>
      </c>
      <c r="K683" s="2" t="n">
        <v>1</v>
      </c>
      <c r="L683" s="3" t="n">
        <v>1689.8</v>
      </c>
      <c r="M683" s="4" t="n">
        <v>0.05</v>
      </c>
      <c r="N683" s="3" t="n">
        <v>1011.69</v>
      </c>
      <c r="O683" s="3">
        <f>K683*L683*(1-M683)</f>
        <v/>
      </c>
      <c r="P683" s="3">
        <f>O683-N683</f>
        <v/>
      </c>
      <c r="Q683" s="5">
        <f>IFERROR(P683/O683,0)</f>
        <v/>
      </c>
      <c r="R683" s="2">
        <f>TEXT(DATEVALUE(B683),"mmm")</f>
        <v/>
      </c>
      <c r="S683" s="2">
        <f>TEXT(DATEVALUE(B683),"yyyy-mm")</f>
        <v/>
      </c>
    </row>
    <row r="684">
      <c r="A684" s="2" t="inlineStr">
        <is>
          <t>O002649</t>
        </is>
      </c>
      <c r="B684" s="2" t="inlineStr">
        <is>
          <t>2025-02-19</t>
        </is>
      </c>
      <c r="C684" s="2" t="inlineStr">
        <is>
          <t>C0639</t>
        </is>
      </c>
      <c r="D684" s="2" t="inlineStr">
        <is>
          <t>P0028</t>
        </is>
      </c>
      <c r="E684" s="2" t="inlineStr">
        <is>
          <t>Trimmer</t>
        </is>
      </c>
      <c r="F684" s="2" t="inlineStr">
        <is>
          <t>Beauty</t>
        </is>
      </c>
      <c r="G684" s="2" t="inlineStr">
        <is>
          <t>West</t>
        </is>
      </c>
      <c r="H684" s="2" t="inlineStr">
        <is>
          <t>Gujarat</t>
        </is>
      </c>
      <c r="I684" s="2" t="inlineStr">
        <is>
          <t>Surat</t>
        </is>
      </c>
      <c r="J684" s="2" t="inlineStr">
        <is>
          <t>Store</t>
        </is>
      </c>
      <c r="K684" s="2" t="n">
        <v>1</v>
      </c>
      <c r="L684" s="3" t="n">
        <v>436.43</v>
      </c>
      <c r="M684" s="4" t="n">
        <v>0</v>
      </c>
      <c r="N684" s="3" t="n">
        <v>254.88</v>
      </c>
      <c r="O684" s="3">
        <f>K684*L684*(1-M684)</f>
        <v/>
      </c>
      <c r="P684" s="3">
        <f>O684-N684</f>
        <v/>
      </c>
      <c r="Q684" s="5">
        <f>IFERROR(P684/O684,0)</f>
        <v/>
      </c>
      <c r="R684" s="2">
        <f>TEXT(DATEVALUE(B684),"mmm")</f>
        <v/>
      </c>
      <c r="S684" s="2">
        <f>TEXT(DATEVALUE(B684),"yyyy-mm")</f>
        <v/>
      </c>
    </row>
    <row r="685">
      <c r="A685" s="2" t="inlineStr">
        <is>
          <t>O004873</t>
        </is>
      </c>
      <c r="B685" s="2" t="inlineStr">
        <is>
          <t>2025-02-20</t>
        </is>
      </c>
      <c r="C685" s="2" t="inlineStr">
        <is>
          <t>C0712</t>
        </is>
      </c>
      <c r="D685" s="2" t="inlineStr">
        <is>
          <t>P0014</t>
        </is>
      </c>
      <c r="E685" s="2" t="inlineStr">
        <is>
          <t>Coffee Maker</t>
        </is>
      </c>
      <c r="F685" s="2" t="inlineStr">
        <is>
          <t>Home &amp; Kitchen</t>
        </is>
      </c>
      <c r="G685" s="2" t="inlineStr">
        <is>
          <t>West</t>
        </is>
      </c>
      <c r="H685" s="2" t="inlineStr">
        <is>
          <t>Maharashtra</t>
        </is>
      </c>
      <c r="I685" s="2" t="inlineStr">
        <is>
          <t>Pune</t>
        </is>
      </c>
      <c r="J685" s="2" t="inlineStr">
        <is>
          <t>Store</t>
        </is>
      </c>
      <c r="K685" s="2" t="n">
        <v>2</v>
      </c>
      <c r="L685" s="3" t="n">
        <v>1022.84</v>
      </c>
      <c r="M685" s="4" t="n">
        <v>0</v>
      </c>
      <c r="N685" s="3" t="n">
        <v>1527.04</v>
      </c>
      <c r="O685" s="3">
        <f>K685*L685*(1-M685)</f>
        <v/>
      </c>
      <c r="P685" s="3">
        <f>O685-N685</f>
        <v/>
      </c>
      <c r="Q685" s="5">
        <f>IFERROR(P685/O685,0)</f>
        <v/>
      </c>
      <c r="R685" s="2">
        <f>TEXT(DATEVALUE(B685),"mmm")</f>
        <v/>
      </c>
      <c r="S685" s="2">
        <f>TEXT(DATEVALUE(B685),"yyyy-mm")</f>
        <v/>
      </c>
    </row>
    <row r="686">
      <c r="A686" s="2" t="inlineStr">
        <is>
          <t>O004183</t>
        </is>
      </c>
      <c r="B686" s="2" t="inlineStr">
        <is>
          <t>2025-02-20</t>
        </is>
      </c>
      <c r="C686" s="2" t="inlineStr">
        <is>
          <t>C0049</t>
        </is>
      </c>
      <c r="D686" s="2" t="inlineStr">
        <is>
          <t>P0017</t>
        </is>
      </c>
      <c r="E686" s="2" t="inlineStr">
        <is>
          <t>Jeans</t>
        </is>
      </c>
      <c r="F686" s="2" t="inlineStr">
        <is>
          <t>Fashion</t>
        </is>
      </c>
      <c r="G686" s="2" t="inlineStr">
        <is>
          <t>North</t>
        </is>
      </c>
      <c r="H686" s="2" t="inlineStr">
        <is>
          <t>Uttar Pradesh</t>
        </is>
      </c>
      <c r="I686" s="2" t="inlineStr">
        <is>
          <t>Varanasi</t>
        </is>
      </c>
      <c r="J686" s="2" t="inlineStr">
        <is>
          <t>Online</t>
        </is>
      </c>
      <c r="K686" s="2" t="n">
        <v>2</v>
      </c>
      <c r="L686" s="3" t="n">
        <v>1491.67</v>
      </c>
      <c r="M686" s="4" t="n">
        <v>0.05</v>
      </c>
      <c r="N686" s="3" t="n">
        <v>2045.22</v>
      </c>
      <c r="O686" s="3">
        <f>K686*L686*(1-M686)</f>
        <v/>
      </c>
      <c r="P686" s="3">
        <f>O686-N686</f>
        <v/>
      </c>
      <c r="Q686" s="5">
        <f>IFERROR(P686/O686,0)</f>
        <v/>
      </c>
      <c r="R686" s="2">
        <f>TEXT(DATEVALUE(B686),"mmm")</f>
        <v/>
      </c>
      <c r="S686" s="2">
        <f>TEXT(DATEVALUE(B686),"yyyy-mm")</f>
        <v/>
      </c>
    </row>
    <row r="687">
      <c r="A687" s="2" t="inlineStr">
        <is>
          <t>O003450</t>
        </is>
      </c>
      <c r="B687" s="2" t="inlineStr">
        <is>
          <t>2025-02-20</t>
        </is>
      </c>
      <c r="C687" s="2" t="inlineStr">
        <is>
          <t>C0583</t>
        </is>
      </c>
      <c r="D687" s="2" t="inlineStr">
        <is>
          <t>P0019</t>
        </is>
      </c>
      <c r="E687" s="2" t="inlineStr">
        <is>
          <t>Jacket</t>
        </is>
      </c>
      <c r="F687" s="2" t="inlineStr">
        <is>
          <t>Fashion</t>
        </is>
      </c>
      <c r="G687" s="2" t="inlineStr">
        <is>
          <t>West</t>
        </is>
      </c>
      <c r="H687" s="2" t="inlineStr">
        <is>
          <t>Goa</t>
        </is>
      </c>
      <c r="I687" s="2" t="inlineStr">
        <is>
          <t>Margao</t>
        </is>
      </c>
      <c r="J687" s="2" t="inlineStr">
        <is>
          <t>Store</t>
        </is>
      </c>
      <c r="K687" s="2" t="n">
        <v>4</v>
      </c>
      <c r="L687" s="3" t="n">
        <v>1065.65</v>
      </c>
      <c r="M687" s="4" t="n">
        <v>0.1</v>
      </c>
      <c r="N687" s="3" t="n">
        <v>2679.35</v>
      </c>
      <c r="O687" s="3">
        <f>K687*L687*(1-M687)</f>
        <v/>
      </c>
      <c r="P687" s="3">
        <f>O687-N687</f>
        <v/>
      </c>
      <c r="Q687" s="5">
        <f>IFERROR(P687/O687,0)</f>
        <v/>
      </c>
      <c r="R687" s="2">
        <f>TEXT(DATEVALUE(B687),"mmm")</f>
        <v/>
      </c>
      <c r="S687" s="2">
        <f>TEXT(DATEVALUE(B687),"yyyy-mm")</f>
        <v/>
      </c>
    </row>
    <row r="688">
      <c r="A688" s="2" t="inlineStr">
        <is>
          <t>O003412</t>
        </is>
      </c>
      <c r="B688" s="2" t="inlineStr">
        <is>
          <t>2025-02-20</t>
        </is>
      </c>
      <c r="C688" s="2" t="inlineStr">
        <is>
          <t>C0478</t>
        </is>
      </c>
      <c r="D688" s="2" t="inlineStr">
        <is>
          <t>P0008</t>
        </is>
      </c>
      <c r="E688" s="2" t="inlineStr">
        <is>
          <t>Air Fryer</t>
        </is>
      </c>
      <c r="F688" s="2" t="inlineStr">
        <is>
          <t>Home &amp; Kitchen</t>
        </is>
      </c>
      <c r="G688" s="2" t="inlineStr">
        <is>
          <t>North</t>
        </is>
      </c>
      <c r="H688" s="2" t="inlineStr">
        <is>
          <t>Delhi</t>
        </is>
      </c>
      <c r="I688" s="2" t="inlineStr">
        <is>
          <t>New Delhi</t>
        </is>
      </c>
      <c r="J688" s="2" t="inlineStr">
        <is>
          <t>Online</t>
        </is>
      </c>
      <c r="K688" s="2" t="n">
        <v>1</v>
      </c>
      <c r="L688" s="3" t="n">
        <v>1079.1</v>
      </c>
      <c r="M688" s="4" t="n">
        <v>0.05</v>
      </c>
      <c r="N688" s="3" t="n">
        <v>676.35</v>
      </c>
      <c r="O688" s="3">
        <f>K688*L688*(1-M688)</f>
        <v/>
      </c>
      <c r="P688" s="3">
        <f>O688-N688</f>
        <v/>
      </c>
      <c r="Q688" s="5">
        <f>IFERROR(P688/O688,0)</f>
        <v/>
      </c>
      <c r="R688" s="2">
        <f>TEXT(DATEVALUE(B688),"mmm")</f>
        <v/>
      </c>
      <c r="S688" s="2">
        <f>TEXT(DATEVALUE(B688),"yyyy-mm")</f>
        <v/>
      </c>
    </row>
    <row r="689">
      <c r="A689" s="2" t="inlineStr">
        <is>
          <t>O003322</t>
        </is>
      </c>
      <c r="B689" s="2" t="inlineStr">
        <is>
          <t>2025-02-20</t>
        </is>
      </c>
      <c r="C689" s="2" t="inlineStr">
        <is>
          <t>C0351</t>
        </is>
      </c>
      <c r="D689" s="2" t="inlineStr">
        <is>
          <t>P0011</t>
        </is>
      </c>
      <c r="E689" s="2" t="inlineStr">
        <is>
          <t>Cookware Set</t>
        </is>
      </c>
      <c r="F689" s="2" t="inlineStr">
        <is>
          <t>Home &amp; Kitchen</t>
        </is>
      </c>
      <c r="G689" s="2" t="inlineStr">
        <is>
          <t>West</t>
        </is>
      </c>
      <c r="H689" s="2" t="inlineStr">
        <is>
          <t>Gujarat</t>
        </is>
      </c>
      <c r="I689" s="2" t="inlineStr">
        <is>
          <t>Surat</t>
        </is>
      </c>
      <c r="J689" s="2" t="inlineStr">
        <is>
          <t>Online</t>
        </is>
      </c>
      <c r="K689" s="2" t="n">
        <v>1</v>
      </c>
      <c r="L689" s="3" t="n">
        <v>713.8099999999999</v>
      </c>
      <c r="M689" s="4" t="n">
        <v>0.05</v>
      </c>
      <c r="N689" s="3" t="n">
        <v>461.63</v>
      </c>
      <c r="O689" s="3">
        <f>K689*L689*(1-M689)</f>
        <v/>
      </c>
      <c r="P689" s="3">
        <f>O689-N689</f>
        <v/>
      </c>
      <c r="Q689" s="5">
        <f>IFERROR(P689/O689,0)</f>
        <v/>
      </c>
      <c r="R689" s="2">
        <f>TEXT(DATEVALUE(B689),"mmm")</f>
        <v/>
      </c>
      <c r="S689" s="2">
        <f>TEXT(DATEVALUE(B689),"yyyy-mm")</f>
        <v/>
      </c>
    </row>
    <row r="690">
      <c r="A690" s="2" t="inlineStr">
        <is>
          <t>O002801</t>
        </is>
      </c>
      <c r="B690" s="2" t="inlineStr">
        <is>
          <t>2025-02-20</t>
        </is>
      </c>
      <c r="C690" s="2" t="inlineStr">
        <is>
          <t>C0495</t>
        </is>
      </c>
      <c r="D690" s="2" t="inlineStr">
        <is>
          <t>P0033</t>
        </is>
      </c>
      <c r="E690" s="2" t="inlineStr">
        <is>
          <t>Resistance Bands</t>
        </is>
      </c>
      <c r="F690" s="2" t="inlineStr">
        <is>
          <t>Sports</t>
        </is>
      </c>
      <c r="G690" s="2" t="inlineStr">
        <is>
          <t>East</t>
        </is>
      </c>
      <c r="H690" s="2" t="inlineStr">
        <is>
          <t>Bihar</t>
        </is>
      </c>
      <c r="I690" s="2" t="inlineStr">
        <is>
          <t>Gaya</t>
        </is>
      </c>
      <c r="J690" s="2" t="inlineStr">
        <is>
          <t>Online</t>
        </is>
      </c>
      <c r="K690" s="2" t="n">
        <v>3</v>
      </c>
      <c r="L690" s="3" t="n">
        <v>1141.49</v>
      </c>
      <c r="M690" s="4" t="n">
        <v>0</v>
      </c>
      <c r="N690" s="3" t="n">
        <v>2397.04</v>
      </c>
      <c r="O690" s="3">
        <f>K690*L690*(1-M690)</f>
        <v/>
      </c>
      <c r="P690" s="3">
        <f>O690-N690</f>
        <v/>
      </c>
      <c r="Q690" s="5">
        <f>IFERROR(P690/O690,0)</f>
        <v/>
      </c>
      <c r="R690" s="2">
        <f>TEXT(DATEVALUE(B690),"mmm")</f>
        <v/>
      </c>
      <c r="S690" s="2">
        <f>TEXT(DATEVALUE(B690),"yyyy-mm")</f>
        <v/>
      </c>
    </row>
    <row r="691">
      <c r="A691" s="2" t="inlineStr">
        <is>
          <t>O002561</t>
        </is>
      </c>
      <c r="B691" s="2" t="inlineStr">
        <is>
          <t>2025-02-20</t>
        </is>
      </c>
      <c r="C691" s="2" t="inlineStr">
        <is>
          <t>C0071</t>
        </is>
      </c>
      <c r="D691" s="2" t="inlineStr">
        <is>
          <t>P0009</t>
        </is>
      </c>
      <c r="E691" s="2" t="inlineStr">
        <is>
          <t>Electric Kettle</t>
        </is>
      </c>
      <c r="F691" s="2" t="inlineStr">
        <is>
          <t>Home &amp; Kitchen</t>
        </is>
      </c>
      <c r="G691" s="2" t="inlineStr">
        <is>
          <t>South</t>
        </is>
      </c>
      <c r="H691" s="2" t="inlineStr">
        <is>
          <t>Tamil Nadu</t>
        </is>
      </c>
      <c r="I691" s="2" t="inlineStr">
        <is>
          <t>Coimbatore</t>
        </is>
      </c>
      <c r="J691" s="2" t="inlineStr">
        <is>
          <t>Store</t>
        </is>
      </c>
      <c r="K691" s="2" t="n">
        <v>3</v>
      </c>
      <c r="L691" s="3" t="n">
        <v>2178.67</v>
      </c>
      <c r="M691" s="4" t="n">
        <v>0</v>
      </c>
      <c r="N691" s="3" t="n">
        <v>3376.96</v>
      </c>
      <c r="O691" s="3">
        <f>K691*L691*(1-M691)</f>
        <v/>
      </c>
      <c r="P691" s="3">
        <f>O691-N691</f>
        <v/>
      </c>
      <c r="Q691" s="5">
        <f>IFERROR(P691/O691,0)</f>
        <v/>
      </c>
      <c r="R691" s="2">
        <f>TEXT(DATEVALUE(B691),"mmm")</f>
        <v/>
      </c>
      <c r="S691" s="2">
        <f>TEXT(DATEVALUE(B691),"yyyy-mm")</f>
        <v/>
      </c>
    </row>
    <row r="692">
      <c r="A692" s="2" t="inlineStr">
        <is>
          <t>O002155</t>
        </is>
      </c>
      <c r="B692" s="2" t="inlineStr">
        <is>
          <t>2025-02-20</t>
        </is>
      </c>
      <c r="C692" s="2" t="inlineStr">
        <is>
          <t>C0583</t>
        </is>
      </c>
      <c r="D692" s="2" t="inlineStr">
        <is>
          <t>P0011</t>
        </is>
      </c>
      <c r="E692" s="2" t="inlineStr">
        <is>
          <t>Cookware Set</t>
        </is>
      </c>
      <c r="F692" s="2" t="inlineStr">
        <is>
          <t>Home &amp; Kitchen</t>
        </is>
      </c>
      <c r="G692" s="2" t="inlineStr">
        <is>
          <t>North</t>
        </is>
      </c>
      <c r="H692" s="2" t="inlineStr">
        <is>
          <t>Haryana</t>
        </is>
      </c>
      <c r="I692" s="2" t="inlineStr">
        <is>
          <t>Gurugram</t>
        </is>
      </c>
      <c r="J692" s="2" t="inlineStr">
        <is>
          <t>Online</t>
        </is>
      </c>
      <c r="K692" s="2" t="n">
        <v>3</v>
      </c>
      <c r="L692" s="3" t="n">
        <v>732.24</v>
      </c>
      <c r="M692" s="4" t="n">
        <v>0.15</v>
      </c>
      <c r="N692" s="3" t="n">
        <v>1441.48</v>
      </c>
      <c r="O692" s="3">
        <f>K692*L692*(1-M692)</f>
        <v/>
      </c>
      <c r="P692" s="3">
        <f>O692-N692</f>
        <v/>
      </c>
      <c r="Q692" s="5">
        <f>IFERROR(P692/O692,0)</f>
        <v/>
      </c>
      <c r="R692" s="2">
        <f>TEXT(DATEVALUE(B692),"mmm")</f>
        <v/>
      </c>
      <c r="S692" s="2">
        <f>TEXT(DATEVALUE(B692),"yyyy-mm")</f>
        <v/>
      </c>
    </row>
    <row r="693">
      <c r="A693" s="2" t="inlineStr">
        <is>
          <t>O001263</t>
        </is>
      </c>
      <c r="B693" s="2" t="inlineStr">
        <is>
          <t>2025-02-20</t>
        </is>
      </c>
      <c r="C693" s="2" t="inlineStr">
        <is>
          <t>C0494</t>
        </is>
      </c>
      <c r="D693" s="2" t="inlineStr">
        <is>
          <t>P0023</t>
        </is>
      </c>
      <c r="E693" s="2" t="inlineStr">
        <is>
          <t>Skin Care Kit</t>
        </is>
      </c>
      <c r="F693" s="2" t="inlineStr">
        <is>
          <t>Beauty</t>
        </is>
      </c>
      <c r="G693" s="2" t="inlineStr">
        <is>
          <t>West</t>
        </is>
      </c>
      <c r="H693" s="2" t="inlineStr">
        <is>
          <t>Maharashtra</t>
        </is>
      </c>
      <c r="I693" s="2" t="inlineStr">
        <is>
          <t>Thane</t>
        </is>
      </c>
      <c r="J693" s="2" t="inlineStr">
        <is>
          <t>Store</t>
        </is>
      </c>
      <c r="K693" s="2" t="n">
        <v>3</v>
      </c>
      <c r="L693" s="3" t="n">
        <v>1431.22</v>
      </c>
      <c r="M693" s="4" t="n">
        <v>0.25</v>
      </c>
      <c r="N693" s="3" t="n">
        <v>2722.62</v>
      </c>
      <c r="O693" s="3">
        <f>K693*L693*(1-M693)</f>
        <v/>
      </c>
      <c r="P693" s="3">
        <f>O693-N693</f>
        <v/>
      </c>
      <c r="Q693" s="5">
        <f>IFERROR(P693/O693,0)</f>
        <v/>
      </c>
      <c r="R693" s="2">
        <f>TEXT(DATEVALUE(B693),"mmm")</f>
        <v/>
      </c>
      <c r="S693" s="2">
        <f>TEXT(DATEVALUE(B693),"yyyy-mm")</f>
        <v/>
      </c>
    </row>
    <row r="694">
      <c r="A694" s="2" t="inlineStr">
        <is>
          <t>O000841</t>
        </is>
      </c>
      <c r="B694" s="2" t="inlineStr">
        <is>
          <t>2025-02-20</t>
        </is>
      </c>
      <c r="C694" s="2" t="inlineStr">
        <is>
          <t>C0004</t>
        </is>
      </c>
      <c r="D694" s="2" t="inlineStr">
        <is>
          <t>P0002</t>
        </is>
      </c>
      <c r="E694" s="2" t="inlineStr">
        <is>
          <t>Bluetooth Speaker</t>
        </is>
      </c>
      <c r="F694" s="2" t="inlineStr">
        <is>
          <t>Electronics</t>
        </is>
      </c>
      <c r="G694" s="2" t="inlineStr">
        <is>
          <t>West</t>
        </is>
      </c>
      <c r="H694" s="2" t="inlineStr">
        <is>
          <t>Goa</t>
        </is>
      </c>
      <c r="I694" s="2" t="inlineStr">
        <is>
          <t>Panaji</t>
        </is>
      </c>
      <c r="J694" s="2" t="inlineStr">
        <is>
          <t>Online</t>
        </is>
      </c>
      <c r="K694" s="2" t="n">
        <v>1</v>
      </c>
      <c r="L694" s="3" t="n">
        <v>1355.46</v>
      </c>
      <c r="M694" s="4" t="n">
        <v>0.1</v>
      </c>
      <c r="N694" s="3" t="n">
        <v>814.38</v>
      </c>
      <c r="O694" s="3">
        <f>K694*L694*(1-M694)</f>
        <v/>
      </c>
      <c r="P694" s="3">
        <f>O694-N694</f>
        <v/>
      </c>
      <c r="Q694" s="5">
        <f>IFERROR(P694/O694,0)</f>
        <v/>
      </c>
      <c r="R694" s="2">
        <f>TEXT(DATEVALUE(B694),"mmm")</f>
        <v/>
      </c>
      <c r="S694" s="2">
        <f>TEXT(DATEVALUE(B694),"yyyy-mm")</f>
        <v/>
      </c>
    </row>
    <row r="695">
      <c r="A695" s="2" t="inlineStr">
        <is>
          <t>O000805</t>
        </is>
      </c>
      <c r="B695" s="2" t="inlineStr">
        <is>
          <t>2025-02-20</t>
        </is>
      </c>
      <c r="C695" s="2" t="inlineStr">
        <is>
          <t>C0583</t>
        </is>
      </c>
      <c r="D695" s="2" t="inlineStr">
        <is>
          <t>P0013</t>
        </is>
      </c>
      <c r="E695" s="2" t="inlineStr">
        <is>
          <t>Storage Organizer</t>
        </is>
      </c>
      <c r="F695" s="2" t="inlineStr">
        <is>
          <t>Home &amp; Kitchen</t>
        </is>
      </c>
      <c r="G695" s="2" t="inlineStr">
        <is>
          <t>North</t>
        </is>
      </c>
      <c r="H695" s="2" t="inlineStr">
        <is>
          <t>Delhi</t>
        </is>
      </c>
      <c r="I695" s="2" t="inlineStr">
        <is>
          <t>New Delhi</t>
        </is>
      </c>
      <c r="J695" s="2" t="inlineStr">
        <is>
          <t>Online</t>
        </is>
      </c>
      <c r="K695" s="2" t="n">
        <v>3</v>
      </c>
      <c r="L695" s="3" t="n">
        <v>561.28</v>
      </c>
      <c r="M695" s="4" t="n">
        <v>0.05</v>
      </c>
      <c r="N695" s="3" t="n">
        <v>1115.77</v>
      </c>
      <c r="O695" s="3">
        <f>K695*L695*(1-M695)</f>
        <v/>
      </c>
      <c r="P695" s="3">
        <f>O695-N695</f>
        <v/>
      </c>
      <c r="Q695" s="5">
        <f>IFERROR(P695/O695,0)</f>
        <v/>
      </c>
      <c r="R695" s="2">
        <f>TEXT(DATEVALUE(B695),"mmm")</f>
        <v/>
      </c>
      <c r="S695" s="2">
        <f>TEXT(DATEVALUE(B695),"yyyy-mm")</f>
        <v/>
      </c>
    </row>
    <row r="696">
      <c r="A696" s="2" t="inlineStr">
        <is>
          <t>O000757</t>
        </is>
      </c>
      <c r="B696" s="2" t="inlineStr">
        <is>
          <t>2025-02-20</t>
        </is>
      </c>
      <c r="C696" s="2" t="inlineStr">
        <is>
          <t>C0652</t>
        </is>
      </c>
      <c r="D696" s="2" t="inlineStr">
        <is>
          <t>P0008</t>
        </is>
      </c>
      <c r="E696" s="2" t="inlineStr">
        <is>
          <t>Air Fryer</t>
        </is>
      </c>
      <c r="F696" s="2" t="inlineStr">
        <is>
          <t>Home &amp; Kitchen</t>
        </is>
      </c>
      <c r="G696" s="2" t="inlineStr">
        <is>
          <t>North</t>
        </is>
      </c>
      <c r="H696" s="2" t="inlineStr">
        <is>
          <t>Haryana</t>
        </is>
      </c>
      <c r="I696" s="2" t="inlineStr">
        <is>
          <t>Gurugram</t>
        </is>
      </c>
      <c r="J696" s="2" t="inlineStr">
        <is>
          <t>Online</t>
        </is>
      </c>
      <c r="K696" s="2" t="n">
        <v>1</v>
      </c>
      <c r="L696" s="3" t="n">
        <v>1006.93</v>
      </c>
      <c r="M696" s="4" t="n">
        <v>0.05</v>
      </c>
      <c r="N696" s="3" t="n">
        <v>660.4</v>
      </c>
      <c r="O696" s="3">
        <f>K696*L696*(1-M696)</f>
        <v/>
      </c>
      <c r="P696" s="3">
        <f>O696-N696</f>
        <v/>
      </c>
      <c r="Q696" s="5">
        <f>IFERROR(P696/O696,0)</f>
        <v/>
      </c>
      <c r="R696" s="2">
        <f>TEXT(DATEVALUE(B696),"mmm")</f>
        <v/>
      </c>
      <c r="S696" s="2">
        <f>TEXT(DATEVALUE(B696),"yyyy-mm")</f>
        <v/>
      </c>
    </row>
    <row r="697">
      <c r="A697" s="2" t="inlineStr">
        <is>
          <t>O000395</t>
        </is>
      </c>
      <c r="B697" s="2" t="inlineStr">
        <is>
          <t>2025-02-20</t>
        </is>
      </c>
      <c r="C697" s="2" t="inlineStr">
        <is>
          <t>C0750</t>
        </is>
      </c>
      <c r="D697" s="2" t="inlineStr">
        <is>
          <t>P0028</t>
        </is>
      </c>
      <c r="E697" s="2" t="inlineStr">
        <is>
          <t>Trimmer</t>
        </is>
      </c>
      <c r="F697" s="2" t="inlineStr">
        <is>
          <t>Beauty</t>
        </is>
      </c>
      <c r="G697" s="2" t="inlineStr">
        <is>
          <t>West</t>
        </is>
      </c>
      <c r="H697" s="2" t="inlineStr">
        <is>
          <t>Gujarat</t>
        </is>
      </c>
      <c r="I697" s="2" t="inlineStr">
        <is>
          <t>Ahmedabad</t>
        </is>
      </c>
      <c r="J697" s="2" t="inlineStr">
        <is>
          <t>Online</t>
        </is>
      </c>
      <c r="K697" s="2" t="n">
        <v>3</v>
      </c>
      <c r="L697" s="3" t="n">
        <v>456.86</v>
      </c>
      <c r="M697" s="4" t="n">
        <v>0.15</v>
      </c>
      <c r="N697" s="3" t="n">
        <v>774.8099999999999</v>
      </c>
      <c r="O697" s="3">
        <f>K697*L697*(1-M697)</f>
        <v/>
      </c>
      <c r="P697" s="3">
        <f>O697-N697</f>
        <v/>
      </c>
      <c r="Q697" s="5">
        <f>IFERROR(P697/O697,0)</f>
        <v/>
      </c>
      <c r="R697" s="2">
        <f>TEXT(DATEVALUE(B697),"mmm")</f>
        <v/>
      </c>
      <c r="S697" s="2">
        <f>TEXT(DATEVALUE(B697),"yyyy-mm")</f>
        <v/>
      </c>
    </row>
    <row r="698">
      <c r="A698" s="2" t="inlineStr">
        <is>
          <t>O000314</t>
        </is>
      </c>
      <c r="B698" s="2" t="inlineStr">
        <is>
          <t>2025-02-20</t>
        </is>
      </c>
      <c r="C698" s="2" t="inlineStr">
        <is>
          <t>C0349</t>
        </is>
      </c>
      <c r="D698" s="2" t="inlineStr">
        <is>
          <t>P0002</t>
        </is>
      </c>
      <c r="E698" s="2" t="inlineStr">
        <is>
          <t>Bluetooth Speaker</t>
        </is>
      </c>
      <c r="F698" s="2" t="inlineStr">
        <is>
          <t>Electronics</t>
        </is>
      </c>
      <c r="G698" s="2" t="inlineStr">
        <is>
          <t>East</t>
        </is>
      </c>
      <c r="H698" s="2" t="inlineStr">
        <is>
          <t>West Bengal</t>
        </is>
      </c>
      <c r="I698" s="2" t="inlineStr">
        <is>
          <t>Durgapur</t>
        </is>
      </c>
      <c r="J698" s="2" t="inlineStr">
        <is>
          <t>Online</t>
        </is>
      </c>
      <c r="K698" s="2" t="n">
        <v>2</v>
      </c>
      <c r="L698" s="3" t="n">
        <v>1347.55</v>
      </c>
      <c r="M698" s="4" t="n">
        <v>0</v>
      </c>
      <c r="N698" s="3" t="n">
        <v>1642.73</v>
      </c>
      <c r="O698" s="3">
        <f>K698*L698*(1-M698)</f>
        <v/>
      </c>
      <c r="P698" s="3">
        <f>O698-N698</f>
        <v/>
      </c>
      <c r="Q698" s="5">
        <f>IFERROR(P698/O698,0)</f>
        <v/>
      </c>
      <c r="R698" s="2">
        <f>TEXT(DATEVALUE(B698),"mmm")</f>
        <v/>
      </c>
      <c r="S698" s="2">
        <f>TEXT(DATEVALUE(B698),"yyyy-mm")</f>
        <v/>
      </c>
    </row>
    <row r="699">
      <c r="A699" s="2" t="inlineStr">
        <is>
          <t>O000037</t>
        </is>
      </c>
      <c r="B699" s="2" t="inlineStr">
        <is>
          <t>2025-02-20</t>
        </is>
      </c>
      <c r="C699" s="2" t="inlineStr">
        <is>
          <t>C0750</t>
        </is>
      </c>
      <c r="D699" s="2" t="inlineStr">
        <is>
          <t>P0024</t>
        </is>
      </c>
      <c r="E699" s="2" t="inlineStr">
        <is>
          <t>Hair Dryer</t>
        </is>
      </c>
      <c r="F699" s="2" t="inlineStr">
        <is>
          <t>Beauty</t>
        </is>
      </c>
      <c r="G699" s="2" t="inlineStr">
        <is>
          <t>West</t>
        </is>
      </c>
      <c r="H699" s="2" t="inlineStr">
        <is>
          <t>Gujarat</t>
        </is>
      </c>
      <c r="I699" s="2" t="inlineStr">
        <is>
          <t>Vadodara</t>
        </is>
      </c>
      <c r="J699" s="2" t="inlineStr">
        <is>
          <t>Online</t>
        </is>
      </c>
      <c r="K699" s="2" t="n">
        <v>1</v>
      </c>
      <c r="L699" s="3" t="n">
        <v>1002.1</v>
      </c>
      <c r="M699" s="4" t="n">
        <v>0.05</v>
      </c>
      <c r="N699" s="3" t="n">
        <v>758.73</v>
      </c>
      <c r="O699" s="3">
        <f>K699*L699*(1-M699)</f>
        <v/>
      </c>
      <c r="P699" s="3">
        <f>O699-N699</f>
        <v/>
      </c>
      <c r="Q699" s="5">
        <f>IFERROR(P699/O699,0)</f>
        <v/>
      </c>
      <c r="R699" s="2">
        <f>TEXT(DATEVALUE(B699),"mmm")</f>
        <v/>
      </c>
      <c r="S699" s="2">
        <f>TEXT(DATEVALUE(B699),"yyyy-mm")</f>
        <v/>
      </c>
    </row>
    <row r="700">
      <c r="A700" s="2" t="inlineStr">
        <is>
          <t>O001152</t>
        </is>
      </c>
      <c r="B700" s="2" t="inlineStr">
        <is>
          <t>2025-02-20</t>
        </is>
      </c>
      <c r="C700" s="2" t="inlineStr">
        <is>
          <t>C0266</t>
        </is>
      </c>
      <c r="D700" s="2" t="inlineStr">
        <is>
          <t>P0024</t>
        </is>
      </c>
      <c r="E700" s="2" t="inlineStr">
        <is>
          <t>Hair Dryer</t>
        </is>
      </c>
      <c r="F700" s="2" t="inlineStr">
        <is>
          <t>Beauty</t>
        </is>
      </c>
      <c r="G700" s="2" t="inlineStr">
        <is>
          <t>South</t>
        </is>
      </c>
      <c r="H700" s="2" t="inlineStr">
        <is>
          <t>Telangana</t>
        </is>
      </c>
      <c r="I700" s="2" t="inlineStr">
        <is>
          <t>Warangal</t>
        </is>
      </c>
      <c r="J700" s="2" t="inlineStr">
        <is>
          <t>Store</t>
        </is>
      </c>
      <c r="K700" s="2" t="n">
        <v>2</v>
      </c>
      <c r="L700" s="3" t="n">
        <v>1013.15</v>
      </c>
      <c r="M700" s="4" t="n">
        <v>0.1</v>
      </c>
      <c r="N700" s="3" t="n">
        <v>1446.88</v>
      </c>
      <c r="O700" s="3">
        <f>K700*L700*(1-M700)</f>
        <v/>
      </c>
      <c r="P700" s="3">
        <f>O700-N700</f>
        <v/>
      </c>
      <c r="Q700" s="5">
        <f>IFERROR(P700/O700,0)</f>
        <v/>
      </c>
      <c r="R700" s="2">
        <f>TEXT(DATEVALUE(B700),"mmm")</f>
        <v/>
      </c>
      <c r="S700" s="2">
        <f>TEXT(DATEVALUE(B700),"yyyy-mm")</f>
        <v/>
      </c>
    </row>
    <row r="701">
      <c r="A701" s="2" t="inlineStr">
        <is>
          <t>O003654</t>
        </is>
      </c>
      <c r="B701" s="2" t="inlineStr">
        <is>
          <t>2025-02-21</t>
        </is>
      </c>
      <c r="C701" s="2" t="inlineStr">
        <is>
          <t>C0375</t>
        </is>
      </c>
      <c r="D701" s="2" t="inlineStr">
        <is>
          <t>P0021</t>
        </is>
      </c>
      <c r="E701" s="2" t="inlineStr">
        <is>
          <t>Wallet</t>
        </is>
      </c>
      <c r="F701" s="2" t="inlineStr">
        <is>
          <t>Fashion</t>
        </is>
      </c>
      <c r="G701" s="2" t="inlineStr">
        <is>
          <t>North</t>
        </is>
      </c>
      <c r="H701" s="2" t="inlineStr">
        <is>
          <t>Delhi</t>
        </is>
      </c>
      <c r="I701" s="2" t="inlineStr">
        <is>
          <t>New Delhi</t>
        </is>
      </c>
      <c r="J701" s="2" t="inlineStr">
        <is>
          <t>Online</t>
        </is>
      </c>
      <c r="K701" s="2" t="n">
        <v>2</v>
      </c>
      <c r="L701" s="3" t="n">
        <v>2086.79</v>
      </c>
      <c r="M701" s="4" t="n">
        <v>0</v>
      </c>
      <c r="N701" s="3" t="n">
        <v>2440.16</v>
      </c>
      <c r="O701" s="3">
        <f>K701*L701*(1-M701)</f>
        <v/>
      </c>
      <c r="P701" s="3">
        <f>O701-N701</f>
        <v/>
      </c>
      <c r="Q701" s="5">
        <f>IFERROR(P701/O701,0)</f>
        <v/>
      </c>
      <c r="R701" s="2">
        <f>TEXT(DATEVALUE(B701),"mmm")</f>
        <v/>
      </c>
      <c r="S701" s="2">
        <f>TEXT(DATEVALUE(B701),"yyyy-mm")</f>
        <v/>
      </c>
    </row>
    <row r="702">
      <c r="A702" s="2" t="inlineStr">
        <is>
          <t>O004987</t>
        </is>
      </c>
      <c r="B702" s="2" t="inlineStr">
        <is>
          <t>2025-02-21</t>
        </is>
      </c>
      <c r="C702" s="2" t="inlineStr">
        <is>
          <t>C0404</t>
        </is>
      </c>
      <c r="D702" s="2" t="inlineStr">
        <is>
          <t>P0002</t>
        </is>
      </c>
      <c r="E702" s="2" t="inlineStr">
        <is>
          <t>Bluetooth Speaker</t>
        </is>
      </c>
      <c r="F702" s="2" t="inlineStr">
        <is>
          <t>Electronics</t>
        </is>
      </c>
      <c r="G702" s="2" t="inlineStr">
        <is>
          <t>West</t>
        </is>
      </c>
      <c r="H702" s="2" t="inlineStr">
        <is>
          <t>Goa</t>
        </is>
      </c>
      <c r="I702" s="2" t="inlineStr">
        <is>
          <t>Panaji</t>
        </is>
      </c>
      <c r="J702" s="2" t="inlineStr">
        <is>
          <t>Online</t>
        </is>
      </c>
      <c r="K702" s="2" t="n">
        <v>2</v>
      </c>
      <c r="L702" s="3" t="n">
        <v>1353.17</v>
      </c>
      <c r="M702" s="4" t="n">
        <v>0.1</v>
      </c>
      <c r="N702" s="3" t="n">
        <v>1647.51</v>
      </c>
      <c r="O702" s="3">
        <f>K702*L702*(1-M702)</f>
        <v/>
      </c>
      <c r="P702" s="3">
        <f>O702-N702</f>
        <v/>
      </c>
      <c r="Q702" s="5">
        <f>IFERROR(P702/O702,0)</f>
        <v/>
      </c>
      <c r="R702" s="2">
        <f>TEXT(DATEVALUE(B702),"mmm")</f>
        <v/>
      </c>
      <c r="S702" s="2">
        <f>TEXT(DATEVALUE(B702),"yyyy-mm")</f>
        <v/>
      </c>
    </row>
    <row r="703">
      <c r="A703" s="2" t="inlineStr">
        <is>
          <t>O004518</t>
        </is>
      </c>
      <c r="B703" s="2" t="inlineStr">
        <is>
          <t>2025-02-21</t>
        </is>
      </c>
      <c r="C703" s="2" t="inlineStr">
        <is>
          <t>C0284</t>
        </is>
      </c>
      <c r="D703" s="2" t="inlineStr">
        <is>
          <t>P0016</t>
        </is>
      </c>
      <c r="E703" s="2" t="inlineStr">
        <is>
          <t>Casual Shirt</t>
        </is>
      </c>
      <c r="F703" s="2" t="inlineStr">
        <is>
          <t>Fashion</t>
        </is>
      </c>
      <c r="G703" s="2" t="inlineStr">
        <is>
          <t>West</t>
        </is>
      </c>
      <c r="H703" s="2" t="inlineStr">
        <is>
          <t>Goa</t>
        </is>
      </c>
      <c r="I703" s="2" t="inlineStr">
        <is>
          <t>Margao</t>
        </is>
      </c>
      <c r="J703" s="2" t="inlineStr">
        <is>
          <t>Store</t>
        </is>
      </c>
      <c r="K703" s="2" t="n">
        <v>2</v>
      </c>
      <c r="L703" s="3" t="n">
        <v>1244.86</v>
      </c>
      <c r="M703" s="4" t="n">
        <v>0.05</v>
      </c>
      <c r="N703" s="3" t="n">
        <v>1811.86</v>
      </c>
      <c r="O703" s="3">
        <f>K703*L703*(1-M703)</f>
        <v/>
      </c>
      <c r="P703" s="3">
        <f>O703-N703</f>
        <v/>
      </c>
      <c r="Q703" s="5">
        <f>IFERROR(P703/O703,0)</f>
        <v/>
      </c>
      <c r="R703" s="2">
        <f>TEXT(DATEVALUE(B703),"mmm")</f>
        <v/>
      </c>
      <c r="S703" s="2">
        <f>TEXT(DATEVALUE(B703),"yyyy-mm")</f>
        <v/>
      </c>
    </row>
    <row r="704">
      <c r="A704" s="2" t="inlineStr">
        <is>
          <t>O003897</t>
        </is>
      </c>
      <c r="B704" s="2" t="inlineStr">
        <is>
          <t>2025-02-21</t>
        </is>
      </c>
      <c r="C704" s="2" t="inlineStr">
        <is>
          <t>C0568</t>
        </is>
      </c>
      <c r="D704" s="2" t="inlineStr">
        <is>
          <t>P0019</t>
        </is>
      </c>
      <c r="E704" s="2" t="inlineStr">
        <is>
          <t>Jacket</t>
        </is>
      </c>
      <c r="F704" s="2" t="inlineStr">
        <is>
          <t>Fashion</t>
        </is>
      </c>
      <c r="G704" s="2" t="inlineStr">
        <is>
          <t>East</t>
        </is>
      </c>
      <c r="H704" s="2" t="inlineStr">
        <is>
          <t>Bihar</t>
        </is>
      </c>
      <c r="I704" s="2" t="inlineStr">
        <is>
          <t>Gaya</t>
        </is>
      </c>
      <c r="J704" s="2" t="inlineStr">
        <is>
          <t>Store</t>
        </is>
      </c>
      <c r="K704" s="2" t="n">
        <v>1</v>
      </c>
      <c r="L704" s="3" t="n">
        <v>1002.12</v>
      </c>
      <c r="M704" s="4" t="n">
        <v>0.05</v>
      </c>
      <c r="N704" s="3" t="n">
        <v>683.11</v>
      </c>
      <c r="O704" s="3">
        <f>K704*L704*(1-M704)</f>
        <v/>
      </c>
      <c r="P704" s="3">
        <f>O704-N704</f>
        <v/>
      </c>
      <c r="Q704" s="5">
        <f>IFERROR(P704/O704,0)</f>
        <v/>
      </c>
      <c r="R704" s="2">
        <f>TEXT(DATEVALUE(B704),"mmm")</f>
        <v/>
      </c>
      <c r="S704" s="2">
        <f>TEXT(DATEVALUE(B704),"yyyy-mm")</f>
        <v/>
      </c>
    </row>
    <row r="705">
      <c r="A705" s="2" t="inlineStr">
        <is>
          <t>O002503</t>
        </is>
      </c>
      <c r="B705" s="2" t="inlineStr">
        <is>
          <t>2025-02-21</t>
        </is>
      </c>
      <c r="C705" s="2" t="inlineStr">
        <is>
          <t>C0394</t>
        </is>
      </c>
      <c r="D705" s="2" t="inlineStr">
        <is>
          <t>P0021</t>
        </is>
      </c>
      <c r="E705" s="2" t="inlineStr">
        <is>
          <t>Wallet</t>
        </is>
      </c>
      <c r="F705" s="2" t="inlineStr">
        <is>
          <t>Fashion</t>
        </is>
      </c>
      <c r="G705" s="2" t="inlineStr">
        <is>
          <t>East</t>
        </is>
      </c>
      <c r="H705" s="2" t="inlineStr">
        <is>
          <t>West Bengal</t>
        </is>
      </c>
      <c r="I705" s="2" t="inlineStr">
        <is>
          <t>Kolkata</t>
        </is>
      </c>
      <c r="J705" s="2" t="inlineStr">
        <is>
          <t>Store</t>
        </is>
      </c>
      <c r="K705" s="2" t="n">
        <v>1</v>
      </c>
      <c r="L705" s="3" t="n">
        <v>2103.06</v>
      </c>
      <c r="M705" s="4" t="n">
        <v>0</v>
      </c>
      <c r="N705" s="3" t="n">
        <v>1225.7</v>
      </c>
      <c r="O705" s="3">
        <f>K705*L705*(1-M705)</f>
        <v/>
      </c>
      <c r="P705" s="3">
        <f>O705-N705</f>
        <v/>
      </c>
      <c r="Q705" s="5">
        <f>IFERROR(P705/O705,0)</f>
        <v/>
      </c>
      <c r="R705" s="2">
        <f>TEXT(DATEVALUE(B705),"mmm")</f>
        <v/>
      </c>
      <c r="S705" s="2">
        <f>TEXT(DATEVALUE(B705),"yyyy-mm")</f>
        <v/>
      </c>
    </row>
    <row r="706">
      <c r="A706" s="2" t="inlineStr">
        <is>
          <t>O002163</t>
        </is>
      </c>
      <c r="B706" s="2" t="inlineStr">
        <is>
          <t>2025-02-21</t>
        </is>
      </c>
      <c r="C706" s="2" t="inlineStr">
        <is>
          <t>C0684</t>
        </is>
      </c>
      <c r="D706" s="2" t="inlineStr">
        <is>
          <t>P0021</t>
        </is>
      </c>
      <c r="E706" s="2" t="inlineStr">
        <is>
          <t>Wallet</t>
        </is>
      </c>
      <c r="F706" s="2" t="inlineStr">
        <is>
          <t>Fashion</t>
        </is>
      </c>
      <c r="G706" s="2" t="inlineStr">
        <is>
          <t>South</t>
        </is>
      </c>
      <c r="H706" s="2" t="inlineStr">
        <is>
          <t>Kerala</t>
        </is>
      </c>
      <c r="I706" s="2" t="inlineStr">
        <is>
          <t>Kochi</t>
        </is>
      </c>
      <c r="J706" s="2" t="inlineStr">
        <is>
          <t>Store</t>
        </is>
      </c>
      <c r="K706" s="2" t="n">
        <v>2</v>
      </c>
      <c r="L706" s="3" t="n">
        <v>2077.14</v>
      </c>
      <c r="M706" s="4" t="n">
        <v>0.2</v>
      </c>
      <c r="N706" s="3" t="n">
        <v>2480.04</v>
      </c>
      <c r="O706" s="3">
        <f>K706*L706*(1-M706)</f>
        <v/>
      </c>
      <c r="P706" s="3">
        <f>O706-N706</f>
        <v/>
      </c>
      <c r="Q706" s="5">
        <f>IFERROR(P706/O706,0)</f>
        <v/>
      </c>
      <c r="R706" s="2">
        <f>TEXT(DATEVALUE(B706),"mmm")</f>
        <v/>
      </c>
      <c r="S706" s="2">
        <f>TEXT(DATEVALUE(B706),"yyyy-mm")</f>
        <v/>
      </c>
    </row>
    <row r="707">
      <c r="A707" s="2" t="inlineStr">
        <is>
          <t>O001545</t>
        </is>
      </c>
      <c r="B707" s="2" t="inlineStr">
        <is>
          <t>2025-02-21</t>
        </is>
      </c>
      <c r="C707" s="2" t="inlineStr">
        <is>
          <t>C0037</t>
        </is>
      </c>
      <c r="D707" s="2" t="inlineStr">
        <is>
          <t>P0011</t>
        </is>
      </c>
      <c r="E707" s="2" t="inlineStr">
        <is>
          <t>Cookware Set</t>
        </is>
      </c>
      <c r="F707" s="2" t="inlineStr">
        <is>
          <t>Home &amp; Kitchen</t>
        </is>
      </c>
      <c r="G707" s="2" t="inlineStr">
        <is>
          <t>South</t>
        </is>
      </c>
      <c r="H707" s="2" t="inlineStr">
        <is>
          <t>Karnataka</t>
        </is>
      </c>
      <c r="I707" s="2" t="inlineStr">
        <is>
          <t>Mysuru</t>
        </is>
      </c>
      <c r="J707" s="2" t="inlineStr">
        <is>
          <t>Store</t>
        </is>
      </c>
      <c r="K707" s="2" t="n">
        <v>1</v>
      </c>
      <c r="L707" s="3" t="n">
        <v>702.3200000000001</v>
      </c>
      <c r="M707" s="4" t="n">
        <v>0.05</v>
      </c>
      <c r="N707" s="3" t="n">
        <v>469.01</v>
      </c>
      <c r="O707" s="3">
        <f>K707*L707*(1-M707)</f>
        <v/>
      </c>
      <c r="P707" s="3">
        <f>O707-N707</f>
        <v/>
      </c>
      <c r="Q707" s="5">
        <f>IFERROR(P707/O707,0)</f>
        <v/>
      </c>
      <c r="R707" s="2">
        <f>TEXT(DATEVALUE(B707),"mmm")</f>
        <v/>
      </c>
      <c r="S707" s="2">
        <f>TEXT(DATEVALUE(B707),"yyyy-mm")</f>
        <v/>
      </c>
    </row>
    <row r="708">
      <c r="A708" s="2" t="inlineStr">
        <is>
          <t>O000576</t>
        </is>
      </c>
      <c r="B708" s="2" t="inlineStr">
        <is>
          <t>2025-02-21</t>
        </is>
      </c>
      <c r="C708" s="2" t="inlineStr">
        <is>
          <t>C0745</t>
        </is>
      </c>
      <c r="D708" s="2" t="inlineStr">
        <is>
          <t>P0020</t>
        </is>
      </c>
      <c r="E708" s="2" t="inlineStr">
        <is>
          <t>Sneakers</t>
        </is>
      </c>
      <c r="F708" s="2" t="inlineStr">
        <is>
          <t>Fashion</t>
        </is>
      </c>
      <c r="G708" s="2" t="inlineStr">
        <is>
          <t>South</t>
        </is>
      </c>
      <c r="H708" s="2" t="inlineStr">
        <is>
          <t>Kerala</t>
        </is>
      </c>
      <c r="I708" s="2" t="inlineStr">
        <is>
          <t>Kochi</t>
        </is>
      </c>
      <c r="J708" s="2" t="inlineStr">
        <is>
          <t>Online</t>
        </is>
      </c>
      <c r="K708" s="2" t="n">
        <v>2</v>
      </c>
      <c r="L708" s="3" t="n">
        <v>1967.12</v>
      </c>
      <c r="M708" s="4" t="n">
        <v>0.2</v>
      </c>
      <c r="N708" s="3" t="n">
        <v>2934.39</v>
      </c>
      <c r="O708" s="3">
        <f>K708*L708*(1-M708)</f>
        <v/>
      </c>
      <c r="P708" s="3">
        <f>O708-N708</f>
        <v/>
      </c>
      <c r="Q708" s="5">
        <f>IFERROR(P708/O708,0)</f>
        <v/>
      </c>
      <c r="R708" s="2">
        <f>TEXT(DATEVALUE(B708),"mmm")</f>
        <v/>
      </c>
      <c r="S708" s="2">
        <f>TEXT(DATEVALUE(B708),"yyyy-mm")</f>
        <v/>
      </c>
    </row>
    <row r="709">
      <c r="A709" s="2" t="inlineStr">
        <is>
          <t>O000198</t>
        </is>
      </c>
      <c r="B709" s="2" t="inlineStr">
        <is>
          <t>2025-02-21</t>
        </is>
      </c>
      <c r="C709" s="2" t="inlineStr">
        <is>
          <t>C0750</t>
        </is>
      </c>
      <c r="D709" s="2" t="inlineStr">
        <is>
          <t>P0013</t>
        </is>
      </c>
      <c r="E709" s="2" t="inlineStr">
        <is>
          <t>Storage Organizer</t>
        </is>
      </c>
      <c r="F709" s="2" t="inlineStr">
        <is>
          <t>Home &amp; Kitchen</t>
        </is>
      </c>
      <c r="G709" s="2" t="inlineStr">
        <is>
          <t>East</t>
        </is>
      </c>
      <c r="H709" s="2" t="inlineStr">
        <is>
          <t>Bihar</t>
        </is>
      </c>
      <c r="I709" s="2" t="inlineStr">
        <is>
          <t>Gaya</t>
        </is>
      </c>
      <c r="J709" s="2" t="inlineStr">
        <is>
          <t>Store</t>
        </is>
      </c>
      <c r="K709" s="2" t="n">
        <v>1</v>
      </c>
      <c r="L709" s="3" t="n">
        <v>552.6799999999999</v>
      </c>
      <c r="M709" s="4" t="n">
        <v>0</v>
      </c>
      <c r="N709" s="3" t="n">
        <v>365.79</v>
      </c>
      <c r="O709" s="3">
        <f>K709*L709*(1-M709)</f>
        <v/>
      </c>
      <c r="P709" s="3">
        <f>O709-N709</f>
        <v/>
      </c>
      <c r="Q709" s="5">
        <f>IFERROR(P709/O709,0)</f>
        <v/>
      </c>
      <c r="R709" s="2">
        <f>TEXT(DATEVALUE(B709),"mmm")</f>
        <v/>
      </c>
      <c r="S709" s="2">
        <f>TEXT(DATEVALUE(B709),"yyyy-mm")</f>
        <v/>
      </c>
    </row>
    <row r="710">
      <c r="A710" s="2" t="inlineStr">
        <is>
          <t>O000143</t>
        </is>
      </c>
      <c r="B710" s="2" t="inlineStr">
        <is>
          <t>2025-02-21</t>
        </is>
      </c>
      <c r="C710" s="2" t="inlineStr">
        <is>
          <t>C0275</t>
        </is>
      </c>
      <c r="D710" s="2" t="inlineStr">
        <is>
          <t>P0005</t>
        </is>
      </c>
      <c r="E710" s="2" t="inlineStr">
        <is>
          <t>Power Bank</t>
        </is>
      </c>
      <c r="F710" s="2" t="inlineStr">
        <is>
          <t>Electronics</t>
        </is>
      </c>
      <c r="G710" s="2" t="inlineStr">
        <is>
          <t>West</t>
        </is>
      </c>
      <c r="H710" s="2" t="inlineStr">
        <is>
          <t>Goa</t>
        </is>
      </c>
      <c r="I710" s="2" t="inlineStr">
        <is>
          <t>Panaji</t>
        </is>
      </c>
      <c r="J710" s="2" t="inlineStr">
        <is>
          <t>Online</t>
        </is>
      </c>
      <c r="K710" s="2" t="n">
        <v>5</v>
      </c>
      <c r="L710" s="3" t="n">
        <v>1129.48</v>
      </c>
      <c r="M710" s="4" t="n">
        <v>0.1</v>
      </c>
      <c r="N710" s="3" t="n">
        <v>3318.89</v>
      </c>
      <c r="O710" s="3">
        <f>K710*L710*(1-M710)</f>
        <v/>
      </c>
      <c r="P710" s="3">
        <f>O710-N710</f>
        <v/>
      </c>
      <c r="Q710" s="5">
        <f>IFERROR(P710/O710,0)</f>
        <v/>
      </c>
      <c r="R710" s="2">
        <f>TEXT(DATEVALUE(B710),"mmm")</f>
        <v/>
      </c>
      <c r="S710" s="2">
        <f>TEXT(DATEVALUE(B710),"yyyy-mm")</f>
        <v/>
      </c>
    </row>
    <row r="711">
      <c r="A711" s="2" t="inlineStr">
        <is>
          <t>O004266</t>
        </is>
      </c>
      <c r="B711" s="2" t="inlineStr">
        <is>
          <t>2025-02-22</t>
        </is>
      </c>
      <c r="C711" s="2" t="inlineStr">
        <is>
          <t>C0789</t>
        </is>
      </c>
      <c r="D711" s="2" t="inlineStr">
        <is>
          <t>P0013</t>
        </is>
      </c>
      <c r="E711" s="2" t="inlineStr">
        <is>
          <t>Storage Organizer</t>
        </is>
      </c>
      <c r="F711" s="2" t="inlineStr">
        <is>
          <t>Home &amp; Kitchen</t>
        </is>
      </c>
      <c r="G711" s="2" t="inlineStr">
        <is>
          <t>East</t>
        </is>
      </c>
      <c r="H711" s="2" t="inlineStr">
        <is>
          <t>Bihar</t>
        </is>
      </c>
      <c r="I711" s="2" t="inlineStr">
        <is>
          <t>Gaya</t>
        </is>
      </c>
      <c r="J711" s="2" t="inlineStr">
        <is>
          <t>Online</t>
        </is>
      </c>
      <c r="K711" s="2" t="n">
        <v>3</v>
      </c>
      <c r="L711" s="3" t="n">
        <v>554.41</v>
      </c>
      <c r="M711" s="4" t="n">
        <v>0.1</v>
      </c>
      <c r="N711" s="3" t="n">
        <v>1113.05</v>
      </c>
      <c r="O711" s="3">
        <f>K711*L711*(1-M711)</f>
        <v/>
      </c>
      <c r="P711" s="3">
        <f>O711-N711</f>
        <v/>
      </c>
      <c r="Q711" s="5">
        <f>IFERROR(P711/O711,0)</f>
        <v/>
      </c>
      <c r="R711" s="2">
        <f>TEXT(DATEVALUE(B711),"mmm")</f>
        <v/>
      </c>
      <c r="S711" s="2">
        <f>TEXT(DATEVALUE(B711),"yyyy-mm")</f>
        <v/>
      </c>
    </row>
    <row r="712">
      <c r="A712" s="2" t="inlineStr">
        <is>
          <t>O003791</t>
        </is>
      </c>
      <c r="B712" s="2" t="inlineStr">
        <is>
          <t>2025-02-22</t>
        </is>
      </c>
      <c r="C712" s="2" t="inlineStr">
        <is>
          <t>C0439</t>
        </is>
      </c>
      <c r="D712" s="2" t="inlineStr">
        <is>
          <t>P0007</t>
        </is>
      </c>
      <c r="E712" s="2" t="inlineStr">
        <is>
          <t>Wireless Mouse</t>
        </is>
      </c>
      <c r="F712" s="2" t="inlineStr">
        <is>
          <t>Electronics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Jalandhar</t>
        </is>
      </c>
      <c r="J712" s="2" t="inlineStr">
        <is>
          <t>Online</t>
        </is>
      </c>
      <c r="K712" s="2" t="n">
        <v>2</v>
      </c>
      <c r="L712" s="3" t="n">
        <v>1014.05</v>
      </c>
      <c r="M712" s="4" t="n">
        <v>0.1</v>
      </c>
      <c r="N712" s="3" t="n">
        <v>1210.21</v>
      </c>
      <c r="O712" s="3">
        <f>K712*L712*(1-M712)</f>
        <v/>
      </c>
      <c r="P712" s="3">
        <f>O712-N712</f>
        <v/>
      </c>
      <c r="Q712" s="5">
        <f>IFERROR(P712/O712,0)</f>
        <v/>
      </c>
      <c r="R712" s="2">
        <f>TEXT(DATEVALUE(B712),"mmm")</f>
        <v/>
      </c>
      <c r="S712" s="2">
        <f>TEXT(DATEVALUE(B712),"yyyy-mm")</f>
        <v/>
      </c>
    </row>
    <row r="713">
      <c r="A713" s="2" t="inlineStr">
        <is>
          <t>O003788</t>
        </is>
      </c>
      <c r="B713" s="2" t="inlineStr">
        <is>
          <t>2025-02-22</t>
        </is>
      </c>
      <c r="C713" s="2" t="inlineStr">
        <is>
          <t>C0100</t>
        </is>
      </c>
      <c r="D713" s="2" t="inlineStr">
        <is>
          <t>P0007</t>
        </is>
      </c>
      <c r="E713" s="2" t="inlineStr">
        <is>
          <t>Wireless Mouse</t>
        </is>
      </c>
      <c r="F713" s="2" t="inlineStr">
        <is>
          <t>Electronics</t>
        </is>
      </c>
      <c r="G713" s="2" t="inlineStr">
        <is>
          <t>North</t>
        </is>
      </c>
      <c r="H713" s="2" t="inlineStr">
        <is>
          <t>Delhi</t>
        </is>
      </c>
      <c r="I713" s="2" t="inlineStr">
        <is>
          <t>New Delhi</t>
        </is>
      </c>
      <c r="J713" s="2" t="inlineStr">
        <is>
          <t>Online</t>
        </is>
      </c>
      <c r="K713" s="2" t="n">
        <v>1</v>
      </c>
      <c r="L713" s="3" t="n">
        <v>987.15</v>
      </c>
      <c r="M713" s="4" t="n">
        <v>0.25</v>
      </c>
      <c r="N713" s="3" t="n">
        <v>603.53</v>
      </c>
      <c r="O713" s="3">
        <f>K713*L713*(1-M713)</f>
        <v/>
      </c>
      <c r="P713" s="3">
        <f>O713-N713</f>
        <v/>
      </c>
      <c r="Q713" s="5">
        <f>IFERROR(P713/O713,0)</f>
        <v/>
      </c>
      <c r="R713" s="2">
        <f>TEXT(DATEVALUE(B713),"mmm")</f>
        <v/>
      </c>
      <c r="S713" s="2">
        <f>TEXT(DATEVALUE(B713),"yyyy-mm")</f>
        <v/>
      </c>
    </row>
    <row r="714">
      <c r="A714" s="2" t="inlineStr">
        <is>
          <t>O003659</t>
        </is>
      </c>
      <c r="B714" s="2" t="inlineStr">
        <is>
          <t>2025-02-22</t>
        </is>
      </c>
      <c r="C714" s="2" t="inlineStr">
        <is>
          <t>C0334</t>
        </is>
      </c>
      <c r="D714" s="2" t="inlineStr">
        <is>
          <t>P0003</t>
        </is>
      </c>
      <c r="E714" s="2" t="inlineStr">
        <is>
          <t>Smartwatch</t>
        </is>
      </c>
      <c r="F714" s="2" t="inlineStr">
        <is>
          <t>Electronics</t>
        </is>
      </c>
      <c r="G714" s="2" t="inlineStr">
        <is>
          <t>East</t>
        </is>
      </c>
      <c r="H714" s="2" t="inlineStr">
        <is>
          <t>Bihar</t>
        </is>
      </c>
      <c r="I714" s="2" t="inlineStr">
        <is>
          <t>Patna</t>
        </is>
      </c>
      <c r="J714" s="2" t="inlineStr">
        <is>
          <t>Online</t>
        </is>
      </c>
      <c r="K714" s="2" t="n">
        <v>2</v>
      </c>
      <c r="L714" s="3" t="n">
        <v>2238.2</v>
      </c>
      <c r="M714" s="4" t="n">
        <v>0.05</v>
      </c>
      <c r="N714" s="3" t="n">
        <v>2302.92</v>
      </c>
      <c r="O714" s="3">
        <f>K714*L714*(1-M714)</f>
        <v/>
      </c>
      <c r="P714" s="3">
        <f>O714-N714</f>
        <v/>
      </c>
      <c r="Q714" s="5">
        <f>IFERROR(P714/O714,0)</f>
        <v/>
      </c>
      <c r="R714" s="2">
        <f>TEXT(DATEVALUE(B714),"mmm")</f>
        <v/>
      </c>
      <c r="S714" s="2">
        <f>TEXT(DATEVALUE(B714),"yyyy-mm")</f>
        <v/>
      </c>
    </row>
    <row r="715">
      <c r="A715" s="2" t="inlineStr">
        <is>
          <t>O003641</t>
        </is>
      </c>
      <c r="B715" s="2" t="inlineStr">
        <is>
          <t>2025-02-22</t>
        </is>
      </c>
      <c r="C715" s="2" t="inlineStr">
        <is>
          <t>C0214</t>
        </is>
      </c>
      <c r="D715" s="2" t="inlineStr">
        <is>
          <t>P0017</t>
        </is>
      </c>
      <c r="E715" s="2" t="inlineStr">
        <is>
          <t>Jeans</t>
        </is>
      </c>
      <c r="F715" s="2" t="inlineStr">
        <is>
          <t>Fashion</t>
        </is>
      </c>
      <c r="G715" s="2" t="inlineStr">
        <is>
          <t>South</t>
        </is>
      </c>
      <c r="H715" s="2" t="inlineStr">
        <is>
          <t>Kerala</t>
        </is>
      </c>
      <c r="I715" s="2" t="inlineStr">
        <is>
          <t>Kochi</t>
        </is>
      </c>
      <c r="J715" s="2" t="inlineStr">
        <is>
          <t>Online</t>
        </is>
      </c>
      <c r="K715" s="2" t="n">
        <v>2</v>
      </c>
      <c r="L715" s="3" t="n">
        <v>1473.25</v>
      </c>
      <c r="M715" s="4" t="n">
        <v>0.15</v>
      </c>
      <c r="N715" s="3" t="n">
        <v>2050.71</v>
      </c>
      <c r="O715" s="3">
        <f>K715*L715*(1-M715)</f>
        <v/>
      </c>
      <c r="P715" s="3">
        <f>O715-N715</f>
        <v/>
      </c>
      <c r="Q715" s="5">
        <f>IFERROR(P715/O715,0)</f>
        <v/>
      </c>
      <c r="R715" s="2">
        <f>TEXT(DATEVALUE(B715),"mmm")</f>
        <v/>
      </c>
      <c r="S715" s="2">
        <f>TEXT(DATEVALUE(B715),"yyyy-mm")</f>
        <v/>
      </c>
    </row>
    <row r="716">
      <c r="A716" s="2" t="inlineStr">
        <is>
          <t>O002075</t>
        </is>
      </c>
      <c r="B716" s="2" t="inlineStr">
        <is>
          <t>2025-02-22</t>
        </is>
      </c>
      <c r="C716" s="2" t="inlineStr">
        <is>
          <t>C0565</t>
        </is>
      </c>
      <c r="D716" s="2" t="inlineStr">
        <is>
          <t>P0004</t>
        </is>
      </c>
      <c r="E716" s="2" t="inlineStr">
        <is>
          <t>USB-C Hub</t>
        </is>
      </c>
      <c r="F716" s="2" t="inlineStr">
        <is>
          <t>Electronics</t>
        </is>
      </c>
      <c r="G716" s="2" t="inlineStr">
        <is>
          <t>South</t>
        </is>
      </c>
      <c r="H716" s="2" t="inlineStr">
        <is>
          <t>Tamil Nadu</t>
        </is>
      </c>
      <c r="I716" s="2" t="inlineStr">
        <is>
          <t>Coimbatore</t>
        </is>
      </c>
      <c r="J716" s="2" t="inlineStr">
        <is>
          <t>Online</t>
        </is>
      </c>
      <c r="K716" s="2" t="n">
        <v>1</v>
      </c>
      <c r="L716" s="3" t="n">
        <v>1238.55</v>
      </c>
      <c r="M716" s="4" t="n">
        <v>0.1</v>
      </c>
      <c r="N716" s="3" t="n">
        <v>894.51</v>
      </c>
      <c r="O716" s="3">
        <f>K716*L716*(1-M716)</f>
        <v/>
      </c>
      <c r="P716" s="3">
        <f>O716-N716</f>
        <v/>
      </c>
      <c r="Q716" s="5">
        <f>IFERROR(P716/O716,0)</f>
        <v/>
      </c>
      <c r="R716" s="2">
        <f>TEXT(DATEVALUE(B716),"mmm")</f>
        <v/>
      </c>
      <c r="S716" s="2">
        <f>TEXT(DATEVALUE(B716),"yyyy-mm")</f>
        <v/>
      </c>
    </row>
    <row r="717">
      <c r="A717" s="2" t="inlineStr">
        <is>
          <t>O001303</t>
        </is>
      </c>
      <c r="B717" s="2" t="inlineStr">
        <is>
          <t>2025-02-22</t>
        </is>
      </c>
      <c r="C717" s="2" t="inlineStr">
        <is>
          <t>C0724</t>
        </is>
      </c>
      <c r="D717" s="2" t="inlineStr">
        <is>
          <t>P0026</t>
        </is>
      </c>
      <c r="E717" s="2" t="inlineStr">
        <is>
          <t>Shampoo</t>
        </is>
      </c>
      <c r="F717" s="2" t="inlineStr">
        <is>
          <t>Beauty</t>
        </is>
      </c>
      <c r="G717" s="2" t="inlineStr">
        <is>
          <t>North</t>
        </is>
      </c>
      <c r="H717" s="2" t="inlineStr">
        <is>
          <t>Haryana</t>
        </is>
      </c>
      <c r="I717" s="2" t="inlineStr">
        <is>
          <t>Faridabad</t>
        </is>
      </c>
      <c r="J717" s="2" t="inlineStr">
        <is>
          <t>Online</t>
        </is>
      </c>
      <c r="K717" s="2" t="n">
        <v>1</v>
      </c>
      <c r="L717" s="3" t="n">
        <v>904.1</v>
      </c>
      <c r="M717" s="4" t="n">
        <v>0</v>
      </c>
      <c r="N717" s="3" t="n">
        <v>517.28</v>
      </c>
      <c r="O717" s="3">
        <f>K717*L717*(1-M717)</f>
        <v/>
      </c>
      <c r="P717" s="3">
        <f>O717-N717</f>
        <v/>
      </c>
      <c r="Q717" s="5">
        <f>IFERROR(P717/O717,0)</f>
        <v/>
      </c>
      <c r="R717" s="2">
        <f>TEXT(DATEVALUE(B717),"mmm")</f>
        <v/>
      </c>
      <c r="S717" s="2">
        <f>TEXT(DATEVALUE(B717),"yyyy-mm")</f>
        <v/>
      </c>
    </row>
    <row r="718">
      <c r="A718" s="2" t="inlineStr">
        <is>
          <t>O003634</t>
        </is>
      </c>
      <c r="B718" s="2" t="inlineStr">
        <is>
          <t>2025-02-22</t>
        </is>
      </c>
      <c r="C718" s="2" t="inlineStr">
        <is>
          <t>C0196</t>
        </is>
      </c>
      <c r="D718" s="2" t="inlineStr">
        <is>
          <t>P0019</t>
        </is>
      </c>
      <c r="E718" s="2" t="inlineStr">
        <is>
          <t>Jacket</t>
        </is>
      </c>
      <c r="F718" s="2" t="inlineStr">
        <is>
          <t>Fashion</t>
        </is>
      </c>
      <c r="G718" s="2" t="inlineStr">
        <is>
          <t>North</t>
        </is>
      </c>
      <c r="H718" s="2" t="inlineStr">
        <is>
          <t>Uttar Pradesh</t>
        </is>
      </c>
      <c r="I718" s="2" t="inlineStr">
        <is>
          <t>Kanpur</t>
        </is>
      </c>
      <c r="J718" s="2" t="inlineStr">
        <is>
          <t>Store</t>
        </is>
      </c>
      <c r="K718" s="2" t="n">
        <v>1</v>
      </c>
      <c r="L718" s="3" t="n">
        <v>994.01</v>
      </c>
      <c r="M718" s="4" t="n">
        <v>0.05</v>
      </c>
      <c r="N718" s="3" t="n">
        <v>671.48</v>
      </c>
      <c r="O718" s="3">
        <f>K718*L718*(1-M718)</f>
        <v/>
      </c>
      <c r="P718" s="3">
        <f>O718-N718</f>
        <v/>
      </c>
      <c r="Q718" s="5">
        <f>IFERROR(P718/O718,0)</f>
        <v/>
      </c>
      <c r="R718" s="2">
        <f>TEXT(DATEVALUE(B718),"mmm")</f>
        <v/>
      </c>
      <c r="S718" s="2">
        <f>TEXT(DATEVALUE(B718),"yyyy-mm")</f>
        <v/>
      </c>
    </row>
    <row r="719">
      <c r="A719" s="2" t="inlineStr">
        <is>
          <t>O000749</t>
        </is>
      </c>
      <c r="B719" s="2" t="inlineStr">
        <is>
          <t>2025-02-22</t>
        </is>
      </c>
      <c r="C719" s="2" t="inlineStr">
        <is>
          <t>C0699</t>
        </is>
      </c>
      <c r="D719" s="2" t="inlineStr">
        <is>
          <t>P0032</t>
        </is>
      </c>
      <c r="E719" s="2" t="inlineStr">
        <is>
          <t>Football</t>
        </is>
      </c>
      <c r="F719" s="2" t="inlineStr">
        <is>
          <t>Sports</t>
        </is>
      </c>
      <c r="G719" s="2" t="inlineStr">
        <is>
          <t>North</t>
        </is>
      </c>
      <c r="H719" s="2" t="inlineStr">
        <is>
          <t>Punjab</t>
        </is>
      </c>
      <c r="I719" s="2" t="inlineStr">
        <is>
          <t>Amritsar</t>
        </is>
      </c>
      <c r="J719" s="2" t="inlineStr">
        <is>
          <t>Store</t>
        </is>
      </c>
      <c r="K719" s="2" t="n">
        <v>1</v>
      </c>
      <c r="L719" s="3" t="n">
        <v>782.78</v>
      </c>
      <c r="M719" s="4" t="n">
        <v>0.05</v>
      </c>
      <c r="N719" s="3" t="n">
        <v>533.87</v>
      </c>
      <c r="O719" s="3">
        <f>K719*L719*(1-M719)</f>
        <v/>
      </c>
      <c r="P719" s="3">
        <f>O719-N719</f>
        <v/>
      </c>
      <c r="Q719" s="5">
        <f>IFERROR(P719/O719,0)</f>
        <v/>
      </c>
      <c r="R719" s="2">
        <f>TEXT(DATEVALUE(B719),"mmm")</f>
        <v/>
      </c>
      <c r="S719" s="2">
        <f>TEXT(DATEVALUE(B719),"yyyy-mm")</f>
        <v/>
      </c>
    </row>
    <row r="720">
      <c r="A720" s="2" t="inlineStr">
        <is>
          <t>O000582</t>
        </is>
      </c>
      <c r="B720" s="2" t="inlineStr">
        <is>
          <t>2025-02-22</t>
        </is>
      </c>
      <c r="C720" s="2" t="inlineStr">
        <is>
          <t>C0686</t>
        </is>
      </c>
      <c r="D720" s="2" t="inlineStr">
        <is>
          <t>P0021</t>
        </is>
      </c>
      <c r="E720" s="2" t="inlineStr">
        <is>
          <t>Wallet</t>
        </is>
      </c>
      <c r="F720" s="2" t="inlineStr">
        <is>
          <t>Fashion</t>
        </is>
      </c>
      <c r="G720" s="2" t="inlineStr">
        <is>
          <t>East</t>
        </is>
      </c>
      <c r="H720" s="2" t="inlineStr">
        <is>
          <t>Bihar</t>
        </is>
      </c>
      <c r="I720" s="2" t="inlineStr">
        <is>
          <t>Gaya</t>
        </is>
      </c>
      <c r="J720" s="2" t="inlineStr">
        <is>
          <t>Online</t>
        </is>
      </c>
      <c r="K720" s="2" t="n">
        <v>4</v>
      </c>
      <c r="L720" s="3" t="n">
        <v>2055.05</v>
      </c>
      <c r="M720" s="4" t="n">
        <v>0.05</v>
      </c>
      <c r="N720" s="3" t="n">
        <v>4957.78</v>
      </c>
      <c r="O720" s="3">
        <f>K720*L720*(1-M720)</f>
        <v/>
      </c>
      <c r="P720" s="3">
        <f>O720-N720</f>
        <v/>
      </c>
      <c r="Q720" s="5">
        <f>IFERROR(P720/O720,0)</f>
        <v/>
      </c>
      <c r="R720" s="2">
        <f>TEXT(DATEVALUE(B720),"mmm")</f>
        <v/>
      </c>
      <c r="S720" s="2">
        <f>TEXT(DATEVALUE(B720),"yyyy-mm")</f>
        <v/>
      </c>
    </row>
    <row r="721">
      <c r="A721" s="2" t="inlineStr">
        <is>
          <t>O000413</t>
        </is>
      </c>
      <c r="B721" s="2" t="inlineStr">
        <is>
          <t>2025-02-22</t>
        </is>
      </c>
      <c r="C721" s="2" t="inlineStr">
        <is>
          <t>C0393</t>
        </is>
      </c>
      <c r="D721" s="2" t="inlineStr">
        <is>
          <t>P0030</t>
        </is>
      </c>
      <c r="E721" s="2" t="inlineStr">
        <is>
          <t>Dumbbells</t>
        </is>
      </c>
      <c r="F721" s="2" t="inlineStr">
        <is>
          <t>Sports</t>
        </is>
      </c>
      <c r="G721" s="2" t="inlineStr">
        <is>
          <t>West</t>
        </is>
      </c>
      <c r="H721" s="2" t="inlineStr">
        <is>
          <t>Gujarat</t>
        </is>
      </c>
      <c r="I721" s="2" t="inlineStr">
        <is>
          <t>Surat</t>
        </is>
      </c>
      <c r="J721" s="2" t="inlineStr">
        <is>
          <t>Online</t>
        </is>
      </c>
      <c r="K721" s="2" t="n">
        <v>3</v>
      </c>
      <c r="L721" s="3" t="n">
        <v>1592.39</v>
      </c>
      <c r="M721" s="4" t="n">
        <v>0.05</v>
      </c>
      <c r="N721" s="3" t="n">
        <v>3044.76</v>
      </c>
      <c r="O721" s="3">
        <f>K721*L721*(1-M721)</f>
        <v/>
      </c>
      <c r="P721" s="3">
        <f>O721-N721</f>
        <v/>
      </c>
      <c r="Q721" s="5">
        <f>IFERROR(P721/O721,0)</f>
        <v/>
      </c>
      <c r="R721" s="2">
        <f>TEXT(DATEVALUE(B721),"mmm")</f>
        <v/>
      </c>
      <c r="S721" s="2">
        <f>TEXT(DATEVALUE(B721),"yyyy-mm")</f>
        <v/>
      </c>
    </row>
    <row r="722">
      <c r="A722" s="2" t="inlineStr">
        <is>
          <t>O000216</t>
        </is>
      </c>
      <c r="B722" s="2" t="inlineStr">
        <is>
          <t>2025-02-22</t>
        </is>
      </c>
      <c r="C722" s="2" t="inlineStr">
        <is>
          <t>C0060</t>
        </is>
      </c>
      <c r="D722" s="2" t="inlineStr">
        <is>
          <t>P0020</t>
        </is>
      </c>
      <c r="E722" s="2" t="inlineStr">
        <is>
          <t>Sneakers</t>
        </is>
      </c>
      <c r="F722" s="2" t="inlineStr">
        <is>
          <t>Fashion</t>
        </is>
      </c>
      <c r="G722" s="2" t="inlineStr">
        <is>
          <t>South</t>
        </is>
      </c>
      <c r="H722" s="2" t="inlineStr">
        <is>
          <t>Kerala</t>
        </is>
      </c>
      <c r="I722" s="2" t="inlineStr">
        <is>
          <t>Thiruvananthapuram</t>
        </is>
      </c>
      <c r="J722" s="2" t="inlineStr">
        <is>
          <t>Store</t>
        </is>
      </c>
      <c r="K722" s="2" t="n">
        <v>3</v>
      </c>
      <c r="L722" s="3" t="n">
        <v>1853.81</v>
      </c>
      <c r="M722" s="4" t="n">
        <v>0.05</v>
      </c>
      <c r="N722" s="3" t="n">
        <v>4595.19</v>
      </c>
      <c r="O722" s="3">
        <f>K722*L722*(1-M722)</f>
        <v/>
      </c>
      <c r="P722" s="3">
        <f>O722-N722</f>
        <v/>
      </c>
      <c r="Q722" s="5">
        <f>IFERROR(P722/O722,0)</f>
        <v/>
      </c>
      <c r="R722" s="2">
        <f>TEXT(DATEVALUE(B722),"mmm")</f>
        <v/>
      </c>
      <c r="S722" s="2">
        <f>TEXT(DATEVALUE(B722),"yyyy-mm")</f>
        <v/>
      </c>
    </row>
    <row r="723">
      <c r="A723" s="2" t="inlineStr">
        <is>
          <t>O000086</t>
        </is>
      </c>
      <c r="B723" s="2" t="inlineStr">
        <is>
          <t>2025-02-22</t>
        </is>
      </c>
      <c r="C723" s="2" t="inlineStr">
        <is>
          <t>C0310</t>
        </is>
      </c>
      <c r="D723" s="2" t="inlineStr">
        <is>
          <t>P0033</t>
        </is>
      </c>
      <c r="E723" s="2" t="inlineStr">
        <is>
          <t>Resistance Bands</t>
        </is>
      </c>
      <c r="F723" s="2" t="inlineStr">
        <is>
          <t>Sports</t>
        </is>
      </c>
      <c r="G723" s="2" t="inlineStr">
        <is>
          <t>South</t>
        </is>
      </c>
      <c r="H723" s="2" t="inlineStr">
        <is>
          <t>Kerala</t>
        </is>
      </c>
      <c r="I723" s="2" t="inlineStr">
        <is>
          <t>Thiruvananthapuram</t>
        </is>
      </c>
      <c r="J723" s="2" t="inlineStr">
        <is>
          <t>Store</t>
        </is>
      </c>
      <c r="K723" s="2" t="n">
        <v>1</v>
      </c>
      <c r="L723" s="3" t="n">
        <v>1107.39</v>
      </c>
      <c r="M723" s="4" t="n">
        <v>0.15</v>
      </c>
      <c r="N723" s="3" t="n">
        <v>762.28</v>
      </c>
      <c r="O723" s="3">
        <f>K723*L723*(1-M723)</f>
        <v/>
      </c>
      <c r="P723" s="3">
        <f>O723-N723</f>
        <v/>
      </c>
      <c r="Q723" s="5">
        <f>IFERROR(P723/O723,0)</f>
        <v/>
      </c>
      <c r="R723" s="2">
        <f>TEXT(DATEVALUE(B723),"mmm")</f>
        <v/>
      </c>
      <c r="S723" s="2">
        <f>TEXT(DATEVALUE(B723),"yyyy-mm")</f>
        <v/>
      </c>
    </row>
    <row r="724">
      <c r="A724" s="2" t="inlineStr">
        <is>
          <t>O000055</t>
        </is>
      </c>
      <c r="B724" s="2" t="inlineStr">
        <is>
          <t>2025-02-22</t>
        </is>
      </c>
      <c r="C724" s="2" t="inlineStr">
        <is>
          <t>C0456</t>
        </is>
      </c>
      <c r="D724" s="2" t="inlineStr">
        <is>
          <t>P0020</t>
        </is>
      </c>
      <c r="E724" s="2" t="inlineStr">
        <is>
          <t>Sneakers</t>
        </is>
      </c>
      <c r="F724" s="2" t="inlineStr">
        <is>
          <t>Fashion</t>
        </is>
      </c>
      <c r="G724" s="2" t="inlineStr">
        <is>
          <t>East</t>
        </is>
      </c>
      <c r="H724" s="2" t="inlineStr">
        <is>
          <t>Bihar</t>
        </is>
      </c>
      <c r="I724" s="2" t="inlineStr">
        <is>
          <t>Gaya</t>
        </is>
      </c>
      <c r="J724" s="2" t="inlineStr">
        <is>
          <t>Store</t>
        </is>
      </c>
      <c r="K724" s="2" t="n">
        <v>1</v>
      </c>
      <c r="L724" s="3" t="n">
        <v>1952.04</v>
      </c>
      <c r="M724" s="4" t="n">
        <v>0.15</v>
      </c>
      <c r="N724" s="3" t="n">
        <v>1517.9</v>
      </c>
      <c r="O724" s="3">
        <f>K724*L724*(1-M724)</f>
        <v/>
      </c>
      <c r="P724" s="3">
        <f>O724-N724</f>
        <v/>
      </c>
      <c r="Q724" s="5">
        <f>IFERROR(P724/O724,0)</f>
        <v/>
      </c>
      <c r="R724" s="2">
        <f>TEXT(DATEVALUE(B724),"mmm")</f>
        <v/>
      </c>
      <c r="S724" s="2">
        <f>TEXT(DATEVALUE(B724),"yyyy-mm")</f>
        <v/>
      </c>
    </row>
    <row r="725">
      <c r="A725" s="2" t="inlineStr">
        <is>
          <t>O000817</t>
        </is>
      </c>
      <c r="B725" s="2" t="inlineStr">
        <is>
          <t>2025-02-22</t>
        </is>
      </c>
      <c r="C725" s="2" t="inlineStr">
        <is>
          <t>C0354</t>
        </is>
      </c>
      <c r="D725" s="2" t="inlineStr">
        <is>
          <t>P0035</t>
        </is>
      </c>
      <c r="E725" s="2" t="inlineStr">
        <is>
          <t>Skipping Rope</t>
        </is>
      </c>
      <c r="F725" s="2" t="inlineStr">
        <is>
          <t>Sports</t>
        </is>
      </c>
      <c r="G725" s="2" t="inlineStr">
        <is>
          <t>South</t>
        </is>
      </c>
      <c r="H725" s="2" t="inlineStr">
        <is>
          <t>Karnataka</t>
        </is>
      </c>
      <c r="I725" s="2" t="inlineStr">
        <is>
          <t>Bengaluru</t>
        </is>
      </c>
      <c r="J725" s="2" t="inlineStr">
        <is>
          <t>Store</t>
        </is>
      </c>
      <c r="K725" s="2" t="n">
        <v>2</v>
      </c>
      <c r="L725" s="3" t="n">
        <v>708.51</v>
      </c>
      <c r="M725" s="4" t="n">
        <v>0.1</v>
      </c>
      <c r="N725" s="3" t="n">
        <v>843.3099999999999</v>
      </c>
      <c r="O725" s="3">
        <f>K725*L725*(1-M725)</f>
        <v/>
      </c>
      <c r="P725" s="3">
        <f>O725-N725</f>
        <v/>
      </c>
      <c r="Q725" s="5">
        <f>IFERROR(P725/O725,0)</f>
        <v/>
      </c>
      <c r="R725" s="2">
        <f>TEXT(DATEVALUE(B725),"mmm")</f>
        <v/>
      </c>
      <c r="S725" s="2">
        <f>TEXT(DATEVALUE(B725),"yyyy-mm")</f>
        <v/>
      </c>
    </row>
    <row r="726">
      <c r="A726" s="2" t="inlineStr">
        <is>
          <t>O003553</t>
        </is>
      </c>
      <c r="B726" s="2" t="inlineStr">
        <is>
          <t>2025-02-23</t>
        </is>
      </c>
      <c r="C726" s="2" t="inlineStr">
        <is>
          <t>C0597</t>
        </is>
      </c>
      <c r="D726" s="2" t="inlineStr">
        <is>
          <t>P0031</t>
        </is>
      </c>
      <c r="E726" s="2" t="inlineStr">
        <is>
          <t>Cricket Bat</t>
        </is>
      </c>
      <c r="F726" s="2" t="inlineStr">
        <is>
          <t>Sports</t>
        </is>
      </c>
      <c r="G726" s="2" t="inlineStr">
        <is>
          <t>West</t>
        </is>
      </c>
      <c r="H726" s="2" t="inlineStr">
        <is>
          <t>Maharashtra</t>
        </is>
      </c>
      <c r="I726" s="2" t="inlineStr">
        <is>
          <t>Nashik</t>
        </is>
      </c>
      <c r="J726" s="2" t="inlineStr">
        <is>
          <t>Online</t>
        </is>
      </c>
      <c r="K726" s="2" t="n">
        <v>2</v>
      </c>
      <c r="L726" s="3" t="n">
        <v>1365.12</v>
      </c>
      <c r="M726" s="4" t="n">
        <v>0.05</v>
      </c>
      <c r="N726" s="3" t="n">
        <v>1833.26</v>
      </c>
      <c r="O726" s="3">
        <f>K726*L726*(1-M726)</f>
        <v/>
      </c>
      <c r="P726" s="3">
        <f>O726-N726</f>
        <v/>
      </c>
      <c r="Q726" s="5">
        <f>IFERROR(P726/O726,0)</f>
        <v/>
      </c>
      <c r="R726" s="2">
        <f>TEXT(DATEVALUE(B726),"mmm")</f>
        <v/>
      </c>
      <c r="S726" s="2">
        <f>TEXT(DATEVALUE(B726),"yyyy-mm")</f>
        <v/>
      </c>
    </row>
    <row r="727">
      <c r="A727" s="2" t="inlineStr">
        <is>
          <t>O004742</t>
        </is>
      </c>
      <c r="B727" s="2" t="inlineStr">
        <is>
          <t>2025-02-23</t>
        </is>
      </c>
      <c r="C727" s="2" t="inlineStr">
        <is>
          <t>C0454</t>
        </is>
      </c>
      <c r="D727" s="2" t="inlineStr">
        <is>
          <t>P0011</t>
        </is>
      </c>
      <c r="E727" s="2" t="inlineStr">
        <is>
          <t>Cookware Set</t>
        </is>
      </c>
      <c r="F727" s="2" t="inlineStr">
        <is>
          <t>Home &amp; Kitchen</t>
        </is>
      </c>
      <c r="G727" s="2" t="inlineStr">
        <is>
          <t>West</t>
        </is>
      </c>
      <c r="H727" s="2" t="inlineStr">
        <is>
          <t>Maharashtra</t>
        </is>
      </c>
      <c r="I727" s="2" t="inlineStr">
        <is>
          <t>Pune</t>
        </is>
      </c>
      <c r="J727" s="2" t="inlineStr">
        <is>
          <t>Store</t>
        </is>
      </c>
      <c r="K727" s="2" t="n">
        <v>3</v>
      </c>
      <c r="L727" s="3" t="n">
        <v>673.41</v>
      </c>
      <c r="M727" s="4" t="n">
        <v>0.2</v>
      </c>
      <c r="N727" s="3" t="n">
        <v>1417.48</v>
      </c>
      <c r="O727" s="3">
        <f>K727*L727*(1-M727)</f>
        <v/>
      </c>
      <c r="P727" s="3">
        <f>O727-N727</f>
        <v/>
      </c>
      <c r="Q727" s="5">
        <f>IFERROR(P727/O727,0)</f>
        <v/>
      </c>
      <c r="R727" s="2">
        <f>TEXT(DATEVALUE(B727),"mmm")</f>
        <v/>
      </c>
      <c r="S727" s="2">
        <f>TEXT(DATEVALUE(B727),"yyyy-mm")</f>
        <v/>
      </c>
    </row>
    <row r="728">
      <c r="A728" s="2" t="inlineStr">
        <is>
          <t>O004390</t>
        </is>
      </c>
      <c r="B728" s="2" t="inlineStr">
        <is>
          <t>2025-02-23</t>
        </is>
      </c>
      <c r="C728" s="2" t="inlineStr">
        <is>
          <t>C0105</t>
        </is>
      </c>
      <c r="D728" s="2" t="inlineStr">
        <is>
          <t>P0004</t>
        </is>
      </c>
      <c r="E728" s="2" t="inlineStr">
        <is>
          <t>USB-C Hub</t>
        </is>
      </c>
      <c r="F728" s="2" t="inlineStr">
        <is>
          <t>Electronics</t>
        </is>
      </c>
      <c r="G728" s="2" t="inlineStr">
        <is>
          <t>South</t>
        </is>
      </c>
      <c r="H728" s="2" t="inlineStr">
        <is>
          <t>Karnataka</t>
        </is>
      </c>
      <c r="I728" s="2" t="inlineStr">
        <is>
          <t>Bengaluru</t>
        </is>
      </c>
      <c r="J728" s="2" t="inlineStr">
        <is>
          <t>Store</t>
        </is>
      </c>
      <c r="K728" s="2" t="n">
        <v>2</v>
      </c>
      <c r="L728" s="3" t="n">
        <v>1216.61</v>
      </c>
      <c r="M728" s="4" t="n">
        <v>0.15</v>
      </c>
      <c r="N728" s="3" t="n">
        <v>1883.4</v>
      </c>
      <c r="O728" s="3">
        <f>K728*L728*(1-M728)</f>
        <v/>
      </c>
      <c r="P728" s="3">
        <f>O728-N728</f>
        <v/>
      </c>
      <c r="Q728" s="5">
        <f>IFERROR(P728/O728,0)</f>
        <v/>
      </c>
      <c r="R728" s="2">
        <f>TEXT(DATEVALUE(B728),"mmm")</f>
        <v/>
      </c>
      <c r="S728" s="2">
        <f>TEXT(DATEVALUE(B728),"yyyy-mm")</f>
        <v/>
      </c>
    </row>
    <row r="729">
      <c r="A729" s="2" t="inlineStr">
        <is>
          <t>O004122</t>
        </is>
      </c>
      <c r="B729" s="2" t="inlineStr">
        <is>
          <t>2025-02-23</t>
        </is>
      </c>
      <c r="C729" s="2" t="inlineStr">
        <is>
          <t>C0685</t>
        </is>
      </c>
      <c r="D729" s="2" t="inlineStr">
        <is>
          <t>P0012</t>
        </is>
      </c>
      <c r="E729" s="2" t="inlineStr">
        <is>
          <t>Water Bottle</t>
        </is>
      </c>
      <c r="F729" s="2" t="inlineStr">
        <is>
          <t>Home &amp; Kitchen</t>
        </is>
      </c>
      <c r="G729" s="2" t="inlineStr">
        <is>
          <t>East</t>
        </is>
      </c>
      <c r="H729" s="2" t="inlineStr">
        <is>
          <t>Odisha</t>
        </is>
      </c>
      <c r="I729" s="2" t="inlineStr">
        <is>
          <t>Cuttack</t>
        </is>
      </c>
      <c r="J729" s="2" t="inlineStr">
        <is>
          <t>Store</t>
        </is>
      </c>
      <c r="K729" s="2" t="n">
        <v>1</v>
      </c>
      <c r="L729" s="3" t="n">
        <v>999.55</v>
      </c>
      <c r="M729" s="4" t="n">
        <v>0.05</v>
      </c>
      <c r="N729" s="3" t="n">
        <v>602</v>
      </c>
      <c r="O729" s="3">
        <f>K729*L729*(1-M729)</f>
        <v/>
      </c>
      <c r="P729" s="3">
        <f>O729-N729</f>
        <v/>
      </c>
      <c r="Q729" s="5">
        <f>IFERROR(P729/O729,0)</f>
        <v/>
      </c>
      <c r="R729" s="2">
        <f>TEXT(DATEVALUE(B729),"mmm")</f>
        <v/>
      </c>
      <c r="S729" s="2">
        <f>TEXT(DATEVALUE(B729),"yyyy-mm")</f>
        <v/>
      </c>
    </row>
    <row r="730">
      <c r="A730" s="2" t="inlineStr">
        <is>
          <t>O003913</t>
        </is>
      </c>
      <c r="B730" s="2" t="inlineStr">
        <is>
          <t>2025-02-23</t>
        </is>
      </c>
      <c r="C730" s="2" t="inlineStr">
        <is>
          <t>C0317</t>
        </is>
      </c>
      <c r="D730" s="2" t="inlineStr">
        <is>
          <t>P0017</t>
        </is>
      </c>
      <c r="E730" s="2" t="inlineStr">
        <is>
          <t>Jeans</t>
        </is>
      </c>
      <c r="F730" s="2" t="inlineStr">
        <is>
          <t>Fashion</t>
        </is>
      </c>
      <c r="G730" s="2" t="inlineStr">
        <is>
          <t>East</t>
        </is>
      </c>
      <c r="H730" s="2" t="inlineStr">
        <is>
          <t>Odisha</t>
        </is>
      </c>
      <c r="I730" s="2" t="inlineStr">
        <is>
          <t>Bhubaneswar</t>
        </is>
      </c>
      <c r="J730" s="2" t="inlineStr">
        <is>
          <t>Online</t>
        </is>
      </c>
      <c r="K730" s="2" t="n">
        <v>1</v>
      </c>
      <c r="L730" s="3" t="n">
        <v>1441.4</v>
      </c>
      <c r="M730" s="4" t="n">
        <v>0.05</v>
      </c>
      <c r="N730" s="3" t="n">
        <v>1031.13</v>
      </c>
      <c r="O730" s="3">
        <f>K730*L730*(1-M730)</f>
        <v/>
      </c>
      <c r="P730" s="3">
        <f>O730-N730</f>
        <v/>
      </c>
      <c r="Q730" s="5">
        <f>IFERROR(P730/O730,0)</f>
        <v/>
      </c>
      <c r="R730" s="2">
        <f>TEXT(DATEVALUE(B730),"mmm")</f>
        <v/>
      </c>
      <c r="S730" s="2">
        <f>TEXT(DATEVALUE(B730),"yyyy-mm")</f>
        <v/>
      </c>
    </row>
    <row r="731">
      <c r="A731" s="2" t="inlineStr">
        <is>
          <t>O003786</t>
        </is>
      </c>
      <c r="B731" s="2" t="inlineStr">
        <is>
          <t>2025-02-23</t>
        </is>
      </c>
      <c r="C731" s="2" t="inlineStr">
        <is>
          <t>C0668</t>
        </is>
      </c>
      <c r="D731" s="2" t="inlineStr">
        <is>
          <t>P0014</t>
        </is>
      </c>
      <c r="E731" s="2" t="inlineStr">
        <is>
          <t>Coffee Maker</t>
        </is>
      </c>
      <c r="F731" s="2" t="inlineStr">
        <is>
          <t>Home &amp; Kitchen</t>
        </is>
      </c>
      <c r="G731" s="2" t="inlineStr">
        <is>
          <t>West</t>
        </is>
      </c>
      <c r="H731" s="2" t="inlineStr">
        <is>
          <t>Goa</t>
        </is>
      </c>
      <c r="I731" s="2" t="inlineStr">
        <is>
          <t>Margao</t>
        </is>
      </c>
      <c r="J731" s="2" t="inlineStr">
        <is>
          <t>Online</t>
        </is>
      </c>
      <c r="K731" s="2" t="n">
        <v>1</v>
      </c>
      <c r="L731" s="3" t="n">
        <v>1073.2</v>
      </c>
      <c r="M731" s="4" t="n">
        <v>0.05</v>
      </c>
      <c r="N731" s="3" t="n">
        <v>771.79</v>
      </c>
      <c r="O731" s="3">
        <f>K731*L731*(1-M731)</f>
        <v/>
      </c>
      <c r="P731" s="3">
        <f>O731-N731</f>
        <v/>
      </c>
      <c r="Q731" s="5">
        <f>IFERROR(P731/O731,0)</f>
        <v/>
      </c>
      <c r="R731" s="2">
        <f>TEXT(DATEVALUE(B731),"mmm")</f>
        <v/>
      </c>
      <c r="S731" s="2">
        <f>TEXT(DATEVALUE(B731),"yyyy-mm")</f>
        <v/>
      </c>
    </row>
    <row r="732">
      <c r="A732" s="2" t="inlineStr">
        <is>
          <t>O003653</t>
        </is>
      </c>
      <c r="B732" s="2" t="inlineStr">
        <is>
          <t>2025-02-23</t>
        </is>
      </c>
      <c r="C732" s="2" t="inlineStr">
        <is>
          <t>C0315</t>
        </is>
      </c>
      <c r="D732" s="2" t="inlineStr">
        <is>
          <t>P0011</t>
        </is>
      </c>
      <c r="E732" s="2" t="inlineStr">
        <is>
          <t>Cookware Set</t>
        </is>
      </c>
      <c r="F732" s="2" t="inlineStr">
        <is>
          <t>Home &amp; Kitchen</t>
        </is>
      </c>
      <c r="G732" s="2" t="inlineStr">
        <is>
          <t>West</t>
        </is>
      </c>
      <c r="H732" s="2" t="inlineStr">
        <is>
          <t>Maharashtra</t>
        </is>
      </c>
      <c r="I732" s="2" t="inlineStr">
        <is>
          <t>Thane</t>
        </is>
      </c>
      <c r="J732" s="2" t="inlineStr">
        <is>
          <t>Store</t>
        </is>
      </c>
      <c r="K732" s="2" t="n">
        <v>3</v>
      </c>
      <c r="L732" s="3" t="n">
        <v>734.89</v>
      </c>
      <c r="M732" s="4" t="n">
        <v>0.1</v>
      </c>
      <c r="N732" s="3" t="n">
        <v>1397.12</v>
      </c>
      <c r="O732" s="3">
        <f>K732*L732*(1-M732)</f>
        <v/>
      </c>
      <c r="P732" s="3">
        <f>O732-N732</f>
        <v/>
      </c>
      <c r="Q732" s="5">
        <f>IFERROR(P732/O732,0)</f>
        <v/>
      </c>
      <c r="R732" s="2">
        <f>TEXT(DATEVALUE(B732),"mmm")</f>
        <v/>
      </c>
      <c r="S732" s="2">
        <f>TEXT(DATEVALUE(B732),"yyyy-mm")</f>
        <v/>
      </c>
    </row>
    <row r="733">
      <c r="A733" s="2" t="inlineStr">
        <is>
          <t>O002695</t>
        </is>
      </c>
      <c r="B733" s="2" t="inlineStr">
        <is>
          <t>2025-02-23</t>
        </is>
      </c>
      <c r="C733" s="2" t="inlineStr">
        <is>
          <t>C0239</t>
        </is>
      </c>
      <c r="D733" s="2" t="inlineStr">
        <is>
          <t>P0008</t>
        </is>
      </c>
      <c r="E733" s="2" t="inlineStr">
        <is>
          <t>Air Fryer</t>
        </is>
      </c>
      <c r="F733" s="2" t="inlineStr">
        <is>
          <t>Home &amp; Kitchen</t>
        </is>
      </c>
      <c r="G733" s="2" t="inlineStr">
        <is>
          <t>North</t>
        </is>
      </c>
      <c r="H733" s="2" t="inlineStr">
        <is>
          <t>Punjab</t>
        </is>
      </c>
      <c r="I733" s="2" t="inlineStr">
        <is>
          <t>Amritsar</t>
        </is>
      </c>
      <c r="J733" s="2" t="inlineStr">
        <is>
          <t>Store</t>
        </is>
      </c>
      <c r="K733" s="2" t="n">
        <v>4</v>
      </c>
      <c r="L733" s="3" t="n">
        <v>1020.93</v>
      </c>
      <c r="M733" s="4" t="n">
        <v>0</v>
      </c>
      <c r="N733" s="3" t="n">
        <v>2806.6</v>
      </c>
      <c r="O733" s="3">
        <f>K733*L733*(1-M733)</f>
        <v/>
      </c>
      <c r="P733" s="3">
        <f>O733-N733</f>
        <v/>
      </c>
      <c r="Q733" s="5">
        <f>IFERROR(P733/O733,0)</f>
        <v/>
      </c>
      <c r="R733" s="2">
        <f>TEXT(DATEVALUE(B733),"mmm")</f>
        <v/>
      </c>
      <c r="S733" s="2">
        <f>TEXT(DATEVALUE(B733),"yyyy-mm")</f>
        <v/>
      </c>
    </row>
    <row r="734">
      <c r="A734" s="2" t="inlineStr">
        <is>
          <t>O000278</t>
        </is>
      </c>
      <c r="B734" s="2" t="inlineStr">
        <is>
          <t>2025-02-23</t>
        </is>
      </c>
      <c r="C734" s="2" t="inlineStr">
        <is>
          <t>C0686</t>
        </is>
      </c>
      <c r="D734" s="2" t="inlineStr">
        <is>
          <t>P0009</t>
        </is>
      </c>
      <c r="E734" s="2" t="inlineStr">
        <is>
          <t>Electric Kettle</t>
        </is>
      </c>
      <c r="F734" s="2" t="inlineStr">
        <is>
          <t>Home &amp; Kitchen</t>
        </is>
      </c>
      <c r="G734" s="2" t="inlineStr">
        <is>
          <t>South</t>
        </is>
      </c>
      <c r="H734" s="2" t="inlineStr">
        <is>
          <t>Tamil Nadu</t>
        </is>
      </c>
      <c r="I734" s="2" t="inlineStr">
        <is>
          <t>Coimbatore</t>
        </is>
      </c>
      <c r="J734" s="2" t="inlineStr">
        <is>
          <t>Store</t>
        </is>
      </c>
      <c r="K734" s="2" t="n">
        <v>4</v>
      </c>
      <c r="L734" s="3" t="n">
        <v>2061.5</v>
      </c>
      <c r="M734" s="4" t="n">
        <v>0.25</v>
      </c>
      <c r="N734" s="3" t="n">
        <v>4464.83</v>
      </c>
      <c r="O734" s="3">
        <f>K734*L734*(1-M734)</f>
        <v/>
      </c>
      <c r="P734" s="3">
        <f>O734-N734</f>
        <v/>
      </c>
      <c r="Q734" s="5">
        <f>IFERROR(P734/O734,0)</f>
        <v/>
      </c>
      <c r="R734" s="2">
        <f>TEXT(DATEVALUE(B734),"mmm")</f>
        <v/>
      </c>
      <c r="S734" s="2">
        <f>TEXT(DATEVALUE(B734),"yyyy-mm")</f>
        <v/>
      </c>
    </row>
    <row r="735">
      <c r="A735" s="2" t="inlineStr">
        <is>
          <t>O001258</t>
        </is>
      </c>
      <c r="B735" s="2" t="inlineStr">
        <is>
          <t>2025-02-23</t>
        </is>
      </c>
      <c r="C735" s="2" t="inlineStr">
        <is>
          <t>C0161</t>
        </is>
      </c>
      <c r="D735" s="2" t="inlineStr">
        <is>
          <t>P0011</t>
        </is>
      </c>
      <c r="E735" s="2" t="inlineStr">
        <is>
          <t>Cookware Set</t>
        </is>
      </c>
      <c r="F735" s="2" t="inlineStr">
        <is>
          <t>Home &amp; Kitchen</t>
        </is>
      </c>
      <c r="G735" s="2" t="inlineStr">
        <is>
          <t>North</t>
        </is>
      </c>
      <c r="H735" s="2" t="inlineStr">
        <is>
          <t>Uttar Pradesh</t>
        </is>
      </c>
      <c r="I735" s="2" t="inlineStr">
        <is>
          <t>Noida</t>
        </is>
      </c>
      <c r="J735" s="2" t="inlineStr">
        <is>
          <t>Store</t>
        </is>
      </c>
      <c r="K735" s="2" t="n">
        <v>1</v>
      </c>
      <c r="L735" s="3" t="n">
        <v>689.42</v>
      </c>
      <c r="M735" s="4" t="n">
        <v>0.1</v>
      </c>
      <c r="N735" s="3" t="n">
        <v>461.58</v>
      </c>
      <c r="O735" s="3">
        <f>K735*L735*(1-M735)</f>
        <v/>
      </c>
      <c r="P735" s="3">
        <f>O735-N735</f>
        <v/>
      </c>
      <c r="Q735" s="5">
        <f>IFERROR(P735/O735,0)</f>
        <v/>
      </c>
      <c r="R735" s="2">
        <f>TEXT(DATEVALUE(B735),"mmm")</f>
        <v/>
      </c>
      <c r="S735" s="2">
        <f>TEXT(DATEVALUE(B735),"yyyy-mm")</f>
        <v/>
      </c>
    </row>
    <row r="736">
      <c r="A736" s="2" t="inlineStr">
        <is>
          <t>O000774</t>
        </is>
      </c>
      <c r="B736" s="2" t="inlineStr">
        <is>
          <t>2025-02-23</t>
        </is>
      </c>
      <c r="C736" s="2" t="inlineStr">
        <is>
          <t>C0427</t>
        </is>
      </c>
      <c r="D736" s="2" t="inlineStr">
        <is>
          <t>P0007</t>
        </is>
      </c>
      <c r="E736" s="2" t="inlineStr">
        <is>
          <t>Wireless Mouse</t>
        </is>
      </c>
      <c r="F736" s="2" t="inlineStr">
        <is>
          <t>Electronics</t>
        </is>
      </c>
      <c r="G736" s="2" t="inlineStr">
        <is>
          <t>North</t>
        </is>
      </c>
      <c r="H736" s="2" t="inlineStr">
        <is>
          <t>Delhi</t>
        </is>
      </c>
      <c r="I736" s="2" t="inlineStr">
        <is>
          <t>New Delhi</t>
        </is>
      </c>
      <c r="J736" s="2" t="inlineStr">
        <is>
          <t>Store</t>
        </is>
      </c>
      <c r="K736" s="2" t="n">
        <v>2</v>
      </c>
      <c r="L736" s="3" t="n">
        <v>994.8099999999999</v>
      </c>
      <c r="M736" s="4" t="n">
        <v>0.1</v>
      </c>
      <c r="N736" s="3" t="n">
        <v>1206.21</v>
      </c>
      <c r="O736" s="3">
        <f>K736*L736*(1-M736)</f>
        <v/>
      </c>
      <c r="P736" s="3">
        <f>O736-N736</f>
        <v/>
      </c>
      <c r="Q736" s="5">
        <f>IFERROR(P736/O736,0)</f>
        <v/>
      </c>
      <c r="R736" s="2">
        <f>TEXT(DATEVALUE(B736),"mmm")</f>
        <v/>
      </c>
      <c r="S736" s="2">
        <f>TEXT(DATEVALUE(B736),"yyyy-mm")</f>
        <v/>
      </c>
    </row>
    <row r="737">
      <c r="A737" s="2" t="inlineStr">
        <is>
          <t>O000679</t>
        </is>
      </c>
      <c r="B737" s="2" t="inlineStr">
        <is>
          <t>2025-02-23</t>
        </is>
      </c>
      <c r="C737" s="2" t="inlineStr">
        <is>
          <t>C0348</t>
        </is>
      </c>
      <c r="D737" s="2" t="inlineStr">
        <is>
          <t>P0026</t>
        </is>
      </c>
      <c r="E737" s="2" t="inlineStr">
        <is>
          <t>Shampoo</t>
        </is>
      </c>
      <c r="F737" s="2" t="inlineStr">
        <is>
          <t>Beauty</t>
        </is>
      </c>
      <c r="G737" s="2" t="inlineStr">
        <is>
          <t>West</t>
        </is>
      </c>
      <c r="H737" s="2" t="inlineStr">
        <is>
          <t>Gujarat</t>
        </is>
      </c>
      <c r="I737" s="2" t="inlineStr">
        <is>
          <t>Ahmedabad</t>
        </is>
      </c>
      <c r="J737" s="2" t="inlineStr">
        <is>
          <t>Store</t>
        </is>
      </c>
      <c r="K737" s="2" t="n">
        <v>2</v>
      </c>
      <c r="L737" s="3" t="n">
        <v>905.95</v>
      </c>
      <c r="M737" s="4" t="n">
        <v>0.05</v>
      </c>
      <c r="N737" s="3" t="n">
        <v>1073.84</v>
      </c>
      <c r="O737" s="3">
        <f>K737*L737*(1-M737)</f>
        <v/>
      </c>
      <c r="P737" s="3">
        <f>O737-N737</f>
        <v/>
      </c>
      <c r="Q737" s="5">
        <f>IFERROR(P737/O737,0)</f>
        <v/>
      </c>
      <c r="R737" s="2">
        <f>TEXT(DATEVALUE(B737),"mmm")</f>
        <v/>
      </c>
      <c r="S737" s="2">
        <f>TEXT(DATEVALUE(B737),"yyyy-mm")</f>
        <v/>
      </c>
    </row>
    <row r="738">
      <c r="A738" s="2" t="inlineStr">
        <is>
          <t>O000410</t>
        </is>
      </c>
      <c r="B738" s="2" t="inlineStr">
        <is>
          <t>2025-02-23</t>
        </is>
      </c>
      <c r="C738" s="2" t="inlineStr">
        <is>
          <t>C0299</t>
        </is>
      </c>
      <c r="D738" s="2" t="inlineStr">
        <is>
          <t>P0001</t>
        </is>
      </c>
      <c r="E738" s="2" t="inlineStr">
        <is>
          <t>Wireless Headphones</t>
        </is>
      </c>
      <c r="F738" s="2" t="inlineStr">
        <is>
          <t>Electronics</t>
        </is>
      </c>
      <c r="G738" s="2" t="inlineStr">
        <is>
          <t>East</t>
        </is>
      </c>
      <c r="H738" s="2" t="inlineStr">
        <is>
          <t>Odisha</t>
        </is>
      </c>
      <c r="I738" s="2" t="inlineStr">
        <is>
          <t>Cuttack</t>
        </is>
      </c>
      <c r="J738" s="2" t="inlineStr">
        <is>
          <t>Online</t>
        </is>
      </c>
      <c r="K738" s="2" t="n">
        <v>2</v>
      </c>
      <c r="L738" s="3" t="n">
        <v>1329.05</v>
      </c>
      <c r="M738" s="4" t="n">
        <v>0.1</v>
      </c>
      <c r="N738" s="3" t="n">
        <v>1428.96</v>
      </c>
      <c r="O738" s="3">
        <f>K738*L738*(1-M738)</f>
        <v/>
      </c>
      <c r="P738" s="3">
        <f>O738-N738</f>
        <v/>
      </c>
      <c r="Q738" s="5">
        <f>IFERROR(P738/O738,0)</f>
        <v/>
      </c>
      <c r="R738" s="2">
        <f>TEXT(DATEVALUE(B738),"mmm")</f>
        <v/>
      </c>
      <c r="S738" s="2">
        <f>TEXT(DATEVALUE(B738),"yyyy-mm")</f>
        <v/>
      </c>
    </row>
    <row r="739">
      <c r="A739" s="2" t="inlineStr">
        <is>
          <t>O000356</t>
        </is>
      </c>
      <c r="B739" s="2" t="inlineStr">
        <is>
          <t>2025-02-23</t>
        </is>
      </c>
      <c r="C739" s="2" t="inlineStr">
        <is>
          <t>C0667</t>
        </is>
      </c>
      <c r="D739" s="2" t="inlineStr">
        <is>
          <t>P0026</t>
        </is>
      </c>
      <c r="E739" s="2" t="inlineStr">
        <is>
          <t>Shampoo</t>
        </is>
      </c>
      <c r="F739" s="2" t="inlineStr">
        <is>
          <t>Beauty</t>
        </is>
      </c>
      <c r="G739" s="2" t="inlineStr">
        <is>
          <t>North</t>
        </is>
      </c>
      <c r="H739" s="2" t="inlineStr">
        <is>
          <t>Uttar Pradesh</t>
        </is>
      </c>
      <c r="I739" s="2" t="inlineStr">
        <is>
          <t>Noida</t>
        </is>
      </c>
      <c r="J739" s="2" t="inlineStr">
        <is>
          <t>Online</t>
        </is>
      </c>
      <c r="K739" s="2" t="n">
        <v>3</v>
      </c>
      <c r="L739" s="3" t="n">
        <v>849.16</v>
      </c>
      <c r="M739" s="4" t="n">
        <v>0.1</v>
      </c>
      <c r="N739" s="3" t="n">
        <v>1559.63</v>
      </c>
      <c r="O739" s="3">
        <f>K739*L739*(1-M739)</f>
        <v/>
      </c>
      <c r="P739" s="3">
        <f>O739-N739</f>
        <v/>
      </c>
      <c r="Q739" s="5">
        <f>IFERROR(P739/O739,0)</f>
        <v/>
      </c>
      <c r="R739" s="2">
        <f>TEXT(DATEVALUE(B739),"mmm")</f>
        <v/>
      </c>
      <c r="S739" s="2">
        <f>TEXT(DATEVALUE(B739),"yyyy-mm")</f>
        <v/>
      </c>
    </row>
    <row r="740">
      <c r="A740" s="2" t="inlineStr">
        <is>
          <t>O000210</t>
        </is>
      </c>
      <c r="B740" s="2" t="inlineStr">
        <is>
          <t>2025-02-23</t>
        </is>
      </c>
      <c r="C740" s="2" t="inlineStr">
        <is>
          <t>C0742</t>
        </is>
      </c>
      <c r="D740" s="2" t="inlineStr">
        <is>
          <t>P0004</t>
        </is>
      </c>
      <c r="E740" s="2" t="inlineStr">
        <is>
          <t>USB-C Hub</t>
        </is>
      </c>
      <c r="F740" s="2" t="inlineStr">
        <is>
          <t>Electronics</t>
        </is>
      </c>
      <c r="G740" s="2" t="inlineStr">
        <is>
          <t>West</t>
        </is>
      </c>
      <c r="H740" s="2" t="inlineStr">
        <is>
          <t>Goa</t>
        </is>
      </c>
      <c r="I740" s="2" t="inlineStr">
        <is>
          <t>Panaji</t>
        </is>
      </c>
      <c r="J740" s="2" t="inlineStr">
        <is>
          <t>Online</t>
        </is>
      </c>
      <c r="K740" s="2" t="n">
        <v>4</v>
      </c>
      <c r="L740" s="3" t="n">
        <v>1228.18</v>
      </c>
      <c r="M740" s="4" t="n">
        <v>0.1</v>
      </c>
      <c r="N740" s="3" t="n">
        <v>3599.3</v>
      </c>
      <c r="O740" s="3">
        <f>K740*L740*(1-M740)</f>
        <v/>
      </c>
      <c r="P740" s="3">
        <f>O740-N740</f>
        <v/>
      </c>
      <c r="Q740" s="5">
        <f>IFERROR(P740/O740,0)</f>
        <v/>
      </c>
      <c r="R740" s="2">
        <f>TEXT(DATEVALUE(B740),"mmm")</f>
        <v/>
      </c>
      <c r="S740" s="2">
        <f>TEXT(DATEVALUE(B740),"yyyy-mm")</f>
        <v/>
      </c>
    </row>
    <row r="741">
      <c r="A741" s="2" t="inlineStr">
        <is>
          <t>O000065</t>
        </is>
      </c>
      <c r="B741" s="2" t="inlineStr">
        <is>
          <t>2025-02-23</t>
        </is>
      </c>
      <c r="C741" s="2" t="inlineStr">
        <is>
          <t>C0102</t>
        </is>
      </c>
      <c r="D741" s="2" t="inlineStr">
        <is>
          <t>P0001</t>
        </is>
      </c>
      <c r="E741" s="2" t="inlineStr">
        <is>
          <t>Wireless Headphones</t>
        </is>
      </c>
      <c r="F741" s="2" t="inlineStr">
        <is>
          <t>Electronics</t>
        </is>
      </c>
      <c r="G741" s="2" t="inlineStr">
        <is>
          <t>South</t>
        </is>
      </c>
      <c r="H741" s="2" t="inlineStr">
        <is>
          <t>Tamil Nadu</t>
        </is>
      </c>
      <c r="I741" s="2" t="inlineStr">
        <is>
          <t>Coimbatore</t>
        </is>
      </c>
      <c r="J741" s="2" t="inlineStr">
        <is>
          <t>Store</t>
        </is>
      </c>
      <c r="K741" s="2" t="n">
        <v>4</v>
      </c>
      <c r="L741" s="3" t="n">
        <v>1324.65</v>
      </c>
      <c r="M741" s="4" t="n">
        <v>0.1</v>
      </c>
      <c r="N741" s="3" t="n">
        <v>2871.93</v>
      </c>
      <c r="O741" s="3">
        <f>K741*L741*(1-M741)</f>
        <v/>
      </c>
      <c r="P741" s="3">
        <f>O741-N741</f>
        <v/>
      </c>
      <c r="Q741" s="5">
        <f>IFERROR(P741/O741,0)</f>
        <v/>
      </c>
      <c r="R741" s="2">
        <f>TEXT(DATEVALUE(B741),"mmm")</f>
        <v/>
      </c>
      <c r="S741" s="2">
        <f>TEXT(DATEVALUE(B741),"yyyy-mm")</f>
        <v/>
      </c>
    </row>
    <row r="742">
      <c r="A742" s="2" t="inlineStr">
        <is>
          <t>O001564</t>
        </is>
      </c>
      <c r="B742" s="2" t="inlineStr">
        <is>
          <t>2025-02-23</t>
        </is>
      </c>
      <c r="C742" s="2" t="inlineStr">
        <is>
          <t>C0182</t>
        </is>
      </c>
      <c r="D742" s="2" t="inlineStr">
        <is>
          <t>P0007</t>
        </is>
      </c>
      <c r="E742" s="2" t="inlineStr">
        <is>
          <t>Wireless Mouse</t>
        </is>
      </c>
      <c r="F742" s="2" t="inlineStr">
        <is>
          <t>Electronics</t>
        </is>
      </c>
      <c r="G742" s="2" t="inlineStr">
        <is>
          <t>South</t>
        </is>
      </c>
      <c r="H742" s="2" t="inlineStr">
        <is>
          <t>Karnataka</t>
        </is>
      </c>
      <c r="I742" s="2" t="inlineStr">
        <is>
          <t>Mangaluru</t>
        </is>
      </c>
      <c r="J742" s="2" t="inlineStr">
        <is>
          <t>Store</t>
        </is>
      </c>
      <c r="K742" s="2" t="n">
        <v>1</v>
      </c>
      <c r="L742" s="3" t="n">
        <v>990.0700000000001</v>
      </c>
      <c r="M742" s="4" t="n">
        <v>0.15</v>
      </c>
      <c r="N742" s="3" t="n">
        <v>643.5700000000001</v>
      </c>
      <c r="O742" s="3">
        <f>K742*L742*(1-M742)</f>
        <v/>
      </c>
      <c r="P742" s="3">
        <f>O742-N742</f>
        <v/>
      </c>
      <c r="Q742" s="5">
        <f>IFERROR(P742/O742,0)</f>
        <v/>
      </c>
      <c r="R742" s="2">
        <f>TEXT(DATEVALUE(B742),"mmm")</f>
        <v/>
      </c>
      <c r="S742" s="2">
        <f>TEXT(DATEVALUE(B742),"yyyy-mm")</f>
        <v/>
      </c>
    </row>
    <row r="743">
      <c r="A743" s="2" t="inlineStr">
        <is>
          <t>O002972</t>
        </is>
      </c>
      <c r="B743" s="2" t="inlineStr">
        <is>
          <t>2025-02-24</t>
        </is>
      </c>
      <c r="C743" s="2" t="inlineStr">
        <is>
          <t>C0216</t>
        </is>
      </c>
      <c r="D743" s="2" t="inlineStr">
        <is>
          <t>P0012</t>
        </is>
      </c>
      <c r="E743" s="2" t="inlineStr">
        <is>
          <t>Water Bottle</t>
        </is>
      </c>
      <c r="F743" s="2" t="inlineStr">
        <is>
          <t>Home &amp; Kitchen</t>
        </is>
      </c>
      <c r="G743" s="2" t="inlineStr">
        <is>
          <t>West</t>
        </is>
      </c>
      <c r="H743" s="2" t="inlineStr">
        <is>
          <t>Gujarat</t>
        </is>
      </c>
      <c r="I743" s="2" t="inlineStr">
        <is>
          <t>Surat</t>
        </is>
      </c>
      <c r="J743" s="2" t="inlineStr">
        <is>
          <t>Online</t>
        </is>
      </c>
      <c r="K743" s="2" t="n">
        <v>2</v>
      </c>
      <c r="L743" s="3" t="n">
        <v>938.4400000000001</v>
      </c>
      <c r="M743" s="4" t="n">
        <v>0</v>
      </c>
      <c r="N743" s="3" t="n">
        <v>1265.47</v>
      </c>
      <c r="O743" s="3">
        <f>K743*L743*(1-M743)</f>
        <v/>
      </c>
      <c r="P743" s="3">
        <f>O743-N743</f>
        <v/>
      </c>
      <c r="Q743" s="5">
        <f>IFERROR(P743/O743,0)</f>
        <v/>
      </c>
      <c r="R743" s="2">
        <f>TEXT(DATEVALUE(B743),"mmm")</f>
        <v/>
      </c>
      <c r="S743" s="2">
        <f>TEXT(DATEVALUE(B743),"yyyy-mm")</f>
        <v/>
      </c>
    </row>
    <row r="744">
      <c r="A744" s="2" t="inlineStr">
        <is>
          <t>O004886</t>
        </is>
      </c>
      <c r="B744" s="2" t="inlineStr">
        <is>
          <t>2025-02-24</t>
        </is>
      </c>
      <c r="C744" s="2" t="inlineStr">
        <is>
          <t>C0724</t>
        </is>
      </c>
      <c r="D744" s="2" t="inlineStr">
        <is>
          <t>P0001</t>
        </is>
      </c>
      <c r="E744" s="2" t="inlineStr">
        <is>
          <t>Wireless Headphones</t>
        </is>
      </c>
      <c r="F744" s="2" t="inlineStr">
        <is>
          <t>Electronics</t>
        </is>
      </c>
      <c r="G744" s="2" t="inlineStr">
        <is>
          <t>North</t>
        </is>
      </c>
      <c r="H744" s="2" t="inlineStr">
        <is>
          <t>Uttar Pradesh</t>
        </is>
      </c>
      <c r="I744" s="2" t="inlineStr">
        <is>
          <t>Varanasi</t>
        </is>
      </c>
      <c r="J744" s="2" t="inlineStr">
        <is>
          <t>Online</t>
        </is>
      </c>
      <c r="K744" s="2" t="n">
        <v>1</v>
      </c>
      <c r="L744" s="3" t="n">
        <v>1363.19</v>
      </c>
      <c r="M744" s="4" t="n">
        <v>0</v>
      </c>
      <c r="N744" s="3" t="n">
        <v>700.84</v>
      </c>
      <c r="O744" s="3">
        <f>K744*L744*(1-M744)</f>
        <v/>
      </c>
      <c r="P744" s="3">
        <f>O744-N744</f>
        <v/>
      </c>
      <c r="Q744" s="5">
        <f>IFERROR(P744/O744,0)</f>
        <v/>
      </c>
      <c r="R744" s="2">
        <f>TEXT(DATEVALUE(B744),"mmm")</f>
        <v/>
      </c>
      <c r="S744" s="2">
        <f>TEXT(DATEVALUE(B744),"yyyy-mm")</f>
        <v/>
      </c>
    </row>
    <row r="745">
      <c r="A745" s="2" t="inlineStr">
        <is>
          <t>O004525</t>
        </is>
      </c>
      <c r="B745" s="2" t="inlineStr">
        <is>
          <t>2025-02-24</t>
        </is>
      </c>
      <c r="C745" s="2" t="inlineStr">
        <is>
          <t>C0374</t>
        </is>
      </c>
      <c r="D745" s="2" t="inlineStr">
        <is>
          <t>P0026</t>
        </is>
      </c>
      <c r="E745" s="2" t="inlineStr">
        <is>
          <t>Shampoo</t>
        </is>
      </c>
      <c r="F745" s="2" t="inlineStr">
        <is>
          <t>Beauty</t>
        </is>
      </c>
      <c r="G745" s="2" t="inlineStr">
        <is>
          <t>North</t>
        </is>
      </c>
      <c r="H745" s="2" t="inlineStr">
        <is>
          <t>Punjab</t>
        </is>
      </c>
      <c r="I745" s="2" t="inlineStr">
        <is>
          <t>Ludhiana</t>
        </is>
      </c>
      <c r="J745" s="2" t="inlineStr">
        <is>
          <t>Store</t>
        </is>
      </c>
      <c r="K745" s="2" t="n">
        <v>2</v>
      </c>
      <c r="L745" s="3" t="n">
        <v>879.63</v>
      </c>
      <c r="M745" s="4" t="n">
        <v>0</v>
      </c>
      <c r="N745" s="3" t="n">
        <v>1037.5</v>
      </c>
      <c r="O745" s="3">
        <f>K745*L745*(1-M745)</f>
        <v/>
      </c>
      <c r="P745" s="3">
        <f>O745-N745</f>
        <v/>
      </c>
      <c r="Q745" s="5">
        <f>IFERROR(P745/O745,0)</f>
        <v/>
      </c>
      <c r="R745" s="2">
        <f>TEXT(DATEVALUE(B745),"mmm")</f>
        <v/>
      </c>
      <c r="S745" s="2">
        <f>TEXT(DATEVALUE(B745),"yyyy-mm")</f>
        <v/>
      </c>
    </row>
    <row r="746">
      <c r="A746" s="2" t="inlineStr">
        <is>
          <t>O004007</t>
        </is>
      </c>
      <c r="B746" s="2" t="inlineStr">
        <is>
          <t>2025-02-24</t>
        </is>
      </c>
      <c r="C746" s="2" t="inlineStr">
        <is>
          <t>C0584</t>
        </is>
      </c>
      <c r="D746" s="2" t="inlineStr">
        <is>
          <t>P0004</t>
        </is>
      </c>
      <c r="E746" s="2" t="inlineStr">
        <is>
          <t>USB-C Hub</t>
        </is>
      </c>
      <c r="F746" s="2" t="inlineStr">
        <is>
          <t>Electronics</t>
        </is>
      </c>
      <c r="G746" s="2" t="inlineStr">
        <is>
          <t>West</t>
        </is>
      </c>
      <c r="H746" s="2" t="inlineStr">
        <is>
          <t>Goa</t>
        </is>
      </c>
      <c r="I746" s="2" t="inlineStr">
        <is>
          <t>Margao</t>
        </is>
      </c>
      <c r="J746" s="2" t="inlineStr">
        <is>
          <t>Online</t>
        </is>
      </c>
      <c r="K746" s="2" t="n">
        <v>1</v>
      </c>
      <c r="L746" s="3" t="n">
        <v>1220.85</v>
      </c>
      <c r="M746" s="4" t="n">
        <v>0.1</v>
      </c>
      <c r="N746" s="3" t="n">
        <v>930.89</v>
      </c>
      <c r="O746" s="3">
        <f>K746*L746*(1-M746)</f>
        <v/>
      </c>
      <c r="P746" s="3">
        <f>O746-N746</f>
        <v/>
      </c>
      <c r="Q746" s="5">
        <f>IFERROR(P746/O746,0)</f>
        <v/>
      </c>
      <c r="R746" s="2">
        <f>TEXT(DATEVALUE(B746),"mmm")</f>
        <v/>
      </c>
      <c r="S746" s="2">
        <f>TEXT(DATEVALUE(B746),"yyyy-mm")</f>
        <v/>
      </c>
    </row>
    <row r="747">
      <c r="A747" s="2" t="inlineStr">
        <is>
          <t>O003836</t>
        </is>
      </c>
      <c r="B747" s="2" t="inlineStr">
        <is>
          <t>2025-02-24</t>
        </is>
      </c>
      <c r="C747" s="2" t="inlineStr">
        <is>
          <t>C0325</t>
        </is>
      </c>
      <c r="D747" s="2" t="inlineStr">
        <is>
          <t>P0006</t>
        </is>
      </c>
      <c r="E747" s="2" t="inlineStr">
        <is>
          <t>Mechanical Keyboard</t>
        </is>
      </c>
      <c r="F747" s="2" t="inlineStr">
        <is>
          <t>Electronics</t>
        </is>
      </c>
      <c r="G747" s="2" t="inlineStr">
        <is>
          <t>East</t>
        </is>
      </c>
      <c r="H747" s="2" t="inlineStr">
        <is>
          <t>West Bengal</t>
        </is>
      </c>
      <c r="I747" s="2" t="inlineStr">
        <is>
          <t>Durgapur</t>
        </is>
      </c>
      <c r="J747" s="2" t="inlineStr">
        <is>
          <t>Store</t>
        </is>
      </c>
      <c r="K747" s="2" t="n">
        <v>2</v>
      </c>
      <c r="L747" s="3" t="n">
        <v>2617</v>
      </c>
      <c r="M747" s="4" t="n">
        <v>0.05</v>
      </c>
      <c r="N747" s="3" t="n">
        <v>2965.14</v>
      </c>
      <c r="O747" s="3">
        <f>K747*L747*(1-M747)</f>
        <v/>
      </c>
      <c r="P747" s="3">
        <f>O747-N747</f>
        <v/>
      </c>
      <c r="Q747" s="5">
        <f>IFERROR(P747/O747,0)</f>
        <v/>
      </c>
      <c r="R747" s="2">
        <f>TEXT(DATEVALUE(B747),"mmm")</f>
        <v/>
      </c>
      <c r="S747" s="2">
        <f>TEXT(DATEVALUE(B747),"yyyy-mm")</f>
        <v/>
      </c>
    </row>
    <row r="748">
      <c r="A748" s="2" t="inlineStr">
        <is>
          <t>O003629</t>
        </is>
      </c>
      <c r="B748" s="2" t="inlineStr">
        <is>
          <t>2025-02-24</t>
        </is>
      </c>
      <c r="C748" s="2" t="inlineStr">
        <is>
          <t>C0406</t>
        </is>
      </c>
      <c r="D748" s="2" t="inlineStr">
        <is>
          <t>P0014</t>
        </is>
      </c>
      <c r="E748" s="2" t="inlineStr">
        <is>
          <t>Coffee Maker</t>
        </is>
      </c>
      <c r="F748" s="2" t="inlineStr">
        <is>
          <t>Home &amp; Kitchen</t>
        </is>
      </c>
      <c r="G748" s="2" t="inlineStr">
        <is>
          <t>West</t>
        </is>
      </c>
      <c r="H748" s="2" t="inlineStr">
        <is>
          <t>Gujarat</t>
        </is>
      </c>
      <c r="I748" s="2" t="inlineStr">
        <is>
          <t>Ahmedabad</t>
        </is>
      </c>
      <c r="J748" s="2" t="inlineStr">
        <is>
          <t>Store</t>
        </is>
      </c>
      <c r="K748" s="2" t="n">
        <v>2</v>
      </c>
      <c r="L748" s="3" t="n">
        <v>1081.56</v>
      </c>
      <c r="M748" s="4" t="n">
        <v>0.1</v>
      </c>
      <c r="N748" s="3" t="n">
        <v>1531.69</v>
      </c>
      <c r="O748" s="3">
        <f>K748*L748*(1-M748)</f>
        <v/>
      </c>
      <c r="P748" s="3">
        <f>O748-N748</f>
        <v/>
      </c>
      <c r="Q748" s="5">
        <f>IFERROR(P748/O748,0)</f>
        <v/>
      </c>
      <c r="R748" s="2">
        <f>TEXT(DATEVALUE(B748),"mmm")</f>
        <v/>
      </c>
      <c r="S748" s="2">
        <f>TEXT(DATEVALUE(B748),"yyyy-mm")</f>
        <v/>
      </c>
    </row>
    <row r="749">
      <c r="A749" s="2" t="inlineStr">
        <is>
          <t>O002737</t>
        </is>
      </c>
      <c r="B749" s="2" t="inlineStr">
        <is>
          <t>2025-02-24</t>
        </is>
      </c>
      <c r="C749" s="2" t="inlineStr">
        <is>
          <t>C0446</t>
        </is>
      </c>
      <c r="D749" s="2" t="inlineStr">
        <is>
          <t>P0002</t>
        </is>
      </c>
      <c r="E749" s="2" t="inlineStr">
        <is>
          <t>Bluetooth Speaker</t>
        </is>
      </c>
      <c r="F749" s="2" t="inlineStr">
        <is>
          <t>Electronics</t>
        </is>
      </c>
      <c r="G749" s="2" t="inlineStr">
        <is>
          <t>South</t>
        </is>
      </c>
      <c r="H749" s="2" t="inlineStr">
        <is>
          <t>Karnataka</t>
        </is>
      </c>
      <c r="I749" s="2" t="inlineStr">
        <is>
          <t>Bengaluru</t>
        </is>
      </c>
      <c r="J749" s="2" t="inlineStr">
        <is>
          <t>Online</t>
        </is>
      </c>
      <c r="K749" s="2" t="n">
        <v>6</v>
      </c>
      <c r="L749" s="3" t="n">
        <v>1417.06</v>
      </c>
      <c r="M749" s="4" t="n">
        <v>0.15</v>
      </c>
      <c r="N749" s="3" t="n">
        <v>4871.15</v>
      </c>
      <c r="O749" s="3">
        <f>K749*L749*(1-M749)</f>
        <v/>
      </c>
      <c r="P749" s="3">
        <f>O749-N749</f>
        <v/>
      </c>
      <c r="Q749" s="5">
        <f>IFERROR(P749/O749,0)</f>
        <v/>
      </c>
      <c r="R749" s="2">
        <f>TEXT(DATEVALUE(B749),"mmm")</f>
        <v/>
      </c>
      <c r="S749" s="2">
        <f>TEXT(DATEVALUE(B749),"yyyy-mm")</f>
        <v/>
      </c>
    </row>
    <row r="750">
      <c r="A750" s="2" t="inlineStr">
        <is>
          <t>O001167</t>
        </is>
      </c>
      <c r="B750" s="2" t="inlineStr">
        <is>
          <t>2025-02-24</t>
        </is>
      </c>
      <c r="C750" s="2" t="inlineStr">
        <is>
          <t>C0583</t>
        </is>
      </c>
      <c r="D750" s="2" t="inlineStr">
        <is>
          <t>P0001</t>
        </is>
      </c>
      <c r="E750" s="2" t="inlineStr">
        <is>
          <t>Wireless Headphones</t>
        </is>
      </c>
      <c r="F750" s="2" t="inlineStr">
        <is>
          <t>Electronics</t>
        </is>
      </c>
      <c r="G750" s="2" t="inlineStr">
        <is>
          <t>West</t>
        </is>
      </c>
      <c r="H750" s="2" t="inlineStr">
        <is>
          <t>Maharashtra</t>
        </is>
      </c>
      <c r="I750" s="2" t="inlineStr">
        <is>
          <t>Nashik</t>
        </is>
      </c>
      <c r="J750" s="2" t="inlineStr">
        <is>
          <t>Online</t>
        </is>
      </c>
      <c r="K750" s="2" t="n">
        <v>3</v>
      </c>
      <c r="L750" s="3" t="n">
        <v>1343.96</v>
      </c>
      <c r="M750" s="4" t="n">
        <v>0.1</v>
      </c>
      <c r="N750" s="3" t="n">
        <v>2149.76</v>
      </c>
      <c r="O750" s="3">
        <f>K750*L750*(1-M750)</f>
        <v/>
      </c>
      <c r="P750" s="3">
        <f>O750-N750</f>
        <v/>
      </c>
      <c r="Q750" s="5">
        <f>IFERROR(P750/O750,0)</f>
        <v/>
      </c>
      <c r="R750" s="2">
        <f>TEXT(DATEVALUE(B750),"mmm")</f>
        <v/>
      </c>
      <c r="S750" s="2">
        <f>TEXT(DATEVALUE(B750),"yyyy-mm")</f>
        <v/>
      </c>
    </row>
    <row r="751">
      <c r="A751" s="2" t="inlineStr">
        <is>
          <t>O001879</t>
        </is>
      </c>
      <c r="B751" s="2" t="inlineStr">
        <is>
          <t>2025-02-24</t>
        </is>
      </c>
      <c r="C751" s="2" t="inlineStr">
        <is>
          <t>C0675</t>
        </is>
      </c>
      <c r="D751" s="2" t="inlineStr">
        <is>
          <t>P0017</t>
        </is>
      </c>
      <c r="E751" s="2" t="inlineStr">
        <is>
          <t>Jeans</t>
        </is>
      </c>
      <c r="F751" s="2" t="inlineStr">
        <is>
          <t>Fashion</t>
        </is>
      </c>
      <c r="G751" s="2" t="inlineStr">
        <is>
          <t>North</t>
        </is>
      </c>
      <c r="H751" s="2" t="inlineStr">
        <is>
          <t>Punjab</t>
        </is>
      </c>
      <c r="I751" s="2" t="inlineStr">
        <is>
          <t>Amritsar</t>
        </is>
      </c>
      <c r="J751" s="2" t="inlineStr">
        <is>
          <t>Online</t>
        </is>
      </c>
      <c r="K751" s="2" t="n">
        <v>4</v>
      </c>
      <c r="L751" s="3" t="n">
        <v>1439.02</v>
      </c>
      <c r="M751" s="4" t="n">
        <v>0</v>
      </c>
      <c r="N751" s="3" t="n">
        <v>4095.96</v>
      </c>
      <c r="O751" s="3">
        <f>K751*L751*(1-M751)</f>
        <v/>
      </c>
      <c r="P751" s="3">
        <f>O751-N751</f>
        <v/>
      </c>
      <c r="Q751" s="5">
        <f>IFERROR(P751/O751,0)</f>
        <v/>
      </c>
      <c r="R751" s="2">
        <f>TEXT(DATEVALUE(B751),"mmm")</f>
        <v/>
      </c>
      <c r="S751" s="2">
        <f>TEXT(DATEVALUE(B751),"yyyy-mm")</f>
        <v/>
      </c>
    </row>
    <row r="752">
      <c r="A752" s="2" t="inlineStr">
        <is>
          <t>O001389</t>
        </is>
      </c>
      <c r="B752" s="2" t="inlineStr">
        <is>
          <t>2025-02-24</t>
        </is>
      </c>
      <c r="C752" s="2" t="inlineStr">
        <is>
          <t>C0084</t>
        </is>
      </c>
      <c r="D752" s="2" t="inlineStr">
        <is>
          <t>P0007</t>
        </is>
      </c>
      <c r="E752" s="2" t="inlineStr">
        <is>
          <t>Wireless Mouse</t>
        </is>
      </c>
      <c r="F752" s="2" t="inlineStr">
        <is>
          <t>Electronics</t>
        </is>
      </c>
      <c r="G752" s="2" t="inlineStr">
        <is>
          <t>South</t>
        </is>
      </c>
      <c r="H752" s="2" t="inlineStr">
        <is>
          <t>Tamil Nadu</t>
        </is>
      </c>
      <c r="I752" s="2" t="inlineStr">
        <is>
          <t>Madurai</t>
        </is>
      </c>
      <c r="J752" s="2" t="inlineStr">
        <is>
          <t>Online</t>
        </is>
      </c>
      <c r="K752" s="2" t="n">
        <v>1</v>
      </c>
      <c r="L752" s="3" t="n">
        <v>993.83</v>
      </c>
      <c r="M752" s="4" t="n">
        <v>0.1</v>
      </c>
      <c r="N752" s="3" t="n">
        <v>616.9400000000001</v>
      </c>
      <c r="O752" s="3">
        <f>K752*L752*(1-M752)</f>
        <v/>
      </c>
      <c r="P752" s="3">
        <f>O752-N752</f>
        <v/>
      </c>
      <c r="Q752" s="5">
        <f>IFERROR(P752/O752,0)</f>
        <v/>
      </c>
      <c r="R752" s="2">
        <f>TEXT(DATEVALUE(B752),"mmm")</f>
        <v/>
      </c>
      <c r="S752" s="2">
        <f>TEXT(DATEVALUE(B752),"yyyy-mm")</f>
        <v/>
      </c>
    </row>
    <row r="753">
      <c r="A753" s="2" t="inlineStr">
        <is>
          <t>O001247</t>
        </is>
      </c>
      <c r="B753" s="2" t="inlineStr">
        <is>
          <t>2025-02-24</t>
        </is>
      </c>
      <c r="C753" s="2" t="inlineStr">
        <is>
          <t>C0146</t>
        </is>
      </c>
      <c r="D753" s="2" t="inlineStr">
        <is>
          <t>P0020</t>
        </is>
      </c>
      <c r="E753" s="2" t="inlineStr">
        <is>
          <t>Sneakers</t>
        </is>
      </c>
      <c r="F753" s="2" t="inlineStr">
        <is>
          <t>Fashion</t>
        </is>
      </c>
      <c r="G753" s="2" t="inlineStr">
        <is>
          <t>South</t>
        </is>
      </c>
      <c r="H753" s="2" t="inlineStr">
        <is>
          <t>Tamil Nadu</t>
        </is>
      </c>
      <c r="I753" s="2" t="inlineStr">
        <is>
          <t>Coimbatore</t>
        </is>
      </c>
      <c r="J753" s="2" t="inlineStr">
        <is>
          <t>Store</t>
        </is>
      </c>
      <c r="K753" s="2" t="n">
        <v>2</v>
      </c>
      <c r="L753" s="3" t="n">
        <v>1857.05</v>
      </c>
      <c r="M753" s="4" t="n">
        <v>0.05</v>
      </c>
      <c r="N753" s="3" t="n">
        <v>3026.64</v>
      </c>
      <c r="O753" s="3">
        <f>K753*L753*(1-M753)</f>
        <v/>
      </c>
      <c r="P753" s="3">
        <f>O753-N753</f>
        <v/>
      </c>
      <c r="Q753" s="5">
        <f>IFERROR(P753/O753,0)</f>
        <v/>
      </c>
      <c r="R753" s="2">
        <f>TEXT(DATEVALUE(B753),"mmm")</f>
        <v/>
      </c>
      <c r="S753" s="2">
        <f>TEXT(DATEVALUE(B753),"yyyy-mm")</f>
        <v/>
      </c>
    </row>
    <row r="754">
      <c r="A754" s="2" t="inlineStr">
        <is>
          <t>O001240</t>
        </is>
      </c>
      <c r="B754" s="2" t="inlineStr">
        <is>
          <t>2025-02-24</t>
        </is>
      </c>
      <c r="C754" s="2" t="inlineStr">
        <is>
          <t>C0637</t>
        </is>
      </c>
      <c r="D754" s="2" t="inlineStr">
        <is>
          <t>P0029</t>
        </is>
      </c>
      <c r="E754" s="2" t="inlineStr">
        <is>
          <t>Yoga Mat</t>
        </is>
      </c>
      <c r="F754" s="2" t="inlineStr">
        <is>
          <t>Sports</t>
        </is>
      </c>
      <c r="G754" s="2" t="inlineStr">
        <is>
          <t>South</t>
        </is>
      </c>
      <c r="H754" s="2" t="inlineStr">
        <is>
          <t>Karnataka</t>
        </is>
      </c>
      <c r="I754" s="2" t="inlineStr">
        <is>
          <t>Bengaluru</t>
        </is>
      </c>
      <c r="J754" s="2" t="inlineStr">
        <is>
          <t>Store</t>
        </is>
      </c>
      <c r="K754" s="2" t="n">
        <v>1</v>
      </c>
      <c r="L754" s="3" t="n">
        <v>2316.48</v>
      </c>
      <c r="M754" s="4" t="n">
        <v>0.1</v>
      </c>
      <c r="N754" s="3" t="n">
        <v>1318.96</v>
      </c>
      <c r="O754" s="3">
        <f>K754*L754*(1-M754)</f>
        <v/>
      </c>
      <c r="P754" s="3">
        <f>O754-N754</f>
        <v/>
      </c>
      <c r="Q754" s="5">
        <f>IFERROR(P754/O754,0)</f>
        <v/>
      </c>
      <c r="R754" s="2">
        <f>TEXT(DATEVALUE(B754),"mmm")</f>
        <v/>
      </c>
      <c r="S754" s="2">
        <f>TEXT(DATEVALUE(B754),"yyyy-mm")</f>
        <v/>
      </c>
    </row>
    <row r="755">
      <c r="A755" s="2" t="inlineStr">
        <is>
          <t>O002318</t>
        </is>
      </c>
      <c r="B755" s="2" t="inlineStr">
        <is>
          <t>2025-02-24</t>
        </is>
      </c>
      <c r="C755" s="2" t="inlineStr">
        <is>
          <t>C0550</t>
        </is>
      </c>
      <c r="D755" s="2" t="inlineStr">
        <is>
          <t>P0024</t>
        </is>
      </c>
      <c r="E755" s="2" t="inlineStr">
        <is>
          <t>Hair Dryer</t>
        </is>
      </c>
      <c r="F755" s="2" t="inlineStr">
        <is>
          <t>Beauty</t>
        </is>
      </c>
      <c r="G755" s="2" t="inlineStr">
        <is>
          <t>North</t>
        </is>
      </c>
      <c r="H755" s="2" t="inlineStr">
        <is>
          <t>Uttar Pradesh</t>
        </is>
      </c>
      <c r="I755" s="2" t="inlineStr">
        <is>
          <t>Lucknow</t>
        </is>
      </c>
      <c r="J755" s="2" t="inlineStr">
        <is>
          <t>Store</t>
        </is>
      </c>
      <c r="K755" s="2" t="n">
        <v>3</v>
      </c>
      <c r="L755" s="3" t="n">
        <v>987.03</v>
      </c>
      <c r="M755" s="4" t="n">
        <v>0.15</v>
      </c>
      <c r="N755" s="3" t="n">
        <v>2202.51</v>
      </c>
      <c r="O755" s="3">
        <f>K755*L755*(1-M755)</f>
        <v/>
      </c>
      <c r="P755" s="3">
        <f>O755-N755</f>
        <v/>
      </c>
      <c r="Q755" s="5">
        <f>IFERROR(P755/O755,0)</f>
        <v/>
      </c>
      <c r="R755" s="2">
        <f>TEXT(DATEVALUE(B755),"mmm")</f>
        <v/>
      </c>
      <c r="S755" s="2">
        <f>TEXT(DATEVALUE(B755),"yyyy-mm")</f>
        <v/>
      </c>
    </row>
    <row r="756">
      <c r="A756" s="2" t="inlineStr">
        <is>
          <t>O000039</t>
        </is>
      </c>
      <c r="B756" s="2" t="inlineStr">
        <is>
          <t>2025-02-24</t>
        </is>
      </c>
      <c r="C756" s="2" t="inlineStr">
        <is>
          <t>C0177</t>
        </is>
      </c>
      <c r="D756" s="2" t="inlineStr">
        <is>
          <t>P0022</t>
        </is>
      </c>
      <c r="E756" s="2" t="inlineStr">
        <is>
          <t>Face Wash</t>
        </is>
      </c>
      <c r="F756" s="2" t="inlineStr">
        <is>
          <t>Beauty</t>
        </is>
      </c>
      <c r="G756" s="2" t="inlineStr">
        <is>
          <t>West</t>
        </is>
      </c>
      <c r="H756" s="2" t="inlineStr">
        <is>
          <t>Goa</t>
        </is>
      </c>
      <c r="I756" s="2" t="inlineStr">
        <is>
          <t>Panaji</t>
        </is>
      </c>
      <c r="J756" s="2" t="inlineStr">
        <is>
          <t>Online</t>
        </is>
      </c>
      <c r="K756" s="2" t="n">
        <v>4</v>
      </c>
      <c r="L756" s="3" t="n">
        <v>546.91</v>
      </c>
      <c r="M756" s="4" t="n">
        <v>0.1</v>
      </c>
      <c r="N756" s="3" t="n">
        <v>1409.28</v>
      </c>
      <c r="O756" s="3">
        <f>K756*L756*(1-M756)</f>
        <v/>
      </c>
      <c r="P756" s="3">
        <f>O756-N756</f>
        <v/>
      </c>
      <c r="Q756" s="5">
        <f>IFERROR(P756/O756,0)</f>
        <v/>
      </c>
      <c r="R756" s="2">
        <f>TEXT(DATEVALUE(B756),"mmm")</f>
        <v/>
      </c>
      <c r="S756" s="2">
        <f>TEXT(DATEVALUE(B756),"yyyy-mm")</f>
        <v/>
      </c>
    </row>
    <row r="757">
      <c r="A757" s="2" t="inlineStr">
        <is>
          <t>O004996</t>
        </is>
      </c>
      <c r="B757" s="2" t="inlineStr">
        <is>
          <t>2025-02-25</t>
        </is>
      </c>
      <c r="C757" s="2" t="inlineStr">
        <is>
          <t>C0373</t>
        </is>
      </c>
      <c r="D757" s="2" t="inlineStr">
        <is>
          <t>P0014</t>
        </is>
      </c>
      <c r="E757" s="2" t="inlineStr">
        <is>
          <t>Coffee Maker</t>
        </is>
      </c>
      <c r="F757" s="2" t="inlineStr">
        <is>
          <t>Home &amp; Kitchen</t>
        </is>
      </c>
      <c r="G757" s="2" t="inlineStr">
        <is>
          <t>North</t>
        </is>
      </c>
      <c r="H757" s="2" t="inlineStr">
        <is>
          <t>Uttar Pradesh</t>
        </is>
      </c>
      <c r="I757" s="2" t="inlineStr">
        <is>
          <t>Varanasi</t>
        </is>
      </c>
      <c r="J757" s="2" t="inlineStr">
        <is>
          <t>Online</t>
        </is>
      </c>
      <c r="K757" s="2" t="n">
        <v>2</v>
      </c>
      <c r="L757" s="3" t="n">
        <v>1057.58</v>
      </c>
      <c r="M757" s="4" t="n">
        <v>0.05</v>
      </c>
      <c r="N757" s="3" t="n">
        <v>1568.1</v>
      </c>
      <c r="O757" s="3">
        <f>K757*L757*(1-M757)</f>
        <v/>
      </c>
      <c r="P757" s="3">
        <f>O757-N757</f>
        <v/>
      </c>
      <c r="Q757" s="5">
        <f>IFERROR(P757/O757,0)</f>
        <v/>
      </c>
      <c r="R757" s="2">
        <f>TEXT(DATEVALUE(B757),"mmm")</f>
        <v/>
      </c>
      <c r="S757" s="2">
        <f>TEXT(DATEVALUE(B757),"yyyy-mm")</f>
        <v/>
      </c>
    </row>
    <row r="758">
      <c r="A758" s="2" t="inlineStr">
        <is>
          <t>O004805</t>
        </is>
      </c>
      <c r="B758" s="2" t="inlineStr">
        <is>
          <t>2025-02-25</t>
        </is>
      </c>
      <c r="C758" s="2" t="inlineStr">
        <is>
          <t>C0211</t>
        </is>
      </c>
      <c r="D758" s="2" t="inlineStr">
        <is>
          <t>P0022</t>
        </is>
      </c>
      <c r="E758" s="2" t="inlineStr">
        <is>
          <t>Face Wash</t>
        </is>
      </c>
      <c r="F758" s="2" t="inlineStr">
        <is>
          <t>Beauty</t>
        </is>
      </c>
      <c r="G758" s="2" t="inlineStr">
        <is>
          <t>South</t>
        </is>
      </c>
      <c r="H758" s="2" t="inlineStr">
        <is>
          <t>Kerala</t>
        </is>
      </c>
      <c r="I758" s="2" t="inlineStr">
        <is>
          <t>Thiruvananthapuram</t>
        </is>
      </c>
      <c r="J758" s="2" t="inlineStr">
        <is>
          <t>Online</t>
        </is>
      </c>
      <c r="K758" s="2" t="n">
        <v>4</v>
      </c>
      <c r="L758" s="3" t="n">
        <v>535.8200000000001</v>
      </c>
      <c r="M758" s="4" t="n">
        <v>0</v>
      </c>
      <c r="N758" s="3" t="n">
        <v>1360.71</v>
      </c>
      <c r="O758" s="3">
        <f>K758*L758*(1-M758)</f>
        <v/>
      </c>
      <c r="P758" s="3">
        <f>O758-N758</f>
        <v/>
      </c>
      <c r="Q758" s="5">
        <f>IFERROR(P758/O758,0)</f>
        <v/>
      </c>
      <c r="R758" s="2">
        <f>TEXT(DATEVALUE(B758),"mmm")</f>
        <v/>
      </c>
      <c r="S758" s="2">
        <f>TEXT(DATEVALUE(B758),"yyyy-mm")</f>
        <v/>
      </c>
    </row>
    <row r="759">
      <c r="A759" s="2" t="inlineStr">
        <is>
          <t>O004454</t>
        </is>
      </c>
      <c r="B759" s="2" t="inlineStr">
        <is>
          <t>2025-02-25</t>
        </is>
      </c>
      <c r="C759" s="2" t="inlineStr">
        <is>
          <t>C0512</t>
        </is>
      </c>
      <c r="D759" s="2" t="inlineStr">
        <is>
          <t>P0018</t>
        </is>
      </c>
      <c r="E759" s="2" t="inlineStr">
        <is>
          <t>Backpack</t>
        </is>
      </c>
      <c r="F759" s="2" t="inlineStr">
        <is>
          <t>Fashion</t>
        </is>
      </c>
      <c r="G759" s="2" t="inlineStr">
        <is>
          <t>North</t>
        </is>
      </c>
      <c r="H759" s="2" t="inlineStr">
        <is>
          <t>Haryana</t>
        </is>
      </c>
      <c r="I759" s="2" t="inlineStr">
        <is>
          <t>Faridabad</t>
        </is>
      </c>
      <c r="J759" s="2" t="inlineStr">
        <is>
          <t>Store</t>
        </is>
      </c>
      <c r="K759" s="2" t="n">
        <v>3</v>
      </c>
      <c r="L759" s="3" t="n">
        <v>1847.17</v>
      </c>
      <c r="M759" s="4" t="n">
        <v>0.15</v>
      </c>
      <c r="N759" s="3" t="n">
        <v>4000.89</v>
      </c>
      <c r="O759" s="3">
        <f>K759*L759*(1-M759)</f>
        <v/>
      </c>
      <c r="P759" s="3">
        <f>O759-N759</f>
        <v/>
      </c>
      <c r="Q759" s="5">
        <f>IFERROR(P759/O759,0)</f>
        <v/>
      </c>
      <c r="R759" s="2">
        <f>TEXT(DATEVALUE(B759),"mmm")</f>
        <v/>
      </c>
      <c r="S759" s="2">
        <f>TEXT(DATEVALUE(B759),"yyyy-mm")</f>
        <v/>
      </c>
    </row>
    <row r="760">
      <c r="A760" s="2" t="inlineStr">
        <is>
          <t>O003711</t>
        </is>
      </c>
      <c r="B760" s="2" t="inlineStr">
        <is>
          <t>2025-02-25</t>
        </is>
      </c>
      <c r="C760" s="2" t="inlineStr">
        <is>
          <t>C0153</t>
        </is>
      </c>
      <c r="D760" s="2" t="inlineStr">
        <is>
          <t>P0035</t>
        </is>
      </c>
      <c r="E760" s="2" t="inlineStr">
        <is>
          <t>Skipping Rope</t>
        </is>
      </c>
      <c r="F760" s="2" t="inlineStr">
        <is>
          <t>Sports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Mangaluru</t>
        </is>
      </c>
      <c r="J760" s="2" t="inlineStr">
        <is>
          <t>Store</t>
        </is>
      </c>
      <c r="K760" s="2" t="n">
        <v>3</v>
      </c>
      <c r="L760" s="3" t="n">
        <v>682.17</v>
      </c>
      <c r="M760" s="4" t="n">
        <v>0.05</v>
      </c>
      <c r="N760" s="3" t="n">
        <v>1263.93</v>
      </c>
      <c r="O760" s="3">
        <f>K760*L760*(1-M760)</f>
        <v/>
      </c>
      <c r="P760" s="3">
        <f>O760-N760</f>
        <v/>
      </c>
      <c r="Q760" s="5">
        <f>IFERROR(P760/O760,0)</f>
        <v/>
      </c>
      <c r="R760" s="2">
        <f>TEXT(DATEVALUE(B760),"mmm")</f>
        <v/>
      </c>
      <c r="S760" s="2">
        <f>TEXT(DATEVALUE(B760),"yyyy-mm")</f>
        <v/>
      </c>
    </row>
    <row r="761">
      <c r="A761" s="2" t="inlineStr">
        <is>
          <t>O002439</t>
        </is>
      </c>
      <c r="B761" s="2" t="inlineStr">
        <is>
          <t>2025-02-25</t>
        </is>
      </c>
      <c r="C761" s="2" t="inlineStr">
        <is>
          <t>C0456</t>
        </is>
      </c>
      <c r="D761" s="2" t="inlineStr">
        <is>
          <t>P0008</t>
        </is>
      </c>
      <c r="E761" s="2" t="inlineStr">
        <is>
          <t>Air Fryer</t>
        </is>
      </c>
      <c r="F761" s="2" t="inlineStr">
        <is>
          <t>Home &amp; Kitchen</t>
        </is>
      </c>
      <c r="G761" s="2" t="inlineStr">
        <is>
          <t>South</t>
        </is>
      </c>
      <c r="H761" s="2" t="inlineStr">
        <is>
          <t>Tamil Nadu</t>
        </is>
      </c>
      <c r="I761" s="2" t="inlineStr">
        <is>
          <t>Coimbatore</t>
        </is>
      </c>
      <c r="J761" s="2" t="inlineStr">
        <is>
          <t>Online</t>
        </is>
      </c>
      <c r="K761" s="2" t="n">
        <v>5</v>
      </c>
      <c r="L761" s="3" t="n">
        <v>1007.52</v>
      </c>
      <c r="M761" s="4" t="n">
        <v>0.2</v>
      </c>
      <c r="N761" s="3" t="n">
        <v>3535.51</v>
      </c>
      <c r="O761" s="3">
        <f>K761*L761*(1-M761)</f>
        <v/>
      </c>
      <c r="P761" s="3">
        <f>O761-N761</f>
        <v/>
      </c>
      <c r="Q761" s="5">
        <f>IFERROR(P761/O761,0)</f>
        <v/>
      </c>
      <c r="R761" s="2">
        <f>TEXT(DATEVALUE(B761),"mmm")</f>
        <v/>
      </c>
      <c r="S761" s="2">
        <f>TEXT(DATEVALUE(B761),"yyyy-mm")</f>
        <v/>
      </c>
    </row>
    <row r="762">
      <c r="A762" s="2" t="inlineStr">
        <is>
          <t>O001623</t>
        </is>
      </c>
      <c r="B762" s="2" t="inlineStr">
        <is>
          <t>2025-02-25</t>
        </is>
      </c>
      <c r="C762" s="2" t="inlineStr">
        <is>
          <t>C0336</t>
        </is>
      </c>
      <c r="D762" s="2" t="inlineStr">
        <is>
          <t>P0028</t>
        </is>
      </c>
      <c r="E762" s="2" t="inlineStr">
        <is>
          <t>Trimmer</t>
        </is>
      </c>
      <c r="F762" s="2" t="inlineStr">
        <is>
          <t>Beauty</t>
        </is>
      </c>
      <c r="G762" s="2" t="inlineStr">
        <is>
          <t>West</t>
        </is>
      </c>
      <c r="H762" s="2" t="inlineStr">
        <is>
          <t>Gujarat</t>
        </is>
      </c>
      <c r="I762" s="2" t="inlineStr">
        <is>
          <t>Ahmedabad</t>
        </is>
      </c>
      <c r="J762" s="2" t="inlineStr">
        <is>
          <t>Online</t>
        </is>
      </c>
      <c r="K762" s="2" t="n">
        <v>3</v>
      </c>
      <c r="L762" s="3" t="n">
        <v>439.49</v>
      </c>
      <c r="M762" s="4" t="n">
        <v>0</v>
      </c>
      <c r="N762" s="3" t="n">
        <v>776.99</v>
      </c>
      <c r="O762" s="3">
        <f>K762*L762*(1-M762)</f>
        <v/>
      </c>
      <c r="P762" s="3">
        <f>O762-N762</f>
        <v/>
      </c>
      <c r="Q762" s="5">
        <f>IFERROR(P762/O762,0)</f>
        <v/>
      </c>
      <c r="R762" s="2">
        <f>TEXT(DATEVALUE(B762),"mmm")</f>
        <v/>
      </c>
      <c r="S762" s="2">
        <f>TEXT(DATEVALUE(B762),"yyyy-mm")</f>
        <v/>
      </c>
    </row>
    <row r="763">
      <c r="A763" s="2" t="inlineStr">
        <is>
          <t>O000884</t>
        </is>
      </c>
      <c r="B763" s="2" t="inlineStr">
        <is>
          <t>2025-02-25</t>
        </is>
      </c>
      <c r="C763" s="2" t="inlineStr">
        <is>
          <t>C0197</t>
        </is>
      </c>
      <c r="D763" s="2" t="inlineStr">
        <is>
          <t>P0007</t>
        </is>
      </c>
      <c r="E763" s="2" t="inlineStr">
        <is>
          <t>Wireless Mouse</t>
        </is>
      </c>
      <c r="F763" s="2" t="inlineStr">
        <is>
          <t>Electronics</t>
        </is>
      </c>
      <c r="G763" s="2" t="inlineStr">
        <is>
          <t>East</t>
        </is>
      </c>
      <c r="H763" s="2" t="inlineStr">
        <is>
          <t>Odisha</t>
        </is>
      </c>
      <c r="I763" s="2" t="inlineStr">
        <is>
          <t>Cuttack</t>
        </is>
      </c>
      <c r="J763" s="2" t="inlineStr">
        <is>
          <t>Store</t>
        </is>
      </c>
      <c r="K763" s="2" t="n">
        <v>3</v>
      </c>
      <c r="L763" s="3" t="n">
        <v>1026.91</v>
      </c>
      <c r="M763" s="4" t="n">
        <v>0.05</v>
      </c>
      <c r="N763" s="3" t="n">
        <v>1915.27</v>
      </c>
      <c r="O763" s="3">
        <f>K763*L763*(1-M763)</f>
        <v/>
      </c>
      <c r="P763" s="3">
        <f>O763-N763</f>
        <v/>
      </c>
      <c r="Q763" s="5">
        <f>IFERROR(P763/O763,0)</f>
        <v/>
      </c>
      <c r="R763" s="2">
        <f>TEXT(DATEVALUE(B763),"mmm")</f>
        <v/>
      </c>
      <c r="S763" s="2">
        <f>TEXT(DATEVALUE(B763),"yyyy-mm")</f>
        <v/>
      </c>
    </row>
    <row r="764">
      <c r="A764" s="2" t="inlineStr">
        <is>
          <t>O000866</t>
        </is>
      </c>
      <c r="B764" s="2" t="inlineStr">
        <is>
          <t>2025-02-25</t>
        </is>
      </c>
      <c r="C764" s="2" t="inlineStr">
        <is>
          <t>C0555</t>
        </is>
      </c>
      <c r="D764" s="2" t="inlineStr">
        <is>
          <t>P0015</t>
        </is>
      </c>
      <c r="E764" s="2" t="inlineStr">
        <is>
          <t>Running Shoes</t>
        </is>
      </c>
      <c r="F764" s="2" t="inlineStr">
        <is>
          <t>Fashion</t>
        </is>
      </c>
      <c r="G764" s="2" t="inlineStr">
        <is>
          <t>North</t>
        </is>
      </c>
      <c r="H764" s="2" t="inlineStr">
        <is>
          <t>Delhi</t>
        </is>
      </c>
      <c r="I764" s="2" t="inlineStr">
        <is>
          <t>New Delhi</t>
        </is>
      </c>
      <c r="J764" s="2" t="inlineStr">
        <is>
          <t>Online</t>
        </is>
      </c>
      <c r="K764" s="2" t="n">
        <v>3</v>
      </c>
      <c r="L764" s="3" t="n">
        <v>597.88</v>
      </c>
      <c r="M764" s="4" t="n">
        <v>0.05</v>
      </c>
      <c r="N764" s="3" t="n">
        <v>1083.81</v>
      </c>
      <c r="O764" s="3">
        <f>K764*L764*(1-M764)</f>
        <v/>
      </c>
      <c r="P764" s="3">
        <f>O764-N764</f>
        <v/>
      </c>
      <c r="Q764" s="5">
        <f>IFERROR(P764/O764,0)</f>
        <v/>
      </c>
      <c r="R764" s="2">
        <f>TEXT(DATEVALUE(B764),"mmm")</f>
        <v/>
      </c>
      <c r="S764" s="2">
        <f>TEXT(DATEVALUE(B764),"yyyy-mm")</f>
        <v/>
      </c>
    </row>
    <row r="765">
      <c r="A765" s="2" t="inlineStr">
        <is>
          <t>O003382</t>
        </is>
      </c>
      <c r="B765" s="2" t="inlineStr">
        <is>
          <t>2025-02-25</t>
        </is>
      </c>
      <c r="C765" s="2" t="inlineStr">
        <is>
          <t>C0724</t>
        </is>
      </c>
      <c r="D765" s="2" t="inlineStr">
        <is>
          <t>P0035</t>
        </is>
      </c>
      <c r="E765" s="2" t="inlineStr">
        <is>
          <t>Skipping Rope</t>
        </is>
      </c>
      <c r="F765" s="2" t="inlineStr">
        <is>
          <t>Sports</t>
        </is>
      </c>
      <c r="G765" s="2" t="inlineStr">
        <is>
          <t>North</t>
        </is>
      </c>
      <c r="H765" s="2" t="inlineStr">
        <is>
          <t>Punjab</t>
        </is>
      </c>
      <c r="I765" s="2" t="inlineStr">
        <is>
          <t>Amritsar</t>
        </is>
      </c>
      <c r="J765" s="2" t="inlineStr">
        <is>
          <t>Online</t>
        </is>
      </c>
      <c r="K765" s="2" t="n">
        <v>2</v>
      </c>
      <c r="L765" s="3" t="n">
        <v>742.34</v>
      </c>
      <c r="M765" s="4" t="n">
        <v>0</v>
      </c>
      <c r="N765" s="3" t="n">
        <v>806.22</v>
      </c>
      <c r="O765" s="3">
        <f>K765*L765*(1-M765)</f>
        <v/>
      </c>
      <c r="P765" s="3">
        <f>O765-N765</f>
        <v/>
      </c>
      <c r="Q765" s="5">
        <f>IFERROR(P765/O765,0)</f>
        <v/>
      </c>
      <c r="R765" s="2">
        <f>TEXT(DATEVALUE(B765),"mmm")</f>
        <v/>
      </c>
      <c r="S765" s="2">
        <f>TEXT(DATEVALUE(B765),"yyyy-mm")</f>
        <v/>
      </c>
    </row>
    <row r="766">
      <c r="A766" s="2" t="inlineStr">
        <is>
          <t>O003901</t>
        </is>
      </c>
      <c r="B766" s="2" t="inlineStr">
        <is>
          <t>2025-02-26</t>
        </is>
      </c>
      <c r="C766" s="2" t="inlineStr">
        <is>
          <t>C0280</t>
        </is>
      </c>
      <c r="D766" s="2" t="inlineStr">
        <is>
          <t>P0024</t>
        </is>
      </c>
      <c r="E766" s="2" t="inlineStr">
        <is>
          <t>Hair Dryer</t>
        </is>
      </c>
      <c r="F766" s="2" t="inlineStr">
        <is>
          <t>Beauty</t>
        </is>
      </c>
      <c r="G766" s="2" t="inlineStr">
        <is>
          <t>South</t>
        </is>
      </c>
      <c r="H766" s="2" t="inlineStr">
        <is>
          <t>Telangana</t>
        </is>
      </c>
      <c r="I766" s="2" t="inlineStr">
        <is>
          <t>Warangal</t>
        </is>
      </c>
      <c r="J766" s="2" t="inlineStr">
        <is>
          <t>Online</t>
        </is>
      </c>
      <c r="K766" s="2" t="n">
        <v>1</v>
      </c>
      <c r="L766" s="3" t="n">
        <v>999.24</v>
      </c>
      <c r="M766" s="4" t="n">
        <v>0</v>
      </c>
      <c r="N766" s="3" t="n">
        <v>757.04</v>
      </c>
      <c r="O766" s="3">
        <f>K766*L766*(1-M766)</f>
        <v/>
      </c>
      <c r="P766" s="3">
        <f>O766-N766</f>
        <v/>
      </c>
      <c r="Q766" s="5">
        <f>IFERROR(P766/O766,0)</f>
        <v/>
      </c>
      <c r="R766" s="2">
        <f>TEXT(DATEVALUE(B766),"mmm")</f>
        <v/>
      </c>
      <c r="S766" s="2">
        <f>TEXT(DATEVALUE(B766),"yyyy-mm")</f>
        <v/>
      </c>
    </row>
    <row r="767">
      <c r="A767" s="2" t="inlineStr">
        <is>
          <t>O004656</t>
        </is>
      </c>
      <c r="B767" s="2" t="inlineStr">
        <is>
          <t>2025-02-26</t>
        </is>
      </c>
      <c r="C767" s="2" t="inlineStr">
        <is>
          <t>C0778</t>
        </is>
      </c>
      <c r="D767" s="2" t="inlineStr">
        <is>
          <t>P0009</t>
        </is>
      </c>
      <c r="E767" s="2" t="inlineStr">
        <is>
          <t>Electric Kettle</t>
        </is>
      </c>
      <c r="F767" s="2" t="inlineStr">
        <is>
          <t>Home &amp; Kitchen</t>
        </is>
      </c>
      <c r="G767" s="2" t="inlineStr">
        <is>
          <t>West</t>
        </is>
      </c>
      <c r="H767" s="2" t="inlineStr">
        <is>
          <t>Gujarat</t>
        </is>
      </c>
      <c r="I767" s="2" t="inlineStr">
        <is>
          <t>Vadodara</t>
        </is>
      </c>
      <c r="J767" s="2" t="inlineStr">
        <is>
          <t>Store</t>
        </is>
      </c>
      <c r="K767" s="2" t="n">
        <v>2</v>
      </c>
      <c r="L767" s="3" t="n">
        <v>2131.52</v>
      </c>
      <c r="M767" s="4" t="n">
        <v>0.05</v>
      </c>
      <c r="N767" s="3" t="n">
        <v>2201.72</v>
      </c>
      <c r="O767" s="3">
        <f>K767*L767*(1-M767)</f>
        <v/>
      </c>
      <c r="P767" s="3">
        <f>O767-N767</f>
        <v/>
      </c>
      <c r="Q767" s="5">
        <f>IFERROR(P767/O767,0)</f>
        <v/>
      </c>
      <c r="R767" s="2">
        <f>TEXT(DATEVALUE(B767),"mmm")</f>
        <v/>
      </c>
      <c r="S767" s="2">
        <f>TEXT(DATEVALUE(B767),"yyyy-mm")</f>
        <v/>
      </c>
    </row>
    <row r="768">
      <c r="A768" s="2" t="inlineStr">
        <is>
          <t>O004302</t>
        </is>
      </c>
      <c r="B768" s="2" t="inlineStr">
        <is>
          <t>2025-02-26</t>
        </is>
      </c>
      <c r="C768" s="2" t="inlineStr">
        <is>
          <t>C0683</t>
        </is>
      </c>
      <c r="D768" s="2" t="inlineStr">
        <is>
          <t>P0022</t>
        </is>
      </c>
      <c r="E768" s="2" t="inlineStr">
        <is>
          <t>Face Wash</t>
        </is>
      </c>
      <c r="F768" s="2" t="inlineStr">
        <is>
          <t>Beauty</t>
        </is>
      </c>
      <c r="G768" s="2" t="inlineStr">
        <is>
          <t>West</t>
        </is>
      </c>
      <c r="H768" s="2" t="inlineStr">
        <is>
          <t>Maharashtra</t>
        </is>
      </c>
      <c r="I768" s="2" t="inlineStr">
        <is>
          <t>Nashik</t>
        </is>
      </c>
      <c r="J768" s="2" t="inlineStr">
        <is>
          <t>Online</t>
        </is>
      </c>
      <c r="K768" s="2" t="n">
        <v>1</v>
      </c>
      <c r="L768" s="3" t="n">
        <v>568.71</v>
      </c>
      <c r="M768" s="4" t="n">
        <v>0</v>
      </c>
      <c r="N768" s="3" t="n">
        <v>358.15</v>
      </c>
      <c r="O768" s="3">
        <f>K768*L768*(1-M768)</f>
        <v/>
      </c>
      <c r="P768" s="3">
        <f>O768-N768</f>
        <v/>
      </c>
      <c r="Q768" s="5">
        <f>IFERROR(P768/O768,0)</f>
        <v/>
      </c>
      <c r="R768" s="2">
        <f>TEXT(DATEVALUE(B768),"mmm")</f>
        <v/>
      </c>
      <c r="S768" s="2">
        <f>TEXT(DATEVALUE(B768),"yyyy-mm")</f>
        <v/>
      </c>
    </row>
    <row r="769">
      <c r="A769" s="2" t="inlineStr">
        <is>
          <t>O004272</t>
        </is>
      </c>
      <c r="B769" s="2" t="inlineStr">
        <is>
          <t>2025-02-26</t>
        </is>
      </c>
      <c r="C769" s="2" t="inlineStr">
        <is>
          <t>C0116</t>
        </is>
      </c>
      <c r="D769" s="2" t="inlineStr">
        <is>
          <t>P0005</t>
        </is>
      </c>
      <c r="E769" s="2" t="inlineStr">
        <is>
          <t>Power Bank</t>
        </is>
      </c>
      <c r="F769" s="2" t="inlineStr">
        <is>
          <t>Electronics</t>
        </is>
      </c>
      <c r="G769" s="2" t="inlineStr">
        <is>
          <t>South</t>
        </is>
      </c>
      <c r="H769" s="2" t="inlineStr">
        <is>
          <t>Telangana</t>
        </is>
      </c>
      <c r="I769" s="2" t="inlineStr">
        <is>
          <t>Hyderabad</t>
        </is>
      </c>
      <c r="J769" s="2" t="inlineStr">
        <is>
          <t>Online</t>
        </is>
      </c>
      <c r="K769" s="2" t="n">
        <v>3</v>
      </c>
      <c r="L769" s="3" t="n">
        <v>1171.3</v>
      </c>
      <c r="M769" s="4" t="n">
        <v>0.1</v>
      </c>
      <c r="N769" s="3" t="n">
        <v>2016.19</v>
      </c>
      <c r="O769" s="3">
        <f>K769*L769*(1-M769)</f>
        <v/>
      </c>
      <c r="P769" s="3">
        <f>O769-N769</f>
        <v/>
      </c>
      <c r="Q769" s="5">
        <f>IFERROR(P769/O769,0)</f>
        <v/>
      </c>
      <c r="R769" s="2">
        <f>TEXT(DATEVALUE(B769),"mmm")</f>
        <v/>
      </c>
      <c r="S769" s="2">
        <f>TEXT(DATEVALUE(B769),"yyyy-mm")</f>
        <v/>
      </c>
    </row>
    <row r="770">
      <c r="A770" s="2" t="inlineStr">
        <is>
          <t>O003565</t>
        </is>
      </c>
      <c r="B770" s="2" t="inlineStr">
        <is>
          <t>2025-02-26</t>
        </is>
      </c>
      <c r="C770" s="2" t="inlineStr">
        <is>
          <t>C0256</t>
        </is>
      </c>
      <c r="D770" s="2" t="inlineStr">
        <is>
          <t>P0014</t>
        </is>
      </c>
      <c r="E770" s="2" t="inlineStr">
        <is>
          <t>Coffee Maker</t>
        </is>
      </c>
      <c r="F770" s="2" t="inlineStr">
        <is>
          <t>Home &amp; Kitchen</t>
        </is>
      </c>
      <c r="G770" s="2" t="inlineStr">
        <is>
          <t>South</t>
        </is>
      </c>
      <c r="H770" s="2" t="inlineStr">
        <is>
          <t>Kerala</t>
        </is>
      </c>
      <c r="I770" s="2" t="inlineStr">
        <is>
          <t>Thiruvananthapuram</t>
        </is>
      </c>
      <c r="J770" s="2" t="inlineStr">
        <is>
          <t>Online</t>
        </is>
      </c>
      <c r="K770" s="2" t="n">
        <v>2</v>
      </c>
      <c r="L770" s="3" t="n">
        <v>1068.19</v>
      </c>
      <c r="M770" s="4" t="n">
        <v>0.25</v>
      </c>
      <c r="N770" s="3" t="n">
        <v>1476</v>
      </c>
      <c r="O770" s="3">
        <f>K770*L770*(1-M770)</f>
        <v/>
      </c>
      <c r="P770" s="3">
        <f>O770-N770</f>
        <v/>
      </c>
      <c r="Q770" s="5">
        <f>IFERROR(P770/O770,0)</f>
        <v/>
      </c>
      <c r="R770" s="2">
        <f>TEXT(DATEVALUE(B770),"mmm")</f>
        <v/>
      </c>
      <c r="S770" s="2">
        <f>TEXT(DATEVALUE(B770),"yyyy-mm")</f>
        <v/>
      </c>
    </row>
    <row r="771">
      <c r="A771" s="2" t="inlineStr">
        <is>
          <t>O000585</t>
        </is>
      </c>
      <c r="B771" s="2" t="inlineStr">
        <is>
          <t>2025-02-26</t>
        </is>
      </c>
      <c r="C771" s="2" t="inlineStr">
        <is>
          <t>C0521</t>
        </is>
      </c>
      <c r="D771" s="2" t="inlineStr">
        <is>
          <t>P0022</t>
        </is>
      </c>
      <c r="E771" s="2" t="inlineStr">
        <is>
          <t>Face Wash</t>
        </is>
      </c>
      <c r="F771" s="2" t="inlineStr">
        <is>
          <t>Beauty</t>
        </is>
      </c>
      <c r="G771" s="2" t="inlineStr">
        <is>
          <t>North</t>
        </is>
      </c>
      <c r="H771" s="2" t="inlineStr">
        <is>
          <t>Punjab</t>
        </is>
      </c>
      <c r="I771" s="2" t="inlineStr">
        <is>
          <t>Amritsar</t>
        </is>
      </c>
      <c r="J771" s="2" t="inlineStr">
        <is>
          <t>Online</t>
        </is>
      </c>
      <c r="K771" s="2" t="n">
        <v>1</v>
      </c>
      <c r="L771" s="3" t="n">
        <v>549.4400000000001</v>
      </c>
      <c r="M771" s="4" t="n">
        <v>0.1</v>
      </c>
      <c r="N771" s="3" t="n">
        <v>352.76</v>
      </c>
      <c r="O771" s="3">
        <f>K771*L771*(1-M771)</f>
        <v/>
      </c>
      <c r="P771" s="3">
        <f>O771-N771</f>
        <v/>
      </c>
      <c r="Q771" s="5">
        <f>IFERROR(P771/O771,0)</f>
        <v/>
      </c>
      <c r="R771" s="2">
        <f>TEXT(DATEVALUE(B771),"mmm")</f>
        <v/>
      </c>
      <c r="S771" s="2">
        <f>TEXT(DATEVALUE(B771),"yyyy-mm")</f>
        <v/>
      </c>
    </row>
    <row r="772">
      <c r="A772" s="2" t="inlineStr">
        <is>
          <t>O002830</t>
        </is>
      </c>
      <c r="B772" s="2" t="inlineStr">
        <is>
          <t>2025-02-26</t>
        </is>
      </c>
      <c r="C772" s="2" t="inlineStr">
        <is>
          <t>C0694</t>
        </is>
      </c>
      <c r="D772" s="2" t="inlineStr">
        <is>
          <t>P0031</t>
        </is>
      </c>
      <c r="E772" s="2" t="inlineStr">
        <is>
          <t>Cricket Bat</t>
        </is>
      </c>
      <c r="F772" s="2" t="inlineStr">
        <is>
          <t>Sports</t>
        </is>
      </c>
      <c r="G772" s="2" t="inlineStr">
        <is>
          <t>West</t>
        </is>
      </c>
      <c r="H772" s="2" t="inlineStr">
        <is>
          <t>Goa</t>
        </is>
      </c>
      <c r="I772" s="2" t="inlineStr">
        <is>
          <t>Margao</t>
        </is>
      </c>
      <c r="J772" s="2" t="inlineStr">
        <is>
          <t>Online</t>
        </is>
      </c>
      <c r="K772" s="2" t="n">
        <v>1</v>
      </c>
      <c r="L772" s="3" t="n">
        <v>1367.48</v>
      </c>
      <c r="M772" s="4" t="n">
        <v>0.15</v>
      </c>
      <c r="N772" s="3" t="n">
        <v>914.97</v>
      </c>
      <c r="O772" s="3">
        <f>K772*L772*(1-M772)</f>
        <v/>
      </c>
      <c r="P772" s="3">
        <f>O772-N772</f>
        <v/>
      </c>
      <c r="Q772" s="5">
        <f>IFERROR(P772/O772,0)</f>
        <v/>
      </c>
      <c r="R772" s="2">
        <f>TEXT(DATEVALUE(B772),"mmm")</f>
        <v/>
      </c>
      <c r="S772" s="2">
        <f>TEXT(DATEVALUE(B772),"yyyy-mm")</f>
        <v/>
      </c>
    </row>
    <row r="773">
      <c r="A773" s="2" t="inlineStr">
        <is>
          <t>O002724</t>
        </is>
      </c>
      <c r="B773" s="2" t="inlineStr">
        <is>
          <t>2025-02-26</t>
        </is>
      </c>
      <c r="C773" s="2" t="inlineStr">
        <is>
          <t>C0617</t>
        </is>
      </c>
      <c r="D773" s="2" t="inlineStr">
        <is>
          <t>P0027</t>
        </is>
      </c>
      <c r="E773" s="2" t="inlineStr">
        <is>
          <t>Moisturizer</t>
        </is>
      </c>
      <c r="F773" s="2" t="inlineStr">
        <is>
          <t>Beauty</t>
        </is>
      </c>
      <c r="G773" s="2" t="inlineStr">
        <is>
          <t>East</t>
        </is>
      </c>
      <c r="H773" s="2" t="inlineStr">
        <is>
          <t>Bihar</t>
        </is>
      </c>
      <c r="I773" s="2" t="inlineStr">
        <is>
          <t>Gaya</t>
        </is>
      </c>
      <c r="J773" s="2" t="inlineStr">
        <is>
          <t>Online</t>
        </is>
      </c>
      <c r="K773" s="2" t="n">
        <v>1</v>
      </c>
      <c r="L773" s="3" t="n">
        <v>965.6900000000001</v>
      </c>
      <c r="M773" s="4" t="n">
        <v>0</v>
      </c>
      <c r="N773" s="3" t="n">
        <v>668.61</v>
      </c>
      <c r="O773" s="3">
        <f>K773*L773*(1-M773)</f>
        <v/>
      </c>
      <c r="P773" s="3">
        <f>O773-N773</f>
        <v/>
      </c>
      <c r="Q773" s="5">
        <f>IFERROR(P773/O773,0)</f>
        <v/>
      </c>
      <c r="R773" s="2">
        <f>TEXT(DATEVALUE(B773),"mmm")</f>
        <v/>
      </c>
      <c r="S773" s="2">
        <f>TEXT(DATEVALUE(B773),"yyyy-mm")</f>
        <v/>
      </c>
    </row>
    <row r="774">
      <c r="A774" s="2" t="inlineStr">
        <is>
          <t>O001431</t>
        </is>
      </c>
      <c r="B774" s="2" t="inlineStr">
        <is>
          <t>2025-02-26</t>
        </is>
      </c>
      <c r="C774" s="2" t="inlineStr">
        <is>
          <t>C0348</t>
        </is>
      </c>
      <c r="D774" s="2" t="inlineStr">
        <is>
          <t>P0020</t>
        </is>
      </c>
      <c r="E774" s="2" t="inlineStr">
        <is>
          <t>Sneakers</t>
        </is>
      </c>
      <c r="F774" s="2" t="inlineStr">
        <is>
          <t>Fashion</t>
        </is>
      </c>
      <c r="G774" s="2" t="inlineStr">
        <is>
          <t>West</t>
        </is>
      </c>
      <c r="H774" s="2" t="inlineStr">
        <is>
          <t>Goa</t>
        </is>
      </c>
      <c r="I774" s="2" t="inlineStr">
        <is>
          <t>Panaji</t>
        </is>
      </c>
      <c r="J774" s="2" t="inlineStr">
        <is>
          <t>Online</t>
        </is>
      </c>
      <c r="K774" s="2" t="n">
        <v>4</v>
      </c>
      <c r="L774" s="3" t="n">
        <v>1924.99</v>
      </c>
      <c r="M774" s="4" t="n">
        <v>0.15</v>
      </c>
      <c r="N774" s="3" t="n">
        <v>5856.32</v>
      </c>
      <c r="O774" s="3">
        <f>K774*L774*(1-M774)</f>
        <v/>
      </c>
      <c r="P774" s="3">
        <f>O774-N774</f>
        <v/>
      </c>
      <c r="Q774" s="5">
        <f>IFERROR(P774/O774,0)</f>
        <v/>
      </c>
      <c r="R774" s="2">
        <f>TEXT(DATEVALUE(B774),"mmm")</f>
        <v/>
      </c>
      <c r="S774" s="2">
        <f>TEXT(DATEVALUE(B774),"yyyy-mm")</f>
        <v/>
      </c>
    </row>
    <row r="775">
      <c r="A775" s="2" t="inlineStr">
        <is>
          <t>O002914</t>
        </is>
      </c>
      <c r="B775" s="2" t="inlineStr">
        <is>
          <t>2025-02-26</t>
        </is>
      </c>
      <c r="C775" s="2" t="inlineStr">
        <is>
          <t>C0150</t>
        </is>
      </c>
      <c r="D775" s="2" t="inlineStr">
        <is>
          <t>P0032</t>
        </is>
      </c>
      <c r="E775" s="2" t="inlineStr">
        <is>
          <t>Football</t>
        </is>
      </c>
      <c r="F775" s="2" t="inlineStr">
        <is>
          <t>Sports</t>
        </is>
      </c>
      <c r="G775" s="2" t="inlineStr">
        <is>
          <t>South</t>
        </is>
      </c>
      <c r="H775" s="2" t="inlineStr">
        <is>
          <t>Karnataka</t>
        </is>
      </c>
      <c r="I775" s="2" t="inlineStr">
        <is>
          <t>Mysuru</t>
        </is>
      </c>
      <c r="J775" s="2" t="inlineStr">
        <is>
          <t>Online</t>
        </is>
      </c>
      <c r="K775" s="2" t="n">
        <v>1</v>
      </c>
      <c r="L775" s="3" t="n">
        <v>849.45</v>
      </c>
      <c r="M775" s="4" t="n">
        <v>0.1</v>
      </c>
      <c r="N775" s="3" t="n">
        <v>542.63</v>
      </c>
      <c r="O775" s="3">
        <f>K775*L775*(1-M775)</f>
        <v/>
      </c>
      <c r="P775" s="3">
        <f>O775-N775</f>
        <v/>
      </c>
      <c r="Q775" s="5">
        <f>IFERROR(P775/O775,0)</f>
        <v/>
      </c>
      <c r="R775" s="2">
        <f>TEXT(DATEVALUE(B775),"mmm")</f>
        <v/>
      </c>
      <c r="S775" s="2">
        <f>TEXT(DATEVALUE(B775),"yyyy-mm")</f>
        <v/>
      </c>
    </row>
    <row r="776">
      <c r="A776" s="2" t="inlineStr">
        <is>
          <t>O002292</t>
        </is>
      </c>
      <c r="B776" s="2" t="inlineStr">
        <is>
          <t>2025-02-27</t>
        </is>
      </c>
      <c r="C776" s="2" t="inlineStr">
        <is>
          <t>C0659</t>
        </is>
      </c>
      <c r="D776" s="2" t="inlineStr">
        <is>
          <t>P0007</t>
        </is>
      </c>
      <c r="E776" s="2" t="inlineStr">
        <is>
          <t>Wireless Mouse</t>
        </is>
      </c>
      <c r="F776" s="2" t="inlineStr">
        <is>
          <t>Electronics</t>
        </is>
      </c>
      <c r="G776" s="2" t="inlineStr">
        <is>
          <t>West</t>
        </is>
      </c>
      <c r="H776" s="2" t="inlineStr">
        <is>
          <t>Goa</t>
        </is>
      </c>
      <c r="I776" s="2" t="inlineStr">
        <is>
          <t>Panaji</t>
        </is>
      </c>
      <c r="J776" s="2" t="inlineStr">
        <is>
          <t>Online</t>
        </is>
      </c>
      <c r="K776" s="2" t="n">
        <v>2</v>
      </c>
      <c r="L776" s="3" t="n">
        <v>1018.61</v>
      </c>
      <c r="M776" s="4" t="n">
        <v>0.05</v>
      </c>
      <c r="N776" s="3" t="n">
        <v>1214.14</v>
      </c>
      <c r="O776" s="3">
        <f>K776*L776*(1-M776)</f>
        <v/>
      </c>
      <c r="P776" s="3">
        <f>O776-N776</f>
        <v/>
      </c>
      <c r="Q776" s="5">
        <f>IFERROR(P776/O776,0)</f>
        <v/>
      </c>
      <c r="R776" s="2">
        <f>TEXT(DATEVALUE(B776),"mmm")</f>
        <v/>
      </c>
      <c r="S776" s="2">
        <f>TEXT(DATEVALUE(B776),"yyyy-mm")</f>
        <v/>
      </c>
    </row>
    <row r="777">
      <c r="A777" s="2" t="inlineStr">
        <is>
          <t>O004980</t>
        </is>
      </c>
      <c r="B777" s="2" t="inlineStr">
        <is>
          <t>2025-02-27</t>
        </is>
      </c>
      <c r="C777" s="2" t="inlineStr">
        <is>
          <t>C0398</t>
        </is>
      </c>
      <c r="D777" s="2" t="inlineStr">
        <is>
          <t>P0019</t>
        </is>
      </c>
      <c r="E777" s="2" t="inlineStr">
        <is>
          <t>Jacket</t>
        </is>
      </c>
      <c r="F777" s="2" t="inlineStr">
        <is>
          <t>Fashion</t>
        </is>
      </c>
      <c r="G777" s="2" t="inlineStr">
        <is>
          <t>North</t>
        </is>
      </c>
      <c r="H777" s="2" t="inlineStr">
        <is>
          <t>Delhi</t>
        </is>
      </c>
      <c r="I777" s="2" t="inlineStr">
        <is>
          <t>New Delhi</t>
        </is>
      </c>
      <c r="J777" s="2" t="inlineStr">
        <is>
          <t>Online</t>
        </is>
      </c>
      <c r="K777" s="2" t="n">
        <v>1</v>
      </c>
      <c r="L777" s="3" t="n">
        <v>996.26</v>
      </c>
      <c r="M777" s="4" t="n">
        <v>0.1</v>
      </c>
      <c r="N777" s="3" t="n">
        <v>674.12</v>
      </c>
      <c r="O777" s="3">
        <f>K777*L777*(1-M777)</f>
        <v/>
      </c>
      <c r="P777" s="3">
        <f>O777-N777</f>
        <v/>
      </c>
      <c r="Q777" s="5">
        <f>IFERROR(P777/O777,0)</f>
        <v/>
      </c>
      <c r="R777" s="2">
        <f>TEXT(DATEVALUE(B777),"mmm")</f>
        <v/>
      </c>
      <c r="S777" s="2">
        <f>TEXT(DATEVALUE(B777),"yyyy-mm")</f>
        <v/>
      </c>
    </row>
    <row r="778">
      <c r="A778" s="2" t="inlineStr">
        <is>
          <t>O004458</t>
        </is>
      </c>
      <c r="B778" s="2" t="inlineStr">
        <is>
          <t>2025-02-27</t>
        </is>
      </c>
      <c r="C778" s="2" t="inlineStr">
        <is>
          <t>C0043</t>
        </is>
      </c>
      <c r="D778" s="2" t="inlineStr">
        <is>
          <t>P0003</t>
        </is>
      </c>
      <c r="E778" s="2" t="inlineStr">
        <is>
          <t>Smartwatch</t>
        </is>
      </c>
      <c r="F778" s="2" t="inlineStr">
        <is>
          <t>Electronics</t>
        </is>
      </c>
      <c r="G778" s="2" t="inlineStr">
        <is>
          <t>South</t>
        </is>
      </c>
      <c r="H778" s="2" t="inlineStr">
        <is>
          <t>Tamil Nadu</t>
        </is>
      </c>
      <c r="I778" s="2" t="inlineStr">
        <is>
          <t>Madurai</t>
        </is>
      </c>
      <c r="J778" s="2" t="inlineStr">
        <is>
          <t>Online</t>
        </is>
      </c>
      <c r="K778" s="2" t="n">
        <v>2</v>
      </c>
      <c r="L778" s="3" t="n">
        <v>2234.75</v>
      </c>
      <c r="M778" s="4" t="n">
        <v>0.05</v>
      </c>
      <c r="N778" s="3" t="n">
        <v>2381</v>
      </c>
      <c r="O778" s="3">
        <f>K778*L778*(1-M778)</f>
        <v/>
      </c>
      <c r="P778" s="3">
        <f>O778-N778</f>
        <v/>
      </c>
      <c r="Q778" s="5">
        <f>IFERROR(P778/O778,0)</f>
        <v/>
      </c>
      <c r="R778" s="2">
        <f>TEXT(DATEVALUE(B778),"mmm")</f>
        <v/>
      </c>
      <c r="S778" s="2">
        <f>TEXT(DATEVALUE(B778),"yyyy-mm")</f>
        <v/>
      </c>
    </row>
    <row r="779">
      <c r="A779" s="2" t="inlineStr">
        <is>
          <t>O004310</t>
        </is>
      </c>
      <c r="B779" s="2" t="inlineStr">
        <is>
          <t>2025-02-27</t>
        </is>
      </c>
      <c r="C779" s="2" t="inlineStr">
        <is>
          <t>C0089</t>
        </is>
      </c>
      <c r="D779" s="2" t="inlineStr">
        <is>
          <t>P0017</t>
        </is>
      </c>
      <c r="E779" s="2" t="inlineStr">
        <is>
          <t>Jeans</t>
        </is>
      </c>
      <c r="F779" s="2" t="inlineStr">
        <is>
          <t>Fashion</t>
        </is>
      </c>
      <c r="G779" s="2" t="inlineStr">
        <is>
          <t>South</t>
        </is>
      </c>
      <c r="H779" s="2" t="inlineStr">
        <is>
          <t>Telangana</t>
        </is>
      </c>
      <c r="I779" s="2" t="inlineStr">
        <is>
          <t>Hyderabad</t>
        </is>
      </c>
      <c r="J779" s="2" t="inlineStr">
        <is>
          <t>Store</t>
        </is>
      </c>
      <c r="K779" s="2" t="n">
        <v>1</v>
      </c>
      <c r="L779" s="3" t="n">
        <v>1461.65</v>
      </c>
      <c r="M779" s="4" t="n">
        <v>0.05</v>
      </c>
      <c r="N779" s="3" t="n">
        <v>1010.47</v>
      </c>
      <c r="O779" s="3">
        <f>K779*L779*(1-M779)</f>
        <v/>
      </c>
      <c r="P779" s="3">
        <f>O779-N779</f>
        <v/>
      </c>
      <c r="Q779" s="5">
        <f>IFERROR(P779/O779,0)</f>
        <v/>
      </c>
      <c r="R779" s="2">
        <f>TEXT(DATEVALUE(B779),"mmm")</f>
        <v/>
      </c>
      <c r="S779" s="2">
        <f>TEXT(DATEVALUE(B779),"yyyy-mm")</f>
        <v/>
      </c>
    </row>
    <row r="780">
      <c r="A780" s="2" t="inlineStr">
        <is>
          <t>O002947</t>
        </is>
      </c>
      <c r="B780" s="2" t="inlineStr">
        <is>
          <t>2025-02-27</t>
        </is>
      </c>
      <c r="C780" s="2" t="inlineStr">
        <is>
          <t>C0523</t>
        </is>
      </c>
      <c r="D780" s="2" t="inlineStr">
        <is>
          <t>P0012</t>
        </is>
      </c>
      <c r="E780" s="2" t="inlineStr">
        <is>
          <t>Water Bottle</t>
        </is>
      </c>
      <c r="F780" s="2" t="inlineStr">
        <is>
          <t>Home &amp; Kitchen</t>
        </is>
      </c>
      <c r="G780" s="2" t="inlineStr">
        <is>
          <t>West</t>
        </is>
      </c>
      <c r="H780" s="2" t="inlineStr">
        <is>
          <t>Gujarat</t>
        </is>
      </c>
      <c r="I780" s="2" t="inlineStr">
        <is>
          <t>Surat</t>
        </is>
      </c>
      <c r="J780" s="2" t="inlineStr">
        <is>
          <t>Store</t>
        </is>
      </c>
      <c r="K780" s="2" t="n">
        <v>2</v>
      </c>
      <c r="L780" s="3" t="n">
        <v>933.23</v>
      </c>
      <c r="M780" s="4" t="n">
        <v>0.05</v>
      </c>
      <c r="N780" s="3" t="n">
        <v>1205.52</v>
      </c>
      <c r="O780" s="3">
        <f>K780*L780*(1-M780)</f>
        <v/>
      </c>
      <c r="P780" s="3">
        <f>O780-N780</f>
        <v/>
      </c>
      <c r="Q780" s="5">
        <f>IFERROR(P780/O780,0)</f>
        <v/>
      </c>
      <c r="R780" s="2">
        <f>TEXT(DATEVALUE(B780),"mmm")</f>
        <v/>
      </c>
      <c r="S780" s="2">
        <f>TEXT(DATEVALUE(B780),"yyyy-mm")</f>
        <v/>
      </c>
    </row>
    <row r="781">
      <c r="A781" s="2" t="inlineStr">
        <is>
          <t>O001748</t>
        </is>
      </c>
      <c r="B781" s="2" t="inlineStr">
        <is>
          <t>2025-02-27</t>
        </is>
      </c>
      <c r="C781" s="2" t="inlineStr">
        <is>
          <t>C0499</t>
        </is>
      </c>
      <c r="D781" s="2" t="inlineStr">
        <is>
          <t>P0018</t>
        </is>
      </c>
      <c r="E781" s="2" t="inlineStr">
        <is>
          <t>Backpack</t>
        </is>
      </c>
      <c r="F781" s="2" t="inlineStr">
        <is>
          <t>Fashion</t>
        </is>
      </c>
      <c r="G781" s="2" t="inlineStr">
        <is>
          <t>North</t>
        </is>
      </c>
      <c r="H781" s="2" t="inlineStr">
        <is>
          <t>Uttar Pradesh</t>
        </is>
      </c>
      <c r="I781" s="2" t="inlineStr">
        <is>
          <t>Varanasi</t>
        </is>
      </c>
      <c r="J781" s="2" t="inlineStr">
        <is>
          <t>Online</t>
        </is>
      </c>
      <c r="K781" s="2" t="n">
        <v>1</v>
      </c>
      <c r="L781" s="3" t="n">
        <v>1891.37</v>
      </c>
      <c r="M781" s="4" t="n">
        <v>0.25</v>
      </c>
      <c r="N781" s="3" t="n">
        <v>1324.98</v>
      </c>
      <c r="O781" s="3">
        <f>K781*L781*(1-M781)</f>
        <v/>
      </c>
      <c r="P781" s="3">
        <f>O781-N781</f>
        <v/>
      </c>
      <c r="Q781" s="5">
        <f>IFERROR(P781/O781,0)</f>
        <v/>
      </c>
      <c r="R781" s="2">
        <f>TEXT(DATEVALUE(B781),"mmm")</f>
        <v/>
      </c>
      <c r="S781" s="2">
        <f>TEXT(DATEVALUE(B781),"yyyy-mm")</f>
        <v/>
      </c>
    </row>
    <row r="782">
      <c r="A782" s="2" t="inlineStr">
        <is>
          <t>O004050</t>
        </is>
      </c>
      <c r="B782" s="2" t="inlineStr">
        <is>
          <t>2025-02-27</t>
        </is>
      </c>
      <c r="C782" s="2" t="inlineStr">
        <is>
          <t>C0428</t>
        </is>
      </c>
      <c r="D782" s="2" t="inlineStr">
        <is>
          <t>P0022</t>
        </is>
      </c>
      <c r="E782" s="2" t="inlineStr">
        <is>
          <t>Face Wash</t>
        </is>
      </c>
      <c r="F782" s="2" t="inlineStr">
        <is>
          <t>Beauty</t>
        </is>
      </c>
      <c r="G782" s="2" t="inlineStr">
        <is>
          <t>South</t>
        </is>
      </c>
      <c r="H782" s="2" t="inlineStr">
        <is>
          <t>Telangana</t>
        </is>
      </c>
      <c r="I782" s="2" t="inlineStr">
        <is>
          <t>Hyderabad</t>
        </is>
      </c>
      <c r="J782" s="2" t="inlineStr">
        <is>
          <t>Online</t>
        </is>
      </c>
      <c r="K782" s="2" t="n">
        <v>2</v>
      </c>
      <c r="L782" s="3" t="n">
        <v>555.13</v>
      </c>
      <c r="M782" s="4" t="n">
        <v>0.15</v>
      </c>
      <c r="N782" s="3" t="n">
        <v>696.3</v>
      </c>
      <c r="O782" s="3">
        <f>K782*L782*(1-M782)</f>
        <v/>
      </c>
      <c r="P782" s="3">
        <f>O782-N782</f>
        <v/>
      </c>
      <c r="Q782" s="5">
        <f>IFERROR(P782/O782,0)</f>
        <v/>
      </c>
      <c r="R782" s="2">
        <f>TEXT(DATEVALUE(B782),"mmm")</f>
        <v/>
      </c>
      <c r="S782" s="2">
        <f>TEXT(DATEVALUE(B782),"yyyy-mm")</f>
        <v/>
      </c>
    </row>
    <row r="783">
      <c r="A783" s="2" t="inlineStr">
        <is>
          <t>O000656</t>
        </is>
      </c>
      <c r="B783" s="2" t="inlineStr">
        <is>
          <t>2025-02-27</t>
        </is>
      </c>
      <c r="C783" s="2" t="inlineStr">
        <is>
          <t>C0686</t>
        </is>
      </c>
      <c r="D783" s="2" t="inlineStr">
        <is>
          <t>P0031</t>
        </is>
      </c>
      <c r="E783" s="2" t="inlineStr">
        <is>
          <t>Cricket Bat</t>
        </is>
      </c>
      <c r="F783" s="2" t="inlineStr">
        <is>
          <t>Sports</t>
        </is>
      </c>
      <c r="G783" s="2" t="inlineStr">
        <is>
          <t>North</t>
        </is>
      </c>
      <c r="H783" s="2" t="inlineStr">
        <is>
          <t>Haryana</t>
        </is>
      </c>
      <c r="I783" s="2" t="inlineStr">
        <is>
          <t>Faridabad</t>
        </is>
      </c>
      <c r="J783" s="2" t="inlineStr">
        <is>
          <t>Online</t>
        </is>
      </c>
      <c r="K783" s="2" t="n">
        <v>1</v>
      </c>
      <c r="L783" s="3" t="n">
        <v>1404.68</v>
      </c>
      <c r="M783" s="4" t="n">
        <v>0.05</v>
      </c>
      <c r="N783" s="3" t="n">
        <v>944.47</v>
      </c>
      <c r="O783" s="3">
        <f>K783*L783*(1-M783)</f>
        <v/>
      </c>
      <c r="P783" s="3">
        <f>O783-N783</f>
        <v/>
      </c>
      <c r="Q783" s="5">
        <f>IFERROR(P783/O783,0)</f>
        <v/>
      </c>
      <c r="R783" s="2">
        <f>TEXT(DATEVALUE(B783),"mmm")</f>
        <v/>
      </c>
      <c r="S783" s="2">
        <f>TEXT(DATEVALUE(B783),"yyyy-mm")</f>
        <v/>
      </c>
    </row>
    <row r="784">
      <c r="A784" s="2" t="inlineStr">
        <is>
          <t>O000645</t>
        </is>
      </c>
      <c r="B784" s="2" t="inlineStr">
        <is>
          <t>2025-02-27</t>
        </is>
      </c>
      <c r="C784" s="2" t="inlineStr">
        <is>
          <t>C0206</t>
        </is>
      </c>
      <c r="D784" s="2" t="inlineStr">
        <is>
          <t>P0017</t>
        </is>
      </c>
      <c r="E784" s="2" t="inlineStr">
        <is>
          <t>Jeans</t>
        </is>
      </c>
      <c r="F784" s="2" t="inlineStr">
        <is>
          <t>Fashion</t>
        </is>
      </c>
      <c r="G784" s="2" t="inlineStr">
        <is>
          <t>North</t>
        </is>
      </c>
      <c r="H784" s="2" t="inlineStr">
        <is>
          <t>Punjab</t>
        </is>
      </c>
      <c r="I784" s="2" t="inlineStr">
        <is>
          <t>Jalandhar</t>
        </is>
      </c>
      <c r="J784" s="2" t="inlineStr">
        <is>
          <t>Online</t>
        </is>
      </c>
      <c r="K784" s="2" t="n">
        <v>1</v>
      </c>
      <c r="L784" s="3" t="n">
        <v>1468.01</v>
      </c>
      <c r="M784" s="4" t="n">
        <v>0.1</v>
      </c>
      <c r="N784" s="3" t="n">
        <v>1033.35</v>
      </c>
      <c r="O784" s="3">
        <f>K784*L784*(1-M784)</f>
        <v/>
      </c>
      <c r="P784" s="3">
        <f>O784-N784</f>
        <v/>
      </c>
      <c r="Q784" s="5">
        <f>IFERROR(P784/O784,0)</f>
        <v/>
      </c>
      <c r="R784" s="2">
        <f>TEXT(DATEVALUE(B784),"mmm")</f>
        <v/>
      </c>
      <c r="S784" s="2">
        <f>TEXT(DATEVALUE(B784),"yyyy-mm")</f>
        <v/>
      </c>
    </row>
    <row r="785">
      <c r="A785" s="2" t="inlineStr">
        <is>
          <t>O000445</t>
        </is>
      </c>
      <c r="B785" s="2" t="inlineStr">
        <is>
          <t>2025-02-27</t>
        </is>
      </c>
      <c r="C785" s="2" t="inlineStr">
        <is>
          <t>C0179</t>
        </is>
      </c>
      <c r="D785" s="2" t="inlineStr">
        <is>
          <t>P0022</t>
        </is>
      </c>
      <c r="E785" s="2" t="inlineStr">
        <is>
          <t>Face Wash</t>
        </is>
      </c>
      <c r="F785" s="2" t="inlineStr">
        <is>
          <t>Beauty</t>
        </is>
      </c>
      <c r="G785" s="2" t="inlineStr">
        <is>
          <t>North</t>
        </is>
      </c>
      <c r="H785" s="2" t="inlineStr">
        <is>
          <t>Delhi</t>
        </is>
      </c>
      <c r="I785" s="2" t="inlineStr">
        <is>
          <t>New Delhi</t>
        </is>
      </c>
      <c r="J785" s="2" t="inlineStr">
        <is>
          <t>Store</t>
        </is>
      </c>
      <c r="K785" s="2" t="n">
        <v>2</v>
      </c>
      <c r="L785" s="3" t="n">
        <v>541.79</v>
      </c>
      <c r="M785" s="4" t="n">
        <v>0.1</v>
      </c>
      <c r="N785" s="3" t="n">
        <v>725.88</v>
      </c>
      <c r="O785" s="3">
        <f>K785*L785*(1-M785)</f>
        <v/>
      </c>
      <c r="P785" s="3">
        <f>O785-N785</f>
        <v/>
      </c>
      <c r="Q785" s="5">
        <f>IFERROR(P785/O785,0)</f>
        <v/>
      </c>
      <c r="R785" s="2">
        <f>TEXT(DATEVALUE(B785),"mmm")</f>
        <v/>
      </c>
      <c r="S785" s="2">
        <f>TEXT(DATEVALUE(B785),"yyyy-mm")</f>
        <v/>
      </c>
    </row>
    <row r="786">
      <c r="A786" s="2" t="inlineStr">
        <is>
          <t>O001720</t>
        </is>
      </c>
      <c r="B786" s="2" t="inlineStr">
        <is>
          <t>2025-02-27</t>
        </is>
      </c>
      <c r="C786" s="2" t="inlineStr">
        <is>
          <t>C0766</t>
        </is>
      </c>
      <c r="D786" s="2" t="inlineStr">
        <is>
          <t>P0035</t>
        </is>
      </c>
      <c r="E786" s="2" t="inlineStr">
        <is>
          <t>Skipping Rope</t>
        </is>
      </c>
      <c r="F786" s="2" t="inlineStr">
        <is>
          <t>Sports</t>
        </is>
      </c>
      <c r="G786" s="2" t="inlineStr">
        <is>
          <t>North</t>
        </is>
      </c>
      <c r="H786" s="2" t="inlineStr">
        <is>
          <t>Haryana</t>
        </is>
      </c>
      <c r="I786" s="2" t="inlineStr">
        <is>
          <t>Gurugram</t>
        </is>
      </c>
      <c r="J786" s="2" t="inlineStr">
        <is>
          <t>Store</t>
        </is>
      </c>
      <c r="K786" s="2" t="n">
        <v>3</v>
      </c>
      <c r="L786" s="3" t="n">
        <v>725.11</v>
      </c>
      <c r="M786" s="4" t="n">
        <v>0.1</v>
      </c>
      <c r="N786" s="3" t="n">
        <v>1208.22</v>
      </c>
      <c r="O786" s="3">
        <f>K786*L786*(1-M786)</f>
        <v/>
      </c>
      <c r="P786" s="3">
        <f>O786-N786</f>
        <v/>
      </c>
      <c r="Q786" s="5">
        <f>IFERROR(P786/O786,0)</f>
        <v/>
      </c>
      <c r="R786" s="2">
        <f>TEXT(DATEVALUE(B786),"mmm")</f>
        <v/>
      </c>
      <c r="S786" s="2">
        <f>TEXT(DATEVALUE(B786),"yyyy-mm")</f>
        <v/>
      </c>
    </row>
    <row r="787">
      <c r="A787" s="2" t="inlineStr">
        <is>
          <t>O000437</t>
        </is>
      </c>
      <c r="B787" s="2" t="inlineStr">
        <is>
          <t>2025-02-27</t>
        </is>
      </c>
      <c r="C787" s="2" t="inlineStr">
        <is>
          <t>C0555</t>
        </is>
      </c>
      <c r="D787" s="2" t="inlineStr">
        <is>
          <t>P0021</t>
        </is>
      </c>
      <c r="E787" s="2" t="inlineStr">
        <is>
          <t>Wallet</t>
        </is>
      </c>
      <c r="F787" s="2" t="inlineStr">
        <is>
          <t>Fashion</t>
        </is>
      </c>
      <c r="G787" s="2" t="inlineStr">
        <is>
          <t>West</t>
        </is>
      </c>
      <c r="H787" s="2" t="inlineStr">
        <is>
          <t>Maharashtra</t>
        </is>
      </c>
      <c r="I787" s="2" t="inlineStr">
        <is>
          <t>Pune</t>
        </is>
      </c>
      <c r="J787" s="2" t="inlineStr">
        <is>
          <t>Online</t>
        </is>
      </c>
      <c r="K787" s="2" t="n">
        <v>1</v>
      </c>
      <c r="L787" s="3" t="n">
        <v>2040.78</v>
      </c>
      <c r="M787" s="4" t="n">
        <v>0</v>
      </c>
      <c r="N787" s="3" t="n">
        <v>1251.88</v>
      </c>
      <c r="O787" s="3">
        <f>K787*L787*(1-M787)</f>
        <v/>
      </c>
      <c r="P787" s="3">
        <f>O787-N787</f>
        <v/>
      </c>
      <c r="Q787" s="5">
        <f>IFERROR(P787/O787,0)</f>
        <v/>
      </c>
      <c r="R787" s="2">
        <f>TEXT(DATEVALUE(B787),"mmm")</f>
        <v/>
      </c>
      <c r="S787" s="2">
        <f>TEXT(DATEVALUE(B787),"yyyy-mm")</f>
        <v/>
      </c>
    </row>
    <row r="788">
      <c r="A788" s="2" t="inlineStr">
        <is>
          <t>O000403</t>
        </is>
      </c>
      <c r="B788" s="2" t="inlineStr">
        <is>
          <t>2025-02-27</t>
        </is>
      </c>
      <c r="C788" s="2" t="inlineStr">
        <is>
          <t>C0334</t>
        </is>
      </c>
      <c r="D788" s="2" t="inlineStr">
        <is>
          <t>P0027</t>
        </is>
      </c>
      <c r="E788" s="2" t="inlineStr">
        <is>
          <t>Moisturizer</t>
        </is>
      </c>
      <c r="F788" s="2" t="inlineStr">
        <is>
          <t>Beauty</t>
        </is>
      </c>
      <c r="G788" s="2" t="inlineStr">
        <is>
          <t>East</t>
        </is>
      </c>
      <c r="H788" s="2" t="inlineStr">
        <is>
          <t>West Bengal</t>
        </is>
      </c>
      <c r="I788" s="2" t="inlineStr">
        <is>
          <t>Kolkata</t>
        </is>
      </c>
      <c r="J788" s="2" t="inlineStr">
        <is>
          <t>Store</t>
        </is>
      </c>
      <c r="K788" s="2" t="n">
        <v>1</v>
      </c>
      <c r="L788" s="3" t="n">
        <v>972.2</v>
      </c>
      <c r="M788" s="4" t="n">
        <v>0.1</v>
      </c>
      <c r="N788" s="3" t="n">
        <v>697.29</v>
      </c>
      <c r="O788" s="3">
        <f>K788*L788*(1-M788)</f>
        <v/>
      </c>
      <c r="P788" s="3">
        <f>O788-N788</f>
        <v/>
      </c>
      <c r="Q788" s="5">
        <f>IFERROR(P788/O788,0)</f>
        <v/>
      </c>
      <c r="R788" s="2">
        <f>TEXT(DATEVALUE(B788),"mmm")</f>
        <v/>
      </c>
      <c r="S788" s="2">
        <f>TEXT(DATEVALUE(B788),"yyyy-mm")</f>
        <v/>
      </c>
    </row>
    <row r="789">
      <c r="A789" s="2" t="inlineStr">
        <is>
          <t>O000357</t>
        </is>
      </c>
      <c r="B789" s="2" t="inlineStr">
        <is>
          <t>2025-02-27</t>
        </is>
      </c>
      <c r="C789" s="2" t="inlineStr">
        <is>
          <t>C0334</t>
        </is>
      </c>
      <c r="D789" s="2" t="inlineStr">
        <is>
          <t>P0024</t>
        </is>
      </c>
      <c r="E789" s="2" t="inlineStr">
        <is>
          <t>Hair Dryer</t>
        </is>
      </c>
      <c r="F789" s="2" t="inlineStr">
        <is>
          <t>Beauty</t>
        </is>
      </c>
      <c r="G789" s="2" t="inlineStr">
        <is>
          <t>South</t>
        </is>
      </c>
      <c r="H789" s="2" t="inlineStr">
        <is>
          <t>Kerala</t>
        </is>
      </c>
      <c r="I789" s="2" t="inlineStr">
        <is>
          <t>Thiruvananthapuram</t>
        </is>
      </c>
      <c r="J789" s="2" t="inlineStr">
        <is>
          <t>Store</t>
        </is>
      </c>
      <c r="K789" s="2" t="n">
        <v>2</v>
      </c>
      <c r="L789" s="3" t="n">
        <v>977.74</v>
      </c>
      <c r="M789" s="4" t="n">
        <v>0.05</v>
      </c>
      <c r="N789" s="3" t="n">
        <v>1501</v>
      </c>
      <c r="O789" s="3">
        <f>K789*L789*(1-M789)</f>
        <v/>
      </c>
      <c r="P789" s="3">
        <f>O789-N789</f>
        <v/>
      </c>
      <c r="Q789" s="5">
        <f>IFERROR(P789/O789,0)</f>
        <v/>
      </c>
      <c r="R789" s="2">
        <f>TEXT(DATEVALUE(B789),"mmm")</f>
        <v/>
      </c>
      <c r="S789" s="2">
        <f>TEXT(DATEVALUE(B789),"yyyy-mm")</f>
        <v/>
      </c>
    </row>
    <row r="790">
      <c r="A790" s="2" t="inlineStr">
        <is>
          <t>O003881</t>
        </is>
      </c>
      <c r="B790" s="2" t="inlineStr">
        <is>
          <t>2025-02-28</t>
        </is>
      </c>
      <c r="C790" s="2" t="inlineStr">
        <is>
          <t>C0637</t>
        </is>
      </c>
      <c r="D790" s="2" t="inlineStr">
        <is>
          <t>P0018</t>
        </is>
      </c>
      <c r="E790" s="2" t="inlineStr">
        <is>
          <t>Backpack</t>
        </is>
      </c>
      <c r="F790" s="2" t="inlineStr">
        <is>
          <t>Fashion</t>
        </is>
      </c>
      <c r="G790" s="2" t="inlineStr">
        <is>
          <t>West</t>
        </is>
      </c>
      <c r="H790" s="2" t="inlineStr">
        <is>
          <t>Goa</t>
        </is>
      </c>
      <c r="I790" s="2" t="inlineStr">
        <is>
          <t>Margao</t>
        </is>
      </c>
      <c r="J790" s="2" t="inlineStr">
        <is>
          <t>Store</t>
        </is>
      </c>
      <c r="K790" s="2" t="n">
        <v>6</v>
      </c>
      <c r="L790" s="3" t="n">
        <v>1804.69</v>
      </c>
      <c r="M790" s="4" t="n">
        <v>0</v>
      </c>
      <c r="N790" s="3" t="n">
        <v>8007.01</v>
      </c>
      <c r="O790" s="3">
        <f>K790*L790*(1-M790)</f>
        <v/>
      </c>
      <c r="P790" s="3">
        <f>O790-N790</f>
        <v/>
      </c>
      <c r="Q790" s="5">
        <f>IFERROR(P790/O790,0)</f>
        <v/>
      </c>
      <c r="R790" s="2">
        <f>TEXT(DATEVALUE(B790),"mmm")</f>
        <v/>
      </c>
      <c r="S790" s="2">
        <f>TEXT(DATEVALUE(B790),"yyyy-mm")</f>
        <v/>
      </c>
    </row>
    <row r="791">
      <c r="A791" s="2" t="inlineStr">
        <is>
          <t>O003969</t>
        </is>
      </c>
      <c r="B791" s="2" t="inlineStr">
        <is>
          <t>2025-02-28</t>
        </is>
      </c>
      <c r="C791" s="2" t="inlineStr">
        <is>
          <t>C0128</t>
        </is>
      </c>
      <c r="D791" s="2" t="inlineStr">
        <is>
          <t>P0008</t>
        </is>
      </c>
      <c r="E791" s="2" t="inlineStr">
        <is>
          <t>Air Fryer</t>
        </is>
      </c>
      <c r="F791" s="2" t="inlineStr">
        <is>
          <t>Home &amp; Kitchen</t>
        </is>
      </c>
      <c r="G791" s="2" t="inlineStr">
        <is>
          <t>East</t>
        </is>
      </c>
      <c r="H791" s="2" t="inlineStr">
        <is>
          <t>Bihar</t>
        </is>
      </c>
      <c r="I791" s="2" t="inlineStr">
        <is>
          <t>Gaya</t>
        </is>
      </c>
      <c r="J791" s="2" t="inlineStr">
        <is>
          <t>Store</t>
        </is>
      </c>
      <c r="K791" s="2" t="n">
        <v>2</v>
      </c>
      <c r="L791" s="3" t="n">
        <v>1019.26</v>
      </c>
      <c r="M791" s="4" t="n">
        <v>0.15</v>
      </c>
      <c r="N791" s="3" t="n">
        <v>1367.02</v>
      </c>
      <c r="O791" s="3">
        <f>K791*L791*(1-M791)</f>
        <v/>
      </c>
      <c r="P791" s="3">
        <f>O791-N791</f>
        <v/>
      </c>
      <c r="Q791" s="5">
        <f>IFERROR(P791/O791,0)</f>
        <v/>
      </c>
      <c r="R791" s="2">
        <f>TEXT(DATEVALUE(B791),"mmm")</f>
        <v/>
      </c>
      <c r="S791" s="2">
        <f>TEXT(DATEVALUE(B791),"yyyy-mm")</f>
        <v/>
      </c>
    </row>
    <row r="792">
      <c r="A792" s="2" t="inlineStr">
        <is>
          <t>O004160</t>
        </is>
      </c>
      <c r="B792" s="2" t="inlineStr">
        <is>
          <t>2025-02-28</t>
        </is>
      </c>
      <c r="C792" s="2" t="inlineStr">
        <is>
          <t>C0223</t>
        </is>
      </c>
      <c r="D792" s="2" t="inlineStr">
        <is>
          <t>P0004</t>
        </is>
      </c>
      <c r="E792" s="2" t="inlineStr">
        <is>
          <t>USB-C Hub</t>
        </is>
      </c>
      <c r="F792" s="2" t="inlineStr">
        <is>
          <t>Electronics</t>
        </is>
      </c>
      <c r="G792" s="2" t="inlineStr">
        <is>
          <t>South</t>
        </is>
      </c>
      <c r="H792" s="2" t="inlineStr">
        <is>
          <t>Karnataka</t>
        </is>
      </c>
      <c r="I792" s="2" t="inlineStr">
        <is>
          <t>Mysuru</t>
        </is>
      </c>
      <c r="J792" s="2" t="inlineStr">
        <is>
          <t>Store</t>
        </is>
      </c>
      <c r="K792" s="2" t="n">
        <v>2</v>
      </c>
      <c r="L792" s="3" t="n">
        <v>1287.71</v>
      </c>
      <c r="M792" s="4" t="n">
        <v>0</v>
      </c>
      <c r="N792" s="3" t="n">
        <v>1830.46</v>
      </c>
      <c r="O792" s="3">
        <f>K792*L792*(1-M792)</f>
        <v/>
      </c>
      <c r="P792" s="3">
        <f>O792-N792</f>
        <v/>
      </c>
      <c r="Q792" s="5">
        <f>IFERROR(P792/O792,0)</f>
        <v/>
      </c>
      <c r="R792" s="2">
        <f>TEXT(DATEVALUE(B792),"mmm")</f>
        <v/>
      </c>
      <c r="S792" s="2">
        <f>TEXT(DATEVALUE(B792),"yyyy-mm")</f>
        <v/>
      </c>
    </row>
    <row r="793">
      <c r="A793" s="2" t="inlineStr">
        <is>
          <t>O004276</t>
        </is>
      </c>
      <c r="B793" s="2" t="inlineStr">
        <is>
          <t>2025-02-28</t>
        </is>
      </c>
      <c r="C793" s="2" t="inlineStr">
        <is>
          <t>C0733</t>
        </is>
      </c>
      <c r="D793" s="2" t="inlineStr">
        <is>
          <t>P0022</t>
        </is>
      </c>
      <c r="E793" s="2" t="inlineStr">
        <is>
          <t>Face Wash</t>
        </is>
      </c>
      <c r="F793" s="2" t="inlineStr">
        <is>
          <t>Beauty</t>
        </is>
      </c>
      <c r="G793" s="2" t="inlineStr">
        <is>
          <t>West</t>
        </is>
      </c>
      <c r="H793" s="2" t="inlineStr">
        <is>
          <t>Maharashtra</t>
        </is>
      </c>
      <c r="I793" s="2" t="inlineStr">
        <is>
          <t>Nashik</t>
        </is>
      </c>
      <c r="J793" s="2" t="inlineStr">
        <is>
          <t>Online</t>
        </is>
      </c>
      <c r="K793" s="2" t="n">
        <v>2</v>
      </c>
      <c r="L793" s="3" t="n">
        <v>561.8099999999999</v>
      </c>
      <c r="M793" s="4" t="n">
        <v>0</v>
      </c>
      <c r="N793" s="3" t="n">
        <v>723.52</v>
      </c>
      <c r="O793" s="3">
        <f>K793*L793*(1-M793)</f>
        <v/>
      </c>
      <c r="P793" s="3">
        <f>O793-N793</f>
        <v/>
      </c>
      <c r="Q793" s="5">
        <f>IFERROR(P793/O793,0)</f>
        <v/>
      </c>
      <c r="R793" s="2">
        <f>TEXT(DATEVALUE(B793),"mmm")</f>
        <v/>
      </c>
      <c r="S793" s="2">
        <f>TEXT(DATEVALUE(B793),"yyyy-mm")</f>
        <v/>
      </c>
    </row>
    <row r="794">
      <c r="A794" s="2" t="inlineStr">
        <is>
          <t>O004893</t>
        </is>
      </c>
      <c r="B794" s="2" t="inlineStr">
        <is>
          <t>2025-02-28</t>
        </is>
      </c>
      <c r="C794" s="2" t="inlineStr">
        <is>
          <t>C0694</t>
        </is>
      </c>
      <c r="D794" s="2" t="inlineStr">
        <is>
          <t>P0015</t>
        </is>
      </c>
      <c r="E794" s="2" t="inlineStr">
        <is>
          <t>Running Shoes</t>
        </is>
      </c>
      <c r="F794" s="2" t="inlineStr">
        <is>
          <t>Fashion</t>
        </is>
      </c>
      <c r="G794" s="2" t="inlineStr">
        <is>
          <t>South</t>
        </is>
      </c>
      <c r="H794" s="2" t="inlineStr">
        <is>
          <t>Karnataka</t>
        </is>
      </c>
      <c r="I794" s="2" t="inlineStr">
        <is>
          <t>Bengaluru</t>
        </is>
      </c>
      <c r="J794" s="2" t="inlineStr">
        <is>
          <t>Store</t>
        </is>
      </c>
      <c r="K794" s="2" t="n">
        <v>1</v>
      </c>
      <c r="L794" s="3" t="n">
        <v>625.71</v>
      </c>
      <c r="M794" s="4" t="n">
        <v>0.1</v>
      </c>
      <c r="N794" s="3" t="n">
        <v>369.18</v>
      </c>
      <c r="O794" s="3">
        <f>K794*L794*(1-M794)</f>
        <v/>
      </c>
      <c r="P794" s="3">
        <f>O794-N794</f>
        <v/>
      </c>
      <c r="Q794" s="5">
        <f>IFERROR(P794/O794,0)</f>
        <v/>
      </c>
      <c r="R794" s="2">
        <f>TEXT(DATEVALUE(B794),"mmm")</f>
        <v/>
      </c>
      <c r="S794" s="2">
        <f>TEXT(DATEVALUE(B794),"yyyy-mm")</f>
        <v/>
      </c>
    </row>
    <row r="795">
      <c r="A795" s="2" t="inlineStr">
        <is>
          <t>O004726</t>
        </is>
      </c>
      <c r="B795" s="2" t="inlineStr">
        <is>
          <t>2025-02-28</t>
        </is>
      </c>
      <c r="C795" s="2" t="inlineStr">
        <is>
          <t>C0242</t>
        </is>
      </c>
      <c r="D795" s="2" t="inlineStr">
        <is>
          <t>P0014</t>
        </is>
      </c>
      <c r="E795" s="2" t="inlineStr">
        <is>
          <t>Coffee Maker</t>
        </is>
      </c>
      <c r="F795" s="2" t="inlineStr">
        <is>
          <t>Home &amp; Kitchen</t>
        </is>
      </c>
      <c r="G795" s="2" t="inlineStr">
        <is>
          <t>West</t>
        </is>
      </c>
      <c r="H795" s="2" t="inlineStr">
        <is>
          <t>Gujarat</t>
        </is>
      </c>
      <c r="I795" s="2" t="inlineStr">
        <is>
          <t>Ahmedabad</t>
        </is>
      </c>
      <c r="J795" s="2" t="inlineStr">
        <is>
          <t>Online</t>
        </is>
      </c>
      <c r="K795" s="2" t="n">
        <v>5</v>
      </c>
      <c r="L795" s="3" t="n">
        <v>1000.3</v>
      </c>
      <c r="M795" s="4" t="n">
        <v>0.1</v>
      </c>
      <c r="N795" s="3" t="n">
        <v>3862.67</v>
      </c>
      <c r="O795" s="3">
        <f>K795*L795*(1-M795)</f>
        <v/>
      </c>
      <c r="P795" s="3">
        <f>O795-N795</f>
        <v/>
      </c>
      <c r="Q795" s="5">
        <f>IFERROR(P795/O795,0)</f>
        <v/>
      </c>
      <c r="R795" s="2">
        <f>TEXT(DATEVALUE(B795),"mmm")</f>
        <v/>
      </c>
      <c r="S795" s="2">
        <f>TEXT(DATEVALUE(B795),"yyyy-mm")</f>
        <v/>
      </c>
    </row>
    <row r="796">
      <c r="A796" s="2" t="inlineStr">
        <is>
          <t>O004746</t>
        </is>
      </c>
      <c r="B796" s="2" t="inlineStr">
        <is>
          <t>2025-02-28</t>
        </is>
      </c>
      <c r="C796" s="2" t="inlineStr">
        <is>
          <t>C0393</t>
        </is>
      </c>
      <c r="D796" s="2" t="inlineStr">
        <is>
          <t>P0004</t>
        </is>
      </c>
      <c r="E796" s="2" t="inlineStr">
        <is>
          <t>USB-C Hub</t>
        </is>
      </c>
      <c r="F796" s="2" t="inlineStr">
        <is>
          <t>Electronics</t>
        </is>
      </c>
      <c r="G796" s="2" t="inlineStr">
        <is>
          <t>West</t>
        </is>
      </c>
      <c r="H796" s="2" t="inlineStr">
        <is>
          <t>Goa</t>
        </is>
      </c>
      <c r="I796" s="2" t="inlineStr">
        <is>
          <t>Panaji</t>
        </is>
      </c>
      <c r="J796" s="2" t="inlineStr">
        <is>
          <t>Online</t>
        </is>
      </c>
      <c r="K796" s="2" t="n">
        <v>1</v>
      </c>
      <c r="L796" s="3" t="n">
        <v>1229.94</v>
      </c>
      <c r="M796" s="4" t="n">
        <v>0.15</v>
      </c>
      <c r="N796" s="3" t="n">
        <v>899.58</v>
      </c>
      <c r="O796" s="3">
        <f>K796*L796*(1-M796)</f>
        <v/>
      </c>
      <c r="P796" s="3">
        <f>O796-N796</f>
        <v/>
      </c>
      <c r="Q796" s="5">
        <f>IFERROR(P796/O796,0)</f>
        <v/>
      </c>
      <c r="R796" s="2">
        <f>TEXT(DATEVALUE(B796),"mmm")</f>
        <v/>
      </c>
      <c r="S796" s="2">
        <f>TEXT(DATEVALUE(B796),"yyyy-mm")</f>
        <v/>
      </c>
    </row>
    <row r="797">
      <c r="A797" s="2" t="inlineStr">
        <is>
          <t>O003856</t>
        </is>
      </c>
      <c r="B797" s="2" t="inlineStr">
        <is>
          <t>2025-02-28</t>
        </is>
      </c>
      <c r="C797" s="2" t="inlineStr">
        <is>
          <t>C0434</t>
        </is>
      </c>
      <c r="D797" s="2" t="inlineStr">
        <is>
          <t>P0027</t>
        </is>
      </c>
      <c r="E797" s="2" t="inlineStr">
        <is>
          <t>Moisturizer</t>
        </is>
      </c>
      <c r="F797" s="2" t="inlineStr">
        <is>
          <t>Beauty</t>
        </is>
      </c>
      <c r="G797" s="2" t="inlineStr">
        <is>
          <t>West</t>
        </is>
      </c>
      <c r="H797" s="2" t="inlineStr">
        <is>
          <t>Goa</t>
        </is>
      </c>
      <c r="I797" s="2" t="inlineStr">
        <is>
          <t>Margao</t>
        </is>
      </c>
      <c r="J797" s="2" t="inlineStr">
        <is>
          <t>Store</t>
        </is>
      </c>
      <c r="K797" s="2" t="n">
        <v>1</v>
      </c>
      <c r="L797" s="3" t="n">
        <v>991.8</v>
      </c>
      <c r="M797" s="4" t="n">
        <v>0.1</v>
      </c>
      <c r="N797" s="3" t="n">
        <v>700.36</v>
      </c>
      <c r="O797" s="3">
        <f>K797*L797*(1-M797)</f>
        <v/>
      </c>
      <c r="P797" s="3">
        <f>O797-N797</f>
        <v/>
      </c>
      <c r="Q797" s="5">
        <f>IFERROR(P797/O797,0)</f>
        <v/>
      </c>
      <c r="R797" s="2">
        <f>TEXT(DATEVALUE(B797),"mmm")</f>
        <v/>
      </c>
      <c r="S797" s="2">
        <f>TEXT(DATEVALUE(B797),"yyyy-mm")</f>
        <v/>
      </c>
    </row>
    <row r="798">
      <c r="A798" s="2" t="inlineStr">
        <is>
          <t>O004910</t>
        </is>
      </c>
      <c r="B798" s="2" t="inlineStr">
        <is>
          <t>2025-02-28</t>
        </is>
      </c>
      <c r="C798" s="2" t="inlineStr">
        <is>
          <t>C0607</t>
        </is>
      </c>
      <c r="D798" s="2" t="inlineStr">
        <is>
          <t>P0022</t>
        </is>
      </c>
      <c r="E798" s="2" t="inlineStr">
        <is>
          <t>Face Wash</t>
        </is>
      </c>
      <c r="F798" s="2" t="inlineStr">
        <is>
          <t>Beauty</t>
        </is>
      </c>
      <c r="G798" s="2" t="inlineStr">
        <is>
          <t>North</t>
        </is>
      </c>
      <c r="H798" s="2" t="inlineStr">
        <is>
          <t>Uttar Pradesh</t>
        </is>
      </c>
      <c r="I798" s="2" t="inlineStr">
        <is>
          <t>Lucknow</t>
        </is>
      </c>
      <c r="J798" s="2" t="inlineStr">
        <is>
          <t>Online</t>
        </is>
      </c>
      <c r="K798" s="2" t="n">
        <v>3</v>
      </c>
      <c r="L798" s="3" t="n">
        <v>568.17</v>
      </c>
      <c r="M798" s="4" t="n">
        <v>0.25</v>
      </c>
      <c r="N798" s="3" t="n">
        <v>1042.31</v>
      </c>
      <c r="O798" s="3">
        <f>K798*L798*(1-M798)</f>
        <v/>
      </c>
      <c r="P798" s="3">
        <f>O798-N798</f>
        <v/>
      </c>
      <c r="Q798" s="5">
        <f>IFERROR(P798/O798,0)</f>
        <v/>
      </c>
      <c r="R798" s="2">
        <f>TEXT(DATEVALUE(B798),"mmm")</f>
        <v/>
      </c>
      <c r="S798" s="2">
        <f>TEXT(DATEVALUE(B798),"yyyy-mm")</f>
        <v/>
      </c>
    </row>
    <row r="799">
      <c r="A799" s="2" t="inlineStr">
        <is>
          <t>O004693</t>
        </is>
      </c>
      <c r="B799" s="2" t="inlineStr">
        <is>
          <t>2025-02-28</t>
        </is>
      </c>
      <c r="C799" s="2" t="inlineStr">
        <is>
          <t>C0290</t>
        </is>
      </c>
      <c r="D799" s="2" t="inlineStr">
        <is>
          <t>P0014</t>
        </is>
      </c>
      <c r="E799" s="2" t="inlineStr">
        <is>
          <t>Coffee Maker</t>
        </is>
      </c>
      <c r="F799" s="2" t="inlineStr">
        <is>
          <t>Home &amp; Kitchen</t>
        </is>
      </c>
      <c r="G799" s="2" t="inlineStr">
        <is>
          <t>North</t>
        </is>
      </c>
      <c r="H799" s="2" t="inlineStr">
        <is>
          <t>Uttar Pradesh</t>
        </is>
      </c>
      <c r="I799" s="2" t="inlineStr">
        <is>
          <t>Varanasi</t>
        </is>
      </c>
      <c r="J799" s="2" t="inlineStr">
        <is>
          <t>Online</t>
        </is>
      </c>
      <c r="K799" s="2" t="n">
        <v>1</v>
      </c>
      <c r="L799" s="3" t="n">
        <v>1041.3</v>
      </c>
      <c r="M799" s="4" t="n">
        <v>0.1</v>
      </c>
      <c r="N799" s="3" t="n">
        <v>779.22</v>
      </c>
      <c r="O799" s="3">
        <f>K799*L799*(1-M799)</f>
        <v/>
      </c>
      <c r="P799" s="3">
        <f>O799-N799</f>
        <v/>
      </c>
      <c r="Q799" s="5">
        <f>IFERROR(P799/O799,0)</f>
        <v/>
      </c>
      <c r="R799" s="2">
        <f>TEXT(DATEVALUE(B799),"mmm")</f>
        <v/>
      </c>
      <c r="S799" s="2">
        <f>TEXT(DATEVALUE(B799),"yyyy-mm")</f>
        <v/>
      </c>
    </row>
    <row r="800">
      <c r="A800" s="2" t="inlineStr">
        <is>
          <t>O003666</t>
        </is>
      </c>
      <c r="B800" s="2" t="inlineStr">
        <is>
          <t>2025-02-28</t>
        </is>
      </c>
      <c r="C800" s="2" t="inlineStr">
        <is>
          <t>C0694</t>
        </is>
      </c>
      <c r="D800" s="2" t="inlineStr">
        <is>
          <t>P0017</t>
        </is>
      </c>
      <c r="E800" s="2" t="inlineStr">
        <is>
          <t>Jeans</t>
        </is>
      </c>
      <c r="F800" s="2" t="inlineStr">
        <is>
          <t>Fashion</t>
        </is>
      </c>
      <c r="G800" s="2" t="inlineStr">
        <is>
          <t>South</t>
        </is>
      </c>
      <c r="H800" s="2" t="inlineStr">
        <is>
          <t>Kerala</t>
        </is>
      </c>
      <c r="I800" s="2" t="inlineStr">
        <is>
          <t>Kochi</t>
        </is>
      </c>
      <c r="J800" s="2" t="inlineStr">
        <is>
          <t>Store</t>
        </is>
      </c>
      <c r="K800" s="2" t="n">
        <v>1</v>
      </c>
      <c r="L800" s="3" t="n">
        <v>1551.42</v>
      </c>
      <c r="M800" s="4" t="n">
        <v>0.05</v>
      </c>
      <c r="N800" s="3" t="n">
        <v>1026.2</v>
      </c>
      <c r="O800" s="3">
        <f>K800*L800*(1-M800)</f>
        <v/>
      </c>
      <c r="P800" s="3">
        <f>O800-N800</f>
        <v/>
      </c>
      <c r="Q800" s="5">
        <f>IFERROR(P800/O800,0)</f>
        <v/>
      </c>
      <c r="R800" s="2">
        <f>TEXT(DATEVALUE(B800),"mmm")</f>
        <v/>
      </c>
      <c r="S800" s="2">
        <f>TEXT(DATEVALUE(B800),"yyyy-mm")</f>
        <v/>
      </c>
    </row>
    <row r="801">
      <c r="A801" s="2" t="inlineStr">
        <is>
          <t>O004354</t>
        </is>
      </c>
      <c r="B801" s="2" t="inlineStr">
        <is>
          <t>2025-02-28</t>
        </is>
      </c>
      <c r="C801" s="2" t="inlineStr">
        <is>
          <t>C0293</t>
        </is>
      </c>
      <c r="D801" s="2" t="inlineStr">
        <is>
          <t>P0004</t>
        </is>
      </c>
      <c r="E801" s="2" t="inlineStr">
        <is>
          <t>USB-C Hub</t>
        </is>
      </c>
      <c r="F801" s="2" t="inlineStr">
        <is>
          <t>Electronics</t>
        </is>
      </c>
      <c r="G801" s="2" t="inlineStr">
        <is>
          <t>West</t>
        </is>
      </c>
      <c r="H801" s="2" t="inlineStr">
        <is>
          <t>Maharashtra</t>
        </is>
      </c>
      <c r="I801" s="2" t="inlineStr">
        <is>
          <t>Nagpur</t>
        </is>
      </c>
      <c r="J801" s="2" t="inlineStr">
        <is>
          <t>Online</t>
        </is>
      </c>
      <c r="K801" s="2" t="n">
        <v>2</v>
      </c>
      <c r="L801" s="3" t="n">
        <v>1314.38</v>
      </c>
      <c r="M801" s="4" t="n">
        <v>0.1</v>
      </c>
      <c r="N801" s="3" t="n">
        <v>1831.73</v>
      </c>
      <c r="O801" s="3">
        <f>K801*L801*(1-M801)</f>
        <v/>
      </c>
      <c r="P801" s="3">
        <f>O801-N801</f>
        <v/>
      </c>
      <c r="Q801" s="5">
        <f>IFERROR(P801/O801,0)</f>
        <v/>
      </c>
      <c r="R801" s="2">
        <f>TEXT(DATEVALUE(B801),"mmm")</f>
        <v/>
      </c>
      <c r="S801" s="2">
        <f>TEXT(DATEVALUE(B801),"yyyy-mm")</f>
        <v/>
      </c>
    </row>
    <row r="802">
      <c r="A802" s="2" t="inlineStr">
        <is>
          <t>O003265</t>
        </is>
      </c>
      <c r="B802" s="2" t="inlineStr">
        <is>
          <t>2025-02-28</t>
        </is>
      </c>
      <c r="C802" s="2" t="inlineStr">
        <is>
          <t>C0346</t>
        </is>
      </c>
      <c r="D802" s="2" t="inlineStr">
        <is>
          <t>P0013</t>
        </is>
      </c>
      <c r="E802" s="2" t="inlineStr">
        <is>
          <t>Storage Organizer</t>
        </is>
      </c>
      <c r="F802" s="2" t="inlineStr">
        <is>
          <t>Home &amp; Kitchen</t>
        </is>
      </c>
      <c r="G802" s="2" t="inlineStr">
        <is>
          <t>East</t>
        </is>
      </c>
      <c r="H802" s="2" t="inlineStr">
        <is>
          <t>Bihar</t>
        </is>
      </c>
      <c r="I802" s="2" t="inlineStr">
        <is>
          <t>Gaya</t>
        </is>
      </c>
      <c r="J802" s="2" t="inlineStr">
        <is>
          <t>Online</t>
        </is>
      </c>
      <c r="K802" s="2" t="n">
        <v>1</v>
      </c>
      <c r="L802" s="3" t="n">
        <v>564.28</v>
      </c>
      <c r="M802" s="4" t="n">
        <v>0</v>
      </c>
      <c r="N802" s="3" t="n">
        <v>369.36</v>
      </c>
      <c r="O802" s="3">
        <f>K802*L802*(1-M802)</f>
        <v/>
      </c>
      <c r="P802" s="3">
        <f>O802-N802</f>
        <v/>
      </c>
      <c r="Q802" s="5">
        <f>IFERROR(P802/O802,0)</f>
        <v/>
      </c>
      <c r="R802" s="2">
        <f>TEXT(DATEVALUE(B802),"mmm")</f>
        <v/>
      </c>
      <c r="S802" s="2">
        <f>TEXT(DATEVALUE(B802),"yyyy-mm")</f>
        <v/>
      </c>
    </row>
    <row r="803">
      <c r="A803" s="2" t="inlineStr">
        <is>
          <t>O000031</t>
        </is>
      </c>
      <c r="B803" s="2" t="inlineStr">
        <is>
          <t>2025-02-28</t>
        </is>
      </c>
      <c r="C803" s="2" t="inlineStr">
        <is>
          <t>C0355</t>
        </is>
      </c>
      <c r="D803" s="2" t="inlineStr">
        <is>
          <t>P0007</t>
        </is>
      </c>
      <c r="E803" s="2" t="inlineStr">
        <is>
          <t>Wireless Mouse</t>
        </is>
      </c>
      <c r="F803" s="2" t="inlineStr">
        <is>
          <t>Electronics</t>
        </is>
      </c>
      <c r="G803" s="2" t="inlineStr">
        <is>
          <t>West</t>
        </is>
      </c>
      <c r="H803" s="2" t="inlineStr">
        <is>
          <t>Maharashtra</t>
        </is>
      </c>
      <c r="I803" s="2" t="inlineStr">
        <is>
          <t>Nashik</t>
        </is>
      </c>
      <c r="J803" s="2" t="inlineStr">
        <is>
          <t>Store</t>
        </is>
      </c>
      <c r="K803" s="2" t="n">
        <v>1</v>
      </c>
      <c r="L803" s="3" t="n">
        <v>1005.8</v>
      </c>
      <c r="M803" s="4" t="n">
        <v>0.05</v>
      </c>
      <c r="N803" s="3" t="n">
        <v>642.62</v>
      </c>
      <c r="O803" s="3">
        <f>K803*L803*(1-M803)</f>
        <v/>
      </c>
      <c r="P803" s="3">
        <f>O803-N803</f>
        <v/>
      </c>
      <c r="Q803" s="5">
        <f>IFERROR(P803/O803,0)</f>
        <v/>
      </c>
      <c r="R803" s="2">
        <f>TEXT(DATEVALUE(B803),"mmm")</f>
        <v/>
      </c>
      <c r="S803" s="2">
        <f>TEXT(DATEVALUE(B803),"yyyy-mm")</f>
        <v/>
      </c>
    </row>
    <row r="804">
      <c r="A804" s="2" t="inlineStr">
        <is>
          <t>O001312</t>
        </is>
      </c>
      <c r="B804" s="2" t="inlineStr">
        <is>
          <t>2025-02-28</t>
        </is>
      </c>
      <c r="C804" s="2" t="inlineStr">
        <is>
          <t>C0345</t>
        </is>
      </c>
      <c r="D804" s="2" t="inlineStr">
        <is>
          <t>P0021</t>
        </is>
      </c>
      <c r="E804" s="2" t="inlineStr">
        <is>
          <t>Wallet</t>
        </is>
      </c>
      <c r="F804" s="2" t="inlineStr">
        <is>
          <t>Fashion</t>
        </is>
      </c>
      <c r="G804" s="2" t="inlineStr">
        <is>
          <t>South</t>
        </is>
      </c>
      <c r="H804" s="2" t="inlineStr">
        <is>
          <t>Telangana</t>
        </is>
      </c>
      <c r="I804" s="2" t="inlineStr">
        <is>
          <t>Warangal</t>
        </is>
      </c>
      <c r="J804" s="2" t="inlineStr">
        <is>
          <t>Store</t>
        </is>
      </c>
      <c r="K804" s="2" t="n">
        <v>1</v>
      </c>
      <c r="L804" s="3" t="n">
        <v>2092.88</v>
      </c>
      <c r="M804" s="4" t="n">
        <v>0.05</v>
      </c>
      <c r="N804" s="3" t="n">
        <v>1250.45</v>
      </c>
      <c r="O804" s="3">
        <f>K804*L804*(1-M804)</f>
        <v/>
      </c>
      <c r="P804" s="3">
        <f>O804-N804</f>
        <v/>
      </c>
      <c r="Q804" s="5">
        <f>IFERROR(P804/O804,0)</f>
        <v/>
      </c>
      <c r="R804" s="2">
        <f>TEXT(DATEVALUE(B804),"mmm")</f>
        <v/>
      </c>
      <c r="S804" s="2">
        <f>TEXT(DATEVALUE(B804),"yyyy-mm")</f>
        <v/>
      </c>
    </row>
    <row r="805">
      <c r="A805" s="2" t="inlineStr">
        <is>
          <t>O001449</t>
        </is>
      </c>
      <c r="B805" s="2" t="inlineStr">
        <is>
          <t>2025-02-28</t>
        </is>
      </c>
      <c r="C805" s="2" t="inlineStr">
        <is>
          <t>C0735</t>
        </is>
      </c>
      <c r="D805" s="2" t="inlineStr">
        <is>
          <t>P0003</t>
        </is>
      </c>
      <c r="E805" s="2" t="inlineStr">
        <is>
          <t>Smartwatch</t>
        </is>
      </c>
      <c r="F805" s="2" t="inlineStr">
        <is>
          <t>Electronics</t>
        </is>
      </c>
      <c r="G805" s="2" t="inlineStr">
        <is>
          <t>South</t>
        </is>
      </c>
      <c r="H805" s="2" t="inlineStr">
        <is>
          <t>Tamil Nadu</t>
        </is>
      </c>
      <c r="I805" s="2" t="inlineStr">
        <is>
          <t>Chennai</t>
        </is>
      </c>
      <c r="J805" s="2" t="inlineStr">
        <is>
          <t>Online</t>
        </is>
      </c>
      <c r="K805" s="2" t="n">
        <v>1</v>
      </c>
      <c r="L805" s="3" t="n">
        <v>2328.84</v>
      </c>
      <c r="M805" s="4" t="n">
        <v>0.1</v>
      </c>
      <c r="N805" s="3" t="n">
        <v>1152.65</v>
      </c>
      <c r="O805" s="3">
        <f>K805*L805*(1-M805)</f>
        <v/>
      </c>
      <c r="P805" s="3">
        <f>O805-N805</f>
        <v/>
      </c>
      <c r="Q805" s="5">
        <f>IFERROR(P805/O805,0)</f>
        <v/>
      </c>
      <c r="R805" s="2">
        <f>TEXT(DATEVALUE(B805),"mmm")</f>
        <v/>
      </c>
      <c r="S805" s="2">
        <f>TEXT(DATEVALUE(B805),"yyyy-mm")</f>
        <v/>
      </c>
    </row>
    <row r="806">
      <c r="A806" s="2" t="inlineStr">
        <is>
          <t>O003433</t>
        </is>
      </c>
      <c r="B806" s="2" t="inlineStr">
        <is>
          <t>2025-02-28</t>
        </is>
      </c>
      <c r="C806" s="2" t="inlineStr">
        <is>
          <t>C0038</t>
        </is>
      </c>
      <c r="D806" s="2" t="inlineStr">
        <is>
          <t>P0017</t>
        </is>
      </c>
      <c r="E806" s="2" t="inlineStr">
        <is>
          <t>Jeans</t>
        </is>
      </c>
      <c r="F806" s="2" t="inlineStr">
        <is>
          <t>Fashion</t>
        </is>
      </c>
      <c r="G806" s="2" t="inlineStr">
        <is>
          <t>West</t>
        </is>
      </c>
      <c r="H806" s="2" t="inlineStr">
        <is>
          <t>Gujarat</t>
        </is>
      </c>
      <c r="I806" s="2" t="inlineStr">
        <is>
          <t>Vadodara</t>
        </is>
      </c>
      <c r="J806" s="2" t="inlineStr">
        <is>
          <t>Online</t>
        </is>
      </c>
      <c r="K806" s="2" t="n">
        <v>4</v>
      </c>
      <c r="L806" s="3" t="n">
        <v>1455.98</v>
      </c>
      <c r="M806" s="4" t="n">
        <v>0.1</v>
      </c>
      <c r="N806" s="3" t="n">
        <v>4115.82</v>
      </c>
      <c r="O806" s="3">
        <f>K806*L806*(1-M806)</f>
        <v/>
      </c>
      <c r="P806" s="3">
        <f>O806-N806</f>
        <v/>
      </c>
      <c r="Q806" s="5">
        <f>IFERROR(P806/O806,0)</f>
        <v/>
      </c>
      <c r="R806" s="2">
        <f>TEXT(DATEVALUE(B806),"mmm")</f>
        <v/>
      </c>
      <c r="S806" s="2">
        <f>TEXT(DATEVALUE(B806),"yyyy-mm")</f>
        <v/>
      </c>
    </row>
    <row r="807">
      <c r="A807" s="2" t="inlineStr">
        <is>
          <t>O001637</t>
        </is>
      </c>
      <c r="B807" s="2" t="inlineStr">
        <is>
          <t>2025-02-28</t>
        </is>
      </c>
      <c r="C807" s="2" t="inlineStr">
        <is>
          <t>C0374</t>
        </is>
      </c>
      <c r="D807" s="2" t="inlineStr">
        <is>
          <t>P0007</t>
        </is>
      </c>
      <c r="E807" s="2" t="inlineStr">
        <is>
          <t>Wireless Mouse</t>
        </is>
      </c>
      <c r="F807" s="2" t="inlineStr">
        <is>
          <t>Electronics</t>
        </is>
      </c>
      <c r="G807" s="2" t="inlineStr">
        <is>
          <t>East</t>
        </is>
      </c>
      <c r="H807" s="2" t="inlineStr">
        <is>
          <t>Odisha</t>
        </is>
      </c>
      <c r="I807" s="2" t="inlineStr">
        <is>
          <t>Bhubaneswar</t>
        </is>
      </c>
      <c r="J807" s="2" t="inlineStr">
        <is>
          <t>Store</t>
        </is>
      </c>
      <c r="K807" s="2" t="n">
        <v>1</v>
      </c>
      <c r="L807" s="3" t="n">
        <v>971.1900000000001</v>
      </c>
      <c r="M807" s="4" t="n">
        <v>0.1</v>
      </c>
      <c r="N807" s="3" t="n">
        <v>643.45</v>
      </c>
      <c r="O807" s="3">
        <f>K807*L807*(1-M807)</f>
        <v/>
      </c>
      <c r="P807" s="3">
        <f>O807-N807</f>
        <v/>
      </c>
      <c r="Q807" s="5">
        <f>IFERROR(P807/O807,0)</f>
        <v/>
      </c>
      <c r="R807" s="2">
        <f>TEXT(DATEVALUE(B807),"mmm")</f>
        <v/>
      </c>
      <c r="S807" s="2">
        <f>TEXT(DATEVALUE(B807),"yyyy-mm")</f>
        <v/>
      </c>
    </row>
    <row r="808">
      <c r="A808" s="2" t="inlineStr">
        <is>
          <t>O001547</t>
        </is>
      </c>
      <c r="B808" s="2" t="inlineStr">
        <is>
          <t>2025-02-28</t>
        </is>
      </c>
      <c r="C808" s="2" t="inlineStr">
        <is>
          <t>C0131</t>
        </is>
      </c>
      <c r="D808" s="2" t="inlineStr">
        <is>
          <t>P0024</t>
        </is>
      </c>
      <c r="E808" s="2" t="inlineStr">
        <is>
          <t>Hair Dryer</t>
        </is>
      </c>
      <c r="F808" s="2" t="inlineStr">
        <is>
          <t>Beauty</t>
        </is>
      </c>
      <c r="G808" s="2" t="inlineStr">
        <is>
          <t>West</t>
        </is>
      </c>
      <c r="H808" s="2" t="inlineStr">
        <is>
          <t>Goa</t>
        </is>
      </c>
      <c r="I808" s="2" t="inlineStr">
        <is>
          <t>Margao</t>
        </is>
      </c>
      <c r="J808" s="2" t="inlineStr">
        <is>
          <t>Online</t>
        </is>
      </c>
      <c r="K808" s="2" t="n">
        <v>2</v>
      </c>
      <c r="L808" s="3" t="n">
        <v>1024.27</v>
      </c>
      <c r="M808" s="4" t="n">
        <v>0.2</v>
      </c>
      <c r="N808" s="3" t="n">
        <v>1467.8</v>
      </c>
      <c r="O808" s="3">
        <f>K808*L808*(1-M808)</f>
        <v/>
      </c>
      <c r="P808" s="3">
        <f>O808-N808</f>
        <v/>
      </c>
      <c r="Q808" s="5">
        <f>IFERROR(P808/O808,0)</f>
        <v/>
      </c>
      <c r="R808" s="2">
        <f>TEXT(DATEVALUE(B808),"mmm")</f>
        <v/>
      </c>
      <c r="S808" s="2">
        <f>TEXT(DATEVALUE(B808),"yyyy-mm")</f>
        <v/>
      </c>
    </row>
    <row r="809">
      <c r="A809" s="2" t="inlineStr">
        <is>
          <t>O001638</t>
        </is>
      </c>
      <c r="B809" s="2" t="inlineStr">
        <is>
          <t>2025-02-28</t>
        </is>
      </c>
      <c r="C809" s="2" t="inlineStr">
        <is>
          <t>C0585</t>
        </is>
      </c>
      <c r="D809" s="2" t="inlineStr">
        <is>
          <t>P0030</t>
        </is>
      </c>
      <c r="E809" s="2" t="inlineStr">
        <is>
          <t>Dumbbells</t>
        </is>
      </c>
      <c r="F809" s="2" t="inlineStr">
        <is>
          <t>Sports</t>
        </is>
      </c>
      <c r="G809" s="2" t="inlineStr">
        <is>
          <t>South</t>
        </is>
      </c>
      <c r="H809" s="2" t="inlineStr">
        <is>
          <t>Karnataka</t>
        </is>
      </c>
      <c r="I809" s="2" t="inlineStr">
        <is>
          <t>Mangaluru</t>
        </is>
      </c>
      <c r="J809" s="2" t="inlineStr">
        <is>
          <t>Store</t>
        </is>
      </c>
      <c r="K809" s="2" t="n">
        <v>1</v>
      </c>
      <c r="L809" s="3" t="n">
        <v>1520.38</v>
      </c>
      <c r="M809" s="4" t="n">
        <v>0.05</v>
      </c>
      <c r="N809" s="3" t="n">
        <v>1060.97</v>
      </c>
      <c r="O809" s="3">
        <f>K809*L809*(1-M809)</f>
        <v/>
      </c>
      <c r="P809" s="3">
        <f>O809-N809</f>
        <v/>
      </c>
      <c r="Q809" s="5">
        <f>IFERROR(P809/O809,0)</f>
        <v/>
      </c>
      <c r="R809" s="2">
        <f>TEXT(DATEVALUE(B809),"mmm")</f>
        <v/>
      </c>
      <c r="S809" s="2">
        <f>TEXT(DATEVALUE(B809),"yyyy-mm")</f>
        <v/>
      </c>
    </row>
    <row r="810">
      <c r="A810" s="2" t="inlineStr">
        <is>
          <t>O001897</t>
        </is>
      </c>
      <c r="B810" s="2" t="inlineStr">
        <is>
          <t>2025-02-28</t>
        </is>
      </c>
      <c r="C810" s="2" t="inlineStr">
        <is>
          <t>C0587</t>
        </is>
      </c>
      <c r="D810" s="2" t="inlineStr">
        <is>
          <t>P0028</t>
        </is>
      </c>
      <c r="E810" s="2" t="inlineStr">
        <is>
          <t>Trimmer</t>
        </is>
      </c>
      <c r="F810" s="2" t="inlineStr">
        <is>
          <t>Beauty</t>
        </is>
      </c>
      <c r="G810" s="2" t="inlineStr">
        <is>
          <t>South</t>
        </is>
      </c>
      <c r="H810" s="2" t="inlineStr">
        <is>
          <t>Tamil Nadu</t>
        </is>
      </c>
      <c r="I810" s="2" t="inlineStr">
        <is>
          <t>Coimbatore</t>
        </is>
      </c>
      <c r="J810" s="2" t="inlineStr">
        <is>
          <t>Store</t>
        </is>
      </c>
      <c r="K810" s="2" t="n">
        <v>2</v>
      </c>
      <c r="L810" s="3" t="n">
        <v>444.77</v>
      </c>
      <c r="M810" s="4" t="n">
        <v>0.2</v>
      </c>
      <c r="N810" s="3" t="n">
        <v>508.18</v>
      </c>
      <c r="O810" s="3">
        <f>K810*L810*(1-M810)</f>
        <v/>
      </c>
      <c r="P810" s="3">
        <f>O810-N810</f>
        <v/>
      </c>
      <c r="Q810" s="5">
        <f>IFERROR(P810/O810,0)</f>
        <v/>
      </c>
      <c r="R810" s="2">
        <f>TEXT(DATEVALUE(B810),"mmm")</f>
        <v/>
      </c>
      <c r="S810" s="2">
        <f>TEXT(DATEVALUE(B810),"yyyy-mm")</f>
        <v/>
      </c>
    </row>
    <row r="811">
      <c r="A811" s="2" t="inlineStr">
        <is>
          <t>O002016</t>
        </is>
      </c>
      <c r="B811" s="2" t="inlineStr">
        <is>
          <t>2025-02-28</t>
        </is>
      </c>
      <c r="C811" s="2" t="inlineStr">
        <is>
          <t>C0552</t>
        </is>
      </c>
      <c r="D811" s="2" t="inlineStr">
        <is>
          <t>P0004</t>
        </is>
      </c>
      <c r="E811" s="2" t="inlineStr">
        <is>
          <t>USB-C Hub</t>
        </is>
      </c>
      <c r="F811" s="2" t="inlineStr">
        <is>
          <t>Electronics</t>
        </is>
      </c>
      <c r="G811" s="2" t="inlineStr">
        <is>
          <t>West</t>
        </is>
      </c>
      <c r="H811" s="2" t="inlineStr">
        <is>
          <t>Gujarat</t>
        </is>
      </c>
      <c r="I811" s="2" t="inlineStr">
        <is>
          <t>Vadodara</t>
        </is>
      </c>
      <c r="J811" s="2" t="inlineStr">
        <is>
          <t>Online</t>
        </is>
      </c>
      <c r="K811" s="2" t="n">
        <v>6</v>
      </c>
      <c r="L811" s="3" t="n">
        <v>1223.45</v>
      </c>
      <c r="M811" s="4" t="n">
        <v>0</v>
      </c>
      <c r="N811" s="3" t="n">
        <v>5537.56</v>
      </c>
      <c r="O811" s="3">
        <f>K811*L811*(1-M811)</f>
        <v/>
      </c>
      <c r="P811" s="3">
        <f>O811-N811</f>
        <v/>
      </c>
      <c r="Q811" s="5">
        <f>IFERROR(P811/O811,0)</f>
        <v/>
      </c>
      <c r="R811" s="2">
        <f>TEXT(DATEVALUE(B811),"mmm")</f>
        <v/>
      </c>
      <c r="S811" s="2">
        <f>TEXT(DATEVALUE(B811),"yyyy-mm")</f>
        <v/>
      </c>
    </row>
    <row r="812">
      <c r="A812" s="2" t="inlineStr">
        <is>
          <t>O002925</t>
        </is>
      </c>
      <c r="B812" s="2" t="inlineStr">
        <is>
          <t>2025-02-28</t>
        </is>
      </c>
      <c r="C812" s="2" t="inlineStr">
        <is>
          <t>C0014</t>
        </is>
      </c>
      <c r="D812" s="2" t="inlineStr">
        <is>
          <t>P0017</t>
        </is>
      </c>
      <c r="E812" s="2" t="inlineStr">
        <is>
          <t>Jeans</t>
        </is>
      </c>
      <c r="F812" s="2" t="inlineStr">
        <is>
          <t>Fashion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Vadodara</t>
        </is>
      </c>
      <c r="J812" s="2" t="inlineStr">
        <is>
          <t>Store</t>
        </is>
      </c>
      <c r="K812" s="2" t="n">
        <v>2</v>
      </c>
      <c r="L812" s="3" t="n">
        <v>1424.21</v>
      </c>
      <c r="M812" s="4" t="n">
        <v>0.2</v>
      </c>
      <c r="N812" s="3" t="n">
        <v>1994.35</v>
      </c>
      <c r="O812" s="3">
        <f>K812*L812*(1-M812)</f>
        <v/>
      </c>
      <c r="P812" s="3">
        <f>O812-N812</f>
        <v/>
      </c>
      <c r="Q812" s="5">
        <f>IFERROR(P812/O812,0)</f>
        <v/>
      </c>
      <c r="R812" s="2">
        <f>TEXT(DATEVALUE(B812),"mmm")</f>
        <v/>
      </c>
      <c r="S812" s="2">
        <f>TEXT(DATEVALUE(B812),"yyyy-mm")</f>
        <v/>
      </c>
    </row>
    <row r="813">
      <c r="A813" s="2" t="inlineStr">
        <is>
          <t>O003013</t>
        </is>
      </c>
      <c r="B813" s="2" t="inlineStr">
        <is>
          <t>2025-02-28</t>
        </is>
      </c>
      <c r="C813" s="2" t="inlineStr">
        <is>
          <t>C0734</t>
        </is>
      </c>
      <c r="D813" s="2" t="inlineStr">
        <is>
          <t>P0006</t>
        </is>
      </c>
      <c r="E813" s="2" t="inlineStr">
        <is>
          <t>Mechanical Keyboard</t>
        </is>
      </c>
      <c r="F813" s="2" t="inlineStr">
        <is>
          <t>Electronics</t>
        </is>
      </c>
      <c r="G813" s="2" t="inlineStr">
        <is>
          <t>North</t>
        </is>
      </c>
      <c r="H813" s="2" t="inlineStr">
        <is>
          <t>Uttar Pradesh</t>
        </is>
      </c>
      <c r="I813" s="2" t="inlineStr">
        <is>
          <t>Kanpur</t>
        </is>
      </c>
      <c r="J813" s="2" t="inlineStr">
        <is>
          <t>Store</t>
        </is>
      </c>
      <c r="K813" s="2" t="n">
        <v>3</v>
      </c>
      <c r="L813" s="3" t="n">
        <v>2746.3</v>
      </c>
      <c r="M813" s="4" t="n">
        <v>0.1</v>
      </c>
      <c r="N813" s="3" t="n">
        <v>4348.94</v>
      </c>
      <c r="O813" s="3">
        <f>K813*L813*(1-M813)</f>
        <v/>
      </c>
      <c r="P813" s="3">
        <f>O813-N813</f>
        <v/>
      </c>
      <c r="Q813" s="5">
        <f>IFERROR(P813/O813,0)</f>
        <v/>
      </c>
      <c r="R813" s="2">
        <f>TEXT(DATEVALUE(B813),"mmm")</f>
        <v/>
      </c>
      <c r="S813" s="2">
        <f>TEXT(DATEVALUE(B813),"yyyy-mm")</f>
        <v/>
      </c>
    </row>
    <row r="814">
      <c r="A814" s="2" t="inlineStr">
        <is>
          <t>O003030</t>
        </is>
      </c>
      <c r="B814" s="2" t="inlineStr">
        <is>
          <t>2025-03-01</t>
        </is>
      </c>
      <c r="C814" s="2" t="inlineStr">
        <is>
          <t>C0094</t>
        </is>
      </c>
      <c r="D814" s="2" t="inlineStr">
        <is>
          <t>P0028</t>
        </is>
      </c>
      <c r="E814" s="2" t="inlineStr">
        <is>
          <t>Trimmer</t>
        </is>
      </c>
      <c r="F814" s="2" t="inlineStr">
        <is>
          <t>Beauty</t>
        </is>
      </c>
      <c r="G814" s="2" t="inlineStr">
        <is>
          <t>West</t>
        </is>
      </c>
      <c r="H814" s="2" t="inlineStr">
        <is>
          <t>Gujarat</t>
        </is>
      </c>
      <c r="I814" s="2" t="inlineStr">
        <is>
          <t>Surat</t>
        </is>
      </c>
      <c r="J814" s="2" t="inlineStr">
        <is>
          <t>Online</t>
        </is>
      </c>
      <c r="K814" s="2" t="n">
        <v>1</v>
      </c>
      <c r="L814" s="3" t="n">
        <v>456.13</v>
      </c>
      <c r="M814" s="4" t="n">
        <v>0</v>
      </c>
      <c r="N814" s="3" t="n">
        <v>248.82</v>
      </c>
      <c r="O814" s="3">
        <f>K814*L814*(1-M814)</f>
        <v/>
      </c>
      <c r="P814" s="3">
        <f>O814-N814</f>
        <v/>
      </c>
      <c r="Q814" s="5">
        <f>IFERROR(P814/O814,0)</f>
        <v/>
      </c>
      <c r="R814" s="2">
        <f>TEXT(DATEVALUE(B814),"mmm")</f>
        <v/>
      </c>
      <c r="S814" s="2">
        <f>TEXT(DATEVALUE(B814),"yyyy-mm")</f>
        <v/>
      </c>
    </row>
    <row r="815">
      <c r="A815" s="2" t="inlineStr">
        <is>
          <t>O002745</t>
        </is>
      </c>
      <c r="B815" s="2" t="inlineStr">
        <is>
          <t>2025-03-01</t>
        </is>
      </c>
      <c r="C815" s="2" t="inlineStr">
        <is>
          <t>C0320</t>
        </is>
      </c>
      <c r="D815" s="2" t="inlineStr">
        <is>
          <t>P0004</t>
        </is>
      </c>
      <c r="E815" s="2" t="inlineStr">
        <is>
          <t>USB-C Hub</t>
        </is>
      </c>
      <c r="F815" s="2" t="inlineStr">
        <is>
          <t>Electronics</t>
        </is>
      </c>
      <c r="G815" s="2" t="inlineStr">
        <is>
          <t>West</t>
        </is>
      </c>
      <c r="H815" s="2" t="inlineStr">
        <is>
          <t>Goa</t>
        </is>
      </c>
      <c r="I815" s="2" t="inlineStr">
        <is>
          <t>Panaji</t>
        </is>
      </c>
      <c r="J815" s="2" t="inlineStr">
        <is>
          <t>Store</t>
        </is>
      </c>
      <c r="K815" s="2" t="n">
        <v>1</v>
      </c>
      <c r="L815" s="3" t="n">
        <v>1211.66</v>
      </c>
      <c r="M815" s="4" t="n">
        <v>0.1</v>
      </c>
      <c r="N815" s="3" t="n">
        <v>932.8</v>
      </c>
      <c r="O815" s="3">
        <f>K815*L815*(1-M815)</f>
        <v/>
      </c>
      <c r="P815" s="3">
        <f>O815-N815</f>
        <v/>
      </c>
      <c r="Q815" s="5">
        <f>IFERROR(P815/O815,0)</f>
        <v/>
      </c>
      <c r="R815" s="2">
        <f>TEXT(DATEVALUE(B815),"mmm")</f>
        <v/>
      </c>
      <c r="S815" s="2">
        <f>TEXT(DATEVALUE(B815),"yyyy-mm")</f>
        <v/>
      </c>
    </row>
    <row r="816">
      <c r="A816" s="2" t="inlineStr">
        <is>
          <t>O002521</t>
        </is>
      </c>
      <c r="B816" s="2" t="inlineStr">
        <is>
          <t>2025-03-01</t>
        </is>
      </c>
      <c r="C816" s="2" t="inlineStr">
        <is>
          <t>C0473</t>
        </is>
      </c>
      <c r="D816" s="2" t="inlineStr">
        <is>
          <t>P0013</t>
        </is>
      </c>
      <c r="E816" s="2" t="inlineStr">
        <is>
          <t>Storage Organizer</t>
        </is>
      </c>
      <c r="F816" s="2" t="inlineStr">
        <is>
          <t>Home &amp; Kitchen</t>
        </is>
      </c>
      <c r="G816" s="2" t="inlineStr">
        <is>
          <t>West</t>
        </is>
      </c>
      <c r="H816" s="2" t="inlineStr">
        <is>
          <t>Maharashtra</t>
        </is>
      </c>
      <c r="I816" s="2" t="inlineStr">
        <is>
          <t>Pune</t>
        </is>
      </c>
      <c r="J816" s="2" t="inlineStr">
        <is>
          <t>Store</t>
        </is>
      </c>
      <c r="K816" s="2" t="n">
        <v>1</v>
      </c>
      <c r="L816" s="3" t="n">
        <v>555.59</v>
      </c>
      <c r="M816" s="4" t="n">
        <v>0.05</v>
      </c>
      <c r="N816" s="3" t="n">
        <v>373.23</v>
      </c>
      <c r="O816" s="3">
        <f>K816*L816*(1-M816)</f>
        <v/>
      </c>
      <c r="P816" s="3">
        <f>O816-N816</f>
        <v/>
      </c>
      <c r="Q816" s="5">
        <f>IFERROR(P816/O816,0)</f>
        <v/>
      </c>
      <c r="R816" s="2">
        <f>TEXT(DATEVALUE(B816),"mmm")</f>
        <v/>
      </c>
      <c r="S816" s="2">
        <f>TEXT(DATEVALUE(B816),"yyyy-mm")</f>
        <v/>
      </c>
    </row>
    <row r="817">
      <c r="A817" s="2" t="inlineStr">
        <is>
          <t>O004696</t>
        </is>
      </c>
      <c r="B817" s="2" t="inlineStr">
        <is>
          <t>2025-03-01</t>
        </is>
      </c>
      <c r="C817" s="2" t="inlineStr">
        <is>
          <t>C0449</t>
        </is>
      </c>
      <c r="D817" s="2" t="inlineStr">
        <is>
          <t>P0017</t>
        </is>
      </c>
      <c r="E817" s="2" t="inlineStr">
        <is>
          <t>Jeans</t>
        </is>
      </c>
      <c r="F817" s="2" t="inlineStr">
        <is>
          <t>Fashion</t>
        </is>
      </c>
      <c r="G817" s="2" t="inlineStr">
        <is>
          <t>West</t>
        </is>
      </c>
      <c r="H817" s="2" t="inlineStr">
        <is>
          <t>Goa</t>
        </is>
      </c>
      <c r="I817" s="2" t="inlineStr">
        <is>
          <t>Panaji</t>
        </is>
      </c>
      <c r="J817" s="2" t="inlineStr">
        <is>
          <t>Online</t>
        </is>
      </c>
      <c r="K817" s="2" t="n">
        <v>3</v>
      </c>
      <c r="L817" s="3" t="n">
        <v>1507.68</v>
      </c>
      <c r="M817" s="4" t="n">
        <v>0.05</v>
      </c>
      <c r="N817" s="3" t="n">
        <v>3038.03</v>
      </c>
      <c r="O817" s="3">
        <f>K817*L817*(1-M817)</f>
        <v/>
      </c>
      <c r="P817" s="3">
        <f>O817-N817</f>
        <v/>
      </c>
      <c r="Q817" s="5">
        <f>IFERROR(P817/O817,0)</f>
        <v/>
      </c>
      <c r="R817" s="2">
        <f>TEXT(DATEVALUE(B817),"mmm")</f>
        <v/>
      </c>
      <c r="S817" s="2">
        <f>TEXT(DATEVALUE(B817),"yyyy-mm")</f>
        <v/>
      </c>
    </row>
    <row r="818">
      <c r="A818" s="2" t="inlineStr">
        <is>
          <t>O002429</t>
        </is>
      </c>
      <c r="B818" s="2" t="inlineStr">
        <is>
          <t>2025-03-01</t>
        </is>
      </c>
      <c r="C818" s="2" t="inlineStr">
        <is>
          <t>C0587</t>
        </is>
      </c>
      <c r="D818" s="2" t="inlineStr">
        <is>
          <t>P0011</t>
        </is>
      </c>
      <c r="E818" s="2" t="inlineStr">
        <is>
          <t>Cookware Set</t>
        </is>
      </c>
      <c r="F818" s="2" t="inlineStr">
        <is>
          <t>Home &amp; Kitchen</t>
        </is>
      </c>
      <c r="G818" s="2" t="inlineStr">
        <is>
          <t>West</t>
        </is>
      </c>
      <c r="H818" s="2" t="inlineStr">
        <is>
          <t>Maharashtra</t>
        </is>
      </c>
      <c r="I818" s="2" t="inlineStr">
        <is>
          <t>Thane</t>
        </is>
      </c>
      <c r="J818" s="2" t="inlineStr">
        <is>
          <t>Online</t>
        </is>
      </c>
      <c r="K818" s="2" t="n">
        <v>2</v>
      </c>
      <c r="L818" s="3" t="n">
        <v>729.62</v>
      </c>
      <c r="M818" s="4" t="n">
        <v>0.15</v>
      </c>
      <c r="N818" s="3" t="n">
        <v>924.78</v>
      </c>
      <c r="O818" s="3">
        <f>K818*L818*(1-M818)</f>
        <v/>
      </c>
      <c r="P818" s="3">
        <f>O818-N818</f>
        <v/>
      </c>
      <c r="Q818" s="5">
        <f>IFERROR(P818/O818,0)</f>
        <v/>
      </c>
      <c r="R818" s="2">
        <f>TEXT(DATEVALUE(B818),"mmm")</f>
        <v/>
      </c>
      <c r="S818" s="2">
        <f>TEXT(DATEVALUE(B818),"yyyy-mm")</f>
        <v/>
      </c>
    </row>
    <row r="819">
      <c r="A819" s="2" t="inlineStr">
        <is>
          <t>O001689</t>
        </is>
      </c>
      <c r="B819" s="2" t="inlineStr">
        <is>
          <t>2025-03-01</t>
        </is>
      </c>
      <c r="C819" s="2" t="inlineStr">
        <is>
          <t>C0375</t>
        </is>
      </c>
      <c r="D819" s="2" t="inlineStr">
        <is>
          <t>P0032</t>
        </is>
      </c>
      <c r="E819" s="2" t="inlineStr">
        <is>
          <t>Football</t>
        </is>
      </c>
      <c r="F819" s="2" t="inlineStr">
        <is>
          <t>Sports</t>
        </is>
      </c>
      <c r="G819" s="2" t="inlineStr">
        <is>
          <t>West</t>
        </is>
      </c>
      <c r="H819" s="2" t="inlineStr">
        <is>
          <t>Gujarat</t>
        </is>
      </c>
      <c r="I819" s="2" t="inlineStr">
        <is>
          <t>Surat</t>
        </is>
      </c>
      <c r="J819" s="2" t="inlineStr">
        <is>
          <t>Online</t>
        </is>
      </c>
      <c r="K819" s="2" t="n">
        <v>2</v>
      </c>
      <c r="L819" s="3" t="n">
        <v>785.38</v>
      </c>
      <c r="M819" s="4" t="n">
        <v>0.05</v>
      </c>
      <c r="N819" s="3" t="n">
        <v>1048.46</v>
      </c>
      <c r="O819" s="3">
        <f>K819*L819*(1-M819)</f>
        <v/>
      </c>
      <c r="P819" s="3">
        <f>O819-N819</f>
        <v/>
      </c>
      <c r="Q819" s="5">
        <f>IFERROR(P819/O819,0)</f>
        <v/>
      </c>
      <c r="R819" s="2">
        <f>TEXT(DATEVALUE(B819),"mmm")</f>
        <v/>
      </c>
      <c r="S819" s="2">
        <f>TEXT(DATEVALUE(B819),"yyyy-mm")</f>
        <v/>
      </c>
    </row>
    <row r="820">
      <c r="A820" s="2" t="inlineStr">
        <is>
          <t>O001761</t>
        </is>
      </c>
      <c r="B820" s="2" t="inlineStr">
        <is>
          <t>2025-03-01</t>
        </is>
      </c>
      <c r="C820" s="2" t="inlineStr">
        <is>
          <t>C0346</t>
        </is>
      </c>
      <c r="D820" s="2" t="inlineStr">
        <is>
          <t>P0032</t>
        </is>
      </c>
      <c r="E820" s="2" t="inlineStr">
        <is>
          <t>Football</t>
        </is>
      </c>
      <c r="F820" s="2" t="inlineStr">
        <is>
          <t>Sports</t>
        </is>
      </c>
      <c r="G820" s="2" t="inlineStr">
        <is>
          <t>West</t>
        </is>
      </c>
      <c r="H820" s="2" t="inlineStr">
        <is>
          <t>Maharashtra</t>
        </is>
      </c>
      <c r="I820" s="2" t="inlineStr">
        <is>
          <t>Nashik</t>
        </is>
      </c>
      <c r="J820" s="2" t="inlineStr">
        <is>
          <t>Online</t>
        </is>
      </c>
      <c r="K820" s="2" t="n">
        <v>2</v>
      </c>
      <c r="L820" s="3" t="n">
        <v>785.38</v>
      </c>
      <c r="M820" s="4" t="n">
        <v>0.2</v>
      </c>
      <c r="N820" s="3" t="n">
        <v>1087.87</v>
      </c>
      <c r="O820" s="3">
        <f>K820*L820*(1-M820)</f>
        <v/>
      </c>
      <c r="P820" s="3">
        <f>O820-N820</f>
        <v/>
      </c>
      <c r="Q820" s="5">
        <f>IFERROR(P820/O820,0)</f>
        <v/>
      </c>
      <c r="R820" s="2">
        <f>TEXT(DATEVALUE(B820),"mmm")</f>
        <v/>
      </c>
      <c r="S820" s="2">
        <f>TEXT(DATEVALUE(B820),"yyyy-mm")</f>
        <v/>
      </c>
    </row>
    <row r="821">
      <c r="A821" s="2" t="inlineStr">
        <is>
          <t>O001032</t>
        </is>
      </c>
      <c r="B821" s="2" t="inlineStr">
        <is>
          <t>2025-03-01</t>
        </is>
      </c>
      <c r="C821" s="2" t="inlineStr">
        <is>
          <t>C0764</t>
        </is>
      </c>
      <c r="D821" s="2" t="inlineStr">
        <is>
          <t>P0032</t>
        </is>
      </c>
      <c r="E821" s="2" t="inlineStr">
        <is>
          <t>Football</t>
        </is>
      </c>
      <c r="F821" s="2" t="inlineStr">
        <is>
          <t>Sports</t>
        </is>
      </c>
      <c r="G821" s="2" t="inlineStr">
        <is>
          <t>West</t>
        </is>
      </c>
      <c r="H821" s="2" t="inlineStr">
        <is>
          <t>Goa</t>
        </is>
      </c>
      <c r="I821" s="2" t="inlineStr">
        <is>
          <t>Margao</t>
        </is>
      </c>
      <c r="J821" s="2" t="inlineStr">
        <is>
          <t>Online</t>
        </is>
      </c>
      <c r="K821" s="2" t="n">
        <v>1</v>
      </c>
      <c r="L821" s="3" t="n">
        <v>786.74</v>
      </c>
      <c r="M821" s="4" t="n">
        <v>0</v>
      </c>
      <c r="N821" s="3" t="n">
        <v>525.71</v>
      </c>
      <c r="O821" s="3">
        <f>K821*L821*(1-M821)</f>
        <v/>
      </c>
      <c r="P821" s="3">
        <f>O821-N821</f>
        <v/>
      </c>
      <c r="Q821" s="5">
        <f>IFERROR(P821/O821,0)</f>
        <v/>
      </c>
      <c r="R821" s="2">
        <f>TEXT(DATEVALUE(B821),"mmm")</f>
        <v/>
      </c>
      <c r="S821" s="2">
        <f>TEXT(DATEVALUE(B821),"yyyy-mm")</f>
        <v/>
      </c>
    </row>
    <row r="822">
      <c r="A822" s="2" t="inlineStr">
        <is>
          <t>O000414</t>
        </is>
      </c>
      <c r="B822" s="2" t="inlineStr">
        <is>
          <t>2025-03-01</t>
        </is>
      </c>
      <c r="C822" s="2" t="inlineStr">
        <is>
          <t>C0349</t>
        </is>
      </c>
      <c r="D822" s="2" t="inlineStr">
        <is>
          <t>P0035</t>
        </is>
      </c>
      <c r="E822" s="2" t="inlineStr">
        <is>
          <t>Skipping Rope</t>
        </is>
      </c>
      <c r="F822" s="2" t="inlineStr">
        <is>
          <t>Sports</t>
        </is>
      </c>
      <c r="G822" s="2" t="inlineStr">
        <is>
          <t>West</t>
        </is>
      </c>
      <c r="H822" s="2" t="inlineStr">
        <is>
          <t>Goa</t>
        </is>
      </c>
      <c r="I822" s="2" t="inlineStr">
        <is>
          <t>Panaji</t>
        </is>
      </c>
      <c r="J822" s="2" t="inlineStr">
        <is>
          <t>Store</t>
        </is>
      </c>
      <c r="K822" s="2" t="n">
        <v>2</v>
      </c>
      <c r="L822" s="3" t="n">
        <v>712.16</v>
      </c>
      <c r="M822" s="4" t="n">
        <v>0.05</v>
      </c>
      <c r="N822" s="3" t="n">
        <v>839.76</v>
      </c>
      <c r="O822" s="3">
        <f>K822*L822*(1-M822)</f>
        <v/>
      </c>
      <c r="P822" s="3">
        <f>O822-N822</f>
        <v/>
      </c>
      <c r="Q822" s="5">
        <f>IFERROR(P822/O822,0)</f>
        <v/>
      </c>
      <c r="R822" s="2">
        <f>TEXT(DATEVALUE(B822),"mmm")</f>
        <v/>
      </c>
      <c r="S822" s="2">
        <f>TEXT(DATEVALUE(B822),"yyyy-mm")</f>
        <v/>
      </c>
    </row>
    <row r="823">
      <c r="A823" s="2" t="inlineStr">
        <is>
          <t>O000263</t>
        </is>
      </c>
      <c r="B823" s="2" t="inlineStr">
        <is>
          <t>2025-03-01</t>
        </is>
      </c>
      <c r="C823" s="2" t="inlineStr">
        <is>
          <t>C0113</t>
        </is>
      </c>
      <c r="D823" s="2" t="inlineStr">
        <is>
          <t>P0018</t>
        </is>
      </c>
      <c r="E823" s="2" t="inlineStr">
        <is>
          <t>Backpack</t>
        </is>
      </c>
      <c r="F823" s="2" t="inlineStr">
        <is>
          <t>Fashion</t>
        </is>
      </c>
      <c r="G823" s="2" t="inlineStr">
        <is>
          <t>North</t>
        </is>
      </c>
      <c r="H823" s="2" t="inlineStr">
        <is>
          <t>Uttar Pradesh</t>
        </is>
      </c>
      <c r="I823" s="2" t="inlineStr">
        <is>
          <t>Lucknow</t>
        </is>
      </c>
      <c r="J823" s="2" t="inlineStr">
        <is>
          <t>Store</t>
        </is>
      </c>
      <c r="K823" s="2" t="n">
        <v>6</v>
      </c>
      <c r="L823" s="3" t="n">
        <v>1888.68</v>
      </c>
      <c r="M823" s="4" t="n">
        <v>0.1</v>
      </c>
      <c r="N823" s="3" t="n">
        <v>8350.379999999999</v>
      </c>
      <c r="O823" s="3">
        <f>K823*L823*(1-M823)</f>
        <v/>
      </c>
      <c r="P823" s="3">
        <f>O823-N823</f>
        <v/>
      </c>
      <c r="Q823" s="5">
        <f>IFERROR(P823/O823,0)</f>
        <v/>
      </c>
      <c r="R823" s="2">
        <f>TEXT(DATEVALUE(B823),"mmm")</f>
        <v/>
      </c>
      <c r="S823" s="2">
        <f>TEXT(DATEVALUE(B823),"yyyy-mm")</f>
        <v/>
      </c>
    </row>
    <row r="824">
      <c r="A824" s="2" t="inlineStr">
        <is>
          <t>O002222</t>
        </is>
      </c>
      <c r="B824" s="2" t="inlineStr">
        <is>
          <t>2025-03-01</t>
        </is>
      </c>
      <c r="C824" s="2" t="inlineStr">
        <is>
          <t>C0150</t>
        </is>
      </c>
      <c r="D824" s="2" t="inlineStr">
        <is>
          <t>P0007</t>
        </is>
      </c>
      <c r="E824" s="2" t="inlineStr">
        <is>
          <t>Wireless Mouse</t>
        </is>
      </c>
      <c r="F824" s="2" t="inlineStr">
        <is>
          <t>Electronics</t>
        </is>
      </c>
      <c r="G824" s="2" t="inlineStr">
        <is>
          <t>South</t>
        </is>
      </c>
      <c r="H824" s="2" t="inlineStr">
        <is>
          <t>Tamil Nadu</t>
        </is>
      </c>
      <c r="I824" s="2" t="inlineStr">
        <is>
          <t>Coimbatore</t>
        </is>
      </c>
      <c r="J824" s="2" t="inlineStr">
        <is>
          <t>Online</t>
        </is>
      </c>
      <c r="K824" s="2" t="n">
        <v>1</v>
      </c>
      <c r="L824" s="3" t="n">
        <v>1012.34</v>
      </c>
      <c r="M824" s="4" t="n">
        <v>0</v>
      </c>
      <c r="N824" s="3" t="n">
        <v>615.09</v>
      </c>
      <c r="O824" s="3">
        <f>K824*L824*(1-M824)</f>
        <v/>
      </c>
      <c r="P824" s="3">
        <f>O824-N824</f>
        <v/>
      </c>
      <c r="Q824" s="5">
        <f>IFERROR(P824/O824,0)</f>
        <v/>
      </c>
      <c r="R824" s="2">
        <f>TEXT(DATEVALUE(B824),"mmm")</f>
        <v/>
      </c>
      <c r="S824" s="2">
        <f>TEXT(DATEVALUE(B824),"yyyy-mm")</f>
        <v/>
      </c>
    </row>
    <row r="825">
      <c r="A825" s="2" t="inlineStr">
        <is>
          <t>O003918</t>
        </is>
      </c>
      <c r="B825" s="2" t="inlineStr">
        <is>
          <t>2025-03-02</t>
        </is>
      </c>
      <c r="C825" s="2" t="inlineStr">
        <is>
          <t>C0004</t>
        </is>
      </c>
      <c r="D825" s="2" t="inlineStr">
        <is>
          <t>P0022</t>
        </is>
      </c>
      <c r="E825" s="2" t="inlineStr">
        <is>
          <t>Face Wash</t>
        </is>
      </c>
      <c r="F825" s="2" t="inlineStr">
        <is>
          <t>Beauty</t>
        </is>
      </c>
      <c r="G825" s="2" t="inlineStr">
        <is>
          <t>East</t>
        </is>
      </c>
      <c r="H825" s="2" t="inlineStr">
        <is>
          <t>Odisha</t>
        </is>
      </c>
      <c r="I825" s="2" t="inlineStr">
        <is>
          <t>Cuttack</t>
        </is>
      </c>
      <c r="J825" s="2" t="inlineStr">
        <is>
          <t>Online</t>
        </is>
      </c>
      <c r="K825" s="2" t="n">
        <v>1</v>
      </c>
      <c r="L825" s="3" t="n">
        <v>548.36</v>
      </c>
      <c r="M825" s="4" t="n">
        <v>0.1</v>
      </c>
      <c r="N825" s="3" t="n">
        <v>361.42</v>
      </c>
      <c r="O825" s="3">
        <f>K825*L825*(1-M825)</f>
        <v/>
      </c>
      <c r="P825" s="3">
        <f>O825-N825</f>
        <v/>
      </c>
      <c r="Q825" s="5">
        <f>IFERROR(P825/O825,0)</f>
        <v/>
      </c>
      <c r="R825" s="2">
        <f>TEXT(DATEVALUE(B825),"mmm")</f>
        <v/>
      </c>
      <c r="S825" s="2">
        <f>TEXT(DATEVALUE(B825),"yyyy-mm")</f>
        <v/>
      </c>
    </row>
    <row r="826">
      <c r="A826" s="2" t="inlineStr">
        <is>
          <t>O004860</t>
        </is>
      </c>
      <c r="B826" s="2" t="inlineStr">
        <is>
          <t>2025-03-02</t>
        </is>
      </c>
      <c r="C826" s="2" t="inlineStr">
        <is>
          <t>C0202</t>
        </is>
      </c>
      <c r="D826" s="2" t="inlineStr">
        <is>
          <t>P0022</t>
        </is>
      </c>
      <c r="E826" s="2" t="inlineStr">
        <is>
          <t>Face Wash</t>
        </is>
      </c>
      <c r="F826" s="2" t="inlineStr">
        <is>
          <t>Beauty</t>
        </is>
      </c>
      <c r="G826" s="2" t="inlineStr">
        <is>
          <t>East</t>
        </is>
      </c>
      <c r="H826" s="2" t="inlineStr">
        <is>
          <t>Bihar</t>
        </is>
      </c>
      <c r="I826" s="2" t="inlineStr">
        <is>
          <t>Gaya</t>
        </is>
      </c>
      <c r="J826" s="2" t="inlineStr">
        <is>
          <t>Store</t>
        </is>
      </c>
      <c r="K826" s="2" t="n">
        <v>3</v>
      </c>
      <c r="L826" s="3" t="n">
        <v>528.0599999999999</v>
      </c>
      <c r="M826" s="4" t="n">
        <v>0.1</v>
      </c>
      <c r="N826" s="3" t="n">
        <v>1036.62</v>
      </c>
      <c r="O826" s="3">
        <f>K826*L826*(1-M826)</f>
        <v/>
      </c>
      <c r="P826" s="3">
        <f>O826-N826</f>
        <v/>
      </c>
      <c r="Q826" s="5">
        <f>IFERROR(P826/O826,0)</f>
        <v/>
      </c>
      <c r="R826" s="2">
        <f>TEXT(DATEVALUE(B826),"mmm")</f>
        <v/>
      </c>
      <c r="S826" s="2">
        <f>TEXT(DATEVALUE(B826),"yyyy-mm")</f>
        <v/>
      </c>
    </row>
    <row r="827">
      <c r="A827" s="2" t="inlineStr">
        <is>
          <t>O004855</t>
        </is>
      </c>
      <c r="B827" s="2" t="inlineStr">
        <is>
          <t>2025-03-02</t>
        </is>
      </c>
      <c r="C827" s="2" t="inlineStr">
        <is>
          <t>C0042</t>
        </is>
      </c>
      <c r="D827" s="2" t="inlineStr">
        <is>
          <t>P0014</t>
        </is>
      </c>
      <c r="E827" s="2" t="inlineStr">
        <is>
          <t>Coffee Maker</t>
        </is>
      </c>
      <c r="F827" s="2" t="inlineStr">
        <is>
          <t>Home &amp; Kitchen</t>
        </is>
      </c>
      <c r="G827" s="2" t="inlineStr">
        <is>
          <t>West</t>
        </is>
      </c>
      <c r="H827" s="2" t="inlineStr">
        <is>
          <t>Goa</t>
        </is>
      </c>
      <c r="I827" s="2" t="inlineStr">
        <is>
          <t>Margao</t>
        </is>
      </c>
      <c r="J827" s="2" t="inlineStr">
        <is>
          <t>Online</t>
        </is>
      </c>
      <c r="K827" s="2" t="n">
        <v>1</v>
      </c>
      <c r="L827" s="3" t="n">
        <v>1037.01</v>
      </c>
      <c r="M827" s="4" t="n">
        <v>0.05</v>
      </c>
      <c r="N827" s="3" t="n">
        <v>770.59</v>
      </c>
      <c r="O827" s="3">
        <f>K827*L827*(1-M827)</f>
        <v/>
      </c>
      <c r="P827" s="3">
        <f>O827-N827</f>
        <v/>
      </c>
      <c r="Q827" s="5">
        <f>IFERROR(P827/O827,0)</f>
        <v/>
      </c>
      <c r="R827" s="2">
        <f>TEXT(DATEVALUE(B827),"mmm")</f>
        <v/>
      </c>
      <c r="S827" s="2">
        <f>TEXT(DATEVALUE(B827),"yyyy-mm")</f>
        <v/>
      </c>
    </row>
    <row r="828">
      <c r="A828" s="2" t="inlineStr">
        <is>
          <t>O004825</t>
        </is>
      </c>
      <c r="B828" s="2" t="inlineStr">
        <is>
          <t>2025-03-02</t>
        </is>
      </c>
      <c r="C828" s="2" t="inlineStr">
        <is>
          <t>C0311</t>
        </is>
      </c>
      <c r="D828" s="2" t="inlineStr">
        <is>
          <t>P0007</t>
        </is>
      </c>
      <c r="E828" s="2" t="inlineStr">
        <is>
          <t>Wireless Mouse</t>
        </is>
      </c>
      <c r="F828" s="2" t="inlineStr">
        <is>
          <t>Electronics</t>
        </is>
      </c>
      <c r="G828" s="2" t="inlineStr">
        <is>
          <t>West</t>
        </is>
      </c>
      <c r="H828" s="2" t="inlineStr">
        <is>
          <t>Goa</t>
        </is>
      </c>
      <c r="I828" s="2" t="inlineStr">
        <is>
          <t>Margao</t>
        </is>
      </c>
      <c r="J828" s="2" t="inlineStr">
        <is>
          <t>Store</t>
        </is>
      </c>
      <c r="K828" s="2" t="n">
        <v>5</v>
      </c>
      <c r="L828" s="3" t="n">
        <v>982.64</v>
      </c>
      <c r="M828" s="4" t="n">
        <v>0.1</v>
      </c>
      <c r="N828" s="3" t="n">
        <v>3212.93</v>
      </c>
      <c r="O828" s="3">
        <f>K828*L828*(1-M828)</f>
        <v/>
      </c>
      <c r="P828" s="3">
        <f>O828-N828</f>
        <v/>
      </c>
      <c r="Q828" s="5">
        <f>IFERROR(P828/O828,0)</f>
        <v/>
      </c>
      <c r="R828" s="2">
        <f>TEXT(DATEVALUE(B828),"mmm")</f>
        <v/>
      </c>
      <c r="S828" s="2">
        <f>TEXT(DATEVALUE(B828),"yyyy-mm")</f>
        <v/>
      </c>
    </row>
    <row r="829">
      <c r="A829" s="2" t="inlineStr">
        <is>
          <t>O004772</t>
        </is>
      </c>
      <c r="B829" s="2" t="inlineStr">
        <is>
          <t>2025-03-02</t>
        </is>
      </c>
      <c r="C829" s="2" t="inlineStr">
        <is>
          <t>C0510</t>
        </is>
      </c>
      <c r="D829" s="2" t="inlineStr">
        <is>
          <t>P0018</t>
        </is>
      </c>
      <c r="E829" s="2" t="inlineStr">
        <is>
          <t>Backpack</t>
        </is>
      </c>
      <c r="F829" s="2" t="inlineStr">
        <is>
          <t>Fashion</t>
        </is>
      </c>
      <c r="G829" s="2" t="inlineStr">
        <is>
          <t>East</t>
        </is>
      </c>
      <c r="H829" s="2" t="inlineStr">
        <is>
          <t>Odisha</t>
        </is>
      </c>
      <c r="I829" s="2" t="inlineStr">
        <is>
          <t>Bhubaneswar</t>
        </is>
      </c>
      <c r="J829" s="2" t="inlineStr">
        <is>
          <t>Online</t>
        </is>
      </c>
      <c r="K829" s="2" t="n">
        <v>1</v>
      </c>
      <c r="L829" s="3" t="n">
        <v>1899.47</v>
      </c>
      <c r="M829" s="4" t="n">
        <v>0.1</v>
      </c>
      <c r="N829" s="3" t="n">
        <v>1379.27</v>
      </c>
      <c r="O829" s="3">
        <f>K829*L829*(1-M829)</f>
        <v/>
      </c>
      <c r="P829" s="3">
        <f>O829-N829</f>
        <v/>
      </c>
      <c r="Q829" s="5">
        <f>IFERROR(P829/O829,0)</f>
        <v/>
      </c>
      <c r="R829" s="2">
        <f>TEXT(DATEVALUE(B829),"mmm")</f>
        <v/>
      </c>
      <c r="S829" s="2">
        <f>TEXT(DATEVALUE(B829),"yyyy-mm")</f>
        <v/>
      </c>
    </row>
    <row r="830">
      <c r="A830" s="2" t="inlineStr">
        <is>
          <t>O004516</t>
        </is>
      </c>
      <c r="B830" s="2" t="inlineStr">
        <is>
          <t>2025-03-02</t>
        </is>
      </c>
      <c r="C830" s="2" t="inlineStr">
        <is>
          <t>C0783</t>
        </is>
      </c>
      <c r="D830" s="2" t="inlineStr">
        <is>
          <t>P0005</t>
        </is>
      </c>
      <c r="E830" s="2" t="inlineStr">
        <is>
          <t>Power Bank</t>
        </is>
      </c>
      <c r="F830" s="2" t="inlineStr">
        <is>
          <t>Electronics</t>
        </is>
      </c>
      <c r="G830" s="2" t="inlineStr">
        <is>
          <t>South</t>
        </is>
      </c>
      <c r="H830" s="2" t="inlineStr">
        <is>
          <t>Tamil Nadu</t>
        </is>
      </c>
      <c r="I830" s="2" t="inlineStr">
        <is>
          <t>Chennai</t>
        </is>
      </c>
      <c r="J830" s="2" t="inlineStr">
        <is>
          <t>Store</t>
        </is>
      </c>
      <c r="K830" s="2" t="n">
        <v>2</v>
      </c>
      <c r="L830" s="3" t="n">
        <v>1104.81</v>
      </c>
      <c r="M830" s="4" t="n">
        <v>0</v>
      </c>
      <c r="N830" s="3" t="n">
        <v>1367.71</v>
      </c>
      <c r="O830" s="3">
        <f>K830*L830*(1-M830)</f>
        <v/>
      </c>
      <c r="P830" s="3">
        <f>O830-N830</f>
        <v/>
      </c>
      <c r="Q830" s="5">
        <f>IFERROR(P830/O830,0)</f>
        <v/>
      </c>
      <c r="R830" s="2">
        <f>TEXT(DATEVALUE(B830),"mmm")</f>
        <v/>
      </c>
      <c r="S830" s="2">
        <f>TEXT(DATEVALUE(B830),"yyyy-mm")</f>
        <v/>
      </c>
    </row>
    <row r="831">
      <c r="A831" s="2" t="inlineStr">
        <is>
          <t>O004482</t>
        </is>
      </c>
      <c r="B831" s="2" t="inlineStr">
        <is>
          <t>2025-03-02</t>
        </is>
      </c>
      <c r="C831" s="2" t="inlineStr">
        <is>
          <t>C0393</t>
        </is>
      </c>
      <c r="D831" s="2" t="inlineStr">
        <is>
          <t>P0031</t>
        </is>
      </c>
      <c r="E831" s="2" t="inlineStr">
        <is>
          <t>Cricket Bat</t>
        </is>
      </c>
      <c r="F831" s="2" t="inlineStr">
        <is>
          <t>Sports</t>
        </is>
      </c>
      <c r="G831" s="2" t="inlineStr">
        <is>
          <t>North</t>
        </is>
      </c>
      <c r="H831" s="2" t="inlineStr">
        <is>
          <t>Haryana</t>
        </is>
      </c>
      <c r="I831" s="2" t="inlineStr">
        <is>
          <t>Gurugram</t>
        </is>
      </c>
      <c r="J831" s="2" t="inlineStr">
        <is>
          <t>Store</t>
        </is>
      </c>
      <c r="K831" s="2" t="n">
        <v>6</v>
      </c>
      <c r="L831" s="3" t="n">
        <v>1386.47</v>
      </c>
      <c r="M831" s="4" t="n">
        <v>0.2</v>
      </c>
      <c r="N831" s="3" t="n">
        <v>5561.7</v>
      </c>
      <c r="O831" s="3">
        <f>K831*L831*(1-M831)</f>
        <v/>
      </c>
      <c r="P831" s="3">
        <f>O831-N831</f>
        <v/>
      </c>
      <c r="Q831" s="5">
        <f>IFERROR(P831/O831,0)</f>
        <v/>
      </c>
      <c r="R831" s="2">
        <f>TEXT(DATEVALUE(B831),"mmm")</f>
        <v/>
      </c>
      <c r="S831" s="2">
        <f>TEXT(DATEVALUE(B831),"yyyy-mm")</f>
        <v/>
      </c>
    </row>
    <row r="832">
      <c r="A832" s="2" t="inlineStr">
        <is>
          <t>O004419</t>
        </is>
      </c>
      <c r="B832" s="2" t="inlineStr">
        <is>
          <t>2025-03-02</t>
        </is>
      </c>
      <c r="C832" s="2" t="inlineStr">
        <is>
          <t>C0100</t>
        </is>
      </c>
      <c r="D832" s="2" t="inlineStr">
        <is>
          <t>P0032</t>
        </is>
      </c>
      <c r="E832" s="2" t="inlineStr">
        <is>
          <t>Football</t>
        </is>
      </c>
      <c r="F832" s="2" t="inlineStr">
        <is>
          <t>Sports</t>
        </is>
      </c>
      <c r="G832" s="2" t="inlineStr">
        <is>
          <t>North</t>
        </is>
      </c>
      <c r="H832" s="2" t="inlineStr">
        <is>
          <t>Haryana</t>
        </is>
      </c>
      <c r="I832" s="2" t="inlineStr">
        <is>
          <t>Gurugram</t>
        </is>
      </c>
      <c r="J832" s="2" t="inlineStr">
        <is>
          <t>Store</t>
        </is>
      </c>
      <c r="K832" s="2" t="n">
        <v>1</v>
      </c>
      <c r="L832" s="3" t="n">
        <v>833.59</v>
      </c>
      <c r="M832" s="4" t="n">
        <v>0</v>
      </c>
      <c r="N832" s="3" t="n">
        <v>521.66</v>
      </c>
      <c r="O832" s="3">
        <f>K832*L832*(1-M832)</f>
        <v/>
      </c>
      <c r="P832" s="3">
        <f>O832-N832</f>
        <v/>
      </c>
      <c r="Q832" s="5">
        <f>IFERROR(P832/O832,0)</f>
        <v/>
      </c>
      <c r="R832" s="2">
        <f>TEXT(DATEVALUE(B832),"mmm")</f>
        <v/>
      </c>
      <c r="S832" s="2">
        <f>TEXT(DATEVALUE(B832),"yyyy-mm")</f>
        <v/>
      </c>
    </row>
    <row r="833">
      <c r="A833" s="2" t="inlineStr">
        <is>
          <t>O003609</t>
        </is>
      </c>
      <c r="B833" s="2" t="inlineStr">
        <is>
          <t>2025-03-02</t>
        </is>
      </c>
      <c r="C833" s="2" t="inlineStr">
        <is>
          <t>C0684</t>
        </is>
      </c>
      <c r="D833" s="2" t="inlineStr">
        <is>
          <t>P0011</t>
        </is>
      </c>
      <c r="E833" s="2" t="inlineStr">
        <is>
          <t>Cookware Set</t>
        </is>
      </c>
      <c r="F833" s="2" t="inlineStr">
        <is>
          <t>Home &amp; Kitchen</t>
        </is>
      </c>
      <c r="G833" s="2" t="inlineStr">
        <is>
          <t>South</t>
        </is>
      </c>
      <c r="H833" s="2" t="inlineStr">
        <is>
          <t>Karnataka</t>
        </is>
      </c>
      <c r="I833" s="2" t="inlineStr">
        <is>
          <t>Bengaluru</t>
        </is>
      </c>
      <c r="J833" s="2" t="inlineStr">
        <is>
          <t>Online</t>
        </is>
      </c>
      <c r="K833" s="2" t="n">
        <v>5</v>
      </c>
      <c r="L833" s="3" t="n">
        <v>727.7</v>
      </c>
      <c r="M833" s="4" t="n">
        <v>0.15</v>
      </c>
      <c r="N833" s="3" t="n">
        <v>2400.88</v>
      </c>
      <c r="O833" s="3">
        <f>K833*L833*(1-M833)</f>
        <v/>
      </c>
      <c r="P833" s="3">
        <f>O833-N833</f>
        <v/>
      </c>
      <c r="Q833" s="5">
        <f>IFERROR(P833/O833,0)</f>
        <v/>
      </c>
      <c r="R833" s="2">
        <f>TEXT(DATEVALUE(B833),"mmm")</f>
        <v/>
      </c>
      <c r="S833" s="2">
        <f>TEXT(DATEVALUE(B833),"yyyy-mm")</f>
        <v/>
      </c>
    </row>
    <row r="834">
      <c r="A834" s="2" t="inlineStr">
        <is>
          <t>O000871</t>
        </is>
      </c>
      <c r="B834" s="2" t="inlineStr">
        <is>
          <t>2025-03-02</t>
        </is>
      </c>
      <c r="C834" s="2" t="inlineStr">
        <is>
          <t>C0418</t>
        </is>
      </c>
      <c r="D834" s="2" t="inlineStr">
        <is>
          <t>P0016</t>
        </is>
      </c>
      <c r="E834" s="2" t="inlineStr">
        <is>
          <t>Casual Shirt</t>
        </is>
      </c>
      <c r="F834" s="2" t="inlineStr">
        <is>
          <t>Fashion</t>
        </is>
      </c>
      <c r="G834" s="2" t="inlineStr">
        <is>
          <t>North</t>
        </is>
      </c>
      <c r="H834" s="2" t="inlineStr">
        <is>
          <t>Delhi</t>
        </is>
      </c>
      <c r="I834" s="2" t="inlineStr">
        <is>
          <t>New Delhi</t>
        </is>
      </c>
      <c r="J834" s="2" t="inlineStr">
        <is>
          <t>Online</t>
        </is>
      </c>
      <c r="K834" s="2" t="n">
        <v>2</v>
      </c>
      <c r="L834" s="3" t="n">
        <v>1274.95</v>
      </c>
      <c r="M834" s="4" t="n">
        <v>0.05</v>
      </c>
      <c r="N834" s="3" t="n">
        <v>1767.07</v>
      </c>
      <c r="O834" s="3">
        <f>K834*L834*(1-M834)</f>
        <v/>
      </c>
      <c r="P834" s="3">
        <f>O834-N834</f>
        <v/>
      </c>
      <c r="Q834" s="5">
        <f>IFERROR(P834/O834,0)</f>
        <v/>
      </c>
      <c r="R834" s="2">
        <f>TEXT(DATEVALUE(B834),"mmm")</f>
        <v/>
      </c>
      <c r="S834" s="2">
        <f>TEXT(DATEVALUE(B834),"yyyy-mm")</f>
        <v/>
      </c>
    </row>
    <row r="835">
      <c r="A835" s="2" t="inlineStr">
        <is>
          <t>O002896</t>
        </is>
      </c>
      <c r="B835" s="2" t="inlineStr">
        <is>
          <t>2025-03-02</t>
        </is>
      </c>
      <c r="C835" s="2" t="inlineStr">
        <is>
          <t>C0642</t>
        </is>
      </c>
      <c r="D835" s="2" t="inlineStr">
        <is>
          <t>P0026</t>
        </is>
      </c>
      <c r="E835" s="2" t="inlineStr">
        <is>
          <t>Shampoo</t>
        </is>
      </c>
      <c r="F835" s="2" t="inlineStr">
        <is>
          <t>Beauty</t>
        </is>
      </c>
      <c r="G835" s="2" t="inlineStr">
        <is>
          <t>West</t>
        </is>
      </c>
      <c r="H835" s="2" t="inlineStr">
        <is>
          <t>Maharashtra</t>
        </is>
      </c>
      <c r="I835" s="2" t="inlineStr">
        <is>
          <t>Mumbai</t>
        </is>
      </c>
      <c r="J835" s="2" t="inlineStr">
        <is>
          <t>Online</t>
        </is>
      </c>
      <c r="K835" s="2" t="n">
        <v>1</v>
      </c>
      <c r="L835" s="3" t="n">
        <v>906.3099999999999</v>
      </c>
      <c r="M835" s="4" t="n">
        <v>0.05</v>
      </c>
      <c r="N835" s="3" t="n">
        <v>531.76</v>
      </c>
      <c r="O835" s="3">
        <f>K835*L835*(1-M835)</f>
        <v/>
      </c>
      <c r="P835" s="3">
        <f>O835-N835</f>
        <v/>
      </c>
      <c r="Q835" s="5">
        <f>IFERROR(P835/O835,0)</f>
        <v/>
      </c>
      <c r="R835" s="2">
        <f>TEXT(DATEVALUE(B835),"mmm")</f>
        <v/>
      </c>
      <c r="S835" s="2">
        <f>TEXT(DATEVALUE(B835),"yyyy-mm")</f>
        <v/>
      </c>
    </row>
    <row r="836">
      <c r="A836" s="2" t="inlineStr">
        <is>
          <t>O002895</t>
        </is>
      </c>
      <c r="B836" s="2" t="inlineStr">
        <is>
          <t>2025-03-02</t>
        </is>
      </c>
      <c r="C836" s="2" t="inlineStr">
        <is>
          <t>C0393</t>
        </is>
      </c>
      <c r="D836" s="2" t="inlineStr">
        <is>
          <t>P0007</t>
        </is>
      </c>
      <c r="E836" s="2" t="inlineStr">
        <is>
          <t>Wireless Mouse</t>
        </is>
      </c>
      <c r="F836" s="2" t="inlineStr">
        <is>
          <t>Electronics</t>
        </is>
      </c>
      <c r="G836" s="2" t="inlineStr">
        <is>
          <t>South</t>
        </is>
      </c>
      <c r="H836" s="2" t="inlineStr">
        <is>
          <t>Kerala</t>
        </is>
      </c>
      <c r="I836" s="2" t="inlineStr">
        <is>
          <t>Thiruvananthapuram</t>
        </is>
      </c>
      <c r="J836" s="2" t="inlineStr">
        <is>
          <t>Online</t>
        </is>
      </c>
      <c r="K836" s="2" t="n">
        <v>1</v>
      </c>
      <c r="L836" s="3" t="n">
        <v>1018.17</v>
      </c>
      <c r="M836" s="4" t="n">
        <v>0.1</v>
      </c>
      <c r="N836" s="3" t="n">
        <v>608.86</v>
      </c>
      <c r="O836" s="3">
        <f>K836*L836*(1-M836)</f>
        <v/>
      </c>
      <c r="P836" s="3">
        <f>O836-N836</f>
        <v/>
      </c>
      <c r="Q836" s="5">
        <f>IFERROR(P836/O836,0)</f>
        <v/>
      </c>
      <c r="R836" s="2">
        <f>TEXT(DATEVALUE(B836),"mmm")</f>
        <v/>
      </c>
      <c r="S836" s="2">
        <f>TEXT(DATEVALUE(B836),"yyyy-mm")</f>
        <v/>
      </c>
    </row>
    <row r="837">
      <c r="A837" s="2" t="inlineStr">
        <is>
          <t>O002789</t>
        </is>
      </c>
      <c r="B837" s="2" t="inlineStr">
        <is>
          <t>2025-03-02</t>
        </is>
      </c>
      <c r="C837" s="2" t="inlineStr">
        <is>
          <t>C0789</t>
        </is>
      </c>
      <c r="D837" s="2" t="inlineStr">
        <is>
          <t>P0024</t>
        </is>
      </c>
      <c r="E837" s="2" t="inlineStr">
        <is>
          <t>Hair Dryer</t>
        </is>
      </c>
      <c r="F837" s="2" t="inlineStr">
        <is>
          <t>Beauty</t>
        </is>
      </c>
      <c r="G837" s="2" t="inlineStr">
        <is>
          <t>South</t>
        </is>
      </c>
      <c r="H837" s="2" t="inlineStr">
        <is>
          <t>Kerala</t>
        </is>
      </c>
      <c r="I837" s="2" t="inlineStr">
        <is>
          <t>Kochi</t>
        </is>
      </c>
      <c r="J837" s="2" t="inlineStr">
        <is>
          <t>Online</t>
        </is>
      </c>
      <c r="K837" s="2" t="n">
        <v>1</v>
      </c>
      <c r="L837" s="3" t="n">
        <v>1032.69</v>
      </c>
      <c r="M837" s="4" t="n">
        <v>0.1</v>
      </c>
      <c r="N837" s="3" t="n">
        <v>752.22</v>
      </c>
      <c r="O837" s="3">
        <f>K837*L837*(1-M837)</f>
        <v/>
      </c>
      <c r="P837" s="3">
        <f>O837-N837</f>
        <v/>
      </c>
      <c r="Q837" s="5">
        <f>IFERROR(P837/O837,0)</f>
        <v/>
      </c>
      <c r="R837" s="2">
        <f>TEXT(DATEVALUE(B837),"mmm")</f>
        <v/>
      </c>
      <c r="S837" s="2">
        <f>TEXT(DATEVALUE(B837),"yyyy-mm")</f>
        <v/>
      </c>
    </row>
    <row r="838">
      <c r="A838" s="2" t="inlineStr">
        <is>
          <t>O001572</t>
        </is>
      </c>
      <c r="B838" s="2" t="inlineStr">
        <is>
          <t>2025-03-02</t>
        </is>
      </c>
      <c r="C838" s="2" t="inlineStr">
        <is>
          <t>C0359</t>
        </is>
      </c>
      <c r="D838" s="2" t="inlineStr">
        <is>
          <t>P0023</t>
        </is>
      </c>
      <c r="E838" s="2" t="inlineStr">
        <is>
          <t>Skin Care Kit</t>
        </is>
      </c>
      <c r="F838" s="2" t="inlineStr">
        <is>
          <t>Beauty</t>
        </is>
      </c>
      <c r="G838" s="2" t="inlineStr">
        <is>
          <t>West</t>
        </is>
      </c>
      <c r="H838" s="2" t="inlineStr">
        <is>
          <t>Goa</t>
        </is>
      </c>
      <c r="I838" s="2" t="inlineStr">
        <is>
          <t>Panaji</t>
        </is>
      </c>
      <c r="J838" s="2" t="inlineStr">
        <is>
          <t>Online</t>
        </is>
      </c>
      <c r="K838" s="2" t="n">
        <v>1</v>
      </c>
      <c r="L838" s="3" t="n">
        <v>1448.15</v>
      </c>
      <c r="M838" s="4" t="n">
        <v>0.1</v>
      </c>
      <c r="N838" s="3" t="n">
        <v>922.13</v>
      </c>
      <c r="O838" s="3">
        <f>K838*L838*(1-M838)</f>
        <v/>
      </c>
      <c r="P838" s="3">
        <f>O838-N838</f>
        <v/>
      </c>
      <c r="Q838" s="5">
        <f>IFERROR(P838/O838,0)</f>
        <v/>
      </c>
      <c r="R838" s="2">
        <f>TEXT(DATEVALUE(B838),"mmm")</f>
        <v/>
      </c>
      <c r="S838" s="2">
        <f>TEXT(DATEVALUE(B838),"yyyy-mm")</f>
        <v/>
      </c>
    </row>
    <row r="839">
      <c r="A839" s="2" t="inlineStr">
        <is>
          <t>O001533</t>
        </is>
      </c>
      <c r="B839" s="2" t="inlineStr">
        <is>
          <t>2025-03-02</t>
        </is>
      </c>
      <c r="C839" s="2" t="inlineStr">
        <is>
          <t>C0425</t>
        </is>
      </c>
      <c r="D839" s="2" t="inlineStr">
        <is>
          <t>P0017</t>
        </is>
      </c>
      <c r="E839" s="2" t="inlineStr">
        <is>
          <t>Jeans</t>
        </is>
      </c>
      <c r="F839" s="2" t="inlineStr">
        <is>
          <t>Fashion</t>
        </is>
      </c>
      <c r="G839" s="2" t="inlineStr">
        <is>
          <t>South</t>
        </is>
      </c>
      <c r="H839" s="2" t="inlineStr">
        <is>
          <t>Karnataka</t>
        </is>
      </c>
      <c r="I839" s="2" t="inlineStr">
        <is>
          <t>Bengaluru</t>
        </is>
      </c>
      <c r="J839" s="2" t="inlineStr">
        <is>
          <t>Store</t>
        </is>
      </c>
      <c r="K839" s="2" t="n">
        <v>3</v>
      </c>
      <c r="L839" s="3" t="n">
        <v>1442.13</v>
      </c>
      <c r="M839" s="4" t="n">
        <v>0.05</v>
      </c>
      <c r="N839" s="3" t="n">
        <v>3171.4</v>
      </c>
      <c r="O839" s="3">
        <f>K839*L839*(1-M839)</f>
        <v/>
      </c>
      <c r="P839" s="3">
        <f>O839-N839</f>
        <v/>
      </c>
      <c r="Q839" s="5">
        <f>IFERROR(P839/O839,0)</f>
        <v/>
      </c>
      <c r="R839" s="2">
        <f>TEXT(DATEVALUE(B839),"mmm")</f>
        <v/>
      </c>
      <c r="S839" s="2">
        <f>TEXT(DATEVALUE(B839),"yyyy-mm")</f>
        <v/>
      </c>
    </row>
    <row r="840">
      <c r="A840" s="2" t="inlineStr">
        <is>
          <t>O001412</t>
        </is>
      </c>
      <c r="B840" s="2" t="inlineStr">
        <is>
          <t>2025-03-02</t>
        </is>
      </c>
      <c r="C840" s="2" t="inlineStr">
        <is>
          <t>C0497</t>
        </is>
      </c>
      <c r="D840" s="2" t="inlineStr">
        <is>
          <t>P0010</t>
        </is>
      </c>
      <c r="E840" s="2" t="inlineStr">
        <is>
          <t>Mixer Grinder</t>
        </is>
      </c>
      <c r="F840" s="2" t="inlineStr">
        <is>
          <t>Home &amp; Kitchen</t>
        </is>
      </c>
      <c r="G840" s="2" t="inlineStr">
        <is>
          <t>South</t>
        </is>
      </c>
      <c r="H840" s="2" t="inlineStr">
        <is>
          <t>Kerala</t>
        </is>
      </c>
      <c r="I840" s="2" t="inlineStr">
        <is>
          <t>Kochi</t>
        </is>
      </c>
      <c r="J840" s="2" t="inlineStr">
        <is>
          <t>Store</t>
        </is>
      </c>
      <c r="K840" s="2" t="n">
        <v>1</v>
      </c>
      <c r="L840" s="3" t="n">
        <v>1680.26</v>
      </c>
      <c r="M840" s="4" t="n">
        <v>0.15</v>
      </c>
      <c r="N840" s="3" t="n">
        <v>1062.52</v>
      </c>
      <c r="O840" s="3">
        <f>K840*L840*(1-M840)</f>
        <v/>
      </c>
      <c r="P840" s="3">
        <f>O840-N840</f>
        <v/>
      </c>
      <c r="Q840" s="5">
        <f>IFERROR(P840/O840,0)</f>
        <v/>
      </c>
      <c r="R840" s="2">
        <f>TEXT(DATEVALUE(B840),"mmm")</f>
        <v/>
      </c>
      <c r="S840" s="2">
        <f>TEXT(DATEVALUE(B840),"yyyy-mm")</f>
        <v/>
      </c>
    </row>
    <row r="841">
      <c r="A841" s="2" t="inlineStr">
        <is>
          <t>O000839</t>
        </is>
      </c>
      <c r="B841" s="2" t="inlineStr">
        <is>
          <t>2025-03-02</t>
        </is>
      </c>
      <c r="C841" s="2" t="inlineStr">
        <is>
          <t>C0394</t>
        </is>
      </c>
      <c r="D841" s="2" t="inlineStr">
        <is>
          <t>P0007</t>
        </is>
      </c>
      <c r="E841" s="2" t="inlineStr">
        <is>
          <t>Wireless Mouse</t>
        </is>
      </c>
      <c r="F841" s="2" t="inlineStr">
        <is>
          <t>Electronics</t>
        </is>
      </c>
      <c r="G841" s="2" t="inlineStr">
        <is>
          <t>East</t>
        </is>
      </c>
      <c r="H841" s="2" t="inlineStr">
        <is>
          <t>West Bengal</t>
        </is>
      </c>
      <c r="I841" s="2" t="inlineStr">
        <is>
          <t>Kolkata</t>
        </is>
      </c>
      <c r="J841" s="2" t="inlineStr">
        <is>
          <t>Online</t>
        </is>
      </c>
      <c r="K841" s="2" t="n">
        <v>5</v>
      </c>
      <c r="L841" s="3" t="n">
        <v>983.63</v>
      </c>
      <c r="M841" s="4" t="n">
        <v>0.05</v>
      </c>
      <c r="N841" s="3" t="n">
        <v>3187.7</v>
      </c>
      <c r="O841" s="3">
        <f>K841*L841*(1-M841)</f>
        <v/>
      </c>
      <c r="P841" s="3">
        <f>O841-N841</f>
        <v/>
      </c>
      <c r="Q841" s="5">
        <f>IFERROR(P841/O841,0)</f>
        <v/>
      </c>
      <c r="R841" s="2">
        <f>TEXT(DATEVALUE(B841),"mmm")</f>
        <v/>
      </c>
      <c r="S841" s="2">
        <f>TEXT(DATEVALUE(B841),"yyyy-mm")</f>
        <v/>
      </c>
    </row>
    <row r="842">
      <c r="A842" s="2" t="inlineStr">
        <is>
          <t>O003221</t>
        </is>
      </c>
      <c r="B842" s="2" t="inlineStr">
        <is>
          <t>2025-03-02</t>
        </is>
      </c>
      <c r="C842" s="2" t="inlineStr">
        <is>
          <t>C0049</t>
        </is>
      </c>
      <c r="D842" s="2" t="inlineStr">
        <is>
          <t>P0012</t>
        </is>
      </c>
      <c r="E842" s="2" t="inlineStr">
        <is>
          <t>Water Bottle</t>
        </is>
      </c>
      <c r="F842" s="2" t="inlineStr">
        <is>
          <t>Home &amp; Kitchen</t>
        </is>
      </c>
      <c r="G842" s="2" t="inlineStr">
        <is>
          <t>West</t>
        </is>
      </c>
      <c r="H842" s="2" t="inlineStr">
        <is>
          <t>Maharashtra</t>
        </is>
      </c>
      <c r="I842" s="2" t="inlineStr">
        <is>
          <t>Nashik</t>
        </is>
      </c>
      <c r="J842" s="2" t="inlineStr">
        <is>
          <t>Online</t>
        </is>
      </c>
      <c r="K842" s="2" t="n">
        <v>1</v>
      </c>
      <c r="L842" s="3" t="n">
        <v>1012.31</v>
      </c>
      <c r="M842" s="4" t="n">
        <v>0.05</v>
      </c>
      <c r="N842" s="3" t="n">
        <v>626.21</v>
      </c>
      <c r="O842" s="3">
        <f>K842*L842*(1-M842)</f>
        <v/>
      </c>
      <c r="P842" s="3">
        <f>O842-N842</f>
        <v/>
      </c>
      <c r="Q842" s="5">
        <f>IFERROR(P842/O842,0)</f>
        <v/>
      </c>
      <c r="R842" s="2">
        <f>TEXT(DATEVALUE(B842),"mmm")</f>
        <v/>
      </c>
      <c r="S842" s="2">
        <f>TEXT(DATEVALUE(B842),"yyyy-mm")</f>
        <v/>
      </c>
    </row>
    <row r="843">
      <c r="A843" s="2" t="inlineStr">
        <is>
          <t>O004766</t>
        </is>
      </c>
      <c r="B843" s="2" t="inlineStr">
        <is>
          <t>2025-03-03</t>
        </is>
      </c>
      <c r="C843" s="2" t="inlineStr">
        <is>
          <t>C0374</t>
        </is>
      </c>
      <c r="D843" s="2" t="inlineStr">
        <is>
          <t>P0035</t>
        </is>
      </c>
      <c r="E843" s="2" t="inlineStr">
        <is>
          <t>Skipping Rope</t>
        </is>
      </c>
      <c r="F843" s="2" t="inlineStr">
        <is>
          <t>Sports</t>
        </is>
      </c>
      <c r="G843" s="2" t="inlineStr">
        <is>
          <t>West</t>
        </is>
      </c>
      <c r="H843" s="2" t="inlineStr">
        <is>
          <t>Gujarat</t>
        </is>
      </c>
      <c r="I843" s="2" t="inlineStr">
        <is>
          <t>Vadodara</t>
        </is>
      </c>
      <c r="J843" s="2" t="inlineStr">
        <is>
          <t>Store</t>
        </is>
      </c>
      <c r="K843" s="2" t="n">
        <v>3</v>
      </c>
      <c r="L843" s="3" t="n">
        <v>734.2</v>
      </c>
      <c r="M843" s="4" t="n">
        <v>0.05</v>
      </c>
      <c r="N843" s="3" t="n">
        <v>1235.86</v>
      </c>
      <c r="O843" s="3">
        <f>K843*L843*(1-M843)</f>
        <v/>
      </c>
      <c r="P843" s="3">
        <f>O843-N843</f>
        <v/>
      </c>
      <c r="Q843" s="5">
        <f>IFERROR(P843/O843,0)</f>
        <v/>
      </c>
      <c r="R843" s="2">
        <f>TEXT(DATEVALUE(B843),"mmm")</f>
        <v/>
      </c>
      <c r="S843" s="2">
        <f>TEXT(DATEVALUE(B843),"yyyy-mm")</f>
        <v/>
      </c>
    </row>
    <row r="844">
      <c r="A844" s="2" t="inlineStr">
        <is>
          <t>O004737</t>
        </is>
      </c>
      <c r="B844" s="2" t="inlineStr">
        <is>
          <t>2025-03-03</t>
        </is>
      </c>
      <c r="C844" s="2" t="inlineStr">
        <is>
          <t>C0253</t>
        </is>
      </c>
      <c r="D844" s="2" t="inlineStr">
        <is>
          <t>P0021</t>
        </is>
      </c>
      <c r="E844" s="2" t="inlineStr">
        <is>
          <t>Wallet</t>
        </is>
      </c>
      <c r="F844" s="2" t="inlineStr">
        <is>
          <t>Fashion</t>
        </is>
      </c>
      <c r="G844" s="2" t="inlineStr">
        <is>
          <t>South</t>
        </is>
      </c>
      <c r="H844" s="2" t="inlineStr">
        <is>
          <t>Karnataka</t>
        </is>
      </c>
      <c r="I844" s="2" t="inlineStr">
        <is>
          <t>Mangaluru</t>
        </is>
      </c>
      <c r="J844" s="2" t="inlineStr">
        <is>
          <t>Online</t>
        </is>
      </c>
      <c r="K844" s="2" t="n">
        <v>2</v>
      </c>
      <c r="L844" s="3" t="n">
        <v>1974.48</v>
      </c>
      <c r="M844" s="4" t="n">
        <v>0.05</v>
      </c>
      <c r="N844" s="3" t="n">
        <v>2484.2</v>
      </c>
      <c r="O844" s="3">
        <f>K844*L844*(1-M844)</f>
        <v/>
      </c>
      <c r="P844" s="3">
        <f>O844-N844</f>
        <v/>
      </c>
      <c r="Q844" s="5">
        <f>IFERROR(P844/O844,0)</f>
        <v/>
      </c>
      <c r="R844" s="2">
        <f>TEXT(DATEVALUE(B844),"mmm")</f>
        <v/>
      </c>
      <c r="S844" s="2">
        <f>TEXT(DATEVALUE(B844),"yyyy-mm")</f>
        <v/>
      </c>
    </row>
    <row r="845">
      <c r="A845" s="2" t="inlineStr">
        <is>
          <t>O004703</t>
        </is>
      </c>
      <c r="B845" s="2" t="inlineStr">
        <is>
          <t>2025-03-03</t>
        </is>
      </c>
      <c r="C845" s="2" t="inlineStr">
        <is>
          <t>C0733</t>
        </is>
      </c>
      <c r="D845" s="2" t="inlineStr">
        <is>
          <t>P0015</t>
        </is>
      </c>
      <c r="E845" s="2" t="inlineStr">
        <is>
          <t>Running Shoes</t>
        </is>
      </c>
      <c r="F845" s="2" t="inlineStr">
        <is>
          <t>Fashion</t>
        </is>
      </c>
      <c r="G845" s="2" t="inlineStr">
        <is>
          <t>North</t>
        </is>
      </c>
      <c r="H845" s="2" t="inlineStr">
        <is>
          <t>Punjab</t>
        </is>
      </c>
      <c r="I845" s="2" t="inlineStr">
        <is>
          <t>Jalandhar</t>
        </is>
      </c>
      <c r="J845" s="2" t="inlineStr">
        <is>
          <t>Store</t>
        </is>
      </c>
      <c r="K845" s="2" t="n">
        <v>2</v>
      </c>
      <c r="L845" s="3" t="n">
        <v>608.46</v>
      </c>
      <c r="M845" s="4" t="n">
        <v>0.2</v>
      </c>
      <c r="N845" s="3" t="n">
        <v>753.6799999999999</v>
      </c>
      <c r="O845" s="3">
        <f>K845*L845*(1-M845)</f>
        <v/>
      </c>
      <c r="P845" s="3">
        <f>O845-N845</f>
        <v/>
      </c>
      <c r="Q845" s="5">
        <f>IFERROR(P845/O845,0)</f>
        <v/>
      </c>
      <c r="R845" s="2">
        <f>TEXT(DATEVALUE(B845),"mmm")</f>
        <v/>
      </c>
      <c r="S845" s="2">
        <f>TEXT(DATEVALUE(B845),"yyyy-mm")</f>
        <v/>
      </c>
    </row>
    <row r="846">
      <c r="A846" s="2" t="inlineStr">
        <is>
          <t>O004694</t>
        </is>
      </c>
      <c r="B846" s="2" t="inlineStr">
        <is>
          <t>2025-03-03</t>
        </is>
      </c>
      <c r="C846" s="2" t="inlineStr">
        <is>
          <t>C0583</t>
        </is>
      </c>
      <c r="D846" s="2" t="inlineStr">
        <is>
          <t>P0024</t>
        </is>
      </c>
      <c r="E846" s="2" t="inlineStr">
        <is>
          <t>Hair Dryer</t>
        </is>
      </c>
      <c r="F846" s="2" t="inlineStr">
        <is>
          <t>Beauty</t>
        </is>
      </c>
      <c r="G846" s="2" t="inlineStr">
        <is>
          <t>North</t>
        </is>
      </c>
      <c r="H846" s="2" t="inlineStr">
        <is>
          <t>Uttar Pradesh</t>
        </is>
      </c>
      <c r="I846" s="2" t="inlineStr">
        <is>
          <t>Lucknow</t>
        </is>
      </c>
      <c r="J846" s="2" t="inlineStr">
        <is>
          <t>Online</t>
        </is>
      </c>
      <c r="K846" s="2" t="n">
        <v>3</v>
      </c>
      <c r="L846" s="3" t="n">
        <v>994.67</v>
      </c>
      <c r="M846" s="4" t="n">
        <v>0</v>
      </c>
      <c r="N846" s="3" t="n">
        <v>2147.88</v>
      </c>
      <c r="O846" s="3">
        <f>K846*L846*(1-M846)</f>
        <v/>
      </c>
      <c r="P846" s="3">
        <f>O846-N846</f>
        <v/>
      </c>
      <c r="Q846" s="5">
        <f>IFERROR(P846/O846,0)</f>
        <v/>
      </c>
      <c r="R846" s="2">
        <f>TEXT(DATEVALUE(B846),"mmm")</f>
        <v/>
      </c>
      <c r="S846" s="2">
        <f>TEXT(DATEVALUE(B846),"yyyy-mm")</f>
        <v/>
      </c>
    </row>
    <row r="847">
      <c r="A847" s="2" t="inlineStr">
        <is>
          <t>O004624</t>
        </is>
      </c>
      <c r="B847" s="2" t="inlineStr">
        <is>
          <t>2025-03-03</t>
        </is>
      </c>
      <c r="C847" s="2" t="inlineStr">
        <is>
          <t>C0231</t>
        </is>
      </c>
      <c r="D847" s="2" t="inlineStr">
        <is>
          <t>P0022</t>
        </is>
      </c>
      <c r="E847" s="2" t="inlineStr">
        <is>
          <t>Face Wash</t>
        </is>
      </c>
      <c r="F847" s="2" t="inlineStr">
        <is>
          <t>Beauty</t>
        </is>
      </c>
      <c r="G847" s="2" t="inlineStr">
        <is>
          <t>East</t>
        </is>
      </c>
      <c r="H847" s="2" t="inlineStr">
        <is>
          <t>West Bengal</t>
        </is>
      </c>
      <c r="I847" s="2" t="inlineStr">
        <is>
          <t>Kolkata</t>
        </is>
      </c>
      <c r="J847" s="2" t="inlineStr">
        <is>
          <t>Store</t>
        </is>
      </c>
      <c r="K847" s="2" t="n">
        <v>1</v>
      </c>
      <c r="L847" s="3" t="n">
        <v>564.8</v>
      </c>
      <c r="M847" s="4" t="n">
        <v>0.1</v>
      </c>
      <c r="N847" s="3" t="n">
        <v>350.26</v>
      </c>
      <c r="O847" s="3">
        <f>K847*L847*(1-M847)</f>
        <v/>
      </c>
      <c r="P847" s="3">
        <f>O847-N847</f>
        <v/>
      </c>
      <c r="Q847" s="5">
        <f>IFERROR(P847/O847,0)</f>
        <v/>
      </c>
      <c r="R847" s="2">
        <f>TEXT(DATEVALUE(B847),"mmm")</f>
        <v/>
      </c>
      <c r="S847" s="2">
        <f>TEXT(DATEVALUE(B847),"yyyy-mm")</f>
        <v/>
      </c>
    </row>
    <row r="848">
      <c r="A848" s="2" t="inlineStr">
        <is>
          <t>O004304</t>
        </is>
      </c>
      <c r="B848" s="2" t="inlineStr">
        <is>
          <t>2025-03-03</t>
        </is>
      </c>
      <c r="C848" s="2" t="inlineStr">
        <is>
          <t>C0323</t>
        </is>
      </c>
      <c r="D848" s="2" t="inlineStr">
        <is>
          <t>P0010</t>
        </is>
      </c>
      <c r="E848" s="2" t="inlineStr">
        <is>
          <t>Mixer Grinder</t>
        </is>
      </c>
      <c r="F848" s="2" t="inlineStr">
        <is>
          <t>Home &amp; Kitchen</t>
        </is>
      </c>
      <c r="G848" s="2" t="inlineStr">
        <is>
          <t>West</t>
        </is>
      </c>
      <c r="H848" s="2" t="inlineStr">
        <is>
          <t>Maharashtra</t>
        </is>
      </c>
      <c r="I848" s="2" t="inlineStr">
        <is>
          <t>Nagpur</t>
        </is>
      </c>
      <c r="J848" s="2" t="inlineStr">
        <is>
          <t>Online</t>
        </is>
      </c>
      <c r="K848" s="2" t="n">
        <v>2</v>
      </c>
      <c r="L848" s="3" t="n">
        <v>1596.87</v>
      </c>
      <c r="M848" s="4" t="n">
        <v>0</v>
      </c>
      <c r="N848" s="3" t="n">
        <v>2027.26</v>
      </c>
      <c r="O848" s="3">
        <f>K848*L848*(1-M848)</f>
        <v/>
      </c>
      <c r="P848" s="3">
        <f>O848-N848</f>
        <v/>
      </c>
      <c r="Q848" s="5">
        <f>IFERROR(P848/O848,0)</f>
        <v/>
      </c>
      <c r="R848" s="2">
        <f>TEXT(DATEVALUE(B848),"mmm")</f>
        <v/>
      </c>
      <c r="S848" s="2">
        <f>TEXT(DATEVALUE(B848),"yyyy-mm")</f>
        <v/>
      </c>
    </row>
    <row r="849">
      <c r="A849" s="2" t="inlineStr">
        <is>
          <t>O003923</t>
        </is>
      </c>
      <c r="B849" s="2" t="inlineStr">
        <is>
          <t>2025-03-03</t>
        </is>
      </c>
      <c r="C849" s="2" t="inlineStr">
        <is>
          <t>C0095</t>
        </is>
      </c>
      <c r="D849" s="2" t="inlineStr">
        <is>
          <t>P0026</t>
        </is>
      </c>
      <c r="E849" s="2" t="inlineStr">
        <is>
          <t>Shampoo</t>
        </is>
      </c>
      <c r="F849" s="2" t="inlineStr">
        <is>
          <t>Beauty</t>
        </is>
      </c>
      <c r="G849" s="2" t="inlineStr">
        <is>
          <t>South</t>
        </is>
      </c>
      <c r="H849" s="2" t="inlineStr">
        <is>
          <t>Telangana</t>
        </is>
      </c>
      <c r="I849" s="2" t="inlineStr">
        <is>
          <t>Warangal</t>
        </is>
      </c>
      <c r="J849" s="2" t="inlineStr">
        <is>
          <t>Store</t>
        </is>
      </c>
      <c r="K849" s="2" t="n">
        <v>1</v>
      </c>
      <c r="L849" s="3" t="n">
        <v>911.13</v>
      </c>
      <c r="M849" s="4" t="n">
        <v>0</v>
      </c>
      <c r="N849" s="3" t="n">
        <v>505.65</v>
      </c>
      <c r="O849" s="3">
        <f>K849*L849*(1-M849)</f>
        <v/>
      </c>
      <c r="P849" s="3">
        <f>O849-N849</f>
        <v/>
      </c>
      <c r="Q849" s="5">
        <f>IFERROR(P849/O849,0)</f>
        <v/>
      </c>
      <c r="R849" s="2">
        <f>TEXT(DATEVALUE(B849),"mmm")</f>
        <v/>
      </c>
      <c r="S849" s="2">
        <f>TEXT(DATEVALUE(B849),"yyyy-mm")</f>
        <v/>
      </c>
    </row>
    <row r="850">
      <c r="A850" s="2" t="inlineStr">
        <is>
          <t>O003345</t>
        </is>
      </c>
      <c r="B850" s="2" t="inlineStr">
        <is>
          <t>2025-03-03</t>
        </is>
      </c>
      <c r="C850" s="2" t="inlineStr">
        <is>
          <t>C0568</t>
        </is>
      </c>
      <c r="D850" s="2" t="inlineStr">
        <is>
          <t>P0032</t>
        </is>
      </c>
      <c r="E850" s="2" t="inlineStr">
        <is>
          <t>Football</t>
        </is>
      </c>
      <c r="F850" s="2" t="inlineStr">
        <is>
          <t>Sports</t>
        </is>
      </c>
      <c r="G850" s="2" t="inlineStr">
        <is>
          <t>West</t>
        </is>
      </c>
      <c r="H850" s="2" t="inlineStr">
        <is>
          <t>Maharashtra</t>
        </is>
      </c>
      <c r="I850" s="2" t="inlineStr">
        <is>
          <t>Mumbai</t>
        </is>
      </c>
      <c r="J850" s="2" t="inlineStr">
        <is>
          <t>Online</t>
        </is>
      </c>
      <c r="K850" s="2" t="n">
        <v>1</v>
      </c>
      <c r="L850" s="3" t="n">
        <v>814.66</v>
      </c>
      <c r="M850" s="4" t="n">
        <v>0.2</v>
      </c>
      <c r="N850" s="3" t="n">
        <v>537.28</v>
      </c>
      <c r="O850" s="3">
        <f>K850*L850*(1-M850)</f>
        <v/>
      </c>
      <c r="P850" s="3">
        <f>O850-N850</f>
        <v/>
      </c>
      <c r="Q850" s="5">
        <f>IFERROR(P850/O850,0)</f>
        <v/>
      </c>
      <c r="R850" s="2">
        <f>TEXT(DATEVALUE(B850),"mmm")</f>
        <v/>
      </c>
      <c r="S850" s="2">
        <f>TEXT(DATEVALUE(B850),"yyyy-mm")</f>
        <v/>
      </c>
    </row>
    <row r="851">
      <c r="A851" s="2" t="inlineStr">
        <is>
          <t>O003163</t>
        </is>
      </c>
      <c r="B851" s="2" t="inlineStr">
        <is>
          <t>2025-03-03</t>
        </is>
      </c>
      <c r="C851" s="2" t="inlineStr">
        <is>
          <t>C0775</t>
        </is>
      </c>
      <c r="D851" s="2" t="inlineStr">
        <is>
          <t>P0011</t>
        </is>
      </c>
      <c r="E851" s="2" t="inlineStr">
        <is>
          <t>Cookware Set</t>
        </is>
      </c>
      <c r="F851" s="2" t="inlineStr">
        <is>
          <t>Home &amp; Kitchen</t>
        </is>
      </c>
      <c r="G851" s="2" t="inlineStr">
        <is>
          <t>West</t>
        </is>
      </c>
      <c r="H851" s="2" t="inlineStr">
        <is>
          <t>Gujarat</t>
        </is>
      </c>
      <c r="I851" s="2" t="inlineStr">
        <is>
          <t>Vadodara</t>
        </is>
      </c>
      <c r="J851" s="2" t="inlineStr">
        <is>
          <t>Store</t>
        </is>
      </c>
      <c r="K851" s="2" t="n">
        <v>2</v>
      </c>
      <c r="L851" s="3" t="n">
        <v>723.97</v>
      </c>
      <c r="M851" s="4" t="n">
        <v>0.05</v>
      </c>
      <c r="N851" s="3" t="n">
        <v>962.3200000000001</v>
      </c>
      <c r="O851" s="3">
        <f>K851*L851*(1-M851)</f>
        <v/>
      </c>
      <c r="P851" s="3">
        <f>O851-N851</f>
        <v/>
      </c>
      <c r="Q851" s="5">
        <f>IFERROR(P851/O851,0)</f>
        <v/>
      </c>
      <c r="R851" s="2">
        <f>TEXT(DATEVALUE(B851),"mmm")</f>
        <v/>
      </c>
      <c r="S851" s="2">
        <f>TEXT(DATEVALUE(B851),"yyyy-mm")</f>
        <v/>
      </c>
    </row>
    <row r="852">
      <c r="A852" s="2" t="inlineStr">
        <is>
          <t>O002466</t>
        </is>
      </c>
      <c r="B852" s="2" t="inlineStr">
        <is>
          <t>2025-03-03</t>
        </is>
      </c>
      <c r="C852" s="2" t="inlineStr">
        <is>
          <t>C0555</t>
        </is>
      </c>
      <c r="D852" s="2" t="inlineStr">
        <is>
          <t>P0012</t>
        </is>
      </c>
      <c r="E852" s="2" t="inlineStr">
        <is>
          <t>Water Bottle</t>
        </is>
      </c>
      <c r="F852" s="2" t="inlineStr">
        <is>
          <t>Home &amp; Kitchen</t>
        </is>
      </c>
      <c r="G852" s="2" t="inlineStr">
        <is>
          <t>West</t>
        </is>
      </c>
      <c r="H852" s="2" t="inlineStr">
        <is>
          <t>Gujarat</t>
        </is>
      </c>
      <c r="I852" s="2" t="inlineStr">
        <is>
          <t>Surat</t>
        </is>
      </c>
      <c r="J852" s="2" t="inlineStr">
        <is>
          <t>Online</t>
        </is>
      </c>
      <c r="K852" s="2" t="n">
        <v>1</v>
      </c>
      <c r="L852" s="3" t="n">
        <v>1013.52</v>
      </c>
      <c r="M852" s="4" t="n">
        <v>0.1</v>
      </c>
      <c r="N852" s="3" t="n">
        <v>620.15</v>
      </c>
      <c r="O852" s="3">
        <f>K852*L852*(1-M852)</f>
        <v/>
      </c>
      <c r="P852" s="3">
        <f>O852-N852</f>
        <v/>
      </c>
      <c r="Q852" s="5">
        <f>IFERROR(P852/O852,0)</f>
        <v/>
      </c>
      <c r="R852" s="2">
        <f>TEXT(DATEVALUE(B852),"mmm")</f>
        <v/>
      </c>
      <c r="S852" s="2">
        <f>TEXT(DATEVALUE(B852),"yyyy-mm")</f>
        <v/>
      </c>
    </row>
    <row r="853">
      <c r="A853" s="2" t="inlineStr">
        <is>
          <t>O001575</t>
        </is>
      </c>
      <c r="B853" s="2" t="inlineStr">
        <is>
          <t>2025-03-03</t>
        </is>
      </c>
      <c r="C853" s="2" t="inlineStr">
        <is>
          <t>C0043</t>
        </is>
      </c>
      <c r="D853" s="2" t="inlineStr">
        <is>
          <t>P0011</t>
        </is>
      </c>
      <c r="E853" s="2" t="inlineStr">
        <is>
          <t>Cookware Set</t>
        </is>
      </c>
      <c r="F853" s="2" t="inlineStr">
        <is>
          <t>Home &amp; Kitchen</t>
        </is>
      </c>
      <c r="G853" s="2" t="inlineStr">
        <is>
          <t>South</t>
        </is>
      </c>
      <c r="H853" s="2" t="inlineStr">
        <is>
          <t>Tamil Nadu</t>
        </is>
      </c>
      <c r="I853" s="2" t="inlineStr">
        <is>
          <t>Coimbatore</t>
        </is>
      </c>
      <c r="J853" s="2" t="inlineStr">
        <is>
          <t>Online</t>
        </is>
      </c>
      <c r="K853" s="2" t="n">
        <v>1</v>
      </c>
      <c r="L853" s="3" t="n">
        <v>727.84</v>
      </c>
      <c r="M853" s="4" t="n">
        <v>0.05</v>
      </c>
      <c r="N853" s="3" t="n">
        <v>481.83</v>
      </c>
      <c r="O853" s="3">
        <f>K853*L853*(1-M853)</f>
        <v/>
      </c>
      <c r="P853" s="3">
        <f>O853-N853</f>
        <v/>
      </c>
      <c r="Q853" s="5">
        <f>IFERROR(P853/O853,0)</f>
        <v/>
      </c>
      <c r="R853" s="2">
        <f>TEXT(DATEVALUE(B853),"mmm")</f>
        <v/>
      </c>
      <c r="S853" s="2">
        <f>TEXT(DATEVALUE(B853),"yyyy-mm")</f>
        <v/>
      </c>
    </row>
    <row r="854">
      <c r="A854" s="2" t="inlineStr">
        <is>
          <t>O001540</t>
        </is>
      </c>
      <c r="B854" s="2" t="inlineStr">
        <is>
          <t>2025-03-03</t>
        </is>
      </c>
      <c r="C854" s="2" t="inlineStr">
        <is>
          <t>C0663</t>
        </is>
      </c>
      <c r="D854" s="2" t="inlineStr">
        <is>
          <t>P0032</t>
        </is>
      </c>
      <c r="E854" s="2" t="inlineStr">
        <is>
          <t>Football</t>
        </is>
      </c>
      <c r="F854" s="2" t="inlineStr">
        <is>
          <t>Sports</t>
        </is>
      </c>
      <c r="G854" s="2" t="inlineStr">
        <is>
          <t>North</t>
        </is>
      </c>
      <c r="H854" s="2" t="inlineStr">
        <is>
          <t>Haryana</t>
        </is>
      </c>
      <c r="I854" s="2" t="inlineStr">
        <is>
          <t>Faridabad</t>
        </is>
      </c>
      <c r="J854" s="2" t="inlineStr">
        <is>
          <t>Online</t>
        </is>
      </c>
      <c r="K854" s="2" t="n">
        <v>4</v>
      </c>
      <c r="L854" s="3" t="n">
        <v>821.47</v>
      </c>
      <c r="M854" s="4" t="n">
        <v>0.1</v>
      </c>
      <c r="N854" s="3" t="n">
        <v>2202.77</v>
      </c>
      <c r="O854" s="3">
        <f>K854*L854*(1-M854)</f>
        <v/>
      </c>
      <c r="P854" s="3">
        <f>O854-N854</f>
        <v/>
      </c>
      <c r="Q854" s="5">
        <f>IFERROR(P854/O854,0)</f>
        <v/>
      </c>
      <c r="R854" s="2">
        <f>TEXT(DATEVALUE(B854),"mmm")</f>
        <v/>
      </c>
      <c r="S854" s="2">
        <f>TEXT(DATEVALUE(B854),"yyyy-mm")</f>
        <v/>
      </c>
    </row>
    <row r="855">
      <c r="A855" s="2" t="inlineStr">
        <is>
          <t>O001048</t>
        </is>
      </c>
      <c r="B855" s="2" t="inlineStr">
        <is>
          <t>2025-03-03</t>
        </is>
      </c>
      <c r="C855" s="2" t="inlineStr">
        <is>
          <t>C0583</t>
        </is>
      </c>
      <c r="D855" s="2" t="inlineStr">
        <is>
          <t>P0016</t>
        </is>
      </c>
      <c r="E855" s="2" t="inlineStr">
        <is>
          <t>Casual Shirt</t>
        </is>
      </c>
      <c r="F855" s="2" t="inlineStr">
        <is>
          <t>Fashion</t>
        </is>
      </c>
      <c r="G855" s="2" t="inlineStr">
        <is>
          <t>South</t>
        </is>
      </c>
      <c r="H855" s="2" t="inlineStr">
        <is>
          <t>Tamil Nadu</t>
        </is>
      </c>
      <c r="I855" s="2" t="inlineStr">
        <is>
          <t>Chennai</t>
        </is>
      </c>
      <c r="J855" s="2" t="inlineStr">
        <is>
          <t>Online</t>
        </is>
      </c>
      <c r="K855" s="2" t="n">
        <v>1</v>
      </c>
      <c r="L855" s="3" t="n">
        <v>1272.78</v>
      </c>
      <c r="M855" s="4" t="n">
        <v>0</v>
      </c>
      <c r="N855" s="3" t="n">
        <v>904.86</v>
      </c>
      <c r="O855" s="3">
        <f>K855*L855*(1-M855)</f>
        <v/>
      </c>
      <c r="P855" s="3">
        <f>O855-N855</f>
        <v/>
      </c>
      <c r="Q855" s="5">
        <f>IFERROR(P855/O855,0)</f>
        <v/>
      </c>
      <c r="R855" s="2">
        <f>TEXT(DATEVALUE(B855),"mmm")</f>
        <v/>
      </c>
      <c r="S855" s="2">
        <f>TEXT(DATEVALUE(B855),"yyyy-mm")</f>
        <v/>
      </c>
    </row>
    <row r="856">
      <c r="A856" s="2" t="inlineStr">
        <is>
          <t>O000974</t>
        </is>
      </c>
      <c r="B856" s="2" t="inlineStr">
        <is>
          <t>2025-03-03</t>
        </is>
      </c>
      <c r="C856" s="2" t="inlineStr">
        <is>
          <t>C0216</t>
        </is>
      </c>
      <c r="D856" s="2" t="inlineStr">
        <is>
          <t>P0028</t>
        </is>
      </c>
      <c r="E856" s="2" t="inlineStr">
        <is>
          <t>Trimmer</t>
        </is>
      </c>
      <c r="F856" s="2" t="inlineStr">
        <is>
          <t>Beauty</t>
        </is>
      </c>
      <c r="G856" s="2" t="inlineStr">
        <is>
          <t>West</t>
        </is>
      </c>
      <c r="H856" s="2" t="inlineStr">
        <is>
          <t>Goa</t>
        </is>
      </c>
      <c r="I856" s="2" t="inlineStr">
        <is>
          <t>Panaji</t>
        </is>
      </c>
      <c r="J856" s="2" t="inlineStr">
        <is>
          <t>Online</t>
        </is>
      </c>
      <c r="K856" s="2" t="n">
        <v>1</v>
      </c>
      <c r="L856" s="3" t="n">
        <v>461.08</v>
      </c>
      <c r="M856" s="4" t="n">
        <v>0.2</v>
      </c>
      <c r="N856" s="3" t="n">
        <v>244.55</v>
      </c>
      <c r="O856" s="3">
        <f>K856*L856*(1-M856)</f>
        <v/>
      </c>
      <c r="P856" s="3">
        <f>O856-N856</f>
        <v/>
      </c>
      <c r="Q856" s="5">
        <f>IFERROR(P856/O856,0)</f>
        <v/>
      </c>
      <c r="R856" s="2">
        <f>TEXT(DATEVALUE(B856),"mmm")</f>
        <v/>
      </c>
      <c r="S856" s="2">
        <f>TEXT(DATEVALUE(B856),"yyyy-mm")</f>
        <v/>
      </c>
    </row>
    <row r="857">
      <c r="A857" s="2" t="inlineStr">
        <is>
          <t>O000562</t>
        </is>
      </c>
      <c r="B857" s="2" t="inlineStr">
        <is>
          <t>2025-03-03</t>
        </is>
      </c>
      <c r="C857" s="2" t="inlineStr">
        <is>
          <t>C0456</t>
        </is>
      </c>
      <c r="D857" s="2" t="inlineStr">
        <is>
          <t>P0017</t>
        </is>
      </c>
      <c r="E857" s="2" t="inlineStr">
        <is>
          <t>Jeans</t>
        </is>
      </c>
      <c r="F857" s="2" t="inlineStr">
        <is>
          <t>Fashion</t>
        </is>
      </c>
      <c r="G857" s="2" t="inlineStr">
        <is>
          <t>South</t>
        </is>
      </c>
      <c r="H857" s="2" t="inlineStr">
        <is>
          <t>Karnataka</t>
        </is>
      </c>
      <c r="I857" s="2" t="inlineStr">
        <is>
          <t>Mangaluru</t>
        </is>
      </c>
      <c r="J857" s="2" t="inlineStr">
        <is>
          <t>Online</t>
        </is>
      </c>
      <c r="K857" s="2" t="n">
        <v>3</v>
      </c>
      <c r="L857" s="3" t="n">
        <v>1444.32</v>
      </c>
      <c r="M857" s="4" t="n">
        <v>0.25</v>
      </c>
      <c r="N857" s="3" t="n">
        <v>2984.2</v>
      </c>
      <c r="O857" s="3">
        <f>K857*L857*(1-M857)</f>
        <v/>
      </c>
      <c r="P857" s="3">
        <f>O857-N857</f>
        <v/>
      </c>
      <c r="Q857" s="5">
        <f>IFERROR(P857/O857,0)</f>
        <v/>
      </c>
      <c r="R857" s="2">
        <f>TEXT(DATEVALUE(B857),"mmm")</f>
        <v/>
      </c>
      <c r="S857" s="2">
        <f>TEXT(DATEVALUE(B857),"yyyy-mm")</f>
        <v/>
      </c>
    </row>
    <row r="858">
      <c r="A858" s="2" t="inlineStr">
        <is>
          <t>O000162</t>
        </is>
      </c>
      <c r="B858" s="2" t="inlineStr">
        <is>
          <t>2025-03-03</t>
        </is>
      </c>
      <c r="C858" s="2" t="inlineStr">
        <is>
          <t>C0312</t>
        </is>
      </c>
      <c r="D858" s="2" t="inlineStr">
        <is>
          <t>P0011</t>
        </is>
      </c>
      <c r="E858" s="2" t="inlineStr">
        <is>
          <t>Cookware Set</t>
        </is>
      </c>
      <c r="F858" s="2" t="inlineStr">
        <is>
          <t>Home &amp; Kitchen</t>
        </is>
      </c>
      <c r="G858" s="2" t="inlineStr">
        <is>
          <t>South</t>
        </is>
      </c>
      <c r="H858" s="2" t="inlineStr">
        <is>
          <t>Tamil Nadu</t>
        </is>
      </c>
      <c r="I858" s="2" t="inlineStr">
        <is>
          <t>Madurai</t>
        </is>
      </c>
      <c r="J858" s="2" t="inlineStr">
        <is>
          <t>Online</t>
        </is>
      </c>
      <c r="K858" s="2" t="n">
        <v>2</v>
      </c>
      <c r="L858" s="3" t="n">
        <v>691.52</v>
      </c>
      <c r="M858" s="4" t="n">
        <v>0.05</v>
      </c>
      <c r="N858" s="3" t="n">
        <v>951.29</v>
      </c>
      <c r="O858" s="3">
        <f>K858*L858*(1-M858)</f>
        <v/>
      </c>
      <c r="P858" s="3">
        <f>O858-N858</f>
        <v/>
      </c>
      <c r="Q858" s="5">
        <f>IFERROR(P858/O858,0)</f>
        <v/>
      </c>
      <c r="R858" s="2">
        <f>TEXT(DATEVALUE(B858),"mmm")</f>
        <v/>
      </c>
      <c r="S858" s="2">
        <f>TEXT(DATEVALUE(B858),"yyyy-mm")</f>
        <v/>
      </c>
    </row>
    <row r="859">
      <c r="A859" s="2" t="inlineStr">
        <is>
          <t>O000117</t>
        </is>
      </c>
      <c r="B859" s="2" t="inlineStr">
        <is>
          <t>2025-03-03</t>
        </is>
      </c>
      <c r="C859" s="2" t="inlineStr">
        <is>
          <t>C0256</t>
        </is>
      </c>
      <c r="D859" s="2" t="inlineStr">
        <is>
          <t>P0017</t>
        </is>
      </c>
      <c r="E859" s="2" t="inlineStr">
        <is>
          <t>Jeans</t>
        </is>
      </c>
      <c r="F859" s="2" t="inlineStr">
        <is>
          <t>Fashion</t>
        </is>
      </c>
      <c r="G859" s="2" t="inlineStr">
        <is>
          <t>North</t>
        </is>
      </c>
      <c r="H859" s="2" t="inlineStr">
        <is>
          <t>Punjab</t>
        </is>
      </c>
      <c r="I859" s="2" t="inlineStr">
        <is>
          <t>Amritsar</t>
        </is>
      </c>
      <c r="J859" s="2" t="inlineStr">
        <is>
          <t>Store</t>
        </is>
      </c>
      <c r="K859" s="2" t="n">
        <v>3</v>
      </c>
      <c r="L859" s="3" t="n">
        <v>1456.12</v>
      </c>
      <c r="M859" s="4" t="n">
        <v>0.2</v>
      </c>
      <c r="N859" s="3" t="n">
        <v>3091.9</v>
      </c>
      <c r="O859" s="3">
        <f>K859*L859*(1-M859)</f>
        <v/>
      </c>
      <c r="P859" s="3">
        <f>O859-N859</f>
        <v/>
      </c>
      <c r="Q859" s="5">
        <f>IFERROR(P859/O859,0)</f>
        <v/>
      </c>
      <c r="R859" s="2">
        <f>TEXT(DATEVALUE(B859),"mmm")</f>
        <v/>
      </c>
      <c r="S859" s="2">
        <f>TEXT(DATEVALUE(B859),"yyyy-mm")</f>
        <v/>
      </c>
    </row>
    <row r="860">
      <c r="A860" s="2" t="inlineStr">
        <is>
          <t>O002476</t>
        </is>
      </c>
      <c r="B860" s="2" t="inlineStr">
        <is>
          <t>2025-03-03</t>
        </is>
      </c>
      <c r="C860" s="2" t="inlineStr">
        <is>
          <t>C0294</t>
        </is>
      </c>
      <c r="D860" s="2" t="inlineStr">
        <is>
          <t>P0004</t>
        </is>
      </c>
      <c r="E860" s="2" t="inlineStr">
        <is>
          <t>USB-C Hub</t>
        </is>
      </c>
      <c r="F860" s="2" t="inlineStr">
        <is>
          <t>Electronics</t>
        </is>
      </c>
      <c r="G860" s="2" t="inlineStr">
        <is>
          <t>West</t>
        </is>
      </c>
      <c r="H860" s="2" t="inlineStr">
        <is>
          <t>Gujarat</t>
        </is>
      </c>
      <c r="I860" s="2" t="inlineStr">
        <is>
          <t>Ahmedabad</t>
        </is>
      </c>
      <c r="J860" s="2" t="inlineStr">
        <is>
          <t>Store</t>
        </is>
      </c>
      <c r="K860" s="2" t="n">
        <v>1</v>
      </c>
      <c r="L860" s="3" t="n">
        <v>1281.73</v>
      </c>
      <c r="M860" s="4" t="n">
        <v>0.15</v>
      </c>
      <c r="N860" s="3" t="n">
        <v>936.61</v>
      </c>
      <c r="O860" s="3">
        <f>K860*L860*(1-M860)</f>
        <v/>
      </c>
      <c r="P860" s="3">
        <f>O860-N860</f>
        <v/>
      </c>
      <c r="Q860" s="5">
        <f>IFERROR(P860/O860,0)</f>
        <v/>
      </c>
      <c r="R860" s="2">
        <f>TEXT(DATEVALUE(B860),"mmm")</f>
        <v/>
      </c>
      <c r="S860" s="2">
        <f>TEXT(DATEVALUE(B860),"yyyy-mm")</f>
        <v/>
      </c>
    </row>
    <row r="861">
      <c r="A861" s="2" t="inlineStr">
        <is>
          <t>O003128</t>
        </is>
      </c>
      <c r="B861" s="2" t="inlineStr">
        <is>
          <t>2025-03-04</t>
        </is>
      </c>
      <c r="C861" s="2" t="inlineStr">
        <is>
          <t>C0574</t>
        </is>
      </c>
      <c r="D861" s="2" t="inlineStr">
        <is>
          <t>P0007</t>
        </is>
      </c>
      <c r="E861" s="2" t="inlineStr">
        <is>
          <t>Wireless Mouse</t>
        </is>
      </c>
      <c r="F861" s="2" t="inlineStr">
        <is>
          <t>Electronics</t>
        </is>
      </c>
      <c r="G861" s="2" t="inlineStr">
        <is>
          <t>West</t>
        </is>
      </c>
      <c r="H861" s="2" t="inlineStr">
        <is>
          <t>Goa</t>
        </is>
      </c>
      <c r="I861" s="2" t="inlineStr">
        <is>
          <t>Panaji</t>
        </is>
      </c>
      <c r="J861" s="2" t="inlineStr">
        <is>
          <t>Store</t>
        </is>
      </c>
      <c r="K861" s="2" t="n">
        <v>1</v>
      </c>
      <c r="L861" s="3" t="n">
        <v>977.28</v>
      </c>
      <c r="M861" s="4" t="n">
        <v>0</v>
      </c>
      <c r="N861" s="3" t="n">
        <v>623.8099999999999</v>
      </c>
      <c r="O861" s="3">
        <f>K861*L861*(1-M861)</f>
        <v/>
      </c>
      <c r="P861" s="3">
        <f>O861-N861</f>
        <v/>
      </c>
      <c r="Q861" s="5">
        <f>IFERROR(P861/O861,0)</f>
        <v/>
      </c>
      <c r="R861" s="2">
        <f>TEXT(DATEVALUE(B861),"mmm")</f>
        <v/>
      </c>
      <c r="S861" s="2">
        <f>TEXT(DATEVALUE(B861),"yyyy-mm")</f>
        <v/>
      </c>
    </row>
    <row r="862">
      <c r="A862" s="2" t="inlineStr">
        <is>
          <t>O003368</t>
        </is>
      </c>
      <c r="B862" s="2" t="inlineStr">
        <is>
          <t>2025-03-04</t>
        </is>
      </c>
      <c r="C862" s="2" t="inlineStr">
        <is>
          <t>C0123</t>
        </is>
      </c>
      <c r="D862" s="2" t="inlineStr">
        <is>
          <t>P0007</t>
        </is>
      </c>
      <c r="E862" s="2" t="inlineStr">
        <is>
          <t>Wireless Mouse</t>
        </is>
      </c>
      <c r="F862" s="2" t="inlineStr">
        <is>
          <t>Electronics</t>
        </is>
      </c>
      <c r="G862" s="2" t="inlineStr">
        <is>
          <t>South</t>
        </is>
      </c>
      <c r="H862" s="2" t="inlineStr">
        <is>
          <t>Tamil Nadu</t>
        </is>
      </c>
      <c r="I862" s="2" t="inlineStr">
        <is>
          <t>Coimbatore</t>
        </is>
      </c>
      <c r="J862" s="2" t="inlineStr">
        <is>
          <t>Online</t>
        </is>
      </c>
      <c r="K862" s="2" t="n">
        <v>2</v>
      </c>
      <c r="L862" s="3" t="n">
        <v>1017.26</v>
      </c>
      <c r="M862" s="4" t="n">
        <v>0</v>
      </c>
      <c r="N862" s="3" t="n">
        <v>1285.18</v>
      </c>
      <c r="O862" s="3">
        <f>K862*L862*(1-M862)</f>
        <v/>
      </c>
      <c r="P862" s="3">
        <f>O862-N862</f>
        <v/>
      </c>
      <c r="Q862" s="5">
        <f>IFERROR(P862/O862,0)</f>
        <v/>
      </c>
      <c r="R862" s="2">
        <f>TEXT(DATEVALUE(B862),"mmm")</f>
        <v/>
      </c>
      <c r="S862" s="2">
        <f>TEXT(DATEVALUE(B862),"yyyy-mm")</f>
        <v/>
      </c>
    </row>
    <row r="863">
      <c r="A863" s="2" t="inlineStr">
        <is>
          <t>O003539</t>
        </is>
      </c>
      <c r="B863" s="2" t="inlineStr">
        <is>
          <t>2025-03-04</t>
        </is>
      </c>
      <c r="C863" s="2" t="inlineStr">
        <is>
          <t>C0092</t>
        </is>
      </c>
      <c r="D863" s="2" t="inlineStr">
        <is>
          <t>P0007</t>
        </is>
      </c>
      <c r="E863" s="2" t="inlineStr">
        <is>
          <t>Wireless Mouse</t>
        </is>
      </c>
      <c r="F863" s="2" t="inlineStr">
        <is>
          <t>Electronics</t>
        </is>
      </c>
      <c r="G863" s="2" t="inlineStr">
        <is>
          <t>West</t>
        </is>
      </c>
      <c r="H863" s="2" t="inlineStr">
        <is>
          <t>Maharashtra</t>
        </is>
      </c>
      <c r="I863" s="2" t="inlineStr">
        <is>
          <t>Mumbai</t>
        </is>
      </c>
      <c r="J863" s="2" t="inlineStr">
        <is>
          <t>Online</t>
        </is>
      </c>
      <c r="K863" s="2" t="n">
        <v>1</v>
      </c>
      <c r="L863" s="3" t="n">
        <v>1015.68</v>
      </c>
      <c r="M863" s="4" t="n">
        <v>0</v>
      </c>
      <c r="N863" s="3" t="n">
        <v>631.75</v>
      </c>
      <c r="O863" s="3">
        <f>K863*L863*(1-M863)</f>
        <v/>
      </c>
      <c r="P863" s="3">
        <f>O863-N863</f>
        <v/>
      </c>
      <c r="Q863" s="5">
        <f>IFERROR(P863/O863,0)</f>
        <v/>
      </c>
      <c r="R863" s="2">
        <f>TEXT(DATEVALUE(B863),"mmm")</f>
        <v/>
      </c>
      <c r="S863" s="2">
        <f>TEXT(DATEVALUE(B863),"yyyy-mm")</f>
        <v/>
      </c>
    </row>
    <row r="864">
      <c r="A864" s="2" t="inlineStr">
        <is>
          <t>O003004</t>
        </is>
      </c>
      <c r="B864" s="2" t="inlineStr">
        <is>
          <t>2025-03-04</t>
        </is>
      </c>
      <c r="C864" s="2" t="inlineStr">
        <is>
          <t>C0106</t>
        </is>
      </c>
      <c r="D864" s="2" t="inlineStr">
        <is>
          <t>P0028</t>
        </is>
      </c>
      <c r="E864" s="2" t="inlineStr">
        <is>
          <t>Trimmer</t>
        </is>
      </c>
      <c r="F864" s="2" t="inlineStr">
        <is>
          <t>Beauty</t>
        </is>
      </c>
      <c r="G864" s="2" t="inlineStr">
        <is>
          <t>South</t>
        </is>
      </c>
      <c r="H864" s="2" t="inlineStr">
        <is>
          <t>Karnataka</t>
        </is>
      </c>
      <c r="I864" s="2" t="inlineStr">
        <is>
          <t>Mysuru</t>
        </is>
      </c>
      <c r="J864" s="2" t="inlineStr">
        <is>
          <t>Online</t>
        </is>
      </c>
      <c r="K864" s="2" t="n">
        <v>1</v>
      </c>
      <c r="L864" s="3" t="n">
        <v>461.83</v>
      </c>
      <c r="M864" s="4" t="n">
        <v>0.2</v>
      </c>
      <c r="N864" s="3" t="n">
        <v>259.39</v>
      </c>
      <c r="O864" s="3">
        <f>K864*L864*(1-M864)</f>
        <v/>
      </c>
      <c r="P864" s="3">
        <f>O864-N864</f>
        <v/>
      </c>
      <c r="Q864" s="5">
        <f>IFERROR(P864/O864,0)</f>
        <v/>
      </c>
      <c r="R864" s="2">
        <f>TEXT(DATEVALUE(B864),"mmm")</f>
        <v/>
      </c>
      <c r="S864" s="2">
        <f>TEXT(DATEVALUE(B864),"yyyy-mm")</f>
        <v/>
      </c>
    </row>
    <row r="865">
      <c r="A865" s="2" t="inlineStr">
        <is>
          <t>O004792</t>
        </is>
      </c>
      <c r="B865" s="2" t="inlineStr">
        <is>
          <t>2025-03-04</t>
        </is>
      </c>
      <c r="C865" s="2" t="inlineStr">
        <is>
          <t>C0782</t>
        </is>
      </c>
      <c r="D865" s="2" t="inlineStr">
        <is>
          <t>P0002</t>
        </is>
      </c>
      <c r="E865" s="2" t="inlineStr">
        <is>
          <t>Bluetooth Speaker</t>
        </is>
      </c>
      <c r="F865" s="2" t="inlineStr">
        <is>
          <t>Electronics</t>
        </is>
      </c>
      <c r="G865" s="2" t="inlineStr">
        <is>
          <t>South</t>
        </is>
      </c>
      <c r="H865" s="2" t="inlineStr">
        <is>
          <t>Karnataka</t>
        </is>
      </c>
      <c r="I865" s="2" t="inlineStr">
        <is>
          <t>Bengaluru</t>
        </is>
      </c>
      <c r="J865" s="2" t="inlineStr">
        <is>
          <t>Online</t>
        </is>
      </c>
      <c r="K865" s="2" t="n">
        <v>4</v>
      </c>
      <c r="L865" s="3" t="n">
        <v>1377.3</v>
      </c>
      <c r="M865" s="4" t="n">
        <v>0.15</v>
      </c>
      <c r="N865" s="3" t="n">
        <v>3321.22</v>
      </c>
      <c r="O865" s="3">
        <f>K865*L865*(1-M865)</f>
        <v/>
      </c>
      <c r="P865" s="3">
        <f>O865-N865</f>
        <v/>
      </c>
      <c r="Q865" s="5">
        <f>IFERROR(P865/O865,0)</f>
        <v/>
      </c>
      <c r="R865" s="2">
        <f>TEXT(DATEVALUE(B865),"mmm")</f>
        <v/>
      </c>
      <c r="S865" s="2">
        <f>TEXT(DATEVALUE(B865),"yyyy-mm")</f>
        <v/>
      </c>
    </row>
    <row r="866">
      <c r="A866" s="2" t="inlineStr">
        <is>
          <t>O004412</t>
        </is>
      </c>
      <c r="B866" s="2" t="inlineStr">
        <is>
          <t>2025-03-04</t>
        </is>
      </c>
      <c r="C866" s="2" t="inlineStr">
        <is>
          <t>C0655</t>
        </is>
      </c>
      <c r="D866" s="2" t="inlineStr">
        <is>
          <t>P0008</t>
        </is>
      </c>
      <c r="E866" s="2" t="inlineStr">
        <is>
          <t>Air Fryer</t>
        </is>
      </c>
      <c r="F866" s="2" t="inlineStr">
        <is>
          <t>Home &amp; Kitchen</t>
        </is>
      </c>
      <c r="G866" s="2" t="inlineStr">
        <is>
          <t>West</t>
        </is>
      </c>
      <c r="H866" s="2" t="inlineStr">
        <is>
          <t>Goa</t>
        </is>
      </c>
      <c r="I866" s="2" t="inlineStr">
        <is>
          <t>Margao</t>
        </is>
      </c>
      <c r="J866" s="2" t="inlineStr">
        <is>
          <t>Online</t>
        </is>
      </c>
      <c r="K866" s="2" t="n">
        <v>2</v>
      </c>
      <c r="L866" s="3" t="n">
        <v>1004.86</v>
      </c>
      <c r="M866" s="4" t="n">
        <v>0.2</v>
      </c>
      <c r="N866" s="3" t="n">
        <v>1365.45</v>
      </c>
      <c r="O866" s="3">
        <f>K866*L866*(1-M866)</f>
        <v/>
      </c>
      <c r="P866" s="3">
        <f>O866-N866</f>
        <v/>
      </c>
      <c r="Q866" s="5">
        <f>IFERROR(P866/O866,0)</f>
        <v/>
      </c>
      <c r="R866" s="2">
        <f>TEXT(DATEVALUE(B866),"mmm")</f>
        <v/>
      </c>
      <c r="S866" s="2">
        <f>TEXT(DATEVALUE(B866),"yyyy-mm")</f>
        <v/>
      </c>
    </row>
    <row r="867">
      <c r="A867" s="2" t="inlineStr">
        <is>
          <t>O004472</t>
        </is>
      </c>
      <c r="B867" s="2" t="inlineStr">
        <is>
          <t>2025-03-04</t>
        </is>
      </c>
      <c r="C867" s="2" t="inlineStr">
        <is>
          <t>C0579</t>
        </is>
      </c>
      <c r="D867" s="2" t="inlineStr">
        <is>
          <t>P0008</t>
        </is>
      </c>
      <c r="E867" s="2" t="inlineStr">
        <is>
          <t>Air Fryer</t>
        </is>
      </c>
      <c r="F867" s="2" t="inlineStr">
        <is>
          <t>Home &amp; Kitchen</t>
        </is>
      </c>
      <c r="G867" s="2" t="inlineStr">
        <is>
          <t>North</t>
        </is>
      </c>
      <c r="H867" s="2" t="inlineStr">
        <is>
          <t>Delhi</t>
        </is>
      </c>
      <c r="I867" s="2" t="inlineStr">
        <is>
          <t>New Delhi</t>
        </is>
      </c>
      <c r="J867" s="2" t="inlineStr">
        <is>
          <t>Online</t>
        </is>
      </c>
      <c r="K867" s="2" t="n">
        <v>1</v>
      </c>
      <c r="L867" s="3" t="n">
        <v>1050.56</v>
      </c>
      <c r="M867" s="4" t="n">
        <v>0.05</v>
      </c>
      <c r="N867" s="3" t="n">
        <v>672.48</v>
      </c>
      <c r="O867" s="3">
        <f>K867*L867*(1-M867)</f>
        <v/>
      </c>
      <c r="P867" s="3">
        <f>O867-N867</f>
        <v/>
      </c>
      <c r="Q867" s="5">
        <f>IFERROR(P867/O867,0)</f>
        <v/>
      </c>
      <c r="R867" s="2">
        <f>TEXT(DATEVALUE(B867),"mmm")</f>
        <v/>
      </c>
      <c r="S867" s="2">
        <f>TEXT(DATEVALUE(B867),"yyyy-mm")</f>
        <v/>
      </c>
    </row>
    <row r="868">
      <c r="A868" s="2" t="inlineStr">
        <is>
          <t>O004208</t>
        </is>
      </c>
      <c r="B868" s="2" t="inlineStr">
        <is>
          <t>2025-03-04</t>
        </is>
      </c>
      <c r="C868" s="2" t="inlineStr">
        <is>
          <t>C0590</t>
        </is>
      </c>
      <c r="D868" s="2" t="inlineStr">
        <is>
          <t>P0010</t>
        </is>
      </c>
      <c r="E868" s="2" t="inlineStr">
        <is>
          <t>Mixer Grinder</t>
        </is>
      </c>
      <c r="F868" s="2" t="inlineStr">
        <is>
          <t>Home &amp; Kitchen</t>
        </is>
      </c>
      <c r="G868" s="2" t="inlineStr">
        <is>
          <t>North</t>
        </is>
      </c>
      <c r="H868" s="2" t="inlineStr">
        <is>
          <t>Haryana</t>
        </is>
      </c>
      <c r="I868" s="2" t="inlineStr">
        <is>
          <t>Faridabad</t>
        </is>
      </c>
      <c r="J868" s="2" t="inlineStr">
        <is>
          <t>Online</t>
        </is>
      </c>
      <c r="K868" s="2" t="n">
        <v>1</v>
      </c>
      <c r="L868" s="3" t="n">
        <v>1683.33</v>
      </c>
      <c r="M868" s="4" t="n">
        <v>0.05</v>
      </c>
      <c r="N868" s="3" t="n">
        <v>1078.33</v>
      </c>
      <c r="O868" s="3">
        <f>K868*L868*(1-M868)</f>
        <v/>
      </c>
      <c r="P868" s="3">
        <f>O868-N868</f>
        <v/>
      </c>
      <c r="Q868" s="5">
        <f>IFERROR(P868/O868,0)</f>
        <v/>
      </c>
      <c r="R868" s="2">
        <f>TEXT(DATEVALUE(B868),"mmm")</f>
        <v/>
      </c>
      <c r="S868" s="2">
        <f>TEXT(DATEVALUE(B868),"yyyy-mm")</f>
        <v/>
      </c>
    </row>
    <row r="869">
      <c r="A869" s="2" t="inlineStr">
        <is>
          <t>O002463</t>
        </is>
      </c>
      <c r="B869" s="2" t="inlineStr">
        <is>
          <t>2025-03-04</t>
        </is>
      </c>
      <c r="C869" s="2" t="inlineStr">
        <is>
          <t>C0498</t>
        </is>
      </c>
      <c r="D869" s="2" t="inlineStr">
        <is>
          <t>P0007</t>
        </is>
      </c>
      <c r="E869" s="2" t="inlineStr">
        <is>
          <t>Wireless Mouse</t>
        </is>
      </c>
      <c r="F869" s="2" t="inlineStr">
        <is>
          <t>Electronics</t>
        </is>
      </c>
      <c r="G869" s="2" t="inlineStr">
        <is>
          <t>West</t>
        </is>
      </c>
      <c r="H869" s="2" t="inlineStr">
        <is>
          <t>Goa</t>
        </is>
      </c>
      <c r="I869" s="2" t="inlineStr">
        <is>
          <t>Panaji</t>
        </is>
      </c>
      <c r="J869" s="2" t="inlineStr">
        <is>
          <t>Online</t>
        </is>
      </c>
      <c r="K869" s="2" t="n">
        <v>1</v>
      </c>
      <c r="L869" s="3" t="n">
        <v>982.21</v>
      </c>
      <c r="M869" s="4" t="n">
        <v>0.05</v>
      </c>
      <c r="N869" s="3" t="n">
        <v>616.5</v>
      </c>
      <c r="O869" s="3">
        <f>K869*L869*(1-M869)</f>
        <v/>
      </c>
      <c r="P869" s="3">
        <f>O869-N869</f>
        <v/>
      </c>
      <c r="Q869" s="5">
        <f>IFERROR(P869/O869,0)</f>
        <v/>
      </c>
      <c r="R869" s="2">
        <f>TEXT(DATEVALUE(B869),"mmm")</f>
        <v/>
      </c>
      <c r="S869" s="2">
        <f>TEXT(DATEVALUE(B869),"yyyy-mm")</f>
        <v/>
      </c>
    </row>
    <row r="870">
      <c r="A870" s="2" t="inlineStr">
        <is>
          <t>O000398</t>
        </is>
      </c>
      <c r="B870" s="2" t="inlineStr">
        <is>
          <t>2025-03-04</t>
        </is>
      </c>
      <c r="C870" s="2" t="inlineStr">
        <is>
          <t>C0298</t>
        </is>
      </c>
      <c r="D870" s="2" t="inlineStr">
        <is>
          <t>P0020</t>
        </is>
      </c>
      <c r="E870" s="2" t="inlineStr">
        <is>
          <t>Sneakers</t>
        </is>
      </c>
      <c r="F870" s="2" t="inlineStr">
        <is>
          <t>Fashion</t>
        </is>
      </c>
      <c r="G870" s="2" t="inlineStr">
        <is>
          <t>West</t>
        </is>
      </c>
      <c r="H870" s="2" t="inlineStr">
        <is>
          <t>Gujarat</t>
        </is>
      </c>
      <c r="I870" s="2" t="inlineStr">
        <is>
          <t>Ahmedabad</t>
        </is>
      </c>
      <c r="J870" s="2" t="inlineStr">
        <is>
          <t>Online</t>
        </is>
      </c>
      <c r="K870" s="2" t="n">
        <v>2</v>
      </c>
      <c r="L870" s="3" t="n">
        <v>1905.78</v>
      </c>
      <c r="M870" s="4" t="n">
        <v>0.05</v>
      </c>
      <c r="N870" s="3" t="n">
        <v>3097.27</v>
      </c>
      <c r="O870" s="3">
        <f>K870*L870*(1-M870)</f>
        <v/>
      </c>
      <c r="P870" s="3">
        <f>O870-N870</f>
        <v/>
      </c>
      <c r="Q870" s="5">
        <f>IFERROR(P870/O870,0)</f>
        <v/>
      </c>
      <c r="R870" s="2">
        <f>TEXT(DATEVALUE(B870),"mmm")</f>
        <v/>
      </c>
      <c r="S870" s="2">
        <f>TEXT(DATEVALUE(B870),"yyyy-mm")</f>
        <v/>
      </c>
    </row>
    <row r="871">
      <c r="A871" s="2" t="inlineStr">
        <is>
          <t>O001551</t>
        </is>
      </c>
      <c r="B871" s="2" t="inlineStr">
        <is>
          <t>2025-03-04</t>
        </is>
      </c>
      <c r="C871" s="2" t="inlineStr">
        <is>
          <t>C0143</t>
        </is>
      </c>
      <c r="D871" s="2" t="inlineStr">
        <is>
          <t>P0023</t>
        </is>
      </c>
      <c r="E871" s="2" t="inlineStr">
        <is>
          <t>Skin Care Kit</t>
        </is>
      </c>
      <c r="F871" s="2" t="inlineStr">
        <is>
          <t>Beauty</t>
        </is>
      </c>
      <c r="G871" s="2" t="inlineStr">
        <is>
          <t>South</t>
        </is>
      </c>
      <c r="H871" s="2" t="inlineStr">
        <is>
          <t>Karnataka</t>
        </is>
      </c>
      <c r="I871" s="2" t="inlineStr">
        <is>
          <t>Bengaluru</t>
        </is>
      </c>
      <c r="J871" s="2" t="inlineStr">
        <is>
          <t>Store</t>
        </is>
      </c>
      <c r="K871" s="2" t="n">
        <v>2</v>
      </c>
      <c r="L871" s="3" t="n">
        <v>1465.97</v>
      </c>
      <c r="M871" s="4" t="n">
        <v>0.15</v>
      </c>
      <c r="N871" s="3" t="n">
        <v>1755.27</v>
      </c>
      <c r="O871" s="3">
        <f>K871*L871*(1-M871)</f>
        <v/>
      </c>
      <c r="P871" s="3">
        <f>O871-N871</f>
        <v/>
      </c>
      <c r="Q871" s="5">
        <f>IFERROR(P871/O871,0)</f>
        <v/>
      </c>
      <c r="R871" s="2">
        <f>TEXT(DATEVALUE(B871),"mmm")</f>
        <v/>
      </c>
      <c r="S871" s="2">
        <f>TEXT(DATEVALUE(B871),"yyyy-mm")</f>
        <v/>
      </c>
    </row>
    <row r="872">
      <c r="A872" s="2" t="inlineStr">
        <is>
          <t>O000102</t>
        </is>
      </c>
      <c r="B872" s="2" t="inlineStr">
        <is>
          <t>2025-03-04</t>
        </is>
      </c>
      <c r="C872" s="2" t="inlineStr">
        <is>
          <t>C0769</t>
        </is>
      </c>
      <c r="D872" s="2" t="inlineStr">
        <is>
          <t>P0013</t>
        </is>
      </c>
      <c r="E872" s="2" t="inlineStr">
        <is>
          <t>Storage Organizer</t>
        </is>
      </c>
      <c r="F872" s="2" t="inlineStr">
        <is>
          <t>Home &amp; Kitchen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Store</t>
        </is>
      </c>
      <c r="K872" s="2" t="n">
        <v>2</v>
      </c>
      <c r="L872" s="3" t="n">
        <v>593.42</v>
      </c>
      <c r="M872" s="4" t="n">
        <v>0.1</v>
      </c>
      <c r="N872" s="3" t="n">
        <v>715.91</v>
      </c>
      <c r="O872" s="3">
        <f>K872*L872*(1-M872)</f>
        <v/>
      </c>
      <c r="P872" s="3">
        <f>O872-N872</f>
        <v/>
      </c>
      <c r="Q872" s="5">
        <f>IFERROR(P872/O872,0)</f>
        <v/>
      </c>
      <c r="R872" s="2">
        <f>TEXT(DATEVALUE(B872),"mmm")</f>
        <v/>
      </c>
      <c r="S872" s="2">
        <f>TEXT(DATEVALUE(B872),"yyyy-mm")</f>
        <v/>
      </c>
    </row>
    <row r="873">
      <c r="A873" s="2" t="inlineStr">
        <is>
          <t>O000139</t>
        </is>
      </c>
      <c r="B873" s="2" t="inlineStr">
        <is>
          <t>2025-03-04</t>
        </is>
      </c>
      <c r="C873" s="2" t="inlineStr">
        <is>
          <t>C0013</t>
        </is>
      </c>
      <c r="D873" s="2" t="inlineStr">
        <is>
          <t>P0025</t>
        </is>
      </c>
      <c r="E873" s="2" t="inlineStr">
        <is>
          <t>Perfume</t>
        </is>
      </c>
      <c r="F873" s="2" t="inlineStr">
        <is>
          <t>Beauty</t>
        </is>
      </c>
      <c r="G873" s="2" t="inlineStr">
        <is>
          <t>North</t>
        </is>
      </c>
      <c r="H873" s="2" t="inlineStr">
        <is>
          <t>Delhi</t>
        </is>
      </c>
      <c r="I873" s="2" t="inlineStr">
        <is>
          <t>New Delhi</t>
        </is>
      </c>
      <c r="J873" s="2" t="inlineStr">
        <is>
          <t>Online</t>
        </is>
      </c>
      <c r="K873" s="2" t="n">
        <v>1</v>
      </c>
      <c r="L873" s="3" t="n">
        <v>841.23</v>
      </c>
      <c r="M873" s="4" t="n">
        <v>0.05</v>
      </c>
      <c r="N873" s="3" t="n">
        <v>590.48</v>
      </c>
      <c r="O873" s="3">
        <f>K873*L873*(1-M873)</f>
        <v/>
      </c>
      <c r="P873" s="3">
        <f>O873-N873</f>
        <v/>
      </c>
      <c r="Q873" s="5">
        <f>IFERROR(P873/O873,0)</f>
        <v/>
      </c>
      <c r="R873" s="2">
        <f>TEXT(DATEVALUE(B873),"mmm")</f>
        <v/>
      </c>
      <c r="S873" s="2">
        <f>TEXT(DATEVALUE(B873),"yyyy-mm")</f>
        <v/>
      </c>
    </row>
    <row r="874">
      <c r="A874" s="2" t="inlineStr">
        <is>
          <t>O000732</t>
        </is>
      </c>
      <c r="B874" s="2" t="inlineStr">
        <is>
          <t>2025-03-04</t>
        </is>
      </c>
      <c r="C874" s="2" t="inlineStr">
        <is>
          <t>C0462</t>
        </is>
      </c>
      <c r="D874" s="2" t="inlineStr">
        <is>
          <t>P0027</t>
        </is>
      </c>
      <c r="E874" s="2" t="inlineStr">
        <is>
          <t>Moisturizer</t>
        </is>
      </c>
      <c r="F874" s="2" t="inlineStr">
        <is>
          <t>Beauty</t>
        </is>
      </c>
      <c r="G874" s="2" t="inlineStr">
        <is>
          <t>North</t>
        </is>
      </c>
      <c r="H874" s="2" t="inlineStr">
        <is>
          <t>Haryana</t>
        </is>
      </c>
      <c r="I874" s="2" t="inlineStr">
        <is>
          <t>Gurugram</t>
        </is>
      </c>
      <c r="J874" s="2" t="inlineStr">
        <is>
          <t>Online</t>
        </is>
      </c>
      <c r="K874" s="2" t="n">
        <v>3</v>
      </c>
      <c r="L874" s="3" t="n">
        <v>947.91</v>
      </c>
      <c r="M874" s="4" t="n">
        <v>0.05</v>
      </c>
      <c r="N874" s="3" t="n">
        <v>2026.91</v>
      </c>
      <c r="O874" s="3">
        <f>K874*L874*(1-M874)</f>
        <v/>
      </c>
      <c r="P874" s="3">
        <f>O874-N874</f>
        <v/>
      </c>
      <c r="Q874" s="5">
        <f>IFERROR(P874/O874,0)</f>
        <v/>
      </c>
      <c r="R874" s="2">
        <f>TEXT(DATEVALUE(B874),"mmm")</f>
        <v/>
      </c>
      <c r="S874" s="2">
        <f>TEXT(DATEVALUE(B874),"yyyy-mm")</f>
        <v/>
      </c>
    </row>
    <row r="875">
      <c r="A875" s="2" t="inlineStr">
        <is>
          <t>O002082</t>
        </is>
      </c>
      <c r="B875" s="2" t="inlineStr">
        <is>
          <t>2025-03-04</t>
        </is>
      </c>
      <c r="C875" s="2" t="inlineStr">
        <is>
          <t>C0745</t>
        </is>
      </c>
      <c r="D875" s="2" t="inlineStr">
        <is>
          <t>P0004</t>
        </is>
      </c>
      <c r="E875" s="2" t="inlineStr">
        <is>
          <t>USB-C Hub</t>
        </is>
      </c>
      <c r="F875" s="2" t="inlineStr">
        <is>
          <t>Electronics</t>
        </is>
      </c>
      <c r="G875" s="2" t="inlineStr">
        <is>
          <t>North</t>
        </is>
      </c>
      <c r="H875" s="2" t="inlineStr">
        <is>
          <t>Uttar Pradesh</t>
        </is>
      </c>
      <c r="I875" s="2" t="inlineStr">
        <is>
          <t>Lucknow</t>
        </is>
      </c>
      <c r="J875" s="2" t="inlineStr">
        <is>
          <t>Store</t>
        </is>
      </c>
      <c r="K875" s="2" t="n">
        <v>1</v>
      </c>
      <c r="L875" s="3" t="n">
        <v>1253.99</v>
      </c>
      <c r="M875" s="4" t="n">
        <v>0.05</v>
      </c>
      <c r="N875" s="3" t="n">
        <v>900.26</v>
      </c>
      <c r="O875" s="3">
        <f>K875*L875*(1-M875)</f>
        <v/>
      </c>
      <c r="P875" s="3">
        <f>O875-N875</f>
        <v/>
      </c>
      <c r="Q875" s="5">
        <f>IFERROR(P875/O875,0)</f>
        <v/>
      </c>
      <c r="R875" s="2">
        <f>TEXT(DATEVALUE(B875),"mmm")</f>
        <v/>
      </c>
      <c r="S875" s="2">
        <f>TEXT(DATEVALUE(B875),"yyyy-mm")</f>
        <v/>
      </c>
    </row>
    <row r="876">
      <c r="A876" s="2" t="inlineStr">
        <is>
          <t>O001176</t>
        </is>
      </c>
      <c r="B876" s="2" t="inlineStr">
        <is>
          <t>2025-03-04</t>
        </is>
      </c>
      <c r="C876" s="2" t="inlineStr">
        <is>
          <t>C0258</t>
        </is>
      </c>
      <c r="D876" s="2" t="inlineStr">
        <is>
          <t>P0010</t>
        </is>
      </c>
      <c r="E876" s="2" t="inlineStr">
        <is>
          <t>Mixer Grinder</t>
        </is>
      </c>
      <c r="F876" s="2" t="inlineStr">
        <is>
          <t>Home &amp; Kitchen</t>
        </is>
      </c>
      <c r="G876" s="2" t="inlineStr">
        <is>
          <t>South</t>
        </is>
      </c>
      <c r="H876" s="2" t="inlineStr">
        <is>
          <t>Kerala</t>
        </is>
      </c>
      <c r="I876" s="2" t="inlineStr">
        <is>
          <t>Kochi</t>
        </is>
      </c>
      <c r="J876" s="2" t="inlineStr">
        <is>
          <t>Online</t>
        </is>
      </c>
      <c r="K876" s="2" t="n">
        <v>1</v>
      </c>
      <c r="L876" s="3" t="n">
        <v>1683.41</v>
      </c>
      <c r="M876" s="4" t="n">
        <v>0.05</v>
      </c>
      <c r="N876" s="3" t="n">
        <v>1072.12</v>
      </c>
      <c r="O876" s="3">
        <f>K876*L876*(1-M876)</f>
        <v/>
      </c>
      <c r="P876" s="3">
        <f>O876-N876</f>
        <v/>
      </c>
      <c r="Q876" s="5">
        <f>IFERROR(P876/O876,0)</f>
        <v/>
      </c>
      <c r="R876" s="2">
        <f>TEXT(DATEVALUE(B876),"mmm")</f>
        <v/>
      </c>
      <c r="S876" s="2">
        <f>TEXT(DATEVALUE(B876),"yyyy-mm")</f>
        <v/>
      </c>
    </row>
    <row r="877">
      <c r="A877" s="2" t="inlineStr">
        <is>
          <t>O001198</t>
        </is>
      </c>
      <c r="B877" s="2" t="inlineStr">
        <is>
          <t>2025-03-04</t>
        </is>
      </c>
      <c r="C877" s="2" t="inlineStr">
        <is>
          <t>C0004</t>
        </is>
      </c>
      <c r="D877" s="2" t="inlineStr">
        <is>
          <t>P0003</t>
        </is>
      </c>
      <c r="E877" s="2" t="inlineStr">
        <is>
          <t>Smartwatch</t>
        </is>
      </c>
      <c r="F877" s="2" t="inlineStr">
        <is>
          <t>Electronics</t>
        </is>
      </c>
      <c r="G877" s="2" t="inlineStr">
        <is>
          <t>South</t>
        </is>
      </c>
      <c r="H877" s="2" t="inlineStr">
        <is>
          <t>Karnataka</t>
        </is>
      </c>
      <c r="I877" s="2" t="inlineStr">
        <is>
          <t>Mangaluru</t>
        </is>
      </c>
      <c r="J877" s="2" t="inlineStr">
        <is>
          <t>Online</t>
        </is>
      </c>
      <c r="K877" s="2" t="n">
        <v>1</v>
      </c>
      <c r="L877" s="3" t="n">
        <v>2392.93</v>
      </c>
      <c r="M877" s="4" t="n">
        <v>0.05</v>
      </c>
      <c r="N877" s="3" t="n">
        <v>1201.05</v>
      </c>
      <c r="O877" s="3">
        <f>K877*L877*(1-M877)</f>
        <v/>
      </c>
      <c r="P877" s="3">
        <f>O877-N877</f>
        <v/>
      </c>
      <c r="Q877" s="5">
        <f>IFERROR(P877/O877,0)</f>
        <v/>
      </c>
      <c r="R877" s="2">
        <f>TEXT(DATEVALUE(B877),"mmm")</f>
        <v/>
      </c>
      <c r="S877" s="2">
        <f>TEXT(DATEVALUE(B877),"yyyy-mm")</f>
        <v/>
      </c>
    </row>
    <row r="878">
      <c r="A878" s="2" t="inlineStr">
        <is>
          <t>O001210</t>
        </is>
      </c>
      <c r="B878" s="2" t="inlineStr">
        <is>
          <t>2025-03-04</t>
        </is>
      </c>
      <c r="C878" s="2" t="inlineStr">
        <is>
          <t>C0753</t>
        </is>
      </c>
      <c r="D878" s="2" t="inlineStr">
        <is>
          <t>P0007</t>
        </is>
      </c>
      <c r="E878" s="2" t="inlineStr">
        <is>
          <t>Wireless Mouse</t>
        </is>
      </c>
      <c r="F878" s="2" t="inlineStr">
        <is>
          <t>Electronics</t>
        </is>
      </c>
      <c r="G878" s="2" t="inlineStr">
        <is>
          <t>North</t>
        </is>
      </c>
      <c r="H878" s="2" t="inlineStr">
        <is>
          <t>Punjab</t>
        </is>
      </c>
      <c r="I878" s="2" t="inlineStr">
        <is>
          <t>Amritsar</t>
        </is>
      </c>
      <c r="J878" s="2" t="inlineStr">
        <is>
          <t>Online</t>
        </is>
      </c>
      <c r="K878" s="2" t="n">
        <v>2</v>
      </c>
      <c r="L878" s="3" t="n">
        <v>942.3200000000001</v>
      </c>
      <c r="M878" s="4" t="n">
        <v>0.05</v>
      </c>
      <c r="N878" s="3" t="n">
        <v>1240.64</v>
      </c>
      <c r="O878" s="3">
        <f>K878*L878*(1-M878)</f>
        <v/>
      </c>
      <c r="P878" s="3">
        <f>O878-N878</f>
        <v/>
      </c>
      <c r="Q878" s="5">
        <f>IFERROR(P878/O878,0)</f>
        <v/>
      </c>
      <c r="R878" s="2">
        <f>TEXT(DATEVALUE(B878),"mmm")</f>
        <v/>
      </c>
      <c r="S878" s="2">
        <f>TEXT(DATEVALUE(B878),"yyyy-mm")</f>
        <v/>
      </c>
    </row>
    <row r="879">
      <c r="A879" s="2" t="inlineStr">
        <is>
          <t>O001064</t>
        </is>
      </c>
      <c r="B879" s="2" t="inlineStr">
        <is>
          <t>2025-03-04</t>
        </is>
      </c>
      <c r="C879" s="2" t="inlineStr">
        <is>
          <t>C0553</t>
        </is>
      </c>
      <c r="D879" s="2" t="inlineStr">
        <is>
          <t>P0021</t>
        </is>
      </c>
      <c r="E879" s="2" t="inlineStr">
        <is>
          <t>Wallet</t>
        </is>
      </c>
      <c r="F879" s="2" t="inlineStr">
        <is>
          <t>Fashion</t>
        </is>
      </c>
      <c r="G879" s="2" t="inlineStr">
        <is>
          <t>North</t>
        </is>
      </c>
      <c r="H879" s="2" t="inlineStr">
        <is>
          <t>Punjab</t>
        </is>
      </c>
      <c r="I879" s="2" t="inlineStr">
        <is>
          <t>Ludhiana</t>
        </is>
      </c>
      <c r="J879" s="2" t="inlineStr">
        <is>
          <t>Online</t>
        </is>
      </c>
      <c r="K879" s="2" t="n">
        <v>5</v>
      </c>
      <c r="L879" s="3" t="n">
        <v>2030.75</v>
      </c>
      <c r="M879" s="4" t="n">
        <v>0.05</v>
      </c>
      <c r="N879" s="3" t="n">
        <v>5981.25</v>
      </c>
      <c r="O879" s="3">
        <f>K879*L879*(1-M879)</f>
        <v/>
      </c>
      <c r="P879" s="3">
        <f>O879-N879</f>
        <v/>
      </c>
      <c r="Q879" s="5">
        <f>IFERROR(P879/O879,0)</f>
        <v/>
      </c>
      <c r="R879" s="2">
        <f>TEXT(DATEVALUE(B879),"mmm")</f>
        <v/>
      </c>
      <c r="S879" s="2">
        <f>TEXT(DATEVALUE(B879),"yyyy-mm")</f>
        <v/>
      </c>
    </row>
    <row r="880">
      <c r="A880" s="2" t="inlineStr">
        <is>
          <t>O004898</t>
        </is>
      </c>
      <c r="B880" s="2" t="inlineStr">
        <is>
          <t>2025-03-05</t>
        </is>
      </c>
      <c r="C880" s="2" t="inlineStr">
        <is>
          <t>C0064</t>
        </is>
      </c>
      <c r="D880" s="2" t="inlineStr">
        <is>
          <t>P0021</t>
        </is>
      </c>
      <c r="E880" s="2" t="inlineStr">
        <is>
          <t>Wallet</t>
        </is>
      </c>
      <c r="F880" s="2" t="inlineStr">
        <is>
          <t>Fashion</t>
        </is>
      </c>
      <c r="G880" s="2" t="inlineStr">
        <is>
          <t>East</t>
        </is>
      </c>
      <c r="H880" s="2" t="inlineStr">
        <is>
          <t>Bihar</t>
        </is>
      </c>
      <c r="I880" s="2" t="inlineStr">
        <is>
          <t>Gaya</t>
        </is>
      </c>
      <c r="J880" s="2" t="inlineStr">
        <is>
          <t>Online</t>
        </is>
      </c>
      <c r="K880" s="2" t="n">
        <v>4</v>
      </c>
      <c r="L880" s="3" t="n">
        <v>2100.46</v>
      </c>
      <c r="M880" s="4" t="n">
        <v>0.1</v>
      </c>
      <c r="N880" s="3" t="n">
        <v>4824.81</v>
      </c>
      <c r="O880" s="3">
        <f>K880*L880*(1-M880)</f>
        <v/>
      </c>
      <c r="P880" s="3">
        <f>O880-N880</f>
        <v/>
      </c>
      <c r="Q880" s="5">
        <f>IFERROR(P880/O880,0)</f>
        <v/>
      </c>
      <c r="R880" s="2">
        <f>TEXT(DATEVALUE(B880),"mmm")</f>
        <v/>
      </c>
      <c r="S880" s="2">
        <f>TEXT(DATEVALUE(B880),"yyyy-mm")</f>
        <v/>
      </c>
    </row>
    <row r="881">
      <c r="A881" s="2" t="inlineStr">
        <is>
          <t>O004733</t>
        </is>
      </c>
      <c r="B881" s="2" t="inlineStr">
        <is>
          <t>2025-03-05</t>
        </is>
      </c>
      <c r="C881" s="2" t="inlineStr">
        <is>
          <t>C0434</t>
        </is>
      </c>
      <c r="D881" s="2" t="inlineStr">
        <is>
          <t>P0018</t>
        </is>
      </c>
      <c r="E881" s="2" t="inlineStr">
        <is>
          <t>Backpack</t>
        </is>
      </c>
      <c r="F881" s="2" t="inlineStr">
        <is>
          <t>Fashion</t>
        </is>
      </c>
      <c r="G881" s="2" t="inlineStr">
        <is>
          <t>South</t>
        </is>
      </c>
      <c r="H881" s="2" t="inlineStr">
        <is>
          <t>Telangana</t>
        </is>
      </c>
      <c r="I881" s="2" t="inlineStr">
        <is>
          <t>Warangal</t>
        </is>
      </c>
      <c r="J881" s="2" t="inlineStr">
        <is>
          <t>Online</t>
        </is>
      </c>
      <c r="K881" s="2" t="n">
        <v>3</v>
      </c>
      <c r="L881" s="3" t="n">
        <v>1847.17</v>
      </c>
      <c r="M881" s="4" t="n">
        <v>0</v>
      </c>
      <c r="N881" s="3" t="n">
        <v>4195.31</v>
      </c>
      <c r="O881" s="3">
        <f>K881*L881*(1-M881)</f>
        <v/>
      </c>
      <c r="P881" s="3">
        <f>O881-N881</f>
        <v/>
      </c>
      <c r="Q881" s="5">
        <f>IFERROR(P881/O881,0)</f>
        <v/>
      </c>
      <c r="R881" s="2">
        <f>TEXT(DATEVALUE(B881),"mmm")</f>
        <v/>
      </c>
      <c r="S881" s="2">
        <f>TEXT(DATEVALUE(B881),"yyyy-mm")</f>
        <v/>
      </c>
    </row>
    <row r="882">
      <c r="A882" s="2" t="inlineStr">
        <is>
          <t>O003483</t>
        </is>
      </c>
      <c r="B882" s="2" t="inlineStr">
        <is>
          <t>2025-03-05</t>
        </is>
      </c>
      <c r="C882" s="2" t="inlineStr">
        <is>
          <t>C0670</t>
        </is>
      </c>
      <c r="D882" s="2" t="inlineStr">
        <is>
          <t>P0011</t>
        </is>
      </c>
      <c r="E882" s="2" t="inlineStr">
        <is>
          <t>Cookware Set</t>
        </is>
      </c>
      <c r="F882" s="2" t="inlineStr">
        <is>
          <t>Home &amp; Kitchen</t>
        </is>
      </c>
      <c r="G882" s="2" t="inlineStr">
        <is>
          <t>South</t>
        </is>
      </c>
      <c r="H882" s="2" t="inlineStr">
        <is>
          <t>Kerala</t>
        </is>
      </c>
      <c r="I882" s="2" t="inlineStr">
        <is>
          <t>Thiruvananthapuram</t>
        </is>
      </c>
      <c r="J882" s="2" t="inlineStr">
        <is>
          <t>Online</t>
        </is>
      </c>
      <c r="K882" s="2" t="n">
        <v>3</v>
      </c>
      <c r="L882" s="3" t="n">
        <v>721.01</v>
      </c>
      <c r="M882" s="4" t="n">
        <v>0.05</v>
      </c>
      <c r="N882" s="3" t="n">
        <v>1386.35</v>
      </c>
      <c r="O882" s="3">
        <f>K882*L882*(1-M882)</f>
        <v/>
      </c>
      <c r="P882" s="3">
        <f>O882-N882</f>
        <v/>
      </c>
      <c r="Q882" s="5">
        <f>IFERROR(P882/O882,0)</f>
        <v/>
      </c>
      <c r="R882" s="2">
        <f>TEXT(DATEVALUE(B882),"mmm")</f>
        <v/>
      </c>
      <c r="S882" s="2">
        <f>TEXT(DATEVALUE(B882),"yyyy-mm")</f>
        <v/>
      </c>
    </row>
    <row r="883">
      <c r="A883" s="2" t="inlineStr">
        <is>
          <t>O003393</t>
        </is>
      </c>
      <c r="B883" s="2" t="inlineStr">
        <is>
          <t>2025-03-05</t>
        </is>
      </c>
      <c r="C883" s="2" t="inlineStr">
        <is>
          <t>C0703</t>
        </is>
      </c>
      <c r="D883" s="2" t="inlineStr">
        <is>
          <t>P0017</t>
        </is>
      </c>
      <c r="E883" s="2" t="inlineStr">
        <is>
          <t>Jeans</t>
        </is>
      </c>
      <c r="F883" s="2" t="inlineStr">
        <is>
          <t>Fashion</t>
        </is>
      </c>
      <c r="G883" s="2" t="inlineStr">
        <is>
          <t>North</t>
        </is>
      </c>
      <c r="H883" s="2" t="inlineStr">
        <is>
          <t>Uttar Pradesh</t>
        </is>
      </c>
      <c r="I883" s="2" t="inlineStr">
        <is>
          <t>Lucknow</t>
        </is>
      </c>
      <c r="J883" s="2" t="inlineStr">
        <is>
          <t>Online</t>
        </is>
      </c>
      <c r="K883" s="2" t="n">
        <v>1</v>
      </c>
      <c r="L883" s="3" t="n">
        <v>1489.77</v>
      </c>
      <c r="M883" s="4" t="n">
        <v>0.2</v>
      </c>
      <c r="N883" s="3" t="n">
        <v>1042.98</v>
      </c>
      <c r="O883" s="3">
        <f>K883*L883*(1-M883)</f>
        <v/>
      </c>
      <c r="P883" s="3">
        <f>O883-N883</f>
        <v/>
      </c>
      <c r="Q883" s="5">
        <f>IFERROR(P883/O883,0)</f>
        <v/>
      </c>
      <c r="R883" s="2">
        <f>TEXT(DATEVALUE(B883),"mmm")</f>
        <v/>
      </c>
      <c r="S883" s="2">
        <f>TEXT(DATEVALUE(B883),"yyyy-mm")</f>
        <v/>
      </c>
    </row>
    <row r="884">
      <c r="A884" s="2" t="inlineStr">
        <is>
          <t>O004973</t>
        </is>
      </c>
      <c r="B884" s="2" t="inlineStr">
        <is>
          <t>2025-03-05</t>
        </is>
      </c>
      <c r="C884" s="2" t="inlineStr">
        <is>
          <t>C0568</t>
        </is>
      </c>
      <c r="D884" s="2" t="inlineStr">
        <is>
          <t>P0001</t>
        </is>
      </c>
      <c r="E884" s="2" t="inlineStr">
        <is>
          <t>Wireless Headphones</t>
        </is>
      </c>
      <c r="F884" s="2" t="inlineStr">
        <is>
          <t>Electronics</t>
        </is>
      </c>
      <c r="G884" s="2" t="inlineStr">
        <is>
          <t>West</t>
        </is>
      </c>
      <c r="H884" s="2" t="inlineStr">
        <is>
          <t>Goa</t>
        </is>
      </c>
      <c r="I884" s="2" t="inlineStr">
        <is>
          <t>Margao</t>
        </is>
      </c>
      <c r="J884" s="2" t="inlineStr">
        <is>
          <t>Online</t>
        </is>
      </c>
      <c r="K884" s="2" t="n">
        <v>1</v>
      </c>
      <c r="L884" s="3" t="n">
        <v>1326.2</v>
      </c>
      <c r="M884" s="4" t="n">
        <v>0.05</v>
      </c>
      <c r="N884" s="3" t="n">
        <v>719.49</v>
      </c>
      <c r="O884" s="3">
        <f>K884*L884*(1-M884)</f>
        <v/>
      </c>
      <c r="P884" s="3">
        <f>O884-N884</f>
        <v/>
      </c>
      <c r="Q884" s="5">
        <f>IFERROR(P884/O884,0)</f>
        <v/>
      </c>
      <c r="R884" s="2">
        <f>TEXT(DATEVALUE(B884),"mmm")</f>
        <v/>
      </c>
      <c r="S884" s="2">
        <f>TEXT(DATEVALUE(B884),"yyyy-mm")</f>
        <v/>
      </c>
    </row>
    <row r="885">
      <c r="A885" s="2" t="inlineStr">
        <is>
          <t>O001990</t>
        </is>
      </c>
      <c r="B885" s="2" t="inlineStr">
        <is>
          <t>2025-03-05</t>
        </is>
      </c>
      <c r="C885" s="2" t="inlineStr">
        <is>
          <t>C0308</t>
        </is>
      </c>
      <c r="D885" s="2" t="inlineStr">
        <is>
          <t>P0003</t>
        </is>
      </c>
      <c r="E885" s="2" t="inlineStr">
        <is>
          <t>Smartwatch</t>
        </is>
      </c>
      <c r="F885" s="2" t="inlineStr">
        <is>
          <t>Electronics</t>
        </is>
      </c>
      <c r="G885" s="2" t="inlineStr">
        <is>
          <t>East</t>
        </is>
      </c>
      <c r="H885" s="2" t="inlineStr">
        <is>
          <t>Odisha</t>
        </is>
      </c>
      <c r="I885" s="2" t="inlineStr">
        <is>
          <t>Cuttack</t>
        </is>
      </c>
      <c r="J885" s="2" t="inlineStr">
        <is>
          <t>Store</t>
        </is>
      </c>
      <c r="K885" s="2" t="n">
        <v>1</v>
      </c>
      <c r="L885" s="3" t="n">
        <v>2202.26</v>
      </c>
      <c r="M885" s="4" t="n">
        <v>0</v>
      </c>
      <c r="N885" s="3" t="n">
        <v>1196.67</v>
      </c>
      <c r="O885" s="3">
        <f>K885*L885*(1-M885)</f>
        <v/>
      </c>
      <c r="P885" s="3">
        <f>O885-N885</f>
        <v/>
      </c>
      <c r="Q885" s="5">
        <f>IFERROR(P885/O885,0)</f>
        <v/>
      </c>
      <c r="R885" s="2">
        <f>TEXT(DATEVALUE(B885),"mmm")</f>
        <v/>
      </c>
      <c r="S885" s="2">
        <f>TEXT(DATEVALUE(B885),"yyyy-mm")</f>
        <v/>
      </c>
    </row>
    <row r="886">
      <c r="A886" s="2" t="inlineStr">
        <is>
          <t>O001791</t>
        </is>
      </c>
      <c r="B886" s="2" t="inlineStr">
        <is>
          <t>2025-03-05</t>
        </is>
      </c>
      <c r="C886" s="2" t="inlineStr">
        <is>
          <t>C0298</t>
        </is>
      </c>
      <c r="D886" s="2" t="inlineStr">
        <is>
          <t>P0007</t>
        </is>
      </c>
      <c r="E886" s="2" t="inlineStr">
        <is>
          <t>Wireless Mouse</t>
        </is>
      </c>
      <c r="F886" s="2" t="inlineStr">
        <is>
          <t>Electronics</t>
        </is>
      </c>
      <c r="G886" s="2" t="inlineStr">
        <is>
          <t>West</t>
        </is>
      </c>
      <c r="H886" s="2" t="inlineStr">
        <is>
          <t>Maharashtra</t>
        </is>
      </c>
      <c r="I886" s="2" t="inlineStr">
        <is>
          <t>Pune</t>
        </is>
      </c>
      <c r="J886" s="2" t="inlineStr">
        <is>
          <t>Online</t>
        </is>
      </c>
      <c r="K886" s="2" t="n">
        <v>1</v>
      </c>
      <c r="L886" s="3" t="n">
        <v>969.65</v>
      </c>
      <c r="M886" s="4" t="n">
        <v>0.15</v>
      </c>
      <c r="N886" s="3" t="n">
        <v>603.16</v>
      </c>
      <c r="O886" s="3">
        <f>K886*L886*(1-M886)</f>
        <v/>
      </c>
      <c r="P886" s="3">
        <f>O886-N886</f>
        <v/>
      </c>
      <c r="Q886" s="5">
        <f>IFERROR(P886/O886,0)</f>
        <v/>
      </c>
      <c r="R886" s="2">
        <f>TEXT(DATEVALUE(B886),"mmm")</f>
        <v/>
      </c>
      <c r="S886" s="2">
        <f>TEXT(DATEVALUE(B886),"yyyy-mm")</f>
        <v/>
      </c>
    </row>
    <row r="887">
      <c r="A887" s="2" t="inlineStr">
        <is>
          <t>O001367</t>
        </is>
      </c>
      <c r="B887" s="2" t="inlineStr">
        <is>
          <t>2025-03-05</t>
        </is>
      </c>
      <c r="C887" s="2" t="inlineStr">
        <is>
          <t>C0745</t>
        </is>
      </c>
      <c r="D887" s="2" t="inlineStr">
        <is>
          <t>P0017</t>
        </is>
      </c>
      <c r="E887" s="2" t="inlineStr">
        <is>
          <t>Jeans</t>
        </is>
      </c>
      <c r="F887" s="2" t="inlineStr">
        <is>
          <t>Fashion</t>
        </is>
      </c>
      <c r="G887" s="2" t="inlineStr">
        <is>
          <t>East</t>
        </is>
      </c>
      <c r="H887" s="2" t="inlineStr">
        <is>
          <t>Bihar</t>
        </is>
      </c>
      <c r="I887" s="2" t="inlineStr">
        <is>
          <t>Gaya</t>
        </is>
      </c>
      <c r="J887" s="2" t="inlineStr">
        <is>
          <t>Online</t>
        </is>
      </c>
      <c r="K887" s="2" t="n">
        <v>1</v>
      </c>
      <c r="L887" s="3" t="n">
        <v>1461.8</v>
      </c>
      <c r="M887" s="4" t="n">
        <v>0.1</v>
      </c>
      <c r="N887" s="3" t="n">
        <v>991.14</v>
      </c>
      <c r="O887" s="3">
        <f>K887*L887*(1-M887)</f>
        <v/>
      </c>
      <c r="P887" s="3">
        <f>O887-N887</f>
        <v/>
      </c>
      <c r="Q887" s="5">
        <f>IFERROR(P887/O887,0)</f>
        <v/>
      </c>
      <c r="R887" s="2">
        <f>TEXT(DATEVALUE(B887),"mmm")</f>
        <v/>
      </c>
      <c r="S887" s="2">
        <f>TEXT(DATEVALUE(B887),"yyyy-mm")</f>
        <v/>
      </c>
    </row>
    <row r="888">
      <c r="A888" s="2" t="inlineStr">
        <is>
          <t>O003168</t>
        </is>
      </c>
      <c r="B888" s="2" t="inlineStr">
        <is>
          <t>2025-03-05</t>
        </is>
      </c>
      <c r="C888" s="2" t="inlineStr">
        <is>
          <t>C0310</t>
        </is>
      </c>
      <c r="D888" s="2" t="inlineStr">
        <is>
          <t>P0024</t>
        </is>
      </c>
      <c r="E888" s="2" t="inlineStr">
        <is>
          <t>Hair Dryer</t>
        </is>
      </c>
      <c r="F888" s="2" t="inlineStr">
        <is>
          <t>Beauty</t>
        </is>
      </c>
      <c r="G888" s="2" t="inlineStr">
        <is>
          <t>West</t>
        </is>
      </c>
      <c r="H888" s="2" t="inlineStr">
        <is>
          <t>Goa</t>
        </is>
      </c>
      <c r="I888" s="2" t="inlineStr">
        <is>
          <t>Panaji</t>
        </is>
      </c>
      <c r="J888" s="2" t="inlineStr">
        <is>
          <t>Store</t>
        </is>
      </c>
      <c r="K888" s="2" t="n">
        <v>1</v>
      </c>
      <c r="L888" s="3" t="n">
        <v>985.66</v>
      </c>
      <c r="M888" s="4" t="n">
        <v>0</v>
      </c>
      <c r="N888" s="3" t="n">
        <v>735.4400000000001</v>
      </c>
      <c r="O888" s="3">
        <f>K888*L888*(1-M888)</f>
        <v/>
      </c>
      <c r="P888" s="3">
        <f>O888-N888</f>
        <v/>
      </c>
      <c r="Q888" s="5">
        <f>IFERROR(P888/O888,0)</f>
        <v/>
      </c>
      <c r="R888" s="2">
        <f>TEXT(DATEVALUE(B888),"mmm")</f>
        <v/>
      </c>
      <c r="S888" s="2">
        <f>TEXT(DATEVALUE(B888),"yyyy-mm")</f>
        <v/>
      </c>
    </row>
    <row r="889">
      <c r="A889" s="2" t="inlineStr">
        <is>
          <t>O004356</t>
        </is>
      </c>
      <c r="B889" s="2" t="inlineStr">
        <is>
          <t>2025-03-06</t>
        </is>
      </c>
      <c r="C889" s="2" t="inlineStr">
        <is>
          <t>C0350</t>
        </is>
      </c>
      <c r="D889" s="2" t="inlineStr">
        <is>
          <t>P0022</t>
        </is>
      </c>
      <c r="E889" s="2" t="inlineStr">
        <is>
          <t>Face Wash</t>
        </is>
      </c>
      <c r="F889" s="2" t="inlineStr">
        <is>
          <t>Beauty</t>
        </is>
      </c>
      <c r="G889" s="2" t="inlineStr">
        <is>
          <t>West</t>
        </is>
      </c>
      <c r="H889" s="2" t="inlineStr">
        <is>
          <t>Maharashtra</t>
        </is>
      </c>
      <c r="I889" s="2" t="inlineStr">
        <is>
          <t>Nashik</t>
        </is>
      </c>
      <c r="J889" s="2" t="inlineStr">
        <is>
          <t>Online</t>
        </is>
      </c>
      <c r="K889" s="2" t="n">
        <v>2</v>
      </c>
      <c r="L889" s="3" t="n">
        <v>548.3</v>
      </c>
      <c r="M889" s="4" t="n">
        <v>0.1</v>
      </c>
      <c r="N889" s="3" t="n">
        <v>694.25</v>
      </c>
      <c r="O889" s="3">
        <f>K889*L889*(1-M889)</f>
        <v/>
      </c>
      <c r="P889" s="3">
        <f>O889-N889</f>
        <v/>
      </c>
      <c r="Q889" s="5">
        <f>IFERROR(P889/O889,0)</f>
        <v/>
      </c>
      <c r="R889" s="2">
        <f>TEXT(DATEVALUE(B889),"mmm")</f>
        <v/>
      </c>
      <c r="S889" s="2">
        <f>TEXT(DATEVALUE(B889),"yyyy-mm")</f>
        <v/>
      </c>
    </row>
    <row r="890">
      <c r="A890" s="2" t="inlineStr">
        <is>
          <t>O004215</t>
        </is>
      </c>
      <c r="B890" s="2" t="inlineStr">
        <is>
          <t>2025-03-06</t>
        </is>
      </c>
      <c r="C890" s="2" t="inlineStr">
        <is>
          <t>C0267</t>
        </is>
      </c>
      <c r="D890" s="2" t="inlineStr">
        <is>
          <t>P0003</t>
        </is>
      </c>
      <c r="E890" s="2" t="inlineStr">
        <is>
          <t>Smartwatch</t>
        </is>
      </c>
      <c r="F890" s="2" t="inlineStr">
        <is>
          <t>Electronics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Nagpur</t>
        </is>
      </c>
      <c r="J890" s="2" t="inlineStr">
        <is>
          <t>Store</t>
        </is>
      </c>
      <c r="K890" s="2" t="n">
        <v>1</v>
      </c>
      <c r="L890" s="3" t="n">
        <v>2342.11</v>
      </c>
      <c r="M890" s="4" t="n">
        <v>0.1</v>
      </c>
      <c r="N890" s="3" t="n">
        <v>1221.26</v>
      </c>
      <c r="O890" s="3">
        <f>K890*L890*(1-M890)</f>
        <v/>
      </c>
      <c r="P890" s="3">
        <f>O890-N890</f>
        <v/>
      </c>
      <c r="Q890" s="5">
        <f>IFERROR(P890/O890,0)</f>
        <v/>
      </c>
      <c r="R890" s="2">
        <f>TEXT(DATEVALUE(B890),"mmm")</f>
        <v/>
      </c>
      <c r="S890" s="2">
        <f>TEXT(DATEVALUE(B890),"yyyy-mm")</f>
        <v/>
      </c>
    </row>
    <row r="891">
      <c r="A891" s="2" t="inlineStr">
        <is>
          <t>O003776</t>
        </is>
      </c>
      <c r="B891" s="2" t="inlineStr">
        <is>
          <t>2025-03-06</t>
        </is>
      </c>
      <c r="C891" s="2" t="inlineStr">
        <is>
          <t>C0174</t>
        </is>
      </c>
      <c r="D891" s="2" t="inlineStr">
        <is>
          <t>P0022</t>
        </is>
      </c>
      <c r="E891" s="2" t="inlineStr">
        <is>
          <t>Face Wash</t>
        </is>
      </c>
      <c r="F891" s="2" t="inlineStr">
        <is>
          <t>Beauty</t>
        </is>
      </c>
      <c r="G891" s="2" t="inlineStr">
        <is>
          <t>North</t>
        </is>
      </c>
      <c r="H891" s="2" t="inlineStr">
        <is>
          <t>Delhi</t>
        </is>
      </c>
      <c r="I891" s="2" t="inlineStr">
        <is>
          <t>New Delhi</t>
        </is>
      </c>
      <c r="J891" s="2" t="inlineStr">
        <is>
          <t>Online</t>
        </is>
      </c>
      <c r="K891" s="2" t="n">
        <v>1</v>
      </c>
      <c r="L891" s="3" t="n">
        <v>549.36</v>
      </c>
      <c r="M891" s="4" t="n">
        <v>0.15</v>
      </c>
      <c r="N891" s="3" t="n">
        <v>358.85</v>
      </c>
      <c r="O891" s="3">
        <f>K891*L891*(1-M891)</f>
        <v/>
      </c>
      <c r="P891" s="3">
        <f>O891-N891</f>
        <v/>
      </c>
      <c r="Q891" s="5">
        <f>IFERROR(P891/O891,0)</f>
        <v/>
      </c>
      <c r="R891" s="2">
        <f>TEXT(DATEVALUE(B891),"mmm")</f>
        <v/>
      </c>
      <c r="S891" s="2">
        <f>TEXT(DATEVALUE(B891),"yyyy-mm")</f>
        <v/>
      </c>
    </row>
    <row r="892">
      <c r="A892" s="2" t="inlineStr">
        <is>
          <t>O003698</t>
        </is>
      </c>
      <c r="B892" s="2" t="inlineStr">
        <is>
          <t>2025-03-06</t>
        </is>
      </c>
      <c r="C892" s="2" t="inlineStr">
        <is>
          <t>C0494</t>
        </is>
      </c>
      <c r="D892" s="2" t="inlineStr">
        <is>
          <t>P0016</t>
        </is>
      </c>
      <c r="E892" s="2" t="inlineStr">
        <is>
          <t>Casual Shirt</t>
        </is>
      </c>
      <c r="F892" s="2" t="inlineStr">
        <is>
          <t>Fashion</t>
        </is>
      </c>
      <c r="G892" s="2" t="inlineStr">
        <is>
          <t>South</t>
        </is>
      </c>
      <c r="H892" s="2" t="inlineStr">
        <is>
          <t>Telangana</t>
        </is>
      </c>
      <c r="I892" s="2" t="inlineStr">
        <is>
          <t>Hyderabad</t>
        </is>
      </c>
      <c r="J892" s="2" t="inlineStr">
        <is>
          <t>Online</t>
        </is>
      </c>
      <c r="K892" s="2" t="n">
        <v>3</v>
      </c>
      <c r="L892" s="3" t="n">
        <v>1236.41</v>
      </c>
      <c r="M892" s="4" t="n">
        <v>0.2</v>
      </c>
      <c r="N892" s="3" t="n">
        <v>2643.79</v>
      </c>
      <c r="O892" s="3">
        <f>K892*L892*(1-M892)</f>
        <v/>
      </c>
      <c r="P892" s="3">
        <f>O892-N892</f>
        <v/>
      </c>
      <c r="Q892" s="5">
        <f>IFERROR(P892/O892,0)</f>
        <v/>
      </c>
      <c r="R892" s="2">
        <f>TEXT(DATEVALUE(B892),"mmm")</f>
        <v/>
      </c>
      <c r="S892" s="2">
        <f>TEXT(DATEVALUE(B892),"yyyy-mm")</f>
        <v/>
      </c>
    </row>
    <row r="893">
      <c r="A893" s="2" t="inlineStr">
        <is>
          <t>O003577</t>
        </is>
      </c>
      <c r="B893" s="2" t="inlineStr">
        <is>
          <t>2025-03-06</t>
        </is>
      </c>
      <c r="C893" s="2" t="inlineStr">
        <is>
          <t>C0133</t>
        </is>
      </c>
      <c r="D893" s="2" t="inlineStr">
        <is>
          <t>P0006</t>
        </is>
      </c>
      <c r="E893" s="2" t="inlineStr">
        <is>
          <t>Mechanical Keyboard</t>
        </is>
      </c>
      <c r="F893" s="2" t="inlineStr">
        <is>
          <t>Electronics</t>
        </is>
      </c>
      <c r="G893" s="2" t="inlineStr">
        <is>
          <t>West</t>
        </is>
      </c>
      <c r="H893" s="2" t="inlineStr">
        <is>
          <t>Gujarat</t>
        </is>
      </c>
      <c r="I893" s="2" t="inlineStr">
        <is>
          <t>Surat</t>
        </is>
      </c>
      <c r="J893" s="2" t="inlineStr">
        <is>
          <t>Store</t>
        </is>
      </c>
      <c r="K893" s="2" t="n">
        <v>1</v>
      </c>
      <c r="L893" s="3" t="n">
        <v>2798.42</v>
      </c>
      <c r="M893" s="4" t="n">
        <v>0.1</v>
      </c>
      <c r="N893" s="3" t="n">
        <v>1447.72</v>
      </c>
      <c r="O893" s="3">
        <f>K893*L893*(1-M893)</f>
        <v/>
      </c>
      <c r="P893" s="3">
        <f>O893-N893</f>
        <v/>
      </c>
      <c r="Q893" s="5">
        <f>IFERROR(P893/O893,0)</f>
        <v/>
      </c>
      <c r="R893" s="2">
        <f>TEXT(DATEVALUE(B893),"mmm")</f>
        <v/>
      </c>
      <c r="S893" s="2">
        <f>TEXT(DATEVALUE(B893),"yyyy-mm")</f>
        <v/>
      </c>
    </row>
    <row r="894">
      <c r="A894" s="2" t="inlineStr">
        <is>
          <t>O003181</t>
        </is>
      </c>
      <c r="B894" s="2" t="inlineStr">
        <is>
          <t>2025-03-06</t>
        </is>
      </c>
      <c r="C894" s="2" t="inlineStr">
        <is>
          <t>C0764</t>
        </is>
      </c>
      <c r="D894" s="2" t="inlineStr">
        <is>
          <t>P0007</t>
        </is>
      </c>
      <c r="E894" s="2" t="inlineStr">
        <is>
          <t>Wireless Mouse</t>
        </is>
      </c>
      <c r="F894" s="2" t="inlineStr">
        <is>
          <t>Electronics</t>
        </is>
      </c>
      <c r="G894" s="2" t="inlineStr">
        <is>
          <t>West</t>
        </is>
      </c>
      <c r="H894" s="2" t="inlineStr">
        <is>
          <t>Gujarat</t>
        </is>
      </c>
      <c r="I894" s="2" t="inlineStr">
        <is>
          <t>Vadodara</t>
        </is>
      </c>
      <c r="J894" s="2" t="inlineStr">
        <is>
          <t>Store</t>
        </is>
      </c>
      <c r="K894" s="2" t="n">
        <v>2</v>
      </c>
      <c r="L894" s="3" t="n">
        <v>973.11</v>
      </c>
      <c r="M894" s="4" t="n">
        <v>0</v>
      </c>
      <c r="N894" s="3" t="n">
        <v>1230.36</v>
      </c>
      <c r="O894" s="3">
        <f>K894*L894*(1-M894)</f>
        <v/>
      </c>
      <c r="P894" s="3">
        <f>O894-N894</f>
        <v/>
      </c>
      <c r="Q894" s="5">
        <f>IFERROR(P894/O894,0)</f>
        <v/>
      </c>
      <c r="R894" s="2">
        <f>TEXT(DATEVALUE(B894),"mmm")</f>
        <v/>
      </c>
      <c r="S894" s="2">
        <f>TEXT(DATEVALUE(B894),"yyyy-mm")</f>
        <v/>
      </c>
    </row>
    <row r="895">
      <c r="A895" s="2" t="inlineStr">
        <is>
          <t>O002907</t>
        </is>
      </c>
      <c r="B895" s="2" t="inlineStr">
        <is>
          <t>2025-03-06</t>
        </is>
      </c>
      <c r="C895" s="2" t="inlineStr">
        <is>
          <t>C0537</t>
        </is>
      </c>
      <c r="D895" s="2" t="inlineStr">
        <is>
          <t>P0018</t>
        </is>
      </c>
      <c r="E895" s="2" t="inlineStr">
        <is>
          <t>Backpack</t>
        </is>
      </c>
      <c r="F895" s="2" t="inlineStr">
        <is>
          <t>Fashion</t>
        </is>
      </c>
      <c r="G895" s="2" t="inlineStr">
        <is>
          <t>South</t>
        </is>
      </c>
      <c r="H895" s="2" t="inlineStr">
        <is>
          <t>Kerala</t>
        </is>
      </c>
      <c r="I895" s="2" t="inlineStr">
        <is>
          <t>Thiruvananthapuram</t>
        </is>
      </c>
      <c r="J895" s="2" t="inlineStr">
        <is>
          <t>Store</t>
        </is>
      </c>
      <c r="K895" s="2" t="n">
        <v>1</v>
      </c>
      <c r="L895" s="3" t="n">
        <v>1826.92</v>
      </c>
      <c r="M895" s="4" t="n">
        <v>0.15</v>
      </c>
      <c r="N895" s="3" t="n">
        <v>1387.97</v>
      </c>
      <c r="O895" s="3">
        <f>K895*L895*(1-M895)</f>
        <v/>
      </c>
      <c r="P895" s="3">
        <f>O895-N895</f>
        <v/>
      </c>
      <c r="Q895" s="5">
        <f>IFERROR(P895/O895,0)</f>
        <v/>
      </c>
      <c r="R895" s="2">
        <f>TEXT(DATEVALUE(B895),"mmm")</f>
        <v/>
      </c>
      <c r="S895" s="2">
        <f>TEXT(DATEVALUE(B895),"yyyy-mm")</f>
        <v/>
      </c>
    </row>
    <row r="896">
      <c r="A896" s="2" t="inlineStr">
        <is>
          <t>O002110</t>
        </is>
      </c>
      <c r="B896" s="2" t="inlineStr">
        <is>
          <t>2025-03-06</t>
        </is>
      </c>
      <c r="C896" s="2" t="inlineStr">
        <is>
          <t>C0769</t>
        </is>
      </c>
      <c r="D896" s="2" t="inlineStr">
        <is>
          <t>P0012</t>
        </is>
      </c>
      <c r="E896" s="2" t="inlineStr">
        <is>
          <t>Water Bottle</t>
        </is>
      </c>
      <c r="F896" s="2" t="inlineStr">
        <is>
          <t>Home &amp; Kitchen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Online</t>
        </is>
      </c>
      <c r="K896" s="2" t="n">
        <v>2</v>
      </c>
      <c r="L896" s="3" t="n">
        <v>996.54</v>
      </c>
      <c r="M896" s="4" t="n">
        <v>0.05</v>
      </c>
      <c r="N896" s="3" t="n">
        <v>1203.07</v>
      </c>
      <c r="O896" s="3">
        <f>K896*L896*(1-M896)</f>
        <v/>
      </c>
      <c r="P896" s="3">
        <f>O896-N896</f>
        <v/>
      </c>
      <c r="Q896" s="5">
        <f>IFERROR(P896/O896,0)</f>
        <v/>
      </c>
      <c r="R896" s="2">
        <f>TEXT(DATEVALUE(B896),"mmm")</f>
        <v/>
      </c>
      <c r="S896" s="2">
        <f>TEXT(DATEVALUE(B896),"yyyy-mm")</f>
        <v/>
      </c>
    </row>
    <row r="897">
      <c r="A897" s="2" t="inlineStr">
        <is>
          <t>O001517</t>
        </is>
      </c>
      <c r="B897" s="2" t="inlineStr">
        <is>
          <t>2025-03-06</t>
        </is>
      </c>
      <c r="C897" s="2" t="inlineStr">
        <is>
          <t>C0577</t>
        </is>
      </c>
      <c r="D897" s="2" t="inlineStr">
        <is>
          <t>P0011</t>
        </is>
      </c>
      <c r="E897" s="2" t="inlineStr">
        <is>
          <t>Cookware Set</t>
        </is>
      </c>
      <c r="F897" s="2" t="inlineStr">
        <is>
          <t>Home &amp; Kitchen</t>
        </is>
      </c>
      <c r="G897" s="2" t="inlineStr">
        <is>
          <t>North</t>
        </is>
      </c>
      <c r="H897" s="2" t="inlineStr">
        <is>
          <t>Haryana</t>
        </is>
      </c>
      <c r="I897" s="2" t="inlineStr">
        <is>
          <t>Gurugram</t>
        </is>
      </c>
      <c r="J897" s="2" t="inlineStr">
        <is>
          <t>Store</t>
        </is>
      </c>
      <c r="K897" s="2" t="n">
        <v>4</v>
      </c>
      <c r="L897" s="3" t="n">
        <v>685.1799999999999</v>
      </c>
      <c r="M897" s="4" t="n">
        <v>0.1</v>
      </c>
      <c r="N897" s="3" t="n">
        <v>1880.51</v>
      </c>
      <c r="O897" s="3">
        <f>K897*L897*(1-M897)</f>
        <v/>
      </c>
      <c r="P897" s="3">
        <f>O897-N897</f>
        <v/>
      </c>
      <c r="Q897" s="5">
        <f>IFERROR(P897/O897,0)</f>
        <v/>
      </c>
      <c r="R897" s="2">
        <f>TEXT(DATEVALUE(B897),"mmm")</f>
        <v/>
      </c>
      <c r="S897" s="2">
        <f>TEXT(DATEVALUE(B897),"yyyy-mm")</f>
        <v/>
      </c>
    </row>
    <row r="898">
      <c r="A898" s="2" t="inlineStr">
        <is>
          <t>O000513</t>
        </is>
      </c>
      <c r="B898" s="2" t="inlineStr">
        <is>
          <t>2025-03-06</t>
        </is>
      </c>
      <c r="C898" s="2" t="inlineStr">
        <is>
          <t>C0253</t>
        </is>
      </c>
      <c r="D898" s="2" t="inlineStr">
        <is>
          <t>P0032</t>
        </is>
      </c>
      <c r="E898" s="2" t="inlineStr">
        <is>
          <t>Football</t>
        </is>
      </c>
      <c r="F898" s="2" t="inlineStr">
        <is>
          <t>Sports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Madurai</t>
        </is>
      </c>
      <c r="J898" s="2" t="inlineStr">
        <is>
          <t>Store</t>
        </is>
      </c>
      <c r="K898" s="2" t="n">
        <v>2</v>
      </c>
      <c r="L898" s="3" t="n">
        <v>793.08</v>
      </c>
      <c r="M898" s="4" t="n">
        <v>0.05</v>
      </c>
      <c r="N898" s="3" t="n">
        <v>1084.68</v>
      </c>
      <c r="O898" s="3">
        <f>K898*L898*(1-M898)</f>
        <v/>
      </c>
      <c r="P898" s="3">
        <f>O898-N898</f>
        <v/>
      </c>
      <c r="Q898" s="5">
        <f>IFERROR(P898/O898,0)</f>
        <v/>
      </c>
      <c r="R898" s="2">
        <f>TEXT(DATEVALUE(B898),"mmm")</f>
        <v/>
      </c>
      <c r="S898" s="2">
        <f>TEXT(DATEVALUE(B898),"yyyy-mm")</f>
        <v/>
      </c>
    </row>
    <row r="899">
      <c r="A899" s="2" t="inlineStr">
        <is>
          <t>O000095</t>
        </is>
      </c>
      <c r="B899" s="2" t="inlineStr">
        <is>
          <t>2025-03-06</t>
        </is>
      </c>
      <c r="C899" s="2" t="inlineStr">
        <is>
          <t>C0686</t>
        </is>
      </c>
      <c r="D899" s="2" t="inlineStr">
        <is>
          <t>P0031</t>
        </is>
      </c>
      <c r="E899" s="2" t="inlineStr">
        <is>
          <t>Cricket Bat</t>
        </is>
      </c>
      <c r="F899" s="2" t="inlineStr">
        <is>
          <t>Sports</t>
        </is>
      </c>
      <c r="G899" s="2" t="inlineStr">
        <is>
          <t>South</t>
        </is>
      </c>
      <c r="H899" s="2" t="inlineStr">
        <is>
          <t>Kerala</t>
        </is>
      </c>
      <c r="I899" s="2" t="inlineStr">
        <is>
          <t>Thiruvananthapuram</t>
        </is>
      </c>
      <c r="J899" s="2" t="inlineStr">
        <is>
          <t>Online</t>
        </is>
      </c>
      <c r="K899" s="2" t="n">
        <v>3</v>
      </c>
      <c r="L899" s="3" t="n">
        <v>1341.07</v>
      </c>
      <c r="M899" s="4" t="n">
        <v>0</v>
      </c>
      <c r="N899" s="3" t="n">
        <v>2847.25</v>
      </c>
      <c r="O899" s="3">
        <f>K899*L899*(1-M899)</f>
        <v/>
      </c>
      <c r="P899" s="3">
        <f>O899-N899</f>
        <v/>
      </c>
      <c r="Q899" s="5">
        <f>IFERROR(P899/O899,0)</f>
        <v/>
      </c>
      <c r="R899" s="2">
        <f>TEXT(DATEVALUE(B899),"mmm")</f>
        <v/>
      </c>
      <c r="S899" s="2">
        <f>TEXT(DATEVALUE(B899),"yyyy-mm")</f>
        <v/>
      </c>
    </row>
    <row r="900">
      <c r="A900" s="2" t="inlineStr">
        <is>
          <t>O002484</t>
        </is>
      </c>
      <c r="B900" s="2" t="inlineStr">
        <is>
          <t>2025-03-06</t>
        </is>
      </c>
      <c r="C900" s="2" t="inlineStr">
        <is>
          <t>C0739</t>
        </is>
      </c>
      <c r="D900" s="2" t="inlineStr">
        <is>
          <t>P0010</t>
        </is>
      </c>
      <c r="E900" s="2" t="inlineStr">
        <is>
          <t>Mixer Grinder</t>
        </is>
      </c>
      <c r="F900" s="2" t="inlineStr">
        <is>
          <t>Home &amp; Kitchen</t>
        </is>
      </c>
      <c r="G900" s="2" t="inlineStr">
        <is>
          <t>East</t>
        </is>
      </c>
      <c r="H900" s="2" t="inlineStr">
        <is>
          <t>West Bengal</t>
        </is>
      </c>
      <c r="I900" s="2" t="inlineStr">
        <is>
          <t>Kolkata</t>
        </is>
      </c>
      <c r="J900" s="2" t="inlineStr">
        <is>
          <t>Online</t>
        </is>
      </c>
      <c r="K900" s="2" t="n">
        <v>2</v>
      </c>
      <c r="L900" s="3" t="n">
        <v>1606.39</v>
      </c>
      <c r="M900" s="4" t="n">
        <v>0.05</v>
      </c>
      <c r="N900" s="3" t="n">
        <v>2027.36</v>
      </c>
      <c r="O900" s="3">
        <f>K900*L900*(1-M900)</f>
        <v/>
      </c>
      <c r="P900" s="3">
        <f>O900-N900</f>
        <v/>
      </c>
      <c r="Q900" s="5">
        <f>IFERROR(P900/O900,0)</f>
        <v/>
      </c>
      <c r="R900" s="2">
        <f>TEXT(DATEVALUE(B900),"mmm")</f>
        <v/>
      </c>
      <c r="S900" s="2">
        <f>TEXT(DATEVALUE(B900),"yyyy-mm")</f>
        <v/>
      </c>
    </row>
    <row r="901">
      <c r="A901" s="2" t="inlineStr">
        <is>
          <t>O000724</t>
        </is>
      </c>
      <c r="B901" s="2" t="inlineStr">
        <is>
          <t>2025-03-06</t>
        </is>
      </c>
      <c r="C901" s="2" t="inlineStr">
        <is>
          <t>C0179</t>
        </is>
      </c>
      <c r="D901" s="2" t="inlineStr">
        <is>
          <t>P0007</t>
        </is>
      </c>
      <c r="E901" s="2" t="inlineStr">
        <is>
          <t>Wireless Mouse</t>
        </is>
      </c>
      <c r="F901" s="2" t="inlineStr">
        <is>
          <t>Electronics</t>
        </is>
      </c>
      <c r="G901" s="2" t="inlineStr">
        <is>
          <t>South</t>
        </is>
      </c>
      <c r="H901" s="2" t="inlineStr">
        <is>
          <t>Kerala</t>
        </is>
      </c>
      <c r="I901" s="2" t="inlineStr">
        <is>
          <t>Thiruvananthapuram</t>
        </is>
      </c>
      <c r="J901" s="2" t="inlineStr">
        <is>
          <t>Online</t>
        </is>
      </c>
      <c r="K901" s="2" t="n">
        <v>3</v>
      </c>
      <c r="L901" s="3" t="n">
        <v>956.37</v>
      </c>
      <c r="M901" s="4" t="n">
        <v>0.1</v>
      </c>
      <c r="N901" s="3" t="n">
        <v>1911.89</v>
      </c>
      <c r="O901" s="3">
        <f>K901*L901*(1-M901)</f>
        <v/>
      </c>
      <c r="P901" s="3">
        <f>O901-N901</f>
        <v/>
      </c>
      <c r="Q901" s="5">
        <f>IFERROR(P901/O901,0)</f>
        <v/>
      </c>
      <c r="R901" s="2">
        <f>TEXT(DATEVALUE(B901),"mmm")</f>
        <v/>
      </c>
      <c r="S901" s="2">
        <f>TEXT(DATEVALUE(B901),"yyyy-mm")</f>
        <v/>
      </c>
    </row>
    <row r="902">
      <c r="A902" s="2" t="inlineStr">
        <is>
          <t>O003614</t>
        </is>
      </c>
      <c r="B902" s="2" t="inlineStr">
        <is>
          <t>2025-03-07</t>
        </is>
      </c>
      <c r="C902" s="2" t="inlineStr">
        <is>
          <t>C0394</t>
        </is>
      </c>
      <c r="D902" s="2" t="inlineStr">
        <is>
          <t>P0014</t>
        </is>
      </c>
      <c r="E902" s="2" t="inlineStr">
        <is>
          <t>Coffee Maker</t>
        </is>
      </c>
      <c r="F902" s="2" t="inlineStr">
        <is>
          <t>Home &amp; Kitchen</t>
        </is>
      </c>
      <c r="G902" s="2" t="inlineStr">
        <is>
          <t>South</t>
        </is>
      </c>
      <c r="H902" s="2" t="inlineStr">
        <is>
          <t>Karnataka</t>
        </is>
      </c>
      <c r="I902" s="2" t="inlineStr">
        <is>
          <t>Mangaluru</t>
        </is>
      </c>
      <c r="J902" s="2" t="inlineStr">
        <is>
          <t>Online</t>
        </is>
      </c>
      <c r="K902" s="2" t="n">
        <v>4</v>
      </c>
      <c r="L902" s="3" t="n">
        <v>1076.31</v>
      </c>
      <c r="M902" s="4" t="n">
        <v>0.1</v>
      </c>
      <c r="N902" s="3" t="n">
        <v>2980.77</v>
      </c>
      <c r="O902" s="3">
        <f>K902*L902*(1-M902)</f>
        <v/>
      </c>
      <c r="P902" s="3">
        <f>O902-N902</f>
        <v/>
      </c>
      <c r="Q902" s="5">
        <f>IFERROR(P902/O902,0)</f>
        <v/>
      </c>
      <c r="R902" s="2">
        <f>TEXT(DATEVALUE(B902),"mmm")</f>
        <v/>
      </c>
      <c r="S902" s="2">
        <f>TEXT(DATEVALUE(B902),"yyyy-mm")</f>
        <v/>
      </c>
    </row>
    <row r="903">
      <c r="A903" s="2" t="inlineStr">
        <is>
          <t>O002688</t>
        </is>
      </c>
      <c r="B903" s="2" t="inlineStr">
        <is>
          <t>2025-03-07</t>
        </is>
      </c>
      <c r="C903" s="2" t="inlineStr">
        <is>
          <t>C0794</t>
        </is>
      </c>
      <c r="D903" s="2" t="inlineStr">
        <is>
          <t>P0016</t>
        </is>
      </c>
      <c r="E903" s="2" t="inlineStr">
        <is>
          <t>Casual Shirt</t>
        </is>
      </c>
      <c r="F903" s="2" t="inlineStr">
        <is>
          <t>Fashion</t>
        </is>
      </c>
      <c r="G903" s="2" t="inlineStr">
        <is>
          <t>South</t>
        </is>
      </c>
      <c r="H903" s="2" t="inlineStr">
        <is>
          <t>Telangana</t>
        </is>
      </c>
      <c r="I903" s="2" t="inlineStr">
        <is>
          <t>Hyderabad</t>
        </is>
      </c>
      <c r="J903" s="2" t="inlineStr">
        <is>
          <t>Online</t>
        </is>
      </c>
      <c r="K903" s="2" t="n">
        <v>1</v>
      </c>
      <c r="L903" s="3" t="n">
        <v>1281.19</v>
      </c>
      <c r="M903" s="4" t="n">
        <v>0.2</v>
      </c>
      <c r="N903" s="3" t="n">
        <v>887.87</v>
      </c>
      <c r="O903" s="3">
        <f>K903*L903*(1-M903)</f>
        <v/>
      </c>
      <c r="P903" s="3">
        <f>O903-N903</f>
        <v/>
      </c>
      <c r="Q903" s="5">
        <f>IFERROR(P903/O903,0)</f>
        <v/>
      </c>
      <c r="R903" s="2">
        <f>TEXT(DATEVALUE(B903),"mmm")</f>
        <v/>
      </c>
      <c r="S903" s="2">
        <f>TEXT(DATEVALUE(B903),"yyyy-mm")</f>
        <v/>
      </c>
    </row>
    <row r="904">
      <c r="A904" s="2" t="inlineStr">
        <is>
          <t>O003065</t>
        </is>
      </c>
      <c r="B904" s="2" t="inlineStr">
        <is>
          <t>2025-03-07</t>
        </is>
      </c>
      <c r="C904" s="2" t="inlineStr">
        <is>
          <t>C0311</t>
        </is>
      </c>
      <c r="D904" s="2" t="inlineStr">
        <is>
          <t>P0004</t>
        </is>
      </c>
      <c r="E904" s="2" t="inlineStr">
        <is>
          <t>USB-C Hub</t>
        </is>
      </c>
      <c r="F904" s="2" t="inlineStr">
        <is>
          <t>Electronics</t>
        </is>
      </c>
      <c r="G904" s="2" t="inlineStr">
        <is>
          <t>East</t>
        </is>
      </c>
      <c r="H904" s="2" t="inlineStr">
        <is>
          <t>West Bengal</t>
        </is>
      </c>
      <c r="I904" s="2" t="inlineStr">
        <is>
          <t>Kolkata</t>
        </is>
      </c>
      <c r="J904" s="2" t="inlineStr">
        <is>
          <t>Online</t>
        </is>
      </c>
      <c r="K904" s="2" t="n">
        <v>2</v>
      </c>
      <c r="L904" s="3" t="n">
        <v>1242.1</v>
      </c>
      <c r="M904" s="4" t="n">
        <v>0</v>
      </c>
      <c r="N904" s="3" t="n">
        <v>1827.19</v>
      </c>
      <c r="O904" s="3">
        <f>K904*L904*(1-M904)</f>
        <v/>
      </c>
      <c r="P904" s="3">
        <f>O904-N904</f>
        <v/>
      </c>
      <c r="Q904" s="5">
        <f>IFERROR(P904/O904,0)</f>
        <v/>
      </c>
      <c r="R904" s="2">
        <f>TEXT(DATEVALUE(B904),"mmm")</f>
        <v/>
      </c>
      <c r="S904" s="2">
        <f>TEXT(DATEVALUE(B904),"yyyy-mm")</f>
        <v/>
      </c>
    </row>
    <row r="905">
      <c r="A905" s="2" t="inlineStr">
        <is>
          <t>O002950</t>
        </is>
      </c>
      <c r="B905" s="2" t="inlineStr">
        <is>
          <t>2025-03-07</t>
        </is>
      </c>
      <c r="C905" s="2" t="inlineStr">
        <is>
          <t>C0706</t>
        </is>
      </c>
      <c r="D905" s="2" t="inlineStr">
        <is>
          <t>P0009</t>
        </is>
      </c>
      <c r="E905" s="2" t="inlineStr">
        <is>
          <t>Electric Kettle</t>
        </is>
      </c>
      <c r="F905" s="2" t="inlineStr">
        <is>
          <t>Home &amp; Kitchen</t>
        </is>
      </c>
      <c r="G905" s="2" t="inlineStr">
        <is>
          <t>South</t>
        </is>
      </c>
      <c r="H905" s="2" t="inlineStr">
        <is>
          <t>Telangana</t>
        </is>
      </c>
      <c r="I905" s="2" t="inlineStr">
        <is>
          <t>Hyderabad</t>
        </is>
      </c>
      <c r="J905" s="2" t="inlineStr">
        <is>
          <t>Online</t>
        </is>
      </c>
      <c r="K905" s="2" t="n">
        <v>1</v>
      </c>
      <c r="L905" s="3" t="n">
        <v>2110.91</v>
      </c>
      <c r="M905" s="4" t="n">
        <v>0.05</v>
      </c>
      <c r="N905" s="3" t="n">
        <v>1173.4</v>
      </c>
      <c r="O905" s="3">
        <f>K905*L905*(1-M905)</f>
        <v/>
      </c>
      <c r="P905" s="3">
        <f>O905-N905</f>
        <v/>
      </c>
      <c r="Q905" s="5">
        <f>IFERROR(P905/O905,0)</f>
        <v/>
      </c>
      <c r="R905" s="2">
        <f>TEXT(DATEVALUE(B905),"mmm")</f>
        <v/>
      </c>
      <c r="S905" s="2">
        <f>TEXT(DATEVALUE(B905),"yyyy-mm")</f>
        <v/>
      </c>
    </row>
    <row r="906">
      <c r="A906" s="2" t="inlineStr">
        <is>
          <t>O002915</t>
        </is>
      </c>
      <c r="B906" s="2" t="inlineStr">
        <is>
          <t>2025-03-07</t>
        </is>
      </c>
      <c r="C906" s="2" t="inlineStr">
        <is>
          <t>C0638</t>
        </is>
      </c>
      <c r="D906" s="2" t="inlineStr">
        <is>
          <t>P0008</t>
        </is>
      </c>
      <c r="E906" s="2" t="inlineStr">
        <is>
          <t>Air Fryer</t>
        </is>
      </c>
      <c r="F906" s="2" t="inlineStr">
        <is>
          <t>Home &amp; Kitchen</t>
        </is>
      </c>
      <c r="G906" s="2" t="inlineStr">
        <is>
          <t>North</t>
        </is>
      </c>
      <c r="H906" s="2" t="inlineStr">
        <is>
          <t>Uttar Pradesh</t>
        </is>
      </c>
      <c r="I906" s="2" t="inlineStr">
        <is>
          <t>Lucknow</t>
        </is>
      </c>
      <c r="J906" s="2" t="inlineStr">
        <is>
          <t>Online</t>
        </is>
      </c>
      <c r="K906" s="2" t="n">
        <v>2</v>
      </c>
      <c r="L906" s="3" t="n">
        <v>1080.37</v>
      </c>
      <c r="M906" s="4" t="n">
        <v>0.15</v>
      </c>
      <c r="N906" s="3" t="n">
        <v>1369.03</v>
      </c>
      <c r="O906" s="3">
        <f>K906*L906*(1-M906)</f>
        <v/>
      </c>
      <c r="P906" s="3">
        <f>O906-N906</f>
        <v/>
      </c>
      <c r="Q906" s="5">
        <f>IFERROR(P906/O906,0)</f>
        <v/>
      </c>
      <c r="R906" s="2">
        <f>TEXT(DATEVALUE(B906),"mmm")</f>
        <v/>
      </c>
      <c r="S906" s="2">
        <f>TEXT(DATEVALUE(B906),"yyyy-mm")</f>
        <v/>
      </c>
    </row>
    <row r="907">
      <c r="A907" s="2" t="inlineStr">
        <is>
          <t>O002386</t>
        </is>
      </c>
      <c r="B907" s="2" t="inlineStr">
        <is>
          <t>2025-03-07</t>
        </is>
      </c>
      <c r="C907" s="2" t="inlineStr">
        <is>
          <t>C0469</t>
        </is>
      </c>
      <c r="D907" s="2" t="inlineStr">
        <is>
          <t>P0011</t>
        </is>
      </c>
      <c r="E907" s="2" t="inlineStr">
        <is>
          <t>Cookware Set</t>
        </is>
      </c>
      <c r="F907" s="2" t="inlineStr">
        <is>
          <t>Home &amp; Kitchen</t>
        </is>
      </c>
      <c r="G907" s="2" t="inlineStr">
        <is>
          <t>West</t>
        </is>
      </c>
      <c r="H907" s="2" t="inlineStr">
        <is>
          <t>Goa</t>
        </is>
      </c>
      <c r="I907" s="2" t="inlineStr">
        <is>
          <t>Margao</t>
        </is>
      </c>
      <c r="J907" s="2" t="inlineStr">
        <is>
          <t>Online</t>
        </is>
      </c>
      <c r="K907" s="2" t="n">
        <v>1</v>
      </c>
      <c r="L907" s="3" t="n">
        <v>726.36</v>
      </c>
      <c r="M907" s="4" t="n">
        <v>0.05</v>
      </c>
      <c r="N907" s="3" t="n">
        <v>477.56</v>
      </c>
      <c r="O907" s="3">
        <f>K907*L907*(1-M907)</f>
        <v/>
      </c>
      <c r="P907" s="3">
        <f>O907-N907</f>
        <v/>
      </c>
      <c r="Q907" s="5">
        <f>IFERROR(P907/O907,0)</f>
        <v/>
      </c>
      <c r="R907" s="2">
        <f>TEXT(DATEVALUE(B907),"mmm")</f>
        <v/>
      </c>
      <c r="S907" s="2">
        <f>TEXT(DATEVALUE(B907),"yyyy-mm")</f>
        <v/>
      </c>
    </row>
    <row r="908">
      <c r="A908" s="2" t="inlineStr">
        <is>
          <t>O001965</t>
        </is>
      </c>
      <c r="B908" s="2" t="inlineStr">
        <is>
          <t>2025-03-07</t>
        </is>
      </c>
      <c r="C908" s="2" t="inlineStr">
        <is>
          <t>C0426</t>
        </is>
      </c>
      <c r="D908" s="2" t="inlineStr">
        <is>
          <t>P0004</t>
        </is>
      </c>
      <c r="E908" s="2" t="inlineStr">
        <is>
          <t>USB-C Hub</t>
        </is>
      </c>
      <c r="F908" s="2" t="inlineStr">
        <is>
          <t>Electronics</t>
        </is>
      </c>
      <c r="G908" s="2" t="inlineStr">
        <is>
          <t>North</t>
        </is>
      </c>
      <c r="H908" s="2" t="inlineStr">
        <is>
          <t>Punjab</t>
        </is>
      </c>
      <c r="I908" s="2" t="inlineStr">
        <is>
          <t>Amritsar</t>
        </is>
      </c>
      <c r="J908" s="2" t="inlineStr">
        <is>
          <t>Online</t>
        </is>
      </c>
      <c r="K908" s="2" t="n">
        <v>1</v>
      </c>
      <c r="L908" s="3" t="n">
        <v>1232.9</v>
      </c>
      <c r="M908" s="4" t="n">
        <v>0</v>
      </c>
      <c r="N908" s="3" t="n">
        <v>928.2</v>
      </c>
      <c r="O908" s="3">
        <f>K908*L908*(1-M908)</f>
        <v/>
      </c>
      <c r="P908" s="3">
        <f>O908-N908</f>
        <v/>
      </c>
      <c r="Q908" s="5">
        <f>IFERROR(P908/O908,0)</f>
        <v/>
      </c>
      <c r="R908" s="2">
        <f>TEXT(DATEVALUE(B908),"mmm")</f>
        <v/>
      </c>
      <c r="S908" s="2">
        <f>TEXT(DATEVALUE(B908),"yyyy-mm")</f>
        <v/>
      </c>
    </row>
    <row r="909">
      <c r="A909" s="2" t="inlineStr">
        <is>
          <t>O001925</t>
        </is>
      </c>
      <c r="B909" s="2" t="inlineStr">
        <is>
          <t>2025-03-07</t>
        </is>
      </c>
      <c r="C909" s="2" t="inlineStr">
        <is>
          <t>C0198</t>
        </is>
      </c>
      <c r="D909" s="2" t="inlineStr">
        <is>
          <t>P0034</t>
        </is>
      </c>
      <c r="E909" s="2" t="inlineStr">
        <is>
          <t>Gym Gloves</t>
        </is>
      </c>
      <c r="F909" s="2" t="inlineStr">
        <is>
          <t>Sports</t>
        </is>
      </c>
      <c r="G909" s="2" t="inlineStr">
        <is>
          <t>South</t>
        </is>
      </c>
      <c r="H909" s="2" t="inlineStr">
        <is>
          <t>Kerala</t>
        </is>
      </c>
      <c r="I909" s="2" t="inlineStr">
        <is>
          <t>Kochi</t>
        </is>
      </c>
      <c r="J909" s="2" t="inlineStr">
        <is>
          <t>Store</t>
        </is>
      </c>
      <c r="K909" s="2" t="n">
        <v>1</v>
      </c>
      <c r="L909" s="3" t="n">
        <v>626.0599999999999</v>
      </c>
      <c r="M909" s="4" t="n">
        <v>0.15</v>
      </c>
      <c r="N909" s="3" t="n">
        <v>401.73</v>
      </c>
      <c r="O909" s="3">
        <f>K909*L909*(1-M909)</f>
        <v/>
      </c>
      <c r="P909" s="3">
        <f>O909-N909</f>
        <v/>
      </c>
      <c r="Q909" s="5">
        <f>IFERROR(P909/O909,0)</f>
        <v/>
      </c>
      <c r="R909" s="2">
        <f>TEXT(DATEVALUE(B909),"mmm")</f>
        <v/>
      </c>
      <c r="S909" s="2">
        <f>TEXT(DATEVALUE(B909),"yyyy-mm")</f>
        <v/>
      </c>
    </row>
    <row r="910">
      <c r="A910" s="2" t="inlineStr">
        <is>
          <t>O000785</t>
        </is>
      </c>
      <c r="B910" s="2" t="inlineStr">
        <is>
          <t>2025-03-07</t>
        </is>
      </c>
      <c r="C910" s="2" t="inlineStr">
        <is>
          <t>C0684</t>
        </is>
      </c>
      <c r="D910" s="2" t="inlineStr">
        <is>
          <t>P0022</t>
        </is>
      </c>
      <c r="E910" s="2" t="inlineStr">
        <is>
          <t>Face Wash</t>
        </is>
      </c>
      <c r="F910" s="2" t="inlineStr">
        <is>
          <t>Beauty</t>
        </is>
      </c>
      <c r="G910" s="2" t="inlineStr">
        <is>
          <t>South</t>
        </is>
      </c>
      <c r="H910" s="2" t="inlineStr">
        <is>
          <t>Karnataka</t>
        </is>
      </c>
      <c r="I910" s="2" t="inlineStr">
        <is>
          <t>Bengaluru</t>
        </is>
      </c>
      <c r="J910" s="2" t="inlineStr">
        <is>
          <t>Store</t>
        </is>
      </c>
      <c r="K910" s="2" t="n">
        <v>6</v>
      </c>
      <c r="L910" s="3" t="n">
        <v>570.16</v>
      </c>
      <c r="M910" s="4" t="n">
        <v>0.15</v>
      </c>
      <c r="N910" s="3" t="n">
        <v>2171.56</v>
      </c>
      <c r="O910" s="3">
        <f>K910*L910*(1-M910)</f>
        <v/>
      </c>
      <c r="P910" s="3">
        <f>O910-N910</f>
        <v/>
      </c>
      <c r="Q910" s="5">
        <f>IFERROR(P910/O910,0)</f>
        <v/>
      </c>
      <c r="R910" s="2">
        <f>TEXT(DATEVALUE(B910),"mmm")</f>
        <v/>
      </c>
      <c r="S910" s="2">
        <f>TEXT(DATEVALUE(B910),"yyyy-mm")</f>
        <v/>
      </c>
    </row>
    <row r="911">
      <c r="A911" s="2" t="inlineStr">
        <is>
          <t>O000159</t>
        </is>
      </c>
      <c r="B911" s="2" t="inlineStr">
        <is>
          <t>2025-03-07</t>
        </is>
      </c>
      <c r="C911" s="2" t="inlineStr">
        <is>
          <t>C0163</t>
        </is>
      </c>
      <c r="D911" s="2" t="inlineStr">
        <is>
          <t>P0009</t>
        </is>
      </c>
      <c r="E911" s="2" t="inlineStr">
        <is>
          <t>Electric Kettle</t>
        </is>
      </c>
      <c r="F911" s="2" t="inlineStr">
        <is>
          <t>Home &amp; Kitchen</t>
        </is>
      </c>
      <c r="G911" s="2" t="inlineStr">
        <is>
          <t>South</t>
        </is>
      </c>
      <c r="H911" s="2" t="inlineStr">
        <is>
          <t>Telangana</t>
        </is>
      </c>
      <c r="I911" s="2" t="inlineStr">
        <is>
          <t>Warangal</t>
        </is>
      </c>
      <c r="J911" s="2" t="inlineStr">
        <is>
          <t>Store</t>
        </is>
      </c>
      <c r="K911" s="2" t="n">
        <v>1</v>
      </c>
      <c r="L911" s="3" t="n">
        <v>2130.39</v>
      </c>
      <c r="M911" s="4" t="n">
        <v>0.1</v>
      </c>
      <c r="N911" s="3" t="n">
        <v>1117.83</v>
      </c>
      <c r="O911" s="3">
        <f>K911*L911*(1-M911)</f>
        <v/>
      </c>
      <c r="P911" s="3">
        <f>O911-N911</f>
        <v/>
      </c>
      <c r="Q911" s="5">
        <f>IFERROR(P911/O911,0)</f>
        <v/>
      </c>
      <c r="R911" s="2">
        <f>TEXT(DATEVALUE(B911),"mmm")</f>
        <v/>
      </c>
      <c r="S911" s="2">
        <f>TEXT(DATEVALUE(B911),"yyyy-mm")</f>
        <v/>
      </c>
    </row>
    <row r="912">
      <c r="A912" s="2" t="inlineStr">
        <is>
          <t>O002351</t>
        </is>
      </c>
      <c r="B912" s="2" t="inlineStr">
        <is>
          <t>2025-03-07</t>
        </is>
      </c>
      <c r="C912" s="2" t="inlineStr">
        <is>
          <t>C0439</t>
        </is>
      </c>
      <c r="D912" s="2" t="inlineStr">
        <is>
          <t>P0016</t>
        </is>
      </c>
      <c r="E912" s="2" t="inlineStr">
        <is>
          <t>Casual Shirt</t>
        </is>
      </c>
      <c r="F912" s="2" t="inlineStr">
        <is>
          <t>Fashion</t>
        </is>
      </c>
      <c r="G912" s="2" t="inlineStr">
        <is>
          <t>East</t>
        </is>
      </c>
      <c r="H912" s="2" t="inlineStr">
        <is>
          <t>West Bengal</t>
        </is>
      </c>
      <c r="I912" s="2" t="inlineStr">
        <is>
          <t>Durgapur</t>
        </is>
      </c>
      <c r="J912" s="2" t="inlineStr">
        <is>
          <t>Online</t>
        </is>
      </c>
      <c r="K912" s="2" t="n">
        <v>1</v>
      </c>
      <c r="L912" s="3" t="n">
        <v>1248.22</v>
      </c>
      <c r="M912" s="4" t="n">
        <v>0.15</v>
      </c>
      <c r="N912" s="3" t="n">
        <v>931.22</v>
      </c>
      <c r="O912" s="3">
        <f>K912*L912*(1-M912)</f>
        <v/>
      </c>
      <c r="P912" s="3">
        <f>O912-N912</f>
        <v/>
      </c>
      <c r="Q912" s="5">
        <f>IFERROR(P912/O912,0)</f>
        <v/>
      </c>
      <c r="R912" s="2">
        <f>TEXT(DATEVALUE(B912),"mmm")</f>
        <v/>
      </c>
      <c r="S912" s="2">
        <f>TEXT(DATEVALUE(B912),"yyyy-mm")</f>
        <v/>
      </c>
    </row>
    <row r="913">
      <c r="A913" s="2" t="inlineStr">
        <is>
          <t>O003576</t>
        </is>
      </c>
      <c r="B913" s="2" t="inlineStr">
        <is>
          <t>2025-03-08</t>
        </is>
      </c>
      <c r="C913" s="2" t="inlineStr">
        <is>
          <t>C0092</t>
        </is>
      </c>
      <c r="D913" s="2" t="inlineStr">
        <is>
          <t>P0008</t>
        </is>
      </c>
      <c r="E913" s="2" t="inlineStr">
        <is>
          <t>Air Fryer</t>
        </is>
      </c>
      <c r="F913" s="2" t="inlineStr">
        <is>
          <t>Home &amp; Kitchen</t>
        </is>
      </c>
      <c r="G913" s="2" t="inlineStr">
        <is>
          <t>West</t>
        </is>
      </c>
      <c r="H913" s="2" t="inlineStr">
        <is>
          <t>Gujarat</t>
        </is>
      </c>
      <c r="I913" s="2" t="inlineStr">
        <is>
          <t>Ahmedabad</t>
        </is>
      </c>
      <c r="J913" s="2" t="inlineStr">
        <is>
          <t>Store</t>
        </is>
      </c>
      <c r="K913" s="2" t="n">
        <v>4</v>
      </c>
      <c r="L913" s="3" t="n">
        <v>1091.27</v>
      </c>
      <c r="M913" s="4" t="n">
        <v>0.05</v>
      </c>
      <c r="N913" s="3" t="n">
        <v>2801.09</v>
      </c>
      <c r="O913" s="3">
        <f>K913*L913*(1-M913)</f>
        <v/>
      </c>
      <c r="P913" s="3">
        <f>O913-N913</f>
        <v/>
      </c>
      <c r="Q913" s="5">
        <f>IFERROR(P913/O913,0)</f>
        <v/>
      </c>
      <c r="R913" s="2">
        <f>TEXT(DATEVALUE(B913),"mmm")</f>
        <v/>
      </c>
      <c r="S913" s="2">
        <f>TEXT(DATEVALUE(B913),"yyyy-mm")</f>
        <v/>
      </c>
    </row>
    <row r="914">
      <c r="A914" s="2" t="inlineStr">
        <is>
          <t>O003404</t>
        </is>
      </c>
      <c r="B914" s="2" t="inlineStr">
        <is>
          <t>2025-03-08</t>
        </is>
      </c>
      <c r="C914" s="2" t="inlineStr">
        <is>
          <t>C0737</t>
        </is>
      </c>
      <c r="D914" s="2" t="inlineStr">
        <is>
          <t>P0016</t>
        </is>
      </c>
      <c r="E914" s="2" t="inlineStr">
        <is>
          <t>Casual Shirt</t>
        </is>
      </c>
      <c r="F914" s="2" t="inlineStr">
        <is>
          <t>Fashion</t>
        </is>
      </c>
      <c r="G914" s="2" t="inlineStr">
        <is>
          <t>West</t>
        </is>
      </c>
      <c r="H914" s="2" t="inlineStr">
        <is>
          <t>Maharashtra</t>
        </is>
      </c>
      <c r="I914" s="2" t="inlineStr">
        <is>
          <t>Nagpur</t>
        </is>
      </c>
      <c r="J914" s="2" t="inlineStr">
        <is>
          <t>Online</t>
        </is>
      </c>
      <c r="K914" s="2" t="n">
        <v>1</v>
      </c>
      <c r="L914" s="3" t="n">
        <v>1301.63</v>
      </c>
      <c r="M914" s="4" t="n">
        <v>0.1</v>
      </c>
      <c r="N914" s="3" t="n">
        <v>886.61</v>
      </c>
      <c r="O914" s="3">
        <f>K914*L914*(1-M914)</f>
        <v/>
      </c>
      <c r="P914" s="3">
        <f>O914-N914</f>
        <v/>
      </c>
      <c r="Q914" s="5">
        <f>IFERROR(P914/O914,0)</f>
        <v/>
      </c>
      <c r="R914" s="2">
        <f>TEXT(DATEVALUE(B914),"mmm")</f>
        <v/>
      </c>
      <c r="S914" s="2">
        <f>TEXT(DATEVALUE(B914),"yyyy-mm")</f>
        <v/>
      </c>
    </row>
    <row r="915">
      <c r="A915" s="2" t="inlineStr">
        <is>
          <t>O003208</t>
        </is>
      </c>
      <c r="B915" s="2" t="inlineStr">
        <is>
          <t>2025-03-08</t>
        </is>
      </c>
      <c r="C915" s="2" t="inlineStr">
        <is>
          <t>C0444</t>
        </is>
      </c>
      <c r="D915" s="2" t="inlineStr">
        <is>
          <t>P0024</t>
        </is>
      </c>
      <c r="E915" s="2" t="inlineStr">
        <is>
          <t>Hair Dryer</t>
        </is>
      </c>
      <c r="F915" s="2" t="inlineStr">
        <is>
          <t>Beauty</t>
        </is>
      </c>
      <c r="G915" s="2" t="inlineStr">
        <is>
          <t>South</t>
        </is>
      </c>
      <c r="H915" s="2" t="inlineStr">
        <is>
          <t>Karnataka</t>
        </is>
      </c>
      <c r="I915" s="2" t="inlineStr">
        <is>
          <t>Mysuru</t>
        </is>
      </c>
      <c r="J915" s="2" t="inlineStr">
        <is>
          <t>Online</t>
        </is>
      </c>
      <c r="K915" s="2" t="n">
        <v>1</v>
      </c>
      <c r="L915" s="3" t="n">
        <v>961.14</v>
      </c>
      <c r="M915" s="4" t="n">
        <v>0.05</v>
      </c>
      <c r="N915" s="3" t="n">
        <v>725.29</v>
      </c>
      <c r="O915" s="3">
        <f>K915*L915*(1-M915)</f>
        <v/>
      </c>
      <c r="P915" s="3">
        <f>O915-N915</f>
        <v/>
      </c>
      <c r="Q915" s="5">
        <f>IFERROR(P915/O915,0)</f>
        <v/>
      </c>
      <c r="R915" s="2">
        <f>TEXT(DATEVALUE(B915),"mmm")</f>
        <v/>
      </c>
      <c r="S915" s="2">
        <f>TEXT(DATEVALUE(B915),"yyyy-mm")</f>
        <v/>
      </c>
    </row>
    <row r="916">
      <c r="A916" s="2" t="inlineStr">
        <is>
          <t>O002380</t>
        </is>
      </c>
      <c r="B916" s="2" t="inlineStr">
        <is>
          <t>2025-03-08</t>
        </is>
      </c>
      <c r="C916" s="2" t="inlineStr">
        <is>
          <t>C0067</t>
        </is>
      </c>
      <c r="D916" s="2" t="inlineStr">
        <is>
          <t>P0009</t>
        </is>
      </c>
      <c r="E916" s="2" t="inlineStr">
        <is>
          <t>Electric Kettle</t>
        </is>
      </c>
      <c r="F916" s="2" t="inlineStr">
        <is>
          <t>Home &amp; Kitchen</t>
        </is>
      </c>
      <c r="G916" s="2" t="inlineStr">
        <is>
          <t>North</t>
        </is>
      </c>
      <c r="H916" s="2" t="inlineStr">
        <is>
          <t>Punjab</t>
        </is>
      </c>
      <c r="I916" s="2" t="inlineStr">
        <is>
          <t>Amritsar</t>
        </is>
      </c>
      <c r="J916" s="2" t="inlineStr">
        <is>
          <t>Online</t>
        </is>
      </c>
      <c r="K916" s="2" t="n">
        <v>2</v>
      </c>
      <c r="L916" s="3" t="n">
        <v>2025.85</v>
      </c>
      <c r="M916" s="4" t="n">
        <v>0.05</v>
      </c>
      <c r="N916" s="3" t="n">
        <v>2271.4</v>
      </c>
      <c r="O916" s="3">
        <f>K916*L916*(1-M916)</f>
        <v/>
      </c>
      <c r="P916" s="3">
        <f>O916-N916</f>
        <v/>
      </c>
      <c r="Q916" s="5">
        <f>IFERROR(P916/O916,0)</f>
        <v/>
      </c>
      <c r="R916" s="2">
        <f>TEXT(DATEVALUE(B916),"mmm")</f>
        <v/>
      </c>
      <c r="S916" s="2">
        <f>TEXT(DATEVALUE(B916),"yyyy-mm")</f>
        <v/>
      </c>
    </row>
    <row r="917">
      <c r="A917" s="2" t="inlineStr">
        <is>
          <t>O003077</t>
        </is>
      </c>
      <c r="B917" s="2" t="inlineStr">
        <is>
          <t>2025-03-08</t>
        </is>
      </c>
      <c r="C917" s="2" t="inlineStr">
        <is>
          <t>C0584</t>
        </is>
      </c>
      <c r="D917" s="2" t="inlineStr">
        <is>
          <t>P0027</t>
        </is>
      </c>
      <c r="E917" s="2" t="inlineStr">
        <is>
          <t>Moisturizer</t>
        </is>
      </c>
      <c r="F917" s="2" t="inlineStr">
        <is>
          <t>Beauty</t>
        </is>
      </c>
      <c r="G917" s="2" t="inlineStr">
        <is>
          <t>North</t>
        </is>
      </c>
      <c r="H917" s="2" t="inlineStr">
        <is>
          <t>Punjab</t>
        </is>
      </c>
      <c r="I917" s="2" t="inlineStr">
        <is>
          <t>Ludhiana</t>
        </is>
      </c>
      <c r="J917" s="2" t="inlineStr">
        <is>
          <t>Store</t>
        </is>
      </c>
      <c r="K917" s="2" t="n">
        <v>3</v>
      </c>
      <c r="L917" s="3" t="n">
        <v>951.75</v>
      </c>
      <c r="M917" s="4" t="n">
        <v>0.05</v>
      </c>
      <c r="N917" s="3" t="n">
        <v>2105.23</v>
      </c>
      <c r="O917" s="3">
        <f>K917*L917*(1-M917)</f>
        <v/>
      </c>
      <c r="P917" s="3">
        <f>O917-N917</f>
        <v/>
      </c>
      <c r="Q917" s="5">
        <f>IFERROR(P917/O917,0)</f>
        <v/>
      </c>
      <c r="R917" s="2">
        <f>TEXT(DATEVALUE(B917),"mmm")</f>
        <v/>
      </c>
      <c r="S917" s="2">
        <f>TEXT(DATEVALUE(B917),"yyyy-mm")</f>
        <v/>
      </c>
    </row>
    <row r="918">
      <c r="A918" s="2" t="inlineStr">
        <is>
          <t>O001262</t>
        </is>
      </c>
      <c r="B918" s="2" t="inlineStr">
        <is>
          <t>2025-03-08</t>
        </is>
      </c>
      <c r="C918" s="2" t="inlineStr">
        <is>
          <t>C0244</t>
        </is>
      </c>
      <c r="D918" s="2" t="inlineStr">
        <is>
          <t>P0007</t>
        </is>
      </c>
      <c r="E918" s="2" t="inlineStr">
        <is>
          <t>Wireless Mouse</t>
        </is>
      </c>
      <c r="F918" s="2" t="inlineStr">
        <is>
          <t>Electronics</t>
        </is>
      </c>
      <c r="G918" s="2" t="inlineStr">
        <is>
          <t>West</t>
        </is>
      </c>
      <c r="H918" s="2" t="inlineStr">
        <is>
          <t>Goa</t>
        </is>
      </c>
      <c r="I918" s="2" t="inlineStr">
        <is>
          <t>Margao</t>
        </is>
      </c>
      <c r="J918" s="2" t="inlineStr">
        <is>
          <t>Online</t>
        </is>
      </c>
      <c r="K918" s="2" t="n">
        <v>3</v>
      </c>
      <c r="L918" s="3" t="n">
        <v>951.26</v>
      </c>
      <c r="M918" s="4" t="n">
        <v>0.05</v>
      </c>
      <c r="N918" s="3" t="n">
        <v>1846.56</v>
      </c>
      <c r="O918" s="3">
        <f>K918*L918*(1-M918)</f>
        <v/>
      </c>
      <c r="P918" s="3">
        <f>O918-N918</f>
        <v/>
      </c>
      <c r="Q918" s="5">
        <f>IFERROR(P918/O918,0)</f>
        <v/>
      </c>
      <c r="R918" s="2">
        <f>TEXT(DATEVALUE(B918),"mmm")</f>
        <v/>
      </c>
      <c r="S918" s="2">
        <f>TEXT(DATEVALUE(B918),"yyyy-mm")</f>
        <v/>
      </c>
    </row>
    <row r="919">
      <c r="A919" s="2" t="inlineStr">
        <is>
          <t>O001075</t>
        </is>
      </c>
      <c r="B919" s="2" t="inlineStr">
        <is>
          <t>2025-03-08</t>
        </is>
      </c>
      <c r="C919" s="2" t="inlineStr">
        <is>
          <t>C0736</t>
        </is>
      </c>
      <c r="D919" s="2" t="inlineStr">
        <is>
          <t>P0011</t>
        </is>
      </c>
      <c r="E919" s="2" t="inlineStr">
        <is>
          <t>Cookware Set</t>
        </is>
      </c>
      <c r="F919" s="2" t="inlineStr">
        <is>
          <t>Home &amp; Kitchen</t>
        </is>
      </c>
      <c r="G919" s="2" t="inlineStr">
        <is>
          <t>South</t>
        </is>
      </c>
      <c r="H919" s="2" t="inlineStr">
        <is>
          <t>Tamil Nadu</t>
        </is>
      </c>
      <c r="I919" s="2" t="inlineStr">
        <is>
          <t>Madurai</t>
        </is>
      </c>
      <c r="J919" s="2" t="inlineStr">
        <is>
          <t>Online</t>
        </is>
      </c>
      <c r="K919" s="2" t="n">
        <v>2</v>
      </c>
      <c r="L919" s="3" t="n">
        <v>693.47</v>
      </c>
      <c r="M919" s="4" t="n">
        <v>0.15</v>
      </c>
      <c r="N919" s="3" t="n">
        <v>965.9299999999999</v>
      </c>
      <c r="O919" s="3">
        <f>K919*L919*(1-M919)</f>
        <v/>
      </c>
      <c r="P919" s="3">
        <f>O919-N919</f>
        <v/>
      </c>
      <c r="Q919" s="5">
        <f>IFERROR(P919/O919,0)</f>
        <v/>
      </c>
      <c r="R919" s="2">
        <f>TEXT(DATEVALUE(B919),"mmm")</f>
        <v/>
      </c>
      <c r="S919" s="2">
        <f>TEXT(DATEVALUE(B919),"yyyy-mm")</f>
        <v/>
      </c>
    </row>
    <row r="920">
      <c r="A920" s="2" t="inlineStr">
        <is>
          <t>O000921</t>
        </is>
      </c>
      <c r="B920" s="2" t="inlineStr">
        <is>
          <t>2025-03-08</t>
        </is>
      </c>
      <c r="C920" s="2" t="inlineStr">
        <is>
          <t>C0298</t>
        </is>
      </c>
      <c r="D920" s="2" t="inlineStr">
        <is>
          <t>P0009</t>
        </is>
      </c>
      <c r="E920" s="2" t="inlineStr">
        <is>
          <t>Electric Kettle</t>
        </is>
      </c>
      <c r="F920" s="2" t="inlineStr">
        <is>
          <t>Home &amp; Kitchen</t>
        </is>
      </c>
      <c r="G920" s="2" t="inlineStr">
        <is>
          <t>South</t>
        </is>
      </c>
      <c r="H920" s="2" t="inlineStr">
        <is>
          <t>Kerala</t>
        </is>
      </c>
      <c r="I920" s="2" t="inlineStr">
        <is>
          <t>Thiruvananthapuram</t>
        </is>
      </c>
      <c r="J920" s="2" t="inlineStr">
        <is>
          <t>Online</t>
        </is>
      </c>
      <c r="K920" s="2" t="n">
        <v>4</v>
      </c>
      <c r="L920" s="3" t="n">
        <v>2023.52</v>
      </c>
      <c r="M920" s="4" t="n">
        <v>0</v>
      </c>
      <c r="N920" s="3" t="n">
        <v>4535.64</v>
      </c>
      <c r="O920" s="3">
        <f>K920*L920*(1-M920)</f>
        <v/>
      </c>
      <c r="P920" s="3">
        <f>O920-N920</f>
        <v/>
      </c>
      <c r="Q920" s="5">
        <f>IFERROR(P920/O920,0)</f>
        <v/>
      </c>
      <c r="R920" s="2">
        <f>TEXT(DATEVALUE(B920),"mmm")</f>
        <v/>
      </c>
      <c r="S920" s="2">
        <f>TEXT(DATEVALUE(B920),"yyyy-mm")</f>
        <v/>
      </c>
    </row>
    <row r="921">
      <c r="A921" s="2" t="inlineStr">
        <is>
          <t>O002290</t>
        </is>
      </c>
      <c r="B921" s="2" t="inlineStr">
        <is>
          <t>2025-03-08</t>
        </is>
      </c>
      <c r="C921" s="2" t="inlineStr">
        <is>
          <t>C0400</t>
        </is>
      </c>
      <c r="D921" s="2" t="inlineStr">
        <is>
          <t>P0022</t>
        </is>
      </c>
      <c r="E921" s="2" t="inlineStr">
        <is>
          <t>Face Wash</t>
        </is>
      </c>
      <c r="F921" s="2" t="inlineStr">
        <is>
          <t>Beauty</t>
        </is>
      </c>
      <c r="G921" s="2" t="inlineStr">
        <is>
          <t>West</t>
        </is>
      </c>
      <c r="H921" s="2" t="inlineStr">
        <is>
          <t>Goa</t>
        </is>
      </c>
      <c r="I921" s="2" t="inlineStr">
        <is>
          <t>Panaji</t>
        </is>
      </c>
      <c r="J921" s="2" t="inlineStr">
        <is>
          <t>Online</t>
        </is>
      </c>
      <c r="K921" s="2" t="n">
        <v>3</v>
      </c>
      <c r="L921" s="3" t="n">
        <v>552.01</v>
      </c>
      <c r="M921" s="4" t="n">
        <v>0.05</v>
      </c>
      <c r="N921" s="3" t="n">
        <v>1042.06</v>
      </c>
      <c r="O921" s="3">
        <f>K921*L921*(1-M921)</f>
        <v/>
      </c>
      <c r="P921" s="3">
        <f>O921-N921</f>
        <v/>
      </c>
      <c r="Q921" s="5">
        <f>IFERROR(P921/O921,0)</f>
        <v/>
      </c>
      <c r="R921" s="2">
        <f>TEXT(DATEVALUE(B921),"mmm")</f>
        <v/>
      </c>
      <c r="S921" s="2">
        <f>TEXT(DATEVALUE(B921),"yyyy-mm")</f>
        <v/>
      </c>
    </row>
    <row r="922">
      <c r="A922" s="2" t="inlineStr">
        <is>
          <t>O003438</t>
        </is>
      </c>
      <c r="B922" s="2" t="inlineStr">
        <is>
          <t>2025-03-09</t>
        </is>
      </c>
      <c r="C922" s="2" t="inlineStr">
        <is>
          <t>C0739</t>
        </is>
      </c>
      <c r="D922" s="2" t="inlineStr">
        <is>
          <t>P0016</t>
        </is>
      </c>
      <c r="E922" s="2" t="inlineStr">
        <is>
          <t>Casual Shirt</t>
        </is>
      </c>
      <c r="F922" s="2" t="inlineStr">
        <is>
          <t>Fashion</t>
        </is>
      </c>
      <c r="G922" s="2" t="inlineStr">
        <is>
          <t>West</t>
        </is>
      </c>
      <c r="H922" s="2" t="inlineStr">
        <is>
          <t>Goa</t>
        </is>
      </c>
      <c r="I922" s="2" t="inlineStr">
        <is>
          <t>Margao</t>
        </is>
      </c>
      <c r="J922" s="2" t="inlineStr">
        <is>
          <t>Online</t>
        </is>
      </c>
      <c r="K922" s="2" t="n">
        <v>2</v>
      </c>
      <c r="L922" s="3" t="n">
        <v>1300.9</v>
      </c>
      <c r="M922" s="4" t="n">
        <v>0.2</v>
      </c>
      <c r="N922" s="3" t="n">
        <v>1812.93</v>
      </c>
      <c r="O922" s="3">
        <f>K922*L922*(1-M922)</f>
        <v/>
      </c>
      <c r="P922" s="3">
        <f>O922-N922</f>
        <v/>
      </c>
      <c r="Q922" s="5">
        <f>IFERROR(P922/O922,0)</f>
        <v/>
      </c>
      <c r="R922" s="2">
        <f>TEXT(DATEVALUE(B922),"mmm")</f>
        <v/>
      </c>
      <c r="S922" s="2">
        <f>TEXT(DATEVALUE(B922),"yyyy-mm")</f>
        <v/>
      </c>
    </row>
    <row r="923">
      <c r="A923" s="2" t="inlineStr">
        <is>
          <t>O004372</t>
        </is>
      </c>
      <c r="B923" s="2" t="inlineStr">
        <is>
          <t>2025-03-09</t>
        </is>
      </c>
      <c r="C923" s="2" t="inlineStr">
        <is>
          <t>C0003</t>
        </is>
      </c>
      <c r="D923" s="2" t="inlineStr">
        <is>
          <t>P0020</t>
        </is>
      </c>
      <c r="E923" s="2" t="inlineStr">
        <is>
          <t>Sneakers</t>
        </is>
      </c>
      <c r="F923" s="2" t="inlineStr">
        <is>
          <t>Fashion</t>
        </is>
      </c>
      <c r="G923" s="2" t="inlineStr">
        <is>
          <t>North</t>
        </is>
      </c>
      <c r="H923" s="2" t="inlineStr">
        <is>
          <t>Uttar Pradesh</t>
        </is>
      </c>
      <c r="I923" s="2" t="inlineStr">
        <is>
          <t>Varanasi</t>
        </is>
      </c>
      <c r="J923" s="2" t="inlineStr">
        <is>
          <t>Store</t>
        </is>
      </c>
      <c r="K923" s="2" t="n">
        <v>1</v>
      </c>
      <c r="L923" s="3" t="n">
        <v>1911.82</v>
      </c>
      <c r="M923" s="4" t="n">
        <v>0.05</v>
      </c>
      <c r="N923" s="3" t="n">
        <v>1484.93</v>
      </c>
      <c r="O923" s="3">
        <f>K923*L923*(1-M923)</f>
        <v/>
      </c>
      <c r="P923" s="3">
        <f>O923-N923</f>
        <v/>
      </c>
      <c r="Q923" s="5">
        <f>IFERROR(P923/O923,0)</f>
        <v/>
      </c>
      <c r="R923" s="2">
        <f>TEXT(DATEVALUE(B923),"mmm")</f>
        <v/>
      </c>
      <c r="S923" s="2">
        <f>TEXT(DATEVALUE(B923),"yyyy-mm")</f>
        <v/>
      </c>
    </row>
    <row r="924">
      <c r="A924" s="2" t="inlineStr">
        <is>
          <t>O004065</t>
        </is>
      </c>
      <c r="B924" s="2" t="inlineStr">
        <is>
          <t>2025-03-09</t>
        </is>
      </c>
      <c r="C924" s="2" t="inlineStr">
        <is>
          <t>C0016</t>
        </is>
      </c>
      <c r="D924" s="2" t="inlineStr">
        <is>
          <t>P0002</t>
        </is>
      </c>
      <c r="E924" s="2" t="inlineStr">
        <is>
          <t>Bluetooth Speaker</t>
        </is>
      </c>
      <c r="F924" s="2" t="inlineStr">
        <is>
          <t>Electronics</t>
        </is>
      </c>
      <c r="G924" s="2" t="inlineStr">
        <is>
          <t>West</t>
        </is>
      </c>
      <c r="H924" s="2" t="inlineStr">
        <is>
          <t>Goa</t>
        </is>
      </c>
      <c r="I924" s="2" t="inlineStr">
        <is>
          <t>Panaji</t>
        </is>
      </c>
      <c r="J924" s="2" t="inlineStr">
        <is>
          <t>Store</t>
        </is>
      </c>
      <c r="K924" s="2" t="n">
        <v>1</v>
      </c>
      <c r="L924" s="3" t="n">
        <v>1332.17</v>
      </c>
      <c r="M924" s="4" t="n">
        <v>0</v>
      </c>
      <c r="N924" s="3" t="n">
        <v>852.34</v>
      </c>
      <c r="O924" s="3">
        <f>K924*L924*(1-M924)</f>
        <v/>
      </c>
      <c r="P924" s="3">
        <f>O924-N924</f>
        <v/>
      </c>
      <c r="Q924" s="5">
        <f>IFERROR(P924/O924,0)</f>
        <v/>
      </c>
      <c r="R924" s="2">
        <f>TEXT(DATEVALUE(B924),"mmm")</f>
        <v/>
      </c>
      <c r="S924" s="2">
        <f>TEXT(DATEVALUE(B924),"yyyy-mm")</f>
        <v/>
      </c>
    </row>
    <row r="925">
      <c r="A925" s="2" t="inlineStr">
        <is>
          <t>O003949</t>
        </is>
      </c>
      <c r="B925" s="2" t="inlineStr">
        <is>
          <t>2025-03-09</t>
        </is>
      </c>
      <c r="C925" s="2" t="inlineStr">
        <is>
          <t>C0782</t>
        </is>
      </c>
      <c r="D925" s="2" t="inlineStr">
        <is>
          <t>P0005</t>
        </is>
      </c>
      <c r="E925" s="2" t="inlineStr">
        <is>
          <t>Power Bank</t>
        </is>
      </c>
      <c r="F925" s="2" t="inlineStr">
        <is>
          <t>Electronics</t>
        </is>
      </c>
      <c r="G925" s="2" t="inlineStr">
        <is>
          <t>West</t>
        </is>
      </c>
      <c r="H925" s="2" t="inlineStr">
        <is>
          <t>Gujarat</t>
        </is>
      </c>
      <c r="I925" s="2" t="inlineStr">
        <is>
          <t>Surat</t>
        </is>
      </c>
      <c r="J925" s="2" t="inlineStr">
        <is>
          <t>Store</t>
        </is>
      </c>
      <c r="K925" s="2" t="n">
        <v>2</v>
      </c>
      <c r="L925" s="3" t="n">
        <v>1156.42</v>
      </c>
      <c r="M925" s="4" t="n">
        <v>0.2</v>
      </c>
      <c r="N925" s="3" t="n">
        <v>1317.21</v>
      </c>
      <c r="O925" s="3">
        <f>K925*L925*(1-M925)</f>
        <v/>
      </c>
      <c r="P925" s="3">
        <f>O925-N925</f>
        <v/>
      </c>
      <c r="Q925" s="5">
        <f>IFERROR(P925/O925,0)</f>
        <v/>
      </c>
      <c r="R925" s="2">
        <f>TEXT(DATEVALUE(B925),"mmm")</f>
        <v/>
      </c>
      <c r="S925" s="2">
        <f>TEXT(DATEVALUE(B925),"yyyy-mm")</f>
        <v/>
      </c>
    </row>
    <row r="926">
      <c r="A926" s="2" t="inlineStr">
        <is>
          <t>O004854</t>
        </is>
      </c>
      <c r="B926" s="2" t="inlineStr">
        <is>
          <t>2025-03-09</t>
        </is>
      </c>
      <c r="C926" s="2" t="inlineStr">
        <is>
          <t>C0706</t>
        </is>
      </c>
      <c r="D926" s="2" t="inlineStr">
        <is>
          <t>P0011</t>
        </is>
      </c>
      <c r="E926" s="2" t="inlineStr">
        <is>
          <t>Cookware Set</t>
        </is>
      </c>
      <c r="F926" s="2" t="inlineStr">
        <is>
          <t>Home &amp; Kitchen</t>
        </is>
      </c>
      <c r="G926" s="2" t="inlineStr">
        <is>
          <t>South</t>
        </is>
      </c>
      <c r="H926" s="2" t="inlineStr">
        <is>
          <t>Karnataka</t>
        </is>
      </c>
      <c r="I926" s="2" t="inlineStr">
        <is>
          <t>Bengaluru</t>
        </is>
      </c>
      <c r="J926" s="2" t="inlineStr">
        <is>
          <t>Online</t>
        </is>
      </c>
      <c r="K926" s="2" t="n">
        <v>2</v>
      </c>
      <c r="L926" s="3" t="n">
        <v>679.4</v>
      </c>
      <c r="M926" s="4" t="n">
        <v>0.1</v>
      </c>
      <c r="N926" s="3" t="n">
        <v>933.75</v>
      </c>
      <c r="O926" s="3">
        <f>K926*L926*(1-M926)</f>
        <v/>
      </c>
      <c r="P926" s="3">
        <f>O926-N926</f>
        <v/>
      </c>
      <c r="Q926" s="5">
        <f>IFERROR(P926/O926,0)</f>
        <v/>
      </c>
      <c r="R926" s="2">
        <f>TEXT(DATEVALUE(B926),"mmm")</f>
        <v/>
      </c>
      <c r="S926" s="2">
        <f>TEXT(DATEVALUE(B926),"yyyy-mm")</f>
        <v/>
      </c>
    </row>
    <row r="927">
      <c r="A927" s="2" t="inlineStr">
        <is>
          <t>O003892</t>
        </is>
      </c>
      <c r="B927" s="2" t="inlineStr">
        <is>
          <t>2025-03-09</t>
        </is>
      </c>
      <c r="C927" s="2" t="inlineStr">
        <is>
          <t>C0289</t>
        </is>
      </c>
      <c r="D927" s="2" t="inlineStr">
        <is>
          <t>P0011</t>
        </is>
      </c>
      <c r="E927" s="2" t="inlineStr">
        <is>
          <t>Cookware Set</t>
        </is>
      </c>
      <c r="F927" s="2" t="inlineStr">
        <is>
          <t>Home &amp; Kitchen</t>
        </is>
      </c>
      <c r="G927" s="2" t="inlineStr">
        <is>
          <t>South</t>
        </is>
      </c>
      <c r="H927" s="2" t="inlineStr">
        <is>
          <t>Karnataka</t>
        </is>
      </c>
      <c r="I927" s="2" t="inlineStr">
        <is>
          <t>Mangaluru</t>
        </is>
      </c>
      <c r="J927" s="2" t="inlineStr">
        <is>
          <t>Online</t>
        </is>
      </c>
      <c r="K927" s="2" t="n">
        <v>2</v>
      </c>
      <c r="L927" s="3" t="n">
        <v>675.49</v>
      </c>
      <c r="M927" s="4" t="n">
        <v>0.15</v>
      </c>
      <c r="N927" s="3" t="n">
        <v>944.8099999999999</v>
      </c>
      <c r="O927" s="3">
        <f>K927*L927*(1-M927)</f>
        <v/>
      </c>
      <c r="P927" s="3">
        <f>O927-N927</f>
        <v/>
      </c>
      <c r="Q927" s="5">
        <f>IFERROR(P927/O927,0)</f>
        <v/>
      </c>
      <c r="R927" s="2">
        <f>TEXT(DATEVALUE(B927),"mmm")</f>
        <v/>
      </c>
      <c r="S927" s="2">
        <f>TEXT(DATEVALUE(B927),"yyyy-mm")</f>
        <v/>
      </c>
    </row>
    <row r="928">
      <c r="A928" s="2" t="inlineStr">
        <is>
          <t>O003151</t>
        </is>
      </c>
      <c r="B928" s="2" t="inlineStr">
        <is>
          <t>2025-03-09</t>
        </is>
      </c>
      <c r="C928" s="2" t="inlineStr">
        <is>
          <t>C0213</t>
        </is>
      </c>
      <c r="D928" s="2" t="inlineStr">
        <is>
          <t>P0032</t>
        </is>
      </c>
      <c r="E928" s="2" t="inlineStr">
        <is>
          <t>Football</t>
        </is>
      </c>
      <c r="F928" s="2" t="inlineStr">
        <is>
          <t>Sports</t>
        </is>
      </c>
      <c r="G928" s="2" t="inlineStr">
        <is>
          <t>West</t>
        </is>
      </c>
      <c r="H928" s="2" t="inlineStr">
        <is>
          <t>Gujarat</t>
        </is>
      </c>
      <c r="I928" s="2" t="inlineStr">
        <is>
          <t>Ahmedabad</t>
        </is>
      </c>
      <c r="J928" s="2" t="inlineStr">
        <is>
          <t>Store</t>
        </is>
      </c>
      <c r="K928" s="2" t="n">
        <v>3</v>
      </c>
      <c r="L928" s="3" t="n">
        <v>834.83</v>
      </c>
      <c r="M928" s="4" t="n">
        <v>0</v>
      </c>
      <c r="N928" s="3" t="n">
        <v>1606.51</v>
      </c>
      <c r="O928" s="3">
        <f>K928*L928*(1-M928)</f>
        <v/>
      </c>
      <c r="P928" s="3">
        <f>O928-N928</f>
        <v/>
      </c>
      <c r="Q928" s="5">
        <f>IFERROR(P928/O928,0)</f>
        <v/>
      </c>
      <c r="R928" s="2">
        <f>TEXT(DATEVALUE(B928),"mmm")</f>
        <v/>
      </c>
      <c r="S928" s="2">
        <f>TEXT(DATEVALUE(B928),"yyyy-mm")</f>
        <v/>
      </c>
    </row>
    <row r="929">
      <c r="A929" s="2" t="inlineStr">
        <is>
          <t>O002217</t>
        </is>
      </c>
      <c r="B929" s="2" t="inlineStr">
        <is>
          <t>2025-03-09</t>
        </is>
      </c>
      <c r="C929" s="2" t="inlineStr">
        <is>
          <t>C0060</t>
        </is>
      </c>
      <c r="D929" s="2" t="inlineStr">
        <is>
          <t>P0001</t>
        </is>
      </c>
      <c r="E929" s="2" t="inlineStr">
        <is>
          <t>Wireless Headphones</t>
        </is>
      </c>
      <c r="F929" s="2" t="inlineStr">
        <is>
          <t>Electronics</t>
        </is>
      </c>
      <c r="G929" s="2" t="inlineStr">
        <is>
          <t>West</t>
        </is>
      </c>
      <c r="H929" s="2" t="inlineStr">
        <is>
          <t>Maharashtra</t>
        </is>
      </c>
      <c r="I929" s="2" t="inlineStr">
        <is>
          <t>Thane</t>
        </is>
      </c>
      <c r="J929" s="2" t="inlineStr">
        <is>
          <t>Store</t>
        </is>
      </c>
      <c r="K929" s="2" t="n">
        <v>1</v>
      </c>
      <c r="L929" s="3" t="n">
        <v>1338.9</v>
      </c>
      <c r="M929" s="4" t="n">
        <v>0</v>
      </c>
      <c r="N929" s="3" t="n">
        <v>715.7</v>
      </c>
      <c r="O929" s="3">
        <f>K929*L929*(1-M929)</f>
        <v/>
      </c>
      <c r="P929" s="3">
        <f>O929-N929</f>
        <v/>
      </c>
      <c r="Q929" s="5">
        <f>IFERROR(P929/O929,0)</f>
        <v/>
      </c>
      <c r="R929" s="2">
        <f>TEXT(DATEVALUE(B929),"mmm")</f>
        <v/>
      </c>
      <c r="S929" s="2">
        <f>TEXT(DATEVALUE(B929),"yyyy-mm")</f>
        <v/>
      </c>
    </row>
    <row r="930">
      <c r="A930" s="2" t="inlineStr">
        <is>
          <t>O002411</t>
        </is>
      </c>
      <c r="B930" s="2" t="inlineStr">
        <is>
          <t>2025-03-09</t>
        </is>
      </c>
      <c r="C930" s="2" t="inlineStr">
        <is>
          <t>C0081</t>
        </is>
      </c>
      <c r="D930" s="2" t="inlineStr">
        <is>
          <t>P0015</t>
        </is>
      </c>
      <c r="E930" s="2" t="inlineStr">
        <is>
          <t>Running Shoes</t>
        </is>
      </c>
      <c r="F930" s="2" t="inlineStr">
        <is>
          <t>Fashion</t>
        </is>
      </c>
      <c r="G930" s="2" t="inlineStr">
        <is>
          <t>South</t>
        </is>
      </c>
      <c r="H930" s="2" t="inlineStr">
        <is>
          <t>Telangana</t>
        </is>
      </c>
      <c r="I930" s="2" t="inlineStr">
        <is>
          <t>Warangal</t>
        </is>
      </c>
      <c r="J930" s="2" t="inlineStr">
        <is>
          <t>Store</t>
        </is>
      </c>
      <c r="K930" s="2" t="n">
        <v>2</v>
      </c>
      <c r="L930" s="3" t="n">
        <v>581.4299999999999</v>
      </c>
      <c r="M930" s="4" t="n">
        <v>0.15</v>
      </c>
      <c r="N930" s="3" t="n">
        <v>761.89</v>
      </c>
      <c r="O930" s="3">
        <f>K930*L930*(1-M930)</f>
        <v/>
      </c>
      <c r="P930" s="3">
        <f>O930-N930</f>
        <v/>
      </c>
      <c r="Q930" s="5">
        <f>IFERROR(P930/O930,0)</f>
        <v/>
      </c>
      <c r="R930" s="2">
        <f>TEXT(DATEVALUE(B930),"mmm")</f>
        <v/>
      </c>
      <c r="S930" s="2">
        <f>TEXT(DATEVALUE(B930),"yyyy-mm")</f>
        <v/>
      </c>
    </row>
    <row r="931">
      <c r="A931" s="2" t="inlineStr">
        <is>
          <t>O002261</t>
        </is>
      </c>
      <c r="B931" s="2" t="inlineStr">
        <is>
          <t>2025-03-09</t>
        </is>
      </c>
      <c r="C931" s="2" t="inlineStr">
        <is>
          <t>C0586</t>
        </is>
      </c>
      <c r="D931" s="2" t="inlineStr">
        <is>
          <t>P0014</t>
        </is>
      </c>
      <c r="E931" s="2" t="inlineStr">
        <is>
          <t>Coffee Maker</t>
        </is>
      </c>
      <c r="F931" s="2" t="inlineStr">
        <is>
          <t>Home &amp; Kitchen</t>
        </is>
      </c>
      <c r="G931" s="2" t="inlineStr">
        <is>
          <t>North</t>
        </is>
      </c>
      <c r="H931" s="2" t="inlineStr">
        <is>
          <t>Uttar Pradesh</t>
        </is>
      </c>
      <c r="I931" s="2" t="inlineStr">
        <is>
          <t>Kanpur</t>
        </is>
      </c>
      <c r="J931" s="2" t="inlineStr">
        <is>
          <t>Online</t>
        </is>
      </c>
      <c r="K931" s="2" t="n">
        <v>1</v>
      </c>
      <c r="L931" s="3" t="n">
        <v>1034.48</v>
      </c>
      <c r="M931" s="4" t="n">
        <v>0</v>
      </c>
      <c r="N931" s="3" t="n">
        <v>769.4</v>
      </c>
      <c r="O931" s="3">
        <f>K931*L931*(1-M931)</f>
        <v/>
      </c>
      <c r="P931" s="3">
        <f>O931-N931</f>
        <v/>
      </c>
      <c r="Q931" s="5">
        <f>IFERROR(P931/O931,0)</f>
        <v/>
      </c>
      <c r="R931" s="2">
        <f>TEXT(DATEVALUE(B931),"mmm")</f>
        <v/>
      </c>
      <c r="S931" s="2">
        <f>TEXT(DATEVALUE(B931),"yyyy-mm")</f>
        <v/>
      </c>
    </row>
    <row r="932">
      <c r="A932" s="2" t="inlineStr">
        <is>
          <t>O001585</t>
        </is>
      </c>
      <c r="B932" s="2" t="inlineStr">
        <is>
          <t>2025-03-09</t>
        </is>
      </c>
      <c r="C932" s="2" t="inlineStr">
        <is>
          <t>C0175</t>
        </is>
      </c>
      <c r="D932" s="2" t="inlineStr">
        <is>
          <t>P0021</t>
        </is>
      </c>
      <c r="E932" s="2" t="inlineStr">
        <is>
          <t>Wallet</t>
        </is>
      </c>
      <c r="F932" s="2" t="inlineStr">
        <is>
          <t>Fashion</t>
        </is>
      </c>
      <c r="G932" s="2" t="inlineStr">
        <is>
          <t>North</t>
        </is>
      </c>
      <c r="H932" s="2" t="inlineStr">
        <is>
          <t>Punjab</t>
        </is>
      </c>
      <c r="I932" s="2" t="inlineStr">
        <is>
          <t>Amritsar</t>
        </is>
      </c>
      <c r="J932" s="2" t="inlineStr">
        <is>
          <t>Online</t>
        </is>
      </c>
      <c r="K932" s="2" t="n">
        <v>1</v>
      </c>
      <c r="L932" s="3" t="n">
        <v>2073.48</v>
      </c>
      <c r="M932" s="4" t="n">
        <v>0.1</v>
      </c>
      <c r="N932" s="3" t="n">
        <v>1202.81</v>
      </c>
      <c r="O932" s="3">
        <f>K932*L932*(1-M932)</f>
        <v/>
      </c>
      <c r="P932" s="3">
        <f>O932-N932</f>
        <v/>
      </c>
      <c r="Q932" s="5">
        <f>IFERROR(P932/O932,0)</f>
        <v/>
      </c>
      <c r="R932" s="2">
        <f>TEXT(DATEVALUE(B932),"mmm")</f>
        <v/>
      </c>
      <c r="S932" s="2">
        <f>TEXT(DATEVALUE(B932),"yyyy-mm")</f>
        <v/>
      </c>
    </row>
    <row r="933">
      <c r="A933" s="2" t="inlineStr">
        <is>
          <t>O000920</t>
        </is>
      </c>
      <c r="B933" s="2" t="inlineStr">
        <is>
          <t>2025-03-09</t>
        </is>
      </c>
      <c r="C933" s="2" t="inlineStr">
        <is>
          <t>C0182</t>
        </is>
      </c>
      <c r="D933" s="2" t="inlineStr">
        <is>
          <t>P0030</t>
        </is>
      </c>
      <c r="E933" s="2" t="inlineStr">
        <is>
          <t>Dumbbells</t>
        </is>
      </c>
      <c r="F933" s="2" t="inlineStr">
        <is>
          <t>Sports</t>
        </is>
      </c>
      <c r="G933" s="2" t="inlineStr">
        <is>
          <t>North</t>
        </is>
      </c>
      <c r="H933" s="2" t="inlineStr">
        <is>
          <t>Uttar Pradesh</t>
        </is>
      </c>
      <c r="I933" s="2" t="inlineStr">
        <is>
          <t>Varanasi</t>
        </is>
      </c>
      <c r="J933" s="2" t="inlineStr">
        <is>
          <t>Online</t>
        </is>
      </c>
      <c r="K933" s="2" t="n">
        <v>6</v>
      </c>
      <c r="L933" s="3" t="n">
        <v>1616.27</v>
      </c>
      <c r="M933" s="4" t="n">
        <v>0</v>
      </c>
      <c r="N933" s="3" t="n">
        <v>6230.49</v>
      </c>
      <c r="O933" s="3">
        <f>K933*L933*(1-M933)</f>
        <v/>
      </c>
      <c r="P933" s="3">
        <f>O933-N933</f>
        <v/>
      </c>
      <c r="Q933" s="5">
        <f>IFERROR(P933/O933,0)</f>
        <v/>
      </c>
      <c r="R933" s="2">
        <f>TEXT(DATEVALUE(B933),"mmm")</f>
        <v/>
      </c>
      <c r="S933" s="2">
        <f>TEXT(DATEVALUE(B933),"yyyy-mm")</f>
        <v/>
      </c>
    </row>
    <row r="934">
      <c r="A934" s="2" t="inlineStr">
        <is>
          <t>O000299</t>
        </is>
      </c>
      <c r="B934" s="2" t="inlineStr">
        <is>
          <t>2025-03-09</t>
        </is>
      </c>
      <c r="C934" s="2" t="inlineStr">
        <is>
          <t>C0568</t>
        </is>
      </c>
      <c r="D934" s="2" t="inlineStr">
        <is>
          <t>P0004</t>
        </is>
      </c>
      <c r="E934" s="2" t="inlineStr">
        <is>
          <t>USB-C Hub</t>
        </is>
      </c>
      <c r="F934" s="2" t="inlineStr">
        <is>
          <t>Electronics</t>
        </is>
      </c>
      <c r="G934" s="2" t="inlineStr">
        <is>
          <t>West</t>
        </is>
      </c>
      <c r="H934" s="2" t="inlineStr">
        <is>
          <t>Gujarat</t>
        </is>
      </c>
      <c r="I934" s="2" t="inlineStr">
        <is>
          <t>Surat</t>
        </is>
      </c>
      <c r="J934" s="2" t="inlineStr">
        <is>
          <t>Online</t>
        </is>
      </c>
      <c r="K934" s="2" t="n">
        <v>1</v>
      </c>
      <c r="L934" s="3" t="n">
        <v>1250.81</v>
      </c>
      <c r="M934" s="4" t="n">
        <v>0.1</v>
      </c>
      <c r="N934" s="3" t="n">
        <v>954.74</v>
      </c>
      <c r="O934" s="3">
        <f>K934*L934*(1-M934)</f>
        <v/>
      </c>
      <c r="P934" s="3">
        <f>O934-N934</f>
        <v/>
      </c>
      <c r="Q934" s="5">
        <f>IFERROR(P934/O934,0)</f>
        <v/>
      </c>
      <c r="R934" s="2">
        <f>TEXT(DATEVALUE(B934),"mmm")</f>
        <v/>
      </c>
      <c r="S934" s="2">
        <f>TEXT(DATEVALUE(B934),"yyyy-mm")</f>
        <v/>
      </c>
    </row>
    <row r="935">
      <c r="A935" s="2" t="inlineStr">
        <is>
          <t>O002936</t>
        </is>
      </c>
      <c r="B935" s="2" t="inlineStr">
        <is>
          <t>2025-03-09</t>
        </is>
      </c>
      <c r="C935" s="2" t="inlineStr">
        <is>
          <t>C0319</t>
        </is>
      </c>
      <c r="D935" s="2" t="inlineStr">
        <is>
          <t>P0032</t>
        </is>
      </c>
      <c r="E935" s="2" t="inlineStr">
        <is>
          <t>Football</t>
        </is>
      </c>
      <c r="F935" s="2" t="inlineStr">
        <is>
          <t>Sports</t>
        </is>
      </c>
      <c r="G935" s="2" t="inlineStr">
        <is>
          <t>West</t>
        </is>
      </c>
      <c r="H935" s="2" t="inlineStr">
        <is>
          <t>Goa</t>
        </is>
      </c>
      <c r="I935" s="2" t="inlineStr">
        <is>
          <t>Panaji</t>
        </is>
      </c>
      <c r="J935" s="2" t="inlineStr">
        <is>
          <t>Store</t>
        </is>
      </c>
      <c r="K935" s="2" t="n">
        <v>1</v>
      </c>
      <c r="L935" s="3" t="n">
        <v>825.16</v>
      </c>
      <c r="M935" s="4" t="n">
        <v>0.05</v>
      </c>
      <c r="N935" s="3" t="n">
        <v>536</v>
      </c>
      <c r="O935" s="3">
        <f>K935*L935*(1-M935)</f>
        <v/>
      </c>
      <c r="P935" s="3">
        <f>O935-N935</f>
        <v/>
      </c>
      <c r="Q935" s="5">
        <f>IFERROR(P935/O935,0)</f>
        <v/>
      </c>
      <c r="R935" s="2">
        <f>TEXT(DATEVALUE(B935),"mmm")</f>
        <v/>
      </c>
      <c r="S935" s="2">
        <f>TEXT(DATEVALUE(B935),"yyyy-mm")</f>
        <v/>
      </c>
    </row>
    <row r="936">
      <c r="A936" s="2" t="inlineStr">
        <is>
          <t>O002805</t>
        </is>
      </c>
      <c r="B936" s="2" t="inlineStr">
        <is>
          <t>2025-03-10</t>
        </is>
      </c>
      <c r="C936" s="2" t="inlineStr">
        <is>
          <t>C0701</t>
        </is>
      </c>
      <c r="D936" s="2" t="inlineStr">
        <is>
          <t>P0027</t>
        </is>
      </c>
      <c r="E936" s="2" t="inlineStr">
        <is>
          <t>Moisturizer</t>
        </is>
      </c>
      <c r="F936" s="2" t="inlineStr">
        <is>
          <t>Beauty</t>
        </is>
      </c>
      <c r="G936" s="2" t="inlineStr">
        <is>
          <t>West</t>
        </is>
      </c>
      <c r="H936" s="2" t="inlineStr">
        <is>
          <t>Gujarat</t>
        </is>
      </c>
      <c r="I936" s="2" t="inlineStr">
        <is>
          <t>Ahmedabad</t>
        </is>
      </c>
      <c r="J936" s="2" t="inlineStr">
        <is>
          <t>Online</t>
        </is>
      </c>
      <c r="K936" s="2" t="n">
        <v>2</v>
      </c>
      <c r="L936" s="3" t="n">
        <v>969.67</v>
      </c>
      <c r="M936" s="4" t="n">
        <v>0.15</v>
      </c>
      <c r="N936" s="3" t="n">
        <v>1396.44</v>
      </c>
      <c r="O936" s="3">
        <f>K936*L936*(1-M936)</f>
        <v/>
      </c>
      <c r="P936" s="3">
        <f>O936-N936</f>
        <v/>
      </c>
      <c r="Q936" s="5">
        <f>IFERROR(P936/O936,0)</f>
        <v/>
      </c>
      <c r="R936" s="2">
        <f>TEXT(DATEVALUE(B936),"mmm")</f>
        <v/>
      </c>
      <c r="S936" s="2">
        <f>TEXT(DATEVALUE(B936),"yyyy-mm")</f>
        <v/>
      </c>
    </row>
    <row r="937">
      <c r="A937" s="2" t="inlineStr">
        <is>
          <t>O004414</t>
        </is>
      </c>
      <c r="B937" s="2" t="inlineStr">
        <is>
          <t>2025-03-10</t>
        </is>
      </c>
      <c r="C937" s="2" t="inlineStr">
        <is>
          <t>C0202</t>
        </is>
      </c>
      <c r="D937" s="2" t="inlineStr">
        <is>
          <t>P0017</t>
        </is>
      </c>
      <c r="E937" s="2" t="inlineStr">
        <is>
          <t>Jeans</t>
        </is>
      </c>
      <c r="F937" s="2" t="inlineStr">
        <is>
          <t>Fashion</t>
        </is>
      </c>
      <c r="G937" s="2" t="inlineStr">
        <is>
          <t>West</t>
        </is>
      </c>
      <c r="H937" s="2" t="inlineStr">
        <is>
          <t>Maharashtra</t>
        </is>
      </c>
      <c r="I937" s="2" t="inlineStr">
        <is>
          <t>Mumbai</t>
        </is>
      </c>
      <c r="J937" s="2" t="inlineStr">
        <is>
          <t>Online</t>
        </is>
      </c>
      <c r="K937" s="2" t="n">
        <v>2</v>
      </c>
      <c r="L937" s="3" t="n">
        <v>1480.98</v>
      </c>
      <c r="M937" s="4" t="n">
        <v>0.2</v>
      </c>
      <c r="N937" s="3" t="n">
        <v>2013.75</v>
      </c>
      <c r="O937" s="3">
        <f>K937*L937*(1-M937)</f>
        <v/>
      </c>
      <c r="P937" s="3">
        <f>O937-N937</f>
        <v/>
      </c>
      <c r="Q937" s="5">
        <f>IFERROR(P937/O937,0)</f>
        <v/>
      </c>
      <c r="R937" s="2">
        <f>TEXT(DATEVALUE(B937),"mmm")</f>
        <v/>
      </c>
      <c r="S937" s="2">
        <f>TEXT(DATEVALUE(B937),"yyyy-mm")</f>
        <v/>
      </c>
    </row>
    <row r="938">
      <c r="A938" s="2" t="inlineStr">
        <is>
          <t>O004274</t>
        </is>
      </c>
      <c r="B938" s="2" t="inlineStr">
        <is>
          <t>2025-03-10</t>
        </is>
      </c>
      <c r="C938" s="2" t="inlineStr">
        <is>
          <t>C0568</t>
        </is>
      </c>
      <c r="D938" s="2" t="inlineStr">
        <is>
          <t>P0013</t>
        </is>
      </c>
      <c r="E938" s="2" t="inlineStr">
        <is>
          <t>Storage Organizer</t>
        </is>
      </c>
      <c r="F938" s="2" t="inlineStr">
        <is>
          <t>Home &amp; Kitchen</t>
        </is>
      </c>
      <c r="G938" s="2" t="inlineStr">
        <is>
          <t>North</t>
        </is>
      </c>
      <c r="H938" s="2" t="inlineStr">
        <is>
          <t>Uttar Pradesh</t>
        </is>
      </c>
      <c r="I938" s="2" t="inlineStr">
        <is>
          <t>Noida</t>
        </is>
      </c>
      <c r="J938" s="2" t="inlineStr">
        <is>
          <t>Store</t>
        </is>
      </c>
      <c r="K938" s="2" t="n">
        <v>1</v>
      </c>
      <c r="L938" s="3" t="n">
        <v>553.04</v>
      </c>
      <c r="M938" s="4" t="n">
        <v>0.15</v>
      </c>
      <c r="N938" s="3" t="n">
        <v>362.57</v>
      </c>
      <c r="O938" s="3">
        <f>K938*L938*(1-M938)</f>
        <v/>
      </c>
      <c r="P938" s="3">
        <f>O938-N938</f>
        <v/>
      </c>
      <c r="Q938" s="5">
        <f>IFERROR(P938/O938,0)</f>
        <v/>
      </c>
      <c r="R938" s="2">
        <f>TEXT(DATEVALUE(B938),"mmm")</f>
        <v/>
      </c>
      <c r="S938" s="2">
        <f>TEXT(DATEVALUE(B938),"yyyy-mm")</f>
        <v/>
      </c>
    </row>
    <row r="939">
      <c r="A939" s="2" t="inlineStr">
        <is>
          <t>O004113</t>
        </is>
      </c>
      <c r="B939" s="2" t="inlineStr">
        <is>
          <t>2025-03-10</t>
        </is>
      </c>
      <c r="C939" s="2" t="inlineStr">
        <is>
          <t>C0591</t>
        </is>
      </c>
      <c r="D939" s="2" t="inlineStr">
        <is>
          <t>P0030</t>
        </is>
      </c>
      <c r="E939" s="2" t="inlineStr">
        <is>
          <t>Dumbbells</t>
        </is>
      </c>
      <c r="F939" s="2" t="inlineStr">
        <is>
          <t>Sports</t>
        </is>
      </c>
      <c r="G939" s="2" t="inlineStr">
        <is>
          <t>West</t>
        </is>
      </c>
      <c r="H939" s="2" t="inlineStr">
        <is>
          <t>Gujarat</t>
        </is>
      </c>
      <c r="I939" s="2" t="inlineStr">
        <is>
          <t>Ahmedabad</t>
        </is>
      </c>
      <c r="J939" s="2" t="inlineStr">
        <is>
          <t>Online</t>
        </is>
      </c>
      <c r="K939" s="2" t="n">
        <v>2</v>
      </c>
      <c r="L939" s="3" t="n">
        <v>1577.91</v>
      </c>
      <c r="M939" s="4" t="n">
        <v>0.1</v>
      </c>
      <c r="N939" s="3" t="n">
        <v>2081.08</v>
      </c>
      <c r="O939" s="3">
        <f>K939*L939*(1-M939)</f>
        <v/>
      </c>
      <c r="P939" s="3">
        <f>O939-N939</f>
        <v/>
      </c>
      <c r="Q939" s="5">
        <f>IFERROR(P939/O939,0)</f>
        <v/>
      </c>
      <c r="R939" s="2">
        <f>TEXT(DATEVALUE(B939),"mmm")</f>
        <v/>
      </c>
      <c r="S939" s="2">
        <f>TEXT(DATEVALUE(B939),"yyyy-mm")</f>
        <v/>
      </c>
    </row>
    <row r="940">
      <c r="A940" s="2" t="inlineStr">
        <is>
          <t>O003439</t>
        </is>
      </c>
      <c r="B940" s="2" t="inlineStr">
        <is>
          <t>2025-03-10</t>
        </is>
      </c>
      <c r="C940" s="2" t="inlineStr">
        <is>
          <t>C0583</t>
        </is>
      </c>
      <c r="D940" s="2" t="inlineStr">
        <is>
          <t>P0021</t>
        </is>
      </c>
      <c r="E940" s="2" t="inlineStr">
        <is>
          <t>Wallet</t>
        </is>
      </c>
      <c r="F940" s="2" t="inlineStr">
        <is>
          <t>Fashion</t>
        </is>
      </c>
      <c r="G940" s="2" t="inlineStr">
        <is>
          <t>West</t>
        </is>
      </c>
      <c r="H940" s="2" t="inlineStr">
        <is>
          <t>Maharashtra</t>
        </is>
      </c>
      <c r="I940" s="2" t="inlineStr">
        <is>
          <t>Nashik</t>
        </is>
      </c>
      <c r="J940" s="2" t="inlineStr">
        <is>
          <t>Online</t>
        </is>
      </c>
      <c r="K940" s="2" t="n">
        <v>3</v>
      </c>
      <c r="L940" s="3" t="n">
        <v>1990.66</v>
      </c>
      <c r="M940" s="4" t="n">
        <v>0.1</v>
      </c>
      <c r="N940" s="3" t="n">
        <v>3763.02</v>
      </c>
      <c r="O940" s="3">
        <f>K940*L940*(1-M940)</f>
        <v/>
      </c>
      <c r="P940" s="3">
        <f>O940-N940</f>
        <v/>
      </c>
      <c r="Q940" s="5">
        <f>IFERROR(P940/O940,0)</f>
        <v/>
      </c>
      <c r="R940" s="2">
        <f>TEXT(DATEVALUE(B940),"mmm")</f>
        <v/>
      </c>
      <c r="S940" s="2">
        <f>TEXT(DATEVALUE(B940),"yyyy-mm")</f>
        <v/>
      </c>
    </row>
    <row r="941">
      <c r="A941" s="2" t="inlineStr">
        <is>
          <t>O004506</t>
        </is>
      </c>
      <c r="B941" s="2" t="inlineStr">
        <is>
          <t>2025-03-10</t>
        </is>
      </c>
      <c r="C941" s="2" t="inlineStr">
        <is>
          <t>C0635</t>
        </is>
      </c>
      <c r="D941" s="2" t="inlineStr">
        <is>
          <t>P0026</t>
        </is>
      </c>
      <c r="E941" s="2" t="inlineStr">
        <is>
          <t>Shampoo</t>
        </is>
      </c>
      <c r="F941" s="2" t="inlineStr">
        <is>
          <t>Beauty</t>
        </is>
      </c>
      <c r="G941" s="2" t="inlineStr">
        <is>
          <t>West</t>
        </is>
      </c>
      <c r="H941" s="2" t="inlineStr">
        <is>
          <t>Maharashtra</t>
        </is>
      </c>
      <c r="I941" s="2" t="inlineStr">
        <is>
          <t>Thane</t>
        </is>
      </c>
      <c r="J941" s="2" t="inlineStr">
        <is>
          <t>Store</t>
        </is>
      </c>
      <c r="K941" s="2" t="n">
        <v>6</v>
      </c>
      <c r="L941" s="3" t="n">
        <v>847.1900000000001</v>
      </c>
      <c r="M941" s="4" t="n">
        <v>0</v>
      </c>
      <c r="N941" s="3" t="n">
        <v>3026.84</v>
      </c>
      <c r="O941" s="3">
        <f>K941*L941*(1-M941)</f>
        <v/>
      </c>
      <c r="P941" s="3">
        <f>O941-N941</f>
        <v/>
      </c>
      <c r="Q941" s="5">
        <f>IFERROR(P941/O941,0)</f>
        <v/>
      </c>
      <c r="R941" s="2">
        <f>TEXT(DATEVALUE(B941),"mmm")</f>
        <v/>
      </c>
      <c r="S941" s="2">
        <f>TEXT(DATEVALUE(B941),"yyyy-mm")</f>
        <v/>
      </c>
    </row>
    <row r="942">
      <c r="A942" s="2" t="inlineStr">
        <is>
          <t>O002879</t>
        </is>
      </c>
      <c r="B942" s="2" t="inlineStr">
        <is>
          <t>2025-03-10</t>
        </is>
      </c>
      <c r="C942" s="2" t="inlineStr">
        <is>
          <t>C0568</t>
        </is>
      </c>
      <c r="D942" s="2" t="inlineStr">
        <is>
          <t>P0004</t>
        </is>
      </c>
      <c r="E942" s="2" t="inlineStr">
        <is>
          <t>USB-C Hub</t>
        </is>
      </c>
      <c r="F942" s="2" t="inlineStr">
        <is>
          <t>Electronics</t>
        </is>
      </c>
      <c r="G942" s="2" t="inlineStr">
        <is>
          <t>South</t>
        </is>
      </c>
      <c r="H942" s="2" t="inlineStr">
        <is>
          <t>Karnataka</t>
        </is>
      </c>
      <c r="I942" s="2" t="inlineStr">
        <is>
          <t>Bengaluru</t>
        </is>
      </c>
      <c r="J942" s="2" t="inlineStr">
        <is>
          <t>Online</t>
        </is>
      </c>
      <c r="K942" s="2" t="n">
        <v>2</v>
      </c>
      <c r="L942" s="3" t="n">
        <v>1256.39</v>
      </c>
      <c r="M942" s="4" t="n">
        <v>0.05</v>
      </c>
      <c r="N942" s="3" t="n">
        <v>1877.82</v>
      </c>
      <c r="O942" s="3">
        <f>K942*L942*(1-M942)</f>
        <v/>
      </c>
      <c r="P942" s="3">
        <f>O942-N942</f>
        <v/>
      </c>
      <c r="Q942" s="5">
        <f>IFERROR(P942/O942,0)</f>
        <v/>
      </c>
      <c r="R942" s="2">
        <f>TEXT(DATEVALUE(B942),"mmm")</f>
        <v/>
      </c>
      <c r="S942" s="2">
        <f>TEXT(DATEVALUE(B942),"yyyy-mm")</f>
        <v/>
      </c>
    </row>
    <row r="943">
      <c r="A943" s="2" t="inlineStr">
        <is>
          <t>O002541</t>
        </is>
      </c>
      <c r="B943" s="2" t="inlineStr">
        <is>
          <t>2025-03-10</t>
        </is>
      </c>
      <c r="C943" s="2" t="inlineStr">
        <is>
          <t>C0023</t>
        </is>
      </c>
      <c r="D943" s="2" t="inlineStr">
        <is>
          <t>P0024</t>
        </is>
      </c>
      <c r="E943" s="2" t="inlineStr">
        <is>
          <t>Hair Dryer</t>
        </is>
      </c>
      <c r="F943" s="2" t="inlineStr">
        <is>
          <t>Beauty</t>
        </is>
      </c>
      <c r="G943" s="2" t="inlineStr">
        <is>
          <t>West</t>
        </is>
      </c>
      <c r="H943" s="2" t="inlineStr">
        <is>
          <t>Maharashtra</t>
        </is>
      </c>
      <c r="I943" s="2" t="inlineStr">
        <is>
          <t>Thane</t>
        </is>
      </c>
      <c r="J943" s="2" t="inlineStr">
        <is>
          <t>Store</t>
        </is>
      </c>
      <c r="K943" s="2" t="n">
        <v>1</v>
      </c>
      <c r="L943" s="3" t="n">
        <v>981.92</v>
      </c>
      <c r="M943" s="4" t="n">
        <v>0.05</v>
      </c>
      <c r="N943" s="3" t="n">
        <v>710.9</v>
      </c>
      <c r="O943" s="3">
        <f>K943*L943*(1-M943)</f>
        <v/>
      </c>
      <c r="P943" s="3">
        <f>O943-N943</f>
        <v/>
      </c>
      <c r="Q943" s="5">
        <f>IFERROR(P943/O943,0)</f>
        <v/>
      </c>
      <c r="R943" s="2">
        <f>TEXT(DATEVALUE(B943),"mmm")</f>
        <v/>
      </c>
      <c r="S943" s="2">
        <f>TEXT(DATEVALUE(B943),"yyyy-mm")</f>
        <v/>
      </c>
    </row>
    <row r="944">
      <c r="A944" s="2" t="inlineStr">
        <is>
          <t>O001022</t>
        </is>
      </c>
      <c r="B944" s="2" t="inlineStr">
        <is>
          <t>2025-03-10</t>
        </is>
      </c>
      <c r="C944" s="2" t="inlineStr">
        <is>
          <t>C0106</t>
        </is>
      </c>
      <c r="D944" s="2" t="inlineStr">
        <is>
          <t>P0027</t>
        </is>
      </c>
      <c r="E944" s="2" t="inlineStr">
        <is>
          <t>Moisturizer</t>
        </is>
      </c>
      <c r="F944" s="2" t="inlineStr">
        <is>
          <t>Beauty</t>
        </is>
      </c>
      <c r="G944" s="2" t="inlineStr">
        <is>
          <t>West</t>
        </is>
      </c>
      <c r="H944" s="2" t="inlineStr">
        <is>
          <t>Goa</t>
        </is>
      </c>
      <c r="I944" s="2" t="inlineStr">
        <is>
          <t>Panaji</t>
        </is>
      </c>
      <c r="J944" s="2" t="inlineStr">
        <is>
          <t>Store</t>
        </is>
      </c>
      <c r="K944" s="2" t="n">
        <v>1</v>
      </c>
      <c r="L944" s="3" t="n">
        <v>931.03</v>
      </c>
      <c r="M944" s="4" t="n">
        <v>0</v>
      </c>
      <c r="N944" s="3" t="n">
        <v>685.92</v>
      </c>
      <c r="O944" s="3">
        <f>K944*L944*(1-M944)</f>
        <v/>
      </c>
      <c r="P944" s="3">
        <f>O944-N944</f>
        <v/>
      </c>
      <c r="Q944" s="5">
        <f>IFERROR(P944/O944,0)</f>
        <v/>
      </c>
      <c r="R944" s="2">
        <f>TEXT(DATEVALUE(B944),"mmm")</f>
        <v/>
      </c>
      <c r="S944" s="2">
        <f>TEXT(DATEVALUE(B944),"yyyy-mm")</f>
        <v/>
      </c>
    </row>
    <row r="945">
      <c r="A945" s="2" t="inlineStr">
        <is>
          <t>O002077</t>
        </is>
      </c>
      <c r="B945" s="2" t="inlineStr">
        <is>
          <t>2025-03-10</t>
        </is>
      </c>
      <c r="C945" s="2" t="inlineStr">
        <is>
          <t>C0373</t>
        </is>
      </c>
      <c r="D945" s="2" t="inlineStr">
        <is>
          <t>P0024</t>
        </is>
      </c>
      <c r="E945" s="2" t="inlineStr">
        <is>
          <t>Hair Dryer</t>
        </is>
      </c>
      <c r="F945" s="2" t="inlineStr">
        <is>
          <t>Beauty</t>
        </is>
      </c>
      <c r="G945" s="2" t="inlineStr">
        <is>
          <t>North</t>
        </is>
      </c>
      <c r="H945" s="2" t="inlineStr">
        <is>
          <t>Delhi</t>
        </is>
      </c>
      <c r="I945" s="2" t="inlineStr">
        <is>
          <t>New Delhi</t>
        </is>
      </c>
      <c r="J945" s="2" t="inlineStr">
        <is>
          <t>Store</t>
        </is>
      </c>
      <c r="K945" s="2" t="n">
        <v>3</v>
      </c>
      <c r="L945" s="3" t="n">
        <v>972.86</v>
      </c>
      <c r="M945" s="4" t="n">
        <v>0.1</v>
      </c>
      <c r="N945" s="3" t="n">
        <v>2208.75</v>
      </c>
      <c r="O945" s="3">
        <f>K945*L945*(1-M945)</f>
        <v/>
      </c>
      <c r="P945" s="3">
        <f>O945-N945</f>
        <v/>
      </c>
      <c r="Q945" s="5">
        <f>IFERROR(P945/O945,0)</f>
        <v/>
      </c>
      <c r="R945" s="2">
        <f>TEXT(DATEVALUE(B945),"mmm")</f>
        <v/>
      </c>
      <c r="S945" s="2">
        <f>TEXT(DATEVALUE(B945),"yyyy-mm")</f>
        <v/>
      </c>
    </row>
    <row r="946">
      <c r="A946" s="2" t="inlineStr">
        <is>
          <t>O001393</t>
        </is>
      </c>
      <c r="B946" s="2" t="inlineStr">
        <is>
          <t>2025-03-10</t>
        </is>
      </c>
      <c r="C946" s="2" t="inlineStr">
        <is>
          <t>C0775</t>
        </is>
      </c>
      <c r="D946" s="2" t="inlineStr">
        <is>
          <t>P0022</t>
        </is>
      </c>
      <c r="E946" s="2" t="inlineStr">
        <is>
          <t>Face Wash</t>
        </is>
      </c>
      <c r="F946" s="2" t="inlineStr">
        <is>
          <t>Beauty</t>
        </is>
      </c>
      <c r="G946" s="2" t="inlineStr">
        <is>
          <t>North</t>
        </is>
      </c>
      <c r="H946" s="2" t="inlineStr">
        <is>
          <t>Delhi</t>
        </is>
      </c>
      <c r="I946" s="2" t="inlineStr">
        <is>
          <t>New Delhi</t>
        </is>
      </c>
      <c r="J946" s="2" t="inlineStr">
        <is>
          <t>Online</t>
        </is>
      </c>
      <c r="K946" s="2" t="n">
        <v>1</v>
      </c>
      <c r="L946" s="3" t="n">
        <v>556.7</v>
      </c>
      <c r="M946" s="4" t="n">
        <v>0</v>
      </c>
      <c r="N946" s="3" t="n">
        <v>351.97</v>
      </c>
      <c r="O946" s="3">
        <f>K946*L946*(1-M946)</f>
        <v/>
      </c>
      <c r="P946" s="3">
        <f>O946-N946</f>
        <v/>
      </c>
      <c r="Q946" s="5">
        <f>IFERROR(P946/O946,0)</f>
        <v/>
      </c>
      <c r="R946" s="2">
        <f>TEXT(DATEVALUE(B946),"mmm")</f>
        <v/>
      </c>
      <c r="S946" s="2">
        <f>TEXT(DATEVALUE(B946),"yyyy-mm")</f>
        <v/>
      </c>
    </row>
    <row r="947">
      <c r="A947" s="2" t="inlineStr">
        <is>
          <t>O001121</t>
        </is>
      </c>
      <c r="B947" s="2" t="inlineStr">
        <is>
          <t>2025-03-10</t>
        </is>
      </c>
      <c r="C947" s="2" t="inlineStr">
        <is>
          <t>C0421</t>
        </is>
      </c>
      <c r="D947" s="2" t="inlineStr">
        <is>
          <t>P0028</t>
        </is>
      </c>
      <c r="E947" s="2" t="inlineStr">
        <is>
          <t>Trimmer</t>
        </is>
      </c>
      <c r="F947" s="2" t="inlineStr">
        <is>
          <t>Beauty</t>
        </is>
      </c>
      <c r="G947" s="2" t="inlineStr">
        <is>
          <t>South</t>
        </is>
      </c>
      <c r="H947" s="2" t="inlineStr">
        <is>
          <t>Telangana</t>
        </is>
      </c>
      <c r="I947" s="2" t="inlineStr">
        <is>
          <t>Warangal</t>
        </is>
      </c>
      <c r="J947" s="2" t="inlineStr">
        <is>
          <t>Store</t>
        </is>
      </c>
      <c r="K947" s="2" t="n">
        <v>2</v>
      </c>
      <c r="L947" s="3" t="n">
        <v>456.32</v>
      </c>
      <c r="M947" s="4" t="n">
        <v>0.15</v>
      </c>
      <c r="N947" s="3" t="n">
        <v>497.46</v>
      </c>
      <c r="O947" s="3">
        <f>K947*L947*(1-M947)</f>
        <v/>
      </c>
      <c r="P947" s="3">
        <f>O947-N947</f>
        <v/>
      </c>
      <c r="Q947" s="5">
        <f>IFERROR(P947/O947,0)</f>
        <v/>
      </c>
      <c r="R947" s="2">
        <f>TEXT(DATEVALUE(B947),"mmm")</f>
        <v/>
      </c>
      <c r="S947" s="2">
        <f>TEXT(DATEVALUE(B947),"yyyy-mm")</f>
        <v/>
      </c>
    </row>
    <row r="948">
      <c r="A948" s="2" t="inlineStr">
        <is>
          <t>O000814</t>
        </is>
      </c>
      <c r="B948" s="2" t="inlineStr">
        <is>
          <t>2025-03-10</t>
        </is>
      </c>
      <c r="C948" s="2" t="inlineStr">
        <is>
          <t>C0354</t>
        </is>
      </c>
      <c r="D948" s="2" t="inlineStr">
        <is>
          <t>P0017</t>
        </is>
      </c>
      <c r="E948" s="2" t="inlineStr">
        <is>
          <t>Jeans</t>
        </is>
      </c>
      <c r="F948" s="2" t="inlineStr">
        <is>
          <t>Fashion</t>
        </is>
      </c>
      <c r="G948" s="2" t="inlineStr">
        <is>
          <t>North</t>
        </is>
      </c>
      <c r="H948" s="2" t="inlineStr">
        <is>
          <t>Punjab</t>
        </is>
      </c>
      <c r="I948" s="2" t="inlineStr">
        <is>
          <t>Jalandhar</t>
        </is>
      </c>
      <c r="J948" s="2" t="inlineStr">
        <is>
          <t>Online</t>
        </is>
      </c>
      <c r="K948" s="2" t="n">
        <v>2</v>
      </c>
      <c r="L948" s="3" t="n">
        <v>1485.23</v>
      </c>
      <c r="M948" s="4" t="n">
        <v>0.05</v>
      </c>
      <c r="N948" s="3" t="n">
        <v>1986.14</v>
      </c>
      <c r="O948" s="3">
        <f>K948*L948*(1-M948)</f>
        <v/>
      </c>
      <c r="P948" s="3">
        <f>O948-N948</f>
        <v/>
      </c>
      <c r="Q948" s="5">
        <f>IFERROR(P948/O948,0)</f>
        <v/>
      </c>
      <c r="R948" s="2">
        <f>TEXT(DATEVALUE(B948),"mmm")</f>
        <v/>
      </c>
      <c r="S948" s="2">
        <f>TEXT(DATEVALUE(B948),"yyyy-mm")</f>
        <v/>
      </c>
    </row>
    <row r="949">
      <c r="A949" s="2" t="inlineStr">
        <is>
          <t>O000579</t>
        </is>
      </c>
      <c r="B949" s="2" t="inlineStr">
        <is>
          <t>2025-03-10</t>
        </is>
      </c>
      <c r="C949" s="2" t="inlineStr">
        <is>
          <t>C0658</t>
        </is>
      </c>
      <c r="D949" s="2" t="inlineStr">
        <is>
          <t>P0018</t>
        </is>
      </c>
      <c r="E949" s="2" t="inlineStr">
        <is>
          <t>Backpack</t>
        </is>
      </c>
      <c r="F949" s="2" t="inlineStr">
        <is>
          <t>Fashion</t>
        </is>
      </c>
      <c r="G949" s="2" t="inlineStr">
        <is>
          <t>East</t>
        </is>
      </c>
      <c r="H949" s="2" t="inlineStr">
        <is>
          <t>Odisha</t>
        </is>
      </c>
      <c r="I949" s="2" t="inlineStr">
        <is>
          <t>Cuttack</t>
        </is>
      </c>
      <c r="J949" s="2" t="inlineStr">
        <is>
          <t>Online</t>
        </is>
      </c>
      <c r="K949" s="2" t="n">
        <v>2</v>
      </c>
      <c r="L949" s="3" t="n">
        <v>1771.67</v>
      </c>
      <c r="M949" s="4" t="n">
        <v>0</v>
      </c>
      <c r="N949" s="3" t="n">
        <v>2692.52</v>
      </c>
      <c r="O949" s="3">
        <f>K949*L949*(1-M949)</f>
        <v/>
      </c>
      <c r="P949" s="3">
        <f>O949-N949</f>
        <v/>
      </c>
      <c r="Q949" s="5">
        <f>IFERROR(P949/O949,0)</f>
        <v/>
      </c>
      <c r="R949" s="2">
        <f>TEXT(DATEVALUE(B949),"mmm")</f>
        <v/>
      </c>
      <c r="S949" s="2">
        <f>TEXT(DATEVALUE(B949),"yyyy-mm")</f>
        <v/>
      </c>
    </row>
    <row r="950">
      <c r="A950" s="2" t="inlineStr">
        <is>
          <t>O000470</t>
        </is>
      </c>
      <c r="B950" s="2" t="inlineStr">
        <is>
          <t>2025-03-10</t>
        </is>
      </c>
      <c r="C950" s="2" t="inlineStr">
        <is>
          <t>C0103</t>
        </is>
      </c>
      <c r="D950" s="2" t="inlineStr">
        <is>
          <t>P0011</t>
        </is>
      </c>
      <c r="E950" s="2" t="inlineStr">
        <is>
          <t>Cookware Set</t>
        </is>
      </c>
      <c r="F950" s="2" t="inlineStr">
        <is>
          <t>Home &amp; Kitchen</t>
        </is>
      </c>
      <c r="G950" s="2" t="inlineStr">
        <is>
          <t>North</t>
        </is>
      </c>
      <c r="H950" s="2" t="inlineStr">
        <is>
          <t>Haryana</t>
        </is>
      </c>
      <c r="I950" s="2" t="inlineStr">
        <is>
          <t>Faridabad</t>
        </is>
      </c>
      <c r="J950" s="2" t="inlineStr">
        <is>
          <t>Online</t>
        </is>
      </c>
      <c r="K950" s="2" t="n">
        <v>4</v>
      </c>
      <c r="L950" s="3" t="n">
        <v>689.9</v>
      </c>
      <c r="M950" s="4" t="n">
        <v>0</v>
      </c>
      <c r="N950" s="3" t="n">
        <v>1904.94</v>
      </c>
      <c r="O950" s="3">
        <f>K950*L950*(1-M950)</f>
        <v/>
      </c>
      <c r="P950" s="3">
        <f>O950-N950</f>
        <v/>
      </c>
      <c r="Q950" s="5">
        <f>IFERROR(P950/O950,0)</f>
        <v/>
      </c>
      <c r="R950" s="2">
        <f>TEXT(DATEVALUE(B950),"mmm")</f>
        <v/>
      </c>
      <c r="S950" s="2">
        <f>TEXT(DATEVALUE(B950),"yyyy-mm")</f>
        <v/>
      </c>
    </row>
    <row r="951">
      <c r="A951" s="2" t="inlineStr">
        <is>
          <t>O000459</t>
        </is>
      </c>
      <c r="B951" s="2" t="inlineStr">
        <is>
          <t>2025-03-10</t>
        </is>
      </c>
      <c r="C951" s="2" t="inlineStr">
        <is>
          <t>C0240</t>
        </is>
      </c>
      <c r="D951" s="2" t="inlineStr">
        <is>
          <t>P0010</t>
        </is>
      </c>
      <c r="E951" s="2" t="inlineStr">
        <is>
          <t>Mixer Grinder</t>
        </is>
      </c>
      <c r="F951" s="2" t="inlineStr">
        <is>
          <t>Home &amp; Kitchen</t>
        </is>
      </c>
      <c r="G951" s="2" t="inlineStr">
        <is>
          <t>West</t>
        </is>
      </c>
      <c r="H951" s="2" t="inlineStr">
        <is>
          <t>Goa</t>
        </is>
      </c>
      <c r="I951" s="2" t="inlineStr">
        <is>
          <t>Margao</t>
        </is>
      </c>
      <c r="J951" s="2" t="inlineStr">
        <is>
          <t>Store</t>
        </is>
      </c>
      <c r="K951" s="2" t="n">
        <v>3</v>
      </c>
      <c r="L951" s="3" t="n">
        <v>1557.43</v>
      </c>
      <c r="M951" s="4" t="n">
        <v>0.05</v>
      </c>
      <c r="N951" s="3" t="n">
        <v>3037.01</v>
      </c>
      <c r="O951" s="3">
        <f>K951*L951*(1-M951)</f>
        <v/>
      </c>
      <c r="P951" s="3">
        <f>O951-N951</f>
        <v/>
      </c>
      <c r="Q951" s="5">
        <f>IFERROR(P951/O951,0)</f>
        <v/>
      </c>
      <c r="R951" s="2">
        <f>TEXT(DATEVALUE(B951),"mmm")</f>
        <v/>
      </c>
      <c r="S951" s="2">
        <f>TEXT(DATEVALUE(B951),"yyyy-mm")</f>
        <v/>
      </c>
    </row>
    <row r="952">
      <c r="A952" s="2" t="inlineStr">
        <is>
          <t>O002229</t>
        </is>
      </c>
      <c r="B952" s="2" t="inlineStr">
        <is>
          <t>2025-03-10</t>
        </is>
      </c>
      <c r="C952" s="2" t="inlineStr">
        <is>
          <t>C0730</t>
        </is>
      </c>
      <c r="D952" s="2" t="inlineStr">
        <is>
          <t>P0013</t>
        </is>
      </c>
      <c r="E952" s="2" t="inlineStr">
        <is>
          <t>Storage Organizer</t>
        </is>
      </c>
      <c r="F952" s="2" t="inlineStr">
        <is>
          <t>Home &amp; Kitchen</t>
        </is>
      </c>
      <c r="G952" s="2" t="inlineStr">
        <is>
          <t>East</t>
        </is>
      </c>
      <c r="H952" s="2" t="inlineStr">
        <is>
          <t>Odisha</t>
        </is>
      </c>
      <c r="I952" s="2" t="inlineStr">
        <is>
          <t>Cuttack</t>
        </is>
      </c>
      <c r="J952" s="2" t="inlineStr">
        <is>
          <t>Online</t>
        </is>
      </c>
      <c r="K952" s="2" t="n">
        <v>1</v>
      </c>
      <c r="L952" s="3" t="n">
        <v>564.77</v>
      </c>
      <c r="M952" s="4" t="n">
        <v>0.15</v>
      </c>
      <c r="N952" s="3" t="n">
        <v>359.89</v>
      </c>
      <c r="O952" s="3">
        <f>K952*L952*(1-M952)</f>
        <v/>
      </c>
      <c r="P952" s="3">
        <f>O952-N952</f>
        <v/>
      </c>
      <c r="Q952" s="5">
        <f>IFERROR(P952/O952,0)</f>
        <v/>
      </c>
      <c r="R952" s="2">
        <f>TEXT(DATEVALUE(B952),"mmm")</f>
        <v/>
      </c>
      <c r="S952" s="2">
        <f>TEXT(DATEVALUE(B952),"yyyy-mm")</f>
        <v/>
      </c>
    </row>
    <row r="953">
      <c r="A953" s="2" t="inlineStr">
        <is>
          <t>O004794</t>
        </is>
      </c>
      <c r="B953" s="2" t="inlineStr">
        <is>
          <t>2025-03-11</t>
        </is>
      </c>
      <c r="C953" s="2" t="inlineStr">
        <is>
          <t>C0298</t>
        </is>
      </c>
      <c r="D953" s="2" t="inlineStr">
        <is>
          <t>P0013</t>
        </is>
      </c>
      <c r="E953" s="2" t="inlineStr">
        <is>
          <t>Storage Organizer</t>
        </is>
      </c>
      <c r="F953" s="2" t="inlineStr">
        <is>
          <t>Home &amp; Kitchen</t>
        </is>
      </c>
      <c r="G953" s="2" t="inlineStr">
        <is>
          <t>North</t>
        </is>
      </c>
      <c r="H953" s="2" t="inlineStr">
        <is>
          <t>Delhi</t>
        </is>
      </c>
      <c r="I953" s="2" t="inlineStr">
        <is>
          <t>New Delhi</t>
        </is>
      </c>
      <c r="J953" s="2" t="inlineStr">
        <is>
          <t>Online</t>
        </is>
      </c>
      <c r="K953" s="2" t="n">
        <v>1</v>
      </c>
      <c r="L953" s="3" t="n">
        <v>576.52</v>
      </c>
      <c r="M953" s="4" t="n">
        <v>0.05</v>
      </c>
      <c r="N953" s="3" t="n">
        <v>352.33</v>
      </c>
      <c r="O953" s="3">
        <f>K953*L953*(1-M953)</f>
        <v/>
      </c>
      <c r="P953" s="3">
        <f>O953-N953</f>
        <v/>
      </c>
      <c r="Q953" s="5">
        <f>IFERROR(P953/O953,0)</f>
        <v/>
      </c>
      <c r="R953" s="2">
        <f>TEXT(DATEVALUE(B953),"mmm")</f>
        <v/>
      </c>
      <c r="S953" s="2">
        <f>TEXT(DATEVALUE(B953),"yyyy-mm")</f>
        <v/>
      </c>
    </row>
    <row r="954">
      <c r="A954" s="2" t="inlineStr">
        <is>
          <t>O004201</t>
        </is>
      </c>
      <c r="B954" s="2" t="inlineStr">
        <is>
          <t>2025-03-11</t>
        </is>
      </c>
      <c r="C954" s="2" t="inlineStr">
        <is>
          <t>C0003</t>
        </is>
      </c>
      <c r="D954" s="2" t="inlineStr">
        <is>
          <t>P0027</t>
        </is>
      </c>
      <c r="E954" s="2" t="inlineStr">
        <is>
          <t>Moisturizer</t>
        </is>
      </c>
      <c r="F954" s="2" t="inlineStr">
        <is>
          <t>Beauty</t>
        </is>
      </c>
      <c r="G954" s="2" t="inlineStr">
        <is>
          <t>East</t>
        </is>
      </c>
      <c r="H954" s="2" t="inlineStr">
        <is>
          <t>Bihar</t>
        </is>
      </c>
      <c r="I954" s="2" t="inlineStr">
        <is>
          <t>Gaya</t>
        </is>
      </c>
      <c r="J954" s="2" t="inlineStr">
        <is>
          <t>Online</t>
        </is>
      </c>
      <c r="K954" s="2" t="n">
        <v>2</v>
      </c>
      <c r="L954" s="3" t="n">
        <v>921.1799999999999</v>
      </c>
      <c r="M954" s="4" t="n">
        <v>0.05</v>
      </c>
      <c r="N954" s="3" t="n">
        <v>1334.12</v>
      </c>
      <c r="O954" s="3">
        <f>K954*L954*(1-M954)</f>
        <v/>
      </c>
      <c r="P954" s="3">
        <f>O954-N954</f>
        <v/>
      </c>
      <c r="Q954" s="5">
        <f>IFERROR(P954/O954,0)</f>
        <v/>
      </c>
      <c r="R954" s="2">
        <f>TEXT(DATEVALUE(B954),"mmm")</f>
        <v/>
      </c>
      <c r="S954" s="2">
        <f>TEXT(DATEVALUE(B954),"yyyy-mm")</f>
        <v/>
      </c>
    </row>
    <row r="955">
      <c r="A955" s="2" t="inlineStr">
        <is>
          <t>O003946</t>
        </is>
      </c>
      <c r="B955" s="2" t="inlineStr">
        <is>
          <t>2025-03-11</t>
        </is>
      </c>
      <c r="C955" s="2" t="inlineStr">
        <is>
          <t>C0589</t>
        </is>
      </c>
      <c r="D955" s="2" t="inlineStr">
        <is>
          <t>P0027</t>
        </is>
      </c>
      <c r="E955" s="2" t="inlineStr">
        <is>
          <t>Moisturizer</t>
        </is>
      </c>
      <c r="F955" s="2" t="inlineStr">
        <is>
          <t>Beauty</t>
        </is>
      </c>
      <c r="G955" s="2" t="inlineStr">
        <is>
          <t>South</t>
        </is>
      </c>
      <c r="H955" s="2" t="inlineStr">
        <is>
          <t>Tamil Nadu</t>
        </is>
      </c>
      <c r="I955" s="2" t="inlineStr">
        <is>
          <t>Madurai</t>
        </is>
      </c>
      <c r="J955" s="2" t="inlineStr">
        <is>
          <t>Store</t>
        </is>
      </c>
      <c r="K955" s="2" t="n">
        <v>2</v>
      </c>
      <c r="L955" s="3" t="n">
        <v>978.3200000000001</v>
      </c>
      <c r="M955" s="4" t="n">
        <v>0</v>
      </c>
      <c r="N955" s="3" t="n">
        <v>1374.32</v>
      </c>
      <c r="O955" s="3">
        <f>K955*L955*(1-M955)</f>
        <v/>
      </c>
      <c r="P955" s="3">
        <f>O955-N955</f>
        <v/>
      </c>
      <c r="Q955" s="5">
        <f>IFERROR(P955/O955,0)</f>
        <v/>
      </c>
      <c r="R955" s="2">
        <f>TEXT(DATEVALUE(B955),"mmm")</f>
        <v/>
      </c>
      <c r="S955" s="2">
        <f>TEXT(DATEVALUE(B955),"yyyy-mm")</f>
        <v/>
      </c>
    </row>
    <row r="956">
      <c r="A956" s="2" t="inlineStr">
        <is>
          <t>O003509</t>
        </is>
      </c>
      <c r="B956" s="2" t="inlineStr">
        <is>
          <t>2025-03-11</t>
        </is>
      </c>
      <c r="C956" s="2" t="inlineStr">
        <is>
          <t>C0152</t>
        </is>
      </c>
      <c r="D956" s="2" t="inlineStr">
        <is>
          <t>P0009</t>
        </is>
      </c>
      <c r="E956" s="2" t="inlineStr">
        <is>
          <t>Electric Kettle</t>
        </is>
      </c>
      <c r="F956" s="2" t="inlineStr">
        <is>
          <t>Home &amp; Kitchen</t>
        </is>
      </c>
      <c r="G956" s="2" t="inlineStr">
        <is>
          <t>South</t>
        </is>
      </c>
      <c r="H956" s="2" t="inlineStr">
        <is>
          <t>Kerala</t>
        </is>
      </c>
      <c r="I956" s="2" t="inlineStr">
        <is>
          <t>Kochi</t>
        </is>
      </c>
      <c r="J956" s="2" t="inlineStr">
        <is>
          <t>Online</t>
        </is>
      </c>
      <c r="K956" s="2" t="n">
        <v>1</v>
      </c>
      <c r="L956" s="3" t="n">
        <v>2176.56</v>
      </c>
      <c r="M956" s="4" t="n">
        <v>0.1</v>
      </c>
      <c r="N956" s="3" t="n">
        <v>1165.22</v>
      </c>
      <c r="O956" s="3">
        <f>K956*L956*(1-M956)</f>
        <v/>
      </c>
      <c r="P956" s="3">
        <f>O956-N956</f>
        <v/>
      </c>
      <c r="Q956" s="5">
        <f>IFERROR(P956/O956,0)</f>
        <v/>
      </c>
      <c r="R956" s="2">
        <f>TEXT(DATEVALUE(B956),"mmm")</f>
        <v/>
      </c>
      <c r="S956" s="2">
        <f>TEXT(DATEVALUE(B956),"yyyy-mm")</f>
        <v/>
      </c>
    </row>
    <row r="957">
      <c r="A957" s="2" t="inlineStr">
        <is>
          <t>O002864</t>
        </is>
      </c>
      <c r="B957" s="2" t="inlineStr">
        <is>
          <t>2025-03-11</t>
        </is>
      </c>
      <c r="C957" s="2" t="inlineStr">
        <is>
          <t>C0795</t>
        </is>
      </c>
      <c r="D957" s="2" t="inlineStr">
        <is>
          <t>P0022</t>
        </is>
      </c>
      <c r="E957" s="2" t="inlineStr">
        <is>
          <t>Face Wash</t>
        </is>
      </c>
      <c r="F957" s="2" t="inlineStr">
        <is>
          <t>Beauty</t>
        </is>
      </c>
      <c r="G957" s="2" t="inlineStr">
        <is>
          <t>West</t>
        </is>
      </c>
      <c r="H957" s="2" t="inlineStr">
        <is>
          <t>Goa</t>
        </is>
      </c>
      <c r="I957" s="2" t="inlineStr">
        <is>
          <t>Margao</t>
        </is>
      </c>
      <c r="J957" s="2" t="inlineStr">
        <is>
          <t>Online</t>
        </is>
      </c>
      <c r="K957" s="2" t="n">
        <v>4</v>
      </c>
      <c r="L957" s="3" t="n">
        <v>535.26</v>
      </c>
      <c r="M957" s="4" t="n">
        <v>0.1</v>
      </c>
      <c r="N957" s="3" t="n">
        <v>1426.52</v>
      </c>
      <c r="O957" s="3">
        <f>K957*L957*(1-M957)</f>
        <v/>
      </c>
      <c r="P957" s="3">
        <f>O957-N957</f>
        <v/>
      </c>
      <c r="Q957" s="5">
        <f>IFERROR(P957/O957,0)</f>
        <v/>
      </c>
      <c r="R957" s="2">
        <f>TEXT(DATEVALUE(B957),"mmm")</f>
        <v/>
      </c>
      <c r="S957" s="2">
        <f>TEXT(DATEVALUE(B957),"yyyy-mm")</f>
        <v/>
      </c>
    </row>
    <row r="958">
      <c r="A958" s="2" t="inlineStr">
        <is>
          <t>O003500</t>
        </is>
      </c>
      <c r="B958" s="2" t="inlineStr">
        <is>
          <t>2025-03-11</t>
        </is>
      </c>
      <c r="C958" s="2" t="inlineStr">
        <is>
          <t>C0289</t>
        </is>
      </c>
      <c r="D958" s="2" t="inlineStr">
        <is>
          <t>P0022</t>
        </is>
      </c>
      <c r="E958" s="2" t="inlineStr">
        <is>
          <t>Face Wash</t>
        </is>
      </c>
      <c r="F958" s="2" t="inlineStr">
        <is>
          <t>Beauty</t>
        </is>
      </c>
      <c r="G958" s="2" t="inlineStr">
        <is>
          <t>South</t>
        </is>
      </c>
      <c r="H958" s="2" t="inlineStr">
        <is>
          <t>Kerala</t>
        </is>
      </c>
      <c r="I958" s="2" t="inlineStr">
        <is>
          <t>Kochi</t>
        </is>
      </c>
      <c r="J958" s="2" t="inlineStr">
        <is>
          <t>Online</t>
        </is>
      </c>
      <c r="K958" s="2" t="n">
        <v>2</v>
      </c>
      <c r="L958" s="3" t="n">
        <v>529.53</v>
      </c>
      <c r="M958" s="4" t="n">
        <v>0</v>
      </c>
      <c r="N958" s="3" t="n">
        <v>717.04</v>
      </c>
      <c r="O958" s="3">
        <f>K958*L958*(1-M958)</f>
        <v/>
      </c>
      <c r="P958" s="3">
        <f>O958-N958</f>
        <v/>
      </c>
      <c r="Q958" s="5">
        <f>IFERROR(P958/O958,0)</f>
        <v/>
      </c>
      <c r="R958" s="2">
        <f>TEXT(DATEVALUE(B958),"mmm")</f>
        <v/>
      </c>
      <c r="S958" s="2">
        <f>TEXT(DATEVALUE(B958),"yyyy-mm")</f>
        <v/>
      </c>
    </row>
    <row r="959">
      <c r="A959" s="2" t="inlineStr">
        <is>
          <t>O002813</t>
        </is>
      </c>
      <c r="B959" s="2" t="inlineStr">
        <is>
          <t>2025-03-11</t>
        </is>
      </c>
      <c r="C959" s="2" t="inlineStr">
        <is>
          <t>C0744</t>
        </is>
      </c>
      <c r="D959" s="2" t="inlineStr">
        <is>
          <t>P0003</t>
        </is>
      </c>
      <c r="E959" s="2" t="inlineStr">
        <is>
          <t>Smartwatch</t>
        </is>
      </c>
      <c r="F959" s="2" t="inlineStr">
        <is>
          <t>Electronics</t>
        </is>
      </c>
      <c r="G959" s="2" t="inlineStr">
        <is>
          <t>East</t>
        </is>
      </c>
      <c r="H959" s="2" t="inlineStr">
        <is>
          <t>Bihar</t>
        </is>
      </c>
      <c r="I959" s="2" t="inlineStr">
        <is>
          <t>Gaya</t>
        </is>
      </c>
      <c r="J959" s="2" t="inlineStr">
        <is>
          <t>Online</t>
        </is>
      </c>
      <c r="K959" s="2" t="n">
        <v>4</v>
      </c>
      <c r="L959" s="3" t="n">
        <v>2387.15</v>
      </c>
      <c r="M959" s="4" t="n">
        <v>0.05</v>
      </c>
      <c r="N959" s="3" t="n">
        <v>4801.46</v>
      </c>
      <c r="O959" s="3">
        <f>K959*L959*(1-M959)</f>
        <v/>
      </c>
      <c r="P959" s="3">
        <f>O959-N959</f>
        <v/>
      </c>
      <c r="Q959" s="5">
        <f>IFERROR(P959/O959,0)</f>
        <v/>
      </c>
      <c r="R959" s="2">
        <f>TEXT(DATEVALUE(B959),"mmm")</f>
        <v/>
      </c>
      <c r="S959" s="2">
        <f>TEXT(DATEVALUE(B959),"yyyy-mm")</f>
        <v/>
      </c>
    </row>
    <row r="960">
      <c r="A960" s="2" t="inlineStr">
        <is>
          <t>O002704</t>
        </is>
      </c>
      <c r="B960" s="2" t="inlineStr">
        <is>
          <t>2025-03-11</t>
        </is>
      </c>
      <c r="C960" s="2" t="inlineStr">
        <is>
          <t>C0427</t>
        </is>
      </c>
      <c r="D960" s="2" t="inlineStr">
        <is>
          <t>P0022</t>
        </is>
      </c>
      <c r="E960" s="2" t="inlineStr">
        <is>
          <t>Face Wash</t>
        </is>
      </c>
      <c r="F960" s="2" t="inlineStr">
        <is>
          <t>Beauty</t>
        </is>
      </c>
      <c r="G960" s="2" t="inlineStr">
        <is>
          <t>East</t>
        </is>
      </c>
      <c r="H960" s="2" t="inlineStr">
        <is>
          <t>Odisha</t>
        </is>
      </c>
      <c r="I960" s="2" t="inlineStr">
        <is>
          <t>Bhubaneswar</t>
        </is>
      </c>
      <c r="J960" s="2" t="inlineStr">
        <is>
          <t>Online</t>
        </is>
      </c>
      <c r="K960" s="2" t="n">
        <v>5</v>
      </c>
      <c r="L960" s="3" t="n">
        <v>559.3</v>
      </c>
      <c r="M960" s="4" t="n">
        <v>0.05</v>
      </c>
      <c r="N960" s="3" t="n">
        <v>1751.8</v>
      </c>
      <c r="O960" s="3">
        <f>K960*L960*(1-M960)</f>
        <v/>
      </c>
      <c r="P960" s="3">
        <f>O960-N960</f>
        <v/>
      </c>
      <c r="Q960" s="5">
        <f>IFERROR(P960/O960,0)</f>
        <v/>
      </c>
      <c r="R960" s="2">
        <f>TEXT(DATEVALUE(B960),"mmm")</f>
        <v/>
      </c>
      <c r="S960" s="2">
        <f>TEXT(DATEVALUE(B960),"yyyy-mm")</f>
        <v/>
      </c>
    </row>
    <row r="961">
      <c r="A961" s="2" t="inlineStr">
        <is>
          <t>O002276</t>
        </is>
      </c>
      <c r="B961" s="2" t="inlineStr">
        <is>
          <t>2025-03-11</t>
        </is>
      </c>
      <c r="C961" s="2" t="inlineStr">
        <is>
          <t>C0399</t>
        </is>
      </c>
      <c r="D961" s="2" t="inlineStr">
        <is>
          <t>P0032</t>
        </is>
      </c>
      <c r="E961" s="2" t="inlineStr">
        <is>
          <t>Football</t>
        </is>
      </c>
      <c r="F961" s="2" t="inlineStr">
        <is>
          <t>Sports</t>
        </is>
      </c>
      <c r="G961" s="2" t="inlineStr">
        <is>
          <t>South</t>
        </is>
      </c>
      <c r="H961" s="2" t="inlineStr">
        <is>
          <t>Karnataka</t>
        </is>
      </c>
      <c r="I961" s="2" t="inlineStr">
        <is>
          <t>Mysuru</t>
        </is>
      </c>
      <c r="J961" s="2" t="inlineStr">
        <is>
          <t>Online</t>
        </is>
      </c>
      <c r="K961" s="2" t="n">
        <v>1</v>
      </c>
      <c r="L961" s="3" t="n">
        <v>834.28</v>
      </c>
      <c r="M961" s="4" t="n">
        <v>0.15</v>
      </c>
      <c r="N961" s="3" t="n">
        <v>546.33</v>
      </c>
      <c r="O961" s="3">
        <f>K961*L961*(1-M961)</f>
        <v/>
      </c>
      <c r="P961" s="3">
        <f>O961-N961</f>
        <v/>
      </c>
      <c r="Q961" s="5">
        <f>IFERROR(P961/O961,0)</f>
        <v/>
      </c>
      <c r="R961" s="2">
        <f>TEXT(DATEVALUE(B961),"mmm")</f>
        <v/>
      </c>
      <c r="S961" s="2">
        <f>TEXT(DATEVALUE(B961),"yyyy-mm")</f>
        <v/>
      </c>
    </row>
    <row r="962">
      <c r="A962" s="2" t="inlineStr">
        <is>
          <t>O000947</t>
        </is>
      </c>
      <c r="B962" s="2" t="inlineStr">
        <is>
          <t>2025-03-11</t>
        </is>
      </c>
      <c r="C962" s="2" t="inlineStr">
        <is>
          <t>C0504</t>
        </is>
      </c>
      <c r="D962" s="2" t="inlineStr">
        <is>
          <t>P0016</t>
        </is>
      </c>
      <c r="E962" s="2" t="inlineStr">
        <is>
          <t>Casual Shirt</t>
        </is>
      </c>
      <c r="F962" s="2" t="inlineStr">
        <is>
          <t>Fashion</t>
        </is>
      </c>
      <c r="G962" s="2" t="inlineStr">
        <is>
          <t>South</t>
        </is>
      </c>
      <c r="H962" s="2" t="inlineStr">
        <is>
          <t>Tamil Nadu</t>
        </is>
      </c>
      <c r="I962" s="2" t="inlineStr">
        <is>
          <t>Coimbatore</t>
        </is>
      </c>
      <c r="J962" s="2" t="inlineStr">
        <is>
          <t>Online</t>
        </is>
      </c>
      <c r="K962" s="2" t="n">
        <v>5</v>
      </c>
      <c r="L962" s="3" t="n">
        <v>1230.76</v>
      </c>
      <c r="M962" s="4" t="n">
        <v>0.15</v>
      </c>
      <c r="N962" s="3" t="n">
        <v>4393.36</v>
      </c>
      <c r="O962" s="3">
        <f>K962*L962*(1-M962)</f>
        <v/>
      </c>
      <c r="P962" s="3">
        <f>O962-N962</f>
        <v/>
      </c>
      <c r="Q962" s="5">
        <f>IFERROR(P962/O962,0)</f>
        <v/>
      </c>
      <c r="R962" s="2">
        <f>TEXT(DATEVALUE(B962),"mmm")</f>
        <v/>
      </c>
      <c r="S962" s="2">
        <f>TEXT(DATEVALUE(B962),"yyyy-mm")</f>
        <v/>
      </c>
    </row>
    <row r="963">
      <c r="A963" s="2" t="inlineStr">
        <is>
          <t>O000628</t>
        </is>
      </c>
      <c r="B963" s="2" t="inlineStr">
        <is>
          <t>2025-03-11</t>
        </is>
      </c>
      <c r="C963" s="2" t="inlineStr">
        <is>
          <t>C0750</t>
        </is>
      </c>
      <c r="D963" s="2" t="inlineStr">
        <is>
          <t>P0015</t>
        </is>
      </c>
      <c r="E963" s="2" t="inlineStr">
        <is>
          <t>Running Shoes</t>
        </is>
      </c>
      <c r="F963" s="2" t="inlineStr">
        <is>
          <t>Fashion</t>
        </is>
      </c>
      <c r="G963" s="2" t="inlineStr">
        <is>
          <t>North</t>
        </is>
      </c>
      <c r="H963" s="2" t="inlineStr">
        <is>
          <t>Punjab</t>
        </is>
      </c>
      <c r="I963" s="2" t="inlineStr">
        <is>
          <t>Jalandhar</t>
        </is>
      </c>
      <c r="J963" s="2" t="inlineStr">
        <is>
          <t>Store</t>
        </is>
      </c>
      <c r="K963" s="2" t="n">
        <v>1</v>
      </c>
      <c r="L963" s="3" t="n">
        <v>611.9299999999999</v>
      </c>
      <c r="M963" s="4" t="n">
        <v>0.15</v>
      </c>
      <c r="N963" s="3" t="n">
        <v>372.21</v>
      </c>
      <c r="O963" s="3">
        <f>K963*L963*(1-M963)</f>
        <v/>
      </c>
      <c r="P963" s="3">
        <f>O963-N963</f>
        <v/>
      </c>
      <c r="Q963" s="5">
        <f>IFERROR(P963/O963,0)</f>
        <v/>
      </c>
      <c r="R963" s="2">
        <f>TEXT(DATEVALUE(B963),"mmm")</f>
        <v/>
      </c>
      <c r="S963" s="2">
        <f>TEXT(DATEVALUE(B963),"yyyy-mm")</f>
        <v/>
      </c>
    </row>
    <row r="964">
      <c r="A964" s="2" t="inlineStr">
        <is>
          <t>O002849</t>
        </is>
      </c>
      <c r="B964" s="2" t="inlineStr">
        <is>
          <t>2025-03-11</t>
        </is>
      </c>
      <c r="C964" s="2" t="inlineStr">
        <is>
          <t>C0719</t>
        </is>
      </c>
      <c r="D964" s="2" t="inlineStr">
        <is>
          <t>P0032</t>
        </is>
      </c>
      <c r="E964" s="2" t="inlineStr">
        <is>
          <t>Football</t>
        </is>
      </c>
      <c r="F964" s="2" t="inlineStr">
        <is>
          <t>Sports</t>
        </is>
      </c>
      <c r="G964" s="2" t="inlineStr">
        <is>
          <t>North</t>
        </is>
      </c>
      <c r="H964" s="2" t="inlineStr">
        <is>
          <t>Haryana</t>
        </is>
      </c>
      <c r="I964" s="2" t="inlineStr">
        <is>
          <t>Gurugram</t>
        </is>
      </c>
      <c r="J964" s="2" t="inlineStr">
        <is>
          <t>Online</t>
        </is>
      </c>
      <c r="K964" s="2" t="n">
        <v>2</v>
      </c>
      <c r="L964" s="3" t="n">
        <v>782.26</v>
      </c>
      <c r="M964" s="4" t="n">
        <v>0.05</v>
      </c>
      <c r="N964" s="3" t="n">
        <v>1042.44</v>
      </c>
      <c r="O964" s="3">
        <f>K964*L964*(1-M964)</f>
        <v/>
      </c>
      <c r="P964" s="3">
        <f>O964-N964</f>
        <v/>
      </c>
      <c r="Q964" s="5">
        <f>IFERROR(P964/O964,0)</f>
        <v/>
      </c>
      <c r="R964" s="2">
        <f>TEXT(DATEVALUE(B964),"mmm")</f>
        <v/>
      </c>
      <c r="S964" s="2">
        <f>TEXT(DATEVALUE(B964),"yyyy-mm")</f>
        <v/>
      </c>
    </row>
    <row r="965">
      <c r="A965" s="2" t="inlineStr">
        <is>
          <t>O004978</t>
        </is>
      </c>
      <c r="B965" s="2" t="inlineStr">
        <is>
          <t>2025-03-12</t>
        </is>
      </c>
      <c r="C965" s="2" t="inlineStr">
        <is>
          <t>C0698</t>
        </is>
      </c>
      <c r="D965" s="2" t="inlineStr">
        <is>
          <t>P0027</t>
        </is>
      </c>
      <c r="E965" s="2" t="inlineStr">
        <is>
          <t>Moisturizer</t>
        </is>
      </c>
      <c r="F965" s="2" t="inlineStr">
        <is>
          <t>Beauty</t>
        </is>
      </c>
      <c r="G965" s="2" t="inlineStr">
        <is>
          <t>South</t>
        </is>
      </c>
      <c r="H965" s="2" t="inlineStr">
        <is>
          <t>Karnataka</t>
        </is>
      </c>
      <c r="I965" s="2" t="inlineStr">
        <is>
          <t>Mangaluru</t>
        </is>
      </c>
      <c r="J965" s="2" t="inlineStr">
        <is>
          <t>Store</t>
        </is>
      </c>
      <c r="K965" s="2" t="n">
        <v>2</v>
      </c>
      <c r="L965" s="3" t="n">
        <v>928.12</v>
      </c>
      <c r="M965" s="4" t="n">
        <v>0.15</v>
      </c>
      <c r="N965" s="3" t="n">
        <v>1336.31</v>
      </c>
      <c r="O965" s="3">
        <f>K965*L965*(1-M965)</f>
        <v/>
      </c>
      <c r="P965" s="3">
        <f>O965-N965</f>
        <v/>
      </c>
      <c r="Q965" s="5">
        <f>IFERROR(P965/O965,0)</f>
        <v/>
      </c>
      <c r="R965" s="2">
        <f>TEXT(DATEVALUE(B965),"mmm")</f>
        <v/>
      </c>
      <c r="S965" s="2">
        <f>TEXT(DATEVALUE(B965),"yyyy-mm")</f>
        <v/>
      </c>
    </row>
    <row r="966">
      <c r="A966" s="2" t="inlineStr">
        <is>
          <t>O004727</t>
        </is>
      </c>
      <c r="B966" s="2" t="inlineStr">
        <is>
          <t>2025-03-12</t>
        </is>
      </c>
      <c r="C966" s="2" t="inlineStr">
        <is>
          <t>C0136</t>
        </is>
      </c>
      <c r="D966" s="2" t="inlineStr">
        <is>
          <t>P0012</t>
        </is>
      </c>
      <c r="E966" s="2" t="inlineStr">
        <is>
          <t>Water Bottle</t>
        </is>
      </c>
      <c r="F966" s="2" t="inlineStr">
        <is>
          <t>Home &amp; Kitchen</t>
        </is>
      </c>
      <c r="G966" s="2" t="inlineStr">
        <is>
          <t>West</t>
        </is>
      </c>
      <c r="H966" s="2" t="inlineStr">
        <is>
          <t>Goa</t>
        </is>
      </c>
      <c r="I966" s="2" t="inlineStr">
        <is>
          <t>Margao</t>
        </is>
      </c>
      <c r="J966" s="2" t="inlineStr">
        <is>
          <t>Online</t>
        </is>
      </c>
      <c r="K966" s="2" t="n">
        <v>6</v>
      </c>
      <c r="L966" s="3" t="n">
        <v>961.61</v>
      </c>
      <c r="M966" s="4" t="n">
        <v>0.05</v>
      </c>
      <c r="N966" s="3" t="n">
        <v>3749.57</v>
      </c>
      <c r="O966" s="3">
        <f>K966*L966*(1-M966)</f>
        <v/>
      </c>
      <c r="P966" s="3">
        <f>O966-N966</f>
        <v/>
      </c>
      <c r="Q966" s="5">
        <f>IFERROR(P966/O966,0)</f>
        <v/>
      </c>
      <c r="R966" s="2">
        <f>TEXT(DATEVALUE(B966),"mmm")</f>
        <v/>
      </c>
      <c r="S966" s="2">
        <f>TEXT(DATEVALUE(B966),"yyyy-mm")</f>
        <v/>
      </c>
    </row>
    <row r="967">
      <c r="A967" s="2" t="inlineStr">
        <is>
          <t>O004612</t>
        </is>
      </c>
      <c r="B967" s="2" t="inlineStr">
        <is>
          <t>2025-03-12</t>
        </is>
      </c>
      <c r="C967" s="2" t="inlineStr">
        <is>
          <t>C0798</t>
        </is>
      </c>
      <c r="D967" s="2" t="inlineStr">
        <is>
          <t>P0035</t>
        </is>
      </c>
      <c r="E967" s="2" t="inlineStr">
        <is>
          <t>Skipping Rope</t>
        </is>
      </c>
      <c r="F967" s="2" t="inlineStr">
        <is>
          <t>Sports</t>
        </is>
      </c>
      <c r="G967" s="2" t="inlineStr">
        <is>
          <t>North</t>
        </is>
      </c>
      <c r="H967" s="2" t="inlineStr">
        <is>
          <t>Punjab</t>
        </is>
      </c>
      <c r="I967" s="2" t="inlineStr">
        <is>
          <t>Amritsar</t>
        </is>
      </c>
      <c r="J967" s="2" t="inlineStr">
        <is>
          <t>Online</t>
        </is>
      </c>
      <c r="K967" s="2" t="n">
        <v>1</v>
      </c>
      <c r="L967" s="3" t="n">
        <v>699.78</v>
      </c>
      <c r="M967" s="4" t="n">
        <v>0.1</v>
      </c>
      <c r="N967" s="3" t="n">
        <v>413.45</v>
      </c>
      <c r="O967" s="3">
        <f>K967*L967*(1-M967)</f>
        <v/>
      </c>
      <c r="P967" s="3">
        <f>O967-N967</f>
        <v/>
      </c>
      <c r="Q967" s="5">
        <f>IFERROR(P967/O967,0)</f>
        <v/>
      </c>
      <c r="R967" s="2">
        <f>TEXT(DATEVALUE(B967),"mmm")</f>
        <v/>
      </c>
      <c r="S967" s="2">
        <f>TEXT(DATEVALUE(B967),"yyyy-mm")</f>
        <v/>
      </c>
    </row>
    <row r="968">
      <c r="A968" s="2" t="inlineStr">
        <is>
          <t>O004318</t>
        </is>
      </c>
      <c r="B968" s="2" t="inlineStr">
        <is>
          <t>2025-03-12</t>
        </is>
      </c>
      <c r="C968" s="2" t="inlineStr">
        <is>
          <t>C0231</t>
        </is>
      </c>
      <c r="D968" s="2" t="inlineStr">
        <is>
          <t>P0015</t>
        </is>
      </c>
      <c r="E968" s="2" t="inlineStr">
        <is>
          <t>Running Shoes</t>
        </is>
      </c>
      <c r="F968" s="2" t="inlineStr">
        <is>
          <t>Fashion</t>
        </is>
      </c>
      <c r="G968" s="2" t="inlineStr">
        <is>
          <t>West</t>
        </is>
      </c>
      <c r="H968" s="2" t="inlineStr">
        <is>
          <t>Goa</t>
        </is>
      </c>
      <c r="I968" s="2" t="inlineStr">
        <is>
          <t>Margao</t>
        </is>
      </c>
      <c r="J968" s="2" t="inlineStr">
        <is>
          <t>Online</t>
        </is>
      </c>
      <c r="K968" s="2" t="n">
        <v>1</v>
      </c>
      <c r="L968" s="3" t="n">
        <v>616.8</v>
      </c>
      <c r="M968" s="4" t="n">
        <v>0.15</v>
      </c>
      <c r="N968" s="3" t="n">
        <v>360.15</v>
      </c>
      <c r="O968" s="3">
        <f>K968*L968*(1-M968)</f>
        <v/>
      </c>
      <c r="P968" s="3">
        <f>O968-N968</f>
        <v/>
      </c>
      <c r="Q968" s="5">
        <f>IFERROR(P968/O968,0)</f>
        <v/>
      </c>
      <c r="R968" s="2">
        <f>TEXT(DATEVALUE(B968),"mmm")</f>
        <v/>
      </c>
      <c r="S968" s="2">
        <f>TEXT(DATEVALUE(B968),"yyyy-mm")</f>
        <v/>
      </c>
    </row>
    <row r="969">
      <c r="A969" s="2" t="inlineStr">
        <is>
          <t>O002186</t>
        </is>
      </c>
      <c r="B969" s="2" t="inlineStr">
        <is>
          <t>2025-03-12</t>
        </is>
      </c>
      <c r="C969" s="2" t="inlineStr">
        <is>
          <t>C0519</t>
        </is>
      </c>
      <c r="D969" s="2" t="inlineStr">
        <is>
          <t>P0015</t>
        </is>
      </c>
      <c r="E969" s="2" t="inlineStr">
        <is>
          <t>Running Shoes</t>
        </is>
      </c>
      <c r="F969" s="2" t="inlineStr">
        <is>
          <t>Fashion</t>
        </is>
      </c>
      <c r="G969" s="2" t="inlineStr">
        <is>
          <t>West</t>
        </is>
      </c>
      <c r="H969" s="2" t="inlineStr">
        <is>
          <t>Gujarat</t>
        </is>
      </c>
      <c r="I969" s="2" t="inlineStr">
        <is>
          <t>Ahmedabad</t>
        </is>
      </c>
      <c r="J969" s="2" t="inlineStr">
        <is>
          <t>Online</t>
        </is>
      </c>
      <c r="K969" s="2" t="n">
        <v>6</v>
      </c>
      <c r="L969" s="3" t="n">
        <v>581.41</v>
      </c>
      <c r="M969" s="4" t="n">
        <v>0.15</v>
      </c>
      <c r="N969" s="3" t="n">
        <v>2209.55</v>
      </c>
      <c r="O969" s="3">
        <f>K969*L969*(1-M969)</f>
        <v/>
      </c>
      <c r="P969" s="3">
        <f>O969-N969</f>
        <v/>
      </c>
      <c r="Q969" s="5">
        <f>IFERROR(P969/O969,0)</f>
        <v/>
      </c>
      <c r="R969" s="2">
        <f>TEXT(DATEVALUE(B969),"mmm")</f>
        <v/>
      </c>
      <c r="S969" s="2">
        <f>TEXT(DATEVALUE(B969),"yyyy-mm")</f>
        <v/>
      </c>
    </row>
    <row r="970">
      <c r="A970" s="2" t="inlineStr">
        <is>
          <t>O002728</t>
        </is>
      </c>
      <c r="B970" s="2" t="inlineStr">
        <is>
          <t>2025-03-12</t>
        </is>
      </c>
      <c r="C970" s="2" t="inlineStr">
        <is>
          <t>C0417</t>
        </is>
      </c>
      <c r="D970" s="2" t="inlineStr">
        <is>
          <t>P0031</t>
        </is>
      </c>
      <c r="E970" s="2" t="inlineStr">
        <is>
          <t>Cricket Bat</t>
        </is>
      </c>
      <c r="F970" s="2" t="inlineStr">
        <is>
          <t>Sports</t>
        </is>
      </c>
      <c r="G970" s="2" t="inlineStr">
        <is>
          <t>North</t>
        </is>
      </c>
      <c r="H970" s="2" t="inlineStr">
        <is>
          <t>Punjab</t>
        </is>
      </c>
      <c r="I970" s="2" t="inlineStr">
        <is>
          <t>Jalandhar</t>
        </is>
      </c>
      <c r="J970" s="2" t="inlineStr">
        <is>
          <t>Store</t>
        </is>
      </c>
      <c r="K970" s="2" t="n">
        <v>2</v>
      </c>
      <c r="L970" s="3" t="n">
        <v>1423.55</v>
      </c>
      <c r="M970" s="4" t="n">
        <v>0.05</v>
      </c>
      <c r="N970" s="3" t="n">
        <v>1954.8</v>
      </c>
      <c r="O970" s="3">
        <f>K970*L970*(1-M970)</f>
        <v/>
      </c>
      <c r="P970" s="3">
        <f>O970-N970</f>
        <v/>
      </c>
      <c r="Q970" s="5">
        <f>IFERROR(P970/O970,0)</f>
        <v/>
      </c>
      <c r="R970" s="2">
        <f>TEXT(DATEVALUE(B970),"mmm")</f>
        <v/>
      </c>
      <c r="S970" s="2">
        <f>TEXT(DATEVALUE(B970),"yyyy-mm")</f>
        <v/>
      </c>
    </row>
    <row r="971">
      <c r="A971" s="2" t="inlineStr">
        <is>
          <t>O002971</t>
        </is>
      </c>
      <c r="B971" s="2" t="inlineStr">
        <is>
          <t>2025-03-13</t>
        </is>
      </c>
      <c r="C971" s="2" t="inlineStr">
        <is>
          <t>C0270</t>
        </is>
      </c>
      <c r="D971" s="2" t="inlineStr">
        <is>
          <t>P0007</t>
        </is>
      </c>
      <c r="E971" s="2" t="inlineStr">
        <is>
          <t>Wireless Mouse</t>
        </is>
      </c>
      <c r="F971" s="2" t="inlineStr">
        <is>
          <t>Electronics</t>
        </is>
      </c>
      <c r="G971" s="2" t="inlineStr">
        <is>
          <t>West</t>
        </is>
      </c>
      <c r="H971" s="2" t="inlineStr">
        <is>
          <t>Gujarat</t>
        </is>
      </c>
      <c r="I971" s="2" t="inlineStr">
        <is>
          <t>Ahmedabad</t>
        </is>
      </c>
      <c r="J971" s="2" t="inlineStr">
        <is>
          <t>Online</t>
        </is>
      </c>
      <c r="K971" s="2" t="n">
        <v>1</v>
      </c>
      <c r="L971" s="3" t="n">
        <v>964.86</v>
      </c>
      <c r="M971" s="4" t="n">
        <v>0.1</v>
      </c>
      <c r="N971" s="3" t="n">
        <v>627.4299999999999</v>
      </c>
      <c r="O971" s="3">
        <f>K971*L971*(1-M971)</f>
        <v/>
      </c>
      <c r="P971" s="3">
        <f>O971-N971</f>
        <v/>
      </c>
      <c r="Q971" s="5">
        <f>IFERROR(P971/O971,0)</f>
        <v/>
      </c>
      <c r="R971" s="2">
        <f>TEXT(DATEVALUE(B971),"mmm")</f>
        <v/>
      </c>
      <c r="S971" s="2">
        <f>TEXT(DATEVALUE(B971),"yyyy-mm")</f>
        <v/>
      </c>
    </row>
    <row r="972">
      <c r="A972" s="2" t="inlineStr">
        <is>
          <t>O004993</t>
        </is>
      </c>
      <c r="B972" s="2" t="inlineStr">
        <is>
          <t>2025-03-13</t>
        </is>
      </c>
      <c r="C972" s="2" t="inlineStr">
        <is>
          <t>C0552</t>
        </is>
      </c>
      <c r="D972" s="2" t="inlineStr">
        <is>
          <t>P0019</t>
        </is>
      </c>
      <c r="E972" s="2" t="inlineStr">
        <is>
          <t>Jacket</t>
        </is>
      </c>
      <c r="F972" s="2" t="inlineStr">
        <is>
          <t>Fashion</t>
        </is>
      </c>
      <c r="G972" s="2" t="inlineStr">
        <is>
          <t>South</t>
        </is>
      </c>
      <c r="H972" s="2" t="inlineStr">
        <is>
          <t>Tamil Nadu</t>
        </is>
      </c>
      <c r="I972" s="2" t="inlineStr">
        <is>
          <t>Chennai</t>
        </is>
      </c>
      <c r="J972" s="2" t="inlineStr">
        <is>
          <t>Online</t>
        </is>
      </c>
      <c r="K972" s="2" t="n">
        <v>2</v>
      </c>
      <c r="L972" s="3" t="n">
        <v>1009.79</v>
      </c>
      <c r="M972" s="4" t="n">
        <v>0.05</v>
      </c>
      <c r="N972" s="3" t="n">
        <v>1326</v>
      </c>
      <c r="O972" s="3">
        <f>K972*L972*(1-M972)</f>
        <v/>
      </c>
      <c r="P972" s="3">
        <f>O972-N972</f>
        <v/>
      </c>
      <c r="Q972" s="5">
        <f>IFERROR(P972/O972,0)</f>
        <v/>
      </c>
      <c r="R972" s="2">
        <f>TEXT(DATEVALUE(B972),"mmm")</f>
        <v/>
      </c>
      <c r="S972" s="2">
        <f>TEXT(DATEVALUE(B972),"yyyy-mm")</f>
        <v/>
      </c>
    </row>
    <row r="973">
      <c r="A973" s="2" t="inlineStr">
        <is>
          <t>O004588</t>
        </is>
      </c>
      <c r="B973" s="2" t="inlineStr">
        <is>
          <t>2025-03-13</t>
        </is>
      </c>
      <c r="C973" s="2" t="inlineStr">
        <is>
          <t>C0606</t>
        </is>
      </c>
      <c r="D973" s="2" t="inlineStr">
        <is>
          <t>P0019</t>
        </is>
      </c>
      <c r="E973" s="2" t="inlineStr">
        <is>
          <t>Jacket</t>
        </is>
      </c>
      <c r="F973" s="2" t="inlineStr">
        <is>
          <t>Fashion</t>
        </is>
      </c>
      <c r="G973" s="2" t="inlineStr">
        <is>
          <t>West</t>
        </is>
      </c>
      <c r="H973" s="2" t="inlineStr">
        <is>
          <t>Goa</t>
        </is>
      </c>
      <c r="I973" s="2" t="inlineStr">
        <is>
          <t>Margao</t>
        </is>
      </c>
      <c r="J973" s="2" t="inlineStr">
        <is>
          <t>Online</t>
        </is>
      </c>
      <c r="K973" s="2" t="n">
        <v>2</v>
      </c>
      <c r="L973" s="3" t="n">
        <v>1025.22</v>
      </c>
      <c r="M973" s="4" t="n">
        <v>0.05</v>
      </c>
      <c r="N973" s="3" t="n">
        <v>1351.56</v>
      </c>
      <c r="O973" s="3">
        <f>K973*L973*(1-M973)</f>
        <v/>
      </c>
      <c r="P973" s="3">
        <f>O973-N973</f>
        <v/>
      </c>
      <c r="Q973" s="5">
        <f>IFERROR(P973/O973,0)</f>
        <v/>
      </c>
      <c r="R973" s="2">
        <f>TEXT(DATEVALUE(B973),"mmm")</f>
        <v/>
      </c>
      <c r="S973" s="2">
        <f>TEXT(DATEVALUE(B973),"yyyy-mm")</f>
        <v/>
      </c>
    </row>
    <row r="974">
      <c r="A974" s="2" t="inlineStr">
        <is>
          <t>O003281</t>
        </is>
      </c>
      <c r="B974" s="2" t="inlineStr">
        <is>
          <t>2025-03-13</t>
        </is>
      </c>
      <c r="C974" s="2" t="inlineStr">
        <is>
          <t>C0219</t>
        </is>
      </c>
      <c r="D974" s="2" t="inlineStr">
        <is>
          <t>P0013</t>
        </is>
      </c>
      <c r="E974" s="2" t="inlineStr">
        <is>
          <t>Storage Organizer</t>
        </is>
      </c>
      <c r="F974" s="2" t="inlineStr">
        <is>
          <t>Home &amp; Kitchen</t>
        </is>
      </c>
      <c r="G974" s="2" t="inlineStr">
        <is>
          <t>West</t>
        </is>
      </c>
      <c r="H974" s="2" t="inlineStr">
        <is>
          <t>Maharashtra</t>
        </is>
      </c>
      <c r="I974" s="2" t="inlineStr">
        <is>
          <t>Nashik</t>
        </is>
      </c>
      <c r="J974" s="2" t="inlineStr">
        <is>
          <t>Store</t>
        </is>
      </c>
      <c r="K974" s="2" t="n">
        <v>1</v>
      </c>
      <c r="L974" s="3" t="n">
        <v>579.42</v>
      </c>
      <c r="M974" s="4" t="n">
        <v>0.1</v>
      </c>
      <c r="N974" s="3" t="n">
        <v>373.6</v>
      </c>
      <c r="O974" s="3">
        <f>K974*L974*(1-M974)</f>
        <v/>
      </c>
      <c r="P974" s="3">
        <f>O974-N974</f>
        <v/>
      </c>
      <c r="Q974" s="5">
        <f>IFERROR(P974/O974,0)</f>
        <v/>
      </c>
      <c r="R974" s="2">
        <f>TEXT(DATEVALUE(B974),"mmm")</f>
        <v/>
      </c>
      <c r="S974" s="2">
        <f>TEXT(DATEVALUE(B974),"yyyy-mm")</f>
        <v/>
      </c>
    </row>
    <row r="975">
      <c r="A975" s="2" t="inlineStr">
        <is>
          <t>O003215</t>
        </is>
      </c>
      <c r="B975" s="2" t="inlineStr">
        <is>
          <t>2025-03-13</t>
        </is>
      </c>
      <c r="C975" s="2" t="inlineStr">
        <is>
          <t>C0138</t>
        </is>
      </c>
      <c r="D975" s="2" t="inlineStr">
        <is>
          <t>P0004</t>
        </is>
      </c>
      <c r="E975" s="2" t="inlineStr">
        <is>
          <t>USB-C Hub</t>
        </is>
      </c>
      <c r="F975" s="2" t="inlineStr">
        <is>
          <t>Electronics</t>
        </is>
      </c>
      <c r="G975" s="2" t="inlineStr">
        <is>
          <t>East</t>
        </is>
      </c>
      <c r="H975" s="2" t="inlineStr">
        <is>
          <t>West Bengal</t>
        </is>
      </c>
      <c r="I975" s="2" t="inlineStr">
        <is>
          <t>Durgapur</t>
        </is>
      </c>
      <c r="J975" s="2" t="inlineStr">
        <is>
          <t>Online</t>
        </is>
      </c>
      <c r="K975" s="2" t="n">
        <v>3</v>
      </c>
      <c r="L975" s="3" t="n">
        <v>1216.41</v>
      </c>
      <c r="M975" s="4" t="n">
        <v>0.05</v>
      </c>
      <c r="N975" s="3" t="n">
        <v>2848.34</v>
      </c>
      <c r="O975" s="3">
        <f>K975*L975*(1-M975)</f>
        <v/>
      </c>
      <c r="P975" s="3">
        <f>O975-N975</f>
        <v/>
      </c>
      <c r="Q975" s="5">
        <f>IFERROR(P975/O975,0)</f>
        <v/>
      </c>
      <c r="R975" s="2">
        <f>TEXT(DATEVALUE(B975),"mmm")</f>
        <v/>
      </c>
      <c r="S975" s="2">
        <f>TEXT(DATEVALUE(B975),"yyyy-mm")</f>
        <v/>
      </c>
    </row>
    <row r="976">
      <c r="A976" s="2" t="inlineStr">
        <is>
          <t>O002674</t>
        </is>
      </c>
      <c r="B976" s="2" t="inlineStr">
        <is>
          <t>2025-03-13</t>
        </is>
      </c>
      <c r="C976" s="2" t="inlineStr">
        <is>
          <t>C0147</t>
        </is>
      </c>
      <c r="D976" s="2" t="inlineStr">
        <is>
          <t>P0002</t>
        </is>
      </c>
      <c r="E976" s="2" t="inlineStr">
        <is>
          <t>Bluetooth Speaker</t>
        </is>
      </c>
      <c r="F976" s="2" t="inlineStr">
        <is>
          <t>Electronics</t>
        </is>
      </c>
      <c r="G976" s="2" t="inlineStr">
        <is>
          <t>East</t>
        </is>
      </c>
      <c r="H976" s="2" t="inlineStr">
        <is>
          <t>West Bengal</t>
        </is>
      </c>
      <c r="I976" s="2" t="inlineStr">
        <is>
          <t>Kolkata</t>
        </is>
      </c>
      <c r="J976" s="2" t="inlineStr">
        <is>
          <t>Online</t>
        </is>
      </c>
      <c r="K976" s="2" t="n">
        <v>4</v>
      </c>
      <c r="L976" s="3" t="n">
        <v>1410.05</v>
      </c>
      <c r="M976" s="4" t="n">
        <v>0.15</v>
      </c>
      <c r="N976" s="3" t="n">
        <v>3271.67</v>
      </c>
      <c r="O976" s="3">
        <f>K976*L976*(1-M976)</f>
        <v/>
      </c>
      <c r="P976" s="3">
        <f>O976-N976</f>
        <v/>
      </c>
      <c r="Q976" s="5">
        <f>IFERROR(P976/O976,0)</f>
        <v/>
      </c>
      <c r="R976" s="2">
        <f>TEXT(DATEVALUE(B976),"mmm")</f>
        <v/>
      </c>
      <c r="S976" s="2">
        <f>TEXT(DATEVALUE(B976),"yyyy-mm")</f>
        <v/>
      </c>
    </row>
    <row r="977">
      <c r="A977" s="2" t="inlineStr">
        <is>
          <t>O003603</t>
        </is>
      </c>
      <c r="B977" s="2" t="inlineStr">
        <is>
          <t>2025-03-13</t>
        </is>
      </c>
      <c r="C977" s="2" t="inlineStr">
        <is>
          <t>C0077</t>
        </is>
      </c>
      <c r="D977" s="2" t="inlineStr">
        <is>
          <t>P0006</t>
        </is>
      </c>
      <c r="E977" s="2" t="inlineStr">
        <is>
          <t>Mechanical Keyboard</t>
        </is>
      </c>
      <c r="F977" s="2" t="inlineStr">
        <is>
          <t>Electronics</t>
        </is>
      </c>
      <c r="G977" s="2" t="inlineStr">
        <is>
          <t>West</t>
        </is>
      </c>
      <c r="H977" s="2" t="inlineStr">
        <is>
          <t>Gujarat</t>
        </is>
      </c>
      <c r="I977" s="2" t="inlineStr">
        <is>
          <t>Vadodara</t>
        </is>
      </c>
      <c r="J977" s="2" t="inlineStr">
        <is>
          <t>Store</t>
        </is>
      </c>
      <c r="K977" s="2" t="n">
        <v>5</v>
      </c>
      <c r="L977" s="3" t="n">
        <v>2611.8</v>
      </c>
      <c r="M977" s="4" t="n">
        <v>0.05</v>
      </c>
      <c r="N977" s="3" t="n">
        <v>7571.85</v>
      </c>
      <c r="O977" s="3">
        <f>K977*L977*(1-M977)</f>
        <v/>
      </c>
      <c r="P977" s="3">
        <f>O977-N977</f>
        <v/>
      </c>
      <c r="Q977" s="5">
        <f>IFERROR(P977/O977,0)</f>
        <v/>
      </c>
      <c r="R977" s="2">
        <f>TEXT(DATEVALUE(B977),"mmm")</f>
        <v/>
      </c>
      <c r="S977" s="2">
        <f>TEXT(DATEVALUE(B977),"yyyy-mm")</f>
        <v/>
      </c>
    </row>
    <row r="978">
      <c r="A978" s="2" t="inlineStr">
        <is>
          <t>O001794</t>
        </is>
      </c>
      <c r="B978" s="2" t="inlineStr">
        <is>
          <t>2025-03-13</t>
        </is>
      </c>
      <c r="C978" s="2" t="inlineStr">
        <is>
          <t>C0328</t>
        </is>
      </c>
      <c r="D978" s="2" t="inlineStr">
        <is>
          <t>P0027</t>
        </is>
      </c>
      <c r="E978" s="2" t="inlineStr">
        <is>
          <t>Moisturizer</t>
        </is>
      </c>
      <c r="F978" s="2" t="inlineStr">
        <is>
          <t>Beauty</t>
        </is>
      </c>
      <c r="G978" s="2" t="inlineStr">
        <is>
          <t>North</t>
        </is>
      </c>
      <c r="H978" s="2" t="inlineStr">
        <is>
          <t>Uttar Pradesh</t>
        </is>
      </c>
      <c r="I978" s="2" t="inlineStr">
        <is>
          <t>Lucknow</t>
        </is>
      </c>
      <c r="J978" s="2" t="inlineStr">
        <is>
          <t>Store</t>
        </is>
      </c>
      <c r="K978" s="2" t="n">
        <v>5</v>
      </c>
      <c r="L978" s="3" t="n">
        <v>965.35</v>
      </c>
      <c r="M978" s="4" t="n">
        <v>0.2</v>
      </c>
      <c r="N978" s="3" t="n">
        <v>3415.27</v>
      </c>
      <c r="O978" s="3">
        <f>K978*L978*(1-M978)</f>
        <v/>
      </c>
      <c r="P978" s="3">
        <f>O978-N978</f>
        <v/>
      </c>
      <c r="Q978" s="5">
        <f>IFERROR(P978/O978,0)</f>
        <v/>
      </c>
      <c r="R978" s="2">
        <f>TEXT(DATEVALUE(B978),"mmm")</f>
        <v/>
      </c>
      <c r="S978" s="2">
        <f>TEXT(DATEVALUE(B978),"yyyy-mm")</f>
        <v/>
      </c>
    </row>
    <row r="979">
      <c r="A979" s="2" t="inlineStr">
        <is>
          <t>O001790</t>
        </is>
      </c>
      <c r="B979" s="2" t="inlineStr">
        <is>
          <t>2025-03-13</t>
        </is>
      </c>
      <c r="C979" s="2" t="inlineStr">
        <is>
          <t>C0215</t>
        </is>
      </c>
      <c r="D979" s="2" t="inlineStr">
        <is>
          <t>P0023</t>
        </is>
      </c>
      <c r="E979" s="2" t="inlineStr">
        <is>
          <t>Skin Care Kit</t>
        </is>
      </c>
      <c r="F979" s="2" t="inlineStr">
        <is>
          <t>Beauty</t>
        </is>
      </c>
      <c r="G979" s="2" t="inlineStr">
        <is>
          <t>North</t>
        </is>
      </c>
      <c r="H979" s="2" t="inlineStr">
        <is>
          <t>Delhi</t>
        </is>
      </c>
      <c r="I979" s="2" t="inlineStr">
        <is>
          <t>New Delhi</t>
        </is>
      </c>
      <c r="J979" s="2" t="inlineStr">
        <is>
          <t>Online</t>
        </is>
      </c>
      <c r="K979" s="2" t="n">
        <v>2</v>
      </c>
      <c r="L979" s="3" t="n">
        <v>1447.14</v>
      </c>
      <c r="M979" s="4" t="n">
        <v>0.05</v>
      </c>
      <c r="N979" s="3" t="n">
        <v>1800.46</v>
      </c>
      <c r="O979" s="3">
        <f>K979*L979*(1-M979)</f>
        <v/>
      </c>
      <c r="P979" s="3">
        <f>O979-N979</f>
        <v/>
      </c>
      <c r="Q979" s="5">
        <f>IFERROR(P979/O979,0)</f>
        <v/>
      </c>
      <c r="R979" s="2">
        <f>TEXT(DATEVALUE(B979),"mmm")</f>
        <v/>
      </c>
      <c r="S979" s="2">
        <f>TEXT(DATEVALUE(B979),"yyyy-mm")</f>
        <v/>
      </c>
    </row>
    <row r="980">
      <c r="A980" s="2" t="inlineStr">
        <is>
          <t>O001760</t>
        </is>
      </c>
      <c r="B980" s="2" t="inlineStr">
        <is>
          <t>2025-03-13</t>
        </is>
      </c>
      <c r="C980" s="2" t="inlineStr">
        <is>
          <t>C0345</t>
        </is>
      </c>
      <c r="D980" s="2" t="inlineStr">
        <is>
          <t>P0030</t>
        </is>
      </c>
      <c r="E980" s="2" t="inlineStr">
        <is>
          <t>Dumbbells</t>
        </is>
      </c>
      <c r="F980" s="2" t="inlineStr">
        <is>
          <t>Sports</t>
        </is>
      </c>
      <c r="G980" s="2" t="inlineStr">
        <is>
          <t>West</t>
        </is>
      </c>
      <c r="H980" s="2" t="inlineStr">
        <is>
          <t>Maharashtra</t>
        </is>
      </c>
      <c r="I980" s="2" t="inlineStr">
        <is>
          <t>Mumbai</t>
        </is>
      </c>
      <c r="J980" s="2" t="inlineStr">
        <is>
          <t>Online</t>
        </is>
      </c>
      <c r="K980" s="2" t="n">
        <v>1</v>
      </c>
      <c r="L980" s="3" t="n">
        <v>1498.99</v>
      </c>
      <c r="M980" s="4" t="n">
        <v>0.1</v>
      </c>
      <c r="N980" s="3" t="n">
        <v>1031.23</v>
      </c>
      <c r="O980" s="3">
        <f>K980*L980*(1-M980)</f>
        <v/>
      </c>
      <c r="P980" s="3">
        <f>O980-N980</f>
        <v/>
      </c>
      <c r="Q980" s="5">
        <f>IFERROR(P980/O980,0)</f>
        <v/>
      </c>
      <c r="R980" s="2">
        <f>TEXT(DATEVALUE(B980),"mmm")</f>
        <v/>
      </c>
      <c r="S980" s="2">
        <f>TEXT(DATEVALUE(B980),"yyyy-mm")</f>
        <v/>
      </c>
    </row>
    <row r="981">
      <c r="A981" s="2" t="inlineStr">
        <is>
          <t>O001548</t>
        </is>
      </c>
      <c r="B981" s="2" t="inlineStr">
        <is>
          <t>2025-03-13</t>
        </is>
      </c>
      <c r="C981" s="2" t="inlineStr">
        <is>
          <t>C0733</t>
        </is>
      </c>
      <c r="D981" s="2" t="inlineStr">
        <is>
          <t>P0031</t>
        </is>
      </c>
      <c r="E981" s="2" t="inlineStr">
        <is>
          <t>Cricket Bat</t>
        </is>
      </c>
      <c r="F981" s="2" t="inlineStr">
        <is>
          <t>Sports</t>
        </is>
      </c>
      <c r="G981" s="2" t="inlineStr">
        <is>
          <t>East</t>
        </is>
      </c>
      <c r="H981" s="2" t="inlineStr">
        <is>
          <t>Odisha</t>
        </is>
      </c>
      <c r="I981" s="2" t="inlineStr">
        <is>
          <t>Bhubaneswar</t>
        </is>
      </c>
      <c r="J981" s="2" t="inlineStr">
        <is>
          <t>Online</t>
        </is>
      </c>
      <c r="K981" s="2" t="n">
        <v>1</v>
      </c>
      <c r="L981" s="3" t="n">
        <v>1432.87</v>
      </c>
      <c r="M981" s="4" t="n">
        <v>0.1</v>
      </c>
      <c r="N981" s="3" t="n">
        <v>954.8099999999999</v>
      </c>
      <c r="O981" s="3">
        <f>K981*L981*(1-M981)</f>
        <v/>
      </c>
      <c r="P981" s="3">
        <f>O981-N981</f>
        <v/>
      </c>
      <c r="Q981" s="5">
        <f>IFERROR(P981/O981,0)</f>
        <v/>
      </c>
      <c r="R981" s="2">
        <f>TEXT(DATEVALUE(B981),"mmm")</f>
        <v/>
      </c>
      <c r="S981" s="2">
        <f>TEXT(DATEVALUE(B981),"yyyy-mm")</f>
        <v/>
      </c>
    </row>
    <row r="982">
      <c r="A982" s="2" t="inlineStr">
        <is>
          <t>O000765</t>
        </is>
      </c>
      <c r="B982" s="2" t="inlineStr">
        <is>
          <t>2025-03-13</t>
        </is>
      </c>
      <c r="C982" s="2" t="inlineStr">
        <is>
          <t>C0393</t>
        </is>
      </c>
      <c r="D982" s="2" t="inlineStr">
        <is>
          <t>P0004</t>
        </is>
      </c>
      <c r="E982" s="2" t="inlineStr">
        <is>
          <t>USB-C Hub</t>
        </is>
      </c>
      <c r="F982" s="2" t="inlineStr">
        <is>
          <t>Electronics</t>
        </is>
      </c>
      <c r="G982" s="2" t="inlineStr">
        <is>
          <t>West</t>
        </is>
      </c>
      <c r="H982" s="2" t="inlineStr">
        <is>
          <t>Gujarat</t>
        </is>
      </c>
      <c r="I982" s="2" t="inlineStr">
        <is>
          <t>Surat</t>
        </is>
      </c>
      <c r="J982" s="2" t="inlineStr">
        <is>
          <t>Online</t>
        </is>
      </c>
      <c r="K982" s="2" t="n">
        <v>1</v>
      </c>
      <c r="L982" s="3" t="n">
        <v>1292.46</v>
      </c>
      <c r="M982" s="4" t="n">
        <v>0.25</v>
      </c>
      <c r="N982" s="3" t="n">
        <v>913.3099999999999</v>
      </c>
      <c r="O982" s="3">
        <f>K982*L982*(1-M982)</f>
        <v/>
      </c>
      <c r="P982" s="3">
        <f>O982-N982</f>
        <v/>
      </c>
      <c r="Q982" s="5">
        <f>IFERROR(P982/O982,0)</f>
        <v/>
      </c>
      <c r="R982" s="2">
        <f>TEXT(DATEVALUE(B982),"mmm")</f>
        <v/>
      </c>
      <c r="S982" s="2">
        <f>TEXT(DATEVALUE(B982),"yyyy-mm")</f>
        <v/>
      </c>
    </row>
    <row r="983">
      <c r="A983" s="2" t="inlineStr">
        <is>
          <t>O000005</t>
        </is>
      </c>
      <c r="B983" s="2" t="inlineStr">
        <is>
          <t>2025-03-13</t>
        </is>
      </c>
      <c r="C983" s="2" t="inlineStr">
        <is>
          <t>C0644</t>
        </is>
      </c>
      <c r="D983" s="2" t="inlineStr">
        <is>
          <t>P0024</t>
        </is>
      </c>
      <c r="E983" s="2" t="inlineStr">
        <is>
          <t>Hair Dryer</t>
        </is>
      </c>
      <c r="F983" s="2" t="inlineStr">
        <is>
          <t>Beauty</t>
        </is>
      </c>
      <c r="G983" s="2" t="inlineStr">
        <is>
          <t>West</t>
        </is>
      </c>
      <c r="H983" s="2" t="inlineStr">
        <is>
          <t>Maharashtra</t>
        </is>
      </c>
      <c r="I983" s="2" t="inlineStr">
        <is>
          <t>Nashik</t>
        </is>
      </c>
      <c r="J983" s="2" t="inlineStr">
        <is>
          <t>Online</t>
        </is>
      </c>
      <c r="K983" s="2" t="n">
        <v>1</v>
      </c>
      <c r="L983" s="3" t="n">
        <v>1030.09</v>
      </c>
      <c r="M983" s="4" t="n">
        <v>0</v>
      </c>
      <c r="N983" s="3" t="n">
        <v>748.75</v>
      </c>
      <c r="O983" s="3">
        <f>K983*L983*(1-M983)</f>
        <v/>
      </c>
      <c r="P983" s="3">
        <f>O983-N983</f>
        <v/>
      </c>
      <c r="Q983" s="5">
        <f>IFERROR(P983/O983,0)</f>
        <v/>
      </c>
      <c r="R983" s="2">
        <f>TEXT(DATEVALUE(B983),"mmm")</f>
        <v/>
      </c>
      <c r="S983" s="2">
        <f>TEXT(DATEVALUE(B983),"yyyy-mm")</f>
        <v/>
      </c>
    </row>
    <row r="984">
      <c r="A984" s="2" t="inlineStr">
        <is>
          <t>O002210</t>
        </is>
      </c>
      <c r="B984" s="2" t="inlineStr">
        <is>
          <t>2025-03-13</t>
        </is>
      </c>
      <c r="C984" s="2" t="inlineStr">
        <is>
          <t>C0208</t>
        </is>
      </c>
      <c r="D984" s="2" t="inlineStr">
        <is>
          <t>P0024</t>
        </is>
      </c>
      <c r="E984" s="2" t="inlineStr">
        <is>
          <t>Hair Dryer</t>
        </is>
      </c>
      <c r="F984" s="2" t="inlineStr">
        <is>
          <t>Beauty</t>
        </is>
      </c>
      <c r="G984" s="2" t="inlineStr">
        <is>
          <t>North</t>
        </is>
      </c>
      <c r="H984" s="2" t="inlineStr">
        <is>
          <t>Uttar Pradesh</t>
        </is>
      </c>
      <c r="I984" s="2" t="inlineStr">
        <is>
          <t>Noida</t>
        </is>
      </c>
      <c r="J984" s="2" t="inlineStr">
        <is>
          <t>Online</t>
        </is>
      </c>
      <c r="K984" s="2" t="n">
        <v>1</v>
      </c>
      <c r="L984" s="3" t="n">
        <v>978.24</v>
      </c>
      <c r="M984" s="4" t="n">
        <v>0.05</v>
      </c>
      <c r="N984" s="3" t="n">
        <v>755.76</v>
      </c>
      <c r="O984" s="3">
        <f>K984*L984*(1-M984)</f>
        <v/>
      </c>
      <c r="P984" s="3">
        <f>O984-N984</f>
        <v/>
      </c>
      <c r="Q984" s="5">
        <f>IFERROR(P984/O984,0)</f>
        <v/>
      </c>
      <c r="R984" s="2">
        <f>TEXT(DATEVALUE(B984),"mmm")</f>
        <v/>
      </c>
      <c r="S984" s="2">
        <f>TEXT(DATEVALUE(B984),"yyyy-mm")</f>
        <v/>
      </c>
    </row>
    <row r="985">
      <c r="A985" s="2" t="inlineStr">
        <is>
          <t>O004954</t>
        </is>
      </c>
      <c r="B985" s="2" t="inlineStr">
        <is>
          <t>2025-03-14</t>
        </is>
      </c>
      <c r="C985" s="2" t="inlineStr">
        <is>
          <t>C0432</t>
        </is>
      </c>
      <c r="D985" s="2" t="inlineStr">
        <is>
          <t>P0021</t>
        </is>
      </c>
      <c r="E985" s="2" t="inlineStr">
        <is>
          <t>Wallet</t>
        </is>
      </c>
      <c r="F985" s="2" t="inlineStr">
        <is>
          <t>Fashion</t>
        </is>
      </c>
      <c r="G985" s="2" t="inlineStr">
        <is>
          <t>East</t>
        </is>
      </c>
      <c r="H985" s="2" t="inlineStr">
        <is>
          <t>West Bengal</t>
        </is>
      </c>
      <c r="I985" s="2" t="inlineStr">
        <is>
          <t>Durgapur</t>
        </is>
      </c>
      <c r="J985" s="2" t="inlineStr">
        <is>
          <t>Store</t>
        </is>
      </c>
      <c r="K985" s="2" t="n">
        <v>1</v>
      </c>
      <c r="L985" s="3" t="n">
        <v>1973.41</v>
      </c>
      <c r="M985" s="4" t="n">
        <v>0.1</v>
      </c>
      <c r="N985" s="3" t="n">
        <v>1204.92</v>
      </c>
      <c r="O985" s="3">
        <f>K985*L985*(1-M985)</f>
        <v/>
      </c>
      <c r="P985" s="3">
        <f>O985-N985</f>
        <v/>
      </c>
      <c r="Q985" s="5">
        <f>IFERROR(P985/O985,0)</f>
        <v/>
      </c>
      <c r="R985" s="2">
        <f>TEXT(DATEVALUE(B985),"mmm")</f>
        <v/>
      </c>
      <c r="S985" s="2">
        <f>TEXT(DATEVALUE(B985),"yyyy-mm")</f>
        <v/>
      </c>
    </row>
    <row r="986">
      <c r="A986" s="2" t="inlineStr">
        <is>
          <t>O004638</t>
        </is>
      </c>
      <c r="B986" s="2" t="inlineStr">
        <is>
          <t>2025-03-14</t>
        </is>
      </c>
      <c r="C986" s="2" t="inlineStr">
        <is>
          <t>C0790</t>
        </is>
      </c>
      <c r="D986" s="2" t="inlineStr">
        <is>
          <t>P0011</t>
        </is>
      </c>
      <c r="E986" s="2" t="inlineStr">
        <is>
          <t>Cookware Set</t>
        </is>
      </c>
      <c r="F986" s="2" t="inlineStr">
        <is>
          <t>Home &amp; Kitchen</t>
        </is>
      </c>
      <c r="G986" s="2" t="inlineStr">
        <is>
          <t>West</t>
        </is>
      </c>
      <c r="H986" s="2" t="inlineStr">
        <is>
          <t>Maharashtra</t>
        </is>
      </c>
      <c r="I986" s="2" t="inlineStr">
        <is>
          <t>Nashik</t>
        </is>
      </c>
      <c r="J986" s="2" t="inlineStr">
        <is>
          <t>Online</t>
        </is>
      </c>
      <c r="K986" s="2" t="n">
        <v>1</v>
      </c>
      <c r="L986" s="3" t="n">
        <v>697.64</v>
      </c>
      <c r="M986" s="4" t="n">
        <v>0.1</v>
      </c>
      <c r="N986" s="3" t="n">
        <v>481.98</v>
      </c>
      <c r="O986" s="3">
        <f>K986*L986*(1-M986)</f>
        <v/>
      </c>
      <c r="P986" s="3">
        <f>O986-N986</f>
        <v/>
      </c>
      <c r="Q986" s="5">
        <f>IFERROR(P986/O986,0)</f>
        <v/>
      </c>
      <c r="R986" s="2">
        <f>TEXT(DATEVALUE(B986),"mmm")</f>
        <v/>
      </c>
      <c r="S986" s="2">
        <f>TEXT(DATEVALUE(B986),"yyyy-mm")</f>
        <v/>
      </c>
    </row>
    <row r="987">
      <c r="A987" s="2" t="inlineStr">
        <is>
          <t>O004398</t>
        </is>
      </c>
      <c r="B987" s="2" t="inlineStr">
        <is>
          <t>2025-03-14</t>
        </is>
      </c>
      <c r="C987" s="2" t="inlineStr">
        <is>
          <t>C0100</t>
        </is>
      </c>
      <c r="D987" s="2" t="inlineStr">
        <is>
          <t>P0022</t>
        </is>
      </c>
      <c r="E987" s="2" t="inlineStr">
        <is>
          <t>Face Wash</t>
        </is>
      </c>
      <c r="F987" s="2" t="inlineStr">
        <is>
          <t>Beauty</t>
        </is>
      </c>
      <c r="G987" s="2" t="inlineStr">
        <is>
          <t>South</t>
        </is>
      </c>
      <c r="H987" s="2" t="inlineStr">
        <is>
          <t>Telangana</t>
        </is>
      </c>
      <c r="I987" s="2" t="inlineStr">
        <is>
          <t>Hyderabad</t>
        </is>
      </c>
      <c r="J987" s="2" t="inlineStr">
        <is>
          <t>Online</t>
        </is>
      </c>
      <c r="K987" s="2" t="n">
        <v>1</v>
      </c>
      <c r="L987" s="3" t="n">
        <v>554.25</v>
      </c>
      <c r="M987" s="4" t="n">
        <v>0.05</v>
      </c>
      <c r="N987" s="3" t="n">
        <v>347.57</v>
      </c>
      <c r="O987" s="3">
        <f>K987*L987*(1-M987)</f>
        <v/>
      </c>
      <c r="P987" s="3">
        <f>O987-N987</f>
        <v/>
      </c>
      <c r="Q987" s="5">
        <f>IFERROR(P987/O987,0)</f>
        <v/>
      </c>
      <c r="R987" s="2">
        <f>TEXT(DATEVALUE(B987),"mmm")</f>
        <v/>
      </c>
      <c r="S987" s="2">
        <f>TEXT(DATEVALUE(B987),"yyyy-mm")</f>
        <v/>
      </c>
    </row>
    <row r="988">
      <c r="A988" s="2" t="inlineStr">
        <is>
          <t>O004379</t>
        </is>
      </c>
      <c r="B988" s="2" t="inlineStr">
        <is>
          <t>2025-03-14</t>
        </is>
      </c>
      <c r="C988" s="2" t="inlineStr">
        <is>
          <t>C0104</t>
        </is>
      </c>
      <c r="D988" s="2" t="inlineStr">
        <is>
          <t>P0007</t>
        </is>
      </c>
      <c r="E988" s="2" t="inlineStr">
        <is>
          <t>Wireless Mouse</t>
        </is>
      </c>
      <c r="F988" s="2" t="inlineStr">
        <is>
          <t>Electronics</t>
        </is>
      </c>
      <c r="G988" s="2" t="inlineStr">
        <is>
          <t>North</t>
        </is>
      </c>
      <c r="H988" s="2" t="inlineStr">
        <is>
          <t>Haryana</t>
        </is>
      </c>
      <c r="I988" s="2" t="inlineStr">
        <is>
          <t>Gurugram</t>
        </is>
      </c>
      <c r="J988" s="2" t="inlineStr">
        <is>
          <t>Store</t>
        </is>
      </c>
      <c r="K988" s="2" t="n">
        <v>3</v>
      </c>
      <c r="L988" s="3" t="n">
        <v>951.59</v>
      </c>
      <c r="M988" s="4" t="n">
        <v>0.05</v>
      </c>
      <c r="N988" s="3" t="n">
        <v>1825.56</v>
      </c>
      <c r="O988" s="3">
        <f>K988*L988*(1-M988)</f>
        <v/>
      </c>
      <c r="P988" s="3">
        <f>O988-N988</f>
        <v/>
      </c>
      <c r="Q988" s="5">
        <f>IFERROR(P988/O988,0)</f>
        <v/>
      </c>
      <c r="R988" s="2">
        <f>TEXT(DATEVALUE(B988),"mmm")</f>
        <v/>
      </c>
      <c r="S988" s="2">
        <f>TEXT(DATEVALUE(B988),"yyyy-mm")</f>
        <v/>
      </c>
    </row>
    <row r="989">
      <c r="A989" s="2" t="inlineStr">
        <is>
          <t>O004348</t>
        </is>
      </c>
      <c r="B989" s="2" t="inlineStr">
        <is>
          <t>2025-03-14</t>
        </is>
      </c>
      <c r="C989" s="2" t="inlineStr">
        <is>
          <t>C0508</t>
        </is>
      </c>
      <c r="D989" s="2" t="inlineStr">
        <is>
          <t>P0011</t>
        </is>
      </c>
      <c r="E989" s="2" t="inlineStr">
        <is>
          <t>Cookware Set</t>
        </is>
      </c>
      <c r="F989" s="2" t="inlineStr">
        <is>
          <t>Home &amp; Kitchen</t>
        </is>
      </c>
      <c r="G989" s="2" t="inlineStr">
        <is>
          <t>West</t>
        </is>
      </c>
      <c r="H989" s="2" t="inlineStr">
        <is>
          <t>Goa</t>
        </is>
      </c>
      <c r="I989" s="2" t="inlineStr">
        <is>
          <t>Margao</t>
        </is>
      </c>
      <c r="J989" s="2" t="inlineStr">
        <is>
          <t>Store</t>
        </is>
      </c>
      <c r="K989" s="2" t="n">
        <v>1</v>
      </c>
      <c r="L989" s="3" t="n">
        <v>690.59</v>
      </c>
      <c r="M989" s="4" t="n">
        <v>0.1</v>
      </c>
      <c r="N989" s="3" t="n">
        <v>465.44</v>
      </c>
      <c r="O989" s="3">
        <f>K989*L989*(1-M989)</f>
        <v/>
      </c>
      <c r="P989" s="3">
        <f>O989-N989</f>
        <v/>
      </c>
      <c r="Q989" s="5">
        <f>IFERROR(P989/O989,0)</f>
        <v/>
      </c>
      <c r="R989" s="2">
        <f>TEXT(DATEVALUE(B989),"mmm")</f>
        <v/>
      </c>
      <c r="S989" s="2">
        <f>TEXT(DATEVALUE(B989),"yyyy-mm")</f>
        <v/>
      </c>
    </row>
    <row r="990">
      <c r="A990" s="2" t="inlineStr">
        <is>
          <t>O004199</t>
        </is>
      </c>
      <c r="B990" s="2" t="inlineStr">
        <is>
          <t>2025-03-14</t>
        </is>
      </c>
      <c r="C990" s="2" t="inlineStr">
        <is>
          <t>C0263</t>
        </is>
      </c>
      <c r="D990" s="2" t="inlineStr">
        <is>
          <t>P0026</t>
        </is>
      </c>
      <c r="E990" s="2" t="inlineStr">
        <is>
          <t>Shampoo</t>
        </is>
      </c>
      <c r="F990" s="2" t="inlineStr">
        <is>
          <t>Beauty</t>
        </is>
      </c>
      <c r="G990" s="2" t="inlineStr">
        <is>
          <t>North</t>
        </is>
      </c>
      <c r="H990" s="2" t="inlineStr">
        <is>
          <t>Punjab</t>
        </is>
      </c>
      <c r="I990" s="2" t="inlineStr">
        <is>
          <t>Ludhiana</t>
        </is>
      </c>
      <c r="J990" s="2" t="inlineStr">
        <is>
          <t>Online</t>
        </is>
      </c>
      <c r="K990" s="2" t="n">
        <v>3</v>
      </c>
      <c r="L990" s="3" t="n">
        <v>852.73</v>
      </c>
      <c r="M990" s="4" t="n">
        <v>0.05</v>
      </c>
      <c r="N990" s="3" t="n">
        <v>1587.46</v>
      </c>
      <c r="O990" s="3">
        <f>K990*L990*(1-M990)</f>
        <v/>
      </c>
      <c r="P990" s="3">
        <f>O990-N990</f>
        <v/>
      </c>
      <c r="Q990" s="5">
        <f>IFERROR(P990/O990,0)</f>
        <v/>
      </c>
      <c r="R990" s="2">
        <f>TEXT(DATEVALUE(B990),"mmm")</f>
        <v/>
      </c>
      <c r="S990" s="2">
        <f>TEXT(DATEVALUE(B990),"yyyy-mm")</f>
        <v/>
      </c>
    </row>
    <row r="991">
      <c r="A991" s="2" t="inlineStr">
        <is>
          <t>O003356</t>
        </is>
      </c>
      <c r="B991" s="2" t="inlineStr">
        <is>
          <t>2025-03-14</t>
        </is>
      </c>
      <c r="C991" s="2" t="inlineStr">
        <is>
          <t>C0766</t>
        </is>
      </c>
      <c r="D991" s="2" t="inlineStr">
        <is>
          <t>P0007</t>
        </is>
      </c>
      <c r="E991" s="2" t="inlineStr">
        <is>
          <t>Wireless Mouse</t>
        </is>
      </c>
      <c r="F991" s="2" t="inlineStr">
        <is>
          <t>Electronics</t>
        </is>
      </c>
      <c r="G991" s="2" t="inlineStr">
        <is>
          <t>West</t>
        </is>
      </c>
      <c r="H991" s="2" t="inlineStr">
        <is>
          <t>Gujarat</t>
        </is>
      </c>
      <c r="I991" s="2" t="inlineStr">
        <is>
          <t>Vadodara</t>
        </is>
      </c>
      <c r="J991" s="2" t="inlineStr">
        <is>
          <t>Store</t>
        </is>
      </c>
      <c r="K991" s="2" t="n">
        <v>3</v>
      </c>
      <c r="L991" s="3" t="n">
        <v>1016.41</v>
      </c>
      <c r="M991" s="4" t="n">
        <v>0.05</v>
      </c>
      <c r="N991" s="3" t="n">
        <v>1847.11</v>
      </c>
      <c r="O991" s="3">
        <f>K991*L991*(1-M991)</f>
        <v/>
      </c>
      <c r="P991" s="3">
        <f>O991-N991</f>
        <v/>
      </c>
      <c r="Q991" s="5">
        <f>IFERROR(P991/O991,0)</f>
        <v/>
      </c>
      <c r="R991" s="2">
        <f>TEXT(DATEVALUE(B991),"mmm")</f>
        <v/>
      </c>
      <c r="S991" s="2">
        <f>TEXT(DATEVALUE(B991),"yyyy-mm")</f>
        <v/>
      </c>
    </row>
    <row r="992">
      <c r="A992" s="2" t="inlineStr">
        <is>
          <t>O003129</t>
        </is>
      </c>
      <c r="B992" s="2" t="inlineStr">
        <is>
          <t>2025-03-14</t>
        </is>
      </c>
      <c r="C992" s="2" t="inlineStr">
        <is>
          <t>C0253</t>
        </is>
      </c>
      <c r="D992" s="2" t="inlineStr">
        <is>
          <t>P0014</t>
        </is>
      </c>
      <c r="E992" s="2" t="inlineStr">
        <is>
          <t>Coffee Maker</t>
        </is>
      </c>
      <c r="F992" s="2" t="inlineStr">
        <is>
          <t>Home &amp; Kitchen</t>
        </is>
      </c>
      <c r="G992" s="2" t="inlineStr">
        <is>
          <t>East</t>
        </is>
      </c>
      <c r="H992" s="2" t="inlineStr">
        <is>
          <t>West Bengal</t>
        </is>
      </c>
      <c r="I992" s="2" t="inlineStr">
        <is>
          <t>Kolkata</t>
        </is>
      </c>
      <c r="J992" s="2" t="inlineStr">
        <is>
          <t>Online</t>
        </is>
      </c>
      <c r="K992" s="2" t="n">
        <v>1</v>
      </c>
      <c r="L992" s="3" t="n">
        <v>1008.05</v>
      </c>
      <c r="M992" s="4" t="n">
        <v>0.05</v>
      </c>
      <c r="N992" s="3" t="n">
        <v>783.04</v>
      </c>
      <c r="O992" s="3">
        <f>K992*L992*(1-M992)</f>
        <v/>
      </c>
      <c r="P992" s="3">
        <f>O992-N992</f>
        <v/>
      </c>
      <c r="Q992" s="5">
        <f>IFERROR(P992/O992,0)</f>
        <v/>
      </c>
      <c r="R992" s="2">
        <f>TEXT(DATEVALUE(B992),"mmm")</f>
        <v/>
      </c>
      <c r="S992" s="2">
        <f>TEXT(DATEVALUE(B992),"yyyy-mm")</f>
        <v/>
      </c>
    </row>
    <row r="993">
      <c r="A993" s="2" t="inlineStr">
        <is>
          <t>O004444</t>
        </is>
      </c>
      <c r="B993" s="2" t="inlineStr">
        <is>
          <t>2025-03-14</t>
        </is>
      </c>
      <c r="C993" s="2" t="inlineStr">
        <is>
          <t>C0783</t>
        </is>
      </c>
      <c r="D993" s="2" t="inlineStr">
        <is>
          <t>P0029</t>
        </is>
      </c>
      <c r="E993" s="2" t="inlineStr">
        <is>
          <t>Yoga Mat</t>
        </is>
      </c>
      <c r="F993" s="2" t="inlineStr">
        <is>
          <t>Sports</t>
        </is>
      </c>
      <c r="G993" s="2" t="inlineStr">
        <is>
          <t>North</t>
        </is>
      </c>
      <c r="H993" s="2" t="inlineStr">
        <is>
          <t>Punjab</t>
        </is>
      </c>
      <c r="I993" s="2" t="inlineStr">
        <is>
          <t>Ludhiana</t>
        </is>
      </c>
      <c r="J993" s="2" t="inlineStr">
        <is>
          <t>Online</t>
        </is>
      </c>
      <c r="K993" s="2" t="n">
        <v>2</v>
      </c>
      <c r="L993" s="3" t="n">
        <v>2393.81</v>
      </c>
      <c r="M993" s="4" t="n">
        <v>0.2</v>
      </c>
      <c r="N993" s="3" t="n">
        <v>2545.59</v>
      </c>
      <c r="O993" s="3">
        <f>K993*L993*(1-M993)</f>
        <v/>
      </c>
      <c r="P993" s="3">
        <f>O993-N993</f>
        <v/>
      </c>
      <c r="Q993" s="5">
        <f>IFERROR(P993/O993,0)</f>
        <v/>
      </c>
      <c r="R993" s="2">
        <f>TEXT(DATEVALUE(B993),"mmm")</f>
        <v/>
      </c>
      <c r="S993" s="2">
        <f>TEXT(DATEVALUE(B993),"yyyy-mm")</f>
        <v/>
      </c>
    </row>
    <row r="994">
      <c r="A994" s="2" t="inlineStr">
        <is>
          <t>O002273</t>
        </is>
      </c>
      <c r="B994" s="2" t="inlineStr">
        <is>
          <t>2025-03-14</t>
        </is>
      </c>
      <c r="C994" s="2" t="inlineStr">
        <is>
          <t>C0523</t>
        </is>
      </c>
      <c r="D994" s="2" t="inlineStr">
        <is>
          <t>P0010</t>
        </is>
      </c>
      <c r="E994" s="2" t="inlineStr">
        <is>
          <t>Mixer Grinder</t>
        </is>
      </c>
      <c r="F994" s="2" t="inlineStr">
        <is>
          <t>Home &amp; Kitchen</t>
        </is>
      </c>
      <c r="G994" s="2" t="inlineStr">
        <is>
          <t>South</t>
        </is>
      </c>
      <c r="H994" s="2" t="inlineStr">
        <is>
          <t>Tamil Nadu</t>
        </is>
      </c>
      <c r="I994" s="2" t="inlineStr">
        <is>
          <t>Chennai</t>
        </is>
      </c>
      <c r="J994" s="2" t="inlineStr">
        <is>
          <t>Online</t>
        </is>
      </c>
      <c r="K994" s="2" t="n">
        <v>2</v>
      </c>
      <c r="L994" s="3" t="n">
        <v>1645.5</v>
      </c>
      <c r="M994" s="4" t="n">
        <v>0.1</v>
      </c>
      <c r="N994" s="3" t="n">
        <v>2047.46</v>
      </c>
      <c r="O994" s="3">
        <f>K994*L994*(1-M994)</f>
        <v/>
      </c>
      <c r="P994" s="3">
        <f>O994-N994</f>
        <v/>
      </c>
      <c r="Q994" s="5">
        <f>IFERROR(P994/O994,0)</f>
        <v/>
      </c>
      <c r="R994" s="2">
        <f>TEXT(DATEVALUE(B994),"mmm")</f>
        <v/>
      </c>
      <c r="S994" s="2">
        <f>TEXT(DATEVALUE(B994),"yyyy-mm")</f>
        <v/>
      </c>
    </row>
    <row r="995">
      <c r="A995" s="2" t="inlineStr">
        <is>
          <t>O002089</t>
        </is>
      </c>
      <c r="B995" s="2" t="inlineStr">
        <is>
          <t>2025-03-14</t>
        </is>
      </c>
      <c r="C995" s="2" t="inlineStr">
        <is>
          <t>C0614</t>
        </is>
      </c>
      <c r="D995" s="2" t="inlineStr">
        <is>
          <t>P0022</t>
        </is>
      </c>
      <c r="E995" s="2" t="inlineStr">
        <is>
          <t>Face Wash</t>
        </is>
      </c>
      <c r="F995" s="2" t="inlineStr">
        <is>
          <t>Beauty</t>
        </is>
      </c>
      <c r="G995" s="2" t="inlineStr">
        <is>
          <t>North</t>
        </is>
      </c>
      <c r="H995" s="2" t="inlineStr">
        <is>
          <t>Punjab</t>
        </is>
      </c>
      <c r="I995" s="2" t="inlineStr">
        <is>
          <t>Ludhiana</t>
        </is>
      </c>
      <c r="J995" s="2" t="inlineStr">
        <is>
          <t>Store</t>
        </is>
      </c>
      <c r="K995" s="2" t="n">
        <v>2</v>
      </c>
      <c r="L995" s="3" t="n">
        <v>575.17</v>
      </c>
      <c r="M995" s="4" t="n">
        <v>0.1</v>
      </c>
      <c r="N995" s="3" t="n">
        <v>724.96</v>
      </c>
      <c r="O995" s="3">
        <f>K995*L995*(1-M995)</f>
        <v/>
      </c>
      <c r="P995" s="3">
        <f>O995-N995</f>
        <v/>
      </c>
      <c r="Q995" s="5">
        <f>IFERROR(P995/O995,0)</f>
        <v/>
      </c>
      <c r="R995" s="2">
        <f>TEXT(DATEVALUE(B995),"mmm")</f>
        <v/>
      </c>
      <c r="S995" s="2">
        <f>TEXT(DATEVALUE(B995),"yyyy-mm")</f>
        <v/>
      </c>
    </row>
    <row r="996">
      <c r="A996" s="2" t="inlineStr">
        <is>
          <t>O002083</t>
        </is>
      </c>
      <c r="B996" s="2" t="inlineStr">
        <is>
          <t>2025-03-14</t>
        </is>
      </c>
      <c r="C996" s="2" t="inlineStr">
        <is>
          <t>C0166</t>
        </is>
      </c>
      <c r="D996" s="2" t="inlineStr">
        <is>
          <t>P0007</t>
        </is>
      </c>
      <c r="E996" s="2" t="inlineStr">
        <is>
          <t>Wireless Mouse</t>
        </is>
      </c>
      <c r="F996" s="2" t="inlineStr">
        <is>
          <t>Electronics</t>
        </is>
      </c>
      <c r="G996" s="2" t="inlineStr">
        <is>
          <t>West</t>
        </is>
      </c>
      <c r="H996" s="2" t="inlineStr">
        <is>
          <t>Maharashtra</t>
        </is>
      </c>
      <c r="I996" s="2" t="inlineStr">
        <is>
          <t>Nagpur</t>
        </is>
      </c>
      <c r="J996" s="2" t="inlineStr">
        <is>
          <t>Online</t>
        </is>
      </c>
      <c r="K996" s="2" t="n">
        <v>2</v>
      </c>
      <c r="L996" s="3" t="n">
        <v>956.47</v>
      </c>
      <c r="M996" s="4" t="n">
        <v>0.15</v>
      </c>
      <c r="N996" s="3" t="n">
        <v>1275.66</v>
      </c>
      <c r="O996" s="3">
        <f>K996*L996*(1-M996)</f>
        <v/>
      </c>
      <c r="P996" s="3">
        <f>O996-N996</f>
        <v/>
      </c>
      <c r="Q996" s="5">
        <f>IFERROR(P996/O996,0)</f>
        <v/>
      </c>
      <c r="R996" s="2">
        <f>TEXT(DATEVALUE(B996),"mmm")</f>
        <v/>
      </c>
      <c r="S996" s="2">
        <f>TEXT(DATEVALUE(B996),"yyyy-mm")</f>
        <v/>
      </c>
    </row>
    <row r="997">
      <c r="A997" s="2" t="inlineStr">
        <is>
          <t>O001846</t>
        </is>
      </c>
      <c r="B997" s="2" t="inlineStr">
        <is>
          <t>2025-03-14</t>
        </is>
      </c>
      <c r="C997" s="2" t="inlineStr">
        <is>
          <t>C0519</t>
        </is>
      </c>
      <c r="D997" s="2" t="inlineStr">
        <is>
          <t>P0023</t>
        </is>
      </c>
      <c r="E997" s="2" t="inlineStr">
        <is>
          <t>Skin Care Kit</t>
        </is>
      </c>
      <c r="F997" s="2" t="inlineStr">
        <is>
          <t>Beauty</t>
        </is>
      </c>
      <c r="G997" s="2" t="inlineStr">
        <is>
          <t>West</t>
        </is>
      </c>
      <c r="H997" s="2" t="inlineStr">
        <is>
          <t>Maharashtra</t>
        </is>
      </c>
      <c r="I997" s="2" t="inlineStr">
        <is>
          <t>Nashik</t>
        </is>
      </c>
      <c r="J997" s="2" t="inlineStr">
        <is>
          <t>Store</t>
        </is>
      </c>
      <c r="K997" s="2" t="n">
        <v>1</v>
      </c>
      <c r="L997" s="3" t="n">
        <v>1421.8</v>
      </c>
      <c r="M997" s="4" t="n">
        <v>0.1</v>
      </c>
      <c r="N997" s="3" t="n">
        <v>916.01</v>
      </c>
      <c r="O997" s="3">
        <f>K997*L997*(1-M997)</f>
        <v/>
      </c>
      <c r="P997" s="3">
        <f>O997-N997</f>
        <v/>
      </c>
      <c r="Q997" s="5">
        <f>IFERROR(P997/O997,0)</f>
        <v/>
      </c>
      <c r="R997" s="2">
        <f>TEXT(DATEVALUE(B997),"mmm")</f>
        <v/>
      </c>
      <c r="S997" s="2">
        <f>TEXT(DATEVALUE(B997),"yyyy-mm")</f>
        <v/>
      </c>
    </row>
    <row r="998">
      <c r="A998" s="2" t="inlineStr">
        <is>
          <t>O001527</t>
        </is>
      </c>
      <c r="B998" s="2" t="inlineStr">
        <is>
          <t>2025-03-14</t>
        </is>
      </c>
      <c r="C998" s="2" t="inlineStr">
        <is>
          <t>C0756</t>
        </is>
      </c>
      <c r="D998" s="2" t="inlineStr">
        <is>
          <t>P0002</t>
        </is>
      </c>
      <c r="E998" s="2" t="inlineStr">
        <is>
          <t>Bluetooth Speaker</t>
        </is>
      </c>
      <c r="F998" s="2" t="inlineStr">
        <is>
          <t>Electronics</t>
        </is>
      </c>
      <c r="G998" s="2" t="inlineStr">
        <is>
          <t>North</t>
        </is>
      </c>
      <c r="H998" s="2" t="inlineStr">
        <is>
          <t>Uttar Pradesh</t>
        </is>
      </c>
      <c r="I998" s="2" t="inlineStr">
        <is>
          <t>Lucknow</t>
        </is>
      </c>
      <c r="J998" s="2" t="inlineStr">
        <is>
          <t>Online</t>
        </is>
      </c>
      <c r="K998" s="2" t="n">
        <v>3</v>
      </c>
      <c r="L998" s="3" t="n">
        <v>1340.23</v>
      </c>
      <c r="M998" s="4" t="n">
        <v>0.1</v>
      </c>
      <c r="N998" s="3" t="n">
        <v>2501.59</v>
      </c>
      <c r="O998" s="3">
        <f>K998*L998*(1-M998)</f>
        <v/>
      </c>
      <c r="P998" s="3">
        <f>O998-N998</f>
        <v/>
      </c>
      <c r="Q998" s="5">
        <f>IFERROR(P998/O998,0)</f>
        <v/>
      </c>
      <c r="R998" s="2">
        <f>TEXT(DATEVALUE(B998),"mmm")</f>
        <v/>
      </c>
      <c r="S998" s="2">
        <f>TEXT(DATEVALUE(B998),"yyyy-mm")</f>
        <v/>
      </c>
    </row>
    <row r="999">
      <c r="A999" s="2" t="inlineStr">
        <is>
          <t>O001406</t>
        </is>
      </c>
      <c r="B999" s="2" t="inlineStr">
        <is>
          <t>2025-03-14</t>
        </is>
      </c>
      <c r="C999" s="2" t="inlineStr">
        <is>
          <t>C0686</t>
        </is>
      </c>
      <c r="D999" s="2" t="inlineStr">
        <is>
          <t>P0026</t>
        </is>
      </c>
      <c r="E999" s="2" t="inlineStr">
        <is>
          <t>Shampoo</t>
        </is>
      </c>
      <c r="F999" s="2" t="inlineStr">
        <is>
          <t>Beauty</t>
        </is>
      </c>
      <c r="G999" s="2" t="inlineStr">
        <is>
          <t>North</t>
        </is>
      </c>
      <c r="H999" s="2" t="inlineStr">
        <is>
          <t>Punjab</t>
        </is>
      </c>
      <c r="I999" s="2" t="inlineStr">
        <is>
          <t>Amritsar</t>
        </is>
      </c>
      <c r="J999" s="2" t="inlineStr">
        <is>
          <t>Store</t>
        </is>
      </c>
      <c r="K999" s="2" t="n">
        <v>1</v>
      </c>
      <c r="L999" s="3" t="n">
        <v>892.0599999999999</v>
      </c>
      <c r="M999" s="4" t="n">
        <v>0</v>
      </c>
      <c r="N999" s="3" t="n">
        <v>527.03</v>
      </c>
      <c r="O999" s="3">
        <f>K999*L999*(1-M999)</f>
        <v/>
      </c>
      <c r="P999" s="3">
        <f>O999-N999</f>
        <v/>
      </c>
      <c r="Q999" s="5">
        <f>IFERROR(P999/O999,0)</f>
        <v/>
      </c>
      <c r="R999" s="2">
        <f>TEXT(DATEVALUE(B999),"mmm")</f>
        <v/>
      </c>
      <c r="S999" s="2">
        <f>TEXT(DATEVALUE(B999),"yyyy-mm")</f>
        <v/>
      </c>
    </row>
    <row r="1000">
      <c r="A1000" s="2" t="inlineStr">
        <is>
          <t>O000859</t>
        </is>
      </c>
      <c r="B1000" s="2" t="inlineStr">
        <is>
          <t>2025-03-14</t>
        </is>
      </c>
      <c r="C1000" s="2" t="inlineStr">
        <is>
          <t>C0449</t>
        </is>
      </c>
      <c r="D1000" s="2" t="inlineStr">
        <is>
          <t>P0016</t>
        </is>
      </c>
      <c r="E1000" s="2" t="inlineStr">
        <is>
          <t>Casual Shirt</t>
        </is>
      </c>
      <c r="F1000" s="2" t="inlineStr">
        <is>
          <t>Fashion</t>
        </is>
      </c>
      <c r="G1000" s="2" t="inlineStr">
        <is>
          <t>North</t>
        </is>
      </c>
      <c r="H1000" s="2" t="inlineStr">
        <is>
          <t>Delhi</t>
        </is>
      </c>
      <c r="I1000" s="2" t="inlineStr">
        <is>
          <t>New Delhi</t>
        </is>
      </c>
      <c r="J1000" s="2" t="inlineStr">
        <is>
          <t>Store</t>
        </is>
      </c>
      <c r="K1000" s="2" t="n">
        <v>1</v>
      </c>
      <c r="L1000" s="3" t="n">
        <v>1233.57</v>
      </c>
      <c r="M1000" s="4" t="n">
        <v>0.1</v>
      </c>
      <c r="N1000" s="3" t="n">
        <v>889.85</v>
      </c>
      <c r="O1000" s="3">
        <f>K1000*L1000*(1-M1000)</f>
        <v/>
      </c>
      <c r="P1000" s="3">
        <f>O1000-N1000</f>
        <v/>
      </c>
      <c r="Q1000" s="5">
        <f>IFERROR(P1000/O1000,0)</f>
        <v/>
      </c>
      <c r="R1000" s="2">
        <f>TEXT(DATEVALUE(B1000),"mmm")</f>
        <v/>
      </c>
      <c r="S1000" s="2">
        <f>TEXT(DATEVALUE(B1000),"yyyy-mm")</f>
        <v/>
      </c>
    </row>
    <row r="1001">
      <c r="A1001" s="2" t="inlineStr">
        <is>
          <t>O002384</t>
        </is>
      </c>
      <c r="B1001" s="2" t="inlineStr">
        <is>
          <t>2025-03-14</t>
        </is>
      </c>
      <c r="C1001" s="2" t="inlineStr">
        <is>
          <t>C0024</t>
        </is>
      </c>
      <c r="D1001" s="2" t="inlineStr">
        <is>
          <t>P0004</t>
        </is>
      </c>
      <c r="E1001" s="2" t="inlineStr">
        <is>
          <t>USB-C Hub</t>
        </is>
      </c>
      <c r="F1001" s="2" t="inlineStr">
        <is>
          <t>Electronics</t>
        </is>
      </c>
      <c r="G1001" s="2" t="inlineStr">
        <is>
          <t>West</t>
        </is>
      </c>
      <c r="H1001" s="2" t="inlineStr">
        <is>
          <t>Maharashtra</t>
        </is>
      </c>
      <c r="I1001" s="2" t="inlineStr">
        <is>
          <t>Mumbai</t>
        </is>
      </c>
      <c r="J1001" s="2" t="inlineStr">
        <is>
          <t>Online</t>
        </is>
      </c>
      <c r="K1001" s="2" t="n">
        <v>3</v>
      </c>
      <c r="L1001" s="3" t="n">
        <v>1291.91</v>
      </c>
      <c r="M1001" s="4" t="n">
        <v>0.1</v>
      </c>
      <c r="N1001" s="3" t="n">
        <v>2724.09</v>
      </c>
      <c r="O1001" s="3">
        <f>K1001*L1001*(1-M1001)</f>
        <v/>
      </c>
      <c r="P1001" s="3">
        <f>O1001-N1001</f>
        <v/>
      </c>
      <c r="Q1001" s="5">
        <f>IFERROR(P1001/O1001,0)</f>
        <v/>
      </c>
      <c r="R1001" s="2">
        <f>TEXT(DATEVALUE(B1001),"mmm")</f>
        <v/>
      </c>
      <c r="S1001" s="2">
        <f>TEXT(DATEVALUE(B1001),"yyyy-mm")</f>
        <v/>
      </c>
    </row>
    <row r="1002">
      <c r="A1002" s="2" t="inlineStr">
        <is>
          <t>O004859</t>
        </is>
      </c>
      <c r="B1002" s="2" t="inlineStr">
        <is>
          <t>2025-03-15</t>
        </is>
      </c>
      <c r="C1002" s="2" t="inlineStr">
        <is>
          <t>C0252</t>
        </is>
      </c>
      <c r="D1002" s="2" t="inlineStr">
        <is>
          <t>P0006</t>
        </is>
      </c>
      <c r="E1002" s="2" t="inlineStr">
        <is>
          <t>Mechanical Keyboard</t>
        </is>
      </c>
      <c r="F1002" s="2" t="inlineStr">
        <is>
          <t>Electronics</t>
        </is>
      </c>
      <c r="G1002" s="2" t="inlineStr">
        <is>
          <t>West</t>
        </is>
      </c>
      <c r="H1002" s="2" t="inlineStr">
        <is>
          <t>Goa</t>
        </is>
      </c>
      <c r="I1002" s="2" t="inlineStr">
        <is>
          <t>Panaji</t>
        </is>
      </c>
      <c r="J1002" s="2" t="inlineStr">
        <is>
          <t>Online</t>
        </is>
      </c>
      <c r="K1002" s="2" t="n">
        <v>1</v>
      </c>
      <c r="L1002" s="3" t="n">
        <v>2752.78</v>
      </c>
      <c r="M1002" s="4" t="n">
        <v>0.1</v>
      </c>
      <c r="N1002" s="3" t="n">
        <v>1452.13</v>
      </c>
      <c r="O1002" s="3">
        <f>K1002*L1002*(1-M1002)</f>
        <v/>
      </c>
      <c r="P1002" s="3">
        <f>O1002-N1002</f>
        <v/>
      </c>
      <c r="Q1002" s="5">
        <f>IFERROR(P1002/O1002,0)</f>
        <v/>
      </c>
      <c r="R1002" s="2">
        <f>TEXT(DATEVALUE(B1002),"mmm")</f>
        <v/>
      </c>
      <c r="S1002" s="2">
        <f>TEXT(DATEVALUE(B1002),"yyyy-mm")</f>
        <v/>
      </c>
    </row>
    <row r="1003">
      <c r="A1003" s="2" t="inlineStr">
        <is>
          <t>O004780</t>
        </is>
      </c>
      <c r="B1003" s="2" t="inlineStr">
        <is>
          <t>2025-03-15</t>
        </is>
      </c>
      <c r="C1003" s="2" t="inlineStr">
        <is>
          <t>C0082</t>
        </is>
      </c>
      <c r="D1003" s="2" t="inlineStr">
        <is>
          <t>P0011</t>
        </is>
      </c>
      <c r="E1003" s="2" t="inlineStr">
        <is>
          <t>Cookware Set</t>
        </is>
      </c>
      <c r="F1003" s="2" t="inlineStr">
        <is>
          <t>Home &amp; Kitchen</t>
        </is>
      </c>
      <c r="G1003" s="2" t="inlineStr">
        <is>
          <t>South</t>
        </is>
      </c>
      <c r="H1003" s="2" t="inlineStr">
        <is>
          <t>Telangana</t>
        </is>
      </c>
      <c r="I1003" s="2" t="inlineStr">
        <is>
          <t>Hyderabad</t>
        </is>
      </c>
      <c r="J1003" s="2" t="inlineStr">
        <is>
          <t>Online</t>
        </is>
      </c>
      <c r="K1003" s="2" t="n">
        <v>2</v>
      </c>
      <c r="L1003" s="3" t="n">
        <v>724.52</v>
      </c>
      <c r="M1003" s="4" t="n">
        <v>0.05</v>
      </c>
      <c r="N1003" s="3" t="n">
        <v>944.99</v>
      </c>
      <c r="O1003" s="3">
        <f>K1003*L1003*(1-M1003)</f>
        <v/>
      </c>
      <c r="P1003" s="3">
        <f>O1003-N1003</f>
        <v/>
      </c>
      <c r="Q1003" s="5">
        <f>IFERROR(P1003/O1003,0)</f>
        <v/>
      </c>
      <c r="R1003" s="2">
        <f>TEXT(DATEVALUE(B1003),"mmm")</f>
        <v/>
      </c>
      <c r="S1003" s="2">
        <f>TEXT(DATEVALUE(B1003),"yyyy-mm")</f>
        <v/>
      </c>
    </row>
    <row r="1004">
      <c r="A1004" s="2" t="inlineStr">
        <is>
          <t>O004327</t>
        </is>
      </c>
      <c r="B1004" s="2" t="inlineStr">
        <is>
          <t>2025-03-15</t>
        </is>
      </c>
      <c r="C1004" s="2" t="inlineStr">
        <is>
          <t>C0585</t>
        </is>
      </c>
      <c r="D1004" s="2" t="inlineStr">
        <is>
          <t>P0006</t>
        </is>
      </c>
      <c r="E1004" s="2" t="inlineStr">
        <is>
          <t>Mechanical Keyboard</t>
        </is>
      </c>
      <c r="F1004" s="2" t="inlineStr">
        <is>
          <t>Electronics</t>
        </is>
      </c>
      <c r="G1004" s="2" t="inlineStr">
        <is>
          <t>South</t>
        </is>
      </c>
      <c r="H1004" s="2" t="inlineStr">
        <is>
          <t>Telangana</t>
        </is>
      </c>
      <c r="I1004" s="2" t="inlineStr">
        <is>
          <t>Hyderabad</t>
        </is>
      </c>
      <c r="J1004" s="2" t="inlineStr">
        <is>
          <t>Store</t>
        </is>
      </c>
      <c r="K1004" s="2" t="n">
        <v>2</v>
      </c>
      <c r="L1004" s="3" t="n">
        <v>2617.24</v>
      </c>
      <c r="M1004" s="4" t="n">
        <v>0.1</v>
      </c>
      <c r="N1004" s="3" t="n">
        <v>2917.39</v>
      </c>
      <c r="O1004" s="3">
        <f>K1004*L1004*(1-M1004)</f>
        <v/>
      </c>
      <c r="P1004" s="3">
        <f>O1004-N1004</f>
        <v/>
      </c>
      <c r="Q1004" s="5">
        <f>IFERROR(P1004/O1004,0)</f>
        <v/>
      </c>
      <c r="R1004" s="2">
        <f>TEXT(DATEVALUE(B1004),"mmm")</f>
        <v/>
      </c>
      <c r="S1004" s="2">
        <f>TEXT(DATEVALUE(B1004),"yyyy-mm")</f>
        <v/>
      </c>
    </row>
    <row r="1005">
      <c r="A1005" s="2" t="inlineStr">
        <is>
          <t>O003996</t>
        </is>
      </c>
      <c r="B1005" s="2" t="inlineStr">
        <is>
          <t>2025-03-15</t>
        </is>
      </c>
      <c r="C1005" s="2" t="inlineStr">
        <is>
          <t>C0430</t>
        </is>
      </c>
      <c r="D1005" s="2" t="inlineStr">
        <is>
          <t>P0011</t>
        </is>
      </c>
      <c r="E1005" s="2" t="inlineStr">
        <is>
          <t>Cookware Set</t>
        </is>
      </c>
      <c r="F1005" s="2" t="inlineStr">
        <is>
          <t>Home &amp; Kitchen</t>
        </is>
      </c>
      <c r="G1005" s="2" t="inlineStr">
        <is>
          <t>South</t>
        </is>
      </c>
      <c r="H1005" s="2" t="inlineStr">
        <is>
          <t>Tamil Nadu</t>
        </is>
      </c>
      <c r="I1005" s="2" t="inlineStr">
        <is>
          <t>Coimbatore</t>
        </is>
      </c>
      <c r="J1005" s="2" t="inlineStr">
        <is>
          <t>Store</t>
        </is>
      </c>
      <c r="K1005" s="2" t="n">
        <v>2</v>
      </c>
      <c r="L1005" s="3" t="n">
        <v>686.86</v>
      </c>
      <c r="M1005" s="4" t="n">
        <v>0.1</v>
      </c>
      <c r="N1005" s="3" t="n">
        <v>975.15</v>
      </c>
      <c r="O1005" s="3">
        <f>K1005*L1005*(1-M1005)</f>
        <v/>
      </c>
      <c r="P1005" s="3">
        <f>O1005-N1005</f>
        <v/>
      </c>
      <c r="Q1005" s="5">
        <f>IFERROR(P1005/O1005,0)</f>
        <v/>
      </c>
      <c r="R1005" s="2">
        <f>TEXT(DATEVALUE(B1005),"mmm")</f>
        <v/>
      </c>
      <c r="S1005" s="2">
        <f>TEXT(DATEVALUE(B1005),"yyyy-mm")</f>
        <v/>
      </c>
    </row>
    <row r="1006">
      <c r="A1006" s="2" t="inlineStr">
        <is>
          <t>O003792</t>
        </is>
      </c>
      <c r="B1006" s="2" t="inlineStr">
        <is>
          <t>2025-03-15</t>
        </is>
      </c>
      <c r="C1006" s="2" t="inlineStr">
        <is>
          <t>C0693</t>
        </is>
      </c>
      <c r="D1006" s="2" t="inlineStr">
        <is>
          <t>P0007</t>
        </is>
      </c>
      <c r="E1006" s="2" t="inlineStr">
        <is>
          <t>Wireless Mouse</t>
        </is>
      </c>
      <c r="F1006" s="2" t="inlineStr">
        <is>
          <t>Electronics</t>
        </is>
      </c>
      <c r="G1006" s="2" t="inlineStr">
        <is>
          <t>West</t>
        </is>
      </c>
      <c r="H1006" s="2" t="inlineStr">
        <is>
          <t>Gujarat</t>
        </is>
      </c>
      <c r="I1006" s="2" t="inlineStr">
        <is>
          <t>Surat</t>
        </is>
      </c>
      <c r="J1006" s="2" t="inlineStr">
        <is>
          <t>Store</t>
        </is>
      </c>
      <c r="K1006" s="2" t="n">
        <v>2</v>
      </c>
      <c r="L1006" s="3" t="n">
        <v>986.1799999999999</v>
      </c>
      <c r="M1006" s="4" t="n">
        <v>0.15</v>
      </c>
      <c r="N1006" s="3" t="n">
        <v>1229.02</v>
      </c>
      <c r="O1006" s="3">
        <f>K1006*L1006*(1-M1006)</f>
        <v/>
      </c>
      <c r="P1006" s="3">
        <f>O1006-N1006</f>
        <v/>
      </c>
      <c r="Q1006" s="5">
        <f>IFERROR(P1006/O1006,0)</f>
        <v/>
      </c>
      <c r="R1006" s="2">
        <f>TEXT(DATEVALUE(B1006),"mmm")</f>
        <v/>
      </c>
      <c r="S1006" s="2">
        <f>TEXT(DATEVALUE(B1006),"yyyy-mm")</f>
        <v/>
      </c>
    </row>
    <row r="1007">
      <c r="A1007" s="2" t="inlineStr">
        <is>
          <t>O003651</t>
        </is>
      </c>
      <c r="B1007" s="2" t="inlineStr">
        <is>
          <t>2025-03-15</t>
        </is>
      </c>
      <c r="C1007" s="2" t="inlineStr">
        <is>
          <t>C0637</t>
        </is>
      </c>
      <c r="D1007" s="2" t="inlineStr">
        <is>
          <t>P0006</t>
        </is>
      </c>
      <c r="E1007" s="2" t="inlineStr">
        <is>
          <t>Mechanical Keyboard</t>
        </is>
      </c>
      <c r="F1007" s="2" t="inlineStr">
        <is>
          <t>Electronics</t>
        </is>
      </c>
      <c r="G1007" s="2" t="inlineStr">
        <is>
          <t>North</t>
        </is>
      </c>
      <c r="H1007" s="2" t="inlineStr">
        <is>
          <t>Haryana</t>
        </is>
      </c>
      <c r="I1007" s="2" t="inlineStr">
        <is>
          <t>Gurugram</t>
        </is>
      </c>
      <c r="J1007" s="2" t="inlineStr">
        <is>
          <t>Store</t>
        </is>
      </c>
      <c r="K1007" s="2" t="n">
        <v>1</v>
      </c>
      <c r="L1007" s="3" t="n">
        <v>2829.07</v>
      </c>
      <c r="M1007" s="4" t="n">
        <v>0.15</v>
      </c>
      <c r="N1007" s="3" t="n">
        <v>1524.8</v>
      </c>
      <c r="O1007" s="3">
        <f>K1007*L1007*(1-M1007)</f>
        <v/>
      </c>
      <c r="P1007" s="3">
        <f>O1007-N1007</f>
        <v/>
      </c>
      <c r="Q1007" s="5">
        <f>IFERROR(P1007/O1007,0)</f>
        <v/>
      </c>
      <c r="R1007" s="2">
        <f>TEXT(DATEVALUE(B1007),"mmm")</f>
        <v/>
      </c>
      <c r="S1007" s="2">
        <f>TEXT(DATEVALUE(B1007),"yyyy-mm")</f>
        <v/>
      </c>
    </row>
    <row r="1008">
      <c r="A1008" s="2" t="inlineStr">
        <is>
          <t>O002809</t>
        </is>
      </c>
      <c r="B1008" s="2" t="inlineStr">
        <is>
          <t>2025-03-15</t>
        </is>
      </c>
      <c r="C1008" s="2" t="inlineStr">
        <is>
          <t>C0694</t>
        </is>
      </c>
      <c r="D1008" s="2" t="inlineStr">
        <is>
          <t>P0031</t>
        </is>
      </c>
      <c r="E1008" s="2" t="inlineStr">
        <is>
          <t>Cricket Bat</t>
        </is>
      </c>
      <c r="F1008" s="2" t="inlineStr">
        <is>
          <t>Sports</t>
        </is>
      </c>
      <c r="G1008" s="2" t="inlineStr">
        <is>
          <t>East</t>
        </is>
      </c>
      <c r="H1008" s="2" t="inlineStr">
        <is>
          <t>Odisha</t>
        </is>
      </c>
      <c r="I1008" s="2" t="inlineStr">
        <is>
          <t>Bhubaneswar</t>
        </is>
      </c>
      <c r="J1008" s="2" t="inlineStr">
        <is>
          <t>Online</t>
        </is>
      </c>
      <c r="K1008" s="2" t="n">
        <v>3</v>
      </c>
      <c r="L1008" s="3" t="n">
        <v>1328.62</v>
      </c>
      <c r="M1008" s="4" t="n">
        <v>0.1</v>
      </c>
      <c r="N1008" s="3" t="n">
        <v>2909.04</v>
      </c>
      <c r="O1008" s="3">
        <f>K1008*L1008*(1-M1008)</f>
        <v/>
      </c>
      <c r="P1008" s="3">
        <f>O1008-N1008</f>
        <v/>
      </c>
      <c r="Q1008" s="5">
        <f>IFERROR(P1008/O1008,0)</f>
        <v/>
      </c>
      <c r="R1008" s="2">
        <f>TEXT(DATEVALUE(B1008),"mmm")</f>
        <v/>
      </c>
      <c r="S1008" s="2">
        <f>TEXT(DATEVALUE(B1008),"yyyy-mm")</f>
        <v/>
      </c>
    </row>
    <row r="1009">
      <c r="A1009" s="2" t="inlineStr">
        <is>
          <t>O002183</t>
        </is>
      </c>
      <c r="B1009" s="2" t="inlineStr">
        <is>
          <t>2025-03-15</t>
        </is>
      </c>
      <c r="C1009" s="2" t="inlineStr">
        <is>
          <t>C0239</t>
        </is>
      </c>
      <c r="D1009" s="2" t="inlineStr">
        <is>
          <t>P0011</t>
        </is>
      </c>
      <c r="E1009" s="2" t="inlineStr">
        <is>
          <t>Cookware Set</t>
        </is>
      </c>
      <c r="F1009" s="2" t="inlineStr">
        <is>
          <t>Home &amp; Kitchen</t>
        </is>
      </c>
      <c r="G1009" s="2" t="inlineStr">
        <is>
          <t>East</t>
        </is>
      </c>
      <c r="H1009" s="2" t="inlineStr">
        <is>
          <t>Odisha</t>
        </is>
      </c>
      <c r="I1009" s="2" t="inlineStr">
        <is>
          <t>Bhubaneswar</t>
        </is>
      </c>
      <c r="J1009" s="2" t="inlineStr">
        <is>
          <t>Online</t>
        </is>
      </c>
      <c r="K1009" s="2" t="n">
        <v>2</v>
      </c>
      <c r="L1009" s="3" t="n">
        <v>726.5</v>
      </c>
      <c r="M1009" s="4" t="n">
        <v>0.05</v>
      </c>
      <c r="N1009" s="3" t="n">
        <v>970.62</v>
      </c>
      <c r="O1009" s="3">
        <f>K1009*L1009*(1-M1009)</f>
        <v/>
      </c>
      <c r="P1009" s="3">
        <f>O1009-N1009</f>
        <v/>
      </c>
      <c r="Q1009" s="5">
        <f>IFERROR(P1009/O1009,0)</f>
        <v/>
      </c>
      <c r="R1009" s="2">
        <f>TEXT(DATEVALUE(B1009),"mmm")</f>
        <v/>
      </c>
      <c r="S1009" s="2">
        <f>TEXT(DATEVALUE(B1009),"yyyy-mm")</f>
        <v/>
      </c>
    </row>
    <row r="1010">
      <c r="A1010" s="2" t="inlineStr">
        <is>
          <t>O001685</t>
        </is>
      </c>
      <c r="B1010" s="2" t="inlineStr">
        <is>
          <t>2025-03-15</t>
        </is>
      </c>
      <c r="C1010" s="2" t="inlineStr">
        <is>
          <t>C0013</t>
        </is>
      </c>
      <c r="D1010" s="2" t="inlineStr">
        <is>
          <t>P0009</t>
        </is>
      </c>
      <c r="E1010" s="2" t="inlineStr">
        <is>
          <t>Electric Kettle</t>
        </is>
      </c>
      <c r="F1010" s="2" t="inlineStr">
        <is>
          <t>Home &amp; Kitchen</t>
        </is>
      </c>
      <c r="G1010" s="2" t="inlineStr">
        <is>
          <t>South</t>
        </is>
      </c>
      <c r="H1010" s="2" t="inlineStr">
        <is>
          <t>Karnataka</t>
        </is>
      </c>
      <c r="I1010" s="2" t="inlineStr">
        <is>
          <t>Bengaluru</t>
        </is>
      </c>
      <c r="J1010" s="2" t="inlineStr">
        <is>
          <t>Online</t>
        </is>
      </c>
      <c r="K1010" s="2" t="n">
        <v>2</v>
      </c>
      <c r="L1010" s="3" t="n">
        <v>2067.51</v>
      </c>
      <c r="M1010" s="4" t="n">
        <v>0.05</v>
      </c>
      <c r="N1010" s="3" t="n">
        <v>2199.49</v>
      </c>
      <c r="O1010" s="3">
        <f>K1010*L1010*(1-M1010)</f>
        <v/>
      </c>
      <c r="P1010" s="3">
        <f>O1010-N1010</f>
        <v/>
      </c>
      <c r="Q1010" s="5">
        <f>IFERROR(P1010/O1010,0)</f>
        <v/>
      </c>
      <c r="R1010" s="2">
        <f>TEXT(DATEVALUE(B1010),"mmm")</f>
        <v/>
      </c>
      <c r="S1010" s="2">
        <f>TEXT(DATEVALUE(B1010),"yyyy-mm")</f>
        <v/>
      </c>
    </row>
    <row r="1011">
      <c r="A1011" s="2" t="inlineStr">
        <is>
          <t>O000603</t>
        </is>
      </c>
      <c r="B1011" s="2" t="inlineStr">
        <is>
          <t>2025-03-15</t>
        </is>
      </c>
      <c r="C1011" s="2" t="inlineStr">
        <is>
          <t>C0741</t>
        </is>
      </c>
      <c r="D1011" s="2" t="inlineStr">
        <is>
          <t>P0018</t>
        </is>
      </c>
      <c r="E1011" s="2" t="inlineStr">
        <is>
          <t>Backpack</t>
        </is>
      </c>
      <c r="F1011" s="2" t="inlineStr">
        <is>
          <t>Fashion</t>
        </is>
      </c>
      <c r="G1011" s="2" t="inlineStr">
        <is>
          <t>West</t>
        </is>
      </c>
      <c r="H1011" s="2" t="inlineStr">
        <is>
          <t>Gujarat</t>
        </is>
      </c>
      <c r="I1011" s="2" t="inlineStr">
        <is>
          <t>Ahmedabad</t>
        </is>
      </c>
      <c r="J1011" s="2" t="inlineStr">
        <is>
          <t>Online</t>
        </is>
      </c>
      <c r="K1011" s="2" t="n">
        <v>2</v>
      </c>
      <c r="L1011" s="3" t="n">
        <v>1886.18</v>
      </c>
      <c r="M1011" s="4" t="n">
        <v>0.05</v>
      </c>
      <c r="N1011" s="3" t="n">
        <v>2731.26</v>
      </c>
      <c r="O1011" s="3">
        <f>K1011*L1011*(1-M1011)</f>
        <v/>
      </c>
      <c r="P1011" s="3">
        <f>O1011-N1011</f>
        <v/>
      </c>
      <c r="Q1011" s="5">
        <f>IFERROR(P1011/O1011,0)</f>
        <v/>
      </c>
      <c r="R1011" s="2">
        <f>TEXT(DATEVALUE(B1011),"mmm")</f>
        <v/>
      </c>
      <c r="S1011" s="2">
        <f>TEXT(DATEVALUE(B1011),"yyyy-mm")</f>
        <v/>
      </c>
    </row>
    <row r="1012">
      <c r="A1012" s="2" t="inlineStr">
        <is>
          <t>O002966</t>
        </is>
      </c>
      <c r="B1012" s="2" t="inlineStr">
        <is>
          <t>2025-03-15</t>
        </is>
      </c>
      <c r="C1012" s="2" t="inlineStr">
        <is>
          <t>C0694</t>
        </is>
      </c>
      <c r="D1012" s="2" t="inlineStr">
        <is>
          <t>P0024</t>
        </is>
      </c>
      <c r="E1012" s="2" t="inlineStr">
        <is>
          <t>Hair Dryer</t>
        </is>
      </c>
      <c r="F1012" s="2" t="inlineStr">
        <is>
          <t>Beauty</t>
        </is>
      </c>
      <c r="G1012" s="2" t="inlineStr">
        <is>
          <t>West</t>
        </is>
      </c>
      <c r="H1012" s="2" t="inlineStr">
        <is>
          <t>Maharashtra</t>
        </is>
      </c>
      <c r="I1012" s="2" t="inlineStr">
        <is>
          <t>Nagpur</t>
        </is>
      </c>
      <c r="J1012" s="2" t="inlineStr">
        <is>
          <t>Store</t>
        </is>
      </c>
      <c r="K1012" s="2" t="n">
        <v>1</v>
      </c>
      <c r="L1012" s="3" t="n">
        <v>1005.5</v>
      </c>
      <c r="M1012" s="4" t="n">
        <v>0.05</v>
      </c>
      <c r="N1012" s="3" t="n">
        <v>742.71</v>
      </c>
      <c r="O1012" s="3">
        <f>K1012*L1012*(1-M1012)</f>
        <v/>
      </c>
      <c r="P1012" s="3">
        <f>O1012-N1012</f>
        <v/>
      </c>
      <c r="Q1012" s="5">
        <f>IFERROR(P1012/O1012,0)</f>
        <v/>
      </c>
      <c r="R1012" s="2">
        <f>TEXT(DATEVALUE(B1012),"mmm")</f>
        <v/>
      </c>
      <c r="S1012" s="2">
        <f>TEXT(DATEVALUE(B1012),"yyyy-mm")</f>
        <v/>
      </c>
    </row>
    <row r="1013">
      <c r="A1013" s="2" t="inlineStr">
        <is>
          <t>O003051</t>
        </is>
      </c>
      <c r="B1013" s="2" t="inlineStr">
        <is>
          <t>2025-03-16</t>
        </is>
      </c>
      <c r="C1013" s="2" t="inlineStr">
        <is>
          <t>C0407</t>
        </is>
      </c>
      <c r="D1013" s="2" t="inlineStr">
        <is>
          <t>P0021</t>
        </is>
      </c>
      <c r="E1013" s="2" t="inlineStr">
        <is>
          <t>Wallet</t>
        </is>
      </c>
      <c r="F1013" s="2" t="inlineStr">
        <is>
          <t>Fashion</t>
        </is>
      </c>
      <c r="G1013" s="2" t="inlineStr">
        <is>
          <t>North</t>
        </is>
      </c>
      <c r="H1013" s="2" t="inlineStr">
        <is>
          <t>Delhi</t>
        </is>
      </c>
      <c r="I1013" s="2" t="inlineStr">
        <is>
          <t>New Delhi</t>
        </is>
      </c>
      <c r="J1013" s="2" t="inlineStr">
        <is>
          <t>Online</t>
        </is>
      </c>
      <c r="K1013" s="2" t="n">
        <v>2</v>
      </c>
      <c r="L1013" s="3" t="n">
        <v>2046.05</v>
      </c>
      <c r="M1013" s="4" t="n">
        <v>0</v>
      </c>
      <c r="N1013" s="3" t="n">
        <v>2361.94</v>
      </c>
      <c r="O1013" s="3">
        <f>K1013*L1013*(1-M1013)</f>
        <v/>
      </c>
      <c r="P1013" s="3">
        <f>O1013-N1013</f>
        <v/>
      </c>
      <c r="Q1013" s="5">
        <f>IFERROR(P1013/O1013,0)</f>
        <v/>
      </c>
      <c r="R1013" s="2">
        <f>TEXT(DATEVALUE(B1013),"mmm")</f>
        <v/>
      </c>
      <c r="S1013" s="2">
        <f>TEXT(DATEVALUE(B1013),"yyyy-mm")</f>
        <v/>
      </c>
    </row>
    <row r="1014">
      <c r="A1014" s="2" t="inlineStr">
        <is>
          <t>O004931</t>
        </is>
      </c>
      <c r="B1014" s="2" t="inlineStr">
        <is>
          <t>2025-03-16</t>
        </is>
      </c>
      <c r="C1014" s="2" t="inlineStr">
        <is>
          <t>C0046</t>
        </is>
      </c>
      <c r="D1014" s="2" t="inlineStr">
        <is>
          <t>P0022</t>
        </is>
      </c>
      <c r="E1014" s="2" t="inlineStr">
        <is>
          <t>Face Wash</t>
        </is>
      </c>
      <c r="F1014" s="2" t="inlineStr">
        <is>
          <t>Beauty</t>
        </is>
      </c>
      <c r="G1014" s="2" t="inlineStr">
        <is>
          <t>West</t>
        </is>
      </c>
      <c r="H1014" s="2" t="inlineStr">
        <is>
          <t>Gujarat</t>
        </is>
      </c>
      <c r="I1014" s="2" t="inlineStr">
        <is>
          <t>Ahmedabad</t>
        </is>
      </c>
      <c r="J1014" s="2" t="inlineStr">
        <is>
          <t>Store</t>
        </is>
      </c>
      <c r="K1014" s="2" t="n">
        <v>2</v>
      </c>
      <c r="L1014" s="3" t="n">
        <v>554.6799999999999</v>
      </c>
      <c r="M1014" s="4" t="n">
        <v>0.1</v>
      </c>
      <c r="N1014" s="3" t="n">
        <v>711.55</v>
      </c>
      <c r="O1014" s="3">
        <f>K1014*L1014*(1-M1014)</f>
        <v/>
      </c>
      <c r="P1014" s="3">
        <f>O1014-N1014</f>
        <v/>
      </c>
      <c r="Q1014" s="5">
        <f>IFERROR(P1014/O1014,0)</f>
        <v/>
      </c>
      <c r="R1014" s="2">
        <f>TEXT(DATEVALUE(B1014),"mmm")</f>
        <v/>
      </c>
      <c r="S1014" s="2">
        <f>TEXT(DATEVALUE(B1014),"yyyy-mm")</f>
        <v/>
      </c>
    </row>
    <row r="1015">
      <c r="A1015" s="2" t="inlineStr">
        <is>
          <t>O004889</t>
        </is>
      </c>
      <c r="B1015" s="2" t="inlineStr">
        <is>
          <t>2025-03-16</t>
        </is>
      </c>
      <c r="C1015" s="2" t="inlineStr">
        <is>
          <t>C0076</t>
        </is>
      </c>
      <c r="D1015" s="2" t="inlineStr">
        <is>
          <t>P0017</t>
        </is>
      </c>
      <c r="E1015" s="2" t="inlineStr">
        <is>
          <t>Jeans</t>
        </is>
      </c>
      <c r="F1015" s="2" t="inlineStr">
        <is>
          <t>Fashion</t>
        </is>
      </c>
      <c r="G1015" s="2" t="inlineStr">
        <is>
          <t>North</t>
        </is>
      </c>
      <c r="H1015" s="2" t="inlineStr">
        <is>
          <t>Punjab</t>
        </is>
      </c>
      <c r="I1015" s="2" t="inlineStr">
        <is>
          <t>Amritsar</t>
        </is>
      </c>
      <c r="J1015" s="2" t="inlineStr">
        <is>
          <t>Store</t>
        </is>
      </c>
      <c r="K1015" s="2" t="n">
        <v>6</v>
      </c>
      <c r="L1015" s="3" t="n">
        <v>1544.91</v>
      </c>
      <c r="M1015" s="4" t="n">
        <v>0</v>
      </c>
      <c r="N1015" s="3" t="n">
        <v>6288.37</v>
      </c>
      <c r="O1015" s="3">
        <f>K1015*L1015*(1-M1015)</f>
        <v/>
      </c>
      <c r="P1015" s="3">
        <f>O1015-N1015</f>
        <v/>
      </c>
      <c r="Q1015" s="5">
        <f>IFERROR(P1015/O1015,0)</f>
        <v/>
      </c>
      <c r="R1015" s="2">
        <f>TEXT(DATEVALUE(B1015),"mmm")</f>
        <v/>
      </c>
      <c r="S1015" s="2">
        <f>TEXT(DATEVALUE(B1015),"yyyy-mm")</f>
        <v/>
      </c>
    </row>
    <row r="1016">
      <c r="A1016" s="2" t="inlineStr">
        <is>
          <t>O003675</t>
        </is>
      </c>
      <c r="B1016" s="2" t="inlineStr">
        <is>
          <t>2025-03-16</t>
        </is>
      </c>
      <c r="C1016" s="2" t="inlineStr">
        <is>
          <t>C0055</t>
        </is>
      </c>
      <c r="D1016" s="2" t="inlineStr">
        <is>
          <t>P0008</t>
        </is>
      </c>
      <c r="E1016" s="2" t="inlineStr">
        <is>
          <t>Air Fryer</t>
        </is>
      </c>
      <c r="F1016" s="2" t="inlineStr">
        <is>
          <t>Home &amp; Kitchen</t>
        </is>
      </c>
      <c r="G1016" s="2" t="inlineStr">
        <is>
          <t>North</t>
        </is>
      </c>
      <c r="H1016" s="2" t="inlineStr">
        <is>
          <t>Punjab</t>
        </is>
      </c>
      <c r="I1016" s="2" t="inlineStr">
        <is>
          <t>Jalandhar</t>
        </is>
      </c>
      <c r="J1016" s="2" t="inlineStr">
        <is>
          <t>Store</t>
        </is>
      </c>
      <c r="K1016" s="2" t="n">
        <v>1</v>
      </c>
      <c r="L1016" s="3" t="n">
        <v>1051.39</v>
      </c>
      <c r="M1016" s="4" t="n">
        <v>0.15</v>
      </c>
      <c r="N1016" s="3" t="n">
        <v>697.97</v>
      </c>
      <c r="O1016" s="3">
        <f>K1016*L1016*(1-M1016)</f>
        <v/>
      </c>
      <c r="P1016" s="3">
        <f>O1016-N1016</f>
        <v/>
      </c>
      <c r="Q1016" s="5">
        <f>IFERROR(P1016/O1016,0)</f>
        <v/>
      </c>
      <c r="R1016" s="2">
        <f>TEXT(DATEVALUE(B1016),"mmm")</f>
        <v/>
      </c>
      <c r="S1016" s="2">
        <f>TEXT(DATEVALUE(B1016),"yyyy-mm")</f>
        <v/>
      </c>
    </row>
    <row r="1017">
      <c r="A1017" s="2" t="inlineStr">
        <is>
          <t>O003601</t>
        </is>
      </c>
      <c r="B1017" s="2" t="inlineStr">
        <is>
          <t>2025-03-16</t>
        </is>
      </c>
      <c r="C1017" s="2" t="inlineStr">
        <is>
          <t>C0768</t>
        </is>
      </c>
      <c r="D1017" s="2" t="inlineStr">
        <is>
          <t>P0022</t>
        </is>
      </c>
      <c r="E1017" s="2" t="inlineStr">
        <is>
          <t>Face Wash</t>
        </is>
      </c>
      <c r="F1017" s="2" t="inlineStr">
        <is>
          <t>Beauty</t>
        </is>
      </c>
      <c r="G1017" s="2" t="inlineStr">
        <is>
          <t>West</t>
        </is>
      </c>
      <c r="H1017" s="2" t="inlineStr">
        <is>
          <t>Maharashtra</t>
        </is>
      </c>
      <c r="I1017" s="2" t="inlineStr">
        <is>
          <t>Mumbai</t>
        </is>
      </c>
      <c r="J1017" s="2" t="inlineStr">
        <is>
          <t>Online</t>
        </is>
      </c>
      <c r="K1017" s="2" t="n">
        <v>1</v>
      </c>
      <c r="L1017" s="3" t="n">
        <v>534.58</v>
      </c>
      <c r="M1017" s="4" t="n">
        <v>0.05</v>
      </c>
      <c r="N1017" s="3" t="n">
        <v>348.72</v>
      </c>
      <c r="O1017" s="3">
        <f>K1017*L1017*(1-M1017)</f>
        <v/>
      </c>
      <c r="P1017" s="3">
        <f>O1017-N1017</f>
        <v/>
      </c>
      <c r="Q1017" s="5">
        <f>IFERROR(P1017/O1017,0)</f>
        <v/>
      </c>
      <c r="R1017" s="2">
        <f>TEXT(DATEVALUE(B1017),"mmm")</f>
        <v/>
      </c>
      <c r="S1017" s="2">
        <f>TEXT(DATEVALUE(B1017),"yyyy-mm")</f>
        <v/>
      </c>
    </row>
    <row r="1018">
      <c r="A1018" s="2" t="inlineStr">
        <is>
          <t>O003514</t>
        </is>
      </c>
      <c r="B1018" s="2" t="inlineStr">
        <is>
          <t>2025-03-16</t>
        </is>
      </c>
      <c r="C1018" s="2" t="inlineStr">
        <is>
          <t>C0216</t>
        </is>
      </c>
      <c r="D1018" s="2" t="inlineStr">
        <is>
          <t>P0018</t>
        </is>
      </c>
      <c r="E1018" s="2" t="inlineStr">
        <is>
          <t>Backpack</t>
        </is>
      </c>
      <c r="F1018" s="2" t="inlineStr">
        <is>
          <t>Fashion</t>
        </is>
      </c>
      <c r="G1018" s="2" t="inlineStr">
        <is>
          <t>West</t>
        </is>
      </c>
      <c r="H1018" s="2" t="inlineStr">
        <is>
          <t>Maharashtra</t>
        </is>
      </c>
      <c r="I1018" s="2" t="inlineStr">
        <is>
          <t>Mumbai</t>
        </is>
      </c>
      <c r="J1018" s="2" t="inlineStr">
        <is>
          <t>Store</t>
        </is>
      </c>
      <c r="K1018" s="2" t="n">
        <v>1</v>
      </c>
      <c r="L1018" s="3" t="n">
        <v>1904.36</v>
      </c>
      <c r="M1018" s="4" t="n">
        <v>0</v>
      </c>
      <c r="N1018" s="3" t="n">
        <v>1320.2</v>
      </c>
      <c r="O1018" s="3">
        <f>K1018*L1018*(1-M1018)</f>
        <v/>
      </c>
      <c r="P1018" s="3">
        <f>O1018-N1018</f>
        <v/>
      </c>
      <c r="Q1018" s="5">
        <f>IFERROR(P1018/O1018,0)</f>
        <v/>
      </c>
      <c r="R1018" s="2">
        <f>TEXT(DATEVALUE(B1018),"mmm")</f>
        <v/>
      </c>
      <c r="S1018" s="2">
        <f>TEXT(DATEVALUE(B1018),"yyyy-mm")</f>
        <v/>
      </c>
    </row>
    <row r="1019">
      <c r="A1019" s="2" t="inlineStr">
        <is>
          <t>O003405</t>
        </is>
      </c>
      <c r="B1019" s="2" t="inlineStr">
        <is>
          <t>2025-03-16</t>
        </is>
      </c>
      <c r="C1019" s="2" t="inlineStr">
        <is>
          <t>C0684</t>
        </is>
      </c>
      <c r="D1019" s="2" t="inlineStr">
        <is>
          <t>P0029</t>
        </is>
      </c>
      <c r="E1019" s="2" t="inlineStr">
        <is>
          <t>Yoga Mat</t>
        </is>
      </c>
      <c r="F1019" s="2" t="inlineStr">
        <is>
          <t>Sports</t>
        </is>
      </c>
      <c r="G1019" s="2" t="inlineStr">
        <is>
          <t>West</t>
        </is>
      </c>
      <c r="H1019" s="2" t="inlineStr">
        <is>
          <t>Maharashtra</t>
        </is>
      </c>
      <c r="I1019" s="2" t="inlineStr">
        <is>
          <t>Pune</t>
        </is>
      </c>
      <c r="J1019" s="2" t="inlineStr">
        <is>
          <t>Online</t>
        </is>
      </c>
      <c r="K1019" s="2" t="n">
        <v>2</v>
      </c>
      <c r="L1019" s="3" t="n">
        <v>2500.57</v>
      </c>
      <c r="M1019" s="4" t="n">
        <v>0.05</v>
      </c>
      <c r="N1019" s="3" t="n">
        <v>2711.63</v>
      </c>
      <c r="O1019" s="3">
        <f>K1019*L1019*(1-M1019)</f>
        <v/>
      </c>
      <c r="P1019" s="3">
        <f>O1019-N1019</f>
        <v/>
      </c>
      <c r="Q1019" s="5">
        <f>IFERROR(P1019/O1019,0)</f>
        <v/>
      </c>
      <c r="R1019" s="2">
        <f>TEXT(DATEVALUE(B1019),"mmm")</f>
        <v/>
      </c>
      <c r="S1019" s="2">
        <f>TEXT(DATEVALUE(B1019),"yyyy-mm")</f>
        <v/>
      </c>
    </row>
    <row r="1020">
      <c r="A1020" s="2" t="inlineStr">
        <is>
          <t>O002784</t>
        </is>
      </c>
      <c r="B1020" s="2" t="inlineStr">
        <is>
          <t>2025-03-16</t>
        </is>
      </c>
      <c r="C1020" s="2" t="inlineStr">
        <is>
          <t>C0060</t>
        </is>
      </c>
      <c r="D1020" s="2" t="inlineStr">
        <is>
          <t>P0019</t>
        </is>
      </c>
      <c r="E1020" s="2" t="inlineStr">
        <is>
          <t>Jacket</t>
        </is>
      </c>
      <c r="F1020" s="2" t="inlineStr">
        <is>
          <t>Fashion</t>
        </is>
      </c>
      <c r="G1020" s="2" t="inlineStr">
        <is>
          <t>North</t>
        </is>
      </c>
      <c r="H1020" s="2" t="inlineStr">
        <is>
          <t>Uttar Pradesh</t>
        </is>
      </c>
      <c r="I1020" s="2" t="inlineStr">
        <is>
          <t>Kanpur</t>
        </is>
      </c>
      <c r="J1020" s="2" t="inlineStr">
        <is>
          <t>Online</t>
        </is>
      </c>
      <c r="K1020" s="2" t="n">
        <v>1</v>
      </c>
      <c r="L1020" s="3" t="n">
        <v>1018.78</v>
      </c>
      <c r="M1020" s="4" t="n">
        <v>0.1</v>
      </c>
      <c r="N1020" s="3" t="n">
        <v>670.61</v>
      </c>
      <c r="O1020" s="3">
        <f>K1020*L1020*(1-M1020)</f>
        <v/>
      </c>
      <c r="P1020" s="3">
        <f>O1020-N1020</f>
        <v/>
      </c>
      <c r="Q1020" s="5">
        <f>IFERROR(P1020/O1020,0)</f>
        <v/>
      </c>
      <c r="R1020" s="2">
        <f>TEXT(DATEVALUE(B1020),"mmm")</f>
        <v/>
      </c>
      <c r="S1020" s="2">
        <f>TEXT(DATEVALUE(B1020),"yyyy-mm")</f>
        <v/>
      </c>
    </row>
    <row r="1021">
      <c r="A1021" s="2" t="inlineStr">
        <is>
          <t>O003371</t>
        </is>
      </c>
      <c r="B1021" s="2" t="inlineStr">
        <is>
          <t>2025-03-16</t>
        </is>
      </c>
      <c r="C1021" s="2" t="inlineStr">
        <is>
          <t>C0137</t>
        </is>
      </c>
      <c r="D1021" s="2" t="inlineStr">
        <is>
          <t>P0008</t>
        </is>
      </c>
      <c r="E1021" s="2" t="inlineStr">
        <is>
          <t>Air Fryer</t>
        </is>
      </c>
      <c r="F1021" s="2" t="inlineStr">
        <is>
          <t>Home &amp; Kitchen</t>
        </is>
      </c>
      <c r="G1021" s="2" t="inlineStr">
        <is>
          <t>West</t>
        </is>
      </c>
      <c r="H1021" s="2" t="inlineStr">
        <is>
          <t>Goa</t>
        </is>
      </c>
      <c r="I1021" s="2" t="inlineStr">
        <is>
          <t>Margao</t>
        </is>
      </c>
      <c r="J1021" s="2" t="inlineStr">
        <is>
          <t>Store</t>
        </is>
      </c>
      <c r="K1021" s="2" t="n">
        <v>3</v>
      </c>
      <c r="L1021" s="3" t="n">
        <v>1036.83</v>
      </c>
      <c r="M1021" s="4" t="n">
        <v>0.05</v>
      </c>
      <c r="N1021" s="3" t="n">
        <v>2017.78</v>
      </c>
      <c r="O1021" s="3">
        <f>K1021*L1021*(1-M1021)</f>
        <v/>
      </c>
      <c r="P1021" s="3">
        <f>O1021-N1021</f>
        <v/>
      </c>
      <c r="Q1021" s="5">
        <f>IFERROR(P1021/O1021,0)</f>
        <v/>
      </c>
      <c r="R1021" s="2">
        <f>TEXT(DATEVALUE(B1021),"mmm")</f>
        <v/>
      </c>
      <c r="S1021" s="2">
        <f>TEXT(DATEVALUE(B1021),"yyyy-mm")</f>
        <v/>
      </c>
    </row>
    <row r="1022">
      <c r="A1022" s="2" t="inlineStr">
        <is>
          <t>O001730</t>
        </is>
      </c>
      <c r="B1022" s="2" t="inlineStr">
        <is>
          <t>2025-03-16</t>
        </is>
      </c>
      <c r="C1022" s="2" t="inlineStr">
        <is>
          <t>C0732</t>
        </is>
      </c>
      <c r="D1022" s="2" t="inlineStr">
        <is>
          <t>P0024</t>
        </is>
      </c>
      <c r="E1022" s="2" t="inlineStr">
        <is>
          <t>Hair Dryer</t>
        </is>
      </c>
      <c r="F1022" s="2" t="inlineStr">
        <is>
          <t>Beauty</t>
        </is>
      </c>
      <c r="G1022" s="2" t="inlineStr">
        <is>
          <t>North</t>
        </is>
      </c>
      <c r="H1022" s="2" t="inlineStr">
        <is>
          <t>Delhi</t>
        </is>
      </c>
      <c r="I1022" s="2" t="inlineStr">
        <is>
          <t>New Delhi</t>
        </is>
      </c>
      <c r="J1022" s="2" t="inlineStr">
        <is>
          <t>Online</t>
        </is>
      </c>
      <c r="K1022" s="2" t="n">
        <v>1</v>
      </c>
      <c r="L1022" s="3" t="n">
        <v>1033.39</v>
      </c>
      <c r="M1022" s="4" t="n">
        <v>0.1</v>
      </c>
      <c r="N1022" s="3" t="n">
        <v>753.98</v>
      </c>
      <c r="O1022" s="3">
        <f>K1022*L1022*(1-M1022)</f>
        <v/>
      </c>
      <c r="P1022" s="3">
        <f>O1022-N1022</f>
        <v/>
      </c>
      <c r="Q1022" s="5">
        <f>IFERROR(P1022/O1022,0)</f>
        <v/>
      </c>
      <c r="R1022" s="2">
        <f>TEXT(DATEVALUE(B1022),"mmm")</f>
        <v/>
      </c>
      <c r="S1022" s="2">
        <f>TEXT(DATEVALUE(B1022),"yyyy-mm")</f>
        <v/>
      </c>
    </row>
    <row r="1023">
      <c r="A1023" s="2" t="inlineStr">
        <is>
          <t>O002701</t>
        </is>
      </c>
      <c r="B1023" s="2" t="inlineStr">
        <is>
          <t>2025-03-16</t>
        </is>
      </c>
      <c r="C1023" s="2" t="inlineStr">
        <is>
          <t>C0583</t>
        </is>
      </c>
      <c r="D1023" s="2" t="inlineStr">
        <is>
          <t>P0010</t>
        </is>
      </c>
      <c r="E1023" s="2" t="inlineStr">
        <is>
          <t>Mixer Grinder</t>
        </is>
      </c>
      <c r="F1023" s="2" t="inlineStr">
        <is>
          <t>Home &amp; Kitchen</t>
        </is>
      </c>
      <c r="G1023" s="2" t="inlineStr">
        <is>
          <t>East</t>
        </is>
      </c>
      <c r="H1023" s="2" t="inlineStr">
        <is>
          <t>Odisha</t>
        </is>
      </c>
      <c r="I1023" s="2" t="inlineStr">
        <is>
          <t>Bhubaneswar</t>
        </is>
      </c>
      <c r="J1023" s="2" t="inlineStr">
        <is>
          <t>Store</t>
        </is>
      </c>
      <c r="K1023" s="2" t="n">
        <v>2</v>
      </c>
      <c r="L1023" s="3" t="n">
        <v>1555.94</v>
      </c>
      <c r="M1023" s="4" t="n">
        <v>0.15</v>
      </c>
      <c r="N1023" s="3" t="n">
        <v>2080.42</v>
      </c>
      <c r="O1023" s="3">
        <f>K1023*L1023*(1-M1023)</f>
        <v/>
      </c>
      <c r="P1023" s="3">
        <f>O1023-N1023</f>
        <v/>
      </c>
      <c r="Q1023" s="5">
        <f>IFERROR(P1023/O1023,0)</f>
        <v/>
      </c>
      <c r="R1023" s="2">
        <f>TEXT(DATEVALUE(B1023),"mmm")</f>
        <v/>
      </c>
      <c r="S1023" s="2">
        <f>TEXT(DATEVALUE(B1023),"yyyy-mm")</f>
        <v/>
      </c>
    </row>
    <row r="1024">
      <c r="A1024" s="2" t="inlineStr">
        <is>
          <t>O001336</t>
        </is>
      </c>
      <c r="B1024" s="2" t="inlineStr">
        <is>
          <t>2025-03-16</t>
        </is>
      </c>
      <c r="C1024" s="2" t="inlineStr">
        <is>
          <t>C0456</t>
        </is>
      </c>
      <c r="D1024" s="2" t="inlineStr">
        <is>
          <t>P0008</t>
        </is>
      </c>
      <c r="E1024" s="2" t="inlineStr">
        <is>
          <t>Air Fryer</t>
        </is>
      </c>
      <c r="F1024" s="2" t="inlineStr">
        <is>
          <t>Home &amp; Kitchen</t>
        </is>
      </c>
      <c r="G1024" s="2" t="inlineStr">
        <is>
          <t>South</t>
        </is>
      </c>
      <c r="H1024" s="2" t="inlineStr">
        <is>
          <t>Telangana</t>
        </is>
      </c>
      <c r="I1024" s="2" t="inlineStr">
        <is>
          <t>Hyderabad</t>
        </is>
      </c>
      <c r="J1024" s="2" t="inlineStr">
        <is>
          <t>Store</t>
        </is>
      </c>
      <c r="K1024" s="2" t="n">
        <v>1</v>
      </c>
      <c r="L1024" s="3" t="n">
        <v>1024.82</v>
      </c>
      <c r="M1024" s="4" t="n">
        <v>0.05</v>
      </c>
      <c r="N1024" s="3" t="n">
        <v>663.8</v>
      </c>
      <c r="O1024" s="3">
        <f>K1024*L1024*(1-M1024)</f>
        <v/>
      </c>
      <c r="P1024" s="3">
        <f>O1024-N1024</f>
        <v/>
      </c>
      <c r="Q1024" s="5">
        <f>IFERROR(P1024/O1024,0)</f>
        <v/>
      </c>
      <c r="R1024" s="2">
        <f>TEXT(DATEVALUE(B1024),"mmm")</f>
        <v/>
      </c>
      <c r="S1024" s="2">
        <f>TEXT(DATEVALUE(B1024),"yyyy-mm")</f>
        <v/>
      </c>
    </row>
    <row r="1025">
      <c r="A1025" s="2" t="inlineStr">
        <is>
          <t>O001180</t>
        </is>
      </c>
      <c r="B1025" s="2" t="inlineStr">
        <is>
          <t>2025-03-16</t>
        </is>
      </c>
      <c r="C1025" s="2" t="inlineStr">
        <is>
          <t>C0421</t>
        </is>
      </c>
      <c r="D1025" s="2" t="inlineStr">
        <is>
          <t>P0006</t>
        </is>
      </c>
      <c r="E1025" s="2" t="inlineStr">
        <is>
          <t>Mechanical Keyboard</t>
        </is>
      </c>
      <c r="F1025" s="2" t="inlineStr">
        <is>
          <t>Electronics</t>
        </is>
      </c>
      <c r="G1025" s="2" t="inlineStr">
        <is>
          <t>South</t>
        </is>
      </c>
      <c r="H1025" s="2" t="inlineStr">
        <is>
          <t>Telangana</t>
        </is>
      </c>
      <c r="I1025" s="2" t="inlineStr">
        <is>
          <t>Warangal</t>
        </is>
      </c>
      <c r="J1025" s="2" t="inlineStr">
        <is>
          <t>Online</t>
        </is>
      </c>
      <c r="K1025" s="2" t="n">
        <v>3</v>
      </c>
      <c r="L1025" s="3" t="n">
        <v>2776.93</v>
      </c>
      <c r="M1025" s="4" t="n">
        <v>0.15</v>
      </c>
      <c r="N1025" s="3" t="n">
        <v>4471.42</v>
      </c>
      <c r="O1025" s="3">
        <f>K1025*L1025*(1-M1025)</f>
        <v/>
      </c>
      <c r="P1025" s="3">
        <f>O1025-N1025</f>
        <v/>
      </c>
      <c r="Q1025" s="5">
        <f>IFERROR(P1025/O1025,0)</f>
        <v/>
      </c>
      <c r="R1025" s="2">
        <f>TEXT(DATEVALUE(B1025),"mmm")</f>
        <v/>
      </c>
      <c r="S1025" s="2">
        <f>TEXT(DATEVALUE(B1025),"yyyy-mm")</f>
        <v/>
      </c>
    </row>
    <row r="1026">
      <c r="A1026" s="2" t="inlineStr">
        <is>
          <t>O000968</t>
        </is>
      </c>
      <c r="B1026" s="2" t="inlineStr">
        <is>
          <t>2025-03-16</t>
        </is>
      </c>
      <c r="C1026" s="2" t="inlineStr">
        <is>
          <t>C0678</t>
        </is>
      </c>
      <c r="D1026" s="2" t="inlineStr">
        <is>
          <t>P0004</t>
        </is>
      </c>
      <c r="E1026" s="2" t="inlineStr">
        <is>
          <t>USB-C Hub</t>
        </is>
      </c>
      <c r="F1026" s="2" t="inlineStr">
        <is>
          <t>Electronics</t>
        </is>
      </c>
      <c r="G1026" s="2" t="inlineStr">
        <is>
          <t>West</t>
        </is>
      </c>
      <c r="H1026" s="2" t="inlineStr">
        <is>
          <t>Goa</t>
        </is>
      </c>
      <c r="I1026" s="2" t="inlineStr">
        <is>
          <t>Margao</t>
        </is>
      </c>
      <c r="J1026" s="2" t="inlineStr">
        <is>
          <t>Online</t>
        </is>
      </c>
      <c r="K1026" s="2" t="n">
        <v>1</v>
      </c>
      <c r="L1026" s="3" t="n">
        <v>1279.5</v>
      </c>
      <c r="M1026" s="4" t="n">
        <v>0</v>
      </c>
      <c r="N1026" s="3" t="n">
        <v>952.22</v>
      </c>
      <c r="O1026" s="3">
        <f>K1026*L1026*(1-M1026)</f>
        <v/>
      </c>
      <c r="P1026" s="3">
        <f>O1026-N1026</f>
        <v/>
      </c>
      <c r="Q1026" s="5">
        <f>IFERROR(P1026/O1026,0)</f>
        <v/>
      </c>
      <c r="R1026" s="2">
        <f>TEXT(DATEVALUE(B1026),"mmm")</f>
        <v/>
      </c>
      <c r="S1026" s="2">
        <f>TEXT(DATEVALUE(B1026),"yyyy-mm")</f>
        <v/>
      </c>
    </row>
    <row r="1027">
      <c r="A1027" s="2" t="inlineStr">
        <is>
          <t>O000786</t>
        </is>
      </c>
      <c r="B1027" s="2" t="inlineStr">
        <is>
          <t>2025-03-16</t>
        </is>
      </c>
      <c r="C1027" s="2" t="inlineStr">
        <is>
          <t>C0522</t>
        </is>
      </c>
      <c r="D1027" s="2" t="inlineStr">
        <is>
          <t>P0017</t>
        </is>
      </c>
      <c r="E1027" s="2" t="inlineStr">
        <is>
          <t>Jeans</t>
        </is>
      </c>
      <c r="F1027" s="2" t="inlineStr">
        <is>
          <t>Fashion</t>
        </is>
      </c>
      <c r="G1027" s="2" t="inlineStr">
        <is>
          <t>West</t>
        </is>
      </c>
      <c r="H1027" s="2" t="inlineStr">
        <is>
          <t>Goa</t>
        </is>
      </c>
      <c r="I1027" s="2" t="inlineStr">
        <is>
          <t>Margao</t>
        </is>
      </c>
      <c r="J1027" s="2" t="inlineStr">
        <is>
          <t>Store</t>
        </is>
      </c>
      <c r="K1027" s="2" t="n">
        <v>1</v>
      </c>
      <c r="L1027" s="3" t="n">
        <v>1488.15</v>
      </c>
      <c r="M1027" s="4" t="n">
        <v>0.15</v>
      </c>
      <c r="N1027" s="3" t="n">
        <v>1040.99</v>
      </c>
      <c r="O1027" s="3">
        <f>K1027*L1027*(1-M1027)</f>
        <v/>
      </c>
      <c r="P1027" s="3">
        <f>O1027-N1027</f>
        <v/>
      </c>
      <c r="Q1027" s="5">
        <f>IFERROR(P1027/O1027,0)</f>
        <v/>
      </c>
      <c r="R1027" s="2">
        <f>TEXT(DATEVALUE(B1027),"mmm")</f>
        <v/>
      </c>
      <c r="S1027" s="2">
        <f>TEXT(DATEVALUE(B1027),"yyyy-mm")</f>
        <v/>
      </c>
    </row>
    <row r="1028">
      <c r="A1028" s="2" t="inlineStr">
        <is>
          <t>O000536</t>
        </is>
      </c>
      <c r="B1028" s="2" t="inlineStr">
        <is>
          <t>2025-03-16</t>
        </is>
      </c>
      <c r="C1028" s="2" t="inlineStr">
        <is>
          <t>C0456</t>
        </is>
      </c>
      <c r="D1028" s="2" t="inlineStr">
        <is>
          <t>P0022</t>
        </is>
      </c>
      <c r="E1028" s="2" t="inlineStr">
        <is>
          <t>Face Wash</t>
        </is>
      </c>
      <c r="F1028" s="2" t="inlineStr">
        <is>
          <t>Beauty</t>
        </is>
      </c>
      <c r="G1028" s="2" t="inlineStr">
        <is>
          <t>North</t>
        </is>
      </c>
      <c r="H1028" s="2" t="inlineStr">
        <is>
          <t>Delhi</t>
        </is>
      </c>
      <c r="I1028" s="2" t="inlineStr">
        <is>
          <t>New Delhi</t>
        </is>
      </c>
      <c r="J1028" s="2" t="inlineStr">
        <is>
          <t>Online</t>
        </is>
      </c>
      <c r="K1028" s="2" t="n">
        <v>1</v>
      </c>
      <c r="L1028" s="3" t="n">
        <v>577.27</v>
      </c>
      <c r="M1028" s="4" t="n">
        <v>0</v>
      </c>
      <c r="N1028" s="3" t="n">
        <v>349.52</v>
      </c>
      <c r="O1028" s="3">
        <f>K1028*L1028*(1-M1028)</f>
        <v/>
      </c>
      <c r="P1028" s="3">
        <f>O1028-N1028</f>
        <v/>
      </c>
      <c r="Q1028" s="5">
        <f>IFERROR(P1028/O1028,0)</f>
        <v/>
      </c>
      <c r="R1028" s="2">
        <f>TEXT(DATEVALUE(B1028),"mmm")</f>
        <v/>
      </c>
      <c r="S1028" s="2">
        <f>TEXT(DATEVALUE(B1028),"yyyy-mm")</f>
        <v/>
      </c>
    </row>
    <row r="1029">
      <c r="A1029" s="2" t="inlineStr">
        <is>
          <t>O000282</t>
        </is>
      </c>
      <c r="B1029" s="2" t="inlineStr">
        <is>
          <t>2025-03-16</t>
        </is>
      </c>
      <c r="C1029" s="2" t="inlineStr">
        <is>
          <t>C0622</t>
        </is>
      </c>
      <c r="D1029" s="2" t="inlineStr">
        <is>
          <t>P0021</t>
        </is>
      </c>
      <c r="E1029" s="2" t="inlineStr">
        <is>
          <t>Wallet</t>
        </is>
      </c>
      <c r="F1029" s="2" t="inlineStr">
        <is>
          <t>Fashion</t>
        </is>
      </c>
      <c r="G1029" s="2" t="inlineStr">
        <is>
          <t>West</t>
        </is>
      </c>
      <c r="H1029" s="2" t="inlineStr">
        <is>
          <t>Maharashtra</t>
        </is>
      </c>
      <c r="I1029" s="2" t="inlineStr">
        <is>
          <t>Mumbai</t>
        </is>
      </c>
      <c r="J1029" s="2" t="inlineStr">
        <is>
          <t>Online</t>
        </is>
      </c>
      <c r="K1029" s="2" t="n">
        <v>1</v>
      </c>
      <c r="L1029" s="3" t="n">
        <v>2013.7</v>
      </c>
      <c r="M1029" s="4" t="n">
        <v>0.1</v>
      </c>
      <c r="N1029" s="3" t="n">
        <v>1217.14</v>
      </c>
      <c r="O1029" s="3">
        <f>K1029*L1029*(1-M1029)</f>
        <v/>
      </c>
      <c r="P1029" s="3">
        <f>O1029-N1029</f>
        <v/>
      </c>
      <c r="Q1029" s="5">
        <f>IFERROR(P1029/O1029,0)</f>
        <v/>
      </c>
      <c r="R1029" s="2">
        <f>TEXT(DATEVALUE(B1029),"mmm")</f>
        <v/>
      </c>
      <c r="S1029" s="2">
        <f>TEXT(DATEVALUE(B1029),"yyyy-mm")</f>
        <v/>
      </c>
    </row>
    <row r="1030">
      <c r="A1030" s="2" t="inlineStr">
        <is>
          <t>O004546</t>
        </is>
      </c>
      <c r="B1030" s="2" t="inlineStr">
        <is>
          <t>2025-03-17</t>
        </is>
      </c>
      <c r="C1030" s="2" t="inlineStr">
        <is>
          <t>C0152</t>
        </is>
      </c>
      <c r="D1030" s="2" t="inlineStr">
        <is>
          <t>P0012</t>
        </is>
      </c>
      <c r="E1030" s="2" t="inlineStr">
        <is>
          <t>Water Bottle</t>
        </is>
      </c>
      <c r="F1030" s="2" t="inlineStr">
        <is>
          <t>Home &amp; Kitchen</t>
        </is>
      </c>
      <c r="G1030" s="2" t="inlineStr">
        <is>
          <t>North</t>
        </is>
      </c>
      <c r="H1030" s="2" t="inlineStr">
        <is>
          <t>Delhi</t>
        </is>
      </c>
      <c r="I1030" s="2" t="inlineStr">
        <is>
          <t>New Delhi</t>
        </is>
      </c>
      <c r="J1030" s="2" t="inlineStr">
        <is>
          <t>Online</t>
        </is>
      </c>
      <c r="K1030" s="2" t="n">
        <v>1</v>
      </c>
      <c r="L1030" s="3" t="n">
        <v>950.4</v>
      </c>
      <c r="M1030" s="4" t="n">
        <v>0.05</v>
      </c>
      <c r="N1030" s="3" t="n">
        <v>642.64</v>
      </c>
      <c r="O1030" s="3">
        <f>K1030*L1030*(1-M1030)</f>
        <v/>
      </c>
      <c r="P1030" s="3">
        <f>O1030-N1030</f>
        <v/>
      </c>
      <c r="Q1030" s="5">
        <f>IFERROR(P1030/O1030,0)</f>
        <v/>
      </c>
      <c r="R1030" s="2">
        <f>TEXT(DATEVALUE(B1030),"mmm")</f>
        <v/>
      </c>
      <c r="S1030" s="2">
        <f>TEXT(DATEVALUE(B1030),"yyyy-mm")</f>
        <v/>
      </c>
    </row>
    <row r="1031">
      <c r="A1031" s="2" t="inlineStr">
        <is>
          <t>O004210</t>
        </is>
      </c>
      <c r="B1031" s="2" t="inlineStr">
        <is>
          <t>2025-03-17</t>
        </is>
      </c>
      <c r="C1031" s="2" t="inlineStr">
        <is>
          <t>C0085</t>
        </is>
      </c>
      <c r="D1031" s="2" t="inlineStr">
        <is>
          <t>P0013</t>
        </is>
      </c>
      <c r="E1031" s="2" t="inlineStr">
        <is>
          <t>Storage Organizer</t>
        </is>
      </c>
      <c r="F1031" s="2" t="inlineStr">
        <is>
          <t>Home &amp; Kitchen</t>
        </is>
      </c>
      <c r="G1031" s="2" t="inlineStr">
        <is>
          <t>West</t>
        </is>
      </c>
      <c r="H1031" s="2" t="inlineStr">
        <is>
          <t>Goa</t>
        </is>
      </c>
      <c r="I1031" s="2" t="inlineStr">
        <is>
          <t>Panaji</t>
        </is>
      </c>
      <c r="J1031" s="2" t="inlineStr">
        <is>
          <t>Store</t>
        </is>
      </c>
      <c r="K1031" s="2" t="n">
        <v>1</v>
      </c>
      <c r="L1031" s="3" t="n">
        <v>567.02</v>
      </c>
      <c r="M1031" s="4" t="n">
        <v>0</v>
      </c>
      <c r="N1031" s="3" t="n">
        <v>364.01</v>
      </c>
      <c r="O1031" s="3">
        <f>K1031*L1031*(1-M1031)</f>
        <v/>
      </c>
      <c r="P1031" s="3">
        <f>O1031-N1031</f>
        <v/>
      </c>
      <c r="Q1031" s="5">
        <f>IFERROR(P1031/O1031,0)</f>
        <v/>
      </c>
      <c r="R1031" s="2">
        <f>TEXT(DATEVALUE(B1031),"mmm")</f>
        <v/>
      </c>
      <c r="S1031" s="2">
        <f>TEXT(DATEVALUE(B1031),"yyyy-mm")</f>
        <v/>
      </c>
    </row>
    <row r="1032">
      <c r="A1032" s="2" t="inlineStr">
        <is>
          <t>O004072</t>
        </is>
      </c>
      <c r="B1032" s="2" t="inlineStr">
        <is>
          <t>2025-03-17</t>
        </is>
      </c>
      <c r="C1032" s="2" t="inlineStr">
        <is>
          <t>C0459</t>
        </is>
      </c>
      <c r="D1032" s="2" t="inlineStr">
        <is>
          <t>P0031</t>
        </is>
      </c>
      <c r="E1032" s="2" t="inlineStr">
        <is>
          <t>Cricket Bat</t>
        </is>
      </c>
      <c r="F1032" s="2" t="inlineStr">
        <is>
          <t>Sports</t>
        </is>
      </c>
      <c r="G1032" s="2" t="inlineStr">
        <is>
          <t>South</t>
        </is>
      </c>
      <c r="H1032" s="2" t="inlineStr">
        <is>
          <t>Karnataka</t>
        </is>
      </c>
      <c r="I1032" s="2" t="inlineStr">
        <is>
          <t>Mangaluru</t>
        </is>
      </c>
      <c r="J1032" s="2" t="inlineStr">
        <is>
          <t>Online</t>
        </is>
      </c>
      <c r="K1032" s="2" t="n">
        <v>1</v>
      </c>
      <c r="L1032" s="3" t="n">
        <v>1445.37</v>
      </c>
      <c r="M1032" s="4" t="n">
        <v>0.05</v>
      </c>
      <c r="N1032" s="3" t="n">
        <v>963.55</v>
      </c>
      <c r="O1032" s="3">
        <f>K1032*L1032*(1-M1032)</f>
        <v/>
      </c>
      <c r="P1032" s="3">
        <f>O1032-N1032</f>
        <v/>
      </c>
      <c r="Q1032" s="5">
        <f>IFERROR(P1032/O1032,0)</f>
        <v/>
      </c>
      <c r="R1032" s="2">
        <f>TEXT(DATEVALUE(B1032),"mmm")</f>
        <v/>
      </c>
      <c r="S1032" s="2">
        <f>TEXT(DATEVALUE(B1032),"yyyy-mm")</f>
        <v/>
      </c>
    </row>
    <row r="1033">
      <c r="A1033" s="2" t="inlineStr">
        <is>
          <t>O003207</t>
        </is>
      </c>
      <c r="B1033" s="2" t="inlineStr">
        <is>
          <t>2025-03-17</t>
        </is>
      </c>
      <c r="C1033" s="2" t="inlineStr">
        <is>
          <t>C0279</t>
        </is>
      </c>
      <c r="D1033" s="2" t="inlineStr">
        <is>
          <t>P0031</t>
        </is>
      </c>
      <c r="E1033" s="2" t="inlineStr">
        <is>
          <t>Cricket Bat</t>
        </is>
      </c>
      <c r="F1033" s="2" t="inlineStr">
        <is>
          <t>Sports</t>
        </is>
      </c>
      <c r="G1033" s="2" t="inlineStr">
        <is>
          <t>East</t>
        </is>
      </c>
      <c r="H1033" s="2" t="inlineStr">
        <is>
          <t>Odisha</t>
        </is>
      </c>
      <c r="I1033" s="2" t="inlineStr">
        <is>
          <t>Bhubaneswar</t>
        </is>
      </c>
      <c r="J1033" s="2" t="inlineStr">
        <is>
          <t>Store</t>
        </is>
      </c>
      <c r="K1033" s="2" t="n">
        <v>2</v>
      </c>
      <c r="L1033" s="3" t="n">
        <v>1364.44</v>
      </c>
      <c r="M1033" s="4" t="n">
        <v>0</v>
      </c>
      <c r="N1033" s="3" t="n">
        <v>1917.34</v>
      </c>
      <c r="O1033" s="3">
        <f>K1033*L1033*(1-M1033)</f>
        <v/>
      </c>
      <c r="P1033" s="3">
        <f>O1033-N1033</f>
        <v/>
      </c>
      <c r="Q1033" s="5">
        <f>IFERROR(P1033/O1033,0)</f>
        <v/>
      </c>
      <c r="R1033" s="2">
        <f>TEXT(DATEVALUE(B1033),"mmm")</f>
        <v/>
      </c>
      <c r="S1033" s="2">
        <f>TEXT(DATEVALUE(B1033),"yyyy-mm")</f>
        <v/>
      </c>
    </row>
    <row r="1034">
      <c r="A1034" s="2" t="inlineStr">
        <is>
          <t>O003186</t>
        </is>
      </c>
      <c r="B1034" s="2" t="inlineStr">
        <is>
          <t>2025-03-17</t>
        </is>
      </c>
      <c r="C1034" s="2" t="inlineStr">
        <is>
          <t>C0053</t>
        </is>
      </c>
      <c r="D1034" s="2" t="inlineStr">
        <is>
          <t>P0004</t>
        </is>
      </c>
      <c r="E1034" s="2" t="inlineStr">
        <is>
          <t>USB-C Hub</t>
        </is>
      </c>
      <c r="F1034" s="2" t="inlineStr">
        <is>
          <t>Electronics</t>
        </is>
      </c>
      <c r="G1034" s="2" t="inlineStr">
        <is>
          <t>South</t>
        </is>
      </c>
      <c r="H1034" s="2" t="inlineStr">
        <is>
          <t>Karnataka</t>
        </is>
      </c>
      <c r="I1034" s="2" t="inlineStr">
        <is>
          <t>Mysuru</t>
        </is>
      </c>
      <c r="J1034" s="2" t="inlineStr">
        <is>
          <t>Online</t>
        </is>
      </c>
      <c r="K1034" s="2" t="n">
        <v>2</v>
      </c>
      <c r="L1034" s="3" t="n">
        <v>1294.9</v>
      </c>
      <c r="M1034" s="4" t="n">
        <v>0.15</v>
      </c>
      <c r="N1034" s="3" t="n">
        <v>1876.63</v>
      </c>
      <c r="O1034" s="3">
        <f>K1034*L1034*(1-M1034)</f>
        <v/>
      </c>
      <c r="P1034" s="3">
        <f>O1034-N1034</f>
        <v/>
      </c>
      <c r="Q1034" s="5">
        <f>IFERROR(P1034/O1034,0)</f>
        <v/>
      </c>
      <c r="R1034" s="2">
        <f>TEXT(DATEVALUE(B1034),"mmm")</f>
        <v/>
      </c>
      <c r="S1034" s="2">
        <f>TEXT(DATEVALUE(B1034),"yyyy-mm")</f>
        <v/>
      </c>
    </row>
    <row r="1035">
      <c r="A1035" s="2" t="inlineStr">
        <is>
          <t>O002922</t>
        </is>
      </c>
      <c r="B1035" s="2" t="inlineStr">
        <is>
          <t>2025-03-17</t>
        </is>
      </c>
      <c r="C1035" s="2" t="inlineStr">
        <is>
          <t>C0546</t>
        </is>
      </c>
      <c r="D1035" s="2" t="inlineStr">
        <is>
          <t>P0017</t>
        </is>
      </c>
      <c r="E1035" s="2" t="inlineStr">
        <is>
          <t>Jeans</t>
        </is>
      </c>
      <c r="F1035" s="2" t="inlineStr">
        <is>
          <t>Fashion</t>
        </is>
      </c>
      <c r="G1035" s="2" t="inlineStr">
        <is>
          <t>North</t>
        </is>
      </c>
      <c r="H1035" s="2" t="inlineStr">
        <is>
          <t>Punjab</t>
        </is>
      </c>
      <c r="I1035" s="2" t="inlineStr">
        <is>
          <t>Amritsar</t>
        </is>
      </c>
      <c r="J1035" s="2" t="inlineStr">
        <is>
          <t>Online</t>
        </is>
      </c>
      <c r="K1035" s="2" t="n">
        <v>6</v>
      </c>
      <c r="L1035" s="3" t="n">
        <v>1536.7</v>
      </c>
      <c r="M1035" s="4" t="n">
        <v>0</v>
      </c>
      <c r="N1035" s="3" t="n">
        <v>6087.01</v>
      </c>
      <c r="O1035" s="3">
        <f>K1035*L1035*(1-M1035)</f>
        <v/>
      </c>
      <c r="P1035" s="3">
        <f>O1035-N1035</f>
        <v/>
      </c>
      <c r="Q1035" s="5">
        <f>IFERROR(P1035/O1035,0)</f>
        <v/>
      </c>
      <c r="R1035" s="2">
        <f>TEXT(DATEVALUE(B1035),"mmm")</f>
        <v/>
      </c>
      <c r="S1035" s="2">
        <f>TEXT(DATEVALUE(B1035),"yyyy-mm")</f>
        <v/>
      </c>
    </row>
    <row r="1036">
      <c r="A1036" s="2" t="inlineStr">
        <is>
          <t>O002751</t>
        </is>
      </c>
      <c r="B1036" s="2" t="inlineStr">
        <is>
          <t>2025-03-17</t>
        </is>
      </c>
      <c r="C1036" s="2" t="inlineStr">
        <is>
          <t>C0745</t>
        </is>
      </c>
      <c r="D1036" s="2" t="inlineStr">
        <is>
          <t>P0016</t>
        </is>
      </c>
      <c r="E1036" s="2" t="inlineStr">
        <is>
          <t>Casual Shirt</t>
        </is>
      </c>
      <c r="F1036" s="2" t="inlineStr">
        <is>
          <t>Fashion</t>
        </is>
      </c>
      <c r="G1036" s="2" t="inlineStr">
        <is>
          <t>South</t>
        </is>
      </c>
      <c r="H1036" s="2" t="inlineStr">
        <is>
          <t>Telangana</t>
        </is>
      </c>
      <c r="I1036" s="2" t="inlineStr">
        <is>
          <t>Warangal</t>
        </is>
      </c>
      <c r="J1036" s="2" t="inlineStr">
        <is>
          <t>Store</t>
        </is>
      </c>
      <c r="K1036" s="2" t="n">
        <v>2</v>
      </c>
      <c r="L1036" s="3" t="n">
        <v>1256.97</v>
      </c>
      <c r="M1036" s="4" t="n">
        <v>0.05</v>
      </c>
      <c r="N1036" s="3" t="n">
        <v>1861.25</v>
      </c>
      <c r="O1036" s="3">
        <f>K1036*L1036*(1-M1036)</f>
        <v/>
      </c>
      <c r="P1036" s="3">
        <f>O1036-N1036</f>
        <v/>
      </c>
      <c r="Q1036" s="5">
        <f>IFERROR(P1036/O1036,0)</f>
        <v/>
      </c>
      <c r="R1036" s="2">
        <f>TEXT(DATEVALUE(B1036),"mmm")</f>
        <v/>
      </c>
      <c r="S1036" s="2">
        <f>TEXT(DATEVALUE(B1036),"yyyy-mm")</f>
        <v/>
      </c>
    </row>
    <row r="1037">
      <c r="A1037" s="2" t="inlineStr">
        <is>
          <t>O003037</t>
        </is>
      </c>
      <c r="B1037" s="2" t="inlineStr">
        <is>
          <t>2025-03-17</t>
        </is>
      </c>
      <c r="C1037" s="2" t="inlineStr">
        <is>
          <t>C0299</t>
        </is>
      </c>
      <c r="D1037" s="2" t="inlineStr">
        <is>
          <t>P0028</t>
        </is>
      </c>
      <c r="E1037" s="2" t="inlineStr">
        <is>
          <t>Trimmer</t>
        </is>
      </c>
      <c r="F1037" s="2" t="inlineStr">
        <is>
          <t>Beauty</t>
        </is>
      </c>
      <c r="G1037" s="2" t="inlineStr">
        <is>
          <t>North</t>
        </is>
      </c>
      <c r="H1037" s="2" t="inlineStr">
        <is>
          <t>Delhi</t>
        </is>
      </c>
      <c r="I1037" s="2" t="inlineStr">
        <is>
          <t>New Delhi</t>
        </is>
      </c>
      <c r="J1037" s="2" t="inlineStr">
        <is>
          <t>Online</t>
        </is>
      </c>
      <c r="K1037" s="2" t="n">
        <v>1</v>
      </c>
      <c r="L1037" s="3" t="n">
        <v>451.48</v>
      </c>
      <c r="M1037" s="4" t="n">
        <v>0.15</v>
      </c>
      <c r="N1037" s="3" t="n">
        <v>250.75</v>
      </c>
      <c r="O1037" s="3">
        <f>K1037*L1037*(1-M1037)</f>
        <v/>
      </c>
      <c r="P1037" s="3">
        <f>O1037-N1037</f>
        <v/>
      </c>
      <c r="Q1037" s="5">
        <f>IFERROR(P1037/O1037,0)</f>
        <v/>
      </c>
      <c r="R1037" s="2">
        <f>TEXT(DATEVALUE(B1037),"mmm")</f>
        <v/>
      </c>
      <c r="S1037" s="2">
        <f>TEXT(DATEVALUE(B1037),"yyyy-mm")</f>
        <v/>
      </c>
    </row>
    <row r="1038">
      <c r="A1038" s="2" t="inlineStr">
        <is>
          <t>O002066</t>
        </is>
      </c>
      <c r="B1038" s="2" t="inlineStr">
        <is>
          <t>2025-03-17</t>
        </is>
      </c>
      <c r="C1038" s="2" t="inlineStr">
        <is>
          <t>C0443</t>
        </is>
      </c>
      <c r="D1038" s="2" t="inlineStr">
        <is>
          <t>P0033</t>
        </is>
      </c>
      <c r="E1038" s="2" t="inlineStr">
        <is>
          <t>Resistance Bands</t>
        </is>
      </c>
      <c r="F1038" s="2" t="inlineStr">
        <is>
          <t>Sports</t>
        </is>
      </c>
      <c r="G1038" s="2" t="inlineStr">
        <is>
          <t>West</t>
        </is>
      </c>
      <c r="H1038" s="2" t="inlineStr">
        <is>
          <t>Goa</t>
        </is>
      </c>
      <c r="I1038" s="2" t="inlineStr">
        <is>
          <t>Panaji</t>
        </is>
      </c>
      <c r="J1038" s="2" t="inlineStr">
        <is>
          <t>Store</t>
        </is>
      </c>
      <c r="K1038" s="2" t="n">
        <v>6</v>
      </c>
      <c r="L1038" s="3" t="n">
        <v>1097.52</v>
      </c>
      <c r="M1038" s="4" t="n">
        <v>0.15</v>
      </c>
      <c r="N1038" s="3" t="n">
        <v>4586.58</v>
      </c>
      <c r="O1038" s="3">
        <f>K1038*L1038*(1-M1038)</f>
        <v/>
      </c>
      <c r="P1038" s="3">
        <f>O1038-N1038</f>
        <v/>
      </c>
      <c r="Q1038" s="5">
        <f>IFERROR(P1038/O1038,0)</f>
        <v/>
      </c>
      <c r="R1038" s="2">
        <f>TEXT(DATEVALUE(B1038),"mmm")</f>
        <v/>
      </c>
      <c r="S1038" s="2">
        <f>TEXT(DATEVALUE(B1038),"yyyy-mm")</f>
        <v/>
      </c>
    </row>
    <row r="1039">
      <c r="A1039" s="2" t="inlineStr">
        <is>
          <t>O001812</t>
        </is>
      </c>
      <c r="B1039" s="2" t="inlineStr">
        <is>
          <t>2025-03-17</t>
        </is>
      </c>
      <c r="C1039" s="2" t="inlineStr">
        <is>
          <t>C0154</t>
        </is>
      </c>
      <c r="D1039" s="2" t="inlineStr">
        <is>
          <t>P0012</t>
        </is>
      </c>
      <c r="E1039" s="2" t="inlineStr">
        <is>
          <t>Water Bottle</t>
        </is>
      </c>
      <c r="F1039" s="2" t="inlineStr">
        <is>
          <t>Home &amp; Kitchen</t>
        </is>
      </c>
      <c r="G1039" s="2" t="inlineStr">
        <is>
          <t>North</t>
        </is>
      </c>
      <c r="H1039" s="2" t="inlineStr">
        <is>
          <t>Delhi</t>
        </is>
      </c>
      <c r="I1039" s="2" t="inlineStr">
        <is>
          <t>New Delhi</t>
        </is>
      </c>
      <c r="J1039" s="2" t="inlineStr">
        <is>
          <t>Store</t>
        </is>
      </c>
      <c r="K1039" s="2" t="n">
        <v>3</v>
      </c>
      <c r="L1039" s="3" t="n">
        <v>990.54</v>
      </c>
      <c r="M1039" s="4" t="n">
        <v>0.05</v>
      </c>
      <c r="N1039" s="3" t="n">
        <v>1872.68</v>
      </c>
      <c r="O1039" s="3">
        <f>K1039*L1039*(1-M1039)</f>
        <v/>
      </c>
      <c r="P1039" s="3">
        <f>O1039-N1039</f>
        <v/>
      </c>
      <c r="Q1039" s="5">
        <f>IFERROR(P1039/O1039,0)</f>
        <v/>
      </c>
      <c r="R1039" s="2">
        <f>TEXT(DATEVALUE(B1039),"mmm")</f>
        <v/>
      </c>
      <c r="S1039" s="2">
        <f>TEXT(DATEVALUE(B1039),"yyyy-mm")</f>
        <v/>
      </c>
    </row>
    <row r="1040">
      <c r="A1040" s="2" t="inlineStr">
        <is>
          <t>O001348</t>
        </is>
      </c>
      <c r="B1040" s="2" t="inlineStr">
        <is>
          <t>2025-03-17</t>
        </is>
      </c>
      <c r="C1040" s="2" t="inlineStr">
        <is>
          <t>C0599</t>
        </is>
      </c>
      <c r="D1040" s="2" t="inlineStr">
        <is>
          <t>P0021</t>
        </is>
      </c>
      <c r="E1040" s="2" t="inlineStr">
        <is>
          <t>Wallet</t>
        </is>
      </c>
      <c r="F1040" s="2" t="inlineStr">
        <is>
          <t>Fashion</t>
        </is>
      </c>
      <c r="G1040" s="2" t="inlineStr">
        <is>
          <t>South</t>
        </is>
      </c>
      <c r="H1040" s="2" t="inlineStr">
        <is>
          <t>Karnataka</t>
        </is>
      </c>
      <c r="I1040" s="2" t="inlineStr">
        <is>
          <t>Mysuru</t>
        </is>
      </c>
      <c r="J1040" s="2" t="inlineStr">
        <is>
          <t>Store</t>
        </is>
      </c>
      <c r="K1040" s="2" t="n">
        <v>2</v>
      </c>
      <c r="L1040" s="3" t="n">
        <v>2035.15</v>
      </c>
      <c r="M1040" s="4" t="n">
        <v>0.05</v>
      </c>
      <c r="N1040" s="3" t="n">
        <v>2431.78</v>
      </c>
      <c r="O1040" s="3">
        <f>K1040*L1040*(1-M1040)</f>
        <v/>
      </c>
      <c r="P1040" s="3">
        <f>O1040-N1040</f>
        <v/>
      </c>
      <c r="Q1040" s="5">
        <f>IFERROR(P1040/O1040,0)</f>
        <v/>
      </c>
      <c r="R1040" s="2">
        <f>TEXT(DATEVALUE(B1040),"mmm")</f>
        <v/>
      </c>
      <c r="S1040" s="2">
        <f>TEXT(DATEVALUE(B1040),"yyyy-mm")</f>
        <v/>
      </c>
    </row>
    <row r="1041">
      <c r="A1041" s="2" t="inlineStr">
        <is>
          <t>O001027</t>
        </is>
      </c>
      <c r="B1041" s="2" t="inlineStr">
        <is>
          <t>2025-03-17</t>
        </is>
      </c>
      <c r="C1041" s="2" t="inlineStr">
        <is>
          <t>C0364</t>
        </is>
      </c>
      <c r="D1041" s="2" t="inlineStr">
        <is>
          <t>P0022</t>
        </is>
      </c>
      <c r="E1041" s="2" t="inlineStr">
        <is>
          <t>Face Wash</t>
        </is>
      </c>
      <c r="F1041" s="2" t="inlineStr">
        <is>
          <t>Beauty</t>
        </is>
      </c>
      <c r="G1041" s="2" t="inlineStr">
        <is>
          <t>North</t>
        </is>
      </c>
      <c r="H1041" s="2" t="inlineStr">
        <is>
          <t>Delhi</t>
        </is>
      </c>
      <c r="I1041" s="2" t="inlineStr">
        <is>
          <t>New Delhi</t>
        </is>
      </c>
      <c r="J1041" s="2" t="inlineStr">
        <is>
          <t>Online</t>
        </is>
      </c>
      <c r="K1041" s="2" t="n">
        <v>3</v>
      </c>
      <c r="L1041" s="3" t="n">
        <v>542.24</v>
      </c>
      <c r="M1041" s="4" t="n">
        <v>0.1</v>
      </c>
      <c r="N1041" s="3" t="n">
        <v>1035.43</v>
      </c>
      <c r="O1041" s="3">
        <f>K1041*L1041*(1-M1041)</f>
        <v/>
      </c>
      <c r="P1041" s="3">
        <f>O1041-N1041</f>
        <v/>
      </c>
      <c r="Q1041" s="5">
        <f>IFERROR(P1041/O1041,0)</f>
        <v/>
      </c>
      <c r="R1041" s="2">
        <f>TEXT(DATEVALUE(B1041),"mmm")</f>
        <v/>
      </c>
      <c r="S1041" s="2">
        <f>TEXT(DATEVALUE(B1041),"yyyy-mm")</f>
        <v/>
      </c>
    </row>
    <row r="1042">
      <c r="A1042" s="2" t="inlineStr">
        <is>
          <t>O000601</t>
        </is>
      </c>
      <c r="B1042" s="2" t="inlineStr">
        <is>
          <t>2025-03-17</t>
        </is>
      </c>
      <c r="C1042" s="2" t="inlineStr">
        <is>
          <t>C0756</t>
        </is>
      </c>
      <c r="D1042" s="2" t="inlineStr">
        <is>
          <t>P0008</t>
        </is>
      </c>
      <c r="E1042" s="2" t="inlineStr">
        <is>
          <t>Air Fryer</t>
        </is>
      </c>
      <c r="F1042" s="2" t="inlineStr">
        <is>
          <t>Home &amp; Kitchen</t>
        </is>
      </c>
      <c r="G1042" s="2" t="inlineStr">
        <is>
          <t>North</t>
        </is>
      </c>
      <c r="H1042" s="2" t="inlineStr">
        <is>
          <t>Punjab</t>
        </is>
      </c>
      <c r="I1042" s="2" t="inlineStr">
        <is>
          <t>Ludhiana</t>
        </is>
      </c>
      <c r="J1042" s="2" t="inlineStr">
        <is>
          <t>Online</t>
        </is>
      </c>
      <c r="K1042" s="2" t="n">
        <v>1</v>
      </c>
      <c r="L1042" s="3" t="n">
        <v>1008.45</v>
      </c>
      <c r="M1042" s="4" t="n">
        <v>0.1</v>
      </c>
      <c r="N1042" s="3" t="n">
        <v>664.97</v>
      </c>
      <c r="O1042" s="3">
        <f>K1042*L1042*(1-M1042)</f>
        <v/>
      </c>
      <c r="P1042" s="3">
        <f>O1042-N1042</f>
        <v/>
      </c>
      <c r="Q1042" s="5">
        <f>IFERROR(P1042/O1042,0)</f>
        <v/>
      </c>
      <c r="R1042" s="2">
        <f>TEXT(DATEVALUE(B1042),"mmm")</f>
        <v/>
      </c>
      <c r="S1042" s="2">
        <f>TEXT(DATEVALUE(B1042),"yyyy-mm")</f>
        <v/>
      </c>
    </row>
    <row r="1043">
      <c r="A1043" s="2" t="inlineStr">
        <is>
          <t>O000571</t>
        </is>
      </c>
      <c r="B1043" s="2" t="inlineStr">
        <is>
          <t>2025-03-17</t>
        </is>
      </c>
      <c r="C1043" s="2" t="inlineStr">
        <is>
          <t>C0024</t>
        </is>
      </c>
      <c r="D1043" s="2" t="inlineStr">
        <is>
          <t>P0003</t>
        </is>
      </c>
      <c r="E1043" s="2" t="inlineStr">
        <is>
          <t>Smartwatch</t>
        </is>
      </c>
      <c r="F1043" s="2" t="inlineStr">
        <is>
          <t>Electronics</t>
        </is>
      </c>
      <c r="G1043" s="2" t="inlineStr">
        <is>
          <t>North</t>
        </is>
      </c>
      <c r="H1043" s="2" t="inlineStr">
        <is>
          <t>Punjab</t>
        </is>
      </c>
      <c r="I1043" s="2" t="inlineStr">
        <is>
          <t>Amritsar</t>
        </is>
      </c>
      <c r="J1043" s="2" t="inlineStr">
        <is>
          <t>Online</t>
        </is>
      </c>
      <c r="K1043" s="2" t="n">
        <v>3</v>
      </c>
      <c r="L1043" s="3" t="n">
        <v>2370.09</v>
      </c>
      <c r="M1043" s="4" t="n">
        <v>0.15</v>
      </c>
      <c r="N1043" s="3" t="n">
        <v>3586.35</v>
      </c>
      <c r="O1043" s="3">
        <f>K1043*L1043*(1-M1043)</f>
        <v/>
      </c>
      <c r="P1043" s="3">
        <f>O1043-N1043</f>
        <v/>
      </c>
      <c r="Q1043" s="5">
        <f>IFERROR(P1043/O1043,0)</f>
        <v/>
      </c>
      <c r="R1043" s="2">
        <f>TEXT(DATEVALUE(B1043),"mmm")</f>
        <v/>
      </c>
      <c r="S1043" s="2">
        <f>TEXT(DATEVALUE(B1043),"yyyy-mm")</f>
        <v/>
      </c>
    </row>
    <row r="1044">
      <c r="A1044" s="2" t="inlineStr">
        <is>
          <t>O000463</t>
        </is>
      </c>
      <c r="B1044" s="2" t="inlineStr">
        <is>
          <t>2025-03-17</t>
        </is>
      </c>
      <c r="C1044" s="2" t="inlineStr">
        <is>
          <t>C0577</t>
        </is>
      </c>
      <c r="D1044" s="2" t="inlineStr">
        <is>
          <t>P0030</t>
        </is>
      </c>
      <c r="E1044" s="2" t="inlineStr">
        <is>
          <t>Dumbbells</t>
        </is>
      </c>
      <c r="F1044" s="2" t="inlineStr">
        <is>
          <t>Sports</t>
        </is>
      </c>
      <c r="G1044" s="2" t="inlineStr">
        <is>
          <t>West</t>
        </is>
      </c>
      <c r="H1044" s="2" t="inlineStr">
        <is>
          <t>Gujarat</t>
        </is>
      </c>
      <c r="I1044" s="2" t="inlineStr">
        <is>
          <t>Vadodara</t>
        </is>
      </c>
      <c r="J1044" s="2" t="inlineStr">
        <is>
          <t>Online</t>
        </is>
      </c>
      <c r="K1044" s="2" t="n">
        <v>2</v>
      </c>
      <c r="L1044" s="3" t="n">
        <v>1495.85</v>
      </c>
      <c r="M1044" s="4" t="n">
        <v>0.1</v>
      </c>
      <c r="N1044" s="3" t="n">
        <v>2136.64</v>
      </c>
      <c r="O1044" s="3">
        <f>K1044*L1044*(1-M1044)</f>
        <v/>
      </c>
      <c r="P1044" s="3">
        <f>O1044-N1044</f>
        <v/>
      </c>
      <c r="Q1044" s="5">
        <f>IFERROR(P1044/O1044,0)</f>
        <v/>
      </c>
      <c r="R1044" s="2">
        <f>TEXT(DATEVALUE(B1044),"mmm")</f>
        <v/>
      </c>
      <c r="S1044" s="2">
        <f>TEXT(DATEVALUE(B1044),"yyyy-mm")</f>
        <v/>
      </c>
    </row>
    <row r="1045">
      <c r="A1045" s="2" t="inlineStr">
        <is>
          <t>O002111</t>
        </is>
      </c>
      <c r="B1045" s="2" t="inlineStr">
        <is>
          <t>2025-03-17</t>
        </is>
      </c>
      <c r="C1045" s="2" t="inlineStr">
        <is>
          <t>C0485</t>
        </is>
      </c>
      <c r="D1045" s="2" t="inlineStr">
        <is>
          <t>P0021</t>
        </is>
      </c>
      <c r="E1045" s="2" t="inlineStr">
        <is>
          <t>Wallet</t>
        </is>
      </c>
      <c r="F1045" s="2" t="inlineStr">
        <is>
          <t>Fashion</t>
        </is>
      </c>
      <c r="G1045" s="2" t="inlineStr">
        <is>
          <t>West</t>
        </is>
      </c>
      <c r="H1045" s="2" t="inlineStr">
        <is>
          <t>Maharashtra</t>
        </is>
      </c>
      <c r="I1045" s="2" t="inlineStr">
        <is>
          <t>Pune</t>
        </is>
      </c>
      <c r="J1045" s="2" t="inlineStr">
        <is>
          <t>Store</t>
        </is>
      </c>
      <c r="K1045" s="2" t="n">
        <v>2</v>
      </c>
      <c r="L1045" s="3" t="n">
        <v>1961.1</v>
      </c>
      <c r="M1045" s="4" t="n">
        <v>0.1</v>
      </c>
      <c r="N1045" s="3" t="n">
        <v>2383.68</v>
      </c>
      <c r="O1045" s="3">
        <f>K1045*L1045*(1-M1045)</f>
        <v/>
      </c>
      <c r="P1045" s="3">
        <f>O1045-N1045</f>
        <v/>
      </c>
      <c r="Q1045" s="5">
        <f>IFERROR(P1045/O1045,0)</f>
        <v/>
      </c>
      <c r="R1045" s="2">
        <f>TEXT(DATEVALUE(B1045),"mmm")</f>
        <v/>
      </c>
      <c r="S1045" s="2">
        <f>TEXT(DATEVALUE(B1045),"yyyy-mm")</f>
        <v/>
      </c>
    </row>
    <row r="1046">
      <c r="A1046" s="2" t="inlineStr">
        <is>
          <t>O004810</t>
        </is>
      </c>
      <c r="B1046" s="2" t="inlineStr">
        <is>
          <t>2025-03-18</t>
        </is>
      </c>
      <c r="C1046" s="2" t="inlineStr">
        <is>
          <t>C0216</t>
        </is>
      </c>
      <c r="D1046" s="2" t="inlineStr">
        <is>
          <t>P0006</t>
        </is>
      </c>
      <c r="E1046" s="2" t="inlineStr">
        <is>
          <t>Mechanical Keyboard</t>
        </is>
      </c>
      <c r="F1046" s="2" t="inlineStr">
        <is>
          <t>Electronics</t>
        </is>
      </c>
      <c r="G1046" s="2" t="inlineStr">
        <is>
          <t>South</t>
        </is>
      </c>
      <c r="H1046" s="2" t="inlineStr">
        <is>
          <t>Telangana</t>
        </is>
      </c>
      <c r="I1046" s="2" t="inlineStr">
        <is>
          <t>Hyderabad</t>
        </is>
      </c>
      <c r="J1046" s="2" t="inlineStr">
        <is>
          <t>Online</t>
        </is>
      </c>
      <c r="K1046" s="2" t="n">
        <v>6</v>
      </c>
      <c r="L1046" s="3" t="n">
        <v>2739.12</v>
      </c>
      <c r="M1046" s="4" t="n">
        <v>0.05</v>
      </c>
      <c r="N1046" s="3" t="n">
        <v>8626.84</v>
      </c>
      <c r="O1046" s="3">
        <f>K1046*L1046*(1-M1046)</f>
        <v/>
      </c>
      <c r="P1046" s="3">
        <f>O1046-N1046</f>
        <v/>
      </c>
      <c r="Q1046" s="5">
        <f>IFERROR(P1046/O1046,0)</f>
        <v/>
      </c>
      <c r="R1046" s="2">
        <f>TEXT(DATEVALUE(B1046),"mmm")</f>
        <v/>
      </c>
      <c r="S1046" s="2">
        <f>TEXT(DATEVALUE(B1046),"yyyy-mm")</f>
        <v/>
      </c>
    </row>
    <row r="1047">
      <c r="A1047" s="2" t="inlineStr">
        <is>
          <t>O004435</t>
        </is>
      </c>
      <c r="B1047" s="2" t="inlineStr">
        <is>
          <t>2025-03-18</t>
        </is>
      </c>
      <c r="C1047" s="2" t="inlineStr">
        <is>
          <t>C0313</t>
        </is>
      </c>
      <c r="D1047" s="2" t="inlineStr">
        <is>
          <t>P0011</t>
        </is>
      </c>
      <c r="E1047" s="2" t="inlineStr">
        <is>
          <t>Cookware Set</t>
        </is>
      </c>
      <c r="F1047" s="2" t="inlineStr">
        <is>
          <t>Home &amp; Kitchen</t>
        </is>
      </c>
      <c r="G1047" s="2" t="inlineStr">
        <is>
          <t>West</t>
        </is>
      </c>
      <c r="H1047" s="2" t="inlineStr">
        <is>
          <t>Maharashtra</t>
        </is>
      </c>
      <c r="I1047" s="2" t="inlineStr">
        <is>
          <t>Pune</t>
        </is>
      </c>
      <c r="J1047" s="2" t="inlineStr">
        <is>
          <t>Online</t>
        </is>
      </c>
      <c r="K1047" s="2" t="n">
        <v>1</v>
      </c>
      <c r="L1047" s="3" t="n">
        <v>708.64</v>
      </c>
      <c r="M1047" s="4" t="n">
        <v>0.05</v>
      </c>
      <c r="N1047" s="3" t="n">
        <v>459.31</v>
      </c>
      <c r="O1047" s="3">
        <f>K1047*L1047*(1-M1047)</f>
        <v/>
      </c>
      <c r="P1047" s="3">
        <f>O1047-N1047</f>
        <v/>
      </c>
      <c r="Q1047" s="5">
        <f>IFERROR(P1047/O1047,0)</f>
        <v/>
      </c>
      <c r="R1047" s="2">
        <f>TEXT(DATEVALUE(B1047),"mmm")</f>
        <v/>
      </c>
      <c r="S1047" s="2">
        <f>TEXT(DATEVALUE(B1047),"yyyy-mm")</f>
        <v/>
      </c>
    </row>
    <row r="1048">
      <c r="A1048" s="2" t="inlineStr">
        <is>
          <t>O003432</t>
        </is>
      </c>
      <c r="B1048" s="2" t="inlineStr">
        <is>
          <t>2025-03-18</t>
        </is>
      </c>
      <c r="C1048" s="2" t="inlineStr">
        <is>
          <t>C0077</t>
        </is>
      </c>
      <c r="D1048" s="2" t="inlineStr">
        <is>
          <t>P0021</t>
        </is>
      </c>
      <c r="E1048" s="2" t="inlineStr">
        <is>
          <t>Wallet</t>
        </is>
      </c>
      <c r="F1048" s="2" t="inlineStr">
        <is>
          <t>Fashion</t>
        </is>
      </c>
      <c r="G1048" s="2" t="inlineStr">
        <is>
          <t>North</t>
        </is>
      </c>
      <c r="H1048" s="2" t="inlineStr">
        <is>
          <t>Haryana</t>
        </is>
      </c>
      <c r="I1048" s="2" t="inlineStr">
        <is>
          <t>Faridabad</t>
        </is>
      </c>
      <c r="J1048" s="2" t="inlineStr">
        <is>
          <t>Online</t>
        </is>
      </c>
      <c r="K1048" s="2" t="n">
        <v>1</v>
      </c>
      <c r="L1048" s="3" t="n">
        <v>2011.16</v>
      </c>
      <c r="M1048" s="4" t="n">
        <v>0.05</v>
      </c>
      <c r="N1048" s="3" t="n">
        <v>1245.41</v>
      </c>
      <c r="O1048" s="3">
        <f>K1048*L1048*(1-M1048)</f>
        <v/>
      </c>
      <c r="P1048" s="3">
        <f>O1048-N1048</f>
        <v/>
      </c>
      <c r="Q1048" s="5">
        <f>IFERROR(P1048/O1048,0)</f>
        <v/>
      </c>
      <c r="R1048" s="2">
        <f>TEXT(DATEVALUE(B1048),"mmm")</f>
        <v/>
      </c>
      <c r="S1048" s="2">
        <f>TEXT(DATEVALUE(B1048),"yyyy-mm")</f>
        <v/>
      </c>
    </row>
    <row r="1049">
      <c r="A1049" s="2" t="inlineStr">
        <is>
          <t>O002244</t>
        </is>
      </c>
      <c r="B1049" s="2" t="inlineStr">
        <is>
          <t>2025-03-18</t>
        </is>
      </c>
      <c r="C1049" s="2" t="inlineStr">
        <is>
          <t>C0585</t>
        </is>
      </c>
      <c r="D1049" s="2" t="inlineStr">
        <is>
          <t>P0014</t>
        </is>
      </c>
      <c r="E1049" s="2" t="inlineStr">
        <is>
          <t>Coffee Maker</t>
        </is>
      </c>
      <c r="F1049" s="2" t="inlineStr">
        <is>
          <t>Home &amp; Kitchen</t>
        </is>
      </c>
      <c r="G1049" s="2" t="inlineStr">
        <is>
          <t>West</t>
        </is>
      </c>
      <c r="H1049" s="2" t="inlineStr">
        <is>
          <t>Goa</t>
        </is>
      </c>
      <c r="I1049" s="2" t="inlineStr">
        <is>
          <t>Panaji</t>
        </is>
      </c>
      <c r="J1049" s="2" t="inlineStr">
        <is>
          <t>Store</t>
        </is>
      </c>
      <c r="K1049" s="2" t="n">
        <v>1</v>
      </c>
      <c r="L1049" s="3" t="n">
        <v>1068.28</v>
      </c>
      <c r="M1049" s="4" t="n">
        <v>0.05</v>
      </c>
      <c r="N1049" s="3" t="n">
        <v>778.16</v>
      </c>
      <c r="O1049" s="3">
        <f>K1049*L1049*(1-M1049)</f>
        <v/>
      </c>
      <c r="P1049" s="3">
        <f>O1049-N1049</f>
        <v/>
      </c>
      <c r="Q1049" s="5">
        <f>IFERROR(P1049/O1049,0)</f>
        <v/>
      </c>
      <c r="R1049" s="2">
        <f>TEXT(DATEVALUE(B1049),"mmm")</f>
        <v/>
      </c>
      <c r="S1049" s="2">
        <f>TEXT(DATEVALUE(B1049),"yyyy-mm")</f>
        <v/>
      </c>
    </row>
    <row r="1050">
      <c r="A1050" s="2" t="inlineStr">
        <is>
          <t>O002091</t>
        </is>
      </c>
      <c r="B1050" s="2" t="inlineStr">
        <is>
          <t>2025-03-18</t>
        </is>
      </c>
      <c r="C1050" s="2" t="inlineStr">
        <is>
          <t>C0694</t>
        </is>
      </c>
      <c r="D1050" s="2" t="inlineStr">
        <is>
          <t>P0021</t>
        </is>
      </c>
      <c r="E1050" s="2" t="inlineStr">
        <is>
          <t>Wallet</t>
        </is>
      </c>
      <c r="F1050" s="2" t="inlineStr">
        <is>
          <t>Fashion</t>
        </is>
      </c>
      <c r="G1050" s="2" t="inlineStr">
        <is>
          <t>South</t>
        </is>
      </c>
      <c r="H1050" s="2" t="inlineStr">
        <is>
          <t>Tamil Nadu</t>
        </is>
      </c>
      <c r="I1050" s="2" t="inlineStr">
        <is>
          <t>Coimbatore</t>
        </is>
      </c>
      <c r="J1050" s="2" t="inlineStr">
        <is>
          <t>Store</t>
        </is>
      </c>
      <c r="K1050" s="2" t="n">
        <v>1</v>
      </c>
      <c r="L1050" s="3" t="n">
        <v>2077.22</v>
      </c>
      <c r="M1050" s="4" t="n">
        <v>0.05</v>
      </c>
      <c r="N1050" s="3" t="n">
        <v>1229.8</v>
      </c>
      <c r="O1050" s="3">
        <f>K1050*L1050*(1-M1050)</f>
        <v/>
      </c>
      <c r="P1050" s="3">
        <f>O1050-N1050</f>
        <v/>
      </c>
      <c r="Q1050" s="5">
        <f>IFERROR(P1050/O1050,0)</f>
        <v/>
      </c>
      <c r="R1050" s="2">
        <f>TEXT(DATEVALUE(B1050),"mmm")</f>
        <v/>
      </c>
      <c r="S1050" s="2">
        <f>TEXT(DATEVALUE(B1050),"yyyy-mm")</f>
        <v/>
      </c>
    </row>
    <row r="1051">
      <c r="A1051" s="2" t="inlineStr">
        <is>
          <t>O001828</t>
        </is>
      </c>
      <c r="B1051" s="2" t="inlineStr">
        <is>
          <t>2025-03-18</t>
        </is>
      </c>
      <c r="C1051" s="2" t="inlineStr">
        <is>
          <t>C0309</t>
        </is>
      </c>
      <c r="D1051" s="2" t="inlineStr">
        <is>
          <t>P0022</t>
        </is>
      </c>
      <c r="E1051" s="2" t="inlineStr">
        <is>
          <t>Face Wash</t>
        </is>
      </c>
      <c r="F1051" s="2" t="inlineStr">
        <is>
          <t>Beauty</t>
        </is>
      </c>
      <c r="G1051" s="2" t="inlineStr">
        <is>
          <t>West</t>
        </is>
      </c>
      <c r="H1051" s="2" t="inlineStr">
        <is>
          <t>Maharashtra</t>
        </is>
      </c>
      <c r="I1051" s="2" t="inlineStr">
        <is>
          <t>Nashik</t>
        </is>
      </c>
      <c r="J1051" s="2" t="inlineStr">
        <is>
          <t>Online</t>
        </is>
      </c>
      <c r="K1051" s="2" t="n">
        <v>3</v>
      </c>
      <c r="L1051" s="3" t="n">
        <v>561.6</v>
      </c>
      <c r="M1051" s="4" t="n">
        <v>0.05</v>
      </c>
      <c r="N1051" s="3" t="n">
        <v>1035.74</v>
      </c>
      <c r="O1051" s="3">
        <f>K1051*L1051*(1-M1051)</f>
        <v/>
      </c>
      <c r="P1051" s="3">
        <f>O1051-N1051</f>
        <v/>
      </c>
      <c r="Q1051" s="5">
        <f>IFERROR(P1051/O1051,0)</f>
        <v/>
      </c>
      <c r="R1051" s="2">
        <f>TEXT(DATEVALUE(B1051),"mmm")</f>
        <v/>
      </c>
      <c r="S1051" s="2">
        <f>TEXT(DATEVALUE(B1051),"yyyy-mm")</f>
        <v/>
      </c>
    </row>
    <row r="1052">
      <c r="A1052" s="2" t="inlineStr">
        <is>
          <t>O001667</t>
        </is>
      </c>
      <c r="B1052" s="2" t="inlineStr">
        <is>
          <t>2025-03-18</t>
        </is>
      </c>
      <c r="C1052" s="2" t="inlineStr">
        <is>
          <t>C0313</t>
        </is>
      </c>
      <c r="D1052" s="2" t="inlineStr">
        <is>
          <t>P0031</t>
        </is>
      </c>
      <c r="E1052" s="2" t="inlineStr">
        <is>
          <t>Cricket Bat</t>
        </is>
      </c>
      <c r="F1052" s="2" t="inlineStr">
        <is>
          <t>Sports</t>
        </is>
      </c>
      <c r="G1052" s="2" t="inlineStr">
        <is>
          <t>East</t>
        </is>
      </c>
      <c r="H1052" s="2" t="inlineStr">
        <is>
          <t>West Bengal</t>
        </is>
      </c>
      <c r="I1052" s="2" t="inlineStr">
        <is>
          <t>Durgapur</t>
        </is>
      </c>
      <c r="J1052" s="2" t="inlineStr">
        <is>
          <t>Online</t>
        </is>
      </c>
      <c r="K1052" s="2" t="n">
        <v>3</v>
      </c>
      <c r="L1052" s="3" t="n">
        <v>1413.87</v>
      </c>
      <c r="M1052" s="4" t="n">
        <v>0</v>
      </c>
      <c r="N1052" s="3" t="n">
        <v>2912.23</v>
      </c>
      <c r="O1052" s="3">
        <f>K1052*L1052*(1-M1052)</f>
        <v/>
      </c>
      <c r="P1052" s="3">
        <f>O1052-N1052</f>
        <v/>
      </c>
      <c r="Q1052" s="5">
        <f>IFERROR(P1052/O1052,0)</f>
        <v/>
      </c>
      <c r="R1052" s="2">
        <f>TEXT(DATEVALUE(B1052),"mmm")</f>
        <v/>
      </c>
      <c r="S1052" s="2">
        <f>TEXT(DATEVALUE(B1052),"yyyy-mm")</f>
        <v/>
      </c>
    </row>
    <row r="1053">
      <c r="A1053" s="2" t="inlineStr">
        <is>
          <t>O002175</t>
        </is>
      </c>
      <c r="B1053" s="2" t="inlineStr">
        <is>
          <t>2025-03-18</t>
        </is>
      </c>
      <c r="C1053" s="2" t="inlineStr">
        <is>
          <t>C0573</t>
        </is>
      </c>
      <c r="D1053" s="2" t="inlineStr">
        <is>
          <t>P0027</t>
        </is>
      </c>
      <c r="E1053" s="2" t="inlineStr">
        <is>
          <t>Moisturizer</t>
        </is>
      </c>
      <c r="F1053" s="2" t="inlineStr">
        <is>
          <t>Beauty</t>
        </is>
      </c>
      <c r="G1053" s="2" t="inlineStr">
        <is>
          <t>North</t>
        </is>
      </c>
      <c r="H1053" s="2" t="inlineStr">
        <is>
          <t>Punjab</t>
        </is>
      </c>
      <c r="I1053" s="2" t="inlineStr">
        <is>
          <t>Jalandhar</t>
        </is>
      </c>
      <c r="J1053" s="2" t="inlineStr">
        <is>
          <t>Store</t>
        </is>
      </c>
      <c r="K1053" s="2" t="n">
        <v>3</v>
      </c>
      <c r="L1053" s="3" t="n">
        <v>927.72</v>
      </c>
      <c r="M1053" s="4" t="n">
        <v>0.05</v>
      </c>
      <c r="N1053" s="3" t="n">
        <v>2113.9</v>
      </c>
      <c r="O1053" s="3">
        <f>K1053*L1053*(1-M1053)</f>
        <v/>
      </c>
      <c r="P1053" s="3">
        <f>O1053-N1053</f>
        <v/>
      </c>
      <c r="Q1053" s="5">
        <f>IFERROR(P1053/O1053,0)</f>
        <v/>
      </c>
      <c r="R1053" s="2">
        <f>TEXT(DATEVALUE(B1053),"mmm")</f>
        <v/>
      </c>
      <c r="S1053" s="2">
        <f>TEXT(DATEVALUE(B1053),"yyyy-mm")</f>
        <v/>
      </c>
    </row>
    <row r="1054">
      <c r="A1054" s="2" t="inlineStr">
        <is>
          <t>O002243</t>
        </is>
      </c>
      <c r="B1054" s="2" t="inlineStr">
        <is>
          <t>2025-03-19</t>
        </is>
      </c>
      <c r="C1054" s="2" t="inlineStr">
        <is>
          <t>C0590</t>
        </is>
      </c>
      <c r="D1054" s="2" t="inlineStr">
        <is>
          <t>P0025</t>
        </is>
      </c>
      <c r="E1054" s="2" t="inlineStr">
        <is>
          <t>Perfume</t>
        </is>
      </c>
      <c r="F1054" s="2" t="inlineStr">
        <is>
          <t>Beauty</t>
        </is>
      </c>
      <c r="G1054" s="2" t="inlineStr">
        <is>
          <t>South</t>
        </is>
      </c>
      <c r="H1054" s="2" t="inlineStr">
        <is>
          <t>Telangana</t>
        </is>
      </c>
      <c r="I1054" s="2" t="inlineStr">
        <is>
          <t>Hyderabad</t>
        </is>
      </c>
      <c r="J1054" s="2" t="inlineStr">
        <is>
          <t>Online</t>
        </is>
      </c>
      <c r="K1054" s="2" t="n">
        <v>2</v>
      </c>
      <c r="L1054" s="3" t="n">
        <v>796.4</v>
      </c>
      <c r="M1054" s="4" t="n">
        <v>0.05</v>
      </c>
      <c r="N1054" s="3" t="n">
        <v>1236.97</v>
      </c>
      <c r="O1054" s="3">
        <f>K1054*L1054*(1-M1054)</f>
        <v/>
      </c>
      <c r="P1054" s="3">
        <f>O1054-N1054</f>
        <v/>
      </c>
      <c r="Q1054" s="5">
        <f>IFERROR(P1054/O1054,0)</f>
        <v/>
      </c>
      <c r="R1054" s="2">
        <f>TEXT(DATEVALUE(B1054),"mmm")</f>
        <v/>
      </c>
      <c r="S1054" s="2">
        <f>TEXT(DATEVALUE(B1054),"yyyy-mm")</f>
        <v/>
      </c>
    </row>
    <row r="1055">
      <c r="A1055" s="2" t="inlineStr">
        <is>
          <t>O003926</t>
        </is>
      </c>
      <c r="B1055" s="2" t="inlineStr">
        <is>
          <t>2025-03-19</t>
        </is>
      </c>
      <c r="C1055" s="2" t="inlineStr">
        <is>
          <t>C0519</t>
        </is>
      </c>
      <c r="D1055" s="2" t="inlineStr">
        <is>
          <t>P0017</t>
        </is>
      </c>
      <c r="E1055" s="2" t="inlineStr">
        <is>
          <t>Jeans</t>
        </is>
      </c>
      <c r="F1055" s="2" t="inlineStr">
        <is>
          <t>Fashion</t>
        </is>
      </c>
      <c r="G1055" s="2" t="inlineStr">
        <is>
          <t>South</t>
        </is>
      </c>
      <c r="H1055" s="2" t="inlineStr">
        <is>
          <t>Tamil Nadu</t>
        </is>
      </c>
      <c r="I1055" s="2" t="inlineStr">
        <is>
          <t>Madurai</t>
        </is>
      </c>
      <c r="J1055" s="2" t="inlineStr">
        <is>
          <t>Online</t>
        </is>
      </c>
      <c r="K1055" s="2" t="n">
        <v>2</v>
      </c>
      <c r="L1055" s="3" t="n">
        <v>1512.24</v>
      </c>
      <c r="M1055" s="4" t="n">
        <v>0.25</v>
      </c>
      <c r="N1055" s="3" t="n">
        <v>2106.01</v>
      </c>
      <c r="O1055" s="3">
        <f>K1055*L1055*(1-M1055)</f>
        <v/>
      </c>
      <c r="P1055" s="3">
        <f>O1055-N1055</f>
        <v/>
      </c>
      <c r="Q1055" s="5">
        <f>IFERROR(P1055/O1055,0)</f>
        <v/>
      </c>
      <c r="R1055" s="2">
        <f>TEXT(DATEVALUE(B1055),"mmm")</f>
        <v/>
      </c>
      <c r="S1055" s="2">
        <f>TEXT(DATEVALUE(B1055),"yyyy-mm")</f>
        <v/>
      </c>
    </row>
    <row r="1056">
      <c r="A1056" s="2" t="inlineStr">
        <is>
          <t>O002782</t>
        </is>
      </c>
      <c r="B1056" s="2" t="inlineStr">
        <is>
          <t>2025-03-19</t>
        </is>
      </c>
      <c r="C1056" s="2" t="inlineStr">
        <is>
          <t>C0208</t>
        </is>
      </c>
      <c r="D1056" s="2" t="inlineStr">
        <is>
          <t>P0024</t>
        </is>
      </c>
      <c r="E1056" s="2" t="inlineStr">
        <is>
          <t>Hair Dryer</t>
        </is>
      </c>
      <c r="F1056" s="2" t="inlineStr">
        <is>
          <t>Beauty</t>
        </is>
      </c>
      <c r="G1056" s="2" t="inlineStr">
        <is>
          <t>South</t>
        </is>
      </c>
      <c r="H1056" s="2" t="inlineStr">
        <is>
          <t>Kerala</t>
        </is>
      </c>
      <c r="I1056" s="2" t="inlineStr">
        <is>
          <t>Kochi</t>
        </is>
      </c>
      <c r="J1056" s="2" t="inlineStr">
        <is>
          <t>Online</t>
        </is>
      </c>
      <c r="K1056" s="2" t="n">
        <v>3</v>
      </c>
      <c r="L1056" s="3" t="n">
        <v>992.99</v>
      </c>
      <c r="M1056" s="4" t="n">
        <v>0</v>
      </c>
      <c r="N1056" s="3" t="n">
        <v>2230.22</v>
      </c>
      <c r="O1056" s="3">
        <f>K1056*L1056*(1-M1056)</f>
        <v/>
      </c>
      <c r="P1056" s="3">
        <f>O1056-N1056</f>
        <v/>
      </c>
      <c r="Q1056" s="5">
        <f>IFERROR(P1056/O1056,0)</f>
        <v/>
      </c>
      <c r="R1056" s="2">
        <f>TEXT(DATEVALUE(B1056),"mmm")</f>
        <v/>
      </c>
      <c r="S1056" s="2">
        <f>TEXT(DATEVALUE(B1056),"yyyy-mm")</f>
        <v/>
      </c>
    </row>
    <row r="1057">
      <c r="A1057" s="2" t="inlineStr">
        <is>
          <t>O004224</t>
        </is>
      </c>
      <c r="B1057" s="2" t="inlineStr">
        <is>
          <t>2025-03-19</t>
        </is>
      </c>
      <c r="C1057" s="2" t="inlineStr">
        <is>
          <t>C0407</t>
        </is>
      </c>
      <c r="D1057" s="2" t="inlineStr">
        <is>
          <t>P0001</t>
        </is>
      </c>
      <c r="E1057" s="2" t="inlineStr">
        <is>
          <t>Wireless Headphones</t>
        </is>
      </c>
      <c r="F1057" s="2" t="inlineStr">
        <is>
          <t>Electronics</t>
        </is>
      </c>
      <c r="G1057" s="2" t="inlineStr">
        <is>
          <t>South</t>
        </is>
      </c>
      <c r="H1057" s="2" t="inlineStr">
        <is>
          <t>Karnataka</t>
        </is>
      </c>
      <c r="I1057" s="2" t="inlineStr">
        <is>
          <t>Bengaluru</t>
        </is>
      </c>
      <c r="J1057" s="2" t="inlineStr">
        <is>
          <t>Store</t>
        </is>
      </c>
      <c r="K1057" s="2" t="n">
        <v>1</v>
      </c>
      <c r="L1057" s="3" t="n">
        <v>1359.88</v>
      </c>
      <c r="M1057" s="4" t="n">
        <v>0.05</v>
      </c>
      <c r="N1057" s="3" t="n">
        <v>680.87</v>
      </c>
      <c r="O1057" s="3">
        <f>K1057*L1057*(1-M1057)</f>
        <v/>
      </c>
      <c r="P1057" s="3">
        <f>O1057-N1057</f>
        <v/>
      </c>
      <c r="Q1057" s="5">
        <f>IFERROR(P1057/O1057,0)</f>
        <v/>
      </c>
      <c r="R1057" s="2">
        <f>TEXT(DATEVALUE(B1057),"mmm")</f>
        <v/>
      </c>
      <c r="S1057" s="2">
        <f>TEXT(DATEVALUE(B1057),"yyyy-mm")</f>
        <v/>
      </c>
    </row>
    <row r="1058">
      <c r="A1058" s="2" t="inlineStr">
        <is>
          <t>O001270</t>
        </is>
      </c>
      <c r="B1058" s="2" t="inlineStr">
        <is>
          <t>2025-03-19</t>
        </is>
      </c>
      <c r="C1058" s="2" t="inlineStr">
        <is>
          <t>C0628</t>
        </is>
      </c>
      <c r="D1058" s="2" t="inlineStr">
        <is>
          <t>P0031</t>
        </is>
      </c>
      <c r="E1058" s="2" t="inlineStr">
        <is>
          <t>Cricket Bat</t>
        </is>
      </c>
      <c r="F1058" s="2" t="inlineStr">
        <is>
          <t>Sports</t>
        </is>
      </c>
      <c r="G1058" s="2" t="inlineStr">
        <is>
          <t>East</t>
        </is>
      </c>
      <c r="H1058" s="2" t="inlineStr">
        <is>
          <t>Bihar</t>
        </is>
      </c>
      <c r="I1058" s="2" t="inlineStr">
        <is>
          <t>Gaya</t>
        </is>
      </c>
      <c r="J1058" s="2" t="inlineStr">
        <is>
          <t>Online</t>
        </is>
      </c>
      <c r="K1058" s="2" t="n">
        <v>1</v>
      </c>
      <c r="L1058" s="3" t="n">
        <v>1347.67</v>
      </c>
      <c r="M1058" s="4" t="n">
        <v>0.05</v>
      </c>
      <c r="N1058" s="3" t="n">
        <v>951.75</v>
      </c>
      <c r="O1058" s="3">
        <f>K1058*L1058*(1-M1058)</f>
        <v/>
      </c>
      <c r="P1058" s="3">
        <f>O1058-N1058</f>
        <v/>
      </c>
      <c r="Q1058" s="5">
        <f>IFERROR(P1058/O1058,0)</f>
        <v/>
      </c>
      <c r="R1058" s="2">
        <f>TEXT(DATEVALUE(B1058),"mmm")</f>
        <v/>
      </c>
      <c r="S1058" s="2">
        <f>TEXT(DATEVALUE(B1058),"yyyy-mm")</f>
        <v/>
      </c>
    </row>
    <row r="1059">
      <c r="A1059" s="2" t="inlineStr">
        <is>
          <t>O002581</t>
        </is>
      </c>
      <c r="B1059" s="2" t="inlineStr">
        <is>
          <t>2025-03-19</t>
        </is>
      </c>
      <c r="C1059" s="2" t="inlineStr">
        <is>
          <t>C0615</t>
        </is>
      </c>
      <c r="D1059" s="2" t="inlineStr">
        <is>
          <t>P0005</t>
        </is>
      </c>
      <c r="E1059" s="2" t="inlineStr">
        <is>
          <t>Power Bank</t>
        </is>
      </c>
      <c r="F1059" s="2" t="inlineStr">
        <is>
          <t>Electronics</t>
        </is>
      </c>
      <c r="G1059" s="2" t="inlineStr">
        <is>
          <t>South</t>
        </is>
      </c>
      <c r="H1059" s="2" t="inlineStr">
        <is>
          <t>Tamil Nadu</t>
        </is>
      </c>
      <c r="I1059" s="2" t="inlineStr">
        <is>
          <t>Chennai</t>
        </is>
      </c>
      <c r="J1059" s="2" t="inlineStr">
        <is>
          <t>Online</t>
        </is>
      </c>
      <c r="K1059" s="2" t="n">
        <v>4</v>
      </c>
      <c r="L1059" s="3" t="n">
        <v>1121.56</v>
      </c>
      <c r="M1059" s="4" t="n">
        <v>0.05</v>
      </c>
      <c r="N1059" s="3" t="n">
        <v>2629.78</v>
      </c>
      <c r="O1059" s="3">
        <f>K1059*L1059*(1-M1059)</f>
        <v/>
      </c>
      <c r="P1059" s="3">
        <f>O1059-N1059</f>
        <v/>
      </c>
      <c r="Q1059" s="5">
        <f>IFERROR(P1059/O1059,0)</f>
        <v/>
      </c>
      <c r="R1059" s="2">
        <f>TEXT(DATEVALUE(B1059),"mmm")</f>
        <v/>
      </c>
      <c r="S1059" s="2">
        <f>TEXT(DATEVALUE(B1059),"yyyy-mm")</f>
        <v/>
      </c>
    </row>
    <row r="1060">
      <c r="A1060" s="2" t="inlineStr">
        <is>
          <t>O001047</t>
        </is>
      </c>
      <c r="B1060" s="2" t="inlineStr">
        <is>
          <t>2025-03-19</t>
        </is>
      </c>
      <c r="C1060" s="2" t="inlineStr">
        <is>
          <t>C0406</t>
        </is>
      </c>
      <c r="D1060" s="2" t="inlineStr">
        <is>
          <t>P0011</t>
        </is>
      </c>
      <c r="E1060" s="2" t="inlineStr">
        <is>
          <t>Cookware Set</t>
        </is>
      </c>
      <c r="F1060" s="2" t="inlineStr">
        <is>
          <t>Home &amp; Kitchen</t>
        </is>
      </c>
      <c r="G1060" s="2" t="inlineStr">
        <is>
          <t>North</t>
        </is>
      </c>
      <c r="H1060" s="2" t="inlineStr">
        <is>
          <t>Punjab</t>
        </is>
      </c>
      <c r="I1060" s="2" t="inlineStr">
        <is>
          <t>Ludhiana</t>
        </is>
      </c>
      <c r="J1060" s="2" t="inlineStr">
        <is>
          <t>Store</t>
        </is>
      </c>
      <c r="K1060" s="2" t="n">
        <v>3</v>
      </c>
      <c r="L1060" s="3" t="n">
        <v>682.91</v>
      </c>
      <c r="M1060" s="4" t="n">
        <v>0.05</v>
      </c>
      <c r="N1060" s="3" t="n">
        <v>1448.75</v>
      </c>
      <c r="O1060" s="3">
        <f>K1060*L1060*(1-M1060)</f>
        <v/>
      </c>
      <c r="P1060" s="3">
        <f>O1060-N1060</f>
        <v/>
      </c>
      <c r="Q1060" s="5">
        <f>IFERROR(P1060/O1060,0)</f>
        <v/>
      </c>
      <c r="R1060" s="2">
        <f>TEXT(DATEVALUE(B1060),"mmm")</f>
        <v/>
      </c>
      <c r="S1060" s="2">
        <f>TEXT(DATEVALUE(B1060),"yyyy-mm")</f>
        <v/>
      </c>
    </row>
    <row r="1061">
      <c r="A1061" s="2" t="inlineStr">
        <is>
          <t>O000888</t>
        </is>
      </c>
      <c r="B1061" s="2" t="inlineStr">
        <is>
          <t>2025-03-19</t>
        </is>
      </c>
      <c r="C1061" s="2" t="inlineStr">
        <is>
          <t>C0280</t>
        </is>
      </c>
      <c r="D1061" s="2" t="inlineStr">
        <is>
          <t>P0011</t>
        </is>
      </c>
      <c r="E1061" s="2" t="inlineStr">
        <is>
          <t>Cookware Set</t>
        </is>
      </c>
      <c r="F1061" s="2" t="inlineStr">
        <is>
          <t>Home &amp; Kitchen</t>
        </is>
      </c>
      <c r="G1061" s="2" t="inlineStr">
        <is>
          <t>South</t>
        </is>
      </c>
      <c r="H1061" s="2" t="inlineStr">
        <is>
          <t>Tamil Nadu</t>
        </is>
      </c>
      <c r="I1061" s="2" t="inlineStr">
        <is>
          <t>Coimbatore</t>
        </is>
      </c>
      <c r="J1061" s="2" t="inlineStr">
        <is>
          <t>Online</t>
        </is>
      </c>
      <c r="K1061" s="2" t="n">
        <v>1</v>
      </c>
      <c r="L1061" s="3" t="n">
        <v>731.3099999999999</v>
      </c>
      <c r="M1061" s="4" t="n">
        <v>0.05</v>
      </c>
      <c r="N1061" s="3" t="n">
        <v>458.57</v>
      </c>
      <c r="O1061" s="3">
        <f>K1061*L1061*(1-M1061)</f>
        <v/>
      </c>
      <c r="P1061" s="3">
        <f>O1061-N1061</f>
        <v/>
      </c>
      <c r="Q1061" s="5">
        <f>IFERROR(P1061/O1061,0)</f>
        <v/>
      </c>
      <c r="R1061" s="2">
        <f>TEXT(DATEVALUE(B1061),"mmm")</f>
        <v/>
      </c>
      <c r="S1061" s="2">
        <f>TEXT(DATEVALUE(B1061),"yyyy-mm")</f>
        <v/>
      </c>
    </row>
    <row r="1062">
      <c r="A1062" s="2" t="inlineStr">
        <is>
          <t>O000856</t>
        </is>
      </c>
      <c r="B1062" s="2" t="inlineStr">
        <is>
          <t>2025-03-19</t>
        </is>
      </c>
      <c r="C1062" s="2" t="inlineStr">
        <is>
          <t>C0733</t>
        </is>
      </c>
      <c r="D1062" s="2" t="inlineStr">
        <is>
          <t>P0016</t>
        </is>
      </c>
      <c r="E1062" s="2" t="inlineStr">
        <is>
          <t>Casual Shirt</t>
        </is>
      </c>
      <c r="F1062" s="2" t="inlineStr">
        <is>
          <t>Fashion</t>
        </is>
      </c>
      <c r="G1062" s="2" t="inlineStr">
        <is>
          <t>South</t>
        </is>
      </c>
      <c r="H1062" s="2" t="inlineStr">
        <is>
          <t>Telangana</t>
        </is>
      </c>
      <c r="I1062" s="2" t="inlineStr">
        <is>
          <t>Warangal</t>
        </is>
      </c>
      <c r="J1062" s="2" t="inlineStr">
        <is>
          <t>Online</t>
        </is>
      </c>
      <c r="K1062" s="2" t="n">
        <v>2</v>
      </c>
      <c r="L1062" s="3" t="n">
        <v>1268.61</v>
      </c>
      <c r="M1062" s="4" t="n">
        <v>0.1</v>
      </c>
      <c r="N1062" s="3" t="n">
        <v>1764.45</v>
      </c>
      <c r="O1062" s="3">
        <f>K1062*L1062*(1-M1062)</f>
        <v/>
      </c>
      <c r="P1062" s="3">
        <f>O1062-N1062</f>
        <v/>
      </c>
      <c r="Q1062" s="5">
        <f>IFERROR(P1062/O1062,0)</f>
        <v/>
      </c>
      <c r="R1062" s="2">
        <f>TEXT(DATEVALUE(B1062),"mmm")</f>
        <v/>
      </c>
      <c r="S1062" s="2">
        <f>TEXT(DATEVALUE(B1062),"yyyy-mm")</f>
        <v/>
      </c>
    </row>
    <row r="1063">
      <c r="A1063" s="2" t="inlineStr">
        <is>
          <t>O000755</t>
        </is>
      </c>
      <c r="B1063" s="2" t="inlineStr">
        <is>
          <t>2025-03-19</t>
        </is>
      </c>
      <c r="C1063" s="2" t="inlineStr">
        <is>
          <t>C0389</t>
        </is>
      </c>
      <c r="D1063" s="2" t="inlineStr">
        <is>
          <t>P0005</t>
        </is>
      </c>
      <c r="E1063" s="2" t="inlineStr">
        <is>
          <t>Power Bank</t>
        </is>
      </c>
      <c r="F1063" s="2" t="inlineStr">
        <is>
          <t>Electronics</t>
        </is>
      </c>
      <c r="G1063" s="2" t="inlineStr">
        <is>
          <t>South</t>
        </is>
      </c>
      <c r="H1063" s="2" t="inlineStr">
        <is>
          <t>Karnataka</t>
        </is>
      </c>
      <c r="I1063" s="2" t="inlineStr">
        <is>
          <t>Bengaluru</t>
        </is>
      </c>
      <c r="J1063" s="2" t="inlineStr">
        <is>
          <t>Store</t>
        </is>
      </c>
      <c r="K1063" s="2" t="n">
        <v>2</v>
      </c>
      <c r="L1063" s="3" t="n">
        <v>1118.08</v>
      </c>
      <c r="M1063" s="4" t="n">
        <v>0.15</v>
      </c>
      <c r="N1063" s="3" t="n">
        <v>1337.7</v>
      </c>
      <c r="O1063" s="3">
        <f>K1063*L1063*(1-M1063)</f>
        <v/>
      </c>
      <c r="P1063" s="3">
        <f>O1063-N1063</f>
        <v/>
      </c>
      <c r="Q1063" s="5">
        <f>IFERROR(P1063/O1063,0)</f>
        <v/>
      </c>
      <c r="R1063" s="2">
        <f>TEXT(DATEVALUE(B1063),"mmm")</f>
        <v/>
      </c>
      <c r="S1063" s="2">
        <f>TEXT(DATEVALUE(B1063),"yyyy-mm")</f>
        <v/>
      </c>
    </row>
    <row r="1064">
      <c r="A1064" s="2" t="inlineStr">
        <is>
          <t>O001230</t>
        </is>
      </c>
      <c r="B1064" s="2" t="inlineStr">
        <is>
          <t>2025-03-19</t>
        </is>
      </c>
      <c r="C1064" s="2" t="inlineStr">
        <is>
          <t>C0219</t>
        </is>
      </c>
      <c r="D1064" s="2" t="inlineStr">
        <is>
          <t>P0021</t>
        </is>
      </c>
      <c r="E1064" s="2" t="inlineStr">
        <is>
          <t>Wallet</t>
        </is>
      </c>
      <c r="F1064" s="2" t="inlineStr">
        <is>
          <t>Fashion</t>
        </is>
      </c>
      <c r="G1064" s="2" t="inlineStr">
        <is>
          <t>West</t>
        </is>
      </c>
      <c r="H1064" s="2" t="inlineStr">
        <is>
          <t>Goa</t>
        </is>
      </c>
      <c r="I1064" s="2" t="inlineStr">
        <is>
          <t>Margao</t>
        </is>
      </c>
      <c r="J1064" s="2" t="inlineStr">
        <is>
          <t>Store</t>
        </is>
      </c>
      <c r="K1064" s="2" t="n">
        <v>1</v>
      </c>
      <c r="L1064" s="3" t="n">
        <v>2084.44</v>
      </c>
      <c r="M1064" s="4" t="n">
        <v>0.05</v>
      </c>
      <c r="N1064" s="3" t="n">
        <v>1244.08</v>
      </c>
      <c r="O1064" s="3">
        <f>K1064*L1064*(1-M1064)</f>
        <v/>
      </c>
      <c r="P1064" s="3">
        <f>O1064-N1064</f>
        <v/>
      </c>
      <c r="Q1064" s="5">
        <f>IFERROR(P1064/O1064,0)</f>
        <v/>
      </c>
      <c r="R1064" s="2">
        <f>TEXT(DATEVALUE(B1064),"mmm")</f>
        <v/>
      </c>
      <c r="S1064" s="2">
        <f>TEXT(DATEVALUE(B1064),"yyyy-mm")</f>
        <v/>
      </c>
    </row>
    <row r="1065">
      <c r="A1065" s="2" t="inlineStr">
        <is>
          <t>O004797</t>
        </is>
      </c>
      <c r="B1065" s="2" t="inlineStr">
        <is>
          <t>2025-03-20</t>
        </is>
      </c>
      <c r="C1065" s="2" t="inlineStr">
        <is>
          <t>C0143</t>
        </is>
      </c>
      <c r="D1065" s="2" t="inlineStr">
        <is>
          <t>P0021</t>
        </is>
      </c>
      <c r="E1065" s="2" t="inlineStr">
        <is>
          <t>Wallet</t>
        </is>
      </c>
      <c r="F1065" s="2" t="inlineStr">
        <is>
          <t>Fashion</t>
        </is>
      </c>
      <c r="G1065" s="2" t="inlineStr">
        <is>
          <t>East</t>
        </is>
      </c>
      <c r="H1065" s="2" t="inlineStr">
        <is>
          <t>Bihar</t>
        </is>
      </c>
      <c r="I1065" s="2" t="inlineStr">
        <is>
          <t>Gaya</t>
        </is>
      </c>
      <c r="J1065" s="2" t="inlineStr">
        <is>
          <t>Store</t>
        </is>
      </c>
      <c r="K1065" s="2" t="n">
        <v>3</v>
      </c>
      <c r="L1065" s="3" t="n">
        <v>1936.28</v>
      </c>
      <c r="M1065" s="4" t="n">
        <v>0.15</v>
      </c>
      <c r="N1065" s="3" t="n">
        <v>3542.91</v>
      </c>
      <c r="O1065" s="3">
        <f>K1065*L1065*(1-M1065)</f>
        <v/>
      </c>
      <c r="P1065" s="3">
        <f>O1065-N1065</f>
        <v/>
      </c>
      <c r="Q1065" s="5">
        <f>IFERROR(P1065/O1065,0)</f>
        <v/>
      </c>
      <c r="R1065" s="2">
        <f>TEXT(DATEVALUE(B1065),"mmm")</f>
        <v/>
      </c>
      <c r="S1065" s="2">
        <f>TEXT(DATEVALUE(B1065),"yyyy-mm")</f>
        <v/>
      </c>
    </row>
    <row r="1066">
      <c r="A1066" s="2" t="inlineStr">
        <is>
          <t>O004361</t>
        </is>
      </c>
      <c r="B1066" s="2" t="inlineStr">
        <is>
          <t>2025-03-20</t>
        </is>
      </c>
      <c r="C1066" s="2" t="inlineStr">
        <is>
          <t>C0576</t>
        </is>
      </c>
      <c r="D1066" s="2" t="inlineStr">
        <is>
          <t>P0024</t>
        </is>
      </c>
      <c r="E1066" s="2" t="inlineStr">
        <is>
          <t>Hair Dryer</t>
        </is>
      </c>
      <c r="F1066" s="2" t="inlineStr">
        <is>
          <t>Beauty</t>
        </is>
      </c>
      <c r="G1066" s="2" t="inlineStr">
        <is>
          <t>East</t>
        </is>
      </c>
      <c r="H1066" s="2" t="inlineStr">
        <is>
          <t>Odisha</t>
        </is>
      </c>
      <c r="I1066" s="2" t="inlineStr">
        <is>
          <t>Cuttack</t>
        </is>
      </c>
      <c r="J1066" s="2" t="inlineStr">
        <is>
          <t>Store</t>
        </is>
      </c>
      <c r="K1066" s="2" t="n">
        <v>2</v>
      </c>
      <c r="L1066" s="3" t="n">
        <v>1002.66</v>
      </c>
      <c r="M1066" s="4" t="n">
        <v>0.15</v>
      </c>
      <c r="N1066" s="3" t="n">
        <v>1447.48</v>
      </c>
      <c r="O1066" s="3">
        <f>K1066*L1066*(1-M1066)</f>
        <v/>
      </c>
      <c r="P1066" s="3">
        <f>O1066-N1066</f>
        <v/>
      </c>
      <c r="Q1066" s="5">
        <f>IFERROR(P1066/O1066,0)</f>
        <v/>
      </c>
      <c r="R1066" s="2">
        <f>TEXT(DATEVALUE(B1066),"mmm")</f>
        <v/>
      </c>
      <c r="S1066" s="2">
        <f>TEXT(DATEVALUE(B1066),"yyyy-mm")</f>
        <v/>
      </c>
    </row>
    <row r="1067">
      <c r="A1067" s="2" t="inlineStr">
        <is>
          <t>O004289</t>
        </is>
      </c>
      <c r="B1067" s="2" t="inlineStr">
        <is>
          <t>2025-03-20</t>
        </is>
      </c>
      <c r="C1067" s="2" t="inlineStr">
        <is>
          <t>C0452</t>
        </is>
      </c>
      <c r="D1067" s="2" t="inlineStr">
        <is>
          <t>P0009</t>
        </is>
      </c>
      <c r="E1067" s="2" t="inlineStr">
        <is>
          <t>Electric Kettle</t>
        </is>
      </c>
      <c r="F1067" s="2" t="inlineStr">
        <is>
          <t>Home &amp; Kitchen</t>
        </is>
      </c>
      <c r="G1067" s="2" t="inlineStr">
        <is>
          <t>South</t>
        </is>
      </c>
      <c r="H1067" s="2" t="inlineStr">
        <is>
          <t>Telangana</t>
        </is>
      </c>
      <c r="I1067" s="2" t="inlineStr">
        <is>
          <t>Hyderabad</t>
        </is>
      </c>
      <c r="J1067" s="2" t="inlineStr">
        <is>
          <t>Online</t>
        </is>
      </c>
      <c r="K1067" s="2" t="n">
        <v>2</v>
      </c>
      <c r="L1067" s="3" t="n">
        <v>2007.72</v>
      </c>
      <c r="M1067" s="4" t="n">
        <v>0.05</v>
      </c>
      <c r="N1067" s="3" t="n">
        <v>2297.57</v>
      </c>
      <c r="O1067" s="3">
        <f>K1067*L1067*(1-M1067)</f>
        <v/>
      </c>
      <c r="P1067" s="3">
        <f>O1067-N1067</f>
        <v/>
      </c>
      <c r="Q1067" s="5">
        <f>IFERROR(P1067/O1067,0)</f>
        <v/>
      </c>
      <c r="R1067" s="2">
        <f>TEXT(DATEVALUE(B1067),"mmm")</f>
        <v/>
      </c>
      <c r="S1067" s="2">
        <f>TEXT(DATEVALUE(B1067),"yyyy-mm")</f>
        <v/>
      </c>
    </row>
    <row r="1068">
      <c r="A1068" s="2" t="inlineStr">
        <is>
          <t>O003864</t>
        </is>
      </c>
      <c r="B1068" s="2" t="inlineStr">
        <is>
          <t>2025-03-20</t>
        </is>
      </c>
      <c r="C1068" s="2" t="inlineStr">
        <is>
          <t>C0506</t>
        </is>
      </c>
      <c r="D1068" s="2" t="inlineStr">
        <is>
          <t>P0031</t>
        </is>
      </c>
      <c r="E1068" s="2" t="inlineStr">
        <is>
          <t>Cricket Bat</t>
        </is>
      </c>
      <c r="F1068" s="2" t="inlineStr">
        <is>
          <t>Sports</t>
        </is>
      </c>
      <c r="G1068" s="2" t="inlineStr">
        <is>
          <t>East</t>
        </is>
      </c>
      <c r="H1068" s="2" t="inlineStr">
        <is>
          <t>Odisha</t>
        </is>
      </c>
      <c r="I1068" s="2" t="inlineStr">
        <is>
          <t>Cuttack</t>
        </is>
      </c>
      <c r="J1068" s="2" t="inlineStr">
        <is>
          <t>Online</t>
        </is>
      </c>
      <c r="K1068" s="2" t="n">
        <v>5</v>
      </c>
      <c r="L1068" s="3" t="n">
        <v>1365.21</v>
      </c>
      <c r="M1068" s="4" t="n">
        <v>0.05</v>
      </c>
      <c r="N1068" s="3" t="n">
        <v>4602.71</v>
      </c>
      <c r="O1068" s="3">
        <f>K1068*L1068*(1-M1068)</f>
        <v/>
      </c>
      <c r="P1068" s="3">
        <f>O1068-N1068</f>
        <v/>
      </c>
      <c r="Q1068" s="5">
        <f>IFERROR(P1068/O1068,0)</f>
        <v/>
      </c>
      <c r="R1068" s="2">
        <f>TEXT(DATEVALUE(B1068),"mmm")</f>
        <v/>
      </c>
      <c r="S1068" s="2">
        <f>TEXT(DATEVALUE(B1068),"yyyy-mm")</f>
        <v/>
      </c>
    </row>
    <row r="1069">
      <c r="A1069" s="2" t="inlineStr">
        <is>
          <t>O003679</t>
        </is>
      </c>
      <c r="B1069" s="2" t="inlineStr">
        <is>
          <t>2025-03-20</t>
        </is>
      </c>
      <c r="C1069" s="2" t="inlineStr">
        <is>
          <t>C0148</t>
        </is>
      </c>
      <c r="D1069" s="2" t="inlineStr">
        <is>
          <t>P0004</t>
        </is>
      </c>
      <c r="E1069" s="2" t="inlineStr">
        <is>
          <t>USB-C Hub</t>
        </is>
      </c>
      <c r="F1069" s="2" t="inlineStr">
        <is>
          <t>Electronics</t>
        </is>
      </c>
      <c r="G1069" s="2" t="inlineStr">
        <is>
          <t>West</t>
        </is>
      </c>
      <c r="H1069" s="2" t="inlineStr">
        <is>
          <t>Maharashtra</t>
        </is>
      </c>
      <c r="I1069" s="2" t="inlineStr">
        <is>
          <t>Pune</t>
        </is>
      </c>
      <c r="J1069" s="2" t="inlineStr">
        <is>
          <t>Online</t>
        </is>
      </c>
      <c r="K1069" s="2" t="n">
        <v>3</v>
      </c>
      <c r="L1069" s="3" t="n">
        <v>1217.74</v>
      </c>
      <c r="M1069" s="4" t="n">
        <v>0</v>
      </c>
      <c r="N1069" s="3" t="n">
        <v>2794.23</v>
      </c>
      <c r="O1069" s="3">
        <f>K1069*L1069*(1-M1069)</f>
        <v/>
      </c>
      <c r="P1069" s="3">
        <f>O1069-N1069</f>
        <v/>
      </c>
      <c r="Q1069" s="5">
        <f>IFERROR(P1069/O1069,0)</f>
        <v/>
      </c>
      <c r="R1069" s="2">
        <f>TEXT(DATEVALUE(B1069),"mmm")</f>
        <v/>
      </c>
      <c r="S1069" s="2">
        <f>TEXT(DATEVALUE(B1069),"yyyy-mm")</f>
        <v/>
      </c>
    </row>
    <row r="1070">
      <c r="A1070" s="2" t="inlineStr">
        <is>
          <t>O002480</t>
        </is>
      </c>
      <c r="B1070" s="2" t="inlineStr">
        <is>
          <t>2025-03-20</t>
        </is>
      </c>
      <c r="C1070" s="2" t="inlineStr">
        <is>
          <t>C0261</t>
        </is>
      </c>
      <c r="D1070" s="2" t="inlineStr">
        <is>
          <t>P0024</t>
        </is>
      </c>
      <c r="E1070" s="2" t="inlineStr">
        <is>
          <t>Hair Dryer</t>
        </is>
      </c>
      <c r="F1070" s="2" t="inlineStr">
        <is>
          <t>Beauty</t>
        </is>
      </c>
      <c r="G1070" s="2" t="inlineStr">
        <is>
          <t>South</t>
        </is>
      </c>
      <c r="H1070" s="2" t="inlineStr">
        <is>
          <t>Kerala</t>
        </is>
      </c>
      <c r="I1070" s="2" t="inlineStr">
        <is>
          <t>Thiruvananthapuram</t>
        </is>
      </c>
      <c r="J1070" s="2" t="inlineStr">
        <is>
          <t>Store</t>
        </is>
      </c>
      <c r="K1070" s="2" t="n">
        <v>3</v>
      </c>
      <c r="L1070" s="3" t="n">
        <v>968.5</v>
      </c>
      <c r="M1070" s="4" t="n">
        <v>0</v>
      </c>
      <c r="N1070" s="3" t="n">
        <v>2217.55</v>
      </c>
      <c r="O1070" s="3">
        <f>K1070*L1070*(1-M1070)</f>
        <v/>
      </c>
      <c r="P1070" s="3">
        <f>O1070-N1070</f>
        <v/>
      </c>
      <c r="Q1070" s="5">
        <f>IFERROR(P1070/O1070,0)</f>
        <v/>
      </c>
      <c r="R1070" s="2">
        <f>TEXT(DATEVALUE(B1070),"mmm")</f>
        <v/>
      </c>
      <c r="S1070" s="2">
        <f>TEXT(DATEVALUE(B1070),"yyyy-mm")</f>
        <v/>
      </c>
    </row>
    <row r="1071">
      <c r="A1071" s="2" t="inlineStr">
        <is>
          <t>O002537</t>
        </is>
      </c>
      <c r="B1071" s="2" t="inlineStr">
        <is>
          <t>2025-03-20</t>
        </is>
      </c>
      <c r="C1071" s="2" t="inlineStr">
        <is>
          <t>C0118</t>
        </is>
      </c>
      <c r="D1071" s="2" t="inlineStr">
        <is>
          <t>P0005</t>
        </is>
      </c>
      <c r="E1071" s="2" t="inlineStr">
        <is>
          <t>Power Bank</t>
        </is>
      </c>
      <c r="F1071" s="2" t="inlineStr">
        <is>
          <t>Electronics</t>
        </is>
      </c>
      <c r="G1071" s="2" t="inlineStr">
        <is>
          <t>South</t>
        </is>
      </c>
      <c r="H1071" s="2" t="inlineStr">
        <is>
          <t>Tamil Nadu</t>
        </is>
      </c>
      <c r="I1071" s="2" t="inlineStr">
        <is>
          <t>Madurai</t>
        </is>
      </c>
      <c r="J1071" s="2" t="inlineStr">
        <is>
          <t>Online</t>
        </is>
      </c>
      <c r="K1071" s="2" t="n">
        <v>1</v>
      </c>
      <c r="L1071" s="3" t="n">
        <v>1091.89</v>
      </c>
      <c r="M1071" s="4" t="n">
        <v>0.1</v>
      </c>
      <c r="N1071" s="3" t="n">
        <v>672.28</v>
      </c>
      <c r="O1071" s="3">
        <f>K1071*L1071*(1-M1071)</f>
        <v/>
      </c>
      <c r="P1071" s="3">
        <f>O1071-N1071</f>
        <v/>
      </c>
      <c r="Q1071" s="5">
        <f>IFERROR(P1071/O1071,0)</f>
        <v/>
      </c>
      <c r="R1071" s="2">
        <f>TEXT(DATEVALUE(B1071),"mmm")</f>
        <v/>
      </c>
      <c r="S1071" s="2">
        <f>TEXT(DATEVALUE(B1071),"yyyy-mm")</f>
        <v/>
      </c>
    </row>
    <row r="1072">
      <c r="A1072" s="2" t="inlineStr">
        <is>
          <t>O002410</t>
        </is>
      </c>
      <c r="B1072" s="2" t="inlineStr">
        <is>
          <t>2025-03-20</t>
        </is>
      </c>
      <c r="C1072" s="2" t="inlineStr">
        <is>
          <t>C0772</t>
        </is>
      </c>
      <c r="D1072" s="2" t="inlineStr">
        <is>
          <t>P0016</t>
        </is>
      </c>
      <c r="E1072" s="2" t="inlineStr">
        <is>
          <t>Casual Shirt</t>
        </is>
      </c>
      <c r="F1072" s="2" t="inlineStr">
        <is>
          <t>Fashion</t>
        </is>
      </c>
      <c r="G1072" s="2" t="inlineStr">
        <is>
          <t>North</t>
        </is>
      </c>
      <c r="H1072" s="2" t="inlineStr">
        <is>
          <t>Punjab</t>
        </is>
      </c>
      <c r="I1072" s="2" t="inlineStr">
        <is>
          <t>Amritsar</t>
        </is>
      </c>
      <c r="J1072" s="2" t="inlineStr">
        <is>
          <t>Online</t>
        </is>
      </c>
      <c r="K1072" s="2" t="n">
        <v>2</v>
      </c>
      <c r="L1072" s="3" t="n">
        <v>1250.36</v>
      </c>
      <c r="M1072" s="4" t="n">
        <v>0.2</v>
      </c>
      <c r="N1072" s="3" t="n">
        <v>1871.3</v>
      </c>
      <c r="O1072" s="3">
        <f>K1072*L1072*(1-M1072)</f>
        <v/>
      </c>
      <c r="P1072" s="3">
        <f>O1072-N1072</f>
        <v/>
      </c>
      <c r="Q1072" s="5">
        <f>IFERROR(P1072/O1072,0)</f>
        <v/>
      </c>
      <c r="R1072" s="2">
        <f>TEXT(DATEVALUE(B1072),"mmm")</f>
        <v/>
      </c>
      <c r="S1072" s="2">
        <f>TEXT(DATEVALUE(B1072),"yyyy-mm")</f>
        <v/>
      </c>
    </row>
    <row r="1073">
      <c r="A1073" s="2" t="inlineStr">
        <is>
          <t>O001766</t>
        </is>
      </c>
      <c r="B1073" s="2" t="inlineStr">
        <is>
          <t>2025-03-20</t>
        </is>
      </c>
      <c r="C1073" s="2" t="inlineStr">
        <is>
          <t>C0757</t>
        </is>
      </c>
      <c r="D1073" s="2" t="inlineStr">
        <is>
          <t>P0010</t>
        </is>
      </c>
      <c r="E1073" s="2" t="inlineStr">
        <is>
          <t>Mixer Grinder</t>
        </is>
      </c>
      <c r="F1073" s="2" t="inlineStr">
        <is>
          <t>Home &amp; Kitchen</t>
        </is>
      </c>
      <c r="G1073" s="2" t="inlineStr">
        <is>
          <t>South</t>
        </is>
      </c>
      <c r="H1073" s="2" t="inlineStr">
        <is>
          <t>Kerala</t>
        </is>
      </c>
      <c r="I1073" s="2" t="inlineStr">
        <is>
          <t>Thiruvananthapuram</t>
        </is>
      </c>
      <c r="J1073" s="2" t="inlineStr">
        <is>
          <t>Online</t>
        </is>
      </c>
      <c r="K1073" s="2" t="n">
        <v>1</v>
      </c>
      <c r="L1073" s="3" t="n">
        <v>1664.56</v>
      </c>
      <c r="M1073" s="4" t="n">
        <v>0.25</v>
      </c>
      <c r="N1073" s="3" t="n">
        <v>1064.3</v>
      </c>
      <c r="O1073" s="3">
        <f>K1073*L1073*(1-M1073)</f>
        <v/>
      </c>
      <c r="P1073" s="3">
        <f>O1073-N1073</f>
        <v/>
      </c>
      <c r="Q1073" s="5">
        <f>IFERROR(P1073/O1073,0)</f>
        <v/>
      </c>
      <c r="R1073" s="2">
        <f>TEXT(DATEVALUE(B1073),"mmm")</f>
        <v/>
      </c>
      <c r="S1073" s="2">
        <f>TEXT(DATEVALUE(B1073),"yyyy-mm")</f>
        <v/>
      </c>
    </row>
    <row r="1074">
      <c r="A1074" s="2" t="inlineStr">
        <is>
          <t>O001719</t>
        </is>
      </c>
      <c r="B1074" s="2" t="inlineStr">
        <is>
          <t>2025-03-20</t>
        </is>
      </c>
      <c r="C1074" s="2" t="inlineStr">
        <is>
          <t>C0037</t>
        </is>
      </c>
      <c r="D1074" s="2" t="inlineStr">
        <is>
          <t>P0016</t>
        </is>
      </c>
      <c r="E1074" s="2" t="inlineStr">
        <is>
          <t>Casual Shirt</t>
        </is>
      </c>
      <c r="F1074" s="2" t="inlineStr">
        <is>
          <t>Fashion</t>
        </is>
      </c>
      <c r="G1074" s="2" t="inlineStr">
        <is>
          <t>West</t>
        </is>
      </c>
      <c r="H1074" s="2" t="inlineStr">
        <is>
          <t>Maharashtra</t>
        </is>
      </c>
      <c r="I1074" s="2" t="inlineStr">
        <is>
          <t>Thane</t>
        </is>
      </c>
      <c r="J1074" s="2" t="inlineStr">
        <is>
          <t>Online</t>
        </is>
      </c>
      <c r="K1074" s="2" t="n">
        <v>4</v>
      </c>
      <c r="L1074" s="3" t="n">
        <v>1287.63</v>
      </c>
      <c r="M1074" s="4" t="n">
        <v>0.1</v>
      </c>
      <c r="N1074" s="3" t="n">
        <v>3518.09</v>
      </c>
      <c r="O1074" s="3">
        <f>K1074*L1074*(1-M1074)</f>
        <v/>
      </c>
      <c r="P1074" s="3">
        <f>O1074-N1074</f>
        <v/>
      </c>
      <c r="Q1074" s="5">
        <f>IFERROR(P1074/O1074,0)</f>
        <v/>
      </c>
      <c r="R1074" s="2">
        <f>TEXT(DATEVALUE(B1074),"mmm")</f>
        <v/>
      </c>
      <c r="S1074" s="2">
        <f>TEXT(DATEVALUE(B1074),"yyyy-mm")</f>
        <v/>
      </c>
    </row>
    <row r="1075">
      <c r="A1075" s="2" t="inlineStr">
        <is>
          <t>O002941</t>
        </is>
      </c>
      <c r="B1075" s="2" t="inlineStr">
        <is>
          <t>2025-03-20</t>
        </is>
      </c>
      <c r="C1075" s="2" t="inlineStr">
        <is>
          <t>C0024</t>
        </is>
      </c>
      <c r="D1075" s="2" t="inlineStr">
        <is>
          <t>P0015</t>
        </is>
      </c>
      <c r="E1075" s="2" t="inlineStr">
        <is>
          <t>Running Shoes</t>
        </is>
      </c>
      <c r="F1075" s="2" t="inlineStr">
        <is>
          <t>Fashion</t>
        </is>
      </c>
      <c r="G1075" s="2" t="inlineStr">
        <is>
          <t>North</t>
        </is>
      </c>
      <c r="H1075" s="2" t="inlineStr">
        <is>
          <t>Haryana</t>
        </is>
      </c>
      <c r="I1075" s="2" t="inlineStr">
        <is>
          <t>Gurugram</t>
        </is>
      </c>
      <c r="J1075" s="2" t="inlineStr">
        <is>
          <t>Online</t>
        </is>
      </c>
      <c r="K1075" s="2" t="n">
        <v>1</v>
      </c>
      <c r="L1075" s="3" t="n">
        <v>607.58</v>
      </c>
      <c r="M1075" s="4" t="n">
        <v>0.1</v>
      </c>
      <c r="N1075" s="3" t="n">
        <v>382.34</v>
      </c>
      <c r="O1075" s="3">
        <f>K1075*L1075*(1-M1075)</f>
        <v/>
      </c>
      <c r="P1075" s="3">
        <f>O1075-N1075</f>
        <v/>
      </c>
      <c r="Q1075" s="5">
        <f>IFERROR(P1075/O1075,0)</f>
        <v/>
      </c>
      <c r="R1075" s="2">
        <f>TEXT(DATEVALUE(B1075),"mmm")</f>
        <v/>
      </c>
      <c r="S1075" s="2">
        <f>TEXT(DATEVALUE(B1075),"yyyy-mm")</f>
        <v/>
      </c>
    </row>
    <row r="1076">
      <c r="A1076" s="2" t="inlineStr">
        <is>
          <t>O004244</t>
        </is>
      </c>
      <c r="B1076" s="2" t="inlineStr">
        <is>
          <t>2025-03-21</t>
        </is>
      </c>
      <c r="C1076" s="2" t="inlineStr">
        <is>
          <t>C0038</t>
        </is>
      </c>
      <c r="D1076" s="2" t="inlineStr">
        <is>
          <t>P0012</t>
        </is>
      </c>
      <c r="E1076" s="2" t="inlineStr">
        <is>
          <t>Water Bottle</t>
        </is>
      </c>
      <c r="F1076" s="2" t="inlineStr">
        <is>
          <t>Home &amp; Kitchen</t>
        </is>
      </c>
      <c r="G1076" s="2" t="inlineStr">
        <is>
          <t>South</t>
        </is>
      </c>
      <c r="H1076" s="2" t="inlineStr">
        <is>
          <t>Karnataka</t>
        </is>
      </c>
      <c r="I1076" s="2" t="inlineStr">
        <is>
          <t>Mysuru</t>
        </is>
      </c>
      <c r="J1076" s="2" t="inlineStr">
        <is>
          <t>Store</t>
        </is>
      </c>
      <c r="K1076" s="2" t="n">
        <v>4</v>
      </c>
      <c r="L1076" s="3" t="n">
        <v>989.89</v>
      </c>
      <c r="M1076" s="4" t="n">
        <v>0.15</v>
      </c>
      <c r="N1076" s="3" t="n">
        <v>2568.14</v>
      </c>
      <c r="O1076" s="3">
        <f>K1076*L1076*(1-M1076)</f>
        <v/>
      </c>
      <c r="P1076" s="3">
        <f>O1076-N1076</f>
        <v/>
      </c>
      <c r="Q1076" s="5">
        <f>IFERROR(P1076/O1076,0)</f>
        <v/>
      </c>
      <c r="R1076" s="2">
        <f>TEXT(DATEVALUE(B1076),"mmm")</f>
        <v/>
      </c>
      <c r="S1076" s="2">
        <f>TEXT(DATEVALUE(B1076),"yyyy-mm")</f>
        <v/>
      </c>
    </row>
    <row r="1077">
      <c r="A1077" s="2" t="inlineStr">
        <is>
          <t>O001977</t>
        </is>
      </c>
      <c r="B1077" s="2" t="inlineStr">
        <is>
          <t>2025-03-21</t>
        </is>
      </c>
      <c r="C1077" s="2" t="inlineStr">
        <is>
          <t>C0471</t>
        </is>
      </c>
      <c r="D1077" s="2" t="inlineStr">
        <is>
          <t>P0026</t>
        </is>
      </c>
      <c r="E1077" s="2" t="inlineStr">
        <is>
          <t>Shampoo</t>
        </is>
      </c>
      <c r="F1077" s="2" t="inlineStr">
        <is>
          <t>Beauty</t>
        </is>
      </c>
      <c r="G1077" s="2" t="inlineStr">
        <is>
          <t>South</t>
        </is>
      </c>
      <c r="H1077" s="2" t="inlineStr">
        <is>
          <t>Karnataka</t>
        </is>
      </c>
      <c r="I1077" s="2" t="inlineStr">
        <is>
          <t>Mangaluru</t>
        </is>
      </c>
      <c r="J1077" s="2" t="inlineStr">
        <is>
          <t>Online</t>
        </is>
      </c>
      <c r="K1077" s="2" t="n">
        <v>2</v>
      </c>
      <c r="L1077" s="3" t="n">
        <v>870.03</v>
      </c>
      <c r="M1077" s="4" t="n">
        <v>0.1</v>
      </c>
      <c r="N1077" s="3" t="n">
        <v>1074.12</v>
      </c>
      <c r="O1077" s="3">
        <f>K1077*L1077*(1-M1077)</f>
        <v/>
      </c>
      <c r="P1077" s="3">
        <f>O1077-N1077</f>
        <v/>
      </c>
      <c r="Q1077" s="5">
        <f>IFERROR(P1077/O1077,0)</f>
        <v/>
      </c>
      <c r="R1077" s="2">
        <f>TEXT(DATEVALUE(B1077),"mmm")</f>
        <v/>
      </c>
      <c r="S1077" s="2">
        <f>TEXT(DATEVALUE(B1077),"yyyy-mm")</f>
        <v/>
      </c>
    </row>
    <row r="1078">
      <c r="A1078" s="2" t="inlineStr">
        <is>
          <t>O002447</t>
        </is>
      </c>
      <c r="B1078" s="2" t="inlineStr">
        <is>
          <t>2025-03-21</t>
        </is>
      </c>
      <c r="C1078" s="2" t="inlineStr">
        <is>
          <t>C0137</t>
        </is>
      </c>
      <c r="D1078" s="2" t="inlineStr">
        <is>
          <t>P0011</t>
        </is>
      </c>
      <c r="E1078" s="2" t="inlineStr">
        <is>
          <t>Cookware Set</t>
        </is>
      </c>
      <c r="F1078" s="2" t="inlineStr">
        <is>
          <t>Home &amp; Kitchen</t>
        </is>
      </c>
      <c r="G1078" s="2" t="inlineStr">
        <is>
          <t>West</t>
        </is>
      </c>
      <c r="H1078" s="2" t="inlineStr">
        <is>
          <t>Gujarat</t>
        </is>
      </c>
      <c r="I1078" s="2" t="inlineStr">
        <is>
          <t>Surat</t>
        </is>
      </c>
      <c r="J1078" s="2" t="inlineStr">
        <is>
          <t>Online</t>
        </is>
      </c>
      <c r="K1078" s="2" t="n">
        <v>1</v>
      </c>
      <c r="L1078" s="3" t="n">
        <v>725.35</v>
      </c>
      <c r="M1078" s="4" t="n">
        <v>0.1</v>
      </c>
      <c r="N1078" s="3" t="n">
        <v>457.25</v>
      </c>
      <c r="O1078" s="3">
        <f>K1078*L1078*(1-M1078)</f>
        <v/>
      </c>
      <c r="P1078" s="3">
        <f>O1078-N1078</f>
        <v/>
      </c>
      <c r="Q1078" s="5">
        <f>IFERROR(P1078/O1078,0)</f>
        <v/>
      </c>
      <c r="R1078" s="2">
        <f>TEXT(DATEVALUE(B1078),"mmm")</f>
        <v/>
      </c>
      <c r="S1078" s="2">
        <f>TEXT(DATEVALUE(B1078),"yyyy-mm")</f>
        <v/>
      </c>
    </row>
    <row r="1079">
      <c r="A1079" s="2" t="inlineStr">
        <is>
          <t>O001436</t>
        </is>
      </c>
      <c r="B1079" s="2" t="inlineStr">
        <is>
          <t>2025-03-21</t>
        </is>
      </c>
      <c r="C1079" s="2" t="inlineStr">
        <is>
          <t>C0719</t>
        </is>
      </c>
      <c r="D1079" s="2" t="inlineStr">
        <is>
          <t>P0004</t>
        </is>
      </c>
      <c r="E1079" s="2" t="inlineStr">
        <is>
          <t>USB-C Hub</t>
        </is>
      </c>
      <c r="F1079" s="2" t="inlineStr">
        <is>
          <t>Electronics</t>
        </is>
      </c>
      <c r="G1079" s="2" t="inlineStr">
        <is>
          <t>North</t>
        </is>
      </c>
      <c r="H1079" s="2" t="inlineStr">
        <is>
          <t>Punjab</t>
        </is>
      </c>
      <c r="I1079" s="2" t="inlineStr">
        <is>
          <t>Jalandhar</t>
        </is>
      </c>
      <c r="J1079" s="2" t="inlineStr">
        <is>
          <t>Store</t>
        </is>
      </c>
      <c r="K1079" s="2" t="n">
        <v>1</v>
      </c>
      <c r="L1079" s="3" t="n">
        <v>1292.43</v>
      </c>
      <c r="M1079" s="4" t="n">
        <v>0</v>
      </c>
      <c r="N1079" s="3" t="n">
        <v>924.36</v>
      </c>
      <c r="O1079" s="3">
        <f>K1079*L1079*(1-M1079)</f>
        <v/>
      </c>
      <c r="P1079" s="3">
        <f>O1079-N1079</f>
        <v/>
      </c>
      <c r="Q1079" s="5">
        <f>IFERROR(P1079/O1079,0)</f>
        <v/>
      </c>
      <c r="R1079" s="2">
        <f>TEXT(DATEVALUE(B1079),"mmm")</f>
        <v/>
      </c>
      <c r="S1079" s="2">
        <f>TEXT(DATEVALUE(B1079),"yyyy-mm")</f>
        <v/>
      </c>
    </row>
    <row r="1080">
      <c r="A1080" s="2" t="inlineStr">
        <is>
          <t>O000664</t>
        </is>
      </c>
      <c r="B1080" s="2" t="inlineStr">
        <is>
          <t>2025-03-21</t>
        </is>
      </c>
      <c r="C1080" s="2" t="inlineStr">
        <is>
          <t>C0003</t>
        </is>
      </c>
      <c r="D1080" s="2" t="inlineStr">
        <is>
          <t>P0024</t>
        </is>
      </c>
      <c r="E1080" s="2" t="inlineStr">
        <is>
          <t>Hair Dryer</t>
        </is>
      </c>
      <c r="F1080" s="2" t="inlineStr">
        <is>
          <t>Beauty</t>
        </is>
      </c>
      <c r="G1080" s="2" t="inlineStr">
        <is>
          <t>North</t>
        </is>
      </c>
      <c r="H1080" s="2" t="inlineStr">
        <is>
          <t>Uttar Pradesh</t>
        </is>
      </c>
      <c r="I1080" s="2" t="inlineStr">
        <is>
          <t>Lucknow</t>
        </is>
      </c>
      <c r="J1080" s="2" t="inlineStr">
        <is>
          <t>Store</t>
        </is>
      </c>
      <c r="K1080" s="2" t="n">
        <v>1</v>
      </c>
      <c r="L1080" s="3" t="n">
        <v>964.51</v>
      </c>
      <c r="M1080" s="4" t="n">
        <v>0.15</v>
      </c>
      <c r="N1080" s="3" t="n">
        <v>745.11</v>
      </c>
      <c r="O1080" s="3">
        <f>K1080*L1080*(1-M1080)</f>
        <v/>
      </c>
      <c r="P1080" s="3">
        <f>O1080-N1080</f>
        <v/>
      </c>
      <c r="Q1080" s="5">
        <f>IFERROR(P1080/O1080,0)</f>
        <v/>
      </c>
      <c r="R1080" s="2">
        <f>TEXT(DATEVALUE(B1080),"mmm")</f>
        <v/>
      </c>
      <c r="S1080" s="2">
        <f>TEXT(DATEVALUE(B1080),"yyyy-mm")</f>
        <v/>
      </c>
    </row>
    <row r="1081">
      <c r="A1081" s="2" t="inlineStr">
        <is>
          <t>O001815</t>
        </is>
      </c>
      <c r="B1081" s="2" t="inlineStr">
        <is>
          <t>2025-03-21</t>
        </is>
      </c>
      <c r="C1081" s="2" t="inlineStr">
        <is>
          <t>C0088</t>
        </is>
      </c>
      <c r="D1081" s="2" t="inlineStr">
        <is>
          <t>P0025</t>
        </is>
      </c>
      <c r="E1081" s="2" t="inlineStr">
        <is>
          <t>Perfume</t>
        </is>
      </c>
      <c r="F1081" s="2" t="inlineStr">
        <is>
          <t>Beauty</t>
        </is>
      </c>
      <c r="G1081" s="2" t="inlineStr">
        <is>
          <t>North</t>
        </is>
      </c>
      <c r="H1081" s="2" t="inlineStr">
        <is>
          <t>Uttar Pradesh</t>
        </is>
      </c>
      <c r="I1081" s="2" t="inlineStr">
        <is>
          <t>Lucknow</t>
        </is>
      </c>
      <c r="J1081" s="2" t="inlineStr">
        <is>
          <t>Online</t>
        </is>
      </c>
      <c r="K1081" s="2" t="n">
        <v>3</v>
      </c>
      <c r="L1081" s="3" t="n">
        <v>818.45</v>
      </c>
      <c r="M1081" s="4" t="n">
        <v>0.15</v>
      </c>
      <c r="N1081" s="3" t="n">
        <v>1856.66</v>
      </c>
      <c r="O1081" s="3">
        <f>K1081*L1081*(1-M1081)</f>
        <v/>
      </c>
      <c r="P1081" s="3">
        <f>O1081-N1081</f>
        <v/>
      </c>
      <c r="Q1081" s="5">
        <f>IFERROR(P1081/O1081,0)</f>
        <v/>
      </c>
      <c r="R1081" s="2">
        <f>TEXT(DATEVALUE(B1081),"mmm")</f>
        <v/>
      </c>
      <c r="S1081" s="2">
        <f>TEXT(DATEVALUE(B1081),"yyyy-mm")</f>
        <v/>
      </c>
    </row>
    <row r="1082">
      <c r="A1082" s="2" t="inlineStr">
        <is>
          <t>O004757</t>
        </is>
      </c>
      <c r="B1082" s="2" t="inlineStr">
        <is>
          <t>2025-03-22</t>
        </is>
      </c>
      <c r="C1082" s="2" t="inlineStr">
        <is>
          <t>C0388</t>
        </is>
      </c>
      <c r="D1082" s="2" t="inlineStr">
        <is>
          <t>P0018</t>
        </is>
      </c>
      <c r="E1082" s="2" t="inlineStr">
        <is>
          <t>Backpack</t>
        </is>
      </c>
      <c r="F1082" s="2" t="inlineStr">
        <is>
          <t>Fashion</t>
        </is>
      </c>
      <c r="G1082" s="2" t="inlineStr">
        <is>
          <t>North</t>
        </is>
      </c>
      <c r="H1082" s="2" t="inlineStr">
        <is>
          <t>Delhi</t>
        </is>
      </c>
      <c r="I1082" s="2" t="inlineStr">
        <is>
          <t>New Delhi</t>
        </is>
      </c>
      <c r="J1082" s="2" t="inlineStr">
        <is>
          <t>Online</t>
        </is>
      </c>
      <c r="K1082" s="2" t="n">
        <v>2</v>
      </c>
      <c r="L1082" s="3" t="n">
        <v>1905.16</v>
      </c>
      <c r="M1082" s="4" t="n">
        <v>0.1</v>
      </c>
      <c r="N1082" s="3" t="n">
        <v>2761.4</v>
      </c>
      <c r="O1082" s="3">
        <f>K1082*L1082*(1-M1082)</f>
        <v/>
      </c>
      <c r="P1082" s="3">
        <f>O1082-N1082</f>
        <v/>
      </c>
      <c r="Q1082" s="5">
        <f>IFERROR(P1082/O1082,0)</f>
        <v/>
      </c>
      <c r="R1082" s="2">
        <f>TEXT(DATEVALUE(B1082),"mmm")</f>
        <v/>
      </c>
      <c r="S1082" s="2">
        <f>TEXT(DATEVALUE(B1082),"yyyy-mm")</f>
        <v/>
      </c>
    </row>
    <row r="1083">
      <c r="A1083" s="2" t="inlineStr">
        <is>
          <t>O004196</t>
        </is>
      </c>
      <c r="B1083" s="2" t="inlineStr">
        <is>
          <t>2025-03-22</t>
        </is>
      </c>
      <c r="C1083" s="2" t="inlineStr">
        <is>
          <t>C0736</t>
        </is>
      </c>
      <c r="D1083" s="2" t="inlineStr">
        <is>
          <t>P0014</t>
        </is>
      </c>
      <c r="E1083" s="2" t="inlineStr">
        <is>
          <t>Coffee Maker</t>
        </is>
      </c>
      <c r="F1083" s="2" t="inlineStr">
        <is>
          <t>Home &amp; Kitchen</t>
        </is>
      </c>
      <c r="G1083" s="2" t="inlineStr">
        <is>
          <t>South</t>
        </is>
      </c>
      <c r="H1083" s="2" t="inlineStr">
        <is>
          <t>Karnataka</t>
        </is>
      </c>
      <c r="I1083" s="2" t="inlineStr">
        <is>
          <t>Bengaluru</t>
        </is>
      </c>
      <c r="J1083" s="2" t="inlineStr">
        <is>
          <t>Store</t>
        </is>
      </c>
      <c r="K1083" s="2" t="n">
        <v>2</v>
      </c>
      <c r="L1083" s="3" t="n">
        <v>1009.49</v>
      </c>
      <c r="M1083" s="4" t="n">
        <v>0.1</v>
      </c>
      <c r="N1083" s="3" t="n">
        <v>1485.32</v>
      </c>
      <c r="O1083" s="3">
        <f>K1083*L1083*(1-M1083)</f>
        <v/>
      </c>
      <c r="P1083" s="3">
        <f>O1083-N1083</f>
        <v/>
      </c>
      <c r="Q1083" s="5">
        <f>IFERROR(P1083/O1083,0)</f>
        <v/>
      </c>
      <c r="R1083" s="2">
        <f>TEXT(DATEVALUE(B1083),"mmm")</f>
        <v/>
      </c>
      <c r="S1083" s="2">
        <f>TEXT(DATEVALUE(B1083),"yyyy-mm")</f>
        <v/>
      </c>
    </row>
    <row r="1084">
      <c r="A1084" s="2" t="inlineStr">
        <is>
          <t>O004185</t>
        </is>
      </c>
      <c r="B1084" s="2" t="inlineStr">
        <is>
          <t>2025-03-22</t>
        </is>
      </c>
      <c r="C1084" s="2" t="inlineStr">
        <is>
          <t>C0599</t>
        </is>
      </c>
      <c r="D1084" s="2" t="inlineStr">
        <is>
          <t>P0007</t>
        </is>
      </c>
      <c r="E1084" s="2" t="inlineStr">
        <is>
          <t>Wireless Mouse</t>
        </is>
      </c>
      <c r="F1084" s="2" t="inlineStr">
        <is>
          <t>Electronics</t>
        </is>
      </c>
      <c r="G1084" s="2" t="inlineStr">
        <is>
          <t>North</t>
        </is>
      </c>
      <c r="H1084" s="2" t="inlineStr">
        <is>
          <t>Haryana</t>
        </is>
      </c>
      <c r="I1084" s="2" t="inlineStr">
        <is>
          <t>Gurugram</t>
        </is>
      </c>
      <c r="J1084" s="2" t="inlineStr">
        <is>
          <t>Online</t>
        </is>
      </c>
      <c r="K1084" s="2" t="n">
        <v>3</v>
      </c>
      <c r="L1084" s="3" t="n">
        <v>1023.28</v>
      </c>
      <c r="M1084" s="4" t="n">
        <v>0.1</v>
      </c>
      <c r="N1084" s="3" t="n">
        <v>1829.3</v>
      </c>
      <c r="O1084" s="3">
        <f>K1084*L1084*(1-M1084)</f>
        <v/>
      </c>
      <c r="P1084" s="3">
        <f>O1084-N1084</f>
        <v/>
      </c>
      <c r="Q1084" s="5">
        <f>IFERROR(P1084/O1084,0)</f>
        <v/>
      </c>
      <c r="R1084" s="2">
        <f>TEXT(DATEVALUE(B1084),"mmm")</f>
        <v/>
      </c>
      <c r="S1084" s="2">
        <f>TEXT(DATEVALUE(B1084),"yyyy-mm")</f>
        <v/>
      </c>
    </row>
    <row r="1085">
      <c r="A1085" s="2" t="inlineStr">
        <is>
          <t>O003986</t>
        </is>
      </c>
      <c r="B1085" s="2" t="inlineStr">
        <is>
          <t>2025-03-22</t>
        </is>
      </c>
      <c r="C1085" s="2" t="inlineStr">
        <is>
          <t>C0456</t>
        </is>
      </c>
      <c r="D1085" s="2" t="inlineStr">
        <is>
          <t>P0019</t>
        </is>
      </c>
      <c r="E1085" s="2" t="inlineStr">
        <is>
          <t>Jacket</t>
        </is>
      </c>
      <c r="F1085" s="2" t="inlineStr">
        <is>
          <t>Fashion</t>
        </is>
      </c>
      <c r="G1085" s="2" t="inlineStr">
        <is>
          <t>West</t>
        </is>
      </c>
      <c r="H1085" s="2" t="inlineStr">
        <is>
          <t>Gujarat</t>
        </is>
      </c>
      <c r="I1085" s="2" t="inlineStr">
        <is>
          <t>Vadodara</t>
        </is>
      </c>
      <c r="J1085" s="2" t="inlineStr">
        <is>
          <t>Online</t>
        </is>
      </c>
      <c r="K1085" s="2" t="n">
        <v>4</v>
      </c>
      <c r="L1085" s="3" t="n">
        <v>1052.12</v>
      </c>
      <c r="M1085" s="4" t="n">
        <v>0.05</v>
      </c>
      <c r="N1085" s="3" t="n">
        <v>2655.3</v>
      </c>
      <c r="O1085" s="3">
        <f>K1085*L1085*(1-M1085)</f>
        <v/>
      </c>
      <c r="P1085" s="3">
        <f>O1085-N1085</f>
        <v/>
      </c>
      <c r="Q1085" s="5">
        <f>IFERROR(P1085/O1085,0)</f>
        <v/>
      </c>
      <c r="R1085" s="2">
        <f>TEXT(DATEVALUE(B1085),"mmm")</f>
        <v/>
      </c>
      <c r="S1085" s="2">
        <f>TEXT(DATEVALUE(B1085),"yyyy-mm")</f>
        <v/>
      </c>
    </row>
    <row r="1086">
      <c r="A1086" s="2" t="inlineStr">
        <is>
          <t>O002893</t>
        </is>
      </c>
      <c r="B1086" s="2" t="inlineStr">
        <is>
          <t>2025-03-22</t>
        </is>
      </c>
      <c r="C1086" s="2" t="inlineStr">
        <is>
          <t>C0483</t>
        </is>
      </c>
      <c r="D1086" s="2" t="inlineStr">
        <is>
          <t>P0014</t>
        </is>
      </c>
      <c r="E1086" s="2" t="inlineStr">
        <is>
          <t>Coffee Maker</t>
        </is>
      </c>
      <c r="F1086" s="2" t="inlineStr">
        <is>
          <t>Home &amp; Kitchen</t>
        </is>
      </c>
      <c r="G1086" s="2" t="inlineStr">
        <is>
          <t>South</t>
        </is>
      </c>
      <c r="H1086" s="2" t="inlineStr">
        <is>
          <t>Kerala</t>
        </is>
      </c>
      <c r="I1086" s="2" t="inlineStr">
        <is>
          <t>Kochi</t>
        </is>
      </c>
      <c r="J1086" s="2" t="inlineStr">
        <is>
          <t>Store</t>
        </is>
      </c>
      <c r="K1086" s="2" t="n">
        <v>2</v>
      </c>
      <c r="L1086" s="3" t="n">
        <v>1045.22</v>
      </c>
      <c r="M1086" s="4" t="n">
        <v>0.05</v>
      </c>
      <c r="N1086" s="3" t="n">
        <v>1545.46</v>
      </c>
      <c r="O1086" s="3">
        <f>K1086*L1086*(1-M1086)</f>
        <v/>
      </c>
      <c r="P1086" s="3">
        <f>O1086-N1086</f>
        <v/>
      </c>
      <c r="Q1086" s="5">
        <f>IFERROR(P1086/O1086,0)</f>
        <v/>
      </c>
      <c r="R1086" s="2">
        <f>TEXT(DATEVALUE(B1086),"mmm")</f>
        <v/>
      </c>
      <c r="S1086" s="2">
        <f>TEXT(DATEVALUE(B1086),"yyyy-mm")</f>
        <v/>
      </c>
    </row>
    <row r="1087">
      <c r="A1087" s="2" t="inlineStr">
        <is>
          <t>O001613</t>
        </is>
      </c>
      <c r="B1087" s="2" t="inlineStr">
        <is>
          <t>2025-03-22</t>
        </is>
      </c>
      <c r="C1087" s="2" t="inlineStr">
        <is>
          <t>C0672</t>
        </is>
      </c>
      <c r="D1087" s="2" t="inlineStr">
        <is>
          <t>P0013</t>
        </is>
      </c>
      <c r="E1087" s="2" t="inlineStr">
        <is>
          <t>Storage Organizer</t>
        </is>
      </c>
      <c r="F1087" s="2" t="inlineStr">
        <is>
          <t>Home &amp; Kitchen</t>
        </is>
      </c>
      <c r="G1087" s="2" t="inlineStr">
        <is>
          <t>East</t>
        </is>
      </c>
      <c r="H1087" s="2" t="inlineStr">
        <is>
          <t>Odisha</t>
        </is>
      </c>
      <c r="I1087" s="2" t="inlineStr">
        <is>
          <t>Bhubaneswar</t>
        </is>
      </c>
      <c r="J1087" s="2" t="inlineStr">
        <is>
          <t>Store</t>
        </is>
      </c>
      <c r="K1087" s="2" t="n">
        <v>1</v>
      </c>
      <c r="L1087" s="3" t="n">
        <v>553.4299999999999</v>
      </c>
      <c r="M1087" s="4" t="n">
        <v>0.1</v>
      </c>
      <c r="N1087" s="3" t="n">
        <v>357.27</v>
      </c>
      <c r="O1087" s="3">
        <f>K1087*L1087*(1-M1087)</f>
        <v/>
      </c>
      <c r="P1087" s="3">
        <f>O1087-N1087</f>
        <v/>
      </c>
      <c r="Q1087" s="5">
        <f>IFERROR(P1087/O1087,0)</f>
        <v/>
      </c>
      <c r="R1087" s="2">
        <f>TEXT(DATEVALUE(B1087),"mmm")</f>
        <v/>
      </c>
      <c r="S1087" s="2">
        <f>TEXT(DATEVALUE(B1087),"yyyy-mm")</f>
        <v/>
      </c>
    </row>
    <row r="1088">
      <c r="A1088" s="2" t="inlineStr">
        <is>
          <t>O003337</t>
        </is>
      </c>
      <c r="B1088" s="2" t="inlineStr">
        <is>
          <t>2025-03-22</t>
        </is>
      </c>
      <c r="C1088" s="2" t="inlineStr">
        <is>
          <t>C0444</t>
        </is>
      </c>
      <c r="D1088" s="2" t="inlineStr">
        <is>
          <t>P0031</t>
        </is>
      </c>
      <c r="E1088" s="2" t="inlineStr">
        <is>
          <t>Cricket Bat</t>
        </is>
      </c>
      <c r="F1088" s="2" t="inlineStr">
        <is>
          <t>Sports</t>
        </is>
      </c>
      <c r="G1088" s="2" t="inlineStr">
        <is>
          <t>North</t>
        </is>
      </c>
      <c r="H1088" s="2" t="inlineStr">
        <is>
          <t>Haryana</t>
        </is>
      </c>
      <c r="I1088" s="2" t="inlineStr">
        <is>
          <t>Gurugram</t>
        </is>
      </c>
      <c r="J1088" s="2" t="inlineStr">
        <is>
          <t>Online</t>
        </is>
      </c>
      <c r="K1088" s="2" t="n">
        <v>3</v>
      </c>
      <c r="L1088" s="3" t="n">
        <v>1374.16</v>
      </c>
      <c r="M1088" s="4" t="n">
        <v>0.05</v>
      </c>
      <c r="N1088" s="3" t="n">
        <v>2922.53</v>
      </c>
      <c r="O1088" s="3">
        <f>K1088*L1088*(1-M1088)</f>
        <v/>
      </c>
      <c r="P1088" s="3">
        <f>O1088-N1088</f>
        <v/>
      </c>
      <c r="Q1088" s="5">
        <f>IFERROR(P1088/O1088,0)</f>
        <v/>
      </c>
      <c r="R1088" s="2">
        <f>TEXT(DATEVALUE(B1088),"mmm")</f>
        <v/>
      </c>
      <c r="S1088" s="2">
        <f>TEXT(DATEVALUE(B1088),"yyyy-mm")</f>
        <v/>
      </c>
    </row>
    <row r="1089">
      <c r="A1089" s="2" t="inlineStr">
        <is>
          <t>O001308</t>
        </is>
      </c>
      <c r="B1089" s="2" t="inlineStr">
        <is>
          <t>2025-03-22</t>
        </is>
      </c>
      <c r="C1089" s="2" t="inlineStr">
        <is>
          <t>C0280</t>
        </is>
      </c>
      <c r="D1089" s="2" t="inlineStr">
        <is>
          <t>P0022</t>
        </is>
      </c>
      <c r="E1089" s="2" t="inlineStr">
        <is>
          <t>Face Wash</t>
        </is>
      </c>
      <c r="F1089" s="2" t="inlineStr">
        <is>
          <t>Beauty</t>
        </is>
      </c>
      <c r="G1089" s="2" t="inlineStr">
        <is>
          <t>West</t>
        </is>
      </c>
      <c r="H1089" s="2" t="inlineStr">
        <is>
          <t>Gujarat</t>
        </is>
      </c>
      <c r="I1089" s="2" t="inlineStr">
        <is>
          <t>Surat</t>
        </is>
      </c>
      <c r="J1089" s="2" t="inlineStr">
        <is>
          <t>Online</t>
        </is>
      </c>
      <c r="K1089" s="2" t="n">
        <v>2</v>
      </c>
      <c r="L1089" s="3" t="n">
        <v>575.76</v>
      </c>
      <c r="M1089" s="4" t="n">
        <v>0.05</v>
      </c>
      <c r="N1089" s="3" t="n">
        <v>703.01</v>
      </c>
      <c r="O1089" s="3">
        <f>K1089*L1089*(1-M1089)</f>
        <v/>
      </c>
      <c r="P1089" s="3">
        <f>O1089-N1089</f>
        <v/>
      </c>
      <c r="Q1089" s="5">
        <f>IFERROR(P1089/O1089,0)</f>
        <v/>
      </c>
      <c r="R1089" s="2">
        <f>TEXT(DATEVALUE(B1089),"mmm")</f>
        <v/>
      </c>
      <c r="S1089" s="2">
        <f>TEXT(DATEVALUE(B1089),"yyyy-mm")</f>
        <v/>
      </c>
    </row>
    <row r="1090">
      <c r="A1090" s="2" t="inlineStr">
        <is>
          <t>O000806</t>
        </is>
      </c>
      <c r="B1090" s="2" t="inlineStr">
        <is>
          <t>2025-03-22</t>
        </is>
      </c>
      <c r="C1090" s="2" t="inlineStr">
        <is>
          <t>C0675</t>
        </is>
      </c>
      <c r="D1090" s="2" t="inlineStr">
        <is>
          <t>P0018</t>
        </is>
      </c>
      <c r="E1090" s="2" t="inlineStr">
        <is>
          <t>Backpack</t>
        </is>
      </c>
      <c r="F1090" s="2" t="inlineStr">
        <is>
          <t>Fashion</t>
        </is>
      </c>
      <c r="G1090" s="2" t="inlineStr">
        <is>
          <t>South</t>
        </is>
      </c>
      <c r="H1090" s="2" t="inlineStr">
        <is>
          <t>Tamil Nadu</t>
        </is>
      </c>
      <c r="I1090" s="2" t="inlineStr">
        <is>
          <t>Coimbatore</t>
        </is>
      </c>
      <c r="J1090" s="2" t="inlineStr">
        <is>
          <t>Online</t>
        </is>
      </c>
      <c r="K1090" s="2" t="n">
        <v>1</v>
      </c>
      <c r="L1090" s="3" t="n">
        <v>1889.81</v>
      </c>
      <c r="M1090" s="4" t="n">
        <v>0.2</v>
      </c>
      <c r="N1090" s="3" t="n">
        <v>1384.87</v>
      </c>
      <c r="O1090" s="3">
        <f>K1090*L1090*(1-M1090)</f>
        <v/>
      </c>
      <c r="P1090" s="3">
        <f>O1090-N1090</f>
        <v/>
      </c>
      <c r="Q1090" s="5">
        <f>IFERROR(P1090/O1090,0)</f>
        <v/>
      </c>
      <c r="R1090" s="2">
        <f>TEXT(DATEVALUE(B1090),"mmm")</f>
        <v/>
      </c>
      <c r="S1090" s="2">
        <f>TEXT(DATEVALUE(B1090),"yyyy-mm")</f>
        <v/>
      </c>
    </row>
    <row r="1091">
      <c r="A1091" s="2" t="inlineStr">
        <is>
          <t>O000204</t>
        </is>
      </c>
      <c r="B1091" s="2" t="inlineStr">
        <is>
          <t>2025-03-22</t>
        </is>
      </c>
      <c r="C1091" s="2" t="inlineStr">
        <is>
          <t>C0395</t>
        </is>
      </c>
      <c r="D1091" s="2" t="inlineStr">
        <is>
          <t>P0004</t>
        </is>
      </c>
      <c r="E1091" s="2" t="inlineStr">
        <is>
          <t>USB-C Hub</t>
        </is>
      </c>
      <c r="F1091" s="2" t="inlineStr">
        <is>
          <t>Electronics</t>
        </is>
      </c>
      <c r="G1091" s="2" t="inlineStr">
        <is>
          <t>West</t>
        </is>
      </c>
      <c r="H1091" s="2" t="inlineStr">
        <is>
          <t>Maharashtra</t>
        </is>
      </c>
      <c r="I1091" s="2" t="inlineStr">
        <is>
          <t>Pune</t>
        </is>
      </c>
      <c r="J1091" s="2" t="inlineStr">
        <is>
          <t>Store</t>
        </is>
      </c>
      <c r="K1091" s="2" t="n">
        <v>1</v>
      </c>
      <c r="L1091" s="3" t="n">
        <v>1292.36</v>
      </c>
      <c r="M1091" s="4" t="n">
        <v>0.05</v>
      </c>
      <c r="N1091" s="3" t="n">
        <v>915.11</v>
      </c>
      <c r="O1091" s="3">
        <f>K1091*L1091*(1-M1091)</f>
        <v/>
      </c>
      <c r="P1091" s="3">
        <f>O1091-N1091</f>
        <v/>
      </c>
      <c r="Q1091" s="5">
        <f>IFERROR(P1091/O1091,0)</f>
        <v/>
      </c>
      <c r="R1091" s="2">
        <f>TEXT(DATEVALUE(B1091),"mmm")</f>
        <v/>
      </c>
      <c r="S1091" s="2">
        <f>TEXT(DATEVALUE(B1091),"yyyy-mm")</f>
        <v/>
      </c>
    </row>
    <row r="1092">
      <c r="A1092" s="2" t="inlineStr">
        <is>
          <t>O000104</t>
        </is>
      </c>
      <c r="B1092" s="2" t="inlineStr">
        <is>
          <t>2025-03-22</t>
        </is>
      </c>
      <c r="C1092" s="2" t="inlineStr">
        <is>
          <t>C0481</t>
        </is>
      </c>
      <c r="D1092" s="2" t="inlineStr">
        <is>
          <t>P0029</t>
        </is>
      </c>
      <c r="E1092" s="2" t="inlineStr">
        <is>
          <t>Yoga Mat</t>
        </is>
      </c>
      <c r="F1092" s="2" t="inlineStr">
        <is>
          <t>Sports</t>
        </is>
      </c>
      <c r="G1092" s="2" t="inlineStr">
        <is>
          <t>West</t>
        </is>
      </c>
      <c r="H1092" s="2" t="inlineStr">
        <is>
          <t>Gujarat</t>
        </is>
      </c>
      <c r="I1092" s="2" t="inlineStr">
        <is>
          <t>Surat</t>
        </is>
      </c>
      <c r="J1092" s="2" t="inlineStr">
        <is>
          <t>Online</t>
        </is>
      </c>
      <c r="K1092" s="2" t="n">
        <v>1</v>
      </c>
      <c r="L1092" s="3" t="n">
        <v>2296.26</v>
      </c>
      <c r="M1092" s="4" t="n">
        <v>0</v>
      </c>
      <c r="N1092" s="3" t="n">
        <v>1297.82</v>
      </c>
      <c r="O1092" s="3">
        <f>K1092*L1092*(1-M1092)</f>
        <v/>
      </c>
      <c r="P1092" s="3">
        <f>O1092-N1092</f>
        <v/>
      </c>
      <c r="Q1092" s="5">
        <f>IFERROR(P1092/O1092,0)</f>
        <v/>
      </c>
      <c r="R1092" s="2">
        <f>TEXT(DATEVALUE(B1092),"mmm")</f>
        <v/>
      </c>
      <c r="S1092" s="2">
        <f>TEXT(DATEVALUE(B1092),"yyyy-mm")</f>
        <v/>
      </c>
    </row>
    <row r="1093">
      <c r="A1093" s="2" t="inlineStr">
        <is>
          <t>O000061</t>
        </is>
      </c>
      <c r="B1093" s="2" t="inlineStr">
        <is>
          <t>2025-03-22</t>
        </is>
      </c>
      <c r="C1093" s="2" t="inlineStr">
        <is>
          <t>C0724</t>
        </is>
      </c>
      <c r="D1093" s="2" t="inlineStr">
        <is>
          <t>P0023</t>
        </is>
      </c>
      <c r="E1093" s="2" t="inlineStr">
        <is>
          <t>Skin Care Kit</t>
        </is>
      </c>
      <c r="F1093" s="2" t="inlineStr">
        <is>
          <t>Beauty</t>
        </is>
      </c>
      <c r="G1093" s="2" t="inlineStr">
        <is>
          <t>South</t>
        </is>
      </c>
      <c r="H1093" s="2" t="inlineStr">
        <is>
          <t>Kerala</t>
        </is>
      </c>
      <c r="I1093" s="2" t="inlineStr">
        <is>
          <t>Kochi</t>
        </is>
      </c>
      <c r="J1093" s="2" t="inlineStr">
        <is>
          <t>Store</t>
        </is>
      </c>
      <c r="K1093" s="2" t="n">
        <v>2</v>
      </c>
      <c r="L1093" s="3" t="n">
        <v>1389.84</v>
      </c>
      <c r="M1093" s="4" t="n">
        <v>0.05</v>
      </c>
      <c r="N1093" s="3" t="n">
        <v>1766.8</v>
      </c>
      <c r="O1093" s="3">
        <f>K1093*L1093*(1-M1093)</f>
        <v/>
      </c>
      <c r="P1093" s="3">
        <f>O1093-N1093</f>
        <v/>
      </c>
      <c r="Q1093" s="5">
        <f>IFERROR(P1093/O1093,0)</f>
        <v/>
      </c>
      <c r="R1093" s="2">
        <f>TEXT(DATEVALUE(B1093),"mmm")</f>
        <v/>
      </c>
      <c r="S1093" s="2">
        <f>TEXT(DATEVALUE(B1093),"yyyy-mm")</f>
        <v/>
      </c>
    </row>
    <row r="1094">
      <c r="A1094" s="2" t="inlineStr">
        <is>
          <t>O001441</t>
        </is>
      </c>
      <c r="B1094" s="2" t="inlineStr">
        <is>
          <t>2025-03-22</t>
        </is>
      </c>
      <c r="C1094" s="2" t="inlineStr">
        <is>
          <t>C0684</t>
        </is>
      </c>
      <c r="D1094" s="2" t="inlineStr">
        <is>
          <t>P0024</t>
        </is>
      </c>
      <c r="E1094" s="2" t="inlineStr">
        <is>
          <t>Hair Dryer</t>
        </is>
      </c>
      <c r="F1094" s="2" t="inlineStr">
        <is>
          <t>Beauty</t>
        </is>
      </c>
      <c r="G1094" s="2" t="inlineStr">
        <is>
          <t>South</t>
        </is>
      </c>
      <c r="H1094" s="2" t="inlineStr">
        <is>
          <t>Kerala</t>
        </is>
      </c>
      <c r="I1094" s="2" t="inlineStr">
        <is>
          <t>Thiruvananthapuram</t>
        </is>
      </c>
      <c r="J1094" s="2" t="inlineStr">
        <is>
          <t>Store</t>
        </is>
      </c>
      <c r="K1094" s="2" t="n">
        <v>2</v>
      </c>
      <c r="L1094" s="3" t="n">
        <v>988.95</v>
      </c>
      <c r="M1094" s="4" t="n">
        <v>0.1</v>
      </c>
      <c r="N1094" s="3" t="n">
        <v>1458.69</v>
      </c>
      <c r="O1094" s="3">
        <f>K1094*L1094*(1-M1094)</f>
        <v/>
      </c>
      <c r="P1094" s="3">
        <f>O1094-N1094</f>
        <v/>
      </c>
      <c r="Q1094" s="5">
        <f>IFERROR(P1094/O1094,0)</f>
        <v/>
      </c>
      <c r="R1094" s="2">
        <f>TEXT(DATEVALUE(B1094),"mmm")</f>
        <v/>
      </c>
      <c r="S1094" s="2">
        <f>TEXT(DATEVALUE(B1094),"yyyy-mm")</f>
        <v/>
      </c>
    </row>
    <row r="1095">
      <c r="A1095" s="2" t="inlineStr">
        <is>
          <t>O002878</t>
        </is>
      </c>
      <c r="B1095" s="2" t="inlineStr">
        <is>
          <t>2025-03-23</t>
        </is>
      </c>
      <c r="C1095" s="2" t="inlineStr">
        <is>
          <t>C0145</t>
        </is>
      </c>
      <c r="D1095" s="2" t="inlineStr">
        <is>
          <t>P0007</t>
        </is>
      </c>
      <c r="E1095" s="2" t="inlineStr">
        <is>
          <t>Wireless Mouse</t>
        </is>
      </c>
      <c r="F1095" s="2" t="inlineStr">
        <is>
          <t>Electronics</t>
        </is>
      </c>
      <c r="G1095" s="2" t="inlineStr">
        <is>
          <t>West</t>
        </is>
      </c>
      <c r="H1095" s="2" t="inlineStr">
        <is>
          <t>Goa</t>
        </is>
      </c>
      <c r="I1095" s="2" t="inlineStr">
        <is>
          <t>Panaji</t>
        </is>
      </c>
      <c r="J1095" s="2" t="inlineStr">
        <is>
          <t>Online</t>
        </is>
      </c>
      <c r="K1095" s="2" t="n">
        <v>2</v>
      </c>
      <c r="L1095" s="3" t="n">
        <v>947.02</v>
      </c>
      <c r="M1095" s="4" t="n">
        <v>0.1</v>
      </c>
      <c r="N1095" s="3" t="n">
        <v>1243.02</v>
      </c>
      <c r="O1095" s="3">
        <f>K1095*L1095*(1-M1095)</f>
        <v/>
      </c>
      <c r="P1095" s="3">
        <f>O1095-N1095</f>
        <v/>
      </c>
      <c r="Q1095" s="5">
        <f>IFERROR(P1095/O1095,0)</f>
        <v/>
      </c>
      <c r="R1095" s="2">
        <f>TEXT(DATEVALUE(B1095),"mmm")</f>
        <v/>
      </c>
      <c r="S1095" s="2">
        <f>TEXT(DATEVALUE(B1095),"yyyy-mm")</f>
        <v/>
      </c>
    </row>
    <row r="1096">
      <c r="A1096" s="2" t="inlineStr">
        <is>
          <t>O004314</t>
        </is>
      </c>
      <c r="B1096" s="2" t="inlineStr">
        <is>
          <t>2025-03-23</t>
        </is>
      </c>
      <c r="C1096" s="2" t="inlineStr">
        <is>
          <t>C0444</t>
        </is>
      </c>
      <c r="D1096" s="2" t="inlineStr">
        <is>
          <t>P0002</t>
        </is>
      </c>
      <c r="E1096" s="2" t="inlineStr">
        <is>
          <t>Bluetooth Speaker</t>
        </is>
      </c>
      <c r="F1096" s="2" t="inlineStr">
        <is>
          <t>Electronics</t>
        </is>
      </c>
      <c r="G1096" s="2" t="inlineStr">
        <is>
          <t>East</t>
        </is>
      </c>
      <c r="H1096" s="2" t="inlineStr">
        <is>
          <t>West Bengal</t>
        </is>
      </c>
      <c r="I1096" s="2" t="inlineStr">
        <is>
          <t>Durgapur</t>
        </is>
      </c>
      <c r="J1096" s="2" t="inlineStr">
        <is>
          <t>Store</t>
        </is>
      </c>
      <c r="K1096" s="2" t="n">
        <v>5</v>
      </c>
      <c r="L1096" s="3" t="n">
        <v>1363.39</v>
      </c>
      <c r="M1096" s="4" t="n">
        <v>0</v>
      </c>
      <c r="N1096" s="3" t="n">
        <v>4081.03</v>
      </c>
      <c r="O1096" s="3">
        <f>K1096*L1096*(1-M1096)</f>
        <v/>
      </c>
      <c r="P1096" s="3">
        <f>O1096-N1096</f>
        <v/>
      </c>
      <c r="Q1096" s="5">
        <f>IFERROR(P1096/O1096,0)</f>
        <v/>
      </c>
      <c r="R1096" s="2">
        <f>TEXT(DATEVALUE(B1096),"mmm")</f>
        <v/>
      </c>
      <c r="S1096" s="2">
        <f>TEXT(DATEVALUE(B1096),"yyyy-mm")</f>
        <v/>
      </c>
    </row>
    <row r="1097">
      <c r="A1097" s="2" t="inlineStr">
        <is>
          <t>O004046</t>
        </is>
      </c>
      <c r="B1097" s="2" t="inlineStr">
        <is>
          <t>2025-03-23</t>
        </is>
      </c>
      <c r="C1097" s="2" t="inlineStr">
        <is>
          <t>C0255</t>
        </is>
      </c>
      <c r="D1097" s="2" t="inlineStr">
        <is>
          <t>P0029</t>
        </is>
      </c>
      <c r="E1097" s="2" t="inlineStr">
        <is>
          <t>Yoga Mat</t>
        </is>
      </c>
      <c r="F1097" s="2" t="inlineStr">
        <is>
          <t>Sports</t>
        </is>
      </c>
      <c r="G1097" s="2" t="inlineStr">
        <is>
          <t>South</t>
        </is>
      </c>
      <c r="H1097" s="2" t="inlineStr">
        <is>
          <t>Tamil Nadu</t>
        </is>
      </c>
      <c r="I1097" s="2" t="inlineStr">
        <is>
          <t>Coimbatore</t>
        </is>
      </c>
      <c r="J1097" s="2" t="inlineStr">
        <is>
          <t>Store</t>
        </is>
      </c>
      <c r="K1097" s="2" t="n">
        <v>2</v>
      </c>
      <c r="L1097" s="3" t="n">
        <v>2483.73</v>
      </c>
      <c r="M1097" s="4" t="n">
        <v>0.1</v>
      </c>
      <c r="N1097" s="3" t="n">
        <v>2718.3</v>
      </c>
      <c r="O1097" s="3">
        <f>K1097*L1097*(1-M1097)</f>
        <v/>
      </c>
      <c r="P1097" s="3">
        <f>O1097-N1097</f>
        <v/>
      </c>
      <c r="Q1097" s="5">
        <f>IFERROR(P1097/O1097,0)</f>
        <v/>
      </c>
      <c r="R1097" s="2">
        <f>TEXT(DATEVALUE(B1097),"mmm")</f>
        <v/>
      </c>
      <c r="S1097" s="2">
        <f>TEXT(DATEVALUE(B1097),"yyyy-mm")</f>
        <v/>
      </c>
    </row>
    <row r="1098">
      <c r="A1098" s="2" t="inlineStr">
        <is>
          <t>O004676</t>
        </is>
      </c>
      <c r="B1098" s="2" t="inlineStr">
        <is>
          <t>2025-03-23</t>
        </is>
      </c>
      <c r="C1098" s="2" t="inlineStr">
        <is>
          <t>C0694</t>
        </is>
      </c>
      <c r="D1098" s="2" t="inlineStr">
        <is>
          <t>P0022</t>
        </is>
      </c>
      <c r="E1098" s="2" t="inlineStr">
        <is>
          <t>Face Wash</t>
        </is>
      </c>
      <c r="F1098" s="2" t="inlineStr">
        <is>
          <t>Beauty</t>
        </is>
      </c>
      <c r="G1098" s="2" t="inlineStr">
        <is>
          <t>West</t>
        </is>
      </c>
      <c r="H1098" s="2" t="inlineStr">
        <is>
          <t>Goa</t>
        </is>
      </c>
      <c r="I1098" s="2" t="inlineStr">
        <is>
          <t>Panaji</t>
        </is>
      </c>
      <c r="J1098" s="2" t="inlineStr">
        <is>
          <t>Online</t>
        </is>
      </c>
      <c r="K1098" s="2" t="n">
        <v>6</v>
      </c>
      <c r="L1098" s="3" t="n">
        <v>556.64</v>
      </c>
      <c r="M1098" s="4" t="n">
        <v>0.2</v>
      </c>
      <c r="N1098" s="3" t="n">
        <v>2054.06</v>
      </c>
      <c r="O1098" s="3">
        <f>K1098*L1098*(1-M1098)</f>
        <v/>
      </c>
      <c r="P1098" s="3">
        <f>O1098-N1098</f>
        <v/>
      </c>
      <c r="Q1098" s="5">
        <f>IFERROR(P1098/O1098,0)</f>
        <v/>
      </c>
      <c r="R1098" s="2">
        <f>TEXT(DATEVALUE(B1098),"mmm")</f>
        <v/>
      </c>
      <c r="S1098" s="2">
        <f>TEXT(DATEVALUE(B1098),"yyyy-mm")</f>
        <v/>
      </c>
    </row>
    <row r="1099">
      <c r="A1099" s="2" t="inlineStr">
        <is>
          <t>O003522</t>
        </is>
      </c>
      <c r="B1099" s="2" t="inlineStr">
        <is>
          <t>2025-03-23</t>
        </is>
      </c>
      <c r="C1099" s="2" t="inlineStr">
        <is>
          <t>C0510</t>
        </is>
      </c>
      <c r="D1099" s="2" t="inlineStr">
        <is>
          <t>P0014</t>
        </is>
      </c>
      <c r="E1099" s="2" t="inlineStr">
        <is>
          <t>Coffee Maker</t>
        </is>
      </c>
      <c r="F1099" s="2" t="inlineStr">
        <is>
          <t>Home &amp; Kitchen</t>
        </is>
      </c>
      <c r="G1099" s="2" t="inlineStr">
        <is>
          <t>South</t>
        </is>
      </c>
      <c r="H1099" s="2" t="inlineStr">
        <is>
          <t>Karnataka</t>
        </is>
      </c>
      <c r="I1099" s="2" t="inlineStr">
        <is>
          <t>Mangaluru</t>
        </is>
      </c>
      <c r="J1099" s="2" t="inlineStr">
        <is>
          <t>Online</t>
        </is>
      </c>
      <c r="K1099" s="2" t="n">
        <v>2</v>
      </c>
      <c r="L1099" s="3" t="n">
        <v>1015.76</v>
      </c>
      <c r="M1099" s="4" t="n">
        <v>0.1</v>
      </c>
      <c r="N1099" s="3" t="n">
        <v>1517.66</v>
      </c>
      <c r="O1099" s="3">
        <f>K1099*L1099*(1-M1099)</f>
        <v/>
      </c>
      <c r="P1099" s="3">
        <f>O1099-N1099</f>
        <v/>
      </c>
      <c r="Q1099" s="5">
        <f>IFERROR(P1099/O1099,0)</f>
        <v/>
      </c>
      <c r="R1099" s="2">
        <f>TEXT(DATEVALUE(B1099),"mmm")</f>
        <v/>
      </c>
      <c r="S1099" s="2">
        <f>TEXT(DATEVALUE(B1099),"yyyy-mm")</f>
        <v/>
      </c>
    </row>
    <row r="1100">
      <c r="A1100" s="2" t="inlineStr">
        <is>
          <t>O003304</t>
        </is>
      </c>
      <c r="B1100" s="2" t="inlineStr">
        <is>
          <t>2025-03-23</t>
        </is>
      </c>
      <c r="C1100" s="2" t="inlineStr">
        <is>
          <t>C0175</t>
        </is>
      </c>
      <c r="D1100" s="2" t="inlineStr">
        <is>
          <t>P0002</t>
        </is>
      </c>
      <c r="E1100" s="2" t="inlineStr">
        <is>
          <t>Bluetooth Speaker</t>
        </is>
      </c>
      <c r="F1100" s="2" t="inlineStr">
        <is>
          <t>Electronics</t>
        </is>
      </c>
      <c r="G1100" s="2" t="inlineStr">
        <is>
          <t>South</t>
        </is>
      </c>
      <c r="H1100" s="2" t="inlineStr">
        <is>
          <t>Tamil Nadu</t>
        </is>
      </c>
      <c r="I1100" s="2" t="inlineStr">
        <is>
          <t>Coimbatore</t>
        </is>
      </c>
      <c r="J1100" s="2" t="inlineStr">
        <is>
          <t>Online</t>
        </is>
      </c>
      <c r="K1100" s="2" t="n">
        <v>1</v>
      </c>
      <c r="L1100" s="3" t="n">
        <v>1323.65</v>
      </c>
      <c r="M1100" s="4" t="n">
        <v>0.05</v>
      </c>
      <c r="N1100" s="3" t="n">
        <v>805.79</v>
      </c>
      <c r="O1100" s="3">
        <f>K1100*L1100*(1-M1100)</f>
        <v/>
      </c>
      <c r="P1100" s="3">
        <f>O1100-N1100</f>
        <v/>
      </c>
      <c r="Q1100" s="5">
        <f>IFERROR(P1100/O1100,0)</f>
        <v/>
      </c>
      <c r="R1100" s="2">
        <f>TEXT(DATEVALUE(B1100),"mmm")</f>
        <v/>
      </c>
      <c r="S1100" s="2">
        <f>TEXT(DATEVALUE(B1100),"yyyy-mm")</f>
        <v/>
      </c>
    </row>
    <row r="1101">
      <c r="A1101" s="2" t="inlineStr">
        <is>
          <t>O002742</t>
        </is>
      </c>
      <c r="B1101" s="2" t="inlineStr">
        <is>
          <t>2025-03-23</t>
        </is>
      </c>
      <c r="C1101" s="2" t="inlineStr">
        <is>
          <t>C0167</t>
        </is>
      </c>
      <c r="D1101" s="2" t="inlineStr">
        <is>
          <t>P0023</t>
        </is>
      </c>
      <c r="E1101" s="2" t="inlineStr">
        <is>
          <t>Skin Care Kit</t>
        </is>
      </c>
      <c r="F1101" s="2" t="inlineStr">
        <is>
          <t>Beauty</t>
        </is>
      </c>
      <c r="G1101" s="2" t="inlineStr">
        <is>
          <t>South</t>
        </is>
      </c>
      <c r="H1101" s="2" t="inlineStr">
        <is>
          <t>Kerala</t>
        </is>
      </c>
      <c r="I1101" s="2" t="inlineStr">
        <is>
          <t>Kochi</t>
        </is>
      </c>
      <c r="J1101" s="2" t="inlineStr">
        <is>
          <t>Online</t>
        </is>
      </c>
      <c r="K1101" s="2" t="n">
        <v>5</v>
      </c>
      <c r="L1101" s="3" t="n">
        <v>1457.64</v>
      </c>
      <c r="M1101" s="4" t="n">
        <v>0.1</v>
      </c>
      <c r="N1101" s="3" t="n">
        <v>4500.39</v>
      </c>
      <c r="O1101" s="3">
        <f>K1101*L1101*(1-M1101)</f>
        <v/>
      </c>
      <c r="P1101" s="3">
        <f>O1101-N1101</f>
        <v/>
      </c>
      <c r="Q1101" s="5">
        <f>IFERROR(P1101/O1101,0)</f>
        <v/>
      </c>
      <c r="R1101" s="2">
        <f>TEXT(DATEVALUE(B1101),"mmm")</f>
        <v/>
      </c>
      <c r="S1101" s="2">
        <f>TEXT(DATEVALUE(B1101),"yyyy-mm")</f>
        <v/>
      </c>
    </row>
    <row r="1102">
      <c r="A1102" s="2" t="inlineStr">
        <is>
          <t>O001469</t>
        </is>
      </c>
      <c r="B1102" s="2" t="inlineStr">
        <is>
          <t>2025-03-23</t>
        </is>
      </c>
      <c r="C1102" s="2" t="inlineStr">
        <is>
          <t>C0311</t>
        </is>
      </c>
      <c r="D1102" s="2" t="inlineStr">
        <is>
          <t>P0010</t>
        </is>
      </c>
      <c r="E1102" s="2" t="inlineStr">
        <is>
          <t>Mixer Grinder</t>
        </is>
      </c>
      <c r="F1102" s="2" t="inlineStr">
        <is>
          <t>Home &amp; Kitchen</t>
        </is>
      </c>
      <c r="G1102" s="2" t="inlineStr">
        <is>
          <t>West</t>
        </is>
      </c>
      <c r="H1102" s="2" t="inlineStr">
        <is>
          <t>Goa</t>
        </is>
      </c>
      <c r="I1102" s="2" t="inlineStr">
        <is>
          <t>Panaji</t>
        </is>
      </c>
      <c r="J1102" s="2" t="inlineStr">
        <is>
          <t>Online</t>
        </is>
      </c>
      <c r="K1102" s="2" t="n">
        <v>6</v>
      </c>
      <c r="L1102" s="3" t="n">
        <v>1694.42</v>
      </c>
      <c r="M1102" s="4" t="n">
        <v>0.05</v>
      </c>
      <c r="N1102" s="3" t="n">
        <v>6322.78</v>
      </c>
      <c r="O1102" s="3">
        <f>K1102*L1102*(1-M1102)</f>
        <v/>
      </c>
      <c r="P1102" s="3">
        <f>O1102-N1102</f>
        <v/>
      </c>
      <c r="Q1102" s="5">
        <f>IFERROR(P1102/O1102,0)</f>
        <v/>
      </c>
      <c r="R1102" s="2">
        <f>TEXT(DATEVALUE(B1102),"mmm")</f>
        <v/>
      </c>
      <c r="S1102" s="2">
        <f>TEXT(DATEVALUE(B1102),"yyyy-mm")</f>
        <v/>
      </c>
    </row>
    <row r="1103">
      <c r="A1103" s="2" t="inlineStr">
        <is>
          <t>O002374</t>
        </is>
      </c>
      <c r="B1103" s="2" t="inlineStr">
        <is>
          <t>2025-03-23</t>
        </is>
      </c>
      <c r="C1103" s="2" t="inlineStr">
        <is>
          <t>C0023</t>
        </is>
      </c>
      <c r="D1103" s="2" t="inlineStr">
        <is>
          <t>P0004</t>
        </is>
      </c>
      <c r="E1103" s="2" t="inlineStr">
        <is>
          <t>USB-C Hub</t>
        </is>
      </c>
      <c r="F1103" s="2" t="inlineStr">
        <is>
          <t>Electronics</t>
        </is>
      </c>
      <c r="G1103" s="2" t="inlineStr">
        <is>
          <t>East</t>
        </is>
      </c>
      <c r="H1103" s="2" t="inlineStr">
        <is>
          <t>Bihar</t>
        </is>
      </c>
      <c r="I1103" s="2" t="inlineStr">
        <is>
          <t>Patna</t>
        </is>
      </c>
      <c r="J1103" s="2" t="inlineStr">
        <is>
          <t>Online</t>
        </is>
      </c>
      <c r="K1103" s="2" t="n">
        <v>4</v>
      </c>
      <c r="L1103" s="3" t="n">
        <v>1296.25</v>
      </c>
      <c r="M1103" s="4" t="n">
        <v>0</v>
      </c>
      <c r="N1103" s="3" t="n">
        <v>3690.99</v>
      </c>
      <c r="O1103" s="3">
        <f>K1103*L1103*(1-M1103)</f>
        <v/>
      </c>
      <c r="P1103" s="3">
        <f>O1103-N1103</f>
        <v/>
      </c>
      <c r="Q1103" s="5">
        <f>IFERROR(P1103/O1103,0)</f>
        <v/>
      </c>
      <c r="R1103" s="2">
        <f>TEXT(DATEVALUE(B1103),"mmm")</f>
        <v/>
      </c>
      <c r="S1103" s="2">
        <f>TEXT(DATEVALUE(B1103),"yyyy-mm")</f>
        <v/>
      </c>
    </row>
    <row r="1104">
      <c r="A1104" s="2" t="inlineStr">
        <is>
          <t>O002099</t>
        </is>
      </c>
      <c r="B1104" s="2" t="inlineStr">
        <is>
          <t>2025-03-23</t>
        </is>
      </c>
      <c r="C1104" s="2" t="inlineStr">
        <is>
          <t>C0363</t>
        </is>
      </c>
      <c r="D1104" s="2" t="inlineStr">
        <is>
          <t>P0007</t>
        </is>
      </c>
      <c r="E1104" s="2" t="inlineStr">
        <is>
          <t>Wireless Mouse</t>
        </is>
      </c>
      <c r="F1104" s="2" t="inlineStr">
        <is>
          <t>Electronics</t>
        </is>
      </c>
      <c r="G1104" s="2" t="inlineStr">
        <is>
          <t>North</t>
        </is>
      </c>
      <c r="H1104" s="2" t="inlineStr">
        <is>
          <t>Uttar Pradesh</t>
        </is>
      </c>
      <c r="I1104" s="2" t="inlineStr">
        <is>
          <t>Kanpur</t>
        </is>
      </c>
      <c r="J1104" s="2" t="inlineStr">
        <is>
          <t>Store</t>
        </is>
      </c>
      <c r="K1104" s="2" t="n">
        <v>1</v>
      </c>
      <c r="L1104" s="3" t="n">
        <v>964.47</v>
      </c>
      <c r="M1104" s="4" t="n">
        <v>0.05</v>
      </c>
      <c r="N1104" s="3" t="n">
        <v>636.13</v>
      </c>
      <c r="O1104" s="3">
        <f>K1104*L1104*(1-M1104)</f>
        <v/>
      </c>
      <c r="P1104" s="3">
        <f>O1104-N1104</f>
        <v/>
      </c>
      <c r="Q1104" s="5">
        <f>IFERROR(P1104/O1104,0)</f>
        <v/>
      </c>
      <c r="R1104" s="2">
        <f>TEXT(DATEVALUE(B1104),"mmm")</f>
        <v/>
      </c>
      <c r="S1104" s="2">
        <f>TEXT(DATEVALUE(B1104),"yyyy-mm")</f>
        <v/>
      </c>
    </row>
    <row r="1105">
      <c r="A1105" s="2" t="inlineStr">
        <is>
          <t>O001890</t>
        </is>
      </c>
      <c r="B1105" s="2" t="inlineStr">
        <is>
          <t>2025-03-23</t>
        </is>
      </c>
      <c r="C1105" s="2" t="inlineStr">
        <is>
          <t>C0266</t>
        </is>
      </c>
      <c r="D1105" s="2" t="inlineStr">
        <is>
          <t>P0004</t>
        </is>
      </c>
      <c r="E1105" s="2" t="inlineStr">
        <is>
          <t>USB-C Hub</t>
        </is>
      </c>
      <c r="F1105" s="2" t="inlineStr">
        <is>
          <t>Electronics</t>
        </is>
      </c>
      <c r="G1105" s="2" t="inlineStr">
        <is>
          <t>North</t>
        </is>
      </c>
      <c r="H1105" s="2" t="inlineStr">
        <is>
          <t>Haryana</t>
        </is>
      </c>
      <c r="I1105" s="2" t="inlineStr">
        <is>
          <t>Faridabad</t>
        </is>
      </c>
      <c r="J1105" s="2" t="inlineStr">
        <is>
          <t>Online</t>
        </is>
      </c>
      <c r="K1105" s="2" t="n">
        <v>4</v>
      </c>
      <c r="L1105" s="3" t="n">
        <v>1292.73</v>
      </c>
      <c r="M1105" s="4" t="n">
        <v>0.1</v>
      </c>
      <c r="N1105" s="3" t="n">
        <v>3778.8</v>
      </c>
      <c r="O1105" s="3">
        <f>K1105*L1105*(1-M1105)</f>
        <v/>
      </c>
      <c r="P1105" s="3">
        <f>O1105-N1105</f>
        <v/>
      </c>
      <c r="Q1105" s="5">
        <f>IFERROR(P1105/O1105,0)</f>
        <v/>
      </c>
      <c r="R1105" s="2">
        <f>TEXT(DATEVALUE(B1105),"mmm")</f>
        <v/>
      </c>
      <c r="S1105" s="2">
        <f>TEXT(DATEVALUE(B1105),"yyyy-mm")</f>
        <v/>
      </c>
    </row>
    <row r="1106">
      <c r="A1106" s="2" t="inlineStr">
        <is>
          <t>O001663</t>
        </is>
      </c>
      <c r="B1106" s="2" t="inlineStr">
        <is>
          <t>2025-03-23</t>
        </is>
      </c>
      <c r="C1106" s="2" t="inlineStr">
        <is>
          <t>C0606</t>
        </is>
      </c>
      <c r="D1106" s="2" t="inlineStr">
        <is>
          <t>P0030</t>
        </is>
      </c>
      <c r="E1106" s="2" t="inlineStr">
        <is>
          <t>Dumbbells</t>
        </is>
      </c>
      <c r="F1106" s="2" t="inlineStr">
        <is>
          <t>Sports</t>
        </is>
      </c>
      <c r="G1106" s="2" t="inlineStr">
        <is>
          <t>East</t>
        </is>
      </c>
      <c r="H1106" s="2" t="inlineStr">
        <is>
          <t>West Bengal</t>
        </is>
      </c>
      <c r="I1106" s="2" t="inlineStr">
        <is>
          <t>Kolkata</t>
        </is>
      </c>
      <c r="J1106" s="2" t="inlineStr">
        <is>
          <t>Online</t>
        </is>
      </c>
      <c r="K1106" s="2" t="n">
        <v>2</v>
      </c>
      <c r="L1106" s="3" t="n">
        <v>1491.21</v>
      </c>
      <c r="M1106" s="4" t="n">
        <v>0.2</v>
      </c>
      <c r="N1106" s="3" t="n">
        <v>2055.75</v>
      </c>
      <c r="O1106" s="3">
        <f>K1106*L1106*(1-M1106)</f>
        <v/>
      </c>
      <c r="P1106" s="3">
        <f>O1106-N1106</f>
        <v/>
      </c>
      <c r="Q1106" s="5">
        <f>IFERROR(P1106/O1106,0)</f>
        <v/>
      </c>
      <c r="R1106" s="2">
        <f>TEXT(DATEVALUE(B1106),"mmm")</f>
        <v/>
      </c>
      <c r="S1106" s="2">
        <f>TEXT(DATEVALUE(B1106),"yyyy-mm")</f>
        <v/>
      </c>
    </row>
    <row r="1107">
      <c r="A1107" s="2" t="inlineStr">
        <is>
          <t>O001289</t>
        </is>
      </c>
      <c r="B1107" s="2" t="inlineStr">
        <is>
          <t>2025-03-23</t>
        </is>
      </c>
      <c r="C1107" s="2" t="inlineStr">
        <is>
          <t>C0331</t>
        </is>
      </c>
      <c r="D1107" s="2" t="inlineStr">
        <is>
          <t>P0016</t>
        </is>
      </c>
      <c r="E1107" s="2" t="inlineStr">
        <is>
          <t>Casual Shirt</t>
        </is>
      </c>
      <c r="F1107" s="2" t="inlineStr">
        <is>
          <t>Fashion</t>
        </is>
      </c>
      <c r="G1107" s="2" t="inlineStr">
        <is>
          <t>West</t>
        </is>
      </c>
      <c r="H1107" s="2" t="inlineStr">
        <is>
          <t>Gujarat</t>
        </is>
      </c>
      <c r="I1107" s="2" t="inlineStr">
        <is>
          <t>Vadodara</t>
        </is>
      </c>
      <c r="J1107" s="2" t="inlineStr">
        <is>
          <t>Online</t>
        </is>
      </c>
      <c r="K1107" s="2" t="n">
        <v>2</v>
      </c>
      <c r="L1107" s="3" t="n">
        <v>1331.19</v>
      </c>
      <c r="M1107" s="4" t="n">
        <v>0.05</v>
      </c>
      <c r="N1107" s="3" t="n">
        <v>1862.77</v>
      </c>
      <c r="O1107" s="3">
        <f>K1107*L1107*(1-M1107)</f>
        <v/>
      </c>
      <c r="P1107" s="3">
        <f>O1107-N1107</f>
        <v/>
      </c>
      <c r="Q1107" s="5">
        <f>IFERROR(P1107/O1107,0)</f>
        <v/>
      </c>
      <c r="R1107" s="2">
        <f>TEXT(DATEVALUE(B1107),"mmm")</f>
        <v/>
      </c>
      <c r="S1107" s="2">
        <f>TEXT(DATEVALUE(B1107),"yyyy-mm")</f>
        <v/>
      </c>
    </row>
    <row r="1108">
      <c r="A1108" s="2" t="inlineStr">
        <is>
          <t>O000711</t>
        </is>
      </c>
      <c r="B1108" s="2" t="inlineStr">
        <is>
          <t>2025-03-23</t>
        </is>
      </c>
      <c r="C1108" s="2" t="inlineStr">
        <is>
          <t>C0140</t>
        </is>
      </c>
      <c r="D1108" s="2" t="inlineStr">
        <is>
          <t>P0007</t>
        </is>
      </c>
      <c r="E1108" s="2" t="inlineStr">
        <is>
          <t>Wireless Mouse</t>
        </is>
      </c>
      <c r="F1108" s="2" t="inlineStr">
        <is>
          <t>Electronics</t>
        </is>
      </c>
      <c r="G1108" s="2" t="inlineStr">
        <is>
          <t>South</t>
        </is>
      </c>
      <c r="H1108" s="2" t="inlineStr">
        <is>
          <t>Tamil Nadu</t>
        </is>
      </c>
      <c r="I1108" s="2" t="inlineStr">
        <is>
          <t>Coimbatore</t>
        </is>
      </c>
      <c r="J1108" s="2" t="inlineStr">
        <is>
          <t>Store</t>
        </is>
      </c>
      <c r="K1108" s="2" t="n">
        <v>1</v>
      </c>
      <c r="L1108" s="3" t="n">
        <v>1023.97</v>
      </c>
      <c r="M1108" s="4" t="n">
        <v>0</v>
      </c>
      <c r="N1108" s="3" t="n">
        <v>607.79</v>
      </c>
      <c r="O1108" s="3">
        <f>K1108*L1108*(1-M1108)</f>
        <v/>
      </c>
      <c r="P1108" s="3">
        <f>O1108-N1108</f>
        <v/>
      </c>
      <c r="Q1108" s="5">
        <f>IFERROR(P1108/O1108,0)</f>
        <v/>
      </c>
      <c r="R1108" s="2">
        <f>TEXT(DATEVALUE(B1108),"mmm")</f>
        <v/>
      </c>
      <c r="S1108" s="2">
        <f>TEXT(DATEVALUE(B1108),"yyyy-mm")</f>
        <v/>
      </c>
    </row>
    <row r="1109">
      <c r="A1109" s="2" t="inlineStr">
        <is>
          <t>O002506</t>
        </is>
      </c>
      <c r="B1109" s="2" t="inlineStr">
        <is>
          <t>2025-03-23</t>
        </is>
      </c>
      <c r="C1109" s="2" t="inlineStr">
        <is>
          <t>C0196</t>
        </is>
      </c>
      <c r="D1109" s="2" t="inlineStr">
        <is>
          <t>P0017</t>
        </is>
      </c>
      <c r="E1109" s="2" t="inlineStr">
        <is>
          <t>Jeans</t>
        </is>
      </c>
      <c r="F1109" s="2" t="inlineStr">
        <is>
          <t>Fashion</t>
        </is>
      </c>
      <c r="G1109" s="2" t="inlineStr">
        <is>
          <t>South</t>
        </is>
      </c>
      <c r="H1109" s="2" t="inlineStr">
        <is>
          <t>Kerala</t>
        </is>
      </c>
      <c r="I1109" s="2" t="inlineStr">
        <is>
          <t>Kochi</t>
        </is>
      </c>
      <c r="J1109" s="2" t="inlineStr">
        <is>
          <t>Online</t>
        </is>
      </c>
      <c r="K1109" s="2" t="n">
        <v>1</v>
      </c>
      <c r="L1109" s="3" t="n">
        <v>1462.9</v>
      </c>
      <c r="M1109" s="4" t="n">
        <v>0.1</v>
      </c>
      <c r="N1109" s="3" t="n">
        <v>1050.8</v>
      </c>
      <c r="O1109" s="3">
        <f>K1109*L1109*(1-M1109)</f>
        <v/>
      </c>
      <c r="P1109" s="3">
        <f>O1109-N1109</f>
        <v/>
      </c>
      <c r="Q1109" s="5">
        <f>IFERROR(P1109/O1109,0)</f>
        <v/>
      </c>
      <c r="R1109" s="2">
        <f>TEXT(DATEVALUE(B1109),"mmm")</f>
        <v/>
      </c>
      <c r="S1109" s="2">
        <f>TEXT(DATEVALUE(B1109),"yyyy-mm")</f>
        <v/>
      </c>
    </row>
    <row r="1110">
      <c r="A1110" s="2" t="inlineStr">
        <is>
          <t>O004504</t>
        </is>
      </c>
      <c r="B1110" s="2" t="inlineStr">
        <is>
          <t>2025-03-24</t>
        </is>
      </c>
      <c r="C1110" s="2" t="inlineStr">
        <is>
          <t>C0800</t>
        </is>
      </c>
      <c r="D1110" s="2" t="inlineStr">
        <is>
          <t>P0008</t>
        </is>
      </c>
      <c r="E1110" s="2" t="inlineStr">
        <is>
          <t>Air Fryer</t>
        </is>
      </c>
      <c r="F1110" s="2" t="inlineStr">
        <is>
          <t>Home &amp; Kitchen</t>
        </is>
      </c>
      <c r="G1110" s="2" t="inlineStr">
        <is>
          <t>South</t>
        </is>
      </c>
      <c r="H1110" s="2" t="inlineStr">
        <is>
          <t>Tamil Nadu</t>
        </is>
      </c>
      <c r="I1110" s="2" t="inlineStr">
        <is>
          <t>Coimbatore</t>
        </is>
      </c>
      <c r="J1110" s="2" t="inlineStr">
        <is>
          <t>Online</t>
        </is>
      </c>
      <c r="K1110" s="2" t="n">
        <v>1</v>
      </c>
      <c r="L1110" s="3" t="n">
        <v>1054.53</v>
      </c>
      <c r="M1110" s="4" t="n">
        <v>0</v>
      </c>
      <c r="N1110" s="3" t="n">
        <v>662.83</v>
      </c>
      <c r="O1110" s="3">
        <f>K1110*L1110*(1-M1110)</f>
        <v/>
      </c>
      <c r="P1110" s="3">
        <f>O1110-N1110</f>
        <v/>
      </c>
      <c r="Q1110" s="5">
        <f>IFERROR(P1110/O1110,0)</f>
        <v/>
      </c>
      <c r="R1110" s="2">
        <f>TEXT(DATEVALUE(B1110),"mmm")</f>
        <v/>
      </c>
      <c r="S1110" s="2">
        <f>TEXT(DATEVALUE(B1110),"yyyy-mm")</f>
        <v/>
      </c>
    </row>
    <row r="1111">
      <c r="A1111" s="2" t="inlineStr">
        <is>
          <t>O004377</t>
        </is>
      </c>
      <c r="B1111" s="2" t="inlineStr">
        <is>
          <t>2025-03-24</t>
        </is>
      </c>
      <c r="C1111" s="2" t="inlineStr">
        <is>
          <t>C0557</t>
        </is>
      </c>
      <c r="D1111" s="2" t="inlineStr">
        <is>
          <t>P0025</t>
        </is>
      </c>
      <c r="E1111" s="2" t="inlineStr">
        <is>
          <t>Perfume</t>
        </is>
      </c>
      <c r="F1111" s="2" t="inlineStr">
        <is>
          <t>Beauty</t>
        </is>
      </c>
      <c r="G1111" s="2" t="inlineStr">
        <is>
          <t>East</t>
        </is>
      </c>
      <c r="H1111" s="2" t="inlineStr">
        <is>
          <t>Bihar</t>
        </is>
      </c>
      <c r="I1111" s="2" t="inlineStr">
        <is>
          <t>Gaya</t>
        </is>
      </c>
      <c r="J1111" s="2" t="inlineStr">
        <is>
          <t>Online</t>
        </is>
      </c>
      <c r="K1111" s="2" t="n">
        <v>2</v>
      </c>
      <c r="L1111" s="3" t="n">
        <v>842.22</v>
      </c>
      <c r="M1111" s="4" t="n">
        <v>0.1</v>
      </c>
      <c r="N1111" s="3" t="n">
        <v>1221.88</v>
      </c>
      <c r="O1111" s="3">
        <f>K1111*L1111*(1-M1111)</f>
        <v/>
      </c>
      <c r="P1111" s="3">
        <f>O1111-N1111</f>
        <v/>
      </c>
      <c r="Q1111" s="5">
        <f>IFERROR(P1111/O1111,0)</f>
        <v/>
      </c>
      <c r="R1111" s="2">
        <f>TEXT(DATEVALUE(B1111),"mmm")</f>
        <v/>
      </c>
      <c r="S1111" s="2">
        <f>TEXT(DATEVALUE(B1111),"yyyy-mm")</f>
        <v/>
      </c>
    </row>
    <row r="1112">
      <c r="A1112" s="2" t="inlineStr">
        <is>
          <t>O004357</t>
        </is>
      </c>
      <c r="B1112" s="2" t="inlineStr">
        <is>
          <t>2025-03-24</t>
        </is>
      </c>
      <c r="C1112" s="2" t="inlineStr">
        <is>
          <t>C0573</t>
        </is>
      </c>
      <c r="D1112" s="2" t="inlineStr">
        <is>
          <t>P0004</t>
        </is>
      </c>
      <c r="E1112" s="2" t="inlineStr">
        <is>
          <t>USB-C Hub</t>
        </is>
      </c>
      <c r="F1112" s="2" t="inlineStr">
        <is>
          <t>Electronics</t>
        </is>
      </c>
      <c r="G1112" s="2" t="inlineStr">
        <is>
          <t>East</t>
        </is>
      </c>
      <c r="H1112" s="2" t="inlineStr">
        <is>
          <t>West Bengal</t>
        </is>
      </c>
      <c r="I1112" s="2" t="inlineStr">
        <is>
          <t>Kolkata</t>
        </is>
      </c>
      <c r="J1112" s="2" t="inlineStr">
        <is>
          <t>Online</t>
        </is>
      </c>
      <c r="K1112" s="2" t="n">
        <v>1</v>
      </c>
      <c r="L1112" s="3" t="n">
        <v>1280.57</v>
      </c>
      <c r="M1112" s="4" t="n">
        <v>0.1</v>
      </c>
      <c r="N1112" s="3" t="n">
        <v>909.0700000000001</v>
      </c>
      <c r="O1112" s="3">
        <f>K1112*L1112*(1-M1112)</f>
        <v/>
      </c>
      <c r="P1112" s="3">
        <f>O1112-N1112</f>
        <v/>
      </c>
      <c r="Q1112" s="5">
        <f>IFERROR(P1112/O1112,0)</f>
        <v/>
      </c>
      <c r="R1112" s="2">
        <f>TEXT(DATEVALUE(B1112),"mmm")</f>
        <v/>
      </c>
      <c r="S1112" s="2">
        <f>TEXT(DATEVALUE(B1112),"yyyy-mm")</f>
        <v/>
      </c>
    </row>
    <row r="1113">
      <c r="A1113" s="2" t="inlineStr">
        <is>
          <t>O003707</t>
        </is>
      </c>
      <c r="B1113" s="2" t="inlineStr">
        <is>
          <t>2025-03-24</t>
        </is>
      </c>
      <c r="C1113" s="2" t="inlineStr">
        <is>
          <t>C0443</t>
        </is>
      </c>
      <c r="D1113" s="2" t="inlineStr">
        <is>
          <t>P0016</t>
        </is>
      </c>
      <c r="E1113" s="2" t="inlineStr">
        <is>
          <t>Casual Shirt</t>
        </is>
      </c>
      <c r="F1113" s="2" t="inlineStr">
        <is>
          <t>Fashion</t>
        </is>
      </c>
      <c r="G1113" s="2" t="inlineStr">
        <is>
          <t>West</t>
        </is>
      </c>
      <c r="H1113" s="2" t="inlineStr">
        <is>
          <t>Goa</t>
        </is>
      </c>
      <c r="I1113" s="2" t="inlineStr">
        <is>
          <t>Panaji</t>
        </is>
      </c>
      <c r="J1113" s="2" t="inlineStr">
        <is>
          <t>Store</t>
        </is>
      </c>
      <c r="K1113" s="2" t="n">
        <v>1</v>
      </c>
      <c r="L1113" s="3" t="n">
        <v>1228.87</v>
      </c>
      <c r="M1113" s="4" t="n">
        <v>0.1</v>
      </c>
      <c r="N1113" s="3" t="n">
        <v>904.71</v>
      </c>
      <c r="O1113" s="3">
        <f>K1113*L1113*(1-M1113)</f>
        <v/>
      </c>
      <c r="P1113" s="3">
        <f>O1113-N1113</f>
        <v/>
      </c>
      <c r="Q1113" s="5">
        <f>IFERROR(P1113/O1113,0)</f>
        <v/>
      </c>
      <c r="R1113" s="2">
        <f>TEXT(DATEVALUE(B1113),"mmm")</f>
        <v/>
      </c>
      <c r="S1113" s="2">
        <f>TEXT(DATEVALUE(B1113),"yyyy-mm")</f>
        <v/>
      </c>
    </row>
    <row r="1114">
      <c r="A1114" s="2" t="inlineStr">
        <is>
          <t>O004258</t>
        </is>
      </c>
      <c r="B1114" s="2" t="inlineStr">
        <is>
          <t>2025-03-24</t>
        </is>
      </c>
      <c r="C1114" s="2" t="inlineStr">
        <is>
          <t>C0734</t>
        </is>
      </c>
      <c r="D1114" s="2" t="inlineStr">
        <is>
          <t>P0025</t>
        </is>
      </c>
      <c r="E1114" s="2" t="inlineStr">
        <is>
          <t>Perfume</t>
        </is>
      </c>
      <c r="F1114" s="2" t="inlineStr">
        <is>
          <t>Beauty</t>
        </is>
      </c>
      <c r="G1114" s="2" t="inlineStr">
        <is>
          <t>South</t>
        </is>
      </c>
      <c r="H1114" s="2" t="inlineStr">
        <is>
          <t>Kerala</t>
        </is>
      </c>
      <c r="I1114" s="2" t="inlineStr">
        <is>
          <t>Kochi</t>
        </is>
      </c>
      <c r="J1114" s="2" t="inlineStr">
        <is>
          <t>Store</t>
        </is>
      </c>
      <c r="K1114" s="2" t="n">
        <v>2</v>
      </c>
      <c r="L1114" s="3" t="n">
        <v>795.1799999999999</v>
      </c>
      <c r="M1114" s="4" t="n">
        <v>0.05</v>
      </c>
      <c r="N1114" s="3" t="n">
        <v>1184.22</v>
      </c>
      <c r="O1114" s="3">
        <f>K1114*L1114*(1-M1114)</f>
        <v/>
      </c>
      <c r="P1114" s="3">
        <f>O1114-N1114</f>
        <v/>
      </c>
      <c r="Q1114" s="5">
        <f>IFERROR(P1114/O1114,0)</f>
        <v/>
      </c>
      <c r="R1114" s="2">
        <f>TEXT(DATEVALUE(B1114),"mmm")</f>
        <v/>
      </c>
      <c r="S1114" s="2">
        <f>TEXT(DATEVALUE(B1114),"yyyy-mm")</f>
        <v/>
      </c>
    </row>
    <row r="1115">
      <c r="A1115" s="2" t="inlineStr">
        <is>
          <t>O003120</t>
        </is>
      </c>
      <c r="B1115" s="2" t="inlineStr">
        <is>
          <t>2025-03-24</t>
        </is>
      </c>
      <c r="C1115" s="2" t="inlineStr">
        <is>
          <t>C0628</t>
        </is>
      </c>
      <c r="D1115" s="2" t="inlineStr">
        <is>
          <t>P0031</t>
        </is>
      </c>
      <c r="E1115" s="2" t="inlineStr">
        <is>
          <t>Cricket Bat</t>
        </is>
      </c>
      <c r="F1115" s="2" t="inlineStr">
        <is>
          <t>Sports</t>
        </is>
      </c>
      <c r="G1115" s="2" t="inlineStr">
        <is>
          <t>South</t>
        </is>
      </c>
      <c r="H1115" s="2" t="inlineStr">
        <is>
          <t>Kerala</t>
        </is>
      </c>
      <c r="I1115" s="2" t="inlineStr">
        <is>
          <t>Kochi</t>
        </is>
      </c>
      <c r="J1115" s="2" t="inlineStr">
        <is>
          <t>Online</t>
        </is>
      </c>
      <c r="K1115" s="2" t="n">
        <v>1</v>
      </c>
      <c r="L1115" s="3" t="n">
        <v>1369.36</v>
      </c>
      <c r="M1115" s="4" t="n">
        <v>0.1</v>
      </c>
      <c r="N1115" s="3" t="n">
        <v>945.1</v>
      </c>
      <c r="O1115" s="3">
        <f>K1115*L1115*(1-M1115)</f>
        <v/>
      </c>
      <c r="P1115" s="3">
        <f>O1115-N1115</f>
        <v/>
      </c>
      <c r="Q1115" s="5">
        <f>IFERROR(P1115/O1115,0)</f>
        <v/>
      </c>
      <c r="R1115" s="2">
        <f>TEXT(DATEVALUE(B1115),"mmm")</f>
        <v/>
      </c>
      <c r="S1115" s="2">
        <f>TEXT(DATEVALUE(B1115),"yyyy-mm")</f>
        <v/>
      </c>
    </row>
    <row r="1116">
      <c r="A1116" s="2" t="inlineStr">
        <is>
          <t>O002440</t>
        </is>
      </c>
      <c r="B1116" s="2" t="inlineStr">
        <is>
          <t>2025-03-24</t>
        </is>
      </c>
      <c r="C1116" s="2" t="inlineStr">
        <is>
          <t>C0246</t>
        </is>
      </c>
      <c r="D1116" s="2" t="inlineStr">
        <is>
          <t>P0014</t>
        </is>
      </c>
      <c r="E1116" s="2" t="inlineStr">
        <is>
          <t>Coffee Maker</t>
        </is>
      </c>
      <c r="F1116" s="2" t="inlineStr">
        <is>
          <t>Home &amp; Kitchen</t>
        </is>
      </c>
      <c r="G1116" s="2" t="inlineStr">
        <is>
          <t>North</t>
        </is>
      </c>
      <c r="H1116" s="2" t="inlineStr">
        <is>
          <t>Uttar Pradesh</t>
        </is>
      </c>
      <c r="I1116" s="2" t="inlineStr">
        <is>
          <t>Varanasi</t>
        </is>
      </c>
      <c r="J1116" s="2" t="inlineStr">
        <is>
          <t>Online</t>
        </is>
      </c>
      <c r="K1116" s="2" t="n">
        <v>3</v>
      </c>
      <c r="L1116" s="3" t="n">
        <v>1028.67</v>
      </c>
      <c r="M1116" s="4" t="n">
        <v>0.15</v>
      </c>
      <c r="N1116" s="3" t="n">
        <v>2224.42</v>
      </c>
      <c r="O1116" s="3">
        <f>K1116*L1116*(1-M1116)</f>
        <v/>
      </c>
      <c r="P1116" s="3">
        <f>O1116-N1116</f>
        <v/>
      </c>
      <c r="Q1116" s="5">
        <f>IFERROR(P1116/O1116,0)</f>
        <v/>
      </c>
      <c r="R1116" s="2">
        <f>TEXT(DATEVALUE(B1116),"mmm")</f>
        <v/>
      </c>
      <c r="S1116" s="2">
        <f>TEXT(DATEVALUE(B1116),"yyyy-mm")</f>
        <v/>
      </c>
    </row>
    <row r="1117">
      <c r="A1117" s="2" t="inlineStr">
        <is>
          <t>O000932</t>
        </is>
      </c>
      <c r="B1117" s="2" t="inlineStr">
        <is>
          <t>2025-03-24</t>
        </is>
      </c>
      <c r="C1117" s="2" t="inlineStr">
        <is>
          <t>C0590</t>
        </is>
      </c>
      <c r="D1117" s="2" t="inlineStr">
        <is>
          <t>P0007</t>
        </is>
      </c>
      <c r="E1117" s="2" t="inlineStr">
        <is>
          <t>Wireless Mouse</t>
        </is>
      </c>
      <c r="F1117" s="2" t="inlineStr">
        <is>
          <t>Electronics</t>
        </is>
      </c>
      <c r="G1117" s="2" t="inlineStr">
        <is>
          <t>South</t>
        </is>
      </c>
      <c r="H1117" s="2" t="inlineStr">
        <is>
          <t>Karnataka</t>
        </is>
      </c>
      <c r="I1117" s="2" t="inlineStr">
        <is>
          <t>Mangaluru</t>
        </is>
      </c>
      <c r="J1117" s="2" t="inlineStr">
        <is>
          <t>Online</t>
        </is>
      </c>
      <c r="K1117" s="2" t="n">
        <v>2</v>
      </c>
      <c r="L1117" s="3" t="n">
        <v>954.71</v>
      </c>
      <c r="M1117" s="4" t="n">
        <v>0.05</v>
      </c>
      <c r="N1117" s="3" t="n">
        <v>1206.52</v>
      </c>
      <c r="O1117" s="3">
        <f>K1117*L1117*(1-M1117)</f>
        <v/>
      </c>
      <c r="P1117" s="3">
        <f>O1117-N1117</f>
        <v/>
      </c>
      <c r="Q1117" s="5">
        <f>IFERROR(P1117/O1117,0)</f>
        <v/>
      </c>
      <c r="R1117" s="2">
        <f>TEXT(DATEVALUE(B1117),"mmm")</f>
        <v/>
      </c>
      <c r="S1117" s="2">
        <f>TEXT(DATEVALUE(B1117),"yyyy-mm")</f>
        <v/>
      </c>
    </row>
    <row r="1118">
      <c r="A1118" s="2" t="inlineStr">
        <is>
          <t>O000752</t>
        </is>
      </c>
      <c r="B1118" s="2" t="inlineStr">
        <is>
          <t>2025-03-24</t>
        </is>
      </c>
      <c r="C1118" s="2" t="inlineStr">
        <is>
          <t>C0783</t>
        </is>
      </c>
      <c r="D1118" s="2" t="inlineStr">
        <is>
          <t>P0004</t>
        </is>
      </c>
      <c r="E1118" s="2" t="inlineStr">
        <is>
          <t>USB-C Hub</t>
        </is>
      </c>
      <c r="F1118" s="2" t="inlineStr">
        <is>
          <t>Electronics</t>
        </is>
      </c>
      <c r="G1118" s="2" t="inlineStr">
        <is>
          <t>North</t>
        </is>
      </c>
      <c r="H1118" s="2" t="inlineStr">
        <is>
          <t>Punjab</t>
        </is>
      </c>
      <c r="I1118" s="2" t="inlineStr">
        <is>
          <t>Ludhiana</t>
        </is>
      </c>
      <c r="J1118" s="2" t="inlineStr">
        <is>
          <t>Store</t>
        </is>
      </c>
      <c r="K1118" s="2" t="n">
        <v>2</v>
      </c>
      <c r="L1118" s="3" t="n">
        <v>1255.73</v>
      </c>
      <c r="M1118" s="4" t="n">
        <v>0</v>
      </c>
      <c r="N1118" s="3" t="n">
        <v>1863.61</v>
      </c>
      <c r="O1118" s="3">
        <f>K1118*L1118*(1-M1118)</f>
        <v/>
      </c>
      <c r="P1118" s="3">
        <f>O1118-N1118</f>
        <v/>
      </c>
      <c r="Q1118" s="5">
        <f>IFERROR(P1118/O1118,0)</f>
        <v/>
      </c>
      <c r="R1118" s="2">
        <f>TEXT(DATEVALUE(B1118),"mmm")</f>
        <v/>
      </c>
      <c r="S1118" s="2">
        <f>TEXT(DATEVALUE(B1118),"yyyy-mm")</f>
        <v/>
      </c>
    </row>
    <row r="1119">
      <c r="A1119" s="2" t="inlineStr">
        <is>
          <t>O003610</t>
        </is>
      </c>
      <c r="B1119" s="2" t="inlineStr">
        <is>
          <t>2025-03-24</t>
        </is>
      </c>
      <c r="C1119" s="2" t="inlineStr">
        <is>
          <t>C0118</t>
        </is>
      </c>
      <c r="D1119" s="2" t="inlineStr">
        <is>
          <t>P0017</t>
        </is>
      </c>
      <c r="E1119" s="2" t="inlineStr">
        <is>
          <t>Jeans</t>
        </is>
      </c>
      <c r="F1119" s="2" t="inlineStr">
        <is>
          <t>Fashion</t>
        </is>
      </c>
      <c r="G1119" s="2" t="inlineStr">
        <is>
          <t>South</t>
        </is>
      </c>
      <c r="H1119" s="2" t="inlineStr">
        <is>
          <t>Karnataka</t>
        </is>
      </c>
      <c r="I1119" s="2" t="inlineStr">
        <is>
          <t>Mysuru</t>
        </is>
      </c>
      <c r="J1119" s="2" t="inlineStr">
        <is>
          <t>Online</t>
        </is>
      </c>
      <c r="K1119" s="2" t="n">
        <v>2</v>
      </c>
      <c r="L1119" s="3" t="n">
        <v>1552.47</v>
      </c>
      <c r="M1119" s="4" t="n">
        <v>0.05</v>
      </c>
      <c r="N1119" s="3" t="n">
        <v>1983.86</v>
      </c>
      <c r="O1119" s="3">
        <f>K1119*L1119*(1-M1119)</f>
        <v/>
      </c>
      <c r="P1119" s="3">
        <f>O1119-N1119</f>
        <v/>
      </c>
      <c r="Q1119" s="5">
        <f>IFERROR(P1119/O1119,0)</f>
        <v/>
      </c>
      <c r="R1119" s="2">
        <f>TEXT(DATEVALUE(B1119),"mmm")</f>
        <v/>
      </c>
      <c r="S1119" s="2">
        <f>TEXT(DATEVALUE(B1119),"yyyy-mm")</f>
        <v/>
      </c>
    </row>
    <row r="1120">
      <c r="A1120" s="2" t="inlineStr">
        <is>
          <t>O003112</t>
        </is>
      </c>
      <c r="B1120" s="2" t="inlineStr">
        <is>
          <t>2025-03-25</t>
        </is>
      </c>
      <c r="C1120" s="2" t="inlineStr">
        <is>
          <t>C0395</t>
        </is>
      </c>
      <c r="D1120" s="2" t="inlineStr">
        <is>
          <t>P0018</t>
        </is>
      </c>
      <c r="E1120" s="2" t="inlineStr">
        <is>
          <t>Backpack</t>
        </is>
      </c>
      <c r="F1120" s="2" t="inlineStr">
        <is>
          <t>Fashion</t>
        </is>
      </c>
      <c r="G1120" s="2" t="inlineStr">
        <is>
          <t>South</t>
        </is>
      </c>
      <c r="H1120" s="2" t="inlineStr">
        <is>
          <t>Tamil Nadu</t>
        </is>
      </c>
      <c r="I1120" s="2" t="inlineStr">
        <is>
          <t>Madurai</t>
        </is>
      </c>
      <c r="J1120" s="2" t="inlineStr">
        <is>
          <t>Online</t>
        </is>
      </c>
      <c r="K1120" s="2" t="n">
        <v>3</v>
      </c>
      <c r="L1120" s="3" t="n">
        <v>1846.36</v>
      </c>
      <c r="M1120" s="4" t="n">
        <v>0.2</v>
      </c>
      <c r="N1120" s="3" t="n">
        <v>4079.05</v>
      </c>
      <c r="O1120" s="3">
        <f>K1120*L1120*(1-M1120)</f>
        <v/>
      </c>
      <c r="P1120" s="3">
        <f>O1120-N1120</f>
        <v/>
      </c>
      <c r="Q1120" s="5">
        <f>IFERROR(P1120/O1120,0)</f>
        <v/>
      </c>
      <c r="R1120" s="2">
        <f>TEXT(DATEVALUE(B1120),"mmm")</f>
        <v/>
      </c>
      <c r="S1120" s="2">
        <f>TEXT(DATEVALUE(B1120),"yyyy-mm")</f>
        <v/>
      </c>
    </row>
    <row r="1121">
      <c r="A1121" s="2" t="inlineStr">
        <is>
          <t>O004989</t>
        </is>
      </c>
      <c r="B1121" s="2" t="inlineStr">
        <is>
          <t>2025-03-25</t>
        </is>
      </c>
      <c r="C1121" s="2" t="inlineStr">
        <is>
          <t>C0161</t>
        </is>
      </c>
      <c r="D1121" s="2" t="inlineStr">
        <is>
          <t>P0010</t>
        </is>
      </c>
      <c r="E1121" s="2" t="inlineStr">
        <is>
          <t>Mixer Grinder</t>
        </is>
      </c>
      <c r="F1121" s="2" t="inlineStr">
        <is>
          <t>Home &amp; Kitchen</t>
        </is>
      </c>
      <c r="G1121" s="2" t="inlineStr">
        <is>
          <t>South</t>
        </is>
      </c>
      <c r="H1121" s="2" t="inlineStr">
        <is>
          <t>Kerala</t>
        </is>
      </c>
      <c r="I1121" s="2" t="inlineStr">
        <is>
          <t>Kochi</t>
        </is>
      </c>
      <c r="J1121" s="2" t="inlineStr">
        <is>
          <t>Online</t>
        </is>
      </c>
      <c r="K1121" s="2" t="n">
        <v>1</v>
      </c>
      <c r="L1121" s="3" t="n">
        <v>1696.82</v>
      </c>
      <c r="M1121" s="4" t="n">
        <v>0.2</v>
      </c>
      <c r="N1121" s="3" t="n">
        <v>1072.57</v>
      </c>
      <c r="O1121" s="3">
        <f>K1121*L1121*(1-M1121)</f>
        <v/>
      </c>
      <c r="P1121" s="3">
        <f>O1121-N1121</f>
        <v/>
      </c>
      <c r="Q1121" s="5">
        <f>IFERROR(P1121/O1121,0)</f>
        <v/>
      </c>
      <c r="R1121" s="2">
        <f>TEXT(DATEVALUE(B1121),"mmm")</f>
        <v/>
      </c>
      <c r="S1121" s="2">
        <f>TEXT(DATEVALUE(B1121),"yyyy-mm")</f>
        <v/>
      </c>
    </row>
    <row r="1122">
      <c r="A1122" s="2" t="inlineStr">
        <is>
          <t>O004503</t>
        </is>
      </c>
      <c r="B1122" s="2" t="inlineStr">
        <is>
          <t>2025-03-25</t>
        </is>
      </c>
      <c r="C1122" s="2" t="inlineStr">
        <is>
          <t>C0733</t>
        </is>
      </c>
      <c r="D1122" s="2" t="inlineStr">
        <is>
          <t>P0011</t>
        </is>
      </c>
      <c r="E1122" s="2" t="inlineStr">
        <is>
          <t>Cookware Set</t>
        </is>
      </c>
      <c r="F1122" s="2" t="inlineStr">
        <is>
          <t>Home &amp; Kitchen</t>
        </is>
      </c>
      <c r="G1122" s="2" t="inlineStr">
        <is>
          <t>South</t>
        </is>
      </c>
      <c r="H1122" s="2" t="inlineStr">
        <is>
          <t>Karnataka</t>
        </is>
      </c>
      <c r="I1122" s="2" t="inlineStr">
        <is>
          <t>Bengaluru</t>
        </is>
      </c>
      <c r="J1122" s="2" t="inlineStr">
        <is>
          <t>Store</t>
        </is>
      </c>
      <c r="K1122" s="2" t="n">
        <v>2</v>
      </c>
      <c r="L1122" s="3" t="n">
        <v>724.78</v>
      </c>
      <c r="M1122" s="4" t="n">
        <v>0.1</v>
      </c>
      <c r="N1122" s="3" t="n">
        <v>970.01</v>
      </c>
      <c r="O1122" s="3">
        <f>K1122*L1122*(1-M1122)</f>
        <v/>
      </c>
      <c r="P1122" s="3">
        <f>O1122-N1122</f>
        <v/>
      </c>
      <c r="Q1122" s="5">
        <f>IFERROR(P1122/O1122,0)</f>
        <v/>
      </c>
      <c r="R1122" s="2">
        <f>TEXT(DATEVALUE(B1122),"mmm")</f>
        <v/>
      </c>
      <c r="S1122" s="2">
        <f>TEXT(DATEVALUE(B1122),"yyyy-mm")</f>
        <v/>
      </c>
    </row>
    <row r="1123">
      <c r="A1123" s="2" t="inlineStr">
        <is>
          <t>O004339</t>
        </is>
      </c>
      <c r="B1123" s="2" t="inlineStr">
        <is>
          <t>2025-03-25</t>
        </is>
      </c>
      <c r="C1123" s="2" t="inlineStr">
        <is>
          <t>C0365</t>
        </is>
      </c>
      <c r="D1123" s="2" t="inlineStr">
        <is>
          <t>P0014</t>
        </is>
      </c>
      <c r="E1123" s="2" t="inlineStr">
        <is>
          <t>Coffee Maker</t>
        </is>
      </c>
      <c r="F1123" s="2" t="inlineStr">
        <is>
          <t>Home &amp; Kitchen</t>
        </is>
      </c>
      <c r="G1123" s="2" t="inlineStr">
        <is>
          <t>North</t>
        </is>
      </c>
      <c r="H1123" s="2" t="inlineStr">
        <is>
          <t>Haryana</t>
        </is>
      </c>
      <c r="I1123" s="2" t="inlineStr">
        <is>
          <t>Gurugram</t>
        </is>
      </c>
      <c r="J1123" s="2" t="inlineStr">
        <is>
          <t>Store</t>
        </is>
      </c>
      <c r="K1123" s="2" t="n">
        <v>1</v>
      </c>
      <c r="L1123" s="3" t="n">
        <v>1067.58</v>
      </c>
      <c r="M1123" s="4" t="n">
        <v>0.05</v>
      </c>
      <c r="N1123" s="3" t="n">
        <v>758.46</v>
      </c>
      <c r="O1123" s="3">
        <f>K1123*L1123*(1-M1123)</f>
        <v/>
      </c>
      <c r="P1123" s="3">
        <f>O1123-N1123</f>
        <v/>
      </c>
      <c r="Q1123" s="5">
        <f>IFERROR(P1123/O1123,0)</f>
        <v/>
      </c>
      <c r="R1123" s="2">
        <f>TEXT(DATEVALUE(B1123),"mmm")</f>
        <v/>
      </c>
      <c r="S1123" s="2">
        <f>TEXT(DATEVALUE(B1123),"yyyy-mm")</f>
        <v/>
      </c>
    </row>
    <row r="1124">
      <c r="A1124" s="2" t="inlineStr">
        <is>
          <t>O004287</t>
        </is>
      </c>
      <c r="B1124" s="2" t="inlineStr">
        <is>
          <t>2025-03-25</t>
        </is>
      </c>
      <c r="C1124" s="2" t="inlineStr">
        <is>
          <t>C0014</t>
        </is>
      </c>
      <c r="D1124" s="2" t="inlineStr">
        <is>
          <t>P0019</t>
        </is>
      </c>
      <c r="E1124" s="2" t="inlineStr">
        <is>
          <t>Jacket</t>
        </is>
      </c>
      <c r="F1124" s="2" t="inlineStr">
        <is>
          <t>Fashion</t>
        </is>
      </c>
      <c r="G1124" s="2" t="inlineStr">
        <is>
          <t>North</t>
        </is>
      </c>
      <c r="H1124" s="2" t="inlineStr">
        <is>
          <t>Punjab</t>
        </is>
      </c>
      <c r="I1124" s="2" t="inlineStr">
        <is>
          <t>Ludhiana</t>
        </is>
      </c>
      <c r="J1124" s="2" t="inlineStr">
        <is>
          <t>Online</t>
        </is>
      </c>
      <c r="K1124" s="2" t="n">
        <v>1</v>
      </c>
      <c r="L1124" s="3" t="n">
        <v>1044.43</v>
      </c>
      <c r="M1124" s="4" t="n">
        <v>0.1</v>
      </c>
      <c r="N1124" s="3" t="n">
        <v>682.58</v>
      </c>
      <c r="O1124" s="3">
        <f>K1124*L1124*(1-M1124)</f>
        <v/>
      </c>
      <c r="P1124" s="3">
        <f>O1124-N1124</f>
        <v/>
      </c>
      <c r="Q1124" s="5">
        <f>IFERROR(P1124/O1124,0)</f>
        <v/>
      </c>
      <c r="R1124" s="2">
        <f>TEXT(DATEVALUE(B1124),"mmm")</f>
        <v/>
      </c>
      <c r="S1124" s="2">
        <f>TEXT(DATEVALUE(B1124),"yyyy-mm")</f>
        <v/>
      </c>
    </row>
    <row r="1125">
      <c r="A1125" s="2" t="inlineStr">
        <is>
          <t>O003988</t>
        </is>
      </c>
      <c r="B1125" s="2" t="inlineStr">
        <is>
          <t>2025-03-25</t>
        </is>
      </c>
      <c r="C1125" s="2" t="inlineStr">
        <is>
          <t>C0799</t>
        </is>
      </c>
      <c r="D1125" s="2" t="inlineStr">
        <is>
          <t>P0035</t>
        </is>
      </c>
      <c r="E1125" s="2" t="inlineStr">
        <is>
          <t>Skipping Rope</t>
        </is>
      </c>
      <c r="F1125" s="2" t="inlineStr">
        <is>
          <t>Sports</t>
        </is>
      </c>
      <c r="G1125" s="2" t="inlineStr">
        <is>
          <t>North</t>
        </is>
      </c>
      <c r="H1125" s="2" t="inlineStr">
        <is>
          <t>Haryana</t>
        </is>
      </c>
      <c r="I1125" s="2" t="inlineStr">
        <is>
          <t>Faridabad</t>
        </is>
      </c>
      <c r="J1125" s="2" t="inlineStr">
        <is>
          <t>Online</t>
        </is>
      </c>
      <c r="K1125" s="2" t="n">
        <v>1</v>
      </c>
      <c r="L1125" s="3" t="n">
        <v>737.22</v>
      </c>
      <c r="M1125" s="4" t="n">
        <v>0.25</v>
      </c>
      <c r="N1125" s="3" t="n">
        <v>398.15</v>
      </c>
      <c r="O1125" s="3">
        <f>K1125*L1125*(1-M1125)</f>
        <v/>
      </c>
      <c r="P1125" s="3">
        <f>O1125-N1125</f>
        <v/>
      </c>
      <c r="Q1125" s="5">
        <f>IFERROR(P1125/O1125,0)</f>
        <v/>
      </c>
      <c r="R1125" s="2">
        <f>TEXT(DATEVALUE(B1125),"mmm")</f>
        <v/>
      </c>
      <c r="S1125" s="2">
        <f>TEXT(DATEVALUE(B1125),"yyyy-mm")</f>
        <v/>
      </c>
    </row>
    <row r="1126">
      <c r="A1126" s="2" t="inlineStr">
        <is>
          <t>O003909</t>
        </is>
      </c>
      <c r="B1126" s="2" t="inlineStr">
        <is>
          <t>2025-03-25</t>
        </is>
      </c>
      <c r="C1126" s="2" t="inlineStr">
        <is>
          <t>C0600</t>
        </is>
      </c>
      <c r="D1126" s="2" t="inlineStr">
        <is>
          <t>P0021</t>
        </is>
      </c>
      <c r="E1126" s="2" t="inlineStr">
        <is>
          <t>Wallet</t>
        </is>
      </c>
      <c r="F1126" s="2" t="inlineStr">
        <is>
          <t>Fashion</t>
        </is>
      </c>
      <c r="G1126" s="2" t="inlineStr">
        <is>
          <t>South</t>
        </is>
      </c>
      <c r="H1126" s="2" t="inlineStr">
        <is>
          <t>Telangana</t>
        </is>
      </c>
      <c r="I1126" s="2" t="inlineStr">
        <is>
          <t>Warangal</t>
        </is>
      </c>
      <c r="J1126" s="2" t="inlineStr">
        <is>
          <t>Online</t>
        </is>
      </c>
      <c r="K1126" s="2" t="n">
        <v>4</v>
      </c>
      <c r="L1126" s="3" t="n">
        <v>1964.25</v>
      </c>
      <c r="M1126" s="4" t="n">
        <v>0.1</v>
      </c>
      <c r="N1126" s="3" t="n">
        <v>4889.75</v>
      </c>
      <c r="O1126" s="3">
        <f>K1126*L1126*(1-M1126)</f>
        <v/>
      </c>
      <c r="P1126" s="3">
        <f>O1126-N1126</f>
        <v/>
      </c>
      <c r="Q1126" s="5">
        <f>IFERROR(P1126/O1126,0)</f>
        <v/>
      </c>
      <c r="R1126" s="2">
        <f>TEXT(DATEVALUE(B1126),"mmm")</f>
        <v/>
      </c>
      <c r="S1126" s="2">
        <f>TEXT(DATEVALUE(B1126),"yyyy-mm")</f>
        <v/>
      </c>
    </row>
    <row r="1127">
      <c r="A1127" s="2" t="inlineStr">
        <is>
          <t>O003328</t>
        </is>
      </c>
      <c r="B1127" s="2" t="inlineStr">
        <is>
          <t>2025-03-25</t>
        </is>
      </c>
      <c r="C1127" s="2" t="inlineStr">
        <is>
          <t>C0750</t>
        </is>
      </c>
      <c r="D1127" s="2" t="inlineStr">
        <is>
          <t>P0013</t>
        </is>
      </c>
      <c r="E1127" s="2" t="inlineStr">
        <is>
          <t>Storage Organizer</t>
        </is>
      </c>
      <c r="F1127" s="2" t="inlineStr">
        <is>
          <t>Home &amp; Kitchen</t>
        </is>
      </c>
      <c r="G1127" s="2" t="inlineStr">
        <is>
          <t>South</t>
        </is>
      </c>
      <c r="H1127" s="2" t="inlineStr">
        <is>
          <t>Tamil Nadu</t>
        </is>
      </c>
      <c r="I1127" s="2" t="inlineStr">
        <is>
          <t>Chennai</t>
        </is>
      </c>
      <c r="J1127" s="2" t="inlineStr">
        <is>
          <t>Store</t>
        </is>
      </c>
      <c r="K1127" s="2" t="n">
        <v>5</v>
      </c>
      <c r="L1127" s="3" t="n">
        <v>562.58</v>
      </c>
      <c r="M1127" s="4" t="n">
        <v>0.2</v>
      </c>
      <c r="N1127" s="3" t="n">
        <v>1796.62</v>
      </c>
      <c r="O1127" s="3">
        <f>K1127*L1127*(1-M1127)</f>
        <v/>
      </c>
      <c r="P1127" s="3">
        <f>O1127-N1127</f>
        <v/>
      </c>
      <c r="Q1127" s="5">
        <f>IFERROR(P1127/O1127,0)</f>
        <v/>
      </c>
      <c r="R1127" s="2">
        <f>TEXT(DATEVALUE(B1127),"mmm")</f>
        <v/>
      </c>
      <c r="S1127" s="2">
        <f>TEXT(DATEVALUE(B1127),"yyyy-mm")</f>
        <v/>
      </c>
    </row>
    <row r="1128">
      <c r="A1128" s="2" t="inlineStr">
        <is>
          <t>O003307</t>
        </is>
      </c>
      <c r="B1128" s="2" t="inlineStr">
        <is>
          <t>2025-03-25</t>
        </is>
      </c>
      <c r="C1128" s="2" t="inlineStr">
        <is>
          <t>C0393</t>
        </is>
      </c>
      <c r="D1128" s="2" t="inlineStr">
        <is>
          <t>P0014</t>
        </is>
      </c>
      <c r="E1128" s="2" t="inlineStr">
        <is>
          <t>Coffee Maker</t>
        </is>
      </c>
      <c r="F1128" s="2" t="inlineStr">
        <is>
          <t>Home &amp; Kitchen</t>
        </is>
      </c>
      <c r="G1128" s="2" t="inlineStr">
        <is>
          <t>West</t>
        </is>
      </c>
      <c r="H1128" s="2" t="inlineStr">
        <is>
          <t>Gujarat</t>
        </is>
      </c>
      <c r="I1128" s="2" t="inlineStr">
        <is>
          <t>Vadodara</t>
        </is>
      </c>
      <c r="J1128" s="2" t="inlineStr">
        <is>
          <t>Online</t>
        </is>
      </c>
      <c r="K1128" s="2" t="n">
        <v>1</v>
      </c>
      <c r="L1128" s="3" t="n">
        <v>1000.72</v>
      </c>
      <c r="M1128" s="4" t="n">
        <v>0.1</v>
      </c>
      <c r="N1128" s="3" t="n">
        <v>783.4400000000001</v>
      </c>
      <c r="O1128" s="3">
        <f>K1128*L1128*(1-M1128)</f>
        <v/>
      </c>
      <c r="P1128" s="3">
        <f>O1128-N1128</f>
        <v/>
      </c>
      <c r="Q1128" s="5">
        <f>IFERROR(P1128/O1128,0)</f>
        <v/>
      </c>
      <c r="R1128" s="2">
        <f>TEXT(DATEVALUE(B1128),"mmm")</f>
        <v/>
      </c>
      <c r="S1128" s="2">
        <f>TEXT(DATEVALUE(B1128),"yyyy-mm")</f>
        <v/>
      </c>
    </row>
    <row r="1129">
      <c r="A1129" s="2" t="inlineStr">
        <is>
          <t>O002856</t>
        </is>
      </c>
      <c r="B1129" s="2" t="inlineStr">
        <is>
          <t>2025-03-25</t>
        </is>
      </c>
      <c r="C1129" s="2" t="inlineStr">
        <is>
          <t>C0728</t>
        </is>
      </c>
      <c r="D1129" s="2" t="inlineStr">
        <is>
          <t>P0004</t>
        </is>
      </c>
      <c r="E1129" s="2" t="inlineStr">
        <is>
          <t>USB-C Hub</t>
        </is>
      </c>
      <c r="F1129" s="2" t="inlineStr">
        <is>
          <t>Electronics</t>
        </is>
      </c>
      <c r="G1129" s="2" t="inlineStr">
        <is>
          <t>East</t>
        </is>
      </c>
      <c r="H1129" s="2" t="inlineStr">
        <is>
          <t>Odisha</t>
        </is>
      </c>
      <c r="I1129" s="2" t="inlineStr">
        <is>
          <t>Bhubaneswar</t>
        </is>
      </c>
      <c r="J1129" s="2" t="inlineStr">
        <is>
          <t>Online</t>
        </is>
      </c>
      <c r="K1129" s="2" t="n">
        <v>3</v>
      </c>
      <c r="L1129" s="3" t="n">
        <v>1219.4</v>
      </c>
      <c r="M1129" s="4" t="n">
        <v>0</v>
      </c>
      <c r="N1129" s="3" t="n">
        <v>2821.7</v>
      </c>
      <c r="O1129" s="3">
        <f>K1129*L1129*(1-M1129)</f>
        <v/>
      </c>
      <c r="P1129" s="3">
        <f>O1129-N1129</f>
        <v/>
      </c>
      <c r="Q1129" s="5">
        <f>IFERROR(P1129/O1129,0)</f>
        <v/>
      </c>
      <c r="R1129" s="2">
        <f>TEXT(DATEVALUE(B1129),"mmm")</f>
        <v/>
      </c>
      <c r="S1129" s="2">
        <f>TEXT(DATEVALUE(B1129),"yyyy-mm")</f>
        <v/>
      </c>
    </row>
    <row r="1130">
      <c r="A1130" s="2" t="inlineStr">
        <is>
          <t>O004085</t>
        </is>
      </c>
      <c r="B1130" s="2" t="inlineStr">
        <is>
          <t>2025-03-25</t>
        </is>
      </c>
      <c r="C1130" s="2" t="inlineStr">
        <is>
          <t>C0719</t>
        </is>
      </c>
      <c r="D1130" s="2" t="inlineStr">
        <is>
          <t>P0017</t>
        </is>
      </c>
      <c r="E1130" s="2" t="inlineStr">
        <is>
          <t>Jeans</t>
        </is>
      </c>
      <c r="F1130" s="2" t="inlineStr">
        <is>
          <t>Fashion</t>
        </is>
      </c>
      <c r="G1130" s="2" t="inlineStr">
        <is>
          <t>West</t>
        </is>
      </c>
      <c r="H1130" s="2" t="inlineStr">
        <is>
          <t>Gujarat</t>
        </is>
      </c>
      <c r="I1130" s="2" t="inlineStr">
        <is>
          <t>Ahmedabad</t>
        </is>
      </c>
      <c r="J1130" s="2" t="inlineStr">
        <is>
          <t>Online</t>
        </is>
      </c>
      <c r="K1130" s="2" t="n">
        <v>1</v>
      </c>
      <c r="L1130" s="3" t="n">
        <v>1532.85</v>
      </c>
      <c r="M1130" s="4" t="n">
        <v>0.05</v>
      </c>
      <c r="N1130" s="3" t="n">
        <v>1048.66</v>
      </c>
      <c r="O1130" s="3">
        <f>K1130*L1130*(1-M1130)</f>
        <v/>
      </c>
      <c r="P1130" s="3">
        <f>O1130-N1130</f>
        <v/>
      </c>
      <c r="Q1130" s="5">
        <f>IFERROR(P1130/O1130,0)</f>
        <v/>
      </c>
      <c r="R1130" s="2">
        <f>TEXT(DATEVALUE(B1130),"mmm")</f>
        <v/>
      </c>
      <c r="S1130" s="2">
        <f>TEXT(DATEVALUE(B1130),"yyyy-mm")</f>
        <v/>
      </c>
    </row>
    <row r="1131">
      <c r="A1131" s="2" t="inlineStr">
        <is>
          <t>O002339</t>
        </is>
      </c>
      <c r="B1131" s="2" t="inlineStr">
        <is>
          <t>2025-03-25</t>
        </is>
      </c>
      <c r="C1131" s="2" t="inlineStr">
        <is>
          <t>C0575</t>
        </is>
      </c>
      <c r="D1131" s="2" t="inlineStr">
        <is>
          <t>P0006</t>
        </is>
      </c>
      <c r="E1131" s="2" t="inlineStr">
        <is>
          <t>Mechanical Keyboard</t>
        </is>
      </c>
      <c r="F1131" s="2" t="inlineStr">
        <is>
          <t>Electronics</t>
        </is>
      </c>
      <c r="G1131" s="2" t="inlineStr">
        <is>
          <t>West</t>
        </is>
      </c>
      <c r="H1131" s="2" t="inlineStr">
        <is>
          <t>Gujarat</t>
        </is>
      </c>
      <c r="I1131" s="2" t="inlineStr">
        <is>
          <t>Surat</t>
        </is>
      </c>
      <c r="J1131" s="2" t="inlineStr">
        <is>
          <t>Store</t>
        </is>
      </c>
      <c r="K1131" s="2" t="n">
        <v>5</v>
      </c>
      <c r="L1131" s="3" t="n">
        <v>2736.7</v>
      </c>
      <c r="M1131" s="4" t="n">
        <v>0</v>
      </c>
      <c r="N1131" s="3" t="n">
        <v>7159</v>
      </c>
      <c r="O1131" s="3">
        <f>K1131*L1131*(1-M1131)</f>
        <v/>
      </c>
      <c r="P1131" s="3">
        <f>O1131-N1131</f>
        <v/>
      </c>
      <c r="Q1131" s="5">
        <f>IFERROR(P1131/O1131,0)</f>
        <v/>
      </c>
      <c r="R1131" s="2">
        <f>TEXT(DATEVALUE(B1131),"mmm")</f>
        <v/>
      </c>
      <c r="S1131" s="2">
        <f>TEXT(DATEVALUE(B1131),"yyyy-mm")</f>
        <v/>
      </c>
    </row>
    <row r="1132">
      <c r="A1132" s="2" t="inlineStr">
        <is>
          <t>O002191</t>
        </is>
      </c>
      <c r="B1132" s="2" t="inlineStr">
        <is>
          <t>2025-03-25</t>
        </is>
      </c>
      <c r="C1132" s="2" t="inlineStr">
        <is>
          <t>C0555</t>
        </is>
      </c>
      <c r="D1132" s="2" t="inlineStr">
        <is>
          <t>P0030</t>
        </is>
      </c>
      <c r="E1132" s="2" t="inlineStr">
        <is>
          <t>Dumbbells</t>
        </is>
      </c>
      <c r="F1132" s="2" t="inlineStr">
        <is>
          <t>Sports</t>
        </is>
      </c>
      <c r="G1132" s="2" t="inlineStr">
        <is>
          <t>South</t>
        </is>
      </c>
      <c r="H1132" s="2" t="inlineStr">
        <is>
          <t>Kerala</t>
        </is>
      </c>
      <c r="I1132" s="2" t="inlineStr">
        <is>
          <t>Kochi</t>
        </is>
      </c>
      <c r="J1132" s="2" t="inlineStr">
        <is>
          <t>Online</t>
        </is>
      </c>
      <c r="K1132" s="2" t="n">
        <v>2</v>
      </c>
      <c r="L1132" s="3" t="n">
        <v>1615.82</v>
      </c>
      <c r="M1132" s="4" t="n">
        <v>0.05</v>
      </c>
      <c r="N1132" s="3" t="n">
        <v>2121.81</v>
      </c>
      <c r="O1132" s="3">
        <f>K1132*L1132*(1-M1132)</f>
        <v/>
      </c>
      <c r="P1132" s="3">
        <f>O1132-N1132</f>
        <v/>
      </c>
      <c r="Q1132" s="5">
        <f>IFERROR(P1132/O1132,0)</f>
        <v/>
      </c>
      <c r="R1132" s="2">
        <f>TEXT(DATEVALUE(B1132),"mmm")</f>
        <v/>
      </c>
      <c r="S1132" s="2">
        <f>TEXT(DATEVALUE(B1132),"yyyy-mm")</f>
        <v/>
      </c>
    </row>
    <row r="1133">
      <c r="A1133" s="2" t="inlineStr">
        <is>
          <t>O001958</t>
        </is>
      </c>
      <c r="B1133" s="2" t="inlineStr">
        <is>
          <t>2025-03-25</t>
        </is>
      </c>
      <c r="C1133" s="2" t="inlineStr">
        <is>
          <t>C0065</t>
        </is>
      </c>
      <c r="D1133" s="2" t="inlineStr">
        <is>
          <t>P0021</t>
        </is>
      </c>
      <c r="E1133" s="2" t="inlineStr">
        <is>
          <t>Wallet</t>
        </is>
      </c>
      <c r="F1133" s="2" t="inlineStr">
        <is>
          <t>Fashion</t>
        </is>
      </c>
      <c r="G1133" s="2" t="inlineStr">
        <is>
          <t>East</t>
        </is>
      </c>
      <c r="H1133" s="2" t="inlineStr">
        <is>
          <t>West Bengal</t>
        </is>
      </c>
      <c r="I1133" s="2" t="inlineStr">
        <is>
          <t>Kolkata</t>
        </is>
      </c>
      <c r="J1133" s="2" t="inlineStr">
        <is>
          <t>Online</t>
        </is>
      </c>
      <c r="K1133" s="2" t="n">
        <v>1</v>
      </c>
      <c r="L1133" s="3" t="n">
        <v>2006.09</v>
      </c>
      <c r="M1133" s="4" t="n">
        <v>0</v>
      </c>
      <c r="N1133" s="3" t="n">
        <v>1241.2</v>
      </c>
      <c r="O1133" s="3">
        <f>K1133*L1133*(1-M1133)</f>
        <v/>
      </c>
      <c r="P1133" s="3">
        <f>O1133-N1133</f>
        <v/>
      </c>
      <c r="Q1133" s="5">
        <f>IFERROR(P1133/O1133,0)</f>
        <v/>
      </c>
      <c r="R1133" s="2">
        <f>TEXT(DATEVALUE(B1133),"mmm")</f>
        <v/>
      </c>
      <c r="S1133" s="2">
        <f>TEXT(DATEVALUE(B1133),"yyyy-mm")</f>
        <v/>
      </c>
    </row>
    <row r="1134">
      <c r="A1134" s="2" t="inlineStr">
        <is>
          <t>O001861</t>
        </is>
      </c>
      <c r="B1134" s="2" t="inlineStr">
        <is>
          <t>2025-03-25</t>
        </is>
      </c>
      <c r="C1134" s="2" t="inlineStr">
        <is>
          <t>C0016</t>
        </is>
      </c>
      <c r="D1134" s="2" t="inlineStr">
        <is>
          <t>P0016</t>
        </is>
      </c>
      <c r="E1134" s="2" t="inlineStr">
        <is>
          <t>Casual Shirt</t>
        </is>
      </c>
      <c r="F1134" s="2" t="inlineStr">
        <is>
          <t>Fashion</t>
        </is>
      </c>
      <c r="G1134" s="2" t="inlineStr">
        <is>
          <t>North</t>
        </is>
      </c>
      <c r="H1134" s="2" t="inlineStr">
        <is>
          <t>Delhi</t>
        </is>
      </c>
      <c r="I1134" s="2" t="inlineStr">
        <is>
          <t>New Delhi</t>
        </is>
      </c>
      <c r="J1134" s="2" t="inlineStr">
        <is>
          <t>Online</t>
        </is>
      </c>
      <c r="K1134" s="2" t="n">
        <v>3</v>
      </c>
      <c r="L1134" s="3" t="n">
        <v>1247.1</v>
      </c>
      <c r="M1134" s="4" t="n">
        <v>0.15</v>
      </c>
      <c r="N1134" s="3" t="n">
        <v>2629.41</v>
      </c>
      <c r="O1134" s="3">
        <f>K1134*L1134*(1-M1134)</f>
        <v/>
      </c>
      <c r="P1134" s="3">
        <f>O1134-N1134</f>
        <v/>
      </c>
      <c r="Q1134" s="5">
        <f>IFERROR(P1134/O1134,0)</f>
        <v/>
      </c>
      <c r="R1134" s="2">
        <f>TEXT(DATEVALUE(B1134),"mmm")</f>
        <v/>
      </c>
      <c r="S1134" s="2">
        <f>TEXT(DATEVALUE(B1134),"yyyy-mm")</f>
        <v/>
      </c>
    </row>
    <row r="1135">
      <c r="A1135" s="2" t="inlineStr">
        <is>
          <t>O001856</t>
        </is>
      </c>
      <c r="B1135" s="2" t="inlineStr">
        <is>
          <t>2025-03-25</t>
        </is>
      </c>
      <c r="C1135" s="2" t="inlineStr">
        <is>
          <t>C0550</t>
        </is>
      </c>
      <c r="D1135" s="2" t="inlineStr">
        <is>
          <t>P0003</t>
        </is>
      </c>
      <c r="E1135" s="2" t="inlineStr">
        <is>
          <t>Smartwatch</t>
        </is>
      </c>
      <c r="F1135" s="2" t="inlineStr">
        <is>
          <t>Electronics</t>
        </is>
      </c>
      <c r="G1135" s="2" t="inlineStr">
        <is>
          <t>West</t>
        </is>
      </c>
      <c r="H1135" s="2" t="inlineStr">
        <is>
          <t>Gujarat</t>
        </is>
      </c>
      <c r="I1135" s="2" t="inlineStr">
        <is>
          <t>Surat</t>
        </is>
      </c>
      <c r="J1135" s="2" t="inlineStr">
        <is>
          <t>Online</t>
        </is>
      </c>
      <c r="K1135" s="2" t="n">
        <v>4</v>
      </c>
      <c r="L1135" s="3" t="n">
        <v>2345.87</v>
      </c>
      <c r="M1135" s="4" t="n">
        <v>0</v>
      </c>
      <c r="N1135" s="3" t="n">
        <v>4750.34</v>
      </c>
      <c r="O1135" s="3">
        <f>K1135*L1135*(1-M1135)</f>
        <v/>
      </c>
      <c r="P1135" s="3">
        <f>O1135-N1135</f>
        <v/>
      </c>
      <c r="Q1135" s="5">
        <f>IFERROR(P1135/O1135,0)</f>
        <v/>
      </c>
      <c r="R1135" s="2">
        <f>TEXT(DATEVALUE(B1135),"mmm")</f>
        <v/>
      </c>
      <c r="S1135" s="2">
        <f>TEXT(DATEVALUE(B1135),"yyyy-mm")</f>
        <v/>
      </c>
    </row>
    <row r="1136">
      <c r="A1136" s="2" t="inlineStr">
        <is>
          <t>O001744</t>
        </is>
      </c>
      <c r="B1136" s="2" t="inlineStr">
        <is>
          <t>2025-03-25</t>
        </is>
      </c>
      <c r="C1136" s="2" t="inlineStr">
        <is>
          <t>C0578</t>
        </is>
      </c>
      <c r="D1136" s="2" t="inlineStr">
        <is>
          <t>P0028</t>
        </is>
      </c>
      <c r="E1136" s="2" t="inlineStr">
        <is>
          <t>Trimmer</t>
        </is>
      </c>
      <c r="F1136" s="2" t="inlineStr">
        <is>
          <t>Beauty</t>
        </is>
      </c>
      <c r="G1136" s="2" t="inlineStr">
        <is>
          <t>East</t>
        </is>
      </c>
      <c r="H1136" s="2" t="inlineStr">
        <is>
          <t>Odisha</t>
        </is>
      </c>
      <c r="I1136" s="2" t="inlineStr">
        <is>
          <t>Cuttack</t>
        </is>
      </c>
      <c r="J1136" s="2" t="inlineStr">
        <is>
          <t>Store</t>
        </is>
      </c>
      <c r="K1136" s="2" t="n">
        <v>2</v>
      </c>
      <c r="L1136" s="3" t="n">
        <v>437.92</v>
      </c>
      <c r="M1136" s="4" t="n">
        <v>0.1</v>
      </c>
      <c r="N1136" s="3" t="n">
        <v>517.9400000000001</v>
      </c>
      <c r="O1136" s="3">
        <f>K1136*L1136*(1-M1136)</f>
        <v/>
      </c>
      <c r="P1136" s="3">
        <f>O1136-N1136</f>
        <v/>
      </c>
      <c r="Q1136" s="5">
        <f>IFERROR(P1136/O1136,0)</f>
        <v/>
      </c>
      <c r="R1136" s="2">
        <f>TEXT(DATEVALUE(B1136),"mmm")</f>
        <v/>
      </c>
      <c r="S1136" s="2">
        <f>TEXT(DATEVALUE(B1136),"yyyy-mm")</f>
        <v/>
      </c>
    </row>
    <row r="1137">
      <c r="A1137" s="2" t="inlineStr">
        <is>
          <t>O002832</t>
        </is>
      </c>
      <c r="B1137" s="2" t="inlineStr">
        <is>
          <t>2025-03-25</t>
        </is>
      </c>
      <c r="C1137" s="2" t="inlineStr">
        <is>
          <t>C0350</t>
        </is>
      </c>
      <c r="D1137" s="2" t="inlineStr">
        <is>
          <t>P0005</t>
        </is>
      </c>
      <c r="E1137" s="2" t="inlineStr">
        <is>
          <t>Power Bank</t>
        </is>
      </c>
      <c r="F1137" s="2" t="inlineStr">
        <is>
          <t>Electronics</t>
        </is>
      </c>
      <c r="G1137" s="2" t="inlineStr">
        <is>
          <t>South</t>
        </is>
      </c>
      <c r="H1137" s="2" t="inlineStr">
        <is>
          <t>Tamil Nadu</t>
        </is>
      </c>
      <c r="I1137" s="2" t="inlineStr">
        <is>
          <t>Madurai</t>
        </is>
      </c>
      <c r="J1137" s="2" t="inlineStr">
        <is>
          <t>Online</t>
        </is>
      </c>
      <c r="K1137" s="2" t="n">
        <v>1</v>
      </c>
      <c r="L1137" s="3" t="n">
        <v>1157.25</v>
      </c>
      <c r="M1137" s="4" t="n">
        <v>0.05</v>
      </c>
      <c r="N1137" s="3" t="n">
        <v>655.79</v>
      </c>
      <c r="O1137" s="3">
        <f>K1137*L1137*(1-M1137)</f>
        <v/>
      </c>
      <c r="P1137" s="3">
        <f>O1137-N1137</f>
        <v/>
      </c>
      <c r="Q1137" s="5">
        <f>IFERROR(P1137/O1137,0)</f>
        <v/>
      </c>
      <c r="R1137" s="2">
        <f>TEXT(DATEVALUE(B1137),"mmm")</f>
        <v/>
      </c>
      <c r="S1137" s="2">
        <f>TEXT(DATEVALUE(B1137),"yyyy-mm")</f>
        <v/>
      </c>
    </row>
    <row r="1138">
      <c r="A1138" s="2" t="inlineStr">
        <is>
          <t>O001734</t>
        </is>
      </c>
      <c r="B1138" s="2" t="inlineStr">
        <is>
          <t>2025-03-25</t>
        </is>
      </c>
      <c r="C1138" s="2" t="inlineStr">
        <is>
          <t>C0637</t>
        </is>
      </c>
      <c r="D1138" s="2" t="inlineStr">
        <is>
          <t>P0008</t>
        </is>
      </c>
      <c r="E1138" s="2" t="inlineStr">
        <is>
          <t>Air Fryer</t>
        </is>
      </c>
      <c r="F1138" s="2" t="inlineStr">
        <is>
          <t>Home &amp; Kitchen</t>
        </is>
      </c>
      <c r="G1138" s="2" t="inlineStr">
        <is>
          <t>South</t>
        </is>
      </c>
      <c r="H1138" s="2" t="inlineStr">
        <is>
          <t>Telangana</t>
        </is>
      </c>
      <c r="I1138" s="2" t="inlineStr">
        <is>
          <t>Hyderabad</t>
        </is>
      </c>
      <c r="J1138" s="2" t="inlineStr">
        <is>
          <t>Online</t>
        </is>
      </c>
      <c r="K1138" s="2" t="n">
        <v>3</v>
      </c>
      <c r="L1138" s="3" t="n">
        <v>1037.62</v>
      </c>
      <c r="M1138" s="4" t="n">
        <v>0</v>
      </c>
      <c r="N1138" s="3" t="n">
        <v>2095.8</v>
      </c>
      <c r="O1138" s="3">
        <f>K1138*L1138*(1-M1138)</f>
        <v/>
      </c>
      <c r="P1138" s="3">
        <f>O1138-N1138</f>
        <v/>
      </c>
      <c r="Q1138" s="5">
        <f>IFERROR(P1138/O1138,0)</f>
        <v/>
      </c>
      <c r="R1138" s="2">
        <f>TEXT(DATEVALUE(B1138),"mmm")</f>
        <v/>
      </c>
      <c r="S1138" s="2">
        <f>TEXT(DATEVALUE(B1138),"yyyy-mm")</f>
        <v/>
      </c>
    </row>
    <row r="1139">
      <c r="A1139" s="2" t="inlineStr">
        <is>
          <t>O001204</t>
        </is>
      </c>
      <c r="B1139" s="2" t="inlineStr">
        <is>
          <t>2025-03-25</t>
        </is>
      </c>
      <c r="C1139" s="2" t="inlineStr">
        <is>
          <t>C0169</t>
        </is>
      </c>
      <c r="D1139" s="2" t="inlineStr">
        <is>
          <t>P0004</t>
        </is>
      </c>
      <c r="E1139" s="2" t="inlineStr">
        <is>
          <t>USB-C Hub</t>
        </is>
      </c>
      <c r="F1139" s="2" t="inlineStr">
        <is>
          <t>Electronics</t>
        </is>
      </c>
      <c r="G1139" s="2" t="inlineStr">
        <is>
          <t>North</t>
        </is>
      </c>
      <c r="H1139" s="2" t="inlineStr">
        <is>
          <t>Haryana</t>
        </is>
      </c>
      <c r="I1139" s="2" t="inlineStr">
        <is>
          <t>Gurugram</t>
        </is>
      </c>
      <c r="J1139" s="2" t="inlineStr">
        <is>
          <t>Online</t>
        </is>
      </c>
      <c r="K1139" s="2" t="n">
        <v>2</v>
      </c>
      <c r="L1139" s="3" t="n">
        <v>1246.22</v>
      </c>
      <c r="M1139" s="4" t="n">
        <v>0</v>
      </c>
      <c r="N1139" s="3" t="n">
        <v>1804.29</v>
      </c>
      <c r="O1139" s="3">
        <f>K1139*L1139*(1-M1139)</f>
        <v/>
      </c>
      <c r="P1139" s="3">
        <f>O1139-N1139</f>
        <v/>
      </c>
      <c r="Q1139" s="5">
        <f>IFERROR(P1139/O1139,0)</f>
        <v/>
      </c>
      <c r="R1139" s="2">
        <f>TEXT(DATEVALUE(B1139),"mmm")</f>
        <v/>
      </c>
      <c r="S1139" s="2">
        <f>TEXT(DATEVALUE(B1139),"yyyy-mm")</f>
        <v/>
      </c>
    </row>
    <row r="1140">
      <c r="A1140" s="2" t="inlineStr">
        <is>
          <t>O001011</t>
        </is>
      </c>
      <c r="B1140" s="2" t="inlineStr">
        <is>
          <t>2025-03-25</t>
        </is>
      </c>
      <c r="C1140" s="2" t="inlineStr">
        <is>
          <t>C0166</t>
        </is>
      </c>
      <c r="D1140" s="2" t="inlineStr">
        <is>
          <t>P0027</t>
        </is>
      </c>
      <c r="E1140" s="2" t="inlineStr">
        <is>
          <t>Moisturizer</t>
        </is>
      </c>
      <c r="F1140" s="2" t="inlineStr">
        <is>
          <t>Beauty</t>
        </is>
      </c>
      <c r="G1140" s="2" t="inlineStr">
        <is>
          <t>East</t>
        </is>
      </c>
      <c r="H1140" s="2" t="inlineStr">
        <is>
          <t>Bihar</t>
        </is>
      </c>
      <c r="I1140" s="2" t="inlineStr">
        <is>
          <t>Patna</t>
        </is>
      </c>
      <c r="J1140" s="2" t="inlineStr">
        <is>
          <t>Online</t>
        </is>
      </c>
      <c r="K1140" s="2" t="n">
        <v>1</v>
      </c>
      <c r="L1140" s="3" t="n">
        <v>949.0700000000001</v>
      </c>
      <c r="M1140" s="4" t="n">
        <v>0.15</v>
      </c>
      <c r="N1140" s="3" t="n">
        <v>665.6900000000001</v>
      </c>
      <c r="O1140" s="3">
        <f>K1140*L1140*(1-M1140)</f>
        <v/>
      </c>
      <c r="P1140" s="3">
        <f>O1140-N1140</f>
        <v/>
      </c>
      <c r="Q1140" s="5">
        <f>IFERROR(P1140/O1140,0)</f>
        <v/>
      </c>
      <c r="R1140" s="2">
        <f>TEXT(DATEVALUE(B1140),"mmm")</f>
        <v/>
      </c>
      <c r="S1140" s="2">
        <f>TEXT(DATEVALUE(B1140),"yyyy-mm")</f>
        <v/>
      </c>
    </row>
    <row r="1141">
      <c r="A1141" s="2" t="inlineStr">
        <is>
          <t>O000563</t>
        </is>
      </c>
      <c r="B1141" s="2" t="inlineStr">
        <is>
          <t>2025-03-25</t>
        </is>
      </c>
      <c r="C1141" s="2" t="inlineStr">
        <is>
          <t>C0401</t>
        </is>
      </c>
      <c r="D1141" s="2" t="inlineStr">
        <is>
          <t>P0004</t>
        </is>
      </c>
      <c r="E1141" s="2" t="inlineStr">
        <is>
          <t>USB-C Hub</t>
        </is>
      </c>
      <c r="F1141" s="2" t="inlineStr">
        <is>
          <t>Electronics</t>
        </is>
      </c>
      <c r="G1141" s="2" t="inlineStr">
        <is>
          <t>South</t>
        </is>
      </c>
      <c r="H1141" s="2" t="inlineStr">
        <is>
          <t>Kerala</t>
        </is>
      </c>
      <c r="I1141" s="2" t="inlineStr">
        <is>
          <t>Kochi</t>
        </is>
      </c>
      <c r="J1141" s="2" t="inlineStr">
        <is>
          <t>Store</t>
        </is>
      </c>
      <c r="K1141" s="2" t="n">
        <v>5</v>
      </c>
      <c r="L1141" s="3" t="n">
        <v>1301.03</v>
      </c>
      <c r="M1141" s="4" t="n">
        <v>0</v>
      </c>
      <c r="N1141" s="3" t="n">
        <v>4490.48</v>
      </c>
      <c r="O1141" s="3">
        <f>K1141*L1141*(1-M1141)</f>
        <v/>
      </c>
      <c r="P1141" s="3">
        <f>O1141-N1141</f>
        <v/>
      </c>
      <c r="Q1141" s="5">
        <f>IFERROR(P1141/O1141,0)</f>
        <v/>
      </c>
      <c r="R1141" s="2">
        <f>TEXT(DATEVALUE(B1141),"mmm")</f>
        <v/>
      </c>
      <c r="S1141" s="2">
        <f>TEXT(DATEVALUE(B1141),"yyyy-mm")</f>
        <v/>
      </c>
    </row>
    <row r="1142">
      <c r="A1142" s="2" t="inlineStr">
        <is>
          <t>O004560</t>
        </is>
      </c>
      <c r="B1142" s="2" t="inlineStr">
        <is>
          <t>2025-03-26</t>
        </is>
      </c>
      <c r="C1142" s="2" t="inlineStr">
        <is>
          <t>C0748</t>
        </is>
      </c>
      <c r="D1142" s="2" t="inlineStr">
        <is>
          <t>P0009</t>
        </is>
      </c>
      <c r="E1142" s="2" t="inlineStr">
        <is>
          <t>Electric Kettle</t>
        </is>
      </c>
      <c r="F1142" s="2" t="inlineStr">
        <is>
          <t>Home &amp; Kitchen</t>
        </is>
      </c>
      <c r="G1142" s="2" t="inlineStr">
        <is>
          <t>East</t>
        </is>
      </c>
      <c r="H1142" s="2" t="inlineStr">
        <is>
          <t>Odisha</t>
        </is>
      </c>
      <c r="I1142" s="2" t="inlineStr">
        <is>
          <t>Cuttack</t>
        </is>
      </c>
      <c r="J1142" s="2" t="inlineStr">
        <is>
          <t>Online</t>
        </is>
      </c>
      <c r="K1142" s="2" t="n">
        <v>2</v>
      </c>
      <c r="L1142" s="3" t="n">
        <v>2121.31</v>
      </c>
      <c r="M1142" s="4" t="n">
        <v>0</v>
      </c>
      <c r="N1142" s="3" t="n">
        <v>2200.07</v>
      </c>
      <c r="O1142" s="3">
        <f>K1142*L1142*(1-M1142)</f>
        <v/>
      </c>
      <c r="P1142" s="3">
        <f>O1142-N1142</f>
        <v/>
      </c>
      <c r="Q1142" s="5">
        <f>IFERROR(P1142/O1142,0)</f>
        <v/>
      </c>
      <c r="R1142" s="2">
        <f>TEXT(DATEVALUE(B1142),"mmm")</f>
        <v/>
      </c>
      <c r="S1142" s="2">
        <f>TEXT(DATEVALUE(B1142),"yyyy-mm")</f>
        <v/>
      </c>
    </row>
    <row r="1143">
      <c r="A1143" s="2" t="inlineStr">
        <is>
          <t>O004129</t>
        </is>
      </c>
      <c r="B1143" s="2" t="inlineStr">
        <is>
          <t>2025-03-26</t>
        </is>
      </c>
      <c r="C1143" s="2" t="inlineStr">
        <is>
          <t>C0049</t>
        </is>
      </c>
      <c r="D1143" s="2" t="inlineStr">
        <is>
          <t>P0011</t>
        </is>
      </c>
      <c r="E1143" s="2" t="inlineStr">
        <is>
          <t>Cookware Set</t>
        </is>
      </c>
      <c r="F1143" s="2" t="inlineStr">
        <is>
          <t>Home &amp; Kitchen</t>
        </is>
      </c>
      <c r="G1143" s="2" t="inlineStr">
        <is>
          <t>North</t>
        </is>
      </c>
      <c r="H1143" s="2" t="inlineStr">
        <is>
          <t>Haryana</t>
        </is>
      </c>
      <c r="I1143" s="2" t="inlineStr">
        <is>
          <t>Gurugram</t>
        </is>
      </c>
      <c r="J1143" s="2" t="inlineStr">
        <is>
          <t>Store</t>
        </is>
      </c>
      <c r="K1143" s="2" t="n">
        <v>1</v>
      </c>
      <c r="L1143" s="3" t="n">
        <v>679.73</v>
      </c>
      <c r="M1143" s="4" t="n">
        <v>0.25</v>
      </c>
      <c r="N1143" s="3" t="n">
        <v>464.33</v>
      </c>
      <c r="O1143" s="3">
        <f>K1143*L1143*(1-M1143)</f>
        <v/>
      </c>
      <c r="P1143" s="3">
        <f>O1143-N1143</f>
        <v/>
      </c>
      <c r="Q1143" s="5">
        <f>IFERROR(P1143/O1143,0)</f>
        <v/>
      </c>
      <c r="R1143" s="2">
        <f>TEXT(DATEVALUE(B1143),"mmm")</f>
        <v/>
      </c>
      <c r="S1143" s="2">
        <f>TEXT(DATEVALUE(B1143),"yyyy-mm")</f>
        <v/>
      </c>
    </row>
    <row r="1144">
      <c r="A1144" s="2" t="inlineStr">
        <is>
          <t>O002970</t>
        </is>
      </c>
      <c r="B1144" s="2" t="inlineStr">
        <is>
          <t>2025-03-26</t>
        </is>
      </c>
      <c r="C1144" s="2" t="inlineStr">
        <is>
          <t>C0796</t>
        </is>
      </c>
      <c r="D1144" s="2" t="inlineStr">
        <is>
          <t>P0022</t>
        </is>
      </c>
      <c r="E1144" s="2" t="inlineStr">
        <is>
          <t>Face Wash</t>
        </is>
      </c>
      <c r="F1144" s="2" t="inlineStr">
        <is>
          <t>Beauty</t>
        </is>
      </c>
      <c r="G1144" s="2" t="inlineStr">
        <is>
          <t>South</t>
        </is>
      </c>
      <c r="H1144" s="2" t="inlineStr">
        <is>
          <t>Kerala</t>
        </is>
      </c>
      <c r="I1144" s="2" t="inlineStr">
        <is>
          <t>Thiruvananthapuram</t>
        </is>
      </c>
      <c r="J1144" s="2" t="inlineStr">
        <is>
          <t>Online</t>
        </is>
      </c>
      <c r="K1144" s="2" t="n">
        <v>2</v>
      </c>
      <c r="L1144" s="3" t="n">
        <v>536.59</v>
      </c>
      <c r="M1144" s="4" t="n">
        <v>0.15</v>
      </c>
      <c r="N1144" s="3" t="n">
        <v>710.09</v>
      </c>
      <c r="O1144" s="3">
        <f>K1144*L1144*(1-M1144)</f>
        <v/>
      </c>
      <c r="P1144" s="3">
        <f>O1144-N1144</f>
        <v/>
      </c>
      <c r="Q1144" s="5">
        <f>IFERROR(P1144/O1144,0)</f>
        <v/>
      </c>
      <c r="R1144" s="2">
        <f>TEXT(DATEVALUE(B1144),"mmm")</f>
        <v/>
      </c>
      <c r="S1144" s="2">
        <f>TEXT(DATEVALUE(B1144),"yyyy-mm")</f>
        <v/>
      </c>
    </row>
    <row r="1145">
      <c r="A1145" s="2" t="inlineStr">
        <is>
          <t>O002126</t>
        </is>
      </c>
      <c r="B1145" s="2" t="inlineStr">
        <is>
          <t>2025-03-26</t>
        </is>
      </c>
      <c r="C1145" s="2" t="inlineStr">
        <is>
          <t>C0776</t>
        </is>
      </c>
      <c r="D1145" s="2" t="inlineStr">
        <is>
          <t>P0022</t>
        </is>
      </c>
      <c r="E1145" s="2" t="inlineStr">
        <is>
          <t>Face Wash</t>
        </is>
      </c>
      <c r="F1145" s="2" t="inlineStr">
        <is>
          <t>Beauty</t>
        </is>
      </c>
      <c r="G1145" s="2" t="inlineStr">
        <is>
          <t>South</t>
        </is>
      </c>
      <c r="H1145" s="2" t="inlineStr">
        <is>
          <t>Tamil Nadu</t>
        </is>
      </c>
      <c r="I1145" s="2" t="inlineStr">
        <is>
          <t>Chennai</t>
        </is>
      </c>
      <c r="J1145" s="2" t="inlineStr">
        <is>
          <t>Online</t>
        </is>
      </c>
      <c r="K1145" s="2" t="n">
        <v>1</v>
      </c>
      <c r="L1145" s="3" t="n">
        <v>554.96</v>
      </c>
      <c r="M1145" s="4" t="n">
        <v>0.2</v>
      </c>
      <c r="N1145" s="3" t="n">
        <v>355.39</v>
      </c>
      <c r="O1145" s="3">
        <f>K1145*L1145*(1-M1145)</f>
        <v/>
      </c>
      <c r="P1145" s="3">
        <f>O1145-N1145</f>
        <v/>
      </c>
      <c r="Q1145" s="5">
        <f>IFERROR(P1145/O1145,0)</f>
        <v/>
      </c>
      <c r="R1145" s="2">
        <f>TEXT(DATEVALUE(B1145),"mmm")</f>
        <v/>
      </c>
      <c r="S1145" s="2">
        <f>TEXT(DATEVALUE(B1145),"yyyy-mm")</f>
        <v/>
      </c>
    </row>
    <row r="1146">
      <c r="A1146" s="2" t="inlineStr">
        <is>
          <t>O001283</t>
        </is>
      </c>
      <c r="B1146" s="2" t="inlineStr">
        <is>
          <t>2025-03-26</t>
        </is>
      </c>
      <c r="C1146" s="2" t="inlineStr">
        <is>
          <t>C0478</t>
        </is>
      </c>
      <c r="D1146" s="2" t="inlineStr">
        <is>
          <t>P0023</t>
        </is>
      </c>
      <c r="E1146" s="2" t="inlineStr">
        <is>
          <t>Skin Care Kit</t>
        </is>
      </c>
      <c r="F1146" s="2" t="inlineStr">
        <is>
          <t>Beauty</t>
        </is>
      </c>
      <c r="G1146" s="2" t="inlineStr">
        <is>
          <t>South</t>
        </is>
      </c>
      <c r="H1146" s="2" t="inlineStr">
        <is>
          <t>Telangana</t>
        </is>
      </c>
      <c r="I1146" s="2" t="inlineStr">
        <is>
          <t>Hyderabad</t>
        </is>
      </c>
      <c r="J1146" s="2" t="inlineStr">
        <is>
          <t>Store</t>
        </is>
      </c>
      <c r="K1146" s="2" t="n">
        <v>5</v>
      </c>
      <c r="L1146" s="3" t="n">
        <v>1363.26</v>
      </c>
      <c r="M1146" s="4" t="n">
        <v>0.05</v>
      </c>
      <c r="N1146" s="3" t="n">
        <v>4590.81</v>
      </c>
      <c r="O1146" s="3">
        <f>K1146*L1146*(1-M1146)</f>
        <v/>
      </c>
      <c r="P1146" s="3">
        <f>O1146-N1146</f>
        <v/>
      </c>
      <c r="Q1146" s="5">
        <f>IFERROR(P1146/O1146,0)</f>
        <v/>
      </c>
      <c r="R1146" s="2">
        <f>TEXT(DATEVALUE(B1146),"mmm")</f>
        <v/>
      </c>
      <c r="S1146" s="2">
        <f>TEXT(DATEVALUE(B1146),"yyyy-mm")</f>
        <v/>
      </c>
    </row>
    <row r="1147">
      <c r="A1147" s="2" t="inlineStr">
        <is>
          <t>O000754</t>
        </is>
      </c>
      <c r="B1147" s="2" t="inlineStr">
        <is>
          <t>2025-03-26</t>
        </is>
      </c>
      <c r="C1147" s="2" t="inlineStr">
        <is>
          <t>C0584</t>
        </is>
      </c>
      <c r="D1147" s="2" t="inlineStr">
        <is>
          <t>P0005</t>
        </is>
      </c>
      <c r="E1147" s="2" t="inlineStr">
        <is>
          <t>Power Bank</t>
        </is>
      </c>
      <c r="F1147" s="2" t="inlineStr">
        <is>
          <t>Electronics</t>
        </is>
      </c>
      <c r="G1147" s="2" t="inlineStr">
        <is>
          <t>West</t>
        </is>
      </c>
      <c r="H1147" s="2" t="inlineStr">
        <is>
          <t>Maharashtra</t>
        </is>
      </c>
      <c r="I1147" s="2" t="inlineStr">
        <is>
          <t>Pune</t>
        </is>
      </c>
      <c r="J1147" s="2" t="inlineStr">
        <is>
          <t>Online</t>
        </is>
      </c>
      <c r="K1147" s="2" t="n">
        <v>4</v>
      </c>
      <c r="L1147" s="3" t="n">
        <v>1092.39</v>
      </c>
      <c r="M1147" s="4" t="n">
        <v>0.05</v>
      </c>
      <c r="N1147" s="3" t="n">
        <v>2627.19</v>
      </c>
      <c r="O1147" s="3">
        <f>K1147*L1147*(1-M1147)</f>
        <v/>
      </c>
      <c r="P1147" s="3">
        <f>O1147-N1147</f>
        <v/>
      </c>
      <c r="Q1147" s="5">
        <f>IFERROR(P1147/O1147,0)</f>
        <v/>
      </c>
      <c r="R1147" s="2">
        <f>TEXT(DATEVALUE(B1147),"mmm")</f>
        <v/>
      </c>
      <c r="S1147" s="2">
        <f>TEXT(DATEVALUE(B1147),"yyyy-mm")</f>
        <v/>
      </c>
    </row>
    <row r="1148">
      <c r="A1148" s="2" t="inlineStr">
        <is>
          <t>O002250</t>
        </is>
      </c>
      <c r="B1148" s="2" t="inlineStr">
        <is>
          <t>2025-03-26</t>
        </is>
      </c>
      <c r="C1148" s="2" t="inlineStr">
        <is>
          <t>C0650</t>
        </is>
      </c>
      <c r="D1148" s="2" t="inlineStr">
        <is>
          <t>P0008</t>
        </is>
      </c>
      <c r="E1148" s="2" t="inlineStr">
        <is>
          <t>Air Fryer</t>
        </is>
      </c>
      <c r="F1148" s="2" t="inlineStr">
        <is>
          <t>Home &amp; Kitchen</t>
        </is>
      </c>
      <c r="G1148" s="2" t="inlineStr">
        <is>
          <t>West</t>
        </is>
      </c>
      <c r="H1148" s="2" t="inlineStr">
        <is>
          <t>Maharashtra</t>
        </is>
      </c>
      <c r="I1148" s="2" t="inlineStr">
        <is>
          <t>Thane</t>
        </is>
      </c>
      <c r="J1148" s="2" t="inlineStr">
        <is>
          <t>Online</t>
        </is>
      </c>
      <c r="K1148" s="2" t="n">
        <v>1</v>
      </c>
      <c r="L1148" s="3" t="n">
        <v>999.84</v>
      </c>
      <c r="M1148" s="4" t="n">
        <v>0.1</v>
      </c>
      <c r="N1148" s="3" t="n">
        <v>662.5599999999999</v>
      </c>
      <c r="O1148" s="3">
        <f>K1148*L1148*(1-M1148)</f>
        <v/>
      </c>
      <c r="P1148" s="3">
        <f>O1148-N1148</f>
        <v/>
      </c>
      <c r="Q1148" s="5">
        <f>IFERROR(P1148/O1148,0)</f>
        <v/>
      </c>
      <c r="R1148" s="2">
        <f>TEXT(DATEVALUE(B1148),"mmm")</f>
        <v/>
      </c>
      <c r="S1148" s="2">
        <f>TEXT(DATEVALUE(B1148),"yyyy-mm")</f>
        <v/>
      </c>
    </row>
    <row r="1149">
      <c r="A1149" s="2" t="inlineStr">
        <is>
          <t>O002891</t>
        </is>
      </c>
      <c r="B1149" s="2" t="inlineStr">
        <is>
          <t>2025-03-27</t>
        </is>
      </c>
      <c r="C1149" s="2" t="inlineStr">
        <is>
          <t>C0747</t>
        </is>
      </c>
      <c r="D1149" s="2" t="inlineStr">
        <is>
          <t>P0022</t>
        </is>
      </c>
      <c r="E1149" s="2" t="inlineStr">
        <is>
          <t>Face Wash</t>
        </is>
      </c>
      <c r="F1149" s="2" t="inlineStr">
        <is>
          <t>Beauty</t>
        </is>
      </c>
      <c r="G1149" s="2" t="inlineStr">
        <is>
          <t>East</t>
        </is>
      </c>
      <c r="H1149" s="2" t="inlineStr">
        <is>
          <t>Bihar</t>
        </is>
      </c>
      <c r="I1149" s="2" t="inlineStr">
        <is>
          <t>Patna</t>
        </is>
      </c>
      <c r="J1149" s="2" t="inlineStr">
        <is>
          <t>Online</t>
        </is>
      </c>
      <c r="K1149" s="2" t="n">
        <v>1</v>
      </c>
      <c r="L1149" s="3" t="n">
        <v>569.58</v>
      </c>
      <c r="M1149" s="4" t="n">
        <v>0.1</v>
      </c>
      <c r="N1149" s="3" t="n">
        <v>354.51</v>
      </c>
      <c r="O1149" s="3">
        <f>K1149*L1149*(1-M1149)</f>
        <v/>
      </c>
      <c r="P1149" s="3">
        <f>O1149-N1149</f>
        <v/>
      </c>
      <c r="Q1149" s="5">
        <f>IFERROR(P1149/O1149,0)</f>
        <v/>
      </c>
      <c r="R1149" s="2">
        <f>TEXT(DATEVALUE(B1149),"mmm")</f>
        <v/>
      </c>
      <c r="S1149" s="2">
        <f>TEXT(DATEVALUE(B1149),"yyyy-mm")</f>
        <v/>
      </c>
    </row>
    <row r="1150">
      <c r="A1150" s="2" t="inlineStr">
        <is>
          <t>O004643</t>
        </is>
      </c>
      <c r="B1150" s="2" t="inlineStr">
        <is>
          <t>2025-03-27</t>
        </is>
      </c>
      <c r="C1150" s="2" t="inlineStr">
        <is>
          <t>C0347</t>
        </is>
      </c>
      <c r="D1150" s="2" t="inlineStr">
        <is>
          <t>P0004</t>
        </is>
      </c>
      <c r="E1150" s="2" t="inlineStr">
        <is>
          <t>USB-C Hub</t>
        </is>
      </c>
      <c r="F1150" s="2" t="inlineStr">
        <is>
          <t>Electronics</t>
        </is>
      </c>
      <c r="G1150" s="2" t="inlineStr">
        <is>
          <t>West</t>
        </is>
      </c>
      <c r="H1150" s="2" t="inlineStr">
        <is>
          <t>Gujarat</t>
        </is>
      </c>
      <c r="I1150" s="2" t="inlineStr">
        <is>
          <t>Vadodara</t>
        </is>
      </c>
      <c r="J1150" s="2" t="inlineStr">
        <is>
          <t>Store</t>
        </is>
      </c>
      <c r="K1150" s="2" t="n">
        <v>1</v>
      </c>
      <c r="L1150" s="3" t="n">
        <v>1275.77</v>
      </c>
      <c r="M1150" s="4" t="n">
        <v>0</v>
      </c>
      <c r="N1150" s="3" t="n">
        <v>938.79</v>
      </c>
      <c r="O1150" s="3">
        <f>K1150*L1150*(1-M1150)</f>
        <v/>
      </c>
      <c r="P1150" s="3">
        <f>O1150-N1150</f>
        <v/>
      </c>
      <c r="Q1150" s="5">
        <f>IFERROR(P1150/O1150,0)</f>
        <v/>
      </c>
      <c r="R1150" s="2">
        <f>TEXT(DATEVALUE(B1150),"mmm")</f>
        <v/>
      </c>
      <c r="S1150" s="2">
        <f>TEXT(DATEVALUE(B1150),"yyyy-mm")</f>
        <v/>
      </c>
    </row>
    <row r="1151">
      <c r="A1151" s="2" t="inlineStr">
        <is>
          <t>O003993</t>
        </is>
      </c>
      <c r="B1151" s="2" t="inlineStr">
        <is>
          <t>2025-03-27</t>
        </is>
      </c>
      <c r="C1151" s="2" t="inlineStr">
        <is>
          <t>C0393</t>
        </is>
      </c>
      <c r="D1151" s="2" t="inlineStr">
        <is>
          <t>P0003</t>
        </is>
      </c>
      <c r="E1151" s="2" t="inlineStr">
        <is>
          <t>Smartwatch</t>
        </is>
      </c>
      <c r="F1151" s="2" t="inlineStr">
        <is>
          <t>Electronics</t>
        </is>
      </c>
      <c r="G1151" s="2" t="inlineStr">
        <is>
          <t>North</t>
        </is>
      </c>
      <c r="H1151" s="2" t="inlineStr">
        <is>
          <t>Uttar Pradesh</t>
        </is>
      </c>
      <c r="I1151" s="2" t="inlineStr">
        <is>
          <t>Lucknow</t>
        </is>
      </c>
      <c r="J1151" s="2" t="inlineStr">
        <is>
          <t>Store</t>
        </is>
      </c>
      <c r="K1151" s="2" t="n">
        <v>3</v>
      </c>
      <c r="L1151" s="3" t="n">
        <v>2305.38</v>
      </c>
      <c r="M1151" s="4" t="n">
        <v>0.15</v>
      </c>
      <c r="N1151" s="3" t="n">
        <v>3485.1</v>
      </c>
      <c r="O1151" s="3">
        <f>K1151*L1151*(1-M1151)</f>
        <v/>
      </c>
      <c r="P1151" s="3">
        <f>O1151-N1151</f>
        <v/>
      </c>
      <c r="Q1151" s="5">
        <f>IFERROR(P1151/O1151,0)</f>
        <v/>
      </c>
      <c r="R1151" s="2">
        <f>TEXT(DATEVALUE(B1151),"mmm")</f>
        <v/>
      </c>
      <c r="S1151" s="2">
        <f>TEXT(DATEVALUE(B1151),"yyyy-mm")</f>
        <v/>
      </c>
    </row>
    <row r="1152">
      <c r="A1152" s="2" t="inlineStr">
        <is>
          <t>O004837</t>
        </is>
      </c>
      <c r="B1152" s="2" t="inlineStr">
        <is>
          <t>2025-03-27</t>
        </is>
      </c>
      <c r="C1152" s="2" t="inlineStr">
        <is>
          <t>C0694</t>
        </is>
      </c>
      <c r="D1152" s="2" t="inlineStr">
        <is>
          <t>P0031</t>
        </is>
      </c>
      <c r="E1152" s="2" t="inlineStr">
        <is>
          <t>Cricket Bat</t>
        </is>
      </c>
      <c r="F1152" s="2" t="inlineStr">
        <is>
          <t>Sports</t>
        </is>
      </c>
      <c r="G1152" s="2" t="inlineStr">
        <is>
          <t>South</t>
        </is>
      </c>
      <c r="H1152" s="2" t="inlineStr">
        <is>
          <t>Kerala</t>
        </is>
      </c>
      <c r="I1152" s="2" t="inlineStr">
        <is>
          <t>Thiruvananthapuram</t>
        </is>
      </c>
      <c r="J1152" s="2" t="inlineStr">
        <is>
          <t>Online</t>
        </is>
      </c>
      <c r="K1152" s="2" t="n">
        <v>2</v>
      </c>
      <c r="L1152" s="3" t="n">
        <v>1370.38</v>
      </c>
      <c r="M1152" s="4" t="n">
        <v>0.1</v>
      </c>
      <c r="N1152" s="3" t="n">
        <v>1834</v>
      </c>
      <c r="O1152" s="3">
        <f>K1152*L1152*(1-M1152)</f>
        <v/>
      </c>
      <c r="P1152" s="3">
        <f>O1152-N1152</f>
        <v/>
      </c>
      <c r="Q1152" s="5">
        <f>IFERROR(P1152/O1152,0)</f>
        <v/>
      </c>
      <c r="R1152" s="2">
        <f>TEXT(DATEVALUE(B1152),"mmm")</f>
        <v/>
      </c>
      <c r="S1152" s="2">
        <f>TEXT(DATEVALUE(B1152),"yyyy-mm")</f>
        <v/>
      </c>
    </row>
    <row r="1153">
      <c r="A1153" s="2" t="inlineStr">
        <is>
          <t>O003924</t>
        </is>
      </c>
      <c r="B1153" s="2" t="inlineStr">
        <is>
          <t>2025-03-27</t>
        </is>
      </c>
      <c r="C1153" s="2" t="inlineStr">
        <is>
          <t>C0523</t>
        </is>
      </c>
      <c r="D1153" s="2" t="inlineStr">
        <is>
          <t>P0002</t>
        </is>
      </c>
      <c r="E1153" s="2" t="inlineStr">
        <is>
          <t>Bluetooth Speaker</t>
        </is>
      </c>
      <c r="F1153" s="2" t="inlineStr">
        <is>
          <t>Electronics</t>
        </is>
      </c>
      <c r="G1153" s="2" t="inlineStr">
        <is>
          <t>West</t>
        </is>
      </c>
      <c r="H1153" s="2" t="inlineStr">
        <is>
          <t>Gujarat</t>
        </is>
      </c>
      <c r="I1153" s="2" t="inlineStr">
        <is>
          <t>Ahmedabad</t>
        </is>
      </c>
      <c r="J1153" s="2" t="inlineStr">
        <is>
          <t>Online</t>
        </is>
      </c>
      <c r="K1153" s="2" t="n">
        <v>4</v>
      </c>
      <c r="L1153" s="3" t="n">
        <v>1421.27</v>
      </c>
      <c r="M1153" s="4" t="n">
        <v>0.05</v>
      </c>
      <c r="N1153" s="3" t="n">
        <v>3200.56</v>
      </c>
      <c r="O1153" s="3">
        <f>K1153*L1153*(1-M1153)</f>
        <v/>
      </c>
      <c r="P1153" s="3">
        <f>O1153-N1153</f>
        <v/>
      </c>
      <c r="Q1153" s="5">
        <f>IFERROR(P1153/O1153,0)</f>
        <v/>
      </c>
      <c r="R1153" s="2">
        <f>TEXT(DATEVALUE(B1153),"mmm")</f>
        <v/>
      </c>
      <c r="S1153" s="2">
        <f>TEXT(DATEVALUE(B1153),"yyyy-mm")</f>
        <v/>
      </c>
    </row>
    <row r="1154">
      <c r="A1154" s="2" t="inlineStr">
        <is>
          <t>O003157</t>
        </is>
      </c>
      <c r="B1154" s="2" t="inlineStr">
        <is>
          <t>2025-03-27</t>
        </is>
      </c>
      <c r="C1154" s="2" t="inlineStr">
        <is>
          <t>C0046</t>
        </is>
      </c>
      <c r="D1154" s="2" t="inlineStr">
        <is>
          <t>P0007</t>
        </is>
      </c>
      <c r="E1154" s="2" t="inlineStr">
        <is>
          <t>Wireless Mouse</t>
        </is>
      </c>
      <c r="F1154" s="2" t="inlineStr">
        <is>
          <t>Electronics</t>
        </is>
      </c>
      <c r="G1154" s="2" t="inlineStr">
        <is>
          <t>North</t>
        </is>
      </c>
      <c r="H1154" s="2" t="inlineStr">
        <is>
          <t>Punjab</t>
        </is>
      </c>
      <c r="I1154" s="2" t="inlineStr">
        <is>
          <t>Amritsar</t>
        </is>
      </c>
      <c r="J1154" s="2" t="inlineStr">
        <is>
          <t>Online</t>
        </is>
      </c>
      <c r="K1154" s="2" t="n">
        <v>1</v>
      </c>
      <c r="L1154" s="3" t="n">
        <v>968.88</v>
      </c>
      <c r="M1154" s="4" t="n">
        <v>0</v>
      </c>
      <c r="N1154" s="3" t="n">
        <v>623.73</v>
      </c>
      <c r="O1154" s="3">
        <f>K1154*L1154*(1-M1154)</f>
        <v/>
      </c>
      <c r="P1154" s="3">
        <f>O1154-N1154</f>
        <v/>
      </c>
      <c r="Q1154" s="5">
        <f>IFERROR(P1154/O1154,0)</f>
        <v/>
      </c>
      <c r="R1154" s="2">
        <f>TEXT(DATEVALUE(B1154),"mmm")</f>
        <v/>
      </c>
      <c r="S1154" s="2">
        <f>TEXT(DATEVALUE(B1154),"yyyy-mm")</f>
        <v/>
      </c>
    </row>
    <row r="1155">
      <c r="A1155" s="2" t="inlineStr">
        <is>
          <t>O002921</t>
        </is>
      </c>
      <c r="B1155" s="2" t="inlineStr">
        <is>
          <t>2025-03-27</t>
        </is>
      </c>
      <c r="C1155" s="2" t="inlineStr">
        <is>
          <t>C0285</t>
        </is>
      </c>
      <c r="D1155" s="2" t="inlineStr">
        <is>
          <t>P0022</t>
        </is>
      </c>
      <c r="E1155" s="2" t="inlineStr">
        <is>
          <t>Face Wash</t>
        </is>
      </c>
      <c r="F1155" s="2" t="inlineStr">
        <is>
          <t>Beauty</t>
        </is>
      </c>
      <c r="G1155" s="2" t="inlineStr">
        <is>
          <t>West</t>
        </is>
      </c>
      <c r="H1155" s="2" t="inlineStr">
        <is>
          <t>Goa</t>
        </is>
      </c>
      <c r="I1155" s="2" t="inlineStr">
        <is>
          <t>Margao</t>
        </is>
      </c>
      <c r="J1155" s="2" t="inlineStr">
        <is>
          <t>Store</t>
        </is>
      </c>
      <c r="K1155" s="2" t="n">
        <v>2</v>
      </c>
      <c r="L1155" s="3" t="n">
        <v>532.23</v>
      </c>
      <c r="M1155" s="4" t="n">
        <v>0.05</v>
      </c>
      <c r="N1155" s="3" t="n">
        <v>724.86</v>
      </c>
      <c r="O1155" s="3">
        <f>K1155*L1155*(1-M1155)</f>
        <v/>
      </c>
      <c r="P1155" s="3">
        <f>O1155-N1155</f>
        <v/>
      </c>
      <c r="Q1155" s="5">
        <f>IFERROR(P1155/O1155,0)</f>
        <v/>
      </c>
      <c r="R1155" s="2">
        <f>TEXT(DATEVALUE(B1155),"mmm")</f>
        <v/>
      </c>
      <c r="S1155" s="2">
        <f>TEXT(DATEVALUE(B1155),"yyyy-mm")</f>
        <v/>
      </c>
    </row>
    <row r="1156">
      <c r="A1156" s="2" t="inlineStr">
        <is>
          <t>O002901</t>
        </is>
      </c>
      <c r="B1156" s="2" t="inlineStr">
        <is>
          <t>2025-03-27</t>
        </is>
      </c>
      <c r="C1156" s="2" t="inlineStr">
        <is>
          <t>C0427</t>
        </is>
      </c>
      <c r="D1156" s="2" t="inlineStr">
        <is>
          <t>P0017</t>
        </is>
      </c>
      <c r="E1156" s="2" t="inlineStr">
        <is>
          <t>Jeans</t>
        </is>
      </c>
      <c r="F1156" s="2" t="inlineStr">
        <is>
          <t>Fashion</t>
        </is>
      </c>
      <c r="G1156" s="2" t="inlineStr">
        <is>
          <t>North</t>
        </is>
      </c>
      <c r="H1156" s="2" t="inlineStr">
        <is>
          <t>Delhi</t>
        </is>
      </c>
      <c r="I1156" s="2" t="inlineStr">
        <is>
          <t>New Delhi</t>
        </is>
      </c>
      <c r="J1156" s="2" t="inlineStr">
        <is>
          <t>Store</t>
        </is>
      </c>
      <c r="K1156" s="2" t="n">
        <v>2</v>
      </c>
      <c r="L1156" s="3" t="n">
        <v>1532.47</v>
      </c>
      <c r="M1156" s="4" t="n">
        <v>0.2</v>
      </c>
      <c r="N1156" s="3" t="n">
        <v>2080.53</v>
      </c>
      <c r="O1156" s="3">
        <f>K1156*L1156*(1-M1156)</f>
        <v/>
      </c>
      <c r="P1156" s="3">
        <f>O1156-N1156</f>
        <v/>
      </c>
      <c r="Q1156" s="5">
        <f>IFERROR(P1156/O1156,0)</f>
        <v/>
      </c>
      <c r="R1156" s="2">
        <f>TEXT(DATEVALUE(B1156),"mmm")</f>
        <v/>
      </c>
      <c r="S1156" s="2">
        <f>TEXT(DATEVALUE(B1156),"yyyy-mm")</f>
        <v/>
      </c>
    </row>
    <row r="1157">
      <c r="A1157" s="2" t="inlineStr">
        <is>
          <t>O002691</t>
        </is>
      </c>
      <c r="B1157" s="2" t="inlineStr">
        <is>
          <t>2025-03-27</t>
        </is>
      </c>
      <c r="C1157" s="2" t="inlineStr">
        <is>
          <t>C0184</t>
        </is>
      </c>
      <c r="D1157" s="2" t="inlineStr">
        <is>
          <t>P0007</t>
        </is>
      </c>
      <c r="E1157" s="2" t="inlineStr">
        <is>
          <t>Wireless Mouse</t>
        </is>
      </c>
      <c r="F1157" s="2" t="inlineStr">
        <is>
          <t>Electronics</t>
        </is>
      </c>
      <c r="G1157" s="2" t="inlineStr">
        <is>
          <t>West</t>
        </is>
      </c>
      <c r="H1157" s="2" t="inlineStr">
        <is>
          <t>Gujarat</t>
        </is>
      </c>
      <c r="I1157" s="2" t="inlineStr">
        <is>
          <t>Vadodara</t>
        </is>
      </c>
      <c r="J1157" s="2" t="inlineStr">
        <is>
          <t>Online</t>
        </is>
      </c>
      <c r="K1157" s="2" t="n">
        <v>1</v>
      </c>
      <c r="L1157" s="3" t="n">
        <v>1019.81</v>
      </c>
      <c r="M1157" s="4" t="n">
        <v>0.05</v>
      </c>
      <c r="N1157" s="3" t="n">
        <v>617.38</v>
      </c>
      <c r="O1157" s="3">
        <f>K1157*L1157*(1-M1157)</f>
        <v/>
      </c>
      <c r="P1157" s="3">
        <f>O1157-N1157</f>
        <v/>
      </c>
      <c r="Q1157" s="5">
        <f>IFERROR(P1157/O1157,0)</f>
        <v/>
      </c>
      <c r="R1157" s="2">
        <f>TEXT(DATEVALUE(B1157),"mmm")</f>
        <v/>
      </c>
      <c r="S1157" s="2">
        <f>TEXT(DATEVALUE(B1157),"yyyy-mm")</f>
        <v/>
      </c>
    </row>
    <row r="1158">
      <c r="A1158" s="2" t="inlineStr">
        <is>
          <t>O000912</t>
        </is>
      </c>
      <c r="B1158" s="2" t="inlineStr">
        <is>
          <t>2025-03-27</t>
        </is>
      </c>
      <c r="C1158" s="2" t="inlineStr">
        <is>
          <t>C0505</t>
        </is>
      </c>
      <c r="D1158" s="2" t="inlineStr">
        <is>
          <t>P0022</t>
        </is>
      </c>
      <c r="E1158" s="2" t="inlineStr">
        <is>
          <t>Face Wash</t>
        </is>
      </c>
      <c r="F1158" s="2" t="inlineStr">
        <is>
          <t>Beauty</t>
        </is>
      </c>
      <c r="G1158" s="2" t="inlineStr">
        <is>
          <t>North</t>
        </is>
      </c>
      <c r="H1158" s="2" t="inlineStr">
        <is>
          <t>Haryana</t>
        </is>
      </c>
      <c r="I1158" s="2" t="inlineStr">
        <is>
          <t>Gurugram</t>
        </is>
      </c>
      <c r="J1158" s="2" t="inlineStr">
        <is>
          <t>Online</t>
        </is>
      </c>
      <c r="K1158" s="2" t="n">
        <v>4</v>
      </c>
      <c r="L1158" s="3" t="n">
        <v>547.47</v>
      </c>
      <c r="M1158" s="4" t="n">
        <v>0.15</v>
      </c>
      <c r="N1158" s="3" t="n">
        <v>1377.72</v>
      </c>
      <c r="O1158" s="3">
        <f>K1158*L1158*(1-M1158)</f>
        <v/>
      </c>
      <c r="P1158" s="3">
        <f>O1158-N1158</f>
        <v/>
      </c>
      <c r="Q1158" s="5">
        <f>IFERROR(P1158/O1158,0)</f>
        <v/>
      </c>
      <c r="R1158" s="2">
        <f>TEXT(DATEVALUE(B1158),"mmm")</f>
        <v/>
      </c>
      <c r="S1158" s="2">
        <f>TEXT(DATEVALUE(B1158),"yyyy-mm")</f>
        <v/>
      </c>
    </row>
    <row r="1159">
      <c r="A1159" s="2" t="inlineStr">
        <is>
          <t>O002473</t>
        </is>
      </c>
      <c r="B1159" s="2" t="inlineStr">
        <is>
          <t>2025-03-27</t>
        </is>
      </c>
      <c r="C1159" s="2" t="inlineStr">
        <is>
          <t>C0798</t>
        </is>
      </c>
      <c r="D1159" s="2" t="inlineStr">
        <is>
          <t>P0009</t>
        </is>
      </c>
      <c r="E1159" s="2" t="inlineStr">
        <is>
          <t>Electric Kettle</t>
        </is>
      </c>
      <c r="F1159" s="2" t="inlineStr">
        <is>
          <t>Home &amp; Kitchen</t>
        </is>
      </c>
      <c r="G1159" s="2" t="inlineStr">
        <is>
          <t>South</t>
        </is>
      </c>
      <c r="H1159" s="2" t="inlineStr">
        <is>
          <t>Tamil Nadu</t>
        </is>
      </c>
      <c r="I1159" s="2" t="inlineStr">
        <is>
          <t>Chennai</t>
        </is>
      </c>
      <c r="J1159" s="2" t="inlineStr">
        <is>
          <t>Store</t>
        </is>
      </c>
      <c r="K1159" s="2" t="n">
        <v>5</v>
      </c>
      <c r="L1159" s="3" t="n">
        <v>2151.75</v>
      </c>
      <c r="M1159" s="4" t="n">
        <v>0</v>
      </c>
      <c r="N1159" s="3" t="n">
        <v>5481.17</v>
      </c>
      <c r="O1159" s="3">
        <f>K1159*L1159*(1-M1159)</f>
        <v/>
      </c>
      <c r="P1159" s="3">
        <f>O1159-N1159</f>
        <v/>
      </c>
      <c r="Q1159" s="5">
        <f>IFERROR(P1159/O1159,0)</f>
        <v/>
      </c>
      <c r="R1159" s="2">
        <f>TEXT(DATEVALUE(B1159),"mmm")</f>
        <v/>
      </c>
      <c r="S1159" s="2">
        <f>TEXT(DATEVALUE(B1159),"yyyy-mm")</f>
        <v/>
      </c>
    </row>
    <row r="1160">
      <c r="A1160" s="2" t="inlineStr">
        <is>
          <t>O002053</t>
        </is>
      </c>
      <c r="B1160" s="2" t="inlineStr">
        <is>
          <t>2025-03-27</t>
        </is>
      </c>
      <c r="C1160" s="2" t="inlineStr">
        <is>
          <t>C0228</t>
        </is>
      </c>
      <c r="D1160" s="2" t="inlineStr">
        <is>
          <t>P0035</t>
        </is>
      </c>
      <c r="E1160" s="2" t="inlineStr">
        <is>
          <t>Skipping Rope</t>
        </is>
      </c>
      <c r="F1160" s="2" t="inlineStr">
        <is>
          <t>Sports</t>
        </is>
      </c>
      <c r="G1160" s="2" t="inlineStr">
        <is>
          <t>South</t>
        </is>
      </c>
      <c r="H1160" s="2" t="inlineStr">
        <is>
          <t>Karnataka</t>
        </is>
      </c>
      <c r="I1160" s="2" t="inlineStr">
        <is>
          <t>Mysuru</t>
        </is>
      </c>
      <c r="J1160" s="2" t="inlineStr">
        <is>
          <t>Online</t>
        </is>
      </c>
      <c r="K1160" s="2" t="n">
        <v>2</v>
      </c>
      <c r="L1160" s="3" t="n">
        <v>713.11</v>
      </c>
      <c r="M1160" s="4" t="n">
        <v>0.1</v>
      </c>
      <c r="N1160" s="3" t="n">
        <v>802.1900000000001</v>
      </c>
      <c r="O1160" s="3">
        <f>K1160*L1160*(1-M1160)</f>
        <v/>
      </c>
      <c r="P1160" s="3">
        <f>O1160-N1160</f>
        <v/>
      </c>
      <c r="Q1160" s="5">
        <f>IFERROR(P1160/O1160,0)</f>
        <v/>
      </c>
      <c r="R1160" s="2">
        <f>TEXT(DATEVALUE(B1160),"mmm")</f>
        <v/>
      </c>
      <c r="S1160" s="2">
        <f>TEXT(DATEVALUE(B1160),"yyyy-mm")</f>
        <v/>
      </c>
    </row>
    <row r="1161">
      <c r="A1161" s="2" t="inlineStr">
        <is>
          <t>O001817</t>
        </is>
      </c>
      <c r="B1161" s="2" t="inlineStr">
        <is>
          <t>2025-03-27</t>
        </is>
      </c>
      <c r="C1161" s="2" t="inlineStr">
        <is>
          <t>C0297</t>
        </is>
      </c>
      <c r="D1161" s="2" t="inlineStr">
        <is>
          <t>P0004</t>
        </is>
      </c>
      <c r="E1161" s="2" t="inlineStr">
        <is>
          <t>USB-C Hub</t>
        </is>
      </c>
      <c r="F1161" s="2" t="inlineStr">
        <is>
          <t>Electronics</t>
        </is>
      </c>
      <c r="G1161" s="2" t="inlineStr">
        <is>
          <t>East</t>
        </is>
      </c>
      <c r="H1161" s="2" t="inlineStr">
        <is>
          <t>Bihar</t>
        </is>
      </c>
      <c r="I1161" s="2" t="inlineStr">
        <is>
          <t>Gaya</t>
        </is>
      </c>
      <c r="J1161" s="2" t="inlineStr">
        <is>
          <t>Online</t>
        </is>
      </c>
      <c r="K1161" s="2" t="n">
        <v>1</v>
      </c>
      <c r="L1161" s="3" t="n">
        <v>1256.34</v>
      </c>
      <c r="M1161" s="4" t="n">
        <v>0.05</v>
      </c>
      <c r="N1161" s="3" t="n">
        <v>907.4299999999999</v>
      </c>
      <c r="O1161" s="3">
        <f>K1161*L1161*(1-M1161)</f>
        <v/>
      </c>
      <c r="P1161" s="3">
        <f>O1161-N1161</f>
        <v/>
      </c>
      <c r="Q1161" s="5">
        <f>IFERROR(P1161/O1161,0)</f>
        <v/>
      </c>
      <c r="R1161" s="2">
        <f>TEXT(DATEVALUE(B1161),"mmm")</f>
        <v/>
      </c>
      <c r="S1161" s="2">
        <f>TEXT(DATEVALUE(B1161),"yyyy-mm")</f>
        <v/>
      </c>
    </row>
    <row r="1162">
      <c r="A1162" s="2" t="inlineStr">
        <is>
          <t>O001458</t>
        </is>
      </c>
      <c r="B1162" s="2" t="inlineStr">
        <is>
          <t>2025-03-27</t>
        </is>
      </c>
      <c r="C1162" s="2" t="inlineStr">
        <is>
          <t>C0523</t>
        </is>
      </c>
      <c r="D1162" s="2" t="inlineStr">
        <is>
          <t>P0011</t>
        </is>
      </c>
      <c r="E1162" s="2" t="inlineStr">
        <is>
          <t>Cookware Set</t>
        </is>
      </c>
      <c r="F1162" s="2" t="inlineStr">
        <is>
          <t>Home &amp; Kitchen</t>
        </is>
      </c>
      <c r="G1162" s="2" t="inlineStr">
        <is>
          <t>West</t>
        </is>
      </c>
      <c r="H1162" s="2" t="inlineStr">
        <is>
          <t>Maharashtra</t>
        </is>
      </c>
      <c r="I1162" s="2" t="inlineStr">
        <is>
          <t>Thane</t>
        </is>
      </c>
      <c r="J1162" s="2" t="inlineStr">
        <is>
          <t>Store</t>
        </is>
      </c>
      <c r="K1162" s="2" t="n">
        <v>2</v>
      </c>
      <c r="L1162" s="3" t="n">
        <v>725.89</v>
      </c>
      <c r="M1162" s="4" t="n">
        <v>0.1</v>
      </c>
      <c r="N1162" s="3" t="n">
        <v>954.73</v>
      </c>
      <c r="O1162" s="3">
        <f>K1162*L1162*(1-M1162)</f>
        <v/>
      </c>
      <c r="P1162" s="3">
        <f>O1162-N1162</f>
        <v/>
      </c>
      <c r="Q1162" s="5">
        <f>IFERROR(P1162/O1162,0)</f>
        <v/>
      </c>
      <c r="R1162" s="2">
        <f>TEXT(DATEVALUE(B1162),"mmm")</f>
        <v/>
      </c>
      <c r="S1162" s="2">
        <f>TEXT(DATEVALUE(B1162),"yyyy-mm")</f>
        <v/>
      </c>
    </row>
    <row r="1163">
      <c r="A1163" s="2" t="inlineStr">
        <is>
          <t>O001089</t>
        </is>
      </c>
      <c r="B1163" s="2" t="inlineStr">
        <is>
          <t>2025-03-27</t>
        </is>
      </c>
      <c r="C1163" s="2" t="inlineStr">
        <is>
          <t>C0457</t>
        </is>
      </c>
      <c r="D1163" s="2" t="inlineStr">
        <is>
          <t>P0014</t>
        </is>
      </c>
      <c r="E1163" s="2" t="inlineStr">
        <is>
          <t>Coffee Maker</t>
        </is>
      </c>
      <c r="F1163" s="2" t="inlineStr">
        <is>
          <t>Home &amp; Kitchen</t>
        </is>
      </c>
      <c r="G1163" s="2" t="inlineStr">
        <is>
          <t>South</t>
        </is>
      </c>
      <c r="H1163" s="2" t="inlineStr">
        <is>
          <t>Karnataka</t>
        </is>
      </c>
      <c r="I1163" s="2" t="inlineStr">
        <is>
          <t>Mysuru</t>
        </is>
      </c>
      <c r="J1163" s="2" t="inlineStr">
        <is>
          <t>Online</t>
        </is>
      </c>
      <c r="K1163" s="2" t="n">
        <v>2</v>
      </c>
      <c r="L1163" s="3" t="n">
        <v>1002.38</v>
      </c>
      <c r="M1163" s="4" t="n">
        <v>0.05</v>
      </c>
      <c r="N1163" s="3" t="n">
        <v>1544.41</v>
      </c>
      <c r="O1163" s="3">
        <f>K1163*L1163*(1-M1163)</f>
        <v/>
      </c>
      <c r="P1163" s="3">
        <f>O1163-N1163</f>
        <v/>
      </c>
      <c r="Q1163" s="5">
        <f>IFERROR(P1163/O1163,0)</f>
        <v/>
      </c>
      <c r="R1163" s="2">
        <f>TEXT(DATEVALUE(B1163),"mmm")</f>
        <v/>
      </c>
      <c r="S1163" s="2">
        <f>TEXT(DATEVALUE(B1163),"yyyy-mm")</f>
        <v/>
      </c>
    </row>
    <row r="1164">
      <c r="A1164" s="2" t="inlineStr">
        <is>
          <t>O000466</t>
        </is>
      </c>
      <c r="B1164" s="2" t="inlineStr">
        <is>
          <t>2025-03-27</t>
        </is>
      </c>
      <c r="C1164" s="2" t="inlineStr">
        <is>
          <t>C0800</t>
        </is>
      </c>
      <c r="D1164" s="2" t="inlineStr">
        <is>
          <t>P0016</t>
        </is>
      </c>
      <c r="E1164" s="2" t="inlineStr">
        <is>
          <t>Casual Shirt</t>
        </is>
      </c>
      <c r="F1164" s="2" t="inlineStr">
        <is>
          <t>Fashion</t>
        </is>
      </c>
      <c r="G1164" s="2" t="inlineStr">
        <is>
          <t>North</t>
        </is>
      </c>
      <c r="H1164" s="2" t="inlineStr">
        <is>
          <t>Haryana</t>
        </is>
      </c>
      <c r="I1164" s="2" t="inlineStr">
        <is>
          <t>Gurugram</t>
        </is>
      </c>
      <c r="J1164" s="2" t="inlineStr">
        <is>
          <t>Online</t>
        </is>
      </c>
      <c r="K1164" s="2" t="n">
        <v>2</v>
      </c>
      <c r="L1164" s="3" t="n">
        <v>1252.22</v>
      </c>
      <c r="M1164" s="4" t="n">
        <v>0</v>
      </c>
      <c r="N1164" s="3" t="n">
        <v>1807.01</v>
      </c>
      <c r="O1164" s="3">
        <f>K1164*L1164*(1-M1164)</f>
        <v/>
      </c>
      <c r="P1164" s="3">
        <f>O1164-N1164</f>
        <v/>
      </c>
      <c r="Q1164" s="5">
        <f>IFERROR(P1164/O1164,0)</f>
        <v/>
      </c>
      <c r="R1164" s="2">
        <f>TEXT(DATEVALUE(B1164),"mmm")</f>
        <v/>
      </c>
      <c r="S1164" s="2">
        <f>TEXT(DATEVALUE(B1164),"yyyy-mm")</f>
        <v/>
      </c>
    </row>
    <row r="1165">
      <c r="A1165" s="2" t="inlineStr">
        <is>
          <t>O000157</t>
        </is>
      </c>
      <c r="B1165" s="2" t="inlineStr">
        <is>
          <t>2025-03-27</t>
        </is>
      </c>
      <c r="C1165" s="2" t="inlineStr">
        <is>
          <t>C0363</t>
        </is>
      </c>
      <c r="D1165" s="2" t="inlineStr">
        <is>
          <t>P0026</t>
        </is>
      </c>
      <c r="E1165" s="2" t="inlineStr">
        <is>
          <t>Shampoo</t>
        </is>
      </c>
      <c r="F1165" s="2" t="inlineStr">
        <is>
          <t>Beauty</t>
        </is>
      </c>
      <c r="G1165" s="2" t="inlineStr">
        <is>
          <t>North</t>
        </is>
      </c>
      <c r="H1165" s="2" t="inlineStr">
        <is>
          <t>Delhi</t>
        </is>
      </c>
      <c r="I1165" s="2" t="inlineStr">
        <is>
          <t>New Delhi</t>
        </is>
      </c>
      <c r="J1165" s="2" t="inlineStr">
        <is>
          <t>Online</t>
        </is>
      </c>
      <c r="K1165" s="2" t="n">
        <v>2</v>
      </c>
      <c r="L1165" s="3" t="n">
        <v>880.12</v>
      </c>
      <c r="M1165" s="4" t="n">
        <v>0.1</v>
      </c>
      <c r="N1165" s="3" t="n">
        <v>1078.04</v>
      </c>
      <c r="O1165" s="3">
        <f>K1165*L1165*(1-M1165)</f>
        <v/>
      </c>
      <c r="P1165" s="3">
        <f>O1165-N1165</f>
        <v/>
      </c>
      <c r="Q1165" s="5">
        <f>IFERROR(P1165/O1165,0)</f>
        <v/>
      </c>
      <c r="R1165" s="2">
        <f>TEXT(DATEVALUE(B1165),"mmm")</f>
        <v/>
      </c>
      <c r="S1165" s="2">
        <f>TEXT(DATEVALUE(B1165),"yyyy-mm")</f>
        <v/>
      </c>
    </row>
    <row r="1166">
      <c r="A1166" s="2" t="inlineStr">
        <is>
          <t>O002637</t>
        </is>
      </c>
      <c r="B1166" s="2" t="inlineStr">
        <is>
          <t>2025-03-27</t>
        </is>
      </c>
      <c r="C1166" s="2" t="inlineStr">
        <is>
          <t>C0427</t>
        </is>
      </c>
      <c r="D1166" s="2" t="inlineStr">
        <is>
          <t>P0024</t>
        </is>
      </c>
      <c r="E1166" s="2" t="inlineStr">
        <is>
          <t>Hair Dryer</t>
        </is>
      </c>
      <c r="F1166" s="2" t="inlineStr">
        <is>
          <t>Beauty</t>
        </is>
      </c>
      <c r="G1166" s="2" t="inlineStr">
        <is>
          <t>East</t>
        </is>
      </c>
      <c r="H1166" s="2" t="inlineStr">
        <is>
          <t>West Bengal</t>
        </is>
      </c>
      <c r="I1166" s="2" t="inlineStr">
        <is>
          <t>Durgapur</t>
        </is>
      </c>
      <c r="J1166" s="2" t="inlineStr">
        <is>
          <t>Online</t>
        </is>
      </c>
      <c r="K1166" s="2" t="n">
        <v>3</v>
      </c>
      <c r="L1166" s="3" t="n">
        <v>1027.27</v>
      </c>
      <c r="M1166" s="4" t="n">
        <v>0.2</v>
      </c>
      <c r="N1166" s="3" t="n">
        <v>2150.77</v>
      </c>
      <c r="O1166" s="3">
        <f>K1166*L1166*(1-M1166)</f>
        <v/>
      </c>
      <c r="P1166" s="3">
        <f>O1166-N1166</f>
        <v/>
      </c>
      <c r="Q1166" s="5">
        <f>IFERROR(P1166/O1166,0)</f>
        <v/>
      </c>
      <c r="R1166" s="2">
        <f>TEXT(DATEVALUE(B1166),"mmm")</f>
        <v/>
      </c>
      <c r="S1166" s="2">
        <f>TEXT(DATEVALUE(B1166),"yyyy-mm")</f>
        <v/>
      </c>
    </row>
    <row r="1167">
      <c r="A1167" s="2" t="inlineStr">
        <is>
          <t>O002881</t>
        </is>
      </c>
      <c r="B1167" s="2" t="inlineStr">
        <is>
          <t>2025-03-28</t>
        </is>
      </c>
      <c r="C1167" s="2" t="inlineStr">
        <is>
          <t>C0523</t>
        </is>
      </c>
      <c r="D1167" s="2" t="inlineStr">
        <is>
          <t>P0002</t>
        </is>
      </c>
      <c r="E1167" s="2" t="inlineStr">
        <is>
          <t>Bluetooth Speaker</t>
        </is>
      </c>
      <c r="F1167" s="2" t="inlineStr">
        <is>
          <t>Electronics</t>
        </is>
      </c>
      <c r="G1167" s="2" t="inlineStr">
        <is>
          <t>West</t>
        </is>
      </c>
      <c r="H1167" s="2" t="inlineStr">
        <is>
          <t>Maharashtra</t>
        </is>
      </c>
      <c r="I1167" s="2" t="inlineStr">
        <is>
          <t>Nagpur</t>
        </is>
      </c>
      <c r="J1167" s="2" t="inlineStr">
        <is>
          <t>Online</t>
        </is>
      </c>
      <c r="K1167" s="2" t="n">
        <v>3</v>
      </c>
      <c r="L1167" s="3" t="n">
        <v>1327.45</v>
      </c>
      <c r="M1167" s="4" t="n">
        <v>0</v>
      </c>
      <c r="N1167" s="3" t="n">
        <v>2398.15</v>
      </c>
      <c r="O1167" s="3">
        <f>K1167*L1167*(1-M1167)</f>
        <v/>
      </c>
      <c r="P1167" s="3">
        <f>O1167-N1167</f>
        <v/>
      </c>
      <c r="Q1167" s="5">
        <f>IFERROR(P1167/O1167,0)</f>
        <v/>
      </c>
      <c r="R1167" s="2">
        <f>TEXT(DATEVALUE(B1167),"mmm")</f>
        <v/>
      </c>
      <c r="S1167" s="2">
        <f>TEXT(DATEVALUE(B1167),"yyyy-mm")</f>
        <v/>
      </c>
    </row>
    <row r="1168">
      <c r="A1168" s="2" t="inlineStr">
        <is>
          <t>O004552</t>
        </is>
      </c>
      <c r="B1168" s="2" t="inlineStr">
        <is>
          <t>2025-03-28</t>
        </is>
      </c>
      <c r="C1168" s="2" t="inlineStr">
        <is>
          <t>C0175</t>
        </is>
      </c>
      <c r="D1168" s="2" t="inlineStr">
        <is>
          <t>P0010</t>
        </is>
      </c>
      <c r="E1168" s="2" t="inlineStr">
        <is>
          <t>Mixer Grinder</t>
        </is>
      </c>
      <c r="F1168" s="2" t="inlineStr">
        <is>
          <t>Home &amp; Kitchen</t>
        </is>
      </c>
      <c r="G1168" s="2" t="inlineStr">
        <is>
          <t>North</t>
        </is>
      </c>
      <c r="H1168" s="2" t="inlineStr">
        <is>
          <t>Uttar Pradesh</t>
        </is>
      </c>
      <c r="I1168" s="2" t="inlineStr">
        <is>
          <t>Varanasi</t>
        </is>
      </c>
      <c r="J1168" s="2" t="inlineStr">
        <is>
          <t>Online</t>
        </is>
      </c>
      <c r="K1168" s="2" t="n">
        <v>1</v>
      </c>
      <c r="L1168" s="3" t="n">
        <v>1664.08</v>
      </c>
      <c r="M1168" s="4" t="n">
        <v>0.05</v>
      </c>
      <c r="N1168" s="3" t="n">
        <v>1015.39</v>
      </c>
      <c r="O1168" s="3">
        <f>K1168*L1168*(1-M1168)</f>
        <v/>
      </c>
      <c r="P1168" s="3">
        <f>O1168-N1168</f>
        <v/>
      </c>
      <c r="Q1168" s="5">
        <f>IFERROR(P1168/O1168,0)</f>
        <v/>
      </c>
      <c r="R1168" s="2">
        <f>TEXT(DATEVALUE(B1168),"mmm")</f>
        <v/>
      </c>
      <c r="S1168" s="2">
        <f>TEXT(DATEVALUE(B1168),"yyyy-mm")</f>
        <v/>
      </c>
    </row>
    <row r="1169">
      <c r="A1169" s="2" t="inlineStr">
        <is>
          <t>O003426</t>
        </is>
      </c>
      <c r="B1169" s="2" t="inlineStr">
        <is>
          <t>2025-03-28</t>
        </is>
      </c>
      <c r="C1169" s="2" t="inlineStr">
        <is>
          <t>C0510</t>
        </is>
      </c>
      <c r="D1169" s="2" t="inlineStr">
        <is>
          <t>P0014</t>
        </is>
      </c>
      <c r="E1169" s="2" t="inlineStr">
        <is>
          <t>Coffee Maker</t>
        </is>
      </c>
      <c r="F1169" s="2" t="inlineStr">
        <is>
          <t>Home &amp; Kitchen</t>
        </is>
      </c>
      <c r="G1169" s="2" t="inlineStr">
        <is>
          <t>North</t>
        </is>
      </c>
      <c r="H1169" s="2" t="inlineStr">
        <is>
          <t>Uttar Pradesh</t>
        </is>
      </c>
      <c r="I1169" s="2" t="inlineStr">
        <is>
          <t>Kanpur</t>
        </is>
      </c>
      <c r="J1169" s="2" t="inlineStr">
        <is>
          <t>Online</t>
        </is>
      </c>
      <c r="K1169" s="2" t="n">
        <v>2</v>
      </c>
      <c r="L1169" s="3" t="n">
        <v>1061.44</v>
      </c>
      <c r="M1169" s="4" t="n">
        <v>0.1</v>
      </c>
      <c r="N1169" s="3" t="n">
        <v>1551.71</v>
      </c>
      <c r="O1169" s="3">
        <f>K1169*L1169*(1-M1169)</f>
        <v/>
      </c>
      <c r="P1169" s="3">
        <f>O1169-N1169</f>
        <v/>
      </c>
      <c r="Q1169" s="5">
        <f>IFERROR(P1169/O1169,0)</f>
        <v/>
      </c>
      <c r="R1169" s="2">
        <f>TEXT(DATEVALUE(B1169),"mmm")</f>
        <v/>
      </c>
      <c r="S1169" s="2">
        <f>TEXT(DATEVALUE(B1169),"yyyy-mm")</f>
        <v/>
      </c>
    </row>
    <row r="1170">
      <c r="A1170" s="2" t="inlineStr">
        <is>
          <t>O003216</t>
        </is>
      </c>
      <c r="B1170" s="2" t="inlineStr">
        <is>
          <t>2025-03-28</t>
        </is>
      </c>
      <c r="C1170" s="2" t="inlineStr">
        <is>
          <t>C0563</t>
        </is>
      </c>
      <c r="D1170" s="2" t="inlineStr">
        <is>
          <t>P0031</t>
        </is>
      </c>
      <c r="E1170" s="2" t="inlineStr">
        <is>
          <t>Cricket Bat</t>
        </is>
      </c>
      <c r="F1170" s="2" t="inlineStr">
        <is>
          <t>Sports</t>
        </is>
      </c>
      <c r="G1170" s="2" t="inlineStr">
        <is>
          <t>West</t>
        </is>
      </c>
      <c r="H1170" s="2" t="inlineStr">
        <is>
          <t>Gujarat</t>
        </is>
      </c>
      <c r="I1170" s="2" t="inlineStr">
        <is>
          <t>Vadodara</t>
        </is>
      </c>
      <c r="J1170" s="2" t="inlineStr">
        <is>
          <t>Online</t>
        </is>
      </c>
      <c r="K1170" s="2" t="n">
        <v>1</v>
      </c>
      <c r="L1170" s="3" t="n">
        <v>1332.53</v>
      </c>
      <c r="M1170" s="4" t="n">
        <v>0</v>
      </c>
      <c r="N1170" s="3" t="n">
        <v>923.6900000000001</v>
      </c>
      <c r="O1170" s="3">
        <f>K1170*L1170*(1-M1170)</f>
        <v/>
      </c>
      <c r="P1170" s="3">
        <f>O1170-N1170</f>
        <v/>
      </c>
      <c r="Q1170" s="5">
        <f>IFERROR(P1170/O1170,0)</f>
        <v/>
      </c>
      <c r="R1170" s="2">
        <f>TEXT(DATEVALUE(B1170),"mmm")</f>
        <v/>
      </c>
      <c r="S1170" s="2">
        <f>TEXT(DATEVALUE(B1170),"yyyy-mm")</f>
        <v/>
      </c>
    </row>
    <row r="1171">
      <c r="A1171" s="2" t="inlineStr">
        <is>
          <t>O002547</t>
        </is>
      </c>
      <c r="B1171" s="2" t="inlineStr">
        <is>
          <t>2025-03-28</t>
        </is>
      </c>
      <c r="C1171" s="2" t="inlineStr">
        <is>
          <t>C0474</t>
        </is>
      </c>
      <c r="D1171" s="2" t="inlineStr">
        <is>
          <t>P0024</t>
        </is>
      </c>
      <c r="E1171" s="2" t="inlineStr">
        <is>
          <t>Hair Dryer</t>
        </is>
      </c>
      <c r="F1171" s="2" t="inlineStr">
        <is>
          <t>Beauty</t>
        </is>
      </c>
      <c r="G1171" s="2" t="inlineStr">
        <is>
          <t>West</t>
        </is>
      </c>
      <c r="H1171" s="2" t="inlineStr">
        <is>
          <t>Goa</t>
        </is>
      </c>
      <c r="I1171" s="2" t="inlineStr">
        <is>
          <t>Panaji</t>
        </is>
      </c>
      <c r="J1171" s="2" t="inlineStr">
        <is>
          <t>Online</t>
        </is>
      </c>
      <c r="K1171" s="2" t="n">
        <v>4</v>
      </c>
      <c r="L1171" s="3" t="n">
        <v>995.1</v>
      </c>
      <c r="M1171" s="4" t="n">
        <v>0.05</v>
      </c>
      <c r="N1171" s="3" t="n">
        <v>2890.78</v>
      </c>
      <c r="O1171" s="3">
        <f>K1171*L1171*(1-M1171)</f>
        <v/>
      </c>
      <c r="P1171" s="3">
        <f>O1171-N1171</f>
        <v/>
      </c>
      <c r="Q1171" s="5">
        <f>IFERROR(P1171/O1171,0)</f>
        <v/>
      </c>
      <c r="R1171" s="2">
        <f>TEXT(DATEVALUE(B1171),"mmm")</f>
        <v/>
      </c>
      <c r="S1171" s="2">
        <f>TEXT(DATEVALUE(B1171),"yyyy-mm")</f>
        <v/>
      </c>
    </row>
    <row r="1172">
      <c r="A1172" s="2" t="inlineStr">
        <is>
          <t>O004545</t>
        </is>
      </c>
      <c r="B1172" s="2" t="inlineStr">
        <is>
          <t>2025-03-28</t>
        </is>
      </c>
      <c r="C1172" s="2" t="inlineStr">
        <is>
          <t>C0263</t>
        </is>
      </c>
      <c r="D1172" s="2" t="inlineStr">
        <is>
          <t>P0029</t>
        </is>
      </c>
      <c r="E1172" s="2" t="inlineStr">
        <is>
          <t>Yoga Mat</t>
        </is>
      </c>
      <c r="F1172" s="2" t="inlineStr">
        <is>
          <t>Sports</t>
        </is>
      </c>
      <c r="G1172" s="2" t="inlineStr">
        <is>
          <t>South</t>
        </is>
      </c>
      <c r="H1172" s="2" t="inlineStr">
        <is>
          <t>Tamil Nadu</t>
        </is>
      </c>
      <c r="I1172" s="2" t="inlineStr">
        <is>
          <t>Coimbatore</t>
        </is>
      </c>
      <c r="J1172" s="2" t="inlineStr">
        <is>
          <t>Store</t>
        </is>
      </c>
      <c r="K1172" s="2" t="n">
        <v>2</v>
      </c>
      <c r="L1172" s="3" t="n">
        <v>2449.55</v>
      </c>
      <c r="M1172" s="4" t="n">
        <v>0.05</v>
      </c>
      <c r="N1172" s="3" t="n">
        <v>2596.56</v>
      </c>
      <c r="O1172" s="3">
        <f>K1172*L1172*(1-M1172)</f>
        <v/>
      </c>
      <c r="P1172" s="3">
        <f>O1172-N1172</f>
        <v/>
      </c>
      <c r="Q1172" s="5">
        <f>IFERROR(P1172/O1172,0)</f>
        <v/>
      </c>
      <c r="R1172" s="2">
        <f>TEXT(DATEVALUE(B1172),"mmm")</f>
        <v/>
      </c>
      <c r="S1172" s="2">
        <f>TEXT(DATEVALUE(B1172),"yyyy-mm")</f>
        <v/>
      </c>
    </row>
    <row r="1173">
      <c r="A1173" s="2" t="inlineStr">
        <is>
          <t>O001945</t>
        </is>
      </c>
      <c r="B1173" s="2" t="inlineStr">
        <is>
          <t>2025-03-28</t>
        </is>
      </c>
      <c r="C1173" s="2" t="inlineStr">
        <is>
          <t>C0409</t>
        </is>
      </c>
      <c r="D1173" s="2" t="inlineStr">
        <is>
          <t>P0011</t>
        </is>
      </c>
      <c r="E1173" s="2" t="inlineStr">
        <is>
          <t>Cookware Set</t>
        </is>
      </c>
      <c r="F1173" s="2" t="inlineStr">
        <is>
          <t>Home &amp; Kitchen</t>
        </is>
      </c>
      <c r="G1173" s="2" t="inlineStr">
        <is>
          <t>South</t>
        </is>
      </c>
      <c r="H1173" s="2" t="inlineStr">
        <is>
          <t>Telangana</t>
        </is>
      </c>
      <c r="I1173" s="2" t="inlineStr">
        <is>
          <t>Warangal</t>
        </is>
      </c>
      <c r="J1173" s="2" t="inlineStr">
        <is>
          <t>Store</t>
        </is>
      </c>
      <c r="K1173" s="2" t="n">
        <v>2</v>
      </c>
      <c r="L1173" s="3" t="n">
        <v>700.34</v>
      </c>
      <c r="M1173" s="4" t="n">
        <v>0.05</v>
      </c>
      <c r="N1173" s="3" t="n">
        <v>935.24</v>
      </c>
      <c r="O1173" s="3">
        <f>K1173*L1173*(1-M1173)</f>
        <v/>
      </c>
      <c r="P1173" s="3">
        <f>O1173-N1173</f>
        <v/>
      </c>
      <c r="Q1173" s="5">
        <f>IFERROR(P1173/O1173,0)</f>
        <v/>
      </c>
      <c r="R1173" s="2">
        <f>TEXT(DATEVALUE(B1173),"mmm")</f>
        <v/>
      </c>
      <c r="S1173" s="2">
        <f>TEXT(DATEVALUE(B1173),"yyyy-mm")</f>
        <v/>
      </c>
    </row>
    <row r="1174">
      <c r="A1174" s="2" t="inlineStr">
        <is>
          <t>O001872</t>
        </is>
      </c>
      <c r="B1174" s="2" t="inlineStr">
        <is>
          <t>2025-03-28</t>
        </is>
      </c>
      <c r="C1174" s="2" t="inlineStr">
        <is>
          <t>C0334</t>
        </is>
      </c>
      <c r="D1174" s="2" t="inlineStr">
        <is>
          <t>P0024</t>
        </is>
      </c>
      <c r="E1174" s="2" t="inlineStr">
        <is>
          <t>Hair Dryer</t>
        </is>
      </c>
      <c r="F1174" s="2" t="inlineStr">
        <is>
          <t>Beauty</t>
        </is>
      </c>
      <c r="G1174" s="2" t="inlineStr">
        <is>
          <t>North</t>
        </is>
      </c>
      <c r="H1174" s="2" t="inlineStr">
        <is>
          <t>Haryana</t>
        </is>
      </c>
      <c r="I1174" s="2" t="inlineStr">
        <is>
          <t>Gurugram</t>
        </is>
      </c>
      <c r="J1174" s="2" t="inlineStr">
        <is>
          <t>Online</t>
        </is>
      </c>
      <c r="K1174" s="2" t="n">
        <v>1</v>
      </c>
      <c r="L1174" s="3" t="n">
        <v>983.02</v>
      </c>
      <c r="M1174" s="4" t="n">
        <v>0.05</v>
      </c>
      <c r="N1174" s="3" t="n">
        <v>740.97</v>
      </c>
      <c r="O1174" s="3">
        <f>K1174*L1174*(1-M1174)</f>
        <v/>
      </c>
      <c r="P1174" s="3">
        <f>O1174-N1174</f>
        <v/>
      </c>
      <c r="Q1174" s="5">
        <f>IFERROR(P1174/O1174,0)</f>
        <v/>
      </c>
      <c r="R1174" s="2">
        <f>TEXT(DATEVALUE(B1174),"mmm")</f>
        <v/>
      </c>
      <c r="S1174" s="2">
        <f>TEXT(DATEVALUE(B1174),"yyyy-mm")</f>
        <v/>
      </c>
    </row>
    <row r="1175">
      <c r="A1175" s="2" t="inlineStr">
        <is>
          <t>O001349</t>
        </is>
      </c>
      <c r="B1175" s="2" t="inlineStr">
        <is>
          <t>2025-03-28</t>
        </is>
      </c>
      <c r="C1175" s="2" t="inlineStr">
        <is>
          <t>C0227</t>
        </is>
      </c>
      <c r="D1175" s="2" t="inlineStr">
        <is>
          <t>P0004</t>
        </is>
      </c>
      <c r="E1175" s="2" t="inlineStr">
        <is>
          <t>USB-C Hub</t>
        </is>
      </c>
      <c r="F1175" s="2" t="inlineStr">
        <is>
          <t>Electronics</t>
        </is>
      </c>
      <c r="G1175" s="2" t="inlineStr">
        <is>
          <t>West</t>
        </is>
      </c>
      <c r="H1175" s="2" t="inlineStr">
        <is>
          <t>Goa</t>
        </is>
      </c>
      <c r="I1175" s="2" t="inlineStr">
        <is>
          <t>Panaji</t>
        </is>
      </c>
      <c r="J1175" s="2" t="inlineStr">
        <is>
          <t>Store</t>
        </is>
      </c>
      <c r="K1175" s="2" t="n">
        <v>1</v>
      </c>
      <c r="L1175" s="3" t="n">
        <v>1225.29</v>
      </c>
      <c r="M1175" s="4" t="n">
        <v>0.05</v>
      </c>
      <c r="N1175" s="3" t="n">
        <v>956.2</v>
      </c>
      <c r="O1175" s="3">
        <f>K1175*L1175*(1-M1175)</f>
        <v/>
      </c>
      <c r="P1175" s="3">
        <f>O1175-N1175</f>
        <v/>
      </c>
      <c r="Q1175" s="5">
        <f>IFERROR(P1175/O1175,0)</f>
        <v/>
      </c>
      <c r="R1175" s="2">
        <f>TEXT(DATEVALUE(B1175),"mmm")</f>
        <v/>
      </c>
      <c r="S1175" s="2">
        <f>TEXT(DATEVALUE(B1175),"yyyy-mm")</f>
        <v/>
      </c>
    </row>
    <row r="1176">
      <c r="A1176" s="2" t="inlineStr">
        <is>
          <t>O001246</t>
        </is>
      </c>
      <c r="B1176" s="2" t="inlineStr">
        <is>
          <t>2025-03-28</t>
        </is>
      </c>
      <c r="C1176" s="2" t="inlineStr">
        <is>
          <t>C0712</t>
        </is>
      </c>
      <c r="D1176" s="2" t="inlineStr">
        <is>
          <t>P0003</t>
        </is>
      </c>
      <c r="E1176" s="2" t="inlineStr">
        <is>
          <t>Smartwatch</t>
        </is>
      </c>
      <c r="F1176" s="2" t="inlineStr">
        <is>
          <t>Electronics</t>
        </is>
      </c>
      <c r="G1176" s="2" t="inlineStr">
        <is>
          <t>West</t>
        </is>
      </c>
      <c r="H1176" s="2" t="inlineStr">
        <is>
          <t>Gujarat</t>
        </is>
      </c>
      <c r="I1176" s="2" t="inlineStr">
        <is>
          <t>Vadodara</t>
        </is>
      </c>
      <c r="J1176" s="2" t="inlineStr">
        <is>
          <t>Store</t>
        </is>
      </c>
      <c r="K1176" s="2" t="n">
        <v>4</v>
      </c>
      <c r="L1176" s="3" t="n">
        <v>2379.36</v>
      </c>
      <c r="M1176" s="4" t="n">
        <v>0</v>
      </c>
      <c r="N1176" s="3" t="n">
        <v>4837.69</v>
      </c>
      <c r="O1176" s="3">
        <f>K1176*L1176*(1-M1176)</f>
        <v/>
      </c>
      <c r="P1176" s="3">
        <f>O1176-N1176</f>
        <v/>
      </c>
      <c r="Q1176" s="5">
        <f>IFERROR(P1176/O1176,0)</f>
        <v/>
      </c>
      <c r="R1176" s="2">
        <f>TEXT(DATEVALUE(B1176),"mmm")</f>
        <v/>
      </c>
      <c r="S1176" s="2">
        <f>TEXT(DATEVALUE(B1176),"yyyy-mm")</f>
        <v/>
      </c>
    </row>
    <row r="1177">
      <c r="A1177" s="2" t="inlineStr">
        <is>
          <t>O002542</t>
        </is>
      </c>
      <c r="B1177" s="2" t="inlineStr">
        <is>
          <t>2025-03-28</t>
        </is>
      </c>
      <c r="C1177" s="2" t="inlineStr">
        <is>
          <t>C0454</t>
        </is>
      </c>
      <c r="D1177" s="2" t="inlineStr">
        <is>
          <t>P0010</t>
        </is>
      </c>
      <c r="E1177" s="2" t="inlineStr">
        <is>
          <t>Mixer Grinder</t>
        </is>
      </c>
      <c r="F1177" s="2" t="inlineStr">
        <is>
          <t>Home &amp; Kitchen</t>
        </is>
      </c>
      <c r="G1177" s="2" t="inlineStr">
        <is>
          <t>South</t>
        </is>
      </c>
      <c r="H1177" s="2" t="inlineStr">
        <is>
          <t>Karnataka</t>
        </is>
      </c>
      <c r="I1177" s="2" t="inlineStr">
        <is>
          <t>Mysuru</t>
        </is>
      </c>
      <c r="J1177" s="2" t="inlineStr">
        <is>
          <t>Store</t>
        </is>
      </c>
      <c r="K1177" s="2" t="n">
        <v>3</v>
      </c>
      <c r="L1177" s="3" t="n">
        <v>1621.17</v>
      </c>
      <c r="M1177" s="4" t="n">
        <v>0.1</v>
      </c>
      <c r="N1177" s="3" t="n">
        <v>3089.99</v>
      </c>
      <c r="O1177" s="3">
        <f>K1177*L1177*(1-M1177)</f>
        <v/>
      </c>
      <c r="P1177" s="3">
        <f>O1177-N1177</f>
        <v/>
      </c>
      <c r="Q1177" s="5">
        <f>IFERROR(P1177/O1177,0)</f>
        <v/>
      </c>
      <c r="R1177" s="2">
        <f>TEXT(DATEVALUE(B1177),"mmm")</f>
        <v/>
      </c>
      <c r="S1177" s="2">
        <f>TEXT(DATEVALUE(B1177),"yyyy-mm")</f>
        <v/>
      </c>
    </row>
    <row r="1178">
      <c r="A1178" s="2" t="inlineStr">
        <is>
          <t>O004952</t>
        </is>
      </c>
      <c r="B1178" s="2" t="inlineStr">
        <is>
          <t>2025-03-29</t>
        </is>
      </c>
      <c r="C1178" s="2" t="inlineStr">
        <is>
          <t>C0093</t>
        </is>
      </c>
      <c r="D1178" s="2" t="inlineStr">
        <is>
          <t>P0011</t>
        </is>
      </c>
      <c r="E1178" s="2" t="inlineStr">
        <is>
          <t>Cookware Set</t>
        </is>
      </c>
      <c r="F1178" s="2" t="inlineStr">
        <is>
          <t>Home &amp; Kitchen</t>
        </is>
      </c>
      <c r="G1178" s="2" t="inlineStr">
        <is>
          <t>West</t>
        </is>
      </c>
      <c r="H1178" s="2" t="inlineStr">
        <is>
          <t>Maharashtra</t>
        </is>
      </c>
      <c r="I1178" s="2" t="inlineStr">
        <is>
          <t>Nashik</t>
        </is>
      </c>
      <c r="J1178" s="2" t="inlineStr">
        <is>
          <t>Store</t>
        </is>
      </c>
      <c r="K1178" s="2" t="n">
        <v>5</v>
      </c>
      <c r="L1178" s="3" t="n">
        <v>696.27</v>
      </c>
      <c r="M1178" s="4" t="n">
        <v>0.1</v>
      </c>
      <c r="N1178" s="3" t="n">
        <v>2407.01</v>
      </c>
      <c r="O1178" s="3">
        <f>K1178*L1178*(1-M1178)</f>
        <v/>
      </c>
      <c r="P1178" s="3">
        <f>O1178-N1178</f>
        <v/>
      </c>
      <c r="Q1178" s="5">
        <f>IFERROR(P1178/O1178,0)</f>
        <v/>
      </c>
      <c r="R1178" s="2">
        <f>TEXT(DATEVALUE(B1178),"mmm")</f>
        <v/>
      </c>
      <c r="S1178" s="2">
        <f>TEXT(DATEVALUE(B1178),"yyyy-mm")</f>
        <v/>
      </c>
    </row>
    <row r="1179">
      <c r="A1179" s="2" t="inlineStr">
        <is>
          <t>O004485</t>
        </is>
      </c>
      <c r="B1179" s="2" t="inlineStr">
        <is>
          <t>2025-03-29</t>
        </is>
      </c>
      <c r="C1179" s="2" t="inlineStr">
        <is>
          <t>C0659</t>
        </is>
      </c>
      <c r="D1179" s="2" t="inlineStr">
        <is>
          <t>P0024</t>
        </is>
      </c>
      <c r="E1179" s="2" t="inlineStr">
        <is>
          <t>Hair Dryer</t>
        </is>
      </c>
      <c r="F1179" s="2" t="inlineStr">
        <is>
          <t>Beauty</t>
        </is>
      </c>
      <c r="G1179" s="2" t="inlineStr">
        <is>
          <t>South</t>
        </is>
      </c>
      <c r="H1179" s="2" t="inlineStr">
        <is>
          <t>Kerala</t>
        </is>
      </c>
      <c r="I1179" s="2" t="inlineStr">
        <is>
          <t>Kochi</t>
        </is>
      </c>
      <c r="J1179" s="2" t="inlineStr">
        <is>
          <t>Online</t>
        </is>
      </c>
      <c r="K1179" s="2" t="n">
        <v>2</v>
      </c>
      <c r="L1179" s="3" t="n">
        <v>966.3099999999999</v>
      </c>
      <c r="M1179" s="4" t="n">
        <v>0.05</v>
      </c>
      <c r="N1179" s="3" t="n">
        <v>1431.52</v>
      </c>
      <c r="O1179" s="3">
        <f>K1179*L1179*(1-M1179)</f>
        <v/>
      </c>
      <c r="P1179" s="3">
        <f>O1179-N1179</f>
        <v/>
      </c>
      <c r="Q1179" s="5">
        <f>IFERROR(P1179/O1179,0)</f>
        <v/>
      </c>
      <c r="R1179" s="2">
        <f>TEXT(DATEVALUE(B1179),"mmm")</f>
        <v/>
      </c>
      <c r="S1179" s="2">
        <f>TEXT(DATEVALUE(B1179),"yyyy-mm")</f>
        <v/>
      </c>
    </row>
    <row r="1180">
      <c r="A1180" s="2" t="inlineStr">
        <is>
          <t>O004186</t>
        </is>
      </c>
      <c r="B1180" s="2" t="inlineStr">
        <is>
          <t>2025-03-29</t>
        </is>
      </c>
      <c r="C1180" s="2" t="inlineStr">
        <is>
          <t>C0175</t>
        </is>
      </c>
      <c r="D1180" s="2" t="inlineStr">
        <is>
          <t>P0013</t>
        </is>
      </c>
      <c r="E1180" s="2" t="inlineStr">
        <is>
          <t>Storage Organizer</t>
        </is>
      </c>
      <c r="F1180" s="2" t="inlineStr">
        <is>
          <t>Home &amp; Kitchen</t>
        </is>
      </c>
      <c r="G1180" s="2" t="inlineStr">
        <is>
          <t>West</t>
        </is>
      </c>
      <c r="H1180" s="2" t="inlineStr">
        <is>
          <t>Maharashtra</t>
        </is>
      </c>
      <c r="I1180" s="2" t="inlineStr">
        <is>
          <t>Mumbai</t>
        </is>
      </c>
      <c r="J1180" s="2" t="inlineStr">
        <is>
          <t>Online</t>
        </is>
      </c>
      <c r="K1180" s="2" t="n">
        <v>1</v>
      </c>
      <c r="L1180" s="3" t="n">
        <v>591.02</v>
      </c>
      <c r="M1180" s="4" t="n">
        <v>0.15</v>
      </c>
      <c r="N1180" s="3" t="n">
        <v>364.52</v>
      </c>
      <c r="O1180" s="3">
        <f>K1180*L1180*(1-M1180)</f>
        <v/>
      </c>
      <c r="P1180" s="3">
        <f>O1180-N1180</f>
        <v/>
      </c>
      <c r="Q1180" s="5">
        <f>IFERROR(P1180/O1180,0)</f>
        <v/>
      </c>
      <c r="R1180" s="2">
        <f>TEXT(DATEVALUE(B1180),"mmm")</f>
        <v/>
      </c>
      <c r="S1180" s="2">
        <f>TEXT(DATEVALUE(B1180),"yyyy-mm")</f>
        <v/>
      </c>
    </row>
    <row r="1181">
      <c r="A1181" s="2" t="inlineStr">
        <is>
          <t>O003989</t>
        </is>
      </c>
      <c r="B1181" s="2" t="inlineStr">
        <is>
          <t>2025-03-29</t>
        </is>
      </c>
      <c r="C1181" s="2" t="inlineStr">
        <is>
          <t>C0782</t>
        </is>
      </c>
      <c r="D1181" s="2" t="inlineStr">
        <is>
          <t>P0022</t>
        </is>
      </c>
      <c r="E1181" s="2" t="inlineStr">
        <is>
          <t>Face Wash</t>
        </is>
      </c>
      <c r="F1181" s="2" t="inlineStr">
        <is>
          <t>Beauty</t>
        </is>
      </c>
      <c r="G1181" s="2" t="inlineStr">
        <is>
          <t>South</t>
        </is>
      </c>
      <c r="H1181" s="2" t="inlineStr">
        <is>
          <t>Kerala</t>
        </is>
      </c>
      <c r="I1181" s="2" t="inlineStr">
        <is>
          <t>Thiruvananthapuram</t>
        </is>
      </c>
      <c r="J1181" s="2" t="inlineStr">
        <is>
          <t>Store</t>
        </is>
      </c>
      <c r="K1181" s="2" t="n">
        <v>1</v>
      </c>
      <c r="L1181" s="3" t="n">
        <v>566.63</v>
      </c>
      <c r="M1181" s="4" t="n">
        <v>0.05</v>
      </c>
      <c r="N1181" s="3" t="n">
        <v>357.43</v>
      </c>
      <c r="O1181" s="3">
        <f>K1181*L1181*(1-M1181)</f>
        <v/>
      </c>
      <c r="P1181" s="3">
        <f>O1181-N1181</f>
        <v/>
      </c>
      <c r="Q1181" s="5">
        <f>IFERROR(P1181/O1181,0)</f>
        <v/>
      </c>
      <c r="R1181" s="2">
        <f>TEXT(DATEVALUE(B1181),"mmm")</f>
        <v/>
      </c>
      <c r="S1181" s="2">
        <f>TEXT(DATEVALUE(B1181),"yyyy-mm")</f>
        <v/>
      </c>
    </row>
    <row r="1182">
      <c r="A1182" s="2" t="inlineStr">
        <is>
          <t>O003689</t>
        </is>
      </c>
      <c r="B1182" s="2" t="inlineStr">
        <is>
          <t>2025-03-29</t>
        </is>
      </c>
      <c r="C1182" s="2" t="inlineStr">
        <is>
          <t>C0293</t>
        </is>
      </c>
      <c r="D1182" s="2" t="inlineStr">
        <is>
          <t>P0011</t>
        </is>
      </c>
      <c r="E1182" s="2" t="inlineStr">
        <is>
          <t>Cookware Set</t>
        </is>
      </c>
      <c r="F1182" s="2" t="inlineStr">
        <is>
          <t>Home &amp; Kitchen</t>
        </is>
      </c>
      <c r="G1182" s="2" t="inlineStr">
        <is>
          <t>North</t>
        </is>
      </c>
      <c r="H1182" s="2" t="inlineStr">
        <is>
          <t>Punjab</t>
        </is>
      </c>
      <c r="I1182" s="2" t="inlineStr">
        <is>
          <t>Jalandhar</t>
        </is>
      </c>
      <c r="J1182" s="2" t="inlineStr">
        <is>
          <t>Online</t>
        </is>
      </c>
      <c r="K1182" s="2" t="n">
        <v>1</v>
      </c>
      <c r="L1182" s="3" t="n">
        <v>722.0700000000001</v>
      </c>
      <c r="M1182" s="4" t="n">
        <v>0</v>
      </c>
      <c r="N1182" s="3" t="n">
        <v>483.57</v>
      </c>
      <c r="O1182" s="3">
        <f>K1182*L1182*(1-M1182)</f>
        <v/>
      </c>
      <c r="P1182" s="3">
        <f>O1182-N1182</f>
        <v/>
      </c>
      <c r="Q1182" s="5">
        <f>IFERROR(P1182/O1182,0)</f>
        <v/>
      </c>
      <c r="R1182" s="2">
        <f>TEXT(DATEVALUE(B1182),"mmm")</f>
        <v/>
      </c>
      <c r="S1182" s="2">
        <f>TEXT(DATEVALUE(B1182),"yyyy-mm")</f>
        <v/>
      </c>
    </row>
    <row r="1183">
      <c r="A1183" s="2" t="inlineStr">
        <is>
          <t>O002651</t>
        </is>
      </c>
      <c r="B1183" s="2" t="inlineStr">
        <is>
          <t>2025-03-29</t>
        </is>
      </c>
      <c r="C1183" s="2" t="inlineStr">
        <is>
          <t>C0589</t>
        </is>
      </c>
      <c r="D1183" s="2" t="inlineStr">
        <is>
          <t>P0011</t>
        </is>
      </c>
      <c r="E1183" s="2" t="inlineStr">
        <is>
          <t>Cookware Set</t>
        </is>
      </c>
      <c r="F1183" s="2" t="inlineStr">
        <is>
          <t>Home &amp; Kitchen</t>
        </is>
      </c>
      <c r="G1183" s="2" t="inlineStr">
        <is>
          <t>North</t>
        </is>
      </c>
      <c r="H1183" s="2" t="inlineStr">
        <is>
          <t>Haryana</t>
        </is>
      </c>
      <c r="I1183" s="2" t="inlineStr">
        <is>
          <t>Faridabad</t>
        </is>
      </c>
      <c r="J1183" s="2" t="inlineStr">
        <is>
          <t>Store</t>
        </is>
      </c>
      <c r="K1183" s="2" t="n">
        <v>3</v>
      </c>
      <c r="L1183" s="3" t="n">
        <v>715.5</v>
      </c>
      <c r="M1183" s="4" t="n">
        <v>0</v>
      </c>
      <c r="N1183" s="3" t="n">
        <v>1438.8</v>
      </c>
      <c r="O1183" s="3">
        <f>K1183*L1183*(1-M1183)</f>
        <v/>
      </c>
      <c r="P1183" s="3">
        <f>O1183-N1183</f>
        <v/>
      </c>
      <c r="Q1183" s="5">
        <f>IFERROR(P1183/O1183,0)</f>
        <v/>
      </c>
      <c r="R1183" s="2">
        <f>TEXT(DATEVALUE(B1183),"mmm")</f>
        <v/>
      </c>
      <c r="S1183" s="2">
        <f>TEXT(DATEVALUE(B1183),"yyyy-mm")</f>
        <v/>
      </c>
    </row>
    <row r="1184">
      <c r="A1184" s="2" t="inlineStr">
        <is>
          <t>O001810</t>
        </is>
      </c>
      <c r="B1184" s="2" t="inlineStr">
        <is>
          <t>2025-03-29</t>
        </is>
      </c>
      <c r="C1184" s="2" t="inlineStr">
        <is>
          <t>C0270</t>
        </is>
      </c>
      <c r="D1184" s="2" t="inlineStr">
        <is>
          <t>P0007</t>
        </is>
      </c>
      <c r="E1184" s="2" t="inlineStr">
        <is>
          <t>Wireless Mouse</t>
        </is>
      </c>
      <c r="F1184" s="2" t="inlineStr">
        <is>
          <t>Electronics</t>
        </is>
      </c>
      <c r="G1184" s="2" t="inlineStr">
        <is>
          <t>North</t>
        </is>
      </c>
      <c r="H1184" s="2" t="inlineStr">
        <is>
          <t>Punjab</t>
        </is>
      </c>
      <c r="I1184" s="2" t="inlineStr">
        <is>
          <t>Ludhiana</t>
        </is>
      </c>
      <c r="J1184" s="2" t="inlineStr">
        <is>
          <t>Online</t>
        </is>
      </c>
      <c r="K1184" s="2" t="n">
        <v>1</v>
      </c>
      <c r="L1184" s="3" t="n">
        <v>950.09</v>
      </c>
      <c r="M1184" s="4" t="n">
        <v>0.1</v>
      </c>
      <c r="N1184" s="3" t="n">
        <v>617.25</v>
      </c>
      <c r="O1184" s="3">
        <f>K1184*L1184*(1-M1184)</f>
        <v/>
      </c>
      <c r="P1184" s="3">
        <f>O1184-N1184</f>
        <v/>
      </c>
      <c r="Q1184" s="5">
        <f>IFERROR(P1184/O1184,0)</f>
        <v/>
      </c>
      <c r="R1184" s="2">
        <f>TEXT(DATEVALUE(B1184),"mmm")</f>
        <v/>
      </c>
      <c r="S1184" s="2">
        <f>TEXT(DATEVALUE(B1184),"yyyy-mm")</f>
        <v/>
      </c>
    </row>
    <row r="1185">
      <c r="A1185" s="2" t="inlineStr">
        <is>
          <t>O001269</t>
        </is>
      </c>
      <c r="B1185" s="2" t="inlineStr">
        <is>
          <t>2025-03-29</t>
        </is>
      </c>
      <c r="C1185" s="2" t="inlineStr">
        <is>
          <t>C0418</t>
        </is>
      </c>
      <c r="D1185" s="2" t="inlineStr">
        <is>
          <t>P0007</t>
        </is>
      </c>
      <c r="E1185" s="2" t="inlineStr">
        <is>
          <t>Wireless Mouse</t>
        </is>
      </c>
      <c r="F1185" s="2" t="inlineStr">
        <is>
          <t>Electronics</t>
        </is>
      </c>
      <c r="G1185" s="2" t="inlineStr">
        <is>
          <t>North</t>
        </is>
      </c>
      <c r="H1185" s="2" t="inlineStr">
        <is>
          <t>Uttar Pradesh</t>
        </is>
      </c>
      <c r="I1185" s="2" t="inlineStr">
        <is>
          <t>Noida</t>
        </is>
      </c>
      <c r="J1185" s="2" t="inlineStr">
        <is>
          <t>Online</t>
        </is>
      </c>
      <c r="K1185" s="2" t="n">
        <v>1</v>
      </c>
      <c r="L1185" s="3" t="n">
        <v>955.39</v>
      </c>
      <c r="M1185" s="4" t="n">
        <v>0</v>
      </c>
      <c r="N1185" s="3" t="n">
        <v>620.75</v>
      </c>
      <c r="O1185" s="3">
        <f>K1185*L1185*(1-M1185)</f>
        <v/>
      </c>
      <c r="P1185" s="3">
        <f>O1185-N1185</f>
        <v/>
      </c>
      <c r="Q1185" s="5">
        <f>IFERROR(P1185/O1185,0)</f>
        <v/>
      </c>
      <c r="R1185" s="2">
        <f>TEXT(DATEVALUE(B1185),"mmm")</f>
        <v/>
      </c>
      <c r="S1185" s="2">
        <f>TEXT(DATEVALUE(B1185),"yyyy-mm")</f>
        <v/>
      </c>
    </row>
    <row r="1186">
      <c r="A1186" s="2" t="inlineStr">
        <is>
          <t>O000012</t>
        </is>
      </c>
      <c r="B1186" s="2" t="inlineStr">
        <is>
          <t>2025-03-29</t>
        </is>
      </c>
      <c r="C1186" s="2" t="inlineStr">
        <is>
          <t>C0178</t>
        </is>
      </c>
      <c r="D1186" s="2" t="inlineStr">
        <is>
          <t>P0016</t>
        </is>
      </c>
      <c r="E1186" s="2" t="inlineStr">
        <is>
          <t>Casual Shirt</t>
        </is>
      </c>
      <c r="F1186" s="2" t="inlineStr">
        <is>
          <t>Fashion</t>
        </is>
      </c>
      <c r="G1186" s="2" t="inlineStr">
        <is>
          <t>West</t>
        </is>
      </c>
      <c r="H1186" s="2" t="inlineStr">
        <is>
          <t>Maharashtra</t>
        </is>
      </c>
      <c r="I1186" s="2" t="inlineStr">
        <is>
          <t>Thane</t>
        </is>
      </c>
      <c r="J1186" s="2" t="inlineStr">
        <is>
          <t>Store</t>
        </is>
      </c>
      <c r="K1186" s="2" t="n">
        <v>1</v>
      </c>
      <c r="L1186" s="3" t="n">
        <v>1266.11</v>
      </c>
      <c r="M1186" s="4" t="n">
        <v>0.1</v>
      </c>
      <c r="N1186" s="3" t="n">
        <v>909.42</v>
      </c>
      <c r="O1186" s="3">
        <f>K1186*L1186*(1-M1186)</f>
        <v/>
      </c>
      <c r="P1186" s="3">
        <f>O1186-N1186</f>
        <v/>
      </c>
      <c r="Q1186" s="5">
        <f>IFERROR(P1186/O1186,0)</f>
        <v/>
      </c>
      <c r="R1186" s="2">
        <f>TEXT(DATEVALUE(B1186),"mmm")</f>
        <v/>
      </c>
      <c r="S1186" s="2">
        <f>TEXT(DATEVALUE(B1186),"yyyy-mm")</f>
        <v/>
      </c>
    </row>
    <row r="1187">
      <c r="A1187" s="2" t="inlineStr">
        <is>
          <t>O004246</t>
        </is>
      </c>
      <c r="B1187" s="2" t="inlineStr">
        <is>
          <t>2025-03-30</t>
        </is>
      </c>
      <c r="C1187" s="2" t="inlineStr">
        <is>
          <t>C0310</t>
        </is>
      </c>
      <c r="D1187" s="2" t="inlineStr">
        <is>
          <t>P0016</t>
        </is>
      </c>
      <c r="E1187" s="2" t="inlineStr">
        <is>
          <t>Casual Shirt</t>
        </is>
      </c>
      <c r="F1187" s="2" t="inlineStr">
        <is>
          <t>Fashion</t>
        </is>
      </c>
      <c r="G1187" s="2" t="inlineStr">
        <is>
          <t>North</t>
        </is>
      </c>
      <c r="H1187" s="2" t="inlineStr">
        <is>
          <t>Uttar Pradesh</t>
        </is>
      </c>
      <c r="I1187" s="2" t="inlineStr">
        <is>
          <t>Noida</t>
        </is>
      </c>
      <c r="J1187" s="2" t="inlineStr">
        <is>
          <t>Store</t>
        </is>
      </c>
      <c r="K1187" s="2" t="n">
        <v>1</v>
      </c>
      <c r="L1187" s="3" t="n">
        <v>1320.53</v>
      </c>
      <c r="M1187" s="4" t="n">
        <v>0.15</v>
      </c>
      <c r="N1187" s="3" t="n">
        <v>908.6799999999999</v>
      </c>
      <c r="O1187" s="3">
        <f>K1187*L1187*(1-M1187)</f>
        <v/>
      </c>
      <c r="P1187" s="3">
        <f>O1187-N1187</f>
        <v/>
      </c>
      <c r="Q1187" s="5">
        <f>IFERROR(P1187/O1187,0)</f>
        <v/>
      </c>
      <c r="R1187" s="2">
        <f>TEXT(DATEVALUE(B1187),"mmm")</f>
        <v/>
      </c>
      <c r="S1187" s="2">
        <f>TEXT(DATEVALUE(B1187),"yyyy-mm")</f>
        <v/>
      </c>
    </row>
    <row r="1188">
      <c r="A1188" s="2" t="inlineStr">
        <is>
          <t>O004025</t>
        </is>
      </c>
      <c r="B1188" s="2" t="inlineStr">
        <is>
          <t>2025-03-30</t>
        </is>
      </c>
      <c r="C1188" s="2" t="inlineStr">
        <is>
          <t>C0036</t>
        </is>
      </c>
      <c r="D1188" s="2" t="inlineStr">
        <is>
          <t>P0024</t>
        </is>
      </c>
      <c r="E1188" s="2" t="inlineStr">
        <is>
          <t>Hair Dryer</t>
        </is>
      </c>
      <c r="F1188" s="2" t="inlineStr">
        <is>
          <t>Beauty</t>
        </is>
      </c>
      <c r="G1188" s="2" t="inlineStr">
        <is>
          <t>West</t>
        </is>
      </c>
      <c r="H1188" s="2" t="inlineStr">
        <is>
          <t>Goa</t>
        </is>
      </c>
      <c r="I1188" s="2" t="inlineStr">
        <is>
          <t>Panaji</t>
        </is>
      </c>
      <c r="J1188" s="2" t="inlineStr">
        <is>
          <t>Online</t>
        </is>
      </c>
      <c r="K1188" s="2" t="n">
        <v>5</v>
      </c>
      <c r="L1188" s="3" t="n">
        <v>1006.11</v>
      </c>
      <c r="M1188" s="4" t="n">
        <v>0.05</v>
      </c>
      <c r="N1188" s="3" t="n">
        <v>3553.91</v>
      </c>
      <c r="O1188" s="3">
        <f>K1188*L1188*(1-M1188)</f>
        <v/>
      </c>
      <c r="P1188" s="3">
        <f>O1188-N1188</f>
        <v/>
      </c>
      <c r="Q1188" s="5">
        <f>IFERROR(P1188/O1188,0)</f>
        <v/>
      </c>
      <c r="R1188" s="2">
        <f>TEXT(DATEVALUE(B1188),"mmm")</f>
        <v/>
      </c>
      <c r="S1188" s="2">
        <f>TEXT(DATEVALUE(B1188),"yyyy-mm")</f>
        <v/>
      </c>
    </row>
    <row r="1189">
      <c r="A1189" s="2" t="inlineStr">
        <is>
          <t>O003960</t>
        </is>
      </c>
      <c r="B1189" s="2" t="inlineStr">
        <is>
          <t>2025-03-30</t>
        </is>
      </c>
      <c r="C1189" s="2" t="inlineStr">
        <is>
          <t>C0686</t>
        </is>
      </c>
      <c r="D1189" s="2" t="inlineStr">
        <is>
          <t>P0022</t>
        </is>
      </c>
      <c r="E1189" s="2" t="inlineStr">
        <is>
          <t>Face Wash</t>
        </is>
      </c>
      <c r="F1189" s="2" t="inlineStr">
        <is>
          <t>Beauty</t>
        </is>
      </c>
      <c r="G1189" s="2" t="inlineStr">
        <is>
          <t>North</t>
        </is>
      </c>
      <c r="H1189" s="2" t="inlineStr">
        <is>
          <t>Punjab</t>
        </is>
      </c>
      <c r="I1189" s="2" t="inlineStr">
        <is>
          <t>Jalandhar</t>
        </is>
      </c>
      <c r="J1189" s="2" t="inlineStr">
        <is>
          <t>Store</t>
        </is>
      </c>
      <c r="K1189" s="2" t="n">
        <v>1</v>
      </c>
      <c r="L1189" s="3" t="n">
        <v>564.1799999999999</v>
      </c>
      <c r="M1189" s="4" t="n">
        <v>0</v>
      </c>
      <c r="N1189" s="3" t="n">
        <v>348.01</v>
      </c>
      <c r="O1189" s="3">
        <f>K1189*L1189*(1-M1189)</f>
        <v/>
      </c>
      <c r="P1189" s="3">
        <f>O1189-N1189</f>
        <v/>
      </c>
      <c r="Q1189" s="5">
        <f>IFERROR(P1189/O1189,0)</f>
        <v/>
      </c>
      <c r="R1189" s="2">
        <f>TEXT(DATEVALUE(B1189),"mmm")</f>
        <v/>
      </c>
      <c r="S1189" s="2">
        <f>TEXT(DATEVALUE(B1189),"yyyy-mm")</f>
        <v/>
      </c>
    </row>
    <row r="1190">
      <c r="A1190" s="2" t="inlineStr">
        <is>
          <t>O003142</t>
        </is>
      </c>
      <c r="B1190" s="2" t="inlineStr">
        <is>
          <t>2025-03-30</t>
        </is>
      </c>
      <c r="C1190" s="2" t="inlineStr">
        <is>
          <t>C0213</t>
        </is>
      </c>
      <c r="D1190" s="2" t="inlineStr">
        <is>
          <t>P0026</t>
        </is>
      </c>
      <c r="E1190" s="2" t="inlineStr">
        <is>
          <t>Shampoo</t>
        </is>
      </c>
      <c r="F1190" s="2" t="inlineStr">
        <is>
          <t>Beauty</t>
        </is>
      </c>
      <c r="G1190" s="2" t="inlineStr">
        <is>
          <t>South</t>
        </is>
      </c>
      <c r="H1190" s="2" t="inlineStr">
        <is>
          <t>Tamil Nadu</t>
        </is>
      </c>
      <c r="I1190" s="2" t="inlineStr">
        <is>
          <t>Madurai</t>
        </is>
      </c>
      <c r="J1190" s="2" t="inlineStr">
        <is>
          <t>Online</t>
        </is>
      </c>
      <c r="K1190" s="2" t="n">
        <v>3</v>
      </c>
      <c r="L1190" s="3" t="n">
        <v>881.39</v>
      </c>
      <c r="M1190" s="4" t="n">
        <v>0.1</v>
      </c>
      <c r="N1190" s="3" t="n">
        <v>1583.45</v>
      </c>
      <c r="O1190" s="3">
        <f>K1190*L1190*(1-M1190)</f>
        <v/>
      </c>
      <c r="P1190" s="3">
        <f>O1190-N1190</f>
        <v/>
      </c>
      <c r="Q1190" s="5">
        <f>IFERROR(P1190/O1190,0)</f>
        <v/>
      </c>
      <c r="R1190" s="2">
        <f>TEXT(DATEVALUE(B1190),"mmm")</f>
        <v/>
      </c>
      <c r="S1190" s="2">
        <f>TEXT(DATEVALUE(B1190),"yyyy-mm")</f>
        <v/>
      </c>
    </row>
    <row r="1191">
      <c r="A1191" s="2" t="inlineStr">
        <is>
          <t>O002960</t>
        </is>
      </c>
      <c r="B1191" s="2" t="inlineStr">
        <is>
          <t>2025-03-30</t>
        </is>
      </c>
      <c r="C1191" s="2" t="inlineStr">
        <is>
          <t>C0684</t>
        </is>
      </c>
      <c r="D1191" s="2" t="inlineStr">
        <is>
          <t>P0005</t>
        </is>
      </c>
      <c r="E1191" s="2" t="inlineStr">
        <is>
          <t>Power Bank</t>
        </is>
      </c>
      <c r="F1191" s="2" t="inlineStr">
        <is>
          <t>Electronics</t>
        </is>
      </c>
      <c r="G1191" s="2" t="inlineStr">
        <is>
          <t>South</t>
        </is>
      </c>
      <c r="H1191" s="2" t="inlineStr">
        <is>
          <t>Tamil Nadu</t>
        </is>
      </c>
      <c r="I1191" s="2" t="inlineStr">
        <is>
          <t>Madurai</t>
        </is>
      </c>
      <c r="J1191" s="2" t="inlineStr">
        <is>
          <t>Store</t>
        </is>
      </c>
      <c r="K1191" s="2" t="n">
        <v>1</v>
      </c>
      <c r="L1191" s="3" t="n">
        <v>1118.07</v>
      </c>
      <c r="M1191" s="4" t="n">
        <v>0.15</v>
      </c>
      <c r="N1191" s="3" t="n">
        <v>666.1</v>
      </c>
      <c r="O1191" s="3">
        <f>K1191*L1191*(1-M1191)</f>
        <v/>
      </c>
      <c r="P1191" s="3">
        <f>O1191-N1191</f>
        <v/>
      </c>
      <c r="Q1191" s="5">
        <f>IFERROR(P1191/O1191,0)</f>
        <v/>
      </c>
      <c r="R1191" s="2">
        <f>TEXT(DATEVALUE(B1191),"mmm")</f>
        <v/>
      </c>
      <c r="S1191" s="2">
        <f>TEXT(DATEVALUE(B1191),"yyyy-mm")</f>
        <v/>
      </c>
    </row>
    <row r="1192">
      <c r="A1192" s="2" t="inlineStr">
        <is>
          <t>O002107</t>
        </is>
      </c>
      <c r="B1192" s="2" t="inlineStr">
        <is>
          <t>2025-03-30</t>
        </is>
      </c>
      <c r="C1192" s="2" t="inlineStr">
        <is>
          <t>C0314</t>
        </is>
      </c>
      <c r="D1192" s="2" t="inlineStr">
        <is>
          <t>P0004</t>
        </is>
      </c>
      <c r="E1192" s="2" t="inlineStr">
        <is>
          <t>USB-C Hub</t>
        </is>
      </c>
      <c r="F1192" s="2" t="inlineStr">
        <is>
          <t>Electronics</t>
        </is>
      </c>
      <c r="G1192" s="2" t="inlineStr">
        <is>
          <t>North</t>
        </is>
      </c>
      <c r="H1192" s="2" t="inlineStr">
        <is>
          <t>Punjab</t>
        </is>
      </c>
      <c r="I1192" s="2" t="inlineStr">
        <is>
          <t>Amritsar</t>
        </is>
      </c>
      <c r="J1192" s="2" t="inlineStr">
        <is>
          <t>Store</t>
        </is>
      </c>
      <c r="K1192" s="2" t="n">
        <v>2</v>
      </c>
      <c r="L1192" s="3" t="n">
        <v>1257.29</v>
      </c>
      <c r="M1192" s="4" t="n">
        <v>0.05</v>
      </c>
      <c r="N1192" s="3" t="n">
        <v>1844.6</v>
      </c>
      <c r="O1192" s="3">
        <f>K1192*L1192*(1-M1192)</f>
        <v/>
      </c>
      <c r="P1192" s="3">
        <f>O1192-N1192</f>
        <v/>
      </c>
      <c r="Q1192" s="5">
        <f>IFERROR(P1192/O1192,0)</f>
        <v/>
      </c>
      <c r="R1192" s="2">
        <f>TEXT(DATEVALUE(B1192),"mmm")</f>
        <v/>
      </c>
      <c r="S1192" s="2">
        <f>TEXT(DATEVALUE(B1192),"yyyy-mm")</f>
        <v/>
      </c>
    </row>
    <row r="1193">
      <c r="A1193" s="2" t="inlineStr">
        <is>
          <t>O001053</t>
        </is>
      </c>
      <c r="B1193" s="2" t="inlineStr">
        <is>
          <t>2025-03-30</t>
        </is>
      </c>
      <c r="C1193" s="2" t="inlineStr">
        <is>
          <t>C0745</t>
        </is>
      </c>
      <c r="D1193" s="2" t="inlineStr">
        <is>
          <t>P0006</t>
        </is>
      </c>
      <c r="E1193" s="2" t="inlineStr">
        <is>
          <t>Mechanical Keyboard</t>
        </is>
      </c>
      <c r="F1193" s="2" t="inlineStr">
        <is>
          <t>Electronics</t>
        </is>
      </c>
      <c r="G1193" s="2" t="inlineStr">
        <is>
          <t>North</t>
        </is>
      </c>
      <c r="H1193" s="2" t="inlineStr">
        <is>
          <t>Uttar Pradesh</t>
        </is>
      </c>
      <c r="I1193" s="2" t="inlineStr">
        <is>
          <t>Noida</t>
        </is>
      </c>
      <c r="J1193" s="2" t="inlineStr">
        <is>
          <t>Store</t>
        </is>
      </c>
      <c r="K1193" s="2" t="n">
        <v>2</v>
      </c>
      <c r="L1193" s="3" t="n">
        <v>2732.91</v>
      </c>
      <c r="M1193" s="4" t="n">
        <v>0.05</v>
      </c>
      <c r="N1193" s="3" t="n">
        <v>2981.83</v>
      </c>
      <c r="O1193" s="3">
        <f>K1193*L1193*(1-M1193)</f>
        <v/>
      </c>
      <c r="P1193" s="3">
        <f>O1193-N1193</f>
        <v/>
      </c>
      <c r="Q1193" s="5">
        <f>IFERROR(P1193/O1193,0)</f>
        <v/>
      </c>
      <c r="R1193" s="2">
        <f>TEXT(DATEVALUE(B1193),"mmm")</f>
        <v/>
      </c>
      <c r="S1193" s="2">
        <f>TEXT(DATEVALUE(B1193),"yyyy-mm")</f>
        <v/>
      </c>
    </row>
    <row r="1194">
      <c r="A1194" s="2" t="inlineStr">
        <is>
          <t>O001583</t>
        </is>
      </c>
      <c r="B1194" s="2" t="inlineStr">
        <is>
          <t>2025-03-30</t>
        </is>
      </c>
      <c r="C1194" s="2" t="inlineStr">
        <is>
          <t>C0745</t>
        </is>
      </c>
      <c r="D1194" s="2" t="inlineStr">
        <is>
          <t>P0006</t>
        </is>
      </c>
      <c r="E1194" s="2" t="inlineStr">
        <is>
          <t>Mechanical Keyboard</t>
        </is>
      </c>
      <c r="F1194" s="2" t="inlineStr">
        <is>
          <t>Electronics</t>
        </is>
      </c>
      <c r="G1194" s="2" t="inlineStr">
        <is>
          <t>West</t>
        </is>
      </c>
      <c r="H1194" s="2" t="inlineStr">
        <is>
          <t>Gujarat</t>
        </is>
      </c>
      <c r="I1194" s="2" t="inlineStr">
        <is>
          <t>Ahmedabad</t>
        </is>
      </c>
      <c r="J1194" s="2" t="inlineStr">
        <is>
          <t>Store</t>
        </is>
      </c>
      <c r="K1194" s="2" t="n">
        <v>5</v>
      </c>
      <c r="L1194" s="3" t="n">
        <v>2691.59</v>
      </c>
      <c r="M1194" s="4" t="n">
        <v>0.05</v>
      </c>
      <c r="N1194" s="3" t="n">
        <v>7309.91</v>
      </c>
      <c r="O1194" s="3">
        <f>K1194*L1194*(1-M1194)</f>
        <v/>
      </c>
      <c r="P1194" s="3">
        <f>O1194-N1194</f>
        <v/>
      </c>
      <c r="Q1194" s="5">
        <f>IFERROR(P1194/O1194,0)</f>
        <v/>
      </c>
      <c r="R1194" s="2">
        <f>TEXT(DATEVALUE(B1194),"mmm")</f>
        <v/>
      </c>
      <c r="S1194" s="2">
        <f>TEXT(DATEVALUE(B1194),"yyyy-mm")</f>
        <v/>
      </c>
    </row>
    <row r="1195">
      <c r="A1195" s="2" t="inlineStr">
        <is>
          <t>O001446</t>
        </is>
      </c>
      <c r="B1195" s="2" t="inlineStr">
        <is>
          <t>2025-03-30</t>
        </is>
      </c>
      <c r="C1195" s="2" t="inlineStr">
        <is>
          <t>C0445</t>
        </is>
      </c>
      <c r="D1195" s="2" t="inlineStr">
        <is>
          <t>P0003</t>
        </is>
      </c>
      <c r="E1195" s="2" t="inlineStr">
        <is>
          <t>Smartwatch</t>
        </is>
      </c>
      <c r="F1195" s="2" t="inlineStr">
        <is>
          <t>Electronics</t>
        </is>
      </c>
      <c r="G1195" s="2" t="inlineStr">
        <is>
          <t>West</t>
        </is>
      </c>
      <c r="H1195" s="2" t="inlineStr">
        <is>
          <t>Maharashtra</t>
        </is>
      </c>
      <c r="I1195" s="2" t="inlineStr">
        <is>
          <t>Nashik</t>
        </is>
      </c>
      <c r="J1195" s="2" t="inlineStr">
        <is>
          <t>Online</t>
        </is>
      </c>
      <c r="K1195" s="2" t="n">
        <v>4</v>
      </c>
      <c r="L1195" s="3" t="n">
        <v>2380.85</v>
      </c>
      <c r="M1195" s="4" t="n">
        <v>0</v>
      </c>
      <c r="N1195" s="3" t="n">
        <v>4839.49</v>
      </c>
      <c r="O1195" s="3">
        <f>K1195*L1195*(1-M1195)</f>
        <v/>
      </c>
      <c r="P1195" s="3">
        <f>O1195-N1195</f>
        <v/>
      </c>
      <c r="Q1195" s="5">
        <f>IFERROR(P1195/O1195,0)</f>
        <v/>
      </c>
      <c r="R1195" s="2">
        <f>TEXT(DATEVALUE(B1195),"mmm")</f>
        <v/>
      </c>
      <c r="S1195" s="2">
        <f>TEXT(DATEVALUE(B1195),"yyyy-mm")</f>
        <v/>
      </c>
    </row>
    <row r="1196">
      <c r="A1196" s="2" t="inlineStr">
        <is>
          <t>O001050</t>
        </is>
      </c>
      <c r="B1196" s="2" t="inlineStr">
        <is>
          <t>2025-03-30</t>
        </is>
      </c>
      <c r="C1196" s="2" t="inlineStr">
        <is>
          <t>C0200</t>
        </is>
      </c>
      <c r="D1196" s="2" t="inlineStr">
        <is>
          <t>P0029</t>
        </is>
      </c>
      <c r="E1196" s="2" t="inlineStr">
        <is>
          <t>Yoga Mat</t>
        </is>
      </c>
      <c r="F1196" s="2" t="inlineStr">
        <is>
          <t>Sports</t>
        </is>
      </c>
      <c r="G1196" s="2" t="inlineStr">
        <is>
          <t>North</t>
        </is>
      </c>
      <c r="H1196" s="2" t="inlineStr">
        <is>
          <t>Uttar Pradesh</t>
        </is>
      </c>
      <c r="I1196" s="2" t="inlineStr">
        <is>
          <t>Lucknow</t>
        </is>
      </c>
      <c r="J1196" s="2" t="inlineStr">
        <is>
          <t>Online</t>
        </is>
      </c>
      <c r="K1196" s="2" t="n">
        <v>2</v>
      </c>
      <c r="L1196" s="3" t="n">
        <v>2472.21</v>
      </c>
      <c r="M1196" s="4" t="n">
        <v>0.15</v>
      </c>
      <c r="N1196" s="3" t="n">
        <v>2636.6</v>
      </c>
      <c r="O1196" s="3">
        <f>K1196*L1196*(1-M1196)</f>
        <v/>
      </c>
      <c r="P1196" s="3">
        <f>O1196-N1196</f>
        <v/>
      </c>
      <c r="Q1196" s="5">
        <f>IFERROR(P1196/O1196,0)</f>
        <v/>
      </c>
      <c r="R1196" s="2">
        <f>TEXT(DATEVALUE(B1196),"mmm")</f>
        <v/>
      </c>
      <c r="S1196" s="2">
        <f>TEXT(DATEVALUE(B1196),"yyyy-mm")</f>
        <v/>
      </c>
    </row>
    <row r="1197">
      <c r="A1197" s="2" t="inlineStr">
        <is>
          <t>O000454</t>
        </is>
      </c>
      <c r="B1197" s="2" t="inlineStr">
        <is>
          <t>2025-03-30</t>
        </is>
      </c>
      <c r="C1197" s="2" t="inlineStr">
        <is>
          <t>C0021</t>
        </is>
      </c>
      <c r="D1197" s="2" t="inlineStr">
        <is>
          <t>P0002</t>
        </is>
      </c>
      <c r="E1197" s="2" t="inlineStr">
        <is>
          <t>Bluetooth Speaker</t>
        </is>
      </c>
      <c r="F1197" s="2" t="inlineStr">
        <is>
          <t>Electronics</t>
        </is>
      </c>
      <c r="G1197" s="2" t="inlineStr">
        <is>
          <t>North</t>
        </is>
      </c>
      <c r="H1197" s="2" t="inlineStr">
        <is>
          <t>Punjab</t>
        </is>
      </c>
      <c r="I1197" s="2" t="inlineStr">
        <is>
          <t>Jalandhar</t>
        </is>
      </c>
      <c r="J1197" s="2" t="inlineStr">
        <is>
          <t>Online</t>
        </is>
      </c>
      <c r="K1197" s="2" t="n">
        <v>1</v>
      </c>
      <c r="L1197" s="3" t="n">
        <v>1418.04</v>
      </c>
      <c r="M1197" s="4" t="n">
        <v>0.1</v>
      </c>
      <c r="N1197" s="3" t="n">
        <v>837.58</v>
      </c>
      <c r="O1197" s="3">
        <f>K1197*L1197*(1-M1197)</f>
        <v/>
      </c>
      <c r="P1197" s="3">
        <f>O1197-N1197</f>
        <v/>
      </c>
      <c r="Q1197" s="5">
        <f>IFERROR(P1197/O1197,0)</f>
        <v/>
      </c>
      <c r="R1197" s="2">
        <f>TEXT(DATEVALUE(B1197),"mmm")</f>
        <v/>
      </c>
      <c r="S1197" s="2">
        <f>TEXT(DATEVALUE(B1197),"yyyy-mm")</f>
        <v/>
      </c>
    </row>
    <row r="1198">
      <c r="A1198" s="2" t="inlineStr">
        <is>
          <t>O000049</t>
        </is>
      </c>
      <c r="B1198" s="2" t="inlineStr">
        <is>
          <t>2025-03-30</t>
        </is>
      </c>
      <c r="C1198" s="2" t="inlineStr">
        <is>
          <t>C0750</t>
        </is>
      </c>
      <c r="D1198" s="2" t="inlineStr">
        <is>
          <t>P0011</t>
        </is>
      </c>
      <c r="E1198" s="2" t="inlineStr">
        <is>
          <t>Cookware Set</t>
        </is>
      </c>
      <c r="F1198" s="2" t="inlineStr">
        <is>
          <t>Home &amp; Kitchen</t>
        </is>
      </c>
      <c r="G1198" s="2" t="inlineStr">
        <is>
          <t>North</t>
        </is>
      </c>
      <c r="H1198" s="2" t="inlineStr">
        <is>
          <t>Haryana</t>
        </is>
      </c>
      <c r="I1198" s="2" t="inlineStr">
        <is>
          <t>Gurugram</t>
        </is>
      </c>
      <c r="J1198" s="2" t="inlineStr">
        <is>
          <t>Online</t>
        </is>
      </c>
      <c r="K1198" s="2" t="n">
        <v>3</v>
      </c>
      <c r="L1198" s="3" t="n">
        <v>716.26</v>
      </c>
      <c r="M1198" s="4" t="n">
        <v>0.2</v>
      </c>
      <c r="N1198" s="3" t="n">
        <v>1379.25</v>
      </c>
      <c r="O1198" s="3">
        <f>K1198*L1198*(1-M1198)</f>
        <v/>
      </c>
      <c r="P1198" s="3">
        <f>O1198-N1198</f>
        <v/>
      </c>
      <c r="Q1198" s="5">
        <f>IFERROR(P1198/O1198,0)</f>
        <v/>
      </c>
      <c r="R1198" s="2">
        <f>TEXT(DATEVALUE(B1198),"mmm")</f>
        <v/>
      </c>
      <c r="S1198" s="2">
        <f>TEXT(DATEVALUE(B1198),"yyyy-mm")</f>
        <v/>
      </c>
    </row>
    <row r="1199">
      <c r="A1199" s="2" t="inlineStr">
        <is>
          <t>O002086</t>
        </is>
      </c>
      <c r="B1199" s="2" t="inlineStr">
        <is>
          <t>2025-03-30</t>
        </is>
      </c>
      <c r="C1199" s="2" t="inlineStr">
        <is>
          <t>C0199</t>
        </is>
      </c>
      <c r="D1199" s="2" t="inlineStr">
        <is>
          <t>P0011</t>
        </is>
      </c>
      <c r="E1199" s="2" t="inlineStr">
        <is>
          <t>Cookware Set</t>
        </is>
      </c>
      <c r="F1199" s="2" t="inlineStr">
        <is>
          <t>Home &amp; Kitchen</t>
        </is>
      </c>
      <c r="G1199" s="2" t="inlineStr">
        <is>
          <t>East</t>
        </is>
      </c>
      <c r="H1199" s="2" t="inlineStr">
        <is>
          <t>Odisha</t>
        </is>
      </c>
      <c r="I1199" s="2" t="inlineStr">
        <is>
          <t>Bhubaneswar</t>
        </is>
      </c>
      <c r="J1199" s="2" t="inlineStr">
        <is>
          <t>Online</t>
        </is>
      </c>
      <c r="K1199" s="2" t="n">
        <v>6</v>
      </c>
      <c r="L1199" s="3" t="n">
        <v>676.27</v>
      </c>
      <c r="M1199" s="4" t="n">
        <v>0</v>
      </c>
      <c r="N1199" s="3" t="n">
        <v>2922.45</v>
      </c>
      <c r="O1199" s="3">
        <f>K1199*L1199*(1-M1199)</f>
        <v/>
      </c>
      <c r="P1199" s="3">
        <f>O1199-N1199</f>
        <v/>
      </c>
      <c r="Q1199" s="5">
        <f>IFERROR(P1199/O1199,0)</f>
        <v/>
      </c>
      <c r="R1199" s="2">
        <f>TEXT(DATEVALUE(B1199),"mmm")</f>
        <v/>
      </c>
      <c r="S1199" s="2">
        <f>TEXT(DATEVALUE(B1199),"yyyy-mm")</f>
        <v/>
      </c>
    </row>
    <row r="1200">
      <c r="A1200" s="2" t="inlineStr">
        <is>
          <t>O002787</t>
        </is>
      </c>
      <c r="B1200" s="2" t="inlineStr">
        <is>
          <t>2025-03-31</t>
        </is>
      </c>
      <c r="C1200" s="2" t="inlineStr">
        <is>
          <t>C0370</t>
        </is>
      </c>
      <c r="D1200" s="2" t="inlineStr">
        <is>
          <t>P0029</t>
        </is>
      </c>
      <c r="E1200" s="2" t="inlineStr">
        <is>
          <t>Yoga Mat</t>
        </is>
      </c>
      <c r="F1200" s="2" t="inlineStr">
        <is>
          <t>Sports</t>
        </is>
      </c>
      <c r="G1200" s="2" t="inlineStr">
        <is>
          <t>East</t>
        </is>
      </c>
      <c r="H1200" s="2" t="inlineStr">
        <is>
          <t>West Bengal</t>
        </is>
      </c>
      <c r="I1200" s="2" t="inlineStr">
        <is>
          <t>Durgapur</t>
        </is>
      </c>
      <c r="J1200" s="2" t="inlineStr">
        <is>
          <t>Store</t>
        </is>
      </c>
      <c r="K1200" s="2" t="n">
        <v>3</v>
      </c>
      <c r="L1200" s="3" t="n">
        <v>2303.57</v>
      </c>
      <c r="M1200" s="4" t="n">
        <v>0</v>
      </c>
      <c r="N1200" s="3" t="n">
        <v>4052.4</v>
      </c>
      <c r="O1200" s="3">
        <f>K1200*L1200*(1-M1200)</f>
        <v/>
      </c>
      <c r="P1200" s="3">
        <f>O1200-N1200</f>
        <v/>
      </c>
      <c r="Q1200" s="5">
        <f>IFERROR(P1200/O1200,0)</f>
        <v/>
      </c>
      <c r="R1200" s="2">
        <f>TEXT(DATEVALUE(B1200),"mmm")</f>
        <v/>
      </c>
      <c r="S1200" s="2">
        <f>TEXT(DATEVALUE(B1200),"yyyy-mm")</f>
        <v/>
      </c>
    </row>
    <row r="1201">
      <c r="A1201" s="2" t="inlineStr">
        <is>
          <t>O003956</t>
        </is>
      </c>
      <c r="B1201" s="2" t="inlineStr">
        <is>
          <t>2025-03-31</t>
        </is>
      </c>
      <c r="C1201" s="2" t="inlineStr">
        <is>
          <t>C0457</t>
        </is>
      </c>
      <c r="D1201" s="2" t="inlineStr">
        <is>
          <t>P0007</t>
        </is>
      </c>
      <c r="E1201" s="2" t="inlineStr">
        <is>
          <t>Wireless Mouse</t>
        </is>
      </c>
      <c r="F1201" s="2" t="inlineStr">
        <is>
          <t>Electronics</t>
        </is>
      </c>
      <c r="G1201" s="2" t="inlineStr">
        <is>
          <t>North</t>
        </is>
      </c>
      <c r="H1201" s="2" t="inlineStr">
        <is>
          <t>Uttar Pradesh</t>
        </is>
      </c>
      <c r="I1201" s="2" t="inlineStr">
        <is>
          <t>Varanasi</t>
        </is>
      </c>
      <c r="J1201" s="2" t="inlineStr">
        <is>
          <t>Store</t>
        </is>
      </c>
      <c r="K1201" s="2" t="n">
        <v>1</v>
      </c>
      <c r="L1201" s="3" t="n">
        <v>955.12</v>
      </c>
      <c r="M1201" s="4" t="n">
        <v>0.15</v>
      </c>
      <c r="N1201" s="3" t="n">
        <v>630.52</v>
      </c>
      <c r="O1201" s="3">
        <f>K1201*L1201*(1-M1201)</f>
        <v/>
      </c>
      <c r="P1201" s="3">
        <f>O1201-N1201</f>
        <v/>
      </c>
      <c r="Q1201" s="5">
        <f>IFERROR(P1201/O1201,0)</f>
        <v/>
      </c>
      <c r="R1201" s="2">
        <f>TEXT(DATEVALUE(B1201),"mmm")</f>
        <v/>
      </c>
      <c r="S1201" s="2">
        <f>TEXT(DATEVALUE(B1201),"yyyy-mm")</f>
        <v/>
      </c>
    </row>
    <row r="1202">
      <c r="A1202" s="2" t="inlineStr">
        <is>
          <t>O003882</t>
        </is>
      </c>
      <c r="B1202" s="2" t="inlineStr">
        <is>
          <t>2025-03-31</t>
        </is>
      </c>
      <c r="C1202" s="2" t="inlineStr">
        <is>
          <t>C0523</t>
        </is>
      </c>
      <c r="D1202" s="2" t="inlineStr">
        <is>
          <t>P0017</t>
        </is>
      </c>
      <c r="E1202" s="2" t="inlineStr">
        <is>
          <t>Jeans</t>
        </is>
      </c>
      <c r="F1202" s="2" t="inlineStr">
        <is>
          <t>Fashion</t>
        </is>
      </c>
      <c r="G1202" s="2" t="inlineStr">
        <is>
          <t>West</t>
        </is>
      </c>
      <c r="H1202" s="2" t="inlineStr">
        <is>
          <t>Goa</t>
        </is>
      </c>
      <c r="I1202" s="2" t="inlineStr">
        <is>
          <t>Margao</t>
        </is>
      </c>
      <c r="J1202" s="2" t="inlineStr">
        <is>
          <t>Store</t>
        </is>
      </c>
      <c r="K1202" s="2" t="n">
        <v>4</v>
      </c>
      <c r="L1202" s="3" t="n">
        <v>1466.27</v>
      </c>
      <c r="M1202" s="4" t="n">
        <v>0.1</v>
      </c>
      <c r="N1202" s="3" t="n">
        <v>3996.76</v>
      </c>
      <c r="O1202" s="3">
        <f>K1202*L1202*(1-M1202)</f>
        <v/>
      </c>
      <c r="P1202" s="3">
        <f>O1202-N1202</f>
        <v/>
      </c>
      <c r="Q1202" s="5">
        <f>IFERROR(P1202/O1202,0)</f>
        <v/>
      </c>
      <c r="R1202" s="2">
        <f>TEXT(DATEVALUE(B1202),"mmm")</f>
        <v/>
      </c>
      <c r="S1202" s="2">
        <f>TEXT(DATEVALUE(B1202),"yyyy-mm")</f>
        <v/>
      </c>
    </row>
    <row r="1203">
      <c r="A1203" s="2" t="inlineStr">
        <is>
          <t>O003868</t>
        </is>
      </c>
      <c r="B1203" s="2" t="inlineStr">
        <is>
          <t>2025-03-31</t>
        </is>
      </c>
      <c r="C1203" s="2" t="inlineStr">
        <is>
          <t>C0380</t>
        </is>
      </c>
      <c r="D1203" s="2" t="inlineStr">
        <is>
          <t>P0004</t>
        </is>
      </c>
      <c r="E1203" s="2" t="inlineStr">
        <is>
          <t>USB-C Hub</t>
        </is>
      </c>
      <c r="F1203" s="2" t="inlineStr">
        <is>
          <t>Electronics</t>
        </is>
      </c>
      <c r="G1203" s="2" t="inlineStr">
        <is>
          <t>North</t>
        </is>
      </c>
      <c r="H1203" s="2" t="inlineStr">
        <is>
          <t>Punjab</t>
        </is>
      </c>
      <c r="I1203" s="2" t="inlineStr">
        <is>
          <t>Amritsar</t>
        </is>
      </c>
      <c r="J1203" s="2" t="inlineStr">
        <is>
          <t>Online</t>
        </is>
      </c>
      <c r="K1203" s="2" t="n">
        <v>5</v>
      </c>
      <c r="L1203" s="3" t="n">
        <v>1287.14</v>
      </c>
      <c r="M1203" s="4" t="n">
        <v>0.1</v>
      </c>
      <c r="N1203" s="3" t="n">
        <v>4694.85</v>
      </c>
      <c r="O1203" s="3">
        <f>K1203*L1203*(1-M1203)</f>
        <v/>
      </c>
      <c r="P1203" s="3">
        <f>O1203-N1203</f>
        <v/>
      </c>
      <c r="Q1203" s="5">
        <f>IFERROR(P1203/O1203,0)</f>
        <v/>
      </c>
      <c r="R1203" s="2">
        <f>TEXT(DATEVALUE(B1203),"mmm")</f>
        <v/>
      </c>
      <c r="S1203" s="2">
        <f>TEXT(DATEVALUE(B1203),"yyyy-mm")</f>
        <v/>
      </c>
    </row>
    <row r="1204">
      <c r="A1204" s="2" t="inlineStr">
        <is>
          <t>O003286</t>
        </is>
      </c>
      <c r="B1204" s="2" t="inlineStr">
        <is>
          <t>2025-03-31</t>
        </is>
      </c>
      <c r="C1204" s="2" t="inlineStr">
        <is>
          <t>C0651</t>
        </is>
      </c>
      <c r="D1204" s="2" t="inlineStr">
        <is>
          <t>P0004</t>
        </is>
      </c>
      <c r="E1204" s="2" t="inlineStr">
        <is>
          <t>USB-C Hub</t>
        </is>
      </c>
      <c r="F1204" s="2" t="inlineStr">
        <is>
          <t>Electronics</t>
        </is>
      </c>
      <c r="G1204" s="2" t="inlineStr">
        <is>
          <t>North</t>
        </is>
      </c>
      <c r="H1204" s="2" t="inlineStr">
        <is>
          <t>Punjab</t>
        </is>
      </c>
      <c r="I1204" s="2" t="inlineStr">
        <is>
          <t>Jalandhar</t>
        </is>
      </c>
      <c r="J1204" s="2" t="inlineStr">
        <is>
          <t>Store</t>
        </is>
      </c>
      <c r="K1204" s="2" t="n">
        <v>1</v>
      </c>
      <c r="L1204" s="3" t="n">
        <v>1279.46</v>
      </c>
      <c r="M1204" s="4" t="n">
        <v>0</v>
      </c>
      <c r="N1204" s="3" t="n">
        <v>913.7</v>
      </c>
      <c r="O1204" s="3">
        <f>K1204*L1204*(1-M1204)</f>
        <v/>
      </c>
      <c r="P1204" s="3">
        <f>O1204-N1204</f>
        <v/>
      </c>
      <c r="Q1204" s="5">
        <f>IFERROR(P1204/O1204,0)</f>
        <v/>
      </c>
      <c r="R1204" s="2">
        <f>TEXT(DATEVALUE(B1204),"mmm")</f>
        <v/>
      </c>
      <c r="S1204" s="2">
        <f>TEXT(DATEVALUE(B1204),"yyyy-mm")</f>
        <v/>
      </c>
    </row>
    <row r="1205">
      <c r="A1205" s="2" t="inlineStr">
        <is>
          <t>O003246</t>
        </is>
      </c>
      <c r="B1205" s="2" t="inlineStr">
        <is>
          <t>2025-03-31</t>
        </is>
      </c>
      <c r="C1205" s="2" t="inlineStr">
        <is>
          <t>C0637</t>
        </is>
      </c>
      <c r="D1205" s="2" t="inlineStr">
        <is>
          <t>P0030</t>
        </is>
      </c>
      <c r="E1205" s="2" t="inlineStr">
        <is>
          <t>Dumbbells</t>
        </is>
      </c>
      <c r="F1205" s="2" t="inlineStr">
        <is>
          <t>Sports</t>
        </is>
      </c>
      <c r="G1205" s="2" t="inlineStr">
        <is>
          <t>West</t>
        </is>
      </c>
      <c r="H1205" s="2" t="inlineStr">
        <is>
          <t>Maharashtra</t>
        </is>
      </c>
      <c r="I1205" s="2" t="inlineStr">
        <is>
          <t>Thane</t>
        </is>
      </c>
      <c r="J1205" s="2" t="inlineStr">
        <is>
          <t>Online</t>
        </is>
      </c>
      <c r="K1205" s="2" t="n">
        <v>2</v>
      </c>
      <c r="L1205" s="3" t="n">
        <v>1611.95</v>
      </c>
      <c r="M1205" s="4" t="n">
        <v>0.05</v>
      </c>
      <c r="N1205" s="3" t="n">
        <v>2043.71</v>
      </c>
      <c r="O1205" s="3">
        <f>K1205*L1205*(1-M1205)</f>
        <v/>
      </c>
      <c r="P1205" s="3">
        <f>O1205-N1205</f>
        <v/>
      </c>
      <c r="Q1205" s="5">
        <f>IFERROR(P1205/O1205,0)</f>
        <v/>
      </c>
      <c r="R1205" s="2">
        <f>TEXT(DATEVALUE(B1205),"mmm")</f>
        <v/>
      </c>
      <c r="S1205" s="2">
        <f>TEXT(DATEVALUE(B1205),"yyyy-mm")</f>
        <v/>
      </c>
    </row>
    <row r="1206">
      <c r="A1206" s="2" t="inlineStr">
        <is>
          <t>O004922</t>
        </is>
      </c>
      <c r="B1206" s="2" t="inlineStr">
        <is>
          <t>2025-03-31</t>
        </is>
      </c>
      <c r="C1206" s="2" t="inlineStr">
        <is>
          <t>C0049</t>
        </is>
      </c>
      <c r="D1206" s="2" t="inlineStr">
        <is>
          <t>P0030</t>
        </is>
      </c>
      <c r="E1206" s="2" t="inlineStr">
        <is>
          <t>Dumbbells</t>
        </is>
      </c>
      <c r="F1206" s="2" t="inlineStr">
        <is>
          <t>Sports</t>
        </is>
      </c>
      <c r="G1206" s="2" t="inlineStr">
        <is>
          <t>North</t>
        </is>
      </c>
      <c r="H1206" s="2" t="inlineStr">
        <is>
          <t>Uttar Pradesh</t>
        </is>
      </c>
      <c r="I1206" s="2" t="inlineStr">
        <is>
          <t>Kanpur</t>
        </is>
      </c>
      <c r="J1206" s="2" t="inlineStr">
        <is>
          <t>Online</t>
        </is>
      </c>
      <c r="K1206" s="2" t="n">
        <v>2</v>
      </c>
      <c r="L1206" s="3" t="n">
        <v>1540.91</v>
      </c>
      <c r="M1206" s="4" t="n">
        <v>0.05</v>
      </c>
      <c r="N1206" s="3" t="n">
        <v>2098.34</v>
      </c>
      <c r="O1206" s="3">
        <f>K1206*L1206*(1-M1206)</f>
        <v/>
      </c>
      <c r="P1206" s="3">
        <f>O1206-N1206</f>
        <v/>
      </c>
      <c r="Q1206" s="5">
        <f>IFERROR(P1206/O1206,0)</f>
        <v/>
      </c>
      <c r="R1206" s="2">
        <f>TEXT(DATEVALUE(B1206),"mmm")</f>
        <v/>
      </c>
      <c r="S1206" s="2">
        <f>TEXT(DATEVALUE(B1206),"yyyy-mm")</f>
        <v/>
      </c>
    </row>
    <row r="1207">
      <c r="A1207" s="2" t="inlineStr">
        <is>
          <t>O002693</t>
        </is>
      </c>
      <c r="B1207" s="2" t="inlineStr">
        <is>
          <t>2025-03-31</t>
        </is>
      </c>
      <c r="C1207" s="2" t="inlineStr">
        <is>
          <t>C0004</t>
        </is>
      </c>
      <c r="D1207" s="2" t="inlineStr">
        <is>
          <t>P0014</t>
        </is>
      </c>
      <c r="E1207" s="2" t="inlineStr">
        <is>
          <t>Coffee Maker</t>
        </is>
      </c>
      <c r="F1207" s="2" t="inlineStr">
        <is>
          <t>Home &amp; Kitchen</t>
        </is>
      </c>
      <c r="G1207" s="2" t="inlineStr">
        <is>
          <t>East</t>
        </is>
      </c>
      <c r="H1207" s="2" t="inlineStr">
        <is>
          <t>Odisha</t>
        </is>
      </c>
      <c r="I1207" s="2" t="inlineStr">
        <is>
          <t>Bhubaneswar</t>
        </is>
      </c>
      <c r="J1207" s="2" t="inlineStr">
        <is>
          <t>Store</t>
        </is>
      </c>
      <c r="K1207" s="2" t="n">
        <v>2</v>
      </c>
      <c r="L1207" s="3" t="n">
        <v>1063.11</v>
      </c>
      <c r="M1207" s="4" t="n">
        <v>0</v>
      </c>
      <c r="N1207" s="3" t="n">
        <v>1547.91</v>
      </c>
      <c r="O1207" s="3">
        <f>K1207*L1207*(1-M1207)</f>
        <v/>
      </c>
      <c r="P1207" s="3">
        <f>O1207-N1207</f>
        <v/>
      </c>
      <c r="Q1207" s="5">
        <f>IFERROR(P1207/O1207,0)</f>
        <v/>
      </c>
      <c r="R1207" s="2">
        <f>TEXT(DATEVALUE(B1207),"mmm")</f>
        <v/>
      </c>
      <c r="S1207" s="2">
        <f>TEXT(DATEVALUE(B1207),"yyyy-mm")</f>
        <v/>
      </c>
    </row>
    <row r="1208">
      <c r="A1208" s="2" t="inlineStr">
        <is>
          <t>O002814</t>
        </is>
      </c>
      <c r="B1208" s="2" t="inlineStr">
        <is>
          <t>2025-03-31</t>
        </is>
      </c>
      <c r="C1208" s="2" t="inlineStr">
        <is>
          <t>C0047</t>
        </is>
      </c>
      <c r="D1208" s="2" t="inlineStr">
        <is>
          <t>P0011</t>
        </is>
      </c>
      <c r="E1208" s="2" t="inlineStr">
        <is>
          <t>Cookware Set</t>
        </is>
      </c>
      <c r="F1208" s="2" t="inlineStr">
        <is>
          <t>Home &amp; Kitchen</t>
        </is>
      </c>
      <c r="G1208" s="2" t="inlineStr">
        <is>
          <t>East</t>
        </is>
      </c>
      <c r="H1208" s="2" t="inlineStr">
        <is>
          <t>Bihar</t>
        </is>
      </c>
      <c r="I1208" s="2" t="inlineStr">
        <is>
          <t>Patna</t>
        </is>
      </c>
      <c r="J1208" s="2" t="inlineStr">
        <is>
          <t>Online</t>
        </is>
      </c>
      <c r="K1208" s="2" t="n">
        <v>3</v>
      </c>
      <c r="L1208" s="3" t="n">
        <v>710.59</v>
      </c>
      <c r="M1208" s="4" t="n">
        <v>0.05</v>
      </c>
      <c r="N1208" s="3" t="n">
        <v>1426.72</v>
      </c>
      <c r="O1208" s="3">
        <f>K1208*L1208*(1-M1208)</f>
        <v/>
      </c>
      <c r="P1208" s="3">
        <f>O1208-N1208</f>
        <v/>
      </c>
      <c r="Q1208" s="5">
        <f>IFERROR(P1208/O1208,0)</f>
        <v/>
      </c>
      <c r="R1208" s="2">
        <f>TEXT(DATEVALUE(B1208),"mmm")</f>
        <v/>
      </c>
      <c r="S1208" s="2">
        <f>TEXT(DATEVALUE(B1208),"yyyy-mm")</f>
        <v/>
      </c>
    </row>
    <row r="1209">
      <c r="A1209" s="2" t="inlineStr">
        <is>
          <t>O002079</t>
        </is>
      </c>
      <c r="B1209" s="2" t="inlineStr">
        <is>
          <t>2025-03-31</t>
        </is>
      </c>
      <c r="C1209" s="2" t="inlineStr">
        <is>
          <t>C0439</t>
        </is>
      </c>
      <c r="D1209" s="2" t="inlineStr">
        <is>
          <t>P0006</t>
        </is>
      </c>
      <c r="E1209" s="2" t="inlineStr">
        <is>
          <t>Mechanical Keyboard</t>
        </is>
      </c>
      <c r="F1209" s="2" t="inlineStr">
        <is>
          <t>Electronics</t>
        </is>
      </c>
      <c r="G1209" s="2" t="inlineStr">
        <is>
          <t>South</t>
        </is>
      </c>
      <c r="H1209" s="2" t="inlineStr">
        <is>
          <t>Karnataka</t>
        </is>
      </c>
      <c r="I1209" s="2" t="inlineStr">
        <is>
          <t>Bengaluru</t>
        </is>
      </c>
      <c r="J1209" s="2" t="inlineStr">
        <is>
          <t>Online</t>
        </is>
      </c>
      <c r="K1209" s="2" t="n">
        <v>1</v>
      </c>
      <c r="L1209" s="3" t="n">
        <v>2649.76</v>
      </c>
      <c r="M1209" s="4" t="n">
        <v>0.15</v>
      </c>
      <c r="N1209" s="3" t="n">
        <v>1467.53</v>
      </c>
      <c r="O1209" s="3">
        <f>K1209*L1209*(1-M1209)</f>
        <v/>
      </c>
      <c r="P1209" s="3">
        <f>O1209-N1209</f>
        <v/>
      </c>
      <c r="Q1209" s="5">
        <f>IFERROR(P1209/O1209,0)</f>
        <v/>
      </c>
      <c r="R1209" s="2">
        <f>TEXT(DATEVALUE(B1209),"mmm")</f>
        <v/>
      </c>
      <c r="S1209" s="2">
        <f>TEXT(DATEVALUE(B1209),"yyyy-mm")</f>
        <v/>
      </c>
    </row>
    <row r="1210">
      <c r="A1210" s="2" t="inlineStr">
        <is>
          <t>O001835</t>
        </is>
      </c>
      <c r="B1210" s="2" t="inlineStr">
        <is>
          <t>2025-03-31</t>
        </is>
      </c>
      <c r="C1210" s="2" t="inlineStr">
        <is>
          <t>C0705</t>
        </is>
      </c>
      <c r="D1210" s="2" t="inlineStr">
        <is>
          <t>P0026</t>
        </is>
      </c>
      <c r="E1210" s="2" t="inlineStr">
        <is>
          <t>Shampoo</t>
        </is>
      </c>
      <c r="F1210" s="2" t="inlineStr">
        <is>
          <t>Beauty</t>
        </is>
      </c>
      <c r="G1210" s="2" t="inlineStr">
        <is>
          <t>West</t>
        </is>
      </c>
      <c r="H1210" s="2" t="inlineStr">
        <is>
          <t>Goa</t>
        </is>
      </c>
      <c r="I1210" s="2" t="inlineStr">
        <is>
          <t>Margao</t>
        </is>
      </c>
      <c r="J1210" s="2" t="inlineStr">
        <is>
          <t>Online</t>
        </is>
      </c>
      <c r="K1210" s="2" t="n">
        <v>2</v>
      </c>
      <c r="L1210" s="3" t="n">
        <v>923.46</v>
      </c>
      <c r="M1210" s="4" t="n">
        <v>0</v>
      </c>
      <c r="N1210" s="3" t="n">
        <v>1014.52</v>
      </c>
      <c r="O1210" s="3">
        <f>K1210*L1210*(1-M1210)</f>
        <v/>
      </c>
      <c r="P1210" s="3">
        <f>O1210-N1210</f>
        <v/>
      </c>
      <c r="Q1210" s="5">
        <f>IFERROR(P1210/O1210,0)</f>
        <v/>
      </c>
      <c r="R1210" s="2">
        <f>TEXT(DATEVALUE(B1210),"mmm")</f>
        <v/>
      </c>
      <c r="S1210" s="2">
        <f>TEXT(DATEVALUE(B1210),"yyyy-mm")</f>
        <v/>
      </c>
    </row>
    <row r="1211">
      <c r="A1211" s="2" t="inlineStr">
        <is>
          <t>O001608</t>
        </is>
      </c>
      <c r="B1211" s="2" t="inlineStr">
        <is>
          <t>2025-03-31</t>
        </is>
      </c>
      <c r="C1211" s="2" t="inlineStr">
        <is>
          <t>C0510</t>
        </is>
      </c>
      <c r="D1211" s="2" t="inlineStr">
        <is>
          <t>P0004</t>
        </is>
      </c>
      <c r="E1211" s="2" t="inlineStr">
        <is>
          <t>USB-C Hub</t>
        </is>
      </c>
      <c r="F1211" s="2" t="inlineStr">
        <is>
          <t>Electronics</t>
        </is>
      </c>
      <c r="G1211" s="2" t="inlineStr">
        <is>
          <t>North</t>
        </is>
      </c>
      <c r="H1211" s="2" t="inlineStr">
        <is>
          <t>Uttar Pradesh</t>
        </is>
      </c>
      <c r="I1211" s="2" t="inlineStr">
        <is>
          <t>Noida</t>
        </is>
      </c>
      <c r="J1211" s="2" t="inlineStr">
        <is>
          <t>Store</t>
        </is>
      </c>
      <c r="K1211" s="2" t="n">
        <v>1</v>
      </c>
      <c r="L1211" s="3" t="n">
        <v>1222.11</v>
      </c>
      <c r="M1211" s="4" t="n">
        <v>0.1</v>
      </c>
      <c r="N1211" s="3" t="n">
        <v>925.42</v>
      </c>
      <c r="O1211" s="3">
        <f>K1211*L1211*(1-M1211)</f>
        <v/>
      </c>
      <c r="P1211" s="3">
        <f>O1211-N1211</f>
        <v/>
      </c>
      <c r="Q1211" s="5">
        <f>IFERROR(P1211/O1211,0)</f>
        <v/>
      </c>
      <c r="R1211" s="2">
        <f>TEXT(DATEVALUE(B1211),"mmm")</f>
        <v/>
      </c>
      <c r="S1211" s="2">
        <f>TEXT(DATEVALUE(B1211),"yyyy-mm")</f>
        <v/>
      </c>
    </row>
    <row r="1212">
      <c r="A1212" s="2" t="inlineStr">
        <is>
          <t>O001179</t>
        </is>
      </c>
      <c r="B1212" s="2" t="inlineStr">
        <is>
          <t>2025-03-31</t>
        </is>
      </c>
      <c r="C1212" s="2" t="inlineStr">
        <is>
          <t>C0015</t>
        </is>
      </c>
      <c r="D1212" s="2" t="inlineStr">
        <is>
          <t>P0017</t>
        </is>
      </c>
      <c r="E1212" s="2" t="inlineStr">
        <is>
          <t>Jeans</t>
        </is>
      </c>
      <c r="F1212" s="2" t="inlineStr">
        <is>
          <t>Fashion</t>
        </is>
      </c>
      <c r="G1212" s="2" t="inlineStr">
        <is>
          <t>North</t>
        </is>
      </c>
      <c r="H1212" s="2" t="inlineStr">
        <is>
          <t>Uttar Pradesh</t>
        </is>
      </c>
      <c r="I1212" s="2" t="inlineStr">
        <is>
          <t>Varanasi</t>
        </is>
      </c>
      <c r="J1212" s="2" t="inlineStr">
        <is>
          <t>Online</t>
        </is>
      </c>
      <c r="K1212" s="2" t="n">
        <v>4</v>
      </c>
      <c r="L1212" s="3" t="n">
        <v>1547.12</v>
      </c>
      <c r="M1212" s="4" t="n">
        <v>0.2</v>
      </c>
      <c r="N1212" s="3" t="n">
        <v>4176.09</v>
      </c>
      <c r="O1212" s="3">
        <f>K1212*L1212*(1-M1212)</f>
        <v/>
      </c>
      <c r="P1212" s="3">
        <f>O1212-N1212</f>
        <v/>
      </c>
      <c r="Q1212" s="5">
        <f>IFERROR(P1212/O1212,0)</f>
        <v/>
      </c>
      <c r="R1212" s="2">
        <f>TEXT(DATEVALUE(B1212),"mmm")</f>
        <v/>
      </c>
      <c r="S1212" s="2">
        <f>TEXT(DATEVALUE(B1212),"yyyy-mm")</f>
        <v/>
      </c>
    </row>
    <row r="1213">
      <c r="A1213" s="2" t="inlineStr">
        <is>
          <t>O000993</t>
        </is>
      </c>
      <c r="B1213" s="2" t="inlineStr">
        <is>
          <t>2025-03-31</t>
        </is>
      </c>
      <c r="C1213" s="2" t="inlineStr">
        <is>
          <t>C0180</t>
        </is>
      </c>
      <c r="D1213" s="2" t="inlineStr">
        <is>
          <t>P0023</t>
        </is>
      </c>
      <c r="E1213" s="2" t="inlineStr">
        <is>
          <t>Skin Care Kit</t>
        </is>
      </c>
      <c r="F1213" s="2" t="inlineStr">
        <is>
          <t>Beauty</t>
        </is>
      </c>
      <c r="G1213" s="2" t="inlineStr">
        <is>
          <t>North</t>
        </is>
      </c>
      <c r="H1213" s="2" t="inlineStr">
        <is>
          <t>Delhi</t>
        </is>
      </c>
      <c r="I1213" s="2" t="inlineStr">
        <is>
          <t>New Delhi</t>
        </is>
      </c>
      <c r="J1213" s="2" t="inlineStr">
        <is>
          <t>Online</t>
        </is>
      </c>
      <c r="K1213" s="2" t="n">
        <v>2</v>
      </c>
      <c r="L1213" s="3" t="n">
        <v>1440.62</v>
      </c>
      <c r="M1213" s="4" t="n">
        <v>0.1</v>
      </c>
      <c r="N1213" s="3" t="n">
        <v>1844.62</v>
      </c>
      <c r="O1213" s="3">
        <f>K1213*L1213*(1-M1213)</f>
        <v/>
      </c>
      <c r="P1213" s="3">
        <f>O1213-N1213</f>
        <v/>
      </c>
      <c r="Q1213" s="5">
        <f>IFERROR(P1213/O1213,0)</f>
        <v/>
      </c>
      <c r="R1213" s="2">
        <f>TEXT(DATEVALUE(B1213),"mmm")</f>
        <v/>
      </c>
      <c r="S1213" s="2">
        <f>TEXT(DATEVALUE(B1213),"yyyy-mm")</f>
        <v/>
      </c>
    </row>
    <row r="1214">
      <c r="A1214" s="2" t="inlineStr">
        <is>
          <t>O000692</t>
        </is>
      </c>
      <c r="B1214" s="2" t="inlineStr">
        <is>
          <t>2025-03-31</t>
        </is>
      </c>
      <c r="C1214" s="2" t="inlineStr">
        <is>
          <t>C0510</t>
        </is>
      </c>
      <c r="D1214" s="2" t="inlineStr">
        <is>
          <t>P0030</t>
        </is>
      </c>
      <c r="E1214" s="2" t="inlineStr">
        <is>
          <t>Dumbbells</t>
        </is>
      </c>
      <c r="F1214" s="2" t="inlineStr">
        <is>
          <t>Sports</t>
        </is>
      </c>
      <c r="G1214" s="2" t="inlineStr">
        <is>
          <t>East</t>
        </is>
      </c>
      <c r="H1214" s="2" t="inlineStr">
        <is>
          <t>Odisha</t>
        </is>
      </c>
      <c r="I1214" s="2" t="inlineStr">
        <is>
          <t>Bhubaneswar</t>
        </is>
      </c>
      <c r="J1214" s="2" t="inlineStr">
        <is>
          <t>Online</t>
        </is>
      </c>
      <c r="K1214" s="2" t="n">
        <v>2</v>
      </c>
      <c r="L1214" s="3" t="n">
        <v>1591.07</v>
      </c>
      <c r="M1214" s="4" t="n">
        <v>0.15</v>
      </c>
      <c r="N1214" s="3" t="n">
        <v>2084.56</v>
      </c>
      <c r="O1214" s="3">
        <f>K1214*L1214*(1-M1214)</f>
        <v/>
      </c>
      <c r="P1214" s="3">
        <f>O1214-N1214</f>
        <v/>
      </c>
      <c r="Q1214" s="5">
        <f>IFERROR(P1214/O1214,0)</f>
        <v/>
      </c>
      <c r="R1214" s="2">
        <f>TEXT(DATEVALUE(B1214),"mmm")</f>
        <v/>
      </c>
      <c r="S1214" s="2">
        <f>TEXT(DATEVALUE(B1214),"yyyy-mm")</f>
        <v/>
      </c>
    </row>
    <row r="1215">
      <c r="A1215" s="2" t="inlineStr">
        <is>
          <t>O000530</t>
        </is>
      </c>
      <c r="B1215" s="2" t="inlineStr">
        <is>
          <t>2025-03-31</t>
        </is>
      </c>
      <c r="C1215" s="2" t="inlineStr">
        <is>
          <t>C0078</t>
        </is>
      </c>
      <c r="D1215" s="2" t="inlineStr">
        <is>
          <t>P0035</t>
        </is>
      </c>
      <c r="E1215" s="2" t="inlineStr">
        <is>
          <t>Skipping Rope</t>
        </is>
      </c>
      <c r="F1215" s="2" t="inlineStr">
        <is>
          <t>Sports</t>
        </is>
      </c>
      <c r="G1215" s="2" t="inlineStr">
        <is>
          <t>West</t>
        </is>
      </c>
      <c r="H1215" s="2" t="inlineStr">
        <is>
          <t>Gujarat</t>
        </is>
      </c>
      <c r="I1215" s="2" t="inlineStr">
        <is>
          <t>Surat</t>
        </is>
      </c>
      <c r="J1215" s="2" t="inlineStr">
        <is>
          <t>Store</t>
        </is>
      </c>
      <c r="K1215" s="2" t="n">
        <v>1</v>
      </c>
      <c r="L1215" s="3" t="n">
        <v>708.8</v>
      </c>
      <c r="M1215" s="4" t="n">
        <v>0.1</v>
      </c>
      <c r="N1215" s="3" t="n">
        <v>409.62</v>
      </c>
      <c r="O1215" s="3">
        <f>K1215*L1215*(1-M1215)</f>
        <v/>
      </c>
      <c r="P1215" s="3">
        <f>O1215-N1215</f>
        <v/>
      </c>
      <c r="Q1215" s="5">
        <f>IFERROR(P1215/O1215,0)</f>
        <v/>
      </c>
      <c r="R1215" s="2">
        <f>TEXT(DATEVALUE(B1215),"mmm")</f>
        <v/>
      </c>
      <c r="S1215" s="2">
        <f>TEXT(DATEVALUE(B1215),"yyyy-mm")</f>
        <v/>
      </c>
    </row>
    <row r="1216">
      <c r="A1216" s="2" t="inlineStr">
        <is>
          <t>O000527</t>
        </is>
      </c>
      <c r="B1216" s="2" t="inlineStr">
        <is>
          <t>2025-03-31</t>
        </is>
      </c>
      <c r="C1216" s="2" t="inlineStr">
        <is>
          <t>C0650</t>
        </is>
      </c>
      <c r="D1216" s="2" t="inlineStr">
        <is>
          <t>P0014</t>
        </is>
      </c>
      <c r="E1216" s="2" t="inlineStr">
        <is>
          <t>Coffee Maker</t>
        </is>
      </c>
      <c r="F1216" s="2" t="inlineStr">
        <is>
          <t>Home &amp; Kitchen</t>
        </is>
      </c>
      <c r="G1216" s="2" t="inlineStr">
        <is>
          <t>West</t>
        </is>
      </c>
      <c r="H1216" s="2" t="inlineStr">
        <is>
          <t>Gujarat</t>
        </is>
      </c>
      <c r="I1216" s="2" t="inlineStr">
        <is>
          <t>Vadodara</t>
        </is>
      </c>
      <c r="J1216" s="2" t="inlineStr">
        <is>
          <t>Store</t>
        </is>
      </c>
      <c r="K1216" s="2" t="n">
        <v>3</v>
      </c>
      <c r="L1216" s="3" t="n">
        <v>1059.65</v>
      </c>
      <c r="M1216" s="4" t="n">
        <v>0.05</v>
      </c>
      <c r="N1216" s="3" t="n">
        <v>2235.44</v>
      </c>
      <c r="O1216" s="3">
        <f>K1216*L1216*(1-M1216)</f>
        <v/>
      </c>
      <c r="P1216" s="3">
        <f>O1216-N1216</f>
        <v/>
      </c>
      <c r="Q1216" s="5">
        <f>IFERROR(P1216/O1216,0)</f>
        <v/>
      </c>
      <c r="R1216" s="2">
        <f>TEXT(DATEVALUE(B1216),"mmm")</f>
        <v/>
      </c>
      <c r="S1216" s="2">
        <f>TEXT(DATEVALUE(B1216),"yyyy-mm")</f>
        <v/>
      </c>
    </row>
    <row r="1217">
      <c r="A1217" s="2" t="inlineStr">
        <is>
          <t>O002177</t>
        </is>
      </c>
      <c r="B1217" s="2" t="inlineStr">
        <is>
          <t>2025-03-31</t>
        </is>
      </c>
      <c r="C1217" s="2" t="inlineStr">
        <is>
          <t>C0568</t>
        </is>
      </c>
      <c r="D1217" s="2" t="inlineStr">
        <is>
          <t>P0022</t>
        </is>
      </c>
      <c r="E1217" s="2" t="inlineStr">
        <is>
          <t>Face Wash</t>
        </is>
      </c>
      <c r="F1217" s="2" t="inlineStr">
        <is>
          <t>Beauty</t>
        </is>
      </c>
      <c r="G1217" s="2" t="inlineStr">
        <is>
          <t>East</t>
        </is>
      </c>
      <c r="H1217" s="2" t="inlineStr">
        <is>
          <t>West Bengal</t>
        </is>
      </c>
      <c r="I1217" s="2" t="inlineStr">
        <is>
          <t>Durgapur</t>
        </is>
      </c>
      <c r="J1217" s="2" t="inlineStr">
        <is>
          <t>Online</t>
        </is>
      </c>
      <c r="K1217" s="2" t="n">
        <v>1</v>
      </c>
      <c r="L1217" s="3" t="n">
        <v>558</v>
      </c>
      <c r="M1217" s="4" t="n">
        <v>0.15</v>
      </c>
      <c r="N1217" s="3" t="n">
        <v>339.71</v>
      </c>
      <c r="O1217" s="3">
        <f>K1217*L1217*(1-M1217)</f>
        <v/>
      </c>
      <c r="P1217" s="3">
        <f>O1217-N1217</f>
        <v/>
      </c>
      <c r="Q1217" s="5">
        <f>IFERROR(P1217/O1217,0)</f>
        <v/>
      </c>
      <c r="R1217" s="2">
        <f>TEXT(DATEVALUE(B1217),"mmm")</f>
        <v/>
      </c>
      <c r="S1217" s="2">
        <f>TEXT(DATEVALUE(B1217),"yyyy-mm")</f>
        <v/>
      </c>
    </row>
    <row r="1218">
      <c r="A1218" s="2" t="inlineStr">
        <is>
          <t>O004824</t>
        </is>
      </c>
      <c r="B1218" s="2" t="inlineStr">
        <is>
          <t>2025-04-01</t>
        </is>
      </c>
      <c r="C1218" s="2" t="inlineStr">
        <is>
          <t>C0336</t>
        </is>
      </c>
      <c r="D1218" s="2" t="inlineStr">
        <is>
          <t>P0001</t>
        </is>
      </c>
      <c r="E1218" s="2" t="inlineStr">
        <is>
          <t>Wireless Headphones</t>
        </is>
      </c>
      <c r="F1218" s="2" t="inlineStr">
        <is>
          <t>Electronics</t>
        </is>
      </c>
      <c r="G1218" s="2" t="inlineStr">
        <is>
          <t>North</t>
        </is>
      </c>
      <c r="H1218" s="2" t="inlineStr">
        <is>
          <t>Haryana</t>
        </is>
      </c>
      <c r="I1218" s="2" t="inlineStr">
        <is>
          <t>Gurugram</t>
        </is>
      </c>
      <c r="J1218" s="2" t="inlineStr">
        <is>
          <t>Online</t>
        </is>
      </c>
      <c r="K1218" s="2" t="n">
        <v>4</v>
      </c>
      <c r="L1218" s="3" t="n">
        <v>1325.79</v>
      </c>
      <c r="M1218" s="4" t="n">
        <v>0.15</v>
      </c>
      <c r="N1218" s="3" t="n">
        <v>2901.86</v>
      </c>
      <c r="O1218" s="3">
        <f>K1218*L1218*(1-M1218)</f>
        <v/>
      </c>
      <c r="P1218" s="3">
        <f>O1218-N1218</f>
        <v/>
      </c>
      <c r="Q1218" s="5">
        <f>IFERROR(P1218/O1218,0)</f>
        <v/>
      </c>
      <c r="R1218" s="2">
        <f>TEXT(DATEVALUE(B1218),"mmm")</f>
        <v/>
      </c>
      <c r="S1218" s="2">
        <f>TEXT(DATEVALUE(B1218),"yyyy-mm")</f>
        <v/>
      </c>
    </row>
    <row r="1219">
      <c r="A1219" s="2" t="inlineStr">
        <is>
          <t>O004439</t>
        </is>
      </c>
      <c r="B1219" s="2" t="inlineStr">
        <is>
          <t>2025-04-01</t>
        </is>
      </c>
      <c r="C1219" s="2" t="inlineStr">
        <is>
          <t>C0462</t>
        </is>
      </c>
      <c r="D1219" s="2" t="inlineStr">
        <is>
          <t>P0022</t>
        </is>
      </c>
      <c r="E1219" s="2" t="inlineStr">
        <is>
          <t>Face Wash</t>
        </is>
      </c>
      <c r="F1219" s="2" t="inlineStr">
        <is>
          <t>Beauty</t>
        </is>
      </c>
      <c r="G1219" s="2" t="inlineStr">
        <is>
          <t>West</t>
        </is>
      </c>
      <c r="H1219" s="2" t="inlineStr">
        <is>
          <t>Maharashtra</t>
        </is>
      </c>
      <c r="I1219" s="2" t="inlineStr">
        <is>
          <t>Nashik</t>
        </is>
      </c>
      <c r="J1219" s="2" t="inlineStr">
        <is>
          <t>Online</t>
        </is>
      </c>
      <c r="K1219" s="2" t="n">
        <v>5</v>
      </c>
      <c r="L1219" s="3" t="n">
        <v>566.67</v>
      </c>
      <c r="M1219" s="4" t="n">
        <v>0</v>
      </c>
      <c r="N1219" s="3" t="n">
        <v>1788.04</v>
      </c>
      <c r="O1219" s="3">
        <f>K1219*L1219*(1-M1219)</f>
        <v/>
      </c>
      <c r="P1219" s="3">
        <f>O1219-N1219</f>
        <v/>
      </c>
      <c r="Q1219" s="5">
        <f>IFERROR(P1219/O1219,0)</f>
        <v/>
      </c>
      <c r="R1219" s="2">
        <f>TEXT(DATEVALUE(B1219),"mmm")</f>
        <v/>
      </c>
      <c r="S1219" s="2">
        <f>TEXT(DATEVALUE(B1219),"yyyy-mm")</f>
        <v/>
      </c>
    </row>
    <row r="1220">
      <c r="A1220" s="2" t="inlineStr">
        <is>
          <t>O004045</t>
        </is>
      </c>
      <c r="B1220" s="2" t="inlineStr">
        <is>
          <t>2025-04-01</t>
        </is>
      </c>
      <c r="C1220" s="2" t="inlineStr">
        <is>
          <t>C0004</t>
        </is>
      </c>
      <c r="D1220" s="2" t="inlineStr">
        <is>
          <t>P0004</t>
        </is>
      </c>
      <c r="E1220" s="2" t="inlineStr">
        <is>
          <t>USB-C Hub</t>
        </is>
      </c>
      <c r="F1220" s="2" t="inlineStr">
        <is>
          <t>Electronics</t>
        </is>
      </c>
      <c r="G1220" s="2" t="inlineStr">
        <is>
          <t>South</t>
        </is>
      </c>
      <c r="H1220" s="2" t="inlineStr">
        <is>
          <t>Kerala</t>
        </is>
      </c>
      <c r="I1220" s="2" t="inlineStr">
        <is>
          <t>Kochi</t>
        </is>
      </c>
      <c r="J1220" s="2" t="inlineStr">
        <is>
          <t>Online</t>
        </is>
      </c>
      <c r="K1220" s="2" t="n">
        <v>1</v>
      </c>
      <c r="L1220" s="3" t="n">
        <v>1292.79</v>
      </c>
      <c r="M1220" s="4" t="n">
        <v>0.05</v>
      </c>
      <c r="N1220" s="3" t="n">
        <v>908.9299999999999</v>
      </c>
      <c r="O1220" s="3">
        <f>K1220*L1220*(1-M1220)</f>
        <v/>
      </c>
      <c r="P1220" s="3">
        <f>O1220-N1220</f>
        <v/>
      </c>
      <c r="Q1220" s="5">
        <f>IFERROR(P1220/O1220,0)</f>
        <v/>
      </c>
      <c r="R1220" s="2">
        <f>TEXT(DATEVALUE(B1220),"mmm")</f>
        <v/>
      </c>
      <c r="S1220" s="2">
        <f>TEXT(DATEVALUE(B1220),"yyyy-mm")</f>
        <v/>
      </c>
    </row>
    <row r="1221">
      <c r="A1221" s="2" t="inlineStr">
        <is>
          <t>O004036</t>
        </is>
      </c>
      <c r="B1221" s="2" t="inlineStr">
        <is>
          <t>2025-04-01</t>
        </is>
      </c>
      <c r="C1221" s="2" t="inlineStr">
        <is>
          <t>C0578</t>
        </is>
      </c>
      <c r="D1221" s="2" t="inlineStr">
        <is>
          <t>P0017</t>
        </is>
      </c>
      <c r="E1221" s="2" t="inlineStr">
        <is>
          <t>Jeans</t>
        </is>
      </c>
      <c r="F1221" s="2" t="inlineStr">
        <is>
          <t>Fashion</t>
        </is>
      </c>
      <c r="G1221" s="2" t="inlineStr">
        <is>
          <t>South</t>
        </is>
      </c>
      <c r="H1221" s="2" t="inlineStr">
        <is>
          <t>Telangana</t>
        </is>
      </c>
      <c r="I1221" s="2" t="inlineStr">
        <is>
          <t>Hyderabad</t>
        </is>
      </c>
      <c r="J1221" s="2" t="inlineStr">
        <is>
          <t>Online</t>
        </is>
      </c>
      <c r="K1221" s="2" t="n">
        <v>5</v>
      </c>
      <c r="L1221" s="3" t="n">
        <v>1527.71</v>
      </c>
      <c r="M1221" s="4" t="n">
        <v>0</v>
      </c>
      <c r="N1221" s="3" t="n">
        <v>5124.53</v>
      </c>
      <c r="O1221" s="3">
        <f>K1221*L1221*(1-M1221)</f>
        <v/>
      </c>
      <c r="P1221" s="3">
        <f>O1221-N1221</f>
        <v/>
      </c>
      <c r="Q1221" s="5">
        <f>IFERROR(P1221/O1221,0)</f>
        <v/>
      </c>
      <c r="R1221" s="2">
        <f>TEXT(DATEVALUE(B1221),"mmm")</f>
        <v/>
      </c>
      <c r="S1221" s="2">
        <f>TEXT(DATEVALUE(B1221),"yyyy-mm")</f>
        <v/>
      </c>
    </row>
    <row r="1222">
      <c r="A1222" s="2" t="inlineStr">
        <is>
          <t>O004008</t>
        </is>
      </c>
      <c r="B1222" s="2" t="inlineStr">
        <is>
          <t>2025-04-01</t>
        </is>
      </c>
      <c r="C1222" s="2" t="inlineStr">
        <is>
          <t>C0127</t>
        </is>
      </c>
      <c r="D1222" s="2" t="inlineStr">
        <is>
          <t>P0026</t>
        </is>
      </c>
      <c r="E1222" s="2" t="inlineStr">
        <is>
          <t>Shampoo</t>
        </is>
      </c>
      <c r="F1222" s="2" t="inlineStr">
        <is>
          <t>Beauty</t>
        </is>
      </c>
      <c r="G1222" s="2" t="inlineStr">
        <is>
          <t>North</t>
        </is>
      </c>
      <c r="H1222" s="2" t="inlineStr">
        <is>
          <t>Punjab</t>
        </is>
      </c>
      <c r="I1222" s="2" t="inlineStr">
        <is>
          <t>Jalandhar</t>
        </is>
      </c>
      <c r="J1222" s="2" t="inlineStr">
        <is>
          <t>Online</t>
        </is>
      </c>
      <c r="K1222" s="2" t="n">
        <v>2</v>
      </c>
      <c r="L1222" s="3" t="n">
        <v>890.64</v>
      </c>
      <c r="M1222" s="4" t="n">
        <v>0.15</v>
      </c>
      <c r="N1222" s="3" t="n">
        <v>1021.1</v>
      </c>
      <c r="O1222" s="3">
        <f>K1222*L1222*(1-M1222)</f>
        <v/>
      </c>
      <c r="P1222" s="3">
        <f>O1222-N1222</f>
        <v/>
      </c>
      <c r="Q1222" s="5">
        <f>IFERROR(P1222/O1222,0)</f>
        <v/>
      </c>
      <c r="R1222" s="2">
        <f>TEXT(DATEVALUE(B1222),"mmm")</f>
        <v/>
      </c>
      <c r="S1222" s="2">
        <f>TEXT(DATEVALUE(B1222),"yyyy-mm")</f>
        <v/>
      </c>
    </row>
    <row r="1223">
      <c r="A1223" s="2" t="inlineStr">
        <is>
          <t>O003484</t>
        </is>
      </c>
      <c r="B1223" s="2" t="inlineStr">
        <is>
          <t>2025-04-01</t>
        </is>
      </c>
      <c r="C1223" s="2" t="inlineStr">
        <is>
          <t>C0639</t>
        </is>
      </c>
      <c r="D1223" s="2" t="inlineStr">
        <is>
          <t>P0032</t>
        </is>
      </c>
      <c r="E1223" s="2" t="inlineStr">
        <is>
          <t>Football</t>
        </is>
      </c>
      <c r="F1223" s="2" t="inlineStr">
        <is>
          <t>Sports</t>
        </is>
      </c>
      <c r="G1223" s="2" t="inlineStr">
        <is>
          <t>North</t>
        </is>
      </c>
      <c r="H1223" s="2" t="inlineStr">
        <is>
          <t>Delhi</t>
        </is>
      </c>
      <c r="I1223" s="2" t="inlineStr">
        <is>
          <t>New Delhi</t>
        </is>
      </c>
      <c r="J1223" s="2" t="inlineStr">
        <is>
          <t>Store</t>
        </is>
      </c>
      <c r="K1223" s="2" t="n">
        <v>3</v>
      </c>
      <c r="L1223" s="3" t="n">
        <v>819.75</v>
      </c>
      <c r="M1223" s="4" t="n">
        <v>0.05</v>
      </c>
      <c r="N1223" s="3" t="n">
        <v>1561.65</v>
      </c>
      <c r="O1223" s="3">
        <f>K1223*L1223*(1-M1223)</f>
        <v/>
      </c>
      <c r="P1223" s="3">
        <f>O1223-N1223</f>
        <v/>
      </c>
      <c r="Q1223" s="5">
        <f>IFERROR(P1223/O1223,0)</f>
        <v/>
      </c>
      <c r="R1223" s="2">
        <f>TEXT(DATEVALUE(B1223),"mmm")</f>
        <v/>
      </c>
      <c r="S1223" s="2">
        <f>TEXT(DATEVALUE(B1223),"yyyy-mm")</f>
        <v/>
      </c>
    </row>
    <row r="1224">
      <c r="A1224" s="2" t="inlineStr">
        <is>
          <t>O003100</t>
        </is>
      </c>
      <c r="B1224" s="2" t="inlineStr">
        <is>
          <t>2025-04-01</t>
        </is>
      </c>
      <c r="C1224" s="2" t="inlineStr">
        <is>
          <t>C0597</t>
        </is>
      </c>
      <c r="D1224" s="2" t="inlineStr">
        <is>
          <t>P0035</t>
        </is>
      </c>
      <c r="E1224" s="2" t="inlineStr">
        <is>
          <t>Skipping Rope</t>
        </is>
      </c>
      <c r="F1224" s="2" t="inlineStr">
        <is>
          <t>Sports</t>
        </is>
      </c>
      <c r="G1224" s="2" t="inlineStr">
        <is>
          <t>West</t>
        </is>
      </c>
      <c r="H1224" s="2" t="inlineStr">
        <is>
          <t>Maharashtra</t>
        </is>
      </c>
      <c r="I1224" s="2" t="inlineStr">
        <is>
          <t>Thane</t>
        </is>
      </c>
      <c r="J1224" s="2" t="inlineStr">
        <is>
          <t>Store</t>
        </is>
      </c>
      <c r="K1224" s="2" t="n">
        <v>3</v>
      </c>
      <c r="L1224" s="3" t="n">
        <v>732.33</v>
      </c>
      <c r="M1224" s="4" t="n">
        <v>0</v>
      </c>
      <c r="N1224" s="3" t="n">
        <v>1213.15</v>
      </c>
      <c r="O1224" s="3">
        <f>K1224*L1224*(1-M1224)</f>
        <v/>
      </c>
      <c r="P1224" s="3">
        <f>O1224-N1224</f>
        <v/>
      </c>
      <c r="Q1224" s="5">
        <f>IFERROR(P1224/O1224,0)</f>
        <v/>
      </c>
      <c r="R1224" s="2">
        <f>TEXT(DATEVALUE(B1224),"mmm")</f>
        <v/>
      </c>
      <c r="S1224" s="2">
        <f>TEXT(DATEVALUE(B1224),"yyyy-mm")</f>
        <v/>
      </c>
    </row>
    <row r="1225">
      <c r="A1225" s="2" t="inlineStr">
        <is>
          <t>O000634</t>
        </is>
      </c>
      <c r="B1225" s="2" t="inlineStr">
        <is>
          <t>2025-04-01</t>
        </is>
      </c>
      <c r="C1225" s="2" t="inlineStr">
        <is>
          <t>C0005</t>
        </is>
      </c>
      <c r="D1225" s="2" t="inlineStr">
        <is>
          <t>P0012</t>
        </is>
      </c>
      <c r="E1225" s="2" t="inlineStr">
        <is>
          <t>Water Bottle</t>
        </is>
      </c>
      <c r="F1225" s="2" t="inlineStr">
        <is>
          <t>Home &amp; Kitchen</t>
        </is>
      </c>
      <c r="G1225" s="2" t="inlineStr">
        <is>
          <t>West</t>
        </is>
      </c>
      <c r="H1225" s="2" t="inlineStr">
        <is>
          <t>Goa</t>
        </is>
      </c>
      <c r="I1225" s="2" t="inlineStr">
        <is>
          <t>Panaji</t>
        </is>
      </c>
      <c r="J1225" s="2" t="inlineStr">
        <is>
          <t>Online</t>
        </is>
      </c>
      <c r="K1225" s="2" t="n">
        <v>5</v>
      </c>
      <c r="L1225" s="3" t="n">
        <v>954.4299999999999</v>
      </c>
      <c r="M1225" s="4" t="n">
        <v>0.2</v>
      </c>
      <c r="N1225" s="3" t="n">
        <v>3073.68</v>
      </c>
      <c r="O1225" s="3">
        <f>K1225*L1225*(1-M1225)</f>
        <v/>
      </c>
      <c r="P1225" s="3">
        <f>O1225-N1225</f>
        <v/>
      </c>
      <c r="Q1225" s="5">
        <f>IFERROR(P1225/O1225,0)</f>
        <v/>
      </c>
      <c r="R1225" s="2">
        <f>TEXT(DATEVALUE(B1225),"mmm")</f>
        <v/>
      </c>
      <c r="S1225" s="2">
        <f>TEXT(DATEVALUE(B1225),"yyyy-mm")</f>
        <v/>
      </c>
    </row>
    <row r="1226">
      <c r="A1226" s="2" t="inlineStr">
        <is>
          <t>O004469</t>
        </is>
      </c>
      <c r="B1226" s="2" t="inlineStr">
        <is>
          <t>2025-04-02</t>
        </is>
      </c>
      <c r="C1226" s="2" t="inlineStr">
        <is>
          <t>C0161</t>
        </is>
      </c>
      <c r="D1226" s="2" t="inlineStr">
        <is>
          <t>P0013</t>
        </is>
      </c>
      <c r="E1226" s="2" t="inlineStr">
        <is>
          <t>Storage Organizer</t>
        </is>
      </c>
      <c r="F1226" s="2" t="inlineStr">
        <is>
          <t>Home &amp; Kitchen</t>
        </is>
      </c>
      <c r="G1226" s="2" t="inlineStr">
        <is>
          <t>South</t>
        </is>
      </c>
      <c r="H1226" s="2" t="inlineStr">
        <is>
          <t>Karnataka</t>
        </is>
      </c>
      <c r="I1226" s="2" t="inlineStr">
        <is>
          <t>Mangaluru</t>
        </is>
      </c>
      <c r="J1226" s="2" t="inlineStr">
        <is>
          <t>Store</t>
        </is>
      </c>
      <c r="K1226" s="2" t="n">
        <v>1</v>
      </c>
      <c r="L1226" s="3" t="n">
        <v>560.9</v>
      </c>
      <c r="M1226" s="4" t="n">
        <v>0.1</v>
      </c>
      <c r="N1226" s="3" t="n">
        <v>371.49</v>
      </c>
      <c r="O1226" s="3">
        <f>K1226*L1226*(1-M1226)</f>
        <v/>
      </c>
      <c r="P1226" s="3">
        <f>O1226-N1226</f>
        <v/>
      </c>
      <c r="Q1226" s="5">
        <f>IFERROR(P1226/O1226,0)</f>
        <v/>
      </c>
      <c r="R1226" s="2">
        <f>TEXT(DATEVALUE(B1226),"mmm")</f>
        <v/>
      </c>
      <c r="S1226" s="2">
        <f>TEXT(DATEVALUE(B1226),"yyyy-mm")</f>
        <v/>
      </c>
    </row>
    <row r="1227">
      <c r="A1227" s="2" t="inlineStr">
        <is>
          <t>O003822</t>
        </is>
      </c>
      <c r="B1227" s="2" t="inlineStr">
        <is>
          <t>2025-04-02</t>
        </is>
      </c>
      <c r="C1227" s="2" t="inlineStr">
        <is>
          <t>C0322</t>
        </is>
      </c>
      <c r="D1227" s="2" t="inlineStr">
        <is>
          <t>P0021</t>
        </is>
      </c>
      <c r="E1227" s="2" t="inlineStr">
        <is>
          <t>Wallet</t>
        </is>
      </c>
      <c r="F1227" s="2" t="inlineStr">
        <is>
          <t>Fashion</t>
        </is>
      </c>
      <c r="G1227" s="2" t="inlineStr">
        <is>
          <t>West</t>
        </is>
      </c>
      <c r="H1227" s="2" t="inlineStr">
        <is>
          <t>Maharashtra</t>
        </is>
      </c>
      <c r="I1227" s="2" t="inlineStr">
        <is>
          <t>Nashik</t>
        </is>
      </c>
      <c r="J1227" s="2" t="inlineStr">
        <is>
          <t>Store</t>
        </is>
      </c>
      <c r="K1227" s="2" t="n">
        <v>5</v>
      </c>
      <c r="L1227" s="3" t="n">
        <v>1938.13</v>
      </c>
      <c r="M1227" s="4" t="n">
        <v>0.1</v>
      </c>
      <c r="N1227" s="3" t="n">
        <v>5923.02</v>
      </c>
      <c r="O1227" s="3">
        <f>K1227*L1227*(1-M1227)</f>
        <v/>
      </c>
      <c r="P1227" s="3">
        <f>O1227-N1227</f>
        <v/>
      </c>
      <c r="Q1227" s="5">
        <f>IFERROR(P1227/O1227,0)</f>
        <v/>
      </c>
      <c r="R1227" s="2">
        <f>TEXT(DATEVALUE(B1227),"mmm")</f>
        <v/>
      </c>
      <c r="S1227" s="2">
        <f>TEXT(DATEVALUE(B1227),"yyyy-mm")</f>
        <v/>
      </c>
    </row>
    <row r="1228">
      <c r="A1228" s="2" t="inlineStr">
        <is>
          <t>O003523</t>
        </is>
      </c>
      <c r="B1228" s="2" t="inlineStr">
        <is>
          <t>2025-04-02</t>
        </is>
      </c>
      <c r="C1228" s="2" t="inlineStr">
        <is>
          <t>C0793</t>
        </is>
      </c>
      <c r="D1228" s="2" t="inlineStr">
        <is>
          <t>P0009</t>
        </is>
      </c>
      <c r="E1228" s="2" t="inlineStr">
        <is>
          <t>Electric Kettle</t>
        </is>
      </c>
      <c r="F1228" s="2" t="inlineStr">
        <is>
          <t>Home &amp; Kitchen</t>
        </is>
      </c>
      <c r="G1228" s="2" t="inlineStr">
        <is>
          <t>North</t>
        </is>
      </c>
      <c r="H1228" s="2" t="inlineStr">
        <is>
          <t>Uttar Pradesh</t>
        </is>
      </c>
      <c r="I1228" s="2" t="inlineStr">
        <is>
          <t>Kanpur</t>
        </is>
      </c>
      <c r="J1228" s="2" t="inlineStr">
        <is>
          <t>Online</t>
        </is>
      </c>
      <c r="K1228" s="2" t="n">
        <v>5</v>
      </c>
      <c r="L1228" s="3" t="n">
        <v>2108.59</v>
      </c>
      <c r="M1228" s="4" t="n">
        <v>0</v>
      </c>
      <c r="N1228" s="3" t="n">
        <v>5522.81</v>
      </c>
      <c r="O1228" s="3">
        <f>K1228*L1228*(1-M1228)</f>
        <v/>
      </c>
      <c r="P1228" s="3">
        <f>O1228-N1228</f>
        <v/>
      </c>
      <c r="Q1228" s="5">
        <f>IFERROR(P1228/O1228,0)</f>
        <v/>
      </c>
      <c r="R1228" s="2">
        <f>TEXT(DATEVALUE(B1228),"mmm")</f>
        <v/>
      </c>
      <c r="S1228" s="2">
        <f>TEXT(DATEVALUE(B1228),"yyyy-mm")</f>
        <v/>
      </c>
    </row>
    <row r="1229">
      <c r="A1229" s="2" t="inlineStr">
        <is>
          <t>O004728</t>
        </is>
      </c>
      <c r="B1229" s="2" t="inlineStr">
        <is>
          <t>2025-04-02</t>
        </is>
      </c>
      <c r="C1229" s="2" t="inlineStr">
        <is>
          <t>C0258</t>
        </is>
      </c>
      <c r="D1229" s="2" t="inlineStr">
        <is>
          <t>P0023</t>
        </is>
      </c>
      <c r="E1229" s="2" t="inlineStr">
        <is>
          <t>Skin Care Kit</t>
        </is>
      </c>
      <c r="F1229" s="2" t="inlineStr">
        <is>
          <t>Beauty</t>
        </is>
      </c>
      <c r="G1229" s="2" t="inlineStr">
        <is>
          <t>South</t>
        </is>
      </c>
      <c r="H1229" s="2" t="inlineStr">
        <is>
          <t>Tamil Nadu</t>
        </is>
      </c>
      <c r="I1229" s="2" t="inlineStr">
        <is>
          <t>Chennai</t>
        </is>
      </c>
      <c r="J1229" s="2" t="inlineStr">
        <is>
          <t>Store</t>
        </is>
      </c>
      <c r="K1229" s="2" t="n">
        <v>6</v>
      </c>
      <c r="L1229" s="3" t="n">
        <v>1360.42</v>
      </c>
      <c r="M1229" s="4" t="n">
        <v>0.25</v>
      </c>
      <c r="N1229" s="3" t="n">
        <v>5458.75</v>
      </c>
      <c r="O1229" s="3">
        <f>K1229*L1229*(1-M1229)</f>
        <v/>
      </c>
      <c r="P1229" s="3">
        <f>O1229-N1229</f>
        <v/>
      </c>
      <c r="Q1229" s="5">
        <f>IFERROR(P1229/O1229,0)</f>
        <v/>
      </c>
      <c r="R1229" s="2">
        <f>TEXT(DATEVALUE(B1229),"mmm")</f>
        <v/>
      </c>
      <c r="S1229" s="2">
        <f>TEXT(DATEVALUE(B1229),"yyyy-mm")</f>
        <v/>
      </c>
    </row>
    <row r="1230">
      <c r="A1230" s="2" t="inlineStr">
        <is>
          <t>O003458</t>
        </is>
      </c>
      <c r="B1230" s="2" t="inlineStr">
        <is>
          <t>2025-04-02</t>
        </is>
      </c>
      <c r="C1230" s="2" t="inlineStr">
        <is>
          <t>C0719</t>
        </is>
      </c>
      <c r="D1230" s="2" t="inlineStr">
        <is>
          <t>P0020</t>
        </is>
      </c>
      <c r="E1230" s="2" t="inlineStr">
        <is>
          <t>Sneakers</t>
        </is>
      </c>
      <c r="F1230" s="2" t="inlineStr">
        <is>
          <t>Fashion</t>
        </is>
      </c>
      <c r="G1230" s="2" t="inlineStr">
        <is>
          <t>South</t>
        </is>
      </c>
      <c r="H1230" s="2" t="inlineStr">
        <is>
          <t>Tamil Nadu</t>
        </is>
      </c>
      <c r="I1230" s="2" t="inlineStr">
        <is>
          <t>Madurai</t>
        </is>
      </c>
      <c r="J1230" s="2" t="inlineStr">
        <is>
          <t>Store</t>
        </is>
      </c>
      <c r="K1230" s="2" t="n">
        <v>4</v>
      </c>
      <c r="L1230" s="3" t="n">
        <v>2004.08</v>
      </c>
      <c r="M1230" s="4" t="n">
        <v>0.05</v>
      </c>
      <c r="N1230" s="3" t="n">
        <v>5954.68</v>
      </c>
      <c r="O1230" s="3">
        <f>K1230*L1230*(1-M1230)</f>
        <v/>
      </c>
      <c r="P1230" s="3">
        <f>O1230-N1230</f>
        <v/>
      </c>
      <c r="Q1230" s="5">
        <f>IFERROR(P1230/O1230,0)</f>
        <v/>
      </c>
      <c r="R1230" s="2">
        <f>TEXT(DATEVALUE(B1230),"mmm")</f>
        <v/>
      </c>
      <c r="S1230" s="2">
        <f>TEXT(DATEVALUE(B1230),"yyyy-mm")</f>
        <v/>
      </c>
    </row>
    <row r="1231">
      <c r="A1231" s="2" t="inlineStr">
        <is>
          <t>O002944</t>
        </is>
      </c>
      <c r="B1231" s="2" t="inlineStr">
        <is>
          <t>2025-04-02</t>
        </is>
      </c>
      <c r="C1231" s="2" t="inlineStr">
        <is>
          <t>C0793</t>
        </is>
      </c>
      <c r="D1231" s="2" t="inlineStr">
        <is>
          <t>P0024</t>
        </is>
      </c>
      <c r="E1231" s="2" t="inlineStr">
        <is>
          <t>Hair Dryer</t>
        </is>
      </c>
      <c r="F1231" s="2" t="inlineStr">
        <is>
          <t>Beauty</t>
        </is>
      </c>
      <c r="G1231" s="2" t="inlineStr">
        <is>
          <t>South</t>
        </is>
      </c>
      <c r="H1231" s="2" t="inlineStr">
        <is>
          <t>Tamil Nadu</t>
        </is>
      </c>
      <c r="I1231" s="2" t="inlineStr">
        <is>
          <t>Madurai</t>
        </is>
      </c>
      <c r="J1231" s="2" t="inlineStr">
        <is>
          <t>Store</t>
        </is>
      </c>
      <c r="K1231" s="2" t="n">
        <v>1</v>
      </c>
      <c r="L1231" s="3" t="n">
        <v>1034.96</v>
      </c>
      <c r="M1231" s="4" t="n">
        <v>0.05</v>
      </c>
      <c r="N1231" s="3" t="n">
        <v>734.64</v>
      </c>
      <c r="O1231" s="3">
        <f>K1231*L1231*(1-M1231)</f>
        <v/>
      </c>
      <c r="P1231" s="3">
        <f>O1231-N1231</f>
        <v/>
      </c>
      <c r="Q1231" s="5">
        <f>IFERROR(P1231/O1231,0)</f>
        <v/>
      </c>
      <c r="R1231" s="2">
        <f>TEXT(DATEVALUE(B1231),"mmm")</f>
        <v/>
      </c>
      <c r="S1231" s="2">
        <f>TEXT(DATEVALUE(B1231),"yyyy-mm")</f>
        <v/>
      </c>
    </row>
    <row r="1232">
      <c r="A1232" s="2" t="inlineStr">
        <is>
          <t>O002470</t>
        </is>
      </c>
      <c r="B1232" s="2" t="inlineStr">
        <is>
          <t>2025-04-02</t>
        </is>
      </c>
      <c r="C1232" s="2" t="inlineStr">
        <is>
          <t>C0137</t>
        </is>
      </c>
      <c r="D1232" s="2" t="inlineStr">
        <is>
          <t>P0022</t>
        </is>
      </c>
      <c r="E1232" s="2" t="inlineStr">
        <is>
          <t>Face Wash</t>
        </is>
      </c>
      <c r="F1232" s="2" t="inlineStr">
        <is>
          <t>Beauty</t>
        </is>
      </c>
      <c r="G1232" s="2" t="inlineStr">
        <is>
          <t>East</t>
        </is>
      </c>
      <c r="H1232" s="2" t="inlineStr">
        <is>
          <t>West Bengal</t>
        </is>
      </c>
      <c r="I1232" s="2" t="inlineStr">
        <is>
          <t>Durgapur</t>
        </is>
      </c>
      <c r="J1232" s="2" t="inlineStr">
        <is>
          <t>Store</t>
        </is>
      </c>
      <c r="K1232" s="2" t="n">
        <v>2</v>
      </c>
      <c r="L1232" s="3" t="n">
        <v>556.92</v>
      </c>
      <c r="M1232" s="4" t="n">
        <v>0.1</v>
      </c>
      <c r="N1232" s="3" t="n">
        <v>716.79</v>
      </c>
      <c r="O1232" s="3">
        <f>K1232*L1232*(1-M1232)</f>
        <v/>
      </c>
      <c r="P1232" s="3">
        <f>O1232-N1232</f>
        <v/>
      </c>
      <c r="Q1232" s="5">
        <f>IFERROR(P1232/O1232,0)</f>
        <v/>
      </c>
      <c r="R1232" s="2">
        <f>TEXT(DATEVALUE(B1232),"mmm")</f>
        <v/>
      </c>
      <c r="S1232" s="2">
        <f>TEXT(DATEVALUE(B1232),"yyyy-mm")</f>
        <v/>
      </c>
    </row>
    <row r="1233">
      <c r="A1233" s="2" t="inlineStr">
        <is>
          <t>O002417</t>
        </is>
      </c>
      <c r="B1233" s="2" t="inlineStr">
        <is>
          <t>2025-04-02</t>
        </is>
      </c>
      <c r="C1233" s="2" t="inlineStr">
        <is>
          <t>C0599</t>
        </is>
      </c>
      <c r="D1233" s="2" t="inlineStr">
        <is>
          <t>P0016</t>
        </is>
      </c>
      <c r="E1233" s="2" t="inlineStr">
        <is>
          <t>Casual Shirt</t>
        </is>
      </c>
      <c r="F1233" s="2" t="inlineStr">
        <is>
          <t>Fashion</t>
        </is>
      </c>
      <c r="G1233" s="2" t="inlineStr">
        <is>
          <t>East</t>
        </is>
      </c>
      <c r="H1233" s="2" t="inlineStr">
        <is>
          <t>Bihar</t>
        </is>
      </c>
      <c r="I1233" s="2" t="inlineStr">
        <is>
          <t>Patna</t>
        </is>
      </c>
      <c r="J1233" s="2" t="inlineStr">
        <is>
          <t>Online</t>
        </is>
      </c>
      <c r="K1233" s="2" t="n">
        <v>2</v>
      </c>
      <c r="L1233" s="3" t="n">
        <v>1303.47</v>
      </c>
      <c r="M1233" s="4" t="n">
        <v>0.05</v>
      </c>
      <c r="N1233" s="3" t="n">
        <v>1844.7</v>
      </c>
      <c r="O1233" s="3">
        <f>K1233*L1233*(1-M1233)</f>
        <v/>
      </c>
      <c r="P1233" s="3">
        <f>O1233-N1233</f>
        <v/>
      </c>
      <c r="Q1233" s="5">
        <f>IFERROR(P1233/O1233,0)</f>
        <v/>
      </c>
      <c r="R1233" s="2">
        <f>TEXT(DATEVALUE(B1233),"mmm")</f>
        <v/>
      </c>
      <c r="S1233" s="2">
        <f>TEXT(DATEVALUE(B1233),"yyyy-mm")</f>
        <v/>
      </c>
    </row>
    <row r="1234">
      <c r="A1234" s="2" t="inlineStr">
        <is>
          <t>O000844</t>
        </is>
      </c>
      <c r="B1234" s="2" t="inlineStr">
        <is>
          <t>2025-04-02</t>
        </is>
      </c>
      <c r="C1234" s="2" t="inlineStr">
        <is>
          <t>C0694</t>
        </is>
      </c>
      <c r="D1234" s="2" t="inlineStr">
        <is>
          <t>P0017</t>
        </is>
      </c>
      <c r="E1234" s="2" t="inlineStr">
        <is>
          <t>Jeans</t>
        </is>
      </c>
      <c r="F1234" s="2" t="inlineStr">
        <is>
          <t>Fashion</t>
        </is>
      </c>
      <c r="G1234" s="2" t="inlineStr">
        <is>
          <t>North</t>
        </is>
      </c>
      <c r="H1234" s="2" t="inlineStr">
        <is>
          <t>Punjab</t>
        </is>
      </c>
      <c r="I1234" s="2" t="inlineStr">
        <is>
          <t>Amritsar</t>
        </is>
      </c>
      <c r="J1234" s="2" t="inlineStr">
        <is>
          <t>Online</t>
        </is>
      </c>
      <c r="K1234" s="2" t="n">
        <v>3</v>
      </c>
      <c r="L1234" s="3" t="n">
        <v>1435.14</v>
      </c>
      <c r="M1234" s="4" t="n">
        <v>0.05</v>
      </c>
      <c r="N1234" s="3" t="n">
        <v>2973.23</v>
      </c>
      <c r="O1234" s="3">
        <f>K1234*L1234*(1-M1234)</f>
        <v/>
      </c>
      <c r="P1234" s="3">
        <f>O1234-N1234</f>
        <v/>
      </c>
      <c r="Q1234" s="5">
        <f>IFERROR(P1234/O1234,0)</f>
        <v/>
      </c>
      <c r="R1234" s="2">
        <f>TEXT(DATEVALUE(B1234),"mmm")</f>
        <v/>
      </c>
      <c r="S1234" s="2">
        <f>TEXT(DATEVALUE(B1234),"yyyy-mm")</f>
        <v/>
      </c>
    </row>
    <row r="1235">
      <c r="A1235" s="2" t="inlineStr">
        <is>
          <t>O001740</t>
        </is>
      </c>
      <c r="B1235" s="2" t="inlineStr">
        <is>
          <t>2025-04-02</t>
        </is>
      </c>
      <c r="C1235" s="2" t="inlineStr">
        <is>
          <t>C0302</t>
        </is>
      </c>
      <c r="D1235" s="2" t="inlineStr">
        <is>
          <t>P0016</t>
        </is>
      </c>
      <c r="E1235" s="2" t="inlineStr">
        <is>
          <t>Casual Shirt</t>
        </is>
      </c>
      <c r="F1235" s="2" t="inlineStr">
        <is>
          <t>Fashion</t>
        </is>
      </c>
      <c r="G1235" s="2" t="inlineStr">
        <is>
          <t>West</t>
        </is>
      </c>
      <c r="H1235" s="2" t="inlineStr">
        <is>
          <t>Gujarat</t>
        </is>
      </c>
      <c r="I1235" s="2" t="inlineStr">
        <is>
          <t>Ahmedabad</t>
        </is>
      </c>
      <c r="J1235" s="2" t="inlineStr">
        <is>
          <t>Online</t>
        </is>
      </c>
      <c r="K1235" s="2" t="n">
        <v>2</v>
      </c>
      <c r="L1235" s="3" t="n">
        <v>1279.49</v>
      </c>
      <c r="M1235" s="4" t="n">
        <v>0.15</v>
      </c>
      <c r="N1235" s="3" t="n">
        <v>1752.84</v>
      </c>
      <c r="O1235" s="3">
        <f>K1235*L1235*(1-M1235)</f>
        <v/>
      </c>
      <c r="P1235" s="3">
        <f>O1235-N1235</f>
        <v/>
      </c>
      <c r="Q1235" s="5">
        <f>IFERROR(P1235/O1235,0)</f>
        <v/>
      </c>
      <c r="R1235" s="2">
        <f>TEXT(DATEVALUE(B1235),"mmm")</f>
        <v/>
      </c>
      <c r="S1235" s="2">
        <f>TEXT(DATEVALUE(B1235),"yyyy-mm")</f>
        <v/>
      </c>
    </row>
    <row r="1236">
      <c r="A1236" s="2" t="inlineStr">
        <is>
          <t>O001635</t>
        </is>
      </c>
      <c r="B1236" s="2" t="inlineStr">
        <is>
          <t>2025-04-02</t>
        </is>
      </c>
      <c r="C1236" s="2" t="inlineStr">
        <is>
          <t>C0179</t>
        </is>
      </c>
      <c r="D1236" s="2" t="inlineStr">
        <is>
          <t>P0035</t>
        </is>
      </c>
      <c r="E1236" s="2" t="inlineStr">
        <is>
          <t>Skipping Rope</t>
        </is>
      </c>
      <c r="F1236" s="2" t="inlineStr">
        <is>
          <t>Sports</t>
        </is>
      </c>
      <c r="G1236" s="2" t="inlineStr">
        <is>
          <t>North</t>
        </is>
      </c>
      <c r="H1236" s="2" t="inlineStr">
        <is>
          <t>Punjab</t>
        </is>
      </c>
      <c r="I1236" s="2" t="inlineStr">
        <is>
          <t>Ludhiana</t>
        </is>
      </c>
      <c r="J1236" s="2" t="inlineStr">
        <is>
          <t>Store</t>
        </is>
      </c>
      <c r="K1236" s="2" t="n">
        <v>2</v>
      </c>
      <c r="L1236" s="3" t="n">
        <v>690.91</v>
      </c>
      <c r="M1236" s="4" t="n">
        <v>0.15</v>
      </c>
      <c r="N1236" s="3" t="n">
        <v>834.08</v>
      </c>
      <c r="O1236" s="3">
        <f>K1236*L1236*(1-M1236)</f>
        <v/>
      </c>
      <c r="P1236" s="3">
        <f>O1236-N1236</f>
        <v/>
      </c>
      <c r="Q1236" s="5">
        <f>IFERROR(P1236/O1236,0)</f>
        <v/>
      </c>
      <c r="R1236" s="2">
        <f>TEXT(DATEVALUE(B1236),"mmm")</f>
        <v/>
      </c>
      <c r="S1236" s="2">
        <f>TEXT(DATEVALUE(B1236),"yyyy-mm")</f>
        <v/>
      </c>
    </row>
    <row r="1237">
      <c r="A1237" s="2" t="inlineStr">
        <is>
          <t>O001265</t>
        </is>
      </c>
      <c r="B1237" s="2" t="inlineStr">
        <is>
          <t>2025-04-02</t>
        </is>
      </c>
      <c r="C1237" s="2" t="inlineStr">
        <is>
          <t>C0232</t>
        </is>
      </c>
      <c r="D1237" s="2" t="inlineStr">
        <is>
          <t>P0029</t>
        </is>
      </c>
      <c r="E1237" s="2" t="inlineStr">
        <is>
          <t>Yoga Mat</t>
        </is>
      </c>
      <c r="F1237" s="2" t="inlineStr">
        <is>
          <t>Sports</t>
        </is>
      </c>
      <c r="G1237" s="2" t="inlineStr">
        <is>
          <t>West</t>
        </is>
      </c>
      <c r="H1237" s="2" t="inlineStr">
        <is>
          <t>Maharashtra</t>
        </is>
      </c>
      <c r="I1237" s="2" t="inlineStr">
        <is>
          <t>Pune</t>
        </is>
      </c>
      <c r="J1237" s="2" t="inlineStr">
        <is>
          <t>Store</t>
        </is>
      </c>
      <c r="K1237" s="2" t="n">
        <v>3</v>
      </c>
      <c r="L1237" s="3" t="n">
        <v>2417.54</v>
      </c>
      <c r="M1237" s="4" t="n">
        <v>0.15</v>
      </c>
      <c r="N1237" s="3" t="n">
        <v>3869.37</v>
      </c>
      <c r="O1237" s="3">
        <f>K1237*L1237*(1-M1237)</f>
        <v/>
      </c>
      <c r="P1237" s="3">
        <f>O1237-N1237</f>
        <v/>
      </c>
      <c r="Q1237" s="5">
        <f>IFERROR(P1237/O1237,0)</f>
        <v/>
      </c>
      <c r="R1237" s="2">
        <f>TEXT(DATEVALUE(B1237),"mmm")</f>
        <v/>
      </c>
      <c r="S1237" s="2">
        <f>TEXT(DATEVALUE(B1237),"yyyy-mm")</f>
        <v/>
      </c>
    </row>
    <row r="1238">
      <c r="A1238" s="2" t="inlineStr">
        <is>
          <t>O001150</t>
        </is>
      </c>
      <c r="B1238" s="2" t="inlineStr">
        <is>
          <t>2025-04-02</t>
        </is>
      </c>
      <c r="C1238" s="2" t="inlineStr">
        <is>
          <t>C0064</t>
        </is>
      </c>
      <c r="D1238" s="2" t="inlineStr">
        <is>
          <t>P0011</t>
        </is>
      </c>
      <c r="E1238" s="2" t="inlineStr">
        <is>
          <t>Cookware Set</t>
        </is>
      </c>
      <c r="F1238" s="2" t="inlineStr">
        <is>
          <t>Home &amp; Kitchen</t>
        </is>
      </c>
      <c r="G1238" s="2" t="inlineStr">
        <is>
          <t>South</t>
        </is>
      </c>
      <c r="H1238" s="2" t="inlineStr">
        <is>
          <t>Kerala</t>
        </is>
      </c>
      <c r="I1238" s="2" t="inlineStr">
        <is>
          <t>Thiruvananthapuram</t>
        </is>
      </c>
      <c r="J1238" s="2" t="inlineStr">
        <is>
          <t>Online</t>
        </is>
      </c>
      <c r="K1238" s="2" t="n">
        <v>6</v>
      </c>
      <c r="L1238" s="3" t="n">
        <v>672.1900000000001</v>
      </c>
      <c r="M1238" s="4" t="n">
        <v>0.05</v>
      </c>
      <c r="N1238" s="3" t="n">
        <v>2771.26</v>
      </c>
      <c r="O1238" s="3">
        <f>K1238*L1238*(1-M1238)</f>
        <v/>
      </c>
      <c r="P1238" s="3">
        <f>O1238-N1238</f>
        <v/>
      </c>
      <c r="Q1238" s="5">
        <f>IFERROR(P1238/O1238,0)</f>
        <v/>
      </c>
      <c r="R1238" s="2">
        <f>TEXT(DATEVALUE(B1238),"mmm")</f>
        <v/>
      </c>
      <c r="S1238" s="2">
        <f>TEXT(DATEVALUE(B1238),"yyyy-mm")</f>
        <v/>
      </c>
    </row>
    <row r="1239">
      <c r="A1239" s="2" t="inlineStr">
        <is>
          <t>O000436</t>
        </is>
      </c>
      <c r="B1239" s="2" t="inlineStr">
        <is>
          <t>2025-04-02</t>
        </is>
      </c>
      <c r="C1239" s="2" t="inlineStr">
        <is>
          <t>C0684</t>
        </is>
      </c>
      <c r="D1239" s="2" t="inlineStr">
        <is>
          <t>P0007</t>
        </is>
      </c>
      <c r="E1239" s="2" t="inlineStr">
        <is>
          <t>Wireless Mouse</t>
        </is>
      </c>
      <c r="F1239" s="2" t="inlineStr">
        <is>
          <t>Electronics</t>
        </is>
      </c>
      <c r="G1239" s="2" t="inlineStr">
        <is>
          <t>North</t>
        </is>
      </c>
      <c r="H1239" s="2" t="inlineStr">
        <is>
          <t>Uttar Pradesh</t>
        </is>
      </c>
      <c r="I1239" s="2" t="inlineStr">
        <is>
          <t>Varanasi</t>
        </is>
      </c>
      <c r="J1239" s="2" t="inlineStr">
        <is>
          <t>Online</t>
        </is>
      </c>
      <c r="K1239" s="2" t="n">
        <v>2</v>
      </c>
      <c r="L1239" s="3" t="n">
        <v>952.28</v>
      </c>
      <c r="M1239" s="4" t="n">
        <v>0.15</v>
      </c>
      <c r="N1239" s="3" t="n">
        <v>1270.51</v>
      </c>
      <c r="O1239" s="3">
        <f>K1239*L1239*(1-M1239)</f>
        <v/>
      </c>
      <c r="P1239" s="3">
        <f>O1239-N1239</f>
        <v/>
      </c>
      <c r="Q1239" s="5">
        <f>IFERROR(P1239/O1239,0)</f>
        <v/>
      </c>
      <c r="R1239" s="2">
        <f>TEXT(DATEVALUE(B1239),"mmm")</f>
        <v/>
      </c>
      <c r="S1239" s="2">
        <f>TEXT(DATEVALUE(B1239),"yyyy-mm")</f>
        <v/>
      </c>
    </row>
    <row r="1240">
      <c r="A1240" s="2" t="inlineStr">
        <is>
          <t>O000389</t>
        </is>
      </c>
      <c r="B1240" s="2" t="inlineStr">
        <is>
          <t>2025-04-02</t>
        </is>
      </c>
      <c r="C1240" s="2" t="inlineStr">
        <is>
          <t>C0125</t>
        </is>
      </c>
      <c r="D1240" s="2" t="inlineStr">
        <is>
          <t>P0006</t>
        </is>
      </c>
      <c r="E1240" s="2" t="inlineStr">
        <is>
          <t>Mechanical Keyboard</t>
        </is>
      </c>
      <c r="F1240" s="2" t="inlineStr">
        <is>
          <t>Electronics</t>
        </is>
      </c>
      <c r="G1240" s="2" t="inlineStr">
        <is>
          <t>North</t>
        </is>
      </c>
      <c r="H1240" s="2" t="inlineStr">
        <is>
          <t>Punjab</t>
        </is>
      </c>
      <c r="I1240" s="2" t="inlineStr">
        <is>
          <t>Jalandhar</t>
        </is>
      </c>
      <c r="J1240" s="2" t="inlineStr">
        <is>
          <t>Store</t>
        </is>
      </c>
      <c r="K1240" s="2" t="n">
        <v>2</v>
      </c>
      <c r="L1240" s="3" t="n">
        <v>2740.34</v>
      </c>
      <c r="M1240" s="4" t="n">
        <v>0.15</v>
      </c>
      <c r="N1240" s="3" t="n">
        <v>2939.72</v>
      </c>
      <c r="O1240" s="3">
        <f>K1240*L1240*(1-M1240)</f>
        <v/>
      </c>
      <c r="P1240" s="3">
        <f>O1240-N1240</f>
        <v/>
      </c>
      <c r="Q1240" s="5">
        <f>IFERROR(P1240/O1240,0)</f>
        <v/>
      </c>
      <c r="R1240" s="2">
        <f>TEXT(DATEVALUE(B1240),"mmm")</f>
        <v/>
      </c>
      <c r="S1240" s="2">
        <f>TEXT(DATEVALUE(B1240),"yyyy-mm")</f>
        <v/>
      </c>
    </row>
    <row r="1241">
      <c r="A1241" s="2" t="inlineStr">
        <is>
          <t>O000057</t>
        </is>
      </c>
      <c r="B1241" s="2" t="inlineStr">
        <is>
          <t>2025-04-02</t>
        </is>
      </c>
      <c r="C1241" s="2" t="inlineStr">
        <is>
          <t>C0053</t>
        </is>
      </c>
      <c r="D1241" s="2" t="inlineStr">
        <is>
          <t>P0011</t>
        </is>
      </c>
      <c r="E1241" s="2" t="inlineStr">
        <is>
          <t>Cookware Set</t>
        </is>
      </c>
      <c r="F1241" s="2" t="inlineStr">
        <is>
          <t>Home &amp; Kitchen</t>
        </is>
      </c>
      <c r="G1241" s="2" t="inlineStr">
        <is>
          <t>West</t>
        </is>
      </c>
      <c r="H1241" s="2" t="inlineStr">
        <is>
          <t>Gujarat</t>
        </is>
      </c>
      <c r="I1241" s="2" t="inlineStr">
        <is>
          <t>Vadodara</t>
        </is>
      </c>
      <c r="J1241" s="2" t="inlineStr">
        <is>
          <t>Online</t>
        </is>
      </c>
      <c r="K1241" s="2" t="n">
        <v>2</v>
      </c>
      <c r="L1241" s="3" t="n">
        <v>672.4299999999999</v>
      </c>
      <c r="M1241" s="4" t="n">
        <v>0.1</v>
      </c>
      <c r="N1241" s="3" t="n">
        <v>916.67</v>
      </c>
      <c r="O1241" s="3">
        <f>K1241*L1241*(1-M1241)</f>
        <v/>
      </c>
      <c r="P1241" s="3">
        <f>O1241-N1241</f>
        <v/>
      </c>
      <c r="Q1241" s="5">
        <f>IFERROR(P1241/O1241,0)</f>
        <v/>
      </c>
      <c r="R1241" s="2">
        <f>TEXT(DATEVALUE(B1241),"mmm")</f>
        <v/>
      </c>
      <c r="S1241" s="2">
        <f>TEXT(DATEVALUE(B1241),"yyyy-mm")</f>
        <v/>
      </c>
    </row>
    <row r="1242">
      <c r="A1242" s="2" t="inlineStr">
        <is>
          <t>O001818</t>
        </is>
      </c>
      <c r="B1242" s="2" t="inlineStr">
        <is>
          <t>2025-04-02</t>
        </is>
      </c>
      <c r="C1242" s="2" t="inlineStr">
        <is>
          <t>C0109</t>
        </is>
      </c>
      <c r="D1242" s="2" t="inlineStr">
        <is>
          <t>P0011</t>
        </is>
      </c>
      <c r="E1242" s="2" t="inlineStr">
        <is>
          <t>Cookware Set</t>
        </is>
      </c>
      <c r="F1242" s="2" t="inlineStr">
        <is>
          <t>Home &amp; Kitchen</t>
        </is>
      </c>
      <c r="G1242" s="2" t="inlineStr">
        <is>
          <t>East</t>
        </is>
      </c>
      <c r="H1242" s="2" t="inlineStr">
        <is>
          <t>West Bengal</t>
        </is>
      </c>
      <c r="I1242" s="2" t="inlineStr">
        <is>
          <t>Kolkata</t>
        </is>
      </c>
      <c r="J1242" s="2" t="inlineStr">
        <is>
          <t>Online</t>
        </is>
      </c>
      <c r="K1242" s="2" t="n">
        <v>5</v>
      </c>
      <c r="L1242" s="3" t="n">
        <v>693.22</v>
      </c>
      <c r="M1242" s="4" t="n">
        <v>0</v>
      </c>
      <c r="N1242" s="3" t="n">
        <v>2334.37</v>
      </c>
      <c r="O1242" s="3">
        <f>K1242*L1242*(1-M1242)</f>
        <v/>
      </c>
      <c r="P1242" s="3">
        <f>O1242-N1242</f>
        <v/>
      </c>
      <c r="Q1242" s="5">
        <f>IFERROR(P1242/O1242,0)</f>
        <v/>
      </c>
      <c r="R1242" s="2">
        <f>TEXT(DATEVALUE(B1242),"mmm")</f>
        <v/>
      </c>
      <c r="S1242" s="2">
        <f>TEXT(DATEVALUE(B1242),"yyyy-mm")</f>
        <v/>
      </c>
    </row>
    <row r="1243">
      <c r="A1243" s="2" t="inlineStr">
        <is>
          <t>O003992</t>
        </is>
      </c>
      <c r="B1243" s="2" t="inlineStr">
        <is>
          <t>2025-04-03</t>
        </is>
      </c>
      <c r="C1243" s="2" t="inlineStr">
        <is>
          <t>C0794</t>
        </is>
      </c>
      <c r="D1243" s="2" t="inlineStr">
        <is>
          <t>P0021</t>
        </is>
      </c>
      <c r="E1243" s="2" t="inlineStr">
        <is>
          <t>Wallet</t>
        </is>
      </c>
      <c r="F1243" s="2" t="inlineStr">
        <is>
          <t>Fashion</t>
        </is>
      </c>
      <c r="G1243" s="2" t="inlineStr">
        <is>
          <t>South</t>
        </is>
      </c>
      <c r="H1243" s="2" t="inlineStr">
        <is>
          <t>Telangana</t>
        </is>
      </c>
      <c r="I1243" s="2" t="inlineStr">
        <is>
          <t>Hyderabad</t>
        </is>
      </c>
      <c r="J1243" s="2" t="inlineStr">
        <is>
          <t>Online</t>
        </is>
      </c>
      <c r="K1243" s="2" t="n">
        <v>3</v>
      </c>
      <c r="L1243" s="3" t="n">
        <v>2054.82</v>
      </c>
      <c r="M1243" s="4" t="n">
        <v>0.05</v>
      </c>
      <c r="N1243" s="3" t="n">
        <v>3547.02</v>
      </c>
      <c r="O1243" s="3">
        <f>K1243*L1243*(1-M1243)</f>
        <v/>
      </c>
      <c r="P1243" s="3">
        <f>O1243-N1243</f>
        <v/>
      </c>
      <c r="Q1243" s="5">
        <f>IFERROR(P1243/O1243,0)</f>
        <v/>
      </c>
      <c r="R1243" s="2">
        <f>TEXT(DATEVALUE(B1243),"mmm")</f>
        <v/>
      </c>
      <c r="S1243" s="2">
        <f>TEXT(DATEVALUE(B1243),"yyyy-mm")</f>
        <v/>
      </c>
    </row>
    <row r="1244">
      <c r="A1244" s="2" t="inlineStr">
        <is>
          <t>O005000</t>
        </is>
      </c>
      <c r="B1244" s="2" t="inlineStr">
        <is>
          <t>2025-04-03</t>
        </is>
      </c>
      <c r="C1244" s="2" t="inlineStr">
        <is>
          <t>C0768</t>
        </is>
      </c>
      <c r="D1244" s="2" t="inlineStr">
        <is>
          <t>P0014</t>
        </is>
      </c>
      <c r="E1244" s="2" t="inlineStr">
        <is>
          <t>Coffee Maker</t>
        </is>
      </c>
      <c r="F1244" s="2" t="inlineStr">
        <is>
          <t>Home &amp; Kitchen</t>
        </is>
      </c>
      <c r="G1244" s="2" t="inlineStr">
        <is>
          <t>South</t>
        </is>
      </c>
      <c r="H1244" s="2" t="inlineStr">
        <is>
          <t>Kerala</t>
        </is>
      </c>
      <c r="I1244" s="2" t="inlineStr">
        <is>
          <t>Thiruvananthapuram</t>
        </is>
      </c>
      <c r="J1244" s="2" t="inlineStr">
        <is>
          <t>Online</t>
        </is>
      </c>
      <c r="K1244" s="2" t="n">
        <v>3</v>
      </c>
      <c r="L1244" s="3" t="n">
        <v>1089.06</v>
      </c>
      <c r="M1244" s="4" t="n">
        <v>0.1</v>
      </c>
      <c r="N1244" s="3" t="n">
        <v>2354.78</v>
      </c>
      <c r="O1244" s="3">
        <f>K1244*L1244*(1-M1244)</f>
        <v/>
      </c>
      <c r="P1244" s="3">
        <f>O1244-N1244</f>
        <v/>
      </c>
      <c r="Q1244" s="5">
        <f>IFERROR(P1244/O1244,0)</f>
        <v/>
      </c>
      <c r="R1244" s="2">
        <f>TEXT(DATEVALUE(B1244),"mmm")</f>
        <v/>
      </c>
      <c r="S1244" s="2">
        <f>TEXT(DATEVALUE(B1244),"yyyy-mm")</f>
        <v/>
      </c>
    </row>
    <row r="1245">
      <c r="A1245" s="2" t="inlineStr">
        <is>
          <t>O004907</t>
        </is>
      </c>
      <c r="B1245" s="2" t="inlineStr">
        <is>
          <t>2025-04-03</t>
        </is>
      </c>
      <c r="C1245" s="2" t="inlineStr">
        <is>
          <t>C0686</t>
        </is>
      </c>
      <c r="D1245" s="2" t="inlineStr">
        <is>
          <t>P0021</t>
        </is>
      </c>
      <c r="E1245" s="2" t="inlineStr">
        <is>
          <t>Wallet</t>
        </is>
      </c>
      <c r="F1245" s="2" t="inlineStr">
        <is>
          <t>Fashion</t>
        </is>
      </c>
      <c r="G1245" s="2" t="inlineStr">
        <is>
          <t>South</t>
        </is>
      </c>
      <c r="H1245" s="2" t="inlineStr">
        <is>
          <t>Karnataka</t>
        </is>
      </c>
      <c r="I1245" s="2" t="inlineStr">
        <is>
          <t>Mysuru</t>
        </is>
      </c>
      <c r="J1245" s="2" t="inlineStr">
        <is>
          <t>Online</t>
        </is>
      </c>
      <c r="K1245" s="2" t="n">
        <v>1</v>
      </c>
      <c r="L1245" s="3" t="n">
        <v>2023.86</v>
      </c>
      <c r="M1245" s="4" t="n">
        <v>0.05</v>
      </c>
      <c r="N1245" s="3" t="n">
        <v>1247.79</v>
      </c>
      <c r="O1245" s="3">
        <f>K1245*L1245*(1-M1245)</f>
        <v/>
      </c>
      <c r="P1245" s="3">
        <f>O1245-N1245</f>
        <v/>
      </c>
      <c r="Q1245" s="5">
        <f>IFERROR(P1245/O1245,0)</f>
        <v/>
      </c>
      <c r="R1245" s="2">
        <f>TEXT(DATEVALUE(B1245),"mmm")</f>
        <v/>
      </c>
      <c r="S1245" s="2">
        <f>TEXT(DATEVALUE(B1245),"yyyy-mm")</f>
        <v/>
      </c>
    </row>
    <row r="1246">
      <c r="A1246" s="2" t="inlineStr">
        <is>
          <t>O004642</t>
        </is>
      </c>
      <c r="B1246" s="2" t="inlineStr">
        <is>
          <t>2025-04-03</t>
        </is>
      </c>
      <c r="C1246" s="2" t="inlineStr">
        <is>
          <t>C0775</t>
        </is>
      </c>
      <c r="D1246" s="2" t="inlineStr">
        <is>
          <t>P0001</t>
        </is>
      </c>
      <c r="E1246" s="2" t="inlineStr">
        <is>
          <t>Wireless Headphones</t>
        </is>
      </c>
      <c r="F1246" s="2" t="inlineStr">
        <is>
          <t>Electronics</t>
        </is>
      </c>
      <c r="G1246" s="2" t="inlineStr">
        <is>
          <t>North</t>
        </is>
      </c>
      <c r="H1246" s="2" t="inlineStr">
        <is>
          <t>Haryana</t>
        </is>
      </c>
      <c r="I1246" s="2" t="inlineStr">
        <is>
          <t>Faridabad</t>
        </is>
      </c>
      <c r="J1246" s="2" t="inlineStr">
        <is>
          <t>Online</t>
        </is>
      </c>
      <c r="K1246" s="2" t="n">
        <v>2</v>
      </c>
      <c r="L1246" s="3" t="n">
        <v>1328.38</v>
      </c>
      <c r="M1246" s="4" t="n">
        <v>0.15</v>
      </c>
      <c r="N1246" s="3" t="n">
        <v>1425.08</v>
      </c>
      <c r="O1246" s="3">
        <f>K1246*L1246*(1-M1246)</f>
        <v/>
      </c>
      <c r="P1246" s="3">
        <f>O1246-N1246</f>
        <v/>
      </c>
      <c r="Q1246" s="5">
        <f>IFERROR(P1246/O1246,0)</f>
        <v/>
      </c>
      <c r="R1246" s="2">
        <f>TEXT(DATEVALUE(B1246),"mmm")</f>
        <v/>
      </c>
      <c r="S1246" s="2">
        <f>TEXT(DATEVALUE(B1246),"yyyy-mm")</f>
        <v/>
      </c>
    </row>
    <row r="1247">
      <c r="A1247" s="2" t="inlineStr">
        <is>
          <t>O004600</t>
        </is>
      </c>
      <c r="B1247" s="2" t="inlineStr">
        <is>
          <t>2025-04-03</t>
        </is>
      </c>
      <c r="C1247" s="2" t="inlineStr">
        <is>
          <t>C0355</t>
        </is>
      </c>
      <c r="D1247" s="2" t="inlineStr">
        <is>
          <t>P0022</t>
        </is>
      </c>
      <c r="E1247" s="2" t="inlineStr">
        <is>
          <t>Face Wash</t>
        </is>
      </c>
      <c r="F1247" s="2" t="inlineStr">
        <is>
          <t>Beauty</t>
        </is>
      </c>
      <c r="G1247" s="2" t="inlineStr">
        <is>
          <t>South</t>
        </is>
      </c>
      <c r="H1247" s="2" t="inlineStr">
        <is>
          <t>Tamil Nadu</t>
        </is>
      </c>
      <c r="I1247" s="2" t="inlineStr">
        <is>
          <t>Chennai</t>
        </is>
      </c>
      <c r="J1247" s="2" t="inlineStr">
        <is>
          <t>Online</t>
        </is>
      </c>
      <c r="K1247" s="2" t="n">
        <v>1</v>
      </c>
      <c r="L1247" s="3" t="n">
        <v>571.98</v>
      </c>
      <c r="M1247" s="4" t="n">
        <v>0.1</v>
      </c>
      <c r="N1247" s="3" t="n">
        <v>354.03</v>
      </c>
      <c r="O1247" s="3">
        <f>K1247*L1247*(1-M1247)</f>
        <v/>
      </c>
      <c r="P1247" s="3">
        <f>O1247-N1247</f>
        <v/>
      </c>
      <c r="Q1247" s="5">
        <f>IFERROR(P1247/O1247,0)</f>
        <v/>
      </c>
      <c r="R1247" s="2">
        <f>TEXT(DATEVALUE(B1247),"mmm")</f>
        <v/>
      </c>
      <c r="S1247" s="2">
        <f>TEXT(DATEVALUE(B1247),"yyyy-mm")</f>
        <v/>
      </c>
    </row>
    <row r="1248">
      <c r="A1248" s="2" t="inlineStr">
        <is>
          <t>O004397</t>
        </is>
      </c>
      <c r="B1248" s="2" t="inlineStr">
        <is>
          <t>2025-04-03</t>
        </is>
      </c>
      <c r="C1248" s="2" t="inlineStr">
        <is>
          <t>C0757</t>
        </is>
      </c>
      <c r="D1248" s="2" t="inlineStr">
        <is>
          <t>P0003</t>
        </is>
      </c>
      <c r="E1248" s="2" t="inlineStr">
        <is>
          <t>Smartwatch</t>
        </is>
      </c>
      <c r="F1248" s="2" t="inlineStr">
        <is>
          <t>Electronics</t>
        </is>
      </c>
      <c r="G1248" s="2" t="inlineStr">
        <is>
          <t>East</t>
        </is>
      </c>
      <c r="H1248" s="2" t="inlineStr">
        <is>
          <t>West Bengal</t>
        </is>
      </c>
      <c r="I1248" s="2" t="inlineStr">
        <is>
          <t>Durgapur</t>
        </is>
      </c>
      <c r="J1248" s="2" t="inlineStr">
        <is>
          <t>Online</t>
        </is>
      </c>
      <c r="K1248" s="2" t="n">
        <v>1</v>
      </c>
      <c r="L1248" s="3" t="n">
        <v>2279.68</v>
      </c>
      <c r="M1248" s="4" t="n">
        <v>0</v>
      </c>
      <c r="N1248" s="3" t="n">
        <v>1176.99</v>
      </c>
      <c r="O1248" s="3">
        <f>K1248*L1248*(1-M1248)</f>
        <v/>
      </c>
      <c r="P1248" s="3">
        <f>O1248-N1248</f>
        <v/>
      </c>
      <c r="Q1248" s="5">
        <f>IFERROR(P1248/O1248,0)</f>
        <v/>
      </c>
      <c r="R1248" s="2">
        <f>TEXT(DATEVALUE(B1248),"mmm")</f>
        <v/>
      </c>
      <c r="S1248" s="2">
        <f>TEXT(DATEVALUE(B1248),"yyyy-mm")</f>
        <v/>
      </c>
    </row>
    <row r="1249">
      <c r="A1249" s="2" t="inlineStr">
        <is>
          <t>O004026</t>
        </is>
      </c>
      <c r="B1249" s="2" t="inlineStr">
        <is>
          <t>2025-04-03</t>
        </is>
      </c>
      <c r="C1249" s="2" t="inlineStr">
        <is>
          <t>C0336</t>
        </is>
      </c>
      <c r="D1249" s="2" t="inlineStr">
        <is>
          <t>P0017</t>
        </is>
      </c>
      <c r="E1249" s="2" t="inlineStr">
        <is>
          <t>Jeans</t>
        </is>
      </c>
      <c r="F1249" s="2" t="inlineStr">
        <is>
          <t>Fashion</t>
        </is>
      </c>
      <c r="G1249" s="2" t="inlineStr">
        <is>
          <t>West</t>
        </is>
      </c>
      <c r="H1249" s="2" t="inlineStr">
        <is>
          <t>Gujarat</t>
        </is>
      </c>
      <c r="I1249" s="2" t="inlineStr">
        <is>
          <t>Surat</t>
        </is>
      </c>
      <c r="J1249" s="2" t="inlineStr">
        <is>
          <t>Online</t>
        </is>
      </c>
      <c r="K1249" s="2" t="n">
        <v>5</v>
      </c>
      <c r="L1249" s="3" t="n">
        <v>1475.38</v>
      </c>
      <c r="M1249" s="4" t="n">
        <v>0.1</v>
      </c>
      <c r="N1249" s="3" t="n">
        <v>5025.78</v>
      </c>
      <c r="O1249" s="3">
        <f>K1249*L1249*(1-M1249)</f>
        <v/>
      </c>
      <c r="P1249" s="3">
        <f>O1249-N1249</f>
        <v/>
      </c>
      <c r="Q1249" s="5">
        <f>IFERROR(P1249/O1249,0)</f>
        <v/>
      </c>
      <c r="R1249" s="2">
        <f>TEXT(DATEVALUE(B1249),"mmm")</f>
        <v/>
      </c>
      <c r="S1249" s="2">
        <f>TEXT(DATEVALUE(B1249),"yyyy-mm")</f>
        <v/>
      </c>
    </row>
    <row r="1250">
      <c r="A1250" s="2" t="inlineStr">
        <is>
          <t>O003933</t>
        </is>
      </c>
      <c r="B1250" s="2" t="inlineStr">
        <is>
          <t>2025-04-03</t>
        </is>
      </c>
      <c r="C1250" s="2" t="inlineStr">
        <is>
          <t>C0500</t>
        </is>
      </c>
      <c r="D1250" s="2" t="inlineStr">
        <is>
          <t>P0031</t>
        </is>
      </c>
      <c r="E1250" s="2" t="inlineStr">
        <is>
          <t>Cricket Bat</t>
        </is>
      </c>
      <c r="F1250" s="2" t="inlineStr">
        <is>
          <t>Sports</t>
        </is>
      </c>
      <c r="G1250" s="2" t="inlineStr">
        <is>
          <t>North</t>
        </is>
      </c>
      <c r="H1250" s="2" t="inlineStr">
        <is>
          <t>Punjab</t>
        </is>
      </c>
      <c r="I1250" s="2" t="inlineStr">
        <is>
          <t>Ludhiana</t>
        </is>
      </c>
      <c r="J1250" s="2" t="inlineStr">
        <is>
          <t>Online</t>
        </is>
      </c>
      <c r="K1250" s="2" t="n">
        <v>2</v>
      </c>
      <c r="L1250" s="3" t="n">
        <v>1394.37</v>
      </c>
      <c r="M1250" s="4" t="n">
        <v>0.05</v>
      </c>
      <c r="N1250" s="3" t="n">
        <v>1923.88</v>
      </c>
      <c r="O1250" s="3">
        <f>K1250*L1250*(1-M1250)</f>
        <v/>
      </c>
      <c r="P1250" s="3">
        <f>O1250-N1250</f>
        <v/>
      </c>
      <c r="Q1250" s="5">
        <f>IFERROR(P1250/O1250,0)</f>
        <v/>
      </c>
      <c r="R1250" s="2">
        <f>TEXT(DATEVALUE(B1250),"mmm")</f>
        <v/>
      </c>
      <c r="S1250" s="2">
        <f>TEXT(DATEVALUE(B1250),"yyyy-mm")</f>
        <v/>
      </c>
    </row>
    <row r="1251">
      <c r="A1251" s="2" t="inlineStr">
        <is>
          <t>O003332</t>
        </is>
      </c>
      <c r="B1251" s="2" t="inlineStr">
        <is>
          <t>2025-04-03</t>
        </is>
      </c>
      <c r="C1251" s="2" t="inlineStr">
        <is>
          <t>C0793</t>
        </is>
      </c>
      <c r="D1251" s="2" t="inlineStr">
        <is>
          <t>P0027</t>
        </is>
      </c>
      <c r="E1251" s="2" t="inlineStr">
        <is>
          <t>Moisturizer</t>
        </is>
      </c>
      <c r="F1251" s="2" t="inlineStr">
        <is>
          <t>Beauty</t>
        </is>
      </c>
      <c r="G1251" s="2" t="inlineStr">
        <is>
          <t>East</t>
        </is>
      </c>
      <c r="H1251" s="2" t="inlineStr">
        <is>
          <t>Odisha</t>
        </is>
      </c>
      <c r="I1251" s="2" t="inlineStr">
        <is>
          <t>Bhubaneswar</t>
        </is>
      </c>
      <c r="J1251" s="2" t="inlineStr">
        <is>
          <t>Store</t>
        </is>
      </c>
      <c r="K1251" s="2" t="n">
        <v>2</v>
      </c>
      <c r="L1251" s="3" t="n">
        <v>944.04</v>
      </c>
      <c r="M1251" s="4" t="n">
        <v>0.1</v>
      </c>
      <c r="N1251" s="3" t="n">
        <v>1373.99</v>
      </c>
      <c r="O1251" s="3">
        <f>K1251*L1251*(1-M1251)</f>
        <v/>
      </c>
      <c r="P1251" s="3">
        <f>O1251-N1251</f>
        <v/>
      </c>
      <c r="Q1251" s="5">
        <f>IFERROR(P1251/O1251,0)</f>
        <v/>
      </c>
      <c r="R1251" s="2">
        <f>TEXT(DATEVALUE(B1251),"mmm")</f>
        <v/>
      </c>
      <c r="S1251" s="2">
        <f>TEXT(DATEVALUE(B1251),"yyyy-mm")</f>
        <v/>
      </c>
    </row>
    <row r="1252">
      <c r="A1252" s="2" t="inlineStr">
        <is>
          <t>O003228</t>
        </is>
      </c>
      <c r="B1252" s="2" t="inlineStr">
        <is>
          <t>2025-04-03</t>
        </is>
      </c>
      <c r="C1252" s="2" t="inlineStr">
        <is>
          <t>C0373</t>
        </is>
      </c>
      <c r="D1252" s="2" t="inlineStr">
        <is>
          <t>P0011</t>
        </is>
      </c>
      <c r="E1252" s="2" t="inlineStr">
        <is>
          <t>Cookware Set</t>
        </is>
      </c>
      <c r="F1252" s="2" t="inlineStr">
        <is>
          <t>Home &amp; Kitchen</t>
        </is>
      </c>
      <c r="G1252" s="2" t="inlineStr">
        <is>
          <t>South</t>
        </is>
      </c>
      <c r="H1252" s="2" t="inlineStr">
        <is>
          <t>Telangana</t>
        </is>
      </c>
      <c r="I1252" s="2" t="inlineStr">
        <is>
          <t>Hyderabad</t>
        </is>
      </c>
      <c r="J1252" s="2" t="inlineStr">
        <is>
          <t>Online</t>
        </is>
      </c>
      <c r="K1252" s="2" t="n">
        <v>4</v>
      </c>
      <c r="L1252" s="3" t="n">
        <v>675.0700000000001</v>
      </c>
      <c r="M1252" s="4" t="n">
        <v>0.05</v>
      </c>
      <c r="N1252" s="3" t="n">
        <v>1892.95</v>
      </c>
      <c r="O1252" s="3">
        <f>K1252*L1252*(1-M1252)</f>
        <v/>
      </c>
      <c r="P1252" s="3">
        <f>O1252-N1252</f>
        <v/>
      </c>
      <c r="Q1252" s="5">
        <f>IFERROR(P1252/O1252,0)</f>
        <v/>
      </c>
      <c r="R1252" s="2">
        <f>TEXT(DATEVALUE(B1252),"mmm")</f>
        <v/>
      </c>
      <c r="S1252" s="2">
        <f>TEXT(DATEVALUE(B1252),"yyyy-mm")</f>
        <v/>
      </c>
    </row>
    <row r="1253">
      <c r="A1253" s="2" t="inlineStr">
        <is>
          <t>O003194</t>
        </is>
      </c>
      <c r="B1253" s="2" t="inlineStr">
        <is>
          <t>2025-04-03</t>
        </is>
      </c>
      <c r="C1253" s="2" t="inlineStr">
        <is>
          <t>C0249</t>
        </is>
      </c>
      <c r="D1253" s="2" t="inlineStr">
        <is>
          <t>P0033</t>
        </is>
      </c>
      <c r="E1253" s="2" t="inlineStr">
        <is>
          <t>Resistance Bands</t>
        </is>
      </c>
      <c r="F1253" s="2" t="inlineStr">
        <is>
          <t>Sports</t>
        </is>
      </c>
      <c r="G1253" s="2" t="inlineStr">
        <is>
          <t>West</t>
        </is>
      </c>
      <c r="H1253" s="2" t="inlineStr">
        <is>
          <t>Goa</t>
        </is>
      </c>
      <c r="I1253" s="2" t="inlineStr">
        <is>
          <t>Margao</t>
        </is>
      </c>
      <c r="J1253" s="2" t="inlineStr">
        <is>
          <t>Store</t>
        </is>
      </c>
      <c r="K1253" s="2" t="n">
        <v>3</v>
      </c>
      <c r="L1253" s="3" t="n">
        <v>1137.23</v>
      </c>
      <c r="M1253" s="4" t="n">
        <v>0.25</v>
      </c>
      <c r="N1253" s="3" t="n">
        <v>2401.72</v>
      </c>
      <c r="O1253" s="3">
        <f>K1253*L1253*(1-M1253)</f>
        <v/>
      </c>
      <c r="P1253" s="3">
        <f>O1253-N1253</f>
        <v/>
      </c>
      <c r="Q1253" s="5">
        <f>IFERROR(P1253/O1253,0)</f>
        <v/>
      </c>
      <c r="R1253" s="2">
        <f>TEXT(DATEVALUE(B1253),"mmm")</f>
        <v/>
      </c>
      <c r="S1253" s="2">
        <f>TEXT(DATEVALUE(B1253),"yyyy-mm")</f>
        <v/>
      </c>
    </row>
    <row r="1254">
      <c r="A1254" s="2" t="inlineStr">
        <is>
          <t>O002115</t>
        </is>
      </c>
      <c r="B1254" s="2" t="inlineStr">
        <is>
          <t>2025-04-03</t>
        </is>
      </c>
      <c r="C1254" s="2" t="inlineStr">
        <is>
          <t>C0294</t>
        </is>
      </c>
      <c r="D1254" s="2" t="inlineStr">
        <is>
          <t>P0024</t>
        </is>
      </c>
      <c r="E1254" s="2" t="inlineStr">
        <is>
          <t>Hair Dryer</t>
        </is>
      </c>
      <c r="F1254" s="2" t="inlineStr">
        <is>
          <t>Beauty</t>
        </is>
      </c>
      <c r="G1254" s="2" t="inlineStr">
        <is>
          <t>West</t>
        </is>
      </c>
      <c r="H1254" s="2" t="inlineStr">
        <is>
          <t>Goa</t>
        </is>
      </c>
      <c r="I1254" s="2" t="inlineStr">
        <is>
          <t>Panaji</t>
        </is>
      </c>
      <c r="J1254" s="2" t="inlineStr">
        <is>
          <t>Online</t>
        </is>
      </c>
      <c r="K1254" s="2" t="n">
        <v>4</v>
      </c>
      <c r="L1254" s="3" t="n">
        <v>1009.33</v>
      </c>
      <c r="M1254" s="4" t="n">
        <v>0</v>
      </c>
      <c r="N1254" s="3" t="n">
        <v>3023.74</v>
      </c>
      <c r="O1254" s="3">
        <f>K1254*L1254*(1-M1254)</f>
        <v/>
      </c>
      <c r="P1254" s="3">
        <f>O1254-N1254</f>
        <v/>
      </c>
      <c r="Q1254" s="5">
        <f>IFERROR(P1254/O1254,0)</f>
        <v/>
      </c>
      <c r="R1254" s="2">
        <f>TEXT(DATEVALUE(B1254),"mmm")</f>
        <v/>
      </c>
      <c r="S1254" s="2">
        <f>TEXT(DATEVALUE(B1254),"yyyy-mm")</f>
        <v/>
      </c>
    </row>
    <row r="1255">
      <c r="A1255" s="2" t="inlineStr">
        <is>
          <t>O001978</t>
        </is>
      </c>
      <c r="B1255" s="2" t="inlineStr">
        <is>
          <t>2025-04-03</t>
        </is>
      </c>
      <c r="C1255" s="2" t="inlineStr">
        <is>
          <t>C0003</t>
        </is>
      </c>
      <c r="D1255" s="2" t="inlineStr">
        <is>
          <t>P0024</t>
        </is>
      </c>
      <c r="E1255" s="2" t="inlineStr">
        <is>
          <t>Hair Dryer</t>
        </is>
      </c>
      <c r="F1255" s="2" t="inlineStr">
        <is>
          <t>Beauty</t>
        </is>
      </c>
      <c r="G1255" s="2" t="inlineStr">
        <is>
          <t>East</t>
        </is>
      </c>
      <c r="H1255" s="2" t="inlineStr">
        <is>
          <t>West Bengal</t>
        </is>
      </c>
      <c r="I1255" s="2" t="inlineStr">
        <is>
          <t>Durgapur</t>
        </is>
      </c>
      <c r="J1255" s="2" t="inlineStr">
        <is>
          <t>Online</t>
        </is>
      </c>
      <c r="K1255" s="2" t="n">
        <v>1</v>
      </c>
      <c r="L1255" s="3" t="n">
        <v>1004.44</v>
      </c>
      <c r="M1255" s="4" t="n">
        <v>0.15</v>
      </c>
      <c r="N1255" s="3" t="n">
        <v>743.46</v>
      </c>
      <c r="O1255" s="3">
        <f>K1255*L1255*(1-M1255)</f>
        <v/>
      </c>
      <c r="P1255" s="3">
        <f>O1255-N1255</f>
        <v/>
      </c>
      <c r="Q1255" s="5">
        <f>IFERROR(P1255/O1255,0)</f>
        <v/>
      </c>
      <c r="R1255" s="2">
        <f>TEXT(DATEVALUE(B1255),"mmm")</f>
        <v/>
      </c>
      <c r="S1255" s="2">
        <f>TEXT(DATEVALUE(B1255),"yyyy-mm")</f>
        <v/>
      </c>
    </row>
    <row r="1256">
      <c r="A1256" s="2" t="inlineStr">
        <is>
          <t>O001902</t>
        </is>
      </c>
      <c r="B1256" s="2" t="inlineStr">
        <is>
          <t>2025-04-03</t>
        </is>
      </c>
      <c r="C1256" s="2" t="inlineStr">
        <is>
          <t>C0456</t>
        </is>
      </c>
      <c r="D1256" s="2" t="inlineStr">
        <is>
          <t>P0003</t>
        </is>
      </c>
      <c r="E1256" s="2" t="inlineStr">
        <is>
          <t>Smartwatch</t>
        </is>
      </c>
      <c r="F1256" s="2" t="inlineStr">
        <is>
          <t>Electronics</t>
        </is>
      </c>
      <c r="G1256" s="2" t="inlineStr">
        <is>
          <t>East</t>
        </is>
      </c>
      <c r="H1256" s="2" t="inlineStr">
        <is>
          <t>Bihar</t>
        </is>
      </c>
      <c r="I1256" s="2" t="inlineStr">
        <is>
          <t>Gaya</t>
        </is>
      </c>
      <c r="J1256" s="2" t="inlineStr">
        <is>
          <t>Online</t>
        </is>
      </c>
      <c r="K1256" s="2" t="n">
        <v>2</v>
      </c>
      <c r="L1256" s="3" t="n">
        <v>2289.9</v>
      </c>
      <c r="M1256" s="4" t="n">
        <v>0</v>
      </c>
      <c r="N1256" s="3" t="n">
        <v>2358.66</v>
      </c>
      <c r="O1256" s="3">
        <f>K1256*L1256*(1-M1256)</f>
        <v/>
      </c>
      <c r="P1256" s="3">
        <f>O1256-N1256</f>
        <v/>
      </c>
      <c r="Q1256" s="5">
        <f>IFERROR(P1256/O1256,0)</f>
        <v/>
      </c>
      <c r="R1256" s="2">
        <f>TEXT(DATEVALUE(B1256),"mmm")</f>
        <v/>
      </c>
      <c r="S1256" s="2">
        <f>TEXT(DATEVALUE(B1256),"yyyy-mm")</f>
        <v/>
      </c>
    </row>
    <row r="1257">
      <c r="A1257" s="2" t="inlineStr">
        <is>
          <t>O001763</t>
        </is>
      </c>
      <c r="B1257" s="2" t="inlineStr">
        <is>
          <t>2025-04-03</t>
        </is>
      </c>
      <c r="C1257" s="2" t="inlineStr">
        <is>
          <t>C0150</t>
        </is>
      </c>
      <c r="D1257" s="2" t="inlineStr">
        <is>
          <t>P0011</t>
        </is>
      </c>
      <c r="E1257" s="2" t="inlineStr">
        <is>
          <t>Cookware Set</t>
        </is>
      </c>
      <c r="F1257" s="2" t="inlineStr">
        <is>
          <t>Home &amp; Kitchen</t>
        </is>
      </c>
      <c r="G1257" s="2" t="inlineStr">
        <is>
          <t>South</t>
        </is>
      </c>
      <c r="H1257" s="2" t="inlineStr">
        <is>
          <t>Telangana</t>
        </is>
      </c>
      <c r="I1257" s="2" t="inlineStr">
        <is>
          <t>Warangal</t>
        </is>
      </c>
      <c r="J1257" s="2" t="inlineStr">
        <is>
          <t>Store</t>
        </is>
      </c>
      <c r="K1257" s="2" t="n">
        <v>3</v>
      </c>
      <c r="L1257" s="3" t="n">
        <v>698.53</v>
      </c>
      <c r="M1257" s="4" t="n">
        <v>0.05</v>
      </c>
      <c r="N1257" s="3" t="n">
        <v>1394.9</v>
      </c>
      <c r="O1257" s="3">
        <f>K1257*L1257*(1-M1257)</f>
        <v/>
      </c>
      <c r="P1257" s="3">
        <f>O1257-N1257</f>
        <v/>
      </c>
      <c r="Q1257" s="5">
        <f>IFERROR(P1257/O1257,0)</f>
        <v/>
      </c>
      <c r="R1257" s="2">
        <f>TEXT(DATEVALUE(B1257),"mmm")</f>
        <v/>
      </c>
      <c r="S1257" s="2">
        <f>TEXT(DATEVALUE(B1257),"yyyy-mm")</f>
        <v/>
      </c>
    </row>
    <row r="1258">
      <c r="A1258" s="2" t="inlineStr">
        <is>
          <t>O000837</t>
        </is>
      </c>
      <c r="B1258" s="2" t="inlineStr">
        <is>
          <t>2025-04-03</t>
        </is>
      </c>
      <c r="C1258" s="2" t="inlineStr">
        <is>
          <t>C0049</t>
        </is>
      </c>
      <c r="D1258" s="2" t="inlineStr">
        <is>
          <t>P0017</t>
        </is>
      </c>
      <c r="E1258" s="2" t="inlineStr">
        <is>
          <t>Jeans</t>
        </is>
      </c>
      <c r="F1258" s="2" t="inlineStr">
        <is>
          <t>Fashion</t>
        </is>
      </c>
      <c r="G1258" s="2" t="inlineStr">
        <is>
          <t>South</t>
        </is>
      </c>
      <c r="H1258" s="2" t="inlineStr">
        <is>
          <t>Tamil Nadu</t>
        </is>
      </c>
      <c r="I1258" s="2" t="inlineStr">
        <is>
          <t>Chennai</t>
        </is>
      </c>
      <c r="J1258" s="2" t="inlineStr">
        <is>
          <t>Online</t>
        </is>
      </c>
      <c r="K1258" s="2" t="n">
        <v>1</v>
      </c>
      <c r="L1258" s="3" t="n">
        <v>1493.62</v>
      </c>
      <c r="M1258" s="4" t="n">
        <v>0.2</v>
      </c>
      <c r="N1258" s="3" t="n">
        <v>1055.66</v>
      </c>
      <c r="O1258" s="3">
        <f>K1258*L1258*(1-M1258)</f>
        <v/>
      </c>
      <c r="P1258" s="3">
        <f>O1258-N1258</f>
        <v/>
      </c>
      <c r="Q1258" s="5">
        <f>IFERROR(P1258/O1258,0)</f>
        <v/>
      </c>
      <c r="R1258" s="2">
        <f>TEXT(DATEVALUE(B1258),"mmm")</f>
        <v/>
      </c>
      <c r="S1258" s="2">
        <f>TEXT(DATEVALUE(B1258),"yyyy-mm")</f>
        <v/>
      </c>
    </row>
    <row r="1259">
      <c r="A1259" s="2" t="inlineStr">
        <is>
          <t>O000529</t>
        </is>
      </c>
      <c r="B1259" s="2" t="inlineStr">
        <is>
          <t>2025-04-03</t>
        </is>
      </c>
      <c r="C1259" s="2" t="inlineStr">
        <is>
          <t>C0119</t>
        </is>
      </c>
      <c r="D1259" s="2" t="inlineStr">
        <is>
          <t>P0029</t>
        </is>
      </c>
      <c r="E1259" s="2" t="inlineStr">
        <is>
          <t>Yoga Mat</t>
        </is>
      </c>
      <c r="F1259" s="2" t="inlineStr">
        <is>
          <t>Sports</t>
        </is>
      </c>
      <c r="G1259" s="2" t="inlineStr">
        <is>
          <t>West</t>
        </is>
      </c>
      <c r="H1259" s="2" t="inlineStr">
        <is>
          <t>Goa</t>
        </is>
      </c>
      <c r="I1259" s="2" t="inlineStr">
        <is>
          <t>Panaji</t>
        </is>
      </c>
      <c r="J1259" s="2" t="inlineStr">
        <is>
          <t>Online</t>
        </is>
      </c>
      <c r="K1259" s="2" t="n">
        <v>2</v>
      </c>
      <c r="L1259" s="3" t="n">
        <v>2457.52</v>
      </c>
      <c r="M1259" s="4" t="n">
        <v>0.1</v>
      </c>
      <c r="N1259" s="3" t="n">
        <v>2723.09</v>
      </c>
      <c r="O1259" s="3">
        <f>K1259*L1259*(1-M1259)</f>
        <v/>
      </c>
      <c r="P1259" s="3">
        <f>O1259-N1259</f>
        <v/>
      </c>
      <c r="Q1259" s="5">
        <f>IFERROR(P1259/O1259,0)</f>
        <v/>
      </c>
      <c r="R1259" s="2">
        <f>TEXT(DATEVALUE(B1259),"mmm")</f>
        <v/>
      </c>
      <c r="S1259" s="2">
        <f>TEXT(DATEVALUE(B1259),"yyyy-mm")</f>
        <v/>
      </c>
    </row>
    <row r="1260">
      <c r="A1260" s="2" t="inlineStr">
        <is>
          <t>O004750</t>
        </is>
      </c>
      <c r="B1260" s="2" t="inlineStr">
        <is>
          <t>2025-04-04</t>
        </is>
      </c>
      <c r="C1260" s="2" t="inlineStr">
        <is>
          <t>C0554</t>
        </is>
      </c>
      <c r="D1260" s="2" t="inlineStr">
        <is>
          <t>P0022</t>
        </is>
      </c>
      <c r="E1260" s="2" t="inlineStr">
        <is>
          <t>Face Wash</t>
        </is>
      </c>
      <c r="F1260" s="2" t="inlineStr">
        <is>
          <t>Beauty</t>
        </is>
      </c>
      <c r="G1260" s="2" t="inlineStr">
        <is>
          <t>West</t>
        </is>
      </c>
      <c r="H1260" s="2" t="inlineStr">
        <is>
          <t>Goa</t>
        </is>
      </c>
      <c r="I1260" s="2" t="inlineStr">
        <is>
          <t>Panaji</t>
        </is>
      </c>
      <c r="J1260" s="2" t="inlineStr">
        <is>
          <t>Online</t>
        </is>
      </c>
      <c r="K1260" s="2" t="n">
        <v>1</v>
      </c>
      <c r="L1260" s="3" t="n">
        <v>529.27</v>
      </c>
      <c r="M1260" s="4" t="n">
        <v>0</v>
      </c>
      <c r="N1260" s="3" t="n">
        <v>347.83</v>
      </c>
      <c r="O1260" s="3">
        <f>K1260*L1260*(1-M1260)</f>
        <v/>
      </c>
      <c r="P1260" s="3">
        <f>O1260-N1260</f>
        <v/>
      </c>
      <c r="Q1260" s="5">
        <f>IFERROR(P1260/O1260,0)</f>
        <v/>
      </c>
      <c r="R1260" s="2">
        <f>TEXT(DATEVALUE(B1260),"mmm")</f>
        <v/>
      </c>
      <c r="S1260" s="2">
        <f>TEXT(DATEVALUE(B1260),"yyyy-mm")</f>
        <v/>
      </c>
    </row>
    <row r="1261">
      <c r="A1261" s="2" t="inlineStr">
        <is>
          <t>O004564</t>
        </is>
      </c>
      <c r="B1261" s="2" t="inlineStr">
        <is>
          <t>2025-04-04</t>
        </is>
      </c>
      <c r="C1261" s="2" t="inlineStr">
        <is>
          <t>C0518</t>
        </is>
      </c>
      <c r="D1261" s="2" t="inlineStr">
        <is>
          <t>P0006</t>
        </is>
      </c>
      <c r="E1261" s="2" t="inlineStr">
        <is>
          <t>Mechanical Keyboard</t>
        </is>
      </c>
      <c r="F1261" s="2" t="inlineStr">
        <is>
          <t>Electronics</t>
        </is>
      </c>
      <c r="G1261" s="2" t="inlineStr">
        <is>
          <t>East</t>
        </is>
      </c>
      <c r="H1261" s="2" t="inlineStr">
        <is>
          <t>West Bengal</t>
        </is>
      </c>
      <c r="I1261" s="2" t="inlineStr">
        <is>
          <t>Kolkata</t>
        </is>
      </c>
      <c r="J1261" s="2" t="inlineStr">
        <is>
          <t>Online</t>
        </is>
      </c>
      <c r="K1261" s="2" t="n">
        <v>1</v>
      </c>
      <c r="L1261" s="3" t="n">
        <v>2775.07</v>
      </c>
      <c r="M1261" s="4" t="n">
        <v>0.1</v>
      </c>
      <c r="N1261" s="3" t="n">
        <v>1501.34</v>
      </c>
      <c r="O1261" s="3">
        <f>K1261*L1261*(1-M1261)</f>
        <v/>
      </c>
      <c r="P1261" s="3">
        <f>O1261-N1261</f>
        <v/>
      </c>
      <c r="Q1261" s="5">
        <f>IFERROR(P1261/O1261,0)</f>
        <v/>
      </c>
      <c r="R1261" s="2">
        <f>TEXT(DATEVALUE(B1261),"mmm")</f>
        <v/>
      </c>
      <c r="S1261" s="2">
        <f>TEXT(DATEVALUE(B1261),"yyyy-mm")</f>
        <v/>
      </c>
    </row>
    <row r="1262">
      <c r="A1262" s="2" t="inlineStr">
        <is>
          <t>O004426</t>
        </is>
      </c>
      <c r="B1262" s="2" t="inlineStr">
        <is>
          <t>2025-04-04</t>
        </is>
      </c>
      <c r="C1262" s="2" t="inlineStr">
        <is>
          <t>C0255</t>
        </is>
      </c>
      <c r="D1262" s="2" t="inlineStr">
        <is>
          <t>P0013</t>
        </is>
      </c>
      <c r="E1262" s="2" t="inlineStr">
        <is>
          <t>Storage Organizer</t>
        </is>
      </c>
      <c r="F1262" s="2" t="inlineStr">
        <is>
          <t>Home &amp; Kitchen</t>
        </is>
      </c>
      <c r="G1262" s="2" t="inlineStr">
        <is>
          <t>East</t>
        </is>
      </c>
      <c r="H1262" s="2" t="inlineStr">
        <is>
          <t>West Bengal</t>
        </is>
      </c>
      <c r="I1262" s="2" t="inlineStr">
        <is>
          <t>Durgapur</t>
        </is>
      </c>
      <c r="J1262" s="2" t="inlineStr">
        <is>
          <t>Store</t>
        </is>
      </c>
      <c r="K1262" s="2" t="n">
        <v>3</v>
      </c>
      <c r="L1262" s="3" t="n">
        <v>587.71</v>
      </c>
      <c r="M1262" s="4" t="n">
        <v>0.1</v>
      </c>
      <c r="N1262" s="3" t="n">
        <v>1096.6</v>
      </c>
      <c r="O1262" s="3">
        <f>K1262*L1262*(1-M1262)</f>
        <v/>
      </c>
      <c r="P1262" s="3">
        <f>O1262-N1262</f>
        <v/>
      </c>
      <c r="Q1262" s="5">
        <f>IFERROR(P1262/O1262,0)</f>
        <v/>
      </c>
      <c r="R1262" s="2">
        <f>TEXT(DATEVALUE(B1262),"mmm")</f>
        <v/>
      </c>
      <c r="S1262" s="2">
        <f>TEXT(DATEVALUE(B1262),"yyyy-mm")</f>
        <v/>
      </c>
    </row>
    <row r="1263">
      <c r="A1263" s="2" t="inlineStr">
        <is>
          <t>O004031</t>
        </is>
      </c>
      <c r="B1263" s="2" t="inlineStr">
        <is>
          <t>2025-04-04</t>
        </is>
      </c>
      <c r="C1263" s="2" t="inlineStr">
        <is>
          <t>C0684</t>
        </is>
      </c>
      <c r="D1263" s="2" t="inlineStr">
        <is>
          <t>P0023</t>
        </is>
      </c>
      <c r="E1263" s="2" t="inlineStr">
        <is>
          <t>Skin Care Kit</t>
        </is>
      </c>
      <c r="F1263" s="2" t="inlineStr">
        <is>
          <t>Beauty</t>
        </is>
      </c>
      <c r="G1263" s="2" t="inlineStr">
        <is>
          <t>West</t>
        </is>
      </c>
      <c r="H1263" s="2" t="inlineStr">
        <is>
          <t>Goa</t>
        </is>
      </c>
      <c r="I1263" s="2" t="inlineStr">
        <is>
          <t>Margao</t>
        </is>
      </c>
      <c r="J1263" s="2" t="inlineStr">
        <is>
          <t>Store</t>
        </is>
      </c>
      <c r="K1263" s="2" t="n">
        <v>2</v>
      </c>
      <c r="L1263" s="3" t="n">
        <v>1382.07</v>
      </c>
      <c r="M1263" s="4" t="n">
        <v>0.15</v>
      </c>
      <c r="N1263" s="3" t="n">
        <v>1809.8</v>
      </c>
      <c r="O1263" s="3">
        <f>K1263*L1263*(1-M1263)</f>
        <v/>
      </c>
      <c r="P1263" s="3">
        <f>O1263-N1263</f>
        <v/>
      </c>
      <c r="Q1263" s="5">
        <f>IFERROR(P1263/O1263,0)</f>
        <v/>
      </c>
      <c r="R1263" s="2">
        <f>TEXT(DATEVALUE(B1263),"mmm")</f>
        <v/>
      </c>
      <c r="S1263" s="2">
        <f>TEXT(DATEVALUE(B1263),"yyyy-mm")</f>
        <v/>
      </c>
    </row>
    <row r="1264">
      <c r="A1264" s="2" t="inlineStr">
        <is>
          <t>O004923</t>
        </is>
      </c>
      <c r="B1264" s="2" t="inlineStr">
        <is>
          <t>2025-04-04</t>
        </is>
      </c>
      <c r="C1264" s="2" t="inlineStr">
        <is>
          <t>C0456</t>
        </is>
      </c>
      <c r="D1264" s="2" t="inlineStr">
        <is>
          <t>P0014</t>
        </is>
      </c>
      <c r="E1264" s="2" t="inlineStr">
        <is>
          <t>Coffee Maker</t>
        </is>
      </c>
      <c r="F1264" s="2" t="inlineStr">
        <is>
          <t>Home &amp; Kitchen</t>
        </is>
      </c>
      <c r="G1264" s="2" t="inlineStr">
        <is>
          <t>East</t>
        </is>
      </c>
      <c r="H1264" s="2" t="inlineStr">
        <is>
          <t>Odisha</t>
        </is>
      </c>
      <c r="I1264" s="2" t="inlineStr">
        <is>
          <t>Bhubaneswar</t>
        </is>
      </c>
      <c r="J1264" s="2" t="inlineStr">
        <is>
          <t>Online</t>
        </is>
      </c>
      <c r="K1264" s="2" t="n">
        <v>2</v>
      </c>
      <c r="L1264" s="3" t="n">
        <v>1071.5</v>
      </c>
      <c r="M1264" s="4" t="n">
        <v>0.05</v>
      </c>
      <c r="N1264" s="3" t="n">
        <v>1495.07</v>
      </c>
      <c r="O1264" s="3">
        <f>K1264*L1264*(1-M1264)</f>
        <v/>
      </c>
      <c r="P1264" s="3">
        <f>O1264-N1264</f>
        <v/>
      </c>
      <c r="Q1264" s="5">
        <f>IFERROR(P1264/O1264,0)</f>
        <v/>
      </c>
      <c r="R1264" s="2">
        <f>TEXT(DATEVALUE(B1264),"mmm")</f>
        <v/>
      </c>
      <c r="S1264" s="2">
        <f>TEXT(DATEVALUE(B1264),"yyyy-mm")</f>
        <v/>
      </c>
    </row>
    <row r="1265">
      <c r="A1265" s="2" t="inlineStr">
        <is>
          <t>O003729</t>
        </is>
      </c>
      <c r="B1265" s="2" t="inlineStr">
        <is>
          <t>2025-04-04</t>
        </is>
      </c>
      <c r="C1265" s="2" t="inlineStr">
        <is>
          <t>C0303</t>
        </is>
      </c>
      <c r="D1265" s="2" t="inlineStr">
        <is>
          <t>P0005</t>
        </is>
      </c>
      <c r="E1265" s="2" t="inlineStr">
        <is>
          <t>Power Bank</t>
        </is>
      </c>
      <c r="F1265" s="2" t="inlineStr">
        <is>
          <t>Electronics</t>
        </is>
      </c>
      <c r="G1265" s="2" t="inlineStr">
        <is>
          <t>East</t>
        </is>
      </c>
      <c r="H1265" s="2" t="inlineStr">
        <is>
          <t>Odisha</t>
        </is>
      </c>
      <c r="I1265" s="2" t="inlineStr">
        <is>
          <t>Cuttack</t>
        </is>
      </c>
      <c r="J1265" s="2" t="inlineStr">
        <is>
          <t>Store</t>
        </is>
      </c>
      <c r="K1265" s="2" t="n">
        <v>1</v>
      </c>
      <c r="L1265" s="3" t="n">
        <v>1101.9</v>
      </c>
      <c r="M1265" s="4" t="n">
        <v>0.05</v>
      </c>
      <c r="N1265" s="3" t="n">
        <v>674.13</v>
      </c>
      <c r="O1265" s="3">
        <f>K1265*L1265*(1-M1265)</f>
        <v/>
      </c>
      <c r="P1265" s="3">
        <f>O1265-N1265</f>
        <v/>
      </c>
      <c r="Q1265" s="5">
        <f>IFERROR(P1265/O1265,0)</f>
        <v/>
      </c>
      <c r="R1265" s="2">
        <f>TEXT(DATEVALUE(B1265),"mmm")</f>
        <v/>
      </c>
      <c r="S1265" s="2">
        <f>TEXT(DATEVALUE(B1265),"yyyy-mm")</f>
        <v/>
      </c>
    </row>
    <row r="1266">
      <c r="A1266" s="2" t="inlineStr">
        <is>
          <t>O001019</t>
        </is>
      </c>
      <c r="B1266" s="2" t="inlineStr">
        <is>
          <t>2025-04-04</t>
        </is>
      </c>
      <c r="C1266" s="2" t="inlineStr">
        <is>
          <t>C0510</t>
        </is>
      </c>
      <c r="D1266" s="2" t="inlineStr">
        <is>
          <t>P0027</t>
        </is>
      </c>
      <c r="E1266" s="2" t="inlineStr">
        <is>
          <t>Moisturizer</t>
        </is>
      </c>
      <c r="F1266" s="2" t="inlineStr">
        <is>
          <t>Beauty</t>
        </is>
      </c>
      <c r="G1266" s="2" t="inlineStr">
        <is>
          <t>West</t>
        </is>
      </c>
      <c r="H1266" s="2" t="inlineStr">
        <is>
          <t>Maharashtra</t>
        </is>
      </c>
      <c r="I1266" s="2" t="inlineStr">
        <is>
          <t>Thane</t>
        </is>
      </c>
      <c r="J1266" s="2" t="inlineStr">
        <is>
          <t>Online</t>
        </is>
      </c>
      <c r="K1266" s="2" t="n">
        <v>6</v>
      </c>
      <c r="L1266" s="3" t="n">
        <v>977.8</v>
      </c>
      <c r="M1266" s="4" t="n">
        <v>0.1</v>
      </c>
      <c r="N1266" s="3" t="n">
        <v>4034.81</v>
      </c>
      <c r="O1266" s="3">
        <f>K1266*L1266*(1-M1266)</f>
        <v/>
      </c>
      <c r="P1266" s="3">
        <f>O1266-N1266</f>
        <v/>
      </c>
      <c r="Q1266" s="5">
        <f>IFERROR(P1266/O1266,0)</f>
        <v/>
      </c>
      <c r="R1266" s="2">
        <f>TEXT(DATEVALUE(B1266),"mmm")</f>
        <v/>
      </c>
      <c r="S1266" s="2">
        <f>TEXT(DATEVALUE(B1266),"yyyy-mm")</f>
        <v/>
      </c>
    </row>
    <row r="1267">
      <c r="A1267" s="2" t="inlineStr">
        <is>
          <t>O000973</t>
        </is>
      </c>
      <c r="B1267" s="2" t="inlineStr">
        <is>
          <t>2025-04-04</t>
        </is>
      </c>
      <c r="C1267" s="2" t="inlineStr">
        <is>
          <t>C0631</t>
        </is>
      </c>
      <c r="D1267" s="2" t="inlineStr">
        <is>
          <t>P0011</t>
        </is>
      </c>
      <c r="E1267" s="2" t="inlineStr">
        <is>
          <t>Cookware Set</t>
        </is>
      </c>
      <c r="F1267" s="2" t="inlineStr">
        <is>
          <t>Home &amp; Kitchen</t>
        </is>
      </c>
      <c r="G1267" s="2" t="inlineStr">
        <is>
          <t>South</t>
        </is>
      </c>
      <c r="H1267" s="2" t="inlineStr">
        <is>
          <t>Tamil Nadu</t>
        </is>
      </c>
      <c r="I1267" s="2" t="inlineStr">
        <is>
          <t>Madurai</t>
        </is>
      </c>
      <c r="J1267" s="2" t="inlineStr">
        <is>
          <t>Online</t>
        </is>
      </c>
      <c r="K1267" s="2" t="n">
        <v>1</v>
      </c>
      <c r="L1267" s="3" t="n">
        <v>702.65</v>
      </c>
      <c r="M1267" s="4" t="n">
        <v>0</v>
      </c>
      <c r="N1267" s="3" t="n">
        <v>472.6</v>
      </c>
      <c r="O1267" s="3">
        <f>K1267*L1267*(1-M1267)</f>
        <v/>
      </c>
      <c r="P1267" s="3">
        <f>O1267-N1267</f>
        <v/>
      </c>
      <c r="Q1267" s="5">
        <f>IFERROR(P1267/O1267,0)</f>
        <v/>
      </c>
      <c r="R1267" s="2">
        <f>TEXT(DATEVALUE(B1267),"mmm")</f>
        <v/>
      </c>
      <c r="S1267" s="2">
        <f>TEXT(DATEVALUE(B1267),"yyyy-mm")</f>
        <v/>
      </c>
    </row>
    <row r="1268">
      <c r="A1268" s="2" t="inlineStr">
        <is>
          <t>O000472</t>
        </is>
      </c>
      <c r="B1268" s="2" t="inlineStr">
        <is>
          <t>2025-04-04</t>
        </is>
      </c>
      <c r="C1268" s="2" t="inlineStr">
        <is>
          <t>C0694</t>
        </is>
      </c>
      <c r="D1268" s="2" t="inlineStr">
        <is>
          <t>P0013</t>
        </is>
      </c>
      <c r="E1268" s="2" t="inlineStr">
        <is>
          <t>Storage Organizer</t>
        </is>
      </c>
      <c r="F1268" s="2" t="inlineStr">
        <is>
          <t>Home &amp; Kitchen</t>
        </is>
      </c>
      <c r="G1268" s="2" t="inlineStr">
        <is>
          <t>East</t>
        </is>
      </c>
      <c r="H1268" s="2" t="inlineStr">
        <is>
          <t>Odisha</t>
        </is>
      </c>
      <c r="I1268" s="2" t="inlineStr">
        <is>
          <t>Cuttack</t>
        </is>
      </c>
      <c r="J1268" s="2" t="inlineStr">
        <is>
          <t>Online</t>
        </is>
      </c>
      <c r="K1268" s="2" t="n">
        <v>1</v>
      </c>
      <c r="L1268" s="3" t="n">
        <v>590.12</v>
      </c>
      <c r="M1268" s="4" t="n">
        <v>0.1</v>
      </c>
      <c r="N1268" s="3" t="n">
        <v>349.83</v>
      </c>
      <c r="O1268" s="3">
        <f>K1268*L1268*(1-M1268)</f>
        <v/>
      </c>
      <c r="P1268" s="3">
        <f>O1268-N1268</f>
        <v/>
      </c>
      <c r="Q1268" s="5">
        <f>IFERROR(P1268/O1268,0)</f>
        <v/>
      </c>
      <c r="R1268" s="2">
        <f>TEXT(DATEVALUE(B1268),"mmm")</f>
        <v/>
      </c>
      <c r="S1268" s="2">
        <f>TEXT(DATEVALUE(B1268),"yyyy-mm")</f>
        <v/>
      </c>
    </row>
    <row r="1269">
      <c r="A1269" s="2" t="inlineStr">
        <is>
          <t>O003983</t>
        </is>
      </c>
      <c r="B1269" s="2" t="inlineStr">
        <is>
          <t>2025-04-04</t>
        </is>
      </c>
      <c r="C1269" s="2" t="inlineStr">
        <is>
          <t>C0350</t>
        </is>
      </c>
      <c r="D1269" s="2" t="inlineStr">
        <is>
          <t>P0030</t>
        </is>
      </c>
      <c r="E1269" s="2" t="inlineStr">
        <is>
          <t>Dumbbells</t>
        </is>
      </c>
      <c r="F1269" s="2" t="inlineStr">
        <is>
          <t>Sports</t>
        </is>
      </c>
      <c r="G1269" s="2" t="inlineStr">
        <is>
          <t>South</t>
        </is>
      </c>
      <c r="H1269" s="2" t="inlineStr">
        <is>
          <t>Karnataka</t>
        </is>
      </c>
      <c r="I1269" s="2" t="inlineStr">
        <is>
          <t>Bengaluru</t>
        </is>
      </c>
      <c r="J1269" s="2" t="inlineStr">
        <is>
          <t>Store</t>
        </is>
      </c>
      <c r="K1269" s="2" t="n">
        <v>3</v>
      </c>
      <c r="L1269" s="3" t="n">
        <v>1599.79</v>
      </c>
      <c r="M1269" s="4" t="n">
        <v>0.15</v>
      </c>
      <c r="N1269" s="3" t="n">
        <v>3143.51</v>
      </c>
      <c r="O1269" s="3">
        <f>K1269*L1269*(1-M1269)</f>
        <v/>
      </c>
      <c r="P1269" s="3">
        <f>O1269-N1269</f>
        <v/>
      </c>
      <c r="Q1269" s="5">
        <f>IFERROR(P1269/O1269,0)</f>
        <v/>
      </c>
      <c r="R1269" s="2">
        <f>TEXT(DATEVALUE(B1269),"mmm")</f>
        <v/>
      </c>
      <c r="S1269" s="2">
        <f>TEXT(DATEVALUE(B1269),"yyyy-mm")</f>
        <v/>
      </c>
    </row>
    <row r="1270">
      <c r="A1270" s="2" t="inlineStr">
        <is>
          <t>O004965</t>
        </is>
      </c>
      <c r="B1270" s="2" t="inlineStr">
        <is>
          <t>2025-04-05</t>
        </is>
      </c>
      <c r="C1270" s="2" t="inlineStr">
        <is>
          <t>C0568</t>
        </is>
      </c>
      <c r="D1270" s="2" t="inlineStr">
        <is>
          <t>P0013</t>
        </is>
      </c>
      <c r="E1270" s="2" t="inlineStr">
        <is>
          <t>Storage Organizer</t>
        </is>
      </c>
      <c r="F1270" s="2" t="inlineStr">
        <is>
          <t>Home &amp; Kitchen</t>
        </is>
      </c>
      <c r="G1270" s="2" t="inlineStr">
        <is>
          <t>North</t>
        </is>
      </c>
      <c r="H1270" s="2" t="inlineStr">
        <is>
          <t>Punjab</t>
        </is>
      </c>
      <c r="I1270" s="2" t="inlineStr">
        <is>
          <t>Amritsar</t>
        </is>
      </c>
      <c r="J1270" s="2" t="inlineStr">
        <is>
          <t>Store</t>
        </is>
      </c>
      <c r="K1270" s="2" t="n">
        <v>1</v>
      </c>
      <c r="L1270" s="3" t="n">
        <v>570.71</v>
      </c>
      <c r="M1270" s="4" t="n">
        <v>0.05</v>
      </c>
      <c r="N1270" s="3" t="n">
        <v>356.58</v>
      </c>
      <c r="O1270" s="3">
        <f>K1270*L1270*(1-M1270)</f>
        <v/>
      </c>
      <c r="P1270" s="3">
        <f>O1270-N1270</f>
        <v/>
      </c>
      <c r="Q1270" s="5">
        <f>IFERROR(P1270/O1270,0)</f>
        <v/>
      </c>
      <c r="R1270" s="2">
        <f>TEXT(DATEVALUE(B1270),"mmm")</f>
        <v/>
      </c>
      <c r="S1270" s="2">
        <f>TEXT(DATEVALUE(B1270),"yyyy-mm")</f>
        <v/>
      </c>
    </row>
    <row r="1271">
      <c r="A1271" s="2" t="inlineStr">
        <is>
          <t>O004248</t>
        </is>
      </c>
      <c r="B1271" s="2" t="inlineStr">
        <is>
          <t>2025-04-05</t>
        </is>
      </c>
      <c r="C1271" s="2" t="inlineStr">
        <is>
          <t>C0421</t>
        </is>
      </c>
      <c r="D1271" s="2" t="inlineStr">
        <is>
          <t>P0014</t>
        </is>
      </c>
      <c r="E1271" s="2" t="inlineStr">
        <is>
          <t>Coffee Maker</t>
        </is>
      </c>
      <c r="F1271" s="2" t="inlineStr">
        <is>
          <t>Home &amp; Kitchen</t>
        </is>
      </c>
      <c r="G1271" s="2" t="inlineStr">
        <is>
          <t>East</t>
        </is>
      </c>
      <c r="H1271" s="2" t="inlineStr">
        <is>
          <t>Bihar</t>
        </is>
      </c>
      <c r="I1271" s="2" t="inlineStr">
        <is>
          <t>Gaya</t>
        </is>
      </c>
      <c r="J1271" s="2" t="inlineStr">
        <is>
          <t>Store</t>
        </is>
      </c>
      <c r="K1271" s="2" t="n">
        <v>1</v>
      </c>
      <c r="L1271" s="3" t="n">
        <v>1016.15</v>
      </c>
      <c r="M1271" s="4" t="n">
        <v>0.05</v>
      </c>
      <c r="N1271" s="3" t="n">
        <v>765.54</v>
      </c>
      <c r="O1271" s="3">
        <f>K1271*L1271*(1-M1271)</f>
        <v/>
      </c>
      <c r="P1271" s="3">
        <f>O1271-N1271</f>
        <v/>
      </c>
      <c r="Q1271" s="5">
        <f>IFERROR(P1271/O1271,0)</f>
        <v/>
      </c>
      <c r="R1271" s="2">
        <f>TEXT(DATEVALUE(B1271),"mmm")</f>
        <v/>
      </c>
      <c r="S1271" s="2">
        <f>TEXT(DATEVALUE(B1271),"yyyy-mm")</f>
        <v/>
      </c>
    </row>
    <row r="1272">
      <c r="A1272" s="2" t="inlineStr">
        <is>
          <t>O002650</t>
        </is>
      </c>
      <c r="B1272" s="2" t="inlineStr">
        <is>
          <t>2025-04-05</t>
        </is>
      </c>
      <c r="C1272" s="2" t="inlineStr">
        <is>
          <t>C0240</t>
        </is>
      </c>
      <c r="D1272" s="2" t="inlineStr">
        <is>
          <t>P0029</t>
        </is>
      </c>
      <c r="E1272" s="2" t="inlineStr">
        <is>
          <t>Yoga Mat</t>
        </is>
      </c>
      <c r="F1272" s="2" t="inlineStr">
        <is>
          <t>Sports</t>
        </is>
      </c>
      <c r="G1272" s="2" t="inlineStr">
        <is>
          <t>West</t>
        </is>
      </c>
      <c r="H1272" s="2" t="inlineStr">
        <is>
          <t>Maharashtra</t>
        </is>
      </c>
      <c r="I1272" s="2" t="inlineStr">
        <is>
          <t>Thane</t>
        </is>
      </c>
      <c r="J1272" s="2" t="inlineStr">
        <is>
          <t>Online</t>
        </is>
      </c>
      <c r="K1272" s="2" t="n">
        <v>4</v>
      </c>
      <c r="L1272" s="3" t="n">
        <v>2447.32</v>
      </c>
      <c r="M1272" s="4" t="n">
        <v>0.25</v>
      </c>
      <c r="N1272" s="3" t="n">
        <v>5383.56</v>
      </c>
      <c r="O1272" s="3">
        <f>K1272*L1272*(1-M1272)</f>
        <v/>
      </c>
      <c r="P1272" s="3">
        <f>O1272-N1272</f>
        <v/>
      </c>
      <c r="Q1272" s="5">
        <f>IFERROR(P1272/O1272,0)</f>
        <v/>
      </c>
      <c r="R1272" s="2">
        <f>TEXT(DATEVALUE(B1272),"mmm")</f>
        <v/>
      </c>
      <c r="S1272" s="2">
        <f>TEXT(DATEVALUE(B1272),"yyyy-mm")</f>
        <v/>
      </c>
    </row>
    <row r="1273">
      <c r="A1273" s="2" t="inlineStr">
        <is>
          <t>O002399</t>
        </is>
      </c>
      <c r="B1273" s="2" t="inlineStr">
        <is>
          <t>2025-04-05</t>
        </is>
      </c>
      <c r="C1273" s="2" t="inlineStr">
        <is>
          <t>C0595</t>
        </is>
      </c>
      <c r="D1273" s="2" t="inlineStr">
        <is>
          <t>P0022</t>
        </is>
      </c>
      <c r="E1273" s="2" t="inlineStr">
        <is>
          <t>Face Wash</t>
        </is>
      </c>
      <c r="F1273" s="2" t="inlineStr">
        <is>
          <t>Beauty</t>
        </is>
      </c>
      <c r="G1273" s="2" t="inlineStr">
        <is>
          <t>North</t>
        </is>
      </c>
      <c r="H1273" s="2" t="inlineStr">
        <is>
          <t>Punjab</t>
        </is>
      </c>
      <c r="I1273" s="2" t="inlineStr">
        <is>
          <t>Amritsar</t>
        </is>
      </c>
      <c r="J1273" s="2" t="inlineStr">
        <is>
          <t>Online</t>
        </is>
      </c>
      <c r="K1273" s="2" t="n">
        <v>4</v>
      </c>
      <c r="L1273" s="3" t="n">
        <v>565.53</v>
      </c>
      <c r="M1273" s="4" t="n">
        <v>0.05</v>
      </c>
      <c r="N1273" s="3" t="n">
        <v>1437.81</v>
      </c>
      <c r="O1273" s="3">
        <f>K1273*L1273*(1-M1273)</f>
        <v/>
      </c>
      <c r="P1273" s="3">
        <f>O1273-N1273</f>
        <v/>
      </c>
      <c r="Q1273" s="5">
        <f>IFERROR(P1273/O1273,0)</f>
        <v/>
      </c>
      <c r="R1273" s="2">
        <f>TEXT(DATEVALUE(B1273),"mmm")</f>
        <v/>
      </c>
      <c r="S1273" s="2">
        <f>TEXT(DATEVALUE(B1273),"yyyy-mm")</f>
        <v/>
      </c>
    </row>
    <row r="1274">
      <c r="A1274" s="2" t="inlineStr">
        <is>
          <t>O001799</t>
        </is>
      </c>
      <c r="B1274" s="2" t="inlineStr">
        <is>
          <t>2025-04-05</t>
        </is>
      </c>
      <c r="C1274" s="2" t="inlineStr">
        <is>
          <t>C0371</t>
        </is>
      </c>
      <c r="D1274" s="2" t="inlineStr">
        <is>
          <t>P0004</t>
        </is>
      </c>
      <c r="E1274" s="2" t="inlineStr">
        <is>
          <t>USB-C Hub</t>
        </is>
      </c>
      <c r="F1274" s="2" t="inlineStr">
        <is>
          <t>Electronics</t>
        </is>
      </c>
      <c r="G1274" s="2" t="inlineStr">
        <is>
          <t>West</t>
        </is>
      </c>
      <c r="H1274" s="2" t="inlineStr">
        <is>
          <t>Gujarat</t>
        </is>
      </c>
      <c r="I1274" s="2" t="inlineStr">
        <is>
          <t>Vadodara</t>
        </is>
      </c>
      <c r="J1274" s="2" t="inlineStr">
        <is>
          <t>Online</t>
        </is>
      </c>
      <c r="K1274" s="2" t="n">
        <v>1</v>
      </c>
      <c r="L1274" s="3" t="n">
        <v>1322.16</v>
      </c>
      <c r="M1274" s="4" t="n">
        <v>0.1</v>
      </c>
      <c r="N1274" s="3" t="n">
        <v>937.13</v>
      </c>
      <c r="O1274" s="3">
        <f>K1274*L1274*(1-M1274)</f>
        <v/>
      </c>
      <c r="P1274" s="3">
        <f>O1274-N1274</f>
        <v/>
      </c>
      <c r="Q1274" s="5">
        <f>IFERROR(P1274/O1274,0)</f>
        <v/>
      </c>
      <c r="R1274" s="2">
        <f>TEXT(DATEVALUE(B1274),"mmm")</f>
        <v/>
      </c>
      <c r="S1274" s="2">
        <f>TEXT(DATEVALUE(B1274),"yyyy-mm")</f>
        <v/>
      </c>
    </row>
    <row r="1275">
      <c r="A1275" s="2" t="inlineStr">
        <is>
          <t>O001114</t>
        </is>
      </c>
      <c r="B1275" s="2" t="inlineStr">
        <is>
          <t>2025-04-05</t>
        </is>
      </c>
      <c r="C1275" s="2" t="inlineStr">
        <is>
          <t>C0669</t>
        </is>
      </c>
      <c r="D1275" s="2" t="inlineStr">
        <is>
          <t>P0035</t>
        </is>
      </c>
      <c r="E1275" s="2" t="inlineStr">
        <is>
          <t>Skipping Rope</t>
        </is>
      </c>
      <c r="F1275" s="2" t="inlineStr">
        <is>
          <t>Sports</t>
        </is>
      </c>
      <c r="G1275" s="2" t="inlineStr">
        <is>
          <t>South</t>
        </is>
      </c>
      <c r="H1275" s="2" t="inlineStr">
        <is>
          <t>Kerala</t>
        </is>
      </c>
      <c r="I1275" s="2" t="inlineStr">
        <is>
          <t>Kochi</t>
        </is>
      </c>
      <c r="J1275" s="2" t="inlineStr">
        <is>
          <t>Online</t>
        </is>
      </c>
      <c r="K1275" s="2" t="n">
        <v>1</v>
      </c>
      <c r="L1275" s="3" t="n">
        <v>730.9400000000001</v>
      </c>
      <c r="M1275" s="4" t="n">
        <v>0.1</v>
      </c>
      <c r="N1275" s="3" t="n">
        <v>408.4</v>
      </c>
      <c r="O1275" s="3">
        <f>K1275*L1275*(1-M1275)</f>
        <v/>
      </c>
      <c r="P1275" s="3">
        <f>O1275-N1275</f>
        <v/>
      </c>
      <c r="Q1275" s="5">
        <f>IFERROR(P1275/O1275,0)</f>
        <v/>
      </c>
      <c r="R1275" s="2">
        <f>TEXT(DATEVALUE(B1275),"mmm")</f>
        <v/>
      </c>
      <c r="S1275" s="2">
        <f>TEXT(DATEVALUE(B1275),"yyyy-mm")</f>
        <v/>
      </c>
    </row>
    <row r="1276">
      <c r="A1276" s="2" t="inlineStr">
        <is>
          <t>O000954</t>
        </is>
      </c>
      <c r="B1276" s="2" t="inlineStr">
        <is>
          <t>2025-04-05</t>
        </is>
      </c>
      <c r="C1276" s="2" t="inlineStr">
        <is>
          <t>C0562</t>
        </is>
      </c>
      <c r="D1276" s="2" t="inlineStr">
        <is>
          <t>P0009</t>
        </is>
      </c>
      <c r="E1276" s="2" t="inlineStr">
        <is>
          <t>Electric Kettle</t>
        </is>
      </c>
      <c r="F1276" s="2" t="inlineStr">
        <is>
          <t>Home &amp; Kitchen</t>
        </is>
      </c>
      <c r="G1276" s="2" t="inlineStr">
        <is>
          <t>North</t>
        </is>
      </c>
      <c r="H1276" s="2" t="inlineStr">
        <is>
          <t>Haryana</t>
        </is>
      </c>
      <c r="I1276" s="2" t="inlineStr">
        <is>
          <t>Gurugram</t>
        </is>
      </c>
      <c r="J1276" s="2" t="inlineStr">
        <is>
          <t>Store</t>
        </is>
      </c>
      <c r="K1276" s="2" t="n">
        <v>2</v>
      </c>
      <c r="L1276" s="3" t="n">
        <v>2056.02</v>
      </c>
      <c r="M1276" s="4" t="n">
        <v>0.05</v>
      </c>
      <c r="N1276" s="3" t="n">
        <v>2213.46</v>
      </c>
      <c r="O1276" s="3">
        <f>K1276*L1276*(1-M1276)</f>
        <v/>
      </c>
      <c r="P1276" s="3">
        <f>O1276-N1276</f>
        <v/>
      </c>
      <c r="Q1276" s="5">
        <f>IFERROR(P1276/O1276,0)</f>
        <v/>
      </c>
      <c r="R1276" s="2">
        <f>TEXT(DATEVALUE(B1276),"mmm")</f>
        <v/>
      </c>
      <c r="S1276" s="2">
        <f>TEXT(DATEVALUE(B1276),"yyyy-mm")</f>
        <v/>
      </c>
    </row>
    <row r="1277">
      <c r="A1277" s="2" t="inlineStr">
        <is>
          <t>O000828</t>
        </is>
      </c>
      <c r="B1277" s="2" t="inlineStr">
        <is>
          <t>2025-04-05</t>
        </is>
      </c>
      <c r="C1277" s="2" t="inlineStr">
        <is>
          <t>C0328</t>
        </is>
      </c>
      <c r="D1277" s="2" t="inlineStr">
        <is>
          <t>P0011</t>
        </is>
      </c>
      <c r="E1277" s="2" t="inlineStr">
        <is>
          <t>Cookware Set</t>
        </is>
      </c>
      <c r="F1277" s="2" t="inlineStr">
        <is>
          <t>Home &amp; Kitchen</t>
        </is>
      </c>
      <c r="G1277" s="2" t="inlineStr">
        <is>
          <t>West</t>
        </is>
      </c>
      <c r="H1277" s="2" t="inlineStr">
        <is>
          <t>Gujarat</t>
        </is>
      </c>
      <c r="I1277" s="2" t="inlineStr">
        <is>
          <t>Vadodara</t>
        </is>
      </c>
      <c r="J1277" s="2" t="inlineStr">
        <is>
          <t>Online</t>
        </is>
      </c>
      <c r="K1277" s="2" t="n">
        <v>1</v>
      </c>
      <c r="L1277" s="3" t="n">
        <v>676.04</v>
      </c>
      <c r="M1277" s="4" t="n">
        <v>0</v>
      </c>
      <c r="N1277" s="3" t="n">
        <v>471.11</v>
      </c>
      <c r="O1277" s="3">
        <f>K1277*L1277*(1-M1277)</f>
        <v/>
      </c>
      <c r="P1277" s="3">
        <f>O1277-N1277</f>
        <v/>
      </c>
      <c r="Q1277" s="5">
        <f>IFERROR(P1277/O1277,0)</f>
        <v/>
      </c>
      <c r="R1277" s="2">
        <f>TEXT(DATEVALUE(B1277),"mmm")</f>
        <v/>
      </c>
      <c r="S1277" s="2">
        <f>TEXT(DATEVALUE(B1277),"yyyy-mm")</f>
        <v/>
      </c>
    </row>
    <row r="1278">
      <c r="A1278" s="2" t="inlineStr">
        <is>
          <t>O000764</t>
        </is>
      </c>
      <c r="B1278" s="2" t="inlineStr">
        <is>
          <t>2025-04-05</t>
        </is>
      </c>
      <c r="C1278" s="2" t="inlineStr">
        <is>
          <t>C0498</t>
        </is>
      </c>
      <c r="D1278" s="2" t="inlineStr">
        <is>
          <t>P0017</t>
        </is>
      </c>
      <c r="E1278" s="2" t="inlineStr">
        <is>
          <t>Jeans</t>
        </is>
      </c>
      <c r="F1278" s="2" t="inlineStr">
        <is>
          <t>Fashion</t>
        </is>
      </c>
      <c r="G1278" s="2" t="inlineStr">
        <is>
          <t>North</t>
        </is>
      </c>
      <c r="H1278" s="2" t="inlineStr">
        <is>
          <t>Haryana</t>
        </is>
      </c>
      <c r="I1278" s="2" t="inlineStr">
        <is>
          <t>Gurugram</t>
        </is>
      </c>
      <c r="J1278" s="2" t="inlineStr">
        <is>
          <t>Online</t>
        </is>
      </c>
      <c r="K1278" s="2" t="n">
        <v>2</v>
      </c>
      <c r="L1278" s="3" t="n">
        <v>1450.16</v>
      </c>
      <c r="M1278" s="4" t="n">
        <v>0.05</v>
      </c>
      <c r="N1278" s="3" t="n">
        <v>2099.08</v>
      </c>
      <c r="O1278" s="3">
        <f>K1278*L1278*(1-M1278)</f>
        <v/>
      </c>
      <c r="P1278" s="3">
        <f>O1278-N1278</f>
        <v/>
      </c>
      <c r="Q1278" s="5">
        <f>IFERROR(P1278/O1278,0)</f>
        <v/>
      </c>
      <c r="R1278" s="2">
        <f>TEXT(DATEVALUE(B1278),"mmm")</f>
        <v/>
      </c>
      <c r="S1278" s="2">
        <f>TEXT(DATEVALUE(B1278),"yyyy-mm")</f>
        <v/>
      </c>
    </row>
    <row r="1279">
      <c r="A1279" s="2" t="inlineStr">
        <is>
          <t>O000520</t>
        </is>
      </c>
      <c r="B1279" s="2" t="inlineStr">
        <is>
          <t>2025-04-05</t>
        </is>
      </c>
      <c r="C1279" s="2" t="inlineStr">
        <is>
          <t>C0456</t>
        </is>
      </c>
      <c r="D1279" s="2" t="inlineStr">
        <is>
          <t>P0012</t>
        </is>
      </c>
      <c r="E1279" s="2" t="inlineStr">
        <is>
          <t>Water Bottle</t>
        </is>
      </c>
      <c r="F1279" s="2" t="inlineStr">
        <is>
          <t>Home &amp; Kitchen</t>
        </is>
      </c>
      <c r="G1279" s="2" t="inlineStr">
        <is>
          <t>South</t>
        </is>
      </c>
      <c r="H1279" s="2" t="inlineStr">
        <is>
          <t>Kerala</t>
        </is>
      </c>
      <c r="I1279" s="2" t="inlineStr">
        <is>
          <t>Thiruvananthapuram</t>
        </is>
      </c>
      <c r="J1279" s="2" t="inlineStr">
        <is>
          <t>Store</t>
        </is>
      </c>
      <c r="K1279" s="2" t="n">
        <v>5</v>
      </c>
      <c r="L1279" s="3" t="n">
        <v>987.24</v>
      </c>
      <c r="M1279" s="4" t="n">
        <v>0.15</v>
      </c>
      <c r="N1279" s="3" t="n">
        <v>3034.48</v>
      </c>
      <c r="O1279" s="3">
        <f>K1279*L1279*(1-M1279)</f>
        <v/>
      </c>
      <c r="P1279" s="3">
        <f>O1279-N1279</f>
        <v/>
      </c>
      <c r="Q1279" s="5">
        <f>IFERROR(P1279/O1279,0)</f>
        <v/>
      </c>
      <c r="R1279" s="2">
        <f>TEXT(DATEVALUE(B1279),"mmm")</f>
        <v/>
      </c>
      <c r="S1279" s="2">
        <f>TEXT(DATEVALUE(B1279),"yyyy-mm")</f>
        <v/>
      </c>
    </row>
    <row r="1280">
      <c r="A1280" s="2" t="inlineStr">
        <is>
          <t>O000343</t>
        </is>
      </c>
      <c r="B1280" s="2" t="inlineStr">
        <is>
          <t>2025-04-05</t>
        </is>
      </c>
      <c r="C1280" s="2" t="inlineStr">
        <is>
          <t>C0076</t>
        </is>
      </c>
      <c r="D1280" s="2" t="inlineStr">
        <is>
          <t>P0011</t>
        </is>
      </c>
      <c r="E1280" s="2" t="inlineStr">
        <is>
          <t>Cookware Set</t>
        </is>
      </c>
      <c r="F1280" s="2" t="inlineStr">
        <is>
          <t>Home &amp; Kitchen</t>
        </is>
      </c>
      <c r="G1280" s="2" t="inlineStr">
        <is>
          <t>South</t>
        </is>
      </c>
      <c r="H1280" s="2" t="inlineStr">
        <is>
          <t>Karnataka</t>
        </is>
      </c>
      <c r="I1280" s="2" t="inlineStr">
        <is>
          <t>Bengaluru</t>
        </is>
      </c>
      <c r="J1280" s="2" t="inlineStr">
        <is>
          <t>Online</t>
        </is>
      </c>
      <c r="K1280" s="2" t="n">
        <v>1</v>
      </c>
      <c r="L1280" s="3" t="n">
        <v>679.28</v>
      </c>
      <c r="M1280" s="4" t="n">
        <v>0.1</v>
      </c>
      <c r="N1280" s="3" t="n">
        <v>481.33</v>
      </c>
      <c r="O1280" s="3">
        <f>K1280*L1280*(1-M1280)</f>
        <v/>
      </c>
      <c r="P1280" s="3">
        <f>O1280-N1280</f>
        <v/>
      </c>
      <c r="Q1280" s="5">
        <f>IFERROR(P1280/O1280,0)</f>
        <v/>
      </c>
      <c r="R1280" s="2">
        <f>TEXT(DATEVALUE(B1280),"mmm")</f>
        <v/>
      </c>
      <c r="S1280" s="2">
        <f>TEXT(DATEVALUE(B1280),"yyyy-mm")</f>
        <v/>
      </c>
    </row>
    <row r="1281">
      <c r="A1281" s="2" t="inlineStr">
        <is>
          <t>O001020</t>
        </is>
      </c>
      <c r="B1281" s="2" t="inlineStr">
        <is>
          <t>2025-04-05</t>
        </is>
      </c>
      <c r="C1281" s="2" t="inlineStr">
        <is>
          <t>C0424</t>
        </is>
      </c>
      <c r="D1281" s="2" t="inlineStr">
        <is>
          <t>P0022</t>
        </is>
      </c>
      <c r="E1281" s="2" t="inlineStr">
        <is>
          <t>Face Wash</t>
        </is>
      </c>
      <c r="F1281" s="2" t="inlineStr">
        <is>
          <t>Beauty</t>
        </is>
      </c>
      <c r="G1281" s="2" t="inlineStr">
        <is>
          <t>South</t>
        </is>
      </c>
      <c r="H1281" s="2" t="inlineStr">
        <is>
          <t>Tamil Nadu</t>
        </is>
      </c>
      <c r="I1281" s="2" t="inlineStr">
        <is>
          <t>Chennai</t>
        </is>
      </c>
      <c r="J1281" s="2" t="inlineStr">
        <is>
          <t>Store</t>
        </is>
      </c>
      <c r="K1281" s="2" t="n">
        <v>2</v>
      </c>
      <c r="L1281" s="3" t="n">
        <v>576.59</v>
      </c>
      <c r="M1281" s="4" t="n">
        <v>0.15</v>
      </c>
      <c r="N1281" s="3" t="n">
        <v>700.79</v>
      </c>
      <c r="O1281" s="3">
        <f>K1281*L1281*(1-M1281)</f>
        <v/>
      </c>
      <c r="P1281" s="3">
        <f>O1281-N1281</f>
        <v/>
      </c>
      <c r="Q1281" s="5">
        <f>IFERROR(P1281/O1281,0)</f>
        <v/>
      </c>
      <c r="R1281" s="2">
        <f>TEXT(DATEVALUE(B1281),"mmm")</f>
        <v/>
      </c>
      <c r="S1281" s="2">
        <f>TEXT(DATEVALUE(B1281),"yyyy-mm")</f>
        <v/>
      </c>
    </row>
    <row r="1282">
      <c r="A1282" s="2" t="inlineStr">
        <is>
          <t>O003684</t>
        </is>
      </c>
      <c r="B1282" s="2" t="inlineStr">
        <is>
          <t>2025-04-06</t>
        </is>
      </c>
      <c r="C1282" s="2" t="inlineStr">
        <is>
          <t>C0096</t>
        </is>
      </c>
      <c r="D1282" s="2" t="inlineStr">
        <is>
          <t>P0018</t>
        </is>
      </c>
      <c r="E1282" s="2" t="inlineStr">
        <is>
          <t>Backpack</t>
        </is>
      </c>
      <c r="F1282" s="2" t="inlineStr">
        <is>
          <t>Fashion</t>
        </is>
      </c>
      <c r="G1282" s="2" t="inlineStr">
        <is>
          <t>West</t>
        </is>
      </c>
      <c r="H1282" s="2" t="inlineStr">
        <is>
          <t>Gujarat</t>
        </is>
      </c>
      <c r="I1282" s="2" t="inlineStr">
        <is>
          <t>Ahmedabad</t>
        </is>
      </c>
      <c r="J1282" s="2" t="inlineStr">
        <is>
          <t>Store</t>
        </is>
      </c>
      <c r="K1282" s="2" t="n">
        <v>6</v>
      </c>
      <c r="L1282" s="3" t="n">
        <v>1868.09</v>
      </c>
      <c r="M1282" s="4" t="n">
        <v>0.05</v>
      </c>
      <c r="N1282" s="3" t="n">
        <v>8155.24</v>
      </c>
      <c r="O1282" s="3">
        <f>K1282*L1282*(1-M1282)</f>
        <v/>
      </c>
      <c r="P1282" s="3">
        <f>O1282-N1282</f>
        <v/>
      </c>
      <c r="Q1282" s="5">
        <f>IFERROR(P1282/O1282,0)</f>
        <v/>
      </c>
      <c r="R1282" s="2">
        <f>TEXT(DATEVALUE(B1282),"mmm")</f>
        <v/>
      </c>
      <c r="S1282" s="2">
        <f>TEXT(DATEVALUE(B1282),"yyyy-mm")</f>
        <v/>
      </c>
    </row>
    <row r="1283">
      <c r="A1283" s="2" t="inlineStr">
        <is>
          <t>O004795</t>
        </is>
      </c>
      <c r="B1283" s="2" t="inlineStr">
        <is>
          <t>2025-04-06</t>
        </is>
      </c>
      <c r="C1283" s="2" t="inlineStr">
        <is>
          <t>C0279</t>
        </is>
      </c>
      <c r="D1283" s="2" t="inlineStr">
        <is>
          <t>P0009</t>
        </is>
      </c>
      <c r="E1283" s="2" t="inlineStr">
        <is>
          <t>Electric Kettle</t>
        </is>
      </c>
      <c r="F1283" s="2" t="inlineStr">
        <is>
          <t>Home &amp; Kitchen</t>
        </is>
      </c>
      <c r="G1283" s="2" t="inlineStr">
        <is>
          <t>North</t>
        </is>
      </c>
      <c r="H1283" s="2" t="inlineStr">
        <is>
          <t>Delhi</t>
        </is>
      </c>
      <c r="I1283" s="2" t="inlineStr">
        <is>
          <t>New Delhi</t>
        </is>
      </c>
      <c r="J1283" s="2" t="inlineStr">
        <is>
          <t>Store</t>
        </is>
      </c>
      <c r="K1283" s="2" t="n">
        <v>4</v>
      </c>
      <c r="L1283" s="3" t="n">
        <v>2031.5</v>
      </c>
      <c r="M1283" s="4" t="n">
        <v>0.1</v>
      </c>
      <c r="N1283" s="3" t="n">
        <v>4580.02</v>
      </c>
      <c r="O1283" s="3">
        <f>K1283*L1283*(1-M1283)</f>
        <v/>
      </c>
      <c r="P1283" s="3">
        <f>O1283-N1283</f>
        <v/>
      </c>
      <c r="Q1283" s="5">
        <f>IFERROR(P1283/O1283,0)</f>
        <v/>
      </c>
      <c r="R1283" s="2">
        <f>TEXT(DATEVALUE(B1283),"mmm")</f>
        <v/>
      </c>
      <c r="S1283" s="2">
        <f>TEXT(DATEVALUE(B1283),"yyyy-mm")</f>
        <v/>
      </c>
    </row>
    <row r="1284">
      <c r="A1284" s="2" t="inlineStr">
        <is>
          <t>O004700</t>
        </is>
      </c>
      <c r="B1284" s="2" t="inlineStr">
        <is>
          <t>2025-04-06</t>
        </is>
      </c>
      <c r="C1284" s="2" t="inlineStr">
        <is>
          <t>C0590</t>
        </is>
      </c>
      <c r="D1284" s="2" t="inlineStr">
        <is>
          <t>P0023</t>
        </is>
      </c>
      <c r="E1284" s="2" t="inlineStr">
        <is>
          <t>Skin Care Kit</t>
        </is>
      </c>
      <c r="F1284" s="2" t="inlineStr">
        <is>
          <t>Beauty</t>
        </is>
      </c>
      <c r="G1284" s="2" t="inlineStr">
        <is>
          <t>North</t>
        </is>
      </c>
      <c r="H1284" s="2" t="inlineStr">
        <is>
          <t>Punjab</t>
        </is>
      </c>
      <c r="I1284" s="2" t="inlineStr">
        <is>
          <t>Jalandhar</t>
        </is>
      </c>
      <c r="J1284" s="2" t="inlineStr">
        <is>
          <t>Online</t>
        </is>
      </c>
      <c r="K1284" s="2" t="n">
        <v>3</v>
      </c>
      <c r="L1284" s="3" t="n">
        <v>1383.2</v>
      </c>
      <c r="M1284" s="4" t="n">
        <v>0.15</v>
      </c>
      <c r="N1284" s="3" t="n">
        <v>2634.74</v>
      </c>
      <c r="O1284" s="3">
        <f>K1284*L1284*(1-M1284)</f>
        <v/>
      </c>
      <c r="P1284" s="3">
        <f>O1284-N1284</f>
        <v/>
      </c>
      <c r="Q1284" s="5">
        <f>IFERROR(P1284/O1284,0)</f>
        <v/>
      </c>
      <c r="R1284" s="2">
        <f>TEXT(DATEVALUE(B1284),"mmm")</f>
        <v/>
      </c>
      <c r="S1284" s="2">
        <f>TEXT(DATEVALUE(B1284),"yyyy-mm")</f>
        <v/>
      </c>
    </row>
    <row r="1285">
      <c r="A1285" s="2" t="inlineStr">
        <is>
          <t>O004190</t>
        </is>
      </c>
      <c r="B1285" s="2" t="inlineStr">
        <is>
          <t>2025-04-06</t>
        </is>
      </c>
      <c r="C1285" s="2" t="inlineStr">
        <is>
          <t>C0380</t>
        </is>
      </c>
      <c r="D1285" s="2" t="inlineStr">
        <is>
          <t>P0014</t>
        </is>
      </c>
      <c r="E1285" s="2" t="inlineStr">
        <is>
          <t>Coffee Maker</t>
        </is>
      </c>
      <c r="F1285" s="2" t="inlineStr">
        <is>
          <t>Home &amp; Kitchen</t>
        </is>
      </c>
      <c r="G1285" s="2" t="inlineStr">
        <is>
          <t>South</t>
        </is>
      </c>
      <c r="H1285" s="2" t="inlineStr">
        <is>
          <t>Kerala</t>
        </is>
      </c>
      <c r="I1285" s="2" t="inlineStr">
        <is>
          <t>Thiruvananthapuram</t>
        </is>
      </c>
      <c r="J1285" s="2" t="inlineStr">
        <is>
          <t>Online</t>
        </is>
      </c>
      <c r="K1285" s="2" t="n">
        <v>1</v>
      </c>
      <c r="L1285" s="3" t="n">
        <v>1073.63</v>
      </c>
      <c r="M1285" s="4" t="n">
        <v>0.25</v>
      </c>
      <c r="N1285" s="3" t="n">
        <v>741.15</v>
      </c>
      <c r="O1285" s="3">
        <f>K1285*L1285*(1-M1285)</f>
        <v/>
      </c>
      <c r="P1285" s="3">
        <f>O1285-N1285</f>
        <v/>
      </c>
      <c r="Q1285" s="5">
        <f>IFERROR(P1285/O1285,0)</f>
        <v/>
      </c>
      <c r="R1285" s="2">
        <f>TEXT(DATEVALUE(B1285),"mmm")</f>
        <v/>
      </c>
      <c r="S1285" s="2">
        <f>TEXT(DATEVALUE(B1285),"yyyy-mm")</f>
        <v/>
      </c>
    </row>
    <row r="1286">
      <c r="A1286" s="2" t="inlineStr">
        <is>
          <t>O003873</t>
        </is>
      </c>
      <c r="B1286" s="2" t="inlineStr">
        <is>
          <t>2025-04-06</t>
        </is>
      </c>
      <c r="C1286" s="2" t="inlineStr">
        <is>
          <t>C0430</t>
        </is>
      </c>
      <c r="D1286" s="2" t="inlineStr">
        <is>
          <t>P0024</t>
        </is>
      </c>
      <c r="E1286" s="2" t="inlineStr">
        <is>
          <t>Hair Dryer</t>
        </is>
      </c>
      <c r="F1286" s="2" t="inlineStr">
        <is>
          <t>Beauty</t>
        </is>
      </c>
      <c r="G1286" s="2" t="inlineStr">
        <is>
          <t>North</t>
        </is>
      </c>
      <c r="H1286" s="2" t="inlineStr">
        <is>
          <t>Uttar Pradesh</t>
        </is>
      </c>
      <c r="I1286" s="2" t="inlineStr">
        <is>
          <t>Varanasi</t>
        </is>
      </c>
      <c r="J1286" s="2" t="inlineStr">
        <is>
          <t>Store</t>
        </is>
      </c>
      <c r="K1286" s="2" t="n">
        <v>1</v>
      </c>
      <c r="L1286" s="3" t="n">
        <v>988.66</v>
      </c>
      <c r="M1286" s="4" t="n">
        <v>0</v>
      </c>
      <c r="N1286" s="3" t="n">
        <v>712.05</v>
      </c>
      <c r="O1286" s="3">
        <f>K1286*L1286*(1-M1286)</f>
        <v/>
      </c>
      <c r="P1286" s="3">
        <f>O1286-N1286</f>
        <v/>
      </c>
      <c r="Q1286" s="5">
        <f>IFERROR(P1286/O1286,0)</f>
        <v/>
      </c>
      <c r="R1286" s="2">
        <f>TEXT(DATEVALUE(B1286),"mmm")</f>
        <v/>
      </c>
      <c r="S1286" s="2">
        <f>TEXT(DATEVALUE(B1286),"yyyy-mm")</f>
        <v/>
      </c>
    </row>
    <row r="1287">
      <c r="A1287" s="2" t="inlineStr">
        <is>
          <t>O001919</t>
        </is>
      </c>
      <c r="B1287" s="2" t="inlineStr">
        <is>
          <t>2025-04-06</t>
        </is>
      </c>
      <c r="C1287" s="2" t="inlineStr">
        <is>
          <t>C0523</t>
        </is>
      </c>
      <c r="D1287" s="2" t="inlineStr">
        <is>
          <t>P0031</t>
        </is>
      </c>
      <c r="E1287" s="2" t="inlineStr">
        <is>
          <t>Cricket Bat</t>
        </is>
      </c>
      <c r="F1287" s="2" t="inlineStr">
        <is>
          <t>Sports</t>
        </is>
      </c>
      <c r="G1287" s="2" t="inlineStr">
        <is>
          <t>West</t>
        </is>
      </c>
      <c r="H1287" s="2" t="inlineStr">
        <is>
          <t>Goa</t>
        </is>
      </c>
      <c r="I1287" s="2" t="inlineStr">
        <is>
          <t>Panaji</t>
        </is>
      </c>
      <c r="J1287" s="2" t="inlineStr">
        <is>
          <t>Online</t>
        </is>
      </c>
      <c r="K1287" s="2" t="n">
        <v>6</v>
      </c>
      <c r="L1287" s="3" t="n">
        <v>1427.19</v>
      </c>
      <c r="M1287" s="4" t="n">
        <v>0.2</v>
      </c>
      <c r="N1287" s="3" t="n">
        <v>5753.72</v>
      </c>
      <c r="O1287" s="3">
        <f>K1287*L1287*(1-M1287)</f>
        <v/>
      </c>
      <c r="P1287" s="3">
        <f>O1287-N1287</f>
        <v/>
      </c>
      <c r="Q1287" s="5">
        <f>IFERROR(P1287/O1287,0)</f>
        <v/>
      </c>
      <c r="R1287" s="2">
        <f>TEXT(DATEVALUE(B1287),"mmm")</f>
        <v/>
      </c>
      <c r="S1287" s="2">
        <f>TEXT(DATEVALUE(B1287),"yyyy-mm")</f>
        <v/>
      </c>
    </row>
    <row r="1288">
      <c r="A1288" s="2" t="inlineStr">
        <is>
          <t>O002416</t>
        </is>
      </c>
      <c r="B1288" s="2" t="inlineStr">
        <is>
          <t>2025-04-06</t>
        </is>
      </c>
      <c r="C1288" s="2" t="inlineStr">
        <is>
          <t>C0752</t>
        </is>
      </c>
      <c r="D1288" s="2" t="inlineStr">
        <is>
          <t>P0011</t>
        </is>
      </c>
      <c r="E1288" s="2" t="inlineStr">
        <is>
          <t>Cookware Set</t>
        </is>
      </c>
      <c r="F1288" s="2" t="inlineStr">
        <is>
          <t>Home &amp; Kitchen</t>
        </is>
      </c>
      <c r="G1288" s="2" t="inlineStr">
        <is>
          <t>West</t>
        </is>
      </c>
      <c r="H1288" s="2" t="inlineStr">
        <is>
          <t>Maharashtra</t>
        </is>
      </c>
      <c r="I1288" s="2" t="inlineStr">
        <is>
          <t>Nagpur</t>
        </is>
      </c>
      <c r="J1288" s="2" t="inlineStr">
        <is>
          <t>Online</t>
        </is>
      </c>
      <c r="K1288" s="2" t="n">
        <v>2</v>
      </c>
      <c r="L1288" s="3" t="n">
        <v>713.52</v>
      </c>
      <c r="M1288" s="4" t="n">
        <v>0.1</v>
      </c>
      <c r="N1288" s="3" t="n">
        <v>939.42</v>
      </c>
      <c r="O1288" s="3">
        <f>K1288*L1288*(1-M1288)</f>
        <v/>
      </c>
      <c r="P1288" s="3">
        <f>O1288-N1288</f>
        <v/>
      </c>
      <c r="Q1288" s="5">
        <f>IFERROR(P1288/O1288,0)</f>
        <v/>
      </c>
      <c r="R1288" s="2">
        <f>TEXT(DATEVALUE(B1288),"mmm")</f>
        <v/>
      </c>
      <c r="S1288" s="2">
        <f>TEXT(DATEVALUE(B1288),"yyyy-mm")</f>
        <v/>
      </c>
    </row>
    <row r="1289">
      <c r="A1289" s="2" t="inlineStr">
        <is>
          <t>O001268</t>
        </is>
      </c>
      <c r="B1289" s="2" t="inlineStr">
        <is>
          <t>2025-04-06</t>
        </is>
      </c>
      <c r="C1289" s="2" t="inlineStr">
        <is>
          <t>C0562</t>
        </is>
      </c>
      <c r="D1289" s="2" t="inlineStr">
        <is>
          <t>P0007</t>
        </is>
      </c>
      <c r="E1289" s="2" t="inlineStr">
        <is>
          <t>Wireless Mouse</t>
        </is>
      </c>
      <c r="F1289" s="2" t="inlineStr">
        <is>
          <t>Electronics</t>
        </is>
      </c>
      <c r="G1289" s="2" t="inlineStr">
        <is>
          <t>South</t>
        </is>
      </c>
      <c r="H1289" s="2" t="inlineStr">
        <is>
          <t>Telangana</t>
        </is>
      </c>
      <c r="I1289" s="2" t="inlineStr">
        <is>
          <t>Warangal</t>
        </is>
      </c>
      <c r="J1289" s="2" t="inlineStr">
        <is>
          <t>Online</t>
        </is>
      </c>
      <c r="K1289" s="2" t="n">
        <v>1</v>
      </c>
      <c r="L1289" s="3" t="n">
        <v>946.17</v>
      </c>
      <c r="M1289" s="4" t="n">
        <v>0.2</v>
      </c>
      <c r="N1289" s="3" t="n">
        <v>604.66</v>
      </c>
      <c r="O1289" s="3">
        <f>K1289*L1289*(1-M1289)</f>
        <v/>
      </c>
      <c r="P1289" s="3">
        <f>O1289-N1289</f>
        <v/>
      </c>
      <c r="Q1289" s="5">
        <f>IFERROR(P1289/O1289,0)</f>
        <v/>
      </c>
      <c r="R1289" s="2">
        <f>TEXT(DATEVALUE(B1289),"mmm")</f>
        <v/>
      </c>
      <c r="S1289" s="2">
        <f>TEXT(DATEVALUE(B1289),"yyyy-mm")</f>
        <v/>
      </c>
    </row>
    <row r="1290">
      <c r="A1290" s="2" t="inlineStr">
        <is>
          <t>O001502</t>
        </is>
      </c>
      <c r="B1290" s="2" t="inlineStr">
        <is>
          <t>2025-04-06</t>
        </is>
      </c>
      <c r="C1290" s="2" t="inlineStr">
        <is>
          <t>C0736</t>
        </is>
      </c>
      <c r="D1290" s="2" t="inlineStr">
        <is>
          <t>P0030</t>
        </is>
      </c>
      <c r="E1290" s="2" t="inlineStr">
        <is>
          <t>Dumbbells</t>
        </is>
      </c>
      <c r="F1290" s="2" t="inlineStr">
        <is>
          <t>Sports</t>
        </is>
      </c>
      <c r="G1290" s="2" t="inlineStr">
        <is>
          <t>North</t>
        </is>
      </c>
      <c r="H1290" s="2" t="inlineStr">
        <is>
          <t>Delhi</t>
        </is>
      </c>
      <c r="I1290" s="2" t="inlineStr">
        <is>
          <t>New Delhi</t>
        </is>
      </c>
      <c r="J1290" s="2" t="inlineStr">
        <is>
          <t>Online</t>
        </is>
      </c>
      <c r="K1290" s="2" t="n">
        <v>3</v>
      </c>
      <c r="L1290" s="3" t="n">
        <v>1551.24</v>
      </c>
      <c r="M1290" s="4" t="n">
        <v>0.1</v>
      </c>
      <c r="N1290" s="3" t="n">
        <v>3056.74</v>
      </c>
      <c r="O1290" s="3">
        <f>K1290*L1290*(1-M1290)</f>
        <v/>
      </c>
      <c r="P1290" s="3">
        <f>O1290-N1290</f>
        <v/>
      </c>
      <c r="Q1290" s="5">
        <f>IFERROR(P1290/O1290,0)</f>
        <v/>
      </c>
      <c r="R1290" s="2">
        <f>TEXT(DATEVALUE(B1290),"mmm")</f>
        <v/>
      </c>
      <c r="S1290" s="2">
        <f>TEXT(DATEVALUE(B1290),"yyyy-mm")</f>
        <v/>
      </c>
    </row>
    <row r="1291">
      <c r="A1291" s="2" t="inlineStr">
        <is>
          <t>O000547</t>
        </is>
      </c>
      <c r="B1291" s="2" t="inlineStr">
        <is>
          <t>2025-04-06</t>
        </is>
      </c>
      <c r="C1291" s="2" t="inlineStr">
        <is>
          <t>C0137</t>
        </is>
      </c>
      <c r="D1291" s="2" t="inlineStr">
        <is>
          <t>P0016</t>
        </is>
      </c>
      <c r="E1291" s="2" t="inlineStr">
        <is>
          <t>Casual Shirt</t>
        </is>
      </c>
      <c r="F1291" s="2" t="inlineStr">
        <is>
          <t>Fashion</t>
        </is>
      </c>
      <c r="G1291" s="2" t="inlineStr">
        <is>
          <t>East</t>
        </is>
      </c>
      <c r="H1291" s="2" t="inlineStr">
        <is>
          <t>West Bengal</t>
        </is>
      </c>
      <c r="I1291" s="2" t="inlineStr">
        <is>
          <t>Durgapur</t>
        </is>
      </c>
      <c r="J1291" s="2" t="inlineStr">
        <is>
          <t>Store</t>
        </is>
      </c>
      <c r="K1291" s="2" t="n">
        <v>1</v>
      </c>
      <c r="L1291" s="3" t="n">
        <v>1335.88</v>
      </c>
      <c r="M1291" s="4" t="n">
        <v>0.05</v>
      </c>
      <c r="N1291" s="3" t="n">
        <v>902.0700000000001</v>
      </c>
      <c r="O1291" s="3">
        <f>K1291*L1291*(1-M1291)</f>
        <v/>
      </c>
      <c r="P1291" s="3">
        <f>O1291-N1291</f>
        <v/>
      </c>
      <c r="Q1291" s="5">
        <f>IFERROR(P1291/O1291,0)</f>
        <v/>
      </c>
      <c r="R1291" s="2">
        <f>TEXT(DATEVALUE(B1291),"mmm")</f>
        <v/>
      </c>
      <c r="S1291" s="2">
        <f>TEXT(DATEVALUE(B1291),"yyyy-mm")</f>
        <v/>
      </c>
    </row>
    <row r="1292">
      <c r="A1292" s="2" t="inlineStr">
        <is>
          <t>O000494</t>
        </is>
      </c>
      <c r="B1292" s="2" t="inlineStr">
        <is>
          <t>2025-04-06</t>
        </is>
      </c>
      <c r="C1292" s="2" t="inlineStr">
        <is>
          <t>C0273</t>
        </is>
      </c>
      <c r="D1292" s="2" t="inlineStr">
        <is>
          <t>P0017</t>
        </is>
      </c>
      <c r="E1292" s="2" t="inlineStr">
        <is>
          <t>Jeans</t>
        </is>
      </c>
      <c r="F1292" s="2" t="inlineStr">
        <is>
          <t>Fashion</t>
        </is>
      </c>
      <c r="G1292" s="2" t="inlineStr">
        <is>
          <t>South</t>
        </is>
      </c>
      <c r="H1292" s="2" t="inlineStr">
        <is>
          <t>Kerala</t>
        </is>
      </c>
      <c r="I1292" s="2" t="inlineStr">
        <is>
          <t>Thiruvananthapuram</t>
        </is>
      </c>
      <c r="J1292" s="2" t="inlineStr">
        <is>
          <t>Online</t>
        </is>
      </c>
      <c r="K1292" s="2" t="n">
        <v>1</v>
      </c>
      <c r="L1292" s="3" t="n">
        <v>1464.3</v>
      </c>
      <c r="M1292" s="4" t="n">
        <v>0.05</v>
      </c>
      <c r="N1292" s="3" t="n">
        <v>1023.98</v>
      </c>
      <c r="O1292" s="3">
        <f>K1292*L1292*(1-M1292)</f>
        <v/>
      </c>
      <c r="P1292" s="3">
        <f>O1292-N1292</f>
        <v/>
      </c>
      <c r="Q1292" s="5">
        <f>IFERROR(P1292/O1292,0)</f>
        <v/>
      </c>
      <c r="R1292" s="2">
        <f>TEXT(DATEVALUE(B1292),"mmm")</f>
        <v/>
      </c>
      <c r="S1292" s="2">
        <f>TEXT(DATEVALUE(B1292),"yyyy-mm")</f>
        <v/>
      </c>
    </row>
    <row r="1293">
      <c r="A1293" s="2" t="inlineStr">
        <is>
          <t>O000450</t>
        </is>
      </c>
      <c r="B1293" s="2" t="inlineStr">
        <is>
          <t>2025-04-06</t>
        </is>
      </c>
      <c r="C1293" s="2" t="inlineStr">
        <is>
          <t>C0298</t>
        </is>
      </c>
      <c r="D1293" s="2" t="inlineStr">
        <is>
          <t>P0015</t>
        </is>
      </c>
      <c r="E1293" s="2" t="inlineStr">
        <is>
          <t>Running Shoes</t>
        </is>
      </c>
      <c r="F1293" s="2" t="inlineStr">
        <is>
          <t>Fashion</t>
        </is>
      </c>
      <c r="G1293" s="2" t="inlineStr">
        <is>
          <t>East</t>
        </is>
      </c>
      <c r="H1293" s="2" t="inlineStr">
        <is>
          <t>Odisha</t>
        </is>
      </c>
      <c r="I1293" s="2" t="inlineStr">
        <is>
          <t>Bhubaneswar</t>
        </is>
      </c>
      <c r="J1293" s="2" t="inlineStr">
        <is>
          <t>Online</t>
        </is>
      </c>
      <c r="K1293" s="2" t="n">
        <v>2</v>
      </c>
      <c r="L1293" s="3" t="n">
        <v>581.08</v>
      </c>
      <c r="M1293" s="4" t="n">
        <v>0</v>
      </c>
      <c r="N1293" s="3" t="n">
        <v>768.12</v>
      </c>
      <c r="O1293" s="3">
        <f>K1293*L1293*(1-M1293)</f>
        <v/>
      </c>
      <c r="P1293" s="3">
        <f>O1293-N1293</f>
        <v/>
      </c>
      <c r="Q1293" s="5">
        <f>IFERROR(P1293/O1293,0)</f>
        <v/>
      </c>
      <c r="R1293" s="2">
        <f>TEXT(DATEVALUE(B1293),"mmm")</f>
        <v/>
      </c>
      <c r="S1293" s="2">
        <f>TEXT(DATEVALUE(B1293),"yyyy-mm")</f>
        <v/>
      </c>
    </row>
    <row r="1294">
      <c r="A1294" s="2" t="inlineStr">
        <is>
          <t>O000193</t>
        </is>
      </c>
      <c r="B1294" s="2" t="inlineStr">
        <is>
          <t>2025-04-06</t>
        </is>
      </c>
      <c r="C1294" s="2" t="inlineStr">
        <is>
          <t>C0334</t>
        </is>
      </c>
      <c r="D1294" s="2" t="inlineStr">
        <is>
          <t>P0031</t>
        </is>
      </c>
      <c r="E1294" s="2" t="inlineStr">
        <is>
          <t>Cricket Bat</t>
        </is>
      </c>
      <c r="F1294" s="2" t="inlineStr">
        <is>
          <t>Sports</t>
        </is>
      </c>
      <c r="G1294" s="2" t="inlineStr">
        <is>
          <t>East</t>
        </is>
      </c>
      <c r="H1294" s="2" t="inlineStr">
        <is>
          <t>Bihar</t>
        </is>
      </c>
      <c r="I1294" s="2" t="inlineStr">
        <is>
          <t>Gaya</t>
        </is>
      </c>
      <c r="J1294" s="2" t="inlineStr">
        <is>
          <t>Online</t>
        </is>
      </c>
      <c r="K1294" s="2" t="n">
        <v>1</v>
      </c>
      <c r="L1294" s="3" t="n">
        <v>1435.04</v>
      </c>
      <c r="M1294" s="4" t="n">
        <v>0</v>
      </c>
      <c r="N1294" s="3" t="n">
        <v>927.54</v>
      </c>
      <c r="O1294" s="3">
        <f>K1294*L1294*(1-M1294)</f>
        <v/>
      </c>
      <c r="P1294" s="3">
        <f>O1294-N1294</f>
        <v/>
      </c>
      <c r="Q1294" s="5">
        <f>IFERROR(P1294/O1294,0)</f>
        <v/>
      </c>
      <c r="R1294" s="2">
        <f>TEXT(DATEVALUE(B1294),"mmm")</f>
        <v/>
      </c>
      <c r="S1294" s="2">
        <f>TEXT(DATEVALUE(B1294),"yyyy-mm")</f>
        <v/>
      </c>
    </row>
    <row r="1295">
      <c r="A1295" s="2" t="inlineStr">
        <is>
          <t>O000144</t>
        </is>
      </c>
      <c r="B1295" s="2" t="inlineStr">
        <is>
          <t>2025-04-06</t>
        </is>
      </c>
      <c r="C1295" s="2" t="inlineStr">
        <is>
          <t>C0249</t>
        </is>
      </c>
      <c r="D1295" s="2" t="inlineStr">
        <is>
          <t>P0035</t>
        </is>
      </c>
      <c r="E1295" s="2" t="inlineStr">
        <is>
          <t>Skipping Rope</t>
        </is>
      </c>
      <c r="F1295" s="2" t="inlineStr">
        <is>
          <t>Sports</t>
        </is>
      </c>
      <c r="G1295" s="2" t="inlineStr">
        <is>
          <t>South</t>
        </is>
      </c>
      <c r="H1295" s="2" t="inlineStr">
        <is>
          <t>Telangana</t>
        </is>
      </c>
      <c r="I1295" s="2" t="inlineStr">
        <is>
          <t>Warangal</t>
        </is>
      </c>
      <c r="J1295" s="2" t="inlineStr">
        <is>
          <t>Online</t>
        </is>
      </c>
      <c r="K1295" s="2" t="n">
        <v>2</v>
      </c>
      <c r="L1295" s="3" t="n">
        <v>700.21</v>
      </c>
      <c r="M1295" s="4" t="n">
        <v>0.05</v>
      </c>
      <c r="N1295" s="3" t="n">
        <v>823.35</v>
      </c>
      <c r="O1295" s="3">
        <f>K1295*L1295*(1-M1295)</f>
        <v/>
      </c>
      <c r="P1295" s="3">
        <f>O1295-N1295</f>
        <v/>
      </c>
      <c r="Q1295" s="5">
        <f>IFERROR(P1295/O1295,0)</f>
        <v/>
      </c>
      <c r="R1295" s="2">
        <f>TEXT(DATEVALUE(B1295),"mmm")</f>
        <v/>
      </c>
      <c r="S1295" s="2">
        <f>TEXT(DATEVALUE(B1295),"yyyy-mm")</f>
        <v/>
      </c>
    </row>
    <row r="1296">
      <c r="A1296" s="2" t="inlineStr">
        <is>
          <t>O004534</t>
        </is>
      </c>
      <c r="B1296" s="2" t="inlineStr">
        <is>
          <t>2025-04-07</t>
        </is>
      </c>
      <c r="C1296" s="2" t="inlineStr">
        <is>
          <t>C0222</t>
        </is>
      </c>
      <c r="D1296" s="2" t="inlineStr">
        <is>
          <t>P0004</t>
        </is>
      </c>
      <c r="E1296" s="2" t="inlineStr">
        <is>
          <t>USB-C Hub</t>
        </is>
      </c>
      <c r="F1296" s="2" t="inlineStr">
        <is>
          <t>Electronics</t>
        </is>
      </c>
      <c r="G1296" s="2" t="inlineStr">
        <is>
          <t>North</t>
        </is>
      </c>
      <c r="H1296" s="2" t="inlineStr">
        <is>
          <t>Delhi</t>
        </is>
      </c>
      <c r="I1296" s="2" t="inlineStr">
        <is>
          <t>New Delhi</t>
        </is>
      </c>
      <c r="J1296" s="2" t="inlineStr">
        <is>
          <t>Store</t>
        </is>
      </c>
      <c r="K1296" s="2" t="n">
        <v>1</v>
      </c>
      <c r="L1296" s="3" t="n">
        <v>1236.03</v>
      </c>
      <c r="M1296" s="4" t="n">
        <v>0.25</v>
      </c>
      <c r="N1296" s="3" t="n">
        <v>930.42</v>
      </c>
      <c r="O1296" s="3">
        <f>K1296*L1296*(1-M1296)</f>
        <v/>
      </c>
      <c r="P1296" s="3">
        <f>O1296-N1296</f>
        <v/>
      </c>
      <c r="Q1296" s="5">
        <f>IFERROR(P1296/O1296,0)</f>
        <v/>
      </c>
      <c r="R1296" s="2">
        <f>TEXT(DATEVALUE(B1296),"mmm")</f>
        <v/>
      </c>
      <c r="S1296" s="2">
        <f>TEXT(DATEVALUE(B1296),"yyyy-mm")</f>
        <v/>
      </c>
    </row>
    <row r="1297">
      <c r="A1297" s="2" t="inlineStr">
        <is>
          <t>O004270</t>
        </is>
      </c>
      <c r="B1297" s="2" t="inlineStr">
        <is>
          <t>2025-04-07</t>
        </is>
      </c>
      <c r="C1297" s="2" t="inlineStr">
        <is>
          <t>C0427</t>
        </is>
      </c>
      <c r="D1297" s="2" t="inlineStr">
        <is>
          <t>P0008</t>
        </is>
      </c>
      <c r="E1297" s="2" t="inlineStr">
        <is>
          <t>Air Fryer</t>
        </is>
      </c>
      <c r="F1297" s="2" t="inlineStr">
        <is>
          <t>Home &amp; Kitchen</t>
        </is>
      </c>
      <c r="G1297" s="2" t="inlineStr">
        <is>
          <t>North</t>
        </is>
      </c>
      <c r="H1297" s="2" t="inlineStr">
        <is>
          <t>Haryana</t>
        </is>
      </c>
      <c r="I1297" s="2" t="inlineStr">
        <is>
          <t>Gurugram</t>
        </is>
      </c>
      <c r="J1297" s="2" t="inlineStr">
        <is>
          <t>Online</t>
        </is>
      </c>
      <c r="K1297" s="2" t="n">
        <v>4</v>
      </c>
      <c r="L1297" s="3" t="n">
        <v>1024.91</v>
      </c>
      <c r="M1297" s="4" t="n">
        <v>0.2</v>
      </c>
      <c r="N1297" s="3" t="n">
        <v>2772.11</v>
      </c>
      <c r="O1297" s="3">
        <f>K1297*L1297*(1-M1297)</f>
        <v/>
      </c>
      <c r="P1297" s="3">
        <f>O1297-N1297</f>
        <v/>
      </c>
      <c r="Q1297" s="5">
        <f>IFERROR(P1297/O1297,0)</f>
        <v/>
      </c>
      <c r="R1297" s="2">
        <f>TEXT(DATEVALUE(B1297),"mmm")</f>
        <v/>
      </c>
      <c r="S1297" s="2">
        <f>TEXT(DATEVALUE(B1297),"yyyy-mm")</f>
        <v/>
      </c>
    </row>
    <row r="1298">
      <c r="A1298" s="2" t="inlineStr">
        <is>
          <t>O002954</t>
        </is>
      </c>
      <c r="B1298" s="2" t="inlineStr">
        <is>
          <t>2025-04-07</t>
        </is>
      </c>
      <c r="C1298" s="2" t="inlineStr">
        <is>
          <t>C0522</t>
        </is>
      </c>
      <c r="D1298" s="2" t="inlineStr">
        <is>
          <t>P0018</t>
        </is>
      </c>
      <c r="E1298" s="2" t="inlineStr">
        <is>
          <t>Backpack</t>
        </is>
      </c>
      <c r="F1298" s="2" t="inlineStr">
        <is>
          <t>Fashion</t>
        </is>
      </c>
      <c r="G1298" s="2" t="inlineStr">
        <is>
          <t>South</t>
        </is>
      </c>
      <c r="H1298" s="2" t="inlineStr">
        <is>
          <t>Karnataka</t>
        </is>
      </c>
      <c r="I1298" s="2" t="inlineStr">
        <is>
          <t>Mysuru</t>
        </is>
      </c>
      <c r="J1298" s="2" t="inlineStr">
        <is>
          <t>Online</t>
        </is>
      </c>
      <c r="K1298" s="2" t="n">
        <v>5</v>
      </c>
      <c r="L1298" s="3" t="n">
        <v>1781.74</v>
      </c>
      <c r="M1298" s="4" t="n">
        <v>0.05</v>
      </c>
      <c r="N1298" s="3" t="n">
        <v>6957.13</v>
      </c>
      <c r="O1298" s="3">
        <f>K1298*L1298*(1-M1298)</f>
        <v/>
      </c>
      <c r="P1298" s="3">
        <f>O1298-N1298</f>
        <v/>
      </c>
      <c r="Q1298" s="5">
        <f>IFERROR(P1298/O1298,0)</f>
        <v/>
      </c>
      <c r="R1298" s="2">
        <f>TEXT(DATEVALUE(B1298),"mmm")</f>
        <v/>
      </c>
      <c r="S1298" s="2">
        <f>TEXT(DATEVALUE(B1298),"yyyy-mm")</f>
        <v/>
      </c>
    </row>
    <row r="1299">
      <c r="A1299" s="2" t="inlineStr">
        <is>
          <t>O002524</t>
        </is>
      </c>
      <c r="B1299" s="2" t="inlineStr">
        <is>
          <t>2025-04-07</t>
        </is>
      </c>
      <c r="C1299" s="2" t="inlineStr">
        <is>
          <t>C0331</t>
        </is>
      </c>
      <c r="D1299" s="2" t="inlineStr">
        <is>
          <t>P0006</t>
        </is>
      </c>
      <c r="E1299" s="2" t="inlineStr">
        <is>
          <t>Mechanical Keyboard</t>
        </is>
      </c>
      <c r="F1299" s="2" t="inlineStr">
        <is>
          <t>Electronics</t>
        </is>
      </c>
      <c r="G1299" s="2" t="inlineStr">
        <is>
          <t>West</t>
        </is>
      </c>
      <c r="H1299" s="2" t="inlineStr">
        <is>
          <t>Goa</t>
        </is>
      </c>
      <c r="I1299" s="2" t="inlineStr">
        <is>
          <t>Panaji</t>
        </is>
      </c>
      <c r="J1299" s="2" t="inlineStr">
        <is>
          <t>Online</t>
        </is>
      </c>
      <c r="K1299" s="2" t="n">
        <v>3</v>
      </c>
      <c r="L1299" s="3" t="n">
        <v>2672.52</v>
      </c>
      <c r="M1299" s="4" t="n">
        <v>0.1</v>
      </c>
      <c r="N1299" s="3" t="n">
        <v>4341.6</v>
      </c>
      <c r="O1299" s="3">
        <f>K1299*L1299*(1-M1299)</f>
        <v/>
      </c>
      <c r="P1299" s="3">
        <f>O1299-N1299</f>
        <v/>
      </c>
      <c r="Q1299" s="5">
        <f>IFERROR(P1299/O1299,0)</f>
        <v/>
      </c>
      <c r="R1299" s="2">
        <f>TEXT(DATEVALUE(B1299),"mmm")</f>
        <v/>
      </c>
      <c r="S1299" s="2">
        <f>TEXT(DATEVALUE(B1299),"yyyy-mm")</f>
        <v/>
      </c>
    </row>
    <row r="1300">
      <c r="A1300" s="2" t="inlineStr">
        <is>
          <t>O002449</t>
        </is>
      </c>
      <c r="B1300" s="2" t="inlineStr">
        <is>
          <t>2025-04-07</t>
        </is>
      </c>
      <c r="C1300" s="2" t="inlineStr">
        <is>
          <t>C0356</t>
        </is>
      </c>
      <c r="D1300" s="2" t="inlineStr">
        <is>
          <t>P0007</t>
        </is>
      </c>
      <c r="E1300" s="2" t="inlineStr">
        <is>
          <t>Wireless Mouse</t>
        </is>
      </c>
      <c r="F1300" s="2" t="inlineStr">
        <is>
          <t>Electronics</t>
        </is>
      </c>
      <c r="G1300" s="2" t="inlineStr">
        <is>
          <t>North</t>
        </is>
      </c>
      <c r="H1300" s="2" t="inlineStr">
        <is>
          <t>Haryana</t>
        </is>
      </c>
      <c r="I1300" s="2" t="inlineStr">
        <is>
          <t>Faridabad</t>
        </is>
      </c>
      <c r="J1300" s="2" t="inlineStr">
        <is>
          <t>Online</t>
        </is>
      </c>
      <c r="K1300" s="2" t="n">
        <v>2</v>
      </c>
      <c r="L1300" s="3" t="n">
        <v>1020.66</v>
      </c>
      <c r="M1300" s="4" t="n">
        <v>0.2</v>
      </c>
      <c r="N1300" s="3" t="n">
        <v>1259.69</v>
      </c>
      <c r="O1300" s="3">
        <f>K1300*L1300*(1-M1300)</f>
        <v/>
      </c>
      <c r="P1300" s="3">
        <f>O1300-N1300</f>
        <v/>
      </c>
      <c r="Q1300" s="5">
        <f>IFERROR(P1300/O1300,0)</f>
        <v/>
      </c>
      <c r="R1300" s="2">
        <f>TEXT(DATEVALUE(B1300),"mmm")</f>
        <v/>
      </c>
      <c r="S1300" s="2">
        <f>TEXT(DATEVALUE(B1300),"yyyy-mm")</f>
        <v/>
      </c>
    </row>
    <row r="1301">
      <c r="A1301" s="2" t="inlineStr">
        <is>
          <t>O001264</t>
        </is>
      </c>
      <c r="B1301" s="2" t="inlineStr">
        <is>
          <t>2025-04-07</t>
        </is>
      </c>
      <c r="C1301" s="2" t="inlineStr">
        <is>
          <t>C0128</t>
        </is>
      </c>
      <c r="D1301" s="2" t="inlineStr">
        <is>
          <t>P0017</t>
        </is>
      </c>
      <c r="E1301" s="2" t="inlineStr">
        <is>
          <t>Jeans</t>
        </is>
      </c>
      <c r="F1301" s="2" t="inlineStr">
        <is>
          <t>Fashion</t>
        </is>
      </c>
      <c r="G1301" s="2" t="inlineStr">
        <is>
          <t>West</t>
        </is>
      </c>
      <c r="H1301" s="2" t="inlineStr">
        <is>
          <t>Maharashtra</t>
        </is>
      </c>
      <c r="I1301" s="2" t="inlineStr">
        <is>
          <t>Pune</t>
        </is>
      </c>
      <c r="J1301" s="2" t="inlineStr">
        <is>
          <t>Store</t>
        </is>
      </c>
      <c r="K1301" s="2" t="n">
        <v>2</v>
      </c>
      <c r="L1301" s="3" t="n">
        <v>1452.6</v>
      </c>
      <c r="M1301" s="4" t="n">
        <v>0.15</v>
      </c>
      <c r="N1301" s="3" t="n">
        <v>2012.84</v>
      </c>
      <c r="O1301" s="3">
        <f>K1301*L1301*(1-M1301)</f>
        <v/>
      </c>
      <c r="P1301" s="3">
        <f>O1301-N1301</f>
        <v/>
      </c>
      <c r="Q1301" s="5">
        <f>IFERROR(P1301/O1301,0)</f>
        <v/>
      </c>
      <c r="R1301" s="2">
        <f>TEXT(DATEVALUE(B1301),"mmm")</f>
        <v/>
      </c>
      <c r="S1301" s="2">
        <f>TEXT(DATEVALUE(B1301),"yyyy-mm")</f>
        <v/>
      </c>
    </row>
    <row r="1302">
      <c r="A1302" s="2" t="inlineStr">
        <is>
          <t>O001085</t>
        </is>
      </c>
      <c r="B1302" s="2" t="inlineStr">
        <is>
          <t>2025-04-07</t>
        </is>
      </c>
      <c r="C1302" s="2" t="inlineStr">
        <is>
          <t>C0121</t>
        </is>
      </c>
      <c r="D1302" s="2" t="inlineStr">
        <is>
          <t>P0005</t>
        </is>
      </c>
      <c r="E1302" s="2" t="inlineStr">
        <is>
          <t>Power Bank</t>
        </is>
      </c>
      <c r="F1302" s="2" t="inlineStr">
        <is>
          <t>Electronics</t>
        </is>
      </c>
      <c r="G1302" s="2" t="inlineStr">
        <is>
          <t>West</t>
        </is>
      </c>
      <c r="H1302" s="2" t="inlineStr">
        <is>
          <t>Gujarat</t>
        </is>
      </c>
      <c r="I1302" s="2" t="inlineStr">
        <is>
          <t>Surat</t>
        </is>
      </c>
      <c r="J1302" s="2" t="inlineStr">
        <is>
          <t>Store</t>
        </is>
      </c>
      <c r="K1302" s="2" t="n">
        <v>1</v>
      </c>
      <c r="L1302" s="3" t="n">
        <v>1087.84</v>
      </c>
      <c r="M1302" s="4" t="n">
        <v>0.15</v>
      </c>
      <c r="N1302" s="3" t="n">
        <v>666.21</v>
      </c>
      <c r="O1302" s="3">
        <f>K1302*L1302*(1-M1302)</f>
        <v/>
      </c>
      <c r="P1302" s="3">
        <f>O1302-N1302</f>
        <v/>
      </c>
      <c r="Q1302" s="5">
        <f>IFERROR(P1302/O1302,0)</f>
        <v/>
      </c>
      <c r="R1302" s="2">
        <f>TEXT(DATEVALUE(B1302),"mmm")</f>
        <v/>
      </c>
      <c r="S1302" s="2">
        <f>TEXT(DATEVALUE(B1302),"yyyy-mm")</f>
        <v/>
      </c>
    </row>
    <row r="1303">
      <c r="A1303" s="2" t="inlineStr">
        <is>
          <t>O000321</t>
        </is>
      </c>
      <c r="B1303" s="2" t="inlineStr">
        <is>
          <t>2025-04-07</t>
        </is>
      </c>
      <c r="C1303" s="2" t="inlineStr">
        <is>
          <t>C0427</t>
        </is>
      </c>
      <c r="D1303" s="2" t="inlineStr">
        <is>
          <t>P0011</t>
        </is>
      </c>
      <c r="E1303" s="2" t="inlineStr">
        <is>
          <t>Cookware Set</t>
        </is>
      </c>
      <c r="F1303" s="2" t="inlineStr">
        <is>
          <t>Home &amp; Kitchen</t>
        </is>
      </c>
      <c r="G1303" s="2" t="inlineStr">
        <is>
          <t>South</t>
        </is>
      </c>
      <c r="H1303" s="2" t="inlineStr">
        <is>
          <t>Kerala</t>
        </is>
      </c>
      <c r="I1303" s="2" t="inlineStr">
        <is>
          <t>Kochi</t>
        </is>
      </c>
      <c r="J1303" s="2" t="inlineStr">
        <is>
          <t>Store</t>
        </is>
      </c>
      <c r="K1303" s="2" t="n">
        <v>3</v>
      </c>
      <c r="L1303" s="3" t="n">
        <v>710.39</v>
      </c>
      <c r="M1303" s="4" t="n">
        <v>0</v>
      </c>
      <c r="N1303" s="3" t="n">
        <v>1397.2</v>
      </c>
      <c r="O1303" s="3">
        <f>K1303*L1303*(1-M1303)</f>
        <v/>
      </c>
      <c r="P1303" s="3">
        <f>O1303-N1303</f>
        <v/>
      </c>
      <c r="Q1303" s="5">
        <f>IFERROR(P1303/O1303,0)</f>
        <v/>
      </c>
      <c r="R1303" s="2">
        <f>TEXT(DATEVALUE(B1303),"mmm")</f>
        <v/>
      </c>
      <c r="S1303" s="2">
        <f>TEXT(DATEVALUE(B1303),"yyyy-mm")</f>
        <v/>
      </c>
    </row>
    <row r="1304">
      <c r="A1304" s="2" t="inlineStr">
        <is>
          <t>O000234</t>
        </is>
      </c>
      <c r="B1304" s="2" t="inlineStr">
        <is>
          <t>2025-04-07</t>
        </is>
      </c>
      <c r="C1304" s="2" t="inlineStr">
        <is>
          <t>C0500</t>
        </is>
      </c>
      <c r="D1304" s="2" t="inlineStr">
        <is>
          <t>P0007</t>
        </is>
      </c>
      <c r="E1304" s="2" t="inlineStr">
        <is>
          <t>Wireless Mouse</t>
        </is>
      </c>
      <c r="F1304" s="2" t="inlineStr">
        <is>
          <t>Electronics</t>
        </is>
      </c>
      <c r="G1304" s="2" t="inlineStr">
        <is>
          <t>West</t>
        </is>
      </c>
      <c r="H1304" s="2" t="inlineStr">
        <is>
          <t>Maharashtra</t>
        </is>
      </c>
      <c r="I1304" s="2" t="inlineStr">
        <is>
          <t>Nagpur</t>
        </is>
      </c>
      <c r="J1304" s="2" t="inlineStr">
        <is>
          <t>Online</t>
        </is>
      </c>
      <c r="K1304" s="2" t="n">
        <v>1</v>
      </c>
      <c r="L1304" s="3" t="n">
        <v>1000.6</v>
      </c>
      <c r="M1304" s="4" t="n">
        <v>0</v>
      </c>
      <c r="N1304" s="3" t="n">
        <v>606.35</v>
      </c>
      <c r="O1304" s="3">
        <f>K1304*L1304*(1-M1304)</f>
        <v/>
      </c>
      <c r="P1304" s="3">
        <f>O1304-N1304</f>
        <v/>
      </c>
      <c r="Q1304" s="5">
        <f>IFERROR(P1304/O1304,0)</f>
        <v/>
      </c>
      <c r="R1304" s="2">
        <f>TEXT(DATEVALUE(B1304),"mmm")</f>
        <v/>
      </c>
      <c r="S1304" s="2">
        <f>TEXT(DATEVALUE(B1304),"yyyy-mm")</f>
        <v/>
      </c>
    </row>
    <row r="1305">
      <c r="A1305" s="2" t="inlineStr">
        <is>
          <t>O004368</t>
        </is>
      </c>
      <c r="B1305" s="2" t="inlineStr">
        <is>
          <t>2025-04-08</t>
        </is>
      </c>
      <c r="C1305" s="2" t="inlineStr">
        <is>
          <t>C0355</t>
        </is>
      </c>
      <c r="D1305" s="2" t="inlineStr">
        <is>
          <t>P0007</t>
        </is>
      </c>
      <c r="E1305" s="2" t="inlineStr">
        <is>
          <t>Wireless Mouse</t>
        </is>
      </c>
      <c r="F1305" s="2" t="inlineStr">
        <is>
          <t>Electronics</t>
        </is>
      </c>
      <c r="G1305" s="2" t="inlineStr">
        <is>
          <t>West</t>
        </is>
      </c>
      <c r="H1305" s="2" t="inlineStr">
        <is>
          <t>Goa</t>
        </is>
      </c>
      <c r="I1305" s="2" t="inlineStr">
        <is>
          <t>Margao</t>
        </is>
      </c>
      <c r="J1305" s="2" t="inlineStr">
        <is>
          <t>Online</t>
        </is>
      </c>
      <c r="K1305" s="2" t="n">
        <v>2</v>
      </c>
      <c r="L1305" s="3" t="n">
        <v>942.98</v>
      </c>
      <c r="M1305" s="4" t="n">
        <v>0.05</v>
      </c>
      <c r="N1305" s="3" t="n">
        <v>1212.71</v>
      </c>
      <c r="O1305" s="3">
        <f>K1305*L1305*(1-M1305)</f>
        <v/>
      </c>
      <c r="P1305" s="3">
        <f>O1305-N1305</f>
        <v/>
      </c>
      <c r="Q1305" s="5">
        <f>IFERROR(P1305/O1305,0)</f>
        <v/>
      </c>
      <c r="R1305" s="2">
        <f>TEXT(DATEVALUE(B1305),"mmm")</f>
        <v/>
      </c>
      <c r="S1305" s="2">
        <f>TEXT(DATEVALUE(B1305),"yyyy-mm")</f>
        <v/>
      </c>
    </row>
    <row r="1306">
      <c r="A1306" s="2" t="inlineStr">
        <is>
          <t>O004320</t>
        </is>
      </c>
      <c r="B1306" s="2" t="inlineStr">
        <is>
          <t>2025-04-08</t>
        </is>
      </c>
      <c r="C1306" s="2" t="inlineStr">
        <is>
          <t>C0660</t>
        </is>
      </c>
      <c r="D1306" s="2" t="inlineStr">
        <is>
          <t>P0002</t>
        </is>
      </c>
      <c r="E1306" s="2" t="inlineStr">
        <is>
          <t>Bluetooth Speaker</t>
        </is>
      </c>
      <c r="F1306" s="2" t="inlineStr">
        <is>
          <t>Electronics</t>
        </is>
      </c>
      <c r="G1306" s="2" t="inlineStr">
        <is>
          <t>West</t>
        </is>
      </c>
      <c r="H1306" s="2" t="inlineStr">
        <is>
          <t>Gujarat</t>
        </is>
      </c>
      <c r="I1306" s="2" t="inlineStr">
        <is>
          <t>Vadodara</t>
        </is>
      </c>
      <c r="J1306" s="2" t="inlineStr">
        <is>
          <t>Store</t>
        </is>
      </c>
      <c r="K1306" s="2" t="n">
        <v>2</v>
      </c>
      <c r="L1306" s="3" t="n">
        <v>1404.37</v>
      </c>
      <c r="M1306" s="4" t="n">
        <v>0.2</v>
      </c>
      <c r="N1306" s="3" t="n">
        <v>1660.01</v>
      </c>
      <c r="O1306" s="3">
        <f>K1306*L1306*(1-M1306)</f>
        <v/>
      </c>
      <c r="P1306" s="3">
        <f>O1306-N1306</f>
        <v/>
      </c>
      <c r="Q1306" s="5">
        <f>IFERROR(P1306/O1306,0)</f>
        <v/>
      </c>
      <c r="R1306" s="2">
        <f>TEXT(DATEVALUE(B1306),"mmm")</f>
        <v/>
      </c>
      <c r="S1306" s="2">
        <f>TEXT(DATEVALUE(B1306),"yyyy-mm")</f>
        <v/>
      </c>
    </row>
    <row r="1307">
      <c r="A1307" s="2" t="inlineStr">
        <is>
          <t>O003861</t>
        </is>
      </c>
      <c r="B1307" s="2" t="inlineStr">
        <is>
          <t>2025-04-08</t>
        </is>
      </c>
      <c r="C1307" s="2" t="inlineStr">
        <is>
          <t>C0637</t>
        </is>
      </c>
      <c r="D1307" s="2" t="inlineStr">
        <is>
          <t>P0013</t>
        </is>
      </c>
      <c r="E1307" s="2" t="inlineStr">
        <is>
          <t>Storage Organizer</t>
        </is>
      </c>
      <c r="F1307" s="2" t="inlineStr">
        <is>
          <t>Home &amp; Kitchen</t>
        </is>
      </c>
      <c r="G1307" s="2" t="inlineStr">
        <is>
          <t>South</t>
        </is>
      </c>
      <c r="H1307" s="2" t="inlineStr">
        <is>
          <t>Tamil Nadu</t>
        </is>
      </c>
      <c r="I1307" s="2" t="inlineStr">
        <is>
          <t>Madurai</t>
        </is>
      </c>
      <c r="J1307" s="2" t="inlineStr">
        <is>
          <t>Store</t>
        </is>
      </c>
      <c r="K1307" s="2" t="n">
        <v>4</v>
      </c>
      <c r="L1307" s="3" t="n">
        <v>556.71</v>
      </c>
      <c r="M1307" s="4" t="n">
        <v>0.05</v>
      </c>
      <c r="N1307" s="3" t="n">
        <v>1427.59</v>
      </c>
      <c r="O1307" s="3">
        <f>K1307*L1307*(1-M1307)</f>
        <v/>
      </c>
      <c r="P1307" s="3">
        <f>O1307-N1307</f>
        <v/>
      </c>
      <c r="Q1307" s="5">
        <f>IFERROR(P1307/O1307,0)</f>
        <v/>
      </c>
      <c r="R1307" s="2">
        <f>TEXT(DATEVALUE(B1307),"mmm")</f>
        <v/>
      </c>
      <c r="S1307" s="2">
        <f>TEXT(DATEVALUE(B1307),"yyyy-mm")</f>
        <v/>
      </c>
    </row>
    <row r="1308">
      <c r="A1308" s="2" t="inlineStr">
        <is>
          <t>O004977</t>
        </is>
      </c>
      <c r="B1308" s="2" t="inlineStr">
        <is>
          <t>2025-04-08</t>
        </is>
      </c>
      <c r="C1308" s="2" t="inlineStr">
        <is>
          <t>C0389</t>
        </is>
      </c>
      <c r="D1308" s="2" t="inlineStr">
        <is>
          <t>P0016</t>
        </is>
      </c>
      <c r="E1308" s="2" t="inlineStr">
        <is>
          <t>Casual Shirt</t>
        </is>
      </c>
      <c r="F1308" s="2" t="inlineStr">
        <is>
          <t>Fashion</t>
        </is>
      </c>
      <c r="G1308" s="2" t="inlineStr">
        <is>
          <t>South</t>
        </is>
      </c>
      <c r="H1308" s="2" t="inlineStr">
        <is>
          <t>Karnataka</t>
        </is>
      </c>
      <c r="I1308" s="2" t="inlineStr">
        <is>
          <t>Mangaluru</t>
        </is>
      </c>
      <c r="J1308" s="2" t="inlineStr">
        <is>
          <t>Online</t>
        </is>
      </c>
      <c r="K1308" s="2" t="n">
        <v>6</v>
      </c>
      <c r="L1308" s="3" t="n">
        <v>1284.47</v>
      </c>
      <c r="M1308" s="4" t="n">
        <v>0.2</v>
      </c>
      <c r="N1308" s="3" t="n">
        <v>5384.19</v>
      </c>
      <c r="O1308" s="3">
        <f>K1308*L1308*(1-M1308)</f>
        <v/>
      </c>
      <c r="P1308" s="3">
        <f>O1308-N1308</f>
        <v/>
      </c>
      <c r="Q1308" s="5">
        <f>IFERROR(P1308/O1308,0)</f>
        <v/>
      </c>
      <c r="R1308" s="2">
        <f>TEXT(DATEVALUE(B1308),"mmm")</f>
        <v/>
      </c>
      <c r="S1308" s="2">
        <f>TEXT(DATEVALUE(B1308),"yyyy-mm")</f>
        <v/>
      </c>
    </row>
    <row r="1309">
      <c r="A1309" s="2" t="inlineStr">
        <is>
          <t>O002917</t>
        </is>
      </c>
      <c r="B1309" s="2" t="inlineStr">
        <is>
          <t>2025-04-08</t>
        </is>
      </c>
      <c r="C1309" s="2" t="inlineStr">
        <is>
          <t>C0172</t>
        </is>
      </c>
      <c r="D1309" s="2" t="inlineStr">
        <is>
          <t>P0007</t>
        </is>
      </c>
      <c r="E1309" s="2" t="inlineStr">
        <is>
          <t>Wireless Mouse</t>
        </is>
      </c>
      <c r="F1309" s="2" t="inlineStr">
        <is>
          <t>Electronics</t>
        </is>
      </c>
      <c r="G1309" s="2" t="inlineStr">
        <is>
          <t>East</t>
        </is>
      </c>
      <c r="H1309" s="2" t="inlineStr">
        <is>
          <t>West Bengal</t>
        </is>
      </c>
      <c r="I1309" s="2" t="inlineStr">
        <is>
          <t>Durgapur</t>
        </is>
      </c>
      <c r="J1309" s="2" t="inlineStr">
        <is>
          <t>Store</t>
        </is>
      </c>
      <c r="K1309" s="2" t="n">
        <v>4</v>
      </c>
      <c r="L1309" s="3" t="n">
        <v>985.6</v>
      </c>
      <c r="M1309" s="4" t="n">
        <v>0</v>
      </c>
      <c r="N1309" s="3" t="n">
        <v>2576.51</v>
      </c>
      <c r="O1309" s="3">
        <f>K1309*L1309*(1-M1309)</f>
        <v/>
      </c>
      <c r="P1309" s="3">
        <f>O1309-N1309</f>
        <v/>
      </c>
      <c r="Q1309" s="5">
        <f>IFERROR(P1309/O1309,0)</f>
        <v/>
      </c>
      <c r="R1309" s="2">
        <f>TEXT(DATEVALUE(B1309),"mmm")</f>
        <v/>
      </c>
      <c r="S1309" s="2">
        <f>TEXT(DATEVALUE(B1309),"yyyy-mm")</f>
        <v/>
      </c>
    </row>
    <row r="1310">
      <c r="A1310" s="2" t="inlineStr">
        <is>
          <t>O002906</t>
        </is>
      </c>
      <c r="B1310" s="2" t="inlineStr">
        <is>
          <t>2025-04-08</t>
        </is>
      </c>
      <c r="C1310" s="2" t="inlineStr">
        <is>
          <t>C0234</t>
        </is>
      </c>
      <c r="D1310" s="2" t="inlineStr">
        <is>
          <t>P0016</t>
        </is>
      </c>
      <c r="E1310" s="2" t="inlineStr">
        <is>
          <t>Casual Shirt</t>
        </is>
      </c>
      <c r="F1310" s="2" t="inlineStr">
        <is>
          <t>Fashion</t>
        </is>
      </c>
      <c r="G1310" s="2" t="inlineStr">
        <is>
          <t>South</t>
        </is>
      </c>
      <c r="H1310" s="2" t="inlineStr">
        <is>
          <t>Tamil Nadu</t>
        </is>
      </c>
      <c r="I1310" s="2" t="inlineStr">
        <is>
          <t>Coimbatore</t>
        </is>
      </c>
      <c r="J1310" s="2" t="inlineStr">
        <is>
          <t>Online</t>
        </is>
      </c>
      <c r="K1310" s="2" t="n">
        <v>2</v>
      </c>
      <c r="L1310" s="3" t="n">
        <v>1275.98</v>
      </c>
      <c r="M1310" s="4" t="n">
        <v>0.1</v>
      </c>
      <c r="N1310" s="3" t="n">
        <v>1760.03</v>
      </c>
      <c r="O1310" s="3">
        <f>K1310*L1310*(1-M1310)</f>
        <v/>
      </c>
      <c r="P1310" s="3">
        <f>O1310-N1310</f>
        <v/>
      </c>
      <c r="Q1310" s="5">
        <f>IFERROR(P1310/O1310,0)</f>
        <v/>
      </c>
      <c r="R1310" s="2">
        <f>TEXT(DATEVALUE(B1310),"mmm")</f>
        <v/>
      </c>
      <c r="S1310" s="2">
        <f>TEXT(DATEVALUE(B1310),"yyyy-mm")</f>
        <v/>
      </c>
    </row>
    <row r="1311">
      <c r="A1311" s="2" t="inlineStr">
        <is>
          <t>O002904</t>
        </is>
      </c>
      <c r="B1311" s="2" t="inlineStr">
        <is>
          <t>2025-04-08</t>
        </is>
      </c>
      <c r="C1311" s="2" t="inlineStr">
        <is>
          <t>C0589</t>
        </is>
      </c>
      <c r="D1311" s="2" t="inlineStr">
        <is>
          <t>P0014</t>
        </is>
      </c>
      <c r="E1311" s="2" t="inlineStr">
        <is>
          <t>Coffee Maker</t>
        </is>
      </c>
      <c r="F1311" s="2" t="inlineStr">
        <is>
          <t>Home &amp; Kitchen</t>
        </is>
      </c>
      <c r="G1311" s="2" t="inlineStr">
        <is>
          <t>East</t>
        </is>
      </c>
      <c r="H1311" s="2" t="inlineStr">
        <is>
          <t>Bihar</t>
        </is>
      </c>
      <c r="I1311" s="2" t="inlineStr">
        <is>
          <t>Gaya</t>
        </is>
      </c>
      <c r="J1311" s="2" t="inlineStr">
        <is>
          <t>Store</t>
        </is>
      </c>
      <c r="K1311" s="2" t="n">
        <v>3</v>
      </c>
      <c r="L1311" s="3" t="n">
        <v>1062.65</v>
      </c>
      <c r="M1311" s="4" t="n">
        <v>0.2</v>
      </c>
      <c r="N1311" s="3" t="n">
        <v>2343.58</v>
      </c>
      <c r="O1311" s="3">
        <f>K1311*L1311*(1-M1311)</f>
        <v/>
      </c>
      <c r="P1311" s="3">
        <f>O1311-N1311</f>
        <v/>
      </c>
      <c r="Q1311" s="5">
        <f>IFERROR(P1311/O1311,0)</f>
        <v/>
      </c>
      <c r="R1311" s="2">
        <f>TEXT(DATEVALUE(B1311),"mmm")</f>
        <v/>
      </c>
      <c r="S1311" s="2">
        <f>TEXT(DATEVALUE(B1311),"yyyy-mm")</f>
        <v/>
      </c>
    </row>
    <row r="1312">
      <c r="A1312" s="2" t="inlineStr">
        <is>
          <t>O002094</t>
        </is>
      </c>
      <c r="B1312" s="2" t="inlineStr">
        <is>
          <t>2025-04-08</t>
        </is>
      </c>
      <c r="C1312" s="2" t="inlineStr">
        <is>
          <t>C0584</t>
        </is>
      </c>
      <c r="D1312" s="2" t="inlineStr">
        <is>
          <t>P0014</t>
        </is>
      </c>
      <c r="E1312" s="2" t="inlineStr">
        <is>
          <t>Coffee Maker</t>
        </is>
      </c>
      <c r="F1312" s="2" t="inlineStr">
        <is>
          <t>Home &amp; Kitchen</t>
        </is>
      </c>
      <c r="G1312" s="2" t="inlineStr">
        <is>
          <t>West</t>
        </is>
      </c>
      <c r="H1312" s="2" t="inlineStr">
        <is>
          <t>Gujarat</t>
        </is>
      </c>
      <c r="I1312" s="2" t="inlineStr">
        <is>
          <t>Vadodara</t>
        </is>
      </c>
      <c r="J1312" s="2" t="inlineStr">
        <is>
          <t>Online</t>
        </is>
      </c>
      <c r="K1312" s="2" t="n">
        <v>2</v>
      </c>
      <c r="L1312" s="3" t="n">
        <v>1025.91</v>
      </c>
      <c r="M1312" s="4" t="n">
        <v>0.1</v>
      </c>
      <c r="N1312" s="3" t="n">
        <v>1532.63</v>
      </c>
      <c r="O1312" s="3">
        <f>K1312*L1312*(1-M1312)</f>
        <v/>
      </c>
      <c r="P1312" s="3">
        <f>O1312-N1312</f>
        <v/>
      </c>
      <c r="Q1312" s="5">
        <f>IFERROR(P1312/O1312,0)</f>
        <v/>
      </c>
      <c r="R1312" s="2">
        <f>TEXT(DATEVALUE(B1312),"mmm")</f>
        <v/>
      </c>
      <c r="S1312" s="2">
        <f>TEXT(DATEVALUE(B1312),"yyyy-mm")</f>
        <v/>
      </c>
    </row>
    <row r="1313">
      <c r="A1313" s="2" t="inlineStr">
        <is>
          <t>O001333</t>
        </is>
      </c>
      <c r="B1313" s="2" t="inlineStr">
        <is>
          <t>2025-04-08</t>
        </is>
      </c>
      <c r="C1313" s="2" t="inlineStr">
        <is>
          <t>C0343</t>
        </is>
      </c>
      <c r="D1313" s="2" t="inlineStr">
        <is>
          <t>P0001</t>
        </is>
      </c>
      <c r="E1313" s="2" t="inlineStr">
        <is>
          <t>Wireless Headphones</t>
        </is>
      </c>
      <c r="F1313" s="2" t="inlineStr">
        <is>
          <t>Electronics</t>
        </is>
      </c>
      <c r="G1313" s="2" t="inlineStr">
        <is>
          <t>East</t>
        </is>
      </c>
      <c r="H1313" s="2" t="inlineStr">
        <is>
          <t>West Bengal</t>
        </is>
      </c>
      <c r="I1313" s="2" t="inlineStr">
        <is>
          <t>Durgapur</t>
        </is>
      </c>
      <c r="J1313" s="2" t="inlineStr">
        <is>
          <t>Online</t>
        </is>
      </c>
      <c r="K1313" s="2" t="n">
        <v>3</v>
      </c>
      <c r="L1313" s="3" t="n">
        <v>1300.89</v>
      </c>
      <c r="M1313" s="4" t="n">
        <v>0</v>
      </c>
      <c r="N1313" s="3" t="n">
        <v>2107.44</v>
      </c>
      <c r="O1313" s="3">
        <f>K1313*L1313*(1-M1313)</f>
        <v/>
      </c>
      <c r="P1313" s="3">
        <f>O1313-N1313</f>
        <v/>
      </c>
      <c r="Q1313" s="5">
        <f>IFERROR(P1313/O1313,0)</f>
        <v/>
      </c>
      <c r="R1313" s="2">
        <f>TEXT(DATEVALUE(B1313),"mmm")</f>
        <v/>
      </c>
      <c r="S1313" s="2">
        <f>TEXT(DATEVALUE(B1313),"yyyy-mm")</f>
        <v/>
      </c>
    </row>
    <row r="1314">
      <c r="A1314" s="2" t="inlineStr">
        <is>
          <t>O001479</t>
        </is>
      </c>
      <c r="B1314" s="2" t="inlineStr">
        <is>
          <t>2025-04-08</t>
        </is>
      </c>
      <c r="C1314" s="2" t="inlineStr">
        <is>
          <t>C0226</t>
        </is>
      </c>
      <c r="D1314" s="2" t="inlineStr">
        <is>
          <t>P0031</t>
        </is>
      </c>
      <c r="E1314" s="2" t="inlineStr">
        <is>
          <t>Cricket Bat</t>
        </is>
      </c>
      <c r="F1314" s="2" t="inlineStr">
        <is>
          <t>Sports</t>
        </is>
      </c>
      <c r="G1314" s="2" t="inlineStr">
        <is>
          <t>West</t>
        </is>
      </c>
      <c r="H1314" s="2" t="inlineStr">
        <is>
          <t>Goa</t>
        </is>
      </c>
      <c r="I1314" s="2" t="inlineStr">
        <is>
          <t>Panaji</t>
        </is>
      </c>
      <c r="J1314" s="2" t="inlineStr">
        <is>
          <t>Online</t>
        </is>
      </c>
      <c r="K1314" s="2" t="n">
        <v>6</v>
      </c>
      <c r="L1314" s="3" t="n">
        <v>1384.63</v>
      </c>
      <c r="M1314" s="4" t="n">
        <v>0.25</v>
      </c>
      <c r="N1314" s="3" t="n">
        <v>5562.09</v>
      </c>
      <c r="O1314" s="3">
        <f>K1314*L1314*(1-M1314)</f>
        <v/>
      </c>
      <c r="P1314" s="3">
        <f>O1314-N1314</f>
        <v/>
      </c>
      <c r="Q1314" s="5">
        <f>IFERROR(P1314/O1314,0)</f>
        <v/>
      </c>
      <c r="R1314" s="2">
        <f>TEXT(DATEVALUE(B1314),"mmm")</f>
        <v/>
      </c>
      <c r="S1314" s="2">
        <f>TEXT(DATEVALUE(B1314),"yyyy-mm")</f>
        <v/>
      </c>
    </row>
    <row r="1315">
      <c r="A1315" s="2" t="inlineStr">
        <is>
          <t>O001388</t>
        </is>
      </c>
      <c r="B1315" s="2" t="inlineStr">
        <is>
          <t>2025-04-08</t>
        </is>
      </c>
      <c r="C1315" s="2" t="inlineStr">
        <is>
          <t>C0183</t>
        </is>
      </c>
      <c r="D1315" s="2" t="inlineStr">
        <is>
          <t>P0019</t>
        </is>
      </c>
      <c r="E1315" s="2" t="inlineStr">
        <is>
          <t>Jacket</t>
        </is>
      </c>
      <c r="F1315" s="2" t="inlineStr">
        <is>
          <t>Fashion</t>
        </is>
      </c>
      <c r="G1315" s="2" t="inlineStr">
        <is>
          <t>East</t>
        </is>
      </c>
      <c r="H1315" s="2" t="inlineStr">
        <is>
          <t>West Bengal</t>
        </is>
      </c>
      <c r="I1315" s="2" t="inlineStr">
        <is>
          <t>Kolkata</t>
        </is>
      </c>
      <c r="J1315" s="2" t="inlineStr">
        <is>
          <t>Store</t>
        </is>
      </c>
      <c r="K1315" s="2" t="n">
        <v>1</v>
      </c>
      <c r="L1315" s="3" t="n">
        <v>1016.14</v>
      </c>
      <c r="M1315" s="4" t="n">
        <v>0.05</v>
      </c>
      <c r="N1315" s="3" t="n">
        <v>685.5</v>
      </c>
      <c r="O1315" s="3">
        <f>K1315*L1315*(1-M1315)</f>
        <v/>
      </c>
      <c r="P1315" s="3">
        <f>O1315-N1315</f>
        <v/>
      </c>
      <c r="Q1315" s="5">
        <f>IFERROR(P1315/O1315,0)</f>
        <v/>
      </c>
      <c r="R1315" s="2">
        <f>TEXT(DATEVALUE(B1315),"mmm")</f>
        <v/>
      </c>
      <c r="S1315" s="2">
        <f>TEXT(DATEVALUE(B1315),"yyyy-mm")</f>
        <v/>
      </c>
    </row>
    <row r="1316">
      <c r="A1316" s="2" t="inlineStr">
        <is>
          <t>O001359</t>
        </is>
      </c>
      <c r="B1316" s="2" t="inlineStr">
        <is>
          <t>2025-04-08</t>
        </is>
      </c>
      <c r="C1316" s="2" t="inlineStr">
        <is>
          <t>C0486</t>
        </is>
      </c>
      <c r="D1316" s="2" t="inlineStr">
        <is>
          <t>P0028</t>
        </is>
      </c>
      <c r="E1316" s="2" t="inlineStr">
        <is>
          <t>Trimmer</t>
        </is>
      </c>
      <c r="F1316" s="2" t="inlineStr">
        <is>
          <t>Beauty</t>
        </is>
      </c>
      <c r="G1316" s="2" t="inlineStr">
        <is>
          <t>North</t>
        </is>
      </c>
      <c r="H1316" s="2" t="inlineStr">
        <is>
          <t>Haryana</t>
        </is>
      </c>
      <c r="I1316" s="2" t="inlineStr">
        <is>
          <t>Gurugram</t>
        </is>
      </c>
      <c r="J1316" s="2" t="inlineStr">
        <is>
          <t>Store</t>
        </is>
      </c>
      <c r="K1316" s="2" t="n">
        <v>3</v>
      </c>
      <c r="L1316" s="3" t="n">
        <v>443.45</v>
      </c>
      <c r="M1316" s="4" t="n">
        <v>0.05</v>
      </c>
      <c r="N1316" s="3" t="n">
        <v>770.99</v>
      </c>
      <c r="O1316" s="3">
        <f>K1316*L1316*(1-M1316)</f>
        <v/>
      </c>
      <c r="P1316" s="3">
        <f>O1316-N1316</f>
        <v/>
      </c>
      <c r="Q1316" s="5">
        <f>IFERROR(P1316/O1316,0)</f>
        <v/>
      </c>
      <c r="R1316" s="2">
        <f>TEXT(DATEVALUE(B1316),"mmm")</f>
        <v/>
      </c>
      <c r="S1316" s="2">
        <f>TEXT(DATEVALUE(B1316),"yyyy-mm")</f>
        <v/>
      </c>
    </row>
    <row r="1317">
      <c r="A1317" s="2" t="inlineStr">
        <is>
          <t>O000793</t>
        </is>
      </c>
      <c r="B1317" s="2" t="inlineStr">
        <is>
          <t>2025-04-08</t>
        </is>
      </c>
      <c r="C1317" s="2" t="inlineStr">
        <is>
          <t>C0506</t>
        </is>
      </c>
      <c r="D1317" s="2" t="inlineStr">
        <is>
          <t>P0035</t>
        </is>
      </c>
      <c r="E1317" s="2" t="inlineStr">
        <is>
          <t>Skipping Rope</t>
        </is>
      </c>
      <c r="F1317" s="2" t="inlineStr">
        <is>
          <t>Sports</t>
        </is>
      </c>
      <c r="G1317" s="2" t="inlineStr">
        <is>
          <t>West</t>
        </is>
      </c>
      <c r="H1317" s="2" t="inlineStr">
        <is>
          <t>Gujarat</t>
        </is>
      </c>
      <c r="I1317" s="2" t="inlineStr">
        <is>
          <t>Surat</t>
        </is>
      </c>
      <c r="J1317" s="2" t="inlineStr">
        <is>
          <t>Online</t>
        </is>
      </c>
      <c r="K1317" s="2" t="n">
        <v>1</v>
      </c>
      <c r="L1317" s="3" t="n">
        <v>688.53</v>
      </c>
      <c r="M1317" s="4" t="n">
        <v>0.15</v>
      </c>
      <c r="N1317" s="3" t="n">
        <v>420.97</v>
      </c>
      <c r="O1317" s="3">
        <f>K1317*L1317*(1-M1317)</f>
        <v/>
      </c>
      <c r="P1317" s="3">
        <f>O1317-N1317</f>
        <v/>
      </c>
      <c r="Q1317" s="5">
        <f>IFERROR(P1317/O1317,0)</f>
        <v/>
      </c>
      <c r="R1317" s="2">
        <f>TEXT(DATEVALUE(B1317),"mmm")</f>
        <v/>
      </c>
      <c r="S1317" s="2">
        <f>TEXT(DATEVALUE(B1317),"yyyy-mm")</f>
        <v/>
      </c>
    </row>
    <row r="1318">
      <c r="A1318" s="2" t="inlineStr">
        <is>
          <t>O000738</t>
        </is>
      </c>
      <c r="B1318" s="2" t="inlineStr">
        <is>
          <t>2025-04-08</t>
        </is>
      </c>
      <c r="C1318" s="2" t="inlineStr">
        <is>
          <t>C0350</t>
        </is>
      </c>
      <c r="D1318" s="2" t="inlineStr">
        <is>
          <t>P0018</t>
        </is>
      </c>
      <c r="E1318" s="2" t="inlineStr">
        <is>
          <t>Backpack</t>
        </is>
      </c>
      <c r="F1318" s="2" t="inlineStr">
        <is>
          <t>Fashion</t>
        </is>
      </c>
      <c r="G1318" s="2" t="inlineStr">
        <is>
          <t>North</t>
        </is>
      </c>
      <c r="H1318" s="2" t="inlineStr">
        <is>
          <t>Punjab</t>
        </is>
      </c>
      <c r="I1318" s="2" t="inlineStr">
        <is>
          <t>Ludhiana</t>
        </is>
      </c>
      <c r="J1318" s="2" t="inlineStr">
        <is>
          <t>Store</t>
        </is>
      </c>
      <c r="K1318" s="2" t="n">
        <v>5</v>
      </c>
      <c r="L1318" s="3" t="n">
        <v>1839</v>
      </c>
      <c r="M1318" s="4" t="n">
        <v>0.2</v>
      </c>
      <c r="N1318" s="3" t="n">
        <v>6662.6</v>
      </c>
      <c r="O1318" s="3">
        <f>K1318*L1318*(1-M1318)</f>
        <v/>
      </c>
      <c r="P1318" s="3">
        <f>O1318-N1318</f>
        <v/>
      </c>
      <c r="Q1318" s="5">
        <f>IFERROR(P1318/O1318,0)</f>
        <v/>
      </c>
      <c r="R1318" s="2">
        <f>TEXT(DATEVALUE(B1318),"mmm")</f>
        <v/>
      </c>
      <c r="S1318" s="2">
        <f>TEXT(DATEVALUE(B1318),"yyyy-mm")</f>
        <v/>
      </c>
    </row>
    <row r="1319">
      <c r="A1319" s="2" t="inlineStr">
        <is>
          <t>O000230</t>
        </is>
      </c>
      <c r="B1319" s="2" t="inlineStr">
        <is>
          <t>2025-04-08</t>
        </is>
      </c>
      <c r="C1319" s="2" t="inlineStr">
        <is>
          <t>C0060</t>
        </is>
      </c>
      <c r="D1319" s="2" t="inlineStr">
        <is>
          <t>P0013</t>
        </is>
      </c>
      <c r="E1319" s="2" t="inlineStr">
        <is>
          <t>Storage Organizer</t>
        </is>
      </c>
      <c r="F1319" s="2" t="inlineStr">
        <is>
          <t>Home &amp; Kitchen</t>
        </is>
      </c>
      <c r="G1319" s="2" t="inlineStr">
        <is>
          <t>West</t>
        </is>
      </c>
      <c r="H1319" s="2" t="inlineStr">
        <is>
          <t>Goa</t>
        </is>
      </c>
      <c r="I1319" s="2" t="inlineStr">
        <is>
          <t>Margao</t>
        </is>
      </c>
      <c r="J1319" s="2" t="inlineStr">
        <is>
          <t>Online</t>
        </is>
      </c>
      <c r="K1319" s="2" t="n">
        <v>3</v>
      </c>
      <c r="L1319" s="3" t="n">
        <v>552.34</v>
      </c>
      <c r="M1319" s="4" t="n">
        <v>0.05</v>
      </c>
      <c r="N1319" s="3" t="n">
        <v>1049.42</v>
      </c>
      <c r="O1319" s="3">
        <f>K1319*L1319*(1-M1319)</f>
        <v/>
      </c>
      <c r="P1319" s="3">
        <f>O1319-N1319</f>
        <v/>
      </c>
      <c r="Q1319" s="5">
        <f>IFERROR(P1319/O1319,0)</f>
        <v/>
      </c>
      <c r="R1319" s="2">
        <f>TEXT(DATEVALUE(B1319),"mmm")</f>
        <v/>
      </c>
      <c r="S1319" s="2">
        <f>TEXT(DATEVALUE(B1319),"yyyy-mm")</f>
        <v/>
      </c>
    </row>
    <row r="1320">
      <c r="A1320" s="2" t="inlineStr">
        <is>
          <t>O001587</t>
        </is>
      </c>
      <c r="B1320" s="2" t="inlineStr">
        <is>
          <t>2025-04-08</t>
        </is>
      </c>
      <c r="C1320" s="2" t="inlineStr">
        <is>
          <t>C0769</t>
        </is>
      </c>
      <c r="D1320" s="2" t="inlineStr">
        <is>
          <t>P0022</t>
        </is>
      </c>
      <c r="E1320" s="2" t="inlineStr">
        <is>
          <t>Face Wash</t>
        </is>
      </c>
      <c r="F1320" s="2" t="inlineStr">
        <is>
          <t>Beauty</t>
        </is>
      </c>
      <c r="G1320" s="2" t="inlineStr">
        <is>
          <t>East</t>
        </is>
      </c>
      <c r="H1320" s="2" t="inlineStr">
        <is>
          <t>Bihar</t>
        </is>
      </c>
      <c r="I1320" s="2" t="inlineStr">
        <is>
          <t>Gaya</t>
        </is>
      </c>
      <c r="J1320" s="2" t="inlineStr">
        <is>
          <t>Online</t>
        </is>
      </c>
      <c r="K1320" s="2" t="n">
        <v>1</v>
      </c>
      <c r="L1320" s="3" t="n">
        <v>537.1</v>
      </c>
      <c r="M1320" s="4" t="n">
        <v>0.05</v>
      </c>
      <c r="N1320" s="3" t="n">
        <v>340.78</v>
      </c>
      <c r="O1320" s="3">
        <f>K1320*L1320*(1-M1320)</f>
        <v/>
      </c>
      <c r="P1320" s="3">
        <f>O1320-N1320</f>
        <v/>
      </c>
      <c r="Q1320" s="5">
        <f>IFERROR(P1320/O1320,0)</f>
        <v/>
      </c>
      <c r="R1320" s="2">
        <f>TEXT(DATEVALUE(B1320),"mmm")</f>
        <v/>
      </c>
      <c r="S1320" s="2">
        <f>TEXT(DATEVALUE(B1320),"yyyy-mm")</f>
        <v/>
      </c>
    </row>
    <row r="1321">
      <c r="A1321" s="2" t="inlineStr">
        <is>
          <t>O001725</t>
        </is>
      </c>
      <c r="B1321" s="2" t="inlineStr">
        <is>
          <t>2025-04-09</t>
        </is>
      </c>
      <c r="C1321" s="2" t="inlineStr">
        <is>
          <t>C0712</t>
        </is>
      </c>
      <c r="D1321" s="2" t="inlineStr">
        <is>
          <t>P0012</t>
        </is>
      </c>
      <c r="E1321" s="2" t="inlineStr">
        <is>
          <t>Water Bottle</t>
        </is>
      </c>
      <c r="F1321" s="2" t="inlineStr">
        <is>
          <t>Home &amp; Kitchen</t>
        </is>
      </c>
      <c r="G1321" s="2" t="inlineStr">
        <is>
          <t>North</t>
        </is>
      </c>
      <c r="H1321" s="2" t="inlineStr">
        <is>
          <t>Haryana</t>
        </is>
      </c>
      <c r="I1321" s="2" t="inlineStr">
        <is>
          <t>Gurugram</t>
        </is>
      </c>
      <c r="J1321" s="2" t="inlineStr">
        <is>
          <t>Store</t>
        </is>
      </c>
      <c r="K1321" s="2" t="n">
        <v>1</v>
      </c>
      <c r="L1321" s="3" t="n">
        <v>944.3099999999999</v>
      </c>
      <c r="M1321" s="4" t="n">
        <v>0.1</v>
      </c>
      <c r="N1321" s="3" t="n">
        <v>632.15</v>
      </c>
      <c r="O1321" s="3">
        <f>K1321*L1321*(1-M1321)</f>
        <v/>
      </c>
      <c r="P1321" s="3">
        <f>O1321-N1321</f>
        <v/>
      </c>
      <c r="Q1321" s="5">
        <f>IFERROR(P1321/O1321,0)</f>
        <v/>
      </c>
      <c r="R1321" s="2">
        <f>TEXT(DATEVALUE(B1321),"mmm")</f>
        <v/>
      </c>
      <c r="S1321" s="2">
        <f>TEXT(DATEVALUE(B1321),"yyyy-mm")</f>
        <v/>
      </c>
    </row>
    <row r="1322">
      <c r="A1322" s="2" t="inlineStr">
        <is>
          <t>O004071</t>
        </is>
      </c>
      <c r="B1322" s="2" t="inlineStr">
        <is>
          <t>2025-04-09</t>
        </is>
      </c>
      <c r="C1322" s="2" t="inlineStr">
        <is>
          <t>C0043</t>
        </is>
      </c>
      <c r="D1322" s="2" t="inlineStr">
        <is>
          <t>P0007</t>
        </is>
      </c>
      <c r="E1322" s="2" t="inlineStr">
        <is>
          <t>Wireless Mouse</t>
        </is>
      </c>
      <c r="F1322" s="2" t="inlineStr">
        <is>
          <t>Electronics</t>
        </is>
      </c>
      <c r="G1322" s="2" t="inlineStr">
        <is>
          <t>West</t>
        </is>
      </c>
      <c r="H1322" s="2" t="inlineStr">
        <is>
          <t>Goa</t>
        </is>
      </c>
      <c r="I1322" s="2" t="inlineStr">
        <is>
          <t>Panaji</t>
        </is>
      </c>
      <c r="J1322" s="2" t="inlineStr">
        <is>
          <t>Store</t>
        </is>
      </c>
      <c r="K1322" s="2" t="n">
        <v>4</v>
      </c>
      <c r="L1322" s="3" t="n">
        <v>992.28</v>
      </c>
      <c r="M1322" s="4" t="n">
        <v>0.1</v>
      </c>
      <c r="N1322" s="3" t="n">
        <v>2559.16</v>
      </c>
      <c r="O1322" s="3">
        <f>K1322*L1322*(1-M1322)</f>
        <v/>
      </c>
      <c r="P1322" s="3">
        <f>O1322-N1322</f>
        <v/>
      </c>
      <c r="Q1322" s="5">
        <f>IFERROR(P1322/O1322,0)</f>
        <v/>
      </c>
      <c r="R1322" s="2">
        <f>TEXT(DATEVALUE(B1322),"mmm")</f>
        <v/>
      </c>
      <c r="S1322" s="2">
        <f>TEXT(DATEVALUE(B1322),"yyyy-mm")</f>
        <v/>
      </c>
    </row>
    <row r="1323">
      <c r="A1323" s="2" t="inlineStr">
        <is>
          <t>O004033</t>
        </is>
      </c>
      <c r="B1323" s="2" t="inlineStr">
        <is>
          <t>2025-04-09</t>
        </is>
      </c>
      <c r="C1323" s="2" t="inlineStr">
        <is>
          <t>C0776</t>
        </is>
      </c>
      <c r="D1323" s="2" t="inlineStr">
        <is>
          <t>P0004</t>
        </is>
      </c>
      <c r="E1323" s="2" t="inlineStr">
        <is>
          <t>USB-C Hub</t>
        </is>
      </c>
      <c r="F1323" s="2" t="inlineStr">
        <is>
          <t>Electronics</t>
        </is>
      </c>
      <c r="G1323" s="2" t="inlineStr">
        <is>
          <t>South</t>
        </is>
      </c>
      <c r="H1323" s="2" t="inlineStr">
        <is>
          <t>Telangana</t>
        </is>
      </c>
      <c r="I1323" s="2" t="inlineStr">
        <is>
          <t>Hyderabad</t>
        </is>
      </c>
      <c r="J1323" s="2" t="inlineStr">
        <is>
          <t>Online</t>
        </is>
      </c>
      <c r="K1323" s="2" t="n">
        <v>2</v>
      </c>
      <c r="L1323" s="3" t="n">
        <v>1314.81</v>
      </c>
      <c r="M1323" s="4" t="n">
        <v>0.1</v>
      </c>
      <c r="N1323" s="3" t="n">
        <v>1818.64</v>
      </c>
      <c r="O1323" s="3">
        <f>K1323*L1323*(1-M1323)</f>
        <v/>
      </c>
      <c r="P1323" s="3">
        <f>O1323-N1323</f>
        <v/>
      </c>
      <c r="Q1323" s="5">
        <f>IFERROR(P1323/O1323,0)</f>
        <v/>
      </c>
      <c r="R1323" s="2">
        <f>TEXT(DATEVALUE(B1323),"mmm")</f>
        <v/>
      </c>
      <c r="S1323" s="2">
        <f>TEXT(DATEVALUE(B1323),"yyyy-mm")</f>
        <v/>
      </c>
    </row>
    <row r="1324">
      <c r="A1324" s="2" t="inlineStr">
        <is>
          <t>O003465</t>
        </is>
      </c>
      <c r="B1324" s="2" t="inlineStr">
        <is>
          <t>2025-04-09</t>
        </is>
      </c>
      <c r="C1324" s="2" t="inlineStr">
        <is>
          <t>C0046</t>
        </is>
      </c>
      <c r="D1324" s="2" t="inlineStr">
        <is>
          <t>P0022</t>
        </is>
      </c>
      <c r="E1324" s="2" t="inlineStr">
        <is>
          <t>Face Wash</t>
        </is>
      </c>
      <c r="F1324" s="2" t="inlineStr">
        <is>
          <t>Beauty</t>
        </is>
      </c>
      <c r="G1324" s="2" t="inlineStr">
        <is>
          <t>West</t>
        </is>
      </c>
      <c r="H1324" s="2" t="inlineStr">
        <is>
          <t>Goa</t>
        </is>
      </c>
      <c r="I1324" s="2" t="inlineStr">
        <is>
          <t>Margao</t>
        </is>
      </c>
      <c r="J1324" s="2" t="inlineStr">
        <is>
          <t>Online</t>
        </is>
      </c>
      <c r="K1324" s="2" t="n">
        <v>4</v>
      </c>
      <c r="L1324" s="3" t="n">
        <v>564.03</v>
      </c>
      <c r="M1324" s="4" t="n">
        <v>0.15</v>
      </c>
      <c r="N1324" s="3" t="n">
        <v>1387.1</v>
      </c>
      <c r="O1324" s="3">
        <f>K1324*L1324*(1-M1324)</f>
        <v/>
      </c>
      <c r="P1324" s="3">
        <f>O1324-N1324</f>
        <v/>
      </c>
      <c r="Q1324" s="5">
        <f>IFERROR(P1324/O1324,0)</f>
        <v/>
      </c>
      <c r="R1324" s="2">
        <f>TEXT(DATEVALUE(B1324),"mmm")</f>
        <v/>
      </c>
      <c r="S1324" s="2">
        <f>TEXT(DATEVALUE(B1324),"yyyy-mm")</f>
        <v/>
      </c>
    </row>
    <row r="1325">
      <c r="A1325" s="2" t="inlineStr">
        <is>
          <t>O003355</t>
        </is>
      </c>
      <c r="B1325" s="2" t="inlineStr">
        <is>
          <t>2025-04-09</t>
        </is>
      </c>
      <c r="C1325" s="2" t="inlineStr">
        <is>
          <t>C0668</t>
        </is>
      </c>
      <c r="D1325" s="2" t="inlineStr">
        <is>
          <t>P0002</t>
        </is>
      </c>
      <c r="E1325" s="2" t="inlineStr">
        <is>
          <t>Bluetooth Speaker</t>
        </is>
      </c>
      <c r="F1325" s="2" t="inlineStr">
        <is>
          <t>Electronics</t>
        </is>
      </c>
      <c r="G1325" s="2" t="inlineStr">
        <is>
          <t>South</t>
        </is>
      </c>
      <c r="H1325" s="2" t="inlineStr">
        <is>
          <t>Kerala</t>
        </is>
      </c>
      <c r="I1325" s="2" t="inlineStr">
        <is>
          <t>Thiruvananthapuram</t>
        </is>
      </c>
      <c r="J1325" s="2" t="inlineStr">
        <is>
          <t>Store</t>
        </is>
      </c>
      <c r="K1325" s="2" t="n">
        <v>1</v>
      </c>
      <c r="L1325" s="3" t="n">
        <v>1376.05</v>
      </c>
      <c r="M1325" s="4" t="n">
        <v>0.1</v>
      </c>
      <c r="N1325" s="3" t="n">
        <v>826.73</v>
      </c>
      <c r="O1325" s="3">
        <f>K1325*L1325*(1-M1325)</f>
        <v/>
      </c>
      <c r="P1325" s="3">
        <f>O1325-N1325</f>
        <v/>
      </c>
      <c r="Q1325" s="5">
        <f>IFERROR(P1325/O1325,0)</f>
        <v/>
      </c>
      <c r="R1325" s="2">
        <f>TEXT(DATEVALUE(B1325),"mmm")</f>
        <v/>
      </c>
      <c r="S1325" s="2">
        <f>TEXT(DATEVALUE(B1325),"yyyy-mm")</f>
        <v/>
      </c>
    </row>
    <row r="1326">
      <c r="A1326" s="2" t="inlineStr">
        <is>
          <t>O002927</t>
        </is>
      </c>
      <c r="B1326" s="2" t="inlineStr">
        <is>
          <t>2025-04-09</t>
        </is>
      </c>
      <c r="C1326" s="2" t="inlineStr">
        <is>
          <t>C0064</t>
        </is>
      </c>
      <c r="D1326" s="2" t="inlineStr">
        <is>
          <t>P0004</t>
        </is>
      </c>
      <c r="E1326" s="2" t="inlineStr">
        <is>
          <t>USB-C Hub</t>
        </is>
      </c>
      <c r="F1326" s="2" t="inlineStr">
        <is>
          <t>Electronics</t>
        </is>
      </c>
      <c r="G1326" s="2" t="inlineStr">
        <is>
          <t>West</t>
        </is>
      </c>
      <c r="H1326" s="2" t="inlineStr">
        <is>
          <t>Gujarat</t>
        </is>
      </c>
      <c r="I1326" s="2" t="inlineStr">
        <is>
          <t>Surat</t>
        </is>
      </c>
      <c r="J1326" s="2" t="inlineStr">
        <is>
          <t>Store</t>
        </is>
      </c>
      <c r="K1326" s="2" t="n">
        <v>3</v>
      </c>
      <c r="L1326" s="3" t="n">
        <v>1299.41</v>
      </c>
      <c r="M1326" s="4" t="n">
        <v>0.1</v>
      </c>
      <c r="N1326" s="3" t="n">
        <v>2759.55</v>
      </c>
      <c r="O1326" s="3">
        <f>K1326*L1326*(1-M1326)</f>
        <v/>
      </c>
      <c r="P1326" s="3">
        <f>O1326-N1326</f>
        <v/>
      </c>
      <c r="Q1326" s="5">
        <f>IFERROR(P1326/O1326,0)</f>
        <v/>
      </c>
      <c r="R1326" s="2">
        <f>TEXT(DATEVALUE(B1326),"mmm")</f>
        <v/>
      </c>
      <c r="S1326" s="2">
        <f>TEXT(DATEVALUE(B1326),"yyyy-mm")</f>
        <v/>
      </c>
    </row>
    <row r="1327">
      <c r="A1327" s="2" t="inlineStr">
        <is>
          <t>O002441</t>
        </is>
      </c>
      <c r="B1327" s="2" t="inlineStr">
        <is>
          <t>2025-04-09</t>
        </is>
      </c>
      <c r="C1327" s="2" t="inlineStr">
        <is>
          <t>C0202</t>
        </is>
      </c>
      <c r="D1327" s="2" t="inlineStr">
        <is>
          <t>P0024</t>
        </is>
      </c>
      <c r="E1327" s="2" t="inlineStr">
        <is>
          <t>Hair Dryer</t>
        </is>
      </c>
      <c r="F1327" s="2" t="inlineStr">
        <is>
          <t>Beauty</t>
        </is>
      </c>
      <c r="G1327" s="2" t="inlineStr">
        <is>
          <t>East</t>
        </is>
      </c>
      <c r="H1327" s="2" t="inlineStr">
        <is>
          <t>West Bengal</t>
        </is>
      </c>
      <c r="I1327" s="2" t="inlineStr">
        <is>
          <t>Kolkata</t>
        </is>
      </c>
      <c r="J1327" s="2" t="inlineStr">
        <is>
          <t>Store</t>
        </is>
      </c>
      <c r="K1327" s="2" t="n">
        <v>3</v>
      </c>
      <c r="L1327" s="3" t="n">
        <v>1017.18</v>
      </c>
      <c r="M1327" s="4" t="n">
        <v>0.05</v>
      </c>
      <c r="N1327" s="3" t="n">
        <v>2238.01</v>
      </c>
      <c r="O1327" s="3">
        <f>K1327*L1327*(1-M1327)</f>
        <v/>
      </c>
      <c r="P1327" s="3">
        <f>O1327-N1327</f>
        <v/>
      </c>
      <c r="Q1327" s="5">
        <f>IFERROR(P1327/O1327,0)</f>
        <v/>
      </c>
      <c r="R1327" s="2">
        <f>TEXT(DATEVALUE(B1327),"mmm")</f>
        <v/>
      </c>
      <c r="S1327" s="2">
        <f>TEXT(DATEVALUE(B1327),"yyyy-mm")</f>
        <v/>
      </c>
    </row>
    <row r="1328">
      <c r="A1328" s="2" t="inlineStr">
        <is>
          <t>O001569</t>
        </is>
      </c>
      <c r="B1328" s="2" t="inlineStr">
        <is>
          <t>2025-04-09</t>
        </is>
      </c>
      <c r="C1328" s="2" t="inlineStr">
        <is>
          <t>C0568</t>
        </is>
      </c>
      <c r="D1328" s="2" t="inlineStr">
        <is>
          <t>P0012</t>
        </is>
      </c>
      <c r="E1328" s="2" t="inlineStr">
        <is>
          <t>Water Bottle</t>
        </is>
      </c>
      <c r="F1328" s="2" t="inlineStr">
        <is>
          <t>Home &amp; Kitchen</t>
        </is>
      </c>
      <c r="G1328" s="2" t="inlineStr">
        <is>
          <t>East</t>
        </is>
      </c>
      <c r="H1328" s="2" t="inlineStr">
        <is>
          <t>Bihar</t>
        </is>
      </c>
      <c r="I1328" s="2" t="inlineStr">
        <is>
          <t>Patna</t>
        </is>
      </c>
      <c r="J1328" s="2" t="inlineStr">
        <is>
          <t>Online</t>
        </is>
      </c>
      <c r="K1328" s="2" t="n">
        <v>1</v>
      </c>
      <c r="L1328" s="3" t="n">
        <v>964.1799999999999</v>
      </c>
      <c r="M1328" s="4" t="n">
        <v>0</v>
      </c>
      <c r="N1328" s="3" t="n">
        <v>644.53</v>
      </c>
      <c r="O1328" s="3">
        <f>K1328*L1328*(1-M1328)</f>
        <v/>
      </c>
      <c r="P1328" s="3">
        <f>O1328-N1328</f>
        <v/>
      </c>
      <c r="Q1328" s="5">
        <f>IFERROR(P1328/O1328,0)</f>
        <v/>
      </c>
      <c r="R1328" s="2">
        <f>TEXT(DATEVALUE(B1328),"mmm")</f>
        <v/>
      </c>
      <c r="S1328" s="2">
        <f>TEXT(DATEVALUE(B1328),"yyyy-mm")</f>
        <v/>
      </c>
    </row>
    <row r="1329">
      <c r="A1329" s="2" t="inlineStr">
        <is>
          <t>O000740</t>
        </is>
      </c>
      <c r="B1329" s="2" t="inlineStr">
        <is>
          <t>2025-04-09</t>
        </is>
      </c>
      <c r="C1329" s="2" t="inlineStr">
        <is>
          <t>C0311</t>
        </is>
      </c>
      <c r="D1329" s="2" t="inlineStr">
        <is>
          <t>P0017</t>
        </is>
      </c>
      <c r="E1329" s="2" t="inlineStr">
        <is>
          <t>Jeans</t>
        </is>
      </c>
      <c r="F1329" s="2" t="inlineStr">
        <is>
          <t>Fashion</t>
        </is>
      </c>
      <c r="G1329" s="2" t="inlineStr">
        <is>
          <t>East</t>
        </is>
      </c>
      <c r="H1329" s="2" t="inlineStr">
        <is>
          <t>Bihar</t>
        </is>
      </c>
      <c r="I1329" s="2" t="inlineStr">
        <is>
          <t>Patna</t>
        </is>
      </c>
      <c r="J1329" s="2" t="inlineStr">
        <is>
          <t>Store</t>
        </is>
      </c>
      <c r="K1329" s="2" t="n">
        <v>1</v>
      </c>
      <c r="L1329" s="3" t="n">
        <v>1448.35</v>
      </c>
      <c r="M1329" s="4" t="n">
        <v>0.2</v>
      </c>
      <c r="N1329" s="3" t="n">
        <v>1023.79</v>
      </c>
      <c r="O1329" s="3">
        <f>K1329*L1329*(1-M1329)</f>
        <v/>
      </c>
      <c r="P1329" s="3">
        <f>O1329-N1329</f>
        <v/>
      </c>
      <c r="Q1329" s="5">
        <f>IFERROR(P1329/O1329,0)</f>
        <v/>
      </c>
      <c r="R1329" s="2">
        <f>TEXT(DATEVALUE(B1329),"mmm")</f>
        <v/>
      </c>
      <c r="S1329" s="2">
        <f>TEXT(DATEVALUE(B1329),"yyyy-mm")</f>
        <v/>
      </c>
    </row>
    <row r="1330">
      <c r="A1330" s="2" t="inlineStr">
        <is>
          <t>O000580</t>
        </is>
      </c>
      <c r="B1330" s="2" t="inlineStr">
        <is>
          <t>2025-04-09</t>
        </is>
      </c>
      <c r="C1330" s="2" t="inlineStr">
        <is>
          <t>C0523</t>
        </is>
      </c>
      <c r="D1330" s="2" t="inlineStr">
        <is>
          <t>P0022</t>
        </is>
      </c>
      <c r="E1330" s="2" t="inlineStr">
        <is>
          <t>Face Wash</t>
        </is>
      </c>
      <c r="F1330" s="2" t="inlineStr">
        <is>
          <t>Beauty</t>
        </is>
      </c>
      <c r="G1330" s="2" t="inlineStr">
        <is>
          <t>East</t>
        </is>
      </c>
      <c r="H1330" s="2" t="inlineStr">
        <is>
          <t>Bihar</t>
        </is>
      </c>
      <c r="I1330" s="2" t="inlineStr">
        <is>
          <t>Gaya</t>
        </is>
      </c>
      <c r="J1330" s="2" t="inlineStr">
        <is>
          <t>Store</t>
        </is>
      </c>
      <c r="K1330" s="2" t="n">
        <v>2</v>
      </c>
      <c r="L1330" s="3" t="n">
        <v>535.21</v>
      </c>
      <c r="M1330" s="4" t="n">
        <v>0.1</v>
      </c>
      <c r="N1330" s="3" t="n">
        <v>706.6</v>
      </c>
      <c r="O1330" s="3">
        <f>K1330*L1330*(1-M1330)</f>
        <v/>
      </c>
      <c r="P1330" s="3">
        <f>O1330-N1330</f>
        <v/>
      </c>
      <c r="Q1330" s="5">
        <f>IFERROR(P1330/O1330,0)</f>
        <v/>
      </c>
      <c r="R1330" s="2">
        <f>TEXT(DATEVALUE(B1330),"mmm")</f>
        <v/>
      </c>
      <c r="S1330" s="2">
        <f>TEXT(DATEVALUE(B1330),"yyyy-mm")</f>
        <v/>
      </c>
    </row>
    <row r="1331">
      <c r="A1331" s="2" t="inlineStr">
        <is>
          <t>O000545</t>
        </is>
      </c>
      <c r="B1331" s="2" t="inlineStr">
        <is>
          <t>2025-04-09</t>
        </is>
      </c>
      <c r="C1331" s="2" t="inlineStr">
        <is>
          <t>C0003</t>
        </is>
      </c>
      <c r="D1331" s="2" t="inlineStr">
        <is>
          <t>P0023</t>
        </is>
      </c>
      <c r="E1331" s="2" t="inlineStr">
        <is>
          <t>Skin Care Kit</t>
        </is>
      </c>
      <c r="F1331" s="2" t="inlineStr">
        <is>
          <t>Beauty</t>
        </is>
      </c>
      <c r="G1331" s="2" t="inlineStr">
        <is>
          <t>East</t>
        </is>
      </c>
      <c r="H1331" s="2" t="inlineStr">
        <is>
          <t>West Bengal</t>
        </is>
      </c>
      <c r="I1331" s="2" t="inlineStr">
        <is>
          <t>Durgapur</t>
        </is>
      </c>
      <c r="J1331" s="2" t="inlineStr">
        <is>
          <t>Online</t>
        </is>
      </c>
      <c r="K1331" s="2" t="n">
        <v>2</v>
      </c>
      <c r="L1331" s="3" t="n">
        <v>1394.57</v>
      </c>
      <c r="M1331" s="4" t="n">
        <v>0.1</v>
      </c>
      <c r="N1331" s="3" t="n">
        <v>1779.66</v>
      </c>
      <c r="O1331" s="3">
        <f>K1331*L1331*(1-M1331)</f>
        <v/>
      </c>
      <c r="P1331" s="3">
        <f>O1331-N1331</f>
        <v/>
      </c>
      <c r="Q1331" s="5">
        <f>IFERROR(P1331/O1331,0)</f>
        <v/>
      </c>
      <c r="R1331" s="2">
        <f>TEXT(DATEVALUE(B1331),"mmm")</f>
        <v/>
      </c>
      <c r="S1331" s="2">
        <f>TEXT(DATEVALUE(B1331),"yyyy-mm")</f>
        <v/>
      </c>
    </row>
    <row r="1332">
      <c r="A1332" s="2" t="inlineStr">
        <is>
          <t>O000344</t>
        </is>
      </c>
      <c r="B1332" s="2" t="inlineStr">
        <is>
          <t>2025-04-09</t>
        </is>
      </c>
      <c r="C1332" s="2" t="inlineStr">
        <is>
          <t>C0629</t>
        </is>
      </c>
      <c r="D1332" s="2" t="inlineStr">
        <is>
          <t>P0029</t>
        </is>
      </c>
      <c r="E1332" s="2" t="inlineStr">
        <is>
          <t>Yoga Mat</t>
        </is>
      </c>
      <c r="F1332" s="2" t="inlineStr">
        <is>
          <t>Sports</t>
        </is>
      </c>
      <c r="G1332" s="2" t="inlineStr">
        <is>
          <t>South</t>
        </is>
      </c>
      <c r="H1332" s="2" t="inlineStr">
        <is>
          <t>Karnataka</t>
        </is>
      </c>
      <c r="I1332" s="2" t="inlineStr">
        <is>
          <t>Mangaluru</t>
        </is>
      </c>
      <c r="J1332" s="2" t="inlineStr">
        <is>
          <t>Store</t>
        </is>
      </c>
      <c r="K1332" s="2" t="n">
        <v>2</v>
      </c>
      <c r="L1332" s="3" t="n">
        <v>2396.79</v>
      </c>
      <c r="M1332" s="4" t="n">
        <v>0.05</v>
      </c>
      <c r="N1332" s="3" t="n">
        <v>2647.77</v>
      </c>
      <c r="O1332" s="3">
        <f>K1332*L1332*(1-M1332)</f>
        <v/>
      </c>
      <c r="P1332" s="3">
        <f>O1332-N1332</f>
        <v/>
      </c>
      <c r="Q1332" s="5">
        <f>IFERROR(P1332/O1332,0)</f>
        <v/>
      </c>
      <c r="R1332" s="2">
        <f>TEXT(DATEVALUE(B1332),"mmm")</f>
        <v/>
      </c>
      <c r="S1332" s="2">
        <f>TEXT(DATEVALUE(B1332),"yyyy-mm")</f>
        <v/>
      </c>
    </row>
    <row r="1333">
      <c r="A1333" s="2" t="inlineStr">
        <is>
          <t>O000336</t>
        </is>
      </c>
      <c r="B1333" s="2" t="inlineStr">
        <is>
          <t>2025-04-09</t>
        </is>
      </c>
      <c r="C1333" s="2" t="inlineStr">
        <is>
          <t>C0694</t>
        </is>
      </c>
      <c r="D1333" s="2" t="inlineStr">
        <is>
          <t>P0026</t>
        </is>
      </c>
      <c r="E1333" s="2" t="inlineStr">
        <is>
          <t>Shampoo</t>
        </is>
      </c>
      <c r="F1333" s="2" t="inlineStr">
        <is>
          <t>Beauty</t>
        </is>
      </c>
      <c r="G1333" s="2" t="inlineStr">
        <is>
          <t>South</t>
        </is>
      </c>
      <c r="H1333" s="2" t="inlineStr">
        <is>
          <t>Tamil Nadu</t>
        </is>
      </c>
      <c r="I1333" s="2" t="inlineStr">
        <is>
          <t>Chennai</t>
        </is>
      </c>
      <c r="J1333" s="2" t="inlineStr">
        <is>
          <t>Store</t>
        </is>
      </c>
      <c r="K1333" s="2" t="n">
        <v>4</v>
      </c>
      <c r="L1333" s="3" t="n">
        <v>905.21</v>
      </c>
      <c r="M1333" s="4" t="n">
        <v>0.1</v>
      </c>
      <c r="N1333" s="3" t="n">
        <v>2079.9</v>
      </c>
      <c r="O1333" s="3">
        <f>K1333*L1333*(1-M1333)</f>
        <v/>
      </c>
      <c r="P1333" s="3">
        <f>O1333-N1333</f>
        <v/>
      </c>
      <c r="Q1333" s="5">
        <f>IFERROR(P1333/O1333,0)</f>
        <v/>
      </c>
      <c r="R1333" s="2">
        <f>TEXT(DATEVALUE(B1333),"mmm")</f>
        <v/>
      </c>
      <c r="S1333" s="2">
        <f>TEXT(DATEVALUE(B1333),"yyyy-mm")</f>
        <v/>
      </c>
    </row>
    <row r="1334">
      <c r="A1334" s="2" t="inlineStr">
        <is>
          <t>O000289</t>
        </is>
      </c>
      <c r="B1334" s="2" t="inlineStr">
        <is>
          <t>2025-04-09</t>
        </is>
      </c>
      <c r="C1334" s="2" t="inlineStr">
        <is>
          <t>C0359</t>
        </is>
      </c>
      <c r="D1334" s="2" t="inlineStr">
        <is>
          <t>P0011</t>
        </is>
      </c>
      <c r="E1334" s="2" t="inlineStr">
        <is>
          <t>Cookware Set</t>
        </is>
      </c>
      <c r="F1334" s="2" t="inlineStr">
        <is>
          <t>Home &amp; Kitchen</t>
        </is>
      </c>
      <c r="G1334" s="2" t="inlineStr">
        <is>
          <t>South</t>
        </is>
      </c>
      <c r="H1334" s="2" t="inlineStr">
        <is>
          <t>Karnataka</t>
        </is>
      </c>
      <c r="I1334" s="2" t="inlineStr">
        <is>
          <t>Bengaluru</t>
        </is>
      </c>
      <c r="J1334" s="2" t="inlineStr">
        <is>
          <t>Online</t>
        </is>
      </c>
      <c r="K1334" s="2" t="n">
        <v>2</v>
      </c>
      <c r="L1334" s="3" t="n">
        <v>719.83</v>
      </c>
      <c r="M1334" s="4" t="n">
        <v>0.05</v>
      </c>
      <c r="N1334" s="3" t="n">
        <v>924.35</v>
      </c>
      <c r="O1334" s="3">
        <f>K1334*L1334*(1-M1334)</f>
        <v/>
      </c>
      <c r="P1334" s="3">
        <f>O1334-N1334</f>
        <v/>
      </c>
      <c r="Q1334" s="5">
        <f>IFERROR(P1334/O1334,0)</f>
        <v/>
      </c>
      <c r="R1334" s="2">
        <f>TEXT(DATEVALUE(B1334),"mmm")</f>
        <v/>
      </c>
      <c r="S1334" s="2">
        <f>TEXT(DATEVALUE(B1334),"yyyy-mm")</f>
        <v/>
      </c>
    </row>
    <row r="1335">
      <c r="A1335" s="2" t="inlineStr">
        <is>
          <t>O000272</t>
        </is>
      </c>
      <c r="B1335" s="2" t="inlineStr">
        <is>
          <t>2025-04-09</t>
        </is>
      </c>
      <c r="C1335" s="2" t="inlineStr">
        <is>
          <t>C0140</t>
        </is>
      </c>
      <c r="D1335" s="2" t="inlineStr">
        <is>
          <t>P0011</t>
        </is>
      </c>
      <c r="E1335" s="2" t="inlineStr">
        <is>
          <t>Cookware Set</t>
        </is>
      </c>
      <c r="F1335" s="2" t="inlineStr">
        <is>
          <t>Home &amp; Kitchen</t>
        </is>
      </c>
      <c r="G1335" s="2" t="inlineStr">
        <is>
          <t>South</t>
        </is>
      </c>
      <c r="H1335" s="2" t="inlineStr">
        <is>
          <t>Karnataka</t>
        </is>
      </c>
      <c r="I1335" s="2" t="inlineStr">
        <is>
          <t>Bengaluru</t>
        </is>
      </c>
      <c r="J1335" s="2" t="inlineStr">
        <is>
          <t>Online</t>
        </is>
      </c>
      <c r="K1335" s="2" t="n">
        <v>5</v>
      </c>
      <c r="L1335" s="3" t="n">
        <v>691.38</v>
      </c>
      <c r="M1335" s="4" t="n">
        <v>0.2</v>
      </c>
      <c r="N1335" s="3" t="n">
        <v>2402.23</v>
      </c>
      <c r="O1335" s="3">
        <f>K1335*L1335*(1-M1335)</f>
        <v/>
      </c>
      <c r="P1335" s="3">
        <f>O1335-N1335</f>
        <v/>
      </c>
      <c r="Q1335" s="5">
        <f>IFERROR(P1335/O1335,0)</f>
        <v/>
      </c>
      <c r="R1335" s="2">
        <f>TEXT(DATEVALUE(B1335),"mmm")</f>
        <v/>
      </c>
      <c r="S1335" s="2">
        <f>TEXT(DATEVALUE(B1335),"yyyy-mm")</f>
        <v/>
      </c>
    </row>
    <row r="1336">
      <c r="A1336" s="2" t="inlineStr">
        <is>
          <t>O000257</t>
        </is>
      </c>
      <c r="B1336" s="2" t="inlineStr">
        <is>
          <t>2025-04-09</t>
        </is>
      </c>
      <c r="C1336" s="2" t="inlineStr">
        <is>
          <t>C0629</t>
        </is>
      </c>
      <c r="D1336" s="2" t="inlineStr">
        <is>
          <t>P0031</t>
        </is>
      </c>
      <c r="E1336" s="2" t="inlineStr">
        <is>
          <t>Cricket Bat</t>
        </is>
      </c>
      <c r="F1336" s="2" t="inlineStr">
        <is>
          <t>Sports</t>
        </is>
      </c>
      <c r="G1336" s="2" t="inlineStr">
        <is>
          <t>South</t>
        </is>
      </c>
      <c r="H1336" s="2" t="inlineStr">
        <is>
          <t>Karnataka</t>
        </is>
      </c>
      <c r="I1336" s="2" t="inlineStr">
        <is>
          <t>Mysuru</t>
        </is>
      </c>
      <c r="J1336" s="2" t="inlineStr">
        <is>
          <t>Store</t>
        </is>
      </c>
      <c r="K1336" s="2" t="n">
        <v>3</v>
      </c>
      <c r="L1336" s="3" t="n">
        <v>1445.05</v>
      </c>
      <c r="M1336" s="4" t="n">
        <v>0.1</v>
      </c>
      <c r="N1336" s="3" t="n">
        <v>2888.14</v>
      </c>
      <c r="O1336" s="3">
        <f>K1336*L1336*(1-M1336)</f>
        <v/>
      </c>
      <c r="P1336" s="3">
        <f>O1336-N1336</f>
        <v/>
      </c>
      <c r="Q1336" s="5">
        <f>IFERROR(P1336/O1336,0)</f>
        <v/>
      </c>
      <c r="R1336" s="2">
        <f>TEXT(DATEVALUE(B1336),"mmm")</f>
        <v/>
      </c>
      <c r="S1336" s="2">
        <f>TEXT(DATEVALUE(B1336),"yyyy-mm")</f>
        <v/>
      </c>
    </row>
    <row r="1337">
      <c r="A1337" s="2" t="inlineStr">
        <is>
          <t>O000120</t>
        </is>
      </c>
      <c r="B1337" s="2" t="inlineStr">
        <is>
          <t>2025-04-09</t>
        </is>
      </c>
      <c r="C1337" s="2" t="inlineStr">
        <is>
          <t>C0587</t>
        </is>
      </c>
      <c r="D1337" s="2" t="inlineStr">
        <is>
          <t>P0011</t>
        </is>
      </c>
      <c r="E1337" s="2" t="inlineStr">
        <is>
          <t>Cookware Set</t>
        </is>
      </c>
      <c r="F1337" s="2" t="inlineStr">
        <is>
          <t>Home &amp; Kitchen</t>
        </is>
      </c>
      <c r="G1337" s="2" t="inlineStr">
        <is>
          <t>South</t>
        </is>
      </c>
      <c r="H1337" s="2" t="inlineStr">
        <is>
          <t>Karnataka</t>
        </is>
      </c>
      <c r="I1337" s="2" t="inlineStr">
        <is>
          <t>Bengaluru</t>
        </is>
      </c>
      <c r="J1337" s="2" t="inlineStr">
        <is>
          <t>Store</t>
        </is>
      </c>
      <c r="K1337" s="2" t="n">
        <v>1</v>
      </c>
      <c r="L1337" s="3" t="n">
        <v>679.98</v>
      </c>
      <c r="M1337" s="4" t="n">
        <v>0.15</v>
      </c>
      <c r="N1337" s="3" t="n">
        <v>477.19</v>
      </c>
      <c r="O1337" s="3">
        <f>K1337*L1337*(1-M1337)</f>
        <v/>
      </c>
      <c r="P1337" s="3">
        <f>O1337-N1337</f>
        <v/>
      </c>
      <c r="Q1337" s="5">
        <f>IFERROR(P1337/O1337,0)</f>
        <v/>
      </c>
      <c r="R1337" s="2">
        <f>TEXT(DATEVALUE(B1337),"mmm")</f>
        <v/>
      </c>
      <c r="S1337" s="2">
        <f>TEXT(DATEVALUE(B1337),"yyyy-mm")</f>
        <v/>
      </c>
    </row>
    <row r="1338">
      <c r="A1338" s="2" t="inlineStr">
        <is>
          <t>O004353</t>
        </is>
      </c>
      <c r="B1338" s="2" t="inlineStr">
        <is>
          <t>2025-04-10</t>
        </is>
      </c>
      <c r="C1338" s="2" t="inlineStr">
        <is>
          <t>C0747</t>
        </is>
      </c>
      <c r="D1338" s="2" t="inlineStr">
        <is>
          <t>P0031</t>
        </is>
      </c>
      <c r="E1338" s="2" t="inlineStr">
        <is>
          <t>Cricket Bat</t>
        </is>
      </c>
      <c r="F1338" s="2" t="inlineStr">
        <is>
          <t>Sports</t>
        </is>
      </c>
      <c r="G1338" s="2" t="inlineStr">
        <is>
          <t>North</t>
        </is>
      </c>
      <c r="H1338" s="2" t="inlineStr">
        <is>
          <t>Uttar Pradesh</t>
        </is>
      </c>
      <c r="I1338" s="2" t="inlineStr">
        <is>
          <t>Varanasi</t>
        </is>
      </c>
      <c r="J1338" s="2" t="inlineStr">
        <is>
          <t>Online</t>
        </is>
      </c>
      <c r="K1338" s="2" t="n">
        <v>1</v>
      </c>
      <c r="L1338" s="3" t="n">
        <v>1364.93</v>
      </c>
      <c r="M1338" s="4" t="n">
        <v>0.05</v>
      </c>
      <c r="N1338" s="3" t="n">
        <v>917.4</v>
      </c>
      <c r="O1338" s="3">
        <f>K1338*L1338*(1-M1338)</f>
        <v/>
      </c>
      <c r="P1338" s="3">
        <f>O1338-N1338</f>
        <v/>
      </c>
      <c r="Q1338" s="5">
        <f>IFERROR(P1338/O1338,0)</f>
        <v/>
      </c>
      <c r="R1338" s="2">
        <f>TEXT(DATEVALUE(B1338),"mmm")</f>
        <v/>
      </c>
      <c r="S1338" s="2">
        <f>TEXT(DATEVALUE(B1338),"yyyy-mm")</f>
        <v/>
      </c>
    </row>
    <row r="1339">
      <c r="A1339" s="2" t="inlineStr">
        <is>
          <t>O004218</t>
        </is>
      </c>
      <c r="B1339" s="2" t="inlineStr">
        <is>
          <t>2025-04-10</t>
        </is>
      </c>
      <c r="C1339" s="2" t="inlineStr">
        <is>
          <t>C0480</t>
        </is>
      </c>
      <c r="D1339" s="2" t="inlineStr">
        <is>
          <t>P0021</t>
        </is>
      </c>
      <c r="E1339" s="2" t="inlineStr">
        <is>
          <t>Wallet</t>
        </is>
      </c>
      <c r="F1339" s="2" t="inlineStr">
        <is>
          <t>Fashion</t>
        </is>
      </c>
      <c r="G1339" s="2" t="inlineStr">
        <is>
          <t>North</t>
        </is>
      </c>
      <c r="H1339" s="2" t="inlineStr">
        <is>
          <t>Delhi</t>
        </is>
      </c>
      <c r="I1339" s="2" t="inlineStr">
        <is>
          <t>New Delhi</t>
        </is>
      </c>
      <c r="J1339" s="2" t="inlineStr">
        <is>
          <t>Store</t>
        </is>
      </c>
      <c r="K1339" s="2" t="n">
        <v>2</v>
      </c>
      <c r="L1339" s="3" t="n">
        <v>2072.52</v>
      </c>
      <c r="M1339" s="4" t="n">
        <v>0.1</v>
      </c>
      <c r="N1339" s="3" t="n">
        <v>2400.69</v>
      </c>
      <c r="O1339" s="3">
        <f>K1339*L1339*(1-M1339)</f>
        <v/>
      </c>
      <c r="P1339" s="3">
        <f>O1339-N1339</f>
        <v/>
      </c>
      <c r="Q1339" s="5">
        <f>IFERROR(P1339/O1339,0)</f>
        <v/>
      </c>
      <c r="R1339" s="2">
        <f>TEXT(DATEVALUE(B1339),"mmm")</f>
        <v/>
      </c>
      <c r="S1339" s="2">
        <f>TEXT(DATEVALUE(B1339),"yyyy-mm")</f>
        <v/>
      </c>
    </row>
    <row r="1340">
      <c r="A1340" s="2" t="inlineStr">
        <is>
          <t>O003759</t>
        </is>
      </c>
      <c r="B1340" s="2" t="inlineStr">
        <is>
          <t>2025-04-10</t>
        </is>
      </c>
      <c r="C1340" s="2" t="inlineStr">
        <is>
          <t>C0393</t>
        </is>
      </c>
      <c r="D1340" s="2" t="inlineStr">
        <is>
          <t>P0011</t>
        </is>
      </c>
      <c r="E1340" s="2" t="inlineStr">
        <is>
          <t>Cookware Set</t>
        </is>
      </c>
      <c r="F1340" s="2" t="inlineStr">
        <is>
          <t>Home &amp; Kitchen</t>
        </is>
      </c>
      <c r="G1340" s="2" t="inlineStr">
        <is>
          <t>East</t>
        </is>
      </c>
      <c r="H1340" s="2" t="inlineStr">
        <is>
          <t>Odisha</t>
        </is>
      </c>
      <c r="I1340" s="2" t="inlineStr">
        <is>
          <t>Cuttack</t>
        </is>
      </c>
      <c r="J1340" s="2" t="inlineStr">
        <is>
          <t>Store</t>
        </is>
      </c>
      <c r="K1340" s="2" t="n">
        <v>1</v>
      </c>
      <c r="L1340" s="3" t="n">
        <v>721.87</v>
      </c>
      <c r="M1340" s="4" t="n">
        <v>0.05</v>
      </c>
      <c r="N1340" s="3" t="n">
        <v>468.86</v>
      </c>
      <c r="O1340" s="3">
        <f>K1340*L1340*(1-M1340)</f>
        <v/>
      </c>
      <c r="P1340" s="3">
        <f>O1340-N1340</f>
        <v/>
      </c>
      <c r="Q1340" s="5">
        <f>IFERROR(P1340/O1340,0)</f>
        <v/>
      </c>
      <c r="R1340" s="2">
        <f>TEXT(DATEVALUE(B1340),"mmm")</f>
        <v/>
      </c>
      <c r="S1340" s="2">
        <f>TEXT(DATEVALUE(B1340),"yyyy-mm")</f>
        <v/>
      </c>
    </row>
    <row r="1341">
      <c r="A1341" s="2" t="inlineStr">
        <is>
          <t>O003752</t>
        </is>
      </c>
      <c r="B1341" s="2" t="inlineStr">
        <is>
          <t>2025-04-10</t>
        </is>
      </c>
      <c r="C1341" s="2" t="inlineStr">
        <is>
          <t>C0604</t>
        </is>
      </c>
      <c r="D1341" s="2" t="inlineStr">
        <is>
          <t>P0030</t>
        </is>
      </c>
      <c r="E1341" s="2" t="inlineStr">
        <is>
          <t>Dumbbells</t>
        </is>
      </c>
      <c r="F1341" s="2" t="inlineStr">
        <is>
          <t>Sports</t>
        </is>
      </c>
      <c r="G1341" s="2" t="inlineStr">
        <is>
          <t>West</t>
        </is>
      </c>
      <c r="H1341" s="2" t="inlineStr">
        <is>
          <t>Goa</t>
        </is>
      </c>
      <c r="I1341" s="2" t="inlineStr">
        <is>
          <t>Panaji</t>
        </is>
      </c>
      <c r="J1341" s="2" t="inlineStr">
        <is>
          <t>Store</t>
        </is>
      </c>
      <c r="K1341" s="2" t="n">
        <v>2</v>
      </c>
      <c r="L1341" s="3" t="n">
        <v>1571.08</v>
      </c>
      <c r="M1341" s="4" t="n">
        <v>0.05</v>
      </c>
      <c r="N1341" s="3" t="n">
        <v>2122.83</v>
      </c>
      <c r="O1341" s="3">
        <f>K1341*L1341*(1-M1341)</f>
        <v/>
      </c>
      <c r="P1341" s="3">
        <f>O1341-N1341</f>
        <v/>
      </c>
      <c r="Q1341" s="5">
        <f>IFERROR(P1341/O1341,0)</f>
        <v/>
      </c>
      <c r="R1341" s="2">
        <f>TEXT(DATEVALUE(B1341),"mmm")</f>
        <v/>
      </c>
      <c r="S1341" s="2">
        <f>TEXT(DATEVALUE(B1341),"yyyy-mm")</f>
        <v/>
      </c>
    </row>
    <row r="1342">
      <c r="A1342" s="2" t="inlineStr">
        <is>
          <t>O003703</t>
        </is>
      </c>
      <c r="B1342" s="2" t="inlineStr">
        <is>
          <t>2025-04-10</t>
        </is>
      </c>
      <c r="C1342" s="2" t="inlineStr">
        <is>
          <t>C0773</t>
        </is>
      </c>
      <c r="D1342" s="2" t="inlineStr">
        <is>
          <t>P0022</t>
        </is>
      </c>
      <c r="E1342" s="2" t="inlineStr">
        <is>
          <t>Face Wash</t>
        </is>
      </c>
      <c r="F1342" s="2" t="inlineStr">
        <is>
          <t>Beauty</t>
        </is>
      </c>
      <c r="G1342" s="2" t="inlineStr">
        <is>
          <t>West</t>
        </is>
      </c>
      <c r="H1342" s="2" t="inlineStr">
        <is>
          <t>Maharashtra</t>
        </is>
      </c>
      <c r="I1342" s="2" t="inlineStr">
        <is>
          <t>Thane</t>
        </is>
      </c>
      <c r="J1342" s="2" t="inlineStr">
        <is>
          <t>Online</t>
        </is>
      </c>
      <c r="K1342" s="2" t="n">
        <v>5</v>
      </c>
      <c r="L1342" s="3" t="n">
        <v>543.98</v>
      </c>
      <c r="M1342" s="4" t="n">
        <v>0.05</v>
      </c>
      <c r="N1342" s="3" t="n">
        <v>1730.68</v>
      </c>
      <c r="O1342" s="3">
        <f>K1342*L1342*(1-M1342)</f>
        <v/>
      </c>
      <c r="P1342" s="3">
        <f>O1342-N1342</f>
        <v/>
      </c>
      <c r="Q1342" s="5">
        <f>IFERROR(P1342/O1342,0)</f>
        <v/>
      </c>
      <c r="R1342" s="2">
        <f>TEXT(DATEVALUE(B1342),"mmm")</f>
        <v/>
      </c>
      <c r="S1342" s="2">
        <f>TEXT(DATEVALUE(B1342),"yyyy-mm")</f>
        <v/>
      </c>
    </row>
    <row r="1343">
      <c r="A1343" s="2" t="inlineStr">
        <is>
          <t>O003376</t>
        </is>
      </c>
      <c r="B1343" s="2" t="inlineStr">
        <is>
          <t>2025-04-10</t>
        </is>
      </c>
      <c r="C1343" s="2" t="inlineStr">
        <is>
          <t>C0553</t>
        </is>
      </c>
      <c r="D1343" s="2" t="inlineStr">
        <is>
          <t>P0026</t>
        </is>
      </c>
      <c r="E1343" s="2" t="inlineStr">
        <is>
          <t>Shampoo</t>
        </is>
      </c>
      <c r="F1343" s="2" t="inlineStr">
        <is>
          <t>Beauty</t>
        </is>
      </c>
      <c r="G1343" s="2" t="inlineStr">
        <is>
          <t>South</t>
        </is>
      </c>
      <c r="H1343" s="2" t="inlineStr">
        <is>
          <t>Karnataka</t>
        </is>
      </c>
      <c r="I1343" s="2" t="inlineStr">
        <is>
          <t>Mangaluru</t>
        </is>
      </c>
      <c r="J1343" s="2" t="inlineStr">
        <is>
          <t>Store</t>
        </is>
      </c>
      <c r="K1343" s="2" t="n">
        <v>1</v>
      </c>
      <c r="L1343" s="3" t="n">
        <v>867.05</v>
      </c>
      <c r="M1343" s="4" t="n">
        <v>0.05</v>
      </c>
      <c r="N1343" s="3" t="n">
        <v>533.09</v>
      </c>
      <c r="O1343" s="3">
        <f>K1343*L1343*(1-M1343)</f>
        <v/>
      </c>
      <c r="P1343" s="3">
        <f>O1343-N1343</f>
        <v/>
      </c>
      <c r="Q1343" s="5">
        <f>IFERROR(P1343/O1343,0)</f>
        <v/>
      </c>
      <c r="R1343" s="2">
        <f>TEXT(DATEVALUE(B1343),"mmm")</f>
        <v/>
      </c>
      <c r="S1343" s="2">
        <f>TEXT(DATEVALUE(B1343),"yyyy-mm")</f>
        <v/>
      </c>
    </row>
    <row r="1344">
      <c r="A1344" s="2" t="inlineStr">
        <is>
          <t>O003105</t>
        </is>
      </c>
      <c r="B1344" s="2" t="inlineStr">
        <is>
          <t>2025-04-10</t>
        </is>
      </c>
      <c r="C1344" s="2" t="inlineStr">
        <is>
          <t>C0214</t>
        </is>
      </c>
      <c r="D1344" s="2" t="inlineStr">
        <is>
          <t>P0010</t>
        </is>
      </c>
      <c r="E1344" s="2" t="inlineStr">
        <is>
          <t>Mixer Grinder</t>
        </is>
      </c>
      <c r="F1344" s="2" t="inlineStr">
        <is>
          <t>Home &amp; Kitchen</t>
        </is>
      </c>
      <c r="G1344" s="2" t="inlineStr">
        <is>
          <t>North</t>
        </is>
      </c>
      <c r="H1344" s="2" t="inlineStr">
        <is>
          <t>Uttar Pradesh</t>
        </is>
      </c>
      <c r="I1344" s="2" t="inlineStr">
        <is>
          <t>Varanasi</t>
        </is>
      </c>
      <c r="J1344" s="2" t="inlineStr">
        <is>
          <t>Store</t>
        </is>
      </c>
      <c r="K1344" s="2" t="n">
        <v>1</v>
      </c>
      <c r="L1344" s="3" t="n">
        <v>1593.79</v>
      </c>
      <c r="M1344" s="4" t="n">
        <v>0.1</v>
      </c>
      <c r="N1344" s="3" t="n">
        <v>1031.96</v>
      </c>
      <c r="O1344" s="3">
        <f>K1344*L1344*(1-M1344)</f>
        <v/>
      </c>
      <c r="P1344" s="3">
        <f>O1344-N1344</f>
        <v/>
      </c>
      <c r="Q1344" s="5">
        <f>IFERROR(P1344/O1344,0)</f>
        <v/>
      </c>
      <c r="R1344" s="2">
        <f>TEXT(DATEVALUE(B1344),"mmm")</f>
        <v/>
      </c>
      <c r="S1344" s="2">
        <f>TEXT(DATEVALUE(B1344),"yyyy-mm")</f>
        <v/>
      </c>
    </row>
    <row r="1345">
      <c r="A1345" s="2" t="inlineStr">
        <is>
          <t>O002221</t>
        </is>
      </c>
      <c r="B1345" s="2" t="inlineStr">
        <is>
          <t>2025-04-10</t>
        </is>
      </c>
      <c r="C1345" s="2" t="inlineStr">
        <is>
          <t>C0254</t>
        </is>
      </c>
      <c r="D1345" s="2" t="inlineStr">
        <is>
          <t>P0022</t>
        </is>
      </c>
      <c r="E1345" s="2" t="inlineStr">
        <is>
          <t>Face Wash</t>
        </is>
      </c>
      <c r="F1345" s="2" t="inlineStr">
        <is>
          <t>Beauty</t>
        </is>
      </c>
      <c r="G1345" s="2" t="inlineStr">
        <is>
          <t>West</t>
        </is>
      </c>
      <c r="H1345" s="2" t="inlineStr">
        <is>
          <t>Gujarat</t>
        </is>
      </c>
      <c r="I1345" s="2" t="inlineStr">
        <is>
          <t>Surat</t>
        </is>
      </c>
      <c r="J1345" s="2" t="inlineStr">
        <is>
          <t>Store</t>
        </is>
      </c>
      <c r="K1345" s="2" t="n">
        <v>2</v>
      </c>
      <c r="L1345" s="3" t="n">
        <v>572.02</v>
      </c>
      <c r="M1345" s="4" t="n">
        <v>0.15</v>
      </c>
      <c r="N1345" s="3" t="n">
        <v>720.0599999999999</v>
      </c>
      <c r="O1345" s="3">
        <f>K1345*L1345*(1-M1345)</f>
        <v/>
      </c>
      <c r="P1345" s="3">
        <f>O1345-N1345</f>
        <v/>
      </c>
      <c r="Q1345" s="5">
        <f>IFERROR(P1345/O1345,0)</f>
        <v/>
      </c>
      <c r="R1345" s="2">
        <f>TEXT(DATEVALUE(B1345),"mmm")</f>
        <v/>
      </c>
      <c r="S1345" s="2">
        <f>TEXT(DATEVALUE(B1345),"yyyy-mm")</f>
        <v/>
      </c>
    </row>
    <row r="1346">
      <c r="A1346" s="2" t="inlineStr">
        <is>
          <t>O001943</t>
        </is>
      </c>
      <c r="B1346" s="2" t="inlineStr">
        <is>
          <t>2025-04-10</t>
        </is>
      </c>
      <c r="C1346" s="2" t="inlineStr">
        <is>
          <t>C0371</t>
        </is>
      </c>
      <c r="D1346" s="2" t="inlineStr">
        <is>
          <t>P0031</t>
        </is>
      </c>
      <c r="E1346" s="2" t="inlineStr">
        <is>
          <t>Cricket Bat</t>
        </is>
      </c>
      <c r="F1346" s="2" t="inlineStr">
        <is>
          <t>Sports</t>
        </is>
      </c>
      <c r="G1346" s="2" t="inlineStr">
        <is>
          <t>South</t>
        </is>
      </c>
      <c r="H1346" s="2" t="inlineStr">
        <is>
          <t>Telangana</t>
        </is>
      </c>
      <c r="I1346" s="2" t="inlineStr">
        <is>
          <t>Hyderabad</t>
        </is>
      </c>
      <c r="J1346" s="2" t="inlineStr">
        <is>
          <t>Online</t>
        </is>
      </c>
      <c r="K1346" s="2" t="n">
        <v>4</v>
      </c>
      <c r="L1346" s="3" t="n">
        <v>1397.5</v>
      </c>
      <c r="M1346" s="4" t="n">
        <v>0.15</v>
      </c>
      <c r="N1346" s="3" t="n">
        <v>3727.3</v>
      </c>
      <c r="O1346" s="3">
        <f>K1346*L1346*(1-M1346)</f>
        <v/>
      </c>
      <c r="P1346" s="3">
        <f>O1346-N1346</f>
        <v/>
      </c>
      <c r="Q1346" s="5">
        <f>IFERROR(P1346/O1346,0)</f>
        <v/>
      </c>
      <c r="R1346" s="2">
        <f>TEXT(DATEVALUE(B1346),"mmm")</f>
        <v/>
      </c>
      <c r="S1346" s="2">
        <f>TEXT(DATEVALUE(B1346),"yyyy-mm")</f>
        <v/>
      </c>
    </row>
    <row r="1347">
      <c r="A1347" s="2" t="inlineStr">
        <is>
          <t>O000569</t>
        </is>
      </c>
      <c r="B1347" s="2" t="inlineStr">
        <is>
          <t>2025-04-10</t>
        </is>
      </c>
      <c r="C1347" s="2" t="inlineStr">
        <is>
          <t>C0655</t>
        </is>
      </c>
      <c r="D1347" s="2" t="inlineStr">
        <is>
          <t>P0021</t>
        </is>
      </c>
      <c r="E1347" s="2" t="inlineStr">
        <is>
          <t>Wallet</t>
        </is>
      </c>
      <c r="F1347" s="2" t="inlineStr">
        <is>
          <t>Fashion</t>
        </is>
      </c>
      <c r="G1347" s="2" t="inlineStr">
        <is>
          <t>West</t>
        </is>
      </c>
      <c r="H1347" s="2" t="inlineStr">
        <is>
          <t>Gujarat</t>
        </is>
      </c>
      <c r="I1347" s="2" t="inlineStr">
        <is>
          <t>Ahmedabad</t>
        </is>
      </c>
      <c r="J1347" s="2" t="inlineStr">
        <is>
          <t>Online</t>
        </is>
      </c>
      <c r="K1347" s="2" t="n">
        <v>3</v>
      </c>
      <c r="L1347" s="3" t="n">
        <v>2021.68</v>
      </c>
      <c r="M1347" s="4" t="n">
        <v>0.05</v>
      </c>
      <c r="N1347" s="3" t="n">
        <v>3726.16</v>
      </c>
      <c r="O1347" s="3">
        <f>K1347*L1347*(1-M1347)</f>
        <v/>
      </c>
      <c r="P1347" s="3">
        <f>O1347-N1347</f>
        <v/>
      </c>
      <c r="Q1347" s="5">
        <f>IFERROR(P1347/O1347,0)</f>
        <v/>
      </c>
      <c r="R1347" s="2">
        <f>TEXT(DATEVALUE(B1347),"mmm")</f>
        <v/>
      </c>
      <c r="S1347" s="2">
        <f>TEXT(DATEVALUE(B1347),"yyyy-mm")</f>
        <v/>
      </c>
    </row>
    <row r="1348">
      <c r="A1348" s="2" t="inlineStr">
        <is>
          <t>O000488</t>
        </is>
      </c>
      <c r="B1348" s="2" t="inlineStr">
        <is>
          <t>2025-04-10</t>
        </is>
      </c>
      <c r="C1348" s="2" t="inlineStr">
        <is>
          <t>C0179</t>
        </is>
      </c>
      <c r="D1348" s="2" t="inlineStr">
        <is>
          <t>P0021</t>
        </is>
      </c>
      <c r="E1348" s="2" t="inlineStr">
        <is>
          <t>Wallet</t>
        </is>
      </c>
      <c r="F1348" s="2" t="inlineStr">
        <is>
          <t>Fashion</t>
        </is>
      </c>
      <c r="G1348" s="2" t="inlineStr">
        <is>
          <t>West</t>
        </is>
      </c>
      <c r="H1348" s="2" t="inlineStr">
        <is>
          <t>Maharashtra</t>
        </is>
      </c>
      <c r="I1348" s="2" t="inlineStr">
        <is>
          <t>Nagpur</t>
        </is>
      </c>
      <c r="J1348" s="2" t="inlineStr">
        <is>
          <t>Store</t>
        </is>
      </c>
      <c r="K1348" s="2" t="n">
        <v>3</v>
      </c>
      <c r="L1348" s="3" t="n">
        <v>2009.92</v>
      </c>
      <c r="M1348" s="4" t="n">
        <v>0.05</v>
      </c>
      <c r="N1348" s="3" t="n">
        <v>3584.74</v>
      </c>
      <c r="O1348" s="3">
        <f>K1348*L1348*(1-M1348)</f>
        <v/>
      </c>
      <c r="P1348" s="3">
        <f>O1348-N1348</f>
        <v/>
      </c>
      <c r="Q1348" s="5">
        <f>IFERROR(P1348/O1348,0)</f>
        <v/>
      </c>
      <c r="R1348" s="2">
        <f>TEXT(DATEVALUE(B1348),"mmm")</f>
        <v/>
      </c>
      <c r="S1348" s="2">
        <f>TEXT(DATEVALUE(B1348),"yyyy-mm")</f>
        <v/>
      </c>
    </row>
    <row r="1349">
      <c r="A1349" s="2" t="inlineStr">
        <is>
          <t>O000478</t>
        </is>
      </c>
      <c r="B1349" s="2" t="inlineStr">
        <is>
          <t>2025-04-10</t>
        </is>
      </c>
      <c r="C1349" s="2" t="inlineStr">
        <is>
          <t>C0499</t>
        </is>
      </c>
      <c r="D1349" s="2" t="inlineStr">
        <is>
          <t>P0030</t>
        </is>
      </c>
      <c r="E1349" s="2" t="inlineStr">
        <is>
          <t>Dumbbells</t>
        </is>
      </c>
      <c r="F1349" s="2" t="inlineStr">
        <is>
          <t>Sports</t>
        </is>
      </c>
      <c r="G1349" s="2" t="inlineStr">
        <is>
          <t>East</t>
        </is>
      </c>
      <c r="H1349" s="2" t="inlineStr">
        <is>
          <t>Bihar</t>
        </is>
      </c>
      <c r="I1349" s="2" t="inlineStr">
        <is>
          <t>Patna</t>
        </is>
      </c>
      <c r="J1349" s="2" t="inlineStr">
        <is>
          <t>Online</t>
        </is>
      </c>
      <c r="K1349" s="2" t="n">
        <v>2</v>
      </c>
      <c r="L1349" s="3" t="n">
        <v>1560.16</v>
      </c>
      <c r="M1349" s="4" t="n">
        <v>0.05</v>
      </c>
      <c r="N1349" s="3" t="n">
        <v>2055.14</v>
      </c>
      <c r="O1349" s="3">
        <f>K1349*L1349*(1-M1349)</f>
        <v/>
      </c>
      <c r="P1349" s="3">
        <f>O1349-N1349</f>
        <v/>
      </c>
      <c r="Q1349" s="5">
        <f>IFERROR(P1349/O1349,0)</f>
        <v/>
      </c>
      <c r="R1349" s="2">
        <f>TEXT(DATEVALUE(B1349),"mmm")</f>
        <v/>
      </c>
      <c r="S1349" s="2">
        <f>TEXT(DATEVALUE(B1349),"yyyy-mm")</f>
        <v/>
      </c>
    </row>
    <row r="1350">
      <c r="A1350" s="2" t="inlineStr">
        <is>
          <t>O000013</t>
        </is>
      </c>
      <c r="B1350" s="2" t="inlineStr">
        <is>
          <t>2025-04-10</t>
        </is>
      </c>
      <c r="C1350" s="2" t="inlineStr">
        <is>
          <t>C0667</t>
        </is>
      </c>
      <c r="D1350" s="2" t="inlineStr">
        <is>
          <t>P0020</t>
        </is>
      </c>
      <c r="E1350" s="2" t="inlineStr">
        <is>
          <t>Sneakers</t>
        </is>
      </c>
      <c r="F1350" s="2" t="inlineStr">
        <is>
          <t>Fashion</t>
        </is>
      </c>
      <c r="G1350" s="2" t="inlineStr">
        <is>
          <t>West</t>
        </is>
      </c>
      <c r="H1350" s="2" t="inlineStr">
        <is>
          <t>Maharashtra</t>
        </is>
      </c>
      <c r="I1350" s="2" t="inlineStr">
        <is>
          <t>Thane</t>
        </is>
      </c>
      <c r="J1350" s="2" t="inlineStr">
        <is>
          <t>Store</t>
        </is>
      </c>
      <c r="K1350" s="2" t="n">
        <v>1</v>
      </c>
      <c r="L1350" s="3" t="n">
        <v>1906.73</v>
      </c>
      <c r="M1350" s="4" t="n">
        <v>0.05</v>
      </c>
      <c r="N1350" s="3" t="n">
        <v>1531.53</v>
      </c>
      <c r="O1350" s="3">
        <f>K1350*L1350*(1-M1350)</f>
        <v/>
      </c>
      <c r="P1350" s="3">
        <f>O1350-N1350</f>
        <v/>
      </c>
      <c r="Q1350" s="5">
        <f>IFERROR(P1350/O1350,0)</f>
        <v/>
      </c>
      <c r="R1350" s="2">
        <f>TEXT(DATEVALUE(B1350),"mmm")</f>
        <v/>
      </c>
      <c r="S1350" s="2">
        <f>TEXT(DATEVALUE(B1350),"yyyy-mm")</f>
        <v/>
      </c>
    </row>
    <row r="1351">
      <c r="A1351" s="2" t="inlineStr">
        <is>
          <t>O002822</t>
        </is>
      </c>
      <c r="B1351" s="2" t="inlineStr">
        <is>
          <t>2025-04-10</t>
        </is>
      </c>
      <c r="C1351" s="2" t="inlineStr">
        <is>
          <t>C0244</t>
        </is>
      </c>
      <c r="D1351" s="2" t="inlineStr">
        <is>
          <t>P0004</t>
        </is>
      </c>
      <c r="E1351" s="2" t="inlineStr">
        <is>
          <t>USB-C Hub</t>
        </is>
      </c>
      <c r="F1351" s="2" t="inlineStr">
        <is>
          <t>Electronics</t>
        </is>
      </c>
      <c r="G1351" s="2" t="inlineStr">
        <is>
          <t>South</t>
        </is>
      </c>
      <c r="H1351" s="2" t="inlineStr">
        <is>
          <t>Kerala</t>
        </is>
      </c>
      <c r="I1351" s="2" t="inlineStr">
        <is>
          <t>Thiruvananthapuram</t>
        </is>
      </c>
      <c r="J1351" s="2" t="inlineStr">
        <is>
          <t>Online</t>
        </is>
      </c>
      <c r="K1351" s="2" t="n">
        <v>1</v>
      </c>
      <c r="L1351" s="3" t="n">
        <v>1263.43</v>
      </c>
      <c r="M1351" s="4" t="n">
        <v>0</v>
      </c>
      <c r="N1351" s="3" t="n">
        <v>902.13</v>
      </c>
      <c r="O1351" s="3">
        <f>K1351*L1351*(1-M1351)</f>
        <v/>
      </c>
      <c r="P1351" s="3">
        <f>O1351-N1351</f>
        <v/>
      </c>
      <c r="Q1351" s="5">
        <f>IFERROR(P1351/O1351,0)</f>
        <v/>
      </c>
      <c r="R1351" s="2">
        <f>TEXT(DATEVALUE(B1351),"mmm")</f>
        <v/>
      </c>
      <c r="S1351" s="2">
        <f>TEXT(DATEVALUE(B1351),"yyyy-mm")</f>
        <v/>
      </c>
    </row>
    <row r="1352">
      <c r="A1352" s="2" t="inlineStr">
        <is>
          <t>O002543</t>
        </is>
      </c>
      <c r="B1352" s="2" t="inlineStr">
        <is>
          <t>2025-04-11</t>
        </is>
      </c>
      <c r="C1352" s="2" t="inlineStr">
        <is>
          <t>C0745</t>
        </is>
      </c>
      <c r="D1352" s="2" t="inlineStr">
        <is>
          <t>P0006</t>
        </is>
      </c>
      <c r="E1352" s="2" t="inlineStr">
        <is>
          <t>Mechanical Keyboard</t>
        </is>
      </c>
      <c r="F1352" s="2" t="inlineStr">
        <is>
          <t>Electronics</t>
        </is>
      </c>
      <c r="G1352" s="2" t="inlineStr">
        <is>
          <t>West</t>
        </is>
      </c>
      <c r="H1352" s="2" t="inlineStr">
        <is>
          <t>Maharashtra</t>
        </is>
      </c>
      <c r="I1352" s="2" t="inlineStr">
        <is>
          <t>Thane</t>
        </is>
      </c>
      <c r="J1352" s="2" t="inlineStr">
        <is>
          <t>Online</t>
        </is>
      </c>
      <c r="K1352" s="2" t="n">
        <v>1</v>
      </c>
      <c r="L1352" s="3" t="n">
        <v>2754.32</v>
      </c>
      <c r="M1352" s="4" t="n">
        <v>0.1</v>
      </c>
      <c r="N1352" s="3" t="n">
        <v>1448.61</v>
      </c>
      <c r="O1352" s="3">
        <f>K1352*L1352*(1-M1352)</f>
        <v/>
      </c>
      <c r="P1352" s="3">
        <f>O1352-N1352</f>
        <v/>
      </c>
      <c r="Q1352" s="5">
        <f>IFERROR(P1352/O1352,0)</f>
        <v/>
      </c>
      <c r="R1352" s="2">
        <f>TEXT(DATEVALUE(B1352),"mmm")</f>
        <v/>
      </c>
      <c r="S1352" s="2">
        <f>TEXT(DATEVALUE(B1352),"yyyy-mm")</f>
        <v/>
      </c>
    </row>
    <row r="1353">
      <c r="A1353" s="2" t="inlineStr">
        <is>
          <t>O004010</t>
        </is>
      </c>
      <c r="B1353" s="2" t="inlineStr">
        <is>
          <t>2025-04-11</t>
        </is>
      </c>
      <c r="C1353" s="2" t="inlineStr">
        <is>
          <t>C0311</t>
        </is>
      </c>
      <c r="D1353" s="2" t="inlineStr">
        <is>
          <t>P0023</t>
        </is>
      </c>
      <c r="E1353" s="2" t="inlineStr">
        <is>
          <t>Skin Care Kit</t>
        </is>
      </c>
      <c r="F1353" s="2" t="inlineStr">
        <is>
          <t>Beauty</t>
        </is>
      </c>
      <c r="G1353" s="2" t="inlineStr">
        <is>
          <t>West</t>
        </is>
      </c>
      <c r="H1353" s="2" t="inlineStr">
        <is>
          <t>Gujarat</t>
        </is>
      </c>
      <c r="I1353" s="2" t="inlineStr">
        <is>
          <t>Vadodara</t>
        </is>
      </c>
      <c r="J1353" s="2" t="inlineStr">
        <is>
          <t>Store</t>
        </is>
      </c>
      <c r="K1353" s="2" t="n">
        <v>3</v>
      </c>
      <c r="L1353" s="3" t="n">
        <v>1376.98</v>
      </c>
      <c r="M1353" s="4" t="n">
        <v>0</v>
      </c>
      <c r="N1353" s="3" t="n">
        <v>2681.93</v>
      </c>
      <c r="O1353" s="3">
        <f>K1353*L1353*(1-M1353)</f>
        <v/>
      </c>
      <c r="P1353" s="3">
        <f>O1353-N1353</f>
        <v/>
      </c>
      <c r="Q1353" s="5">
        <f>IFERROR(P1353/O1353,0)</f>
        <v/>
      </c>
      <c r="R1353" s="2">
        <f>TEXT(DATEVALUE(B1353),"mmm")</f>
        <v/>
      </c>
      <c r="S1353" s="2">
        <f>TEXT(DATEVALUE(B1353),"yyyy-mm")</f>
        <v/>
      </c>
    </row>
    <row r="1354">
      <c r="A1354" s="2" t="inlineStr">
        <is>
          <t>O003998</t>
        </is>
      </c>
      <c r="B1354" s="2" t="inlineStr">
        <is>
          <t>2025-04-11</t>
        </is>
      </c>
      <c r="C1354" s="2" t="inlineStr">
        <is>
          <t>C0765</t>
        </is>
      </c>
      <c r="D1354" s="2" t="inlineStr">
        <is>
          <t>P0009</t>
        </is>
      </c>
      <c r="E1354" s="2" t="inlineStr">
        <is>
          <t>Electric Kettle</t>
        </is>
      </c>
      <c r="F1354" s="2" t="inlineStr">
        <is>
          <t>Home &amp; Kitchen</t>
        </is>
      </c>
      <c r="G1354" s="2" t="inlineStr">
        <is>
          <t>East</t>
        </is>
      </c>
      <c r="H1354" s="2" t="inlineStr">
        <is>
          <t>West Bengal</t>
        </is>
      </c>
      <c r="I1354" s="2" t="inlineStr">
        <is>
          <t>Durgapur</t>
        </is>
      </c>
      <c r="J1354" s="2" t="inlineStr">
        <is>
          <t>Online</t>
        </is>
      </c>
      <c r="K1354" s="2" t="n">
        <v>2</v>
      </c>
      <c r="L1354" s="3" t="n">
        <v>2009.92</v>
      </c>
      <c r="M1354" s="4" t="n">
        <v>0</v>
      </c>
      <c r="N1354" s="3" t="n">
        <v>2318.87</v>
      </c>
      <c r="O1354" s="3">
        <f>K1354*L1354*(1-M1354)</f>
        <v/>
      </c>
      <c r="P1354" s="3">
        <f>O1354-N1354</f>
        <v/>
      </c>
      <c r="Q1354" s="5">
        <f>IFERROR(P1354/O1354,0)</f>
        <v/>
      </c>
      <c r="R1354" s="2">
        <f>TEXT(DATEVALUE(B1354),"mmm")</f>
        <v/>
      </c>
      <c r="S1354" s="2">
        <f>TEXT(DATEVALUE(B1354),"yyyy-mm")</f>
        <v/>
      </c>
    </row>
    <row r="1355">
      <c r="A1355" s="2" t="inlineStr">
        <is>
          <t>O003723</t>
        </is>
      </c>
      <c r="B1355" s="2" t="inlineStr">
        <is>
          <t>2025-04-11</t>
        </is>
      </c>
      <c r="C1355" s="2" t="inlineStr">
        <is>
          <t>C0790</t>
        </is>
      </c>
      <c r="D1355" s="2" t="inlineStr">
        <is>
          <t>P0007</t>
        </is>
      </c>
      <c r="E1355" s="2" t="inlineStr">
        <is>
          <t>Wireless Mouse</t>
        </is>
      </c>
      <c r="F1355" s="2" t="inlineStr">
        <is>
          <t>Electronics</t>
        </is>
      </c>
      <c r="G1355" s="2" t="inlineStr">
        <is>
          <t>West</t>
        </is>
      </c>
      <c r="H1355" s="2" t="inlineStr">
        <is>
          <t>Maharashtra</t>
        </is>
      </c>
      <c r="I1355" s="2" t="inlineStr">
        <is>
          <t>Nagpur</t>
        </is>
      </c>
      <c r="J1355" s="2" t="inlineStr">
        <is>
          <t>Online</t>
        </is>
      </c>
      <c r="K1355" s="2" t="n">
        <v>2</v>
      </c>
      <c r="L1355" s="3" t="n">
        <v>946.34</v>
      </c>
      <c r="M1355" s="4" t="n">
        <v>0.05</v>
      </c>
      <c r="N1355" s="3" t="n">
        <v>1283</v>
      </c>
      <c r="O1355" s="3">
        <f>K1355*L1355*(1-M1355)</f>
        <v/>
      </c>
      <c r="P1355" s="3">
        <f>O1355-N1355</f>
        <v/>
      </c>
      <c r="Q1355" s="5">
        <f>IFERROR(P1355/O1355,0)</f>
        <v/>
      </c>
      <c r="R1355" s="2">
        <f>TEXT(DATEVALUE(B1355),"mmm")</f>
        <v/>
      </c>
      <c r="S1355" s="2">
        <f>TEXT(DATEVALUE(B1355),"yyyy-mm")</f>
        <v/>
      </c>
    </row>
    <row r="1356">
      <c r="A1356" s="2" t="inlineStr">
        <is>
          <t>O003480</t>
        </is>
      </c>
      <c r="B1356" s="2" t="inlineStr">
        <is>
          <t>2025-04-11</t>
        </is>
      </c>
      <c r="C1356" s="2" t="inlineStr">
        <is>
          <t>C0637</t>
        </is>
      </c>
      <c r="D1356" s="2" t="inlineStr">
        <is>
          <t>P0016</t>
        </is>
      </c>
      <c r="E1356" s="2" t="inlineStr">
        <is>
          <t>Casual Shirt</t>
        </is>
      </c>
      <c r="F1356" s="2" t="inlineStr">
        <is>
          <t>Fashion</t>
        </is>
      </c>
      <c r="G1356" s="2" t="inlineStr">
        <is>
          <t>East</t>
        </is>
      </c>
      <c r="H1356" s="2" t="inlineStr">
        <is>
          <t>West Bengal</t>
        </is>
      </c>
      <c r="I1356" s="2" t="inlineStr">
        <is>
          <t>Durgapur</t>
        </is>
      </c>
      <c r="J1356" s="2" t="inlineStr">
        <is>
          <t>Store</t>
        </is>
      </c>
      <c r="K1356" s="2" t="n">
        <v>1</v>
      </c>
      <c r="L1356" s="3" t="n">
        <v>1326.81</v>
      </c>
      <c r="M1356" s="4" t="n">
        <v>0</v>
      </c>
      <c r="N1356" s="3" t="n">
        <v>893.38</v>
      </c>
      <c r="O1356" s="3">
        <f>K1356*L1356*(1-M1356)</f>
        <v/>
      </c>
      <c r="P1356" s="3">
        <f>O1356-N1356</f>
        <v/>
      </c>
      <c r="Q1356" s="5">
        <f>IFERROR(P1356/O1356,0)</f>
        <v/>
      </c>
      <c r="R1356" s="2">
        <f>TEXT(DATEVALUE(B1356),"mmm")</f>
        <v/>
      </c>
      <c r="S1356" s="2">
        <f>TEXT(DATEVALUE(B1356),"yyyy-mm")</f>
        <v/>
      </c>
    </row>
    <row r="1357">
      <c r="A1357" s="2" t="inlineStr">
        <is>
          <t>O002994</t>
        </is>
      </c>
      <c r="B1357" s="2" t="inlineStr">
        <is>
          <t>2025-04-11</t>
        </is>
      </c>
      <c r="C1357" s="2" t="inlineStr">
        <is>
          <t>C0104</t>
        </is>
      </c>
      <c r="D1357" s="2" t="inlineStr">
        <is>
          <t>P0014</t>
        </is>
      </c>
      <c r="E1357" s="2" t="inlineStr">
        <is>
          <t>Coffee Maker</t>
        </is>
      </c>
      <c r="F1357" s="2" t="inlineStr">
        <is>
          <t>Home &amp; Kitchen</t>
        </is>
      </c>
      <c r="G1357" s="2" t="inlineStr">
        <is>
          <t>North</t>
        </is>
      </c>
      <c r="H1357" s="2" t="inlineStr">
        <is>
          <t>Uttar Pradesh</t>
        </is>
      </c>
      <c r="I1357" s="2" t="inlineStr">
        <is>
          <t>Lucknow</t>
        </is>
      </c>
      <c r="J1357" s="2" t="inlineStr">
        <is>
          <t>Online</t>
        </is>
      </c>
      <c r="K1357" s="2" t="n">
        <v>2</v>
      </c>
      <c r="L1357" s="3" t="n">
        <v>1049.99</v>
      </c>
      <c r="M1357" s="4" t="n">
        <v>0.1</v>
      </c>
      <c r="N1357" s="3" t="n">
        <v>1546.23</v>
      </c>
      <c r="O1357" s="3">
        <f>K1357*L1357*(1-M1357)</f>
        <v/>
      </c>
      <c r="P1357" s="3">
        <f>O1357-N1357</f>
        <v/>
      </c>
      <c r="Q1357" s="5">
        <f>IFERROR(P1357/O1357,0)</f>
        <v/>
      </c>
      <c r="R1357" s="2">
        <f>TEXT(DATEVALUE(B1357),"mmm")</f>
        <v/>
      </c>
      <c r="S1357" s="2">
        <f>TEXT(DATEVALUE(B1357),"yyyy-mm")</f>
        <v/>
      </c>
    </row>
    <row r="1358">
      <c r="A1358" s="2" t="inlineStr">
        <is>
          <t>O002991</t>
        </is>
      </c>
      <c r="B1358" s="2" t="inlineStr">
        <is>
          <t>2025-04-11</t>
        </is>
      </c>
      <c r="C1358" s="2" t="inlineStr">
        <is>
          <t>C0014</t>
        </is>
      </c>
      <c r="D1358" s="2" t="inlineStr">
        <is>
          <t>P0031</t>
        </is>
      </c>
      <c r="E1358" s="2" t="inlineStr">
        <is>
          <t>Cricket Bat</t>
        </is>
      </c>
      <c r="F1358" s="2" t="inlineStr">
        <is>
          <t>Sports</t>
        </is>
      </c>
      <c r="G1358" s="2" t="inlineStr">
        <is>
          <t>South</t>
        </is>
      </c>
      <c r="H1358" s="2" t="inlineStr">
        <is>
          <t>Karnataka</t>
        </is>
      </c>
      <c r="I1358" s="2" t="inlineStr">
        <is>
          <t>Mysuru</t>
        </is>
      </c>
      <c r="J1358" s="2" t="inlineStr">
        <is>
          <t>Online</t>
        </is>
      </c>
      <c r="K1358" s="2" t="n">
        <v>6</v>
      </c>
      <c r="L1358" s="3" t="n">
        <v>1417.72</v>
      </c>
      <c r="M1358" s="4" t="n">
        <v>0.1</v>
      </c>
      <c r="N1358" s="3" t="n">
        <v>5635.45</v>
      </c>
      <c r="O1358" s="3">
        <f>K1358*L1358*(1-M1358)</f>
        <v/>
      </c>
      <c r="P1358" s="3">
        <f>O1358-N1358</f>
        <v/>
      </c>
      <c r="Q1358" s="5">
        <f>IFERROR(P1358/O1358,0)</f>
        <v/>
      </c>
      <c r="R1358" s="2">
        <f>TEXT(DATEVALUE(B1358),"mmm")</f>
        <v/>
      </c>
      <c r="S1358" s="2">
        <f>TEXT(DATEVALUE(B1358),"yyyy-mm")</f>
        <v/>
      </c>
    </row>
    <row r="1359">
      <c r="A1359" s="2" t="inlineStr">
        <is>
          <t>O002707</t>
        </is>
      </c>
      <c r="B1359" s="2" t="inlineStr">
        <is>
          <t>2025-04-11</t>
        </is>
      </c>
      <c r="C1359" s="2" t="inlineStr">
        <is>
          <t>C0510</t>
        </is>
      </c>
      <c r="D1359" s="2" t="inlineStr">
        <is>
          <t>P0002</t>
        </is>
      </c>
      <c r="E1359" s="2" t="inlineStr">
        <is>
          <t>Bluetooth Speaker</t>
        </is>
      </c>
      <c r="F1359" s="2" t="inlineStr">
        <is>
          <t>Electronics</t>
        </is>
      </c>
      <c r="G1359" s="2" t="inlineStr">
        <is>
          <t>West</t>
        </is>
      </c>
      <c r="H1359" s="2" t="inlineStr">
        <is>
          <t>Goa</t>
        </is>
      </c>
      <c r="I1359" s="2" t="inlineStr">
        <is>
          <t>Margao</t>
        </is>
      </c>
      <c r="J1359" s="2" t="inlineStr">
        <is>
          <t>Store</t>
        </is>
      </c>
      <c r="K1359" s="2" t="n">
        <v>2</v>
      </c>
      <c r="L1359" s="3" t="n">
        <v>1341.47</v>
      </c>
      <c r="M1359" s="4" t="n">
        <v>0.1</v>
      </c>
      <c r="N1359" s="3" t="n">
        <v>1648.73</v>
      </c>
      <c r="O1359" s="3">
        <f>K1359*L1359*(1-M1359)</f>
        <v/>
      </c>
      <c r="P1359" s="3">
        <f>O1359-N1359</f>
        <v/>
      </c>
      <c r="Q1359" s="5">
        <f>IFERROR(P1359/O1359,0)</f>
        <v/>
      </c>
      <c r="R1359" s="2">
        <f>TEXT(DATEVALUE(B1359),"mmm")</f>
        <v/>
      </c>
      <c r="S1359" s="2">
        <f>TEXT(DATEVALUE(B1359),"yyyy-mm")</f>
        <v/>
      </c>
    </row>
    <row r="1360">
      <c r="A1360" s="2" t="inlineStr">
        <is>
          <t>O002455</t>
        </is>
      </c>
      <c r="B1360" s="2" t="inlineStr">
        <is>
          <t>2025-04-11</t>
        </is>
      </c>
      <c r="C1360" s="2" t="inlineStr">
        <is>
          <t>C0793</t>
        </is>
      </c>
      <c r="D1360" s="2" t="inlineStr">
        <is>
          <t>P0011</t>
        </is>
      </c>
      <c r="E1360" s="2" t="inlineStr">
        <is>
          <t>Cookware Set</t>
        </is>
      </c>
      <c r="F1360" s="2" t="inlineStr">
        <is>
          <t>Home &amp; Kitchen</t>
        </is>
      </c>
      <c r="G1360" s="2" t="inlineStr">
        <is>
          <t>West</t>
        </is>
      </c>
      <c r="H1360" s="2" t="inlineStr">
        <is>
          <t>Gujarat</t>
        </is>
      </c>
      <c r="I1360" s="2" t="inlineStr">
        <is>
          <t>Ahmedabad</t>
        </is>
      </c>
      <c r="J1360" s="2" t="inlineStr">
        <is>
          <t>Online</t>
        </is>
      </c>
      <c r="K1360" s="2" t="n">
        <v>1</v>
      </c>
      <c r="L1360" s="3" t="n">
        <v>675.36</v>
      </c>
      <c r="M1360" s="4" t="n">
        <v>0.05</v>
      </c>
      <c r="N1360" s="3" t="n">
        <v>478.32</v>
      </c>
      <c r="O1360" s="3">
        <f>K1360*L1360*(1-M1360)</f>
        <v/>
      </c>
      <c r="P1360" s="3">
        <f>O1360-N1360</f>
        <v/>
      </c>
      <c r="Q1360" s="5">
        <f>IFERROR(P1360/O1360,0)</f>
        <v/>
      </c>
      <c r="R1360" s="2">
        <f>TEXT(DATEVALUE(B1360),"mmm")</f>
        <v/>
      </c>
      <c r="S1360" s="2">
        <f>TEXT(DATEVALUE(B1360),"yyyy-mm")</f>
        <v/>
      </c>
    </row>
    <row r="1361">
      <c r="A1361" s="2" t="inlineStr">
        <is>
          <t>O003737</t>
        </is>
      </c>
      <c r="B1361" s="2" t="inlineStr">
        <is>
          <t>2025-04-11</t>
        </is>
      </c>
      <c r="C1361" s="2" t="inlineStr">
        <is>
          <t>C0200</t>
        </is>
      </c>
      <c r="D1361" s="2" t="inlineStr">
        <is>
          <t>P0035</t>
        </is>
      </c>
      <c r="E1361" s="2" t="inlineStr">
        <is>
          <t>Skipping Rope</t>
        </is>
      </c>
      <c r="F1361" s="2" t="inlineStr">
        <is>
          <t>Sports</t>
        </is>
      </c>
      <c r="G1361" s="2" t="inlineStr">
        <is>
          <t>North</t>
        </is>
      </c>
      <c r="H1361" s="2" t="inlineStr">
        <is>
          <t>Haryana</t>
        </is>
      </c>
      <c r="I1361" s="2" t="inlineStr">
        <is>
          <t>Faridabad</t>
        </is>
      </c>
      <c r="J1361" s="2" t="inlineStr">
        <is>
          <t>Online</t>
        </is>
      </c>
      <c r="K1361" s="2" t="n">
        <v>4</v>
      </c>
      <c r="L1361" s="3" t="n">
        <v>723.3</v>
      </c>
      <c r="M1361" s="4" t="n">
        <v>0.05</v>
      </c>
      <c r="N1361" s="3" t="n">
        <v>1656.6</v>
      </c>
      <c r="O1361" s="3">
        <f>K1361*L1361*(1-M1361)</f>
        <v/>
      </c>
      <c r="P1361" s="3">
        <f>O1361-N1361</f>
        <v/>
      </c>
      <c r="Q1361" s="5">
        <f>IFERROR(P1361/O1361,0)</f>
        <v/>
      </c>
      <c r="R1361" s="2">
        <f>TEXT(DATEVALUE(B1361),"mmm")</f>
        <v/>
      </c>
      <c r="S1361" s="2">
        <f>TEXT(DATEVALUE(B1361),"yyyy-mm")</f>
        <v/>
      </c>
    </row>
    <row r="1362">
      <c r="A1362" s="2" t="inlineStr">
        <is>
          <t>O001426</t>
        </is>
      </c>
      <c r="B1362" s="2" t="inlineStr">
        <is>
          <t>2025-04-11</t>
        </is>
      </c>
      <c r="C1362" s="2" t="inlineStr">
        <is>
          <t>C0287</t>
        </is>
      </c>
      <c r="D1362" s="2" t="inlineStr">
        <is>
          <t>P0023</t>
        </is>
      </c>
      <c r="E1362" s="2" t="inlineStr">
        <is>
          <t>Skin Care Kit</t>
        </is>
      </c>
      <c r="F1362" s="2" t="inlineStr">
        <is>
          <t>Beauty</t>
        </is>
      </c>
      <c r="G1362" s="2" t="inlineStr">
        <is>
          <t>South</t>
        </is>
      </c>
      <c r="H1362" s="2" t="inlineStr">
        <is>
          <t>Karnataka</t>
        </is>
      </c>
      <c r="I1362" s="2" t="inlineStr">
        <is>
          <t>Mangaluru</t>
        </is>
      </c>
      <c r="J1362" s="2" t="inlineStr">
        <is>
          <t>Store</t>
        </is>
      </c>
      <c r="K1362" s="2" t="n">
        <v>1</v>
      </c>
      <c r="L1362" s="3" t="n">
        <v>1407.32</v>
      </c>
      <c r="M1362" s="4" t="n">
        <v>0</v>
      </c>
      <c r="N1362" s="3" t="n">
        <v>881.27</v>
      </c>
      <c r="O1362" s="3">
        <f>K1362*L1362*(1-M1362)</f>
        <v/>
      </c>
      <c r="P1362" s="3">
        <f>O1362-N1362</f>
        <v/>
      </c>
      <c r="Q1362" s="5">
        <f>IFERROR(P1362/O1362,0)</f>
        <v/>
      </c>
      <c r="R1362" s="2">
        <f>TEXT(DATEVALUE(B1362),"mmm")</f>
        <v/>
      </c>
      <c r="S1362" s="2">
        <f>TEXT(DATEVALUE(B1362),"yyyy-mm")</f>
        <v/>
      </c>
    </row>
    <row r="1363">
      <c r="A1363" s="2" t="inlineStr">
        <is>
          <t>O001160</t>
        </is>
      </c>
      <c r="B1363" s="2" t="inlineStr">
        <is>
          <t>2025-04-11</t>
        </is>
      </c>
      <c r="C1363" s="2" t="inlineStr">
        <is>
          <t>C0724</t>
        </is>
      </c>
      <c r="D1363" s="2" t="inlineStr">
        <is>
          <t>P0017</t>
        </is>
      </c>
      <c r="E1363" s="2" t="inlineStr">
        <is>
          <t>Jeans</t>
        </is>
      </c>
      <c r="F1363" s="2" t="inlineStr">
        <is>
          <t>Fashion</t>
        </is>
      </c>
      <c r="G1363" s="2" t="inlineStr">
        <is>
          <t>South</t>
        </is>
      </c>
      <c r="H1363" s="2" t="inlineStr">
        <is>
          <t>Karnataka</t>
        </is>
      </c>
      <c r="I1363" s="2" t="inlineStr">
        <is>
          <t>Mangaluru</t>
        </is>
      </c>
      <c r="J1363" s="2" t="inlineStr">
        <is>
          <t>Online</t>
        </is>
      </c>
      <c r="K1363" s="2" t="n">
        <v>2</v>
      </c>
      <c r="L1363" s="3" t="n">
        <v>1497.97</v>
      </c>
      <c r="M1363" s="4" t="n">
        <v>0.05</v>
      </c>
      <c r="N1363" s="3" t="n">
        <v>2063.86</v>
      </c>
      <c r="O1363" s="3">
        <f>K1363*L1363*(1-M1363)</f>
        <v/>
      </c>
      <c r="P1363" s="3">
        <f>O1363-N1363</f>
        <v/>
      </c>
      <c r="Q1363" s="5">
        <f>IFERROR(P1363/O1363,0)</f>
        <v/>
      </c>
      <c r="R1363" s="2">
        <f>TEXT(DATEVALUE(B1363),"mmm")</f>
        <v/>
      </c>
      <c r="S1363" s="2">
        <f>TEXT(DATEVALUE(B1363),"yyyy-mm")</f>
        <v/>
      </c>
    </row>
    <row r="1364">
      <c r="A1364" s="2" t="inlineStr">
        <is>
          <t>O001014</t>
        </is>
      </c>
      <c r="B1364" s="2" t="inlineStr">
        <is>
          <t>2025-04-11</t>
        </is>
      </c>
      <c r="C1364" s="2" t="inlineStr">
        <is>
          <t>C0076</t>
        </is>
      </c>
      <c r="D1364" s="2" t="inlineStr">
        <is>
          <t>P0022</t>
        </is>
      </c>
      <c r="E1364" s="2" t="inlineStr">
        <is>
          <t>Face Wash</t>
        </is>
      </c>
      <c r="F1364" s="2" t="inlineStr">
        <is>
          <t>Beauty</t>
        </is>
      </c>
      <c r="G1364" s="2" t="inlineStr">
        <is>
          <t>South</t>
        </is>
      </c>
      <c r="H1364" s="2" t="inlineStr">
        <is>
          <t>Telangana</t>
        </is>
      </c>
      <c r="I1364" s="2" t="inlineStr">
        <is>
          <t>Warangal</t>
        </is>
      </c>
      <c r="J1364" s="2" t="inlineStr">
        <is>
          <t>Online</t>
        </is>
      </c>
      <c r="K1364" s="2" t="n">
        <v>6</v>
      </c>
      <c r="L1364" s="3" t="n">
        <v>556.34</v>
      </c>
      <c r="M1364" s="4" t="n">
        <v>0.1</v>
      </c>
      <c r="N1364" s="3" t="n">
        <v>2165.38</v>
      </c>
      <c r="O1364" s="3">
        <f>K1364*L1364*(1-M1364)</f>
        <v/>
      </c>
      <c r="P1364" s="3">
        <f>O1364-N1364</f>
        <v/>
      </c>
      <c r="Q1364" s="5">
        <f>IFERROR(P1364/O1364,0)</f>
        <v/>
      </c>
      <c r="R1364" s="2">
        <f>TEXT(DATEVALUE(B1364),"mmm")</f>
        <v/>
      </c>
      <c r="S1364" s="2">
        <f>TEXT(DATEVALUE(B1364),"yyyy-mm")</f>
        <v/>
      </c>
    </row>
    <row r="1365">
      <c r="A1365" s="2" t="inlineStr">
        <is>
          <t>O000934</t>
        </is>
      </c>
      <c r="B1365" s="2" t="inlineStr">
        <is>
          <t>2025-04-11</t>
        </is>
      </c>
      <c r="C1365" s="2" t="inlineStr">
        <is>
          <t>C0310</t>
        </is>
      </c>
      <c r="D1365" s="2" t="inlineStr">
        <is>
          <t>P0021</t>
        </is>
      </c>
      <c r="E1365" s="2" t="inlineStr">
        <is>
          <t>Wallet</t>
        </is>
      </c>
      <c r="F1365" s="2" t="inlineStr">
        <is>
          <t>Fashion</t>
        </is>
      </c>
      <c r="G1365" s="2" t="inlineStr">
        <is>
          <t>West</t>
        </is>
      </c>
      <c r="H1365" s="2" t="inlineStr">
        <is>
          <t>Maharashtra</t>
        </is>
      </c>
      <c r="I1365" s="2" t="inlineStr">
        <is>
          <t>Thane</t>
        </is>
      </c>
      <c r="J1365" s="2" t="inlineStr">
        <is>
          <t>Store</t>
        </is>
      </c>
      <c r="K1365" s="2" t="n">
        <v>2</v>
      </c>
      <c r="L1365" s="3" t="n">
        <v>1947.86</v>
      </c>
      <c r="M1365" s="4" t="n">
        <v>0</v>
      </c>
      <c r="N1365" s="3" t="n">
        <v>2385.53</v>
      </c>
      <c r="O1365" s="3">
        <f>K1365*L1365*(1-M1365)</f>
        <v/>
      </c>
      <c r="P1365" s="3">
        <f>O1365-N1365</f>
        <v/>
      </c>
      <c r="Q1365" s="5">
        <f>IFERROR(P1365/O1365,0)</f>
        <v/>
      </c>
      <c r="R1365" s="2">
        <f>TEXT(DATEVALUE(B1365),"mmm")</f>
        <v/>
      </c>
      <c r="S1365" s="2">
        <f>TEXT(DATEVALUE(B1365),"yyyy-mm")</f>
        <v/>
      </c>
    </row>
    <row r="1366">
      <c r="A1366" s="2" t="inlineStr">
        <is>
          <t>O000510</t>
        </is>
      </c>
      <c r="B1366" s="2" t="inlineStr">
        <is>
          <t>2025-04-11</t>
        </is>
      </c>
      <c r="C1366" s="2" t="inlineStr">
        <is>
          <t>C0457</t>
        </is>
      </c>
      <c r="D1366" s="2" t="inlineStr">
        <is>
          <t>P0001</t>
        </is>
      </c>
      <c r="E1366" s="2" t="inlineStr">
        <is>
          <t>Wireless Headphones</t>
        </is>
      </c>
      <c r="F1366" s="2" t="inlineStr">
        <is>
          <t>Electronics</t>
        </is>
      </c>
      <c r="G1366" s="2" t="inlineStr">
        <is>
          <t>West</t>
        </is>
      </c>
      <c r="H1366" s="2" t="inlineStr">
        <is>
          <t>Goa</t>
        </is>
      </c>
      <c r="I1366" s="2" t="inlineStr">
        <is>
          <t>Margao</t>
        </is>
      </c>
      <c r="J1366" s="2" t="inlineStr">
        <is>
          <t>Online</t>
        </is>
      </c>
      <c r="K1366" s="2" t="n">
        <v>1</v>
      </c>
      <c r="L1366" s="3" t="n">
        <v>1348.57</v>
      </c>
      <c r="M1366" s="4" t="n">
        <v>0.1</v>
      </c>
      <c r="N1366" s="3" t="n">
        <v>718.6900000000001</v>
      </c>
      <c r="O1366" s="3">
        <f>K1366*L1366*(1-M1366)</f>
        <v/>
      </c>
      <c r="P1366" s="3">
        <f>O1366-N1366</f>
        <v/>
      </c>
      <c r="Q1366" s="5">
        <f>IFERROR(P1366/O1366,0)</f>
        <v/>
      </c>
      <c r="R1366" s="2">
        <f>TEXT(DATEVALUE(B1366),"mmm")</f>
        <v/>
      </c>
      <c r="S1366" s="2">
        <f>TEXT(DATEVALUE(B1366),"yyyy-mm")</f>
        <v/>
      </c>
    </row>
    <row r="1367">
      <c r="A1367" s="2" t="inlineStr">
        <is>
          <t>O000411</t>
        </is>
      </c>
      <c r="B1367" s="2" t="inlineStr">
        <is>
          <t>2025-04-11</t>
        </is>
      </c>
      <c r="C1367" s="2" t="inlineStr">
        <is>
          <t>C0205</t>
        </is>
      </c>
      <c r="D1367" s="2" t="inlineStr">
        <is>
          <t>P0026</t>
        </is>
      </c>
      <c r="E1367" s="2" t="inlineStr">
        <is>
          <t>Shampoo</t>
        </is>
      </c>
      <c r="F1367" s="2" t="inlineStr">
        <is>
          <t>Beauty</t>
        </is>
      </c>
      <c r="G1367" s="2" t="inlineStr">
        <is>
          <t>East</t>
        </is>
      </c>
      <c r="H1367" s="2" t="inlineStr">
        <is>
          <t>Bihar</t>
        </is>
      </c>
      <c r="I1367" s="2" t="inlineStr">
        <is>
          <t>Gaya</t>
        </is>
      </c>
      <c r="J1367" s="2" t="inlineStr">
        <is>
          <t>Store</t>
        </is>
      </c>
      <c r="K1367" s="2" t="n">
        <v>3</v>
      </c>
      <c r="L1367" s="3" t="n">
        <v>891.6</v>
      </c>
      <c r="M1367" s="4" t="n">
        <v>0.1</v>
      </c>
      <c r="N1367" s="3" t="n">
        <v>1546.09</v>
      </c>
      <c r="O1367" s="3">
        <f>K1367*L1367*(1-M1367)</f>
        <v/>
      </c>
      <c r="P1367" s="3">
        <f>O1367-N1367</f>
        <v/>
      </c>
      <c r="Q1367" s="5">
        <f>IFERROR(P1367/O1367,0)</f>
        <v/>
      </c>
      <c r="R1367" s="2">
        <f>TEXT(DATEVALUE(B1367),"mmm")</f>
        <v/>
      </c>
      <c r="S1367" s="2">
        <f>TEXT(DATEVALUE(B1367),"yyyy-mm")</f>
        <v/>
      </c>
    </row>
    <row r="1368">
      <c r="A1368" s="2" t="inlineStr">
        <is>
          <t>O000202</t>
        </is>
      </c>
      <c r="B1368" s="2" t="inlineStr">
        <is>
          <t>2025-04-11</t>
        </is>
      </c>
      <c r="C1368" s="2" t="inlineStr">
        <is>
          <t>C0181</t>
        </is>
      </c>
      <c r="D1368" s="2" t="inlineStr">
        <is>
          <t>P0017</t>
        </is>
      </c>
      <c r="E1368" s="2" t="inlineStr">
        <is>
          <t>Jeans</t>
        </is>
      </c>
      <c r="F1368" s="2" t="inlineStr">
        <is>
          <t>Fashion</t>
        </is>
      </c>
      <c r="G1368" s="2" t="inlineStr">
        <is>
          <t>South</t>
        </is>
      </c>
      <c r="H1368" s="2" t="inlineStr">
        <is>
          <t>Karnataka</t>
        </is>
      </c>
      <c r="I1368" s="2" t="inlineStr">
        <is>
          <t>Mangaluru</t>
        </is>
      </c>
      <c r="J1368" s="2" t="inlineStr">
        <is>
          <t>Store</t>
        </is>
      </c>
      <c r="K1368" s="2" t="n">
        <v>3</v>
      </c>
      <c r="L1368" s="3" t="n">
        <v>1552.18</v>
      </c>
      <c r="M1368" s="4" t="n">
        <v>0</v>
      </c>
      <c r="N1368" s="3" t="n">
        <v>3117.76</v>
      </c>
      <c r="O1368" s="3">
        <f>K1368*L1368*(1-M1368)</f>
        <v/>
      </c>
      <c r="P1368" s="3">
        <f>O1368-N1368</f>
        <v/>
      </c>
      <c r="Q1368" s="5">
        <f>IFERROR(P1368/O1368,0)</f>
        <v/>
      </c>
      <c r="R1368" s="2">
        <f>TEXT(DATEVALUE(B1368),"mmm")</f>
        <v/>
      </c>
      <c r="S1368" s="2">
        <f>TEXT(DATEVALUE(B1368),"yyyy-mm")</f>
        <v/>
      </c>
    </row>
    <row r="1369">
      <c r="A1369" s="2" t="inlineStr">
        <is>
          <t>O000126</t>
        </is>
      </c>
      <c r="B1369" s="2" t="inlineStr">
        <is>
          <t>2025-04-11</t>
        </is>
      </c>
      <c r="C1369" s="2" t="inlineStr">
        <is>
          <t>C0464</t>
        </is>
      </c>
      <c r="D1369" s="2" t="inlineStr">
        <is>
          <t>P0030</t>
        </is>
      </c>
      <c r="E1369" s="2" t="inlineStr">
        <is>
          <t>Dumbbells</t>
        </is>
      </c>
      <c r="F1369" s="2" t="inlineStr">
        <is>
          <t>Sports</t>
        </is>
      </c>
      <c r="G1369" s="2" t="inlineStr">
        <is>
          <t>West</t>
        </is>
      </c>
      <c r="H1369" s="2" t="inlineStr">
        <is>
          <t>Goa</t>
        </is>
      </c>
      <c r="I1369" s="2" t="inlineStr">
        <is>
          <t>Panaji</t>
        </is>
      </c>
      <c r="J1369" s="2" t="inlineStr">
        <is>
          <t>Store</t>
        </is>
      </c>
      <c r="K1369" s="2" t="n">
        <v>3</v>
      </c>
      <c r="L1369" s="3" t="n">
        <v>1625.67</v>
      </c>
      <c r="M1369" s="4" t="n">
        <v>0.15</v>
      </c>
      <c r="N1369" s="3" t="n">
        <v>3024.63</v>
      </c>
      <c r="O1369" s="3">
        <f>K1369*L1369*(1-M1369)</f>
        <v/>
      </c>
      <c r="P1369" s="3">
        <f>O1369-N1369</f>
        <v/>
      </c>
      <c r="Q1369" s="5">
        <f>IFERROR(P1369/O1369,0)</f>
        <v/>
      </c>
      <c r="R1369" s="2">
        <f>TEXT(DATEVALUE(B1369),"mmm")</f>
        <v/>
      </c>
      <c r="S1369" s="2">
        <f>TEXT(DATEVALUE(B1369),"yyyy-mm")</f>
        <v/>
      </c>
    </row>
    <row r="1370">
      <c r="A1370" s="2" t="inlineStr">
        <is>
          <t>O002367</t>
        </is>
      </c>
      <c r="B1370" s="2" t="inlineStr">
        <is>
          <t>2025-04-11</t>
        </is>
      </c>
      <c r="C1370" s="2" t="inlineStr">
        <is>
          <t>C0475</t>
        </is>
      </c>
      <c r="D1370" s="2" t="inlineStr">
        <is>
          <t>P0034</t>
        </is>
      </c>
      <c r="E1370" s="2" t="inlineStr">
        <is>
          <t>Gym Gloves</t>
        </is>
      </c>
      <c r="F1370" s="2" t="inlineStr">
        <is>
          <t>Sports</t>
        </is>
      </c>
      <c r="G1370" s="2" t="inlineStr">
        <is>
          <t>East</t>
        </is>
      </c>
      <c r="H1370" s="2" t="inlineStr">
        <is>
          <t>Bihar</t>
        </is>
      </c>
      <c r="I1370" s="2" t="inlineStr">
        <is>
          <t>Patna</t>
        </is>
      </c>
      <c r="J1370" s="2" t="inlineStr">
        <is>
          <t>Store</t>
        </is>
      </c>
      <c r="K1370" s="2" t="n">
        <v>1</v>
      </c>
      <c r="L1370" s="3" t="n">
        <v>602.91</v>
      </c>
      <c r="M1370" s="4" t="n">
        <v>0</v>
      </c>
      <c r="N1370" s="3" t="n">
        <v>401.65</v>
      </c>
      <c r="O1370" s="3">
        <f>K1370*L1370*(1-M1370)</f>
        <v/>
      </c>
      <c r="P1370" s="3">
        <f>O1370-N1370</f>
        <v/>
      </c>
      <c r="Q1370" s="5">
        <f>IFERROR(P1370/O1370,0)</f>
        <v/>
      </c>
      <c r="R1370" s="2">
        <f>TEXT(DATEVALUE(B1370),"mmm")</f>
        <v/>
      </c>
      <c r="S1370" s="2">
        <f>TEXT(DATEVALUE(B1370),"yyyy-mm")</f>
        <v/>
      </c>
    </row>
    <row r="1371">
      <c r="A1371" s="2" t="inlineStr">
        <is>
          <t>O004493</t>
        </is>
      </c>
      <c r="B1371" s="2" t="inlineStr">
        <is>
          <t>2025-04-12</t>
        </is>
      </c>
      <c r="C1371" s="2" t="inlineStr">
        <is>
          <t>C0214</t>
        </is>
      </c>
      <c r="D1371" s="2" t="inlineStr">
        <is>
          <t>P0017</t>
        </is>
      </c>
      <c r="E1371" s="2" t="inlineStr">
        <is>
          <t>Jeans</t>
        </is>
      </c>
      <c r="F1371" s="2" t="inlineStr">
        <is>
          <t>Fashion</t>
        </is>
      </c>
      <c r="G1371" s="2" t="inlineStr">
        <is>
          <t>East</t>
        </is>
      </c>
      <c r="H1371" s="2" t="inlineStr">
        <is>
          <t>West Bengal</t>
        </is>
      </c>
      <c r="I1371" s="2" t="inlineStr">
        <is>
          <t>Kolkata</t>
        </is>
      </c>
      <c r="J1371" s="2" t="inlineStr">
        <is>
          <t>Online</t>
        </is>
      </c>
      <c r="K1371" s="2" t="n">
        <v>1</v>
      </c>
      <c r="L1371" s="3" t="n">
        <v>1541.34</v>
      </c>
      <c r="M1371" s="4" t="n">
        <v>0.1</v>
      </c>
      <c r="N1371" s="3" t="n">
        <v>1043.28</v>
      </c>
      <c r="O1371" s="3">
        <f>K1371*L1371*(1-M1371)</f>
        <v/>
      </c>
      <c r="P1371" s="3">
        <f>O1371-N1371</f>
        <v/>
      </c>
      <c r="Q1371" s="5">
        <f>IFERROR(P1371/O1371,0)</f>
        <v/>
      </c>
      <c r="R1371" s="2">
        <f>TEXT(DATEVALUE(B1371),"mmm")</f>
        <v/>
      </c>
      <c r="S1371" s="2">
        <f>TEXT(DATEVALUE(B1371),"yyyy-mm")</f>
        <v/>
      </c>
    </row>
    <row r="1372">
      <c r="A1372" s="2" t="inlineStr">
        <is>
          <t>O003898</t>
        </is>
      </c>
      <c r="B1372" s="2" t="inlineStr">
        <is>
          <t>2025-04-12</t>
        </is>
      </c>
      <c r="C1372" s="2" t="inlineStr">
        <is>
          <t>C0393</t>
        </is>
      </c>
      <c r="D1372" s="2" t="inlineStr">
        <is>
          <t>P0035</t>
        </is>
      </c>
      <c r="E1372" s="2" t="inlineStr">
        <is>
          <t>Skipping Rope</t>
        </is>
      </c>
      <c r="F1372" s="2" t="inlineStr">
        <is>
          <t>Sports</t>
        </is>
      </c>
      <c r="G1372" s="2" t="inlineStr">
        <is>
          <t>West</t>
        </is>
      </c>
      <c r="H1372" s="2" t="inlineStr">
        <is>
          <t>Goa</t>
        </is>
      </c>
      <c r="I1372" s="2" t="inlineStr">
        <is>
          <t>Panaji</t>
        </is>
      </c>
      <c r="J1372" s="2" t="inlineStr">
        <is>
          <t>Store</t>
        </is>
      </c>
      <c r="K1372" s="2" t="n">
        <v>2</v>
      </c>
      <c r="L1372" s="3" t="n">
        <v>721.61</v>
      </c>
      <c r="M1372" s="4" t="n">
        <v>0.15</v>
      </c>
      <c r="N1372" s="3" t="n">
        <v>841.0700000000001</v>
      </c>
      <c r="O1372" s="3">
        <f>K1372*L1372*(1-M1372)</f>
        <v/>
      </c>
      <c r="P1372" s="3">
        <f>O1372-N1372</f>
        <v/>
      </c>
      <c r="Q1372" s="5">
        <f>IFERROR(P1372/O1372,0)</f>
        <v/>
      </c>
      <c r="R1372" s="2">
        <f>TEXT(DATEVALUE(B1372),"mmm")</f>
        <v/>
      </c>
      <c r="S1372" s="2">
        <f>TEXT(DATEVALUE(B1372),"yyyy-mm")</f>
        <v/>
      </c>
    </row>
    <row r="1373">
      <c r="A1373" s="2" t="inlineStr">
        <is>
          <t>O003804</t>
        </is>
      </c>
      <c r="B1373" s="2" t="inlineStr">
        <is>
          <t>2025-04-12</t>
        </is>
      </c>
      <c r="C1373" s="2" t="inlineStr">
        <is>
          <t>C0602</t>
        </is>
      </c>
      <c r="D1373" s="2" t="inlineStr">
        <is>
          <t>P0005</t>
        </is>
      </c>
      <c r="E1373" s="2" t="inlineStr">
        <is>
          <t>Power Bank</t>
        </is>
      </c>
      <c r="F1373" s="2" t="inlineStr">
        <is>
          <t>Electronics</t>
        </is>
      </c>
      <c r="G1373" s="2" t="inlineStr">
        <is>
          <t>West</t>
        </is>
      </c>
      <c r="H1373" s="2" t="inlineStr">
        <is>
          <t>Goa</t>
        </is>
      </c>
      <c r="I1373" s="2" t="inlineStr">
        <is>
          <t>Panaji</t>
        </is>
      </c>
      <c r="J1373" s="2" t="inlineStr">
        <is>
          <t>Online</t>
        </is>
      </c>
      <c r="K1373" s="2" t="n">
        <v>5</v>
      </c>
      <c r="L1373" s="3" t="n">
        <v>1148.82</v>
      </c>
      <c r="M1373" s="4" t="n">
        <v>0.05</v>
      </c>
      <c r="N1373" s="3" t="n">
        <v>3370.34</v>
      </c>
      <c r="O1373" s="3">
        <f>K1373*L1373*(1-M1373)</f>
        <v/>
      </c>
      <c r="P1373" s="3">
        <f>O1373-N1373</f>
        <v/>
      </c>
      <c r="Q1373" s="5">
        <f>IFERROR(P1373/O1373,0)</f>
        <v/>
      </c>
      <c r="R1373" s="2">
        <f>TEXT(DATEVALUE(B1373),"mmm")</f>
        <v/>
      </c>
      <c r="S1373" s="2">
        <f>TEXT(DATEVALUE(B1373),"yyyy-mm")</f>
        <v/>
      </c>
    </row>
    <row r="1374">
      <c r="A1374" s="2" t="inlineStr">
        <is>
          <t>O003796</t>
        </is>
      </c>
      <c r="B1374" s="2" t="inlineStr">
        <is>
          <t>2025-04-12</t>
        </is>
      </c>
      <c r="C1374" s="2" t="inlineStr">
        <is>
          <t>C0479</t>
        </is>
      </c>
      <c r="D1374" s="2" t="inlineStr">
        <is>
          <t>P0004</t>
        </is>
      </c>
      <c r="E1374" s="2" t="inlineStr">
        <is>
          <t>USB-C Hub</t>
        </is>
      </c>
      <c r="F1374" s="2" t="inlineStr">
        <is>
          <t>Electronics</t>
        </is>
      </c>
      <c r="G1374" s="2" t="inlineStr">
        <is>
          <t>South</t>
        </is>
      </c>
      <c r="H1374" s="2" t="inlineStr">
        <is>
          <t>Tamil Nadu</t>
        </is>
      </c>
      <c r="I1374" s="2" t="inlineStr">
        <is>
          <t>Madurai</t>
        </is>
      </c>
      <c r="J1374" s="2" t="inlineStr">
        <is>
          <t>Store</t>
        </is>
      </c>
      <c r="K1374" s="2" t="n">
        <v>4</v>
      </c>
      <c r="L1374" s="3" t="n">
        <v>1305</v>
      </c>
      <c r="M1374" s="4" t="n">
        <v>0</v>
      </c>
      <c r="N1374" s="3" t="n">
        <v>3673.98</v>
      </c>
      <c r="O1374" s="3">
        <f>K1374*L1374*(1-M1374)</f>
        <v/>
      </c>
      <c r="P1374" s="3">
        <f>O1374-N1374</f>
        <v/>
      </c>
      <c r="Q1374" s="5">
        <f>IFERROR(P1374/O1374,0)</f>
        <v/>
      </c>
      <c r="R1374" s="2">
        <f>TEXT(DATEVALUE(B1374),"mmm")</f>
        <v/>
      </c>
      <c r="S1374" s="2">
        <f>TEXT(DATEVALUE(B1374),"yyyy-mm")</f>
        <v/>
      </c>
    </row>
    <row r="1375">
      <c r="A1375" s="2" t="inlineStr">
        <is>
          <t>O003513</t>
        </is>
      </c>
      <c r="B1375" s="2" t="inlineStr">
        <is>
          <t>2025-04-12</t>
        </is>
      </c>
      <c r="C1375" s="2" t="inlineStr">
        <is>
          <t>C0205</t>
        </is>
      </c>
      <c r="D1375" s="2" t="inlineStr">
        <is>
          <t>P0011</t>
        </is>
      </c>
      <c r="E1375" s="2" t="inlineStr">
        <is>
          <t>Cookware Set</t>
        </is>
      </c>
      <c r="F1375" s="2" t="inlineStr">
        <is>
          <t>Home &amp; Kitchen</t>
        </is>
      </c>
      <c r="G1375" s="2" t="inlineStr">
        <is>
          <t>North</t>
        </is>
      </c>
      <c r="H1375" s="2" t="inlineStr">
        <is>
          <t>Haryana</t>
        </is>
      </c>
      <c r="I1375" s="2" t="inlineStr">
        <is>
          <t>Gurugram</t>
        </is>
      </c>
      <c r="J1375" s="2" t="inlineStr">
        <is>
          <t>Online</t>
        </is>
      </c>
      <c r="K1375" s="2" t="n">
        <v>1</v>
      </c>
      <c r="L1375" s="3" t="n">
        <v>718.35</v>
      </c>
      <c r="M1375" s="4" t="n">
        <v>0.25</v>
      </c>
      <c r="N1375" s="3" t="n">
        <v>484.9</v>
      </c>
      <c r="O1375" s="3">
        <f>K1375*L1375*(1-M1375)</f>
        <v/>
      </c>
      <c r="P1375" s="3">
        <f>O1375-N1375</f>
        <v/>
      </c>
      <c r="Q1375" s="5">
        <f>IFERROR(P1375/O1375,0)</f>
        <v/>
      </c>
      <c r="R1375" s="2">
        <f>TEXT(DATEVALUE(B1375),"mmm")</f>
        <v/>
      </c>
      <c r="S1375" s="2">
        <f>TEXT(DATEVALUE(B1375),"yyyy-mm")</f>
        <v/>
      </c>
    </row>
    <row r="1376">
      <c r="A1376" s="2" t="inlineStr">
        <is>
          <t>O003117</t>
        </is>
      </c>
      <c r="B1376" s="2" t="inlineStr">
        <is>
          <t>2025-04-12</t>
        </is>
      </c>
      <c r="C1376" s="2" t="inlineStr">
        <is>
          <t>C0389</t>
        </is>
      </c>
      <c r="D1376" s="2" t="inlineStr">
        <is>
          <t>P0007</t>
        </is>
      </c>
      <c r="E1376" s="2" t="inlineStr">
        <is>
          <t>Wireless Mouse</t>
        </is>
      </c>
      <c r="F1376" s="2" t="inlineStr">
        <is>
          <t>Electronics</t>
        </is>
      </c>
      <c r="G1376" s="2" t="inlineStr">
        <is>
          <t>North</t>
        </is>
      </c>
      <c r="H1376" s="2" t="inlineStr">
        <is>
          <t>Haryana</t>
        </is>
      </c>
      <c r="I1376" s="2" t="inlineStr">
        <is>
          <t>Gurugram</t>
        </is>
      </c>
      <c r="J1376" s="2" t="inlineStr">
        <is>
          <t>Online</t>
        </is>
      </c>
      <c r="K1376" s="2" t="n">
        <v>2</v>
      </c>
      <c r="L1376" s="3" t="n">
        <v>954.3099999999999</v>
      </c>
      <c r="M1376" s="4" t="n">
        <v>0.15</v>
      </c>
      <c r="N1376" s="3" t="n">
        <v>1287.12</v>
      </c>
      <c r="O1376" s="3">
        <f>K1376*L1376*(1-M1376)</f>
        <v/>
      </c>
      <c r="P1376" s="3">
        <f>O1376-N1376</f>
        <v/>
      </c>
      <c r="Q1376" s="5">
        <f>IFERROR(P1376/O1376,0)</f>
        <v/>
      </c>
      <c r="R1376" s="2">
        <f>TEXT(DATEVALUE(B1376),"mmm")</f>
        <v/>
      </c>
      <c r="S1376" s="2">
        <f>TEXT(DATEVALUE(B1376),"yyyy-mm")</f>
        <v/>
      </c>
    </row>
    <row r="1377">
      <c r="A1377" s="2" t="inlineStr">
        <is>
          <t>O003011</t>
        </is>
      </c>
      <c r="B1377" s="2" t="inlineStr">
        <is>
          <t>2025-04-12</t>
        </is>
      </c>
      <c r="C1377" s="2" t="inlineStr">
        <is>
          <t>C0252</t>
        </is>
      </c>
      <c r="D1377" s="2" t="inlineStr">
        <is>
          <t>P0008</t>
        </is>
      </c>
      <c r="E1377" s="2" t="inlineStr">
        <is>
          <t>Air Fryer</t>
        </is>
      </c>
      <c r="F1377" s="2" t="inlineStr">
        <is>
          <t>Home &amp; Kitchen</t>
        </is>
      </c>
      <c r="G1377" s="2" t="inlineStr">
        <is>
          <t>East</t>
        </is>
      </c>
      <c r="H1377" s="2" t="inlineStr">
        <is>
          <t>West Bengal</t>
        </is>
      </c>
      <c r="I1377" s="2" t="inlineStr">
        <is>
          <t>Durgapur</t>
        </is>
      </c>
      <c r="J1377" s="2" t="inlineStr">
        <is>
          <t>Online</t>
        </is>
      </c>
      <c r="K1377" s="2" t="n">
        <v>3</v>
      </c>
      <c r="L1377" s="3" t="n">
        <v>1076.72</v>
      </c>
      <c r="M1377" s="4" t="n">
        <v>0.1</v>
      </c>
      <c r="N1377" s="3" t="n">
        <v>2007.29</v>
      </c>
      <c r="O1377" s="3">
        <f>K1377*L1377*(1-M1377)</f>
        <v/>
      </c>
      <c r="P1377" s="3">
        <f>O1377-N1377</f>
        <v/>
      </c>
      <c r="Q1377" s="5">
        <f>IFERROR(P1377/O1377,0)</f>
        <v/>
      </c>
      <c r="R1377" s="2">
        <f>TEXT(DATEVALUE(B1377),"mmm")</f>
        <v/>
      </c>
      <c r="S1377" s="2">
        <f>TEXT(DATEVALUE(B1377),"yyyy-mm")</f>
        <v/>
      </c>
    </row>
    <row r="1378">
      <c r="A1378" s="2" t="inlineStr">
        <is>
          <t>O004178</t>
        </is>
      </c>
      <c r="B1378" s="2" t="inlineStr">
        <is>
          <t>2025-04-12</t>
        </is>
      </c>
      <c r="C1378" s="2" t="inlineStr">
        <is>
          <t>C0782</t>
        </is>
      </c>
      <c r="D1378" s="2" t="inlineStr">
        <is>
          <t>P0022</t>
        </is>
      </c>
      <c r="E1378" s="2" t="inlineStr">
        <is>
          <t>Face Wash</t>
        </is>
      </c>
      <c r="F1378" s="2" t="inlineStr">
        <is>
          <t>Beauty</t>
        </is>
      </c>
      <c r="G1378" s="2" t="inlineStr">
        <is>
          <t>South</t>
        </is>
      </c>
      <c r="H1378" s="2" t="inlineStr">
        <is>
          <t>Kerala</t>
        </is>
      </c>
      <c r="I1378" s="2" t="inlineStr">
        <is>
          <t>Kochi</t>
        </is>
      </c>
      <c r="J1378" s="2" t="inlineStr">
        <is>
          <t>Online</t>
        </is>
      </c>
      <c r="K1378" s="2" t="n">
        <v>6</v>
      </c>
      <c r="L1378" s="3" t="n">
        <v>529.48</v>
      </c>
      <c r="M1378" s="4" t="n">
        <v>0.05</v>
      </c>
      <c r="N1378" s="3" t="n">
        <v>2097.9</v>
      </c>
      <c r="O1378" s="3">
        <f>K1378*L1378*(1-M1378)</f>
        <v/>
      </c>
      <c r="P1378" s="3">
        <f>O1378-N1378</f>
        <v/>
      </c>
      <c r="Q1378" s="5">
        <f>IFERROR(P1378/O1378,0)</f>
        <v/>
      </c>
      <c r="R1378" s="2">
        <f>TEXT(DATEVALUE(B1378),"mmm")</f>
        <v/>
      </c>
      <c r="S1378" s="2">
        <f>TEXT(DATEVALUE(B1378),"yyyy-mm")</f>
        <v/>
      </c>
    </row>
    <row r="1379">
      <c r="A1379" s="2" t="inlineStr">
        <is>
          <t>O002263</t>
        </is>
      </c>
      <c r="B1379" s="2" t="inlineStr">
        <is>
          <t>2025-04-12</t>
        </is>
      </c>
      <c r="C1379" s="2" t="inlineStr">
        <is>
          <t>C0316</t>
        </is>
      </c>
      <c r="D1379" s="2" t="inlineStr">
        <is>
          <t>P0007</t>
        </is>
      </c>
      <c r="E1379" s="2" t="inlineStr">
        <is>
          <t>Wireless Mouse</t>
        </is>
      </c>
      <c r="F1379" s="2" t="inlineStr">
        <is>
          <t>Electronics</t>
        </is>
      </c>
      <c r="G1379" s="2" t="inlineStr">
        <is>
          <t>South</t>
        </is>
      </c>
      <c r="H1379" s="2" t="inlineStr">
        <is>
          <t>Karnataka</t>
        </is>
      </c>
      <c r="I1379" s="2" t="inlineStr">
        <is>
          <t>Mangaluru</t>
        </is>
      </c>
      <c r="J1379" s="2" t="inlineStr">
        <is>
          <t>Online</t>
        </is>
      </c>
      <c r="K1379" s="2" t="n">
        <v>3</v>
      </c>
      <c r="L1379" s="3" t="n">
        <v>950.62</v>
      </c>
      <c r="M1379" s="4" t="n">
        <v>0</v>
      </c>
      <c r="N1379" s="3" t="n">
        <v>1894.42</v>
      </c>
      <c r="O1379" s="3">
        <f>K1379*L1379*(1-M1379)</f>
        <v/>
      </c>
      <c r="P1379" s="3">
        <f>O1379-N1379</f>
        <v/>
      </c>
      <c r="Q1379" s="5">
        <f>IFERROR(P1379/O1379,0)</f>
        <v/>
      </c>
      <c r="R1379" s="2">
        <f>TEXT(DATEVALUE(B1379),"mmm")</f>
        <v/>
      </c>
      <c r="S1379" s="2">
        <f>TEXT(DATEVALUE(B1379),"yyyy-mm")</f>
        <v/>
      </c>
    </row>
    <row r="1380">
      <c r="A1380" s="2" t="inlineStr">
        <is>
          <t>O002119</t>
        </is>
      </c>
      <c r="B1380" s="2" t="inlineStr">
        <is>
          <t>2025-04-12</t>
        </is>
      </c>
      <c r="C1380" s="2" t="inlineStr">
        <is>
          <t>C0037</t>
        </is>
      </c>
      <c r="D1380" s="2" t="inlineStr">
        <is>
          <t>P0029</t>
        </is>
      </c>
      <c r="E1380" s="2" t="inlineStr">
        <is>
          <t>Yoga Mat</t>
        </is>
      </c>
      <c r="F1380" s="2" t="inlineStr">
        <is>
          <t>Sports</t>
        </is>
      </c>
      <c r="G1380" s="2" t="inlineStr">
        <is>
          <t>South</t>
        </is>
      </c>
      <c r="H1380" s="2" t="inlineStr">
        <is>
          <t>Telangana</t>
        </is>
      </c>
      <c r="I1380" s="2" t="inlineStr">
        <is>
          <t>Hyderabad</t>
        </is>
      </c>
      <c r="J1380" s="2" t="inlineStr">
        <is>
          <t>Online</t>
        </is>
      </c>
      <c r="K1380" s="2" t="n">
        <v>3</v>
      </c>
      <c r="L1380" s="3" t="n">
        <v>2295.39</v>
      </c>
      <c r="M1380" s="4" t="n">
        <v>0.25</v>
      </c>
      <c r="N1380" s="3" t="n">
        <v>3828.17</v>
      </c>
      <c r="O1380" s="3">
        <f>K1380*L1380*(1-M1380)</f>
        <v/>
      </c>
      <c r="P1380" s="3">
        <f>O1380-N1380</f>
        <v/>
      </c>
      <c r="Q1380" s="5">
        <f>IFERROR(P1380/O1380,0)</f>
        <v/>
      </c>
      <c r="R1380" s="2">
        <f>TEXT(DATEVALUE(B1380),"mmm")</f>
        <v/>
      </c>
      <c r="S1380" s="2">
        <f>TEXT(DATEVALUE(B1380),"yyyy-mm")</f>
        <v/>
      </c>
    </row>
    <row r="1381">
      <c r="A1381" s="2" t="inlineStr">
        <is>
          <t>O002097</t>
        </is>
      </c>
      <c r="B1381" s="2" t="inlineStr">
        <is>
          <t>2025-04-12</t>
        </is>
      </c>
      <c r="C1381" s="2" t="inlineStr">
        <is>
          <t>C0530</t>
        </is>
      </c>
      <c r="D1381" s="2" t="inlineStr">
        <is>
          <t>P0027</t>
        </is>
      </c>
      <c r="E1381" s="2" t="inlineStr">
        <is>
          <t>Moisturizer</t>
        </is>
      </c>
      <c r="F1381" s="2" t="inlineStr">
        <is>
          <t>Beauty</t>
        </is>
      </c>
      <c r="G1381" s="2" t="inlineStr">
        <is>
          <t>West</t>
        </is>
      </c>
      <c r="H1381" s="2" t="inlineStr">
        <is>
          <t>Gujarat</t>
        </is>
      </c>
      <c r="I1381" s="2" t="inlineStr">
        <is>
          <t>Vadodara</t>
        </is>
      </c>
      <c r="J1381" s="2" t="inlineStr">
        <is>
          <t>Online</t>
        </is>
      </c>
      <c r="K1381" s="2" t="n">
        <v>6</v>
      </c>
      <c r="L1381" s="3" t="n">
        <v>978.6900000000001</v>
      </c>
      <c r="M1381" s="4" t="n">
        <v>0.1</v>
      </c>
      <c r="N1381" s="3" t="n">
        <v>4223.41</v>
      </c>
      <c r="O1381" s="3">
        <f>K1381*L1381*(1-M1381)</f>
        <v/>
      </c>
      <c r="P1381" s="3">
        <f>O1381-N1381</f>
        <v/>
      </c>
      <c r="Q1381" s="5">
        <f>IFERROR(P1381/O1381,0)</f>
        <v/>
      </c>
      <c r="R1381" s="2">
        <f>TEXT(DATEVALUE(B1381),"mmm")</f>
        <v/>
      </c>
      <c r="S1381" s="2">
        <f>TEXT(DATEVALUE(B1381),"yyyy-mm")</f>
        <v/>
      </c>
    </row>
    <row r="1382">
      <c r="A1382" s="2" t="inlineStr">
        <is>
          <t>O002095</t>
        </is>
      </c>
      <c r="B1382" s="2" t="inlineStr">
        <is>
          <t>2025-04-12</t>
        </is>
      </c>
      <c r="C1382" s="2" t="inlineStr">
        <is>
          <t>C0457</t>
        </is>
      </c>
      <c r="D1382" s="2" t="inlineStr">
        <is>
          <t>P0030</t>
        </is>
      </c>
      <c r="E1382" s="2" t="inlineStr">
        <is>
          <t>Dumbbells</t>
        </is>
      </c>
      <c r="F1382" s="2" t="inlineStr">
        <is>
          <t>Sports</t>
        </is>
      </c>
      <c r="G1382" s="2" t="inlineStr">
        <is>
          <t>West</t>
        </is>
      </c>
      <c r="H1382" s="2" t="inlineStr">
        <is>
          <t>Goa</t>
        </is>
      </c>
      <c r="I1382" s="2" t="inlineStr">
        <is>
          <t>Margao</t>
        </is>
      </c>
      <c r="J1382" s="2" t="inlineStr">
        <is>
          <t>Store</t>
        </is>
      </c>
      <c r="K1382" s="2" t="n">
        <v>1</v>
      </c>
      <c r="L1382" s="3" t="n">
        <v>1582.49</v>
      </c>
      <c r="M1382" s="4" t="n">
        <v>0</v>
      </c>
      <c r="N1382" s="3" t="n">
        <v>1028.55</v>
      </c>
      <c r="O1382" s="3">
        <f>K1382*L1382*(1-M1382)</f>
        <v/>
      </c>
      <c r="P1382" s="3">
        <f>O1382-N1382</f>
        <v/>
      </c>
      <c r="Q1382" s="5">
        <f>IFERROR(P1382/O1382,0)</f>
        <v/>
      </c>
      <c r="R1382" s="2">
        <f>TEXT(DATEVALUE(B1382),"mmm")</f>
        <v/>
      </c>
      <c r="S1382" s="2">
        <f>TEXT(DATEVALUE(B1382),"yyyy-mm")</f>
        <v/>
      </c>
    </row>
    <row r="1383">
      <c r="A1383" s="2" t="inlineStr">
        <is>
          <t>O001806</t>
        </is>
      </c>
      <c r="B1383" s="2" t="inlineStr">
        <is>
          <t>2025-04-12</t>
        </is>
      </c>
      <c r="C1383" s="2" t="inlineStr">
        <is>
          <t>C0529</t>
        </is>
      </c>
      <c r="D1383" s="2" t="inlineStr">
        <is>
          <t>P0008</t>
        </is>
      </c>
      <c r="E1383" s="2" t="inlineStr">
        <is>
          <t>Air Fryer</t>
        </is>
      </c>
      <c r="F1383" s="2" t="inlineStr">
        <is>
          <t>Home &amp; Kitchen</t>
        </is>
      </c>
      <c r="G1383" s="2" t="inlineStr">
        <is>
          <t>East</t>
        </is>
      </c>
      <c r="H1383" s="2" t="inlineStr">
        <is>
          <t>Odisha</t>
        </is>
      </c>
      <c r="I1383" s="2" t="inlineStr">
        <is>
          <t>Cuttack</t>
        </is>
      </c>
      <c r="J1383" s="2" t="inlineStr">
        <is>
          <t>Online</t>
        </is>
      </c>
      <c r="K1383" s="2" t="n">
        <v>5</v>
      </c>
      <c r="L1383" s="3" t="n">
        <v>1004.12</v>
      </c>
      <c r="M1383" s="4" t="n">
        <v>0.05</v>
      </c>
      <c r="N1383" s="3" t="n">
        <v>3512.51</v>
      </c>
      <c r="O1383" s="3">
        <f>K1383*L1383*(1-M1383)</f>
        <v/>
      </c>
      <c r="P1383" s="3">
        <f>O1383-N1383</f>
        <v/>
      </c>
      <c r="Q1383" s="5">
        <f>IFERROR(P1383/O1383,0)</f>
        <v/>
      </c>
      <c r="R1383" s="2">
        <f>TEXT(DATEVALUE(B1383),"mmm")</f>
        <v/>
      </c>
      <c r="S1383" s="2">
        <f>TEXT(DATEVALUE(B1383),"yyyy-mm")</f>
        <v/>
      </c>
    </row>
    <row r="1384">
      <c r="A1384" s="2" t="inlineStr">
        <is>
          <t>O001422</t>
        </is>
      </c>
      <c r="B1384" s="2" t="inlineStr">
        <is>
          <t>2025-04-12</t>
        </is>
      </c>
      <c r="C1384" s="2" t="inlineStr">
        <is>
          <t>C0035</t>
        </is>
      </c>
      <c r="D1384" s="2" t="inlineStr">
        <is>
          <t>P0011</t>
        </is>
      </c>
      <c r="E1384" s="2" t="inlineStr">
        <is>
          <t>Cookware Set</t>
        </is>
      </c>
      <c r="F1384" s="2" t="inlineStr">
        <is>
          <t>Home &amp; Kitchen</t>
        </is>
      </c>
      <c r="G1384" s="2" t="inlineStr">
        <is>
          <t>South</t>
        </is>
      </c>
      <c r="H1384" s="2" t="inlineStr">
        <is>
          <t>Kerala</t>
        </is>
      </c>
      <c r="I1384" s="2" t="inlineStr">
        <is>
          <t>Kochi</t>
        </is>
      </c>
      <c r="J1384" s="2" t="inlineStr">
        <is>
          <t>Store</t>
        </is>
      </c>
      <c r="K1384" s="2" t="n">
        <v>1</v>
      </c>
      <c r="L1384" s="3" t="n">
        <v>705.73</v>
      </c>
      <c r="M1384" s="4" t="n">
        <v>0.15</v>
      </c>
      <c r="N1384" s="3" t="n">
        <v>483.53</v>
      </c>
      <c r="O1384" s="3">
        <f>K1384*L1384*(1-M1384)</f>
        <v/>
      </c>
      <c r="P1384" s="3">
        <f>O1384-N1384</f>
        <v/>
      </c>
      <c r="Q1384" s="5">
        <f>IFERROR(P1384/O1384,0)</f>
        <v/>
      </c>
      <c r="R1384" s="2">
        <f>TEXT(DATEVALUE(B1384),"mmm")</f>
        <v/>
      </c>
      <c r="S1384" s="2">
        <f>TEXT(DATEVALUE(B1384),"yyyy-mm")</f>
        <v/>
      </c>
    </row>
    <row r="1385">
      <c r="A1385" s="2" t="inlineStr">
        <is>
          <t>O002300</t>
        </is>
      </c>
      <c r="B1385" s="2" t="inlineStr">
        <is>
          <t>2025-04-12</t>
        </is>
      </c>
      <c r="C1385" s="2" t="inlineStr">
        <is>
          <t>C0545</t>
        </is>
      </c>
      <c r="D1385" s="2" t="inlineStr">
        <is>
          <t>P0011</t>
        </is>
      </c>
      <c r="E1385" s="2" t="inlineStr">
        <is>
          <t>Cookware Set</t>
        </is>
      </c>
      <c r="F1385" s="2" t="inlineStr">
        <is>
          <t>Home &amp; Kitchen</t>
        </is>
      </c>
      <c r="G1385" s="2" t="inlineStr">
        <is>
          <t>South</t>
        </is>
      </c>
      <c r="H1385" s="2" t="inlineStr">
        <is>
          <t>Karnataka</t>
        </is>
      </c>
      <c r="I1385" s="2" t="inlineStr">
        <is>
          <t>Mysuru</t>
        </is>
      </c>
      <c r="J1385" s="2" t="inlineStr">
        <is>
          <t>Store</t>
        </is>
      </c>
      <c r="K1385" s="2" t="n">
        <v>1</v>
      </c>
      <c r="L1385" s="3" t="n">
        <v>731.05</v>
      </c>
      <c r="M1385" s="4" t="n">
        <v>0.15</v>
      </c>
      <c r="N1385" s="3" t="n">
        <v>469.46</v>
      </c>
      <c r="O1385" s="3">
        <f>K1385*L1385*(1-M1385)</f>
        <v/>
      </c>
      <c r="P1385" s="3">
        <f>O1385-N1385</f>
        <v/>
      </c>
      <c r="Q1385" s="5">
        <f>IFERROR(P1385/O1385,0)</f>
        <v/>
      </c>
      <c r="R1385" s="2">
        <f>TEXT(DATEVALUE(B1385),"mmm")</f>
        <v/>
      </c>
      <c r="S1385" s="2">
        <f>TEXT(DATEVALUE(B1385),"yyyy-mm")</f>
        <v/>
      </c>
    </row>
    <row r="1386">
      <c r="A1386" s="2" t="inlineStr">
        <is>
          <t>O004620</t>
        </is>
      </c>
      <c r="B1386" s="2" t="inlineStr">
        <is>
          <t>2025-04-13</t>
        </is>
      </c>
      <c r="C1386" s="2" t="inlineStr">
        <is>
          <t>C0689</t>
        </is>
      </c>
      <c r="D1386" s="2" t="inlineStr">
        <is>
          <t>P0001</t>
        </is>
      </c>
      <c r="E1386" s="2" t="inlineStr">
        <is>
          <t>Wireless Headphones</t>
        </is>
      </c>
      <c r="F1386" s="2" t="inlineStr">
        <is>
          <t>Electronics</t>
        </is>
      </c>
      <c r="G1386" s="2" t="inlineStr">
        <is>
          <t>East</t>
        </is>
      </c>
      <c r="H1386" s="2" t="inlineStr">
        <is>
          <t>Bihar</t>
        </is>
      </c>
      <c r="I1386" s="2" t="inlineStr">
        <is>
          <t>Gaya</t>
        </is>
      </c>
      <c r="J1386" s="2" t="inlineStr">
        <is>
          <t>Online</t>
        </is>
      </c>
      <c r="K1386" s="2" t="n">
        <v>3</v>
      </c>
      <c r="L1386" s="3" t="n">
        <v>1299.39</v>
      </c>
      <c r="M1386" s="4" t="n">
        <v>0</v>
      </c>
      <c r="N1386" s="3" t="n">
        <v>2097.76</v>
      </c>
      <c r="O1386" s="3">
        <f>K1386*L1386*(1-M1386)</f>
        <v/>
      </c>
      <c r="P1386" s="3">
        <f>O1386-N1386</f>
        <v/>
      </c>
      <c r="Q1386" s="5">
        <f>IFERROR(P1386/O1386,0)</f>
        <v/>
      </c>
      <c r="R1386" s="2">
        <f>TEXT(DATEVALUE(B1386),"mmm")</f>
        <v/>
      </c>
      <c r="S1386" s="2">
        <f>TEXT(DATEVALUE(B1386),"yyyy-mm")</f>
        <v/>
      </c>
    </row>
    <row r="1387">
      <c r="A1387" s="2" t="inlineStr">
        <is>
          <t>O004128</t>
        </is>
      </c>
      <c r="B1387" s="2" t="inlineStr">
        <is>
          <t>2025-04-13</t>
        </is>
      </c>
      <c r="C1387" s="2" t="inlineStr">
        <is>
          <t>C0228</t>
        </is>
      </c>
      <c r="D1387" s="2" t="inlineStr">
        <is>
          <t>P0011</t>
        </is>
      </c>
      <c r="E1387" s="2" t="inlineStr">
        <is>
          <t>Cookware Set</t>
        </is>
      </c>
      <c r="F1387" s="2" t="inlineStr">
        <is>
          <t>Home &amp; Kitchen</t>
        </is>
      </c>
      <c r="G1387" s="2" t="inlineStr">
        <is>
          <t>North</t>
        </is>
      </c>
      <c r="H1387" s="2" t="inlineStr">
        <is>
          <t>Uttar Pradesh</t>
        </is>
      </c>
      <c r="I1387" s="2" t="inlineStr">
        <is>
          <t>Varanasi</t>
        </is>
      </c>
      <c r="J1387" s="2" t="inlineStr">
        <is>
          <t>Online</t>
        </is>
      </c>
      <c r="K1387" s="2" t="n">
        <v>1</v>
      </c>
      <c r="L1387" s="3" t="n">
        <v>727.62</v>
      </c>
      <c r="M1387" s="4" t="n">
        <v>0.2</v>
      </c>
      <c r="N1387" s="3" t="n">
        <v>459.03</v>
      </c>
      <c r="O1387" s="3">
        <f>K1387*L1387*(1-M1387)</f>
        <v/>
      </c>
      <c r="P1387" s="3">
        <f>O1387-N1387</f>
        <v/>
      </c>
      <c r="Q1387" s="5">
        <f>IFERROR(P1387/O1387,0)</f>
        <v/>
      </c>
      <c r="R1387" s="2">
        <f>TEXT(DATEVALUE(B1387),"mmm")</f>
        <v/>
      </c>
      <c r="S1387" s="2">
        <f>TEXT(DATEVALUE(B1387),"yyyy-mm")</f>
        <v/>
      </c>
    </row>
    <row r="1388">
      <c r="A1388" s="2" t="inlineStr">
        <is>
          <t>O004093</t>
        </is>
      </c>
      <c r="B1388" s="2" t="inlineStr">
        <is>
          <t>2025-04-13</t>
        </is>
      </c>
      <c r="C1388" s="2" t="inlineStr">
        <is>
          <t>C0602</t>
        </is>
      </c>
      <c r="D1388" s="2" t="inlineStr">
        <is>
          <t>P0021</t>
        </is>
      </c>
      <c r="E1388" s="2" t="inlineStr">
        <is>
          <t>Wallet</t>
        </is>
      </c>
      <c r="F1388" s="2" t="inlineStr">
        <is>
          <t>Fashion</t>
        </is>
      </c>
      <c r="G1388" s="2" t="inlineStr">
        <is>
          <t>East</t>
        </is>
      </c>
      <c r="H1388" s="2" t="inlineStr">
        <is>
          <t>West Bengal</t>
        </is>
      </c>
      <c r="I1388" s="2" t="inlineStr">
        <is>
          <t>Durgapur</t>
        </is>
      </c>
      <c r="J1388" s="2" t="inlineStr">
        <is>
          <t>Online</t>
        </is>
      </c>
      <c r="K1388" s="2" t="n">
        <v>2</v>
      </c>
      <c r="L1388" s="3" t="n">
        <v>2057.45</v>
      </c>
      <c r="M1388" s="4" t="n">
        <v>0.05</v>
      </c>
      <c r="N1388" s="3" t="n">
        <v>2440.21</v>
      </c>
      <c r="O1388" s="3">
        <f>K1388*L1388*(1-M1388)</f>
        <v/>
      </c>
      <c r="P1388" s="3">
        <f>O1388-N1388</f>
        <v/>
      </c>
      <c r="Q1388" s="5">
        <f>IFERROR(P1388/O1388,0)</f>
        <v/>
      </c>
      <c r="R1388" s="2">
        <f>TEXT(DATEVALUE(B1388),"mmm")</f>
        <v/>
      </c>
      <c r="S1388" s="2">
        <f>TEXT(DATEVALUE(B1388),"yyyy-mm")</f>
        <v/>
      </c>
    </row>
    <row r="1389">
      <c r="A1389" s="2" t="inlineStr">
        <is>
          <t>O003287</t>
        </is>
      </c>
      <c r="B1389" s="2" t="inlineStr">
        <is>
          <t>2025-04-13</t>
        </is>
      </c>
      <c r="C1389" s="2" t="inlineStr">
        <is>
          <t>C0691</t>
        </is>
      </c>
      <c r="D1389" s="2" t="inlineStr">
        <is>
          <t>P0014</t>
        </is>
      </c>
      <c r="E1389" s="2" t="inlineStr">
        <is>
          <t>Coffee Maker</t>
        </is>
      </c>
      <c r="F1389" s="2" t="inlineStr">
        <is>
          <t>Home &amp; Kitchen</t>
        </is>
      </c>
      <c r="G1389" s="2" t="inlineStr">
        <is>
          <t>West</t>
        </is>
      </c>
      <c r="H1389" s="2" t="inlineStr">
        <is>
          <t>Goa</t>
        </is>
      </c>
      <c r="I1389" s="2" t="inlineStr">
        <is>
          <t>Margao</t>
        </is>
      </c>
      <c r="J1389" s="2" t="inlineStr">
        <is>
          <t>Online</t>
        </is>
      </c>
      <c r="K1389" s="2" t="n">
        <v>3</v>
      </c>
      <c r="L1389" s="3" t="n">
        <v>1044.48</v>
      </c>
      <c r="M1389" s="4" t="n">
        <v>0.1</v>
      </c>
      <c r="N1389" s="3" t="n">
        <v>2301.77</v>
      </c>
      <c r="O1389" s="3">
        <f>K1389*L1389*(1-M1389)</f>
        <v/>
      </c>
      <c r="P1389" s="3">
        <f>O1389-N1389</f>
        <v/>
      </c>
      <c r="Q1389" s="5">
        <f>IFERROR(P1389/O1389,0)</f>
        <v/>
      </c>
      <c r="R1389" s="2">
        <f>TEXT(DATEVALUE(B1389),"mmm")</f>
        <v/>
      </c>
      <c r="S1389" s="2">
        <f>TEXT(DATEVALUE(B1389),"yyyy-mm")</f>
        <v/>
      </c>
    </row>
    <row r="1390">
      <c r="A1390" s="2" t="inlineStr">
        <is>
          <t>O001831</t>
        </is>
      </c>
      <c r="B1390" s="2" t="inlineStr">
        <is>
          <t>2025-04-13</t>
        </is>
      </c>
      <c r="C1390" s="2" t="inlineStr">
        <is>
          <t>C0712</t>
        </is>
      </c>
      <c r="D1390" s="2" t="inlineStr">
        <is>
          <t>P0011</t>
        </is>
      </c>
      <c r="E1390" s="2" t="inlineStr">
        <is>
          <t>Cookware Set</t>
        </is>
      </c>
      <c r="F1390" s="2" t="inlineStr">
        <is>
          <t>Home &amp; Kitchen</t>
        </is>
      </c>
      <c r="G1390" s="2" t="inlineStr">
        <is>
          <t>West</t>
        </is>
      </c>
      <c r="H1390" s="2" t="inlineStr">
        <is>
          <t>Goa</t>
        </is>
      </c>
      <c r="I1390" s="2" t="inlineStr">
        <is>
          <t>Panaji</t>
        </is>
      </c>
      <c r="J1390" s="2" t="inlineStr">
        <is>
          <t>Online</t>
        </is>
      </c>
      <c r="K1390" s="2" t="n">
        <v>1</v>
      </c>
      <c r="L1390" s="3" t="n">
        <v>685.4</v>
      </c>
      <c r="M1390" s="4" t="n">
        <v>0</v>
      </c>
      <c r="N1390" s="3" t="n">
        <v>473.61</v>
      </c>
      <c r="O1390" s="3">
        <f>K1390*L1390*(1-M1390)</f>
        <v/>
      </c>
      <c r="P1390" s="3">
        <f>O1390-N1390</f>
        <v/>
      </c>
      <c r="Q1390" s="5">
        <f>IFERROR(P1390/O1390,0)</f>
        <v/>
      </c>
      <c r="R1390" s="2">
        <f>TEXT(DATEVALUE(B1390),"mmm")</f>
        <v/>
      </c>
      <c r="S1390" s="2">
        <f>TEXT(DATEVALUE(B1390),"yyyy-mm")</f>
        <v/>
      </c>
    </row>
    <row r="1391">
      <c r="A1391" s="2" t="inlineStr">
        <is>
          <t>O002452</t>
        </is>
      </c>
      <c r="B1391" s="2" t="inlineStr">
        <is>
          <t>2025-04-13</t>
        </is>
      </c>
      <c r="C1391" s="2" t="inlineStr">
        <is>
          <t>C0202</t>
        </is>
      </c>
      <c r="D1391" s="2" t="inlineStr">
        <is>
          <t>P0027</t>
        </is>
      </c>
      <c r="E1391" s="2" t="inlineStr">
        <is>
          <t>Moisturizer</t>
        </is>
      </c>
      <c r="F1391" s="2" t="inlineStr">
        <is>
          <t>Beauty</t>
        </is>
      </c>
      <c r="G1391" s="2" t="inlineStr">
        <is>
          <t>South</t>
        </is>
      </c>
      <c r="H1391" s="2" t="inlineStr">
        <is>
          <t>Kerala</t>
        </is>
      </c>
      <c r="I1391" s="2" t="inlineStr">
        <is>
          <t>Thiruvananthapuram</t>
        </is>
      </c>
      <c r="J1391" s="2" t="inlineStr">
        <is>
          <t>Online</t>
        </is>
      </c>
      <c r="K1391" s="2" t="n">
        <v>1</v>
      </c>
      <c r="L1391" s="3" t="n">
        <v>957.29</v>
      </c>
      <c r="M1391" s="4" t="n">
        <v>0.1</v>
      </c>
      <c r="N1391" s="3" t="n">
        <v>703.17</v>
      </c>
      <c r="O1391" s="3">
        <f>K1391*L1391*(1-M1391)</f>
        <v/>
      </c>
      <c r="P1391" s="3">
        <f>O1391-N1391</f>
        <v/>
      </c>
      <c r="Q1391" s="5">
        <f>IFERROR(P1391/O1391,0)</f>
        <v/>
      </c>
      <c r="R1391" s="2">
        <f>TEXT(DATEVALUE(B1391),"mmm")</f>
        <v/>
      </c>
      <c r="S1391" s="2">
        <f>TEXT(DATEVALUE(B1391),"yyyy-mm")</f>
        <v/>
      </c>
    </row>
    <row r="1392">
      <c r="A1392" s="2" t="inlineStr">
        <is>
          <t>O000787</t>
        </is>
      </c>
      <c r="B1392" s="2" t="inlineStr">
        <is>
          <t>2025-04-13</t>
        </is>
      </c>
      <c r="C1392" s="2" t="inlineStr">
        <is>
          <t>C0731</t>
        </is>
      </c>
      <c r="D1392" s="2" t="inlineStr">
        <is>
          <t>P0015</t>
        </is>
      </c>
      <c r="E1392" s="2" t="inlineStr">
        <is>
          <t>Running Shoes</t>
        </is>
      </c>
      <c r="F1392" s="2" t="inlineStr">
        <is>
          <t>Fashion</t>
        </is>
      </c>
      <c r="G1392" s="2" t="inlineStr">
        <is>
          <t>South</t>
        </is>
      </c>
      <c r="H1392" s="2" t="inlineStr">
        <is>
          <t>Kerala</t>
        </is>
      </c>
      <c r="I1392" s="2" t="inlineStr">
        <is>
          <t>Kochi</t>
        </is>
      </c>
      <c r="J1392" s="2" t="inlineStr">
        <is>
          <t>Online</t>
        </is>
      </c>
      <c r="K1392" s="2" t="n">
        <v>1</v>
      </c>
      <c r="L1392" s="3" t="n">
        <v>604.41</v>
      </c>
      <c r="M1392" s="4" t="n">
        <v>0</v>
      </c>
      <c r="N1392" s="3" t="n">
        <v>370.02</v>
      </c>
      <c r="O1392" s="3">
        <f>K1392*L1392*(1-M1392)</f>
        <v/>
      </c>
      <c r="P1392" s="3">
        <f>O1392-N1392</f>
        <v/>
      </c>
      <c r="Q1392" s="5">
        <f>IFERROR(P1392/O1392,0)</f>
        <v/>
      </c>
      <c r="R1392" s="2">
        <f>TEXT(DATEVALUE(B1392),"mmm")</f>
        <v/>
      </c>
      <c r="S1392" s="2">
        <f>TEXT(DATEVALUE(B1392),"yyyy-mm")</f>
        <v/>
      </c>
    </row>
    <row r="1393">
      <c r="A1393" s="2" t="inlineStr">
        <is>
          <t>O000417</t>
        </is>
      </c>
      <c r="B1393" s="2" t="inlineStr">
        <is>
          <t>2025-04-13</t>
        </is>
      </c>
      <c r="C1393" s="2" t="inlineStr">
        <is>
          <t>C0272</t>
        </is>
      </c>
      <c r="D1393" s="2" t="inlineStr">
        <is>
          <t>P0024</t>
        </is>
      </c>
      <c r="E1393" s="2" t="inlineStr">
        <is>
          <t>Hair Dryer</t>
        </is>
      </c>
      <c r="F1393" s="2" t="inlineStr">
        <is>
          <t>Beauty</t>
        </is>
      </c>
      <c r="G1393" s="2" t="inlineStr">
        <is>
          <t>South</t>
        </is>
      </c>
      <c r="H1393" s="2" t="inlineStr">
        <is>
          <t>Karnataka</t>
        </is>
      </c>
      <c r="I1393" s="2" t="inlineStr">
        <is>
          <t>Bengaluru</t>
        </is>
      </c>
      <c r="J1393" s="2" t="inlineStr">
        <is>
          <t>Store</t>
        </is>
      </c>
      <c r="K1393" s="2" t="n">
        <v>2</v>
      </c>
      <c r="L1393" s="3" t="n">
        <v>1007.14</v>
      </c>
      <c r="M1393" s="4" t="n">
        <v>0.1</v>
      </c>
      <c r="N1393" s="3" t="n">
        <v>1454.93</v>
      </c>
      <c r="O1393" s="3">
        <f>K1393*L1393*(1-M1393)</f>
        <v/>
      </c>
      <c r="P1393" s="3">
        <f>O1393-N1393</f>
        <v/>
      </c>
      <c r="Q1393" s="5">
        <f>IFERROR(P1393/O1393,0)</f>
        <v/>
      </c>
      <c r="R1393" s="2">
        <f>TEXT(DATEVALUE(B1393),"mmm")</f>
        <v/>
      </c>
      <c r="S1393" s="2">
        <f>TEXT(DATEVALUE(B1393),"yyyy-mm")</f>
        <v/>
      </c>
    </row>
    <row r="1394">
      <c r="A1394" s="2" t="inlineStr">
        <is>
          <t>O000008</t>
        </is>
      </c>
      <c r="B1394" s="2" t="inlineStr">
        <is>
          <t>2025-04-13</t>
        </is>
      </c>
      <c r="C1394" s="2" t="inlineStr">
        <is>
          <t>C0616</t>
        </is>
      </c>
      <c r="D1394" s="2" t="inlineStr">
        <is>
          <t>P0007</t>
        </is>
      </c>
      <c r="E1394" s="2" t="inlineStr">
        <is>
          <t>Wireless Mouse</t>
        </is>
      </c>
      <c r="F1394" s="2" t="inlineStr">
        <is>
          <t>Electronics</t>
        </is>
      </c>
      <c r="G1394" s="2" t="inlineStr">
        <is>
          <t>South</t>
        </is>
      </c>
      <c r="H1394" s="2" t="inlineStr">
        <is>
          <t>Karnataka</t>
        </is>
      </c>
      <c r="I1394" s="2" t="inlineStr">
        <is>
          <t>Bengaluru</t>
        </is>
      </c>
      <c r="J1394" s="2" t="inlineStr">
        <is>
          <t>Store</t>
        </is>
      </c>
      <c r="K1394" s="2" t="n">
        <v>2</v>
      </c>
      <c r="L1394" s="3" t="n">
        <v>961.55</v>
      </c>
      <c r="M1394" s="4" t="n">
        <v>0.15</v>
      </c>
      <c r="N1394" s="3" t="n">
        <v>1203.97</v>
      </c>
      <c r="O1394" s="3">
        <f>K1394*L1394*(1-M1394)</f>
        <v/>
      </c>
      <c r="P1394" s="3">
        <f>O1394-N1394</f>
        <v/>
      </c>
      <c r="Q1394" s="5">
        <f>IFERROR(P1394/O1394,0)</f>
        <v/>
      </c>
      <c r="R1394" s="2">
        <f>TEXT(DATEVALUE(B1394),"mmm")</f>
        <v/>
      </c>
      <c r="S1394" s="2">
        <f>TEXT(DATEVALUE(B1394),"yyyy-mm")</f>
        <v/>
      </c>
    </row>
    <row r="1395">
      <c r="A1395" s="2" t="inlineStr">
        <is>
          <t>O000001</t>
        </is>
      </c>
      <c r="B1395" s="2" t="inlineStr">
        <is>
          <t>2025-04-13</t>
        </is>
      </c>
      <c r="C1395" s="2" t="inlineStr">
        <is>
          <t>C0443</t>
        </is>
      </c>
      <c r="D1395" s="2" t="inlineStr">
        <is>
          <t>P0016</t>
        </is>
      </c>
      <c r="E1395" s="2" t="inlineStr">
        <is>
          <t>Casual Shirt</t>
        </is>
      </c>
      <c r="F1395" s="2" t="inlineStr">
        <is>
          <t>Fashion</t>
        </is>
      </c>
      <c r="G1395" s="2" t="inlineStr">
        <is>
          <t>North</t>
        </is>
      </c>
      <c r="H1395" s="2" t="inlineStr">
        <is>
          <t>Delhi</t>
        </is>
      </c>
      <c r="I1395" s="2" t="inlineStr">
        <is>
          <t>New Delhi</t>
        </is>
      </c>
      <c r="J1395" s="2" t="inlineStr">
        <is>
          <t>Online</t>
        </is>
      </c>
      <c r="K1395" s="2" t="n">
        <v>4</v>
      </c>
      <c r="L1395" s="3" t="n">
        <v>1230.65</v>
      </c>
      <c r="M1395" s="4" t="n">
        <v>0.05</v>
      </c>
      <c r="N1395" s="3" t="n">
        <v>3504.57</v>
      </c>
      <c r="O1395" s="3">
        <f>K1395*L1395*(1-M1395)</f>
        <v/>
      </c>
      <c r="P1395" s="3">
        <f>O1395-N1395</f>
        <v/>
      </c>
      <c r="Q1395" s="5">
        <f>IFERROR(P1395/O1395,0)</f>
        <v/>
      </c>
      <c r="R1395" s="2">
        <f>TEXT(DATEVALUE(B1395),"mmm")</f>
        <v/>
      </c>
      <c r="S1395" s="2">
        <f>TEXT(DATEVALUE(B1395),"yyyy-mm")</f>
        <v/>
      </c>
    </row>
    <row r="1396">
      <c r="A1396" s="2" t="inlineStr">
        <is>
          <t>O001471</t>
        </is>
      </c>
      <c r="B1396" s="2" t="inlineStr">
        <is>
          <t>2025-04-13</t>
        </is>
      </c>
      <c r="C1396" s="2" t="inlineStr">
        <is>
          <t>C0782</t>
        </is>
      </c>
      <c r="D1396" s="2" t="inlineStr">
        <is>
          <t>P0014</t>
        </is>
      </c>
      <c r="E1396" s="2" t="inlineStr">
        <is>
          <t>Coffee Maker</t>
        </is>
      </c>
      <c r="F1396" s="2" t="inlineStr">
        <is>
          <t>Home &amp; Kitchen</t>
        </is>
      </c>
      <c r="G1396" s="2" t="inlineStr">
        <is>
          <t>West</t>
        </is>
      </c>
      <c r="H1396" s="2" t="inlineStr">
        <is>
          <t>Maharashtra</t>
        </is>
      </c>
      <c r="I1396" s="2" t="inlineStr">
        <is>
          <t>Nashik</t>
        </is>
      </c>
      <c r="J1396" s="2" t="inlineStr">
        <is>
          <t>Store</t>
        </is>
      </c>
      <c r="K1396" s="2" t="n">
        <v>3</v>
      </c>
      <c r="L1396" s="3" t="n">
        <v>1073.13</v>
      </c>
      <c r="M1396" s="4" t="n">
        <v>0.25</v>
      </c>
      <c r="N1396" s="3" t="n">
        <v>2307.47</v>
      </c>
      <c r="O1396" s="3">
        <f>K1396*L1396*(1-M1396)</f>
        <v/>
      </c>
      <c r="P1396" s="3">
        <f>O1396-N1396</f>
        <v/>
      </c>
      <c r="Q1396" s="5">
        <f>IFERROR(P1396/O1396,0)</f>
        <v/>
      </c>
      <c r="R1396" s="2">
        <f>TEXT(DATEVALUE(B1396),"mmm")</f>
        <v/>
      </c>
      <c r="S1396" s="2">
        <f>TEXT(DATEVALUE(B1396),"yyyy-mm")</f>
        <v/>
      </c>
    </row>
    <row r="1397">
      <c r="A1397" s="2" t="inlineStr">
        <is>
          <t>O003595</t>
        </is>
      </c>
      <c r="B1397" s="2" t="inlineStr">
        <is>
          <t>2025-04-14</t>
        </is>
      </c>
      <c r="C1397" s="2" t="inlineStr">
        <is>
          <t>C0568</t>
        </is>
      </c>
      <c r="D1397" s="2" t="inlineStr">
        <is>
          <t>P0026</t>
        </is>
      </c>
      <c r="E1397" s="2" t="inlineStr">
        <is>
          <t>Shampoo</t>
        </is>
      </c>
      <c r="F1397" s="2" t="inlineStr">
        <is>
          <t>Beauty</t>
        </is>
      </c>
      <c r="G1397" s="2" t="inlineStr">
        <is>
          <t>West</t>
        </is>
      </c>
      <c r="H1397" s="2" t="inlineStr">
        <is>
          <t>Goa</t>
        </is>
      </c>
      <c r="I1397" s="2" t="inlineStr">
        <is>
          <t>Margao</t>
        </is>
      </c>
      <c r="J1397" s="2" t="inlineStr">
        <is>
          <t>Store</t>
        </is>
      </c>
      <c r="K1397" s="2" t="n">
        <v>1</v>
      </c>
      <c r="L1397" s="3" t="n">
        <v>851.36</v>
      </c>
      <c r="M1397" s="4" t="n">
        <v>0.15</v>
      </c>
      <c r="N1397" s="3" t="n">
        <v>539.37</v>
      </c>
      <c r="O1397" s="3">
        <f>K1397*L1397*(1-M1397)</f>
        <v/>
      </c>
      <c r="P1397" s="3">
        <f>O1397-N1397</f>
        <v/>
      </c>
      <c r="Q1397" s="5">
        <f>IFERROR(P1397/O1397,0)</f>
        <v/>
      </c>
      <c r="R1397" s="2">
        <f>TEXT(DATEVALUE(B1397),"mmm")</f>
        <v/>
      </c>
      <c r="S1397" s="2">
        <f>TEXT(DATEVALUE(B1397),"yyyy-mm")</f>
        <v/>
      </c>
    </row>
    <row r="1398">
      <c r="A1398" s="2" t="inlineStr">
        <is>
          <t>O004903</t>
        </is>
      </c>
      <c r="B1398" s="2" t="inlineStr">
        <is>
          <t>2025-04-14</t>
        </is>
      </c>
      <c r="C1398" s="2" t="inlineStr">
        <is>
          <t>C0606</t>
        </is>
      </c>
      <c r="D1398" s="2" t="inlineStr">
        <is>
          <t>P0012</t>
        </is>
      </c>
      <c r="E1398" s="2" t="inlineStr">
        <is>
          <t>Water Bottle</t>
        </is>
      </c>
      <c r="F1398" s="2" t="inlineStr">
        <is>
          <t>Home &amp; Kitchen</t>
        </is>
      </c>
      <c r="G1398" s="2" t="inlineStr">
        <is>
          <t>East</t>
        </is>
      </c>
      <c r="H1398" s="2" t="inlineStr">
        <is>
          <t>Bihar</t>
        </is>
      </c>
      <c r="I1398" s="2" t="inlineStr">
        <is>
          <t>Gaya</t>
        </is>
      </c>
      <c r="J1398" s="2" t="inlineStr">
        <is>
          <t>Online</t>
        </is>
      </c>
      <c r="K1398" s="2" t="n">
        <v>1</v>
      </c>
      <c r="L1398" s="3" t="n">
        <v>951.47</v>
      </c>
      <c r="M1398" s="4" t="n">
        <v>0.1</v>
      </c>
      <c r="N1398" s="3" t="n">
        <v>608.25</v>
      </c>
      <c r="O1398" s="3">
        <f>K1398*L1398*(1-M1398)</f>
        <v/>
      </c>
      <c r="P1398" s="3">
        <f>O1398-N1398</f>
        <v/>
      </c>
      <c r="Q1398" s="5">
        <f>IFERROR(P1398/O1398,0)</f>
        <v/>
      </c>
      <c r="R1398" s="2">
        <f>TEXT(DATEVALUE(B1398),"mmm")</f>
        <v/>
      </c>
      <c r="S1398" s="2">
        <f>TEXT(DATEVALUE(B1398),"yyyy-mm")</f>
        <v/>
      </c>
    </row>
    <row r="1399">
      <c r="A1399" s="2" t="inlineStr">
        <is>
          <t>O004809</t>
        </is>
      </c>
      <c r="B1399" s="2" t="inlineStr">
        <is>
          <t>2025-04-14</t>
        </is>
      </c>
      <c r="C1399" s="2" t="inlineStr">
        <is>
          <t>C0434</t>
        </is>
      </c>
      <c r="D1399" s="2" t="inlineStr">
        <is>
          <t>P0032</t>
        </is>
      </c>
      <c r="E1399" s="2" t="inlineStr">
        <is>
          <t>Football</t>
        </is>
      </c>
      <c r="F1399" s="2" t="inlineStr">
        <is>
          <t>Sports</t>
        </is>
      </c>
      <c r="G1399" s="2" t="inlineStr">
        <is>
          <t>North</t>
        </is>
      </c>
      <c r="H1399" s="2" t="inlineStr">
        <is>
          <t>Uttar Pradesh</t>
        </is>
      </c>
      <c r="I1399" s="2" t="inlineStr">
        <is>
          <t>Kanpur</t>
        </is>
      </c>
      <c r="J1399" s="2" t="inlineStr">
        <is>
          <t>Online</t>
        </is>
      </c>
      <c r="K1399" s="2" t="n">
        <v>1</v>
      </c>
      <c r="L1399" s="3" t="n">
        <v>829</v>
      </c>
      <c r="M1399" s="4" t="n">
        <v>0.1</v>
      </c>
      <c r="N1399" s="3" t="n">
        <v>550.54</v>
      </c>
      <c r="O1399" s="3">
        <f>K1399*L1399*(1-M1399)</f>
        <v/>
      </c>
      <c r="P1399" s="3">
        <f>O1399-N1399</f>
        <v/>
      </c>
      <c r="Q1399" s="5">
        <f>IFERROR(P1399/O1399,0)</f>
        <v/>
      </c>
      <c r="R1399" s="2">
        <f>TEXT(DATEVALUE(B1399),"mmm")</f>
        <v/>
      </c>
      <c r="S1399" s="2">
        <f>TEXT(DATEVALUE(B1399),"yyyy-mm")</f>
        <v/>
      </c>
    </row>
    <row r="1400">
      <c r="A1400" s="2" t="inlineStr">
        <is>
          <t>O004745</t>
        </is>
      </c>
      <c r="B1400" s="2" t="inlineStr">
        <is>
          <t>2025-04-14</t>
        </is>
      </c>
      <c r="C1400" s="2" t="inlineStr">
        <is>
          <t>C0420</t>
        </is>
      </c>
      <c r="D1400" s="2" t="inlineStr">
        <is>
          <t>P0019</t>
        </is>
      </c>
      <c r="E1400" s="2" t="inlineStr">
        <is>
          <t>Jacket</t>
        </is>
      </c>
      <c r="F1400" s="2" t="inlineStr">
        <is>
          <t>Fashion</t>
        </is>
      </c>
      <c r="G1400" s="2" t="inlineStr">
        <is>
          <t>West</t>
        </is>
      </c>
      <c r="H1400" s="2" t="inlineStr">
        <is>
          <t>Goa</t>
        </is>
      </c>
      <c r="I1400" s="2" t="inlineStr">
        <is>
          <t>Panaji</t>
        </is>
      </c>
      <c r="J1400" s="2" t="inlineStr">
        <is>
          <t>Online</t>
        </is>
      </c>
      <c r="K1400" s="2" t="n">
        <v>2</v>
      </c>
      <c r="L1400" s="3" t="n">
        <v>1035.44</v>
      </c>
      <c r="M1400" s="4" t="n">
        <v>0.1</v>
      </c>
      <c r="N1400" s="3" t="n">
        <v>1304.93</v>
      </c>
      <c r="O1400" s="3">
        <f>K1400*L1400*(1-M1400)</f>
        <v/>
      </c>
      <c r="P1400" s="3">
        <f>O1400-N1400</f>
        <v/>
      </c>
      <c r="Q1400" s="5">
        <f>IFERROR(P1400/O1400,0)</f>
        <v/>
      </c>
      <c r="R1400" s="2">
        <f>TEXT(DATEVALUE(B1400),"mmm")</f>
        <v/>
      </c>
      <c r="S1400" s="2">
        <f>TEXT(DATEVALUE(B1400),"yyyy-mm")</f>
        <v/>
      </c>
    </row>
    <row r="1401">
      <c r="A1401" s="2" t="inlineStr">
        <is>
          <t>O004559</t>
        </is>
      </c>
      <c r="B1401" s="2" t="inlineStr">
        <is>
          <t>2025-04-14</t>
        </is>
      </c>
      <c r="C1401" s="2" t="inlineStr">
        <is>
          <t>C0738</t>
        </is>
      </c>
      <c r="D1401" s="2" t="inlineStr">
        <is>
          <t>P0021</t>
        </is>
      </c>
      <c r="E1401" s="2" t="inlineStr">
        <is>
          <t>Wallet</t>
        </is>
      </c>
      <c r="F1401" s="2" t="inlineStr">
        <is>
          <t>Fashion</t>
        </is>
      </c>
      <c r="G1401" s="2" t="inlineStr">
        <is>
          <t>North</t>
        </is>
      </c>
      <c r="H1401" s="2" t="inlineStr">
        <is>
          <t>Haryana</t>
        </is>
      </c>
      <c r="I1401" s="2" t="inlineStr">
        <is>
          <t>Faridabad</t>
        </is>
      </c>
      <c r="J1401" s="2" t="inlineStr">
        <is>
          <t>Online</t>
        </is>
      </c>
      <c r="K1401" s="2" t="n">
        <v>5</v>
      </c>
      <c r="L1401" s="3" t="n">
        <v>2052.43</v>
      </c>
      <c r="M1401" s="4" t="n">
        <v>0.05</v>
      </c>
      <c r="N1401" s="3" t="n">
        <v>6129.6</v>
      </c>
      <c r="O1401" s="3">
        <f>K1401*L1401*(1-M1401)</f>
        <v/>
      </c>
      <c r="P1401" s="3">
        <f>O1401-N1401</f>
        <v/>
      </c>
      <c r="Q1401" s="5">
        <f>IFERROR(P1401/O1401,0)</f>
        <v/>
      </c>
      <c r="R1401" s="2">
        <f>TEXT(DATEVALUE(B1401),"mmm")</f>
        <v/>
      </c>
      <c r="S1401" s="2">
        <f>TEXT(DATEVALUE(B1401),"yyyy-mm")</f>
        <v/>
      </c>
    </row>
    <row r="1402">
      <c r="A1402" s="2" t="inlineStr">
        <is>
          <t>O004188</t>
        </is>
      </c>
      <c r="B1402" s="2" t="inlineStr">
        <is>
          <t>2025-04-14</t>
        </is>
      </c>
      <c r="C1402" s="2" t="inlineStr">
        <is>
          <t>C0649</t>
        </is>
      </c>
      <c r="D1402" s="2" t="inlineStr">
        <is>
          <t>P0029</t>
        </is>
      </c>
      <c r="E1402" s="2" t="inlineStr">
        <is>
          <t>Yoga Mat</t>
        </is>
      </c>
      <c r="F1402" s="2" t="inlineStr">
        <is>
          <t>Sports</t>
        </is>
      </c>
      <c r="G1402" s="2" t="inlineStr">
        <is>
          <t>North</t>
        </is>
      </c>
      <c r="H1402" s="2" t="inlineStr">
        <is>
          <t>Delhi</t>
        </is>
      </c>
      <c r="I1402" s="2" t="inlineStr">
        <is>
          <t>New Delhi</t>
        </is>
      </c>
      <c r="J1402" s="2" t="inlineStr">
        <is>
          <t>Store</t>
        </is>
      </c>
      <c r="K1402" s="2" t="n">
        <v>2</v>
      </c>
      <c r="L1402" s="3" t="n">
        <v>2303.54</v>
      </c>
      <c r="M1402" s="4" t="n">
        <v>0.2</v>
      </c>
      <c r="N1402" s="3" t="n">
        <v>2599.5</v>
      </c>
      <c r="O1402" s="3">
        <f>K1402*L1402*(1-M1402)</f>
        <v/>
      </c>
      <c r="P1402" s="3">
        <f>O1402-N1402</f>
        <v/>
      </c>
      <c r="Q1402" s="5">
        <f>IFERROR(P1402/O1402,0)</f>
        <v/>
      </c>
      <c r="R1402" s="2">
        <f>TEXT(DATEVALUE(B1402),"mmm")</f>
        <v/>
      </c>
      <c r="S1402" s="2">
        <f>TEXT(DATEVALUE(B1402),"yyyy-mm")</f>
        <v/>
      </c>
    </row>
    <row r="1403">
      <c r="A1403" s="2" t="inlineStr">
        <is>
          <t>O003869</t>
        </is>
      </c>
      <c r="B1403" s="2" t="inlineStr">
        <is>
          <t>2025-04-14</t>
        </is>
      </c>
      <c r="C1403" s="2" t="inlineStr">
        <is>
          <t>C0694</t>
        </is>
      </c>
      <c r="D1403" s="2" t="inlineStr">
        <is>
          <t>P0020</t>
        </is>
      </c>
      <c r="E1403" s="2" t="inlineStr">
        <is>
          <t>Sneakers</t>
        </is>
      </c>
      <c r="F1403" s="2" t="inlineStr">
        <is>
          <t>Fashion</t>
        </is>
      </c>
      <c r="G1403" s="2" t="inlineStr">
        <is>
          <t>South</t>
        </is>
      </c>
      <c r="H1403" s="2" t="inlineStr">
        <is>
          <t>Karnataka</t>
        </is>
      </c>
      <c r="I1403" s="2" t="inlineStr">
        <is>
          <t>Mangaluru</t>
        </is>
      </c>
      <c r="J1403" s="2" t="inlineStr">
        <is>
          <t>Online</t>
        </is>
      </c>
      <c r="K1403" s="2" t="n">
        <v>6</v>
      </c>
      <c r="L1403" s="3" t="n">
        <v>2011.08</v>
      </c>
      <c r="M1403" s="4" t="n">
        <v>0.15</v>
      </c>
      <c r="N1403" s="3" t="n">
        <v>8827.700000000001</v>
      </c>
      <c r="O1403" s="3">
        <f>K1403*L1403*(1-M1403)</f>
        <v/>
      </c>
      <c r="P1403" s="3">
        <f>O1403-N1403</f>
        <v/>
      </c>
      <c r="Q1403" s="5">
        <f>IFERROR(P1403/O1403,0)</f>
        <v/>
      </c>
      <c r="R1403" s="2">
        <f>TEXT(DATEVALUE(B1403),"mmm")</f>
        <v/>
      </c>
      <c r="S1403" s="2">
        <f>TEXT(DATEVALUE(B1403),"yyyy-mm")</f>
        <v/>
      </c>
    </row>
    <row r="1404">
      <c r="A1404" s="2" t="inlineStr">
        <is>
          <t>O003858</t>
        </is>
      </c>
      <c r="B1404" s="2" t="inlineStr">
        <is>
          <t>2025-04-14</t>
        </is>
      </c>
      <c r="C1404" s="2" t="inlineStr">
        <is>
          <t>C0726</t>
        </is>
      </c>
      <c r="D1404" s="2" t="inlineStr">
        <is>
          <t>P0006</t>
        </is>
      </c>
      <c r="E1404" s="2" t="inlineStr">
        <is>
          <t>Mechanical Keyboard</t>
        </is>
      </c>
      <c r="F1404" s="2" t="inlineStr">
        <is>
          <t>Electronics</t>
        </is>
      </c>
      <c r="G1404" s="2" t="inlineStr">
        <is>
          <t>South</t>
        </is>
      </c>
      <c r="H1404" s="2" t="inlineStr">
        <is>
          <t>Telangana</t>
        </is>
      </c>
      <c r="I1404" s="2" t="inlineStr">
        <is>
          <t>Hyderabad</t>
        </is>
      </c>
      <c r="J1404" s="2" t="inlineStr">
        <is>
          <t>Online</t>
        </is>
      </c>
      <c r="K1404" s="2" t="n">
        <v>6</v>
      </c>
      <c r="L1404" s="3" t="n">
        <v>2726.5</v>
      </c>
      <c r="M1404" s="4" t="n">
        <v>0.1</v>
      </c>
      <c r="N1404" s="3" t="n">
        <v>8953.700000000001</v>
      </c>
      <c r="O1404" s="3">
        <f>K1404*L1404*(1-M1404)</f>
        <v/>
      </c>
      <c r="P1404" s="3">
        <f>O1404-N1404</f>
        <v/>
      </c>
      <c r="Q1404" s="5">
        <f>IFERROR(P1404/O1404,0)</f>
        <v/>
      </c>
      <c r="R1404" s="2">
        <f>TEXT(DATEVALUE(B1404),"mmm")</f>
        <v/>
      </c>
      <c r="S1404" s="2">
        <f>TEXT(DATEVALUE(B1404),"yyyy-mm")</f>
        <v/>
      </c>
    </row>
    <row r="1405">
      <c r="A1405" s="2" t="inlineStr">
        <is>
          <t>O003821</t>
        </is>
      </c>
      <c r="B1405" s="2" t="inlineStr">
        <is>
          <t>2025-04-14</t>
        </is>
      </c>
      <c r="C1405" s="2" t="inlineStr">
        <is>
          <t>C0563</t>
        </is>
      </c>
      <c r="D1405" s="2" t="inlineStr">
        <is>
          <t>P0027</t>
        </is>
      </c>
      <c r="E1405" s="2" t="inlineStr">
        <is>
          <t>Moisturizer</t>
        </is>
      </c>
      <c r="F1405" s="2" t="inlineStr">
        <is>
          <t>Beauty</t>
        </is>
      </c>
      <c r="G1405" s="2" t="inlineStr">
        <is>
          <t>West</t>
        </is>
      </c>
      <c r="H1405" s="2" t="inlineStr">
        <is>
          <t>Goa</t>
        </is>
      </c>
      <c r="I1405" s="2" t="inlineStr">
        <is>
          <t>Panaji</t>
        </is>
      </c>
      <c r="J1405" s="2" t="inlineStr">
        <is>
          <t>Store</t>
        </is>
      </c>
      <c r="K1405" s="2" t="n">
        <v>3</v>
      </c>
      <c r="L1405" s="3" t="n">
        <v>969.87</v>
      </c>
      <c r="M1405" s="4" t="n">
        <v>0.1</v>
      </c>
      <c r="N1405" s="3" t="n">
        <v>2087.88</v>
      </c>
      <c r="O1405" s="3">
        <f>K1405*L1405*(1-M1405)</f>
        <v/>
      </c>
      <c r="P1405" s="3">
        <f>O1405-N1405</f>
        <v/>
      </c>
      <c r="Q1405" s="5">
        <f>IFERROR(P1405/O1405,0)</f>
        <v/>
      </c>
      <c r="R1405" s="2">
        <f>TEXT(DATEVALUE(B1405),"mmm")</f>
        <v/>
      </c>
      <c r="S1405" s="2">
        <f>TEXT(DATEVALUE(B1405),"yyyy-mm")</f>
        <v/>
      </c>
    </row>
    <row r="1406">
      <c r="A1406" s="2" t="inlineStr">
        <is>
          <t>O003468</t>
        </is>
      </c>
      <c r="B1406" s="2" t="inlineStr">
        <is>
          <t>2025-04-14</t>
        </is>
      </c>
      <c r="C1406" s="2" t="inlineStr">
        <is>
          <t>C0284</t>
        </is>
      </c>
      <c r="D1406" s="2" t="inlineStr">
        <is>
          <t>P0007</t>
        </is>
      </c>
      <c r="E1406" s="2" t="inlineStr">
        <is>
          <t>Wireless Mouse</t>
        </is>
      </c>
      <c r="F1406" s="2" t="inlineStr">
        <is>
          <t>Electronics</t>
        </is>
      </c>
      <c r="G1406" s="2" t="inlineStr">
        <is>
          <t>South</t>
        </is>
      </c>
      <c r="H1406" s="2" t="inlineStr">
        <is>
          <t>Tamil Nadu</t>
        </is>
      </c>
      <c r="I1406" s="2" t="inlineStr">
        <is>
          <t>Madurai</t>
        </is>
      </c>
      <c r="J1406" s="2" t="inlineStr">
        <is>
          <t>Store</t>
        </is>
      </c>
      <c r="K1406" s="2" t="n">
        <v>2</v>
      </c>
      <c r="L1406" s="3" t="n">
        <v>1011.38</v>
      </c>
      <c r="M1406" s="4" t="n">
        <v>0.1</v>
      </c>
      <c r="N1406" s="3" t="n">
        <v>1241.88</v>
      </c>
      <c r="O1406" s="3">
        <f>K1406*L1406*(1-M1406)</f>
        <v/>
      </c>
      <c r="P1406" s="3">
        <f>O1406-N1406</f>
        <v/>
      </c>
      <c r="Q1406" s="5">
        <f>IFERROR(P1406/O1406,0)</f>
        <v/>
      </c>
      <c r="R1406" s="2">
        <f>TEXT(DATEVALUE(B1406),"mmm")</f>
        <v/>
      </c>
      <c r="S1406" s="2">
        <f>TEXT(DATEVALUE(B1406),"yyyy-mm")</f>
        <v/>
      </c>
    </row>
    <row r="1407">
      <c r="A1407" s="2" t="inlineStr">
        <is>
          <t>O002679</t>
        </is>
      </c>
      <c r="B1407" s="2" t="inlineStr">
        <is>
          <t>2025-04-14</t>
        </is>
      </c>
      <c r="C1407" s="2" t="inlineStr">
        <is>
          <t>C0664</t>
        </is>
      </c>
      <c r="D1407" s="2" t="inlineStr">
        <is>
          <t>P0004</t>
        </is>
      </c>
      <c r="E1407" s="2" t="inlineStr">
        <is>
          <t>USB-C Hub</t>
        </is>
      </c>
      <c r="F1407" s="2" t="inlineStr">
        <is>
          <t>Electronics</t>
        </is>
      </c>
      <c r="G1407" s="2" t="inlineStr">
        <is>
          <t>East</t>
        </is>
      </c>
      <c r="H1407" s="2" t="inlineStr">
        <is>
          <t>Bihar</t>
        </is>
      </c>
      <c r="I1407" s="2" t="inlineStr">
        <is>
          <t>Gaya</t>
        </is>
      </c>
      <c r="J1407" s="2" t="inlineStr">
        <is>
          <t>Online</t>
        </is>
      </c>
      <c r="K1407" s="2" t="n">
        <v>6</v>
      </c>
      <c r="L1407" s="3" t="n">
        <v>1209.98</v>
      </c>
      <c r="M1407" s="4" t="n">
        <v>0</v>
      </c>
      <c r="N1407" s="3" t="n">
        <v>5622.06</v>
      </c>
      <c r="O1407" s="3">
        <f>K1407*L1407*(1-M1407)</f>
        <v/>
      </c>
      <c r="P1407" s="3">
        <f>O1407-N1407</f>
        <v/>
      </c>
      <c r="Q1407" s="5">
        <f>IFERROR(P1407/O1407,0)</f>
        <v/>
      </c>
      <c r="R1407" s="2">
        <f>TEXT(DATEVALUE(B1407),"mmm")</f>
        <v/>
      </c>
      <c r="S1407" s="2">
        <f>TEXT(DATEVALUE(B1407),"yyyy-mm")</f>
        <v/>
      </c>
    </row>
    <row r="1408">
      <c r="A1408" s="2" t="inlineStr">
        <is>
          <t>O002329</t>
        </is>
      </c>
      <c r="B1408" s="2" t="inlineStr">
        <is>
          <t>2025-04-14</t>
        </is>
      </c>
      <c r="C1408" s="2" t="inlineStr">
        <is>
          <t>C0750</t>
        </is>
      </c>
      <c r="D1408" s="2" t="inlineStr">
        <is>
          <t>P0010</t>
        </is>
      </c>
      <c r="E1408" s="2" t="inlineStr">
        <is>
          <t>Mixer Grinder</t>
        </is>
      </c>
      <c r="F1408" s="2" t="inlineStr">
        <is>
          <t>Home &amp; Kitchen</t>
        </is>
      </c>
      <c r="G1408" s="2" t="inlineStr">
        <is>
          <t>South</t>
        </is>
      </c>
      <c r="H1408" s="2" t="inlineStr">
        <is>
          <t>Tamil Nadu</t>
        </is>
      </c>
      <c r="I1408" s="2" t="inlineStr">
        <is>
          <t>Madurai</t>
        </is>
      </c>
      <c r="J1408" s="2" t="inlineStr">
        <is>
          <t>Store</t>
        </is>
      </c>
      <c r="K1408" s="2" t="n">
        <v>2</v>
      </c>
      <c r="L1408" s="3" t="n">
        <v>1630.67</v>
      </c>
      <c r="M1408" s="4" t="n">
        <v>0.2</v>
      </c>
      <c r="N1408" s="3" t="n">
        <v>2024.9</v>
      </c>
      <c r="O1408" s="3">
        <f>K1408*L1408*(1-M1408)</f>
        <v/>
      </c>
      <c r="P1408" s="3">
        <f>O1408-N1408</f>
        <v/>
      </c>
      <c r="Q1408" s="5">
        <f>IFERROR(P1408/O1408,0)</f>
        <v/>
      </c>
      <c r="R1408" s="2">
        <f>TEXT(DATEVALUE(B1408),"mmm")</f>
        <v/>
      </c>
      <c r="S1408" s="2">
        <f>TEXT(DATEVALUE(B1408),"yyyy-mm")</f>
        <v/>
      </c>
    </row>
    <row r="1409">
      <c r="A1409" s="2" t="inlineStr">
        <is>
          <t>O001413</t>
        </is>
      </c>
      <c r="B1409" s="2" t="inlineStr">
        <is>
          <t>2025-04-14</t>
        </is>
      </c>
      <c r="C1409" s="2" t="inlineStr">
        <is>
          <t>C0568</t>
        </is>
      </c>
      <c r="D1409" s="2" t="inlineStr">
        <is>
          <t>P0017</t>
        </is>
      </c>
      <c r="E1409" s="2" t="inlineStr">
        <is>
          <t>Jeans</t>
        </is>
      </c>
      <c r="F1409" s="2" t="inlineStr">
        <is>
          <t>Fashion</t>
        </is>
      </c>
      <c r="G1409" s="2" t="inlineStr">
        <is>
          <t>North</t>
        </is>
      </c>
      <c r="H1409" s="2" t="inlineStr">
        <is>
          <t>Delhi</t>
        </is>
      </c>
      <c r="I1409" s="2" t="inlineStr">
        <is>
          <t>New Delhi</t>
        </is>
      </c>
      <c r="J1409" s="2" t="inlineStr">
        <is>
          <t>Online</t>
        </is>
      </c>
      <c r="K1409" s="2" t="n">
        <v>1</v>
      </c>
      <c r="L1409" s="3" t="n">
        <v>1440.08</v>
      </c>
      <c r="M1409" s="4" t="n">
        <v>0.1</v>
      </c>
      <c r="N1409" s="3" t="n">
        <v>1009.59</v>
      </c>
      <c r="O1409" s="3">
        <f>K1409*L1409*(1-M1409)</f>
        <v/>
      </c>
      <c r="P1409" s="3">
        <f>O1409-N1409</f>
        <v/>
      </c>
      <c r="Q1409" s="5">
        <f>IFERROR(P1409/O1409,0)</f>
        <v/>
      </c>
      <c r="R1409" s="2">
        <f>TEXT(DATEVALUE(B1409),"mmm")</f>
        <v/>
      </c>
      <c r="S1409" s="2">
        <f>TEXT(DATEVALUE(B1409),"yyyy-mm")</f>
        <v/>
      </c>
    </row>
    <row r="1410">
      <c r="A1410" s="2" t="inlineStr">
        <is>
          <t>O001140</t>
        </is>
      </c>
      <c r="B1410" s="2" t="inlineStr">
        <is>
          <t>2025-04-14</t>
        </is>
      </c>
      <c r="C1410" s="2" t="inlineStr">
        <is>
          <t>C0179</t>
        </is>
      </c>
      <c r="D1410" s="2" t="inlineStr">
        <is>
          <t>P0012</t>
        </is>
      </c>
      <c r="E1410" s="2" t="inlineStr">
        <is>
          <t>Water Bottle</t>
        </is>
      </c>
      <c r="F1410" s="2" t="inlineStr">
        <is>
          <t>Home &amp; Kitchen</t>
        </is>
      </c>
      <c r="G1410" s="2" t="inlineStr">
        <is>
          <t>South</t>
        </is>
      </c>
      <c r="H1410" s="2" t="inlineStr">
        <is>
          <t>Kerala</t>
        </is>
      </c>
      <c r="I1410" s="2" t="inlineStr">
        <is>
          <t>Kochi</t>
        </is>
      </c>
      <c r="J1410" s="2" t="inlineStr">
        <is>
          <t>Online</t>
        </is>
      </c>
      <c r="K1410" s="2" t="n">
        <v>1</v>
      </c>
      <c r="L1410" s="3" t="n">
        <v>1005.62</v>
      </c>
      <c r="M1410" s="4" t="n">
        <v>0.1</v>
      </c>
      <c r="N1410" s="3" t="n">
        <v>620.8</v>
      </c>
      <c r="O1410" s="3">
        <f>K1410*L1410*(1-M1410)</f>
        <v/>
      </c>
      <c r="P1410" s="3">
        <f>O1410-N1410</f>
        <v/>
      </c>
      <c r="Q1410" s="5">
        <f>IFERROR(P1410/O1410,0)</f>
        <v/>
      </c>
      <c r="R1410" s="2">
        <f>TEXT(DATEVALUE(B1410),"mmm")</f>
        <v/>
      </c>
      <c r="S1410" s="2">
        <f>TEXT(DATEVALUE(B1410),"yyyy-mm")</f>
        <v/>
      </c>
    </row>
    <row r="1411">
      <c r="A1411" s="2" t="inlineStr">
        <is>
          <t>O001137</t>
        </is>
      </c>
      <c r="B1411" s="2" t="inlineStr">
        <is>
          <t>2025-04-14</t>
        </is>
      </c>
      <c r="C1411" s="2" t="inlineStr">
        <is>
          <t>C0578</t>
        </is>
      </c>
      <c r="D1411" s="2" t="inlineStr">
        <is>
          <t>P0017</t>
        </is>
      </c>
      <c r="E1411" s="2" t="inlineStr">
        <is>
          <t>Jeans</t>
        </is>
      </c>
      <c r="F1411" s="2" t="inlineStr">
        <is>
          <t>Fashion</t>
        </is>
      </c>
      <c r="G1411" s="2" t="inlineStr">
        <is>
          <t>South</t>
        </is>
      </c>
      <c r="H1411" s="2" t="inlineStr">
        <is>
          <t>Karnataka</t>
        </is>
      </c>
      <c r="I1411" s="2" t="inlineStr">
        <is>
          <t>Mysuru</t>
        </is>
      </c>
      <c r="J1411" s="2" t="inlineStr">
        <is>
          <t>Store</t>
        </is>
      </c>
      <c r="K1411" s="2" t="n">
        <v>2</v>
      </c>
      <c r="L1411" s="3" t="n">
        <v>1456.28</v>
      </c>
      <c r="M1411" s="4" t="n">
        <v>0.1</v>
      </c>
      <c r="N1411" s="3" t="n">
        <v>1992.14</v>
      </c>
      <c r="O1411" s="3">
        <f>K1411*L1411*(1-M1411)</f>
        <v/>
      </c>
      <c r="P1411" s="3">
        <f>O1411-N1411</f>
        <v/>
      </c>
      <c r="Q1411" s="5">
        <f>IFERROR(P1411/O1411,0)</f>
        <v/>
      </c>
      <c r="R1411" s="2">
        <f>TEXT(DATEVALUE(B1411),"mmm")</f>
        <v/>
      </c>
      <c r="S1411" s="2">
        <f>TEXT(DATEVALUE(B1411),"yyyy-mm")</f>
        <v/>
      </c>
    </row>
    <row r="1412">
      <c r="A1412" s="2" t="inlineStr">
        <is>
          <t>O001071</t>
        </is>
      </c>
      <c r="B1412" s="2" t="inlineStr">
        <is>
          <t>2025-04-14</t>
        </is>
      </c>
      <c r="C1412" s="2" t="inlineStr">
        <is>
          <t>C0393</t>
        </is>
      </c>
      <c r="D1412" s="2" t="inlineStr">
        <is>
          <t>P0019</t>
        </is>
      </c>
      <c r="E1412" s="2" t="inlineStr">
        <is>
          <t>Jacket</t>
        </is>
      </c>
      <c r="F1412" s="2" t="inlineStr">
        <is>
          <t>Fashion</t>
        </is>
      </c>
      <c r="G1412" s="2" t="inlineStr">
        <is>
          <t>West</t>
        </is>
      </c>
      <c r="H1412" s="2" t="inlineStr">
        <is>
          <t>Goa</t>
        </is>
      </c>
      <c r="I1412" s="2" t="inlineStr">
        <is>
          <t>Margao</t>
        </is>
      </c>
      <c r="J1412" s="2" t="inlineStr">
        <is>
          <t>Online</t>
        </is>
      </c>
      <c r="K1412" s="2" t="n">
        <v>4</v>
      </c>
      <c r="L1412" s="3" t="n">
        <v>1052.45</v>
      </c>
      <c r="M1412" s="4" t="n">
        <v>0.2</v>
      </c>
      <c r="N1412" s="3" t="n">
        <v>2627.51</v>
      </c>
      <c r="O1412" s="3">
        <f>K1412*L1412*(1-M1412)</f>
        <v/>
      </c>
      <c r="P1412" s="3">
        <f>O1412-N1412</f>
        <v/>
      </c>
      <c r="Q1412" s="5">
        <f>IFERROR(P1412/O1412,0)</f>
        <v/>
      </c>
      <c r="R1412" s="2">
        <f>TEXT(DATEVALUE(B1412),"mmm")</f>
        <v/>
      </c>
      <c r="S1412" s="2">
        <f>TEXT(DATEVALUE(B1412),"yyyy-mm")</f>
        <v/>
      </c>
    </row>
    <row r="1413">
      <c r="A1413" s="2" t="inlineStr">
        <is>
          <t>O001070</t>
        </is>
      </c>
      <c r="B1413" s="2" t="inlineStr">
        <is>
          <t>2025-04-14</t>
        </is>
      </c>
      <c r="C1413" s="2" t="inlineStr">
        <is>
          <t>C0029</t>
        </is>
      </c>
      <c r="D1413" s="2" t="inlineStr">
        <is>
          <t>P0011</t>
        </is>
      </c>
      <c r="E1413" s="2" t="inlineStr">
        <is>
          <t>Cookware Set</t>
        </is>
      </c>
      <c r="F1413" s="2" t="inlineStr">
        <is>
          <t>Home &amp; Kitchen</t>
        </is>
      </c>
      <c r="G1413" s="2" t="inlineStr">
        <is>
          <t>North</t>
        </is>
      </c>
      <c r="H1413" s="2" t="inlineStr">
        <is>
          <t>Uttar Pradesh</t>
        </is>
      </c>
      <c r="I1413" s="2" t="inlineStr">
        <is>
          <t>Kanpur</t>
        </is>
      </c>
      <c r="J1413" s="2" t="inlineStr">
        <is>
          <t>Online</t>
        </is>
      </c>
      <c r="K1413" s="2" t="n">
        <v>2</v>
      </c>
      <c r="L1413" s="3" t="n">
        <v>690.71</v>
      </c>
      <c r="M1413" s="4" t="n">
        <v>0</v>
      </c>
      <c r="N1413" s="3" t="n">
        <v>944.17</v>
      </c>
      <c r="O1413" s="3">
        <f>K1413*L1413*(1-M1413)</f>
        <v/>
      </c>
      <c r="P1413" s="3">
        <f>O1413-N1413</f>
        <v/>
      </c>
      <c r="Q1413" s="5">
        <f>IFERROR(P1413/O1413,0)</f>
        <v/>
      </c>
      <c r="R1413" s="2">
        <f>TEXT(DATEVALUE(B1413),"mmm")</f>
        <v/>
      </c>
      <c r="S1413" s="2">
        <f>TEXT(DATEVALUE(B1413),"yyyy-mm")</f>
        <v/>
      </c>
    </row>
    <row r="1414">
      <c r="A1414" s="2" t="inlineStr">
        <is>
          <t>O001057</t>
        </is>
      </c>
      <c r="B1414" s="2" t="inlineStr">
        <is>
          <t>2025-04-14</t>
        </is>
      </c>
      <c r="C1414" s="2" t="inlineStr">
        <is>
          <t>C0228</t>
        </is>
      </c>
      <c r="D1414" s="2" t="inlineStr">
        <is>
          <t>P0021</t>
        </is>
      </c>
      <c r="E1414" s="2" t="inlineStr">
        <is>
          <t>Wallet</t>
        </is>
      </c>
      <c r="F1414" s="2" t="inlineStr">
        <is>
          <t>Fashion</t>
        </is>
      </c>
      <c r="G1414" s="2" t="inlineStr">
        <is>
          <t>South</t>
        </is>
      </c>
      <c r="H1414" s="2" t="inlineStr">
        <is>
          <t>Telangana</t>
        </is>
      </c>
      <c r="I1414" s="2" t="inlineStr">
        <is>
          <t>Warangal</t>
        </is>
      </c>
      <c r="J1414" s="2" t="inlineStr">
        <is>
          <t>Store</t>
        </is>
      </c>
      <c r="K1414" s="2" t="n">
        <v>2</v>
      </c>
      <c r="L1414" s="3" t="n">
        <v>2076.55</v>
      </c>
      <c r="M1414" s="4" t="n">
        <v>0.1</v>
      </c>
      <c r="N1414" s="3" t="n">
        <v>2407.76</v>
      </c>
      <c r="O1414" s="3">
        <f>K1414*L1414*(1-M1414)</f>
        <v/>
      </c>
      <c r="P1414" s="3">
        <f>O1414-N1414</f>
        <v/>
      </c>
      <c r="Q1414" s="5">
        <f>IFERROR(P1414/O1414,0)</f>
        <v/>
      </c>
      <c r="R1414" s="2">
        <f>TEXT(DATEVALUE(B1414),"mmm")</f>
        <v/>
      </c>
      <c r="S1414" s="2">
        <f>TEXT(DATEVALUE(B1414),"yyyy-mm")</f>
        <v/>
      </c>
    </row>
    <row r="1415">
      <c r="A1415" s="2" t="inlineStr">
        <is>
          <t>O000369</t>
        </is>
      </c>
      <c r="B1415" s="2" t="inlineStr">
        <is>
          <t>2025-04-14</t>
        </is>
      </c>
      <c r="C1415" s="2" t="inlineStr">
        <is>
          <t>C0311</t>
        </is>
      </c>
      <c r="D1415" s="2" t="inlineStr">
        <is>
          <t>P0021</t>
        </is>
      </c>
      <c r="E1415" s="2" t="inlineStr">
        <is>
          <t>Wallet</t>
        </is>
      </c>
      <c r="F1415" s="2" t="inlineStr">
        <is>
          <t>Fashion</t>
        </is>
      </c>
      <c r="G1415" s="2" t="inlineStr">
        <is>
          <t>West</t>
        </is>
      </c>
      <c r="H1415" s="2" t="inlineStr">
        <is>
          <t>Maharashtra</t>
        </is>
      </c>
      <c r="I1415" s="2" t="inlineStr">
        <is>
          <t>Nagpur</t>
        </is>
      </c>
      <c r="J1415" s="2" t="inlineStr">
        <is>
          <t>Online</t>
        </is>
      </c>
      <c r="K1415" s="2" t="n">
        <v>2</v>
      </c>
      <c r="L1415" s="3" t="n">
        <v>1946.91</v>
      </c>
      <c r="M1415" s="4" t="n">
        <v>0.05</v>
      </c>
      <c r="N1415" s="3" t="n">
        <v>2487.74</v>
      </c>
      <c r="O1415" s="3">
        <f>K1415*L1415*(1-M1415)</f>
        <v/>
      </c>
      <c r="P1415" s="3">
        <f>O1415-N1415</f>
        <v/>
      </c>
      <c r="Q1415" s="5">
        <f>IFERROR(P1415/O1415,0)</f>
        <v/>
      </c>
      <c r="R1415" s="2">
        <f>TEXT(DATEVALUE(B1415),"mmm")</f>
        <v/>
      </c>
      <c r="S1415" s="2">
        <f>TEXT(DATEVALUE(B1415),"yyyy-mm")</f>
        <v/>
      </c>
    </row>
    <row r="1416">
      <c r="A1416" s="2" t="inlineStr">
        <is>
          <t>O000284</t>
        </is>
      </c>
      <c r="B1416" s="2" t="inlineStr">
        <is>
          <t>2025-04-14</t>
        </is>
      </c>
      <c r="C1416" s="2" t="inlineStr">
        <is>
          <t>C0095</t>
        </is>
      </c>
      <c r="D1416" s="2" t="inlineStr">
        <is>
          <t>P0005</t>
        </is>
      </c>
      <c r="E1416" s="2" t="inlineStr">
        <is>
          <t>Power Bank</t>
        </is>
      </c>
      <c r="F1416" s="2" t="inlineStr">
        <is>
          <t>Electronics</t>
        </is>
      </c>
      <c r="G1416" s="2" t="inlineStr">
        <is>
          <t>East</t>
        </is>
      </c>
      <c r="H1416" s="2" t="inlineStr">
        <is>
          <t>West Bengal</t>
        </is>
      </c>
      <c r="I1416" s="2" t="inlineStr">
        <is>
          <t>Durgapur</t>
        </is>
      </c>
      <c r="J1416" s="2" t="inlineStr">
        <is>
          <t>Online</t>
        </is>
      </c>
      <c r="K1416" s="2" t="n">
        <v>4</v>
      </c>
      <c r="L1416" s="3" t="n">
        <v>1172.45</v>
      </c>
      <c r="M1416" s="4" t="n">
        <v>0.2</v>
      </c>
      <c r="N1416" s="3" t="n">
        <v>2700.74</v>
      </c>
      <c r="O1416" s="3">
        <f>K1416*L1416*(1-M1416)</f>
        <v/>
      </c>
      <c r="P1416" s="3">
        <f>O1416-N1416</f>
        <v/>
      </c>
      <c r="Q1416" s="5">
        <f>IFERROR(P1416/O1416,0)</f>
        <v/>
      </c>
      <c r="R1416" s="2">
        <f>TEXT(DATEVALUE(B1416),"mmm")</f>
        <v/>
      </c>
      <c r="S1416" s="2">
        <f>TEXT(DATEVALUE(B1416),"yyyy-mm")</f>
        <v/>
      </c>
    </row>
    <row r="1417">
      <c r="A1417" s="2" t="inlineStr">
        <is>
          <t>O002975</t>
        </is>
      </c>
      <c r="B1417" s="2" t="inlineStr">
        <is>
          <t>2025-04-14</t>
        </is>
      </c>
      <c r="C1417" s="2" t="inlineStr">
        <is>
          <t>C0179</t>
        </is>
      </c>
      <c r="D1417" s="2" t="inlineStr">
        <is>
          <t>P0004</t>
        </is>
      </c>
      <c r="E1417" s="2" t="inlineStr">
        <is>
          <t>USB-C Hub</t>
        </is>
      </c>
      <c r="F1417" s="2" t="inlineStr">
        <is>
          <t>Electronics</t>
        </is>
      </c>
      <c r="G1417" s="2" t="inlineStr">
        <is>
          <t>North</t>
        </is>
      </c>
      <c r="H1417" s="2" t="inlineStr">
        <is>
          <t>Delhi</t>
        </is>
      </c>
      <c r="I1417" s="2" t="inlineStr">
        <is>
          <t>New Delhi</t>
        </is>
      </c>
      <c r="J1417" s="2" t="inlineStr">
        <is>
          <t>Online</t>
        </is>
      </c>
      <c r="K1417" s="2" t="n">
        <v>3</v>
      </c>
      <c r="L1417" s="3" t="n">
        <v>1247.83</v>
      </c>
      <c r="M1417" s="4" t="n">
        <v>0</v>
      </c>
      <c r="N1417" s="3" t="n">
        <v>2685.41</v>
      </c>
      <c r="O1417" s="3">
        <f>K1417*L1417*(1-M1417)</f>
        <v/>
      </c>
      <c r="P1417" s="3">
        <f>O1417-N1417</f>
        <v/>
      </c>
      <c r="Q1417" s="5">
        <f>IFERROR(P1417/O1417,0)</f>
        <v/>
      </c>
      <c r="R1417" s="2">
        <f>TEXT(DATEVALUE(B1417),"mmm")</f>
        <v/>
      </c>
      <c r="S1417" s="2">
        <f>TEXT(DATEVALUE(B1417),"yyyy-mm")</f>
        <v/>
      </c>
    </row>
    <row r="1418">
      <c r="A1418" s="2" t="inlineStr">
        <is>
          <t>O004059</t>
        </is>
      </c>
      <c r="B1418" s="2" t="inlineStr">
        <is>
          <t>2025-04-15</t>
        </is>
      </c>
      <c r="C1418" s="2" t="inlineStr">
        <is>
          <t>C0739</t>
        </is>
      </c>
      <c r="D1418" s="2" t="inlineStr">
        <is>
          <t>P0003</t>
        </is>
      </c>
      <c r="E1418" s="2" t="inlineStr">
        <is>
          <t>Smartwatch</t>
        </is>
      </c>
      <c r="F1418" s="2" t="inlineStr">
        <is>
          <t>Electronics</t>
        </is>
      </c>
      <c r="G1418" s="2" t="inlineStr">
        <is>
          <t>West</t>
        </is>
      </c>
      <c r="H1418" s="2" t="inlineStr">
        <is>
          <t>Goa</t>
        </is>
      </c>
      <c r="I1418" s="2" t="inlineStr">
        <is>
          <t>Panaji</t>
        </is>
      </c>
      <c r="J1418" s="2" t="inlineStr">
        <is>
          <t>Online</t>
        </is>
      </c>
      <c r="K1418" s="2" t="n">
        <v>2</v>
      </c>
      <c r="L1418" s="3" t="n">
        <v>2297.1</v>
      </c>
      <c r="M1418" s="4" t="n">
        <v>0</v>
      </c>
      <c r="N1418" s="3" t="n">
        <v>2307.37</v>
      </c>
      <c r="O1418" s="3">
        <f>K1418*L1418*(1-M1418)</f>
        <v/>
      </c>
      <c r="P1418" s="3">
        <f>O1418-N1418</f>
        <v/>
      </c>
      <c r="Q1418" s="5">
        <f>IFERROR(P1418/O1418,0)</f>
        <v/>
      </c>
      <c r="R1418" s="2">
        <f>TEXT(DATEVALUE(B1418),"mmm")</f>
        <v/>
      </c>
      <c r="S1418" s="2">
        <f>TEXT(DATEVALUE(B1418),"yyyy-mm")</f>
        <v/>
      </c>
    </row>
    <row r="1419">
      <c r="A1419" s="2" t="inlineStr">
        <is>
          <t>O003316</t>
        </is>
      </c>
      <c r="B1419" s="2" t="inlineStr">
        <is>
          <t>2025-04-15</t>
        </is>
      </c>
      <c r="C1419" s="2" t="inlineStr">
        <is>
          <t>C0510</t>
        </is>
      </c>
      <c r="D1419" s="2" t="inlineStr">
        <is>
          <t>P0012</t>
        </is>
      </c>
      <c r="E1419" s="2" t="inlineStr">
        <is>
          <t>Water Bottle</t>
        </is>
      </c>
      <c r="F1419" s="2" t="inlineStr">
        <is>
          <t>Home &amp; Kitchen</t>
        </is>
      </c>
      <c r="G1419" s="2" t="inlineStr">
        <is>
          <t>South</t>
        </is>
      </c>
      <c r="H1419" s="2" t="inlineStr">
        <is>
          <t>Tamil Nadu</t>
        </is>
      </c>
      <c r="I1419" s="2" t="inlineStr">
        <is>
          <t>Coimbatore</t>
        </is>
      </c>
      <c r="J1419" s="2" t="inlineStr">
        <is>
          <t>Store</t>
        </is>
      </c>
      <c r="K1419" s="2" t="n">
        <v>1</v>
      </c>
      <c r="L1419" s="3" t="n">
        <v>940.3</v>
      </c>
      <c r="M1419" s="4" t="n">
        <v>0.05</v>
      </c>
      <c r="N1419" s="3" t="n">
        <v>621.61</v>
      </c>
      <c r="O1419" s="3">
        <f>K1419*L1419*(1-M1419)</f>
        <v/>
      </c>
      <c r="P1419" s="3">
        <f>O1419-N1419</f>
        <v/>
      </c>
      <c r="Q1419" s="5">
        <f>IFERROR(P1419/O1419,0)</f>
        <v/>
      </c>
      <c r="R1419" s="2">
        <f>TEXT(DATEVALUE(B1419),"mmm")</f>
        <v/>
      </c>
      <c r="S1419" s="2">
        <f>TEXT(DATEVALUE(B1419),"yyyy-mm")</f>
        <v/>
      </c>
    </row>
    <row r="1420">
      <c r="A1420" s="2" t="inlineStr">
        <is>
          <t>O002515</t>
        </is>
      </c>
      <c r="B1420" s="2" t="inlineStr">
        <is>
          <t>2025-04-15</t>
        </is>
      </c>
      <c r="C1420" s="2" t="inlineStr">
        <is>
          <t>C0138</t>
        </is>
      </c>
      <c r="D1420" s="2" t="inlineStr">
        <is>
          <t>P0006</t>
        </is>
      </c>
      <c r="E1420" s="2" t="inlineStr">
        <is>
          <t>Mechanical Keyboard</t>
        </is>
      </c>
      <c r="F1420" s="2" t="inlineStr">
        <is>
          <t>Electronics</t>
        </is>
      </c>
      <c r="G1420" s="2" t="inlineStr">
        <is>
          <t>West</t>
        </is>
      </c>
      <c r="H1420" s="2" t="inlineStr">
        <is>
          <t>Maharashtra</t>
        </is>
      </c>
      <c r="I1420" s="2" t="inlineStr">
        <is>
          <t>Thane</t>
        </is>
      </c>
      <c r="J1420" s="2" t="inlineStr">
        <is>
          <t>Online</t>
        </is>
      </c>
      <c r="K1420" s="2" t="n">
        <v>1</v>
      </c>
      <c r="L1420" s="3" t="n">
        <v>2676.36</v>
      </c>
      <c r="M1420" s="4" t="n">
        <v>0.1</v>
      </c>
      <c r="N1420" s="3" t="n">
        <v>1474.32</v>
      </c>
      <c r="O1420" s="3">
        <f>K1420*L1420*(1-M1420)</f>
        <v/>
      </c>
      <c r="P1420" s="3">
        <f>O1420-N1420</f>
        <v/>
      </c>
      <c r="Q1420" s="5">
        <f>IFERROR(P1420/O1420,0)</f>
        <v/>
      </c>
      <c r="R1420" s="2">
        <f>TEXT(DATEVALUE(B1420),"mmm")</f>
        <v/>
      </c>
      <c r="S1420" s="2">
        <f>TEXT(DATEVALUE(B1420),"yyyy-mm")</f>
        <v/>
      </c>
    </row>
    <row r="1421">
      <c r="A1421" s="2" t="inlineStr">
        <is>
          <t>O002582</t>
        </is>
      </c>
      <c r="B1421" s="2" t="inlineStr">
        <is>
          <t>2025-04-15</t>
        </is>
      </c>
      <c r="C1421" s="2" t="inlineStr">
        <is>
          <t>C0341</t>
        </is>
      </c>
      <c r="D1421" s="2" t="inlineStr">
        <is>
          <t>P0035</t>
        </is>
      </c>
      <c r="E1421" s="2" t="inlineStr">
        <is>
          <t>Skipping Rope</t>
        </is>
      </c>
      <c r="F1421" s="2" t="inlineStr">
        <is>
          <t>Sports</t>
        </is>
      </c>
      <c r="G1421" s="2" t="inlineStr">
        <is>
          <t>East</t>
        </is>
      </c>
      <c r="H1421" s="2" t="inlineStr">
        <is>
          <t>Bihar</t>
        </is>
      </c>
      <c r="I1421" s="2" t="inlineStr">
        <is>
          <t>Gaya</t>
        </is>
      </c>
      <c r="J1421" s="2" t="inlineStr">
        <is>
          <t>Online</t>
        </is>
      </c>
      <c r="K1421" s="2" t="n">
        <v>2</v>
      </c>
      <c r="L1421" s="3" t="n">
        <v>735.11</v>
      </c>
      <c r="M1421" s="4" t="n">
        <v>0</v>
      </c>
      <c r="N1421" s="3" t="n">
        <v>848.16</v>
      </c>
      <c r="O1421" s="3">
        <f>K1421*L1421*(1-M1421)</f>
        <v/>
      </c>
      <c r="P1421" s="3">
        <f>O1421-N1421</f>
        <v/>
      </c>
      <c r="Q1421" s="5">
        <f>IFERROR(P1421/O1421,0)</f>
        <v/>
      </c>
      <c r="R1421" s="2">
        <f>TEXT(DATEVALUE(B1421),"mmm")</f>
        <v/>
      </c>
      <c r="S1421" s="2">
        <f>TEXT(DATEVALUE(B1421),"yyyy-mm")</f>
        <v/>
      </c>
    </row>
    <row r="1422">
      <c r="A1422" s="2" t="inlineStr">
        <is>
          <t>O001589</t>
        </is>
      </c>
      <c r="B1422" s="2" t="inlineStr">
        <is>
          <t>2025-04-15</t>
        </is>
      </c>
      <c r="C1422" s="2" t="inlineStr">
        <is>
          <t>C0565</t>
        </is>
      </c>
      <c r="D1422" s="2" t="inlineStr">
        <is>
          <t>P0016</t>
        </is>
      </c>
      <c r="E1422" s="2" t="inlineStr">
        <is>
          <t>Casual Shirt</t>
        </is>
      </c>
      <c r="F1422" s="2" t="inlineStr">
        <is>
          <t>Fashion</t>
        </is>
      </c>
      <c r="G1422" s="2" t="inlineStr">
        <is>
          <t>South</t>
        </is>
      </c>
      <c r="H1422" s="2" t="inlineStr">
        <is>
          <t>Kerala</t>
        </is>
      </c>
      <c r="I1422" s="2" t="inlineStr">
        <is>
          <t>Kochi</t>
        </is>
      </c>
      <c r="J1422" s="2" t="inlineStr">
        <is>
          <t>Online</t>
        </is>
      </c>
      <c r="K1422" s="2" t="n">
        <v>6</v>
      </c>
      <c r="L1422" s="3" t="n">
        <v>1292.21</v>
      </c>
      <c r="M1422" s="4" t="n">
        <v>0</v>
      </c>
      <c r="N1422" s="3" t="n">
        <v>5290.49</v>
      </c>
      <c r="O1422" s="3">
        <f>K1422*L1422*(1-M1422)</f>
        <v/>
      </c>
      <c r="P1422" s="3">
        <f>O1422-N1422</f>
        <v/>
      </c>
      <c r="Q1422" s="5">
        <f>IFERROR(P1422/O1422,0)</f>
        <v/>
      </c>
      <c r="R1422" s="2">
        <f>TEXT(DATEVALUE(B1422),"mmm")</f>
        <v/>
      </c>
      <c r="S1422" s="2">
        <f>TEXT(DATEVALUE(B1422),"yyyy-mm")</f>
        <v/>
      </c>
    </row>
    <row r="1423">
      <c r="A1423" s="2" t="inlineStr">
        <is>
          <t>O000739</t>
        </is>
      </c>
      <c r="B1423" s="2" t="inlineStr">
        <is>
          <t>2025-04-15</t>
        </is>
      </c>
      <c r="C1423" s="2" t="inlineStr">
        <is>
          <t>C0409</t>
        </is>
      </c>
      <c r="D1423" s="2" t="inlineStr">
        <is>
          <t>P0029</t>
        </is>
      </c>
      <c r="E1423" s="2" t="inlineStr">
        <is>
          <t>Yoga Mat</t>
        </is>
      </c>
      <c r="F1423" s="2" t="inlineStr">
        <is>
          <t>Sports</t>
        </is>
      </c>
      <c r="G1423" s="2" t="inlineStr">
        <is>
          <t>North</t>
        </is>
      </c>
      <c r="H1423" s="2" t="inlineStr">
        <is>
          <t>Punjab</t>
        </is>
      </c>
      <c r="I1423" s="2" t="inlineStr">
        <is>
          <t>Ludhiana</t>
        </is>
      </c>
      <c r="J1423" s="2" t="inlineStr">
        <is>
          <t>Store</t>
        </is>
      </c>
      <c r="K1423" s="2" t="n">
        <v>4</v>
      </c>
      <c r="L1423" s="3" t="n">
        <v>2428.52</v>
      </c>
      <c r="M1423" s="4" t="n">
        <v>0.1</v>
      </c>
      <c r="N1423" s="3" t="n">
        <v>5295.35</v>
      </c>
      <c r="O1423" s="3">
        <f>K1423*L1423*(1-M1423)</f>
        <v/>
      </c>
      <c r="P1423" s="3">
        <f>O1423-N1423</f>
        <v/>
      </c>
      <c r="Q1423" s="5">
        <f>IFERROR(P1423/O1423,0)</f>
        <v/>
      </c>
      <c r="R1423" s="2">
        <f>TEXT(DATEVALUE(B1423),"mmm")</f>
        <v/>
      </c>
      <c r="S1423" s="2">
        <f>TEXT(DATEVALUE(B1423),"yyyy-mm")</f>
        <v/>
      </c>
    </row>
    <row r="1424">
      <c r="A1424" s="2" t="inlineStr">
        <is>
          <t>O000532</t>
        </is>
      </c>
      <c r="B1424" s="2" t="inlineStr">
        <is>
          <t>2025-04-15</t>
        </is>
      </c>
      <c r="C1424" s="2" t="inlineStr">
        <is>
          <t>C0451</t>
        </is>
      </c>
      <c r="D1424" s="2" t="inlineStr">
        <is>
          <t>P0026</t>
        </is>
      </c>
      <c r="E1424" s="2" t="inlineStr">
        <is>
          <t>Shampoo</t>
        </is>
      </c>
      <c r="F1424" s="2" t="inlineStr">
        <is>
          <t>Beauty</t>
        </is>
      </c>
      <c r="G1424" s="2" t="inlineStr">
        <is>
          <t>South</t>
        </is>
      </c>
      <c r="H1424" s="2" t="inlineStr">
        <is>
          <t>Kerala</t>
        </is>
      </c>
      <c r="I1424" s="2" t="inlineStr">
        <is>
          <t>Thiruvananthapuram</t>
        </is>
      </c>
      <c r="J1424" s="2" t="inlineStr">
        <is>
          <t>Online</t>
        </is>
      </c>
      <c r="K1424" s="2" t="n">
        <v>1</v>
      </c>
      <c r="L1424" s="3" t="n">
        <v>913.87</v>
      </c>
      <c r="M1424" s="4" t="n">
        <v>0</v>
      </c>
      <c r="N1424" s="3" t="n">
        <v>527.24</v>
      </c>
      <c r="O1424" s="3">
        <f>K1424*L1424*(1-M1424)</f>
        <v/>
      </c>
      <c r="P1424" s="3">
        <f>O1424-N1424</f>
        <v/>
      </c>
      <c r="Q1424" s="5">
        <f>IFERROR(P1424/O1424,0)</f>
        <v/>
      </c>
      <c r="R1424" s="2">
        <f>TEXT(DATEVALUE(B1424),"mmm")</f>
        <v/>
      </c>
      <c r="S1424" s="2">
        <f>TEXT(DATEVALUE(B1424),"yyyy-mm")</f>
        <v/>
      </c>
    </row>
    <row r="1425">
      <c r="A1425" s="2" t="inlineStr">
        <is>
          <t>O001920</t>
        </is>
      </c>
      <c r="B1425" s="2" t="inlineStr">
        <is>
          <t>2025-04-15</t>
        </is>
      </c>
      <c r="C1425" s="2" t="inlineStr">
        <is>
          <t>C0630</t>
        </is>
      </c>
      <c r="D1425" s="2" t="inlineStr">
        <is>
          <t>P0002</t>
        </is>
      </c>
      <c r="E1425" s="2" t="inlineStr">
        <is>
          <t>Bluetooth Speaker</t>
        </is>
      </c>
      <c r="F1425" s="2" t="inlineStr">
        <is>
          <t>Electronics</t>
        </is>
      </c>
      <c r="G1425" s="2" t="inlineStr">
        <is>
          <t>South</t>
        </is>
      </c>
      <c r="H1425" s="2" t="inlineStr">
        <is>
          <t>Karnataka</t>
        </is>
      </c>
      <c r="I1425" s="2" t="inlineStr">
        <is>
          <t>Mysuru</t>
        </is>
      </c>
      <c r="J1425" s="2" t="inlineStr">
        <is>
          <t>Store</t>
        </is>
      </c>
      <c r="K1425" s="2" t="n">
        <v>3</v>
      </c>
      <c r="L1425" s="3" t="n">
        <v>1372</v>
      </c>
      <c r="M1425" s="4" t="n">
        <v>0.05</v>
      </c>
      <c r="N1425" s="3" t="n">
        <v>2511.66</v>
      </c>
      <c r="O1425" s="3">
        <f>K1425*L1425*(1-M1425)</f>
        <v/>
      </c>
      <c r="P1425" s="3">
        <f>O1425-N1425</f>
        <v/>
      </c>
      <c r="Q1425" s="5">
        <f>IFERROR(P1425/O1425,0)</f>
        <v/>
      </c>
      <c r="R1425" s="2">
        <f>TEXT(DATEVALUE(B1425),"mmm")</f>
        <v/>
      </c>
      <c r="S1425" s="2">
        <f>TEXT(DATEVALUE(B1425),"yyyy-mm")</f>
        <v/>
      </c>
    </row>
    <row r="1426">
      <c r="A1426" s="2" t="inlineStr">
        <is>
          <t>O004382</t>
        </is>
      </c>
      <c r="B1426" s="2" t="inlineStr">
        <is>
          <t>2025-04-16</t>
        </is>
      </c>
      <c r="C1426" s="2" t="inlineStr">
        <is>
          <t>C0692</t>
        </is>
      </c>
      <c r="D1426" s="2" t="inlineStr">
        <is>
          <t>P0007</t>
        </is>
      </c>
      <c r="E1426" s="2" t="inlineStr">
        <is>
          <t>Wireless Mouse</t>
        </is>
      </c>
      <c r="F1426" s="2" t="inlineStr">
        <is>
          <t>Electronics</t>
        </is>
      </c>
      <c r="G1426" s="2" t="inlineStr">
        <is>
          <t>West</t>
        </is>
      </c>
      <c r="H1426" s="2" t="inlineStr">
        <is>
          <t>Goa</t>
        </is>
      </c>
      <c r="I1426" s="2" t="inlineStr">
        <is>
          <t>Panaji</t>
        </is>
      </c>
      <c r="J1426" s="2" t="inlineStr">
        <is>
          <t>Store</t>
        </is>
      </c>
      <c r="K1426" s="2" t="n">
        <v>3</v>
      </c>
      <c r="L1426" s="3" t="n">
        <v>985.5700000000001</v>
      </c>
      <c r="M1426" s="4" t="n">
        <v>0</v>
      </c>
      <c r="N1426" s="3" t="n">
        <v>1809.54</v>
      </c>
      <c r="O1426" s="3">
        <f>K1426*L1426*(1-M1426)</f>
        <v/>
      </c>
      <c r="P1426" s="3">
        <f>O1426-N1426</f>
        <v/>
      </c>
      <c r="Q1426" s="5">
        <f>IFERROR(P1426/O1426,0)</f>
        <v/>
      </c>
      <c r="R1426" s="2">
        <f>TEXT(DATEVALUE(B1426),"mmm")</f>
        <v/>
      </c>
      <c r="S1426" s="2">
        <f>TEXT(DATEVALUE(B1426),"yyyy-mm")</f>
        <v/>
      </c>
    </row>
    <row r="1427">
      <c r="A1427" s="2" t="inlineStr">
        <is>
          <t>O003252</t>
        </is>
      </c>
      <c r="B1427" s="2" t="inlineStr">
        <is>
          <t>2025-04-16</t>
        </is>
      </c>
      <c r="C1427" s="2" t="inlineStr">
        <is>
          <t>C0439</t>
        </is>
      </c>
      <c r="D1427" s="2" t="inlineStr">
        <is>
          <t>P0001</t>
        </is>
      </c>
      <c r="E1427" s="2" t="inlineStr">
        <is>
          <t>Wireless Headphones</t>
        </is>
      </c>
      <c r="F1427" s="2" t="inlineStr">
        <is>
          <t>Electronics</t>
        </is>
      </c>
      <c r="G1427" s="2" t="inlineStr">
        <is>
          <t>East</t>
        </is>
      </c>
      <c r="H1427" s="2" t="inlineStr">
        <is>
          <t>Bihar</t>
        </is>
      </c>
      <c r="I1427" s="2" t="inlineStr">
        <is>
          <t>Gaya</t>
        </is>
      </c>
      <c r="J1427" s="2" t="inlineStr">
        <is>
          <t>Online</t>
        </is>
      </c>
      <c r="K1427" s="2" t="n">
        <v>1</v>
      </c>
      <c r="L1427" s="3" t="n">
        <v>1365.62</v>
      </c>
      <c r="M1427" s="4" t="n">
        <v>0</v>
      </c>
      <c r="N1427" s="3" t="n">
        <v>702.52</v>
      </c>
      <c r="O1427" s="3">
        <f>K1427*L1427*(1-M1427)</f>
        <v/>
      </c>
      <c r="P1427" s="3">
        <f>O1427-N1427</f>
        <v/>
      </c>
      <c r="Q1427" s="5">
        <f>IFERROR(P1427/O1427,0)</f>
        <v/>
      </c>
      <c r="R1427" s="2">
        <f>TEXT(DATEVALUE(B1427),"mmm")</f>
        <v/>
      </c>
      <c r="S1427" s="2">
        <f>TEXT(DATEVALUE(B1427),"yyyy-mm")</f>
        <v/>
      </c>
    </row>
    <row r="1428">
      <c r="A1428" s="2" t="inlineStr">
        <is>
          <t>O002846</t>
        </is>
      </c>
      <c r="B1428" s="2" t="inlineStr">
        <is>
          <t>2025-04-16</t>
        </is>
      </c>
      <c r="C1428" s="2" t="inlineStr">
        <is>
          <t>C0460</t>
        </is>
      </c>
      <c r="D1428" s="2" t="inlineStr">
        <is>
          <t>P0011</t>
        </is>
      </c>
      <c r="E1428" s="2" t="inlineStr">
        <is>
          <t>Cookware Set</t>
        </is>
      </c>
      <c r="F1428" s="2" t="inlineStr">
        <is>
          <t>Home &amp; Kitchen</t>
        </is>
      </c>
      <c r="G1428" s="2" t="inlineStr">
        <is>
          <t>West</t>
        </is>
      </c>
      <c r="H1428" s="2" t="inlineStr">
        <is>
          <t>Gujarat</t>
        </is>
      </c>
      <c r="I1428" s="2" t="inlineStr">
        <is>
          <t>Surat</t>
        </is>
      </c>
      <c r="J1428" s="2" t="inlineStr">
        <is>
          <t>Store</t>
        </is>
      </c>
      <c r="K1428" s="2" t="n">
        <v>1</v>
      </c>
      <c r="L1428" s="3" t="n">
        <v>710.33</v>
      </c>
      <c r="M1428" s="4" t="n">
        <v>0.2</v>
      </c>
      <c r="N1428" s="3" t="n">
        <v>465.4</v>
      </c>
      <c r="O1428" s="3">
        <f>K1428*L1428*(1-M1428)</f>
        <v/>
      </c>
      <c r="P1428" s="3">
        <f>O1428-N1428</f>
        <v/>
      </c>
      <c r="Q1428" s="5">
        <f>IFERROR(P1428/O1428,0)</f>
        <v/>
      </c>
      <c r="R1428" s="2">
        <f>TEXT(DATEVALUE(B1428),"mmm")</f>
        <v/>
      </c>
      <c r="S1428" s="2">
        <f>TEXT(DATEVALUE(B1428),"yyyy-mm")</f>
        <v/>
      </c>
    </row>
    <row r="1429">
      <c r="A1429" s="2" t="inlineStr">
        <is>
          <t>O002837</t>
        </is>
      </c>
      <c r="B1429" s="2" t="inlineStr">
        <is>
          <t>2025-04-16</t>
        </is>
      </c>
      <c r="C1429" s="2" t="inlineStr">
        <is>
          <t>C0595</t>
        </is>
      </c>
      <c r="D1429" s="2" t="inlineStr">
        <is>
          <t>P0020</t>
        </is>
      </c>
      <c r="E1429" s="2" t="inlineStr">
        <is>
          <t>Sneakers</t>
        </is>
      </c>
      <c r="F1429" s="2" t="inlineStr">
        <is>
          <t>Fashion</t>
        </is>
      </c>
      <c r="G1429" s="2" t="inlineStr">
        <is>
          <t>North</t>
        </is>
      </c>
      <c r="H1429" s="2" t="inlineStr">
        <is>
          <t>Delhi</t>
        </is>
      </c>
      <c r="I1429" s="2" t="inlineStr">
        <is>
          <t>New Delhi</t>
        </is>
      </c>
      <c r="J1429" s="2" t="inlineStr">
        <is>
          <t>Store</t>
        </is>
      </c>
      <c r="K1429" s="2" t="n">
        <v>1</v>
      </c>
      <c r="L1429" s="3" t="n">
        <v>1875.32</v>
      </c>
      <c r="M1429" s="4" t="n">
        <v>0.05</v>
      </c>
      <c r="N1429" s="3" t="n">
        <v>1558.5</v>
      </c>
      <c r="O1429" s="3">
        <f>K1429*L1429*(1-M1429)</f>
        <v/>
      </c>
      <c r="P1429" s="3">
        <f>O1429-N1429</f>
        <v/>
      </c>
      <c r="Q1429" s="5">
        <f>IFERROR(P1429/O1429,0)</f>
        <v/>
      </c>
      <c r="R1429" s="2">
        <f>TEXT(DATEVALUE(B1429),"mmm")</f>
        <v/>
      </c>
      <c r="S1429" s="2">
        <f>TEXT(DATEVALUE(B1429),"yyyy-mm")</f>
        <v/>
      </c>
    </row>
    <row r="1430">
      <c r="A1430" s="2" t="inlineStr">
        <is>
          <t>O002315</t>
        </is>
      </c>
      <c r="B1430" s="2" t="inlineStr">
        <is>
          <t>2025-04-16</t>
        </is>
      </c>
      <c r="C1430" s="2" t="inlineStr">
        <is>
          <t>C0327</t>
        </is>
      </c>
      <c r="D1430" s="2" t="inlineStr">
        <is>
          <t>P0012</t>
        </is>
      </c>
      <c r="E1430" s="2" t="inlineStr">
        <is>
          <t>Water Bottle</t>
        </is>
      </c>
      <c r="F1430" s="2" t="inlineStr">
        <is>
          <t>Home &amp; Kitchen</t>
        </is>
      </c>
      <c r="G1430" s="2" t="inlineStr">
        <is>
          <t>West</t>
        </is>
      </c>
      <c r="H1430" s="2" t="inlineStr">
        <is>
          <t>Goa</t>
        </is>
      </c>
      <c r="I1430" s="2" t="inlineStr">
        <is>
          <t>Margao</t>
        </is>
      </c>
      <c r="J1430" s="2" t="inlineStr">
        <is>
          <t>Online</t>
        </is>
      </c>
      <c r="K1430" s="2" t="n">
        <v>1</v>
      </c>
      <c r="L1430" s="3" t="n">
        <v>954.29</v>
      </c>
      <c r="M1430" s="4" t="n">
        <v>0.05</v>
      </c>
      <c r="N1430" s="3" t="n">
        <v>615.12</v>
      </c>
      <c r="O1430" s="3">
        <f>K1430*L1430*(1-M1430)</f>
        <v/>
      </c>
      <c r="P1430" s="3">
        <f>O1430-N1430</f>
        <v/>
      </c>
      <c r="Q1430" s="5">
        <f>IFERROR(P1430/O1430,0)</f>
        <v/>
      </c>
      <c r="R1430" s="2">
        <f>TEXT(DATEVALUE(B1430),"mmm")</f>
        <v/>
      </c>
      <c r="S1430" s="2">
        <f>TEXT(DATEVALUE(B1430),"yyyy-mm")</f>
        <v/>
      </c>
    </row>
    <row r="1431">
      <c r="A1431" s="2" t="inlineStr">
        <is>
          <t>O001839</t>
        </is>
      </c>
      <c r="B1431" s="2" t="inlineStr">
        <is>
          <t>2025-04-16</t>
        </is>
      </c>
      <c r="C1431" s="2" t="inlineStr">
        <is>
          <t>C0582</t>
        </is>
      </c>
      <c r="D1431" s="2" t="inlineStr">
        <is>
          <t>P0022</t>
        </is>
      </c>
      <c r="E1431" s="2" t="inlineStr">
        <is>
          <t>Face Wash</t>
        </is>
      </c>
      <c r="F1431" s="2" t="inlineStr">
        <is>
          <t>Beauty</t>
        </is>
      </c>
      <c r="G1431" s="2" t="inlineStr">
        <is>
          <t>West</t>
        </is>
      </c>
      <c r="H1431" s="2" t="inlineStr">
        <is>
          <t>Goa</t>
        </is>
      </c>
      <c r="I1431" s="2" t="inlineStr">
        <is>
          <t>Margao</t>
        </is>
      </c>
      <c r="J1431" s="2" t="inlineStr">
        <is>
          <t>Online</t>
        </is>
      </c>
      <c r="K1431" s="2" t="n">
        <v>1</v>
      </c>
      <c r="L1431" s="3" t="n">
        <v>538.1</v>
      </c>
      <c r="M1431" s="4" t="n">
        <v>0.2</v>
      </c>
      <c r="N1431" s="3" t="n">
        <v>353.2</v>
      </c>
      <c r="O1431" s="3">
        <f>K1431*L1431*(1-M1431)</f>
        <v/>
      </c>
      <c r="P1431" s="3">
        <f>O1431-N1431</f>
        <v/>
      </c>
      <c r="Q1431" s="5">
        <f>IFERROR(P1431/O1431,0)</f>
        <v/>
      </c>
      <c r="R1431" s="2">
        <f>TEXT(DATEVALUE(B1431),"mmm")</f>
        <v/>
      </c>
      <c r="S1431" s="2">
        <f>TEXT(DATEVALUE(B1431),"yyyy-mm")</f>
        <v/>
      </c>
    </row>
    <row r="1432">
      <c r="A1432" s="2" t="inlineStr">
        <is>
          <t>O001149</t>
        </is>
      </c>
      <c r="B1432" s="2" t="inlineStr">
        <is>
          <t>2025-04-16</t>
        </is>
      </c>
      <c r="C1432" s="2" t="inlineStr">
        <is>
          <t>C0230</t>
        </is>
      </c>
      <c r="D1432" s="2" t="inlineStr">
        <is>
          <t>P0010</t>
        </is>
      </c>
      <c r="E1432" s="2" t="inlineStr">
        <is>
          <t>Mixer Grinder</t>
        </is>
      </c>
      <c r="F1432" s="2" t="inlineStr">
        <is>
          <t>Home &amp; Kitchen</t>
        </is>
      </c>
      <c r="G1432" s="2" t="inlineStr">
        <is>
          <t>North</t>
        </is>
      </c>
      <c r="H1432" s="2" t="inlineStr">
        <is>
          <t>Punjab</t>
        </is>
      </c>
      <c r="I1432" s="2" t="inlineStr">
        <is>
          <t>Amritsar</t>
        </is>
      </c>
      <c r="J1432" s="2" t="inlineStr">
        <is>
          <t>Online</t>
        </is>
      </c>
      <c r="K1432" s="2" t="n">
        <v>2</v>
      </c>
      <c r="L1432" s="3" t="n">
        <v>1589.22</v>
      </c>
      <c r="M1432" s="4" t="n">
        <v>0.05</v>
      </c>
      <c r="N1432" s="3" t="n">
        <v>2084.66</v>
      </c>
      <c r="O1432" s="3">
        <f>K1432*L1432*(1-M1432)</f>
        <v/>
      </c>
      <c r="P1432" s="3">
        <f>O1432-N1432</f>
        <v/>
      </c>
      <c r="Q1432" s="5">
        <f>IFERROR(P1432/O1432,0)</f>
        <v/>
      </c>
      <c r="R1432" s="2">
        <f>TEXT(DATEVALUE(B1432),"mmm")</f>
        <v/>
      </c>
      <c r="S1432" s="2">
        <f>TEXT(DATEVALUE(B1432),"yyyy-mm")</f>
        <v/>
      </c>
    </row>
    <row r="1433">
      <c r="A1433" s="2" t="inlineStr">
        <is>
          <t>O000804</t>
        </is>
      </c>
      <c r="B1433" s="2" t="inlineStr">
        <is>
          <t>2025-04-16</t>
        </is>
      </c>
      <c r="C1433" s="2" t="inlineStr">
        <is>
          <t>C0583</t>
        </is>
      </c>
      <c r="D1433" s="2" t="inlineStr">
        <is>
          <t>P0022</t>
        </is>
      </c>
      <c r="E1433" s="2" t="inlineStr">
        <is>
          <t>Face Wash</t>
        </is>
      </c>
      <c r="F1433" s="2" t="inlineStr">
        <is>
          <t>Beauty</t>
        </is>
      </c>
      <c r="G1433" s="2" t="inlineStr">
        <is>
          <t>West</t>
        </is>
      </c>
      <c r="H1433" s="2" t="inlineStr">
        <is>
          <t>Goa</t>
        </is>
      </c>
      <c r="I1433" s="2" t="inlineStr">
        <is>
          <t>Panaji</t>
        </is>
      </c>
      <c r="J1433" s="2" t="inlineStr">
        <is>
          <t>Store</t>
        </is>
      </c>
      <c r="K1433" s="2" t="n">
        <v>2</v>
      </c>
      <c r="L1433" s="3" t="n">
        <v>565.26</v>
      </c>
      <c r="M1433" s="4" t="n">
        <v>0.1</v>
      </c>
      <c r="N1433" s="3" t="n">
        <v>726.15</v>
      </c>
      <c r="O1433" s="3">
        <f>K1433*L1433*(1-M1433)</f>
        <v/>
      </c>
      <c r="P1433" s="3">
        <f>O1433-N1433</f>
        <v/>
      </c>
      <c r="Q1433" s="5">
        <f>IFERROR(P1433/O1433,0)</f>
        <v/>
      </c>
      <c r="R1433" s="2">
        <f>TEXT(DATEVALUE(B1433),"mmm")</f>
        <v/>
      </c>
      <c r="S1433" s="2">
        <f>TEXT(DATEVALUE(B1433),"yyyy-mm")</f>
        <v/>
      </c>
    </row>
    <row r="1434">
      <c r="A1434" s="2" t="inlineStr">
        <is>
          <t>O000429</t>
        </is>
      </c>
      <c r="B1434" s="2" t="inlineStr">
        <is>
          <t>2025-04-16</t>
        </is>
      </c>
      <c r="C1434" s="2" t="inlineStr">
        <is>
          <t>C0485</t>
        </is>
      </c>
      <c r="D1434" s="2" t="inlineStr">
        <is>
          <t>P0022</t>
        </is>
      </c>
      <c r="E1434" s="2" t="inlineStr">
        <is>
          <t>Face Wash</t>
        </is>
      </c>
      <c r="F1434" s="2" t="inlineStr">
        <is>
          <t>Beauty</t>
        </is>
      </c>
      <c r="G1434" s="2" t="inlineStr">
        <is>
          <t>North</t>
        </is>
      </c>
      <c r="H1434" s="2" t="inlineStr">
        <is>
          <t>Uttar Pradesh</t>
        </is>
      </c>
      <c r="I1434" s="2" t="inlineStr">
        <is>
          <t>Lucknow</t>
        </is>
      </c>
      <c r="J1434" s="2" t="inlineStr">
        <is>
          <t>Online</t>
        </is>
      </c>
      <c r="K1434" s="2" t="n">
        <v>2</v>
      </c>
      <c r="L1434" s="3" t="n">
        <v>570.12</v>
      </c>
      <c r="M1434" s="4" t="n">
        <v>0.2</v>
      </c>
      <c r="N1434" s="3" t="n">
        <v>723.24</v>
      </c>
      <c r="O1434" s="3">
        <f>K1434*L1434*(1-M1434)</f>
        <v/>
      </c>
      <c r="P1434" s="3">
        <f>O1434-N1434</f>
        <v/>
      </c>
      <c r="Q1434" s="5">
        <f>IFERROR(P1434/O1434,0)</f>
        <v/>
      </c>
      <c r="R1434" s="2">
        <f>TEXT(DATEVALUE(B1434),"mmm")</f>
        <v/>
      </c>
      <c r="S1434" s="2">
        <f>TEXT(DATEVALUE(B1434),"yyyy-mm")</f>
        <v/>
      </c>
    </row>
    <row r="1435">
      <c r="A1435" s="2" t="inlineStr">
        <is>
          <t>O000066</t>
        </is>
      </c>
      <c r="B1435" s="2" t="inlineStr">
        <is>
          <t>2025-04-16</t>
        </is>
      </c>
      <c r="C1435" s="2" t="inlineStr">
        <is>
          <t>C0377</t>
        </is>
      </c>
      <c r="D1435" s="2" t="inlineStr">
        <is>
          <t>P0022</t>
        </is>
      </c>
      <c r="E1435" s="2" t="inlineStr">
        <is>
          <t>Face Wash</t>
        </is>
      </c>
      <c r="F1435" s="2" t="inlineStr">
        <is>
          <t>Beauty</t>
        </is>
      </c>
      <c r="G1435" s="2" t="inlineStr">
        <is>
          <t>West</t>
        </is>
      </c>
      <c r="H1435" s="2" t="inlineStr">
        <is>
          <t>Gujarat</t>
        </is>
      </c>
      <c r="I1435" s="2" t="inlineStr">
        <is>
          <t>Surat</t>
        </is>
      </c>
      <c r="J1435" s="2" t="inlineStr">
        <is>
          <t>Store</t>
        </is>
      </c>
      <c r="K1435" s="2" t="n">
        <v>3</v>
      </c>
      <c r="L1435" s="3" t="n">
        <v>554.11</v>
      </c>
      <c r="M1435" s="4" t="n">
        <v>0.1</v>
      </c>
      <c r="N1435" s="3" t="n">
        <v>1020.98</v>
      </c>
      <c r="O1435" s="3">
        <f>K1435*L1435*(1-M1435)</f>
        <v/>
      </c>
      <c r="P1435" s="3">
        <f>O1435-N1435</f>
        <v/>
      </c>
      <c r="Q1435" s="5">
        <f>IFERROR(P1435/O1435,0)</f>
        <v/>
      </c>
      <c r="R1435" s="2">
        <f>TEXT(DATEVALUE(B1435),"mmm")</f>
        <v/>
      </c>
      <c r="S1435" s="2">
        <f>TEXT(DATEVALUE(B1435),"yyyy-mm")</f>
        <v/>
      </c>
    </row>
    <row r="1436">
      <c r="A1436" s="2" t="inlineStr">
        <is>
          <t>O002171</t>
        </is>
      </c>
      <c r="B1436" s="2" t="inlineStr">
        <is>
          <t>2025-04-16</t>
        </is>
      </c>
      <c r="C1436" s="2" t="inlineStr">
        <is>
          <t>C0730</t>
        </is>
      </c>
      <c r="D1436" s="2" t="inlineStr">
        <is>
          <t>P0005</t>
        </is>
      </c>
      <c r="E1436" s="2" t="inlineStr">
        <is>
          <t>Power Bank</t>
        </is>
      </c>
      <c r="F1436" s="2" t="inlineStr">
        <is>
          <t>Electronics</t>
        </is>
      </c>
      <c r="G1436" s="2" t="inlineStr">
        <is>
          <t>East</t>
        </is>
      </c>
      <c r="H1436" s="2" t="inlineStr">
        <is>
          <t>West Bengal</t>
        </is>
      </c>
      <c r="I1436" s="2" t="inlineStr">
        <is>
          <t>Durgapur</t>
        </is>
      </c>
      <c r="J1436" s="2" t="inlineStr">
        <is>
          <t>Store</t>
        </is>
      </c>
      <c r="K1436" s="2" t="n">
        <v>1</v>
      </c>
      <c r="L1436" s="3" t="n">
        <v>1166.1</v>
      </c>
      <c r="M1436" s="4" t="n">
        <v>0.1</v>
      </c>
      <c r="N1436" s="3" t="n">
        <v>692.16</v>
      </c>
      <c r="O1436" s="3">
        <f>K1436*L1436*(1-M1436)</f>
        <v/>
      </c>
      <c r="P1436" s="3">
        <f>O1436-N1436</f>
        <v/>
      </c>
      <c r="Q1436" s="5">
        <f>IFERROR(P1436/O1436,0)</f>
        <v/>
      </c>
      <c r="R1436" s="2">
        <f>TEXT(DATEVALUE(B1436),"mmm")</f>
        <v/>
      </c>
      <c r="S1436" s="2">
        <f>TEXT(DATEVALUE(B1436),"yyyy-mm")</f>
        <v/>
      </c>
    </row>
    <row r="1437">
      <c r="A1437" s="2" t="inlineStr">
        <is>
          <t>O003699</t>
        </is>
      </c>
      <c r="B1437" s="2" t="inlineStr">
        <is>
          <t>2025-04-17</t>
        </is>
      </c>
      <c r="C1437" s="2" t="inlineStr">
        <is>
          <t>C0551</t>
        </is>
      </c>
      <c r="D1437" s="2" t="inlineStr">
        <is>
          <t>P0016</t>
        </is>
      </c>
      <c r="E1437" s="2" t="inlineStr">
        <is>
          <t>Casual Shirt</t>
        </is>
      </c>
      <c r="F1437" s="2" t="inlineStr">
        <is>
          <t>Fashion</t>
        </is>
      </c>
      <c r="G1437" s="2" t="inlineStr">
        <is>
          <t>North</t>
        </is>
      </c>
      <c r="H1437" s="2" t="inlineStr">
        <is>
          <t>Haryana</t>
        </is>
      </c>
      <c r="I1437" s="2" t="inlineStr">
        <is>
          <t>Gurugram</t>
        </is>
      </c>
      <c r="J1437" s="2" t="inlineStr">
        <is>
          <t>Store</t>
        </is>
      </c>
      <c r="K1437" s="2" t="n">
        <v>2</v>
      </c>
      <c r="L1437" s="3" t="n">
        <v>1313.19</v>
      </c>
      <c r="M1437" s="4" t="n">
        <v>0.1</v>
      </c>
      <c r="N1437" s="3" t="n">
        <v>1770.23</v>
      </c>
      <c r="O1437" s="3">
        <f>K1437*L1437*(1-M1437)</f>
        <v/>
      </c>
      <c r="P1437" s="3">
        <f>O1437-N1437</f>
        <v/>
      </c>
      <c r="Q1437" s="5">
        <f>IFERROR(P1437/O1437,0)</f>
        <v/>
      </c>
      <c r="R1437" s="2">
        <f>TEXT(DATEVALUE(B1437),"mmm")</f>
        <v/>
      </c>
      <c r="S1437" s="2">
        <f>TEXT(DATEVALUE(B1437),"yyyy-mm")</f>
        <v/>
      </c>
    </row>
    <row r="1438">
      <c r="A1438" s="2" t="inlineStr">
        <is>
          <t>O004445</t>
        </is>
      </c>
      <c r="B1438" s="2" t="inlineStr">
        <is>
          <t>2025-04-17</t>
        </is>
      </c>
      <c r="C1438" s="2" t="inlineStr">
        <is>
          <t>C0684</t>
        </is>
      </c>
      <c r="D1438" s="2" t="inlineStr">
        <is>
          <t>P0028</t>
        </is>
      </c>
      <c r="E1438" s="2" t="inlineStr">
        <is>
          <t>Trimmer</t>
        </is>
      </c>
      <c r="F1438" s="2" t="inlineStr">
        <is>
          <t>Beauty</t>
        </is>
      </c>
      <c r="G1438" s="2" t="inlineStr">
        <is>
          <t>West</t>
        </is>
      </c>
      <c r="H1438" s="2" t="inlineStr">
        <is>
          <t>Maharashtra</t>
        </is>
      </c>
      <c r="I1438" s="2" t="inlineStr">
        <is>
          <t>Mumbai</t>
        </is>
      </c>
      <c r="J1438" s="2" t="inlineStr">
        <is>
          <t>Online</t>
        </is>
      </c>
      <c r="K1438" s="2" t="n">
        <v>1</v>
      </c>
      <c r="L1438" s="3" t="n">
        <v>463.02</v>
      </c>
      <c r="M1438" s="4" t="n">
        <v>0.05</v>
      </c>
      <c r="N1438" s="3" t="n">
        <v>256.71</v>
      </c>
      <c r="O1438" s="3">
        <f>K1438*L1438*(1-M1438)</f>
        <v/>
      </c>
      <c r="P1438" s="3">
        <f>O1438-N1438</f>
        <v/>
      </c>
      <c r="Q1438" s="5">
        <f>IFERROR(P1438/O1438,0)</f>
        <v/>
      </c>
      <c r="R1438" s="2">
        <f>TEXT(DATEVALUE(B1438),"mmm")</f>
        <v/>
      </c>
      <c r="S1438" s="2">
        <f>TEXT(DATEVALUE(B1438),"yyyy-mm")</f>
        <v/>
      </c>
    </row>
    <row r="1439">
      <c r="A1439" s="2" t="inlineStr">
        <is>
          <t>O003973</t>
        </is>
      </c>
      <c r="B1439" s="2" t="inlineStr">
        <is>
          <t>2025-04-17</t>
        </is>
      </c>
      <c r="C1439" s="2" t="inlineStr">
        <is>
          <t>C0769</t>
        </is>
      </c>
      <c r="D1439" s="2" t="inlineStr">
        <is>
          <t>P0033</t>
        </is>
      </c>
      <c r="E1439" s="2" t="inlineStr">
        <is>
          <t>Resistance Bands</t>
        </is>
      </c>
      <c r="F1439" s="2" t="inlineStr">
        <is>
          <t>Sports</t>
        </is>
      </c>
      <c r="G1439" s="2" t="inlineStr">
        <is>
          <t>West</t>
        </is>
      </c>
      <c r="H1439" s="2" t="inlineStr">
        <is>
          <t>Gujarat</t>
        </is>
      </c>
      <c r="I1439" s="2" t="inlineStr">
        <is>
          <t>Vadodara</t>
        </is>
      </c>
      <c r="J1439" s="2" t="inlineStr">
        <is>
          <t>Online</t>
        </is>
      </c>
      <c r="K1439" s="2" t="n">
        <v>2</v>
      </c>
      <c r="L1439" s="3" t="n">
        <v>1119.58</v>
      </c>
      <c r="M1439" s="4" t="n">
        <v>0.1</v>
      </c>
      <c r="N1439" s="3" t="n">
        <v>1503.61</v>
      </c>
      <c r="O1439" s="3">
        <f>K1439*L1439*(1-M1439)</f>
        <v/>
      </c>
      <c r="P1439" s="3">
        <f>O1439-N1439</f>
        <v/>
      </c>
      <c r="Q1439" s="5">
        <f>IFERROR(P1439/O1439,0)</f>
        <v/>
      </c>
      <c r="R1439" s="2">
        <f>TEXT(DATEVALUE(B1439),"mmm")</f>
        <v/>
      </c>
      <c r="S1439" s="2">
        <f>TEXT(DATEVALUE(B1439),"yyyy-mm")</f>
        <v/>
      </c>
    </row>
    <row r="1440">
      <c r="A1440" s="2" t="inlineStr">
        <is>
          <t>O004699</t>
        </is>
      </c>
      <c r="B1440" s="2" t="inlineStr">
        <is>
          <t>2025-04-17</t>
        </is>
      </c>
      <c r="C1440" s="2" t="inlineStr">
        <is>
          <t>C0255</t>
        </is>
      </c>
      <c r="D1440" s="2" t="inlineStr">
        <is>
          <t>P0033</t>
        </is>
      </c>
      <c r="E1440" s="2" t="inlineStr">
        <is>
          <t>Resistance Bands</t>
        </is>
      </c>
      <c r="F1440" s="2" t="inlineStr">
        <is>
          <t>Sports</t>
        </is>
      </c>
      <c r="G1440" s="2" t="inlineStr">
        <is>
          <t>North</t>
        </is>
      </c>
      <c r="H1440" s="2" t="inlineStr">
        <is>
          <t>Delhi</t>
        </is>
      </c>
      <c r="I1440" s="2" t="inlineStr">
        <is>
          <t>New Delhi</t>
        </is>
      </c>
      <c r="J1440" s="2" t="inlineStr">
        <is>
          <t>Online</t>
        </is>
      </c>
      <c r="K1440" s="2" t="n">
        <v>1</v>
      </c>
      <c r="L1440" s="3" t="n">
        <v>1113.73</v>
      </c>
      <c r="M1440" s="4" t="n">
        <v>0</v>
      </c>
      <c r="N1440" s="3" t="n">
        <v>782.2</v>
      </c>
      <c r="O1440" s="3">
        <f>K1440*L1440*(1-M1440)</f>
        <v/>
      </c>
      <c r="P1440" s="3">
        <f>O1440-N1440</f>
        <v/>
      </c>
      <c r="Q1440" s="5">
        <f>IFERROR(P1440/O1440,0)</f>
        <v/>
      </c>
      <c r="R1440" s="2">
        <f>TEXT(DATEVALUE(B1440),"mmm")</f>
        <v/>
      </c>
      <c r="S1440" s="2">
        <f>TEXT(DATEVALUE(B1440),"yyyy-mm")</f>
        <v/>
      </c>
    </row>
    <row r="1441">
      <c r="A1441" s="2" t="inlineStr">
        <is>
          <t>O003353</t>
        </is>
      </c>
      <c r="B1441" s="2" t="inlineStr">
        <is>
          <t>2025-04-17</t>
        </is>
      </c>
      <c r="C1441" s="2" t="inlineStr">
        <is>
          <t>C0568</t>
        </is>
      </c>
      <c r="D1441" s="2" t="inlineStr">
        <is>
          <t>P0011</t>
        </is>
      </c>
      <c r="E1441" s="2" t="inlineStr">
        <is>
          <t>Cookware Set</t>
        </is>
      </c>
      <c r="F1441" s="2" t="inlineStr">
        <is>
          <t>Home &amp; Kitchen</t>
        </is>
      </c>
      <c r="G1441" s="2" t="inlineStr">
        <is>
          <t>East</t>
        </is>
      </c>
      <c r="H1441" s="2" t="inlineStr">
        <is>
          <t>West Bengal</t>
        </is>
      </c>
      <c r="I1441" s="2" t="inlineStr">
        <is>
          <t>Kolkata</t>
        </is>
      </c>
      <c r="J1441" s="2" t="inlineStr">
        <is>
          <t>Store</t>
        </is>
      </c>
      <c r="K1441" s="2" t="n">
        <v>1</v>
      </c>
      <c r="L1441" s="3" t="n">
        <v>679.77</v>
      </c>
      <c r="M1441" s="4" t="n">
        <v>0.1</v>
      </c>
      <c r="N1441" s="3" t="n">
        <v>462.01</v>
      </c>
      <c r="O1441" s="3">
        <f>K1441*L1441*(1-M1441)</f>
        <v/>
      </c>
      <c r="P1441" s="3">
        <f>O1441-N1441</f>
        <v/>
      </c>
      <c r="Q1441" s="5">
        <f>IFERROR(P1441/O1441,0)</f>
        <v/>
      </c>
      <c r="R1441" s="2">
        <f>TEXT(DATEVALUE(B1441),"mmm")</f>
        <v/>
      </c>
      <c r="S1441" s="2">
        <f>TEXT(DATEVALUE(B1441),"yyyy-mm")</f>
        <v/>
      </c>
    </row>
    <row r="1442">
      <c r="A1442" s="2" t="inlineStr">
        <is>
          <t>O004466</t>
        </is>
      </c>
      <c r="B1442" s="2" t="inlineStr">
        <is>
          <t>2025-04-17</t>
        </is>
      </c>
      <c r="C1442" s="2" t="inlineStr">
        <is>
          <t>C0177</t>
        </is>
      </c>
      <c r="D1442" s="2" t="inlineStr">
        <is>
          <t>P0011</t>
        </is>
      </c>
      <c r="E1442" s="2" t="inlineStr">
        <is>
          <t>Cookware Set</t>
        </is>
      </c>
      <c r="F1442" s="2" t="inlineStr">
        <is>
          <t>Home &amp; Kitchen</t>
        </is>
      </c>
      <c r="G1442" s="2" t="inlineStr">
        <is>
          <t>North</t>
        </is>
      </c>
      <c r="H1442" s="2" t="inlineStr">
        <is>
          <t>Haryana</t>
        </is>
      </c>
      <c r="I1442" s="2" t="inlineStr">
        <is>
          <t>Faridabad</t>
        </is>
      </c>
      <c r="J1442" s="2" t="inlineStr">
        <is>
          <t>Online</t>
        </is>
      </c>
      <c r="K1442" s="2" t="n">
        <v>1</v>
      </c>
      <c r="L1442" s="3" t="n">
        <v>730.22</v>
      </c>
      <c r="M1442" s="4" t="n">
        <v>0.25</v>
      </c>
      <c r="N1442" s="3" t="n">
        <v>464.41</v>
      </c>
      <c r="O1442" s="3">
        <f>K1442*L1442*(1-M1442)</f>
        <v/>
      </c>
      <c r="P1442" s="3">
        <f>O1442-N1442</f>
        <v/>
      </c>
      <c r="Q1442" s="5">
        <f>IFERROR(P1442/O1442,0)</f>
        <v/>
      </c>
      <c r="R1442" s="2">
        <f>TEXT(DATEVALUE(B1442),"mmm")</f>
        <v/>
      </c>
      <c r="S1442" s="2">
        <f>TEXT(DATEVALUE(B1442),"yyyy-mm")</f>
        <v/>
      </c>
    </row>
    <row r="1443">
      <c r="A1443" s="2" t="inlineStr">
        <is>
          <t>O002993</t>
        </is>
      </c>
      <c r="B1443" s="2" t="inlineStr">
        <is>
          <t>2025-04-17</t>
        </is>
      </c>
      <c r="C1443" s="2" t="inlineStr">
        <is>
          <t>C0578</t>
        </is>
      </c>
      <c r="D1443" s="2" t="inlineStr">
        <is>
          <t>P0004</t>
        </is>
      </c>
      <c r="E1443" s="2" t="inlineStr">
        <is>
          <t>USB-C Hub</t>
        </is>
      </c>
      <c r="F1443" s="2" t="inlineStr">
        <is>
          <t>Electronics</t>
        </is>
      </c>
      <c r="G1443" s="2" t="inlineStr">
        <is>
          <t>North</t>
        </is>
      </c>
      <c r="H1443" s="2" t="inlineStr">
        <is>
          <t>Punjab</t>
        </is>
      </c>
      <c r="I1443" s="2" t="inlineStr">
        <is>
          <t>Amritsar</t>
        </is>
      </c>
      <c r="J1443" s="2" t="inlineStr">
        <is>
          <t>Online</t>
        </is>
      </c>
      <c r="K1443" s="2" t="n">
        <v>1</v>
      </c>
      <c r="L1443" s="3" t="n">
        <v>1316.75</v>
      </c>
      <c r="M1443" s="4" t="n">
        <v>0.1</v>
      </c>
      <c r="N1443" s="3" t="n">
        <v>908.83</v>
      </c>
      <c r="O1443" s="3">
        <f>K1443*L1443*(1-M1443)</f>
        <v/>
      </c>
      <c r="P1443" s="3">
        <f>O1443-N1443</f>
        <v/>
      </c>
      <c r="Q1443" s="5">
        <f>IFERROR(P1443/O1443,0)</f>
        <v/>
      </c>
      <c r="R1443" s="2">
        <f>TEXT(DATEVALUE(B1443),"mmm")</f>
        <v/>
      </c>
      <c r="S1443" s="2">
        <f>TEXT(DATEVALUE(B1443),"yyyy-mm")</f>
        <v/>
      </c>
    </row>
    <row r="1444">
      <c r="A1444" s="2" t="inlineStr">
        <is>
          <t>O002147</t>
        </is>
      </c>
      <c r="B1444" s="2" t="inlineStr">
        <is>
          <t>2025-04-17</t>
        </is>
      </c>
      <c r="C1444" s="2" t="inlineStr">
        <is>
          <t>C0492</t>
        </is>
      </c>
      <c r="D1444" s="2" t="inlineStr">
        <is>
          <t>P0032</t>
        </is>
      </c>
      <c r="E1444" s="2" t="inlineStr">
        <is>
          <t>Football</t>
        </is>
      </c>
      <c r="F1444" s="2" t="inlineStr">
        <is>
          <t>Sports</t>
        </is>
      </c>
      <c r="G1444" s="2" t="inlineStr">
        <is>
          <t>South</t>
        </is>
      </c>
      <c r="H1444" s="2" t="inlineStr">
        <is>
          <t>Karnataka</t>
        </is>
      </c>
      <c r="I1444" s="2" t="inlineStr">
        <is>
          <t>Bengaluru</t>
        </is>
      </c>
      <c r="J1444" s="2" t="inlineStr">
        <is>
          <t>Store</t>
        </is>
      </c>
      <c r="K1444" s="2" t="n">
        <v>2</v>
      </c>
      <c r="L1444" s="3" t="n">
        <v>845.4400000000001</v>
      </c>
      <c r="M1444" s="4" t="n">
        <v>0</v>
      </c>
      <c r="N1444" s="3" t="n">
        <v>1060.84</v>
      </c>
      <c r="O1444" s="3">
        <f>K1444*L1444*(1-M1444)</f>
        <v/>
      </c>
      <c r="P1444" s="3">
        <f>O1444-N1444</f>
        <v/>
      </c>
      <c r="Q1444" s="5">
        <f>IFERROR(P1444/O1444,0)</f>
        <v/>
      </c>
      <c r="R1444" s="2">
        <f>TEXT(DATEVALUE(B1444),"mmm")</f>
        <v/>
      </c>
      <c r="S1444" s="2">
        <f>TEXT(DATEVALUE(B1444),"yyyy-mm")</f>
        <v/>
      </c>
    </row>
    <row r="1445">
      <c r="A1445" s="2" t="inlineStr">
        <is>
          <t>O002793</t>
        </is>
      </c>
      <c r="B1445" s="2" t="inlineStr">
        <is>
          <t>2025-04-17</t>
        </is>
      </c>
      <c r="C1445" s="2" t="inlineStr">
        <is>
          <t>C0402</t>
        </is>
      </c>
      <c r="D1445" s="2" t="inlineStr">
        <is>
          <t>P0005</t>
        </is>
      </c>
      <c r="E1445" s="2" t="inlineStr">
        <is>
          <t>Power Bank</t>
        </is>
      </c>
      <c r="F1445" s="2" t="inlineStr">
        <is>
          <t>Electronics</t>
        </is>
      </c>
      <c r="G1445" s="2" t="inlineStr">
        <is>
          <t>East</t>
        </is>
      </c>
      <c r="H1445" s="2" t="inlineStr">
        <is>
          <t>West Bengal</t>
        </is>
      </c>
      <c r="I1445" s="2" t="inlineStr">
        <is>
          <t>Durgapur</t>
        </is>
      </c>
      <c r="J1445" s="2" t="inlineStr">
        <is>
          <t>Store</t>
        </is>
      </c>
      <c r="K1445" s="2" t="n">
        <v>4</v>
      </c>
      <c r="L1445" s="3" t="n">
        <v>1157.43</v>
      </c>
      <c r="M1445" s="4" t="n">
        <v>0.05</v>
      </c>
      <c r="N1445" s="3" t="n">
        <v>2783.97</v>
      </c>
      <c r="O1445" s="3">
        <f>K1445*L1445*(1-M1445)</f>
        <v/>
      </c>
      <c r="P1445" s="3">
        <f>O1445-N1445</f>
        <v/>
      </c>
      <c r="Q1445" s="5">
        <f>IFERROR(P1445/O1445,0)</f>
        <v/>
      </c>
      <c r="R1445" s="2">
        <f>TEXT(DATEVALUE(B1445),"mmm")</f>
        <v/>
      </c>
      <c r="S1445" s="2">
        <f>TEXT(DATEVALUE(B1445),"yyyy-mm")</f>
        <v/>
      </c>
    </row>
    <row r="1446">
      <c r="A1446" s="2" t="inlineStr">
        <is>
          <t>O001993</t>
        </is>
      </c>
      <c r="B1446" s="2" t="inlineStr">
        <is>
          <t>2025-04-17</t>
        </is>
      </c>
      <c r="C1446" s="2" t="inlineStr">
        <is>
          <t>C0800</t>
        </is>
      </c>
      <c r="D1446" s="2" t="inlineStr">
        <is>
          <t>P0001</t>
        </is>
      </c>
      <c r="E1446" s="2" t="inlineStr">
        <is>
          <t>Wireless Headphones</t>
        </is>
      </c>
      <c r="F1446" s="2" t="inlineStr">
        <is>
          <t>Electronics</t>
        </is>
      </c>
      <c r="G1446" s="2" t="inlineStr">
        <is>
          <t>South</t>
        </is>
      </c>
      <c r="H1446" s="2" t="inlineStr">
        <is>
          <t>Kerala</t>
        </is>
      </c>
      <c r="I1446" s="2" t="inlineStr">
        <is>
          <t>Thiruvananthapuram</t>
        </is>
      </c>
      <c r="J1446" s="2" t="inlineStr">
        <is>
          <t>Online</t>
        </is>
      </c>
      <c r="K1446" s="2" t="n">
        <v>2</v>
      </c>
      <c r="L1446" s="3" t="n">
        <v>1285</v>
      </c>
      <c r="M1446" s="4" t="n">
        <v>0.2</v>
      </c>
      <c r="N1446" s="3" t="n">
        <v>1430.32</v>
      </c>
      <c r="O1446" s="3">
        <f>K1446*L1446*(1-M1446)</f>
        <v/>
      </c>
      <c r="P1446" s="3">
        <f>O1446-N1446</f>
        <v/>
      </c>
      <c r="Q1446" s="5">
        <f>IFERROR(P1446/O1446,0)</f>
        <v/>
      </c>
      <c r="R1446" s="2">
        <f>TEXT(DATEVALUE(B1446),"mmm")</f>
        <v/>
      </c>
      <c r="S1446" s="2">
        <f>TEXT(DATEVALUE(B1446),"yyyy-mm")</f>
        <v/>
      </c>
    </row>
    <row r="1447">
      <c r="A1447" s="2" t="inlineStr">
        <is>
          <t>O001555</t>
        </is>
      </c>
      <c r="B1447" s="2" t="inlineStr">
        <is>
          <t>2025-04-17</t>
        </is>
      </c>
      <c r="C1447" s="2" t="inlineStr">
        <is>
          <t>C0578</t>
        </is>
      </c>
      <c r="D1447" s="2" t="inlineStr">
        <is>
          <t>P0011</t>
        </is>
      </c>
      <c r="E1447" s="2" t="inlineStr">
        <is>
          <t>Cookware Set</t>
        </is>
      </c>
      <c r="F1447" s="2" t="inlineStr">
        <is>
          <t>Home &amp; Kitchen</t>
        </is>
      </c>
      <c r="G1447" s="2" t="inlineStr">
        <is>
          <t>North</t>
        </is>
      </c>
      <c r="H1447" s="2" t="inlineStr">
        <is>
          <t>Punjab</t>
        </is>
      </c>
      <c r="I1447" s="2" t="inlineStr">
        <is>
          <t>Ludhiana</t>
        </is>
      </c>
      <c r="J1447" s="2" t="inlineStr">
        <is>
          <t>Online</t>
        </is>
      </c>
      <c r="K1447" s="2" t="n">
        <v>3</v>
      </c>
      <c r="L1447" s="3" t="n">
        <v>705.96</v>
      </c>
      <c r="M1447" s="4" t="n">
        <v>0.2</v>
      </c>
      <c r="N1447" s="3" t="n">
        <v>1413.03</v>
      </c>
      <c r="O1447" s="3">
        <f>K1447*L1447*(1-M1447)</f>
        <v/>
      </c>
      <c r="P1447" s="3">
        <f>O1447-N1447</f>
        <v/>
      </c>
      <c r="Q1447" s="5">
        <f>IFERROR(P1447/O1447,0)</f>
        <v/>
      </c>
      <c r="R1447" s="2">
        <f>TEXT(DATEVALUE(B1447),"mmm")</f>
        <v/>
      </c>
      <c r="S1447" s="2">
        <f>TEXT(DATEVALUE(B1447),"yyyy-mm")</f>
        <v/>
      </c>
    </row>
    <row r="1448">
      <c r="A1448" s="2" t="inlineStr">
        <is>
          <t>O000868</t>
        </is>
      </c>
      <c r="B1448" s="2" t="inlineStr">
        <is>
          <t>2025-04-17</t>
        </is>
      </c>
      <c r="C1448" s="2" t="inlineStr">
        <is>
          <t>C0218</t>
        </is>
      </c>
      <c r="D1448" s="2" t="inlineStr">
        <is>
          <t>P0021</t>
        </is>
      </c>
      <c r="E1448" s="2" t="inlineStr">
        <is>
          <t>Wallet</t>
        </is>
      </c>
      <c r="F1448" s="2" t="inlineStr">
        <is>
          <t>Fashion</t>
        </is>
      </c>
      <c r="G1448" s="2" t="inlineStr">
        <is>
          <t>South</t>
        </is>
      </c>
      <c r="H1448" s="2" t="inlineStr">
        <is>
          <t>Karnataka</t>
        </is>
      </c>
      <c r="I1448" s="2" t="inlineStr">
        <is>
          <t>Mangaluru</t>
        </is>
      </c>
      <c r="J1448" s="2" t="inlineStr">
        <is>
          <t>Store</t>
        </is>
      </c>
      <c r="K1448" s="2" t="n">
        <v>1</v>
      </c>
      <c r="L1448" s="3" t="n">
        <v>2010.41</v>
      </c>
      <c r="M1448" s="4" t="n">
        <v>0.2</v>
      </c>
      <c r="N1448" s="3" t="n">
        <v>1256.14</v>
      </c>
      <c r="O1448" s="3">
        <f>K1448*L1448*(1-M1448)</f>
        <v/>
      </c>
      <c r="P1448" s="3">
        <f>O1448-N1448</f>
        <v/>
      </c>
      <c r="Q1448" s="5">
        <f>IFERROR(P1448/O1448,0)</f>
        <v/>
      </c>
      <c r="R1448" s="2">
        <f>TEXT(DATEVALUE(B1448),"mmm")</f>
        <v/>
      </c>
      <c r="S1448" s="2">
        <f>TEXT(DATEVALUE(B1448),"yyyy-mm")</f>
        <v/>
      </c>
    </row>
    <row r="1449">
      <c r="A1449" s="2" t="inlineStr">
        <is>
          <t>O000004</t>
        </is>
      </c>
      <c r="B1449" s="2" t="inlineStr">
        <is>
          <t>2025-04-17</t>
        </is>
      </c>
      <c r="C1449" s="2" t="inlineStr">
        <is>
          <t>C0100</t>
        </is>
      </c>
      <c r="D1449" s="2" t="inlineStr">
        <is>
          <t>P0035</t>
        </is>
      </c>
      <c r="E1449" s="2" t="inlineStr">
        <is>
          <t>Skipping Rope</t>
        </is>
      </c>
      <c r="F1449" s="2" t="inlineStr">
        <is>
          <t>Sports</t>
        </is>
      </c>
      <c r="G1449" s="2" t="inlineStr">
        <is>
          <t>West</t>
        </is>
      </c>
      <c r="H1449" s="2" t="inlineStr">
        <is>
          <t>Maharashtra</t>
        </is>
      </c>
      <c r="I1449" s="2" t="inlineStr">
        <is>
          <t>Nagpur</t>
        </is>
      </c>
      <c r="J1449" s="2" t="inlineStr">
        <is>
          <t>Online</t>
        </is>
      </c>
      <c r="K1449" s="2" t="n">
        <v>5</v>
      </c>
      <c r="L1449" s="3" t="n">
        <v>691.1900000000001</v>
      </c>
      <c r="M1449" s="4" t="n">
        <v>0.05</v>
      </c>
      <c r="N1449" s="3" t="n">
        <v>2115.86</v>
      </c>
      <c r="O1449" s="3">
        <f>K1449*L1449*(1-M1449)</f>
        <v/>
      </c>
      <c r="P1449" s="3">
        <f>O1449-N1449</f>
        <v/>
      </c>
      <c r="Q1449" s="5">
        <f>IFERROR(P1449/O1449,0)</f>
        <v/>
      </c>
      <c r="R1449" s="2">
        <f>TEXT(DATEVALUE(B1449),"mmm")</f>
        <v/>
      </c>
      <c r="S1449" s="2">
        <f>TEXT(DATEVALUE(B1449),"yyyy-mm")</f>
        <v/>
      </c>
    </row>
    <row r="1450">
      <c r="A1450" s="2" t="inlineStr">
        <is>
          <t>O002855</t>
        </is>
      </c>
      <c r="B1450" s="2" t="inlineStr">
        <is>
          <t>2025-04-17</t>
        </is>
      </c>
      <c r="C1450" s="2" t="inlineStr">
        <is>
          <t>C0750</t>
        </is>
      </c>
      <c r="D1450" s="2" t="inlineStr">
        <is>
          <t>P0007</t>
        </is>
      </c>
      <c r="E1450" s="2" t="inlineStr">
        <is>
          <t>Wireless Mouse</t>
        </is>
      </c>
      <c r="F1450" s="2" t="inlineStr">
        <is>
          <t>Electronics</t>
        </is>
      </c>
      <c r="G1450" s="2" t="inlineStr">
        <is>
          <t>West</t>
        </is>
      </c>
      <c r="H1450" s="2" t="inlineStr">
        <is>
          <t>Maharashtra</t>
        </is>
      </c>
      <c r="I1450" s="2" t="inlineStr">
        <is>
          <t>Nashik</t>
        </is>
      </c>
      <c r="J1450" s="2" t="inlineStr">
        <is>
          <t>Store</t>
        </is>
      </c>
      <c r="K1450" s="2" t="n">
        <v>2</v>
      </c>
      <c r="L1450" s="3" t="n">
        <v>960.71</v>
      </c>
      <c r="M1450" s="4" t="n">
        <v>0.2</v>
      </c>
      <c r="N1450" s="3" t="n">
        <v>1262.94</v>
      </c>
      <c r="O1450" s="3">
        <f>K1450*L1450*(1-M1450)</f>
        <v/>
      </c>
      <c r="P1450" s="3">
        <f>O1450-N1450</f>
        <v/>
      </c>
      <c r="Q1450" s="5">
        <f>IFERROR(P1450/O1450,0)</f>
        <v/>
      </c>
      <c r="R1450" s="2">
        <f>TEXT(DATEVALUE(B1450),"mmm")</f>
        <v/>
      </c>
      <c r="S1450" s="2">
        <f>TEXT(DATEVALUE(B1450),"yyyy-mm")</f>
        <v/>
      </c>
    </row>
    <row r="1451">
      <c r="A1451" s="2" t="inlineStr">
        <is>
          <t>O004562</t>
        </is>
      </c>
      <c r="B1451" s="2" t="inlineStr">
        <is>
          <t>2025-04-18</t>
        </is>
      </c>
      <c r="C1451" s="2" t="inlineStr">
        <is>
          <t>C0013</t>
        </is>
      </c>
      <c r="D1451" s="2" t="inlineStr">
        <is>
          <t>P0003</t>
        </is>
      </c>
      <c r="E1451" s="2" t="inlineStr">
        <is>
          <t>Smartwatch</t>
        </is>
      </c>
      <c r="F1451" s="2" t="inlineStr">
        <is>
          <t>Electronics</t>
        </is>
      </c>
      <c r="G1451" s="2" t="inlineStr">
        <is>
          <t>South</t>
        </is>
      </c>
      <c r="H1451" s="2" t="inlineStr">
        <is>
          <t>Karnataka</t>
        </is>
      </c>
      <c r="I1451" s="2" t="inlineStr">
        <is>
          <t>Mangaluru</t>
        </is>
      </c>
      <c r="J1451" s="2" t="inlineStr">
        <is>
          <t>Online</t>
        </is>
      </c>
      <c r="K1451" s="2" t="n">
        <v>2</v>
      </c>
      <c r="L1451" s="3" t="n">
        <v>2325.6</v>
      </c>
      <c r="M1451" s="4" t="n">
        <v>0</v>
      </c>
      <c r="N1451" s="3" t="n">
        <v>2361.44</v>
      </c>
      <c r="O1451" s="3">
        <f>K1451*L1451*(1-M1451)</f>
        <v/>
      </c>
      <c r="P1451" s="3">
        <f>O1451-N1451</f>
        <v/>
      </c>
      <c r="Q1451" s="5">
        <f>IFERROR(P1451/O1451,0)</f>
        <v/>
      </c>
      <c r="R1451" s="2">
        <f>TEXT(DATEVALUE(B1451),"mmm")</f>
        <v/>
      </c>
      <c r="S1451" s="2">
        <f>TEXT(DATEVALUE(B1451),"yyyy-mm")</f>
        <v/>
      </c>
    </row>
    <row r="1452">
      <c r="A1452" s="2" t="inlineStr">
        <is>
          <t>O004338</t>
        </is>
      </c>
      <c r="B1452" s="2" t="inlineStr">
        <is>
          <t>2025-04-18</t>
        </is>
      </c>
      <c r="C1452" s="2" t="inlineStr">
        <is>
          <t>C0208</t>
        </is>
      </c>
      <c r="D1452" s="2" t="inlineStr">
        <is>
          <t>P0007</t>
        </is>
      </c>
      <c r="E1452" s="2" t="inlineStr">
        <is>
          <t>Wireless Mouse</t>
        </is>
      </c>
      <c r="F1452" s="2" t="inlineStr">
        <is>
          <t>Electronics</t>
        </is>
      </c>
      <c r="G1452" s="2" t="inlineStr">
        <is>
          <t>East</t>
        </is>
      </c>
      <c r="H1452" s="2" t="inlineStr">
        <is>
          <t>Bihar</t>
        </is>
      </c>
      <c r="I1452" s="2" t="inlineStr">
        <is>
          <t>Patna</t>
        </is>
      </c>
      <c r="J1452" s="2" t="inlineStr">
        <is>
          <t>Store</t>
        </is>
      </c>
      <c r="K1452" s="2" t="n">
        <v>3</v>
      </c>
      <c r="L1452" s="3" t="n">
        <v>1022.85</v>
      </c>
      <c r="M1452" s="4" t="n">
        <v>0.1</v>
      </c>
      <c r="N1452" s="3" t="n">
        <v>1897.43</v>
      </c>
      <c r="O1452" s="3">
        <f>K1452*L1452*(1-M1452)</f>
        <v/>
      </c>
      <c r="P1452" s="3">
        <f>O1452-N1452</f>
        <v/>
      </c>
      <c r="Q1452" s="5">
        <f>IFERROR(P1452/O1452,0)</f>
        <v/>
      </c>
      <c r="R1452" s="2">
        <f>TEXT(DATEVALUE(B1452),"mmm")</f>
        <v/>
      </c>
      <c r="S1452" s="2">
        <f>TEXT(DATEVALUE(B1452),"yyyy-mm")</f>
        <v/>
      </c>
    </row>
    <row r="1453">
      <c r="A1453" s="2" t="inlineStr">
        <is>
          <t>O003967</t>
        </is>
      </c>
      <c r="B1453" s="2" t="inlineStr">
        <is>
          <t>2025-04-18</t>
        </is>
      </c>
      <c r="C1453" s="2" t="inlineStr">
        <is>
          <t>C0219</t>
        </is>
      </c>
      <c r="D1453" s="2" t="inlineStr">
        <is>
          <t>P0030</t>
        </is>
      </c>
      <c r="E1453" s="2" t="inlineStr">
        <is>
          <t>Dumbbells</t>
        </is>
      </c>
      <c r="F1453" s="2" t="inlineStr">
        <is>
          <t>Sports</t>
        </is>
      </c>
      <c r="G1453" s="2" t="inlineStr">
        <is>
          <t>West</t>
        </is>
      </c>
      <c r="H1453" s="2" t="inlineStr">
        <is>
          <t>Goa</t>
        </is>
      </c>
      <c r="I1453" s="2" t="inlineStr">
        <is>
          <t>Panaji</t>
        </is>
      </c>
      <c r="J1453" s="2" t="inlineStr">
        <is>
          <t>Store</t>
        </is>
      </c>
      <c r="K1453" s="2" t="n">
        <v>3</v>
      </c>
      <c r="L1453" s="3" t="n">
        <v>1585.07</v>
      </c>
      <c r="M1453" s="4" t="n">
        <v>0.15</v>
      </c>
      <c r="N1453" s="3" t="n">
        <v>3096.98</v>
      </c>
      <c r="O1453" s="3">
        <f>K1453*L1453*(1-M1453)</f>
        <v/>
      </c>
      <c r="P1453" s="3">
        <f>O1453-N1453</f>
        <v/>
      </c>
      <c r="Q1453" s="5">
        <f>IFERROR(P1453/O1453,0)</f>
        <v/>
      </c>
      <c r="R1453" s="2">
        <f>TEXT(DATEVALUE(B1453),"mmm")</f>
        <v/>
      </c>
      <c r="S1453" s="2">
        <f>TEXT(DATEVALUE(B1453),"yyyy-mm")</f>
        <v/>
      </c>
    </row>
    <row r="1454">
      <c r="A1454" s="2" t="inlineStr">
        <is>
          <t>O003936</t>
        </is>
      </c>
      <c r="B1454" s="2" t="inlineStr">
        <is>
          <t>2025-04-18</t>
        </is>
      </c>
      <c r="C1454" s="2" t="inlineStr">
        <is>
          <t>C0501</t>
        </is>
      </c>
      <c r="D1454" s="2" t="inlineStr">
        <is>
          <t>P0012</t>
        </is>
      </c>
      <c r="E1454" s="2" t="inlineStr">
        <is>
          <t>Water Bottle</t>
        </is>
      </c>
      <c r="F1454" s="2" t="inlineStr">
        <is>
          <t>Home &amp; Kitchen</t>
        </is>
      </c>
      <c r="G1454" s="2" t="inlineStr">
        <is>
          <t>East</t>
        </is>
      </c>
      <c r="H1454" s="2" t="inlineStr">
        <is>
          <t>West Bengal</t>
        </is>
      </c>
      <c r="I1454" s="2" t="inlineStr">
        <is>
          <t>Durgapur</t>
        </is>
      </c>
      <c r="J1454" s="2" t="inlineStr">
        <is>
          <t>Online</t>
        </is>
      </c>
      <c r="K1454" s="2" t="n">
        <v>4</v>
      </c>
      <c r="L1454" s="3" t="n">
        <v>978.53</v>
      </c>
      <c r="M1454" s="4" t="n">
        <v>0</v>
      </c>
      <c r="N1454" s="3" t="n">
        <v>2420.68</v>
      </c>
      <c r="O1454" s="3">
        <f>K1454*L1454*(1-M1454)</f>
        <v/>
      </c>
      <c r="P1454" s="3">
        <f>O1454-N1454</f>
        <v/>
      </c>
      <c r="Q1454" s="5">
        <f>IFERROR(P1454/O1454,0)</f>
        <v/>
      </c>
      <c r="R1454" s="2">
        <f>TEXT(DATEVALUE(B1454),"mmm")</f>
        <v/>
      </c>
      <c r="S1454" s="2">
        <f>TEXT(DATEVALUE(B1454),"yyyy-mm")</f>
        <v/>
      </c>
    </row>
    <row r="1455">
      <c r="A1455" s="2" t="inlineStr">
        <is>
          <t>O003505</t>
        </is>
      </c>
      <c r="B1455" s="2" t="inlineStr">
        <is>
          <t>2025-04-18</t>
        </is>
      </c>
      <c r="C1455" s="2" t="inlineStr">
        <is>
          <t>C0254</t>
        </is>
      </c>
      <c r="D1455" s="2" t="inlineStr">
        <is>
          <t>P0024</t>
        </is>
      </c>
      <c r="E1455" s="2" t="inlineStr">
        <is>
          <t>Hair Dryer</t>
        </is>
      </c>
      <c r="F1455" s="2" t="inlineStr">
        <is>
          <t>Beauty</t>
        </is>
      </c>
      <c r="G1455" s="2" t="inlineStr">
        <is>
          <t>North</t>
        </is>
      </c>
      <c r="H1455" s="2" t="inlineStr">
        <is>
          <t>Haryana</t>
        </is>
      </c>
      <c r="I1455" s="2" t="inlineStr">
        <is>
          <t>Gurugram</t>
        </is>
      </c>
      <c r="J1455" s="2" t="inlineStr">
        <is>
          <t>Online</t>
        </is>
      </c>
      <c r="K1455" s="2" t="n">
        <v>1</v>
      </c>
      <c r="L1455" s="3" t="n">
        <v>1015.02</v>
      </c>
      <c r="M1455" s="4" t="n">
        <v>0.05</v>
      </c>
      <c r="N1455" s="3" t="n">
        <v>710.41</v>
      </c>
      <c r="O1455" s="3">
        <f>K1455*L1455*(1-M1455)</f>
        <v/>
      </c>
      <c r="P1455" s="3">
        <f>O1455-N1455</f>
        <v/>
      </c>
      <c r="Q1455" s="5">
        <f>IFERROR(P1455/O1455,0)</f>
        <v/>
      </c>
      <c r="R1455" s="2">
        <f>TEXT(DATEVALUE(B1455),"mmm")</f>
        <v/>
      </c>
      <c r="S1455" s="2">
        <f>TEXT(DATEVALUE(B1455),"yyyy-mm")</f>
        <v/>
      </c>
    </row>
    <row r="1456">
      <c r="A1456" s="2" t="inlineStr">
        <is>
          <t>O003278</t>
        </is>
      </c>
      <c r="B1456" s="2" t="inlineStr">
        <is>
          <t>2025-04-18</t>
        </is>
      </c>
      <c r="C1456" s="2" t="inlineStr">
        <is>
          <t>C0758</t>
        </is>
      </c>
      <c r="D1456" s="2" t="inlineStr">
        <is>
          <t>P0018</t>
        </is>
      </c>
      <c r="E1456" s="2" t="inlineStr">
        <is>
          <t>Backpack</t>
        </is>
      </c>
      <c r="F1456" s="2" t="inlineStr">
        <is>
          <t>Fashion</t>
        </is>
      </c>
      <c r="G1456" s="2" t="inlineStr">
        <is>
          <t>East</t>
        </is>
      </c>
      <c r="H1456" s="2" t="inlineStr">
        <is>
          <t>West Bengal</t>
        </is>
      </c>
      <c r="I1456" s="2" t="inlineStr">
        <is>
          <t>Durgapur</t>
        </is>
      </c>
      <c r="J1456" s="2" t="inlineStr">
        <is>
          <t>Online</t>
        </is>
      </c>
      <c r="K1456" s="2" t="n">
        <v>1</v>
      </c>
      <c r="L1456" s="3" t="n">
        <v>1762.02</v>
      </c>
      <c r="M1456" s="4" t="n">
        <v>0.05</v>
      </c>
      <c r="N1456" s="3" t="n">
        <v>1352.81</v>
      </c>
      <c r="O1456" s="3">
        <f>K1456*L1456*(1-M1456)</f>
        <v/>
      </c>
      <c r="P1456" s="3">
        <f>O1456-N1456</f>
        <v/>
      </c>
      <c r="Q1456" s="5">
        <f>IFERROR(P1456/O1456,0)</f>
        <v/>
      </c>
      <c r="R1456" s="2">
        <f>TEXT(DATEVALUE(B1456),"mmm")</f>
        <v/>
      </c>
      <c r="S1456" s="2">
        <f>TEXT(DATEVALUE(B1456),"yyyy-mm")</f>
        <v/>
      </c>
    </row>
    <row r="1457">
      <c r="A1457" s="2" t="inlineStr">
        <is>
          <t>O003057</t>
        </is>
      </c>
      <c r="B1457" s="2" t="inlineStr">
        <is>
          <t>2025-04-18</t>
        </is>
      </c>
      <c r="C1457" s="2" t="inlineStr">
        <is>
          <t>C0563</t>
        </is>
      </c>
      <c r="D1457" s="2" t="inlineStr">
        <is>
          <t>P0012</t>
        </is>
      </c>
      <c r="E1457" s="2" t="inlineStr">
        <is>
          <t>Water Bottle</t>
        </is>
      </c>
      <c r="F1457" s="2" t="inlineStr">
        <is>
          <t>Home &amp; Kitchen</t>
        </is>
      </c>
      <c r="G1457" s="2" t="inlineStr">
        <is>
          <t>West</t>
        </is>
      </c>
      <c r="H1457" s="2" t="inlineStr">
        <is>
          <t>Maharashtra</t>
        </is>
      </c>
      <c r="I1457" s="2" t="inlineStr">
        <is>
          <t>Nagpur</t>
        </is>
      </c>
      <c r="J1457" s="2" t="inlineStr">
        <is>
          <t>Online</t>
        </is>
      </c>
      <c r="K1457" s="2" t="n">
        <v>2</v>
      </c>
      <c r="L1457" s="3" t="n">
        <v>938.38</v>
      </c>
      <c r="M1457" s="4" t="n">
        <v>0.05</v>
      </c>
      <c r="N1457" s="3" t="n">
        <v>1253.16</v>
      </c>
      <c r="O1457" s="3">
        <f>K1457*L1457*(1-M1457)</f>
        <v/>
      </c>
      <c r="P1457" s="3">
        <f>O1457-N1457</f>
        <v/>
      </c>
      <c r="Q1457" s="5">
        <f>IFERROR(P1457/O1457,0)</f>
        <v/>
      </c>
      <c r="R1457" s="2">
        <f>TEXT(DATEVALUE(B1457),"mmm")</f>
        <v/>
      </c>
      <c r="S1457" s="2">
        <f>TEXT(DATEVALUE(B1457),"yyyy-mm")</f>
        <v/>
      </c>
    </row>
    <row r="1458">
      <c r="A1458" s="2" t="inlineStr">
        <is>
          <t>O002665</t>
        </is>
      </c>
      <c r="B1458" s="2" t="inlineStr">
        <is>
          <t>2025-04-18</t>
        </is>
      </c>
      <c r="C1458" s="2" t="inlineStr">
        <is>
          <t>C0388</t>
        </is>
      </c>
      <c r="D1458" s="2" t="inlineStr">
        <is>
          <t>P0011</t>
        </is>
      </c>
      <c r="E1458" s="2" t="inlineStr">
        <is>
          <t>Cookware Set</t>
        </is>
      </c>
      <c r="F1458" s="2" t="inlineStr">
        <is>
          <t>Home &amp; Kitchen</t>
        </is>
      </c>
      <c r="G1458" s="2" t="inlineStr">
        <is>
          <t>West</t>
        </is>
      </c>
      <c r="H1458" s="2" t="inlineStr">
        <is>
          <t>Gujarat</t>
        </is>
      </c>
      <c r="I1458" s="2" t="inlineStr">
        <is>
          <t>Surat</t>
        </is>
      </c>
      <c r="J1458" s="2" t="inlineStr">
        <is>
          <t>Store</t>
        </is>
      </c>
      <c r="K1458" s="2" t="n">
        <v>1</v>
      </c>
      <c r="L1458" s="3" t="n">
        <v>730.4</v>
      </c>
      <c r="M1458" s="4" t="n">
        <v>0.1</v>
      </c>
      <c r="N1458" s="3" t="n">
        <v>478.24</v>
      </c>
      <c r="O1458" s="3">
        <f>K1458*L1458*(1-M1458)</f>
        <v/>
      </c>
      <c r="P1458" s="3">
        <f>O1458-N1458</f>
        <v/>
      </c>
      <c r="Q1458" s="5">
        <f>IFERROR(P1458/O1458,0)</f>
        <v/>
      </c>
      <c r="R1458" s="2">
        <f>TEXT(DATEVALUE(B1458),"mmm")</f>
        <v/>
      </c>
      <c r="S1458" s="2">
        <f>TEXT(DATEVALUE(B1458),"yyyy-mm")</f>
        <v/>
      </c>
    </row>
    <row r="1459">
      <c r="A1459" s="2" t="inlineStr">
        <is>
          <t>O002182</t>
        </is>
      </c>
      <c r="B1459" s="2" t="inlineStr">
        <is>
          <t>2025-04-18</t>
        </is>
      </c>
      <c r="C1459" s="2" t="inlineStr">
        <is>
          <t>C0276</t>
        </is>
      </c>
      <c r="D1459" s="2" t="inlineStr">
        <is>
          <t>P0004</t>
        </is>
      </c>
      <c r="E1459" s="2" t="inlineStr">
        <is>
          <t>USB-C Hub</t>
        </is>
      </c>
      <c r="F1459" s="2" t="inlineStr">
        <is>
          <t>Electronics</t>
        </is>
      </c>
      <c r="G1459" s="2" t="inlineStr">
        <is>
          <t>East</t>
        </is>
      </c>
      <c r="H1459" s="2" t="inlineStr">
        <is>
          <t>Bihar</t>
        </is>
      </c>
      <c r="I1459" s="2" t="inlineStr">
        <is>
          <t>Patna</t>
        </is>
      </c>
      <c r="J1459" s="2" t="inlineStr">
        <is>
          <t>Online</t>
        </is>
      </c>
      <c r="K1459" s="2" t="n">
        <v>2</v>
      </c>
      <c r="L1459" s="3" t="n">
        <v>1219.27</v>
      </c>
      <c r="M1459" s="4" t="n">
        <v>0.1</v>
      </c>
      <c r="N1459" s="3" t="n">
        <v>1812.19</v>
      </c>
      <c r="O1459" s="3">
        <f>K1459*L1459*(1-M1459)</f>
        <v/>
      </c>
      <c r="P1459" s="3">
        <f>O1459-N1459</f>
        <v/>
      </c>
      <c r="Q1459" s="5">
        <f>IFERROR(P1459/O1459,0)</f>
        <v/>
      </c>
      <c r="R1459" s="2">
        <f>TEXT(DATEVALUE(B1459),"mmm")</f>
        <v/>
      </c>
      <c r="S1459" s="2">
        <f>TEXT(DATEVALUE(B1459),"yyyy-mm")</f>
        <v/>
      </c>
    </row>
    <row r="1460">
      <c r="A1460" s="2" t="inlineStr">
        <is>
          <t>O002003</t>
        </is>
      </c>
      <c r="B1460" s="2" t="inlineStr">
        <is>
          <t>2025-04-18</t>
        </is>
      </c>
      <c r="C1460" s="2" t="inlineStr">
        <is>
          <t>C0076</t>
        </is>
      </c>
      <c r="D1460" s="2" t="inlineStr">
        <is>
          <t>P0021</t>
        </is>
      </c>
      <c r="E1460" s="2" t="inlineStr">
        <is>
          <t>Wallet</t>
        </is>
      </c>
      <c r="F1460" s="2" t="inlineStr">
        <is>
          <t>Fashion</t>
        </is>
      </c>
      <c r="G1460" s="2" t="inlineStr">
        <is>
          <t>East</t>
        </is>
      </c>
      <c r="H1460" s="2" t="inlineStr">
        <is>
          <t>Bihar</t>
        </is>
      </c>
      <c r="I1460" s="2" t="inlineStr">
        <is>
          <t>Gaya</t>
        </is>
      </c>
      <c r="J1460" s="2" t="inlineStr">
        <is>
          <t>Store</t>
        </is>
      </c>
      <c r="K1460" s="2" t="n">
        <v>2</v>
      </c>
      <c r="L1460" s="3" t="n">
        <v>2051.76</v>
      </c>
      <c r="M1460" s="4" t="n">
        <v>0.05</v>
      </c>
      <c r="N1460" s="3" t="n">
        <v>2382.09</v>
      </c>
      <c r="O1460" s="3">
        <f>K1460*L1460*(1-M1460)</f>
        <v/>
      </c>
      <c r="P1460" s="3">
        <f>O1460-N1460</f>
        <v/>
      </c>
      <c r="Q1460" s="5">
        <f>IFERROR(P1460/O1460,0)</f>
        <v/>
      </c>
      <c r="R1460" s="2">
        <f>TEXT(DATEVALUE(B1460),"mmm")</f>
        <v/>
      </c>
      <c r="S1460" s="2">
        <f>TEXT(DATEVALUE(B1460),"yyyy-mm")</f>
        <v/>
      </c>
    </row>
    <row r="1461">
      <c r="A1461" s="2" t="inlineStr">
        <is>
          <t>O001492</t>
        </is>
      </c>
      <c r="B1461" s="2" t="inlineStr">
        <is>
          <t>2025-04-18</t>
        </is>
      </c>
      <c r="C1461" s="2" t="inlineStr">
        <is>
          <t>C0539</t>
        </is>
      </c>
      <c r="D1461" s="2" t="inlineStr">
        <is>
          <t>P0004</t>
        </is>
      </c>
      <c r="E1461" s="2" t="inlineStr">
        <is>
          <t>USB-C Hub</t>
        </is>
      </c>
      <c r="F1461" s="2" t="inlineStr">
        <is>
          <t>Electronics</t>
        </is>
      </c>
      <c r="G1461" s="2" t="inlineStr">
        <is>
          <t>South</t>
        </is>
      </c>
      <c r="H1461" s="2" t="inlineStr">
        <is>
          <t>Karnataka</t>
        </is>
      </c>
      <c r="I1461" s="2" t="inlineStr">
        <is>
          <t>Mysuru</t>
        </is>
      </c>
      <c r="J1461" s="2" t="inlineStr">
        <is>
          <t>Store</t>
        </is>
      </c>
      <c r="K1461" s="2" t="n">
        <v>2</v>
      </c>
      <c r="L1461" s="3" t="n">
        <v>1252.49</v>
      </c>
      <c r="M1461" s="4" t="n">
        <v>0</v>
      </c>
      <c r="N1461" s="3" t="n">
        <v>1799.71</v>
      </c>
      <c r="O1461" s="3">
        <f>K1461*L1461*(1-M1461)</f>
        <v/>
      </c>
      <c r="P1461" s="3">
        <f>O1461-N1461</f>
        <v/>
      </c>
      <c r="Q1461" s="5">
        <f>IFERROR(P1461/O1461,0)</f>
        <v/>
      </c>
      <c r="R1461" s="2">
        <f>TEXT(DATEVALUE(B1461),"mmm")</f>
        <v/>
      </c>
      <c r="S1461" s="2">
        <f>TEXT(DATEVALUE(B1461),"yyyy-mm")</f>
        <v/>
      </c>
    </row>
    <row r="1462">
      <c r="A1462" s="2" t="inlineStr">
        <is>
          <t>O001476</t>
        </is>
      </c>
      <c r="B1462" s="2" t="inlineStr">
        <is>
          <t>2025-04-18</t>
        </is>
      </c>
      <c r="C1462" s="2" t="inlineStr">
        <is>
          <t>C0385</t>
        </is>
      </c>
      <c r="D1462" s="2" t="inlineStr">
        <is>
          <t>P0031</t>
        </is>
      </c>
      <c r="E1462" s="2" t="inlineStr">
        <is>
          <t>Cricket Bat</t>
        </is>
      </c>
      <c r="F1462" s="2" t="inlineStr">
        <is>
          <t>Sports</t>
        </is>
      </c>
      <c r="G1462" s="2" t="inlineStr">
        <is>
          <t>West</t>
        </is>
      </c>
      <c r="H1462" s="2" t="inlineStr">
        <is>
          <t>Goa</t>
        </is>
      </c>
      <c r="I1462" s="2" t="inlineStr">
        <is>
          <t>Margao</t>
        </is>
      </c>
      <c r="J1462" s="2" t="inlineStr">
        <is>
          <t>Online</t>
        </is>
      </c>
      <c r="K1462" s="2" t="n">
        <v>2</v>
      </c>
      <c r="L1462" s="3" t="n">
        <v>1388.95</v>
      </c>
      <c r="M1462" s="4" t="n">
        <v>0</v>
      </c>
      <c r="N1462" s="3" t="n">
        <v>1896.21</v>
      </c>
      <c r="O1462" s="3">
        <f>K1462*L1462*(1-M1462)</f>
        <v/>
      </c>
      <c r="P1462" s="3">
        <f>O1462-N1462</f>
        <v/>
      </c>
      <c r="Q1462" s="5">
        <f>IFERROR(P1462/O1462,0)</f>
        <v/>
      </c>
      <c r="R1462" s="2">
        <f>TEXT(DATEVALUE(B1462),"mmm")</f>
        <v/>
      </c>
      <c r="S1462" s="2">
        <f>TEXT(DATEVALUE(B1462),"yyyy-mm")</f>
        <v/>
      </c>
    </row>
    <row r="1463">
      <c r="A1463" s="2" t="inlineStr">
        <is>
          <t>O001420</t>
        </is>
      </c>
      <c r="B1463" s="2" t="inlineStr">
        <is>
          <t>2025-04-18</t>
        </is>
      </c>
      <c r="C1463" s="2" t="inlineStr">
        <is>
          <t>C0694</t>
        </is>
      </c>
      <c r="D1463" s="2" t="inlineStr">
        <is>
          <t>P0002</t>
        </is>
      </c>
      <c r="E1463" s="2" t="inlineStr">
        <is>
          <t>Bluetooth Speaker</t>
        </is>
      </c>
      <c r="F1463" s="2" t="inlineStr">
        <is>
          <t>Electronics</t>
        </is>
      </c>
      <c r="G1463" s="2" t="inlineStr">
        <is>
          <t>South</t>
        </is>
      </c>
      <c r="H1463" s="2" t="inlineStr">
        <is>
          <t>Kerala</t>
        </is>
      </c>
      <c r="I1463" s="2" t="inlineStr">
        <is>
          <t>Thiruvananthapuram</t>
        </is>
      </c>
      <c r="J1463" s="2" t="inlineStr">
        <is>
          <t>Online</t>
        </is>
      </c>
      <c r="K1463" s="2" t="n">
        <v>2</v>
      </c>
      <c r="L1463" s="3" t="n">
        <v>1395.01</v>
      </c>
      <c r="M1463" s="4" t="n">
        <v>0.05</v>
      </c>
      <c r="N1463" s="3" t="n">
        <v>1651.54</v>
      </c>
      <c r="O1463" s="3">
        <f>K1463*L1463*(1-M1463)</f>
        <v/>
      </c>
      <c r="P1463" s="3">
        <f>O1463-N1463</f>
        <v/>
      </c>
      <c r="Q1463" s="5">
        <f>IFERROR(P1463/O1463,0)</f>
        <v/>
      </c>
      <c r="R1463" s="2">
        <f>TEXT(DATEVALUE(B1463),"mmm")</f>
        <v/>
      </c>
      <c r="S1463" s="2">
        <f>TEXT(DATEVALUE(B1463),"yyyy-mm")</f>
        <v/>
      </c>
    </row>
    <row r="1464">
      <c r="A1464" s="2" t="inlineStr">
        <is>
          <t>O000415</t>
        </is>
      </c>
      <c r="B1464" s="2" t="inlineStr">
        <is>
          <t>2025-04-18</t>
        </is>
      </c>
      <c r="C1464" s="2" t="inlineStr">
        <is>
          <t>C0496</t>
        </is>
      </c>
      <c r="D1464" s="2" t="inlineStr">
        <is>
          <t>P0010</t>
        </is>
      </c>
      <c r="E1464" s="2" t="inlineStr">
        <is>
          <t>Mixer Grinder</t>
        </is>
      </c>
      <c r="F1464" s="2" t="inlineStr">
        <is>
          <t>Home &amp; Kitchen</t>
        </is>
      </c>
      <c r="G1464" s="2" t="inlineStr">
        <is>
          <t>East</t>
        </is>
      </c>
      <c r="H1464" s="2" t="inlineStr">
        <is>
          <t>Bihar</t>
        </is>
      </c>
      <c r="I1464" s="2" t="inlineStr">
        <is>
          <t>Patna</t>
        </is>
      </c>
      <c r="J1464" s="2" t="inlineStr">
        <is>
          <t>Store</t>
        </is>
      </c>
      <c r="K1464" s="2" t="n">
        <v>2</v>
      </c>
      <c r="L1464" s="3" t="n">
        <v>1660.35</v>
      </c>
      <c r="M1464" s="4" t="n">
        <v>0.05</v>
      </c>
      <c r="N1464" s="3" t="n">
        <v>2026.41</v>
      </c>
      <c r="O1464" s="3">
        <f>K1464*L1464*(1-M1464)</f>
        <v/>
      </c>
      <c r="P1464" s="3">
        <f>O1464-N1464</f>
        <v/>
      </c>
      <c r="Q1464" s="5">
        <f>IFERROR(P1464/O1464,0)</f>
        <v/>
      </c>
      <c r="R1464" s="2">
        <f>TEXT(DATEVALUE(B1464),"mmm")</f>
        <v/>
      </c>
      <c r="S1464" s="2">
        <f>TEXT(DATEVALUE(B1464),"yyyy-mm")</f>
        <v/>
      </c>
    </row>
    <row r="1465">
      <c r="A1465" s="2" t="inlineStr">
        <is>
          <t>O000166</t>
        </is>
      </c>
      <c r="B1465" s="2" t="inlineStr">
        <is>
          <t>2025-04-18</t>
        </is>
      </c>
      <c r="C1465" s="2" t="inlineStr">
        <is>
          <t>C0640</t>
        </is>
      </c>
      <c r="D1465" s="2" t="inlineStr">
        <is>
          <t>P0014</t>
        </is>
      </c>
      <c r="E1465" s="2" t="inlineStr">
        <is>
          <t>Coffee Maker</t>
        </is>
      </c>
      <c r="F1465" s="2" t="inlineStr">
        <is>
          <t>Home &amp; Kitchen</t>
        </is>
      </c>
      <c r="G1465" s="2" t="inlineStr">
        <is>
          <t>North</t>
        </is>
      </c>
      <c r="H1465" s="2" t="inlineStr">
        <is>
          <t>Uttar Pradesh</t>
        </is>
      </c>
      <c r="I1465" s="2" t="inlineStr">
        <is>
          <t>Noida</t>
        </is>
      </c>
      <c r="J1465" s="2" t="inlineStr">
        <is>
          <t>Online</t>
        </is>
      </c>
      <c r="K1465" s="2" t="n">
        <v>1</v>
      </c>
      <c r="L1465" s="3" t="n">
        <v>1073.85</v>
      </c>
      <c r="M1465" s="4" t="n">
        <v>0.05</v>
      </c>
      <c r="N1465" s="3" t="n">
        <v>787.09</v>
      </c>
      <c r="O1465" s="3">
        <f>K1465*L1465*(1-M1465)</f>
        <v/>
      </c>
      <c r="P1465" s="3">
        <f>O1465-N1465</f>
        <v/>
      </c>
      <c r="Q1465" s="5">
        <f>IFERROR(P1465/O1465,0)</f>
        <v/>
      </c>
      <c r="R1465" s="2">
        <f>TEXT(DATEVALUE(B1465),"mmm")</f>
        <v/>
      </c>
      <c r="S1465" s="2">
        <f>TEXT(DATEVALUE(B1465),"yyyy-mm")</f>
        <v/>
      </c>
    </row>
    <row r="1466">
      <c r="A1466" s="2" t="inlineStr">
        <is>
          <t>O002232</t>
        </is>
      </c>
      <c r="B1466" s="2" t="inlineStr">
        <is>
          <t>2025-04-18</t>
        </is>
      </c>
      <c r="C1466" s="2" t="inlineStr">
        <is>
          <t>C0552</t>
        </is>
      </c>
      <c r="D1466" s="2" t="inlineStr">
        <is>
          <t>P0022</t>
        </is>
      </c>
      <c r="E1466" s="2" t="inlineStr">
        <is>
          <t>Face Wash</t>
        </is>
      </c>
      <c r="F1466" s="2" t="inlineStr">
        <is>
          <t>Beauty</t>
        </is>
      </c>
      <c r="G1466" s="2" t="inlineStr">
        <is>
          <t>North</t>
        </is>
      </c>
      <c r="H1466" s="2" t="inlineStr">
        <is>
          <t>Haryana</t>
        </is>
      </c>
      <c r="I1466" s="2" t="inlineStr">
        <is>
          <t>Faridabad</t>
        </is>
      </c>
      <c r="J1466" s="2" t="inlineStr">
        <is>
          <t>Store</t>
        </is>
      </c>
      <c r="K1466" s="2" t="n">
        <v>1</v>
      </c>
      <c r="L1466" s="3" t="n">
        <v>574.01</v>
      </c>
      <c r="M1466" s="4" t="n">
        <v>0.15</v>
      </c>
      <c r="N1466" s="3" t="n">
        <v>339.7</v>
      </c>
      <c r="O1466" s="3">
        <f>K1466*L1466*(1-M1466)</f>
        <v/>
      </c>
      <c r="P1466" s="3">
        <f>O1466-N1466</f>
        <v/>
      </c>
      <c r="Q1466" s="5">
        <f>IFERROR(P1466/O1466,0)</f>
        <v/>
      </c>
      <c r="R1466" s="2">
        <f>TEXT(DATEVALUE(B1466),"mmm")</f>
        <v/>
      </c>
      <c r="S1466" s="2">
        <f>TEXT(DATEVALUE(B1466),"yyyy-mm")</f>
        <v/>
      </c>
    </row>
    <row r="1467">
      <c r="A1467" s="2" t="inlineStr">
        <is>
          <t>O003435</t>
        </is>
      </c>
      <c r="B1467" s="2" t="inlineStr">
        <is>
          <t>2025-04-19</t>
        </is>
      </c>
      <c r="C1467" s="2" t="inlineStr">
        <is>
          <t>C0221</t>
        </is>
      </c>
      <c r="D1467" s="2" t="inlineStr">
        <is>
          <t>P0011</t>
        </is>
      </c>
      <c r="E1467" s="2" t="inlineStr">
        <is>
          <t>Cookware Set</t>
        </is>
      </c>
      <c r="F1467" s="2" t="inlineStr">
        <is>
          <t>Home &amp; Kitchen</t>
        </is>
      </c>
      <c r="G1467" s="2" t="inlineStr">
        <is>
          <t>South</t>
        </is>
      </c>
      <c r="H1467" s="2" t="inlineStr">
        <is>
          <t>Tamil Nadu</t>
        </is>
      </c>
      <c r="I1467" s="2" t="inlineStr">
        <is>
          <t>Chennai</t>
        </is>
      </c>
      <c r="J1467" s="2" t="inlineStr">
        <is>
          <t>Online</t>
        </is>
      </c>
      <c r="K1467" s="2" t="n">
        <v>5</v>
      </c>
      <c r="L1467" s="3" t="n">
        <v>729.1799999999999</v>
      </c>
      <c r="M1467" s="4" t="n">
        <v>0.1</v>
      </c>
      <c r="N1467" s="3" t="n">
        <v>2415.07</v>
      </c>
      <c r="O1467" s="3">
        <f>K1467*L1467*(1-M1467)</f>
        <v/>
      </c>
      <c r="P1467" s="3">
        <f>O1467-N1467</f>
        <v/>
      </c>
      <c r="Q1467" s="5">
        <f>IFERROR(P1467/O1467,0)</f>
        <v/>
      </c>
      <c r="R1467" s="2">
        <f>TEXT(DATEVALUE(B1467),"mmm")</f>
        <v/>
      </c>
      <c r="S1467" s="2">
        <f>TEXT(DATEVALUE(B1467),"yyyy-mm")</f>
        <v/>
      </c>
    </row>
    <row r="1468">
      <c r="A1468" s="2" t="inlineStr">
        <is>
          <t>O004501</t>
        </is>
      </c>
      <c r="B1468" s="2" t="inlineStr">
        <is>
          <t>2025-04-19</t>
        </is>
      </c>
      <c r="C1468" s="2" t="inlineStr">
        <is>
          <t>C0684</t>
        </is>
      </c>
      <c r="D1468" s="2" t="inlineStr">
        <is>
          <t>P0011</t>
        </is>
      </c>
      <c r="E1468" s="2" t="inlineStr">
        <is>
          <t>Cookware Set</t>
        </is>
      </c>
      <c r="F1468" s="2" t="inlineStr">
        <is>
          <t>Home &amp; Kitchen</t>
        </is>
      </c>
      <c r="G1468" s="2" t="inlineStr">
        <is>
          <t>East</t>
        </is>
      </c>
      <c r="H1468" s="2" t="inlineStr">
        <is>
          <t>Bihar</t>
        </is>
      </c>
      <c r="I1468" s="2" t="inlineStr">
        <is>
          <t>Gaya</t>
        </is>
      </c>
      <c r="J1468" s="2" t="inlineStr">
        <is>
          <t>Online</t>
        </is>
      </c>
      <c r="K1468" s="2" t="n">
        <v>1</v>
      </c>
      <c r="L1468" s="3" t="n">
        <v>699.25</v>
      </c>
      <c r="M1468" s="4" t="n">
        <v>0</v>
      </c>
      <c r="N1468" s="3" t="n">
        <v>476.33</v>
      </c>
      <c r="O1468" s="3">
        <f>K1468*L1468*(1-M1468)</f>
        <v/>
      </c>
      <c r="P1468" s="3">
        <f>O1468-N1468</f>
        <v/>
      </c>
      <c r="Q1468" s="5">
        <f>IFERROR(P1468/O1468,0)</f>
        <v/>
      </c>
      <c r="R1468" s="2">
        <f>TEXT(DATEVALUE(B1468),"mmm")</f>
        <v/>
      </c>
      <c r="S1468" s="2">
        <f>TEXT(DATEVALUE(B1468),"yyyy-mm")</f>
        <v/>
      </c>
    </row>
    <row r="1469">
      <c r="A1469" s="2" t="inlineStr">
        <is>
          <t>O004212</t>
        </is>
      </c>
      <c r="B1469" s="2" t="inlineStr">
        <is>
          <t>2025-04-19</t>
        </is>
      </c>
      <c r="C1469" s="2" t="inlineStr">
        <is>
          <t>C0394</t>
        </is>
      </c>
      <c r="D1469" s="2" t="inlineStr">
        <is>
          <t>P0007</t>
        </is>
      </c>
      <c r="E1469" s="2" t="inlineStr">
        <is>
          <t>Wireless Mouse</t>
        </is>
      </c>
      <c r="F1469" s="2" t="inlineStr">
        <is>
          <t>Electronics</t>
        </is>
      </c>
      <c r="G1469" s="2" t="inlineStr">
        <is>
          <t>South</t>
        </is>
      </c>
      <c r="H1469" s="2" t="inlineStr">
        <is>
          <t>Telangana</t>
        </is>
      </c>
      <c r="I1469" s="2" t="inlineStr">
        <is>
          <t>Hyderabad</t>
        </is>
      </c>
      <c r="J1469" s="2" t="inlineStr">
        <is>
          <t>Online</t>
        </is>
      </c>
      <c r="K1469" s="2" t="n">
        <v>2</v>
      </c>
      <c r="L1469" s="3" t="n">
        <v>1005.55</v>
      </c>
      <c r="M1469" s="4" t="n">
        <v>0.15</v>
      </c>
      <c r="N1469" s="3" t="n">
        <v>1264.51</v>
      </c>
      <c r="O1469" s="3">
        <f>K1469*L1469*(1-M1469)</f>
        <v/>
      </c>
      <c r="P1469" s="3">
        <f>O1469-N1469</f>
        <v/>
      </c>
      <c r="Q1469" s="5">
        <f>IFERROR(P1469/O1469,0)</f>
        <v/>
      </c>
      <c r="R1469" s="2">
        <f>TEXT(DATEVALUE(B1469),"mmm")</f>
        <v/>
      </c>
      <c r="S1469" s="2">
        <f>TEXT(DATEVALUE(B1469),"yyyy-mm")</f>
        <v/>
      </c>
    </row>
    <row r="1470">
      <c r="A1470" s="2" t="inlineStr">
        <is>
          <t>O004088</t>
        </is>
      </c>
      <c r="B1470" s="2" t="inlineStr">
        <is>
          <t>2025-04-19</t>
        </is>
      </c>
      <c r="C1470" s="2" t="inlineStr">
        <is>
          <t>C0296</t>
        </is>
      </c>
      <c r="D1470" s="2" t="inlineStr">
        <is>
          <t>P0026</t>
        </is>
      </c>
      <c r="E1470" s="2" t="inlineStr">
        <is>
          <t>Shampoo</t>
        </is>
      </c>
      <c r="F1470" s="2" t="inlineStr">
        <is>
          <t>Beauty</t>
        </is>
      </c>
      <c r="G1470" s="2" t="inlineStr">
        <is>
          <t>West</t>
        </is>
      </c>
      <c r="H1470" s="2" t="inlineStr">
        <is>
          <t>Gujarat</t>
        </is>
      </c>
      <c r="I1470" s="2" t="inlineStr">
        <is>
          <t>Vadodara</t>
        </is>
      </c>
      <c r="J1470" s="2" t="inlineStr">
        <is>
          <t>Online</t>
        </is>
      </c>
      <c r="K1470" s="2" t="n">
        <v>1</v>
      </c>
      <c r="L1470" s="3" t="n">
        <v>910.22</v>
      </c>
      <c r="M1470" s="4" t="n">
        <v>0.05</v>
      </c>
      <c r="N1470" s="3" t="n">
        <v>510.08</v>
      </c>
      <c r="O1470" s="3">
        <f>K1470*L1470*(1-M1470)</f>
        <v/>
      </c>
      <c r="P1470" s="3">
        <f>O1470-N1470</f>
        <v/>
      </c>
      <c r="Q1470" s="5">
        <f>IFERROR(P1470/O1470,0)</f>
        <v/>
      </c>
      <c r="R1470" s="2">
        <f>TEXT(DATEVALUE(B1470),"mmm")</f>
        <v/>
      </c>
      <c r="S1470" s="2">
        <f>TEXT(DATEVALUE(B1470),"yyyy-mm")</f>
        <v/>
      </c>
    </row>
    <row r="1471">
      <c r="A1471" s="2" t="inlineStr">
        <is>
          <t>O004074</t>
        </is>
      </c>
      <c r="B1471" s="2" t="inlineStr">
        <is>
          <t>2025-04-19</t>
        </is>
      </c>
      <c r="C1471" s="2" t="inlineStr">
        <is>
          <t>C0119</t>
        </is>
      </c>
      <c r="D1471" s="2" t="inlineStr">
        <is>
          <t>P0035</t>
        </is>
      </c>
      <c r="E1471" s="2" t="inlineStr">
        <is>
          <t>Skipping Rope</t>
        </is>
      </c>
      <c r="F1471" s="2" t="inlineStr">
        <is>
          <t>Sports</t>
        </is>
      </c>
      <c r="G1471" s="2" t="inlineStr">
        <is>
          <t>West</t>
        </is>
      </c>
      <c r="H1471" s="2" t="inlineStr">
        <is>
          <t>Gujarat</t>
        </is>
      </c>
      <c r="I1471" s="2" t="inlineStr">
        <is>
          <t>Surat</t>
        </is>
      </c>
      <c r="J1471" s="2" t="inlineStr">
        <is>
          <t>Store</t>
        </is>
      </c>
      <c r="K1471" s="2" t="n">
        <v>2</v>
      </c>
      <c r="L1471" s="3" t="n">
        <v>692.4</v>
      </c>
      <c r="M1471" s="4" t="n">
        <v>0.05</v>
      </c>
      <c r="N1471" s="3" t="n">
        <v>800.2</v>
      </c>
      <c r="O1471" s="3">
        <f>K1471*L1471*(1-M1471)</f>
        <v/>
      </c>
      <c r="P1471" s="3">
        <f>O1471-N1471</f>
        <v/>
      </c>
      <c r="Q1471" s="5">
        <f>IFERROR(P1471/O1471,0)</f>
        <v/>
      </c>
      <c r="R1471" s="2">
        <f>TEXT(DATEVALUE(B1471),"mmm")</f>
        <v/>
      </c>
      <c r="S1471" s="2">
        <f>TEXT(DATEVALUE(B1471),"yyyy-mm")</f>
        <v/>
      </c>
    </row>
    <row r="1472">
      <c r="A1472" s="2" t="inlineStr">
        <is>
          <t>O003760</t>
        </is>
      </c>
      <c r="B1472" s="2" t="inlineStr">
        <is>
          <t>2025-04-19</t>
        </is>
      </c>
      <c r="C1472" s="2" t="inlineStr">
        <is>
          <t>C0635</t>
        </is>
      </c>
      <c r="D1472" s="2" t="inlineStr">
        <is>
          <t>P0007</t>
        </is>
      </c>
      <c r="E1472" s="2" t="inlineStr">
        <is>
          <t>Wireless Mouse</t>
        </is>
      </c>
      <c r="F1472" s="2" t="inlineStr">
        <is>
          <t>Electronics</t>
        </is>
      </c>
      <c r="G1472" s="2" t="inlineStr">
        <is>
          <t>West</t>
        </is>
      </c>
      <c r="H1472" s="2" t="inlineStr">
        <is>
          <t>Goa</t>
        </is>
      </c>
      <c r="I1472" s="2" t="inlineStr">
        <is>
          <t>Panaji</t>
        </is>
      </c>
      <c r="J1472" s="2" t="inlineStr">
        <is>
          <t>Online</t>
        </is>
      </c>
      <c r="K1472" s="2" t="n">
        <v>2</v>
      </c>
      <c r="L1472" s="3" t="n">
        <v>943.05</v>
      </c>
      <c r="M1472" s="4" t="n">
        <v>0.1</v>
      </c>
      <c r="N1472" s="3" t="n">
        <v>1277.42</v>
      </c>
      <c r="O1472" s="3">
        <f>K1472*L1472*(1-M1472)</f>
        <v/>
      </c>
      <c r="P1472" s="3">
        <f>O1472-N1472</f>
        <v/>
      </c>
      <c r="Q1472" s="5">
        <f>IFERROR(P1472/O1472,0)</f>
        <v/>
      </c>
      <c r="R1472" s="2">
        <f>TEXT(DATEVALUE(B1472),"mmm")</f>
        <v/>
      </c>
      <c r="S1472" s="2">
        <f>TEXT(DATEVALUE(B1472),"yyyy-mm")</f>
        <v/>
      </c>
    </row>
    <row r="1473">
      <c r="A1473" s="2" t="inlineStr">
        <is>
          <t>O003449</t>
        </is>
      </c>
      <c r="B1473" s="2" t="inlineStr">
        <is>
          <t>2025-04-19</t>
        </is>
      </c>
      <c r="C1473" s="2" t="inlineStr">
        <is>
          <t>C0395</t>
        </is>
      </c>
      <c r="D1473" s="2" t="inlineStr">
        <is>
          <t>P0011</t>
        </is>
      </c>
      <c r="E1473" s="2" t="inlineStr">
        <is>
          <t>Cookware Set</t>
        </is>
      </c>
      <c r="F1473" s="2" t="inlineStr">
        <is>
          <t>Home &amp; Kitchen</t>
        </is>
      </c>
      <c r="G1473" s="2" t="inlineStr">
        <is>
          <t>South</t>
        </is>
      </c>
      <c r="H1473" s="2" t="inlineStr">
        <is>
          <t>Tamil Nadu</t>
        </is>
      </c>
      <c r="I1473" s="2" t="inlineStr">
        <is>
          <t>Chennai</t>
        </is>
      </c>
      <c r="J1473" s="2" t="inlineStr">
        <is>
          <t>Store</t>
        </is>
      </c>
      <c r="K1473" s="2" t="n">
        <v>2</v>
      </c>
      <c r="L1473" s="3" t="n">
        <v>722.26</v>
      </c>
      <c r="M1473" s="4" t="n">
        <v>0</v>
      </c>
      <c r="N1473" s="3" t="n">
        <v>976</v>
      </c>
      <c r="O1473" s="3">
        <f>K1473*L1473*(1-M1473)</f>
        <v/>
      </c>
      <c r="P1473" s="3">
        <f>O1473-N1473</f>
        <v/>
      </c>
      <c r="Q1473" s="5">
        <f>IFERROR(P1473/O1473,0)</f>
        <v/>
      </c>
      <c r="R1473" s="2">
        <f>TEXT(DATEVALUE(B1473),"mmm")</f>
        <v/>
      </c>
      <c r="S1473" s="2">
        <f>TEXT(DATEVALUE(B1473),"yyyy-mm")</f>
        <v/>
      </c>
    </row>
    <row r="1474">
      <c r="A1474" s="2" t="inlineStr">
        <is>
          <t>O003282</t>
        </is>
      </c>
      <c r="B1474" s="2" t="inlineStr">
        <is>
          <t>2025-04-19</t>
        </is>
      </c>
      <c r="C1474" s="2" t="inlineStr">
        <is>
          <t>C0004</t>
        </is>
      </c>
      <c r="D1474" s="2" t="inlineStr">
        <is>
          <t>P0021</t>
        </is>
      </c>
      <c r="E1474" s="2" t="inlineStr">
        <is>
          <t>Wallet</t>
        </is>
      </c>
      <c r="F1474" s="2" t="inlineStr">
        <is>
          <t>Fashion</t>
        </is>
      </c>
      <c r="G1474" s="2" t="inlineStr">
        <is>
          <t>West</t>
        </is>
      </c>
      <c r="H1474" s="2" t="inlineStr">
        <is>
          <t>Maharashtra</t>
        </is>
      </c>
      <c r="I1474" s="2" t="inlineStr">
        <is>
          <t>Nagpur</t>
        </is>
      </c>
      <c r="J1474" s="2" t="inlineStr">
        <is>
          <t>Store</t>
        </is>
      </c>
      <c r="K1474" s="2" t="n">
        <v>5</v>
      </c>
      <c r="L1474" s="3" t="n">
        <v>1948.54</v>
      </c>
      <c r="M1474" s="4" t="n">
        <v>0.05</v>
      </c>
      <c r="N1474" s="3" t="n">
        <v>6178.7</v>
      </c>
      <c r="O1474" s="3">
        <f>K1474*L1474*(1-M1474)</f>
        <v/>
      </c>
      <c r="P1474" s="3">
        <f>O1474-N1474</f>
        <v/>
      </c>
      <c r="Q1474" s="5">
        <f>IFERROR(P1474/O1474,0)</f>
        <v/>
      </c>
      <c r="R1474" s="2">
        <f>TEXT(DATEVALUE(B1474),"mmm")</f>
        <v/>
      </c>
      <c r="S1474" s="2">
        <f>TEXT(DATEVALUE(B1474),"yyyy-mm")</f>
        <v/>
      </c>
    </row>
    <row r="1475">
      <c r="A1475" s="2" t="inlineStr">
        <is>
          <t>O004539</t>
        </is>
      </c>
      <c r="B1475" s="2" t="inlineStr">
        <is>
          <t>2025-04-19</t>
        </is>
      </c>
      <c r="C1475" s="2" t="inlineStr">
        <is>
          <t>C0512</t>
        </is>
      </c>
      <c r="D1475" s="2" t="inlineStr">
        <is>
          <t>P0010</t>
        </is>
      </c>
      <c r="E1475" s="2" t="inlineStr">
        <is>
          <t>Mixer Grinder</t>
        </is>
      </c>
      <c r="F1475" s="2" t="inlineStr">
        <is>
          <t>Home &amp; Kitchen</t>
        </is>
      </c>
      <c r="G1475" s="2" t="inlineStr">
        <is>
          <t>North</t>
        </is>
      </c>
      <c r="H1475" s="2" t="inlineStr">
        <is>
          <t>Uttar Pradesh</t>
        </is>
      </c>
      <c r="I1475" s="2" t="inlineStr">
        <is>
          <t>Varanasi</t>
        </is>
      </c>
      <c r="J1475" s="2" t="inlineStr">
        <is>
          <t>Store</t>
        </is>
      </c>
      <c r="K1475" s="2" t="n">
        <v>4</v>
      </c>
      <c r="L1475" s="3" t="n">
        <v>1637.25</v>
      </c>
      <c r="M1475" s="4" t="n">
        <v>0</v>
      </c>
      <c r="N1475" s="3" t="n">
        <v>4223.45</v>
      </c>
      <c r="O1475" s="3">
        <f>K1475*L1475*(1-M1475)</f>
        <v/>
      </c>
      <c r="P1475" s="3">
        <f>O1475-N1475</f>
        <v/>
      </c>
      <c r="Q1475" s="5">
        <f>IFERROR(P1475/O1475,0)</f>
        <v/>
      </c>
      <c r="R1475" s="2">
        <f>TEXT(DATEVALUE(B1475),"mmm")</f>
        <v/>
      </c>
      <c r="S1475" s="2">
        <f>TEXT(DATEVALUE(B1475),"yyyy-mm")</f>
        <v/>
      </c>
    </row>
    <row r="1476">
      <c r="A1476" s="2" t="inlineStr">
        <is>
          <t>O003005</t>
        </is>
      </c>
      <c r="B1476" s="2" t="inlineStr">
        <is>
          <t>2025-04-19</t>
        </is>
      </c>
      <c r="C1476" s="2" t="inlineStr">
        <is>
          <t>C0495</t>
        </is>
      </c>
      <c r="D1476" s="2" t="inlineStr">
        <is>
          <t>P0004</t>
        </is>
      </c>
      <c r="E1476" s="2" t="inlineStr">
        <is>
          <t>USB-C Hub</t>
        </is>
      </c>
      <c r="F1476" s="2" t="inlineStr">
        <is>
          <t>Electronics</t>
        </is>
      </c>
      <c r="G1476" s="2" t="inlineStr">
        <is>
          <t>North</t>
        </is>
      </c>
      <c r="H1476" s="2" t="inlineStr">
        <is>
          <t>Delhi</t>
        </is>
      </c>
      <c r="I1476" s="2" t="inlineStr">
        <is>
          <t>New Delhi</t>
        </is>
      </c>
      <c r="J1476" s="2" t="inlineStr">
        <is>
          <t>Store</t>
        </is>
      </c>
      <c r="K1476" s="2" t="n">
        <v>2</v>
      </c>
      <c r="L1476" s="3" t="n">
        <v>1211.74</v>
      </c>
      <c r="M1476" s="4" t="n">
        <v>0.05</v>
      </c>
      <c r="N1476" s="3" t="n">
        <v>1886.49</v>
      </c>
      <c r="O1476" s="3">
        <f>K1476*L1476*(1-M1476)</f>
        <v/>
      </c>
      <c r="P1476" s="3">
        <f>O1476-N1476</f>
        <v/>
      </c>
      <c r="Q1476" s="5">
        <f>IFERROR(P1476/O1476,0)</f>
        <v/>
      </c>
      <c r="R1476" s="2">
        <f>TEXT(DATEVALUE(B1476),"mmm")</f>
        <v/>
      </c>
      <c r="S1476" s="2">
        <f>TEXT(DATEVALUE(B1476),"yyyy-mm")</f>
        <v/>
      </c>
    </row>
    <row r="1477">
      <c r="A1477" s="2" t="inlineStr">
        <is>
          <t>O002750</t>
        </is>
      </c>
      <c r="B1477" s="2" t="inlineStr">
        <is>
          <t>2025-04-19</t>
        </is>
      </c>
      <c r="C1477" s="2" t="inlineStr">
        <is>
          <t>C0249</t>
        </is>
      </c>
      <c r="D1477" s="2" t="inlineStr">
        <is>
          <t>P0010</t>
        </is>
      </c>
      <c r="E1477" s="2" t="inlineStr">
        <is>
          <t>Mixer Grinder</t>
        </is>
      </c>
      <c r="F1477" s="2" t="inlineStr">
        <is>
          <t>Home &amp; Kitchen</t>
        </is>
      </c>
      <c r="G1477" s="2" t="inlineStr">
        <is>
          <t>West</t>
        </is>
      </c>
      <c r="H1477" s="2" t="inlineStr">
        <is>
          <t>Maharashtra</t>
        </is>
      </c>
      <c r="I1477" s="2" t="inlineStr">
        <is>
          <t>Mumbai</t>
        </is>
      </c>
      <c r="J1477" s="2" t="inlineStr">
        <is>
          <t>Online</t>
        </is>
      </c>
      <c r="K1477" s="2" t="n">
        <v>1</v>
      </c>
      <c r="L1477" s="3" t="n">
        <v>1636.78</v>
      </c>
      <c r="M1477" s="4" t="n">
        <v>0</v>
      </c>
      <c r="N1477" s="3" t="n">
        <v>1080.65</v>
      </c>
      <c r="O1477" s="3">
        <f>K1477*L1477*(1-M1477)</f>
        <v/>
      </c>
      <c r="P1477" s="3">
        <f>O1477-N1477</f>
        <v/>
      </c>
      <c r="Q1477" s="5">
        <f>IFERROR(P1477/O1477,0)</f>
        <v/>
      </c>
      <c r="R1477" s="2">
        <f>TEXT(DATEVALUE(B1477),"mmm")</f>
        <v/>
      </c>
      <c r="S1477" s="2">
        <f>TEXT(DATEVALUE(B1477),"yyyy-mm")</f>
        <v/>
      </c>
    </row>
    <row r="1478">
      <c r="A1478" s="2" t="inlineStr">
        <is>
          <t>O002549</t>
        </is>
      </c>
      <c r="B1478" s="2" t="inlineStr">
        <is>
          <t>2025-04-19</t>
        </is>
      </c>
      <c r="C1478" s="2" t="inlineStr">
        <is>
          <t>C0443</t>
        </is>
      </c>
      <c r="D1478" s="2" t="inlineStr">
        <is>
          <t>P0022</t>
        </is>
      </c>
      <c r="E1478" s="2" t="inlineStr">
        <is>
          <t>Face Wash</t>
        </is>
      </c>
      <c r="F1478" s="2" t="inlineStr">
        <is>
          <t>Beauty</t>
        </is>
      </c>
      <c r="G1478" s="2" t="inlineStr">
        <is>
          <t>West</t>
        </is>
      </c>
      <c r="H1478" s="2" t="inlineStr">
        <is>
          <t>Maharashtra</t>
        </is>
      </c>
      <c r="I1478" s="2" t="inlineStr">
        <is>
          <t>Pune</t>
        </is>
      </c>
      <c r="J1478" s="2" t="inlineStr">
        <is>
          <t>Store</t>
        </is>
      </c>
      <c r="K1478" s="2" t="n">
        <v>2</v>
      </c>
      <c r="L1478" s="3" t="n">
        <v>553.37</v>
      </c>
      <c r="M1478" s="4" t="n">
        <v>0.15</v>
      </c>
      <c r="N1478" s="3" t="n">
        <v>727.8099999999999</v>
      </c>
      <c r="O1478" s="3">
        <f>K1478*L1478*(1-M1478)</f>
        <v/>
      </c>
      <c r="P1478" s="3">
        <f>O1478-N1478</f>
        <v/>
      </c>
      <c r="Q1478" s="5">
        <f>IFERROR(P1478/O1478,0)</f>
        <v/>
      </c>
      <c r="R1478" s="2">
        <f>TEXT(DATEVALUE(B1478),"mmm")</f>
        <v/>
      </c>
      <c r="S1478" s="2">
        <f>TEXT(DATEVALUE(B1478),"yyyy-mm")</f>
        <v/>
      </c>
    </row>
    <row r="1479">
      <c r="A1479" s="2" t="inlineStr">
        <is>
          <t>O002267</t>
        </is>
      </c>
      <c r="B1479" s="2" t="inlineStr">
        <is>
          <t>2025-04-19</t>
        </is>
      </c>
      <c r="C1479" s="2" t="inlineStr">
        <is>
          <t>C0705</t>
        </is>
      </c>
      <c r="D1479" s="2" t="inlineStr">
        <is>
          <t>P0022</t>
        </is>
      </c>
      <c r="E1479" s="2" t="inlineStr">
        <is>
          <t>Face Wash</t>
        </is>
      </c>
      <c r="F1479" s="2" t="inlineStr">
        <is>
          <t>Beauty</t>
        </is>
      </c>
      <c r="G1479" s="2" t="inlineStr">
        <is>
          <t>West</t>
        </is>
      </c>
      <c r="H1479" s="2" t="inlineStr">
        <is>
          <t>Goa</t>
        </is>
      </c>
      <c r="I1479" s="2" t="inlineStr">
        <is>
          <t>Margao</t>
        </is>
      </c>
      <c r="J1479" s="2" t="inlineStr">
        <is>
          <t>Online</t>
        </is>
      </c>
      <c r="K1479" s="2" t="n">
        <v>5</v>
      </c>
      <c r="L1479" s="3" t="n">
        <v>547.71</v>
      </c>
      <c r="M1479" s="4" t="n">
        <v>0.1</v>
      </c>
      <c r="N1479" s="3" t="n">
        <v>1783.14</v>
      </c>
      <c r="O1479" s="3">
        <f>K1479*L1479*(1-M1479)</f>
        <v/>
      </c>
      <c r="P1479" s="3">
        <f>O1479-N1479</f>
        <v/>
      </c>
      <c r="Q1479" s="5">
        <f>IFERROR(P1479/O1479,0)</f>
        <v/>
      </c>
      <c r="R1479" s="2">
        <f>TEXT(DATEVALUE(B1479),"mmm")</f>
        <v/>
      </c>
      <c r="S1479" s="2">
        <f>TEXT(DATEVALUE(B1479),"yyyy-mm")</f>
        <v/>
      </c>
    </row>
    <row r="1480">
      <c r="A1480" s="2" t="inlineStr">
        <is>
          <t>O001332</t>
        </is>
      </c>
      <c r="B1480" s="2" t="inlineStr">
        <is>
          <t>2025-04-19</t>
        </is>
      </c>
      <c r="C1480" s="2" t="inlineStr">
        <is>
          <t>C0294</t>
        </is>
      </c>
      <c r="D1480" s="2" t="inlineStr">
        <is>
          <t>P0007</t>
        </is>
      </c>
      <c r="E1480" s="2" t="inlineStr">
        <is>
          <t>Wireless Mouse</t>
        </is>
      </c>
      <c r="F1480" s="2" t="inlineStr">
        <is>
          <t>Electronics</t>
        </is>
      </c>
      <c r="G1480" s="2" t="inlineStr">
        <is>
          <t>South</t>
        </is>
      </c>
      <c r="H1480" s="2" t="inlineStr">
        <is>
          <t>Karnataka</t>
        </is>
      </c>
      <c r="I1480" s="2" t="inlineStr">
        <is>
          <t>Mysuru</t>
        </is>
      </c>
      <c r="J1480" s="2" t="inlineStr">
        <is>
          <t>Online</t>
        </is>
      </c>
      <c r="K1480" s="2" t="n">
        <v>1</v>
      </c>
      <c r="L1480" s="3" t="n">
        <v>998.38</v>
      </c>
      <c r="M1480" s="4" t="n">
        <v>0.15</v>
      </c>
      <c r="N1480" s="3" t="n">
        <v>625.16</v>
      </c>
      <c r="O1480" s="3">
        <f>K1480*L1480*(1-M1480)</f>
        <v/>
      </c>
      <c r="P1480" s="3">
        <f>O1480-N1480</f>
        <v/>
      </c>
      <c r="Q1480" s="5">
        <f>IFERROR(P1480/O1480,0)</f>
        <v/>
      </c>
      <c r="R1480" s="2">
        <f>TEXT(DATEVALUE(B1480),"mmm")</f>
        <v/>
      </c>
      <c r="S1480" s="2">
        <f>TEXT(DATEVALUE(B1480),"yyyy-mm")</f>
        <v/>
      </c>
    </row>
    <row r="1481">
      <c r="A1481" s="2" t="inlineStr">
        <is>
          <t>O000923</t>
        </is>
      </c>
      <c r="B1481" s="2" t="inlineStr">
        <is>
          <t>2025-04-19</t>
        </is>
      </c>
      <c r="C1481" s="2" t="inlineStr">
        <is>
          <t>C0497</t>
        </is>
      </c>
      <c r="D1481" s="2" t="inlineStr">
        <is>
          <t>P0006</t>
        </is>
      </c>
      <c r="E1481" s="2" t="inlineStr">
        <is>
          <t>Mechanical Keyboard</t>
        </is>
      </c>
      <c r="F1481" s="2" t="inlineStr">
        <is>
          <t>Electronics</t>
        </is>
      </c>
      <c r="G1481" s="2" t="inlineStr">
        <is>
          <t>North</t>
        </is>
      </c>
      <c r="H1481" s="2" t="inlineStr">
        <is>
          <t>Delhi</t>
        </is>
      </c>
      <c r="I1481" s="2" t="inlineStr">
        <is>
          <t>New Delhi</t>
        </is>
      </c>
      <c r="J1481" s="2" t="inlineStr">
        <is>
          <t>Store</t>
        </is>
      </c>
      <c r="K1481" s="2" t="n">
        <v>5</v>
      </c>
      <c r="L1481" s="3" t="n">
        <v>2755.39</v>
      </c>
      <c r="M1481" s="4" t="n">
        <v>0.1</v>
      </c>
      <c r="N1481" s="3" t="n">
        <v>7395.44</v>
      </c>
      <c r="O1481" s="3">
        <f>K1481*L1481*(1-M1481)</f>
        <v/>
      </c>
      <c r="P1481" s="3">
        <f>O1481-N1481</f>
        <v/>
      </c>
      <c r="Q1481" s="5">
        <f>IFERROR(P1481/O1481,0)</f>
        <v/>
      </c>
      <c r="R1481" s="2">
        <f>TEXT(DATEVALUE(B1481),"mmm")</f>
        <v/>
      </c>
      <c r="S1481" s="2">
        <f>TEXT(DATEVALUE(B1481),"yyyy-mm")</f>
        <v/>
      </c>
    </row>
    <row r="1482">
      <c r="A1482" s="2" t="inlineStr">
        <is>
          <t>O000587</t>
        </is>
      </c>
      <c r="B1482" s="2" t="inlineStr">
        <is>
          <t>2025-04-19</t>
        </is>
      </c>
      <c r="C1482" s="2" t="inlineStr">
        <is>
          <t>C0172</t>
        </is>
      </c>
      <c r="D1482" s="2" t="inlineStr">
        <is>
          <t>P0011</t>
        </is>
      </c>
      <c r="E1482" s="2" t="inlineStr">
        <is>
          <t>Cookware Set</t>
        </is>
      </c>
      <c r="F1482" s="2" t="inlineStr">
        <is>
          <t>Home &amp; Kitchen</t>
        </is>
      </c>
      <c r="G1482" s="2" t="inlineStr">
        <is>
          <t>East</t>
        </is>
      </c>
      <c r="H1482" s="2" t="inlineStr">
        <is>
          <t>Bihar</t>
        </is>
      </c>
      <c r="I1482" s="2" t="inlineStr">
        <is>
          <t>Gaya</t>
        </is>
      </c>
      <c r="J1482" s="2" t="inlineStr">
        <is>
          <t>Online</t>
        </is>
      </c>
      <c r="K1482" s="2" t="n">
        <v>2</v>
      </c>
      <c r="L1482" s="3" t="n">
        <v>734.88</v>
      </c>
      <c r="M1482" s="4" t="n">
        <v>0.1</v>
      </c>
      <c r="N1482" s="3" t="n">
        <v>967.2</v>
      </c>
      <c r="O1482" s="3">
        <f>K1482*L1482*(1-M1482)</f>
        <v/>
      </c>
      <c r="P1482" s="3">
        <f>O1482-N1482</f>
        <v/>
      </c>
      <c r="Q1482" s="5">
        <f>IFERROR(P1482/O1482,0)</f>
        <v/>
      </c>
      <c r="R1482" s="2">
        <f>TEXT(DATEVALUE(B1482),"mmm")</f>
        <v/>
      </c>
      <c r="S1482" s="2">
        <f>TEXT(DATEVALUE(B1482),"yyyy-mm")</f>
        <v/>
      </c>
    </row>
    <row r="1483">
      <c r="A1483" s="2" t="inlineStr">
        <is>
          <t>O003229</t>
        </is>
      </c>
      <c r="B1483" s="2" t="inlineStr">
        <is>
          <t>2025-04-19</t>
        </is>
      </c>
      <c r="C1483" s="2" t="inlineStr">
        <is>
          <t>C0480</t>
        </is>
      </c>
      <c r="D1483" s="2" t="inlineStr">
        <is>
          <t>P0028</t>
        </is>
      </c>
      <c r="E1483" s="2" t="inlineStr">
        <is>
          <t>Trimmer</t>
        </is>
      </c>
      <c r="F1483" s="2" t="inlineStr">
        <is>
          <t>Beauty</t>
        </is>
      </c>
      <c r="G1483" s="2" t="inlineStr">
        <is>
          <t>South</t>
        </is>
      </c>
      <c r="H1483" s="2" t="inlineStr">
        <is>
          <t>Telangana</t>
        </is>
      </c>
      <c r="I1483" s="2" t="inlineStr">
        <is>
          <t>Warangal</t>
        </is>
      </c>
      <c r="J1483" s="2" t="inlineStr">
        <is>
          <t>Store</t>
        </is>
      </c>
      <c r="K1483" s="2" t="n">
        <v>3</v>
      </c>
      <c r="L1483" s="3" t="n">
        <v>472.13</v>
      </c>
      <c r="M1483" s="4" t="n">
        <v>0.1</v>
      </c>
      <c r="N1483" s="3" t="n">
        <v>736.67</v>
      </c>
      <c r="O1483" s="3">
        <f>K1483*L1483*(1-M1483)</f>
        <v/>
      </c>
      <c r="P1483" s="3">
        <f>O1483-N1483</f>
        <v/>
      </c>
      <c r="Q1483" s="5">
        <f>IFERROR(P1483/O1483,0)</f>
        <v/>
      </c>
      <c r="R1483" s="2">
        <f>TEXT(DATEVALUE(B1483),"mmm")</f>
        <v/>
      </c>
      <c r="S1483" s="2">
        <f>TEXT(DATEVALUE(B1483),"yyyy-mm")</f>
        <v/>
      </c>
    </row>
    <row r="1484">
      <c r="A1484" s="2" t="inlineStr">
        <is>
          <t>O004998</t>
        </is>
      </c>
      <c r="B1484" s="2" t="inlineStr">
        <is>
          <t>2025-04-20</t>
        </is>
      </c>
      <c r="C1484" s="2" t="inlineStr">
        <is>
          <t>C0454</t>
        </is>
      </c>
      <c r="D1484" s="2" t="inlineStr">
        <is>
          <t>P0009</t>
        </is>
      </c>
      <c r="E1484" s="2" t="inlineStr">
        <is>
          <t>Electric Kettle</t>
        </is>
      </c>
      <c r="F1484" s="2" t="inlineStr">
        <is>
          <t>Home &amp; Kitchen</t>
        </is>
      </c>
      <c r="G1484" s="2" t="inlineStr">
        <is>
          <t>North</t>
        </is>
      </c>
      <c r="H1484" s="2" t="inlineStr">
        <is>
          <t>Delhi</t>
        </is>
      </c>
      <c r="I1484" s="2" t="inlineStr">
        <is>
          <t>New Delhi</t>
        </is>
      </c>
      <c r="J1484" s="2" t="inlineStr">
        <is>
          <t>Online</t>
        </is>
      </c>
      <c r="K1484" s="2" t="n">
        <v>3</v>
      </c>
      <c r="L1484" s="3" t="n">
        <v>2155.18</v>
      </c>
      <c r="M1484" s="4" t="n">
        <v>0.1</v>
      </c>
      <c r="N1484" s="3" t="n">
        <v>3401.26</v>
      </c>
      <c r="O1484" s="3">
        <f>K1484*L1484*(1-M1484)</f>
        <v/>
      </c>
      <c r="P1484" s="3">
        <f>O1484-N1484</f>
        <v/>
      </c>
      <c r="Q1484" s="5">
        <f>IFERROR(P1484/O1484,0)</f>
        <v/>
      </c>
      <c r="R1484" s="2">
        <f>TEXT(DATEVALUE(B1484),"mmm")</f>
        <v/>
      </c>
      <c r="S1484" s="2">
        <f>TEXT(DATEVALUE(B1484),"yyyy-mm")</f>
        <v/>
      </c>
    </row>
    <row r="1485">
      <c r="A1485" s="2" t="inlineStr">
        <is>
          <t>O004776</t>
        </is>
      </c>
      <c r="B1485" s="2" t="inlineStr">
        <is>
          <t>2025-04-20</t>
        </is>
      </c>
      <c r="C1485" s="2" t="inlineStr">
        <is>
          <t>C0216</t>
        </is>
      </c>
      <c r="D1485" s="2" t="inlineStr">
        <is>
          <t>P0008</t>
        </is>
      </c>
      <c r="E1485" s="2" t="inlineStr">
        <is>
          <t>Air Fryer</t>
        </is>
      </c>
      <c r="F1485" s="2" t="inlineStr">
        <is>
          <t>Home &amp; Kitchen</t>
        </is>
      </c>
      <c r="G1485" s="2" t="inlineStr">
        <is>
          <t>West</t>
        </is>
      </c>
      <c r="H1485" s="2" t="inlineStr">
        <is>
          <t>Goa</t>
        </is>
      </c>
      <c r="I1485" s="2" t="inlineStr">
        <is>
          <t>Margao</t>
        </is>
      </c>
      <c r="J1485" s="2" t="inlineStr">
        <is>
          <t>Store</t>
        </is>
      </c>
      <c r="K1485" s="2" t="n">
        <v>1</v>
      </c>
      <c r="L1485" s="3" t="n">
        <v>1023.15</v>
      </c>
      <c r="M1485" s="4" t="n">
        <v>0.1</v>
      </c>
      <c r="N1485" s="3" t="n">
        <v>702.01</v>
      </c>
      <c r="O1485" s="3">
        <f>K1485*L1485*(1-M1485)</f>
        <v/>
      </c>
      <c r="P1485" s="3">
        <f>O1485-N1485</f>
        <v/>
      </c>
      <c r="Q1485" s="5">
        <f>IFERROR(P1485/O1485,0)</f>
        <v/>
      </c>
      <c r="R1485" s="2">
        <f>TEXT(DATEVALUE(B1485),"mmm")</f>
        <v/>
      </c>
      <c r="S1485" s="2">
        <f>TEXT(DATEVALUE(B1485),"yyyy-mm")</f>
        <v/>
      </c>
    </row>
    <row r="1486">
      <c r="A1486" s="2" t="inlineStr">
        <is>
          <t>O004867</t>
        </is>
      </c>
      <c r="B1486" s="2" t="inlineStr">
        <is>
          <t>2025-04-20</t>
        </is>
      </c>
      <c r="C1486" s="2" t="inlineStr">
        <is>
          <t>C0505</t>
        </is>
      </c>
      <c r="D1486" s="2" t="inlineStr">
        <is>
          <t>P0022</t>
        </is>
      </c>
      <c r="E1486" s="2" t="inlineStr">
        <is>
          <t>Face Wash</t>
        </is>
      </c>
      <c r="F1486" s="2" t="inlineStr">
        <is>
          <t>Beauty</t>
        </is>
      </c>
      <c r="G1486" s="2" t="inlineStr">
        <is>
          <t>South</t>
        </is>
      </c>
      <c r="H1486" s="2" t="inlineStr">
        <is>
          <t>Tamil Nadu</t>
        </is>
      </c>
      <c r="I1486" s="2" t="inlineStr">
        <is>
          <t>Madurai</t>
        </is>
      </c>
      <c r="J1486" s="2" t="inlineStr">
        <is>
          <t>Store</t>
        </is>
      </c>
      <c r="K1486" s="2" t="n">
        <v>2</v>
      </c>
      <c r="L1486" s="3" t="n">
        <v>570.04</v>
      </c>
      <c r="M1486" s="4" t="n">
        <v>0.05</v>
      </c>
      <c r="N1486" s="3" t="n">
        <v>701.5700000000001</v>
      </c>
      <c r="O1486" s="3">
        <f>K1486*L1486*(1-M1486)</f>
        <v/>
      </c>
      <c r="P1486" s="3">
        <f>O1486-N1486</f>
        <v/>
      </c>
      <c r="Q1486" s="5">
        <f>IFERROR(P1486/O1486,0)</f>
        <v/>
      </c>
      <c r="R1486" s="2">
        <f>TEXT(DATEVALUE(B1486),"mmm")</f>
        <v/>
      </c>
      <c r="S1486" s="2">
        <f>TEXT(DATEVALUE(B1486),"yyyy-mm")</f>
        <v/>
      </c>
    </row>
    <row r="1487">
      <c r="A1487" s="2" t="inlineStr">
        <is>
          <t>O004528</t>
        </is>
      </c>
      <c r="B1487" s="2" t="inlineStr">
        <is>
          <t>2025-04-20</t>
        </is>
      </c>
      <c r="C1487" s="2" t="inlineStr">
        <is>
          <t>C0789</t>
        </is>
      </c>
      <c r="D1487" s="2" t="inlineStr">
        <is>
          <t>P0011</t>
        </is>
      </c>
      <c r="E1487" s="2" t="inlineStr">
        <is>
          <t>Cookware Set</t>
        </is>
      </c>
      <c r="F1487" s="2" t="inlineStr">
        <is>
          <t>Home &amp; Kitchen</t>
        </is>
      </c>
      <c r="G1487" s="2" t="inlineStr">
        <is>
          <t>South</t>
        </is>
      </c>
      <c r="H1487" s="2" t="inlineStr">
        <is>
          <t>Karnataka</t>
        </is>
      </c>
      <c r="I1487" s="2" t="inlineStr">
        <is>
          <t>Mysuru</t>
        </is>
      </c>
      <c r="J1487" s="2" t="inlineStr">
        <is>
          <t>Store</t>
        </is>
      </c>
      <c r="K1487" s="2" t="n">
        <v>2</v>
      </c>
      <c r="L1487" s="3" t="n">
        <v>705.6799999999999</v>
      </c>
      <c r="M1487" s="4" t="n">
        <v>0.1</v>
      </c>
      <c r="N1487" s="3" t="n">
        <v>927.5</v>
      </c>
      <c r="O1487" s="3">
        <f>K1487*L1487*(1-M1487)</f>
        <v/>
      </c>
      <c r="P1487" s="3">
        <f>O1487-N1487</f>
        <v/>
      </c>
      <c r="Q1487" s="5">
        <f>IFERROR(P1487/O1487,0)</f>
        <v/>
      </c>
      <c r="R1487" s="2">
        <f>TEXT(DATEVALUE(B1487),"mmm")</f>
        <v/>
      </c>
      <c r="S1487" s="2">
        <f>TEXT(DATEVALUE(B1487),"yyyy-mm")</f>
        <v/>
      </c>
    </row>
    <row r="1488">
      <c r="A1488" s="2" t="inlineStr">
        <is>
          <t>O001162</t>
        </is>
      </c>
      <c r="B1488" s="2" t="inlineStr">
        <is>
          <t>2025-04-20</t>
        </is>
      </c>
      <c r="C1488" s="2" t="inlineStr">
        <is>
          <t>C0753</t>
        </is>
      </c>
      <c r="D1488" s="2" t="inlineStr">
        <is>
          <t>P0032</t>
        </is>
      </c>
      <c r="E1488" s="2" t="inlineStr">
        <is>
          <t>Football</t>
        </is>
      </c>
      <c r="F1488" s="2" t="inlineStr">
        <is>
          <t>Sports</t>
        </is>
      </c>
      <c r="G1488" s="2" t="inlineStr">
        <is>
          <t>South</t>
        </is>
      </c>
      <c r="H1488" s="2" t="inlineStr">
        <is>
          <t>Karnataka</t>
        </is>
      </c>
      <c r="I1488" s="2" t="inlineStr">
        <is>
          <t>Bengaluru</t>
        </is>
      </c>
      <c r="J1488" s="2" t="inlineStr">
        <is>
          <t>Online</t>
        </is>
      </c>
      <c r="K1488" s="2" t="n">
        <v>4</v>
      </c>
      <c r="L1488" s="3" t="n">
        <v>783.37</v>
      </c>
      <c r="M1488" s="4" t="n">
        <v>0.1</v>
      </c>
      <c r="N1488" s="3" t="n">
        <v>2061.52</v>
      </c>
      <c r="O1488" s="3">
        <f>K1488*L1488*(1-M1488)</f>
        <v/>
      </c>
      <c r="P1488" s="3">
        <f>O1488-N1488</f>
        <v/>
      </c>
      <c r="Q1488" s="5">
        <f>IFERROR(P1488/O1488,0)</f>
        <v/>
      </c>
      <c r="R1488" s="2">
        <f>TEXT(DATEVALUE(B1488),"mmm")</f>
        <v/>
      </c>
      <c r="S1488" s="2">
        <f>TEXT(DATEVALUE(B1488),"yyyy-mm")</f>
        <v/>
      </c>
    </row>
    <row r="1489">
      <c r="A1489" s="2" t="inlineStr">
        <is>
          <t>O003121</t>
        </is>
      </c>
      <c r="B1489" s="2" t="inlineStr">
        <is>
          <t>2025-04-20</t>
        </is>
      </c>
      <c r="C1489" s="2" t="inlineStr">
        <is>
          <t>C0779</t>
        </is>
      </c>
      <c r="D1489" s="2" t="inlineStr">
        <is>
          <t>P0034</t>
        </is>
      </c>
      <c r="E1489" s="2" t="inlineStr">
        <is>
          <t>Gym Gloves</t>
        </is>
      </c>
      <c r="F1489" s="2" t="inlineStr">
        <is>
          <t>Sports</t>
        </is>
      </c>
      <c r="G1489" s="2" t="inlineStr">
        <is>
          <t>West</t>
        </is>
      </c>
      <c r="H1489" s="2" t="inlineStr">
        <is>
          <t>Gujarat</t>
        </is>
      </c>
      <c r="I1489" s="2" t="inlineStr">
        <is>
          <t>Surat</t>
        </is>
      </c>
      <c r="J1489" s="2" t="inlineStr">
        <is>
          <t>Online</t>
        </is>
      </c>
      <c r="K1489" s="2" t="n">
        <v>1</v>
      </c>
      <c r="L1489" s="3" t="n">
        <v>592.83</v>
      </c>
      <c r="M1489" s="4" t="n">
        <v>0</v>
      </c>
      <c r="N1489" s="3" t="n">
        <v>395.2</v>
      </c>
      <c r="O1489" s="3">
        <f>K1489*L1489*(1-M1489)</f>
        <v/>
      </c>
      <c r="P1489" s="3">
        <f>O1489-N1489</f>
        <v/>
      </c>
      <c r="Q1489" s="5">
        <f>IFERROR(P1489/O1489,0)</f>
        <v/>
      </c>
      <c r="R1489" s="2">
        <f>TEXT(DATEVALUE(B1489),"mmm")</f>
        <v/>
      </c>
      <c r="S1489" s="2">
        <f>TEXT(DATEVALUE(B1489),"yyyy-mm")</f>
        <v/>
      </c>
    </row>
    <row r="1490">
      <c r="A1490" s="2" t="inlineStr">
        <is>
          <t>O002402</t>
        </is>
      </c>
      <c r="B1490" s="2" t="inlineStr">
        <is>
          <t>2025-04-20</t>
        </is>
      </c>
      <c r="C1490" s="2" t="inlineStr">
        <is>
          <t>C0523</t>
        </is>
      </c>
      <c r="D1490" s="2" t="inlineStr">
        <is>
          <t>P0016</t>
        </is>
      </c>
      <c r="E1490" s="2" t="inlineStr">
        <is>
          <t>Casual Shirt</t>
        </is>
      </c>
      <c r="F1490" s="2" t="inlineStr">
        <is>
          <t>Fashion</t>
        </is>
      </c>
      <c r="G1490" s="2" t="inlineStr">
        <is>
          <t>North</t>
        </is>
      </c>
      <c r="H1490" s="2" t="inlineStr">
        <is>
          <t>Uttar Pradesh</t>
        </is>
      </c>
      <c r="I1490" s="2" t="inlineStr">
        <is>
          <t>Kanpur</t>
        </is>
      </c>
      <c r="J1490" s="2" t="inlineStr">
        <is>
          <t>Store</t>
        </is>
      </c>
      <c r="K1490" s="2" t="n">
        <v>2</v>
      </c>
      <c r="L1490" s="3" t="n">
        <v>1254.11</v>
      </c>
      <c r="M1490" s="4" t="n">
        <v>0.15</v>
      </c>
      <c r="N1490" s="3" t="n">
        <v>1781.45</v>
      </c>
      <c r="O1490" s="3">
        <f>K1490*L1490*(1-M1490)</f>
        <v/>
      </c>
      <c r="P1490" s="3">
        <f>O1490-N1490</f>
        <v/>
      </c>
      <c r="Q1490" s="5">
        <f>IFERROR(P1490/O1490,0)</f>
        <v/>
      </c>
      <c r="R1490" s="2">
        <f>TEXT(DATEVALUE(B1490),"mmm")</f>
        <v/>
      </c>
      <c r="S1490" s="2">
        <f>TEXT(DATEVALUE(B1490),"yyyy-mm")</f>
        <v/>
      </c>
    </row>
    <row r="1491">
      <c r="A1491" s="2" t="inlineStr">
        <is>
          <t>O002122</t>
        </is>
      </c>
      <c r="B1491" s="2" t="inlineStr">
        <is>
          <t>2025-04-20</t>
        </is>
      </c>
      <c r="C1491" s="2" t="inlineStr">
        <is>
          <t>C0568</t>
        </is>
      </c>
      <c r="D1491" s="2" t="inlineStr">
        <is>
          <t>P0004</t>
        </is>
      </c>
      <c r="E1491" s="2" t="inlineStr">
        <is>
          <t>USB-C Hub</t>
        </is>
      </c>
      <c r="F1491" s="2" t="inlineStr">
        <is>
          <t>Electronics</t>
        </is>
      </c>
      <c r="G1491" s="2" t="inlineStr">
        <is>
          <t>North</t>
        </is>
      </c>
      <c r="H1491" s="2" t="inlineStr">
        <is>
          <t>Delhi</t>
        </is>
      </c>
      <c r="I1491" s="2" t="inlineStr">
        <is>
          <t>New Delhi</t>
        </is>
      </c>
      <c r="J1491" s="2" t="inlineStr">
        <is>
          <t>Online</t>
        </is>
      </c>
      <c r="K1491" s="2" t="n">
        <v>2</v>
      </c>
      <c r="L1491" s="3" t="n">
        <v>1288.87</v>
      </c>
      <c r="M1491" s="4" t="n">
        <v>0.15</v>
      </c>
      <c r="N1491" s="3" t="n">
        <v>1892.03</v>
      </c>
      <c r="O1491" s="3">
        <f>K1491*L1491*(1-M1491)</f>
        <v/>
      </c>
      <c r="P1491" s="3">
        <f>O1491-N1491</f>
        <v/>
      </c>
      <c r="Q1491" s="5">
        <f>IFERROR(P1491/O1491,0)</f>
        <v/>
      </c>
      <c r="R1491" s="2">
        <f>TEXT(DATEVALUE(B1491),"mmm")</f>
        <v/>
      </c>
      <c r="S1491" s="2">
        <f>TEXT(DATEVALUE(B1491),"yyyy-mm")</f>
        <v/>
      </c>
    </row>
    <row r="1492">
      <c r="A1492" s="2" t="inlineStr">
        <is>
          <t>O003156</t>
        </is>
      </c>
      <c r="B1492" s="2" t="inlineStr">
        <is>
          <t>2025-04-20</t>
        </is>
      </c>
      <c r="C1492" s="2" t="inlineStr">
        <is>
          <t>C0213</t>
        </is>
      </c>
      <c r="D1492" s="2" t="inlineStr">
        <is>
          <t>P0004</t>
        </is>
      </c>
      <c r="E1492" s="2" t="inlineStr">
        <is>
          <t>USB-C Hub</t>
        </is>
      </c>
      <c r="F1492" s="2" t="inlineStr">
        <is>
          <t>Electronics</t>
        </is>
      </c>
      <c r="G1492" s="2" t="inlineStr">
        <is>
          <t>North</t>
        </is>
      </c>
      <c r="H1492" s="2" t="inlineStr">
        <is>
          <t>Uttar Pradesh</t>
        </is>
      </c>
      <c r="I1492" s="2" t="inlineStr">
        <is>
          <t>Kanpur</t>
        </is>
      </c>
      <c r="J1492" s="2" t="inlineStr">
        <is>
          <t>Online</t>
        </is>
      </c>
      <c r="K1492" s="2" t="n">
        <v>3</v>
      </c>
      <c r="L1492" s="3" t="n">
        <v>1230.67</v>
      </c>
      <c r="M1492" s="4" t="n">
        <v>0.1</v>
      </c>
      <c r="N1492" s="3" t="n">
        <v>2811.87</v>
      </c>
      <c r="O1492" s="3">
        <f>K1492*L1492*(1-M1492)</f>
        <v/>
      </c>
      <c r="P1492" s="3">
        <f>O1492-N1492</f>
        <v/>
      </c>
      <c r="Q1492" s="5">
        <f>IFERROR(P1492/O1492,0)</f>
        <v/>
      </c>
      <c r="R1492" s="2">
        <f>TEXT(DATEVALUE(B1492),"mmm")</f>
        <v/>
      </c>
      <c r="S1492" s="2">
        <f>TEXT(DATEVALUE(B1492),"yyyy-mm")</f>
        <v/>
      </c>
    </row>
    <row r="1493">
      <c r="A1493" s="2" t="inlineStr">
        <is>
          <t>O004410</t>
        </is>
      </c>
      <c r="B1493" s="2" t="inlineStr">
        <is>
          <t>2025-04-21</t>
        </is>
      </c>
      <c r="C1493" s="2" t="inlineStr">
        <is>
          <t>C0605</t>
        </is>
      </c>
      <c r="D1493" s="2" t="inlineStr">
        <is>
          <t>P0012</t>
        </is>
      </c>
      <c r="E1493" s="2" t="inlineStr">
        <is>
          <t>Water Bottle</t>
        </is>
      </c>
      <c r="F1493" s="2" t="inlineStr">
        <is>
          <t>Home &amp; Kitchen</t>
        </is>
      </c>
      <c r="G1493" s="2" t="inlineStr">
        <is>
          <t>South</t>
        </is>
      </c>
      <c r="H1493" s="2" t="inlineStr">
        <is>
          <t>Tamil Nadu</t>
        </is>
      </c>
      <c r="I1493" s="2" t="inlineStr">
        <is>
          <t>Chennai</t>
        </is>
      </c>
      <c r="J1493" s="2" t="inlineStr">
        <is>
          <t>Online</t>
        </is>
      </c>
      <c r="K1493" s="2" t="n">
        <v>3</v>
      </c>
      <c r="L1493" s="3" t="n">
        <v>1012.23</v>
      </c>
      <c r="M1493" s="4" t="n">
        <v>0.05</v>
      </c>
      <c r="N1493" s="3" t="n">
        <v>1877.29</v>
      </c>
      <c r="O1493" s="3">
        <f>K1493*L1493*(1-M1493)</f>
        <v/>
      </c>
      <c r="P1493" s="3">
        <f>O1493-N1493</f>
        <v/>
      </c>
      <c r="Q1493" s="5">
        <f>IFERROR(P1493/O1493,0)</f>
        <v/>
      </c>
      <c r="R1493" s="2">
        <f>TEXT(DATEVALUE(B1493),"mmm")</f>
        <v/>
      </c>
      <c r="S1493" s="2">
        <f>TEXT(DATEVALUE(B1493),"yyyy-mm")</f>
        <v/>
      </c>
    </row>
    <row r="1494">
      <c r="A1494" s="2" t="inlineStr">
        <is>
          <t>O004174</t>
        </is>
      </c>
      <c r="B1494" s="2" t="inlineStr">
        <is>
          <t>2025-04-21</t>
        </is>
      </c>
      <c r="C1494" s="2" t="inlineStr">
        <is>
          <t>C0390</t>
        </is>
      </c>
      <c r="D1494" s="2" t="inlineStr">
        <is>
          <t>P0018</t>
        </is>
      </c>
      <c r="E1494" s="2" t="inlineStr">
        <is>
          <t>Backpack</t>
        </is>
      </c>
      <c r="F1494" s="2" t="inlineStr">
        <is>
          <t>Fashion</t>
        </is>
      </c>
      <c r="G1494" s="2" t="inlineStr">
        <is>
          <t>North</t>
        </is>
      </c>
      <c r="H1494" s="2" t="inlineStr">
        <is>
          <t>Uttar Pradesh</t>
        </is>
      </c>
      <c r="I1494" s="2" t="inlineStr">
        <is>
          <t>Noida</t>
        </is>
      </c>
      <c r="J1494" s="2" t="inlineStr">
        <is>
          <t>Store</t>
        </is>
      </c>
      <c r="K1494" s="2" t="n">
        <v>6</v>
      </c>
      <c r="L1494" s="3" t="n">
        <v>1886.49</v>
      </c>
      <c r="M1494" s="4" t="n">
        <v>0.05</v>
      </c>
      <c r="N1494" s="3" t="n">
        <v>8073.52</v>
      </c>
      <c r="O1494" s="3">
        <f>K1494*L1494*(1-M1494)</f>
        <v/>
      </c>
      <c r="P1494" s="3">
        <f>O1494-N1494</f>
        <v/>
      </c>
      <c r="Q1494" s="5">
        <f>IFERROR(P1494/O1494,0)</f>
        <v/>
      </c>
      <c r="R1494" s="2">
        <f>TEXT(DATEVALUE(B1494),"mmm")</f>
        <v/>
      </c>
      <c r="S1494" s="2">
        <f>TEXT(DATEVALUE(B1494),"yyyy-mm")</f>
        <v/>
      </c>
    </row>
    <row r="1495">
      <c r="A1495" s="2" t="inlineStr">
        <is>
          <t>O003847</t>
        </is>
      </c>
      <c r="B1495" s="2" t="inlineStr">
        <is>
          <t>2025-04-21</t>
        </is>
      </c>
      <c r="C1495" s="2" t="inlineStr">
        <is>
          <t>C0208</t>
        </is>
      </c>
      <c r="D1495" s="2" t="inlineStr">
        <is>
          <t>P0011</t>
        </is>
      </c>
      <c r="E1495" s="2" t="inlineStr">
        <is>
          <t>Cookware Set</t>
        </is>
      </c>
      <c r="F1495" s="2" t="inlineStr">
        <is>
          <t>Home &amp; Kitchen</t>
        </is>
      </c>
      <c r="G1495" s="2" t="inlineStr">
        <is>
          <t>West</t>
        </is>
      </c>
      <c r="H1495" s="2" t="inlineStr">
        <is>
          <t>Goa</t>
        </is>
      </c>
      <c r="I1495" s="2" t="inlineStr">
        <is>
          <t>Panaji</t>
        </is>
      </c>
      <c r="J1495" s="2" t="inlineStr">
        <is>
          <t>Online</t>
        </is>
      </c>
      <c r="K1495" s="2" t="n">
        <v>2</v>
      </c>
      <c r="L1495" s="3" t="n">
        <v>704.33</v>
      </c>
      <c r="M1495" s="4" t="n">
        <v>0</v>
      </c>
      <c r="N1495" s="3" t="n">
        <v>964.03</v>
      </c>
      <c r="O1495" s="3">
        <f>K1495*L1495*(1-M1495)</f>
        <v/>
      </c>
      <c r="P1495" s="3">
        <f>O1495-N1495</f>
        <v/>
      </c>
      <c r="Q1495" s="5">
        <f>IFERROR(P1495/O1495,0)</f>
        <v/>
      </c>
      <c r="R1495" s="2">
        <f>TEXT(DATEVALUE(B1495),"mmm")</f>
        <v/>
      </c>
      <c r="S1495" s="2">
        <f>TEXT(DATEVALUE(B1495),"yyyy-mm")</f>
        <v/>
      </c>
    </row>
    <row r="1496">
      <c r="A1496" s="2" t="inlineStr">
        <is>
          <t>O003803</t>
        </is>
      </c>
      <c r="B1496" s="2" t="inlineStr">
        <is>
          <t>2025-04-21</t>
        </is>
      </c>
      <c r="C1496" s="2" t="inlineStr">
        <is>
          <t>C0717</t>
        </is>
      </c>
      <c r="D1496" s="2" t="inlineStr">
        <is>
          <t>P0021</t>
        </is>
      </c>
      <c r="E1496" s="2" t="inlineStr">
        <is>
          <t>Wallet</t>
        </is>
      </c>
      <c r="F1496" s="2" t="inlineStr">
        <is>
          <t>Fashion</t>
        </is>
      </c>
      <c r="G1496" s="2" t="inlineStr">
        <is>
          <t>South</t>
        </is>
      </c>
      <c r="H1496" s="2" t="inlineStr">
        <is>
          <t>Telangana</t>
        </is>
      </c>
      <c r="I1496" s="2" t="inlineStr">
        <is>
          <t>Warangal</t>
        </is>
      </c>
      <c r="J1496" s="2" t="inlineStr">
        <is>
          <t>Online</t>
        </is>
      </c>
      <c r="K1496" s="2" t="n">
        <v>2</v>
      </c>
      <c r="L1496" s="3" t="n">
        <v>2066.87</v>
      </c>
      <c r="M1496" s="4" t="n">
        <v>0</v>
      </c>
      <c r="N1496" s="3" t="n">
        <v>2485.8</v>
      </c>
      <c r="O1496" s="3">
        <f>K1496*L1496*(1-M1496)</f>
        <v/>
      </c>
      <c r="P1496" s="3">
        <f>O1496-N1496</f>
        <v/>
      </c>
      <c r="Q1496" s="5">
        <f>IFERROR(P1496/O1496,0)</f>
        <v/>
      </c>
      <c r="R1496" s="2">
        <f>TEXT(DATEVALUE(B1496),"mmm")</f>
        <v/>
      </c>
      <c r="S1496" s="2">
        <f>TEXT(DATEVALUE(B1496),"yyyy-mm")</f>
        <v/>
      </c>
    </row>
    <row r="1497">
      <c r="A1497" s="2" t="inlineStr">
        <is>
          <t>O003624</t>
        </is>
      </c>
      <c r="B1497" s="2" t="inlineStr">
        <is>
          <t>2025-04-21</t>
        </is>
      </c>
      <c r="C1497" s="2" t="inlineStr">
        <is>
          <t>C0705</t>
        </is>
      </c>
      <c r="D1497" s="2" t="inlineStr">
        <is>
          <t>P0011</t>
        </is>
      </c>
      <c r="E1497" s="2" t="inlineStr">
        <is>
          <t>Cookware Set</t>
        </is>
      </c>
      <c r="F1497" s="2" t="inlineStr">
        <is>
          <t>Home &amp; Kitchen</t>
        </is>
      </c>
      <c r="G1497" s="2" t="inlineStr">
        <is>
          <t>West</t>
        </is>
      </c>
      <c r="H1497" s="2" t="inlineStr">
        <is>
          <t>Maharashtra</t>
        </is>
      </c>
      <c r="I1497" s="2" t="inlineStr">
        <is>
          <t>Mumbai</t>
        </is>
      </c>
      <c r="J1497" s="2" t="inlineStr">
        <is>
          <t>Store</t>
        </is>
      </c>
      <c r="K1497" s="2" t="n">
        <v>5</v>
      </c>
      <c r="L1497" s="3" t="n">
        <v>700.7</v>
      </c>
      <c r="M1497" s="4" t="n">
        <v>0.05</v>
      </c>
      <c r="N1497" s="3" t="n">
        <v>2397.31</v>
      </c>
      <c r="O1497" s="3">
        <f>K1497*L1497*(1-M1497)</f>
        <v/>
      </c>
      <c r="P1497" s="3">
        <f>O1497-N1497</f>
        <v/>
      </c>
      <c r="Q1497" s="5">
        <f>IFERROR(P1497/O1497,0)</f>
        <v/>
      </c>
      <c r="R1497" s="2">
        <f>TEXT(DATEVALUE(B1497),"mmm")</f>
        <v/>
      </c>
      <c r="S1497" s="2">
        <f>TEXT(DATEVALUE(B1497),"yyyy-mm")</f>
        <v/>
      </c>
    </row>
    <row r="1498">
      <c r="A1498" s="2" t="inlineStr">
        <is>
          <t>O003461</t>
        </is>
      </c>
      <c r="B1498" s="2" t="inlineStr">
        <is>
          <t>2025-04-21</t>
        </is>
      </c>
      <c r="C1498" s="2" t="inlineStr">
        <is>
          <t>C0298</t>
        </is>
      </c>
      <c r="D1498" s="2" t="inlineStr">
        <is>
          <t>P0002</t>
        </is>
      </c>
      <c r="E1498" s="2" t="inlineStr">
        <is>
          <t>Bluetooth Speaker</t>
        </is>
      </c>
      <c r="F1498" s="2" t="inlineStr">
        <is>
          <t>Electronics</t>
        </is>
      </c>
      <c r="G1498" s="2" t="inlineStr">
        <is>
          <t>South</t>
        </is>
      </c>
      <c r="H1498" s="2" t="inlineStr">
        <is>
          <t>Telangana</t>
        </is>
      </c>
      <c r="I1498" s="2" t="inlineStr">
        <is>
          <t>Hyderabad</t>
        </is>
      </c>
      <c r="J1498" s="2" t="inlineStr">
        <is>
          <t>Store</t>
        </is>
      </c>
      <c r="K1498" s="2" t="n">
        <v>1</v>
      </c>
      <c r="L1498" s="3" t="n">
        <v>1386.1</v>
      </c>
      <c r="M1498" s="4" t="n">
        <v>0</v>
      </c>
      <c r="N1498" s="3" t="n">
        <v>814.4299999999999</v>
      </c>
      <c r="O1498" s="3">
        <f>K1498*L1498*(1-M1498)</f>
        <v/>
      </c>
      <c r="P1498" s="3">
        <f>O1498-N1498</f>
        <v/>
      </c>
      <c r="Q1498" s="5">
        <f>IFERROR(P1498/O1498,0)</f>
        <v/>
      </c>
      <c r="R1498" s="2">
        <f>TEXT(DATEVALUE(B1498),"mmm")</f>
        <v/>
      </c>
      <c r="S1498" s="2">
        <f>TEXT(DATEVALUE(B1498),"yyyy-mm")</f>
        <v/>
      </c>
    </row>
    <row r="1499">
      <c r="A1499" s="2" t="inlineStr">
        <is>
          <t>O002710</t>
        </is>
      </c>
      <c r="B1499" s="2" t="inlineStr">
        <is>
          <t>2025-04-21</t>
        </is>
      </c>
      <c r="C1499" s="2" t="inlineStr">
        <is>
          <t>C0213</t>
        </is>
      </c>
      <c r="D1499" s="2" t="inlineStr">
        <is>
          <t>P0033</t>
        </is>
      </c>
      <c r="E1499" s="2" t="inlineStr">
        <is>
          <t>Resistance Bands</t>
        </is>
      </c>
      <c r="F1499" s="2" t="inlineStr">
        <is>
          <t>Sports</t>
        </is>
      </c>
      <c r="G1499" s="2" t="inlineStr">
        <is>
          <t>West</t>
        </is>
      </c>
      <c r="H1499" s="2" t="inlineStr">
        <is>
          <t>Gujarat</t>
        </is>
      </c>
      <c r="I1499" s="2" t="inlineStr">
        <is>
          <t>Ahmedabad</t>
        </is>
      </c>
      <c r="J1499" s="2" t="inlineStr">
        <is>
          <t>Online</t>
        </is>
      </c>
      <c r="K1499" s="2" t="n">
        <v>1</v>
      </c>
      <c r="L1499" s="3" t="n">
        <v>1097.06</v>
      </c>
      <c r="M1499" s="4" t="n">
        <v>0.05</v>
      </c>
      <c r="N1499" s="3" t="n">
        <v>751.36</v>
      </c>
      <c r="O1499" s="3">
        <f>K1499*L1499*(1-M1499)</f>
        <v/>
      </c>
      <c r="P1499" s="3">
        <f>O1499-N1499</f>
        <v/>
      </c>
      <c r="Q1499" s="5">
        <f>IFERROR(P1499/O1499,0)</f>
        <v/>
      </c>
      <c r="R1499" s="2">
        <f>TEXT(DATEVALUE(B1499),"mmm")</f>
        <v/>
      </c>
      <c r="S1499" s="2">
        <f>TEXT(DATEVALUE(B1499),"yyyy-mm")</f>
        <v/>
      </c>
    </row>
    <row r="1500">
      <c r="A1500" s="2" t="inlineStr">
        <is>
          <t>O002669</t>
        </is>
      </c>
      <c r="B1500" s="2" t="inlineStr">
        <is>
          <t>2025-04-21</t>
        </is>
      </c>
      <c r="C1500" s="2" t="inlineStr">
        <is>
          <t>C0519</t>
        </is>
      </c>
      <c r="D1500" s="2" t="inlineStr">
        <is>
          <t>P0010</t>
        </is>
      </c>
      <c r="E1500" s="2" t="inlineStr">
        <is>
          <t>Mixer Grinder</t>
        </is>
      </c>
      <c r="F1500" s="2" t="inlineStr">
        <is>
          <t>Home &amp; Kitchen</t>
        </is>
      </c>
      <c r="G1500" s="2" t="inlineStr">
        <is>
          <t>East</t>
        </is>
      </c>
      <c r="H1500" s="2" t="inlineStr">
        <is>
          <t>Odisha</t>
        </is>
      </c>
      <c r="I1500" s="2" t="inlineStr">
        <is>
          <t>Cuttack</t>
        </is>
      </c>
      <c r="J1500" s="2" t="inlineStr">
        <is>
          <t>Store</t>
        </is>
      </c>
      <c r="K1500" s="2" t="n">
        <v>1</v>
      </c>
      <c r="L1500" s="3" t="n">
        <v>1680.64</v>
      </c>
      <c r="M1500" s="4" t="n">
        <v>0.05</v>
      </c>
      <c r="N1500" s="3" t="n">
        <v>1041.97</v>
      </c>
      <c r="O1500" s="3">
        <f>K1500*L1500*(1-M1500)</f>
        <v/>
      </c>
      <c r="P1500" s="3">
        <f>O1500-N1500</f>
        <v/>
      </c>
      <c r="Q1500" s="5">
        <f>IFERROR(P1500/O1500,0)</f>
        <v/>
      </c>
      <c r="R1500" s="2">
        <f>TEXT(DATEVALUE(B1500),"mmm")</f>
        <v/>
      </c>
      <c r="S1500" s="2">
        <f>TEXT(DATEVALUE(B1500),"yyyy-mm")</f>
        <v/>
      </c>
    </row>
    <row r="1501">
      <c r="A1501" s="2" t="inlineStr">
        <is>
          <t>O001955</t>
        </is>
      </c>
      <c r="B1501" s="2" t="inlineStr">
        <is>
          <t>2025-04-21</t>
        </is>
      </c>
      <c r="C1501" s="2" t="inlineStr">
        <is>
          <t>C0347</t>
        </is>
      </c>
      <c r="D1501" s="2" t="inlineStr">
        <is>
          <t>P0009</t>
        </is>
      </c>
      <c r="E1501" s="2" t="inlineStr">
        <is>
          <t>Electric Kettle</t>
        </is>
      </c>
      <c r="F1501" s="2" t="inlineStr">
        <is>
          <t>Home &amp; Kitchen</t>
        </is>
      </c>
      <c r="G1501" s="2" t="inlineStr">
        <is>
          <t>West</t>
        </is>
      </c>
      <c r="H1501" s="2" t="inlineStr">
        <is>
          <t>Gujarat</t>
        </is>
      </c>
      <c r="I1501" s="2" t="inlineStr">
        <is>
          <t>Vadodara</t>
        </is>
      </c>
      <c r="J1501" s="2" t="inlineStr">
        <is>
          <t>Store</t>
        </is>
      </c>
      <c r="K1501" s="2" t="n">
        <v>1</v>
      </c>
      <c r="L1501" s="3" t="n">
        <v>2102.54</v>
      </c>
      <c r="M1501" s="4" t="n">
        <v>0.2</v>
      </c>
      <c r="N1501" s="3" t="n">
        <v>1133.45</v>
      </c>
      <c r="O1501" s="3">
        <f>K1501*L1501*(1-M1501)</f>
        <v/>
      </c>
      <c r="P1501" s="3">
        <f>O1501-N1501</f>
        <v/>
      </c>
      <c r="Q1501" s="5">
        <f>IFERROR(P1501/O1501,0)</f>
        <v/>
      </c>
      <c r="R1501" s="2">
        <f>TEXT(DATEVALUE(B1501),"mmm")</f>
        <v/>
      </c>
      <c r="S1501" s="2">
        <f>TEXT(DATEVALUE(B1501),"yyyy-mm")</f>
        <v/>
      </c>
    </row>
    <row r="1502">
      <c r="A1502" s="2" t="inlineStr">
        <is>
          <t>O002570</t>
        </is>
      </c>
      <c r="B1502" s="2" t="inlineStr">
        <is>
          <t>2025-04-21</t>
        </is>
      </c>
      <c r="C1502" s="2" t="inlineStr">
        <is>
          <t>C0775</t>
        </is>
      </c>
      <c r="D1502" s="2" t="inlineStr">
        <is>
          <t>P0025</t>
        </is>
      </c>
      <c r="E1502" s="2" t="inlineStr">
        <is>
          <t>Perfume</t>
        </is>
      </c>
      <c r="F1502" s="2" t="inlineStr">
        <is>
          <t>Beauty</t>
        </is>
      </c>
      <c r="G1502" s="2" t="inlineStr">
        <is>
          <t>West</t>
        </is>
      </c>
      <c r="H1502" s="2" t="inlineStr">
        <is>
          <t>Goa</t>
        </is>
      </c>
      <c r="I1502" s="2" t="inlineStr">
        <is>
          <t>Margao</t>
        </is>
      </c>
      <c r="J1502" s="2" t="inlineStr">
        <is>
          <t>Online</t>
        </is>
      </c>
      <c r="K1502" s="2" t="n">
        <v>1</v>
      </c>
      <c r="L1502" s="3" t="n">
        <v>833.46</v>
      </c>
      <c r="M1502" s="4" t="n">
        <v>0.15</v>
      </c>
      <c r="N1502" s="3" t="n">
        <v>610.98</v>
      </c>
      <c r="O1502" s="3">
        <f>K1502*L1502*(1-M1502)</f>
        <v/>
      </c>
      <c r="P1502" s="3">
        <f>O1502-N1502</f>
        <v/>
      </c>
      <c r="Q1502" s="5">
        <f>IFERROR(P1502/O1502,0)</f>
        <v/>
      </c>
      <c r="R1502" s="2">
        <f>TEXT(DATEVALUE(B1502),"mmm")</f>
        <v/>
      </c>
      <c r="S1502" s="2">
        <f>TEXT(DATEVALUE(B1502),"yyyy-mm")</f>
        <v/>
      </c>
    </row>
    <row r="1503">
      <c r="A1503" s="2" t="inlineStr">
        <is>
          <t>O001390</t>
        </is>
      </c>
      <c r="B1503" s="2" t="inlineStr">
        <is>
          <t>2025-04-21</t>
        </is>
      </c>
      <c r="C1503" s="2" t="inlineStr">
        <is>
          <t>C0055</t>
        </is>
      </c>
      <c r="D1503" s="2" t="inlineStr">
        <is>
          <t>P0012</t>
        </is>
      </c>
      <c r="E1503" s="2" t="inlineStr">
        <is>
          <t>Water Bottle</t>
        </is>
      </c>
      <c r="F1503" s="2" t="inlineStr">
        <is>
          <t>Home &amp; Kitchen</t>
        </is>
      </c>
      <c r="G1503" s="2" t="inlineStr">
        <is>
          <t>North</t>
        </is>
      </c>
      <c r="H1503" s="2" t="inlineStr">
        <is>
          <t>Uttar Pradesh</t>
        </is>
      </c>
      <c r="I1503" s="2" t="inlineStr">
        <is>
          <t>Kanpur</t>
        </is>
      </c>
      <c r="J1503" s="2" t="inlineStr">
        <is>
          <t>Online</t>
        </is>
      </c>
      <c r="K1503" s="2" t="n">
        <v>2</v>
      </c>
      <c r="L1503" s="3" t="n">
        <v>950.5</v>
      </c>
      <c r="M1503" s="4" t="n">
        <v>0.2</v>
      </c>
      <c r="N1503" s="3" t="n">
        <v>1285.83</v>
      </c>
      <c r="O1503" s="3">
        <f>K1503*L1503*(1-M1503)</f>
        <v/>
      </c>
      <c r="P1503" s="3">
        <f>O1503-N1503</f>
        <v/>
      </c>
      <c r="Q1503" s="5">
        <f>IFERROR(P1503/O1503,0)</f>
        <v/>
      </c>
      <c r="R1503" s="2">
        <f>TEXT(DATEVALUE(B1503),"mmm")</f>
        <v/>
      </c>
      <c r="S1503" s="2">
        <f>TEXT(DATEVALUE(B1503),"yyyy-mm")</f>
        <v/>
      </c>
    </row>
    <row r="1504">
      <c r="A1504" s="2" t="inlineStr">
        <is>
          <t>O001139</t>
        </is>
      </c>
      <c r="B1504" s="2" t="inlineStr">
        <is>
          <t>2025-04-21</t>
        </is>
      </c>
      <c r="C1504" s="2" t="inlineStr">
        <is>
          <t>C0057</t>
        </is>
      </c>
      <c r="D1504" s="2" t="inlineStr">
        <is>
          <t>P0013</t>
        </is>
      </c>
      <c r="E1504" s="2" t="inlineStr">
        <is>
          <t>Storage Organizer</t>
        </is>
      </c>
      <c r="F1504" s="2" t="inlineStr">
        <is>
          <t>Home &amp; Kitchen</t>
        </is>
      </c>
      <c r="G1504" s="2" t="inlineStr">
        <is>
          <t>North</t>
        </is>
      </c>
      <c r="H1504" s="2" t="inlineStr">
        <is>
          <t>Delhi</t>
        </is>
      </c>
      <c r="I1504" s="2" t="inlineStr">
        <is>
          <t>New Delhi</t>
        </is>
      </c>
      <c r="J1504" s="2" t="inlineStr">
        <is>
          <t>Store</t>
        </is>
      </c>
      <c r="K1504" s="2" t="n">
        <v>2</v>
      </c>
      <c r="L1504" s="3" t="n">
        <v>566.54</v>
      </c>
      <c r="M1504" s="4" t="n">
        <v>0.15</v>
      </c>
      <c r="N1504" s="3" t="n">
        <v>722.12</v>
      </c>
      <c r="O1504" s="3">
        <f>K1504*L1504*(1-M1504)</f>
        <v/>
      </c>
      <c r="P1504" s="3">
        <f>O1504-N1504</f>
        <v/>
      </c>
      <c r="Q1504" s="5">
        <f>IFERROR(P1504/O1504,0)</f>
        <v/>
      </c>
      <c r="R1504" s="2">
        <f>TEXT(DATEVALUE(B1504),"mmm")</f>
        <v/>
      </c>
      <c r="S1504" s="2">
        <f>TEXT(DATEVALUE(B1504),"yyyy-mm")</f>
        <v/>
      </c>
    </row>
    <row r="1505">
      <c r="A1505" s="2" t="inlineStr">
        <is>
          <t>O001079</t>
        </is>
      </c>
      <c r="B1505" s="2" t="inlineStr">
        <is>
          <t>2025-04-21</t>
        </is>
      </c>
      <c r="C1505" s="2" t="inlineStr">
        <is>
          <t>C0104</t>
        </is>
      </c>
      <c r="D1505" s="2" t="inlineStr">
        <is>
          <t>P0007</t>
        </is>
      </c>
      <c r="E1505" s="2" t="inlineStr">
        <is>
          <t>Wireless Mouse</t>
        </is>
      </c>
      <c r="F1505" s="2" t="inlineStr">
        <is>
          <t>Electronics</t>
        </is>
      </c>
      <c r="G1505" s="2" t="inlineStr">
        <is>
          <t>West</t>
        </is>
      </c>
      <c r="H1505" s="2" t="inlineStr">
        <is>
          <t>Maharashtra</t>
        </is>
      </c>
      <c r="I1505" s="2" t="inlineStr">
        <is>
          <t>Thane</t>
        </is>
      </c>
      <c r="J1505" s="2" t="inlineStr">
        <is>
          <t>Online</t>
        </is>
      </c>
      <c r="K1505" s="2" t="n">
        <v>4</v>
      </c>
      <c r="L1505" s="3" t="n">
        <v>988.41</v>
      </c>
      <c r="M1505" s="4" t="n">
        <v>0.05</v>
      </c>
      <c r="N1505" s="3" t="n">
        <v>2559.8</v>
      </c>
      <c r="O1505" s="3">
        <f>K1505*L1505*(1-M1505)</f>
        <v/>
      </c>
      <c r="P1505" s="3">
        <f>O1505-N1505</f>
        <v/>
      </c>
      <c r="Q1505" s="5">
        <f>IFERROR(P1505/O1505,0)</f>
        <v/>
      </c>
      <c r="R1505" s="2">
        <f>TEXT(DATEVALUE(B1505),"mmm")</f>
        <v/>
      </c>
      <c r="S1505" s="2">
        <f>TEXT(DATEVALUE(B1505),"yyyy-mm")</f>
        <v/>
      </c>
    </row>
    <row r="1506">
      <c r="A1506" s="2" t="inlineStr">
        <is>
          <t>O000929</t>
        </is>
      </c>
      <c r="B1506" s="2" t="inlineStr">
        <is>
          <t>2025-04-21</t>
        </is>
      </c>
      <c r="C1506" s="2" t="inlineStr">
        <is>
          <t>C0563</t>
        </is>
      </c>
      <c r="D1506" s="2" t="inlineStr">
        <is>
          <t>P0024</t>
        </is>
      </c>
      <c r="E1506" s="2" t="inlineStr">
        <is>
          <t>Hair Dryer</t>
        </is>
      </c>
      <c r="F1506" s="2" t="inlineStr">
        <is>
          <t>Beauty</t>
        </is>
      </c>
      <c r="G1506" s="2" t="inlineStr">
        <is>
          <t>North</t>
        </is>
      </c>
      <c r="H1506" s="2" t="inlineStr">
        <is>
          <t>Uttar Pradesh</t>
        </is>
      </c>
      <c r="I1506" s="2" t="inlineStr">
        <is>
          <t>Varanasi</t>
        </is>
      </c>
      <c r="J1506" s="2" t="inlineStr">
        <is>
          <t>Online</t>
        </is>
      </c>
      <c r="K1506" s="2" t="n">
        <v>3</v>
      </c>
      <c r="L1506" s="3" t="n">
        <v>1005.17</v>
      </c>
      <c r="M1506" s="4" t="n">
        <v>0.15</v>
      </c>
      <c r="N1506" s="3" t="n">
        <v>2154.4</v>
      </c>
      <c r="O1506" s="3">
        <f>K1506*L1506*(1-M1506)</f>
        <v/>
      </c>
      <c r="P1506" s="3">
        <f>O1506-N1506</f>
        <v/>
      </c>
      <c r="Q1506" s="5">
        <f>IFERROR(P1506/O1506,0)</f>
        <v/>
      </c>
      <c r="R1506" s="2">
        <f>TEXT(DATEVALUE(B1506),"mmm")</f>
        <v/>
      </c>
      <c r="S1506" s="2">
        <f>TEXT(DATEVALUE(B1506),"yyyy-mm")</f>
        <v/>
      </c>
    </row>
    <row r="1507">
      <c r="A1507" s="2" t="inlineStr">
        <is>
          <t>O000927</t>
        </is>
      </c>
      <c r="B1507" s="2" t="inlineStr">
        <is>
          <t>2025-04-21</t>
        </is>
      </c>
      <c r="C1507" s="2" t="inlineStr">
        <is>
          <t>C0639</t>
        </is>
      </c>
      <c r="D1507" s="2" t="inlineStr">
        <is>
          <t>P0008</t>
        </is>
      </c>
      <c r="E1507" s="2" t="inlineStr">
        <is>
          <t>Air Fryer</t>
        </is>
      </c>
      <c r="F1507" s="2" t="inlineStr">
        <is>
          <t>Home &amp; Kitchen</t>
        </is>
      </c>
      <c r="G1507" s="2" t="inlineStr">
        <is>
          <t>West</t>
        </is>
      </c>
      <c r="H1507" s="2" t="inlineStr">
        <is>
          <t>Goa</t>
        </is>
      </c>
      <c r="I1507" s="2" t="inlineStr">
        <is>
          <t>Margao</t>
        </is>
      </c>
      <c r="J1507" s="2" t="inlineStr">
        <is>
          <t>Store</t>
        </is>
      </c>
      <c r="K1507" s="2" t="n">
        <v>1</v>
      </c>
      <c r="L1507" s="3" t="n">
        <v>1014.54</v>
      </c>
      <c r="M1507" s="4" t="n">
        <v>0.2</v>
      </c>
      <c r="N1507" s="3" t="n">
        <v>685.3200000000001</v>
      </c>
      <c r="O1507" s="3">
        <f>K1507*L1507*(1-M1507)</f>
        <v/>
      </c>
      <c r="P1507" s="3">
        <f>O1507-N1507</f>
        <v/>
      </c>
      <c r="Q1507" s="5">
        <f>IFERROR(P1507/O1507,0)</f>
        <v/>
      </c>
      <c r="R1507" s="2">
        <f>TEXT(DATEVALUE(B1507),"mmm")</f>
        <v/>
      </c>
      <c r="S1507" s="2">
        <f>TEXT(DATEVALUE(B1507),"yyyy-mm")</f>
        <v/>
      </c>
    </row>
    <row r="1508">
      <c r="A1508" s="2" t="inlineStr">
        <is>
          <t>O000925</t>
        </is>
      </c>
      <c r="B1508" s="2" t="inlineStr">
        <is>
          <t>2025-04-21</t>
        </is>
      </c>
      <c r="C1508" s="2" t="inlineStr">
        <is>
          <t>C0234</t>
        </is>
      </c>
      <c r="D1508" s="2" t="inlineStr">
        <is>
          <t>P0016</t>
        </is>
      </c>
      <c r="E1508" s="2" t="inlineStr">
        <is>
          <t>Casual Shirt</t>
        </is>
      </c>
      <c r="F1508" s="2" t="inlineStr">
        <is>
          <t>Fashion</t>
        </is>
      </c>
      <c r="G1508" s="2" t="inlineStr">
        <is>
          <t>North</t>
        </is>
      </c>
      <c r="H1508" s="2" t="inlineStr">
        <is>
          <t>Punjab</t>
        </is>
      </c>
      <c r="I1508" s="2" t="inlineStr">
        <is>
          <t>Jalandhar</t>
        </is>
      </c>
      <c r="J1508" s="2" t="inlineStr">
        <is>
          <t>Online</t>
        </is>
      </c>
      <c r="K1508" s="2" t="n">
        <v>1</v>
      </c>
      <c r="L1508" s="3" t="n">
        <v>1271.6</v>
      </c>
      <c r="M1508" s="4" t="n">
        <v>0.1</v>
      </c>
      <c r="N1508" s="3" t="n">
        <v>894.62</v>
      </c>
      <c r="O1508" s="3">
        <f>K1508*L1508*(1-M1508)</f>
        <v/>
      </c>
      <c r="P1508" s="3">
        <f>O1508-N1508</f>
        <v/>
      </c>
      <c r="Q1508" s="5">
        <f>IFERROR(P1508/O1508,0)</f>
        <v/>
      </c>
      <c r="R1508" s="2">
        <f>TEXT(DATEVALUE(B1508),"mmm")</f>
        <v/>
      </c>
      <c r="S1508" s="2">
        <f>TEXT(DATEVALUE(B1508),"yyyy-mm")</f>
        <v/>
      </c>
    </row>
    <row r="1509">
      <c r="A1509" s="2" t="inlineStr">
        <is>
          <t>O000897</t>
        </is>
      </c>
      <c r="B1509" s="2" t="inlineStr">
        <is>
          <t>2025-04-21</t>
        </is>
      </c>
      <c r="C1509" s="2" t="inlineStr">
        <is>
          <t>C0394</t>
        </is>
      </c>
      <c r="D1509" s="2" t="inlineStr">
        <is>
          <t>P0007</t>
        </is>
      </c>
      <c r="E1509" s="2" t="inlineStr">
        <is>
          <t>Wireless Mouse</t>
        </is>
      </c>
      <c r="F1509" s="2" t="inlineStr">
        <is>
          <t>Electronics</t>
        </is>
      </c>
      <c r="G1509" s="2" t="inlineStr">
        <is>
          <t>North</t>
        </is>
      </c>
      <c r="H1509" s="2" t="inlineStr">
        <is>
          <t>Uttar Pradesh</t>
        </is>
      </c>
      <c r="I1509" s="2" t="inlineStr">
        <is>
          <t>Kanpur</t>
        </is>
      </c>
      <c r="J1509" s="2" t="inlineStr">
        <is>
          <t>Online</t>
        </is>
      </c>
      <c r="K1509" s="2" t="n">
        <v>3</v>
      </c>
      <c r="L1509" s="3" t="n">
        <v>1025</v>
      </c>
      <c r="M1509" s="4" t="n">
        <v>0.05</v>
      </c>
      <c r="N1509" s="3" t="n">
        <v>1888.4</v>
      </c>
      <c r="O1509" s="3">
        <f>K1509*L1509*(1-M1509)</f>
        <v/>
      </c>
      <c r="P1509" s="3">
        <f>O1509-N1509</f>
        <v/>
      </c>
      <c r="Q1509" s="5">
        <f>IFERROR(P1509/O1509,0)</f>
        <v/>
      </c>
      <c r="R1509" s="2">
        <f>TEXT(DATEVALUE(B1509),"mmm")</f>
        <v/>
      </c>
      <c r="S1509" s="2">
        <f>TEXT(DATEVALUE(B1509),"yyyy-mm")</f>
        <v/>
      </c>
    </row>
    <row r="1510">
      <c r="A1510" s="2" t="inlineStr">
        <is>
          <t>O000823</t>
        </is>
      </c>
      <c r="B1510" s="2" t="inlineStr">
        <is>
          <t>2025-04-21</t>
        </is>
      </c>
      <c r="C1510" s="2" t="inlineStr">
        <is>
          <t>C0316</t>
        </is>
      </c>
      <c r="D1510" s="2" t="inlineStr">
        <is>
          <t>P0032</t>
        </is>
      </c>
      <c r="E1510" s="2" t="inlineStr">
        <is>
          <t>Football</t>
        </is>
      </c>
      <c r="F1510" s="2" t="inlineStr">
        <is>
          <t>Sports</t>
        </is>
      </c>
      <c r="G1510" s="2" t="inlineStr">
        <is>
          <t>North</t>
        </is>
      </c>
      <c r="H1510" s="2" t="inlineStr">
        <is>
          <t>Haryana</t>
        </is>
      </c>
      <c r="I1510" s="2" t="inlineStr">
        <is>
          <t>Gurugram</t>
        </is>
      </c>
      <c r="J1510" s="2" t="inlineStr">
        <is>
          <t>Online</t>
        </is>
      </c>
      <c r="K1510" s="2" t="n">
        <v>1</v>
      </c>
      <c r="L1510" s="3" t="n">
        <v>850.28</v>
      </c>
      <c r="M1510" s="4" t="n">
        <v>0.25</v>
      </c>
      <c r="N1510" s="3" t="n">
        <v>527.09</v>
      </c>
      <c r="O1510" s="3">
        <f>K1510*L1510*(1-M1510)</f>
        <v/>
      </c>
      <c r="P1510" s="3">
        <f>O1510-N1510</f>
        <v/>
      </c>
      <c r="Q1510" s="5">
        <f>IFERROR(P1510/O1510,0)</f>
        <v/>
      </c>
      <c r="R1510" s="2">
        <f>TEXT(DATEVALUE(B1510),"mmm")</f>
        <v/>
      </c>
      <c r="S1510" s="2">
        <f>TEXT(DATEVALUE(B1510),"yyyy-mm")</f>
        <v/>
      </c>
    </row>
    <row r="1511">
      <c r="A1511" s="2" t="inlineStr">
        <is>
          <t>O001858</t>
        </is>
      </c>
      <c r="B1511" s="2" t="inlineStr">
        <is>
          <t>2025-04-21</t>
        </is>
      </c>
      <c r="C1511" s="2" t="inlineStr">
        <is>
          <t>C0333</t>
        </is>
      </c>
      <c r="D1511" s="2" t="inlineStr">
        <is>
          <t>P0016</t>
        </is>
      </c>
      <c r="E1511" s="2" t="inlineStr">
        <is>
          <t>Casual Shirt</t>
        </is>
      </c>
      <c r="F1511" s="2" t="inlineStr">
        <is>
          <t>Fashion</t>
        </is>
      </c>
      <c r="G1511" s="2" t="inlineStr">
        <is>
          <t>West</t>
        </is>
      </c>
      <c r="H1511" s="2" t="inlineStr">
        <is>
          <t>Goa</t>
        </is>
      </c>
      <c r="I1511" s="2" t="inlineStr">
        <is>
          <t>Panaji</t>
        </is>
      </c>
      <c r="J1511" s="2" t="inlineStr">
        <is>
          <t>Store</t>
        </is>
      </c>
      <c r="K1511" s="2" t="n">
        <v>1</v>
      </c>
      <c r="L1511" s="3" t="n">
        <v>1318.94</v>
      </c>
      <c r="M1511" s="4" t="n">
        <v>0.2</v>
      </c>
      <c r="N1511" s="3" t="n">
        <v>904.41</v>
      </c>
      <c r="O1511" s="3">
        <f>K1511*L1511*(1-M1511)</f>
        <v/>
      </c>
      <c r="P1511" s="3">
        <f>O1511-N1511</f>
        <v/>
      </c>
      <c r="Q1511" s="5">
        <f>IFERROR(P1511/O1511,0)</f>
        <v/>
      </c>
      <c r="R1511" s="2">
        <f>TEXT(DATEVALUE(B1511),"mmm")</f>
        <v/>
      </c>
      <c r="S1511" s="2">
        <f>TEXT(DATEVALUE(B1511),"yyyy-mm")</f>
        <v/>
      </c>
    </row>
    <row r="1512">
      <c r="A1512" s="2" t="inlineStr">
        <is>
          <t>O002913</t>
        </is>
      </c>
      <c r="B1512" s="2" t="inlineStr">
        <is>
          <t>2025-04-22</t>
        </is>
      </c>
      <c r="C1512" s="2" t="inlineStr">
        <is>
          <t>C0208</t>
        </is>
      </c>
      <c r="D1512" s="2" t="inlineStr">
        <is>
          <t>P0023</t>
        </is>
      </c>
      <c r="E1512" s="2" t="inlineStr">
        <is>
          <t>Skin Care Kit</t>
        </is>
      </c>
      <c r="F1512" s="2" t="inlineStr">
        <is>
          <t>Beauty</t>
        </is>
      </c>
      <c r="G1512" s="2" t="inlineStr">
        <is>
          <t>West</t>
        </is>
      </c>
      <c r="H1512" s="2" t="inlineStr">
        <is>
          <t>Goa</t>
        </is>
      </c>
      <c r="I1512" s="2" t="inlineStr">
        <is>
          <t>Panaji</t>
        </is>
      </c>
      <c r="J1512" s="2" t="inlineStr">
        <is>
          <t>Store</t>
        </is>
      </c>
      <c r="K1512" s="2" t="n">
        <v>2</v>
      </c>
      <c r="L1512" s="3" t="n">
        <v>1385.41</v>
      </c>
      <c r="M1512" s="4" t="n">
        <v>0.05</v>
      </c>
      <c r="N1512" s="3" t="n">
        <v>1833.19</v>
      </c>
      <c r="O1512" s="3">
        <f>K1512*L1512*(1-M1512)</f>
        <v/>
      </c>
      <c r="P1512" s="3">
        <f>O1512-N1512</f>
        <v/>
      </c>
      <c r="Q1512" s="5">
        <f>IFERROR(P1512/O1512,0)</f>
        <v/>
      </c>
      <c r="R1512" s="2">
        <f>TEXT(DATEVALUE(B1512),"mmm")</f>
        <v/>
      </c>
      <c r="S1512" s="2">
        <f>TEXT(DATEVALUE(B1512),"yyyy-mm")</f>
        <v/>
      </c>
    </row>
    <row r="1513">
      <c r="A1513" s="2" t="inlineStr">
        <is>
          <t>O004909</t>
        </is>
      </c>
      <c r="B1513" s="2" t="inlineStr">
        <is>
          <t>2025-04-22</t>
        </is>
      </c>
      <c r="C1513" s="2" t="inlineStr">
        <is>
          <t>C0476</t>
        </is>
      </c>
      <c r="D1513" s="2" t="inlineStr">
        <is>
          <t>P0013</t>
        </is>
      </c>
      <c r="E1513" s="2" t="inlineStr">
        <is>
          <t>Storage Organizer</t>
        </is>
      </c>
      <c r="F1513" s="2" t="inlineStr">
        <is>
          <t>Home &amp; Kitchen</t>
        </is>
      </c>
      <c r="G1513" s="2" t="inlineStr">
        <is>
          <t>South</t>
        </is>
      </c>
      <c r="H1513" s="2" t="inlineStr">
        <is>
          <t>Tamil Nadu</t>
        </is>
      </c>
      <c r="I1513" s="2" t="inlineStr">
        <is>
          <t>Coimbatore</t>
        </is>
      </c>
      <c r="J1513" s="2" t="inlineStr">
        <is>
          <t>Online</t>
        </is>
      </c>
      <c r="K1513" s="2" t="n">
        <v>2</v>
      </c>
      <c r="L1513" s="3" t="n">
        <v>575.75</v>
      </c>
      <c r="M1513" s="4" t="n">
        <v>0.05</v>
      </c>
      <c r="N1513" s="3" t="n">
        <v>715.8099999999999</v>
      </c>
      <c r="O1513" s="3">
        <f>K1513*L1513*(1-M1513)</f>
        <v/>
      </c>
      <c r="P1513" s="3">
        <f>O1513-N1513</f>
        <v/>
      </c>
      <c r="Q1513" s="5">
        <f>IFERROR(P1513/O1513,0)</f>
        <v/>
      </c>
      <c r="R1513" s="2">
        <f>TEXT(DATEVALUE(B1513),"mmm")</f>
        <v/>
      </c>
      <c r="S1513" s="2">
        <f>TEXT(DATEVALUE(B1513),"yyyy-mm")</f>
        <v/>
      </c>
    </row>
    <row r="1514">
      <c r="A1514" s="2" t="inlineStr">
        <is>
          <t>O004147</t>
        </is>
      </c>
      <c r="B1514" s="2" t="inlineStr">
        <is>
          <t>2025-04-22</t>
        </is>
      </c>
      <c r="C1514" s="2" t="inlineStr">
        <is>
          <t>C0572</t>
        </is>
      </c>
      <c r="D1514" s="2" t="inlineStr">
        <is>
          <t>P0014</t>
        </is>
      </c>
      <c r="E1514" s="2" t="inlineStr">
        <is>
          <t>Coffee Maker</t>
        </is>
      </c>
      <c r="F1514" s="2" t="inlineStr">
        <is>
          <t>Home &amp; Kitchen</t>
        </is>
      </c>
      <c r="G1514" s="2" t="inlineStr">
        <is>
          <t>South</t>
        </is>
      </c>
      <c r="H1514" s="2" t="inlineStr">
        <is>
          <t>Tamil Nadu</t>
        </is>
      </c>
      <c r="I1514" s="2" t="inlineStr">
        <is>
          <t>Madurai</t>
        </is>
      </c>
      <c r="J1514" s="2" t="inlineStr">
        <is>
          <t>Store</t>
        </is>
      </c>
      <c r="K1514" s="2" t="n">
        <v>3</v>
      </c>
      <c r="L1514" s="3" t="n">
        <v>1048.37</v>
      </c>
      <c r="M1514" s="4" t="n">
        <v>0.1</v>
      </c>
      <c r="N1514" s="3" t="n">
        <v>2222.09</v>
      </c>
      <c r="O1514" s="3">
        <f>K1514*L1514*(1-M1514)</f>
        <v/>
      </c>
      <c r="P1514" s="3">
        <f>O1514-N1514</f>
        <v/>
      </c>
      <c r="Q1514" s="5">
        <f>IFERROR(P1514/O1514,0)</f>
        <v/>
      </c>
      <c r="R1514" s="2">
        <f>TEXT(DATEVALUE(B1514),"mmm")</f>
        <v/>
      </c>
      <c r="S1514" s="2">
        <f>TEXT(DATEVALUE(B1514),"yyyy-mm")</f>
        <v/>
      </c>
    </row>
    <row r="1515">
      <c r="A1515" s="2" t="inlineStr">
        <is>
          <t>O004092</t>
        </is>
      </c>
      <c r="B1515" s="2" t="inlineStr">
        <is>
          <t>2025-04-22</t>
        </is>
      </c>
      <c r="C1515" s="2" t="inlineStr">
        <is>
          <t>C0639</t>
        </is>
      </c>
      <c r="D1515" s="2" t="inlineStr">
        <is>
          <t>P0007</t>
        </is>
      </c>
      <c r="E1515" s="2" t="inlineStr">
        <is>
          <t>Wireless Mouse</t>
        </is>
      </c>
      <c r="F1515" s="2" t="inlineStr">
        <is>
          <t>Electronics</t>
        </is>
      </c>
      <c r="G1515" s="2" t="inlineStr">
        <is>
          <t>South</t>
        </is>
      </c>
      <c r="H1515" s="2" t="inlineStr">
        <is>
          <t>Karnataka</t>
        </is>
      </c>
      <c r="I1515" s="2" t="inlineStr">
        <is>
          <t>Mangaluru</t>
        </is>
      </c>
      <c r="J1515" s="2" t="inlineStr">
        <is>
          <t>Online</t>
        </is>
      </c>
      <c r="K1515" s="2" t="n">
        <v>1</v>
      </c>
      <c r="L1515" s="3" t="n">
        <v>985.71</v>
      </c>
      <c r="M1515" s="4" t="n">
        <v>0</v>
      </c>
      <c r="N1515" s="3" t="n">
        <v>610</v>
      </c>
      <c r="O1515" s="3">
        <f>K1515*L1515*(1-M1515)</f>
        <v/>
      </c>
      <c r="P1515" s="3">
        <f>O1515-N1515</f>
        <v/>
      </c>
      <c r="Q1515" s="5">
        <f>IFERROR(P1515/O1515,0)</f>
        <v/>
      </c>
      <c r="R1515" s="2">
        <f>TEXT(DATEVALUE(B1515),"mmm")</f>
        <v/>
      </c>
      <c r="S1515" s="2">
        <f>TEXT(DATEVALUE(B1515),"yyyy-mm")</f>
        <v/>
      </c>
    </row>
    <row r="1516">
      <c r="A1516" s="2" t="inlineStr">
        <is>
          <t>O003710</t>
        </is>
      </c>
      <c r="B1516" s="2" t="inlineStr">
        <is>
          <t>2025-04-22</t>
        </is>
      </c>
      <c r="C1516" s="2" t="inlineStr">
        <is>
          <t>C0589</t>
        </is>
      </c>
      <c r="D1516" s="2" t="inlineStr">
        <is>
          <t>P0024</t>
        </is>
      </c>
      <c r="E1516" s="2" t="inlineStr">
        <is>
          <t>Hair Dryer</t>
        </is>
      </c>
      <c r="F1516" s="2" t="inlineStr">
        <is>
          <t>Beauty</t>
        </is>
      </c>
      <c r="G1516" s="2" t="inlineStr">
        <is>
          <t>West</t>
        </is>
      </c>
      <c r="H1516" s="2" t="inlineStr">
        <is>
          <t>Maharashtra</t>
        </is>
      </c>
      <c r="I1516" s="2" t="inlineStr">
        <is>
          <t>Pune</t>
        </is>
      </c>
      <c r="J1516" s="2" t="inlineStr">
        <is>
          <t>Store</t>
        </is>
      </c>
      <c r="K1516" s="2" t="n">
        <v>1</v>
      </c>
      <c r="L1516" s="3" t="n">
        <v>961.1799999999999</v>
      </c>
      <c r="M1516" s="4" t="n">
        <v>0.05</v>
      </c>
      <c r="N1516" s="3" t="n">
        <v>729.9400000000001</v>
      </c>
      <c r="O1516" s="3">
        <f>K1516*L1516*(1-M1516)</f>
        <v/>
      </c>
      <c r="P1516" s="3">
        <f>O1516-N1516</f>
        <v/>
      </c>
      <c r="Q1516" s="5">
        <f>IFERROR(P1516/O1516,0)</f>
        <v/>
      </c>
      <c r="R1516" s="2">
        <f>TEXT(DATEVALUE(B1516),"mmm")</f>
        <v/>
      </c>
      <c r="S1516" s="2">
        <f>TEXT(DATEVALUE(B1516),"yyyy-mm")</f>
        <v/>
      </c>
    </row>
    <row r="1517">
      <c r="A1517" s="2" t="inlineStr">
        <is>
          <t>O002689</t>
        </is>
      </c>
      <c r="B1517" s="2" t="inlineStr">
        <is>
          <t>2025-04-22</t>
        </is>
      </c>
      <c r="C1517" s="2" t="inlineStr">
        <is>
          <t>C0535</t>
        </is>
      </c>
      <c r="D1517" s="2" t="inlineStr">
        <is>
          <t>P0008</t>
        </is>
      </c>
      <c r="E1517" s="2" t="inlineStr">
        <is>
          <t>Air Fryer</t>
        </is>
      </c>
      <c r="F1517" s="2" t="inlineStr">
        <is>
          <t>Home &amp; Kitchen</t>
        </is>
      </c>
      <c r="G1517" s="2" t="inlineStr">
        <is>
          <t>West</t>
        </is>
      </c>
      <c r="H1517" s="2" t="inlineStr">
        <is>
          <t>Goa</t>
        </is>
      </c>
      <c r="I1517" s="2" t="inlineStr">
        <is>
          <t>Margao</t>
        </is>
      </c>
      <c r="J1517" s="2" t="inlineStr">
        <is>
          <t>Online</t>
        </is>
      </c>
      <c r="K1517" s="2" t="n">
        <v>4</v>
      </c>
      <c r="L1517" s="3" t="n">
        <v>1007.96</v>
      </c>
      <c r="M1517" s="4" t="n">
        <v>0.1</v>
      </c>
      <c r="N1517" s="3" t="n">
        <v>2811.99</v>
      </c>
      <c r="O1517" s="3">
        <f>K1517*L1517*(1-M1517)</f>
        <v/>
      </c>
      <c r="P1517" s="3">
        <f>O1517-N1517</f>
        <v/>
      </c>
      <c r="Q1517" s="5">
        <f>IFERROR(P1517/O1517,0)</f>
        <v/>
      </c>
      <c r="R1517" s="2">
        <f>TEXT(DATEVALUE(B1517),"mmm")</f>
        <v/>
      </c>
      <c r="S1517" s="2">
        <f>TEXT(DATEVALUE(B1517),"yyyy-mm")</f>
        <v/>
      </c>
    </row>
    <row r="1518">
      <c r="A1518" s="2" t="inlineStr">
        <is>
          <t>O004556</t>
        </is>
      </c>
      <c r="B1518" s="2" t="inlineStr">
        <is>
          <t>2025-04-22</t>
        </is>
      </c>
      <c r="C1518" s="2" t="inlineStr">
        <is>
          <t>C0408</t>
        </is>
      </c>
      <c r="D1518" s="2" t="inlineStr">
        <is>
          <t>P0013</t>
        </is>
      </c>
      <c r="E1518" s="2" t="inlineStr">
        <is>
          <t>Storage Organizer</t>
        </is>
      </c>
      <c r="F1518" s="2" t="inlineStr">
        <is>
          <t>Home &amp; Kitchen</t>
        </is>
      </c>
      <c r="G1518" s="2" t="inlineStr">
        <is>
          <t>North</t>
        </is>
      </c>
      <c r="H1518" s="2" t="inlineStr">
        <is>
          <t>Haryana</t>
        </is>
      </c>
      <c r="I1518" s="2" t="inlineStr">
        <is>
          <t>Gurugram</t>
        </is>
      </c>
      <c r="J1518" s="2" t="inlineStr">
        <is>
          <t>Online</t>
        </is>
      </c>
      <c r="K1518" s="2" t="n">
        <v>5</v>
      </c>
      <c r="L1518" s="3" t="n">
        <v>583.53</v>
      </c>
      <c r="M1518" s="4" t="n">
        <v>0</v>
      </c>
      <c r="N1518" s="3" t="n">
        <v>1819.03</v>
      </c>
      <c r="O1518" s="3">
        <f>K1518*L1518*(1-M1518)</f>
        <v/>
      </c>
      <c r="P1518" s="3">
        <f>O1518-N1518</f>
        <v/>
      </c>
      <c r="Q1518" s="5">
        <f>IFERROR(P1518/O1518,0)</f>
        <v/>
      </c>
      <c r="R1518" s="2">
        <f>TEXT(DATEVALUE(B1518),"mmm")</f>
        <v/>
      </c>
      <c r="S1518" s="2">
        <f>TEXT(DATEVALUE(B1518),"yyyy-mm")</f>
        <v/>
      </c>
    </row>
    <row r="1519">
      <c r="A1519" s="2" t="inlineStr">
        <is>
          <t>O001285</t>
        </is>
      </c>
      <c r="B1519" s="2" t="inlineStr">
        <is>
          <t>2025-04-22</t>
        </is>
      </c>
      <c r="C1519" s="2" t="inlineStr">
        <is>
          <t>C0553</t>
        </is>
      </c>
      <c r="D1519" s="2" t="inlineStr">
        <is>
          <t>P0014</t>
        </is>
      </c>
      <c r="E1519" s="2" t="inlineStr">
        <is>
          <t>Coffee Maker</t>
        </is>
      </c>
      <c r="F1519" s="2" t="inlineStr">
        <is>
          <t>Home &amp; Kitchen</t>
        </is>
      </c>
      <c r="G1519" s="2" t="inlineStr">
        <is>
          <t>South</t>
        </is>
      </c>
      <c r="H1519" s="2" t="inlineStr">
        <is>
          <t>Kerala</t>
        </is>
      </c>
      <c r="I1519" s="2" t="inlineStr">
        <is>
          <t>Thiruvananthapuram</t>
        </is>
      </c>
      <c r="J1519" s="2" t="inlineStr">
        <is>
          <t>Online</t>
        </is>
      </c>
      <c r="K1519" s="2" t="n">
        <v>5</v>
      </c>
      <c r="L1519" s="3" t="n">
        <v>1065.21</v>
      </c>
      <c r="M1519" s="4" t="n">
        <v>0</v>
      </c>
      <c r="N1519" s="3" t="n">
        <v>3829.68</v>
      </c>
      <c r="O1519" s="3">
        <f>K1519*L1519*(1-M1519)</f>
        <v/>
      </c>
      <c r="P1519" s="3">
        <f>O1519-N1519</f>
        <v/>
      </c>
      <c r="Q1519" s="5">
        <f>IFERROR(P1519/O1519,0)</f>
        <v/>
      </c>
      <c r="R1519" s="2">
        <f>TEXT(DATEVALUE(B1519),"mmm")</f>
        <v/>
      </c>
      <c r="S1519" s="2">
        <f>TEXT(DATEVALUE(B1519),"yyyy-mm")</f>
        <v/>
      </c>
    </row>
    <row r="1520">
      <c r="A1520" s="2" t="inlineStr">
        <is>
          <t>O000948</t>
        </is>
      </c>
      <c r="B1520" s="2" t="inlineStr">
        <is>
          <t>2025-04-22</t>
        </is>
      </c>
      <c r="C1520" s="2" t="inlineStr">
        <is>
          <t>C0707</t>
        </is>
      </c>
      <c r="D1520" s="2" t="inlineStr">
        <is>
          <t>P0011</t>
        </is>
      </c>
      <c r="E1520" s="2" t="inlineStr">
        <is>
          <t>Cookware Set</t>
        </is>
      </c>
      <c r="F1520" s="2" t="inlineStr">
        <is>
          <t>Home &amp; Kitchen</t>
        </is>
      </c>
      <c r="G1520" s="2" t="inlineStr">
        <is>
          <t>North</t>
        </is>
      </c>
      <c r="H1520" s="2" t="inlineStr">
        <is>
          <t>Uttar Pradesh</t>
        </is>
      </c>
      <c r="I1520" s="2" t="inlineStr">
        <is>
          <t>Noida</t>
        </is>
      </c>
      <c r="J1520" s="2" t="inlineStr">
        <is>
          <t>Online</t>
        </is>
      </c>
      <c r="K1520" s="2" t="n">
        <v>5</v>
      </c>
      <c r="L1520" s="3" t="n">
        <v>696.87</v>
      </c>
      <c r="M1520" s="4" t="n">
        <v>0.05</v>
      </c>
      <c r="N1520" s="3" t="n">
        <v>2435.53</v>
      </c>
      <c r="O1520" s="3">
        <f>K1520*L1520*(1-M1520)</f>
        <v/>
      </c>
      <c r="P1520" s="3">
        <f>O1520-N1520</f>
        <v/>
      </c>
      <c r="Q1520" s="5">
        <f>IFERROR(P1520/O1520,0)</f>
        <v/>
      </c>
      <c r="R1520" s="2">
        <f>TEXT(DATEVALUE(B1520),"mmm")</f>
        <v/>
      </c>
      <c r="S1520" s="2">
        <f>TEXT(DATEVALUE(B1520),"yyyy-mm")</f>
        <v/>
      </c>
    </row>
    <row r="1521">
      <c r="A1521" s="2" t="inlineStr">
        <is>
          <t>O000779</t>
        </is>
      </c>
      <c r="B1521" s="2" t="inlineStr">
        <is>
          <t>2025-04-22</t>
        </is>
      </c>
      <c r="C1521" s="2" t="inlineStr">
        <is>
          <t>C0563</t>
        </is>
      </c>
      <c r="D1521" s="2" t="inlineStr">
        <is>
          <t>P0011</t>
        </is>
      </c>
      <c r="E1521" s="2" t="inlineStr">
        <is>
          <t>Cookware Set</t>
        </is>
      </c>
      <c r="F1521" s="2" t="inlineStr">
        <is>
          <t>Home &amp; Kitchen</t>
        </is>
      </c>
      <c r="G1521" s="2" t="inlineStr">
        <is>
          <t>East</t>
        </is>
      </c>
      <c r="H1521" s="2" t="inlineStr">
        <is>
          <t>West Bengal</t>
        </is>
      </c>
      <c r="I1521" s="2" t="inlineStr">
        <is>
          <t>Durgapur</t>
        </is>
      </c>
      <c r="J1521" s="2" t="inlineStr">
        <is>
          <t>Store</t>
        </is>
      </c>
      <c r="K1521" s="2" t="n">
        <v>1</v>
      </c>
      <c r="L1521" s="3" t="n">
        <v>693.29</v>
      </c>
      <c r="M1521" s="4" t="n">
        <v>0</v>
      </c>
      <c r="N1521" s="3" t="n">
        <v>468.53</v>
      </c>
      <c r="O1521" s="3">
        <f>K1521*L1521*(1-M1521)</f>
        <v/>
      </c>
      <c r="P1521" s="3">
        <f>O1521-N1521</f>
        <v/>
      </c>
      <c r="Q1521" s="5">
        <f>IFERROR(P1521/O1521,0)</f>
        <v/>
      </c>
      <c r="R1521" s="2">
        <f>TEXT(DATEVALUE(B1521),"mmm")</f>
        <v/>
      </c>
      <c r="S1521" s="2">
        <f>TEXT(DATEVALUE(B1521),"yyyy-mm")</f>
        <v/>
      </c>
    </row>
    <row r="1522">
      <c r="A1522" s="2" t="inlineStr">
        <is>
          <t>O000288</t>
        </is>
      </c>
      <c r="B1522" s="2" t="inlineStr">
        <is>
          <t>2025-04-22</t>
        </is>
      </c>
      <c r="C1522" s="2" t="inlineStr">
        <is>
          <t>C0293</t>
        </is>
      </c>
      <c r="D1522" s="2" t="inlineStr">
        <is>
          <t>P0007</t>
        </is>
      </c>
      <c r="E1522" s="2" t="inlineStr">
        <is>
          <t>Wireless Mouse</t>
        </is>
      </c>
      <c r="F1522" s="2" t="inlineStr">
        <is>
          <t>Electronics</t>
        </is>
      </c>
      <c r="G1522" s="2" t="inlineStr">
        <is>
          <t>South</t>
        </is>
      </c>
      <c r="H1522" s="2" t="inlineStr">
        <is>
          <t>Tamil Nadu</t>
        </is>
      </c>
      <c r="I1522" s="2" t="inlineStr">
        <is>
          <t>Madurai</t>
        </is>
      </c>
      <c r="J1522" s="2" t="inlineStr">
        <is>
          <t>Store</t>
        </is>
      </c>
      <c r="K1522" s="2" t="n">
        <v>1</v>
      </c>
      <c r="L1522" s="3" t="n">
        <v>1006.64</v>
      </c>
      <c r="M1522" s="4" t="n">
        <v>0.05</v>
      </c>
      <c r="N1522" s="3" t="n">
        <v>615.9299999999999</v>
      </c>
      <c r="O1522" s="3">
        <f>K1522*L1522*(1-M1522)</f>
        <v/>
      </c>
      <c r="P1522" s="3">
        <f>O1522-N1522</f>
        <v/>
      </c>
      <c r="Q1522" s="5">
        <f>IFERROR(P1522/O1522,0)</f>
        <v/>
      </c>
      <c r="R1522" s="2">
        <f>TEXT(DATEVALUE(B1522),"mmm")</f>
        <v/>
      </c>
      <c r="S1522" s="2">
        <f>TEXT(DATEVALUE(B1522),"yyyy-mm")</f>
        <v/>
      </c>
    </row>
    <row r="1523">
      <c r="A1523" s="2" t="inlineStr">
        <is>
          <t>O000262</t>
        </is>
      </c>
      <c r="B1523" s="2" t="inlineStr">
        <is>
          <t>2025-04-22</t>
        </is>
      </c>
      <c r="C1523" s="2" t="inlineStr">
        <is>
          <t>C0182</t>
        </is>
      </c>
      <c r="D1523" s="2" t="inlineStr">
        <is>
          <t>P0011</t>
        </is>
      </c>
      <c r="E1523" s="2" t="inlineStr">
        <is>
          <t>Cookware Set</t>
        </is>
      </c>
      <c r="F1523" s="2" t="inlineStr">
        <is>
          <t>Home &amp; Kitchen</t>
        </is>
      </c>
      <c r="G1523" s="2" t="inlineStr">
        <is>
          <t>South</t>
        </is>
      </c>
      <c r="H1523" s="2" t="inlineStr">
        <is>
          <t>Telangana</t>
        </is>
      </c>
      <c r="I1523" s="2" t="inlineStr">
        <is>
          <t>Warangal</t>
        </is>
      </c>
      <c r="J1523" s="2" t="inlineStr">
        <is>
          <t>Online</t>
        </is>
      </c>
      <c r="K1523" s="2" t="n">
        <v>2</v>
      </c>
      <c r="L1523" s="3" t="n">
        <v>699.1799999999999</v>
      </c>
      <c r="M1523" s="4" t="n">
        <v>0</v>
      </c>
      <c r="N1523" s="3" t="n">
        <v>942.46</v>
      </c>
      <c r="O1523" s="3">
        <f>K1523*L1523*(1-M1523)</f>
        <v/>
      </c>
      <c r="P1523" s="3">
        <f>O1523-N1523</f>
        <v/>
      </c>
      <c r="Q1523" s="5">
        <f>IFERROR(P1523/O1523,0)</f>
        <v/>
      </c>
      <c r="R1523" s="2">
        <f>TEXT(DATEVALUE(B1523),"mmm")</f>
        <v/>
      </c>
      <c r="S1523" s="2">
        <f>TEXT(DATEVALUE(B1523),"yyyy-mm")</f>
        <v/>
      </c>
    </row>
    <row r="1524">
      <c r="A1524" s="2" t="inlineStr">
        <is>
          <t>O002504</t>
        </is>
      </c>
      <c r="B1524" s="2" t="inlineStr">
        <is>
          <t>2025-04-22</t>
        </is>
      </c>
      <c r="C1524" s="2" t="inlineStr">
        <is>
          <t>C0273</t>
        </is>
      </c>
      <c r="D1524" s="2" t="inlineStr">
        <is>
          <t>P0032</t>
        </is>
      </c>
      <c r="E1524" s="2" t="inlineStr">
        <is>
          <t>Football</t>
        </is>
      </c>
      <c r="F1524" s="2" t="inlineStr">
        <is>
          <t>Sports</t>
        </is>
      </c>
      <c r="G1524" s="2" t="inlineStr">
        <is>
          <t>East</t>
        </is>
      </c>
      <c r="H1524" s="2" t="inlineStr">
        <is>
          <t>West Bengal</t>
        </is>
      </c>
      <c r="I1524" s="2" t="inlineStr">
        <is>
          <t>Durgapur</t>
        </is>
      </c>
      <c r="J1524" s="2" t="inlineStr">
        <is>
          <t>Online</t>
        </is>
      </c>
      <c r="K1524" s="2" t="n">
        <v>3</v>
      </c>
      <c r="L1524" s="3" t="n">
        <v>778.67</v>
      </c>
      <c r="M1524" s="4" t="n">
        <v>0.15</v>
      </c>
      <c r="N1524" s="3" t="n">
        <v>1564.84</v>
      </c>
      <c r="O1524" s="3">
        <f>K1524*L1524*(1-M1524)</f>
        <v/>
      </c>
      <c r="P1524" s="3">
        <f>O1524-N1524</f>
        <v/>
      </c>
      <c r="Q1524" s="5">
        <f>IFERROR(P1524/O1524,0)</f>
        <v/>
      </c>
      <c r="R1524" s="2">
        <f>TEXT(DATEVALUE(B1524),"mmm")</f>
        <v/>
      </c>
      <c r="S1524" s="2">
        <f>TEXT(DATEVALUE(B1524),"yyyy-mm")</f>
        <v/>
      </c>
    </row>
    <row r="1525">
      <c r="A1525" s="2" t="inlineStr">
        <is>
          <t>O004878</t>
        </is>
      </c>
      <c r="B1525" s="2" t="inlineStr">
        <is>
          <t>2025-04-23</t>
        </is>
      </c>
      <c r="C1525" s="2" t="inlineStr">
        <is>
          <t>C0060</t>
        </is>
      </c>
      <c r="D1525" s="2" t="inlineStr">
        <is>
          <t>P0014</t>
        </is>
      </c>
      <c r="E1525" s="2" t="inlineStr">
        <is>
          <t>Coffee Maker</t>
        </is>
      </c>
      <c r="F1525" s="2" t="inlineStr">
        <is>
          <t>Home &amp; Kitchen</t>
        </is>
      </c>
      <c r="G1525" s="2" t="inlineStr">
        <is>
          <t>East</t>
        </is>
      </c>
      <c r="H1525" s="2" t="inlineStr">
        <is>
          <t>Bihar</t>
        </is>
      </c>
      <c r="I1525" s="2" t="inlineStr">
        <is>
          <t>Patna</t>
        </is>
      </c>
      <c r="J1525" s="2" t="inlineStr">
        <is>
          <t>Online</t>
        </is>
      </c>
      <c r="K1525" s="2" t="n">
        <v>2</v>
      </c>
      <c r="L1525" s="3" t="n">
        <v>1034.29</v>
      </c>
      <c r="M1525" s="4" t="n">
        <v>0.1</v>
      </c>
      <c r="N1525" s="3" t="n">
        <v>1505.57</v>
      </c>
      <c r="O1525" s="3">
        <f>K1525*L1525*(1-M1525)</f>
        <v/>
      </c>
      <c r="P1525" s="3">
        <f>O1525-N1525</f>
        <v/>
      </c>
      <c r="Q1525" s="5">
        <f>IFERROR(P1525/O1525,0)</f>
        <v/>
      </c>
      <c r="R1525" s="2">
        <f>TEXT(DATEVALUE(B1525),"mmm")</f>
        <v/>
      </c>
      <c r="S1525" s="2">
        <f>TEXT(DATEVALUE(B1525),"yyyy-mm")</f>
        <v/>
      </c>
    </row>
    <row r="1526">
      <c r="A1526" s="2" t="inlineStr">
        <is>
          <t>O004263</t>
        </is>
      </c>
      <c r="B1526" s="2" t="inlineStr">
        <is>
          <t>2025-04-23</t>
        </is>
      </c>
      <c r="C1526" s="2" t="inlineStr">
        <is>
          <t>C0358</t>
        </is>
      </c>
      <c r="D1526" s="2" t="inlineStr">
        <is>
          <t>P0012</t>
        </is>
      </c>
      <c r="E1526" s="2" t="inlineStr">
        <is>
          <t>Water Bottle</t>
        </is>
      </c>
      <c r="F1526" s="2" t="inlineStr">
        <is>
          <t>Home &amp; Kitchen</t>
        </is>
      </c>
      <c r="G1526" s="2" t="inlineStr">
        <is>
          <t>South</t>
        </is>
      </c>
      <c r="H1526" s="2" t="inlineStr">
        <is>
          <t>Karnataka</t>
        </is>
      </c>
      <c r="I1526" s="2" t="inlineStr">
        <is>
          <t>Mangaluru</t>
        </is>
      </c>
      <c r="J1526" s="2" t="inlineStr">
        <is>
          <t>Online</t>
        </is>
      </c>
      <c r="K1526" s="2" t="n">
        <v>1</v>
      </c>
      <c r="L1526" s="3" t="n">
        <v>941.76</v>
      </c>
      <c r="M1526" s="4" t="n">
        <v>0.1</v>
      </c>
      <c r="N1526" s="3" t="n">
        <v>614.77</v>
      </c>
      <c r="O1526" s="3">
        <f>K1526*L1526*(1-M1526)</f>
        <v/>
      </c>
      <c r="P1526" s="3">
        <f>O1526-N1526</f>
        <v/>
      </c>
      <c r="Q1526" s="5">
        <f>IFERROR(P1526/O1526,0)</f>
        <v/>
      </c>
      <c r="R1526" s="2">
        <f>TEXT(DATEVALUE(B1526),"mmm")</f>
        <v/>
      </c>
      <c r="S1526" s="2">
        <f>TEXT(DATEVALUE(B1526),"yyyy-mm")</f>
        <v/>
      </c>
    </row>
    <row r="1527">
      <c r="A1527" s="2" t="inlineStr">
        <is>
          <t>O004034</t>
        </is>
      </c>
      <c r="B1527" s="2" t="inlineStr">
        <is>
          <t>2025-04-23</t>
        </is>
      </c>
      <c r="C1527" s="2" t="inlineStr">
        <is>
          <t>C0669</t>
        </is>
      </c>
      <c r="D1527" s="2" t="inlineStr">
        <is>
          <t>P0003</t>
        </is>
      </c>
      <c r="E1527" s="2" t="inlineStr">
        <is>
          <t>Smartwatch</t>
        </is>
      </c>
      <c r="F1527" s="2" t="inlineStr">
        <is>
          <t>Electronics</t>
        </is>
      </c>
      <c r="G1527" s="2" t="inlineStr">
        <is>
          <t>West</t>
        </is>
      </c>
      <c r="H1527" s="2" t="inlineStr">
        <is>
          <t>Gujarat</t>
        </is>
      </c>
      <c r="I1527" s="2" t="inlineStr">
        <is>
          <t>Surat</t>
        </is>
      </c>
      <c r="J1527" s="2" t="inlineStr">
        <is>
          <t>Online</t>
        </is>
      </c>
      <c r="K1527" s="2" t="n">
        <v>2</v>
      </c>
      <c r="L1527" s="3" t="n">
        <v>2270.44</v>
      </c>
      <c r="M1527" s="4" t="n">
        <v>0.05</v>
      </c>
      <c r="N1527" s="3" t="n">
        <v>2375.16</v>
      </c>
      <c r="O1527" s="3">
        <f>K1527*L1527*(1-M1527)</f>
        <v/>
      </c>
      <c r="P1527" s="3">
        <f>O1527-N1527</f>
        <v/>
      </c>
      <c r="Q1527" s="5">
        <f>IFERROR(P1527/O1527,0)</f>
        <v/>
      </c>
      <c r="R1527" s="2">
        <f>TEXT(DATEVALUE(B1527),"mmm")</f>
        <v/>
      </c>
      <c r="S1527" s="2">
        <f>TEXT(DATEVALUE(B1527),"yyyy-mm")</f>
        <v/>
      </c>
    </row>
    <row r="1528">
      <c r="A1528" s="2" t="inlineStr">
        <is>
          <t>O003572</t>
        </is>
      </c>
      <c r="B1528" s="2" t="inlineStr">
        <is>
          <t>2025-04-23</t>
        </is>
      </c>
      <c r="C1528" s="2" t="inlineStr">
        <is>
          <t>C0060</t>
        </is>
      </c>
      <c r="D1528" s="2" t="inlineStr">
        <is>
          <t>P0022</t>
        </is>
      </c>
      <c r="E1528" s="2" t="inlineStr">
        <is>
          <t>Face Wash</t>
        </is>
      </c>
      <c r="F1528" s="2" t="inlineStr">
        <is>
          <t>Beauty</t>
        </is>
      </c>
      <c r="G1528" s="2" t="inlineStr">
        <is>
          <t>South</t>
        </is>
      </c>
      <c r="H1528" s="2" t="inlineStr">
        <is>
          <t>Karnataka</t>
        </is>
      </c>
      <c r="I1528" s="2" t="inlineStr">
        <is>
          <t>Mangaluru</t>
        </is>
      </c>
      <c r="J1528" s="2" t="inlineStr">
        <is>
          <t>Online</t>
        </is>
      </c>
      <c r="K1528" s="2" t="n">
        <v>1</v>
      </c>
      <c r="L1528" s="3" t="n">
        <v>573.33</v>
      </c>
      <c r="M1528" s="4" t="n">
        <v>0.25</v>
      </c>
      <c r="N1528" s="3" t="n">
        <v>363.44</v>
      </c>
      <c r="O1528" s="3">
        <f>K1528*L1528*(1-M1528)</f>
        <v/>
      </c>
      <c r="P1528" s="3">
        <f>O1528-N1528</f>
        <v/>
      </c>
      <c r="Q1528" s="5">
        <f>IFERROR(P1528/O1528,0)</f>
        <v/>
      </c>
      <c r="R1528" s="2">
        <f>TEXT(DATEVALUE(B1528),"mmm")</f>
        <v/>
      </c>
      <c r="S1528" s="2">
        <f>TEXT(DATEVALUE(B1528),"yyyy-mm")</f>
        <v/>
      </c>
    </row>
    <row r="1529">
      <c r="A1529" s="2" t="inlineStr">
        <is>
          <t>O003400</t>
        </is>
      </c>
      <c r="B1529" s="2" t="inlineStr">
        <is>
          <t>2025-04-23</t>
        </is>
      </c>
      <c r="C1529" s="2" t="inlineStr">
        <is>
          <t>C0561</t>
        </is>
      </c>
      <c r="D1529" s="2" t="inlineStr">
        <is>
          <t>P0012</t>
        </is>
      </c>
      <c r="E1529" s="2" t="inlineStr">
        <is>
          <t>Water Bottle</t>
        </is>
      </c>
      <c r="F1529" s="2" t="inlineStr">
        <is>
          <t>Home &amp; Kitchen</t>
        </is>
      </c>
      <c r="G1529" s="2" t="inlineStr">
        <is>
          <t>West</t>
        </is>
      </c>
      <c r="H1529" s="2" t="inlineStr">
        <is>
          <t>Maharashtra</t>
        </is>
      </c>
      <c r="I1529" s="2" t="inlineStr">
        <is>
          <t>Nagpur</t>
        </is>
      </c>
      <c r="J1529" s="2" t="inlineStr">
        <is>
          <t>Store</t>
        </is>
      </c>
      <c r="K1529" s="2" t="n">
        <v>2</v>
      </c>
      <c r="L1529" s="3" t="n">
        <v>973.52</v>
      </c>
      <c r="M1529" s="4" t="n">
        <v>0.25</v>
      </c>
      <c r="N1529" s="3" t="n">
        <v>1227.54</v>
      </c>
      <c r="O1529" s="3">
        <f>K1529*L1529*(1-M1529)</f>
        <v/>
      </c>
      <c r="P1529" s="3">
        <f>O1529-N1529</f>
        <v/>
      </c>
      <c r="Q1529" s="5">
        <f>IFERROR(P1529/O1529,0)</f>
        <v/>
      </c>
      <c r="R1529" s="2">
        <f>TEXT(DATEVALUE(B1529),"mmm")</f>
        <v/>
      </c>
      <c r="S1529" s="2">
        <f>TEXT(DATEVALUE(B1529),"yyyy-mm")</f>
        <v/>
      </c>
    </row>
    <row r="1530">
      <c r="A1530" s="2" t="inlineStr">
        <is>
          <t>O003308</t>
        </is>
      </c>
      <c r="B1530" s="2" t="inlineStr">
        <is>
          <t>2025-04-23</t>
        </is>
      </c>
      <c r="C1530" s="2" t="inlineStr">
        <is>
          <t>C0694</t>
        </is>
      </c>
      <c r="D1530" s="2" t="inlineStr">
        <is>
          <t>P0001</t>
        </is>
      </c>
      <c r="E1530" s="2" t="inlineStr">
        <is>
          <t>Wireless Headphones</t>
        </is>
      </c>
      <c r="F1530" s="2" t="inlineStr">
        <is>
          <t>Electronics</t>
        </is>
      </c>
      <c r="G1530" s="2" t="inlineStr">
        <is>
          <t>South</t>
        </is>
      </c>
      <c r="H1530" s="2" t="inlineStr">
        <is>
          <t>Kerala</t>
        </is>
      </c>
      <c r="I1530" s="2" t="inlineStr">
        <is>
          <t>Kochi</t>
        </is>
      </c>
      <c r="J1530" s="2" t="inlineStr">
        <is>
          <t>Online</t>
        </is>
      </c>
      <c r="K1530" s="2" t="n">
        <v>1</v>
      </c>
      <c r="L1530" s="3" t="n">
        <v>1270.03</v>
      </c>
      <c r="M1530" s="4" t="n">
        <v>0.15</v>
      </c>
      <c r="N1530" s="3" t="n">
        <v>696.17</v>
      </c>
      <c r="O1530" s="3">
        <f>K1530*L1530*(1-M1530)</f>
        <v/>
      </c>
      <c r="P1530" s="3">
        <f>O1530-N1530</f>
        <v/>
      </c>
      <c r="Q1530" s="5">
        <f>IFERROR(P1530/O1530,0)</f>
        <v/>
      </c>
      <c r="R1530" s="2">
        <f>TEXT(DATEVALUE(B1530),"mmm")</f>
        <v/>
      </c>
      <c r="S1530" s="2">
        <f>TEXT(DATEVALUE(B1530),"yyyy-mm")</f>
        <v/>
      </c>
    </row>
    <row r="1531">
      <c r="A1531" s="2" t="inlineStr">
        <is>
          <t>O002794</t>
        </is>
      </c>
      <c r="B1531" s="2" t="inlineStr">
        <is>
          <t>2025-04-23</t>
        </is>
      </c>
      <c r="C1531" s="2" t="inlineStr">
        <is>
          <t>C0341</t>
        </is>
      </c>
      <c r="D1531" s="2" t="inlineStr">
        <is>
          <t>P0017</t>
        </is>
      </c>
      <c r="E1531" s="2" t="inlineStr">
        <is>
          <t>Jeans</t>
        </is>
      </c>
      <c r="F1531" s="2" t="inlineStr">
        <is>
          <t>Fashion</t>
        </is>
      </c>
      <c r="G1531" s="2" t="inlineStr">
        <is>
          <t>South</t>
        </is>
      </c>
      <c r="H1531" s="2" t="inlineStr">
        <is>
          <t>Karnataka</t>
        </is>
      </c>
      <c r="I1531" s="2" t="inlineStr">
        <is>
          <t>Mangaluru</t>
        </is>
      </c>
      <c r="J1531" s="2" t="inlineStr">
        <is>
          <t>Online</t>
        </is>
      </c>
      <c r="K1531" s="2" t="n">
        <v>2</v>
      </c>
      <c r="L1531" s="3" t="n">
        <v>1552.35</v>
      </c>
      <c r="M1531" s="4" t="n">
        <v>0.1</v>
      </c>
      <c r="N1531" s="3" t="n">
        <v>2012.52</v>
      </c>
      <c r="O1531" s="3">
        <f>K1531*L1531*(1-M1531)</f>
        <v/>
      </c>
      <c r="P1531" s="3">
        <f>O1531-N1531</f>
        <v/>
      </c>
      <c r="Q1531" s="5">
        <f>IFERROR(P1531/O1531,0)</f>
        <v/>
      </c>
      <c r="R1531" s="2">
        <f>TEXT(DATEVALUE(B1531),"mmm")</f>
        <v/>
      </c>
      <c r="S1531" s="2">
        <f>TEXT(DATEVALUE(B1531),"yyyy-mm")</f>
        <v/>
      </c>
    </row>
    <row r="1532">
      <c r="A1532" s="2" t="inlineStr">
        <is>
          <t>O002762</t>
        </is>
      </c>
      <c r="B1532" s="2" t="inlineStr">
        <is>
          <t>2025-04-23</t>
        </is>
      </c>
      <c r="C1532" s="2" t="inlineStr">
        <is>
          <t>C0568</t>
        </is>
      </c>
      <c r="D1532" s="2" t="inlineStr">
        <is>
          <t>P0011</t>
        </is>
      </c>
      <c r="E1532" s="2" t="inlineStr">
        <is>
          <t>Cookware Set</t>
        </is>
      </c>
      <c r="F1532" s="2" t="inlineStr">
        <is>
          <t>Home &amp; Kitchen</t>
        </is>
      </c>
      <c r="G1532" s="2" t="inlineStr">
        <is>
          <t>South</t>
        </is>
      </c>
      <c r="H1532" s="2" t="inlineStr">
        <is>
          <t>Telangana</t>
        </is>
      </c>
      <c r="I1532" s="2" t="inlineStr">
        <is>
          <t>Warangal</t>
        </is>
      </c>
      <c r="J1532" s="2" t="inlineStr">
        <is>
          <t>Online</t>
        </is>
      </c>
      <c r="K1532" s="2" t="n">
        <v>2</v>
      </c>
      <c r="L1532" s="3" t="n">
        <v>684.42</v>
      </c>
      <c r="M1532" s="4" t="n">
        <v>0.1</v>
      </c>
      <c r="N1532" s="3" t="n">
        <v>943.48</v>
      </c>
      <c r="O1532" s="3">
        <f>K1532*L1532*(1-M1532)</f>
        <v/>
      </c>
      <c r="P1532" s="3">
        <f>O1532-N1532</f>
        <v/>
      </c>
      <c r="Q1532" s="5">
        <f>IFERROR(P1532/O1532,0)</f>
        <v/>
      </c>
      <c r="R1532" s="2">
        <f>TEXT(DATEVALUE(B1532),"mmm")</f>
        <v/>
      </c>
      <c r="S1532" s="2">
        <f>TEXT(DATEVALUE(B1532),"yyyy-mm")</f>
        <v/>
      </c>
    </row>
    <row r="1533">
      <c r="A1533" s="2" t="inlineStr">
        <is>
          <t>O002616</t>
        </is>
      </c>
      <c r="B1533" s="2" t="inlineStr">
        <is>
          <t>2025-04-23</t>
        </is>
      </c>
      <c r="C1533" s="2" t="inlineStr">
        <is>
          <t>C0504</t>
        </is>
      </c>
      <c r="D1533" s="2" t="inlineStr">
        <is>
          <t>P0027</t>
        </is>
      </c>
      <c r="E1533" s="2" t="inlineStr">
        <is>
          <t>Moisturizer</t>
        </is>
      </c>
      <c r="F1533" s="2" t="inlineStr">
        <is>
          <t>Beauty</t>
        </is>
      </c>
      <c r="G1533" s="2" t="inlineStr">
        <is>
          <t>West</t>
        </is>
      </c>
      <c r="H1533" s="2" t="inlineStr">
        <is>
          <t>Maharashtra</t>
        </is>
      </c>
      <c r="I1533" s="2" t="inlineStr">
        <is>
          <t>Nashik</t>
        </is>
      </c>
      <c r="J1533" s="2" t="inlineStr">
        <is>
          <t>Online</t>
        </is>
      </c>
      <c r="K1533" s="2" t="n">
        <v>1</v>
      </c>
      <c r="L1533" s="3" t="n">
        <v>966.1</v>
      </c>
      <c r="M1533" s="4" t="n">
        <v>0.1</v>
      </c>
      <c r="N1533" s="3" t="n">
        <v>687.6900000000001</v>
      </c>
      <c r="O1533" s="3">
        <f>K1533*L1533*(1-M1533)</f>
        <v/>
      </c>
      <c r="P1533" s="3">
        <f>O1533-N1533</f>
        <v/>
      </c>
      <c r="Q1533" s="5">
        <f>IFERROR(P1533/O1533,0)</f>
        <v/>
      </c>
      <c r="R1533" s="2">
        <f>TEXT(DATEVALUE(B1533),"mmm")</f>
        <v/>
      </c>
      <c r="S1533" s="2">
        <f>TEXT(DATEVALUE(B1533),"yyyy-mm")</f>
        <v/>
      </c>
    </row>
    <row r="1534">
      <c r="A1534" s="2" t="inlineStr">
        <is>
          <t>O002514</t>
        </is>
      </c>
      <c r="B1534" s="2" t="inlineStr">
        <is>
          <t>2025-04-23</t>
        </is>
      </c>
      <c r="C1534" s="2" t="inlineStr">
        <is>
          <t>C0393</t>
        </is>
      </c>
      <c r="D1534" s="2" t="inlineStr">
        <is>
          <t>P0027</t>
        </is>
      </c>
      <c r="E1534" s="2" t="inlineStr">
        <is>
          <t>Moisturizer</t>
        </is>
      </c>
      <c r="F1534" s="2" t="inlineStr">
        <is>
          <t>Beauty</t>
        </is>
      </c>
      <c r="G1534" s="2" t="inlineStr">
        <is>
          <t>South</t>
        </is>
      </c>
      <c r="H1534" s="2" t="inlineStr">
        <is>
          <t>Kerala</t>
        </is>
      </c>
      <c r="I1534" s="2" t="inlineStr">
        <is>
          <t>Kochi</t>
        </is>
      </c>
      <c r="J1534" s="2" t="inlineStr">
        <is>
          <t>Online</t>
        </is>
      </c>
      <c r="K1534" s="2" t="n">
        <v>1</v>
      </c>
      <c r="L1534" s="3" t="n">
        <v>942.4</v>
      </c>
      <c r="M1534" s="4" t="n">
        <v>0.05</v>
      </c>
      <c r="N1534" s="3" t="n">
        <v>699.29</v>
      </c>
      <c r="O1534" s="3">
        <f>K1534*L1534*(1-M1534)</f>
        <v/>
      </c>
      <c r="P1534" s="3">
        <f>O1534-N1534</f>
        <v/>
      </c>
      <c r="Q1534" s="5">
        <f>IFERROR(P1534/O1534,0)</f>
        <v/>
      </c>
      <c r="R1534" s="2">
        <f>TEXT(DATEVALUE(B1534),"mmm")</f>
        <v/>
      </c>
      <c r="S1534" s="2">
        <f>TEXT(DATEVALUE(B1534),"yyyy-mm")</f>
        <v/>
      </c>
    </row>
    <row r="1535">
      <c r="A1535" s="2" t="inlineStr">
        <is>
          <t>O002767</t>
        </is>
      </c>
      <c r="B1535" s="2" t="inlineStr">
        <is>
          <t>2025-04-23</t>
        </is>
      </c>
      <c r="C1535" s="2" t="inlineStr">
        <is>
          <t>C0124</t>
        </is>
      </c>
      <c r="D1535" s="2" t="inlineStr">
        <is>
          <t>P0028</t>
        </is>
      </c>
      <c r="E1535" s="2" t="inlineStr">
        <is>
          <t>Trimmer</t>
        </is>
      </c>
      <c r="F1535" s="2" t="inlineStr">
        <is>
          <t>Beauty</t>
        </is>
      </c>
      <c r="G1535" s="2" t="inlineStr">
        <is>
          <t>West</t>
        </is>
      </c>
      <c r="H1535" s="2" t="inlineStr">
        <is>
          <t>Gujarat</t>
        </is>
      </c>
      <c r="I1535" s="2" t="inlineStr">
        <is>
          <t>Vadodara</t>
        </is>
      </c>
      <c r="J1535" s="2" t="inlineStr">
        <is>
          <t>Online</t>
        </is>
      </c>
      <c r="K1535" s="2" t="n">
        <v>1</v>
      </c>
      <c r="L1535" s="3" t="n">
        <v>464.33</v>
      </c>
      <c r="M1535" s="4" t="n">
        <v>0.2</v>
      </c>
      <c r="N1535" s="3" t="n">
        <v>244.01</v>
      </c>
      <c r="O1535" s="3">
        <f>K1535*L1535*(1-M1535)</f>
        <v/>
      </c>
      <c r="P1535" s="3">
        <f>O1535-N1535</f>
        <v/>
      </c>
      <c r="Q1535" s="5">
        <f>IFERROR(P1535/O1535,0)</f>
        <v/>
      </c>
      <c r="R1535" s="2">
        <f>TEXT(DATEVALUE(B1535),"mmm")</f>
        <v/>
      </c>
      <c r="S1535" s="2">
        <f>TEXT(DATEVALUE(B1535),"yyyy-mm")</f>
        <v/>
      </c>
    </row>
    <row r="1536">
      <c r="A1536" s="2" t="inlineStr">
        <is>
          <t>O001382</t>
        </is>
      </c>
      <c r="B1536" s="2" t="inlineStr">
        <is>
          <t>2025-04-23</t>
        </is>
      </c>
      <c r="C1536" s="2" t="inlineStr">
        <is>
          <t>C0115</t>
        </is>
      </c>
      <c r="D1536" s="2" t="inlineStr">
        <is>
          <t>P0003</t>
        </is>
      </c>
      <c r="E1536" s="2" t="inlineStr">
        <is>
          <t>Smartwatch</t>
        </is>
      </c>
      <c r="F1536" s="2" t="inlineStr">
        <is>
          <t>Electronics</t>
        </is>
      </c>
      <c r="G1536" s="2" t="inlineStr">
        <is>
          <t>East</t>
        </is>
      </c>
      <c r="H1536" s="2" t="inlineStr">
        <is>
          <t>West Bengal</t>
        </is>
      </c>
      <c r="I1536" s="2" t="inlineStr">
        <is>
          <t>Kolkata</t>
        </is>
      </c>
      <c r="J1536" s="2" t="inlineStr">
        <is>
          <t>Store</t>
        </is>
      </c>
      <c r="K1536" s="2" t="n">
        <v>2</v>
      </c>
      <c r="L1536" s="3" t="n">
        <v>2320.66</v>
      </c>
      <c r="M1536" s="4" t="n">
        <v>0.1</v>
      </c>
      <c r="N1536" s="3" t="n">
        <v>2437.93</v>
      </c>
      <c r="O1536" s="3">
        <f>K1536*L1536*(1-M1536)</f>
        <v/>
      </c>
      <c r="P1536" s="3">
        <f>O1536-N1536</f>
        <v/>
      </c>
      <c r="Q1536" s="5">
        <f>IFERROR(P1536/O1536,0)</f>
        <v/>
      </c>
      <c r="R1536" s="2">
        <f>TEXT(DATEVALUE(B1536),"mmm")</f>
        <v/>
      </c>
      <c r="S1536" s="2">
        <f>TEXT(DATEVALUE(B1536),"yyyy-mm")</f>
        <v/>
      </c>
    </row>
    <row r="1537">
      <c r="A1537" s="2" t="inlineStr">
        <is>
          <t>O001233</t>
        </is>
      </c>
      <c r="B1537" s="2" t="inlineStr">
        <is>
          <t>2025-04-23</t>
        </is>
      </c>
      <c r="C1537" s="2" t="inlineStr">
        <is>
          <t>C0644</t>
        </is>
      </c>
      <c r="D1537" s="2" t="inlineStr">
        <is>
          <t>P0011</t>
        </is>
      </c>
      <c r="E1537" s="2" t="inlineStr">
        <is>
          <t>Cookware Set</t>
        </is>
      </c>
      <c r="F1537" s="2" t="inlineStr">
        <is>
          <t>Home &amp; Kitchen</t>
        </is>
      </c>
      <c r="G1537" s="2" t="inlineStr">
        <is>
          <t>South</t>
        </is>
      </c>
      <c r="H1537" s="2" t="inlineStr">
        <is>
          <t>Tamil Nadu</t>
        </is>
      </c>
      <c r="I1537" s="2" t="inlineStr">
        <is>
          <t>Madurai</t>
        </is>
      </c>
      <c r="J1537" s="2" t="inlineStr">
        <is>
          <t>Online</t>
        </is>
      </c>
      <c r="K1537" s="2" t="n">
        <v>3</v>
      </c>
      <c r="L1537" s="3" t="n">
        <v>711.45</v>
      </c>
      <c r="M1537" s="4" t="n">
        <v>0</v>
      </c>
      <c r="N1537" s="3" t="n">
        <v>1411.66</v>
      </c>
      <c r="O1537" s="3">
        <f>K1537*L1537*(1-M1537)</f>
        <v/>
      </c>
      <c r="P1537" s="3">
        <f>O1537-N1537</f>
        <v/>
      </c>
      <c r="Q1537" s="5">
        <f>IFERROR(P1537/O1537,0)</f>
        <v/>
      </c>
      <c r="R1537" s="2">
        <f>TEXT(DATEVALUE(B1537),"mmm")</f>
        <v/>
      </c>
      <c r="S1537" s="2">
        <f>TEXT(DATEVALUE(B1537),"yyyy-mm")</f>
        <v/>
      </c>
    </row>
    <row r="1538">
      <c r="A1538" s="2" t="inlineStr">
        <is>
          <t>O000989</t>
        </is>
      </c>
      <c r="B1538" s="2" t="inlineStr">
        <is>
          <t>2025-04-23</t>
        </is>
      </c>
      <c r="C1538" s="2" t="inlineStr">
        <is>
          <t>C0509</t>
        </is>
      </c>
      <c r="D1538" s="2" t="inlineStr">
        <is>
          <t>P0006</t>
        </is>
      </c>
      <c r="E1538" s="2" t="inlineStr">
        <is>
          <t>Mechanical Keyboard</t>
        </is>
      </c>
      <c r="F1538" s="2" t="inlineStr">
        <is>
          <t>Electronics</t>
        </is>
      </c>
      <c r="G1538" s="2" t="inlineStr">
        <is>
          <t>West</t>
        </is>
      </c>
      <c r="H1538" s="2" t="inlineStr">
        <is>
          <t>Maharashtra</t>
        </is>
      </c>
      <c r="I1538" s="2" t="inlineStr">
        <is>
          <t>Pune</t>
        </is>
      </c>
      <c r="J1538" s="2" t="inlineStr">
        <is>
          <t>Online</t>
        </is>
      </c>
      <c r="K1538" s="2" t="n">
        <v>2</v>
      </c>
      <c r="L1538" s="3" t="n">
        <v>2784.3</v>
      </c>
      <c r="M1538" s="4" t="n">
        <v>0.05</v>
      </c>
      <c r="N1538" s="3" t="n">
        <v>2885.14</v>
      </c>
      <c r="O1538" s="3">
        <f>K1538*L1538*(1-M1538)</f>
        <v/>
      </c>
      <c r="P1538" s="3">
        <f>O1538-N1538</f>
        <v/>
      </c>
      <c r="Q1538" s="5">
        <f>IFERROR(P1538/O1538,0)</f>
        <v/>
      </c>
      <c r="R1538" s="2">
        <f>TEXT(DATEVALUE(B1538),"mmm")</f>
        <v/>
      </c>
      <c r="S1538" s="2">
        <f>TEXT(DATEVALUE(B1538),"yyyy-mm")</f>
        <v/>
      </c>
    </row>
    <row r="1539">
      <c r="A1539" s="2" t="inlineStr">
        <is>
          <t>O000877</t>
        </is>
      </c>
      <c r="B1539" s="2" t="inlineStr">
        <is>
          <t>2025-04-23</t>
        </is>
      </c>
      <c r="C1539" s="2" t="inlineStr">
        <is>
          <t>C0740</t>
        </is>
      </c>
      <c r="D1539" s="2" t="inlineStr">
        <is>
          <t>P0030</t>
        </is>
      </c>
      <c r="E1539" s="2" t="inlineStr">
        <is>
          <t>Dumbbells</t>
        </is>
      </c>
      <c r="F1539" s="2" t="inlineStr">
        <is>
          <t>Sports</t>
        </is>
      </c>
      <c r="G1539" s="2" t="inlineStr">
        <is>
          <t>East</t>
        </is>
      </c>
      <c r="H1539" s="2" t="inlineStr">
        <is>
          <t>Bihar</t>
        </is>
      </c>
      <c r="I1539" s="2" t="inlineStr">
        <is>
          <t>Patna</t>
        </is>
      </c>
      <c r="J1539" s="2" t="inlineStr">
        <is>
          <t>Store</t>
        </is>
      </c>
      <c r="K1539" s="2" t="n">
        <v>2</v>
      </c>
      <c r="L1539" s="3" t="n">
        <v>1557.27</v>
      </c>
      <c r="M1539" s="4" t="n">
        <v>0.05</v>
      </c>
      <c r="N1539" s="3" t="n">
        <v>2014.77</v>
      </c>
      <c r="O1539" s="3">
        <f>K1539*L1539*(1-M1539)</f>
        <v/>
      </c>
      <c r="P1539" s="3">
        <f>O1539-N1539</f>
        <v/>
      </c>
      <c r="Q1539" s="5">
        <f>IFERROR(P1539/O1539,0)</f>
        <v/>
      </c>
      <c r="R1539" s="2">
        <f>TEXT(DATEVALUE(B1539),"mmm")</f>
        <v/>
      </c>
      <c r="S1539" s="2">
        <f>TEXT(DATEVALUE(B1539),"yyyy-mm")</f>
        <v/>
      </c>
    </row>
    <row r="1540">
      <c r="A1540" s="2" t="inlineStr">
        <is>
          <t>O000283</t>
        </is>
      </c>
      <c r="B1540" s="2" t="inlineStr">
        <is>
          <t>2025-04-23</t>
        </is>
      </c>
      <c r="C1540" s="2" t="inlineStr">
        <is>
          <t>C0710</t>
        </is>
      </c>
      <c r="D1540" s="2" t="inlineStr">
        <is>
          <t>P0022</t>
        </is>
      </c>
      <c r="E1540" s="2" t="inlineStr">
        <is>
          <t>Face Wash</t>
        </is>
      </c>
      <c r="F1540" s="2" t="inlineStr">
        <is>
          <t>Beauty</t>
        </is>
      </c>
      <c r="G1540" s="2" t="inlineStr">
        <is>
          <t>West</t>
        </is>
      </c>
      <c r="H1540" s="2" t="inlineStr">
        <is>
          <t>Goa</t>
        </is>
      </c>
      <c r="I1540" s="2" t="inlineStr">
        <is>
          <t>Panaji</t>
        </is>
      </c>
      <c r="J1540" s="2" t="inlineStr">
        <is>
          <t>Online</t>
        </is>
      </c>
      <c r="K1540" s="2" t="n">
        <v>3</v>
      </c>
      <c r="L1540" s="3" t="n">
        <v>561.2</v>
      </c>
      <c r="M1540" s="4" t="n">
        <v>0.05</v>
      </c>
      <c r="N1540" s="3" t="n">
        <v>1029.11</v>
      </c>
      <c r="O1540" s="3">
        <f>K1540*L1540*(1-M1540)</f>
        <v/>
      </c>
      <c r="P1540" s="3">
        <f>O1540-N1540</f>
        <v/>
      </c>
      <c r="Q1540" s="5">
        <f>IFERROR(P1540/O1540,0)</f>
        <v/>
      </c>
      <c r="R1540" s="2">
        <f>TEXT(DATEVALUE(B1540),"mmm")</f>
        <v/>
      </c>
      <c r="S1540" s="2">
        <f>TEXT(DATEVALUE(B1540),"yyyy-mm")</f>
        <v/>
      </c>
    </row>
    <row r="1541">
      <c r="A1541" s="2" t="inlineStr">
        <is>
          <t>O000206</t>
        </is>
      </c>
      <c r="B1541" s="2" t="inlineStr">
        <is>
          <t>2025-04-23</t>
        </is>
      </c>
      <c r="C1541" s="2" t="inlineStr">
        <is>
          <t>C0723</t>
        </is>
      </c>
      <c r="D1541" s="2" t="inlineStr">
        <is>
          <t>P0005</t>
        </is>
      </c>
      <c r="E1541" s="2" t="inlineStr">
        <is>
          <t>Power Bank</t>
        </is>
      </c>
      <c r="F1541" s="2" t="inlineStr">
        <is>
          <t>Electronics</t>
        </is>
      </c>
      <c r="G1541" s="2" t="inlineStr">
        <is>
          <t>North</t>
        </is>
      </c>
      <c r="H1541" s="2" t="inlineStr">
        <is>
          <t>Punjab</t>
        </is>
      </c>
      <c r="I1541" s="2" t="inlineStr">
        <is>
          <t>Jalandhar</t>
        </is>
      </c>
      <c r="J1541" s="2" t="inlineStr">
        <is>
          <t>Online</t>
        </is>
      </c>
      <c r="K1541" s="2" t="n">
        <v>2</v>
      </c>
      <c r="L1541" s="3" t="n">
        <v>1152.81</v>
      </c>
      <c r="M1541" s="4" t="n">
        <v>0</v>
      </c>
      <c r="N1541" s="3" t="n">
        <v>1332.25</v>
      </c>
      <c r="O1541" s="3">
        <f>K1541*L1541*(1-M1541)</f>
        <v/>
      </c>
      <c r="P1541" s="3">
        <f>O1541-N1541</f>
        <v/>
      </c>
      <c r="Q1541" s="5">
        <f>IFERROR(P1541/O1541,0)</f>
        <v/>
      </c>
      <c r="R1541" s="2">
        <f>TEXT(DATEVALUE(B1541),"mmm")</f>
        <v/>
      </c>
      <c r="S1541" s="2">
        <f>TEXT(DATEVALUE(B1541),"yyyy-mm")</f>
        <v/>
      </c>
    </row>
    <row r="1542">
      <c r="A1542" s="2" t="inlineStr">
        <is>
          <t>O000203</t>
        </is>
      </c>
      <c r="B1542" s="2" t="inlineStr">
        <is>
          <t>2025-04-23</t>
        </is>
      </c>
      <c r="C1542" s="2" t="inlineStr">
        <is>
          <t>C0480</t>
        </is>
      </c>
      <c r="D1542" s="2" t="inlineStr">
        <is>
          <t>P0022</t>
        </is>
      </c>
      <c r="E1542" s="2" t="inlineStr">
        <is>
          <t>Face Wash</t>
        </is>
      </c>
      <c r="F1542" s="2" t="inlineStr">
        <is>
          <t>Beauty</t>
        </is>
      </c>
      <c r="G1542" s="2" t="inlineStr">
        <is>
          <t>North</t>
        </is>
      </c>
      <c r="H1542" s="2" t="inlineStr">
        <is>
          <t>Haryana</t>
        </is>
      </c>
      <c r="I1542" s="2" t="inlineStr">
        <is>
          <t>Faridabad</t>
        </is>
      </c>
      <c r="J1542" s="2" t="inlineStr">
        <is>
          <t>Online</t>
        </is>
      </c>
      <c r="K1542" s="2" t="n">
        <v>3</v>
      </c>
      <c r="L1542" s="3" t="n">
        <v>568.4299999999999</v>
      </c>
      <c r="M1542" s="4" t="n">
        <v>0</v>
      </c>
      <c r="N1542" s="3" t="n">
        <v>1026.39</v>
      </c>
      <c r="O1542" s="3">
        <f>K1542*L1542*(1-M1542)</f>
        <v/>
      </c>
      <c r="P1542" s="3">
        <f>O1542-N1542</f>
        <v/>
      </c>
      <c r="Q1542" s="5">
        <f>IFERROR(P1542/O1542,0)</f>
        <v/>
      </c>
      <c r="R1542" s="2">
        <f>TEXT(DATEVALUE(B1542),"mmm")</f>
        <v/>
      </c>
      <c r="S1542" s="2">
        <f>TEXT(DATEVALUE(B1542),"yyyy-mm")</f>
        <v/>
      </c>
    </row>
    <row r="1543">
      <c r="A1543" s="2" t="inlineStr">
        <is>
          <t>O000201</t>
        </is>
      </c>
      <c r="B1543" s="2" t="inlineStr">
        <is>
          <t>2025-04-23</t>
        </is>
      </c>
      <c r="C1543" s="2" t="inlineStr">
        <is>
          <t>C0678</t>
        </is>
      </c>
      <c r="D1543" s="2" t="inlineStr">
        <is>
          <t>P0033</t>
        </is>
      </c>
      <c r="E1543" s="2" t="inlineStr">
        <is>
          <t>Resistance Bands</t>
        </is>
      </c>
      <c r="F1543" s="2" t="inlineStr">
        <is>
          <t>Sports</t>
        </is>
      </c>
      <c r="G1543" s="2" t="inlineStr">
        <is>
          <t>East</t>
        </is>
      </c>
      <c r="H1543" s="2" t="inlineStr">
        <is>
          <t>West Bengal</t>
        </is>
      </c>
      <c r="I1543" s="2" t="inlineStr">
        <is>
          <t>Kolkata</t>
        </is>
      </c>
      <c r="J1543" s="2" t="inlineStr">
        <is>
          <t>Store</t>
        </is>
      </c>
      <c r="K1543" s="2" t="n">
        <v>5</v>
      </c>
      <c r="L1543" s="3" t="n">
        <v>1163.3</v>
      </c>
      <c r="M1543" s="4" t="n">
        <v>0.1</v>
      </c>
      <c r="N1543" s="3" t="n">
        <v>3773.3</v>
      </c>
      <c r="O1543" s="3">
        <f>K1543*L1543*(1-M1543)</f>
        <v/>
      </c>
      <c r="P1543" s="3">
        <f>O1543-N1543</f>
        <v/>
      </c>
      <c r="Q1543" s="5">
        <f>IFERROR(P1543/O1543,0)</f>
        <v/>
      </c>
      <c r="R1543" s="2">
        <f>TEXT(DATEVALUE(B1543),"mmm")</f>
        <v/>
      </c>
      <c r="S1543" s="2">
        <f>TEXT(DATEVALUE(B1543),"yyyy-mm")</f>
        <v/>
      </c>
    </row>
    <row r="1544">
      <c r="A1544" s="2" t="inlineStr">
        <is>
          <t>O000196</t>
        </is>
      </c>
      <c r="B1544" s="2" t="inlineStr">
        <is>
          <t>2025-04-23</t>
        </is>
      </c>
      <c r="C1544" s="2" t="inlineStr">
        <is>
          <t>C0503</t>
        </is>
      </c>
      <c r="D1544" s="2" t="inlineStr">
        <is>
          <t>P0002</t>
        </is>
      </c>
      <c r="E1544" s="2" t="inlineStr">
        <is>
          <t>Bluetooth Speaker</t>
        </is>
      </c>
      <c r="F1544" s="2" t="inlineStr">
        <is>
          <t>Electronics</t>
        </is>
      </c>
      <c r="G1544" s="2" t="inlineStr">
        <is>
          <t>East</t>
        </is>
      </c>
      <c r="H1544" s="2" t="inlineStr">
        <is>
          <t>West Bengal</t>
        </is>
      </c>
      <c r="I1544" s="2" t="inlineStr">
        <is>
          <t>Kolkata</t>
        </is>
      </c>
      <c r="J1544" s="2" t="inlineStr">
        <is>
          <t>Store</t>
        </is>
      </c>
      <c r="K1544" s="2" t="n">
        <v>1</v>
      </c>
      <c r="L1544" s="3" t="n">
        <v>1353.43</v>
      </c>
      <c r="M1544" s="4" t="n">
        <v>0.05</v>
      </c>
      <c r="N1544" s="3" t="n">
        <v>851.22</v>
      </c>
      <c r="O1544" s="3">
        <f>K1544*L1544*(1-M1544)</f>
        <v/>
      </c>
      <c r="P1544" s="3">
        <f>O1544-N1544</f>
        <v/>
      </c>
      <c r="Q1544" s="5">
        <f>IFERROR(P1544/O1544,0)</f>
        <v/>
      </c>
      <c r="R1544" s="2">
        <f>TEXT(DATEVALUE(B1544),"mmm")</f>
        <v/>
      </c>
      <c r="S1544" s="2">
        <f>TEXT(DATEVALUE(B1544),"yyyy-mm")</f>
        <v/>
      </c>
    </row>
    <row r="1545">
      <c r="A1545" s="2" t="inlineStr">
        <is>
          <t>O001674</t>
        </is>
      </c>
      <c r="B1545" s="2" t="inlineStr">
        <is>
          <t>2025-04-23</t>
        </is>
      </c>
      <c r="C1545" s="2" t="inlineStr">
        <is>
          <t>C0771</t>
        </is>
      </c>
      <c r="D1545" s="2" t="inlineStr">
        <is>
          <t>P0018</t>
        </is>
      </c>
      <c r="E1545" s="2" t="inlineStr">
        <is>
          <t>Backpack</t>
        </is>
      </c>
      <c r="F1545" s="2" t="inlineStr">
        <is>
          <t>Fashion</t>
        </is>
      </c>
      <c r="G1545" s="2" t="inlineStr">
        <is>
          <t>West</t>
        </is>
      </c>
      <c r="H1545" s="2" t="inlineStr">
        <is>
          <t>Goa</t>
        </is>
      </c>
      <c r="I1545" s="2" t="inlineStr">
        <is>
          <t>Margao</t>
        </is>
      </c>
      <c r="J1545" s="2" t="inlineStr">
        <is>
          <t>Store</t>
        </is>
      </c>
      <c r="K1545" s="2" t="n">
        <v>1</v>
      </c>
      <c r="L1545" s="3" t="n">
        <v>1868.39</v>
      </c>
      <c r="M1545" s="4" t="n">
        <v>0.1</v>
      </c>
      <c r="N1545" s="3" t="n">
        <v>1384.31</v>
      </c>
      <c r="O1545" s="3">
        <f>K1545*L1545*(1-M1545)</f>
        <v/>
      </c>
      <c r="P1545" s="3">
        <f>O1545-N1545</f>
        <v/>
      </c>
      <c r="Q1545" s="5">
        <f>IFERROR(P1545/O1545,0)</f>
        <v/>
      </c>
      <c r="R1545" s="2">
        <f>TEXT(DATEVALUE(B1545),"mmm")</f>
        <v/>
      </c>
      <c r="S1545" s="2">
        <f>TEXT(DATEVALUE(B1545),"yyyy-mm")</f>
        <v/>
      </c>
    </row>
    <row r="1546">
      <c r="A1546" s="2" t="inlineStr">
        <is>
          <t>O004256</t>
        </is>
      </c>
      <c r="B1546" s="2" t="inlineStr">
        <is>
          <t>2025-04-24</t>
        </is>
      </c>
      <c r="C1546" s="2" t="inlineStr">
        <is>
          <t>C0616</t>
        </is>
      </c>
      <c r="D1546" s="2" t="inlineStr">
        <is>
          <t>P0007</t>
        </is>
      </c>
      <c r="E1546" s="2" t="inlineStr">
        <is>
          <t>Wireless Mouse</t>
        </is>
      </c>
      <c r="F1546" s="2" t="inlineStr">
        <is>
          <t>Electronics</t>
        </is>
      </c>
      <c r="G1546" s="2" t="inlineStr">
        <is>
          <t>West</t>
        </is>
      </c>
      <c r="H1546" s="2" t="inlineStr">
        <is>
          <t>Gujarat</t>
        </is>
      </c>
      <c r="I1546" s="2" t="inlineStr">
        <is>
          <t>Surat</t>
        </is>
      </c>
      <c r="J1546" s="2" t="inlineStr">
        <is>
          <t>Online</t>
        </is>
      </c>
      <c r="K1546" s="2" t="n">
        <v>1</v>
      </c>
      <c r="L1546" s="3" t="n">
        <v>1006.7</v>
      </c>
      <c r="M1546" s="4" t="n">
        <v>0.1</v>
      </c>
      <c r="N1546" s="3" t="n">
        <v>621.34</v>
      </c>
      <c r="O1546" s="3">
        <f>K1546*L1546*(1-M1546)</f>
        <v/>
      </c>
      <c r="P1546" s="3">
        <f>O1546-N1546</f>
        <v/>
      </c>
      <c r="Q1546" s="5">
        <f>IFERROR(P1546/O1546,0)</f>
        <v/>
      </c>
      <c r="R1546" s="2">
        <f>TEXT(DATEVALUE(B1546),"mmm")</f>
        <v/>
      </c>
      <c r="S1546" s="2">
        <f>TEXT(DATEVALUE(B1546),"yyyy-mm")</f>
        <v/>
      </c>
    </row>
    <row r="1547">
      <c r="A1547" s="2" t="inlineStr">
        <is>
          <t>O004048</t>
        </is>
      </c>
      <c r="B1547" s="2" t="inlineStr">
        <is>
          <t>2025-04-24</t>
        </is>
      </c>
      <c r="C1547" s="2" t="inlineStr">
        <is>
          <t>C0086</t>
        </is>
      </c>
      <c r="D1547" s="2" t="inlineStr">
        <is>
          <t>P0019</t>
        </is>
      </c>
      <c r="E1547" s="2" t="inlineStr">
        <is>
          <t>Jacket</t>
        </is>
      </c>
      <c r="F1547" s="2" t="inlineStr">
        <is>
          <t>Fashion</t>
        </is>
      </c>
      <c r="G1547" s="2" t="inlineStr">
        <is>
          <t>South</t>
        </is>
      </c>
      <c r="H1547" s="2" t="inlineStr">
        <is>
          <t>Telangana</t>
        </is>
      </c>
      <c r="I1547" s="2" t="inlineStr">
        <is>
          <t>Hyderabad</t>
        </is>
      </c>
      <c r="J1547" s="2" t="inlineStr">
        <is>
          <t>Online</t>
        </is>
      </c>
      <c r="K1547" s="2" t="n">
        <v>1</v>
      </c>
      <c r="L1547" s="3" t="n">
        <v>992.71</v>
      </c>
      <c r="M1547" s="4" t="n">
        <v>0.05</v>
      </c>
      <c r="N1547" s="3" t="n">
        <v>655.04</v>
      </c>
      <c r="O1547" s="3">
        <f>K1547*L1547*(1-M1547)</f>
        <v/>
      </c>
      <c r="P1547" s="3">
        <f>O1547-N1547</f>
        <v/>
      </c>
      <c r="Q1547" s="5">
        <f>IFERROR(P1547/O1547,0)</f>
        <v/>
      </c>
      <c r="R1547" s="2">
        <f>TEXT(DATEVALUE(B1547),"mmm")</f>
        <v/>
      </c>
      <c r="S1547" s="2">
        <f>TEXT(DATEVALUE(B1547),"yyyy-mm")</f>
        <v/>
      </c>
    </row>
    <row r="1548">
      <c r="A1548" s="2" t="inlineStr">
        <is>
          <t>O003547</t>
        </is>
      </c>
      <c r="B1548" s="2" t="inlineStr">
        <is>
          <t>2025-04-24</t>
        </is>
      </c>
      <c r="C1548" s="2" t="inlineStr">
        <is>
          <t>C0590</t>
        </is>
      </c>
      <c r="D1548" s="2" t="inlineStr">
        <is>
          <t>P0016</t>
        </is>
      </c>
      <c r="E1548" s="2" t="inlineStr">
        <is>
          <t>Casual Shirt</t>
        </is>
      </c>
      <c r="F1548" s="2" t="inlineStr">
        <is>
          <t>Fashion</t>
        </is>
      </c>
      <c r="G1548" s="2" t="inlineStr">
        <is>
          <t>East</t>
        </is>
      </c>
      <c r="H1548" s="2" t="inlineStr">
        <is>
          <t>Bihar</t>
        </is>
      </c>
      <c r="I1548" s="2" t="inlineStr">
        <is>
          <t>Patna</t>
        </is>
      </c>
      <c r="J1548" s="2" t="inlineStr">
        <is>
          <t>Online</t>
        </is>
      </c>
      <c r="K1548" s="2" t="n">
        <v>2</v>
      </c>
      <c r="L1548" s="3" t="n">
        <v>1337.57</v>
      </c>
      <c r="M1548" s="4" t="n">
        <v>0.1</v>
      </c>
      <c r="N1548" s="3" t="n">
        <v>1754.2</v>
      </c>
      <c r="O1548" s="3">
        <f>K1548*L1548*(1-M1548)</f>
        <v/>
      </c>
      <c r="P1548" s="3">
        <f>O1548-N1548</f>
        <v/>
      </c>
      <c r="Q1548" s="5">
        <f>IFERROR(P1548/O1548,0)</f>
        <v/>
      </c>
      <c r="R1548" s="2">
        <f>TEXT(DATEVALUE(B1548),"mmm")</f>
        <v/>
      </c>
      <c r="S1548" s="2">
        <f>TEXT(DATEVALUE(B1548),"yyyy-mm")</f>
        <v/>
      </c>
    </row>
    <row r="1549">
      <c r="A1549" s="2" t="inlineStr">
        <is>
          <t>O002985</t>
        </is>
      </c>
      <c r="B1549" s="2" t="inlineStr">
        <is>
          <t>2025-04-24</t>
        </is>
      </c>
      <c r="C1549" s="2" t="inlineStr">
        <is>
          <t>C0532</t>
        </is>
      </c>
      <c r="D1549" s="2" t="inlineStr">
        <is>
          <t>P0013</t>
        </is>
      </c>
      <c r="E1549" s="2" t="inlineStr">
        <is>
          <t>Storage Organizer</t>
        </is>
      </c>
      <c r="F1549" s="2" t="inlineStr">
        <is>
          <t>Home &amp; Kitchen</t>
        </is>
      </c>
      <c r="G1549" s="2" t="inlineStr">
        <is>
          <t>East</t>
        </is>
      </c>
      <c r="H1549" s="2" t="inlineStr">
        <is>
          <t>Bihar</t>
        </is>
      </c>
      <c r="I1549" s="2" t="inlineStr">
        <is>
          <t>Patna</t>
        </is>
      </c>
      <c r="J1549" s="2" t="inlineStr">
        <is>
          <t>Online</t>
        </is>
      </c>
      <c r="K1549" s="2" t="n">
        <v>4</v>
      </c>
      <c r="L1549" s="3" t="n">
        <v>598.0599999999999</v>
      </c>
      <c r="M1549" s="4" t="n">
        <v>0.05</v>
      </c>
      <c r="N1549" s="3" t="n">
        <v>1425.96</v>
      </c>
      <c r="O1549" s="3">
        <f>K1549*L1549*(1-M1549)</f>
        <v/>
      </c>
      <c r="P1549" s="3">
        <f>O1549-N1549</f>
        <v/>
      </c>
      <c r="Q1549" s="5">
        <f>IFERROR(P1549/O1549,0)</f>
        <v/>
      </c>
      <c r="R1549" s="2">
        <f>TEXT(DATEVALUE(B1549),"mmm")</f>
        <v/>
      </c>
      <c r="S1549" s="2">
        <f>TEXT(DATEVALUE(B1549),"yyyy-mm")</f>
        <v/>
      </c>
    </row>
    <row r="1550">
      <c r="A1550" s="2" t="inlineStr">
        <is>
          <t>O002610</t>
        </is>
      </c>
      <c r="B1550" s="2" t="inlineStr">
        <is>
          <t>2025-04-24</t>
        </is>
      </c>
      <c r="C1550" s="2" t="inlineStr">
        <is>
          <t>C0456</t>
        </is>
      </c>
      <c r="D1550" s="2" t="inlineStr">
        <is>
          <t>P0017</t>
        </is>
      </c>
      <c r="E1550" s="2" t="inlineStr">
        <is>
          <t>Jeans</t>
        </is>
      </c>
      <c r="F1550" s="2" t="inlineStr">
        <is>
          <t>Fashion</t>
        </is>
      </c>
      <c r="G1550" s="2" t="inlineStr">
        <is>
          <t>East</t>
        </is>
      </c>
      <c r="H1550" s="2" t="inlineStr">
        <is>
          <t>Bihar</t>
        </is>
      </c>
      <c r="I1550" s="2" t="inlineStr">
        <is>
          <t>Gaya</t>
        </is>
      </c>
      <c r="J1550" s="2" t="inlineStr">
        <is>
          <t>Store</t>
        </is>
      </c>
      <c r="K1550" s="2" t="n">
        <v>1</v>
      </c>
      <c r="L1550" s="3" t="n">
        <v>1432.15</v>
      </c>
      <c r="M1550" s="4" t="n">
        <v>0</v>
      </c>
      <c r="N1550" s="3" t="n">
        <v>1036.05</v>
      </c>
      <c r="O1550" s="3">
        <f>K1550*L1550*(1-M1550)</f>
        <v/>
      </c>
      <c r="P1550" s="3">
        <f>O1550-N1550</f>
        <v/>
      </c>
      <c r="Q1550" s="5">
        <f>IFERROR(P1550/O1550,0)</f>
        <v/>
      </c>
      <c r="R1550" s="2">
        <f>TEXT(DATEVALUE(B1550),"mmm")</f>
        <v/>
      </c>
      <c r="S1550" s="2">
        <f>TEXT(DATEVALUE(B1550),"yyyy-mm")</f>
        <v/>
      </c>
    </row>
    <row r="1551">
      <c r="A1551" s="2" t="inlineStr">
        <is>
          <t>O000535</t>
        </is>
      </c>
      <c r="B1551" s="2" t="inlineStr">
        <is>
          <t>2025-04-24</t>
        </is>
      </c>
      <c r="C1551" s="2" t="inlineStr">
        <is>
          <t>C0444</t>
        </is>
      </c>
      <c r="D1551" s="2" t="inlineStr">
        <is>
          <t>P0013</t>
        </is>
      </c>
      <c r="E1551" s="2" t="inlineStr">
        <is>
          <t>Storage Organizer</t>
        </is>
      </c>
      <c r="F1551" s="2" t="inlineStr">
        <is>
          <t>Home &amp; Kitchen</t>
        </is>
      </c>
      <c r="G1551" s="2" t="inlineStr">
        <is>
          <t>North</t>
        </is>
      </c>
      <c r="H1551" s="2" t="inlineStr">
        <is>
          <t>Uttar Pradesh</t>
        </is>
      </c>
      <c r="I1551" s="2" t="inlineStr">
        <is>
          <t>Noida</t>
        </is>
      </c>
      <c r="J1551" s="2" t="inlineStr">
        <is>
          <t>Online</t>
        </is>
      </c>
      <c r="K1551" s="2" t="n">
        <v>3</v>
      </c>
      <c r="L1551" s="3" t="n">
        <v>561.41</v>
      </c>
      <c r="M1551" s="4" t="n">
        <v>0</v>
      </c>
      <c r="N1551" s="3" t="n">
        <v>1088.79</v>
      </c>
      <c r="O1551" s="3">
        <f>K1551*L1551*(1-M1551)</f>
        <v/>
      </c>
      <c r="P1551" s="3">
        <f>O1551-N1551</f>
        <v/>
      </c>
      <c r="Q1551" s="5">
        <f>IFERROR(P1551/O1551,0)</f>
        <v/>
      </c>
      <c r="R1551" s="2">
        <f>TEXT(DATEVALUE(B1551),"mmm")</f>
        <v/>
      </c>
      <c r="S1551" s="2">
        <f>TEXT(DATEVALUE(B1551),"yyyy-mm")</f>
        <v/>
      </c>
    </row>
    <row r="1552">
      <c r="A1552" s="2" t="inlineStr">
        <is>
          <t>O002060</t>
        </is>
      </c>
      <c r="B1552" s="2" t="inlineStr">
        <is>
          <t>2025-04-24</t>
        </is>
      </c>
      <c r="C1552" s="2" t="inlineStr">
        <is>
          <t>C0454</t>
        </is>
      </c>
      <c r="D1552" s="2" t="inlineStr">
        <is>
          <t>P0009</t>
        </is>
      </c>
      <c r="E1552" s="2" t="inlineStr">
        <is>
          <t>Electric Kettle</t>
        </is>
      </c>
      <c r="F1552" s="2" t="inlineStr">
        <is>
          <t>Home &amp; Kitchen</t>
        </is>
      </c>
      <c r="G1552" s="2" t="inlineStr">
        <is>
          <t>South</t>
        </is>
      </c>
      <c r="H1552" s="2" t="inlineStr">
        <is>
          <t>Karnataka</t>
        </is>
      </c>
      <c r="I1552" s="2" t="inlineStr">
        <is>
          <t>Mangaluru</t>
        </is>
      </c>
      <c r="J1552" s="2" t="inlineStr">
        <is>
          <t>Store</t>
        </is>
      </c>
      <c r="K1552" s="2" t="n">
        <v>1</v>
      </c>
      <c r="L1552" s="3" t="n">
        <v>2175.58</v>
      </c>
      <c r="M1552" s="4" t="n">
        <v>0.1</v>
      </c>
      <c r="N1552" s="3" t="n">
        <v>1165.53</v>
      </c>
      <c r="O1552" s="3">
        <f>K1552*L1552*(1-M1552)</f>
        <v/>
      </c>
      <c r="P1552" s="3">
        <f>O1552-N1552</f>
        <v/>
      </c>
      <c r="Q1552" s="5">
        <f>IFERROR(P1552/O1552,0)</f>
        <v/>
      </c>
      <c r="R1552" s="2">
        <f>TEXT(DATEVALUE(B1552),"mmm")</f>
        <v/>
      </c>
      <c r="S1552" s="2">
        <f>TEXT(DATEVALUE(B1552),"yyyy-mm")</f>
        <v/>
      </c>
    </row>
    <row r="1553">
      <c r="A1553" s="2" t="inlineStr">
        <is>
          <t>O001614</t>
        </is>
      </c>
      <c r="B1553" s="2" t="inlineStr">
        <is>
          <t>2025-04-24</t>
        </is>
      </c>
      <c r="C1553" s="2" t="inlineStr">
        <is>
          <t>C0694</t>
        </is>
      </c>
      <c r="D1553" s="2" t="inlineStr">
        <is>
          <t>P0029</t>
        </is>
      </c>
      <c r="E1553" s="2" t="inlineStr">
        <is>
          <t>Yoga Mat</t>
        </is>
      </c>
      <c r="F1553" s="2" t="inlineStr">
        <is>
          <t>Sports</t>
        </is>
      </c>
      <c r="G1553" s="2" t="inlineStr">
        <is>
          <t>West</t>
        </is>
      </c>
      <c r="H1553" s="2" t="inlineStr">
        <is>
          <t>Maharashtra</t>
        </is>
      </c>
      <c r="I1553" s="2" t="inlineStr">
        <is>
          <t>Mumbai</t>
        </is>
      </c>
      <c r="J1553" s="2" t="inlineStr">
        <is>
          <t>Store</t>
        </is>
      </c>
      <c r="K1553" s="2" t="n">
        <v>1</v>
      </c>
      <c r="L1553" s="3" t="n">
        <v>2330.78</v>
      </c>
      <c r="M1553" s="4" t="n">
        <v>0.1</v>
      </c>
      <c r="N1553" s="3" t="n">
        <v>1313.53</v>
      </c>
      <c r="O1553" s="3">
        <f>K1553*L1553*(1-M1553)</f>
        <v/>
      </c>
      <c r="P1553" s="3">
        <f>O1553-N1553</f>
        <v/>
      </c>
      <c r="Q1553" s="5">
        <f>IFERROR(P1553/O1553,0)</f>
        <v/>
      </c>
      <c r="R1553" s="2">
        <f>TEXT(DATEVALUE(B1553),"mmm")</f>
        <v/>
      </c>
      <c r="S1553" s="2">
        <f>TEXT(DATEVALUE(B1553),"yyyy-mm")</f>
        <v/>
      </c>
    </row>
    <row r="1554">
      <c r="A1554" s="2" t="inlineStr">
        <is>
          <t>O001234</t>
        </is>
      </c>
      <c r="B1554" s="2" t="inlineStr">
        <is>
          <t>2025-04-24</t>
        </is>
      </c>
      <c r="C1554" s="2" t="inlineStr">
        <is>
          <t>C0096</t>
        </is>
      </c>
      <c r="D1554" s="2" t="inlineStr">
        <is>
          <t>P0026</t>
        </is>
      </c>
      <c r="E1554" s="2" t="inlineStr">
        <is>
          <t>Shampoo</t>
        </is>
      </c>
      <c r="F1554" s="2" t="inlineStr">
        <is>
          <t>Beauty</t>
        </is>
      </c>
      <c r="G1554" s="2" t="inlineStr">
        <is>
          <t>North</t>
        </is>
      </c>
      <c r="H1554" s="2" t="inlineStr">
        <is>
          <t>Haryana</t>
        </is>
      </c>
      <c r="I1554" s="2" t="inlineStr">
        <is>
          <t>Faridabad</t>
        </is>
      </c>
      <c r="J1554" s="2" t="inlineStr">
        <is>
          <t>Store</t>
        </is>
      </c>
      <c r="K1554" s="2" t="n">
        <v>1</v>
      </c>
      <c r="L1554" s="3" t="n">
        <v>909.95</v>
      </c>
      <c r="M1554" s="4" t="n">
        <v>0.1</v>
      </c>
      <c r="N1554" s="3" t="n">
        <v>514.3099999999999</v>
      </c>
      <c r="O1554" s="3">
        <f>K1554*L1554*(1-M1554)</f>
        <v/>
      </c>
      <c r="P1554" s="3">
        <f>O1554-N1554</f>
        <v/>
      </c>
      <c r="Q1554" s="5">
        <f>IFERROR(P1554/O1554,0)</f>
        <v/>
      </c>
      <c r="R1554" s="2">
        <f>TEXT(DATEVALUE(B1554),"mmm")</f>
        <v/>
      </c>
      <c r="S1554" s="2">
        <f>TEXT(DATEVALUE(B1554),"yyyy-mm")</f>
        <v/>
      </c>
    </row>
    <row r="1555">
      <c r="A1555" s="2" t="inlineStr">
        <is>
          <t>O000362</t>
        </is>
      </c>
      <c r="B1555" s="2" t="inlineStr">
        <is>
          <t>2025-04-24</t>
        </is>
      </c>
      <c r="C1555" s="2" t="inlineStr">
        <is>
          <t>C0014</t>
        </is>
      </c>
      <c r="D1555" s="2" t="inlineStr">
        <is>
          <t>P0013</t>
        </is>
      </c>
      <c r="E1555" s="2" t="inlineStr">
        <is>
          <t>Storage Organizer</t>
        </is>
      </c>
      <c r="F1555" s="2" t="inlineStr">
        <is>
          <t>Home &amp; Kitchen</t>
        </is>
      </c>
      <c r="G1555" s="2" t="inlineStr">
        <is>
          <t>South</t>
        </is>
      </c>
      <c r="H1555" s="2" t="inlineStr">
        <is>
          <t>Tamil Nadu</t>
        </is>
      </c>
      <c r="I1555" s="2" t="inlineStr">
        <is>
          <t>Madurai</t>
        </is>
      </c>
      <c r="J1555" s="2" t="inlineStr">
        <is>
          <t>Online</t>
        </is>
      </c>
      <c r="K1555" s="2" t="n">
        <v>3</v>
      </c>
      <c r="L1555" s="3" t="n">
        <v>583.34</v>
      </c>
      <c r="M1555" s="4" t="n">
        <v>0.1</v>
      </c>
      <c r="N1555" s="3" t="n">
        <v>1102.27</v>
      </c>
      <c r="O1555" s="3">
        <f>K1555*L1555*(1-M1555)</f>
        <v/>
      </c>
      <c r="P1555" s="3">
        <f>O1555-N1555</f>
        <v/>
      </c>
      <c r="Q1555" s="5">
        <f>IFERROR(P1555/O1555,0)</f>
        <v/>
      </c>
      <c r="R1555" s="2">
        <f>TEXT(DATEVALUE(B1555),"mmm")</f>
        <v/>
      </c>
      <c r="S1555" s="2">
        <f>TEXT(DATEVALUE(B1555),"yyyy-mm")</f>
        <v/>
      </c>
    </row>
    <row r="1556">
      <c r="A1556" s="2" t="inlineStr">
        <is>
          <t>O004464</t>
        </is>
      </c>
      <c r="B1556" s="2" t="inlineStr">
        <is>
          <t>2025-04-24</t>
        </is>
      </c>
      <c r="C1556" s="2" t="inlineStr">
        <is>
          <t>C0465</t>
        </is>
      </c>
      <c r="D1556" s="2" t="inlineStr">
        <is>
          <t>P0024</t>
        </is>
      </c>
      <c r="E1556" s="2" t="inlineStr">
        <is>
          <t>Hair Dryer</t>
        </is>
      </c>
      <c r="F1556" s="2" t="inlineStr">
        <is>
          <t>Beauty</t>
        </is>
      </c>
      <c r="G1556" s="2" t="inlineStr">
        <is>
          <t>West</t>
        </is>
      </c>
      <c r="H1556" s="2" t="inlineStr">
        <is>
          <t>Gujarat</t>
        </is>
      </c>
      <c r="I1556" s="2" t="inlineStr">
        <is>
          <t>Ahmedabad</t>
        </is>
      </c>
      <c r="J1556" s="2" t="inlineStr">
        <is>
          <t>Store</t>
        </is>
      </c>
      <c r="K1556" s="2" t="n">
        <v>1</v>
      </c>
      <c r="L1556" s="3" t="n">
        <v>1005.02</v>
      </c>
      <c r="M1556" s="4" t="n">
        <v>0.05</v>
      </c>
      <c r="N1556" s="3" t="n">
        <v>710.91</v>
      </c>
      <c r="O1556" s="3">
        <f>K1556*L1556*(1-M1556)</f>
        <v/>
      </c>
      <c r="P1556" s="3">
        <f>O1556-N1556</f>
        <v/>
      </c>
      <c r="Q1556" s="5">
        <f>IFERROR(P1556/O1556,0)</f>
        <v/>
      </c>
      <c r="R1556" s="2">
        <f>TEXT(DATEVALUE(B1556),"mmm")</f>
        <v/>
      </c>
      <c r="S1556" s="2">
        <f>TEXT(DATEVALUE(B1556),"yyyy-mm")</f>
        <v/>
      </c>
    </row>
    <row r="1557">
      <c r="A1557" s="2" t="inlineStr">
        <is>
          <t>O002349</t>
        </is>
      </c>
      <c r="B1557" s="2" t="inlineStr">
        <is>
          <t>2025-04-24</t>
        </is>
      </c>
      <c r="C1557" s="2" t="inlineStr">
        <is>
          <t>C0550</t>
        </is>
      </c>
      <c r="D1557" s="2" t="inlineStr">
        <is>
          <t>P0004</t>
        </is>
      </c>
      <c r="E1557" s="2" t="inlineStr">
        <is>
          <t>USB-C Hub</t>
        </is>
      </c>
      <c r="F1557" s="2" t="inlineStr">
        <is>
          <t>Electronics</t>
        </is>
      </c>
      <c r="G1557" s="2" t="inlineStr">
        <is>
          <t>East</t>
        </is>
      </c>
      <c r="H1557" s="2" t="inlineStr">
        <is>
          <t>West Bengal</t>
        </is>
      </c>
      <c r="I1557" s="2" t="inlineStr">
        <is>
          <t>Kolkata</t>
        </is>
      </c>
      <c r="J1557" s="2" t="inlineStr">
        <is>
          <t>Store</t>
        </is>
      </c>
      <c r="K1557" s="2" t="n">
        <v>3</v>
      </c>
      <c r="L1557" s="3" t="n">
        <v>1321.6</v>
      </c>
      <c r="M1557" s="4" t="n">
        <v>0.25</v>
      </c>
      <c r="N1557" s="3" t="n">
        <v>2725.01</v>
      </c>
      <c r="O1557" s="3">
        <f>K1557*L1557*(1-M1557)</f>
        <v/>
      </c>
      <c r="P1557" s="3">
        <f>O1557-N1557</f>
        <v/>
      </c>
      <c r="Q1557" s="5">
        <f>IFERROR(P1557/O1557,0)</f>
        <v/>
      </c>
      <c r="R1557" s="2">
        <f>TEXT(DATEVALUE(B1557),"mmm")</f>
        <v/>
      </c>
      <c r="S1557" s="2">
        <f>TEXT(DATEVALUE(B1557),"yyyy-mm")</f>
        <v/>
      </c>
    </row>
    <row r="1558">
      <c r="A1558" s="2" t="inlineStr">
        <is>
          <t>O004839</t>
        </is>
      </c>
      <c r="B1558" s="2" t="inlineStr">
        <is>
          <t>2025-04-24</t>
        </is>
      </c>
      <c r="C1558" s="2" t="inlineStr">
        <is>
          <t>C0202</t>
        </is>
      </c>
      <c r="D1558" s="2" t="inlineStr">
        <is>
          <t>P0022</t>
        </is>
      </c>
      <c r="E1558" s="2" t="inlineStr">
        <is>
          <t>Face Wash</t>
        </is>
      </c>
      <c r="F1558" s="2" t="inlineStr">
        <is>
          <t>Beauty</t>
        </is>
      </c>
      <c r="G1558" s="2" t="inlineStr">
        <is>
          <t>South</t>
        </is>
      </c>
      <c r="H1558" s="2" t="inlineStr">
        <is>
          <t>Karnataka</t>
        </is>
      </c>
      <c r="I1558" s="2" t="inlineStr">
        <is>
          <t>Mangaluru</t>
        </is>
      </c>
      <c r="J1558" s="2" t="inlineStr">
        <is>
          <t>Store</t>
        </is>
      </c>
      <c r="K1558" s="2" t="n">
        <v>3</v>
      </c>
      <c r="L1558" s="3" t="n">
        <v>574.3200000000001</v>
      </c>
      <c r="M1558" s="4" t="n">
        <v>0.15</v>
      </c>
      <c r="N1558" s="3" t="n">
        <v>1067.87</v>
      </c>
      <c r="O1558" s="3">
        <f>K1558*L1558*(1-M1558)</f>
        <v/>
      </c>
      <c r="P1558" s="3">
        <f>O1558-N1558</f>
        <v/>
      </c>
      <c r="Q1558" s="5">
        <f>IFERROR(P1558/O1558,0)</f>
        <v/>
      </c>
      <c r="R1558" s="2">
        <f>TEXT(DATEVALUE(B1558),"mmm")</f>
        <v/>
      </c>
      <c r="S1558" s="2">
        <f>TEXT(DATEVALUE(B1558),"yyyy-mm")</f>
        <v/>
      </c>
    </row>
    <row r="1559">
      <c r="A1559" s="2" t="inlineStr">
        <is>
          <t>O003095</t>
        </is>
      </c>
      <c r="B1559" s="2" t="inlineStr">
        <is>
          <t>2025-04-25</t>
        </is>
      </c>
      <c r="C1559" s="2" t="inlineStr">
        <is>
          <t>C0780</t>
        </is>
      </c>
      <c r="D1559" s="2" t="inlineStr">
        <is>
          <t>P0007</t>
        </is>
      </c>
      <c r="E1559" s="2" t="inlineStr">
        <is>
          <t>Wireless Mouse</t>
        </is>
      </c>
      <c r="F1559" s="2" t="inlineStr">
        <is>
          <t>Electronics</t>
        </is>
      </c>
      <c r="G1559" s="2" t="inlineStr">
        <is>
          <t>West</t>
        </is>
      </c>
      <c r="H1559" s="2" t="inlineStr">
        <is>
          <t>Goa</t>
        </is>
      </c>
      <c r="I1559" s="2" t="inlineStr">
        <is>
          <t>Margao</t>
        </is>
      </c>
      <c r="J1559" s="2" t="inlineStr">
        <is>
          <t>Store</t>
        </is>
      </c>
      <c r="K1559" s="2" t="n">
        <v>4</v>
      </c>
      <c r="L1559" s="3" t="n">
        <v>972.77</v>
      </c>
      <c r="M1559" s="4" t="n">
        <v>0.1</v>
      </c>
      <c r="N1559" s="3" t="n">
        <v>2578.86</v>
      </c>
      <c r="O1559" s="3">
        <f>K1559*L1559*(1-M1559)</f>
        <v/>
      </c>
      <c r="P1559" s="3">
        <f>O1559-N1559</f>
        <v/>
      </c>
      <c r="Q1559" s="5">
        <f>IFERROR(P1559/O1559,0)</f>
        <v/>
      </c>
      <c r="R1559" s="2">
        <f>TEXT(DATEVALUE(B1559),"mmm")</f>
        <v/>
      </c>
      <c r="S1559" s="2">
        <f>TEXT(DATEVALUE(B1559),"yyyy-mm")</f>
        <v/>
      </c>
    </row>
    <row r="1560">
      <c r="A1560" s="2" t="inlineStr">
        <is>
          <t>O004573</t>
        </is>
      </c>
      <c r="B1560" s="2" t="inlineStr">
        <is>
          <t>2025-04-25</t>
        </is>
      </c>
      <c r="C1560" s="2" t="inlineStr">
        <is>
          <t>C0280</t>
        </is>
      </c>
      <c r="D1560" s="2" t="inlineStr">
        <is>
          <t>P0010</t>
        </is>
      </c>
      <c r="E1560" s="2" t="inlineStr">
        <is>
          <t>Mixer Grinder</t>
        </is>
      </c>
      <c r="F1560" s="2" t="inlineStr">
        <is>
          <t>Home &amp; Kitchen</t>
        </is>
      </c>
      <c r="G1560" s="2" t="inlineStr">
        <is>
          <t>South</t>
        </is>
      </c>
      <c r="H1560" s="2" t="inlineStr">
        <is>
          <t>Telangana</t>
        </is>
      </c>
      <c r="I1560" s="2" t="inlineStr">
        <is>
          <t>Warangal</t>
        </is>
      </c>
      <c r="J1560" s="2" t="inlineStr">
        <is>
          <t>Online</t>
        </is>
      </c>
      <c r="K1560" s="2" t="n">
        <v>1</v>
      </c>
      <c r="L1560" s="3" t="n">
        <v>1577.54</v>
      </c>
      <c r="M1560" s="4" t="n">
        <v>0</v>
      </c>
      <c r="N1560" s="3" t="n">
        <v>1019</v>
      </c>
      <c r="O1560" s="3">
        <f>K1560*L1560*(1-M1560)</f>
        <v/>
      </c>
      <c r="P1560" s="3">
        <f>O1560-N1560</f>
        <v/>
      </c>
      <c r="Q1560" s="5">
        <f>IFERROR(P1560/O1560,0)</f>
        <v/>
      </c>
      <c r="R1560" s="2">
        <f>TEXT(DATEVALUE(B1560),"mmm")</f>
        <v/>
      </c>
      <c r="S1560" s="2">
        <f>TEXT(DATEVALUE(B1560),"yyyy-mm")</f>
        <v/>
      </c>
    </row>
    <row r="1561">
      <c r="A1561" s="2" t="inlineStr">
        <is>
          <t>O002328</t>
        </is>
      </c>
      <c r="B1561" s="2" t="inlineStr">
        <is>
          <t>2025-04-25</t>
        </is>
      </c>
      <c r="C1561" s="2" t="inlineStr">
        <is>
          <t>C0330</t>
        </is>
      </c>
      <c r="D1561" s="2" t="inlineStr">
        <is>
          <t>P0027</t>
        </is>
      </c>
      <c r="E1561" s="2" t="inlineStr">
        <is>
          <t>Moisturizer</t>
        </is>
      </c>
      <c r="F1561" s="2" t="inlineStr">
        <is>
          <t>Beauty</t>
        </is>
      </c>
      <c r="G1561" s="2" t="inlineStr">
        <is>
          <t>South</t>
        </is>
      </c>
      <c r="H1561" s="2" t="inlineStr">
        <is>
          <t>Kerala</t>
        </is>
      </c>
      <c r="I1561" s="2" t="inlineStr">
        <is>
          <t>Thiruvananthapuram</t>
        </is>
      </c>
      <c r="J1561" s="2" t="inlineStr">
        <is>
          <t>Store</t>
        </is>
      </c>
      <c r="K1561" s="2" t="n">
        <v>4</v>
      </c>
      <c r="L1561" s="3" t="n">
        <v>965.9299999999999</v>
      </c>
      <c r="M1561" s="4" t="n">
        <v>0.15</v>
      </c>
      <c r="N1561" s="3" t="n">
        <v>2762.11</v>
      </c>
      <c r="O1561" s="3">
        <f>K1561*L1561*(1-M1561)</f>
        <v/>
      </c>
      <c r="P1561" s="3">
        <f>O1561-N1561</f>
        <v/>
      </c>
      <c r="Q1561" s="5">
        <f>IFERROR(P1561/O1561,0)</f>
        <v/>
      </c>
      <c r="R1561" s="2">
        <f>TEXT(DATEVALUE(B1561),"mmm")</f>
        <v/>
      </c>
      <c r="S1561" s="2">
        <f>TEXT(DATEVALUE(B1561),"yyyy-mm")</f>
        <v/>
      </c>
    </row>
    <row r="1562">
      <c r="A1562" s="2" t="inlineStr">
        <is>
          <t>O001317</t>
        </is>
      </c>
      <c r="B1562" s="2" t="inlineStr">
        <is>
          <t>2025-04-25</t>
        </is>
      </c>
      <c r="C1562" s="2" t="inlineStr">
        <is>
          <t>C0477</t>
        </is>
      </c>
      <c r="D1562" s="2" t="inlineStr">
        <is>
          <t>P0010</t>
        </is>
      </c>
      <c r="E1562" s="2" t="inlineStr">
        <is>
          <t>Mixer Grinder</t>
        </is>
      </c>
      <c r="F1562" s="2" t="inlineStr">
        <is>
          <t>Home &amp; Kitchen</t>
        </is>
      </c>
      <c r="G1562" s="2" t="inlineStr">
        <is>
          <t>North</t>
        </is>
      </c>
      <c r="H1562" s="2" t="inlineStr">
        <is>
          <t>Punjab</t>
        </is>
      </c>
      <c r="I1562" s="2" t="inlineStr">
        <is>
          <t>Jalandhar</t>
        </is>
      </c>
      <c r="J1562" s="2" t="inlineStr">
        <is>
          <t>Store</t>
        </is>
      </c>
      <c r="K1562" s="2" t="n">
        <v>3</v>
      </c>
      <c r="L1562" s="3" t="n">
        <v>1560.17</v>
      </c>
      <c r="M1562" s="4" t="n">
        <v>0.2</v>
      </c>
      <c r="N1562" s="3" t="n">
        <v>3027.92</v>
      </c>
      <c r="O1562" s="3">
        <f>K1562*L1562*(1-M1562)</f>
        <v/>
      </c>
      <c r="P1562" s="3">
        <f>O1562-N1562</f>
        <v/>
      </c>
      <c r="Q1562" s="5">
        <f>IFERROR(P1562/O1562,0)</f>
        <v/>
      </c>
      <c r="R1562" s="2">
        <f>TEXT(DATEVALUE(B1562),"mmm")</f>
        <v/>
      </c>
      <c r="S1562" s="2">
        <f>TEXT(DATEVALUE(B1562),"yyyy-mm")</f>
        <v/>
      </c>
    </row>
    <row r="1563">
      <c r="A1563" s="2" t="inlineStr">
        <is>
          <t>O001115</t>
        </is>
      </c>
      <c r="B1563" s="2" t="inlineStr">
        <is>
          <t>2025-04-25</t>
        </is>
      </c>
      <c r="C1563" s="2" t="inlineStr">
        <is>
          <t>C0150</t>
        </is>
      </c>
      <c r="D1563" s="2" t="inlineStr">
        <is>
          <t>P0016</t>
        </is>
      </c>
      <c r="E1563" s="2" t="inlineStr">
        <is>
          <t>Casual Shirt</t>
        </is>
      </c>
      <c r="F1563" s="2" t="inlineStr">
        <is>
          <t>Fashion</t>
        </is>
      </c>
      <c r="G1563" s="2" t="inlineStr">
        <is>
          <t>East</t>
        </is>
      </c>
      <c r="H1563" s="2" t="inlineStr">
        <is>
          <t>West Bengal</t>
        </is>
      </c>
      <c r="I1563" s="2" t="inlineStr">
        <is>
          <t>Kolkata</t>
        </is>
      </c>
      <c r="J1563" s="2" t="inlineStr">
        <is>
          <t>Store</t>
        </is>
      </c>
      <c r="K1563" s="2" t="n">
        <v>3</v>
      </c>
      <c r="L1563" s="3" t="n">
        <v>1235.86</v>
      </c>
      <c r="M1563" s="4" t="n">
        <v>0.05</v>
      </c>
      <c r="N1563" s="3" t="n">
        <v>2793</v>
      </c>
      <c r="O1563" s="3">
        <f>K1563*L1563*(1-M1563)</f>
        <v/>
      </c>
      <c r="P1563" s="3">
        <f>O1563-N1563</f>
        <v/>
      </c>
      <c r="Q1563" s="5">
        <f>IFERROR(P1563/O1563,0)</f>
        <v/>
      </c>
      <c r="R1563" s="2">
        <f>TEXT(DATEVALUE(B1563),"mmm")</f>
        <v/>
      </c>
      <c r="S1563" s="2">
        <f>TEXT(DATEVALUE(B1563),"yyyy-mm")</f>
        <v/>
      </c>
    </row>
    <row r="1564">
      <c r="A1564" s="2" t="inlineStr">
        <is>
          <t>O000531</t>
        </is>
      </c>
      <c r="B1564" s="2" t="inlineStr">
        <is>
          <t>2025-04-25</t>
        </is>
      </c>
      <c r="C1564" s="2" t="inlineStr">
        <is>
          <t>C0734</t>
        </is>
      </c>
      <c r="D1564" s="2" t="inlineStr">
        <is>
          <t>P0018</t>
        </is>
      </c>
      <c r="E1564" s="2" t="inlineStr">
        <is>
          <t>Backpack</t>
        </is>
      </c>
      <c r="F1564" s="2" t="inlineStr">
        <is>
          <t>Fashion</t>
        </is>
      </c>
      <c r="G1564" s="2" t="inlineStr">
        <is>
          <t>West</t>
        </is>
      </c>
      <c r="H1564" s="2" t="inlineStr">
        <is>
          <t>Goa</t>
        </is>
      </c>
      <c r="I1564" s="2" t="inlineStr">
        <is>
          <t>Panaji</t>
        </is>
      </c>
      <c r="J1564" s="2" t="inlineStr">
        <is>
          <t>Store</t>
        </is>
      </c>
      <c r="K1564" s="2" t="n">
        <v>1</v>
      </c>
      <c r="L1564" s="3" t="n">
        <v>1768.1</v>
      </c>
      <c r="M1564" s="4" t="n">
        <v>0.05</v>
      </c>
      <c r="N1564" s="3" t="n">
        <v>1386.05</v>
      </c>
      <c r="O1564" s="3">
        <f>K1564*L1564*(1-M1564)</f>
        <v/>
      </c>
      <c r="P1564" s="3">
        <f>O1564-N1564</f>
        <v/>
      </c>
      <c r="Q1564" s="5">
        <f>IFERROR(P1564/O1564,0)</f>
        <v/>
      </c>
      <c r="R1564" s="2">
        <f>TEXT(DATEVALUE(B1564),"mmm")</f>
        <v/>
      </c>
      <c r="S1564" s="2">
        <f>TEXT(DATEVALUE(B1564),"yyyy-mm")</f>
        <v/>
      </c>
    </row>
    <row r="1565">
      <c r="A1565" s="2" t="inlineStr">
        <is>
          <t>O001620</t>
        </is>
      </c>
      <c r="B1565" s="2" t="inlineStr">
        <is>
          <t>2025-04-25</t>
        </is>
      </c>
      <c r="C1565" s="2" t="inlineStr">
        <is>
          <t>C0545</t>
        </is>
      </c>
      <c r="D1565" s="2" t="inlineStr">
        <is>
          <t>P0016</t>
        </is>
      </c>
      <c r="E1565" s="2" t="inlineStr">
        <is>
          <t>Casual Shirt</t>
        </is>
      </c>
      <c r="F1565" s="2" t="inlineStr">
        <is>
          <t>Fashion</t>
        </is>
      </c>
      <c r="G1565" s="2" t="inlineStr">
        <is>
          <t>West</t>
        </is>
      </c>
      <c r="H1565" s="2" t="inlineStr">
        <is>
          <t>Gujarat</t>
        </is>
      </c>
      <c r="I1565" s="2" t="inlineStr">
        <is>
          <t>Ahmedabad</t>
        </is>
      </c>
      <c r="J1565" s="2" t="inlineStr">
        <is>
          <t>Online</t>
        </is>
      </c>
      <c r="K1565" s="2" t="n">
        <v>2</v>
      </c>
      <c r="L1565" s="3" t="n">
        <v>1246.04</v>
      </c>
      <c r="M1565" s="4" t="n">
        <v>0.05</v>
      </c>
      <c r="N1565" s="3" t="n">
        <v>1762.43</v>
      </c>
      <c r="O1565" s="3">
        <f>K1565*L1565*(1-M1565)</f>
        <v/>
      </c>
      <c r="P1565" s="3">
        <f>O1565-N1565</f>
        <v/>
      </c>
      <c r="Q1565" s="5">
        <f>IFERROR(P1565/O1565,0)</f>
        <v/>
      </c>
      <c r="R1565" s="2">
        <f>TEXT(DATEVALUE(B1565),"mmm")</f>
        <v/>
      </c>
      <c r="S1565" s="2">
        <f>TEXT(DATEVALUE(B1565),"yyyy-mm")</f>
        <v/>
      </c>
    </row>
    <row r="1566">
      <c r="A1566" s="2" t="inlineStr">
        <is>
          <t>O004042</t>
        </is>
      </c>
      <c r="B1566" s="2" t="inlineStr">
        <is>
          <t>2025-04-26</t>
        </is>
      </c>
      <c r="C1566" s="2" t="inlineStr">
        <is>
          <t>C0654</t>
        </is>
      </c>
      <c r="D1566" s="2" t="inlineStr">
        <is>
          <t>P0011</t>
        </is>
      </c>
      <c r="E1566" s="2" t="inlineStr">
        <is>
          <t>Cookware Set</t>
        </is>
      </c>
      <c r="F1566" s="2" t="inlineStr">
        <is>
          <t>Home &amp; Kitchen</t>
        </is>
      </c>
      <c r="G1566" s="2" t="inlineStr">
        <is>
          <t>West</t>
        </is>
      </c>
      <c r="H1566" s="2" t="inlineStr">
        <is>
          <t>Gujarat</t>
        </is>
      </c>
      <c r="I1566" s="2" t="inlineStr">
        <is>
          <t>Surat</t>
        </is>
      </c>
      <c r="J1566" s="2" t="inlineStr">
        <is>
          <t>Store</t>
        </is>
      </c>
      <c r="K1566" s="2" t="n">
        <v>1</v>
      </c>
      <c r="L1566" s="3" t="n">
        <v>712.66</v>
      </c>
      <c r="M1566" s="4" t="n">
        <v>0.05</v>
      </c>
      <c r="N1566" s="3" t="n">
        <v>458.35</v>
      </c>
      <c r="O1566" s="3">
        <f>K1566*L1566*(1-M1566)</f>
        <v/>
      </c>
      <c r="P1566" s="3">
        <f>O1566-N1566</f>
        <v/>
      </c>
      <c r="Q1566" s="5">
        <f>IFERROR(P1566/O1566,0)</f>
        <v/>
      </c>
      <c r="R1566" s="2">
        <f>TEXT(DATEVALUE(B1566),"mmm")</f>
        <v/>
      </c>
      <c r="S1566" s="2">
        <f>TEXT(DATEVALUE(B1566),"yyyy-mm")</f>
        <v/>
      </c>
    </row>
    <row r="1567">
      <c r="A1567" s="2" t="inlineStr">
        <is>
          <t>O004942</t>
        </is>
      </c>
      <c r="B1567" s="2" t="inlineStr">
        <is>
          <t>2025-04-26</t>
        </is>
      </c>
      <c r="C1567" s="2" t="inlineStr">
        <is>
          <t>C0443</t>
        </is>
      </c>
      <c r="D1567" s="2" t="inlineStr">
        <is>
          <t>P0024</t>
        </is>
      </c>
      <c r="E1567" s="2" t="inlineStr">
        <is>
          <t>Hair Dryer</t>
        </is>
      </c>
      <c r="F1567" s="2" t="inlineStr">
        <is>
          <t>Beauty</t>
        </is>
      </c>
      <c r="G1567" s="2" t="inlineStr">
        <is>
          <t>West</t>
        </is>
      </c>
      <c r="H1567" s="2" t="inlineStr">
        <is>
          <t>Goa</t>
        </is>
      </c>
      <c r="I1567" s="2" t="inlineStr">
        <is>
          <t>Margao</t>
        </is>
      </c>
      <c r="J1567" s="2" t="inlineStr">
        <is>
          <t>Online</t>
        </is>
      </c>
      <c r="K1567" s="2" t="n">
        <v>3</v>
      </c>
      <c r="L1567" s="3" t="n">
        <v>981.02</v>
      </c>
      <c r="M1567" s="4" t="n">
        <v>0.15</v>
      </c>
      <c r="N1567" s="3" t="n">
        <v>2209.22</v>
      </c>
      <c r="O1567" s="3">
        <f>K1567*L1567*(1-M1567)</f>
        <v/>
      </c>
      <c r="P1567" s="3">
        <f>O1567-N1567</f>
        <v/>
      </c>
      <c r="Q1567" s="5">
        <f>IFERROR(P1567/O1567,0)</f>
        <v/>
      </c>
      <c r="R1567" s="2">
        <f>TEXT(DATEVALUE(B1567),"mmm")</f>
        <v/>
      </c>
      <c r="S1567" s="2">
        <f>TEXT(DATEVALUE(B1567),"yyyy-mm")</f>
        <v/>
      </c>
    </row>
    <row r="1568">
      <c r="A1568" s="2" t="inlineStr">
        <is>
          <t>O004672</t>
        </is>
      </c>
      <c r="B1568" s="2" t="inlineStr">
        <is>
          <t>2025-04-26</t>
        </is>
      </c>
      <c r="C1568" s="2" t="inlineStr">
        <is>
          <t>C0081</t>
        </is>
      </c>
      <c r="D1568" s="2" t="inlineStr">
        <is>
          <t>P0023</t>
        </is>
      </c>
      <c r="E1568" s="2" t="inlineStr">
        <is>
          <t>Skin Care Kit</t>
        </is>
      </c>
      <c r="F1568" s="2" t="inlineStr">
        <is>
          <t>Beauty</t>
        </is>
      </c>
      <c r="G1568" s="2" t="inlineStr">
        <is>
          <t>North</t>
        </is>
      </c>
      <c r="H1568" s="2" t="inlineStr">
        <is>
          <t>Uttar Pradesh</t>
        </is>
      </c>
      <c r="I1568" s="2" t="inlineStr">
        <is>
          <t>Varanasi</t>
        </is>
      </c>
      <c r="J1568" s="2" t="inlineStr">
        <is>
          <t>Online</t>
        </is>
      </c>
      <c r="K1568" s="2" t="n">
        <v>1</v>
      </c>
      <c r="L1568" s="3" t="n">
        <v>1410.83</v>
      </c>
      <c r="M1568" s="4" t="n">
        <v>0.15</v>
      </c>
      <c r="N1568" s="3" t="n">
        <v>874.39</v>
      </c>
      <c r="O1568" s="3">
        <f>K1568*L1568*(1-M1568)</f>
        <v/>
      </c>
      <c r="P1568" s="3">
        <f>O1568-N1568</f>
        <v/>
      </c>
      <c r="Q1568" s="5">
        <f>IFERROR(P1568/O1568,0)</f>
        <v/>
      </c>
      <c r="R1568" s="2">
        <f>TEXT(DATEVALUE(B1568),"mmm")</f>
        <v/>
      </c>
      <c r="S1568" s="2">
        <f>TEXT(DATEVALUE(B1568),"yyyy-mm")</f>
        <v/>
      </c>
    </row>
    <row r="1569">
      <c r="A1569" s="2" t="inlineStr">
        <is>
          <t>O004110</t>
        </is>
      </c>
      <c r="B1569" s="2" t="inlineStr">
        <is>
          <t>2025-04-26</t>
        </is>
      </c>
      <c r="C1569" s="2" t="inlineStr">
        <is>
          <t>C0376</t>
        </is>
      </c>
      <c r="D1569" s="2" t="inlineStr">
        <is>
          <t>P0023</t>
        </is>
      </c>
      <c r="E1569" s="2" t="inlineStr">
        <is>
          <t>Skin Care Kit</t>
        </is>
      </c>
      <c r="F1569" s="2" t="inlineStr">
        <is>
          <t>Beauty</t>
        </is>
      </c>
      <c r="G1569" s="2" t="inlineStr">
        <is>
          <t>South</t>
        </is>
      </c>
      <c r="H1569" s="2" t="inlineStr">
        <is>
          <t>Telangana</t>
        </is>
      </c>
      <c r="I1569" s="2" t="inlineStr">
        <is>
          <t>Hyderabad</t>
        </is>
      </c>
      <c r="J1569" s="2" t="inlineStr">
        <is>
          <t>Online</t>
        </is>
      </c>
      <c r="K1569" s="2" t="n">
        <v>2</v>
      </c>
      <c r="L1569" s="3" t="n">
        <v>1363.4</v>
      </c>
      <c r="M1569" s="4" t="n">
        <v>0.2</v>
      </c>
      <c r="N1569" s="3" t="n">
        <v>1828.59</v>
      </c>
      <c r="O1569" s="3">
        <f>K1569*L1569*(1-M1569)</f>
        <v/>
      </c>
      <c r="P1569" s="3">
        <f>O1569-N1569</f>
        <v/>
      </c>
      <c r="Q1569" s="5">
        <f>IFERROR(P1569/O1569,0)</f>
        <v/>
      </c>
      <c r="R1569" s="2">
        <f>TEXT(DATEVALUE(B1569),"mmm")</f>
        <v/>
      </c>
      <c r="S1569" s="2">
        <f>TEXT(DATEVALUE(B1569),"yyyy-mm")</f>
        <v/>
      </c>
    </row>
    <row r="1570">
      <c r="A1570" s="2" t="inlineStr">
        <is>
          <t>O004087</t>
        </is>
      </c>
      <c r="B1570" s="2" t="inlineStr">
        <is>
          <t>2025-04-26</t>
        </is>
      </c>
      <c r="C1570" s="2" t="inlineStr">
        <is>
          <t>C0512</t>
        </is>
      </c>
      <c r="D1570" s="2" t="inlineStr">
        <is>
          <t>P0001</t>
        </is>
      </c>
      <c r="E1570" s="2" t="inlineStr">
        <is>
          <t>Wireless Headphones</t>
        </is>
      </c>
      <c r="F1570" s="2" t="inlineStr">
        <is>
          <t>Electronics</t>
        </is>
      </c>
      <c r="G1570" s="2" t="inlineStr">
        <is>
          <t>South</t>
        </is>
      </c>
      <c r="H1570" s="2" t="inlineStr">
        <is>
          <t>Telangana</t>
        </is>
      </c>
      <c r="I1570" s="2" t="inlineStr">
        <is>
          <t>Warangal</t>
        </is>
      </c>
      <c r="J1570" s="2" t="inlineStr">
        <is>
          <t>Online</t>
        </is>
      </c>
      <c r="K1570" s="2" t="n">
        <v>4</v>
      </c>
      <c r="L1570" s="3" t="n">
        <v>1310.75</v>
      </c>
      <c r="M1570" s="4" t="n">
        <v>0.05</v>
      </c>
      <c r="N1570" s="3" t="n">
        <v>2741.9</v>
      </c>
      <c r="O1570" s="3">
        <f>K1570*L1570*(1-M1570)</f>
        <v/>
      </c>
      <c r="P1570" s="3">
        <f>O1570-N1570</f>
        <v/>
      </c>
      <c r="Q1570" s="5">
        <f>IFERROR(P1570/O1570,0)</f>
        <v/>
      </c>
      <c r="R1570" s="2">
        <f>TEXT(DATEVALUE(B1570),"mmm")</f>
        <v/>
      </c>
      <c r="S1570" s="2">
        <f>TEXT(DATEVALUE(B1570),"yyyy-mm")</f>
        <v/>
      </c>
    </row>
    <row r="1571">
      <c r="A1571" s="2" t="inlineStr">
        <is>
          <t>O004053</t>
        </is>
      </c>
      <c r="B1571" s="2" t="inlineStr">
        <is>
          <t>2025-04-26</t>
        </is>
      </c>
      <c r="C1571" s="2" t="inlineStr">
        <is>
          <t>C0506</t>
        </is>
      </c>
      <c r="D1571" s="2" t="inlineStr">
        <is>
          <t>P0011</t>
        </is>
      </c>
      <c r="E1571" s="2" t="inlineStr">
        <is>
          <t>Cookware Set</t>
        </is>
      </c>
      <c r="F1571" s="2" t="inlineStr">
        <is>
          <t>Home &amp; Kitchen</t>
        </is>
      </c>
      <c r="G1571" s="2" t="inlineStr">
        <is>
          <t>East</t>
        </is>
      </c>
      <c r="H1571" s="2" t="inlineStr">
        <is>
          <t>Odisha</t>
        </is>
      </c>
      <c r="I1571" s="2" t="inlineStr">
        <is>
          <t>Cuttack</t>
        </is>
      </c>
      <c r="J1571" s="2" t="inlineStr">
        <is>
          <t>Online</t>
        </is>
      </c>
      <c r="K1571" s="2" t="n">
        <v>1</v>
      </c>
      <c r="L1571" s="3" t="n">
        <v>733.39</v>
      </c>
      <c r="M1571" s="4" t="n">
        <v>0</v>
      </c>
      <c r="N1571" s="3" t="n">
        <v>460.88</v>
      </c>
      <c r="O1571" s="3">
        <f>K1571*L1571*(1-M1571)</f>
        <v/>
      </c>
      <c r="P1571" s="3">
        <f>O1571-N1571</f>
        <v/>
      </c>
      <c r="Q1571" s="5">
        <f>IFERROR(P1571/O1571,0)</f>
        <v/>
      </c>
      <c r="R1571" s="2">
        <f>TEXT(DATEVALUE(B1571),"mmm")</f>
        <v/>
      </c>
      <c r="S1571" s="2">
        <f>TEXT(DATEVALUE(B1571),"yyyy-mm")</f>
        <v/>
      </c>
    </row>
    <row r="1572">
      <c r="A1572" s="2" t="inlineStr">
        <is>
          <t>O003532</t>
        </is>
      </c>
      <c r="B1572" s="2" t="inlineStr">
        <is>
          <t>2025-04-26</t>
        </is>
      </c>
      <c r="C1572" s="2" t="inlineStr">
        <is>
          <t>C0174</t>
        </is>
      </c>
      <c r="D1572" s="2" t="inlineStr">
        <is>
          <t>P0024</t>
        </is>
      </c>
      <c r="E1572" s="2" t="inlineStr">
        <is>
          <t>Hair Dryer</t>
        </is>
      </c>
      <c r="F1572" s="2" t="inlineStr">
        <is>
          <t>Beauty</t>
        </is>
      </c>
      <c r="G1572" s="2" t="inlineStr">
        <is>
          <t>South</t>
        </is>
      </c>
      <c r="H1572" s="2" t="inlineStr">
        <is>
          <t>Tamil Nadu</t>
        </is>
      </c>
      <c r="I1572" s="2" t="inlineStr">
        <is>
          <t>Chennai</t>
        </is>
      </c>
      <c r="J1572" s="2" t="inlineStr">
        <is>
          <t>Online</t>
        </is>
      </c>
      <c r="K1572" s="2" t="n">
        <v>1</v>
      </c>
      <c r="L1572" s="3" t="n">
        <v>1010.58</v>
      </c>
      <c r="M1572" s="4" t="n">
        <v>0</v>
      </c>
      <c r="N1572" s="3" t="n">
        <v>729.05</v>
      </c>
      <c r="O1572" s="3">
        <f>K1572*L1572*(1-M1572)</f>
        <v/>
      </c>
      <c r="P1572" s="3">
        <f>O1572-N1572</f>
        <v/>
      </c>
      <c r="Q1572" s="5">
        <f>IFERROR(P1572/O1572,0)</f>
        <v/>
      </c>
      <c r="R1572" s="2">
        <f>TEXT(DATEVALUE(B1572),"mmm")</f>
        <v/>
      </c>
      <c r="S1572" s="2">
        <f>TEXT(DATEVALUE(B1572),"yyyy-mm")</f>
        <v/>
      </c>
    </row>
    <row r="1573">
      <c r="A1573" s="2" t="inlineStr">
        <is>
          <t>O003396</t>
        </is>
      </c>
      <c r="B1573" s="2" t="inlineStr">
        <is>
          <t>2025-04-26</t>
        </is>
      </c>
      <c r="C1573" s="2" t="inlineStr">
        <is>
          <t>C0694</t>
        </is>
      </c>
      <c r="D1573" s="2" t="inlineStr">
        <is>
          <t>P0012</t>
        </is>
      </c>
      <c r="E1573" s="2" t="inlineStr">
        <is>
          <t>Water Bottle</t>
        </is>
      </c>
      <c r="F1573" s="2" t="inlineStr">
        <is>
          <t>Home &amp; Kitchen</t>
        </is>
      </c>
      <c r="G1573" s="2" t="inlineStr">
        <is>
          <t>North</t>
        </is>
      </c>
      <c r="H1573" s="2" t="inlineStr">
        <is>
          <t>Uttar Pradesh</t>
        </is>
      </c>
      <c r="I1573" s="2" t="inlineStr">
        <is>
          <t>Noida</t>
        </is>
      </c>
      <c r="J1573" s="2" t="inlineStr">
        <is>
          <t>Online</t>
        </is>
      </c>
      <c r="K1573" s="2" t="n">
        <v>3</v>
      </c>
      <c r="L1573" s="3" t="n">
        <v>976.84</v>
      </c>
      <c r="M1573" s="4" t="n">
        <v>0.1</v>
      </c>
      <c r="N1573" s="3" t="n">
        <v>1880.53</v>
      </c>
      <c r="O1573" s="3">
        <f>K1573*L1573*(1-M1573)</f>
        <v/>
      </c>
      <c r="P1573" s="3">
        <f>O1573-N1573</f>
        <v/>
      </c>
      <c r="Q1573" s="5">
        <f>IFERROR(P1573/O1573,0)</f>
        <v/>
      </c>
      <c r="R1573" s="2">
        <f>TEXT(DATEVALUE(B1573),"mmm")</f>
        <v/>
      </c>
      <c r="S1573" s="2">
        <f>TEXT(DATEVALUE(B1573),"yyyy-mm")</f>
        <v/>
      </c>
    </row>
    <row r="1574">
      <c r="A1574" s="2" t="inlineStr">
        <is>
          <t>O002943</t>
        </is>
      </c>
      <c r="B1574" s="2" t="inlineStr">
        <is>
          <t>2025-04-26</t>
        </is>
      </c>
      <c r="C1574" s="2" t="inlineStr">
        <is>
          <t>C0766</t>
        </is>
      </c>
      <c r="D1574" s="2" t="inlineStr">
        <is>
          <t>P0007</t>
        </is>
      </c>
      <c r="E1574" s="2" t="inlineStr">
        <is>
          <t>Wireless Mouse</t>
        </is>
      </c>
      <c r="F1574" s="2" t="inlineStr">
        <is>
          <t>Electronics</t>
        </is>
      </c>
      <c r="G1574" s="2" t="inlineStr">
        <is>
          <t>South</t>
        </is>
      </c>
      <c r="H1574" s="2" t="inlineStr">
        <is>
          <t>Telangana</t>
        </is>
      </c>
      <c r="I1574" s="2" t="inlineStr">
        <is>
          <t>Warangal</t>
        </is>
      </c>
      <c r="J1574" s="2" t="inlineStr">
        <is>
          <t>Online</t>
        </is>
      </c>
      <c r="K1574" s="2" t="n">
        <v>1</v>
      </c>
      <c r="L1574" s="3" t="n">
        <v>963.39</v>
      </c>
      <c r="M1574" s="4" t="n">
        <v>0</v>
      </c>
      <c r="N1574" s="3" t="n">
        <v>611.48</v>
      </c>
      <c r="O1574" s="3">
        <f>K1574*L1574*(1-M1574)</f>
        <v/>
      </c>
      <c r="P1574" s="3">
        <f>O1574-N1574</f>
        <v/>
      </c>
      <c r="Q1574" s="5">
        <f>IFERROR(P1574/O1574,0)</f>
        <v/>
      </c>
      <c r="R1574" s="2">
        <f>TEXT(DATEVALUE(B1574),"mmm")</f>
        <v/>
      </c>
      <c r="S1574" s="2">
        <f>TEXT(DATEVALUE(B1574),"yyyy-mm")</f>
        <v/>
      </c>
    </row>
    <row r="1575">
      <c r="A1575" s="2" t="inlineStr">
        <is>
          <t>O002766</t>
        </is>
      </c>
      <c r="B1575" s="2" t="inlineStr">
        <is>
          <t>2025-04-26</t>
        </is>
      </c>
      <c r="C1575" s="2" t="inlineStr">
        <is>
          <t>C0099</t>
        </is>
      </c>
      <c r="D1575" s="2" t="inlineStr">
        <is>
          <t>P0011</t>
        </is>
      </c>
      <c r="E1575" s="2" t="inlineStr">
        <is>
          <t>Cookware Set</t>
        </is>
      </c>
      <c r="F1575" s="2" t="inlineStr">
        <is>
          <t>Home &amp; Kitchen</t>
        </is>
      </c>
      <c r="G1575" s="2" t="inlineStr">
        <is>
          <t>North</t>
        </is>
      </c>
      <c r="H1575" s="2" t="inlineStr">
        <is>
          <t>Haryana</t>
        </is>
      </c>
      <c r="I1575" s="2" t="inlineStr">
        <is>
          <t>Faridabad</t>
        </is>
      </c>
      <c r="J1575" s="2" t="inlineStr">
        <is>
          <t>Online</t>
        </is>
      </c>
      <c r="K1575" s="2" t="n">
        <v>1</v>
      </c>
      <c r="L1575" s="3" t="n">
        <v>699.08</v>
      </c>
      <c r="M1575" s="4" t="n">
        <v>0.05</v>
      </c>
      <c r="N1575" s="3" t="n">
        <v>486.37</v>
      </c>
      <c r="O1575" s="3">
        <f>K1575*L1575*(1-M1575)</f>
        <v/>
      </c>
      <c r="P1575" s="3">
        <f>O1575-N1575</f>
        <v/>
      </c>
      <c r="Q1575" s="5">
        <f>IFERROR(P1575/O1575,0)</f>
        <v/>
      </c>
      <c r="R1575" s="2">
        <f>TEXT(DATEVALUE(B1575),"mmm")</f>
        <v/>
      </c>
      <c r="S1575" s="2">
        <f>TEXT(DATEVALUE(B1575),"yyyy-mm")</f>
        <v/>
      </c>
    </row>
    <row r="1576">
      <c r="A1576" s="2" t="inlineStr">
        <is>
          <t>O002464</t>
        </is>
      </c>
      <c r="B1576" s="2" t="inlineStr">
        <is>
          <t>2025-04-26</t>
        </is>
      </c>
      <c r="C1576" s="2" t="inlineStr">
        <is>
          <t>C0521</t>
        </is>
      </c>
      <c r="D1576" s="2" t="inlineStr">
        <is>
          <t>P0032</t>
        </is>
      </c>
      <c r="E1576" s="2" t="inlineStr">
        <is>
          <t>Football</t>
        </is>
      </c>
      <c r="F1576" s="2" t="inlineStr">
        <is>
          <t>Sports</t>
        </is>
      </c>
      <c r="G1576" s="2" t="inlineStr">
        <is>
          <t>South</t>
        </is>
      </c>
      <c r="H1576" s="2" t="inlineStr">
        <is>
          <t>Tamil Nadu</t>
        </is>
      </c>
      <c r="I1576" s="2" t="inlineStr">
        <is>
          <t>Coimbatore</t>
        </is>
      </c>
      <c r="J1576" s="2" t="inlineStr">
        <is>
          <t>Store</t>
        </is>
      </c>
      <c r="K1576" s="2" t="n">
        <v>3</v>
      </c>
      <c r="L1576" s="3" t="n">
        <v>842.99</v>
      </c>
      <c r="M1576" s="4" t="n">
        <v>0.05</v>
      </c>
      <c r="N1576" s="3" t="n">
        <v>1644.09</v>
      </c>
      <c r="O1576" s="3">
        <f>K1576*L1576*(1-M1576)</f>
        <v/>
      </c>
      <c r="P1576" s="3">
        <f>O1576-N1576</f>
        <v/>
      </c>
      <c r="Q1576" s="5">
        <f>IFERROR(P1576/O1576,0)</f>
        <v/>
      </c>
      <c r="R1576" s="2">
        <f>TEXT(DATEVALUE(B1576),"mmm")</f>
        <v/>
      </c>
      <c r="S1576" s="2">
        <f>TEXT(DATEVALUE(B1576),"yyyy-mm")</f>
        <v/>
      </c>
    </row>
    <row r="1577">
      <c r="A1577" s="2" t="inlineStr">
        <is>
          <t>O002305</t>
        </is>
      </c>
      <c r="B1577" s="2" t="inlineStr">
        <is>
          <t>2025-04-26</t>
        </is>
      </c>
      <c r="C1577" s="2" t="inlineStr">
        <is>
          <t>C0261</t>
        </is>
      </c>
      <c r="D1577" s="2" t="inlineStr">
        <is>
          <t>P0006</t>
        </is>
      </c>
      <c r="E1577" s="2" t="inlineStr">
        <is>
          <t>Mechanical Keyboard</t>
        </is>
      </c>
      <c r="F1577" s="2" t="inlineStr">
        <is>
          <t>Electronics</t>
        </is>
      </c>
      <c r="G1577" s="2" t="inlineStr">
        <is>
          <t>West</t>
        </is>
      </c>
      <c r="H1577" s="2" t="inlineStr">
        <is>
          <t>Maharashtra</t>
        </is>
      </c>
      <c r="I1577" s="2" t="inlineStr">
        <is>
          <t>Nagpur</t>
        </is>
      </c>
      <c r="J1577" s="2" t="inlineStr">
        <is>
          <t>Store</t>
        </is>
      </c>
      <c r="K1577" s="2" t="n">
        <v>1</v>
      </c>
      <c r="L1577" s="3" t="n">
        <v>2717.25</v>
      </c>
      <c r="M1577" s="4" t="n">
        <v>0</v>
      </c>
      <c r="N1577" s="3" t="n">
        <v>1493.51</v>
      </c>
      <c r="O1577" s="3">
        <f>K1577*L1577*(1-M1577)</f>
        <v/>
      </c>
      <c r="P1577" s="3">
        <f>O1577-N1577</f>
        <v/>
      </c>
      <c r="Q1577" s="5">
        <f>IFERROR(P1577/O1577,0)</f>
        <v/>
      </c>
      <c r="R1577" s="2">
        <f>TEXT(DATEVALUE(B1577),"mmm")</f>
        <v/>
      </c>
      <c r="S1577" s="2">
        <f>TEXT(DATEVALUE(B1577),"yyyy-mm")</f>
        <v/>
      </c>
    </row>
    <row r="1578">
      <c r="A1578" s="2" t="inlineStr">
        <is>
          <t>O001829</t>
        </is>
      </c>
      <c r="B1578" s="2" t="inlineStr">
        <is>
          <t>2025-04-26</t>
        </is>
      </c>
      <c r="C1578" s="2" t="inlineStr">
        <is>
          <t>C0198</t>
        </is>
      </c>
      <c r="D1578" s="2" t="inlineStr">
        <is>
          <t>P0001</t>
        </is>
      </c>
      <c r="E1578" s="2" t="inlineStr">
        <is>
          <t>Wireless Headphones</t>
        </is>
      </c>
      <c r="F1578" s="2" t="inlineStr">
        <is>
          <t>Electronics</t>
        </is>
      </c>
      <c r="G1578" s="2" t="inlineStr">
        <is>
          <t>South</t>
        </is>
      </c>
      <c r="H1578" s="2" t="inlineStr">
        <is>
          <t>Kerala</t>
        </is>
      </c>
      <c r="I1578" s="2" t="inlineStr">
        <is>
          <t>Kochi</t>
        </is>
      </c>
      <c r="J1578" s="2" t="inlineStr">
        <is>
          <t>Store</t>
        </is>
      </c>
      <c r="K1578" s="2" t="n">
        <v>2</v>
      </c>
      <c r="L1578" s="3" t="n">
        <v>1316.48</v>
      </c>
      <c r="M1578" s="4" t="n">
        <v>0.05</v>
      </c>
      <c r="N1578" s="3" t="n">
        <v>1385.52</v>
      </c>
      <c r="O1578" s="3">
        <f>K1578*L1578*(1-M1578)</f>
        <v/>
      </c>
      <c r="P1578" s="3">
        <f>O1578-N1578</f>
        <v/>
      </c>
      <c r="Q1578" s="5">
        <f>IFERROR(P1578/O1578,0)</f>
        <v/>
      </c>
      <c r="R1578" s="2">
        <f>TEXT(DATEVALUE(B1578),"mmm")</f>
        <v/>
      </c>
      <c r="S1578" s="2">
        <f>TEXT(DATEVALUE(B1578),"yyyy-mm")</f>
        <v/>
      </c>
    </row>
    <row r="1579">
      <c r="A1579" s="2" t="inlineStr">
        <is>
          <t>O000346</t>
        </is>
      </c>
      <c r="B1579" s="2" t="inlineStr">
        <is>
          <t>2025-04-26</t>
        </is>
      </c>
      <c r="C1579" s="2" t="inlineStr">
        <is>
          <t>C0715</t>
        </is>
      </c>
      <c r="D1579" s="2" t="inlineStr">
        <is>
          <t>P0007</t>
        </is>
      </c>
      <c r="E1579" s="2" t="inlineStr">
        <is>
          <t>Wireless Mouse</t>
        </is>
      </c>
      <c r="F1579" s="2" t="inlineStr">
        <is>
          <t>Electronics</t>
        </is>
      </c>
      <c r="G1579" s="2" t="inlineStr">
        <is>
          <t>West</t>
        </is>
      </c>
      <c r="H1579" s="2" t="inlineStr">
        <is>
          <t>Gujarat</t>
        </is>
      </c>
      <c r="I1579" s="2" t="inlineStr">
        <is>
          <t>Surat</t>
        </is>
      </c>
      <c r="J1579" s="2" t="inlineStr">
        <is>
          <t>Online</t>
        </is>
      </c>
      <c r="K1579" s="2" t="n">
        <v>1</v>
      </c>
      <c r="L1579" s="3" t="n">
        <v>1026.65</v>
      </c>
      <c r="M1579" s="4" t="n">
        <v>0.05</v>
      </c>
      <c r="N1579" s="3" t="n">
        <v>623.77</v>
      </c>
      <c r="O1579" s="3">
        <f>K1579*L1579*(1-M1579)</f>
        <v/>
      </c>
      <c r="P1579" s="3">
        <f>O1579-N1579</f>
        <v/>
      </c>
      <c r="Q1579" s="5">
        <f>IFERROR(P1579/O1579,0)</f>
        <v/>
      </c>
      <c r="R1579" s="2">
        <f>TEXT(DATEVALUE(B1579),"mmm")</f>
        <v/>
      </c>
      <c r="S1579" s="2">
        <f>TEXT(DATEVALUE(B1579),"yyyy-mm")</f>
        <v/>
      </c>
    </row>
    <row r="1580">
      <c r="A1580" s="2" t="inlineStr">
        <is>
          <t>O000281</t>
        </is>
      </c>
      <c r="B1580" s="2" t="inlineStr">
        <is>
          <t>2025-04-26</t>
        </is>
      </c>
      <c r="C1580" s="2" t="inlineStr">
        <is>
          <t>C0428</t>
        </is>
      </c>
      <c r="D1580" s="2" t="inlineStr">
        <is>
          <t>P0019</t>
        </is>
      </c>
      <c r="E1580" s="2" t="inlineStr">
        <is>
          <t>Jacket</t>
        </is>
      </c>
      <c r="F1580" s="2" t="inlineStr">
        <is>
          <t>Fashion</t>
        </is>
      </c>
      <c r="G1580" s="2" t="inlineStr">
        <is>
          <t>South</t>
        </is>
      </c>
      <c r="H1580" s="2" t="inlineStr">
        <is>
          <t>Tamil Nadu</t>
        </is>
      </c>
      <c r="I1580" s="2" t="inlineStr">
        <is>
          <t>Madurai</t>
        </is>
      </c>
      <c r="J1580" s="2" t="inlineStr">
        <is>
          <t>Online</t>
        </is>
      </c>
      <c r="K1580" s="2" t="n">
        <v>2</v>
      </c>
      <c r="L1580" s="3" t="n">
        <v>1005.48</v>
      </c>
      <c r="M1580" s="4" t="n">
        <v>0</v>
      </c>
      <c r="N1580" s="3" t="n">
        <v>1308</v>
      </c>
      <c r="O1580" s="3">
        <f>K1580*L1580*(1-M1580)</f>
        <v/>
      </c>
      <c r="P1580" s="3">
        <f>O1580-N1580</f>
        <v/>
      </c>
      <c r="Q1580" s="5">
        <f>IFERROR(P1580/O1580,0)</f>
        <v/>
      </c>
      <c r="R1580" s="2">
        <f>TEXT(DATEVALUE(B1580),"mmm")</f>
        <v/>
      </c>
      <c r="S1580" s="2">
        <f>TEXT(DATEVALUE(B1580),"yyyy-mm")</f>
        <v/>
      </c>
    </row>
    <row r="1581">
      <c r="A1581" s="2" t="inlineStr">
        <is>
          <t>O000178</t>
        </is>
      </c>
      <c r="B1581" s="2" t="inlineStr">
        <is>
          <t>2025-04-26</t>
        </is>
      </c>
      <c r="C1581" s="2" t="inlineStr">
        <is>
          <t>C0567</t>
        </is>
      </c>
      <c r="D1581" s="2" t="inlineStr">
        <is>
          <t>P0011</t>
        </is>
      </c>
      <c r="E1581" s="2" t="inlineStr">
        <is>
          <t>Cookware Set</t>
        </is>
      </c>
      <c r="F1581" s="2" t="inlineStr">
        <is>
          <t>Home &amp; Kitchen</t>
        </is>
      </c>
      <c r="G1581" s="2" t="inlineStr">
        <is>
          <t>West</t>
        </is>
      </c>
      <c r="H1581" s="2" t="inlineStr">
        <is>
          <t>Maharashtra</t>
        </is>
      </c>
      <c r="I1581" s="2" t="inlineStr">
        <is>
          <t>Thane</t>
        </is>
      </c>
      <c r="J1581" s="2" t="inlineStr">
        <is>
          <t>Online</t>
        </is>
      </c>
      <c r="K1581" s="2" t="n">
        <v>4</v>
      </c>
      <c r="L1581" s="3" t="n">
        <v>707.1900000000001</v>
      </c>
      <c r="M1581" s="4" t="n">
        <v>0</v>
      </c>
      <c r="N1581" s="3" t="n">
        <v>1877.8</v>
      </c>
      <c r="O1581" s="3">
        <f>K1581*L1581*(1-M1581)</f>
        <v/>
      </c>
      <c r="P1581" s="3">
        <f>O1581-N1581</f>
        <v/>
      </c>
      <c r="Q1581" s="5">
        <f>IFERROR(P1581/O1581,0)</f>
        <v/>
      </c>
      <c r="R1581" s="2">
        <f>TEXT(DATEVALUE(B1581),"mmm")</f>
        <v/>
      </c>
      <c r="S1581" s="2">
        <f>TEXT(DATEVALUE(B1581),"yyyy-mm")</f>
        <v/>
      </c>
    </row>
    <row r="1582">
      <c r="A1582" s="2" t="inlineStr">
        <is>
          <t>O002888</t>
        </is>
      </c>
      <c r="B1582" s="2" t="inlineStr">
        <is>
          <t>2025-04-27</t>
        </is>
      </c>
      <c r="C1582" s="2" t="inlineStr">
        <is>
          <t>C0731</t>
        </is>
      </c>
      <c r="D1582" s="2" t="inlineStr">
        <is>
          <t>P0001</t>
        </is>
      </c>
      <c r="E1582" s="2" t="inlineStr">
        <is>
          <t>Wireless Headphones</t>
        </is>
      </c>
      <c r="F1582" s="2" t="inlineStr">
        <is>
          <t>Electronics</t>
        </is>
      </c>
      <c r="G1582" s="2" t="inlineStr">
        <is>
          <t>West</t>
        </is>
      </c>
      <c r="H1582" s="2" t="inlineStr">
        <is>
          <t>Goa</t>
        </is>
      </c>
      <c r="I1582" s="2" t="inlineStr">
        <is>
          <t>Margao</t>
        </is>
      </c>
      <c r="J1582" s="2" t="inlineStr">
        <is>
          <t>Online</t>
        </is>
      </c>
      <c r="K1582" s="2" t="n">
        <v>1</v>
      </c>
      <c r="L1582" s="3" t="n">
        <v>1328.01</v>
      </c>
      <c r="M1582" s="4" t="n">
        <v>0.1</v>
      </c>
      <c r="N1582" s="3" t="n">
        <v>726.6</v>
      </c>
      <c r="O1582" s="3">
        <f>K1582*L1582*(1-M1582)</f>
        <v/>
      </c>
      <c r="P1582" s="3">
        <f>O1582-N1582</f>
        <v/>
      </c>
      <c r="Q1582" s="5">
        <f>IFERROR(P1582/O1582,0)</f>
        <v/>
      </c>
      <c r="R1582" s="2">
        <f>TEXT(DATEVALUE(B1582),"mmm")</f>
        <v/>
      </c>
      <c r="S1582" s="2">
        <f>TEXT(DATEVALUE(B1582),"yyyy-mm")</f>
        <v/>
      </c>
    </row>
    <row r="1583">
      <c r="A1583" s="2" t="inlineStr">
        <is>
          <t>O003086</t>
        </is>
      </c>
      <c r="B1583" s="2" t="inlineStr">
        <is>
          <t>2025-04-27</t>
        </is>
      </c>
      <c r="C1583" s="2" t="inlineStr">
        <is>
          <t>C0276</t>
        </is>
      </c>
      <c r="D1583" s="2" t="inlineStr">
        <is>
          <t>P0007</t>
        </is>
      </c>
      <c r="E1583" s="2" t="inlineStr">
        <is>
          <t>Wireless Mouse</t>
        </is>
      </c>
      <c r="F1583" s="2" t="inlineStr">
        <is>
          <t>Electronics</t>
        </is>
      </c>
      <c r="G1583" s="2" t="inlineStr">
        <is>
          <t>West</t>
        </is>
      </c>
      <c r="H1583" s="2" t="inlineStr">
        <is>
          <t>Gujarat</t>
        </is>
      </c>
      <c r="I1583" s="2" t="inlineStr">
        <is>
          <t>Surat</t>
        </is>
      </c>
      <c r="J1583" s="2" t="inlineStr">
        <is>
          <t>Online</t>
        </is>
      </c>
      <c r="K1583" s="2" t="n">
        <v>2</v>
      </c>
      <c r="L1583" s="3" t="n">
        <v>977.71</v>
      </c>
      <c r="M1583" s="4" t="n">
        <v>0.1</v>
      </c>
      <c r="N1583" s="3" t="n">
        <v>1263.99</v>
      </c>
      <c r="O1583" s="3">
        <f>K1583*L1583*(1-M1583)</f>
        <v/>
      </c>
      <c r="P1583" s="3">
        <f>O1583-N1583</f>
        <v/>
      </c>
      <c r="Q1583" s="5">
        <f>IFERROR(P1583/O1583,0)</f>
        <v/>
      </c>
      <c r="R1583" s="2">
        <f>TEXT(DATEVALUE(B1583),"mmm")</f>
        <v/>
      </c>
      <c r="S1583" s="2">
        <f>TEXT(DATEVALUE(B1583),"yyyy-mm")</f>
        <v/>
      </c>
    </row>
    <row r="1584">
      <c r="A1584" s="2" t="inlineStr">
        <is>
          <t>O003330</t>
        </is>
      </c>
      <c r="B1584" s="2" t="inlineStr">
        <is>
          <t>2025-04-27</t>
        </is>
      </c>
      <c r="C1584" s="2" t="inlineStr">
        <is>
          <t>C0167</t>
        </is>
      </c>
      <c r="D1584" s="2" t="inlineStr">
        <is>
          <t>P0014</t>
        </is>
      </c>
      <c r="E1584" s="2" t="inlineStr">
        <is>
          <t>Coffee Maker</t>
        </is>
      </c>
      <c r="F1584" s="2" t="inlineStr">
        <is>
          <t>Home &amp; Kitchen</t>
        </is>
      </c>
      <c r="G1584" s="2" t="inlineStr">
        <is>
          <t>East</t>
        </is>
      </c>
      <c r="H1584" s="2" t="inlineStr">
        <is>
          <t>Odisha</t>
        </is>
      </c>
      <c r="I1584" s="2" t="inlineStr">
        <is>
          <t>Cuttack</t>
        </is>
      </c>
      <c r="J1584" s="2" t="inlineStr">
        <is>
          <t>Online</t>
        </is>
      </c>
      <c r="K1584" s="2" t="n">
        <v>5</v>
      </c>
      <c r="L1584" s="3" t="n">
        <v>1080.92</v>
      </c>
      <c r="M1584" s="4" t="n">
        <v>0</v>
      </c>
      <c r="N1584" s="3" t="n">
        <v>3839.72</v>
      </c>
      <c r="O1584" s="3">
        <f>K1584*L1584*(1-M1584)</f>
        <v/>
      </c>
      <c r="P1584" s="3">
        <f>O1584-N1584</f>
        <v/>
      </c>
      <c r="Q1584" s="5">
        <f>IFERROR(P1584/O1584,0)</f>
        <v/>
      </c>
      <c r="R1584" s="2">
        <f>TEXT(DATEVALUE(B1584),"mmm")</f>
        <v/>
      </c>
      <c r="S1584" s="2">
        <f>TEXT(DATEVALUE(B1584),"yyyy-mm")</f>
        <v/>
      </c>
    </row>
    <row r="1585">
      <c r="A1585" s="2" t="inlineStr">
        <is>
          <t>O001462</t>
        </is>
      </c>
      <c r="B1585" s="2" t="inlineStr">
        <is>
          <t>2025-04-27</t>
        </is>
      </c>
      <c r="C1585" s="2" t="inlineStr">
        <is>
          <t>C0179</t>
        </is>
      </c>
      <c r="D1585" s="2" t="inlineStr">
        <is>
          <t>P0004</t>
        </is>
      </c>
      <c r="E1585" s="2" t="inlineStr">
        <is>
          <t>USB-C Hub</t>
        </is>
      </c>
      <c r="F1585" s="2" t="inlineStr">
        <is>
          <t>Electronics</t>
        </is>
      </c>
      <c r="G1585" s="2" t="inlineStr">
        <is>
          <t>North</t>
        </is>
      </c>
      <c r="H1585" s="2" t="inlineStr">
        <is>
          <t>Punjab</t>
        </is>
      </c>
      <c r="I1585" s="2" t="inlineStr">
        <is>
          <t>Amritsar</t>
        </is>
      </c>
      <c r="J1585" s="2" t="inlineStr">
        <is>
          <t>Store</t>
        </is>
      </c>
      <c r="K1585" s="2" t="n">
        <v>1</v>
      </c>
      <c r="L1585" s="3" t="n">
        <v>1267.95</v>
      </c>
      <c r="M1585" s="4" t="n">
        <v>0.05</v>
      </c>
      <c r="N1585" s="3" t="n">
        <v>943.95</v>
      </c>
      <c r="O1585" s="3">
        <f>K1585*L1585*(1-M1585)</f>
        <v/>
      </c>
      <c r="P1585" s="3">
        <f>O1585-N1585</f>
        <v/>
      </c>
      <c r="Q1585" s="5">
        <f>IFERROR(P1585/O1585,0)</f>
        <v/>
      </c>
      <c r="R1585" s="2">
        <f>TEXT(DATEVALUE(B1585),"mmm")</f>
        <v/>
      </c>
      <c r="S1585" s="2">
        <f>TEXT(DATEVALUE(B1585),"yyyy-mm")</f>
        <v/>
      </c>
    </row>
    <row r="1586">
      <c r="A1586" s="2" t="inlineStr">
        <is>
          <t>O004030</t>
        </is>
      </c>
      <c r="B1586" s="2" t="inlineStr">
        <is>
          <t>2025-04-27</t>
        </is>
      </c>
      <c r="C1586" s="2" t="inlineStr">
        <is>
          <t>C0394</t>
        </is>
      </c>
      <c r="D1586" s="2" t="inlineStr">
        <is>
          <t>P0018</t>
        </is>
      </c>
      <c r="E1586" s="2" t="inlineStr">
        <is>
          <t>Backpack</t>
        </is>
      </c>
      <c r="F1586" s="2" t="inlineStr">
        <is>
          <t>Fashion</t>
        </is>
      </c>
      <c r="G1586" s="2" t="inlineStr">
        <is>
          <t>South</t>
        </is>
      </c>
      <c r="H1586" s="2" t="inlineStr">
        <is>
          <t>Tamil Nadu</t>
        </is>
      </c>
      <c r="I1586" s="2" t="inlineStr">
        <is>
          <t>Coimbatore</t>
        </is>
      </c>
      <c r="J1586" s="2" t="inlineStr">
        <is>
          <t>Store</t>
        </is>
      </c>
      <c r="K1586" s="2" t="n">
        <v>1</v>
      </c>
      <c r="L1586" s="3" t="n">
        <v>1784.88</v>
      </c>
      <c r="M1586" s="4" t="n">
        <v>0.15</v>
      </c>
      <c r="N1586" s="3" t="n">
        <v>1402.35</v>
      </c>
      <c r="O1586" s="3">
        <f>K1586*L1586*(1-M1586)</f>
        <v/>
      </c>
      <c r="P1586" s="3">
        <f>O1586-N1586</f>
        <v/>
      </c>
      <c r="Q1586" s="5">
        <f>IFERROR(P1586/O1586,0)</f>
        <v/>
      </c>
      <c r="R1586" s="2">
        <f>TEXT(DATEVALUE(B1586),"mmm")</f>
        <v/>
      </c>
      <c r="S1586" s="2">
        <f>TEXT(DATEVALUE(B1586),"yyyy-mm")</f>
        <v/>
      </c>
    </row>
    <row r="1587">
      <c r="A1587" s="2" t="inlineStr">
        <is>
          <t>O004632</t>
        </is>
      </c>
      <c r="B1587" s="2" t="inlineStr">
        <is>
          <t>2025-04-27</t>
        </is>
      </c>
      <c r="C1587" s="2" t="inlineStr">
        <is>
          <t>C0456</t>
        </is>
      </c>
      <c r="D1587" s="2" t="inlineStr">
        <is>
          <t>P0014</t>
        </is>
      </c>
      <c r="E1587" s="2" t="inlineStr">
        <is>
          <t>Coffee Maker</t>
        </is>
      </c>
      <c r="F1587" s="2" t="inlineStr">
        <is>
          <t>Home &amp; Kitchen</t>
        </is>
      </c>
      <c r="G1587" s="2" t="inlineStr">
        <is>
          <t>South</t>
        </is>
      </c>
      <c r="H1587" s="2" t="inlineStr">
        <is>
          <t>Tamil Nadu</t>
        </is>
      </c>
      <c r="I1587" s="2" t="inlineStr">
        <is>
          <t>Coimbatore</t>
        </is>
      </c>
      <c r="J1587" s="2" t="inlineStr">
        <is>
          <t>Online</t>
        </is>
      </c>
      <c r="K1587" s="2" t="n">
        <v>2</v>
      </c>
      <c r="L1587" s="3" t="n">
        <v>1036.51</v>
      </c>
      <c r="M1587" s="4" t="n">
        <v>0.1</v>
      </c>
      <c r="N1587" s="3" t="n">
        <v>1529.86</v>
      </c>
      <c r="O1587" s="3">
        <f>K1587*L1587*(1-M1587)</f>
        <v/>
      </c>
      <c r="P1587" s="3">
        <f>O1587-N1587</f>
        <v/>
      </c>
      <c r="Q1587" s="5">
        <f>IFERROR(P1587/O1587,0)</f>
        <v/>
      </c>
      <c r="R1587" s="2">
        <f>TEXT(DATEVALUE(B1587),"mmm")</f>
        <v/>
      </c>
      <c r="S1587" s="2">
        <f>TEXT(DATEVALUE(B1587),"yyyy-mm")</f>
        <v/>
      </c>
    </row>
    <row r="1588">
      <c r="A1588" s="2" t="inlineStr">
        <is>
          <t>O002754</t>
        </is>
      </c>
      <c r="B1588" s="2" t="inlineStr">
        <is>
          <t>2025-04-27</t>
        </is>
      </c>
      <c r="C1588" s="2" t="inlineStr">
        <is>
          <t>C0024</t>
        </is>
      </c>
      <c r="D1588" s="2" t="inlineStr">
        <is>
          <t>P0028</t>
        </is>
      </c>
      <c r="E1588" s="2" t="inlineStr">
        <is>
          <t>Trimmer</t>
        </is>
      </c>
      <c r="F1588" s="2" t="inlineStr">
        <is>
          <t>Beauty</t>
        </is>
      </c>
      <c r="G1588" s="2" t="inlineStr">
        <is>
          <t>North</t>
        </is>
      </c>
      <c r="H1588" s="2" t="inlineStr">
        <is>
          <t>Delhi</t>
        </is>
      </c>
      <c r="I1588" s="2" t="inlineStr">
        <is>
          <t>New Delhi</t>
        </is>
      </c>
      <c r="J1588" s="2" t="inlineStr">
        <is>
          <t>Online</t>
        </is>
      </c>
      <c r="K1588" s="2" t="n">
        <v>1</v>
      </c>
      <c r="L1588" s="3" t="n">
        <v>435.56</v>
      </c>
      <c r="M1588" s="4" t="n">
        <v>0.1</v>
      </c>
      <c r="N1588" s="3" t="n">
        <v>247.76</v>
      </c>
      <c r="O1588" s="3">
        <f>K1588*L1588*(1-M1588)</f>
        <v/>
      </c>
      <c r="P1588" s="3">
        <f>O1588-N1588</f>
        <v/>
      </c>
      <c r="Q1588" s="5">
        <f>IFERROR(P1588/O1588,0)</f>
        <v/>
      </c>
      <c r="R1588" s="2">
        <f>TEXT(DATEVALUE(B1588),"mmm")</f>
        <v/>
      </c>
      <c r="S1588" s="2">
        <f>TEXT(DATEVALUE(B1588),"yyyy-mm")</f>
        <v/>
      </c>
    </row>
    <row r="1589">
      <c r="A1589" s="2" t="inlineStr">
        <is>
          <t>O003485</t>
        </is>
      </c>
      <c r="B1589" s="2" t="inlineStr">
        <is>
          <t>2025-04-27</t>
        </is>
      </c>
      <c r="C1589" s="2" t="inlineStr">
        <is>
          <t>C0565</t>
        </is>
      </c>
      <c r="D1589" s="2" t="inlineStr">
        <is>
          <t>P0010</t>
        </is>
      </c>
      <c r="E1589" s="2" t="inlineStr">
        <is>
          <t>Mixer Grinder</t>
        </is>
      </c>
      <c r="F1589" s="2" t="inlineStr">
        <is>
          <t>Home &amp; Kitchen</t>
        </is>
      </c>
      <c r="G1589" s="2" t="inlineStr">
        <is>
          <t>South</t>
        </is>
      </c>
      <c r="H1589" s="2" t="inlineStr">
        <is>
          <t>Telangana</t>
        </is>
      </c>
      <c r="I1589" s="2" t="inlineStr">
        <is>
          <t>Hyderabad</t>
        </is>
      </c>
      <c r="J1589" s="2" t="inlineStr">
        <is>
          <t>Online</t>
        </is>
      </c>
      <c r="K1589" s="2" t="n">
        <v>3</v>
      </c>
      <c r="L1589" s="3" t="n">
        <v>1640.57</v>
      </c>
      <c r="M1589" s="4" t="n">
        <v>0.15</v>
      </c>
      <c r="N1589" s="3" t="n">
        <v>3182.21</v>
      </c>
      <c r="O1589" s="3">
        <f>K1589*L1589*(1-M1589)</f>
        <v/>
      </c>
      <c r="P1589" s="3">
        <f>O1589-N1589</f>
        <v/>
      </c>
      <c r="Q1589" s="5">
        <f>IFERROR(P1589/O1589,0)</f>
        <v/>
      </c>
      <c r="R1589" s="2">
        <f>TEXT(DATEVALUE(B1589),"mmm")</f>
        <v/>
      </c>
      <c r="S1589" s="2">
        <f>TEXT(DATEVALUE(B1589),"yyyy-mm")</f>
        <v/>
      </c>
    </row>
    <row r="1590">
      <c r="A1590" s="2" t="inlineStr">
        <is>
          <t>O002499</t>
        </is>
      </c>
      <c r="B1590" s="2" t="inlineStr">
        <is>
          <t>2025-04-27</t>
        </is>
      </c>
      <c r="C1590" s="2" t="inlineStr">
        <is>
          <t>C0616</t>
        </is>
      </c>
      <c r="D1590" s="2" t="inlineStr">
        <is>
          <t>P0024</t>
        </is>
      </c>
      <c r="E1590" s="2" t="inlineStr">
        <is>
          <t>Hair Dryer</t>
        </is>
      </c>
      <c r="F1590" s="2" t="inlineStr">
        <is>
          <t>Beauty</t>
        </is>
      </c>
      <c r="G1590" s="2" t="inlineStr">
        <is>
          <t>West</t>
        </is>
      </c>
      <c r="H1590" s="2" t="inlineStr">
        <is>
          <t>Goa</t>
        </is>
      </c>
      <c r="I1590" s="2" t="inlineStr">
        <is>
          <t>Margao</t>
        </is>
      </c>
      <c r="J1590" s="2" t="inlineStr">
        <is>
          <t>Online</t>
        </is>
      </c>
      <c r="K1590" s="2" t="n">
        <v>4</v>
      </c>
      <c r="L1590" s="3" t="n">
        <v>1037.54</v>
      </c>
      <c r="M1590" s="4" t="n">
        <v>0</v>
      </c>
      <c r="N1590" s="3" t="n">
        <v>2946.85</v>
      </c>
      <c r="O1590" s="3">
        <f>K1590*L1590*(1-M1590)</f>
        <v/>
      </c>
      <c r="P1590" s="3">
        <f>O1590-N1590</f>
        <v/>
      </c>
      <c r="Q1590" s="5">
        <f>IFERROR(P1590/O1590,0)</f>
        <v/>
      </c>
      <c r="R1590" s="2">
        <f>TEXT(DATEVALUE(B1590),"mmm")</f>
        <v/>
      </c>
      <c r="S1590" s="2">
        <f>TEXT(DATEVALUE(B1590),"yyyy-mm")</f>
        <v/>
      </c>
    </row>
    <row r="1591">
      <c r="A1591" s="2" t="inlineStr">
        <is>
          <t>O000654</t>
        </is>
      </c>
      <c r="B1591" s="2" t="inlineStr">
        <is>
          <t>2025-04-27</t>
        </is>
      </c>
      <c r="C1591" s="2" t="inlineStr">
        <is>
          <t>C0568</t>
        </is>
      </c>
      <c r="D1591" s="2" t="inlineStr">
        <is>
          <t>P0019</t>
        </is>
      </c>
      <c r="E1591" s="2" t="inlineStr">
        <is>
          <t>Jacket</t>
        </is>
      </c>
      <c r="F1591" s="2" t="inlineStr">
        <is>
          <t>Fashion</t>
        </is>
      </c>
      <c r="G1591" s="2" t="inlineStr">
        <is>
          <t>West</t>
        </is>
      </c>
      <c r="H1591" s="2" t="inlineStr">
        <is>
          <t>Gujarat</t>
        </is>
      </c>
      <c r="I1591" s="2" t="inlineStr">
        <is>
          <t>Vadodara</t>
        </is>
      </c>
      <c r="J1591" s="2" t="inlineStr">
        <is>
          <t>Online</t>
        </is>
      </c>
      <c r="K1591" s="2" t="n">
        <v>1</v>
      </c>
      <c r="L1591" s="3" t="n">
        <v>1068.26</v>
      </c>
      <c r="M1591" s="4" t="n">
        <v>0.2</v>
      </c>
      <c r="N1591" s="3" t="n">
        <v>686.91</v>
      </c>
      <c r="O1591" s="3">
        <f>K1591*L1591*(1-M1591)</f>
        <v/>
      </c>
      <c r="P1591" s="3">
        <f>O1591-N1591</f>
        <v/>
      </c>
      <c r="Q1591" s="5">
        <f>IFERROR(P1591/O1591,0)</f>
        <v/>
      </c>
      <c r="R1591" s="2">
        <f>TEXT(DATEVALUE(B1591),"mmm")</f>
        <v/>
      </c>
      <c r="S1591" s="2">
        <f>TEXT(DATEVALUE(B1591),"yyyy-mm")</f>
        <v/>
      </c>
    </row>
    <row r="1592">
      <c r="A1592" s="2" t="inlineStr">
        <is>
          <t>O002150</t>
        </is>
      </c>
      <c r="B1592" s="2" t="inlineStr">
        <is>
          <t>2025-04-27</t>
        </is>
      </c>
      <c r="C1592" s="2" t="inlineStr">
        <is>
          <t>C0457</t>
        </is>
      </c>
      <c r="D1592" s="2" t="inlineStr">
        <is>
          <t>P0024</t>
        </is>
      </c>
      <c r="E1592" s="2" t="inlineStr">
        <is>
          <t>Hair Dryer</t>
        </is>
      </c>
      <c r="F1592" s="2" t="inlineStr">
        <is>
          <t>Beauty</t>
        </is>
      </c>
      <c r="G1592" s="2" t="inlineStr">
        <is>
          <t>North</t>
        </is>
      </c>
      <c r="H1592" s="2" t="inlineStr">
        <is>
          <t>Punjab</t>
        </is>
      </c>
      <c r="I1592" s="2" t="inlineStr">
        <is>
          <t>Amritsar</t>
        </is>
      </c>
      <c r="J1592" s="2" t="inlineStr">
        <is>
          <t>Store</t>
        </is>
      </c>
      <c r="K1592" s="2" t="n">
        <v>1</v>
      </c>
      <c r="L1592" s="3" t="n">
        <v>1025.65</v>
      </c>
      <c r="M1592" s="4" t="n">
        <v>0</v>
      </c>
      <c r="N1592" s="3" t="n">
        <v>727.25</v>
      </c>
      <c r="O1592" s="3">
        <f>K1592*L1592*(1-M1592)</f>
        <v/>
      </c>
      <c r="P1592" s="3">
        <f>O1592-N1592</f>
        <v/>
      </c>
      <c r="Q1592" s="5">
        <f>IFERROR(P1592/O1592,0)</f>
        <v/>
      </c>
      <c r="R1592" s="2">
        <f>TEXT(DATEVALUE(B1592),"mmm")</f>
        <v/>
      </c>
      <c r="S1592" s="2">
        <f>TEXT(DATEVALUE(B1592),"yyyy-mm")</f>
        <v/>
      </c>
    </row>
    <row r="1593">
      <c r="A1593" s="2" t="inlineStr">
        <is>
          <t>O002130</t>
        </is>
      </c>
      <c r="B1593" s="2" t="inlineStr">
        <is>
          <t>2025-04-27</t>
        </is>
      </c>
      <c r="C1593" s="2" t="inlineStr">
        <is>
          <t>C0061</t>
        </is>
      </c>
      <c r="D1593" s="2" t="inlineStr">
        <is>
          <t>P0012</t>
        </is>
      </c>
      <c r="E1593" s="2" t="inlineStr">
        <is>
          <t>Water Bottle</t>
        </is>
      </c>
      <c r="F1593" s="2" t="inlineStr">
        <is>
          <t>Home &amp; Kitchen</t>
        </is>
      </c>
      <c r="G1593" s="2" t="inlineStr">
        <is>
          <t>West</t>
        </is>
      </c>
      <c r="H1593" s="2" t="inlineStr">
        <is>
          <t>Goa</t>
        </is>
      </c>
      <c r="I1593" s="2" t="inlineStr">
        <is>
          <t>Margao</t>
        </is>
      </c>
      <c r="J1593" s="2" t="inlineStr">
        <is>
          <t>Online</t>
        </is>
      </c>
      <c r="K1593" s="2" t="n">
        <v>1</v>
      </c>
      <c r="L1593" s="3" t="n">
        <v>956.22</v>
      </c>
      <c r="M1593" s="4" t="n">
        <v>0.1</v>
      </c>
      <c r="N1593" s="3" t="n">
        <v>615.8099999999999</v>
      </c>
      <c r="O1593" s="3">
        <f>K1593*L1593*(1-M1593)</f>
        <v/>
      </c>
      <c r="P1593" s="3">
        <f>O1593-N1593</f>
        <v/>
      </c>
      <c r="Q1593" s="5">
        <f>IFERROR(P1593/O1593,0)</f>
        <v/>
      </c>
      <c r="R1593" s="2">
        <f>TEXT(DATEVALUE(B1593),"mmm")</f>
        <v/>
      </c>
      <c r="S1593" s="2">
        <f>TEXT(DATEVALUE(B1593),"yyyy-mm")</f>
        <v/>
      </c>
    </row>
    <row r="1594">
      <c r="A1594" s="2" t="inlineStr">
        <is>
          <t>O001922</t>
        </is>
      </c>
      <c r="B1594" s="2" t="inlineStr">
        <is>
          <t>2025-04-27</t>
        </is>
      </c>
      <c r="C1594" s="2" t="inlineStr">
        <is>
          <t>C0583</t>
        </is>
      </c>
      <c r="D1594" s="2" t="inlineStr">
        <is>
          <t>P0022</t>
        </is>
      </c>
      <c r="E1594" s="2" t="inlineStr">
        <is>
          <t>Face Wash</t>
        </is>
      </c>
      <c r="F1594" s="2" t="inlineStr">
        <is>
          <t>Beauty</t>
        </is>
      </c>
      <c r="G1594" s="2" t="inlineStr">
        <is>
          <t>North</t>
        </is>
      </c>
      <c r="H1594" s="2" t="inlineStr">
        <is>
          <t>Haryana</t>
        </is>
      </c>
      <c r="I1594" s="2" t="inlineStr">
        <is>
          <t>Faridabad</t>
        </is>
      </c>
      <c r="J1594" s="2" t="inlineStr">
        <is>
          <t>Online</t>
        </is>
      </c>
      <c r="K1594" s="2" t="n">
        <v>4</v>
      </c>
      <c r="L1594" s="3" t="n">
        <v>548.96</v>
      </c>
      <c r="M1594" s="4" t="n">
        <v>0.05</v>
      </c>
      <c r="N1594" s="3" t="n">
        <v>1391.14</v>
      </c>
      <c r="O1594" s="3">
        <f>K1594*L1594*(1-M1594)</f>
        <v/>
      </c>
      <c r="P1594" s="3">
        <f>O1594-N1594</f>
        <v/>
      </c>
      <c r="Q1594" s="5">
        <f>IFERROR(P1594/O1594,0)</f>
        <v/>
      </c>
      <c r="R1594" s="2">
        <f>TEXT(DATEVALUE(B1594),"mmm")</f>
        <v/>
      </c>
      <c r="S1594" s="2">
        <f>TEXT(DATEVALUE(B1594),"yyyy-mm")</f>
        <v/>
      </c>
    </row>
    <row r="1595">
      <c r="A1595" s="2" t="inlineStr">
        <is>
          <t>O001788</t>
        </is>
      </c>
      <c r="B1595" s="2" t="inlineStr">
        <is>
          <t>2025-04-27</t>
        </is>
      </c>
      <c r="C1595" s="2" t="inlineStr">
        <is>
          <t>C0160</t>
        </is>
      </c>
      <c r="D1595" s="2" t="inlineStr">
        <is>
          <t>P0004</t>
        </is>
      </c>
      <c r="E1595" s="2" t="inlineStr">
        <is>
          <t>USB-C Hub</t>
        </is>
      </c>
      <c r="F1595" s="2" t="inlineStr">
        <is>
          <t>Electronics</t>
        </is>
      </c>
      <c r="G1595" s="2" t="inlineStr">
        <is>
          <t>North</t>
        </is>
      </c>
      <c r="H1595" s="2" t="inlineStr">
        <is>
          <t>Delhi</t>
        </is>
      </c>
      <c r="I1595" s="2" t="inlineStr">
        <is>
          <t>New Delhi</t>
        </is>
      </c>
      <c r="J1595" s="2" t="inlineStr">
        <is>
          <t>Store</t>
        </is>
      </c>
      <c r="K1595" s="2" t="n">
        <v>1</v>
      </c>
      <c r="L1595" s="3" t="n">
        <v>1233.52</v>
      </c>
      <c r="M1595" s="4" t="n">
        <v>0.25</v>
      </c>
      <c r="N1595" s="3" t="n">
        <v>934.51</v>
      </c>
      <c r="O1595" s="3">
        <f>K1595*L1595*(1-M1595)</f>
        <v/>
      </c>
      <c r="P1595" s="3">
        <f>O1595-N1595</f>
        <v/>
      </c>
      <c r="Q1595" s="5">
        <f>IFERROR(P1595/O1595,0)</f>
        <v/>
      </c>
      <c r="R1595" s="2">
        <f>TEXT(DATEVALUE(B1595),"mmm")</f>
        <v/>
      </c>
      <c r="S1595" s="2">
        <f>TEXT(DATEVALUE(B1595),"yyyy-mm")</f>
        <v/>
      </c>
    </row>
    <row r="1596">
      <c r="A1596" s="2" t="inlineStr">
        <is>
          <t>O001350</t>
        </is>
      </c>
      <c r="B1596" s="2" t="inlineStr">
        <is>
          <t>2025-04-27</t>
        </is>
      </c>
      <c r="C1596" s="2" t="inlineStr">
        <is>
          <t>C0707</t>
        </is>
      </c>
      <c r="D1596" s="2" t="inlineStr">
        <is>
          <t>P0030</t>
        </is>
      </c>
      <c r="E1596" s="2" t="inlineStr">
        <is>
          <t>Dumbbells</t>
        </is>
      </c>
      <c r="F1596" s="2" t="inlineStr">
        <is>
          <t>Sports</t>
        </is>
      </c>
      <c r="G1596" s="2" t="inlineStr">
        <is>
          <t>East</t>
        </is>
      </c>
      <c r="H1596" s="2" t="inlineStr">
        <is>
          <t>Bihar</t>
        </is>
      </c>
      <c r="I1596" s="2" t="inlineStr">
        <is>
          <t>Patna</t>
        </is>
      </c>
      <c r="J1596" s="2" t="inlineStr">
        <is>
          <t>Store</t>
        </is>
      </c>
      <c r="K1596" s="2" t="n">
        <v>3</v>
      </c>
      <c r="L1596" s="3" t="n">
        <v>1564.15</v>
      </c>
      <c r="M1596" s="4" t="n">
        <v>0.2</v>
      </c>
      <c r="N1596" s="3" t="n">
        <v>3012.2</v>
      </c>
      <c r="O1596" s="3">
        <f>K1596*L1596*(1-M1596)</f>
        <v/>
      </c>
      <c r="P1596" s="3">
        <f>O1596-N1596</f>
        <v/>
      </c>
      <c r="Q1596" s="5">
        <f>IFERROR(P1596/O1596,0)</f>
        <v/>
      </c>
      <c r="R1596" s="2">
        <f>TEXT(DATEVALUE(B1596),"mmm")</f>
        <v/>
      </c>
      <c r="S1596" s="2">
        <f>TEXT(DATEVALUE(B1596),"yyyy-mm")</f>
        <v/>
      </c>
    </row>
    <row r="1597">
      <c r="A1597" s="2" t="inlineStr">
        <is>
          <t>O001173</t>
        </is>
      </c>
      <c r="B1597" s="2" t="inlineStr">
        <is>
          <t>2025-04-27</t>
        </is>
      </c>
      <c r="C1597" s="2" t="inlineStr">
        <is>
          <t>C0150</t>
        </is>
      </c>
      <c r="D1597" s="2" t="inlineStr">
        <is>
          <t>P0030</t>
        </is>
      </c>
      <c r="E1597" s="2" t="inlineStr">
        <is>
          <t>Dumbbells</t>
        </is>
      </c>
      <c r="F1597" s="2" t="inlineStr">
        <is>
          <t>Sports</t>
        </is>
      </c>
      <c r="G1597" s="2" t="inlineStr">
        <is>
          <t>North</t>
        </is>
      </c>
      <c r="H1597" s="2" t="inlineStr">
        <is>
          <t>Haryana</t>
        </is>
      </c>
      <c r="I1597" s="2" t="inlineStr">
        <is>
          <t>Faridabad</t>
        </is>
      </c>
      <c r="J1597" s="2" t="inlineStr">
        <is>
          <t>Store</t>
        </is>
      </c>
      <c r="K1597" s="2" t="n">
        <v>1</v>
      </c>
      <c r="L1597" s="3" t="n">
        <v>1617.99</v>
      </c>
      <c r="M1597" s="4" t="n">
        <v>0.1</v>
      </c>
      <c r="N1597" s="3" t="n">
        <v>1035.67</v>
      </c>
      <c r="O1597" s="3">
        <f>K1597*L1597*(1-M1597)</f>
        <v/>
      </c>
      <c r="P1597" s="3">
        <f>O1597-N1597</f>
        <v/>
      </c>
      <c r="Q1597" s="5">
        <f>IFERROR(P1597/O1597,0)</f>
        <v/>
      </c>
      <c r="R1597" s="2">
        <f>TEXT(DATEVALUE(B1597),"mmm")</f>
        <v/>
      </c>
      <c r="S1597" s="2">
        <f>TEXT(DATEVALUE(B1597),"yyyy-mm")</f>
        <v/>
      </c>
    </row>
    <row r="1598">
      <c r="A1598" s="2" t="inlineStr">
        <is>
          <t>O000440</t>
        </is>
      </c>
      <c r="B1598" s="2" t="inlineStr">
        <is>
          <t>2025-04-27</t>
        </is>
      </c>
      <c r="C1598" s="2" t="inlineStr">
        <is>
          <t>C0498</t>
        </is>
      </c>
      <c r="D1598" s="2" t="inlineStr">
        <is>
          <t>P0003</t>
        </is>
      </c>
      <c r="E1598" s="2" t="inlineStr">
        <is>
          <t>Smartwatch</t>
        </is>
      </c>
      <c r="F1598" s="2" t="inlineStr">
        <is>
          <t>Electronics</t>
        </is>
      </c>
      <c r="G1598" s="2" t="inlineStr">
        <is>
          <t>West</t>
        </is>
      </c>
      <c r="H1598" s="2" t="inlineStr">
        <is>
          <t>Gujarat</t>
        </is>
      </c>
      <c r="I1598" s="2" t="inlineStr">
        <is>
          <t>Vadodara</t>
        </is>
      </c>
      <c r="J1598" s="2" t="inlineStr">
        <is>
          <t>Online</t>
        </is>
      </c>
      <c r="K1598" s="2" t="n">
        <v>1</v>
      </c>
      <c r="L1598" s="3" t="n">
        <v>2199.29</v>
      </c>
      <c r="M1598" s="4" t="n">
        <v>0.05</v>
      </c>
      <c r="N1598" s="3" t="n">
        <v>1223.74</v>
      </c>
      <c r="O1598" s="3">
        <f>K1598*L1598*(1-M1598)</f>
        <v/>
      </c>
      <c r="P1598" s="3">
        <f>O1598-N1598</f>
        <v/>
      </c>
      <c r="Q1598" s="5">
        <f>IFERROR(P1598/O1598,0)</f>
        <v/>
      </c>
      <c r="R1598" s="2">
        <f>TEXT(DATEVALUE(B1598),"mmm")</f>
        <v/>
      </c>
      <c r="S1598" s="2">
        <f>TEXT(DATEVALUE(B1598),"yyyy-mm")</f>
        <v/>
      </c>
    </row>
    <row r="1599">
      <c r="A1599" s="2" t="inlineStr">
        <is>
          <t>O002408</t>
        </is>
      </c>
      <c r="B1599" s="2" t="inlineStr">
        <is>
          <t>2025-04-27</t>
        </is>
      </c>
      <c r="C1599" s="2" t="inlineStr">
        <is>
          <t>C0228</t>
        </is>
      </c>
      <c r="D1599" s="2" t="inlineStr">
        <is>
          <t>P0012</t>
        </is>
      </c>
      <c r="E1599" s="2" t="inlineStr">
        <is>
          <t>Water Bottle</t>
        </is>
      </c>
      <c r="F1599" s="2" t="inlineStr">
        <is>
          <t>Home &amp; Kitchen</t>
        </is>
      </c>
      <c r="G1599" s="2" t="inlineStr">
        <is>
          <t>South</t>
        </is>
      </c>
      <c r="H1599" s="2" t="inlineStr">
        <is>
          <t>Tamil Nadu</t>
        </is>
      </c>
      <c r="I1599" s="2" t="inlineStr">
        <is>
          <t>Madurai</t>
        </is>
      </c>
      <c r="J1599" s="2" t="inlineStr">
        <is>
          <t>Store</t>
        </is>
      </c>
      <c r="K1599" s="2" t="n">
        <v>4</v>
      </c>
      <c r="L1599" s="3" t="n">
        <v>935.59</v>
      </c>
      <c r="M1599" s="4" t="n">
        <v>0</v>
      </c>
      <c r="N1599" s="3" t="n">
        <v>2553.77</v>
      </c>
      <c r="O1599" s="3">
        <f>K1599*L1599*(1-M1599)</f>
        <v/>
      </c>
      <c r="P1599" s="3">
        <f>O1599-N1599</f>
        <v/>
      </c>
      <c r="Q1599" s="5">
        <f>IFERROR(P1599/O1599,0)</f>
        <v/>
      </c>
      <c r="R1599" s="2">
        <f>TEXT(DATEVALUE(B1599),"mmm")</f>
        <v/>
      </c>
      <c r="S1599" s="2">
        <f>TEXT(DATEVALUE(B1599),"yyyy-mm")</f>
        <v/>
      </c>
    </row>
    <row r="1600">
      <c r="A1600" s="2" t="inlineStr">
        <is>
          <t>O003375</t>
        </is>
      </c>
      <c r="B1600" s="2" t="inlineStr">
        <is>
          <t>2025-04-28</t>
        </is>
      </c>
      <c r="C1600" s="2" t="inlineStr">
        <is>
          <t>C0118</t>
        </is>
      </c>
      <c r="D1600" s="2" t="inlineStr">
        <is>
          <t>P0017</t>
        </is>
      </c>
      <c r="E1600" s="2" t="inlineStr">
        <is>
          <t>Jeans</t>
        </is>
      </c>
      <c r="F1600" s="2" t="inlineStr">
        <is>
          <t>Fashion</t>
        </is>
      </c>
      <c r="G1600" s="2" t="inlineStr">
        <is>
          <t>North</t>
        </is>
      </c>
      <c r="H1600" s="2" t="inlineStr">
        <is>
          <t>Haryana</t>
        </is>
      </c>
      <c r="I1600" s="2" t="inlineStr">
        <is>
          <t>Gurugram</t>
        </is>
      </c>
      <c r="J1600" s="2" t="inlineStr">
        <is>
          <t>Store</t>
        </is>
      </c>
      <c r="K1600" s="2" t="n">
        <v>1</v>
      </c>
      <c r="L1600" s="3" t="n">
        <v>1516.69</v>
      </c>
      <c r="M1600" s="4" t="n">
        <v>0.1</v>
      </c>
      <c r="N1600" s="3" t="n">
        <v>1036.1</v>
      </c>
      <c r="O1600" s="3">
        <f>K1600*L1600*(1-M1600)</f>
        <v/>
      </c>
      <c r="P1600" s="3">
        <f>O1600-N1600</f>
        <v/>
      </c>
      <c r="Q1600" s="5">
        <f>IFERROR(P1600/O1600,0)</f>
        <v/>
      </c>
      <c r="R1600" s="2">
        <f>TEXT(DATEVALUE(B1600),"mmm")</f>
        <v/>
      </c>
      <c r="S1600" s="2">
        <f>TEXT(DATEVALUE(B1600),"yyyy-mm")</f>
        <v/>
      </c>
    </row>
    <row r="1601">
      <c r="A1601" s="2" t="inlineStr">
        <is>
          <t>O003785</t>
        </is>
      </c>
      <c r="B1601" s="2" t="inlineStr">
        <is>
          <t>2025-04-28</t>
        </is>
      </c>
      <c r="C1601" s="2" t="inlineStr">
        <is>
          <t>C0323</t>
        </is>
      </c>
      <c r="D1601" s="2" t="inlineStr">
        <is>
          <t>P0010</t>
        </is>
      </c>
      <c r="E1601" s="2" t="inlineStr">
        <is>
          <t>Mixer Grinder</t>
        </is>
      </c>
      <c r="F1601" s="2" t="inlineStr">
        <is>
          <t>Home &amp; Kitchen</t>
        </is>
      </c>
      <c r="G1601" s="2" t="inlineStr">
        <is>
          <t>East</t>
        </is>
      </c>
      <c r="H1601" s="2" t="inlineStr">
        <is>
          <t>Odisha</t>
        </is>
      </c>
      <c r="I1601" s="2" t="inlineStr">
        <is>
          <t>Cuttack</t>
        </is>
      </c>
      <c r="J1601" s="2" t="inlineStr">
        <is>
          <t>Online</t>
        </is>
      </c>
      <c r="K1601" s="2" t="n">
        <v>1</v>
      </c>
      <c r="L1601" s="3" t="n">
        <v>1574.54</v>
      </c>
      <c r="M1601" s="4" t="n">
        <v>0.2</v>
      </c>
      <c r="N1601" s="3" t="n">
        <v>1038.27</v>
      </c>
      <c r="O1601" s="3">
        <f>K1601*L1601*(1-M1601)</f>
        <v/>
      </c>
      <c r="P1601" s="3">
        <f>O1601-N1601</f>
        <v/>
      </c>
      <c r="Q1601" s="5">
        <f>IFERROR(P1601/O1601,0)</f>
        <v/>
      </c>
      <c r="R1601" s="2">
        <f>TEXT(DATEVALUE(B1601),"mmm")</f>
        <v/>
      </c>
      <c r="S1601" s="2">
        <f>TEXT(DATEVALUE(B1601),"yyyy-mm")</f>
        <v/>
      </c>
    </row>
    <row r="1602">
      <c r="A1602" s="2" t="inlineStr">
        <is>
          <t>O003631</t>
        </is>
      </c>
      <c r="B1602" s="2" t="inlineStr">
        <is>
          <t>2025-04-28</t>
        </is>
      </c>
      <c r="C1602" s="2" t="inlineStr">
        <is>
          <t>C0315</t>
        </is>
      </c>
      <c r="D1602" s="2" t="inlineStr">
        <is>
          <t>P0011</t>
        </is>
      </c>
      <c r="E1602" s="2" t="inlineStr">
        <is>
          <t>Cookware Set</t>
        </is>
      </c>
      <c r="F1602" s="2" t="inlineStr">
        <is>
          <t>Home &amp; Kitchen</t>
        </is>
      </c>
      <c r="G1602" s="2" t="inlineStr">
        <is>
          <t>South</t>
        </is>
      </c>
      <c r="H1602" s="2" t="inlineStr">
        <is>
          <t>Telangana</t>
        </is>
      </c>
      <c r="I1602" s="2" t="inlineStr">
        <is>
          <t>Hyderabad</t>
        </is>
      </c>
      <c r="J1602" s="2" t="inlineStr">
        <is>
          <t>Store</t>
        </is>
      </c>
      <c r="K1602" s="2" t="n">
        <v>1</v>
      </c>
      <c r="L1602" s="3" t="n">
        <v>686.16</v>
      </c>
      <c r="M1602" s="4" t="n">
        <v>0</v>
      </c>
      <c r="N1602" s="3" t="n">
        <v>478.39</v>
      </c>
      <c r="O1602" s="3">
        <f>K1602*L1602*(1-M1602)</f>
        <v/>
      </c>
      <c r="P1602" s="3">
        <f>O1602-N1602</f>
        <v/>
      </c>
      <c r="Q1602" s="5">
        <f>IFERROR(P1602/O1602,0)</f>
        <v/>
      </c>
      <c r="R1602" s="2">
        <f>TEXT(DATEVALUE(B1602),"mmm")</f>
        <v/>
      </c>
      <c r="S1602" s="2">
        <f>TEXT(DATEVALUE(B1602),"yyyy-mm")</f>
        <v/>
      </c>
    </row>
    <row r="1603">
      <c r="A1603" s="2" t="inlineStr">
        <is>
          <t>O004275</t>
        </is>
      </c>
      <c r="B1603" s="2" t="inlineStr">
        <is>
          <t>2025-04-28</t>
        </is>
      </c>
      <c r="C1603" s="2" t="inlineStr">
        <is>
          <t>C0231</t>
        </is>
      </c>
      <c r="D1603" s="2" t="inlineStr">
        <is>
          <t>P0021</t>
        </is>
      </c>
      <c r="E1603" s="2" t="inlineStr">
        <is>
          <t>Wallet</t>
        </is>
      </c>
      <c r="F1603" s="2" t="inlineStr">
        <is>
          <t>Fashion</t>
        </is>
      </c>
      <c r="G1603" s="2" t="inlineStr">
        <is>
          <t>East</t>
        </is>
      </c>
      <c r="H1603" s="2" t="inlineStr">
        <is>
          <t>West Bengal</t>
        </is>
      </c>
      <c r="I1603" s="2" t="inlineStr">
        <is>
          <t>Durgapur</t>
        </is>
      </c>
      <c r="J1603" s="2" t="inlineStr">
        <is>
          <t>Online</t>
        </is>
      </c>
      <c r="K1603" s="2" t="n">
        <v>2</v>
      </c>
      <c r="L1603" s="3" t="n">
        <v>2088.18</v>
      </c>
      <c r="M1603" s="4" t="n">
        <v>0.1</v>
      </c>
      <c r="N1603" s="3" t="n">
        <v>2358.48</v>
      </c>
      <c r="O1603" s="3">
        <f>K1603*L1603*(1-M1603)</f>
        <v/>
      </c>
      <c r="P1603" s="3">
        <f>O1603-N1603</f>
        <v/>
      </c>
      <c r="Q1603" s="5">
        <f>IFERROR(P1603/O1603,0)</f>
        <v/>
      </c>
      <c r="R1603" s="2">
        <f>TEXT(DATEVALUE(B1603),"mmm")</f>
        <v/>
      </c>
      <c r="S1603" s="2">
        <f>TEXT(DATEVALUE(B1603),"yyyy-mm")</f>
        <v/>
      </c>
    </row>
    <row r="1604">
      <c r="A1604" s="2" t="inlineStr">
        <is>
          <t>O000983</t>
        </is>
      </c>
      <c r="B1604" s="2" t="inlineStr">
        <is>
          <t>2025-04-28</t>
        </is>
      </c>
      <c r="C1604" s="2" t="inlineStr">
        <is>
          <t>C0417</t>
        </is>
      </c>
      <c r="D1604" s="2" t="inlineStr">
        <is>
          <t>P0021</t>
        </is>
      </c>
      <c r="E1604" s="2" t="inlineStr">
        <is>
          <t>Wallet</t>
        </is>
      </c>
      <c r="F1604" s="2" t="inlineStr">
        <is>
          <t>Fashion</t>
        </is>
      </c>
      <c r="G1604" s="2" t="inlineStr">
        <is>
          <t>West</t>
        </is>
      </c>
      <c r="H1604" s="2" t="inlineStr">
        <is>
          <t>Gujarat</t>
        </is>
      </c>
      <c r="I1604" s="2" t="inlineStr">
        <is>
          <t>Vadodara</t>
        </is>
      </c>
      <c r="J1604" s="2" t="inlineStr">
        <is>
          <t>Store</t>
        </is>
      </c>
      <c r="K1604" s="2" t="n">
        <v>1</v>
      </c>
      <c r="L1604" s="3" t="n">
        <v>1975.4</v>
      </c>
      <c r="M1604" s="4" t="n">
        <v>0.15</v>
      </c>
      <c r="N1604" s="3" t="n">
        <v>1192.12</v>
      </c>
      <c r="O1604" s="3">
        <f>K1604*L1604*(1-M1604)</f>
        <v/>
      </c>
      <c r="P1604" s="3">
        <f>O1604-N1604</f>
        <v/>
      </c>
      <c r="Q1604" s="5">
        <f>IFERROR(P1604/O1604,0)</f>
        <v/>
      </c>
      <c r="R1604" s="2">
        <f>TEXT(DATEVALUE(B1604),"mmm")</f>
        <v/>
      </c>
      <c r="S1604" s="2">
        <f>TEXT(DATEVALUE(B1604),"yyyy-mm")</f>
        <v/>
      </c>
    </row>
    <row r="1605">
      <c r="A1605" s="2" t="inlineStr">
        <is>
          <t>O004586</t>
        </is>
      </c>
      <c r="B1605" s="2" t="inlineStr">
        <is>
          <t>2025-04-28</t>
        </is>
      </c>
      <c r="C1605" s="2" t="inlineStr">
        <is>
          <t>C0717</t>
        </is>
      </c>
      <c r="D1605" s="2" t="inlineStr">
        <is>
          <t>P0014</t>
        </is>
      </c>
      <c r="E1605" s="2" t="inlineStr">
        <is>
          <t>Coffee Maker</t>
        </is>
      </c>
      <c r="F1605" s="2" t="inlineStr">
        <is>
          <t>Home &amp; Kitchen</t>
        </is>
      </c>
      <c r="G1605" s="2" t="inlineStr">
        <is>
          <t>North</t>
        </is>
      </c>
      <c r="H1605" s="2" t="inlineStr">
        <is>
          <t>Haryana</t>
        </is>
      </c>
      <c r="I1605" s="2" t="inlineStr">
        <is>
          <t>Faridabad</t>
        </is>
      </c>
      <c r="J1605" s="2" t="inlineStr">
        <is>
          <t>Online</t>
        </is>
      </c>
      <c r="K1605" s="2" t="n">
        <v>2</v>
      </c>
      <c r="L1605" s="3" t="n">
        <v>1023.38</v>
      </c>
      <c r="M1605" s="4" t="n">
        <v>0</v>
      </c>
      <c r="N1605" s="3" t="n">
        <v>1542.86</v>
      </c>
      <c r="O1605" s="3">
        <f>K1605*L1605*(1-M1605)</f>
        <v/>
      </c>
      <c r="P1605" s="3">
        <f>O1605-N1605</f>
        <v/>
      </c>
      <c r="Q1605" s="5">
        <f>IFERROR(P1605/O1605,0)</f>
        <v/>
      </c>
      <c r="R1605" s="2">
        <f>TEXT(DATEVALUE(B1605),"mmm")</f>
        <v/>
      </c>
      <c r="S1605" s="2">
        <f>TEXT(DATEVALUE(B1605),"yyyy-mm")</f>
        <v/>
      </c>
    </row>
    <row r="1606">
      <c r="A1606" s="2" t="inlineStr">
        <is>
          <t>O004646</t>
        </is>
      </c>
      <c r="B1606" s="2" t="inlineStr">
        <is>
          <t>2025-04-28</t>
        </is>
      </c>
      <c r="C1606" s="2" t="inlineStr">
        <is>
          <t>C0765</t>
        </is>
      </c>
      <c r="D1606" s="2" t="inlineStr">
        <is>
          <t>P0022</t>
        </is>
      </c>
      <c r="E1606" s="2" t="inlineStr">
        <is>
          <t>Face Wash</t>
        </is>
      </c>
      <c r="F1606" s="2" t="inlineStr">
        <is>
          <t>Beauty</t>
        </is>
      </c>
      <c r="G1606" s="2" t="inlineStr">
        <is>
          <t>West</t>
        </is>
      </c>
      <c r="H1606" s="2" t="inlineStr">
        <is>
          <t>Maharashtra</t>
        </is>
      </c>
      <c r="I1606" s="2" t="inlineStr">
        <is>
          <t>Nashik</t>
        </is>
      </c>
      <c r="J1606" s="2" t="inlineStr">
        <is>
          <t>Online</t>
        </is>
      </c>
      <c r="K1606" s="2" t="n">
        <v>4</v>
      </c>
      <c r="L1606" s="3" t="n">
        <v>571.89</v>
      </c>
      <c r="M1606" s="4" t="n">
        <v>0.05</v>
      </c>
      <c r="N1606" s="3" t="n">
        <v>1450.22</v>
      </c>
      <c r="O1606" s="3">
        <f>K1606*L1606*(1-M1606)</f>
        <v/>
      </c>
      <c r="P1606" s="3">
        <f>O1606-N1606</f>
        <v/>
      </c>
      <c r="Q1606" s="5">
        <f>IFERROR(P1606/O1606,0)</f>
        <v/>
      </c>
      <c r="R1606" s="2">
        <f>TEXT(DATEVALUE(B1606),"mmm")</f>
        <v/>
      </c>
      <c r="S1606" s="2">
        <f>TEXT(DATEVALUE(B1606),"yyyy-mm")</f>
        <v/>
      </c>
    </row>
    <row r="1607">
      <c r="A1607" s="2" t="inlineStr">
        <is>
          <t>O004915</t>
        </is>
      </c>
      <c r="B1607" s="2" t="inlineStr">
        <is>
          <t>2025-04-28</t>
        </is>
      </c>
      <c r="C1607" s="2" t="inlineStr">
        <is>
          <t>C0280</t>
        </is>
      </c>
      <c r="D1607" s="2" t="inlineStr">
        <is>
          <t>P0007</t>
        </is>
      </c>
      <c r="E1607" s="2" t="inlineStr">
        <is>
          <t>Wireless Mouse</t>
        </is>
      </c>
      <c r="F1607" s="2" t="inlineStr">
        <is>
          <t>Electronics</t>
        </is>
      </c>
      <c r="G1607" s="2" t="inlineStr">
        <is>
          <t>West</t>
        </is>
      </c>
      <c r="H1607" s="2" t="inlineStr">
        <is>
          <t>Goa</t>
        </is>
      </c>
      <c r="I1607" s="2" t="inlineStr">
        <is>
          <t>Margao</t>
        </is>
      </c>
      <c r="J1607" s="2" t="inlineStr">
        <is>
          <t>Online</t>
        </is>
      </c>
      <c r="K1607" s="2" t="n">
        <v>1</v>
      </c>
      <c r="L1607" s="3" t="n">
        <v>1027.1</v>
      </c>
      <c r="M1607" s="4" t="n">
        <v>0.25</v>
      </c>
      <c r="N1607" s="3" t="n">
        <v>641.17</v>
      </c>
      <c r="O1607" s="3">
        <f>K1607*L1607*(1-M1607)</f>
        <v/>
      </c>
      <c r="P1607" s="3">
        <f>O1607-N1607</f>
        <v/>
      </c>
      <c r="Q1607" s="5">
        <f>IFERROR(P1607/O1607,0)</f>
        <v/>
      </c>
      <c r="R1607" s="2">
        <f>TEXT(DATEVALUE(B1607),"mmm")</f>
        <v/>
      </c>
      <c r="S1607" s="2">
        <f>TEXT(DATEVALUE(B1607),"yyyy-mm")</f>
        <v/>
      </c>
    </row>
    <row r="1608">
      <c r="A1608" s="2" t="inlineStr">
        <is>
          <t>O003323</t>
        </is>
      </c>
      <c r="B1608" s="2" t="inlineStr">
        <is>
          <t>2025-04-28</t>
        </is>
      </c>
      <c r="C1608" s="2" t="inlineStr">
        <is>
          <t>C0400</t>
        </is>
      </c>
      <c r="D1608" s="2" t="inlineStr">
        <is>
          <t>P0021</t>
        </is>
      </c>
      <c r="E1608" s="2" t="inlineStr">
        <is>
          <t>Wallet</t>
        </is>
      </c>
      <c r="F1608" s="2" t="inlineStr">
        <is>
          <t>Fashion</t>
        </is>
      </c>
      <c r="G1608" s="2" t="inlineStr">
        <is>
          <t>West</t>
        </is>
      </c>
      <c r="H1608" s="2" t="inlineStr">
        <is>
          <t>Gujarat</t>
        </is>
      </c>
      <c r="I1608" s="2" t="inlineStr">
        <is>
          <t>Ahmedabad</t>
        </is>
      </c>
      <c r="J1608" s="2" t="inlineStr">
        <is>
          <t>Store</t>
        </is>
      </c>
      <c r="K1608" s="2" t="n">
        <v>1</v>
      </c>
      <c r="L1608" s="3" t="n">
        <v>1996.78</v>
      </c>
      <c r="M1608" s="4" t="n">
        <v>0.1</v>
      </c>
      <c r="N1608" s="3" t="n">
        <v>1195.01</v>
      </c>
      <c r="O1608" s="3">
        <f>K1608*L1608*(1-M1608)</f>
        <v/>
      </c>
      <c r="P1608" s="3">
        <f>O1608-N1608</f>
        <v/>
      </c>
      <c r="Q1608" s="5">
        <f>IFERROR(P1608/O1608,0)</f>
        <v/>
      </c>
      <c r="R1608" s="2">
        <f>TEXT(DATEVALUE(B1608),"mmm")</f>
        <v/>
      </c>
      <c r="S1608" s="2">
        <f>TEXT(DATEVALUE(B1608),"yyyy-mm")</f>
        <v/>
      </c>
    </row>
    <row r="1609">
      <c r="A1609" s="2" t="inlineStr">
        <is>
          <t>O004543</t>
        </is>
      </c>
      <c r="B1609" s="2" t="inlineStr">
        <is>
          <t>2025-04-28</t>
        </is>
      </c>
      <c r="C1609" s="2" t="inlineStr">
        <is>
          <t>C0607</t>
        </is>
      </c>
      <c r="D1609" s="2" t="inlineStr">
        <is>
          <t>P0016</t>
        </is>
      </c>
      <c r="E1609" s="2" t="inlineStr">
        <is>
          <t>Casual Shirt</t>
        </is>
      </c>
      <c r="F1609" s="2" t="inlineStr">
        <is>
          <t>Fashion</t>
        </is>
      </c>
      <c r="G1609" s="2" t="inlineStr">
        <is>
          <t>East</t>
        </is>
      </c>
      <c r="H1609" s="2" t="inlineStr">
        <is>
          <t>Bihar</t>
        </is>
      </c>
      <c r="I1609" s="2" t="inlineStr">
        <is>
          <t>Patna</t>
        </is>
      </c>
      <c r="J1609" s="2" t="inlineStr">
        <is>
          <t>Online</t>
        </is>
      </c>
      <c r="K1609" s="2" t="n">
        <v>1</v>
      </c>
      <c r="L1609" s="3" t="n">
        <v>1303.1</v>
      </c>
      <c r="M1609" s="4" t="n">
        <v>0.05</v>
      </c>
      <c r="N1609" s="3" t="n">
        <v>924.67</v>
      </c>
      <c r="O1609" s="3">
        <f>K1609*L1609*(1-M1609)</f>
        <v/>
      </c>
      <c r="P1609" s="3">
        <f>O1609-N1609</f>
        <v/>
      </c>
      <c r="Q1609" s="5">
        <f>IFERROR(P1609/O1609,0)</f>
        <v/>
      </c>
      <c r="R1609" s="2">
        <f>TEXT(DATEVALUE(B1609),"mmm")</f>
        <v/>
      </c>
      <c r="S1609" s="2">
        <f>TEXT(DATEVALUE(B1609),"yyyy-mm")</f>
        <v/>
      </c>
    </row>
    <row r="1610">
      <c r="A1610" s="2" t="inlineStr">
        <is>
          <t>O002797</t>
        </is>
      </c>
      <c r="B1610" s="2" t="inlineStr">
        <is>
          <t>2025-04-28</t>
        </is>
      </c>
      <c r="C1610" s="2" t="inlineStr">
        <is>
          <t>C0313</t>
        </is>
      </c>
      <c r="D1610" s="2" t="inlineStr">
        <is>
          <t>P0022</t>
        </is>
      </c>
      <c r="E1610" s="2" t="inlineStr">
        <is>
          <t>Face Wash</t>
        </is>
      </c>
      <c r="F1610" s="2" t="inlineStr">
        <is>
          <t>Beauty</t>
        </is>
      </c>
      <c r="G1610" s="2" t="inlineStr">
        <is>
          <t>West</t>
        </is>
      </c>
      <c r="H1610" s="2" t="inlineStr">
        <is>
          <t>Goa</t>
        </is>
      </c>
      <c r="I1610" s="2" t="inlineStr">
        <is>
          <t>Margao</t>
        </is>
      </c>
      <c r="J1610" s="2" t="inlineStr">
        <is>
          <t>Online</t>
        </is>
      </c>
      <c r="K1610" s="2" t="n">
        <v>1</v>
      </c>
      <c r="L1610" s="3" t="n">
        <v>569.39</v>
      </c>
      <c r="M1610" s="4" t="n">
        <v>0.05</v>
      </c>
      <c r="N1610" s="3" t="n">
        <v>340.47</v>
      </c>
      <c r="O1610" s="3">
        <f>K1610*L1610*(1-M1610)</f>
        <v/>
      </c>
      <c r="P1610" s="3">
        <f>O1610-N1610</f>
        <v/>
      </c>
      <c r="Q1610" s="5">
        <f>IFERROR(P1610/O1610,0)</f>
        <v/>
      </c>
      <c r="R1610" s="2">
        <f>TEXT(DATEVALUE(B1610),"mmm")</f>
        <v/>
      </c>
      <c r="S1610" s="2">
        <f>TEXT(DATEVALUE(B1610),"yyyy-mm")</f>
        <v/>
      </c>
    </row>
    <row r="1611">
      <c r="A1611" s="2" t="inlineStr">
        <is>
          <t>O000452</t>
        </is>
      </c>
      <c r="B1611" s="2" t="inlineStr">
        <is>
          <t>2025-04-28</t>
        </is>
      </c>
      <c r="C1611" s="2" t="inlineStr">
        <is>
          <t>C0788</t>
        </is>
      </c>
      <c r="D1611" s="2" t="inlineStr">
        <is>
          <t>P0004</t>
        </is>
      </c>
      <c r="E1611" s="2" t="inlineStr">
        <is>
          <t>USB-C Hub</t>
        </is>
      </c>
      <c r="F1611" s="2" t="inlineStr">
        <is>
          <t>Electronics</t>
        </is>
      </c>
      <c r="G1611" s="2" t="inlineStr">
        <is>
          <t>West</t>
        </is>
      </c>
      <c r="H1611" s="2" t="inlineStr">
        <is>
          <t>Goa</t>
        </is>
      </c>
      <c r="I1611" s="2" t="inlineStr">
        <is>
          <t>Margao</t>
        </is>
      </c>
      <c r="J1611" s="2" t="inlineStr">
        <is>
          <t>Online</t>
        </is>
      </c>
      <c r="K1611" s="2" t="n">
        <v>1</v>
      </c>
      <c r="L1611" s="3" t="n">
        <v>1296.91</v>
      </c>
      <c r="M1611" s="4" t="n">
        <v>0.2</v>
      </c>
      <c r="N1611" s="3" t="n">
        <v>912.97</v>
      </c>
      <c r="O1611" s="3">
        <f>K1611*L1611*(1-M1611)</f>
        <v/>
      </c>
      <c r="P1611" s="3">
        <f>O1611-N1611</f>
        <v/>
      </c>
      <c r="Q1611" s="5">
        <f>IFERROR(P1611/O1611,0)</f>
        <v/>
      </c>
      <c r="R1611" s="2">
        <f>TEXT(DATEVALUE(B1611),"mmm")</f>
        <v/>
      </c>
      <c r="S1611" s="2">
        <f>TEXT(DATEVALUE(B1611),"yyyy-mm")</f>
        <v/>
      </c>
    </row>
    <row r="1612">
      <c r="A1612" s="2" t="inlineStr">
        <is>
          <t>O002660</t>
        </is>
      </c>
      <c r="B1612" s="2" t="inlineStr">
        <is>
          <t>2025-04-28</t>
        </is>
      </c>
      <c r="C1612" s="2" t="inlineStr">
        <is>
          <t>C0008</t>
        </is>
      </c>
      <c r="D1612" s="2" t="inlineStr">
        <is>
          <t>P0014</t>
        </is>
      </c>
      <c r="E1612" s="2" t="inlineStr">
        <is>
          <t>Coffee Maker</t>
        </is>
      </c>
      <c r="F1612" s="2" t="inlineStr">
        <is>
          <t>Home &amp; Kitchen</t>
        </is>
      </c>
      <c r="G1612" s="2" t="inlineStr">
        <is>
          <t>West</t>
        </is>
      </c>
      <c r="H1612" s="2" t="inlineStr">
        <is>
          <t>Maharashtra</t>
        </is>
      </c>
      <c r="I1612" s="2" t="inlineStr">
        <is>
          <t>Pune</t>
        </is>
      </c>
      <c r="J1612" s="2" t="inlineStr">
        <is>
          <t>Online</t>
        </is>
      </c>
      <c r="K1612" s="2" t="n">
        <v>4</v>
      </c>
      <c r="L1612" s="3" t="n">
        <v>1023.81</v>
      </c>
      <c r="M1612" s="4" t="n">
        <v>0.15</v>
      </c>
      <c r="N1612" s="3" t="n">
        <v>3057.98</v>
      </c>
      <c r="O1612" s="3">
        <f>K1612*L1612*(1-M1612)</f>
        <v/>
      </c>
      <c r="P1612" s="3">
        <f>O1612-N1612</f>
        <v/>
      </c>
      <c r="Q1612" s="5">
        <f>IFERROR(P1612/O1612,0)</f>
        <v/>
      </c>
      <c r="R1612" s="2">
        <f>TEXT(DATEVALUE(B1612),"mmm")</f>
        <v/>
      </c>
      <c r="S1612" s="2">
        <f>TEXT(DATEVALUE(B1612),"yyyy-mm")</f>
        <v/>
      </c>
    </row>
    <row r="1613">
      <c r="A1613" s="2" t="inlineStr">
        <is>
          <t>O002330</t>
        </is>
      </c>
      <c r="B1613" s="2" t="inlineStr">
        <is>
          <t>2025-04-28</t>
        </is>
      </c>
      <c r="C1613" s="2" t="inlineStr">
        <is>
          <t>C0579</t>
        </is>
      </c>
      <c r="D1613" s="2" t="inlineStr">
        <is>
          <t>P0032</t>
        </is>
      </c>
      <c r="E1613" s="2" t="inlineStr">
        <is>
          <t>Football</t>
        </is>
      </c>
      <c r="F1613" s="2" t="inlineStr">
        <is>
          <t>Sports</t>
        </is>
      </c>
      <c r="G1613" s="2" t="inlineStr">
        <is>
          <t>North</t>
        </is>
      </c>
      <c r="H1613" s="2" t="inlineStr">
        <is>
          <t>Punjab</t>
        </is>
      </c>
      <c r="I1613" s="2" t="inlineStr">
        <is>
          <t>Amritsar</t>
        </is>
      </c>
      <c r="J1613" s="2" t="inlineStr">
        <is>
          <t>Store</t>
        </is>
      </c>
      <c r="K1613" s="2" t="n">
        <v>3</v>
      </c>
      <c r="L1613" s="3" t="n">
        <v>805.24</v>
      </c>
      <c r="M1613" s="4" t="n">
        <v>0.1</v>
      </c>
      <c r="N1613" s="3" t="n">
        <v>1579.67</v>
      </c>
      <c r="O1613" s="3">
        <f>K1613*L1613*(1-M1613)</f>
        <v/>
      </c>
      <c r="P1613" s="3">
        <f>O1613-N1613</f>
        <v/>
      </c>
      <c r="Q1613" s="5">
        <f>IFERROR(P1613/O1613,0)</f>
        <v/>
      </c>
      <c r="R1613" s="2">
        <f>TEXT(DATEVALUE(B1613),"mmm")</f>
        <v/>
      </c>
      <c r="S1613" s="2">
        <f>TEXT(DATEVALUE(B1613),"yyyy-mm")</f>
        <v/>
      </c>
    </row>
    <row r="1614">
      <c r="A1614" s="2" t="inlineStr">
        <is>
          <t>O002199</t>
        </is>
      </c>
      <c r="B1614" s="2" t="inlineStr">
        <is>
          <t>2025-04-28</t>
        </is>
      </c>
      <c r="C1614" s="2" t="inlineStr">
        <is>
          <t>C0206</t>
        </is>
      </c>
      <c r="D1614" s="2" t="inlineStr">
        <is>
          <t>P0029</t>
        </is>
      </c>
      <c r="E1614" s="2" t="inlineStr">
        <is>
          <t>Yoga Mat</t>
        </is>
      </c>
      <c r="F1614" s="2" t="inlineStr">
        <is>
          <t>Sports</t>
        </is>
      </c>
      <c r="G1614" s="2" t="inlineStr">
        <is>
          <t>West</t>
        </is>
      </c>
      <c r="H1614" s="2" t="inlineStr">
        <is>
          <t>Goa</t>
        </is>
      </c>
      <c r="I1614" s="2" t="inlineStr">
        <is>
          <t>Margao</t>
        </is>
      </c>
      <c r="J1614" s="2" t="inlineStr">
        <is>
          <t>Store</t>
        </is>
      </c>
      <c r="K1614" s="2" t="n">
        <v>5</v>
      </c>
      <c r="L1614" s="3" t="n">
        <v>2466.11</v>
      </c>
      <c r="M1614" s="4" t="n">
        <v>0.1</v>
      </c>
      <c r="N1614" s="3" t="n">
        <v>6386.64</v>
      </c>
      <c r="O1614" s="3">
        <f>K1614*L1614*(1-M1614)</f>
        <v/>
      </c>
      <c r="P1614" s="3">
        <f>O1614-N1614</f>
        <v/>
      </c>
      <c r="Q1614" s="5">
        <f>IFERROR(P1614/O1614,0)</f>
        <v/>
      </c>
      <c r="R1614" s="2">
        <f>TEXT(DATEVALUE(B1614),"mmm")</f>
        <v/>
      </c>
      <c r="S1614" s="2">
        <f>TEXT(DATEVALUE(B1614),"yyyy-mm")</f>
        <v/>
      </c>
    </row>
    <row r="1615">
      <c r="A1615" s="2" t="inlineStr">
        <is>
          <t>O001975</t>
        </is>
      </c>
      <c r="B1615" s="2" t="inlineStr">
        <is>
          <t>2025-04-28</t>
        </is>
      </c>
      <c r="C1615" s="2" t="inlineStr">
        <is>
          <t>C0705</t>
        </is>
      </c>
      <c r="D1615" s="2" t="inlineStr">
        <is>
          <t>P0004</t>
        </is>
      </c>
      <c r="E1615" s="2" t="inlineStr">
        <is>
          <t>USB-C Hub</t>
        </is>
      </c>
      <c r="F1615" s="2" t="inlineStr">
        <is>
          <t>Electronics</t>
        </is>
      </c>
      <c r="G1615" s="2" t="inlineStr">
        <is>
          <t>North</t>
        </is>
      </c>
      <c r="H1615" s="2" t="inlineStr">
        <is>
          <t>Haryana</t>
        </is>
      </c>
      <c r="I1615" s="2" t="inlineStr">
        <is>
          <t>Gurugram</t>
        </is>
      </c>
      <c r="J1615" s="2" t="inlineStr">
        <is>
          <t>Store</t>
        </is>
      </c>
      <c r="K1615" s="2" t="n">
        <v>3</v>
      </c>
      <c r="L1615" s="3" t="n">
        <v>1235.3</v>
      </c>
      <c r="M1615" s="4" t="n">
        <v>0.1</v>
      </c>
      <c r="N1615" s="3" t="n">
        <v>2789.46</v>
      </c>
      <c r="O1615" s="3">
        <f>K1615*L1615*(1-M1615)</f>
        <v/>
      </c>
      <c r="P1615" s="3">
        <f>O1615-N1615</f>
        <v/>
      </c>
      <c r="Q1615" s="5">
        <f>IFERROR(P1615/O1615,0)</f>
        <v/>
      </c>
      <c r="R1615" s="2">
        <f>TEXT(DATEVALUE(B1615),"mmm")</f>
        <v/>
      </c>
      <c r="S1615" s="2">
        <f>TEXT(DATEVALUE(B1615),"yyyy-mm")</f>
        <v/>
      </c>
    </row>
    <row r="1616">
      <c r="A1616" s="2" t="inlineStr">
        <is>
          <t>O001208</t>
        </is>
      </c>
      <c r="B1616" s="2" t="inlineStr">
        <is>
          <t>2025-04-28</t>
        </is>
      </c>
      <c r="C1616" s="2" t="inlineStr">
        <is>
          <t>C0309</t>
        </is>
      </c>
      <c r="D1616" s="2" t="inlineStr">
        <is>
          <t>P0011</t>
        </is>
      </c>
      <c r="E1616" s="2" t="inlineStr">
        <is>
          <t>Cookware Set</t>
        </is>
      </c>
      <c r="F1616" s="2" t="inlineStr">
        <is>
          <t>Home &amp; Kitchen</t>
        </is>
      </c>
      <c r="G1616" s="2" t="inlineStr">
        <is>
          <t>South</t>
        </is>
      </c>
      <c r="H1616" s="2" t="inlineStr">
        <is>
          <t>Tamil Nadu</t>
        </is>
      </c>
      <c r="I1616" s="2" t="inlineStr">
        <is>
          <t>Coimbatore</t>
        </is>
      </c>
      <c r="J1616" s="2" t="inlineStr">
        <is>
          <t>Store</t>
        </is>
      </c>
      <c r="K1616" s="2" t="n">
        <v>1</v>
      </c>
      <c r="L1616" s="3" t="n">
        <v>719.33</v>
      </c>
      <c r="M1616" s="4" t="n">
        <v>0.05</v>
      </c>
      <c r="N1616" s="3" t="n">
        <v>481.62</v>
      </c>
      <c r="O1616" s="3">
        <f>K1616*L1616*(1-M1616)</f>
        <v/>
      </c>
      <c r="P1616" s="3">
        <f>O1616-N1616</f>
        <v/>
      </c>
      <c r="Q1616" s="5">
        <f>IFERROR(P1616/O1616,0)</f>
        <v/>
      </c>
      <c r="R1616" s="2">
        <f>TEXT(DATEVALUE(B1616),"mmm")</f>
        <v/>
      </c>
      <c r="S1616" s="2">
        <f>TEXT(DATEVALUE(B1616),"yyyy-mm")</f>
        <v/>
      </c>
    </row>
    <row r="1617">
      <c r="A1617" s="2" t="inlineStr">
        <is>
          <t>O001096</t>
        </is>
      </c>
      <c r="B1617" s="2" t="inlineStr">
        <is>
          <t>2025-04-28</t>
        </is>
      </c>
      <c r="C1617" s="2" t="inlineStr">
        <is>
          <t>C0529</t>
        </is>
      </c>
      <c r="D1617" s="2" t="inlineStr">
        <is>
          <t>P0004</t>
        </is>
      </c>
      <c r="E1617" s="2" t="inlineStr">
        <is>
          <t>USB-C Hub</t>
        </is>
      </c>
      <c r="F1617" s="2" t="inlineStr">
        <is>
          <t>Electronics</t>
        </is>
      </c>
      <c r="G1617" s="2" t="inlineStr">
        <is>
          <t>West</t>
        </is>
      </c>
      <c r="H1617" s="2" t="inlineStr">
        <is>
          <t>Goa</t>
        </is>
      </c>
      <c r="I1617" s="2" t="inlineStr">
        <is>
          <t>Margao</t>
        </is>
      </c>
      <c r="J1617" s="2" t="inlineStr">
        <is>
          <t>Online</t>
        </is>
      </c>
      <c r="K1617" s="2" t="n">
        <v>6</v>
      </c>
      <c r="L1617" s="3" t="n">
        <v>1238.93</v>
      </c>
      <c r="M1617" s="4" t="n">
        <v>0</v>
      </c>
      <c r="N1617" s="3" t="n">
        <v>5691.21</v>
      </c>
      <c r="O1617" s="3">
        <f>K1617*L1617*(1-M1617)</f>
        <v/>
      </c>
      <c r="P1617" s="3">
        <f>O1617-N1617</f>
        <v/>
      </c>
      <c r="Q1617" s="5">
        <f>IFERROR(P1617/O1617,0)</f>
        <v/>
      </c>
      <c r="R1617" s="2">
        <f>TEXT(DATEVALUE(B1617),"mmm")</f>
        <v/>
      </c>
      <c r="S1617" s="2">
        <f>TEXT(DATEVALUE(B1617),"yyyy-mm")</f>
        <v/>
      </c>
    </row>
    <row r="1618">
      <c r="A1618" s="2" t="inlineStr">
        <is>
          <t>O000972</t>
        </is>
      </c>
      <c r="B1618" s="2" t="inlineStr">
        <is>
          <t>2025-04-28</t>
        </is>
      </c>
      <c r="C1618" s="2" t="inlineStr">
        <is>
          <t>C0214</t>
        </is>
      </c>
      <c r="D1618" s="2" t="inlineStr">
        <is>
          <t>P0029</t>
        </is>
      </c>
      <c r="E1618" s="2" t="inlineStr">
        <is>
          <t>Yoga Mat</t>
        </is>
      </c>
      <c r="F1618" s="2" t="inlineStr">
        <is>
          <t>Sports</t>
        </is>
      </c>
      <c r="G1618" s="2" t="inlineStr">
        <is>
          <t>East</t>
        </is>
      </c>
      <c r="H1618" s="2" t="inlineStr">
        <is>
          <t>West Bengal</t>
        </is>
      </c>
      <c r="I1618" s="2" t="inlineStr">
        <is>
          <t>Kolkata</t>
        </is>
      </c>
      <c r="J1618" s="2" t="inlineStr">
        <is>
          <t>Online</t>
        </is>
      </c>
      <c r="K1618" s="2" t="n">
        <v>2</v>
      </c>
      <c r="L1618" s="3" t="n">
        <v>2409.14</v>
      </c>
      <c r="M1618" s="4" t="n">
        <v>0.15</v>
      </c>
      <c r="N1618" s="3" t="n">
        <v>2634.69</v>
      </c>
      <c r="O1618" s="3">
        <f>K1618*L1618*(1-M1618)</f>
        <v/>
      </c>
      <c r="P1618" s="3">
        <f>O1618-N1618</f>
        <v/>
      </c>
      <c r="Q1618" s="5">
        <f>IFERROR(P1618/O1618,0)</f>
        <v/>
      </c>
      <c r="R1618" s="2">
        <f>TEXT(DATEVALUE(B1618),"mmm")</f>
        <v/>
      </c>
      <c r="S1618" s="2">
        <f>TEXT(DATEVALUE(B1618),"yyyy-mm")</f>
        <v/>
      </c>
    </row>
    <row r="1619">
      <c r="A1619" s="2" t="inlineStr">
        <is>
          <t>O000770</t>
        </is>
      </c>
      <c r="B1619" s="2" t="inlineStr">
        <is>
          <t>2025-04-28</t>
        </is>
      </c>
      <c r="C1619" s="2" t="inlineStr">
        <is>
          <t>C0312</t>
        </is>
      </c>
      <c r="D1619" s="2" t="inlineStr">
        <is>
          <t>P0016</t>
        </is>
      </c>
      <c r="E1619" s="2" t="inlineStr">
        <is>
          <t>Casual Shirt</t>
        </is>
      </c>
      <c r="F1619" s="2" t="inlineStr">
        <is>
          <t>Fashion</t>
        </is>
      </c>
      <c r="G1619" s="2" t="inlineStr">
        <is>
          <t>West</t>
        </is>
      </c>
      <c r="H1619" s="2" t="inlineStr">
        <is>
          <t>Maharashtra</t>
        </is>
      </c>
      <c r="I1619" s="2" t="inlineStr">
        <is>
          <t>Nashik</t>
        </is>
      </c>
      <c r="J1619" s="2" t="inlineStr">
        <is>
          <t>Online</t>
        </is>
      </c>
      <c r="K1619" s="2" t="n">
        <v>5</v>
      </c>
      <c r="L1619" s="3" t="n">
        <v>1308.36</v>
      </c>
      <c r="M1619" s="4" t="n">
        <v>0.25</v>
      </c>
      <c r="N1619" s="3" t="n">
        <v>4501.31</v>
      </c>
      <c r="O1619" s="3">
        <f>K1619*L1619*(1-M1619)</f>
        <v/>
      </c>
      <c r="P1619" s="3">
        <f>O1619-N1619</f>
        <v/>
      </c>
      <c r="Q1619" s="5">
        <f>IFERROR(P1619/O1619,0)</f>
        <v/>
      </c>
      <c r="R1619" s="2">
        <f>TEXT(DATEVALUE(B1619),"mmm")</f>
        <v/>
      </c>
      <c r="S1619" s="2">
        <f>TEXT(DATEVALUE(B1619),"yyyy-mm")</f>
        <v/>
      </c>
    </row>
    <row r="1620">
      <c r="A1620" s="2" t="inlineStr">
        <is>
          <t>O002772</t>
        </is>
      </c>
      <c r="B1620" s="2" t="inlineStr">
        <is>
          <t>2025-04-28</t>
        </is>
      </c>
      <c r="C1620" s="2" t="inlineStr">
        <is>
          <t>C0150</t>
        </is>
      </c>
      <c r="D1620" s="2" t="inlineStr">
        <is>
          <t>P0031</t>
        </is>
      </c>
      <c r="E1620" s="2" t="inlineStr">
        <is>
          <t>Cricket Bat</t>
        </is>
      </c>
      <c r="F1620" s="2" t="inlineStr">
        <is>
          <t>Sports</t>
        </is>
      </c>
      <c r="G1620" s="2" t="inlineStr">
        <is>
          <t>North</t>
        </is>
      </c>
      <c r="H1620" s="2" t="inlineStr">
        <is>
          <t>Uttar Pradesh</t>
        </is>
      </c>
      <c r="I1620" s="2" t="inlineStr">
        <is>
          <t>Noida</t>
        </is>
      </c>
      <c r="J1620" s="2" t="inlineStr">
        <is>
          <t>Store</t>
        </is>
      </c>
      <c r="K1620" s="2" t="n">
        <v>2</v>
      </c>
      <c r="L1620" s="3" t="n">
        <v>1411.14</v>
      </c>
      <c r="M1620" s="4" t="n">
        <v>0.05</v>
      </c>
      <c r="N1620" s="3" t="n">
        <v>1948.95</v>
      </c>
      <c r="O1620" s="3">
        <f>K1620*L1620*(1-M1620)</f>
        <v/>
      </c>
      <c r="P1620" s="3">
        <f>O1620-N1620</f>
        <v/>
      </c>
      <c r="Q1620" s="5">
        <f>IFERROR(P1620/O1620,0)</f>
        <v/>
      </c>
      <c r="R1620" s="2">
        <f>TEXT(DATEVALUE(B1620),"mmm")</f>
        <v/>
      </c>
      <c r="S1620" s="2">
        <f>TEXT(DATEVALUE(B1620),"yyyy-mm")</f>
        <v/>
      </c>
    </row>
    <row r="1621">
      <c r="A1621" s="2" t="inlineStr">
        <is>
          <t>O004970</t>
        </is>
      </c>
      <c r="B1621" s="2" t="inlineStr">
        <is>
          <t>2025-04-29</t>
        </is>
      </c>
      <c r="C1621" s="2" t="inlineStr">
        <is>
          <t>C0134</t>
        </is>
      </c>
      <c r="D1621" s="2" t="inlineStr">
        <is>
          <t>P0032</t>
        </is>
      </c>
      <c r="E1621" s="2" t="inlineStr">
        <is>
          <t>Football</t>
        </is>
      </c>
      <c r="F1621" s="2" t="inlineStr">
        <is>
          <t>Sports</t>
        </is>
      </c>
      <c r="G1621" s="2" t="inlineStr">
        <is>
          <t>South</t>
        </is>
      </c>
      <c r="H1621" s="2" t="inlineStr">
        <is>
          <t>Tamil Nadu</t>
        </is>
      </c>
      <c r="I1621" s="2" t="inlineStr">
        <is>
          <t>Coimbatore</t>
        </is>
      </c>
      <c r="J1621" s="2" t="inlineStr">
        <is>
          <t>Online</t>
        </is>
      </c>
      <c r="K1621" s="2" t="n">
        <v>1</v>
      </c>
      <c r="L1621" s="3" t="n">
        <v>804.8099999999999</v>
      </c>
      <c r="M1621" s="4" t="n">
        <v>0.2</v>
      </c>
      <c r="N1621" s="3" t="n">
        <v>525.77</v>
      </c>
      <c r="O1621" s="3">
        <f>K1621*L1621*(1-M1621)</f>
        <v/>
      </c>
      <c r="P1621" s="3">
        <f>O1621-N1621</f>
        <v/>
      </c>
      <c r="Q1621" s="5">
        <f>IFERROR(P1621/O1621,0)</f>
        <v/>
      </c>
      <c r="R1621" s="2">
        <f>TEXT(DATEVALUE(B1621),"mmm")</f>
        <v/>
      </c>
      <c r="S1621" s="2">
        <f>TEXT(DATEVALUE(B1621),"yyyy-mm")</f>
        <v/>
      </c>
    </row>
    <row r="1622">
      <c r="A1622" s="2" t="inlineStr">
        <is>
          <t>O004961</t>
        </is>
      </c>
      <c r="B1622" s="2" t="inlineStr">
        <is>
          <t>2025-04-29</t>
        </is>
      </c>
      <c r="C1622" s="2" t="inlineStr">
        <is>
          <t>C0218</t>
        </is>
      </c>
      <c r="D1622" s="2" t="inlineStr">
        <is>
          <t>P0022</t>
        </is>
      </c>
      <c r="E1622" s="2" t="inlineStr">
        <is>
          <t>Face Wash</t>
        </is>
      </c>
      <c r="F1622" s="2" t="inlineStr">
        <is>
          <t>Beauty</t>
        </is>
      </c>
      <c r="G1622" s="2" t="inlineStr">
        <is>
          <t>North</t>
        </is>
      </c>
      <c r="H1622" s="2" t="inlineStr">
        <is>
          <t>Punjab</t>
        </is>
      </c>
      <c r="I1622" s="2" t="inlineStr">
        <is>
          <t>Ludhiana</t>
        </is>
      </c>
      <c r="J1622" s="2" t="inlineStr">
        <is>
          <t>Store</t>
        </is>
      </c>
      <c r="K1622" s="2" t="n">
        <v>1</v>
      </c>
      <c r="L1622" s="3" t="n">
        <v>564.34</v>
      </c>
      <c r="M1622" s="4" t="n">
        <v>0</v>
      </c>
      <c r="N1622" s="3" t="n">
        <v>351.04</v>
      </c>
      <c r="O1622" s="3">
        <f>K1622*L1622*(1-M1622)</f>
        <v/>
      </c>
      <c r="P1622" s="3">
        <f>O1622-N1622</f>
        <v/>
      </c>
      <c r="Q1622" s="5">
        <f>IFERROR(P1622/O1622,0)</f>
        <v/>
      </c>
      <c r="R1622" s="2">
        <f>TEXT(DATEVALUE(B1622),"mmm")</f>
        <v/>
      </c>
      <c r="S1622" s="2">
        <f>TEXT(DATEVALUE(B1622),"yyyy-mm")</f>
        <v/>
      </c>
    </row>
    <row r="1623">
      <c r="A1623" s="2" t="inlineStr">
        <is>
          <t>O003870</t>
        </is>
      </c>
      <c r="B1623" s="2" t="inlineStr">
        <is>
          <t>2025-04-29</t>
        </is>
      </c>
      <c r="C1623" s="2" t="inlineStr">
        <is>
          <t>C0042</t>
        </is>
      </c>
      <c r="D1623" s="2" t="inlineStr">
        <is>
          <t>P0026</t>
        </is>
      </c>
      <c r="E1623" s="2" t="inlineStr">
        <is>
          <t>Shampoo</t>
        </is>
      </c>
      <c r="F1623" s="2" t="inlineStr">
        <is>
          <t>Beauty</t>
        </is>
      </c>
      <c r="G1623" s="2" t="inlineStr">
        <is>
          <t>North</t>
        </is>
      </c>
      <c r="H1623" s="2" t="inlineStr">
        <is>
          <t>Uttar Pradesh</t>
        </is>
      </c>
      <c r="I1623" s="2" t="inlineStr">
        <is>
          <t>Lucknow</t>
        </is>
      </c>
      <c r="J1623" s="2" t="inlineStr">
        <is>
          <t>Store</t>
        </is>
      </c>
      <c r="K1623" s="2" t="n">
        <v>2</v>
      </c>
      <c r="L1623" s="3" t="n">
        <v>883.55</v>
      </c>
      <c r="M1623" s="4" t="n">
        <v>0.15</v>
      </c>
      <c r="N1623" s="3" t="n">
        <v>1041.09</v>
      </c>
      <c r="O1623" s="3">
        <f>K1623*L1623*(1-M1623)</f>
        <v/>
      </c>
      <c r="P1623" s="3">
        <f>O1623-N1623</f>
        <v/>
      </c>
      <c r="Q1623" s="5">
        <f>IFERROR(P1623/O1623,0)</f>
        <v/>
      </c>
      <c r="R1623" s="2">
        <f>TEXT(DATEVALUE(B1623),"mmm")</f>
        <v/>
      </c>
      <c r="S1623" s="2">
        <f>TEXT(DATEVALUE(B1623),"yyyy-mm")</f>
        <v/>
      </c>
    </row>
    <row r="1624">
      <c r="A1624" s="2" t="inlineStr">
        <is>
          <t>O003817</t>
        </is>
      </c>
      <c r="B1624" s="2" t="inlineStr">
        <is>
          <t>2025-04-29</t>
        </is>
      </c>
      <c r="C1624" s="2" t="inlineStr">
        <is>
          <t>C0793</t>
        </is>
      </c>
      <c r="D1624" s="2" t="inlineStr">
        <is>
          <t>P0031</t>
        </is>
      </c>
      <c r="E1624" s="2" t="inlineStr">
        <is>
          <t>Cricket Bat</t>
        </is>
      </c>
      <c r="F1624" s="2" t="inlineStr">
        <is>
          <t>Sports</t>
        </is>
      </c>
      <c r="G1624" s="2" t="inlineStr">
        <is>
          <t>East</t>
        </is>
      </c>
      <c r="H1624" s="2" t="inlineStr">
        <is>
          <t>Odisha</t>
        </is>
      </c>
      <c r="I1624" s="2" t="inlineStr">
        <is>
          <t>Cuttack</t>
        </is>
      </c>
      <c r="J1624" s="2" t="inlineStr">
        <is>
          <t>Store</t>
        </is>
      </c>
      <c r="K1624" s="2" t="n">
        <v>3</v>
      </c>
      <c r="L1624" s="3" t="n">
        <v>1372.9</v>
      </c>
      <c r="M1624" s="4" t="n">
        <v>0.05</v>
      </c>
      <c r="N1624" s="3" t="n">
        <v>2739.15</v>
      </c>
      <c r="O1624" s="3">
        <f>K1624*L1624*(1-M1624)</f>
        <v/>
      </c>
      <c r="P1624" s="3">
        <f>O1624-N1624</f>
        <v/>
      </c>
      <c r="Q1624" s="5">
        <f>IFERROR(P1624/O1624,0)</f>
        <v/>
      </c>
      <c r="R1624" s="2">
        <f>TEXT(DATEVALUE(B1624),"mmm")</f>
        <v/>
      </c>
      <c r="S1624" s="2">
        <f>TEXT(DATEVALUE(B1624),"yyyy-mm")</f>
        <v/>
      </c>
    </row>
    <row r="1625">
      <c r="A1625" s="2" t="inlineStr">
        <is>
          <t>O003669</t>
        </is>
      </c>
      <c r="B1625" s="2" t="inlineStr">
        <is>
          <t>2025-04-29</t>
        </is>
      </c>
      <c r="C1625" s="2" t="inlineStr">
        <is>
          <t>C0769</t>
        </is>
      </c>
      <c r="D1625" s="2" t="inlineStr">
        <is>
          <t>P0004</t>
        </is>
      </c>
      <c r="E1625" s="2" t="inlineStr">
        <is>
          <t>USB-C Hub</t>
        </is>
      </c>
      <c r="F1625" s="2" t="inlineStr">
        <is>
          <t>Electronics</t>
        </is>
      </c>
      <c r="G1625" s="2" t="inlineStr">
        <is>
          <t>South</t>
        </is>
      </c>
      <c r="H1625" s="2" t="inlineStr">
        <is>
          <t>Kerala</t>
        </is>
      </c>
      <c r="I1625" s="2" t="inlineStr">
        <is>
          <t>Thiruvananthapuram</t>
        </is>
      </c>
      <c r="J1625" s="2" t="inlineStr">
        <is>
          <t>Online</t>
        </is>
      </c>
      <c r="K1625" s="2" t="n">
        <v>1</v>
      </c>
      <c r="L1625" s="3" t="n">
        <v>1266.28</v>
      </c>
      <c r="M1625" s="4" t="n">
        <v>0</v>
      </c>
      <c r="N1625" s="3" t="n">
        <v>938.23</v>
      </c>
      <c r="O1625" s="3">
        <f>K1625*L1625*(1-M1625)</f>
        <v/>
      </c>
      <c r="P1625" s="3">
        <f>O1625-N1625</f>
        <v/>
      </c>
      <c r="Q1625" s="5">
        <f>IFERROR(P1625/O1625,0)</f>
        <v/>
      </c>
      <c r="R1625" s="2">
        <f>TEXT(DATEVALUE(B1625),"mmm")</f>
        <v/>
      </c>
      <c r="S1625" s="2">
        <f>TEXT(DATEVALUE(B1625),"yyyy-mm")</f>
        <v/>
      </c>
    </row>
    <row r="1626">
      <c r="A1626" s="2" t="inlineStr">
        <is>
          <t>O002727</t>
        </is>
      </c>
      <c r="B1626" s="2" t="inlineStr">
        <is>
          <t>2025-04-29</t>
        </is>
      </c>
      <c r="C1626" s="2" t="inlineStr">
        <is>
          <t>C0258</t>
        </is>
      </c>
      <c r="D1626" s="2" t="inlineStr">
        <is>
          <t>P0031</t>
        </is>
      </c>
      <c r="E1626" s="2" t="inlineStr">
        <is>
          <t>Cricket Bat</t>
        </is>
      </c>
      <c r="F1626" s="2" t="inlineStr">
        <is>
          <t>Sports</t>
        </is>
      </c>
      <c r="G1626" s="2" t="inlineStr">
        <is>
          <t>South</t>
        </is>
      </c>
      <c r="H1626" s="2" t="inlineStr">
        <is>
          <t>Kerala</t>
        </is>
      </c>
      <c r="I1626" s="2" t="inlineStr">
        <is>
          <t>Thiruvananthapuram</t>
        </is>
      </c>
      <c r="J1626" s="2" t="inlineStr">
        <is>
          <t>Online</t>
        </is>
      </c>
      <c r="K1626" s="2" t="n">
        <v>2</v>
      </c>
      <c r="L1626" s="3" t="n">
        <v>1443.64</v>
      </c>
      <c r="M1626" s="4" t="n">
        <v>0.1</v>
      </c>
      <c r="N1626" s="3" t="n">
        <v>1885.77</v>
      </c>
      <c r="O1626" s="3">
        <f>K1626*L1626*(1-M1626)</f>
        <v/>
      </c>
      <c r="P1626" s="3">
        <f>O1626-N1626</f>
        <v/>
      </c>
      <c r="Q1626" s="5">
        <f>IFERROR(P1626/O1626,0)</f>
        <v/>
      </c>
      <c r="R1626" s="2">
        <f>TEXT(DATEVALUE(B1626),"mmm")</f>
        <v/>
      </c>
      <c r="S1626" s="2">
        <f>TEXT(DATEVALUE(B1626),"yyyy-mm")</f>
        <v/>
      </c>
    </row>
    <row r="1627">
      <c r="A1627" s="2" t="inlineStr">
        <is>
          <t>O002620</t>
        </is>
      </c>
      <c r="B1627" s="2" t="inlineStr">
        <is>
          <t>2025-04-29</t>
        </is>
      </c>
      <c r="C1627" s="2" t="inlineStr">
        <is>
          <t>C0607</t>
        </is>
      </c>
      <c r="D1627" s="2" t="inlineStr">
        <is>
          <t>P0016</t>
        </is>
      </c>
      <c r="E1627" s="2" t="inlineStr">
        <is>
          <t>Casual Shirt</t>
        </is>
      </c>
      <c r="F1627" s="2" t="inlineStr">
        <is>
          <t>Fashion</t>
        </is>
      </c>
      <c r="G1627" s="2" t="inlineStr">
        <is>
          <t>East</t>
        </is>
      </c>
      <c r="H1627" s="2" t="inlineStr">
        <is>
          <t>West Bengal</t>
        </is>
      </c>
      <c r="I1627" s="2" t="inlineStr">
        <is>
          <t>Durgapur</t>
        </is>
      </c>
      <c r="J1627" s="2" t="inlineStr">
        <is>
          <t>Online</t>
        </is>
      </c>
      <c r="K1627" s="2" t="n">
        <v>4</v>
      </c>
      <c r="L1627" s="3" t="n">
        <v>1281.14</v>
      </c>
      <c r="M1627" s="4" t="n">
        <v>0</v>
      </c>
      <c r="N1627" s="3" t="n">
        <v>3612.57</v>
      </c>
      <c r="O1627" s="3">
        <f>K1627*L1627*(1-M1627)</f>
        <v/>
      </c>
      <c r="P1627" s="3">
        <f>O1627-N1627</f>
        <v/>
      </c>
      <c r="Q1627" s="5">
        <f>IFERROR(P1627/O1627,0)</f>
        <v/>
      </c>
      <c r="R1627" s="2">
        <f>TEXT(DATEVALUE(B1627),"mmm")</f>
        <v/>
      </c>
      <c r="S1627" s="2">
        <f>TEXT(DATEVALUE(B1627),"yyyy-mm")</f>
        <v/>
      </c>
    </row>
    <row r="1628">
      <c r="A1628" s="2" t="inlineStr">
        <is>
          <t>O001884</t>
        </is>
      </c>
      <c r="B1628" s="2" t="inlineStr">
        <is>
          <t>2025-04-29</t>
        </is>
      </c>
      <c r="C1628" s="2" t="inlineStr">
        <is>
          <t>C0434</t>
        </is>
      </c>
      <c r="D1628" s="2" t="inlineStr">
        <is>
          <t>P0010</t>
        </is>
      </c>
      <c r="E1628" s="2" t="inlineStr">
        <is>
          <t>Mixer Grinder</t>
        </is>
      </c>
      <c r="F1628" s="2" t="inlineStr">
        <is>
          <t>Home &amp; Kitchen</t>
        </is>
      </c>
      <c r="G1628" s="2" t="inlineStr">
        <is>
          <t>West</t>
        </is>
      </c>
      <c r="H1628" s="2" t="inlineStr">
        <is>
          <t>Maharashtra</t>
        </is>
      </c>
      <c r="I1628" s="2" t="inlineStr">
        <is>
          <t>Mumbai</t>
        </is>
      </c>
      <c r="J1628" s="2" t="inlineStr">
        <is>
          <t>Store</t>
        </is>
      </c>
      <c r="K1628" s="2" t="n">
        <v>1</v>
      </c>
      <c r="L1628" s="3" t="n">
        <v>1632.45</v>
      </c>
      <c r="M1628" s="4" t="n">
        <v>0.15</v>
      </c>
      <c r="N1628" s="3" t="n">
        <v>1054.83</v>
      </c>
      <c r="O1628" s="3">
        <f>K1628*L1628*(1-M1628)</f>
        <v/>
      </c>
      <c r="P1628" s="3">
        <f>O1628-N1628</f>
        <v/>
      </c>
      <c r="Q1628" s="5">
        <f>IFERROR(P1628/O1628,0)</f>
        <v/>
      </c>
      <c r="R1628" s="2">
        <f>TEXT(DATEVALUE(B1628),"mmm")</f>
        <v/>
      </c>
      <c r="S1628" s="2">
        <f>TEXT(DATEVALUE(B1628),"yyyy-mm")</f>
        <v/>
      </c>
    </row>
    <row r="1629">
      <c r="A1629" s="2" t="inlineStr">
        <is>
          <t>O002235</t>
        </is>
      </c>
      <c r="B1629" s="2" t="inlineStr">
        <is>
          <t>2025-04-29</t>
        </is>
      </c>
      <c r="C1629" s="2" t="inlineStr">
        <is>
          <t>C0032</t>
        </is>
      </c>
      <c r="D1629" s="2" t="inlineStr">
        <is>
          <t>P0007</t>
        </is>
      </c>
      <c r="E1629" s="2" t="inlineStr">
        <is>
          <t>Wireless Mouse</t>
        </is>
      </c>
      <c r="F1629" s="2" t="inlineStr">
        <is>
          <t>Electronics</t>
        </is>
      </c>
      <c r="G1629" s="2" t="inlineStr">
        <is>
          <t>North</t>
        </is>
      </c>
      <c r="H1629" s="2" t="inlineStr">
        <is>
          <t>Punjab</t>
        </is>
      </c>
      <c r="I1629" s="2" t="inlineStr">
        <is>
          <t>Ludhiana</t>
        </is>
      </c>
      <c r="J1629" s="2" t="inlineStr">
        <is>
          <t>Online</t>
        </is>
      </c>
      <c r="K1629" s="2" t="n">
        <v>3</v>
      </c>
      <c r="L1629" s="3" t="n">
        <v>1004.75</v>
      </c>
      <c r="M1629" s="4" t="n">
        <v>0.1</v>
      </c>
      <c r="N1629" s="3" t="n">
        <v>1838.5</v>
      </c>
      <c r="O1629" s="3">
        <f>K1629*L1629*(1-M1629)</f>
        <v/>
      </c>
      <c r="P1629" s="3">
        <f>O1629-N1629</f>
        <v/>
      </c>
      <c r="Q1629" s="5">
        <f>IFERROR(P1629/O1629,0)</f>
        <v/>
      </c>
      <c r="R1629" s="2">
        <f>TEXT(DATEVALUE(B1629),"mmm")</f>
        <v/>
      </c>
      <c r="S1629" s="2">
        <f>TEXT(DATEVALUE(B1629),"yyyy-mm")</f>
        <v/>
      </c>
    </row>
    <row r="1630">
      <c r="A1630" s="2" t="inlineStr">
        <is>
          <t>O002058</t>
        </is>
      </c>
      <c r="B1630" s="2" t="inlineStr">
        <is>
          <t>2025-04-29</t>
        </is>
      </c>
      <c r="C1630" s="2" t="inlineStr">
        <is>
          <t>C0456</t>
        </is>
      </c>
      <c r="D1630" s="2" t="inlineStr">
        <is>
          <t>P0008</t>
        </is>
      </c>
      <c r="E1630" s="2" t="inlineStr">
        <is>
          <t>Air Fryer</t>
        </is>
      </c>
      <c r="F1630" s="2" t="inlineStr">
        <is>
          <t>Home &amp; Kitchen</t>
        </is>
      </c>
      <c r="G1630" s="2" t="inlineStr">
        <is>
          <t>East</t>
        </is>
      </c>
      <c r="H1630" s="2" t="inlineStr">
        <is>
          <t>Bihar</t>
        </is>
      </c>
      <c r="I1630" s="2" t="inlineStr">
        <is>
          <t>Gaya</t>
        </is>
      </c>
      <c r="J1630" s="2" t="inlineStr">
        <is>
          <t>Online</t>
        </is>
      </c>
      <c r="K1630" s="2" t="n">
        <v>2</v>
      </c>
      <c r="L1630" s="3" t="n">
        <v>1027.77</v>
      </c>
      <c r="M1630" s="4" t="n">
        <v>0.1</v>
      </c>
      <c r="N1630" s="3" t="n">
        <v>1353.24</v>
      </c>
      <c r="O1630" s="3">
        <f>K1630*L1630*(1-M1630)</f>
        <v/>
      </c>
      <c r="P1630" s="3">
        <f>O1630-N1630</f>
        <v/>
      </c>
      <c r="Q1630" s="5">
        <f>IFERROR(P1630/O1630,0)</f>
        <v/>
      </c>
      <c r="R1630" s="2">
        <f>TEXT(DATEVALUE(B1630),"mmm")</f>
        <v/>
      </c>
      <c r="S1630" s="2">
        <f>TEXT(DATEVALUE(B1630),"yyyy-mm")</f>
        <v/>
      </c>
    </row>
    <row r="1631">
      <c r="A1631" s="2" t="inlineStr">
        <is>
          <t>O002012</t>
        </is>
      </c>
      <c r="B1631" s="2" t="inlineStr">
        <is>
          <t>2025-04-29</t>
        </is>
      </c>
      <c r="C1631" s="2" t="inlineStr">
        <is>
          <t>C0279</t>
        </is>
      </c>
      <c r="D1631" s="2" t="inlineStr">
        <is>
          <t>P0028</t>
        </is>
      </c>
      <c r="E1631" s="2" t="inlineStr">
        <is>
          <t>Trimmer</t>
        </is>
      </c>
      <c r="F1631" s="2" t="inlineStr">
        <is>
          <t>Beauty</t>
        </is>
      </c>
      <c r="G1631" s="2" t="inlineStr">
        <is>
          <t>North</t>
        </is>
      </c>
      <c r="H1631" s="2" t="inlineStr">
        <is>
          <t>Delhi</t>
        </is>
      </c>
      <c r="I1631" s="2" t="inlineStr">
        <is>
          <t>New Delhi</t>
        </is>
      </c>
      <c r="J1631" s="2" t="inlineStr">
        <is>
          <t>Online</t>
        </is>
      </c>
      <c r="K1631" s="2" t="n">
        <v>3</v>
      </c>
      <c r="L1631" s="3" t="n">
        <v>445.71</v>
      </c>
      <c r="M1631" s="4" t="n">
        <v>0</v>
      </c>
      <c r="N1631" s="3" t="n">
        <v>730.87</v>
      </c>
      <c r="O1631" s="3">
        <f>K1631*L1631*(1-M1631)</f>
        <v/>
      </c>
      <c r="P1631" s="3">
        <f>O1631-N1631</f>
        <v/>
      </c>
      <c r="Q1631" s="5">
        <f>IFERROR(P1631/O1631,0)</f>
        <v/>
      </c>
      <c r="R1631" s="2">
        <f>TEXT(DATEVALUE(B1631),"mmm")</f>
        <v/>
      </c>
      <c r="S1631" s="2">
        <f>TEXT(DATEVALUE(B1631),"yyyy-mm")</f>
        <v/>
      </c>
    </row>
    <row r="1632">
      <c r="A1632" s="2" t="inlineStr">
        <is>
          <t>O001296</t>
        </is>
      </c>
      <c r="B1632" s="2" t="inlineStr">
        <is>
          <t>2025-04-29</t>
        </is>
      </c>
      <c r="C1632" s="2" t="inlineStr">
        <is>
          <t>C0694</t>
        </is>
      </c>
      <c r="D1632" s="2" t="inlineStr">
        <is>
          <t>P0014</t>
        </is>
      </c>
      <c r="E1632" s="2" t="inlineStr">
        <is>
          <t>Coffee Maker</t>
        </is>
      </c>
      <c r="F1632" s="2" t="inlineStr">
        <is>
          <t>Home &amp; Kitchen</t>
        </is>
      </c>
      <c r="G1632" s="2" t="inlineStr">
        <is>
          <t>West</t>
        </is>
      </c>
      <c r="H1632" s="2" t="inlineStr">
        <is>
          <t>Gujarat</t>
        </is>
      </c>
      <c r="I1632" s="2" t="inlineStr">
        <is>
          <t>Vadodara</t>
        </is>
      </c>
      <c r="J1632" s="2" t="inlineStr">
        <is>
          <t>Store</t>
        </is>
      </c>
      <c r="K1632" s="2" t="n">
        <v>1</v>
      </c>
      <c r="L1632" s="3" t="n">
        <v>1040.19</v>
      </c>
      <c r="M1632" s="4" t="n">
        <v>0.25</v>
      </c>
      <c r="N1632" s="3" t="n">
        <v>758.39</v>
      </c>
      <c r="O1632" s="3">
        <f>K1632*L1632*(1-M1632)</f>
        <v/>
      </c>
      <c r="P1632" s="3">
        <f>O1632-N1632</f>
        <v/>
      </c>
      <c r="Q1632" s="5">
        <f>IFERROR(P1632/O1632,0)</f>
        <v/>
      </c>
      <c r="R1632" s="2">
        <f>TEXT(DATEVALUE(B1632),"mmm")</f>
        <v/>
      </c>
      <c r="S1632" s="2">
        <f>TEXT(DATEVALUE(B1632),"yyyy-mm")</f>
        <v/>
      </c>
    </row>
    <row r="1633">
      <c r="A1633" s="2" t="inlineStr">
        <is>
          <t>O000906</t>
        </is>
      </c>
      <c r="B1633" s="2" t="inlineStr">
        <is>
          <t>2025-04-29</t>
        </is>
      </c>
      <c r="C1633" s="2" t="inlineStr">
        <is>
          <t>C0255</t>
        </is>
      </c>
      <c r="D1633" s="2" t="inlineStr">
        <is>
          <t>P0002</t>
        </is>
      </c>
      <c r="E1633" s="2" t="inlineStr">
        <is>
          <t>Bluetooth Speaker</t>
        </is>
      </c>
      <c r="F1633" s="2" t="inlineStr">
        <is>
          <t>Electronics</t>
        </is>
      </c>
      <c r="G1633" s="2" t="inlineStr">
        <is>
          <t>East</t>
        </is>
      </c>
      <c r="H1633" s="2" t="inlineStr">
        <is>
          <t>Bihar</t>
        </is>
      </c>
      <c r="I1633" s="2" t="inlineStr">
        <is>
          <t>Patna</t>
        </is>
      </c>
      <c r="J1633" s="2" t="inlineStr">
        <is>
          <t>Online</t>
        </is>
      </c>
      <c r="K1633" s="2" t="n">
        <v>4</v>
      </c>
      <c r="L1633" s="3" t="n">
        <v>1402.2</v>
      </c>
      <c r="M1633" s="4" t="n">
        <v>0.2</v>
      </c>
      <c r="N1633" s="3" t="n">
        <v>3202.04</v>
      </c>
      <c r="O1633" s="3">
        <f>K1633*L1633*(1-M1633)</f>
        <v/>
      </c>
      <c r="P1633" s="3">
        <f>O1633-N1633</f>
        <v/>
      </c>
      <c r="Q1633" s="5">
        <f>IFERROR(P1633/O1633,0)</f>
        <v/>
      </c>
      <c r="R1633" s="2">
        <f>TEXT(DATEVALUE(B1633),"mmm")</f>
        <v/>
      </c>
      <c r="S1633" s="2">
        <f>TEXT(DATEVALUE(B1633),"yyyy-mm")</f>
        <v/>
      </c>
    </row>
    <row r="1634">
      <c r="A1634" s="2" t="inlineStr">
        <is>
          <t>O000722</t>
        </is>
      </c>
      <c r="B1634" s="2" t="inlineStr">
        <is>
          <t>2025-04-29</t>
        </is>
      </c>
      <c r="C1634" s="2" t="inlineStr">
        <is>
          <t>C0143</t>
        </is>
      </c>
      <c r="D1634" s="2" t="inlineStr">
        <is>
          <t>P0014</t>
        </is>
      </c>
      <c r="E1634" s="2" t="inlineStr">
        <is>
          <t>Coffee Maker</t>
        </is>
      </c>
      <c r="F1634" s="2" t="inlineStr">
        <is>
          <t>Home &amp; Kitchen</t>
        </is>
      </c>
      <c r="G1634" s="2" t="inlineStr">
        <is>
          <t>South</t>
        </is>
      </c>
      <c r="H1634" s="2" t="inlineStr">
        <is>
          <t>Telangana</t>
        </is>
      </c>
      <c r="I1634" s="2" t="inlineStr">
        <is>
          <t>Warangal</t>
        </is>
      </c>
      <c r="J1634" s="2" t="inlineStr">
        <is>
          <t>Store</t>
        </is>
      </c>
      <c r="K1634" s="2" t="n">
        <v>1</v>
      </c>
      <c r="L1634" s="3" t="n">
        <v>1073.48</v>
      </c>
      <c r="M1634" s="4" t="n">
        <v>0.1</v>
      </c>
      <c r="N1634" s="3" t="n">
        <v>739.38</v>
      </c>
      <c r="O1634" s="3">
        <f>K1634*L1634*(1-M1634)</f>
        <v/>
      </c>
      <c r="P1634" s="3">
        <f>O1634-N1634</f>
        <v/>
      </c>
      <c r="Q1634" s="5">
        <f>IFERROR(P1634/O1634,0)</f>
        <v/>
      </c>
      <c r="R1634" s="2">
        <f>TEXT(DATEVALUE(B1634),"mmm")</f>
        <v/>
      </c>
      <c r="S1634" s="2">
        <f>TEXT(DATEVALUE(B1634),"yyyy-mm")</f>
        <v/>
      </c>
    </row>
    <row r="1635">
      <c r="A1635" s="2" t="inlineStr">
        <is>
          <t>O002585</t>
        </is>
      </c>
      <c r="B1635" s="2" t="inlineStr">
        <is>
          <t>2025-04-29</t>
        </is>
      </c>
      <c r="C1635" s="2" t="inlineStr">
        <is>
          <t>C0731</t>
        </is>
      </c>
      <c r="D1635" s="2" t="inlineStr">
        <is>
          <t>P0018</t>
        </is>
      </c>
      <c r="E1635" s="2" t="inlineStr">
        <is>
          <t>Backpack</t>
        </is>
      </c>
      <c r="F1635" s="2" t="inlineStr">
        <is>
          <t>Fashion</t>
        </is>
      </c>
      <c r="G1635" s="2" t="inlineStr">
        <is>
          <t>South</t>
        </is>
      </c>
      <c r="H1635" s="2" t="inlineStr">
        <is>
          <t>Kerala</t>
        </is>
      </c>
      <c r="I1635" s="2" t="inlineStr">
        <is>
          <t>Thiruvananthapuram</t>
        </is>
      </c>
      <c r="J1635" s="2" t="inlineStr">
        <is>
          <t>Online</t>
        </is>
      </c>
      <c r="K1635" s="2" t="n">
        <v>3</v>
      </c>
      <c r="L1635" s="3" t="n">
        <v>1780.07</v>
      </c>
      <c r="M1635" s="4" t="n">
        <v>0.05</v>
      </c>
      <c r="N1635" s="3" t="n">
        <v>4042.43</v>
      </c>
      <c r="O1635" s="3">
        <f>K1635*L1635*(1-M1635)</f>
        <v/>
      </c>
      <c r="P1635" s="3">
        <f>O1635-N1635</f>
        <v/>
      </c>
      <c r="Q1635" s="5">
        <f>IFERROR(P1635/O1635,0)</f>
        <v/>
      </c>
      <c r="R1635" s="2">
        <f>TEXT(DATEVALUE(B1635),"mmm")</f>
        <v/>
      </c>
      <c r="S1635" s="2">
        <f>TEXT(DATEVALUE(B1635),"yyyy-mm")</f>
        <v/>
      </c>
    </row>
    <row r="1636">
      <c r="A1636" s="2" t="inlineStr">
        <is>
          <t>O003158</t>
        </is>
      </c>
      <c r="B1636" s="2" t="inlineStr">
        <is>
          <t>2025-04-30</t>
        </is>
      </c>
      <c r="C1636" s="2" t="inlineStr">
        <is>
          <t>C0374</t>
        </is>
      </c>
      <c r="D1636" s="2" t="inlineStr">
        <is>
          <t>P0015</t>
        </is>
      </c>
      <c r="E1636" s="2" t="inlineStr">
        <is>
          <t>Running Shoes</t>
        </is>
      </c>
      <c r="F1636" s="2" t="inlineStr">
        <is>
          <t>Fashion</t>
        </is>
      </c>
      <c r="G1636" s="2" t="inlineStr">
        <is>
          <t>East</t>
        </is>
      </c>
      <c r="H1636" s="2" t="inlineStr">
        <is>
          <t>West Bengal</t>
        </is>
      </c>
      <c r="I1636" s="2" t="inlineStr">
        <is>
          <t>Kolkata</t>
        </is>
      </c>
      <c r="J1636" s="2" t="inlineStr">
        <is>
          <t>Store</t>
        </is>
      </c>
      <c r="K1636" s="2" t="n">
        <v>1</v>
      </c>
      <c r="L1636" s="3" t="n">
        <v>624.52</v>
      </c>
      <c r="M1636" s="4" t="n">
        <v>0.05</v>
      </c>
      <c r="N1636" s="3" t="n">
        <v>366.12</v>
      </c>
      <c r="O1636" s="3">
        <f>K1636*L1636*(1-M1636)</f>
        <v/>
      </c>
      <c r="P1636" s="3">
        <f>O1636-N1636</f>
        <v/>
      </c>
      <c r="Q1636" s="5">
        <f>IFERROR(P1636/O1636,0)</f>
        <v/>
      </c>
      <c r="R1636" s="2">
        <f>TEXT(DATEVALUE(B1636),"mmm")</f>
        <v/>
      </c>
      <c r="S1636" s="2">
        <f>TEXT(DATEVALUE(B1636),"yyyy-mm")</f>
        <v/>
      </c>
    </row>
    <row r="1637">
      <c r="A1637" s="2" t="inlineStr">
        <is>
          <t>O003628</t>
        </is>
      </c>
      <c r="B1637" s="2" t="inlineStr">
        <is>
          <t>2025-04-30</t>
        </is>
      </c>
      <c r="C1637" s="2" t="inlineStr">
        <is>
          <t>C0585</t>
        </is>
      </c>
      <c r="D1637" s="2" t="inlineStr">
        <is>
          <t>P0002</t>
        </is>
      </c>
      <c r="E1637" s="2" t="inlineStr">
        <is>
          <t>Bluetooth Speaker</t>
        </is>
      </c>
      <c r="F1637" s="2" t="inlineStr">
        <is>
          <t>Electronics</t>
        </is>
      </c>
      <c r="G1637" s="2" t="inlineStr">
        <is>
          <t>South</t>
        </is>
      </c>
      <c r="H1637" s="2" t="inlineStr">
        <is>
          <t>Karnataka</t>
        </is>
      </c>
      <c r="I1637" s="2" t="inlineStr">
        <is>
          <t>Bengaluru</t>
        </is>
      </c>
      <c r="J1637" s="2" t="inlineStr">
        <is>
          <t>Online</t>
        </is>
      </c>
      <c r="K1637" s="2" t="n">
        <v>1</v>
      </c>
      <c r="L1637" s="3" t="n">
        <v>1374.72</v>
      </c>
      <c r="M1637" s="4" t="n">
        <v>0</v>
      </c>
      <c r="N1637" s="3" t="n">
        <v>800.24</v>
      </c>
      <c r="O1637" s="3">
        <f>K1637*L1637*(1-M1637)</f>
        <v/>
      </c>
      <c r="P1637" s="3">
        <f>O1637-N1637</f>
        <v/>
      </c>
      <c r="Q1637" s="5">
        <f>IFERROR(P1637/O1637,0)</f>
        <v/>
      </c>
      <c r="R1637" s="2">
        <f>TEXT(DATEVALUE(B1637),"mmm")</f>
        <v/>
      </c>
      <c r="S1637" s="2">
        <f>TEXT(DATEVALUE(B1637),"yyyy-mm")</f>
        <v/>
      </c>
    </row>
    <row r="1638">
      <c r="A1638" s="2" t="inlineStr">
        <is>
          <t>O001582</t>
        </is>
      </c>
      <c r="B1638" s="2" t="inlineStr">
        <is>
          <t>2025-04-30</t>
        </is>
      </c>
      <c r="C1638" s="2" t="inlineStr">
        <is>
          <t>C0641</t>
        </is>
      </c>
      <c r="D1638" s="2" t="inlineStr">
        <is>
          <t>P0029</t>
        </is>
      </c>
      <c r="E1638" s="2" t="inlineStr">
        <is>
          <t>Yoga Mat</t>
        </is>
      </c>
      <c r="F1638" s="2" t="inlineStr">
        <is>
          <t>Sports</t>
        </is>
      </c>
      <c r="G1638" s="2" t="inlineStr">
        <is>
          <t>South</t>
        </is>
      </c>
      <c r="H1638" s="2" t="inlineStr">
        <is>
          <t>Kerala</t>
        </is>
      </c>
      <c r="I1638" s="2" t="inlineStr">
        <is>
          <t>Kochi</t>
        </is>
      </c>
      <c r="J1638" s="2" t="inlineStr">
        <is>
          <t>Store</t>
        </is>
      </c>
      <c r="K1638" s="2" t="n">
        <v>1</v>
      </c>
      <c r="L1638" s="3" t="n">
        <v>2443.85</v>
      </c>
      <c r="M1638" s="4" t="n">
        <v>0.15</v>
      </c>
      <c r="N1638" s="3" t="n">
        <v>1347.43</v>
      </c>
      <c r="O1638" s="3">
        <f>K1638*L1638*(1-M1638)</f>
        <v/>
      </c>
      <c r="P1638" s="3">
        <f>O1638-N1638</f>
        <v/>
      </c>
      <c r="Q1638" s="5">
        <f>IFERROR(P1638/O1638,0)</f>
        <v/>
      </c>
      <c r="R1638" s="2">
        <f>TEXT(DATEVALUE(B1638),"mmm")</f>
        <v/>
      </c>
      <c r="S1638" s="2">
        <f>TEXT(DATEVALUE(B1638),"yyyy-mm")</f>
        <v/>
      </c>
    </row>
    <row r="1639">
      <c r="A1639" s="2" t="inlineStr">
        <is>
          <t>O004639</t>
        </is>
      </c>
      <c r="B1639" s="2" t="inlineStr">
        <is>
          <t>2025-04-30</t>
        </is>
      </c>
      <c r="C1639" s="2" t="inlineStr">
        <is>
          <t>C0784</t>
        </is>
      </c>
      <c r="D1639" s="2" t="inlineStr">
        <is>
          <t>P0018</t>
        </is>
      </c>
      <c r="E1639" s="2" t="inlineStr">
        <is>
          <t>Backpack</t>
        </is>
      </c>
      <c r="F1639" s="2" t="inlineStr">
        <is>
          <t>Fashion</t>
        </is>
      </c>
      <c r="G1639" s="2" t="inlineStr">
        <is>
          <t>North</t>
        </is>
      </c>
      <c r="H1639" s="2" t="inlineStr">
        <is>
          <t>Delhi</t>
        </is>
      </c>
      <c r="I1639" s="2" t="inlineStr">
        <is>
          <t>New Delhi</t>
        </is>
      </c>
      <c r="J1639" s="2" t="inlineStr">
        <is>
          <t>Online</t>
        </is>
      </c>
      <c r="K1639" s="2" t="n">
        <v>1</v>
      </c>
      <c r="L1639" s="3" t="n">
        <v>1797.84</v>
      </c>
      <c r="M1639" s="4" t="n">
        <v>0</v>
      </c>
      <c r="N1639" s="3" t="n">
        <v>1335.52</v>
      </c>
      <c r="O1639" s="3">
        <f>K1639*L1639*(1-M1639)</f>
        <v/>
      </c>
      <c r="P1639" s="3">
        <f>O1639-N1639</f>
        <v/>
      </c>
      <c r="Q1639" s="5">
        <f>IFERROR(P1639/O1639,0)</f>
        <v/>
      </c>
      <c r="R1639" s="2">
        <f>TEXT(DATEVALUE(B1639),"mmm")</f>
        <v/>
      </c>
      <c r="S1639" s="2">
        <f>TEXT(DATEVALUE(B1639),"yyyy-mm")</f>
        <v/>
      </c>
    </row>
    <row r="1640">
      <c r="A1640" s="2" t="inlineStr">
        <is>
          <t>O004800</t>
        </is>
      </c>
      <c r="B1640" s="2" t="inlineStr">
        <is>
          <t>2025-04-30</t>
        </is>
      </c>
      <c r="C1640" s="2" t="inlineStr">
        <is>
          <t>C0700</t>
        </is>
      </c>
      <c r="D1640" s="2" t="inlineStr">
        <is>
          <t>P0022</t>
        </is>
      </c>
      <c r="E1640" s="2" t="inlineStr">
        <is>
          <t>Face Wash</t>
        </is>
      </c>
      <c r="F1640" s="2" t="inlineStr">
        <is>
          <t>Beauty</t>
        </is>
      </c>
      <c r="G1640" s="2" t="inlineStr">
        <is>
          <t>East</t>
        </is>
      </c>
      <c r="H1640" s="2" t="inlineStr">
        <is>
          <t>Odisha</t>
        </is>
      </c>
      <c r="I1640" s="2" t="inlineStr">
        <is>
          <t>Bhubaneswar</t>
        </is>
      </c>
      <c r="J1640" s="2" t="inlineStr">
        <is>
          <t>Store</t>
        </is>
      </c>
      <c r="K1640" s="2" t="n">
        <v>1</v>
      </c>
      <c r="L1640" s="3" t="n">
        <v>575.11</v>
      </c>
      <c r="M1640" s="4" t="n">
        <v>0.1</v>
      </c>
      <c r="N1640" s="3" t="n">
        <v>356.31</v>
      </c>
      <c r="O1640" s="3">
        <f>K1640*L1640*(1-M1640)</f>
        <v/>
      </c>
      <c r="P1640" s="3">
        <f>O1640-N1640</f>
        <v/>
      </c>
      <c r="Q1640" s="5">
        <f>IFERROR(P1640/O1640,0)</f>
        <v/>
      </c>
      <c r="R1640" s="2">
        <f>TEXT(DATEVALUE(B1640),"mmm")</f>
        <v/>
      </c>
      <c r="S1640" s="2">
        <f>TEXT(DATEVALUE(B1640),"yyyy-mm")</f>
        <v/>
      </c>
    </row>
    <row r="1641">
      <c r="A1641" s="2" t="inlineStr">
        <is>
          <t>O003134</t>
        </is>
      </c>
      <c r="B1641" s="2" t="inlineStr">
        <is>
          <t>2025-04-30</t>
        </is>
      </c>
      <c r="C1641" s="2" t="inlineStr">
        <is>
          <t>C0239</t>
        </is>
      </c>
      <c r="D1641" s="2" t="inlineStr">
        <is>
          <t>P0003</t>
        </is>
      </c>
      <c r="E1641" s="2" t="inlineStr">
        <is>
          <t>Smartwatch</t>
        </is>
      </c>
      <c r="F1641" s="2" t="inlineStr">
        <is>
          <t>Electronics</t>
        </is>
      </c>
      <c r="G1641" s="2" t="inlineStr">
        <is>
          <t>South</t>
        </is>
      </c>
      <c r="H1641" s="2" t="inlineStr">
        <is>
          <t>Karnataka</t>
        </is>
      </c>
      <c r="I1641" s="2" t="inlineStr">
        <is>
          <t>Mysuru</t>
        </is>
      </c>
      <c r="J1641" s="2" t="inlineStr">
        <is>
          <t>Store</t>
        </is>
      </c>
      <c r="K1641" s="2" t="n">
        <v>2</v>
      </c>
      <c r="L1641" s="3" t="n">
        <v>2272.41</v>
      </c>
      <c r="M1641" s="4" t="n">
        <v>0.15</v>
      </c>
      <c r="N1641" s="3" t="n">
        <v>2354.21</v>
      </c>
      <c r="O1641" s="3">
        <f>K1641*L1641*(1-M1641)</f>
        <v/>
      </c>
      <c r="P1641" s="3">
        <f>O1641-N1641</f>
        <v/>
      </c>
      <c r="Q1641" s="5">
        <f>IFERROR(P1641/O1641,0)</f>
        <v/>
      </c>
      <c r="R1641" s="2">
        <f>TEXT(DATEVALUE(B1641),"mmm")</f>
        <v/>
      </c>
      <c r="S1641" s="2">
        <f>TEXT(DATEVALUE(B1641),"yyyy-mm")</f>
        <v/>
      </c>
    </row>
    <row r="1642">
      <c r="A1642" s="2" t="inlineStr">
        <is>
          <t>O003717</t>
        </is>
      </c>
      <c r="B1642" s="2" t="inlineStr">
        <is>
          <t>2025-04-30</t>
        </is>
      </c>
      <c r="C1642" s="2" t="inlineStr">
        <is>
          <t>C0325</t>
        </is>
      </c>
      <c r="D1642" s="2" t="inlineStr">
        <is>
          <t>P0017</t>
        </is>
      </c>
      <c r="E1642" s="2" t="inlineStr">
        <is>
          <t>Jeans</t>
        </is>
      </c>
      <c r="F1642" s="2" t="inlineStr">
        <is>
          <t>Fashion</t>
        </is>
      </c>
      <c r="G1642" s="2" t="inlineStr">
        <is>
          <t>South</t>
        </is>
      </c>
      <c r="H1642" s="2" t="inlineStr">
        <is>
          <t>Kerala</t>
        </is>
      </c>
      <c r="I1642" s="2" t="inlineStr">
        <is>
          <t>Thiruvananthapuram</t>
        </is>
      </c>
      <c r="J1642" s="2" t="inlineStr">
        <is>
          <t>Store</t>
        </is>
      </c>
      <c r="K1642" s="2" t="n">
        <v>2</v>
      </c>
      <c r="L1642" s="3" t="n">
        <v>1509.96</v>
      </c>
      <c r="M1642" s="4" t="n">
        <v>0.1</v>
      </c>
      <c r="N1642" s="3" t="n">
        <v>2020.83</v>
      </c>
      <c r="O1642" s="3">
        <f>K1642*L1642*(1-M1642)</f>
        <v/>
      </c>
      <c r="P1642" s="3">
        <f>O1642-N1642</f>
        <v/>
      </c>
      <c r="Q1642" s="5">
        <f>IFERROR(P1642/O1642,0)</f>
        <v/>
      </c>
      <c r="R1642" s="2">
        <f>TEXT(DATEVALUE(B1642),"mmm")</f>
        <v/>
      </c>
      <c r="S1642" s="2">
        <f>TEXT(DATEVALUE(B1642),"yyyy-mm")</f>
        <v/>
      </c>
    </row>
    <row r="1643">
      <c r="A1643" s="2" t="inlineStr">
        <is>
          <t>O002843</t>
        </is>
      </c>
      <c r="B1643" s="2" t="inlineStr">
        <is>
          <t>2025-04-30</t>
        </is>
      </c>
      <c r="C1643" s="2" t="inlineStr">
        <is>
          <t>C0356</t>
        </is>
      </c>
      <c r="D1643" s="2" t="inlineStr">
        <is>
          <t>P0014</t>
        </is>
      </c>
      <c r="E1643" s="2" t="inlineStr">
        <is>
          <t>Coffee Maker</t>
        </is>
      </c>
      <c r="F1643" s="2" t="inlineStr">
        <is>
          <t>Home &amp; Kitchen</t>
        </is>
      </c>
      <c r="G1643" s="2" t="inlineStr">
        <is>
          <t>South</t>
        </is>
      </c>
      <c r="H1643" s="2" t="inlineStr">
        <is>
          <t>Kerala</t>
        </is>
      </c>
      <c r="I1643" s="2" t="inlineStr">
        <is>
          <t>Thiruvananthapuram</t>
        </is>
      </c>
      <c r="J1643" s="2" t="inlineStr">
        <is>
          <t>Store</t>
        </is>
      </c>
      <c r="K1643" s="2" t="n">
        <v>1</v>
      </c>
      <c r="L1643" s="3" t="n">
        <v>1025.74</v>
      </c>
      <c r="M1643" s="4" t="n">
        <v>0.05</v>
      </c>
      <c r="N1643" s="3" t="n">
        <v>759.74</v>
      </c>
      <c r="O1643" s="3">
        <f>K1643*L1643*(1-M1643)</f>
        <v/>
      </c>
      <c r="P1643" s="3">
        <f>O1643-N1643</f>
        <v/>
      </c>
      <c r="Q1643" s="5">
        <f>IFERROR(P1643/O1643,0)</f>
        <v/>
      </c>
      <c r="R1643" s="2">
        <f>TEXT(DATEVALUE(B1643),"mmm")</f>
        <v/>
      </c>
      <c r="S1643" s="2">
        <f>TEXT(DATEVALUE(B1643),"yyyy-mm")</f>
        <v/>
      </c>
    </row>
    <row r="1644">
      <c r="A1644" s="2" t="inlineStr">
        <is>
          <t>O000433</t>
        </is>
      </c>
      <c r="B1644" s="2" t="inlineStr">
        <is>
          <t>2025-04-30</t>
        </is>
      </c>
      <c r="C1644" s="2" t="inlineStr">
        <is>
          <t>C0733</t>
        </is>
      </c>
      <c r="D1644" s="2" t="inlineStr">
        <is>
          <t>P0024</t>
        </is>
      </c>
      <c r="E1644" s="2" t="inlineStr">
        <is>
          <t>Hair Dryer</t>
        </is>
      </c>
      <c r="F1644" s="2" t="inlineStr">
        <is>
          <t>Beauty</t>
        </is>
      </c>
      <c r="G1644" s="2" t="inlineStr">
        <is>
          <t>South</t>
        </is>
      </c>
      <c r="H1644" s="2" t="inlineStr">
        <is>
          <t>Telangana</t>
        </is>
      </c>
      <c r="I1644" s="2" t="inlineStr">
        <is>
          <t>Hyderabad</t>
        </is>
      </c>
      <c r="J1644" s="2" t="inlineStr">
        <is>
          <t>Store</t>
        </is>
      </c>
      <c r="K1644" s="2" t="n">
        <v>2</v>
      </c>
      <c r="L1644" s="3" t="n">
        <v>1001.73</v>
      </c>
      <c r="M1644" s="4" t="n">
        <v>0.05</v>
      </c>
      <c r="N1644" s="3" t="n">
        <v>1438.94</v>
      </c>
      <c r="O1644" s="3">
        <f>K1644*L1644*(1-M1644)</f>
        <v/>
      </c>
      <c r="P1644" s="3">
        <f>O1644-N1644</f>
        <v/>
      </c>
      <c r="Q1644" s="5">
        <f>IFERROR(P1644/O1644,0)</f>
        <v/>
      </c>
      <c r="R1644" s="2">
        <f>TEXT(DATEVALUE(B1644),"mmm")</f>
        <v/>
      </c>
      <c r="S1644" s="2">
        <f>TEXT(DATEVALUE(B1644),"yyyy-mm")</f>
        <v/>
      </c>
    </row>
    <row r="1645">
      <c r="A1645" s="2" t="inlineStr">
        <is>
          <t>O001998</t>
        </is>
      </c>
      <c r="B1645" s="2" t="inlineStr">
        <is>
          <t>2025-04-30</t>
        </is>
      </c>
      <c r="C1645" s="2" t="inlineStr">
        <is>
          <t>C0298</t>
        </is>
      </c>
      <c r="D1645" s="2" t="inlineStr">
        <is>
          <t>P0011</t>
        </is>
      </c>
      <c r="E1645" s="2" t="inlineStr">
        <is>
          <t>Cookware Set</t>
        </is>
      </c>
      <c r="F1645" s="2" t="inlineStr">
        <is>
          <t>Home &amp; Kitchen</t>
        </is>
      </c>
      <c r="G1645" s="2" t="inlineStr">
        <is>
          <t>East</t>
        </is>
      </c>
      <c r="H1645" s="2" t="inlineStr">
        <is>
          <t>Odisha</t>
        </is>
      </c>
      <c r="I1645" s="2" t="inlineStr">
        <is>
          <t>Bhubaneswar</t>
        </is>
      </c>
      <c r="J1645" s="2" t="inlineStr">
        <is>
          <t>Store</t>
        </is>
      </c>
      <c r="K1645" s="2" t="n">
        <v>2</v>
      </c>
      <c r="L1645" s="3" t="n">
        <v>722.37</v>
      </c>
      <c r="M1645" s="4" t="n">
        <v>0</v>
      </c>
      <c r="N1645" s="3" t="n">
        <v>970.03</v>
      </c>
      <c r="O1645" s="3">
        <f>K1645*L1645*(1-M1645)</f>
        <v/>
      </c>
      <c r="P1645" s="3">
        <f>O1645-N1645</f>
        <v/>
      </c>
      <c r="Q1645" s="5">
        <f>IFERROR(P1645/O1645,0)</f>
        <v/>
      </c>
      <c r="R1645" s="2">
        <f>TEXT(DATEVALUE(B1645),"mmm")</f>
        <v/>
      </c>
      <c r="S1645" s="2">
        <f>TEXT(DATEVALUE(B1645),"yyyy-mm")</f>
        <v/>
      </c>
    </row>
    <row r="1646">
      <c r="A1646" s="2" t="inlineStr">
        <is>
          <t>O001704</t>
        </is>
      </c>
      <c r="B1646" s="2" t="inlineStr">
        <is>
          <t>2025-04-30</t>
        </is>
      </c>
      <c r="C1646" s="2" t="inlineStr">
        <is>
          <t>C0439</t>
        </is>
      </c>
      <c r="D1646" s="2" t="inlineStr">
        <is>
          <t>P0022</t>
        </is>
      </c>
      <c r="E1646" s="2" t="inlineStr">
        <is>
          <t>Face Wash</t>
        </is>
      </c>
      <c r="F1646" s="2" t="inlineStr">
        <is>
          <t>Beauty</t>
        </is>
      </c>
      <c r="G1646" s="2" t="inlineStr">
        <is>
          <t>North</t>
        </is>
      </c>
      <c r="H1646" s="2" t="inlineStr">
        <is>
          <t>Punjab</t>
        </is>
      </c>
      <c r="I1646" s="2" t="inlineStr">
        <is>
          <t>Amritsar</t>
        </is>
      </c>
      <c r="J1646" s="2" t="inlineStr">
        <is>
          <t>Online</t>
        </is>
      </c>
      <c r="K1646" s="2" t="n">
        <v>2</v>
      </c>
      <c r="L1646" s="3" t="n">
        <v>534.4</v>
      </c>
      <c r="M1646" s="4" t="n">
        <v>0.05</v>
      </c>
      <c r="N1646" s="3" t="n">
        <v>681.03</v>
      </c>
      <c r="O1646" s="3">
        <f>K1646*L1646*(1-M1646)</f>
        <v/>
      </c>
      <c r="P1646" s="3">
        <f>O1646-N1646</f>
        <v/>
      </c>
      <c r="Q1646" s="5">
        <f>IFERROR(P1646/O1646,0)</f>
        <v/>
      </c>
      <c r="R1646" s="2">
        <f>TEXT(DATEVALUE(B1646),"mmm")</f>
        <v/>
      </c>
      <c r="S1646" s="2">
        <f>TEXT(DATEVALUE(B1646),"yyyy-mm")</f>
        <v/>
      </c>
    </row>
    <row r="1647">
      <c r="A1647" s="2" t="inlineStr">
        <is>
          <t>O001311</t>
        </is>
      </c>
      <c r="B1647" s="2" t="inlineStr">
        <is>
          <t>2025-04-30</t>
        </is>
      </c>
      <c r="C1647" s="2" t="inlineStr">
        <is>
          <t>C0504</t>
        </is>
      </c>
      <c r="D1647" s="2" t="inlineStr">
        <is>
          <t>P0011</t>
        </is>
      </c>
      <c r="E1647" s="2" t="inlineStr">
        <is>
          <t>Cookware Set</t>
        </is>
      </c>
      <c r="F1647" s="2" t="inlineStr">
        <is>
          <t>Home &amp; Kitchen</t>
        </is>
      </c>
      <c r="G1647" s="2" t="inlineStr">
        <is>
          <t>South</t>
        </is>
      </c>
      <c r="H1647" s="2" t="inlineStr">
        <is>
          <t>Karnataka</t>
        </is>
      </c>
      <c r="I1647" s="2" t="inlineStr">
        <is>
          <t>Bengaluru</t>
        </is>
      </c>
      <c r="J1647" s="2" t="inlineStr">
        <is>
          <t>Online</t>
        </is>
      </c>
      <c r="K1647" s="2" t="n">
        <v>3</v>
      </c>
      <c r="L1647" s="3" t="n">
        <v>729.0599999999999</v>
      </c>
      <c r="M1647" s="4" t="n">
        <v>0.15</v>
      </c>
      <c r="N1647" s="3" t="n">
        <v>1443.38</v>
      </c>
      <c r="O1647" s="3">
        <f>K1647*L1647*(1-M1647)</f>
        <v/>
      </c>
      <c r="P1647" s="3">
        <f>O1647-N1647</f>
        <v/>
      </c>
      <c r="Q1647" s="5">
        <f>IFERROR(P1647/O1647,0)</f>
        <v/>
      </c>
      <c r="R1647" s="2">
        <f>TEXT(DATEVALUE(B1647),"mmm")</f>
        <v/>
      </c>
      <c r="S1647" s="2">
        <f>TEXT(DATEVALUE(B1647),"yyyy-mm")</f>
        <v/>
      </c>
    </row>
    <row r="1648">
      <c r="A1648" s="2" t="inlineStr">
        <is>
          <t>O001272</t>
        </is>
      </c>
      <c r="B1648" s="2" t="inlineStr">
        <is>
          <t>2025-04-30</t>
        </is>
      </c>
      <c r="C1648" s="2" t="inlineStr">
        <is>
          <t>C0104</t>
        </is>
      </c>
      <c r="D1648" s="2" t="inlineStr">
        <is>
          <t>P0012</t>
        </is>
      </c>
      <c r="E1648" s="2" t="inlineStr">
        <is>
          <t>Water Bottle</t>
        </is>
      </c>
      <c r="F1648" s="2" t="inlineStr">
        <is>
          <t>Home &amp; Kitchen</t>
        </is>
      </c>
      <c r="G1648" s="2" t="inlineStr">
        <is>
          <t>West</t>
        </is>
      </c>
      <c r="H1648" s="2" t="inlineStr">
        <is>
          <t>Gujarat</t>
        </is>
      </c>
      <c r="I1648" s="2" t="inlineStr">
        <is>
          <t>Vadodara</t>
        </is>
      </c>
      <c r="J1648" s="2" t="inlineStr">
        <is>
          <t>Online</t>
        </is>
      </c>
      <c r="K1648" s="2" t="n">
        <v>6</v>
      </c>
      <c r="L1648" s="3" t="n">
        <v>996.24</v>
      </c>
      <c r="M1648" s="4" t="n">
        <v>0.1</v>
      </c>
      <c r="N1648" s="3" t="n">
        <v>3867.81</v>
      </c>
      <c r="O1648" s="3">
        <f>K1648*L1648*(1-M1648)</f>
        <v/>
      </c>
      <c r="P1648" s="3">
        <f>O1648-N1648</f>
        <v/>
      </c>
      <c r="Q1648" s="5">
        <f>IFERROR(P1648/O1648,0)</f>
        <v/>
      </c>
      <c r="R1648" s="2">
        <f>TEXT(DATEVALUE(B1648),"mmm")</f>
        <v/>
      </c>
      <c r="S1648" s="2">
        <f>TEXT(DATEVALUE(B1648),"yyyy-mm")</f>
        <v/>
      </c>
    </row>
    <row r="1649">
      <c r="A1649" s="2" t="inlineStr">
        <is>
          <t>O002518</t>
        </is>
      </c>
      <c r="B1649" s="2" t="inlineStr">
        <is>
          <t>2025-04-30</t>
        </is>
      </c>
      <c r="C1649" s="2" t="inlineStr">
        <is>
          <t>C0448</t>
        </is>
      </c>
      <c r="D1649" s="2" t="inlineStr">
        <is>
          <t>P0012</t>
        </is>
      </c>
      <c r="E1649" s="2" t="inlineStr">
        <is>
          <t>Water Bottle</t>
        </is>
      </c>
      <c r="F1649" s="2" t="inlineStr">
        <is>
          <t>Home &amp; Kitchen</t>
        </is>
      </c>
      <c r="G1649" s="2" t="inlineStr">
        <is>
          <t>South</t>
        </is>
      </c>
      <c r="H1649" s="2" t="inlineStr">
        <is>
          <t>Telangana</t>
        </is>
      </c>
      <c r="I1649" s="2" t="inlineStr">
        <is>
          <t>Hyderabad</t>
        </is>
      </c>
      <c r="J1649" s="2" t="inlineStr">
        <is>
          <t>Online</t>
        </is>
      </c>
      <c r="K1649" s="2" t="n">
        <v>1</v>
      </c>
      <c r="L1649" s="3" t="n">
        <v>1000.86</v>
      </c>
      <c r="M1649" s="4" t="n">
        <v>0</v>
      </c>
      <c r="N1649" s="3" t="n">
        <v>602.64</v>
      </c>
      <c r="O1649" s="3">
        <f>K1649*L1649*(1-M1649)</f>
        <v/>
      </c>
      <c r="P1649" s="3">
        <f>O1649-N1649</f>
        <v/>
      </c>
      <c r="Q1649" s="5">
        <f>IFERROR(P1649/O1649,0)</f>
        <v/>
      </c>
      <c r="R1649" s="2">
        <f>TEXT(DATEVALUE(B1649),"mmm")</f>
        <v/>
      </c>
      <c r="S1649" s="2">
        <f>TEXT(DATEVALUE(B1649),"yyyy-mm")</f>
        <v/>
      </c>
    </row>
    <row r="1650">
      <c r="A1650" s="2" t="inlineStr">
        <is>
          <t>O000279</t>
        </is>
      </c>
      <c r="B1650" s="2" t="inlineStr">
        <is>
          <t>2025-04-30</t>
        </is>
      </c>
      <c r="C1650" s="2" t="inlineStr">
        <is>
          <t>C0504</t>
        </is>
      </c>
      <c r="D1650" s="2" t="inlineStr">
        <is>
          <t>P0035</t>
        </is>
      </c>
      <c r="E1650" s="2" t="inlineStr">
        <is>
          <t>Skipping Rope</t>
        </is>
      </c>
      <c r="F1650" s="2" t="inlineStr">
        <is>
          <t>Sports</t>
        </is>
      </c>
      <c r="G1650" s="2" t="inlineStr">
        <is>
          <t>West</t>
        </is>
      </c>
      <c r="H1650" s="2" t="inlineStr">
        <is>
          <t>Maharashtra</t>
        </is>
      </c>
      <c r="I1650" s="2" t="inlineStr">
        <is>
          <t>Nashik</t>
        </is>
      </c>
      <c r="J1650" s="2" t="inlineStr">
        <is>
          <t>Online</t>
        </is>
      </c>
      <c r="K1650" s="2" t="n">
        <v>2</v>
      </c>
      <c r="L1650" s="3" t="n">
        <v>697.87</v>
      </c>
      <c r="M1650" s="4" t="n">
        <v>0.1</v>
      </c>
      <c r="N1650" s="3" t="n">
        <v>822.4299999999999</v>
      </c>
      <c r="O1650" s="3">
        <f>K1650*L1650*(1-M1650)</f>
        <v/>
      </c>
      <c r="P1650" s="3">
        <f>O1650-N1650</f>
        <v/>
      </c>
      <c r="Q1650" s="5">
        <f>IFERROR(P1650/O1650,0)</f>
        <v/>
      </c>
      <c r="R1650" s="2">
        <f>TEXT(DATEVALUE(B1650),"mmm")</f>
        <v/>
      </c>
      <c r="S1650" s="2">
        <f>TEXT(DATEVALUE(B1650),"yyyy-mm")</f>
        <v/>
      </c>
    </row>
    <row r="1651">
      <c r="A1651" s="2" t="inlineStr">
        <is>
          <t>O004492</t>
        </is>
      </c>
      <c r="B1651" s="2" t="inlineStr">
        <is>
          <t>2025-05-01</t>
        </is>
      </c>
      <c r="C1651" s="2" t="inlineStr">
        <is>
          <t>C0733</t>
        </is>
      </c>
      <c r="D1651" s="2" t="inlineStr">
        <is>
          <t>P0032</t>
        </is>
      </c>
      <c r="E1651" s="2" t="inlineStr">
        <is>
          <t>Football</t>
        </is>
      </c>
      <c r="F1651" s="2" t="inlineStr">
        <is>
          <t>Sports</t>
        </is>
      </c>
      <c r="G1651" s="2" t="inlineStr">
        <is>
          <t>West</t>
        </is>
      </c>
      <c r="H1651" s="2" t="inlineStr">
        <is>
          <t>Maharashtra</t>
        </is>
      </c>
      <c r="I1651" s="2" t="inlineStr">
        <is>
          <t>Nashik</t>
        </is>
      </c>
      <c r="J1651" s="2" t="inlineStr">
        <is>
          <t>Online</t>
        </is>
      </c>
      <c r="K1651" s="2" t="n">
        <v>2</v>
      </c>
      <c r="L1651" s="3" t="n">
        <v>814.38</v>
      </c>
      <c r="M1651" s="4" t="n">
        <v>0.05</v>
      </c>
      <c r="N1651" s="3" t="n">
        <v>1065.67</v>
      </c>
      <c r="O1651" s="3">
        <f>K1651*L1651*(1-M1651)</f>
        <v/>
      </c>
      <c r="P1651" s="3">
        <f>O1651-N1651</f>
        <v/>
      </c>
      <c r="Q1651" s="5">
        <f>IFERROR(P1651/O1651,0)</f>
        <v/>
      </c>
      <c r="R1651" s="2">
        <f>TEXT(DATEVALUE(B1651),"mmm")</f>
        <v/>
      </c>
      <c r="S1651" s="2">
        <f>TEXT(DATEVALUE(B1651),"yyyy-mm")</f>
        <v/>
      </c>
    </row>
    <row r="1652">
      <c r="A1652" s="2" t="inlineStr">
        <is>
          <t>O003697</t>
        </is>
      </c>
      <c r="B1652" s="2" t="inlineStr">
        <is>
          <t>2025-05-01</t>
        </is>
      </c>
      <c r="C1652" s="2" t="inlineStr">
        <is>
          <t>C0685</t>
        </is>
      </c>
      <c r="D1652" s="2" t="inlineStr">
        <is>
          <t>P0022</t>
        </is>
      </c>
      <c r="E1652" s="2" t="inlineStr">
        <is>
          <t>Face Wash</t>
        </is>
      </c>
      <c r="F1652" s="2" t="inlineStr">
        <is>
          <t>Beauty</t>
        </is>
      </c>
      <c r="G1652" s="2" t="inlineStr">
        <is>
          <t>North</t>
        </is>
      </c>
      <c r="H1652" s="2" t="inlineStr">
        <is>
          <t>Uttar Pradesh</t>
        </is>
      </c>
      <c r="I1652" s="2" t="inlineStr">
        <is>
          <t>Varanasi</t>
        </is>
      </c>
      <c r="J1652" s="2" t="inlineStr">
        <is>
          <t>Store</t>
        </is>
      </c>
      <c r="K1652" s="2" t="n">
        <v>1</v>
      </c>
      <c r="L1652" s="3" t="n">
        <v>557.91</v>
      </c>
      <c r="M1652" s="4" t="n">
        <v>0.25</v>
      </c>
      <c r="N1652" s="3" t="n">
        <v>357.67</v>
      </c>
      <c r="O1652" s="3">
        <f>K1652*L1652*(1-M1652)</f>
        <v/>
      </c>
      <c r="P1652" s="3">
        <f>O1652-N1652</f>
        <v/>
      </c>
      <c r="Q1652" s="5">
        <f>IFERROR(P1652/O1652,0)</f>
        <v/>
      </c>
      <c r="R1652" s="2">
        <f>TEXT(DATEVALUE(B1652),"mmm")</f>
        <v/>
      </c>
      <c r="S1652" s="2">
        <f>TEXT(DATEVALUE(B1652),"yyyy-mm")</f>
        <v/>
      </c>
    </row>
    <row r="1653">
      <c r="A1653" s="2" t="inlineStr">
        <is>
          <t>O003132</t>
        </is>
      </c>
      <c r="B1653" s="2" t="inlineStr">
        <is>
          <t>2025-05-01</t>
        </is>
      </c>
      <c r="C1653" s="2" t="inlineStr">
        <is>
          <t>C0152</t>
        </is>
      </c>
      <c r="D1653" s="2" t="inlineStr">
        <is>
          <t>P0014</t>
        </is>
      </c>
      <c r="E1653" s="2" t="inlineStr">
        <is>
          <t>Coffee Maker</t>
        </is>
      </c>
      <c r="F1653" s="2" t="inlineStr">
        <is>
          <t>Home &amp; Kitchen</t>
        </is>
      </c>
      <c r="G1653" s="2" t="inlineStr">
        <is>
          <t>North</t>
        </is>
      </c>
      <c r="H1653" s="2" t="inlineStr">
        <is>
          <t>Punjab</t>
        </is>
      </c>
      <c r="I1653" s="2" t="inlineStr">
        <is>
          <t>Jalandhar</t>
        </is>
      </c>
      <c r="J1653" s="2" t="inlineStr">
        <is>
          <t>Online</t>
        </is>
      </c>
      <c r="K1653" s="2" t="n">
        <v>1</v>
      </c>
      <c r="L1653" s="3" t="n">
        <v>1066.37</v>
      </c>
      <c r="M1653" s="4" t="n">
        <v>0.15</v>
      </c>
      <c r="N1653" s="3" t="n">
        <v>767.6</v>
      </c>
      <c r="O1653" s="3">
        <f>K1653*L1653*(1-M1653)</f>
        <v/>
      </c>
      <c r="P1653" s="3">
        <f>O1653-N1653</f>
        <v/>
      </c>
      <c r="Q1653" s="5">
        <f>IFERROR(P1653/O1653,0)</f>
        <v/>
      </c>
      <c r="R1653" s="2">
        <f>TEXT(DATEVALUE(B1653),"mmm")</f>
        <v/>
      </c>
      <c r="S1653" s="2">
        <f>TEXT(DATEVALUE(B1653),"yyyy-mm")</f>
        <v/>
      </c>
    </row>
    <row r="1654">
      <c r="A1654" s="2" t="inlineStr">
        <is>
          <t>O002699</t>
        </is>
      </c>
      <c r="B1654" s="2" t="inlineStr">
        <is>
          <t>2025-05-01</t>
        </is>
      </c>
      <c r="C1654" s="2" t="inlineStr">
        <is>
          <t>C0775</t>
        </is>
      </c>
      <c r="D1654" s="2" t="inlineStr">
        <is>
          <t>P0013</t>
        </is>
      </c>
      <c r="E1654" s="2" t="inlineStr">
        <is>
          <t>Storage Organizer</t>
        </is>
      </c>
      <c r="F1654" s="2" t="inlineStr">
        <is>
          <t>Home &amp; Kitchen</t>
        </is>
      </c>
      <c r="G1654" s="2" t="inlineStr">
        <is>
          <t>North</t>
        </is>
      </c>
      <c r="H1654" s="2" t="inlineStr">
        <is>
          <t>Punjab</t>
        </is>
      </c>
      <c r="I1654" s="2" t="inlineStr">
        <is>
          <t>Amritsar</t>
        </is>
      </c>
      <c r="J1654" s="2" t="inlineStr">
        <is>
          <t>Online</t>
        </is>
      </c>
      <c r="K1654" s="2" t="n">
        <v>4</v>
      </c>
      <c r="L1654" s="3" t="n">
        <v>561.65</v>
      </c>
      <c r="M1654" s="4" t="n">
        <v>0.15</v>
      </c>
      <c r="N1654" s="3" t="n">
        <v>1471.6</v>
      </c>
      <c r="O1654" s="3">
        <f>K1654*L1654*(1-M1654)</f>
        <v/>
      </c>
      <c r="P1654" s="3">
        <f>O1654-N1654</f>
        <v/>
      </c>
      <c r="Q1654" s="5">
        <f>IFERROR(P1654/O1654,0)</f>
        <v/>
      </c>
      <c r="R1654" s="2">
        <f>TEXT(DATEVALUE(B1654),"mmm")</f>
        <v/>
      </c>
      <c r="S1654" s="2">
        <f>TEXT(DATEVALUE(B1654),"yyyy-mm")</f>
        <v/>
      </c>
    </row>
    <row r="1655">
      <c r="A1655" s="2" t="inlineStr">
        <is>
          <t>O002336</t>
        </is>
      </c>
      <c r="B1655" s="2" t="inlineStr">
        <is>
          <t>2025-05-01</t>
        </is>
      </c>
      <c r="C1655" s="2" t="inlineStr">
        <is>
          <t>C0778</t>
        </is>
      </c>
      <c r="D1655" s="2" t="inlineStr">
        <is>
          <t>P0001</t>
        </is>
      </c>
      <c r="E1655" s="2" t="inlineStr">
        <is>
          <t>Wireless Headphones</t>
        </is>
      </c>
      <c r="F1655" s="2" t="inlineStr">
        <is>
          <t>Electronics</t>
        </is>
      </c>
      <c r="G1655" s="2" t="inlineStr">
        <is>
          <t>South</t>
        </is>
      </c>
      <c r="H1655" s="2" t="inlineStr">
        <is>
          <t>Kerala</t>
        </is>
      </c>
      <c r="I1655" s="2" t="inlineStr">
        <is>
          <t>Kochi</t>
        </is>
      </c>
      <c r="J1655" s="2" t="inlineStr">
        <is>
          <t>Online</t>
        </is>
      </c>
      <c r="K1655" s="2" t="n">
        <v>2</v>
      </c>
      <c r="L1655" s="3" t="n">
        <v>1282.84</v>
      </c>
      <c r="M1655" s="4" t="n">
        <v>0.05</v>
      </c>
      <c r="N1655" s="3" t="n">
        <v>1365.75</v>
      </c>
      <c r="O1655" s="3">
        <f>K1655*L1655*(1-M1655)</f>
        <v/>
      </c>
      <c r="P1655" s="3">
        <f>O1655-N1655</f>
        <v/>
      </c>
      <c r="Q1655" s="5">
        <f>IFERROR(P1655/O1655,0)</f>
        <v/>
      </c>
      <c r="R1655" s="2">
        <f>TEXT(DATEVALUE(B1655),"mmm")</f>
        <v/>
      </c>
      <c r="S1655" s="2">
        <f>TEXT(DATEVALUE(B1655),"yyyy-mm")</f>
        <v/>
      </c>
    </row>
    <row r="1656">
      <c r="A1656" s="2" t="inlineStr">
        <is>
          <t>O002207</t>
        </is>
      </c>
      <c r="B1656" s="2" t="inlineStr">
        <is>
          <t>2025-05-01</t>
        </is>
      </c>
      <c r="C1656" s="2" t="inlineStr">
        <is>
          <t>C0780</t>
        </is>
      </c>
      <c r="D1656" s="2" t="inlineStr">
        <is>
          <t>P0027</t>
        </is>
      </c>
      <c r="E1656" s="2" t="inlineStr">
        <is>
          <t>Moisturizer</t>
        </is>
      </c>
      <c r="F1656" s="2" t="inlineStr">
        <is>
          <t>Beauty</t>
        </is>
      </c>
      <c r="G1656" s="2" t="inlineStr">
        <is>
          <t>South</t>
        </is>
      </c>
      <c r="H1656" s="2" t="inlineStr">
        <is>
          <t>Tamil Nadu</t>
        </is>
      </c>
      <c r="I1656" s="2" t="inlineStr">
        <is>
          <t>Chennai</t>
        </is>
      </c>
      <c r="J1656" s="2" t="inlineStr">
        <is>
          <t>Online</t>
        </is>
      </c>
      <c r="K1656" s="2" t="n">
        <v>2</v>
      </c>
      <c r="L1656" s="3" t="n">
        <v>966.48</v>
      </c>
      <c r="M1656" s="4" t="n">
        <v>0.05</v>
      </c>
      <c r="N1656" s="3" t="n">
        <v>1373.68</v>
      </c>
      <c r="O1656" s="3">
        <f>K1656*L1656*(1-M1656)</f>
        <v/>
      </c>
      <c r="P1656" s="3">
        <f>O1656-N1656</f>
        <v/>
      </c>
      <c r="Q1656" s="5">
        <f>IFERROR(P1656/O1656,0)</f>
        <v/>
      </c>
      <c r="R1656" s="2">
        <f>TEXT(DATEVALUE(B1656),"mmm")</f>
        <v/>
      </c>
      <c r="S1656" s="2">
        <f>TEXT(DATEVALUE(B1656),"yyyy-mm")</f>
        <v/>
      </c>
    </row>
    <row r="1657">
      <c r="A1657" s="2" t="inlineStr">
        <is>
          <t>O001992</t>
        </is>
      </c>
      <c r="B1657" s="2" t="inlineStr">
        <is>
          <t>2025-05-01</t>
        </is>
      </c>
      <c r="C1657" s="2" t="inlineStr">
        <is>
          <t>C0276</t>
        </is>
      </c>
      <c r="D1657" s="2" t="inlineStr">
        <is>
          <t>P0027</t>
        </is>
      </c>
      <c r="E1657" s="2" t="inlineStr">
        <is>
          <t>Moisturizer</t>
        </is>
      </c>
      <c r="F1657" s="2" t="inlineStr">
        <is>
          <t>Beauty</t>
        </is>
      </c>
      <c r="G1657" s="2" t="inlineStr">
        <is>
          <t>South</t>
        </is>
      </c>
      <c r="H1657" s="2" t="inlineStr">
        <is>
          <t>Karnataka</t>
        </is>
      </c>
      <c r="I1657" s="2" t="inlineStr">
        <is>
          <t>Bengaluru</t>
        </is>
      </c>
      <c r="J1657" s="2" t="inlineStr">
        <is>
          <t>Store</t>
        </is>
      </c>
      <c r="K1657" s="2" t="n">
        <v>2</v>
      </c>
      <c r="L1657" s="3" t="n">
        <v>961.6799999999999</v>
      </c>
      <c r="M1657" s="4" t="n">
        <v>0</v>
      </c>
      <c r="N1657" s="3" t="n">
        <v>1368.64</v>
      </c>
      <c r="O1657" s="3">
        <f>K1657*L1657*(1-M1657)</f>
        <v/>
      </c>
      <c r="P1657" s="3">
        <f>O1657-N1657</f>
        <v/>
      </c>
      <c r="Q1657" s="5">
        <f>IFERROR(P1657/O1657,0)</f>
        <v/>
      </c>
      <c r="R1657" s="2">
        <f>TEXT(DATEVALUE(B1657),"mmm")</f>
        <v/>
      </c>
      <c r="S1657" s="2">
        <f>TEXT(DATEVALUE(B1657),"yyyy-mm")</f>
        <v/>
      </c>
    </row>
    <row r="1658">
      <c r="A1658" s="2" t="inlineStr">
        <is>
          <t>O000863</t>
        </is>
      </c>
      <c r="B1658" s="2" t="inlineStr">
        <is>
          <t>2025-05-01</t>
        </is>
      </c>
      <c r="C1658" s="2" t="inlineStr">
        <is>
          <t>C0040</t>
        </is>
      </c>
      <c r="D1658" s="2" t="inlineStr">
        <is>
          <t>P0018</t>
        </is>
      </c>
      <c r="E1658" s="2" t="inlineStr">
        <is>
          <t>Backpack</t>
        </is>
      </c>
      <c r="F1658" s="2" t="inlineStr">
        <is>
          <t>Fashion</t>
        </is>
      </c>
      <c r="G1658" s="2" t="inlineStr">
        <is>
          <t>West</t>
        </is>
      </c>
      <c r="H1658" s="2" t="inlineStr">
        <is>
          <t>Goa</t>
        </is>
      </c>
      <c r="I1658" s="2" t="inlineStr">
        <is>
          <t>Margao</t>
        </is>
      </c>
      <c r="J1658" s="2" t="inlineStr">
        <is>
          <t>Store</t>
        </is>
      </c>
      <c r="K1658" s="2" t="n">
        <v>5</v>
      </c>
      <c r="L1658" s="3" t="n">
        <v>1780.57</v>
      </c>
      <c r="M1658" s="4" t="n">
        <v>0.1</v>
      </c>
      <c r="N1658" s="3" t="n">
        <v>6700.95</v>
      </c>
      <c r="O1658" s="3">
        <f>K1658*L1658*(1-M1658)</f>
        <v/>
      </c>
      <c r="P1658" s="3">
        <f>O1658-N1658</f>
        <v/>
      </c>
      <c r="Q1658" s="5">
        <f>IFERROR(P1658/O1658,0)</f>
        <v/>
      </c>
      <c r="R1658" s="2">
        <f>TEXT(DATEVALUE(B1658),"mmm")</f>
        <v/>
      </c>
      <c r="S1658" s="2">
        <f>TEXT(DATEVALUE(B1658),"yyyy-mm")</f>
        <v/>
      </c>
    </row>
    <row r="1659">
      <c r="A1659" s="2" t="inlineStr">
        <is>
          <t>O000177</t>
        </is>
      </c>
      <c r="B1659" s="2" t="inlineStr">
        <is>
          <t>2025-05-01</t>
        </is>
      </c>
      <c r="C1659" s="2" t="inlineStr">
        <is>
          <t>C0428</t>
        </is>
      </c>
      <c r="D1659" s="2" t="inlineStr">
        <is>
          <t>P0026</t>
        </is>
      </c>
      <c r="E1659" s="2" t="inlineStr">
        <is>
          <t>Shampoo</t>
        </is>
      </c>
      <c r="F1659" s="2" t="inlineStr">
        <is>
          <t>Beauty</t>
        </is>
      </c>
      <c r="G1659" s="2" t="inlineStr">
        <is>
          <t>West</t>
        </is>
      </c>
      <c r="H1659" s="2" t="inlineStr">
        <is>
          <t>Goa</t>
        </is>
      </c>
      <c r="I1659" s="2" t="inlineStr">
        <is>
          <t>Margao</t>
        </is>
      </c>
      <c r="J1659" s="2" t="inlineStr">
        <is>
          <t>Online</t>
        </is>
      </c>
      <c r="K1659" s="2" t="n">
        <v>1</v>
      </c>
      <c r="L1659" s="3" t="n">
        <v>897.62</v>
      </c>
      <c r="M1659" s="4" t="n">
        <v>0.15</v>
      </c>
      <c r="N1659" s="3" t="n">
        <v>516.28</v>
      </c>
      <c r="O1659" s="3">
        <f>K1659*L1659*(1-M1659)</f>
        <v/>
      </c>
      <c r="P1659" s="3">
        <f>O1659-N1659</f>
        <v/>
      </c>
      <c r="Q1659" s="5">
        <f>IFERROR(P1659/O1659,0)</f>
        <v/>
      </c>
      <c r="R1659" s="2">
        <f>TEXT(DATEVALUE(B1659),"mmm")</f>
        <v/>
      </c>
      <c r="S1659" s="2">
        <f>TEXT(DATEVALUE(B1659),"yyyy-mm")</f>
        <v/>
      </c>
    </row>
    <row r="1660">
      <c r="A1660" s="2" t="inlineStr">
        <is>
          <t>O002317</t>
        </is>
      </c>
      <c r="B1660" s="2" t="inlineStr">
        <is>
          <t>2025-05-01</t>
        </is>
      </c>
      <c r="C1660" s="2" t="inlineStr">
        <is>
          <t>C0452</t>
        </is>
      </c>
      <c r="D1660" s="2" t="inlineStr">
        <is>
          <t>P0013</t>
        </is>
      </c>
      <c r="E1660" s="2" t="inlineStr">
        <is>
          <t>Storage Organizer</t>
        </is>
      </c>
      <c r="F1660" s="2" t="inlineStr">
        <is>
          <t>Home &amp; Kitchen</t>
        </is>
      </c>
      <c r="G1660" s="2" t="inlineStr">
        <is>
          <t>North</t>
        </is>
      </c>
      <c r="H1660" s="2" t="inlineStr">
        <is>
          <t>Haryana</t>
        </is>
      </c>
      <c r="I1660" s="2" t="inlineStr">
        <is>
          <t>Gurugram</t>
        </is>
      </c>
      <c r="J1660" s="2" t="inlineStr">
        <is>
          <t>Store</t>
        </is>
      </c>
      <c r="K1660" s="2" t="n">
        <v>3</v>
      </c>
      <c r="L1660" s="3" t="n">
        <v>552.54</v>
      </c>
      <c r="M1660" s="4" t="n">
        <v>0.05</v>
      </c>
      <c r="N1660" s="3" t="n">
        <v>1105.8</v>
      </c>
      <c r="O1660" s="3">
        <f>K1660*L1660*(1-M1660)</f>
        <v/>
      </c>
      <c r="P1660" s="3">
        <f>O1660-N1660</f>
        <v/>
      </c>
      <c r="Q1660" s="5">
        <f>IFERROR(P1660/O1660,0)</f>
        <v/>
      </c>
      <c r="R1660" s="2">
        <f>TEXT(DATEVALUE(B1660),"mmm")</f>
        <v/>
      </c>
      <c r="S1660" s="2">
        <f>TEXT(DATEVALUE(B1660),"yyyy-mm")</f>
        <v/>
      </c>
    </row>
    <row r="1661">
      <c r="A1661" s="2" t="inlineStr">
        <is>
          <t>O002617</t>
        </is>
      </c>
      <c r="B1661" s="2" t="inlineStr">
        <is>
          <t>2025-05-02</t>
        </is>
      </c>
      <c r="C1661" s="2" t="inlineStr">
        <is>
          <t>C0706</t>
        </is>
      </c>
      <c r="D1661" s="2" t="inlineStr">
        <is>
          <t>P0006</t>
        </is>
      </c>
      <c r="E1661" s="2" t="inlineStr">
        <is>
          <t>Mechanical Keyboard</t>
        </is>
      </c>
      <c r="F1661" s="2" t="inlineStr">
        <is>
          <t>Electronics</t>
        </is>
      </c>
      <c r="G1661" s="2" t="inlineStr">
        <is>
          <t>South</t>
        </is>
      </c>
      <c r="H1661" s="2" t="inlineStr">
        <is>
          <t>Karnataka</t>
        </is>
      </c>
      <c r="I1661" s="2" t="inlineStr">
        <is>
          <t>Mysuru</t>
        </is>
      </c>
      <c r="J1661" s="2" t="inlineStr">
        <is>
          <t>Online</t>
        </is>
      </c>
      <c r="K1661" s="2" t="n">
        <v>3</v>
      </c>
      <c r="L1661" s="3" t="n">
        <v>2753.39</v>
      </c>
      <c r="M1661" s="4" t="n">
        <v>0.1</v>
      </c>
      <c r="N1661" s="3" t="n">
        <v>4467.35</v>
      </c>
      <c r="O1661" s="3">
        <f>K1661*L1661*(1-M1661)</f>
        <v/>
      </c>
      <c r="P1661" s="3">
        <f>O1661-N1661</f>
        <v/>
      </c>
      <c r="Q1661" s="5">
        <f>IFERROR(P1661/O1661,0)</f>
        <v/>
      </c>
      <c r="R1661" s="2">
        <f>TEXT(DATEVALUE(B1661),"mmm")</f>
        <v/>
      </c>
      <c r="S1661" s="2">
        <f>TEXT(DATEVALUE(B1661),"yyyy-mm")</f>
        <v/>
      </c>
    </row>
    <row r="1662">
      <c r="A1662" s="2" t="inlineStr">
        <is>
          <t>O004571</t>
        </is>
      </c>
      <c r="B1662" s="2" t="inlineStr">
        <is>
          <t>2025-05-02</t>
        </is>
      </c>
      <c r="C1662" s="2" t="inlineStr">
        <is>
          <t>C0658</t>
        </is>
      </c>
      <c r="D1662" s="2" t="inlineStr">
        <is>
          <t>P0017</t>
        </is>
      </c>
      <c r="E1662" s="2" t="inlineStr">
        <is>
          <t>Jeans</t>
        </is>
      </c>
      <c r="F1662" s="2" t="inlineStr">
        <is>
          <t>Fashion</t>
        </is>
      </c>
      <c r="G1662" s="2" t="inlineStr">
        <is>
          <t>West</t>
        </is>
      </c>
      <c r="H1662" s="2" t="inlineStr">
        <is>
          <t>Gujarat</t>
        </is>
      </c>
      <c r="I1662" s="2" t="inlineStr">
        <is>
          <t>Surat</t>
        </is>
      </c>
      <c r="J1662" s="2" t="inlineStr">
        <is>
          <t>Online</t>
        </is>
      </c>
      <c r="K1662" s="2" t="n">
        <v>2</v>
      </c>
      <c r="L1662" s="3" t="n">
        <v>1496.02</v>
      </c>
      <c r="M1662" s="4" t="n">
        <v>0.05</v>
      </c>
      <c r="N1662" s="3" t="n">
        <v>2013.71</v>
      </c>
      <c r="O1662" s="3">
        <f>K1662*L1662*(1-M1662)</f>
        <v/>
      </c>
      <c r="P1662" s="3">
        <f>O1662-N1662</f>
        <v/>
      </c>
      <c r="Q1662" s="5">
        <f>IFERROR(P1662/O1662,0)</f>
        <v/>
      </c>
      <c r="R1662" s="2">
        <f>TEXT(DATEVALUE(B1662),"mmm")</f>
        <v/>
      </c>
      <c r="S1662" s="2">
        <f>TEXT(DATEVALUE(B1662),"yyyy-mm")</f>
        <v/>
      </c>
    </row>
    <row r="1663">
      <c r="A1663" s="2" t="inlineStr">
        <is>
          <t>O004698</t>
        </is>
      </c>
      <c r="B1663" s="2" t="inlineStr">
        <is>
          <t>2025-05-02</t>
        </is>
      </c>
      <c r="C1663" s="2" t="inlineStr">
        <is>
          <t>C0483</t>
        </is>
      </c>
      <c r="D1663" s="2" t="inlineStr">
        <is>
          <t>P0015</t>
        </is>
      </c>
      <c r="E1663" s="2" t="inlineStr">
        <is>
          <t>Running Shoes</t>
        </is>
      </c>
      <c r="F1663" s="2" t="inlineStr">
        <is>
          <t>Fashion</t>
        </is>
      </c>
      <c r="G1663" s="2" t="inlineStr">
        <is>
          <t>South</t>
        </is>
      </c>
      <c r="H1663" s="2" t="inlineStr">
        <is>
          <t>Kerala</t>
        </is>
      </c>
      <c r="I1663" s="2" t="inlineStr">
        <is>
          <t>Kochi</t>
        </is>
      </c>
      <c r="J1663" s="2" t="inlineStr">
        <is>
          <t>Online</t>
        </is>
      </c>
      <c r="K1663" s="2" t="n">
        <v>1</v>
      </c>
      <c r="L1663" s="3" t="n">
        <v>609.28</v>
      </c>
      <c r="M1663" s="4" t="n">
        <v>0.1</v>
      </c>
      <c r="N1663" s="3" t="n">
        <v>362.1</v>
      </c>
      <c r="O1663" s="3">
        <f>K1663*L1663*(1-M1663)</f>
        <v/>
      </c>
      <c r="P1663" s="3">
        <f>O1663-N1663</f>
        <v/>
      </c>
      <c r="Q1663" s="5">
        <f>IFERROR(P1663/O1663,0)</f>
        <v/>
      </c>
      <c r="R1663" s="2">
        <f>TEXT(DATEVALUE(B1663),"mmm")</f>
        <v/>
      </c>
      <c r="S1663" s="2">
        <f>TEXT(DATEVALUE(B1663),"yyyy-mm")</f>
        <v/>
      </c>
    </row>
    <row r="1664">
      <c r="A1664" s="2" t="inlineStr">
        <is>
          <t>O003919</t>
        </is>
      </c>
      <c r="B1664" s="2" t="inlineStr">
        <is>
          <t>2025-05-02</t>
        </is>
      </c>
      <c r="C1664" s="2" t="inlineStr">
        <is>
          <t>C0568</t>
        </is>
      </c>
      <c r="D1664" s="2" t="inlineStr">
        <is>
          <t>P0016</t>
        </is>
      </c>
      <c r="E1664" s="2" t="inlineStr">
        <is>
          <t>Casual Shirt</t>
        </is>
      </c>
      <c r="F1664" s="2" t="inlineStr">
        <is>
          <t>Fashion</t>
        </is>
      </c>
      <c r="G1664" s="2" t="inlineStr">
        <is>
          <t>North</t>
        </is>
      </c>
      <c r="H1664" s="2" t="inlineStr">
        <is>
          <t>Punjab</t>
        </is>
      </c>
      <c r="I1664" s="2" t="inlineStr">
        <is>
          <t>Ludhiana</t>
        </is>
      </c>
      <c r="J1664" s="2" t="inlineStr">
        <is>
          <t>Online</t>
        </is>
      </c>
      <c r="K1664" s="2" t="n">
        <v>1</v>
      </c>
      <c r="L1664" s="3" t="n">
        <v>1342.23</v>
      </c>
      <c r="M1664" s="4" t="n">
        <v>0.15</v>
      </c>
      <c r="N1664" s="3" t="n">
        <v>884.3099999999999</v>
      </c>
      <c r="O1664" s="3">
        <f>K1664*L1664*(1-M1664)</f>
        <v/>
      </c>
      <c r="P1664" s="3">
        <f>O1664-N1664</f>
        <v/>
      </c>
      <c r="Q1664" s="5">
        <f>IFERROR(P1664/O1664,0)</f>
        <v/>
      </c>
      <c r="R1664" s="2">
        <f>TEXT(DATEVALUE(B1664),"mmm")</f>
        <v/>
      </c>
      <c r="S1664" s="2">
        <f>TEXT(DATEVALUE(B1664),"yyyy-mm")</f>
        <v/>
      </c>
    </row>
    <row r="1665">
      <c r="A1665" s="2" t="inlineStr">
        <is>
          <t>O003419</t>
        </is>
      </c>
      <c r="B1665" s="2" t="inlineStr">
        <is>
          <t>2025-05-02</t>
        </is>
      </c>
      <c r="C1665" s="2" t="inlineStr">
        <is>
          <t>C0246</t>
        </is>
      </c>
      <c r="D1665" s="2" t="inlineStr">
        <is>
          <t>P0006</t>
        </is>
      </c>
      <c r="E1665" s="2" t="inlineStr">
        <is>
          <t>Mechanical Keyboard</t>
        </is>
      </c>
      <c r="F1665" s="2" t="inlineStr">
        <is>
          <t>Electronics</t>
        </is>
      </c>
      <c r="G1665" s="2" t="inlineStr">
        <is>
          <t>East</t>
        </is>
      </c>
      <c r="H1665" s="2" t="inlineStr">
        <is>
          <t>Bihar</t>
        </is>
      </c>
      <c r="I1665" s="2" t="inlineStr">
        <is>
          <t>Patna</t>
        </is>
      </c>
      <c r="J1665" s="2" t="inlineStr">
        <is>
          <t>Online</t>
        </is>
      </c>
      <c r="K1665" s="2" t="n">
        <v>2</v>
      </c>
      <c r="L1665" s="3" t="n">
        <v>2783.29</v>
      </c>
      <c r="M1665" s="4" t="n">
        <v>0.1</v>
      </c>
      <c r="N1665" s="3" t="n">
        <v>3033.68</v>
      </c>
      <c r="O1665" s="3">
        <f>K1665*L1665*(1-M1665)</f>
        <v/>
      </c>
      <c r="P1665" s="3">
        <f>O1665-N1665</f>
        <v/>
      </c>
      <c r="Q1665" s="5">
        <f>IFERROR(P1665/O1665,0)</f>
        <v/>
      </c>
      <c r="R1665" s="2">
        <f>TEXT(DATEVALUE(B1665),"mmm")</f>
        <v/>
      </c>
      <c r="S1665" s="2">
        <f>TEXT(DATEVALUE(B1665),"yyyy-mm")</f>
        <v/>
      </c>
    </row>
    <row r="1666">
      <c r="A1666" s="2" t="inlineStr">
        <is>
          <t>O003357</t>
        </is>
      </c>
      <c r="B1666" s="2" t="inlineStr">
        <is>
          <t>2025-05-02</t>
        </is>
      </c>
      <c r="C1666" s="2" t="inlineStr">
        <is>
          <t>C0394</t>
        </is>
      </c>
      <c r="D1666" s="2" t="inlineStr">
        <is>
          <t>P0027</t>
        </is>
      </c>
      <c r="E1666" s="2" t="inlineStr">
        <is>
          <t>Moisturizer</t>
        </is>
      </c>
      <c r="F1666" s="2" t="inlineStr">
        <is>
          <t>Beauty</t>
        </is>
      </c>
      <c r="G1666" s="2" t="inlineStr">
        <is>
          <t>West</t>
        </is>
      </c>
      <c r="H1666" s="2" t="inlineStr">
        <is>
          <t>Goa</t>
        </is>
      </c>
      <c r="I1666" s="2" t="inlineStr">
        <is>
          <t>Panaji</t>
        </is>
      </c>
      <c r="J1666" s="2" t="inlineStr">
        <is>
          <t>Online</t>
        </is>
      </c>
      <c r="K1666" s="2" t="n">
        <v>3</v>
      </c>
      <c r="L1666" s="3" t="n">
        <v>988.28</v>
      </c>
      <c r="M1666" s="4" t="n">
        <v>0.1</v>
      </c>
      <c r="N1666" s="3" t="n">
        <v>1990.85</v>
      </c>
      <c r="O1666" s="3">
        <f>K1666*L1666*(1-M1666)</f>
        <v/>
      </c>
      <c r="P1666" s="3">
        <f>O1666-N1666</f>
        <v/>
      </c>
      <c r="Q1666" s="5">
        <f>IFERROR(P1666/O1666,0)</f>
        <v/>
      </c>
      <c r="R1666" s="2">
        <f>TEXT(DATEVALUE(B1666),"mmm")</f>
        <v/>
      </c>
      <c r="S1666" s="2">
        <f>TEXT(DATEVALUE(B1666),"yyyy-mm")</f>
        <v/>
      </c>
    </row>
    <row r="1667">
      <c r="A1667" s="2" t="inlineStr">
        <is>
          <t>O001877</t>
        </is>
      </c>
      <c r="B1667" s="2" t="inlineStr">
        <is>
          <t>2025-05-02</t>
        </is>
      </c>
      <c r="C1667" s="2" t="inlineStr">
        <is>
          <t>C0522</t>
        </is>
      </c>
      <c r="D1667" s="2" t="inlineStr">
        <is>
          <t>P0021</t>
        </is>
      </c>
      <c r="E1667" s="2" t="inlineStr">
        <is>
          <t>Wallet</t>
        </is>
      </c>
      <c r="F1667" s="2" t="inlineStr">
        <is>
          <t>Fashion</t>
        </is>
      </c>
      <c r="G1667" s="2" t="inlineStr">
        <is>
          <t>East</t>
        </is>
      </c>
      <c r="H1667" s="2" t="inlineStr">
        <is>
          <t>West Bengal</t>
        </is>
      </c>
      <c r="I1667" s="2" t="inlineStr">
        <is>
          <t>Durgapur</t>
        </is>
      </c>
      <c r="J1667" s="2" t="inlineStr">
        <is>
          <t>Store</t>
        </is>
      </c>
      <c r="K1667" s="2" t="n">
        <v>1</v>
      </c>
      <c r="L1667" s="3" t="n">
        <v>2094.69</v>
      </c>
      <c r="M1667" s="4" t="n">
        <v>0.15</v>
      </c>
      <c r="N1667" s="3" t="n">
        <v>1226.65</v>
      </c>
      <c r="O1667" s="3">
        <f>K1667*L1667*(1-M1667)</f>
        <v/>
      </c>
      <c r="P1667" s="3">
        <f>O1667-N1667</f>
        <v/>
      </c>
      <c r="Q1667" s="5">
        <f>IFERROR(P1667/O1667,0)</f>
        <v/>
      </c>
      <c r="R1667" s="2">
        <f>TEXT(DATEVALUE(B1667),"mmm")</f>
        <v/>
      </c>
      <c r="S1667" s="2">
        <f>TEXT(DATEVALUE(B1667),"yyyy-mm")</f>
        <v/>
      </c>
    </row>
    <row r="1668">
      <c r="A1668" s="2" t="inlineStr">
        <is>
          <t>O000446</t>
        </is>
      </c>
      <c r="B1668" s="2" t="inlineStr">
        <is>
          <t>2025-05-02</t>
        </is>
      </c>
      <c r="C1668" s="2" t="inlineStr">
        <is>
          <t>C0244</t>
        </is>
      </c>
      <c r="D1668" s="2" t="inlineStr">
        <is>
          <t>P0011</t>
        </is>
      </c>
      <c r="E1668" s="2" t="inlineStr">
        <is>
          <t>Cookware Set</t>
        </is>
      </c>
      <c r="F1668" s="2" t="inlineStr">
        <is>
          <t>Home &amp; Kitchen</t>
        </is>
      </c>
      <c r="G1668" s="2" t="inlineStr">
        <is>
          <t>West</t>
        </is>
      </c>
      <c r="H1668" s="2" t="inlineStr">
        <is>
          <t>Goa</t>
        </is>
      </c>
      <c r="I1668" s="2" t="inlineStr">
        <is>
          <t>Margao</t>
        </is>
      </c>
      <c r="J1668" s="2" t="inlineStr">
        <is>
          <t>Store</t>
        </is>
      </c>
      <c r="K1668" s="2" t="n">
        <v>1</v>
      </c>
      <c r="L1668" s="3" t="n">
        <v>722.49</v>
      </c>
      <c r="M1668" s="4" t="n">
        <v>0.2</v>
      </c>
      <c r="N1668" s="3" t="n">
        <v>461.3</v>
      </c>
      <c r="O1668" s="3">
        <f>K1668*L1668*(1-M1668)</f>
        <v/>
      </c>
      <c r="P1668" s="3">
        <f>O1668-N1668</f>
        <v/>
      </c>
      <c r="Q1668" s="5">
        <f>IFERROR(P1668/O1668,0)</f>
        <v/>
      </c>
      <c r="R1668" s="2">
        <f>TEXT(DATEVALUE(B1668),"mmm")</f>
        <v/>
      </c>
      <c r="S1668" s="2">
        <f>TEXT(DATEVALUE(B1668),"yyyy-mm")</f>
        <v/>
      </c>
    </row>
    <row r="1669">
      <c r="A1669" s="2" t="inlineStr">
        <is>
          <t>O001365</t>
        </is>
      </c>
      <c r="B1669" s="2" t="inlineStr">
        <is>
          <t>2025-05-02</t>
        </is>
      </c>
      <c r="C1669" s="2" t="inlineStr">
        <is>
          <t>C0313</t>
        </is>
      </c>
      <c r="D1669" s="2" t="inlineStr">
        <is>
          <t>P0007</t>
        </is>
      </c>
      <c r="E1669" s="2" t="inlineStr">
        <is>
          <t>Wireless Mouse</t>
        </is>
      </c>
      <c r="F1669" s="2" t="inlineStr">
        <is>
          <t>Electronics</t>
        </is>
      </c>
      <c r="G1669" s="2" t="inlineStr">
        <is>
          <t>East</t>
        </is>
      </c>
      <c r="H1669" s="2" t="inlineStr">
        <is>
          <t>West Bengal</t>
        </is>
      </c>
      <c r="I1669" s="2" t="inlineStr">
        <is>
          <t>Kolkata</t>
        </is>
      </c>
      <c r="J1669" s="2" t="inlineStr">
        <is>
          <t>Online</t>
        </is>
      </c>
      <c r="K1669" s="2" t="n">
        <v>4</v>
      </c>
      <c r="L1669" s="3" t="n">
        <v>954.61</v>
      </c>
      <c r="M1669" s="4" t="n">
        <v>0.05</v>
      </c>
      <c r="N1669" s="3" t="n">
        <v>2520.97</v>
      </c>
      <c r="O1669" s="3">
        <f>K1669*L1669*(1-M1669)</f>
        <v/>
      </c>
      <c r="P1669" s="3">
        <f>O1669-N1669</f>
        <v/>
      </c>
      <c r="Q1669" s="5">
        <f>IFERROR(P1669/O1669,0)</f>
        <v/>
      </c>
      <c r="R1669" s="2">
        <f>TEXT(DATEVALUE(B1669),"mmm")</f>
        <v/>
      </c>
      <c r="S1669" s="2">
        <f>TEXT(DATEVALUE(B1669),"yyyy-mm")</f>
        <v/>
      </c>
    </row>
    <row r="1670">
      <c r="A1670" s="2" t="inlineStr">
        <is>
          <t>O000840</t>
        </is>
      </c>
      <c r="B1670" s="2" t="inlineStr">
        <is>
          <t>2025-05-02</t>
        </is>
      </c>
      <c r="C1670" s="2" t="inlineStr">
        <is>
          <t>C0504</t>
        </is>
      </c>
      <c r="D1670" s="2" t="inlineStr">
        <is>
          <t>P0023</t>
        </is>
      </c>
      <c r="E1670" s="2" t="inlineStr">
        <is>
          <t>Skin Care Kit</t>
        </is>
      </c>
      <c r="F1670" s="2" t="inlineStr">
        <is>
          <t>Beauty</t>
        </is>
      </c>
      <c r="G1670" s="2" t="inlineStr">
        <is>
          <t>South</t>
        </is>
      </c>
      <c r="H1670" s="2" t="inlineStr">
        <is>
          <t>Tamil Nadu</t>
        </is>
      </c>
      <c r="I1670" s="2" t="inlineStr">
        <is>
          <t>Madurai</t>
        </is>
      </c>
      <c r="J1670" s="2" t="inlineStr">
        <is>
          <t>Online</t>
        </is>
      </c>
      <c r="K1670" s="2" t="n">
        <v>2</v>
      </c>
      <c r="L1670" s="3" t="n">
        <v>1443.62</v>
      </c>
      <c r="M1670" s="4" t="n">
        <v>0.15</v>
      </c>
      <c r="N1670" s="3" t="n">
        <v>1817.8</v>
      </c>
      <c r="O1670" s="3">
        <f>K1670*L1670*(1-M1670)</f>
        <v/>
      </c>
      <c r="P1670" s="3">
        <f>O1670-N1670</f>
        <v/>
      </c>
      <c r="Q1670" s="5">
        <f>IFERROR(P1670/O1670,0)</f>
        <v/>
      </c>
      <c r="R1670" s="2">
        <f>TEXT(DATEVALUE(B1670),"mmm")</f>
        <v/>
      </c>
      <c r="S1670" s="2">
        <f>TEXT(DATEVALUE(B1670),"yyyy-mm")</f>
        <v/>
      </c>
    </row>
    <row r="1671">
      <c r="A1671" s="2" t="inlineStr">
        <is>
          <t>O000689</t>
        </is>
      </c>
      <c r="B1671" s="2" t="inlineStr">
        <is>
          <t>2025-05-02</t>
        </is>
      </c>
      <c r="C1671" s="2" t="inlineStr">
        <is>
          <t>C0003</t>
        </is>
      </c>
      <c r="D1671" s="2" t="inlineStr">
        <is>
          <t>P0012</t>
        </is>
      </c>
      <c r="E1671" s="2" t="inlineStr">
        <is>
          <t>Water Bottle</t>
        </is>
      </c>
      <c r="F1671" s="2" t="inlineStr">
        <is>
          <t>Home &amp; Kitchen</t>
        </is>
      </c>
      <c r="G1671" s="2" t="inlineStr">
        <is>
          <t>North</t>
        </is>
      </c>
      <c r="H1671" s="2" t="inlineStr">
        <is>
          <t>Punjab</t>
        </is>
      </c>
      <c r="I1671" s="2" t="inlineStr">
        <is>
          <t>Ludhiana</t>
        </is>
      </c>
      <c r="J1671" s="2" t="inlineStr">
        <is>
          <t>Store</t>
        </is>
      </c>
      <c r="K1671" s="2" t="n">
        <v>1</v>
      </c>
      <c r="L1671" s="3" t="n">
        <v>948.25</v>
      </c>
      <c r="M1671" s="4" t="n">
        <v>0.1</v>
      </c>
      <c r="N1671" s="3" t="n">
        <v>625.42</v>
      </c>
      <c r="O1671" s="3">
        <f>K1671*L1671*(1-M1671)</f>
        <v/>
      </c>
      <c r="P1671" s="3">
        <f>O1671-N1671</f>
        <v/>
      </c>
      <c r="Q1671" s="5">
        <f>IFERROR(P1671/O1671,0)</f>
        <v/>
      </c>
      <c r="R1671" s="2">
        <f>TEXT(DATEVALUE(B1671),"mmm")</f>
        <v/>
      </c>
      <c r="S1671" s="2">
        <f>TEXT(DATEVALUE(B1671),"yyyy-mm")</f>
        <v/>
      </c>
    </row>
    <row r="1672">
      <c r="A1672" s="2" t="inlineStr">
        <is>
          <t>O000612</t>
        </is>
      </c>
      <c r="B1672" s="2" t="inlineStr">
        <is>
          <t>2025-05-02</t>
        </is>
      </c>
      <c r="C1672" s="2" t="inlineStr">
        <is>
          <t>C0686</t>
        </is>
      </c>
      <c r="D1672" s="2" t="inlineStr">
        <is>
          <t>P0014</t>
        </is>
      </c>
      <c r="E1672" s="2" t="inlineStr">
        <is>
          <t>Coffee Maker</t>
        </is>
      </c>
      <c r="F1672" s="2" t="inlineStr">
        <is>
          <t>Home &amp; Kitchen</t>
        </is>
      </c>
      <c r="G1672" s="2" t="inlineStr">
        <is>
          <t>West</t>
        </is>
      </c>
      <c r="H1672" s="2" t="inlineStr">
        <is>
          <t>Goa</t>
        </is>
      </c>
      <c r="I1672" s="2" t="inlineStr">
        <is>
          <t>Margao</t>
        </is>
      </c>
      <c r="J1672" s="2" t="inlineStr">
        <is>
          <t>Online</t>
        </is>
      </c>
      <c r="K1672" s="2" t="n">
        <v>3</v>
      </c>
      <c r="L1672" s="3" t="n">
        <v>1067.59</v>
      </c>
      <c r="M1672" s="4" t="n">
        <v>0.05</v>
      </c>
      <c r="N1672" s="3" t="n">
        <v>2281.55</v>
      </c>
      <c r="O1672" s="3">
        <f>K1672*L1672*(1-M1672)</f>
        <v/>
      </c>
      <c r="P1672" s="3">
        <f>O1672-N1672</f>
        <v/>
      </c>
      <c r="Q1672" s="5">
        <f>IFERROR(P1672/O1672,0)</f>
        <v/>
      </c>
      <c r="R1672" s="2">
        <f>TEXT(DATEVALUE(B1672),"mmm")</f>
        <v/>
      </c>
      <c r="S1672" s="2">
        <f>TEXT(DATEVALUE(B1672),"yyyy-mm")</f>
        <v/>
      </c>
    </row>
    <row r="1673">
      <c r="A1673" s="2" t="inlineStr">
        <is>
          <t>O000592</t>
        </is>
      </c>
      <c r="B1673" s="2" t="inlineStr">
        <is>
          <t>2025-05-02</t>
        </is>
      </c>
      <c r="C1673" s="2" t="inlineStr">
        <is>
          <t>C0504</t>
        </is>
      </c>
      <c r="D1673" s="2" t="inlineStr">
        <is>
          <t>P0024</t>
        </is>
      </c>
      <c r="E1673" s="2" t="inlineStr">
        <is>
          <t>Hair Dryer</t>
        </is>
      </c>
      <c r="F1673" s="2" t="inlineStr">
        <is>
          <t>Beauty</t>
        </is>
      </c>
      <c r="G1673" s="2" t="inlineStr">
        <is>
          <t>West</t>
        </is>
      </c>
      <c r="H1673" s="2" t="inlineStr">
        <is>
          <t>Goa</t>
        </is>
      </c>
      <c r="I1673" s="2" t="inlineStr">
        <is>
          <t>Panaji</t>
        </is>
      </c>
      <c r="J1673" s="2" t="inlineStr">
        <is>
          <t>Online</t>
        </is>
      </c>
      <c r="K1673" s="2" t="n">
        <v>3</v>
      </c>
      <c r="L1673" s="3" t="n">
        <v>983.17</v>
      </c>
      <c r="M1673" s="4" t="n">
        <v>0.05</v>
      </c>
      <c r="N1673" s="3" t="n">
        <v>2212.44</v>
      </c>
      <c r="O1673" s="3">
        <f>K1673*L1673*(1-M1673)</f>
        <v/>
      </c>
      <c r="P1673" s="3">
        <f>O1673-N1673</f>
        <v/>
      </c>
      <c r="Q1673" s="5">
        <f>IFERROR(P1673/O1673,0)</f>
        <v/>
      </c>
      <c r="R1673" s="2">
        <f>TEXT(DATEVALUE(B1673),"mmm")</f>
        <v/>
      </c>
      <c r="S1673" s="2">
        <f>TEXT(DATEVALUE(B1673),"yyyy-mm")</f>
        <v/>
      </c>
    </row>
    <row r="1674">
      <c r="A1674" s="2" t="inlineStr">
        <is>
          <t>O000009</t>
        </is>
      </c>
      <c r="B1674" s="2" t="inlineStr">
        <is>
          <t>2025-05-02</t>
        </is>
      </c>
      <c r="C1674" s="2" t="inlineStr">
        <is>
          <t>C0769</t>
        </is>
      </c>
      <c r="D1674" s="2" t="inlineStr">
        <is>
          <t>P0002</t>
        </is>
      </c>
      <c r="E1674" s="2" t="inlineStr">
        <is>
          <t>Bluetooth Speaker</t>
        </is>
      </c>
      <c r="F1674" s="2" t="inlineStr">
        <is>
          <t>Electronics</t>
        </is>
      </c>
      <c r="G1674" s="2" t="inlineStr">
        <is>
          <t>North</t>
        </is>
      </c>
      <c r="H1674" s="2" t="inlineStr">
        <is>
          <t>Delhi</t>
        </is>
      </c>
      <c r="I1674" s="2" t="inlineStr">
        <is>
          <t>New Delhi</t>
        </is>
      </c>
      <c r="J1674" s="2" t="inlineStr">
        <is>
          <t>Online</t>
        </is>
      </c>
      <c r="K1674" s="2" t="n">
        <v>3</v>
      </c>
      <c r="L1674" s="3" t="n">
        <v>1349.31</v>
      </c>
      <c r="M1674" s="4" t="n">
        <v>0.15</v>
      </c>
      <c r="N1674" s="3" t="n">
        <v>2473.93</v>
      </c>
      <c r="O1674" s="3">
        <f>K1674*L1674*(1-M1674)</f>
        <v/>
      </c>
      <c r="P1674" s="3">
        <f>O1674-N1674</f>
        <v/>
      </c>
      <c r="Q1674" s="5">
        <f>IFERROR(P1674/O1674,0)</f>
        <v/>
      </c>
      <c r="R1674" s="2">
        <f>TEXT(DATEVALUE(B1674),"mmm")</f>
        <v/>
      </c>
      <c r="S1674" s="2">
        <f>TEXT(DATEVALUE(B1674),"yyyy-mm")</f>
        <v/>
      </c>
    </row>
    <row r="1675">
      <c r="A1675" s="2" t="inlineStr">
        <is>
          <t>O001837</t>
        </is>
      </c>
      <c r="B1675" s="2" t="inlineStr">
        <is>
          <t>2025-05-02</t>
        </is>
      </c>
      <c r="C1675" s="2" t="inlineStr">
        <is>
          <t>C0407</t>
        </is>
      </c>
      <c r="D1675" s="2" t="inlineStr">
        <is>
          <t>P0014</t>
        </is>
      </c>
      <c r="E1675" s="2" t="inlineStr">
        <is>
          <t>Coffee Maker</t>
        </is>
      </c>
      <c r="F1675" s="2" t="inlineStr">
        <is>
          <t>Home &amp; Kitchen</t>
        </is>
      </c>
      <c r="G1675" s="2" t="inlineStr">
        <is>
          <t>South</t>
        </is>
      </c>
      <c r="H1675" s="2" t="inlineStr">
        <is>
          <t>Karnataka</t>
        </is>
      </c>
      <c r="I1675" s="2" t="inlineStr">
        <is>
          <t>Bengaluru</t>
        </is>
      </c>
      <c r="J1675" s="2" t="inlineStr">
        <is>
          <t>Store</t>
        </is>
      </c>
      <c r="K1675" s="2" t="n">
        <v>1</v>
      </c>
      <c r="L1675" s="3" t="n">
        <v>1086.43</v>
      </c>
      <c r="M1675" s="4" t="n">
        <v>0.1</v>
      </c>
      <c r="N1675" s="3" t="n">
        <v>764.98</v>
      </c>
      <c r="O1675" s="3">
        <f>K1675*L1675*(1-M1675)</f>
        <v/>
      </c>
      <c r="P1675" s="3">
        <f>O1675-N1675</f>
        <v/>
      </c>
      <c r="Q1675" s="5">
        <f>IFERROR(P1675/O1675,0)</f>
        <v/>
      </c>
      <c r="R1675" s="2">
        <f>TEXT(DATEVALUE(B1675),"mmm")</f>
        <v/>
      </c>
      <c r="S1675" s="2">
        <f>TEXT(DATEVALUE(B1675),"yyyy-mm")</f>
        <v/>
      </c>
    </row>
    <row r="1676">
      <c r="A1676" s="2" t="inlineStr">
        <is>
          <t>O004683</t>
        </is>
      </c>
      <c r="B1676" s="2" t="inlineStr">
        <is>
          <t>2025-05-03</t>
        </is>
      </c>
      <c r="C1676" s="2" t="inlineStr">
        <is>
          <t>C0587</t>
        </is>
      </c>
      <c r="D1676" s="2" t="inlineStr">
        <is>
          <t>P0028</t>
        </is>
      </c>
      <c r="E1676" s="2" t="inlineStr">
        <is>
          <t>Trimmer</t>
        </is>
      </c>
      <c r="F1676" s="2" t="inlineStr">
        <is>
          <t>Beauty</t>
        </is>
      </c>
      <c r="G1676" s="2" t="inlineStr">
        <is>
          <t>West</t>
        </is>
      </c>
      <c r="H1676" s="2" t="inlineStr">
        <is>
          <t>Goa</t>
        </is>
      </c>
      <c r="I1676" s="2" t="inlineStr">
        <is>
          <t>Panaji</t>
        </is>
      </c>
      <c r="J1676" s="2" t="inlineStr">
        <is>
          <t>Online</t>
        </is>
      </c>
      <c r="K1676" s="2" t="n">
        <v>3</v>
      </c>
      <c r="L1676" s="3" t="n">
        <v>445.62</v>
      </c>
      <c r="M1676" s="4" t="n">
        <v>0</v>
      </c>
      <c r="N1676" s="3" t="n">
        <v>749.49</v>
      </c>
      <c r="O1676" s="3">
        <f>K1676*L1676*(1-M1676)</f>
        <v/>
      </c>
      <c r="P1676" s="3">
        <f>O1676-N1676</f>
        <v/>
      </c>
      <c r="Q1676" s="5">
        <f>IFERROR(P1676/O1676,0)</f>
        <v/>
      </c>
      <c r="R1676" s="2">
        <f>TEXT(DATEVALUE(B1676),"mmm")</f>
        <v/>
      </c>
      <c r="S1676" s="2">
        <f>TEXT(DATEVALUE(B1676),"yyyy-mm")</f>
        <v/>
      </c>
    </row>
    <row r="1677">
      <c r="A1677" s="2" t="inlineStr">
        <is>
          <t>O004460</t>
        </is>
      </c>
      <c r="B1677" s="2" t="inlineStr">
        <is>
          <t>2025-05-03</t>
        </is>
      </c>
      <c r="C1677" s="2" t="inlineStr">
        <is>
          <t>C0719</t>
        </is>
      </c>
      <c r="D1677" s="2" t="inlineStr">
        <is>
          <t>P0019</t>
        </is>
      </c>
      <c r="E1677" s="2" t="inlineStr">
        <is>
          <t>Jacket</t>
        </is>
      </c>
      <c r="F1677" s="2" t="inlineStr">
        <is>
          <t>Fashion</t>
        </is>
      </c>
      <c r="G1677" s="2" t="inlineStr">
        <is>
          <t>South</t>
        </is>
      </c>
      <c r="H1677" s="2" t="inlineStr">
        <is>
          <t>Kerala</t>
        </is>
      </c>
      <c r="I1677" s="2" t="inlineStr">
        <is>
          <t>Thiruvananthapuram</t>
        </is>
      </c>
      <c r="J1677" s="2" t="inlineStr">
        <is>
          <t>Online</t>
        </is>
      </c>
      <c r="K1677" s="2" t="n">
        <v>2</v>
      </c>
      <c r="L1677" s="3" t="n">
        <v>1044.16</v>
      </c>
      <c r="M1677" s="4" t="n">
        <v>0.1</v>
      </c>
      <c r="N1677" s="3" t="n">
        <v>1327.48</v>
      </c>
      <c r="O1677" s="3">
        <f>K1677*L1677*(1-M1677)</f>
        <v/>
      </c>
      <c r="P1677" s="3">
        <f>O1677-N1677</f>
        <v/>
      </c>
      <c r="Q1677" s="5">
        <f>IFERROR(P1677/O1677,0)</f>
        <v/>
      </c>
      <c r="R1677" s="2">
        <f>TEXT(DATEVALUE(B1677),"mmm")</f>
        <v/>
      </c>
      <c r="S1677" s="2">
        <f>TEXT(DATEVALUE(B1677),"yyyy-mm")</f>
        <v/>
      </c>
    </row>
    <row r="1678">
      <c r="A1678" s="2" t="inlineStr">
        <is>
          <t>O004176</t>
        </is>
      </c>
      <c r="B1678" s="2" t="inlineStr">
        <is>
          <t>2025-05-03</t>
        </is>
      </c>
      <c r="C1678" s="2" t="inlineStr">
        <is>
          <t>C0638</t>
        </is>
      </c>
      <c r="D1678" s="2" t="inlineStr">
        <is>
          <t>P0012</t>
        </is>
      </c>
      <c r="E1678" s="2" t="inlineStr">
        <is>
          <t>Water Bottle</t>
        </is>
      </c>
      <c r="F1678" s="2" t="inlineStr">
        <is>
          <t>Home &amp; Kitchen</t>
        </is>
      </c>
      <c r="G1678" s="2" t="inlineStr">
        <is>
          <t>North</t>
        </is>
      </c>
      <c r="H1678" s="2" t="inlineStr">
        <is>
          <t>Punjab</t>
        </is>
      </c>
      <c r="I1678" s="2" t="inlineStr">
        <is>
          <t>Jalandhar</t>
        </is>
      </c>
      <c r="J1678" s="2" t="inlineStr">
        <is>
          <t>Online</t>
        </is>
      </c>
      <c r="K1678" s="2" t="n">
        <v>5</v>
      </c>
      <c r="L1678" s="3" t="n">
        <v>978.5599999999999</v>
      </c>
      <c r="M1678" s="4" t="n">
        <v>0.1</v>
      </c>
      <c r="N1678" s="3" t="n">
        <v>3220.86</v>
      </c>
      <c r="O1678" s="3">
        <f>K1678*L1678*(1-M1678)</f>
        <v/>
      </c>
      <c r="P1678" s="3">
        <f>O1678-N1678</f>
        <v/>
      </c>
      <c r="Q1678" s="5">
        <f>IFERROR(P1678/O1678,0)</f>
        <v/>
      </c>
      <c r="R1678" s="2">
        <f>TEXT(DATEVALUE(B1678),"mmm")</f>
        <v/>
      </c>
      <c r="S1678" s="2">
        <f>TEXT(DATEVALUE(B1678),"yyyy-mm")</f>
        <v/>
      </c>
    </row>
    <row r="1679">
      <c r="A1679" s="2" t="inlineStr">
        <is>
          <t>O003611</t>
        </is>
      </c>
      <c r="B1679" s="2" t="inlineStr">
        <is>
          <t>2025-05-03</t>
        </is>
      </c>
      <c r="C1679" s="2" t="inlineStr">
        <is>
          <t>C0744</t>
        </is>
      </c>
      <c r="D1679" s="2" t="inlineStr">
        <is>
          <t>P0003</t>
        </is>
      </c>
      <c r="E1679" s="2" t="inlineStr">
        <is>
          <t>Smartwatch</t>
        </is>
      </c>
      <c r="F1679" s="2" t="inlineStr">
        <is>
          <t>Electronics</t>
        </is>
      </c>
      <c r="G1679" s="2" t="inlineStr">
        <is>
          <t>West</t>
        </is>
      </c>
      <c r="H1679" s="2" t="inlineStr">
        <is>
          <t>Gujarat</t>
        </is>
      </c>
      <c r="I1679" s="2" t="inlineStr">
        <is>
          <t>Surat</t>
        </is>
      </c>
      <c r="J1679" s="2" t="inlineStr">
        <is>
          <t>Store</t>
        </is>
      </c>
      <c r="K1679" s="2" t="n">
        <v>4</v>
      </c>
      <c r="L1679" s="3" t="n">
        <v>2199.05</v>
      </c>
      <c r="M1679" s="4" t="n">
        <v>0.1</v>
      </c>
      <c r="N1679" s="3" t="n">
        <v>4819.97</v>
      </c>
      <c r="O1679" s="3">
        <f>K1679*L1679*(1-M1679)</f>
        <v/>
      </c>
      <c r="P1679" s="3">
        <f>O1679-N1679</f>
        <v/>
      </c>
      <c r="Q1679" s="5">
        <f>IFERROR(P1679/O1679,0)</f>
        <v/>
      </c>
      <c r="R1679" s="2">
        <f>TEXT(DATEVALUE(B1679),"mmm")</f>
        <v/>
      </c>
      <c r="S1679" s="2">
        <f>TEXT(DATEVALUE(B1679),"yyyy-mm")</f>
        <v/>
      </c>
    </row>
    <row r="1680">
      <c r="A1680" s="2" t="inlineStr">
        <is>
          <t>O001591</t>
        </is>
      </c>
      <c r="B1680" s="2" t="inlineStr">
        <is>
          <t>2025-05-03</t>
        </is>
      </c>
      <c r="C1680" s="2" t="inlineStr">
        <is>
          <t>C0331</t>
        </is>
      </c>
      <c r="D1680" s="2" t="inlineStr">
        <is>
          <t>P0022</t>
        </is>
      </c>
      <c r="E1680" s="2" t="inlineStr">
        <is>
          <t>Face Wash</t>
        </is>
      </c>
      <c r="F1680" s="2" t="inlineStr">
        <is>
          <t>Beauty</t>
        </is>
      </c>
      <c r="G1680" s="2" t="inlineStr">
        <is>
          <t>South</t>
        </is>
      </c>
      <c r="H1680" s="2" t="inlineStr">
        <is>
          <t>Tamil Nadu</t>
        </is>
      </c>
      <c r="I1680" s="2" t="inlineStr">
        <is>
          <t>Madurai</t>
        </is>
      </c>
      <c r="J1680" s="2" t="inlineStr">
        <is>
          <t>Online</t>
        </is>
      </c>
      <c r="K1680" s="2" t="n">
        <v>2</v>
      </c>
      <c r="L1680" s="3" t="n">
        <v>565.25</v>
      </c>
      <c r="M1680" s="4" t="n">
        <v>0</v>
      </c>
      <c r="N1680" s="3" t="n">
        <v>688.6900000000001</v>
      </c>
      <c r="O1680" s="3">
        <f>K1680*L1680*(1-M1680)</f>
        <v/>
      </c>
      <c r="P1680" s="3">
        <f>O1680-N1680</f>
        <v/>
      </c>
      <c r="Q1680" s="5">
        <f>IFERROR(P1680/O1680,0)</f>
        <v/>
      </c>
      <c r="R1680" s="2">
        <f>TEXT(DATEVALUE(B1680),"mmm")</f>
        <v/>
      </c>
      <c r="S1680" s="2">
        <f>TEXT(DATEVALUE(B1680),"yyyy-mm")</f>
        <v/>
      </c>
    </row>
    <row r="1681">
      <c r="A1681" s="2" t="inlineStr">
        <is>
          <t>O001093</t>
        </is>
      </c>
      <c r="B1681" s="2" t="inlineStr">
        <is>
          <t>2025-05-03</t>
        </is>
      </c>
      <c r="C1681" s="2" t="inlineStr">
        <is>
          <t>C0206</t>
        </is>
      </c>
      <c r="D1681" s="2" t="inlineStr">
        <is>
          <t>P0012</t>
        </is>
      </c>
      <c r="E1681" s="2" t="inlineStr">
        <is>
          <t>Water Bottle</t>
        </is>
      </c>
      <c r="F1681" s="2" t="inlineStr">
        <is>
          <t>Home &amp; Kitchen</t>
        </is>
      </c>
      <c r="G1681" s="2" t="inlineStr">
        <is>
          <t>West</t>
        </is>
      </c>
      <c r="H1681" s="2" t="inlineStr">
        <is>
          <t>Maharashtra</t>
        </is>
      </c>
      <c r="I1681" s="2" t="inlineStr">
        <is>
          <t>Nashik</t>
        </is>
      </c>
      <c r="J1681" s="2" t="inlineStr">
        <is>
          <t>Online</t>
        </is>
      </c>
      <c r="K1681" s="2" t="n">
        <v>2</v>
      </c>
      <c r="L1681" s="3" t="n">
        <v>953.35</v>
      </c>
      <c r="M1681" s="4" t="n">
        <v>0.05</v>
      </c>
      <c r="N1681" s="3" t="n">
        <v>1283.03</v>
      </c>
      <c r="O1681" s="3">
        <f>K1681*L1681*(1-M1681)</f>
        <v/>
      </c>
      <c r="P1681" s="3">
        <f>O1681-N1681</f>
        <v/>
      </c>
      <c r="Q1681" s="5">
        <f>IFERROR(P1681/O1681,0)</f>
        <v/>
      </c>
      <c r="R1681" s="2">
        <f>TEXT(DATEVALUE(B1681),"mmm")</f>
        <v/>
      </c>
      <c r="S1681" s="2">
        <f>TEXT(DATEVALUE(B1681),"yyyy-mm")</f>
        <v/>
      </c>
    </row>
    <row r="1682">
      <c r="A1682" s="2" t="inlineStr">
        <is>
          <t>O000225</t>
        </is>
      </c>
      <c r="B1682" s="2" t="inlineStr">
        <is>
          <t>2025-05-03</t>
        </is>
      </c>
      <c r="C1682" s="2" t="inlineStr">
        <is>
          <t>C0579</t>
        </is>
      </c>
      <c r="D1682" s="2" t="inlineStr">
        <is>
          <t>P0012</t>
        </is>
      </c>
      <c r="E1682" s="2" t="inlineStr">
        <is>
          <t>Water Bottle</t>
        </is>
      </c>
      <c r="F1682" s="2" t="inlineStr">
        <is>
          <t>Home &amp; Kitchen</t>
        </is>
      </c>
      <c r="G1682" s="2" t="inlineStr">
        <is>
          <t>East</t>
        </is>
      </c>
      <c r="H1682" s="2" t="inlineStr">
        <is>
          <t>Bihar</t>
        </is>
      </c>
      <c r="I1682" s="2" t="inlineStr">
        <is>
          <t>Patna</t>
        </is>
      </c>
      <c r="J1682" s="2" t="inlineStr">
        <is>
          <t>Store</t>
        </is>
      </c>
      <c r="K1682" s="2" t="n">
        <v>1</v>
      </c>
      <c r="L1682" s="3" t="n">
        <v>1018.08</v>
      </c>
      <c r="M1682" s="4" t="n">
        <v>0.2</v>
      </c>
      <c r="N1682" s="3" t="n">
        <v>622.95</v>
      </c>
      <c r="O1682" s="3">
        <f>K1682*L1682*(1-M1682)</f>
        <v/>
      </c>
      <c r="P1682" s="3">
        <f>O1682-N1682</f>
        <v/>
      </c>
      <c r="Q1682" s="5">
        <f>IFERROR(P1682/O1682,0)</f>
        <v/>
      </c>
      <c r="R1682" s="2">
        <f>TEXT(DATEVALUE(B1682),"mmm")</f>
        <v/>
      </c>
      <c r="S1682" s="2">
        <f>TEXT(DATEVALUE(B1682),"yyyy-mm")</f>
        <v/>
      </c>
    </row>
    <row r="1683">
      <c r="A1683" s="2" t="inlineStr">
        <is>
          <t>O001843</t>
        </is>
      </c>
      <c r="B1683" s="2" t="inlineStr">
        <is>
          <t>2025-05-03</t>
        </is>
      </c>
      <c r="C1683" s="2" t="inlineStr">
        <is>
          <t>C0686</t>
        </is>
      </c>
      <c r="D1683" s="2" t="inlineStr">
        <is>
          <t>P0020</t>
        </is>
      </c>
      <c r="E1683" s="2" t="inlineStr">
        <is>
          <t>Sneakers</t>
        </is>
      </c>
      <c r="F1683" s="2" t="inlineStr">
        <is>
          <t>Fashion</t>
        </is>
      </c>
      <c r="G1683" s="2" t="inlineStr">
        <is>
          <t>South</t>
        </is>
      </c>
      <c r="H1683" s="2" t="inlineStr">
        <is>
          <t>Tamil Nadu</t>
        </is>
      </c>
      <c r="I1683" s="2" t="inlineStr">
        <is>
          <t>Madurai</t>
        </is>
      </c>
      <c r="J1683" s="2" t="inlineStr">
        <is>
          <t>Store</t>
        </is>
      </c>
      <c r="K1683" s="2" t="n">
        <v>1</v>
      </c>
      <c r="L1683" s="3" t="n">
        <v>2020.32</v>
      </c>
      <c r="M1683" s="4" t="n">
        <v>0.1</v>
      </c>
      <c r="N1683" s="3" t="n">
        <v>1486.7</v>
      </c>
      <c r="O1683" s="3">
        <f>K1683*L1683*(1-M1683)</f>
        <v/>
      </c>
      <c r="P1683" s="3">
        <f>O1683-N1683</f>
        <v/>
      </c>
      <c r="Q1683" s="5">
        <f>IFERROR(P1683/O1683,0)</f>
        <v/>
      </c>
      <c r="R1683" s="2">
        <f>TEXT(DATEVALUE(B1683),"mmm")</f>
        <v/>
      </c>
      <c r="S1683" s="2">
        <f>TEXT(DATEVALUE(B1683),"yyyy-mm")</f>
        <v/>
      </c>
    </row>
    <row r="1684">
      <c r="A1684" s="2" t="inlineStr">
        <is>
          <t>O004708</t>
        </is>
      </c>
      <c r="B1684" s="2" t="inlineStr">
        <is>
          <t>2025-05-04</t>
        </is>
      </c>
      <c r="C1684" s="2" t="inlineStr">
        <is>
          <t>C0432</t>
        </is>
      </c>
      <c r="D1684" s="2" t="inlineStr">
        <is>
          <t>P0017</t>
        </is>
      </c>
      <c r="E1684" s="2" t="inlineStr">
        <is>
          <t>Jeans</t>
        </is>
      </c>
      <c r="F1684" s="2" t="inlineStr">
        <is>
          <t>Fashion</t>
        </is>
      </c>
      <c r="G1684" s="2" t="inlineStr">
        <is>
          <t>South</t>
        </is>
      </c>
      <c r="H1684" s="2" t="inlineStr">
        <is>
          <t>Tamil Nadu</t>
        </is>
      </c>
      <c r="I1684" s="2" t="inlineStr">
        <is>
          <t>Chennai</t>
        </is>
      </c>
      <c r="J1684" s="2" t="inlineStr">
        <is>
          <t>Online</t>
        </is>
      </c>
      <c r="K1684" s="2" t="n">
        <v>5</v>
      </c>
      <c r="L1684" s="3" t="n">
        <v>1510.56</v>
      </c>
      <c r="M1684" s="4" t="n">
        <v>0.1</v>
      </c>
      <c r="N1684" s="3" t="n">
        <v>5173.66</v>
      </c>
      <c r="O1684" s="3">
        <f>K1684*L1684*(1-M1684)</f>
        <v/>
      </c>
      <c r="P1684" s="3">
        <f>O1684-N1684</f>
        <v/>
      </c>
      <c r="Q1684" s="5">
        <f>IFERROR(P1684/O1684,0)</f>
        <v/>
      </c>
      <c r="R1684" s="2">
        <f>TEXT(DATEVALUE(B1684),"mmm")</f>
        <v/>
      </c>
      <c r="S1684" s="2">
        <f>TEXT(DATEVALUE(B1684),"yyyy-mm")</f>
        <v/>
      </c>
    </row>
    <row r="1685">
      <c r="A1685" s="2" t="inlineStr">
        <is>
          <t>O004262</t>
        </is>
      </c>
      <c r="B1685" s="2" t="inlineStr">
        <is>
          <t>2025-05-04</t>
        </is>
      </c>
      <c r="C1685" s="2" t="inlineStr">
        <is>
          <t>C0088</t>
        </is>
      </c>
      <c r="D1685" s="2" t="inlineStr">
        <is>
          <t>P0024</t>
        </is>
      </c>
      <c r="E1685" s="2" t="inlineStr">
        <is>
          <t>Hair Dryer</t>
        </is>
      </c>
      <c r="F1685" s="2" t="inlineStr">
        <is>
          <t>Beauty</t>
        </is>
      </c>
      <c r="G1685" s="2" t="inlineStr">
        <is>
          <t>South</t>
        </is>
      </c>
      <c r="H1685" s="2" t="inlineStr">
        <is>
          <t>Tamil Nadu</t>
        </is>
      </c>
      <c r="I1685" s="2" t="inlineStr">
        <is>
          <t>Madurai</t>
        </is>
      </c>
      <c r="J1685" s="2" t="inlineStr">
        <is>
          <t>Store</t>
        </is>
      </c>
      <c r="K1685" s="2" t="n">
        <v>6</v>
      </c>
      <c r="L1685" s="3" t="n">
        <v>1007.58</v>
      </c>
      <c r="M1685" s="4" t="n">
        <v>0.05</v>
      </c>
      <c r="N1685" s="3" t="n">
        <v>4408.98</v>
      </c>
      <c r="O1685" s="3">
        <f>K1685*L1685*(1-M1685)</f>
        <v/>
      </c>
      <c r="P1685" s="3">
        <f>O1685-N1685</f>
        <v/>
      </c>
      <c r="Q1685" s="5">
        <f>IFERROR(P1685/O1685,0)</f>
        <v/>
      </c>
      <c r="R1685" s="2">
        <f>TEXT(DATEVALUE(B1685),"mmm")</f>
        <v/>
      </c>
      <c r="S1685" s="2">
        <f>TEXT(DATEVALUE(B1685),"yyyy-mm")</f>
        <v/>
      </c>
    </row>
    <row r="1686">
      <c r="A1686" s="2" t="inlineStr">
        <is>
          <t>O003865</t>
        </is>
      </c>
      <c r="B1686" s="2" t="inlineStr">
        <is>
          <t>2025-05-04</t>
        </is>
      </c>
      <c r="C1686" s="2" t="inlineStr">
        <is>
          <t>C0294</t>
        </is>
      </c>
      <c r="D1686" s="2" t="inlineStr">
        <is>
          <t>P0027</t>
        </is>
      </c>
      <c r="E1686" s="2" t="inlineStr">
        <is>
          <t>Moisturizer</t>
        </is>
      </c>
      <c r="F1686" s="2" t="inlineStr">
        <is>
          <t>Beauty</t>
        </is>
      </c>
      <c r="G1686" s="2" t="inlineStr">
        <is>
          <t>West</t>
        </is>
      </c>
      <c r="H1686" s="2" t="inlineStr">
        <is>
          <t>Goa</t>
        </is>
      </c>
      <c r="I1686" s="2" t="inlineStr">
        <is>
          <t>Margao</t>
        </is>
      </c>
      <c r="J1686" s="2" t="inlineStr">
        <is>
          <t>Online</t>
        </is>
      </c>
      <c r="K1686" s="2" t="n">
        <v>4</v>
      </c>
      <c r="L1686" s="3" t="n">
        <v>921.28</v>
      </c>
      <c r="M1686" s="4" t="n">
        <v>0</v>
      </c>
      <c r="N1686" s="3" t="n">
        <v>2762.58</v>
      </c>
      <c r="O1686" s="3">
        <f>K1686*L1686*(1-M1686)</f>
        <v/>
      </c>
      <c r="P1686" s="3">
        <f>O1686-N1686</f>
        <v/>
      </c>
      <c r="Q1686" s="5">
        <f>IFERROR(P1686/O1686,0)</f>
        <v/>
      </c>
      <c r="R1686" s="2">
        <f>TEXT(DATEVALUE(B1686),"mmm")</f>
        <v/>
      </c>
      <c r="S1686" s="2">
        <f>TEXT(DATEVALUE(B1686),"yyyy-mm")</f>
        <v/>
      </c>
    </row>
    <row r="1687">
      <c r="A1687" s="2" t="inlineStr">
        <is>
          <t>O003423</t>
        </is>
      </c>
      <c r="B1687" s="2" t="inlineStr">
        <is>
          <t>2025-05-04</t>
        </is>
      </c>
      <c r="C1687" s="2" t="inlineStr">
        <is>
          <t>C0122</t>
        </is>
      </c>
      <c r="D1687" s="2" t="inlineStr">
        <is>
          <t>P0006</t>
        </is>
      </c>
      <c r="E1687" s="2" t="inlineStr">
        <is>
          <t>Mechanical Keyboard</t>
        </is>
      </c>
      <c r="F1687" s="2" t="inlineStr">
        <is>
          <t>Electronics</t>
        </is>
      </c>
      <c r="G1687" s="2" t="inlineStr">
        <is>
          <t>East</t>
        </is>
      </c>
      <c r="H1687" s="2" t="inlineStr">
        <is>
          <t>West Bengal</t>
        </is>
      </c>
      <c r="I1687" s="2" t="inlineStr">
        <is>
          <t>Durgapur</t>
        </is>
      </c>
      <c r="J1687" s="2" t="inlineStr">
        <is>
          <t>Online</t>
        </is>
      </c>
      <c r="K1687" s="2" t="n">
        <v>3</v>
      </c>
      <c r="L1687" s="3" t="n">
        <v>2633.22</v>
      </c>
      <c r="M1687" s="4" t="n">
        <v>0.05</v>
      </c>
      <c r="N1687" s="3" t="n">
        <v>4389.72</v>
      </c>
      <c r="O1687" s="3">
        <f>K1687*L1687*(1-M1687)</f>
        <v/>
      </c>
      <c r="P1687" s="3">
        <f>O1687-N1687</f>
        <v/>
      </c>
      <c r="Q1687" s="5">
        <f>IFERROR(P1687/O1687,0)</f>
        <v/>
      </c>
      <c r="R1687" s="2">
        <f>TEXT(DATEVALUE(B1687),"mmm")</f>
        <v/>
      </c>
      <c r="S1687" s="2">
        <f>TEXT(DATEVALUE(B1687),"yyyy-mm")</f>
        <v/>
      </c>
    </row>
    <row r="1688">
      <c r="A1688" s="2" t="inlineStr">
        <is>
          <t>O003131</t>
        </is>
      </c>
      <c r="B1688" s="2" t="inlineStr">
        <is>
          <t>2025-05-04</t>
        </is>
      </c>
      <c r="C1688" s="2" t="inlineStr">
        <is>
          <t>C0712</t>
        </is>
      </c>
      <c r="D1688" s="2" t="inlineStr">
        <is>
          <t>P0022</t>
        </is>
      </c>
      <c r="E1688" s="2" t="inlineStr">
        <is>
          <t>Face Wash</t>
        </is>
      </c>
      <c r="F1688" s="2" t="inlineStr">
        <is>
          <t>Beauty</t>
        </is>
      </c>
      <c r="G1688" s="2" t="inlineStr">
        <is>
          <t>West</t>
        </is>
      </c>
      <c r="H1688" s="2" t="inlineStr">
        <is>
          <t>Gujarat</t>
        </is>
      </c>
      <c r="I1688" s="2" t="inlineStr">
        <is>
          <t>Ahmedabad</t>
        </is>
      </c>
      <c r="J1688" s="2" t="inlineStr">
        <is>
          <t>Online</t>
        </is>
      </c>
      <c r="K1688" s="2" t="n">
        <v>2</v>
      </c>
      <c r="L1688" s="3" t="n">
        <v>566.48</v>
      </c>
      <c r="M1688" s="4" t="n">
        <v>0.05</v>
      </c>
      <c r="N1688" s="3" t="n">
        <v>699.08</v>
      </c>
      <c r="O1688" s="3">
        <f>K1688*L1688*(1-M1688)</f>
        <v/>
      </c>
      <c r="P1688" s="3">
        <f>O1688-N1688</f>
        <v/>
      </c>
      <c r="Q1688" s="5">
        <f>IFERROR(P1688/O1688,0)</f>
        <v/>
      </c>
      <c r="R1688" s="2">
        <f>TEXT(DATEVALUE(B1688),"mmm")</f>
        <v/>
      </c>
      <c r="S1688" s="2">
        <f>TEXT(DATEVALUE(B1688),"yyyy-mm")</f>
        <v/>
      </c>
    </row>
    <row r="1689">
      <c r="A1689" s="2" t="inlineStr">
        <is>
          <t>O003071</t>
        </is>
      </c>
      <c r="B1689" s="2" t="inlineStr">
        <is>
          <t>2025-05-04</t>
        </is>
      </c>
      <c r="C1689" s="2" t="inlineStr">
        <is>
          <t>C0594</t>
        </is>
      </c>
      <c r="D1689" s="2" t="inlineStr">
        <is>
          <t>P0004</t>
        </is>
      </c>
      <c r="E1689" s="2" t="inlineStr">
        <is>
          <t>USB-C Hub</t>
        </is>
      </c>
      <c r="F1689" s="2" t="inlineStr">
        <is>
          <t>Electronics</t>
        </is>
      </c>
      <c r="G1689" s="2" t="inlineStr">
        <is>
          <t>West</t>
        </is>
      </c>
      <c r="H1689" s="2" t="inlineStr">
        <is>
          <t>Goa</t>
        </is>
      </c>
      <c r="I1689" s="2" t="inlineStr">
        <is>
          <t>Panaji</t>
        </is>
      </c>
      <c r="J1689" s="2" t="inlineStr">
        <is>
          <t>Online</t>
        </is>
      </c>
      <c r="K1689" s="2" t="n">
        <v>3</v>
      </c>
      <c r="L1689" s="3" t="n">
        <v>1255.54</v>
      </c>
      <c r="M1689" s="4" t="n">
        <v>0</v>
      </c>
      <c r="N1689" s="3" t="n">
        <v>2865.73</v>
      </c>
      <c r="O1689" s="3">
        <f>K1689*L1689*(1-M1689)</f>
        <v/>
      </c>
      <c r="P1689" s="3">
        <f>O1689-N1689</f>
        <v/>
      </c>
      <c r="Q1689" s="5">
        <f>IFERROR(P1689/O1689,0)</f>
        <v/>
      </c>
      <c r="R1689" s="2">
        <f>TEXT(DATEVALUE(B1689),"mmm")</f>
        <v/>
      </c>
      <c r="S1689" s="2">
        <f>TEXT(DATEVALUE(B1689),"yyyy-mm")</f>
        <v/>
      </c>
    </row>
    <row r="1690">
      <c r="A1690" s="2" t="inlineStr">
        <is>
          <t>O004325</t>
        </is>
      </c>
      <c r="B1690" s="2" t="inlineStr">
        <is>
          <t>2025-05-04</t>
        </is>
      </c>
      <c r="C1690" s="2" t="inlineStr">
        <is>
          <t>C0615</t>
        </is>
      </c>
      <c r="D1690" s="2" t="inlineStr">
        <is>
          <t>P0035</t>
        </is>
      </c>
      <c r="E1690" s="2" t="inlineStr">
        <is>
          <t>Skipping Rope</t>
        </is>
      </c>
      <c r="F1690" s="2" t="inlineStr">
        <is>
          <t>Sports</t>
        </is>
      </c>
      <c r="G1690" s="2" t="inlineStr">
        <is>
          <t>North</t>
        </is>
      </c>
      <c r="H1690" s="2" t="inlineStr">
        <is>
          <t>Uttar Pradesh</t>
        </is>
      </c>
      <c r="I1690" s="2" t="inlineStr">
        <is>
          <t>Noida</t>
        </is>
      </c>
      <c r="J1690" s="2" t="inlineStr">
        <is>
          <t>Online</t>
        </is>
      </c>
      <c r="K1690" s="2" t="n">
        <v>6</v>
      </c>
      <c r="L1690" s="3" t="n">
        <v>681.86</v>
      </c>
      <c r="M1690" s="4" t="n">
        <v>0.1</v>
      </c>
      <c r="N1690" s="3" t="n">
        <v>2396.43</v>
      </c>
      <c r="O1690" s="3">
        <f>K1690*L1690*(1-M1690)</f>
        <v/>
      </c>
      <c r="P1690" s="3">
        <f>O1690-N1690</f>
        <v/>
      </c>
      <c r="Q1690" s="5">
        <f>IFERROR(P1690/O1690,0)</f>
        <v/>
      </c>
      <c r="R1690" s="2">
        <f>TEXT(DATEVALUE(B1690),"mmm")</f>
        <v/>
      </c>
      <c r="S1690" s="2">
        <f>TEXT(DATEVALUE(B1690),"yyyy-mm")</f>
        <v/>
      </c>
    </row>
    <row r="1691">
      <c r="A1691" s="2" t="inlineStr">
        <is>
          <t>O002609</t>
        </is>
      </c>
      <c r="B1691" s="2" t="inlineStr">
        <is>
          <t>2025-05-04</t>
        </is>
      </c>
      <c r="C1691" s="2" t="inlineStr">
        <is>
          <t>C0582</t>
        </is>
      </c>
      <c r="D1691" s="2" t="inlineStr">
        <is>
          <t>P0012</t>
        </is>
      </c>
      <c r="E1691" s="2" t="inlineStr">
        <is>
          <t>Water Bottle</t>
        </is>
      </c>
      <c r="F1691" s="2" t="inlineStr">
        <is>
          <t>Home &amp; Kitchen</t>
        </is>
      </c>
      <c r="G1691" s="2" t="inlineStr">
        <is>
          <t>West</t>
        </is>
      </c>
      <c r="H1691" s="2" t="inlineStr">
        <is>
          <t>Goa</t>
        </is>
      </c>
      <c r="I1691" s="2" t="inlineStr">
        <is>
          <t>Panaji</t>
        </is>
      </c>
      <c r="J1691" s="2" t="inlineStr">
        <is>
          <t>Online</t>
        </is>
      </c>
      <c r="K1691" s="2" t="n">
        <v>4</v>
      </c>
      <c r="L1691" s="3" t="n">
        <v>1005.99</v>
      </c>
      <c r="M1691" s="4" t="n">
        <v>0.15</v>
      </c>
      <c r="N1691" s="3" t="n">
        <v>2513.63</v>
      </c>
      <c r="O1691" s="3">
        <f>K1691*L1691*(1-M1691)</f>
        <v/>
      </c>
      <c r="P1691" s="3">
        <f>O1691-N1691</f>
        <v/>
      </c>
      <c r="Q1691" s="5">
        <f>IFERROR(P1691/O1691,0)</f>
        <v/>
      </c>
      <c r="R1691" s="2">
        <f>TEXT(DATEVALUE(B1691),"mmm")</f>
        <v/>
      </c>
      <c r="S1691" s="2">
        <f>TEXT(DATEVALUE(B1691),"yyyy-mm")</f>
        <v/>
      </c>
    </row>
    <row r="1692">
      <c r="A1692" s="2" t="inlineStr">
        <is>
          <t>O002460</t>
        </is>
      </c>
      <c r="B1692" s="2" t="inlineStr">
        <is>
          <t>2025-05-04</t>
        </is>
      </c>
      <c r="C1692" s="2" t="inlineStr">
        <is>
          <t>C0582</t>
        </is>
      </c>
      <c r="D1692" s="2" t="inlineStr">
        <is>
          <t>P0007</t>
        </is>
      </c>
      <c r="E1692" s="2" t="inlineStr">
        <is>
          <t>Wireless Mouse</t>
        </is>
      </c>
      <c r="F1692" s="2" t="inlineStr">
        <is>
          <t>Electronics</t>
        </is>
      </c>
      <c r="G1692" s="2" t="inlineStr">
        <is>
          <t>West</t>
        </is>
      </c>
      <c r="H1692" s="2" t="inlineStr">
        <is>
          <t>Gujarat</t>
        </is>
      </c>
      <c r="I1692" s="2" t="inlineStr">
        <is>
          <t>Surat</t>
        </is>
      </c>
      <c r="J1692" s="2" t="inlineStr">
        <is>
          <t>Online</t>
        </is>
      </c>
      <c r="K1692" s="2" t="n">
        <v>4</v>
      </c>
      <c r="L1692" s="3" t="n">
        <v>1007.39</v>
      </c>
      <c r="M1692" s="4" t="n">
        <v>0.05</v>
      </c>
      <c r="N1692" s="3" t="n">
        <v>2483.31</v>
      </c>
      <c r="O1692" s="3">
        <f>K1692*L1692*(1-M1692)</f>
        <v/>
      </c>
      <c r="P1692" s="3">
        <f>O1692-N1692</f>
        <v/>
      </c>
      <c r="Q1692" s="5">
        <f>IFERROR(P1692/O1692,0)</f>
        <v/>
      </c>
      <c r="R1692" s="2">
        <f>TEXT(DATEVALUE(B1692),"mmm")</f>
        <v/>
      </c>
      <c r="S1692" s="2">
        <f>TEXT(DATEVALUE(B1692),"yyyy-mm")</f>
        <v/>
      </c>
    </row>
    <row r="1693">
      <c r="A1693" s="2" t="inlineStr">
        <is>
          <t>O002151</t>
        </is>
      </c>
      <c r="B1693" s="2" t="inlineStr">
        <is>
          <t>2025-05-04</t>
        </is>
      </c>
      <c r="C1693" s="2" t="inlineStr">
        <is>
          <t>C0495</t>
        </is>
      </c>
      <c r="D1693" s="2" t="inlineStr">
        <is>
          <t>P0006</t>
        </is>
      </c>
      <c r="E1693" s="2" t="inlineStr">
        <is>
          <t>Mechanical Keyboard</t>
        </is>
      </c>
      <c r="F1693" s="2" t="inlineStr">
        <is>
          <t>Electronics</t>
        </is>
      </c>
      <c r="G1693" s="2" t="inlineStr">
        <is>
          <t>North</t>
        </is>
      </c>
      <c r="H1693" s="2" t="inlineStr">
        <is>
          <t>Punjab</t>
        </is>
      </c>
      <c r="I1693" s="2" t="inlineStr">
        <is>
          <t>Ludhiana</t>
        </is>
      </c>
      <c r="J1693" s="2" t="inlineStr">
        <is>
          <t>Online</t>
        </is>
      </c>
      <c r="K1693" s="2" t="n">
        <v>1</v>
      </c>
      <c r="L1693" s="3" t="n">
        <v>2754.26</v>
      </c>
      <c r="M1693" s="4" t="n">
        <v>0.2</v>
      </c>
      <c r="N1693" s="3" t="n">
        <v>1512.62</v>
      </c>
      <c r="O1693" s="3">
        <f>K1693*L1693*(1-M1693)</f>
        <v/>
      </c>
      <c r="P1693" s="3">
        <f>O1693-N1693</f>
        <v/>
      </c>
      <c r="Q1693" s="5">
        <f>IFERROR(P1693/O1693,0)</f>
        <v/>
      </c>
      <c r="R1693" s="2">
        <f>TEXT(DATEVALUE(B1693),"mmm")</f>
        <v/>
      </c>
      <c r="S1693" s="2">
        <f>TEXT(DATEVALUE(B1693),"yyyy-mm")</f>
        <v/>
      </c>
    </row>
    <row r="1694">
      <c r="A1694" s="2" t="inlineStr">
        <is>
          <t>O001603</t>
        </is>
      </c>
      <c r="B1694" s="2" t="inlineStr">
        <is>
          <t>2025-05-04</t>
        </is>
      </c>
      <c r="C1694" s="2" t="inlineStr">
        <is>
          <t>C0667</t>
        </is>
      </c>
      <c r="D1694" s="2" t="inlineStr">
        <is>
          <t>P0014</t>
        </is>
      </c>
      <c r="E1694" s="2" t="inlineStr">
        <is>
          <t>Coffee Maker</t>
        </is>
      </c>
      <c r="F1694" s="2" t="inlineStr">
        <is>
          <t>Home &amp; Kitchen</t>
        </is>
      </c>
      <c r="G1694" s="2" t="inlineStr">
        <is>
          <t>East</t>
        </is>
      </c>
      <c r="H1694" s="2" t="inlineStr">
        <is>
          <t>West Bengal</t>
        </is>
      </c>
      <c r="I1694" s="2" t="inlineStr">
        <is>
          <t>Durgapur</t>
        </is>
      </c>
      <c r="J1694" s="2" t="inlineStr">
        <is>
          <t>Online</t>
        </is>
      </c>
      <c r="K1694" s="2" t="n">
        <v>2</v>
      </c>
      <c r="L1694" s="3" t="n">
        <v>999.62</v>
      </c>
      <c r="M1694" s="4" t="n">
        <v>0.05</v>
      </c>
      <c r="N1694" s="3" t="n">
        <v>1477.46</v>
      </c>
      <c r="O1694" s="3">
        <f>K1694*L1694*(1-M1694)</f>
        <v/>
      </c>
      <c r="P1694" s="3">
        <f>O1694-N1694</f>
        <v/>
      </c>
      <c r="Q1694" s="5">
        <f>IFERROR(P1694/O1694,0)</f>
        <v/>
      </c>
      <c r="R1694" s="2">
        <f>TEXT(DATEVALUE(B1694),"mmm")</f>
        <v/>
      </c>
      <c r="S1694" s="2">
        <f>TEXT(DATEVALUE(B1694),"yyyy-mm")</f>
        <v/>
      </c>
    </row>
    <row r="1695">
      <c r="A1695" s="2" t="inlineStr">
        <is>
          <t>O000428</t>
        </is>
      </c>
      <c r="B1695" s="2" t="inlineStr">
        <is>
          <t>2025-05-04</t>
        </is>
      </c>
      <c r="C1695" s="2" t="inlineStr">
        <is>
          <t>C0364</t>
        </is>
      </c>
      <c r="D1695" s="2" t="inlineStr">
        <is>
          <t>P0019</t>
        </is>
      </c>
      <c r="E1695" s="2" t="inlineStr">
        <is>
          <t>Jacket</t>
        </is>
      </c>
      <c r="F1695" s="2" t="inlineStr">
        <is>
          <t>Fashion</t>
        </is>
      </c>
      <c r="G1695" s="2" t="inlineStr">
        <is>
          <t>North</t>
        </is>
      </c>
      <c r="H1695" s="2" t="inlineStr">
        <is>
          <t>Haryana</t>
        </is>
      </c>
      <c r="I1695" s="2" t="inlineStr">
        <is>
          <t>Gurugram</t>
        </is>
      </c>
      <c r="J1695" s="2" t="inlineStr">
        <is>
          <t>Online</t>
        </is>
      </c>
      <c r="K1695" s="2" t="n">
        <v>3</v>
      </c>
      <c r="L1695" s="3" t="n">
        <v>1057.12</v>
      </c>
      <c r="M1695" s="4" t="n">
        <v>0.1</v>
      </c>
      <c r="N1695" s="3" t="n">
        <v>1983.91</v>
      </c>
      <c r="O1695" s="3">
        <f>K1695*L1695*(1-M1695)</f>
        <v/>
      </c>
      <c r="P1695" s="3">
        <f>O1695-N1695</f>
        <v/>
      </c>
      <c r="Q1695" s="5">
        <f>IFERROR(P1695/O1695,0)</f>
        <v/>
      </c>
      <c r="R1695" s="2">
        <f>TEXT(DATEVALUE(B1695),"mmm")</f>
        <v/>
      </c>
      <c r="S1695" s="2">
        <f>TEXT(DATEVALUE(B1695),"yyyy-mm")</f>
        <v/>
      </c>
    </row>
    <row r="1696">
      <c r="A1696" s="2" t="inlineStr">
        <is>
          <t>O000236</t>
        </is>
      </c>
      <c r="B1696" s="2" t="inlineStr">
        <is>
          <t>2025-05-04</t>
        </is>
      </c>
      <c r="C1696" s="2" t="inlineStr">
        <is>
          <t>C0106</t>
        </is>
      </c>
      <c r="D1696" s="2" t="inlineStr">
        <is>
          <t>P0022</t>
        </is>
      </c>
      <c r="E1696" s="2" t="inlineStr">
        <is>
          <t>Face Wash</t>
        </is>
      </c>
      <c r="F1696" s="2" t="inlineStr">
        <is>
          <t>Beauty</t>
        </is>
      </c>
      <c r="G1696" s="2" t="inlineStr">
        <is>
          <t>North</t>
        </is>
      </c>
      <c r="H1696" s="2" t="inlineStr">
        <is>
          <t>Uttar Pradesh</t>
        </is>
      </c>
      <c r="I1696" s="2" t="inlineStr">
        <is>
          <t>Noida</t>
        </is>
      </c>
      <c r="J1696" s="2" t="inlineStr">
        <is>
          <t>Online</t>
        </is>
      </c>
      <c r="K1696" s="2" t="n">
        <v>4</v>
      </c>
      <c r="L1696" s="3" t="n">
        <v>542.55</v>
      </c>
      <c r="M1696" s="4" t="n">
        <v>0.1</v>
      </c>
      <c r="N1696" s="3" t="n">
        <v>1361.49</v>
      </c>
      <c r="O1696" s="3">
        <f>K1696*L1696*(1-M1696)</f>
        <v/>
      </c>
      <c r="P1696" s="3">
        <f>O1696-N1696</f>
        <v/>
      </c>
      <c r="Q1696" s="5">
        <f>IFERROR(P1696/O1696,0)</f>
        <v/>
      </c>
      <c r="R1696" s="2">
        <f>TEXT(DATEVALUE(B1696),"mmm")</f>
        <v/>
      </c>
      <c r="S1696" s="2">
        <f>TEXT(DATEVALUE(B1696),"yyyy-mm")</f>
        <v/>
      </c>
    </row>
    <row r="1697">
      <c r="A1697" s="2" t="inlineStr">
        <is>
          <t>O002783</t>
        </is>
      </c>
      <c r="B1697" s="2" t="inlineStr">
        <is>
          <t>2025-05-04</t>
        </is>
      </c>
      <c r="C1697" s="2" t="inlineStr">
        <is>
          <t>C0508</t>
        </is>
      </c>
      <c r="D1697" s="2" t="inlineStr">
        <is>
          <t>P0009</t>
        </is>
      </c>
      <c r="E1697" s="2" t="inlineStr">
        <is>
          <t>Electric Kettle</t>
        </is>
      </c>
      <c r="F1697" s="2" t="inlineStr">
        <is>
          <t>Home &amp; Kitchen</t>
        </is>
      </c>
      <c r="G1697" s="2" t="inlineStr">
        <is>
          <t>West</t>
        </is>
      </c>
      <c r="H1697" s="2" t="inlineStr">
        <is>
          <t>Maharashtra</t>
        </is>
      </c>
      <c r="I1697" s="2" t="inlineStr">
        <is>
          <t>Nashik</t>
        </is>
      </c>
      <c r="J1697" s="2" t="inlineStr">
        <is>
          <t>Online</t>
        </is>
      </c>
      <c r="K1697" s="2" t="n">
        <v>3</v>
      </c>
      <c r="L1697" s="3" t="n">
        <v>2169.29</v>
      </c>
      <c r="M1697" s="4" t="n">
        <v>0.05</v>
      </c>
      <c r="N1697" s="3" t="n">
        <v>3297.33</v>
      </c>
      <c r="O1697" s="3">
        <f>K1697*L1697*(1-M1697)</f>
        <v/>
      </c>
      <c r="P1697" s="3">
        <f>O1697-N1697</f>
        <v/>
      </c>
      <c r="Q1697" s="5">
        <f>IFERROR(P1697/O1697,0)</f>
        <v/>
      </c>
      <c r="R1697" s="2">
        <f>TEXT(DATEVALUE(B1697),"mmm")</f>
        <v/>
      </c>
      <c r="S1697" s="2">
        <f>TEXT(DATEVALUE(B1697),"yyyy-mm")</f>
        <v/>
      </c>
    </row>
    <row r="1698">
      <c r="A1698" s="2" t="inlineStr">
        <is>
          <t>O004850</t>
        </is>
      </c>
      <c r="B1698" s="2" t="inlineStr">
        <is>
          <t>2025-05-05</t>
        </is>
      </c>
      <c r="C1698" s="2" t="inlineStr">
        <is>
          <t>C0457</t>
        </is>
      </c>
      <c r="D1698" s="2" t="inlineStr">
        <is>
          <t>P0034</t>
        </is>
      </c>
      <c r="E1698" s="2" t="inlineStr">
        <is>
          <t>Gym Gloves</t>
        </is>
      </c>
      <c r="F1698" s="2" t="inlineStr">
        <is>
          <t>Sports</t>
        </is>
      </c>
      <c r="G1698" s="2" t="inlineStr">
        <is>
          <t>North</t>
        </is>
      </c>
      <c r="H1698" s="2" t="inlineStr">
        <is>
          <t>Haryana</t>
        </is>
      </c>
      <c r="I1698" s="2" t="inlineStr">
        <is>
          <t>Gurugram</t>
        </is>
      </c>
      <c r="J1698" s="2" t="inlineStr">
        <is>
          <t>Online</t>
        </is>
      </c>
      <c r="K1698" s="2" t="n">
        <v>5</v>
      </c>
      <c r="L1698" s="3" t="n">
        <v>597.4</v>
      </c>
      <c r="M1698" s="4" t="n">
        <v>0.15</v>
      </c>
      <c r="N1698" s="3" t="n">
        <v>2033.56</v>
      </c>
      <c r="O1698" s="3">
        <f>K1698*L1698*(1-M1698)</f>
        <v/>
      </c>
      <c r="P1698" s="3">
        <f>O1698-N1698</f>
        <v/>
      </c>
      <c r="Q1698" s="5">
        <f>IFERROR(P1698/O1698,0)</f>
        <v/>
      </c>
      <c r="R1698" s="2">
        <f>TEXT(DATEVALUE(B1698),"mmm")</f>
        <v/>
      </c>
      <c r="S1698" s="2">
        <f>TEXT(DATEVALUE(B1698),"yyyy-mm")</f>
        <v/>
      </c>
    </row>
    <row r="1699">
      <c r="A1699" s="2" t="inlineStr">
        <is>
          <t>O003970</t>
        </is>
      </c>
      <c r="B1699" s="2" t="inlineStr">
        <is>
          <t>2025-05-05</t>
        </is>
      </c>
      <c r="C1699" s="2" t="inlineStr">
        <is>
          <t>C0568</t>
        </is>
      </c>
      <c r="D1699" s="2" t="inlineStr">
        <is>
          <t>P0014</t>
        </is>
      </c>
      <c r="E1699" s="2" t="inlineStr">
        <is>
          <t>Coffee Maker</t>
        </is>
      </c>
      <c r="F1699" s="2" t="inlineStr">
        <is>
          <t>Home &amp; Kitchen</t>
        </is>
      </c>
      <c r="G1699" s="2" t="inlineStr">
        <is>
          <t>South</t>
        </is>
      </c>
      <c r="H1699" s="2" t="inlineStr">
        <is>
          <t>Tamil Nadu</t>
        </is>
      </c>
      <c r="I1699" s="2" t="inlineStr">
        <is>
          <t>Madurai</t>
        </is>
      </c>
      <c r="J1699" s="2" t="inlineStr">
        <is>
          <t>Online</t>
        </is>
      </c>
      <c r="K1699" s="2" t="n">
        <v>1</v>
      </c>
      <c r="L1699" s="3" t="n">
        <v>1051.73</v>
      </c>
      <c r="M1699" s="4" t="n">
        <v>0</v>
      </c>
      <c r="N1699" s="3" t="n">
        <v>761.84</v>
      </c>
      <c r="O1699" s="3">
        <f>K1699*L1699*(1-M1699)</f>
        <v/>
      </c>
      <c r="P1699" s="3">
        <f>O1699-N1699</f>
        <v/>
      </c>
      <c r="Q1699" s="5">
        <f>IFERROR(P1699/O1699,0)</f>
        <v/>
      </c>
      <c r="R1699" s="2">
        <f>TEXT(DATEVALUE(B1699),"mmm")</f>
        <v/>
      </c>
      <c r="S1699" s="2">
        <f>TEXT(DATEVALUE(B1699),"yyyy-mm")</f>
        <v/>
      </c>
    </row>
    <row r="1700">
      <c r="A1700" s="2" t="inlineStr">
        <is>
          <t>O003460</t>
        </is>
      </c>
      <c r="B1700" s="2" t="inlineStr">
        <is>
          <t>2025-05-05</t>
        </is>
      </c>
      <c r="C1700" s="2" t="inlineStr">
        <is>
          <t>C0728</t>
        </is>
      </c>
      <c r="D1700" s="2" t="inlineStr">
        <is>
          <t>P0004</t>
        </is>
      </c>
      <c r="E1700" s="2" t="inlineStr">
        <is>
          <t>USB-C Hub</t>
        </is>
      </c>
      <c r="F1700" s="2" t="inlineStr">
        <is>
          <t>Electronics</t>
        </is>
      </c>
      <c r="G1700" s="2" t="inlineStr">
        <is>
          <t>South</t>
        </is>
      </c>
      <c r="H1700" s="2" t="inlineStr">
        <is>
          <t>Telangana</t>
        </is>
      </c>
      <c r="I1700" s="2" t="inlineStr">
        <is>
          <t>Hyderabad</t>
        </is>
      </c>
      <c r="J1700" s="2" t="inlineStr">
        <is>
          <t>Store</t>
        </is>
      </c>
      <c r="K1700" s="2" t="n">
        <v>4</v>
      </c>
      <c r="L1700" s="3" t="n">
        <v>1291.99</v>
      </c>
      <c r="M1700" s="4" t="n">
        <v>0</v>
      </c>
      <c r="N1700" s="3" t="n">
        <v>3792.31</v>
      </c>
      <c r="O1700" s="3">
        <f>K1700*L1700*(1-M1700)</f>
        <v/>
      </c>
      <c r="P1700" s="3">
        <f>O1700-N1700</f>
        <v/>
      </c>
      <c r="Q1700" s="5">
        <f>IFERROR(P1700/O1700,0)</f>
        <v/>
      </c>
      <c r="R1700" s="2">
        <f>TEXT(DATEVALUE(B1700),"mmm")</f>
        <v/>
      </c>
      <c r="S1700" s="2">
        <f>TEXT(DATEVALUE(B1700),"yyyy-mm")</f>
        <v/>
      </c>
    </row>
    <row r="1701">
      <c r="A1701" s="2" t="inlineStr">
        <is>
          <t>O003420</t>
        </is>
      </c>
      <c r="B1701" s="2" t="inlineStr">
        <is>
          <t>2025-05-05</t>
        </is>
      </c>
      <c r="C1701" s="2" t="inlineStr">
        <is>
          <t>C0011</t>
        </is>
      </c>
      <c r="D1701" s="2" t="inlineStr">
        <is>
          <t>P0019</t>
        </is>
      </c>
      <c r="E1701" s="2" t="inlineStr">
        <is>
          <t>Jacket</t>
        </is>
      </c>
      <c r="F1701" s="2" t="inlineStr">
        <is>
          <t>Fashion</t>
        </is>
      </c>
      <c r="G1701" s="2" t="inlineStr">
        <is>
          <t>North</t>
        </is>
      </c>
      <c r="H1701" s="2" t="inlineStr">
        <is>
          <t>Punjab</t>
        </is>
      </c>
      <c r="I1701" s="2" t="inlineStr">
        <is>
          <t>Amritsar</t>
        </is>
      </c>
      <c r="J1701" s="2" t="inlineStr">
        <is>
          <t>Online</t>
        </is>
      </c>
      <c r="K1701" s="2" t="n">
        <v>2</v>
      </c>
      <c r="L1701" s="3" t="n">
        <v>1058.09</v>
      </c>
      <c r="M1701" s="4" t="n">
        <v>0.05</v>
      </c>
      <c r="N1701" s="3" t="n">
        <v>1385.9</v>
      </c>
      <c r="O1701" s="3">
        <f>K1701*L1701*(1-M1701)</f>
        <v/>
      </c>
      <c r="P1701" s="3">
        <f>O1701-N1701</f>
        <v/>
      </c>
      <c r="Q1701" s="5">
        <f>IFERROR(P1701/O1701,0)</f>
        <v/>
      </c>
      <c r="R1701" s="2">
        <f>TEXT(DATEVALUE(B1701),"mmm")</f>
        <v/>
      </c>
      <c r="S1701" s="2">
        <f>TEXT(DATEVALUE(B1701),"yyyy-mm")</f>
        <v/>
      </c>
    </row>
    <row r="1702">
      <c r="A1702" s="2" t="inlineStr">
        <is>
          <t>O003416</t>
        </is>
      </c>
      <c r="B1702" s="2" t="inlineStr">
        <is>
          <t>2025-05-05</t>
        </is>
      </c>
      <c r="C1702" s="2" t="inlineStr">
        <is>
          <t>C0448</t>
        </is>
      </c>
      <c r="D1702" s="2" t="inlineStr">
        <is>
          <t>P0016</t>
        </is>
      </c>
      <c r="E1702" s="2" t="inlineStr">
        <is>
          <t>Casual Shirt</t>
        </is>
      </c>
      <c r="F1702" s="2" t="inlineStr">
        <is>
          <t>Fashion</t>
        </is>
      </c>
      <c r="G1702" s="2" t="inlineStr">
        <is>
          <t>South</t>
        </is>
      </c>
      <c r="H1702" s="2" t="inlineStr">
        <is>
          <t>Tamil Nadu</t>
        </is>
      </c>
      <c r="I1702" s="2" t="inlineStr">
        <is>
          <t>Madurai</t>
        </is>
      </c>
      <c r="J1702" s="2" t="inlineStr">
        <is>
          <t>Store</t>
        </is>
      </c>
      <c r="K1702" s="2" t="n">
        <v>1</v>
      </c>
      <c r="L1702" s="3" t="n">
        <v>1245.58</v>
      </c>
      <c r="M1702" s="4" t="n">
        <v>0.1</v>
      </c>
      <c r="N1702" s="3" t="n">
        <v>877.34</v>
      </c>
      <c r="O1702" s="3">
        <f>K1702*L1702*(1-M1702)</f>
        <v/>
      </c>
      <c r="P1702" s="3">
        <f>O1702-N1702</f>
        <v/>
      </c>
      <c r="Q1702" s="5">
        <f>IFERROR(P1702/O1702,0)</f>
        <v/>
      </c>
      <c r="R1702" s="2">
        <f>TEXT(DATEVALUE(B1702),"mmm")</f>
        <v/>
      </c>
      <c r="S1702" s="2">
        <f>TEXT(DATEVALUE(B1702),"yyyy-mm")</f>
        <v/>
      </c>
    </row>
    <row r="1703">
      <c r="A1703" s="2" t="inlineStr">
        <is>
          <t>O003155</t>
        </is>
      </c>
      <c r="B1703" s="2" t="inlineStr">
        <is>
          <t>2025-05-05</t>
        </is>
      </c>
      <c r="C1703" s="2" t="inlineStr">
        <is>
          <t>C0374</t>
        </is>
      </c>
      <c r="D1703" s="2" t="inlineStr">
        <is>
          <t>P0003</t>
        </is>
      </c>
      <c r="E1703" s="2" t="inlineStr">
        <is>
          <t>Smartwatch</t>
        </is>
      </c>
      <c r="F1703" s="2" t="inlineStr">
        <is>
          <t>Electronics</t>
        </is>
      </c>
      <c r="G1703" s="2" t="inlineStr">
        <is>
          <t>West</t>
        </is>
      </c>
      <c r="H1703" s="2" t="inlineStr">
        <is>
          <t>Gujarat</t>
        </is>
      </c>
      <c r="I1703" s="2" t="inlineStr">
        <is>
          <t>Vadodara</t>
        </is>
      </c>
      <c r="J1703" s="2" t="inlineStr">
        <is>
          <t>Online</t>
        </is>
      </c>
      <c r="K1703" s="2" t="n">
        <v>1</v>
      </c>
      <c r="L1703" s="3" t="n">
        <v>2376.28</v>
      </c>
      <c r="M1703" s="4" t="n">
        <v>0.15</v>
      </c>
      <c r="N1703" s="3" t="n">
        <v>1204.34</v>
      </c>
      <c r="O1703" s="3">
        <f>K1703*L1703*(1-M1703)</f>
        <v/>
      </c>
      <c r="P1703" s="3">
        <f>O1703-N1703</f>
        <v/>
      </c>
      <c r="Q1703" s="5">
        <f>IFERROR(P1703/O1703,0)</f>
        <v/>
      </c>
      <c r="R1703" s="2">
        <f>TEXT(DATEVALUE(B1703),"mmm")</f>
        <v/>
      </c>
      <c r="S1703" s="2">
        <f>TEXT(DATEVALUE(B1703),"yyyy-mm")</f>
        <v/>
      </c>
    </row>
    <row r="1704">
      <c r="A1704" s="2" t="inlineStr">
        <is>
          <t>O002208</t>
        </is>
      </c>
      <c r="B1704" s="2" t="inlineStr">
        <is>
          <t>2025-05-05</t>
        </is>
      </c>
      <c r="C1704" s="2" t="inlineStr">
        <is>
          <t>C0467</t>
        </is>
      </c>
      <c r="D1704" s="2" t="inlineStr">
        <is>
          <t>P0028</t>
        </is>
      </c>
      <c r="E1704" s="2" t="inlineStr">
        <is>
          <t>Trimmer</t>
        </is>
      </c>
      <c r="F1704" s="2" t="inlineStr">
        <is>
          <t>Beauty</t>
        </is>
      </c>
      <c r="G1704" s="2" t="inlineStr">
        <is>
          <t>South</t>
        </is>
      </c>
      <c r="H1704" s="2" t="inlineStr">
        <is>
          <t>Tamil Nadu</t>
        </is>
      </c>
      <c r="I1704" s="2" t="inlineStr">
        <is>
          <t>Coimbatore</t>
        </is>
      </c>
      <c r="J1704" s="2" t="inlineStr">
        <is>
          <t>Online</t>
        </is>
      </c>
      <c r="K1704" s="2" t="n">
        <v>3</v>
      </c>
      <c r="L1704" s="3" t="n">
        <v>442.42</v>
      </c>
      <c r="M1704" s="4" t="n">
        <v>0.1</v>
      </c>
      <c r="N1704" s="3" t="n">
        <v>763.98</v>
      </c>
      <c r="O1704" s="3">
        <f>K1704*L1704*(1-M1704)</f>
        <v/>
      </c>
      <c r="P1704" s="3">
        <f>O1704-N1704</f>
        <v/>
      </c>
      <c r="Q1704" s="5">
        <f>IFERROR(P1704/O1704,0)</f>
        <v/>
      </c>
      <c r="R1704" s="2">
        <f>TEXT(DATEVALUE(B1704),"mmm")</f>
        <v/>
      </c>
      <c r="S1704" s="2">
        <f>TEXT(DATEVALUE(B1704),"yyyy-mm")</f>
        <v/>
      </c>
    </row>
    <row r="1705">
      <c r="A1705" s="2" t="inlineStr">
        <is>
          <t>O002254</t>
        </is>
      </c>
      <c r="B1705" s="2" t="inlineStr">
        <is>
          <t>2025-05-05</t>
        </is>
      </c>
      <c r="C1705" s="2" t="inlineStr">
        <is>
          <t>C0031</t>
        </is>
      </c>
      <c r="D1705" s="2" t="inlineStr">
        <is>
          <t>P0017</t>
        </is>
      </c>
      <c r="E1705" s="2" t="inlineStr">
        <is>
          <t>Jeans</t>
        </is>
      </c>
      <c r="F1705" s="2" t="inlineStr">
        <is>
          <t>Fashion</t>
        </is>
      </c>
      <c r="G1705" s="2" t="inlineStr">
        <is>
          <t>West</t>
        </is>
      </c>
      <c r="H1705" s="2" t="inlineStr">
        <is>
          <t>Gujarat</t>
        </is>
      </c>
      <c r="I1705" s="2" t="inlineStr">
        <is>
          <t>Vadodara</t>
        </is>
      </c>
      <c r="J1705" s="2" t="inlineStr">
        <is>
          <t>Online</t>
        </is>
      </c>
      <c r="K1705" s="2" t="n">
        <v>3</v>
      </c>
      <c r="L1705" s="3" t="n">
        <v>1492.3</v>
      </c>
      <c r="M1705" s="4" t="n">
        <v>0</v>
      </c>
      <c r="N1705" s="3" t="n">
        <v>3059.31</v>
      </c>
      <c r="O1705" s="3">
        <f>K1705*L1705*(1-M1705)</f>
        <v/>
      </c>
      <c r="P1705" s="3">
        <f>O1705-N1705</f>
        <v/>
      </c>
      <c r="Q1705" s="5">
        <f>IFERROR(P1705/O1705,0)</f>
        <v/>
      </c>
      <c r="R1705" s="2">
        <f>TEXT(DATEVALUE(B1705),"mmm")</f>
        <v/>
      </c>
      <c r="S1705" s="2">
        <f>TEXT(DATEVALUE(B1705),"yyyy-mm")</f>
        <v/>
      </c>
    </row>
    <row r="1706">
      <c r="A1706" s="2" t="inlineStr">
        <is>
          <t>O001932</t>
        </is>
      </c>
      <c r="B1706" s="2" t="inlineStr">
        <is>
          <t>2025-05-05</t>
        </is>
      </c>
      <c r="C1706" s="2" t="inlineStr">
        <is>
          <t>C0444</t>
        </is>
      </c>
      <c r="D1706" s="2" t="inlineStr">
        <is>
          <t>P0035</t>
        </is>
      </c>
      <c r="E1706" s="2" t="inlineStr">
        <is>
          <t>Skipping Rope</t>
        </is>
      </c>
      <c r="F1706" s="2" t="inlineStr">
        <is>
          <t>Sports</t>
        </is>
      </c>
      <c r="G1706" s="2" t="inlineStr">
        <is>
          <t>East</t>
        </is>
      </c>
      <c r="H1706" s="2" t="inlineStr">
        <is>
          <t>Bihar</t>
        </is>
      </c>
      <c r="I1706" s="2" t="inlineStr">
        <is>
          <t>Gaya</t>
        </is>
      </c>
      <c r="J1706" s="2" t="inlineStr">
        <is>
          <t>Online</t>
        </is>
      </c>
      <c r="K1706" s="2" t="n">
        <v>4</v>
      </c>
      <c r="L1706" s="3" t="n">
        <v>687.63</v>
      </c>
      <c r="M1706" s="4" t="n">
        <v>0</v>
      </c>
      <c r="N1706" s="3" t="n">
        <v>1604.3</v>
      </c>
      <c r="O1706" s="3">
        <f>K1706*L1706*(1-M1706)</f>
        <v/>
      </c>
      <c r="P1706" s="3">
        <f>O1706-N1706</f>
        <v/>
      </c>
      <c r="Q1706" s="5">
        <f>IFERROR(P1706/O1706,0)</f>
        <v/>
      </c>
      <c r="R1706" s="2">
        <f>TEXT(DATEVALUE(B1706),"mmm")</f>
        <v/>
      </c>
      <c r="S1706" s="2">
        <f>TEXT(DATEVALUE(B1706),"yyyy-mm")</f>
        <v/>
      </c>
    </row>
    <row r="1707">
      <c r="A1707" s="2" t="inlineStr">
        <is>
          <t>O001061</t>
        </is>
      </c>
      <c r="B1707" s="2" t="inlineStr">
        <is>
          <t>2025-05-05</t>
        </is>
      </c>
      <c r="C1707" s="2" t="inlineStr">
        <is>
          <t>C0352</t>
        </is>
      </c>
      <c r="D1707" s="2" t="inlineStr">
        <is>
          <t>P0024</t>
        </is>
      </c>
      <c r="E1707" s="2" t="inlineStr">
        <is>
          <t>Hair Dryer</t>
        </is>
      </c>
      <c r="F1707" s="2" t="inlineStr">
        <is>
          <t>Beauty</t>
        </is>
      </c>
      <c r="G1707" s="2" t="inlineStr">
        <is>
          <t>West</t>
        </is>
      </c>
      <c r="H1707" s="2" t="inlineStr">
        <is>
          <t>Maharashtra</t>
        </is>
      </c>
      <c r="I1707" s="2" t="inlineStr">
        <is>
          <t>Mumbai</t>
        </is>
      </c>
      <c r="J1707" s="2" t="inlineStr">
        <is>
          <t>Online</t>
        </is>
      </c>
      <c r="K1707" s="2" t="n">
        <v>4</v>
      </c>
      <c r="L1707" s="3" t="n">
        <v>1009.29</v>
      </c>
      <c r="M1707" s="4" t="n">
        <v>0</v>
      </c>
      <c r="N1707" s="3" t="n">
        <v>2850.74</v>
      </c>
      <c r="O1707" s="3">
        <f>K1707*L1707*(1-M1707)</f>
        <v/>
      </c>
      <c r="P1707" s="3">
        <f>O1707-N1707</f>
        <v/>
      </c>
      <c r="Q1707" s="5">
        <f>IFERROR(P1707/O1707,0)</f>
        <v/>
      </c>
      <c r="R1707" s="2">
        <f>TEXT(DATEVALUE(B1707),"mmm")</f>
        <v/>
      </c>
      <c r="S1707" s="2">
        <f>TEXT(DATEVALUE(B1707),"yyyy-mm")</f>
        <v/>
      </c>
    </row>
    <row r="1708">
      <c r="A1708" s="2" t="inlineStr">
        <is>
          <t>O000400</t>
        </is>
      </c>
      <c r="B1708" s="2" t="inlineStr">
        <is>
          <t>2025-05-05</t>
        </is>
      </c>
      <c r="C1708" s="2" t="inlineStr">
        <is>
          <t>C0345</t>
        </is>
      </c>
      <c r="D1708" s="2" t="inlineStr">
        <is>
          <t>P0014</t>
        </is>
      </c>
      <c r="E1708" s="2" t="inlineStr">
        <is>
          <t>Coffee Maker</t>
        </is>
      </c>
      <c r="F1708" s="2" t="inlineStr">
        <is>
          <t>Home &amp; Kitchen</t>
        </is>
      </c>
      <c r="G1708" s="2" t="inlineStr">
        <is>
          <t>West</t>
        </is>
      </c>
      <c r="H1708" s="2" t="inlineStr">
        <is>
          <t>Gujarat</t>
        </is>
      </c>
      <c r="I1708" s="2" t="inlineStr">
        <is>
          <t>Ahmedabad</t>
        </is>
      </c>
      <c r="J1708" s="2" t="inlineStr">
        <is>
          <t>Online</t>
        </is>
      </c>
      <c r="K1708" s="2" t="n">
        <v>2</v>
      </c>
      <c r="L1708" s="3" t="n">
        <v>1024.16</v>
      </c>
      <c r="M1708" s="4" t="n">
        <v>0.1</v>
      </c>
      <c r="N1708" s="3" t="n">
        <v>1577.1</v>
      </c>
      <c r="O1708" s="3">
        <f>K1708*L1708*(1-M1708)</f>
        <v/>
      </c>
      <c r="P1708" s="3">
        <f>O1708-N1708</f>
        <v/>
      </c>
      <c r="Q1708" s="5">
        <f>IFERROR(P1708/O1708,0)</f>
        <v/>
      </c>
      <c r="R1708" s="2">
        <f>TEXT(DATEVALUE(B1708),"mmm")</f>
        <v/>
      </c>
      <c r="S1708" s="2">
        <f>TEXT(DATEVALUE(B1708),"yyyy-mm")</f>
        <v/>
      </c>
    </row>
    <row r="1709">
      <c r="A1709" s="2" t="inlineStr">
        <is>
          <t>O002919</t>
        </is>
      </c>
      <c r="B1709" s="2" t="inlineStr">
        <is>
          <t>2025-05-05</t>
        </is>
      </c>
      <c r="C1709" s="2" t="inlineStr">
        <is>
          <t>C0687</t>
        </is>
      </c>
      <c r="D1709" s="2" t="inlineStr">
        <is>
          <t>P0006</t>
        </is>
      </c>
      <c r="E1709" s="2" t="inlineStr">
        <is>
          <t>Mechanical Keyboard</t>
        </is>
      </c>
      <c r="F1709" s="2" t="inlineStr">
        <is>
          <t>Electronics</t>
        </is>
      </c>
      <c r="G1709" s="2" t="inlineStr">
        <is>
          <t>South</t>
        </is>
      </c>
      <c r="H1709" s="2" t="inlineStr">
        <is>
          <t>Karnataka</t>
        </is>
      </c>
      <c r="I1709" s="2" t="inlineStr">
        <is>
          <t>Bengaluru</t>
        </is>
      </c>
      <c r="J1709" s="2" t="inlineStr">
        <is>
          <t>Online</t>
        </is>
      </c>
      <c r="K1709" s="2" t="n">
        <v>3</v>
      </c>
      <c r="L1709" s="3" t="n">
        <v>2717.02</v>
      </c>
      <c r="M1709" s="4" t="n">
        <v>0.25</v>
      </c>
      <c r="N1709" s="3" t="n">
        <v>4447.82</v>
      </c>
      <c r="O1709" s="3">
        <f>K1709*L1709*(1-M1709)</f>
        <v/>
      </c>
      <c r="P1709" s="3">
        <f>O1709-N1709</f>
        <v/>
      </c>
      <c r="Q1709" s="5">
        <f>IFERROR(P1709/O1709,0)</f>
        <v/>
      </c>
      <c r="R1709" s="2">
        <f>TEXT(DATEVALUE(B1709),"mmm")</f>
        <v/>
      </c>
      <c r="S1709" s="2">
        <f>TEXT(DATEVALUE(B1709),"yyyy-mm")</f>
        <v/>
      </c>
    </row>
    <row r="1710">
      <c r="A1710" s="2" t="inlineStr">
        <is>
          <t>O003556</t>
        </is>
      </c>
      <c r="B1710" s="2" t="inlineStr">
        <is>
          <t>2025-05-06</t>
        </is>
      </c>
      <c r="C1710" s="2" t="inlineStr">
        <is>
          <t>C0581</t>
        </is>
      </c>
      <c r="D1710" s="2" t="inlineStr">
        <is>
          <t>P0006</t>
        </is>
      </c>
      <c r="E1710" s="2" t="inlineStr">
        <is>
          <t>Mechanical Keyboard</t>
        </is>
      </c>
      <c r="F1710" s="2" t="inlineStr">
        <is>
          <t>Electronics</t>
        </is>
      </c>
      <c r="G1710" s="2" t="inlineStr">
        <is>
          <t>South</t>
        </is>
      </c>
      <c r="H1710" s="2" t="inlineStr">
        <is>
          <t>Kerala</t>
        </is>
      </c>
      <c r="I1710" s="2" t="inlineStr">
        <is>
          <t>Kochi</t>
        </is>
      </c>
      <c r="J1710" s="2" t="inlineStr">
        <is>
          <t>Online</t>
        </is>
      </c>
      <c r="K1710" s="2" t="n">
        <v>1</v>
      </c>
      <c r="L1710" s="3" t="n">
        <v>2603.49</v>
      </c>
      <c r="M1710" s="4" t="n">
        <v>0</v>
      </c>
      <c r="N1710" s="3" t="n">
        <v>1493.02</v>
      </c>
      <c r="O1710" s="3">
        <f>K1710*L1710*(1-M1710)</f>
        <v/>
      </c>
      <c r="P1710" s="3">
        <f>O1710-N1710</f>
        <v/>
      </c>
      <c r="Q1710" s="5">
        <f>IFERROR(P1710/O1710,0)</f>
        <v/>
      </c>
      <c r="R1710" s="2">
        <f>TEXT(DATEVALUE(B1710),"mmm")</f>
        <v/>
      </c>
      <c r="S1710" s="2">
        <f>TEXT(DATEVALUE(B1710),"yyyy-mm")</f>
        <v/>
      </c>
    </row>
    <row r="1711">
      <c r="A1711" s="2" t="inlineStr">
        <is>
          <t>O003434</t>
        </is>
      </c>
      <c r="B1711" s="2" t="inlineStr">
        <is>
          <t>2025-05-06</t>
        </is>
      </c>
      <c r="C1711" s="2" t="inlineStr">
        <is>
          <t>C0440</t>
        </is>
      </c>
      <c r="D1711" s="2" t="inlineStr">
        <is>
          <t>P0023</t>
        </is>
      </c>
      <c r="E1711" s="2" t="inlineStr">
        <is>
          <t>Skin Care Kit</t>
        </is>
      </c>
      <c r="F1711" s="2" t="inlineStr">
        <is>
          <t>Beauty</t>
        </is>
      </c>
      <c r="G1711" s="2" t="inlineStr">
        <is>
          <t>South</t>
        </is>
      </c>
      <c r="H1711" s="2" t="inlineStr">
        <is>
          <t>Telangana</t>
        </is>
      </c>
      <c r="I1711" s="2" t="inlineStr">
        <is>
          <t>Hyderabad</t>
        </is>
      </c>
      <c r="J1711" s="2" t="inlineStr">
        <is>
          <t>Store</t>
        </is>
      </c>
      <c r="K1711" s="2" t="n">
        <v>4</v>
      </c>
      <c r="L1711" s="3" t="n">
        <v>1386.81</v>
      </c>
      <c r="M1711" s="4" t="n">
        <v>0.2</v>
      </c>
      <c r="N1711" s="3" t="n">
        <v>3604.89</v>
      </c>
      <c r="O1711" s="3">
        <f>K1711*L1711*(1-M1711)</f>
        <v/>
      </c>
      <c r="P1711" s="3">
        <f>O1711-N1711</f>
        <v/>
      </c>
      <c r="Q1711" s="5">
        <f>IFERROR(P1711/O1711,0)</f>
        <v/>
      </c>
      <c r="R1711" s="2">
        <f>TEXT(DATEVALUE(B1711),"mmm")</f>
        <v/>
      </c>
      <c r="S1711" s="2">
        <f>TEXT(DATEVALUE(B1711),"yyyy-mm")</f>
        <v/>
      </c>
    </row>
    <row r="1712">
      <c r="A1712" s="2" t="inlineStr">
        <is>
          <t>O003840</t>
        </is>
      </c>
      <c r="B1712" s="2" t="inlineStr">
        <is>
          <t>2025-05-06</t>
        </is>
      </c>
      <c r="C1712" s="2" t="inlineStr">
        <is>
          <t>C0299</t>
        </is>
      </c>
      <c r="D1712" s="2" t="inlineStr">
        <is>
          <t>P0022</t>
        </is>
      </c>
      <c r="E1712" s="2" t="inlineStr">
        <is>
          <t>Face Wash</t>
        </is>
      </c>
      <c r="F1712" s="2" t="inlineStr">
        <is>
          <t>Beauty</t>
        </is>
      </c>
      <c r="G1712" s="2" t="inlineStr">
        <is>
          <t>West</t>
        </is>
      </c>
      <c r="H1712" s="2" t="inlineStr">
        <is>
          <t>Goa</t>
        </is>
      </c>
      <c r="I1712" s="2" t="inlineStr">
        <is>
          <t>Margao</t>
        </is>
      </c>
      <c r="J1712" s="2" t="inlineStr">
        <is>
          <t>Store</t>
        </is>
      </c>
      <c r="K1712" s="2" t="n">
        <v>4</v>
      </c>
      <c r="L1712" s="3" t="n">
        <v>536.58</v>
      </c>
      <c r="M1712" s="4" t="n">
        <v>0.1</v>
      </c>
      <c r="N1712" s="3" t="n">
        <v>1395.18</v>
      </c>
      <c r="O1712" s="3">
        <f>K1712*L1712*(1-M1712)</f>
        <v/>
      </c>
      <c r="P1712" s="3">
        <f>O1712-N1712</f>
        <v/>
      </c>
      <c r="Q1712" s="5">
        <f>IFERROR(P1712/O1712,0)</f>
        <v/>
      </c>
      <c r="R1712" s="2">
        <f>TEXT(DATEVALUE(B1712),"mmm")</f>
        <v/>
      </c>
      <c r="S1712" s="2">
        <f>TEXT(DATEVALUE(B1712),"yyyy-mm")</f>
        <v/>
      </c>
    </row>
    <row r="1713">
      <c r="A1713" s="2" t="inlineStr">
        <is>
          <t>O002040</t>
        </is>
      </c>
      <c r="B1713" s="2" t="inlineStr">
        <is>
          <t>2025-05-06</t>
        </is>
      </c>
      <c r="C1713" s="2" t="inlineStr">
        <is>
          <t>C0385</t>
        </is>
      </c>
      <c r="D1713" s="2" t="inlineStr">
        <is>
          <t>P0024</t>
        </is>
      </c>
      <c r="E1713" s="2" t="inlineStr">
        <is>
          <t>Hair Dryer</t>
        </is>
      </c>
      <c r="F1713" s="2" t="inlineStr">
        <is>
          <t>Beauty</t>
        </is>
      </c>
      <c r="G1713" s="2" t="inlineStr">
        <is>
          <t>West</t>
        </is>
      </c>
      <c r="H1713" s="2" t="inlineStr">
        <is>
          <t>Gujarat</t>
        </is>
      </c>
      <c r="I1713" s="2" t="inlineStr">
        <is>
          <t>Ahmedabad</t>
        </is>
      </c>
      <c r="J1713" s="2" t="inlineStr">
        <is>
          <t>Online</t>
        </is>
      </c>
      <c r="K1713" s="2" t="n">
        <v>2</v>
      </c>
      <c r="L1713" s="3" t="n">
        <v>991.5599999999999</v>
      </c>
      <c r="M1713" s="4" t="n">
        <v>0.1</v>
      </c>
      <c r="N1713" s="3" t="n">
        <v>1458.83</v>
      </c>
      <c r="O1713" s="3">
        <f>K1713*L1713*(1-M1713)</f>
        <v/>
      </c>
      <c r="P1713" s="3">
        <f>O1713-N1713</f>
        <v/>
      </c>
      <c r="Q1713" s="5">
        <f>IFERROR(P1713/O1713,0)</f>
        <v/>
      </c>
      <c r="R1713" s="2">
        <f>TEXT(DATEVALUE(B1713),"mmm")</f>
        <v/>
      </c>
      <c r="S1713" s="2">
        <f>TEXT(DATEVALUE(B1713),"yyyy-mm")</f>
        <v/>
      </c>
    </row>
    <row r="1714">
      <c r="A1714" s="2" t="inlineStr">
        <is>
          <t>O004265</t>
        </is>
      </c>
      <c r="B1714" s="2" t="inlineStr">
        <is>
          <t>2025-05-06</t>
        </is>
      </c>
      <c r="C1714" s="2" t="inlineStr">
        <is>
          <t>C0379</t>
        </is>
      </c>
      <c r="D1714" s="2" t="inlineStr">
        <is>
          <t>P0029</t>
        </is>
      </c>
      <c r="E1714" s="2" t="inlineStr">
        <is>
          <t>Yoga Mat</t>
        </is>
      </c>
      <c r="F1714" s="2" t="inlineStr">
        <is>
          <t>Sports</t>
        </is>
      </c>
      <c r="G1714" s="2" t="inlineStr">
        <is>
          <t>North</t>
        </is>
      </c>
      <c r="H1714" s="2" t="inlineStr">
        <is>
          <t>Haryana</t>
        </is>
      </c>
      <c r="I1714" s="2" t="inlineStr">
        <is>
          <t>Gurugram</t>
        </is>
      </c>
      <c r="J1714" s="2" t="inlineStr">
        <is>
          <t>Online</t>
        </is>
      </c>
      <c r="K1714" s="2" t="n">
        <v>1</v>
      </c>
      <c r="L1714" s="3" t="n">
        <v>2476.11</v>
      </c>
      <c r="M1714" s="4" t="n">
        <v>0.1</v>
      </c>
      <c r="N1714" s="3" t="n">
        <v>1275.91</v>
      </c>
      <c r="O1714" s="3">
        <f>K1714*L1714*(1-M1714)</f>
        <v/>
      </c>
      <c r="P1714" s="3">
        <f>O1714-N1714</f>
        <v/>
      </c>
      <c r="Q1714" s="5">
        <f>IFERROR(P1714/O1714,0)</f>
        <v/>
      </c>
      <c r="R1714" s="2">
        <f>TEXT(DATEVALUE(B1714),"mmm")</f>
        <v/>
      </c>
      <c r="S1714" s="2">
        <f>TEXT(DATEVALUE(B1714),"yyyy-mm")</f>
        <v/>
      </c>
    </row>
    <row r="1715">
      <c r="A1715" s="2" t="inlineStr">
        <is>
          <t>O004569</t>
        </is>
      </c>
      <c r="B1715" s="2" t="inlineStr">
        <is>
          <t>2025-05-06</t>
        </is>
      </c>
      <c r="C1715" s="2" t="inlineStr">
        <is>
          <t>C0768</t>
        </is>
      </c>
      <c r="D1715" s="2" t="inlineStr">
        <is>
          <t>P0012</t>
        </is>
      </c>
      <c r="E1715" s="2" t="inlineStr">
        <is>
          <t>Water Bottle</t>
        </is>
      </c>
      <c r="F1715" s="2" t="inlineStr">
        <is>
          <t>Home &amp; Kitchen</t>
        </is>
      </c>
      <c r="G1715" s="2" t="inlineStr">
        <is>
          <t>West</t>
        </is>
      </c>
      <c r="H1715" s="2" t="inlineStr">
        <is>
          <t>Gujarat</t>
        </is>
      </c>
      <c r="I1715" s="2" t="inlineStr">
        <is>
          <t>Vadodara</t>
        </is>
      </c>
      <c r="J1715" s="2" t="inlineStr">
        <is>
          <t>Store</t>
        </is>
      </c>
      <c r="K1715" s="2" t="n">
        <v>1</v>
      </c>
      <c r="L1715" s="3" t="n">
        <v>964.9299999999999</v>
      </c>
      <c r="M1715" s="4" t="n">
        <v>0</v>
      </c>
      <c r="N1715" s="3" t="n">
        <v>603</v>
      </c>
      <c r="O1715" s="3">
        <f>K1715*L1715*(1-M1715)</f>
        <v/>
      </c>
      <c r="P1715" s="3">
        <f>O1715-N1715</f>
        <v/>
      </c>
      <c r="Q1715" s="5">
        <f>IFERROR(P1715/O1715,0)</f>
        <v/>
      </c>
      <c r="R1715" s="2">
        <f>TEXT(DATEVALUE(B1715),"mmm")</f>
        <v/>
      </c>
      <c r="S1715" s="2">
        <f>TEXT(DATEVALUE(B1715),"yyyy-mm")</f>
        <v/>
      </c>
    </row>
    <row r="1716">
      <c r="A1716" s="2" t="inlineStr">
        <is>
          <t>O004991</t>
        </is>
      </c>
      <c r="B1716" s="2" t="inlineStr">
        <is>
          <t>2025-05-06</t>
        </is>
      </c>
      <c r="C1716" s="2" t="inlineStr">
        <is>
          <t>C0701</t>
        </is>
      </c>
      <c r="D1716" s="2" t="inlineStr">
        <is>
          <t>P0025</t>
        </is>
      </c>
      <c r="E1716" s="2" t="inlineStr">
        <is>
          <t>Perfume</t>
        </is>
      </c>
      <c r="F1716" s="2" t="inlineStr">
        <is>
          <t>Beauty</t>
        </is>
      </c>
      <c r="G1716" s="2" t="inlineStr">
        <is>
          <t>South</t>
        </is>
      </c>
      <c r="H1716" s="2" t="inlineStr">
        <is>
          <t>Telangana</t>
        </is>
      </c>
      <c r="I1716" s="2" t="inlineStr">
        <is>
          <t>Hyderabad</t>
        </is>
      </c>
      <c r="J1716" s="2" t="inlineStr">
        <is>
          <t>Online</t>
        </is>
      </c>
      <c r="K1716" s="2" t="n">
        <v>1</v>
      </c>
      <c r="L1716" s="3" t="n">
        <v>838.1900000000001</v>
      </c>
      <c r="M1716" s="4" t="n">
        <v>0.15</v>
      </c>
      <c r="N1716" s="3" t="n">
        <v>598.8</v>
      </c>
      <c r="O1716" s="3">
        <f>K1716*L1716*(1-M1716)</f>
        <v/>
      </c>
      <c r="P1716" s="3">
        <f>O1716-N1716</f>
        <v/>
      </c>
      <c r="Q1716" s="5">
        <f>IFERROR(P1716/O1716,0)</f>
        <v/>
      </c>
      <c r="R1716" s="2">
        <f>TEXT(DATEVALUE(B1716),"mmm")</f>
        <v/>
      </c>
      <c r="S1716" s="2">
        <f>TEXT(DATEVALUE(B1716),"yyyy-mm")</f>
        <v/>
      </c>
    </row>
    <row r="1717">
      <c r="A1717" s="2" t="inlineStr">
        <is>
          <t>O004194</t>
        </is>
      </c>
      <c r="B1717" s="2" t="inlineStr">
        <is>
          <t>2025-05-06</t>
        </is>
      </c>
      <c r="C1717" s="2" t="inlineStr">
        <is>
          <t>C0081</t>
        </is>
      </c>
      <c r="D1717" s="2" t="inlineStr">
        <is>
          <t>P0028</t>
        </is>
      </c>
      <c r="E1717" s="2" t="inlineStr">
        <is>
          <t>Trimmer</t>
        </is>
      </c>
      <c r="F1717" s="2" t="inlineStr">
        <is>
          <t>Beauty</t>
        </is>
      </c>
      <c r="G1717" s="2" t="inlineStr">
        <is>
          <t>West</t>
        </is>
      </c>
      <c r="H1717" s="2" t="inlineStr">
        <is>
          <t>Goa</t>
        </is>
      </c>
      <c r="I1717" s="2" t="inlineStr">
        <is>
          <t>Panaji</t>
        </is>
      </c>
      <c r="J1717" s="2" t="inlineStr">
        <is>
          <t>Online</t>
        </is>
      </c>
      <c r="K1717" s="2" t="n">
        <v>2</v>
      </c>
      <c r="L1717" s="3" t="n">
        <v>434.08</v>
      </c>
      <c r="M1717" s="4" t="n">
        <v>0</v>
      </c>
      <c r="N1717" s="3" t="n">
        <v>507.08</v>
      </c>
      <c r="O1717" s="3">
        <f>K1717*L1717*(1-M1717)</f>
        <v/>
      </c>
      <c r="P1717" s="3">
        <f>O1717-N1717</f>
        <v/>
      </c>
      <c r="Q1717" s="5">
        <f>IFERROR(P1717/O1717,0)</f>
        <v/>
      </c>
      <c r="R1717" s="2">
        <f>TEXT(DATEVALUE(B1717),"mmm")</f>
        <v/>
      </c>
      <c r="S1717" s="2">
        <f>TEXT(DATEVALUE(B1717),"yyyy-mm")</f>
        <v/>
      </c>
    </row>
    <row r="1718">
      <c r="A1718" s="2" t="inlineStr">
        <is>
          <t>O003390</t>
        </is>
      </c>
      <c r="B1718" s="2" t="inlineStr">
        <is>
          <t>2025-05-06</t>
        </is>
      </c>
      <c r="C1718" s="2" t="inlineStr">
        <is>
          <t>C0733</t>
        </is>
      </c>
      <c r="D1718" s="2" t="inlineStr">
        <is>
          <t>P0027</t>
        </is>
      </c>
      <c r="E1718" s="2" t="inlineStr">
        <is>
          <t>Moisturizer</t>
        </is>
      </c>
      <c r="F1718" s="2" t="inlineStr">
        <is>
          <t>Beauty</t>
        </is>
      </c>
      <c r="G1718" s="2" t="inlineStr">
        <is>
          <t>North</t>
        </is>
      </c>
      <c r="H1718" s="2" t="inlineStr">
        <is>
          <t>Uttar Pradesh</t>
        </is>
      </c>
      <c r="I1718" s="2" t="inlineStr">
        <is>
          <t>Lucknow</t>
        </is>
      </c>
      <c r="J1718" s="2" t="inlineStr">
        <is>
          <t>Online</t>
        </is>
      </c>
      <c r="K1718" s="2" t="n">
        <v>1</v>
      </c>
      <c r="L1718" s="3" t="n">
        <v>970.03</v>
      </c>
      <c r="M1718" s="4" t="n">
        <v>0.1</v>
      </c>
      <c r="N1718" s="3" t="n">
        <v>683.5700000000001</v>
      </c>
      <c r="O1718" s="3">
        <f>K1718*L1718*(1-M1718)</f>
        <v/>
      </c>
      <c r="P1718" s="3">
        <f>O1718-N1718</f>
        <v/>
      </c>
      <c r="Q1718" s="5">
        <f>IFERROR(P1718/O1718,0)</f>
        <v/>
      </c>
      <c r="R1718" s="2">
        <f>TEXT(DATEVALUE(B1718),"mmm")</f>
        <v/>
      </c>
      <c r="S1718" s="2">
        <f>TEXT(DATEVALUE(B1718),"yyyy-mm")</f>
        <v/>
      </c>
    </row>
    <row r="1719">
      <c r="A1719" s="2" t="inlineStr">
        <is>
          <t>O000819</t>
        </is>
      </c>
      <c r="B1719" s="2" t="inlineStr">
        <is>
          <t>2025-05-06</t>
        </is>
      </c>
      <c r="C1719" s="2" t="inlineStr">
        <is>
          <t>C0049</t>
        </is>
      </c>
      <c r="D1719" s="2" t="inlineStr">
        <is>
          <t>P0022</t>
        </is>
      </c>
      <c r="E1719" s="2" t="inlineStr">
        <is>
          <t>Face Wash</t>
        </is>
      </c>
      <c r="F1719" s="2" t="inlineStr">
        <is>
          <t>Beauty</t>
        </is>
      </c>
      <c r="G1719" s="2" t="inlineStr">
        <is>
          <t>South</t>
        </is>
      </c>
      <c r="H1719" s="2" t="inlineStr">
        <is>
          <t>Kerala</t>
        </is>
      </c>
      <c r="I1719" s="2" t="inlineStr">
        <is>
          <t>Thiruvananthapuram</t>
        </is>
      </c>
      <c r="J1719" s="2" t="inlineStr">
        <is>
          <t>Online</t>
        </is>
      </c>
      <c r="K1719" s="2" t="n">
        <v>2</v>
      </c>
      <c r="L1719" s="3" t="n">
        <v>533.5700000000001</v>
      </c>
      <c r="M1719" s="4" t="n">
        <v>0.15</v>
      </c>
      <c r="N1719" s="3" t="n">
        <v>715.92</v>
      </c>
      <c r="O1719" s="3">
        <f>K1719*L1719*(1-M1719)</f>
        <v/>
      </c>
      <c r="P1719" s="3">
        <f>O1719-N1719</f>
        <v/>
      </c>
      <c r="Q1719" s="5">
        <f>IFERROR(P1719/O1719,0)</f>
        <v/>
      </c>
      <c r="R1719" s="2">
        <f>TEXT(DATEVALUE(B1719),"mmm")</f>
        <v/>
      </c>
      <c r="S1719" s="2">
        <f>TEXT(DATEVALUE(B1719),"yyyy-mm")</f>
        <v/>
      </c>
    </row>
    <row r="1720">
      <c r="A1720" s="2" t="inlineStr">
        <is>
          <t>O002627</t>
        </is>
      </c>
      <c r="B1720" s="2" t="inlineStr">
        <is>
          <t>2025-05-06</t>
        </is>
      </c>
      <c r="C1720" s="2" t="inlineStr">
        <is>
          <t>C0160</t>
        </is>
      </c>
      <c r="D1720" s="2" t="inlineStr">
        <is>
          <t>P0004</t>
        </is>
      </c>
      <c r="E1720" s="2" t="inlineStr">
        <is>
          <t>USB-C Hub</t>
        </is>
      </c>
      <c r="F1720" s="2" t="inlineStr">
        <is>
          <t>Electronics</t>
        </is>
      </c>
      <c r="G1720" s="2" t="inlineStr">
        <is>
          <t>North</t>
        </is>
      </c>
      <c r="H1720" s="2" t="inlineStr">
        <is>
          <t>Haryana</t>
        </is>
      </c>
      <c r="I1720" s="2" t="inlineStr">
        <is>
          <t>Faridabad</t>
        </is>
      </c>
      <c r="J1720" s="2" t="inlineStr">
        <is>
          <t>Store</t>
        </is>
      </c>
      <c r="K1720" s="2" t="n">
        <v>4</v>
      </c>
      <c r="L1720" s="3" t="n">
        <v>1254.49</v>
      </c>
      <c r="M1720" s="4" t="n">
        <v>0.2</v>
      </c>
      <c r="N1720" s="3" t="n">
        <v>3766.01</v>
      </c>
      <c r="O1720" s="3">
        <f>K1720*L1720*(1-M1720)</f>
        <v/>
      </c>
      <c r="P1720" s="3">
        <f>O1720-N1720</f>
        <v/>
      </c>
      <c r="Q1720" s="5">
        <f>IFERROR(P1720/O1720,0)</f>
        <v/>
      </c>
      <c r="R1720" s="2">
        <f>TEXT(DATEVALUE(B1720),"mmm")</f>
        <v/>
      </c>
      <c r="S1720" s="2">
        <f>TEXT(DATEVALUE(B1720),"yyyy-mm")</f>
        <v/>
      </c>
    </row>
    <row r="1721">
      <c r="A1721" s="2" t="inlineStr">
        <is>
          <t>O000214</t>
        </is>
      </c>
      <c r="B1721" s="2" t="inlineStr">
        <is>
          <t>2025-05-06</t>
        </is>
      </c>
      <c r="C1721" s="2" t="inlineStr">
        <is>
          <t>C0646</t>
        </is>
      </c>
      <c r="D1721" s="2" t="inlineStr">
        <is>
          <t>P0027</t>
        </is>
      </c>
      <c r="E1721" s="2" t="inlineStr">
        <is>
          <t>Moisturizer</t>
        </is>
      </c>
      <c r="F1721" s="2" t="inlineStr">
        <is>
          <t>Beauty</t>
        </is>
      </c>
      <c r="G1721" s="2" t="inlineStr">
        <is>
          <t>South</t>
        </is>
      </c>
      <c r="H1721" s="2" t="inlineStr">
        <is>
          <t>Tamil Nadu</t>
        </is>
      </c>
      <c r="I1721" s="2" t="inlineStr">
        <is>
          <t>Coimbatore</t>
        </is>
      </c>
      <c r="J1721" s="2" t="inlineStr">
        <is>
          <t>Store</t>
        </is>
      </c>
      <c r="K1721" s="2" t="n">
        <v>1</v>
      </c>
      <c r="L1721" s="3" t="n">
        <v>964.3</v>
      </c>
      <c r="M1721" s="4" t="n">
        <v>0.1</v>
      </c>
      <c r="N1721" s="3" t="n">
        <v>696.1900000000001</v>
      </c>
      <c r="O1721" s="3">
        <f>K1721*L1721*(1-M1721)</f>
        <v/>
      </c>
      <c r="P1721" s="3">
        <f>O1721-N1721</f>
        <v/>
      </c>
      <c r="Q1721" s="5">
        <f>IFERROR(P1721/O1721,0)</f>
        <v/>
      </c>
      <c r="R1721" s="2">
        <f>TEXT(DATEVALUE(B1721),"mmm")</f>
        <v/>
      </c>
      <c r="S1721" s="2">
        <f>TEXT(DATEVALUE(B1721),"yyyy-mm")</f>
        <v/>
      </c>
    </row>
    <row r="1722">
      <c r="A1722" s="2" t="inlineStr">
        <is>
          <t>O000451</t>
        </is>
      </c>
      <c r="B1722" s="2" t="inlineStr">
        <is>
          <t>2025-05-06</t>
        </is>
      </c>
      <c r="C1722" s="2" t="inlineStr">
        <is>
          <t>C0236</t>
        </is>
      </c>
      <c r="D1722" s="2" t="inlineStr">
        <is>
          <t>P0001</t>
        </is>
      </c>
      <c r="E1722" s="2" t="inlineStr">
        <is>
          <t>Wireless Headphones</t>
        </is>
      </c>
      <c r="F1722" s="2" t="inlineStr">
        <is>
          <t>Electronics</t>
        </is>
      </c>
      <c r="G1722" s="2" t="inlineStr">
        <is>
          <t>West</t>
        </is>
      </c>
      <c r="H1722" s="2" t="inlineStr">
        <is>
          <t>Gujarat</t>
        </is>
      </c>
      <c r="I1722" s="2" t="inlineStr">
        <is>
          <t>Ahmedabad</t>
        </is>
      </c>
      <c r="J1722" s="2" t="inlineStr">
        <is>
          <t>Online</t>
        </is>
      </c>
      <c r="K1722" s="2" t="n">
        <v>1</v>
      </c>
      <c r="L1722" s="3" t="n">
        <v>1358.54</v>
      </c>
      <c r="M1722" s="4" t="n">
        <v>0.05</v>
      </c>
      <c r="N1722" s="3" t="n">
        <v>690.17</v>
      </c>
      <c r="O1722" s="3">
        <f>K1722*L1722*(1-M1722)</f>
        <v/>
      </c>
      <c r="P1722" s="3">
        <f>O1722-N1722</f>
        <v/>
      </c>
      <c r="Q1722" s="5">
        <f>IFERROR(P1722/O1722,0)</f>
        <v/>
      </c>
      <c r="R1722" s="2">
        <f>TEXT(DATEVALUE(B1722),"mmm")</f>
        <v/>
      </c>
      <c r="S1722" s="2">
        <f>TEXT(DATEVALUE(B1722),"yyyy-mm")</f>
        <v/>
      </c>
    </row>
    <row r="1723">
      <c r="A1723" s="2" t="inlineStr">
        <is>
          <t>O000639</t>
        </is>
      </c>
      <c r="B1723" s="2" t="inlineStr">
        <is>
          <t>2025-05-06</t>
        </is>
      </c>
      <c r="C1723" s="2" t="inlineStr">
        <is>
          <t>C0610</t>
        </is>
      </c>
      <c r="D1723" s="2" t="inlineStr">
        <is>
          <t>P0017</t>
        </is>
      </c>
      <c r="E1723" s="2" t="inlineStr">
        <is>
          <t>Jeans</t>
        </is>
      </c>
      <c r="F1723" s="2" t="inlineStr">
        <is>
          <t>Fashion</t>
        </is>
      </c>
      <c r="G1723" s="2" t="inlineStr">
        <is>
          <t>South</t>
        </is>
      </c>
      <c r="H1723" s="2" t="inlineStr">
        <is>
          <t>Karnataka</t>
        </is>
      </c>
      <c r="I1723" s="2" t="inlineStr">
        <is>
          <t>Mysuru</t>
        </is>
      </c>
      <c r="J1723" s="2" t="inlineStr">
        <is>
          <t>Online</t>
        </is>
      </c>
      <c r="K1723" s="2" t="n">
        <v>1</v>
      </c>
      <c r="L1723" s="3" t="n">
        <v>1422.77</v>
      </c>
      <c r="M1723" s="4" t="n">
        <v>0</v>
      </c>
      <c r="N1723" s="3" t="n">
        <v>1052.5</v>
      </c>
      <c r="O1723" s="3">
        <f>K1723*L1723*(1-M1723)</f>
        <v/>
      </c>
      <c r="P1723" s="3">
        <f>O1723-N1723</f>
        <v/>
      </c>
      <c r="Q1723" s="5">
        <f>IFERROR(P1723/O1723,0)</f>
        <v/>
      </c>
      <c r="R1723" s="2">
        <f>TEXT(DATEVALUE(B1723),"mmm")</f>
        <v/>
      </c>
      <c r="S1723" s="2">
        <f>TEXT(DATEVALUE(B1723),"yyyy-mm")</f>
        <v/>
      </c>
    </row>
    <row r="1724">
      <c r="A1724" s="2" t="inlineStr">
        <is>
          <t>O002816</t>
        </is>
      </c>
      <c r="B1724" s="2" t="inlineStr">
        <is>
          <t>2025-05-06</t>
        </is>
      </c>
      <c r="C1724" s="2" t="inlineStr">
        <is>
          <t>C0438</t>
        </is>
      </c>
      <c r="D1724" s="2" t="inlineStr">
        <is>
          <t>P0022</t>
        </is>
      </c>
      <c r="E1724" s="2" t="inlineStr">
        <is>
          <t>Face Wash</t>
        </is>
      </c>
      <c r="F1724" s="2" t="inlineStr">
        <is>
          <t>Beauty</t>
        </is>
      </c>
      <c r="G1724" s="2" t="inlineStr">
        <is>
          <t>West</t>
        </is>
      </c>
      <c r="H1724" s="2" t="inlineStr">
        <is>
          <t>Gujarat</t>
        </is>
      </c>
      <c r="I1724" s="2" t="inlineStr">
        <is>
          <t>Surat</t>
        </is>
      </c>
      <c r="J1724" s="2" t="inlineStr">
        <is>
          <t>Store</t>
        </is>
      </c>
      <c r="K1724" s="2" t="n">
        <v>3</v>
      </c>
      <c r="L1724" s="3" t="n">
        <v>555.6900000000001</v>
      </c>
      <c r="M1724" s="4" t="n">
        <v>0.15</v>
      </c>
      <c r="N1724" s="3" t="n">
        <v>1076.04</v>
      </c>
      <c r="O1724" s="3">
        <f>K1724*L1724*(1-M1724)</f>
        <v/>
      </c>
      <c r="P1724" s="3">
        <f>O1724-N1724</f>
        <v/>
      </c>
      <c r="Q1724" s="5">
        <f>IFERROR(P1724/O1724,0)</f>
        <v/>
      </c>
      <c r="R1724" s="2">
        <f>TEXT(DATEVALUE(B1724),"mmm")</f>
        <v/>
      </c>
      <c r="S1724" s="2">
        <f>TEXT(DATEVALUE(B1724),"yyyy-mm")</f>
        <v/>
      </c>
    </row>
    <row r="1725">
      <c r="A1725" s="2" t="inlineStr">
        <is>
          <t>O000913</t>
        </is>
      </c>
      <c r="B1725" s="2" t="inlineStr">
        <is>
          <t>2025-05-06</t>
        </is>
      </c>
      <c r="C1725" s="2" t="inlineStr">
        <is>
          <t>C0576</t>
        </is>
      </c>
      <c r="D1725" s="2" t="inlineStr">
        <is>
          <t>P0031</t>
        </is>
      </c>
      <c r="E1725" s="2" t="inlineStr">
        <is>
          <t>Cricket Bat</t>
        </is>
      </c>
      <c r="F1725" s="2" t="inlineStr">
        <is>
          <t>Sports</t>
        </is>
      </c>
      <c r="G1725" s="2" t="inlineStr">
        <is>
          <t>South</t>
        </is>
      </c>
      <c r="H1725" s="2" t="inlineStr">
        <is>
          <t>Kerala</t>
        </is>
      </c>
      <c r="I1725" s="2" t="inlineStr">
        <is>
          <t>Kochi</t>
        </is>
      </c>
      <c r="J1725" s="2" t="inlineStr">
        <is>
          <t>Online</t>
        </is>
      </c>
      <c r="K1725" s="2" t="n">
        <v>2</v>
      </c>
      <c r="L1725" s="3" t="n">
        <v>1344.51</v>
      </c>
      <c r="M1725" s="4" t="n">
        <v>0.1</v>
      </c>
      <c r="N1725" s="3" t="n">
        <v>1862.03</v>
      </c>
      <c r="O1725" s="3">
        <f>K1725*L1725*(1-M1725)</f>
        <v/>
      </c>
      <c r="P1725" s="3">
        <f>O1725-N1725</f>
        <v/>
      </c>
      <c r="Q1725" s="5">
        <f>IFERROR(P1725/O1725,0)</f>
        <v/>
      </c>
      <c r="R1725" s="2">
        <f>TEXT(DATEVALUE(B1725),"mmm")</f>
        <v/>
      </c>
      <c r="S1725" s="2">
        <f>TEXT(DATEVALUE(B1725),"yyyy-mm")</f>
        <v/>
      </c>
    </row>
    <row r="1726">
      <c r="A1726" s="2" t="inlineStr">
        <is>
          <t>O002028</t>
        </is>
      </c>
      <c r="B1726" s="2" t="inlineStr">
        <is>
          <t>2025-05-06</t>
        </is>
      </c>
      <c r="C1726" s="2" t="inlineStr">
        <is>
          <t>C0780</t>
        </is>
      </c>
      <c r="D1726" s="2" t="inlineStr">
        <is>
          <t>P0011</t>
        </is>
      </c>
      <c r="E1726" s="2" t="inlineStr">
        <is>
          <t>Cookware Set</t>
        </is>
      </c>
      <c r="F1726" s="2" t="inlineStr">
        <is>
          <t>Home &amp; Kitchen</t>
        </is>
      </c>
      <c r="G1726" s="2" t="inlineStr">
        <is>
          <t>West</t>
        </is>
      </c>
      <c r="H1726" s="2" t="inlineStr">
        <is>
          <t>Maharashtra</t>
        </is>
      </c>
      <c r="I1726" s="2" t="inlineStr">
        <is>
          <t>Nashik</t>
        </is>
      </c>
      <c r="J1726" s="2" t="inlineStr">
        <is>
          <t>Online</t>
        </is>
      </c>
      <c r="K1726" s="2" t="n">
        <v>1</v>
      </c>
      <c r="L1726" s="3" t="n">
        <v>683.1900000000001</v>
      </c>
      <c r="M1726" s="4" t="n">
        <v>0.05</v>
      </c>
      <c r="N1726" s="3" t="n">
        <v>477.98</v>
      </c>
      <c r="O1726" s="3">
        <f>K1726*L1726*(1-M1726)</f>
        <v/>
      </c>
      <c r="P1726" s="3">
        <f>O1726-N1726</f>
        <v/>
      </c>
      <c r="Q1726" s="5">
        <f>IFERROR(P1726/O1726,0)</f>
        <v/>
      </c>
      <c r="R1726" s="2">
        <f>TEXT(DATEVALUE(B1726),"mmm")</f>
        <v/>
      </c>
      <c r="S1726" s="2">
        <f>TEXT(DATEVALUE(B1726),"yyyy-mm")</f>
        <v/>
      </c>
    </row>
    <row r="1727">
      <c r="A1727" s="2" t="inlineStr">
        <is>
          <t>O000644</t>
        </is>
      </c>
      <c r="B1727" s="2" t="inlineStr">
        <is>
          <t>2025-05-06</t>
        </is>
      </c>
      <c r="C1727" s="2" t="inlineStr">
        <is>
          <t>C0724</t>
        </is>
      </c>
      <c r="D1727" s="2" t="inlineStr">
        <is>
          <t>P0025</t>
        </is>
      </c>
      <c r="E1727" s="2" t="inlineStr">
        <is>
          <t>Perfume</t>
        </is>
      </c>
      <c r="F1727" s="2" t="inlineStr">
        <is>
          <t>Beauty</t>
        </is>
      </c>
      <c r="G1727" s="2" t="inlineStr">
        <is>
          <t>West</t>
        </is>
      </c>
      <c r="H1727" s="2" t="inlineStr">
        <is>
          <t>Maharashtra</t>
        </is>
      </c>
      <c r="I1727" s="2" t="inlineStr">
        <is>
          <t>Nashik</t>
        </is>
      </c>
      <c r="J1727" s="2" t="inlineStr">
        <is>
          <t>Online</t>
        </is>
      </c>
      <c r="K1727" s="2" t="n">
        <v>4</v>
      </c>
      <c r="L1727" s="3" t="n">
        <v>849.47</v>
      </c>
      <c r="M1727" s="4" t="n">
        <v>0.05</v>
      </c>
      <c r="N1727" s="3" t="n">
        <v>2466.48</v>
      </c>
      <c r="O1727" s="3">
        <f>K1727*L1727*(1-M1727)</f>
        <v/>
      </c>
      <c r="P1727" s="3">
        <f>O1727-N1727</f>
        <v/>
      </c>
      <c r="Q1727" s="5">
        <f>IFERROR(P1727/O1727,0)</f>
        <v/>
      </c>
      <c r="R1727" s="2">
        <f>TEXT(DATEVALUE(B1727),"mmm")</f>
        <v/>
      </c>
      <c r="S1727" s="2">
        <f>TEXT(DATEVALUE(B1727),"yyyy-mm")</f>
        <v/>
      </c>
    </row>
    <row r="1728">
      <c r="A1728" s="2" t="inlineStr">
        <is>
          <t>O003347</t>
        </is>
      </c>
      <c r="B1728" s="2" t="inlineStr">
        <is>
          <t>2025-05-07</t>
        </is>
      </c>
      <c r="C1728" s="2" t="inlineStr">
        <is>
          <t>C0393</t>
        </is>
      </c>
      <c r="D1728" s="2" t="inlineStr">
        <is>
          <t>P0008</t>
        </is>
      </c>
      <c r="E1728" s="2" t="inlineStr">
        <is>
          <t>Air Fryer</t>
        </is>
      </c>
      <c r="F1728" s="2" t="inlineStr">
        <is>
          <t>Home &amp; Kitchen</t>
        </is>
      </c>
      <c r="G1728" s="2" t="inlineStr">
        <is>
          <t>East</t>
        </is>
      </c>
      <c r="H1728" s="2" t="inlineStr">
        <is>
          <t>Odisha</t>
        </is>
      </c>
      <c r="I1728" s="2" t="inlineStr">
        <is>
          <t>Bhubaneswar</t>
        </is>
      </c>
      <c r="J1728" s="2" t="inlineStr">
        <is>
          <t>Store</t>
        </is>
      </c>
      <c r="K1728" s="2" t="n">
        <v>3</v>
      </c>
      <c r="L1728" s="3" t="n">
        <v>1056.82</v>
      </c>
      <c r="M1728" s="4" t="n">
        <v>0.05</v>
      </c>
      <c r="N1728" s="3" t="n">
        <v>2052.19</v>
      </c>
      <c r="O1728" s="3">
        <f>K1728*L1728*(1-M1728)</f>
        <v/>
      </c>
      <c r="P1728" s="3">
        <f>O1728-N1728</f>
        <v/>
      </c>
      <c r="Q1728" s="5">
        <f>IFERROR(P1728/O1728,0)</f>
        <v/>
      </c>
      <c r="R1728" s="2">
        <f>TEXT(DATEVALUE(B1728),"mmm")</f>
        <v/>
      </c>
      <c r="S1728" s="2">
        <f>TEXT(DATEVALUE(B1728),"yyyy-mm")</f>
        <v/>
      </c>
    </row>
    <row r="1729">
      <c r="A1729" s="2" t="inlineStr">
        <is>
          <t>O004584</t>
        </is>
      </c>
      <c r="B1729" s="2" t="inlineStr">
        <is>
          <t>2025-05-07</t>
        </is>
      </c>
      <c r="C1729" s="2" t="inlineStr">
        <is>
          <t>C0133</t>
        </is>
      </c>
      <c r="D1729" s="2" t="inlineStr">
        <is>
          <t>P0016</t>
        </is>
      </c>
      <c r="E1729" s="2" t="inlineStr">
        <is>
          <t>Casual Shirt</t>
        </is>
      </c>
      <c r="F1729" s="2" t="inlineStr">
        <is>
          <t>Fashion</t>
        </is>
      </c>
      <c r="G1729" s="2" t="inlineStr">
        <is>
          <t>West</t>
        </is>
      </c>
      <c r="H1729" s="2" t="inlineStr">
        <is>
          <t>Goa</t>
        </is>
      </c>
      <c r="I1729" s="2" t="inlineStr">
        <is>
          <t>Panaji</t>
        </is>
      </c>
      <c r="J1729" s="2" t="inlineStr">
        <is>
          <t>Online</t>
        </is>
      </c>
      <c r="K1729" s="2" t="n">
        <v>2</v>
      </c>
      <c r="L1729" s="3" t="n">
        <v>1286.53</v>
      </c>
      <c r="M1729" s="4" t="n">
        <v>0</v>
      </c>
      <c r="N1729" s="3" t="n">
        <v>1803.68</v>
      </c>
      <c r="O1729" s="3">
        <f>K1729*L1729*(1-M1729)</f>
        <v/>
      </c>
      <c r="P1729" s="3">
        <f>O1729-N1729</f>
        <v/>
      </c>
      <c r="Q1729" s="5">
        <f>IFERROR(P1729/O1729,0)</f>
        <v/>
      </c>
      <c r="R1729" s="2">
        <f>TEXT(DATEVALUE(B1729),"mmm")</f>
        <v/>
      </c>
      <c r="S1729" s="2">
        <f>TEXT(DATEVALUE(B1729),"yyyy-mm")</f>
        <v/>
      </c>
    </row>
    <row r="1730">
      <c r="A1730" s="2" t="inlineStr">
        <is>
          <t>O004431</t>
        </is>
      </c>
      <c r="B1730" s="2" t="inlineStr">
        <is>
          <t>2025-05-07</t>
        </is>
      </c>
      <c r="C1730" s="2" t="inlineStr">
        <is>
          <t>C0427</t>
        </is>
      </c>
      <c r="D1730" s="2" t="inlineStr">
        <is>
          <t>P0020</t>
        </is>
      </c>
      <c r="E1730" s="2" t="inlineStr">
        <is>
          <t>Sneakers</t>
        </is>
      </c>
      <c r="F1730" s="2" t="inlineStr">
        <is>
          <t>Fashion</t>
        </is>
      </c>
      <c r="G1730" s="2" t="inlineStr">
        <is>
          <t>South</t>
        </is>
      </c>
      <c r="H1730" s="2" t="inlineStr">
        <is>
          <t>Karnataka</t>
        </is>
      </c>
      <c r="I1730" s="2" t="inlineStr">
        <is>
          <t>Mysuru</t>
        </is>
      </c>
      <c r="J1730" s="2" t="inlineStr">
        <is>
          <t>Online</t>
        </is>
      </c>
      <c r="K1730" s="2" t="n">
        <v>3</v>
      </c>
      <c r="L1730" s="3" t="n">
        <v>1967.13</v>
      </c>
      <c r="M1730" s="4" t="n">
        <v>0.05</v>
      </c>
      <c r="N1730" s="3" t="n">
        <v>4637.85</v>
      </c>
      <c r="O1730" s="3">
        <f>K1730*L1730*(1-M1730)</f>
        <v/>
      </c>
      <c r="P1730" s="3">
        <f>O1730-N1730</f>
        <v/>
      </c>
      <c r="Q1730" s="5">
        <f>IFERROR(P1730/O1730,0)</f>
        <v/>
      </c>
      <c r="R1730" s="2">
        <f>TEXT(DATEVALUE(B1730),"mmm")</f>
        <v/>
      </c>
      <c r="S1730" s="2">
        <f>TEXT(DATEVALUE(B1730),"yyyy-mm")</f>
        <v/>
      </c>
    </row>
    <row r="1731">
      <c r="A1731" s="2" t="inlineStr">
        <is>
          <t>O004394</t>
        </is>
      </c>
      <c r="B1731" s="2" t="inlineStr">
        <is>
          <t>2025-05-07</t>
        </is>
      </c>
      <c r="C1731" s="2" t="inlineStr">
        <is>
          <t>C0396</t>
        </is>
      </c>
      <c r="D1731" s="2" t="inlineStr">
        <is>
          <t>P0033</t>
        </is>
      </c>
      <c r="E1731" s="2" t="inlineStr">
        <is>
          <t>Resistance Bands</t>
        </is>
      </c>
      <c r="F1731" s="2" t="inlineStr">
        <is>
          <t>Sports</t>
        </is>
      </c>
      <c r="G1731" s="2" t="inlineStr">
        <is>
          <t>South</t>
        </is>
      </c>
      <c r="H1731" s="2" t="inlineStr">
        <is>
          <t>Karnataka</t>
        </is>
      </c>
      <c r="I1731" s="2" t="inlineStr">
        <is>
          <t>Bengaluru</t>
        </is>
      </c>
      <c r="J1731" s="2" t="inlineStr">
        <is>
          <t>Store</t>
        </is>
      </c>
      <c r="K1731" s="2" t="n">
        <v>1</v>
      </c>
      <c r="L1731" s="3" t="n">
        <v>1135.41</v>
      </c>
      <c r="M1731" s="4" t="n">
        <v>0</v>
      </c>
      <c r="N1731" s="3" t="n">
        <v>762.99</v>
      </c>
      <c r="O1731" s="3">
        <f>K1731*L1731*(1-M1731)</f>
        <v/>
      </c>
      <c r="P1731" s="3">
        <f>O1731-N1731</f>
        <v/>
      </c>
      <c r="Q1731" s="5">
        <f>IFERROR(P1731/O1731,0)</f>
        <v/>
      </c>
      <c r="R1731" s="2">
        <f>TEXT(DATEVALUE(B1731),"mmm")</f>
        <v/>
      </c>
      <c r="S1731" s="2">
        <f>TEXT(DATEVALUE(B1731),"yyyy-mm")</f>
        <v/>
      </c>
    </row>
    <row r="1732">
      <c r="A1732" s="2" t="inlineStr">
        <is>
          <t>O003674</t>
        </is>
      </c>
      <c r="B1732" s="2" t="inlineStr">
        <is>
          <t>2025-05-07</t>
        </is>
      </c>
      <c r="C1732" s="2" t="inlineStr">
        <is>
          <t>C0747</t>
        </is>
      </c>
      <c r="D1732" s="2" t="inlineStr">
        <is>
          <t>P0032</t>
        </is>
      </c>
      <c r="E1732" s="2" t="inlineStr">
        <is>
          <t>Football</t>
        </is>
      </c>
      <c r="F1732" s="2" t="inlineStr">
        <is>
          <t>Sports</t>
        </is>
      </c>
      <c r="G1732" s="2" t="inlineStr">
        <is>
          <t>East</t>
        </is>
      </c>
      <c r="H1732" s="2" t="inlineStr">
        <is>
          <t>Bihar</t>
        </is>
      </c>
      <c r="I1732" s="2" t="inlineStr">
        <is>
          <t>Gaya</t>
        </is>
      </c>
      <c r="J1732" s="2" t="inlineStr">
        <is>
          <t>Online</t>
        </is>
      </c>
      <c r="K1732" s="2" t="n">
        <v>1</v>
      </c>
      <c r="L1732" s="3" t="n">
        <v>803.78</v>
      </c>
      <c r="M1732" s="4" t="n">
        <v>0.05</v>
      </c>
      <c r="N1732" s="3" t="n">
        <v>547.1900000000001</v>
      </c>
      <c r="O1732" s="3">
        <f>K1732*L1732*(1-M1732)</f>
        <v/>
      </c>
      <c r="P1732" s="3">
        <f>O1732-N1732</f>
        <v/>
      </c>
      <c r="Q1732" s="5">
        <f>IFERROR(P1732/O1732,0)</f>
        <v/>
      </c>
      <c r="R1732" s="2">
        <f>TEXT(DATEVALUE(B1732),"mmm")</f>
        <v/>
      </c>
      <c r="S1732" s="2">
        <f>TEXT(DATEVALUE(B1732),"yyyy-mm")</f>
        <v/>
      </c>
    </row>
    <row r="1733">
      <c r="A1733" s="2" t="inlineStr">
        <is>
          <t>O003589</t>
        </is>
      </c>
      <c r="B1733" s="2" t="inlineStr">
        <is>
          <t>2025-05-07</t>
        </is>
      </c>
      <c r="C1733" s="2" t="inlineStr">
        <is>
          <t>C0081</t>
        </is>
      </c>
      <c r="D1733" s="2" t="inlineStr">
        <is>
          <t>P0011</t>
        </is>
      </c>
      <c r="E1733" s="2" t="inlineStr">
        <is>
          <t>Cookware Set</t>
        </is>
      </c>
      <c r="F1733" s="2" t="inlineStr">
        <is>
          <t>Home &amp; Kitchen</t>
        </is>
      </c>
      <c r="G1733" s="2" t="inlineStr">
        <is>
          <t>North</t>
        </is>
      </c>
      <c r="H1733" s="2" t="inlineStr">
        <is>
          <t>Uttar Pradesh</t>
        </is>
      </c>
      <c r="I1733" s="2" t="inlineStr">
        <is>
          <t>Varanasi</t>
        </is>
      </c>
      <c r="J1733" s="2" t="inlineStr">
        <is>
          <t>Online</t>
        </is>
      </c>
      <c r="K1733" s="2" t="n">
        <v>2</v>
      </c>
      <c r="L1733" s="3" t="n">
        <v>703.42</v>
      </c>
      <c r="M1733" s="4" t="n">
        <v>0.1</v>
      </c>
      <c r="N1733" s="3" t="n">
        <v>917.1900000000001</v>
      </c>
      <c r="O1733" s="3">
        <f>K1733*L1733*(1-M1733)</f>
        <v/>
      </c>
      <c r="P1733" s="3">
        <f>O1733-N1733</f>
        <v/>
      </c>
      <c r="Q1733" s="5">
        <f>IFERROR(P1733/O1733,0)</f>
        <v/>
      </c>
      <c r="R1733" s="2">
        <f>TEXT(DATEVALUE(B1733),"mmm")</f>
        <v/>
      </c>
      <c r="S1733" s="2">
        <f>TEXT(DATEVALUE(B1733),"yyyy-mm")</f>
        <v/>
      </c>
    </row>
    <row r="1734">
      <c r="A1734" s="2" t="inlineStr">
        <is>
          <t>O003303</t>
        </is>
      </c>
      <c r="B1734" s="2" t="inlineStr">
        <is>
          <t>2025-05-07</t>
        </is>
      </c>
      <c r="C1734" s="2" t="inlineStr">
        <is>
          <t>C0583</t>
        </is>
      </c>
      <c r="D1734" s="2" t="inlineStr">
        <is>
          <t>P0029</t>
        </is>
      </c>
      <c r="E1734" s="2" t="inlineStr">
        <is>
          <t>Yoga Mat</t>
        </is>
      </c>
      <c r="F1734" s="2" t="inlineStr">
        <is>
          <t>Sports</t>
        </is>
      </c>
      <c r="G1734" s="2" t="inlineStr">
        <is>
          <t>North</t>
        </is>
      </c>
      <c r="H1734" s="2" t="inlineStr">
        <is>
          <t>Punjab</t>
        </is>
      </c>
      <c r="I1734" s="2" t="inlineStr">
        <is>
          <t>Jalandhar</t>
        </is>
      </c>
      <c r="J1734" s="2" t="inlineStr">
        <is>
          <t>Store</t>
        </is>
      </c>
      <c r="K1734" s="2" t="n">
        <v>4</v>
      </c>
      <c r="L1734" s="3" t="n">
        <v>2381.87</v>
      </c>
      <c r="M1734" s="4" t="n">
        <v>0.15</v>
      </c>
      <c r="N1734" s="3" t="n">
        <v>5140.56</v>
      </c>
      <c r="O1734" s="3">
        <f>K1734*L1734*(1-M1734)</f>
        <v/>
      </c>
      <c r="P1734" s="3">
        <f>O1734-N1734</f>
        <v/>
      </c>
      <c r="Q1734" s="5">
        <f>IFERROR(P1734/O1734,0)</f>
        <v/>
      </c>
      <c r="R1734" s="2">
        <f>TEXT(DATEVALUE(B1734),"mmm")</f>
        <v/>
      </c>
      <c r="S1734" s="2">
        <f>TEXT(DATEVALUE(B1734),"yyyy-mm")</f>
        <v/>
      </c>
    </row>
    <row r="1735">
      <c r="A1735" s="2" t="inlineStr">
        <is>
          <t>O003273</t>
        </is>
      </c>
      <c r="B1735" s="2" t="inlineStr">
        <is>
          <t>2025-05-07</t>
        </is>
      </c>
      <c r="C1735" s="2" t="inlineStr">
        <is>
          <t>C0060</t>
        </is>
      </c>
      <c r="D1735" s="2" t="inlineStr">
        <is>
          <t>P0020</t>
        </is>
      </c>
      <c r="E1735" s="2" t="inlineStr">
        <is>
          <t>Sneakers</t>
        </is>
      </c>
      <c r="F1735" s="2" t="inlineStr">
        <is>
          <t>Fashion</t>
        </is>
      </c>
      <c r="G1735" s="2" t="inlineStr">
        <is>
          <t>West</t>
        </is>
      </c>
      <c r="H1735" s="2" t="inlineStr">
        <is>
          <t>Gujarat</t>
        </is>
      </c>
      <c r="I1735" s="2" t="inlineStr">
        <is>
          <t>Ahmedabad</t>
        </is>
      </c>
      <c r="J1735" s="2" t="inlineStr">
        <is>
          <t>Store</t>
        </is>
      </c>
      <c r="K1735" s="2" t="n">
        <v>2</v>
      </c>
      <c r="L1735" s="3" t="n">
        <v>1882.97</v>
      </c>
      <c r="M1735" s="4" t="n">
        <v>0.1</v>
      </c>
      <c r="N1735" s="3" t="n">
        <v>3111.35</v>
      </c>
      <c r="O1735" s="3">
        <f>K1735*L1735*(1-M1735)</f>
        <v/>
      </c>
      <c r="P1735" s="3">
        <f>O1735-N1735</f>
        <v/>
      </c>
      <c r="Q1735" s="5">
        <f>IFERROR(P1735/O1735,0)</f>
        <v/>
      </c>
      <c r="R1735" s="2">
        <f>TEXT(DATEVALUE(B1735),"mmm")</f>
        <v/>
      </c>
      <c r="S1735" s="2">
        <f>TEXT(DATEVALUE(B1735),"yyyy-mm")</f>
        <v/>
      </c>
    </row>
    <row r="1736">
      <c r="A1736" s="2" t="inlineStr">
        <is>
          <t>O003159</t>
        </is>
      </c>
      <c r="B1736" s="2" t="inlineStr">
        <is>
          <t>2025-05-07</t>
        </is>
      </c>
      <c r="C1736" s="2" t="inlineStr">
        <is>
          <t>C0643</t>
        </is>
      </c>
      <c r="D1736" s="2" t="inlineStr">
        <is>
          <t>P0014</t>
        </is>
      </c>
      <c r="E1736" s="2" t="inlineStr">
        <is>
          <t>Coffee Maker</t>
        </is>
      </c>
      <c r="F1736" s="2" t="inlineStr">
        <is>
          <t>Home &amp; Kitchen</t>
        </is>
      </c>
      <c r="G1736" s="2" t="inlineStr">
        <is>
          <t>East</t>
        </is>
      </c>
      <c r="H1736" s="2" t="inlineStr">
        <is>
          <t>West Bengal</t>
        </is>
      </c>
      <c r="I1736" s="2" t="inlineStr">
        <is>
          <t>Durgapur</t>
        </is>
      </c>
      <c r="J1736" s="2" t="inlineStr">
        <is>
          <t>Online</t>
        </is>
      </c>
      <c r="K1736" s="2" t="n">
        <v>2</v>
      </c>
      <c r="L1736" s="3" t="n">
        <v>1029.35</v>
      </c>
      <c r="M1736" s="4" t="n">
        <v>0.1</v>
      </c>
      <c r="N1736" s="3" t="n">
        <v>1559.26</v>
      </c>
      <c r="O1736" s="3">
        <f>K1736*L1736*(1-M1736)</f>
        <v/>
      </c>
      <c r="P1736" s="3">
        <f>O1736-N1736</f>
        <v/>
      </c>
      <c r="Q1736" s="5">
        <f>IFERROR(P1736/O1736,0)</f>
        <v/>
      </c>
      <c r="R1736" s="2">
        <f>TEXT(DATEVALUE(B1736),"mmm")</f>
        <v/>
      </c>
      <c r="S1736" s="2">
        <f>TEXT(DATEVALUE(B1736),"yyyy-mm")</f>
        <v/>
      </c>
    </row>
    <row r="1737">
      <c r="A1737" s="2" t="inlineStr">
        <is>
          <t>O002865</t>
        </is>
      </c>
      <c r="B1737" s="2" t="inlineStr">
        <is>
          <t>2025-05-07</t>
        </is>
      </c>
      <c r="C1737" s="2" t="inlineStr">
        <is>
          <t>C0393</t>
        </is>
      </c>
      <c r="D1737" s="2" t="inlineStr">
        <is>
          <t>P0003</t>
        </is>
      </c>
      <c r="E1737" s="2" t="inlineStr">
        <is>
          <t>Smartwatch</t>
        </is>
      </c>
      <c r="F1737" s="2" t="inlineStr">
        <is>
          <t>Electronics</t>
        </is>
      </c>
      <c r="G1737" s="2" t="inlineStr">
        <is>
          <t>West</t>
        </is>
      </c>
      <c r="H1737" s="2" t="inlineStr">
        <is>
          <t>Maharashtra</t>
        </is>
      </c>
      <c r="I1737" s="2" t="inlineStr">
        <is>
          <t>Mumbai</t>
        </is>
      </c>
      <c r="J1737" s="2" t="inlineStr">
        <is>
          <t>Online</t>
        </is>
      </c>
      <c r="K1737" s="2" t="n">
        <v>3</v>
      </c>
      <c r="L1737" s="3" t="n">
        <v>2193.65</v>
      </c>
      <c r="M1737" s="4" t="n">
        <v>0</v>
      </c>
      <c r="N1737" s="3" t="n">
        <v>3652.37</v>
      </c>
      <c r="O1737" s="3">
        <f>K1737*L1737*(1-M1737)</f>
        <v/>
      </c>
      <c r="P1737" s="3">
        <f>O1737-N1737</f>
        <v/>
      </c>
      <c r="Q1737" s="5">
        <f>IFERROR(P1737/O1737,0)</f>
        <v/>
      </c>
      <c r="R1737" s="2">
        <f>TEXT(DATEVALUE(B1737),"mmm")</f>
        <v/>
      </c>
      <c r="S1737" s="2">
        <f>TEXT(DATEVALUE(B1737),"yyyy-mm")</f>
        <v/>
      </c>
    </row>
    <row r="1738">
      <c r="A1738" s="2" t="inlineStr">
        <is>
          <t>O001866</t>
        </is>
      </c>
      <c r="B1738" s="2" t="inlineStr">
        <is>
          <t>2025-05-07</t>
        </is>
      </c>
      <c r="C1738" s="2" t="inlineStr">
        <is>
          <t>C0439</t>
        </is>
      </c>
      <c r="D1738" s="2" t="inlineStr">
        <is>
          <t>P0031</t>
        </is>
      </c>
      <c r="E1738" s="2" t="inlineStr">
        <is>
          <t>Cricket Bat</t>
        </is>
      </c>
      <c r="F1738" s="2" t="inlineStr">
        <is>
          <t>Sports</t>
        </is>
      </c>
      <c r="G1738" s="2" t="inlineStr">
        <is>
          <t>North</t>
        </is>
      </c>
      <c r="H1738" s="2" t="inlineStr">
        <is>
          <t>Uttar Pradesh</t>
        </is>
      </c>
      <c r="I1738" s="2" t="inlineStr">
        <is>
          <t>Lucknow</t>
        </is>
      </c>
      <c r="J1738" s="2" t="inlineStr">
        <is>
          <t>Online</t>
        </is>
      </c>
      <c r="K1738" s="2" t="n">
        <v>4</v>
      </c>
      <c r="L1738" s="3" t="n">
        <v>1409.91</v>
      </c>
      <c r="M1738" s="4" t="n">
        <v>0.05</v>
      </c>
      <c r="N1738" s="3" t="n">
        <v>3877.42</v>
      </c>
      <c r="O1738" s="3">
        <f>K1738*L1738*(1-M1738)</f>
        <v/>
      </c>
      <c r="P1738" s="3">
        <f>O1738-N1738</f>
        <v/>
      </c>
      <c r="Q1738" s="5">
        <f>IFERROR(P1738/O1738,0)</f>
        <v/>
      </c>
      <c r="R1738" s="2">
        <f>TEXT(DATEVALUE(B1738),"mmm")</f>
        <v/>
      </c>
      <c r="S1738" s="2">
        <f>TEXT(DATEVALUE(B1738),"yyyy-mm")</f>
        <v/>
      </c>
    </row>
    <row r="1739">
      <c r="A1739" s="2" t="inlineStr">
        <is>
          <t>O001148</t>
        </is>
      </c>
      <c r="B1739" s="2" t="inlineStr">
        <is>
          <t>2025-05-07</t>
        </is>
      </c>
      <c r="C1739" s="2" t="inlineStr">
        <is>
          <t>C0468</t>
        </is>
      </c>
      <c r="D1739" s="2" t="inlineStr">
        <is>
          <t>P0010</t>
        </is>
      </c>
      <c r="E1739" s="2" t="inlineStr">
        <is>
          <t>Mixer Grinder</t>
        </is>
      </c>
      <c r="F1739" s="2" t="inlineStr">
        <is>
          <t>Home &amp; Kitchen</t>
        </is>
      </c>
      <c r="G1739" s="2" t="inlineStr">
        <is>
          <t>West</t>
        </is>
      </c>
      <c r="H1739" s="2" t="inlineStr">
        <is>
          <t>Goa</t>
        </is>
      </c>
      <c r="I1739" s="2" t="inlineStr">
        <is>
          <t>Panaji</t>
        </is>
      </c>
      <c r="J1739" s="2" t="inlineStr">
        <is>
          <t>Store</t>
        </is>
      </c>
      <c r="K1739" s="2" t="n">
        <v>1</v>
      </c>
      <c r="L1739" s="3" t="n">
        <v>1604.13</v>
      </c>
      <c r="M1739" s="4" t="n">
        <v>0.15</v>
      </c>
      <c r="N1739" s="3" t="n">
        <v>1050.71</v>
      </c>
      <c r="O1739" s="3">
        <f>K1739*L1739*(1-M1739)</f>
        <v/>
      </c>
      <c r="P1739" s="3">
        <f>O1739-N1739</f>
        <v/>
      </c>
      <c r="Q1739" s="5">
        <f>IFERROR(P1739/O1739,0)</f>
        <v/>
      </c>
      <c r="R1739" s="2">
        <f>TEXT(DATEVALUE(B1739),"mmm")</f>
        <v/>
      </c>
      <c r="S1739" s="2">
        <f>TEXT(DATEVALUE(B1739),"yyyy-mm")</f>
        <v/>
      </c>
    </row>
    <row r="1740">
      <c r="A1740" s="2" t="inlineStr">
        <is>
          <t>O000883</t>
        </is>
      </c>
      <c r="B1740" s="2" t="inlineStr">
        <is>
          <t>2025-05-07</t>
        </is>
      </c>
      <c r="C1740" s="2" t="inlineStr">
        <is>
          <t>C0653</t>
        </is>
      </c>
      <c r="D1740" s="2" t="inlineStr">
        <is>
          <t>P0018</t>
        </is>
      </c>
      <c r="E1740" s="2" t="inlineStr">
        <is>
          <t>Backpack</t>
        </is>
      </c>
      <c r="F1740" s="2" t="inlineStr">
        <is>
          <t>Fashion</t>
        </is>
      </c>
      <c r="G1740" s="2" t="inlineStr">
        <is>
          <t>East</t>
        </is>
      </c>
      <c r="H1740" s="2" t="inlineStr">
        <is>
          <t>Odisha</t>
        </is>
      </c>
      <c r="I1740" s="2" t="inlineStr">
        <is>
          <t>Cuttack</t>
        </is>
      </c>
      <c r="J1740" s="2" t="inlineStr">
        <is>
          <t>Online</t>
        </is>
      </c>
      <c r="K1740" s="2" t="n">
        <v>2</v>
      </c>
      <c r="L1740" s="3" t="n">
        <v>1879.42</v>
      </c>
      <c r="M1740" s="4" t="n">
        <v>0.05</v>
      </c>
      <c r="N1740" s="3" t="n">
        <v>2674.56</v>
      </c>
      <c r="O1740" s="3">
        <f>K1740*L1740*(1-M1740)</f>
        <v/>
      </c>
      <c r="P1740" s="3">
        <f>O1740-N1740</f>
        <v/>
      </c>
      <c r="Q1740" s="5">
        <f>IFERROR(P1740/O1740,0)</f>
        <v/>
      </c>
      <c r="R1740" s="2">
        <f>TEXT(DATEVALUE(B1740),"mmm")</f>
        <v/>
      </c>
      <c r="S1740" s="2">
        <f>TEXT(DATEVALUE(B1740),"yyyy-mm")</f>
        <v/>
      </c>
    </row>
    <row r="1741">
      <c r="A1741" s="2" t="inlineStr">
        <is>
          <t>O000443</t>
        </is>
      </c>
      <c r="B1741" s="2" t="inlineStr">
        <is>
          <t>2025-05-07</t>
        </is>
      </c>
      <c r="C1741" s="2" t="inlineStr">
        <is>
          <t>C0436</t>
        </is>
      </c>
      <c r="D1741" s="2" t="inlineStr">
        <is>
          <t>P0027</t>
        </is>
      </c>
      <c r="E1741" s="2" t="inlineStr">
        <is>
          <t>Moisturizer</t>
        </is>
      </c>
      <c r="F1741" s="2" t="inlineStr">
        <is>
          <t>Beauty</t>
        </is>
      </c>
      <c r="G1741" s="2" t="inlineStr">
        <is>
          <t>West</t>
        </is>
      </c>
      <c r="H1741" s="2" t="inlineStr">
        <is>
          <t>Gujarat</t>
        </is>
      </c>
      <c r="I1741" s="2" t="inlineStr">
        <is>
          <t>Vadodara</t>
        </is>
      </c>
      <c r="J1741" s="2" t="inlineStr">
        <is>
          <t>Store</t>
        </is>
      </c>
      <c r="K1741" s="2" t="n">
        <v>5</v>
      </c>
      <c r="L1741" s="3" t="n">
        <v>967.35</v>
      </c>
      <c r="M1741" s="4" t="n">
        <v>0.2</v>
      </c>
      <c r="N1741" s="3" t="n">
        <v>3396.83</v>
      </c>
      <c r="O1741" s="3">
        <f>K1741*L1741*(1-M1741)</f>
        <v/>
      </c>
      <c r="P1741" s="3">
        <f>O1741-N1741</f>
        <v/>
      </c>
      <c r="Q1741" s="5">
        <f>IFERROR(P1741/O1741,0)</f>
        <v/>
      </c>
      <c r="R1741" s="2">
        <f>TEXT(DATEVALUE(B1741),"mmm")</f>
        <v/>
      </c>
      <c r="S1741" s="2">
        <f>TEXT(DATEVALUE(B1741),"yyyy-mm")</f>
        <v/>
      </c>
    </row>
    <row r="1742">
      <c r="A1742" s="2" t="inlineStr">
        <is>
          <t>O000366</t>
        </is>
      </c>
      <c r="B1742" s="2" t="inlineStr">
        <is>
          <t>2025-05-07</t>
        </is>
      </c>
      <c r="C1742" s="2" t="inlineStr">
        <is>
          <t>C0484</t>
        </is>
      </c>
      <c r="D1742" s="2" t="inlineStr">
        <is>
          <t>P0012</t>
        </is>
      </c>
      <c r="E1742" s="2" t="inlineStr">
        <is>
          <t>Water Bottle</t>
        </is>
      </c>
      <c r="F1742" s="2" t="inlineStr">
        <is>
          <t>Home &amp; Kitchen</t>
        </is>
      </c>
      <c r="G1742" s="2" t="inlineStr">
        <is>
          <t>North</t>
        </is>
      </c>
      <c r="H1742" s="2" t="inlineStr">
        <is>
          <t>Punjab</t>
        </is>
      </c>
      <c r="I1742" s="2" t="inlineStr">
        <is>
          <t>Amritsar</t>
        </is>
      </c>
      <c r="J1742" s="2" t="inlineStr">
        <is>
          <t>Store</t>
        </is>
      </c>
      <c r="K1742" s="2" t="n">
        <v>4</v>
      </c>
      <c r="L1742" s="3" t="n">
        <v>953.9299999999999</v>
      </c>
      <c r="M1742" s="4" t="n">
        <v>0</v>
      </c>
      <c r="N1742" s="3" t="n">
        <v>2570.39</v>
      </c>
      <c r="O1742" s="3">
        <f>K1742*L1742*(1-M1742)</f>
        <v/>
      </c>
      <c r="P1742" s="3">
        <f>O1742-N1742</f>
        <v/>
      </c>
      <c r="Q1742" s="5">
        <f>IFERROR(P1742/O1742,0)</f>
        <v/>
      </c>
      <c r="R1742" s="2">
        <f>TEXT(DATEVALUE(B1742),"mmm")</f>
        <v/>
      </c>
      <c r="S1742" s="2">
        <f>TEXT(DATEVALUE(B1742),"yyyy-mm")</f>
        <v/>
      </c>
    </row>
    <row r="1743">
      <c r="A1743" s="2" t="inlineStr">
        <is>
          <t>O003075</t>
        </is>
      </c>
      <c r="B1743" s="2" t="inlineStr">
        <is>
          <t>2025-05-08</t>
        </is>
      </c>
      <c r="C1743" s="2" t="inlineStr">
        <is>
          <t>C0104</t>
        </is>
      </c>
      <c r="D1743" s="2" t="inlineStr">
        <is>
          <t>P0024</t>
        </is>
      </c>
      <c r="E1743" s="2" t="inlineStr">
        <is>
          <t>Hair Dryer</t>
        </is>
      </c>
      <c r="F1743" s="2" t="inlineStr">
        <is>
          <t>Beauty</t>
        </is>
      </c>
      <c r="G1743" s="2" t="inlineStr">
        <is>
          <t>West</t>
        </is>
      </c>
      <c r="H1743" s="2" t="inlineStr">
        <is>
          <t>Goa</t>
        </is>
      </c>
      <c r="I1743" s="2" t="inlineStr">
        <is>
          <t>Panaji</t>
        </is>
      </c>
      <c r="J1743" s="2" t="inlineStr">
        <is>
          <t>Store</t>
        </is>
      </c>
      <c r="K1743" s="2" t="n">
        <v>6</v>
      </c>
      <c r="L1743" s="3" t="n">
        <v>973.66</v>
      </c>
      <c r="M1743" s="4" t="n">
        <v>0</v>
      </c>
      <c r="N1743" s="3" t="n">
        <v>4306.83</v>
      </c>
      <c r="O1743" s="3">
        <f>K1743*L1743*(1-M1743)</f>
        <v/>
      </c>
      <c r="P1743" s="3">
        <f>O1743-N1743</f>
        <v/>
      </c>
      <c r="Q1743" s="5">
        <f>IFERROR(P1743/O1743,0)</f>
        <v/>
      </c>
      <c r="R1743" s="2">
        <f>TEXT(DATEVALUE(B1743),"mmm")</f>
        <v/>
      </c>
      <c r="S1743" s="2">
        <f>TEXT(DATEVALUE(B1743),"yyyy-mm")</f>
        <v/>
      </c>
    </row>
    <row r="1744">
      <c r="A1744" s="2" t="inlineStr">
        <is>
          <t>O003587</t>
        </is>
      </c>
      <c r="B1744" s="2" t="inlineStr">
        <is>
          <t>2025-05-08</t>
        </is>
      </c>
      <c r="C1744" s="2" t="inlineStr">
        <is>
          <t>C0547</t>
        </is>
      </c>
      <c r="D1744" s="2" t="inlineStr">
        <is>
          <t>P0003</t>
        </is>
      </c>
      <c r="E1744" s="2" t="inlineStr">
        <is>
          <t>Smartwatch</t>
        </is>
      </c>
      <c r="F1744" s="2" t="inlineStr">
        <is>
          <t>Electronics</t>
        </is>
      </c>
      <c r="G1744" s="2" t="inlineStr">
        <is>
          <t>West</t>
        </is>
      </c>
      <c r="H1744" s="2" t="inlineStr">
        <is>
          <t>Maharashtra</t>
        </is>
      </c>
      <c r="I1744" s="2" t="inlineStr">
        <is>
          <t>Mumbai</t>
        </is>
      </c>
      <c r="J1744" s="2" t="inlineStr">
        <is>
          <t>Online</t>
        </is>
      </c>
      <c r="K1744" s="2" t="n">
        <v>1</v>
      </c>
      <c r="L1744" s="3" t="n">
        <v>2327.23</v>
      </c>
      <c r="M1744" s="4" t="n">
        <v>0.05</v>
      </c>
      <c r="N1744" s="3" t="n">
        <v>1193.05</v>
      </c>
      <c r="O1744" s="3">
        <f>K1744*L1744*(1-M1744)</f>
        <v/>
      </c>
      <c r="P1744" s="3">
        <f>O1744-N1744</f>
        <v/>
      </c>
      <c r="Q1744" s="5">
        <f>IFERROR(P1744/O1744,0)</f>
        <v/>
      </c>
      <c r="R1744" s="2">
        <f>TEXT(DATEVALUE(B1744),"mmm")</f>
        <v/>
      </c>
      <c r="S1744" s="2">
        <f>TEXT(DATEVALUE(B1744),"yyyy-mm")</f>
        <v/>
      </c>
    </row>
    <row r="1745">
      <c r="A1745" s="2" t="inlineStr">
        <is>
          <t>O004221</t>
        </is>
      </c>
      <c r="B1745" s="2" t="inlineStr">
        <is>
          <t>2025-05-08</t>
        </is>
      </c>
      <c r="C1745" s="2" t="inlineStr">
        <is>
          <t>C0311</t>
        </is>
      </c>
      <c r="D1745" s="2" t="inlineStr">
        <is>
          <t>P0007</t>
        </is>
      </c>
      <c r="E1745" s="2" t="inlineStr">
        <is>
          <t>Wireless Mouse</t>
        </is>
      </c>
      <c r="F1745" s="2" t="inlineStr">
        <is>
          <t>Electronics</t>
        </is>
      </c>
      <c r="G1745" s="2" t="inlineStr">
        <is>
          <t>North</t>
        </is>
      </c>
      <c r="H1745" s="2" t="inlineStr">
        <is>
          <t>Haryana</t>
        </is>
      </c>
      <c r="I1745" s="2" t="inlineStr">
        <is>
          <t>Gurugram</t>
        </is>
      </c>
      <c r="J1745" s="2" t="inlineStr">
        <is>
          <t>Online</t>
        </is>
      </c>
      <c r="K1745" s="2" t="n">
        <v>3</v>
      </c>
      <c r="L1745" s="3" t="n">
        <v>1000.19</v>
      </c>
      <c r="M1745" s="4" t="n">
        <v>0</v>
      </c>
      <c r="N1745" s="3" t="n">
        <v>1833.3</v>
      </c>
      <c r="O1745" s="3">
        <f>K1745*L1745*(1-M1745)</f>
        <v/>
      </c>
      <c r="P1745" s="3">
        <f>O1745-N1745</f>
        <v/>
      </c>
      <c r="Q1745" s="5">
        <f>IFERROR(P1745/O1745,0)</f>
        <v/>
      </c>
      <c r="R1745" s="2">
        <f>TEXT(DATEVALUE(B1745),"mmm")</f>
        <v/>
      </c>
      <c r="S1745" s="2">
        <f>TEXT(DATEVALUE(B1745),"yyyy-mm")</f>
        <v/>
      </c>
    </row>
    <row r="1746">
      <c r="A1746" s="2" t="inlineStr">
        <is>
          <t>O004293</t>
        </is>
      </c>
      <c r="B1746" s="2" t="inlineStr">
        <is>
          <t>2025-05-08</t>
        </is>
      </c>
      <c r="C1746" s="2" t="inlineStr">
        <is>
          <t>C0568</t>
        </is>
      </c>
      <c r="D1746" s="2" t="inlineStr">
        <is>
          <t>P0011</t>
        </is>
      </c>
      <c r="E1746" s="2" t="inlineStr">
        <is>
          <t>Cookware Set</t>
        </is>
      </c>
      <c r="F1746" s="2" t="inlineStr">
        <is>
          <t>Home &amp; Kitchen</t>
        </is>
      </c>
      <c r="G1746" s="2" t="inlineStr">
        <is>
          <t>West</t>
        </is>
      </c>
      <c r="H1746" s="2" t="inlineStr">
        <is>
          <t>Gujarat</t>
        </is>
      </c>
      <c r="I1746" s="2" t="inlineStr">
        <is>
          <t>Ahmedabad</t>
        </is>
      </c>
      <c r="J1746" s="2" t="inlineStr">
        <is>
          <t>Online</t>
        </is>
      </c>
      <c r="K1746" s="2" t="n">
        <v>1</v>
      </c>
      <c r="L1746" s="3" t="n">
        <v>722.45</v>
      </c>
      <c r="M1746" s="4" t="n">
        <v>0.1</v>
      </c>
      <c r="N1746" s="3" t="n">
        <v>462.88</v>
      </c>
      <c r="O1746" s="3">
        <f>K1746*L1746*(1-M1746)</f>
        <v/>
      </c>
      <c r="P1746" s="3">
        <f>O1746-N1746</f>
        <v/>
      </c>
      <c r="Q1746" s="5">
        <f>IFERROR(P1746/O1746,0)</f>
        <v/>
      </c>
      <c r="R1746" s="2">
        <f>TEXT(DATEVALUE(B1746),"mmm")</f>
        <v/>
      </c>
      <c r="S1746" s="2">
        <f>TEXT(DATEVALUE(B1746),"yyyy-mm")</f>
        <v/>
      </c>
    </row>
    <row r="1747">
      <c r="A1747" s="2" t="inlineStr">
        <is>
          <t>O004940</t>
        </is>
      </c>
      <c r="B1747" s="2" t="inlineStr">
        <is>
          <t>2025-05-08</t>
        </is>
      </c>
      <c r="C1747" s="2" t="inlineStr">
        <is>
          <t>C0653</t>
        </is>
      </c>
      <c r="D1747" s="2" t="inlineStr">
        <is>
          <t>P0015</t>
        </is>
      </c>
      <c r="E1747" s="2" t="inlineStr">
        <is>
          <t>Running Shoes</t>
        </is>
      </c>
      <c r="F1747" s="2" t="inlineStr">
        <is>
          <t>Fashion</t>
        </is>
      </c>
      <c r="G1747" s="2" t="inlineStr">
        <is>
          <t>West</t>
        </is>
      </c>
      <c r="H1747" s="2" t="inlineStr">
        <is>
          <t>Gujarat</t>
        </is>
      </c>
      <c r="I1747" s="2" t="inlineStr">
        <is>
          <t>Surat</t>
        </is>
      </c>
      <c r="J1747" s="2" t="inlineStr">
        <is>
          <t>Store</t>
        </is>
      </c>
      <c r="K1747" s="2" t="n">
        <v>2</v>
      </c>
      <c r="L1747" s="3" t="n">
        <v>588.76</v>
      </c>
      <c r="M1747" s="4" t="n">
        <v>0.1</v>
      </c>
      <c r="N1747" s="3" t="n">
        <v>753.62</v>
      </c>
      <c r="O1747" s="3">
        <f>K1747*L1747*(1-M1747)</f>
        <v/>
      </c>
      <c r="P1747" s="3">
        <f>O1747-N1747</f>
        <v/>
      </c>
      <c r="Q1747" s="5">
        <f>IFERROR(P1747/O1747,0)</f>
        <v/>
      </c>
      <c r="R1747" s="2">
        <f>TEXT(DATEVALUE(B1747),"mmm")</f>
        <v/>
      </c>
      <c r="S1747" s="2">
        <f>TEXT(DATEVALUE(B1747),"yyyy-mm")</f>
        <v/>
      </c>
    </row>
    <row r="1748">
      <c r="A1748" s="2" t="inlineStr">
        <is>
          <t>O003015</t>
        </is>
      </c>
      <c r="B1748" s="2" t="inlineStr">
        <is>
          <t>2025-05-08</t>
        </is>
      </c>
      <c r="C1748" s="2" t="inlineStr">
        <is>
          <t>C0055</t>
        </is>
      </c>
      <c r="D1748" s="2" t="inlineStr">
        <is>
          <t>P0018</t>
        </is>
      </c>
      <c r="E1748" s="2" t="inlineStr">
        <is>
          <t>Backpack</t>
        </is>
      </c>
      <c r="F1748" s="2" t="inlineStr">
        <is>
          <t>Fashion</t>
        </is>
      </c>
      <c r="G1748" s="2" t="inlineStr">
        <is>
          <t>East</t>
        </is>
      </c>
      <c r="H1748" s="2" t="inlineStr">
        <is>
          <t>Odisha</t>
        </is>
      </c>
      <c r="I1748" s="2" t="inlineStr">
        <is>
          <t>Cuttack</t>
        </is>
      </c>
      <c r="J1748" s="2" t="inlineStr">
        <is>
          <t>Store</t>
        </is>
      </c>
      <c r="K1748" s="2" t="n">
        <v>3</v>
      </c>
      <c r="L1748" s="3" t="n">
        <v>1880.37</v>
      </c>
      <c r="M1748" s="4" t="n">
        <v>0.05</v>
      </c>
      <c r="N1748" s="3" t="n">
        <v>3964.1</v>
      </c>
      <c r="O1748" s="3">
        <f>K1748*L1748*(1-M1748)</f>
        <v/>
      </c>
      <c r="P1748" s="3">
        <f>O1748-N1748</f>
        <v/>
      </c>
      <c r="Q1748" s="5">
        <f>IFERROR(P1748/O1748,0)</f>
        <v/>
      </c>
      <c r="R1748" s="2">
        <f>TEXT(DATEVALUE(B1748),"mmm")</f>
        <v/>
      </c>
      <c r="S1748" s="2">
        <f>TEXT(DATEVALUE(B1748),"yyyy-mm")</f>
        <v/>
      </c>
    </row>
    <row r="1749">
      <c r="A1749" s="2" t="inlineStr">
        <is>
          <t>O004608</t>
        </is>
      </c>
      <c r="B1749" s="2" t="inlineStr">
        <is>
          <t>2025-05-08</t>
        </is>
      </c>
      <c r="C1749" s="2" t="inlineStr">
        <is>
          <t>C0214</t>
        </is>
      </c>
      <c r="D1749" s="2" t="inlineStr">
        <is>
          <t>P0020</t>
        </is>
      </c>
      <c r="E1749" s="2" t="inlineStr">
        <is>
          <t>Sneakers</t>
        </is>
      </c>
      <c r="F1749" s="2" t="inlineStr">
        <is>
          <t>Fashion</t>
        </is>
      </c>
      <c r="G1749" s="2" t="inlineStr">
        <is>
          <t>West</t>
        </is>
      </c>
      <c r="H1749" s="2" t="inlineStr">
        <is>
          <t>Maharashtra</t>
        </is>
      </c>
      <c r="I1749" s="2" t="inlineStr">
        <is>
          <t>Pune</t>
        </is>
      </c>
      <c r="J1749" s="2" t="inlineStr">
        <is>
          <t>Online</t>
        </is>
      </c>
      <c r="K1749" s="2" t="n">
        <v>2</v>
      </c>
      <c r="L1749" s="3" t="n">
        <v>1903.77</v>
      </c>
      <c r="M1749" s="4" t="n">
        <v>0.05</v>
      </c>
      <c r="N1749" s="3" t="n">
        <v>3056.78</v>
      </c>
      <c r="O1749" s="3">
        <f>K1749*L1749*(1-M1749)</f>
        <v/>
      </c>
      <c r="P1749" s="3">
        <f>O1749-N1749</f>
        <v/>
      </c>
      <c r="Q1749" s="5">
        <f>IFERROR(P1749/O1749,0)</f>
        <v/>
      </c>
      <c r="R1749" s="2">
        <f>TEXT(DATEVALUE(B1749),"mmm")</f>
        <v/>
      </c>
      <c r="S1749" s="2">
        <f>TEXT(DATEVALUE(B1749),"yyyy-mm")</f>
        <v/>
      </c>
    </row>
    <row r="1750">
      <c r="A1750" s="2" t="inlineStr">
        <is>
          <t>O002667</t>
        </is>
      </c>
      <c r="B1750" s="2" t="inlineStr">
        <is>
          <t>2025-05-08</t>
        </is>
      </c>
      <c r="C1750" s="2" t="inlineStr">
        <is>
          <t>C0385</t>
        </is>
      </c>
      <c r="D1750" s="2" t="inlineStr">
        <is>
          <t>P0022</t>
        </is>
      </c>
      <c r="E1750" s="2" t="inlineStr">
        <is>
          <t>Face Wash</t>
        </is>
      </c>
      <c r="F1750" s="2" t="inlineStr">
        <is>
          <t>Beauty</t>
        </is>
      </c>
      <c r="G1750" s="2" t="inlineStr">
        <is>
          <t>North</t>
        </is>
      </c>
      <c r="H1750" s="2" t="inlineStr">
        <is>
          <t>Delhi</t>
        </is>
      </c>
      <c r="I1750" s="2" t="inlineStr">
        <is>
          <t>New Delhi</t>
        </is>
      </c>
      <c r="J1750" s="2" t="inlineStr">
        <is>
          <t>Online</t>
        </is>
      </c>
      <c r="K1750" s="2" t="n">
        <v>1</v>
      </c>
      <c r="L1750" s="3" t="n">
        <v>567.55</v>
      </c>
      <c r="M1750" s="4" t="n">
        <v>0.05</v>
      </c>
      <c r="N1750" s="3" t="n">
        <v>351.45</v>
      </c>
      <c r="O1750" s="3">
        <f>K1750*L1750*(1-M1750)</f>
        <v/>
      </c>
      <c r="P1750" s="3">
        <f>O1750-N1750</f>
        <v/>
      </c>
      <c r="Q1750" s="5">
        <f>IFERROR(P1750/O1750,0)</f>
        <v/>
      </c>
      <c r="R1750" s="2">
        <f>TEXT(DATEVALUE(B1750),"mmm")</f>
        <v/>
      </c>
      <c r="S1750" s="2">
        <f>TEXT(DATEVALUE(B1750),"yyyy-mm")</f>
        <v/>
      </c>
    </row>
    <row r="1751">
      <c r="A1751" s="2" t="inlineStr">
        <is>
          <t>O000305</t>
        </is>
      </c>
      <c r="B1751" s="2" t="inlineStr">
        <is>
          <t>2025-05-08</t>
        </is>
      </c>
      <c r="C1751" s="2" t="inlineStr">
        <is>
          <t>C0616</t>
        </is>
      </c>
      <c r="D1751" s="2" t="inlineStr">
        <is>
          <t>P0002</t>
        </is>
      </c>
      <c r="E1751" s="2" t="inlineStr">
        <is>
          <t>Bluetooth Speaker</t>
        </is>
      </c>
      <c r="F1751" s="2" t="inlineStr">
        <is>
          <t>Electronics</t>
        </is>
      </c>
      <c r="G1751" s="2" t="inlineStr">
        <is>
          <t>West</t>
        </is>
      </c>
      <c r="H1751" s="2" t="inlineStr">
        <is>
          <t>Maharashtra</t>
        </is>
      </c>
      <c r="I1751" s="2" t="inlineStr">
        <is>
          <t>Pune</t>
        </is>
      </c>
      <c r="J1751" s="2" t="inlineStr">
        <is>
          <t>Online</t>
        </is>
      </c>
      <c r="K1751" s="2" t="n">
        <v>1</v>
      </c>
      <c r="L1751" s="3" t="n">
        <v>1354.49</v>
      </c>
      <c r="M1751" s="4" t="n">
        <v>0.05</v>
      </c>
      <c r="N1751" s="3" t="n">
        <v>796.25</v>
      </c>
      <c r="O1751" s="3">
        <f>K1751*L1751*(1-M1751)</f>
        <v/>
      </c>
      <c r="P1751" s="3">
        <f>O1751-N1751</f>
        <v/>
      </c>
      <c r="Q1751" s="5">
        <f>IFERROR(P1751/O1751,0)</f>
        <v/>
      </c>
      <c r="R1751" s="2">
        <f>TEXT(DATEVALUE(B1751),"mmm")</f>
        <v/>
      </c>
      <c r="S1751" s="2">
        <f>TEXT(DATEVALUE(B1751),"yyyy-mm")</f>
        <v/>
      </c>
    </row>
    <row r="1752">
      <c r="A1752" s="2" t="inlineStr">
        <is>
          <t>O001339</t>
        </is>
      </c>
      <c r="B1752" s="2" t="inlineStr">
        <is>
          <t>2025-05-08</t>
        </is>
      </c>
      <c r="C1752" s="2" t="inlineStr">
        <is>
          <t>C0795</t>
        </is>
      </c>
      <c r="D1752" s="2" t="inlineStr">
        <is>
          <t>P0017</t>
        </is>
      </c>
      <c r="E1752" s="2" t="inlineStr">
        <is>
          <t>Jeans</t>
        </is>
      </c>
      <c r="F1752" s="2" t="inlineStr">
        <is>
          <t>Fashion</t>
        </is>
      </c>
      <c r="G1752" s="2" t="inlineStr">
        <is>
          <t>East</t>
        </is>
      </c>
      <c r="H1752" s="2" t="inlineStr">
        <is>
          <t>West Bengal</t>
        </is>
      </c>
      <c r="I1752" s="2" t="inlineStr">
        <is>
          <t>Durgapur</t>
        </is>
      </c>
      <c r="J1752" s="2" t="inlineStr">
        <is>
          <t>Online</t>
        </is>
      </c>
      <c r="K1752" s="2" t="n">
        <v>1</v>
      </c>
      <c r="L1752" s="3" t="n">
        <v>1537.77</v>
      </c>
      <c r="M1752" s="4" t="n">
        <v>0.1</v>
      </c>
      <c r="N1752" s="3" t="n">
        <v>1027.43</v>
      </c>
      <c r="O1752" s="3">
        <f>K1752*L1752*(1-M1752)</f>
        <v/>
      </c>
      <c r="P1752" s="3">
        <f>O1752-N1752</f>
        <v/>
      </c>
      <c r="Q1752" s="5">
        <f>IFERROR(P1752/O1752,0)</f>
        <v/>
      </c>
      <c r="R1752" s="2">
        <f>TEXT(DATEVALUE(B1752),"mmm")</f>
        <v/>
      </c>
      <c r="S1752" s="2">
        <f>TEXT(DATEVALUE(B1752),"yyyy-mm")</f>
        <v/>
      </c>
    </row>
    <row r="1753">
      <c r="A1753" s="2" t="inlineStr">
        <is>
          <t>O001314</t>
        </is>
      </c>
      <c r="B1753" s="2" t="inlineStr">
        <is>
          <t>2025-05-08</t>
        </is>
      </c>
      <c r="C1753" s="2" t="inlineStr">
        <is>
          <t>C0476</t>
        </is>
      </c>
      <c r="D1753" s="2" t="inlineStr">
        <is>
          <t>P0023</t>
        </is>
      </c>
      <c r="E1753" s="2" t="inlineStr">
        <is>
          <t>Skin Care Kit</t>
        </is>
      </c>
      <c r="F1753" s="2" t="inlineStr">
        <is>
          <t>Beauty</t>
        </is>
      </c>
      <c r="G1753" s="2" t="inlineStr">
        <is>
          <t>West</t>
        </is>
      </c>
      <c r="H1753" s="2" t="inlineStr">
        <is>
          <t>Gujarat</t>
        </is>
      </c>
      <c r="I1753" s="2" t="inlineStr">
        <is>
          <t>Ahmedabad</t>
        </is>
      </c>
      <c r="J1753" s="2" t="inlineStr">
        <is>
          <t>Store</t>
        </is>
      </c>
      <c r="K1753" s="2" t="n">
        <v>1</v>
      </c>
      <c r="L1753" s="3" t="n">
        <v>1413.41</v>
      </c>
      <c r="M1753" s="4" t="n">
        <v>0.15</v>
      </c>
      <c r="N1753" s="3" t="n">
        <v>889.88</v>
      </c>
      <c r="O1753" s="3">
        <f>K1753*L1753*(1-M1753)</f>
        <v/>
      </c>
      <c r="P1753" s="3">
        <f>O1753-N1753</f>
        <v/>
      </c>
      <c r="Q1753" s="5">
        <f>IFERROR(P1753/O1753,0)</f>
        <v/>
      </c>
      <c r="R1753" s="2">
        <f>TEXT(DATEVALUE(B1753),"mmm")</f>
        <v/>
      </c>
      <c r="S1753" s="2">
        <f>TEXT(DATEVALUE(B1753),"yyyy-mm")</f>
        <v/>
      </c>
    </row>
    <row r="1754">
      <c r="A1754" s="2" t="inlineStr">
        <is>
          <t>O001185</t>
        </is>
      </c>
      <c r="B1754" s="2" t="inlineStr">
        <is>
          <t>2025-05-08</t>
        </is>
      </c>
      <c r="C1754" s="2" t="inlineStr">
        <is>
          <t>C0471</t>
        </is>
      </c>
      <c r="D1754" s="2" t="inlineStr">
        <is>
          <t>P0024</t>
        </is>
      </c>
      <c r="E1754" s="2" t="inlineStr">
        <is>
          <t>Hair Dryer</t>
        </is>
      </c>
      <c r="F1754" s="2" t="inlineStr">
        <is>
          <t>Beauty</t>
        </is>
      </c>
      <c r="G1754" s="2" t="inlineStr">
        <is>
          <t>North</t>
        </is>
      </c>
      <c r="H1754" s="2" t="inlineStr">
        <is>
          <t>Uttar Pradesh</t>
        </is>
      </c>
      <c r="I1754" s="2" t="inlineStr">
        <is>
          <t>Noida</t>
        </is>
      </c>
      <c r="J1754" s="2" t="inlineStr">
        <is>
          <t>Online</t>
        </is>
      </c>
      <c r="K1754" s="2" t="n">
        <v>1</v>
      </c>
      <c r="L1754" s="3" t="n">
        <v>1016.85</v>
      </c>
      <c r="M1754" s="4" t="n">
        <v>0.05</v>
      </c>
      <c r="N1754" s="3" t="n">
        <v>720.96</v>
      </c>
      <c r="O1754" s="3">
        <f>K1754*L1754*(1-M1754)</f>
        <v/>
      </c>
      <c r="P1754" s="3">
        <f>O1754-N1754</f>
        <v/>
      </c>
      <c r="Q1754" s="5">
        <f>IFERROR(P1754/O1754,0)</f>
        <v/>
      </c>
      <c r="R1754" s="2">
        <f>TEXT(DATEVALUE(B1754),"mmm")</f>
        <v/>
      </c>
      <c r="S1754" s="2">
        <f>TEXT(DATEVALUE(B1754),"yyyy-mm")</f>
        <v/>
      </c>
    </row>
    <row r="1755">
      <c r="A1755" s="2" t="inlineStr">
        <is>
          <t>O000352</t>
        </is>
      </c>
      <c r="B1755" s="2" t="inlineStr">
        <is>
          <t>2025-05-08</t>
        </is>
      </c>
      <c r="C1755" s="2" t="inlineStr">
        <is>
          <t>C0766</t>
        </is>
      </c>
      <c r="D1755" s="2" t="inlineStr">
        <is>
          <t>P0012</t>
        </is>
      </c>
      <c r="E1755" s="2" t="inlineStr">
        <is>
          <t>Water Bottle</t>
        </is>
      </c>
      <c r="F1755" s="2" t="inlineStr">
        <is>
          <t>Home &amp; Kitchen</t>
        </is>
      </c>
      <c r="G1755" s="2" t="inlineStr">
        <is>
          <t>East</t>
        </is>
      </c>
      <c r="H1755" s="2" t="inlineStr">
        <is>
          <t>Bihar</t>
        </is>
      </c>
      <c r="I1755" s="2" t="inlineStr">
        <is>
          <t>Gaya</t>
        </is>
      </c>
      <c r="J1755" s="2" t="inlineStr">
        <is>
          <t>Online</t>
        </is>
      </c>
      <c r="K1755" s="2" t="n">
        <v>1</v>
      </c>
      <c r="L1755" s="3" t="n">
        <v>937.83</v>
      </c>
      <c r="M1755" s="4" t="n">
        <v>0.1</v>
      </c>
      <c r="N1755" s="3" t="n">
        <v>637.98</v>
      </c>
      <c r="O1755" s="3">
        <f>K1755*L1755*(1-M1755)</f>
        <v/>
      </c>
      <c r="P1755" s="3">
        <f>O1755-N1755</f>
        <v/>
      </c>
      <c r="Q1755" s="5">
        <f>IFERROR(P1755/O1755,0)</f>
        <v/>
      </c>
      <c r="R1755" s="2">
        <f>TEXT(DATEVALUE(B1755),"mmm")</f>
        <v/>
      </c>
      <c r="S1755" s="2">
        <f>TEXT(DATEVALUE(B1755),"yyyy-mm")</f>
        <v/>
      </c>
    </row>
    <row r="1756">
      <c r="A1756" s="2" t="inlineStr">
        <is>
          <t>O000249</t>
        </is>
      </c>
      <c r="B1756" s="2" t="inlineStr">
        <is>
          <t>2025-05-08</t>
        </is>
      </c>
      <c r="C1756" s="2" t="inlineStr">
        <is>
          <t>C0115</t>
        </is>
      </c>
      <c r="D1756" s="2" t="inlineStr">
        <is>
          <t>P0022</t>
        </is>
      </c>
      <c r="E1756" s="2" t="inlineStr">
        <is>
          <t>Face Wash</t>
        </is>
      </c>
      <c r="F1756" s="2" t="inlineStr">
        <is>
          <t>Beauty</t>
        </is>
      </c>
      <c r="G1756" s="2" t="inlineStr">
        <is>
          <t>West</t>
        </is>
      </c>
      <c r="H1756" s="2" t="inlineStr">
        <is>
          <t>Maharashtra</t>
        </is>
      </c>
      <c r="I1756" s="2" t="inlineStr">
        <is>
          <t>Pune</t>
        </is>
      </c>
      <c r="J1756" s="2" t="inlineStr">
        <is>
          <t>Online</t>
        </is>
      </c>
      <c r="K1756" s="2" t="n">
        <v>4</v>
      </c>
      <c r="L1756" s="3" t="n">
        <v>559.22</v>
      </c>
      <c r="M1756" s="4" t="n">
        <v>0.1</v>
      </c>
      <c r="N1756" s="3" t="n">
        <v>1402.12</v>
      </c>
      <c r="O1756" s="3">
        <f>K1756*L1756*(1-M1756)</f>
        <v/>
      </c>
      <c r="P1756" s="3">
        <f>O1756-N1756</f>
        <v/>
      </c>
      <c r="Q1756" s="5">
        <f>IFERROR(P1756/O1756,0)</f>
        <v/>
      </c>
      <c r="R1756" s="2">
        <f>TEXT(DATEVALUE(B1756),"mmm")</f>
        <v/>
      </c>
      <c r="S1756" s="2">
        <f>TEXT(DATEVALUE(B1756),"yyyy-mm")</f>
        <v/>
      </c>
    </row>
    <row r="1757">
      <c r="A1757" s="2" t="inlineStr">
        <is>
          <t>O000171</t>
        </is>
      </c>
      <c r="B1757" s="2" t="inlineStr">
        <is>
          <t>2025-05-08</t>
        </is>
      </c>
      <c r="C1757" s="2" t="inlineStr">
        <is>
          <t>C0686</t>
        </is>
      </c>
      <c r="D1757" s="2" t="inlineStr">
        <is>
          <t>P0011</t>
        </is>
      </c>
      <c r="E1757" s="2" t="inlineStr">
        <is>
          <t>Cookware Set</t>
        </is>
      </c>
      <c r="F1757" s="2" t="inlineStr">
        <is>
          <t>Home &amp; Kitchen</t>
        </is>
      </c>
      <c r="G1757" s="2" t="inlineStr">
        <is>
          <t>South</t>
        </is>
      </c>
      <c r="H1757" s="2" t="inlineStr">
        <is>
          <t>Tamil Nadu</t>
        </is>
      </c>
      <c r="I1757" s="2" t="inlineStr">
        <is>
          <t>Madurai</t>
        </is>
      </c>
      <c r="J1757" s="2" t="inlineStr">
        <is>
          <t>Online</t>
        </is>
      </c>
      <c r="K1757" s="2" t="n">
        <v>1</v>
      </c>
      <c r="L1757" s="3" t="n">
        <v>684.75</v>
      </c>
      <c r="M1757" s="4" t="n">
        <v>0.2</v>
      </c>
      <c r="N1757" s="3" t="n">
        <v>480.02</v>
      </c>
      <c r="O1757" s="3">
        <f>K1757*L1757*(1-M1757)</f>
        <v/>
      </c>
      <c r="P1757" s="3">
        <f>O1757-N1757</f>
        <v/>
      </c>
      <c r="Q1757" s="5">
        <f>IFERROR(P1757/O1757,0)</f>
        <v/>
      </c>
      <c r="R1757" s="2">
        <f>TEXT(DATEVALUE(B1757),"mmm")</f>
        <v/>
      </c>
      <c r="S1757" s="2">
        <f>TEXT(DATEVALUE(B1757),"yyyy-mm")</f>
        <v/>
      </c>
    </row>
    <row r="1758">
      <c r="A1758" s="2" t="inlineStr">
        <is>
          <t>O002415</t>
        </is>
      </c>
      <c r="B1758" s="2" t="inlineStr">
        <is>
          <t>2025-05-08</t>
        </is>
      </c>
      <c r="C1758" s="2" t="inlineStr">
        <is>
          <t>C0696</t>
        </is>
      </c>
      <c r="D1758" s="2" t="inlineStr">
        <is>
          <t>P0013</t>
        </is>
      </c>
      <c r="E1758" s="2" t="inlineStr">
        <is>
          <t>Storage Organizer</t>
        </is>
      </c>
      <c r="F1758" s="2" t="inlineStr">
        <is>
          <t>Home &amp; Kitchen</t>
        </is>
      </c>
      <c r="G1758" s="2" t="inlineStr">
        <is>
          <t>South</t>
        </is>
      </c>
      <c r="H1758" s="2" t="inlineStr">
        <is>
          <t>Telangana</t>
        </is>
      </c>
      <c r="I1758" s="2" t="inlineStr">
        <is>
          <t>Hyderabad</t>
        </is>
      </c>
      <c r="J1758" s="2" t="inlineStr">
        <is>
          <t>Store</t>
        </is>
      </c>
      <c r="K1758" s="2" t="n">
        <v>4</v>
      </c>
      <c r="L1758" s="3" t="n">
        <v>577.6799999999999</v>
      </c>
      <c r="M1758" s="4" t="n">
        <v>0</v>
      </c>
      <c r="N1758" s="3" t="n">
        <v>1491.94</v>
      </c>
      <c r="O1758" s="3">
        <f>K1758*L1758*(1-M1758)</f>
        <v/>
      </c>
      <c r="P1758" s="3">
        <f>O1758-N1758</f>
        <v/>
      </c>
      <c r="Q1758" s="5">
        <f>IFERROR(P1758/O1758,0)</f>
        <v/>
      </c>
      <c r="R1758" s="2">
        <f>TEXT(DATEVALUE(B1758),"mmm")</f>
        <v/>
      </c>
      <c r="S1758" s="2">
        <f>TEXT(DATEVALUE(B1758),"yyyy-mm")</f>
        <v/>
      </c>
    </row>
    <row r="1759">
      <c r="A1759" s="2" t="inlineStr">
        <is>
          <t>O004773</t>
        </is>
      </c>
      <c r="B1759" s="2" t="inlineStr">
        <is>
          <t>2025-05-09</t>
        </is>
      </c>
      <c r="C1759" s="2" t="inlineStr">
        <is>
          <t>C0385</t>
        </is>
      </c>
      <c r="D1759" s="2" t="inlineStr">
        <is>
          <t>P0024</t>
        </is>
      </c>
      <c r="E1759" s="2" t="inlineStr">
        <is>
          <t>Hair Dryer</t>
        </is>
      </c>
      <c r="F1759" s="2" t="inlineStr">
        <is>
          <t>Beauty</t>
        </is>
      </c>
      <c r="G1759" s="2" t="inlineStr">
        <is>
          <t>East</t>
        </is>
      </c>
      <c r="H1759" s="2" t="inlineStr">
        <is>
          <t>Odisha</t>
        </is>
      </c>
      <c r="I1759" s="2" t="inlineStr">
        <is>
          <t>Cuttack</t>
        </is>
      </c>
      <c r="J1759" s="2" t="inlineStr">
        <is>
          <t>Online</t>
        </is>
      </c>
      <c r="K1759" s="2" t="n">
        <v>1</v>
      </c>
      <c r="L1759" s="3" t="n">
        <v>1006.81</v>
      </c>
      <c r="M1759" s="4" t="n">
        <v>0.05</v>
      </c>
      <c r="N1759" s="3" t="n">
        <v>735.21</v>
      </c>
      <c r="O1759" s="3">
        <f>K1759*L1759*(1-M1759)</f>
        <v/>
      </c>
      <c r="P1759" s="3">
        <f>O1759-N1759</f>
        <v/>
      </c>
      <c r="Q1759" s="5">
        <f>IFERROR(P1759/O1759,0)</f>
        <v/>
      </c>
      <c r="R1759" s="2">
        <f>TEXT(DATEVALUE(B1759),"mmm")</f>
        <v/>
      </c>
      <c r="S1759" s="2">
        <f>TEXT(DATEVALUE(B1759),"yyyy-mm")</f>
        <v/>
      </c>
    </row>
    <row r="1760">
      <c r="A1760" s="2" t="inlineStr">
        <is>
          <t>O002989</t>
        </is>
      </c>
      <c r="B1760" s="2" t="inlineStr">
        <is>
          <t>2025-05-09</t>
        </is>
      </c>
      <c r="C1760" s="2" t="inlineStr">
        <is>
          <t>C0438</t>
        </is>
      </c>
      <c r="D1760" s="2" t="inlineStr">
        <is>
          <t>P0021</t>
        </is>
      </c>
      <c r="E1760" s="2" t="inlineStr">
        <is>
          <t>Wallet</t>
        </is>
      </c>
      <c r="F1760" s="2" t="inlineStr">
        <is>
          <t>Fashion</t>
        </is>
      </c>
      <c r="G1760" s="2" t="inlineStr">
        <is>
          <t>West</t>
        </is>
      </c>
      <c r="H1760" s="2" t="inlineStr">
        <is>
          <t>Gujarat</t>
        </is>
      </c>
      <c r="I1760" s="2" t="inlineStr">
        <is>
          <t>Vadodara</t>
        </is>
      </c>
      <c r="J1760" s="2" t="inlineStr">
        <is>
          <t>Online</t>
        </is>
      </c>
      <c r="K1760" s="2" t="n">
        <v>1</v>
      </c>
      <c r="L1760" s="3" t="n">
        <v>2050.19</v>
      </c>
      <c r="M1760" s="4" t="n">
        <v>0.05</v>
      </c>
      <c r="N1760" s="3" t="n">
        <v>1195.45</v>
      </c>
      <c r="O1760" s="3">
        <f>K1760*L1760*(1-M1760)</f>
        <v/>
      </c>
      <c r="P1760" s="3">
        <f>O1760-N1760</f>
        <v/>
      </c>
      <c r="Q1760" s="5">
        <f>IFERROR(P1760/O1760,0)</f>
        <v/>
      </c>
      <c r="R1760" s="2">
        <f>TEXT(DATEVALUE(B1760),"mmm")</f>
        <v/>
      </c>
      <c r="S1760" s="2">
        <f>TEXT(DATEVALUE(B1760),"yyyy-mm")</f>
        <v/>
      </c>
    </row>
    <row r="1761">
      <c r="A1761" s="2" t="inlineStr">
        <is>
          <t>O004507</t>
        </is>
      </c>
      <c r="B1761" s="2" t="inlineStr">
        <is>
          <t>2025-05-09</t>
        </is>
      </c>
      <c r="C1761" s="2" t="inlineStr">
        <is>
          <t>C0671</t>
        </is>
      </c>
      <c r="D1761" s="2" t="inlineStr">
        <is>
          <t>P0004</t>
        </is>
      </c>
      <c r="E1761" s="2" t="inlineStr">
        <is>
          <t>USB-C Hub</t>
        </is>
      </c>
      <c r="F1761" s="2" t="inlineStr">
        <is>
          <t>Electronics</t>
        </is>
      </c>
      <c r="G1761" s="2" t="inlineStr">
        <is>
          <t>West</t>
        </is>
      </c>
      <c r="H1761" s="2" t="inlineStr">
        <is>
          <t>Maharashtra</t>
        </is>
      </c>
      <c r="I1761" s="2" t="inlineStr">
        <is>
          <t>Pune</t>
        </is>
      </c>
      <c r="J1761" s="2" t="inlineStr">
        <is>
          <t>Online</t>
        </is>
      </c>
      <c r="K1761" s="2" t="n">
        <v>1</v>
      </c>
      <c r="L1761" s="3" t="n">
        <v>1242.65</v>
      </c>
      <c r="M1761" s="4" t="n">
        <v>0.05</v>
      </c>
      <c r="N1761" s="3" t="n">
        <v>936.4299999999999</v>
      </c>
      <c r="O1761" s="3">
        <f>K1761*L1761*(1-M1761)</f>
        <v/>
      </c>
      <c r="P1761" s="3">
        <f>O1761-N1761</f>
        <v/>
      </c>
      <c r="Q1761" s="5">
        <f>IFERROR(P1761/O1761,0)</f>
        <v/>
      </c>
      <c r="R1761" s="2">
        <f>TEXT(DATEVALUE(B1761),"mmm")</f>
        <v/>
      </c>
      <c r="S1761" s="2">
        <f>TEXT(DATEVALUE(B1761),"yyyy-mm")</f>
        <v/>
      </c>
    </row>
    <row r="1762">
      <c r="A1762" s="2" t="inlineStr">
        <is>
          <t>O004488</t>
        </is>
      </c>
      <c r="B1762" s="2" t="inlineStr">
        <is>
          <t>2025-05-09</t>
        </is>
      </c>
      <c r="C1762" s="2" t="inlineStr">
        <is>
          <t>C0334</t>
        </is>
      </c>
      <c r="D1762" s="2" t="inlineStr">
        <is>
          <t>P0012</t>
        </is>
      </c>
      <c r="E1762" s="2" t="inlineStr">
        <is>
          <t>Water Bottle</t>
        </is>
      </c>
      <c r="F1762" s="2" t="inlineStr">
        <is>
          <t>Home &amp; Kitchen</t>
        </is>
      </c>
      <c r="G1762" s="2" t="inlineStr">
        <is>
          <t>North</t>
        </is>
      </c>
      <c r="H1762" s="2" t="inlineStr">
        <is>
          <t>Delhi</t>
        </is>
      </c>
      <c r="I1762" s="2" t="inlineStr">
        <is>
          <t>New Delhi</t>
        </is>
      </c>
      <c r="J1762" s="2" t="inlineStr">
        <is>
          <t>Online</t>
        </is>
      </c>
      <c r="K1762" s="2" t="n">
        <v>3</v>
      </c>
      <c r="L1762" s="3" t="n">
        <v>967.01</v>
      </c>
      <c r="M1762" s="4" t="n">
        <v>0.15</v>
      </c>
      <c r="N1762" s="3" t="n">
        <v>1818.81</v>
      </c>
      <c r="O1762" s="3">
        <f>K1762*L1762*(1-M1762)</f>
        <v/>
      </c>
      <c r="P1762" s="3">
        <f>O1762-N1762</f>
        <v/>
      </c>
      <c r="Q1762" s="5">
        <f>IFERROR(P1762/O1762,0)</f>
        <v/>
      </c>
      <c r="R1762" s="2">
        <f>TEXT(DATEVALUE(B1762),"mmm")</f>
        <v/>
      </c>
      <c r="S1762" s="2">
        <f>TEXT(DATEVALUE(B1762),"yyyy-mm")</f>
        <v/>
      </c>
    </row>
    <row r="1763">
      <c r="A1763" s="2" t="inlineStr">
        <is>
          <t>O004023</t>
        </is>
      </c>
      <c r="B1763" s="2" t="inlineStr">
        <is>
          <t>2025-05-09</t>
        </is>
      </c>
      <c r="C1763" s="2" t="inlineStr">
        <is>
          <t>C0286</t>
        </is>
      </c>
      <c r="D1763" s="2" t="inlineStr">
        <is>
          <t>P0029</t>
        </is>
      </c>
      <c r="E1763" s="2" t="inlineStr">
        <is>
          <t>Yoga Mat</t>
        </is>
      </c>
      <c r="F1763" s="2" t="inlineStr">
        <is>
          <t>Sports</t>
        </is>
      </c>
      <c r="G1763" s="2" t="inlineStr">
        <is>
          <t>West</t>
        </is>
      </c>
      <c r="H1763" s="2" t="inlineStr">
        <is>
          <t>Gujarat</t>
        </is>
      </c>
      <c r="I1763" s="2" t="inlineStr">
        <is>
          <t>Surat</t>
        </is>
      </c>
      <c r="J1763" s="2" t="inlineStr">
        <is>
          <t>Online</t>
        </is>
      </c>
      <c r="K1763" s="2" t="n">
        <v>5</v>
      </c>
      <c r="L1763" s="3" t="n">
        <v>2329.89</v>
      </c>
      <c r="M1763" s="4" t="n">
        <v>0.15</v>
      </c>
      <c r="N1763" s="3" t="n">
        <v>6455.24</v>
      </c>
      <c r="O1763" s="3">
        <f>K1763*L1763*(1-M1763)</f>
        <v/>
      </c>
      <c r="P1763" s="3">
        <f>O1763-N1763</f>
        <v/>
      </c>
      <c r="Q1763" s="5">
        <f>IFERROR(P1763/O1763,0)</f>
        <v/>
      </c>
      <c r="R1763" s="2">
        <f>TEXT(DATEVALUE(B1763),"mmm")</f>
        <v/>
      </c>
      <c r="S1763" s="2">
        <f>TEXT(DATEVALUE(B1763),"yyyy-mm")</f>
        <v/>
      </c>
    </row>
    <row r="1764">
      <c r="A1764" s="2" t="inlineStr">
        <is>
          <t>O003003</t>
        </is>
      </c>
      <c r="B1764" s="2" t="inlineStr">
        <is>
          <t>2025-05-09</t>
        </is>
      </c>
      <c r="C1764" s="2" t="inlineStr">
        <is>
          <t>C0573</t>
        </is>
      </c>
      <c r="D1764" s="2" t="inlineStr">
        <is>
          <t>P0022</t>
        </is>
      </c>
      <c r="E1764" s="2" t="inlineStr">
        <is>
          <t>Face Wash</t>
        </is>
      </c>
      <c r="F1764" s="2" t="inlineStr">
        <is>
          <t>Beauty</t>
        </is>
      </c>
      <c r="G1764" s="2" t="inlineStr">
        <is>
          <t>West</t>
        </is>
      </c>
      <c r="H1764" s="2" t="inlineStr">
        <is>
          <t>Gujarat</t>
        </is>
      </c>
      <c r="I1764" s="2" t="inlineStr">
        <is>
          <t>Surat</t>
        </is>
      </c>
      <c r="J1764" s="2" t="inlineStr">
        <is>
          <t>Online</t>
        </is>
      </c>
      <c r="K1764" s="2" t="n">
        <v>3</v>
      </c>
      <c r="L1764" s="3" t="n">
        <v>574.09</v>
      </c>
      <c r="M1764" s="4" t="n">
        <v>0.1</v>
      </c>
      <c r="N1764" s="3" t="n">
        <v>1069.43</v>
      </c>
      <c r="O1764" s="3">
        <f>K1764*L1764*(1-M1764)</f>
        <v/>
      </c>
      <c r="P1764" s="3">
        <f>O1764-N1764</f>
        <v/>
      </c>
      <c r="Q1764" s="5">
        <f>IFERROR(P1764/O1764,0)</f>
        <v/>
      </c>
      <c r="R1764" s="2">
        <f>TEXT(DATEVALUE(B1764),"mmm")</f>
        <v/>
      </c>
      <c r="S1764" s="2">
        <f>TEXT(DATEVALUE(B1764),"yyyy-mm")</f>
        <v/>
      </c>
    </row>
    <row r="1765">
      <c r="A1765" s="2" t="inlineStr">
        <is>
          <t>O002819</t>
        </is>
      </c>
      <c r="B1765" s="2" t="inlineStr">
        <is>
          <t>2025-05-09</t>
        </is>
      </c>
      <c r="C1765" s="2" t="inlineStr">
        <is>
          <t>C0406</t>
        </is>
      </c>
      <c r="D1765" s="2" t="inlineStr">
        <is>
          <t>P0026</t>
        </is>
      </c>
      <c r="E1765" s="2" t="inlineStr">
        <is>
          <t>Shampoo</t>
        </is>
      </c>
      <c r="F1765" s="2" t="inlineStr">
        <is>
          <t>Beauty</t>
        </is>
      </c>
      <c r="G1765" s="2" t="inlineStr">
        <is>
          <t>South</t>
        </is>
      </c>
      <c r="H1765" s="2" t="inlineStr">
        <is>
          <t>Tamil Nadu</t>
        </is>
      </c>
      <c r="I1765" s="2" t="inlineStr">
        <is>
          <t>Chennai</t>
        </is>
      </c>
      <c r="J1765" s="2" t="inlineStr">
        <is>
          <t>Store</t>
        </is>
      </c>
      <c r="K1765" s="2" t="n">
        <v>5</v>
      </c>
      <c r="L1765" s="3" t="n">
        <v>881.2</v>
      </c>
      <c r="M1765" s="4" t="n">
        <v>0.25</v>
      </c>
      <c r="N1765" s="3" t="n">
        <v>2597.44</v>
      </c>
      <c r="O1765" s="3">
        <f>K1765*L1765*(1-M1765)</f>
        <v/>
      </c>
      <c r="P1765" s="3">
        <f>O1765-N1765</f>
        <v/>
      </c>
      <c r="Q1765" s="5">
        <f>IFERROR(P1765/O1765,0)</f>
        <v/>
      </c>
      <c r="R1765" s="2">
        <f>TEXT(DATEVALUE(B1765),"mmm")</f>
        <v/>
      </c>
      <c r="S1765" s="2">
        <f>TEXT(DATEVALUE(B1765),"yyyy-mm")</f>
        <v/>
      </c>
    </row>
    <row r="1766">
      <c r="A1766" s="2" t="inlineStr">
        <is>
          <t>O000100</t>
        </is>
      </c>
      <c r="B1766" s="2" t="inlineStr">
        <is>
          <t>2025-05-09</t>
        </is>
      </c>
      <c r="C1766" s="2" t="inlineStr">
        <is>
          <t>C0694</t>
        </is>
      </c>
      <c r="D1766" s="2" t="inlineStr">
        <is>
          <t>P0007</t>
        </is>
      </c>
      <c r="E1766" s="2" t="inlineStr">
        <is>
          <t>Wireless Mouse</t>
        </is>
      </c>
      <c r="F1766" s="2" t="inlineStr">
        <is>
          <t>Electronics</t>
        </is>
      </c>
      <c r="G1766" s="2" t="inlineStr">
        <is>
          <t>North</t>
        </is>
      </c>
      <c r="H1766" s="2" t="inlineStr">
        <is>
          <t>Punjab</t>
        </is>
      </c>
      <c r="I1766" s="2" t="inlineStr">
        <is>
          <t>Amritsar</t>
        </is>
      </c>
      <c r="J1766" s="2" t="inlineStr">
        <is>
          <t>Online</t>
        </is>
      </c>
      <c r="K1766" s="2" t="n">
        <v>2</v>
      </c>
      <c r="L1766" s="3" t="n">
        <v>1018.23</v>
      </c>
      <c r="M1766" s="4" t="n">
        <v>0.1</v>
      </c>
      <c r="N1766" s="3" t="n">
        <v>1277.32</v>
      </c>
      <c r="O1766" s="3">
        <f>K1766*L1766*(1-M1766)</f>
        <v/>
      </c>
      <c r="P1766" s="3">
        <f>O1766-N1766</f>
        <v/>
      </c>
      <c r="Q1766" s="5">
        <f>IFERROR(P1766/O1766,0)</f>
        <v/>
      </c>
      <c r="R1766" s="2">
        <f>TEXT(DATEVALUE(B1766),"mmm")</f>
        <v/>
      </c>
      <c r="S1766" s="2">
        <f>TEXT(DATEVALUE(B1766),"yyyy-mm")</f>
        <v/>
      </c>
    </row>
    <row r="1767">
      <c r="A1767" s="2" t="inlineStr">
        <is>
          <t>O002519</t>
        </is>
      </c>
      <c r="B1767" s="2" t="inlineStr">
        <is>
          <t>2025-05-09</t>
        </is>
      </c>
      <c r="C1767" s="2" t="inlineStr">
        <is>
          <t>C0090</t>
        </is>
      </c>
      <c r="D1767" s="2" t="inlineStr">
        <is>
          <t>P0009</t>
        </is>
      </c>
      <c r="E1767" s="2" t="inlineStr">
        <is>
          <t>Electric Kettle</t>
        </is>
      </c>
      <c r="F1767" s="2" t="inlineStr">
        <is>
          <t>Home &amp; Kitchen</t>
        </is>
      </c>
      <c r="G1767" s="2" t="inlineStr">
        <is>
          <t>West</t>
        </is>
      </c>
      <c r="H1767" s="2" t="inlineStr">
        <is>
          <t>Maharashtra</t>
        </is>
      </c>
      <c r="I1767" s="2" t="inlineStr">
        <is>
          <t>Nashik</t>
        </is>
      </c>
      <c r="J1767" s="2" t="inlineStr">
        <is>
          <t>Online</t>
        </is>
      </c>
      <c r="K1767" s="2" t="n">
        <v>2</v>
      </c>
      <c r="L1767" s="3" t="n">
        <v>2084.24</v>
      </c>
      <c r="M1767" s="4" t="n">
        <v>0.05</v>
      </c>
      <c r="N1767" s="3" t="n">
        <v>2342.29</v>
      </c>
      <c r="O1767" s="3">
        <f>K1767*L1767*(1-M1767)</f>
        <v/>
      </c>
      <c r="P1767" s="3">
        <f>O1767-N1767</f>
        <v/>
      </c>
      <c r="Q1767" s="5">
        <f>IFERROR(P1767/O1767,0)</f>
        <v/>
      </c>
      <c r="R1767" s="2">
        <f>TEXT(DATEVALUE(B1767),"mmm")</f>
        <v/>
      </c>
      <c r="S1767" s="2">
        <f>TEXT(DATEVALUE(B1767),"yyyy-mm")</f>
        <v/>
      </c>
    </row>
    <row r="1768">
      <c r="A1768" s="2" t="inlineStr">
        <is>
          <t>O002104</t>
        </is>
      </c>
      <c r="B1768" s="2" t="inlineStr">
        <is>
          <t>2025-05-09</t>
        </is>
      </c>
      <c r="C1768" s="2" t="inlineStr">
        <is>
          <t>C0426</t>
        </is>
      </c>
      <c r="D1768" s="2" t="inlineStr">
        <is>
          <t>P0022</t>
        </is>
      </c>
      <c r="E1768" s="2" t="inlineStr">
        <is>
          <t>Face Wash</t>
        </is>
      </c>
      <c r="F1768" s="2" t="inlineStr">
        <is>
          <t>Beauty</t>
        </is>
      </c>
      <c r="G1768" s="2" t="inlineStr">
        <is>
          <t>West</t>
        </is>
      </c>
      <c r="H1768" s="2" t="inlineStr">
        <is>
          <t>Goa</t>
        </is>
      </c>
      <c r="I1768" s="2" t="inlineStr">
        <is>
          <t>Margao</t>
        </is>
      </c>
      <c r="J1768" s="2" t="inlineStr">
        <is>
          <t>Online</t>
        </is>
      </c>
      <c r="K1768" s="2" t="n">
        <v>5</v>
      </c>
      <c r="L1768" s="3" t="n">
        <v>536.01</v>
      </c>
      <c r="M1768" s="4" t="n">
        <v>0</v>
      </c>
      <c r="N1768" s="3" t="n">
        <v>1716.19</v>
      </c>
      <c r="O1768" s="3">
        <f>K1768*L1768*(1-M1768)</f>
        <v/>
      </c>
      <c r="P1768" s="3">
        <f>O1768-N1768</f>
        <v/>
      </c>
      <c r="Q1768" s="5">
        <f>IFERROR(P1768/O1768,0)</f>
        <v/>
      </c>
      <c r="R1768" s="2">
        <f>TEXT(DATEVALUE(B1768),"mmm")</f>
        <v/>
      </c>
      <c r="S1768" s="2">
        <f>TEXT(DATEVALUE(B1768),"yyyy-mm")</f>
        <v/>
      </c>
    </row>
    <row r="1769">
      <c r="A1769" s="2" t="inlineStr">
        <is>
          <t>O002047</t>
        </is>
      </c>
      <c r="B1769" s="2" t="inlineStr">
        <is>
          <t>2025-05-09</t>
        </is>
      </c>
      <c r="C1769" s="2" t="inlineStr">
        <is>
          <t>C0024</t>
        </is>
      </c>
      <c r="D1769" s="2" t="inlineStr">
        <is>
          <t>P0022</t>
        </is>
      </c>
      <c r="E1769" s="2" t="inlineStr">
        <is>
          <t>Face Wash</t>
        </is>
      </c>
      <c r="F1769" s="2" t="inlineStr">
        <is>
          <t>Beauty</t>
        </is>
      </c>
      <c r="G1769" s="2" t="inlineStr">
        <is>
          <t>East</t>
        </is>
      </c>
      <c r="H1769" s="2" t="inlineStr">
        <is>
          <t>Bihar</t>
        </is>
      </c>
      <c r="I1769" s="2" t="inlineStr">
        <is>
          <t>Patna</t>
        </is>
      </c>
      <c r="J1769" s="2" t="inlineStr">
        <is>
          <t>Online</t>
        </is>
      </c>
      <c r="K1769" s="2" t="n">
        <v>2</v>
      </c>
      <c r="L1769" s="3" t="n">
        <v>548.8</v>
      </c>
      <c r="M1769" s="4" t="n">
        <v>0.05</v>
      </c>
      <c r="N1769" s="3" t="n">
        <v>699.96</v>
      </c>
      <c r="O1769" s="3">
        <f>K1769*L1769*(1-M1769)</f>
        <v/>
      </c>
      <c r="P1769" s="3">
        <f>O1769-N1769</f>
        <v/>
      </c>
      <c r="Q1769" s="5">
        <f>IFERROR(P1769/O1769,0)</f>
        <v/>
      </c>
      <c r="R1769" s="2">
        <f>TEXT(DATEVALUE(B1769),"mmm")</f>
        <v/>
      </c>
      <c r="S1769" s="2">
        <f>TEXT(DATEVALUE(B1769),"yyyy-mm")</f>
        <v/>
      </c>
    </row>
    <row r="1770">
      <c r="A1770" s="2" t="inlineStr">
        <is>
          <t>O001410</t>
        </is>
      </c>
      <c r="B1770" s="2" t="inlineStr">
        <is>
          <t>2025-05-09</t>
        </is>
      </c>
      <c r="C1770" s="2" t="inlineStr">
        <is>
          <t>C0765</t>
        </is>
      </c>
      <c r="D1770" s="2" t="inlineStr">
        <is>
          <t>P0021</t>
        </is>
      </c>
      <c r="E1770" s="2" t="inlineStr">
        <is>
          <t>Wallet</t>
        </is>
      </c>
      <c r="F1770" s="2" t="inlineStr">
        <is>
          <t>Fashion</t>
        </is>
      </c>
      <c r="G1770" s="2" t="inlineStr">
        <is>
          <t>North</t>
        </is>
      </c>
      <c r="H1770" s="2" t="inlineStr">
        <is>
          <t>Haryana</t>
        </is>
      </c>
      <c r="I1770" s="2" t="inlineStr">
        <is>
          <t>Gurugram</t>
        </is>
      </c>
      <c r="J1770" s="2" t="inlineStr">
        <is>
          <t>Online</t>
        </is>
      </c>
      <c r="K1770" s="2" t="n">
        <v>2</v>
      </c>
      <c r="L1770" s="3" t="n">
        <v>2103.63</v>
      </c>
      <c r="M1770" s="4" t="n">
        <v>0</v>
      </c>
      <c r="N1770" s="3" t="n">
        <v>2421.22</v>
      </c>
      <c r="O1770" s="3">
        <f>K1770*L1770*(1-M1770)</f>
        <v/>
      </c>
      <c r="P1770" s="3">
        <f>O1770-N1770</f>
        <v/>
      </c>
      <c r="Q1770" s="5">
        <f>IFERROR(P1770/O1770,0)</f>
        <v/>
      </c>
      <c r="R1770" s="2">
        <f>TEXT(DATEVALUE(B1770),"mmm")</f>
        <v/>
      </c>
      <c r="S1770" s="2">
        <f>TEXT(DATEVALUE(B1770),"yyyy-mm")</f>
        <v/>
      </c>
    </row>
    <row r="1771">
      <c r="A1771" s="2" t="inlineStr">
        <is>
          <t>O000444</t>
        </is>
      </c>
      <c r="B1771" s="2" t="inlineStr">
        <is>
          <t>2025-05-09</t>
        </is>
      </c>
      <c r="C1771" s="2" t="inlineStr">
        <is>
          <t>C0504</t>
        </is>
      </c>
      <c r="D1771" s="2" t="inlineStr">
        <is>
          <t>P0003</t>
        </is>
      </c>
      <c r="E1771" s="2" t="inlineStr">
        <is>
          <t>Smartwatch</t>
        </is>
      </c>
      <c r="F1771" s="2" t="inlineStr">
        <is>
          <t>Electronics</t>
        </is>
      </c>
      <c r="G1771" s="2" t="inlineStr">
        <is>
          <t>South</t>
        </is>
      </c>
      <c r="H1771" s="2" t="inlineStr">
        <is>
          <t>Telangana</t>
        </is>
      </c>
      <c r="I1771" s="2" t="inlineStr">
        <is>
          <t>Warangal</t>
        </is>
      </c>
      <c r="J1771" s="2" t="inlineStr">
        <is>
          <t>Online</t>
        </is>
      </c>
      <c r="K1771" s="2" t="n">
        <v>2</v>
      </c>
      <c r="L1771" s="3" t="n">
        <v>2245.31</v>
      </c>
      <c r="M1771" s="4" t="n">
        <v>0.15</v>
      </c>
      <c r="N1771" s="3" t="n">
        <v>2404.85</v>
      </c>
      <c r="O1771" s="3">
        <f>K1771*L1771*(1-M1771)</f>
        <v/>
      </c>
      <c r="P1771" s="3">
        <f>O1771-N1771</f>
        <v/>
      </c>
      <c r="Q1771" s="5">
        <f>IFERROR(P1771/O1771,0)</f>
        <v/>
      </c>
      <c r="R1771" s="2">
        <f>TEXT(DATEVALUE(B1771),"mmm")</f>
        <v/>
      </c>
      <c r="S1771" s="2">
        <f>TEXT(DATEVALUE(B1771),"yyyy-mm")</f>
        <v/>
      </c>
    </row>
    <row r="1772">
      <c r="A1772" s="2" t="inlineStr">
        <is>
          <t>O000253</t>
        </is>
      </c>
      <c r="B1772" s="2" t="inlineStr">
        <is>
          <t>2025-05-09</t>
        </is>
      </c>
      <c r="C1772" s="2" t="inlineStr">
        <is>
          <t>C0468</t>
        </is>
      </c>
      <c r="D1772" s="2" t="inlineStr">
        <is>
          <t>P0017</t>
        </is>
      </c>
      <c r="E1772" s="2" t="inlineStr">
        <is>
          <t>Jeans</t>
        </is>
      </c>
      <c r="F1772" s="2" t="inlineStr">
        <is>
          <t>Fashion</t>
        </is>
      </c>
      <c r="G1772" s="2" t="inlineStr">
        <is>
          <t>West</t>
        </is>
      </c>
      <c r="H1772" s="2" t="inlineStr">
        <is>
          <t>Gujarat</t>
        </is>
      </c>
      <c r="I1772" s="2" t="inlineStr">
        <is>
          <t>Surat</t>
        </is>
      </c>
      <c r="J1772" s="2" t="inlineStr">
        <is>
          <t>Store</t>
        </is>
      </c>
      <c r="K1772" s="2" t="n">
        <v>1</v>
      </c>
      <c r="L1772" s="3" t="n">
        <v>1473.13</v>
      </c>
      <c r="M1772" s="4" t="n">
        <v>0.05</v>
      </c>
      <c r="N1772" s="3" t="n">
        <v>1056.05</v>
      </c>
      <c r="O1772" s="3">
        <f>K1772*L1772*(1-M1772)</f>
        <v/>
      </c>
      <c r="P1772" s="3">
        <f>O1772-N1772</f>
        <v/>
      </c>
      <c r="Q1772" s="5">
        <f>IFERROR(P1772/O1772,0)</f>
        <v/>
      </c>
      <c r="R1772" s="2">
        <f>TEXT(DATEVALUE(B1772),"mmm")</f>
        <v/>
      </c>
      <c r="S1772" s="2">
        <f>TEXT(DATEVALUE(B1772),"yyyy-mm")</f>
        <v/>
      </c>
    </row>
    <row r="1773">
      <c r="A1773" s="2" t="inlineStr">
        <is>
          <t>O002675</t>
        </is>
      </c>
      <c r="B1773" s="2" t="inlineStr">
        <is>
          <t>2025-05-09</t>
        </is>
      </c>
      <c r="C1773" s="2" t="inlineStr">
        <is>
          <t>C0238</t>
        </is>
      </c>
      <c r="D1773" s="2" t="inlineStr">
        <is>
          <t>P0020</t>
        </is>
      </c>
      <c r="E1773" s="2" t="inlineStr">
        <is>
          <t>Sneakers</t>
        </is>
      </c>
      <c r="F1773" s="2" t="inlineStr">
        <is>
          <t>Fashion</t>
        </is>
      </c>
      <c r="G1773" s="2" t="inlineStr">
        <is>
          <t>South</t>
        </is>
      </c>
      <c r="H1773" s="2" t="inlineStr">
        <is>
          <t>Telangana</t>
        </is>
      </c>
      <c r="I1773" s="2" t="inlineStr">
        <is>
          <t>Warangal</t>
        </is>
      </c>
      <c r="J1773" s="2" t="inlineStr">
        <is>
          <t>Online</t>
        </is>
      </c>
      <c r="K1773" s="2" t="n">
        <v>3</v>
      </c>
      <c r="L1773" s="3" t="n">
        <v>1999.73</v>
      </c>
      <c r="M1773" s="4" t="n">
        <v>0</v>
      </c>
      <c r="N1773" s="3" t="n">
        <v>4469.88</v>
      </c>
      <c r="O1773" s="3">
        <f>K1773*L1773*(1-M1773)</f>
        <v/>
      </c>
      <c r="P1773" s="3">
        <f>O1773-N1773</f>
        <v/>
      </c>
      <c r="Q1773" s="5">
        <f>IFERROR(P1773/O1773,0)</f>
        <v/>
      </c>
      <c r="R1773" s="2">
        <f>TEXT(DATEVALUE(B1773),"mmm")</f>
        <v/>
      </c>
      <c r="S1773" s="2">
        <f>TEXT(DATEVALUE(B1773),"yyyy-mm")</f>
        <v/>
      </c>
    </row>
    <row r="1774">
      <c r="A1774" s="2" t="inlineStr">
        <is>
          <t>O002520</t>
        </is>
      </c>
      <c r="B1774" s="2" t="inlineStr">
        <is>
          <t>2025-05-10</t>
        </is>
      </c>
      <c r="C1774" s="2" t="inlineStr">
        <is>
          <t>C0645</t>
        </is>
      </c>
      <c r="D1774" s="2" t="inlineStr">
        <is>
          <t>P0016</t>
        </is>
      </c>
      <c r="E1774" s="2" t="inlineStr">
        <is>
          <t>Casual Shirt</t>
        </is>
      </c>
      <c r="F1774" s="2" t="inlineStr">
        <is>
          <t>Fashion</t>
        </is>
      </c>
      <c r="G1774" s="2" t="inlineStr">
        <is>
          <t>North</t>
        </is>
      </c>
      <c r="H1774" s="2" t="inlineStr">
        <is>
          <t>Uttar Pradesh</t>
        </is>
      </c>
      <c r="I1774" s="2" t="inlineStr">
        <is>
          <t>Noida</t>
        </is>
      </c>
      <c r="J1774" s="2" t="inlineStr">
        <is>
          <t>Store</t>
        </is>
      </c>
      <c r="K1774" s="2" t="n">
        <v>1</v>
      </c>
      <c r="L1774" s="3" t="n">
        <v>1296.33</v>
      </c>
      <c r="M1774" s="4" t="n">
        <v>0.1</v>
      </c>
      <c r="N1774" s="3" t="n">
        <v>927.24</v>
      </c>
      <c r="O1774" s="3">
        <f>K1774*L1774*(1-M1774)</f>
        <v/>
      </c>
      <c r="P1774" s="3">
        <f>O1774-N1774</f>
        <v/>
      </c>
      <c r="Q1774" s="5">
        <f>IFERROR(P1774/O1774,0)</f>
        <v/>
      </c>
      <c r="R1774" s="2">
        <f>TEXT(DATEVALUE(B1774),"mmm")</f>
        <v/>
      </c>
      <c r="S1774" s="2">
        <f>TEXT(DATEVALUE(B1774),"yyyy-mm")</f>
        <v/>
      </c>
    </row>
    <row r="1775">
      <c r="A1775" s="2" t="inlineStr">
        <is>
          <t>O002435</t>
        </is>
      </c>
      <c r="B1775" s="2" t="inlineStr">
        <is>
          <t>2025-05-10</t>
        </is>
      </c>
      <c r="C1775" s="2" t="inlineStr">
        <is>
          <t>C0535</t>
        </is>
      </c>
      <c r="D1775" s="2" t="inlineStr">
        <is>
          <t>P0014</t>
        </is>
      </c>
      <c r="E1775" s="2" t="inlineStr">
        <is>
          <t>Coffee Maker</t>
        </is>
      </c>
      <c r="F1775" s="2" t="inlineStr">
        <is>
          <t>Home &amp; Kitchen</t>
        </is>
      </c>
      <c r="G1775" s="2" t="inlineStr">
        <is>
          <t>East</t>
        </is>
      </c>
      <c r="H1775" s="2" t="inlineStr">
        <is>
          <t>Bihar</t>
        </is>
      </c>
      <c r="I1775" s="2" t="inlineStr">
        <is>
          <t>Gaya</t>
        </is>
      </c>
      <c r="J1775" s="2" t="inlineStr">
        <is>
          <t>Store</t>
        </is>
      </c>
      <c r="K1775" s="2" t="n">
        <v>5</v>
      </c>
      <c r="L1775" s="3" t="n">
        <v>1020.04</v>
      </c>
      <c r="M1775" s="4" t="n">
        <v>0.2</v>
      </c>
      <c r="N1775" s="3" t="n">
        <v>3888.14</v>
      </c>
      <c r="O1775" s="3">
        <f>K1775*L1775*(1-M1775)</f>
        <v/>
      </c>
      <c r="P1775" s="3">
        <f>O1775-N1775</f>
        <v/>
      </c>
      <c r="Q1775" s="5">
        <f>IFERROR(P1775/O1775,0)</f>
        <v/>
      </c>
      <c r="R1775" s="2">
        <f>TEXT(DATEVALUE(B1775),"mmm")</f>
        <v/>
      </c>
      <c r="S1775" s="2">
        <f>TEXT(DATEVALUE(B1775),"yyyy-mm")</f>
        <v/>
      </c>
    </row>
    <row r="1776">
      <c r="A1776" s="2" t="inlineStr">
        <is>
          <t>O002428</t>
        </is>
      </c>
      <c r="B1776" s="2" t="inlineStr">
        <is>
          <t>2025-05-10</t>
        </is>
      </c>
      <c r="C1776" s="2" t="inlineStr">
        <is>
          <t>C0738</t>
        </is>
      </c>
      <c r="D1776" s="2" t="inlineStr">
        <is>
          <t>P0014</t>
        </is>
      </c>
      <c r="E1776" s="2" t="inlineStr">
        <is>
          <t>Coffee Maker</t>
        </is>
      </c>
      <c r="F1776" s="2" t="inlineStr">
        <is>
          <t>Home &amp; Kitchen</t>
        </is>
      </c>
      <c r="G1776" s="2" t="inlineStr">
        <is>
          <t>West</t>
        </is>
      </c>
      <c r="H1776" s="2" t="inlineStr">
        <is>
          <t>Gujarat</t>
        </is>
      </c>
      <c r="I1776" s="2" t="inlineStr">
        <is>
          <t>Ahmedabad</t>
        </is>
      </c>
      <c r="J1776" s="2" t="inlineStr">
        <is>
          <t>Store</t>
        </is>
      </c>
      <c r="K1776" s="2" t="n">
        <v>2</v>
      </c>
      <c r="L1776" s="3" t="n">
        <v>1026.62</v>
      </c>
      <c r="M1776" s="4" t="n">
        <v>0.1</v>
      </c>
      <c r="N1776" s="3" t="n">
        <v>1534.23</v>
      </c>
      <c r="O1776" s="3">
        <f>K1776*L1776*(1-M1776)</f>
        <v/>
      </c>
      <c r="P1776" s="3">
        <f>O1776-N1776</f>
        <v/>
      </c>
      <c r="Q1776" s="5">
        <f>IFERROR(P1776/O1776,0)</f>
        <v/>
      </c>
      <c r="R1776" s="2">
        <f>TEXT(DATEVALUE(B1776),"mmm")</f>
        <v/>
      </c>
      <c r="S1776" s="2">
        <f>TEXT(DATEVALUE(B1776),"yyyy-mm")</f>
        <v/>
      </c>
    </row>
    <row r="1777">
      <c r="A1777" s="2" t="inlineStr">
        <is>
          <t>O002388</t>
        </is>
      </c>
      <c r="B1777" s="2" t="inlineStr">
        <is>
          <t>2025-05-10</t>
        </is>
      </c>
      <c r="C1777" s="2" t="inlineStr">
        <is>
          <t>C0771</t>
        </is>
      </c>
      <c r="D1777" s="2" t="inlineStr">
        <is>
          <t>P0008</t>
        </is>
      </c>
      <c r="E1777" s="2" t="inlineStr">
        <is>
          <t>Air Fryer</t>
        </is>
      </c>
      <c r="F1777" s="2" t="inlineStr">
        <is>
          <t>Home &amp; Kitchen</t>
        </is>
      </c>
      <c r="G1777" s="2" t="inlineStr">
        <is>
          <t>South</t>
        </is>
      </c>
      <c r="H1777" s="2" t="inlineStr">
        <is>
          <t>Telangana</t>
        </is>
      </c>
      <c r="I1777" s="2" t="inlineStr">
        <is>
          <t>Warangal</t>
        </is>
      </c>
      <c r="J1777" s="2" t="inlineStr">
        <is>
          <t>Online</t>
        </is>
      </c>
      <c r="K1777" s="2" t="n">
        <v>4</v>
      </c>
      <c r="L1777" s="3" t="n">
        <v>1016.84</v>
      </c>
      <c r="M1777" s="4" t="n">
        <v>0.1</v>
      </c>
      <c r="N1777" s="3" t="n">
        <v>2714.34</v>
      </c>
      <c r="O1777" s="3">
        <f>K1777*L1777*(1-M1777)</f>
        <v/>
      </c>
      <c r="P1777" s="3">
        <f>O1777-N1777</f>
        <v/>
      </c>
      <c r="Q1777" s="5">
        <f>IFERROR(P1777/O1777,0)</f>
        <v/>
      </c>
      <c r="R1777" s="2">
        <f>TEXT(DATEVALUE(B1777),"mmm")</f>
        <v/>
      </c>
      <c r="S1777" s="2">
        <f>TEXT(DATEVALUE(B1777),"yyyy-mm")</f>
        <v/>
      </c>
    </row>
    <row r="1778">
      <c r="A1778" s="2" t="inlineStr">
        <is>
          <t>O002296</t>
        </is>
      </c>
      <c r="B1778" s="2" t="inlineStr">
        <is>
          <t>2025-05-10</t>
        </is>
      </c>
      <c r="C1778" s="2" t="inlineStr">
        <is>
          <t>C0531</t>
        </is>
      </c>
      <c r="D1778" s="2" t="inlineStr">
        <is>
          <t>P0008</t>
        </is>
      </c>
      <c r="E1778" s="2" t="inlineStr">
        <is>
          <t>Air Fryer</t>
        </is>
      </c>
      <c r="F1778" s="2" t="inlineStr">
        <is>
          <t>Home &amp; Kitchen</t>
        </is>
      </c>
      <c r="G1778" s="2" t="inlineStr">
        <is>
          <t>South</t>
        </is>
      </c>
      <c r="H1778" s="2" t="inlineStr">
        <is>
          <t>Karnataka</t>
        </is>
      </c>
      <c r="I1778" s="2" t="inlineStr">
        <is>
          <t>Mysuru</t>
        </is>
      </c>
      <c r="J1778" s="2" t="inlineStr">
        <is>
          <t>Online</t>
        </is>
      </c>
      <c r="K1778" s="2" t="n">
        <v>4</v>
      </c>
      <c r="L1778" s="3" t="n">
        <v>1090.6</v>
      </c>
      <c r="M1778" s="4" t="n">
        <v>0.1</v>
      </c>
      <c r="N1778" s="3" t="n">
        <v>2776.2</v>
      </c>
      <c r="O1778" s="3">
        <f>K1778*L1778*(1-M1778)</f>
        <v/>
      </c>
      <c r="P1778" s="3">
        <f>O1778-N1778</f>
        <v/>
      </c>
      <c r="Q1778" s="5">
        <f>IFERROR(P1778/O1778,0)</f>
        <v/>
      </c>
      <c r="R1778" s="2">
        <f>TEXT(DATEVALUE(B1778),"mmm")</f>
        <v/>
      </c>
      <c r="S1778" s="2">
        <f>TEXT(DATEVALUE(B1778),"yyyy-mm")</f>
        <v/>
      </c>
    </row>
    <row r="1779">
      <c r="A1779" s="2" t="inlineStr">
        <is>
          <t>O002281</t>
        </is>
      </c>
      <c r="B1779" s="2" t="inlineStr">
        <is>
          <t>2025-05-10</t>
        </is>
      </c>
      <c r="C1779" s="2" t="inlineStr">
        <is>
          <t>C0503</t>
        </is>
      </c>
      <c r="D1779" s="2" t="inlineStr">
        <is>
          <t>P0024</t>
        </is>
      </c>
      <c r="E1779" s="2" t="inlineStr">
        <is>
          <t>Hair Dryer</t>
        </is>
      </c>
      <c r="F1779" s="2" t="inlineStr">
        <is>
          <t>Beauty</t>
        </is>
      </c>
      <c r="G1779" s="2" t="inlineStr">
        <is>
          <t>South</t>
        </is>
      </c>
      <c r="H1779" s="2" t="inlineStr">
        <is>
          <t>Kerala</t>
        </is>
      </c>
      <c r="I1779" s="2" t="inlineStr">
        <is>
          <t>Kochi</t>
        </is>
      </c>
      <c r="J1779" s="2" t="inlineStr">
        <is>
          <t>Store</t>
        </is>
      </c>
      <c r="K1779" s="2" t="n">
        <v>1</v>
      </c>
      <c r="L1779" s="3" t="n">
        <v>1010.95</v>
      </c>
      <c r="M1779" s="4" t="n">
        <v>0.25</v>
      </c>
      <c r="N1779" s="3" t="n">
        <v>713.77</v>
      </c>
      <c r="O1779" s="3">
        <f>K1779*L1779*(1-M1779)</f>
        <v/>
      </c>
      <c r="P1779" s="3">
        <f>O1779-N1779</f>
        <v/>
      </c>
      <c r="Q1779" s="5">
        <f>IFERROR(P1779/O1779,0)</f>
        <v/>
      </c>
      <c r="R1779" s="2">
        <f>TEXT(DATEVALUE(B1779),"mmm")</f>
        <v/>
      </c>
      <c r="S1779" s="2">
        <f>TEXT(DATEVALUE(B1779),"yyyy-mm")</f>
        <v/>
      </c>
    </row>
    <row r="1780">
      <c r="A1780" s="2" t="inlineStr">
        <is>
          <t>O002006</t>
        </is>
      </c>
      <c r="B1780" s="2" t="inlineStr">
        <is>
          <t>2025-05-10</t>
        </is>
      </c>
      <c r="C1780" s="2" t="inlineStr">
        <is>
          <t>C0218</t>
        </is>
      </c>
      <c r="D1780" s="2" t="inlineStr">
        <is>
          <t>P0022</t>
        </is>
      </c>
      <c r="E1780" s="2" t="inlineStr">
        <is>
          <t>Face Wash</t>
        </is>
      </c>
      <c r="F1780" s="2" t="inlineStr">
        <is>
          <t>Beauty</t>
        </is>
      </c>
      <c r="G1780" s="2" t="inlineStr">
        <is>
          <t>South</t>
        </is>
      </c>
      <c r="H1780" s="2" t="inlineStr">
        <is>
          <t>Telangana</t>
        </is>
      </c>
      <c r="I1780" s="2" t="inlineStr">
        <is>
          <t>Warangal</t>
        </is>
      </c>
      <c r="J1780" s="2" t="inlineStr">
        <is>
          <t>Online</t>
        </is>
      </c>
      <c r="K1780" s="2" t="n">
        <v>1</v>
      </c>
      <c r="L1780" s="3" t="n">
        <v>534.8099999999999</v>
      </c>
      <c r="M1780" s="4" t="n">
        <v>0.1</v>
      </c>
      <c r="N1780" s="3" t="n">
        <v>357.38</v>
      </c>
      <c r="O1780" s="3">
        <f>K1780*L1780*(1-M1780)</f>
        <v/>
      </c>
      <c r="P1780" s="3">
        <f>O1780-N1780</f>
        <v/>
      </c>
      <c r="Q1780" s="5">
        <f>IFERROR(P1780/O1780,0)</f>
        <v/>
      </c>
      <c r="R1780" s="2">
        <f>TEXT(DATEVALUE(B1780),"mmm")</f>
        <v/>
      </c>
      <c r="S1780" s="2">
        <f>TEXT(DATEVALUE(B1780),"yyyy-mm")</f>
        <v/>
      </c>
    </row>
    <row r="1781">
      <c r="A1781" s="2" t="inlineStr">
        <is>
          <t>O001959</t>
        </is>
      </c>
      <c r="B1781" s="2" t="inlineStr">
        <is>
          <t>2025-05-10</t>
        </is>
      </c>
      <c r="C1781" s="2" t="inlineStr">
        <is>
          <t>C0308</t>
        </is>
      </c>
      <c r="D1781" s="2" t="inlineStr">
        <is>
          <t>P0002</t>
        </is>
      </c>
      <c r="E1781" s="2" t="inlineStr">
        <is>
          <t>Bluetooth Speaker</t>
        </is>
      </c>
      <c r="F1781" s="2" t="inlineStr">
        <is>
          <t>Electronics</t>
        </is>
      </c>
      <c r="G1781" s="2" t="inlineStr">
        <is>
          <t>North</t>
        </is>
      </c>
      <c r="H1781" s="2" t="inlineStr">
        <is>
          <t>Delhi</t>
        </is>
      </c>
      <c r="I1781" s="2" t="inlineStr">
        <is>
          <t>New Delhi</t>
        </is>
      </c>
      <c r="J1781" s="2" t="inlineStr">
        <is>
          <t>Store</t>
        </is>
      </c>
      <c r="K1781" s="2" t="n">
        <v>4</v>
      </c>
      <c r="L1781" s="3" t="n">
        <v>1410.3</v>
      </c>
      <c r="M1781" s="4" t="n">
        <v>0.05</v>
      </c>
      <c r="N1781" s="3" t="n">
        <v>3343.01</v>
      </c>
      <c r="O1781" s="3">
        <f>K1781*L1781*(1-M1781)</f>
        <v/>
      </c>
      <c r="P1781" s="3">
        <f>O1781-N1781</f>
        <v/>
      </c>
      <c r="Q1781" s="5">
        <f>IFERROR(P1781/O1781,0)</f>
        <v/>
      </c>
      <c r="R1781" s="2">
        <f>TEXT(DATEVALUE(B1781),"mmm")</f>
        <v/>
      </c>
      <c r="S1781" s="2">
        <f>TEXT(DATEVALUE(B1781),"yyyy-mm")</f>
        <v/>
      </c>
    </row>
    <row r="1782">
      <c r="A1782" s="2" t="inlineStr">
        <is>
          <t>O001368</t>
        </is>
      </c>
      <c r="B1782" s="2" t="inlineStr">
        <is>
          <t>2025-05-10</t>
        </is>
      </c>
      <c r="C1782" s="2" t="inlineStr">
        <is>
          <t>C0143</t>
        </is>
      </c>
      <c r="D1782" s="2" t="inlineStr">
        <is>
          <t>P0021</t>
        </is>
      </c>
      <c r="E1782" s="2" t="inlineStr">
        <is>
          <t>Wallet</t>
        </is>
      </c>
      <c r="F1782" s="2" t="inlineStr">
        <is>
          <t>Fashion</t>
        </is>
      </c>
      <c r="G1782" s="2" t="inlineStr">
        <is>
          <t>West</t>
        </is>
      </c>
      <c r="H1782" s="2" t="inlineStr">
        <is>
          <t>Maharashtra</t>
        </is>
      </c>
      <c r="I1782" s="2" t="inlineStr">
        <is>
          <t>Nashik</t>
        </is>
      </c>
      <c r="J1782" s="2" t="inlineStr">
        <is>
          <t>Online</t>
        </is>
      </c>
      <c r="K1782" s="2" t="n">
        <v>3</v>
      </c>
      <c r="L1782" s="3" t="n">
        <v>1937.21</v>
      </c>
      <c r="M1782" s="4" t="n">
        <v>0.1</v>
      </c>
      <c r="N1782" s="3" t="n">
        <v>3670.6</v>
      </c>
      <c r="O1782" s="3">
        <f>K1782*L1782*(1-M1782)</f>
        <v/>
      </c>
      <c r="P1782" s="3">
        <f>O1782-N1782</f>
        <v/>
      </c>
      <c r="Q1782" s="5">
        <f>IFERROR(P1782/O1782,0)</f>
        <v/>
      </c>
      <c r="R1782" s="2">
        <f>TEXT(DATEVALUE(B1782),"mmm")</f>
        <v/>
      </c>
      <c r="S1782" s="2">
        <f>TEXT(DATEVALUE(B1782),"yyyy-mm")</f>
        <v/>
      </c>
    </row>
    <row r="1783">
      <c r="A1783" s="2" t="inlineStr">
        <is>
          <t>O001113</t>
        </is>
      </c>
      <c r="B1783" s="2" t="inlineStr">
        <is>
          <t>2025-05-10</t>
        </is>
      </c>
      <c r="C1783" s="2" t="inlineStr">
        <is>
          <t>C0181</t>
        </is>
      </c>
      <c r="D1783" s="2" t="inlineStr">
        <is>
          <t>P0014</t>
        </is>
      </c>
      <c r="E1783" s="2" t="inlineStr">
        <is>
          <t>Coffee Maker</t>
        </is>
      </c>
      <c r="F1783" s="2" t="inlineStr">
        <is>
          <t>Home &amp; Kitchen</t>
        </is>
      </c>
      <c r="G1783" s="2" t="inlineStr">
        <is>
          <t>West</t>
        </is>
      </c>
      <c r="H1783" s="2" t="inlineStr">
        <is>
          <t>Gujarat</t>
        </is>
      </c>
      <c r="I1783" s="2" t="inlineStr">
        <is>
          <t>Ahmedabad</t>
        </is>
      </c>
      <c r="J1783" s="2" t="inlineStr">
        <is>
          <t>Online</t>
        </is>
      </c>
      <c r="K1783" s="2" t="n">
        <v>2</v>
      </c>
      <c r="L1783" s="3" t="n">
        <v>1027.95</v>
      </c>
      <c r="M1783" s="4" t="n">
        <v>0.05</v>
      </c>
      <c r="N1783" s="3" t="n">
        <v>1554.8</v>
      </c>
      <c r="O1783" s="3">
        <f>K1783*L1783*(1-M1783)</f>
        <v/>
      </c>
      <c r="P1783" s="3">
        <f>O1783-N1783</f>
        <v/>
      </c>
      <c r="Q1783" s="5">
        <f>IFERROR(P1783/O1783,0)</f>
        <v/>
      </c>
      <c r="R1783" s="2">
        <f>TEXT(DATEVALUE(B1783),"mmm")</f>
        <v/>
      </c>
      <c r="S1783" s="2">
        <f>TEXT(DATEVALUE(B1783),"yyyy-mm")</f>
        <v/>
      </c>
    </row>
    <row r="1784">
      <c r="A1784" s="2" t="inlineStr">
        <is>
          <t>O001010</t>
        </is>
      </c>
      <c r="B1784" s="2" t="inlineStr">
        <is>
          <t>2025-05-10</t>
        </is>
      </c>
      <c r="C1784" s="2" t="inlineStr">
        <is>
          <t>C0734</t>
        </is>
      </c>
      <c r="D1784" s="2" t="inlineStr">
        <is>
          <t>P0007</t>
        </is>
      </c>
      <c r="E1784" s="2" t="inlineStr">
        <is>
          <t>Wireless Mouse</t>
        </is>
      </c>
      <c r="F1784" s="2" t="inlineStr">
        <is>
          <t>Electronics</t>
        </is>
      </c>
      <c r="G1784" s="2" t="inlineStr">
        <is>
          <t>North</t>
        </is>
      </c>
      <c r="H1784" s="2" t="inlineStr">
        <is>
          <t>Haryana</t>
        </is>
      </c>
      <c r="I1784" s="2" t="inlineStr">
        <is>
          <t>Faridabad</t>
        </is>
      </c>
      <c r="J1784" s="2" t="inlineStr">
        <is>
          <t>Store</t>
        </is>
      </c>
      <c r="K1784" s="2" t="n">
        <v>2</v>
      </c>
      <c r="L1784" s="3" t="n">
        <v>972.24</v>
      </c>
      <c r="M1784" s="4" t="n">
        <v>0.05</v>
      </c>
      <c r="N1784" s="3" t="n">
        <v>1270.37</v>
      </c>
      <c r="O1784" s="3">
        <f>K1784*L1784*(1-M1784)</f>
        <v/>
      </c>
      <c r="P1784" s="3">
        <f>O1784-N1784</f>
        <v/>
      </c>
      <c r="Q1784" s="5">
        <f>IFERROR(P1784/O1784,0)</f>
        <v/>
      </c>
      <c r="R1784" s="2">
        <f>TEXT(DATEVALUE(B1784),"mmm")</f>
        <v/>
      </c>
      <c r="S1784" s="2">
        <f>TEXT(DATEVALUE(B1784),"yyyy-mm")</f>
        <v/>
      </c>
    </row>
    <row r="1785">
      <c r="A1785" s="2" t="inlineStr">
        <is>
          <t>O000215</t>
        </is>
      </c>
      <c r="B1785" s="2" t="inlineStr">
        <is>
          <t>2025-05-10</t>
        </is>
      </c>
      <c r="C1785" s="2" t="inlineStr">
        <is>
          <t>C0064</t>
        </is>
      </c>
      <c r="D1785" s="2" t="inlineStr">
        <is>
          <t>P0026</t>
        </is>
      </c>
      <c r="E1785" s="2" t="inlineStr">
        <is>
          <t>Shampoo</t>
        </is>
      </c>
      <c r="F1785" s="2" t="inlineStr">
        <is>
          <t>Beauty</t>
        </is>
      </c>
      <c r="G1785" s="2" t="inlineStr">
        <is>
          <t>North</t>
        </is>
      </c>
      <c r="H1785" s="2" t="inlineStr">
        <is>
          <t>Uttar Pradesh</t>
        </is>
      </c>
      <c r="I1785" s="2" t="inlineStr">
        <is>
          <t>Lucknow</t>
        </is>
      </c>
      <c r="J1785" s="2" t="inlineStr">
        <is>
          <t>Online</t>
        </is>
      </c>
      <c r="K1785" s="2" t="n">
        <v>1</v>
      </c>
      <c r="L1785" s="3" t="n">
        <v>898.38</v>
      </c>
      <c r="M1785" s="4" t="n">
        <v>0</v>
      </c>
      <c r="N1785" s="3" t="n">
        <v>525.0700000000001</v>
      </c>
      <c r="O1785" s="3">
        <f>K1785*L1785*(1-M1785)</f>
        <v/>
      </c>
      <c r="P1785" s="3">
        <f>O1785-N1785</f>
        <v/>
      </c>
      <c r="Q1785" s="5">
        <f>IFERROR(P1785/O1785,0)</f>
        <v/>
      </c>
      <c r="R1785" s="2">
        <f>TEXT(DATEVALUE(B1785),"mmm")</f>
        <v/>
      </c>
      <c r="S1785" s="2">
        <f>TEXT(DATEVALUE(B1785),"yyyy-mm")</f>
        <v/>
      </c>
    </row>
    <row r="1786">
      <c r="A1786" s="2" t="inlineStr">
        <is>
          <t>O000208</t>
        </is>
      </c>
      <c r="B1786" s="2" t="inlineStr">
        <is>
          <t>2025-05-10</t>
        </is>
      </c>
      <c r="C1786" s="2" t="inlineStr">
        <is>
          <t>C0064</t>
        </is>
      </c>
      <c r="D1786" s="2" t="inlineStr">
        <is>
          <t>P0031</t>
        </is>
      </c>
      <c r="E1786" s="2" t="inlineStr">
        <is>
          <t>Cricket Bat</t>
        </is>
      </c>
      <c r="F1786" s="2" t="inlineStr">
        <is>
          <t>Sports</t>
        </is>
      </c>
      <c r="G1786" s="2" t="inlineStr">
        <is>
          <t>South</t>
        </is>
      </c>
      <c r="H1786" s="2" t="inlineStr">
        <is>
          <t>Kerala</t>
        </is>
      </c>
      <c r="I1786" s="2" t="inlineStr">
        <is>
          <t>Thiruvananthapuram</t>
        </is>
      </c>
      <c r="J1786" s="2" t="inlineStr">
        <is>
          <t>Online</t>
        </is>
      </c>
      <c r="K1786" s="2" t="n">
        <v>3</v>
      </c>
      <c r="L1786" s="3" t="n">
        <v>1399.49</v>
      </c>
      <c r="M1786" s="4" t="n">
        <v>0</v>
      </c>
      <c r="N1786" s="3" t="n">
        <v>2758.31</v>
      </c>
      <c r="O1786" s="3">
        <f>K1786*L1786*(1-M1786)</f>
        <v/>
      </c>
      <c r="P1786" s="3">
        <f>O1786-N1786</f>
        <v/>
      </c>
      <c r="Q1786" s="5">
        <f>IFERROR(P1786/O1786,0)</f>
        <v/>
      </c>
      <c r="R1786" s="2">
        <f>TEXT(DATEVALUE(B1786),"mmm")</f>
        <v/>
      </c>
      <c r="S1786" s="2">
        <f>TEXT(DATEVALUE(B1786),"yyyy-mm")</f>
        <v/>
      </c>
    </row>
    <row r="1787">
      <c r="A1787" s="2" t="inlineStr">
        <is>
          <t>O001732</t>
        </is>
      </c>
      <c r="B1787" s="2" t="inlineStr">
        <is>
          <t>2025-05-10</t>
        </is>
      </c>
      <c r="C1787" s="2" t="inlineStr">
        <is>
          <t>C0536</t>
        </is>
      </c>
      <c r="D1787" s="2" t="inlineStr">
        <is>
          <t>P0011</t>
        </is>
      </c>
      <c r="E1787" s="2" t="inlineStr">
        <is>
          <t>Cookware Set</t>
        </is>
      </c>
      <c r="F1787" s="2" t="inlineStr">
        <is>
          <t>Home &amp; Kitchen</t>
        </is>
      </c>
      <c r="G1787" s="2" t="inlineStr">
        <is>
          <t>North</t>
        </is>
      </c>
      <c r="H1787" s="2" t="inlineStr">
        <is>
          <t>Punjab</t>
        </is>
      </c>
      <c r="I1787" s="2" t="inlineStr">
        <is>
          <t>Ludhiana</t>
        </is>
      </c>
      <c r="J1787" s="2" t="inlineStr">
        <is>
          <t>Online</t>
        </is>
      </c>
      <c r="K1787" s="2" t="n">
        <v>1</v>
      </c>
      <c r="L1787" s="3" t="n">
        <v>683.41</v>
      </c>
      <c r="M1787" s="4" t="n">
        <v>0</v>
      </c>
      <c r="N1787" s="3" t="n">
        <v>461.67</v>
      </c>
      <c r="O1787" s="3">
        <f>K1787*L1787*(1-M1787)</f>
        <v/>
      </c>
      <c r="P1787" s="3">
        <f>O1787-N1787</f>
        <v/>
      </c>
      <c r="Q1787" s="5">
        <f>IFERROR(P1787/O1787,0)</f>
        <v/>
      </c>
      <c r="R1787" s="2">
        <f>TEXT(DATEVALUE(B1787),"mmm")</f>
        <v/>
      </c>
      <c r="S1787" s="2">
        <f>TEXT(DATEVALUE(B1787),"yyyy-mm")</f>
        <v/>
      </c>
    </row>
    <row r="1788">
      <c r="A1788" s="2" t="inlineStr">
        <is>
          <t>O001898</t>
        </is>
      </c>
      <c r="B1788" s="2" t="inlineStr">
        <is>
          <t>2025-05-11</t>
        </is>
      </c>
      <c r="C1788" s="2" t="inlineStr">
        <is>
          <t>C0694</t>
        </is>
      </c>
      <c r="D1788" s="2" t="inlineStr">
        <is>
          <t>P0027</t>
        </is>
      </c>
      <c r="E1788" s="2" t="inlineStr">
        <is>
          <t>Moisturizer</t>
        </is>
      </c>
      <c r="F1788" s="2" t="inlineStr">
        <is>
          <t>Beauty</t>
        </is>
      </c>
      <c r="G1788" s="2" t="inlineStr">
        <is>
          <t>South</t>
        </is>
      </c>
      <c r="H1788" s="2" t="inlineStr">
        <is>
          <t>Telangana</t>
        </is>
      </c>
      <c r="I1788" s="2" t="inlineStr">
        <is>
          <t>Hyderabad</t>
        </is>
      </c>
      <c r="J1788" s="2" t="inlineStr">
        <is>
          <t>Online</t>
        </is>
      </c>
      <c r="K1788" s="2" t="n">
        <v>2</v>
      </c>
      <c r="L1788" s="3" t="n">
        <v>942.5</v>
      </c>
      <c r="M1788" s="4" t="n">
        <v>0.05</v>
      </c>
      <c r="N1788" s="3" t="n">
        <v>1333.4</v>
      </c>
      <c r="O1788" s="3">
        <f>K1788*L1788*(1-M1788)</f>
        <v/>
      </c>
      <c r="P1788" s="3">
        <f>O1788-N1788</f>
        <v/>
      </c>
      <c r="Q1788" s="5">
        <f>IFERROR(P1788/O1788,0)</f>
        <v/>
      </c>
      <c r="R1788" s="2">
        <f>TEXT(DATEVALUE(B1788),"mmm")</f>
        <v/>
      </c>
      <c r="S1788" s="2">
        <f>TEXT(DATEVALUE(B1788),"yyyy-mm")</f>
        <v/>
      </c>
    </row>
    <row r="1789">
      <c r="A1789" s="2" t="inlineStr">
        <is>
          <t>O003036</t>
        </is>
      </c>
      <c r="B1789" s="2" t="inlineStr">
        <is>
          <t>2025-05-11</t>
        </is>
      </c>
      <c r="C1789" s="2" t="inlineStr">
        <is>
          <t>C0309</t>
        </is>
      </c>
      <c r="D1789" s="2" t="inlineStr">
        <is>
          <t>P0007</t>
        </is>
      </c>
      <c r="E1789" s="2" t="inlineStr">
        <is>
          <t>Wireless Mouse</t>
        </is>
      </c>
      <c r="F1789" s="2" t="inlineStr">
        <is>
          <t>Electronics</t>
        </is>
      </c>
      <c r="G1789" s="2" t="inlineStr">
        <is>
          <t>West</t>
        </is>
      </c>
      <c r="H1789" s="2" t="inlineStr">
        <is>
          <t>Maharashtra</t>
        </is>
      </c>
      <c r="I1789" s="2" t="inlineStr">
        <is>
          <t>Mumbai</t>
        </is>
      </c>
      <c r="J1789" s="2" t="inlineStr">
        <is>
          <t>Online</t>
        </is>
      </c>
      <c r="K1789" s="2" t="n">
        <v>1</v>
      </c>
      <c r="L1789" s="3" t="n">
        <v>958.03</v>
      </c>
      <c r="M1789" s="4" t="n">
        <v>0</v>
      </c>
      <c r="N1789" s="3" t="n">
        <v>634.54</v>
      </c>
      <c r="O1789" s="3">
        <f>K1789*L1789*(1-M1789)</f>
        <v/>
      </c>
      <c r="P1789" s="3">
        <f>O1789-N1789</f>
        <v/>
      </c>
      <c r="Q1789" s="5">
        <f>IFERROR(P1789/O1789,0)</f>
        <v/>
      </c>
      <c r="R1789" s="2">
        <f>TEXT(DATEVALUE(B1789),"mmm")</f>
        <v/>
      </c>
      <c r="S1789" s="2">
        <f>TEXT(DATEVALUE(B1789),"yyyy-mm")</f>
        <v/>
      </c>
    </row>
    <row r="1790">
      <c r="A1790" s="2" t="inlineStr">
        <is>
          <t>O003019</t>
        </is>
      </c>
      <c r="B1790" s="2" t="inlineStr">
        <is>
          <t>2025-05-11</t>
        </is>
      </c>
      <c r="C1790" s="2" t="inlineStr">
        <is>
          <t>C0523</t>
        </is>
      </c>
      <c r="D1790" s="2" t="inlineStr">
        <is>
          <t>P0030</t>
        </is>
      </c>
      <c r="E1790" s="2" t="inlineStr">
        <is>
          <t>Dumbbells</t>
        </is>
      </c>
      <c r="F1790" s="2" t="inlineStr">
        <is>
          <t>Sports</t>
        </is>
      </c>
      <c r="G1790" s="2" t="inlineStr">
        <is>
          <t>South</t>
        </is>
      </c>
      <c r="H1790" s="2" t="inlineStr">
        <is>
          <t>Tamil Nadu</t>
        </is>
      </c>
      <c r="I1790" s="2" t="inlineStr">
        <is>
          <t>Madurai</t>
        </is>
      </c>
      <c r="J1790" s="2" t="inlineStr">
        <is>
          <t>Online</t>
        </is>
      </c>
      <c r="K1790" s="2" t="n">
        <v>1</v>
      </c>
      <c r="L1790" s="3" t="n">
        <v>1507.2</v>
      </c>
      <c r="M1790" s="4" t="n">
        <v>0</v>
      </c>
      <c r="N1790" s="3" t="n">
        <v>1011.49</v>
      </c>
      <c r="O1790" s="3">
        <f>K1790*L1790*(1-M1790)</f>
        <v/>
      </c>
      <c r="P1790" s="3">
        <f>O1790-N1790</f>
        <v/>
      </c>
      <c r="Q1790" s="5">
        <f>IFERROR(P1790/O1790,0)</f>
        <v/>
      </c>
      <c r="R1790" s="2">
        <f>TEXT(DATEVALUE(B1790),"mmm")</f>
        <v/>
      </c>
      <c r="S1790" s="2">
        <f>TEXT(DATEVALUE(B1790),"yyyy-mm")</f>
        <v/>
      </c>
    </row>
    <row r="1791">
      <c r="A1791" s="2" t="inlineStr">
        <is>
          <t>O002880</t>
        </is>
      </c>
      <c r="B1791" s="2" t="inlineStr">
        <is>
          <t>2025-05-11</t>
        </is>
      </c>
      <c r="C1791" s="2" t="inlineStr">
        <is>
          <t>C0772</t>
        </is>
      </c>
      <c r="D1791" s="2" t="inlineStr">
        <is>
          <t>P0035</t>
        </is>
      </c>
      <c r="E1791" s="2" t="inlineStr">
        <is>
          <t>Skipping Rope</t>
        </is>
      </c>
      <c r="F1791" s="2" t="inlineStr">
        <is>
          <t>Sports</t>
        </is>
      </c>
      <c r="G1791" s="2" t="inlineStr">
        <is>
          <t>South</t>
        </is>
      </c>
      <c r="H1791" s="2" t="inlineStr">
        <is>
          <t>Telangana</t>
        </is>
      </c>
      <c r="I1791" s="2" t="inlineStr">
        <is>
          <t>Hyderabad</t>
        </is>
      </c>
      <c r="J1791" s="2" t="inlineStr">
        <is>
          <t>Store</t>
        </is>
      </c>
      <c r="K1791" s="2" t="n">
        <v>2</v>
      </c>
      <c r="L1791" s="3" t="n">
        <v>720.97</v>
      </c>
      <c r="M1791" s="4" t="n">
        <v>0.1</v>
      </c>
      <c r="N1791" s="3" t="n">
        <v>825.13</v>
      </c>
      <c r="O1791" s="3">
        <f>K1791*L1791*(1-M1791)</f>
        <v/>
      </c>
      <c r="P1791" s="3">
        <f>O1791-N1791</f>
        <v/>
      </c>
      <c r="Q1791" s="5">
        <f>IFERROR(P1791/O1791,0)</f>
        <v/>
      </c>
      <c r="R1791" s="2">
        <f>TEXT(DATEVALUE(B1791),"mmm")</f>
        <v/>
      </c>
      <c r="S1791" s="2">
        <f>TEXT(DATEVALUE(B1791),"yyyy-mm")</f>
        <v/>
      </c>
    </row>
    <row r="1792">
      <c r="A1792" s="2" t="inlineStr">
        <is>
          <t>O001934</t>
        </is>
      </c>
      <c r="B1792" s="2" t="inlineStr">
        <is>
          <t>2025-05-11</t>
        </is>
      </c>
      <c r="C1792" s="2" t="inlineStr">
        <is>
          <t>C0039</t>
        </is>
      </c>
      <c r="D1792" s="2" t="inlineStr">
        <is>
          <t>P0014</t>
        </is>
      </c>
      <c r="E1792" s="2" t="inlineStr">
        <is>
          <t>Coffee Maker</t>
        </is>
      </c>
      <c r="F1792" s="2" t="inlineStr">
        <is>
          <t>Home &amp; Kitchen</t>
        </is>
      </c>
      <c r="G1792" s="2" t="inlineStr">
        <is>
          <t>South</t>
        </is>
      </c>
      <c r="H1792" s="2" t="inlineStr">
        <is>
          <t>Tamil Nadu</t>
        </is>
      </c>
      <c r="I1792" s="2" t="inlineStr">
        <is>
          <t>Chennai</t>
        </is>
      </c>
      <c r="J1792" s="2" t="inlineStr">
        <is>
          <t>Online</t>
        </is>
      </c>
      <c r="K1792" s="2" t="n">
        <v>4</v>
      </c>
      <c r="L1792" s="3" t="n">
        <v>1027.9</v>
      </c>
      <c r="M1792" s="4" t="n">
        <v>0.1</v>
      </c>
      <c r="N1792" s="3" t="n">
        <v>2974.37</v>
      </c>
      <c r="O1792" s="3">
        <f>K1792*L1792*(1-M1792)</f>
        <v/>
      </c>
      <c r="P1792" s="3">
        <f>O1792-N1792</f>
        <v/>
      </c>
      <c r="Q1792" s="5">
        <f>IFERROR(P1792/O1792,0)</f>
        <v/>
      </c>
      <c r="R1792" s="2">
        <f>TEXT(DATEVALUE(B1792),"mmm")</f>
        <v/>
      </c>
      <c r="S1792" s="2">
        <f>TEXT(DATEVALUE(B1792),"yyyy-mm")</f>
        <v/>
      </c>
    </row>
    <row r="1793">
      <c r="A1793" s="2" t="inlineStr">
        <is>
          <t>O004919</t>
        </is>
      </c>
      <c r="B1793" s="2" t="inlineStr">
        <is>
          <t>2025-05-11</t>
        </is>
      </c>
      <c r="C1793" s="2" t="inlineStr">
        <is>
          <t>C0585</t>
        </is>
      </c>
      <c r="D1793" s="2" t="inlineStr">
        <is>
          <t>P0016</t>
        </is>
      </c>
      <c r="E1793" s="2" t="inlineStr">
        <is>
          <t>Casual Shirt</t>
        </is>
      </c>
      <c r="F1793" s="2" t="inlineStr">
        <is>
          <t>Fashion</t>
        </is>
      </c>
      <c r="G1793" s="2" t="inlineStr">
        <is>
          <t>North</t>
        </is>
      </c>
      <c r="H1793" s="2" t="inlineStr">
        <is>
          <t>Haryana</t>
        </is>
      </c>
      <c r="I1793" s="2" t="inlineStr">
        <is>
          <t>Faridabad</t>
        </is>
      </c>
      <c r="J1793" s="2" t="inlineStr">
        <is>
          <t>Online</t>
        </is>
      </c>
      <c r="K1793" s="2" t="n">
        <v>2</v>
      </c>
      <c r="L1793" s="3" t="n">
        <v>1295.85</v>
      </c>
      <c r="M1793" s="4" t="n">
        <v>0.15</v>
      </c>
      <c r="N1793" s="3" t="n">
        <v>1836.91</v>
      </c>
      <c r="O1793" s="3">
        <f>K1793*L1793*(1-M1793)</f>
        <v/>
      </c>
      <c r="P1793" s="3">
        <f>O1793-N1793</f>
        <v/>
      </c>
      <c r="Q1793" s="5">
        <f>IFERROR(P1793/O1793,0)</f>
        <v/>
      </c>
      <c r="R1793" s="2">
        <f>TEXT(DATEVALUE(B1793),"mmm")</f>
        <v/>
      </c>
      <c r="S1793" s="2">
        <f>TEXT(DATEVALUE(B1793),"yyyy-mm")</f>
        <v/>
      </c>
    </row>
    <row r="1794">
      <c r="A1794" s="2" t="inlineStr">
        <is>
          <t>O001418</t>
        </is>
      </c>
      <c r="B1794" s="2" t="inlineStr">
        <is>
          <t>2025-05-11</t>
        </is>
      </c>
      <c r="C1794" s="2" t="inlineStr">
        <is>
          <t>C0342</t>
        </is>
      </c>
      <c r="D1794" s="2" t="inlineStr">
        <is>
          <t>P0011</t>
        </is>
      </c>
      <c r="E1794" s="2" t="inlineStr">
        <is>
          <t>Cookware Set</t>
        </is>
      </c>
      <c r="F1794" s="2" t="inlineStr">
        <is>
          <t>Home &amp; Kitchen</t>
        </is>
      </c>
      <c r="G1794" s="2" t="inlineStr">
        <is>
          <t>West</t>
        </is>
      </c>
      <c r="H1794" s="2" t="inlineStr">
        <is>
          <t>Gujarat</t>
        </is>
      </c>
      <c r="I1794" s="2" t="inlineStr">
        <is>
          <t>Vadodara</t>
        </is>
      </c>
      <c r="J1794" s="2" t="inlineStr">
        <is>
          <t>Online</t>
        </is>
      </c>
      <c r="K1794" s="2" t="n">
        <v>1</v>
      </c>
      <c r="L1794" s="3" t="n">
        <v>700.95</v>
      </c>
      <c r="M1794" s="4" t="n">
        <v>0.2</v>
      </c>
      <c r="N1794" s="3" t="n">
        <v>471.61</v>
      </c>
      <c r="O1794" s="3">
        <f>K1794*L1794*(1-M1794)</f>
        <v/>
      </c>
      <c r="P1794" s="3">
        <f>O1794-N1794</f>
        <v/>
      </c>
      <c r="Q1794" s="5">
        <f>IFERROR(P1794/O1794,0)</f>
        <v/>
      </c>
      <c r="R1794" s="2">
        <f>TEXT(DATEVALUE(B1794),"mmm")</f>
        <v/>
      </c>
      <c r="S1794" s="2">
        <f>TEXT(DATEVALUE(B1794),"yyyy-mm")</f>
        <v/>
      </c>
    </row>
    <row r="1795">
      <c r="A1795" s="2" t="inlineStr">
        <is>
          <t>O001242</t>
        </is>
      </c>
      <c r="B1795" s="2" t="inlineStr">
        <is>
          <t>2025-05-11</t>
        </is>
      </c>
      <c r="C1795" s="2" t="inlineStr">
        <is>
          <t>C0748</t>
        </is>
      </c>
      <c r="D1795" s="2" t="inlineStr">
        <is>
          <t>P0022</t>
        </is>
      </c>
      <c r="E1795" s="2" t="inlineStr">
        <is>
          <t>Face Wash</t>
        </is>
      </c>
      <c r="F1795" s="2" t="inlineStr">
        <is>
          <t>Beauty</t>
        </is>
      </c>
      <c r="G1795" s="2" t="inlineStr">
        <is>
          <t>South</t>
        </is>
      </c>
      <c r="H1795" s="2" t="inlineStr">
        <is>
          <t>Kerala</t>
        </is>
      </c>
      <c r="I1795" s="2" t="inlineStr">
        <is>
          <t>Kochi</t>
        </is>
      </c>
      <c r="J1795" s="2" t="inlineStr">
        <is>
          <t>Store</t>
        </is>
      </c>
      <c r="K1795" s="2" t="n">
        <v>3</v>
      </c>
      <c r="L1795" s="3" t="n">
        <v>539.62</v>
      </c>
      <c r="M1795" s="4" t="n">
        <v>0.2</v>
      </c>
      <c r="N1795" s="3" t="n">
        <v>1065.75</v>
      </c>
      <c r="O1795" s="3">
        <f>K1795*L1795*(1-M1795)</f>
        <v/>
      </c>
      <c r="P1795" s="3">
        <f>O1795-N1795</f>
        <v/>
      </c>
      <c r="Q1795" s="5">
        <f>IFERROR(P1795/O1795,0)</f>
        <v/>
      </c>
      <c r="R1795" s="2">
        <f>TEXT(DATEVALUE(B1795),"mmm")</f>
        <v/>
      </c>
      <c r="S1795" s="2">
        <f>TEXT(DATEVALUE(B1795),"yyyy-mm")</f>
        <v/>
      </c>
    </row>
    <row r="1796">
      <c r="A1796" s="2" t="inlineStr">
        <is>
          <t>O000276</t>
        </is>
      </c>
      <c r="B1796" s="2" t="inlineStr">
        <is>
          <t>2025-05-11</t>
        </is>
      </c>
      <c r="C1796" s="2" t="inlineStr">
        <is>
          <t>C0579</t>
        </is>
      </c>
      <c r="D1796" s="2" t="inlineStr">
        <is>
          <t>P0012</t>
        </is>
      </c>
      <c r="E1796" s="2" t="inlineStr">
        <is>
          <t>Water Bottle</t>
        </is>
      </c>
      <c r="F1796" s="2" t="inlineStr">
        <is>
          <t>Home &amp; Kitchen</t>
        </is>
      </c>
      <c r="G1796" s="2" t="inlineStr">
        <is>
          <t>West</t>
        </is>
      </c>
      <c r="H1796" s="2" t="inlineStr">
        <is>
          <t>Goa</t>
        </is>
      </c>
      <c r="I1796" s="2" t="inlineStr">
        <is>
          <t>Panaji</t>
        </is>
      </c>
      <c r="J1796" s="2" t="inlineStr">
        <is>
          <t>Store</t>
        </is>
      </c>
      <c r="K1796" s="2" t="n">
        <v>6</v>
      </c>
      <c r="L1796" s="3" t="n">
        <v>974.02</v>
      </c>
      <c r="M1796" s="4" t="n">
        <v>0.05</v>
      </c>
      <c r="N1796" s="3" t="n">
        <v>3763.23</v>
      </c>
      <c r="O1796" s="3">
        <f>K1796*L1796*(1-M1796)</f>
        <v/>
      </c>
      <c r="P1796" s="3">
        <f>O1796-N1796</f>
        <v/>
      </c>
      <c r="Q1796" s="5">
        <f>IFERROR(P1796/O1796,0)</f>
        <v/>
      </c>
      <c r="R1796" s="2">
        <f>TEXT(DATEVALUE(B1796),"mmm")</f>
        <v/>
      </c>
      <c r="S1796" s="2">
        <f>TEXT(DATEVALUE(B1796),"yyyy-mm")</f>
        <v/>
      </c>
    </row>
    <row r="1797">
      <c r="A1797" s="2" t="inlineStr">
        <is>
          <t>O000127</t>
        </is>
      </c>
      <c r="B1797" s="2" t="inlineStr">
        <is>
          <t>2025-05-11</t>
        </is>
      </c>
      <c r="C1797" s="2" t="inlineStr">
        <is>
          <t>C0256</t>
        </is>
      </c>
      <c r="D1797" s="2" t="inlineStr">
        <is>
          <t>P0011</t>
        </is>
      </c>
      <c r="E1797" s="2" t="inlineStr">
        <is>
          <t>Cookware Set</t>
        </is>
      </c>
      <c r="F1797" s="2" t="inlineStr">
        <is>
          <t>Home &amp; Kitchen</t>
        </is>
      </c>
      <c r="G1797" s="2" t="inlineStr">
        <is>
          <t>North</t>
        </is>
      </c>
      <c r="H1797" s="2" t="inlineStr">
        <is>
          <t>Delhi</t>
        </is>
      </c>
      <c r="I1797" s="2" t="inlineStr">
        <is>
          <t>New Delhi</t>
        </is>
      </c>
      <c r="J1797" s="2" t="inlineStr">
        <is>
          <t>Store</t>
        </is>
      </c>
      <c r="K1797" s="2" t="n">
        <v>2</v>
      </c>
      <c r="L1797" s="3" t="n">
        <v>694.28</v>
      </c>
      <c r="M1797" s="4" t="n">
        <v>0.1</v>
      </c>
      <c r="N1797" s="3" t="n">
        <v>943.76</v>
      </c>
      <c r="O1797" s="3">
        <f>K1797*L1797*(1-M1797)</f>
        <v/>
      </c>
      <c r="P1797" s="3">
        <f>O1797-N1797</f>
        <v/>
      </c>
      <c r="Q1797" s="5">
        <f>IFERROR(P1797/O1797,0)</f>
        <v/>
      </c>
      <c r="R1797" s="2">
        <f>TEXT(DATEVALUE(B1797),"mmm")</f>
        <v/>
      </c>
      <c r="S1797" s="2">
        <f>TEXT(DATEVALUE(B1797),"yyyy-mm")</f>
        <v/>
      </c>
    </row>
    <row r="1798">
      <c r="A1798" s="2" t="inlineStr">
        <is>
          <t>O000042</t>
        </is>
      </c>
      <c r="B1798" s="2" t="inlineStr">
        <is>
          <t>2025-05-11</t>
        </is>
      </c>
      <c r="C1798" s="2" t="inlineStr">
        <is>
          <t>C0088</t>
        </is>
      </c>
      <c r="D1798" s="2" t="inlineStr">
        <is>
          <t>P0012</t>
        </is>
      </c>
      <c r="E1798" s="2" t="inlineStr">
        <is>
          <t>Water Bottle</t>
        </is>
      </c>
      <c r="F1798" s="2" t="inlineStr">
        <is>
          <t>Home &amp; Kitchen</t>
        </is>
      </c>
      <c r="G1798" s="2" t="inlineStr">
        <is>
          <t>West</t>
        </is>
      </c>
      <c r="H1798" s="2" t="inlineStr">
        <is>
          <t>Goa</t>
        </is>
      </c>
      <c r="I1798" s="2" t="inlineStr">
        <is>
          <t>Margao</t>
        </is>
      </c>
      <c r="J1798" s="2" t="inlineStr">
        <is>
          <t>Online</t>
        </is>
      </c>
      <c r="K1798" s="2" t="n">
        <v>1</v>
      </c>
      <c r="L1798" s="3" t="n">
        <v>945.6</v>
      </c>
      <c r="M1798" s="4" t="n">
        <v>0.05</v>
      </c>
      <c r="N1798" s="3" t="n">
        <v>631.87</v>
      </c>
      <c r="O1798" s="3">
        <f>K1798*L1798*(1-M1798)</f>
        <v/>
      </c>
      <c r="P1798" s="3">
        <f>O1798-N1798</f>
        <v/>
      </c>
      <c r="Q1798" s="5">
        <f>IFERROR(P1798/O1798,0)</f>
        <v/>
      </c>
      <c r="R1798" s="2">
        <f>TEXT(DATEVALUE(B1798),"mmm")</f>
        <v/>
      </c>
      <c r="S1798" s="2">
        <f>TEXT(DATEVALUE(B1798),"yyyy-mm")</f>
        <v/>
      </c>
    </row>
    <row r="1799">
      <c r="A1799" s="2" t="inlineStr">
        <is>
          <t>O000016</t>
        </is>
      </c>
      <c r="B1799" s="2" t="inlineStr">
        <is>
          <t>2025-05-11</t>
        </is>
      </c>
      <c r="C1799" s="2" t="inlineStr">
        <is>
          <t>C0270</t>
        </is>
      </c>
      <c r="D1799" s="2" t="inlineStr">
        <is>
          <t>P0016</t>
        </is>
      </c>
      <c r="E1799" s="2" t="inlineStr">
        <is>
          <t>Casual Shirt</t>
        </is>
      </c>
      <c r="F1799" s="2" t="inlineStr">
        <is>
          <t>Fashion</t>
        </is>
      </c>
      <c r="G1799" s="2" t="inlineStr">
        <is>
          <t>North</t>
        </is>
      </c>
      <c r="H1799" s="2" t="inlineStr">
        <is>
          <t>Delhi</t>
        </is>
      </c>
      <c r="I1799" s="2" t="inlineStr">
        <is>
          <t>New Delhi</t>
        </is>
      </c>
      <c r="J1799" s="2" t="inlineStr">
        <is>
          <t>Online</t>
        </is>
      </c>
      <c r="K1799" s="2" t="n">
        <v>1</v>
      </c>
      <c r="L1799" s="3" t="n">
        <v>1251.08</v>
      </c>
      <c r="M1799" s="4" t="n">
        <v>0</v>
      </c>
      <c r="N1799" s="3" t="n">
        <v>909.87</v>
      </c>
      <c r="O1799" s="3">
        <f>K1799*L1799*(1-M1799)</f>
        <v/>
      </c>
      <c r="P1799" s="3">
        <f>O1799-N1799</f>
        <v/>
      </c>
      <c r="Q1799" s="5">
        <f>IFERROR(P1799/O1799,0)</f>
        <v/>
      </c>
      <c r="R1799" s="2">
        <f>TEXT(DATEVALUE(B1799),"mmm")</f>
        <v/>
      </c>
      <c r="S1799" s="2">
        <f>TEXT(DATEVALUE(B1799),"yyyy-mm")</f>
        <v/>
      </c>
    </row>
    <row r="1800">
      <c r="A1800" s="2" t="inlineStr">
        <is>
          <t>O001480</t>
        </is>
      </c>
      <c r="B1800" s="2" t="inlineStr">
        <is>
          <t>2025-05-11</t>
        </is>
      </c>
      <c r="C1800" s="2" t="inlineStr">
        <is>
          <t>C0180</t>
        </is>
      </c>
      <c r="D1800" s="2" t="inlineStr">
        <is>
          <t>P0020</t>
        </is>
      </c>
      <c r="E1800" s="2" t="inlineStr">
        <is>
          <t>Sneakers</t>
        </is>
      </c>
      <c r="F1800" s="2" t="inlineStr">
        <is>
          <t>Fashion</t>
        </is>
      </c>
      <c r="G1800" s="2" t="inlineStr">
        <is>
          <t>South</t>
        </is>
      </c>
      <c r="H1800" s="2" t="inlineStr">
        <is>
          <t>Karnataka</t>
        </is>
      </c>
      <c r="I1800" s="2" t="inlineStr">
        <is>
          <t>Bengaluru</t>
        </is>
      </c>
      <c r="J1800" s="2" t="inlineStr">
        <is>
          <t>Online</t>
        </is>
      </c>
      <c r="K1800" s="2" t="n">
        <v>1</v>
      </c>
      <c r="L1800" s="3" t="n">
        <v>1889.05</v>
      </c>
      <c r="M1800" s="4" t="n">
        <v>0.1</v>
      </c>
      <c r="N1800" s="3" t="n">
        <v>1462.75</v>
      </c>
      <c r="O1800" s="3">
        <f>K1800*L1800*(1-M1800)</f>
        <v/>
      </c>
      <c r="P1800" s="3">
        <f>O1800-N1800</f>
        <v/>
      </c>
      <c r="Q1800" s="5">
        <f>IFERROR(P1800/O1800,0)</f>
        <v/>
      </c>
      <c r="R1800" s="2">
        <f>TEXT(DATEVALUE(B1800),"mmm")</f>
        <v/>
      </c>
      <c r="S1800" s="2">
        <f>TEXT(DATEVALUE(B1800),"yyyy-mm")</f>
        <v/>
      </c>
    </row>
    <row r="1801">
      <c r="A1801" s="2" t="inlineStr">
        <is>
          <t>O004695</t>
        </is>
      </c>
      <c r="B1801" s="2" t="inlineStr">
        <is>
          <t>2025-05-12</t>
        </is>
      </c>
      <c r="C1801" s="2" t="inlineStr">
        <is>
          <t>C0575</t>
        </is>
      </c>
      <c r="D1801" s="2" t="inlineStr">
        <is>
          <t>P0026</t>
        </is>
      </c>
      <c r="E1801" s="2" t="inlineStr">
        <is>
          <t>Shampoo</t>
        </is>
      </c>
      <c r="F1801" s="2" t="inlineStr">
        <is>
          <t>Beauty</t>
        </is>
      </c>
      <c r="G1801" s="2" t="inlineStr">
        <is>
          <t>South</t>
        </is>
      </c>
      <c r="H1801" s="2" t="inlineStr">
        <is>
          <t>Tamil Nadu</t>
        </is>
      </c>
      <c r="I1801" s="2" t="inlineStr">
        <is>
          <t>Madurai</t>
        </is>
      </c>
      <c r="J1801" s="2" t="inlineStr">
        <is>
          <t>Online</t>
        </is>
      </c>
      <c r="K1801" s="2" t="n">
        <v>5</v>
      </c>
      <c r="L1801" s="3" t="n">
        <v>875.04</v>
      </c>
      <c r="M1801" s="4" t="n">
        <v>0.05</v>
      </c>
      <c r="N1801" s="3" t="n">
        <v>2643.74</v>
      </c>
      <c r="O1801" s="3">
        <f>K1801*L1801*(1-M1801)</f>
        <v/>
      </c>
      <c r="P1801" s="3">
        <f>O1801-N1801</f>
        <v/>
      </c>
      <c r="Q1801" s="5">
        <f>IFERROR(P1801/O1801,0)</f>
        <v/>
      </c>
      <c r="R1801" s="2">
        <f>TEXT(DATEVALUE(B1801),"mmm")</f>
        <v/>
      </c>
      <c r="S1801" s="2">
        <f>TEXT(DATEVALUE(B1801),"yyyy-mm")</f>
        <v/>
      </c>
    </row>
    <row r="1802">
      <c r="A1802" s="2" t="inlineStr">
        <is>
          <t>O004396</t>
        </is>
      </c>
      <c r="B1802" s="2" t="inlineStr">
        <is>
          <t>2025-05-12</t>
        </is>
      </c>
      <c r="C1802" s="2" t="inlineStr">
        <is>
          <t>C0523</t>
        </is>
      </c>
      <c r="D1802" s="2" t="inlineStr">
        <is>
          <t>P0009</t>
        </is>
      </c>
      <c r="E1802" s="2" t="inlineStr">
        <is>
          <t>Electric Kettle</t>
        </is>
      </c>
      <c r="F1802" s="2" t="inlineStr">
        <is>
          <t>Home &amp; Kitchen</t>
        </is>
      </c>
      <c r="G1802" s="2" t="inlineStr">
        <is>
          <t>South</t>
        </is>
      </c>
      <c r="H1802" s="2" t="inlineStr">
        <is>
          <t>Tamil Nadu</t>
        </is>
      </c>
      <c r="I1802" s="2" t="inlineStr">
        <is>
          <t>Coimbatore</t>
        </is>
      </c>
      <c r="J1802" s="2" t="inlineStr">
        <is>
          <t>Online</t>
        </is>
      </c>
      <c r="K1802" s="2" t="n">
        <v>1</v>
      </c>
      <c r="L1802" s="3" t="n">
        <v>2014.55</v>
      </c>
      <c r="M1802" s="4" t="n">
        <v>0.05</v>
      </c>
      <c r="N1802" s="3" t="n">
        <v>1161.73</v>
      </c>
      <c r="O1802" s="3">
        <f>K1802*L1802*(1-M1802)</f>
        <v/>
      </c>
      <c r="P1802" s="3">
        <f>O1802-N1802</f>
        <v/>
      </c>
      <c r="Q1802" s="5">
        <f>IFERROR(P1802/O1802,0)</f>
        <v/>
      </c>
      <c r="R1802" s="2">
        <f>TEXT(DATEVALUE(B1802),"mmm")</f>
        <v/>
      </c>
      <c r="S1802" s="2">
        <f>TEXT(DATEVALUE(B1802),"yyyy-mm")</f>
        <v/>
      </c>
    </row>
    <row r="1803">
      <c r="A1803" s="2" t="inlineStr">
        <is>
          <t>O004082</t>
        </is>
      </c>
      <c r="B1803" s="2" t="inlineStr">
        <is>
          <t>2025-05-12</t>
        </is>
      </c>
      <c r="C1803" s="2" t="inlineStr">
        <is>
          <t>C0216</t>
        </is>
      </c>
      <c r="D1803" s="2" t="inlineStr">
        <is>
          <t>P0014</t>
        </is>
      </c>
      <c r="E1803" s="2" t="inlineStr">
        <is>
          <t>Coffee Maker</t>
        </is>
      </c>
      <c r="F1803" s="2" t="inlineStr">
        <is>
          <t>Home &amp; Kitchen</t>
        </is>
      </c>
      <c r="G1803" s="2" t="inlineStr">
        <is>
          <t>South</t>
        </is>
      </c>
      <c r="H1803" s="2" t="inlineStr">
        <is>
          <t>Tamil Nadu</t>
        </is>
      </c>
      <c r="I1803" s="2" t="inlineStr">
        <is>
          <t>Chennai</t>
        </is>
      </c>
      <c r="J1803" s="2" t="inlineStr">
        <is>
          <t>Online</t>
        </is>
      </c>
      <c r="K1803" s="2" t="n">
        <v>1</v>
      </c>
      <c r="L1803" s="3" t="n">
        <v>1009.9</v>
      </c>
      <c r="M1803" s="4" t="n">
        <v>0.05</v>
      </c>
      <c r="N1803" s="3" t="n">
        <v>743.49</v>
      </c>
      <c r="O1803" s="3">
        <f>K1803*L1803*(1-M1803)</f>
        <v/>
      </c>
      <c r="P1803" s="3">
        <f>O1803-N1803</f>
        <v/>
      </c>
      <c r="Q1803" s="5">
        <f>IFERROR(P1803/O1803,0)</f>
        <v/>
      </c>
      <c r="R1803" s="2">
        <f>TEXT(DATEVALUE(B1803),"mmm")</f>
        <v/>
      </c>
      <c r="S1803" s="2">
        <f>TEXT(DATEVALUE(B1803),"yyyy-mm")</f>
        <v/>
      </c>
    </row>
    <row r="1804">
      <c r="A1804" s="2" t="inlineStr">
        <is>
          <t>O003857</t>
        </is>
      </c>
      <c r="B1804" s="2" t="inlineStr">
        <is>
          <t>2025-05-12</t>
        </is>
      </c>
      <c r="C1804" s="2" t="inlineStr">
        <is>
          <t>C0150</t>
        </is>
      </c>
      <c r="D1804" s="2" t="inlineStr">
        <is>
          <t>P0005</t>
        </is>
      </c>
      <c r="E1804" s="2" t="inlineStr">
        <is>
          <t>Power Bank</t>
        </is>
      </c>
      <c r="F1804" s="2" t="inlineStr">
        <is>
          <t>Electronics</t>
        </is>
      </c>
      <c r="G1804" s="2" t="inlineStr">
        <is>
          <t>West</t>
        </is>
      </c>
      <c r="H1804" s="2" t="inlineStr">
        <is>
          <t>Goa</t>
        </is>
      </c>
      <c r="I1804" s="2" t="inlineStr">
        <is>
          <t>Margao</t>
        </is>
      </c>
      <c r="J1804" s="2" t="inlineStr">
        <is>
          <t>Online</t>
        </is>
      </c>
      <c r="K1804" s="2" t="n">
        <v>1</v>
      </c>
      <c r="L1804" s="3" t="n">
        <v>1097.86</v>
      </c>
      <c r="M1804" s="4" t="n">
        <v>0.1</v>
      </c>
      <c r="N1804" s="3" t="n">
        <v>686.84</v>
      </c>
      <c r="O1804" s="3">
        <f>K1804*L1804*(1-M1804)</f>
        <v/>
      </c>
      <c r="P1804" s="3">
        <f>O1804-N1804</f>
        <v/>
      </c>
      <c r="Q1804" s="5">
        <f>IFERROR(P1804/O1804,0)</f>
        <v/>
      </c>
      <c r="R1804" s="2">
        <f>TEXT(DATEVALUE(B1804),"mmm")</f>
        <v/>
      </c>
      <c r="S1804" s="2">
        <f>TEXT(DATEVALUE(B1804),"yyyy-mm")</f>
        <v/>
      </c>
    </row>
    <row r="1805">
      <c r="A1805" s="2" t="inlineStr">
        <is>
          <t>O003202</t>
        </is>
      </c>
      <c r="B1805" s="2" t="inlineStr">
        <is>
          <t>2025-05-12</t>
        </is>
      </c>
      <c r="C1805" s="2" t="inlineStr">
        <is>
          <t>C0667</t>
        </is>
      </c>
      <c r="D1805" s="2" t="inlineStr">
        <is>
          <t>P0014</t>
        </is>
      </c>
      <c r="E1805" s="2" t="inlineStr">
        <is>
          <t>Coffee Maker</t>
        </is>
      </c>
      <c r="F1805" s="2" t="inlineStr">
        <is>
          <t>Home &amp; Kitchen</t>
        </is>
      </c>
      <c r="G1805" s="2" t="inlineStr">
        <is>
          <t>South</t>
        </is>
      </c>
      <c r="H1805" s="2" t="inlineStr">
        <is>
          <t>Kerala</t>
        </is>
      </c>
      <c r="I1805" s="2" t="inlineStr">
        <is>
          <t>Kochi</t>
        </is>
      </c>
      <c r="J1805" s="2" t="inlineStr">
        <is>
          <t>Online</t>
        </is>
      </c>
      <c r="K1805" s="2" t="n">
        <v>3</v>
      </c>
      <c r="L1805" s="3" t="n">
        <v>1024.72</v>
      </c>
      <c r="M1805" s="4" t="n">
        <v>0.1</v>
      </c>
      <c r="N1805" s="3" t="n">
        <v>2312.66</v>
      </c>
      <c r="O1805" s="3">
        <f>K1805*L1805*(1-M1805)</f>
        <v/>
      </c>
      <c r="P1805" s="3">
        <f>O1805-N1805</f>
        <v/>
      </c>
      <c r="Q1805" s="5">
        <f>IFERROR(P1805/O1805,0)</f>
        <v/>
      </c>
      <c r="R1805" s="2">
        <f>TEXT(DATEVALUE(B1805),"mmm")</f>
        <v/>
      </c>
      <c r="S1805" s="2">
        <f>TEXT(DATEVALUE(B1805),"yyyy-mm")</f>
        <v/>
      </c>
    </row>
    <row r="1806">
      <c r="A1806" s="2" t="inlineStr">
        <is>
          <t>O002711</t>
        </is>
      </c>
      <c r="B1806" s="2" t="inlineStr">
        <is>
          <t>2025-05-12</t>
        </is>
      </c>
      <c r="C1806" s="2" t="inlineStr">
        <is>
          <t>C0607</t>
        </is>
      </c>
      <c r="D1806" s="2" t="inlineStr">
        <is>
          <t>P0017</t>
        </is>
      </c>
      <c r="E1806" s="2" t="inlineStr">
        <is>
          <t>Jeans</t>
        </is>
      </c>
      <c r="F1806" s="2" t="inlineStr">
        <is>
          <t>Fashion</t>
        </is>
      </c>
      <c r="G1806" s="2" t="inlineStr">
        <is>
          <t>West</t>
        </is>
      </c>
      <c r="H1806" s="2" t="inlineStr">
        <is>
          <t>Gujarat</t>
        </is>
      </c>
      <c r="I1806" s="2" t="inlineStr">
        <is>
          <t>Ahmedabad</t>
        </is>
      </c>
      <c r="J1806" s="2" t="inlineStr">
        <is>
          <t>Store</t>
        </is>
      </c>
      <c r="K1806" s="2" t="n">
        <v>1</v>
      </c>
      <c r="L1806" s="3" t="n">
        <v>1494.66</v>
      </c>
      <c r="M1806" s="4" t="n">
        <v>0.05</v>
      </c>
      <c r="N1806" s="3" t="n">
        <v>1018.09</v>
      </c>
      <c r="O1806" s="3">
        <f>K1806*L1806*(1-M1806)</f>
        <v/>
      </c>
      <c r="P1806" s="3">
        <f>O1806-N1806</f>
        <v/>
      </c>
      <c r="Q1806" s="5">
        <f>IFERROR(P1806/O1806,0)</f>
        <v/>
      </c>
      <c r="R1806" s="2">
        <f>TEXT(DATEVALUE(B1806),"mmm")</f>
        <v/>
      </c>
      <c r="S1806" s="2">
        <f>TEXT(DATEVALUE(B1806),"yyyy-mm")</f>
        <v/>
      </c>
    </row>
    <row r="1807">
      <c r="A1807" s="2" t="inlineStr">
        <is>
          <t>O002176</t>
        </is>
      </c>
      <c r="B1807" s="2" t="inlineStr">
        <is>
          <t>2025-05-12</t>
        </is>
      </c>
      <c r="C1807" s="2" t="inlineStr">
        <is>
          <t>C0795</t>
        </is>
      </c>
      <c r="D1807" s="2" t="inlineStr">
        <is>
          <t>P0014</t>
        </is>
      </c>
      <c r="E1807" s="2" t="inlineStr">
        <is>
          <t>Coffee Maker</t>
        </is>
      </c>
      <c r="F1807" s="2" t="inlineStr">
        <is>
          <t>Home &amp; Kitchen</t>
        </is>
      </c>
      <c r="G1807" s="2" t="inlineStr">
        <is>
          <t>West</t>
        </is>
      </c>
      <c r="H1807" s="2" t="inlineStr">
        <is>
          <t>Gujarat</t>
        </is>
      </c>
      <c r="I1807" s="2" t="inlineStr">
        <is>
          <t>Surat</t>
        </is>
      </c>
      <c r="J1807" s="2" t="inlineStr">
        <is>
          <t>Online</t>
        </is>
      </c>
      <c r="K1807" s="2" t="n">
        <v>4</v>
      </c>
      <c r="L1807" s="3" t="n">
        <v>1046.62</v>
      </c>
      <c r="M1807" s="4" t="n">
        <v>0.05</v>
      </c>
      <c r="N1807" s="3" t="n">
        <v>3014.27</v>
      </c>
      <c r="O1807" s="3">
        <f>K1807*L1807*(1-M1807)</f>
        <v/>
      </c>
      <c r="P1807" s="3">
        <f>O1807-N1807</f>
        <v/>
      </c>
      <c r="Q1807" s="5">
        <f>IFERROR(P1807/O1807,0)</f>
        <v/>
      </c>
      <c r="R1807" s="2">
        <f>TEXT(DATEVALUE(B1807),"mmm")</f>
        <v/>
      </c>
      <c r="S1807" s="2">
        <f>TEXT(DATEVALUE(B1807),"yyyy-mm")</f>
        <v/>
      </c>
    </row>
    <row r="1808">
      <c r="A1808" s="2" t="inlineStr">
        <is>
          <t>O002096</t>
        </is>
      </c>
      <c r="B1808" s="2" t="inlineStr">
        <is>
          <t>2025-05-12</t>
        </is>
      </c>
      <c r="C1808" s="2" t="inlineStr">
        <is>
          <t>C0334</t>
        </is>
      </c>
      <c r="D1808" s="2" t="inlineStr">
        <is>
          <t>P0018</t>
        </is>
      </c>
      <c r="E1808" s="2" t="inlineStr">
        <is>
          <t>Backpack</t>
        </is>
      </c>
      <c r="F1808" s="2" t="inlineStr">
        <is>
          <t>Fashion</t>
        </is>
      </c>
      <c r="G1808" s="2" t="inlineStr">
        <is>
          <t>South</t>
        </is>
      </c>
      <c r="H1808" s="2" t="inlineStr">
        <is>
          <t>Kerala</t>
        </is>
      </c>
      <c r="I1808" s="2" t="inlineStr">
        <is>
          <t>Kochi</t>
        </is>
      </c>
      <c r="J1808" s="2" t="inlineStr">
        <is>
          <t>Store</t>
        </is>
      </c>
      <c r="K1808" s="2" t="n">
        <v>2</v>
      </c>
      <c r="L1808" s="3" t="n">
        <v>1862.29</v>
      </c>
      <c r="M1808" s="4" t="n">
        <v>0.1</v>
      </c>
      <c r="N1808" s="3" t="n">
        <v>2765.36</v>
      </c>
      <c r="O1808" s="3">
        <f>K1808*L1808*(1-M1808)</f>
        <v/>
      </c>
      <c r="P1808" s="3">
        <f>O1808-N1808</f>
        <v/>
      </c>
      <c r="Q1808" s="5">
        <f>IFERROR(P1808/O1808,0)</f>
        <v/>
      </c>
      <c r="R1808" s="2">
        <f>TEXT(DATEVALUE(B1808),"mmm")</f>
        <v/>
      </c>
      <c r="S1808" s="2">
        <f>TEXT(DATEVALUE(B1808),"yyyy-mm")</f>
        <v/>
      </c>
    </row>
    <row r="1809">
      <c r="A1809" s="2" t="inlineStr">
        <is>
          <t>O001238</t>
        </is>
      </c>
      <c r="B1809" s="2" t="inlineStr">
        <is>
          <t>2025-05-12</t>
        </is>
      </c>
      <c r="C1809" s="2" t="inlineStr">
        <is>
          <t>C0478</t>
        </is>
      </c>
      <c r="D1809" s="2" t="inlineStr">
        <is>
          <t>P0007</t>
        </is>
      </c>
      <c r="E1809" s="2" t="inlineStr">
        <is>
          <t>Wireless Mouse</t>
        </is>
      </c>
      <c r="F1809" s="2" t="inlineStr">
        <is>
          <t>Electronics</t>
        </is>
      </c>
      <c r="G1809" s="2" t="inlineStr">
        <is>
          <t>East</t>
        </is>
      </c>
      <c r="H1809" s="2" t="inlineStr">
        <is>
          <t>Bihar</t>
        </is>
      </c>
      <c r="I1809" s="2" t="inlineStr">
        <is>
          <t>Gaya</t>
        </is>
      </c>
      <c r="J1809" s="2" t="inlineStr">
        <is>
          <t>Online</t>
        </is>
      </c>
      <c r="K1809" s="2" t="n">
        <v>3</v>
      </c>
      <c r="L1809" s="3" t="n">
        <v>954.28</v>
      </c>
      <c r="M1809" s="4" t="n">
        <v>0.1</v>
      </c>
      <c r="N1809" s="3" t="n">
        <v>1828.12</v>
      </c>
      <c r="O1809" s="3">
        <f>K1809*L1809*(1-M1809)</f>
        <v/>
      </c>
      <c r="P1809" s="3">
        <f>O1809-N1809</f>
        <v/>
      </c>
      <c r="Q1809" s="5">
        <f>IFERROR(P1809/O1809,0)</f>
        <v/>
      </c>
      <c r="R1809" s="2">
        <f>TEXT(DATEVALUE(B1809),"mmm")</f>
        <v/>
      </c>
      <c r="S1809" s="2">
        <f>TEXT(DATEVALUE(B1809),"yyyy-mm")</f>
        <v/>
      </c>
    </row>
    <row r="1810">
      <c r="A1810" s="2" t="inlineStr">
        <is>
          <t>O001049</t>
        </is>
      </c>
      <c r="B1810" s="2" t="inlineStr">
        <is>
          <t>2025-05-12</t>
        </is>
      </c>
      <c r="C1810" s="2" t="inlineStr">
        <is>
          <t>C0345</t>
        </is>
      </c>
      <c r="D1810" s="2" t="inlineStr">
        <is>
          <t>P0014</t>
        </is>
      </c>
      <c r="E1810" s="2" t="inlineStr">
        <is>
          <t>Coffee Maker</t>
        </is>
      </c>
      <c r="F1810" s="2" t="inlineStr">
        <is>
          <t>Home &amp; Kitchen</t>
        </is>
      </c>
      <c r="G1810" s="2" t="inlineStr">
        <is>
          <t>North</t>
        </is>
      </c>
      <c r="H1810" s="2" t="inlineStr">
        <is>
          <t>Delhi</t>
        </is>
      </c>
      <c r="I1810" s="2" t="inlineStr">
        <is>
          <t>New Delhi</t>
        </is>
      </c>
      <c r="J1810" s="2" t="inlineStr">
        <is>
          <t>Online</t>
        </is>
      </c>
      <c r="K1810" s="2" t="n">
        <v>6</v>
      </c>
      <c r="L1810" s="3" t="n">
        <v>1001.29</v>
      </c>
      <c r="M1810" s="4" t="n">
        <v>0</v>
      </c>
      <c r="N1810" s="3" t="n">
        <v>4589.69</v>
      </c>
      <c r="O1810" s="3">
        <f>K1810*L1810*(1-M1810)</f>
        <v/>
      </c>
      <c r="P1810" s="3">
        <f>O1810-N1810</f>
        <v/>
      </c>
      <c r="Q1810" s="5">
        <f>IFERROR(P1810/O1810,0)</f>
        <v/>
      </c>
      <c r="R1810" s="2">
        <f>TEXT(DATEVALUE(B1810),"mmm")</f>
        <v/>
      </c>
      <c r="S1810" s="2">
        <f>TEXT(DATEVALUE(B1810),"yyyy-mm")</f>
        <v/>
      </c>
    </row>
    <row r="1811">
      <c r="A1811" s="2" t="inlineStr">
        <is>
          <t>O000626</t>
        </is>
      </c>
      <c r="B1811" s="2" t="inlineStr">
        <is>
          <t>2025-05-12</t>
        </is>
      </c>
      <c r="C1811" s="2" t="inlineStr">
        <is>
          <t>C0065</t>
        </is>
      </c>
      <c r="D1811" s="2" t="inlineStr">
        <is>
          <t>P0032</t>
        </is>
      </c>
      <c r="E1811" s="2" t="inlineStr">
        <is>
          <t>Football</t>
        </is>
      </c>
      <c r="F1811" s="2" t="inlineStr">
        <is>
          <t>Sports</t>
        </is>
      </c>
      <c r="G1811" s="2" t="inlineStr">
        <is>
          <t>North</t>
        </is>
      </c>
      <c r="H1811" s="2" t="inlineStr">
        <is>
          <t>Uttar Pradesh</t>
        </is>
      </c>
      <c r="I1811" s="2" t="inlineStr">
        <is>
          <t>Noida</t>
        </is>
      </c>
      <c r="J1811" s="2" t="inlineStr">
        <is>
          <t>Online</t>
        </is>
      </c>
      <c r="K1811" s="2" t="n">
        <v>3</v>
      </c>
      <c r="L1811" s="3" t="n">
        <v>827.78</v>
      </c>
      <c r="M1811" s="4" t="n">
        <v>0</v>
      </c>
      <c r="N1811" s="3" t="n">
        <v>1642.57</v>
      </c>
      <c r="O1811" s="3">
        <f>K1811*L1811*(1-M1811)</f>
        <v/>
      </c>
      <c r="P1811" s="3">
        <f>O1811-N1811</f>
        <v/>
      </c>
      <c r="Q1811" s="5">
        <f>IFERROR(P1811/O1811,0)</f>
        <v/>
      </c>
      <c r="R1811" s="2">
        <f>TEXT(DATEVALUE(B1811),"mmm")</f>
        <v/>
      </c>
      <c r="S1811" s="2">
        <f>TEXT(DATEVALUE(B1811),"yyyy-mm")</f>
        <v/>
      </c>
    </row>
    <row r="1812">
      <c r="A1812" s="2" t="inlineStr">
        <is>
          <t>O002709</t>
        </is>
      </c>
      <c r="B1812" s="2" t="inlineStr">
        <is>
          <t>2025-05-12</t>
        </is>
      </c>
      <c r="C1812" s="2" t="inlineStr">
        <is>
          <t>C0637</t>
        </is>
      </c>
      <c r="D1812" s="2" t="inlineStr">
        <is>
          <t>P0031</t>
        </is>
      </c>
      <c r="E1812" s="2" t="inlineStr">
        <is>
          <t>Cricket Bat</t>
        </is>
      </c>
      <c r="F1812" s="2" t="inlineStr">
        <is>
          <t>Sports</t>
        </is>
      </c>
      <c r="G1812" s="2" t="inlineStr">
        <is>
          <t>South</t>
        </is>
      </c>
      <c r="H1812" s="2" t="inlineStr">
        <is>
          <t>Tamil Nadu</t>
        </is>
      </c>
      <c r="I1812" s="2" t="inlineStr">
        <is>
          <t>Coimbatore</t>
        </is>
      </c>
      <c r="J1812" s="2" t="inlineStr">
        <is>
          <t>Store</t>
        </is>
      </c>
      <c r="K1812" s="2" t="n">
        <v>5</v>
      </c>
      <c r="L1812" s="3" t="n">
        <v>1373.48</v>
      </c>
      <c r="M1812" s="4" t="n">
        <v>0.05</v>
      </c>
      <c r="N1812" s="3" t="n">
        <v>4599.63</v>
      </c>
      <c r="O1812" s="3">
        <f>K1812*L1812*(1-M1812)</f>
        <v/>
      </c>
      <c r="P1812" s="3">
        <f>O1812-N1812</f>
        <v/>
      </c>
      <c r="Q1812" s="5">
        <f>IFERROR(P1812/O1812,0)</f>
        <v/>
      </c>
      <c r="R1812" s="2">
        <f>TEXT(DATEVALUE(B1812),"mmm")</f>
        <v/>
      </c>
      <c r="S1812" s="2">
        <f>TEXT(DATEVALUE(B1812),"yyyy-mm")</f>
        <v/>
      </c>
    </row>
    <row r="1813">
      <c r="A1813" s="2" t="inlineStr">
        <is>
          <t>O002474</t>
        </is>
      </c>
      <c r="B1813" s="2" t="inlineStr">
        <is>
          <t>2025-05-13</t>
        </is>
      </c>
      <c r="C1813" s="2" t="inlineStr">
        <is>
          <t>C0505</t>
        </is>
      </c>
      <c r="D1813" s="2" t="inlineStr">
        <is>
          <t>P0022</t>
        </is>
      </c>
      <c r="E1813" s="2" t="inlineStr">
        <is>
          <t>Face Wash</t>
        </is>
      </c>
      <c r="F1813" s="2" t="inlineStr">
        <is>
          <t>Beauty</t>
        </is>
      </c>
      <c r="G1813" s="2" t="inlineStr">
        <is>
          <t>North</t>
        </is>
      </c>
      <c r="H1813" s="2" t="inlineStr">
        <is>
          <t>Uttar Pradesh</t>
        </is>
      </c>
      <c r="I1813" s="2" t="inlineStr">
        <is>
          <t>Noida</t>
        </is>
      </c>
      <c r="J1813" s="2" t="inlineStr">
        <is>
          <t>Store</t>
        </is>
      </c>
      <c r="K1813" s="2" t="n">
        <v>1</v>
      </c>
      <c r="L1813" s="3" t="n">
        <v>556.74</v>
      </c>
      <c r="M1813" s="4" t="n">
        <v>0.1</v>
      </c>
      <c r="N1813" s="3" t="n">
        <v>362.42</v>
      </c>
      <c r="O1813" s="3">
        <f>K1813*L1813*(1-M1813)</f>
        <v/>
      </c>
      <c r="P1813" s="3">
        <f>O1813-N1813</f>
        <v/>
      </c>
      <c r="Q1813" s="5">
        <f>IFERROR(P1813/O1813,0)</f>
        <v/>
      </c>
      <c r="R1813" s="2">
        <f>TEXT(DATEVALUE(B1813),"mmm")</f>
        <v/>
      </c>
      <c r="S1813" s="2">
        <f>TEXT(DATEVALUE(B1813),"yyyy-mm")</f>
        <v/>
      </c>
    </row>
    <row r="1814">
      <c r="A1814" s="2" t="inlineStr">
        <is>
          <t>O004891</t>
        </is>
      </c>
      <c r="B1814" s="2" t="inlineStr">
        <is>
          <t>2025-05-13</t>
        </is>
      </c>
      <c r="C1814" s="2" t="inlineStr">
        <is>
          <t>C0408</t>
        </is>
      </c>
      <c r="D1814" s="2" t="inlineStr">
        <is>
          <t>P0006</t>
        </is>
      </c>
      <c r="E1814" s="2" t="inlineStr">
        <is>
          <t>Mechanical Keyboard</t>
        </is>
      </c>
      <c r="F1814" s="2" t="inlineStr">
        <is>
          <t>Electronics</t>
        </is>
      </c>
      <c r="G1814" s="2" t="inlineStr">
        <is>
          <t>North</t>
        </is>
      </c>
      <c r="H1814" s="2" t="inlineStr">
        <is>
          <t>Delhi</t>
        </is>
      </c>
      <c r="I1814" s="2" t="inlineStr">
        <is>
          <t>New Delhi</t>
        </is>
      </c>
      <c r="J1814" s="2" t="inlineStr">
        <is>
          <t>Store</t>
        </is>
      </c>
      <c r="K1814" s="2" t="n">
        <v>1</v>
      </c>
      <c r="L1814" s="3" t="n">
        <v>2773.16</v>
      </c>
      <c r="M1814" s="4" t="n">
        <v>0.05</v>
      </c>
      <c r="N1814" s="3" t="n">
        <v>1528.34</v>
      </c>
      <c r="O1814" s="3">
        <f>K1814*L1814*(1-M1814)</f>
        <v/>
      </c>
      <c r="P1814" s="3">
        <f>O1814-N1814</f>
        <v/>
      </c>
      <c r="Q1814" s="5">
        <f>IFERROR(P1814/O1814,0)</f>
        <v/>
      </c>
      <c r="R1814" s="2">
        <f>TEXT(DATEVALUE(B1814),"mmm")</f>
        <v/>
      </c>
      <c r="S1814" s="2">
        <f>TEXT(DATEVALUE(B1814),"yyyy-mm")</f>
        <v/>
      </c>
    </row>
    <row r="1815">
      <c r="A1815" s="2" t="inlineStr">
        <is>
          <t>O004496</t>
        </is>
      </c>
      <c r="B1815" s="2" t="inlineStr">
        <is>
          <t>2025-05-13</t>
        </is>
      </c>
      <c r="C1815" s="2" t="inlineStr">
        <is>
          <t>C0320</t>
        </is>
      </c>
      <c r="D1815" s="2" t="inlineStr">
        <is>
          <t>P0022</t>
        </is>
      </c>
      <c r="E1815" s="2" t="inlineStr">
        <is>
          <t>Face Wash</t>
        </is>
      </c>
      <c r="F1815" s="2" t="inlineStr">
        <is>
          <t>Beauty</t>
        </is>
      </c>
      <c r="G1815" s="2" t="inlineStr">
        <is>
          <t>West</t>
        </is>
      </c>
      <c r="H1815" s="2" t="inlineStr">
        <is>
          <t>Goa</t>
        </is>
      </c>
      <c r="I1815" s="2" t="inlineStr">
        <is>
          <t>Panaji</t>
        </is>
      </c>
      <c r="J1815" s="2" t="inlineStr">
        <is>
          <t>Online</t>
        </is>
      </c>
      <c r="K1815" s="2" t="n">
        <v>5</v>
      </c>
      <c r="L1815" s="3" t="n">
        <v>556.9400000000001</v>
      </c>
      <c r="M1815" s="4" t="n">
        <v>0.05</v>
      </c>
      <c r="N1815" s="3" t="n">
        <v>1756.2</v>
      </c>
      <c r="O1815" s="3">
        <f>K1815*L1815*(1-M1815)</f>
        <v/>
      </c>
      <c r="P1815" s="3">
        <f>O1815-N1815</f>
        <v/>
      </c>
      <c r="Q1815" s="5">
        <f>IFERROR(P1815/O1815,0)</f>
        <v/>
      </c>
      <c r="R1815" s="2">
        <f>TEXT(DATEVALUE(B1815),"mmm")</f>
        <v/>
      </c>
      <c r="S1815" s="2">
        <f>TEXT(DATEVALUE(B1815),"yyyy-mm")</f>
        <v/>
      </c>
    </row>
    <row r="1816">
      <c r="A1816" s="2" t="inlineStr">
        <is>
          <t>O004081</t>
        </is>
      </c>
      <c r="B1816" s="2" t="inlineStr">
        <is>
          <t>2025-05-13</t>
        </is>
      </c>
      <c r="C1816" s="2" t="inlineStr">
        <is>
          <t>C0013</t>
        </is>
      </c>
      <c r="D1816" s="2" t="inlineStr">
        <is>
          <t>P0004</t>
        </is>
      </c>
      <c r="E1816" s="2" t="inlineStr">
        <is>
          <t>USB-C Hub</t>
        </is>
      </c>
      <c r="F1816" s="2" t="inlineStr">
        <is>
          <t>Electronics</t>
        </is>
      </c>
      <c r="G1816" s="2" t="inlineStr">
        <is>
          <t>South</t>
        </is>
      </c>
      <c r="H1816" s="2" t="inlineStr">
        <is>
          <t>Karnataka</t>
        </is>
      </c>
      <c r="I1816" s="2" t="inlineStr">
        <is>
          <t>Mysuru</t>
        </is>
      </c>
      <c r="J1816" s="2" t="inlineStr">
        <is>
          <t>Online</t>
        </is>
      </c>
      <c r="K1816" s="2" t="n">
        <v>1</v>
      </c>
      <c r="L1816" s="3" t="n">
        <v>1293.24</v>
      </c>
      <c r="M1816" s="4" t="n">
        <v>0.15</v>
      </c>
      <c r="N1816" s="3" t="n">
        <v>918.89</v>
      </c>
      <c r="O1816" s="3">
        <f>K1816*L1816*(1-M1816)</f>
        <v/>
      </c>
      <c r="P1816" s="3">
        <f>O1816-N1816</f>
        <v/>
      </c>
      <c r="Q1816" s="5">
        <f>IFERROR(P1816/O1816,0)</f>
        <v/>
      </c>
      <c r="R1816" s="2">
        <f>TEXT(DATEVALUE(B1816),"mmm")</f>
        <v/>
      </c>
      <c r="S1816" s="2">
        <f>TEXT(DATEVALUE(B1816),"yyyy-mm")</f>
        <v/>
      </c>
    </row>
    <row r="1817">
      <c r="A1817" s="2" t="inlineStr">
        <is>
          <t>O003871</t>
        </is>
      </c>
      <c r="B1817" s="2" t="inlineStr">
        <is>
          <t>2025-05-13</t>
        </is>
      </c>
      <c r="C1817" s="2" t="inlineStr">
        <is>
          <t>C0717</t>
        </is>
      </c>
      <c r="D1817" s="2" t="inlineStr">
        <is>
          <t>P0010</t>
        </is>
      </c>
      <c r="E1817" s="2" t="inlineStr">
        <is>
          <t>Mixer Grinder</t>
        </is>
      </c>
      <c r="F1817" s="2" t="inlineStr">
        <is>
          <t>Home &amp; Kitchen</t>
        </is>
      </c>
      <c r="G1817" s="2" t="inlineStr">
        <is>
          <t>North</t>
        </is>
      </c>
      <c r="H1817" s="2" t="inlineStr">
        <is>
          <t>Haryana</t>
        </is>
      </c>
      <c r="I1817" s="2" t="inlineStr">
        <is>
          <t>Faridabad</t>
        </is>
      </c>
      <c r="J1817" s="2" t="inlineStr">
        <is>
          <t>Online</t>
        </is>
      </c>
      <c r="K1817" s="2" t="n">
        <v>4</v>
      </c>
      <c r="L1817" s="3" t="n">
        <v>1573.87</v>
      </c>
      <c r="M1817" s="4" t="n">
        <v>0.15</v>
      </c>
      <c r="N1817" s="3" t="n">
        <v>4107.51</v>
      </c>
      <c r="O1817" s="3">
        <f>K1817*L1817*(1-M1817)</f>
        <v/>
      </c>
      <c r="P1817" s="3">
        <f>O1817-N1817</f>
        <v/>
      </c>
      <c r="Q1817" s="5">
        <f>IFERROR(P1817/O1817,0)</f>
        <v/>
      </c>
      <c r="R1817" s="2">
        <f>TEXT(DATEVALUE(B1817),"mmm")</f>
        <v/>
      </c>
      <c r="S1817" s="2">
        <f>TEXT(DATEVALUE(B1817),"yyyy-mm")</f>
        <v/>
      </c>
    </row>
    <row r="1818">
      <c r="A1818" s="2" t="inlineStr">
        <is>
          <t>O003024</t>
        </is>
      </c>
      <c r="B1818" s="2" t="inlineStr">
        <is>
          <t>2025-05-13</t>
        </is>
      </c>
      <c r="C1818" s="2" t="inlineStr">
        <is>
          <t>C0631</t>
        </is>
      </c>
      <c r="D1818" s="2" t="inlineStr">
        <is>
          <t>P0006</t>
        </is>
      </c>
      <c r="E1818" s="2" t="inlineStr">
        <is>
          <t>Mechanical Keyboard</t>
        </is>
      </c>
      <c r="F1818" s="2" t="inlineStr">
        <is>
          <t>Electronics</t>
        </is>
      </c>
      <c r="G1818" s="2" t="inlineStr">
        <is>
          <t>West</t>
        </is>
      </c>
      <c r="H1818" s="2" t="inlineStr">
        <is>
          <t>Maharashtra</t>
        </is>
      </c>
      <c r="I1818" s="2" t="inlineStr">
        <is>
          <t>Pune</t>
        </is>
      </c>
      <c r="J1818" s="2" t="inlineStr">
        <is>
          <t>Online</t>
        </is>
      </c>
      <c r="K1818" s="2" t="n">
        <v>6</v>
      </c>
      <c r="L1818" s="3" t="n">
        <v>2784.08</v>
      </c>
      <c r="M1818" s="4" t="n">
        <v>0</v>
      </c>
      <c r="N1818" s="3" t="n">
        <v>8890.23</v>
      </c>
      <c r="O1818" s="3">
        <f>K1818*L1818*(1-M1818)</f>
        <v/>
      </c>
      <c r="P1818" s="3">
        <f>O1818-N1818</f>
        <v/>
      </c>
      <c r="Q1818" s="5">
        <f>IFERROR(P1818/O1818,0)</f>
        <v/>
      </c>
      <c r="R1818" s="2">
        <f>TEXT(DATEVALUE(B1818),"mmm")</f>
        <v/>
      </c>
      <c r="S1818" s="2">
        <f>TEXT(DATEVALUE(B1818),"yyyy-mm")</f>
        <v/>
      </c>
    </row>
    <row r="1819">
      <c r="A1819" s="2" t="inlineStr">
        <is>
          <t>O002552</t>
        </is>
      </c>
      <c r="B1819" s="2" t="inlineStr">
        <is>
          <t>2025-05-13</t>
        </is>
      </c>
      <c r="C1819" s="2" t="inlineStr">
        <is>
          <t>C0506</t>
        </is>
      </c>
      <c r="D1819" s="2" t="inlineStr">
        <is>
          <t>P0027</t>
        </is>
      </c>
      <c r="E1819" s="2" t="inlineStr">
        <is>
          <t>Moisturizer</t>
        </is>
      </c>
      <c r="F1819" s="2" t="inlineStr">
        <is>
          <t>Beauty</t>
        </is>
      </c>
      <c r="G1819" s="2" t="inlineStr">
        <is>
          <t>West</t>
        </is>
      </c>
      <c r="H1819" s="2" t="inlineStr">
        <is>
          <t>Goa</t>
        </is>
      </c>
      <c r="I1819" s="2" t="inlineStr">
        <is>
          <t>Margao</t>
        </is>
      </c>
      <c r="J1819" s="2" t="inlineStr">
        <is>
          <t>Online</t>
        </is>
      </c>
      <c r="K1819" s="2" t="n">
        <v>1</v>
      </c>
      <c r="L1819" s="3" t="n">
        <v>955.5</v>
      </c>
      <c r="M1819" s="4" t="n">
        <v>0.05</v>
      </c>
      <c r="N1819" s="3" t="n">
        <v>683.26</v>
      </c>
      <c r="O1819" s="3">
        <f>K1819*L1819*(1-M1819)</f>
        <v/>
      </c>
      <c r="P1819" s="3">
        <f>O1819-N1819</f>
        <v/>
      </c>
      <c r="Q1819" s="5">
        <f>IFERROR(P1819/O1819,0)</f>
        <v/>
      </c>
      <c r="R1819" s="2">
        <f>TEXT(DATEVALUE(B1819),"mmm")</f>
        <v/>
      </c>
      <c r="S1819" s="2">
        <f>TEXT(DATEVALUE(B1819),"yyyy-mm")</f>
        <v/>
      </c>
    </row>
    <row r="1820">
      <c r="A1820" s="2" t="inlineStr">
        <is>
          <t>O002135</t>
        </is>
      </c>
      <c r="B1820" s="2" t="inlineStr">
        <is>
          <t>2025-05-13</t>
        </is>
      </c>
      <c r="C1820" s="2" t="inlineStr">
        <is>
          <t>C0487</t>
        </is>
      </c>
      <c r="D1820" s="2" t="inlineStr">
        <is>
          <t>P0021</t>
        </is>
      </c>
      <c r="E1820" s="2" t="inlineStr">
        <is>
          <t>Wallet</t>
        </is>
      </c>
      <c r="F1820" s="2" t="inlineStr">
        <is>
          <t>Fashion</t>
        </is>
      </c>
      <c r="G1820" s="2" t="inlineStr">
        <is>
          <t>East</t>
        </is>
      </c>
      <c r="H1820" s="2" t="inlineStr">
        <is>
          <t>Odisha</t>
        </is>
      </c>
      <c r="I1820" s="2" t="inlineStr">
        <is>
          <t>Bhubaneswar</t>
        </is>
      </c>
      <c r="J1820" s="2" t="inlineStr">
        <is>
          <t>Store</t>
        </is>
      </c>
      <c r="K1820" s="2" t="n">
        <v>2</v>
      </c>
      <c r="L1820" s="3" t="n">
        <v>2009.53</v>
      </c>
      <c r="M1820" s="4" t="n">
        <v>0.15</v>
      </c>
      <c r="N1820" s="3" t="n">
        <v>2362.85</v>
      </c>
      <c r="O1820" s="3">
        <f>K1820*L1820*(1-M1820)</f>
        <v/>
      </c>
      <c r="P1820" s="3">
        <f>O1820-N1820</f>
        <v/>
      </c>
      <c r="Q1820" s="5">
        <f>IFERROR(P1820/O1820,0)</f>
        <v/>
      </c>
      <c r="R1820" s="2">
        <f>TEXT(DATEVALUE(B1820),"mmm")</f>
        <v/>
      </c>
      <c r="S1820" s="2">
        <f>TEXT(DATEVALUE(B1820),"yyyy-mm")</f>
        <v/>
      </c>
    </row>
    <row r="1821">
      <c r="A1821" s="2" t="inlineStr">
        <is>
          <t>O000807</t>
        </is>
      </c>
      <c r="B1821" s="2" t="inlineStr">
        <is>
          <t>2025-05-13</t>
        </is>
      </c>
      <c r="C1821" s="2" t="inlineStr">
        <is>
          <t>C0694</t>
        </is>
      </c>
      <c r="D1821" s="2" t="inlineStr">
        <is>
          <t>P0027</t>
        </is>
      </c>
      <c r="E1821" s="2" t="inlineStr">
        <is>
          <t>Moisturizer</t>
        </is>
      </c>
      <c r="F1821" s="2" t="inlineStr">
        <is>
          <t>Beauty</t>
        </is>
      </c>
      <c r="G1821" s="2" t="inlineStr">
        <is>
          <t>West</t>
        </is>
      </c>
      <c r="H1821" s="2" t="inlineStr">
        <is>
          <t>Goa</t>
        </is>
      </c>
      <c r="I1821" s="2" t="inlineStr">
        <is>
          <t>Margao</t>
        </is>
      </c>
      <c r="J1821" s="2" t="inlineStr">
        <is>
          <t>Store</t>
        </is>
      </c>
      <c r="K1821" s="2" t="n">
        <v>1</v>
      </c>
      <c r="L1821" s="3" t="n">
        <v>921.33</v>
      </c>
      <c r="M1821" s="4" t="n">
        <v>0.1</v>
      </c>
      <c r="N1821" s="3" t="n">
        <v>662.3099999999999</v>
      </c>
      <c r="O1821" s="3">
        <f>K1821*L1821*(1-M1821)</f>
        <v/>
      </c>
      <c r="P1821" s="3">
        <f>O1821-N1821</f>
        <v/>
      </c>
      <c r="Q1821" s="5">
        <f>IFERROR(P1821/O1821,0)</f>
        <v/>
      </c>
      <c r="R1821" s="2">
        <f>TEXT(DATEVALUE(B1821),"mmm")</f>
        <v/>
      </c>
      <c r="S1821" s="2">
        <f>TEXT(DATEVALUE(B1821),"yyyy-mm")</f>
        <v/>
      </c>
    </row>
    <row r="1822">
      <c r="A1822" s="2" t="inlineStr">
        <is>
          <t>O001652</t>
        </is>
      </c>
      <c r="B1822" s="2" t="inlineStr">
        <is>
          <t>2025-05-13</t>
        </is>
      </c>
      <c r="C1822" s="2" t="inlineStr">
        <is>
          <t>C0521</t>
        </is>
      </c>
      <c r="D1822" s="2" t="inlineStr">
        <is>
          <t>P0019</t>
        </is>
      </c>
      <c r="E1822" s="2" t="inlineStr">
        <is>
          <t>Jacket</t>
        </is>
      </c>
      <c r="F1822" s="2" t="inlineStr">
        <is>
          <t>Fashion</t>
        </is>
      </c>
      <c r="G1822" s="2" t="inlineStr">
        <is>
          <t>North</t>
        </is>
      </c>
      <c r="H1822" s="2" t="inlineStr">
        <is>
          <t>Delhi</t>
        </is>
      </c>
      <c r="I1822" s="2" t="inlineStr">
        <is>
          <t>New Delhi</t>
        </is>
      </c>
      <c r="J1822" s="2" t="inlineStr">
        <is>
          <t>Store</t>
        </is>
      </c>
      <c r="K1822" s="2" t="n">
        <v>1</v>
      </c>
      <c r="L1822" s="3" t="n">
        <v>1025.43</v>
      </c>
      <c r="M1822" s="4" t="n">
        <v>0.05</v>
      </c>
      <c r="N1822" s="3" t="n">
        <v>652.16</v>
      </c>
      <c r="O1822" s="3">
        <f>K1822*L1822*(1-M1822)</f>
        <v/>
      </c>
      <c r="P1822" s="3">
        <f>O1822-N1822</f>
        <v/>
      </c>
      <c r="Q1822" s="5">
        <f>IFERROR(P1822/O1822,0)</f>
        <v/>
      </c>
      <c r="R1822" s="2">
        <f>TEXT(DATEVALUE(B1822),"mmm")</f>
        <v/>
      </c>
      <c r="S1822" s="2">
        <f>TEXT(DATEVALUE(B1822),"yyyy-mm")</f>
        <v/>
      </c>
    </row>
    <row r="1823">
      <c r="A1823" s="2" t="inlineStr">
        <is>
          <t>O001145</t>
        </is>
      </c>
      <c r="B1823" s="2" t="inlineStr">
        <is>
          <t>2025-05-13</t>
        </is>
      </c>
      <c r="C1823" s="2" t="inlineStr">
        <is>
          <t>C0076</t>
        </is>
      </c>
      <c r="D1823" s="2" t="inlineStr">
        <is>
          <t>P0004</t>
        </is>
      </c>
      <c r="E1823" s="2" t="inlineStr">
        <is>
          <t>USB-C Hub</t>
        </is>
      </c>
      <c r="F1823" s="2" t="inlineStr">
        <is>
          <t>Electronics</t>
        </is>
      </c>
      <c r="G1823" s="2" t="inlineStr">
        <is>
          <t>West</t>
        </is>
      </c>
      <c r="H1823" s="2" t="inlineStr">
        <is>
          <t>Gujarat</t>
        </is>
      </c>
      <c r="I1823" s="2" t="inlineStr">
        <is>
          <t>Ahmedabad</t>
        </is>
      </c>
      <c r="J1823" s="2" t="inlineStr">
        <is>
          <t>Online</t>
        </is>
      </c>
      <c r="K1823" s="2" t="n">
        <v>2</v>
      </c>
      <c r="L1823" s="3" t="n">
        <v>1218.56</v>
      </c>
      <c r="M1823" s="4" t="n">
        <v>0.1</v>
      </c>
      <c r="N1823" s="3" t="n">
        <v>1882.87</v>
      </c>
      <c r="O1823" s="3">
        <f>K1823*L1823*(1-M1823)</f>
        <v/>
      </c>
      <c r="P1823" s="3">
        <f>O1823-N1823</f>
        <v/>
      </c>
      <c r="Q1823" s="5">
        <f>IFERROR(P1823/O1823,0)</f>
        <v/>
      </c>
      <c r="R1823" s="2">
        <f>TEXT(DATEVALUE(B1823),"mmm")</f>
        <v/>
      </c>
      <c r="S1823" s="2">
        <f>TEXT(DATEVALUE(B1823),"yyyy-mm")</f>
        <v/>
      </c>
    </row>
    <row r="1824">
      <c r="A1824" s="2" t="inlineStr">
        <is>
          <t>O000981</t>
        </is>
      </c>
      <c r="B1824" s="2" t="inlineStr">
        <is>
          <t>2025-05-13</t>
        </is>
      </c>
      <c r="C1824" s="2" t="inlineStr">
        <is>
          <t>C0268</t>
        </is>
      </c>
      <c r="D1824" s="2" t="inlineStr">
        <is>
          <t>P0011</t>
        </is>
      </c>
      <c r="E1824" s="2" t="inlineStr">
        <is>
          <t>Cookware Set</t>
        </is>
      </c>
      <c r="F1824" s="2" t="inlineStr">
        <is>
          <t>Home &amp; Kitchen</t>
        </is>
      </c>
      <c r="G1824" s="2" t="inlineStr">
        <is>
          <t>South</t>
        </is>
      </c>
      <c r="H1824" s="2" t="inlineStr">
        <is>
          <t>Kerala</t>
        </is>
      </c>
      <c r="I1824" s="2" t="inlineStr">
        <is>
          <t>Thiruvananthapuram</t>
        </is>
      </c>
      <c r="J1824" s="2" t="inlineStr">
        <is>
          <t>Store</t>
        </is>
      </c>
      <c r="K1824" s="2" t="n">
        <v>3</v>
      </c>
      <c r="L1824" s="3" t="n">
        <v>726.59</v>
      </c>
      <c r="M1824" s="4" t="n">
        <v>0.05</v>
      </c>
      <c r="N1824" s="3" t="n">
        <v>1421.64</v>
      </c>
      <c r="O1824" s="3">
        <f>K1824*L1824*(1-M1824)</f>
        <v/>
      </c>
      <c r="P1824" s="3">
        <f>O1824-N1824</f>
        <v/>
      </c>
      <c r="Q1824" s="5">
        <f>IFERROR(P1824/O1824,0)</f>
        <v/>
      </c>
      <c r="R1824" s="2">
        <f>TEXT(DATEVALUE(B1824),"mmm")</f>
        <v/>
      </c>
      <c r="S1824" s="2">
        <f>TEXT(DATEVALUE(B1824),"yyyy-mm")</f>
        <v/>
      </c>
    </row>
    <row r="1825">
      <c r="A1825" s="2" t="inlineStr">
        <is>
          <t>O000850</t>
        </is>
      </c>
      <c r="B1825" s="2" t="inlineStr">
        <is>
          <t>2025-05-13</t>
        </is>
      </c>
      <c r="C1825" s="2" t="inlineStr">
        <is>
          <t>C0438</t>
        </is>
      </c>
      <c r="D1825" s="2" t="inlineStr">
        <is>
          <t>P0020</t>
        </is>
      </c>
      <c r="E1825" s="2" t="inlineStr">
        <is>
          <t>Sneakers</t>
        </is>
      </c>
      <c r="F1825" s="2" t="inlineStr">
        <is>
          <t>Fashion</t>
        </is>
      </c>
      <c r="G1825" s="2" t="inlineStr">
        <is>
          <t>North</t>
        </is>
      </c>
      <c r="H1825" s="2" t="inlineStr">
        <is>
          <t>Uttar Pradesh</t>
        </is>
      </c>
      <c r="I1825" s="2" t="inlineStr">
        <is>
          <t>Noida</t>
        </is>
      </c>
      <c r="J1825" s="2" t="inlineStr">
        <is>
          <t>Online</t>
        </is>
      </c>
      <c r="K1825" s="2" t="n">
        <v>2</v>
      </c>
      <c r="L1825" s="3" t="n">
        <v>1898.1</v>
      </c>
      <c r="M1825" s="4" t="n">
        <v>0.1</v>
      </c>
      <c r="N1825" s="3" t="n">
        <v>2953.99</v>
      </c>
      <c r="O1825" s="3">
        <f>K1825*L1825*(1-M1825)</f>
        <v/>
      </c>
      <c r="P1825" s="3">
        <f>O1825-N1825</f>
        <v/>
      </c>
      <c r="Q1825" s="5">
        <f>IFERROR(P1825/O1825,0)</f>
        <v/>
      </c>
      <c r="R1825" s="2">
        <f>TEXT(DATEVALUE(B1825),"mmm")</f>
        <v/>
      </c>
      <c r="S1825" s="2">
        <f>TEXT(DATEVALUE(B1825),"yyyy-mm")</f>
        <v/>
      </c>
    </row>
    <row r="1826">
      <c r="A1826" s="2" t="inlineStr">
        <is>
          <t>O000745</t>
        </is>
      </c>
      <c r="B1826" s="2" t="inlineStr">
        <is>
          <t>2025-05-13</t>
        </is>
      </c>
      <c r="C1826" s="2" t="inlineStr">
        <is>
          <t>C0755</t>
        </is>
      </c>
      <c r="D1826" s="2" t="inlineStr">
        <is>
          <t>P0007</t>
        </is>
      </c>
      <c r="E1826" s="2" t="inlineStr">
        <is>
          <t>Wireless Mouse</t>
        </is>
      </c>
      <c r="F1826" s="2" t="inlineStr">
        <is>
          <t>Electronics</t>
        </is>
      </c>
      <c r="G1826" s="2" t="inlineStr">
        <is>
          <t>East</t>
        </is>
      </c>
      <c r="H1826" s="2" t="inlineStr">
        <is>
          <t>West Bengal</t>
        </is>
      </c>
      <c r="I1826" s="2" t="inlineStr">
        <is>
          <t>Durgapur</t>
        </is>
      </c>
      <c r="J1826" s="2" t="inlineStr">
        <is>
          <t>Store</t>
        </is>
      </c>
      <c r="K1826" s="2" t="n">
        <v>5</v>
      </c>
      <c r="L1826" s="3" t="n">
        <v>1021.03</v>
      </c>
      <c r="M1826" s="4" t="n">
        <v>0.2</v>
      </c>
      <c r="N1826" s="3" t="n">
        <v>3031.1</v>
      </c>
      <c r="O1826" s="3">
        <f>K1826*L1826*(1-M1826)</f>
        <v/>
      </c>
      <c r="P1826" s="3">
        <f>O1826-N1826</f>
        <v/>
      </c>
      <c r="Q1826" s="5">
        <f>IFERROR(P1826/O1826,0)</f>
        <v/>
      </c>
      <c r="R1826" s="2">
        <f>TEXT(DATEVALUE(B1826),"mmm")</f>
        <v/>
      </c>
      <c r="S1826" s="2">
        <f>TEXT(DATEVALUE(B1826),"yyyy-mm")</f>
        <v/>
      </c>
    </row>
    <row r="1827">
      <c r="A1827" s="2" t="inlineStr">
        <is>
          <t>O000593</t>
        </is>
      </c>
      <c r="B1827" s="2" t="inlineStr">
        <is>
          <t>2025-05-13</t>
        </is>
      </c>
      <c r="C1827" s="2" t="inlineStr">
        <is>
          <t>C0314</t>
        </is>
      </c>
      <c r="D1827" s="2" t="inlineStr">
        <is>
          <t>P0022</t>
        </is>
      </c>
      <c r="E1827" s="2" t="inlineStr">
        <is>
          <t>Face Wash</t>
        </is>
      </c>
      <c r="F1827" s="2" t="inlineStr">
        <is>
          <t>Beauty</t>
        </is>
      </c>
      <c r="G1827" s="2" t="inlineStr">
        <is>
          <t>North</t>
        </is>
      </c>
      <c r="H1827" s="2" t="inlineStr">
        <is>
          <t>Uttar Pradesh</t>
        </is>
      </c>
      <c r="I1827" s="2" t="inlineStr">
        <is>
          <t>Varanasi</t>
        </is>
      </c>
      <c r="J1827" s="2" t="inlineStr">
        <is>
          <t>Online</t>
        </is>
      </c>
      <c r="K1827" s="2" t="n">
        <v>2</v>
      </c>
      <c r="L1827" s="3" t="n">
        <v>539.21</v>
      </c>
      <c r="M1827" s="4" t="n">
        <v>0.05</v>
      </c>
      <c r="N1827" s="3" t="n">
        <v>683.48</v>
      </c>
      <c r="O1827" s="3">
        <f>K1827*L1827*(1-M1827)</f>
        <v/>
      </c>
      <c r="P1827" s="3">
        <f>O1827-N1827</f>
        <v/>
      </c>
      <c r="Q1827" s="5">
        <f>IFERROR(P1827/O1827,0)</f>
        <v/>
      </c>
      <c r="R1827" s="2">
        <f>TEXT(DATEVALUE(B1827),"mmm")</f>
        <v/>
      </c>
      <c r="S1827" s="2">
        <f>TEXT(DATEVALUE(B1827),"yyyy-mm")</f>
        <v/>
      </c>
    </row>
    <row r="1828">
      <c r="A1828" s="2" t="inlineStr">
        <is>
          <t>O001984</t>
        </is>
      </c>
      <c r="B1828" s="2" t="inlineStr">
        <is>
          <t>2025-05-13</t>
        </is>
      </c>
      <c r="C1828" s="2" t="inlineStr">
        <is>
          <t>C0523</t>
        </is>
      </c>
      <c r="D1828" s="2" t="inlineStr">
        <is>
          <t>P0004</t>
        </is>
      </c>
      <c r="E1828" s="2" t="inlineStr">
        <is>
          <t>USB-C Hub</t>
        </is>
      </c>
      <c r="F1828" s="2" t="inlineStr">
        <is>
          <t>Electronics</t>
        </is>
      </c>
      <c r="G1828" s="2" t="inlineStr">
        <is>
          <t>North</t>
        </is>
      </c>
      <c r="H1828" s="2" t="inlineStr">
        <is>
          <t>Haryana</t>
        </is>
      </c>
      <c r="I1828" s="2" t="inlineStr">
        <is>
          <t>Gurugram</t>
        </is>
      </c>
      <c r="J1828" s="2" t="inlineStr">
        <is>
          <t>Store</t>
        </is>
      </c>
      <c r="K1828" s="2" t="n">
        <v>3</v>
      </c>
      <c r="L1828" s="3" t="n">
        <v>1274.18</v>
      </c>
      <c r="M1828" s="4" t="n">
        <v>0.1</v>
      </c>
      <c r="N1828" s="3" t="n">
        <v>2750.49</v>
      </c>
      <c r="O1828" s="3">
        <f>K1828*L1828*(1-M1828)</f>
        <v/>
      </c>
      <c r="P1828" s="3">
        <f>O1828-N1828</f>
        <v/>
      </c>
      <c r="Q1828" s="5">
        <f>IFERROR(P1828/O1828,0)</f>
        <v/>
      </c>
      <c r="R1828" s="2">
        <f>TEXT(DATEVALUE(B1828),"mmm")</f>
        <v/>
      </c>
      <c r="S1828" s="2">
        <f>TEXT(DATEVALUE(B1828),"yyyy-mm")</f>
        <v/>
      </c>
    </row>
    <row r="1829">
      <c r="A1829" s="2" t="inlineStr">
        <is>
          <t>O003028</t>
        </is>
      </c>
      <c r="B1829" s="2" t="inlineStr">
        <is>
          <t>2025-05-14</t>
        </is>
      </c>
      <c r="C1829" s="2" t="inlineStr">
        <is>
          <t>C0009</t>
        </is>
      </c>
      <c r="D1829" s="2" t="inlineStr">
        <is>
          <t>P0004</t>
        </is>
      </c>
      <c r="E1829" s="2" t="inlineStr">
        <is>
          <t>USB-C Hub</t>
        </is>
      </c>
      <c r="F1829" s="2" t="inlineStr">
        <is>
          <t>Electronics</t>
        </is>
      </c>
      <c r="G1829" s="2" t="inlineStr">
        <is>
          <t>East</t>
        </is>
      </c>
      <c r="H1829" s="2" t="inlineStr">
        <is>
          <t>West Bengal</t>
        </is>
      </c>
      <c r="I1829" s="2" t="inlineStr">
        <is>
          <t>Durgapur</t>
        </is>
      </c>
      <c r="J1829" s="2" t="inlineStr">
        <is>
          <t>Store</t>
        </is>
      </c>
      <c r="K1829" s="2" t="n">
        <v>1</v>
      </c>
      <c r="L1829" s="3" t="n">
        <v>1288.97</v>
      </c>
      <c r="M1829" s="4" t="n">
        <v>0.1</v>
      </c>
      <c r="N1829" s="3" t="n">
        <v>948.2</v>
      </c>
      <c r="O1829" s="3">
        <f>K1829*L1829*(1-M1829)</f>
        <v/>
      </c>
      <c r="P1829" s="3">
        <f>O1829-N1829</f>
        <v/>
      </c>
      <c r="Q1829" s="5">
        <f>IFERROR(P1829/O1829,0)</f>
        <v/>
      </c>
      <c r="R1829" s="2">
        <f>TEXT(DATEVALUE(B1829),"mmm")</f>
        <v/>
      </c>
      <c r="S1829" s="2">
        <f>TEXT(DATEVALUE(B1829),"yyyy-mm")</f>
        <v/>
      </c>
    </row>
    <row r="1830">
      <c r="A1830" s="2" t="inlineStr">
        <is>
          <t>O004344</t>
        </is>
      </c>
      <c r="B1830" s="2" t="inlineStr">
        <is>
          <t>2025-05-14</t>
        </is>
      </c>
      <c r="C1830" s="2" t="inlineStr">
        <is>
          <t>C0754</t>
        </is>
      </c>
      <c r="D1830" s="2" t="inlineStr">
        <is>
          <t>P0027</t>
        </is>
      </c>
      <c r="E1830" s="2" t="inlineStr">
        <is>
          <t>Moisturizer</t>
        </is>
      </c>
      <c r="F1830" s="2" t="inlineStr">
        <is>
          <t>Beauty</t>
        </is>
      </c>
      <c r="G1830" s="2" t="inlineStr">
        <is>
          <t>West</t>
        </is>
      </c>
      <c r="H1830" s="2" t="inlineStr">
        <is>
          <t>Goa</t>
        </is>
      </c>
      <c r="I1830" s="2" t="inlineStr">
        <is>
          <t>Margao</t>
        </is>
      </c>
      <c r="J1830" s="2" t="inlineStr">
        <is>
          <t>Online</t>
        </is>
      </c>
      <c r="K1830" s="2" t="n">
        <v>2</v>
      </c>
      <c r="L1830" s="3" t="n">
        <v>991.71</v>
      </c>
      <c r="M1830" s="4" t="n">
        <v>0.15</v>
      </c>
      <c r="N1830" s="3" t="n">
        <v>1413.14</v>
      </c>
      <c r="O1830" s="3">
        <f>K1830*L1830*(1-M1830)</f>
        <v/>
      </c>
      <c r="P1830" s="3">
        <f>O1830-N1830</f>
        <v/>
      </c>
      <c r="Q1830" s="5">
        <f>IFERROR(P1830/O1830,0)</f>
        <v/>
      </c>
      <c r="R1830" s="2">
        <f>TEXT(DATEVALUE(B1830),"mmm")</f>
        <v/>
      </c>
      <c r="S1830" s="2">
        <f>TEXT(DATEVALUE(B1830),"yyyy-mm")</f>
        <v/>
      </c>
    </row>
    <row r="1831">
      <c r="A1831" s="2" t="inlineStr">
        <is>
          <t>O004561</t>
        </is>
      </c>
      <c r="B1831" s="2" t="inlineStr">
        <is>
          <t>2025-05-14</t>
        </is>
      </c>
      <c r="C1831" s="2" t="inlineStr">
        <is>
          <t>C0567</t>
        </is>
      </c>
      <c r="D1831" s="2" t="inlineStr">
        <is>
          <t>P0005</t>
        </is>
      </c>
      <c r="E1831" s="2" t="inlineStr">
        <is>
          <t>Power Bank</t>
        </is>
      </c>
      <c r="F1831" s="2" t="inlineStr">
        <is>
          <t>Electronics</t>
        </is>
      </c>
      <c r="G1831" s="2" t="inlineStr">
        <is>
          <t>South</t>
        </is>
      </c>
      <c r="H1831" s="2" t="inlineStr">
        <is>
          <t>Tamil Nadu</t>
        </is>
      </c>
      <c r="I1831" s="2" t="inlineStr">
        <is>
          <t>Chennai</t>
        </is>
      </c>
      <c r="J1831" s="2" t="inlineStr">
        <is>
          <t>Online</t>
        </is>
      </c>
      <c r="K1831" s="2" t="n">
        <v>2</v>
      </c>
      <c r="L1831" s="3" t="n">
        <v>1083.05</v>
      </c>
      <c r="M1831" s="4" t="n">
        <v>0.1</v>
      </c>
      <c r="N1831" s="3" t="n">
        <v>1313.01</v>
      </c>
      <c r="O1831" s="3">
        <f>K1831*L1831*(1-M1831)</f>
        <v/>
      </c>
      <c r="P1831" s="3">
        <f>O1831-N1831</f>
        <v/>
      </c>
      <c r="Q1831" s="5">
        <f>IFERROR(P1831/O1831,0)</f>
        <v/>
      </c>
      <c r="R1831" s="2">
        <f>TEXT(DATEVALUE(B1831),"mmm")</f>
        <v/>
      </c>
      <c r="S1831" s="2">
        <f>TEXT(DATEVALUE(B1831),"yyyy-mm")</f>
        <v/>
      </c>
    </row>
    <row r="1832">
      <c r="A1832" s="2" t="inlineStr">
        <is>
          <t>O003832</t>
        </is>
      </c>
      <c r="B1832" s="2" t="inlineStr">
        <is>
          <t>2025-05-14</t>
        </is>
      </c>
      <c r="C1832" s="2" t="inlineStr">
        <is>
          <t>C0394</t>
        </is>
      </c>
      <c r="D1832" s="2" t="inlineStr">
        <is>
          <t>P0001</t>
        </is>
      </c>
      <c r="E1832" s="2" t="inlineStr">
        <is>
          <t>Wireless Headphones</t>
        </is>
      </c>
      <c r="F1832" s="2" t="inlineStr">
        <is>
          <t>Electronics</t>
        </is>
      </c>
      <c r="G1832" s="2" t="inlineStr">
        <is>
          <t>North</t>
        </is>
      </c>
      <c r="H1832" s="2" t="inlineStr">
        <is>
          <t>Uttar Pradesh</t>
        </is>
      </c>
      <c r="I1832" s="2" t="inlineStr">
        <is>
          <t>Kanpur</t>
        </is>
      </c>
      <c r="J1832" s="2" t="inlineStr">
        <is>
          <t>Online</t>
        </is>
      </c>
      <c r="K1832" s="2" t="n">
        <v>1</v>
      </c>
      <c r="L1832" s="3" t="n">
        <v>1294.77</v>
      </c>
      <c r="M1832" s="4" t="n">
        <v>0.05</v>
      </c>
      <c r="N1832" s="3" t="n">
        <v>687.23</v>
      </c>
      <c r="O1832" s="3">
        <f>K1832*L1832*(1-M1832)</f>
        <v/>
      </c>
      <c r="P1832" s="3">
        <f>O1832-N1832</f>
        <v/>
      </c>
      <c r="Q1832" s="5">
        <f>IFERROR(P1832/O1832,0)</f>
        <v/>
      </c>
      <c r="R1832" s="2">
        <f>TEXT(DATEVALUE(B1832),"mmm")</f>
        <v/>
      </c>
      <c r="S1832" s="2">
        <f>TEXT(DATEVALUE(B1832),"yyyy-mm")</f>
        <v/>
      </c>
    </row>
    <row r="1833">
      <c r="A1833" s="2" t="inlineStr">
        <is>
          <t>O003427</t>
        </is>
      </c>
      <c r="B1833" s="2" t="inlineStr">
        <is>
          <t>2025-05-14</t>
        </is>
      </c>
      <c r="C1833" s="2" t="inlineStr">
        <is>
          <t>C0102</t>
        </is>
      </c>
      <c r="D1833" s="2" t="inlineStr">
        <is>
          <t>P0021</t>
        </is>
      </c>
      <c r="E1833" s="2" t="inlineStr">
        <is>
          <t>Wallet</t>
        </is>
      </c>
      <c r="F1833" s="2" t="inlineStr">
        <is>
          <t>Fashion</t>
        </is>
      </c>
      <c r="G1833" s="2" t="inlineStr">
        <is>
          <t>West</t>
        </is>
      </c>
      <c r="H1833" s="2" t="inlineStr">
        <is>
          <t>Goa</t>
        </is>
      </c>
      <c r="I1833" s="2" t="inlineStr">
        <is>
          <t>Panaji</t>
        </is>
      </c>
      <c r="J1833" s="2" t="inlineStr">
        <is>
          <t>Online</t>
        </is>
      </c>
      <c r="K1833" s="2" t="n">
        <v>3</v>
      </c>
      <c r="L1833" s="3" t="n">
        <v>2076.47</v>
      </c>
      <c r="M1833" s="4" t="n">
        <v>0.05</v>
      </c>
      <c r="N1833" s="3" t="n">
        <v>3589.5</v>
      </c>
      <c r="O1833" s="3">
        <f>K1833*L1833*(1-M1833)</f>
        <v/>
      </c>
      <c r="P1833" s="3">
        <f>O1833-N1833</f>
        <v/>
      </c>
      <c r="Q1833" s="5">
        <f>IFERROR(P1833/O1833,0)</f>
        <v/>
      </c>
      <c r="R1833" s="2">
        <f>TEXT(DATEVALUE(B1833),"mmm")</f>
        <v/>
      </c>
      <c r="S1833" s="2">
        <f>TEXT(DATEVALUE(B1833),"yyyy-mm")</f>
        <v/>
      </c>
    </row>
    <row r="1834">
      <c r="A1834" s="2" t="inlineStr">
        <is>
          <t>O003097</t>
        </is>
      </c>
      <c r="B1834" s="2" t="inlineStr">
        <is>
          <t>2025-05-14</t>
        </is>
      </c>
      <c r="C1834" s="2" t="inlineStr">
        <is>
          <t>C0686</t>
        </is>
      </c>
      <c r="D1834" s="2" t="inlineStr">
        <is>
          <t>P0018</t>
        </is>
      </c>
      <c r="E1834" s="2" t="inlineStr">
        <is>
          <t>Backpack</t>
        </is>
      </c>
      <c r="F1834" s="2" t="inlineStr">
        <is>
          <t>Fashion</t>
        </is>
      </c>
      <c r="G1834" s="2" t="inlineStr">
        <is>
          <t>West</t>
        </is>
      </c>
      <c r="H1834" s="2" t="inlineStr">
        <is>
          <t>Goa</t>
        </is>
      </c>
      <c r="I1834" s="2" t="inlineStr">
        <is>
          <t>Panaji</t>
        </is>
      </c>
      <c r="J1834" s="2" t="inlineStr">
        <is>
          <t>Store</t>
        </is>
      </c>
      <c r="K1834" s="2" t="n">
        <v>2</v>
      </c>
      <c r="L1834" s="3" t="n">
        <v>1806.32</v>
      </c>
      <c r="M1834" s="4" t="n">
        <v>0</v>
      </c>
      <c r="N1834" s="3" t="n">
        <v>2682.59</v>
      </c>
      <c r="O1834" s="3">
        <f>K1834*L1834*(1-M1834)</f>
        <v/>
      </c>
      <c r="P1834" s="3">
        <f>O1834-N1834</f>
        <v/>
      </c>
      <c r="Q1834" s="5">
        <f>IFERROR(P1834/O1834,0)</f>
        <v/>
      </c>
      <c r="R1834" s="2">
        <f>TEXT(DATEVALUE(B1834),"mmm")</f>
        <v/>
      </c>
      <c r="S1834" s="2">
        <f>TEXT(DATEVALUE(B1834),"yyyy-mm")</f>
        <v/>
      </c>
    </row>
    <row r="1835">
      <c r="A1835" s="2" t="inlineStr">
        <is>
          <t>O002379</t>
        </is>
      </c>
      <c r="B1835" s="2" t="inlineStr">
        <is>
          <t>2025-05-14</t>
        </is>
      </c>
      <c r="C1835" s="2" t="inlineStr">
        <is>
          <t>C0582</t>
        </is>
      </c>
      <c r="D1835" s="2" t="inlineStr">
        <is>
          <t>P0004</t>
        </is>
      </c>
      <c r="E1835" s="2" t="inlineStr">
        <is>
          <t>USB-C Hub</t>
        </is>
      </c>
      <c r="F1835" s="2" t="inlineStr">
        <is>
          <t>Electronics</t>
        </is>
      </c>
      <c r="G1835" s="2" t="inlineStr">
        <is>
          <t>North</t>
        </is>
      </c>
      <c r="H1835" s="2" t="inlineStr">
        <is>
          <t>Delhi</t>
        </is>
      </c>
      <c r="I1835" s="2" t="inlineStr">
        <is>
          <t>New Delhi</t>
        </is>
      </c>
      <c r="J1835" s="2" t="inlineStr">
        <is>
          <t>Store</t>
        </is>
      </c>
      <c r="K1835" s="2" t="n">
        <v>2</v>
      </c>
      <c r="L1835" s="3" t="n">
        <v>1321.68</v>
      </c>
      <c r="M1835" s="4" t="n">
        <v>0.05</v>
      </c>
      <c r="N1835" s="3" t="n">
        <v>1807.7</v>
      </c>
      <c r="O1835" s="3">
        <f>K1835*L1835*(1-M1835)</f>
        <v/>
      </c>
      <c r="P1835" s="3">
        <f>O1835-N1835</f>
        <v/>
      </c>
      <c r="Q1835" s="5">
        <f>IFERROR(P1835/O1835,0)</f>
        <v/>
      </c>
      <c r="R1835" s="2">
        <f>TEXT(DATEVALUE(B1835),"mmm")</f>
        <v/>
      </c>
      <c r="S1835" s="2">
        <f>TEXT(DATEVALUE(B1835),"yyyy-mm")</f>
        <v/>
      </c>
    </row>
    <row r="1836">
      <c r="A1836" s="2" t="inlineStr">
        <is>
          <t>O000655</t>
        </is>
      </c>
      <c r="B1836" s="2" t="inlineStr">
        <is>
          <t>2025-05-14</t>
        </is>
      </c>
      <c r="C1836" s="2" t="inlineStr">
        <is>
          <t>C0443</t>
        </is>
      </c>
      <c r="D1836" s="2" t="inlineStr">
        <is>
          <t>P0004</t>
        </is>
      </c>
      <c r="E1836" s="2" t="inlineStr">
        <is>
          <t>USB-C Hub</t>
        </is>
      </c>
      <c r="F1836" s="2" t="inlineStr">
        <is>
          <t>Electronics</t>
        </is>
      </c>
      <c r="G1836" s="2" t="inlineStr">
        <is>
          <t>West</t>
        </is>
      </c>
      <c r="H1836" s="2" t="inlineStr">
        <is>
          <t>Maharashtra</t>
        </is>
      </c>
      <c r="I1836" s="2" t="inlineStr">
        <is>
          <t>Mumbai</t>
        </is>
      </c>
      <c r="J1836" s="2" t="inlineStr">
        <is>
          <t>Store</t>
        </is>
      </c>
      <c r="K1836" s="2" t="n">
        <v>3</v>
      </c>
      <c r="L1836" s="3" t="n">
        <v>1233.41</v>
      </c>
      <c r="M1836" s="4" t="n">
        <v>0.1</v>
      </c>
      <c r="N1836" s="3" t="n">
        <v>2764.94</v>
      </c>
      <c r="O1836" s="3">
        <f>K1836*L1836*(1-M1836)</f>
        <v/>
      </c>
      <c r="P1836" s="3">
        <f>O1836-N1836</f>
        <v/>
      </c>
      <c r="Q1836" s="5">
        <f>IFERROR(P1836/O1836,0)</f>
        <v/>
      </c>
      <c r="R1836" s="2">
        <f>TEXT(DATEVALUE(B1836),"mmm")</f>
        <v/>
      </c>
      <c r="S1836" s="2">
        <f>TEXT(DATEVALUE(B1836),"yyyy-mm")</f>
        <v/>
      </c>
    </row>
    <row r="1837">
      <c r="A1837" s="2" t="inlineStr">
        <is>
          <t>O001356</t>
        </is>
      </c>
      <c r="B1837" s="2" t="inlineStr">
        <is>
          <t>2025-05-14</t>
        </is>
      </c>
      <c r="C1837" s="2" t="inlineStr">
        <is>
          <t>C0456</t>
        </is>
      </c>
      <c r="D1837" s="2" t="inlineStr">
        <is>
          <t>P0015</t>
        </is>
      </c>
      <c r="E1837" s="2" t="inlineStr">
        <is>
          <t>Running Shoes</t>
        </is>
      </c>
      <c r="F1837" s="2" t="inlineStr">
        <is>
          <t>Fashion</t>
        </is>
      </c>
      <c r="G1837" s="2" t="inlineStr">
        <is>
          <t>West</t>
        </is>
      </c>
      <c r="H1837" s="2" t="inlineStr">
        <is>
          <t>Maharashtra</t>
        </is>
      </c>
      <c r="I1837" s="2" t="inlineStr">
        <is>
          <t>Nashik</t>
        </is>
      </c>
      <c r="J1837" s="2" t="inlineStr">
        <is>
          <t>Online</t>
        </is>
      </c>
      <c r="K1837" s="2" t="n">
        <v>1</v>
      </c>
      <c r="L1837" s="3" t="n">
        <v>613.1799999999999</v>
      </c>
      <c r="M1837" s="4" t="n">
        <v>0.15</v>
      </c>
      <c r="N1837" s="3" t="n">
        <v>378.42</v>
      </c>
      <c r="O1837" s="3">
        <f>K1837*L1837*(1-M1837)</f>
        <v/>
      </c>
      <c r="P1837" s="3">
        <f>O1837-N1837</f>
        <v/>
      </c>
      <c r="Q1837" s="5">
        <f>IFERROR(P1837/O1837,0)</f>
        <v/>
      </c>
      <c r="R1837" s="2">
        <f>TEXT(DATEVALUE(B1837),"mmm")</f>
        <v/>
      </c>
      <c r="S1837" s="2">
        <f>TEXT(DATEVALUE(B1837),"yyyy-mm")</f>
        <v/>
      </c>
    </row>
    <row r="1838">
      <c r="A1838" s="2" t="inlineStr">
        <is>
          <t>O001128</t>
        </is>
      </c>
      <c r="B1838" s="2" t="inlineStr">
        <is>
          <t>2025-05-14</t>
        </is>
      </c>
      <c r="C1838" s="2" t="inlineStr">
        <is>
          <t>C0679</t>
        </is>
      </c>
      <c r="D1838" s="2" t="inlineStr">
        <is>
          <t>P0026</t>
        </is>
      </c>
      <c r="E1838" s="2" t="inlineStr">
        <is>
          <t>Shampoo</t>
        </is>
      </c>
      <c r="F1838" s="2" t="inlineStr">
        <is>
          <t>Beauty</t>
        </is>
      </c>
      <c r="G1838" s="2" t="inlineStr">
        <is>
          <t>North</t>
        </is>
      </c>
      <c r="H1838" s="2" t="inlineStr">
        <is>
          <t>Delhi</t>
        </is>
      </c>
      <c r="I1838" s="2" t="inlineStr">
        <is>
          <t>New Delhi</t>
        </is>
      </c>
      <c r="J1838" s="2" t="inlineStr">
        <is>
          <t>Online</t>
        </is>
      </c>
      <c r="K1838" s="2" t="n">
        <v>2</v>
      </c>
      <c r="L1838" s="3" t="n">
        <v>889.6</v>
      </c>
      <c r="M1838" s="4" t="n">
        <v>0</v>
      </c>
      <c r="N1838" s="3" t="n">
        <v>1010.88</v>
      </c>
      <c r="O1838" s="3">
        <f>K1838*L1838*(1-M1838)</f>
        <v/>
      </c>
      <c r="P1838" s="3">
        <f>O1838-N1838</f>
        <v/>
      </c>
      <c r="Q1838" s="5">
        <f>IFERROR(P1838/O1838,0)</f>
        <v/>
      </c>
      <c r="R1838" s="2">
        <f>TEXT(DATEVALUE(B1838),"mmm")</f>
        <v/>
      </c>
      <c r="S1838" s="2">
        <f>TEXT(DATEVALUE(B1838),"yyyy-mm")</f>
        <v/>
      </c>
    </row>
    <row r="1839">
      <c r="A1839" s="2" t="inlineStr">
        <is>
          <t>O001074</t>
        </is>
      </c>
      <c r="B1839" s="2" t="inlineStr">
        <is>
          <t>2025-05-14</t>
        </is>
      </c>
      <c r="C1839" s="2" t="inlineStr">
        <is>
          <t>C0334</t>
        </is>
      </c>
      <c r="D1839" s="2" t="inlineStr">
        <is>
          <t>P0031</t>
        </is>
      </c>
      <c r="E1839" s="2" t="inlineStr">
        <is>
          <t>Cricket Bat</t>
        </is>
      </c>
      <c r="F1839" s="2" t="inlineStr">
        <is>
          <t>Sports</t>
        </is>
      </c>
      <c r="G1839" s="2" t="inlineStr">
        <is>
          <t>South</t>
        </is>
      </c>
      <c r="H1839" s="2" t="inlineStr">
        <is>
          <t>Telangana</t>
        </is>
      </c>
      <c r="I1839" s="2" t="inlineStr">
        <is>
          <t>Warangal</t>
        </is>
      </c>
      <c r="J1839" s="2" t="inlineStr">
        <is>
          <t>Online</t>
        </is>
      </c>
      <c r="K1839" s="2" t="n">
        <v>3</v>
      </c>
      <c r="L1839" s="3" t="n">
        <v>1427.09</v>
      </c>
      <c r="M1839" s="4" t="n">
        <v>0</v>
      </c>
      <c r="N1839" s="3" t="n">
        <v>2799.48</v>
      </c>
      <c r="O1839" s="3">
        <f>K1839*L1839*(1-M1839)</f>
        <v/>
      </c>
      <c r="P1839" s="3">
        <f>O1839-N1839</f>
        <v/>
      </c>
      <c r="Q1839" s="5">
        <f>IFERROR(P1839/O1839,0)</f>
        <v/>
      </c>
      <c r="R1839" s="2">
        <f>TEXT(DATEVALUE(B1839),"mmm")</f>
        <v/>
      </c>
      <c r="S1839" s="2">
        <f>TEXT(DATEVALUE(B1839),"yyyy-mm")</f>
        <v/>
      </c>
    </row>
    <row r="1840">
      <c r="A1840" s="2" t="inlineStr">
        <is>
          <t>O000971</t>
        </is>
      </c>
      <c r="B1840" s="2" t="inlineStr">
        <is>
          <t>2025-05-14</t>
        </is>
      </c>
      <c r="C1840" s="2" t="inlineStr">
        <is>
          <t>C0016</t>
        </is>
      </c>
      <c r="D1840" s="2" t="inlineStr">
        <is>
          <t>P0026</t>
        </is>
      </c>
      <c r="E1840" s="2" t="inlineStr">
        <is>
          <t>Shampoo</t>
        </is>
      </c>
      <c r="F1840" s="2" t="inlineStr">
        <is>
          <t>Beauty</t>
        </is>
      </c>
      <c r="G1840" s="2" t="inlineStr">
        <is>
          <t>South</t>
        </is>
      </c>
      <c r="H1840" s="2" t="inlineStr">
        <is>
          <t>Telangana</t>
        </is>
      </c>
      <c r="I1840" s="2" t="inlineStr">
        <is>
          <t>Warangal</t>
        </is>
      </c>
      <c r="J1840" s="2" t="inlineStr">
        <is>
          <t>Online</t>
        </is>
      </c>
      <c r="K1840" s="2" t="n">
        <v>2</v>
      </c>
      <c r="L1840" s="3" t="n">
        <v>876.99</v>
      </c>
      <c r="M1840" s="4" t="n">
        <v>0.05</v>
      </c>
      <c r="N1840" s="3" t="n">
        <v>1078.3</v>
      </c>
      <c r="O1840" s="3">
        <f>K1840*L1840*(1-M1840)</f>
        <v/>
      </c>
      <c r="P1840" s="3">
        <f>O1840-N1840</f>
        <v/>
      </c>
      <c r="Q1840" s="5">
        <f>IFERROR(P1840/O1840,0)</f>
        <v/>
      </c>
      <c r="R1840" s="2">
        <f>TEXT(DATEVALUE(B1840),"mmm")</f>
        <v/>
      </c>
      <c r="S1840" s="2">
        <f>TEXT(DATEVALUE(B1840),"yyyy-mm")</f>
        <v/>
      </c>
    </row>
    <row r="1841">
      <c r="A1841" s="2" t="inlineStr">
        <is>
          <t>O000163</t>
        </is>
      </c>
      <c r="B1841" s="2" t="inlineStr">
        <is>
          <t>2025-05-14</t>
        </is>
      </c>
      <c r="C1841" s="2" t="inlineStr">
        <is>
          <t>C0208</t>
        </is>
      </c>
      <c r="D1841" s="2" t="inlineStr">
        <is>
          <t>P0003</t>
        </is>
      </c>
      <c r="E1841" s="2" t="inlineStr">
        <is>
          <t>Smartwatch</t>
        </is>
      </c>
      <c r="F1841" s="2" t="inlineStr">
        <is>
          <t>Electronics</t>
        </is>
      </c>
      <c r="G1841" s="2" t="inlineStr">
        <is>
          <t>West</t>
        </is>
      </c>
      <c r="H1841" s="2" t="inlineStr">
        <is>
          <t>Goa</t>
        </is>
      </c>
      <c r="I1841" s="2" t="inlineStr">
        <is>
          <t>Margao</t>
        </is>
      </c>
      <c r="J1841" s="2" t="inlineStr">
        <is>
          <t>Online</t>
        </is>
      </c>
      <c r="K1841" s="2" t="n">
        <v>3</v>
      </c>
      <c r="L1841" s="3" t="n">
        <v>2336.28</v>
      </c>
      <c r="M1841" s="4" t="n">
        <v>0.15</v>
      </c>
      <c r="N1841" s="3" t="n">
        <v>3595.29</v>
      </c>
      <c r="O1841" s="3">
        <f>K1841*L1841*(1-M1841)</f>
        <v/>
      </c>
      <c r="P1841" s="3">
        <f>O1841-N1841</f>
        <v/>
      </c>
      <c r="Q1841" s="5">
        <f>IFERROR(P1841/O1841,0)</f>
        <v/>
      </c>
      <c r="R1841" s="2">
        <f>TEXT(DATEVALUE(B1841),"mmm")</f>
        <v/>
      </c>
      <c r="S1841" s="2">
        <f>TEXT(DATEVALUE(B1841),"yyyy-mm")</f>
        <v/>
      </c>
    </row>
    <row r="1842">
      <c r="A1842" s="2" t="inlineStr">
        <is>
          <t>O001718</t>
        </is>
      </c>
      <c r="B1842" s="2" t="inlineStr">
        <is>
          <t>2025-05-14</t>
        </is>
      </c>
      <c r="C1842" s="2" t="inlineStr">
        <is>
          <t>C0780</t>
        </is>
      </c>
      <c r="D1842" s="2" t="inlineStr">
        <is>
          <t>P0022</t>
        </is>
      </c>
      <c r="E1842" s="2" t="inlineStr">
        <is>
          <t>Face Wash</t>
        </is>
      </c>
      <c r="F1842" s="2" t="inlineStr">
        <is>
          <t>Beauty</t>
        </is>
      </c>
      <c r="G1842" s="2" t="inlineStr">
        <is>
          <t>East</t>
        </is>
      </c>
      <c r="H1842" s="2" t="inlineStr">
        <is>
          <t>Odisha</t>
        </is>
      </c>
      <c r="I1842" s="2" t="inlineStr">
        <is>
          <t>Cuttack</t>
        </is>
      </c>
      <c r="J1842" s="2" t="inlineStr">
        <is>
          <t>Online</t>
        </is>
      </c>
      <c r="K1842" s="2" t="n">
        <v>1</v>
      </c>
      <c r="L1842" s="3" t="n">
        <v>539.8200000000001</v>
      </c>
      <c r="M1842" s="4" t="n">
        <v>0.1</v>
      </c>
      <c r="N1842" s="3" t="n">
        <v>345.43</v>
      </c>
      <c r="O1842" s="3">
        <f>K1842*L1842*(1-M1842)</f>
        <v/>
      </c>
      <c r="P1842" s="3">
        <f>O1842-N1842</f>
        <v/>
      </c>
      <c r="Q1842" s="5">
        <f>IFERROR(P1842/O1842,0)</f>
        <v/>
      </c>
      <c r="R1842" s="2">
        <f>TEXT(DATEVALUE(B1842),"mmm")</f>
        <v/>
      </c>
      <c r="S1842" s="2">
        <f>TEXT(DATEVALUE(B1842),"yyyy-mm")</f>
        <v/>
      </c>
    </row>
    <row r="1843">
      <c r="A1843" s="2" t="inlineStr">
        <is>
          <t>O004481</t>
        </is>
      </c>
      <c r="B1843" s="2" t="inlineStr">
        <is>
          <t>2025-05-15</t>
        </is>
      </c>
      <c r="C1843" s="2" t="inlineStr">
        <is>
          <t>C0523</t>
        </is>
      </c>
      <c r="D1843" s="2" t="inlineStr">
        <is>
          <t>P0005</t>
        </is>
      </c>
      <c r="E1843" s="2" t="inlineStr">
        <is>
          <t>Power Bank</t>
        </is>
      </c>
      <c r="F1843" s="2" t="inlineStr">
        <is>
          <t>Electronics</t>
        </is>
      </c>
      <c r="G1843" s="2" t="inlineStr">
        <is>
          <t>West</t>
        </is>
      </c>
      <c r="H1843" s="2" t="inlineStr">
        <is>
          <t>Gujarat</t>
        </is>
      </c>
      <c r="I1843" s="2" t="inlineStr">
        <is>
          <t>Vadodara</t>
        </is>
      </c>
      <c r="J1843" s="2" t="inlineStr">
        <is>
          <t>Store</t>
        </is>
      </c>
      <c r="K1843" s="2" t="n">
        <v>6</v>
      </c>
      <c r="L1843" s="3" t="n">
        <v>1080.52</v>
      </c>
      <c r="M1843" s="4" t="n">
        <v>0.2</v>
      </c>
      <c r="N1843" s="3" t="n">
        <v>4106.68</v>
      </c>
      <c r="O1843" s="3">
        <f>K1843*L1843*(1-M1843)</f>
        <v/>
      </c>
      <c r="P1843" s="3">
        <f>O1843-N1843</f>
        <v/>
      </c>
      <c r="Q1843" s="5">
        <f>IFERROR(P1843/O1843,0)</f>
        <v/>
      </c>
      <c r="R1843" s="2">
        <f>TEXT(DATEVALUE(B1843),"mmm")</f>
        <v/>
      </c>
      <c r="S1843" s="2">
        <f>TEXT(DATEVALUE(B1843),"yyyy-mm")</f>
        <v/>
      </c>
    </row>
    <row r="1844">
      <c r="A1844" s="2" t="inlineStr">
        <is>
          <t>O003845</t>
        </is>
      </c>
      <c r="B1844" s="2" t="inlineStr">
        <is>
          <t>2025-05-15</t>
        </is>
      </c>
      <c r="C1844" s="2" t="inlineStr">
        <is>
          <t>C0278</t>
        </is>
      </c>
      <c r="D1844" s="2" t="inlineStr">
        <is>
          <t>P0004</t>
        </is>
      </c>
      <c r="E1844" s="2" t="inlineStr">
        <is>
          <t>USB-C Hub</t>
        </is>
      </c>
      <c r="F1844" s="2" t="inlineStr">
        <is>
          <t>Electronics</t>
        </is>
      </c>
      <c r="G1844" s="2" t="inlineStr">
        <is>
          <t>South</t>
        </is>
      </c>
      <c r="H1844" s="2" t="inlineStr">
        <is>
          <t>Telangana</t>
        </is>
      </c>
      <c r="I1844" s="2" t="inlineStr">
        <is>
          <t>Hyderabad</t>
        </is>
      </c>
      <c r="J1844" s="2" t="inlineStr">
        <is>
          <t>Online</t>
        </is>
      </c>
      <c r="K1844" s="2" t="n">
        <v>1</v>
      </c>
      <c r="L1844" s="3" t="n">
        <v>1279.49</v>
      </c>
      <c r="M1844" s="4" t="n">
        <v>0</v>
      </c>
      <c r="N1844" s="3" t="n">
        <v>908.87</v>
      </c>
      <c r="O1844" s="3">
        <f>K1844*L1844*(1-M1844)</f>
        <v/>
      </c>
      <c r="P1844" s="3">
        <f>O1844-N1844</f>
        <v/>
      </c>
      <c r="Q1844" s="5">
        <f>IFERROR(P1844/O1844,0)</f>
        <v/>
      </c>
      <c r="R1844" s="2">
        <f>TEXT(DATEVALUE(B1844),"mmm")</f>
        <v/>
      </c>
      <c r="S1844" s="2">
        <f>TEXT(DATEVALUE(B1844),"yyyy-mm")</f>
        <v/>
      </c>
    </row>
    <row r="1845">
      <c r="A1845" s="2" t="inlineStr">
        <is>
          <t>O003575</t>
        </is>
      </c>
      <c r="B1845" s="2" t="inlineStr">
        <is>
          <t>2025-05-15</t>
        </is>
      </c>
      <c r="C1845" s="2" t="inlineStr">
        <is>
          <t>C0685</t>
        </is>
      </c>
      <c r="D1845" s="2" t="inlineStr">
        <is>
          <t>P0032</t>
        </is>
      </c>
      <c r="E1845" s="2" t="inlineStr">
        <is>
          <t>Football</t>
        </is>
      </c>
      <c r="F1845" s="2" t="inlineStr">
        <is>
          <t>Sports</t>
        </is>
      </c>
      <c r="G1845" s="2" t="inlineStr">
        <is>
          <t>West</t>
        </is>
      </c>
      <c r="H1845" s="2" t="inlineStr">
        <is>
          <t>Maharashtra</t>
        </is>
      </c>
      <c r="I1845" s="2" t="inlineStr">
        <is>
          <t>Pune</t>
        </is>
      </c>
      <c r="J1845" s="2" t="inlineStr">
        <is>
          <t>Online</t>
        </is>
      </c>
      <c r="K1845" s="2" t="n">
        <v>1</v>
      </c>
      <c r="L1845" s="3" t="n">
        <v>818.75</v>
      </c>
      <c r="M1845" s="4" t="n">
        <v>0.05</v>
      </c>
      <c r="N1845" s="3" t="n">
        <v>525.22</v>
      </c>
      <c r="O1845" s="3">
        <f>K1845*L1845*(1-M1845)</f>
        <v/>
      </c>
      <c r="P1845" s="3">
        <f>O1845-N1845</f>
        <v/>
      </c>
      <c r="Q1845" s="5">
        <f>IFERROR(P1845/O1845,0)</f>
        <v/>
      </c>
      <c r="R1845" s="2">
        <f>TEXT(DATEVALUE(B1845),"mmm")</f>
        <v/>
      </c>
      <c r="S1845" s="2">
        <f>TEXT(DATEVALUE(B1845),"yyyy-mm")</f>
        <v/>
      </c>
    </row>
    <row r="1846">
      <c r="A1846" s="2" t="inlineStr">
        <is>
          <t>O002631</t>
        </is>
      </c>
      <c r="B1846" s="2" t="inlineStr">
        <is>
          <t>2025-05-15</t>
        </is>
      </c>
      <c r="C1846" s="2" t="inlineStr">
        <is>
          <t>C0485</t>
        </is>
      </c>
      <c r="D1846" s="2" t="inlineStr">
        <is>
          <t>P0009</t>
        </is>
      </c>
      <c r="E1846" s="2" t="inlineStr">
        <is>
          <t>Electric Kettle</t>
        </is>
      </c>
      <c r="F1846" s="2" t="inlineStr">
        <is>
          <t>Home &amp; Kitchen</t>
        </is>
      </c>
      <c r="G1846" s="2" t="inlineStr">
        <is>
          <t>West</t>
        </is>
      </c>
      <c r="H1846" s="2" t="inlineStr">
        <is>
          <t>Maharashtra</t>
        </is>
      </c>
      <c r="I1846" s="2" t="inlineStr">
        <is>
          <t>Mumbai</t>
        </is>
      </c>
      <c r="J1846" s="2" t="inlineStr">
        <is>
          <t>Online</t>
        </is>
      </c>
      <c r="K1846" s="2" t="n">
        <v>2</v>
      </c>
      <c r="L1846" s="3" t="n">
        <v>2177.36</v>
      </c>
      <c r="M1846" s="4" t="n">
        <v>0.1</v>
      </c>
      <c r="N1846" s="3" t="n">
        <v>2270.25</v>
      </c>
      <c r="O1846" s="3">
        <f>K1846*L1846*(1-M1846)</f>
        <v/>
      </c>
      <c r="P1846" s="3">
        <f>O1846-N1846</f>
        <v/>
      </c>
      <c r="Q1846" s="5">
        <f>IFERROR(P1846/O1846,0)</f>
        <v/>
      </c>
      <c r="R1846" s="2">
        <f>TEXT(DATEVALUE(B1846),"mmm")</f>
        <v/>
      </c>
      <c r="S1846" s="2">
        <f>TEXT(DATEVALUE(B1846),"yyyy-mm")</f>
        <v/>
      </c>
    </row>
    <row r="1847">
      <c r="A1847" s="2" t="inlineStr">
        <is>
          <t>O000303</t>
        </is>
      </c>
      <c r="B1847" s="2" t="inlineStr">
        <is>
          <t>2025-05-15</t>
        </is>
      </c>
      <c r="C1847" s="2" t="inlineStr">
        <is>
          <t>C0793</t>
        </is>
      </c>
      <c r="D1847" s="2" t="inlineStr">
        <is>
          <t>P0006</t>
        </is>
      </c>
      <c r="E1847" s="2" t="inlineStr">
        <is>
          <t>Mechanical Keyboard</t>
        </is>
      </c>
      <c r="F1847" s="2" t="inlineStr">
        <is>
          <t>Electronics</t>
        </is>
      </c>
      <c r="G1847" s="2" t="inlineStr">
        <is>
          <t>West</t>
        </is>
      </c>
      <c r="H1847" s="2" t="inlineStr">
        <is>
          <t>Gujarat</t>
        </is>
      </c>
      <c r="I1847" s="2" t="inlineStr">
        <is>
          <t>Ahmedabad</t>
        </is>
      </c>
      <c r="J1847" s="2" t="inlineStr">
        <is>
          <t>Store</t>
        </is>
      </c>
      <c r="K1847" s="2" t="n">
        <v>4</v>
      </c>
      <c r="L1847" s="3" t="n">
        <v>2765.84</v>
      </c>
      <c r="M1847" s="4" t="n">
        <v>0.1</v>
      </c>
      <c r="N1847" s="3" t="n">
        <v>5983.65</v>
      </c>
      <c r="O1847" s="3">
        <f>K1847*L1847*(1-M1847)</f>
        <v/>
      </c>
      <c r="P1847" s="3">
        <f>O1847-N1847</f>
        <v/>
      </c>
      <c r="Q1847" s="5">
        <f>IFERROR(P1847/O1847,0)</f>
        <v/>
      </c>
      <c r="R1847" s="2">
        <f>TEXT(DATEVALUE(B1847),"mmm")</f>
        <v/>
      </c>
      <c r="S1847" s="2">
        <f>TEXT(DATEVALUE(B1847),"yyyy-mm")</f>
        <v/>
      </c>
    </row>
    <row r="1848">
      <c r="A1848" s="2" t="inlineStr">
        <is>
          <t>O000111</t>
        </is>
      </c>
      <c r="B1848" s="2" t="inlineStr">
        <is>
          <t>2025-05-15</t>
        </is>
      </c>
      <c r="C1848" s="2" t="inlineStr">
        <is>
          <t>C0393</t>
        </is>
      </c>
      <c r="D1848" s="2" t="inlineStr">
        <is>
          <t>P0007</t>
        </is>
      </c>
      <c r="E1848" s="2" t="inlineStr">
        <is>
          <t>Wireless Mouse</t>
        </is>
      </c>
      <c r="F1848" s="2" t="inlineStr">
        <is>
          <t>Electronics</t>
        </is>
      </c>
      <c r="G1848" s="2" t="inlineStr">
        <is>
          <t>West</t>
        </is>
      </c>
      <c r="H1848" s="2" t="inlineStr">
        <is>
          <t>Goa</t>
        </is>
      </c>
      <c r="I1848" s="2" t="inlineStr">
        <is>
          <t>Margao</t>
        </is>
      </c>
      <c r="J1848" s="2" t="inlineStr">
        <is>
          <t>Store</t>
        </is>
      </c>
      <c r="K1848" s="2" t="n">
        <v>1</v>
      </c>
      <c r="L1848" s="3" t="n">
        <v>983.98</v>
      </c>
      <c r="M1848" s="4" t="n">
        <v>0.05</v>
      </c>
      <c r="N1848" s="3" t="n">
        <v>626.11</v>
      </c>
      <c r="O1848" s="3">
        <f>K1848*L1848*(1-M1848)</f>
        <v/>
      </c>
      <c r="P1848" s="3">
        <f>O1848-N1848</f>
        <v/>
      </c>
      <c r="Q1848" s="5">
        <f>IFERROR(P1848/O1848,0)</f>
        <v/>
      </c>
      <c r="R1848" s="2">
        <f>TEXT(DATEVALUE(B1848),"mmm")</f>
        <v/>
      </c>
      <c r="S1848" s="2">
        <f>TEXT(DATEVALUE(B1848),"yyyy-mm")</f>
        <v/>
      </c>
    </row>
    <row r="1849">
      <c r="A1849" s="2" t="inlineStr">
        <is>
          <t>O000044</t>
        </is>
      </c>
      <c r="B1849" s="2" t="inlineStr">
        <is>
          <t>2025-05-15</t>
        </is>
      </c>
      <c r="C1849" s="2" t="inlineStr">
        <is>
          <t>C0225</t>
        </is>
      </c>
      <c r="D1849" s="2" t="inlineStr">
        <is>
          <t>P0001</t>
        </is>
      </c>
      <c r="E1849" s="2" t="inlineStr">
        <is>
          <t>Wireless Headphones</t>
        </is>
      </c>
      <c r="F1849" s="2" t="inlineStr">
        <is>
          <t>Electronics</t>
        </is>
      </c>
      <c r="G1849" s="2" t="inlineStr">
        <is>
          <t>West</t>
        </is>
      </c>
      <c r="H1849" s="2" t="inlineStr">
        <is>
          <t>Goa</t>
        </is>
      </c>
      <c r="I1849" s="2" t="inlineStr">
        <is>
          <t>Panaji</t>
        </is>
      </c>
      <c r="J1849" s="2" t="inlineStr">
        <is>
          <t>Online</t>
        </is>
      </c>
      <c r="K1849" s="2" t="n">
        <v>2</v>
      </c>
      <c r="L1849" s="3" t="n">
        <v>1309.39</v>
      </c>
      <c r="M1849" s="4" t="n">
        <v>0.05</v>
      </c>
      <c r="N1849" s="3" t="n">
        <v>1374.63</v>
      </c>
      <c r="O1849" s="3">
        <f>K1849*L1849*(1-M1849)</f>
        <v/>
      </c>
      <c r="P1849" s="3">
        <f>O1849-N1849</f>
        <v/>
      </c>
      <c r="Q1849" s="5">
        <f>IFERROR(P1849/O1849,0)</f>
        <v/>
      </c>
      <c r="R1849" s="2">
        <f>TEXT(DATEVALUE(B1849),"mmm")</f>
        <v/>
      </c>
      <c r="S1849" s="2">
        <f>TEXT(DATEVALUE(B1849),"yyyy-mm")</f>
        <v/>
      </c>
    </row>
    <row r="1850">
      <c r="A1850" s="2" t="inlineStr">
        <is>
          <t>O004662</t>
        </is>
      </c>
      <c r="B1850" s="2" t="inlineStr">
        <is>
          <t>2025-05-16</t>
        </is>
      </c>
      <c r="C1850" s="2" t="inlineStr">
        <is>
          <t>C0523</t>
        </is>
      </c>
      <c r="D1850" s="2" t="inlineStr">
        <is>
          <t>P0011</t>
        </is>
      </c>
      <c r="E1850" s="2" t="inlineStr">
        <is>
          <t>Cookware Set</t>
        </is>
      </c>
      <c r="F1850" s="2" t="inlineStr">
        <is>
          <t>Home &amp; Kitchen</t>
        </is>
      </c>
      <c r="G1850" s="2" t="inlineStr">
        <is>
          <t>East</t>
        </is>
      </c>
      <c r="H1850" s="2" t="inlineStr">
        <is>
          <t>West Bengal</t>
        </is>
      </c>
      <c r="I1850" s="2" t="inlineStr">
        <is>
          <t>Durgapur</t>
        </is>
      </c>
      <c r="J1850" s="2" t="inlineStr">
        <is>
          <t>Store</t>
        </is>
      </c>
      <c r="K1850" s="2" t="n">
        <v>1</v>
      </c>
      <c r="L1850" s="3" t="n">
        <v>712.4</v>
      </c>
      <c r="M1850" s="4" t="n">
        <v>0.2</v>
      </c>
      <c r="N1850" s="3" t="n">
        <v>459.05</v>
      </c>
      <c r="O1850" s="3">
        <f>K1850*L1850*(1-M1850)</f>
        <v/>
      </c>
      <c r="P1850" s="3">
        <f>O1850-N1850</f>
        <v/>
      </c>
      <c r="Q1850" s="5">
        <f>IFERROR(P1850/O1850,0)</f>
        <v/>
      </c>
      <c r="R1850" s="2">
        <f>TEXT(DATEVALUE(B1850),"mmm")</f>
        <v/>
      </c>
      <c r="S1850" s="2">
        <f>TEXT(DATEVALUE(B1850),"yyyy-mm")</f>
        <v/>
      </c>
    </row>
    <row r="1851">
      <c r="A1851" s="2" t="inlineStr">
        <is>
          <t>O004712</t>
        </is>
      </c>
      <c r="B1851" s="2" t="inlineStr">
        <is>
          <t>2025-05-16</t>
        </is>
      </c>
      <c r="C1851" s="2" t="inlineStr">
        <is>
          <t>C0642</t>
        </is>
      </c>
      <c r="D1851" s="2" t="inlineStr">
        <is>
          <t>P0017</t>
        </is>
      </c>
      <c r="E1851" s="2" t="inlineStr">
        <is>
          <t>Jeans</t>
        </is>
      </c>
      <c r="F1851" s="2" t="inlineStr">
        <is>
          <t>Fashion</t>
        </is>
      </c>
      <c r="G1851" s="2" t="inlineStr">
        <is>
          <t>East</t>
        </is>
      </c>
      <c r="H1851" s="2" t="inlineStr">
        <is>
          <t>West Bengal</t>
        </is>
      </c>
      <c r="I1851" s="2" t="inlineStr">
        <is>
          <t>Kolkata</t>
        </is>
      </c>
      <c r="J1851" s="2" t="inlineStr">
        <is>
          <t>Store</t>
        </is>
      </c>
      <c r="K1851" s="2" t="n">
        <v>3</v>
      </c>
      <c r="L1851" s="3" t="n">
        <v>1495.02</v>
      </c>
      <c r="M1851" s="4" t="n">
        <v>0.05</v>
      </c>
      <c r="N1851" s="3" t="n">
        <v>3006.6</v>
      </c>
      <c r="O1851" s="3">
        <f>K1851*L1851*(1-M1851)</f>
        <v/>
      </c>
      <c r="P1851" s="3">
        <f>O1851-N1851</f>
        <v/>
      </c>
      <c r="Q1851" s="5">
        <f>IFERROR(P1851/O1851,0)</f>
        <v/>
      </c>
      <c r="R1851" s="2">
        <f>TEXT(DATEVALUE(B1851),"mmm")</f>
        <v/>
      </c>
      <c r="S1851" s="2">
        <f>TEXT(DATEVALUE(B1851),"yyyy-mm")</f>
        <v/>
      </c>
    </row>
    <row r="1852">
      <c r="A1852" s="2" t="inlineStr">
        <is>
          <t>O003585</t>
        </is>
      </c>
      <c r="B1852" s="2" t="inlineStr">
        <is>
          <t>2025-05-16</t>
        </is>
      </c>
      <c r="C1852" s="2" t="inlineStr">
        <is>
          <t>C0456</t>
        </is>
      </c>
      <c r="D1852" s="2" t="inlineStr">
        <is>
          <t>P0001</t>
        </is>
      </c>
      <c r="E1852" s="2" t="inlineStr">
        <is>
          <t>Wireless Headphones</t>
        </is>
      </c>
      <c r="F1852" s="2" t="inlineStr">
        <is>
          <t>Electronics</t>
        </is>
      </c>
      <c r="G1852" s="2" t="inlineStr">
        <is>
          <t>South</t>
        </is>
      </c>
      <c r="H1852" s="2" t="inlineStr">
        <is>
          <t>Karnataka</t>
        </is>
      </c>
      <c r="I1852" s="2" t="inlineStr">
        <is>
          <t>Mangaluru</t>
        </is>
      </c>
      <c r="J1852" s="2" t="inlineStr">
        <is>
          <t>Online</t>
        </is>
      </c>
      <c r="K1852" s="2" t="n">
        <v>3</v>
      </c>
      <c r="L1852" s="3" t="n">
        <v>1336.56</v>
      </c>
      <c r="M1852" s="4" t="n">
        <v>0.15</v>
      </c>
      <c r="N1852" s="3" t="n">
        <v>2038.47</v>
      </c>
      <c r="O1852" s="3">
        <f>K1852*L1852*(1-M1852)</f>
        <v/>
      </c>
      <c r="P1852" s="3">
        <f>O1852-N1852</f>
        <v/>
      </c>
      <c r="Q1852" s="5">
        <f>IFERROR(P1852/O1852,0)</f>
        <v/>
      </c>
      <c r="R1852" s="2">
        <f>TEXT(DATEVALUE(B1852),"mmm")</f>
        <v/>
      </c>
      <c r="S1852" s="2">
        <f>TEXT(DATEVALUE(B1852),"yyyy-mm")</f>
        <v/>
      </c>
    </row>
    <row r="1853">
      <c r="A1853" s="2" t="inlineStr">
        <is>
          <t>O003243</t>
        </is>
      </c>
      <c r="B1853" s="2" t="inlineStr">
        <is>
          <t>2025-05-16</t>
        </is>
      </c>
      <c r="C1853" s="2" t="inlineStr">
        <is>
          <t>C0468</t>
        </is>
      </c>
      <c r="D1853" s="2" t="inlineStr">
        <is>
          <t>P0006</t>
        </is>
      </c>
      <c r="E1853" s="2" t="inlineStr">
        <is>
          <t>Mechanical Keyboard</t>
        </is>
      </c>
      <c r="F1853" s="2" t="inlineStr">
        <is>
          <t>Electronics</t>
        </is>
      </c>
      <c r="G1853" s="2" t="inlineStr">
        <is>
          <t>North</t>
        </is>
      </c>
      <c r="H1853" s="2" t="inlineStr">
        <is>
          <t>Haryana</t>
        </is>
      </c>
      <c r="I1853" s="2" t="inlineStr">
        <is>
          <t>Faridabad</t>
        </is>
      </c>
      <c r="J1853" s="2" t="inlineStr">
        <is>
          <t>Online</t>
        </is>
      </c>
      <c r="K1853" s="2" t="n">
        <v>1</v>
      </c>
      <c r="L1853" s="3" t="n">
        <v>2784.24</v>
      </c>
      <c r="M1853" s="4" t="n">
        <v>0.15</v>
      </c>
      <c r="N1853" s="3" t="n">
        <v>1490.75</v>
      </c>
      <c r="O1853" s="3">
        <f>K1853*L1853*(1-M1853)</f>
        <v/>
      </c>
      <c r="P1853" s="3">
        <f>O1853-N1853</f>
        <v/>
      </c>
      <c r="Q1853" s="5">
        <f>IFERROR(P1853/O1853,0)</f>
        <v/>
      </c>
      <c r="R1853" s="2">
        <f>TEXT(DATEVALUE(B1853),"mmm")</f>
        <v/>
      </c>
      <c r="S1853" s="2">
        <f>TEXT(DATEVALUE(B1853),"yyyy-mm")</f>
        <v/>
      </c>
    </row>
    <row r="1854">
      <c r="A1854" s="2" t="inlineStr">
        <is>
          <t>O003226</t>
        </is>
      </c>
      <c r="B1854" s="2" t="inlineStr">
        <is>
          <t>2025-05-16</t>
        </is>
      </c>
      <c r="C1854" s="2" t="inlineStr">
        <is>
          <t>C0750</t>
        </is>
      </c>
      <c r="D1854" s="2" t="inlineStr">
        <is>
          <t>P0004</t>
        </is>
      </c>
      <c r="E1854" s="2" t="inlineStr">
        <is>
          <t>USB-C Hub</t>
        </is>
      </c>
      <c r="F1854" s="2" t="inlineStr">
        <is>
          <t>Electronics</t>
        </is>
      </c>
      <c r="G1854" s="2" t="inlineStr">
        <is>
          <t>North</t>
        </is>
      </c>
      <c r="H1854" s="2" t="inlineStr">
        <is>
          <t>Punjab</t>
        </is>
      </c>
      <c r="I1854" s="2" t="inlineStr">
        <is>
          <t>Ludhiana</t>
        </is>
      </c>
      <c r="J1854" s="2" t="inlineStr">
        <is>
          <t>Online</t>
        </is>
      </c>
      <c r="K1854" s="2" t="n">
        <v>3</v>
      </c>
      <c r="L1854" s="3" t="n">
        <v>1255.26</v>
      </c>
      <c r="M1854" s="4" t="n">
        <v>0</v>
      </c>
      <c r="N1854" s="3" t="n">
        <v>2697.68</v>
      </c>
      <c r="O1854" s="3">
        <f>K1854*L1854*(1-M1854)</f>
        <v/>
      </c>
      <c r="P1854" s="3">
        <f>O1854-N1854</f>
        <v/>
      </c>
      <c r="Q1854" s="5">
        <f>IFERROR(P1854/O1854,0)</f>
        <v/>
      </c>
      <c r="R1854" s="2">
        <f>TEXT(DATEVALUE(B1854),"mmm")</f>
        <v/>
      </c>
      <c r="S1854" s="2">
        <f>TEXT(DATEVALUE(B1854),"yyyy-mm")</f>
        <v/>
      </c>
    </row>
    <row r="1855">
      <c r="A1855" s="2" t="inlineStr">
        <is>
          <t>O002670</t>
        </is>
      </c>
      <c r="B1855" s="2" t="inlineStr">
        <is>
          <t>2025-05-16</t>
        </is>
      </c>
      <c r="C1855" s="2" t="inlineStr">
        <is>
          <t>C0103</t>
        </is>
      </c>
      <c r="D1855" s="2" t="inlineStr">
        <is>
          <t>P0031</t>
        </is>
      </c>
      <c r="E1855" s="2" t="inlineStr">
        <is>
          <t>Cricket Bat</t>
        </is>
      </c>
      <c r="F1855" s="2" t="inlineStr">
        <is>
          <t>Sports</t>
        </is>
      </c>
      <c r="G1855" s="2" t="inlineStr">
        <is>
          <t>South</t>
        </is>
      </c>
      <c r="H1855" s="2" t="inlineStr">
        <is>
          <t>Telangana</t>
        </is>
      </c>
      <c r="I1855" s="2" t="inlineStr">
        <is>
          <t>Warangal</t>
        </is>
      </c>
      <c r="J1855" s="2" t="inlineStr">
        <is>
          <t>Online</t>
        </is>
      </c>
      <c r="K1855" s="2" t="n">
        <v>3</v>
      </c>
      <c r="L1855" s="3" t="n">
        <v>1394.09</v>
      </c>
      <c r="M1855" s="4" t="n">
        <v>0.1</v>
      </c>
      <c r="N1855" s="3" t="n">
        <v>2749.14</v>
      </c>
      <c r="O1855" s="3">
        <f>K1855*L1855*(1-M1855)</f>
        <v/>
      </c>
      <c r="P1855" s="3">
        <f>O1855-N1855</f>
        <v/>
      </c>
      <c r="Q1855" s="5">
        <f>IFERROR(P1855/O1855,0)</f>
        <v/>
      </c>
      <c r="R1855" s="2">
        <f>TEXT(DATEVALUE(B1855),"mmm")</f>
        <v/>
      </c>
      <c r="S1855" s="2">
        <f>TEXT(DATEVALUE(B1855),"yyyy-mm")</f>
        <v/>
      </c>
    </row>
    <row r="1856">
      <c r="A1856" s="2" t="inlineStr">
        <is>
          <t>O002574</t>
        </is>
      </c>
      <c r="B1856" s="2" t="inlineStr">
        <is>
          <t>2025-05-16</t>
        </is>
      </c>
      <c r="C1856" s="2" t="inlineStr">
        <is>
          <t>C0294</t>
        </is>
      </c>
      <c r="D1856" s="2" t="inlineStr">
        <is>
          <t>P0006</t>
        </is>
      </c>
      <c r="E1856" s="2" t="inlineStr">
        <is>
          <t>Mechanical Keyboard</t>
        </is>
      </c>
      <c r="F1856" s="2" t="inlineStr">
        <is>
          <t>Electronics</t>
        </is>
      </c>
      <c r="G1856" s="2" t="inlineStr">
        <is>
          <t>North</t>
        </is>
      </c>
      <c r="H1856" s="2" t="inlineStr">
        <is>
          <t>Delhi</t>
        </is>
      </c>
      <c r="I1856" s="2" t="inlineStr">
        <is>
          <t>New Delhi</t>
        </is>
      </c>
      <c r="J1856" s="2" t="inlineStr">
        <is>
          <t>Store</t>
        </is>
      </c>
      <c r="K1856" s="2" t="n">
        <v>3</v>
      </c>
      <c r="L1856" s="3" t="n">
        <v>2798.47</v>
      </c>
      <c r="M1856" s="4" t="n">
        <v>0.05</v>
      </c>
      <c r="N1856" s="3" t="n">
        <v>4468.9</v>
      </c>
      <c r="O1856" s="3">
        <f>K1856*L1856*(1-M1856)</f>
        <v/>
      </c>
      <c r="P1856" s="3">
        <f>O1856-N1856</f>
        <v/>
      </c>
      <c r="Q1856" s="5">
        <f>IFERROR(P1856/O1856,0)</f>
        <v/>
      </c>
      <c r="R1856" s="2">
        <f>TEXT(DATEVALUE(B1856),"mmm")</f>
        <v/>
      </c>
      <c r="S1856" s="2">
        <f>TEXT(DATEVALUE(B1856),"yyyy-mm")</f>
        <v/>
      </c>
    </row>
    <row r="1857">
      <c r="A1857" s="2" t="inlineStr">
        <is>
          <t>O000618</t>
        </is>
      </c>
      <c r="B1857" s="2" t="inlineStr">
        <is>
          <t>2025-05-16</t>
        </is>
      </c>
      <c r="C1857" s="2" t="inlineStr">
        <is>
          <t>C0201</t>
        </is>
      </c>
      <c r="D1857" s="2" t="inlineStr">
        <is>
          <t>P0012</t>
        </is>
      </c>
      <c r="E1857" s="2" t="inlineStr">
        <is>
          <t>Water Bottle</t>
        </is>
      </c>
      <c r="F1857" s="2" t="inlineStr">
        <is>
          <t>Home &amp; Kitchen</t>
        </is>
      </c>
      <c r="G1857" s="2" t="inlineStr">
        <is>
          <t>South</t>
        </is>
      </c>
      <c r="H1857" s="2" t="inlineStr">
        <is>
          <t>Karnataka</t>
        </is>
      </c>
      <c r="I1857" s="2" t="inlineStr">
        <is>
          <t>Mangaluru</t>
        </is>
      </c>
      <c r="J1857" s="2" t="inlineStr">
        <is>
          <t>Store</t>
        </is>
      </c>
      <c r="K1857" s="2" t="n">
        <v>2</v>
      </c>
      <c r="L1857" s="3" t="n">
        <v>1009.91</v>
      </c>
      <c r="M1857" s="4" t="n">
        <v>0.05</v>
      </c>
      <c r="N1857" s="3" t="n">
        <v>1270.36</v>
      </c>
      <c r="O1857" s="3">
        <f>K1857*L1857*(1-M1857)</f>
        <v/>
      </c>
      <c r="P1857" s="3">
        <f>O1857-N1857</f>
        <v/>
      </c>
      <c r="Q1857" s="5">
        <f>IFERROR(P1857/O1857,0)</f>
        <v/>
      </c>
      <c r="R1857" s="2">
        <f>TEXT(DATEVALUE(B1857),"mmm")</f>
        <v/>
      </c>
      <c r="S1857" s="2">
        <f>TEXT(DATEVALUE(B1857),"yyyy-mm")</f>
        <v/>
      </c>
    </row>
    <row r="1858">
      <c r="A1858" s="2" t="inlineStr">
        <is>
          <t>O002274</t>
        </is>
      </c>
      <c r="B1858" s="2" t="inlineStr">
        <is>
          <t>2025-05-16</t>
        </is>
      </c>
      <c r="C1858" s="2" t="inlineStr">
        <is>
          <t>C0780</t>
        </is>
      </c>
      <c r="D1858" s="2" t="inlineStr">
        <is>
          <t>P0018</t>
        </is>
      </c>
      <c r="E1858" s="2" t="inlineStr">
        <is>
          <t>Backpack</t>
        </is>
      </c>
      <c r="F1858" s="2" t="inlineStr">
        <is>
          <t>Fashion</t>
        </is>
      </c>
      <c r="G1858" s="2" t="inlineStr">
        <is>
          <t>West</t>
        </is>
      </c>
      <c r="H1858" s="2" t="inlineStr">
        <is>
          <t>Gujarat</t>
        </is>
      </c>
      <c r="I1858" s="2" t="inlineStr">
        <is>
          <t>Surat</t>
        </is>
      </c>
      <c r="J1858" s="2" t="inlineStr">
        <is>
          <t>Store</t>
        </is>
      </c>
      <c r="K1858" s="2" t="n">
        <v>4</v>
      </c>
      <c r="L1858" s="3" t="n">
        <v>1765.49</v>
      </c>
      <c r="M1858" s="4" t="n">
        <v>0.05</v>
      </c>
      <c r="N1858" s="3" t="n">
        <v>5429.26</v>
      </c>
      <c r="O1858" s="3">
        <f>K1858*L1858*(1-M1858)</f>
        <v/>
      </c>
      <c r="P1858" s="3">
        <f>O1858-N1858</f>
        <v/>
      </c>
      <c r="Q1858" s="5">
        <f>IFERROR(P1858/O1858,0)</f>
        <v/>
      </c>
      <c r="R1858" s="2">
        <f>TEXT(DATEVALUE(B1858),"mmm")</f>
        <v/>
      </c>
      <c r="S1858" s="2">
        <f>TEXT(DATEVALUE(B1858),"yyyy-mm")</f>
        <v/>
      </c>
    </row>
    <row r="1859">
      <c r="A1859" s="2" t="inlineStr">
        <is>
          <t>O002169</t>
        </is>
      </c>
      <c r="B1859" s="2" t="inlineStr">
        <is>
          <t>2025-05-16</t>
        </is>
      </c>
      <c r="C1859" s="2" t="inlineStr">
        <is>
          <t>C0286</t>
        </is>
      </c>
      <c r="D1859" s="2" t="inlineStr">
        <is>
          <t>P0004</t>
        </is>
      </c>
      <c r="E1859" s="2" t="inlineStr">
        <is>
          <t>USB-C Hub</t>
        </is>
      </c>
      <c r="F1859" s="2" t="inlineStr">
        <is>
          <t>Electronics</t>
        </is>
      </c>
      <c r="G1859" s="2" t="inlineStr">
        <is>
          <t>South</t>
        </is>
      </c>
      <c r="H1859" s="2" t="inlineStr">
        <is>
          <t>Telangana</t>
        </is>
      </c>
      <c r="I1859" s="2" t="inlineStr">
        <is>
          <t>Hyderabad</t>
        </is>
      </c>
      <c r="J1859" s="2" t="inlineStr">
        <is>
          <t>Online</t>
        </is>
      </c>
      <c r="K1859" s="2" t="n">
        <v>1</v>
      </c>
      <c r="L1859" s="3" t="n">
        <v>1320.77</v>
      </c>
      <c r="M1859" s="4" t="n">
        <v>0.05</v>
      </c>
      <c r="N1859" s="3" t="n">
        <v>944.77</v>
      </c>
      <c r="O1859" s="3">
        <f>K1859*L1859*(1-M1859)</f>
        <v/>
      </c>
      <c r="P1859" s="3">
        <f>O1859-N1859</f>
        <v/>
      </c>
      <c r="Q1859" s="5">
        <f>IFERROR(P1859/O1859,0)</f>
        <v/>
      </c>
      <c r="R1859" s="2">
        <f>TEXT(DATEVALUE(B1859),"mmm")</f>
        <v/>
      </c>
      <c r="S1859" s="2">
        <f>TEXT(DATEVALUE(B1859),"yyyy-mm")</f>
        <v/>
      </c>
    </row>
    <row r="1860">
      <c r="A1860" s="2" t="inlineStr">
        <is>
          <t>O002063</t>
        </is>
      </c>
      <c r="B1860" s="2" t="inlineStr">
        <is>
          <t>2025-05-16</t>
        </is>
      </c>
      <c r="C1860" s="2" t="inlineStr">
        <is>
          <t>C0644</t>
        </is>
      </c>
      <c r="D1860" s="2" t="inlineStr">
        <is>
          <t>P0021</t>
        </is>
      </c>
      <c r="E1860" s="2" t="inlineStr">
        <is>
          <t>Wallet</t>
        </is>
      </c>
      <c r="F1860" s="2" t="inlineStr">
        <is>
          <t>Fashion</t>
        </is>
      </c>
      <c r="G1860" s="2" t="inlineStr">
        <is>
          <t>South</t>
        </is>
      </c>
      <c r="H1860" s="2" t="inlineStr">
        <is>
          <t>Tamil Nadu</t>
        </is>
      </c>
      <c r="I1860" s="2" t="inlineStr">
        <is>
          <t>Madurai</t>
        </is>
      </c>
      <c r="J1860" s="2" t="inlineStr">
        <is>
          <t>Online</t>
        </is>
      </c>
      <c r="K1860" s="2" t="n">
        <v>1</v>
      </c>
      <c r="L1860" s="3" t="n">
        <v>1935.53</v>
      </c>
      <c r="M1860" s="4" t="n">
        <v>0.05</v>
      </c>
      <c r="N1860" s="3" t="n">
        <v>1242.01</v>
      </c>
      <c r="O1860" s="3">
        <f>K1860*L1860*(1-M1860)</f>
        <v/>
      </c>
      <c r="P1860" s="3">
        <f>O1860-N1860</f>
        <v/>
      </c>
      <c r="Q1860" s="5">
        <f>IFERROR(P1860/O1860,0)</f>
        <v/>
      </c>
      <c r="R1860" s="2">
        <f>TEXT(DATEVALUE(B1860),"mmm")</f>
        <v/>
      </c>
      <c r="S1860" s="2">
        <f>TEXT(DATEVALUE(B1860),"yyyy-mm")</f>
        <v/>
      </c>
    </row>
    <row r="1861">
      <c r="A1861" s="2" t="inlineStr">
        <is>
          <t>O001106</t>
        </is>
      </c>
      <c r="B1861" s="2" t="inlineStr">
        <is>
          <t>2025-05-16</t>
        </is>
      </c>
      <c r="C1861" s="2" t="inlineStr">
        <is>
          <t>C0379</t>
        </is>
      </c>
      <c r="D1861" s="2" t="inlineStr">
        <is>
          <t>P0014</t>
        </is>
      </c>
      <c r="E1861" s="2" t="inlineStr">
        <is>
          <t>Coffee Maker</t>
        </is>
      </c>
      <c r="F1861" s="2" t="inlineStr">
        <is>
          <t>Home &amp; Kitchen</t>
        </is>
      </c>
      <c r="G1861" s="2" t="inlineStr">
        <is>
          <t>West</t>
        </is>
      </c>
      <c r="H1861" s="2" t="inlineStr">
        <is>
          <t>Gujarat</t>
        </is>
      </c>
      <c r="I1861" s="2" t="inlineStr">
        <is>
          <t>Vadodara</t>
        </is>
      </c>
      <c r="J1861" s="2" t="inlineStr">
        <is>
          <t>Online</t>
        </is>
      </c>
      <c r="K1861" s="2" t="n">
        <v>1</v>
      </c>
      <c r="L1861" s="3" t="n">
        <v>1004.91</v>
      </c>
      <c r="M1861" s="4" t="n">
        <v>0.15</v>
      </c>
      <c r="N1861" s="3" t="n">
        <v>745.25</v>
      </c>
      <c r="O1861" s="3">
        <f>K1861*L1861*(1-M1861)</f>
        <v/>
      </c>
      <c r="P1861" s="3">
        <f>O1861-N1861</f>
        <v/>
      </c>
      <c r="Q1861" s="5">
        <f>IFERROR(P1861/O1861,0)</f>
        <v/>
      </c>
      <c r="R1861" s="2">
        <f>TEXT(DATEVALUE(B1861),"mmm")</f>
        <v/>
      </c>
      <c r="S1861" s="2">
        <f>TEXT(DATEVALUE(B1861),"yyyy-mm")</f>
        <v/>
      </c>
    </row>
    <row r="1862">
      <c r="A1862" s="2" t="inlineStr">
        <is>
          <t>O000693</t>
        </is>
      </c>
      <c r="B1862" s="2" t="inlineStr">
        <is>
          <t>2025-05-16</t>
        </is>
      </c>
      <c r="C1862" s="2" t="inlineStr">
        <is>
          <t>C0563</t>
        </is>
      </c>
      <c r="D1862" s="2" t="inlineStr">
        <is>
          <t>P0012</t>
        </is>
      </c>
      <c r="E1862" s="2" t="inlineStr">
        <is>
          <t>Water Bottle</t>
        </is>
      </c>
      <c r="F1862" s="2" t="inlineStr">
        <is>
          <t>Home &amp; Kitchen</t>
        </is>
      </c>
      <c r="G1862" s="2" t="inlineStr">
        <is>
          <t>West</t>
        </is>
      </c>
      <c r="H1862" s="2" t="inlineStr">
        <is>
          <t>Gujarat</t>
        </is>
      </c>
      <c r="I1862" s="2" t="inlineStr">
        <is>
          <t>Surat</t>
        </is>
      </c>
      <c r="J1862" s="2" t="inlineStr">
        <is>
          <t>Store</t>
        </is>
      </c>
      <c r="K1862" s="2" t="n">
        <v>3</v>
      </c>
      <c r="L1862" s="3" t="n">
        <v>985.47</v>
      </c>
      <c r="M1862" s="4" t="n">
        <v>0.05</v>
      </c>
      <c r="N1862" s="3" t="n">
        <v>1838.8</v>
      </c>
      <c r="O1862" s="3">
        <f>K1862*L1862*(1-M1862)</f>
        <v/>
      </c>
      <c r="P1862" s="3">
        <f>O1862-N1862</f>
        <v/>
      </c>
      <c r="Q1862" s="5">
        <f>IFERROR(P1862/O1862,0)</f>
        <v/>
      </c>
      <c r="R1862" s="2">
        <f>TEXT(DATEVALUE(B1862),"mmm")</f>
        <v/>
      </c>
      <c r="S1862" s="2">
        <f>TEXT(DATEVALUE(B1862),"yyyy-mm")</f>
        <v/>
      </c>
    </row>
    <row r="1863">
      <c r="A1863" s="2" t="inlineStr">
        <is>
          <t>O000101</t>
        </is>
      </c>
      <c r="B1863" s="2" t="inlineStr">
        <is>
          <t>2025-05-16</t>
        </is>
      </c>
      <c r="C1863" s="2" t="inlineStr">
        <is>
          <t>C0728</t>
        </is>
      </c>
      <c r="D1863" s="2" t="inlineStr">
        <is>
          <t>P0021</t>
        </is>
      </c>
      <c r="E1863" s="2" t="inlineStr">
        <is>
          <t>Wallet</t>
        </is>
      </c>
      <c r="F1863" s="2" t="inlineStr">
        <is>
          <t>Fashion</t>
        </is>
      </c>
      <c r="G1863" s="2" t="inlineStr">
        <is>
          <t>West</t>
        </is>
      </c>
      <c r="H1863" s="2" t="inlineStr">
        <is>
          <t>Goa</t>
        </is>
      </c>
      <c r="I1863" s="2" t="inlineStr">
        <is>
          <t>Panaji</t>
        </is>
      </c>
      <c r="J1863" s="2" t="inlineStr">
        <is>
          <t>Online</t>
        </is>
      </c>
      <c r="K1863" s="2" t="n">
        <v>1</v>
      </c>
      <c r="L1863" s="3" t="n">
        <v>1999.75</v>
      </c>
      <c r="M1863" s="4" t="n">
        <v>0.1</v>
      </c>
      <c r="N1863" s="3" t="n">
        <v>1189.56</v>
      </c>
      <c r="O1863" s="3">
        <f>K1863*L1863*(1-M1863)</f>
        <v/>
      </c>
      <c r="P1863" s="3">
        <f>O1863-N1863</f>
        <v/>
      </c>
      <c r="Q1863" s="5">
        <f>IFERROR(P1863/O1863,0)</f>
        <v/>
      </c>
      <c r="R1863" s="2">
        <f>TEXT(DATEVALUE(B1863),"mmm")</f>
        <v/>
      </c>
      <c r="S1863" s="2">
        <f>TEXT(DATEVALUE(B1863),"yyyy-mm")</f>
        <v/>
      </c>
    </row>
    <row r="1864">
      <c r="A1864" s="2" t="inlineStr">
        <is>
          <t>O002321</t>
        </is>
      </c>
      <c r="B1864" s="2" t="inlineStr">
        <is>
          <t>2025-05-16</t>
        </is>
      </c>
      <c r="C1864" s="2" t="inlineStr">
        <is>
          <t>C0672</t>
        </is>
      </c>
      <c r="D1864" s="2" t="inlineStr">
        <is>
          <t>P0031</t>
        </is>
      </c>
      <c r="E1864" s="2" t="inlineStr">
        <is>
          <t>Cricket Bat</t>
        </is>
      </c>
      <c r="F1864" s="2" t="inlineStr">
        <is>
          <t>Sports</t>
        </is>
      </c>
      <c r="G1864" s="2" t="inlineStr">
        <is>
          <t>West</t>
        </is>
      </c>
      <c r="H1864" s="2" t="inlineStr">
        <is>
          <t>Gujarat</t>
        </is>
      </c>
      <c r="I1864" s="2" t="inlineStr">
        <is>
          <t>Vadodara</t>
        </is>
      </c>
      <c r="J1864" s="2" t="inlineStr">
        <is>
          <t>Online</t>
        </is>
      </c>
      <c r="K1864" s="2" t="n">
        <v>3</v>
      </c>
      <c r="L1864" s="3" t="n">
        <v>1351.25</v>
      </c>
      <c r="M1864" s="4" t="n">
        <v>0.15</v>
      </c>
      <c r="N1864" s="3" t="n">
        <v>2922.28</v>
      </c>
      <c r="O1864" s="3">
        <f>K1864*L1864*(1-M1864)</f>
        <v/>
      </c>
      <c r="P1864" s="3">
        <f>O1864-N1864</f>
        <v/>
      </c>
      <c r="Q1864" s="5">
        <f>IFERROR(P1864/O1864,0)</f>
        <v/>
      </c>
      <c r="R1864" s="2">
        <f>TEXT(DATEVALUE(B1864),"mmm")</f>
        <v/>
      </c>
      <c r="S1864" s="2">
        <f>TEXT(DATEVALUE(B1864),"yyyy-mm")</f>
        <v/>
      </c>
    </row>
    <row r="1865">
      <c r="A1865" s="2" t="inlineStr">
        <is>
          <t>O003755</t>
        </is>
      </c>
      <c r="B1865" s="2" t="inlineStr">
        <is>
          <t>2025-05-17</t>
        </is>
      </c>
      <c r="C1865" s="2" t="inlineStr">
        <is>
          <t>C0595</t>
        </is>
      </c>
      <c r="D1865" s="2" t="inlineStr">
        <is>
          <t>P0004</t>
        </is>
      </c>
      <c r="E1865" s="2" t="inlineStr">
        <is>
          <t>USB-C Hub</t>
        </is>
      </c>
      <c r="F1865" s="2" t="inlineStr">
        <is>
          <t>Electronics</t>
        </is>
      </c>
      <c r="G1865" s="2" t="inlineStr">
        <is>
          <t>South</t>
        </is>
      </c>
      <c r="H1865" s="2" t="inlineStr">
        <is>
          <t>Karnataka</t>
        </is>
      </c>
      <c r="I1865" s="2" t="inlineStr">
        <is>
          <t>Mangaluru</t>
        </is>
      </c>
      <c r="J1865" s="2" t="inlineStr">
        <is>
          <t>Store</t>
        </is>
      </c>
      <c r="K1865" s="2" t="n">
        <v>2</v>
      </c>
      <c r="L1865" s="3" t="n">
        <v>1288.03</v>
      </c>
      <c r="M1865" s="4" t="n">
        <v>0.1</v>
      </c>
      <c r="N1865" s="3" t="n">
        <v>1903.27</v>
      </c>
      <c r="O1865" s="3">
        <f>K1865*L1865*(1-M1865)</f>
        <v/>
      </c>
      <c r="P1865" s="3">
        <f>O1865-N1865</f>
        <v/>
      </c>
      <c r="Q1865" s="5">
        <f>IFERROR(P1865/O1865,0)</f>
        <v/>
      </c>
      <c r="R1865" s="2">
        <f>TEXT(DATEVALUE(B1865),"mmm")</f>
        <v/>
      </c>
      <c r="S1865" s="2">
        <f>TEXT(DATEVALUE(B1865),"yyyy-mm")</f>
        <v/>
      </c>
    </row>
    <row r="1866">
      <c r="A1866" s="2" t="inlineStr">
        <is>
          <t>O003995</t>
        </is>
      </c>
      <c r="B1866" s="2" t="inlineStr">
        <is>
          <t>2025-05-17</t>
        </is>
      </c>
      <c r="C1866" s="2" t="inlineStr">
        <is>
          <t>C0199</t>
        </is>
      </c>
      <c r="D1866" s="2" t="inlineStr">
        <is>
          <t>P0014</t>
        </is>
      </c>
      <c r="E1866" s="2" t="inlineStr">
        <is>
          <t>Coffee Maker</t>
        </is>
      </c>
      <c r="F1866" s="2" t="inlineStr">
        <is>
          <t>Home &amp; Kitchen</t>
        </is>
      </c>
      <c r="G1866" s="2" t="inlineStr">
        <is>
          <t>North</t>
        </is>
      </c>
      <c r="H1866" s="2" t="inlineStr">
        <is>
          <t>Punjab</t>
        </is>
      </c>
      <c r="I1866" s="2" t="inlineStr">
        <is>
          <t>Jalandhar</t>
        </is>
      </c>
      <c r="J1866" s="2" t="inlineStr">
        <is>
          <t>Online</t>
        </is>
      </c>
      <c r="K1866" s="2" t="n">
        <v>2</v>
      </c>
      <c r="L1866" s="3" t="n">
        <v>1019.73</v>
      </c>
      <c r="M1866" s="4" t="n">
        <v>0.25</v>
      </c>
      <c r="N1866" s="3" t="n">
        <v>1525.46</v>
      </c>
      <c r="O1866" s="3">
        <f>K1866*L1866*(1-M1866)</f>
        <v/>
      </c>
      <c r="P1866" s="3">
        <f>O1866-N1866</f>
        <v/>
      </c>
      <c r="Q1866" s="5">
        <f>IFERROR(P1866/O1866,0)</f>
        <v/>
      </c>
      <c r="R1866" s="2">
        <f>TEXT(DATEVALUE(B1866),"mmm")</f>
        <v/>
      </c>
      <c r="S1866" s="2">
        <f>TEXT(DATEVALUE(B1866),"yyyy-mm")</f>
        <v/>
      </c>
    </row>
    <row r="1867">
      <c r="A1867" s="2" t="inlineStr">
        <is>
          <t>O003701</t>
        </is>
      </c>
      <c r="B1867" s="2" t="inlineStr">
        <is>
          <t>2025-05-17</t>
        </is>
      </c>
      <c r="C1867" s="2" t="inlineStr">
        <is>
          <t>C0049</t>
        </is>
      </c>
      <c r="D1867" s="2" t="inlineStr">
        <is>
          <t>P0014</t>
        </is>
      </c>
      <c r="E1867" s="2" t="inlineStr">
        <is>
          <t>Coffee Maker</t>
        </is>
      </c>
      <c r="F1867" s="2" t="inlineStr">
        <is>
          <t>Home &amp; Kitchen</t>
        </is>
      </c>
      <c r="G1867" s="2" t="inlineStr">
        <is>
          <t>West</t>
        </is>
      </c>
      <c r="H1867" s="2" t="inlineStr">
        <is>
          <t>Maharashtra</t>
        </is>
      </c>
      <c r="I1867" s="2" t="inlineStr">
        <is>
          <t>Mumbai</t>
        </is>
      </c>
      <c r="J1867" s="2" t="inlineStr">
        <is>
          <t>Online</t>
        </is>
      </c>
      <c r="K1867" s="2" t="n">
        <v>4</v>
      </c>
      <c r="L1867" s="3" t="n">
        <v>1066.08</v>
      </c>
      <c r="M1867" s="4" t="n">
        <v>0.25</v>
      </c>
      <c r="N1867" s="3" t="n">
        <v>2950.2</v>
      </c>
      <c r="O1867" s="3">
        <f>K1867*L1867*(1-M1867)</f>
        <v/>
      </c>
      <c r="P1867" s="3">
        <f>O1867-N1867</f>
        <v/>
      </c>
      <c r="Q1867" s="5">
        <f>IFERROR(P1867/O1867,0)</f>
        <v/>
      </c>
      <c r="R1867" s="2">
        <f>TEXT(DATEVALUE(B1867),"mmm")</f>
        <v/>
      </c>
      <c r="S1867" s="2">
        <f>TEXT(DATEVALUE(B1867),"yyyy-mm")</f>
        <v/>
      </c>
    </row>
    <row r="1868">
      <c r="A1868" s="2" t="inlineStr">
        <is>
          <t>O004537</t>
        </is>
      </c>
      <c r="B1868" s="2" t="inlineStr">
        <is>
          <t>2025-05-17</t>
        </is>
      </c>
      <c r="C1868" s="2" t="inlineStr">
        <is>
          <t>C0705</t>
        </is>
      </c>
      <c r="D1868" s="2" t="inlineStr">
        <is>
          <t>P0004</t>
        </is>
      </c>
      <c r="E1868" s="2" t="inlineStr">
        <is>
          <t>USB-C Hub</t>
        </is>
      </c>
      <c r="F1868" s="2" t="inlineStr">
        <is>
          <t>Electronics</t>
        </is>
      </c>
      <c r="G1868" s="2" t="inlineStr">
        <is>
          <t>West</t>
        </is>
      </c>
      <c r="H1868" s="2" t="inlineStr">
        <is>
          <t>Maharashtra</t>
        </is>
      </c>
      <c r="I1868" s="2" t="inlineStr">
        <is>
          <t>Pune</t>
        </is>
      </c>
      <c r="J1868" s="2" t="inlineStr">
        <is>
          <t>Online</t>
        </is>
      </c>
      <c r="K1868" s="2" t="n">
        <v>2</v>
      </c>
      <c r="L1868" s="3" t="n">
        <v>1299.98</v>
      </c>
      <c r="M1868" s="4" t="n">
        <v>0.05</v>
      </c>
      <c r="N1868" s="3" t="n">
        <v>1852.8</v>
      </c>
      <c r="O1868" s="3">
        <f>K1868*L1868*(1-M1868)</f>
        <v/>
      </c>
      <c r="P1868" s="3">
        <f>O1868-N1868</f>
        <v/>
      </c>
      <c r="Q1868" s="5">
        <f>IFERROR(P1868/O1868,0)</f>
        <v/>
      </c>
      <c r="R1868" s="2">
        <f>TEXT(DATEVALUE(B1868),"mmm")</f>
        <v/>
      </c>
      <c r="S1868" s="2">
        <f>TEXT(DATEVALUE(B1868),"yyyy-mm")</f>
        <v/>
      </c>
    </row>
    <row r="1869">
      <c r="A1869" s="2" t="inlineStr">
        <is>
          <t>O004590</t>
        </is>
      </c>
      <c r="B1869" s="2" t="inlineStr">
        <is>
          <t>2025-05-17</t>
        </is>
      </c>
      <c r="C1869" s="2" t="inlineStr">
        <is>
          <t>C0621</t>
        </is>
      </c>
      <c r="D1869" s="2" t="inlineStr">
        <is>
          <t>P0017</t>
        </is>
      </c>
      <c r="E1869" s="2" t="inlineStr">
        <is>
          <t>Jeans</t>
        </is>
      </c>
      <c r="F1869" s="2" t="inlineStr">
        <is>
          <t>Fashion</t>
        </is>
      </c>
      <c r="G1869" s="2" t="inlineStr">
        <is>
          <t>East</t>
        </is>
      </c>
      <c r="H1869" s="2" t="inlineStr">
        <is>
          <t>Odisha</t>
        </is>
      </c>
      <c r="I1869" s="2" t="inlineStr">
        <is>
          <t>Bhubaneswar</t>
        </is>
      </c>
      <c r="J1869" s="2" t="inlineStr">
        <is>
          <t>Online</t>
        </is>
      </c>
      <c r="K1869" s="2" t="n">
        <v>1</v>
      </c>
      <c r="L1869" s="3" t="n">
        <v>1430.47</v>
      </c>
      <c r="M1869" s="4" t="n">
        <v>0.15</v>
      </c>
      <c r="N1869" s="3" t="n">
        <v>1023.83</v>
      </c>
      <c r="O1869" s="3">
        <f>K1869*L1869*(1-M1869)</f>
        <v/>
      </c>
      <c r="P1869" s="3">
        <f>O1869-N1869</f>
        <v/>
      </c>
      <c r="Q1869" s="5">
        <f>IFERROR(P1869/O1869,0)</f>
        <v/>
      </c>
      <c r="R1869" s="2">
        <f>TEXT(DATEVALUE(B1869),"mmm")</f>
        <v/>
      </c>
      <c r="S1869" s="2">
        <f>TEXT(DATEVALUE(B1869),"yyyy-mm")</f>
        <v/>
      </c>
    </row>
    <row r="1870">
      <c r="A1870" s="2" t="inlineStr">
        <is>
          <t>O004452</t>
        </is>
      </c>
      <c r="B1870" s="2" t="inlineStr">
        <is>
          <t>2025-05-17</t>
        </is>
      </c>
      <c r="C1870" s="2" t="inlineStr">
        <is>
          <t>C0521</t>
        </is>
      </c>
      <c r="D1870" s="2" t="inlineStr">
        <is>
          <t>P0007</t>
        </is>
      </c>
      <c r="E1870" s="2" t="inlineStr">
        <is>
          <t>Wireless Mouse</t>
        </is>
      </c>
      <c r="F1870" s="2" t="inlineStr">
        <is>
          <t>Electronics</t>
        </is>
      </c>
      <c r="G1870" s="2" t="inlineStr">
        <is>
          <t>West</t>
        </is>
      </c>
      <c r="H1870" s="2" t="inlineStr">
        <is>
          <t>Maharashtra</t>
        </is>
      </c>
      <c r="I1870" s="2" t="inlineStr">
        <is>
          <t>Mumbai</t>
        </is>
      </c>
      <c r="J1870" s="2" t="inlineStr">
        <is>
          <t>Online</t>
        </is>
      </c>
      <c r="K1870" s="2" t="n">
        <v>5</v>
      </c>
      <c r="L1870" s="3" t="n">
        <v>1011.69</v>
      </c>
      <c r="M1870" s="4" t="n">
        <v>0.25</v>
      </c>
      <c r="N1870" s="3" t="n">
        <v>3157.94</v>
      </c>
      <c r="O1870" s="3">
        <f>K1870*L1870*(1-M1870)</f>
        <v/>
      </c>
      <c r="P1870" s="3">
        <f>O1870-N1870</f>
        <v/>
      </c>
      <c r="Q1870" s="5">
        <f>IFERROR(P1870/O1870,0)</f>
        <v/>
      </c>
      <c r="R1870" s="2">
        <f>TEXT(DATEVALUE(B1870),"mmm")</f>
        <v/>
      </c>
      <c r="S1870" s="2">
        <f>TEXT(DATEVALUE(B1870),"yyyy-mm")</f>
        <v/>
      </c>
    </row>
    <row r="1871">
      <c r="A1871" s="2" t="inlineStr">
        <is>
          <t>O002999</t>
        </is>
      </c>
      <c r="B1871" s="2" t="inlineStr">
        <is>
          <t>2025-05-17</t>
        </is>
      </c>
      <c r="C1871" s="2" t="inlineStr">
        <is>
          <t>C0513</t>
        </is>
      </c>
      <c r="D1871" s="2" t="inlineStr">
        <is>
          <t>P0009</t>
        </is>
      </c>
      <c r="E1871" s="2" t="inlineStr">
        <is>
          <t>Electric Kettle</t>
        </is>
      </c>
      <c r="F1871" s="2" t="inlineStr">
        <is>
          <t>Home &amp; Kitchen</t>
        </is>
      </c>
      <c r="G1871" s="2" t="inlineStr">
        <is>
          <t>West</t>
        </is>
      </c>
      <c r="H1871" s="2" t="inlineStr">
        <is>
          <t>Gujarat</t>
        </is>
      </c>
      <c r="I1871" s="2" t="inlineStr">
        <is>
          <t>Ahmedabad</t>
        </is>
      </c>
      <c r="J1871" s="2" t="inlineStr">
        <is>
          <t>Store</t>
        </is>
      </c>
      <c r="K1871" s="2" t="n">
        <v>2</v>
      </c>
      <c r="L1871" s="3" t="n">
        <v>2112.37</v>
      </c>
      <c r="M1871" s="4" t="n">
        <v>0.05</v>
      </c>
      <c r="N1871" s="3" t="n">
        <v>2273.24</v>
      </c>
      <c r="O1871" s="3">
        <f>K1871*L1871*(1-M1871)</f>
        <v/>
      </c>
      <c r="P1871" s="3">
        <f>O1871-N1871</f>
        <v/>
      </c>
      <c r="Q1871" s="5">
        <f>IFERROR(P1871/O1871,0)</f>
        <v/>
      </c>
      <c r="R1871" s="2">
        <f>TEXT(DATEVALUE(B1871),"mmm")</f>
        <v/>
      </c>
      <c r="S1871" s="2">
        <f>TEXT(DATEVALUE(B1871),"yyyy-mm")</f>
        <v/>
      </c>
    </row>
    <row r="1872">
      <c r="A1872" s="2" t="inlineStr">
        <is>
          <t>O004375</t>
        </is>
      </c>
      <c r="B1872" s="2" t="inlineStr">
        <is>
          <t>2025-05-17</t>
        </is>
      </c>
      <c r="C1872" s="2" t="inlineStr">
        <is>
          <t>C0411</t>
        </is>
      </c>
      <c r="D1872" s="2" t="inlineStr">
        <is>
          <t>P0016</t>
        </is>
      </c>
      <c r="E1872" s="2" t="inlineStr">
        <is>
          <t>Casual Shirt</t>
        </is>
      </c>
      <c r="F1872" s="2" t="inlineStr">
        <is>
          <t>Fashion</t>
        </is>
      </c>
      <c r="G1872" s="2" t="inlineStr">
        <is>
          <t>South</t>
        </is>
      </c>
      <c r="H1872" s="2" t="inlineStr">
        <is>
          <t>Tamil Nadu</t>
        </is>
      </c>
      <c r="I1872" s="2" t="inlineStr">
        <is>
          <t>Madurai</t>
        </is>
      </c>
      <c r="J1872" s="2" t="inlineStr">
        <is>
          <t>Store</t>
        </is>
      </c>
      <c r="K1872" s="2" t="n">
        <v>1</v>
      </c>
      <c r="L1872" s="3" t="n">
        <v>1228.88</v>
      </c>
      <c r="M1872" s="4" t="n">
        <v>0.15</v>
      </c>
      <c r="N1872" s="3" t="n">
        <v>922.89</v>
      </c>
      <c r="O1872" s="3">
        <f>K1872*L1872*(1-M1872)</f>
        <v/>
      </c>
      <c r="P1872" s="3">
        <f>O1872-N1872</f>
        <v/>
      </c>
      <c r="Q1872" s="5">
        <f>IFERROR(P1872/O1872,0)</f>
        <v/>
      </c>
      <c r="R1872" s="2">
        <f>TEXT(DATEVALUE(B1872),"mmm")</f>
        <v/>
      </c>
      <c r="S1872" s="2">
        <f>TEXT(DATEVALUE(B1872),"yyyy-mm")</f>
        <v/>
      </c>
    </row>
    <row r="1873">
      <c r="A1873" s="2" t="inlineStr">
        <is>
          <t>O001593</t>
        </is>
      </c>
      <c r="B1873" s="2" t="inlineStr">
        <is>
          <t>2025-05-17</t>
        </is>
      </c>
      <c r="C1873" s="2" t="inlineStr">
        <is>
          <t>C0747</t>
        </is>
      </c>
      <c r="D1873" s="2" t="inlineStr">
        <is>
          <t>P0002</t>
        </is>
      </c>
      <c r="E1873" s="2" t="inlineStr">
        <is>
          <t>Bluetooth Speaker</t>
        </is>
      </c>
      <c r="F1873" s="2" t="inlineStr">
        <is>
          <t>Electronics</t>
        </is>
      </c>
      <c r="G1873" s="2" t="inlineStr">
        <is>
          <t>South</t>
        </is>
      </c>
      <c r="H1873" s="2" t="inlineStr">
        <is>
          <t>Kerala</t>
        </is>
      </c>
      <c r="I1873" s="2" t="inlineStr">
        <is>
          <t>Kochi</t>
        </is>
      </c>
      <c r="J1873" s="2" t="inlineStr">
        <is>
          <t>Online</t>
        </is>
      </c>
      <c r="K1873" s="2" t="n">
        <v>2</v>
      </c>
      <c r="L1873" s="3" t="n">
        <v>1334.85</v>
      </c>
      <c r="M1873" s="4" t="n">
        <v>0.05</v>
      </c>
      <c r="N1873" s="3" t="n">
        <v>1623.58</v>
      </c>
      <c r="O1873" s="3">
        <f>K1873*L1873*(1-M1873)</f>
        <v/>
      </c>
      <c r="P1873" s="3">
        <f>O1873-N1873</f>
        <v/>
      </c>
      <c r="Q1873" s="5">
        <f>IFERROR(P1873/O1873,0)</f>
        <v/>
      </c>
      <c r="R1873" s="2">
        <f>TEXT(DATEVALUE(B1873),"mmm")</f>
        <v/>
      </c>
      <c r="S1873" s="2">
        <f>TEXT(DATEVALUE(B1873),"yyyy-mm")</f>
        <v/>
      </c>
    </row>
    <row r="1874">
      <c r="A1874" s="2" t="inlineStr">
        <is>
          <t>O001464</t>
        </is>
      </c>
      <c r="B1874" s="2" t="inlineStr">
        <is>
          <t>2025-05-17</t>
        </is>
      </c>
      <c r="C1874" s="2" t="inlineStr">
        <is>
          <t>C0775</t>
        </is>
      </c>
      <c r="D1874" s="2" t="inlineStr">
        <is>
          <t>P0032</t>
        </is>
      </c>
      <c r="E1874" s="2" t="inlineStr">
        <is>
          <t>Football</t>
        </is>
      </c>
      <c r="F1874" s="2" t="inlineStr">
        <is>
          <t>Sports</t>
        </is>
      </c>
      <c r="G1874" s="2" t="inlineStr">
        <is>
          <t>West</t>
        </is>
      </c>
      <c r="H1874" s="2" t="inlineStr">
        <is>
          <t>Gujarat</t>
        </is>
      </c>
      <c r="I1874" s="2" t="inlineStr">
        <is>
          <t>Vadodara</t>
        </is>
      </c>
      <c r="J1874" s="2" t="inlineStr">
        <is>
          <t>Online</t>
        </is>
      </c>
      <c r="K1874" s="2" t="n">
        <v>2</v>
      </c>
      <c r="L1874" s="3" t="n">
        <v>779.99</v>
      </c>
      <c r="M1874" s="4" t="n">
        <v>0.15</v>
      </c>
      <c r="N1874" s="3" t="n">
        <v>1070.04</v>
      </c>
      <c r="O1874" s="3">
        <f>K1874*L1874*(1-M1874)</f>
        <v/>
      </c>
      <c r="P1874" s="3">
        <f>O1874-N1874</f>
        <v/>
      </c>
      <c r="Q1874" s="5">
        <f>IFERROR(P1874/O1874,0)</f>
        <v/>
      </c>
      <c r="R1874" s="2">
        <f>TEXT(DATEVALUE(B1874),"mmm")</f>
        <v/>
      </c>
      <c r="S1874" s="2">
        <f>TEXT(DATEVALUE(B1874),"yyyy-mm")</f>
        <v/>
      </c>
    </row>
    <row r="1875">
      <c r="A1875" s="2" t="inlineStr">
        <is>
          <t>O001170</t>
        </is>
      </c>
      <c r="B1875" s="2" t="inlineStr">
        <is>
          <t>2025-05-17</t>
        </is>
      </c>
      <c r="C1875" s="2" t="inlineStr">
        <is>
          <t>C0388</t>
        </is>
      </c>
      <c r="D1875" s="2" t="inlineStr">
        <is>
          <t>P0031</t>
        </is>
      </c>
      <c r="E1875" s="2" t="inlineStr">
        <is>
          <t>Cricket Bat</t>
        </is>
      </c>
      <c r="F1875" s="2" t="inlineStr">
        <is>
          <t>Sports</t>
        </is>
      </c>
      <c r="G1875" s="2" t="inlineStr">
        <is>
          <t>South</t>
        </is>
      </c>
      <c r="H1875" s="2" t="inlineStr">
        <is>
          <t>Tamil Nadu</t>
        </is>
      </c>
      <c r="I1875" s="2" t="inlineStr">
        <is>
          <t>Coimbatore</t>
        </is>
      </c>
      <c r="J1875" s="2" t="inlineStr">
        <is>
          <t>Online</t>
        </is>
      </c>
      <c r="K1875" s="2" t="n">
        <v>1</v>
      </c>
      <c r="L1875" s="3" t="n">
        <v>1364.84</v>
      </c>
      <c r="M1875" s="4" t="n">
        <v>0.05</v>
      </c>
      <c r="N1875" s="3" t="n">
        <v>954.79</v>
      </c>
      <c r="O1875" s="3">
        <f>K1875*L1875*(1-M1875)</f>
        <v/>
      </c>
      <c r="P1875" s="3">
        <f>O1875-N1875</f>
        <v/>
      </c>
      <c r="Q1875" s="5">
        <f>IFERROR(P1875/O1875,0)</f>
        <v/>
      </c>
      <c r="R1875" s="2">
        <f>TEXT(DATEVALUE(B1875),"mmm")</f>
        <v/>
      </c>
      <c r="S1875" s="2">
        <f>TEXT(DATEVALUE(B1875),"yyyy-mm")</f>
        <v/>
      </c>
    </row>
    <row r="1876">
      <c r="A1876" s="2" t="inlineStr">
        <is>
          <t>O002786</t>
        </is>
      </c>
      <c r="B1876" s="2" t="inlineStr">
        <is>
          <t>2025-05-17</t>
        </is>
      </c>
      <c r="C1876" s="2" t="inlineStr">
        <is>
          <t>C0504</t>
        </is>
      </c>
      <c r="D1876" s="2" t="inlineStr">
        <is>
          <t>P0032</t>
        </is>
      </c>
      <c r="E1876" s="2" t="inlineStr">
        <is>
          <t>Football</t>
        </is>
      </c>
      <c r="F1876" s="2" t="inlineStr">
        <is>
          <t>Sports</t>
        </is>
      </c>
      <c r="G1876" s="2" t="inlineStr">
        <is>
          <t>South</t>
        </is>
      </c>
      <c r="H1876" s="2" t="inlineStr">
        <is>
          <t>Kerala</t>
        </is>
      </c>
      <c r="I1876" s="2" t="inlineStr">
        <is>
          <t>Kochi</t>
        </is>
      </c>
      <c r="J1876" s="2" t="inlineStr">
        <is>
          <t>Store</t>
        </is>
      </c>
      <c r="K1876" s="2" t="n">
        <v>1</v>
      </c>
      <c r="L1876" s="3" t="n">
        <v>824.22</v>
      </c>
      <c r="M1876" s="4" t="n">
        <v>0</v>
      </c>
      <c r="N1876" s="3" t="n">
        <v>531.6900000000001</v>
      </c>
      <c r="O1876" s="3">
        <f>K1876*L1876*(1-M1876)</f>
        <v/>
      </c>
      <c r="P1876" s="3">
        <f>O1876-N1876</f>
        <v/>
      </c>
      <c r="Q1876" s="5">
        <f>IFERROR(P1876/O1876,0)</f>
        <v/>
      </c>
      <c r="R1876" s="2">
        <f>TEXT(DATEVALUE(B1876),"mmm")</f>
        <v/>
      </c>
      <c r="S1876" s="2">
        <f>TEXT(DATEVALUE(B1876),"yyyy-mm")</f>
        <v/>
      </c>
    </row>
    <row r="1877">
      <c r="A1877" s="2" t="inlineStr">
        <is>
          <t>O001026</t>
        </is>
      </c>
      <c r="B1877" s="2" t="inlineStr">
        <is>
          <t>2025-05-17</t>
        </is>
      </c>
      <c r="C1877" s="2" t="inlineStr">
        <is>
          <t>C0375</t>
        </is>
      </c>
      <c r="D1877" s="2" t="inlineStr">
        <is>
          <t>P0029</t>
        </is>
      </c>
      <c r="E1877" s="2" t="inlineStr">
        <is>
          <t>Yoga Mat</t>
        </is>
      </c>
      <c r="F1877" s="2" t="inlineStr">
        <is>
          <t>Sports</t>
        </is>
      </c>
      <c r="G1877" s="2" t="inlineStr">
        <is>
          <t>South</t>
        </is>
      </c>
      <c r="H1877" s="2" t="inlineStr">
        <is>
          <t>Kerala</t>
        </is>
      </c>
      <c r="I1877" s="2" t="inlineStr">
        <is>
          <t>Thiruvananthapuram</t>
        </is>
      </c>
      <c r="J1877" s="2" t="inlineStr">
        <is>
          <t>Store</t>
        </is>
      </c>
      <c r="K1877" s="2" t="n">
        <v>6</v>
      </c>
      <c r="L1877" s="3" t="n">
        <v>2380.93</v>
      </c>
      <c r="M1877" s="4" t="n">
        <v>0.1</v>
      </c>
      <c r="N1877" s="3" t="n">
        <v>7944.63</v>
      </c>
      <c r="O1877" s="3">
        <f>K1877*L1877*(1-M1877)</f>
        <v/>
      </c>
      <c r="P1877" s="3">
        <f>O1877-N1877</f>
        <v/>
      </c>
      <c r="Q1877" s="5">
        <f>IFERROR(P1877/O1877,0)</f>
        <v/>
      </c>
      <c r="R1877" s="2">
        <f>TEXT(DATEVALUE(B1877),"mmm")</f>
        <v/>
      </c>
      <c r="S1877" s="2">
        <f>TEXT(DATEVALUE(B1877),"yyyy-mm")</f>
        <v/>
      </c>
    </row>
    <row r="1878">
      <c r="A1878" s="2" t="inlineStr">
        <is>
          <t>O000957</t>
        </is>
      </c>
      <c r="B1878" s="2" t="inlineStr">
        <is>
          <t>2025-05-17</t>
        </is>
      </c>
      <c r="C1878" s="2" t="inlineStr">
        <is>
          <t>C0471</t>
        </is>
      </c>
      <c r="D1878" s="2" t="inlineStr">
        <is>
          <t>P0031</t>
        </is>
      </c>
      <c r="E1878" s="2" t="inlineStr">
        <is>
          <t>Cricket Bat</t>
        </is>
      </c>
      <c r="F1878" s="2" t="inlineStr">
        <is>
          <t>Sports</t>
        </is>
      </c>
      <c r="G1878" s="2" t="inlineStr">
        <is>
          <t>West</t>
        </is>
      </c>
      <c r="H1878" s="2" t="inlineStr">
        <is>
          <t>Maharashtra</t>
        </is>
      </c>
      <c r="I1878" s="2" t="inlineStr">
        <is>
          <t>Nagpur</t>
        </is>
      </c>
      <c r="J1878" s="2" t="inlineStr">
        <is>
          <t>Store</t>
        </is>
      </c>
      <c r="K1878" s="2" t="n">
        <v>6</v>
      </c>
      <c r="L1878" s="3" t="n">
        <v>1343.96</v>
      </c>
      <c r="M1878" s="4" t="n">
        <v>0.15</v>
      </c>
      <c r="N1878" s="3" t="n">
        <v>5798.57</v>
      </c>
      <c r="O1878" s="3">
        <f>K1878*L1878*(1-M1878)</f>
        <v/>
      </c>
      <c r="P1878" s="3">
        <f>O1878-N1878</f>
        <v/>
      </c>
      <c r="Q1878" s="5">
        <f>IFERROR(P1878/O1878,0)</f>
        <v/>
      </c>
      <c r="R1878" s="2">
        <f>TEXT(DATEVALUE(B1878),"mmm")</f>
        <v/>
      </c>
      <c r="S1878" s="2">
        <f>TEXT(DATEVALUE(B1878),"yyyy-mm")</f>
        <v/>
      </c>
    </row>
    <row r="1879">
      <c r="A1879" s="2" t="inlineStr">
        <is>
          <t>O000183</t>
        </is>
      </c>
      <c r="B1879" s="2" t="inlineStr">
        <is>
          <t>2025-05-17</t>
        </is>
      </c>
      <c r="C1879" s="2" t="inlineStr">
        <is>
          <t>C0111</t>
        </is>
      </c>
      <c r="D1879" s="2" t="inlineStr">
        <is>
          <t>P0027</t>
        </is>
      </c>
      <c r="E1879" s="2" t="inlineStr">
        <is>
          <t>Moisturizer</t>
        </is>
      </c>
      <c r="F1879" s="2" t="inlineStr">
        <is>
          <t>Beauty</t>
        </is>
      </c>
      <c r="G1879" s="2" t="inlineStr">
        <is>
          <t>North</t>
        </is>
      </c>
      <c r="H1879" s="2" t="inlineStr">
        <is>
          <t>Haryana</t>
        </is>
      </c>
      <c r="I1879" s="2" t="inlineStr">
        <is>
          <t>Faridabad</t>
        </is>
      </c>
      <c r="J1879" s="2" t="inlineStr">
        <is>
          <t>Online</t>
        </is>
      </c>
      <c r="K1879" s="2" t="n">
        <v>1</v>
      </c>
      <c r="L1879" s="3" t="n">
        <v>942.79</v>
      </c>
      <c r="M1879" s="4" t="n">
        <v>0.1</v>
      </c>
      <c r="N1879" s="3" t="n">
        <v>695.98</v>
      </c>
      <c r="O1879" s="3">
        <f>K1879*L1879*(1-M1879)</f>
        <v/>
      </c>
      <c r="P1879" s="3">
        <f>O1879-N1879</f>
        <v/>
      </c>
      <c r="Q1879" s="5">
        <f>IFERROR(P1879/O1879,0)</f>
        <v/>
      </c>
      <c r="R1879" s="2">
        <f>TEXT(DATEVALUE(B1879),"mmm")</f>
        <v/>
      </c>
      <c r="S1879" s="2">
        <f>TEXT(DATEVALUE(B1879),"yyyy-mm")</f>
        <v/>
      </c>
    </row>
    <row r="1880">
      <c r="A1880" s="2" t="inlineStr">
        <is>
          <t>O004851</t>
        </is>
      </c>
      <c r="B1880" s="2" t="inlineStr">
        <is>
          <t>2025-05-18</t>
        </is>
      </c>
      <c r="C1880" s="2" t="inlineStr">
        <is>
          <t>C0645</t>
        </is>
      </c>
      <c r="D1880" s="2" t="inlineStr">
        <is>
          <t>P0035</t>
        </is>
      </c>
      <c r="E1880" s="2" t="inlineStr">
        <is>
          <t>Skipping Rope</t>
        </is>
      </c>
      <c r="F1880" s="2" t="inlineStr">
        <is>
          <t>Sports</t>
        </is>
      </c>
      <c r="G1880" s="2" t="inlineStr">
        <is>
          <t>East</t>
        </is>
      </c>
      <c r="H1880" s="2" t="inlineStr">
        <is>
          <t>West Bengal</t>
        </is>
      </c>
      <c r="I1880" s="2" t="inlineStr">
        <is>
          <t>Kolkata</t>
        </is>
      </c>
      <c r="J1880" s="2" t="inlineStr">
        <is>
          <t>Store</t>
        </is>
      </c>
      <c r="K1880" s="2" t="n">
        <v>2</v>
      </c>
      <c r="L1880" s="3" t="n">
        <v>736.05</v>
      </c>
      <c r="M1880" s="4" t="n">
        <v>0.1</v>
      </c>
      <c r="N1880" s="3" t="n">
        <v>833.6</v>
      </c>
      <c r="O1880" s="3">
        <f>K1880*L1880*(1-M1880)</f>
        <v/>
      </c>
      <c r="P1880" s="3">
        <f>O1880-N1880</f>
        <v/>
      </c>
      <c r="Q1880" s="5">
        <f>IFERROR(P1880/O1880,0)</f>
        <v/>
      </c>
      <c r="R1880" s="2">
        <f>TEXT(DATEVALUE(B1880),"mmm")</f>
        <v/>
      </c>
      <c r="S1880" s="2">
        <f>TEXT(DATEVALUE(B1880),"yyyy-mm")</f>
        <v/>
      </c>
    </row>
    <row r="1881">
      <c r="A1881" s="2" t="inlineStr">
        <is>
          <t>O004753</t>
        </is>
      </c>
      <c r="B1881" s="2" t="inlineStr">
        <is>
          <t>2025-05-18</t>
        </is>
      </c>
      <c r="C1881" s="2" t="inlineStr">
        <is>
          <t>C0285</t>
        </is>
      </c>
      <c r="D1881" s="2" t="inlineStr">
        <is>
          <t>P0028</t>
        </is>
      </c>
      <c r="E1881" s="2" t="inlineStr">
        <is>
          <t>Trimmer</t>
        </is>
      </c>
      <c r="F1881" s="2" t="inlineStr">
        <is>
          <t>Beauty</t>
        </is>
      </c>
      <c r="G1881" s="2" t="inlineStr">
        <is>
          <t>West</t>
        </is>
      </c>
      <c r="H1881" s="2" t="inlineStr">
        <is>
          <t>Gujarat</t>
        </is>
      </c>
      <c r="I1881" s="2" t="inlineStr">
        <is>
          <t>Vadodara</t>
        </is>
      </c>
      <c r="J1881" s="2" t="inlineStr">
        <is>
          <t>Store</t>
        </is>
      </c>
      <c r="K1881" s="2" t="n">
        <v>1</v>
      </c>
      <c r="L1881" s="3" t="n">
        <v>449.67</v>
      </c>
      <c r="M1881" s="4" t="n">
        <v>0.05</v>
      </c>
      <c r="N1881" s="3" t="n">
        <v>245.16</v>
      </c>
      <c r="O1881" s="3">
        <f>K1881*L1881*(1-M1881)</f>
        <v/>
      </c>
      <c r="P1881" s="3">
        <f>O1881-N1881</f>
        <v/>
      </c>
      <c r="Q1881" s="5">
        <f>IFERROR(P1881/O1881,0)</f>
        <v/>
      </c>
      <c r="R1881" s="2">
        <f>TEXT(DATEVALUE(B1881),"mmm")</f>
        <v/>
      </c>
      <c r="S1881" s="2">
        <f>TEXT(DATEVALUE(B1881),"yyyy-mm")</f>
        <v/>
      </c>
    </row>
    <row r="1882">
      <c r="A1882" s="2" t="inlineStr">
        <is>
          <t>O004572</t>
        </is>
      </c>
      <c r="B1882" s="2" t="inlineStr">
        <is>
          <t>2025-05-18</t>
        </is>
      </c>
      <c r="C1882" s="2" t="inlineStr">
        <is>
          <t>C0354</t>
        </is>
      </c>
      <c r="D1882" s="2" t="inlineStr">
        <is>
          <t>P0011</t>
        </is>
      </c>
      <c r="E1882" s="2" t="inlineStr">
        <is>
          <t>Cookware Set</t>
        </is>
      </c>
      <c r="F1882" s="2" t="inlineStr">
        <is>
          <t>Home &amp; Kitchen</t>
        </is>
      </c>
      <c r="G1882" s="2" t="inlineStr">
        <is>
          <t>South</t>
        </is>
      </c>
      <c r="H1882" s="2" t="inlineStr">
        <is>
          <t>Tamil Nadu</t>
        </is>
      </c>
      <c r="I1882" s="2" t="inlineStr">
        <is>
          <t>Madurai</t>
        </is>
      </c>
      <c r="J1882" s="2" t="inlineStr">
        <is>
          <t>Store</t>
        </is>
      </c>
      <c r="K1882" s="2" t="n">
        <v>5</v>
      </c>
      <c r="L1882" s="3" t="n">
        <v>716.75</v>
      </c>
      <c r="M1882" s="4" t="n">
        <v>0.2</v>
      </c>
      <c r="N1882" s="3" t="n">
        <v>2348.59</v>
      </c>
      <c r="O1882" s="3">
        <f>K1882*L1882*(1-M1882)</f>
        <v/>
      </c>
      <c r="P1882" s="3">
        <f>O1882-N1882</f>
        <v/>
      </c>
      <c r="Q1882" s="5">
        <f>IFERROR(P1882/O1882,0)</f>
        <v/>
      </c>
      <c r="R1882" s="2">
        <f>TEXT(DATEVALUE(B1882),"mmm")</f>
        <v/>
      </c>
      <c r="S1882" s="2">
        <f>TEXT(DATEVALUE(B1882),"yyyy-mm")</f>
        <v/>
      </c>
    </row>
    <row r="1883">
      <c r="A1883" s="2" t="inlineStr">
        <is>
          <t>O004428</t>
        </is>
      </c>
      <c r="B1883" s="2" t="inlineStr">
        <is>
          <t>2025-05-18</t>
        </is>
      </c>
      <c r="C1883" s="2" t="inlineStr">
        <is>
          <t>C0021</t>
        </is>
      </c>
      <c r="D1883" s="2" t="inlineStr">
        <is>
          <t>P0022</t>
        </is>
      </c>
      <c r="E1883" s="2" t="inlineStr">
        <is>
          <t>Face Wash</t>
        </is>
      </c>
      <c r="F1883" s="2" t="inlineStr">
        <is>
          <t>Beauty</t>
        </is>
      </c>
      <c r="G1883" s="2" t="inlineStr">
        <is>
          <t>North</t>
        </is>
      </c>
      <c r="H1883" s="2" t="inlineStr">
        <is>
          <t>Punjab</t>
        </is>
      </c>
      <c r="I1883" s="2" t="inlineStr">
        <is>
          <t>Jalandhar</t>
        </is>
      </c>
      <c r="J1883" s="2" t="inlineStr">
        <is>
          <t>Online</t>
        </is>
      </c>
      <c r="K1883" s="2" t="n">
        <v>2</v>
      </c>
      <c r="L1883" s="3" t="n">
        <v>536.26</v>
      </c>
      <c r="M1883" s="4" t="n">
        <v>0.15</v>
      </c>
      <c r="N1883" s="3" t="n">
        <v>690.83</v>
      </c>
      <c r="O1883" s="3">
        <f>K1883*L1883*(1-M1883)</f>
        <v/>
      </c>
      <c r="P1883" s="3">
        <f>O1883-N1883</f>
        <v/>
      </c>
      <c r="Q1883" s="5">
        <f>IFERROR(P1883/O1883,0)</f>
        <v/>
      </c>
      <c r="R1883" s="2">
        <f>TEXT(DATEVALUE(B1883),"mmm")</f>
        <v/>
      </c>
      <c r="S1883" s="2">
        <f>TEXT(DATEVALUE(B1883),"yyyy-mm")</f>
        <v/>
      </c>
    </row>
    <row r="1884">
      <c r="A1884" s="2" t="inlineStr">
        <is>
          <t>O004378</t>
        </is>
      </c>
      <c r="B1884" s="2" t="inlineStr">
        <is>
          <t>2025-05-18</t>
        </is>
      </c>
      <c r="C1884" s="2" t="inlineStr">
        <is>
          <t>C0060</t>
        </is>
      </c>
      <c r="D1884" s="2" t="inlineStr">
        <is>
          <t>P0013</t>
        </is>
      </c>
      <c r="E1884" s="2" t="inlineStr">
        <is>
          <t>Storage Organizer</t>
        </is>
      </c>
      <c r="F1884" s="2" t="inlineStr">
        <is>
          <t>Home &amp; Kitchen</t>
        </is>
      </c>
      <c r="G1884" s="2" t="inlineStr">
        <is>
          <t>South</t>
        </is>
      </c>
      <c r="H1884" s="2" t="inlineStr">
        <is>
          <t>Karnataka</t>
        </is>
      </c>
      <c r="I1884" s="2" t="inlineStr">
        <is>
          <t>Bengaluru</t>
        </is>
      </c>
      <c r="J1884" s="2" t="inlineStr">
        <is>
          <t>Online</t>
        </is>
      </c>
      <c r="K1884" s="2" t="n">
        <v>1</v>
      </c>
      <c r="L1884" s="3" t="n">
        <v>574.97</v>
      </c>
      <c r="M1884" s="4" t="n">
        <v>0</v>
      </c>
      <c r="N1884" s="3" t="n">
        <v>359</v>
      </c>
      <c r="O1884" s="3">
        <f>K1884*L1884*(1-M1884)</f>
        <v/>
      </c>
      <c r="P1884" s="3">
        <f>O1884-N1884</f>
        <v/>
      </c>
      <c r="Q1884" s="5">
        <f>IFERROR(P1884/O1884,0)</f>
        <v/>
      </c>
      <c r="R1884" s="2">
        <f>TEXT(DATEVALUE(B1884),"mmm")</f>
        <v/>
      </c>
      <c r="S1884" s="2">
        <f>TEXT(DATEVALUE(B1884),"yyyy-mm")</f>
        <v/>
      </c>
    </row>
    <row r="1885">
      <c r="A1885" s="2" t="inlineStr">
        <is>
          <t>O004126</t>
        </is>
      </c>
      <c r="B1885" s="2" t="inlineStr">
        <is>
          <t>2025-05-18</t>
        </is>
      </c>
      <c r="C1885" s="2" t="inlineStr">
        <is>
          <t>C0677</t>
        </is>
      </c>
      <c r="D1885" s="2" t="inlineStr">
        <is>
          <t>P0022</t>
        </is>
      </c>
      <c r="E1885" s="2" t="inlineStr">
        <is>
          <t>Face Wash</t>
        </is>
      </c>
      <c r="F1885" s="2" t="inlineStr">
        <is>
          <t>Beauty</t>
        </is>
      </c>
      <c r="G1885" s="2" t="inlineStr">
        <is>
          <t>South</t>
        </is>
      </c>
      <c r="H1885" s="2" t="inlineStr">
        <is>
          <t>Tamil Nadu</t>
        </is>
      </c>
      <c r="I1885" s="2" t="inlineStr">
        <is>
          <t>Madurai</t>
        </is>
      </c>
      <c r="J1885" s="2" t="inlineStr">
        <is>
          <t>Store</t>
        </is>
      </c>
      <c r="K1885" s="2" t="n">
        <v>3</v>
      </c>
      <c r="L1885" s="3" t="n">
        <v>553.8</v>
      </c>
      <c r="M1885" s="4" t="n">
        <v>0.05</v>
      </c>
      <c r="N1885" s="3" t="n">
        <v>1027.38</v>
      </c>
      <c r="O1885" s="3">
        <f>K1885*L1885*(1-M1885)</f>
        <v/>
      </c>
      <c r="P1885" s="3">
        <f>O1885-N1885</f>
        <v/>
      </c>
      <c r="Q1885" s="5">
        <f>IFERROR(P1885/O1885,0)</f>
        <v/>
      </c>
      <c r="R1885" s="2">
        <f>TEXT(DATEVALUE(B1885),"mmm")</f>
        <v/>
      </c>
      <c r="S1885" s="2">
        <f>TEXT(DATEVALUE(B1885),"yyyy-mm")</f>
        <v/>
      </c>
    </row>
    <row r="1886">
      <c r="A1886" s="2" t="inlineStr">
        <is>
          <t>O003801</t>
        </is>
      </c>
      <c r="B1886" s="2" t="inlineStr">
        <is>
          <t>2025-05-18</t>
        </is>
      </c>
      <c r="C1886" s="2" t="inlineStr">
        <is>
          <t>C0348</t>
        </is>
      </c>
      <c r="D1886" s="2" t="inlineStr">
        <is>
          <t>P0017</t>
        </is>
      </c>
      <c r="E1886" s="2" t="inlineStr">
        <is>
          <t>Jeans</t>
        </is>
      </c>
      <c r="F1886" s="2" t="inlineStr">
        <is>
          <t>Fashion</t>
        </is>
      </c>
      <c r="G1886" s="2" t="inlineStr">
        <is>
          <t>North</t>
        </is>
      </c>
      <c r="H1886" s="2" t="inlineStr">
        <is>
          <t>Haryana</t>
        </is>
      </c>
      <c r="I1886" s="2" t="inlineStr">
        <is>
          <t>Faridabad</t>
        </is>
      </c>
      <c r="J1886" s="2" t="inlineStr">
        <is>
          <t>Store</t>
        </is>
      </c>
      <c r="K1886" s="2" t="n">
        <v>1</v>
      </c>
      <c r="L1886" s="3" t="n">
        <v>1446.62</v>
      </c>
      <c r="M1886" s="4" t="n">
        <v>0</v>
      </c>
      <c r="N1886" s="3" t="n">
        <v>1028.61</v>
      </c>
      <c r="O1886" s="3">
        <f>K1886*L1886*(1-M1886)</f>
        <v/>
      </c>
      <c r="P1886" s="3">
        <f>O1886-N1886</f>
        <v/>
      </c>
      <c r="Q1886" s="5">
        <f>IFERROR(P1886/O1886,0)</f>
        <v/>
      </c>
      <c r="R1886" s="2">
        <f>TEXT(DATEVALUE(B1886),"mmm")</f>
        <v/>
      </c>
      <c r="S1886" s="2">
        <f>TEXT(DATEVALUE(B1886),"yyyy-mm")</f>
        <v/>
      </c>
    </row>
    <row r="1887">
      <c r="A1887" s="2" t="inlineStr">
        <is>
          <t>O002926</t>
        </is>
      </c>
      <c r="B1887" s="2" t="inlineStr">
        <is>
          <t>2025-05-18</t>
        </is>
      </c>
      <c r="C1887" s="2" t="inlineStr">
        <is>
          <t>C0343</t>
        </is>
      </c>
      <c r="D1887" s="2" t="inlineStr">
        <is>
          <t>P0001</t>
        </is>
      </c>
      <c r="E1887" s="2" t="inlineStr">
        <is>
          <t>Wireless Headphones</t>
        </is>
      </c>
      <c r="F1887" s="2" t="inlineStr">
        <is>
          <t>Electronics</t>
        </is>
      </c>
      <c r="G1887" s="2" t="inlineStr">
        <is>
          <t>North</t>
        </is>
      </c>
      <c r="H1887" s="2" t="inlineStr">
        <is>
          <t>Haryana</t>
        </is>
      </c>
      <c r="I1887" s="2" t="inlineStr">
        <is>
          <t>Faridabad</t>
        </is>
      </c>
      <c r="J1887" s="2" t="inlineStr">
        <is>
          <t>Online</t>
        </is>
      </c>
      <c r="K1887" s="2" t="n">
        <v>6</v>
      </c>
      <c r="L1887" s="3" t="n">
        <v>1355.63</v>
      </c>
      <c r="M1887" s="4" t="n">
        <v>0</v>
      </c>
      <c r="N1887" s="3" t="n">
        <v>4130.26</v>
      </c>
      <c r="O1887" s="3">
        <f>K1887*L1887*(1-M1887)</f>
        <v/>
      </c>
      <c r="P1887" s="3">
        <f>O1887-N1887</f>
        <v/>
      </c>
      <c r="Q1887" s="5">
        <f>IFERROR(P1887/O1887,0)</f>
        <v/>
      </c>
      <c r="R1887" s="2">
        <f>TEXT(DATEVALUE(B1887),"mmm")</f>
        <v/>
      </c>
      <c r="S1887" s="2">
        <f>TEXT(DATEVALUE(B1887),"yyyy-mm")</f>
        <v/>
      </c>
    </row>
    <row r="1888">
      <c r="A1888" s="2" t="inlineStr">
        <is>
          <t>O002790</t>
        </is>
      </c>
      <c r="B1888" s="2" t="inlineStr">
        <is>
          <t>2025-05-18</t>
        </is>
      </c>
      <c r="C1888" s="2" t="inlineStr">
        <is>
          <t>C0319</t>
        </is>
      </c>
      <c r="D1888" s="2" t="inlineStr">
        <is>
          <t>P0017</t>
        </is>
      </c>
      <c r="E1888" s="2" t="inlineStr">
        <is>
          <t>Jeans</t>
        </is>
      </c>
      <c r="F1888" s="2" t="inlineStr">
        <is>
          <t>Fashion</t>
        </is>
      </c>
      <c r="G1888" s="2" t="inlineStr">
        <is>
          <t>North</t>
        </is>
      </c>
      <c r="H1888" s="2" t="inlineStr">
        <is>
          <t>Haryana</t>
        </is>
      </c>
      <c r="I1888" s="2" t="inlineStr">
        <is>
          <t>Gurugram</t>
        </is>
      </c>
      <c r="J1888" s="2" t="inlineStr">
        <is>
          <t>Online</t>
        </is>
      </c>
      <c r="K1888" s="2" t="n">
        <v>2</v>
      </c>
      <c r="L1888" s="3" t="n">
        <v>1460.12</v>
      </c>
      <c r="M1888" s="4" t="n">
        <v>0.05</v>
      </c>
      <c r="N1888" s="3" t="n">
        <v>1997.36</v>
      </c>
      <c r="O1888" s="3">
        <f>K1888*L1888*(1-M1888)</f>
        <v/>
      </c>
      <c r="P1888" s="3">
        <f>O1888-N1888</f>
        <v/>
      </c>
      <c r="Q1888" s="5">
        <f>IFERROR(P1888/O1888,0)</f>
        <v/>
      </c>
      <c r="R1888" s="2">
        <f>TEXT(DATEVALUE(B1888),"mmm")</f>
        <v/>
      </c>
      <c r="S1888" s="2">
        <f>TEXT(DATEVALUE(B1888),"yyyy-mm")</f>
        <v/>
      </c>
    </row>
    <row r="1889">
      <c r="A1889" s="2" t="inlineStr">
        <is>
          <t>O002568</t>
        </is>
      </c>
      <c r="B1889" s="2" t="inlineStr">
        <is>
          <t>2025-05-18</t>
        </is>
      </c>
      <c r="C1889" s="2" t="inlineStr">
        <is>
          <t>C0637</t>
        </is>
      </c>
      <c r="D1889" s="2" t="inlineStr">
        <is>
          <t>P0011</t>
        </is>
      </c>
      <c r="E1889" s="2" t="inlineStr">
        <is>
          <t>Cookware Set</t>
        </is>
      </c>
      <c r="F1889" s="2" t="inlineStr">
        <is>
          <t>Home &amp; Kitchen</t>
        </is>
      </c>
      <c r="G1889" s="2" t="inlineStr">
        <is>
          <t>West</t>
        </is>
      </c>
      <c r="H1889" s="2" t="inlineStr">
        <is>
          <t>Goa</t>
        </is>
      </c>
      <c r="I1889" s="2" t="inlineStr">
        <is>
          <t>Panaji</t>
        </is>
      </c>
      <c r="J1889" s="2" t="inlineStr">
        <is>
          <t>Store</t>
        </is>
      </c>
      <c r="K1889" s="2" t="n">
        <v>3</v>
      </c>
      <c r="L1889" s="3" t="n">
        <v>709.39</v>
      </c>
      <c r="M1889" s="4" t="n">
        <v>0</v>
      </c>
      <c r="N1889" s="3" t="n">
        <v>1384.46</v>
      </c>
      <c r="O1889" s="3">
        <f>K1889*L1889*(1-M1889)</f>
        <v/>
      </c>
      <c r="P1889" s="3">
        <f>O1889-N1889</f>
        <v/>
      </c>
      <c r="Q1889" s="5">
        <f>IFERROR(P1889/O1889,0)</f>
        <v/>
      </c>
      <c r="R1889" s="2">
        <f>TEXT(DATEVALUE(B1889),"mmm")</f>
        <v/>
      </c>
      <c r="S1889" s="2">
        <f>TEXT(DATEVALUE(B1889),"yyyy-mm")</f>
        <v/>
      </c>
    </row>
    <row r="1890">
      <c r="A1890" s="2" t="inlineStr">
        <is>
          <t>O002482</t>
        </is>
      </c>
      <c r="B1890" s="2" t="inlineStr">
        <is>
          <t>2025-05-18</t>
        </is>
      </c>
      <c r="C1890" s="2" t="inlineStr">
        <is>
          <t>C0519</t>
        </is>
      </c>
      <c r="D1890" s="2" t="inlineStr">
        <is>
          <t>P0011</t>
        </is>
      </c>
      <c r="E1890" s="2" t="inlineStr">
        <is>
          <t>Cookware Set</t>
        </is>
      </c>
      <c r="F1890" s="2" t="inlineStr">
        <is>
          <t>Home &amp; Kitchen</t>
        </is>
      </c>
      <c r="G1890" s="2" t="inlineStr">
        <is>
          <t>North</t>
        </is>
      </c>
      <c r="H1890" s="2" t="inlineStr">
        <is>
          <t>Punjab</t>
        </is>
      </c>
      <c r="I1890" s="2" t="inlineStr">
        <is>
          <t>Jalandhar</t>
        </is>
      </c>
      <c r="J1890" s="2" t="inlineStr">
        <is>
          <t>Online</t>
        </is>
      </c>
      <c r="K1890" s="2" t="n">
        <v>1</v>
      </c>
      <c r="L1890" s="3" t="n">
        <v>698.9</v>
      </c>
      <c r="M1890" s="4" t="n">
        <v>0.1</v>
      </c>
      <c r="N1890" s="3" t="n">
        <v>467.93</v>
      </c>
      <c r="O1890" s="3">
        <f>K1890*L1890*(1-M1890)</f>
        <v/>
      </c>
      <c r="P1890" s="3">
        <f>O1890-N1890</f>
        <v/>
      </c>
      <c r="Q1890" s="5">
        <f>IFERROR(P1890/O1890,0)</f>
        <v/>
      </c>
      <c r="R1890" s="2">
        <f>TEXT(DATEVALUE(B1890),"mmm")</f>
        <v/>
      </c>
      <c r="S1890" s="2">
        <f>TEXT(DATEVALUE(B1890),"yyyy-mm")</f>
        <v/>
      </c>
    </row>
    <row r="1891">
      <c r="A1891" s="2" t="inlineStr">
        <is>
          <t>O002242</t>
        </is>
      </c>
      <c r="B1891" s="2" t="inlineStr">
        <is>
          <t>2025-05-18</t>
        </is>
      </c>
      <c r="C1891" s="2" t="inlineStr">
        <is>
          <t>C0152</t>
        </is>
      </c>
      <c r="D1891" s="2" t="inlineStr">
        <is>
          <t>P0031</t>
        </is>
      </c>
      <c r="E1891" s="2" t="inlineStr">
        <is>
          <t>Cricket Bat</t>
        </is>
      </c>
      <c r="F1891" s="2" t="inlineStr">
        <is>
          <t>Sports</t>
        </is>
      </c>
      <c r="G1891" s="2" t="inlineStr">
        <is>
          <t>West</t>
        </is>
      </c>
      <c r="H1891" s="2" t="inlineStr">
        <is>
          <t>Goa</t>
        </is>
      </c>
      <c r="I1891" s="2" t="inlineStr">
        <is>
          <t>Panaji</t>
        </is>
      </c>
      <c r="J1891" s="2" t="inlineStr">
        <is>
          <t>Online</t>
        </is>
      </c>
      <c r="K1891" s="2" t="n">
        <v>3</v>
      </c>
      <c r="L1891" s="3" t="n">
        <v>1420.87</v>
      </c>
      <c r="M1891" s="4" t="n">
        <v>0</v>
      </c>
      <c r="N1891" s="3" t="n">
        <v>2788.14</v>
      </c>
      <c r="O1891" s="3">
        <f>K1891*L1891*(1-M1891)</f>
        <v/>
      </c>
      <c r="P1891" s="3">
        <f>O1891-N1891</f>
        <v/>
      </c>
      <c r="Q1891" s="5">
        <f>IFERROR(P1891/O1891,0)</f>
        <v/>
      </c>
      <c r="R1891" s="2">
        <f>TEXT(DATEVALUE(B1891),"mmm")</f>
        <v/>
      </c>
      <c r="S1891" s="2">
        <f>TEXT(DATEVALUE(B1891),"yyyy-mm")</f>
        <v/>
      </c>
    </row>
    <row r="1892">
      <c r="A1892" s="2" t="inlineStr">
        <is>
          <t>O001006</t>
        </is>
      </c>
      <c r="B1892" s="2" t="inlineStr">
        <is>
          <t>2025-05-18</t>
        </is>
      </c>
      <c r="C1892" s="2" t="inlineStr">
        <is>
          <t>C0643</t>
        </is>
      </c>
      <c r="D1892" s="2" t="inlineStr">
        <is>
          <t>P0022</t>
        </is>
      </c>
      <c r="E1892" s="2" t="inlineStr">
        <is>
          <t>Face Wash</t>
        </is>
      </c>
      <c r="F1892" s="2" t="inlineStr">
        <is>
          <t>Beauty</t>
        </is>
      </c>
      <c r="G1892" s="2" t="inlineStr">
        <is>
          <t>West</t>
        </is>
      </c>
      <c r="H1892" s="2" t="inlineStr">
        <is>
          <t>Goa</t>
        </is>
      </c>
      <c r="I1892" s="2" t="inlineStr">
        <is>
          <t>Panaji</t>
        </is>
      </c>
      <c r="J1892" s="2" t="inlineStr">
        <is>
          <t>Store</t>
        </is>
      </c>
      <c r="K1892" s="2" t="n">
        <v>2</v>
      </c>
      <c r="L1892" s="3" t="n">
        <v>545.54</v>
      </c>
      <c r="M1892" s="4" t="n">
        <v>0.05</v>
      </c>
      <c r="N1892" s="3" t="n">
        <v>693.17</v>
      </c>
      <c r="O1892" s="3">
        <f>K1892*L1892*(1-M1892)</f>
        <v/>
      </c>
      <c r="P1892" s="3">
        <f>O1892-N1892</f>
        <v/>
      </c>
      <c r="Q1892" s="5">
        <f>IFERROR(P1892/O1892,0)</f>
        <v/>
      </c>
      <c r="R1892" s="2">
        <f>TEXT(DATEVALUE(B1892),"mmm")</f>
        <v/>
      </c>
      <c r="S1892" s="2">
        <f>TEXT(DATEVALUE(B1892),"yyyy-mm")</f>
        <v/>
      </c>
    </row>
    <row r="1893">
      <c r="A1893" s="2" t="inlineStr">
        <is>
          <t>O000809</t>
        </is>
      </c>
      <c r="B1893" s="2" t="inlineStr">
        <is>
          <t>2025-05-18</t>
        </is>
      </c>
      <c r="C1893" s="2" t="inlineStr">
        <is>
          <t>C0299</t>
        </is>
      </c>
      <c r="D1893" s="2" t="inlineStr">
        <is>
          <t>P0028</t>
        </is>
      </c>
      <c r="E1893" s="2" t="inlineStr">
        <is>
          <t>Trimmer</t>
        </is>
      </c>
      <c r="F1893" s="2" t="inlineStr">
        <is>
          <t>Beauty</t>
        </is>
      </c>
      <c r="G1893" s="2" t="inlineStr">
        <is>
          <t>East</t>
        </is>
      </c>
      <c r="H1893" s="2" t="inlineStr">
        <is>
          <t>Odisha</t>
        </is>
      </c>
      <c r="I1893" s="2" t="inlineStr">
        <is>
          <t>Cuttack</t>
        </is>
      </c>
      <c r="J1893" s="2" t="inlineStr">
        <is>
          <t>Online</t>
        </is>
      </c>
      <c r="K1893" s="2" t="n">
        <v>3</v>
      </c>
      <c r="L1893" s="3" t="n">
        <v>471.3</v>
      </c>
      <c r="M1893" s="4" t="n">
        <v>0.05</v>
      </c>
      <c r="N1893" s="3" t="n">
        <v>764.04</v>
      </c>
      <c r="O1893" s="3">
        <f>K1893*L1893*(1-M1893)</f>
        <v/>
      </c>
      <c r="P1893" s="3">
        <f>O1893-N1893</f>
        <v/>
      </c>
      <c r="Q1893" s="5">
        <f>IFERROR(P1893/O1893,0)</f>
        <v/>
      </c>
      <c r="R1893" s="2">
        <f>TEXT(DATEVALUE(B1893),"mmm")</f>
        <v/>
      </c>
      <c r="S1893" s="2">
        <f>TEXT(DATEVALUE(B1893),"yyyy-mm")</f>
        <v/>
      </c>
    </row>
    <row r="1894">
      <c r="A1894" s="2" t="inlineStr">
        <is>
          <t>O003787</t>
        </is>
      </c>
      <c r="B1894" s="2" t="inlineStr">
        <is>
          <t>2025-05-18</t>
        </is>
      </c>
      <c r="C1894" s="2" t="inlineStr">
        <is>
          <t>C0474</t>
        </is>
      </c>
      <c r="D1894" s="2" t="inlineStr">
        <is>
          <t>P0007</t>
        </is>
      </c>
      <c r="E1894" s="2" t="inlineStr">
        <is>
          <t>Wireless Mouse</t>
        </is>
      </c>
      <c r="F1894" s="2" t="inlineStr">
        <is>
          <t>Electronics</t>
        </is>
      </c>
      <c r="G1894" s="2" t="inlineStr">
        <is>
          <t>East</t>
        </is>
      </c>
      <c r="H1894" s="2" t="inlineStr">
        <is>
          <t>Odisha</t>
        </is>
      </c>
      <c r="I1894" s="2" t="inlineStr">
        <is>
          <t>Bhubaneswar</t>
        </is>
      </c>
      <c r="J1894" s="2" t="inlineStr">
        <is>
          <t>Online</t>
        </is>
      </c>
      <c r="K1894" s="2" t="n">
        <v>3</v>
      </c>
      <c r="L1894" s="3" t="n">
        <v>988.6900000000001</v>
      </c>
      <c r="M1894" s="4" t="n">
        <v>0.05</v>
      </c>
      <c r="N1894" s="3" t="n">
        <v>1926.18</v>
      </c>
      <c r="O1894" s="3">
        <f>K1894*L1894*(1-M1894)</f>
        <v/>
      </c>
      <c r="P1894" s="3">
        <f>O1894-N1894</f>
        <v/>
      </c>
      <c r="Q1894" s="5">
        <f>IFERROR(P1894/O1894,0)</f>
        <v/>
      </c>
      <c r="R1894" s="2">
        <f>TEXT(DATEVALUE(B1894),"mmm")</f>
        <v/>
      </c>
      <c r="S1894" s="2">
        <f>TEXT(DATEVALUE(B1894),"yyyy-mm")</f>
        <v/>
      </c>
    </row>
    <row r="1895">
      <c r="A1895" s="2" t="inlineStr">
        <is>
          <t>O003958</t>
        </is>
      </c>
      <c r="B1895" s="2" t="inlineStr">
        <is>
          <t>2025-05-19</t>
        </is>
      </c>
      <c r="C1895" s="2" t="inlineStr">
        <is>
          <t>C0407</t>
        </is>
      </c>
      <c r="D1895" s="2" t="inlineStr">
        <is>
          <t>P0030</t>
        </is>
      </c>
      <c r="E1895" s="2" t="inlineStr">
        <is>
          <t>Dumbbells</t>
        </is>
      </c>
      <c r="F1895" s="2" t="inlineStr">
        <is>
          <t>Sports</t>
        </is>
      </c>
      <c r="G1895" s="2" t="inlineStr">
        <is>
          <t>North</t>
        </is>
      </c>
      <c r="H1895" s="2" t="inlineStr">
        <is>
          <t>Delhi</t>
        </is>
      </c>
      <c r="I1895" s="2" t="inlineStr">
        <is>
          <t>New Delhi</t>
        </is>
      </c>
      <c r="J1895" s="2" t="inlineStr">
        <is>
          <t>Store</t>
        </is>
      </c>
      <c r="K1895" s="2" t="n">
        <v>2</v>
      </c>
      <c r="L1895" s="3" t="n">
        <v>1493.61</v>
      </c>
      <c r="M1895" s="4" t="n">
        <v>0.05</v>
      </c>
      <c r="N1895" s="3" t="n">
        <v>2074.95</v>
      </c>
      <c r="O1895" s="3">
        <f>K1895*L1895*(1-M1895)</f>
        <v/>
      </c>
      <c r="P1895" s="3">
        <f>O1895-N1895</f>
        <v/>
      </c>
      <c r="Q1895" s="5">
        <f>IFERROR(P1895/O1895,0)</f>
        <v/>
      </c>
      <c r="R1895" s="2">
        <f>TEXT(DATEVALUE(B1895),"mmm")</f>
        <v/>
      </c>
      <c r="S1895" s="2">
        <f>TEXT(DATEVALUE(B1895),"yyyy-mm")</f>
        <v/>
      </c>
    </row>
    <row r="1896">
      <c r="A1896" s="2" t="inlineStr">
        <is>
          <t>O004866</t>
        </is>
      </c>
      <c r="B1896" s="2" t="inlineStr">
        <is>
          <t>2025-05-19</t>
        </is>
      </c>
      <c r="C1896" s="2" t="inlineStr">
        <is>
          <t>C0179</t>
        </is>
      </c>
      <c r="D1896" s="2" t="inlineStr">
        <is>
          <t>P0021</t>
        </is>
      </c>
      <c r="E1896" s="2" t="inlineStr">
        <is>
          <t>Wallet</t>
        </is>
      </c>
      <c r="F1896" s="2" t="inlineStr">
        <is>
          <t>Fashion</t>
        </is>
      </c>
      <c r="G1896" s="2" t="inlineStr">
        <is>
          <t>East</t>
        </is>
      </c>
      <c r="H1896" s="2" t="inlineStr">
        <is>
          <t>West Bengal</t>
        </is>
      </c>
      <c r="I1896" s="2" t="inlineStr">
        <is>
          <t>Kolkata</t>
        </is>
      </c>
      <c r="J1896" s="2" t="inlineStr">
        <is>
          <t>Store</t>
        </is>
      </c>
      <c r="K1896" s="2" t="n">
        <v>3</v>
      </c>
      <c r="L1896" s="3" t="n">
        <v>2011.07</v>
      </c>
      <c r="M1896" s="4" t="n">
        <v>0.05</v>
      </c>
      <c r="N1896" s="3" t="n">
        <v>3745.75</v>
      </c>
      <c r="O1896" s="3">
        <f>K1896*L1896*(1-M1896)</f>
        <v/>
      </c>
      <c r="P1896" s="3">
        <f>O1896-N1896</f>
        <v/>
      </c>
      <c r="Q1896" s="5">
        <f>IFERROR(P1896/O1896,0)</f>
        <v/>
      </c>
      <c r="R1896" s="2">
        <f>TEXT(DATEVALUE(B1896),"mmm")</f>
        <v/>
      </c>
      <c r="S1896" s="2">
        <f>TEXT(DATEVALUE(B1896),"yyyy-mm")</f>
        <v/>
      </c>
    </row>
    <row r="1897">
      <c r="A1897" s="2" t="inlineStr">
        <is>
          <t>O004474</t>
        </is>
      </c>
      <c r="B1897" s="2" t="inlineStr">
        <is>
          <t>2025-05-19</t>
        </is>
      </c>
      <c r="C1897" s="2" t="inlineStr">
        <is>
          <t>C0239</t>
        </is>
      </c>
      <c r="D1897" s="2" t="inlineStr">
        <is>
          <t>P0017</t>
        </is>
      </c>
      <c r="E1897" s="2" t="inlineStr">
        <is>
          <t>Jeans</t>
        </is>
      </c>
      <c r="F1897" s="2" t="inlineStr">
        <is>
          <t>Fashion</t>
        </is>
      </c>
      <c r="G1897" s="2" t="inlineStr">
        <is>
          <t>West</t>
        </is>
      </c>
      <c r="H1897" s="2" t="inlineStr">
        <is>
          <t>Goa</t>
        </is>
      </c>
      <c r="I1897" s="2" t="inlineStr">
        <is>
          <t>Panaji</t>
        </is>
      </c>
      <c r="J1897" s="2" t="inlineStr">
        <is>
          <t>Online</t>
        </is>
      </c>
      <c r="K1897" s="2" t="n">
        <v>2</v>
      </c>
      <c r="L1897" s="3" t="n">
        <v>1501.24</v>
      </c>
      <c r="M1897" s="4" t="n">
        <v>0.1</v>
      </c>
      <c r="N1897" s="3" t="n">
        <v>2067.05</v>
      </c>
      <c r="O1897" s="3">
        <f>K1897*L1897*(1-M1897)</f>
        <v/>
      </c>
      <c r="P1897" s="3">
        <f>O1897-N1897</f>
        <v/>
      </c>
      <c r="Q1897" s="5">
        <f>IFERROR(P1897/O1897,0)</f>
        <v/>
      </c>
      <c r="R1897" s="2">
        <f>TEXT(DATEVALUE(B1897),"mmm")</f>
        <v/>
      </c>
      <c r="S1897" s="2">
        <f>TEXT(DATEVALUE(B1897),"yyyy-mm")</f>
        <v/>
      </c>
    </row>
    <row r="1898">
      <c r="A1898" s="2" t="inlineStr">
        <is>
          <t>O004168</t>
        </is>
      </c>
      <c r="B1898" s="2" t="inlineStr">
        <is>
          <t>2025-05-19</t>
        </is>
      </c>
      <c r="C1898" s="2" t="inlineStr">
        <is>
          <t>C0519</t>
        </is>
      </c>
      <c r="D1898" s="2" t="inlineStr">
        <is>
          <t>P0014</t>
        </is>
      </c>
      <c r="E1898" s="2" t="inlineStr">
        <is>
          <t>Coffee Maker</t>
        </is>
      </c>
      <c r="F1898" s="2" t="inlineStr">
        <is>
          <t>Home &amp; Kitchen</t>
        </is>
      </c>
      <c r="G1898" s="2" t="inlineStr">
        <is>
          <t>West</t>
        </is>
      </c>
      <c r="H1898" s="2" t="inlineStr">
        <is>
          <t>Gujarat</t>
        </is>
      </c>
      <c r="I1898" s="2" t="inlineStr">
        <is>
          <t>Ahmedabad</t>
        </is>
      </c>
      <c r="J1898" s="2" t="inlineStr">
        <is>
          <t>Online</t>
        </is>
      </c>
      <c r="K1898" s="2" t="n">
        <v>3</v>
      </c>
      <c r="L1898" s="3" t="n">
        <v>1002.92</v>
      </c>
      <c r="M1898" s="4" t="n">
        <v>0.05</v>
      </c>
      <c r="N1898" s="3" t="n">
        <v>2231.96</v>
      </c>
      <c r="O1898" s="3">
        <f>K1898*L1898*(1-M1898)</f>
        <v/>
      </c>
      <c r="P1898" s="3">
        <f>O1898-N1898</f>
        <v/>
      </c>
      <c r="Q1898" s="5">
        <f>IFERROR(P1898/O1898,0)</f>
        <v/>
      </c>
      <c r="R1898" s="2">
        <f>TEXT(DATEVALUE(B1898),"mmm")</f>
        <v/>
      </c>
      <c r="S1898" s="2">
        <f>TEXT(DATEVALUE(B1898),"yyyy-mm")</f>
        <v/>
      </c>
    </row>
    <row r="1899">
      <c r="A1899" s="2" t="inlineStr">
        <is>
          <t>O004068</t>
        </is>
      </c>
      <c r="B1899" s="2" t="inlineStr">
        <is>
          <t>2025-05-19</t>
        </is>
      </c>
      <c r="C1899" s="2" t="inlineStr">
        <is>
          <t>C0316</t>
        </is>
      </c>
      <c r="D1899" s="2" t="inlineStr">
        <is>
          <t>P0014</t>
        </is>
      </c>
      <c r="E1899" s="2" t="inlineStr">
        <is>
          <t>Coffee Maker</t>
        </is>
      </c>
      <c r="F1899" s="2" t="inlineStr">
        <is>
          <t>Home &amp; Kitchen</t>
        </is>
      </c>
      <c r="G1899" s="2" t="inlineStr">
        <is>
          <t>North</t>
        </is>
      </c>
      <c r="H1899" s="2" t="inlineStr">
        <is>
          <t>Uttar Pradesh</t>
        </is>
      </c>
      <c r="I1899" s="2" t="inlineStr">
        <is>
          <t>Lucknow</t>
        </is>
      </c>
      <c r="J1899" s="2" t="inlineStr">
        <is>
          <t>Online</t>
        </is>
      </c>
      <c r="K1899" s="2" t="n">
        <v>4</v>
      </c>
      <c r="L1899" s="3" t="n">
        <v>1089.74</v>
      </c>
      <c r="M1899" s="4" t="n">
        <v>0.05</v>
      </c>
      <c r="N1899" s="3" t="n">
        <v>3112.65</v>
      </c>
      <c r="O1899" s="3">
        <f>K1899*L1899*(1-M1899)</f>
        <v/>
      </c>
      <c r="P1899" s="3">
        <f>O1899-N1899</f>
        <v/>
      </c>
      <c r="Q1899" s="5">
        <f>IFERROR(P1899/O1899,0)</f>
        <v/>
      </c>
      <c r="R1899" s="2">
        <f>TEXT(DATEVALUE(B1899),"mmm")</f>
        <v/>
      </c>
      <c r="S1899" s="2">
        <f>TEXT(DATEVALUE(B1899),"yyyy-mm")</f>
        <v/>
      </c>
    </row>
    <row r="1900">
      <c r="A1900" s="2" t="inlineStr">
        <is>
          <t>O003696</t>
        </is>
      </c>
      <c r="B1900" s="2" t="inlineStr">
        <is>
          <t>2025-05-19</t>
        </is>
      </c>
      <c r="C1900" s="2" t="inlineStr">
        <is>
          <t>C0793</t>
        </is>
      </c>
      <c r="D1900" s="2" t="inlineStr">
        <is>
          <t>P0012</t>
        </is>
      </c>
      <c r="E1900" s="2" t="inlineStr">
        <is>
          <t>Water Bottle</t>
        </is>
      </c>
      <c r="F1900" s="2" t="inlineStr">
        <is>
          <t>Home &amp; Kitchen</t>
        </is>
      </c>
      <c r="G1900" s="2" t="inlineStr">
        <is>
          <t>West</t>
        </is>
      </c>
      <c r="H1900" s="2" t="inlineStr">
        <is>
          <t>Goa</t>
        </is>
      </c>
      <c r="I1900" s="2" t="inlineStr">
        <is>
          <t>Panaji</t>
        </is>
      </c>
      <c r="J1900" s="2" t="inlineStr">
        <is>
          <t>Store</t>
        </is>
      </c>
      <c r="K1900" s="2" t="n">
        <v>2</v>
      </c>
      <c r="L1900" s="3" t="n">
        <v>983.34</v>
      </c>
      <c r="M1900" s="4" t="n">
        <v>0.05</v>
      </c>
      <c r="N1900" s="3" t="n">
        <v>1212.49</v>
      </c>
      <c r="O1900" s="3">
        <f>K1900*L1900*(1-M1900)</f>
        <v/>
      </c>
      <c r="P1900" s="3">
        <f>O1900-N1900</f>
        <v/>
      </c>
      <c r="Q1900" s="5">
        <f>IFERROR(P1900/O1900,0)</f>
        <v/>
      </c>
      <c r="R1900" s="2">
        <f>TEXT(DATEVALUE(B1900),"mmm")</f>
        <v/>
      </c>
      <c r="S1900" s="2">
        <f>TEXT(DATEVALUE(B1900),"yyyy-mm")</f>
        <v/>
      </c>
    </row>
    <row r="1901">
      <c r="A1901" s="2" t="inlineStr">
        <is>
          <t>O004653</t>
        </is>
      </c>
      <c r="B1901" s="2" t="inlineStr">
        <is>
          <t>2025-05-19</t>
        </is>
      </c>
      <c r="C1901" s="2" t="inlineStr">
        <is>
          <t>C0495</t>
        </is>
      </c>
      <c r="D1901" s="2" t="inlineStr">
        <is>
          <t>P0002</t>
        </is>
      </c>
      <c r="E1901" s="2" t="inlineStr">
        <is>
          <t>Bluetooth Speaker</t>
        </is>
      </c>
      <c r="F1901" s="2" t="inlineStr">
        <is>
          <t>Electronics</t>
        </is>
      </c>
      <c r="G1901" s="2" t="inlineStr">
        <is>
          <t>North</t>
        </is>
      </c>
      <c r="H1901" s="2" t="inlineStr">
        <is>
          <t>Haryana</t>
        </is>
      </c>
      <c r="I1901" s="2" t="inlineStr">
        <is>
          <t>Faridabad</t>
        </is>
      </c>
      <c r="J1901" s="2" t="inlineStr">
        <is>
          <t>Online</t>
        </is>
      </c>
      <c r="K1901" s="2" t="n">
        <v>3</v>
      </c>
      <c r="L1901" s="3" t="n">
        <v>1336.28</v>
      </c>
      <c r="M1901" s="4" t="n">
        <v>0.05</v>
      </c>
      <c r="N1901" s="3" t="n">
        <v>2510.18</v>
      </c>
      <c r="O1901" s="3">
        <f>K1901*L1901*(1-M1901)</f>
        <v/>
      </c>
      <c r="P1901" s="3">
        <f>O1901-N1901</f>
        <v/>
      </c>
      <c r="Q1901" s="5">
        <f>IFERROR(P1901/O1901,0)</f>
        <v/>
      </c>
      <c r="R1901" s="2">
        <f>TEXT(DATEVALUE(B1901),"mmm")</f>
        <v/>
      </c>
      <c r="S1901" s="2">
        <f>TEXT(DATEVALUE(B1901),"yyyy-mm")</f>
        <v/>
      </c>
    </row>
    <row r="1902">
      <c r="A1902" s="2" t="inlineStr">
        <is>
          <t>O003455</t>
        </is>
      </c>
      <c r="B1902" s="2" t="inlineStr">
        <is>
          <t>2025-05-19</t>
        </is>
      </c>
      <c r="C1902" s="2" t="inlineStr">
        <is>
          <t>C0319</t>
        </is>
      </c>
      <c r="D1902" s="2" t="inlineStr">
        <is>
          <t>P0001</t>
        </is>
      </c>
      <c r="E1902" s="2" t="inlineStr">
        <is>
          <t>Wireless Headphones</t>
        </is>
      </c>
      <c r="F1902" s="2" t="inlineStr">
        <is>
          <t>Electronics</t>
        </is>
      </c>
      <c r="G1902" s="2" t="inlineStr">
        <is>
          <t>North</t>
        </is>
      </c>
      <c r="H1902" s="2" t="inlineStr">
        <is>
          <t>Uttar Pradesh</t>
        </is>
      </c>
      <c r="I1902" s="2" t="inlineStr">
        <is>
          <t>Noida</t>
        </is>
      </c>
      <c r="J1902" s="2" t="inlineStr">
        <is>
          <t>Online</t>
        </is>
      </c>
      <c r="K1902" s="2" t="n">
        <v>6</v>
      </c>
      <c r="L1902" s="3" t="n">
        <v>1351.52</v>
      </c>
      <c r="M1902" s="4" t="n">
        <v>0.05</v>
      </c>
      <c r="N1902" s="3" t="n">
        <v>4273.75</v>
      </c>
      <c r="O1902" s="3">
        <f>K1902*L1902*(1-M1902)</f>
        <v/>
      </c>
      <c r="P1902" s="3">
        <f>O1902-N1902</f>
        <v/>
      </c>
      <c r="Q1902" s="5">
        <f>IFERROR(P1902/O1902,0)</f>
        <v/>
      </c>
      <c r="R1902" s="2">
        <f>TEXT(DATEVALUE(B1902),"mmm")</f>
        <v/>
      </c>
      <c r="S1902" s="2">
        <f>TEXT(DATEVALUE(B1902),"yyyy-mm")</f>
        <v/>
      </c>
    </row>
    <row r="1903">
      <c r="A1903" s="2" t="inlineStr">
        <is>
          <t>O003058</t>
        </is>
      </c>
      <c r="B1903" s="2" t="inlineStr">
        <is>
          <t>2025-05-19</t>
        </is>
      </c>
      <c r="C1903" s="2" t="inlineStr">
        <is>
          <t>C0390</t>
        </is>
      </c>
      <c r="D1903" s="2" t="inlineStr">
        <is>
          <t>P0011</t>
        </is>
      </c>
      <c r="E1903" s="2" t="inlineStr">
        <is>
          <t>Cookware Set</t>
        </is>
      </c>
      <c r="F1903" s="2" t="inlineStr">
        <is>
          <t>Home &amp; Kitchen</t>
        </is>
      </c>
      <c r="G1903" s="2" t="inlineStr">
        <is>
          <t>North</t>
        </is>
      </c>
      <c r="H1903" s="2" t="inlineStr">
        <is>
          <t>Uttar Pradesh</t>
        </is>
      </c>
      <c r="I1903" s="2" t="inlineStr">
        <is>
          <t>Kanpur</t>
        </is>
      </c>
      <c r="J1903" s="2" t="inlineStr">
        <is>
          <t>Online</t>
        </is>
      </c>
      <c r="K1903" s="2" t="n">
        <v>1</v>
      </c>
      <c r="L1903" s="3" t="n">
        <v>691.78</v>
      </c>
      <c r="M1903" s="4" t="n">
        <v>0.1</v>
      </c>
      <c r="N1903" s="3" t="n">
        <v>477.49</v>
      </c>
      <c r="O1903" s="3">
        <f>K1903*L1903*(1-M1903)</f>
        <v/>
      </c>
      <c r="P1903" s="3">
        <f>O1903-N1903</f>
        <v/>
      </c>
      <c r="Q1903" s="5">
        <f>IFERROR(P1903/O1903,0)</f>
        <v/>
      </c>
      <c r="R1903" s="2">
        <f>TEXT(DATEVALUE(B1903),"mmm")</f>
        <v/>
      </c>
      <c r="S1903" s="2">
        <f>TEXT(DATEVALUE(B1903),"yyyy-mm")</f>
        <v/>
      </c>
    </row>
    <row r="1904">
      <c r="A1904" s="2" t="inlineStr">
        <is>
          <t>O002558</t>
        </is>
      </c>
      <c r="B1904" s="2" t="inlineStr">
        <is>
          <t>2025-05-19</t>
        </is>
      </c>
      <c r="C1904" s="2" t="inlineStr">
        <is>
          <t>C0352</t>
        </is>
      </c>
      <c r="D1904" s="2" t="inlineStr">
        <is>
          <t>P0021</t>
        </is>
      </c>
      <c r="E1904" s="2" t="inlineStr">
        <is>
          <t>Wallet</t>
        </is>
      </c>
      <c r="F1904" s="2" t="inlineStr">
        <is>
          <t>Fashion</t>
        </is>
      </c>
      <c r="G1904" s="2" t="inlineStr">
        <is>
          <t>South</t>
        </is>
      </c>
      <c r="H1904" s="2" t="inlineStr">
        <is>
          <t>Karnataka</t>
        </is>
      </c>
      <c r="I1904" s="2" t="inlineStr">
        <is>
          <t>Mysuru</t>
        </is>
      </c>
      <c r="J1904" s="2" t="inlineStr">
        <is>
          <t>Online</t>
        </is>
      </c>
      <c r="K1904" s="2" t="n">
        <v>4</v>
      </c>
      <c r="L1904" s="3" t="n">
        <v>2070.62</v>
      </c>
      <c r="M1904" s="4" t="n">
        <v>0.05</v>
      </c>
      <c r="N1904" s="3" t="n">
        <v>4762.73</v>
      </c>
      <c r="O1904" s="3">
        <f>K1904*L1904*(1-M1904)</f>
        <v/>
      </c>
      <c r="P1904" s="3">
        <f>O1904-N1904</f>
        <v/>
      </c>
      <c r="Q1904" s="5">
        <f>IFERROR(P1904/O1904,0)</f>
        <v/>
      </c>
      <c r="R1904" s="2">
        <f>TEXT(DATEVALUE(B1904),"mmm")</f>
        <v/>
      </c>
      <c r="S1904" s="2">
        <f>TEXT(DATEVALUE(B1904),"yyyy-mm")</f>
        <v/>
      </c>
    </row>
    <row r="1905">
      <c r="A1905" s="2" t="inlineStr">
        <is>
          <t>O000998</t>
        </is>
      </c>
      <c r="B1905" s="2" t="inlineStr">
        <is>
          <t>2025-05-19</t>
        </is>
      </c>
      <c r="C1905" s="2" t="inlineStr">
        <is>
          <t>C0490</t>
        </is>
      </c>
      <c r="D1905" s="2" t="inlineStr">
        <is>
          <t>P0006</t>
        </is>
      </c>
      <c r="E1905" s="2" t="inlineStr">
        <is>
          <t>Mechanical Keyboard</t>
        </is>
      </c>
      <c r="F1905" s="2" t="inlineStr">
        <is>
          <t>Electronics</t>
        </is>
      </c>
      <c r="G1905" s="2" t="inlineStr">
        <is>
          <t>West</t>
        </is>
      </c>
      <c r="H1905" s="2" t="inlineStr">
        <is>
          <t>Goa</t>
        </is>
      </c>
      <c r="I1905" s="2" t="inlineStr">
        <is>
          <t>Panaji</t>
        </is>
      </c>
      <c r="J1905" s="2" t="inlineStr">
        <is>
          <t>Online</t>
        </is>
      </c>
      <c r="K1905" s="2" t="n">
        <v>1</v>
      </c>
      <c r="L1905" s="3" t="n">
        <v>2637.57</v>
      </c>
      <c r="M1905" s="4" t="n">
        <v>0</v>
      </c>
      <c r="N1905" s="3" t="n">
        <v>1510.99</v>
      </c>
      <c r="O1905" s="3">
        <f>K1905*L1905*(1-M1905)</f>
        <v/>
      </c>
      <c r="P1905" s="3">
        <f>O1905-N1905</f>
        <v/>
      </c>
      <c r="Q1905" s="5">
        <f>IFERROR(P1905/O1905,0)</f>
        <v/>
      </c>
      <c r="R1905" s="2">
        <f>TEXT(DATEVALUE(B1905),"mmm")</f>
        <v/>
      </c>
      <c r="S1905" s="2">
        <f>TEXT(DATEVALUE(B1905),"yyyy-mm")</f>
        <v/>
      </c>
    </row>
    <row r="1906">
      <c r="A1906" s="2" t="inlineStr">
        <is>
          <t>O003463</t>
        </is>
      </c>
      <c r="B1906" s="2" t="inlineStr">
        <is>
          <t>2025-05-19</t>
        </is>
      </c>
      <c r="C1906" s="2" t="inlineStr">
        <is>
          <t>C0585</t>
        </is>
      </c>
      <c r="D1906" s="2" t="inlineStr">
        <is>
          <t>P0029</t>
        </is>
      </c>
      <c r="E1906" s="2" t="inlineStr">
        <is>
          <t>Yoga Mat</t>
        </is>
      </c>
      <c r="F1906" s="2" t="inlineStr">
        <is>
          <t>Sports</t>
        </is>
      </c>
      <c r="G1906" s="2" t="inlineStr">
        <is>
          <t>North</t>
        </is>
      </c>
      <c r="H1906" s="2" t="inlineStr">
        <is>
          <t>Delhi</t>
        </is>
      </c>
      <c r="I1906" s="2" t="inlineStr">
        <is>
          <t>New Delhi</t>
        </is>
      </c>
      <c r="J1906" s="2" t="inlineStr">
        <is>
          <t>Store</t>
        </is>
      </c>
      <c r="K1906" s="2" t="n">
        <v>2</v>
      </c>
      <c r="L1906" s="3" t="n">
        <v>2461.08</v>
      </c>
      <c r="M1906" s="4" t="n">
        <v>0.05</v>
      </c>
      <c r="N1906" s="3" t="n">
        <v>2630.57</v>
      </c>
      <c r="O1906" s="3">
        <f>K1906*L1906*(1-M1906)</f>
        <v/>
      </c>
      <c r="P1906" s="3">
        <f>O1906-N1906</f>
        <v/>
      </c>
      <c r="Q1906" s="5">
        <f>IFERROR(P1906/O1906,0)</f>
        <v/>
      </c>
      <c r="R1906" s="2">
        <f>TEXT(DATEVALUE(B1906),"mmm")</f>
        <v/>
      </c>
      <c r="S1906" s="2">
        <f>TEXT(DATEVALUE(B1906),"yyyy-mm")</f>
        <v/>
      </c>
    </row>
    <row r="1907">
      <c r="A1907" s="2" t="inlineStr">
        <is>
          <t>O000103</t>
        </is>
      </c>
      <c r="B1907" s="2" t="inlineStr">
        <is>
          <t>2025-05-19</t>
        </is>
      </c>
      <c r="C1907" s="2" t="inlineStr">
        <is>
          <t>C0712</t>
        </is>
      </c>
      <c r="D1907" s="2" t="inlineStr">
        <is>
          <t>P0013</t>
        </is>
      </c>
      <c r="E1907" s="2" t="inlineStr">
        <is>
          <t>Storage Organizer</t>
        </is>
      </c>
      <c r="F1907" s="2" t="inlineStr">
        <is>
          <t>Home &amp; Kitchen</t>
        </is>
      </c>
      <c r="G1907" s="2" t="inlineStr">
        <is>
          <t>West</t>
        </is>
      </c>
      <c r="H1907" s="2" t="inlineStr">
        <is>
          <t>Goa</t>
        </is>
      </c>
      <c r="I1907" s="2" t="inlineStr">
        <is>
          <t>Panaji</t>
        </is>
      </c>
      <c r="J1907" s="2" t="inlineStr">
        <is>
          <t>Online</t>
        </is>
      </c>
      <c r="K1907" s="2" t="n">
        <v>1</v>
      </c>
      <c r="L1907" s="3" t="n">
        <v>564.74</v>
      </c>
      <c r="M1907" s="4" t="n">
        <v>0.1</v>
      </c>
      <c r="N1907" s="3" t="n">
        <v>361.19</v>
      </c>
      <c r="O1907" s="3">
        <f>K1907*L1907*(1-M1907)</f>
        <v/>
      </c>
      <c r="P1907" s="3">
        <f>O1907-N1907</f>
        <v/>
      </c>
      <c r="Q1907" s="5">
        <f>IFERROR(P1907/O1907,0)</f>
        <v/>
      </c>
      <c r="R1907" s="2">
        <f>TEXT(DATEVALUE(B1907),"mmm")</f>
        <v/>
      </c>
      <c r="S1907" s="2">
        <f>TEXT(DATEVALUE(B1907),"yyyy-mm")</f>
        <v/>
      </c>
    </row>
    <row r="1908">
      <c r="A1908" s="2" t="inlineStr">
        <is>
          <t>O004821</t>
        </is>
      </c>
      <c r="B1908" s="2" t="inlineStr">
        <is>
          <t>2025-05-20</t>
        </is>
      </c>
      <c r="C1908" s="2" t="inlineStr">
        <is>
          <t>C0154</t>
        </is>
      </c>
      <c r="D1908" s="2" t="inlineStr">
        <is>
          <t>P0014</t>
        </is>
      </c>
      <c r="E1908" s="2" t="inlineStr">
        <is>
          <t>Coffee Maker</t>
        </is>
      </c>
      <c r="F1908" s="2" t="inlineStr">
        <is>
          <t>Home &amp; Kitchen</t>
        </is>
      </c>
      <c r="G1908" s="2" t="inlineStr">
        <is>
          <t>North</t>
        </is>
      </c>
      <c r="H1908" s="2" t="inlineStr">
        <is>
          <t>Haryana</t>
        </is>
      </c>
      <c r="I1908" s="2" t="inlineStr">
        <is>
          <t>Gurugram</t>
        </is>
      </c>
      <c r="J1908" s="2" t="inlineStr">
        <is>
          <t>Online</t>
        </is>
      </c>
      <c r="K1908" s="2" t="n">
        <v>1</v>
      </c>
      <c r="L1908" s="3" t="n">
        <v>1000.12</v>
      </c>
      <c r="M1908" s="4" t="n">
        <v>0.15</v>
      </c>
      <c r="N1908" s="3" t="n">
        <v>790.3200000000001</v>
      </c>
      <c r="O1908" s="3">
        <f>K1908*L1908*(1-M1908)</f>
        <v/>
      </c>
      <c r="P1908" s="3">
        <f>O1908-N1908</f>
        <v/>
      </c>
      <c r="Q1908" s="5">
        <f>IFERROR(P1908/O1908,0)</f>
        <v/>
      </c>
      <c r="R1908" s="2">
        <f>TEXT(DATEVALUE(B1908),"mmm")</f>
        <v/>
      </c>
      <c r="S1908" s="2">
        <f>TEXT(DATEVALUE(B1908),"yyyy-mm")</f>
        <v/>
      </c>
    </row>
    <row r="1909">
      <c r="A1909" s="2" t="inlineStr">
        <is>
          <t>O004509</t>
        </is>
      </c>
      <c r="B1909" s="2" t="inlineStr">
        <is>
          <t>2025-05-20</t>
        </is>
      </c>
      <c r="C1909" s="2" t="inlineStr">
        <is>
          <t>C0177</t>
        </is>
      </c>
      <c r="D1909" s="2" t="inlineStr">
        <is>
          <t>P0024</t>
        </is>
      </c>
      <c r="E1909" s="2" t="inlineStr">
        <is>
          <t>Hair Dryer</t>
        </is>
      </c>
      <c r="F1909" s="2" t="inlineStr">
        <is>
          <t>Beauty</t>
        </is>
      </c>
      <c r="G1909" s="2" t="inlineStr">
        <is>
          <t>West</t>
        </is>
      </c>
      <c r="H1909" s="2" t="inlineStr">
        <is>
          <t>Goa</t>
        </is>
      </c>
      <c r="I1909" s="2" t="inlineStr">
        <is>
          <t>Margao</t>
        </is>
      </c>
      <c r="J1909" s="2" t="inlineStr">
        <is>
          <t>Online</t>
        </is>
      </c>
      <c r="K1909" s="2" t="n">
        <v>4</v>
      </c>
      <c r="L1909" s="3" t="n">
        <v>1044.01</v>
      </c>
      <c r="M1909" s="4" t="n">
        <v>0.1</v>
      </c>
      <c r="N1909" s="3" t="n">
        <v>2853.42</v>
      </c>
      <c r="O1909" s="3">
        <f>K1909*L1909*(1-M1909)</f>
        <v/>
      </c>
      <c r="P1909" s="3">
        <f>O1909-N1909</f>
        <v/>
      </c>
      <c r="Q1909" s="5">
        <f>IFERROR(P1909/O1909,0)</f>
        <v/>
      </c>
      <c r="R1909" s="2">
        <f>TEXT(DATEVALUE(B1909),"mmm")</f>
        <v/>
      </c>
      <c r="S1909" s="2">
        <f>TEXT(DATEVALUE(B1909),"yyyy-mm")</f>
        <v/>
      </c>
    </row>
    <row r="1910">
      <c r="A1910" s="2" t="inlineStr">
        <is>
          <t>O004269</t>
        </is>
      </c>
      <c r="B1910" s="2" t="inlineStr">
        <is>
          <t>2025-05-20</t>
        </is>
      </c>
      <c r="C1910" s="2" t="inlineStr">
        <is>
          <t>C0483</t>
        </is>
      </c>
      <c r="D1910" s="2" t="inlineStr">
        <is>
          <t>P0001</t>
        </is>
      </c>
      <c r="E1910" s="2" t="inlineStr">
        <is>
          <t>Wireless Headphones</t>
        </is>
      </c>
      <c r="F1910" s="2" t="inlineStr">
        <is>
          <t>Electronics</t>
        </is>
      </c>
      <c r="G1910" s="2" t="inlineStr">
        <is>
          <t>South</t>
        </is>
      </c>
      <c r="H1910" s="2" t="inlineStr">
        <is>
          <t>Tamil Nadu</t>
        </is>
      </c>
      <c r="I1910" s="2" t="inlineStr">
        <is>
          <t>Coimbatore</t>
        </is>
      </c>
      <c r="J1910" s="2" t="inlineStr">
        <is>
          <t>Online</t>
        </is>
      </c>
      <c r="K1910" s="2" t="n">
        <v>3</v>
      </c>
      <c r="L1910" s="3" t="n">
        <v>1291.1</v>
      </c>
      <c r="M1910" s="4" t="n">
        <v>0</v>
      </c>
      <c r="N1910" s="3" t="n">
        <v>2172.9</v>
      </c>
      <c r="O1910" s="3">
        <f>K1910*L1910*(1-M1910)</f>
        <v/>
      </c>
      <c r="P1910" s="3">
        <f>O1910-N1910</f>
        <v/>
      </c>
      <c r="Q1910" s="5">
        <f>IFERROR(P1910/O1910,0)</f>
        <v/>
      </c>
      <c r="R1910" s="2">
        <f>TEXT(DATEVALUE(B1910),"mmm")</f>
        <v/>
      </c>
      <c r="S1910" s="2">
        <f>TEXT(DATEVALUE(B1910),"yyyy-mm")</f>
        <v/>
      </c>
    </row>
    <row r="1911">
      <c r="A1911" s="2" t="inlineStr">
        <is>
          <t>O003491</t>
        </is>
      </c>
      <c r="B1911" s="2" t="inlineStr">
        <is>
          <t>2025-05-20</t>
        </is>
      </c>
      <c r="C1911" s="2" t="inlineStr">
        <is>
          <t>C0568</t>
        </is>
      </c>
      <c r="D1911" s="2" t="inlineStr">
        <is>
          <t>P0028</t>
        </is>
      </c>
      <c r="E1911" s="2" t="inlineStr">
        <is>
          <t>Trimmer</t>
        </is>
      </c>
      <c r="F1911" s="2" t="inlineStr">
        <is>
          <t>Beauty</t>
        </is>
      </c>
      <c r="G1911" s="2" t="inlineStr">
        <is>
          <t>South</t>
        </is>
      </c>
      <c r="H1911" s="2" t="inlineStr">
        <is>
          <t>Telangana</t>
        </is>
      </c>
      <c r="I1911" s="2" t="inlineStr">
        <is>
          <t>Warangal</t>
        </is>
      </c>
      <c r="J1911" s="2" t="inlineStr">
        <is>
          <t>Store</t>
        </is>
      </c>
      <c r="K1911" s="2" t="n">
        <v>3</v>
      </c>
      <c r="L1911" s="3" t="n">
        <v>436.26</v>
      </c>
      <c r="M1911" s="4" t="n">
        <v>0.05</v>
      </c>
      <c r="N1911" s="3" t="n">
        <v>773.25</v>
      </c>
      <c r="O1911" s="3">
        <f>K1911*L1911*(1-M1911)</f>
        <v/>
      </c>
      <c r="P1911" s="3">
        <f>O1911-N1911</f>
        <v/>
      </c>
      <c r="Q1911" s="5">
        <f>IFERROR(P1911/O1911,0)</f>
        <v/>
      </c>
      <c r="R1911" s="2">
        <f>TEXT(DATEVALUE(B1911),"mmm")</f>
        <v/>
      </c>
      <c r="S1911" s="2">
        <f>TEXT(DATEVALUE(B1911),"yyyy-mm")</f>
        <v/>
      </c>
    </row>
    <row r="1912">
      <c r="A1912" s="2" t="inlineStr">
        <is>
          <t>O003734</t>
        </is>
      </c>
      <c r="B1912" s="2" t="inlineStr">
        <is>
          <t>2025-05-20</t>
        </is>
      </c>
      <c r="C1912" s="2" t="inlineStr">
        <is>
          <t>C0786</t>
        </is>
      </c>
      <c r="D1912" s="2" t="inlineStr">
        <is>
          <t>P0004</t>
        </is>
      </c>
      <c r="E1912" s="2" t="inlineStr">
        <is>
          <t>USB-C Hub</t>
        </is>
      </c>
      <c r="F1912" s="2" t="inlineStr">
        <is>
          <t>Electronics</t>
        </is>
      </c>
      <c r="G1912" s="2" t="inlineStr">
        <is>
          <t>East</t>
        </is>
      </c>
      <c r="H1912" s="2" t="inlineStr">
        <is>
          <t>Bihar</t>
        </is>
      </c>
      <c r="I1912" s="2" t="inlineStr">
        <is>
          <t>Gaya</t>
        </is>
      </c>
      <c r="J1912" s="2" t="inlineStr">
        <is>
          <t>Online</t>
        </is>
      </c>
      <c r="K1912" s="2" t="n">
        <v>4</v>
      </c>
      <c r="L1912" s="3" t="n">
        <v>1283.44</v>
      </c>
      <c r="M1912" s="4" t="n">
        <v>0.1</v>
      </c>
      <c r="N1912" s="3" t="n">
        <v>3773.98</v>
      </c>
      <c r="O1912" s="3">
        <f>K1912*L1912*(1-M1912)</f>
        <v/>
      </c>
      <c r="P1912" s="3">
        <f>O1912-N1912</f>
        <v/>
      </c>
      <c r="Q1912" s="5">
        <f>IFERROR(P1912/O1912,0)</f>
        <v/>
      </c>
      <c r="R1912" s="2">
        <f>TEXT(DATEVALUE(B1912),"mmm")</f>
        <v/>
      </c>
      <c r="S1912" s="2">
        <f>TEXT(DATEVALUE(B1912),"yyyy-mm")</f>
        <v/>
      </c>
    </row>
    <row r="1913">
      <c r="A1913" s="2" t="inlineStr">
        <is>
          <t>O001530</t>
        </is>
      </c>
      <c r="B1913" s="2" t="inlineStr">
        <is>
          <t>2025-05-20</t>
        </is>
      </c>
      <c r="C1913" s="2" t="inlineStr">
        <is>
          <t>C0297</t>
        </is>
      </c>
      <c r="D1913" s="2" t="inlineStr">
        <is>
          <t>P0026</t>
        </is>
      </c>
      <c r="E1913" s="2" t="inlineStr">
        <is>
          <t>Shampoo</t>
        </is>
      </c>
      <c r="F1913" s="2" t="inlineStr">
        <is>
          <t>Beauty</t>
        </is>
      </c>
      <c r="G1913" s="2" t="inlineStr">
        <is>
          <t>West</t>
        </is>
      </c>
      <c r="H1913" s="2" t="inlineStr">
        <is>
          <t>Goa</t>
        </is>
      </c>
      <c r="I1913" s="2" t="inlineStr">
        <is>
          <t>Panaji</t>
        </is>
      </c>
      <c r="J1913" s="2" t="inlineStr">
        <is>
          <t>Online</t>
        </is>
      </c>
      <c r="K1913" s="2" t="n">
        <v>1</v>
      </c>
      <c r="L1913" s="3" t="n">
        <v>850.4400000000001</v>
      </c>
      <c r="M1913" s="4" t="n">
        <v>0.1</v>
      </c>
      <c r="N1913" s="3" t="n">
        <v>516.6799999999999</v>
      </c>
      <c r="O1913" s="3">
        <f>K1913*L1913*(1-M1913)</f>
        <v/>
      </c>
      <c r="P1913" s="3">
        <f>O1913-N1913</f>
        <v/>
      </c>
      <c r="Q1913" s="5">
        <f>IFERROR(P1913/O1913,0)</f>
        <v/>
      </c>
      <c r="R1913" s="2">
        <f>TEXT(DATEVALUE(B1913),"mmm")</f>
        <v/>
      </c>
      <c r="S1913" s="2">
        <f>TEXT(DATEVALUE(B1913),"yyyy-mm")</f>
        <v/>
      </c>
    </row>
    <row r="1914">
      <c r="A1914" s="2" t="inlineStr">
        <is>
          <t>O000990</t>
        </is>
      </c>
      <c r="B1914" s="2" t="inlineStr">
        <is>
          <t>2025-05-20</t>
        </is>
      </c>
      <c r="C1914" s="2" t="inlineStr">
        <is>
          <t>C0048</t>
        </is>
      </c>
      <c r="D1914" s="2" t="inlineStr">
        <is>
          <t>P0032</t>
        </is>
      </c>
      <c r="E1914" s="2" t="inlineStr">
        <is>
          <t>Football</t>
        </is>
      </c>
      <c r="F1914" s="2" t="inlineStr">
        <is>
          <t>Sports</t>
        </is>
      </c>
      <c r="G1914" s="2" t="inlineStr">
        <is>
          <t>West</t>
        </is>
      </c>
      <c r="H1914" s="2" t="inlineStr">
        <is>
          <t>Goa</t>
        </is>
      </c>
      <c r="I1914" s="2" t="inlineStr">
        <is>
          <t>Margao</t>
        </is>
      </c>
      <c r="J1914" s="2" t="inlineStr">
        <is>
          <t>Online</t>
        </is>
      </c>
      <c r="K1914" s="2" t="n">
        <v>1</v>
      </c>
      <c r="L1914" s="3" t="n">
        <v>825.86</v>
      </c>
      <c r="M1914" s="4" t="n">
        <v>0.1</v>
      </c>
      <c r="N1914" s="3" t="n">
        <v>541.4</v>
      </c>
      <c r="O1914" s="3">
        <f>K1914*L1914*(1-M1914)</f>
        <v/>
      </c>
      <c r="P1914" s="3">
        <f>O1914-N1914</f>
        <v/>
      </c>
      <c r="Q1914" s="5">
        <f>IFERROR(P1914/O1914,0)</f>
        <v/>
      </c>
      <c r="R1914" s="2">
        <f>TEXT(DATEVALUE(B1914),"mmm")</f>
        <v/>
      </c>
      <c r="S1914" s="2">
        <f>TEXT(DATEVALUE(B1914),"yyyy-mm")</f>
        <v/>
      </c>
    </row>
    <row r="1915">
      <c r="A1915" s="2" t="inlineStr">
        <is>
          <t>O000267</t>
        </is>
      </c>
      <c r="B1915" s="2" t="inlineStr">
        <is>
          <t>2025-05-20</t>
        </is>
      </c>
      <c r="C1915" s="2" t="inlineStr">
        <is>
          <t>C0041</t>
        </is>
      </c>
      <c r="D1915" s="2" t="inlineStr">
        <is>
          <t>P0001</t>
        </is>
      </c>
      <c r="E1915" s="2" t="inlineStr">
        <is>
          <t>Wireless Headphones</t>
        </is>
      </c>
      <c r="F1915" s="2" t="inlineStr">
        <is>
          <t>Electronics</t>
        </is>
      </c>
      <c r="G1915" s="2" t="inlineStr">
        <is>
          <t>East</t>
        </is>
      </c>
      <c r="H1915" s="2" t="inlineStr">
        <is>
          <t>West Bengal</t>
        </is>
      </c>
      <c r="I1915" s="2" t="inlineStr">
        <is>
          <t>Durgapur</t>
        </is>
      </c>
      <c r="J1915" s="2" t="inlineStr">
        <is>
          <t>Online</t>
        </is>
      </c>
      <c r="K1915" s="2" t="n">
        <v>1</v>
      </c>
      <c r="L1915" s="3" t="n">
        <v>1305.68</v>
      </c>
      <c r="M1915" s="4" t="n">
        <v>0</v>
      </c>
      <c r="N1915" s="3" t="n">
        <v>685.67</v>
      </c>
      <c r="O1915" s="3">
        <f>K1915*L1915*(1-M1915)</f>
        <v/>
      </c>
      <c r="P1915" s="3">
        <f>O1915-N1915</f>
        <v/>
      </c>
      <c r="Q1915" s="5">
        <f>IFERROR(P1915/O1915,0)</f>
        <v/>
      </c>
      <c r="R1915" s="2">
        <f>TEXT(DATEVALUE(B1915),"mmm")</f>
        <v/>
      </c>
      <c r="S1915" s="2">
        <f>TEXT(DATEVALUE(B1915),"yyyy-mm")</f>
        <v/>
      </c>
    </row>
    <row r="1916">
      <c r="A1916" s="2" t="inlineStr">
        <is>
          <t>O002591</t>
        </is>
      </c>
      <c r="B1916" s="2" t="inlineStr">
        <is>
          <t>2025-05-20</t>
        </is>
      </c>
      <c r="C1916" s="2" t="inlineStr">
        <is>
          <t>C0418</t>
        </is>
      </c>
      <c r="D1916" s="2" t="inlineStr">
        <is>
          <t>P0021</t>
        </is>
      </c>
      <c r="E1916" s="2" t="inlineStr">
        <is>
          <t>Wallet</t>
        </is>
      </c>
      <c r="F1916" s="2" t="inlineStr">
        <is>
          <t>Fashion</t>
        </is>
      </c>
      <c r="G1916" s="2" t="inlineStr">
        <is>
          <t>North</t>
        </is>
      </c>
      <c r="H1916" s="2" t="inlineStr">
        <is>
          <t>Delhi</t>
        </is>
      </c>
      <c r="I1916" s="2" t="inlineStr">
        <is>
          <t>New Delhi</t>
        </is>
      </c>
      <c r="J1916" s="2" t="inlineStr">
        <is>
          <t>Online</t>
        </is>
      </c>
      <c r="K1916" s="2" t="n">
        <v>5</v>
      </c>
      <c r="L1916" s="3" t="n">
        <v>1937.52</v>
      </c>
      <c r="M1916" s="4" t="n">
        <v>0.05</v>
      </c>
      <c r="N1916" s="3" t="n">
        <v>6240.88</v>
      </c>
      <c r="O1916" s="3">
        <f>K1916*L1916*(1-M1916)</f>
        <v/>
      </c>
      <c r="P1916" s="3">
        <f>O1916-N1916</f>
        <v/>
      </c>
      <c r="Q1916" s="5">
        <f>IFERROR(P1916/O1916,0)</f>
        <v/>
      </c>
      <c r="R1916" s="2">
        <f>TEXT(DATEVALUE(B1916),"mmm")</f>
        <v/>
      </c>
      <c r="S1916" s="2">
        <f>TEXT(DATEVALUE(B1916),"yyyy-mm")</f>
        <v/>
      </c>
    </row>
    <row r="1917">
      <c r="A1917" s="2" t="inlineStr">
        <is>
          <t>O003583</t>
        </is>
      </c>
      <c r="B1917" s="2" t="inlineStr">
        <is>
          <t>2025-05-21</t>
        </is>
      </c>
      <c r="C1917" s="2" t="inlineStr">
        <is>
          <t>C0073</t>
        </is>
      </c>
      <c r="D1917" s="2" t="inlineStr">
        <is>
          <t>P0032</t>
        </is>
      </c>
      <c r="E1917" s="2" t="inlineStr">
        <is>
          <t>Football</t>
        </is>
      </c>
      <c r="F1917" s="2" t="inlineStr">
        <is>
          <t>Sports</t>
        </is>
      </c>
      <c r="G1917" s="2" t="inlineStr">
        <is>
          <t>North</t>
        </is>
      </c>
      <c r="H1917" s="2" t="inlineStr">
        <is>
          <t>Punjab</t>
        </is>
      </c>
      <c r="I1917" s="2" t="inlineStr">
        <is>
          <t>Ludhiana</t>
        </is>
      </c>
      <c r="J1917" s="2" t="inlineStr">
        <is>
          <t>Online</t>
        </is>
      </c>
      <c r="K1917" s="2" t="n">
        <v>2</v>
      </c>
      <c r="L1917" s="3" t="n">
        <v>841.99</v>
      </c>
      <c r="M1917" s="4" t="n">
        <v>0.2</v>
      </c>
      <c r="N1917" s="3" t="n">
        <v>1101.79</v>
      </c>
      <c r="O1917" s="3">
        <f>K1917*L1917*(1-M1917)</f>
        <v/>
      </c>
      <c r="P1917" s="3">
        <f>O1917-N1917</f>
        <v/>
      </c>
      <c r="Q1917" s="5">
        <f>IFERROR(P1917/O1917,0)</f>
        <v/>
      </c>
      <c r="R1917" s="2">
        <f>TEXT(DATEVALUE(B1917),"mmm")</f>
        <v/>
      </c>
      <c r="S1917" s="2">
        <f>TEXT(DATEVALUE(B1917),"yyyy-mm")</f>
        <v/>
      </c>
    </row>
    <row r="1918">
      <c r="A1918" s="2" t="inlineStr">
        <is>
          <t>O004553</t>
        </is>
      </c>
      <c r="B1918" s="2" t="inlineStr">
        <is>
          <t>2025-05-21</t>
        </is>
      </c>
      <c r="C1918" s="2" t="inlineStr">
        <is>
          <t>C0293</t>
        </is>
      </c>
      <c r="D1918" s="2" t="inlineStr">
        <is>
          <t>P0018</t>
        </is>
      </c>
      <c r="E1918" s="2" t="inlineStr">
        <is>
          <t>Backpack</t>
        </is>
      </c>
      <c r="F1918" s="2" t="inlineStr">
        <is>
          <t>Fashion</t>
        </is>
      </c>
      <c r="G1918" s="2" t="inlineStr">
        <is>
          <t>North</t>
        </is>
      </c>
      <c r="H1918" s="2" t="inlineStr">
        <is>
          <t>Haryana</t>
        </is>
      </c>
      <c r="I1918" s="2" t="inlineStr">
        <is>
          <t>Gurugram</t>
        </is>
      </c>
      <c r="J1918" s="2" t="inlineStr">
        <is>
          <t>Online</t>
        </is>
      </c>
      <c r="K1918" s="2" t="n">
        <v>1</v>
      </c>
      <c r="L1918" s="3" t="n">
        <v>1849.72</v>
      </c>
      <c r="M1918" s="4" t="n">
        <v>0.1</v>
      </c>
      <c r="N1918" s="3" t="n">
        <v>1385.31</v>
      </c>
      <c r="O1918" s="3">
        <f>K1918*L1918*(1-M1918)</f>
        <v/>
      </c>
      <c r="P1918" s="3">
        <f>O1918-N1918</f>
        <v/>
      </c>
      <c r="Q1918" s="5">
        <f>IFERROR(P1918/O1918,0)</f>
        <v/>
      </c>
      <c r="R1918" s="2">
        <f>TEXT(DATEVALUE(B1918),"mmm")</f>
        <v/>
      </c>
      <c r="S1918" s="2">
        <f>TEXT(DATEVALUE(B1918),"yyyy-mm")</f>
        <v/>
      </c>
    </row>
    <row r="1919">
      <c r="A1919" s="2" t="inlineStr">
        <is>
          <t>O004286</t>
        </is>
      </c>
      <c r="B1919" s="2" t="inlineStr">
        <is>
          <t>2025-05-21</t>
        </is>
      </c>
      <c r="C1919" s="2" t="inlineStr">
        <is>
          <t>C0161</t>
        </is>
      </c>
      <c r="D1919" s="2" t="inlineStr">
        <is>
          <t>P0024</t>
        </is>
      </c>
      <c r="E1919" s="2" t="inlineStr">
        <is>
          <t>Hair Dryer</t>
        </is>
      </c>
      <c r="F1919" s="2" t="inlineStr">
        <is>
          <t>Beauty</t>
        </is>
      </c>
      <c r="G1919" s="2" t="inlineStr">
        <is>
          <t>South</t>
        </is>
      </c>
      <c r="H1919" s="2" t="inlineStr">
        <is>
          <t>Tamil Nadu</t>
        </is>
      </c>
      <c r="I1919" s="2" t="inlineStr">
        <is>
          <t>Coimbatore</t>
        </is>
      </c>
      <c r="J1919" s="2" t="inlineStr">
        <is>
          <t>Store</t>
        </is>
      </c>
      <c r="K1919" s="2" t="n">
        <v>2</v>
      </c>
      <c r="L1919" s="3" t="n">
        <v>1045.24</v>
      </c>
      <c r="M1919" s="4" t="n">
        <v>0.1</v>
      </c>
      <c r="N1919" s="3" t="n">
        <v>1503.1</v>
      </c>
      <c r="O1919" s="3">
        <f>K1919*L1919*(1-M1919)</f>
        <v/>
      </c>
      <c r="P1919" s="3">
        <f>O1919-N1919</f>
        <v/>
      </c>
      <c r="Q1919" s="5">
        <f>IFERROR(P1919/O1919,0)</f>
        <v/>
      </c>
      <c r="R1919" s="2">
        <f>TEXT(DATEVALUE(B1919),"mmm")</f>
        <v/>
      </c>
      <c r="S1919" s="2">
        <f>TEXT(DATEVALUE(B1919),"yyyy-mm")</f>
        <v/>
      </c>
    </row>
    <row r="1920">
      <c r="A1920" s="2" t="inlineStr">
        <is>
          <t>O004200</t>
        </is>
      </c>
      <c r="B1920" s="2" t="inlineStr">
        <is>
          <t>2025-05-21</t>
        </is>
      </c>
      <c r="C1920" s="2" t="inlineStr">
        <is>
          <t>C0076</t>
        </is>
      </c>
      <c r="D1920" s="2" t="inlineStr">
        <is>
          <t>P0020</t>
        </is>
      </c>
      <c r="E1920" s="2" t="inlineStr">
        <is>
          <t>Sneakers</t>
        </is>
      </c>
      <c r="F1920" s="2" t="inlineStr">
        <is>
          <t>Fashion</t>
        </is>
      </c>
      <c r="G1920" s="2" t="inlineStr">
        <is>
          <t>West</t>
        </is>
      </c>
      <c r="H1920" s="2" t="inlineStr">
        <is>
          <t>Goa</t>
        </is>
      </c>
      <c r="I1920" s="2" t="inlineStr">
        <is>
          <t>Margao</t>
        </is>
      </c>
      <c r="J1920" s="2" t="inlineStr">
        <is>
          <t>Online</t>
        </is>
      </c>
      <c r="K1920" s="2" t="n">
        <v>2</v>
      </c>
      <c r="L1920" s="3" t="n">
        <v>2014.41</v>
      </c>
      <c r="M1920" s="4" t="n">
        <v>0.1</v>
      </c>
      <c r="N1920" s="3" t="n">
        <v>3089.55</v>
      </c>
      <c r="O1920" s="3">
        <f>K1920*L1920*(1-M1920)</f>
        <v/>
      </c>
      <c r="P1920" s="3">
        <f>O1920-N1920</f>
        <v/>
      </c>
      <c r="Q1920" s="5">
        <f>IFERROR(P1920/O1920,0)</f>
        <v/>
      </c>
      <c r="R1920" s="2">
        <f>TEXT(DATEVALUE(B1920),"mmm")</f>
        <v/>
      </c>
      <c r="S1920" s="2">
        <f>TEXT(DATEVALUE(B1920),"yyyy-mm")</f>
        <v/>
      </c>
    </row>
    <row r="1921">
      <c r="A1921" s="2" t="inlineStr">
        <is>
          <t>O004598</t>
        </is>
      </c>
      <c r="B1921" s="2" t="inlineStr">
        <is>
          <t>2025-05-21</t>
        </is>
      </c>
      <c r="C1921" s="2" t="inlineStr">
        <is>
          <t>C0467</t>
        </is>
      </c>
      <c r="D1921" s="2" t="inlineStr">
        <is>
          <t>P0013</t>
        </is>
      </c>
      <c r="E1921" s="2" t="inlineStr">
        <is>
          <t>Storage Organizer</t>
        </is>
      </c>
      <c r="F1921" s="2" t="inlineStr">
        <is>
          <t>Home &amp; Kitchen</t>
        </is>
      </c>
      <c r="G1921" s="2" t="inlineStr">
        <is>
          <t>South</t>
        </is>
      </c>
      <c r="H1921" s="2" t="inlineStr">
        <is>
          <t>Karnataka</t>
        </is>
      </c>
      <c r="I1921" s="2" t="inlineStr">
        <is>
          <t>Mysuru</t>
        </is>
      </c>
      <c r="J1921" s="2" t="inlineStr">
        <is>
          <t>Online</t>
        </is>
      </c>
      <c r="K1921" s="2" t="n">
        <v>1</v>
      </c>
      <c r="L1921" s="3" t="n">
        <v>561.91</v>
      </c>
      <c r="M1921" s="4" t="n">
        <v>0.1</v>
      </c>
      <c r="N1921" s="3" t="n">
        <v>361.61</v>
      </c>
      <c r="O1921" s="3">
        <f>K1921*L1921*(1-M1921)</f>
        <v/>
      </c>
      <c r="P1921" s="3">
        <f>O1921-N1921</f>
        <v/>
      </c>
      <c r="Q1921" s="5">
        <f>IFERROR(P1921/O1921,0)</f>
        <v/>
      </c>
      <c r="R1921" s="2">
        <f>TEXT(DATEVALUE(B1921),"mmm")</f>
        <v/>
      </c>
      <c r="S1921" s="2">
        <f>TEXT(DATEVALUE(B1921),"yyyy-mm")</f>
        <v/>
      </c>
    </row>
    <row r="1922">
      <c r="A1922" s="2" t="inlineStr">
        <is>
          <t>O004014</t>
        </is>
      </c>
      <c r="B1922" s="2" t="inlineStr">
        <is>
          <t>2025-05-21</t>
        </is>
      </c>
      <c r="C1922" s="2" t="inlineStr">
        <is>
          <t>C0438</t>
        </is>
      </c>
      <c r="D1922" s="2" t="inlineStr">
        <is>
          <t>P0021</t>
        </is>
      </c>
      <c r="E1922" s="2" t="inlineStr">
        <is>
          <t>Wallet</t>
        </is>
      </c>
      <c r="F1922" s="2" t="inlineStr">
        <is>
          <t>Fashion</t>
        </is>
      </c>
      <c r="G1922" s="2" t="inlineStr">
        <is>
          <t>South</t>
        </is>
      </c>
      <c r="H1922" s="2" t="inlineStr">
        <is>
          <t>Karnataka</t>
        </is>
      </c>
      <c r="I1922" s="2" t="inlineStr">
        <is>
          <t>Mangaluru</t>
        </is>
      </c>
      <c r="J1922" s="2" t="inlineStr">
        <is>
          <t>Online</t>
        </is>
      </c>
      <c r="K1922" s="2" t="n">
        <v>6</v>
      </c>
      <c r="L1922" s="3" t="n">
        <v>1954.68</v>
      </c>
      <c r="M1922" s="4" t="n">
        <v>0.05</v>
      </c>
      <c r="N1922" s="3" t="n">
        <v>7188.42</v>
      </c>
      <c r="O1922" s="3">
        <f>K1922*L1922*(1-M1922)</f>
        <v/>
      </c>
      <c r="P1922" s="3">
        <f>O1922-N1922</f>
        <v/>
      </c>
      <c r="Q1922" s="5">
        <f>IFERROR(P1922/O1922,0)</f>
        <v/>
      </c>
      <c r="R1922" s="2">
        <f>TEXT(DATEVALUE(B1922),"mmm")</f>
        <v/>
      </c>
      <c r="S1922" s="2">
        <f>TEXT(DATEVALUE(B1922),"yyyy-mm")</f>
        <v/>
      </c>
    </row>
    <row r="1923">
      <c r="A1923" s="2" t="inlineStr">
        <is>
          <t>O003979</t>
        </is>
      </c>
      <c r="B1923" s="2" t="inlineStr">
        <is>
          <t>2025-05-21</t>
        </is>
      </c>
      <c r="C1923" s="2" t="inlineStr">
        <is>
          <t>C0499</t>
        </is>
      </c>
      <c r="D1923" s="2" t="inlineStr">
        <is>
          <t>P0016</t>
        </is>
      </c>
      <c r="E1923" s="2" t="inlineStr">
        <is>
          <t>Casual Shirt</t>
        </is>
      </c>
      <c r="F1923" s="2" t="inlineStr">
        <is>
          <t>Fashion</t>
        </is>
      </c>
      <c r="G1923" s="2" t="inlineStr">
        <is>
          <t>West</t>
        </is>
      </c>
      <c r="H1923" s="2" t="inlineStr">
        <is>
          <t>Goa</t>
        </is>
      </c>
      <c r="I1923" s="2" t="inlineStr">
        <is>
          <t>Panaji</t>
        </is>
      </c>
      <c r="J1923" s="2" t="inlineStr">
        <is>
          <t>Online</t>
        </is>
      </c>
      <c r="K1923" s="2" t="n">
        <v>3</v>
      </c>
      <c r="L1923" s="3" t="n">
        <v>1289.46</v>
      </c>
      <c r="M1923" s="4" t="n">
        <v>0</v>
      </c>
      <c r="N1923" s="3" t="n">
        <v>2650.47</v>
      </c>
      <c r="O1923" s="3">
        <f>K1923*L1923*(1-M1923)</f>
        <v/>
      </c>
      <c r="P1923" s="3">
        <f>O1923-N1923</f>
        <v/>
      </c>
      <c r="Q1923" s="5">
        <f>IFERROR(P1923/O1923,0)</f>
        <v/>
      </c>
      <c r="R1923" s="2">
        <f>TEXT(DATEVALUE(B1923),"mmm")</f>
        <v/>
      </c>
      <c r="S1923" s="2">
        <f>TEXT(DATEVALUE(B1923),"yyyy-mm")</f>
        <v/>
      </c>
    </row>
    <row r="1924">
      <c r="A1924" s="2" t="inlineStr">
        <is>
          <t>O003706</t>
        </is>
      </c>
      <c r="B1924" s="2" t="inlineStr">
        <is>
          <t>2025-05-21</t>
        </is>
      </c>
      <c r="C1924" s="2" t="inlineStr">
        <is>
          <t>C0616</t>
        </is>
      </c>
      <c r="D1924" s="2" t="inlineStr">
        <is>
          <t>P0003</t>
        </is>
      </c>
      <c r="E1924" s="2" t="inlineStr">
        <is>
          <t>Smartwatch</t>
        </is>
      </c>
      <c r="F1924" s="2" t="inlineStr">
        <is>
          <t>Electronics</t>
        </is>
      </c>
      <c r="G1924" s="2" t="inlineStr">
        <is>
          <t>East</t>
        </is>
      </c>
      <c r="H1924" s="2" t="inlineStr">
        <is>
          <t>West Bengal</t>
        </is>
      </c>
      <c r="I1924" s="2" t="inlineStr">
        <is>
          <t>Kolkata</t>
        </is>
      </c>
      <c r="J1924" s="2" t="inlineStr">
        <is>
          <t>Online</t>
        </is>
      </c>
      <c r="K1924" s="2" t="n">
        <v>1</v>
      </c>
      <c r="L1924" s="3" t="n">
        <v>2230.15</v>
      </c>
      <c r="M1924" s="4" t="n">
        <v>0.05</v>
      </c>
      <c r="N1924" s="3" t="n">
        <v>1185.82</v>
      </c>
      <c r="O1924" s="3">
        <f>K1924*L1924*(1-M1924)</f>
        <v/>
      </c>
      <c r="P1924" s="3">
        <f>O1924-N1924</f>
        <v/>
      </c>
      <c r="Q1924" s="5">
        <f>IFERROR(P1924/O1924,0)</f>
        <v/>
      </c>
      <c r="R1924" s="2">
        <f>TEXT(DATEVALUE(B1924),"mmm")</f>
        <v/>
      </c>
      <c r="S1924" s="2">
        <f>TEXT(DATEVALUE(B1924),"yyyy-mm")</f>
        <v/>
      </c>
    </row>
    <row r="1925">
      <c r="A1925" s="2" t="inlineStr">
        <is>
          <t>O003238</t>
        </is>
      </c>
      <c r="B1925" s="2" t="inlineStr">
        <is>
          <t>2025-05-21</t>
        </is>
      </c>
      <c r="C1925" s="2" t="inlineStr">
        <is>
          <t>C0667</t>
        </is>
      </c>
      <c r="D1925" s="2" t="inlineStr">
        <is>
          <t>P0015</t>
        </is>
      </c>
      <c r="E1925" s="2" t="inlineStr">
        <is>
          <t>Running Shoes</t>
        </is>
      </c>
      <c r="F1925" s="2" t="inlineStr">
        <is>
          <t>Fashion</t>
        </is>
      </c>
      <c r="G1925" s="2" t="inlineStr">
        <is>
          <t>West</t>
        </is>
      </c>
      <c r="H1925" s="2" t="inlineStr">
        <is>
          <t>Gujarat</t>
        </is>
      </c>
      <c r="I1925" s="2" t="inlineStr">
        <is>
          <t>Vadodara</t>
        </is>
      </c>
      <c r="J1925" s="2" t="inlineStr">
        <is>
          <t>Store</t>
        </is>
      </c>
      <c r="K1925" s="2" t="n">
        <v>5</v>
      </c>
      <c r="L1925" s="3" t="n">
        <v>615.84</v>
      </c>
      <c r="M1925" s="4" t="n">
        <v>0.1</v>
      </c>
      <c r="N1925" s="3" t="n">
        <v>1805.36</v>
      </c>
      <c r="O1925" s="3">
        <f>K1925*L1925*(1-M1925)</f>
        <v/>
      </c>
      <c r="P1925" s="3">
        <f>O1925-N1925</f>
        <v/>
      </c>
      <c r="Q1925" s="5">
        <f>IFERROR(P1925/O1925,0)</f>
        <v/>
      </c>
      <c r="R1925" s="2">
        <f>TEXT(DATEVALUE(B1925),"mmm")</f>
        <v/>
      </c>
      <c r="S1925" s="2">
        <f>TEXT(DATEVALUE(B1925),"yyyy-mm")</f>
        <v/>
      </c>
    </row>
    <row r="1926">
      <c r="A1926" s="2" t="inlineStr">
        <is>
          <t>O001217</t>
        </is>
      </c>
      <c r="B1926" s="2" t="inlineStr">
        <is>
          <t>2025-05-21</t>
        </is>
      </c>
      <c r="C1926" s="2" t="inlineStr">
        <is>
          <t>C0563</t>
        </is>
      </c>
      <c r="D1926" s="2" t="inlineStr">
        <is>
          <t>P0004</t>
        </is>
      </c>
      <c r="E1926" s="2" t="inlineStr">
        <is>
          <t>USB-C Hub</t>
        </is>
      </c>
      <c r="F1926" s="2" t="inlineStr">
        <is>
          <t>Electronics</t>
        </is>
      </c>
      <c r="G1926" s="2" t="inlineStr">
        <is>
          <t>East</t>
        </is>
      </c>
      <c r="H1926" s="2" t="inlineStr">
        <is>
          <t>Odisha</t>
        </is>
      </c>
      <c r="I1926" s="2" t="inlineStr">
        <is>
          <t>Bhubaneswar</t>
        </is>
      </c>
      <c r="J1926" s="2" t="inlineStr">
        <is>
          <t>Store</t>
        </is>
      </c>
      <c r="K1926" s="2" t="n">
        <v>3</v>
      </c>
      <c r="L1926" s="3" t="n">
        <v>1226.5</v>
      </c>
      <c r="M1926" s="4" t="n">
        <v>0.05</v>
      </c>
      <c r="N1926" s="3" t="n">
        <v>2867.34</v>
      </c>
      <c r="O1926" s="3">
        <f>K1926*L1926*(1-M1926)</f>
        <v/>
      </c>
      <c r="P1926" s="3">
        <f>O1926-N1926</f>
        <v/>
      </c>
      <c r="Q1926" s="5">
        <f>IFERROR(P1926/O1926,0)</f>
        <v/>
      </c>
      <c r="R1926" s="2">
        <f>TEXT(DATEVALUE(B1926),"mmm")</f>
        <v/>
      </c>
      <c r="S1926" s="2">
        <f>TEXT(DATEVALUE(B1926),"yyyy-mm")</f>
        <v/>
      </c>
    </row>
    <row r="1927">
      <c r="A1927" s="2" t="inlineStr">
        <is>
          <t>O002407</t>
        </is>
      </c>
      <c r="B1927" s="2" t="inlineStr">
        <is>
          <t>2025-05-21</t>
        </is>
      </c>
      <c r="C1927" s="2" t="inlineStr">
        <is>
          <t>C0649</t>
        </is>
      </c>
      <c r="D1927" s="2" t="inlineStr">
        <is>
          <t>P0017</t>
        </is>
      </c>
      <c r="E1927" s="2" t="inlineStr">
        <is>
          <t>Jeans</t>
        </is>
      </c>
      <c r="F1927" s="2" t="inlineStr">
        <is>
          <t>Fashion</t>
        </is>
      </c>
      <c r="G1927" s="2" t="inlineStr">
        <is>
          <t>South</t>
        </is>
      </c>
      <c r="H1927" s="2" t="inlineStr">
        <is>
          <t>Kerala</t>
        </is>
      </c>
      <c r="I1927" s="2" t="inlineStr">
        <is>
          <t>Kochi</t>
        </is>
      </c>
      <c r="J1927" s="2" t="inlineStr">
        <is>
          <t>Online</t>
        </is>
      </c>
      <c r="K1927" s="2" t="n">
        <v>2</v>
      </c>
      <c r="L1927" s="3" t="n">
        <v>1443.69</v>
      </c>
      <c r="M1927" s="4" t="n">
        <v>0.15</v>
      </c>
      <c r="N1927" s="3" t="n">
        <v>2096.26</v>
      </c>
      <c r="O1927" s="3">
        <f>K1927*L1927*(1-M1927)</f>
        <v/>
      </c>
      <c r="P1927" s="3">
        <f>O1927-N1927</f>
        <v/>
      </c>
      <c r="Q1927" s="5">
        <f>IFERROR(P1927/O1927,0)</f>
        <v/>
      </c>
      <c r="R1927" s="2">
        <f>TEXT(DATEVALUE(B1927),"mmm")</f>
        <v/>
      </c>
      <c r="S1927" s="2">
        <f>TEXT(DATEVALUE(B1927),"yyyy-mm")</f>
        <v/>
      </c>
    </row>
    <row r="1928">
      <c r="A1928" s="2" t="inlineStr">
        <is>
          <t>O002198</t>
        </is>
      </c>
      <c r="B1928" s="2" t="inlineStr">
        <is>
          <t>2025-05-21</t>
        </is>
      </c>
      <c r="C1928" s="2" t="inlineStr">
        <is>
          <t>C0375</t>
        </is>
      </c>
      <c r="D1928" s="2" t="inlineStr">
        <is>
          <t>P0001</t>
        </is>
      </c>
      <c r="E1928" s="2" t="inlineStr">
        <is>
          <t>Wireless Headphones</t>
        </is>
      </c>
      <c r="F1928" s="2" t="inlineStr">
        <is>
          <t>Electronics</t>
        </is>
      </c>
      <c r="G1928" s="2" t="inlineStr">
        <is>
          <t>West</t>
        </is>
      </c>
      <c r="H1928" s="2" t="inlineStr">
        <is>
          <t>Maharashtra</t>
        </is>
      </c>
      <c r="I1928" s="2" t="inlineStr">
        <is>
          <t>Pune</t>
        </is>
      </c>
      <c r="J1928" s="2" t="inlineStr">
        <is>
          <t>Online</t>
        </is>
      </c>
      <c r="K1928" s="2" t="n">
        <v>3</v>
      </c>
      <c r="L1928" s="3" t="n">
        <v>1284.57</v>
      </c>
      <c r="M1928" s="4" t="n">
        <v>0.1</v>
      </c>
      <c r="N1928" s="3" t="n">
        <v>2108.73</v>
      </c>
      <c r="O1928" s="3">
        <f>K1928*L1928*(1-M1928)</f>
        <v/>
      </c>
      <c r="P1928" s="3">
        <f>O1928-N1928</f>
        <v/>
      </c>
      <c r="Q1928" s="5">
        <f>IFERROR(P1928/O1928,0)</f>
        <v/>
      </c>
      <c r="R1928" s="2">
        <f>TEXT(DATEVALUE(B1928),"mmm")</f>
        <v/>
      </c>
      <c r="S1928" s="2">
        <f>TEXT(DATEVALUE(B1928),"yyyy-mm")</f>
        <v/>
      </c>
    </row>
    <row r="1929">
      <c r="A1929" s="2" t="inlineStr">
        <is>
          <t>O002159</t>
        </is>
      </c>
      <c r="B1929" s="2" t="inlineStr">
        <is>
          <t>2025-05-21</t>
        </is>
      </c>
      <c r="C1929" s="2" t="inlineStr">
        <is>
          <t>C0029</t>
        </is>
      </c>
      <c r="D1929" s="2" t="inlineStr">
        <is>
          <t>P0012</t>
        </is>
      </c>
      <c r="E1929" s="2" t="inlineStr">
        <is>
          <t>Water Bottle</t>
        </is>
      </c>
      <c r="F1929" s="2" t="inlineStr">
        <is>
          <t>Home &amp; Kitchen</t>
        </is>
      </c>
      <c r="G1929" s="2" t="inlineStr">
        <is>
          <t>East</t>
        </is>
      </c>
      <c r="H1929" s="2" t="inlineStr">
        <is>
          <t>West Bengal</t>
        </is>
      </c>
      <c r="I1929" s="2" t="inlineStr">
        <is>
          <t>Kolkata</t>
        </is>
      </c>
      <c r="J1929" s="2" t="inlineStr">
        <is>
          <t>Store</t>
        </is>
      </c>
      <c r="K1929" s="2" t="n">
        <v>1</v>
      </c>
      <c r="L1929" s="3" t="n">
        <v>1012.31</v>
      </c>
      <c r="M1929" s="4" t="n">
        <v>0.15</v>
      </c>
      <c r="N1929" s="3" t="n">
        <v>609.29</v>
      </c>
      <c r="O1929" s="3">
        <f>K1929*L1929*(1-M1929)</f>
        <v/>
      </c>
      <c r="P1929" s="3">
        <f>O1929-N1929</f>
        <v/>
      </c>
      <c r="Q1929" s="5">
        <f>IFERROR(P1929/O1929,0)</f>
        <v/>
      </c>
      <c r="R1929" s="2">
        <f>TEXT(DATEVALUE(B1929),"mmm")</f>
        <v/>
      </c>
      <c r="S1929" s="2">
        <f>TEXT(DATEVALUE(B1929),"yyyy-mm")</f>
        <v/>
      </c>
    </row>
    <row r="1930">
      <c r="A1930" s="2" t="inlineStr">
        <is>
          <t>O001500</t>
        </is>
      </c>
      <c r="B1930" s="2" t="inlineStr">
        <is>
          <t>2025-05-21</t>
        </is>
      </c>
      <c r="C1930" s="2" t="inlineStr">
        <is>
          <t>C0150</t>
        </is>
      </c>
      <c r="D1930" s="2" t="inlineStr">
        <is>
          <t>P0029</t>
        </is>
      </c>
      <c r="E1930" s="2" t="inlineStr">
        <is>
          <t>Yoga Mat</t>
        </is>
      </c>
      <c r="F1930" s="2" t="inlineStr">
        <is>
          <t>Sports</t>
        </is>
      </c>
      <c r="G1930" s="2" t="inlineStr">
        <is>
          <t>South</t>
        </is>
      </c>
      <c r="H1930" s="2" t="inlineStr">
        <is>
          <t>Kerala</t>
        </is>
      </c>
      <c r="I1930" s="2" t="inlineStr">
        <is>
          <t>Kochi</t>
        </is>
      </c>
      <c r="J1930" s="2" t="inlineStr">
        <is>
          <t>Store</t>
        </is>
      </c>
      <c r="K1930" s="2" t="n">
        <v>1</v>
      </c>
      <c r="L1930" s="3" t="n">
        <v>2414.18</v>
      </c>
      <c r="M1930" s="4" t="n">
        <v>0.15</v>
      </c>
      <c r="N1930" s="3" t="n">
        <v>1331.83</v>
      </c>
      <c r="O1930" s="3">
        <f>K1930*L1930*(1-M1930)</f>
        <v/>
      </c>
      <c r="P1930" s="3">
        <f>O1930-N1930</f>
        <v/>
      </c>
      <c r="Q1930" s="5">
        <f>IFERROR(P1930/O1930,0)</f>
        <v/>
      </c>
      <c r="R1930" s="2">
        <f>TEXT(DATEVALUE(B1930),"mmm")</f>
        <v/>
      </c>
      <c r="S1930" s="2">
        <f>TEXT(DATEVALUE(B1930),"yyyy-mm")</f>
        <v/>
      </c>
    </row>
    <row r="1931">
      <c r="A1931" s="2" t="inlineStr">
        <is>
          <t>O001136</t>
        </is>
      </c>
      <c r="B1931" s="2" t="inlineStr">
        <is>
          <t>2025-05-21</t>
        </is>
      </c>
      <c r="C1931" s="2" t="inlineStr">
        <is>
          <t>C0563</t>
        </is>
      </c>
      <c r="D1931" s="2" t="inlineStr">
        <is>
          <t>P0007</t>
        </is>
      </c>
      <c r="E1931" s="2" t="inlineStr">
        <is>
          <t>Wireless Mouse</t>
        </is>
      </c>
      <c r="F1931" s="2" t="inlineStr">
        <is>
          <t>Electronics</t>
        </is>
      </c>
      <c r="G1931" s="2" t="inlineStr">
        <is>
          <t>North</t>
        </is>
      </c>
      <c r="H1931" s="2" t="inlineStr">
        <is>
          <t>Uttar Pradesh</t>
        </is>
      </c>
      <c r="I1931" s="2" t="inlineStr">
        <is>
          <t>Lucknow</t>
        </is>
      </c>
      <c r="J1931" s="2" t="inlineStr">
        <is>
          <t>Online</t>
        </is>
      </c>
      <c r="K1931" s="2" t="n">
        <v>3</v>
      </c>
      <c r="L1931" s="3" t="n">
        <v>1013.01</v>
      </c>
      <c r="M1931" s="4" t="n">
        <v>0.05</v>
      </c>
      <c r="N1931" s="3" t="n">
        <v>1867.56</v>
      </c>
      <c r="O1931" s="3">
        <f>K1931*L1931*(1-M1931)</f>
        <v/>
      </c>
      <c r="P1931" s="3">
        <f>O1931-N1931</f>
        <v/>
      </c>
      <c r="Q1931" s="5">
        <f>IFERROR(P1931/O1931,0)</f>
        <v/>
      </c>
      <c r="R1931" s="2">
        <f>TEXT(DATEVALUE(B1931),"mmm")</f>
        <v/>
      </c>
      <c r="S1931" s="2">
        <f>TEXT(DATEVALUE(B1931),"yyyy-mm")</f>
        <v/>
      </c>
    </row>
    <row r="1932">
      <c r="A1932" s="2" t="inlineStr">
        <is>
          <t>O000641</t>
        </is>
      </c>
      <c r="B1932" s="2" t="inlineStr">
        <is>
          <t>2025-05-21</t>
        </is>
      </c>
      <c r="C1932" s="2" t="inlineStr">
        <is>
          <t>C0638</t>
        </is>
      </c>
      <c r="D1932" s="2" t="inlineStr">
        <is>
          <t>P0029</t>
        </is>
      </c>
      <c r="E1932" s="2" t="inlineStr">
        <is>
          <t>Yoga Mat</t>
        </is>
      </c>
      <c r="F1932" s="2" t="inlineStr">
        <is>
          <t>Sports</t>
        </is>
      </c>
      <c r="G1932" s="2" t="inlineStr">
        <is>
          <t>South</t>
        </is>
      </c>
      <c r="H1932" s="2" t="inlineStr">
        <is>
          <t>Kerala</t>
        </is>
      </c>
      <c r="I1932" s="2" t="inlineStr">
        <is>
          <t>Thiruvananthapuram</t>
        </is>
      </c>
      <c r="J1932" s="2" t="inlineStr">
        <is>
          <t>Store</t>
        </is>
      </c>
      <c r="K1932" s="2" t="n">
        <v>2</v>
      </c>
      <c r="L1932" s="3" t="n">
        <v>2341.58</v>
      </c>
      <c r="M1932" s="4" t="n">
        <v>0</v>
      </c>
      <c r="N1932" s="3" t="n">
        <v>2591.55</v>
      </c>
      <c r="O1932" s="3">
        <f>K1932*L1932*(1-M1932)</f>
        <v/>
      </c>
      <c r="P1932" s="3">
        <f>O1932-N1932</f>
        <v/>
      </c>
      <c r="Q1932" s="5">
        <f>IFERROR(P1932/O1932,0)</f>
        <v/>
      </c>
      <c r="R1932" s="2">
        <f>TEXT(DATEVALUE(B1932),"mmm")</f>
        <v/>
      </c>
      <c r="S1932" s="2">
        <f>TEXT(DATEVALUE(B1932),"yyyy-mm")</f>
        <v/>
      </c>
    </row>
    <row r="1933">
      <c r="A1933" s="2" t="inlineStr">
        <is>
          <t>O000608</t>
        </is>
      </c>
      <c r="B1933" s="2" t="inlineStr">
        <is>
          <t>2025-05-21</t>
        </is>
      </c>
      <c r="C1933" s="2" t="inlineStr">
        <is>
          <t>C0723</t>
        </is>
      </c>
      <c r="D1933" s="2" t="inlineStr">
        <is>
          <t>P0016</t>
        </is>
      </c>
      <c r="E1933" s="2" t="inlineStr">
        <is>
          <t>Casual Shirt</t>
        </is>
      </c>
      <c r="F1933" s="2" t="inlineStr">
        <is>
          <t>Fashion</t>
        </is>
      </c>
      <c r="G1933" s="2" t="inlineStr">
        <is>
          <t>West</t>
        </is>
      </c>
      <c r="H1933" s="2" t="inlineStr">
        <is>
          <t>Gujarat</t>
        </is>
      </c>
      <c r="I1933" s="2" t="inlineStr">
        <is>
          <t>Surat</t>
        </is>
      </c>
      <c r="J1933" s="2" t="inlineStr">
        <is>
          <t>Store</t>
        </is>
      </c>
      <c r="K1933" s="2" t="n">
        <v>1</v>
      </c>
      <c r="L1933" s="3" t="n">
        <v>1237.17</v>
      </c>
      <c r="M1933" s="4" t="n">
        <v>0.15</v>
      </c>
      <c r="N1933" s="3" t="n">
        <v>906.6</v>
      </c>
      <c r="O1933" s="3">
        <f>K1933*L1933*(1-M1933)</f>
        <v/>
      </c>
      <c r="P1933" s="3">
        <f>O1933-N1933</f>
        <v/>
      </c>
      <c r="Q1933" s="5">
        <f>IFERROR(P1933/O1933,0)</f>
        <v/>
      </c>
      <c r="R1933" s="2">
        <f>TEXT(DATEVALUE(B1933),"mmm")</f>
        <v/>
      </c>
      <c r="S1933" s="2">
        <f>TEXT(DATEVALUE(B1933),"yyyy-mm")</f>
        <v/>
      </c>
    </row>
    <row r="1934">
      <c r="A1934" s="2" t="inlineStr">
        <is>
          <t>O002418</t>
        </is>
      </c>
      <c r="B1934" s="2" t="inlineStr">
        <is>
          <t>2025-05-21</t>
        </is>
      </c>
      <c r="C1934" s="2" t="inlineStr">
        <is>
          <t>C0209</t>
        </is>
      </c>
      <c r="D1934" s="2" t="inlineStr">
        <is>
          <t>P0018</t>
        </is>
      </c>
      <c r="E1934" s="2" t="inlineStr">
        <is>
          <t>Backpack</t>
        </is>
      </c>
      <c r="F1934" s="2" t="inlineStr">
        <is>
          <t>Fashion</t>
        </is>
      </c>
      <c r="G1934" s="2" t="inlineStr">
        <is>
          <t>South</t>
        </is>
      </c>
      <c r="H1934" s="2" t="inlineStr">
        <is>
          <t>Tamil Nadu</t>
        </is>
      </c>
      <c r="I1934" s="2" t="inlineStr">
        <is>
          <t>Madurai</t>
        </is>
      </c>
      <c r="J1934" s="2" t="inlineStr">
        <is>
          <t>Online</t>
        </is>
      </c>
      <c r="K1934" s="2" t="n">
        <v>2</v>
      </c>
      <c r="L1934" s="3" t="n">
        <v>1789.93</v>
      </c>
      <c r="M1934" s="4" t="n">
        <v>0.05</v>
      </c>
      <c r="N1934" s="3" t="n">
        <v>2659.24</v>
      </c>
      <c r="O1934" s="3">
        <f>K1934*L1934*(1-M1934)</f>
        <v/>
      </c>
      <c r="P1934" s="3">
        <f>O1934-N1934</f>
        <v/>
      </c>
      <c r="Q1934" s="5">
        <f>IFERROR(P1934/O1934,0)</f>
        <v/>
      </c>
      <c r="R1934" s="2">
        <f>TEXT(DATEVALUE(B1934),"mmm")</f>
        <v/>
      </c>
      <c r="S1934" s="2">
        <f>TEXT(DATEVALUE(B1934),"yyyy-mm")</f>
        <v/>
      </c>
    </row>
    <row r="1935">
      <c r="A1935" s="2" t="inlineStr">
        <is>
          <t>O003088</t>
        </is>
      </c>
      <c r="B1935" s="2" t="inlineStr">
        <is>
          <t>2025-05-22</t>
        </is>
      </c>
      <c r="C1935" s="2" t="inlineStr">
        <is>
          <t>C0622</t>
        </is>
      </c>
      <c r="D1935" s="2" t="inlineStr">
        <is>
          <t>P0011</t>
        </is>
      </c>
      <c r="E1935" s="2" t="inlineStr">
        <is>
          <t>Cookware Set</t>
        </is>
      </c>
      <c r="F1935" s="2" t="inlineStr">
        <is>
          <t>Home &amp; Kitchen</t>
        </is>
      </c>
      <c r="G1935" s="2" t="inlineStr">
        <is>
          <t>North</t>
        </is>
      </c>
      <c r="H1935" s="2" t="inlineStr">
        <is>
          <t>Haryana</t>
        </is>
      </c>
      <c r="I1935" s="2" t="inlineStr">
        <is>
          <t>Gurugram</t>
        </is>
      </c>
      <c r="J1935" s="2" t="inlineStr">
        <is>
          <t>Store</t>
        </is>
      </c>
      <c r="K1935" s="2" t="n">
        <v>1</v>
      </c>
      <c r="L1935" s="3" t="n">
        <v>676.16</v>
      </c>
      <c r="M1935" s="4" t="n">
        <v>0.05</v>
      </c>
      <c r="N1935" s="3" t="n">
        <v>467.42</v>
      </c>
      <c r="O1935" s="3">
        <f>K1935*L1935*(1-M1935)</f>
        <v/>
      </c>
      <c r="P1935" s="3">
        <f>O1935-N1935</f>
        <v/>
      </c>
      <c r="Q1935" s="5">
        <f>IFERROR(P1935/O1935,0)</f>
        <v/>
      </c>
      <c r="R1935" s="2">
        <f>TEXT(DATEVALUE(B1935),"mmm")</f>
        <v/>
      </c>
      <c r="S1935" s="2">
        <f>TEXT(DATEVALUE(B1935),"yyyy-mm")</f>
        <v/>
      </c>
    </row>
    <row r="1936">
      <c r="A1936" s="2" t="inlineStr">
        <is>
          <t>O003232</t>
        </is>
      </c>
      <c r="B1936" s="2" t="inlineStr">
        <is>
          <t>2025-05-22</t>
        </is>
      </c>
      <c r="C1936" s="2" t="inlineStr">
        <is>
          <t>C0014</t>
        </is>
      </c>
      <c r="D1936" s="2" t="inlineStr">
        <is>
          <t>P0007</t>
        </is>
      </c>
      <c r="E1936" s="2" t="inlineStr">
        <is>
          <t>Wireless Mouse</t>
        </is>
      </c>
      <c r="F1936" s="2" t="inlineStr">
        <is>
          <t>Electronics</t>
        </is>
      </c>
      <c r="G1936" s="2" t="inlineStr">
        <is>
          <t>North</t>
        </is>
      </c>
      <c r="H1936" s="2" t="inlineStr">
        <is>
          <t>Delhi</t>
        </is>
      </c>
      <c r="I1936" s="2" t="inlineStr">
        <is>
          <t>New Delhi</t>
        </is>
      </c>
      <c r="J1936" s="2" t="inlineStr">
        <is>
          <t>Store</t>
        </is>
      </c>
      <c r="K1936" s="2" t="n">
        <v>1</v>
      </c>
      <c r="L1936" s="3" t="n">
        <v>944.77</v>
      </c>
      <c r="M1936" s="4" t="n">
        <v>0.05</v>
      </c>
      <c r="N1936" s="3" t="n">
        <v>616.55</v>
      </c>
      <c r="O1936" s="3">
        <f>K1936*L1936*(1-M1936)</f>
        <v/>
      </c>
      <c r="P1936" s="3">
        <f>O1936-N1936</f>
        <v/>
      </c>
      <c r="Q1936" s="5">
        <f>IFERROR(P1936/O1936,0)</f>
        <v/>
      </c>
      <c r="R1936" s="2">
        <f>TEXT(DATEVALUE(B1936),"mmm")</f>
        <v/>
      </c>
      <c r="S1936" s="2">
        <f>TEXT(DATEVALUE(B1936),"yyyy-mm")</f>
        <v/>
      </c>
    </row>
    <row r="1937">
      <c r="A1937" s="2" t="inlineStr">
        <is>
          <t>O003143</t>
        </is>
      </c>
      <c r="B1937" s="2" t="inlineStr">
        <is>
          <t>2025-05-22</t>
        </is>
      </c>
      <c r="C1937" s="2" t="inlineStr">
        <is>
          <t>C0561</t>
        </is>
      </c>
      <c r="D1937" s="2" t="inlineStr">
        <is>
          <t>P0027</t>
        </is>
      </c>
      <c r="E1937" s="2" t="inlineStr">
        <is>
          <t>Moisturizer</t>
        </is>
      </c>
      <c r="F1937" s="2" t="inlineStr">
        <is>
          <t>Beauty</t>
        </is>
      </c>
      <c r="G1937" s="2" t="inlineStr">
        <is>
          <t>North</t>
        </is>
      </c>
      <c r="H1937" s="2" t="inlineStr">
        <is>
          <t>Haryana</t>
        </is>
      </c>
      <c r="I1937" s="2" t="inlineStr">
        <is>
          <t>Faridabad</t>
        </is>
      </c>
      <c r="J1937" s="2" t="inlineStr">
        <is>
          <t>Online</t>
        </is>
      </c>
      <c r="K1937" s="2" t="n">
        <v>2</v>
      </c>
      <c r="L1937" s="3" t="n">
        <v>956.7</v>
      </c>
      <c r="M1937" s="4" t="n">
        <v>0</v>
      </c>
      <c r="N1937" s="3" t="n">
        <v>1403.48</v>
      </c>
      <c r="O1937" s="3">
        <f>K1937*L1937*(1-M1937)</f>
        <v/>
      </c>
      <c r="P1937" s="3">
        <f>O1937-N1937</f>
        <v/>
      </c>
      <c r="Q1937" s="5">
        <f>IFERROR(P1937/O1937,0)</f>
        <v/>
      </c>
      <c r="R1937" s="2">
        <f>TEXT(DATEVALUE(B1937),"mmm")</f>
        <v/>
      </c>
      <c r="S1937" s="2">
        <f>TEXT(DATEVALUE(B1937),"yyyy-mm")</f>
        <v/>
      </c>
    </row>
    <row r="1938">
      <c r="A1938" s="2" t="inlineStr">
        <is>
          <t>O003104</t>
        </is>
      </c>
      <c r="B1938" s="2" t="inlineStr">
        <is>
          <t>2025-05-22</t>
        </is>
      </c>
      <c r="C1938" s="2" t="inlineStr">
        <is>
          <t>C0013</t>
        </is>
      </c>
      <c r="D1938" s="2" t="inlineStr">
        <is>
          <t>P0013</t>
        </is>
      </c>
      <c r="E1938" s="2" t="inlineStr">
        <is>
          <t>Storage Organizer</t>
        </is>
      </c>
      <c r="F1938" s="2" t="inlineStr">
        <is>
          <t>Home &amp; Kitchen</t>
        </is>
      </c>
      <c r="G1938" s="2" t="inlineStr">
        <is>
          <t>West</t>
        </is>
      </c>
      <c r="H1938" s="2" t="inlineStr">
        <is>
          <t>Maharashtra</t>
        </is>
      </c>
      <c r="I1938" s="2" t="inlineStr">
        <is>
          <t>Pune</t>
        </is>
      </c>
      <c r="J1938" s="2" t="inlineStr">
        <is>
          <t>Store</t>
        </is>
      </c>
      <c r="K1938" s="2" t="n">
        <v>1</v>
      </c>
      <c r="L1938" s="3" t="n">
        <v>554.0700000000001</v>
      </c>
      <c r="M1938" s="4" t="n">
        <v>0.2</v>
      </c>
      <c r="N1938" s="3" t="n">
        <v>361.24</v>
      </c>
      <c r="O1938" s="3">
        <f>K1938*L1938*(1-M1938)</f>
        <v/>
      </c>
      <c r="P1938" s="3">
        <f>O1938-N1938</f>
        <v/>
      </c>
      <c r="Q1938" s="5">
        <f>IFERROR(P1938/O1938,0)</f>
        <v/>
      </c>
      <c r="R1938" s="2">
        <f>TEXT(DATEVALUE(B1938),"mmm")</f>
        <v/>
      </c>
      <c r="S1938" s="2">
        <f>TEXT(DATEVALUE(B1938),"yyyy-mm")</f>
        <v/>
      </c>
    </row>
    <row r="1939">
      <c r="A1939" s="2" t="inlineStr">
        <is>
          <t>O002873</t>
        </is>
      </c>
      <c r="B1939" s="2" t="inlineStr">
        <is>
          <t>2025-05-22</t>
        </is>
      </c>
      <c r="C1939" s="2" t="inlineStr">
        <is>
          <t>C0345</t>
        </is>
      </c>
      <c r="D1939" s="2" t="inlineStr">
        <is>
          <t>P0035</t>
        </is>
      </c>
      <c r="E1939" s="2" t="inlineStr">
        <is>
          <t>Skipping Rope</t>
        </is>
      </c>
      <c r="F1939" s="2" t="inlineStr">
        <is>
          <t>Sports</t>
        </is>
      </c>
      <c r="G1939" s="2" t="inlineStr">
        <is>
          <t>South</t>
        </is>
      </c>
      <c r="H1939" s="2" t="inlineStr">
        <is>
          <t>Telangana</t>
        </is>
      </c>
      <c r="I1939" s="2" t="inlineStr">
        <is>
          <t>Warangal</t>
        </is>
      </c>
      <c r="J1939" s="2" t="inlineStr">
        <is>
          <t>Online</t>
        </is>
      </c>
      <c r="K1939" s="2" t="n">
        <v>3</v>
      </c>
      <c r="L1939" s="3" t="n">
        <v>726.96</v>
      </c>
      <c r="M1939" s="4" t="n">
        <v>0.15</v>
      </c>
      <c r="N1939" s="3" t="n">
        <v>1271.22</v>
      </c>
      <c r="O1939" s="3">
        <f>K1939*L1939*(1-M1939)</f>
        <v/>
      </c>
      <c r="P1939" s="3">
        <f>O1939-N1939</f>
        <v/>
      </c>
      <c r="Q1939" s="5">
        <f>IFERROR(P1939/O1939,0)</f>
        <v/>
      </c>
      <c r="R1939" s="2">
        <f>TEXT(DATEVALUE(B1939),"mmm")</f>
        <v/>
      </c>
      <c r="S1939" s="2">
        <f>TEXT(DATEVALUE(B1939),"yyyy-mm")</f>
        <v/>
      </c>
    </row>
    <row r="1940">
      <c r="A1940" s="2" t="inlineStr">
        <is>
          <t>O004908</t>
        </is>
      </c>
      <c r="B1940" s="2" t="inlineStr">
        <is>
          <t>2025-05-22</t>
        </is>
      </c>
      <c r="C1940" s="2" t="inlineStr">
        <is>
          <t>C0733</t>
        </is>
      </c>
      <c r="D1940" s="2" t="inlineStr">
        <is>
          <t>P0013</t>
        </is>
      </c>
      <c r="E1940" s="2" t="inlineStr">
        <is>
          <t>Storage Organizer</t>
        </is>
      </c>
      <c r="F1940" s="2" t="inlineStr">
        <is>
          <t>Home &amp; Kitchen</t>
        </is>
      </c>
      <c r="G1940" s="2" t="inlineStr">
        <is>
          <t>West</t>
        </is>
      </c>
      <c r="H1940" s="2" t="inlineStr">
        <is>
          <t>Gujarat</t>
        </is>
      </c>
      <c r="I1940" s="2" t="inlineStr">
        <is>
          <t>Vadodara</t>
        </is>
      </c>
      <c r="J1940" s="2" t="inlineStr">
        <is>
          <t>Online</t>
        </is>
      </c>
      <c r="K1940" s="2" t="n">
        <v>1</v>
      </c>
      <c r="L1940" s="3" t="n">
        <v>583.88</v>
      </c>
      <c r="M1940" s="4" t="n">
        <v>0.05</v>
      </c>
      <c r="N1940" s="3" t="n">
        <v>356.57</v>
      </c>
      <c r="O1940" s="3">
        <f>K1940*L1940*(1-M1940)</f>
        <v/>
      </c>
      <c r="P1940" s="3">
        <f>O1940-N1940</f>
        <v/>
      </c>
      <c r="Q1940" s="5">
        <f>IFERROR(P1940/O1940,0)</f>
        <v/>
      </c>
      <c r="R1940" s="2">
        <f>TEXT(DATEVALUE(B1940),"mmm")</f>
        <v/>
      </c>
      <c r="S1940" s="2">
        <f>TEXT(DATEVALUE(B1940),"yyyy-mm")</f>
        <v/>
      </c>
    </row>
    <row r="1941">
      <c r="A1941" s="2" t="inlineStr">
        <is>
          <t>O002074</t>
        </is>
      </c>
      <c r="B1941" s="2" t="inlineStr">
        <is>
          <t>2025-05-22</t>
        </is>
      </c>
      <c r="C1941" s="2" t="inlineStr">
        <is>
          <t>C0400</t>
        </is>
      </c>
      <c r="D1941" s="2" t="inlineStr">
        <is>
          <t>P0006</t>
        </is>
      </c>
      <c r="E1941" s="2" t="inlineStr">
        <is>
          <t>Mechanical Keyboard</t>
        </is>
      </c>
      <c r="F1941" s="2" t="inlineStr">
        <is>
          <t>Electronics</t>
        </is>
      </c>
      <c r="G1941" s="2" t="inlineStr">
        <is>
          <t>West</t>
        </is>
      </c>
      <c r="H1941" s="2" t="inlineStr">
        <is>
          <t>Maharashtra</t>
        </is>
      </c>
      <c r="I1941" s="2" t="inlineStr">
        <is>
          <t>Mumbai</t>
        </is>
      </c>
      <c r="J1941" s="2" t="inlineStr">
        <is>
          <t>Store</t>
        </is>
      </c>
      <c r="K1941" s="2" t="n">
        <v>1</v>
      </c>
      <c r="L1941" s="3" t="n">
        <v>2805.87</v>
      </c>
      <c r="M1941" s="4" t="n">
        <v>0.05</v>
      </c>
      <c r="N1941" s="3" t="n">
        <v>1459.18</v>
      </c>
      <c r="O1941" s="3">
        <f>K1941*L1941*(1-M1941)</f>
        <v/>
      </c>
      <c r="P1941" s="3">
        <f>O1941-N1941</f>
        <v/>
      </c>
      <c r="Q1941" s="5">
        <f>IFERROR(P1941/O1941,0)</f>
        <v/>
      </c>
      <c r="R1941" s="2">
        <f>TEXT(DATEVALUE(B1941),"mmm")</f>
        <v/>
      </c>
      <c r="S1941" s="2">
        <f>TEXT(DATEVALUE(B1941),"yyyy-mm")</f>
        <v/>
      </c>
    </row>
    <row r="1942">
      <c r="A1942" s="2" t="inlineStr">
        <is>
          <t>O001520</t>
        </is>
      </c>
      <c r="B1942" s="2" t="inlineStr">
        <is>
          <t>2025-05-22</t>
        </is>
      </c>
      <c r="C1942" s="2" t="inlineStr">
        <is>
          <t>C0618</t>
        </is>
      </c>
      <c r="D1942" s="2" t="inlineStr">
        <is>
          <t>P0035</t>
        </is>
      </c>
      <c r="E1942" s="2" t="inlineStr">
        <is>
          <t>Skipping Rope</t>
        </is>
      </c>
      <c r="F1942" s="2" t="inlineStr">
        <is>
          <t>Sports</t>
        </is>
      </c>
      <c r="G1942" s="2" t="inlineStr">
        <is>
          <t>West</t>
        </is>
      </c>
      <c r="H1942" s="2" t="inlineStr">
        <is>
          <t>Gujarat</t>
        </is>
      </c>
      <c r="I1942" s="2" t="inlineStr">
        <is>
          <t>Vadodara</t>
        </is>
      </c>
      <c r="J1942" s="2" t="inlineStr">
        <is>
          <t>Store</t>
        </is>
      </c>
      <c r="K1942" s="2" t="n">
        <v>1</v>
      </c>
      <c r="L1942" s="3" t="n">
        <v>696.1</v>
      </c>
      <c r="M1942" s="4" t="n">
        <v>0.05</v>
      </c>
      <c r="N1942" s="3" t="n">
        <v>404.96</v>
      </c>
      <c r="O1942" s="3">
        <f>K1942*L1942*(1-M1942)</f>
        <v/>
      </c>
      <c r="P1942" s="3">
        <f>O1942-N1942</f>
        <v/>
      </c>
      <c r="Q1942" s="5">
        <f>IFERROR(P1942/O1942,0)</f>
        <v/>
      </c>
      <c r="R1942" s="2">
        <f>TEXT(DATEVALUE(B1942),"mmm")</f>
        <v/>
      </c>
      <c r="S1942" s="2">
        <f>TEXT(DATEVALUE(B1942),"yyyy-mm")</f>
        <v/>
      </c>
    </row>
    <row r="1943">
      <c r="A1943" s="2" t="inlineStr">
        <is>
          <t>O000994</t>
        </is>
      </c>
      <c r="B1943" s="2" t="inlineStr">
        <is>
          <t>2025-05-22</t>
        </is>
      </c>
      <c r="C1943" s="2" t="inlineStr">
        <is>
          <t>C0678</t>
        </is>
      </c>
      <c r="D1943" s="2" t="inlineStr">
        <is>
          <t>P0026</t>
        </is>
      </c>
      <c r="E1943" s="2" t="inlineStr">
        <is>
          <t>Shampoo</t>
        </is>
      </c>
      <c r="F1943" s="2" t="inlineStr">
        <is>
          <t>Beauty</t>
        </is>
      </c>
      <c r="G1943" s="2" t="inlineStr">
        <is>
          <t>West</t>
        </is>
      </c>
      <c r="H1943" s="2" t="inlineStr">
        <is>
          <t>Gujarat</t>
        </is>
      </c>
      <c r="I1943" s="2" t="inlineStr">
        <is>
          <t>Surat</t>
        </is>
      </c>
      <c r="J1943" s="2" t="inlineStr">
        <is>
          <t>Online</t>
        </is>
      </c>
      <c r="K1943" s="2" t="n">
        <v>1</v>
      </c>
      <c r="L1943" s="3" t="n">
        <v>903.87</v>
      </c>
      <c r="M1943" s="4" t="n">
        <v>0.1</v>
      </c>
      <c r="N1943" s="3" t="n">
        <v>536.8200000000001</v>
      </c>
      <c r="O1943" s="3">
        <f>K1943*L1943*(1-M1943)</f>
        <v/>
      </c>
      <c r="P1943" s="3">
        <f>O1943-N1943</f>
        <v/>
      </c>
      <c r="Q1943" s="5">
        <f>IFERROR(P1943/O1943,0)</f>
        <v/>
      </c>
      <c r="R1943" s="2">
        <f>TEXT(DATEVALUE(B1943),"mmm")</f>
        <v/>
      </c>
      <c r="S1943" s="2">
        <f>TEXT(DATEVALUE(B1943),"yyyy-mm")</f>
        <v/>
      </c>
    </row>
    <row r="1944">
      <c r="A1944" s="2" t="inlineStr">
        <is>
          <t>O000387</t>
        </is>
      </c>
      <c r="B1944" s="2" t="inlineStr">
        <is>
          <t>2025-05-22</t>
        </is>
      </c>
      <c r="C1944" s="2" t="inlineStr">
        <is>
          <t>C0021</t>
        </is>
      </c>
      <c r="D1944" s="2" t="inlineStr">
        <is>
          <t>P0004</t>
        </is>
      </c>
      <c r="E1944" s="2" t="inlineStr">
        <is>
          <t>USB-C Hub</t>
        </is>
      </c>
      <c r="F1944" s="2" t="inlineStr">
        <is>
          <t>Electronics</t>
        </is>
      </c>
      <c r="G1944" s="2" t="inlineStr">
        <is>
          <t>North</t>
        </is>
      </c>
      <c r="H1944" s="2" t="inlineStr">
        <is>
          <t>Haryana</t>
        </is>
      </c>
      <c r="I1944" s="2" t="inlineStr">
        <is>
          <t>Faridabad</t>
        </is>
      </c>
      <c r="J1944" s="2" t="inlineStr">
        <is>
          <t>Online</t>
        </is>
      </c>
      <c r="K1944" s="2" t="n">
        <v>1</v>
      </c>
      <c r="L1944" s="3" t="n">
        <v>1285.43</v>
      </c>
      <c r="M1944" s="4" t="n">
        <v>0.05</v>
      </c>
      <c r="N1944" s="3" t="n">
        <v>932.77</v>
      </c>
      <c r="O1944" s="3">
        <f>K1944*L1944*(1-M1944)</f>
        <v/>
      </c>
      <c r="P1944" s="3">
        <f>O1944-N1944</f>
        <v/>
      </c>
      <c r="Q1944" s="5">
        <f>IFERROR(P1944/O1944,0)</f>
        <v/>
      </c>
      <c r="R1944" s="2">
        <f>TEXT(DATEVALUE(B1944),"mmm")</f>
        <v/>
      </c>
      <c r="S1944" s="2">
        <f>TEXT(DATEVALUE(B1944),"yyyy-mm")</f>
        <v/>
      </c>
    </row>
    <row r="1945">
      <c r="A1945" s="2" t="inlineStr">
        <is>
          <t>O002346</t>
        </is>
      </c>
      <c r="B1945" s="2" t="inlineStr">
        <is>
          <t>2025-05-22</t>
        </is>
      </c>
      <c r="C1945" s="2" t="inlineStr">
        <is>
          <t>C0279</t>
        </is>
      </c>
      <c r="D1945" s="2" t="inlineStr">
        <is>
          <t>P0017</t>
        </is>
      </c>
      <c r="E1945" s="2" t="inlineStr">
        <is>
          <t>Jeans</t>
        </is>
      </c>
      <c r="F1945" s="2" t="inlineStr">
        <is>
          <t>Fashion</t>
        </is>
      </c>
      <c r="G1945" s="2" t="inlineStr">
        <is>
          <t>South</t>
        </is>
      </c>
      <c r="H1945" s="2" t="inlineStr">
        <is>
          <t>Kerala</t>
        </is>
      </c>
      <c r="I1945" s="2" t="inlineStr">
        <is>
          <t>Kochi</t>
        </is>
      </c>
      <c r="J1945" s="2" t="inlineStr">
        <is>
          <t>Store</t>
        </is>
      </c>
      <c r="K1945" s="2" t="n">
        <v>1</v>
      </c>
      <c r="L1945" s="3" t="n">
        <v>1453.5</v>
      </c>
      <c r="M1945" s="4" t="n">
        <v>0.25</v>
      </c>
      <c r="N1945" s="3" t="n">
        <v>1028.42</v>
      </c>
      <c r="O1945" s="3">
        <f>K1945*L1945*(1-M1945)</f>
        <v/>
      </c>
      <c r="P1945" s="3">
        <f>O1945-N1945</f>
        <v/>
      </c>
      <c r="Q1945" s="5">
        <f>IFERROR(P1945/O1945,0)</f>
        <v/>
      </c>
      <c r="R1945" s="2">
        <f>TEXT(DATEVALUE(B1945),"mmm")</f>
        <v/>
      </c>
      <c r="S1945" s="2">
        <f>TEXT(DATEVALUE(B1945),"yyyy-mm")</f>
        <v/>
      </c>
    </row>
    <row r="1946">
      <c r="A1946" s="2" t="inlineStr">
        <is>
          <t>O004830</t>
        </is>
      </c>
      <c r="B1946" s="2" t="inlineStr">
        <is>
          <t>2025-05-23</t>
        </is>
      </c>
      <c r="C1946" s="2" t="inlineStr">
        <is>
          <t>C0582</t>
        </is>
      </c>
      <c r="D1946" s="2" t="inlineStr">
        <is>
          <t>P0022</t>
        </is>
      </c>
      <c r="E1946" s="2" t="inlineStr">
        <is>
          <t>Face Wash</t>
        </is>
      </c>
      <c r="F1946" s="2" t="inlineStr">
        <is>
          <t>Beauty</t>
        </is>
      </c>
      <c r="G1946" s="2" t="inlineStr">
        <is>
          <t>West</t>
        </is>
      </c>
      <c r="H1946" s="2" t="inlineStr">
        <is>
          <t>Goa</t>
        </is>
      </c>
      <c r="I1946" s="2" t="inlineStr">
        <is>
          <t>Margao</t>
        </is>
      </c>
      <c r="J1946" s="2" t="inlineStr">
        <is>
          <t>Online</t>
        </is>
      </c>
      <c r="K1946" s="2" t="n">
        <v>2</v>
      </c>
      <c r="L1946" s="3" t="n">
        <v>530.47</v>
      </c>
      <c r="M1946" s="4" t="n">
        <v>0.1</v>
      </c>
      <c r="N1946" s="3" t="n">
        <v>696.64</v>
      </c>
      <c r="O1946" s="3">
        <f>K1946*L1946*(1-M1946)</f>
        <v/>
      </c>
      <c r="P1946" s="3">
        <f>O1946-N1946</f>
        <v/>
      </c>
      <c r="Q1946" s="5">
        <f>IFERROR(P1946/O1946,0)</f>
        <v/>
      </c>
      <c r="R1946" s="2">
        <f>TEXT(DATEVALUE(B1946),"mmm")</f>
        <v/>
      </c>
      <c r="S1946" s="2">
        <f>TEXT(DATEVALUE(B1946),"yyyy-mm")</f>
        <v/>
      </c>
    </row>
    <row r="1947">
      <c r="A1947" s="2" t="inlineStr">
        <is>
          <t>O003875</t>
        </is>
      </c>
      <c r="B1947" s="2" t="inlineStr">
        <is>
          <t>2025-05-23</t>
        </is>
      </c>
      <c r="C1947" s="2" t="inlineStr">
        <is>
          <t>C0314</t>
        </is>
      </c>
      <c r="D1947" s="2" t="inlineStr">
        <is>
          <t>P0012</t>
        </is>
      </c>
      <c r="E1947" s="2" t="inlineStr">
        <is>
          <t>Water Bottle</t>
        </is>
      </c>
      <c r="F1947" s="2" t="inlineStr">
        <is>
          <t>Home &amp; Kitchen</t>
        </is>
      </c>
      <c r="G1947" s="2" t="inlineStr">
        <is>
          <t>West</t>
        </is>
      </c>
      <c r="H1947" s="2" t="inlineStr">
        <is>
          <t>Gujarat</t>
        </is>
      </c>
      <c r="I1947" s="2" t="inlineStr">
        <is>
          <t>Ahmedabad</t>
        </is>
      </c>
      <c r="J1947" s="2" t="inlineStr">
        <is>
          <t>Online</t>
        </is>
      </c>
      <c r="K1947" s="2" t="n">
        <v>1</v>
      </c>
      <c r="L1947" s="3" t="n">
        <v>977.95</v>
      </c>
      <c r="M1947" s="4" t="n">
        <v>0.1</v>
      </c>
      <c r="N1947" s="3" t="n">
        <v>604.83</v>
      </c>
      <c r="O1947" s="3">
        <f>K1947*L1947*(1-M1947)</f>
        <v/>
      </c>
      <c r="P1947" s="3">
        <f>O1947-N1947</f>
        <v/>
      </c>
      <c r="Q1947" s="5">
        <f>IFERROR(P1947/O1947,0)</f>
        <v/>
      </c>
      <c r="R1947" s="2">
        <f>TEXT(DATEVALUE(B1947),"mmm")</f>
        <v/>
      </c>
      <c r="S1947" s="2">
        <f>TEXT(DATEVALUE(B1947),"yyyy-mm")</f>
        <v/>
      </c>
    </row>
    <row r="1948">
      <c r="A1948" s="2" t="inlineStr">
        <is>
          <t>O003312</t>
        </is>
      </c>
      <c r="B1948" s="2" t="inlineStr">
        <is>
          <t>2025-05-23</t>
        </is>
      </c>
      <c r="C1948" s="2" t="inlineStr">
        <is>
          <t>C0705</t>
        </is>
      </c>
      <c r="D1948" s="2" t="inlineStr">
        <is>
          <t>P0022</t>
        </is>
      </c>
      <c r="E1948" s="2" t="inlineStr">
        <is>
          <t>Face Wash</t>
        </is>
      </c>
      <c r="F1948" s="2" t="inlineStr">
        <is>
          <t>Beauty</t>
        </is>
      </c>
      <c r="G1948" s="2" t="inlineStr">
        <is>
          <t>East</t>
        </is>
      </c>
      <c r="H1948" s="2" t="inlineStr">
        <is>
          <t>Odisha</t>
        </is>
      </c>
      <c r="I1948" s="2" t="inlineStr">
        <is>
          <t>Bhubaneswar</t>
        </is>
      </c>
      <c r="J1948" s="2" t="inlineStr">
        <is>
          <t>Store</t>
        </is>
      </c>
      <c r="K1948" s="2" t="n">
        <v>2</v>
      </c>
      <c r="L1948" s="3" t="n">
        <v>533.8099999999999</v>
      </c>
      <c r="M1948" s="4" t="n">
        <v>0.1</v>
      </c>
      <c r="N1948" s="3" t="n">
        <v>710.48</v>
      </c>
      <c r="O1948" s="3">
        <f>K1948*L1948*(1-M1948)</f>
        <v/>
      </c>
      <c r="P1948" s="3">
        <f>O1948-N1948</f>
        <v/>
      </c>
      <c r="Q1948" s="5">
        <f>IFERROR(P1948/O1948,0)</f>
        <v/>
      </c>
      <c r="R1948" s="2">
        <f>TEXT(DATEVALUE(B1948),"mmm")</f>
        <v/>
      </c>
      <c r="S1948" s="2">
        <f>TEXT(DATEVALUE(B1948),"yyyy-mm")</f>
        <v/>
      </c>
    </row>
    <row r="1949">
      <c r="A1949" s="2" t="inlineStr">
        <is>
          <t>O003081</t>
        </is>
      </c>
      <c r="B1949" s="2" t="inlineStr">
        <is>
          <t>2025-05-23</t>
        </is>
      </c>
      <c r="C1949" s="2" t="inlineStr">
        <is>
          <t>C0523</t>
        </is>
      </c>
      <c r="D1949" s="2" t="inlineStr">
        <is>
          <t>P0011</t>
        </is>
      </c>
      <c r="E1949" s="2" t="inlineStr">
        <is>
          <t>Cookware Set</t>
        </is>
      </c>
      <c r="F1949" s="2" t="inlineStr">
        <is>
          <t>Home &amp; Kitchen</t>
        </is>
      </c>
      <c r="G1949" s="2" t="inlineStr">
        <is>
          <t>West</t>
        </is>
      </c>
      <c r="H1949" s="2" t="inlineStr">
        <is>
          <t>Maharashtra</t>
        </is>
      </c>
      <c r="I1949" s="2" t="inlineStr">
        <is>
          <t>Nashik</t>
        </is>
      </c>
      <c r="J1949" s="2" t="inlineStr">
        <is>
          <t>Online</t>
        </is>
      </c>
      <c r="K1949" s="2" t="n">
        <v>3</v>
      </c>
      <c r="L1949" s="3" t="n">
        <v>680.8200000000001</v>
      </c>
      <c r="M1949" s="4" t="n">
        <v>0.1</v>
      </c>
      <c r="N1949" s="3" t="n">
        <v>1447.25</v>
      </c>
      <c r="O1949" s="3">
        <f>K1949*L1949*(1-M1949)</f>
        <v/>
      </c>
      <c r="P1949" s="3">
        <f>O1949-N1949</f>
        <v/>
      </c>
      <c r="Q1949" s="5">
        <f>IFERROR(P1949/O1949,0)</f>
        <v/>
      </c>
      <c r="R1949" s="2">
        <f>TEXT(DATEVALUE(B1949),"mmm")</f>
        <v/>
      </c>
      <c r="S1949" s="2">
        <f>TEXT(DATEVALUE(B1949),"yyyy-mm")</f>
        <v/>
      </c>
    </row>
    <row r="1950">
      <c r="A1950" s="2" t="inlineStr">
        <is>
          <t>O002938</t>
        </is>
      </c>
      <c r="B1950" s="2" t="inlineStr">
        <is>
          <t>2025-05-23</t>
        </is>
      </c>
      <c r="C1950" s="2" t="inlineStr">
        <is>
          <t>C0471</t>
        </is>
      </c>
      <c r="D1950" s="2" t="inlineStr">
        <is>
          <t>P0004</t>
        </is>
      </c>
      <c r="E1950" s="2" t="inlineStr">
        <is>
          <t>USB-C Hub</t>
        </is>
      </c>
      <c r="F1950" s="2" t="inlineStr">
        <is>
          <t>Electronics</t>
        </is>
      </c>
      <c r="G1950" s="2" t="inlineStr">
        <is>
          <t>South</t>
        </is>
      </c>
      <c r="H1950" s="2" t="inlineStr">
        <is>
          <t>Tamil Nadu</t>
        </is>
      </c>
      <c r="I1950" s="2" t="inlineStr">
        <is>
          <t>Chennai</t>
        </is>
      </c>
      <c r="J1950" s="2" t="inlineStr">
        <is>
          <t>Online</t>
        </is>
      </c>
      <c r="K1950" s="2" t="n">
        <v>1</v>
      </c>
      <c r="L1950" s="3" t="n">
        <v>1239.57</v>
      </c>
      <c r="M1950" s="4" t="n">
        <v>0.05</v>
      </c>
      <c r="N1950" s="3" t="n">
        <v>911.14</v>
      </c>
      <c r="O1950" s="3">
        <f>K1950*L1950*(1-M1950)</f>
        <v/>
      </c>
      <c r="P1950" s="3">
        <f>O1950-N1950</f>
        <v/>
      </c>
      <c r="Q1950" s="5">
        <f>IFERROR(P1950/O1950,0)</f>
        <v/>
      </c>
      <c r="R1950" s="2">
        <f>TEXT(DATEVALUE(B1950),"mmm")</f>
        <v/>
      </c>
      <c r="S1950" s="2">
        <f>TEXT(DATEVALUE(B1950),"yyyy-mm")</f>
        <v/>
      </c>
    </row>
    <row r="1951">
      <c r="A1951" s="2" t="inlineStr">
        <is>
          <t>O002870</t>
        </is>
      </c>
      <c r="B1951" s="2" t="inlineStr">
        <is>
          <t>2025-05-23</t>
        </is>
      </c>
      <c r="C1951" s="2" t="inlineStr">
        <is>
          <t>C0456</t>
        </is>
      </c>
      <c r="D1951" s="2" t="inlineStr">
        <is>
          <t>P0007</t>
        </is>
      </c>
      <c r="E1951" s="2" t="inlineStr">
        <is>
          <t>Wireless Mouse</t>
        </is>
      </c>
      <c r="F1951" s="2" t="inlineStr">
        <is>
          <t>Electronics</t>
        </is>
      </c>
      <c r="G1951" s="2" t="inlineStr">
        <is>
          <t>South</t>
        </is>
      </c>
      <c r="H1951" s="2" t="inlineStr">
        <is>
          <t>Tamil Nadu</t>
        </is>
      </c>
      <c r="I1951" s="2" t="inlineStr">
        <is>
          <t>Madurai</t>
        </is>
      </c>
      <c r="J1951" s="2" t="inlineStr">
        <is>
          <t>Store</t>
        </is>
      </c>
      <c r="K1951" s="2" t="n">
        <v>1</v>
      </c>
      <c r="L1951" s="3" t="n">
        <v>1005.03</v>
      </c>
      <c r="M1951" s="4" t="n">
        <v>0.1</v>
      </c>
      <c r="N1951" s="3" t="n">
        <v>621.14</v>
      </c>
      <c r="O1951" s="3">
        <f>K1951*L1951*(1-M1951)</f>
        <v/>
      </c>
      <c r="P1951" s="3">
        <f>O1951-N1951</f>
        <v/>
      </c>
      <c r="Q1951" s="5">
        <f>IFERROR(P1951/O1951,0)</f>
        <v/>
      </c>
      <c r="R1951" s="2">
        <f>TEXT(DATEVALUE(B1951),"mmm")</f>
        <v/>
      </c>
      <c r="S1951" s="2">
        <f>TEXT(DATEVALUE(B1951),"yyyy-mm")</f>
        <v/>
      </c>
    </row>
    <row r="1952">
      <c r="A1952" s="2" t="inlineStr">
        <is>
          <t>O002364</t>
        </is>
      </c>
      <c r="B1952" s="2" t="inlineStr">
        <is>
          <t>2025-05-23</t>
        </is>
      </c>
      <c r="C1952" s="2" t="inlineStr">
        <is>
          <t>C0582</t>
        </is>
      </c>
      <c r="D1952" s="2" t="inlineStr">
        <is>
          <t>P0008</t>
        </is>
      </c>
      <c r="E1952" s="2" t="inlineStr">
        <is>
          <t>Air Fryer</t>
        </is>
      </c>
      <c r="F1952" s="2" t="inlineStr">
        <is>
          <t>Home &amp; Kitchen</t>
        </is>
      </c>
      <c r="G1952" s="2" t="inlineStr">
        <is>
          <t>North</t>
        </is>
      </c>
      <c r="H1952" s="2" t="inlineStr">
        <is>
          <t>Haryana</t>
        </is>
      </c>
      <c r="I1952" s="2" t="inlineStr">
        <is>
          <t>Gurugram</t>
        </is>
      </c>
      <c r="J1952" s="2" t="inlineStr">
        <is>
          <t>Online</t>
        </is>
      </c>
      <c r="K1952" s="2" t="n">
        <v>2</v>
      </c>
      <c r="L1952" s="3" t="n">
        <v>1080.64</v>
      </c>
      <c r="M1952" s="4" t="n">
        <v>0.1</v>
      </c>
      <c r="N1952" s="3" t="n">
        <v>1332.13</v>
      </c>
      <c r="O1952" s="3">
        <f>K1952*L1952*(1-M1952)</f>
        <v/>
      </c>
      <c r="P1952" s="3">
        <f>O1952-N1952</f>
        <v/>
      </c>
      <c r="Q1952" s="5">
        <f>IFERROR(P1952/O1952,0)</f>
        <v/>
      </c>
      <c r="R1952" s="2">
        <f>TEXT(DATEVALUE(B1952),"mmm")</f>
        <v/>
      </c>
      <c r="S1952" s="2">
        <f>TEXT(DATEVALUE(B1952),"yyyy-mm")</f>
        <v/>
      </c>
    </row>
    <row r="1953">
      <c r="A1953" s="2" t="inlineStr">
        <is>
          <t>O002239</t>
        </is>
      </c>
      <c r="B1953" s="2" t="inlineStr">
        <is>
          <t>2025-05-23</t>
        </is>
      </c>
      <c r="C1953" s="2" t="inlineStr">
        <is>
          <t>C0771</t>
        </is>
      </c>
      <c r="D1953" s="2" t="inlineStr">
        <is>
          <t>P0016</t>
        </is>
      </c>
      <c r="E1953" s="2" t="inlineStr">
        <is>
          <t>Casual Shirt</t>
        </is>
      </c>
      <c r="F1953" s="2" t="inlineStr">
        <is>
          <t>Fashion</t>
        </is>
      </c>
      <c r="G1953" s="2" t="inlineStr">
        <is>
          <t>North</t>
        </is>
      </c>
      <c r="H1953" s="2" t="inlineStr">
        <is>
          <t>Haryana</t>
        </is>
      </c>
      <c r="I1953" s="2" t="inlineStr">
        <is>
          <t>Faridabad</t>
        </is>
      </c>
      <c r="J1953" s="2" t="inlineStr">
        <is>
          <t>Online</t>
        </is>
      </c>
      <c r="K1953" s="2" t="n">
        <v>3</v>
      </c>
      <c r="L1953" s="3" t="n">
        <v>1230.18</v>
      </c>
      <c r="M1953" s="4" t="n">
        <v>0.15</v>
      </c>
      <c r="N1953" s="3" t="n">
        <v>2655.28</v>
      </c>
      <c r="O1953" s="3">
        <f>K1953*L1953*(1-M1953)</f>
        <v/>
      </c>
      <c r="P1953" s="3">
        <f>O1953-N1953</f>
        <v/>
      </c>
      <c r="Q1953" s="5">
        <f>IFERROR(P1953/O1953,0)</f>
        <v/>
      </c>
      <c r="R1953" s="2">
        <f>TEXT(DATEVALUE(B1953),"mmm")</f>
        <v/>
      </c>
      <c r="S1953" s="2">
        <f>TEXT(DATEVALUE(B1953),"yyyy-mm")</f>
        <v/>
      </c>
    </row>
    <row r="1954">
      <c r="A1954" s="2" t="inlineStr">
        <is>
          <t>O004902</t>
        </is>
      </c>
      <c r="B1954" s="2" t="inlineStr">
        <is>
          <t>2025-05-23</t>
        </is>
      </c>
      <c r="C1954" s="2" t="inlineStr">
        <is>
          <t>C0417</t>
        </is>
      </c>
      <c r="D1954" s="2" t="inlineStr">
        <is>
          <t>P0012</t>
        </is>
      </c>
      <c r="E1954" s="2" t="inlineStr">
        <is>
          <t>Water Bottle</t>
        </is>
      </c>
      <c r="F1954" s="2" t="inlineStr">
        <is>
          <t>Home &amp; Kitchen</t>
        </is>
      </c>
      <c r="G1954" s="2" t="inlineStr">
        <is>
          <t>North</t>
        </is>
      </c>
      <c r="H1954" s="2" t="inlineStr">
        <is>
          <t>Punjab</t>
        </is>
      </c>
      <c r="I1954" s="2" t="inlineStr">
        <is>
          <t>Jalandhar</t>
        </is>
      </c>
      <c r="J1954" s="2" t="inlineStr">
        <is>
          <t>Online</t>
        </is>
      </c>
      <c r="K1954" s="2" t="n">
        <v>1</v>
      </c>
      <c r="L1954" s="3" t="n">
        <v>947.35</v>
      </c>
      <c r="M1954" s="4" t="n">
        <v>0.05</v>
      </c>
      <c r="N1954" s="3" t="n">
        <v>639.9400000000001</v>
      </c>
      <c r="O1954" s="3">
        <f>K1954*L1954*(1-M1954)</f>
        <v/>
      </c>
      <c r="P1954" s="3">
        <f>O1954-N1954</f>
        <v/>
      </c>
      <c r="Q1954" s="5">
        <f>IFERROR(P1954/O1954,0)</f>
        <v/>
      </c>
      <c r="R1954" s="2">
        <f>TEXT(DATEVALUE(B1954),"mmm")</f>
        <v/>
      </c>
      <c r="S1954" s="2">
        <f>TEXT(DATEVALUE(B1954),"yyyy-mm")</f>
        <v/>
      </c>
    </row>
    <row r="1955">
      <c r="A1955" s="2" t="inlineStr">
        <is>
          <t>O002109</t>
        </is>
      </c>
      <c r="B1955" s="2" t="inlineStr">
        <is>
          <t>2025-05-23</t>
        </is>
      </c>
      <c r="C1955" s="2" t="inlineStr">
        <is>
          <t>C0711</t>
        </is>
      </c>
      <c r="D1955" s="2" t="inlineStr">
        <is>
          <t>P0031</t>
        </is>
      </c>
      <c r="E1955" s="2" t="inlineStr">
        <is>
          <t>Cricket Bat</t>
        </is>
      </c>
      <c r="F1955" s="2" t="inlineStr">
        <is>
          <t>Sports</t>
        </is>
      </c>
      <c r="G1955" s="2" t="inlineStr">
        <is>
          <t>West</t>
        </is>
      </c>
      <c r="H1955" s="2" t="inlineStr">
        <is>
          <t>Goa</t>
        </is>
      </c>
      <c r="I1955" s="2" t="inlineStr">
        <is>
          <t>Panaji</t>
        </is>
      </c>
      <c r="J1955" s="2" t="inlineStr">
        <is>
          <t>Store</t>
        </is>
      </c>
      <c r="K1955" s="2" t="n">
        <v>3</v>
      </c>
      <c r="L1955" s="3" t="n">
        <v>1390.86</v>
      </c>
      <c r="M1955" s="4" t="n">
        <v>0</v>
      </c>
      <c r="N1955" s="3" t="n">
        <v>2906.99</v>
      </c>
      <c r="O1955" s="3">
        <f>K1955*L1955*(1-M1955)</f>
        <v/>
      </c>
      <c r="P1955" s="3">
        <f>O1955-N1955</f>
        <v/>
      </c>
      <c r="Q1955" s="5">
        <f>IFERROR(P1955/O1955,0)</f>
        <v/>
      </c>
      <c r="R1955" s="2">
        <f>TEXT(DATEVALUE(B1955),"mmm")</f>
        <v/>
      </c>
      <c r="S1955" s="2">
        <f>TEXT(DATEVALUE(B1955),"yyyy-mm")</f>
        <v/>
      </c>
    </row>
    <row r="1956">
      <c r="A1956" s="2" t="inlineStr">
        <is>
          <t>O001838</t>
        </is>
      </c>
      <c r="B1956" s="2" t="inlineStr">
        <is>
          <t>2025-05-23</t>
        </is>
      </c>
      <c r="C1956" s="2" t="inlineStr">
        <is>
          <t>C0745</t>
        </is>
      </c>
      <c r="D1956" s="2" t="inlineStr">
        <is>
          <t>P0022</t>
        </is>
      </c>
      <c r="E1956" s="2" t="inlineStr">
        <is>
          <t>Face Wash</t>
        </is>
      </c>
      <c r="F1956" s="2" t="inlineStr">
        <is>
          <t>Beauty</t>
        </is>
      </c>
      <c r="G1956" s="2" t="inlineStr">
        <is>
          <t>West</t>
        </is>
      </c>
      <c r="H1956" s="2" t="inlineStr">
        <is>
          <t>Goa</t>
        </is>
      </c>
      <c r="I1956" s="2" t="inlineStr">
        <is>
          <t>Panaji</t>
        </is>
      </c>
      <c r="J1956" s="2" t="inlineStr">
        <is>
          <t>Online</t>
        </is>
      </c>
      <c r="K1956" s="2" t="n">
        <v>1</v>
      </c>
      <c r="L1956" s="3" t="n">
        <v>547.33</v>
      </c>
      <c r="M1956" s="4" t="n">
        <v>0.25</v>
      </c>
      <c r="N1956" s="3" t="n">
        <v>344.52</v>
      </c>
      <c r="O1956" s="3">
        <f>K1956*L1956*(1-M1956)</f>
        <v/>
      </c>
      <c r="P1956" s="3">
        <f>O1956-N1956</f>
        <v/>
      </c>
      <c r="Q1956" s="5">
        <f>IFERROR(P1956/O1956,0)</f>
        <v/>
      </c>
      <c r="R1956" s="2">
        <f>TEXT(DATEVALUE(B1956),"mmm")</f>
        <v/>
      </c>
      <c r="S1956" s="2">
        <f>TEXT(DATEVALUE(B1956),"yyyy-mm")</f>
        <v/>
      </c>
    </row>
    <row r="1957">
      <c r="A1957" s="2" t="inlineStr">
        <is>
          <t>O001448</t>
        </is>
      </c>
      <c r="B1957" s="2" t="inlineStr">
        <is>
          <t>2025-05-23</t>
        </is>
      </c>
      <c r="C1957" s="2" t="inlineStr">
        <is>
          <t>C0330</t>
        </is>
      </c>
      <c r="D1957" s="2" t="inlineStr">
        <is>
          <t>P0005</t>
        </is>
      </c>
      <c r="E1957" s="2" t="inlineStr">
        <is>
          <t>Power Bank</t>
        </is>
      </c>
      <c r="F1957" s="2" t="inlineStr">
        <is>
          <t>Electronics</t>
        </is>
      </c>
      <c r="G1957" s="2" t="inlineStr">
        <is>
          <t>South</t>
        </is>
      </c>
      <c r="H1957" s="2" t="inlineStr">
        <is>
          <t>Karnataka</t>
        </is>
      </c>
      <c r="I1957" s="2" t="inlineStr">
        <is>
          <t>Mysuru</t>
        </is>
      </c>
      <c r="J1957" s="2" t="inlineStr">
        <is>
          <t>Online</t>
        </is>
      </c>
      <c r="K1957" s="2" t="n">
        <v>3</v>
      </c>
      <c r="L1957" s="3" t="n">
        <v>1084.04</v>
      </c>
      <c r="M1957" s="4" t="n">
        <v>0</v>
      </c>
      <c r="N1957" s="3" t="n">
        <v>2046.04</v>
      </c>
      <c r="O1957" s="3">
        <f>K1957*L1957*(1-M1957)</f>
        <v/>
      </c>
      <c r="P1957" s="3">
        <f>O1957-N1957</f>
        <v/>
      </c>
      <c r="Q1957" s="5">
        <f>IFERROR(P1957/O1957,0)</f>
        <v/>
      </c>
      <c r="R1957" s="2">
        <f>TEXT(DATEVALUE(B1957),"mmm")</f>
        <v/>
      </c>
      <c r="S1957" s="2">
        <f>TEXT(DATEVALUE(B1957),"yyyy-mm")</f>
        <v/>
      </c>
    </row>
    <row r="1958">
      <c r="A1958" s="2" t="inlineStr">
        <is>
          <t>O001065</t>
        </is>
      </c>
      <c r="B1958" s="2" t="inlineStr">
        <is>
          <t>2025-05-23</t>
        </is>
      </c>
      <c r="C1958" s="2" t="inlineStr">
        <is>
          <t>C0399</t>
        </is>
      </c>
      <c r="D1958" s="2" t="inlineStr">
        <is>
          <t>P0013</t>
        </is>
      </c>
      <c r="E1958" s="2" t="inlineStr">
        <is>
          <t>Storage Organizer</t>
        </is>
      </c>
      <c r="F1958" s="2" t="inlineStr">
        <is>
          <t>Home &amp; Kitchen</t>
        </is>
      </c>
      <c r="G1958" s="2" t="inlineStr">
        <is>
          <t>West</t>
        </is>
      </c>
      <c r="H1958" s="2" t="inlineStr">
        <is>
          <t>Maharashtra</t>
        </is>
      </c>
      <c r="I1958" s="2" t="inlineStr">
        <is>
          <t>Thane</t>
        </is>
      </c>
      <c r="J1958" s="2" t="inlineStr">
        <is>
          <t>Store</t>
        </is>
      </c>
      <c r="K1958" s="2" t="n">
        <v>2</v>
      </c>
      <c r="L1958" s="3" t="n">
        <v>547.49</v>
      </c>
      <c r="M1958" s="4" t="n">
        <v>0.1</v>
      </c>
      <c r="N1958" s="3" t="n">
        <v>713.84</v>
      </c>
      <c r="O1958" s="3">
        <f>K1958*L1958*(1-M1958)</f>
        <v/>
      </c>
      <c r="P1958" s="3">
        <f>O1958-N1958</f>
        <v/>
      </c>
      <c r="Q1958" s="5">
        <f>IFERROR(P1958/O1958,0)</f>
        <v/>
      </c>
      <c r="R1958" s="2">
        <f>TEXT(DATEVALUE(B1958),"mmm")</f>
        <v/>
      </c>
      <c r="S1958" s="2">
        <f>TEXT(DATEVALUE(B1958),"yyyy-mm")</f>
        <v/>
      </c>
    </row>
    <row r="1959">
      <c r="A1959" s="2" t="inlineStr">
        <is>
          <t>O000677</t>
        </is>
      </c>
      <c r="B1959" s="2" t="inlineStr">
        <is>
          <t>2025-05-23</t>
        </is>
      </c>
      <c r="C1959" s="2" t="inlineStr">
        <is>
          <t>C0498</t>
        </is>
      </c>
      <c r="D1959" s="2" t="inlineStr">
        <is>
          <t>P0022</t>
        </is>
      </c>
      <c r="E1959" s="2" t="inlineStr">
        <is>
          <t>Face Wash</t>
        </is>
      </c>
      <c r="F1959" s="2" t="inlineStr">
        <is>
          <t>Beauty</t>
        </is>
      </c>
      <c r="G1959" s="2" t="inlineStr">
        <is>
          <t>South</t>
        </is>
      </c>
      <c r="H1959" s="2" t="inlineStr">
        <is>
          <t>Karnataka</t>
        </is>
      </c>
      <c r="I1959" s="2" t="inlineStr">
        <is>
          <t>Bengaluru</t>
        </is>
      </c>
      <c r="J1959" s="2" t="inlineStr">
        <is>
          <t>Online</t>
        </is>
      </c>
      <c r="K1959" s="2" t="n">
        <v>2</v>
      </c>
      <c r="L1959" s="3" t="n">
        <v>550.55</v>
      </c>
      <c r="M1959" s="4" t="n">
        <v>0</v>
      </c>
      <c r="N1959" s="3" t="n">
        <v>725.1900000000001</v>
      </c>
      <c r="O1959" s="3">
        <f>K1959*L1959*(1-M1959)</f>
        <v/>
      </c>
      <c r="P1959" s="3">
        <f>O1959-N1959</f>
        <v/>
      </c>
      <c r="Q1959" s="5">
        <f>IFERROR(P1959/O1959,0)</f>
        <v/>
      </c>
      <c r="R1959" s="2">
        <f>TEXT(DATEVALUE(B1959),"mmm")</f>
        <v/>
      </c>
      <c r="S1959" s="2">
        <f>TEXT(DATEVALUE(B1959),"yyyy-mm")</f>
        <v/>
      </c>
    </row>
    <row r="1960">
      <c r="A1960" s="2" t="inlineStr">
        <is>
          <t>O000388</t>
        </is>
      </c>
      <c r="B1960" s="2" t="inlineStr">
        <is>
          <t>2025-05-23</t>
        </is>
      </c>
      <c r="C1960" s="2" t="inlineStr">
        <is>
          <t>C0508</t>
        </is>
      </c>
      <c r="D1960" s="2" t="inlineStr">
        <is>
          <t>P0035</t>
        </is>
      </c>
      <c r="E1960" s="2" t="inlineStr">
        <is>
          <t>Skipping Rope</t>
        </is>
      </c>
      <c r="F1960" s="2" t="inlineStr">
        <is>
          <t>Sports</t>
        </is>
      </c>
      <c r="G1960" s="2" t="inlineStr">
        <is>
          <t>South</t>
        </is>
      </c>
      <c r="H1960" s="2" t="inlineStr">
        <is>
          <t>Kerala</t>
        </is>
      </c>
      <c r="I1960" s="2" t="inlineStr">
        <is>
          <t>Kochi</t>
        </is>
      </c>
      <c r="J1960" s="2" t="inlineStr">
        <is>
          <t>Online</t>
        </is>
      </c>
      <c r="K1960" s="2" t="n">
        <v>2</v>
      </c>
      <c r="L1960" s="3" t="n">
        <v>697.39</v>
      </c>
      <c r="M1960" s="4" t="n">
        <v>0.2</v>
      </c>
      <c r="N1960" s="3" t="n">
        <v>814.54</v>
      </c>
      <c r="O1960" s="3">
        <f>K1960*L1960*(1-M1960)</f>
        <v/>
      </c>
      <c r="P1960" s="3">
        <f>O1960-N1960</f>
        <v/>
      </c>
      <c r="Q1960" s="5">
        <f>IFERROR(P1960/O1960,0)</f>
        <v/>
      </c>
      <c r="R1960" s="2">
        <f>TEXT(DATEVALUE(B1960),"mmm")</f>
        <v/>
      </c>
      <c r="S1960" s="2">
        <f>TEXT(DATEVALUE(B1960),"yyyy-mm")</f>
        <v/>
      </c>
    </row>
    <row r="1961">
      <c r="A1961" s="2" t="inlineStr">
        <is>
          <t>O000148</t>
        </is>
      </c>
      <c r="B1961" s="2" t="inlineStr">
        <is>
          <t>2025-05-23</t>
        </is>
      </c>
      <c r="C1961" s="2" t="inlineStr">
        <is>
          <t>C0568</t>
        </is>
      </c>
      <c r="D1961" s="2" t="inlineStr">
        <is>
          <t>P0023</t>
        </is>
      </c>
      <c r="E1961" s="2" t="inlineStr">
        <is>
          <t>Skin Care Kit</t>
        </is>
      </c>
      <c r="F1961" s="2" t="inlineStr">
        <is>
          <t>Beauty</t>
        </is>
      </c>
      <c r="G1961" s="2" t="inlineStr">
        <is>
          <t>South</t>
        </is>
      </c>
      <c r="H1961" s="2" t="inlineStr">
        <is>
          <t>Tamil Nadu</t>
        </is>
      </c>
      <c r="I1961" s="2" t="inlineStr">
        <is>
          <t>Madurai</t>
        </is>
      </c>
      <c r="J1961" s="2" t="inlineStr">
        <is>
          <t>Online</t>
        </is>
      </c>
      <c r="K1961" s="2" t="n">
        <v>1</v>
      </c>
      <c r="L1961" s="3" t="n">
        <v>1424.01</v>
      </c>
      <c r="M1961" s="4" t="n">
        <v>0</v>
      </c>
      <c r="N1961" s="3" t="n">
        <v>865.08</v>
      </c>
      <c r="O1961" s="3">
        <f>K1961*L1961*(1-M1961)</f>
        <v/>
      </c>
      <c r="P1961" s="3">
        <f>O1961-N1961</f>
        <v/>
      </c>
      <c r="Q1961" s="5">
        <f>IFERROR(P1961/O1961,0)</f>
        <v/>
      </c>
      <c r="R1961" s="2">
        <f>TEXT(DATEVALUE(B1961),"mmm")</f>
        <v/>
      </c>
      <c r="S1961" s="2">
        <f>TEXT(DATEVALUE(B1961),"yyyy-mm")</f>
        <v/>
      </c>
    </row>
    <row r="1962">
      <c r="A1962" s="2" t="inlineStr">
        <is>
          <t>O002113</t>
        </is>
      </c>
      <c r="B1962" s="2" t="inlineStr">
        <is>
          <t>2025-05-23</t>
        </is>
      </c>
      <c r="C1962" s="2" t="inlineStr">
        <is>
          <t>C0778</t>
        </is>
      </c>
      <c r="D1962" s="2" t="inlineStr">
        <is>
          <t>P0014</t>
        </is>
      </c>
      <c r="E1962" s="2" t="inlineStr">
        <is>
          <t>Coffee Maker</t>
        </is>
      </c>
      <c r="F1962" s="2" t="inlineStr">
        <is>
          <t>Home &amp; Kitchen</t>
        </is>
      </c>
      <c r="G1962" s="2" t="inlineStr">
        <is>
          <t>West</t>
        </is>
      </c>
      <c r="H1962" s="2" t="inlineStr">
        <is>
          <t>Gujarat</t>
        </is>
      </c>
      <c r="I1962" s="2" t="inlineStr">
        <is>
          <t>Ahmedabad</t>
        </is>
      </c>
      <c r="J1962" s="2" t="inlineStr">
        <is>
          <t>Online</t>
        </is>
      </c>
      <c r="K1962" s="2" t="n">
        <v>1</v>
      </c>
      <c r="L1962" s="3" t="n">
        <v>1020.83</v>
      </c>
      <c r="M1962" s="4" t="n">
        <v>0</v>
      </c>
      <c r="N1962" s="3" t="n">
        <v>742.37</v>
      </c>
      <c r="O1962" s="3">
        <f>K1962*L1962*(1-M1962)</f>
        <v/>
      </c>
      <c r="P1962" s="3">
        <f>O1962-N1962</f>
        <v/>
      </c>
      <c r="Q1962" s="5">
        <f>IFERROR(P1962/O1962,0)</f>
        <v/>
      </c>
      <c r="R1962" s="2">
        <f>TEXT(DATEVALUE(B1962),"mmm")</f>
        <v/>
      </c>
      <c r="S1962" s="2">
        <f>TEXT(DATEVALUE(B1962),"yyyy-mm")</f>
        <v/>
      </c>
    </row>
    <row r="1963">
      <c r="A1963" s="2" t="inlineStr">
        <is>
          <t>O004943</t>
        </is>
      </c>
      <c r="B1963" s="2" t="inlineStr">
        <is>
          <t>2025-05-24</t>
        </is>
      </c>
      <c r="C1963" s="2" t="inlineStr">
        <is>
          <t>C0253</t>
        </is>
      </c>
      <c r="D1963" s="2" t="inlineStr">
        <is>
          <t>P0016</t>
        </is>
      </c>
      <c r="E1963" s="2" t="inlineStr">
        <is>
          <t>Casual Shirt</t>
        </is>
      </c>
      <c r="F1963" s="2" t="inlineStr">
        <is>
          <t>Fashion</t>
        </is>
      </c>
      <c r="G1963" s="2" t="inlineStr">
        <is>
          <t>West</t>
        </is>
      </c>
      <c r="H1963" s="2" t="inlineStr">
        <is>
          <t>Goa</t>
        </is>
      </c>
      <c r="I1963" s="2" t="inlineStr">
        <is>
          <t>Margao</t>
        </is>
      </c>
      <c r="J1963" s="2" t="inlineStr">
        <is>
          <t>Store</t>
        </is>
      </c>
      <c r="K1963" s="2" t="n">
        <v>1</v>
      </c>
      <c r="L1963" s="3" t="n">
        <v>1259.35</v>
      </c>
      <c r="M1963" s="4" t="n">
        <v>0</v>
      </c>
      <c r="N1963" s="3" t="n">
        <v>903.63</v>
      </c>
      <c r="O1963" s="3">
        <f>K1963*L1963*(1-M1963)</f>
        <v/>
      </c>
      <c r="P1963" s="3">
        <f>O1963-N1963</f>
        <v/>
      </c>
      <c r="Q1963" s="5">
        <f>IFERROR(P1963/O1963,0)</f>
        <v/>
      </c>
      <c r="R1963" s="2">
        <f>TEXT(DATEVALUE(B1963),"mmm")</f>
        <v/>
      </c>
      <c r="S1963" s="2">
        <f>TEXT(DATEVALUE(B1963),"yyyy-mm")</f>
        <v/>
      </c>
    </row>
    <row r="1964">
      <c r="A1964" s="2" t="inlineStr">
        <is>
          <t>O004634</t>
        </is>
      </c>
      <c r="B1964" s="2" t="inlineStr">
        <is>
          <t>2025-05-24</t>
        </is>
      </c>
      <c r="C1964" s="2" t="inlineStr">
        <is>
          <t>C0296</t>
        </is>
      </c>
      <c r="D1964" s="2" t="inlineStr">
        <is>
          <t>P0002</t>
        </is>
      </c>
      <c r="E1964" s="2" t="inlineStr">
        <is>
          <t>Bluetooth Speaker</t>
        </is>
      </c>
      <c r="F1964" s="2" t="inlineStr">
        <is>
          <t>Electronics</t>
        </is>
      </c>
      <c r="G1964" s="2" t="inlineStr">
        <is>
          <t>East</t>
        </is>
      </c>
      <c r="H1964" s="2" t="inlineStr">
        <is>
          <t>West Bengal</t>
        </is>
      </c>
      <c r="I1964" s="2" t="inlineStr">
        <is>
          <t>Kolkata</t>
        </is>
      </c>
      <c r="J1964" s="2" t="inlineStr">
        <is>
          <t>Store</t>
        </is>
      </c>
      <c r="K1964" s="2" t="n">
        <v>1</v>
      </c>
      <c r="L1964" s="3" t="n">
        <v>1425.33</v>
      </c>
      <c r="M1964" s="4" t="n">
        <v>0.05</v>
      </c>
      <c r="N1964" s="3" t="n">
        <v>817.77</v>
      </c>
      <c r="O1964" s="3">
        <f>K1964*L1964*(1-M1964)</f>
        <v/>
      </c>
      <c r="P1964" s="3">
        <f>O1964-N1964</f>
        <v/>
      </c>
      <c r="Q1964" s="5">
        <f>IFERROR(P1964/O1964,0)</f>
        <v/>
      </c>
      <c r="R1964" s="2">
        <f>TEXT(DATEVALUE(B1964),"mmm")</f>
        <v/>
      </c>
      <c r="S1964" s="2">
        <f>TEXT(DATEVALUE(B1964),"yyyy-mm")</f>
        <v/>
      </c>
    </row>
    <row r="1965">
      <c r="A1965" s="2" t="inlineStr">
        <is>
          <t>O003618</t>
        </is>
      </c>
      <c r="B1965" s="2" t="inlineStr">
        <is>
          <t>2025-05-24</t>
        </is>
      </c>
      <c r="C1965" s="2" t="inlineStr">
        <is>
          <t>C0771</t>
        </is>
      </c>
      <c r="D1965" s="2" t="inlineStr">
        <is>
          <t>P0001</t>
        </is>
      </c>
      <c r="E1965" s="2" t="inlineStr">
        <is>
          <t>Wireless Headphones</t>
        </is>
      </c>
      <c r="F1965" s="2" t="inlineStr">
        <is>
          <t>Electronics</t>
        </is>
      </c>
      <c r="G1965" s="2" t="inlineStr">
        <is>
          <t>West</t>
        </is>
      </c>
      <c r="H1965" s="2" t="inlineStr">
        <is>
          <t>Maharashtra</t>
        </is>
      </c>
      <c r="I1965" s="2" t="inlineStr">
        <is>
          <t>Nashik</t>
        </is>
      </c>
      <c r="J1965" s="2" t="inlineStr">
        <is>
          <t>Online</t>
        </is>
      </c>
      <c r="K1965" s="2" t="n">
        <v>1</v>
      </c>
      <c r="L1965" s="3" t="n">
        <v>1321.45</v>
      </c>
      <c r="M1965" s="4" t="n">
        <v>0.05</v>
      </c>
      <c r="N1965" s="3" t="n">
        <v>688.05</v>
      </c>
      <c r="O1965" s="3">
        <f>K1965*L1965*(1-M1965)</f>
        <v/>
      </c>
      <c r="P1965" s="3">
        <f>O1965-N1965</f>
        <v/>
      </c>
      <c r="Q1965" s="5">
        <f>IFERROR(P1965/O1965,0)</f>
        <v/>
      </c>
      <c r="R1965" s="2">
        <f>TEXT(DATEVALUE(B1965),"mmm")</f>
        <v/>
      </c>
      <c r="S1965" s="2">
        <f>TEXT(DATEVALUE(B1965),"yyyy-mm")</f>
        <v/>
      </c>
    </row>
    <row r="1966">
      <c r="A1966" s="2" t="inlineStr">
        <is>
          <t>O002918</t>
        </is>
      </c>
      <c r="B1966" s="2" t="inlineStr">
        <is>
          <t>2025-05-24</t>
        </is>
      </c>
      <c r="C1966" s="2" t="inlineStr">
        <is>
          <t>C0104</t>
        </is>
      </c>
      <c r="D1966" s="2" t="inlineStr">
        <is>
          <t>P0018</t>
        </is>
      </c>
      <c r="E1966" s="2" t="inlineStr">
        <is>
          <t>Backpack</t>
        </is>
      </c>
      <c r="F1966" s="2" t="inlineStr">
        <is>
          <t>Fashion</t>
        </is>
      </c>
      <c r="G1966" s="2" t="inlineStr">
        <is>
          <t>North</t>
        </is>
      </c>
      <c r="H1966" s="2" t="inlineStr">
        <is>
          <t>Uttar Pradesh</t>
        </is>
      </c>
      <c r="I1966" s="2" t="inlineStr">
        <is>
          <t>Lucknow</t>
        </is>
      </c>
      <c r="J1966" s="2" t="inlineStr">
        <is>
          <t>Store</t>
        </is>
      </c>
      <c r="K1966" s="2" t="n">
        <v>1</v>
      </c>
      <c r="L1966" s="3" t="n">
        <v>1785.01</v>
      </c>
      <c r="M1966" s="4" t="n">
        <v>0.15</v>
      </c>
      <c r="N1966" s="3" t="n">
        <v>4041.2</v>
      </c>
      <c r="O1966" s="3">
        <f>K1966*L1966*(1-M1966)</f>
        <v/>
      </c>
      <c r="P1966" s="3">
        <f>O1966-N1966</f>
        <v/>
      </c>
      <c r="Q1966" s="5">
        <f>IFERROR(P1966/O1966,0)</f>
        <v/>
      </c>
      <c r="R1966" s="2">
        <f>TEXT(DATEVALUE(B1966),"mmm")</f>
        <v/>
      </c>
      <c r="S1966" s="2">
        <f>TEXT(DATEVALUE(B1966),"yyyy-mm")</f>
        <v/>
      </c>
    </row>
    <row r="1967">
      <c r="A1967" s="2" t="inlineStr">
        <is>
          <t>O002673</t>
        </is>
      </c>
      <c r="B1967" s="2" t="inlineStr">
        <is>
          <t>2025-05-24</t>
        </is>
      </c>
      <c r="C1967" s="2" t="inlineStr">
        <is>
          <t>C0544</t>
        </is>
      </c>
      <c r="D1967" s="2" t="inlineStr">
        <is>
          <t>P0021</t>
        </is>
      </c>
      <c r="E1967" s="2" t="inlineStr">
        <is>
          <t>Wallet</t>
        </is>
      </c>
      <c r="F1967" s="2" t="inlineStr">
        <is>
          <t>Fashion</t>
        </is>
      </c>
      <c r="G1967" s="2" t="inlineStr">
        <is>
          <t>North</t>
        </is>
      </c>
      <c r="H1967" s="2" t="inlineStr">
        <is>
          <t>Uttar Pradesh</t>
        </is>
      </c>
      <c r="I1967" s="2" t="inlineStr">
        <is>
          <t>Varanasi</t>
        </is>
      </c>
      <c r="J1967" s="2" t="inlineStr">
        <is>
          <t>Store</t>
        </is>
      </c>
      <c r="K1967" s="2" t="n">
        <v>4</v>
      </c>
      <c r="L1967" s="3" t="n">
        <v>2081.89</v>
      </c>
      <c r="M1967" s="4" t="n">
        <v>0.1</v>
      </c>
      <c r="N1967" s="3" t="n">
        <v>4775.27</v>
      </c>
      <c r="O1967" s="3">
        <f>K1967*L1967*(1-M1967)</f>
        <v/>
      </c>
      <c r="P1967" s="3">
        <f>O1967-N1967</f>
        <v/>
      </c>
      <c r="Q1967" s="5">
        <f>IFERROR(P1967/O1967,0)</f>
        <v/>
      </c>
      <c r="R1967" s="2">
        <f>TEXT(DATEVALUE(B1967),"mmm")</f>
        <v/>
      </c>
      <c r="S1967" s="2">
        <f>TEXT(DATEVALUE(B1967),"yyyy-mm")</f>
        <v/>
      </c>
    </row>
    <row r="1968">
      <c r="A1968" s="2" t="inlineStr">
        <is>
          <t>O002323</t>
        </is>
      </c>
      <c r="B1968" s="2" t="inlineStr">
        <is>
          <t>2025-05-24</t>
        </is>
      </c>
      <c r="C1968" s="2" t="inlineStr">
        <is>
          <t>C0723</t>
        </is>
      </c>
      <c r="D1968" s="2" t="inlineStr">
        <is>
          <t>P0031</t>
        </is>
      </c>
      <c r="E1968" s="2" t="inlineStr">
        <is>
          <t>Cricket Bat</t>
        </is>
      </c>
      <c r="F1968" s="2" t="inlineStr">
        <is>
          <t>Sports</t>
        </is>
      </c>
      <c r="G1968" s="2" t="inlineStr">
        <is>
          <t>South</t>
        </is>
      </c>
      <c r="H1968" s="2" t="inlineStr">
        <is>
          <t>Tamil Nadu</t>
        </is>
      </c>
      <c r="I1968" s="2" t="inlineStr">
        <is>
          <t>Madurai</t>
        </is>
      </c>
      <c r="J1968" s="2" t="inlineStr">
        <is>
          <t>Online</t>
        </is>
      </c>
      <c r="K1968" s="2" t="n">
        <v>2</v>
      </c>
      <c r="L1968" s="3" t="n">
        <v>1401.7</v>
      </c>
      <c r="M1968" s="4" t="n">
        <v>0.2</v>
      </c>
      <c r="N1968" s="3" t="n">
        <v>1854.59</v>
      </c>
      <c r="O1968" s="3">
        <f>K1968*L1968*(1-M1968)</f>
        <v/>
      </c>
      <c r="P1968" s="3">
        <f>O1968-N1968</f>
        <v/>
      </c>
      <c r="Q1968" s="5">
        <f>IFERROR(P1968/O1968,0)</f>
        <v/>
      </c>
      <c r="R1968" s="2">
        <f>TEXT(DATEVALUE(B1968),"mmm")</f>
        <v/>
      </c>
      <c r="S1968" s="2">
        <f>TEXT(DATEVALUE(B1968),"yyyy-mm")</f>
        <v/>
      </c>
    </row>
    <row r="1969">
      <c r="A1969" s="2" t="inlineStr">
        <is>
          <t>O002170</t>
        </is>
      </c>
      <c r="B1969" s="2" t="inlineStr">
        <is>
          <t>2025-05-24</t>
        </is>
      </c>
      <c r="C1969" s="2" t="inlineStr">
        <is>
          <t>C0325</t>
        </is>
      </c>
      <c r="D1969" s="2" t="inlineStr">
        <is>
          <t>P0003</t>
        </is>
      </c>
      <c r="E1969" s="2" t="inlineStr">
        <is>
          <t>Smartwatch</t>
        </is>
      </c>
      <c r="F1969" s="2" t="inlineStr">
        <is>
          <t>Electronics</t>
        </is>
      </c>
      <c r="G1969" s="2" t="inlineStr">
        <is>
          <t>South</t>
        </is>
      </c>
      <c r="H1969" s="2" t="inlineStr">
        <is>
          <t>Karnataka</t>
        </is>
      </c>
      <c r="I1969" s="2" t="inlineStr">
        <is>
          <t>Mangaluru</t>
        </is>
      </c>
      <c r="J1969" s="2" t="inlineStr">
        <is>
          <t>Store</t>
        </is>
      </c>
      <c r="K1969" s="2" t="n">
        <v>2</v>
      </c>
      <c r="L1969" s="3" t="n">
        <v>2325.56</v>
      </c>
      <c r="M1969" s="4" t="n">
        <v>0</v>
      </c>
      <c r="N1969" s="3" t="n">
        <v>2436.62</v>
      </c>
      <c r="O1969" s="3">
        <f>K1969*L1969*(1-M1969)</f>
        <v/>
      </c>
      <c r="P1969" s="3">
        <f>O1969-N1969</f>
        <v/>
      </c>
      <c r="Q1969" s="5">
        <f>IFERROR(P1969/O1969,0)</f>
        <v/>
      </c>
      <c r="R1969" s="2">
        <f>TEXT(DATEVALUE(B1969),"mmm")</f>
        <v/>
      </c>
      <c r="S1969" s="2">
        <f>TEXT(DATEVALUE(B1969),"yyyy-mm")</f>
        <v/>
      </c>
    </row>
    <row r="1970">
      <c r="A1970" s="2" t="inlineStr">
        <is>
          <t>O000681</t>
        </is>
      </c>
      <c r="B1970" s="2" t="inlineStr">
        <is>
          <t>2025-05-24</t>
        </is>
      </c>
      <c r="C1970" s="2" t="inlineStr">
        <is>
          <t>C0722</t>
        </is>
      </c>
      <c r="D1970" s="2" t="inlineStr">
        <is>
          <t>P0002</t>
        </is>
      </c>
      <c r="E1970" s="2" t="inlineStr">
        <is>
          <t>Bluetooth Speaker</t>
        </is>
      </c>
      <c r="F1970" s="2" t="inlineStr">
        <is>
          <t>Electronics</t>
        </is>
      </c>
      <c r="G1970" s="2" t="inlineStr">
        <is>
          <t>South</t>
        </is>
      </c>
      <c r="H1970" s="2" t="inlineStr">
        <is>
          <t>Kerala</t>
        </is>
      </c>
      <c r="I1970" s="2" t="inlineStr">
        <is>
          <t>Thiruvananthapuram</t>
        </is>
      </c>
      <c r="J1970" s="2" t="inlineStr">
        <is>
          <t>Store</t>
        </is>
      </c>
      <c r="K1970" s="2" t="n">
        <v>6</v>
      </c>
      <c r="L1970" s="3" t="n">
        <v>1367.11</v>
      </c>
      <c r="M1970" s="4" t="n">
        <v>0.05</v>
      </c>
      <c r="N1970" s="3" t="n">
        <v>4874.56</v>
      </c>
      <c r="O1970" s="3">
        <f>K1970*L1970*(1-M1970)</f>
        <v/>
      </c>
      <c r="P1970" s="3">
        <f>O1970-N1970</f>
        <v/>
      </c>
      <c r="Q1970" s="5">
        <f>IFERROR(P1970/O1970,0)</f>
        <v/>
      </c>
      <c r="R1970" s="2">
        <f>TEXT(DATEVALUE(B1970),"mmm")</f>
        <v/>
      </c>
      <c r="S1970" s="2">
        <f>TEXT(DATEVALUE(B1970),"yyyy-mm")</f>
        <v/>
      </c>
    </row>
    <row r="1971">
      <c r="A1971" s="2" t="inlineStr">
        <is>
          <t>O000584</t>
        </is>
      </c>
      <c r="B1971" s="2" t="inlineStr">
        <is>
          <t>2025-05-24</t>
        </is>
      </c>
      <c r="C1971" s="2" t="inlineStr">
        <is>
          <t>C0394</t>
        </is>
      </c>
      <c r="D1971" s="2" t="inlineStr">
        <is>
          <t>P0007</t>
        </is>
      </c>
      <c r="E1971" s="2" t="inlineStr">
        <is>
          <t>Wireless Mouse</t>
        </is>
      </c>
      <c r="F1971" s="2" t="inlineStr">
        <is>
          <t>Electronics</t>
        </is>
      </c>
      <c r="G1971" s="2" t="inlineStr">
        <is>
          <t>South</t>
        </is>
      </c>
      <c r="H1971" s="2" t="inlineStr">
        <is>
          <t>Kerala</t>
        </is>
      </c>
      <c r="I1971" s="2" t="inlineStr">
        <is>
          <t>Thiruvananthapuram</t>
        </is>
      </c>
      <c r="J1971" s="2" t="inlineStr">
        <is>
          <t>Online</t>
        </is>
      </c>
      <c r="K1971" s="2" t="n">
        <v>5</v>
      </c>
      <c r="L1971" s="3" t="n">
        <v>969.24</v>
      </c>
      <c r="M1971" s="4" t="n">
        <v>0.1</v>
      </c>
      <c r="N1971" s="3" t="n">
        <v>3067.78</v>
      </c>
      <c r="O1971" s="3">
        <f>K1971*L1971*(1-M1971)</f>
        <v/>
      </c>
      <c r="P1971" s="3">
        <f>O1971-N1971</f>
        <v/>
      </c>
      <c r="Q1971" s="5">
        <f>IFERROR(P1971/O1971,0)</f>
        <v/>
      </c>
      <c r="R1971" s="2">
        <f>TEXT(DATEVALUE(B1971),"mmm")</f>
        <v/>
      </c>
      <c r="S1971" s="2">
        <f>TEXT(DATEVALUE(B1971),"yyyy-mm")</f>
        <v/>
      </c>
    </row>
    <row r="1972">
      <c r="A1972" s="2" t="inlineStr">
        <is>
          <t>O000578</t>
        </is>
      </c>
      <c r="B1972" s="2" t="inlineStr">
        <is>
          <t>2025-05-24</t>
        </is>
      </c>
      <c r="C1972" s="2" t="inlineStr">
        <is>
          <t>C0170</t>
        </is>
      </c>
      <c r="D1972" s="2" t="inlineStr">
        <is>
          <t>P0026</t>
        </is>
      </c>
      <c r="E1972" s="2" t="inlineStr">
        <is>
          <t>Shampoo</t>
        </is>
      </c>
      <c r="F1972" s="2" t="inlineStr">
        <is>
          <t>Beauty</t>
        </is>
      </c>
      <c r="G1972" s="2" t="inlineStr">
        <is>
          <t>West</t>
        </is>
      </c>
      <c r="H1972" s="2" t="inlineStr">
        <is>
          <t>Gujarat</t>
        </is>
      </c>
      <c r="I1972" s="2" t="inlineStr">
        <is>
          <t>Vadodara</t>
        </is>
      </c>
      <c r="J1972" s="2" t="inlineStr">
        <is>
          <t>Online</t>
        </is>
      </c>
      <c r="K1972" s="2" t="n">
        <v>5</v>
      </c>
      <c r="L1972" s="3" t="n">
        <v>861.5</v>
      </c>
      <c r="M1972" s="4" t="n">
        <v>0.15</v>
      </c>
      <c r="N1972" s="3" t="n">
        <v>2645.85</v>
      </c>
      <c r="O1972" s="3">
        <f>K1972*L1972*(1-M1972)</f>
        <v/>
      </c>
      <c r="P1972" s="3">
        <f>O1972-N1972</f>
        <v/>
      </c>
      <c r="Q1972" s="5">
        <f>IFERROR(P1972/O1972,0)</f>
        <v/>
      </c>
      <c r="R1972" s="2">
        <f>TEXT(DATEVALUE(B1972),"mmm")</f>
        <v/>
      </c>
      <c r="S1972" s="2">
        <f>TEXT(DATEVALUE(B1972),"yyyy-mm")</f>
        <v/>
      </c>
    </row>
    <row r="1973">
      <c r="A1973" s="2" t="inlineStr">
        <is>
          <t>O000465</t>
        </is>
      </c>
      <c r="B1973" s="2" t="inlineStr">
        <is>
          <t>2025-05-24</t>
        </is>
      </c>
      <c r="C1973" s="2" t="inlineStr">
        <is>
          <t>C0568</t>
        </is>
      </c>
      <c r="D1973" s="2" t="inlineStr">
        <is>
          <t>P0017</t>
        </is>
      </c>
      <c r="E1973" s="2" t="inlineStr">
        <is>
          <t>Jeans</t>
        </is>
      </c>
      <c r="F1973" s="2" t="inlineStr">
        <is>
          <t>Fashion</t>
        </is>
      </c>
      <c r="G1973" s="2" t="inlineStr">
        <is>
          <t>East</t>
        </is>
      </c>
      <c r="H1973" s="2" t="inlineStr">
        <is>
          <t>Odisha</t>
        </is>
      </c>
      <c r="I1973" s="2" t="inlineStr">
        <is>
          <t>Bhubaneswar</t>
        </is>
      </c>
      <c r="J1973" s="2" t="inlineStr">
        <is>
          <t>Store</t>
        </is>
      </c>
      <c r="K1973" s="2" t="n">
        <v>2</v>
      </c>
      <c r="L1973" s="3" t="n">
        <v>1471.04</v>
      </c>
      <c r="M1973" s="4" t="n">
        <v>0</v>
      </c>
      <c r="N1973" s="3" t="n">
        <v>2001.72</v>
      </c>
      <c r="O1973" s="3">
        <f>K1973*L1973*(1-M1973)</f>
        <v/>
      </c>
      <c r="P1973" s="3">
        <f>O1973-N1973</f>
        <v/>
      </c>
      <c r="Q1973" s="5">
        <f>IFERROR(P1973/O1973,0)</f>
        <v/>
      </c>
      <c r="R1973" s="2">
        <f>TEXT(DATEVALUE(B1973),"mmm")</f>
        <v/>
      </c>
      <c r="S1973" s="2">
        <f>TEXT(DATEVALUE(B1973),"yyyy-mm")</f>
        <v/>
      </c>
    </row>
    <row r="1974">
      <c r="A1974" s="2" t="inlineStr">
        <is>
          <t>O000426</t>
        </is>
      </c>
      <c r="B1974" s="2" t="inlineStr">
        <is>
          <t>2025-05-24</t>
        </is>
      </c>
      <c r="C1974" s="2" t="inlineStr">
        <is>
          <t>C0719</t>
        </is>
      </c>
      <c r="D1974" s="2" t="inlineStr">
        <is>
          <t>P0022</t>
        </is>
      </c>
      <c r="E1974" s="2" t="inlineStr">
        <is>
          <t>Face Wash</t>
        </is>
      </c>
      <c r="F1974" s="2" t="inlineStr">
        <is>
          <t>Beauty</t>
        </is>
      </c>
      <c r="G1974" s="2" t="inlineStr">
        <is>
          <t>South</t>
        </is>
      </c>
      <c r="H1974" s="2" t="inlineStr">
        <is>
          <t>Kerala</t>
        </is>
      </c>
      <c r="I1974" s="2" t="inlineStr">
        <is>
          <t>Kochi</t>
        </is>
      </c>
      <c r="J1974" s="2" t="inlineStr">
        <is>
          <t>Online</t>
        </is>
      </c>
      <c r="K1974" s="2" t="n">
        <v>1</v>
      </c>
      <c r="L1974" s="3" t="n">
        <v>551.65</v>
      </c>
      <c r="M1974" s="4" t="n">
        <v>0.2</v>
      </c>
      <c r="N1974" s="3" t="n">
        <v>353.93</v>
      </c>
      <c r="O1974" s="3">
        <f>K1974*L1974*(1-M1974)</f>
        <v/>
      </c>
      <c r="P1974" s="3">
        <f>O1974-N1974</f>
        <v/>
      </c>
      <c r="Q1974" s="5">
        <f>IFERROR(P1974/O1974,0)</f>
        <v/>
      </c>
      <c r="R1974" s="2">
        <f>TEXT(DATEVALUE(B1974),"mmm")</f>
        <v/>
      </c>
      <c r="S1974" s="2">
        <f>TEXT(DATEVALUE(B1974),"yyyy-mm")</f>
        <v/>
      </c>
    </row>
    <row r="1975">
      <c r="A1975" s="2" t="inlineStr">
        <is>
          <t>O000260</t>
        </is>
      </c>
      <c r="B1975" s="2" t="inlineStr">
        <is>
          <t>2025-05-24</t>
        </is>
      </c>
      <c r="C1975" s="2" t="inlineStr">
        <is>
          <t>C0616</t>
        </is>
      </c>
      <c r="D1975" s="2" t="inlineStr">
        <is>
          <t>P0016</t>
        </is>
      </c>
      <c r="E1975" s="2" t="inlineStr">
        <is>
          <t>Casual Shirt</t>
        </is>
      </c>
      <c r="F1975" s="2" t="inlineStr">
        <is>
          <t>Fashion</t>
        </is>
      </c>
      <c r="G1975" s="2" t="inlineStr">
        <is>
          <t>South</t>
        </is>
      </c>
      <c r="H1975" s="2" t="inlineStr">
        <is>
          <t>Karnataka</t>
        </is>
      </c>
      <c r="I1975" s="2" t="inlineStr">
        <is>
          <t>Mysuru</t>
        </is>
      </c>
      <c r="J1975" s="2" t="inlineStr">
        <is>
          <t>Online</t>
        </is>
      </c>
      <c r="K1975" s="2" t="n">
        <v>1</v>
      </c>
      <c r="L1975" s="3" t="n">
        <v>1306.57</v>
      </c>
      <c r="M1975" s="4" t="n">
        <v>0</v>
      </c>
      <c r="N1975" s="3" t="n">
        <v>929.12</v>
      </c>
      <c r="O1975" s="3">
        <f>K1975*L1975*(1-M1975)</f>
        <v/>
      </c>
      <c r="P1975" s="3">
        <f>O1975-N1975</f>
        <v/>
      </c>
      <c r="Q1975" s="5">
        <f>IFERROR(P1975/O1975,0)</f>
        <v/>
      </c>
      <c r="R1975" s="2">
        <f>TEXT(DATEVALUE(B1975),"mmm")</f>
        <v/>
      </c>
      <c r="S1975" s="2">
        <f>TEXT(DATEVALUE(B1975),"yyyy-mm")</f>
        <v/>
      </c>
    </row>
    <row r="1976">
      <c r="A1976" s="2" t="inlineStr">
        <is>
          <t>O000233</t>
        </is>
      </c>
      <c r="B1976" s="2" t="inlineStr">
        <is>
          <t>2025-05-24</t>
        </is>
      </c>
      <c r="C1976" s="2" t="inlineStr">
        <is>
          <t>C0595</t>
        </is>
      </c>
      <c r="D1976" s="2" t="inlineStr">
        <is>
          <t>P0017</t>
        </is>
      </c>
      <c r="E1976" s="2" t="inlineStr">
        <is>
          <t>Jeans</t>
        </is>
      </c>
      <c r="F1976" s="2" t="inlineStr">
        <is>
          <t>Fashion</t>
        </is>
      </c>
      <c r="G1976" s="2" t="inlineStr">
        <is>
          <t>North</t>
        </is>
      </c>
      <c r="H1976" s="2" t="inlineStr">
        <is>
          <t>Punjab</t>
        </is>
      </c>
      <c r="I1976" s="2" t="inlineStr">
        <is>
          <t>Amritsar</t>
        </is>
      </c>
      <c r="J1976" s="2" t="inlineStr">
        <is>
          <t>Store</t>
        </is>
      </c>
      <c r="K1976" s="2" t="n">
        <v>3</v>
      </c>
      <c r="L1976" s="3" t="n">
        <v>1504.54</v>
      </c>
      <c r="M1976" s="4" t="n">
        <v>0</v>
      </c>
      <c r="N1976" s="3" t="n">
        <v>3108.8</v>
      </c>
      <c r="O1976" s="3">
        <f>K1976*L1976*(1-M1976)</f>
        <v/>
      </c>
      <c r="P1976" s="3">
        <f>O1976-N1976</f>
        <v/>
      </c>
      <c r="Q1976" s="5">
        <f>IFERROR(P1976/O1976,0)</f>
        <v/>
      </c>
      <c r="R1976" s="2">
        <f>TEXT(DATEVALUE(B1976),"mmm")</f>
        <v/>
      </c>
      <c r="S1976" s="2">
        <f>TEXT(DATEVALUE(B1976),"yyyy-mm")</f>
        <v/>
      </c>
    </row>
    <row r="1977">
      <c r="A1977" s="2" t="inlineStr">
        <is>
          <t>O001226</t>
        </is>
      </c>
      <c r="B1977" s="2" t="inlineStr">
        <is>
          <t>2025-05-24</t>
        </is>
      </c>
      <c r="C1977" s="2" t="inlineStr">
        <is>
          <t>C0118</t>
        </is>
      </c>
      <c r="D1977" s="2" t="inlineStr">
        <is>
          <t>P0006</t>
        </is>
      </c>
      <c r="E1977" s="2" t="inlineStr">
        <is>
          <t>Mechanical Keyboard</t>
        </is>
      </c>
      <c r="F1977" s="2" t="inlineStr">
        <is>
          <t>Electronics</t>
        </is>
      </c>
      <c r="G1977" s="2" t="inlineStr">
        <is>
          <t>North</t>
        </is>
      </c>
      <c r="H1977" s="2" t="inlineStr">
        <is>
          <t>Punjab</t>
        </is>
      </c>
      <c r="I1977" s="2" t="inlineStr">
        <is>
          <t>Jalandhar</t>
        </is>
      </c>
      <c r="J1977" s="2" t="inlineStr">
        <is>
          <t>Store</t>
        </is>
      </c>
      <c r="K1977" s="2" t="n">
        <v>5</v>
      </c>
      <c r="L1977" s="3" t="n">
        <v>2595.08</v>
      </c>
      <c r="M1977" s="4" t="n">
        <v>0</v>
      </c>
      <c r="N1977" s="3" t="n">
        <v>7222.39</v>
      </c>
      <c r="O1977" s="3">
        <f>K1977*L1977*(1-M1977)</f>
        <v/>
      </c>
      <c r="P1977" s="3">
        <f>O1977-N1977</f>
        <v/>
      </c>
      <c r="Q1977" s="5">
        <f>IFERROR(P1977/O1977,0)</f>
        <v/>
      </c>
      <c r="R1977" s="2">
        <f>TEXT(DATEVALUE(B1977),"mmm")</f>
        <v/>
      </c>
      <c r="S1977" s="2">
        <f>TEXT(DATEVALUE(B1977),"yyyy-mm")</f>
        <v/>
      </c>
    </row>
    <row r="1978">
      <c r="A1978" s="2" t="inlineStr">
        <is>
          <t>O001962</t>
        </is>
      </c>
      <c r="B1978" s="2" t="inlineStr">
        <is>
          <t>2025-05-25</t>
        </is>
      </c>
      <c r="C1978" s="2" t="inlineStr">
        <is>
          <t>C0256</t>
        </is>
      </c>
      <c r="D1978" s="2" t="inlineStr">
        <is>
          <t>P0030</t>
        </is>
      </c>
      <c r="E1978" s="2" t="inlineStr">
        <is>
          <t>Dumbbells</t>
        </is>
      </c>
      <c r="F1978" s="2" t="inlineStr">
        <is>
          <t>Sports</t>
        </is>
      </c>
      <c r="G1978" s="2" t="inlineStr">
        <is>
          <t>East</t>
        </is>
      </c>
      <c r="H1978" s="2" t="inlineStr">
        <is>
          <t>Odisha</t>
        </is>
      </c>
      <c r="I1978" s="2" t="inlineStr">
        <is>
          <t>Cuttack</t>
        </is>
      </c>
      <c r="J1978" s="2" t="inlineStr">
        <is>
          <t>Online</t>
        </is>
      </c>
      <c r="K1978" s="2" t="n">
        <v>2</v>
      </c>
      <c r="L1978" s="3" t="n">
        <v>1626.08</v>
      </c>
      <c r="M1978" s="4" t="n">
        <v>0.1</v>
      </c>
      <c r="N1978" s="3" t="n">
        <v>2064.61</v>
      </c>
      <c r="O1978" s="3">
        <f>K1978*L1978*(1-M1978)</f>
        <v/>
      </c>
      <c r="P1978" s="3">
        <f>O1978-N1978</f>
        <v/>
      </c>
      <c r="Q1978" s="5">
        <f>IFERROR(P1978/O1978,0)</f>
        <v/>
      </c>
      <c r="R1978" s="2">
        <f>TEXT(DATEVALUE(B1978),"mmm")</f>
        <v/>
      </c>
      <c r="S1978" s="2">
        <f>TEXT(DATEVALUE(B1978),"yyyy-mm")</f>
        <v/>
      </c>
    </row>
    <row r="1979">
      <c r="A1979" s="2" t="inlineStr">
        <is>
          <t>O003615</t>
        </is>
      </c>
      <c r="B1979" s="2" t="inlineStr">
        <is>
          <t>2025-05-25</t>
        </is>
      </c>
      <c r="C1979" s="2" t="inlineStr">
        <is>
          <t>C0686</t>
        </is>
      </c>
      <c r="D1979" s="2" t="inlineStr">
        <is>
          <t>P0009</t>
        </is>
      </c>
      <c r="E1979" s="2" t="inlineStr">
        <is>
          <t>Electric Kettle</t>
        </is>
      </c>
      <c r="F1979" s="2" t="inlineStr">
        <is>
          <t>Home &amp; Kitchen</t>
        </is>
      </c>
      <c r="G1979" s="2" t="inlineStr">
        <is>
          <t>East</t>
        </is>
      </c>
      <c r="H1979" s="2" t="inlineStr">
        <is>
          <t>Odisha</t>
        </is>
      </c>
      <c r="I1979" s="2" t="inlineStr">
        <is>
          <t>Cuttack</t>
        </is>
      </c>
      <c r="J1979" s="2" t="inlineStr">
        <is>
          <t>Store</t>
        </is>
      </c>
      <c r="K1979" s="2" t="n">
        <v>5</v>
      </c>
      <c r="L1979" s="3" t="n">
        <v>2071.5</v>
      </c>
      <c r="M1979" s="4" t="n">
        <v>0.1</v>
      </c>
      <c r="N1979" s="3" t="n">
        <v>5792.12</v>
      </c>
      <c r="O1979" s="3">
        <f>K1979*L1979*(1-M1979)</f>
        <v/>
      </c>
      <c r="P1979" s="3">
        <f>O1979-N1979</f>
        <v/>
      </c>
      <c r="Q1979" s="5">
        <f>IFERROR(P1979/O1979,0)</f>
        <v/>
      </c>
      <c r="R1979" s="2">
        <f>TEXT(DATEVALUE(B1979),"mmm")</f>
        <v/>
      </c>
      <c r="S1979" s="2">
        <f>TEXT(DATEVALUE(B1979),"yyyy-mm")</f>
        <v/>
      </c>
    </row>
    <row r="1980">
      <c r="A1980" s="2" t="inlineStr">
        <is>
          <t>O004387</t>
        </is>
      </c>
      <c r="B1980" s="2" t="inlineStr">
        <is>
          <t>2025-05-25</t>
        </is>
      </c>
      <c r="C1980" s="2" t="inlineStr">
        <is>
          <t>C0060</t>
        </is>
      </c>
      <c r="D1980" s="2" t="inlineStr">
        <is>
          <t>P0008</t>
        </is>
      </c>
      <c r="E1980" s="2" t="inlineStr">
        <is>
          <t>Air Fryer</t>
        </is>
      </c>
      <c r="F1980" s="2" t="inlineStr">
        <is>
          <t>Home &amp; Kitchen</t>
        </is>
      </c>
      <c r="G1980" s="2" t="inlineStr">
        <is>
          <t>North</t>
        </is>
      </c>
      <c r="H1980" s="2" t="inlineStr">
        <is>
          <t>Punjab</t>
        </is>
      </c>
      <c r="I1980" s="2" t="inlineStr">
        <is>
          <t>Amritsar</t>
        </is>
      </c>
      <c r="J1980" s="2" t="inlineStr">
        <is>
          <t>Online</t>
        </is>
      </c>
      <c r="K1980" s="2" t="n">
        <v>1</v>
      </c>
      <c r="L1980" s="3" t="n">
        <v>1073.27</v>
      </c>
      <c r="M1980" s="4" t="n">
        <v>0.05</v>
      </c>
      <c r="N1980" s="3" t="n">
        <v>659.6</v>
      </c>
      <c r="O1980" s="3">
        <f>K1980*L1980*(1-M1980)</f>
        <v/>
      </c>
      <c r="P1980" s="3">
        <f>O1980-N1980</f>
        <v/>
      </c>
      <c r="Q1980" s="5">
        <f>IFERROR(P1980/O1980,0)</f>
        <v/>
      </c>
      <c r="R1980" s="2">
        <f>TEXT(DATEVALUE(B1980),"mmm")</f>
        <v/>
      </c>
      <c r="S1980" s="2">
        <f>TEXT(DATEVALUE(B1980),"yyyy-mm")</f>
        <v/>
      </c>
    </row>
    <row r="1981">
      <c r="A1981" s="2" t="inlineStr">
        <is>
          <t>O003479</t>
        </is>
      </c>
      <c r="B1981" s="2" t="inlineStr">
        <is>
          <t>2025-05-25</t>
        </is>
      </c>
      <c r="C1981" s="2" t="inlineStr">
        <is>
          <t>C0279</t>
        </is>
      </c>
      <c r="D1981" s="2" t="inlineStr">
        <is>
          <t>P0013</t>
        </is>
      </c>
      <c r="E1981" s="2" t="inlineStr">
        <is>
          <t>Storage Organizer</t>
        </is>
      </c>
      <c r="F1981" s="2" t="inlineStr">
        <is>
          <t>Home &amp; Kitchen</t>
        </is>
      </c>
      <c r="G1981" s="2" t="inlineStr">
        <is>
          <t>West</t>
        </is>
      </c>
      <c r="H1981" s="2" t="inlineStr">
        <is>
          <t>Goa</t>
        </is>
      </c>
      <c r="I1981" s="2" t="inlineStr">
        <is>
          <t>Panaji</t>
        </is>
      </c>
      <c r="J1981" s="2" t="inlineStr">
        <is>
          <t>Online</t>
        </is>
      </c>
      <c r="K1981" s="2" t="n">
        <v>1</v>
      </c>
      <c r="L1981" s="3" t="n">
        <v>567.4</v>
      </c>
      <c r="M1981" s="4" t="n">
        <v>0.05</v>
      </c>
      <c r="N1981" s="3" t="n">
        <v>366.18</v>
      </c>
      <c r="O1981" s="3">
        <f>K1981*L1981*(1-M1981)</f>
        <v/>
      </c>
      <c r="P1981" s="3">
        <f>O1981-N1981</f>
        <v/>
      </c>
      <c r="Q1981" s="5">
        <f>IFERROR(P1981/O1981,0)</f>
        <v/>
      </c>
      <c r="R1981" s="2">
        <f>TEXT(DATEVALUE(B1981),"mmm")</f>
        <v/>
      </c>
      <c r="S1981" s="2">
        <f>TEXT(DATEVALUE(B1981),"yyyy-mm")</f>
        <v/>
      </c>
    </row>
    <row r="1982">
      <c r="A1982" s="2" t="inlineStr">
        <is>
          <t>O002320</t>
        </is>
      </c>
      <c r="B1982" s="2" t="inlineStr">
        <is>
          <t>2025-05-25</t>
        </is>
      </c>
      <c r="C1982" s="2" t="inlineStr">
        <is>
          <t>C0121</t>
        </is>
      </c>
      <c r="D1982" s="2" t="inlineStr">
        <is>
          <t>P0030</t>
        </is>
      </c>
      <c r="E1982" s="2" t="inlineStr">
        <is>
          <t>Dumbbells</t>
        </is>
      </c>
      <c r="F1982" s="2" t="inlineStr">
        <is>
          <t>Sports</t>
        </is>
      </c>
      <c r="G1982" s="2" t="inlineStr">
        <is>
          <t>West</t>
        </is>
      </c>
      <c r="H1982" s="2" t="inlineStr">
        <is>
          <t>Gujarat</t>
        </is>
      </c>
      <c r="I1982" s="2" t="inlineStr">
        <is>
          <t>Vadodara</t>
        </is>
      </c>
      <c r="J1982" s="2" t="inlineStr">
        <is>
          <t>Online</t>
        </is>
      </c>
      <c r="K1982" s="2" t="n">
        <v>1</v>
      </c>
      <c r="L1982" s="3" t="n">
        <v>1501.16</v>
      </c>
      <c r="M1982" s="4" t="n">
        <v>0</v>
      </c>
      <c r="N1982" s="3" t="n">
        <v>1039.94</v>
      </c>
      <c r="O1982" s="3">
        <f>K1982*L1982*(1-M1982)</f>
        <v/>
      </c>
      <c r="P1982" s="3">
        <f>O1982-N1982</f>
        <v/>
      </c>
      <c r="Q1982" s="5">
        <f>IFERROR(P1982/O1982,0)</f>
        <v/>
      </c>
      <c r="R1982" s="2">
        <f>TEXT(DATEVALUE(B1982),"mmm")</f>
        <v/>
      </c>
      <c r="S1982" s="2">
        <f>TEXT(DATEVALUE(B1982),"yyyy-mm")</f>
        <v/>
      </c>
    </row>
    <row r="1983">
      <c r="A1983" s="2" t="inlineStr">
        <is>
          <t>O002061</t>
        </is>
      </c>
      <c r="B1983" s="2" t="inlineStr">
        <is>
          <t>2025-05-25</t>
        </is>
      </c>
      <c r="C1983" s="2" t="inlineStr">
        <is>
          <t>C0439</t>
        </is>
      </c>
      <c r="D1983" s="2" t="inlineStr">
        <is>
          <t>P0030</t>
        </is>
      </c>
      <c r="E1983" s="2" t="inlineStr">
        <is>
          <t>Dumbbells</t>
        </is>
      </c>
      <c r="F1983" s="2" t="inlineStr">
        <is>
          <t>Sports</t>
        </is>
      </c>
      <c r="G1983" s="2" t="inlineStr">
        <is>
          <t>South</t>
        </is>
      </c>
      <c r="H1983" s="2" t="inlineStr">
        <is>
          <t>Kerala</t>
        </is>
      </c>
      <c r="I1983" s="2" t="inlineStr">
        <is>
          <t>Kochi</t>
        </is>
      </c>
      <c r="J1983" s="2" t="inlineStr">
        <is>
          <t>Online</t>
        </is>
      </c>
      <c r="K1983" s="2" t="n">
        <v>1</v>
      </c>
      <c r="L1983" s="3" t="n">
        <v>1543.14</v>
      </c>
      <c r="M1983" s="4" t="n">
        <v>0.1</v>
      </c>
      <c r="N1983" s="3" t="n">
        <v>1067.15</v>
      </c>
      <c r="O1983" s="3">
        <f>K1983*L1983*(1-M1983)</f>
        <v/>
      </c>
      <c r="P1983" s="3">
        <f>O1983-N1983</f>
        <v/>
      </c>
      <c r="Q1983" s="5">
        <f>IFERROR(P1983/O1983,0)</f>
        <v/>
      </c>
      <c r="R1983" s="2">
        <f>TEXT(DATEVALUE(B1983),"mmm")</f>
        <v/>
      </c>
      <c r="S1983" s="2">
        <f>TEXT(DATEVALUE(B1983),"yyyy-mm")</f>
        <v/>
      </c>
    </row>
    <row r="1984">
      <c r="A1984" s="2" t="inlineStr">
        <is>
          <t>O001762</t>
        </is>
      </c>
      <c r="B1984" s="2" t="inlineStr">
        <is>
          <t>2025-05-25</t>
        </is>
      </c>
      <c r="C1984" s="2" t="inlineStr">
        <is>
          <t>C0227</t>
        </is>
      </c>
      <c r="D1984" s="2" t="inlineStr">
        <is>
          <t>P0014</t>
        </is>
      </c>
      <c r="E1984" s="2" t="inlineStr">
        <is>
          <t>Coffee Maker</t>
        </is>
      </c>
      <c r="F1984" s="2" t="inlineStr">
        <is>
          <t>Home &amp; Kitchen</t>
        </is>
      </c>
      <c r="G1984" s="2" t="inlineStr">
        <is>
          <t>South</t>
        </is>
      </c>
      <c r="H1984" s="2" t="inlineStr">
        <is>
          <t>Telangana</t>
        </is>
      </c>
      <c r="I1984" s="2" t="inlineStr">
        <is>
          <t>Hyderabad</t>
        </is>
      </c>
      <c r="J1984" s="2" t="inlineStr">
        <is>
          <t>Online</t>
        </is>
      </c>
      <c r="K1984" s="2" t="n">
        <v>1</v>
      </c>
      <c r="L1984" s="3" t="n">
        <v>999.84</v>
      </c>
      <c r="M1984" s="4" t="n">
        <v>0</v>
      </c>
      <c r="N1984" s="3" t="n">
        <v>742.45</v>
      </c>
      <c r="O1984" s="3">
        <f>K1984*L1984*(1-M1984)</f>
        <v/>
      </c>
      <c r="P1984" s="3">
        <f>O1984-N1984</f>
        <v/>
      </c>
      <c r="Q1984" s="5">
        <f>IFERROR(P1984/O1984,0)</f>
        <v/>
      </c>
      <c r="R1984" s="2">
        <f>TEXT(DATEVALUE(B1984),"mmm")</f>
        <v/>
      </c>
      <c r="S1984" s="2">
        <f>TEXT(DATEVALUE(B1984),"yyyy-mm")</f>
        <v/>
      </c>
    </row>
    <row r="1985">
      <c r="A1985" s="2" t="inlineStr">
        <is>
          <t>O000622</t>
        </is>
      </c>
      <c r="B1985" s="2" t="inlineStr">
        <is>
          <t>2025-05-25</t>
        </is>
      </c>
      <c r="C1985" s="2" t="inlineStr">
        <is>
          <t>C0406</t>
        </is>
      </c>
      <c r="D1985" s="2" t="inlineStr">
        <is>
          <t>P0004</t>
        </is>
      </c>
      <c r="E1985" s="2" t="inlineStr">
        <is>
          <t>USB-C Hub</t>
        </is>
      </c>
      <c r="F1985" s="2" t="inlineStr">
        <is>
          <t>Electronics</t>
        </is>
      </c>
      <c r="G1985" s="2" t="inlineStr">
        <is>
          <t>West</t>
        </is>
      </c>
      <c r="H1985" s="2" t="inlineStr">
        <is>
          <t>Goa</t>
        </is>
      </c>
      <c r="I1985" s="2" t="inlineStr">
        <is>
          <t>Margao</t>
        </is>
      </c>
      <c r="J1985" s="2" t="inlineStr">
        <is>
          <t>Online</t>
        </is>
      </c>
      <c r="K1985" s="2" t="n">
        <v>1</v>
      </c>
      <c r="L1985" s="3" t="n">
        <v>1297.48</v>
      </c>
      <c r="M1985" s="4" t="n">
        <v>0.05</v>
      </c>
      <c r="N1985" s="3" t="n">
        <v>936.13</v>
      </c>
      <c r="O1985" s="3">
        <f>K1985*L1985*(1-M1985)</f>
        <v/>
      </c>
      <c r="P1985" s="3">
        <f>O1985-N1985</f>
        <v/>
      </c>
      <c r="Q1985" s="5">
        <f>IFERROR(P1985/O1985,0)</f>
        <v/>
      </c>
      <c r="R1985" s="2">
        <f>TEXT(DATEVALUE(B1985),"mmm")</f>
        <v/>
      </c>
      <c r="S1985" s="2">
        <f>TEXT(DATEVALUE(B1985),"yyyy-mm")</f>
        <v/>
      </c>
    </row>
    <row r="1986">
      <c r="A1986" s="2" t="inlineStr">
        <is>
          <t>O001067</t>
        </is>
      </c>
      <c r="B1986" s="2" t="inlineStr">
        <is>
          <t>2025-05-25</t>
        </is>
      </c>
      <c r="C1986" s="2" t="inlineStr">
        <is>
          <t>C0523</t>
        </is>
      </c>
      <c r="D1986" s="2" t="inlineStr">
        <is>
          <t>P0009</t>
        </is>
      </c>
      <c r="E1986" s="2" t="inlineStr">
        <is>
          <t>Electric Kettle</t>
        </is>
      </c>
      <c r="F1986" s="2" t="inlineStr">
        <is>
          <t>Home &amp; Kitchen</t>
        </is>
      </c>
      <c r="G1986" s="2" t="inlineStr">
        <is>
          <t>West</t>
        </is>
      </c>
      <c r="H1986" s="2" t="inlineStr">
        <is>
          <t>Gujarat</t>
        </is>
      </c>
      <c r="I1986" s="2" t="inlineStr">
        <is>
          <t>Ahmedabad</t>
        </is>
      </c>
      <c r="J1986" s="2" t="inlineStr">
        <is>
          <t>Online</t>
        </is>
      </c>
      <c r="K1986" s="2" t="n">
        <v>1</v>
      </c>
      <c r="L1986" s="3" t="n">
        <v>2059.96</v>
      </c>
      <c r="M1986" s="4" t="n">
        <v>0</v>
      </c>
      <c r="N1986" s="3" t="n">
        <v>1174.54</v>
      </c>
      <c r="O1986" s="3">
        <f>K1986*L1986*(1-M1986)</f>
        <v/>
      </c>
      <c r="P1986" s="3">
        <f>O1986-N1986</f>
        <v/>
      </c>
      <c r="Q1986" s="5">
        <f>IFERROR(P1986/O1986,0)</f>
        <v/>
      </c>
      <c r="R1986" s="2">
        <f>TEXT(DATEVALUE(B1986),"mmm")</f>
        <v/>
      </c>
      <c r="S1986" s="2">
        <f>TEXT(DATEVALUE(B1986),"yyyy-mm")</f>
        <v/>
      </c>
    </row>
    <row r="1987">
      <c r="A1987" s="2" t="inlineStr">
        <is>
          <t>O000916</t>
        </is>
      </c>
      <c r="B1987" s="2" t="inlineStr">
        <is>
          <t>2025-05-25</t>
        </is>
      </c>
      <c r="C1987" s="2" t="inlineStr">
        <is>
          <t>C0257</t>
        </is>
      </c>
      <c r="D1987" s="2" t="inlineStr">
        <is>
          <t>P0010</t>
        </is>
      </c>
      <c r="E1987" s="2" t="inlineStr">
        <is>
          <t>Mixer Grinder</t>
        </is>
      </c>
      <c r="F1987" s="2" t="inlineStr">
        <is>
          <t>Home &amp; Kitchen</t>
        </is>
      </c>
      <c r="G1987" s="2" t="inlineStr">
        <is>
          <t>West</t>
        </is>
      </c>
      <c r="H1987" s="2" t="inlineStr">
        <is>
          <t>Maharashtra</t>
        </is>
      </c>
      <c r="I1987" s="2" t="inlineStr">
        <is>
          <t>Nagpur</t>
        </is>
      </c>
      <c r="J1987" s="2" t="inlineStr">
        <is>
          <t>Online</t>
        </is>
      </c>
      <c r="K1987" s="2" t="n">
        <v>1</v>
      </c>
      <c r="L1987" s="3" t="n">
        <v>1642.56</v>
      </c>
      <c r="M1987" s="4" t="n">
        <v>0.05</v>
      </c>
      <c r="N1987" s="3" t="n">
        <v>1013.19</v>
      </c>
      <c r="O1987" s="3">
        <f>K1987*L1987*(1-M1987)</f>
        <v/>
      </c>
      <c r="P1987" s="3">
        <f>O1987-N1987</f>
        <v/>
      </c>
      <c r="Q1987" s="5">
        <f>IFERROR(P1987/O1987,0)</f>
        <v/>
      </c>
      <c r="R1987" s="2">
        <f>TEXT(DATEVALUE(B1987),"mmm")</f>
        <v/>
      </c>
      <c r="S1987" s="2">
        <f>TEXT(DATEVALUE(B1987),"yyyy-mm")</f>
        <v/>
      </c>
    </row>
    <row r="1988">
      <c r="A1988" s="2" t="inlineStr">
        <is>
          <t>O000753</t>
        </is>
      </c>
      <c r="B1988" s="2" t="inlineStr">
        <is>
          <t>2025-05-25</t>
        </is>
      </c>
      <c r="C1988" s="2" t="inlineStr">
        <is>
          <t>C0497</t>
        </is>
      </c>
      <c r="D1988" s="2" t="inlineStr">
        <is>
          <t>P0007</t>
        </is>
      </c>
      <c r="E1988" s="2" t="inlineStr">
        <is>
          <t>Wireless Mouse</t>
        </is>
      </c>
      <c r="F1988" s="2" t="inlineStr">
        <is>
          <t>Electronics</t>
        </is>
      </c>
      <c r="G1988" s="2" t="inlineStr">
        <is>
          <t>North</t>
        </is>
      </c>
      <c r="H1988" s="2" t="inlineStr">
        <is>
          <t>Haryana</t>
        </is>
      </c>
      <c r="I1988" s="2" t="inlineStr">
        <is>
          <t>Gurugram</t>
        </is>
      </c>
      <c r="J1988" s="2" t="inlineStr">
        <is>
          <t>Online</t>
        </is>
      </c>
      <c r="K1988" s="2" t="n">
        <v>2</v>
      </c>
      <c r="L1988" s="3" t="n">
        <v>1020.06</v>
      </c>
      <c r="M1988" s="4" t="n">
        <v>0.05</v>
      </c>
      <c r="N1988" s="3" t="n">
        <v>1254.68</v>
      </c>
      <c r="O1988" s="3">
        <f>K1988*L1988*(1-M1988)</f>
        <v/>
      </c>
      <c r="P1988" s="3">
        <f>O1988-N1988</f>
        <v/>
      </c>
      <c r="Q1988" s="5">
        <f>IFERROR(P1988/O1988,0)</f>
        <v/>
      </c>
      <c r="R1988" s="2">
        <f>TEXT(DATEVALUE(B1988),"mmm")</f>
        <v/>
      </c>
      <c r="S1988" s="2">
        <f>TEXT(DATEVALUE(B1988),"yyyy-mm")</f>
        <v/>
      </c>
    </row>
    <row r="1989">
      <c r="A1989" s="2" t="inlineStr">
        <is>
          <t>O000703</t>
        </is>
      </c>
      <c r="B1989" s="2" t="inlineStr">
        <is>
          <t>2025-05-25</t>
        </is>
      </c>
      <c r="C1989" s="2" t="inlineStr">
        <is>
          <t>C0007</t>
        </is>
      </c>
      <c r="D1989" s="2" t="inlineStr">
        <is>
          <t>P0027</t>
        </is>
      </c>
      <c r="E1989" s="2" t="inlineStr">
        <is>
          <t>Moisturizer</t>
        </is>
      </c>
      <c r="F1989" s="2" t="inlineStr">
        <is>
          <t>Beauty</t>
        </is>
      </c>
      <c r="G1989" s="2" t="inlineStr">
        <is>
          <t>South</t>
        </is>
      </c>
      <c r="H1989" s="2" t="inlineStr">
        <is>
          <t>Tamil Nadu</t>
        </is>
      </c>
      <c r="I1989" s="2" t="inlineStr">
        <is>
          <t>Madurai</t>
        </is>
      </c>
      <c r="J1989" s="2" t="inlineStr">
        <is>
          <t>Store</t>
        </is>
      </c>
      <c r="K1989" s="2" t="n">
        <v>1</v>
      </c>
      <c r="L1989" s="3" t="n">
        <v>931.89</v>
      </c>
      <c r="M1989" s="4" t="n">
        <v>0.05</v>
      </c>
      <c r="N1989" s="3" t="n">
        <v>677.61</v>
      </c>
      <c r="O1989" s="3">
        <f>K1989*L1989*(1-M1989)</f>
        <v/>
      </c>
      <c r="P1989" s="3">
        <f>O1989-N1989</f>
        <v/>
      </c>
      <c r="Q1989" s="5">
        <f>IFERROR(P1989/O1989,0)</f>
        <v/>
      </c>
      <c r="R1989" s="2">
        <f>TEXT(DATEVALUE(B1989),"mmm")</f>
        <v/>
      </c>
      <c r="S1989" s="2">
        <f>TEXT(DATEVALUE(B1989),"yyyy-mm")</f>
        <v/>
      </c>
    </row>
    <row r="1990">
      <c r="A1990" s="2" t="inlineStr">
        <is>
          <t>O000432</t>
        </is>
      </c>
      <c r="B1990" s="2" t="inlineStr">
        <is>
          <t>2025-05-25</t>
        </is>
      </c>
      <c r="C1990" s="2" t="inlineStr">
        <is>
          <t>C0597</t>
        </is>
      </c>
      <c r="D1990" s="2" t="inlineStr">
        <is>
          <t>P0010</t>
        </is>
      </c>
      <c r="E1990" s="2" t="inlineStr">
        <is>
          <t>Mixer Grinder</t>
        </is>
      </c>
      <c r="F1990" s="2" t="inlineStr">
        <is>
          <t>Home &amp; Kitchen</t>
        </is>
      </c>
      <c r="G1990" s="2" t="inlineStr">
        <is>
          <t>South</t>
        </is>
      </c>
      <c r="H1990" s="2" t="inlineStr">
        <is>
          <t>Tamil Nadu</t>
        </is>
      </c>
      <c r="I1990" s="2" t="inlineStr">
        <is>
          <t>Chennai</t>
        </is>
      </c>
      <c r="J1990" s="2" t="inlineStr">
        <is>
          <t>Online</t>
        </is>
      </c>
      <c r="K1990" s="2" t="n">
        <v>3</v>
      </c>
      <c r="L1990" s="3" t="n">
        <v>1574.95</v>
      </c>
      <c r="M1990" s="4" t="n">
        <v>0.05</v>
      </c>
      <c r="N1990" s="3" t="n">
        <v>3050.93</v>
      </c>
      <c r="O1990" s="3">
        <f>K1990*L1990*(1-M1990)</f>
        <v/>
      </c>
      <c r="P1990" s="3">
        <f>O1990-N1990</f>
        <v/>
      </c>
      <c r="Q1990" s="5">
        <f>IFERROR(P1990/O1990,0)</f>
        <v/>
      </c>
      <c r="R1990" s="2">
        <f>TEXT(DATEVALUE(B1990),"mmm")</f>
        <v/>
      </c>
      <c r="S1990" s="2">
        <f>TEXT(DATEVALUE(B1990),"yyyy-mm")</f>
        <v/>
      </c>
    </row>
    <row r="1991">
      <c r="A1991" s="2" t="inlineStr">
        <is>
          <t>O001576</t>
        </is>
      </c>
      <c r="B1991" s="2" t="inlineStr">
        <is>
          <t>2025-05-25</t>
        </is>
      </c>
      <c r="C1991" s="2" t="inlineStr">
        <is>
          <t>C0798</t>
        </is>
      </c>
      <c r="D1991" s="2" t="inlineStr">
        <is>
          <t>P0015</t>
        </is>
      </c>
      <c r="E1991" s="2" t="inlineStr">
        <is>
          <t>Running Shoes</t>
        </is>
      </c>
      <c r="F1991" s="2" t="inlineStr">
        <is>
          <t>Fashion</t>
        </is>
      </c>
      <c r="G1991" s="2" t="inlineStr">
        <is>
          <t>South</t>
        </is>
      </c>
      <c r="H1991" s="2" t="inlineStr">
        <is>
          <t>Tamil Nadu</t>
        </is>
      </c>
      <c r="I1991" s="2" t="inlineStr">
        <is>
          <t>Madurai</t>
        </is>
      </c>
      <c r="J1991" s="2" t="inlineStr">
        <is>
          <t>Online</t>
        </is>
      </c>
      <c r="K1991" s="2" t="n">
        <v>1</v>
      </c>
      <c r="L1991" s="3" t="n">
        <v>626.1</v>
      </c>
      <c r="M1991" s="4" t="n">
        <v>0.05</v>
      </c>
      <c r="N1991" s="3" t="n">
        <v>380.74</v>
      </c>
      <c r="O1991" s="3">
        <f>K1991*L1991*(1-M1991)</f>
        <v/>
      </c>
      <c r="P1991" s="3">
        <f>O1991-N1991</f>
        <v/>
      </c>
      <c r="Q1991" s="5">
        <f>IFERROR(P1991/O1991,0)</f>
        <v/>
      </c>
      <c r="R1991" s="2">
        <f>TEXT(DATEVALUE(B1991),"mmm")</f>
        <v/>
      </c>
      <c r="S1991" s="2">
        <f>TEXT(DATEVALUE(B1991),"yyyy-mm")</f>
        <v/>
      </c>
    </row>
    <row r="1992">
      <c r="A1992" s="2" t="inlineStr">
        <is>
          <t>O004763</t>
        </is>
      </c>
      <c r="B1992" s="2" t="inlineStr">
        <is>
          <t>2025-05-26</t>
        </is>
      </c>
      <c r="C1992" s="2" t="inlineStr">
        <is>
          <t>C0152</t>
        </is>
      </c>
      <c r="D1992" s="2" t="inlineStr">
        <is>
          <t>P0016</t>
        </is>
      </c>
      <c r="E1992" s="2" t="inlineStr">
        <is>
          <t>Casual Shirt</t>
        </is>
      </c>
      <c r="F1992" s="2" t="inlineStr">
        <is>
          <t>Fashion</t>
        </is>
      </c>
      <c r="G1992" s="2" t="inlineStr">
        <is>
          <t>West</t>
        </is>
      </c>
      <c r="H1992" s="2" t="inlineStr">
        <is>
          <t>Goa</t>
        </is>
      </c>
      <c r="I1992" s="2" t="inlineStr">
        <is>
          <t>Panaji</t>
        </is>
      </c>
      <c r="J1992" s="2" t="inlineStr">
        <is>
          <t>Online</t>
        </is>
      </c>
      <c r="K1992" s="2" t="n">
        <v>1</v>
      </c>
      <c r="L1992" s="3" t="n">
        <v>1316.61</v>
      </c>
      <c r="M1992" s="4" t="n">
        <v>0.05</v>
      </c>
      <c r="N1992" s="3" t="n">
        <v>900.03</v>
      </c>
      <c r="O1992" s="3">
        <f>K1992*L1992*(1-M1992)</f>
        <v/>
      </c>
      <c r="P1992" s="3">
        <f>O1992-N1992</f>
        <v/>
      </c>
      <c r="Q1992" s="5">
        <f>IFERROR(P1992/O1992,0)</f>
        <v/>
      </c>
      <c r="R1992" s="2">
        <f>TEXT(DATEVALUE(B1992),"mmm")</f>
        <v/>
      </c>
      <c r="S1992" s="2">
        <f>TEXT(DATEVALUE(B1992),"yyyy-mm")</f>
        <v/>
      </c>
    </row>
    <row r="1993">
      <c r="A1993" s="2" t="inlineStr">
        <is>
          <t>O004658</t>
        </is>
      </c>
      <c r="B1993" s="2" t="inlineStr">
        <is>
          <t>2025-05-26</t>
        </is>
      </c>
      <c r="C1993" s="2" t="inlineStr">
        <is>
          <t>C0522</t>
        </is>
      </c>
      <c r="D1993" s="2" t="inlineStr">
        <is>
          <t>P0007</t>
        </is>
      </c>
      <c r="E1993" s="2" t="inlineStr">
        <is>
          <t>Wireless Mouse</t>
        </is>
      </c>
      <c r="F1993" s="2" t="inlineStr">
        <is>
          <t>Electronics</t>
        </is>
      </c>
      <c r="G1993" s="2" t="inlineStr">
        <is>
          <t>South</t>
        </is>
      </c>
      <c r="H1993" s="2" t="inlineStr">
        <is>
          <t>Telangana</t>
        </is>
      </c>
      <c r="I1993" s="2" t="inlineStr">
        <is>
          <t>Hyderabad</t>
        </is>
      </c>
      <c r="J1993" s="2" t="inlineStr">
        <is>
          <t>Store</t>
        </is>
      </c>
      <c r="K1993" s="2" t="n">
        <v>2</v>
      </c>
      <c r="L1993" s="3" t="n">
        <v>957.8200000000001</v>
      </c>
      <c r="M1993" s="4" t="n">
        <v>0.05</v>
      </c>
      <c r="N1993" s="3" t="n">
        <v>1227.11</v>
      </c>
      <c r="O1993" s="3">
        <f>K1993*L1993*(1-M1993)</f>
        <v/>
      </c>
      <c r="P1993" s="3">
        <f>O1993-N1993</f>
        <v/>
      </c>
      <c r="Q1993" s="5">
        <f>IFERROR(P1993/O1993,0)</f>
        <v/>
      </c>
      <c r="R1993" s="2">
        <f>TEXT(DATEVALUE(B1993),"mmm")</f>
        <v/>
      </c>
      <c r="S1993" s="2">
        <f>TEXT(DATEVALUE(B1993),"yyyy-mm")</f>
        <v/>
      </c>
    </row>
    <row r="1994">
      <c r="A1994" s="2" t="inlineStr">
        <is>
          <t>O003744</t>
        </is>
      </c>
      <c r="B1994" s="2" t="inlineStr">
        <is>
          <t>2025-05-26</t>
        </is>
      </c>
      <c r="C1994" s="2" t="inlineStr">
        <is>
          <t>C0568</t>
        </is>
      </c>
      <c r="D1994" s="2" t="inlineStr">
        <is>
          <t>P0014</t>
        </is>
      </c>
      <c r="E1994" s="2" t="inlineStr">
        <is>
          <t>Coffee Maker</t>
        </is>
      </c>
      <c r="F1994" s="2" t="inlineStr">
        <is>
          <t>Home &amp; Kitchen</t>
        </is>
      </c>
      <c r="G1994" s="2" t="inlineStr">
        <is>
          <t>West</t>
        </is>
      </c>
      <c r="H1994" s="2" t="inlineStr">
        <is>
          <t>Goa</t>
        </is>
      </c>
      <c r="I1994" s="2" t="inlineStr">
        <is>
          <t>Panaji</t>
        </is>
      </c>
      <c r="J1994" s="2" t="inlineStr">
        <is>
          <t>Online</t>
        </is>
      </c>
      <c r="K1994" s="2" t="n">
        <v>3</v>
      </c>
      <c r="L1994" s="3" t="n">
        <v>1010.01</v>
      </c>
      <c r="M1994" s="4" t="n">
        <v>0.05</v>
      </c>
      <c r="N1994" s="3" t="n">
        <v>2276.63</v>
      </c>
      <c r="O1994" s="3">
        <f>K1994*L1994*(1-M1994)</f>
        <v/>
      </c>
      <c r="P1994" s="3">
        <f>O1994-N1994</f>
        <v/>
      </c>
      <c r="Q1994" s="5">
        <f>IFERROR(P1994/O1994,0)</f>
        <v/>
      </c>
      <c r="R1994" s="2">
        <f>TEXT(DATEVALUE(B1994),"mmm")</f>
        <v/>
      </c>
      <c r="S1994" s="2">
        <f>TEXT(DATEVALUE(B1994),"yyyy-mm")</f>
        <v/>
      </c>
    </row>
    <row r="1995">
      <c r="A1995" s="2" t="inlineStr">
        <is>
          <t>O003354</t>
        </is>
      </c>
      <c r="B1995" s="2" t="inlineStr">
        <is>
          <t>2025-05-26</t>
        </is>
      </c>
      <c r="C1995" s="2" t="inlineStr">
        <is>
          <t>C0227</t>
        </is>
      </c>
      <c r="D1995" s="2" t="inlineStr">
        <is>
          <t>P0020</t>
        </is>
      </c>
      <c r="E1995" s="2" t="inlineStr">
        <is>
          <t>Sneakers</t>
        </is>
      </c>
      <c r="F1995" s="2" t="inlineStr">
        <is>
          <t>Fashion</t>
        </is>
      </c>
      <c r="G1995" s="2" t="inlineStr">
        <is>
          <t>West</t>
        </is>
      </c>
      <c r="H1995" s="2" t="inlineStr">
        <is>
          <t>Maharashtra</t>
        </is>
      </c>
      <c r="I1995" s="2" t="inlineStr">
        <is>
          <t>Thane</t>
        </is>
      </c>
      <c r="J1995" s="2" t="inlineStr">
        <is>
          <t>Store</t>
        </is>
      </c>
      <c r="K1995" s="2" t="n">
        <v>2</v>
      </c>
      <c r="L1995" s="3" t="n">
        <v>1891.72</v>
      </c>
      <c r="M1995" s="4" t="n">
        <v>0</v>
      </c>
      <c r="N1995" s="3" t="n">
        <v>3080.93</v>
      </c>
      <c r="O1995" s="3">
        <f>K1995*L1995*(1-M1995)</f>
        <v/>
      </c>
      <c r="P1995" s="3">
        <f>O1995-N1995</f>
        <v/>
      </c>
      <c r="Q1995" s="5">
        <f>IFERROR(P1995/O1995,0)</f>
        <v/>
      </c>
      <c r="R1995" s="2">
        <f>TEXT(DATEVALUE(B1995),"mmm")</f>
        <v/>
      </c>
      <c r="S1995" s="2">
        <f>TEXT(DATEVALUE(B1995),"yyyy-mm")</f>
        <v/>
      </c>
    </row>
    <row r="1996">
      <c r="A1996" s="2" t="inlineStr">
        <is>
          <t>O003300</t>
        </is>
      </c>
      <c r="B1996" s="2" t="inlineStr">
        <is>
          <t>2025-05-26</t>
        </is>
      </c>
      <c r="C1996" s="2" t="inlineStr">
        <is>
          <t>C0656</t>
        </is>
      </c>
      <c r="D1996" s="2" t="inlineStr">
        <is>
          <t>P0024</t>
        </is>
      </c>
      <c r="E1996" s="2" t="inlineStr">
        <is>
          <t>Hair Dryer</t>
        </is>
      </c>
      <c r="F1996" s="2" t="inlineStr">
        <is>
          <t>Beauty</t>
        </is>
      </c>
      <c r="G1996" s="2" t="inlineStr">
        <is>
          <t>South</t>
        </is>
      </c>
      <c r="H1996" s="2" t="inlineStr">
        <is>
          <t>Karnataka</t>
        </is>
      </c>
      <c r="I1996" s="2" t="inlineStr">
        <is>
          <t>Mangaluru</t>
        </is>
      </c>
      <c r="J1996" s="2" t="inlineStr">
        <is>
          <t>Online</t>
        </is>
      </c>
      <c r="K1996" s="2" t="n">
        <v>3</v>
      </c>
      <c r="L1996" s="3" t="n">
        <v>1002.04</v>
      </c>
      <c r="M1996" s="4" t="n">
        <v>0.2</v>
      </c>
      <c r="N1996" s="3" t="n">
        <v>2238.48</v>
      </c>
      <c r="O1996" s="3">
        <f>K1996*L1996*(1-M1996)</f>
        <v/>
      </c>
      <c r="P1996" s="3">
        <f>O1996-N1996</f>
        <v/>
      </c>
      <c r="Q1996" s="5">
        <f>IFERROR(P1996/O1996,0)</f>
        <v/>
      </c>
      <c r="R1996" s="2">
        <f>TEXT(DATEVALUE(B1996),"mmm")</f>
        <v/>
      </c>
      <c r="S1996" s="2">
        <f>TEXT(DATEVALUE(B1996),"yyyy-mm")</f>
        <v/>
      </c>
    </row>
    <row r="1997">
      <c r="A1997" s="2" t="inlineStr">
        <is>
          <t>O002422</t>
        </is>
      </c>
      <c r="B1997" s="2" t="inlineStr">
        <is>
          <t>2025-05-26</t>
        </is>
      </c>
      <c r="C1997" s="2" t="inlineStr">
        <is>
          <t>C0694</t>
        </is>
      </c>
      <c r="D1997" s="2" t="inlineStr">
        <is>
          <t>P0011</t>
        </is>
      </c>
      <c r="E1997" s="2" t="inlineStr">
        <is>
          <t>Cookware Set</t>
        </is>
      </c>
      <c r="F1997" s="2" t="inlineStr">
        <is>
          <t>Home &amp; Kitchen</t>
        </is>
      </c>
      <c r="G1997" s="2" t="inlineStr">
        <is>
          <t>West</t>
        </is>
      </c>
      <c r="H1997" s="2" t="inlineStr">
        <is>
          <t>Goa</t>
        </is>
      </c>
      <c r="I1997" s="2" t="inlineStr">
        <is>
          <t>Margao</t>
        </is>
      </c>
      <c r="J1997" s="2" t="inlineStr">
        <is>
          <t>Store</t>
        </is>
      </c>
      <c r="K1997" s="2" t="n">
        <v>3</v>
      </c>
      <c r="L1997" s="3" t="n">
        <v>673.08</v>
      </c>
      <c r="M1997" s="4" t="n">
        <v>0.05</v>
      </c>
      <c r="N1997" s="3" t="n">
        <v>1451.58</v>
      </c>
      <c r="O1997" s="3">
        <f>K1997*L1997*(1-M1997)</f>
        <v/>
      </c>
      <c r="P1997" s="3">
        <f>O1997-N1997</f>
        <v/>
      </c>
      <c r="Q1997" s="5">
        <f>IFERROR(P1997/O1997,0)</f>
        <v/>
      </c>
      <c r="R1997" s="2">
        <f>TEXT(DATEVALUE(B1997),"mmm")</f>
        <v/>
      </c>
      <c r="S1997" s="2">
        <f>TEXT(DATEVALUE(B1997),"yyyy-mm")</f>
        <v/>
      </c>
    </row>
    <row r="1998">
      <c r="A1998" s="2" t="inlineStr">
        <is>
          <t>O002251</t>
        </is>
      </c>
      <c r="B1998" s="2" t="inlineStr">
        <is>
          <t>2025-05-26</t>
        </is>
      </c>
      <c r="C1998" s="2" t="inlineStr">
        <is>
          <t>C0510</t>
        </is>
      </c>
      <c r="D1998" s="2" t="inlineStr">
        <is>
          <t>P0031</t>
        </is>
      </c>
      <c r="E1998" s="2" t="inlineStr">
        <is>
          <t>Cricket Bat</t>
        </is>
      </c>
      <c r="F1998" s="2" t="inlineStr">
        <is>
          <t>Sports</t>
        </is>
      </c>
      <c r="G1998" s="2" t="inlineStr">
        <is>
          <t>West</t>
        </is>
      </c>
      <c r="H1998" s="2" t="inlineStr">
        <is>
          <t>Maharashtra</t>
        </is>
      </c>
      <c r="I1998" s="2" t="inlineStr">
        <is>
          <t>Pune</t>
        </is>
      </c>
      <c r="J1998" s="2" t="inlineStr">
        <is>
          <t>Online</t>
        </is>
      </c>
      <c r="K1998" s="2" t="n">
        <v>3</v>
      </c>
      <c r="L1998" s="3" t="n">
        <v>1362.24</v>
      </c>
      <c r="M1998" s="4" t="n">
        <v>0.15</v>
      </c>
      <c r="N1998" s="3" t="n">
        <v>2885.38</v>
      </c>
      <c r="O1998" s="3">
        <f>K1998*L1998*(1-M1998)</f>
        <v/>
      </c>
      <c r="P1998" s="3">
        <f>O1998-N1998</f>
        <v/>
      </c>
      <c r="Q1998" s="5">
        <f>IFERROR(P1998/O1998,0)</f>
        <v/>
      </c>
      <c r="R1998" s="2">
        <f>TEXT(DATEVALUE(B1998),"mmm")</f>
        <v/>
      </c>
      <c r="S1998" s="2">
        <f>TEXT(DATEVALUE(B1998),"yyyy-mm")</f>
        <v/>
      </c>
    </row>
    <row r="1999">
      <c r="A1999" s="2" t="inlineStr">
        <is>
          <t>O002764</t>
        </is>
      </c>
      <c r="B1999" s="2" t="inlineStr">
        <is>
          <t>2025-05-26</t>
        </is>
      </c>
      <c r="C1999" s="2" t="inlineStr">
        <is>
          <t>C0136</t>
        </is>
      </c>
      <c r="D1999" s="2" t="inlineStr">
        <is>
          <t>P0031</t>
        </is>
      </c>
      <c r="E1999" s="2" t="inlineStr">
        <is>
          <t>Cricket Bat</t>
        </is>
      </c>
      <c r="F1999" s="2" t="inlineStr">
        <is>
          <t>Sports</t>
        </is>
      </c>
      <c r="G1999" s="2" t="inlineStr">
        <is>
          <t>North</t>
        </is>
      </c>
      <c r="H1999" s="2" t="inlineStr">
        <is>
          <t>Punjab</t>
        </is>
      </c>
      <c r="I1999" s="2" t="inlineStr">
        <is>
          <t>Ludhiana</t>
        </is>
      </c>
      <c r="J1999" s="2" t="inlineStr">
        <is>
          <t>Store</t>
        </is>
      </c>
      <c r="K1999" s="2" t="n">
        <v>3</v>
      </c>
      <c r="L1999" s="3" t="n">
        <v>1410.91</v>
      </c>
      <c r="M1999" s="4" t="n">
        <v>0.1</v>
      </c>
      <c r="N1999" s="3" t="n">
        <v>2920.06</v>
      </c>
      <c r="O1999" s="3">
        <f>K1999*L1999*(1-M1999)</f>
        <v/>
      </c>
      <c r="P1999" s="3">
        <f>O1999-N1999</f>
        <v/>
      </c>
      <c r="Q1999" s="5">
        <f>IFERROR(P1999/O1999,0)</f>
        <v/>
      </c>
      <c r="R1999" s="2">
        <f>TEXT(DATEVALUE(B1999),"mmm")</f>
        <v/>
      </c>
      <c r="S1999" s="2">
        <f>TEXT(DATEVALUE(B1999),"yyyy-mm")</f>
        <v/>
      </c>
    </row>
    <row r="2000">
      <c r="A2000" s="2" t="inlineStr">
        <is>
          <t>O002173</t>
        </is>
      </c>
      <c r="B2000" s="2" t="inlineStr">
        <is>
          <t>2025-05-26</t>
        </is>
      </c>
      <c r="C2000" s="2" t="inlineStr">
        <is>
          <t>C0568</t>
        </is>
      </c>
      <c r="D2000" s="2" t="inlineStr">
        <is>
          <t>P0031</t>
        </is>
      </c>
      <c r="E2000" s="2" t="inlineStr">
        <is>
          <t>Cricket Bat</t>
        </is>
      </c>
      <c r="F2000" s="2" t="inlineStr">
        <is>
          <t>Sports</t>
        </is>
      </c>
      <c r="G2000" s="2" t="inlineStr">
        <is>
          <t>West</t>
        </is>
      </c>
      <c r="H2000" s="2" t="inlineStr">
        <is>
          <t>Goa</t>
        </is>
      </c>
      <c r="I2000" s="2" t="inlineStr">
        <is>
          <t>Panaji</t>
        </is>
      </c>
      <c r="J2000" s="2" t="inlineStr">
        <is>
          <t>Online</t>
        </is>
      </c>
      <c r="K2000" s="2" t="n">
        <v>2</v>
      </c>
      <c r="L2000" s="3" t="n">
        <v>1373.48</v>
      </c>
      <c r="M2000" s="4" t="n">
        <v>0.05</v>
      </c>
      <c r="N2000" s="3" t="n">
        <v>1839.77</v>
      </c>
      <c r="O2000" s="3">
        <f>K2000*L2000*(1-M2000)</f>
        <v/>
      </c>
      <c r="P2000" s="3">
        <f>O2000-N2000</f>
        <v/>
      </c>
      <c r="Q2000" s="5">
        <f>IFERROR(P2000/O2000,0)</f>
        <v/>
      </c>
      <c r="R2000" s="2">
        <f>TEXT(DATEVALUE(B2000),"mmm")</f>
        <v/>
      </c>
      <c r="S2000" s="2">
        <f>TEXT(DATEVALUE(B2000),"yyyy-mm")</f>
        <v/>
      </c>
    </row>
    <row r="2001">
      <c r="A2001" s="2" t="inlineStr">
        <is>
          <t>O001523</t>
        </is>
      </c>
      <c r="B2001" s="2" t="inlineStr">
        <is>
          <t>2025-05-26</t>
        </is>
      </c>
      <c r="C2001" s="2" t="inlineStr">
        <is>
          <t>C0206</t>
        </is>
      </c>
      <c r="D2001" s="2" t="inlineStr">
        <is>
          <t>P0007</t>
        </is>
      </c>
      <c r="E2001" s="2" t="inlineStr">
        <is>
          <t>Wireless Mouse</t>
        </is>
      </c>
      <c r="F2001" s="2" t="inlineStr">
        <is>
          <t>Electronics</t>
        </is>
      </c>
      <c r="G2001" s="2" t="inlineStr">
        <is>
          <t>North</t>
        </is>
      </c>
      <c r="H2001" s="2" t="inlineStr">
        <is>
          <t>Haryana</t>
        </is>
      </c>
      <c r="I2001" s="2" t="inlineStr">
        <is>
          <t>Faridabad</t>
        </is>
      </c>
      <c r="J2001" s="2" t="inlineStr">
        <is>
          <t>Store</t>
        </is>
      </c>
      <c r="K2001" s="2" t="n">
        <v>4</v>
      </c>
      <c r="L2001" s="3" t="n">
        <v>990.21</v>
      </c>
      <c r="M2001" s="4" t="n">
        <v>0.15</v>
      </c>
      <c r="N2001" s="3" t="n">
        <v>2511.8</v>
      </c>
      <c r="O2001" s="3">
        <f>K2001*L2001*(1-M2001)</f>
        <v/>
      </c>
      <c r="P2001" s="3">
        <f>O2001-N2001</f>
        <v/>
      </c>
      <c r="Q2001" s="5">
        <f>IFERROR(P2001/O2001,0)</f>
        <v/>
      </c>
      <c r="R2001" s="2">
        <f>TEXT(DATEVALUE(B2001),"mmm")</f>
        <v/>
      </c>
      <c r="S2001" s="2">
        <f>TEXT(DATEVALUE(B2001),"yyyy-mm")</f>
        <v/>
      </c>
    </row>
    <row r="2002">
      <c r="A2002" s="2" t="inlineStr">
        <is>
          <t>O001338</t>
        </is>
      </c>
      <c r="B2002" s="2" t="inlineStr">
        <is>
          <t>2025-05-26</t>
        </is>
      </c>
      <c r="C2002" s="2" t="inlineStr">
        <is>
          <t>C0647</t>
        </is>
      </c>
      <c r="D2002" s="2" t="inlineStr">
        <is>
          <t>P0027</t>
        </is>
      </c>
      <c r="E2002" s="2" t="inlineStr">
        <is>
          <t>Moisturizer</t>
        </is>
      </c>
      <c r="F2002" s="2" t="inlineStr">
        <is>
          <t>Beauty</t>
        </is>
      </c>
      <c r="G2002" s="2" t="inlineStr">
        <is>
          <t>East</t>
        </is>
      </c>
      <c r="H2002" s="2" t="inlineStr">
        <is>
          <t>West Bengal</t>
        </is>
      </c>
      <c r="I2002" s="2" t="inlineStr">
        <is>
          <t>Kolkata</t>
        </is>
      </c>
      <c r="J2002" s="2" t="inlineStr">
        <is>
          <t>Online</t>
        </is>
      </c>
      <c r="K2002" s="2" t="n">
        <v>3</v>
      </c>
      <c r="L2002" s="3" t="n">
        <v>965.24</v>
      </c>
      <c r="M2002" s="4" t="n">
        <v>0.2</v>
      </c>
      <c r="N2002" s="3" t="n">
        <v>2009.33</v>
      </c>
      <c r="O2002" s="3">
        <f>K2002*L2002*(1-M2002)</f>
        <v/>
      </c>
      <c r="P2002" s="3">
        <f>O2002-N2002</f>
        <v/>
      </c>
      <c r="Q2002" s="5">
        <f>IFERROR(P2002/O2002,0)</f>
        <v/>
      </c>
      <c r="R2002" s="2">
        <f>TEXT(DATEVALUE(B2002),"mmm")</f>
        <v/>
      </c>
      <c r="S2002" s="2">
        <f>TEXT(DATEVALUE(B2002),"yyyy-mm")</f>
        <v/>
      </c>
    </row>
    <row r="2003">
      <c r="A2003" s="2" t="inlineStr">
        <is>
          <t>O000924</t>
        </is>
      </c>
      <c r="B2003" s="2" t="inlineStr">
        <is>
          <t>2025-05-26</t>
        </is>
      </c>
      <c r="C2003" s="2" t="inlineStr">
        <is>
          <t>C0659</t>
        </is>
      </c>
      <c r="D2003" s="2" t="inlineStr">
        <is>
          <t>P0028</t>
        </is>
      </c>
      <c r="E2003" s="2" t="inlineStr">
        <is>
          <t>Trimmer</t>
        </is>
      </c>
      <c r="F2003" s="2" t="inlineStr">
        <is>
          <t>Beauty</t>
        </is>
      </c>
      <c r="G2003" s="2" t="inlineStr">
        <is>
          <t>South</t>
        </is>
      </c>
      <c r="H2003" s="2" t="inlineStr">
        <is>
          <t>Tamil Nadu</t>
        </is>
      </c>
      <c r="I2003" s="2" t="inlineStr">
        <is>
          <t>Chennai</t>
        </is>
      </c>
      <c r="J2003" s="2" t="inlineStr">
        <is>
          <t>Online</t>
        </is>
      </c>
      <c r="K2003" s="2" t="n">
        <v>3</v>
      </c>
      <c r="L2003" s="3" t="n">
        <v>470.5</v>
      </c>
      <c r="M2003" s="4" t="n">
        <v>0.05</v>
      </c>
      <c r="N2003" s="3" t="n">
        <v>746.1799999999999</v>
      </c>
      <c r="O2003" s="3">
        <f>K2003*L2003*(1-M2003)</f>
        <v/>
      </c>
      <c r="P2003" s="3">
        <f>O2003-N2003</f>
        <v/>
      </c>
      <c r="Q2003" s="5">
        <f>IFERROR(P2003/O2003,0)</f>
        <v/>
      </c>
      <c r="R2003" s="2">
        <f>TEXT(DATEVALUE(B2003),"mmm")</f>
        <v/>
      </c>
      <c r="S2003" s="2">
        <f>TEXT(DATEVALUE(B2003),"yyyy-mm")</f>
        <v/>
      </c>
    </row>
    <row r="2004">
      <c r="A2004" s="2" t="inlineStr">
        <is>
          <t>O000725</t>
        </is>
      </c>
      <c r="B2004" s="2" t="inlineStr">
        <is>
          <t>2025-05-26</t>
        </is>
      </c>
      <c r="C2004" s="2" t="inlineStr">
        <is>
          <t>C0750</t>
        </is>
      </c>
      <c r="D2004" s="2" t="inlineStr">
        <is>
          <t>P0007</t>
        </is>
      </c>
      <c r="E2004" s="2" t="inlineStr">
        <is>
          <t>Wireless Mouse</t>
        </is>
      </c>
      <c r="F2004" s="2" t="inlineStr">
        <is>
          <t>Electronics</t>
        </is>
      </c>
      <c r="G2004" s="2" t="inlineStr">
        <is>
          <t>South</t>
        </is>
      </c>
      <c r="H2004" s="2" t="inlineStr">
        <is>
          <t>Telangana</t>
        </is>
      </c>
      <c r="I2004" s="2" t="inlineStr">
        <is>
          <t>Warangal</t>
        </is>
      </c>
      <c r="J2004" s="2" t="inlineStr">
        <is>
          <t>Store</t>
        </is>
      </c>
      <c r="K2004" s="2" t="n">
        <v>2</v>
      </c>
      <c r="L2004" s="3" t="n">
        <v>982.9</v>
      </c>
      <c r="M2004" s="4" t="n">
        <v>0.1</v>
      </c>
      <c r="N2004" s="3" t="n">
        <v>1268.91</v>
      </c>
      <c r="O2004" s="3">
        <f>K2004*L2004*(1-M2004)</f>
        <v/>
      </c>
      <c r="P2004" s="3">
        <f>O2004-N2004</f>
        <v/>
      </c>
      <c r="Q2004" s="5">
        <f>IFERROR(P2004/O2004,0)</f>
        <v/>
      </c>
      <c r="R2004" s="2">
        <f>TEXT(DATEVALUE(B2004),"mmm")</f>
        <v/>
      </c>
      <c r="S2004" s="2">
        <f>TEXT(DATEVALUE(B2004),"yyyy-mm")</f>
        <v/>
      </c>
    </row>
    <row r="2005">
      <c r="A2005" s="2" t="inlineStr">
        <is>
          <t>O000599</t>
        </is>
      </c>
      <c r="B2005" s="2" t="inlineStr">
        <is>
          <t>2025-05-26</t>
        </is>
      </c>
      <c r="C2005" s="2" t="inlineStr">
        <is>
          <t>C0311</t>
        </is>
      </c>
      <c r="D2005" s="2" t="inlineStr">
        <is>
          <t>P0013</t>
        </is>
      </c>
      <c r="E2005" s="2" t="inlineStr">
        <is>
          <t>Storage Organizer</t>
        </is>
      </c>
      <c r="F2005" s="2" t="inlineStr">
        <is>
          <t>Home &amp; Kitchen</t>
        </is>
      </c>
      <c r="G2005" s="2" t="inlineStr">
        <is>
          <t>North</t>
        </is>
      </c>
      <c r="H2005" s="2" t="inlineStr">
        <is>
          <t>Uttar Pradesh</t>
        </is>
      </c>
      <c r="I2005" s="2" t="inlineStr">
        <is>
          <t>Noida</t>
        </is>
      </c>
      <c r="J2005" s="2" t="inlineStr">
        <is>
          <t>Online</t>
        </is>
      </c>
      <c r="K2005" s="2" t="n">
        <v>4</v>
      </c>
      <c r="L2005" s="3" t="n">
        <v>594.1</v>
      </c>
      <c r="M2005" s="4" t="n">
        <v>0.05</v>
      </c>
      <c r="N2005" s="3" t="n">
        <v>1487.75</v>
      </c>
      <c r="O2005" s="3">
        <f>K2005*L2005*(1-M2005)</f>
        <v/>
      </c>
      <c r="P2005" s="3">
        <f>O2005-N2005</f>
        <v/>
      </c>
      <c r="Q2005" s="5">
        <f>IFERROR(P2005/O2005,0)</f>
        <v/>
      </c>
      <c r="R2005" s="2">
        <f>TEXT(DATEVALUE(B2005),"mmm")</f>
        <v/>
      </c>
      <c r="S2005" s="2">
        <f>TEXT(DATEVALUE(B2005),"yyyy-mm")</f>
        <v/>
      </c>
    </row>
    <row r="2006">
      <c r="A2006" s="2" t="inlineStr">
        <is>
          <t>O002226</t>
        </is>
      </c>
      <c r="B2006" s="2" t="inlineStr">
        <is>
          <t>2025-05-26</t>
        </is>
      </c>
      <c r="C2006" s="2" t="inlineStr">
        <is>
          <t>C0775</t>
        </is>
      </c>
      <c r="D2006" s="2" t="inlineStr">
        <is>
          <t>P0008</t>
        </is>
      </c>
      <c r="E2006" s="2" t="inlineStr">
        <is>
          <t>Air Fryer</t>
        </is>
      </c>
      <c r="F2006" s="2" t="inlineStr">
        <is>
          <t>Home &amp; Kitchen</t>
        </is>
      </c>
      <c r="G2006" s="2" t="inlineStr">
        <is>
          <t>South</t>
        </is>
      </c>
      <c r="H2006" s="2" t="inlineStr">
        <is>
          <t>Tamil Nadu</t>
        </is>
      </c>
      <c r="I2006" s="2" t="inlineStr">
        <is>
          <t>Madurai</t>
        </is>
      </c>
      <c r="J2006" s="2" t="inlineStr">
        <is>
          <t>Online</t>
        </is>
      </c>
      <c r="K2006" s="2" t="n">
        <v>2</v>
      </c>
      <c r="L2006" s="3" t="n">
        <v>1058.04</v>
      </c>
      <c r="M2006" s="4" t="n">
        <v>0.1</v>
      </c>
      <c r="N2006" s="3" t="n">
        <v>1403.36</v>
      </c>
      <c r="O2006" s="3">
        <f>K2006*L2006*(1-M2006)</f>
        <v/>
      </c>
      <c r="P2006" s="3">
        <f>O2006-N2006</f>
        <v/>
      </c>
      <c r="Q2006" s="5">
        <f>IFERROR(P2006/O2006,0)</f>
        <v/>
      </c>
      <c r="R2006" s="2">
        <f>TEXT(DATEVALUE(B2006),"mmm")</f>
        <v/>
      </c>
      <c r="S2006" s="2">
        <f>TEXT(DATEVALUE(B2006),"yyyy-mm")</f>
        <v/>
      </c>
    </row>
    <row r="2007">
      <c r="A2007" s="2" t="inlineStr">
        <is>
          <t>O003271</t>
        </is>
      </c>
      <c r="B2007" s="2" t="inlineStr">
        <is>
          <t>2025-05-27</t>
        </is>
      </c>
      <c r="C2007" s="2" t="inlineStr">
        <is>
          <t>C0616</t>
        </is>
      </c>
      <c r="D2007" s="2" t="inlineStr">
        <is>
          <t>P0012</t>
        </is>
      </c>
      <c r="E2007" s="2" t="inlineStr">
        <is>
          <t>Water Bottle</t>
        </is>
      </c>
      <c r="F2007" s="2" t="inlineStr">
        <is>
          <t>Home &amp; Kitchen</t>
        </is>
      </c>
      <c r="G2007" s="2" t="inlineStr">
        <is>
          <t>East</t>
        </is>
      </c>
      <c r="H2007" s="2" t="inlineStr">
        <is>
          <t>West Bengal</t>
        </is>
      </c>
      <c r="I2007" s="2" t="inlineStr">
        <is>
          <t>Durgapur</t>
        </is>
      </c>
      <c r="J2007" s="2" t="inlineStr">
        <is>
          <t>Online</t>
        </is>
      </c>
      <c r="K2007" s="2" t="n">
        <v>1</v>
      </c>
      <c r="L2007" s="3" t="n">
        <v>950.9400000000001</v>
      </c>
      <c r="M2007" s="4" t="n">
        <v>0.05</v>
      </c>
      <c r="N2007" s="3" t="n">
        <v>617.63</v>
      </c>
      <c r="O2007" s="3">
        <f>K2007*L2007*(1-M2007)</f>
        <v/>
      </c>
      <c r="P2007" s="3">
        <f>O2007-N2007</f>
        <v/>
      </c>
      <c r="Q2007" s="5">
        <f>IFERROR(P2007/O2007,0)</f>
        <v/>
      </c>
      <c r="R2007" s="2">
        <f>TEXT(DATEVALUE(B2007),"mmm")</f>
        <v/>
      </c>
      <c r="S2007" s="2">
        <f>TEXT(DATEVALUE(B2007),"yyyy-mm")</f>
        <v/>
      </c>
    </row>
    <row r="2008">
      <c r="A2008" s="2" t="inlineStr">
        <is>
          <t>O003305</t>
        </is>
      </c>
      <c r="B2008" s="2" t="inlineStr">
        <is>
          <t>2025-05-27</t>
        </is>
      </c>
      <c r="C2008" s="2" t="inlineStr">
        <is>
          <t>C0594</t>
        </is>
      </c>
      <c r="D2008" s="2" t="inlineStr">
        <is>
          <t>P0023</t>
        </is>
      </c>
      <c r="E2008" s="2" t="inlineStr">
        <is>
          <t>Skin Care Kit</t>
        </is>
      </c>
      <c r="F2008" s="2" t="inlineStr">
        <is>
          <t>Beauty</t>
        </is>
      </c>
      <c r="G2008" s="2" t="inlineStr">
        <is>
          <t>East</t>
        </is>
      </c>
      <c r="H2008" s="2" t="inlineStr">
        <is>
          <t>Odisha</t>
        </is>
      </c>
      <c r="I2008" s="2" t="inlineStr">
        <is>
          <t>Bhubaneswar</t>
        </is>
      </c>
      <c r="J2008" s="2" t="inlineStr">
        <is>
          <t>Store</t>
        </is>
      </c>
      <c r="K2008" s="2" t="n">
        <v>1</v>
      </c>
      <c r="L2008" s="3" t="n">
        <v>1357.42</v>
      </c>
      <c r="M2008" s="4" t="n">
        <v>0</v>
      </c>
      <c r="N2008" s="3" t="n">
        <v>899.59</v>
      </c>
      <c r="O2008" s="3">
        <f>K2008*L2008*(1-M2008)</f>
        <v/>
      </c>
      <c r="P2008" s="3">
        <f>O2008-N2008</f>
        <v/>
      </c>
      <c r="Q2008" s="5">
        <f>IFERROR(P2008/O2008,0)</f>
        <v/>
      </c>
      <c r="R2008" s="2">
        <f>TEXT(DATEVALUE(B2008),"mmm")</f>
        <v/>
      </c>
      <c r="S2008" s="2">
        <f>TEXT(DATEVALUE(B2008),"yyyy-mm")</f>
        <v/>
      </c>
    </row>
    <row r="2009">
      <c r="A2009" s="2" t="inlineStr">
        <is>
          <t>O003482</t>
        </is>
      </c>
      <c r="B2009" s="2" t="inlineStr">
        <is>
          <t>2025-05-27</t>
        </is>
      </c>
      <c r="C2009" s="2" t="inlineStr">
        <is>
          <t>C0588</t>
        </is>
      </c>
      <c r="D2009" s="2" t="inlineStr">
        <is>
          <t>P0010</t>
        </is>
      </c>
      <c r="E2009" s="2" t="inlineStr">
        <is>
          <t>Mixer Grinder</t>
        </is>
      </c>
      <c r="F2009" s="2" t="inlineStr">
        <is>
          <t>Home &amp; Kitchen</t>
        </is>
      </c>
      <c r="G2009" s="2" t="inlineStr">
        <is>
          <t>East</t>
        </is>
      </c>
      <c r="H2009" s="2" t="inlineStr">
        <is>
          <t>Bihar</t>
        </is>
      </c>
      <c r="I2009" s="2" t="inlineStr">
        <is>
          <t>Patna</t>
        </is>
      </c>
      <c r="J2009" s="2" t="inlineStr">
        <is>
          <t>Online</t>
        </is>
      </c>
      <c r="K2009" s="2" t="n">
        <v>1</v>
      </c>
      <c r="L2009" s="3" t="n">
        <v>1572.15</v>
      </c>
      <c r="M2009" s="4" t="n">
        <v>0.15</v>
      </c>
      <c r="N2009" s="3" t="n">
        <v>1045.9</v>
      </c>
      <c r="O2009" s="3">
        <f>K2009*L2009*(1-M2009)</f>
        <v/>
      </c>
      <c r="P2009" s="3">
        <f>O2009-N2009</f>
        <v/>
      </c>
      <c r="Q2009" s="5">
        <f>IFERROR(P2009/O2009,0)</f>
        <v/>
      </c>
      <c r="R2009" s="2">
        <f>TEXT(DATEVALUE(B2009),"mmm")</f>
        <v/>
      </c>
      <c r="S2009" s="2">
        <f>TEXT(DATEVALUE(B2009),"yyyy-mm")</f>
        <v/>
      </c>
    </row>
    <row r="2010">
      <c r="A2010" s="2" t="inlineStr">
        <is>
          <t>O003502</t>
        </is>
      </c>
      <c r="B2010" s="2" t="inlineStr">
        <is>
          <t>2025-05-27</t>
        </is>
      </c>
      <c r="C2010" s="2" t="inlineStr">
        <is>
          <t>C0099</t>
        </is>
      </c>
      <c r="D2010" s="2" t="inlineStr">
        <is>
          <t>P0007</t>
        </is>
      </c>
      <c r="E2010" s="2" t="inlineStr">
        <is>
          <t>Wireless Mouse</t>
        </is>
      </c>
      <c r="F2010" s="2" t="inlineStr">
        <is>
          <t>Electronics</t>
        </is>
      </c>
      <c r="G2010" s="2" t="inlineStr">
        <is>
          <t>West</t>
        </is>
      </c>
      <c r="H2010" s="2" t="inlineStr">
        <is>
          <t>Maharashtra</t>
        </is>
      </c>
      <c r="I2010" s="2" t="inlineStr">
        <is>
          <t>Pune</t>
        </is>
      </c>
      <c r="J2010" s="2" t="inlineStr">
        <is>
          <t>Online</t>
        </is>
      </c>
      <c r="K2010" s="2" t="n">
        <v>2</v>
      </c>
      <c r="L2010" s="3" t="n">
        <v>943.14</v>
      </c>
      <c r="M2010" s="4" t="n">
        <v>0.2</v>
      </c>
      <c r="N2010" s="3" t="n">
        <v>1279.22</v>
      </c>
      <c r="O2010" s="3">
        <f>K2010*L2010*(1-M2010)</f>
        <v/>
      </c>
      <c r="P2010" s="3">
        <f>O2010-N2010</f>
        <v/>
      </c>
      <c r="Q2010" s="5">
        <f>IFERROR(P2010/O2010,0)</f>
        <v/>
      </c>
      <c r="R2010" s="2">
        <f>TEXT(DATEVALUE(B2010),"mmm")</f>
        <v/>
      </c>
      <c r="S2010" s="2">
        <f>TEXT(DATEVALUE(B2010),"yyyy-mm")</f>
        <v/>
      </c>
    </row>
    <row r="2011">
      <c r="A2011" s="2" t="inlineStr">
        <is>
          <t>O004585</t>
        </is>
      </c>
      <c r="B2011" s="2" t="inlineStr">
        <is>
          <t>2025-05-27</t>
        </is>
      </c>
      <c r="C2011" s="2" t="inlineStr">
        <is>
          <t>C0739</t>
        </is>
      </c>
      <c r="D2011" s="2" t="inlineStr">
        <is>
          <t>P0007</t>
        </is>
      </c>
      <c r="E2011" s="2" t="inlineStr">
        <is>
          <t>Wireless Mouse</t>
        </is>
      </c>
      <c r="F2011" s="2" t="inlineStr">
        <is>
          <t>Electronics</t>
        </is>
      </c>
      <c r="G2011" s="2" t="inlineStr">
        <is>
          <t>West</t>
        </is>
      </c>
      <c r="H2011" s="2" t="inlineStr">
        <is>
          <t>Maharashtra</t>
        </is>
      </c>
      <c r="I2011" s="2" t="inlineStr">
        <is>
          <t>Pune</t>
        </is>
      </c>
      <c r="J2011" s="2" t="inlineStr">
        <is>
          <t>Online</t>
        </is>
      </c>
      <c r="K2011" s="2" t="n">
        <v>4</v>
      </c>
      <c r="L2011" s="3" t="n">
        <v>1011.99</v>
      </c>
      <c r="M2011" s="4" t="n">
        <v>0</v>
      </c>
      <c r="N2011" s="3" t="n">
        <v>2408.44</v>
      </c>
      <c r="O2011" s="3">
        <f>K2011*L2011*(1-M2011)</f>
        <v/>
      </c>
      <c r="P2011" s="3">
        <f>O2011-N2011</f>
        <v/>
      </c>
      <c r="Q2011" s="5">
        <f>IFERROR(P2011/O2011,0)</f>
        <v/>
      </c>
      <c r="R2011" s="2">
        <f>TEXT(DATEVALUE(B2011),"mmm")</f>
        <v/>
      </c>
      <c r="S2011" s="2">
        <f>TEXT(DATEVALUE(B2011),"yyyy-mm")</f>
        <v/>
      </c>
    </row>
    <row r="2012">
      <c r="A2012" s="2" t="inlineStr">
        <is>
          <t>O003700</t>
        </is>
      </c>
      <c r="B2012" s="2" t="inlineStr">
        <is>
          <t>2025-05-27</t>
        </is>
      </c>
      <c r="C2012" s="2" t="inlineStr">
        <is>
          <t>C0530</t>
        </is>
      </c>
      <c r="D2012" s="2" t="inlineStr">
        <is>
          <t>P0009</t>
        </is>
      </c>
      <c r="E2012" s="2" t="inlineStr">
        <is>
          <t>Electric Kettle</t>
        </is>
      </c>
      <c r="F2012" s="2" t="inlineStr">
        <is>
          <t>Home &amp; Kitchen</t>
        </is>
      </c>
      <c r="G2012" s="2" t="inlineStr">
        <is>
          <t>South</t>
        </is>
      </c>
      <c r="H2012" s="2" t="inlineStr">
        <is>
          <t>Kerala</t>
        </is>
      </c>
      <c r="I2012" s="2" t="inlineStr">
        <is>
          <t>Thiruvananthapuram</t>
        </is>
      </c>
      <c r="J2012" s="2" t="inlineStr">
        <is>
          <t>Online</t>
        </is>
      </c>
      <c r="K2012" s="2" t="n">
        <v>1</v>
      </c>
      <c r="L2012" s="3" t="n">
        <v>2094.6</v>
      </c>
      <c r="M2012" s="4" t="n">
        <v>0.25</v>
      </c>
      <c r="N2012" s="3" t="n">
        <v>1106.1</v>
      </c>
      <c r="O2012" s="3">
        <f>K2012*L2012*(1-M2012)</f>
        <v/>
      </c>
      <c r="P2012" s="3">
        <f>O2012-N2012</f>
        <v/>
      </c>
      <c r="Q2012" s="5">
        <f>IFERROR(P2012/O2012,0)</f>
        <v/>
      </c>
      <c r="R2012" s="2">
        <f>TEXT(DATEVALUE(B2012),"mmm")</f>
        <v/>
      </c>
      <c r="S2012" s="2">
        <f>TEXT(DATEVALUE(B2012),"yyyy-mm")</f>
        <v/>
      </c>
    </row>
    <row r="2013">
      <c r="A2013" s="2" t="inlineStr">
        <is>
          <t>O004091</t>
        </is>
      </c>
      <c r="B2013" s="2" t="inlineStr">
        <is>
          <t>2025-05-27</t>
        </is>
      </c>
      <c r="C2013" s="2" t="inlineStr">
        <is>
          <t>C0497</t>
        </is>
      </c>
      <c r="D2013" s="2" t="inlineStr">
        <is>
          <t>P0031</t>
        </is>
      </c>
      <c r="E2013" s="2" t="inlineStr">
        <is>
          <t>Cricket Bat</t>
        </is>
      </c>
      <c r="F2013" s="2" t="inlineStr">
        <is>
          <t>Sports</t>
        </is>
      </c>
      <c r="G2013" s="2" t="inlineStr">
        <is>
          <t>West</t>
        </is>
      </c>
      <c r="H2013" s="2" t="inlineStr">
        <is>
          <t>Maharashtra</t>
        </is>
      </c>
      <c r="I2013" s="2" t="inlineStr">
        <is>
          <t>Nashik</t>
        </is>
      </c>
      <c r="J2013" s="2" t="inlineStr">
        <is>
          <t>Online</t>
        </is>
      </c>
      <c r="K2013" s="2" t="n">
        <v>1</v>
      </c>
      <c r="L2013" s="3" t="n">
        <v>1334.34</v>
      </c>
      <c r="M2013" s="4" t="n">
        <v>0.2</v>
      </c>
      <c r="N2013" s="3" t="n">
        <v>965.83</v>
      </c>
      <c r="O2013" s="3">
        <f>K2013*L2013*(1-M2013)</f>
        <v/>
      </c>
      <c r="P2013" s="3">
        <f>O2013-N2013</f>
        <v/>
      </c>
      <c r="Q2013" s="5">
        <f>IFERROR(P2013/O2013,0)</f>
        <v/>
      </c>
      <c r="R2013" s="2">
        <f>TEXT(DATEVALUE(B2013),"mmm")</f>
        <v/>
      </c>
      <c r="S2013" s="2">
        <f>TEXT(DATEVALUE(B2013),"yyyy-mm")</f>
        <v/>
      </c>
    </row>
    <row r="2014">
      <c r="A2014" s="2" t="inlineStr">
        <is>
          <t>O004651</t>
        </is>
      </c>
      <c r="B2014" s="2" t="inlineStr">
        <is>
          <t>2025-05-27</t>
        </is>
      </c>
      <c r="C2014" s="2" t="inlineStr">
        <is>
          <t>C0078</t>
        </is>
      </c>
      <c r="D2014" s="2" t="inlineStr">
        <is>
          <t>P0020</t>
        </is>
      </c>
      <c r="E2014" s="2" t="inlineStr">
        <is>
          <t>Sneakers</t>
        </is>
      </c>
      <c r="F2014" s="2" t="inlineStr">
        <is>
          <t>Fashion</t>
        </is>
      </c>
      <c r="G2014" s="2" t="inlineStr">
        <is>
          <t>East</t>
        </is>
      </c>
      <c r="H2014" s="2" t="inlineStr">
        <is>
          <t>Bihar</t>
        </is>
      </c>
      <c r="I2014" s="2" t="inlineStr">
        <is>
          <t>Gaya</t>
        </is>
      </c>
      <c r="J2014" s="2" t="inlineStr">
        <is>
          <t>Store</t>
        </is>
      </c>
      <c r="K2014" s="2" t="n">
        <v>1</v>
      </c>
      <c r="L2014" s="3" t="n">
        <v>1976.42</v>
      </c>
      <c r="M2014" s="4" t="n">
        <v>0.1</v>
      </c>
      <c r="N2014" s="3" t="n">
        <v>1467.2</v>
      </c>
      <c r="O2014" s="3">
        <f>K2014*L2014*(1-M2014)</f>
        <v/>
      </c>
      <c r="P2014" s="3">
        <f>O2014-N2014</f>
        <v/>
      </c>
      <c r="Q2014" s="5">
        <f>IFERROR(P2014/O2014,0)</f>
        <v/>
      </c>
      <c r="R2014" s="2">
        <f>TEXT(DATEVALUE(B2014),"mmm")</f>
        <v/>
      </c>
      <c r="S2014" s="2">
        <f>TEXT(DATEVALUE(B2014),"yyyy-mm")</f>
        <v/>
      </c>
    </row>
    <row r="2015">
      <c r="A2015" s="2" t="inlineStr">
        <is>
          <t>O003191</t>
        </is>
      </c>
      <c r="B2015" s="2" t="inlineStr">
        <is>
          <t>2025-05-27</t>
        </is>
      </c>
      <c r="C2015" s="2" t="inlineStr">
        <is>
          <t>C0035</t>
        </is>
      </c>
      <c r="D2015" s="2" t="inlineStr">
        <is>
          <t>P0012</t>
        </is>
      </c>
      <c r="E2015" s="2" t="inlineStr">
        <is>
          <t>Water Bottle</t>
        </is>
      </c>
      <c r="F2015" s="2" t="inlineStr">
        <is>
          <t>Home &amp; Kitchen</t>
        </is>
      </c>
      <c r="G2015" s="2" t="inlineStr">
        <is>
          <t>South</t>
        </is>
      </c>
      <c r="H2015" s="2" t="inlineStr">
        <is>
          <t>Karnataka</t>
        </is>
      </c>
      <c r="I2015" s="2" t="inlineStr">
        <is>
          <t>Mysuru</t>
        </is>
      </c>
      <c r="J2015" s="2" t="inlineStr">
        <is>
          <t>Online</t>
        </is>
      </c>
      <c r="K2015" s="2" t="n">
        <v>2</v>
      </c>
      <c r="L2015" s="3" t="n">
        <v>1007.69</v>
      </c>
      <c r="M2015" s="4" t="n">
        <v>0</v>
      </c>
      <c r="N2015" s="3" t="n">
        <v>1265.14</v>
      </c>
      <c r="O2015" s="3">
        <f>K2015*L2015*(1-M2015)</f>
        <v/>
      </c>
      <c r="P2015" s="3">
        <f>O2015-N2015</f>
        <v/>
      </c>
      <c r="Q2015" s="5">
        <f>IFERROR(P2015/O2015,0)</f>
        <v/>
      </c>
      <c r="R2015" s="2">
        <f>TEXT(DATEVALUE(B2015),"mmm")</f>
        <v/>
      </c>
      <c r="S2015" s="2">
        <f>TEXT(DATEVALUE(B2015),"yyyy-mm")</f>
        <v/>
      </c>
    </row>
    <row r="2016">
      <c r="A2016" s="2" t="inlineStr">
        <is>
          <t>O003538</t>
        </is>
      </c>
      <c r="B2016" s="2" t="inlineStr">
        <is>
          <t>2025-05-27</t>
        </is>
      </c>
      <c r="C2016" s="2" t="inlineStr">
        <is>
          <t>C0044</t>
        </is>
      </c>
      <c r="D2016" s="2" t="inlineStr">
        <is>
          <t>P0024</t>
        </is>
      </c>
      <c r="E2016" s="2" t="inlineStr">
        <is>
          <t>Hair Dryer</t>
        </is>
      </c>
      <c r="F2016" s="2" t="inlineStr">
        <is>
          <t>Beauty</t>
        </is>
      </c>
      <c r="G2016" s="2" t="inlineStr">
        <is>
          <t>North</t>
        </is>
      </c>
      <c r="H2016" s="2" t="inlineStr">
        <is>
          <t>Haryana</t>
        </is>
      </c>
      <c r="I2016" s="2" t="inlineStr">
        <is>
          <t>Faridabad</t>
        </is>
      </c>
      <c r="J2016" s="2" t="inlineStr">
        <is>
          <t>Online</t>
        </is>
      </c>
      <c r="K2016" s="2" t="n">
        <v>2</v>
      </c>
      <c r="L2016" s="3" t="n">
        <v>986.0700000000001</v>
      </c>
      <c r="M2016" s="4" t="n">
        <v>0.1</v>
      </c>
      <c r="N2016" s="3" t="n">
        <v>1428.37</v>
      </c>
      <c r="O2016" s="3">
        <f>K2016*L2016*(1-M2016)</f>
        <v/>
      </c>
      <c r="P2016" s="3">
        <f>O2016-N2016</f>
        <v/>
      </c>
      <c r="Q2016" s="5">
        <f>IFERROR(P2016/O2016,0)</f>
        <v/>
      </c>
      <c r="R2016" s="2">
        <f>TEXT(DATEVALUE(B2016),"mmm")</f>
        <v/>
      </c>
      <c r="S2016" s="2">
        <f>TEXT(DATEVALUE(B2016),"yyyy-mm")</f>
        <v/>
      </c>
    </row>
    <row r="2017">
      <c r="A2017" s="2" t="inlineStr">
        <is>
          <t>O003109</t>
        </is>
      </c>
      <c r="B2017" s="2" t="inlineStr">
        <is>
          <t>2025-05-27</t>
        </is>
      </c>
      <c r="C2017" s="2" t="inlineStr">
        <is>
          <t>C0217</t>
        </is>
      </c>
      <c r="D2017" s="2" t="inlineStr">
        <is>
          <t>P0001</t>
        </is>
      </c>
      <c r="E2017" s="2" t="inlineStr">
        <is>
          <t>Wireless Headphones</t>
        </is>
      </c>
      <c r="F2017" s="2" t="inlineStr">
        <is>
          <t>Electronics</t>
        </is>
      </c>
      <c r="G2017" s="2" t="inlineStr">
        <is>
          <t>North</t>
        </is>
      </c>
      <c r="H2017" s="2" t="inlineStr">
        <is>
          <t>Uttar Pradesh</t>
        </is>
      </c>
      <c r="I2017" s="2" t="inlineStr">
        <is>
          <t>Varanasi</t>
        </is>
      </c>
      <c r="J2017" s="2" t="inlineStr">
        <is>
          <t>Store</t>
        </is>
      </c>
      <c r="K2017" s="2" t="n">
        <v>3</v>
      </c>
      <c r="L2017" s="3" t="n">
        <v>1302.65</v>
      </c>
      <c r="M2017" s="4" t="n">
        <v>0.15</v>
      </c>
      <c r="N2017" s="3" t="n">
        <v>2097.95</v>
      </c>
      <c r="O2017" s="3">
        <f>K2017*L2017*(1-M2017)</f>
        <v/>
      </c>
      <c r="P2017" s="3">
        <f>O2017-N2017</f>
        <v/>
      </c>
      <c r="Q2017" s="5">
        <f>IFERROR(P2017/O2017,0)</f>
        <v/>
      </c>
      <c r="R2017" s="2">
        <f>TEXT(DATEVALUE(B2017),"mmm")</f>
        <v/>
      </c>
      <c r="S2017" s="2">
        <f>TEXT(DATEVALUE(B2017),"yyyy-mm")</f>
        <v/>
      </c>
    </row>
    <row r="2018">
      <c r="A2018" s="2" t="inlineStr">
        <is>
          <t>O004242</t>
        </is>
      </c>
      <c r="B2018" s="2" t="inlineStr">
        <is>
          <t>2025-05-27</t>
        </is>
      </c>
      <c r="C2018" s="2" t="inlineStr">
        <is>
          <t>C0060</t>
        </is>
      </c>
      <c r="D2018" s="2" t="inlineStr">
        <is>
          <t>P0012</t>
        </is>
      </c>
      <c r="E2018" s="2" t="inlineStr">
        <is>
          <t>Water Bottle</t>
        </is>
      </c>
      <c r="F2018" s="2" t="inlineStr">
        <is>
          <t>Home &amp; Kitchen</t>
        </is>
      </c>
      <c r="G2018" s="2" t="inlineStr">
        <is>
          <t>West</t>
        </is>
      </c>
      <c r="H2018" s="2" t="inlineStr">
        <is>
          <t>Maharashtra</t>
        </is>
      </c>
      <c r="I2018" s="2" t="inlineStr">
        <is>
          <t>Pune</t>
        </is>
      </c>
      <c r="J2018" s="2" t="inlineStr">
        <is>
          <t>Online</t>
        </is>
      </c>
      <c r="K2018" s="2" t="n">
        <v>1</v>
      </c>
      <c r="L2018" s="3" t="n">
        <v>965.37</v>
      </c>
      <c r="M2018" s="4" t="n">
        <v>0.1</v>
      </c>
      <c r="N2018" s="3" t="n">
        <v>621.87</v>
      </c>
      <c r="O2018" s="3">
        <f>K2018*L2018*(1-M2018)</f>
        <v/>
      </c>
      <c r="P2018" s="3">
        <f>O2018-N2018</f>
        <v/>
      </c>
      <c r="Q2018" s="5">
        <f>IFERROR(P2018/O2018,0)</f>
        <v/>
      </c>
      <c r="R2018" s="2">
        <f>TEXT(DATEVALUE(B2018),"mmm")</f>
        <v/>
      </c>
      <c r="S2018" s="2">
        <f>TEXT(DATEVALUE(B2018),"yyyy-mm")</f>
        <v/>
      </c>
    </row>
    <row r="2019">
      <c r="A2019" s="2" t="inlineStr">
        <is>
          <t>O001878</t>
        </is>
      </c>
      <c r="B2019" s="2" t="inlineStr">
        <is>
          <t>2025-05-27</t>
        </is>
      </c>
      <c r="C2019" s="2" t="inlineStr">
        <is>
          <t>C0448</t>
        </is>
      </c>
      <c r="D2019" s="2" t="inlineStr">
        <is>
          <t>P0014</t>
        </is>
      </c>
      <c r="E2019" s="2" t="inlineStr">
        <is>
          <t>Coffee Maker</t>
        </is>
      </c>
      <c r="F2019" s="2" t="inlineStr">
        <is>
          <t>Home &amp; Kitchen</t>
        </is>
      </c>
      <c r="G2019" s="2" t="inlineStr">
        <is>
          <t>North</t>
        </is>
      </c>
      <c r="H2019" s="2" t="inlineStr">
        <is>
          <t>Punjab</t>
        </is>
      </c>
      <c r="I2019" s="2" t="inlineStr">
        <is>
          <t>Amritsar</t>
        </is>
      </c>
      <c r="J2019" s="2" t="inlineStr">
        <is>
          <t>Online</t>
        </is>
      </c>
      <c r="K2019" s="2" t="n">
        <v>1</v>
      </c>
      <c r="L2019" s="3" t="n">
        <v>1040.11</v>
      </c>
      <c r="M2019" s="4" t="n">
        <v>0.15</v>
      </c>
      <c r="N2019" s="3" t="n">
        <v>782.96</v>
      </c>
      <c r="O2019" s="3">
        <f>K2019*L2019*(1-M2019)</f>
        <v/>
      </c>
      <c r="P2019" s="3">
        <f>O2019-N2019</f>
        <v/>
      </c>
      <c r="Q2019" s="5">
        <f>IFERROR(P2019/O2019,0)</f>
        <v/>
      </c>
      <c r="R2019" s="2">
        <f>TEXT(DATEVALUE(B2019),"mmm")</f>
        <v/>
      </c>
      <c r="S2019" s="2">
        <f>TEXT(DATEVALUE(B2019),"yyyy-mm")</f>
        <v/>
      </c>
    </row>
    <row r="2020">
      <c r="A2020" s="2" t="inlineStr">
        <is>
          <t>O000244</t>
        </is>
      </c>
      <c r="B2020" s="2" t="inlineStr">
        <is>
          <t>2025-05-27</t>
        </is>
      </c>
      <c r="C2020" s="2" t="inlineStr">
        <is>
          <t>C0450</t>
        </is>
      </c>
      <c r="D2020" s="2" t="inlineStr">
        <is>
          <t>P0013</t>
        </is>
      </c>
      <c r="E2020" s="2" t="inlineStr">
        <is>
          <t>Storage Organizer</t>
        </is>
      </c>
      <c r="F2020" s="2" t="inlineStr">
        <is>
          <t>Home &amp; Kitchen</t>
        </is>
      </c>
      <c r="G2020" s="2" t="inlineStr">
        <is>
          <t>West</t>
        </is>
      </c>
      <c r="H2020" s="2" t="inlineStr">
        <is>
          <t>Gujarat</t>
        </is>
      </c>
      <c r="I2020" s="2" t="inlineStr">
        <is>
          <t>Surat</t>
        </is>
      </c>
      <c r="J2020" s="2" t="inlineStr">
        <is>
          <t>Store</t>
        </is>
      </c>
      <c r="K2020" s="2" t="n">
        <v>3</v>
      </c>
      <c r="L2020" s="3" t="n">
        <v>553.62</v>
      </c>
      <c r="M2020" s="4" t="n">
        <v>0.25</v>
      </c>
      <c r="N2020" s="3" t="n">
        <v>1048.2</v>
      </c>
      <c r="O2020" s="3">
        <f>K2020*L2020*(1-M2020)</f>
        <v/>
      </c>
      <c r="P2020" s="3">
        <f>O2020-N2020</f>
        <v/>
      </c>
      <c r="Q2020" s="5">
        <f>IFERROR(P2020/O2020,0)</f>
        <v/>
      </c>
      <c r="R2020" s="2">
        <f>TEXT(DATEVALUE(B2020),"mmm")</f>
        <v/>
      </c>
      <c r="S2020" s="2">
        <f>TEXT(DATEVALUE(B2020),"yyyy-mm")</f>
        <v/>
      </c>
    </row>
    <row r="2021">
      <c r="A2021" s="2" t="inlineStr">
        <is>
          <t>O000273</t>
        </is>
      </c>
      <c r="B2021" s="2" t="inlineStr">
        <is>
          <t>2025-05-27</t>
        </is>
      </c>
      <c r="C2021" s="2" t="inlineStr">
        <is>
          <t>C0639</t>
        </is>
      </c>
      <c r="D2021" s="2" t="inlineStr">
        <is>
          <t>P0022</t>
        </is>
      </c>
      <c r="E2021" s="2" t="inlineStr">
        <is>
          <t>Face Wash</t>
        </is>
      </c>
      <c r="F2021" s="2" t="inlineStr">
        <is>
          <t>Beauty</t>
        </is>
      </c>
      <c r="G2021" s="2" t="inlineStr">
        <is>
          <t>North</t>
        </is>
      </c>
      <c r="H2021" s="2" t="inlineStr">
        <is>
          <t>Haryana</t>
        </is>
      </c>
      <c r="I2021" s="2" t="inlineStr">
        <is>
          <t>Faridabad</t>
        </is>
      </c>
      <c r="J2021" s="2" t="inlineStr">
        <is>
          <t>Online</t>
        </is>
      </c>
      <c r="K2021" s="2" t="n">
        <v>2</v>
      </c>
      <c r="L2021" s="3" t="n">
        <v>551.42</v>
      </c>
      <c r="M2021" s="4" t="n">
        <v>0.05</v>
      </c>
      <c r="N2021" s="3" t="n">
        <v>689.99</v>
      </c>
      <c r="O2021" s="3">
        <f>K2021*L2021*(1-M2021)</f>
        <v/>
      </c>
      <c r="P2021" s="3">
        <f>O2021-N2021</f>
        <v/>
      </c>
      <c r="Q2021" s="5">
        <f>IFERROR(P2021/O2021,0)</f>
        <v/>
      </c>
      <c r="R2021" s="2">
        <f>TEXT(DATEVALUE(B2021),"mmm")</f>
        <v/>
      </c>
      <c r="S2021" s="2">
        <f>TEXT(DATEVALUE(B2021),"yyyy-mm")</f>
        <v/>
      </c>
    </row>
    <row r="2022">
      <c r="A2022" s="2" t="inlineStr">
        <is>
          <t>O000325</t>
        </is>
      </c>
      <c r="B2022" s="2" t="inlineStr">
        <is>
          <t>2025-05-27</t>
        </is>
      </c>
      <c r="C2022" s="2" t="inlineStr">
        <is>
          <t>C0174</t>
        </is>
      </c>
      <c r="D2022" s="2" t="inlineStr">
        <is>
          <t>P0034</t>
        </is>
      </c>
      <c r="E2022" s="2" t="inlineStr">
        <is>
          <t>Gym Gloves</t>
        </is>
      </c>
      <c r="F2022" s="2" t="inlineStr">
        <is>
          <t>Sports</t>
        </is>
      </c>
      <c r="G2022" s="2" t="inlineStr">
        <is>
          <t>West</t>
        </is>
      </c>
      <c r="H2022" s="2" t="inlineStr">
        <is>
          <t>Goa</t>
        </is>
      </c>
      <c r="I2022" s="2" t="inlineStr">
        <is>
          <t>Panaji</t>
        </is>
      </c>
      <c r="J2022" s="2" t="inlineStr">
        <is>
          <t>Online</t>
        </is>
      </c>
      <c r="K2022" s="2" t="n">
        <v>2</v>
      </c>
      <c r="L2022" s="3" t="n">
        <v>624.6</v>
      </c>
      <c r="M2022" s="4" t="n">
        <v>0.1</v>
      </c>
      <c r="N2022" s="3" t="n">
        <v>787.4</v>
      </c>
      <c r="O2022" s="3">
        <f>K2022*L2022*(1-M2022)</f>
        <v/>
      </c>
      <c r="P2022" s="3">
        <f>O2022-N2022</f>
        <v/>
      </c>
      <c r="Q2022" s="5">
        <f>IFERROR(P2022/O2022,0)</f>
        <v/>
      </c>
      <c r="R2022" s="2">
        <f>TEXT(DATEVALUE(B2022),"mmm")</f>
        <v/>
      </c>
      <c r="S2022" s="2">
        <f>TEXT(DATEVALUE(B2022),"yyyy-mm")</f>
        <v/>
      </c>
    </row>
    <row r="2023">
      <c r="A2023" s="2" t="inlineStr">
        <is>
          <t>O000431</t>
        </is>
      </c>
      <c r="B2023" s="2" t="inlineStr">
        <is>
          <t>2025-05-27</t>
        </is>
      </c>
      <c r="C2023" s="2" t="inlineStr">
        <is>
          <t>C0618</t>
        </is>
      </c>
      <c r="D2023" s="2" t="inlineStr">
        <is>
          <t>P0014</t>
        </is>
      </c>
      <c r="E2023" s="2" t="inlineStr">
        <is>
          <t>Coffee Maker</t>
        </is>
      </c>
      <c r="F2023" s="2" t="inlineStr">
        <is>
          <t>Home &amp; Kitchen</t>
        </is>
      </c>
      <c r="G2023" s="2" t="inlineStr">
        <is>
          <t>South</t>
        </is>
      </c>
      <c r="H2023" s="2" t="inlineStr">
        <is>
          <t>Kerala</t>
        </is>
      </c>
      <c r="I2023" s="2" t="inlineStr">
        <is>
          <t>Kochi</t>
        </is>
      </c>
      <c r="J2023" s="2" t="inlineStr">
        <is>
          <t>Online</t>
        </is>
      </c>
      <c r="K2023" s="2" t="n">
        <v>5</v>
      </c>
      <c r="L2023" s="3" t="n">
        <v>1022.09</v>
      </c>
      <c r="M2023" s="4" t="n">
        <v>0.1</v>
      </c>
      <c r="N2023" s="3" t="n">
        <v>3781.14</v>
      </c>
      <c r="O2023" s="3">
        <f>K2023*L2023*(1-M2023)</f>
        <v/>
      </c>
      <c r="P2023" s="3">
        <f>O2023-N2023</f>
        <v/>
      </c>
      <c r="Q2023" s="5">
        <f>IFERROR(P2023/O2023,0)</f>
        <v/>
      </c>
      <c r="R2023" s="2">
        <f>TEXT(DATEVALUE(B2023),"mmm")</f>
        <v/>
      </c>
      <c r="S2023" s="2">
        <f>TEXT(DATEVALUE(B2023),"yyyy-mm")</f>
        <v/>
      </c>
    </row>
    <row r="2024">
      <c r="A2024" s="2" t="inlineStr">
        <is>
          <t>O002072</t>
        </is>
      </c>
      <c r="B2024" s="2" t="inlineStr">
        <is>
          <t>2025-05-27</t>
        </is>
      </c>
      <c r="C2024" s="2" t="inlineStr">
        <is>
          <t>C0506</t>
        </is>
      </c>
      <c r="D2024" s="2" t="inlineStr">
        <is>
          <t>P0011</t>
        </is>
      </c>
      <c r="E2024" s="2" t="inlineStr">
        <is>
          <t>Cookware Set</t>
        </is>
      </c>
      <c r="F2024" s="2" t="inlineStr">
        <is>
          <t>Home &amp; Kitchen</t>
        </is>
      </c>
      <c r="G2024" s="2" t="inlineStr">
        <is>
          <t>West</t>
        </is>
      </c>
      <c r="H2024" s="2" t="inlineStr">
        <is>
          <t>Goa</t>
        </is>
      </c>
      <c r="I2024" s="2" t="inlineStr">
        <is>
          <t>Margao</t>
        </is>
      </c>
      <c r="J2024" s="2" t="inlineStr">
        <is>
          <t>Online</t>
        </is>
      </c>
      <c r="K2024" s="2" t="n">
        <v>2</v>
      </c>
      <c r="L2024" s="3" t="n">
        <v>694.4400000000001</v>
      </c>
      <c r="M2024" s="4" t="n">
        <v>0.1</v>
      </c>
      <c r="N2024" s="3" t="n">
        <v>927.45</v>
      </c>
      <c r="O2024" s="3">
        <f>K2024*L2024*(1-M2024)</f>
        <v/>
      </c>
      <c r="P2024" s="3">
        <f>O2024-N2024</f>
        <v/>
      </c>
      <c r="Q2024" s="5">
        <f>IFERROR(P2024/O2024,0)</f>
        <v/>
      </c>
      <c r="R2024" s="2">
        <f>TEXT(DATEVALUE(B2024),"mmm")</f>
        <v/>
      </c>
      <c r="S2024" s="2">
        <f>TEXT(DATEVALUE(B2024),"yyyy-mm")</f>
        <v/>
      </c>
    </row>
    <row r="2025">
      <c r="A2025" s="2" t="inlineStr">
        <is>
          <t>O000671</t>
        </is>
      </c>
      <c r="B2025" s="2" t="inlineStr">
        <is>
          <t>2025-05-27</t>
        </is>
      </c>
      <c r="C2025" s="2" t="inlineStr">
        <is>
          <t>C0005</t>
        </is>
      </c>
      <c r="D2025" s="2" t="inlineStr">
        <is>
          <t>P0022</t>
        </is>
      </c>
      <c r="E2025" s="2" t="inlineStr">
        <is>
          <t>Face Wash</t>
        </is>
      </c>
      <c r="F2025" s="2" t="inlineStr">
        <is>
          <t>Beauty</t>
        </is>
      </c>
      <c r="G2025" s="2" t="inlineStr">
        <is>
          <t>South</t>
        </is>
      </c>
      <c r="H2025" s="2" t="inlineStr">
        <is>
          <t>Kerala</t>
        </is>
      </c>
      <c r="I2025" s="2" t="inlineStr">
        <is>
          <t>Kochi</t>
        </is>
      </c>
      <c r="J2025" s="2" t="inlineStr">
        <is>
          <t>Online</t>
        </is>
      </c>
      <c r="K2025" s="2" t="n">
        <v>1</v>
      </c>
      <c r="L2025" s="3" t="n">
        <v>558.09</v>
      </c>
      <c r="M2025" s="4" t="n">
        <v>0.1</v>
      </c>
      <c r="N2025" s="3" t="n">
        <v>356.57</v>
      </c>
      <c r="O2025" s="3">
        <f>K2025*L2025*(1-M2025)</f>
        <v/>
      </c>
      <c r="P2025" s="3">
        <f>O2025-N2025</f>
        <v/>
      </c>
      <c r="Q2025" s="5">
        <f>IFERROR(P2025/O2025,0)</f>
        <v/>
      </c>
      <c r="R2025" s="2">
        <f>TEXT(DATEVALUE(B2025),"mmm")</f>
        <v/>
      </c>
      <c r="S2025" s="2">
        <f>TEXT(DATEVALUE(B2025),"yyyy-mm")</f>
        <v/>
      </c>
    </row>
    <row r="2026">
      <c r="A2026" s="2" t="inlineStr">
        <is>
          <t>O001284</t>
        </is>
      </c>
      <c r="B2026" s="2" t="inlineStr">
        <is>
          <t>2025-05-27</t>
        </is>
      </c>
      <c r="C2026" s="2" t="inlineStr">
        <is>
          <t>C0234</t>
        </is>
      </c>
      <c r="D2026" s="2" t="inlineStr">
        <is>
          <t>P0031</t>
        </is>
      </c>
      <c r="E2026" s="2" t="inlineStr">
        <is>
          <t>Cricket Bat</t>
        </is>
      </c>
      <c r="F2026" s="2" t="inlineStr">
        <is>
          <t>Sports</t>
        </is>
      </c>
      <c r="G2026" s="2" t="inlineStr">
        <is>
          <t>East</t>
        </is>
      </c>
      <c r="H2026" s="2" t="inlineStr">
        <is>
          <t>Odisha</t>
        </is>
      </c>
      <c r="I2026" s="2" t="inlineStr">
        <is>
          <t>Bhubaneswar</t>
        </is>
      </c>
      <c r="J2026" s="2" t="inlineStr">
        <is>
          <t>Online</t>
        </is>
      </c>
      <c r="K2026" s="2" t="n">
        <v>2</v>
      </c>
      <c r="L2026" s="3" t="n">
        <v>1369.85</v>
      </c>
      <c r="M2026" s="4" t="n">
        <v>0.05</v>
      </c>
      <c r="N2026" s="3" t="n">
        <v>1836.01</v>
      </c>
      <c r="O2026" s="3">
        <f>K2026*L2026*(1-M2026)</f>
        <v/>
      </c>
      <c r="P2026" s="3">
        <f>O2026-N2026</f>
        <v/>
      </c>
      <c r="Q2026" s="5">
        <f>IFERROR(P2026/O2026,0)</f>
        <v/>
      </c>
      <c r="R2026" s="2">
        <f>TEXT(DATEVALUE(B2026),"mmm")</f>
        <v/>
      </c>
      <c r="S2026" s="2">
        <f>TEXT(DATEVALUE(B2026),"yyyy-mm")</f>
        <v/>
      </c>
    </row>
    <row r="2027">
      <c r="A2027" s="2" t="inlineStr">
        <is>
          <t>O000493</t>
        </is>
      </c>
      <c r="B2027" s="2" t="inlineStr">
        <is>
          <t>2025-05-27</t>
        </is>
      </c>
      <c r="C2027" s="2" t="inlineStr">
        <is>
          <t>C0602</t>
        </is>
      </c>
      <c r="D2027" s="2" t="inlineStr">
        <is>
          <t>P0021</t>
        </is>
      </c>
      <c r="E2027" s="2" t="inlineStr">
        <is>
          <t>Wallet</t>
        </is>
      </c>
      <c r="F2027" s="2" t="inlineStr">
        <is>
          <t>Fashion</t>
        </is>
      </c>
      <c r="G2027" s="2" t="inlineStr">
        <is>
          <t>North</t>
        </is>
      </c>
      <c r="H2027" s="2" t="inlineStr">
        <is>
          <t>Delhi</t>
        </is>
      </c>
      <c r="I2027" s="2" t="inlineStr">
        <is>
          <t>New Delhi</t>
        </is>
      </c>
      <c r="J2027" s="2" t="inlineStr">
        <is>
          <t>Online</t>
        </is>
      </c>
      <c r="K2027" s="2" t="n">
        <v>1</v>
      </c>
      <c r="L2027" s="3" t="n">
        <v>1972.01</v>
      </c>
      <c r="M2027" s="4" t="n">
        <v>0</v>
      </c>
      <c r="N2027" s="3" t="n">
        <v>1181.87</v>
      </c>
      <c r="O2027" s="3">
        <f>K2027*L2027*(1-M2027)</f>
        <v/>
      </c>
      <c r="P2027" s="3">
        <f>O2027-N2027</f>
        <v/>
      </c>
      <c r="Q2027" s="5">
        <f>IFERROR(P2027/O2027,0)</f>
        <v/>
      </c>
      <c r="R2027" s="2">
        <f>TEXT(DATEVALUE(B2027),"mmm")</f>
        <v/>
      </c>
      <c r="S2027" s="2">
        <f>TEXT(DATEVALUE(B2027),"yyyy-mm")</f>
        <v/>
      </c>
    </row>
    <row r="2028">
      <c r="A2028" s="2" t="inlineStr">
        <is>
          <t>O001632</t>
        </is>
      </c>
      <c r="B2028" s="2" t="inlineStr">
        <is>
          <t>2025-05-27</t>
        </is>
      </c>
      <c r="C2028" s="2" t="inlineStr">
        <is>
          <t>C0738</t>
        </is>
      </c>
      <c r="D2028" s="2" t="inlineStr">
        <is>
          <t>P0011</t>
        </is>
      </c>
      <c r="E2028" s="2" t="inlineStr">
        <is>
          <t>Cookware Set</t>
        </is>
      </c>
      <c r="F2028" s="2" t="inlineStr">
        <is>
          <t>Home &amp; Kitchen</t>
        </is>
      </c>
      <c r="G2028" s="2" t="inlineStr">
        <is>
          <t>South</t>
        </is>
      </c>
      <c r="H2028" s="2" t="inlineStr">
        <is>
          <t>Kerala</t>
        </is>
      </c>
      <c r="I2028" s="2" t="inlineStr">
        <is>
          <t>Thiruvananthapuram</t>
        </is>
      </c>
      <c r="J2028" s="2" t="inlineStr">
        <is>
          <t>Store</t>
        </is>
      </c>
      <c r="K2028" s="2" t="n">
        <v>4</v>
      </c>
      <c r="L2028" s="3" t="n">
        <v>719.02</v>
      </c>
      <c r="M2028" s="4" t="n">
        <v>0.1</v>
      </c>
      <c r="N2028" s="3" t="n">
        <v>1831.11</v>
      </c>
      <c r="O2028" s="3">
        <f>K2028*L2028*(1-M2028)</f>
        <v/>
      </c>
      <c r="P2028" s="3">
        <f>O2028-N2028</f>
        <v/>
      </c>
      <c r="Q2028" s="5">
        <f>IFERROR(P2028/O2028,0)</f>
        <v/>
      </c>
      <c r="R2028" s="2">
        <f>TEXT(DATEVALUE(B2028),"mmm")</f>
        <v/>
      </c>
      <c r="S2028" s="2">
        <f>TEXT(DATEVALUE(B2028),"yyyy-mm")</f>
        <v/>
      </c>
    </row>
    <row r="2029">
      <c r="A2029" s="2" t="inlineStr">
        <is>
          <t>O001746</t>
        </is>
      </c>
      <c r="B2029" s="2" t="inlineStr">
        <is>
          <t>2025-05-27</t>
        </is>
      </c>
      <c r="C2029" s="2" t="inlineStr">
        <is>
          <t>C0566</t>
        </is>
      </c>
      <c r="D2029" s="2" t="inlineStr">
        <is>
          <t>P0018</t>
        </is>
      </c>
      <c r="E2029" s="2" t="inlineStr">
        <is>
          <t>Backpack</t>
        </is>
      </c>
      <c r="F2029" s="2" t="inlineStr">
        <is>
          <t>Fashion</t>
        </is>
      </c>
      <c r="G2029" s="2" t="inlineStr">
        <is>
          <t>North</t>
        </is>
      </c>
      <c r="H2029" s="2" t="inlineStr">
        <is>
          <t>Punjab</t>
        </is>
      </c>
      <c r="I2029" s="2" t="inlineStr">
        <is>
          <t>Amritsar</t>
        </is>
      </c>
      <c r="J2029" s="2" t="inlineStr">
        <is>
          <t>Online</t>
        </is>
      </c>
      <c r="K2029" s="2" t="n">
        <v>3</v>
      </c>
      <c r="L2029" s="3" t="n">
        <v>1749.49</v>
      </c>
      <c r="M2029" s="4" t="n">
        <v>0.05</v>
      </c>
      <c r="N2029" s="3" t="n">
        <v>4119.57</v>
      </c>
      <c r="O2029" s="3">
        <f>K2029*L2029*(1-M2029)</f>
        <v/>
      </c>
      <c r="P2029" s="3">
        <f>O2029-N2029</f>
        <v/>
      </c>
      <c r="Q2029" s="5">
        <f>IFERROR(P2029/O2029,0)</f>
        <v/>
      </c>
      <c r="R2029" s="2">
        <f>TEXT(DATEVALUE(B2029),"mmm")</f>
        <v/>
      </c>
      <c r="S2029" s="2">
        <f>TEXT(DATEVALUE(B2029),"yyyy-mm")</f>
        <v/>
      </c>
    </row>
    <row r="2030">
      <c r="A2030" s="2" t="inlineStr">
        <is>
          <t>O004935</t>
        </is>
      </c>
      <c r="B2030" s="2" t="inlineStr">
        <is>
          <t>2025-05-28</t>
        </is>
      </c>
      <c r="C2030" s="2" t="inlineStr">
        <is>
          <t>C0599</t>
        </is>
      </c>
      <c r="D2030" s="2" t="inlineStr">
        <is>
          <t>P0009</t>
        </is>
      </c>
      <c r="E2030" s="2" t="inlineStr">
        <is>
          <t>Electric Kettle</t>
        </is>
      </c>
      <c r="F2030" s="2" t="inlineStr">
        <is>
          <t>Home &amp; Kitchen</t>
        </is>
      </c>
      <c r="G2030" s="2" t="inlineStr">
        <is>
          <t>West</t>
        </is>
      </c>
      <c r="H2030" s="2" t="inlineStr">
        <is>
          <t>Gujarat</t>
        </is>
      </c>
      <c r="I2030" s="2" t="inlineStr">
        <is>
          <t>Vadodara</t>
        </is>
      </c>
      <c r="J2030" s="2" t="inlineStr">
        <is>
          <t>Store</t>
        </is>
      </c>
      <c r="K2030" s="2" t="n">
        <v>2</v>
      </c>
      <c r="L2030" s="3" t="n">
        <v>2146.9</v>
      </c>
      <c r="M2030" s="4" t="n">
        <v>0.05</v>
      </c>
      <c r="N2030" s="3" t="n">
        <v>2198.23</v>
      </c>
      <c r="O2030" s="3">
        <f>K2030*L2030*(1-M2030)</f>
        <v/>
      </c>
      <c r="P2030" s="3">
        <f>O2030-N2030</f>
        <v/>
      </c>
      <c r="Q2030" s="5">
        <f>IFERROR(P2030/O2030,0)</f>
        <v/>
      </c>
      <c r="R2030" s="2">
        <f>TEXT(DATEVALUE(B2030),"mmm")</f>
        <v/>
      </c>
      <c r="S2030" s="2">
        <f>TEXT(DATEVALUE(B2030),"yyyy-mm")</f>
        <v/>
      </c>
    </row>
    <row r="2031">
      <c r="A2031" s="2" t="inlineStr">
        <is>
          <t>O004337</t>
        </is>
      </c>
      <c r="B2031" s="2" t="inlineStr">
        <is>
          <t>2025-05-28</t>
        </is>
      </c>
      <c r="C2031" s="2" t="inlineStr">
        <is>
          <t>C0004</t>
        </is>
      </c>
      <c r="D2031" s="2" t="inlineStr">
        <is>
          <t>P0022</t>
        </is>
      </c>
      <c r="E2031" s="2" t="inlineStr">
        <is>
          <t>Face Wash</t>
        </is>
      </c>
      <c r="F2031" s="2" t="inlineStr">
        <is>
          <t>Beauty</t>
        </is>
      </c>
      <c r="G2031" s="2" t="inlineStr">
        <is>
          <t>West</t>
        </is>
      </c>
      <c r="H2031" s="2" t="inlineStr">
        <is>
          <t>Maharashtra</t>
        </is>
      </c>
      <c r="I2031" s="2" t="inlineStr">
        <is>
          <t>Thane</t>
        </is>
      </c>
      <c r="J2031" s="2" t="inlineStr">
        <is>
          <t>Store</t>
        </is>
      </c>
      <c r="K2031" s="2" t="n">
        <v>1</v>
      </c>
      <c r="L2031" s="3" t="n">
        <v>558.28</v>
      </c>
      <c r="M2031" s="4" t="n">
        <v>0.1</v>
      </c>
      <c r="N2031" s="3" t="n">
        <v>339.89</v>
      </c>
      <c r="O2031" s="3">
        <f>K2031*L2031*(1-M2031)</f>
        <v/>
      </c>
      <c r="P2031" s="3">
        <f>O2031-N2031</f>
        <v/>
      </c>
      <c r="Q2031" s="5">
        <f>IFERROR(P2031/O2031,0)</f>
        <v/>
      </c>
      <c r="R2031" s="2">
        <f>TEXT(DATEVALUE(B2031),"mmm")</f>
        <v/>
      </c>
      <c r="S2031" s="2">
        <f>TEXT(DATEVALUE(B2031),"yyyy-mm")</f>
        <v/>
      </c>
    </row>
    <row r="2032">
      <c r="A2032" s="2" t="inlineStr">
        <is>
          <t>O004247</t>
        </is>
      </c>
      <c r="B2032" s="2" t="inlineStr">
        <is>
          <t>2025-05-28</t>
        </is>
      </c>
      <c r="C2032" s="2" t="inlineStr">
        <is>
          <t>C0595</t>
        </is>
      </c>
      <c r="D2032" s="2" t="inlineStr">
        <is>
          <t>P0025</t>
        </is>
      </c>
      <c r="E2032" s="2" t="inlineStr">
        <is>
          <t>Perfume</t>
        </is>
      </c>
      <c r="F2032" s="2" t="inlineStr">
        <is>
          <t>Beauty</t>
        </is>
      </c>
      <c r="G2032" s="2" t="inlineStr">
        <is>
          <t>West</t>
        </is>
      </c>
      <c r="H2032" s="2" t="inlineStr">
        <is>
          <t>Gujarat</t>
        </is>
      </c>
      <c r="I2032" s="2" t="inlineStr">
        <is>
          <t>Surat</t>
        </is>
      </c>
      <c r="J2032" s="2" t="inlineStr">
        <is>
          <t>Store</t>
        </is>
      </c>
      <c r="K2032" s="2" t="n">
        <v>1</v>
      </c>
      <c r="L2032" s="3" t="n">
        <v>824.24</v>
      </c>
      <c r="M2032" s="4" t="n">
        <v>0.1</v>
      </c>
      <c r="N2032" s="3" t="n">
        <v>610.05</v>
      </c>
      <c r="O2032" s="3">
        <f>K2032*L2032*(1-M2032)</f>
        <v/>
      </c>
      <c r="P2032" s="3">
        <f>O2032-N2032</f>
        <v/>
      </c>
      <c r="Q2032" s="5">
        <f>IFERROR(P2032/O2032,0)</f>
        <v/>
      </c>
      <c r="R2032" s="2">
        <f>TEXT(DATEVALUE(B2032),"mmm")</f>
        <v/>
      </c>
      <c r="S2032" s="2">
        <f>TEXT(DATEVALUE(B2032),"yyyy-mm")</f>
        <v/>
      </c>
    </row>
    <row r="2033">
      <c r="A2033" s="2" t="inlineStr">
        <is>
          <t>O003655</t>
        </is>
      </c>
      <c r="B2033" s="2" t="inlineStr">
        <is>
          <t>2025-05-28</t>
        </is>
      </c>
      <c r="C2033" s="2" t="inlineStr">
        <is>
          <t>C0341</t>
        </is>
      </c>
      <c r="D2033" s="2" t="inlineStr">
        <is>
          <t>P0006</t>
        </is>
      </c>
      <c r="E2033" s="2" t="inlineStr">
        <is>
          <t>Mechanical Keyboard</t>
        </is>
      </c>
      <c r="F2033" s="2" t="inlineStr">
        <is>
          <t>Electronics</t>
        </is>
      </c>
      <c r="G2033" s="2" t="inlineStr">
        <is>
          <t>East</t>
        </is>
      </c>
      <c r="H2033" s="2" t="inlineStr">
        <is>
          <t>West Bengal</t>
        </is>
      </c>
      <c r="I2033" s="2" t="inlineStr">
        <is>
          <t>Durgapur</t>
        </is>
      </c>
      <c r="J2033" s="2" t="inlineStr">
        <is>
          <t>Store</t>
        </is>
      </c>
      <c r="K2033" s="2" t="n">
        <v>5</v>
      </c>
      <c r="L2033" s="3" t="n">
        <v>2763.16</v>
      </c>
      <c r="M2033" s="4" t="n">
        <v>0</v>
      </c>
      <c r="N2033" s="3" t="n">
        <v>7365.11</v>
      </c>
      <c r="O2033" s="3">
        <f>K2033*L2033*(1-M2033)</f>
        <v/>
      </c>
      <c r="P2033" s="3">
        <f>O2033-N2033</f>
        <v/>
      </c>
      <c r="Q2033" s="5">
        <f>IFERROR(P2033/O2033,0)</f>
        <v/>
      </c>
      <c r="R2033" s="2">
        <f>TEXT(DATEVALUE(B2033),"mmm")</f>
        <v/>
      </c>
      <c r="S2033" s="2">
        <f>TEXT(DATEVALUE(B2033),"yyyy-mm")</f>
        <v/>
      </c>
    </row>
    <row r="2034">
      <c r="A2034" s="2" t="inlineStr">
        <is>
          <t>O003386</t>
        </is>
      </c>
      <c r="B2034" s="2" t="inlineStr">
        <is>
          <t>2025-05-28</t>
        </is>
      </c>
      <c r="C2034" s="2" t="inlineStr">
        <is>
          <t>C0606</t>
        </is>
      </c>
      <c r="D2034" s="2" t="inlineStr">
        <is>
          <t>P0010</t>
        </is>
      </c>
      <c r="E2034" s="2" t="inlineStr">
        <is>
          <t>Mixer Grinder</t>
        </is>
      </c>
      <c r="F2034" s="2" t="inlineStr">
        <is>
          <t>Home &amp; Kitchen</t>
        </is>
      </c>
      <c r="G2034" s="2" t="inlineStr">
        <is>
          <t>West</t>
        </is>
      </c>
      <c r="H2034" s="2" t="inlineStr">
        <is>
          <t>Maharashtra</t>
        </is>
      </c>
      <c r="I2034" s="2" t="inlineStr">
        <is>
          <t>Nagpur</t>
        </is>
      </c>
      <c r="J2034" s="2" t="inlineStr">
        <is>
          <t>Online</t>
        </is>
      </c>
      <c r="K2034" s="2" t="n">
        <v>1</v>
      </c>
      <c r="L2034" s="3" t="n">
        <v>1568.06</v>
      </c>
      <c r="M2034" s="4" t="n">
        <v>0</v>
      </c>
      <c r="N2034" s="3" t="n">
        <v>1010.89</v>
      </c>
      <c r="O2034" s="3">
        <f>K2034*L2034*(1-M2034)</f>
        <v/>
      </c>
      <c r="P2034" s="3">
        <f>O2034-N2034</f>
        <v/>
      </c>
      <c r="Q2034" s="5">
        <f>IFERROR(P2034/O2034,0)</f>
        <v/>
      </c>
      <c r="R2034" s="2">
        <f>TEXT(DATEVALUE(B2034),"mmm")</f>
        <v/>
      </c>
      <c r="S2034" s="2">
        <f>TEXT(DATEVALUE(B2034),"yyyy-mm")</f>
        <v/>
      </c>
    </row>
    <row r="2035">
      <c r="A2035" s="2" t="inlineStr">
        <is>
          <t>O003070</t>
        </is>
      </c>
      <c r="B2035" s="2" t="inlineStr">
        <is>
          <t>2025-05-28</t>
        </is>
      </c>
      <c r="C2035" s="2" t="inlineStr">
        <is>
          <t>C0319</t>
        </is>
      </c>
      <c r="D2035" s="2" t="inlineStr">
        <is>
          <t>P0013</t>
        </is>
      </c>
      <c r="E2035" s="2" t="inlineStr">
        <is>
          <t>Storage Organizer</t>
        </is>
      </c>
      <c r="F2035" s="2" t="inlineStr">
        <is>
          <t>Home &amp; Kitchen</t>
        </is>
      </c>
      <c r="G2035" s="2" t="inlineStr">
        <is>
          <t>North</t>
        </is>
      </c>
      <c r="H2035" s="2" t="inlineStr">
        <is>
          <t>Delhi</t>
        </is>
      </c>
      <c r="I2035" s="2" t="inlineStr">
        <is>
          <t>New Delhi</t>
        </is>
      </c>
      <c r="J2035" s="2" t="inlineStr">
        <is>
          <t>Store</t>
        </is>
      </c>
      <c r="K2035" s="2" t="n">
        <v>1</v>
      </c>
      <c r="L2035" s="3" t="n">
        <v>582.78</v>
      </c>
      <c r="M2035" s="4" t="n">
        <v>0.1</v>
      </c>
      <c r="N2035" s="3" t="n">
        <v>357.67</v>
      </c>
      <c r="O2035" s="3">
        <f>K2035*L2035*(1-M2035)</f>
        <v/>
      </c>
      <c r="P2035" s="3">
        <f>O2035-N2035</f>
        <v/>
      </c>
      <c r="Q2035" s="5">
        <f>IFERROR(P2035/O2035,0)</f>
        <v/>
      </c>
      <c r="R2035" s="2">
        <f>TEXT(DATEVALUE(B2035),"mmm")</f>
        <v/>
      </c>
      <c r="S2035" s="2">
        <f>TEXT(DATEVALUE(B2035),"yyyy-mm")</f>
        <v/>
      </c>
    </row>
    <row r="2036">
      <c r="A2036" s="2" t="inlineStr">
        <is>
          <t>O002869</t>
        </is>
      </c>
      <c r="B2036" s="2" t="inlineStr">
        <is>
          <t>2025-05-28</t>
        </is>
      </c>
      <c r="C2036" s="2" t="inlineStr">
        <is>
          <t>C0694</t>
        </is>
      </c>
      <c r="D2036" s="2" t="inlineStr">
        <is>
          <t>P0016</t>
        </is>
      </c>
      <c r="E2036" s="2" t="inlineStr">
        <is>
          <t>Casual Shirt</t>
        </is>
      </c>
      <c r="F2036" s="2" t="inlineStr">
        <is>
          <t>Fashion</t>
        </is>
      </c>
      <c r="G2036" s="2" t="inlineStr">
        <is>
          <t>South</t>
        </is>
      </c>
      <c r="H2036" s="2" t="inlineStr">
        <is>
          <t>Kerala</t>
        </is>
      </c>
      <c r="I2036" s="2" t="inlineStr">
        <is>
          <t>Kochi</t>
        </is>
      </c>
      <c r="J2036" s="2" t="inlineStr">
        <is>
          <t>Online</t>
        </is>
      </c>
      <c r="K2036" s="2" t="n">
        <v>2</v>
      </c>
      <c r="L2036" s="3" t="n">
        <v>1340.92</v>
      </c>
      <c r="M2036" s="4" t="n">
        <v>0.1</v>
      </c>
      <c r="N2036" s="3" t="n">
        <v>1778.06</v>
      </c>
      <c r="O2036" s="3">
        <f>K2036*L2036*(1-M2036)</f>
        <v/>
      </c>
      <c r="P2036" s="3">
        <f>O2036-N2036</f>
        <v/>
      </c>
      <c r="Q2036" s="5">
        <f>IFERROR(P2036/O2036,0)</f>
        <v/>
      </c>
      <c r="R2036" s="2">
        <f>TEXT(DATEVALUE(B2036),"mmm")</f>
        <v/>
      </c>
      <c r="S2036" s="2">
        <f>TEXT(DATEVALUE(B2036),"yyyy-mm")</f>
        <v/>
      </c>
    </row>
    <row r="2037">
      <c r="A2037" s="2" t="inlineStr">
        <is>
          <t>O002553</t>
        </is>
      </c>
      <c r="B2037" s="2" t="inlineStr">
        <is>
          <t>2025-05-28</t>
        </is>
      </c>
      <c r="C2037" s="2" t="inlineStr">
        <is>
          <t>C0585</t>
        </is>
      </c>
      <c r="D2037" s="2" t="inlineStr">
        <is>
          <t>P0007</t>
        </is>
      </c>
      <c r="E2037" s="2" t="inlineStr">
        <is>
          <t>Wireless Mouse</t>
        </is>
      </c>
      <c r="F2037" s="2" t="inlineStr">
        <is>
          <t>Electronics</t>
        </is>
      </c>
      <c r="G2037" s="2" t="inlineStr">
        <is>
          <t>North</t>
        </is>
      </c>
      <c r="H2037" s="2" t="inlineStr">
        <is>
          <t>Punjab</t>
        </is>
      </c>
      <c r="I2037" s="2" t="inlineStr">
        <is>
          <t>Amritsar</t>
        </is>
      </c>
      <c r="J2037" s="2" t="inlineStr">
        <is>
          <t>Store</t>
        </is>
      </c>
      <c r="K2037" s="2" t="n">
        <v>1</v>
      </c>
      <c r="L2037" s="3" t="n">
        <v>968.37</v>
      </c>
      <c r="M2037" s="4" t="n">
        <v>0</v>
      </c>
      <c r="N2037" s="3" t="n">
        <v>614.86</v>
      </c>
      <c r="O2037" s="3">
        <f>K2037*L2037*(1-M2037)</f>
        <v/>
      </c>
      <c r="P2037" s="3">
        <f>O2037-N2037</f>
        <v/>
      </c>
      <c r="Q2037" s="5">
        <f>IFERROR(P2037/O2037,0)</f>
        <v/>
      </c>
      <c r="R2037" s="2">
        <f>TEXT(DATEVALUE(B2037),"mmm")</f>
        <v/>
      </c>
      <c r="S2037" s="2">
        <f>TEXT(DATEVALUE(B2037),"yyyy-mm")</f>
        <v/>
      </c>
    </row>
    <row r="2038">
      <c r="A2038" s="2" t="inlineStr">
        <is>
          <t>O002777</t>
        </is>
      </c>
      <c r="B2038" s="2" t="inlineStr">
        <is>
          <t>2025-05-28</t>
        </is>
      </c>
      <c r="C2038" s="2" t="inlineStr">
        <is>
          <t>C0765</t>
        </is>
      </c>
      <c r="D2038" s="2" t="inlineStr">
        <is>
          <t>P0003</t>
        </is>
      </c>
      <c r="E2038" s="2" t="inlineStr">
        <is>
          <t>Smartwatch</t>
        </is>
      </c>
      <c r="F2038" s="2" t="inlineStr">
        <is>
          <t>Electronics</t>
        </is>
      </c>
      <c r="G2038" s="2" t="inlineStr">
        <is>
          <t>East</t>
        </is>
      </c>
      <c r="H2038" s="2" t="inlineStr">
        <is>
          <t>West Bengal</t>
        </is>
      </c>
      <c r="I2038" s="2" t="inlineStr">
        <is>
          <t>Kolkata</t>
        </is>
      </c>
      <c r="J2038" s="2" t="inlineStr">
        <is>
          <t>Store</t>
        </is>
      </c>
      <c r="K2038" s="2" t="n">
        <v>1</v>
      </c>
      <c r="L2038" s="3" t="n">
        <v>2259.73</v>
      </c>
      <c r="M2038" s="4" t="n">
        <v>0.1</v>
      </c>
      <c r="N2038" s="3" t="n">
        <v>1223.16</v>
      </c>
      <c r="O2038" s="3">
        <f>K2038*L2038*(1-M2038)</f>
        <v/>
      </c>
      <c r="P2038" s="3">
        <f>O2038-N2038</f>
        <v/>
      </c>
      <c r="Q2038" s="5">
        <f>IFERROR(P2038/O2038,0)</f>
        <v/>
      </c>
      <c r="R2038" s="2">
        <f>TEXT(DATEVALUE(B2038),"mmm")</f>
        <v/>
      </c>
      <c r="S2038" s="2">
        <f>TEXT(DATEVALUE(B2038),"yyyy-mm")</f>
        <v/>
      </c>
    </row>
    <row r="2039">
      <c r="A2039" s="2" t="inlineStr">
        <is>
          <t>O001549</t>
        </is>
      </c>
      <c r="B2039" s="2" t="inlineStr">
        <is>
          <t>2025-05-28</t>
        </is>
      </c>
      <c r="C2039" s="2" t="inlineStr">
        <is>
          <t>C0076</t>
        </is>
      </c>
      <c r="D2039" s="2" t="inlineStr">
        <is>
          <t>P0007</t>
        </is>
      </c>
      <c r="E2039" s="2" t="inlineStr">
        <is>
          <t>Wireless Mouse</t>
        </is>
      </c>
      <c r="F2039" s="2" t="inlineStr">
        <is>
          <t>Electronics</t>
        </is>
      </c>
      <c r="G2039" s="2" t="inlineStr">
        <is>
          <t>West</t>
        </is>
      </c>
      <c r="H2039" s="2" t="inlineStr">
        <is>
          <t>Goa</t>
        </is>
      </c>
      <c r="I2039" s="2" t="inlineStr">
        <is>
          <t>Margao</t>
        </is>
      </c>
      <c r="J2039" s="2" t="inlineStr">
        <is>
          <t>Store</t>
        </is>
      </c>
      <c r="K2039" s="2" t="n">
        <v>1</v>
      </c>
      <c r="L2039" s="3" t="n">
        <v>1000.25</v>
      </c>
      <c r="M2039" s="4" t="n">
        <v>0.1</v>
      </c>
      <c r="N2039" s="3" t="n">
        <v>627.3099999999999</v>
      </c>
      <c r="O2039" s="3">
        <f>K2039*L2039*(1-M2039)</f>
        <v/>
      </c>
      <c r="P2039" s="3">
        <f>O2039-N2039</f>
        <v/>
      </c>
      <c r="Q2039" s="5">
        <f>IFERROR(P2039/O2039,0)</f>
        <v/>
      </c>
      <c r="R2039" s="2">
        <f>TEXT(DATEVALUE(B2039),"mmm")</f>
        <v/>
      </c>
      <c r="S2039" s="2">
        <f>TEXT(DATEVALUE(B2039),"yyyy-mm")</f>
        <v/>
      </c>
    </row>
    <row r="2040">
      <c r="A2040" s="2" t="inlineStr">
        <is>
          <t>O001399</t>
        </is>
      </c>
      <c r="B2040" s="2" t="inlineStr">
        <is>
          <t>2025-05-28</t>
        </is>
      </c>
      <c r="C2040" s="2" t="inlineStr">
        <is>
          <t>C0636</t>
        </is>
      </c>
      <c r="D2040" s="2" t="inlineStr">
        <is>
          <t>P0021</t>
        </is>
      </c>
      <c r="E2040" s="2" t="inlineStr">
        <is>
          <t>Wallet</t>
        </is>
      </c>
      <c r="F2040" s="2" t="inlineStr">
        <is>
          <t>Fashion</t>
        </is>
      </c>
      <c r="G2040" s="2" t="inlineStr">
        <is>
          <t>South</t>
        </is>
      </c>
      <c r="H2040" s="2" t="inlineStr">
        <is>
          <t>Telangana</t>
        </is>
      </c>
      <c r="I2040" s="2" t="inlineStr">
        <is>
          <t>Warangal</t>
        </is>
      </c>
      <c r="J2040" s="2" t="inlineStr">
        <is>
          <t>Store</t>
        </is>
      </c>
      <c r="K2040" s="2" t="n">
        <v>1</v>
      </c>
      <c r="L2040" s="3" t="n">
        <v>2019.75</v>
      </c>
      <c r="M2040" s="4" t="n">
        <v>0.1</v>
      </c>
      <c r="N2040" s="3" t="n">
        <v>1182.71</v>
      </c>
      <c r="O2040" s="3">
        <f>K2040*L2040*(1-M2040)</f>
        <v/>
      </c>
      <c r="P2040" s="3">
        <f>O2040-N2040</f>
        <v/>
      </c>
      <c r="Q2040" s="5">
        <f>IFERROR(P2040/O2040,0)</f>
        <v/>
      </c>
      <c r="R2040" s="2">
        <f>TEXT(DATEVALUE(B2040),"mmm")</f>
        <v/>
      </c>
      <c r="S2040" s="2">
        <f>TEXT(DATEVALUE(B2040),"yyyy-mm")</f>
        <v/>
      </c>
    </row>
    <row r="2041">
      <c r="A2041" s="2" t="inlineStr">
        <is>
          <t>O001207</t>
        </is>
      </c>
      <c r="B2041" s="2" t="inlineStr">
        <is>
          <t>2025-05-28</t>
        </is>
      </c>
      <c r="C2041" s="2" t="inlineStr">
        <is>
          <t>C0568</t>
        </is>
      </c>
      <c r="D2041" s="2" t="inlineStr">
        <is>
          <t>P0024</t>
        </is>
      </c>
      <c r="E2041" s="2" t="inlineStr">
        <is>
          <t>Hair Dryer</t>
        </is>
      </c>
      <c r="F2041" s="2" t="inlineStr">
        <is>
          <t>Beauty</t>
        </is>
      </c>
      <c r="G2041" s="2" t="inlineStr">
        <is>
          <t>West</t>
        </is>
      </c>
      <c r="H2041" s="2" t="inlineStr">
        <is>
          <t>Goa</t>
        </is>
      </c>
      <c r="I2041" s="2" t="inlineStr">
        <is>
          <t>Panaji</t>
        </is>
      </c>
      <c r="J2041" s="2" t="inlineStr">
        <is>
          <t>Store</t>
        </is>
      </c>
      <c r="K2041" s="2" t="n">
        <v>5</v>
      </c>
      <c r="L2041" s="3" t="n">
        <v>1003.1</v>
      </c>
      <c r="M2041" s="4" t="n">
        <v>0.05</v>
      </c>
      <c r="N2041" s="3" t="n">
        <v>3666.76</v>
      </c>
      <c r="O2041" s="3">
        <f>K2041*L2041*(1-M2041)</f>
        <v/>
      </c>
      <c r="P2041" s="3">
        <f>O2041-N2041</f>
        <v/>
      </c>
      <c r="Q2041" s="5">
        <f>IFERROR(P2041/O2041,0)</f>
        <v/>
      </c>
      <c r="R2041" s="2">
        <f>TEXT(DATEVALUE(B2041),"mmm")</f>
        <v/>
      </c>
      <c r="S2041" s="2">
        <f>TEXT(DATEVALUE(B2041),"yyyy-mm")</f>
        <v/>
      </c>
    </row>
    <row r="2042">
      <c r="A2042" s="2" t="inlineStr">
        <is>
          <t>O001122</t>
        </is>
      </c>
      <c r="B2042" s="2" t="inlineStr">
        <is>
          <t>2025-05-28</t>
        </is>
      </c>
      <c r="C2042" s="2" t="inlineStr">
        <is>
          <t>C0247</t>
        </is>
      </c>
      <c r="D2042" s="2" t="inlineStr">
        <is>
          <t>P0004</t>
        </is>
      </c>
      <c r="E2042" s="2" t="inlineStr">
        <is>
          <t>USB-C Hub</t>
        </is>
      </c>
      <c r="F2042" s="2" t="inlineStr">
        <is>
          <t>Electronics</t>
        </is>
      </c>
      <c r="G2042" s="2" t="inlineStr">
        <is>
          <t>South</t>
        </is>
      </c>
      <c r="H2042" s="2" t="inlineStr">
        <is>
          <t>Tamil Nadu</t>
        </is>
      </c>
      <c r="I2042" s="2" t="inlineStr">
        <is>
          <t>Coimbatore</t>
        </is>
      </c>
      <c r="J2042" s="2" t="inlineStr">
        <is>
          <t>Online</t>
        </is>
      </c>
      <c r="K2042" s="2" t="n">
        <v>4</v>
      </c>
      <c r="L2042" s="3" t="n">
        <v>1225.64</v>
      </c>
      <c r="M2042" s="4" t="n">
        <v>0.1</v>
      </c>
      <c r="N2042" s="3" t="n">
        <v>3608.44</v>
      </c>
      <c r="O2042" s="3">
        <f>K2042*L2042*(1-M2042)</f>
        <v/>
      </c>
      <c r="P2042" s="3">
        <f>O2042-N2042</f>
        <v/>
      </c>
      <c r="Q2042" s="5">
        <f>IFERROR(P2042/O2042,0)</f>
        <v/>
      </c>
      <c r="R2042" s="2">
        <f>TEXT(DATEVALUE(B2042),"mmm")</f>
        <v/>
      </c>
      <c r="S2042" s="2">
        <f>TEXT(DATEVALUE(B2042),"yyyy-mm")</f>
        <v/>
      </c>
    </row>
    <row r="2043">
      <c r="A2043" s="2" t="inlineStr">
        <is>
          <t>O000646</t>
        </is>
      </c>
      <c r="B2043" s="2" t="inlineStr">
        <is>
          <t>2025-05-28</t>
        </is>
      </c>
      <c r="C2043" s="2" t="inlineStr">
        <is>
          <t>C0459</t>
        </is>
      </c>
      <c r="D2043" s="2" t="inlineStr">
        <is>
          <t>P0004</t>
        </is>
      </c>
      <c r="E2043" s="2" t="inlineStr">
        <is>
          <t>USB-C Hub</t>
        </is>
      </c>
      <c r="F2043" s="2" t="inlineStr">
        <is>
          <t>Electronics</t>
        </is>
      </c>
      <c r="G2043" s="2" t="inlineStr">
        <is>
          <t>North</t>
        </is>
      </c>
      <c r="H2043" s="2" t="inlineStr">
        <is>
          <t>Delhi</t>
        </is>
      </c>
      <c r="I2043" s="2" t="inlineStr">
        <is>
          <t>New Delhi</t>
        </is>
      </c>
      <c r="J2043" s="2" t="inlineStr">
        <is>
          <t>Store</t>
        </is>
      </c>
      <c r="K2043" s="2" t="n">
        <v>1</v>
      </c>
      <c r="L2043" s="3" t="n">
        <v>1215.91</v>
      </c>
      <c r="M2043" s="4" t="n">
        <v>0.1</v>
      </c>
      <c r="N2043" s="3" t="n">
        <v>945.89</v>
      </c>
      <c r="O2043" s="3">
        <f>K2043*L2043*(1-M2043)</f>
        <v/>
      </c>
      <c r="P2043" s="3">
        <f>O2043-N2043</f>
        <v/>
      </c>
      <c r="Q2043" s="5">
        <f>IFERROR(P2043/O2043,0)</f>
        <v/>
      </c>
      <c r="R2043" s="2">
        <f>TEXT(DATEVALUE(B2043),"mmm")</f>
        <v/>
      </c>
      <c r="S2043" s="2">
        <f>TEXT(DATEVALUE(B2043),"yyyy-mm")</f>
        <v/>
      </c>
    </row>
    <row r="2044">
      <c r="A2044" s="2" t="inlineStr">
        <is>
          <t>O000245</t>
        </is>
      </c>
      <c r="B2044" s="2" t="inlineStr">
        <is>
          <t>2025-05-28</t>
        </is>
      </c>
      <c r="C2044" s="2" t="inlineStr">
        <is>
          <t>C0434</t>
        </is>
      </c>
      <c r="D2044" s="2" t="inlineStr">
        <is>
          <t>P0023</t>
        </is>
      </c>
      <c r="E2044" s="2" t="inlineStr">
        <is>
          <t>Skin Care Kit</t>
        </is>
      </c>
      <c r="F2044" s="2" t="inlineStr">
        <is>
          <t>Beauty</t>
        </is>
      </c>
      <c r="G2044" s="2" t="inlineStr">
        <is>
          <t>West</t>
        </is>
      </c>
      <c r="H2044" s="2" t="inlineStr">
        <is>
          <t>Goa</t>
        </is>
      </c>
      <c r="I2044" s="2" t="inlineStr">
        <is>
          <t>Margao</t>
        </is>
      </c>
      <c r="J2044" s="2" t="inlineStr">
        <is>
          <t>Store</t>
        </is>
      </c>
      <c r="K2044" s="2" t="n">
        <v>1</v>
      </c>
      <c r="L2044" s="3" t="n">
        <v>1388.63</v>
      </c>
      <c r="M2044" s="4" t="n">
        <v>0</v>
      </c>
      <c r="N2044" s="3" t="n">
        <v>879.4</v>
      </c>
      <c r="O2044" s="3">
        <f>K2044*L2044*(1-M2044)</f>
        <v/>
      </c>
      <c r="P2044" s="3">
        <f>O2044-N2044</f>
        <v/>
      </c>
      <c r="Q2044" s="5">
        <f>IFERROR(P2044/O2044,0)</f>
        <v/>
      </c>
      <c r="R2044" s="2">
        <f>TEXT(DATEVALUE(B2044),"mmm")</f>
        <v/>
      </c>
      <c r="S2044" s="2">
        <f>TEXT(DATEVALUE(B2044),"yyyy-mm")</f>
        <v/>
      </c>
    </row>
    <row r="2045">
      <c r="A2045" s="2" t="inlineStr">
        <is>
          <t>O000241</t>
        </is>
      </c>
      <c r="B2045" s="2" t="inlineStr">
        <is>
          <t>2025-05-28</t>
        </is>
      </c>
      <c r="C2045" s="2" t="inlineStr">
        <is>
          <t>C0594</t>
        </is>
      </c>
      <c r="D2045" s="2" t="inlineStr">
        <is>
          <t>P0031</t>
        </is>
      </c>
      <c r="E2045" s="2" t="inlineStr">
        <is>
          <t>Cricket Bat</t>
        </is>
      </c>
      <c r="F2045" s="2" t="inlineStr">
        <is>
          <t>Sports</t>
        </is>
      </c>
      <c r="G2045" s="2" t="inlineStr">
        <is>
          <t>South</t>
        </is>
      </c>
      <c r="H2045" s="2" t="inlineStr">
        <is>
          <t>Kerala</t>
        </is>
      </c>
      <c r="I2045" s="2" t="inlineStr">
        <is>
          <t>Kochi</t>
        </is>
      </c>
      <c r="J2045" s="2" t="inlineStr">
        <is>
          <t>Online</t>
        </is>
      </c>
      <c r="K2045" s="2" t="n">
        <v>1</v>
      </c>
      <c r="L2045" s="3" t="n">
        <v>1360.01</v>
      </c>
      <c r="M2045" s="4" t="n">
        <v>0.25</v>
      </c>
      <c r="N2045" s="3" t="n">
        <v>953</v>
      </c>
      <c r="O2045" s="3">
        <f>K2045*L2045*(1-M2045)</f>
        <v/>
      </c>
      <c r="P2045" s="3">
        <f>O2045-N2045</f>
        <v/>
      </c>
      <c r="Q2045" s="5">
        <f>IFERROR(P2045/O2045,0)</f>
        <v/>
      </c>
      <c r="R2045" s="2">
        <f>TEXT(DATEVALUE(B2045),"mmm")</f>
        <v/>
      </c>
      <c r="S2045" s="2">
        <f>TEXT(DATEVALUE(B2045),"yyyy-mm")</f>
        <v/>
      </c>
    </row>
    <row r="2046">
      <c r="A2046" s="2" t="inlineStr">
        <is>
          <t>O001819</t>
        </is>
      </c>
      <c r="B2046" s="2" t="inlineStr">
        <is>
          <t>2025-05-28</t>
        </is>
      </c>
      <c r="C2046" s="2" t="inlineStr">
        <is>
          <t>C0263</t>
        </is>
      </c>
      <c r="D2046" s="2" t="inlineStr">
        <is>
          <t>P0009</t>
        </is>
      </c>
      <c r="E2046" s="2" t="inlineStr">
        <is>
          <t>Electric Kettle</t>
        </is>
      </c>
      <c r="F2046" s="2" t="inlineStr">
        <is>
          <t>Home &amp; Kitchen</t>
        </is>
      </c>
      <c r="G2046" s="2" t="inlineStr">
        <is>
          <t>West</t>
        </is>
      </c>
      <c r="H2046" s="2" t="inlineStr">
        <is>
          <t>Gujarat</t>
        </is>
      </c>
      <c r="I2046" s="2" t="inlineStr">
        <is>
          <t>Vadodara</t>
        </is>
      </c>
      <c r="J2046" s="2" t="inlineStr">
        <is>
          <t>Online</t>
        </is>
      </c>
      <c r="K2046" s="2" t="n">
        <v>1</v>
      </c>
      <c r="L2046" s="3" t="n">
        <v>2129.7</v>
      </c>
      <c r="M2046" s="4" t="n">
        <v>0.15</v>
      </c>
      <c r="N2046" s="3" t="n">
        <v>1163.1</v>
      </c>
      <c r="O2046" s="3">
        <f>K2046*L2046*(1-M2046)</f>
        <v/>
      </c>
      <c r="P2046" s="3">
        <f>O2046-N2046</f>
        <v/>
      </c>
      <c r="Q2046" s="5">
        <f>IFERROR(P2046/O2046,0)</f>
        <v/>
      </c>
      <c r="R2046" s="2">
        <f>TEXT(DATEVALUE(B2046),"mmm")</f>
        <v/>
      </c>
      <c r="S2046" s="2">
        <f>TEXT(DATEVALUE(B2046),"yyyy-mm")</f>
        <v/>
      </c>
    </row>
    <row r="2047">
      <c r="A2047" s="2" t="inlineStr">
        <is>
          <t>O002625</t>
        </is>
      </c>
      <c r="B2047" s="2" t="inlineStr">
        <is>
          <t>2025-05-29</t>
        </is>
      </c>
      <c r="C2047" s="2" t="inlineStr">
        <is>
          <t>C0684</t>
        </is>
      </c>
      <c r="D2047" s="2" t="inlineStr">
        <is>
          <t>P0011</t>
        </is>
      </c>
      <c r="E2047" s="2" t="inlineStr">
        <is>
          <t>Cookware Set</t>
        </is>
      </c>
      <c r="F2047" s="2" t="inlineStr">
        <is>
          <t>Home &amp; Kitchen</t>
        </is>
      </c>
      <c r="G2047" s="2" t="inlineStr">
        <is>
          <t>West</t>
        </is>
      </c>
      <c r="H2047" s="2" t="inlineStr">
        <is>
          <t>Goa</t>
        </is>
      </c>
      <c r="I2047" s="2" t="inlineStr">
        <is>
          <t>Panaji</t>
        </is>
      </c>
      <c r="J2047" s="2" t="inlineStr">
        <is>
          <t>Store</t>
        </is>
      </c>
      <c r="K2047" s="2" t="n">
        <v>1</v>
      </c>
      <c r="L2047" s="3" t="n">
        <v>707.1900000000001</v>
      </c>
      <c r="M2047" s="4" t="n">
        <v>0.25</v>
      </c>
      <c r="N2047" s="3" t="n">
        <v>468.19</v>
      </c>
      <c r="O2047" s="3">
        <f>K2047*L2047*(1-M2047)</f>
        <v/>
      </c>
      <c r="P2047" s="3">
        <f>O2047-N2047</f>
        <v/>
      </c>
      <c r="Q2047" s="5">
        <f>IFERROR(P2047/O2047,0)</f>
        <v/>
      </c>
      <c r="R2047" s="2">
        <f>TEXT(DATEVALUE(B2047),"mmm")</f>
        <v/>
      </c>
      <c r="S2047" s="2">
        <f>TEXT(DATEVALUE(B2047),"yyyy-mm")</f>
        <v/>
      </c>
    </row>
    <row r="2048">
      <c r="A2048" s="2" t="inlineStr">
        <is>
          <t>O004874</t>
        </is>
      </c>
      <c r="B2048" s="2" t="inlineStr">
        <is>
          <t>2025-05-29</t>
        </is>
      </c>
      <c r="C2048" s="2" t="inlineStr">
        <is>
          <t>C0389</t>
        </is>
      </c>
      <c r="D2048" s="2" t="inlineStr">
        <is>
          <t>P0027</t>
        </is>
      </c>
      <c r="E2048" s="2" t="inlineStr">
        <is>
          <t>Moisturizer</t>
        </is>
      </c>
      <c r="F2048" s="2" t="inlineStr">
        <is>
          <t>Beauty</t>
        </is>
      </c>
      <c r="G2048" s="2" t="inlineStr">
        <is>
          <t>West</t>
        </is>
      </c>
      <c r="H2048" s="2" t="inlineStr">
        <is>
          <t>Goa</t>
        </is>
      </c>
      <c r="I2048" s="2" t="inlineStr">
        <is>
          <t>Panaji</t>
        </is>
      </c>
      <c r="J2048" s="2" t="inlineStr">
        <is>
          <t>Online</t>
        </is>
      </c>
      <c r="K2048" s="2" t="n">
        <v>1</v>
      </c>
      <c r="L2048" s="3" t="n">
        <v>956.45</v>
      </c>
      <c r="M2048" s="4" t="n">
        <v>0.25</v>
      </c>
      <c r="N2048" s="3" t="n">
        <v>703.17</v>
      </c>
      <c r="O2048" s="3">
        <f>K2048*L2048*(1-M2048)</f>
        <v/>
      </c>
      <c r="P2048" s="3">
        <f>O2048-N2048</f>
        <v/>
      </c>
      <c r="Q2048" s="5">
        <f>IFERROR(P2048/O2048,0)</f>
        <v/>
      </c>
      <c r="R2048" s="2">
        <f>TEXT(DATEVALUE(B2048),"mmm")</f>
        <v/>
      </c>
      <c r="S2048" s="2">
        <f>TEXT(DATEVALUE(B2048),"yyyy-mm")</f>
        <v/>
      </c>
    </row>
    <row r="2049">
      <c r="A2049" s="2" t="inlineStr">
        <is>
          <t>O004070</t>
        </is>
      </c>
      <c r="B2049" s="2" t="inlineStr">
        <is>
          <t>2025-05-29</t>
        </is>
      </c>
      <c r="C2049" s="2" t="inlineStr">
        <is>
          <t>C0610</t>
        </is>
      </c>
      <c r="D2049" s="2" t="inlineStr">
        <is>
          <t>P0032</t>
        </is>
      </c>
      <c r="E2049" s="2" t="inlineStr">
        <is>
          <t>Football</t>
        </is>
      </c>
      <c r="F2049" s="2" t="inlineStr">
        <is>
          <t>Sports</t>
        </is>
      </c>
      <c r="G2049" s="2" t="inlineStr">
        <is>
          <t>West</t>
        </is>
      </c>
      <c r="H2049" s="2" t="inlineStr">
        <is>
          <t>Maharashtra</t>
        </is>
      </c>
      <c r="I2049" s="2" t="inlineStr">
        <is>
          <t>Thane</t>
        </is>
      </c>
      <c r="J2049" s="2" t="inlineStr">
        <is>
          <t>Online</t>
        </is>
      </c>
      <c r="K2049" s="2" t="n">
        <v>2</v>
      </c>
      <c r="L2049" s="3" t="n">
        <v>810.24</v>
      </c>
      <c r="M2049" s="4" t="n">
        <v>0</v>
      </c>
      <c r="N2049" s="3" t="n">
        <v>1095.45</v>
      </c>
      <c r="O2049" s="3">
        <f>K2049*L2049*(1-M2049)</f>
        <v/>
      </c>
      <c r="P2049" s="3">
        <f>O2049-N2049</f>
        <v/>
      </c>
      <c r="Q2049" s="5">
        <f>IFERROR(P2049/O2049,0)</f>
        <v/>
      </c>
      <c r="R2049" s="2">
        <f>TEXT(DATEVALUE(B2049),"mmm")</f>
        <v/>
      </c>
      <c r="S2049" s="2">
        <f>TEXT(DATEVALUE(B2049),"yyyy-mm")</f>
        <v/>
      </c>
    </row>
    <row r="2050">
      <c r="A2050" s="2" t="inlineStr">
        <is>
          <t>O003773</t>
        </is>
      </c>
      <c r="B2050" s="2" t="inlineStr">
        <is>
          <t>2025-05-29</t>
        </is>
      </c>
      <c r="C2050" s="2" t="inlineStr">
        <is>
          <t>C0551</t>
        </is>
      </c>
      <c r="D2050" s="2" t="inlineStr">
        <is>
          <t>P0004</t>
        </is>
      </c>
      <c r="E2050" s="2" t="inlineStr">
        <is>
          <t>USB-C Hub</t>
        </is>
      </c>
      <c r="F2050" s="2" t="inlineStr">
        <is>
          <t>Electronics</t>
        </is>
      </c>
      <c r="G2050" s="2" t="inlineStr">
        <is>
          <t>South</t>
        </is>
      </c>
      <c r="H2050" s="2" t="inlineStr">
        <is>
          <t>Tamil Nadu</t>
        </is>
      </c>
      <c r="I2050" s="2" t="inlineStr">
        <is>
          <t>Chennai</t>
        </is>
      </c>
      <c r="J2050" s="2" t="inlineStr">
        <is>
          <t>Online</t>
        </is>
      </c>
      <c r="K2050" s="2" t="n">
        <v>1</v>
      </c>
      <c r="L2050" s="3" t="n">
        <v>1282.62</v>
      </c>
      <c r="M2050" s="4" t="n">
        <v>0.1</v>
      </c>
      <c r="N2050" s="3" t="n">
        <v>906.29</v>
      </c>
      <c r="O2050" s="3">
        <f>K2050*L2050*(1-M2050)</f>
        <v/>
      </c>
      <c r="P2050" s="3">
        <f>O2050-N2050</f>
        <v/>
      </c>
      <c r="Q2050" s="5">
        <f>IFERROR(P2050/O2050,0)</f>
        <v/>
      </c>
      <c r="R2050" s="2">
        <f>TEXT(DATEVALUE(B2050),"mmm")</f>
        <v/>
      </c>
      <c r="S2050" s="2">
        <f>TEXT(DATEVALUE(B2050),"yyyy-mm")</f>
        <v/>
      </c>
    </row>
    <row r="2051">
      <c r="A2051" s="2" t="inlineStr">
        <is>
          <t>O003171</t>
        </is>
      </c>
      <c r="B2051" s="2" t="inlineStr">
        <is>
          <t>2025-05-29</t>
        </is>
      </c>
      <c r="C2051" s="2" t="inlineStr">
        <is>
          <t>C0599</t>
        </is>
      </c>
      <c r="D2051" s="2" t="inlineStr">
        <is>
          <t>P0008</t>
        </is>
      </c>
      <c r="E2051" s="2" t="inlineStr">
        <is>
          <t>Air Fryer</t>
        </is>
      </c>
      <c r="F2051" s="2" t="inlineStr">
        <is>
          <t>Home &amp; Kitchen</t>
        </is>
      </c>
      <c r="G2051" s="2" t="inlineStr">
        <is>
          <t>North</t>
        </is>
      </c>
      <c r="H2051" s="2" t="inlineStr">
        <is>
          <t>Delhi</t>
        </is>
      </c>
      <c r="I2051" s="2" t="inlineStr">
        <is>
          <t>New Delhi</t>
        </is>
      </c>
      <c r="J2051" s="2" t="inlineStr">
        <is>
          <t>Online</t>
        </is>
      </c>
      <c r="K2051" s="2" t="n">
        <v>3</v>
      </c>
      <c r="L2051" s="3" t="n">
        <v>1076.9</v>
      </c>
      <c r="M2051" s="4" t="n">
        <v>0.1</v>
      </c>
      <c r="N2051" s="3" t="n">
        <v>2006.75</v>
      </c>
      <c r="O2051" s="3">
        <f>K2051*L2051*(1-M2051)</f>
        <v/>
      </c>
      <c r="P2051" s="3">
        <f>O2051-N2051</f>
        <v/>
      </c>
      <c r="Q2051" s="5">
        <f>IFERROR(P2051/O2051,0)</f>
        <v/>
      </c>
      <c r="R2051" s="2">
        <f>TEXT(DATEVALUE(B2051),"mmm")</f>
        <v/>
      </c>
      <c r="S2051" s="2">
        <f>TEXT(DATEVALUE(B2051),"yyyy-mm")</f>
        <v/>
      </c>
    </row>
    <row r="2052">
      <c r="A2052" s="2" t="inlineStr">
        <is>
          <t>O002626</t>
        </is>
      </c>
      <c r="B2052" s="2" t="inlineStr">
        <is>
          <t>2025-05-29</t>
        </is>
      </c>
      <c r="C2052" s="2" t="inlineStr">
        <is>
          <t>C0049</t>
        </is>
      </c>
      <c r="D2052" s="2" t="inlineStr">
        <is>
          <t>P0031</t>
        </is>
      </c>
      <c r="E2052" s="2" t="inlineStr">
        <is>
          <t>Cricket Bat</t>
        </is>
      </c>
      <c r="F2052" s="2" t="inlineStr">
        <is>
          <t>Sports</t>
        </is>
      </c>
      <c r="G2052" s="2" t="inlineStr">
        <is>
          <t>West</t>
        </is>
      </c>
      <c r="H2052" s="2" t="inlineStr">
        <is>
          <t>Gujarat</t>
        </is>
      </c>
      <c r="I2052" s="2" t="inlineStr">
        <is>
          <t>Ahmedabad</t>
        </is>
      </c>
      <c r="J2052" s="2" t="inlineStr">
        <is>
          <t>Online</t>
        </is>
      </c>
      <c r="K2052" s="2" t="n">
        <v>1</v>
      </c>
      <c r="L2052" s="3" t="n">
        <v>1343.07</v>
      </c>
      <c r="M2052" s="4" t="n">
        <v>0.2</v>
      </c>
      <c r="N2052" s="3" t="n">
        <v>937.5700000000001</v>
      </c>
      <c r="O2052" s="3">
        <f>K2052*L2052*(1-M2052)</f>
        <v/>
      </c>
      <c r="P2052" s="3">
        <f>O2052-N2052</f>
        <v/>
      </c>
      <c r="Q2052" s="5">
        <f>IFERROR(P2052/O2052,0)</f>
        <v/>
      </c>
      <c r="R2052" s="2">
        <f>TEXT(DATEVALUE(B2052),"mmm")</f>
        <v/>
      </c>
      <c r="S2052" s="2">
        <f>TEXT(DATEVALUE(B2052),"yyyy-mm")</f>
        <v/>
      </c>
    </row>
    <row r="2053">
      <c r="A2053" s="2" t="inlineStr">
        <is>
          <t>O002481</t>
        </is>
      </c>
      <c r="B2053" s="2" t="inlineStr">
        <is>
          <t>2025-05-29</t>
        </is>
      </c>
      <c r="C2053" s="2" t="inlineStr">
        <is>
          <t>C0456</t>
        </is>
      </c>
      <c r="D2053" s="2" t="inlineStr">
        <is>
          <t>P0016</t>
        </is>
      </c>
      <c r="E2053" s="2" t="inlineStr">
        <is>
          <t>Casual Shirt</t>
        </is>
      </c>
      <c r="F2053" s="2" t="inlineStr">
        <is>
          <t>Fashion</t>
        </is>
      </c>
      <c r="G2053" s="2" t="inlineStr">
        <is>
          <t>South</t>
        </is>
      </c>
      <c r="H2053" s="2" t="inlineStr">
        <is>
          <t>Kerala</t>
        </is>
      </c>
      <c r="I2053" s="2" t="inlineStr">
        <is>
          <t>Thiruvananthapuram</t>
        </is>
      </c>
      <c r="J2053" s="2" t="inlineStr">
        <is>
          <t>Online</t>
        </is>
      </c>
      <c r="K2053" s="2" t="n">
        <v>1</v>
      </c>
      <c r="L2053" s="3" t="n">
        <v>1255.52</v>
      </c>
      <c r="M2053" s="4" t="n">
        <v>0.05</v>
      </c>
      <c r="N2053" s="3" t="n">
        <v>918.76</v>
      </c>
      <c r="O2053" s="3">
        <f>K2053*L2053*(1-M2053)</f>
        <v/>
      </c>
      <c r="P2053" s="3">
        <f>O2053-N2053</f>
        <v/>
      </c>
      <c r="Q2053" s="5">
        <f>IFERROR(P2053/O2053,0)</f>
        <v/>
      </c>
      <c r="R2053" s="2">
        <f>TEXT(DATEVALUE(B2053),"mmm")</f>
        <v/>
      </c>
      <c r="S2053" s="2">
        <f>TEXT(DATEVALUE(B2053),"yyyy-mm")</f>
        <v/>
      </c>
    </row>
    <row r="2054">
      <c r="A2054" s="2" t="inlineStr">
        <is>
          <t>O004157</t>
        </is>
      </c>
      <c r="B2054" s="2" t="inlineStr">
        <is>
          <t>2025-05-29</t>
        </is>
      </c>
      <c r="C2054" s="2" t="inlineStr">
        <is>
          <t>C0031</t>
        </is>
      </c>
      <c r="D2054" s="2" t="inlineStr">
        <is>
          <t>P0035</t>
        </is>
      </c>
      <c r="E2054" s="2" t="inlineStr">
        <is>
          <t>Skipping Rope</t>
        </is>
      </c>
      <c r="F2054" s="2" t="inlineStr">
        <is>
          <t>Sports</t>
        </is>
      </c>
      <c r="G2054" s="2" t="inlineStr">
        <is>
          <t>South</t>
        </is>
      </c>
      <c r="H2054" s="2" t="inlineStr">
        <is>
          <t>Kerala</t>
        </is>
      </c>
      <c r="I2054" s="2" t="inlineStr">
        <is>
          <t>Thiruvananthapuram</t>
        </is>
      </c>
      <c r="J2054" s="2" t="inlineStr">
        <is>
          <t>Online</t>
        </is>
      </c>
      <c r="K2054" s="2" t="n">
        <v>1</v>
      </c>
      <c r="L2054" s="3" t="n">
        <v>712.49</v>
      </c>
      <c r="M2054" s="4" t="n">
        <v>0.05</v>
      </c>
      <c r="N2054" s="3" t="n">
        <v>423.97</v>
      </c>
      <c r="O2054" s="3">
        <f>K2054*L2054*(1-M2054)</f>
        <v/>
      </c>
      <c r="P2054" s="3">
        <f>O2054-N2054</f>
        <v/>
      </c>
      <c r="Q2054" s="5">
        <f>IFERROR(P2054/O2054,0)</f>
        <v/>
      </c>
      <c r="R2054" s="2">
        <f>TEXT(DATEVALUE(B2054),"mmm")</f>
        <v/>
      </c>
      <c r="S2054" s="2">
        <f>TEXT(DATEVALUE(B2054),"yyyy-mm")</f>
        <v/>
      </c>
    </row>
    <row r="2055">
      <c r="A2055" s="2" t="inlineStr">
        <is>
          <t>O002338</t>
        </is>
      </c>
      <c r="B2055" s="2" t="inlineStr">
        <is>
          <t>2025-05-29</t>
        </is>
      </c>
      <c r="C2055" s="2" t="inlineStr">
        <is>
          <t>C0085</t>
        </is>
      </c>
      <c r="D2055" s="2" t="inlineStr">
        <is>
          <t>P0003</t>
        </is>
      </c>
      <c r="E2055" s="2" t="inlineStr">
        <is>
          <t>Smartwatch</t>
        </is>
      </c>
      <c r="F2055" s="2" t="inlineStr">
        <is>
          <t>Electronics</t>
        </is>
      </c>
      <c r="G2055" s="2" t="inlineStr">
        <is>
          <t>North</t>
        </is>
      </c>
      <c r="H2055" s="2" t="inlineStr">
        <is>
          <t>Punjab</t>
        </is>
      </c>
      <c r="I2055" s="2" t="inlineStr">
        <is>
          <t>Amritsar</t>
        </is>
      </c>
      <c r="J2055" s="2" t="inlineStr">
        <is>
          <t>Online</t>
        </is>
      </c>
      <c r="K2055" s="2" t="n">
        <v>2</v>
      </c>
      <c r="L2055" s="3" t="n">
        <v>2370.24</v>
      </c>
      <c r="M2055" s="4" t="n">
        <v>0.25</v>
      </c>
      <c r="N2055" s="3" t="n">
        <v>2372.5</v>
      </c>
      <c r="O2055" s="3">
        <f>K2055*L2055*(1-M2055)</f>
        <v/>
      </c>
      <c r="P2055" s="3">
        <f>O2055-N2055</f>
        <v/>
      </c>
      <c r="Q2055" s="5">
        <f>IFERROR(P2055/O2055,0)</f>
        <v/>
      </c>
      <c r="R2055" s="2">
        <f>TEXT(DATEVALUE(B2055),"mmm")</f>
        <v/>
      </c>
      <c r="S2055" s="2">
        <f>TEXT(DATEVALUE(B2055),"yyyy-mm")</f>
        <v/>
      </c>
    </row>
    <row r="2056">
      <c r="A2056" s="2" t="inlineStr">
        <is>
          <t>O002442</t>
        </is>
      </c>
      <c r="B2056" s="2" t="inlineStr">
        <is>
          <t>2025-05-29</t>
        </is>
      </c>
      <c r="C2056" s="2" t="inlineStr">
        <is>
          <t>C0445</t>
        </is>
      </c>
      <c r="D2056" s="2" t="inlineStr">
        <is>
          <t>P0007</t>
        </is>
      </c>
      <c r="E2056" s="2" t="inlineStr">
        <is>
          <t>Wireless Mouse</t>
        </is>
      </c>
      <c r="F2056" s="2" t="inlineStr">
        <is>
          <t>Electronics</t>
        </is>
      </c>
      <c r="G2056" s="2" t="inlineStr">
        <is>
          <t>North</t>
        </is>
      </c>
      <c r="H2056" s="2" t="inlineStr">
        <is>
          <t>Haryana</t>
        </is>
      </c>
      <c r="I2056" s="2" t="inlineStr">
        <is>
          <t>Gurugram</t>
        </is>
      </c>
      <c r="J2056" s="2" t="inlineStr">
        <is>
          <t>Online</t>
        </is>
      </c>
      <c r="K2056" s="2" t="n">
        <v>1</v>
      </c>
      <c r="L2056" s="3" t="n">
        <v>1003.49</v>
      </c>
      <c r="M2056" s="4" t="n">
        <v>0</v>
      </c>
      <c r="N2056" s="3" t="n">
        <v>624.89</v>
      </c>
      <c r="O2056" s="3">
        <f>K2056*L2056*(1-M2056)</f>
        <v/>
      </c>
      <c r="P2056" s="3">
        <f>O2056-N2056</f>
        <v/>
      </c>
      <c r="Q2056" s="5">
        <f>IFERROR(P2056/O2056,0)</f>
        <v/>
      </c>
      <c r="R2056" s="2">
        <f>TEXT(DATEVALUE(B2056),"mmm")</f>
        <v/>
      </c>
      <c r="S2056" s="2">
        <f>TEXT(DATEVALUE(B2056),"yyyy-mm")</f>
        <v/>
      </c>
    </row>
    <row r="2057">
      <c r="A2057" s="2" t="inlineStr">
        <is>
          <t>O000663</t>
        </is>
      </c>
      <c r="B2057" s="2" t="inlineStr">
        <is>
          <t>2025-05-29</t>
        </is>
      </c>
      <c r="C2057" s="2" t="inlineStr">
        <is>
          <t>C0244</t>
        </is>
      </c>
      <c r="D2057" s="2" t="inlineStr">
        <is>
          <t>P0027</t>
        </is>
      </c>
      <c r="E2057" s="2" t="inlineStr">
        <is>
          <t>Moisturizer</t>
        </is>
      </c>
      <c r="F2057" s="2" t="inlineStr">
        <is>
          <t>Beauty</t>
        </is>
      </c>
      <c r="G2057" s="2" t="inlineStr">
        <is>
          <t>West</t>
        </is>
      </c>
      <c r="H2057" s="2" t="inlineStr">
        <is>
          <t>Goa</t>
        </is>
      </c>
      <c r="I2057" s="2" t="inlineStr">
        <is>
          <t>Panaji</t>
        </is>
      </c>
      <c r="J2057" s="2" t="inlineStr">
        <is>
          <t>Online</t>
        </is>
      </c>
      <c r="K2057" s="2" t="n">
        <v>2</v>
      </c>
      <c r="L2057" s="3" t="n">
        <v>914.29</v>
      </c>
      <c r="M2057" s="4" t="n">
        <v>0.05</v>
      </c>
      <c r="N2057" s="3" t="n">
        <v>1407.49</v>
      </c>
      <c r="O2057" s="3">
        <f>K2057*L2057*(1-M2057)</f>
        <v/>
      </c>
      <c r="P2057" s="3">
        <f>O2057-N2057</f>
        <v/>
      </c>
      <c r="Q2057" s="5">
        <f>IFERROR(P2057/O2057,0)</f>
        <v/>
      </c>
      <c r="R2057" s="2">
        <f>TEXT(DATEVALUE(B2057),"mmm")</f>
        <v/>
      </c>
      <c r="S2057" s="2">
        <f>TEXT(DATEVALUE(B2057),"yyyy-mm")</f>
        <v/>
      </c>
    </row>
    <row r="2058">
      <c r="A2058" s="2" t="inlineStr">
        <is>
          <t>O001168</t>
        </is>
      </c>
      <c r="B2058" s="2" t="inlineStr">
        <is>
          <t>2025-05-29</t>
        </is>
      </c>
      <c r="C2058" s="2" t="inlineStr">
        <is>
          <t>C0630</t>
        </is>
      </c>
      <c r="D2058" s="2" t="inlineStr">
        <is>
          <t>P0016</t>
        </is>
      </c>
      <c r="E2058" s="2" t="inlineStr">
        <is>
          <t>Casual Shirt</t>
        </is>
      </c>
      <c r="F2058" s="2" t="inlineStr">
        <is>
          <t>Fashion</t>
        </is>
      </c>
      <c r="G2058" s="2" t="inlineStr">
        <is>
          <t>South</t>
        </is>
      </c>
      <c r="H2058" s="2" t="inlineStr">
        <is>
          <t>Tamil Nadu</t>
        </is>
      </c>
      <c r="I2058" s="2" t="inlineStr">
        <is>
          <t>Coimbatore</t>
        </is>
      </c>
      <c r="J2058" s="2" t="inlineStr">
        <is>
          <t>Online</t>
        </is>
      </c>
      <c r="K2058" s="2" t="n">
        <v>1</v>
      </c>
      <c r="L2058" s="3" t="n">
        <v>1343</v>
      </c>
      <c r="M2058" s="4" t="n">
        <v>0</v>
      </c>
      <c r="N2058" s="3" t="n">
        <v>909.77</v>
      </c>
      <c r="O2058" s="3">
        <f>K2058*L2058*(1-M2058)</f>
        <v/>
      </c>
      <c r="P2058" s="3">
        <f>O2058-N2058</f>
        <v/>
      </c>
      <c r="Q2058" s="5">
        <f>IFERROR(P2058/O2058,0)</f>
        <v/>
      </c>
      <c r="R2058" s="2">
        <f>TEXT(DATEVALUE(B2058),"mmm")</f>
        <v/>
      </c>
      <c r="S2058" s="2">
        <f>TEXT(DATEVALUE(B2058),"yyyy-mm")</f>
        <v/>
      </c>
    </row>
    <row r="2059">
      <c r="A2059" s="2" t="inlineStr">
        <is>
          <t>O001377</t>
        </is>
      </c>
      <c r="B2059" s="2" t="inlineStr">
        <is>
          <t>2025-05-29</t>
        </is>
      </c>
      <c r="C2059" s="2" t="inlineStr">
        <is>
          <t>C0310</t>
        </is>
      </c>
      <c r="D2059" s="2" t="inlineStr">
        <is>
          <t>P0032</t>
        </is>
      </c>
      <c r="E2059" s="2" t="inlineStr">
        <is>
          <t>Football</t>
        </is>
      </c>
      <c r="F2059" s="2" t="inlineStr">
        <is>
          <t>Sports</t>
        </is>
      </c>
      <c r="G2059" s="2" t="inlineStr">
        <is>
          <t>East</t>
        </is>
      </c>
      <c r="H2059" s="2" t="inlineStr">
        <is>
          <t>Odisha</t>
        </is>
      </c>
      <c r="I2059" s="2" t="inlineStr">
        <is>
          <t>Cuttack</t>
        </is>
      </c>
      <c r="J2059" s="2" t="inlineStr">
        <is>
          <t>Online</t>
        </is>
      </c>
      <c r="K2059" s="2" t="n">
        <v>5</v>
      </c>
      <c r="L2059" s="3" t="n">
        <v>830.65</v>
      </c>
      <c r="M2059" s="4" t="n">
        <v>0</v>
      </c>
      <c r="N2059" s="3" t="n">
        <v>2729.39</v>
      </c>
      <c r="O2059" s="3">
        <f>K2059*L2059*(1-M2059)</f>
        <v/>
      </c>
      <c r="P2059" s="3">
        <f>O2059-N2059</f>
        <v/>
      </c>
      <c r="Q2059" s="5">
        <f>IFERROR(P2059/O2059,0)</f>
        <v/>
      </c>
      <c r="R2059" s="2">
        <f>TEXT(DATEVALUE(B2059),"mmm")</f>
        <v/>
      </c>
      <c r="S2059" s="2">
        <f>TEXT(DATEVALUE(B2059),"yyyy-mm")</f>
        <v/>
      </c>
    </row>
    <row r="2060">
      <c r="A2060" s="2" t="inlineStr">
        <is>
          <t>O003493</t>
        </is>
      </c>
      <c r="B2060" s="2" t="inlineStr">
        <is>
          <t>2025-05-29</t>
        </is>
      </c>
      <c r="C2060" s="2" t="inlineStr">
        <is>
          <t>C0167</t>
        </is>
      </c>
      <c r="D2060" s="2" t="inlineStr">
        <is>
          <t>P0022</t>
        </is>
      </c>
      <c r="E2060" s="2" t="inlineStr">
        <is>
          <t>Face Wash</t>
        </is>
      </c>
      <c r="F2060" s="2" t="inlineStr">
        <is>
          <t>Beauty</t>
        </is>
      </c>
      <c r="G2060" s="2" t="inlineStr">
        <is>
          <t>West</t>
        </is>
      </c>
      <c r="H2060" s="2" t="inlineStr">
        <is>
          <t>Maharashtra</t>
        </is>
      </c>
      <c r="I2060" s="2" t="inlineStr">
        <is>
          <t>Pune</t>
        </is>
      </c>
      <c r="J2060" s="2" t="inlineStr">
        <is>
          <t>Online</t>
        </is>
      </c>
      <c r="K2060" s="2" t="n">
        <v>3</v>
      </c>
      <c r="L2060" s="3" t="n">
        <v>558.4400000000001</v>
      </c>
      <c r="M2060" s="4" t="n">
        <v>0.2</v>
      </c>
      <c r="N2060" s="3" t="n">
        <v>1067.08</v>
      </c>
      <c r="O2060" s="3">
        <f>K2060*L2060*(1-M2060)</f>
        <v/>
      </c>
      <c r="P2060" s="3">
        <f>O2060-N2060</f>
        <v/>
      </c>
      <c r="Q2060" s="5">
        <f>IFERROR(P2060/O2060,0)</f>
        <v/>
      </c>
      <c r="R2060" s="2">
        <f>TEXT(DATEVALUE(B2060),"mmm")</f>
        <v/>
      </c>
      <c r="S2060" s="2">
        <f>TEXT(DATEVALUE(B2060),"yyyy-mm")</f>
        <v/>
      </c>
    </row>
    <row r="2061">
      <c r="A2061" s="2" t="inlineStr">
        <is>
          <t>O001440</t>
        </is>
      </c>
      <c r="B2061" s="2" t="inlineStr">
        <is>
          <t>2025-05-29</t>
        </is>
      </c>
      <c r="C2061" s="2" t="inlineStr">
        <is>
          <t>C0213</t>
        </is>
      </c>
      <c r="D2061" s="2" t="inlineStr">
        <is>
          <t>P0016</t>
        </is>
      </c>
      <c r="E2061" s="2" t="inlineStr">
        <is>
          <t>Casual Shirt</t>
        </is>
      </c>
      <c r="F2061" s="2" t="inlineStr">
        <is>
          <t>Fashion</t>
        </is>
      </c>
      <c r="G2061" s="2" t="inlineStr">
        <is>
          <t>South</t>
        </is>
      </c>
      <c r="H2061" s="2" t="inlineStr">
        <is>
          <t>Karnataka</t>
        </is>
      </c>
      <c r="I2061" s="2" t="inlineStr">
        <is>
          <t>Mysuru</t>
        </is>
      </c>
      <c r="J2061" s="2" t="inlineStr">
        <is>
          <t>Online</t>
        </is>
      </c>
      <c r="K2061" s="2" t="n">
        <v>2</v>
      </c>
      <c r="L2061" s="3" t="n">
        <v>1337.86</v>
      </c>
      <c r="M2061" s="4" t="n">
        <v>0.05</v>
      </c>
      <c r="N2061" s="3" t="n">
        <v>1853.01</v>
      </c>
      <c r="O2061" s="3">
        <f>K2061*L2061*(1-M2061)</f>
        <v/>
      </c>
      <c r="P2061" s="3">
        <f>O2061-N2061</f>
        <v/>
      </c>
      <c r="Q2061" s="5">
        <f>IFERROR(P2061/O2061,0)</f>
        <v/>
      </c>
      <c r="R2061" s="2">
        <f>TEXT(DATEVALUE(B2061),"mmm")</f>
        <v/>
      </c>
      <c r="S2061" s="2">
        <f>TEXT(DATEVALUE(B2061),"yyyy-mm")</f>
        <v/>
      </c>
    </row>
    <row r="2062">
      <c r="A2062" s="2" t="inlineStr">
        <is>
          <t>O002236</t>
        </is>
      </c>
      <c r="B2062" s="2" t="inlineStr">
        <is>
          <t>2025-05-29</t>
        </is>
      </c>
      <c r="C2062" s="2" t="inlineStr">
        <is>
          <t>C0416</t>
        </is>
      </c>
      <c r="D2062" s="2" t="inlineStr">
        <is>
          <t>P0021</t>
        </is>
      </c>
      <c r="E2062" s="2" t="inlineStr">
        <is>
          <t>Wallet</t>
        </is>
      </c>
      <c r="F2062" s="2" t="inlineStr">
        <is>
          <t>Fashion</t>
        </is>
      </c>
      <c r="G2062" s="2" t="inlineStr">
        <is>
          <t>West</t>
        </is>
      </c>
      <c r="H2062" s="2" t="inlineStr">
        <is>
          <t>Maharashtra</t>
        </is>
      </c>
      <c r="I2062" s="2" t="inlineStr">
        <is>
          <t>Nashik</t>
        </is>
      </c>
      <c r="J2062" s="2" t="inlineStr">
        <is>
          <t>Online</t>
        </is>
      </c>
      <c r="K2062" s="2" t="n">
        <v>2</v>
      </c>
      <c r="L2062" s="3" t="n">
        <v>1984.03</v>
      </c>
      <c r="M2062" s="4" t="n">
        <v>0.15</v>
      </c>
      <c r="N2062" s="3" t="n">
        <v>2469.91</v>
      </c>
      <c r="O2062" s="3">
        <f>K2062*L2062*(1-M2062)</f>
        <v/>
      </c>
      <c r="P2062" s="3">
        <f>O2062-N2062</f>
        <v/>
      </c>
      <c r="Q2062" s="5">
        <f>IFERROR(P2062/O2062,0)</f>
        <v/>
      </c>
      <c r="R2062" s="2">
        <f>TEXT(DATEVALUE(B2062),"mmm")</f>
        <v/>
      </c>
      <c r="S2062" s="2">
        <f>TEXT(DATEVALUE(B2062),"yyyy-mm")</f>
        <v/>
      </c>
    </row>
    <row r="2063">
      <c r="A2063" s="2" t="inlineStr">
        <is>
          <t>O002285</t>
        </is>
      </c>
      <c r="B2063" s="2" t="inlineStr">
        <is>
          <t>2025-05-29</t>
        </is>
      </c>
      <c r="C2063" s="2" t="inlineStr">
        <is>
          <t>C0684</t>
        </is>
      </c>
      <c r="D2063" s="2" t="inlineStr">
        <is>
          <t>P0004</t>
        </is>
      </c>
      <c r="E2063" s="2" t="inlineStr">
        <is>
          <t>USB-C Hub</t>
        </is>
      </c>
      <c r="F2063" s="2" t="inlineStr">
        <is>
          <t>Electronics</t>
        </is>
      </c>
      <c r="G2063" s="2" t="inlineStr">
        <is>
          <t>East</t>
        </is>
      </c>
      <c r="H2063" s="2" t="inlineStr">
        <is>
          <t>Bihar</t>
        </is>
      </c>
      <c r="I2063" s="2" t="inlineStr">
        <is>
          <t>Patna</t>
        </is>
      </c>
      <c r="J2063" s="2" t="inlineStr">
        <is>
          <t>Store</t>
        </is>
      </c>
      <c r="K2063" s="2" t="n">
        <v>3</v>
      </c>
      <c r="L2063" s="3" t="n">
        <v>1296.99</v>
      </c>
      <c r="M2063" s="4" t="n">
        <v>0.05</v>
      </c>
      <c r="N2063" s="3" t="n">
        <v>2834.58</v>
      </c>
      <c r="O2063" s="3">
        <f>K2063*L2063*(1-M2063)</f>
        <v/>
      </c>
      <c r="P2063" s="3">
        <f>O2063-N2063</f>
        <v/>
      </c>
      <c r="Q2063" s="5">
        <f>IFERROR(P2063/O2063,0)</f>
        <v/>
      </c>
      <c r="R2063" s="2">
        <f>TEXT(DATEVALUE(B2063),"mmm")</f>
        <v/>
      </c>
      <c r="S2063" s="2">
        <f>TEXT(DATEVALUE(B2063),"yyyy-mm")</f>
        <v/>
      </c>
    </row>
    <row r="2064">
      <c r="A2064" s="2" t="inlineStr">
        <is>
          <t>O004934</t>
        </is>
      </c>
      <c r="B2064" s="2" t="inlineStr">
        <is>
          <t>2025-05-30</t>
        </is>
      </c>
      <c r="C2064" s="2" t="inlineStr">
        <is>
          <t>C0320</t>
        </is>
      </c>
      <c r="D2064" s="2" t="inlineStr">
        <is>
          <t>P0004</t>
        </is>
      </c>
      <c r="E2064" s="2" t="inlineStr">
        <is>
          <t>USB-C Hub</t>
        </is>
      </c>
      <c r="F2064" s="2" t="inlineStr">
        <is>
          <t>Electronics</t>
        </is>
      </c>
      <c r="G2064" s="2" t="inlineStr">
        <is>
          <t>South</t>
        </is>
      </c>
      <c r="H2064" s="2" t="inlineStr">
        <is>
          <t>Karnataka</t>
        </is>
      </c>
      <c r="I2064" s="2" t="inlineStr">
        <is>
          <t>Bengaluru</t>
        </is>
      </c>
      <c r="J2064" s="2" t="inlineStr">
        <is>
          <t>Online</t>
        </is>
      </c>
      <c r="K2064" s="2" t="n">
        <v>2</v>
      </c>
      <c r="L2064" s="3" t="n">
        <v>1231.16</v>
      </c>
      <c r="M2064" s="4" t="n">
        <v>0.1</v>
      </c>
      <c r="N2064" s="3" t="n">
        <v>1811.05</v>
      </c>
      <c r="O2064" s="3">
        <f>K2064*L2064*(1-M2064)</f>
        <v/>
      </c>
      <c r="P2064" s="3">
        <f>O2064-N2064</f>
        <v/>
      </c>
      <c r="Q2064" s="5">
        <f>IFERROR(P2064/O2064,0)</f>
        <v/>
      </c>
      <c r="R2064" s="2">
        <f>TEXT(DATEVALUE(B2064),"mmm")</f>
        <v/>
      </c>
      <c r="S2064" s="2">
        <f>TEXT(DATEVALUE(B2064),"yyyy-mm")</f>
        <v/>
      </c>
    </row>
    <row r="2065">
      <c r="A2065" s="2" t="inlineStr">
        <is>
          <t>O004542</t>
        </is>
      </c>
      <c r="B2065" s="2" t="inlineStr">
        <is>
          <t>2025-05-30</t>
        </is>
      </c>
      <c r="C2065" s="2" t="inlineStr">
        <is>
          <t>C0794</t>
        </is>
      </c>
      <c r="D2065" s="2" t="inlineStr">
        <is>
          <t>P0031</t>
        </is>
      </c>
      <c r="E2065" s="2" t="inlineStr">
        <is>
          <t>Cricket Bat</t>
        </is>
      </c>
      <c r="F2065" s="2" t="inlineStr">
        <is>
          <t>Sports</t>
        </is>
      </c>
      <c r="G2065" s="2" t="inlineStr">
        <is>
          <t>East</t>
        </is>
      </c>
      <c r="H2065" s="2" t="inlineStr">
        <is>
          <t>West Bengal</t>
        </is>
      </c>
      <c r="I2065" s="2" t="inlineStr">
        <is>
          <t>Kolkata</t>
        </is>
      </c>
      <c r="J2065" s="2" t="inlineStr">
        <is>
          <t>Store</t>
        </is>
      </c>
      <c r="K2065" s="2" t="n">
        <v>5</v>
      </c>
      <c r="L2065" s="3" t="n">
        <v>1354.05</v>
      </c>
      <c r="M2065" s="4" t="n">
        <v>0.05</v>
      </c>
      <c r="N2065" s="3" t="n">
        <v>4719.72</v>
      </c>
      <c r="O2065" s="3">
        <f>K2065*L2065*(1-M2065)</f>
        <v/>
      </c>
      <c r="P2065" s="3">
        <f>O2065-N2065</f>
        <v/>
      </c>
      <c r="Q2065" s="5">
        <f>IFERROR(P2065/O2065,0)</f>
        <v/>
      </c>
      <c r="R2065" s="2">
        <f>TEXT(DATEVALUE(B2065),"mmm")</f>
        <v/>
      </c>
      <c r="S2065" s="2">
        <f>TEXT(DATEVALUE(B2065),"yyyy-mm")</f>
        <v/>
      </c>
    </row>
    <row r="2066">
      <c r="A2066" s="2" t="inlineStr">
        <is>
          <t>O004473</t>
        </is>
      </c>
      <c r="B2066" s="2" t="inlineStr">
        <is>
          <t>2025-05-30</t>
        </is>
      </c>
      <c r="C2066" s="2" t="inlineStr">
        <is>
          <t>C0100</t>
        </is>
      </c>
      <c r="D2066" s="2" t="inlineStr">
        <is>
          <t>P0007</t>
        </is>
      </c>
      <c r="E2066" s="2" t="inlineStr">
        <is>
          <t>Wireless Mouse</t>
        </is>
      </c>
      <c r="F2066" s="2" t="inlineStr">
        <is>
          <t>Electronics</t>
        </is>
      </c>
      <c r="G2066" s="2" t="inlineStr">
        <is>
          <t>East</t>
        </is>
      </c>
      <c r="H2066" s="2" t="inlineStr">
        <is>
          <t>Bihar</t>
        </is>
      </c>
      <c r="I2066" s="2" t="inlineStr">
        <is>
          <t>Gaya</t>
        </is>
      </c>
      <c r="J2066" s="2" t="inlineStr">
        <is>
          <t>Store</t>
        </is>
      </c>
      <c r="K2066" s="2" t="n">
        <v>1</v>
      </c>
      <c r="L2066" s="3" t="n">
        <v>974.66</v>
      </c>
      <c r="M2066" s="4" t="n">
        <v>0.05</v>
      </c>
      <c r="N2066" s="3" t="n">
        <v>626.71</v>
      </c>
      <c r="O2066" s="3">
        <f>K2066*L2066*(1-M2066)</f>
        <v/>
      </c>
      <c r="P2066" s="3">
        <f>O2066-N2066</f>
        <v/>
      </c>
      <c r="Q2066" s="5">
        <f>IFERROR(P2066/O2066,0)</f>
        <v/>
      </c>
      <c r="R2066" s="2">
        <f>TEXT(DATEVALUE(B2066),"mmm")</f>
        <v/>
      </c>
      <c r="S2066" s="2">
        <f>TEXT(DATEVALUE(B2066),"yyyy-mm")</f>
        <v/>
      </c>
    </row>
    <row r="2067">
      <c r="A2067" s="2" t="inlineStr">
        <is>
          <t>O004363</t>
        </is>
      </c>
      <c r="B2067" s="2" t="inlineStr">
        <is>
          <t>2025-05-30</t>
        </is>
      </c>
      <c r="C2067" s="2" t="inlineStr">
        <is>
          <t>C0169</t>
        </is>
      </c>
      <c r="D2067" s="2" t="inlineStr">
        <is>
          <t>P0022</t>
        </is>
      </c>
      <c r="E2067" s="2" t="inlineStr">
        <is>
          <t>Face Wash</t>
        </is>
      </c>
      <c r="F2067" s="2" t="inlineStr">
        <is>
          <t>Beauty</t>
        </is>
      </c>
      <c r="G2067" s="2" t="inlineStr">
        <is>
          <t>West</t>
        </is>
      </c>
      <c r="H2067" s="2" t="inlineStr">
        <is>
          <t>Gujarat</t>
        </is>
      </c>
      <c r="I2067" s="2" t="inlineStr">
        <is>
          <t>Vadodara</t>
        </is>
      </c>
      <c r="J2067" s="2" t="inlineStr">
        <is>
          <t>Store</t>
        </is>
      </c>
      <c r="K2067" s="2" t="n">
        <v>6</v>
      </c>
      <c r="L2067" s="3" t="n">
        <v>556.6799999999999</v>
      </c>
      <c r="M2067" s="4" t="n">
        <v>0.05</v>
      </c>
      <c r="N2067" s="3" t="n">
        <v>2080.53</v>
      </c>
      <c r="O2067" s="3">
        <f>K2067*L2067*(1-M2067)</f>
        <v/>
      </c>
      <c r="P2067" s="3">
        <f>O2067-N2067</f>
        <v/>
      </c>
      <c r="Q2067" s="5">
        <f>IFERROR(P2067/O2067,0)</f>
        <v/>
      </c>
      <c r="R2067" s="2">
        <f>TEXT(DATEVALUE(B2067),"mmm")</f>
        <v/>
      </c>
      <c r="S2067" s="2">
        <f>TEXT(DATEVALUE(B2067),"yyyy-mm")</f>
        <v/>
      </c>
    </row>
    <row r="2068">
      <c r="A2068" s="2" t="inlineStr">
        <is>
          <t>O003119</t>
        </is>
      </c>
      <c r="B2068" s="2" t="inlineStr">
        <is>
          <t>2025-05-30</t>
        </is>
      </c>
      <c r="C2068" s="2" t="inlineStr">
        <is>
          <t>C0279</t>
        </is>
      </c>
      <c r="D2068" s="2" t="inlineStr">
        <is>
          <t>P0024</t>
        </is>
      </c>
      <c r="E2068" s="2" t="inlineStr">
        <is>
          <t>Hair Dryer</t>
        </is>
      </c>
      <c r="F2068" s="2" t="inlineStr">
        <is>
          <t>Beauty</t>
        </is>
      </c>
      <c r="G2068" s="2" t="inlineStr">
        <is>
          <t>North</t>
        </is>
      </c>
      <c r="H2068" s="2" t="inlineStr">
        <is>
          <t>Uttar Pradesh</t>
        </is>
      </c>
      <c r="I2068" s="2" t="inlineStr">
        <is>
          <t>Lucknow</t>
        </is>
      </c>
      <c r="J2068" s="2" t="inlineStr">
        <is>
          <t>Store</t>
        </is>
      </c>
      <c r="K2068" s="2" t="n">
        <v>3</v>
      </c>
      <c r="L2068" s="3" t="n">
        <v>1005.21</v>
      </c>
      <c r="M2068" s="4" t="n">
        <v>0.15</v>
      </c>
      <c r="N2068" s="3" t="n">
        <v>2198.53</v>
      </c>
      <c r="O2068" s="3">
        <f>K2068*L2068*(1-M2068)</f>
        <v/>
      </c>
      <c r="P2068" s="3">
        <f>O2068-N2068</f>
        <v/>
      </c>
      <c r="Q2068" s="5">
        <f>IFERROR(P2068/O2068,0)</f>
        <v/>
      </c>
      <c r="R2068" s="2">
        <f>TEXT(DATEVALUE(B2068),"mmm")</f>
        <v/>
      </c>
      <c r="S2068" s="2">
        <f>TEXT(DATEVALUE(B2068),"yyyy-mm")</f>
        <v/>
      </c>
    </row>
    <row r="2069">
      <c r="A2069" s="2" t="inlineStr">
        <is>
          <t>O003054</t>
        </is>
      </c>
      <c r="B2069" s="2" t="inlineStr">
        <is>
          <t>2025-05-30</t>
        </is>
      </c>
      <c r="C2069" s="2" t="inlineStr">
        <is>
          <t>C0406</t>
        </is>
      </c>
      <c r="D2069" s="2" t="inlineStr">
        <is>
          <t>P0010</t>
        </is>
      </c>
      <c r="E2069" s="2" t="inlineStr">
        <is>
          <t>Mixer Grinder</t>
        </is>
      </c>
      <c r="F2069" s="2" t="inlineStr">
        <is>
          <t>Home &amp; Kitchen</t>
        </is>
      </c>
      <c r="G2069" s="2" t="inlineStr">
        <is>
          <t>West</t>
        </is>
      </c>
      <c r="H2069" s="2" t="inlineStr">
        <is>
          <t>Maharashtra</t>
        </is>
      </c>
      <c r="I2069" s="2" t="inlineStr">
        <is>
          <t>Thane</t>
        </is>
      </c>
      <c r="J2069" s="2" t="inlineStr">
        <is>
          <t>Store</t>
        </is>
      </c>
      <c r="K2069" s="2" t="n">
        <v>1</v>
      </c>
      <c r="L2069" s="3" t="n">
        <v>1623.46</v>
      </c>
      <c r="M2069" s="4" t="n">
        <v>0</v>
      </c>
      <c r="N2069" s="3" t="n">
        <v>1015.01</v>
      </c>
      <c r="O2069" s="3">
        <f>K2069*L2069*(1-M2069)</f>
        <v/>
      </c>
      <c r="P2069" s="3">
        <f>O2069-N2069</f>
        <v/>
      </c>
      <c r="Q2069" s="5">
        <f>IFERROR(P2069/O2069,0)</f>
        <v/>
      </c>
      <c r="R2069" s="2">
        <f>TEXT(DATEVALUE(B2069),"mmm")</f>
        <v/>
      </c>
      <c r="S2069" s="2">
        <f>TEXT(DATEVALUE(B2069),"yyyy-mm")</f>
        <v/>
      </c>
    </row>
    <row r="2070">
      <c r="A2070" s="2" t="inlineStr">
        <is>
          <t>O002638</t>
        </is>
      </c>
      <c r="B2070" s="2" t="inlineStr">
        <is>
          <t>2025-05-30</t>
        </is>
      </c>
      <c r="C2070" s="2" t="inlineStr">
        <is>
          <t>C0504</t>
        </is>
      </c>
      <c r="D2070" s="2" t="inlineStr">
        <is>
          <t>P0022</t>
        </is>
      </c>
      <c r="E2070" s="2" t="inlineStr">
        <is>
          <t>Face Wash</t>
        </is>
      </c>
      <c r="F2070" s="2" t="inlineStr">
        <is>
          <t>Beauty</t>
        </is>
      </c>
      <c r="G2070" s="2" t="inlineStr">
        <is>
          <t>West</t>
        </is>
      </c>
      <c r="H2070" s="2" t="inlineStr">
        <is>
          <t>Maharashtra</t>
        </is>
      </c>
      <c r="I2070" s="2" t="inlineStr">
        <is>
          <t>Pune</t>
        </is>
      </c>
      <c r="J2070" s="2" t="inlineStr">
        <is>
          <t>Online</t>
        </is>
      </c>
      <c r="K2070" s="2" t="n">
        <v>2</v>
      </c>
      <c r="L2070" s="3" t="n">
        <v>534.5599999999999</v>
      </c>
      <c r="M2070" s="4" t="n">
        <v>0.1</v>
      </c>
      <c r="N2070" s="3" t="n">
        <v>697.03</v>
      </c>
      <c r="O2070" s="3">
        <f>K2070*L2070*(1-M2070)</f>
        <v/>
      </c>
      <c r="P2070" s="3">
        <f>O2070-N2070</f>
        <v/>
      </c>
      <c r="Q2070" s="5">
        <f>IFERROR(P2070/O2070,0)</f>
        <v/>
      </c>
      <c r="R2070" s="2">
        <f>TEXT(DATEVALUE(B2070),"mmm")</f>
        <v/>
      </c>
      <c r="S2070" s="2">
        <f>TEXT(DATEVALUE(B2070),"yyyy-mm")</f>
        <v/>
      </c>
    </row>
    <row r="2071">
      <c r="A2071" s="2" t="inlineStr">
        <is>
          <t>O004565</t>
        </is>
      </c>
      <c r="B2071" s="2" t="inlineStr">
        <is>
          <t>2025-05-30</t>
        </is>
      </c>
      <c r="C2071" s="2" t="inlineStr">
        <is>
          <t>C0796</t>
        </is>
      </c>
      <c r="D2071" s="2" t="inlineStr">
        <is>
          <t>P0007</t>
        </is>
      </c>
      <c r="E2071" s="2" t="inlineStr">
        <is>
          <t>Wireless Mouse</t>
        </is>
      </c>
      <c r="F2071" s="2" t="inlineStr">
        <is>
          <t>Electronics</t>
        </is>
      </c>
      <c r="G2071" s="2" t="inlineStr">
        <is>
          <t>South</t>
        </is>
      </c>
      <c r="H2071" s="2" t="inlineStr">
        <is>
          <t>Tamil Nadu</t>
        </is>
      </c>
      <c r="I2071" s="2" t="inlineStr">
        <is>
          <t>Madurai</t>
        </is>
      </c>
      <c r="J2071" s="2" t="inlineStr">
        <is>
          <t>Store</t>
        </is>
      </c>
      <c r="K2071" s="2" t="n">
        <v>1</v>
      </c>
      <c r="L2071" s="3" t="n">
        <v>957.62</v>
      </c>
      <c r="M2071" s="4" t="n">
        <v>0</v>
      </c>
      <c r="N2071" s="3" t="n">
        <v>643.67</v>
      </c>
      <c r="O2071" s="3">
        <f>K2071*L2071*(1-M2071)</f>
        <v/>
      </c>
      <c r="P2071" s="3">
        <f>O2071-N2071</f>
        <v/>
      </c>
      <c r="Q2071" s="5">
        <f>IFERROR(P2071/O2071,0)</f>
        <v/>
      </c>
      <c r="R2071" s="2">
        <f>TEXT(DATEVALUE(B2071),"mmm")</f>
        <v/>
      </c>
      <c r="S2071" s="2">
        <f>TEXT(DATEVALUE(B2071),"yyyy-mm")</f>
        <v/>
      </c>
    </row>
    <row r="2072">
      <c r="A2072" s="2" t="inlineStr">
        <is>
          <t>O002237</t>
        </is>
      </c>
      <c r="B2072" s="2" t="inlineStr">
        <is>
          <t>2025-05-30</t>
        </is>
      </c>
      <c r="C2072" s="2" t="inlineStr">
        <is>
          <t>C0390</t>
        </is>
      </c>
      <c r="D2072" s="2" t="inlineStr">
        <is>
          <t>P0011</t>
        </is>
      </c>
      <c r="E2072" s="2" t="inlineStr">
        <is>
          <t>Cookware Set</t>
        </is>
      </c>
      <c r="F2072" s="2" t="inlineStr">
        <is>
          <t>Home &amp; Kitchen</t>
        </is>
      </c>
      <c r="G2072" s="2" t="inlineStr">
        <is>
          <t>North</t>
        </is>
      </c>
      <c r="H2072" s="2" t="inlineStr">
        <is>
          <t>Delhi</t>
        </is>
      </c>
      <c r="I2072" s="2" t="inlineStr">
        <is>
          <t>New Delhi</t>
        </is>
      </c>
      <c r="J2072" s="2" t="inlineStr">
        <is>
          <t>Online</t>
        </is>
      </c>
      <c r="K2072" s="2" t="n">
        <v>3</v>
      </c>
      <c r="L2072" s="3" t="n">
        <v>689.16</v>
      </c>
      <c r="M2072" s="4" t="n">
        <v>0.1</v>
      </c>
      <c r="N2072" s="3" t="n">
        <v>1449.84</v>
      </c>
      <c r="O2072" s="3">
        <f>K2072*L2072*(1-M2072)</f>
        <v/>
      </c>
      <c r="P2072" s="3">
        <f>O2072-N2072</f>
        <v/>
      </c>
      <c r="Q2072" s="5">
        <f>IFERROR(P2072/O2072,0)</f>
        <v/>
      </c>
      <c r="R2072" s="2">
        <f>TEXT(DATEVALUE(B2072),"mmm")</f>
        <v/>
      </c>
      <c r="S2072" s="2">
        <f>TEXT(DATEVALUE(B2072),"yyyy-mm")</f>
        <v/>
      </c>
    </row>
    <row r="2073">
      <c r="A2073" s="2" t="inlineStr">
        <is>
          <t>O001892</t>
        </is>
      </c>
      <c r="B2073" s="2" t="inlineStr">
        <is>
          <t>2025-05-30</t>
        </is>
      </c>
      <c r="C2073" s="2" t="inlineStr">
        <is>
          <t>C0172</t>
        </is>
      </c>
      <c r="D2073" s="2" t="inlineStr">
        <is>
          <t>P0029</t>
        </is>
      </c>
      <c r="E2073" s="2" t="inlineStr">
        <is>
          <t>Yoga Mat</t>
        </is>
      </c>
      <c r="F2073" s="2" t="inlineStr">
        <is>
          <t>Sports</t>
        </is>
      </c>
      <c r="G2073" s="2" t="inlineStr">
        <is>
          <t>West</t>
        </is>
      </c>
      <c r="H2073" s="2" t="inlineStr">
        <is>
          <t>Gujarat</t>
        </is>
      </c>
      <c r="I2073" s="2" t="inlineStr">
        <is>
          <t>Surat</t>
        </is>
      </c>
      <c r="J2073" s="2" t="inlineStr">
        <is>
          <t>Online</t>
        </is>
      </c>
      <c r="K2073" s="2" t="n">
        <v>1</v>
      </c>
      <c r="L2073" s="3" t="n">
        <v>2349.23</v>
      </c>
      <c r="M2073" s="4" t="n">
        <v>0.2</v>
      </c>
      <c r="N2073" s="3" t="n">
        <v>1331.1</v>
      </c>
      <c r="O2073" s="3">
        <f>K2073*L2073*(1-M2073)</f>
        <v/>
      </c>
      <c r="P2073" s="3">
        <f>O2073-N2073</f>
        <v/>
      </c>
      <c r="Q2073" s="5">
        <f>IFERROR(P2073/O2073,0)</f>
        <v/>
      </c>
      <c r="R2073" s="2">
        <f>TEXT(DATEVALUE(B2073),"mmm")</f>
        <v/>
      </c>
      <c r="S2073" s="2">
        <f>TEXT(DATEVALUE(B2073),"yyyy-mm")</f>
        <v/>
      </c>
    </row>
    <row r="2074">
      <c r="A2074" s="2" t="inlineStr">
        <is>
          <t>O001199</t>
        </is>
      </c>
      <c r="B2074" s="2" t="inlineStr">
        <is>
          <t>2025-05-30</t>
        </is>
      </c>
      <c r="C2074" s="2" t="inlineStr">
        <is>
          <t>C0064</t>
        </is>
      </c>
      <c r="D2074" s="2" t="inlineStr">
        <is>
          <t>P0007</t>
        </is>
      </c>
      <c r="E2074" s="2" t="inlineStr">
        <is>
          <t>Wireless Mouse</t>
        </is>
      </c>
      <c r="F2074" s="2" t="inlineStr">
        <is>
          <t>Electronics</t>
        </is>
      </c>
      <c r="G2074" s="2" t="inlineStr">
        <is>
          <t>West</t>
        </is>
      </c>
      <c r="H2074" s="2" t="inlineStr">
        <is>
          <t>Gujarat</t>
        </is>
      </c>
      <c r="I2074" s="2" t="inlineStr">
        <is>
          <t>Vadodara</t>
        </is>
      </c>
      <c r="J2074" s="2" t="inlineStr">
        <is>
          <t>Store</t>
        </is>
      </c>
      <c r="K2074" s="2" t="n">
        <v>5</v>
      </c>
      <c r="L2074" s="3" t="n">
        <v>993.72</v>
      </c>
      <c r="M2074" s="4" t="n">
        <v>0.1</v>
      </c>
      <c r="N2074" s="3" t="n">
        <v>3179.93</v>
      </c>
      <c r="O2074" s="3">
        <f>K2074*L2074*(1-M2074)</f>
        <v/>
      </c>
      <c r="P2074" s="3">
        <f>O2074-N2074</f>
        <v/>
      </c>
      <c r="Q2074" s="5">
        <f>IFERROR(P2074/O2074,0)</f>
        <v/>
      </c>
      <c r="R2074" s="2">
        <f>TEXT(DATEVALUE(B2074),"mmm")</f>
        <v/>
      </c>
      <c r="S2074" s="2">
        <f>TEXT(DATEVALUE(B2074),"yyyy-mm")</f>
        <v/>
      </c>
    </row>
    <row r="2075">
      <c r="A2075" s="2" t="inlineStr">
        <is>
          <t>O000944</t>
        </is>
      </c>
      <c r="B2075" s="2" t="inlineStr">
        <is>
          <t>2025-05-30</t>
        </is>
      </c>
      <c r="C2075" s="2" t="inlineStr">
        <is>
          <t>C0587</t>
        </is>
      </c>
      <c r="D2075" s="2" t="inlineStr">
        <is>
          <t>P0022</t>
        </is>
      </c>
      <c r="E2075" s="2" t="inlineStr">
        <is>
          <t>Face Wash</t>
        </is>
      </c>
      <c r="F2075" s="2" t="inlineStr">
        <is>
          <t>Beauty</t>
        </is>
      </c>
      <c r="G2075" s="2" t="inlineStr">
        <is>
          <t>South</t>
        </is>
      </c>
      <c r="H2075" s="2" t="inlineStr">
        <is>
          <t>Tamil Nadu</t>
        </is>
      </c>
      <c r="I2075" s="2" t="inlineStr">
        <is>
          <t>Coimbatore</t>
        </is>
      </c>
      <c r="J2075" s="2" t="inlineStr">
        <is>
          <t>Online</t>
        </is>
      </c>
      <c r="K2075" s="2" t="n">
        <v>3</v>
      </c>
      <c r="L2075" s="3" t="n">
        <v>528.15</v>
      </c>
      <c r="M2075" s="4" t="n">
        <v>0.05</v>
      </c>
      <c r="N2075" s="3" t="n">
        <v>1021.8</v>
      </c>
      <c r="O2075" s="3">
        <f>K2075*L2075*(1-M2075)</f>
        <v/>
      </c>
      <c r="P2075" s="3">
        <f>O2075-N2075</f>
        <v/>
      </c>
      <c r="Q2075" s="5">
        <f>IFERROR(P2075/O2075,0)</f>
        <v/>
      </c>
      <c r="R2075" s="2">
        <f>TEXT(DATEVALUE(B2075),"mmm")</f>
        <v/>
      </c>
      <c r="S2075" s="2">
        <f>TEXT(DATEVALUE(B2075),"yyyy-mm")</f>
        <v/>
      </c>
    </row>
    <row r="2076">
      <c r="A2076" s="2" t="inlineStr">
        <is>
          <t>O000401</t>
        </is>
      </c>
      <c r="B2076" s="2" t="inlineStr">
        <is>
          <t>2025-05-30</t>
        </is>
      </c>
      <c r="C2076" s="2" t="inlineStr">
        <is>
          <t>C0555</t>
        </is>
      </c>
      <c r="D2076" s="2" t="inlineStr">
        <is>
          <t>P0011</t>
        </is>
      </c>
      <c r="E2076" s="2" t="inlineStr">
        <is>
          <t>Cookware Set</t>
        </is>
      </c>
      <c r="F2076" s="2" t="inlineStr">
        <is>
          <t>Home &amp; Kitchen</t>
        </is>
      </c>
      <c r="G2076" s="2" t="inlineStr">
        <is>
          <t>North</t>
        </is>
      </c>
      <c r="H2076" s="2" t="inlineStr">
        <is>
          <t>Punjab</t>
        </is>
      </c>
      <c r="I2076" s="2" t="inlineStr">
        <is>
          <t>Ludhiana</t>
        </is>
      </c>
      <c r="J2076" s="2" t="inlineStr">
        <is>
          <t>Store</t>
        </is>
      </c>
      <c r="K2076" s="2" t="n">
        <v>3</v>
      </c>
      <c r="L2076" s="3" t="n">
        <v>713.04</v>
      </c>
      <c r="M2076" s="4" t="n">
        <v>0.25</v>
      </c>
      <c r="N2076" s="3" t="n">
        <v>1400.63</v>
      </c>
      <c r="O2076" s="3">
        <f>K2076*L2076*(1-M2076)</f>
        <v/>
      </c>
      <c r="P2076" s="3">
        <f>O2076-N2076</f>
        <v/>
      </c>
      <c r="Q2076" s="5">
        <f>IFERROR(P2076/O2076,0)</f>
        <v/>
      </c>
      <c r="R2076" s="2">
        <f>TEXT(DATEVALUE(B2076),"mmm")</f>
        <v/>
      </c>
      <c r="S2076" s="2">
        <f>TEXT(DATEVALUE(B2076),"yyyy-mm")</f>
        <v/>
      </c>
    </row>
    <row r="2077">
      <c r="A2077" s="2" t="inlineStr">
        <is>
          <t>O000017</t>
        </is>
      </c>
      <c r="B2077" s="2" t="inlineStr">
        <is>
          <t>2025-05-30</t>
        </is>
      </c>
      <c r="C2077" s="2" t="inlineStr">
        <is>
          <t>C0118</t>
        </is>
      </c>
      <c r="D2077" s="2" t="inlineStr">
        <is>
          <t>P0003</t>
        </is>
      </c>
      <c r="E2077" s="2" t="inlineStr">
        <is>
          <t>Smartwatch</t>
        </is>
      </c>
      <c r="F2077" s="2" t="inlineStr">
        <is>
          <t>Electronics</t>
        </is>
      </c>
      <c r="G2077" s="2" t="inlineStr">
        <is>
          <t>West</t>
        </is>
      </c>
      <c r="H2077" s="2" t="inlineStr">
        <is>
          <t>Goa</t>
        </is>
      </c>
      <c r="I2077" s="2" t="inlineStr">
        <is>
          <t>Panaji</t>
        </is>
      </c>
      <c r="J2077" s="2" t="inlineStr">
        <is>
          <t>Store</t>
        </is>
      </c>
      <c r="K2077" s="2" t="n">
        <v>2</v>
      </c>
      <c r="L2077" s="3" t="n">
        <v>2214.23</v>
      </c>
      <c r="M2077" s="4" t="n">
        <v>0.1</v>
      </c>
      <c r="N2077" s="3" t="n">
        <v>2313.78</v>
      </c>
      <c r="O2077" s="3">
        <f>K2077*L2077*(1-M2077)</f>
        <v/>
      </c>
      <c r="P2077" s="3">
        <f>O2077-N2077</f>
        <v/>
      </c>
      <c r="Q2077" s="5">
        <f>IFERROR(P2077/O2077,0)</f>
        <v/>
      </c>
      <c r="R2077" s="2">
        <f>TEXT(DATEVALUE(B2077),"mmm")</f>
        <v/>
      </c>
      <c r="S2077" s="2">
        <f>TEXT(DATEVALUE(B2077),"yyyy-mm")</f>
        <v/>
      </c>
    </row>
    <row r="2078">
      <c r="A2078" s="2" t="inlineStr">
        <is>
          <t>O002307</t>
        </is>
      </c>
      <c r="B2078" s="2" t="inlineStr">
        <is>
          <t>2025-05-30</t>
        </is>
      </c>
      <c r="C2078" s="2" t="inlineStr">
        <is>
          <t>C0263</t>
        </is>
      </c>
      <c r="D2078" s="2" t="inlineStr">
        <is>
          <t>P0024</t>
        </is>
      </c>
      <c r="E2078" s="2" t="inlineStr">
        <is>
          <t>Hair Dryer</t>
        </is>
      </c>
      <c r="F2078" s="2" t="inlineStr">
        <is>
          <t>Beauty</t>
        </is>
      </c>
      <c r="G2078" s="2" t="inlineStr">
        <is>
          <t>West</t>
        </is>
      </c>
      <c r="H2078" s="2" t="inlineStr">
        <is>
          <t>Maharashtra</t>
        </is>
      </c>
      <c r="I2078" s="2" t="inlineStr">
        <is>
          <t>Mumbai</t>
        </is>
      </c>
      <c r="J2078" s="2" t="inlineStr">
        <is>
          <t>Store</t>
        </is>
      </c>
      <c r="K2078" s="2" t="n">
        <v>4</v>
      </c>
      <c r="L2078" s="3" t="n">
        <v>1045.37</v>
      </c>
      <c r="M2078" s="4" t="n">
        <v>0.1</v>
      </c>
      <c r="N2078" s="3" t="n">
        <v>2845.77</v>
      </c>
      <c r="O2078" s="3">
        <f>K2078*L2078*(1-M2078)</f>
        <v/>
      </c>
      <c r="P2078" s="3">
        <f>O2078-N2078</f>
        <v/>
      </c>
      <c r="Q2078" s="5">
        <f>IFERROR(P2078/O2078,0)</f>
        <v/>
      </c>
      <c r="R2078" s="2">
        <f>TEXT(DATEVALUE(B2078),"mmm")</f>
        <v/>
      </c>
      <c r="S2078" s="2">
        <f>TEXT(DATEVALUE(B2078),"yyyy-mm")</f>
        <v/>
      </c>
    </row>
    <row r="2079">
      <c r="A2079" s="2" t="inlineStr">
        <is>
          <t>O004409</t>
        </is>
      </c>
      <c r="B2079" s="2" t="inlineStr">
        <is>
          <t>2025-05-31</t>
        </is>
      </c>
      <c r="C2079" s="2" t="inlineStr">
        <is>
          <t>C0648</t>
        </is>
      </c>
      <c r="D2079" s="2" t="inlineStr">
        <is>
          <t>P0025</t>
        </is>
      </c>
      <c r="E2079" s="2" t="inlineStr">
        <is>
          <t>Perfume</t>
        </is>
      </c>
      <c r="F2079" s="2" t="inlineStr">
        <is>
          <t>Beauty</t>
        </is>
      </c>
      <c r="G2079" s="2" t="inlineStr">
        <is>
          <t>West</t>
        </is>
      </c>
      <c r="H2079" s="2" t="inlineStr">
        <is>
          <t>Gujarat</t>
        </is>
      </c>
      <c r="I2079" s="2" t="inlineStr">
        <is>
          <t>Vadodara</t>
        </is>
      </c>
      <c r="J2079" s="2" t="inlineStr">
        <is>
          <t>Online</t>
        </is>
      </c>
      <c r="K2079" s="2" t="n">
        <v>1</v>
      </c>
      <c r="L2079" s="3" t="n">
        <v>823.96</v>
      </c>
      <c r="M2079" s="4" t="n">
        <v>0.05</v>
      </c>
      <c r="N2079" s="3" t="n">
        <v>604.09</v>
      </c>
      <c r="O2079" s="3">
        <f>K2079*L2079*(1-M2079)</f>
        <v/>
      </c>
      <c r="P2079" s="3">
        <f>O2079-N2079</f>
        <v/>
      </c>
      <c r="Q2079" s="5">
        <f>IFERROR(P2079/O2079,0)</f>
        <v/>
      </c>
      <c r="R2079" s="2">
        <f>TEXT(DATEVALUE(B2079),"mmm")</f>
        <v/>
      </c>
      <c r="S2079" s="2">
        <f>TEXT(DATEVALUE(B2079),"yyyy-mm")</f>
        <v/>
      </c>
    </row>
    <row r="2080">
      <c r="A2080" s="2" t="inlineStr">
        <is>
          <t>O004249</t>
        </is>
      </c>
      <c r="B2080" s="2" t="inlineStr">
        <is>
          <t>2025-05-31</t>
        </is>
      </c>
      <c r="C2080" s="2" t="inlineStr">
        <is>
          <t>C0020</t>
        </is>
      </c>
      <c r="D2080" s="2" t="inlineStr">
        <is>
          <t>P0016</t>
        </is>
      </c>
      <c r="E2080" s="2" t="inlineStr">
        <is>
          <t>Casual Shirt</t>
        </is>
      </c>
      <c r="F2080" s="2" t="inlineStr">
        <is>
          <t>Fashion</t>
        </is>
      </c>
      <c r="G2080" s="2" t="inlineStr">
        <is>
          <t>North</t>
        </is>
      </c>
      <c r="H2080" s="2" t="inlineStr">
        <is>
          <t>Punjab</t>
        </is>
      </c>
      <c r="I2080" s="2" t="inlineStr">
        <is>
          <t>Jalandhar</t>
        </is>
      </c>
      <c r="J2080" s="2" t="inlineStr">
        <is>
          <t>Store</t>
        </is>
      </c>
      <c r="K2080" s="2" t="n">
        <v>1</v>
      </c>
      <c r="L2080" s="3" t="n">
        <v>1260.73</v>
      </c>
      <c r="M2080" s="4" t="n">
        <v>0.2</v>
      </c>
      <c r="N2080" s="3" t="n">
        <v>882.3</v>
      </c>
      <c r="O2080" s="3">
        <f>K2080*L2080*(1-M2080)</f>
        <v/>
      </c>
      <c r="P2080" s="3">
        <f>O2080-N2080</f>
        <v/>
      </c>
      <c r="Q2080" s="5">
        <f>IFERROR(P2080/O2080,0)</f>
        <v/>
      </c>
      <c r="R2080" s="2">
        <f>TEXT(DATEVALUE(B2080),"mmm")</f>
        <v/>
      </c>
      <c r="S2080" s="2">
        <f>TEXT(DATEVALUE(B2080),"yyyy-mm")</f>
        <v/>
      </c>
    </row>
    <row r="2081">
      <c r="A2081" s="2" t="inlineStr">
        <is>
          <t>O002632</t>
        </is>
      </c>
      <c r="B2081" s="2" t="inlineStr">
        <is>
          <t>2025-05-31</t>
        </is>
      </c>
      <c r="C2081" s="2" t="inlineStr">
        <is>
          <t>C0497</t>
        </is>
      </c>
      <c r="D2081" s="2" t="inlineStr">
        <is>
          <t>P0011</t>
        </is>
      </c>
      <c r="E2081" s="2" t="inlineStr">
        <is>
          <t>Cookware Set</t>
        </is>
      </c>
      <c r="F2081" s="2" t="inlineStr">
        <is>
          <t>Home &amp; Kitchen</t>
        </is>
      </c>
      <c r="G2081" s="2" t="inlineStr">
        <is>
          <t>South</t>
        </is>
      </c>
      <c r="H2081" s="2" t="inlineStr">
        <is>
          <t>Telangana</t>
        </is>
      </c>
      <c r="I2081" s="2" t="inlineStr">
        <is>
          <t>Warangal</t>
        </is>
      </c>
      <c r="J2081" s="2" t="inlineStr">
        <is>
          <t>Store</t>
        </is>
      </c>
      <c r="K2081" s="2" t="n">
        <v>2</v>
      </c>
      <c r="L2081" s="3" t="n">
        <v>711.8200000000001</v>
      </c>
      <c r="M2081" s="4" t="n">
        <v>0</v>
      </c>
      <c r="N2081" s="3" t="n">
        <v>918.99</v>
      </c>
      <c r="O2081" s="3">
        <f>K2081*L2081*(1-M2081)</f>
        <v/>
      </c>
      <c r="P2081" s="3">
        <f>O2081-N2081</f>
        <v/>
      </c>
      <c r="Q2081" s="5">
        <f>IFERROR(P2081/O2081,0)</f>
        <v/>
      </c>
      <c r="R2081" s="2">
        <f>TEXT(DATEVALUE(B2081),"mmm")</f>
        <v/>
      </c>
      <c r="S2081" s="2">
        <f>TEXT(DATEVALUE(B2081),"yyyy-mm")</f>
        <v/>
      </c>
    </row>
    <row r="2082">
      <c r="A2082" s="2" t="inlineStr">
        <is>
          <t>O002430</t>
        </is>
      </c>
      <c r="B2082" s="2" t="inlineStr">
        <is>
          <t>2025-05-31</t>
        </is>
      </c>
      <c r="C2082" s="2" t="inlineStr">
        <is>
          <t>C0684</t>
        </is>
      </c>
      <c r="D2082" s="2" t="inlineStr">
        <is>
          <t>P0002</t>
        </is>
      </c>
      <c r="E2082" s="2" t="inlineStr">
        <is>
          <t>Bluetooth Speaker</t>
        </is>
      </c>
      <c r="F2082" s="2" t="inlineStr">
        <is>
          <t>Electronics</t>
        </is>
      </c>
      <c r="G2082" s="2" t="inlineStr">
        <is>
          <t>North</t>
        </is>
      </c>
      <c r="H2082" s="2" t="inlineStr">
        <is>
          <t>Haryana</t>
        </is>
      </c>
      <c r="I2082" s="2" t="inlineStr">
        <is>
          <t>Gurugram</t>
        </is>
      </c>
      <c r="J2082" s="2" t="inlineStr">
        <is>
          <t>Online</t>
        </is>
      </c>
      <c r="K2082" s="2" t="n">
        <v>1</v>
      </c>
      <c r="L2082" s="3" t="n">
        <v>1332.13</v>
      </c>
      <c r="M2082" s="4" t="n">
        <v>0.1</v>
      </c>
      <c r="N2082" s="3" t="n">
        <v>809.37</v>
      </c>
      <c r="O2082" s="3">
        <f>K2082*L2082*(1-M2082)</f>
        <v/>
      </c>
      <c r="P2082" s="3">
        <f>O2082-N2082</f>
        <v/>
      </c>
      <c r="Q2082" s="5">
        <f>IFERROR(P2082/O2082,0)</f>
        <v/>
      </c>
      <c r="R2082" s="2">
        <f>TEXT(DATEVALUE(B2082),"mmm")</f>
        <v/>
      </c>
      <c r="S2082" s="2">
        <f>TEXT(DATEVALUE(B2082),"yyyy-mm")</f>
        <v/>
      </c>
    </row>
    <row r="2083">
      <c r="A2083" s="2" t="inlineStr">
        <is>
          <t>O002348</t>
        </is>
      </c>
      <c r="B2083" s="2" t="inlineStr">
        <is>
          <t>2025-05-31</t>
        </is>
      </c>
      <c r="C2083" s="2" t="inlineStr">
        <is>
          <t>C0660</t>
        </is>
      </c>
      <c r="D2083" s="2" t="inlineStr">
        <is>
          <t>P0016</t>
        </is>
      </c>
      <c r="E2083" s="2" t="inlineStr">
        <is>
          <t>Casual Shirt</t>
        </is>
      </c>
      <c r="F2083" s="2" t="inlineStr">
        <is>
          <t>Fashion</t>
        </is>
      </c>
      <c r="G2083" s="2" t="inlineStr">
        <is>
          <t>North</t>
        </is>
      </c>
      <c r="H2083" s="2" t="inlineStr">
        <is>
          <t>Punjab</t>
        </is>
      </c>
      <c r="I2083" s="2" t="inlineStr">
        <is>
          <t>Jalandhar</t>
        </is>
      </c>
      <c r="J2083" s="2" t="inlineStr">
        <is>
          <t>Online</t>
        </is>
      </c>
      <c r="K2083" s="2" t="n">
        <v>2</v>
      </c>
      <c r="L2083" s="3" t="n">
        <v>1240.99</v>
      </c>
      <c r="M2083" s="4" t="n">
        <v>0</v>
      </c>
      <c r="N2083" s="3" t="n">
        <v>1762.35</v>
      </c>
      <c r="O2083" s="3">
        <f>K2083*L2083*(1-M2083)</f>
        <v/>
      </c>
      <c r="P2083" s="3">
        <f>O2083-N2083</f>
        <v/>
      </c>
      <c r="Q2083" s="5">
        <f>IFERROR(P2083/O2083,0)</f>
        <v/>
      </c>
      <c r="R2083" s="2">
        <f>TEXT(DATEVALUE(B2083),"mmm")</f>
        <v/>
      </c>
      <c r="S2083" s="2">
        <f>TEXT(DATEVALUE(B2083),"yyyy-mm")</f>
        <v/>
      </c>
    </row>
    <row r="2084">
      <c r="A2084" s="2" t="inlineStr">
        <is>
          <t>O002039</t>
        </is>
      </c>
      <c r="B2084" s="2" t="inlineStr">
        <is>
          <t>2025-05-31</t>
        </is>
      </c>
      <c r="C2084" s="2" t="inlineStr">
        <is>
          <t>C0263</t>
        </is>
      </c>
      <c r="D2084" s="2" t="inlineStr">
        <is>
          <t>P0006</t>
        </is>
      </c>
      <c r="E2084" s="2" t="inlineStr">
        <is>
          <t>Mechanical Keyboard</t>
        </is>
      </c>
      <c r="F2084" s="2" t="inlineStr">
        <is>
          <t>Electronics</t>
        </is>
      </c>
      <c r="G2084" s="2" t="inlineStr">
        <is>
          <t>North</t>
        </is>
      </c>
      <c r="H2084" s="2" t="inlineStr">
        <is>
          <t>Punjab</t>
        </is>
      </c>
      <c r="I2084" s="2" t="inlineStr">
        <is>
          <t>Ludhiana</t>
        </is>
      </c>
      <c r="J2084" s="2" t="inlineStr">
        <is>
          <t>Online</t>
        </is>
      </c>
      <c r="K2084" s="2" t="n">
        <v>2</v>
      </c>
      <c r="L2084" s="3" t="n">
        <v>2746.91</v>
      </c>
      <c r="M2084" s="4" t="n">
        <v>0.05</v>
      </c>
      <c r="N2084" s="3" t="n">
        <v>2904.22</v>
      </c>
      <c r="O2084" s="3">
        <f>K2084*L2084*(1-M2084)</f>
        <v/>
      </c>
      <c r="P2084" s="3">
        <f>O2084-N2084</f>
        <v/>
      </c>
      <c r="Q2084" s="5">
        <f>IFERROR(P2084/O2084,0)</f>
        <v/>
      </c>
      <c r="R2084" s="2">
        <f>TEXT(DATEVALUE(B2084),"mmm")</f>
        <v/>
      </c>
      <c r="S2084" s="2">
        <f>TEXT(DATEVALUE(B2084),"yyyy-mm")</f>
        <v/>
      </c>
    </row>
    <row r="2085">
      <c r="A2085" s="2" t="inlineStr">
        <is>
          <t>O000825</t>
        </is>
      </c>
      <c r="B2085" s="2" t="inlineStr">
        <is>
          <t>2025-05-31</t>
        </is>
      </c>
      <c r="C2085" s="2" t="inlineStr">
        <is>
          <t>C0551</t>
        </is>
      </c>
      <c r="D2085" s="2" t="inlineStr">
        <is>
          <t>P0031</t>
        </is>
      </c>
      <c r="E2085" s="2" t="inlineStr">
        <is>
          <t>Cricket Bat</t>
        </is>
      </c>
      <c r="F2085" s="2" t="inlineStr">
        <is>
          <t>Sports</t>
        </is>
      </c>
      <c r="G2085" s="2" t="inlineStr">
        <is>
          <t>North</t>
        </is>
      </c>
      <c r="H2085" s="2" t="inlineStr">
        <is>
          <t>Punjab</t>
        </is>
      </c>
      <c r="I2085" s="2" t="inlineStr">
        <is>
          <t>Jalandhar</t>
        </is>
      </c>
      <c r="J2085" s="2" t="inlineStr">
        <is>
          <t>Store</t>
        </is>
      </c>
      <c r="K2085" s="2" t="n">
        <v>2</v>
      </c>
      <c r="L2085" s="3" t="n">
        <v>1342.32</v>
      </c>
      <c r="M2085" s="4" t="n">
        <v>0.1</v>
      </c>
      <c r="N2085" s="3" t="n">
        <v>1930.72</v>
      </c>
      <c r="O2085" s="3">
        <f>K2085*L2085*(1-M2085)</f>
        <v/>
      </c>
      <c r="P2085" s="3">
        <f>O2085-N2085</f>
        <v/>
      </c>
      <c r="Q2085" s="5">
        <f>IFERROR(P2085/O2085,0)</f>
        <v/>
      </c>
      <c r="R2085" s="2">
        <f>TEXT(DATEVALUE(B2085),"mmm")</f>
        <v/>
      </c>
      <c r="S2085" s="2">
        <f>TEXT(DATEVALUE(B2085),"yyyy-mm")</f>
        <v/>
      </c>
    </row>
    <row r="2086">
      <c r="A2086" s="2" t="inlineStr">
        <is>
          <t>O000583</t>
        </is>
      </c>
      <c r="B2086" s="2" t="inlineStr">
        <is>
          <t>2025-05-31</t>
        </is>
      </c>
      <c r="C2086" s="2" t="inlineStr">
        <is>
          <t>C0478</t>
        </is>
      </c>
      <c r="D2086" s="2" t="inlineStr">
        <is>
          <t>P0015</t>
        </is>
      </c>
      <c r="E2086" s="2" t="inlineStr">
        <is>
          <t>Running Shoes</t>
        </is>
      </c>
      <c r="F2086" s="2" t="inlineStr">
        <is>
          <t>Fashion</t>
        </is>
      </c>
      <c r="G2086" s="2" t="inlineStr">
        <is>
          <t>North</t>
        </is>
      </c>
      <c r="H2086" s="2" t="inlineStr">
        <is>
          <t>Punjab</t>
        </is>
      </c>
      <c r="I2086" s="2" t="inlineStr">
        <is>
          <t>Ludhiana</t>
        </is>
      </c>
      <c r="J2086" s="2" t="inlineStr">
        <is>
          <t>Store</t>
        </is>
      </c>
      <c r="K2086" s="2" t="n">
        <v>2</v>
      </c>
      <c r="L2086" s="3" t="n">
        <v>607.61</v>
      </c>
      <c r="M2086" s="4" t="n">
        <v>0.05</v>
      </c>
      <c r="N2086" s="3" t="n">
        <v>759.54</v>
      </c>
      <c r="O2086" s="3">
        <f>K2086*L2086*(1-M2086)</f>
        <v/>
      </c>
      <c r="P2086" s="3">
        <f>O2086-N2086</f>
        <v/>
      </c>
      <c r="Q2086" s="5">
        <f>IFERROR(P2086/O2086,0)</f>
        <v/>
      </c>
      <c r="R2086" s="2">
        <f>TEXT(DATEVALUE(B2086),"mmm")</f>
        <v/>
      </c>
      <c r="S2086" s="2">
        <f>TEXT(DATEVALUE(B2086),"yyyy-mm")</f>
        <v/>
      </c>
    </row>
    <row r="2087">
      <c r="A2087" s="2" t="inlineStr">
        <is>
          <t>O000549</t>
        </is>
      </c>
      <c r="B2087" s="2" t="inlineStr">
        <is>
          <t>2025-05-31</t>
        </is>
      </c>
      <c r="C2087" s="2" t="inlineStr">
        <is>
          <t>C0684</t>
        </is>
      </c>
      <c r="D2087" s="2" t="inlineStr">
        <is>
          <t>P0020</t>
        </is>
      </c>
      <c r="E2087" s="2" t="inlineStr">
        <is>
          <t>Sneakers</t>
        </is>
      </c>
      <c r="F2087" s="2" t="inlineStr">
        <is>
          <t>Fashion</t>
        </is>
      </c>
      <c r="G2087" s="2" t="inlineStr">
        <is>
          <t>South</t>
        </is>
      </c>
      <c r="H2087" s="2" t="inlineStr">
        <is>
          <t>Tamil Nadu</t>
        </is>
      </c>
      <c r="I2087" s="2" t="inlineStr">
        <is>
          <t>Chennai</t>
        </is>
      </c>
      <c r="J2087" s="2" t="inlineStr">
        <is>
          <t>Store</t>
        </is>
      </c>
      <c r="K2087" s="2" t="n">
        <v>2</v>
      </c>
      <c r="L2087" s="3" t="n">
        <v>1960.74</v>
      </c>
      <c r="M2087" s="4" t="n">
        <v>0.15</v>
      </c>
      <c r="N2087" s="3" t="n">
        <v>3045.96</v>
      </c>
      <c r="O2087" s="3">
        <f>K2087*L2087*(1-M2087)</f>
        <v/>
      </c>
      <c r="P2087" s="3">
        <f>O2087-N2087</f>
        <v/>
      </c>
      <c r="Q2087" s="5">
        <f>IFERROR(P2087/O2087,0)</f>
        <v/>
      </c>
      <c r="R2087" s="2">
        <f>TEXT(DATEVALUE(B2087),"mmm")</f>
        <v/>
      </c>
      <c r="S2087" s="2">
        <f>TEXT(DATEVALUE(B2087),"yyyy-mm")</f>
        <v/>
      </c>
    </row>
    <row r="2088">
      <c r="A2088" s="2" t="inlineStr">
        <is>
          <t>O000255</t>
        </is>
      </c>
      <c r="B2088" s="2" t="inlineStr">
        <is>
          <t>2025-05-31</t>
        </is>
      </c>
      <c r="C2088" s="2" t="inlineStr">
        <is>
          <t>C0063</t>
        </is>
      </c>
      <c r="D2088" s="2" t="inlineStr">
        <is>
          <t>P0014</t>
        </is>
      </c>
      <c r="E2088" s="2" t="inlineStr">
        <is>
          <t>Coffee Maker</t>
        </is>
      </c>
      <c r="F2088" s="2" t="inlineStr">
        <is>
          <t>Home &amp; Kitchen</t>
        </is>
      </c>
      <c r="G2088" s="2" t="inlineStr">
        <is>
          <t>North</t>
        </is>
      </c>
      <c r="H2088" s="2" t="inlineStr">
        <is>
          <t>Punjab</t>
        </is>
      </c>
      <c r="I2088" s="2" t="inlineStr">
        <is>
          <t>Amritsar</t>
        </is>
      </c>
      <c r="J2088" s="2" t="inlineStr">
        <is>
          <t>Online</t>
        </is>
      </c>
      <c r="K2088" s="2" t="n">
        <v>3</v>
      </c>
      <c r="L2088" s="3" t="n">
        <v>1066.93</v>
      </c>
      <c r="M2088" s="4" t="n">
        <v>0.05</v>
      </c>
      <c r="N2088" s="3" t="n">
        <v>2343.65</v>
      </c>
      <c r="O2088" s="3">
        <f>K2088*L2088*(1-M2088)</f>
        <v/>
      </c>
      <c r="P2088" s="3">
        <f>O2088-N2088</f>
        <v/>
      </c>
      <c r="Q2088" s="5">
        <f>IFERROR(P2088/O2088,0)</f>
        <v/>
      </c>
      <c r="R2088" s="2">
        <f>TEXT(DATEVALUE(B2088),"mmm")</f>
        <v/>
      </c>
      <c r="S2088" s="2">
        <f>TEXT(DATEVALUE(B2088),"yyyy-mm")</f>
        <v/>
      </c>
    </row>
    <row r="2089">
      <c r="A2089" s="2" t="inlineStr">
        <is>
          <t>O001282</t>
        </is>
      </c>
      <c r="B2089" s="2" t="inlineStr">
        <is>
          <t>2025-05-31</t>
        </is>
      </c>
      <c r="C2089" s="2" t="inlineStr">
        <is>
          <t>C0646</t>
        </is>
      </c>
      <c r="D2089" s="2" t="inlineStr">
        <is>
          <t>P0007</t>
        </is>
      </c>
      <c r="E2089" s="2" t="inlineStr">
        <is>
          <t>Wireless Mouse</t>
        </is>
      </c>
      <c r="F2089" s="2" t="inlineStr">
        <is>
          <t>Electronics</t>
        </is>
      </c>
      <c r="G2089" s="2" t="inlineStr">
        <is>
          <t>East</t>
        </is>
      </c>
      <c r="H2089" s="2" t="inlineStr">
        <is>
          <t>Odisha</t>
        </is>
      </c>
      <c r="I2089" s="2" t="inlineStr">
        <is>
          <t>Cuttack</t>
        </is>
      </c>
      <c r="J2089" s="2" t="inlineStr">
        <is>
          <t>Store</t>
        </is>
      </c>
      <c r="K2089" s="2" t="n">
        <v>1</v>
      </c>
      <c r="L2089" s="3" t="n">
        <v>953.6900000000001</v>
      </c>
      <c r="M2089" s="4" t="n">
        <v>0.2</v>
      </c>
      <c r="N2089" s="3" t="n">
        <v>630.67</v>
      </c>
      <c r="O2089" s="3">
        <f>K2089*L2089*(1-M2089)</f>
        <v/>
      </c>
      <c r="P2089" s="3">
        <f>O2089-N2089</f>
        <v/>
      </c>
      <c r="Q2089" s="5">
        <f>IFERROR(P2089/O2089,0)</f>
        <v/>
      </c>
      <c r="R2089" s="2">
        <f>TEXT(DATEVALUE(B2089),"mmm")</f>
        <v/>
      </c>
      <c r="S2089" s="2">
        <f>TEXT(DATEVALUE(B2089),"yyyy-mm")</f>
        <v/>
      </c>
    </row>
    <row r="2090">
      <c r="A2090" s="2" t="inlineStr">
        <is>
          <t>O000365</t>
        </is>
      </c>
      <c r="B2090" s="2" t="inlineStr">
        <is>
          <t>2025-05-31</t>
        </is>
      </c>
      <c r="C2090" s="2" t="inlineStr">
        <is>
          <t>C0581</t>
        </is>
      </c>
      <c r="D2090" s="2" t="inlineStr">
        <is>
          <t>P0002</t>
        </is>
      </c>
      <c r="E2090" s="2" t="inlineStr">
        <is>
          <t>Bluetooth Speaker</t>
        </is>
      </c>
      <c r="F2090" s="2" t="inlineStr">
        <is>
          <t>Electronics</t>
        </is>
      </c>
      <c r="G2090" s="2" t="inlineStr">
        <is>
          <t>West</t>
        </is>
      </c>
      <c r="H2090" s="2" t="inlineStr">
        <is>
          <t>Goa</t>
        </is>
      </c>
      <c r="I2090" s="2" t="inlineStr">
        <is>
          <t>Panaji</t>
        </is>
      </c>
      <c r="J2090" s="2" t="inlineStr">
        <is>
          <t>Online</t>
        </is>
      </c>
      <c r="K2090" s="2" t="n">
        <v>1</v>
      </c>
      <c r="L2090" s="3" t="n">
        <v>1322.45</v>
      </c>
      <c r="M2090" s="4" t="n">
        <v>0</v>
      </c>
      <c r="N2090" s="3" t="n">
        <v>799.0700000000001</v>
      </c>
      <c r="O2090" s="3">
        <f>K2090*L2090*(1-M2090)</f>
        <v/>
      </c>
      <c r="P2090" s="3">
        <f>O2090-N2090</f>
        <v/>
      </c>
      <c r="Q2090" s="5">
        <f>IFERROR(P2090/O2090,0)</f>
        <v/>
      </c>
      <c r="R2090" s="2">
        <f>TEXT(DATEVALUE(B2090),"mmm")</f>
        <v/>
      </c>
      <c r="S2090" s="2">
        <f>TEXT(DATEVALUE(B2090),"yyyy-mm")</f>
        <v/>
      </c>
    </row>
    <row r="2091">
      <c r="A2091" s="2" t="inlineStr">
        <is>
          <t>O002211</t>
        </is>
      </c>
      <c r="B2091" s="2" t="inlineStr">
        <is>
          <t>2025-06-01</t>
        </is>
      </c>
      <c r="C2091" s="2" t="inlineStr">
        <is>
          <t>C0505</t>
        </is>
      </c>
      <c r="D2091" s="2" t="inlineStr">
        <is>
          <t>P0006</t>
        </is>
      </c>
      <c r="E2091" s="2" t="inlineStr">
        <is>
          <t>Mechanical Keyboard</t>
        </is>
      </c>
      <c r="F2091" s="2" t="inlineStr">
        <is>
          <t>Electronics</t>
        </is>
      </c>
      <c r="G2091" s="2" t="inlineStr">
        <is>
          <t>South</t>
        </is>
      </c>
      <c r="H2091" s="2" t="inlineStr">
        <is>
          <t>Kerala</t>
        </is>
      </c>
      <c r="I2091" s="2" t="inlineStr">
        <is>
          <t>Thiruvananthapuram</t>
        </is>
      </c>
      <c r="J2091" s="2" t="inlineStr">
        <is>
          <t>Online</t>
        </is>
      </c>
      <c r="K2091" s="2" t="n">
        <v>5</v>
      </c>
      <c r="L2091" s="3" t="n">
        <v>2826.54</v>
      </c>
      <c r="M2091" s="4" t="n">
        <v>0.05</v>
      </c>
      <c r="N2091" s="3" t="n">
        <v>7275.96</v>
      </c>
      <c r="O2091" s="3">
        <f>K2091*L2091*(1-M2091)</f>
        <v/>
      </c>
      <c r="P2091" s="3">
        <f>O2091-N2091</f>
        <v/>
      </c>
      <c r="Q2091" s="5">
        <f>IFERROR(P2091/O2091,0)</f>
        <v/>
      </c>
      <c r="R2091" s="2">
        <f>TEXT(DATEVALUE(B2091),"mmm")</f>
        <v/>
      </c>
      <c r="S2091" s="2">
        <f>TEXT(DATEVALUE(B2091),"yyyy-mm")</f>
        <v/>
      </c>
    </row>
    <row r="2092">
      <c r="A2092" s="2" t="inlineStr">
        <is>
          <t>O004587</t>
        </is>
      </c>
      <c r="B2092" s="2" t="inlineStr">
        <is>
          <t>2025-06-01</t>
        </is>
      </c>
      <c r="C2092" s="2" t="inlineStr">
        <is>
          <t>C0024</t>
        </is>
      </c>
      <c r="D2092" s="2" t="inlineStr">
        <is>
          <t>P0024</t>
        </is>
      </c>
      <c r="E2092" s="2" t="inlineStr">
        <is>
          <t>Hair Dryer</t>
        </is>
      </c>
      <c r="F2092" s="2" t="inlineStr">
        <is>
          <t>Beauty</t>
        </is>
      </c>
      <c r="G2092" s="2" t="inlineStr">
        <is>
          <t>South</t>
        </is>
      </c>
      <c r="H2092" s="2" t="inlineStr">
        <is>
          <t>Tamil Nadu</t>
        </is>
      </c>
      <c r="I2092" s="2" t="inlineStr">
        <is>
          <t>Madurai</t>
        </is>
      </c>
      <c r="J2092" s="2" t="inlineStr">
        <is>
          <t>Online</t>
        </is>
      </c>
      <c r="K2092" s="2" t="n">
        <v>6</v>
      </c>
      <c r="L2092" s="3" t="n">
        <v>1010.46</v>
      </c>
      <c r="M2092" s="4" t="n">
        <v>0.15</v>
      </c>
      <c r="N2092" s="3" t="n">
        <v>4456.1</v>
      </c>
      <c r="O2092" s="3">
        <f>K2092*L2092*(1-M2092)</f>
        <v/>
      </c>
      <c r="P2092" s="3">
        <f>O2092-N2092</f>
        <v/>
      </c>
      <c r="Q2092" s="5">
        <f>IFERROR(P2092/O2092,0)</f>
        <v/>
      </c>
      <c r="R2092" s="2">
        <f>TEXT(DATEVALUE(B2092),"mmm")</f>
        <v/>
      </c>
      <c r="S2092" s="2">
        <f>TEXT(DATEVALUE(B2092),"yyyy-mm")</f>
        <v/>
      </c>
    </row>
    <row r="2093">
      <c r="A2093" s="2" t="inlineStr">
        <is>
          <t>O003561</t>
        </is>
      </c>
      <c r="B2093" s="2" t="inlineStr">
        <is>
          <t>2025-06-01</t>
        </is>
      </c>
      <c r="C2093" s="2" t="inlineStr">
        <is>
          <t>C0496</t>
        </is>
      </c>
      <c r="D2093" s="2" t="inlineStr">
        <is>
          <t>P0008</t>
        </is>
      </c>
      <c r="E2093" s="2" t="inlineStr">
        <is>
          <t>Air Fryer</t>
        </is>
      </c>
      <c r="F2093" s="2" t="inlineStr">
        <is>
          <t>Home &amp; Kitchen</t>
        </is>
      </c>
      <c r="G2093" s="2" t="inlineStr">
        <is>
          <t>East</t>
        </is>
      </c>
      <c r="H2093" s="2" t="inlineStr">
        <is>
          <t>Odisha</t>
        </is>
      </c>
      <c r="I2093" s="2" t="inlineStr">
        <is>
          <t>Bhubaneswar</t>
        </is>
      </c>
      <c r="J2093" s="2" t="inlineStr">
        <is>
          <t>Store</t>
        </is>
      </c>
      <c r="K2093" s="2" t="n">
        <v>2</v>
      </c>
      <c r="L2093" s="3" t="n">
        <v>1031.17</v>
      </c>
      <c r="M2093" s="4" t="n">
        <v>0.15</v>
      </c>
      <c r="N2093" s="3" t="n">
        <v>1343.71</v>
      </c>
      <c r="O2093" s="3">
        <f>K2093*L2093*(1-M2093)</f>
        <v/>
      </c>
      <c r="P2093" s="3">
        <f>O2093-N2093</f>
        <v/>
      </c>
      <c r="Q2093" s="5">
        <f>IFERROR(P2093/O2093,0)</f>
        <v/>
      </c>
      <c r="R2093" s="2">
        <f>TEXT(DATEVALUE(B2093),"mmm")</f>
        <v/>
      </c>
      <c r="S2093" s="2">
        <f>TEXT(DATEVALUE(B2093),"yyyy-mm")</f>
        <v/>
      </c>
    </row>
    <row r="2094">
      <c r="A2094" s="2" t="inlineStr">
        <is>
          <t>O003471</t>
        </is>
      </c>
      <c r="B2094" s="2" t="inlineStr">
        <is>
          <t>2025-06-01</t>
        </is>
      </c>
      <c r="C2094" s="2" t="inlineStr">
        <is>
          <t>C0590</t>
        </is>
      </c>
      <c r="D2094" s="2" t="inlineStr">
        <is>
          <t>P0025</t>
        </is>
      </c>
      <c r="E2094" s="2" t="inlineStr">
        <is>
          <t>Perfume</t>
        </is>
      </c>
      <c r="F2094" s="2" t="inlineStr">
        <is>
          <t>Beauty</t>
        </is>
      </c>
      <c r="G2094" s="2" t="inlineStr">
        <is>
          <t>North</t>
        </is>
      </c>
      <c r="H2094" s="2" t="inlineStr">
        <is>
          <t>Uttar Pradesh</t>
        </is>
      </c>
      <c r="I2094" s="2" t="inlineStr">
        <is>
          <t>Lucknow</t>
        </is>
      </c>
      <c r="J2094" s="2" t="inlineStr">
        <is>
          <t>Online</t>
        </is>
      </c>
      <c r="K2094" s="2" t="n">
        <v>3</v>
      </c>
      <c r="L2094" s="3" t="n">
        <v>830.6799999999999</v>
      </c>
      <c r="M2094" s="4" t="n">
        <v>0.05</v>
      </c>
      <c r="N2094" s="3" t="n">
        <v>1861.72</v>
      </c>
      <c r="O2094" s="3">
        <f>K2094*L2094*(1-M2094)</f>
        <v/>
      </c>
      <c r="P2094" s="3">
        <f>O2094-N2094</f>
        <v/>
      </c>
      <c r="Q2094" s="5">
        <f>IFERROR(P2094/O2094,0)</f>
        <v/>
      </c>
      <c r="R2094" s="2">
        <f>TEXT(DATEVALUE(B2094),"mmm")</f>
        <v/>
      </c>
      <c r="S2094" s="2">
        <f>TEXT(DATEVALUE(B2094),"yyyy-mm")</f>
        <v/>
      </c>
    </row>
    <row r="2095">
      <c r="A2095" s="2" t="inlineStr">
        <is>
          <t>O002894</t>
        </is>
      </c>
      <c r="B2095" s="2" t="inlineStr">
        <is>
          <t>2025-06-01</t>
        </is>
      </c>
      <c r="C2095" s="2" t="inlineStr">
        <is>
          <t>C0100</t>
        </is>
      </c>
      <c r="D2095" s="2" t="inlineStr">
        <is>
          <t>P0020</t>
        </is>
      </c>
      <c r="E2095" s="2" t="inlineStr">
        <is>
          <t>Sneakers</t>
        </is>
      </c>
      <c r="F2095" s="2" t="inlineStr">
        <is>
          <t>Fashion</t>
        </is>
      </c>
      <c r="G2095" s="2" t="inlineStr">
        <is>
          <t>South</t>
        </is>
      </c>
      <c r="H2095" s="2" t="inlineStr">
        <is>
          <t>Kerala</t>
        </is>
      </c>
      <c r="I2095" s="2" t="inlineStr">
        <is>
          <t>Kochi</t>
        </is>
      </c>
      <c r="J2095" s="2" t="inlineStr">
        <is>
          <t>Online</t>
        </is>
      </c>
      <c r="K2095" s="2" t="n">
        <v>2</v>
      </c>
      <c r="L2095" s="3" t="n">
        <v>1900.26</v>
      </c>
      <c r="M2095" s="4" t="n">
        <v>0.05</v>
      </c>
      <c r="N2095" s="3" t="n">
        <v>3057.58</v>
      </c>
      <c r="O2095" s="3">
        <f>K2095*L2095*(1-M2095)</f>
        <v/>
      </c>
      <c r="P2095" s="3">
        <f>O2095-N2095</f>
        <v/>
      </c>
      <c r="Q2095" s="5">
        <f>IFERROR(P2095/O2095,0)</f>
        <v/>
      </c>
      <c r="R2095" s="2">
        <f>TEXT(DATEVALUE(B2095),"mmm")</f>
        <v/>
      </c>
      <c r="S2095" s="2">
        <f>TEXT(DATEVALUE(B2095),"yyyy-mm")</f>
        <v/>
      </c>
    </row>
    <row r="2096">
      <c r="A2096" s="2" t="inlineStr">
        <is>
          <t>O002833</t>
        </is>
      </c>
      <c r="B2096" s="2" t="inlineStr">
        <is>
          <t>2025-06-01</t>
        </is>
      </c>
      <c r="C2096" s="2" t="inlineStr">
        <is>
          <t>C0064</t>
        </is>
      </c>
      <c r="D2096" s="2" t="inlineStr">
        <is>
          <t>P0017</t>
        </is>
      </c>
      <c r="E2096" s="2" t="inlineStr">
        <is>
          <t>Jeans</t>
        </is>
      </c>
      <c r="F2096" s="2" t="inlineStr">
        <is>
          <t>Fashion</t>
        </is>
      </c>
      <c r="G2096" s="2" t="inlineStr">
        <is>
          <t>West</t>
        </is>
      </c>
      <c r="H2096" s="2" t="inlineStr">
        <is>
          <t>Gujarat</t>
        </is>
      </c>
      <c r="I2096" s="2" t="inlineStr">
        <is>
          <t>Ahmedabad</t>
        </is>
      </c>
      <c r="J2096" s="2" t="inlineStr">
        <is>
          <t>Store</t>
        </is>
      </c>
      <c r="K2096" s="2" t="n">
        <v>6</v>
      </c>
      <c r="L2096" s="3" t="n">
        <v>1548.93</v>
      </c>
      <c r="M2096" s="4" t="n">
        <v>0.05</v>
      </c>
      <c r="N2096" s="3" t="n">
        <v>6145.87</v>
      </c>
      <c r="O2096" s="3">
        <f>K2096*L2096*(1-M2096)</f>
        <v/>
      </c>
      <c r="P2096" s="3">
        <f>O2096-N2096</f>
        <v/>
      </c>
      <c r="Q2096" s="5">
        <f>IFERROR(P2096/O2096,0)</f>
        <v/>
      </c>
      <c r="R2096" s="2">
        <f>TEXT(DATEVALUE(B2096),"mmm")</f>
        <v/>
      </c>
      <c r="S2096" s="2">
        <f>TEXT(DATEVALUE(B2096),"yyyy-mm")</f>
        <v/>
      </c>
    </row>
    <row r="2097">
      <c r="A2097" s="2" t="inlineStr">
        <is>
          <t>O002749</t>
        </is>
      </c>
      <c r="B2097" s="2" t="inlineStr">
        <is>
          <t>2025-06-01</t>
        </is>
      </c>
      <c r="C2097" s="2" t="inlineStr">
        <is>
          <t>C0793</t>
        </is>
      </c>
      <c r="D2097" s="2" t="inlineStr">
        <is>
          <t>P0035</t>
        </is>
      </c>
      <c r="E2097" s="2" t="inlineStr">
        <is>
          <t>Skipping Rope</t>
        </is>
      </c>
      <c r="F2097" s="2" t="inlineStr">
        <is>
          <t>Sports</t>
        </is>
      </c>
      <c r="G2097" s="2" t="inlineStr">
        <is>
          <t>South</t>
        </is>
      </c>
      <c r="H2097" s="2" t="inlineStr">
        <is>
          <t>Karnataka</t>
        </is>
      </c>
      <c r="I2097" s="2" t="inlineStr">
        <is>
          <t>Mysuru</t>
        </is>
      </c>
      <c r="J2097" s="2" t="inlineStr">
        <is>
          <t>Store</t>
        </is>
      </c>
      <c r="K2097" s="2" t="n">
        <v>2</v>
      </c>
      <c r="L2097" s="3" t="n">
        <v>681.78</v>
      </c>
      <c r="M2097" s="4" t="n">
        <v>0.15</v>
      </c>
      <c r="N2097" s="3" t="n">
        <v>822.99</v>
      </c>
      <c r="O2097" s="3">
        <f>K2097*L2097*(1-M2097)</f>
        <v/>
      </c>
      <c r="P2097" s="3">
        <f>O2097-N2097</f>
        <v/>
      </c>
      <c r="Q2097" s="5">
        <f>IFERROR(P2097/O2097,0)</f>
        <v/>
      </c>
      <c r="R2097" s="2">
        <f>TEXT(DATEVALUE(B2097),"mmm")</f>
        <v/>
      </c>
      <c r="S2097" s="2">
        <f>TEXT(DATEVALUE(B2097),"yyyy-mm")</f>
        <v/>
      </c>
    </row>
    <row r="2098">
      <c r="A2098" s="2" t="inlineStr">
        <is>
          <t>O002550</t>
        </is>
      </c>
      <c r="B2098" s="2" t="inlineStr">
        <is>
          <t>2025-06-01</t>
        </is>
      </c>
      <c r="C2098" s="2" t="inlineStr">
        <is>
          <t>C0081</t>
        </is>
      </c>
      <c r="D2098" s="2" t="inlineStr">
        <is>
          <t>P0006</t>
        </is>
      </c>
      <c r="E2098" s="2" t="inlineStr">
        <is>
          <t>Mechanical Keyboard</t>
        </is>
      </c>
      <c r="F2098" s="2" t="inlineStr">
        <is>
          <t>Electronics</t>
        </is>
      </c>
      <c r="G2098" s="2" t="inlineStr">
        <is>
          <t>West</t>
        </is>
      </c>
      <c r="H2098" s="2" t="inlineStr">
        <is>
          <t>Goa</t>
        </is>
      </c>
      <c r="I2098" s="2" t="inlineStr">
        <is>
          <t>Margao</t>
        </is>
      </c>
      <c r="J2098" s="2" t="inlineStr">
        <is>
          <t>Online</t>
        </is>
      </c>
      <c r="K2098" s="2" t="n">
        <v>1</v>
      </c>
      <c r="L2098" s="3" t="n">
        <v>2801.52</v>
      </c>
      <c r="M2098" s="4" t="n">
        <v>0.25</v>
      </c>
      <c r="N2098" s="3" t="n">
        <v>1463.39</v>
      </c>
      <c r="O2098" s="3">
        <f>K2098*L2098*(1-M2098)</f>
        <v/>
      </c>
      <c r="P2098" s="3">
        <f>O2098-N2098</f>
        <v/>
      </c>
      <c r="Q2098" s="5">
        <f>IFERROR(P2098/O2098,0)</f>
        <v/>
      </c>
      <c r="R2098" s="2">
        <f>TEXT(DATEVALUE(B2098),"mmm")</f>
        <v/>
      </c>
      <c r="S2098" s="2">
        <f>TEXT(DATEVALUE(B2098),"yyyy-mm")</f>
        <v/>
      </c>
    </row>
    <row r="2099">
      <c r="A2099" s="2" t="inlineStr">
        <is>
          <t>O002219</t>
        </is>
      </c>
      <c r="B2099" s="2" t="inlineStr">
        <is>
          <t>2025-06-01</t>
        </is>
      </c>
      <c r="C2099" s="2" t="inlineStr">
        <is>
          <t>C0755</t>
        </is>
      </c>
      <c r="D2099" s="2" t="inlineStr">
        <is>
          <t>P0022</t>
        </is>
      </c>
      <c r="E2099" s="2" t="inlineStr">
        <is>
          <t>Face Wash</t>
        </is>
      </c>
      <c r="F2099" s="2" t="inlineStr">
        <is>
          <t>Beauty</t>
        </is>
      </c>
      <c r="G2099" s="2" t="inlineStr">
        <is>
          <t>West</t>
        </is>
      </c>
      <c r="H2099" s="2" t="inlineStr">
        <is>
          <t>Maharashtra</t>
        </is>
      </c>
      <c r="I2099" s="2" t="inlineStr">
        <is>
          <t>Mumbai</t>
        </is>
      </c>
      <c r="J2099" s="2" t="inlineStr">
        <is>
          <t>Online</t>
        </is>
      </c>
      <c r="K2099" s="2" t="n">
        <v>1</v>
      </c>
      <c r="L2099" s="3" t="n">
        <v>557.37</v>
      </c>
      <c r="M2099" s="4" t="n">
        <v>0.05</v>
      </c>
      <c r="N2099" s="3" t="n">
        <v>341.36</v>
      </c>
      <c r="O2099" s="3">
        <f>K2099*L2099*(1-M2099)</f>
        <v/>
      </c>
      <c r="P2099" s="3">
        <f>O2099-N2099</f>
        <v/>
      </c>
      <c r="Q2099" s="5">
        <f>IFERROR(P2099/O2099,0)</f>
        <v/>
      </c>
      <c r="R2099" s="2">
        <f>TEXT(DATEVALUE(B2099),"mmm")</f>
        <v/>
      </c>
      <c r="S2099" s="2">
        <f>TEXT(DATEVALUE(B2099),"yyyy-mm")</f>
        <v/>
      </c>
    </row>
    <row r="2100">
      <c r="A2100" s="2" t="inlineStr">
        <is>
          <t>O001916</t>
        </is>
      </c>
      <c r="B2100" s="2" t="inlineStr">
        <is>
          <t>2025-06-01</t>
        </is>
      </c>
      <c r="C2100" s="2" t="inlineStr">
        <is>
          <t>C0045</t>
        </is>
      </c>
      <c r="D2100" s="2" t="inlineStr">
        <is>
          <t>P0035</t>
        </is>
      </c>
      <c r="E2100" s="2" t="inlineStr">
        <is>
          <t>Skipping Rope</t>
        </is>
      </c>
      <c r="F2100" s="2" t="inlineStr">
        <is>
          <t>Sports</t>
        </is>
      </c>
      <c r="G2100" s="2" t="inlineStr">
        <is>
          <t>East</t>
        </is>
      </c>
      <c r="H2100" s="2" t="inlineStr">
        <is>
          <t>West Bengal</t>
        </is>
      </c>
      <c r="I2100" s="2" t="inlineStr">
        <is>
          <t>Kolkata</t>
        </is>
      </c>
      <c r="J2100" s="2" t="inlineStr">
        <is>
          <t>Store</t>
        </is>
      </c>
      <c r="K2100" s="2" t="n">
        <v>4</v>
      </c>
      <c r="L2100" s="3" t="n">
        <v>701.14</v>
      </c>
      <c r="M2100" s="4" t="n">
        <v>0.05</v>
      </c>
      <c r="N2100" s="3" t="n">
        <v>1638.2</v>
      </c>
      <c r="O2100" s="3">
        <f>K2100*L2100*(1-M2100)</f>
        <v/>
      </c>
      <c r="P2100" s="3">
        <f>O2100-N2100</f>
        <v/>
      </c>
      <c r="Q2100" s="5">
        <f>IFERROR(P2100/O2100,0)</f>
        <v/>
      </c>
      <c r="R2100" s="2">
        <f>TEXT(DATEVALUE(B2100),"mmm")</f>
        <v/>
      </c>
      <c r="S2100" s="2">
        <f>TEXT(DATEVALUE(B2100),"yyyy-mm")</f>
        <v/>
      </c>
    </row>
    <row r="2101">
      <c r="A2101" s="2" t="inlineStr">
        <is>
          <t>O001391</t>
        </is>
      </c>
      <c r="B2101" s="2" t="inlineStr">
        <is>
          <t>2025-06-01</t>
        </is>
      </c>
      <c r="C2101" s="2" t="inlineStr">
        <is>
          <t>C0238</t>
        </is>
      </c>
      <c r="D2101" s="2" t="inlineStr">
        <is>
          <t>P0020</t>
        </is>
      </c>
      <c r="E2101" s="2" t="inlineStr">
        <is>
          <t>Sneakers</t>
        </is>
      </c>
      <c r="F2101" s="2" t="inlineStr">
        <is>
          <t>Fashion</t>
        </is>
      </c>
      <c r="G2101" s="2" t="inlineStr">
        <is>
          <t>East</t>
        </is>
      </c>
      <c r="H2101" s="2" t="inlineStr">
        <is>
          <t>Bihar</t>
        </is>
      </c>
      <c r="I2101" s="2" t="inlineStr">
        <is>
          <t>Gaya</t>
        </is>
      </c>
      <c r="J2101" s="2" t="inlineStr">
        <is>
          <t>Online</t>
        </is>
      </c>
      <c r="K2101" s="2" t="n">
        <v>1</v>
      </c>
      <c r="L2101" s="3" t="n">
        <v>1949.37</v>
      </c>
      <c r="M2101" s="4" t="n">
        <v>0.1</v>
      </c>
      <c r="N2101" s="3" t="n">
        <v>1559.47</v>
      </c>
      <c r="O2101" s="3">
        <f>K2101*L2101*(1-M2101)</f>
        <v/>
      </c>
      <c r="P2101" s="3">
        <f>O2101-N2101</f>
        <v/>
      </c>
      <c r="Q2101" s="5">
        <f>IFERROR(P2101/O2101,0)</f>
        <v/>
      </c>
      <c r="R2101" s="2">
        <f>TEXT(DATEVALUE(B2101),"mmm")</f>
        <v/>
      </c>
      <c r="S2101" s="2">
        <f>TEXT(DATEVALUE(B2101),"yyyy-mm")</f>
        <v/>
      </c>
    </row>
    <row r="2102">
      <c r="A2102" s="2" t="inlineStr">
        <is>
          <t>O001190</t>
        </is>
      </c>
      <c r="B2102" s="2" t="inlineStr">
        <is>
          <t>2025-06-01</t>
        </is>
      </c>
      <c r="C2102" s="2" t="inlineStr">
        <is>
          <t>C0298</t>
        </is>
      </c>
      <c r="D2102" s="2" t="inlineStr">
        <is>
          <t>P0004</t>
        </is>
      </c>
      <c r="E2102" s="2" t="inlineStr">
        <is>
          <t>USB-C Hub</t>
        </is>
      </c>
      <c r="F2102" s="2" t="inlineStr">
        <is>
          <t>Electronics</t>
        </is>
      </c>
      <c r="G2102" s="2" t="inlineStr">
        <is>
          <t>West</t>
        </is>
      </c>
      <c r="H2102" s="2" t="inlineStr">
        <is>
          <t>Gujarat</t>
        </is>
      </c>
      <c r="I2102" s="2" t="inlineStr">
        <is>
          <t>Vadodara</t>
        </is>
      </c>
      <c r="J2102" s="2" t="inlineStr">
        <is>
          <t>Online</t>
        </is>
      </c>
      <c r="K2102" s="2" t="n">
        <v>2</v>
      </c>
      <c r="L2102" s="3" t="n">
        <v>1299.66</v>
      </c>
      <c r="M2102" s="4" t="n">
        <v>0.2</v>
      </c>
      <c r="N2102" s="3" t="n">
        <v>1807.26</v>
      </c>
      <c r="O2102" s="3">
        <f>K2102*L2102*(1-M2102)</f>
        <v/>
      </c>
      <c r="P2102" s="3">
        <f>O2102-N2102</f>
        <v/>
      </c>
      <c r="Q2102" s="5">
        <f>IFERROR(P2102/O2102,0)</f>
        <v/>
      </c>
      <c r="R2102" s="2">
        <f>TEXT(DATEVALUE(B2102),"mmm")</f>
        <v/>
      </c>
      <c r="S2102" s="2">
        <f>TEXT(DATEVALUE(B2102),"yyyy-mm")</f>
        <v/>
      </c>
    </row>
    <row r="2103">
      <c r="A2103" s="2" t="inlineStr">
        <is>
          <t>O000955</t>
        </is>
      </c>
      <c r="B2103" s="2" t="inlineStr">
        <is>
          <t>2025-06-01</t>
        </is>
      </c>
      <c r="C2103" s="2" t="inlineStr">
        <is>
          <t>C0354</t>
        </is>
      </c>
      <c r="D2103" s="2" t="inlineStr">
        <is>
          <t>P0007</t>
        </is>
      </c>
      <c r="E2103" s="2" t="inlineStr">
        <is>
          <t>Wireless Mouse</t>
        </is>
      </c>
      <c r="F2103" s="2" t="inlineStr">
        <is>
          <t>Electronics</t>
        </is>
      </c>
      <c r="G2103" s="2" t="inlineStr">
        <is>
          <t>West</t>
        </is>
      </c>
      <c r="H2103" s="2" t="inlineStr">
        <is>
          <t>Goa</t>
        </is>
      </c>
      <c r="I2103" s="2" t="inlineStr">
        <is>
          <t>Margao</t>
        </is>
      </c>
      <c r="J2103" s="2" t="inlineStr">
        <is>
          <t>Online</t>
        </is>
      </c>
      <c r="K2103" s="2" t="n">
        <v>1</v>
      </c>
      <c r="L2103" s="3" t="n">
        <v>963.3099999999999</v>
      </c>
      <c r="M2103" s="4" t="n">
        <v>0.1</v>
      </c>
      <c r="N2103" s="3" t="n">
        <v>606.23</v>
      </c>
      <c r="O2103" s="3">
        <f>K2103*L2103*(1-M2103)</f>
        <v/>
      </c>
      <c r="P2103" s="3">
        <f>O2103-N2103</f>
        <v/>
      </c>
      <c r="Q2103" s="5">
        <f>IFERROR(P2103/O2103,0)</f>
        <v/>
      </c>
      <c r="R2103" s="2">
        <f>TEXT(DATEVALUE(B2103),"mmm")</f>
        <v/>
      </c>
      <c r="S2103" s="2">
        <f>TEXT(DATEVALUE(B2103),"yyyy-mm")</f>
        <v/>
      </c>
    </row>
    <row r="2104">
      <c r="A2104" s="2" t="inlineStr">
        <is>
          <t>O000548</t>
        </is>
      </c>
      <c r="B2104" s="2" t="inlineStr">
        <is>
          <t>2025-06-01</t>
        </is>
      </c>
      <c r="C2104" s="2" t="inlineStr">
        <is>
          <t>C0309</t>
        </is>
      </c>
      <c r="D2104" s="2" t="inlineStr">
        <is>
          <t>P0022</t>
        </is>
      </c>
      <c r="E2104" s="2" t="inlineStr">
        <is>
          <t>Face Wash</t>
        </is>
      </c>
      <c r="F2104" s="2" t="inlineStr">
        <is>
          <t>Beauty</t>
        </is>
      </c>
      <c r="G2104" s="2" t="inlineStr">
        <is>
          <t>South</t>
        </is>
      </c>
      <c r="H2104" s="2" t="inlineStr">
        <is>
          <t>Kerala</t>
        </is>
      </c>
      <c r="I2104" s="2" t="inlineStr">
        <is>
          <t>Kochi</t>
        </is>
      </c>
      <c r="J2104" s="2" t="inlineStr">
        <is>
          <t>Store</t>
        </is>
      </c>
      <c r="K2104" s="2" t="n">
        <v>1</v>
      </c>
      <c r="L2104" s="3" t="n">
        <v>561.88</v>
      </c>
      <c r="M2104" s="4" t="n">
        <v>0.15</v>
      </c>
      <c r="N2104" s="3" t="n">
        <v>342.87</v>
      </c>
      <c r="O2104" s="3">
        <f>K2104*L2104*(1-M2104)</f>
        <v/>
      </c>
      <c r="P2104" s="3">
        <f>O2104-N2104</f>
        <v/>
      </c>
      <c r="Q2104" s="5">
        <f>IFERROR(P2104/O2104,0)</f>
        <v/>
      </c>
      <c r="R2104" s="2">
        <f>TEXT(DATEVALUE(B2104),"mmm")</f>
        <v/>
      </c>
      <c r="S2104" s="2">
        <f>TEXT(DATEVALUE(B2104),"yyyy-mm")</f>
        <v/>
      </c>
    </row>
    <row r="2105">
      <c r="A2105" s="2" t="inlineStr">
        <is>
          <t>O000505</t>
        </is>
      </c>
      <c r="B2105" s="2" t="inlineStr">
        <is>
          <t>2025-06-01</t>
        </is>
      </c>
      <c r="C2105" s="2" t="inlineStr">
        <is>
          <t>C0004</t>
        </is>
      </c>
      <c r="D2105" s="2" t="inlineStr">
        <is>
          <t>P0005</t>
        </is>
      </c>
      <c r="E2105" s="2" t="inlineStr">
        <is>
          <t>Power Bank</t>
        </is>
      </c>
      <c r="F2105" s="2" t="inlineStr">
        <is>
          <t>Electronics</t>
        </is>
      </c>
      <c r="G2105" s="2" t="inlineStr">
        <is>
          <t>North</t>
        </is>
      </c>
      <c r="H2105" s="2" t="inlineStr">
        <is>
          <t>Delhi</t>
        </is>
      </c>
      <c r="I2105" s="2" t="inlineStr">
        <is>
          <t>New Delhi</t>
        </is>
      </c>
      <c r="J2105" s="2" t="inlineStr">
        <is>
          <t>Store</t>
        </is>
      </c>
      <c r="K2105" s="2" t="n">
        <v>2</v>
      </c>
      <c r="L2105" s="3" t="n">
        <v>1149.68</v>
      </c>
      <c r="M2105" s="4" t="n">
        <v>0.05</v>
      </c>
      <c r="N2105" s="3" t="n">
        <v>1317.32</v>
      </c>
      <c r="O2105" s="3">
        <f>K2105*L2105*(1-M2105)</f>
        <v/>
      </c>
      <c r="P2105" s="3">
        <f>O2105-N2105</f>
        <v/>
      </c>
      <c r="Q2105" s="5">
        <f>IFERROR(P2105/O2105,0)</f>
        <v/>
      </c>
      <c r="R2105" s="2">
        <f>TEXT(DATEVALUE(B2105),"mmm")</f>
        <v/>
      </c>
      <c r="S2105" s="2">
        <f>TEXT(DATEVALUE(B2105),"yyyy-mm")</f>
        <v/>
      </c>
    </row>
    <row r="2106">
      <c r="A2106" s="2" t="inlineStr">
        <is>
          <t>O000277</t>
        </is>
      </c>
      <c r="B2106" s="2" t="inlineStr">
        <is>
          <t>2025-06-01</t>
        </is>
      </c>
      <c r="C2106" s="2" t="inlineStr">
        <is>
          <t>C0723</t>
        </is>
      </c>
      <c r="D2106" s="2" t="inlineStr">
        <is>
          <t>P0024</t>
        </is>
      </c>
      <c r="E2106" s="2" t="inlineStr">
        <is>
          <t>Hair Dryer</t>
        </is>
      </c>
      <c r="F2106" s="2" t="inlineStr">
        <is>
          <t>Beauty</t>
        </is>
      </c>
      <c r="G2106" s="2" t="inlineStr">
        <is>
          <t>South</t>
        </is>
      </c>
      <c r="H2106" s="2" t="inlineStr">
        <is>
          <t>Kerala</t>
        </is>
      </c>
      <c r="I2106" s="2" t="inlineStr">
        <is>
          <t>Kochi</t>
        </is>
      </c>
      <c r="J2106" s="2" t="inlineStr">
        <is>
          <t>Online</t>
        </is>
      </c>
      <c r="K2106" s="2" t="n">
        <v>3</v>
      </c>
      <c r="L2106" s="3" t="n">
        <v>970.52</v>
      </c>
      <c r="M2106" s="4" t="n">
        <v>0.1</v>
      </c>
      <c r="N2106" s="3" t="n">
        <v>2254.68</v>
      </c>
      <c r="O2106" s="3">
        <f>K2106*L2106*(1-M2106)</f>
        <v/>
      </c>
      <c r="P2106" s="3">
        <f>O2106-N2106</f>
        <v/>
      </c>
      <c r="Q2106" s="5">
        <f>IFERROR(P2106/O2106,0)</f>
        <v/>
      </c>
      <c r="R2106" s="2">
        <f>TEXT(DATEVALUE(B2106),"mmm")</f>
        <v/>
      </c>
      <c r="S2106" s="2">
        <f>TEXT(DATEVALUE(B2106),"yyyy-mm")</f>
        <v/>
      </c>
    </row>
    <row r="2107">
      <c r="A2107" s="2" t="inlineStr">
        <is>
          <t>O000190</t>
        </is>
      </c>
      <c r="B2107" s="2" t="inlineStr">
        <is>
          <t>2025-06-01</t>
        </is>
      </c>
      <c r="C2107" s="2" t="inlineStr">
        <is>
          <t>C0366</t>
        </is>
      </c>
      <c r="D2107" s="2" t="inlineStr">
        <is>
          <t>P0011</t>
        </is>
      </c>
      <c r="E2107" s="2" t="inlineStr">
        <is>
          <t>Cookware Set</t>
        </is>
      </c>
      <c r="F2107" s="2" t="inlineStr">
        <is>
          <t>Home &amp; Kitchen</t>
        </is>
      </c>
      <c r="G2107" s="2" t="inlineStr">
        <is>
          <t>West</t>
        </is>
      </c>
      <c r="H2107" s="2" t="inlineStr">
        <is>
          <t>Gujarat</t>
        </is>
      </c>
      <c r="I2107" s="2" t="inlineStr">
        <is>
          <t>Vadodara</t>
        </is>
      </c>
      <c r="J2107" s="2" t="inlineStr">
        <is>
          <t>Online</t>
        </is>
      </c>
      <c r="K2107" s="2" t="n">
        <v>2</v>
      </c>
      <c r="L2107" s="3" t="n">
        <v>712.23</v>
      </c>
      <c r="M2107" s="4" t="n">
        <v>0.25</v>
      </c>
      <c r="N2107" s="3" t="n">
        <v>938.28</v>
      </c>
      <c r="O2107" s="3">
        <f>K2107*L2107*(1-M2107)</f>
        <v/>
      </c>
      <c r="P2107" s="3">
        <f>O2107-N2107</f>
        <v/>
      </c>
      <c r="Q2107" s="5">
        <f>IFERROR(P2107/O2107,0)</f>
        <v/>
      </c>
      <c r="R2107" s="2">
        <f>TEXT(DATEVALUE(B2107),"mmm")</f>
        <v/>
      </c>
      <c r="S2107" s="2">
        <f>TEXT(DATEVALUE(B2107),"yyyy-mm")</f>
        <v/>
      </c>
    </row>
    <row r="2108">
      <c r="A2108" s="2" t="inlineStr">
        <is>
          <t>O000015</t>
        </is>
      </c>
      <c r="B2108" s="2" t="inlineStr">
        <is>
          <t>2025-06-01</t>
        </is>
      </c>
      <c r="C2108" s="2" t="inlineStr">
        <is>
          <t>C0179</t>
        </is>
      </c>
      <c r="D2108" s="2" t="inlineStr">
        <is>
          <t>P0016</t>
        </is>
      </c>
      <c r="E2108" s="2" t="inlineStr">
        <is>
          <t>Casual Shirt</t>
        </is>
      </c>
      <c r="F2108" s="2" t="inlineStr">
        <is>
          <t>Fashion</t>
        </is>
      </c>
      <c r="G2108" s="2" t="inlineStr">
        <is>
          <t>North</t>
        </is>
      </c>
      <c r="H2108" s="2" t="inlineStr">
        <is>
          <t>Punjab</t>
        </is>
      </c>
      <c r="I2108" s="2" t="inlineStr">
        <is>
          <t>Ludhiana</t>
        </is>
      </c>
      <c r="J2108" s="2" t="inlineStr">
        <is>
          <t>Online</t>
        </is>
      </c>
      <c r="K2108" s="2" t="n">
        <v>3</v>
      </c>
      <c r="L2108" s="3" t="n">
        <v>1325.94</v>
      </c>
      <c r="M2108" s="4" t="n">
        <v>0.1</v>
      </c>
      <c r="N2108" s="3" t="n">
        <v>2668.75</v>
      </c>
      <c r="O2108" s="3">
        <f>K2108*L2108*(1-M2108)</f>
        <v/>
      </c>
      <c r="P2108" s="3">
        <f>O2108-N2108</f>
        <v/>
      </c>
      <c r="Q2108" s="5">
        <f>IFERROR(P2108/O2108,0)</f>
        <v/>
      </c>
      <c r="R2108" s="2">
        <f>TEXT(DATEVALUE(B2108),"mmm")</f>
        <v/>
      </c>
      <c r="S2108" s="2">
        <f>TEXT(DATEVALUE(B2108),"yyyy-mm")</f>
        <v/>
      </c>
    </row>
    <row r="2109">
      <c r="A2109" s="2" t="inlineStr">
        <is>
          <t>O001475</t>
        </is>
      </c>
      <c r="B2109" s="2" t="inlineStr">
        <is>
          <t>2025-06-01</t>
        </is>
      </c>
      <c r="C2109" s="2" t="inlineStr">
        <is>
          <t>C0487</t>
        </is>
      </c>
      <c r="D2109" s="2" t="inlineStr">
        <is>
          <t>P0011</t>
        </is>
      </c>
      <c r="E2109" s="2" t="inlineStr">
        <is>
          <t>Cookware Set</t>
        </is>
      </c>
      <c r="F2109" s="2" t="inlineStr">
        <is>
          <t>Home &amp; Kitchen</t>
        </is>
      </c>
      <c r="G2109" s="2" t="inlineStr">
        <is>
          <t>West</t>
        </is>
      </c>
      <c r="H2109" s="2" t="inlineStr">
        <is>
          <t>Gujarat</t>
        </is>
      </c>
      <c r="I2109" s="2" t="inlineStr">
        <is>
          <t>Surat</t>
        </is>
      </c>
      <c r="J2109" s="2" t="inlineStr">
        <is>
          <t>Online</t>
        </is>
      </c>
      <c r="K2109" s="2" t="n">
        <v>1</v>
      </c>
      <c r="L2109" s="3" t="n">
        <v>703.54</v>
      </c>
      <c r="M2109" s="4" t="n">
        <v>0</v>
      </c>
      <c r="N2109" s="3" t="n">
        <v>472.41</v>
      </c>
      <c r="O2109" s="3">
        <f>K2109*L2109*(1-M2109)</f>
        <v/>
      </c>
      <c r="P2109" s="3">
        <f>O2109-N2109</f>
        <v/>
      </c>
      <c r="Q2109" s="5">
        <f>IFERROR(P2109/O2109,0)</f>
        <v/>
      </c>
      <c r="R2109" s="2">
        <f>TEXT(DATEVALUE(B2109),"mmm")</f>
        <v/>
      </c>
      <c r="S2109" s="2">
        <f>TEXT(DATEVALUE(B2109),"yyyy-mm")</f>
        <v/>
      </c>
    </row>
    <row r="2110">
      <c r="A2110" s="2" t="inlineStr">
        <is>
          <t>O004861</t>
        </is>
      </c>
      <c r="B2110" s="2" t="inlineStr">
        <is>
          <t>2025-06-02</t>
        </is>
      </c>
      <c r="C2110" s="2" t="inlineStr">
        <is>
          <t>C0746</t>
        </is>
      </c>
      <c r="D2110" s="2" t="inlineStr">
        <is>
          <t>P0001</t>
        </is>
      </c>
      <c r="E2110" s="2" t="inlineStr">
        <is>
          <t>Wireless Headphones</t>
        </is>
      </c>
      <c r="F2110" s="2" t="inlineStr">
        <is>
          <t>Electronics</t>
        </is>
      </c>
      <c r="G2110" s="2" t="inlineStr">
        <is>
          <t>North</t>
        </is>
      </c>
      <c r="H2110" s="2" t="inlineStr">
        <is>
          <t>Haryana</t>
        </is>
      </c>
      <c r="I2110" s="2" t="inlineStr">
        <is>
          <t>Faridabad</t>
        </is>
      </c>
      <c r="J2110" s="2" t="inlineStr">
        <is>
          <t>Online</t>
        </is>
      </c>
      <c r="K2110" s="2" t="n">
        <v>1</v>
      </c>
      <c r="L2110" s="3" t="n">
        <v>1268.09</v>
      </c>
      <c r="M2110" s="4" t="n">
        <v>0.05</v>
      </c>
      <c r="N2110" s="3" t="n">
        <v>697.14</v>
      </c>
      <c r="O2110" s="3">
        <f>K2110*L2110*(1-M2110)</f>
        <v/>
      </c>
      <c r="P2110" s="3">
        <f>O2110-N2110</f>
        <v/>
      </c>
      <c r="Q2110" s="5">
        <f>IFERROR(P2110/O2110,0)</f>
        <v/>
      </c>
      <c r="R2110" s="2">
        <f>TEXT(DATEVALUE(B2110),"mmm")</f>
        <v/>
      </c>
      <c r="S2110" s="2">
        <f>TEXT(DATEVALUE(B2110),"yyyy-mm")</f>
        <v/>
      </c>
    </row>
    <row r="2111">
      <c r="A2111" s="2" t="inlineStr">
        <is>
          <t>O004520</t>
        </is>
      </c>
      <c r="B2111" s="2" t="inlineStr">
        <is>
          <t>2025-06-02</t>
        </is>
      </c>
      <c r="C2111" s="2" t="inlineStr">
        <is>
          <t>C0161</t>
        </is>
      </c>
      <c r="D2111" s="2" t="inlineStr">
        <is>
          <t>P0011</t>
        </is>
      </c>
      <c r="E2111" s="2" t="inlineStr">
        <is>
          <t>Cookware Set</t>
        </is>
      </c>
      <c r="F2111" s="2" t="inlineStr">
        <is>
          <t>Home &amp; Kitchen</t>
        </is>
      </c>
      <c r="G2111" s="2" t="inlineStr">
        <is>
          <t>West</t>
        </is>
      </c>
      <c r="H2111" s="2" t="inlineStr">
        <is>
          <t>Maharashtra</t>
        </is>
      </c>
      <c r="I2111" s="2" t="inlineStr">
        <is>
          <t>Nashik</t>
        </is>
      </c>
      <c r="J2111" s="2" t="inlineStr">
        <is>
          <t>Online</t>
        </is>
      </c>
      <c r="K2111" s="2" t="n">
        <v>5</v>
      </c>
      <c r="L2111" s="3" t="n">
        <v>733.5</v>
      </c>
      <c r="M2111" s="4" t="n">
        <v>0.1</v>
      </c>
      <c r="N2111" s="3" t="n">
        <v>2342.42</v>
      </c>
      <c r="O2111" s="3">
        <f>K2111*L2111*(1-M2111)</f>
        <v/>
      </c>
      <c r="P2111" s="3">
        <f>O2111-N2111</f>
        <v/>
      </c>
      <c r="Q2111" s="5">
        <f>IFERROR(P2111/O2111,0)</f>
        <v/>
      </c>
      <c r="R2111" s="2">
        <f>TEXT(DATEVALUE(B2111),"mmm")</f>
        <v/>
      </c>
      <c r="S2111" s="2">
        <f>TEXT(DATEVALUE(B2111),"yyyy-mm")</f>
        <v/>
      </c>
    </row>
    <row r="2112">
      <c r="A2112" s="2" t="inlineStr">
        <is>
          <t>O004514</t>
        </is>
      </c>
      <c r="B2112" s="2" t="inlineStr">
        <is>
          <t>2025-06-02</t>
        </is>
      </c>
      <c r="C2112" s="2" t="inlineStr">
        <is>
          <t>C0242</t>
        </is>
      </c>
      <c r="D2112" s="2" t="inlineStr">
        <is>
          <t>P0024</t>
        </is>
      </c>
      <c r="E2112" s="2" t="inlineStr">
        <is>
          <t>Hair Dryer</t>
        </is>
      </c>
      <c r="F2112" s="2" t="inlineStr">
        <is>
          <t>Beauty</t>
        </is>
      </c>
      <c r="G2112" s="2" t="inlineStr">
        <is>
          <t>West</t>
        </is>
      </c>
      <c r="H2112" s="2" t="inlineStr">
        <is>
          <t>Goa</t>
        </is>
      </c>
      <c r="I2112" s="2" t="inlineStr">
        <is>
          <t>Panaji</t>
        </is>
      </c>
      <c r="J2112" s="2" t="inlineStr">
        <is>
          <t>Online</t>
        </is>
      </c>
      <c r="K2112" s="2" t="n">
        <v>1</v>
      </c>
      <c r="L2112" s="3" t="n">
        <v>990.1</v>
      </c>
      <c r="M2112" s="4" t="n">
        <v>0.15</v>
      </c>
      <c r="N2112" s="3" t="n">
        <v>755.46</v>
      </c>
      <c r="O2112" s="3">
        <f>K2112*L2112*(1-M2112)</f>
        <v/>
      </c>
      <c r="P2112" s="3">
        <f>O2112-N2112</f>
        <v/>
      </c>
      <c r="Q2112" s="5">
        <f>IFERROR(P2112/O2112,0)</f>
        <v/>
      </c>
      <c r="R2112" s="2">
        <f>TEXT(DATEVALUE(B2112),"mmm")</f>
        <v/>
      </c>
      <c r="S2112" s="2">
        <f>TEXT(DATEVALUE(B2112),"yyyy-mm")</f>
        <v/>
      </c>
    </row>
    <row r="2113">
      <c r="A2113" s="2" t="inlineStr">
        <is>
          <t>O004175</t>
        </is>
      </c>
      <c r="B2113" s="2" t="inlineStr">
        <is>
          <t>2025-06-02</t>
        </is>
      </c>
      <c r="C2113" s="2" t="inlineStr">
        <is>
          <t>C0336</t>
        </is>
      </c>
      <c r="D2113" s="2" t="inlineStr">
        <is>
          <t>P0011</t>
        </is>
      </c>
      <c r="E2113" s="2" t="inlineStr">
        <is>
          <t>Cookware Set</t>
        </is>
      </c>
      <c r="F2113" s="2" t="inlineStr">
        <is>
          <t>Home &amp; Kitchen</t>
        </is>
      </c>
      <c r="G2113" s="2" t="inlineStr">
        <is>
          <t>West</t>
        </is>
      </c>
      <c r="H2113" s="2" t="inlineStr">
        <is>
          <t>Gujarat</t>
        </is>
      </c>
      <c r="I2113" s="2" t="inlineStr">
        <is>
          <t>Vadodara</t>
        </is>
      </c>
      <c r="J2113" s="2" t="inlineStr">
        <is>
          <t>Online</t>
        </is>
      </c>
      <c r="K2113" s="2" t="n">
        <v>1</v>
      </c>
      <c r="L2113" s="3" t="n">
        <v>711.9</v>
      </c>
      <c r="M2113" s="4" t="n">
        <v>0.05</v>
      </c>
      <c r="N2113" s="3" t="n">
        <v>464.12</v>
      </c>
      <c r="O2113" s="3">
        <f>K2113*L2113*(1-M2113)</f>
        <v/>
      </c>
      <c r="P2113" s="3">
        <f>O2113-N2113</f>
        <v/>
      </c>
      <c r="Q2113" s="5">
        <f>IFERROR(P2113/O2113,0)</f>
        <v/>
      </c>
      <c r="R2113" s="2">
        <f>TEXT(DATEVALUE(B2113),"mmm")</f>
        <v/>
      </c>
      <c r="S2113" s="2">
        <f>TEXT(DATEVALUE(B2113),"yyyy-mm")</f>
        <v/>
      </c>
    </row>
    <row r="2114">
      <c r="A2114" s="2" t="inlineStr">
        <is>
          <t>O003834</t>
        </is>
      </c>
      <c r="B2114" s="2" t="inlineStr">
        <is>
          <t>2025-06-02</t>
        </is>
      </c>
      <c r="C2114" s="2" t="inlineStr">
        <is>
          <t>C0734</t>
        </is>
      </c>
      <c r="D2114" s="2" t="inlineStr">
        <is>
          <t>P0014</t>
        </is>
      </c>
      <c r="E2114" s="2" t="inlineStr">
        <is>
          <t>Coffee Maker</t>
        </is>
      </c>
      <c r="F2114" s="2" t="inlineStr">
        <is>
          <t>Home &amp; Kitchen</t>
        </is>
      </c>
      <c r="G2114" s="2" t="inlineStr">
        <is>
          <t>West</t>
        </is>
      </c>
      <c r="H2114" s="2" t="inlineStr">
        <is>
          <t>Gujarat</t>
        </is>
      </c>
      <c r="I2114" s="2" t="inlineStr">
        <is>
          <t>Ahmedabad</t>
        </is>
      </c>
      <c r="J2114" s="2" t="inlineStr">
        <is>
          <t>Online</t>
        </is>
      </c>
      <c r="K2114" s="2" t="n">
        <v>1</v>
      </c>
      <c r="L2114" s="3" t="n">
        <v>1081.95</v>
      </c>
      <c r="M2114" s="4" t="n">
        <v>0.05</v>
      </c>
      <c r="N2114" s="3" t="n">
        <v>786.3099999999999</v>
      </c>
      <c r="O2114" s="3">
        <f>K2114*L2114*(1-M2114)</f>
        <v/>
      </c>
      <c r="P2114" s="3">
        <f>O2114-N2114</f>
        <v/>
      </c>
      <c r="Q2114" s="5">
        <f>IFERROR(P2114/O2114,0)</f>
        <v/>
      </c>
      <c r="R2114" s="2">
        <f>TEXT(DATEVALUE(B2114),"mmm")</f>
        <v/>
      </c>
      <c r="S2114" s="2">
        <f>TEXT(DATEVALUE(B2114),"yyyy-mm")</f>
        <v/>
      </c>
    </row>
    <row r="2115">
      <c r="A2115" s="2" t="inlineStr">
        <is>
          <t>O003290</t>
        </is>
      </c>
      <c r="B2115" s="2" t="inlineStr">
        <is>
          <t>2025-06-02</t>
        </is>
      </c>
      <c r="C2115" s="2" t="inlineStr">
        <is>
          <t>C0137</t>
        </is>
      </c>
      <c r="D2115" s="2" t="inlineStr">
        <is>
          <t>P0015</t>
        </is>
      </c>
      <c r="E2115" s="2" t="inlineStr">
        <is>
          <t>Running Shoes</t>
        </is>
      </c>
      <c r="F2115" s="2" t="inlineStr">
        <is>
          <t>Fashion</t>
        </is>
      </c>
      <c r="G2115" s="2" t="inlineStr">
        <is>
          <t>West</t>
        </is>
      </c>
      <c r="H2115" s="2" t="inlineStr">
        <is>
          <t>Gujarat</t>
        </is>
      </c>
      <c r="I2115" s="2" t="inlineStr">
        <is>
          <t>Ahmedabad</t>
        </is>
      </c>
      <c r="J2115" s="2" t="inlineStr">
        <is>
          <t>Store</t>
        </is>
      </c>
      <c r="K2115" s="2" t="n">
        <v>2</v>
      </c>
      <c r="L2115" s="3" t="n">
        <v>627.84</v>
      </c>
      <c r="M2115" s="4" t="n">
        <v>0.2</v>
      </c>
      <c r="N2115" s="3" t="n">
        <v>751.7</v>
      </c>
      <c r="O2115" s="3">
        <f>K2115*L2115*(1-M2115)</f>
        <v/>
      </c>
      <c r="P2115" s="3">
        <f>O2115-N2115</f>
        <v/>
      </c>
      <c r="Q2115" s="5">
        <f>IFERROR(P2115/O2115,0)</f>
        <v/>
      </c>
      <c r="R2115" s="2">
        <f>TEXT(DATEVALUE(B2115),"mmm")</f>
        <v/>
      </c>
      <c r="S2115" s="2">
        <f>TEXT(DATEVALUE(B2115),"yyyy-mm")</f>
        <v/>
      </c>
    </row>
    <row r="2116">
      <c r="A2116" s="2" t="inlineStr">
        <is>
          <t>O003219</t>
        </is>
      </c>
      <c r="B2116" s="2" t="inlineStr">
        <is>
          <t>2025-06-02</t>
        </is>
      </c>
      <c r="C2116" s="2" t="inlineStr">
        <is>
          <t>C0439</t>
        </is>
      </c>
      <c r="D2116" s="2" t="inlineStr">
        <is>
          <t>P0017</t>
        </is>
      </c>
      <c r="E2116" s="2" t="inlineStr">
        <is>
          <t>Jeans</t>
        </is>
      </c>
      <c r="F2116" s="2" t="inlineStr">
        <is>
          <t>Fashion</t>
        </is>
      </c>
      <c r="G2116" s="2" t="inlineStr">
        <is>
          <t>South</t>
        </is>
      </c>
      <c r="H2116" s="2" t="inlineStr">
        <is>
          <t>Tamil Nadu</t>
        </is>
      </c>
      <c r="I2116" s="2" t="inlineStr">
        <is>
          <t>Madurai</t>
        </is>
      </c>
      <c r="J2116" s="2" t="inlineStr">
        <is>
          <t>Store</t>
        </is>
      </c>
      <c r="K2116" s="2" t="n">
        <v>1</v>
      </c>
      <c r="L2116" s="3" t="n">
        <v>1429.91</v>
      </c>
      <c r="M2116" s="4" t="n">
        <v>0.1</v>
      </c>
      <c r="N2116" s="3" t="n">
        <v>994.24</v>
      </c>
      <c r="O2116" s="3">
        <f>K2116*L2116*(1-M2116)</f>
        <v/>
      </c>
      <c r="P2116" s="3">
        <f>O2116-N2116</f>
        <v/>
      </c>
      <c r="Q2116" s="5">
        <f>IFERROR(P2116/O2116,0)</f>
        <v/>
      </c>
      <c r="R2116" s="2">
        <f>TEXT(DATEVALUE(B2116),"mmm")</f>
        <v/>
      </c>
      <c r="S2116" s="2">
        <f>TEXT(DATEVALUE(B2116),"yyyy-mm")</f>
        <v/>
      </c>
    </row>
    <row r="2117">
      <c r="A2117" s="2" t="inlineStr">
        <is>
          <t>O002606</t>
        </is>
      </c>
      <c r="B2117" s="2" t="inlineStr">
        <is>
          <t>2025-06-02</t>
        </is>
      </c>
      <c r="C2117" s="2" t="inlineStr">
        <is>
          <t>C0427</t>
        </is>
      </c>
      <c r="D2117" s="2" t="inlineStr">
        <is>
          <t>P0007</t>
        </is>
      </c>
      <c r="E2117" s="2" t="inlineStr">
        <is>
          <t>Wireless Mouse</t>
        </is>
      </c>
      <c r="F2117" s="2" t="inlineStr">
        <is>
          <t>Electronics</t>
        </is>
      </c>
      <c r="G2117" s="2" t="inlineStr">
        <is>
          <t>South</t>
        </is>
      </c>
      <c r="H2117" s="2" t="inlineStr">
        <is>
          <t>Kerala</t>
        </is>
      </c>
      <c r="I2117" s="2" t="inlineStr">
        <is>
          <t>Thiruvananthapuram</t>
        </is>
      </c>
      <c r="J2117" s="2" t="inlineStr">
        <is>
          <t>Online</t>
        </is>
      </c>
      <c r="K2117" s="2" t="n">
        <v>4</v>
      </c>
      <c r="L2117" s="3" t="n">
        <v>1026.11</v>
      </c>
      <c r="M2117" s="4" t="n">
        <v>0.2</v>
      </c>
      <c r="N2117" s="3" t="n">
        <v>2542.65</v>
      </c>
      <c r="O2117" s="3">
        <f>K2117*L2117*(1-M2117)</f>
        <v/>
      </c>
      <c r="P2117" s="3">
        <f>O2117-N2117</f>
        <v/>
      </c>
      <c r="Q2117" s="5">
        <f>IFERROR(P2117/O2117,0)</f>
        <v/>
      </c>
      <c r="R2117" s="2">
        <f>TEXT(DATEVALUE(B2117),"mmm")</f>
        <v/>
      </c>
      <c r="S2117" s="2">
        <f>TEXT(DATEVALUE(B2117),"yyyy-mm")</f>
        <v/>
      </c>
    </row>
    <row r="2118">
      <c r="A2118" s="2" t="inlineStr">
        <is>
          <t>O001777</t>
        </is>
      </c>
      <c r="B2118" s="2" t="inlineStr">
        <is>
          <t>2025-06-02</t>
        </is>
      </c>
      <c r="C2118" s="2" t="inlineStr">
        <is>
          <t>C0558</t>
        </is>
      </c>
      <c r="D2118" s="2" t="inlineStr">
        <is>
          <t>P0034</t>
        </is>
      </c>
      <c r="E2118" s="2" t="inlineStr">
        <is>
          <t>Gym Gloves</t>
        </is>
      </c>
      <c r="F2118" s="2" t="inlineStr">
        <is>
          <t>Sports</t>
        </is>
      </c>
      <c r="G2118" s="2" t="inlineStr">
        <is>
          <t>South</t>
        </is>
      </c>
      <c r="H2118" s="2" t="inlineStr">
        <is>
          <t>Karnataka</t>
        </is>
      </c>
      <c r="I2118" s="2" t="inlineStr">
        <is>
          <t>Mysuru</t>
        </is>
      </c>
      <c r="J2118" s="2" t="inlineStr">
        <is>
          <t>Online</t>
        </is>
      </c>
      <c r="K2118" s="2" t="n">
        <v>1</v>
      </c>
      <c r="L2118" s="3" t="n">
        <v>597.37</v>
      </c>
      <c r="M2118" s="4" t="n">
        <v>0</v>
      </c>
      <c r="N2118" s="3" t="n">
        <v>398.08</v>
      </c>
      <c r="O2118" s="3">
        <f>K2118*L2118*(1-M2118)</f>
        <v/>
      </c>
      <c r="P2118" s="3">
        <f>O2118-N2118</f>
        <v/>
      </c>
      <c r="Q2118" s="5">
        <f>IFERROR(P2118/O2118,0)</f>
        <v/>
      </c>
      <c r="R2118" s="2">
        <f>TEXT(DATEVALUE(B2118),"mmm")</f>
        <v/>
      </c>
      <c r="S2118" s="2">
        <f>TEXT(DATEVALUE(B2118),"yyyy-mm")</f>
        <v/>
      </c>
    </row>
    <row r="2119">
      <c r="A2119" s="2" t="inlineStr">
        <is>
          <t>O001543</t>
        </is>
      </c>
      <c r="B2119" s="2" t="inlineStr">
        <is>
          <t>2025-06-02</t>
        </is>
      </c>
      <c r="C2119" s="2" t="inlineStr">
        <is>
          <t>C0283</t>
        </is>
      </c>
      <c r="D2119" s="2" t="inlineStr">
        <is>
          <t>P0031</t>
        </is>
      </c>
      <c r="E2119" s="2" t="inlineStr">
        <is>
          <t>Cricket Bat</t>
        </is>
      </c>
      <c r="F2119" s="2" t="inlineStr">
        <is>
          <t>Sports</t>
        </is>
      </c>
      <c r="G2119" s="2" t="inlineStr">
        <is>
          <t>West</t>
        </is>
      </c>
      <c r="H2119" s="2" t="inlineStr">
        <is>
          <t>Gujarat</t>
        </is>
      </c>
      <c r="I2119" s="2" t="inlineStr">
        <is>
          <t>Ahmedabad</t>
        </is>
      </c>
      <c r="J2119" s="2" t="inlineStr">
        <is>
          <t>Store</t>
        </is>
      </c>
      <c r="K2119" s="2" t="n">
        <v>4</v>
      </c>
      <c r="L2119" s="3" t="n">
        <v>1402.3</v>
      </c>
      <c r="M2119" s="4" t="n">
        <v>0.1</v>
      </c>
      <c r="N2119" s="3" t="n">
        <v>3706.06</v>
      </c>
      <c r="O2119" s="3">
        <f>K2119*L2119*(1-M2119)</f>
        <v/>
      </c>
      <c r="P2119" s="3">
        <f>O2119-N2119</f>
        <v/>
      </c>
      <c r="Q2119" s="5">
        <f>IFERROR(P2119/O2119,0)</f>
        <v/>
      </c>
      <c r="R2119" s="2">
        <f>TEXT(DATEVALUE(B2119),"mmm")</f>
        <v/>
      </c>
      <c r="S2119" s="2">
        <f>TEXT(DATEVALUE(B2119),"yyyy-mm")</f>
        <v/>
      </c>
    </row>
    <row r="2120">
      <c r="A2120" s="2" t="inlineStr">
        <is>
          <t>O001525</t>
        </is>
      </c>
      <c r="B2120" s="2" t="inlineStr">
        <is>
          <t>2025-06-02</t>
        </is>
      </c>
      <c r="C2120" s="2" t="inlineStr">
        <is>
          <t>C0797</t>
        </is>
      </c>
      <c r="D2120" s="2" t="inlineStr">
        <is>
          <t>P0014</t>
        </is>
      </c>
      <c r="E2120" s="2" t="inlineStr">
        <is>
          <t>Coffee Maker</t>
        </is>
      </c>
      <c r="F2120" s="2" t="inlineStr">
        <is>
          <t>Home &amp; Kitchen</t>
        </is>
      </c>
      <c r="G2120" s="2" t="inlineStr">
        <is>
          <t>North</t>
        </is>
      </c>
      <c r="H2120" s="2" t="inlineStr">
        <is>
          <t>Haryana</t>
        </is>
      </c>
      <c r="I2120" s="2" t="inlineStr">
        <is>
          <t>Faridabad</t>
        </is>
      </c>
      <c r="J2120" s="2" t="inlineStr">
        <is>
          <t>Online</t>
        </is>
      </c>
      <c r="K2120" s="2" t="n">
        <v>1</v>
      </c>
      <c r="L2120" s="3" t="n">
        <v>1019.73</v>
      </c>
      <c r="M2120" s="4" t="n">
        <v>0.1</v>
      </c>
      <c r="N2120" s="3" t="n">
        <v>784.55</v>
      </c>
      <c r="O2120" s="3">
        <f>K2120*L2120*(1-M2120)</f>
        <v/>
      </c>
      <c r="P2120" s="3">
        <f>O2120-N2120</f>
        <v/>
      </c>
      <c r="Q2120" s="5">
        <f>IFERROR(P2120/O2120,0)</f>
        <v/>
      </c>
      <c r="R2120" s="2">
        <f>TEXT(DATEVALUE(B2120),"mmm")</f>
        <v/>
      </c>
      <c r="S2120" s="2">
        <f>TEXT(DATEVALUE(B2120),"yyyy-mm")</f>
        <v/>
      </c>
    </row>
    <row r="2121">
      <c r="A2121" s="2" t="inlineStr">
        <is>
          <t>O001347</t>
        </is>
      </c>
      <c r="B2121" s="2" t="inlineStr">
        <is>
          <t>2025-06-02</t>
        </is>
      </c>
      <c r="C2121" s="2" t="inlineStr">
        <is>
          <t>C0569</t>
        </is>
      </c>
      <c r="D2121" s="2" t="inlineStr">
        <is>
          <t>P0011</t>
        </is>
      </c>
      <c r="E2121" s="2" t="inlineStr">
        <is>
          <t>Cookware Set</t>
        </is>
      </c>
      <c r="F2121" s="2" t="inlineStr">
        <is>
          <t>Home &amp; Kitchen</t>
        </is>
      </c>
      <c r="G2121" s="2" t="inlineStr">
        <is>
          <t>North</t>
        </is>
      </c>
      <c r="H2121" s="2" t="inlineStr">
        <is>
          <t>Delhi</t>
        </is>
      </c>
      <c r="I2121" s="2" t="inlineStr">
        <is>
          <t>New Delhi</t>
        </is>
      </c>
      <c r="J2121" s="2" t="inlineStr">
        <is>
          <t>Online</t>
        </is>
      </c>
      <c r="K2121" s="2" t="n">
        <v>1</v>
      </c>
      <c r="L2121" s="3" t="n">
        <v>732.6799999999999</v>
      </c>
      <c r="M2121" s="4" t="n">
        <v>0.05</v>
      </c>
      <c r="N2121" s="3" t="n">
        <v>470.26</v>
      </c>
      <c r="O2121" s="3">
        <f>K2121*L2121*(1-M2121)</f>
        <v/>
      </c>
      <c r="P2121" s="3">
        <f>O2121-N2121</f>
        <v/>
      </c>
      <c r="Q2121" s="5">
        <f>IFERROR(P2121/O2121,0)</f>
        <v/>
      </c>
      <c r="R2121" s="2">
        <f>TEXT(DATEVALUE(B2121),"mmm")</f>
        <v/>
      </c>
      <c r="S2121" s="2">
        <f>TEXT(DATEVALUE(B2121),"yyyy-mm")</f>
        <v/>
      </c>
    </row>
    <row r="2122">
      <c r="A2122" s="2" t="inlineStr">
        <is>
          <t>O001066</t>
        </is>
      </c>
      <c r="B2122" s="2" t="inlineStr">
        <is>
          <t>2025-06-02</t>
        </is>
      </c>
      <c r="C2122" s="2" t="inlineStr">
        <is>
          <t>C0637</t>
        </is>
      </c>
      <c r="D2122" s="2" t="inlineStr">
        <is>
          <t>P0014</t>
        </is>
      </c>
      <c r="E2122" s="2" t="inlineStr">
        <is>
          <t>Coffee Maker</t>
        </is>
      </c>
      <c r="F2122" s="2" t="inlineStr">
        <is>
          <t>Home &amp; Kitchen</t>
        </is>
      </c>
      <c r="G2122" s="2" t="inlineStr">
        <is>
          <t>East</t>
        </is>
      </c>
      <c r="H2122" s="2" t="inlineStr">
        <is>
          <t>Odisha</t>
        </is>
      </c>
      <c r="I2122" s="2" t="inlineStr">
        <is>
          <t>Bhubaneswar</t>
        </is>
      </c>
      <c r="J2122" s="2" t="inlineStr">
        <is>
          <t>Store</t>
        </is>
      </c>
      <c r="K2122" s="2" t="n">
        <v>6</v>
      </c>
      <c r="L2122" s="3" t="n">
        <v>1079.89</v>
      </c>
      <c r="M2122" s="4" t="n">
        <v>0.1</v>
      </c>
      <c r="N2122" s="3" t="n">
        <v>4740.87</v>
      </c>
      <c r="O2122" s="3">
        <f>K2122*L2122*(1-M2122)</f>
        <v/>
      </c>
      <c r="P2122" s="3">
        <f>O2122-N2122</f>
        <v/>
      </c>
      <c r="Q2122" s="5">
        <f>IFERROR(P2122/O2122,0)</f>
        <v/>
      </c>
      <c r="R2122" s="2">
        <f>TEXT(DATEVALUE(B2122),"mmm")</f>
        <v/>
      </c>
      <c r="S2122" s="2">
        <f>TEXT(DATEVALUE(B2122),"yyyy-mm")</f>
        <v/>
      </c>
    </row>
    <row r="2123">
      <c r="A2123" s="2" t="inlineStr">
        <is>
          <t>O000396</t>
        </is>
      </c>
      <c r="B2123" s="2" t="inlineStr">
        <is>
          <t>2025-06-02</t>
        </is>
      </c>
      <c r="C2123" s="2" t="inlineStr">
        <is>
          <t>C0442</t>
        </is>
      </c>
      <c r="D2123" s="2" t="inlineStr">
        <is>
          <t>P0010</t>
        </is>
      </c>
      <c r="E2123" s="2" t="inlineStr">
        <is>
          <t>Mixer Grinder</t>
        </is>
      </c>
      <c r="F2123" s="2" t="inlineStr">
        <is>
          <t>Home &amp; Kitchen</t>
        </is>
      </c>
      <c r="G2123" s="2" t="inlineStr">
        <is>
          <t>West</t>
        </is>
      </c>
      <c r="H2123" s="2" t="inlineStr">
        <is>
          <t>Maharashtra</t>
        </is>
      </c>
      <c r="I2123" s="2" t="inlineStr">
        <is>
          <t>Nagpur</t>
        </is>
      </c>
      <c r="J2123" s="2" t="inlineStr">
        <is>
          <t>Online</t>
        </is>
      </c>
      <c r="K2123" s="2" t="n">
        <v>2</v>
      </c>
      <c r="L2123" s="3" t="n">
        <v>1566.86</v>
      </c>
      <c r="M2123" s="4" t="n">
        <v>0.05</v>
      </c>
      <c r="N2123" s="3" t="n">
        <v>2117.04</v>
      </c>
      <c r="O2123" s="3">
        <f>K2123*L2123*(1-M2123)</f>
        <v/>
      </c>
      <c r="P2123" s="3">
        <f>O2123-N2123</f>
        <v/>
      </c>
      <c r="Q2123" s="5">
        <f>IFERROR(P2123/O2123,0)</f>
        <v/>
      </c>
      <c r="R2123" s="2">
        <f>TEXT(DATEVALUE(B2123),"mmm")</f>
        <v/>
      </c>
      <c r="S2123" s="2">
        <f>TEXT(DATEVALUE(B2123),"yyyy-mm")</f>
        <v/>
      </c>
    </row>
    <row r="2124">
      <c r="A2124" s="2" t="inlineStr">
        <is>
          <t>O000290</t>
        </is>
      </c>
      <c r="B2124" s="2" t="inlineStr">
        <is>
          <t>2025-06-02</t>
        </is>
      </c>
      <c r="C2124" s="2" t="inlineStr">
        <is>
          <t>C0500</t>
        </is>
      </c>
      <c r="D2124" s="2" t="inlineStr">
        <is>
          <t>P0017</t>
        </is>
      </c>
      <c r="E2124" s="2" t="inlineStr">
        <is>
          <t>Jeans</t>
        </is>
      </c>
      <c r="F2124" s="2" t="inlineStr">
        <is>
          <t>Fashion</t>
        </is>
      </c>
      <c r="G2124" s="2" t="inlineStr">
        <is>
          <t>South</t>
        </is>
      </c>
      <c r="H2124" s="2" t="inlineStr">
        <is>
          <t>Karnataka</t>
        </is>
      </c>
      <c r="I2124" s="2" t="inlineStr">
        <is>
          <t>Mysuru</t>
        </is>
      </c>
      <c r="J2124" s="2" t="inlineStr">
        <is>
          <t>Online</t>
        </is>
      </c>
      <c r="K2124" s="2" t="n">
        <v>3</v>
      </c>
      <c r="L2124" s="3" t="n">
        <v>1535.7</v>
      </c>
      <c r="M2124" s="4" t="n">
        <v>0.05</v>
      </c>
      <c r="N2124" s="3" t="n">
        <v>3067.87</v>
      </c>
      <c r="O2124" s="3">
        <f>K2124*L2124*(1-M2124)</f>
        <v/>
      </c>
      <c r="P2124" s="3">
        <f>O2124-N2124</f>
        <v/>
      </c>
      <c r="Q2124" s="5">
        <f>IFERROR(P2124/O2124,0)</f>
        <v/>
      </c>
      <c r="R2124" s="2">
        <f>TEXT(DATEVALUE(B2124),"mmm")</f>
        <v/>
      </c>
      <c r="S2124" s="2">
        <f>TEXT(DATEVALUE(B2124),"yyyy-mm")</f>
        <v/>
      </c>
    </row>
    <row r="2125">
      <c r="A2125" s="2" t="inlineStr">
        <is>
          <t>O002133</t>
        </is>
      </c>
      <c r="B2125" s="2" t="inlineStr">
        <is>
          <t>2025-06-02</t>
        </is>
      </c>
      <c r="C2125" s="2" t="inlineStr">
        <is>
          <t>C0734</t>
        </is>
      </c>
      <c r="D2125" s="2" t="inlineStr">
        <is>
          <t>P0026</t>
        </is>
      </c>
      <c r="E2125" s="2" t="inlineStr">
        <is>
          <t>Shampoo</t>
        </is>
      </c>
      <c r="F2125" s="2" t="inlineStr">
        <is>
          <t>Beauty</t>
        </is>
      </c>
      <c r="G2125" s="2" t="inlineStr">
        <is>
          <t>South</t>
        </is>
      </c>
      <c r="H2125" s="2" t="inlineStr">
        <is>
          <t>Kerala</t>
        </is>
      </c>
      <c r="I2125" s="2" t="inlineStr">
        <is>
          <t>Kochi</t>
        </is>
      </c>
      <c r="J2125" s="2" t="inlineStr">
        <is>
          <t>Online</t>
        </is>
      </c>
      <c r="K2125" s="2" t="n">
        <v>1</v>
      </c>
      <c r="L2125" s="3" t="n">
        <v>904.73</v>
      </c>
      <c r="M2125" s="4" t="n">
        <v>0.15</v>
      </c>
      <c r="N2125" s="3" t="n">
        <v>516.76</v>
      </c>
      <c r="O2125" s="3">
        <f>K2125*L2125*(1-M2125)</f>
        <v/>
      </c>
      <c r="P2125" s="3">
        <f>O2125-N2125</f>
        <v/>
      </c>
      <c r="Q2125" s="5">
        <f>IFERROR(P2125/O2125,0)</f>
        <v/>
      </c>
      <c r="R2125" s="2">
        <f>TEXT(DATEVALUE(B2125),"mmm")</f>
        <v/>
      </c>
      <c r="S2125" s="2">
        <f>TEXT(DATEVALUE(B2125),"yyyy-mm")</f>
        <v/>
      </c>
    </row>
    <row r="2126">
      <c r="A2126" s="2" t="inlineStr">
        <is>
          <t>O002935</t>
        </is>
      </c>
      <c r="B2126" s="2" t="inlineStr">
        <is>
          <t>2025-06-03</t>
        </is>
      </c>
      <c r="C2126" s="2" t="inlineStr">
        <is>
          <t>C0579</t>
        </is>
      </c>
      <c r="D2126" s="2" t="inlineStr">
        <is>
          <t>P0029</t>
        </is>
      </c>
      <c r="E2126" s="2" t="inlineStr">
        <is>
          <t>Yoga Mat</t>
        </is>
      </c>
      <c r="F2126" s="2" t="inlineStr">
        <is>
          <t>Sports</t>
        </is>
      </c>
      <c r="G2126" s="2" t="inlineStr">
        <is>
          <t>West</t>
        </is>
      </c>
      <c r="H2126" s="2" t="inlineStr">
        <is>
          <t>Maharashtra</t>
        </is>
      </c>
      <c r="I2126" s="2" t="inlineStr">
        <is>
          <t>Mumbai</t>
        </is>
      </c>
      <c r="J2126" s="2" t="inlineStr">
        <is>
          <t>Store</t>
        </is>
      </c>
      <c r="K2126" s="2" t="n">
        <v>2</v>
      </c>
      <c r="L2126" s="3" t="n">
        <v>2396.17</v>
      </c>
      <c r="M2126" s="4" t="n">
        <v>0.05</v>
      </c>
      <c r="N2126" s="3" t="n">
        <v>2716.08</v>
      </c>
      <c r="O2126" s="3">
        <f>K2126*L2126*(1-M2126)</f>
        <v/>
      </c>
      <c r="P2126" s="3">
        <f>O2126-N2126</f>
        <v/>
      </c>
      <c r="Q2126" s="5">
        <f>IFERROR(P2126/O2126,0)</f>
        <v/>
      </c>
      <c r="R2126" s="2">
        <f>TEXT(DATEVALUE(B2126),"mmm")</f>
        <v/>
      </c>
      <c r="S2126" s="2">
        <f>TEXT(DATEVALUE(B2126),"yyyy-mm")</f>
        <v/>
      </c>
    </row>
    <row r="2127">
      <c r="A2127" s="2" t="inlineStr">
        <is>
          <t>O003023</t>
        </is>
      </c>
      <c r="B2127" s="2" t="inlineStr">
        <is>
          <t>2025-06-03</t>
        </is>
      </c>
      <c r="C2127" s="2" t="inlineStr">
        <is>
          <t>C0330</t>
        </is>
      </c>
      <c r="D2127" s="2" t="inlineStr">
        <is>
          <t>P0006</t>
        </is>
      </c>
      <c r="E2127" s="2" t="inlineStr">
        <is>
          <t>Mechanical Keyboard</t>
        </is>
      </c>
      <c r="F2127" s="2" t="inlineStr">
        <is>
          <t>Electronics</t>
        </is>
      </c>
      <c r="G2127" s="2" t="inlineStr">
        <is>
          <t>South</t>
        </is>
      </c>
      <c r="H2127" s="2" t="inlineStr">
        <is>
          <t>Telangana</t>
        </is>
      </c>
      <c r="I2127" s="2" t="inlineStr">
        <is>
          <t>Warangal</t>
        </is>
      </c>
      <c r="J2127" s="2" t="inlineStr">
        <is>
          <t>Store</t>
        </is>
      </c>
      <c r="K2127" s="2" t="n">
        <v>3</v>
      </c>
      <c r="L2127" s="3" t="n">
        <v>2780.06</v>
      </c>
      <c r="M2127" s="4" t="n">
        <v>0.15</v>
      </c>
      <c r="N2127" s="3" t="n">
        <v>4295.92</v>
      </c>
      <c r="O2127" s="3">
        <f>K2127*L2127*(1-M2127)</f>
        <v/>
      </c>
      <c r="P2127" s="3">
        <f>O2127-N2127</f>
        <v/>
      </c>
      <c r="Q2127" s="5">
        <f>IFERROR(P2127/O2127,0)</f>
        <v/>
      </c>
      <c r="R2127" s="2">
        <f>TEXT(DATEVALUE(B2127),"mmm")</f>
        <v/>
      </c>
      <c r="S2127" s="2">
        <f>TEXT(DATEVALUE(B2127),"yyyy-mm")</f>
        <v/>
      </c>
    </row>
    <row r="2128">
      <c r="A2128" s="2" t="inlineStr">
        <is>
          <t>O004358</t>
        </is>
      </c>
      <c r="B2128" s="2" t="inlineStr">
        <is>
          <t>2025-06-03</t>
        </is>
      </c>
      <c r="C2128" s="2" t="inlineStr">
        <is>
          <t>C0471</t>
        </is>
      </c>
      <c r="D2128" s="2" t="inlineStr">
        <is>
          <t>P0031</t>
        </is>
      </c>
      <c r="E2128" s="2" t="inlineStr">
        <is>
          <t>Cricket Bat</t>
        </is>
      </c>
      <c r="F2128" s="2" t="inlineStr">
        <is>
          <t>Sports</t>
        </is>
      </c>
      <c r="G2128" s="2" t="inlineStr">
        <is>
          <t>North</t>
        </is>
      </c>
      <c r="H2128" s="2" t="inlineStr">
        <is>
          <t>Punjab</t>
        </is>
      </c>
      <c r="I2128" s="2" t="inlineStr">
        <is>
          <t>Ludhiana</t>
        </is>
      </c>
      <c r="J2128" s="2" t="inlineStr">
        <is>
          <t>Online</t>
        </is>
      </c>
      <c r="K2128" s="2" t="n">
        <v>1</v>
      </c>
      <c r="L2128" s="3" t="n">
        <v>1334.87</v>
      </c>
      <c r="M2128" s="4" t="n">
        <v>0</v>
      </c>
      <c r="N2128" s="3" t="n">
        <v>937.37</v>
      </c>
      <c r="O2128" s="3">
        <f>K2128*L2128*(1-M2128)</f>
        <v/>
      </c>
      <c r="P2128" s="3">
        <f>O2128-N2128</f>
        <v/>
      </c>
      <c r="Q2128" s="5">
        <f>IFERROR(P2128/O2128,0)</f>
        <v/>
      </c>
      <c r="R2128" s="2">
        <f>TEXT(DATEVALUE(B2128),"mmm")</f>
        <v/>
      </c>
      <c r="S2128" s="2">
        <f>TEXT(DATEVALUE(B2128),"yyyy-mm")</f>
        <v/>
      </c>
    </row>
    <row r="2129">
      <c r="A2129" s="2" t="inlineStr">
        <is>
          <t>O003408</t>
        </is>
      </c>
      <c r="B2129" s="2" t="inlineStr">
        <is>
          <t>2025-06-03</t>
        </is>
      </c>
      <c r="C2129" s="2" t="inlineStr">
        <is>
          <t>C0216</t>
        </is>
      </c>
      <c r="D2129" s="2" t="inlineStr">
        <is>
          <t>P0016</t>
        </is>
      </c>
      <c r="E2129" s="2" t="inlineStr">
        <is>
          <t>Casual Shirt</t>
        </is>
      </c>
      <c r="F2129" s="2" t="inlineStr">
        <is>
          <t>Fashion</t>
        </is>
      </c>
      <c r="G2129" s="2" t="inlineStr">
        <is>
          <t>South</t>
        </is>
      </c>
      <c r="H2129" s="2" t="inlineStr">
        <is>
          <t>Telangana</t>
        </is>
      </c>
      <c r="I2129" s="2" t="inlineStr">
        <is>
          <t>Hyderabad</t>
        </is>
      </c>
      <c r="J2129" s="2" t="inlineStr">
        <is>
          <t>Online</t>
        </is>
      </c>
      <c r="K2129" s="2" t="n">
        <v>2</v>
      </c>
      <c r="L2129" s="3" t="n">
        <v>1298.71</v>
      </c>
      <c r="M2129" s="4" t="n">
        <v>0.2</v>
      </c>
      <c r="N2129" s="3" t="n">
        <v>1850.54</v>
      </c>
      <c r="O2129" s="3">
        <f>K2129*L2129*(1-M2129)</f>
        <v/>
      </c>
      <c r="P2129" s="3">
        <f>O2129-N2129</f>
        <v/>
      </c>
      <c r="Q2129" s="5">
        <f>IFERROR(P2129/O2129,0)</f>
        <v/>
      </c>
      <c r="R2129" s="2">
        <f>TEXT(DATEVALUE(B2129),"mmm")</f>
        <v/>
      </c>
      <c r="S2129" s="2">
        <f>TEXT(DATEVALUE(B2129),"yyyy-mm")</f>
        <v/>
      </c>
    </row>
    <row r="2130">
      <c r="A2130" s="2" t="inlineStr">
        <is>
          <t>O003503</t>
        </is>
      </c>
      <c r="B2130" s="2" t="inlineStr">
        <is>
          <t>2025-06-03</t>
        </is>
      </c>
      <c r="C2130" s="2" t="inlineStr">
        <is>
          <t>C0029</t>
        </is>
      </c>
      <c r="D2130" s="2" t="inlineStr">
        <is>
          <t>P0014</t>
        </is>
      </c>
      <c r="E2130" s="2" t="inlineStr">
        <is>
          <t>Coffee Maker</t>
        </is>
      </c>
      <c r="F2130" s="2" t="inlineStr">
        <is>
          <t>Home &amp; Kitchen</t>
        </is>
      </c>
      <c r="G2130" s="2" t="inlineStr">
        <is>
          <t>West</t>
        </is>
      </c>
      <c r="H2130" s="2" t="inlineStr">
        <is>
          <t>Gujarat</t>
        </is>
      </c>
      <c r="I2130" s="2" t="inlineStr">
        <is>
          <t>Vadodara</t>
        </is>
      </c>
      <c r="J2130" s="2" t="inlineStr">
        <is>
          <t>Online</t>
        </is>
      </c>
      <c r="K2130" s="2" t="n">
        <v>1</v>
      </c>
      <c r="L2130" s="3" t="n">
        <v>1066.67</v>
      </c>
      <c r="M2130" s="4" t="n">
        <v>0.2</v>
      </c>
      <c r="N2130" s="3" t="n">
        <v>767.47</v>
      </c>
      <c r="O2130" s="3">
        <f>K2130*L2130*(1-M2130)</f>
        <v/>
      </c>
      <c r="P2130" s="3">
        <f>O2130-N2130</f>
        <v/>
      </c>
      <c r="Q2130" s="5">
        <f>IFERROR(P2130/O2130,0)</f>
        <v/>
      </c>
      <c r="R2130" s="2">
        <f>TEXT(DATEVALUE(B2130),"mmm")</f>
        <v/>
      </c>
      <c r="S2130" s="2">
        <f>TEXT(DATEVALUE(B2130),"yyyy-mm")</f>
        <v/>
      </c>
    </row>
    <row r="2131">
      <c r="A2131" s="2" t="inlineStr">
        <is>
          <t>O004079</t>
        </is>
      </c>
      <c r="B2131" s="2" t="inlineStr">
        <is>
          <t>2025-06-03</t>
        </is>
      </c>
      <c r="C2131" s="2" t="inlineStr">
        <is>
          <t>C0490</t>
        </is>
      </c>
      <c r="D2131" s="2" t="inlineStr">
        <is>
          <t>P0030</t>
        </is>
      </c>
      <c r="E2131" s="2" t="inlineStr">
        <is>
          <t>Dumbbells</t>
        </is>
      </c>
      <c r="F2131" s="2" t="inlineStr">
        <is>
          <t>Sports</t>
        </is>
      </c>
      <c r="G2131" s="2" t="inlineStr">
        <is>
          <t>South</t>
        </is>
      </c>
      <c r="H2131" s="2" t="inlineStr">
        <is>
          <t>Kerala</t>
        </is>
      </c>
      <c r="I2131" s="2" t="inlineStr">
        <is>
          <t>Kochi</t>
        </is>
      </c>
      <c r="J2131" s="2" t="inlineStr">
        <is>
          <t>Online</t>
        </is>
      </c>
      <c r="K2131" s="2" t="n">
        <v>1</v>
      </c>
      <c r="L2131" s="3" t="n">
        <v>1549.5</v>
      </c>
      <c r="M2131" s="4" t="n">
        <v>0.1</v>
      </c>
      <c r="N2131" s="3" t="n">
        <v>1068.2</v>
      </c>
      <c r="O2131" s="3">
        <f>K2131*L2131*(1-M2131)</f>
        <v/>
      </c>
      <c r="P2131" s="3">
        <f>O2131-N2131</f>
        <v/>
      </c>
      <c r="Q2131" s="5">
        <f>IFERROR(P2131/O2131,0)</f>
        <v/>
      </c>
      <c r="R2131" s="2">
        <f>TEXT(DATEVALUE(B2131),"mmm")</f>
        <v/>
      </c>
      <c r="S2131" s="2">
        <f>TEXT(DATEVALUE(B2131),"yyyy-mm")</f>
        <v/>
      </c>
    </row>
    <row r="2132">
      <c r="A2132" s="2" t="inlineStr">
        <is>
          <t>O003965</t>
        </is>
      </c>
      <c r="B2132" s="2" t="inlineStr">
        <is>
          <t>2025-06-03</t>
        </is>
      </c>
      <c r="C2132" s="2" t="inlineStr">
        <is>
          <t>C0685</t>
        </is>
      </c>
      <c r="D2132" s="2" t="inlineStr">
        <is>
          <t>P0011</t>
        </is>
      </c>
      <c r="E2132" s="2" t="inlineStr">
        <is>
          <t>Cookware Set</t>
        </is>
      </c>
      <c r="F2132" s="2" t="inlineStr">
        <is>
          <t>Home &amp; Kitchen</t>
        </is>
      </c>
      <c r="G2132" s="2" t="inlineStr">
        <is>
          <t>West</t>
        </is>
      </c>
      <c r="H2132" s="2" t="inlineStr">
        <is>
          <t>Maharashtra</t>
        </is>
      </c>
      <c r="I2132" s="2" t="inlineStr">
        <is>
          <t>Pune</t>
        </is>
      </c>
      <c r="J2132" s="2" t="inlineStr">
        <is>
          <t>Store</t>
        </is>
      </c>
      <c r="K2132" s="2" t="n">
        <v>6</v>
      </c>
      <c r="L2132" s="3" t="n">
        <v>714.58</v>
      </c>
      <c r="M2132" s="4" t="n">
        <v>0.15</v>
      </c>
      <c r="N2132" s="3" t="n">
        <v>2769.54</v>
      </c>
      <c r="O2132" s="3">
        <f>K2132*L2132*(1-M2132)</f>
        <v/>
      </c>
      <c r="P2132" s="3">
        <f>O2132-N2132</f>
        <v/>
      </c>
      <c r="Q2132" s="5">
        <f>IFERROR(P2132/O2132,0)</f>
        <v/>
      </c>
      <c r="R2132" s="2">
        <f>TEXT(DATEVALUE(B2132),"mmm")</f>
        <v/>
      </c>
      <c r="S2132" s="2">
        <f>TEXT(DATEVALUE(B2132),"yyyy-mm")</f>
        <v/>
      </c>
    </row>
    <row r="2133">
      <c r="A2133" s="2" t="inlineStr">
        <is>
          <t>O004051</t>
        </is>
      </c>
      <c r="B2133" s="2" t="inlineStr">
        <is>
          <t>2025-06-03</t>
        </is>
      </c>
      <c r="C2133" s="2" t="inlineStr">
        <is>
          <t>C0694</t>
        </is>
      </c>
      <c r="D2133" s="2" t="inlineStr">
        <is>
          <t>P0013</t>
        </is>
      </c>
      <c r="E2133" s="2" t="inlineStr">
        <is>
          <t>Storage Organizer</t>
        </is>
      </c>
      <c r="F2133" s="2" t="inlineStr">
        <is>
          <t>Home &amp; Kitchen</t>
        </is>
      </c>
      <c r="G2133" s="2" t="inlineStr">
        <is>
          <t>West</t>
        </is>
      </c>
      <c r="H2133" s="2" t="inlineStr">
        <is>
          <t>Goa</t>
        </is>
      </c>
      <c r="I2133" s="2" t="inlineStr">
        <is>
          <t>Panaji</t>
        </is>
      </c>
      <c r="J2133" s="2" t="inlineStr">
        <is>
          <t>Online</t>
        </is>
      </c>
      <c r="K2133" s="2" t="n">
        <v>4</v>
      </c>
      <c r="L2133" s="3" t="n">
        <v>555.17</v>
      </c>
      <c r="M2133" s="4" t="n">
        <v>0.15</v>
      </c>
      <c r="N2133" s="3" t="n">
        <v>1472.43</v>
      </c>
      <c r="O2133" s="3">
        <f>K2133*L2133*(1-M2133)</f>
        <v/>
      </c>
      <c r="P2133" s="3">
        <f>O2133-N2133</f>
        <v/>
      </c>
      <c r="Q2133" s="5">
        <f>IFERROR(P2133/O2133,0)</f>
        <v/>
      </c>
      <c r="R2133" s="2">
        <f>TEXT(DATEVALUE(B2133),"mmm")</f>
        <v/>
      </c>
      <c r="S2133" s="2">
        <f>TEXT(DATEVALUE(B2133),"yyyy-mm")</f>
        <v/>
      </c>
    </row>
    <row r="2134">
      <c r="A2134" s="2" t="inlineStr">
        <is>
          <t>O004330</t>
        </is>
      </c>
      <c r="B2134" s="2" t="inlineStr">
        <is>
          <t>2025-06-03</t>
        </is>
      </c>
      <c r="C2134" s="2" t="inlineStr">
        <is>
          <t>C0129</t>
        </is>
      </c>
      <c r="D2134" s="2" t="inlineStr">
        <is>
          <t>P0006</t>
        </is>
      </c>
      <c r="E2134" s="2" t="inlineStr">
        <is>
          <t>Mechanical Keyboard</t>
        </is>
      </c>
      <c r="F2134" s="2" t="inlineStr">
        <is>
          <t>Electronics</t>
        </is>
      </c>
      <c r="G2134" s="2" t="inlineStr">
        <is>
          <t>South</t>
        </is>
      </c>
      <c r="H2134" s="2" t="inlineStr">
        <is>
          <t>Karnataka</t>
        </is>
      </c>
      <c r="I2134" s="2" t="inlineStr">
        <is>
          <t>Mangaluru</t>
        </is>
      </c>
      <c r="J2134" s="2" t="inlineStr">
        <is>
          <t>Online</t>
        </is>
      </c>
      <c r="K2134" s="2" t="n">
        <v>1</v>
      </c>
      <c r="L2134" s="3" t="n">
        <v>2709.23</v>
      </c>
      <c r="M2134" s="4" t="n">
        <v>0</v>
      </c>
      <c r="N2134" s="3" t="n">
        <v>1505.9</v>
      </c>
      <c r="O2134" s="3">
        <f>K2134*L2134*(1-M2134)</f>
        <v/>
      </c>
      <c r="P2134" s="3">
        <f>O2134-N2134</f>
        <v/>
      </c>
      <c r="Q2134" s="5">
        <f>IFERROR(P2134/O2134,0)</f>
        <v/>
      </c>
      <c r="R2134" s="2">
        <f>TEXT(DATEVALUE(B2134),"mmm")</f>
        <v/>
      </c>
      <c r="S2134" s="2">
        <f>TEXT(DATEVALUE(B2134),"yyyy-mm")</f>
        <v/>
      </c>
    </row>
    <row r="2135">
      <c r="A2135" s="2" t="inlineStr">
        <is>
          <t>O003682</t>
        </is>
      </c>
      <c r="B2135" s="2" t="inlineStr">
        <is>
          <t>2025-06-03</t>
        </is>
      </c>
      <c r="C2135" s="2" t="inlineStr">
        <is>
          <t>C0519</t>
        </is>
      </c>
      <c r="D2135" s="2" t="inlineStr">
        <is>
          <t>P0023</t>
        </is>
      </c>
      <c r="E2135" s="2" t="inlineStr">
        <is>
          <t>Skin Care Kit</t>
        </is>
      </c>
      <c r="F2135" s="2" t="inlineStr">
        <is>
          <t>Beauty</t>
        </is>
      </c>
      <c r="G2135" s="2" t="inlineStr">
        <is>
          <t>West</t>
        </is>
      </c>
      <c r="H2135" s="2" t="inlineStr">
        <is>
          <t>Maharashtra</t>
        </is>
      </c>
      <c r="I2135" s="2" t="inlineStr">
        <is>
          <t>Mumbai</t>
        </is>
      </c>
      <c r="J2135" s="2" t="inlineStr">
        <is>
          <t>Store</t>
        </is>
      </c>
      <c r="K2135" s="2" t="n">
        <v>1</v>
      </c>
      <c r="L2135" s="3" t="n">
        <v>1366.5</v>
      </c>
      <c r="M2135" s="4" t="n">
        <v>0.1</v>
      </c>
      <c r="N2135" s="3" t="n">
        <v>885.08</v>
      </c>
      <c r="O2135" s="3">
        <f>K2135*L2135*(1-M2135)</f>
        <v/>
      </c>
      <c r="P2135" s="3">
        <f>O2135-N2135</f>
        <v/>
      </c>
      <c r="Q2135" s="5">
        <f>IFERROR(P2135/O2135,0)</f>
        <v/>
      </c>
      <c r="R2135" s="2">
        <f>TEXT(DATEVALUE(B2135),"mmm")</f>
        <v/>
      </c>
      <c r="S2135" s="2">
        <f>TEXT(DATEVALUE(B2135),"yyyy-mm")</f>
        <v/>
      </c>
    </row>
    <row r="2136">
      <c r="A2136" s="2" t="inlineStr">
        <is>
          <t>O002872</t>
        </is>
      </c>
      <c r="B2136" s="2" t="inlineStr">
        <is>
          <t>2025-06-03</t>
        </is>
      </c>
      <c r="C2136" s="2" t="inlineStr">
        <is>
          <t>C0099</t>
        </is>
      </c>
      <c r="D2136" s="2" t="inlineStr">
        <is>
          <t>P0022</t>
        </is>
      </c>
      <c r="E2136" s="2" t="inlineStr">
        <is>
          <t>Face Wash</t>
        </is>
      </c>
      <c r="F2136" s="2" t="inlineStr">
        <is>
          <t>Beauty</t>
        </is>
      </c>
      <c r="G2136" s="2" t="inlineStr">
        <is>
          <t>West</t>
        </is>
      </c>
      <c r="H2136" s="2" t="inlineStr">
        <is>
          <t>Gujarat</t>
        </is>
      </c>
      <c r="I2136" s="2" t="inlineStr">
        <is>
          <t>Ahmedabad</t>
        </is>
      </c>
      <c r="J2136" s="2" t="inlineStr">
        <is>
          <t>Store</t>
        </is>
      </c>
      <c r="K2136" s="2" t="n">
        <v>2</v>
      </c>
      <c r="L2136" s="3" t="n">
        <v>562.62</v>
      </c>
      <c r="M2136" s="4" t="n">
        <v>0.05</v>
      </c>
      <c r="N2136" s="3" t="n">
        <v>724.77</v>
      </c>
      <c r="O2136" s="3">
        <f>K2136*L2136*(1-M2136)</f>
        <v/>
      </c>
      <c r="P2136" s="3">
        <f>O2136-N2136</f>
        <v/>
      </c>
      <c r="Q2136" s="5">
        <f>IFERROR(P2136/O2136,0)</f>
        <v/>
      </c>
      <c r="R2136" s="2">
        <f>TEXT(DATEVALUE(B2136),"mmm")</f>
        <v/>
      </c>
      <c r="S2136" s="2">
        <f>TEXT(DATEVALUE(B2136),"yyyy-mm")</f>
        <v/>
      </c>
    </row>
    <row r="2137">
      <c r="A2137" s="2" t="inlineStr">
        <is>
          <t>O003116</t>
        </is>
      </c>
      <c r="B2137" s="2" t="inlineStr">
        <is>
          <t>2025-06-03</t>
        </is>
      </c>
      <c r="C2137" s="2" t="inlineStr">
        <is>
          <t>C0016</t>
        </is>
      </c>
      <c r="D2137" s="2" t="inlineStr">
        <is>
          <t>P0006</t>
        </is>
      </c>
      <c r="E2137" s="2" t="inlineStr">
        <is>
          <t>Mechanical Keyboard</t>
        </is>
      </c>
      <c r="F2137" s="2" t="inlineStr">
        <is>
          <t>Electronics</t>
        </is>
      </c>
      <c r="G2137" s="2" t="inlineStr">
        <is>
          <t>West</t>
        </is>
      </c>
      <c r="H2137" s="2" t="inlineStr">
        <is>
          <t>Gujarat</t>
        </is>
      </c>
      <c r="I2137" s="2" t="inlineStr">
        <is>
          <t>Ahmedabad</t>
        </is>
      </c>
      <c r="J2137" s="2" t="inlineStr">
        <is>
          <t>Store</t>
        </is>
      </c>
      <c r="K2137" s="2" t="n">
        <v>4</v>
      </c>
      <c r="L2137" s="3" t="n">
        <v>2801.15</v>
      </c>
      <c r="M2137" s="4" t="n">
        <v>0.15</v>
      </c>
      <c r="N2137" s="3" t="n">
        <v>6112.81</v>
      </c>
      <c r="O2137" s="3">
        <f>K2137*L2137*(1-M2137)</f>
        <v/>
      </c>
      <c r="P2137" s="3">
        <f>O2137-N2137</f>
        <v/>
      </c>
      <c r="Q2137" s="5">
        <f>IFERROR(P2137/O2137,0)</f>
        <v/>
      </c>
      <c r="R2137" s="2">
        <f>TEXT(DATEVALUE(B2137),"mmm")</f>
        <v/>
      </c>
      <c r="S2137" s="2">
        <f>TEXT(DATEVALUE(B2137),"yyyy-mm")</f>
        <v/>
      </c>
    </row>
    <row r="2138">
      <c r="A2138" s="2" t="inlineStr">
        <is>
          <t>O002360</t>
        </is>
      </c>
      <c r="B2138" s="2" t="inlineStr">
        <is>
          <t>2025-06-03</t>
        </is>
      </c>
      <c r="C2138" s="2" t="inlineStr">
        <is>
          <t>C0492</t>
        </is>
      </c>
      <c r="D2138" s="2" t="inlineStr">
        <is>
          <t>P0032</t>
        </is>
      </c>
      <c r="E2138" s="2" t="inlineStr">
        <is>
          <t>Football</t>
        </is>
      </c>
      <c r="F2138" s="2" t="inlineStr">
        <is>
          <t>Sports</t>
        </is>
      </c>
      <c r="G2138" s="2" t="inlineStr">
        <is>
          <t>East</t>
        </is>
      </c>
      <c r="H2138" s="2" t="inlineStr">
        <is>
          <t>West Bengal</t>
        </is>
      </c>
      <c r="I2138" s="2" t="inlineStr">
        <is>
          <t>Durgapur</t>
        </is>
      </c>
      <c r="J2138" s="2" t="inlineStr">
        <is>
          <t>Online</t>
        </is>
      </c>
      <c r="K2138" s="2" t="n">
        <v>2</v>
      </c>
      <c r="L2138" s="3" t="n">
        <v>845.34</v>
      </c>
      <c r="M2138" s="4" t="n">
        <v>0.25</v>
      </c>
      <c r="N2138" s="3" t="n">
        <v>1039.31</v>
      </c>
      <c r="O2138" s="3">
        <f>K2138*L2138*(1-M2138)</f>
        <v/>
      </c>
      <c r="P2138" s="3">
        <f>O2138-N2138</f>
        <v/>
      </c>
      <c r="Q2138" s="5">
        <f>IFERROR(P2138/O2138,0)</f>
        <v/>
      </c>
      <c r="R2138" s="2">
        <f>TEXT(DATEVALUE(B2138),"mmm")</f>
        <v/>
      </c>
      <c r="S2138" s="2">
        <f>TEXT(DATEVALUE(B2138),"yyyy-mm")</f>
        <v/>
      </c>
    </row>
    <row r="2139">
      <c r="A2139" s="2" t="inlineStr">
        <is>
          <t>O002715</t>
        </is>
      </c>
      <c r="B2139" s="2" t="inlineStr">
        <is>
          <t>2025-06-03</t>
        </is>
      </c>
      <c r="C2139" s="2" t="inlineStr">
        <is>
          <t>C0355</t>
        </is>
      </c>
      <c r="D2139" s="2" t="inlineStr">
        <is>
          <t>P0004</t>
        </is>
      </c>
      <c r="E2139" s="2" t="inlineStr">
        <is>
          <t>USB-C Hub</t>
        </is>
      </c>
      <c r="F2139" s="2" t="inlineStr">
        <is>
          <t>Electronics</t>
        </is>
      </c>
      <c r="G2139" s="2" t="inlineStr">
        <is>
          <t>South</t>
        </is>
      </c>
      <c r="H2139" s="2" t="inlineStr">
        <is>
          <t>Karnataka</t>
        </is>
      </c>
      <c r="I2139" s="2" t="inlineStr">
        <is>
          <t>Mysuru</t>
        </is>
      </c>
      <c r="J2139" s="2" t="inlineStr">
        <is>
          <t>Store</t>
        </is>
      </c>
      <c r="K2139" s="2" t="n">
        <v>2</v>
      </c>
      <c r="L2139" s="3" t="n">
        <v>1303.15</v>
      </c>
      <c r="M2139" s="4" t="n">
        <v>0.05</v>
      </c>
      <c r="N2139" s="3" t="n">
        <v>1899.27</v>
      </c>
      <c r="O2139" s="3">
        <f>K2139*L2139*(1-M2139)</f>
        <v/>
      </c>
      <c r="P2139" s="3">
        <f>O2139-N2139</f>
        <v/>
      </c>
      <c r="Q2139" s="5">
        <f>IFERROR(P2139/O2139,0)</f>
        <v/>
      </c>
      <c r="R2139" s="2">
        <f>TEXT(DATEVALUE(B2139),"mmm")</f>
        <v/>
      </c>
      <c r="S2139" s="2">
        <f>TEXT(DATEVALUE(B2139),"yyyy-mm")</f>
        <v/>
      </c>
    </row>
    <row r="2140">
      <c r="A2140" s="2" t="inlineStr">
        <is>
          <t>O000464</t>
        </is>
      </c>
      <c r="B2140" s="2" t="inlineStr">
        <is>
          <t>2025-06-03</t>
        </is>
      </c>
      <c r="C2140" s="2" t="inlineStr">
        <is>
          <t>C0363</t>
        </is>
      </c>
      <c r="D2140" s="2" t="inlineStr">
        <is>
          <t>P0018</t>
        </is>
      </c>
      <c r="E2140" s="2" t="inlineStr">
        <is>
          <t>Backpack</t>
        </is>
      </c>
      <c r="F2140" s="2" t="inlineStr">
        <is>
          <t>Fashion</t>
        </is>
      </c>
      <c r="G2140" s="2" t="inlineStr">
        <is>
          <t>South</t>
        </is>
      </c>
      <c r="H2140" s="2" t="inlineStr">
        <is>
          <t>Karnataka</t>
        </is>
      </c>
      <c r="I2140" s="2" t="inlineStr">
        <is>
          <t>Mysuru</t>
        </is>
      </c>
      <c r="J2140" s="2" t="inlineStr">
        <is>
          <t>Online</t>
        </is>
      </c>
      <c r="K2140" s="2" t="n">
        <v>3</v>
      </c>
      <c r="L2140" s="3" t="n">
        <v>1854.12</v>
      </c>
      <c r="M2140" s="4" t="n">
        <v>0.15</v>
      </c>
      <c r="N2140" s="3" t="n">
        <v>3942.91</v>
      </c>
      <c r="O2140" s="3">
        <f>K2140*L2140*(1-M2140)</f>
        <v/>
      </c>
      <c r="P2140" s="3">
        <f>O2140-N2140</f>
        <v/>
      </c>
      <c r="Q2140" s="5">
        <f>IFERROR(P2140/O2140,0)</f>
        <v/>
      </c>
      <c r="R2140" s="2">
        <f>TEXT(DATEVALUE(B2140),"mmm")</f>
        <v/>
      </c>
      <c r="S2140" s="2">
        <f>TEXT(DATEVALUE(B2140),"yyyy-mm")</f>
        <v/>
      </c>
    </row>
    <row r="2141">
      <c r="A2141" s="2" t="inlineStr">
        <is>
          <t>O000767</t>
        </is>
      </c>
      <c r="B2141" s="2" t="inlineStr">
        <is>
          <t>2025-06-03</t>
        </is>
      </c>
      <c r="C2141" s="2" t="inlineStr">
        <is>
          <t>C0396</t>
        </is>
      </c>
      <c r="D2141" s="2" t="inlineStr">
        <is>
          <t>P0022</t>
        </is>
      </c>
      <c r="E2141" s="2" t="inlineStr">
        <is>
          <t>Face Wash</t>
        </is>
      </c>
      <c r="F2141" s="2" t="inlineStr">
        <is>
          <t>Beauty</t>
        </is>
      </c>
      <c r="G2141" s="2" t="inlineStr">
        <is>
          <t>South</t>
        </is>
      </c>
      <c r="H2141" s="2" t="inlineStr">
        <is>
          <t>Kerala</t>
        </is>
      </c>
      <c r="I2141" s="2" t="inlineStr">
        <is>
          <t>Thiruvananthapuram</t>
        </is>
      </c>
      <c r="J2141" s="2" t="inlineStr">
        <is>
          <t>Store</t>
        </is>
      </c>
      <c r="K2141" s="2" t="n">
        <v>1</v>
      </c>
      <c r="L2141" s="3" t="n">
        <v>554.03</v>
      </c>
      <c r="M2141" s="4" t="n">
        <v>0.15</v>
      </c>
      <c r="N2141" s="3" t="n">
        <v>355.13</v>
      </c>
      <c r="O2141" s="3">
        <f>K2141*L2141*(1-M2141)</f>
        <v/>
      </c>
      <c r="P2141" s="3">
        <f>O2141-N2141</f>
        <v/>
      </c>
      <c r="Q2141" s="5">
        <f>IFERROR(P2141/O2141,0)</f>
        <v/>
      </c>
      <c r="R2141" s="2">
        <f>TEXT(DATEVALUE(B2141),"mmm")</f>
        <v/>
      </c>
      <c r="S2141" s="2">
        <f>TEXT(DATEVALUE(B2141),"yyyy-mm")</f>
        <v/>
      </c>
    </row>
    <row r="2142">
      <c r="A2142" s="2" t="inlineStr">
        <is>
          <t>O001174</t>
        </is>
      </c>
      <c r="B2142" s="2" t="inlineStr">
        <is>
          <t>2025-06-03</t>
        </is>
      </c>
      <c r="C2142" s="2" t="inlineStr">
        <is>
          <t>C0734</t>
        </is>
      </c>
      <c r="D2142" s="2" t="inlineStr">
        <is>
          <t>P0007</t>
        </is>
      </c>
      <c r="E2142" s="2" t="inlineStr">
        <is>
          <t>Wireless Mouse</t>
        </is>
      </c>
      <c r="F2142" s="2" t="inlineStr">
        <is>
          <t>Electronics</t>
        </is>
      </c>
      <c r="G2142" s="2" t="inlineStr">
        <is>
          <t>North</t>
        </is>
      </c>
      <c r="H2142" s="2" t="inlineStr">
        <is>
          <t>Uttar Pradesh</t>
        </is>
      </c>
      <c r="I2142" s="2" t="inlineStr">
        <is>
          <t>Lucknow</t>
        </is>
      </c>
      <c r="J2142" s="2" t="inlineStr">
        <is>
          <t>Online</t>
        </is>
      </c>
      <c r="K2142" s="2" t="n">
        <v>5</v>
      </c>
      <c r="L2142" s="3" t="n">
        <v>1026.74</v>
      </c>
      <c r="M2142" s="4" t="n">
        <v>0.15</v>
      </c>
      <c r="N2142" s="3" t="n">
        <v>3073.17</v>
      </c>
      <c r="O2142" s="3">
        <f>K2142*L2142*(1-M2142)</f>
        <v/>
      </c>
      <c r="P2142" s="3">
        <f>O2142-N2142</f>
        <v/>
      </c>
      <c r="Q2142" s="5">
        <f>IFERROR(P2142/O2142,0)</f>
        <v/>
      </c>
      <c r="R2142" s="2">
        <f>TEXT(DATEVALUE(B2142),"mmm")</f>
        <v/>
      </c>
      <c r="S2142" s="2">
        <f>TEXT(DATEVALUE(B2142),"yyyy-mm")</f>
        <v/>
      </c>
    </row>
    <row r="2143">
      <c r="A2143" s="2" t="inlineStr">
        <is>
          <t>O001200</t>
        </is>
      </c>
      <c r="B2143" s="2" t="inlineStr">
        <is>
          <t>2025-06-03</t>
        </is>
      </c>
      <c r="C2143" s="2" t="inlineStr">
        <is>
          <t>C0203</t>
        </is>
      </c>
      <c r="D2143" s="2" t="inlineStr">
        <is>
          <t>P0012</t>
        </is>
      </c>
      <c r="E2143" s="2" t="inlineStr">
        <is>
          <t>Water Bottle</t>
        </is>
      </c>
      <c r="F2143" s="2" t="inlineStr">
        <is>
          <t>Home &amp; Kitchen</t>
        </is>
      </c>
      <c r="G2143" s="2" t="inlineStr">
        <is>
          <t>North</t>
        </is>
      </c>
      <c r="H2143" s="2" t="inlineStr">
        <is>
          <t>Delhi</t>
        </is>
      </c>
      <c r="I2143" s="2" t="inlineStr">
        <is>
          <t>New Delhi</t>
        </is>
      </c>
      <c r="J2143" s="2" t="inlineStr">
        <is>
          <t>Store</t>
        </is>
      </c>
      <c r="K2143" s="2" t="n">
        <v>1</v>
      </c>
      <c r="L2143" s="3" t="n">
        <v>1012.1</v>
      </c>
      <c r="M2143" s="4" t="n">
        <v>0.1</v>
      </c>
      <c r="N2143" s="3" t="n">
        <v>603.46</v>
      </c>
      <c r="O2143" s="3">
        <f>K2143*L2143*(1-M2143)</f>
        <v/>
      </c>
      <c r="P2143" s="3">
        <f>O2143-N2143</f>
        <v/>
      </c>
      <c r="Q2143" s="5">
        <f>IFERROR(P2143/O2143,0)</f>
        <v/>
      </c>
      <c r="R2143" s="2">
        <f>TEXT(DATEVALUE(B2143),"mmm")</f>
        <v/>
      </c>
      <c r="S2143" s="2">
        <f>TEXT(DATEVALUE(B2143),"yyyy-mm")</f>
        <v/>
      </c>
    </row>
    <row r="2144">
      <c r="A2144" s="2" t="inlineStr">
        <is>
          <t>O000891</t>
        </is>
      </c>
      <c r="B2144" s="2" t="inlineStr">
        <is>
          <t>2025-06-03</t>
        </is>
      </c>
      <c r="C2144" s="2" t="inlineStr">
        <is>
          <t>C0706</t>
        </is>
      </c>
      <c r="D2144" s="2" t="inlineStr">
        <is>
          <t>P0014</t>
        </is>
      </c>
      <c r="E2144" s="2" t="inlineStr">
        <is>
          <t>Coffee Maker</t>
        </is>
      </c>
      <c r="F2144" s="2" t="inlineStr">
        <is>
          <t>Home &amp; Kitchen</t>
        </is>
      </c>
      <c r="G2144" s="2" t="inlineStr">
        <is>
          <t>South</t>
        </is>
      </c>
      <c r="H2144" s="2" t="inlineStr">
        <is>
          <t>Kerala</t>
        </is>
      </c>
      <c r="I2144" s="2" t="inlineStr">
        <is>
          <t>Thiruvananthapuram</t>
        </is>
      </c>
      <c r="J2144" s="2" t="inlineStr">
        <is>
          <t>Store</t>
        </is>
      </c>
      <c r="K2144" s="2" t="n">
        <v>3</v>
      </c>
      <c r="L2144" s="3" t="n">
        <v>1071.95</v>
      </c>
      <c r="M2144" s="4" t="n">
        <v>0.1</v>
      </c>
      <c r="N2144" s="3" t="n">
        <v>2225.45</v>
      </c>
      <c r="O2144" s="3">
        <f>K2144*L2144*(1-M2144)</f>
        <v/>
      </c>
      <c r="P2144" s="3">
        <f>O2144-N2144</f>
        <v/>
      </c>
      <c r="Q2144" s="5">
        <f>IFERROR(P2144/O2144,0)</f>
        <v/>
      </c>
      <c r="R2144" s="2">
        <f>TEXT(DATEVALUE(B2144),"mmm")</f>
        <v/>
      </c>
      <c r="S2144" s="2">
        <f>TEXT(DATEVALUE(B2144),"yyyy-mm")</f>
        <v/>
      </c>
    </row>
    <row r="2145">
      <c r="A2145" s="2" t="inlineStr">
        <is>
          <t>O001405</t>
        </is>
      </c>
      <c r="B2145" s="2" t="inlineStr">
        <is>
          <t>2025-06-03</t>
        </is>
      </c>
      <c r="C2145" s="2" t="inlineStr">
        <is>
          <t>C0610</t>
        </is>
      </c>
      <c r="D2145" s="2" t="inlineStr">
        <is>
          <t>P0007</t>
        </is>
      </c>
      <c r="E2145" s="2" t="inlineStr">
        <is>
          <t>Wireless Mouse</t>
        </is>
      </c>
      <c r="F2145" s="2" t="inlineStr">
        <is>
          <t>Electronics</t>
        </is>
      </c>
      <c r="G2145" s="2" t="inlineStr">
        <is>
          <t>South</t>
        </is>
      </c>
      <c r="H2145" s="2" t="inlineStr">
        <is>
          <t>Kerala</t>
        </is>
      </c>
      <c r="I2145" s="2" t="inlineStr">
        <is>
          <t>Kochi</t>
        </is>
      </c>
      <c r="J2145" s="2" t="inlineStr">
        <is>
          <t>Online</t>
        </is>
      </c>
      <c r="K2145" s="2" t="n">
        <v>1</v>
      </c>
      <c r="L2145" s="3" t="n">
        <v>940.8200000000001</v>
      </c>
      <c r="M2145" s="4" t="n">
        <v>0.1</v>
      </c>
      <c r="N2145" s="3" t="n">
        <v>604.4400000000001</v>
      </c>
      <c r="O2145" s="3">
        <f>K2145*L2145*(1-M2145)</f>
        <v/>
      </c>
      <c r="P2145" s="3">
        <f>O2145-N2145</f>
        <v/>
      </c>
      <c r="Q2145" s="5">
        <f>IFERROR(P2145/O2145,0)</f>
        <v/>
      </c>
      <c r="R2145" s="2">
        <f>TEXT(DATEVALUE(B2145),"mmm")</f>
        <v/>
      </c>
      <c r="S2145" s="2">
        <f>TEXT(DATEVALUE(B2145),"yyyy-mm")</f>
        <v/>
      </c>
    </row>
    <row r="2146">
      <c r="A2146" s="2" t="inlineStr">
        <is>
          <t>O001830</t>
        </is>
      </c>
      <c r="B2146" s="2" t="inlineStr">
        <is>
          <t>2025-06-03</t>
        </is>
      </c>
      <c r="C2146" s="2" t="inlineStr">
        <is>
          <t>C0104</t>
        </is>
      </c>
      <c r="D2146" s="2" t="inlineStr">
        <is>
          <t>P0013</t>
        </is>
      </c>
      <c r="E2146" s="2" t="inlineStr">
        <is>
          <t>Storage Organizer</t>
        </is>
      </c>
      <c r="F2146" s="2" t="inlineStr">
        <is>
          <t>Home &amp; Kitchen</t>
        </is>
      </c>
      <c r="G2146" s="2" t="inlineStr">
        <is>
          <t>North</t>
        </is>
      </c>
      <c r="H2146" s="2" t="inlineStr">
        <is>
          <t>Punjab</t>
        </is>
      </c>
      <c r="I2146" s="2" t="inlineStr">
        <is>
          <t>Jalandhar</t>
        </is>
      </c>
      <c r="J2146" s="2" t="inlineStr">
        <is>
          <t>Online</t>
        </is>
      </c>
      <c r="K2146" s="2" t="n">
        <v>1</v>
      </c>
      <c r="L2146" s="3" t="n">
        <v>595.0599999999999</v>
      </c>
      <c r="M2146" s="4" t="n">
        <v>0.1</v>
      </c>
      <c r="N2146" s="3" t="n">
        <v>366.45</v>
      </c>
      <c r="O2146" s="3">
        <f>K2146*L2146*(1-M2146)</f>
        <v/>
      </c>
      <c r="P2146" s="3">
        <f>O2146-N2146</f>
        <v/>
      </c>
      <c r="Q2146" s="5">
        <f>IFERROR(P2146/O2146,0)</f>
        <v/>
      </c>
      <c r="R2146" s="2">
        <f>TEXT(DATEVALUE(B2146),"mmm")</f>
        <v/>
      </c>
      <c r="S2146" s="2">
        <f>TEXT(DATEVALUE(B2146),"yyyy-mm")</f>
        <v/>
      </c>
    </row>
    <row r="2147">
      <c r="A2147" s="2" t="inlineStr">
        <is>
          <t>O002132</t>
        </is>
      </c>
      <c r="B2147" s="2" t="inlineStr">
        <is>
          <t>2025-06-03</t>
        </is>
      </c>
      <c r="C2147" s="2" t="inlineStr">
        <is>
          <t>C0568</t>
        </is>
      </c>
      <c r="D2147" s="2" t="inlineStr">
        <is>
          <t>P0006</t>
        </is>
      </c>
      <c r="E2147" s="2" t="inlineStr">
        <is>
          <t>Mechanical Keyboard</t>
        </is>
      </c>
      <c r="F2147" s="2" t="inlineStr">
        <is>
          <t>Electronics</t>
        </is>
      </c>
      <c r="G2147" s="2" t="inlineStr">
        <is>
          <t>South</t>
        </is>
      </c>
      <c r="H2147" s="2" t="inlineStr">
        <is>
          <t>Telangana</t>
        </is>
      </c>
      <c r="I2147" s="2" t="inlineStr">
        <is>
          <t>Warangal</t>
        </is>
      </c>
      <c r="J2147" s="2" t="inlineStr">
        <is>
          <t>Store</t>
        </is>
      </c>
      <c r="K2147" s="2" t="n">
        <v>1</v>
      </c>
      <c r="L2147" s="3" t="n">
        <v>2640.53</v>
      </c>
      <c r="M2147" s="4" t="n">
        <v>0.05</v>
      </c>
      <c r="N2147" s="3" t="n">
        <v>1474.77</v>
      </c>
      <c r="O2147" s="3">
        <f>K2147*L2147*(1-M2147)</f>
        <v/>
      </c>
      <c r="P2147" s="3">
        <f>O2147-N2147</f>
        <v/>
      </c>
      <c r="Q2147" s="5">
        <f>IFERROR(P2147/O2147,0)</f>
        <v/>
      </c>
      <c r="R2147" s="2">
        <f>TEXT(DATEVALUE(B2147),"mmm")</f>
        <v/>
      </c>
      <c r="S2147" s="2">
        <f>TEXT(DATEVALUE(B2147),"yyyy-mm")</f>
        <v/>
      </c>
    </row>
    <row r="2148">
      <c r="A2148" s="2" t="inlineStr">
        <is>
          <t>O002214</t>
        </is>
      </c>
      <c r="B2148" s="2" t="inlineStr">
        <is>
          <t>2025-06-03</t>
        </is>
      </c>
      <c r="C2148" s="2" t="inlineStr">
        <is>
          <t>C0684</t>
        </is>
      </c>
      <c r="D2148" s="2" t="inlineStr">
        <is>
          <t>P0018</t>
        </is>
      </c>
      <c r="E2148" s="2" t="inlineStr">
        <is>
          <t>Backpack</t>
        </is>
      </c>
      <c r="F2148" s="2" t="inlineStr">
        <is>
          <t>Fashion</t>
        </is>
      </c>
      <c r="G2148" s="2" t="inlineStr">
        <is>
          <t>South</t>
        </is>
      </c>
      <c r="H2148" s="2" t="inlineStr">
        <is>
          <t>Karnataka</t>
        </is>
      </c>
      <c r="I2148" s="2" t="inlineStr">
        <is>
          <t>Mangaluru</t>
        </is>
      </c>
      <c r="J2148" s="2" t="inlineStr">
        <is>
          <t>Store</t>
        </is>
      </c>
      <c r="K2148" s="2" t="n">
        <v>4</v>
      </c>
      <c r="L2148" s="3" t="n">
        <v>1761.68</v>
      </c>
      <c r="M2148" s="4" t="n">
        <v>0.1</v>
      </c>
      <c r="N2148" s="3" t="n">
        <v>5478.64</v>
      </c>
      <c r="O2148" s="3">
        <f>K2148*L2148*(1-M2148)</f>
        <v/>
      </c>
      <c r="P2148" s="3">
        <f>O2148-N2148</f>
        <v/>
      </c>
      <c r="Q2148" s="5">
        <f>IFERROR(P2148/O2148,0)</f>
        <v/>
      </c>
      <c r="R2148" s="2">
        <f>TEXT(DATEVALUE(B2148),"mmm")</f>
        <v/>
      </c>
      <c r="S2148" s="2">
        <f>TEXT(DATEVALUE(B2148),"yyyy-mm")</f>
        <v/>
      </c>
    </row>
    <row r="2149">
      <c r="A2149" s="2" t="inlineStr">
        <is>
          <t>O001330</t>
        </is>
      </c>
      <c r="B2149" s="2" t="inlineStr">
        <is>
          <t>2025-06-03</t>
        </is>
      </c>
      <c r="C2149" s="2" t="inlineStr">
        <is>
          <t>C0330</t>
        </is>
      </c>
      <c r="D2149" s="2" t="inlineStr">
        <is>
          <t>P0014</t>
        </is>
      </c>
      <c r="E2149" s="2" t="inlineStr">
        <is>
          <t>Coffee Maker</t>
        </is>
      </c>
      <c r="F2149" s="2" t="inlineStr">
        <is>
          <t>Home &amp; Kitchen</t>
        </is>
      </c>
      <c r="G2149" s="2" t="inlineStr">
        <is>
          <t>West</t>
        </is>
      </c>
      <c r="H2149" s="2" t="inlineStr">
        <is>
          <t>Goa</t>
        </is>
      </c>
      <c r="I2149" s="2" t="inlineStr">
        <is>
          <t>Panaji</t>
        </is>
      </c>
      <c r="J2149" s="2" t="inlineStr">
        <is>
          <t>Online</t>
        </is>
      </c>
      <c r="K2149" s="2" t="n">
        <v>1</v>
      </c>
      <c r="L2149" s="3" t="n">
        <v>1032</v>
      </c>
      <c r="M2149" s="4" t="n">
        <v>0</v>
      </c>
      <c r="N2149" s="3" t="n">
        <v>773.84</v>
      </c>
      <c r="O2149" s="3">
        <f>K2149*L2149*(1-M2149)</f>
        <v/>
      </c>
      <c r="P2149" s="3">
        <f>O2149-N2149</f>
        <v/>
      </c>
      <c r="Q2149" s="5">
        <f>IFERROR(P2149/O2149,0)</f>
        <v/>
      </c>
      <c r="R2149" s="2">
        <f>TEXT(DATEVALUE(B2149),"mmm")</f>
        <v/>
      </c>
      <c r="S2149" s="2">
        <f>TEXT(DATEVALUE(B2149),"yyyy-mm")</f>
        <v/>
      </c>
    </row>
    <row r="2150">
      <c r="A2150" s="2" t="inlineStr">
        <is>
          <t>O003409</t>
        </is>
      </c>
      <c r="B2150" s="2" t="inlineStr">
        <is>
          <t>2025-06-04</t>
        </is>
      </c>
      <c r="C2150" s="2" t="inlineStr">
        <is>
          <t>C0321</t>
        </is>
      </c>
      <c r="D2150" s="2" t="inlineStr">
        <is>
          <t>P0016</t>
        </is>
      </c>
      <c r="E2150" s="2" t="inlineStr">
        <is>
          <t>Casual Shirt</t>
        </is>
      </c>
      <c r="F2150" s="2" t="inlineStr">
        <is>
          <t>Fashion</t>
        </is>
      </c>
      <c r="G2150" s="2" t="inlineStr">
        <is>
          <t>South</t>
        </is>
      </c>
      <c r="H2150" s="2" t="inlineStr">
        <is>
          <t>Kerala</t>
        </is>
      </c>
      <c r="I2150" s="2" t="inlineStr">
        <is>
          <t>Kochi</t>
        </is>
      </c>
      <c r="J2150" s="2" t="inlineStr">
        <is>
          <t>Store</t>
        </is>
      </c>
      <c r="K2150" s="2" t="n">
        <v>3</v>
      </c>
      <c r="L2150" s="3" t="n">
        <v>1314.64</v>
      </c>
      <c r="M2150" s="4" t="n">
        <v>0.15</v>
      </c>
      <c r="N2150" s="3" t="n">
        <v>2695</v>
      </c>
      <c r="O2150" s="3">
        <f>K2150*L2150*(1-M2150)</f>
        <v/>
      </c>
      <c r="P2150" s="3">
        <f>O2150-N2150</f>
        <v/>
      </c>
      <c r="Q2150" s="5">
        <f>IFERROR(P2150/O2150,0)</f>
        <v/>
      </c>
      <c r="R2150" s="2">
        <f>TEXT(DATEVALUE(B2150),"mmm")</f>
        <v/>
      </c>
      <c r="S2150" s="2">
        <f>TEXT(DATEVALUE(B2150),"yyyy-mm")</f>
        <v/>
      </c>
    </row>
    <row r="2151">
      <c r="A2151" s="2" t="inlineStr">
        <is>
          <t>O004885</t>
        </is>
      </c>
      <c r="B2151" s="2" t="inlineStr">
        <is>
          <t>2025-06-04</t>
        </is>
      </c>
      <c r="C2151" s="2" t="inlineStr">
        <is>
          <t>C0287</t>
        </is>
      </c>
      <c r="D2151" s="2" t="inlineStr">
        <is>
          <t>P0031</t>
        </is>
      </c>
      <c r="E2151" s="2" t="inlineStr">
        <is>
          <t>Cricket Bat</t>
        </is>
      </c>
      <c r="F2151" s="2" t="inlineStr">
        <is>
          <t>Sports</t>
        </is>
      </c>
      <c r="G2151" s="2" t="inlineStr">
        <is>
          <t>East</t>
        </is>
      </c>
      <c r="H2151" s="2" t="inlineStr">
        <is>
          <t>Bihar</t>
        </is>
      </c>
      <c r="I2151" s="2" t="inlineStr">
        <is>
          <t>Gaya</t>
        </is>
      </c>
      <c r="J2151" s="2" t="inlineStr">
        <is>
          <t>Online</t>
        </is>
      </c>
      <c r="K2151" s="2" t="n">
        <v>4</v>
      </c>
      <c r="L2151" s="3" t="n">
        <v>1354.63</v>
      </c>
      <c r="M2151" s="4" t="n">
        <v>0.2</v>
      </c>
      <c r="N2151" s="3" t="n">
        <v>3657.67</v>
      </c>
      <c r="O2151" s="3">
        <f>K2151*L2151*(1-M2151)</f>
        <v/>
      </c>
      <c r="P2151" s="3">
        <f>O2151-N2151</f>
        <v/>
      </c>
      <c r="Q2151" s="5">
        <f>IFERROR(P2151/O2151,0)</f>
        <v/>
      </c>
      <c r="R2151" s="2">
        <f>TEXT(DATEVALUE(B2151),"mmm")</f>
        <v/>
      </c>
      <c r="S2151" s="2">
        <f>TEXT(DATEVALUE(B2151),"yyyy-mm")</f>
        <v/>
      </c>
    </row>
    <row r="2152">
      <c r="A2152" s="2" t="inlineStr">
        <is>
          <t>O004021</t>
        </is>
      </c>
      <c r="B2152" s="2" t="inlineStr">
        <is>
          <t>2025-06-04</t>
        </is>
      </c>
      <c r="C2152" s="2" t="inlineStr">
        <is>
          <t>C0312</t>
        </is>
      </c>
      <c r="D2152" s="2" t="inlineStr">
        <is>
          <t>P0021</t>
        </is>
      </c>
      <c r="E2152" s="2" t="inlineStr">
        <is>
          <t>Wallet</t>
        </is>
      </c>
      <c r="F2152" s="2" t="inlineStr">
        <is>
          <t>Fashion</t>
        </is>
      </c>
      <c r="G2152" s="2" t="inlineStr">
        <is>
          <t>South</t>
        </is>
      </c>
      <c r="H2152" s="2" t="inlineStr">
        <is>
          <t>Kerala</t>
        </is>
      </c>
      <c r="I2152" s="2" t="inlineStr">
        <is>
          <t>Kochi</t>
        </is>
      </c>
      <c r="J2152" s="2" t="inlineStr">
        <is>
          <t>Store</t>
        </is>
      </c>
      <c r="K2152" s="2" t="n">
        <v>4</v>
      </c>
      <c r="L2152" s="3" t="n">
        <v>2014.29</v>
      </c>
      <c r="M2152" s="4" t="n">
        <v>0.05</v>
      </c>
      <c r="N2152" s="3" t="n">
        <v>4884.33</v>
      </c>
      <c r="O2152" s="3">
        <f>K2152*L2152*(1-M2152)</f>
        <v/>
      </c>
      <c r="P2152" s="3">
        <f>O2152-N2152</f>
        <v/>
      </c>
      <c r="Q2152" s="5">
        <f>IFERROR(P2152/O2152,0)</f>
        <v/>
      </c>
      <c r="R2152" s="2">
        <f>TEXT(DATEVALUE(B2152),"mmm")</f>
        <v/>
      </c>
      <c r="S2152" s="2">
        <f>TEXT(DATEVALUE(B2152),"yyyy-mm")</f>
        <v/>
      </c>
    </row>
    <row r="2153">
      <c r="A2153" s="2" t="inlineStr">
        <is>
          <t>O004011</t>
        </is>
      </c>
      <c r="B2153" s="2" t="inlineStr">
        <is>
          <t>2025-06-04</t>
        </is>
      </c>
      <c r="C2153" s="2" t="inlineStr">
        <is>
          <t>C0457</t>
        </is>
      </c>
      <c r="D2153" s="2" t="inlineStr">
        <is>
          <t>P0022</t>
        </is>
      </c>
      <c r="E2153" s="2" t="inlineStr">
        <is>
          <t>Face Wash</t>
        </is>
      </c>
      <c r="F2153" s="2" t="inlineStr">
        <is>
          <t>Beauty</t>
        </is>
      </c>
      <c r="G2153" s="2" t="inlineStr">
        <is>
          <t>South</t>
        </is>
      </c>
      <c r="H2153" s="2" t="inlineStr">
        <is>
          <t>Karnataka</t>
        </is>
      </c>
      <c r="I2153" s="2" t="inlineStr">
        <is>
          <t>Mangaluru</t>
        </is>
      </c>
      <c r="J2153" s="2" t="inlineStr">
        <is>
          <t>Store</t>
        </is>
      </c>
      <c r="K2153" s="2" t="n">
        <v>1</v>
      </c>
      <c r="L2153" s="3" t="n">
        <v>548.77</v>
      </c>
      <c r="M2153" s="4" t="n">
        <v>0.05</v>
      </c>
      <c r="N2153" s="3" t="n">
        <v>362.82</v>
      </c>
      <c r="O2153" s="3">
        <f>K2153*L2153*(1-M2153)</f>
        <v/>
      </c>
      <c r="P2153" s="3">
        <f>O2153-N2153</f>
        <v/>
      </c>
      <c r="Q2153" s="5">
        <f>IFERROR(P2153/O2153,0)</f>
        <v/>
      </c>
      <c r="R2153" s="2">
        <f>TEXT(DATEVALUE(B2153),"mmm")</f>
        <v/>
      </c>
      <c r="S2153" s="2">
        <f>TEXT(DATEVALUE(B2153),"yyyy-mm")</f>
        <v/>
      </c>
    </row>
    <row r="2154">
      <c r="A2154" s="2" t="inlineStr">
        <is>
          <t>O003329</t>
        </is>
      </c>
      <c r="B2154" s="2" t="inlineStr">
        <is>
          <t>2025-06-04</t>
        </is>
      </c>
      <c r="C2154" s="2" t="inlineStr">
        <is>
          <t>C0480</t>
        </is>
      </c>
      <c r="D2154" s="2" t="inlineStr">
        <is>
          <t>P0017</t>
        </is>
      </c>
      <c r="E2154" s="2" t="inlineStr">
        <is>
          <t>Jeans</t>
        </is>
      </c>
      <c r="F2154" s="2" t="inlineStr">
        <is>
          <t>Fashion</t>
        </is>
      </c>
      <c r="G2154" s="2" t="inlineStr">
        <is>
          <t>West</t>
        </is>
      </c>
      <c r="H2154" s="2" t="inlineStr">
        <is>
          <t>Gujarat</t>
        </is>
      </c>
      <c r="I2154" s="2" t="inlineStr">
        <is>
          <t>Vadodara</t>
        </is>
      </c>
      <c r="J2154" s="2" t="inlineStr">
        <is>
          <t>Online</t>
        </is>
      </c>
      <c r="K2154" s="2" t="n">
        <v>2</v>
      </c>
      <c r="L2154" s="3" t="n">
        <v>1531.6</v>
      </c>
      <c r="M2154" s="4" t="n">
        <v>0.05</v>
      </c>
      <c r="N2154" s="3" t="n">
        <v>2081.58</v>
      </c>
      <c r="O2154" s="3">
        <f>K2154*L2154*(1-M2154)</f>
        <v/>
      </c>
      <c r="P2154" s="3">
        <f>O2154-N2154</f>
        <v/>
      </c>
      <c r="Q2154" s="5">
        <f>IFERROR(P2154/O2154,0)</f>
        <v/>
      </c>
      <c r="R2154" s="2">
        <f>TEXT(DATEVALUE(B2154),"mmm")</f>
        <v/>
      </c>
      <c r="S2154" s="2">
        <f>TEXT(DATEVALUE(B2154),"yyyy-mm")</f>
        <v/>
      </c>
    </row>
    <row r="2155">
      <c r="A2155" s="2" t="inlineStr">
        <is>
          <t>O004949</t>
        </is>
      </c>
      <c r="B2155" s="2" t="inlineStr">
        <is>
          <t>2025-06-04</t>
        </is>
      </c>
      <c r="C2155" s="2" t="inlineStr">
        <is>
          <t>C0568</t>
        </is>
      </c>
      <c r="D2155" s="2" t="inlineStr">
        <is>
          <t>P0023</t>
        </is>
      </c>
      <c r="E2155" s="2" t="inlineStr">
        <is>
          <t>Skin Care Kit</t>
        </is>
      </c>
      <c r="F2155" s="2" t="inlineStr">
        <is>
          <t>Beauty</t>
        </is>
      </c>
      <c r="G2155" s="2" t="inlineStr">
        <is>
          <t>North</t>
        </is>
      </c>
      <c r="H2155" s="2" t="inlineStr">
        <is>
          <t>Delhi</t>
        </is>
      </c>
      <c r="I2155" s="2" t="inlineStr">
        <is>
          <t>New Delhi</t>
        </is>
      </c>
      <c r="J2155" s="2" t="inlineStr">
        <is>
          <t>Online</t>
        </is>
      </c>
      <c r="K2155" s="2" t="n">
        <v>5</v>
      </c>
      <c r="L2155" s="3" t="n">
        <v>1358.78</v>
      </c>
      <c r="M2155" s="4" t="n">
        <v>0.05</v>
      </c>
      <c r="N2155" s="3" t="n">
        <v>4419.45</v>
      </c>
      <c r="O2155" s="3">
        <f>K2155*L2155*(1-M2155)</f>
        <v/>
      </c>
      <c r="P2155" s="3">
        <f>O2155-N2155</f>
        <v/>
      </c>
      <c r="Q2155" s="5">
        <f>IFERROR(P2155/O2155,0)</f>
        <v/>
      </c>
      <c r="R2155" s="2">
        <f>TEXT(DATEVALUE(B2155),"mmm")</f>
        <v/>
      </c>
      <c r="S2155" s="2">
        <f>TEXT(DATEVALUE(B2155),"yyyy-mm")</f>
        <v/>
      </c>
    </row>
    <row r="2156">
      <c r="A2156" s="2" t="inlineStr">
        <is>
          <t>O001673</t>
        </is>
      </c>
      <c r="B2156" s="2" t="inlineStr">
        <is>
          <t>2025-06-04</t>
        </is>
      </c>
      <c r="C2156" s="2" t="inlineStr">
        <is>
          <t>C0004</t>
        </is>
      </c>
      <c r="D2156" s="2" t="inlineStr">
        <is>
          <t>P0006</t>
        </is>
      </c>
      <c r="E2156" s="2" t="inlineStr">
        <is>
          <t>Mechanical Keyboard</t>
        </is>
      </c>
      <c r="F2156" s="2" t="inlineStr">
        <is>
          <t>Electronics</t>
        </is>
      </c>
      <c r="G2156" s="2" t="inlineStr">
        <is>
          <t>South</t>
        </is>
      </c>
      <c r="H2156" s="2" t="inlineStr">
        <is>
          <t>Karnataka</t>
        </is>
      </c>
      <c r="I2156" s="2" t="inlineStr">
        <is>
          <t>Mangaluru</t>
        </is>
      </c>
      <c r="J2156" s="2" t="inlineStr">
        <is>
          <t>Store</t>
        </is>
      </c>
      <c r="K2156" s="2" t="n">
        <v>5</v>
      </c>
      <c r="L2156" s="3" t="n">
        <v>2742.99</v>
      </c>
      <c r="M2156" s="4" t="n">
        <v>0.05</v>
      </c>
      <c r="N2156" s="3" t="n">
        <v>7237.66</v>
      </c>
      <c r="O2156" s="3">
        <f>K2156*L2156*(1-M2156)</f>
        <v/>
      </c>
      <c r="P2156" s="3">
        <f>O2156-N2156</f>
        <v/>
      </c>
      <c r="Q2156" s="5">
        <f>IFERROR(P2156/O2156,0)</f>
        <v/>
      </c>
      <c r="R2156" s="2">
        <f>TEXT(DATEVALUE(B2156),"mmm")</f>
        <v/>
      </c>
      <c r="S2156" s="2">
        <f>TEXT(DATEVALUE(B2156),"yyyy-mm")</f>
        <v/>
      </c>
    </row>
    <row r="2157">
      <c r="A2157" s="2" t="inlineStr">
        <is>
          <t>O001649</t>
        </is>
      </c>
      <c r="B2157" s="2" t="inlineStr">
        <is>
          <t>2025-06-04</t>
        </is>
      </c>
      <c r="C2157" s="2" t="inlineStr">
        <is>
          <t>C0574</t>
        </is>
      </c>
      <c r="D2157" s="2" t="inlineStr">
        <is>
          <t>P0024</t>
        </is>
      </c>
      <c r="E2157" s="2" t="inlineStr">
        <is>
          <t>Hair Dryer</t>
        </is>
      </c>
      <c r="F2157" s="2" t="inlineStr">
        <is>
          <t>Beauty</t>
        </is>
      </c>
      <c r="G2157" s="2" t="inlineStr">
        <is>
          <t>North</t>
        </is>
      </c>
      <c r="H2157" s="2" t="inlineStr">
        <is>
          <t>Uttar Pradesh</t>
        </is>
      </c>
      <c r="I2157" s="2" t="inlineStr">
        <is>
          <t>Lucknow</t>
        </is>
      </c>
      <c r="J2157" s="2" t="inlineStr">
        <is>
          <t>Online</t>
        </is>
      </c>
      <c r="K2157" s="2" t="n">
        <v>2</v>
      </c>
      <c r="L2157" s="3" t="n">
        <v>1019</v>
      </c>
      <c r="M2157" s="4" t="n">
        <v>0.05</v>
      </c>
      <c r="N2157" s="3" t="n">
        <v>1474.8</v>
      </c>
      <c r="O2157" s="3">
        <f>K2157*L2157*(1-M2157)</f>
        <v/>
      </c>
      <c r="P2157" s="3">
        <f>O2157-N2157</f>
        <v/>
      </c>
      <c r="Q2157" s="5">
        <f>IFERROR(P2157/O2157,0)</f>
        <v/>
      </c>
      <c r="R2157" s="2">
        <f>TEXT(DATEVALUE(B2157),"mmm")</f>
        <v/>
      </c>
      <c r="S2157" s="2">
        <f>TEXT(DATEVALUE(B2157),"yyyy-mm")</f>
        <v/>
      </c>
    </row>
    <row r="2158">
      <c r="A2158" s="2" t="inlineStr">
        <is>
          <t>O000836</t>
        </is>
      </c>
      <c r="B2158" s="2" t="inlineStr">
        <is>
          <t>2025-06-04</t>
        </is>
      </c>
      <c r="C2158" s="2" t="inlineStr">
        <is>
          <t>C0077</t>
        </is>
      </c>
      <c r="D2158" s="2" t="inlineStr">
        <is>
          <t>P0015</t>
        </is>
      </c>
      <c r="E2158" s="2" t="inlineStr">
        <is>
          <t>Running Shoes</t>
        </is>
      </c>
      <c r="F2158" s="2" t="inlineStr">
        <is>
          <t>Fashion</t>
        </is>
      </c>
      <c r="G2158" s="2" t="inlineStr">
        <is>
          <t>West</t>
        </is>
      </c>
      <c r="H2158" s="2" t="inlineStr">
        <is>
          <t>Goa</t>
        </is>
      </c>
      <c r="I2158" s="2" t="inlineStr">
        <is>
          <t>Panaji</t>
        </is>
      </c>
      <c r="J2158" s="2" t="inlineStr">
        <is>
          <t>Online</t>
        </is>
      </c>
      <c r="K2158" s="2" t="n">
        <v>2</v>
      </c>
      <c r="L2158" s="3" t="n">
        <v>620.15</v>
      </c>
      <c r="M2158" s="4" t="n">
        <v>0</v>
      </c>
      <c r="N2158" s="3" t="n">
        <v>756.99</v>
      </c>
      <c r="O2158" s="3">
        <f>K2158*L2158*(1-M2158)</f>
        <v/>
      </c>
      <c r="P2158" s="3">
        <f>O2158-N2158</f>
        <v/>
      </c>
      <c r="Q2158" s="5">
        <f>IFERROR(P2158/O2158,0)</f>
        <v/>
      </c>
      <c r="R2158" s="2">
        <f>TEXT(DATEVALUE(B2158),"mmm")</f>
        <v/>
      </c>
      <c r="S2158" s="2">
        <f>TEXT(DATEVALUE(B2158),"yyyy-mm")</f>
        <v/>
      </c>
    </row>
    <row r="2159">
      <c r="A2159" s="2" t="inlineStr">
        <is>
          <t>O000367</t>
        </is>
      </c>
      <c r="B2159" s="2" t="inlineStr">
        <is>
          <t>2025-06-04</t>
        </is>
      </c>
      <c r="C2159" s="2" t="inlineStr">
        <is>
          <t>C0130</t>
        </is>
      </c>
      <c r="D2159" s="2" t="inlineStr">
        <is>
          <t>P0022</t>
        </is>
      </c>
      <c r="E2159" s="2" t="inlineStr">
        <is>
          <t>Face Wash</t>
        </is>
      </c>
      <c r="F2159" s="2" t="inlineStr">
        <is>
          <t>Beauty</t>
        </is>
      </c>
      <c r="G2159" s="2" t="inlineStr">
        <is>
          <t>West</t>
        </is>
      </c>
      <c r="H2159" s="2" t="inlineStr">
        <is>
          <t>Gujarat</t>
        </is>
      </c>
      <c r="I2159" s="2" t="inlineStr">
        <is>
          <t>Surat</t>
        </is>
      </c>
      <c r="J2159" s="2" t="inlineStr">
        <is>
          <t>Online</t>
        </is>
      </c>
      <c r="K2159" s="2" t="n">
        <v>1</v>
      </c>
      <c r="L2159" s="3" t="n">
        <v>552.23</v>
      </c>
      <c r="M2159" s="4" t="n">
        <v>0</v>
      </c>
      <c r="N2159" s="3" t="n">
        <v>345.9</v>
      </c>
      <c r="O2159" s="3">
        <f>K2159*L2159*(1-M2159)</f>
        <v/>
      </c>
      <c r="P2159" s="3">
        <f>O2159-N2159</f>
        <v/>
      </c>
      <c r="Q2159" s="5">
        <f>IFERROR(P2159/O2159,0)</f>
        <v/>
      </c>
      <c r="R2159" s="2">
        <f>TEXT(DATEVALUE(B2159),"mmm")</f>
        <v/>
      </c>
      <c r="S2159" s="2">
        <f>TEXT(DATEVALUE(B2159),"yyyy-mm")</f>
        <v/>
      </c>
    </row>
    <row r="2160">
      <c r="A2160" s="2" t="inlineStr">
        <is>
          <t>O002469</t>
        </is>
      </c>
      <c r="B2160" s="2" t="inlineStr">
        <is>
          <t>2025-06-04</t>
        </is>
      </c>
      <c r="C2160" s="2" t="inlineStr">
        <is>
          <t>C0320</t>
        </is>
      </c>
      <c r="D2160" s="2" t="inlineStr">
        <is>
          <t>P0009</t>
        </is>
      </c>
      <c r="E2160" s="2" t="inlineStr">
        <is>
          <t>Electric Kettle</t>
        </is>
      </c>
      <c r="F2160" s="2" t="inlineStr">
        <is>
          <t>Home &amp; Kitchen</t>
        </is>
      </c>
      <c r="G2160" s="2" t="inlineStr">
        <is>
          <t>North</t>
        </is>
      </c>
      <c r="H2160" s="2" t="inlineStr">
        <is>
          <t>Haryana</t>
        </is>
      </c>
      <c r="I2160" s="2" t="inlineStr">
        <is>
          <t>Gurugram</t>
        </is>
      </c>
      <c r="J2160" s="2" t="inlineStr">
        <is>
          <t>Online</t>
        </is>
      </c>
      <c r="K2160" s="2" t="n">
        <v>3</v>
      </c>
      <c r="L2160" s="3" t="n">
        <v>2171.02</v>
      </c>
      <c r="M2160" s="4" t="n">
        <v>0.2</v>
      </c>
      <c r="N2160" s="3" t="n">
        <v>3308.51</v>
      </c>
      <c r="O2160" s="3">
        <f>K2160*L2160*(1-M2160)</f>
        <v/>
      </c>
      <c r="P2160" s="3">
        <f>O2160-N2160</f>
        <v/>
      </c>
      <c r="Q2160" s="5">
        <f>IFERROR(P2160/O2160,0)</f>
        <v/>
      </c>
      <c r="R2160" s="2">
        <f>TEXT(DATEVALUE(B2160),"mmm")</f>
        <v/>
      </c>
      <c r="S2160" s="2">
        <f>TEXT(DATEVALUE(B2160),"yyyy-mm")</f>
        <v/>
      </c>
    </row>
    <row r="2161">
      <c r="A2161" s="2" t="inlineStr">
        <is>
          <t>O004920</t>
        </is>
      </c>
      <c r="B2161" s="2" t="inlineStr">
        <is>
          <t>2025-06-05</t>
        </is>
      </c>
      <c r="C2161" s="2" t="inlineStr">
        <is>
          <t>C0568</t>
        </is>
      </c>
      <c r="D2161" s="2" t="inlineStr">
        <is>
          <t>P0017</t>
        </is>
      </c>
      <c r="E2161" s="2" t="inlineStr">
        <is>
          <t>Jeans</t>
        </is>
      </c>
      <c r="F2161" s="2" t="inlineStr">
        <is>
          <t>Fashion</t>
        </is>
      </c>
      <c r="G2161" s="2" t="inlineStr">
        <is>
          <t>North</t>
        </is>
      </c>
      <c r="H2161" s="2" t="inlineStr">
        <is>
          <t>Haryana</t>
        </is>
      </c>
      <c r="I2161" s="2" t="inlineStr">
        <is>
          <t>Gurugram</t>
        </is>
      </c>
      <c r="J2161" s="2" t="inlineStr">
        <is>
          <t>Store</t>
        </is>
      </c>
      <c r="K2161" s="2" t="n">
        <v>1</v>
      </c>
      <c r="L2161" s="3" t="n">
        <v>1539.83</v>
      </c>
      <c r="M2161" s="4" t="n">
        <v>0</v>
      </c>
      <c r="N2161" s="3" t="n">
        <v>1031.59</v>
      </c>
      <c r="O2161" s="3">
        <f>K2161*L2161*(1-M2161)</f>
        <v/>
      </c>
      <c r="P2161" s="3">
        <f>O2161-N2161</f>
        <v/>
      </c>
      <c r="Q2161" s="5">
        <f>IFERROR(P2161/O2161,0)</f>
        <v/>
      </c>
      <c r="R2161" s="2">
        <f>TEXT(DATEVALUE(B2161),"mmm")</f>
        <v/>
      </c>
      <c r="S2161" s="2">
        <f>TEXT(DATEVALUE(B2161),"yyyy-mm")</f>
        <v/>
      </c>
    </row>
    <row r="2162">
      <c r="A2162" s="2" t="inlineStr">
        <is>
          <t>O004775</t>
        </is>
      </c>
      <c r="B2162" s="2" t="inlineStr">
        <is>
          <t>2025-06-05</t>
        </is>
      </c>
      <c r="C2162" s="2" t="inlineStr">
        <is>
          <t>C0471</t>
        </is>
      </c>
      <c r="D2162" s="2" t="inlineStr">
        <is>
          <t>P0018</t>
        </is>
      </c>
      <c r="E2162" s="2" t="inlineStr">
        <is>
          <t>Backpack</t>
        </is>
      </c>
      <c r="F2162" s="2" t="inlineStr">
        <is>
          <t>Fashion</t>
        </is>
      </c>
      <c r="G2162" s="2" t="inlineStr">
        <is>
          <t>East</t>
        </is>
      </c>
      <c r="H2162" s="2" t="inlineStr">
        <is>
          <t>Bihar</t>
        </is>
      </c>
      <c r="I2162" s="2" t="inlineStr">
        <is>
          <t>Gaya</t>
        </is>
      </c>
      <c r="J2162" s="2" t="inlineStr">
        <is>
          <t>Online</t>
        </is>
      </c>
      <c r="K2162" s="2" t="n">
        <v>2</v>
      </c>
      <c r="L2162" s="3" t="n">
        <v>1776.4</v>
      </c>
      <c r="M2162" s="4" t="n">
        <v>0.1</v>
      </c>
      <c r="N2162" s="3" t="n">
        <v>2772.81</v>
      </c>
      <c r="O2162" s="3">
        <f>K2162*L2162*(1-M2162)</f>
        <v/>
      </c>
      <c r="P2162" s="3">
        <f>O2162-N2162</f>
        <v/>
      </c>
      <c r="Q2162" s="5">
        <f>IFERROR(P2162/O2162,0)</f>
        <v/>
      </c>
      <c r="R2162" s="2">
        <f>TEXT(DATEVALUE(B2162),"mmm")</f>
        <v/>
      </c>
      <c r="S2162" s="2">
        <f>TEXT(DATEVALUE(B2162),"yyyy-mm")</f>
        <v/>
      </c>
    </row>
    <row r="2163">
      <c r="A2163" s="2" t="inlineStr">
        <is>
          <t>O004637</t>
        </is>
      </c>
      <c r="B2163" s="2" t="inlineStr">
        <is>
          <t>2025-06-05</t>
        </is>
      </c>
      <c r="C2163" s="2" t="inlineStr">
        <is>
          <t>C0003</t>
        </is>
      </c>
      <c r="D2163" s="2" t="inlineStr">
        <is>
          <t>P0029</t>
        </is>
      </c>
      <c r="E2163" s="2" t="inlineStr">
        <is>
          <t>Yoga Mat</t>
        </is>
      </c>
      <c r="F2163" s="2" t="inlineStr">
        <is>
          <t>Sports</t>
        </is>
      </c>
      <c r="G2163" s="2" t="inlineStr">
        <is>
          <t>South</t>
        </is>
      </c>
      <c r="H2163" s="2" t="inlineStr">
        <is>
          <t>Telangana</t>
        </is>
      </c>
      <c r="I2163" s="2" t="inlineStr">
        <is>
          <t>Warangal</t>
        </is>
      </c>
      <c r="J2163" s="2" t="inlineStr">
        <is>
          <t>Online</t>
        </is>
      </c>
      <c r="K2163" s="2" t="n">
        <v>2</v>
      </c>
      <c r="L2163" s="3" t="n">
        <v>2297.21</v>
      </c>
      <c r="M2163" s="4" t="n">
        <v>0.05</v>
      </c>
      <c r="N2163" s="3" t="n">
        <v>2574.24</v>
      </c>
      <c r="O2163" s="3">
        <f>K2163*L2163*(1-M2163)</f>
        <v/>
      </c>
      <c r="P2163" s="3">
        <f>O2163-N2163</f>
        <v/>
      </c>
      <c r="Q2163" s="5">
        <f>IFERROR(P2163/O2163,0)</f>
        <v/>
      </c>
      <c r="R2163" s="2">
        <f>TEXT(DATEVALUE(B2163),"mmm")</f>
        <v/>
      </c>
      <c r="S2163" s="2">
        <f>TEXT(DATEVALUE(B2163),"yyyy-mm")</f>
        <v/>
      </c>
    </row>
    <row r="2164">
      <c r="A2164" s="2" t="inlineStr">
        <is>
          <t>O003999</t>
        </is>
      </c>
      <c r="B2164" s="2" t="inlineStr">
        <is>
          <t>2025-06-05</t>
        </is>
      </c>
      <c r="C2164" s="2" t="inlineStr">
        <is>
          <t>C0567</t>
        </is>
      </c>
      <c r="D2164" s="2" t="inlineStr">
        <is>
          <t>P0007</t>
        </is>
      </c>
      <c r="E2164" s="2" t="inlineStr">
        <is>
          <t>Wireless Mouse</t>
        </is>
      </c>
      <c r="F2164" s="2" t="inlineStr">
        <is>
          <t>Electronics</t>
        </is>
      </c>
      <c r="G2164" s="2" t="inlineStr">
        <is>
          <t>North</t>
        </is>
      </c>
      <c r="H2164" s="2" t="inlineStr">
        <is>
          <t>Punjab</t>
        </is>
      </c>
      <c r="I2164" s="2" t="inlineStr">
        <is>
          <t>Amritsar</t>
        </is>
      </c>
      <c r="J2164" s="2" t="inlineStr">
        <is>
          <t>Online</t>
        </is>
      </c>
      <c r="K2164" s="2" t="n">
        <v>4</v>
      </c>
      <c r="L2164" s="3" t="n">
        <v>1009.5</v>
      </c>
      <c r="M2164" s="4" t="n">
        <v>0.2</v>
      </c>
      <c r="N2164" s="3" t="n">
        <v>2450.42</v>
      </c>
      <c r="O2164" s="3">
        <f>K2164*L2164*(1-M2164)</f>
        <v/>
      </c>
      <c r="P2164" s="3">
        <f>O2164-N2164</f>
        <v/>
      </c>
      <c r="Q2164" s="5">
        <f>IFERROR(P2164/O2164,0)</f>
        <v/>
      </c>
      <c r="R2164" s="2">
        <f>TEXT(DATEVALUE(B2164),"mmm")</f>
        <v/>
      </c>
      <c r="S2164" s="2">
        <f>TEXT(DATEVALUE(B2164),"yyyy-mm")</f>
        <v/>
      </c>
    </row>
    <row r="2165">
      <c r="A2165" s="2" t="inlineStr">
        <is>
          <t>O003945</t>
        </is>
      </c>
      <c r="B2165" s="2" t="inlineStr">
        <is>
          <t>2025-06-05</t>
        </is>
      </c>
      <c r="C2165" s="2" t="inlineStr">
        <is>
          <t>C0771</t>
        </is>
      </c>
      <c r="D2165" s="2" t="inlineStr">
        <is>
          <t>P0007</t>
        </is>
      </c>
      <c r="E2165" s="2" t="inlineStr">
        <is>
          <t>Wireless Mouse</t>
        </is>
      </c>
      <c r="F2165" s="2" t="inlineStr">
        <is>
          <t>Electronics</t>
        </is>
      </c>
      <c r="G2165" s="2" t="inlineStr">
        <is>
          <t>East</t>
        </is>
      </c>
      <c r="H2165" s="2" t="inlineStr">
        <is>
          <t>Odisha</t>
        </is>
      </c>
      <c r="I2165" s="2" t="inlineStr">
        <is>
          <t>Cuttack</t>
        </is>
      </c>
      <c r="J2165" s="2" t="inlineStr">
        <is>
          <t>Online</t>
        </is>
      </c>
      <c r="K2165" s="2" t="n">
        <v>1</v>
      </c>
      <c r="L2165" s="3" t="n">
        <v>943.48</v>
      </c>
      <c r="M2165" s="4" t="n">
        <v>0.15</v>
      </c>
      <c r="N2165" s="3" t="n">
        <v>633.92</v>
      </c>
      <c r="O2165" s="3">
        <f>K2165*L2165*(1-M2165)</f>
        <v/>
      </c>
      <c r="P2165" s="3">
        <f>O2165-N2165</f>
        <v/>
      </c>
      <c r="Q2165" s="5">
        <f>IFERROR(P2165/O2165,0)</f>
        <v/>
      </c>
      <c r="R2165" s="2">
        <f>TEXT(DATEVALUE(B2165),"mmm")</f>
        <v/>
      </c>
      <c r="S2165" s="2">
        <f>TEXT(DATEVALUE(B2165),"yyyy-mm")</f>
        <v/>
      </c>
    </row>
    <row r="2166">
      <c r="A2166" s="2" t="inlineStr">
        <is>
          <t>O003818</t>
        </is>
      </c>
      <c r="B2166" s="2" t="inlineStr">
        <is>
          <t>2025-06-05</t>
        </is>
      </c>
      <c r="C2166" s="2" t="inlineStr">
        <is>
          <t>C0104</t>
        </is>
      </c>
      <c r="D2166" s="2" t="inlineStr">
        <is>
          <t>P0012</t>
        </is>
      </c>
      <c r="E2166" s="2" t="inlineStr">
        <is>
          <t>Water Bottle</t>
        </is>
      </c>
      <c r="F2166" s="2" t="inlineStr">
        <is>
          <t>Home &amp; Kitchen</t>
        </is>
      </c>
      <c r="G2166" s="2" t="inlineStr">
        <is>
          <t>South</t>
        </is>
      </c>
      <c r="H2166" s="2" t="inlineStr">
        <is>
          <t>Kerala</t>
        </is>
      </c>
      <c r="I2166" s="2" t="inlineStr">
        <is>
          <t>Thiruvananthapuram</t>
        </is>
      </c>
      <c r="J2166" s="2" t="inlineStr">
        <is>
          <t>Online</t>
        </is>
      </c>
      <c r="K2166" s="2" t="n">
        <v>2</v>
      </c>
      <c r="L2166" s="3" t="n">
        <v>993.86</v>
      </c>
      <c r="M2166" s="4" t="n">
        <v>0.1</v>
      </c>
      <c r="N2166" s="3" t="n">
        <v>1242</v>
      </c>
      <c r="O2166" s="3">
        <f>K2166*L2166*(1-M2166)</f>
        <v/>
      </c>
      <c r="P2166" s="3">
        <f>O2166-N2166</f>
        <v/>
      </c>
      <c r="Q2166" s="5">
        <f>IFERROR(P2166/O2166,0)</f>
        <v/>
      </c>
      <c r="R2166" s="2">
        <f>TEXT(DATEVALUE(B2166),"mmm")</f>
        <v/>
      </c>
      <c r="S2166" s="2">
        <f>TEXT(DATEVALUE(B2166),"yyyy-mm")</f>
        <v/>
      </c>
    </row>
    <row r="2167">
      <c r="A2167" s="2" t="inlineStr">
        <is>
          <t>O003695</t>
        </is>
      </c>
      <c r="B2167" s="2" t="inlineStr">
        <is>
          <t>2025-06-05</t>
        </is>
      </c>
      <c r="C2167" s="2" t="inlineStr">
        <is>
          <t>C0188</t>
        </is>
      </c>
      <c r="D2167" s="2" t="inlineStr">
        <is>
          <t>P0032</t>
        </is>
      </c>
      <c r="E2167" s="2" t="inlineStr">
        <is>
          <t>Football</t>
        </is>
      </c>
      <c r="F2167" s="2" t="inlineStr">
        <is>
          <t>Sports</t>
        </is>
      </c>
      <c r="G2167" s="2" t="inlineStr">
        <is>
          <t>South</t>
        </is>
      </c>
      <c r="H2167" s="2" t="inlineStr">
        <is>
          <t>Kerala</t>
        </is>
      </c>
      <c r="I2167" s="2" t="inlineStr">
        <is>
          <t>Thiruvananthapuram</t>
        </is>
      </c>
      <c r="J2167" s="2" t="inlineStr">
        <is>
          <t>Online</t>
        </is>
      </c>
      <c r="K2167" s="2" t="n">
        <v>1</v>
      </c>
      <c r="L2167" s="3" t="n">
        <v>781.3</v>
      </c>
      <c r="M2167" s="4" t="n">
        <v>0.05</v>
      </c>
      <c r="N2167" s="3" t="n">
        <v>530.77</v>
      </c>
      <c r="O2167" s="3">
        <f>K2167*L2167*(1-M2167)</f>
        <v/>
      </c>
      <c r="P2167" s="3">
        <f>O2167-N2167</f>
        <v/>
      </c>
      <c r="Q2167" s="5">
        <f>IFERROR(P2167/O2167,0)</f>
        <v/>
      </c>
      <c r="R2167" s="2">
        <f>TEXT(DATEVALUE(B2167),"mmm")</f>
        <v/>
      </c>
      <c r="S2167" s="2">
        <f>TEXT(DATEVALUE(B2167),"yyyy-mm")</f>
        <v/>
      </c>
    </row>
    <row r="2168">
      <c r="A2168" s="2" t="inlineStr">
        <is>
          <t>O003379</t>
        </is>
      </c>
      <c r="B2168" s="2" t="inlineStr">
        <is>
          <t>2025-06-05</t>
        </is>
      </c>
      <c r="C2168" s="2" t="inlineStr">
        <is>
          <t>C0361</t>
        </is>
      </c>
      <c r="D2168" s="2" t="inlineStr">
        <is>
          <t>P0019</t>
        </is>
      </c>
      <c r="E2168" s="2" t="inlineStr">
        <is>
          <t>Jacket</t>
        </is>
      </c>
      <c r="F2168" s="2" t="inlineStr">
        <is>
          <t>Fashion</t>
        </is>
      </c>
      <c r="G2168" s="2" t="inlineStr">
        <is>
          <t>North</t>
        </is>
      </c>
      <c r="H2168" s="2" t="inlineStr">
        <is>
          <t>Punjab</t>
        </is>
      </c>
      <c r="I2168" s="2" t="inlineStr">
        <is>
          <t>Jalandhar</t>
        </is>
      </c>
      <c r="J2168" s="2" t="inlineStr">
        <is>
          <t>Online</t>
        </is>
      </c>
      <c r="K2168" s="2" t="n">
        <v>1</v>
      </c>
      <c r="L2168" s="3" t="n">
        <v>1075.14</v>
      </c>
      <c r="M2168" s="4" t="n">
        <v>0</v>
      </c>
      <c r="N2168" s="3" t="n">
        <v>662.86</v>
      </c>
      <c r="O2168" s="3">
        <f>K2168*L2168*(1-M2168)</f>
        <v/>
      </c>
      <c r="P2168" s="3">
        <f>O2168-N2168</f>
        <v/>
      </c>
      <c r="Q2168" s="5">
        <f>IFERROR(P2168/O2168,0)</f>
        <v/>
      </c>
      <c r="R2168" s="2">
        <f>TEXT(DATEVALUE(B2168),"mmm")</f>
        <v/>
      </c>
      <c r="S2168" s="2">
        <f>TEXT(DATEVALUE(B2168),"yyyy-mm")</f>
        <v/>
      </c>
    </row>
    <row r="2169">
      <c r="A2169" s="2" t="inlineStr">
        <is>
          <t>O003067</t>
        </is>
      </c>
      <c r="B2169" s="2" t="inlineStr">
        <is>
          <t>2025-06-05</t>
        </is>
      </c>
      <c r="C2169" s="2" t="inlineStr">
        <is>
          <t>C0791</t>
        </is>
      </c>
      <c r="D2169" s="2" t="inlineStr">
        <is>
          <t>P0022</t>
        </is>
      </c>
      <c r="E2169" s="2" t="inlineStr">
        <is>
          <t>Face Wash</t>
        </is>
      </c>
      <c r="F2169" s="2" t="inlineStr">
        <is>
          <t>Beauty</t>
        </is>
      </c>
      <c r="G2169" s="2" t="inlineStr">
        <is>
          <t>South</t>
        </is>
      </c>
      <c r="H2169" s="2" t="inlineStr">
        <is>
          <t>Tamil Nadu</t>
        </is>
      </c>
      <c r="I2169" s="2" t="inlineStr">
        <is>
          <t>Madurai</t>
        </is>
      </c>
      <c r="J2169" s="2" t="inlineStr">
        <is>
          <t>Online</t>
        </is>
      </c>
      <c r="K2169" s="2" t="n">
        <v>4</v>
      </c>
      <c r="L2169" s="3" t="n">
        <v>550.53</v>
      </c>
      <c r="M2169" s="4" t="n">
        <v>0</v>
      </c>
      <c r="N2169" s="3" t="n">
        <v>1365.69</v>
      </c>
      <c r="O2169" s="3">
        <f>K2169*L2169*(1-M2169)</f>
        <v/>
      </c>
      <c r="P2169" s="3">
        <f>O2169-N2169</f>
        <v/>
      </c>
      <c r="Q2169" s="5">
        <f>IFERROR(P2169/O2169,0)</f>
        <v/>
      </c>
      <c r="R2169" s="2">
        <f>TEXT(DATEVALUE(B2169),"mmm")</f>
        <v/>
      </c>
      <c r="S2169" s="2">
        <f>TEXT(DATEVALUE(B2169),"yyyy-mm")</f>
        <v/>
      </c>
    </row>
    <row r="2170">
      <c r="A2170" s="2" t="inlineStr">
        <is>
          <t>O003040</t>
        </is>
      </c>
      <c r="B2170" s="2" t="inlineStr">
        <is>
          <t>2025-06-05</t>
        </is>
      </c>
      <c r="C2170" s="2" t="inlineStr">
        <is>
          <t>C0504</t>
        </is>
      </c>
      <c r="D2170" s="2" t="inlineStr">
        <is>
          <t>P0001</t>
        </is>
      </c>
      <c r="E2170" s="2" t="inlineStr">
        <is>
          <t>Wireless Headphones</t>
        </is>
      </c>
      <c r="F2170" s="2" t="inlineStr">
        <is>
          <t>Electronics</t>
        </is>
      </c>
      <c r="G2170" s="2" t="inlineStr">
        <is>
          <t>North</t>
        </is>
      </c>
      <c r="H2170" s="2" t="inlineStr">
        <is>
          <t>Uttar Pradesh</t>
        </is>
      </c>
      <c r="I2170" s="2" t="inlineStr">
        <is>
          <t>Noida</t>
        </is>
      </c>
      <c r="J2170" s="2" t="inlineStr">
        <is>
          <t>Online</t>
        </is>
      </c>
      <c r="K2170" s="2" t="n">
        <v>1</v>
      </c>
      <c r="L2170" s="3" t="n">
        <v>1314.57</v>
      </c>
      <c r="M2170" s="4" t="n">
        <v>0</v>
      </c>
      <c r="N2170" s="3" t="n">
        <v>684.0599999999999</v>
      </c>
      <c r="O2170" s="3">
        <f>K2170*L2170*(1-M2170)</f>
        <v/>
      </c>
      <c r="P2170" s="3">
        <f>O2170-N2170</f>
        <v/>
      </c>
      <c r="Q2170" s="5">
        <f>IFERROR(P2170/O2170,0)</f>
        <v/>
      </c>
      <c r="R2170" s="2">
        <f>TEXT(DATEVALUE(B2170),"mmm")</f>
        <v/>
      </c>
      <c r="S2170" s="2">
        <f>TEXT(DATEVALUE(B2170),"yyyy-mm")</f>
        <v/>
      </c>
    </row>
    <row r="2171">
      <c r="A2171" s="2" t="inlineStr">
        <is>
          <t>O002444</t>
        </is>
      </c>
      <c r="B2171" s="2" t="inlineStr">
        <is>
          <t>2025-06-05</t>
        </is>
      </c>
      <c r="C2171" s="2" t="inlineStr">
        <is>
          <t>C0658</t>
        </is>
      </c>
      <c r="D2171" s="2" t="inlineStr">
        <is>
          <t>P0002</t>
        </is>
      </c>
      <c r="E2171" s="2" t="inlineStr">
        <is>
          <t>Bluetooth Speaker</t>
        </is>
      </c>
      <c r="F2171" s="2" t="inlineStr">
        <is>
          <t>Electronics</t>
        </is>
      </c>
      <c r="G2171" s="2" t="inlineStr">
        <is>
          <t>South</t>
        </is>
      </c>
      <c r="H2171" s="2" t="inlineStr">
        <is>
          <t>Kerala</t>
        </is>
      </c>
      <c r="I2171" s="2" t="inlineStr">
        <is>
          <t>Thiruvananthapuram</t>
        </is>
      </c>
      <c r="J2171" s="2" t="inlineStr">
        <is>
          <t>Online</t>
        </is>
      </c>
      <c r="K2171" s="2" t="n">
        <v>3</v>
      </c>
      <c r="L2171" s="3" t="n">
        <v>1371.81</v>
      </c>
      <c r="M2171" s="4" t="n">
        <v>0.15</v>
      </c>
      <c r="N2171" s="3" t="n">
        <v>2390.82</v>
      </c>
      <c r="O2171" s="3">
        <f>K2171*L2171*(1-M2171)</f>
        <v/>
      </c>
      <c r="P2171" s="3">
        <f>O2171-N2171</f>
        <v/>
      </c>
      <c r="Q2171" s="5">
        <f>IFERROR(P2171/O2171,0)</f>
        <v/>
      </c>
      <c r="R2171" s="2">
        <f>TEXT(DATEVALUE(B2171),"mmm")</f>
        <v/>
      </c>
      <c r="S2171" s="2">
        <f>TEXT(DATEVALUE(B2171),"yyyy-mm")</f>
        <v/>
      </c>
    </row>
    <row r="2172">
      <c r="A2172" s="2" t="inlineStr">
        <is>
          <t>O002167</t>
        </is>
      </c>
      <c r="B2172" s="2" t="inlineStr">
        <is>
          <t>2025-06-05</t>
        </is>
      </c>
      <c r="C2172" s="2" t="inlineStr">
        <is>
          <t>C0666</t>
        </is>
      </c>
      <c r="D2172" s="2" t="inlineStr">
        <is>
          <t>P0026</t>
        </is>
      </c>
      <c r="E2172" s="2" t="inlineStr">
        <is>
          <t>Shampoo</t>
        </is>
      </c>
      <c r="F2172" s="2" t="inlineStr">
        <is>
          <t>Beauty</t>
        </is>
      </c>
      <c r="G2172" s="2" t="inlineStr">
        <is>
          <t>West</t>
        </is>
      </c>
      <c r="H2172" s="2" t="inlineStr">
        <is>
          <t>Gujarat</t>
        </is>
      </c>
      <c r="I2172" s="2" t="inlineStr">
        <is>
          <t>Ahmedabad</t>
        </is>
      </c>
      <c r="J2172" s="2" t="inlineStr">
        <is>
          <t>Online</t>
        </is>
      </c>
      <c r="K2172" s="2" t="n">
        <v>2</v>
      </c>
      <c r="L2172" s="3" t="n">
        <v>870.01</v>
      </c>
      <c r="M2172" s="4" t="n">
        <v>0.15</v>
      </c>
      <c r="N2172" s="3" t="n">
        <v>1050.24</v>
      </c>
      <c r="O2172" s="3">
        <f>K2172*L2172*(1-M2172)</f>
        <v/>
      </c>
      <c r="P2172" s="3">
        <f>O2172-N2172</f>
        <v/>
      </c>
      <c r="Q2172" s="5">
        <f>IFERROR(P2172/O2172,0)</f>
        <v/>
      </c>
      <c r="R2172" s="2">
        <f>TEXT(DATEVALUE(B2172),"mmm")</f>
        <v/>
      </c>
      <c r="S2172" s="2">
        <f>TEXT(DATEVALUE(B2172),"yyyy-mm")</f>
        <v/>
      </c>
    </row>
    <row r="2173">
      <c r="A2173" s="2" t="inlineStr">
        <is>
          <t>O002001</t>
        </is>
      </c>
      <c r="B2173" s="2" t="inlineStr">
        <is>
          <t>2025-06-05</t>
        </is>
      </c>
      <c r="C2173" s="2" t="inlineStr">
        <is>
          <t>C0749</t>
        </is>
      </c>
      <c r="D2173" s="2" t="inlineStr">
        <is>
          <t>P0002</t>
        </is>
      </c>
      <c r="E2173" s="2" t="inlineStr">
        <is>
          <t>Bluetooth Speaker</t>
        </is>
      </c>
      <c r="F2173" s="2" t="inlineStr">
        <is>
          <t>Electronics</t>
        </is>
      </c>
      <c r="G2173" s="2" t="inlineStr">
        <is>
          <t>East</t>
        </is>
      </c>
      <c r="H2173" s="2" t="inlineStr">
        <is>
          <t>Odisha</t>
        </is>
      </c>
      <c r="I2173" s="2" t="inlineStr">
        <is>
          <t>Cuttack</t>
        </is>
      </c>
      <c r="J2173" s="2" t="inlineStr">
        <is>
          <t>Online</t>
        </is>
      </c>
      <c r="K2173" s="2" t="n">
        <v>3</v>
      </c>
      <c r="L2173" s="3" t="n">
        <v>1340.73</v>
      </c>
      <c r="M2173" s="4" t="n">
        <v>0</v>
      </c>
      <c r="N2173" s="3" t="n">
        <v>2434.82</v>
      </c>
      <c r="O2173" s="3">
        <f>K2173*L2173*(1-M2173)</f>
        <v/>
      </c>
      <c r="P2173" s="3">
        <f>O2173-N2173</f>
        <v/>
      </c>
      <c r="Q2173" s="5">
        <f>IFERROR(P2173/O2173,0)</f>
        <v/>
      </c>
      <c r="R2173" s="2">
        <f>TEXT(DATEVALUE(B2173),"mmm")</f>
        <v/>
      </c>
      <c r="S2173" s="2">
        <f>TEXT(DATEVALUE(B2173),"yyyy-mm")</f>
        <v/>
      </c>
    </row>
    <row r="2174">
      <c r="A2174" s="2" t="inlineStr">
        <is>
          <t>O001201</t>
        </is>
      </c>
      <c r="B2174" s="2" t="inlineStr">
        <is>
          <t>2025-06-05</t>
        </is>
      </c>
      <c r="C2174" s="2" t="inlineStr">
        <is>
          <t>C0024</t>
        </is>
      </c>
      <c r="D2174" s="2" t="inlineStr">
        <is>
          <t>P0032</t>
        </is>
      </c>
      <c r="E2174" s="2" t="inlineStr">
        <is>
          <t>Football</t>
        </is>
      </c>
      <c r="F2174" s="2" t="inlineStr">
        <is>
          <t>Sports</t>
        </is>
      </c>
      <c r="G2174" s="2" t="inlineStr">
        <is>
          <t>South</t>
        </is>
      </c>
      <c r="H2174" s="2" t="inlineStr">
        <is>
          <t>Tamil Nadu</t>
        </is>
      </c>
      <c r="I2174" s="2" t="inlineStr">
        <is>
          <t>Coimbatore</t>
        </is>
      </c>
      <c r="J2174" s="2" t="inlineStr">
        <is>
          <t>Online</t>
        </is>
      </c>
      <c r="K2174" s="2" t="n">
        <v>1</v>
      </c>
      <c r="L2174" s="3" t="n">
        <v>796.1900000000001</v>
      </c>
      <c r="M2174" s="4" t="n">
        <v>0.1</v>
      </c>
      <c r="N2174" s="3" t="n">
        <v>550.72</v>
      </c>
      <c r="O2174" s="3">
        <f>K2174*L2174*(1-M2174)</f>
        <v/>
      </c>
      <c r="P2174" s="3">
        <f>O2174-N2174</f>
        <v/>
      </c>
      <c r="Q2174" s="5">
        <f>IFERROR(P2174/O2174,0)</f>
        <v/>
      </c>
      <c r="R2174" s="2">
        <f>TEXT(DATEVALUE(B2174),"mmm")</f>
        <v/>
      </c>
      <c r="S2174" s="2">
        <f>TEXT(DATEVALUE(B2174),"yyyy-mm")</f>
        <v/>
      </c>
    </row>
    <row r="2175">
      <c r="A2175" s="2" t="inlineStr">
        <is>
          <t>O000687</t>
        </is>
      </c>
      <c r="B2175" s="2" t="inlineStr">
        <is>
          <t>2025-06-05</t>
        </is>
      </c>
      <c r="C2175" s="2" t="inlineStr">
        <is>
          <t>C0696</t>
        </is>
      </c>
      <c r="D2175" s="2" t="inlineStr">
        <is>
          <t>P0014</t>
        </is>
      </c>
      <c r="E2175" s="2" t="inlineStr">
        <is>
          <t>Coffee Maker</t>
        </is>
      </c>
      <c r="F2175" s="2" t="inlineStr">
        <is>
          <t>Home &amp; Kitchen</t>
        </is>
      </c>
      <c r="G2175" s="2" t="inlineStr">
        <is>
          <t>North</t>
        </is>
      </c>
      <c r="H2175" s="2" t="inlineStr">
        <is>
          <t>Uttar Pradesh</t>
        </is>
      </c>
      <c r="I2175" s="2" t="inlineStr">
        <is>
          <t>Varanasi</t>
        </is>
      </c>
      <c r="J2175" s="2" t="inlineStr">
        <is>
          <t>Online</t>
        </is>
      </c>
      <c r="K2175" s="2" t="n">
        <v>5</v>
      </c>
      <c r="L2175" s="3" t="n">
        <v>1012.24</v>
      </c>
      <c r="M2175" s="4" t="n">
        <v>0.25</v>
      </c>
      <c r="N2175" s="3" t="n">
        <v>3824.6</v>
      </c>
      <c r="O2175" s="3">
        <f>K2175*L2175*(1-M2175)</f>
        <v/>
      </c>
      <c r="P2175" s="3">
        <f>O2175-N2175</f>
        <v/>
      </c>
      <c r="Q2175" s="5">
        <f>IFERROR(P2175/O2175,0)</f>
        <v/>
      </c>
      <c r="R2175" s="2">
        <f>TEXT(DATEVALUE(B2175),"mmm")</f>
        <v/>
      </c>
      <c r="S2175" s="2">
        <f>TEXT(DATEVALUE(B2175),"yyyy-mm")</f>
        <v/>
      </c>
    </row>
    <row r="2176">
      <c r="A2176" s="2" t="inlineStr">
        <is>
          <t>O003364</t>
        </is>
      </c>
      <c r="B2176" s="2" t="inlineStr">
        <is>
          <t>2025-06-05</t>
        </is>
      </c>
      <c r="C2176" s="2" t="inlineStr">
        <is>
          <t>C0052</t>
        </is>
      </c>
      <c r="D2176" s="2" t="inlineStr">
        <is>
          <t>P0007</t>
        </is>
      </c>
      <c r="E2176" s="2" t="inlineStr">
        <is>
          <t>Wireless Mouse</t>
        </is>
      </c>
      <c r="F2176" s="2" t="inlineStr">
        <is>
          <t>Electronics</t>
        </is>
      </c>
      <c r="G2176" s="2" t="inlineStr">
        <is>
          <t>East</t>
        </is>
      </c>
      <c r="H2176" s="2" t="inlineStr">
        <is>
          <t>West Bengal</t>
        </is>
      </c>
      <c r="I2176" s="2" t="inlineStr">
        <is>
          <t>Durgapur</t>
        </is>
      </c>
      <c r="J2176" s="2" t="inlineStr">
        <is>
          <t>Store</t>
        </is>
      </c>
      <c r="K2176" s="2" t="n">
        <v>4</v>
      </c>
      <c r="L2176" s="3" t="n">
        <v>988.13</v>
      </c>
      <c r="M2176" s="4" t="n">
        <v>0.1</v>
      </c>
      <c r="N2176" s="3" t="n">
        <v>2422.76</v>
      </c>
      <c r="O2176" s="3">
        <f>K2176*L2176*(1-M2176)</f>
        <v/>
      </c>
      <c r="P2176" s="3">
        <f>O2176-N2176</f>
        <v/>
      </c>
      <c r="Q2176" s="5">
        <f>IFERROR(P2176/O2176,0)</f>
        <v/>
      </c>
      <c r="R2176" s="2">
        <f>TEXT(DATEVALUE(B2176),"mmm")</f>
        <v/>
      </c>
      <c r="S2176" s="2">
        <f>TEXT(DATEVALUE(B2176),"yyyy-mm")</f>
        <v/>
      </c>
    </row>
    <row r="2177">
      <c r="A2177" s="2" t="inlineStr">
        <is>
          <t>O003200</t>
        </is>
      </c>
      <c r="B2177" s="2" t="inlineStr">
        <is>
          <t>2025-06-06</t>
        </is>
      </c>
      <c r="C2177" s="2" t="inlineStr">
        <is>
          <t>C0364</t>
        </is>
      </c>
      <c r="D2177" s="2" t="inlineStr">
        <is>
          <t>P0007</t>
        </is>
      </c>
      <c r="E2177" s="2" t="inlineStr">
        <is>
          <t>Wireless Mouse</t>
        </is>
      </c>
      <c r="F2177" s="2" t="inlineStr">
        <is>
          <t>Electronics</t>
        </is>
      </c>
      <c r="G2177" s="2" t="inlineStr">
        <is>
          <t>West</t>
        </is>
      </c>
      <c r="H2177" s="2" t="inlineStr">
        <is>
          <t>Gujarat</t>
        </is>
      </c>
      <c r="I2177" s="2" t="inlineStr">
        <is>
          <t>Surat</t>
        </is>
      </c>
      <c r="J2177" s="2" t="inlineStr">
        <is>
          <t>Online</t>
        </is>
      </c>
      <c r="K2177" s="2" t="n">
        <v>6</v>
      </c>
      <c r="L2177" s="3" t="n">
        <v>1013.36</v>
      </c>
      <c r="M2177" s="4" t="n">
        <v>0.1</v>
      </c>
      <c r="N2177" s="3" t="n">
        <v>3609.66</v>
      </c>
      <c r="O2177" s="3">
        <f>K2177*L2177*(1-M2177)</f>
        <v/>
      </c>
      <c r="P2177" s="3">
        <f>O2177-N2177</f>
        <v/>
      </c>
      <c r="Q2177" s="5">
        <f>IFERROR(P2177/O2177,0)</f>
        <v/>
      </c>
      <c r="R2177" s="2">
        <f>TEXT(DATEVALUE(B2177),"mmm")</f>
        <v/>
      </c>
      <c r="S2177" s="2">
        <f>TEXT(DATEVALUE(B2177),"yyyy-mm")</f>
        <v/>
      </c>
    </row>
    <row r="2178">
      <c r="A2178" s="2" t="inlineStr">
        <is>
          <t>O004305</t>
        </is>
      </c>
      <c r="B2178" s="2" t="inlineStr">
        <is>
          <t>2025-06-06</t>
        </is>
      </c>
      <c r="C2178" s="2" t="inlineStr">
        <is>
          <t>C0550</t>
        </is>
      </c>
      <c r="D2178" s="2" t="inlineStr">
        <is>
          <t>P0032</t>
        </is>
      </c>
      <c r="E2178" s="2" t="inlineStr">
        <is>
          <t>Football</t>
        </is>
      </c>
      <c r="F2178" s="2" t="inlineStr">
        <is>
          <t>Sports</t>
        </is>
      </c>
      <c r="G2178" s="2" t="inlineStr">
        <is>
          <t>North</t>
        </is>
      </c>
      <c r="H2178" s="2" t="inlineStr">
        <is>
          <t>Delhi</t>
        </is>
      </c>
      <c r="I2178" s="2" t="inlineStr">
        <is>
          <t>New Delhi</t>
        </is>
      </c>
      <c r="J2178" s="2" t="inlineStr">
        <is>
          <t>Online</t>
        </is>
      </c>
      <c r="K2178" s="2" t="n">
        <v>1</v>
      </c>
      <c r="L2178" s="3" t="n">
        <v>804.6799999999999</v>
      </c>
      <c r="M2178" s="4" t="n">
        <v>0.15</v>
      </c>
      <c r="N2178" s="3" t="n">
        <v>539.83</v>
      </c>
      <c r="O2178" s="3">
        <f>K2178*L2178*(1-M2178)</f>
        <v/>
      </c>
      <c r="P2178" s="3">
        <f>O2178-N2178</f>
        <v/>
      </c>
      <c r="Q2178" s="5">
        <f>IFERROR(P2178/O2178,0)</f>
        <v/>
      </c>
      <c r="R2178" s="2">
        <f>TEXT(DATEVALUE(B2178),"mmm")</f>
        <v/>
      </c>
      <c r="S2178" s="2">
        <f>TEXT(DATEVALUE(B2178),"yyyy-mm")</f>
        <v/>
      </c>
    </row>
    <row r="2179">
      <c r="A2179" s="2" t="inlineStr">
        <is>
          <t>O003860</t>
        </is>
      </c>
      <c r="B2179" s="2" t="inlineStr">
        <is>
          <t>2025-06-06</t>
        </is>
      </c>
      <c r="C2179" s="2" t="inlineStr">
        <is>
          <t>C0587</t>
        </is>
      </c>
      <c r="D2179" s="2" t="inlineStr">
        <is>
          <t>P0032</t>
        </is>
      </c>
      <c r="E2179" s="2" t="inlineStr">
        <is>
          <t>Football</t>
        </is>
      </c>
      <c r="F2179" s="2" t="inlineStr">
        <is>
          <t>Sports</t>
        </is>
      </c>
      <c r="G2179" s="2" t="inlineStr">
        <is>
          <t>East</t>
        </is>
      </c>
      <c r="H2179" s="2" t="inlineStr">
        <is>
          <t>West Bengal</t>
        </is>
      </c>
      <c r="I2179" s="2" t="inlineStr">
        <is>
          <t>Kolkata</t>
        </is>
      </c>
      <c r="J2179" s="2" t="inlineStr">
        <is>
          <t>Online</t>
        </is>
      </c>
      <c r="K2179" s="2" t="n">
        <v>2</v>
      </c>
      <c r="L2179" s="3" t="n">
        <v>826.78</v>
      </c>
      <c r="M2179" s="4" t="n">
        <v>0.1</v>
      </c>
      <c r="N2179" s="3" t="n">
        <v>1099.05</v>
      </c>
      <c r="O2179" s="3">
        <f>K2179*L2179*(1-M2179)</f>
        <v/>
      </c>
      <c r="P2179" s="3">
        <f>O2179-N2179</f>
        <v/>
      </c>
      <c r="Q2179" s="5">
        <f>IFERROR(P2179/O2179,0)</f>
        <v/>
      </c>
      <c r="R2179" s="2">
        <f>TEXT(DATEVALUE(B2179),"mmm")</f>
        <v/>
      </c>
      <c r="S2179" s="2">
        <f>TEXT(DATEVALUE(B2179),"yyyy-mm")</f>
        <v/>
      </c>
    </row>
    <row r="2180">
      <c r="A2180" s="2" t="inlineStr">
        <is>
          <t>O003694</t>
        </is>
      </c>
      <c r="B2180" s="2" t="inlineStr">
        <is>
          <t>2025-06-06</t>
        </is>
      </c>
      <c r="C2180" s="2" t="inlineStr">
        <is>
          <t>C0765</t>
        </is>
      </c>
      <c r="D2180" s="2" t="inlineStr">
        <is>
          <t>P0017</t>
        </is>
      </c>
      <c r="E2180" s="2" t="inlineStr">
        <is>
          <t>Jeans</t>
        </is>
      </c>
      <c r="F2180" s="2" t="inlineStr">
        <is>
          <t>Fashion</t>
        </is>
      </c>
      <c r="G2180" s="2" t="inlineStr">
        <is>
          <t>West</t>
        </is>
      </c>
      <c r="H2180" s="2" t="inlineStr">
        <is>
          <t>Maharashtra</t>
        </is>
      </c>
      <c r="I2180" s="2" t="inlineStr">
        <is>
          <t>Thane</t>
        </is>
      </c>
      <c r="J2180" s="2" t="inlineStr">
        <is>
          <t>Online</t>
        </is>
      </c>
      <c r="K2180" s="2" t="n">
        <v>3</v>
      </c>
      <c r="L2180" s="3" t="n">
        <v>1541.08</v>
      </c>
      <c r="M2180" s="4" t="n">
        <v>0.05</v>
      </c>
      <c r="N2180" s="3" t="n">
        <v>3080.43</v>
      </c>
      <c r="O2180" s="3">
        <f>K2180*L2180*(1-M2180)</f>
        <v/>
      </c>
      <c r="P2180" s="3">
        <f>O2180-N2180</f>
        <v/>
      </c>
      <c r="Q2180" s="5">
        <f>IFERROR(P2180/O2180,0)</f>
        <v/>
      </c>
      <c r="R2180" s="2">
        <f>TEXT(DATEVALUE(B2180),"mmm")</f>
        <v/>
      </c>
      <c r="S2180" s="2">
        <f>TEXT(DATEVALUE(B2180),"yyyy-mm")</f>
        <v/>
      </c>
    </row>
    <row r="2181">
      <c r="A2181" s="2" t="inlineStr">
        <is>
          <t>O004333</t>
        </is>
      </c>
      <c r="B2181" s="2" t="inlineStr">
        <is>
          <t>2025-06-06</t>
        </is>
      </c>
      <c r="C2181" s="2" t="inlineStr">
        <is>
          <t>C0328</t>
        </is>
      </c>
      <c r="D2181" s="2" t="inlineStr">
        <is>
          <t>P0022</t>
        </is>
      </c>
      <c r="E2181" s="2" t="inlineStr">
        <is>
          <t>Face Wash</t>
        </is>
      </c>
      <c r="F2181" s="2" t="inlineStr">
        <is>
          <t>Beauty</t>
        </is>
      </c>
      <c r="G2181" s="2" t="inlineStr">
        <is>
          <t>West</t>
        </is>
      </c>
      <c r="H2181" s="2" t="inlineStr">
        <is>
          <t>Gujarat</t>
        </is>
      </c>
      <c r="I2181" s="2" t="inlineStr">
        <is>
          <t>Ahmedabad</t>
        </is>
      </c>
      <c r="J2181" s="2" t="inlineStr">
        <is>
          <t>Store</t>
        </is>
      </c>
      <c r="K2181" s="2" t="n">
        <v>1</v>
      </c>
      <c r="L2181" s="3" t="n">
        <v>539.2</v>
      </c>
      <c r="M2181" s="4" t="n">
        <v>0</v>
      </c>
      <c r="N2181" s="3" t="n">
        <v>346.63</v>
      </c>
      <c r="O2181" s="3">
        <f>K2181*L2181*(1-M2181)</f>
        <v/>
      </c>
      <c r="P2181" s="3">
        <f>O2181-N2181</f>
        <v/>
      </c>
      <c r="Q2181" s="5">
        <f>IFERROR(P2181/O2181,0)</f>
        <v/>
      </c>
      <c r="R2181" s="2">
        <f>TEXT(DATEVALUE(B2181),"mmm")</f>
        <v/>
      </c>
      <c r="S2181" s="2">
        <f>TEXT(DATEVALUE(B2181),"yyyy-mm")</f>
        <v/>
      </c>
    </row>
    <row r="2182">
      <c r="A2182" s="2" t="inlineStr">
        <is>
          <t>O002165</t>
        </is>
      </c>
      <c r="B2182" s="2" t="inlineStr">
        <is>
          <t>2025-06-06</t>
        </is>
      </c>
      <c r="C2182" s="2" t="inlineStr">
        <is>
          <t>C0519</t>
        </is>
      </c>
      <c r="D2182" s="2" t="inlineStr">
        <is>
          <t>P0007</t>
        </is>
      </c>
      <c r="E2182" s="2" t="inlineStr">
        <is>
          <t>Wireless Mouse</t>
        </is>
      </c>
      <c r="F2182" s="2" t="inlineStr">
        <is>
          <t>Electronics</t>
        </is>
      </c>
      <c r="G2182" s="2" t="inlineStr">
        <is>
          <t>South</t>
        </is>
      </c>
      <c r="H2182" s="2" t="inlineStr">
        <is>
          <t>Kerala</t>
        </is>
      </c>
      <c r="I2182" s="2" t="inlineStr">
        <is>
          <t>Kochi</t>
        </is>
      </c>
      <c r="J2182" s="2" t="inlineStr">
        <is>
          <t>Online</t>
        </is>
      </c>
      <c r="K2182" s="2" t="n">
        <v>3</v>
      </c>
      <c r="L2182" s="3" t="n">
        <v>943.22</v>
      </c>
      <c r="M2182" s="4" t="n">
        <v>0.15</v>
      </c>
      <c r="N2182" s="3" t="n">
        <v>1926.93</v>
      </c>
      <c r="O2182" s="3">
        <f>K2182*L2182*(1-M2182)</f>
        <v/>
      </c>
      <c r="P2182" s="3">
        <f>O2182-N2182</f>
        <v/>
      </c>
      <c r="Q2182" s="5">
        <f>IFERROR(P2182/O2182,0)</f>
        <v/>
      </c>
      <c r="R2182" s="2">
        <f>TEXT(DATEVALUE(B2182),"mmm")</f>
        <v/>
      </c>
      <c r="S2182" s="2">
        <f>TEXT(DATEVALUE(B2182),"yyyy-mm")</f>
        <v/>
      </c>
    </row>
    <row r="2183">
      <c r="A2183" s="2" t="inlineStr">
        <is>
          <t>O003388</t>
        </is>
      </c>
      <c r="B2183" s="2" t="inlineStr">
        <is>
          <t>2025-06-06</t>
        </is>
      </c>
      <c r="C2183" s="2" t="inlineStr">
        <is>
          <t>C0553</t>
        </is>
      </c>
      <c r="D2183" s="2" t="inlineStr">
        <is>
          <t>P0018</t>
        </is>
      </c>
      <c r="E2183" s="2" t="inlineStr">
        <is>
          <t>Backpack</t>
        </is>
      </c>
      <c r="F2183" s="2" t="inlineStr">
        <is>
          <t>Fashion</t>
        </is>
      </c>
      <c r="G2183" s="2" t="inlineStr">
        <is>
          <t>North</t>
        </is>
      </c>
      <c r="H2183" s="2" t="inlineStr">
        <is>
          <t>Delhi</t>
        </is>
      </c>
      <c r="I2183" s="2" t="inlineStr">
        <is>
          <t>New Delhi</t>
        </is>
      </c>
      <c r="J2183" s="2" t="inlineStr">
        <is>
          <t>Online</t>
        </is>
      </c>
      <c r="K2183" s="2" t="n">
        <v>1</v>
      </c>
      <c r="L2183" s="3" t="n">
        <v>1886.67</v>
      </c>
      <c r="M2183" s="4" t="n">
        <v>0.1</v>
      </c>
      <c r="N2183" s="3" t="n">
        <v>1321.71</v>
      </c>
      <c r="O2183" s="3">
        <f>K2183*L2183*(1-M2183)</f>
        <v/>
      </c>
      <c r="P2183" s="3">
        <f>O2183-N2183</f>
        <v/>
      </c>
      <c r="Q2183" s="5">
        <f>IFERROR(P2183/O2183,0)</f>
        <v/>
      </c>
      <c r="R2183" s="2">
        <f>TEXT(DATEVALUE(B2183),"mmm")</f>
        <v/>
      </c>
      <c r="S2183" s="2">
        <f>TEXT(DATEVALUE(B2183),"yyyy-mm")</f>
        <v/>
      </c>
    </row>
    <row r="2184">
      <c r="A2184" s="2" t="inlineStr">
        <is>
          <t>O001729</t>
        </is>
      </c>
      <c r="B2184" s="2" t="inlineStr">
        <is>
          <t>2025-06-06</t>
        </is>
      </c>
      <c r="C2184" s="2" t="inlineStr">
        <is>
          <t>C0424</t>
        </is>
      </c>
      <c r="D2184" s="2" t="inlineStr">
        <is>
          <t>P0016</t>
        </is>
      </c>
      <c r="E2184" s="2" t="inlineStr">
        <is>
          <t>Casual Shirt</t>
        </is>
      </c>
      <c r="F2184" s="2" t="inlineStr">
        <is>
          <t>Fashion</t>
        </is>
      </c>
      <c r="G2184" s="2" t="inlineStr">
        <is>
          <t>East</t>
        </is>
      </c>
      <c r="H2184" s="2" t="inlineStr">
        <is>
          <t>Odisha</t>
        </is>
      </c>
      <c r="I2184" s="2" t="inlineStr">
        <is>
          <t>Cuttack</t>
        </is>
      </c>
      <c r="J2184" s="2" t="inlineStr">
        <is>
          <t>Store</t>
        </is>
      </c>
      <c r="K2184" s="2" t="n">
        <v>5</v>
      </c>
      <c r="L2184" s="3" t="n">
        <v>1310.83</v>
      </c>
      <c r="M2184" s="4" t="n">
        <v>0.1</v>
      </c>
      <c r="N2184" s="3" t="n">
        <v>4505.63</v>
      </c>
      <c r="O2184" s="3">
        <f>K2184*L2184*(1-M2184)</f>
        <v/>
      </c>
      <c r="P2184" s="3">
        <f>O2184-N2184</f>
        <v/>
      </c>
      <c r="Q2184" s="5">
        <f>IFERROR(P2184/O2184,0)</f>
        <v/>
      </c>
      <c r="R2184" s="2">
        <f>TEXT(DATEVALUE(B2184),"mmm")</f>
        <v/>
      </c>
      <c r="S2184" s="2">
        <f>TEXT(DATEVALUE(B2184),"yyyy-mm")</f>
        <v/>
      </c>
    </row>
    <row r="2185">
      <c r="A2185" s="2" t="inlineStr">
        <is>
          <t>O001108</t>
        </is>
      </c>
      <c r="B2185" s="2" t="inlineStr">
        <is>
          <t>2025-06-06</t>
        </is>
      </c>
      <c r="C2185" s="2" t="inlineStr">
        <is>
          <t>C0294</t>
        </is>
      </c>
      <c r="D2185" s="2" t="inlineStr">
        <is>
          <t>P0016</t>
        </is>
      </c>
      <c r="E2185" s="2" t="inlineStr">
        <is>
          <t>Casual Shirt</t>
        </is>
      </c>
      <c r="F2185" s="2" t="inlineStr">
        <is>
          <t>Fashion</t>
        </is>
      </c>
      <c r="G2185" s="2" t="inlineStr">
        <is>
          <t>South</t>
        </is>
      </c>
      <c r="H2185" s="2" t="inlineStr">
        <is>
          <t>Telangana</t>
        </is>
      </c>
      <c r="I2185" s="2" t="inlineStr">
        <is>
          <t>Hyderabad</t>
        </is>
      </c>
      <c r="J2185" s="2" t="inlineStr">
        <is>
          <t>Store</t>
        </is>
      </c>
      <c r="K2185" s="2" t="n">
        <v>3</v>
      </c>
      <c r="L2185" s="3" t="n">
        <v>1297.22</v>
      </c>
      <c r="M2185" s="4" t="n">
        <v>0.05</v>
      </c>
      <c r="N2185" s="3" t="n">
        <v>2624.38</v>
      </c>
      <c r="O2185" s="3">
        <f>K2185*L2185*(1-M2185)</f>
        <v/>
      </c>
      <c r="P2185" s="3">
        <f>O2185-N2185</f>
        <v/>
      </c>
      <c r="Q2185" s="5">
        <f>IFERROR(P2185/O2185,0)</f>
        <v/>
      </c>
      <c r="R2185" s="2">
        <f>TEXT(DATEVALUE(B2185),"mmm")</f>
        <v/>
      </c>
      <c r="S2185" s="2">
        <f>TEXT(DATEVALUE(B2185),"yyyy-mm")</f>
        <v/>
      </c>
    </row>
    <row r="2186">
      <c r="A2186" s="2" t="inlineStr">
        <is>
          <t>O001105</t>
        </is>
      </c>
      <c r="B2186" s="2" t="inlineStr">
        <is>
          <t>2025-06-06</t>
        </is>
      </c>
      <c r="C2186" s="2" t="inlineStr">
        <is>
          <t>C0526</t>
        </is>
      </c>
      <c r="D2186" s="2" t="inlineStr">
        <is>
          <t>P0011</t>
        </is>
      </c>
      <c r="E2186" s="2" t="inlineStr">
        <is>
          <t>Cookware Set</t>
        </is>
      </c>
      <c r="F2186" s="2" t="inlineStr">
        <is>
          <t>Home &amp; Kitchen</t>
        </is>
      </c>
      <c r="G2186" s="2" t="inlineStr">
        <is>
          <t>North</t>
        </is>
      </c>
      <c r="H2186" s="2" t="inlineStr">
        <is>
          <t>Haryana</t>
        </is>
      </c>
      <c r="I2186" s="2" t="inlineStr">
        <is>
          <t>Gurugram</t>
        </is>
      </c>
      <c r="J2186" s="2" t="inlineStr">
        <is>
          <t>Online</t>
        </is>
      </c>
      <c r="K2186" s="2" t="n">
        <v>3</v>
      </c>
      <c r="L2186" s="3" t="n">
        <v>690.4</v>
      </c>
      <c r="M2186" s="4" t="n">
        <v>0</v>
      </c>
      <c r="N2186" s="3" t="n">
        <v>1426.37</v>
      </c>
      <c r="O2186" s="3">
        <f>K2186*L2186*(1-M2186)</f>
        <v/>
      </c>
      <c r="P2186" s="3">
        <f>O2186-N2186</f>
        <v/>
      </c>
      <c r="Q2186" s="5">
        <f>IFERROR(P2186/O2186,0)</f>
        <v/>
      </c>
      <c r="R2186" s="2">
        <f>TEXT(DATEVALUE(B2186),"mmm")</f>
        <v/>
      </c>
      <c r="S2186" s="2">
        <f>TEXT(DATEVALUE(B2186),"yyyy-mm")</f>
        <v/>
      </c>
    </row>
    <row r="2187">
      <c r="A2187" s="2" t="inlineStr">
        <is>
          <t>O001083</t>
        </is>
      </c>
      <c r="B2187" s="2" t="inlineStr">
        <is>
          <t>2025-06-06</t>
        </is>
      </c>
      <c r="C2187" s="2" t="inlineStr">
        <is>
          <t>C0457</t>
        </is>
      </c>
      <c r="D2187" s="2" t="inlineStr">
        <is>
          <t>P0023</t>
        </is>
      </c>
      <c r="E2187" s="2" t="inlineStr">
        <is>
          <t>Skin Care Kit</t>
        </is>
      </c>
      <c r="F2187" s="2" t="inlineStr">
        <is>
          <t>Beauty</t>
        </is>
      </c>
      <c r="G2187" s="2" t="inlineStr">
        <is>
          <t>West</t>
        </is>
      </c>
      <c r="H2187" s="2" t="inlineStr">
        <is>
          <t>Gujarat</t>
        </is>
      </c>
      <c r="I2187" s="2" t="inlineStr">
        <is>
          <t>Ahmedabad</t>
        </is>
      </c>
      <c r="J2187" s="2" t="inlineStr">
        <is>
          <t>Store</t>
        </is>
      </c>
      <c r="K2187" s="2" t="n">
        <v>2</v>
      </c>
      <c r="L2187" s="3" t="n">
        <v>1387.95</v>
      </c>
      <c r="M2187" s="4" t="n">
        <v>0.05</v>
      </c>
      <c r="N2187" s="3" t="n">
        <v>1844.05</v>
      </c>
      <c r="O2187" s="3">
        <f>K2187*L2187*(1-M2187)</f>
        <v/>
      </c>
      <c r="P2187" s="3">
        <f>O2187-N2187</f>
        <v/>
      </c>
      <c r="Q2187" s="5">
        <f>IFERROR(P2187/O2187,0)</f>
        <v/>
      </c>
      <c r="R2187" s="2">
        <f>TEXT(DATEVALUE(B2187),"mmm")</f>
        <v/>
      </c>
      <c r="S2187" s="2">
        <f>TEXT(DATEVALUE(B2187),"yyyy-mm")</f>
        <v/>
      </c>
    </row>
    <row r="2188">
      <c r="A2188" s="2" t="inlineStr">
        <is>
          <t>O001080</t>
        </is>
      </c>
      <c r="B2188" s="2" t="inlineStr">
        <is>
          <t>2025-06-06</t>
        </is>
      </c>
      <c r="C2188" s="2" t="inlineStr">
        <is>
          <t>C0011</t>
        </is>
      </c>
      <c r="D2188" s="2" t="inlineStr">
        <is>
          <t>P0001</t>
        </is>
      </c>
      <c r="E2188" s="2" t="inlineStr">
        <is>
          <t>Wireless Headphones</t>
        </is>
      </c>
      <c r="F2188" s="2" t="inlineStr">
        <is>
          <t>Electronics</t>
        </is>
      </c>
      <c r="G2188" s="2" t="inlineStr">
        <is>
          <t>East</t>
        </is>
      </c>
      <c r="H2188" s="2" t="inlineStr">
        <is>
          <t>Odisha</t>
        </is>
      </c>
      <c r="I2188" s="2" t="inlineStr">
        <is>
          <t>Cuttack</t>
        </is>
      </c>
      <c r="J2188" s="2" t="inlineStr">
        <is>
          <t>Online</t>
        </is>
      </c>
      <c r="K2188" s="2" t="n">
        <v>2</v>
      </c>
      <c r="L2188" s="3" t="n">
        <v>1302.8</v>
      </c>
      <c r="M2188" s="4" t="n">
        <v>0</v>
      </c>
      <c r="N2188" s="3" t="n">
        <v>1410.71</v>
      </c>
      <c r="O2188" s="3">
        <f>K2188*L2188*(1-M2188)</f>
        <v/>
      </c>
      <c r="P2188" s="3">
        <f>O2188-N2188</f>
        <v/>
      </c>
      <c r="Q2188" s="5">
        <f>IFERROR(P2188/O2188,0)</f>
        <v/>
      </c>
      <c r="R2188" s="2">
        <f>TEXT(DATEVALUE(B2188),"mmm")</f>
        <v/>
      </c>
      <c r="S2188" s="2">
        <f>TEXT(DATEVALUE(B2188),"yyyy-mm")</f>
        <v/>
      </c>
    </row>
    <row r="2189">
      <c r="A2189" s="2" t="inlineStr">
        <is>
          <t>O000092</t>
        </is>
      </c>
      <c r="B2189" s="2" t="inlineStr">
        <is>
          <t>2025-06-06</t>
        </is>
      </c>
      <c r="C2189" s="2" t="inlineStr">
        <is>
          <t>C0702</t>
        </is>
      </c>
      <c r="D2189" s="2" t="inlineStr">
        <is>
          <t>P0023</t>
        </is>
      </c>
      <c r="E2189" s="2" t="inlineStr">
        <is>
          <t>Skin Care Kit</t>
        </is>
      </c>
      <c r="F2189" s="2" t="inlineStr">
        <is>
          <t>Beauty</t>
        </is>
      </c>
      <c r="G2189" s="2" t="inlineStr">
        <is>
          <t>West</t>
        </is>
      </c>
      <c r="H2189" s="2" t="inlineStr">
        <is>
          <t>Maharashtra</t>
        </is>
      </c>
      <c r="I2189" s="2" t="inlineStr">
        <is>
          <t>Nashik</t>
        </is>
      </c>
      <c r="J2189" s="2" t="inlineStr">
        <is>
          <t>Online</t>
        </is>
      </c>
      <c r="K2189" s="2" t="n">
        <v>5</v>
      </c>
      <c r="L2189" s="3" t="n">
        <v>1371.3</v>
      </c>
      <c r="M2189" s="4" t="n">
        <v>0</v>
      </c>
      <c r="N2189" s="3" t="n">
        <v>4520.47</v>
      </c>
      <c r="O2189" s="3">
        <f>K2189*L2189*(1-M2189)</f>
        <v/>
      </c>
      <c r="P2189" s="3">
        <f>O2189-N2189</f>
        <v/>
      </c>
      <c r="Q2189" s="5">
        <f>IFERROR(P2189/O2189,0)</f>
        <v/>
      </c>
      <c r="R2189" s="2">
        <f>TEXT(DATEVALUE(B2189),"mmm")</f>
        <v/>
      </c>
      <c r="S2189" s="2">
        <f>TEXT(DATEVALUE(B2189),"yyyy-mm")</f>
        <v/>
      </c>
    </row>
    <row r="2190">
      <c r="A2190" s="2" t="inlineStr">
        <is>
          <t>O002049</t>
        </is>
      </c>
      <c r="B2190" s="2" t="inlineStr">
        <is>
          <t>2025-06-06</t>
        </is>
      </c>
      <c r="C2190" s="2" t="inlineStr">
        <is>
          <t>C0644</t>
        </is>
      </c>
      <c r="D2190" s="2" t="inlineStr">
        <is>
          <t>P0023</t>
        </is>
      </c>
      <c r="E2190" s="2" t="inlineStr">
        <is>
          <t>Skin Care Kit</t>
        </is>
      </c>
      <c r="F2190" s="2" t="inlineStr">
        <is>
          <t>Beauty</t>
        </is>
      </c>
      <c r="G2190" s="2" t="inlineStr">
        <is>
          <t>East</t>
        </is>
      </c>
      <c r="H2190" s="2" t="inlineStr">
        <is>
          <t>Odisha</t>
        </is>
      </c>
      <c r="I2190" s="2" t="inlineStr">
        <is>
          <t>Bhubaneswar</t>
        </is>
      </c>
      <c r="J2190" s="2" t="inlineStr">
        <is>
          <t>Store</t>
        </is>
      </c>
      <c r="K2190" s="2" t="n">
        <v>3</v>
      </c>
      <c r="L2190" s="3" t="n">
        <v>1443.39</v>
      </c>
      <c r="M2190" s="4" t="n">
        <v>0.1</v>
      </c>
      <c r="N2190" s="3" t="n">
        <v>2738.04</v>
      </c>
      <c r="O2190" s="3">
        <f>K2190*L2190*(1-M2190)</f>
        <v/>
      </c>
      <c r="P2190" s="3">
        <f>O2190-N2190</f>
        <v/>
      </c>
      <c r="Q2190" s="5">
        <f>IFERROR(P2190/O2190,0)</f>
        <v/>
      </c>
      <c r="R2190" s="2">
        <f>TEXT(DATEVALUE(B2190),"mmm")</f>
        <v/>
      </c>
      <c r="S2190" s="2">
        <f>TEXT(DATEVALUE(B2190),"yyyy-mm")</f>
        <v/>
      </c>
    </row>
    <row r="2191">
      <c r="A2191" s="2" t="inlineStr">
        <is>
          <t>O003638</t>
        </is>
      </c>
      <c r="B2191" s="2" t="inlineStr">
        <is>
          <t>2025-06-07</t>
        </is>
      </c>
      <c r="C2191" s="2" t="inlineStr">
        <is>
          <t>C0800</t>
        </is>
      </c>
      <c r="D2191" s="2" t="inlineStr">
        <is>
          <t>P0020</t>
        </is>
      </c>
      <c r="E2191" s="2" t="inlineStr">
        <is>
          <t>Sneakers</t>
        </is>
      </c>
      <c r="F2191" s="2" t="inlineStr">
        <is>
          <t>Fashion</t>
        </is>
      </c>
      <c r="G2191" s="2" t="inlineStr">
        <is>
          <t>North</t>
        </is>
      </c>
      <c r="H2191" s="2" t="inlineStr">
        <is>
          <t>Uttar Pradesh</t>
        </is>
      </c>
      <c r="I2191" s="2" t="inlineStr">
        <is>
          <t>Varanasi</t>
        </is>
      </c>
      <c r="J2191" s="2" t="inlineStr">
        <is>
          <t>Online</t>
        </is>
      </c>
      <c r="K2191" s="2" t="n">
        <v>2</v>
      </c>
      <c r="L2191" s="3" t="n">
        <v>1945.32</v>
      </c>
      <c r="M2191" s="4" t="n">
        <v>0.1</v>
      </c>
      <c r="N2191" s="3" t="n">
        <v>2934.66</v>
      </c>
      <c r="O2191" s="3">
        <f>K2191*L2191*(1-M2191)</f>
        <v/>
      </c>
      <c r="P2191" s="3">
        <f>O2191-N2191</f>
        <v/>
      </c>
      <c r="Q2191" s="5">
        <f>IFERROR(P2191/O2191,0)</f>
        <v/>
      </c>
      <c r="R2191" s="2">
        <f>TEXT(DATEVALUE(B2191),"mmm")</f>
        <v/>
      </c>
      <c r="S2191" s="2">
        <f>TEXT(DATEVALUE(B2191),"yyyy-mm")</f>
        <v/>
      </c>
    </row>
    <row r="2192">
      <c r="A2192" s="2" t="inlineStr">
        <is>
          <t>O003294</t>
        </is>
      </c>
      <c r="B2192" s="2" t="inlineStr">
        <is>
          <t>2025-06-07</t>
        </is>
      </c>
      <c r="C2192" s="2" t="inlineStr">
        <is>
          <t>C0590</t>
        </is>
      </c>
      <c r="D2192" s="2" t="inlineStr">
        <is>
          <t>P0011</t>
        </is>
      </c>
      <c r="E2192" s="2" t="inlineStr">
        <is>
          <t>Cookware Set</t>
        </is>
      </c>
      <c r="F2192" s="2" t="inlineStr">
        <is>
          <t>Home &amp; Kitchen</t>
        </is>
      </c>
      <c r="G2192" s="2" t="inlineStr">
        <is>
          <t>North</t>
        </is>
      </c>
      <c r="H2192" s="2" t="inlineStr">
        <is>
          <t>Punjab</t>
        </is>
      </c>
      <c r="I2192" s="2" t="inlineStr">
        <is>
          <t>Jalandhar</t>
        </is>
      </c>
      <c r="J2192" s="2" t="inlineStr">
        <is>
          <t>Online</t>
        </is>
      </c>
      <c r="K2192" s="2" t="n">
        <v>2</v>
      </c>
      <c r="L2192" s="3" t="n">
        <v>721.37</v>
      </c>
      <c r="M2192" s="4" t="n">
        <v>0.2</v>
      </c>
      <c r="N2192" s="3" t="n">
        <v>961.87</v>
      </c>
      <c r="O2192" s="3">
        <f>K2192*L2192*(1-M2192)</f>
        <v/>
      </c>
      <c r="P2192" s="3">
        <f>O2192-N2192</f>
        <v/>
      </c>
      <c r="Q2192" s="5">
        <f>IFERROR(P2192/O2192,0)</f>
        <v/>
      </c>
      <c r="R2192" s="2">
        <f>TEXT(DATEVALUE(B2192),"mmm")</f>
        <v/>
      </c>
      <c r="S2192" s="2">
        <f>TEXT(DATEVALUE(B2192),"yyyy-mm")</f>
        <v/>
      </c>
    </row>
    <row r="2193">
      <c r="A2193" s="2" t="inlineStr">
        <is>
          <t>O003007</t>
        </is>
      </c>
      <c r="B2193" s="2" t="inlineStr">
        <is>
          <t>2025-06-07</t>
        </is>
      </c>
      <c r="C2193" s="2" t="inlineStr">
        <is>
          <t>C0150</t>
        </is>
      </c>
      <c r="D2193" s="2" t="inlineStr">
        <is>
          <t>P0011</t>
        </is>
      </c>
      <c r="E2193" s="2" t="inlineStr">
        <is>
          <t>Cookware Set</t>
        </is>
      </c>
      <c r="F2193" s="2" t="inlineStr">
        <is>
          <t>Home &amp; Kitchen</t>
        </is>
      </c>
      <c r="G2193" s="2" t="inlineStr">
        <is>
          <t>West</t>
        </is>
      </c>
      <c r="H2193" s="2" t="inlineStr">
        <is>
          <t>Goa</t>
        </is>
      </c>
      <c r="I2193" s="2" t="inlineStr">
        <is>
          <t>Panaji</t>
        </is>
      </c>
      <c r="J2193" s="2" t="inlineStr">
        <is>
          <t>Online</t>
        </is>
      </c>
      <c r="K2193" s="2" t="n">
        <v>2</v>
      </c>
      <c r="L2193" s="3" t="n">
        <v>698.02</v>
      </c>
      <c r="M2193" s="4" t="n">
        <v>0.1</v>
      </c>
      <c r="N2193" s="3" t="n">
        <v>929.74</v>
      </c>
      <c r="O2193" s="3">
        <f>K2193*L2193*(1-M2193)</f>
        <v/>
      </c>
      <c r="P2193" s="3">
        <f>O2193-N2193</f>
        <v/>
      </c>
      <c r="Q2193" s="5">
        <f>IFERROR(P2193/O2193,0)</f>
        <v/>
      </c>
      <c r="R2193" s="2">
        <f>TEXT(DATEVALUE(B2193),"mmm")</f>
        <v/>
      </c>
      <c r="S2193" s="2">
        <f>TEXT(DATEVALUE(B2193),"yyyy-mm")</f>
        <v/>
      </c>
    </row>
    <row r="2194">
      <c r="A2194" s="2" t="inlineStr">
        <is>
          <t>O002741</t>
        </is>
      </c>
      <c r="B2194" s="2" t="inlineStr">
        <is>
          <t>2025-06-07</t>
        </is>
      </c>
      <c r="C2194" s="2" t="inlineStr">
        <is>
          <t>C0744</t>
        </is>
      </c>
      <c r="D2194" s="2" t="inlineStr">
        <is>
          <t>P0017</t>
        </is>
      </c>
      <c r="E2194" s="2" t="inlineStr">
        <is>
          <t>Jeans</t>
        </is>
      </c>
      <c r="F2194" s="2" t="inlineStr">
        <is>
          <t>Fashion</t>
        </is>
      </c>
      <c r="G2194" s="2" t="inlineStr">
        <is>
          <t>West</t>
        </is>
      </c>
      <c r="H2194" s="2" t="inlineStr">
        <is>
          <t>Goa</t>
        </is>
      </c>
      <c r="I2194" s="2" t="inlineStr">
        <is>
          <t>Panaji</t>
        </is>
      </c>
      <c r="J2194" s="2" t="inlineStr">
        <is>
          <t>Store</t>
        </is>
      </c>
      <c r="K2194" s="2" t="n">
        <v>1</v>
      </c>
      <c r="L2194" s="3" t="n">
        <v>1480.5</v>
      </c>
      <c r="M2194" s="4" t="n">
        <v>0</v>
      </c>
      <c r="N2194" s="3" t="n">
        <v>1053.44</v>
      </c>
      <c r="O2194" s="3">
        <f>K2194*L2194*(1-M2194)</f>
        <v/>
      </c>
      <c r="P2194" s="3">
        <f>O2194-N2194</f>
        <v/>
      </c>
      <c r="Q2194" s="5">
        <f>IFERROR(P2194/O2194,0)</f>
        <v/>
      </c>
      <c r="R2194" s="2">
        <f>TEXT(DATEVALUE(B2194),"mmm")</f>
        <v/>
      </c>
      <c r="S2194" s="2">
        <f>TEXT(DATEVALUE(B2194),"yyyy-mm")</f>
        <v/>
      </c>
    </row>
    <row r="2195">
      <c r="A2195" s="2" t="inlineStr">
        <is>
          <t>O002378</t>
        </is>
      </c>
      <c r="B2195" s="2" t="inlineStr">
        <is>
          <t>2025-06-07</t>
        </is>
      </c>
      <c r="C2195" s="2" t="inlineStr">
        <is>
          <t>C0750</t>
        </is>
      </c>
      <c r="D2195" s="2" t="inlineStr">
        <is>
          <t>P0004</t>
        </is>
      </c>
      <c r="E2195" s="2" t="inlineStr">
        <is>
          <t>USB-C Hub</t>
        </is>
      </c>
      <c r="F2195" s="2" t="inlineStr">
        <is>
          <t>Electronics</t>
        </is>
      </c>
      <c r="G2195" s="2" t="inlineStr">
        <is>
          <t>North</t>
        </is>
      </c>
      <c r="H2195" s="2" t="inlineStr">
        <is>
          <t>Haryana</t>
        </is>
      </c>
      <c r="I2195" s="2" t="inlineStr">
        <is>
          <t>Faridabad</t>
        </is>
      </c>
      <c r="J2195" s="2" t="inlineStr">
        <is>
          <t>Online</t>
        </is>
      </c>
      <c r="K2195" s="2" t="n">
        <v>5</v>
      </c>
      <c r="L2195" s="3" t="n">
        <v>1265.93</v>
      </c>
      <c r="M2195" s="4" t="n">
        <v>0.05</v>
      </c>
      <c r="N2195" s="3" t="n">
        <v>4497.89</v>
      </c>
      <c r="O2195" s="3">
        <f>K2195*L2195*(1-M2195)</f>
        <v/>
      </c>
      <c r="P2195" s="3">
        <f>O2195-N2195</f>
        <v/>
      </c>
      <c r="Q2195" s="5">
        <f>IFERROR(P2195/O2195,0)</f>
        <v/>
      </c>
      <c r="R2195" s="2">
        <f>TEXT(DATEVALUE(B2195),"mmm")</f>
        <v/>
      </c>
      <c r="S2195" s="2">
        <f>TEXT(DATEVALUE(B2195),"yyyy-mm")</f>
        <v/>
      </c>
    </row>
    <row r="2196">
      <c r="A2196" s="2" t="inlineStr">
        <is>
          <t>O002376</t>
        </is>
      </c>
      <c r="B2196" s="2" t="inlineStr">
        <is>
          <t>2025-06-07</t>
        </is>
      </c>
      <c r="C2196" s="2" t="inlineStr">
        <is>
          <t>C0076</t>
        </is>
      </c>
      <c r="D2196" s="2" t="inlineStr">
        <is>
          <t>P0027</t>
        </is>
      </c>
      <c r="E2196" s="2" t="inlineStr">
        <is>
          <t>Moisturizer</t>
        </is>
      </c>
      <c r="F2196" s="2" t="inlineStr">
        <is>
          <t>Beauty</t>
        </is>
      </c>
      <c r="G2196" s="2" t="inlineStr">
        <is>
          <t>West</t>
        </is>
      </c>
      <c r="H2196" s="2" t="inlineStr">
        <is>
          <t>Gujarat</t>
        </is>
      </c>
      <c r="I2196" s="2" t="inlineStr">
        <is>
          <t>Ahmedabad</t>
        </is>
      </c>
      <c r="J2196" s="2" t="inlineStr">
        <is>
          <t>Online</t>
        </is>
      </c>
      <c r="K2196" s="2" t="n">
        <v>1</v>
      </c>
      <c r="L2196" s="3" t="n">
        <v>962.9299999999999</v>
      </c>
      <c r="M2196" s="4" t="n">
        <v>0</v>
      </c>
      <c r="N2196" s="3" t="n">
        <v>671.0700000000001</v>
      </c>
      <c r="O2196" s="3">
        <f>K2196*L2196*(1-M2196)</f>
        <v/>
      </c>
      <c r="P2196" s="3">
        <f>O2196-N2196</f>
        <v/>
      </c>
      <c r="Q2196" s="5">
        <f>IFERROR(P2196/O2196,0)</f>
        <v/>
      </c>
      <c r="R2196" s="2">
        <f>TEXT(DATEVALUE(B2196),"mmm")</f>
        <v/>
      </c>
      <c r="S2196" s="2">
        <f>TEXT(DATEVALUE(B2196),"yyyy-mm")</f>
        <v/>
      </c>
    </row>
    <row r="2197">
      <c r="A2197" s="2" t="inlineStr">
        <is>
          <t>O002316</t>
        </is>
      </c>
      <c r="B2197" s="2" t="inlineStr">
        <is>
          <t>2025-06-07</t>
        </is>
      </c>
      <c r="C2197" s="2" t="inlineStr">
        <is>
          <t>C0279</t>
        </is>
      </c>
      <c r="D2197" s="2" t="inlineStr">
        <is>
          <t>P0032</t>
        </is>
      </c>
      <c r="E2197" s="2" t="inlineStr">
        <is>
          <t>Football</t>
        </is>
      </c>
      <c r="F2197" s="2" t="inlineStr">
        <is>
          <t>Sports</t>
        </is>
      </c>
      <c r="G2197" s="2" t="inlineStr">
        <is>
          <t>North</t>
        </is>
      </c>
      <c r="H2197" s="2" t="inlineStr">
        <is>
          <t>Uttar Pradesh</t>
        </is>
      </c>
      <c r="I2197" s="2" t="inlineStr">
        <is>
          <t>Varanasi</t>
        </is>
      </c>
      <c r="J2197" s="2" t="inlineStr">
        <is>
          <t>Online</t>
        </is>
      </c>
      <c r="K2197" s="2" t="n">
        <v>2</v>
      </c>
      <c r="L2197" s="3" t="n">
        <v>788.16</v>
      </c>
      <c r="M2197" s="4" t="n">
        <v>0.05</v>
      </c>
      <c r="N2197" s="3" t="n">
        <v>1093.16</v>
      </c>
      <c r="O2197" s="3">
        <f>K2197*L2197*(1-M2197)</f>
        <v/>
      </c>
      <c r="P2197" s="3">
        <f>O2197-N2197</f>
        <v/>
      </c>
      <c r="Q2197" s="5">
        <f>IFERROR(P2197/O2197,0)</f>
        <v/>
      </c>
      <c r="R2197" s="2">
        <f>TEXT(DATEVALUE(B2197),"mmm")</f>
        <v/>
      </c>
      <c r="S2197" s="2">
        <f>TEXT(DATEVALUE(B2197),"yyyy-mm")</f>
        <v/>
      </c>
    </row>
    <row r="2198">
      <c r="A2198" s="2" t="inlineStr">
        <is>
          <t>O003164</t>
        </is>
      </c>
      <c r="B2198" s="2" t="inlineStr">
        <is>
          <t>2025-06-07</t>
        </is>
      </c>
      <c r="C2198" s="2" t="inlineStr">
        <is>
          <t>C0298</t>
        </is>
      </c>
      <c r="D2198" s="2" t="inlineStr">
        <is>
          <t>P0011</t>
        </is>
      </c>
      <c r="E2198" s="2" t="inlineStr">
        <is>
          <t>Cookware Set</t>
        </is>
      </c>
      <c r="F2198" s="2" t="inlineStr">
        <is>
          <t>Home &amp; Kitchen</t>
        </is>
      </c>
      <c r="G2198" s="2" t="inlineStr">
        <is>
          <t>West</t>
        </is>
      </c>
      <c r="H2198" s="2" t="inlineStr">
        <is>
          <t>Goa</t>
        </is>
      </c>
      <c r="I2198" s="2" t="inlineStr">
        <is>
          <t>Margao</t>
        </is>
      </c>
      <c r="J2198" s="2" t="inlineStr">
        <is>
          <t>Store</t>
        </is>
      </c>
      <c r="K2198" s="2" t="n">
        <v>3</v>
      </c>
      <c r="L2198" s="3" t="n">
        <v>711.97</v>
      </c>
      <c r="M2198" s="4" t="n">
        <v>0.1</v>
      </c>
      <c r="N2198" s="3" t="n">
        <v>1425.42</v>
      </c>
      <c r="O2198" s="3">
        <f>K2198*L2198*(1-M2198)</f>
        <v/>
      </c>
      <c r="P2198" s="3">
        <f>O2198-N2198</f>
        <v/>
      </c>
      <c r="Q2198" s="5">
        <f>IFERROR(P2198/O2198,0)</f>
        <v/>
      </c>
      <c r="R2198" s="2">
        <f>TEXT(DATEVALUE(B2198),"mmm")</f>
        <v/>
      </c>
      <c r="S2198" s="2">
        <f>TEXT(DATEVALUE(B2198),"yyyy-mm")</f>
        <v/>
      </c>
    </row>
    <row r="2199">
      <c r="A2199" s="2" t="inlineStr">
        <is>
          <t>O001661</t>
        </is>
      </c>
      <c r="B2199" s="2" t="inlineStr">
        <is>
          <t>2025-06-07</t>
        </is>
      </c>
      <c r="C2199" s="2" t="inlineStr">
        <is>
          <t>C0002</t>
        </is>
      </c>
      <c r="D2199" s="2" t="inlineStr">
        <is>
          <t>P0015</t>
        </is>
      </c>
      <c r="E2199" s="2" t="inlineStr">
        <is>
          <t>Running Shoes</t>
        </is>
      </c>
      <c r="F2199" s="2" t="inlineStr">
        <is>
          <t>Fashion</t>
        </is>
      </c>
      <c r="G2199" s="2" t="inlineStr">
        <is>
          <t>East</t>
        </is>
      </c>
      <c r="H2199" s="2" t="inlineStr">
        <is>
          <t>West Bengal</t>
        </is>
      </c>
      <c r="I2199" s="2" t="inlineStr">
        <is>
          <t>Durgapur</t>
        </is>
      </c>
      <c r="J2199" s="2" t="inlineStr">
        <is>
          <t>Store</t>
        </is>
      </c>
      <c r="K2199" s="2" t="n">
        <v>1</v>
      </c>
      <c r="L2199" s="3" t="n">
        <v>595.67</v>
      </c>
      <c r="M2199" s="4" t="n">
        <v>0.05</v>
      </c>
      <c r="N2199" s="3" t="n">
        <v>383.75</v>
      </c>
      <c r="O2199" s="3">
        <f>K2199*L2199*(1-M2199)</f>
        <v/>
      </c>
      <c r="P2199" s="3">
        <f>O2199-N2199</f>
        <v/>
      </c>
      <c r="Q2199" s="5">
        <f>IFERROR(P2199/O2199,0)</f>
        <v/>
      </c>
      <c r="R2199" s="2">
        <f>TEXT(DATEVALUE(B2199),"mmm")</f>
        <v/>
      </c>
      <c r="S2199" s="2">
        <f>TEXT(DATEVALUE(B2199),"yyyy-mm")</f>
        <v/>
      </c>
    </row>
    <row r="2200">
      <c r="A2200" s="2" t="inlineStr">
        <is>
          <t>O001521</t>
        </is>
      </c>
      <c r="B2200" s="2" t="inlineStr">
        <is>
          <t>2025-06-07</t>
        </is>
      </c>
      <c r="C2200" s="2" t="inlineStr">
        <is>
          <t>C0636</t>
        </is>
      </c>
      <c r="D2200" s="2" t="inlineStr">
        <is>
          <t>P0007</t>
        </is>
      </c>
      <c r="E2200" s="2" t="inlineStr">
        <is>
          <t>Wireless Mouse</t>
        </is>
      </c>
      <c r="F2200" s="2" t="inlineStr">
        <is>
          <t>Electronics</t>
        </is>
      </c>
      <c r="G2200" s="2" t="inlineStr">
        <is>
          <t>North</t>
        </is>
      </c>
      <c r="H2200" s="2" t="inlineStr">
        <is>
          <t>Haryana</t>
        </is>
      </c>
      <c r="I2200" s="2" t="inlineStr">
        <is>
          <t>Gurugram</t>
        </is>
      </c>
      <c r="J2200" s="2" t="inlineStr">
        <is>
          <t>Store</t>
        </is>
      </c>
      <c r="K2200" s="2" t="n">
        <v>1</v>
      </c>
      <c r="L2200" s="3" t="n">
        <v>971.78</v>
      </c>
      <c r="M2200" s="4" t="n">
        <v>0.05</v>
      </c>
      <c r="N2200" s="3" t="n">
        <v>631.9400000000001</v>
      </c>
      <c r="O2200" s="3">
        <f>K2200*L2200*(1-M2200)</f>
        <v/>
      </c>
      <c r="P2200" s="3">
        <f>O2200-N2200</f>
        <v/>
      </c>
      <c r="Q2200" s="5">
        <f>IFERROR(P2200/O2200,0)</f>
        <v/>
      </c>
      <c r="R2200" s="2">
        <f>TEXT(DATEVALUE(B2200),"mmm")</f>
        <v/>
      </c>
      <c r="S2200" s="2">
        <f>TEXT(DATEVALUE(B2200),"yyyy-mm")</f>
        <v/>
      </c>
    </row>
    <row r="2201">
      <c r="A2201" s="2" t="inlineStr">
        <is>
          <t>O001310</t>
        </is>
      </c>
      <c r="B2201" s="2" t="inlineStr">
        <is>
          <t>2025-06-07</t>
        </is>
      </c>
      <c r="C2201" s="2" t="inlineStr">
        <is>
          <t>C0447</t>
        </is>
      </c>
      <c r="D2201" s="2" t="inlineStr">
        <is>
          <t>P0023</t>
        </is>
      </c>
      <c r="E2201" s="2" t="inlineStr">
        <is>
          <t>Skin Care Kit</t>
        </is>
      </c>
      <c r="F2201" s="2" t="inlineStr">
        <is>
          <t>Beauty</t>
        </is>
      </c>
      <c r="G2201" s="2" t="inlineStr">
        <is>
          <t>North</t>
        </is>
      </c>
      <c r="H2201" s="2" t="inlineStr">
        <is>
          <t>Uttar Pradesh</t>
        </is>
      </c>
      <c r="I2201" s="2" t="inlineStr">
        <is>
          <t>Noida</t>
        </is>
      </c>
      <c r="J2201" s="2" t="inlineStr">
        <is>
          <t>Store</t>
        </is>
      </c>
      <c r="K2201" s="2" t="n">
        <v>2</v>
      </c>
      <c r="L2201" s="3" t="n">
        <v>1396.72</v>
      </c>
      <c r="M2201" s="4" t="n">
        <v>0</v>
      </c>
      <c r="N2201" s="3" t="n">
        <v>1790.33</v>
      </c>
      <c r="O2201" s="3">
        <f>K2201*L2201*(1-M2201)</f>
        <v/>
      </c>
      <c r="P2201" s="3">
        <f>O2201-N2201</f>
        <v/>
      </c>
      <c r="Q2201" s="5">
        <f>IFERROR(P2201/O2201,0)</f>
        <v/>
      </c>
      <c r="R2201" s="2">
        <f>TEXT(DATEVALUE(B2201),"mmm")</f>
        <v/>
      </c>
      <c r="S2201" s="2">
        <f>TEXT(DATEVALUE(B2201),"yyyy-mm")</f>
        <v/>
      </c>
    </row>
    <row r="2202">
      <c r="A2202" s="2" t="inlineStr">
        <is>
          <t>O001222</t>
        </is>
      </c>
      <c r="B2202" s="2" t="inlineStr">
        <is>
          <t>2025-06-07</t>
        </is>
      </c>
      <c r="C2202" s="2" t="inlineStr">
        <is>
          <t>C0211</t>
        </is>
      </c>
      <c r="D2202" s="2" t="inlineStr">
        <is>
          <t>P0006</t>
        </is>
      </c>
      <c r="E2202" s="2" t="inlineStr">
        <is>
          <t>Mechanical Keyboard</t>
        </is>
      </c>
      <c r="F2202" s="2" t="inlineStr">
        <is>
          <t>Electronics</t>
        </is>
      </c>
      <c r="G2202" s="2" t="inlineStr">
        <is>
          <t>West</t>
        </is>
      </c>
      <c r="H2202" s="2" t="inlineStr">
        <is>
          <t>Maharashtra</t>
        </is>
      </c>
      <c r="I2202" s="2" t="inlineStr">
        <is>
          <t>Nashik</t>
        </is>
      </c>
      <c r="J2202" s="2" t="inlineStr">
        <is>
          <t>Online</t>
        </is>
      </c>
      <c r="K2202" s="2" t="n">
        <v>1</v>
      </c>
      <c r="L2202" s="3" t="n">
        <v>2645.03</v>
      </c>
      <c r="M2202" s="4" t="n">
        <v>0.05</v>
      </c>
      <c r="N2202" s="3" t="n">
        <v>1486.04</v>
      </c>
      <c r="O2202" s="3">
        <f>K2202*L2202*(1-M2202)</f>
        <v/>
      </c>
      <c r="P2202" s="3">
        <f>O2202-N2202</f>
        <v/>
      </c>
      <c r="Q2202" s="5">
        <f>IFERROR(P2202/O2202,0)</f>
        <v/>
      </c>
      <c r="R2202" s="2">
        <f>TEXT(DATEVALUE(B2202),"mmm")</f>
        <v/>
      </c>
      <c r="S2202" s="2">
        <f>TEXT(DATEVALUE(B2202),"yyyy-mm")</f>
        <v/>
      </c>
    </row>
    <row r="2203">
      <c r="A2203" s="2" t="inlineStr">
        <is>
          <t>O000430</t>
        </is>
      </c>
      <c r="B2203" s="2" t="inlineStr">
        <is>
          <t>2025-06-07</t>
        </is>
      </c>
      <c r="C2203" s="2" t="inlineStr">
        <is>
          <t>C0137</t>
        </is>
      </c>
      <c r="D2203" s="2" t="inlineStr">
        <is>
          <t>P0018</t>
        </is>
      </c>
      <c r="E2203" s="2" t="inlineStr">
        <is>
          <t>Backpack</t>
        </is>
      </c>
      <c r="F2203" s="2" t="inlineStr">
        <is>
          <t>Fashion</t>
        </is>
      </c>
      <c r="G2203" s="2" t="inlineStr">
        <is>
          <t>South</t>
        </is>
      </c>
      <c r="H2203" s="2" t="inlineStr">
        <is>
          <t>Karnataka</t>
        </is>
      </c>
      <c r="I2203" s="2" t="inlineStr">
        <is>
          <t>Mysuru</t>
        </is>
      </c>
      <c r="J2203" s="2" t="inlineStr">
        <is>
          <t>Online</t>
        </is>
      </c>
      <c r="K2203" s="2" t="n">
        <v>2</v>
      </c>
      <c r="L2203" s="3" t="n">
        <v>1763.36</v>
      </c>
      <c r="M2203" s="4" t="n">
        <v>0</v>
      </c>
      <c r="N2203" s="3" t="n">
        <v>2802.32</v>
      </c>
      <c r="O2203" s="3">
        <f>K2203*L2203*(1-M2203)</f>
        <v/>
      </c>
      <c r="P2203" s="3">
        <f>O2203-N2203</f>
        <v/>
      </c>
      <c r="Q2203" s="5">
        <f>IFERROR(P2203/O2203,0)</f>
        <v/>
      </c>
      <c r="R2203" s="2">
        <f>TEXT(DATEVALUE(B2203),"mmm")</f>
        <v/>
      </c>
      <c r="S2203" s="2">
        <f>TEXT(DATEVALUE(B2203),"yyyy-mm")</f>
        <v/>
      </c>
    </row>
    <row r="2204">
      <c r="A2204" s="2" t="inlineStr">
        <is>
          <t>O000333</t>
        </is>
      </c>
      <c r="B2204" s="2" t="inlineStr">
        <is>
          <t>2025-06-07</t>
        </is>
      </c>
      <c r="C2204" s="2" t="inlineStr">
        <is>
          <t>C0788</t>
        </is>
      </c>
      <c r="D2204" s="2" t="inlineStr">
        <is>
          <t>P0003</t>
        </is>
      </c>
      <c r="E2204" s="2" t="inlineStr">
        <is>
          <t>Smartwatch</t>
        </is>
      </c>
      <c r="F2204" s="2" t="inlineStr">
        <is>
          <t>Electronics</t>
        </is>
      </c>
      <c r="G2204" s="2" t="inlineStr">
        <is>
          <t>South</t>
        </is>
      </c>
      <c r="H2204" s="2" t="inlineStr">
        <is>
          <t>Tamil Nadu</t>
        </is>
      </c>
      <c r="I2204" s="2" t="inlineStr">
        <is>
          <t>Madurai</t>
        </is>
      </c>
      <c r="J2204" s="2" t="inlineStr">
        <is>
          <t>Store</t>
        </is>
      </c>
      <c r="K2204" s="2" t="n">
        <v>1</v>
      </c>
      <c r="L2204" s="3" t="n">
        <v>2379.09</v>
      </c>
      <c r="M2204" s="4" t="n">
        <v>0.1</v>
      </c>
      <c r="N2204" s="3" t="n">
        <v>1209.65</v>
      </c>
      <c r="O2204" s="3">
        <f>K2204*L2204*(1-M2204)</f>
        <v/>
      </c>
      <c r="P2204" s="3">
        <f>O2204-N2204</f>
        <v/>
      </c>
      <c r="Q2204" s="5">
        <f>IFERROR(P2204/O2204,0)</f>
        <v/>
      </c>
      <c r="R2204" s="2">
        <f>TEXT(DATEVALUE(B2204),"mmm")</f>
        <v/>
      </c>
      <c r="S2204" s="2">
        <f>TEXT(DATEVALUE(B2204),"yyyy-mm")</f>
        <v/>
      </c>
    </row>
    <row r="2205">
      <c r="A2205" s="2" t="inlineStr">
        <is>
          <t>O000310</t>
        </is>
      </c>
      <c r="B2205" s="2" t="inlineStr">
        <is>
          <t>2025-06-07</t>
        </is>
      </c>
      <c r="C2205" s="2" t="inlineStr">
        <is>
          <t>C0694</t>
        </is>
      </c>
      <c r="D2205" s="2" t="inlineStr">
        <is>
          <t>P0028</t>
        </is>
      </c>
      <c r="E2205" s="2" t="inlineStr">
        <is>
          <t>Trimmer</t>
        </is>
      </c>
      <c r="F2205" s="2" t="inlineStr">
        <is>
          <t>Beauty</t>
        </is>
      </c>
      <c r="G2205" s="2" t="inlineStr">
        <is>
          <t>West</t>
        </is>
      </c>
      <c r="H2205" s="2" t="inlineStr">
        <is>
          <t>Goa</t>
        </is>
      </c>
      <c r="I2205" s="2" t="inlineStr">
        <is>
          <t>Panaji</t>
        </is>
      </c>
      <c r="J2205" s="2" t="inlineStr">
        <is>
          <t>Online</t>
        </is>
      </c>
      <c r="K2205" s="2" t="n">
        <v>5</v>
      </c>
      <c r="L2205" s="3" t="n">
        <v>450.72</v>
      </c>
      <c r="M2205" s="4" t="n">
        <v>0.2</v>
      </c>
      <c r="N2205" s="3" t="n">
        <v>1298.71</v>
      </c>
      <c r="O2205" s="3">
        <f>K2205*L2205*(1-M2205)</f>
        <v/>
      </c>
      <c r="P2205" s="3">
        <f>O2205-N2205</f>
        <v/>
      </c>
      <c r="Q2205" s="5">
        <f>IFERROR(P2205/O2205,0)</f>
        <v/>
      </c>
      <c r="R2205" s="2">
        <f>TEXT(DATEVALUE(B2205),"mmm")</f>
        <v/>
      </c>
      <c r="S2205" s="2">
        <f>TEXT(DATEVALUE(B2205),"yyyy-mm")</f>
        <v/>
      </c>
    </row>
    <row r="2206">
      <c r="A2206" s="2" t="inlineStr">
        <is>
          <t>O002172</t>
        </is>
      </c>
      <c r="B2206" s="2" t="inlineStr">
        <is>
          <t>2025-06-07</t>
        </is>
      </c>
      <c r="C2206" s="2" t="inlineStr">
        <is>
          <t>C0013</t>
        </is>
      </c>
      <c r="D2206" s="2" t="inlineStr">
        <is>
          <t>P0018</t>
        </is>
      </c>
      <c r="E2206" s="2" t="inlineStr">
        <is>
          <t>Backpack</t>
        </is>
      </c>
      <c r="F2206" s="2" t="inlineStr">
        <is>
          <t>Fashion</t>
        </is>
      </c>
      <c r="G2206" s="2" t="inlineStr">
        <is>
          <t>South</t>
        </is>
      </c>
      <c r="H2206" s="2" t="inlineStr">
        <is>
          <t>Tamil Nadu</t>
        </is>
      </c>
      <c r="I2206" s="2" t="inlineStr">
        <is>
          <t>Chennai</t>
        </is>
      </c>
      <c r="J2206" s="2" t="inlineStr">
        <is>
          <t>Store</t>
        </is>
      </c>
      <c r="K2206" s="2" t="n">
        <v>1</v>
      </c>
      <c r="L2206" s="3" t="n">
        <v>1910.85</v>
      </c>
      <c r="M2206" s="4" t="n">
        <v>0.05</v>
      </c>
      <c r="N2206" s="3" t="n">
        <v>1314.48</v>
      </c>
      <c r="O2206" s="3">
        <f>K2206*L2206*(1-M2206)</f>
        <v/>
      </c>
      <c r="P2206" s="3">
        <f>O2206-N2206</f>
        <v/>
      </c>
      <c r="Q2206" s="5">
        <f>IFERROR(P2206/O2206,0)</f>
        <v/>
      </c>
      <c r="R2206" s="2">
        <f>TEXT(DATEVALUE(B2206),"mmm")</f>
        <v/>
      </c>
      <c r="S2206" s="2">
        <f>TEXT(DATEVALUE(B2206),"yyyy-mm")</f>
        <v/>
      </c>
    </row>
    <row r="2207">
      <c r="A2207" s="2" t="inlineStr">
        <is>
          <t>O004707</t>
        </is>
      </c>
      <c r="B2207" s="2" t="inlineStr">
        <is>
          <t>2025-06-08</t>
        </is>
      </c>
      <c r="C2207" s="2" t="inlineStr">
        <is>
          <t>C0389</t>
        </is>
      </c>
      <c r="D2207" s="2" t="inlineStr">
        <is>
          <t>P0027</t>
        </is>
      </c>
      <c r="E2207" s="2" t="inlineStr">
        <is>
          <t>Moisturizer</t>
        </is>
      </c>
      <c r="F2207" s="2" t="inlineStr">
        <is>
          <t>Beauty</t>
        </is>
      </c>
      <c r="G2207" s="2" t="inlineStr">
        <is>
          <t>East</t>
        </is>
      </c>
      <c r="H2207" s="2" t="inlineStr">
        <is>
          <t>West Bengal</t>
        </is>
      </c>
      <c r="I2207" s="2" t="inlineStr">
        <is>
          <t>Kolkata</t>
        </is>
      </c>
      <c r="J2207" s="2" t="inlineStr">
        <is>
          <t>Online</t>
        </is>
      </c>
      <c r="K2207" s="2" t="n">
        <v>2</v>
      </c>
      <c r="L2207" s="3" t="n">
        <v>932.72</v>
      </c>
      <c r="M2207" s="4" t="n">
        <v>0.05</v>
      </c>
      <c r="N2207" s="3" t="n">
        <v>1351.67</v>
      </c>
      <c r="O2207" s="3">
        <f>K2207*L2207*(1-M2207)</f>
        <v/>
      </c>
      <c r="P2207" s="3">
        <f>O2207-N2207</f>
        <v/>
      </c>
      <c r="Q2207" s="5">
        <f>IFERROR(P2207/O2207,0)</f>
        <v/>
      </c>
      <c r="R2207" s="2">
        <f>TEXT(DATEVALUE(B2207),"mmm")</f>
        <v/>
      </c>
      <c r="S2207" s="2">
        <f>TEXT(DATEVALUE(B2207),"yyyy-mm")</f>
        <v/>
      </c>
    </row>
    <row r="2208">
      <c r="A2208" s="2" t="inlineStr">
        <is>
          <t>O003903</t>
        </is>
      </c>
      <c r="B2208" s="2" t="inlineStr">
        <is>
          <t>2025-06-08</t>
        </is>
      </c>
      <c r="C2208" s="2" t="inlineStr">
        <is>
          <t>C0103</t>
        </is>
      </c>
      <c r="D2208" s="2" t="inlineStr">
        <is>
          <t>P0027</t>
        </is>
      </c>
      <c r="E2208" s="2" t="inlineStr">
        <is>
          <t>Moisturizer</t>
        </is>
      </c>
      <c r="F2208" s="2" t="inlineStr">
        <is>
          <t>Beauty</t>
        </is>
      </c>
      <c r="G2208" s="2" t="inlineStr">
        <is>
          <t>South</t>
        </is>
      </c>
      <c r="H2208" s="2" t="inlineStr">
        <is>
          <t>Tamil Nadu</t>
        </is>
      </c>
      <c r="I2208" s="2" t="inlineStr">
        <is>
          <t>Coimbatore</t>
        </is>
      </c>
      <c r="J2208" s="2" t="inlineStr">
        <is>
          <t>Store</t>
        </is>
      </c>
      <c r="K2208" s="2" t="n">
        <v>3</v>
      </c>
      <c r="L2208" s="3" t="n">
        <v>978.59</v>
      </c>
      <c r="M2208" s="4" t="n">
        <v>0.2</v>
      </c>
      <c r="N2208" s="3" t="n">
        <v>2028.27</v>
      </c>
      <c r="O2208" s="3">
        <f>K2208*L2208*(1-M2208)</f>
        <v/>
      </c>
      <c r="P2208" s="3">
        <f>O2208-N2208</f>
        <v/>
      </c>
      <c r="Q2208" s="5">
        <f>IFERROR(P2208/O2208,0)</f>
        <v/>
      </c>
      <c r="R2208" s="2">
        <f>TEXT(DATEVALUE(B2208),"mmm")</f>
        <v/>
      </c>
      <c r="S2208" s="2">
        <f>TEXT(DATEVALUE(B2208),"yyyy-mm")</f>
        <v/>
      </c>
    </row>
    <row r="2209">
      <c r="A2209" s="2" t="inlineStr">
        <is>
          <t>O002743</t>
        </is>
      </c>
      <c r="B2209" s="2" t="inlineStr">
        <is>
          <t>2025-06-08</t>
        </is>
      </c>
      <c r="C2209" s="2" t="inlineStr">
        <is>
          <t>C0262</t>
        </is>
      </c>
      <c r="D2209" s="2" t="inlineStr">
        <is>
          <t>P0010</t>
        </is>
      </c>
      <c r="E2209" s="2" t="inlineStr">
        <is>
          <t>Mixer Grinder</t>
        </is>
      </c>
      <c r="F2209" s="2" t="inlineStr">
        <is>
          <t>Home &amp; Kitchen</t>
        </is>
      </c>
      <c r="G2209" s="2" t="inlineStr">
        <is>
          <t>East</t>
        </is>
      </c>
      <c r="H2209" s="2" t="inlineStr">
        <is>
          <t>Bihar</t>
        </is>
      </c>
      <c r="I2209" s="2" t="inlineStr">
        <is>
          <t>Gaya</t>
        </is>
      </c>
      <c r="J2209" s="2" t="inlineStr">
        <is>
          <t>Online</t>
        </is>
      </c>
      <c r="K2209" s="2" t="n">
        <v>2</v>
      </c>
      <c r="L2209" s="3" t="n">
        <v>1582.12</v>
      </c>
      <c r="M2209" s="4" t="n">
        <v>0.05</v>
      </c>
      <c r="N2209" s="3" t="n">
        <v>2031.43</v>
      </c>
      <c r="O2209" s="3">
        <f>K2209*L2209*(1-M2209)</f>
        <v/>
      </c>
      <c r="P2209" s="3">
        <f>O2209-N2209</f>
        <v/>
      </c>
      <c r="Q2209" s="5">
        <f>IFERROR(P2209/O2209,0)</f>
        <v/>
      </c>
      <c r="R2209" s="2">
        <f>TEXT(DATEVALUE(B2209),"mmm")</f>
        <v/>
      </c>
      <c r="S2209" s="2">
        <f>TEXT(DATEVALUE(B2209),"yyyy-mm")</f>
        <v/>
      </c>
    </row>
    <row r="2210">
      <c r="A2210" s="2" t="inlineStr">
        <is>
          <t>O002185</t>
        </is>
      </c>
      <c r="B2210" s="2" t="inlineStr">
        <is>
          <t>2025-06-08</t>
        </is>
      </c>
      <c r="C2210" s="2" t="inlineStr">
        <is>
          <t>C0328</t>
        </is>
      </c>
      <c r="D2210" s="2" t="inlineStr">
        <is>
          <t>P0035</t>
        </is>
      </c>
      <c r="E2210" s="2" t="inlineStr">
        <is>
          <t>Skipping Rope</t>
        </is>
      </c>
      <c r="F2210" s="2" t="inlineStr">
        <is>
          <t>Sports</t>
        </is>
      </c>
      <c r="G2210" s="2" t="inlineStr">
        <is>
          <t>West</t>
        </is>
      </c>
      <c r="H2210" s="2" t="inlineStr">
        <is>
          <t>Maharashtra</t>
        </is>
      </c>
      <c r="I2210" s="2" t="inlineStr">
        <is>
          <t>Nagpur</t>
        </is>
      </c>
      <c r="J2210" s="2" t="inlineStr">
        <is>
          <t>Online</t>
        </is>
      </c>
      <c r="K2210" s="2" t="n">
        <v>2</v>
      </c>
      <c r="L2210" s="3" t="n">
        <v>705.92</v>
      </c>
      <c r="M2210" s="4" t="n">
        <v>0.15</v>
      </c>
      <c r="N2210" s="3" t="n">
        <v>838.98</v>
      </c>
      <c r="O2210" s="3">
        <f>K2210*L2210*(1-M2210)</f>
        <v/>
      </c>
      <c r="P2210" s="3">
        <f>O2210-N2210</f>
        <v/>
      </c>
      <c r="Q2210" s="5">
        <f>IFERROR(P2210/O2210,0)</f>
        <v/>
      </c>
      <c r="R2210" s="2">
        <f>TEXT(DATEVALUE(B2210),"mmm")</f>
        <v/>
      </c>
      <c r="S2210" s="2">
        <f>TEXT(DATEVALUE(B2210),"yyyy-mm")</f>
        <v/>
      </c>
    </row>
    <row r="2211">
      <c r="A2211" s="2" t="inlineStr">
        <is>
          <t>O001909</t>
        </is>
      </c>
      <c r="B2211" s="2" t="inlineStr">
        <is>
          <t>2025-06-08</t>
        </is>
      </c>
      <c r="C2211" s="2" t="inlineStr">
        <is>
          <t>C0034</t>
        </is>
      </c>
      <c r="D2211" s="2" t="inlineStr">
        <is>
          <t>P0027</t>
        </is>
      </c>
      <c r="E2211" s="2" t="inlineStr">
        <is>
          <t>Moisturizer</t>
        </is>
      </c>
      <c r="F2211" s="2" t="inlineStr">
        <is>
          <t>Beauty</t>
        </is>
      </c>
      <c r="G2211" s="2" t="inlineStr">
        <is>
          <t>South</t>
        </is>
      </c>
      <c r="H2211" s="2" t="inlineStr">
        <is>
          <t>Karnataka</t>
        </is>
      </c>
      <c r="I2211" s="2" t="inlineStr">
        <is>
          <t>Bengaluru</t>
        </is>
      </c>
      <c r="J2211" s="2" t="inlineStr">
        <is>
          <t>Store</t>
        </is>
      </c>
      <c r="K2211" s="2" t="n">
        <v>2</v>
      </c>
      <c r="L2211" s="3" t="n">
        <v>995.78</v>
      </c>
      <c r="M2211" s="4" t="n">
        <v>0.2</v>
      </c>
      <c r="N2211" s="3" t="n">
        <v>1365.24</v>
      </c>
      <c r="O2211" s="3">
        <f>K2211*L2211*(1-M2211)</f>
        <v/>
      </c>
      <c r="P2211" s="3">
        <f>O2211-N2211</f>
        <v/>
      </c>
      <c r="Q2211" s="5">
        <f>IFERROR(P2211/O2211,0)</f>
        <v/>
      </c>
      <c r="R2211" s="2">
        <f>TEXT(DATEVALUE(B2211),"mmm")</f>
        <v/>
      </c>
      <c r="S2211" s="2">
        <f>TEXT(DATEVALUE(B2211),"yyyy-mm")</f>
        <v/>
      </c>
    </row>
    <row r="2212">
      <c r="A2212" s="2" t="inlineStr">
        <is>
          <t>O001474</t>
        </is>
      </c>
      <c r="B2212" s="2" t="inlineStr">
        <is>
          <t>2025-06-08</t>
        </is>
      </c>
      <c r="C2212" s="2" t="inlineStr">
        <is>
          <t>C0263</t>
        </is>
      </c>
      <c r="D2212" s="2" t="inlineStr">
        <is>
          <t>P0010</t>
        </is>
      </c>
      <c r="E2212" s="2" t="inlineStr">
        <is>
          <t>Mixer Grinder</t>
        </is>
      </c>
      <c r="F2212" s="2" t="inlineStr">
        <is>
          <t>Home &amp; Kitchen</t>
        </is>
      </c>
      <c r="G2212" s="2" t="inlineStr">
        <is>
          <t>South</t>
        </is>
      </c>
      <c r="H2212" s="2" t="inlineStr">
        <is>
          <t>Kerala</t>
        </is>
      </c>
      <c r="I2212" s="2" t="inlineStr">
        <is>
          <t>Kochi</t>
        </is>
      </c>
      <c r="J2212" s="2" t="inlineStr">
        <is>
          <t>Online</t>
        </is>
      </c>
      <c r="K2212" s="2" t="n">
        <v>3</v>
      </c>
      <c r="L2212" s="3" t="n">
        <v>1626.7</v>
      </c>
      <c r="M2212" s="4" t="n">
        <v>0</v>
      </c>
      <c r="N2212" s="3" t="n">
        <v>3228.63</v>
      </c>
      <c r="O2212" s="3">
        <f>K2212*L2212*(1-M2212)</f>
        <v/>
      </c>
      <c r="P2212" s="3">
        <f>O2212-N2212</f>
        <v/>
      </c>
      <c r="Q2212" s="5">
        <f>IFERROR(P2212/O2212,0)</f>
        <v/>
      </c>
      <c r="R2212" s="2">
        <f>TEXT(DATEVALUE(B2212),"mmm")</f>
        <v/>
      </c>
      <c r="S2212" s="2">
        <f>TEXT(DATEVALUE(B2212),"yyyy-mm")</f>
        <v/>
      </c>
    </row>
    <row r="2213">
      <c r="A2213" s="2" t="inlineStr">
        <is>
          <t>O001098</t>
        </is>
      </c>
      <c r="B2213" s="2" t="inlineStr">
        <is>
          <t>2025-06-08</t>
        </is>
      </c>
      <c r="C2213" s="2" t="inlineStr">
        <is>
          <t>C0523</t>
        </is>
      </c>
      <c r="D2213" s="2" t="inlineStr">
        <is>
          <t>P0035</t>
        </is>
      </c>
      <c r="E2213" s="2" t="inlineStr">
        <is>
          <t>Skipping Rope</t>
        </is>
      </c>
      <c r="F2213" s="2" t="inlineStr">
        <is>
          <t>Sports</t>
        </is>
      </c>
      <c r="G2213" s="2" t="inlineStr">
        <is>
          <t>South</t>
        </is>
      </c>
      <c r="H2213" s="2" t="inlineStr">
        <is>
          <t>Telangana</t>
        </is>
      </c>
      <c r="I2213" s="2" t="inlineStr">
        <is>
          <t>Warangal</t>
        </is>
      </c>
      <c r="J2213" s="2" t="inlineStr">
        <is>
          <t>Store</t>
        </is>
      </c>
      <c r="K2213" s="2" t="n">
        <v>2</v>
      </c>
      <c r="L2213" s="3" t="n">
        <v>685.48</v>
      </c>
      <c r="M2213" s="4" t="n">
        <v>0.05</v>
      </c>
      <c r="N2213" s="3" t="n">
        <v>841.33</v>
      </c>
      <c r="O2213" s="3">
        <f>K2213*L2213*(1-M2213)</f>
        <v/>
      </c>
      <c r="P2213" s="3">
        <f>O2213-N2213</f>
        <v/>
      </c>
      <c r="Q2213" s="5">
        <f>IFERROR(P2213/O2213,0)</f>
        <v/>
      </c>
      <c r="R2213" s="2">
        <f>TEXT(DATEVALUE(B2213),"mmm")</f>
        <v/>
      </c>
      <c r="S2213" s="2">
        <f>TEXT(DATEVALUE(B2213),"yyyy-mm")</f>
        <v/>
      </c>
    </row>
    <row r="2214">
      <c r="A2214" s="2" t="inlineStr">
        <is>
          <t>O002092</t>
        </is>
      </c>
      <c r="B2214" s="2" t="inlineStr">
        <is>
          <t>2025-06-08</t>
        </is>
      </c>
      <c r="C2214" s="2" t="inlineStr">
        <is>
          <t>C0726</t>
        </is>
      </c>
      <c r="D2214" s="2" t="inlineStr">
        <is>
          <t>P0009</t>
        </is>
      </c>
      <c r="E2214" s="2" t="inlineStr">
        <is>
          <t>Electric Kettle</t>
        </is>
      </c>
      <c r="F2214" s="2" t="inlineStr">
        <is>
          <t>Home &amp; Kitchen</t>
        </is>
      </c>
      <c r="G2214" s="2" t="inlineStr">
        <is>
          <t>North</t>
        </is>
      </c>
      <c r="H2214" s="2" t="inlineStr">
        <is>
          <t>Haryana</t>
        </is>
      </c>
      <c r="I2214" s="2" t="inlineStr">
        <is>
          <t>Faridabad</t>
        </is>
      </c>
      <c r="J2214" s="2" t="inlineStr">
        <is>
          <t>Online</t>
        </is>
      </c>
      <c r="K2214" s="2" t="n">
        <v>6</v>
      </c>
      <c r="L2214" s="3" t="n">
        <v>2174.2</v>
      </c>
      <c r="M2214" s="4" t="n">
        <v>0.1</v>
      </c>
      <c r="N2214" s="3" t="n">
        <v>6729.84</v>
      </c>
      <c r="O2214" s="3">
        <f>K2214*L2214*(1-M2214)</f>
        <v/>
      </c>
      <c r="P2214" s="3">
        <f>O2214-N2214</f>
        <v/>
      </c>
      <c r="Q2214" s="5">
        <f>IFERROR(P2214/O2214,0)</f>
        <v/>
      </c>
      <c r="R2214" s="2">
        <f>TEXT(DATEVALUE(B2214),"mmm")</f>
        <v/>
      </c>
      <c r="S2214" s="2">
        <f>TEXT(DATEVALUE(B2214),"yyyy-mm")</f>
        <v/>
      </c>
    </row>
    <row r="2215">
      <c r="A2215" s="2" t="inlineStr">
        <is>
          <t>O002424</t>
        </is>
      </c>
      <c r="B2215" s="2" t="inlineStr">
        <is>
          <t>2025-06-09</t>
        </is>
      </c>
      <c r="C2215" s="2" t="inlineStr">
        <is>
          <t>C0310</t>
        </is>
      </c>
      <c r="D2215" s="2" t="inlineStr">
        <is>
          <t>P0008</t>
        </is>
      </c>
      <c r="E2215" s="2" t="inlineStr">
        <is>
          <t>Air Fryer</t>
        </is>
      </c>
      <c r="F2215" s="2" t="inlineStr">
        <is>
          <t>Home &amp; Kitchen</t>
        </is>
      </c>
      <c r="G2215" s="2" t="inlineStr">
        <is>
          <t>North</t>
        </is>
      </c>
      <c r="H2215" s="2" t="inlineStr">
        <is>
          <t>Delhi</t>
        </is>
      </c>
      <c r="I2215" s="2" t="inlineStr">
        <is>
          <t>New Delhi</t>
        </is>
      </c>
      <c r="J2215" s="2" t="inlineStr">
        <is>
          <t>Online</t>
        </is>
      </c>
      <c r="K2215" s="2" t="n">
        <v>3</v>
      </c>
      <c r="L2215" s="3" t="n">
        <v>1084.84</v>
      </c>
      <c r="M2215" s="4" t="n">
        <v>0.2</v>
      </c>
      <c r="N2215" s="3" t="n">
        <v>2056.59</v>
      </c>
      <c r="O2215" s="3">
        <f>K2215*L2215*(1-M2215)</f>
        <v/>
      </c>
      <c r="P2215" s="3">
        <f>O2215-N2215</f>
        <v/>
      </c>
      <c r="Q2215" s="5">
        <f>IFERROR(P2215/O2215,0)</f>
        <v/>
      </c>
      <c r="R2215" s="2">
        <f>TEXT(DATEVALUE(B2215),"mmm")</f>
        <v/>
      </c>
      <c r="S2215" s="2">
        <f>TEXT(DATEVALUE(B2215),"yyyy-mm")</f>
        <v/>
      </c>
    </row>
    <row r="2216">
      <c r="A2216" s="2" t="inlineStr">
        <is>
          <t>O004554</t>
        </is>
      </c>
      <c r="B2216" s="2" t="inlineStr">
        <is>
          <t>2025-06-09</t>
        </is>
      </c>
      <c r="C2216" s="2" t="inlineStr">
        <is>
          <t>C0471</t>
        </is>
      </c>
      <c r="D2216" s="2" t="inlineStr">
        <is>
          <t>P0004</t>
        </is>
      </c>
      <c r="E2216" s="2" t="inlineStr">
        <is>
          <t>USB-C Hub</t>
        </is>
      </c>
      <c r="F2216" s="2" t="inlineStr">
        <is>
          <t>Electronics</t>
        </is>
      </c>
      <c r="G2216" s="2" t="inlineStr">
        <is>
          <t>West</t>
        </is>
      </c>
      <c r="H2216" s="2" t="inlineStr">
        <is>
          <t>Goa</t>
        </is>
      </c>
      <c r="I2216" s="2" t="inlineStr">
        <is>
          <t>Margao</t>
        </is>
      </c>
      <c r="J2216" s="2" t="inlineStr">
        <is>
          <t>Online</t>
        </is>
      </c>
      <c r="K2216" s="2" t="n">
        <v>1</v>
      </c>
      <c r="L2216" s="3" t="n">
        <v>1230.5</v>
      </c>
      <c r="M2216" s="4" t="n">
        <v>0.2</v>
      </c>
      <c r="N2216" s="3" t="n">
        <v>944.21</v>
      </c>
      <c r="O2216" s="3">
        <f>K2216*L2216*(1-M2216)</f>
        <v/>
      </c>
      <c r="P2216" s="3">
        <f>O2216-N2216</f>
        <v/>
      </c>
      <c r="Q2216" s="5">
        <f>IFERROR(P2216/O2216,0)</f>
        <v/>
      </c>
      <c r="R2216" s="2">
        <f>TEXT(DATEVALUE(B2216),"mmm")</f>
        <v/>
      </c>
      <c r="S2216" s="2">
        <f>TEXT(DATEVALUE(B2216),"yyyy-mm")</f>
        <v/>
      </c>
    </row>
    <row r="2217">
      <c r="A2217" s="2" t="inlineStr">
        <is>
          <t>O004024</t>
        </is>
      </c>
      <c r="B2217" s="2" t="inlineStr">
        <is>
          <t>2025-06-09</t>
        </is>
      </c>
      <c r="C2217" s="2" t="inlineStr">
        <is>
          <t>C0568</t>
        </is>
      </c>
      <c r="D2217" s="2" t="inlineStr">
        <is>
          <t>P0011</t>
        </is>
      </c>
      <c r="E2217" s="2" t="inlineStr">
        <is>
          <t>Cookware Set</t>
        </is>
      </c>
      <c r="F2217" s="2" t="inlineStr">
        <is>
          <t>Home &amp; Kitchen</t>
        </is>
      </c>
      <c r="G2217" s="2" t="inlineStr">
        <is>
          <t>West</t>
        </is>
      </c>
      <c r="H2217" s="2" t="inlineStr">
        <is>
          <t>Maharashtra</t>
        </is>
      </c>
      <c r="I2217" s="2" t="inlineStr">
        <is>
          <t>Nagpur</t>
        </is>
      </c>
      <c r="J2217" s="2" t="inlineStr">
        <is>
          <t>Store</t>
        </is>
      </c>
      <c r="K2217" s="2" t="n">
        <v>1</v>
      </c>
      <c r="L2217" s="3" t="n">
        <v>686.59</v>
      </c>
      <c r="M2217" s="4" t="n">
        <v>0</v>
      </c>
      <c r="N2217" s="3" t="n">
        <v>480.31</v>
      </c>
      <c r="O2217" s="3">
        <f>K2217*L2217*(1-M2217)</f>
        <v/>
      </c>
      <c r="P2217" s="3">
        <f>O2217-N2217</f>
        <v/>
      </c>
      <c r="Q2217" s="5">
        <f>IFERROR(P2217/O2217,0)</f>
        <v/>
      </c>
      <c r="R2217" s="2">
        <f>TEXT(DATEVALUE(B2217),"mmm")</f>
        <v/>
      </c>
      <c r="S2217" s="2">
        <f>TEXT(DATEVALUE(B2217),"yyyy-mm")</f>
        <v/>
      </c>
    </row>
    <row r="2218">
      <c r="A2218" s="2" t="inlineStr">
        <is>
          <t>O003849</t>
        </is>
      </c>
      <c r="B2218" s="2" t="inlineStr">
        <is>
          <t>2025-06-09</t>
        </is>
      </c>
      <c r="C2218" s="2" t="inlineStr">
        <is>
          <t>C0439</t>
        </is>
      </c>
      <c r="D2218" s="2" t="inlineStr">
        <is>
          <t>P0028</t>
        </is>
      </c>
      <c r="E2218" s="2" t="inlineStr">
        <is>
          <t>Trimmer</t>
        </is>
      </c>
      <c r="F2218" s="2" t="inlineStr">
        <is>
          <t>Beauty</t>
        </is>
      </c>
      <c r="G2218" s="2" t="inlineStr">
        <is>
          <t>West</t>
        </is>
      </c>
      <c r="H2218" s="2" t="inlineStr">
        <is>
          <t>Gujarat</t>
        </is>
      </c>
      <c r="I2218" s="2" t="inlineStr">
        <is>
          <t>Surat</t>
        </is>
      </c>
      <c r="J2218" s="2" t="inlineStr">
        <is>
          <t>Online</t>
        </is>
      </c>
      <c r="K2218" s="2" t="n">
        <v>1</v>
      </c>
      <c r="L2218" s="3" t="n">
        <v>446.18</v>
      </c>
      <c r="M2218" s="4" t="n">
        <v>0.1</v>
      </c>
      <c r="N2218" s="3" t="n">
        <v>258.33</v>
      </c>
      <c r="O2218" s="3">
        <f>K2218*L2218*(1-M2218)</f>
        <v/>
      </c>
      <c r="P2218" s="3">
        <f>O2218-N2218</f>
        <v/>
      </c>
      <c r="Q2218" s="5">
        <f>IFERROR(P2218/O2218,0)</f>
        <v/>
      </c>
      <c r="R2218" s="2">
        <f>TEXT(DATEVALUE(B2218),"mmm")</f>
        <v/>
      </c>
      <c r="S2218" s="2">
        <f>TEXT(DATEVALUE(B2218),"yyyy-mm")</f>
        <v/>
      </c>
    </row>
    <row r="2219">
      <c r="A2219" s="2" t="inlineStr">
        <is>
          <t>O003656</t>
        </is>
      </c>
      <c r="B2219" s="2" t="inlineStr">
        <is>
          <t>2025-06-09</t>
        </is>
      </c>
      <c r="C2219" s="2" t="inlineStr">
        <is>
          <t>C0772</t>
        </is>
      </c>
      <c r="D2219" s="2" t="inlineStr">
        <is>
          <t>P0014</t>
        </is>
      </c>
      <c r="E2219" s="2" t="inlineStr">
        <is>
          <t>Coffee Maker</t>
        </is>
      </c>
      <c r="F2219" s="2" t="inlineStr">
        <is>
          <t>Home &amp; Kitchen</t>
        </is>
      </c>
      <c r="G2219" s="2" t="inlineStr">
        <is>
          <t>South</t>
        </is>
      </c>
      <c r="H2219" s="2" t="inlineStr">
        <is>
          <t>Telangana</t>
        </is>
      </c>
      <c r="I2219" s="2" t="inlineStr">
        <is>
          <t>Warangal</t>
        </is>
      </c>
      <c r="J2219" s="2" t="inlineStr">
        <is>
          <t>Online</t>
        </is>
      </c>
      <c r="K2219" s="2" t="n">
        <v>5</v>
      </c>
      <c r="L2219" s="3" t="n">
        <v>1025.9</v>
      </c>
      <c r="M2219" s="4" t="n">
        <v>0.1</v>
      </c>
      <c r="N2219" s="3" t="n">
        <v>3836.55</v>
      </c>
      <c r="O2219" s="3">
        <f>K2219*L2219*(1-M2219)</f>
        <v/>
      </c>
      <c r="P2219" s="3">
        <f>O2219-N2219</f>
        <v/>
      </c>
      <c r="Q2219" s="5">
        <f>IFERROR(P2219/O2219,0)</f>
        <v/>
      </c>
      <c r="R2219" s="2">
        <f>TEXT(DATEVALUE(B2219),"mmm")</f>
        <v/>
      </c>
      <c r="S2219" s="2">
        <f>TEXT(DATEVALUE(B2219),"yyyy-mm")</f>
        <v/>
      </c>
    </row>
    <row r="2220">
      <c r="A2220" s="2" t="inlineStr">
        <is>
          <t>O003373</t>
        </is>
      </c>
      <c r="B2220" s="2" t="inlineStr">
        <is>
          <t>2025-06-09</t>
        </is>
      </c>
      <c r="C2220" s="2" t="inlineStr">
        <is>
          <t>C0684</t>
        </is>
      </c>
      <c r="D2220" s="2" t="inlineStr">
        <is>
          <t>P0011</t>
        </is>
      </c>
      <c r="E2220" s="2" t="inlineStr">
        <is>
          <t>Cookware Set</t>
        </is>
      </c>
      <c r="F2220" s="2" t="inlineStr">
        <is>
          <t>Home &amp; Kitchen</t>
        </is>
      </c>
      <c r="G2220" s="2" t="inlineStr">
        <is>
          <t>West</t>
        </is>
      </c>
      <c r="H2220" s="2" t="inlineStr">
        <is>
          <t>Goa</t>
        </is>
      </c>
      <c r="I2220" s="2" t="inlineStr">
        <is>
          <t>Panaji</t>
        </is>
      </c>
      <c r="J2220" s="2" t="inlineStr">
        <is>
          <t>Online</t>
        </is>
      </c>
      <c r="K2220" s="2" t="n">
        <v>2</v>
      </c>
      <c r="L2220" s="3" t="n">
        <v>698.26</v>
      </c>
      <c r="M2220" s="4" t="n">
        <v>0.05</v>
      </c>
      <c r="N2220" s="3" t="n">
        <v>948.54</v>
      </c>
      <c r="O2220" s="3">
        <f>K2220*L2220*(1-M2220)</f>
        <v/>
      </c>
      <c r="P2220" s="3">
        <f>O2220-N2220</f>
        <v/>
      </c>
      <c r="Q2220" s="5">
        <f>IFERROR(P2220/O2220,0)</f>
        <v/>
      </c>
      <c r="R2220" s="2">
        <f>TEXT(DATEVALUE(B2220),"mmm")</f>
        <v/>
      </c>
      <c r="S2220" s="2">
        <f>TEXT(DATEVALUE(B2220),"yyyy-mm")</f>
        <v/>
      </c>
    </row>
    <row r="2221">
      <c r="A2221" s="2" t="inlineStr">
        <is>
          <t>O002866</t>
        </is>
      </c>
      <c r="B2221" s="2" t="inlineStr">
        <is>
          <t>2025-06-09</t>
        </is>
      </c>
      <c r="C2221" s="2" t="inlineStr">
        <is>
          <t>C0578</t>
        </is>
      </c>
      <c r="D2221" s="2" t="inlineStr">
        <is>
          <t>P0024</t>
        </is>
      </c>
      <c r="E2221" s="2" t="inlineStr">
        <is>
          <t>Hair Dryer</t>
        </is>
      </c>
      <c r="F2221" s="2" t="inlineStr">
        <is>
          <t>Beauty</t>
        </is>
      </c>
      <c r="G2221" s="2" t="inlineStr">
        <is>
          <t>South</t>
        </is>
      </c>
      <c r="H2221" s="2" t="inlineStr">
        <is>
          <t>Kerala</t>
        </is>
      </c>
      <c r="I2221" s="2" t="inlineStr">
        <is>
          <t>Thiruvananthapuram</t>
        </is>
      </c>
      <c r="J2221" s="2" t="inlineStr">
        <is>
          <t>Online</t>
        </is>
      </c>
      <c r="K2221" s="2" t="n">
        <v>4</v>
      </c>
      <c r="L2221" s="3" t="n">
        <v>1048.32</v>
      </c>
      <c r="M2221" s="4" t="n">
        <v>0.05</v>
      </c>
      <c r="N2221" s="3" t="n">
        <v>2990.17</v>
      </c>
      <c r="O2221" s="3">
        <f>K2221*L2221*(1-M2221)</f>
        <v/>
      </c>
      <c r="P2221" s="3">
        <f>O2221-N2221</f>
        <v/>
      </c>
      <c r="Q2221" s="5">
        <f>IFERROR(P2221/O2221,0)</f>
        <v/>
      </c>
      <c r="R2221" s="2">
        <f>TEXT(DATEVALUE(B2221),"mmm")</f>
        <v/>
      </c>
      <c r="S2221" s="2">
        <f>TEXT(DATEVALUE(B2221),"yyyy-mm")</f>
        <v/>
      </c>
    </row>
    <row r="2222">
      <c r="A2222" s="2" t="inlineStr">
        <is>
          <t>O002596</t>
        </is>
      </c>
      <c r="B2222" s="2" t="inlineStr">
        <is>
          <t>2025-06-09</t>
        </is>
      </c>
      <c r="C2222" s="2" t="inlineStr">
        <is>
          <t>C0355</t>
        </is>
      </c>
      <c r="D2222" s="2" t="inlineStr">
        <is>
          <t>P0004</t>
        </is>
      </c>
      <c r="E2222" s="2" t="inlineStr">
        <is>
          <t>USB-C Hub</t>
        </is>
      </c>
      <c r="F2222" s="2" t="inlineStr">
        <is>
          <t>Electronics</t>
        </is>
      </c>
      <c r="G2222" s="2" t="inlineStr">
        <is>
          <t>East</t>
        </is>
      </c>
      <c r="H2222" s="2" t="inlineStr">
        <is>
          <t>Odisha</t>
        </is>
      </c>
      <c r="I2222" s="2" t="inlineStr">
        <is>
          <t>Bhubaneswar</t>
        </is>
      </c>
      <c r="J2222" s="2" t="inlineStr">
        <is>
          <t>Online</t>
        </is>
      </c>
      <c r="K2222" s="2" t="n">
        <v>2</v>
      </c>
      <c r="L2222" s="3" t="n">
        <v>1249.06</v>
      </c>
      <c r="M2222" s="4" t="n">
        <v>0</v>
      </c>
      <c r="N2222" s="3" t="n">
        <v>1801.93</v>
      </c>
      <c r="O2222" s="3">
        <f>K2222*L2222*(1-M2222)</f>
        <v/>
      </c>
      <c r="P2222" s="3">
        <f>O2222-N2222</f>
        <v/>
      </c>
      <c r="Q2222" s="5">
        <f>IFERROR(P2222/O2222,0)</f>
        <v/>
      </c>
      <c r="R2222" s="2">
        <f>TEXT(DATEVALUE(B2222),"mmm")</f>
        <v/>
      </c>
      <c r="S2222" s="2">
        <f>TEXT(DATEVALUE(B2222),"yyyy-mm")</f>
        <v/>
      </c>
    </row>
    <row r="2223">
      <c r="A2223" s="2" t="inlineStr">
        <is>
          <t>O002492</t>
        </is>
      </c>
      <c r="B2223" s="2" t="inlineStr">
        <is>
          <t>2025-06-09</t>
        </is>
      </c>
      <c r="C2223" s="2" t="inlineStr">
        <is>
          <t>C0215</t>
        </is>
      </c>
      <c r="D2223" s="2" t="inlineStr">
        <is>
          <t>P0031</t>
        </is>
      </c>
      <c r="E2223" s="2" t="inlineStr">
        <is>
          <t>Cricket Bat</t>
        </is>
      </c>
      <c r="F2223" s="2" t="inlineStr">
        <is>
          <t>Sports</t>
        </is>
      </c>
      <c r="G2223" s="2" t="inlineStr">
        <is>
          <t>East</t>
        </is>
      </c>
      <c r="H2223" s="2" t="inlineStr">
        <is>
          <t>West Bengal</t>
        </is>
      </c>
      <c r="I2223" s="2" t="inlineStr">
        <is>
          <t>Kolkata</t>
        </is>
      </c>
      <c r="J2223" s="2" t="inlineStr">
        <is>
          <t>Online</t>
        </is>
      </c>
      <c r="K2223" s="2" t="n">
        <v>2</v>
      </c>
      <c r="L2223" s="3" t="n">
        <v>1414.74</v>
      </c>
      <c r="M2223" s="4" t="n">
        <v>0.1</v>
      </c>
      <c r="N2223" s="3" t="n">
        <v>1909.29</v>
      </c>
      <c r="O2223" s="3">
        <f>K2223*L2223*(1-M2223)</f>
        <v/>
      </c>
      <c r="P2223" s="3">
        <f>O2223-N2223</f>
        <v/>
      </c>
      <c r="Q2223" s="5">
        <f>IFERROR(P2223/O2223,0)</f>
        <v/>
      </c>
      <c r="R2223" s="2">
        <f>TEXT(DATEVALUE(B2223),"mmm")</f>
        <v/>
      </c>
      <c r="S2223" s="2">
        <f>TEXT(DATEVALUE(B2223),"yyyy-mm")</f>
        <v/>
      </c>
    </row>
    <row r="2224">
      <c r="A2224" s="2" t="inlineStr">
        <is>
          <t>O002284</t>
        </is>
      </c>
      <c r="B2224" s="2" t="inlineStr">
        <is>
          <t>2025-06-09</t>
        </is>
      </c>
      <c r="C2224" s="2" t="inlineStr">
        <is>
          <t>C0550</t>
        </is>
      </c>
      <c r="D2224" s="2" t="inlineStr">
        <is>
          <t>P0030</t>
        </is>
      </c>
      <c r="E2224" s="2" t="inlineStr">
        <is>
          <t>Dumbbells</t>
        </is>
      </c>
      <c r="F2224" s="2" t="inlineStr">
        <is>
          <t>Sports</t>
        </is>
      </c>
      <c r="G2224" s="2" t="inlineStr">
        <is>
          <t>East</t>
        </is>
      </c>
      <c r="H2224" s="2" t="inlineStr">
        <is>
          <t>West Bengal</t>
        </is>
      </c>
      <c r="I2224" s="2" t="inlineStr">
        <is>
          <t>Kolkata</t>
        </is>
      </c>
      <c r="J2224" s="2" t="inlineStr">
        <is>
          <t>Online</t>
        </is>
      </c>
      <c r="K2224" s="2" t="n">
        <v>2</v>
      </c>
      <c r="L2224" s="3" t="n">
        <v>1575.75</v>
      </c>
      <c r="M2224" s="4" t="n">
        <v>0.05</v>
      </c>
      <c r="N2224" s="3" t="n">
        <v>2108.78</v>
      </c>
      <c r="O2224" s="3">
        <f>K2224*L2224*(1-M2224)</f>
        <v/>
      </c>
      <c r="P2224" s="3">
        <f>O2224-N2224</f>
        <v/>
      </c>
      <c r="Q2224" s="5">
        <f>IFERROR(P2224/O2224,0)</f>
        <v/>
      </c>
      <c r="R2224" s="2">
        <f>TEXT(DATEVALUE(B2224),"mmm")</f>
        <v/>
      </c>
      <c r="S2224" s="2">
        <f>TEXT(DATEVALUE(B2224),"yyyy-mm")</f>
        <v/>
      </c>
    </row>
    <row r="2225">
      <c r="A2225" s="2" t="inlineStr">
        <is>
          <t>O001659</t>
        </is>
      </c>
      <c r="B2225" s="2" t="inlineStr">
        <is>
          <t>2025-06-09</t>
        </is>
      </c>
      <c r="C2225" s="2" t="inlineStr">
        <is>
          <t>C0456</t>
        </is>
      </c>
      <c r="D2225" s="2" t="inlineStr">
        <is>
          <t>P0014</t>
        </is>
      </c>
      <c r="E2225" s="2" t="inlineStr">
        <is>
          <t>Coffee Maker</t>
        </is>
      </c>
      <c r="F2225" s="2" t="inlineStr">
        <is>
          <t>Home &amp; Kitchen</t>
        </is>
      </c>
      <c r="G2225" s="2" t="inlineStr">
        <is>
          <t>West</t>
        </is>
      </c>
      <c r="H2225" s="2" t="inlineStr">
        <is>
          <t>Goa</t>
        </is>
      </c>
      <c r="I2225" s="2" t="inlineStr">
        <is>
          <t>Panaji</t>
        </is>
      </c>
      <c r="J2225" s="2" t="inlineStr">
        <is>
          <t>Store</t>
        </is>
      </c>
      <c r="K2225" s="2" t="n">
        <v>1</v>
      </c>
      <c r="L2225" s="3" t="n">
        <v>1022.87</v>
      </c>
      <c r="M2225" s="4" t="n">
        <v>0.1</v>
      </c>
      <c r="N2225" s="3" t="n">
        <v>781.95</v>
      </c>
      <c r="O2225" s="3">
        <f>K2225*L2225*(1-M2225)</f>
        <v/>
      </c>
      <c r="P2225" s="3">
        <f>O2225-N2225</f>
        <v/>
      </c>
      <c r="Q2225" s="5">
        <f>IFERROR(P2225/O2225,0)</f>
        <v/>
      </c>
      <c r="R2225" s="2">
        <f>TEXT(DATEVALUE(B2225),"mmm")</f>
        <v/>
      </c>
      <c r="S2225" s="2">
        <f>TEXT(DATEVALUE(B2225),"yyyy-mm")</f>
        <v/>
      </c>
    </row>
    <row r="2226">
      <c r="A2226" s="2" t="inlineStr">
        <is>
          <t>O001814</t>
        </is>
      </c>
      <c r="B2226" s="2" t="inlineStr">
        <is>
          <t>2025-06-09</t>
        </is>
      </c>
      <c r="C2226" s="2" t="inlineStr">
        <is>
          <t>C0279</t>
        </is>
      </c>
      <c r="D2226" s="2" t="inlineStr">
        <is>
          <t>P0032</t>
        </is>
      </c>
      <c r="E2226" s="2" t="inlineStr">
        <is>
          <t>Football</t>
        </is>
      </c>
      <c r="F2226" s="2" t="inlineStr">
        <is>
          <t>Sports</t>
        </is>
      </c>
      <c r="G2226" s="2" t="inlineStr">
        <is>
          <t>North</t>
        </is>
      </c>
      <c r="H2226" s="2" t="inlineStr">
        <is>
          <t>Punjab</t>
        </is>
      </c>
      <c r="I2226" s="2" t="inlineStr">
        <is>
          <t>Jalandhar</t>
        </is>
      </c>
      <c r="J2226" s="2" t="inlineStr">
        <is>
          <t>Online</t>
        </is>
      </c>
      <c r="K2226" s="2" t="n">
        <v>5</v>
      </c>
      <c r="L2226" s="3" t="n">
        <v>808.34</v>
      </c>
      <c r="M2226" s="4" t="n">
        <v>0.1</v>
      </c>
      <c r="N2226" s="3" t="n">
        <v>2702.14</v>
      </c>
      <c r="O2226" s="3">
        <f>K2226*L2226*(1-M2226)</f>
        <v/>
      </c>
      <c r="P2226" s="3">
        <f>O2226-N2226</f>
        <v/>
      </c>
      <c r="Q2226" s="5">
        <f>IFERROR(P2226/O2226,0)</f>
        <v/>
      </c>
      <c r="R2226" s="2">
        <f>TEXT(DATEVALUE(B2226),"mmm")</f>
        <v/>
      </c>
      <c r="S2226" s="2">
        <f>TEXT(DATEVALUE(B2226),"yyyy-mm")</f>
        <v/>
      </c>
    </row>
    <row r="2227">
      <c r="A2227" s="2" t="inlineStr">
        <is>
          <t>O002240</t>
        </is>
      </c>
      <c r="B2227" s="2" t="inlineStr">
        <is>
          <t>2025-06-09</t>
        </is>
      </c>
      <c r="C2227" s="2" t="inlineStr">
        <is>
          <t>C0684</t>
        </is>
      </c>
      <c r="D2227" s="2" t="inlineStr">
        <is>
          <t>P0016</t>
        </is>
      </c>
      <c r="E2227" s="2" t="inlineStr">
        <is>
          <t>Casual Shirt</t>
        </is>
      </c>
      <c r="F2227" s="2" t="inlineStr">
        <is>
          <t>Fashion</t>
        </is>
      </c>
      <c r="G2227" s="2" t="inlineStr">
        <is>
          <t>South</t>
        </is>
      </c>
      <c r="H2227" s="2" t="inlineStr">
        <is>
          <t>Tamil Nadu</t>
        </is>
      </c>
      <c r="I2227" s="2" t="inlineStr">
        <is>
          <t>Madurai</t>
        </is>
      </c>
      <c r="J2227" s="2" t="inlineStr">
        <is>
          <t>Store</t>
        </is>
      </c>
      <c r="K2227" s="2" t="n">
        <v>2</v>
      </c>
      <c r="L2227" s="3" t="n">
        <v>1340.45</v>
      </c>
      <c r="M2227" s="4" t="n">
        <v>0.15</v>
      </c>
      <c r="N2227" s="3" t="n">
        <v>1764.31</v>
      </c>
      <c r="O2227" s="3">
        <f>K2227*L2227*(1-M2227)</f>
        <v/>
      </c>
      <c r="P2227" s="3">
        <f>O2227-N2227</f>
        <v/>
      </c>
      <c r="Q2227" s="5">
        <f>IFERROR(P2227/O2227,0)</f>
        <v/>
      </c>
      <c r="R2227" s="2">
        <f>TEXT(DATEVALUE(B2227),"mmm")</f>
        <v/>
      </c>
      <c r="S2227" s="2">
        <f>TEXT(DATEVALUE(B2227),"yyyy-mm")</f>
        <v/>
      </c>
    </row>
    <row r="2228">
      <c r="A2228" s="2" t="inlineStr">
        <is>
          <t>O000192</t>
        </is>
      </c>
      <c r="B2228" s="2" t="inlineStr">
        <is>
          <t>2025-06-09</t>
        </is>
      </c>
      <c r="C2228" s="2" t="inlineStr">
        <is>
          <t>C0362</t>
        </is>
      </c>
      <c r="D2228" s="2" t="inlineStr">
        <is>
          <t>P0005</t>
        </is>
      </c>
      <c r="E2228" s="2" t="inlineStr">
        <is>
          <t>Power Bank</t>
        </is>
      </c>
      <c r="F2228" s="2" t="inlineStr">
        <is>
          <t>Electronics</t>
        </is>
      </c>
      <c r="G2228" s="2" t="inlineStr">
        <is>
          <t>South</t>
        </is>
      </c>
      <c r="H2228" s="2" t="inlineStr">
        <is>
          <t>Tamil Nadu</t>
        </is>
      </c>
      <c r="I2228" s="2" t="inlineStr">
        <is>
          <t>Madurai</t>
        </is>
      </c>
      <c r="J2228" s="2" t="inlineStr">
        <is>
          <t>Online</t>
        </is>
      </c>
      <c r="K2228" s="2" t="n">
        <v>1</v>
      </c>
      <c r="L2228" s="3" t="n">
        <v>1092.45</v>
      </c>
      <c r="M2228" s="4" t="n">
        <v>0.15</v>
      </c>
      <c r="N2228" s="3" t="n">
        <v>656.28</v>
      </c>
      <c r="O2228" s="3">
        <f>K2228*L2228*(1-M2228)</f>
        <v/>
      </c>
      <c r="P2228" s="3">
        <f>O2228-N2228</f>
        <v/>
      </c>
      <c r="Q2228" s="5">
        <f>IFERROR(P2228/O2228,0)</f>
        <v/>
      </c>
      <c r="R2228" s="2">
        <f>TEXT(DATEVALUE(B2228),"mmm")</f>
        <v/>
      </c>
      <c r="S2228" s="2">
        <f>TEXT(DATEVALUE(B2228),"yyyy-mm")</f>
        <v/>
      </c>
    </row>
    <row r="2229">
      <c r="A2229" s="2" t="inlineStr">
        <is>
          <t>O000219</t>
        </is>
      </c>
      <c r="B2229" s="2" t="inlineStr">
        <is>
          <t>2025-06-09</t>
        </is>
      </c>
      <c r="C2229" s="2" t="inlineStr">
        <is>
          <t>C0004</t>
        </is>
      </c>
      <c r="D2229" s="2" t="inlineStr">
        <is>
          <t>P0004</t>
        </is>
      </c>
      <c r="E2229" s="2" t="inlineStr">
        <is>
          <t>USB-C Hub</t>
        </is>
      </c>
      <c r="F2229" s="2" t="inlineStr">
        <is>
          <t>Electronics</t>
        </is>
      </c>
      <c r="G2229" s="2" t="inlineStr">
        <is>
          <t>West</t>
        </is>
      </c>
      <c r="H2229" s="2" t="inlineStr">
        <is>
          <t>Maharashtra</t>
        </is>
      </c>
      <c r="I2229" s="2" t="inlineStr">
        <is>
          <t>Nagpur</t>
        </is>
      </c>
      <c r="J2229" s="2" t="inlineStr">
        <is>
          <t>Online</t>
        </is>
      </c>
      <c r="K2229" s="2" t="n">
        <v>4</v>
      </c>
      <c r="L2229" s="3" t="n">
        <v>1289.65</v>
      </c>
      <c r="M2229" s="4" t="n">
        <v>0</v>
      </c>
      <c r="N2229" s="3" t="n">
        <v>3668.19</v>
      </c>
      <c r="O2229" s="3">
        <f>K2229*L2229*(1-M2229)</f>
        <v/>
      </c>
      <c r="P2229" s="3">
        <f>O2229-N2229</f>
        <v/>
      </c>
      <c r="Q2229" s="5">
        <f>IFERROR(P2229/O2229,0)</f>
        <v/>
      </c>
      <c r="R2229" s="2">
        <f>TEXT(DATEVALUE(B2229),"mmm")</f>
        <v/>
      </c>
      <c r="S2229" s="2">
        <f>TEXT(DATEVALUE(B2229),"yyyy-mm")</f>
        <v/>
      </c>
    </row>
    <row r="2230">
      <c r="A2230" s="2" t="inlineStr">
        <is>
          <t>O000269</t>
        </is>
      </c>
      <c r="B2230" s="2" t="inlineStr">
        <is>
          <t>2025-06-09</t>
        </is>
      </c>
      <c r="C2230" s="2" t="inlineStr">
        <is>
          <t>C0391</t>
        </is>
      </c>
      <c r="D2230" s="2" t="inlineStr">
        <is>
          <t>P0032</t>
        </is>
      </c>
      <c r="E2230" s="2" t="inlineStr">
        <is>
          <t>Football</t>
        </is>
      </c>
      <c r="F2230" s="2" t="inlineStr">
        <is>
          <t>Sports</t>
        </is>
      </c>
      <c r="G2230" s="2" t="inlineStr">
        <is>
          <t>West</t>
        </is>
      </c>
      <c r="H2230" s="2" t="inlineStr">
        <is>
          <t>Gujarat</t>
        </is>
      </c>
      <c r="I2230" s="2" t="inlineStr">
        <is>
          <t>Vadodara</t>
        </is>
      </c>
      <c r="J2230" s="2" t="inlineStr">
        <is>
          <t>Store</t>
        </is>
      </c>
      <c r="K2230" s="2" t="n">
        <v>2</v>
      </c>
      <c r="L2230" s="3" t="n">
        <v>831.08</v>
      </c>
      <c r="M2230" s="4" t="n">
        <v>0</v>
      </c>
      <c r="N2230" s="3" t="n">
        <v>1101.31</v>
      </c>
      <c r="O2230" s="3">
        <f>K2230*L2230*(1-M2230)</f>
        <v/>
      </c>
      <c r="P2230" s="3">
        <f>O2230-N2230</f>
        <v/>
      </c>
      <c r="Q2230" s="5">
        <f>IFERROR(P2230/O2230,0)</f>
        <v/>
      </c>
      <c r="R2230" s="2">
        <f>TEXT(DATEVALUE(B2230),"mmm")</f>
        <v/>
      </c>
      <c r="S2230" s="2">
        <f>TEXT(DATEVALUE(B2230),"yyyy-mm")</f>
        <v/>
      </c>
    </row>
    <row r="2231">
      <c r="A2231" s="2" t="inlineStr">
        <is>
          <t>O000153</t>
        </is>
      </c>
      <c r="B2231" s="2" t="inlineStr">
        <is>
          <t>2025-06-09</t>
        </is>
      </c>
      <c r="C2231" s="2" t="inlineStr">
        <is>
          <t>C0668</t>
        </is>
      </c>
      <c r="D2231" s="2" t="inlineStr">
        <is>
          <t>P0007</t>
        </is>
      </c>
      <c r="E2231" s="2" t="inlineStr">
        <is>
          <t>Wireless Mouse</t>
        </is>
      </c>
      <c r="F2231" s="2" t="inlineStr">
        <is>
          <t>Electronics</t>
        </is>
      </c>
      <c r="G2231" s="2" t="inlineStr">
        <is>
          <t>West</t>
        </is>
      </c>
      <c r="H2231" s="2" t="inlineStr">
        <is>
          <t>Goa</t>
        </is>
      </c>
      <c r="I2231" s="2" t="inlineStr">
        <is>
          <t>Panaji</t>
        </is>
      </c>
      <c r="J2231" s="2" t="inlineStr">
        <is>
          <t>Online</t>
        </is>
      </c>
      <c r="K2231" s="2" t="n">
        <v>2</v>
      </c>
      <c r="L2231" s="3" t="n">
        <v>1018.59</v>
      </c>
      <c r="M2231" s="4" t="n">
        <v>0.15</v>
      </c>
      <c r="N2231" s="3" t="n">
        <v>1260.36</v>
      </c>
      <c r="O2231" s="3">
        <f>K2231*L2231*(1-M2231)</f>
        <v/>
      </c>
      <c r="P2231" s="3">
        <f>O2231-N2231</f>
        <v/>
      </c>
      <c r="Q2231" s="5">
        <f>IFERROR(P2231/O2231,0)</f>
        <v/>
      </c>
      <c r="R2231" s="2">
        <f>TEXT(DATEVALUE(B2231),"mmm")</f>
        <v/>
      </c>
      <c r="S2231" s="2">
        <f>TEXT(DATEVALUE(B2231),"yyyy-mm")</f>
        <v/>
      </c>
    </row>
    <row r="2232">
      <c r="A2232" s="2" t="inlineStr">
        <is>
          <t>O000659</t>
        </is>
      </c>
      <c r="B2232" s="2" t="inlineStr">
        <is>
          <t>2025-06-09</t>
        </is>
      </c>
      <c r="C2232" s="2" t="inlineStr">
        <is>
          <t>C0397</t>
        </is>
      </c>
      <c r="D2232" s="2" t="inlineStr">
        <is>
          <t>P0027</t>
        </is>
      </c>
      <c r="E2232" s="2" t="inlineStr">
        <is>
          <t>Moisturizer</t>
        </is>
      </c>
      <c r="F2232" s="2" t="inlineStr">
        <is>
          <t>Beauty</t>
        </is>
      </c>
      <c r="G2232" s="2" t="inlineStr">
        <is>
          <t>South</t>
        </is>
      </c>
      <c r="H2232" s="2" t="inlineStr">
        <is>
          <t>Kerala</t>
        </is>
      </c>
      <c r="I2232" s="2" t="inlineStr">
        <is>
          <t>Kochi</t>
        </is>
      </c>
      <c r="J2232" s="2" t="inlineStr">
        <is>
          <t>Online</t>
        </is>
      </c>
      <c r="K2232" s="2" t="n">
        <v>2</v>
      </c>
      <c r="L2232" s="3" t="n">
        <v>928.71</v>
      </c>
      <c r="M2232" s="4" t="n">
        <v>0.1</v>
      </c>
      <c r="N2232" s="3" t="n">
        <v>1369.45</v>
      </c>
      <c r="O2232" s="3">
        <f>K2232*L2232*(1-M2232)</f>
        <v/>
      </c>
      <c r="P2232" s="3">
        <f>O2232-N2232</f>
        <v/>
      </c>
      <c r="Q2232" s="5">
        <f>IFERROR(P2232/O2232,0)</f>
        <v/>
      </c>
      <c r="R2232" s="2">
        <f>TEXT(DATEVALUE(B2232),"mmm")</f>
        <v/>
      </c>
      <c r="S2232" s="2">
        <f>TEXT(DATEVALUE(B2232),"yyyy-mm")</f>
        <v/>
      </c>
    </row>
    <row r="2233">
      <c r="A2233" s="2" t="inlineStr">
        <is>
          <t>O000838</t>
        </is>
      </c>
      <c r="B2233" s="2" t="inlineStr">
        <is>
          <t>2025-06-09</t>
        </is>
      </c>
      <c r="C2233" s="2" t="inlineStr">
        <is>
          <t>C0323</t>
        </is>
      </c>
      <c r="D2233" s="2" t="inlineStr">
        <is>
          <t>P0018</t>
        </is>
      </c>
      <c r="E2233" s="2" t="inlineStr">
        <is>
          <t>Backpack</t>
        </is>
      </c>
      <c r="F2233" s="2" t="inlineStr">
        <is>
          <t>Fashion</t>
        </is>
      </c>
      <c r="G2233" s="2" t="inlineStr">
        <is>
          <t>South</t>
        </is>
      </c>
      <c r="H2233" s="2" t="inlineStr">
        <is>
          <t>Kerala</t>
        </is>
      </c>
      <c r="I2233" s="2" t="inlineStr">
        <is>
          <t>Kochi</t>
        </is>
      </c>
      <c r="J2233" s="2" t="inlineStr">
        <is>
          <t>Store</t>
        </is>
      </c>
      <c r="K2233" s="2" t="n">
        <v>4</v>
      </c>
      <c r="L2233" s="3" t="n">
        <v>1897.69</v>
      </c>
      <c r="M2233" s="4" t="n">
        <v>0.1</v>
      </c>
      <c r="N2233" s="3" t="n">
        <v>5423.77</v>
      </c>
      <c r="O2233" s="3">
        <f>K2233*L2233*(1-M2233)</f>
        <v/>
      </c>
      <c r="P2233" s="3">
        <f>O2233-N2233</f>
        <v/>
      </c>
      <c r="Q2233" s="5">
        <f>IFERROR(P2233/O2233,0)</f>
        <v/>
      </c>
      <c r="R2233" s="2">
        <f>TEXT(DATEVALUE(B2233),"mmm")</f>
        <v/>
      </c>
      <c r="S2233" s="2">
        <f>TEXT(DATEVALUE(B2233),"yyyy-mm")</f>
        <v/>
      </c>
    </row>
    <row r="2234">
      <c r="A2234" s="2" t="inlineStr">
        <is>
          <t>O001579</t>
        </is>
      </c>
      <c r="B2234" s="2" t="inlineStr">
        <is>
          <t>2025-06-09</t>
        </is>
      </c>
      <c r="C2234" s="2" t="inlineStr">
        <is>
          <t>C0014</t>
        </is>
      </c>
      <c r="D2234" s="2" t="inlineStr">
        <is>
          <t>P0012</t>
        </is>
      </c>
      <c r="E2234" s="2" t="inlineStr">
        <is>
          <t>Water Bottle</t>
        </is>
      </c>
      <c r="F2234" s="2" t="inlineStr">
        <is>
          <t>Home &amp; Kitchen</t>
        </is>
      </c>
      <c r="G2234" s="2" t="inlineStr">
        <is>
          <t>West</t>
        </is>
      </c>
      <c r="H2234" s="2" t="inlineStr">
        <is>
          <t>Maharashtra</t>
        </is>
      </c>
      <c r="I2234" s="2" t="inlineStr">
        <is>
          <t>Mumbai</t>
        </is>
      </c>
      <c r="J2234" s="2" t="inlineStr">
        <is>
          <t>Online</t>
        </is>
      </c>
      <c r="K2234" s="2" t="n">
        <v>2</v>
      </c>
      <c r="L2234" s="3" t="n">
        <v>984.39</v>
      </c>
      <c r="M2234" s="4" t="n">
        <v>0.1</v>
      </c>
      <c r="N2234" s="3" t="n">
        <v>1260.75</v>
      </c>
      <c r="O2234" s="3">
        <f>K2234*L2234*(1-M2234)</f>
        <v/>
      </c>
      <c r="P2234" s="3">
        <f>O2234-N2234</f>
        <v/>
      </c>
      <c r="Q2234" s="5">
        <f>IFERROR(P2234/O2234,0)</f>
        <v/>
      </c>
      <c r="R2234" s="2">
        <f>TEXT(DATEVALUE(B2234),"mmm")</f>
        <v/>
      </c>
      <c r="S2234" s="2">
        <f>TEXT(DATEVALUE(B2234),"yyyy-mm")</f>
        <v/>
      </c>
    </row>
    <row r="2235">
      <c r="A2235" s="2" t="inlineStr">
        <is>
          <t>O000503</t>
        </is>
      </c>
      <c r="B2235" s="2" t="inlineStr">
        <is>
          <t>2025-06-09</t>
        </is>
      </c>
      <c r="C2235" s="2" t="inlineStr">
        <is>
          <t>C0632</t>
        </is>
      </c>
      <c r="D2235" s="2" t="inlineStr">
        <is>
          <t>P0022</t>
        </is>
      </c>
      <c r="E2235" s="2" t="inlineStr">
        <is>
          <t>Face Wash</t>
        </is>
      </c>
      <c r="F2235" s="2" t="inlineStr">
        <is>
          <t>Beauty</t>
        </is>
      </c>
      <c r="G2235" s="2" t="inlineStr">
        <is>
          <t>North</t>
        </is>
      </c>
      <c r="H2235" s="2" t="inlineStr">
        <is>
          <t>Punjab</t>
        </is>
      </c>
      <c r="I2235" s="2" t="inlineStr">
        <is>
          <t>Ludhiana</t>
        </is>
      </c>
      <c r="J2235" s="2" t="inlineStr">
        <is>
          <t>Online</t>
        </is>
      </c>
      <c r="K2235" s="2" t="n">
        <v>4</v>
      </c>
      <c r="L2235" s="3" t="n">
        <v>545.9</v>
      </c>
      <c r="M2235" s="4" t="n">
        <v>0.15</v>
      </c>
      <c r="N2235" s="3" t="n">
        <v>1359.62</v>
      </c>
      <c r="O2235" s="3">
        <f>K2235*L2235*(1-M2235)</f>
        <v/>
      </c>
      <c r="P2235" s="3">
        <f>O2235-N2235</f>
        <v/>
      </c>
      <c r="Q2235" s="5">
        <f>IFERROR(P2235/O2235,0)</f>
        <v/>
      </c>
      <c r="R2235" s="2">
        <f>TEXT(DATEVALUE(B2235),"mmm")</f>
        <v/>
      </c>
      <c r="S2235" s="2">
        <f>TEXT(DATEVALUE(B2235),"yyyy-mm")</f>
        <v/>
      </c>
    </row>
    <row r="2236">
      <c r="A2236" s="2" t="inlineStr">
        <is>
          <t>O004788</t>
        </is>
      </c>
      <c r="B2236" s="2" t="inlineStr">
        <is>
          <t>2025-06-10</t>
        </is>
      </c>
      <c r="C2236" s="2" t="inlineStr">
        <is>
          <t>C0349</t>
        </is>
      </c>
      <c r="D2236" s="2" t="inlineStr">
        <is>
          <t>P0028</t>
        </is>
      </c>
      <c r="E2236" s="2" t="inlineStr">
        <is>
          <t>Trimmer</t>
        </is>
      </c>
      <c r="F2236" s="2" t="inlineStr">
        <is>
          <t>Beauty</t>
        </is>
      </c>
      <c r="G2236" s="2" t="inlineStr">
        <is>
          <t>North</t>
        </is>
      </c>
      <c r="H2236" s="2" t="inlineStr">
        <is>
          <t>Haryana</t>
        </is>
      </c>
      <c r="I2236" s="2" t="inlineStr">
        <is>
          <t>Gurugram</t>
        </is>
      </c>
      <c r="J2236" s="2" t="inlineStr">
        <is>
          <t>Store</t>
        </is>
      </c>
      <c r="K2236" s="2" t="n">
        <v>1</v>
      </c>
      <c r="L2236" s="3" t="n">
        <v>464.74</v>
      </c>
      <c r="M2236" s="4" t="n">
        <v>0.1</v>
      </c>
      <c r="N2236" s="3" t="n">
        <v>255.79</v>
      </c>
      <c r="O2236" s="3">
        <f>K2236*L2236*(1-M2236)</f>
        <v/>
      </c>
      <c r="P2236" s="3">
        <f>O2236-N2236</f>
        <v/>
      </c>
      <c r="Q2236" s="5">
        <f>IFERROR(P2236/O2236,0)</f>
        <v/>
      </c>
      <c r="R2236" s="2">
        <f>TEXT(DATEVALUE(B2236),"mmm")</f>
        <v/>
      </c>
      <c r="S2236" s="2">
        <f>TEXT(DATEVALUE(B2236),"yyyy-mm")</f>
        <v/>
      </c>
    </row>
    <row r="2237">
      <c r="A2237" s="2" t="inlineStr">
        <is>
          <t>O004422</t>
        </is>
      </c>
      <c r="B2237" s="2" t="inlineStr">
        <is>
          <t>2025-06-10</t>
        </is>
      </c>
      <c r="C2237" s="2" t="inlineStr">
        <is>
          <t>C0152</t>
        </is>
      </c>
      <c r="D2237" s="2" t="inlineStr">
        <is>
          <t>P0011</t>
        </is>
      </c>
      <c r="E2237" s="2" t="inlineStr">
        <is>
          <t>Cookware Set</t>
        </is>
      </c>
      <c r="F2237" s="2" t="inlineStr">
        <is>
          <t>Home &amp; Kitchen</t>
        </is>
      </c>
      <c r="G2237" s="2" t="inlineStr">
        <is>
          <t>North</t>
        </is>
      </c>
      <c r="H2237" s="2" t="inlineStr">
        <is>
          <t>Haryana</t>
        </is>
      </c>
      <c r="I2237" s="2" t="inlineStr">
        <is>
          <t>Gurugram</t>
        </is>
      </c>
      <c r="J2237" s="2" t="inlineStr">
        <is>
          <t>Online</t>
        </is>
      </c>
      <c r="K2237" s="2" t="n">
        <v>2</v>
      </c>
      <c r="L2237" s="3" t="n">
        <v>727.05</v>
      </c>
      <c r="M2237" s="4" t="n">
        <v>0.15</v>
      </c>
      <c r="N2237" s="3" t="n">
        <v>972.25</v>
      </c>
      <c r="O2237" s="3">
        <f>K2237*L2237*(1-M2237)</f>
        <v/>
      </c>
      <c r="P2237" s="3">
        <f>O2237-N2237</f>
        <v/>
      </c>
      <c r="Q2237" s="5">
        <f>IFERROR(P2237/O2237,0)</f>
        <v/>
      </c>
      <c r="R2237" s="2">
        <f>TEXT(DATEVALUE(B2237),"mmm")</f>
        <v/>
      </c>
      <c r="S2237" s="2">
        <f>TEXT(DATEVALUE(B2237),"yyyy-mm")</f>
        <v/>
      </c>
    </row>
    <row r="2238">
      <c r="A2238" s="2" t="inlineStr">
        <is>
          <t>O003937</t>
        </is>
      </c>
      <c r="B2238" s="2" t="inlineStr">
        <is>
          <t>2025-06-10</t>
        </is>
      </c>
      <c r="C2238" s="2" t="inlineStr">
        <is>
          <t>C0421</t>
        </is>
      </c>
      <c r="D2238" s="2" t="inlineStr">
        <is>
          <t>P0001</t>
        </is>
      </c>
      <c r="E2238" s="2" t="inlineStr">
        <is>
          <t>Wireless Headphones</t>
        </is>
      </c>
      <c r="F2238" s="2" t="inlineStr">
        <is>
          <t>Electronics</t>
        </is>
      </c>
      <c r="G2238" s="2" t="inlineStr">
        <is>
          <t>South</t>
        </is>
      </c>
      <c r="H2238" s="2" t="inlineStr">
        <is>
          <t>Kerala</t>
        </is>
      </c>
      <c r="I2238" s="2" t="inlineStr">
        <is>
          <t>Kochi</t>
        </is>
      </c>
      <c r="J2238" s="2" t="inlineStr">
        <is>
          <t>Online</t>
        </is>
      </c>
      <c r="K2238" s="2" t="n">
        <v>1</v>
      </c>
      <c r="L2238" s="3" t="n">
        <v>1288.33</v>
      </c>
      <c r="M2238" s="4" t="n">
        <v>0</v>
      </c>
      <c r="N2238" s="3" t="n">
        <v>706.0700000000001</v>
      </c>
      <c r="O2238" s="3">
        <f>K2238*L2238*(1-M2238)</f>
        <v/>
      </c>
      <c r="P2238" s="3">
        <f>O2238-N2238</f>
        <v/>
      </c>
      <c r="Q2238" s="5">
        <f>IFERROR(P2238/O2238,0)</f>
        <v/>
      </c>
      <c r="R2238" s="2">
        <f>TEXT(DATEVALUE(B2238),"mmm")</f>
        <v/>
      </c>
      <c r="S2238" s="2">
        <f>TEXT(DATEVALUE(B2238),"yyyy-mm")</f>
        <v/>
      </c>
    </row>
    <row r="2239">
      <c r="A2239" s="2" t="inlineStr">
        <is>
          <t>O003914</t>
        </is>
      </c>
      <c r="B2239" s="2" t="inlineStr">
        <is>
          <t>2025-06-10</t>
        </is>
      </c>
      <c r="C2239" s="2" t="inlineStr">
        <is>
          <t>C0649</t>
        </is>
      </c>
      <c r="D2239" s="2" t="inlineStr">
        <is>
          <t>P0026</t>
        </is>
      </c>
      <c r="E2239" s="2" t="inlineStr">
        <is>
          <t>Shampoo</t>
        </is>
      </c>
      <c r="F2239" s="2" t="inlineStr">
        <is>
          <t>Beauty</t>
        </is>
      </c>
      <c r="G2239" s="2" t="inlineStr">
        <is>
          <t>South</t>
        </is>
      </c>
      <c r="H2239" s="2" t="inlineStr">
        <is>
          <t>Karnataka</t>
        </is>
      </c>
      <c r="I2239" s="2" t="inlineStr">
        <is>
          <t>Mysuru</t>
        </is>
      </c>
      <c r="J2239" s="2" t="inlineStr">
        <is>
          <t>Online</t>
        </is>
      </c>
      <c r="K2239" s="2" t="n">
        <v>1</v>
      </c>
      <c r="L2239" s="3" t="n">
        <v>873.52</v>
      </c>
      <c r="M2239" s="4" t="n">
        <v>0.15</v>
      </c>
      <c r="N2239" s="3" t="n">
        <v>510.63</v>
      </c>
      <c r="O2239" s="3">
        <f>K2239*L2239*(1-M2239)</f>
        <v/>
      </c>
      <c r="P2239" s="3">
        <f>O2239-N2239</f>
        <v/>
      </c>
      <c r="Q2239" s="5">
        <f>IFERROR(P2239/O2239,0)</f>
        <v/>
      </c>
      <c r="R2239" s="2">
        <f>TEXT(DATEVALUE(B2239),"mmm")</f>
        <v/>
      </c>
      <c r="S2239" s="2">
        <f>TEXT(DATEVALUE(B2239),"yyyy-mm")</f>
        <v/>
      </c>
    </row>
    <row r="2240">
      <c r="A2240" s="2" t="inlineStr">
        <is>
          <t>O003302</t>
        </is>
      </c>
      <c r="B2240" s="2" t="inlineStr">
        <is>
          <t>2025-06-10</t>
        </is>
      </c>
      <c r="C2240" s="2" t="inlineStr">
        <is>
          <t>C0138</t>
        </is>
      </c>
      <c r="D2240" s="2" t="inlineStr">
        <is>
          <t>P0007</t>
        </is>
      </c>
      <c r="E2240" s="2" t="inlineStr">
        <is>
          <t>Wireless Mouse</t>
        </is>
      </c>
      <c r="F2240" s="2" t="inlineStr">
        <is>
          <t>Electronics</t>
        </is>
      </c>
      <c r="G2240" s="2" t="inlineStr">
        <is>
          <t>West</t>
        </is>
      </c>
      <c r="H2240" s="2" t="inlineStr">
        <is>
          <t>Goa</t>
        </is>
      </c>
      <c r="I2240" s="2" t="inlineStr">
        <is>
          <t>Margao</t>
        </is>
      </c>
      <c r="J2240" s="2" t="inlineStr">
        <is>
          <t>Online</t>
        </is>
      </c>
      <c r="K2240" s="2" t="n">
        <v>3</v>
      </c>
      <c r="L2240" s="3" t="n">
        <v>995.5</v>
      </c>
      <c r="M2240" s="4" t="n">
        <v>0.05</v>
      </c>
      <c r="N2240" s="3" t="n">
        <v>1876.33</v>
      </c>
      <c r="O2240" s="3">
        <f>K2240*L2240*(1-M2240)</f>
        <v/>
      </c>
      <c r="P2240" s="3">
        <f>O2240-N2240</f>
        <v/>
      </c>
      <c r="Q2240" s="5">
        <f>IFERROR(P2240/O2240,0)</f>
        <v/>
      </c>
      <c r="R2240" s="2">
        <f>TEXT(DATEVALUE(B2240),"mmm")</f>
        <v/>
      </c>
      <c r="S2240" s="2">
        <f>TEXT(DATEVALUE(B2240),"yyyy-mm")</f>
        <v/>
      </c>
    </row>
    <row r="2241">
      <c r="A2241" s="2" t="inlineStr">
        <is>
          <t>O003140</t>
        </is>
      </c>
      <c r="B2241" s="2" t="inlineStr">
        <is>
          <t>2025-06-10</t>
        </is>
      </c>
      <c r="C2241" s="2" t="inlineStr">
        <is>
          <t>C0208</t>
        </is>
      </c>
      <c r="D2241" s="2" t="inlineStr">
        <is>
          <t>P0029</t>
        </is>
      </c>
      <c r="E2241" s="2" t="inlineStr">
        <is>
          <t>Yoga Mat</t>
        </is>
      </c>
      <c r="F2241" s="2" t="inlineStr">
        <is>
          <t>Sports</t>
        </is>
      </c>
      <c r="G2241" s="2" t="inlineStr">
        <is>
          <t>East</t>
        </is>
      </c>
      <c r="H2241" s="2" t="inlineStr">
        <is>
          <t>West Bengal</t>
        </is>
      </c>
      <c r="I2241" s="2" t="inlineStr">
        <is>
          <t>Durgapur</t>
        </is>
      </c>
      <c r="J2241" s="2" t="inlineStr">
        <is>
          <t>Store</t>
        </is>
      </c>
      <c r="K2241" s="2" t="n">
        <v>4</v>
      </c>
      <c r="L2241" s="3" t="n">
        <v>2385.87</v>
      </c>
      <c r="M2241" s="4" t="n">
        <v>0.1</v>
      </c>
      <c r="N2241" s="3" t="n">
        <v>5261.59</v>
      </c>
      <c r="O2241" s="3">
        <f>K2241*L2241*(1-M2241)</f>
        <v/>
      </c>
      <c r="P2241" s="3">
        <f>O2241-N2241</f>
        <v/>
      </c>
      <c r="Q2241" s="5">
        <f>IFERROR(P2241/O2241,0)</f>
        <v/>
      </c>
      <c r="R2241" s="2">
        <f>TEXT(DATEVALUE(B2241),"mmm")</f>
        <v/>
      </c>
      <c r="S2241" s="2">
        <f>TEXT(DATEVALUE(B2241),"yyyy-mm")</f>
        <v/>
      </c>
    </row>
    <row r="2242">
      <c r="A2242" s="2" t="inlineStr">
        <is>
          <t>O002886</t>
        </is>
      </c>
      <c r="B2242" s="2" t="inlineStr">
        <is>
          <t>2025-06-10</t>
        </is>
      </c>
      <c r="C2242" s="2" t="inlineStr">
        <is>
          <t>C0500</t>
        </is>
      </c>
      <c r="D2242" s="2" t="inlineStr">
        <is>
          <t>P0030</t>
        </is>
      </c>
      <c r="E2242" s="2" t="inlineStr">
        <is>
          <t>Dumbbells</t>
        </is>
      </c>
      <c r="F2242" s="2" t="inlineStr">
        <is>
          <t>Sports</t>
        </is>
      </c>
      <c r="G2242" s="2" t="inlineStr">
        <is>
          <t>West</t>
        </is>
      </c>
      <c r="H2242" s="2" t="inlineStr">
        <is>
          <t>Goa</t>
        </is>
      </c>
      <c r="I2242" s="2" t="inlineStr">
        <is>
          <t>Margao</t>
        </is>
      </c>
      <c r="J2242" s="2" t="inlineStr">
        <is>
          <t>Online</t>
        </is>
      </c>
      <c r="K2242" s="2" t="n">
        <v>3</v>
      </c>
      <c r="L2242" s="3" t="n">
        <v>1598.38</v>
      </c>
      <c r="M2242" s="4" t="n">
        <v>0.05</v>
      </c>
      <c r="N2242" s="3" t="n">
        <v>3154.84</v>
      </c>
      <c r="O2242" s="3">
        <f>K2242*L2242*(1-M2242)</f>
        <v/>
      </c>
      <c r="P2242" s="3">
        <f>O2242-N2242</f>
        <v/>
      </c>
      <c r="Q2242" s="5">
        <f>IFERROR(P2242/O2242,0)</f>
        <v/>
      </c>
      <c r="R2242" s="2">
        <f>TEXT(DATEVALUE(B2242),"mmm")</f>
        <v/>
      </c>
      <c r="S2242" s="2">
        <f>TEXT(DATEVALUE(B2242),"yyyy-mm")</f>
        <v/>
      </c>
    </row>
    <row r="2243">
      <c r="A2243" s="2" t="inlineStr">
        <is>
          <t>O002774</t>
        </is>
      </c>
      <c r="B2243" s="2" t="inlineStr">
        <is>
          <t>2025-06-10</t>
        </is>
      </c>
      <c r="C2243" s="2" t="inlineStr">
        <is>
          <t>C0092</t>
        </is>
      </c>
      <c r="D2243" s="2" t="inlineStr">
        <is>
          <t>P0016</t>
        </is>
      </c>
      <c r="E2243" s="2" t="inlineStr">
        <is>
          <t>Casual Shirt</t>
        </is>
      </c>
      <c r="F2243" s="2" t="inlineStr">
        <is>
          <t>Fashion</t>
        </is>
      </c>
      <c r="G2243" s="2" t="inlineStr">
        <is>
          <t>North</t>
        </is>
      </c>
      <c r="H2243" s="2" t="inlineStr">
        <is>
          <t>Haryana</t>
        </is>
      </c>
      <c r="I2243" s="2" t="inlineStr">
        <is>
          <t>Gurugram</t>
        </is>
      </c>
      <c r="J2243" s="2" t="inlineStr">
        <is>
          <t>Online</t>
        </is>
      </c>
      <c r="K2243" s="2" t="n">
        <v>4</v>
      </c>
      <c r="L2243" s="3" t="n">
        <v>1330.69</v>
      </c>
      <c r="M2243" s="4" t="n">
        <v>0.1</v>
      </c>
      <c r="N2243" s="3" t="n">
        <v>3552.76</v>
      </c>
      <c r="O2243" s="3">
        <f>K2243*L2243*(1-M2243)</f>
        <v/>
      </c>
      <c r="P2243" s="3">
        <f>O2243-N2243</f>
        <v/>
      </c>
      <c r="Q2243" s="5">
        <f>IFERROR(P2243/O2243,0)</f>
        <v/>
      </c>
      <c r="R2243" s="2">
        <f>TEXT(DATEVALUE(B2243),"mmm")</f>
        <v/>
      </c>
      <c r="S2243" s="2">
        <f>TEXT(DATEVALUE(B2243),"yyyy-mm")</f>
        <v/>
      </c>
    </row>
    <row r="2244">
      <c r="A2244" s="2" t="inlineStr">
        <is>
          <t>O002342</t>
        </is>
      </c>
      <c r="B2244" s="2" t="inlineStr">
        <is>
          <t>2025-06-10</t>
        </is>
      </c>
      <c r="C2244" s="2" t="inlineStr">
        <is>
          <t>C0263</t>
        </is>
      </c>
      <c r="D2244" s="2" t="inlineStr">
        <is>
          <t>P0031</t>
        </is>
      </c>
      <c r="E2244" s="2" t="inlineStr">
        <is>
          <t>Cricket Bat</t>
        </is>
      </c>
      <c r="F2244" s="2" t="inlineStr">
        <is>
          <t>Sports</t>
        </is>
      </c>
      <c r="G2244" s="2" t="inlineStr">
        <is>
          <t>West</t>
        </is>
      </c>
      <c r="H2244" s="2" t="inlineStr">
        <is>
          <t>Gujarat</t>
        </is>
      </c>
      <c r="I2244" s="2" t="inlineStr">
        <is>
          <t>Surat</t>
        </is>
      </c>
      <c r="J2244" s="2" t="inlineStr">
        <is>
          <t>Online</t>
        </is>
      </c>
      <c r="K2244" s="2" t="n">
        <v>2</v>
      </c>
      <c r="L2244" s="3" t="n">
        <v>1417.71</v>
      </c>
      <c r="M2244" s="4" t="n">
        <v>0.15</v>
      </c>
      <c r="N2244" s="3" t="n">
        <v>1841.26</v>
      </c>
      <c r="O2244" s="3">
        <f>K2244*L2244*(1-M2244)</f>
        <v/>
      </c>
      <c r="P2244" s="3">
        <f>O2244-N2244</f>
        <v/>
      </c>
      <c r="Q2244" s="5">
        <f>IFERROR(P2244/O2244,0)</f>
        <v/>
      </c>
      <c r="R2244" s="2">
        <f>TEXT(DATEVALUE(B2244),"mmm")</f>
        <v/>
      </c>
      <c r="S2244" s="2">
        <f>TEXT(DATEVALUE(B2244),"yyyy-mm")</f>
        <v/>
      </c>
    </row>
    <row r="2245">
      <c r="A2245" s="2" t="inlineStr">
        <is>
          <t>O002234</t>
        </is>
      </c>
      <c r="B2245" s="2" t="inlineStr">
        <is>
          <t>2025-06-10</t>
        </is>
      </c>
      <c r="C2245" s="2" t="inlineStr">
        <is>
          <t>C0181</t>
        </is>
      </c>
      <c r="D2245" s="2" t="inlineStr">
        <is>
          <t>P0016</t>
        </is>
      </c>
      <c r="E2245" s="2" t="inlineStr">
        <is>
          <t>Casual Shirt</t>
        </is>
      </c>
      <c r="F2245" s="2" t="inlineStr">
        <is>
          <t>Fashion</t>
        </is>
      </c>
      <c r="G2245" s="2" t="inlineStr">
        <is>
          <t>East</t>
        </is>
      </c>
      <c r="H2245" s="2" t="inlineStr">
        <is>
          <t>Odisha</t>
        </is>
      </c>
      <c r="I2245" s="2" t="inlineStr">
        <is>
          <t>Bhubaneswar</t>
        </is>
      </c>
      <c r="J2245" s="2" t="inlineStr">
        <is>
          <t>Online</t>
        </is>
      </c>
      <c r="K2245" s="2" t="n">
        <v>1</v>
      </c>
      <c r="L2245" s="3" t="n">
        <v>1253.45</v>
      </c>
      <c r="M2245" s="4" t="n">
        <v>0.1</v>
      </c>
      <c r="N2245" s="3" t="n">
        <v>919.2</v>
      </c>
      <c r="O2245" s="3">
        <f>K2245*L2245*(1-M2245)</f>
        <v/>
      </c>
      <c r="P2245" s="3">
        <f>O2245-N2245</f>
        <v/>
      </c>
      <c r="Q2245" s="5">
        <f>IFERROR(P2245/O2245,0)</f>
        <v/>
      </c>
      <c r="R2245" s="2">
        <f>TEXT(DATEVALUE(B2245),"mmm")</f>
        <v/>
      </c>
      <c r="S2245" s="2">
        <f>TEXT(DATEVALUE(B2245),"yyyy-mm")</f>
        <v/>
      </c>
    </row>
    <row r="2246">
      <c r="A2246" s="2" t="inlineStr">
        <is>
          <t>O001820</t>
        </is>
      </c>
      <c r="B2246" s="2" t="inlineStr">
        <is>
          <t>2025-06-10</t>
        </is>
      </c>
      <c r="C2246" s="2" t="inlineStr">
        <is>
          <t>C0721</t>
        </is>
      </c>
      <c r="D2246" s="2" t="inlineStr">
        <is>
          <t>P0016</t>
        </is>
      </c>
      <c r="E2246" s="2" t="inlineStr">
        <is>
          <t>Casual Shirt</t>
        </is>
      </c>
      <c r="F2246" s="2" t="inlineStr">
        <is>
          <t>Fashion</t>
        </is>
      </c>
      <c r="G2246" s="2" t="inlineStr">
        <is>
          <t>North</t>
        </is>
      </c>
      <c r="H2246" s="2" t="inlineStr">
        <is>
          <t>Haryana</t>
        </is>
      </c>
      <c r="I2246" s="2" t="inlineStr">
        <is>
          <t>Gurugram</t>
        </is>
      </c>
      <c r="J2246" s="2" t="inlineStr">
        <is>
          <t>Online</t>
        </is>
      </c>
      <c r="K2246" s="2" t="n">
        <v>4</v>
      </c>
      <c r="L2246" s="3" t="n">
        <v>1342.24</v>
      </c>
      <c r="M2246" s="4" t="n">
        <v>0.2</v>
      </c>
      <c r="N2246" s="3" t="n">
        <v>3528.76</v>
      </c>
      <c r="O2246" s="3">
        <f>K2246*L2246*(1-M2246)</f>
        <v/>
      </c>
      <c r="P2246" s="3">
        <f>O2246-N2246</f>
        <v/>
      </c>
      <c r="Q2246" s="5">
        <f>IFERROR(P2246/O2246,0)</f>
        <v/>
      </c>
      <c r="R2246" s="2">
        <f>TEXT(DATEVALUE(B2246),"mmm")</f>
        <v/>
      </c>
      <c r="S2246" s="2">
        <f>TEXT(DATEVALUE(B2246),"yyyy-mm")</f>
        <v/>
      </c>
    </row>
    <row r="2247">
      <c r="A2247" s="2" t="inlineStr">
        <is>
          <t>O002018</t>
        </is>
      </c>
      <c r="B2247" s="2" t="inlineStr">
        <is>
          <t>2025-06-10</t>
        </is>
      </c>
      <c r="C2247" s="2" t="inlineStr">
        <is>
          <t>C0407</t>
        </is>
      </c>
      <c r="D2247" s="2" t="inlineStr">
        <is>
          <t>P0018</t>
        </is>
      </c>
      <c r="E2247" s="2" t="inlineStr">
        <is>
          <t>Backpack</t>
        </is>
      </c>
      <c r="F2247" s="2" t="inlineStr">
        <is>
          <t>Fashion</t>
        </is>
      </c>
      <c r="G2247" s="2" t="inlineStr">
        <is>
          <t>North</t>
        </is>
      </c>
      <c r="H2247" s="2" t="inlineStr">
        <is>
          <t>Haryana</t>
        </is>
      </c>
      <c r="I2247" s="2" t="inlineStr">
        <is>
          <t>Gurugram</t>
        </is>
      </c>
      <c r="J2247" s="2" t="inlineStr">
        <is>
          <t>Store</t>
        </is>
      </c>
      <c r="K2247" s="2" t="n">
        <v>4</v>
      </c>
      <c r="L2247" s="3" t="n">
        <v>1884.45</v>
      </c>
      <c r="M2247" s="4" t="n">
        <v>0</v>
      </c>
      <c r="N2247" s="3" t="n">
        <v>5528.98</v>
      </c>
      <c r="O2247" s="3">
        <f>K2247*L2247*(1-M2247)</f>
        <v/>
      </c>
      <c r="P2247" s="3">
        <f>O2247-N2247</f>
        <v/>
      </c>
      <c r="Q2247" s="5">
        <f>IFERROR(P2247/O2247,0)</f>
        <v/>
      </c>
      <c r="R2247" s="2">
        <f>TEXT(DATEVALUE(B2247),"mmm")</f>
        <v/>
      </c>
      <c r="S2247" s="2">
        <f>TEXT(DATEVALUE(B2247),"yyyy-mm")</f>
        <v/>
      </c>
    </row>
    <row r="2248">
      <c r="A2248" s="2" t="inlineStr">
        <is>
          <t>O002084</t>
        </is>
      </c>
      <c r="B2248" s="2" t="inlineStr">
        <is>
          <t>2025-06-10</t>
        </is>
      </c>
      <c r="C2248" s="2" t="inlineStr">
        <is>
          <t>C0445</t>
        </is>
      </c>
      <c r="D2248" s="2" t="inlineStr">
        <is>
          <t>P0031</t>
        </is>
      </c>
      <c r="E2248" s="2" t="inlineStr">
        <is>
          <t>Cricket Bat</t>
        </is>
      </c>
      <c r="F2248" s="2" t="inlineStr">
        <is>
          <t>Sports</t>
        </is>
      </c>
      <c r="G2248" s="2" t="inlineStr">
        <is>
          <t>South</t>
        </is>
      </c>
      <c r="H2248" s="2" t="inlineStr">
        <is>
          <t>Kerala</t>
        </is>
      </c>
      <c r="I2248" s="2" t="inlineStr">
        <is>
          <t>Kochi</t>
        </is>
      </c>
      <c r="J2248" s="2" t="inlineStr">
        <is>
          <t>Store</t>
        </is>
      </c>
      <c r="K2248" s="2" t="n">
        <v>1</v>
      </c>
      <c r="L2248" s="3" t="n">
        <v>1341.39</v>
      </c>
      <c r="M2248" s="4" t="n">
        <v>0.15</v>
      </c>
      <c r="N2248" s="3" t="n">
        <v>934.12</v>
      </c>
      <c r="O2248" s="3">
        <f>K2248*L2248*(1-M2248)</f>
        <v/>
      </c>
      <c r="P2248" s="3">
        <f>O2248-N2248</f>
        <v/>
      </c>
      <c r="Q2248" s="5">
        <f>IFERROR(P2248/O2248,0)</f>
        <v/>
      </c>
      <c r="R2248" s="2">
        <f>TEXT(DATEVALUE(B2248),"mmm")</f>
        <v/>
      </c>
      <c r="S2248" s="2">
        <f>TEXT(DATEVALUE(B2248),"yyyy-mm")</f>
        <v/>
      </c>
    </row>
    <row r="2249">
      <c r="A2249" s="2" t="inlineStr">
        <is>
          <t>O000280</t>
        </is>
      </c>
      <c r="B2249" s="2" t="inlineStr">
        <is>
          <t>2025-06-10</t>
        </is>
      </c>
      <c r="C2249" s="2" t="inlineStr">
        <is>
          <t>C0341</t>
        </is>
      </c>
      <c r="D2249" s="2" t="inlineStr">
        <is>
          <t>P0002</t>
        </is>
      </c>
      <c r="E2249" s="2" t="inlineStr">
        <is>
          <t>Bluetooth Speaker</t>
        </is>
      </c>
      <c r="F2249" s="2" t="inlineStr">
        <is>
          <t>Electronics</t>
        </is>
      </c>
      <c r="G2249" s="2" t="inlineStr">
        <is>
          <t>South</t>
        </is>
      </c>
      <c r="H2249" s="2" t="inlineStr">
        <is>
          <t>Karnataka</t>
        </is>
      </c>
      <c r="I2249" s="2" t="inlineStr">
        <is>
          <t>Bengaluru</t>
        </is>
      </c>
      <c r="J2249" s="2" t="inlineStr">
        <is>
          <t>Store</t>
        </is>
      </c>
      <c r="K2249" s="2" t="n">
        <v>2</v>
      </c>
      <c r="L2249" s="3" t="n">
        <v>1401.2</v>
      </c>
      <c r="M2249" s="4" t="n">
        <v>0.1</v>
      </c>
      <c r="N2249" s="3" t="n">
        <v>1677.08</v>
      </c>
      <c r="O2249" s="3">
        <f>K2249*L2249*(1-M2249)</f>
        <v/>
      </c>
      <c r="P2249" s="3">
        <f>O2249-N2249</f>
        <v/>
      </c>
      <c r="Q2249" s="5">
        <f>IFERROR(P2249/O2249,0)</f>
        <v/>
      </c>
      <c r="R2249" s="2">
        <f>TEXT(DATEVALUE(B2249),"mmm")</f>
        <v/>
      </c>
      <c r="S2249" s="2">
        <f>TEXT(DATEVALUE(B2249),"yyyy-mm")</f>
        <v/>
      </c>
    </row>
    <row r="2250">
      <c r="A2250" s="2" t="inlineStr">
        <is>
          <t>O000298</t>
        </is>
      </c>
      <c r="B2250" s="2" t="inlineStr">
        <is>
          <t>2025-06-10</t>
        </is>
      </c>
      <c r="C2250" s="2" t="inlineStr">
        <is>
          <t>C0187</t>
        </is>
      </c>
      <c r="D2250" s="2" t="inlineStr">
        <is>
          <t>P0012</t>
        </is>
      </c>
      <c r="E2250" s="2" t="inlineStr">
        <is>
          <t>Water Bottle</t>
        </is>
      </c>
      <c r="F2250" s="2" t="inlineStr">
        <is>
          <t>Home &amp; Kitchen</t>
        </is>
      </c>
      <c r="G2250" s="2" t="inlineStr">
        <is>
          <t>East</t>
        </is>
      </c>
      <c r="H2250" s="2" t="inlineStr">
        <is>
          <t>Odisha</t>
        </is>
      </c>
      <c r="I2250" s="2" t="inlineStr">
        <is>
          <t>Cuttack</t>
        </is>
      </c>
      <c r="J2250" s="2" t="inlineStr">
        <is>
          <t>Store</t>
        </is>
      </c>
      <c r="K2250" s="2" t="n">
        <v>1</v>
      </c>
      <c r="L2250" s="3" t="n">
        <v>971.03</v>
      </c>
      <c r="M2250" s="4" t="n">
        <v>0.1</v>
      </c>
      <c r="N2250" s="3" t="n">
        <v>637.03</v>
      </c>
      <c r="O2250" s="3">
        <f>K2250*L2250*(1-M2250)</f>
        <v/>
      </c>
      <c r="P2250" s="3">
        <f>O2250-N2250</f>
        <v/>
      </c>
      <c r="Q2250" s="5">
        <f>IFERROR(P2250/O2250,0)</f>
        <v/>
      </c>
      <c r="R2250" s="2">
        <f>TEXT(DATEVALUE(B2250),"mmm")</f>
        <v/>
      </c>
      <c r="S2250" s="2">
        <f>TEXT(DATEVALUE(B2250),"yyyy-mm")</f>
        <v/>
      </c>
    </row>
    <row r="2251">
      <c r="A2251" s="2" t="inlineStr">
        <is>
          <t>O000349</t>
        </is>
      </c>
      <c r="B2251" s="2" t="inlineStr">
        <is>
          <t>2025-06-10</t>
        </is>
      </c>
      <c r="C2251" s="2" t="inlineStr">
        <is>
          <t>C0416</t>
        </is>
      </c>
      <c r="D2251" s="2" t="inlineStr">
        <is>
          <t>P0016</t>
        </is>
      </c>
      <c r="E2251" s="2" t="inlineStr">
        <is>
          <t>Casual Shirt</t>
        </is>
      </c>
      <c r="F2251" s="2" t="inlineStr">
        <is>
          <t>Fashion</t>
        </is>
      </c>
      <c r="G2251" s="2" t="inlineStr">
        <is>
          <t>West</t>
        </is>
      </c>
      <c r="H2251" s="2" t="inlineStr">
        <is>
          <t>Maharashtra</t>
        </is>
      </c>
      <c r="I2251" s="2" t="inlineStr">
        <is>
          <t>Mumbai</t>
        </is>
      </c>
      <c r="J2251" s="2" t="inlineStr">
        <is>
          <t>Online</t>
        </is>
      </c>
      <c r="K2251" s="2" t="n">
        <v>1</v>
      </c>
      <c r="L2251" s="3" t="n">
        <v>1337.3</v>
      </c>
      <c r="M2251" s="4" t="n">
        <v>0</v>
      </c>
      <c r="N2251" s="3" t="n">
        <v>925.26</v>
      </c>
      <c r="O2251" s="3">
        <f>K2251*L2251*(1-M2251)</f>
        <v/>
      </c>
      <c r="P2251" s="3">
        <f>O2251-N2251</f>
        <v/>
      </c>
      <c r="Q2251" s="5">
        <f>IFERROR(P2251/O2251,0)</f>
        <v/>
      </c>
      <c r="R2251" s="2">
        <f>TEXT(DATEVALUE(B2251),"mmm")</f>
        <v/>
      </c>
      <c r="S2251" s="2">
        <f>TEXT(DATEVALUE(B2251),"yyyy-mm")</f>
        <v/>
      </c>
    </row>
    <row r="2252">
      <c r="A2252" s="2" t="inlineStr">
        <is>
          <t>O000024</t>
        </is>
      </c>
      <c r="B2252" s="2" t="inlineStr">
        <is>
          <t>2025-06-10</t>
        </is>
      </c>
      <c r="C2252" s="2" t="inlineStr">
        <is>
          <t>C0478</t>
        </is>
      </c>
      <c r="D2252" s="2" t="inlineStr">
        <is>
          <t>P0014</t>
        </is>
      </c>
      <c r="E2252" s="2" t="inlineStr">
        <is>
          <t>Coffee Maker</t>
        </is>
      </c>
      <c r="F2252" s="2" t="inlineStr">
        <is>
          <t>Home &amp; Kitchen</t>
        </is>
      </c>
      <c r="G2252" s="2" t="inlineStr">
        <is>
          <t>South</t>
        </is>
      </c>
      <c r="H2252" s="2" t="inlineStr">
        <is>
          <t>Karnataka</t>
        </is>
      </c>
      <c r="I2252" s="2" t="inlineStr">
        <is>
          <t>Mysuru</t>
        </is>
      </c>
      <c r="J2252" s="2" t="inlineStr">
        <is>
          <t>Store</t>
        </is>
      </c>
      <c r="K2252" s="2" t="n">
        <v>2</v>
      </c>
      <c r="L2252" s="3" t="n">
        <v>1075.95</v>
      </c>
      <c r="M2252" s="4" t="n">
        <v>0.15</v>
      </c>
      <c r="N2252" s="3" t="n">
        <v>1488.56</v>
      </c>
      <c r="O2252" s="3">
        <f>K2252*L2252*(1-M2252)</f>
        <v/>
      </c>
      <c r="P2252" s="3">
        <f>O2252-N2252</f>
        <v/>
      </c>
      <c r="Q2252" s="5">
        <f>IFERROR(P2252/O2252,0)</f>
        <v/>
      </c>
      <c r="R2252" s="2">
        <f>TEXT(DATEVALUE(B2252),"mmm")</f>
        <v/>
      </c>
      <c r="S2252" s="2">
        <f>TEXT(DATEVALUE(B2252),"yyyy-mm")</f>
        <v/>
      </c>
    </row>
    <row r="2253">
      <c r="A2253" s="2" t="inlineStr">
        <is>
          <t>O001195</t>
        </is>
      </c>
      <c r="B2253" s="2" t="inlineStr">
        <is>
          <t>2025-06-10</t>
        </is>
      </c>
      <c r="C2253" s="2" t="inlineStr">
        <is>
          <t>C0393</t>
        </is>
      </c>
      <c r="D2253" s="2" t="inlineStr">
        <is>
          <t>P0032</t>
        </is>
      </c>
      <c r="E2253" s="2" t="inlineStr">
        <is>
          <t>Football</t>
        </is>
      </c>
      <c r="F2253" s="2" t="inlineStr">
        <is>
          <t>Sports</t>
        </is>
      </c>
      <c r="G2253" s="2" t="inlineStr">
        <is>
          <t>East</t>
        </is>
      </c>
      <c r="H2253" s="2" t="inlineStr">
        <is>
          <t>Odisha</t>
        </is>
      </c>
      <c r="I2253" s="2" t="inlineStr">
        <is>
          <t>Bhubaneswar</t>
        </is>
      </c>
      <c r="J2253" s="2" t="inlineStr">
        <is>
          <t>Online</t>
        </is>
      </c>
      <c r="K2253" s="2" t="n">
        <v>1</v>
      </c>
      <c r="L2253" s="3" t="n">
        <v>807.9299999999999</v>
      </c>
      <c r="M2253" s="4" t="n">
        <v>0.1</v>
      </c>
      <c r="N2253" s="3" t="n">
        <v>548.1</v>
      </c>
      <c r="O2253" s="3">
        <f>K2253*L2253*(1-M2253)</f>
        <v/>
      </c>
      <c r="P2253" s="3">
        <f>O2253-N2253</f>
        <v/>
      </c>
      <c r="Q2253" s="5">
        <f>IFERROR(P2253/O2253,0)</f>
        <v/>
      </c>
      <c r="R2253" s="2">
        <f>TEXT(DATEVALUE(B2253),"mmm")</f>
        <v/>
      </c>
      <c r="S2253" s="2">
        <f>TEXT(DATEVALUE(B2253),"yyyy-mm")</f>
        <v/>
      </c>
    </row>
    <row r="2254">
      <c r="A2254" s="2" t="inlineStr">
        <is>
          <t>O001281</t>
        </is>
      </c>
      <c r="B2254" s="2" t="inlineStr">
        <is>
          <t>2025-06-10</t>
        </is>
      </c>
      <c r="C2254" s="2" t="inlineStr">
        <is>
          <t>C0461</t>
        </is>
      </c>
      <c r="D2254" s="2" t="inlineStr">
        <is>
          <t>P0015</t>
        </is>
      </c>
      <c r="E2254" s="2" t="inlineStr">
        <is>
          <t>Running Shoes</t>
        </is>
      </c>
      <c r="F2254" s="2" t="inlineStr">
        <is>
          <t>Fashion</t>
        </is>
      </c>
      <c r="G2254" s="2" t="inlineStr">
        <is>
          <t>North</t>
        </is>
      </c>
      <c r="H2254" s="2" t="inlineStr">
        <is>
          <t>Punjab</t>
        </is>
      </c>
      <c r="I2254" s="2" t="inlineStr">
        <is>
          <t>Jalandhar</t>
        </is>
      </c>
      <c r="J2254" s="2" t="inlineStr">
        <is>
          <t>Store</t>
        </is>
      </c>
      <c r="K2254" s="2" t="n">
        <v>4</v>
      </c>
      <c r="L2254" s="3" t="n">
        <v>596.2</v>
      </c>
      <c r="M2254" s="4" t="n">
        <v>0.15</v>
      </c>
      <c r="N2254" s="3" t="n">
        <v>1467.35</v>
      </c>
      <c r="O2254" s="3">
        <f>K2254*L2254*(1-M2254)</f>
        <v/>
      </c>
      <c r="P2254" s="3">
        <f>O2254-N2254</f>
        <v/>
      </c>
      <c r="Q2254" s="5">
        <f>IFERROR(P2254/O2254,0)</f>
        <v/>
      </c>
      <c r="R2254" s="2">
        <f>TEXT(DATEVALUE(B2254),"mmm")</f>
        <v/>
      </c>
      <c r="S2254" s="2">
        <f>TEXT(DATEVALUE(B2254),"yyyy-mm")</f>
        <v/>
      </c>
    </row>
    <row r="2255">
      <c r="A2255" s="2" t="inlineStr">
        <is>
          <t>O001490</t>
        </is>
      </c>
      <c r="B2255" s="2" t="inlineStr">
        <is>
          <t>2025-06-10</t>
        </is>
      </c>
      <c r="C2255" s="2" t="inlineStr">
        <is>
          <t>C0531</t>
        </is>
      </c>
      <c r="D2255" s="2" t="inlineStr">
        <is>
          <t>P0012</t>
        </is>
      </c>
      <c r="E2255" s="2" t="inlineStr">
        <is>
          <t>Water Bottle</t>
        </is>
      </c>
      <c r="F2255" s="2" t="inlineStr">
        <is>
          <t>Home &amp; Kitchen</t>
        </is>
      </c>
      <c r="G2255" s="2" t="inlineStr">
        <is>
          <t>West</t>
        </is>
      </c>
      <c r="H2255" s="2" t="inlineStr">
        <is>
          <t>Maharashtra</t>
        </is>
      </c>
      <c r="I2255" s="2" t="inlineStr">
        <is>
          <t>Pune</t>
        </is>
      </c>
      <c r="J2255" s="2" t="inlineStr">
        <is>
          <t>Store</t>
        </is>
      </c>
      <c r="K2255" s="2" t="n">
        <v>2</v>
      </c>
      <c r="L2255" s="3" t="n">
        <v>965.78</v>
      </c>
      <c r="M2255" s="4" t="n">
        <v>0.05</v>
      </c>
      <c r="N2255" s="3" t="n">
        <v>1247.07</v>
      </c>
      <c r="O2255" s="3">
        <f>K2255*L2255*(1-M2255)</f>
        <v/>
      </c>
      <c r="P2255" s="3">
        <f>O2255-N2255</f>
        <v/>
      </c>
      <c r="Q2255" s="5">
        <f>IFERROR(P2255/O2255,0)</f>
        <v/>
      </c>
      <c r="R2255" s="2">
        <f>TEXT(DATEVALUE(B2255),"mmm")</f>
        <v/>
      </c>
      <c r="S2255" s="2">
        <f>TEXT(DATEVALUE(B2255),"yyyy-mm")</f>
        <v/>
      </c>
    </row>
    <row r="2256">
      <c r="A2256" s="2" t="inlineStr">
        <is>
          <t>O001002</t>
        </is>
      </c>
      <c r="B2256" s="2" t="inlineStr">
        <is>
          <t>2025-06-10</t>
        </is>
      </c>
      <c r="C2256" s="2" t="inlineStr">
        <is>
          <t>C0004</t>
        </is>
      </c>
      <c r="D2256" s="2" t="inlineStr">
        <is>
          <t>P0008</t>
        </is>
      </c>
      <c r="E2256" s="2" t="inlineStr">
        <is>
          <t>Air Fryer</t>
        </is>
      </c>
      <c r="F2256" s="2" t="inlineStr">
        <is>
          <t>Home &amp; Kitchen</t>
        </is>
      </c>
      <c r="G2256" s="2" t="inlineStr">
        <is>
          <t>North</t>
        </is>
      </c>
      <c r="H2256" s="2" t="inlineStr">
        <is>
          <t>Delhi</t>
        </is>
      </c>
      <c r="I2256" s="2" t="inlineStr">
        <is>
          <t>New Delhi</t>
        </is>
      </c>
      <c r="J2256" s="2" t="inlineStr">
        <is>
          <t>Online</t>
        </is>
      </c>
      <c r="K2256" s="2" t="n">
        <v>2</v>
      </c>
      <c r="L2256" s="3" t="n">
        <v>1049.5</v>
      </c>
      <c r="M2256" s="4" t="n">
        <v>0.05</v>
      </c>
      <c r="N2256" s="3" t="n">
        <v>1334.97</v>
      </c>
      <c r="O2256" s="3">
        <f>K2256*L2256*(1-M2256)</f>
        <v/>
      </c>
      <c r="P2256" s="3">
        <f>O2256-N2256</f>
        <v/>
      </c>
      <c r="Q2256" s="5">
        <f>IFERROR(P2256/O2256,0)</f>
        <v/>
      </c>
      <c r="R2256" s="2">
        <f>TEXT(DATEVALUE(B2256),"mmm")</f>
        <v/>
      </c>
      <c r="S2256" s="2">
        <f>TEXT(DATEVALUE(B2256),"yyyy-mm")</f>
        <v/>
      </c>
    </row>
    <row r="2257">
      <c r="A2257" s="2" t="inlineStr">
        <is>
          <t>O003702</t>
        </is>
      </c>
      <c r="B2257" s="2" t="inlineStr">
        <is>
          <t>2025-06-11</t>
        </is>
      </c>
      <c r="C2257" s="2" t="inlineStr">
        <is>
          <t>C0201</t>
        </is>
      </c>
      <c r="D2257" s="2" t="inlineStr">
        <is>
          <t>P0015</t>
        </is>
      </c>
      <c r="E2257" s="2" t="inlineStr">
        <is>
          <t>Running Shoes</t>
        </is>
      </c>
      <c r="F2257" s="2" t="inlineStr">
        <is>
          <t>Fashion</t>
        </is>
      </c>
      <c r="G2257" s="2" t="inlineStr">
        <is>
          <t>South</t>
        </is>
      </c>
      <c r="H2257" s="2" t="inlineStr">
        <is>
          <t>Kerala</t>
        </is>
      </c>
      <c r="I2257" s="2" t="inlineStr">
        <is>
          <t>Kochi</t>
        </is>
      </c>
      <c r="J2257" s="2" t="inlineStr">
        <is>
          <t>Online</t>
        </is>
      </c>
      <c r="K2257" s="2" t="n">
        <v>2</v>
      </c>
      <c r="L2257" s="3" t="n">
        <v>620.65</v>
      </c>
      <c r="M2257" s="4" t="n">
        <v>0.05</v>
      </c>
      <c r="N2257" s="3" t="n">
        <v>752.09</v>
      </c>
      <c r="O2257" s="3">
        <f>K2257*L2257*(1-M2257)</f>
        <v/>
      </c>
      <c r="P2257" s="3">
        <f>O2257-N2257</f>
        <v/>
      </c>
      <c r="Q2257" s="5">
        <f>IFERROR(P2257/O2257,0)</f>
        <v/>
      </c>
      <c r="R2257" s="2">
        <f>TEXT(DATEVALUE(B2257),"mmm")</f>
        <v/>
      </c>
      <c r="S2257" s="2">
        <f>TEXT(DATEVALUE(B2257),"yyyy-mm")</f>
        <v/>
      </c>
    </row>
    <row r="2258">
      <c r="A2258" s="2" t="inlineStr">
        <is>
          <t>O004574</t>
        </is>
      </c>
      <c r="B2258" s="2" t="inlineStr">
        <is>
          <t>2025-06-11</t>
        </is>
      </c>
      <c r="C2258" s="2" t="inlineStr">
        <is>
          <t>C0394</t>
        </is>
      </c>
      <c r="D2258" s="2" t="inlineStr">
        <is>
          <t>P0022</t>
        </is>
      </c>
      <c r="E2258" s="2" t="inlineStr">
        <is>
          <t>Face Wash</t>
        </is>
      </c>
      <c r="F2258" s="2" t="inlineStr">
        <is>
          <t>Beauty</t>
        </is>
      </c>
      <c r="G2258" s="2" t="inlineStr">
        <is>
          <t>North</t>
        </is>
      </c>
      <c r="H2258" s="2" t="inlineStr">
        <is>
          <t>Uttar Pradesh</t>
        </is>
      </c>
      <c r="I2258" s="2" t="inlineStr">
        <is>
          <t>Noida</t>
        </is>
      </c>
      <c r="J2258" s="2" t="inlineStr">
        <is>
          <t>Online</t>
        </is>
      </c>
      <c r="K2258" s="2" t="n">
        <v>4</v>
      </c>
      <c r="L2258" s="3" t="n">
        <v>564.08</v>
      </c>
      <c r="M2258" s="4" t="n">
        <v>0</v>
      </c>
      <c r="N2258" s="3" t="n">
        <v>1405.88</v>
      </c>
      <c r="O2258" s="3">
        <f>K2258*L2258*(1-M2258)</f>
        <v/>
      </c>
      <c r="P2258" s="3">
        <f>O2258-N2258</f>
        <v/>
      </c>
      <c r="Q2258" s="5">
        <f>IFERROR(P2258/O2258,0)</f>
        <v/>
      </c>
      <c r="R2258" s="2">
        <f>TEXT(DATEVALUE(B2258),"mmm")</f>
        <v/>
      </c>
      <c r="S2258" s="2">
        <f>TEXT(DATEVALUE(B2258),"yyyy-mm")</f>
        <v/>
      </c>
    </row>
    <row r="2259">
      <c r="A2259" s="2" t="inlineStr">
        <is>
          <t>O004228</t>
        </is>
      </c>
      <c r="B2259" s="2" t="inlineStr">
        <is>
          <t>2025-06-11</t>
        </is>
      </c>
      <c r="C2259" s="2" t="inlineStr">
        <is>
          <t>C0637</t>
        </is>
      </c>
      <c r="D2259" s="2" t="inlineStr">
        <is>
          <t>P0030</t>
        </is>
      </c>
      <c r="E2259" s="2" t="inlineStr">
        <is>
          <t>Dumbbells</t>
        </is>
      </c>
      <c r="F2259" s="2" t="inlineStr">
        <is>
          <t>Sports</t>
        </is>
      </c>
      <c r="G2259" s="2" t="inlineStr">
        <is>
          <t>West</t>
        </is>
      </c>
      <c r="H2259" s="2" t="inlineStr">
        <is>
          <t>Maharashtra</t>
        </is>
      </c>
      <c r="I2259" s="2" t="inlineStr">
        <is>
          <t>Pune</t>
        </is>
      </c>
      <c r="J2259" s="2" t="inlineStr">
        <is>
          <t>Store</t>
        </is>
      </c>
      <c r="K2259" s="2" t="n">
        <v>2</v>
      </c>
      <c r="L2259" s="3" t="n">
        <v>1562.1</v>
      </c>
      <c r="M2259" s="4" t="n">
        <v>0.15</v>
      </c>
      <c r="N2259" s="3" t="n">
        <v>2065.69</v>
      </c>
      <c r="O2259" s="3">
        <f>K2259*L2259*(1-M2259)</f>
        <v/>
      </c>
      <c r="P2259" s="3">
        <f>O2259-N2259</f>
        <v/>
      </c>
      <c r="Q2259" s="5">
        <f>IFERROR(P2259/O2259,0)</f>
        <v/>
      </c>
      <c r="R2259" s="2">
        <f>TEXT(DATEVALUE(B2259),"mmm")</f>
        <v/>
      </c>
      <c r="S2259" s="2">
        <f>TEXT(DATEVALUE(B2259),"yyyy-mm")</f>
        <v/>
      </c>
    </row>
    <row r="2260">
      <c r="A2260" s="2" t="inlineStr">
        <is>
          <t>O004164</t>
        </is>
      </c>
      <c r="B2260" s="2" t="inlineStr">
        <is>
          <t>2025-06-11</t>
        </is>
      </c>
      <c r="C2260" s="2" t="inlineStr">
        <is>
          <t>C0471</t>
        </is>
      </c>
      <c r="D2260" s="2" t="inlineStr">
        <is>
          <t>P0002</t>
        </is>
      </c>
      <c r="E2260" s="2" t="inlineStr">
        <is>
          <t>Bluetooth Speaker</t>
        </is>
      </c>
      <c r="F2260" s="2" t="inlineStr">
        <is>
          <t>Electronics</t>
        </is>
      </c>
      <c r="G2260" s="2" t="inlineStr">
        <is>
          <t>South</t>
        </is>
      </c>
      <c r="H2260" s="2" t="inlineStr">
        <is>
          <t>Kerala</t>
        </is>
      </c>
      <c r="I2260" s="2" t="inlineStr">
        <is>
          <t>Kochi</t>
        </is>
      </c>
      <c r="J2260" s="2" t="inlineStr">
        <is>
          <t>Store</t>
        </is>
      </c>
      <c r="K2260" s="2" t="n">
        <v>3</v>
      </c>
      <c r="L2260" s="3" t="n">
        <v>1341.59</v>
      </c>
      <c r="M2260" s="4" t="n">
        <v>0.15</v>
      </c>
      <c r="N2260" s="3" t="n">
        <v>2482.47</v>
      </c>
      <c r="O2260" s="3">
        <f>K2260*L2260*(1-M2260)</f>
        <v/>
      </c>
      <c r="P2260" s="3">
        <f>O2260-N2260</f>
        <v/>
      </c>
      <c r="Q2260" s="5">
        <f>IFERROR(P2260/O2260,0)</f>
        <v/>
      </c>
      <c r="R2260" s="2">
        <f>TEXT(DATEVALUE(B2260),"mmm")</f>
        <v/>
      </c>
      <c r="S2260" s="2">
        <f>TEXT(DATEVALUE(B2260),"yyyy-mm")</f>
        <v/>
      </c>
    </row>
    <row r="2261">
      <c r="A2261" s="2" t="inlineStr">
        <is>
          <t>O003831</t>
        </is>
      </c>
      <c r="B2261" s="2" t="inlineStr">
        <is>
          <t>2025-06-11</t>
        </is>
      </c>
      <c r="C2261" s="2" t="inlineStr">
        <is>
          <t>C0456</t>
        </is>
      </c>
      <c r="D2261" s="2" t="inlineStr">
        <is>
          <t>P0022</t>
        </is>
      </c>
      <c r="E2261" s="2" t="inlineStr">
        <is>
          <t>Face Wash</t>
        </is>
      </c>
      <c r="F2261" s="2" t="inlineStr">
        <is>
          <t>Beauty</t>
        </is>
      </c>
      <c r="G2261" s="2" t="inlineStr">
        <is>
          <t>West</t>
        </is>
      </c>
      <c r="H2261" s="2" t="inlineStr">
        <is>
          <t>Gujarat</t>
        </is>
      </c>
      <c r="I2261" s="2" t="inlineStr">
        <is>
          <t>Surat</t>
        </is>
      </c>
      <c r="J2261" s="2" t="inlineStr">
        <is>
          <t>Online</t>
        </is>
      </c>
      <c r="K2261" s="2" t="n">
        <v>1</v>
      </c>
      <c r="L2261" s="3" t="n">
        <v>560.48</v>
      </c>
      <c r="M2261" s="4" t="n">
        <v>0.1</v>
      </c>
      <c r="N2261" s="3" t="n">
        <v>351.18</v>
      </c>
      <c r="O2261" s="3">
        <f>K2261*L2261*(1-M2261)</f>
        <v/>
      </c>
      <c r="P2261" s="3">
        <f>O2261-N2261</f>
        <v/>
      </c>
      <c r="Q2261" s="5">
        <f>IFERROR(P2261/O2261,0)</f>
        <v/>
      </c>
      <c r="R2261" s="2">
        <f>TEXT(DATEVALUE(B2261),"mmm")</f>
        <v/>
      </c>
      <c r="S2261" s="2">
        <f>TEXT(DATEVALUE(B2261),"yyyy-mm")</f>
        <v/>
      </c>
    </row>
    <row r="2262">
      <c r="A2262" s="2" t="inlineStr">
        <is>
          <t>O003764</t>
        </is>
      </c>
      <c r="B2262" s="2" t="inlineStr">
        <is>
          <t>2025-06-11</t>
        </is>
      </c>
      <c r="C2262" s="2" t="inlineStr">
        <is>
          <t>C0216</t>
        </is>
      </c>
      <c r="D2262" s="2" t="inlineStr">
        <is>
          <t>P0019</t>
        </is>
      </c>
      <c r="E2262" s="2" t="inlineStr">
        <is>
          <t>Jacket</t>
        </is>
      </c>
      <c r="F2262" s="2" t="inlineStr">
        <is>
          <t>Fashion</t>
        </is>
      </c>
      <c r="G2262" s="2" t="inlineStr">
        <is>
          <t>East</t>
        </is>
      </c>
      <c r="H2262" s="2" t="inlineStr">
        <is>
          <t>West Bengal</t>
        </is>
      </c>
      <c r="I2262" s="2" t="inlineStr">
        <is>
          <t>Kolkata</t>
        </is>
      </c>
      <c r="J2262" s="2" t="inlineStr">
        <is>
          <t>Store</t>
        </is>
      </c>
      <c r="K2262" s="2" t="n">
        <v>4</v>
      </c>
      <c r="L2262" s="3" t="n">
        <v>997.26</v>
      </c>
      <c r="M2262" s="4" t="n">
        <v>0.1</v>
      </c>
      <c r="N2262" s="3" t="n">
        <v>2687.89</v>
      </c>
      <c r="O2262" s="3">
        <f>K2262*L2262*(1-M2262)</f>
        <v/>
      </c>
      <c r="P2262" s="3">
        <f>O2262-N2262</f>
        <v/>
      </c>
      <c r="Q2262" s="5">
        <f>IFERROR(P2262/O2262,0)</f>
        <v/>
      </c>
      <c r="R2262" s="2">
        <f>TEXT(DATEVALUE(B2262),"mmm")</f>
        <v/>
      </c>
      <c r="S2262" s="2">
        <f>TEXT(DATEVALUE(B2262),"yyyy-mm")</f>
        <v/>
      </c>
    </row>
    <row r="2263">
      <c r="A2263" s="2" t="inlineStr">
        <is>
          <t>O003616</t>
        </is>
      </c>
      <c r="B2263" s="2" t="inlineStr">
        <is>
          <t>2025-06-11</t>
        </is>
      </c>
      <c r="C2263" s="2" t="inlineStr">
        <is>
          <t>C0547</t>
        </is>
      </c>
      <c r="D2263" s="2" t="inlineStr">
        <is>
          <t>P0007</t>
        </is>
      </c>
      <c r="E2263" s="2" t="inlineStr">
        <is>
          <t>Wireless Mouse</t>
        </is>
      </c>
      <c r="F2263" s="2" t="inlineStr">
        <is>
          <t>Electronics</t>
        </is>
      </c>
      <c r="G2263" s="2" t="inlineStr">
        <is>
          <t>North</t>
        </is>
      </c>
      <c r="H2263" s="2" t="inlineStr">
        <is>
          <t>Delhi</t>
        </is>
      </c>
      <c r="I2263" s="2" t="inlineStr">
        <is>
          <t>New Delhi</t>
        </is>
      </c>
      <c r="J2263" s="2" t="inlineStr">
        <is>
          <t>Online</t>
        </is>
      </c>
      <c r="K2263" s="2" t="n">
        <v>2</v>
      </c>
      <c r="L2263" s="3" t="n">
        <v>1003.83</v>
      </c>
      <c r="M2263" s="4" t="n">
        <v>0.05</v>
      </c>
      <c r="N2263" s="3" t="n">
        <v>1251.32</v>
      </c>
      <c r="O2263" s="3">
        <f>K2263*L2263*(1-M2263)</f>
        <v/>
      </c>
      <c r="P2263" s="3">
        <f>O2263-N2263</f>
        <v/>
      </c>
      <c r="Q2263" s="5">
        <f>IFERROR(P2263/O2263,0)</f>
        <v/>
      </c>
      <c r="R2263" s="2">
        <f>TEXT(DATEVALUE(B2263),"mmm")</f>
        <v/>
      </c>
      <c r="S2263" s="2">
        <f>TEXT(DATEVALUE(B2263),"yyyy-mm")</f>
        <v/>
      </c>
    </row>
    <row r="2264">
      <c r="A2264" s="2" t="inlineStr">
        <is>
          <t>O001750</t>
        </is>
      </c>
      <c r="B2264" s="2" t="inlineStr">
        <is>
          <t>2025-06-11</t>
        </is>
      </c>
      <c r="C2264" s="2" t="inlineStr">
        <is>
          <t>C0498</t>
        </is>
      </c>
      <c r="D2264" s="2" t="inlineStr">
        <is>
          <t>P0012</t>
        </is>
      </c>
      <c r="E2264" s="2" t="inlineStr">
        <is>
          <t>Water Bottle</t>
        </is>
      </c>
      <c r="F2264" s="2" t="inlineStr">
        <is>
          <t>Home &amp; Kitchen</t>
        </is>
      </c>
      <c r="G2264" s="2" t="inlineStr">
        <is>
          <t>South</t>
        </is>
      </c>
      <c r="H2264" s="2" t="inlineStr">
        <is>
          <t>Telangana</t>
        </is>
      </c>
      <c r="I2264" s="2" t="inlineStr">
        <is>
          <t>Hyderabad</t>
        </is>
      </c>
      <c r="J2264" s="2" t="inlineStr">
        <is>
          <t>Online</t>
        </is>
      </c>
      <c r="K2264" s="2" t="n">
        <v>2</v>
      </c>
      <c r="L2264" s="3" t="n">
        <v>994.51</v>
      </c>
      <c r="M2264" s="4" t="n">
        <v>0.1</v>
      </c>
      <c r="N2264" s="3" t="n">
        <v>1252.61</v>
      </c>
      <c r="O2264" s="3">
        <f>K2264*L2264*(1-M2264)</f>
        <v/>
      </c>
      <c r="P2264" s="3">
        <f>O2264-N2264</f>
        <v/>
      </c>
      <c r="Q2264" s="5">
        <f>IFERROR(P2264/O2264,0)</f>
        <v/>
      </c>
      <c r="R2264" s="2">
        <f>TEXT(DATEVALUE(B2264),"mmm")</f>
        <v/>
      </c>
      <c r="S2264" s="2">
        <f>TEXT(DATEVALUE(B2264),"yyyy-mm")</f>
        <v/>
      </c>
    </row>
    <row r="2265">
      <c r="A2265" s="2" t="inlineStr">
        <is>
          <t>O003211</t>
        </is>
      </c>
      <c r="B2265" s="2" t="inlineStr">
        <is>
          <t>2025-06-11</t>
        </is>
      </c>
      <c r="C2265" s="2" t="inlineStr">
        <is>
          <t>C0310</t>
        </is>
      </c>
      <c r="D2265" s="2" t="inlineStr">
        <is>
          <t>P0021</t>
        </is>
      </c>
      <c r="E2265" s="2" t="inlineStr">
        <is>
          <t>Wallet</t>
        </is>
      </c>
      <c r="F2265" s="2" t="inlineStr">
        <is>
          <t>Fashion</t>
        </is>
      </c>
      <c r="G2265" s="2" t="inlineStr">
        <is>
          <t>North</t>
        </is>
      </c>
      <c r="H2265" s="2" t="inlineStr">
        <is>
          <t>Delhi</t>
        </is>
      </c>
      <c r="I2265" s="2" t="inlineStr">
        <is>
          <t>New Delhi</t>
        </is>
      </c>
      <c r="J2265" s="2" t="inlineStr">
        <is>
          <t>Online</t>
        </is>
      </c>
      <c r="K2265" s="2" t="n">
        <v>3</v>
      </c>
      <c r="L2265" s="3" t="n">
        <v>1972.04</v>
      </c>
      <c r="M2265" s="4" t="n">
        <v>0.1</v>
      </c>
      <c r="N2265" s="3" t="n">
        <v>3568.02</v>
      </c>
      <c r="O2265" s="3">
        <f>K2265*L2265*(1-M2265)</f>
        <v/>
      </c>
      <c r="P2265" s="3">
        <f>O2265-N2265</f>
        <v/>
      </c>
      <c r="Q2265" s="5">
        <f>IFERROR(P2265/O2265,0)</f>
        <v/>
      </c>
      <c r="R2265" s="2">
        <f>TEXT(DATEVALUE(B2265),"mmm")</f>
        <v/>
      </c>
      <c r="S2265" s="2">
        <f>TEXT(DATEVALUE(B2265),"yyyy-mm")</f>
        <v/>
      </c>
    </row>
    <row r="2266">
      <c r="A2266" s="2" t="inlineStr">
        <is>
          <t>O003009</t>
        </is>
      </c>
      <c r="B2266" s="2" t="inlineStr">
        <is>
          <t>2025-06-11</t>
        </is>
      </c>
      <c r="C2266" s="2" t="inlineStr">
        <is>
          <t>C0569</t>
        </is>
      </c>
      <c r="D2266" s="2" t="inlineStr">
        <is>
          <t>P0008</t>
        </is>
      </c>
      <c r="E2266" s="2" t="inlineStr">
        <is>
          <t>Air Fryer</t>
        </is>
      </c>
      <c r="F2266" s="2" t="inlineStr">
        <is>
          <t>Home &amp; Kitchen</t>
        </is>
      </c>
      <c r="G2266" s="2" t="inlineStr">
        <is>
          <t>East</t>
        </is>
      </c>
      <c r="H2266" s="2" t="inlineStr">
        <is>
          <t>West Bengal</t>
        </is>
      </c>
      <c r="I2266" s="2" t="inlineStr">
        <is>
          <t>Durgapur</t>
        </is>
      </c>
      <c r="J2266" s="2" t="inlineStr">
        <is>
          <t>Online</t>
        </is>
      </c>
      <c r="K2266" s="2" t="n">
        <v>1</v>
      </c>
      <c r="L2266" s="3" t="n">
        <v>1064.04</v>
      </c>
      <c r="M2266" s="4" t="n">
        <v>0.05</v>
      </c>
      <c r="N2266" s="3" t="n">
        <v>666.0599999999999</v>
      </c>
      <c r="O2266" s="3">
        <f>K2266*L2266*(1-M2266)</f>
        <v/>
      </c>
      <c r="P2266" s="3">
        <f>O2266-N2266</f>
        <v/>
      </c>
      <c r="Q2266" s="5">
        <f>IFERROR(P2266/O2266,0)</f>
        <v/>
      </c>
      <c r="R2266" s="2">
        <f>TEXT(DATEVALUE(B2266),"mmm")</f>
        <v/>
      </c>
      <c r="S2266" s="2">
        <f>TEXT(DATEVALUE(B2266),"yyyy-mm")</f>
        <v/>
      </c>
    </row>
    <row r="2267">
      <c r="A2267" s="2" t="inlineStr">
        <is>
          <t>O002740</t>
        </is>
      </c>
      <c r="B2267" s="2" t="inlineStr">
        <is>
          <t>2025-06-11</t>
        </is>
      </c>
      <c r="C2267" s="2" t="inlineStr">
        <is>
          <t>C0516</t>
        </is>
      </c>
      <c r="D2267" s="2" t="inlineStr">
        <is>
          <t>P0021</t>
        </is>
      </c>
      <c r="E2267" s="2" t="inlineStr">
        <is>
          <t>Wallet</t>
        </is>
      </c>
      <c r="F2267" s="2" t="inlineStr">
        <is>
          <t>Fashion</t>
        </is>
      </c>
      <c r="G2267" s="2" t="inlineStr">
        <is>
          <t>North</t>
        </is>
      </c>
      <c r="H2267" s="2" t="inlineStr">
        <is>
          <t>Uttar Pradesh</t>
        </is>
      </c>
      <c r="I2267" s="2" t="inlineStr">
        <is>
          <t>Noida</t>
        </is>
      </c>
      <c r="J2267" s="2" t="inlineStr">
        <is>
          <t>Online</t>
        </is>
      </c>
      <c r="K2267" s="2" t="n">
        <v>2</v>
      </c>
      <c r="L2267" s="3" t="n">
        <v>1995.69</v>
      </c>
      <c r="M2267" s="4" t="n">
        <v>0.25</v>
      </c>
      <c r="N2267" s="3" t="n">
        <v>2412.5</v>
      </c>
      <c r="O2267" s="3">
        <f>K2267*L2267*(1-M2267)</f>
        <v/>
      </c>
      <c r="P2267" s="3">
        <f>O2267-N2267</f>
        <v/>
      </c>
      <c r="Q2267" s="5">
        <f>IFERROR(P2267/O2267,0)</f>
        <v/>
      </c>
      <c r="R2267" s="2">
        <f>TEXT(DATEVALUE(B2267),"mmm")</f>
        <v/>
      </c>
      <c r="S2267" s="2">
        <f>TEXT(DATEVALUE(B2267),"yyyy-mm")</f>
        <v/>
      </c>
    </row>
    <row r="2268">
      <c r="A2268" s="2" t="inlineStr">
        <is>
          <t>O003442</t>
        </is>
      </c>
      <c r="B2268" s="2" t="inlineStr">
        <is>
          <t>2025-06-11</t>
        </is>
      </c>
      <c r="C2268" s="2" t="inlineStr">
        <is>
          <t>C0780</t>
        </is>
      </c>
      <c r="D2268" s="2" t="inlineStr">
        <is>
          <t>P0020</t>
        </is>
      </c>
      <c r="E2268" s="2" t="inlineStr">
        <is>
          <t>Sneakers</t>
        </is>
      </c>
      <c r="F2268" s="2" t="inlineStr">
        <is>
          <t>Fashion</t>
        </is>
      </c>
      <c r="G2268" s="2" t="inlineStr">
        <is>
          <t>North</t>
        </is>
      </c>
      <c r="H2268" s="2" t="inlineStr">
        <is>
          <t>Delhi</t>
        </is>
      </c>
      <c r="I2268" s="2" t="inlineStr">
        <is>
          <t>New Delhi</t>
        </is>
      </c>
      <c r="J2268" s="2" t="inlineStr">
        <is>
          <t>Store</t>
        </is>
      </c>
      <c r="K2268" s="2" t="n">
        <v>1</v>
      </c>
      <c r="L2268" s="3" t="n">
        <v>1854.3</v>
      </c>
      <c r="M2268" s="4" t="n">
        <v>0.15</v>
      </c>
      <c r="N2268" s="3" t="n">
        <v>1472.35</v>
      </c>
      <c r="O2268" s="3">
        <f>K2268*L2268*(1-M2268)</f>
        <v/>
      </c>
      <c r="P2268" s="3">
        <f>O2268-N2268</f>
        <v/>
      </c>
      <c r="Q2268" s="5">
        <f>IFERROR(P2268/O2268,0)</f>
        <v/>
      </c>
      <c r="R2268" s="2">
        <f>TEXT(DATEVALUE(B2268),"mmm")</f>
        <v/>
      </c>
      <c r="S2268" s="2">
        <f>TEXT(DATEVALUE(B2268),"yyyy-mm")</f>
        <v/>
      </c>
    </row>
    <row r="2269">
      <c r="A2269" s="2" t="inlineStr">
        <is>
          <t>O001245</t>
        </is>
      </c>
      <c r="B2269" s="2" t="inlineStr">
        <is>
          <t>2025-06-11</t>
        </is>
      </c>
      <c r="C2269" s="2" t="inlineStr">
        <is>
          <t>C0008</t>
        </is>
      </c>
      <c r="D2269" s="2" t="inlineStr">
        <is>
          <t>P0011</t>
        </is>
      </c>
      <c r="E2269" s="2" t="inlineStr">
        <is>
          <t>Cookware Set</t>
        </is>
      </c>
      <c r="F2269" s="2" t="inlineStr">
        <is>
          <t>Home &amp; Kitchen</t>
        </is>
      </c>
      <c r="G2269" s="2" t="inlineStr">
        <is>
          <t>South</t>
        </is>
      </c>
      <c r="H2269" s="2" t="inlineStr">
        <is>
          <t>Karnataka</t>
        </is>
      </c>
      <c r="I2269" s="2" t="inlineStr">
        <is>
          <t>Bengaluru</t>
        </is>
      </c>
      <c r="J2269" s="2" t="inlineStr">
        <is>
          <t>Store</t>
        </is>
      </c>
      <c r="K2269" s="2" t="n">
        <v>5</v>
      </c>
      <c r="L2269" s="3" t="n">
        <v>703.49</v>
      </c>
      <c r="M2269" s="4" t="n">
        <v>0.1</v>
      </c>
      <c r="N2269" s="3" t="n">
        <v>2345.18</v>
      </c>
      <c r="O2269" s="3">
        <f>K2269*L2269*(1-M2269)</f>
        <v/>
      </c>
      <c r="P2269" s="3">
        <f>O2269-N2269</f>
        <v/>
      </c>
      <c r="Q2269" s="5">
        <f>IFERROR(P2269/O2269,0)</f>
        <v/>
      </c>
      <c r="R2269" s="2">
        <f>TEXT(DATEVALUE(B2269),"mmm")</f>
        <v/>
      </c>
      <c r="S2269" s="2">
        <f>TEXT(DATEVALUE(B2269),"yyyy-mm")</f>
        <v/>
      </c>
    </row>
    <row r="2270">
      <c r="A2270" s="2" t="inlineStr">
        <is>
          <t>O000769</t>
        </is>
      </c>
      <c r="B2270" s="2" t="inlineStr">
        <is>
          <t>2025-06-11</t>
        </is>
      </c>
      <c r="C2270" s="2" t="inlineStr">
        <is>
          <t>C0381</t>
        </is>
      </c>
      <c r="D2270" s="2" t="inlineStr">
        <is>
          <t>P0013</t>
        </is>
      </c>
      <c r="E2270" s="2" t="inlineStr">
        <is>
          <t>Storage Organizer</t>
        </is>
      </c>
      <c r="F2270" s="2" t="inlineStr">
        <is>
          <t>Home &amp; Kitchen</t>
        </is>
      </c>
      <c r="G2270" s="2" t="inlineStr">
        <is>
          <t>North</t>
        </is>
      </c>
      <c r="H2270" s="2" t="inlineStr">
        <is>
          <t>Punjab</t>
        </is>
      </c>
      <c r="I2270" s="2" t="inlineStr">
        <is>
          <t>Ludhiana</t>
        </is>
      </c>
      <c r="J2270" s="2" t="inlineStr">
        <is>
          <t>Online</t>
        </is>
      </c>
      <c r="K2270" s="2" t="n">
        <v>2</v>
      </c>
      <c r="L2270" s="3" t="n">
        <v>576.62</v>
      </c>
      <c r="M2270" s="4" t="n">
        <v>0</v>
      </c>
      <c r="N2270" s="3" t="n">
        <v>746.0700000000001</v>
      </c>
      <c r="O2270" s="3">
        <f>K2270*L2270*(1-M2270)</f>
        <v/>
      </c>
      <c r="P2270" s="3">
        <f>O2270-N2270</f>
        <v/>
      </c>
      <c r="Q2270" s="5">
        <f>IFERROR(P2270/O2270,0)</f>
        <v/>
      </c>
      <c r="R2270" s="2">
        <f>TEXT(DATEVALUE(B2270),"mmm")</f>
        <v/>
      </c>
      <c r="S2270" s="2">
        <f>TEXT(DATEVALUE(B2270),"yyyy-mm")</f>
        <v/>
      </c>
    </row>
    <row r="2271">
      <c r="A2271" s="2" t="inlineStr">
        <is>
          <t>O000072</t>
        </is>
      </c>
      <c r="B2271" s="2" t="inlineStr">
        <is>
          <t>2025-06-11</t>
        </is>
      </c>
      <c r="C2271" s="2" t="inlineStr">
        <is>
          <t>C0181</t>
        </is>
      </c>
      <c r="D2271" s="2" t="inlineStr">
        <is>
          <t>P0004</t>
        </is>
      </c>
      <c r="E2271" s="2" t="inlineStr">
        <is>
          <t>USB-C Hub</t>
        </is>
      </c>
      <c r="F2271" s="2" t="inlineStr">
        <is>
          <t>Electronics</t>
        </is>
      </c>
      <c r="G2271" s="2" t="inlineStr">
        <is>
          <t>South</t>
        </is>
      </c>
      <c r="H2271" s="2" t="inlineStr">
        <is>
          <t>Tamil Nadu</t>
        </is>
      </c>
      <c r="I2271" s="2" t="inlineStr">
        <is>
          <t>Coimbatore</t>
        </is>
      </c>
      <c r="J2271" s="2" t="inlineStr">
        <is>
          <t>Online</t>
        </is>
      </c>
      <c r="K2271" s="2" t="n">
        <v>1</v>
      </c>
      <c r="L2271" s="3" t="n">
        <v>1284.04</v>
      </c>
      <c r="M2271" s="4" t="n">
        <v>0.05</v>
      </c>
      <c r="N2271" s="3" t="n">
        <v>926.5700000000001</v>
      </c>
      <c r="O2271" s="3">
        <f>K2271*L2271*(1-M2271)</f>
        <v/>
      </c>
      <c r="P2271" s="3">
        <f>O2271-N2271</f>
        <v/>
      </c>
      <c r="Q2271" s="5">
        <f>IFERROR(P2271/O2271,0)</f>
        <v/>
      </c>
      <c r="R2271" s="2">
        <f>TEXT(DATEVALUE(B2271),"mmm")</f>
        <v/>
      </c>
      <c r="S2271" s="2">
        <f>TEXT(DATEVALUE(B2271),"yyyy-mm")</f>
        <v/>
      </c>
    </row>
    <row r="2272">
      <c r="A2272" s="2" t="inlineStr">
        <is>
          <t>O004828</t>
        </is>
      </c>
      <c r="B2272" s="2" t="inlineStr">
        <is>
          <t>2025-06-12</t>
        </is>
      </c>
      <c r="C2272" s="2" t="inlineStr">
        <is>
          <t>C0723</t>
        </is>
      </c>
      <c r="D2272" s="2" t="inlineStr">
        <is>
          <t>P0007</t>
        </is>
      </c>
      <c r="E2272" s="2" t="inlineStr">
        <is>
          <t>Wireless Mouse</t>
        </is>
      </c>
      <c r="F2272" s="2" t="inlineStr">
        <is>
          <t>Electronics</t>
        </is>
      </c>
      <c r="G2272" s="2" t="inlineStr">
        <is>
          <t>West</t>
        </is>
      </c>
      <c r="H2272" s="2" t="inlineStr">
        <is>
          <t>Maharashtra</t>
        </is>
      </c>
      <c r="I2272" s="2" t="inlineStr">
        <is>
          <t>Thane</t>
        </is>
      </c>
      <c r="J2272" s="2" t="inlineStr">
        <is>
          <t>Store</t>
        </is>
      </c>
      <c r="K2272" s="2" t="n">
        <v>3</v>
      </c>
      <c r="L2272" s="3" t="n">
        <v>1009.76</v>
      </c>
      <c r="M2272" s="4" t="n">
        <v>0.15</v>
      </c>
      <c r="N2272" s="3" t="n">
        <v>1819.91</v>
      </c>
      <c r="O2272" s="3">
        <f>K2272*L2272*(1-M2272)</f>
        <v/>
      </c>
      <c r="P2272" s="3">
        <f>O2272-N2272</f>
        <v/>
      </c>
      <c r="Q2272" s="5">
        <f>IFERROR(P2272/O2272,0)</f>
        <v/>
      </c>
      <c r="R2272" s="2">
        <f>TEXT(DATEVALUE(B2272),"mmm")</f>
        <v/>
      </c>
      <c r="S2272" s="2">
        <f>TEXT(DATEVALUE(B2272),"yyyy-mm")</f>
        <v/>
      </c>
    </row>
    <row r="2273">
      <c r="A2273" s="2" t="inlineStr">
        <is>
          <t>O004796</t>
        </is>
      </c>
      <c r="B2273" s="2" t="inlineStr">
        <is>
          <t>2025-06-12</t>
        </is>
      </c>
      <c r="C2273" s="2" t="inlineStr">
        <is>
          <t>C0064</t>
        </is>
      </c>
      <c r="D2273" s="2" t="inlineStr">
        <is>
          <t>P0007</t>
        </is>
      </c>
      <c r="E2273" s="2" t="inlineStr">
        <is>
          <t>Wireless Mouse</t>
        </is>
      </c>
      <c r="F2273" s="2" t="inlineStr">
        <is>
          <t>Electronics</t>
        </is>
      </c>
      <c r="G2273" s="2" t="inlineStr">
        <is>
          <t>South</t>
        </is>
      </c>
      <c r="H2273" s="2" t="inlineStr">
        <is>
          <t>Kerala</t>
        </is>
      </c>
      <c r="I2273" s="2" t="inlineStr">
        <is>
          <t>Kochi</t>
        </is>
      </c>
      <c r="J2273" s="2" t="inlineStr">
        <is>
          <t>Online</t>
        </is>
      </c>
      <c r="K2273" s="2" t="n">
        <v>2</v>
      </c>
      <c r="L2273" s="3" t="n">
        <v>981.1</v>
      </c>
      <c r="M2273" s="4" t="n">
        <v>0.15</v>
      </c>
      <c r="N2273" s="3" t="n">
        <v>1281.08</v>
      </c>
      <c r="O2273" s="3">
        <f>K2273*L2273*(1-M2273)</f>
        <v/>
      </c>
      <c r="P2273" s="3">
        <f>O2273-N2273</f>
        <v/>
      </c>
      <c r="Q2273" s="5">
        <f>IFERROR(P2273/O2273,0)</f>
        <v/>
      </c>
      <c r="R2273" s="2">
        <f>TEXT(DATEVALUE(B2273),"mmm")</f>
        <v/>
      </c>
      <c r="S2273" s="2">
        <f>TEXT(DATEVALUE(B2273),"yyyy-mm")</f>
        <v/>
      </c>
    </row>
    <row r="2274">
      <c r="A2274" s="2" t="inlineStr">
        <is>
          <t>O004032</t>
        </is>
      </c>
      <c r="B2274" s="2" t="inlineStr">
        <is>
          <t>2025-06-12</t>
        </is>
      </c>
      <c r="C2274" s="2" t="inlineStr">
        <is>
          <t>C0568</t>
        </is>
      </c>
      <c r="D2274" s="2" t="inlineStr">
        <is>
          <t>P0032</t>
        </is>
      </c>
      <c r="E2274" s="2" t="inlineStr">
        <is>
          <t>Football</t>
        </is>
      </c>
      <c r="F2274" s="2" t="inlineStr">
        <is>
          <t>Sports</t>
        </is>
      </c>
      <c r="G2274" s="2" t="inlineStr">
        <is>
          <t>South</t>
        </is>
      </c>
      <c r="H2274" s="2" t="inlineStr">
        <is>
          <t>Karnataka</t>
        </is>
      </c>
      <c r="I2274" s="2" t="inlineStr">
        <is>
          <t>Mysuru</t>
        </is>
      </c>
      <c r="J2274" s="2" t="inlineStr">
        <is>
          <t>Store</t>
        </is>
      </c>
      <c r="K2274" s="2" t="n">
        <v>6</v>
      </c>
      <c r="L2274" s="3" t="n">
        <v>789.41</v>
      </c>
      <c r="M2274" s="4" t="n">
        <v>0.05</v>
      </c>
      <c r="N2274" s="3" t="n">
        <v>3250.41</v>
      </c>
      <c r="O2274" s="3">
        <f>K2274*L2274*(1-M2274)</f>
        <v/>
      </c>
      <c r="P2274" s="3">
        <f>O2274-N2274</f>
        <v/>
      </c>
      <c r="Q2274" s="5">
        <f>IFERROR(P2274/O2274,0)</f>
        <v/>
      </c>
      <c r="R2274" s="2">
        <f>TEXT(DATEVALUE(B2274),"mmm")</f>
        <v/>
      </c>
      <c r="S2274" s="2">
        <f>TEXT(DATEVALUE(B2274),"yyyy-mm")</f>
        <v/>
      </c>
    </row>
    <row r="2275">
      <c r="A2275" s="2" t="inlineStr">
        <is>
          <t>O003802</t>
        </is>
      </c>
      <c r="B2275" s="2" t="inlineStr">
        <is>
          <t>2025-06-12</t>
        </is>
      </c>
      <c r="C2275" s="2" t="inlineStr">
        <is>
          <t>C0793</t>
        </is>
      </c>
      <c r="D2275" s="2" t="inlineStr">
        <is>
          <t>P0009</t>
        </is>
      </c>
      <c r="E2275" s="2" t="inlineStr">
        <is>
          <t>Electric Kettle</t>
        </is>
      </c>
      <c r="F2275" s="2" t="inlineStr">
        <is>
          <t>Home &amp; Kitchen</t>
        </is>
      </c>
      <c r="G2275" s="2" t="inlineStr">
        <is>
          <t>East</t>
        </is>
      </c>
      <c r="H2275" s="2" t="inlineStr">
        <is>
          <t>West Bengal</t>
        </is>
      </c>
      <c r="I2275" s="2" t="inlineStr">
        <is>
          <t>Kolkata</t>
        </is>
      </c>
      <c r="J2275" s="2" t="inlineStr">
        <is>
          <t>Online</t>
        </is>
      </c>
      <c r="K2275" s="2" t="n">
        <v>2</v>
      </c>
      <c r="L2275" s="3" t="n">
        <v>2049.67</v>
      </c>
      <c r="M2275" s="4" t="n">
        <v>0.25</v>
      </c>
      <c r="N2275" s="3" t="n">
        <v>2308.69</v>
      </c>
      <c r="O2275" s="3">
        <f>K2275*L2275*(1-M2275)</f>
        <v/>
      </c>
      <c r="P2275" s="3">
        <f>O2275-N2275</f>
        <v/>
      </c>
      <c r="Q2275" s="5">
        <f>IFERROR(P2275/O2275,0)</f>
        <v/>
      </c>
      <c r="R2275" s="2">
        <f>TEXT(DATEVALUE(B2275),"mmm")</f>
        <v/>
      </c>
      <c r="S2275" s="2">
        <f>TEXT(DATEVALUE(B2275),"yyyy-mm")</f>
        <v/>
      </c>
    </row>
    <row r="2276">
      <c r="A2276" s="2" t="inlineStr">
        <is>
          <t>O003568</t>
        </is>
      </c>
      <c r="B2276" s="2" t="inlineStr">
        <is>
          <t>2025-06-12</t>
        </is>
      </c>
      <c r="C2276" s="2" t="inlineStr">
        <is>
          <t>C0467</t>
        </is>
      </c>
      <c r="D2276" s="2" t="inlineStr">
        <is>
          <t>P0016</t>
        </is>
      </c>
      <c r="E2276" s="2" t="inlineStr">
        <is>
          <t>Casual Shirt</t>
        </is>
      </c>
      <c r="F2276" s="2" t="inlineStr">
        <is>
          <t>Fashion</t>
        </is>
      </c>
      <c r="G2276" s="2" t="inlineStr">
        <is>
          <t>East</t>
        </is>
      </c>
      <c r="H2276" s="2" t="inlineStr">
        <is>
          <t>Bihar</t>
        </is>
      </c>
      <c r="I2276" s="2" t="inlineStr">
        <is>
          <t>Patna</t>
        </is>
      </c>
      <c r="J2276" s="2" t="inlineStr">
        <is>
          <t>Store</t>
        </is>
      </c>
      <c r="K2276" s="2" t="n">
        <v>2</v>
      </c>
      <c r="L2276" s="3" t="n">
        <v>1340.43</v>
      </c>
      <c r="M2276" s="4" t="n">
        <v>0.1</v>
      </c>
      <c r="N2276" s="3" t="n">
        <v>1780.83</v>
      </c>
      <c r="O2276" s="3">
        <f>K2276*L2276*(1-M2276)</f>
        <v/>
      </c>
      <c r="P2276" s="3">
        <f>O2276-N2276</f>
        <v/>
      </c>
      <c r="Q2276" s="5">
        <f>IFERROR(P2276/O2276,0)</f>
        <v/>
      </c>
      <c r="R2276" s="2">
        <f>TEXT(DATEVALUE(B2276),"mmm")</f>
        <v/>
      </c>
      <c r="S2276" s="2">
        <f>TEXT(DATEVALUE(B2276),"yyyy-mm")</f>
        <v/>
      </c>
    </row>
    <row r="2277">
      <c r="A2277" s="2" t="inlineStr">
        <is>
          <t>O003528</t>
        </is>
      </c>
      <c r="B2277" s="2" t="inlineStr">
        <is>
          <t>2025-06-12</t>
        </is>
      </c>
      <c r="C2277" s="2" t="inlineStr">
        <is>
          <t>C0583</t>
        </is>
      </c>
      <c r="D2277" s="2" t="inlineStr">
        <is>
          <t>P0023</t>
        </is>
      </c>
      <c r="E2277" s="2" t="inlineStr">
        <is>
          <t>Skin Care Kit</t>
        </is>
      </c>
      <c r="F2277" s="2" t="inlineStr">
        <is>
          <t>Beauty</t>
        </is>
      </c>
      <c r="G2277" s="2" t="inlineStr">
        <is>
          <t>East</t>
        </is>
      </c>
      <c r="H2277" s="2" t="inlineStr">
        <is>
          <t>Bihar</t>
        </is>
      </c>
      <c r="I2277" s="2" t="inlineStr">
        <is>
          <t>Gaya</t>
        </is>
      </c>
      <c r="J2277" s="2" t="inlineStr">
        <is>
          <t>Store</t>
        </is>
      </c>
      <c r="K2277" s="2" t="n">
        <v>4</v>
      </c>
      <c r="L2277" s="3" t="n">
        <v>1404.45</v>
      </c>
      <c r="M2277" s="4" t="n">
        <v>0</v>
      </c>
      <c r="N2277" s="3" t="n">
        <v>3580.48</v>
      </c>
      <c r="O2277" s="3">
        <f>K2277*L2277*(1-M2277)</f>
        <v/>
      </c>
      <c r="P2277" s="3">
        <f>O2277-N2277</f>
        <v/>
      </c>
      <c r="Q2277" s="5">
        <f>IFERROR(P2277/O2277,0)</f>
        <v/>
      </c>
      <c r="R2277" s="2">
        <f>TEXT(DATEVALUE(B2277),"mmm")</f>
        <v/>
      </c>
      <c r="S2277" s="2">
        <f>TEXT(DATEVALUE(B2277),"yyyy-mm")</f>
        <v/>
      </c>
    </row>
    <row r="2278">
      <c r="A2278" s="2" t="inlineStr">
        <is>
          <t>O003044</t>
        </is>
      </c>
      <c r="B2278" s="2" t="inlineStr">
        <is>
          <t>2025-06-12</t>
        </is>
      </c>
      <c r="C2278" s="2" t="inlineStr">
        <is>
          <t>C0687</t>
        </is>
      </c>
      <c r="D2278" s="2" t="inlineStr">
        <is>
          <t>P0004</t>
        </is>
      </c>
      <c r="E2278" s="2" t="inlineStr">
        <is>
          <t>USB-C Hub</t>
        </is>
      </c>
      <c r="F2278" s="2" t="inlineStr">
        <is>
          <t>Electronics</t>
        </is>
      </c>
      <c r="G2278" s="2" t="inlineStr">
        <is>
          <t>South</t>
        </is>
      </c>
      <c r="H2278" s="2" t="inlineStr">
        <is>
          <t>Tamil Nadu</t>
        </is>
      </c>
      <c r="I2278" s="2" t="inlineStr">
        <is>
          <t>Chennai</t>
        </is>
      </c>
      <c r="J2278" s="2" t="inlineStr">
        <is>
          <t>Store</t>
        </is>
      </c>
      <c r="K2278" s="2" t="n">
        <v>1</v>
      </c>
      <c r="L2278" s="3" t="n">
        <v>1317.01</v>
      </c>
      <c r="M2278" s="4" t="n">
        <v>0.05</v>
      </c>
      <c r="N2278" s="3" t="n">
        <v>932.77</v>
      </c>
      <c r="O2278" s="3">
        <f>K2278*L2278*(1-M2278)</f>
        <v/>
      </c>
      <c r="P2278" s="3">
        <f>O2278-N2278</f>
        <v/>
      </c>
      <c r="Q2278" s="5">
        <f>IFERROR(P2278/O2278,0)</f>
        <v/>
      </c>
      <c r="R2278" s="2">
        <f>TEXT(DATEVALUE(B2278),"mmm")</f>
        <v/>
      </c>
      <c r="S2278" s="2">
        <f>TEXT(DATEVALUE(B2278),"yyyy-mm")</f>
        <v/>
      </c>
    </row>
    <row r="2279">
      <c r="A2279" s="2" t="inlineStr">
        <is>
          <t>O002840</t>
        </is>
      </c>
      <c r="B2279" s="2" t="inlineStr">
        <is>
          <t>2025-06-12</t>
        </is>
      </c>
      <c r="C2279" s="2" t="inlineStr">
        <is>
          <t>C0405</t>
        </is>
      </c>
      <c r="D2279" s="2" t="inlineStr">
        <is>
          <t>P0016</t>
        </is>
      </c>
      <c r="E2279" s="2" t="inlineStr">
        <is>
          <t>Casual Shirt</t>
        </is>
      </c>
      <c r="F2279" s="2" t="inlineStr">
        <is>
          <t>Fashion</t>
        </is>
      </c>
      <c r="G2279" s="2" t="inlineStr">
        <is>
          <t>North</t>
        </is>
      </c>
      <c r="H2279" s="2" t="inlineStr">
        <is>
          <t>Uttar Pradesh</t>
        </is>
      </c>
      <c r="I2279" s="2" t="inlineStr">
        <is>
          <t>Varanasi</t>
        </is>
      </c>
      <c r="J2279" s="2" t="inlineStr">
        <is>
          <t>Online</t>
        </is>
      </c>
      <c r="K2279" s="2" t="n">
        <v>3</v>
      </c>
      <c r="L2279" s="3" t="n">
        <v>1306.87</v>
      </c>
      <c r="M2279" s="4" t="n">
        <v>0.05</v>
      </c>
      <c r="N2279" s="3" t="n">
        <v>2670.59</v>
      </c>
      <c r="O2279" s="3">
        <f>K2279*L2279*(1-M2279)</f>
        <v/>
      </c>
      <c r="P2279" s="3">
        <f>O2279-N2279</f>
        <v/>
      </c>
      <c r="Q2279" s="5">
        <f>IFERROR(P2279/O2279,0)</f>
        <v/>
      </c>
      <c r="R2279" s="2">
        <f>TEXT(DATEVALUE(B2279),"mmm")</f>
        <v/>
      </c>
      <c r="S2279" s="2">
        <f>TEXT(DATEVALUE(B2279),"yyyy-mm")</f>
        <v/>
      </c>
    </row>
    <row r="2280">
      <c r="A2280" s="2" t="inlineStr">
        <is>
          <t>O001966</t>
        </is>
      </c>
      <c r="B2280" s="2" t="inlineStr">
        <is>
          <t>2025-06-12</t>
        </is>
      </c>
      <c r="C2280" s="2" t="inlineStr">
        <is>
          <t>C0782</t>
        </is>
      </c>
      <c r="D2280" s="2" t="inlineStr">
        <is>
          <t>P0022</t>
        </is>
      </c>
      <c r="E2280" s="2" t="inlineStr">
        <is>
          <t>Face Wash</t>
        </is>
      </c>
      <c r="F2280" s="2" t="inlineStr">
        <is>
          <t>Beauty</t>
        </is>
      </c>
      <c r="G2280" s="2" t="inlineStr">
        <is>
          <t>South</t>
        </is>
      </c>
      <c r="H2280" s="2" t="inlineStr">
        <is>
          <t>Telangana</t>
        </is>
      </c>
      <c r="I2280" s="2" t="inlineStr">
        <is>
          <t>Hyderabad</t>
        </is>
      </c>
      <c r="J2280" s="2" t="inlineStr">
        <is>
          <t>Online</t>
        </is>
      </c>
      <c r="K2280" s="2" t="n">
        <v>6</v>
      </c>
      <c r="L2280" s="3" t="n">
        <v>529.74</v>
      </c>
      <c r="M2280" s="4" t="n">
        <v>0.05</v>
      </c>
      <c r="N2280" s="3" t="n">
        <v>2077.68</v>
      </c>
      <c r="O2280" s="3">
        <f>K2280*L2280*(1-M2280)</f>
        <v/>
      </c>
      <c r="P2280" s="3">
        <f>O2280-N2280</f>
        <v/>
      </c>
      <c r="Q2280" s="5">
        <f>IFERROR(P2280/O2280,0)</f>
        <v/>
      </c>
      <c r="R2280" s="2">
        <f>TEXT(DATEVALUE(B2280),"mmm")</f>
        <v/>
      </c>
      <c r="S2280" s="2">
        <f>TEXT(DATEVALUE(B2280),"yyyy-mm")</f>
        <v/>
      </c>
    </row>
    <row r="2281">
      <c r="A2281" s="2" t="inlineStr">
        <is>
          <t>O001751</t>
        </is>
      </c>
      <c r="B2281" s="2" t="inlineStr">
        <is>
          <t>2025-06-12</t>
        </is>
      </c>
      <c r="C2281" s="2" t="inlineStr">
        <is>
          <t>C0256</t>
        </is>
      </c>
      <c r="D2281" s="2" t="inlineStr">
        <is>
          <t>P0004</t>
        </is>
      </c>
      <c r="E2281" s="2" t="inlineStr">
        <is>
          <t>USB-C Hub</t>
        </is>
      </c>
      <c r="F2281" s="2" t="inlineStr">
        <is>
          <t>Electronics</t>
        </is>
      </c>
      <c r="G2281" s="2" t="inlineStr">
        <is>
          <t>North</t>
        </is>
      </c>
      <c r="H2281" s="2" t="inlineStr">
        <is>
          <t>Delhi</t>
        </is>
      </c>
      <c r="I2281" s="2" t="inlineStr">
        <is>
          <t>New Delhi</t>
        </is>
      </c>
      <c r="J2281" s="2" t="inlineStr">
        <is>
          <t>Online</t>
        </is>
      </c>
      <c r="K2281" s="2" t="n">
        <v>5</v>
      </c>
      <c r="L2281" s="3" t="n">
        <v>1322.87</v>
      </c>
      <c r="M2281" s="4" t="n">
        <v>0.05</v>
      </c>
      <c r="N2281" s="3" t="n">
        <v>4625.72</v>
      </c>
      <c r="O2281" s="3">
        <f>K2281*L2281*(1-M2281)</f>
        <v/>
      </c>
      <c r="P2281" s="3">
        <f>O2281-N2281</f>
        <v/>
      </c>
      <c r="Q2281" s="5">
        <f>IFERROR(P2281/O2281,0)</f>
        <v/>
      </c>
      <c r="R2281" s="2">
        <f>TEXT(DATEVALUE(B2281),"mmm")</f>
        <v/>
      </c>
      <c r="S2281" s="2">
        <f>TEXT(DATEVALUE(B2281),"yyyy-mm")</f>
        <v/>
      </c>
    </row>
    <row r="2282">
      <c r="A2282" s="2" t="inlineStr">
        <is>
          <t>O001683</t>
        </is>
      </c>
      <c r="B2282" s="2" t="inlineStr">
        <is>
          <t>2025-06-12</t>
        </is>
      </c>
      <c r="C2282" s="2" t="inlineStr">
        <is>
          <t>C0694</t>
        </is>
      </c>
      <c r="D2282" s="2" t="inlineStr">
        <is>
          <t>P0014</t>
        </is>
      </c>
      <c r="E2282" s="2" t="inlineStr">
        <is>
          <t>Coffee Maker</t>
        </is>
      </c>
      <c r="F2282" s="2" t="inlineStr">
        <is>
          <t>Home &amp; Kitchen</t>
        </is>
      </c>
      <c r="G2282" s="2" t="inlineStr">
        <is>
          <t>North</t>
        </is>
      </c>
      <c r="H2282" s="2" t="inlineStr">
        <is>
          <t>Uttar Pradesh</t>
        </is>
      </c>
      <c r="I2282" s="2" t="inlineStr">
        <is>
          <t>Lucknow</t>
        </is>
      </c>
      <c r="J2282" s="2" t="inlineStr">
        <is>
          <t>Online</t>
        </is>
      </c>
      <c r="K2282" s="2" t="n">
        <v>1</v>
      </c>
      <c r="L2282" s="3" t="n">
        <v>1064.86</v>
      </c>
      <c r="M2282" s="4" t="n">
        <v>0.15</v>
      </c>
      <c r="N2282" s="3" t="n">
        <v>752.86</v>
      </c>
      <c r="O2282" s="3">
        <f>K2282*L2282*(1-M2282)</f>
        <v/>
      </c>
      <c r="P2282" s="3">
        <f>O2282-N2282</f>
        <v/>
      </c>
      <c r="Q2282" s="5">
        <f>IFERROR(P2282/O2282,0)</f>
        <v/>
      </c>
      <c r="R2282" s="2">
        <f>TEXT(DATEVALUE(B2282),"mmm")</f>
        <v/>
      </c>
      <c r="S2282" s="2">
        <f>TEXT(DATEVALUE(B2282),"yyyy-mm")</f>
        <v/>
      </c>
    </row>
    <row r="2283">
      <c r="A2283" s="2" t="inlineStr">
        <is>
          <t>O000594</t>
        </is>
      </c>
      <c r="B2283" s="2" t="inlineStr">
        <is>
          <t>2025-06-12</t>
        </is>
      </c>
      <c r="C2283" s="2" t="inlineStr">
        <is>
          <t>C0607</t>
        </is>
      </c>
      <c r="D2283" s="2" t="inlineStr">
        <is>
          <t>P0011</t>
        </is>
      </c>
      <c r="E2283" s="2" t="inlineStr">
        <is>
          <t>Cookware Set</t>
        </is>
      </c>
      <c r="F2283" s="2" t="inlineStr">
        <is>
          <t>Home &amp; Kitchen</t>
        </is>
      </c>
      <c r="G2283" s="2" t="inlineStr">
        <is>
          <t>South</t>
        </is>
      </c>
      <c r="H2283" s="2" t="inlineStr">
        <is>
          <t>Tamil Nadu</t>
        </is>
      </c>
      <c r="I2283" s="2" t="inlineStr">
        <is>
          <t>Chennai</t>
        </is>
      </c>
      <c r="J2283" s="2" t="inlineStr">
        <is>
          <t>Store</t>
        </is>
      </c>
      <c r="K2283" s="2" t="n">
        <v>6</v>
      </c>
      <c r="L2283" s="3" t="n">
        <v>706.62</v>
      </c>
      <c r="M2283" s="4" t="n">
        <v>0.1</v>
      </c>
      <c r="N2283" s="3" t="n">
        <v>2869.75</v>
      </c>
      <c r="O2283" s="3">
        <f>K2283*L2283*(1-M2283)</f>
        <v/>
      </c>
      <c r="P2283" s="3">
        <f>O2283-N2283</f>
        <v/>
      </c>
      <c r="Q2283" s="5">
        <f>IFERROR(P2283/O2283,0)</f>
        <v/>
      </c>
      <c r="R2283" s="2">
        <f>TEXT(DATEVALUE(B2283),"mmm")</f>
        <v/>
      </c>
      <c r="S2283" s="2">
        <f>TEXT(DATEVALUE(B2283),"yyyy-mm")</f>
        <v/>
      </c>
    </row>
    <row r="2284">
      <c r="A2284" s="2" t="inlineStr">
        <is>
          <t>O000507</t>
        </is>
      </c>
      <c r="B2284" s="2" t="inlineStr">
        <is>
          <t>2025-06-12</t>
        </is>
      </c>
      <c r="C2284" s="2" t="inlineStr">
        <is>
          <t>C0371</t>
        </is>
      </c>
      <c r="D2284" s="2" t="inlineStr">
        <is>
          <t>P0022</t>
        </is>
      </c>
      <c r="E2284" s="2" t="inlineStr">
        <is>
          <t>Face Wash</t>
        </is>
      </c>
      <c r="F2284" s="2" t="inlineStr">
        <is>
          <t>Beauty</t>
        </is>
      </c>
      <c r="G2284" s="2" t="inlineStr">
        <is>
          <t>West</t>
        </is>
      </c>
      <c r="H2284" s="2" t="inlineStr">
        <is>
          <t>Maharashtra</t>
        </is>
      </c>
      <c r="I2284" s="2" t="inlineStr">
        <is>
          <t>Thane</t>
        </is>
      </c>
      <c r="J2284" s="2" t="inlineStr">
        <is>
          <t>Online</t>
        </is>
      </c>
      <c r="K2284" s="2" t="n">
        <v>1</v>
      </c>
      <c r="L2284" s="3" t="n">
        <v>535.17</v>
      </c>
      <c r="M2284" s="4" t="n">
        <v>0.1</v>
      </c>
      <c r="N2284" s="3" t="n">
        <v>353.78</v>
      </c>
      <c r="O2284" s="3">
        <f>K2284*L2284*(1-M2284)</f>
        <v/>
      </c>
      <c r="P2284" s="3">
        <f>O2284-N2284</f>
        <v/>
      </c>
      <c r="Q2284" s="5">
        <f>IFERROR(P2284/O2284,0)</f>
        <v/>
      </c>
      <c r="R2284" s="2">
        <f>TEXT(DATEVALUE(B2284),"mmm")</f>
        <v/>
      </c>
      <c r="S2284" s="2">
        <f>TEXT(DATEVALUE(B2284),"yyyy-mm")</f>
        <v/>
      </c>
    </row>
    <row r="2285">
      <c r="A2285" s="2" t="inlineStr">
        <is>
          <t>O000295</t>
        </is>
      </c>
      <c r="B2285" s="2" t="inlineStr">
        <is>
          <t>2025-06-12</t>
        </is>
      </c>
      <c r="C2285" s="2" t="inlineStr">
        <is>
          <t>C0033</t>
        </is>
      </c>
      <c r="D2285" s="2" t="inlineStr">
        <is>
          <t>P0024</t>
        </is>
      </c>
      <c r="E2285" s="2" t="inlineStr">
        <is>
          <t>Hair Dryer</t>
        </is>
      </c>
      <c r="F2285" s="2" t="inlineStr">
        <is>
          <t>Beauty</t>
        </is>
      </c>
      <c r="G2285" s="2" t="inlineStr">
        <is>
          <t>North</t>
        </is>
      </c>
      <c r="H2285" s="2" t="inlineStr">
        <is>
          <t>Punjab</t>
        </is>
      </c>
      <c r="I2285" s="2" t="inlineStr">
        <is>
          <t>Jalandhar</t>
        </is>
      </c>
      <c r="J2285" s="2" t="inlineStr">
        <is>
          <t>Online</t>
        </is>
      </c>
      <c r="K2285" s="2" t="n">
        <v>3</v>
      </c>
      <c r="L2285" s="3" t="n">
        <v>1019.38</v>
      </c>
      <c r="M2285" s="4" t="n">
        <v>0.2</v>
      </c>
      <c r="N2285" s="3" t="n">
        <v>2179.12</v>
      </c>
      <c r="O2285" s="3">
        <f>K2285*L2285*(1-M2285)</f>
        <v/>
      </c>
      <c r="P2285" s="3">
        <f>O2285-N2285</f>
        <v/>
      </c>
      <c r="Q2285" s="5">
        <f>IFERROR(P2285/O2285,0)</f>
        <v/>
      </c>
      <c r="R2285" s="2">
        <f>TEXT(DATEVALUE(B2285),"mmm")</f>
        <v/>
      </c>
      <c r="S2285" s="2">
        <f>TEXT(DATEVALUE(B2285),"yyyy-mm")</f>
        <v/>
      </c>
    </row>
    <row r="2286">
      <c r="A2286" s="2" t="inlineStr">
        <is>
          <t>O000105</t>
        </is>
      </c>
      <c r="B2286" s="2" t="inlineStr">
        <is>
          <t>2025-06-12</t>
        </is>
      </c>
      <c r="C2286" s="2" t="inlineStr">
        <is>
          <t>C0389</t>
        </is>
      </c>
      <c r="D2286" s="2" t="inlineStr">
        <is>
          <t>P0030</t>
        </is>
      </c>
      <c r="E2286" s="2" t="inlineStr">
        <is>
          <t>Dumbbells</t>
        </is>
      </c>
      <c r="F2286" s="2" t="inlineStr">
        <is>
          <t>Sports</t>
        </is>
      </c>
      <c r="G2286" s="2" t="inlineStr">
        <is>
          <t>South</t>
        </is>
      </c>
      <c r="H2286" s="2" t="inlineStr">
        <is>
          <t>Kerala</t>
        </is>
      </c>
      <c r="I2286" s="2" t="inlineStr">
        <is>
          <t>Kochi</t>
        </is>
      </c>
      <c r="J2286" s="2" t="inlineStr">
        <is>
          <t>Online</t>
        </is>
      </c>
      <c r="K2286" s="2" t="n">
        <v>2</v>
      </c>
      <c r="L2286" s="3" t="n">
        <v>1560.12</v>
      </c>
      <c r="M2286" s="4" t="n">
        <v>0.05</v>
      </c>
      <c r="N2286" s="3" t="n">
        <v>2088.43</v>
      </c>
      <c r="O2286" s="3">
        <f>K2286*L2286*(1-M2286)</f>
        <v/>
      </c>
      <c r="P2286" s="3">
        <f>O2286-N2286</f>
        <v/>
      </c>
      <c r="Q2286" s="5">
        <f>IFERROR(P2286/O2286,0)</f>
        <v/>
      </c>
      <c r="R2286" s="2">
        <f>TEXT(DATEVALUE(B2286),"mmm")</f>
        <v/>
      </c>
      <c r="S2286" s="2">
        <f>TEXT(DATEVALUE(B2286),"yyyy-mm")</f>
        <v/>
      </c>
    </row>
    <row r="2287">
      <c r="A2287" s="2" t="inlineStr">
        <is>
          <t>O002385</t>
        </is>
      </c>
      <c r="B2287" s="2" t="inlineStr">
        <is>
          <t>2025-06-12</t>
        </is>
      </c>
      <c r="C2287" s="2" t="inlineStr">
        <is>
          <t>C0671</t>
        </is>
      </c>
      <c r="D2287" s="2" t="inlineStr">
        <is>
          <t>P0021</t>
        </is>
      </c>
      <c r="E2287" s="2" t="inlineStr">
        <is>
          <t>Wallet</t>
        </is>
      </c>
      <c r="F2287" s="2" t="inlineStr">
        <is>
          <t>Fashion</t>
        </is>
      </c>
      <c r="G2287" s="2" t="inlineStr">
        <is>
          <t>West</t>
        </is>
      </c>
      <c r="H2287" s="2" t="inlineStr">
        <is>
          <t>Gujarat</t>
        </is>
      </c>
      <c r="I2287" s="2" t="inlineStr">
        <is>
          <t>Vadodara</t>
        </is>
      </c>
      <c r="J2287" s="2" t="inlineStr">
        <is>
          <t>Online</t>
        </is>
      </c>
      <c r="K2287" s="2" t="n">
        <v>3</v>
      </c>
      <c r="L2287" s="3" t="n">
        <v>2081.61</v>
      </c>
      <c r="M2287" s="4" t="n">
        <v>0.05</v>
      </c>
      <c r="N2287" s="3" t="n">
        <v>3570.88</v>
      </c>
      <c r="O2287" s="3">
        <f>K2287*L2287*(1-M2287)</f>
        <v/>
      </c>
      <c r="P2287" s="3">
        <f>O2287-N2287</f>
        <v/>
      </c>
      <c r="Q2287" s="5">
        <f>IFERROR(P2287/O2287,0)</f>
        <v/>
      </c>
      <c r="R2287" s="2">
        <f>TEXT(DATEVALUE(B2287),"mmm")</f>
        <v/>
      </c>
      <c r="S2287" s="2">
        <f>TEXT(DATEVALUE(B2287),"yyyy-mm")</f>
        <v/>
      </c>
    </row>
    <row r="2288">
      <c r="A2288" s="2" t="inlineStr">
        <is>
          <t>O002590</t>
        </is>
      </c>
      <c r="B2288" s="2" t="inlineStr">
        <is>
          <t>2025-06-13</t>
        </is>
      </c>
      <c r="C2288" s="2" t="inlineStr">
        <is>
          <t>C0371</t>
        </is>
      </c>
      <c r="D2288" s="2" t="inlineStr">
        <is>
          <t>P0027</t>
        </is>
      </c>
      <c r="E2288" s="2" t="inlineStr">
        <is>
          <t>Moisturizer</t>
        </is>
      </c>
      <c r="F2288" s="2" t="inlineStr">
        <is>
          <t>Beauty</t>
        </is>
      </c>
      <c r="G2288" s="2" t="inlineStr">
        <is>
          <t>North</t>
        </is>
      </c>
      <c r="H2288" s="2" t="inlineStr">
        <is>
          <t>Haryana</t>
        </is>
      </c>
      <c r="I2288" s="2" t="inlineStr">
        <is>
          <t>Gurugram</t>
        </is>
      </c>
      <c r="J2288" s="2" t="inlineStr">
        <is>
          <t>Online</t>
        </is>
      </c>
      <c r="K2288" s="2" t="n">
        <v>1</v>
      </c>
      <c r="L2288" s="3" t="n">
        <v>957.15</v>
      </c>
      <c r="M2288" s="4" t="n">
        <v>0</v>
      </c>
      <c r="N2288" s="3" t="n">
        <v>663.86</v>
      </c>
      <c r="O2288" s="3">
        <f>K2288*L2288*(1-M2288)</f>
        <v/>
      </c>
      <c r="P2288" s="3">
        <f>O2288-N2288</f>
        <v/>
      </c>
      <c r="Q2288" s="5">
        <f>IFERROR(P2288/O2288,0)</f>
        <v/>
      </c>
      <c r="R2288" s="2">
        <f>TEXT(DATEVALUE(B2288),"mmm")</f>
        <v/>
      </c>
      <c r="S2288" s="2">
        <f>TEXT(DATEVALUE(B2288),"yyyy-mm")</f>
        <v/>
      </c>
    </row>
    <row r="2289">
      <c r="A2289" s="2" t="inlineStr">
        <is>
          <t>O004376</t>
        </is>
      </c>
      <c r="B2289" s="2" t="inlineStr">
        <is>
          <t>2025-06-13</t>
        </is>
      </c>
      <c r="C2289" s="2" t="inlineStr">
        <is>
          <t>C0796</t>
        </is>
      </c>
      <c r="D2289" s="2" t="inlineStr">
        <is>
          <t>P0027</t>
        </is>
      </c>
      <c r="E2289" s="2" t="inlineStr">
        <is>
          <t>Moisturizer</t>
        </is>
      </c>
      <c r="F2289" s="2" t="inlineStr">
        <is>
          <t>Beauty</t>
        </is>
      </c>
      <c r="G2289" s="2" t="inlineStr">
        <is>
          <t>East</t>
        </is>
      </c>
      <c r="H2289" s="2" t="inlineStr">
        <is>
          <t>Odisha</t>
        </is>
      </c>
      <c r="I2289" s="2" t="inlineStr">
        <is>
          <t>Cuttack</t>
        </is>
      </c>
      <c r="J2289" s="2" t="inlineStr">
        <is>
          <t>Store</t>
        </is>
      </c>
      <c r="K2289" s="2" t="n">
        <v>5</v>
      </c>
      <c r="L2289" s="3" t="n">
        <v>987.86</v>
      </c>
      <c r="M2289" s="4" t="n">
        <v>0</v>
      </c>
      <c r="N2289" s="3" t="n">
        <v>3391.84</v>
      </c>
      <c r="O2289" s="3">
        <f>K2289*L2289*(1-M2289)</f>
        <v/>
      </c>
      <c r="P2289" s="3">
        <f>O2289-N2289</f>
        <v/>
      </c>
      <c r="Q2289" s="5">
        <f>IFERROR(P2289/O2289,0)</f>
        <v/>
      </c>
      <c r="R2289" s="2">
        <f>TEXT(DATEVALUE(B2289),"mmm")</f>
        <v/>
      </c>
      <c r="S2289" s="2">
        <f>TEXT(DATEVALUE(B2289),"yyyy-mm")</f>
        <v/>
      </c>
    </row>
    <row r="2290">
      <c r="A2290" s="2" t="inlineStr">
        <is>
          <t>O004102</t>
        </is>
      </c>
      <c r="B2290" s="2" t="inlineStr">
        <is>
          <t>2025-06-13</t>
        </is>
      </c>
      <c r="C2290" s="2" t="inlineStr">
        <is>
          <t>C0179</t>
        </is>
      </c>
      <c r="D2290" s="2" t="inlineStr">
        <is>
          <t>P0023</t>
        </is>
      </c>
      <c r="E2290" s="2" t="inlineStr">
        <is>
          <t>Skin Care Kit</t>
        </is>
      </c>
      <c r="F2290" s="2" t="inlineStr">
        <is>
          <t>Beauty</t>
        </is>
      </c>
      <c r="G2290" s="2" t="inlineStr">
        <is>
          <t>South</t>
        </is>
      </c>
      <c r="H2290" s="2" t="inlineStr">
        <is>
          <t>Karnataka</t>
        </is>
      </c>
      <c r="I2290" s="2" t="inlineStr">
        <is>
          <t>Bengaluru</t>
        </is>
      </c>
      <c r="J2290" s="2" t="inlineStr">
        <is>
          <t>Online</t>
        </is>
      </c>
      <c r="K2290" s="2" t="n">
        <v>1</v>
      </c>
      <c r="L2290" s="3" t="n">
        <v>1460.31</v>
      </c>
      <c r="M2290" s="4" t="n">
        <v>0.15</v>
      </c>
      <c r="N2290" s="3" t="n">
        <v>922.9400000000001</v>
      </c>
      <c r="O2290" s="3">
        <f>K2290*L2290*(1-M2290)</f>
        <v/>
      </c>
      <c r="P2290" s="3">
        <f>O2290-N2290</f>
        <v/>
      </c>
      <c r="Q2290" s="5">
        <f>IFERROR(P2290/O2290,0)</f>
        <v/>
      </c>
      <c r="R2290" s="2">
        <f>TEXT(DATEVALUE(B2290),"mmm")</f>
        <v/>
      </c>
      <c r="S2290" s="2">
        <f>TEXT(DATEVALUE(B2290),"yyyy-mm")</f>
        <v/>
      </c>
    </row>
    <row r="2291">
      <c r="A2291" s="2" t="inlineStr">
        <is>
          <t>O003591</t>
        </is>
      </c>
      <c r="B2291" s="2" t="inlineStr">
        <is>
          <t>2025-06-13</t>
        </is>
      </c>
      <c r="C2291" s="2" t="inlineStr">
        <is>
          <t>C0147</t>
        </is>
      </c>
      <c r="D2291" s="2" t="inlineStr">
        <is>
          <t>P0020</t>
        </is>
      </c>
      <c r="E2291" s="2" t="inlineStr">
        <is>
          <t>Sneakers</t>
        </is>
      </c>
      <c r="F2291" s="2" t="inlineStr">
        <is>
          <t>Fashion</t>
        </is>
      </c>
      <c r="G2291" s="2" t="inlineStr">
        <is>
          <t>South</t>
        </is>
      </c>
      <c r="H2291" s="2" t="inlineStr">
        <is>
          <t>Karnataka</t>
        </is>
      </c>
      <c r="I2291" s="2" t="inlineStr">
        <is>
          <t>Bengaluru</t>
        </is>
      </c>
      <c r="J2291" s="2" t="inlineStr">
        <is>
          <t>Online</t>
        </is>
      </c>
      <c r="K2291" s="2" t="n">
        <v>2</v>
      </c>
      <c r="L2291" s="3" t="n">
        <v>2012.87</v>
      </c>
      <c r="M2291" s="4" t="n">
        <v>0.05</v>
      </c>
      <c r="N2291" s="3" t="n">
        <v>2992.68</v>
      </c>
      <c r="O2291" s="3">
        <f>K2291*L2291*(1-M2291)</f>
        <v/>
      </c>
      <c r="P2291" s="3">
        <f>O2291-N2291</f>
        <v/>
      </c>
      <c r="Q2291" s="5">
        <f>IFERROR(P2291/O2291,0)</f>
        <v/>
      </c>
      <c r="R2291" s="2">
        <f>TEXT(DATEVALUE(B2291),"mmm")</f>
        <v/>
      </c>
      <c r="S2291" s="2">
        <f>TEXT(DATEVALUE(B2291),"yyyy-mm")</f>
        <v/>
      </c>
    </row>
    <row r="2292">
      <c r="A2292" s="2" t="inlineStr">
        <is>
          <t>O004433</t>
        </is>
      </c>
      <c r="B2292" s="2" t="inlineStr">
        <is>
          <t>2025-06-13</t>
        </is>
      </c>
      <c r="C2292" s="2" t="inlineStr">
        <is>
          <t>C0456</t>
        </is>
      </c>
      <c r="D2292" s="2" t="inlineStr">
        <is>
          <t>P0012</t>
        </is>
      </c>
      <c r="E2292" s="2" t="inlineStr">
        <is>
          <t>Water Bottle</t>
        </is>
      </c>
      <c r="F2292" s="2" t="inlineStr">
        <is>
          <t>Home &amp; Kitchen</t>
        </is>
      </c>
      <c r="G2292" s="2" t="inlineStr">
        <is>
          <t>South</t>
        </is>
      </c>
      <c r="H2292" s="2" t="inlineStr">
        <is>
          <t>Karnataka</t>
        </is>
      </c>
      <c r="I2292" s="2" t="inlineStr">
        <is>
          <t>Mysuru</t>
        </is>
      </c>
      <c r="J2292" s="2" t="inlineStr">
        <is>
          <t>Store</t>
        </is>
      </c>
      <c r="K2292" s="2" t="n">
        <v>2</v>
      </c>
      <c r="L2292" s="3" t="n">
        <v>999.8099999999999</v>
      </c>
      <c r="M2292" s="4" t="n">
        <v>0</v>
      </c>
      <c r="N2292" s="3" t="n">
        <v>1247.54</v>
      </c>
      <c r="O2292" s="3">
        <f>K2292*L2292*(1-M2292)</f>
        <v/>
      </c>
      <c r="P2292" s="3">
        <f>O2292-N2292</f>
        <v/>
      </c>
      <c r="Q2292" s="5">
        <f>IFERROR(P2292/O2292,0)</f>
        <v/>
      </c>
      <c r="R2292" s="2">
        <f>TEXT(DATEVALUE(B2292),"mmm")</f>
        <v/>
      </c>
      <c r="S2292" s="2">
        <f>TEXT(DATEVALUE(B2292),"yyyy-mm")</f>
        <v/>
      </c>
    </row>
    <row r="2293">
      <c r="A2293" s="2" t="inlineStr">
        <is>
          <t>O003136</t>
        </is>
      </c>
      <c r="B2293" s="2" t="inlineStr">
        <is>
          <t>2025-06-13</t>
        </is>
      </c>
      <c r="C2293" s="2" t="inlineStr">
        <is>
          <t>C0110</t>
        </is>
      </c>
      <c r="D2293" s="2" t="inlineStr">
        <is>
          <t>P0016</t>
        </is>
      </c>
      <c r="E2293" s="2" t="inlineStr">
        <is>
          <t>Casual Shirt</t>
        </is>
      </c>
      <c r="F2293" s="2" t="inlineStr">
        <is>
          <t>Fashion</t>
        </is>
      </c>
      <c r="G2293" s="2" t="inlineStr">
        <is>
          <t>North</t>
        </is>
      </c>
      <c r="H2293" s="2" t="inlineStr">
        <is>
          <t>Haryana</t>
        </is>
      </c>
      <c r="I2293" s="2" t="inlineStr">
        <is>
          <t>Faridabad</t>
        </is>
      </c>
      <c r="J2293" s="2" t="inlineStr">
        <is>
          <t>Online</t>
        </is>
      </c>
      <c r="K2293" s="2" t="n">
        <v>2</v>
      </c>
      <c r="L2293" s="3" t="n">
        <v>1252.56</v>
      </c>
      <c r="M2293" s="4" t="n">
        <v>0.15</v>
      </c>
      <c r="N2293" s="3" t="n">
        <v>1797.89</v>
      </c>
      <c r="O2293" s="3">
        <f>K2293*L2293*(1-M2293)</f>
        <v/>
      </c>
      <c r="P2293" s="3">
        <f>O2293-N2293</f>
        <v/>
      </c>
      <c r="Q2293" s="5">
        <f>IFERROR(P2293/O2293,0)</f>
        <v/>
      </c>
      <c r="R2293" s="2">
        <f>TEXT(DATEVALUE(B2293),"mmm")</f>
        <v/>
      </c>
      <c r="S2293" s="2">
        <f>TEXT(DATEVALUE(B2293),"yyyy-mm")</f>
        <v/>
      </c>
    </row>
    <row r="2294">
      <c r="A2294" s="2" t="inlineStr">
        <is>
          <t>O002969</t>
        </is>
      </c>
      <c r="B2294" s="2" t="inlineStr">
        <is>
          <t>2025-06-13</t>
        </is>
      </c>
      <c r="C2294" s="2" t="inlineStr">
        <is>
          <t>C0306</t>
        </is>
      </c>
      <c r="D2294" s="2" t="inlineStr">
        <is>
          <t>P0004</t>
        </is>
      </c>
      <c r="E2294" s="2" t="inlineStr">
        <is>
          <t>USB-C Hub</t>
        </is>
      </c>
      <c r="F2294" s="2" t="inlineStr">
        <is>
          <t>Electronics</t>
        </is>
      </c>
      <c r="G2294" s="2" t="inlineStr">
        <is>
          <t>West</t>
        </is>
      </c>
      <c r="H2294" s="2" t="inlineStr">
        <is>
          <t>Gujarat</t>
        </is>
      </c>
      <c r="I2294" s="2" t="inlineStr">
        <is>
          <t>Surat</t>
        </is>
      </c>
      <c r="J2294" s="2" t="inlineStr">
        <is>
          <t>Store</t>
        </is>
      </c>
      <c r="K2294" s="2" t="n">
        <v>2</v>
      </c>
      <c r="L2294" s="3" t="n">
        <v>1268.79</v>
      </c>
      <c r="M2294" s="4" t="n">
        <v>0.05</v>
      </c>
      <c r="N2294" s="3" t="n">
        <v>1862.34</v>
      </c>
      <c r="O2294" s="3">
        <f>K2294*L2294*(1-M2294)</f>
        <v/>
      </c>
      <c r="P2294" s="3">
        <f>O2294-N2294</f>
        <v/>
      </c>
      <c r="Q2294" s="5">
        <f>IFERROR(P2294/O2294,0)</f>
        <v/>
      </c>
      <c r="R2294" s="2">
        <f>TEXT(DATEVALUE(B2294),"mmm")</f>
        <v/>
      </c>
      <c r="S2294" s="2">
        <f>TEXT(DATEVALUE(B2294),"yyyy-mm")</f>
        <v/>
      </c>
    </row>
    <row r="2295">
      <c r="A2295" s="2" t="inlineStr">
        <is>
          <t>O002493</t>
        </is>
      </c>
      <c r="B2295" s="2" t="inlineStr">
        <is>
          <t>2025-06-13</t>
        </is>
      </c>
      <c r="C2295" s="2" t="inlineStr">
        <is>
          <t>C0003</t>
        </is>
      </c>
      <c r="D2295" s="2" t="inlineStr">
        <is>
          <t>P0021</t>
        </is>
      </c>
      <c r="E2295" s="2" t="inlineStr">
        <is>
          <t>Wallet</t>
        </is>
      </c>
      <c r="F2295" s="2" t="inlineStr">
        <is>
          <t>Fashion</t>
        </is>
      </c>
      <c r="G2295" s="2" t="inlineStr">
        <is>
          <t>South</t>
        </is>
      </c>
      <c r="H2295" s="2" t="inlineStr">
        <is>
          <t>Karnataka</t>
        </is>
      </c>
      <c r="I2295" s="2" t="inlineStr">
        <is>
          <t>Mangaluru</t>
        </is>
      </c>
      <c r="J2295" s="2" t="inlineStr">
        <is>
          <t>Online</t>
        </is>
      </c>
      <c r="K2295" s="2" t="n">
        <v>1</v>
      </c>
      <c r="L2295" s="3" t="n">
        <v>2020.27</v>
      </c>
      <c r="M2295" s="4" t="n">
        <v>0.05</v>
      </c>
      <c r="N2295" s="3" t="n">
        <v>1194.29</v>
      </c>
      <c r="O2295" s="3">
        <f>K2295*L2295*(1-M2295)</f>
        <v/>
      </c>
      <c r="P2295" s="3">
        <f>O2295-N2295</f>
        <v/>
      </c>
      <c r="Q2295" s="5">
        <f>IFERROR(P2295/O2295,0)</f>
        <v/>
      </c>
      <c r="R2295" s="2">
        <f>TEXT(DATEVALUE(B2295),"mmm")</f>
        <v/>
      </c>
      <c r="S2295" s="2">
        <f>TEXT(DATEVALUE(B2295),"yyyy-mm")</f>
        <v/>
      </c>
    </row>
    <row r="2296">
      <c r="A2296" s="2" t="inlineStr">
        <is>
          <t>O003481</t>
        </is>
      </c>
      <c r="B2296" s="2" t="inlineStr">
        <is>
          <t>2025-06-13</t>
        </is>
      </c>
      <c r="C2296" s="2" t="inlineStr">
        <is>
          <t>C0555</t>
        </is>
      </c>
      <c r="D2296" s="2" t="inlineStr">
        <is>
          <t>P0004</t>
        </is>
      </c>
      <c r="E2296" s="2" t="inlineStr">
        <is>
          <t>USB-C Hub</t>
        </is>
      </c>
      <c r="F2296" s="2" t="inlineStr">
        <is>
          <t>Electronics</t>
        </is>
      </c>
      <c r="G2296" s="2" t="inlineStr">
        <is>
          <t>West</t>
        </is>
      </c>
      <c r="H2296" s="2" t="inlineStr">
        <is>
          <t>Maharashtra</t>
        </is>
      </c>
      <c r="I2296" s="2" t="inlineStr">
        <is>
          <t>Thane</t>
        </is>
      </c>
      <c r="J2296" s="2" t="inlineStr">
        <is>
          <t>Online</t>
        </is>
      </c>
      <c r="K2296" s="2" t="n">
        <v>5</v>
      </c>
      <c r="L2296" s="3" t="n">
        <v>1314.74</v>
      </c>
      <c r="M2296" s="4" t="n">
        <v>0.1</v>
      </c>
      <c r="N2296" s="3" t="n">
        <v>4688.91</v>
      </c>
      <c r="O2296" s="3">
        <f>K2296*L2296*(1-M2296)</f>
        <v/>
      </c>
      <c r="P2296" s="3">
        <f>O2296-N2296</f>
        <v/>
      </c>
      <c r="Q2296" s="5">
        <f>IFERROR(P2296/O2296,0)</f>
        <v/>
      </c>
      <c r="R2296" s="2">
        <f>TEXT(DATEVALUE(B2296),"mmm")</f>
        <v/>
      </c>
      <c r="S2296" s="2">
        <f>TEXT(DATEVALUE(B2296),"yyyy-mm")</f>
        <v/>
      </c>
    </row>
    <row r="2297">
      <c r="A2297" s="2" t="inlineStr">
        <is>
          <t>O002272</t>
        </is>
      </c>
      <c r="B2297" s="2" t="inlineStr">
        <is>
          <t>2025-06-13</t>
        </is>
      </c>
      <c r="C2297" s="2" t="inlineStr">
        <is>
          <t>C0076</t>
        </is>
      </c>
      <c r="D2297" s="2" t="inlineStr">
        <is>
          <t>P0022</t>
        </is>
      </c>
      <c r="E2297" s="2" t="inlineStr">
        <is>
          <t>Face Wash</t>
        </is>
      </c>
      <c r="F2297" s="2" t="inlineStr">
        <is>
          <t>Beauty</t>
        </is>
      </c>
      <c r="G2297" s="2" t="inlineStr">
        <is>
          <t>North</t>
        </is>
      </c>
      <c r="H2297" s="2" t="inlineStr">
        <is>
          <t>Punjab</t>
        </is>
      </c>
      <c r="I2297" s="2" t="inlineStr">
        <is>
          <t>Ludhiana</t>
        </is>
      </c>
      <c r="J2297" s="2" t="inlineStr">
        <is>
          <t>Online</t>
        </is>
      </c>
      <c r="K2297" s="2" t="n">
        <v>4</v>
      </c>
      <c r="L2297" s="3" t="n">
        <v>576.3099999999999</v>
      </c>
      <c r="M2297" s="4" t="n">
        <v>0.1</v>
      </c>
      <c r="N2297" s="3" t="n">
        <v>1415.33</v>
      </c>
      <c r="O2297" s="3">
        <f>K2297*L2297*(1-M2297)</f>
        <v/>
      </c>
      <c r="P2297" s="3">
        <f>O2297-N2297</f>
        <v/>
      </c>
      <c r="Q2297" s="5">
        <f>IFERROR(P2297/O2297,0)</f>
        <v/>
      </c>
      <c r="R2297" s="2">
        <f>TEXT(DATEVALUE(B2297),"mmm")</f>
        <v/>
      </c>
      <c r="S2297" s="2">
        <f>TEXT(DATEVALUE(B2297),"yyyy-mm")</f>
        <v/>
      </c>
    </row>
    <row r="2298">
      <c r="A2298" s="2" t="inlineStr">
        <is>
          <t>O002227</t>
        </is>
      </c>
      <c r="B2298" s="2" t="inlineStr">
        <is>
          <t>2025-06-13</t>
        </is>
      </c>
      <c r="C2298" s="2" t="inlineStr">
        <is>
          <t>C0314</t>
        </is>
      </c>
      <c r="D2298" s="2" t="inlineStr">
        <is>
          <t>P0021</t>
        </is>
      </c>
      <c r="E2298" s="2" t="inlineStr">
        <is>
          <t>Wallet</t>
        </is>
      </c>
      <c r="F2298" s="2" t="inlineStr">
        <is>
          <t>Fashion</t>
        </is>
      </c>
      <c r="G2298" s="2" t="inlineStr">
        <is>
          <t>South</t>
        </is>
      </c>
      <c r="H2298" s="2" t="inlineStr">
        <is>
          <t>Kerala</t>
        </is>
      </c>
      <c r="I2298" s="2" t="inlineStr">
        <is>
          <t>Thiruvananthapuram</t>
        </is>
      </c>
      <c r="J2298" s="2" t="inlineStr">
        <is>
          <t>Store</t>
        </is>
      </c>
      <c r="K2298" s="2" t="n">
        <v>1</v>
      </c>
      <c r="L2298" s="3" t="n">
        <v>1980.58</v>
      </c>
      <c r="M2298" s="4" t="n">
        <v>0.05</v>
      </c>
      <c r="N2298" s="3" t="n">
        <v>1188.4</v>
      </c>
      <c r="O2298" s="3">
        <f>K2298*L2298*(1-M2298)</f>
        <v/>
      </c>
      <c r="P2298" s="3">
        <f>O2298-N2298</f>
        <v/>
      </c>
      <c r="Q2298" s="5">
        <f>IFERROR(P2298/O2298,0)</f>
        <v/>
      </c>
      <c r="R2298" s="2">
        <f>TEXT(DATEVALUE(B2298),"mmm")</f>
        <v/>
      </c>
      <c r="S2298" s="2">
        <f>TEXT(DATEVALUE(B2298),"yyyy-mm")</f>
        <v/>
      </c>
    </row>
    <row r="2299">
      <c r="A2299" s="2" t="inlineStr">
        <is>
          <t>O001969</t>
        </is>
      </c>
      <c r="B2299" s="2" t="inlineStr">
        <is>
          <t>2025-06-13</t>
        </is>
      </c>
      <c r="C2299" s="2" t="inlineStr">
        <is>
          <t>C0125</t>
        </is>
      </c>
      <c r="D2299" s="2" t="inlineStr">
        <is>
          <t>P0013</t>
        </is>
      </c>
      <c r="E2299" s="2" t="inlineStr">
        <is>
          <t>Storage Organizer</t>
        </is>
      </c>
      <c r="F2299" s="2" t="inlineStr">
        <is>
          <t>Home &amp; Kitchen</t>
        </is>
      </c>
      <c r="G2299" s="2" t="inlineStr">
        <is>
          <t>North</t>
        </is>
      </c>
      <c r="H2299" s="2" t="inlineStr">
        <is>
          <t>Punjab</t>
        </is>
      </c>
      <c r="I2299" s="2" t="inlineStr">
        <is>
          <t>Jalandhar</t>
        </is>
      </c>
      <c r="J2299" s="2" t="inlineStr">
        <is>
          <t>Store</t>
        </is>
      </c>
      <c r="K2299" s="2" t="n">
        <v>5</v>
      </c>
      <c r="L2299" s="3" t="n">
        <v>572.9299999999999</v>
      </c>
      <c r="M2299" s="4" t="n">
        <v>0.05</v>
      </c>
      <c r="N2299" s="3" t="n">
        <v>1827.92</v>
      </c>
      <c r="O2299" s="3">
        <f>K2299*L2299*(1-M2299)</f>
        <v/>
      </c>
      <c r="P2299" s="3">
        <f>O2299-N2299</f>
        <v/>
      </c>
      <c r="Q2299" s="5">
        <f>IFERROR(P2299/O2299,0)</f>
        <v/>
      </c>
      <c r="R2299" s="2">
        <f>TEXT(DATEVALUE(B2299),"mmm")</f>
        <v/>
      </c>
      <c r="S2299" s="2">
        <f>TEXT(DATEVALUE(B2299),"yyyy-mm")</f>
        <v/>
      </c>
    </row>
    <row r="2300">
      <c r="A2300" s="2" t="inlineStr">
        <is>
          <t>O001712</t>
        </is>
      </c>
      <c r="B2300" s="2" t="inlineStr">
        <is>
          <t>2025-06-13</t>
        </is>
      </c>
      <c r="C2300" s="2" t="inlineStr">
        <is>
          <t>C0276</t>
        </is>
      </c>
      <c r="D2300" s="2" t="inlineStr">
        <is>
          <t>P0034</t>
        </is>
      </c>
      <c r="E2300" s="2" t="inlineStr">
        <is>
          <t>Gym Gloves</t>
        </is>
      </c>
      <c r="F2300" s="2" t="inlineStr">
        <is>
          <t>Sports</t>
        </is>
      </c>
      <c r="G2300" s="2" t="inlineStr">
        <is>
          <t>North</t>
        </is>
      </c>
      <c r="H2300" s="2" t="inlineStr">
        <is>
          <t>Uttar Pradesh</t>
        </is>
      </c>
      <c r="I2300" s="2" t="inlineStr">
        <is>
          <t>Noida</t>
        </is>
      </c>
      <c r="J2300" s="2" t="inlineStr">
        <is>
          <t>Online</t>
        </is>
      </c>
      <c r="K2300" s="2" t="n">
        <v>1</v>
      </c>
      <c r="L2300" s="3" t="n">
        <v>600.84</v>
      </c>
      <c r="M2300" s="4" t="n">
        <v>0.15</v>
      </c>
      <c r="N2300" s="3" t="n">
        <v>405.66</v>
      </c>
      <c r="O2300" s="3">
        <f>K2300*L2300*(1-M2300)</f>
        <v/>
      </c>
      <c r="P2300" s="3">
        <f>O2300-N2300</f>
        <v/>
      </c>
      <c r="Q2300" s="5">
        <f>IFERROR(P2300/O2300,0)</f>
        <v/>
      </c>
      <c r="R2300" s="2">
        <f>TEXT(DATEVALUE(B2300),"mmm")</f>
        <v/>
      </c>
      <c r="S2300" s="2">
        <f>TEXT(DATEVALUE(B2300),"yyyy-mm")</f>
        <v/>
      </c>
    </row>
    <row r="2301">
      <c r="A2301" s="2" t="inlineStr">
        <is>
          <t>O001381</t>
        </is>
      </c>
      <c r="B2301" s="2" t="inlineStr">
        <is>
          <t>2025-06-13</t>
        </is>
      </c>
      <c r="C2301" s="2" t="inlineStr">
        <is>
          <t>C0314</t>
        </is>
      </c>
      <c r="D2301" s="2" t="inlineStr">
        <is>
          <t>P0009</t>
        </is>
      </c>
      <c r="E2301" s="2" t="inlineStr">
        <is>
          <t>Electric Kettle</t>
        </is>
      </c>
      <c r="F2301" s="2" t="inlineStr">
        <is>
          <t>Home &amp; Kitchen</t>
        </is>
      </c>
      <c r="G2301" s="2" t="inlineStr">
        <is>
          <t>East</t>
        </is>
      </c>
      <c r="H2301" s="2" t="inlineStr">
        <is>
          <t>Odisha</t>
        </is>
      </c>
      <c r="I2301" s="2" t="inlineStr">
        <is>
          <t>Cuttack</t>
        </is>
      </c>
      <c r="J2301" s="2" t="inlineStr">
        <is>
          <t>Online</t>
        </is>
      </c>
      <c r="K2301" s="2" t="n">
        <v>2</v>
      </c>
      <c r="L2301" s="3" t="n">
        <v>2125.28</v>
      </c>
      <c r="M2301" s="4" t="n">
        <v>0.05</v>
      </c>
      <c r="N2301" s="3" t="n">
        <v>2194.33</v>
      </c>
      <c r="O2301" s="3">
        <f>K2301*L2301*(1-M2301)</f>
        <v/>
      </c>
      <c r="P2301" s="3">
        <f>O2301-N2301</f>
        <v/>
      </c>
      <c r="Q2301" s="5">
        <f>IFERROR(P2301/O2301,0)</f>
        <v/>
      </c>
      <c r="R2301" s="2">
        <f>TEXT(DATEVALUE(B2301),"mmm")</f>
        <v/>
      </c>
      <c r="S2301" s="2">
        <f>TEXT(DATEVALUE(B2301),"yyyy-mm")</f>
        <v/>
      </c>
    </row>
    <row r="2302">
      <c r="A2302" s="2" t="inlineStr">
        <is>
          <t>O000691</t>
        </is>
      </c>
      <c r="B2302" s="2" t="inlineStr">
        <is>
          <t>2025-06-13</t>
        </is>
      </c>
      <c r="C2302" s="2" t="inlineStr">
        <is>
          <t>C0175</t>
        </is>
      </c>
      <c r="D2302" s="2" t="inlineStr">
        <is>
          <t>P0019</t>
        </is>
      </c>
      <c r="E2302" s="2" t="inlineStr">
        <is>
          <t>Jacket</t>
        </is>
      </c>
      <c r="F2302" s="2" t="inlineStr">
        <is>
          <t>Fashion</t>
        </is>
      </c>
      <c r="G2302" s="2" t="inlineStr">
        <is>
          <t>South</t>
        </is>
      </c>
      <c r="H2302" s="2" t="inlineStr">
        <is>
          <t>Tamil Nadu</t>
        </is>
      </c>
      <c r="I2302" s="2" t="inlineStr">
        <is>
          <t>Coimbatore</t>
        </is>
      </c>
      <c r="J2302" s="2" t="inlineStr">
        <is>
          <t>Store</t>
        </is>
      </c>
      <c r="K2302" s="2" t="n">
        <v>1</v>
      </c>
      <c r="L2302" s="3" t="n">
        <v>1049.07</v>
      </c>
      <c r="M2302" s="4" t="n">
        <v>0.1</v>
      </c>
      <c r="N2302" s="3" t="n">
        <v>673.42</v>
      </c>
      <c r="O2302" s="3">
        <f>K2302*L2302*(1-M2302)</f>
        <v/>
      </c>
      <c r="P2302" s="3">
        <f>O2302-N2302</f>
        <v/>
      </c>
      <c r="Q2302" s="5">
        <f>IFERROR(P2302/O2302,0)</f>
        <v/>
      </c>
      <c r="R2302" s="2">
        <f>TEXT(DATEVALUE(B2302),"mmm")</f>
        <v/>
      </c>
      <c r="S2302" s="2">
        <f>TEXT(DATEVALUE(B2302),"yyyy-mm")</f>
        <v/>
      </c>
    </row>
    <row r="2303">
      <c r="A2303" s="2" t="inlineStr">
        <is>
          <t>O000669</t>
        </is>
      </c>
      <c r="B2303" s="2" t="inlineStr">
        <is>
          <t>2025-06-13</t>
        </is>
      </c>
      <c r="C2303" s="2" t="inlineStr">
        <is>
          <t>C0206</t>
        </is>
      </c>
      <c r="D2303" s="2" t="inlineStr">
        <is>
          <t>P0033</t>
        </is>
      </c>
      <c r="E2303" s="2" t="inlineStr">
        <is>
          <t>Resistance Bands</t>
        </is>
      </c>
      <c r="F2303" s="2" t="inlineStr">
        <is>
          <t>Sports</t>
        </is>
      </c>
      <c r="G2303" s="2" t="inlineStr">
        <is>
          <t>North</t>
        </is>
      </c>
      <c r="H2303" s="2" t="inlineStr">
        <is>
          <t>Haryana</t>
        </is>
      </c>
      <c r="I2303" s="2" t="inlineStr">
        <is>
          <t>Faridabad</t>
        </is>
      </c>
      <c r="J2303" s="2" t="inlineStr">
        <is>
          <t>Online</t>
        </is>
      </c>
      <c r="K2303" s="2" t="n">
        <v>5</v>
      </c>
      <c r="L2303" s="3" t="n">
        <v>1077.01</v>
      </c>
      <c r="M2303" s="4" t="n">
        <v>0.05</v>
      </c>
      <c r="N2303" s="3" t="n">
        <v>3801.78</v>
      </c>
      <c r="O2303" s="3">
        <f>K2303*L2303*(1-M2303)</f>
        <v/>
      </c>
      <c r="P2303" s="3">
        <f>O2303-N2303</f>
        <v/>
      </c>
      <c r="Q2303" s="5">
        <f>IFERROR(P2303/O2303,0)</f>
        <v/>
      </c>
      <c r="R2303" s="2">
        <f>TEXT(DATEVALUE(B2303),"mmm")</f>
        <v/>
      </c>
      <c r="S2303" s="2">
        <f>TEXT(DATEVALUE(B2303),"yyyy-mm")</f>
        <v/>
      </c>
    </row>
    <row r="2304">
      <c r="A2304" s="2" t="inlineStr">
        <is>
          <t>O000540</t>
        </is>
      </c>
      <c r="B2304" s="2" t="inlineStr">
        <is>
          <t>2025-06-13</t>
        </is>
      </c>
      <c r="C2304" s="2" t="inlineStr">
        <is>
          <t>C0354</t>
        </is>
      </c>
      <c r="D2304" s="2" t="inlineStr">
        <is>
          <t>P0021</t>
        </is>
      </c>
      <c r="E2304" s="2" t="inlineStr">
        <is>
          <t>Wallet</t>
        </is>
      </c>
      <c r="F2304" s="2" t="inlineStr">
        <is>
          <t>Fashion</t>
        </is>
      </c>
      <c r="G2304" s="2" t="inlineStr">
        <is>
          <t>South</t>
        </is>
      </c>
      <c r="H2304" s="2" t="inlineStr">
        <is>
          <t>Telangana</t>
        </is>
      </c>
      <c r="I2304" s="2" t="inlineStr">
        <is>
          <t>Warangal</t>
        </is>
      </c>
      <c r="J2304" s="2" t="inlineStr">
        <is>
          <t>Online</t>
        </is>
      </c>
      <c r="K2304" s="2" t="n">
        <v>6</v>
      </c>
      <c r="L2304" s="3" t="n">
        <v>2044.73</v>
      </c>
      <c r="M2304" s="4" t="n">
        <v>0.1</v>
      </c>
      <c r="N2304" s="3" t="n">
        <v>7359.73</v>
      </c>
      <c r="O2304" s="3">
        <f>K2304*L2304*(1-M2304)</f>
        <v/>
      </c>
      <c r="P2304" s="3">
        <f>O2304-N2304</f>
        <v/>
      </c>
      <c r="Q2304" s="5">
        <f>IFERROR(P2304/O2304,0)</f>
        <v/>
      </c>
      <c r="R2304" s="2">
        <f>TEXT(DATEVALUE(B2304),"mmm")</f>
        <v/>
      </c>
      <c r="S2304" s="2">
        <f>TEXT(DATEVALUE(B2304),"yyyy-mm")</f>
        <v/>
      </c>
    </row>
    <row r="2305">
      <c r="A2305" s="2" t="inlineStr">
        <is>
          <t>O002398</t>
        </is>
      </c>
      <c r="B2305" s="2" t="inlineStr">
        <is>
          <t>2025-06-13</t>
        </is>
      </c>
      <c r="C2305" s="2" t="inlineStr">
        <is>
          <t>C0323</t>
        </is>
      </c>
      <c r="D2305" s="2" t="inlineStr">
        <is>
          <t>P0006</t>
        </is>
      </c>
      <c r="E2305" s="2" t="inlineStr">
        <is>
          <t>Mechanical Keyboard</t>
        </is>
      </c>
      <c r="F2305" s="2" t="inlineStr">
        <is>
          <t>Electronics</t>
        </is>
      </c>
      <c r="G2305" s="2" t="inlineStr">
        <is>
          <t>South</t>
        </is>
      </c>
      <c r="H2305" s="2" t="inlineStr">
        <is>
          <t>Telangana</t>
        </is>
      </c>
      <c r="I2305" s="2" t="inlineStr">
        <is>
          <t>Warangal</t>
        </is>
      </c>
      <c r="J2305" s="2" t="inlineStr">
        <is>
          <t>Store</t>
        </is>
      </c>
      <c r="K2305" s="2" t="n">
        <v>2</v>
      </c>
      <c r="L2305" s="3" t="n">
        <v>2780.7</v>
      </c>
      <c r="M2305" s="4" t="n">
        <v>0</v>
      </c>
      <c r="N2305" s="3" t="n">
        <v>2907.66</v>
      </c>
      <c r="O2305" s="3">
        <f>K2305*L2305*(1-M2305)</f>
        <v/>
      </c>
      <c r="P2305" s="3">
        <f>O2305-N2305</f>
        <v/>
      </c>
      <c r="Q2305" s="5">
        <f>IFERROR(P2305/O2305,0)</f>
        <v/>
      </c>
      <c r="R2305" s="2">
        <f>TEXT(DATEVALUE(B2305),"mmm")</f>
        <v/>
      </c>
      <c r="S2305" s="2">
        <f>TEXT(DATEVALUE(B2305),"yyyy-mm")</f>
        <v/>
      </c>
    </row>
    <row r="2306">
      <c r="A2306" s="2" t="inlineStr">
        <is>
          <t>O004791</t>
        </is>
      </c>
      <c r="B2306" s="2" t="inlineStr">
        <is>
          <t>2025-06-14</t>
        </is>
      </c>
      <c r="C2306" s="2" t="inlineStr">
        <is>
          <t>C0090</t>
        </is>
      </c>
      <c r="D2306" s="2" t="inlineStr">
        <is>
          <t>P0014</t>
        </is>
      </c>
      <c r="E2306" s="2" t="inlineStr">
        <is>
          <t>Coffee Maker</t>
        </is>
      </c>
      <c r="F2306" s="2" t="inlineStr">
        <is>
          <t>Home &amp; Kitchen</t>
        </is>
      </c>
      <c r="G2306" s="2" t="inlineStr">
        <is>
          <t>West</t>
        </is>
      </c>
      <c r="H2306" s="2" t="inlineStr">
        <is>
          <t>Goa</t>
        </is>
      </c>
      <c r="I2306" s="2" t="inlineStr">
        <is>
          <t>Margao</t>
        </is>
      </c>
      <c r="J2306" s="2" t="inlineStr">
        <is>
          <t>Store</t>
        </is>
      </c>
      <c r="K2306" s="2" t="n">
        <v>1</v>
      </c>
      <c r="L2306" s="3" t="n">
        <v>1016.62</v>
      </c>
      <c r="M2306" s="4" t="n">
        <v>0</v>
      </c>
      <c r="N2306" s="3" t="n">
        <v>775.3200000000001</v>
      </c>
      <c r="O2306" s="3">
        <f>K2306*L2306*(1-M2306)</f>
        <v/>
      </c>
      <c r="P2306" s="3">
        <f>O2306-N2306</f>
        <v/>
      </c>
      <c r="Q2306" s="5">
        <f>IFERROR(P2306/O2306,0)</f>
        <v/>
      </c>
      <c r="R2306" s="2">
        <f>TEXT(DATEVALUE(B2306),"mmm")</f>
        <v/>
      </c>
      <c r="S2306" s="2">
        <f>TEXT(DATEVALUE(B2306),"yyyy-mm")</f>
        <v/>
      </c>
    </row>
    <row r="2307">
      <c r="A2307" s="2" t="inlineStr">
        <is>
          <t>O003795</t>
        </is>
      </c>
      <c r="B2307" s="2" t="inlineStr">
        <is>
          <t>2025-06-14</t>
        </is>
      </c>
      <c r="C2307" s="2" t="inlineStr">
        <is>
          <t>C0734</t>
        </is>
      </c>
      <c r="D2307" s="2" t="inlineStr">
        <is>
          <t>P0021</t>
        </is>
      </c>
      <c r="E2307" s="2" t="inlineStr">
        <is>
          <t>Wallet</t>
        </is>
      </c>
      <c r="F2307" s="2" t="inlineStr">
        <is>
          <t>Fashion</t>
        </is>
      </c>
      <c r="G2307" s="2" t="inlineStr">
        <is>
          <t>South</t>
        </is>
      </c>
      <c r="H2307" s="2" t="inlineStr">
        <is>
          <t>Kerala</t>
        </is>
      </c>
      <c r="I2307" s="2" t="inlineStr">
        <is>
          <t>Thiruvananthapuram</t>
        </is>
      </c>
      <c r="J2307" s="2" t="inlineStr">
        <is>
          <t>Online</t>
        </is>
      </c>
      <c r="K2307" s="2" t="n">
        <v>1</v>
      </c>
      <c r="L2307" s="3" t="n">
        <v>2096.6</v>
      </c>
      <c r="M2307" s="4" t="n">
        <v>0.05</v>
      </c>
      <c r="N2307" s="3" t="n">
        <v>1201.42</v>
      </c>
      <c r="O2307" s="3">
        <f>K2307*L2307*(1-M2307)</f>
        <v/>
      </c>
      <c r="P2307" s="3">
        <f>O2307-N2307</f>
        <v/>
      </c>
      <c r="Q2307" s="5">
        <f>IFERROR(P2307/O2307,0)</f>
        <v/>
      </c>
      <c r="R2307" s="2">
        <f>TEXT(DATEVALUE(B2307),"mmm")</f>
        <v/>
      </c>
      <c r="S2307" s="2">
        <f>TEXT(DATEVALUE(B2307),"yyyy-mm")</f>
        <v/>
      </c>
    </row>
    <row r="2308">
      <c r="A2308" s="2" t="inlineStr">
        <is>
          <t>O003474</t>
        </is>
      </c>
      <c r="B2308" s="2" t="inlineStr">
        <is>
          <t>2025-06-14</t>
        </is>
      </c>
      <c r="C2308" s="2" t="inlineStr">
        <is>
          <t>C0155</t>
        </is>
      </c>
      <c r="D2308" s="2" t="inlineStr">
        <is>
          <t>P0018</t>
        </is>
      </c>
      <c r="E2308" s="2" t="inlineStr">
        <is>
          <t>Backpack</t>
        </is>
      </c>
      <c r="F2308" s="2" t="inlineStr">
        <is>
          <t>Fashion</t>
        </is>
      </c>
      <c r="G2308" s="2" t="inlineStr">
        <is>
          <t>South</t>
        </is>
      </c>
      <c r="H2308" s="2" t="inlineStr">
        <is>
          <t>Kerala</t>
        </is>
      </c>
      <c r="I2308" s="2" t="inlineStr">
        <is>
          <t>Thiruvananthapuram</t>
        </is>
      </c>
      <c r="J2308" s="2" t="inlineStr">
        <is>
          <t>Online</t>
        </is>
      </c>
      <c r="K2308" s="2" t="n">
        <v>2</v>
      </c>
      <c r="L2308" s="3" t="n">
        <v>1845</v>
      </c>
      <c r="M2308" s="4" t="n">
        <v>0.1</v>
      </c>
      <c r="N2308" s="3" t="n">
        <v>2795.1</v>
      </c>
      <c r="O2308" s="3">
        <f>K2308*L2308*(1-M2308)</f>
        <v/>
      </c>
      <c r="P2308" s="3">
        <f>O2308-N2308</f>
        <v/>
      </c>
      <c r="Q2308" s="5">
        <f>IFERROR(P2308/O2308,0)</f>
        <v/>
      </c>
      <c r="R2308" s="2">
        <f>TEXT(DATEVALUE(B2308),"mmm")</f>
        <v/>
      </c>
      <c r="S2308" s="2">
        <f>TEXT(DATEVALUE(B2308),"yyyy-mm")</f>
        <v/>
      </c>
    </row>
    <row r="2309">
      <c r="A2309" s="2" t="inlineStr">
        <is>
          <t>O003440</t>
        </is>
      </c>
      <c r="B2309" s="2" t="inlineStr">
        <is>
          <t>2025-06-14</t>
        </is>
      </c>
      <c r="C2309" s="2" t="inlineStr">
        <is>
          <t>C0675</t>
        </is>
      </c>
      <c r="D2309" s="2" t="inlineStr">
        <is>
          <t>P0001</t>
        </is>
      </c>
      <c r="E2309" s="2" t="inlineStr">
        <is>
          <t>Wireless Headphones</t>
        </is>
      </c>
      <c r="F2309" s="2" t="inlineStr">
        <is>
          <t>Electronics</t>
        </is>
      </c>
      <c r="G2309" s="2" t="inlineStr">
        <is>
          <t>West</t>
        </is>
      </c>
      <c r="H2309" s="2" t="inlineStr">
        <is>
          <t>Maharashtra</t>
        </is>
      </c>
      <c r="I2309" s="2" t="inlineStr">
        <is>
          <t>Pune</t>
        </is>
      </c>
      <c r="J2309" s="2" t="inlineStr">
        <is>
          <t>Store</t>
        </is>
      </c>
      <c r="K2309" s="2" t="n">
        <v>2</v>
      </c>
      <c r="L2309" s="3" t="n">
        <v>1354.02</v>
      </c>
      <c r="M2309" s="4" t="n">
        <v>0.1</v>
      </c>
      <c r="N2309" s="3" t="n">
        <v>1432.92</v>
      </c>
      <c r="O2309" s="3">
        <f>K2309*L2309*(1-M2309)</f>
        <v/>
      </c>
      <c r="P2309" s="3">
        <f>O2309-N2309</f>
        <v/>
      </c>
      <c r="Q2309" s="5">
        <f>IFERROR(P2309/O2309,0)</f>
        <v/>
      </c>
      <c r="R2309" s="2">
        <f>TEXT(DATEVALUE(B2309),"mmm")</f>
        <v/>
      </c>
      <c r="S2309" s="2">
        <f>TEXT(DATEVALUE(B2309),"yyyy-mm")</f>
        <v/>
      </c>
    </row>
    <row r="2310">
      <c r="A2310" s="2" t="inlineStr">
        <is>
          <t>O002875</t>
        </is>
      </c>
      <c r="B2310" s="2" t="inlineStr">
        <is>
          <t>2025-06-14</t>
        </is>
      </c>
      <c r="C2310" s="2" t="inlineStr">
        <is>
          <t>C0744</t>
        </is>
      </c>
      <c r="D2310" s="2" t="inlineStr">
        <is>
          <t>P0007</t>
        </is>
      </c>
      <c r="E2310" s="2" t="inlineStr">
        <is>
          <t>Wireless Mouse</t>
        </is>
      </c>
      <c r="F2310" s="2" t="inlineStr">
        <is>
          <t>Electronics</t>
        </is>
      </c>
      <c r="G2310" s="2" t="inlineStr">
        <is>
          <t>South</t>
        </is>
      </c>
      <c r="H2310" s="2" t="inlineStr">
        <is>
          <t>Tamil Nadu</t>
        </is>
      </c>
      <c r="I2310" s="2" t="inlineStr">
        <is>
          <t>Madurai</t>
        </is>
      </c>
      <c r="J2310" s="2" t="inlineStr">
        <is>
          <t>Online</t>
        </is>
      </c>
      <c r="K2310" s="2" t="n">
        <v>3</v>
      </c>
      <c r="L2310" s="3" t="n">
        <v>946.73</v>
      </c>
      <c r="M2310" s="4" t="n">
        <v>0.1</v>
      </c>
      <c r="N2310" s="3" t="n">
        <v>1911.31</v>
      </c>
      <c r="O2310" s="3">
        <f>K2310*L2310*(1-M2310)</f>
        <v/>
      </c>
      <c r="P2310" s="3">
        <f>O2310-N2310</f>
        <v/>
      </c>
      <c r="Q2310" s="5">
        <f>IFERROR(P2310/O2310,0)</f>
        <v/>
      </c>
      <c r="R2310" s="2">
        <f>TEXT(DATEVALUE(B2310),"mmm")</f>
        <v/>
      </c>
      <c r="S2310" s="2">
        <f>TEXT(DATEVALUE(B2310),"yyyy-mm")</f>
        <v/>
      </c>
    </row>
    <row r="2311">
      <c r="A2311" s="2" t="inlineStr">
        <is>
          <t>O001996</t>
        </is>
      </c>
      <c r="B2311" s="2" t="inlineStr">
        <is>
          <t>2025-06-14</t>
        </is>
      </c>
      <c r="C2311" s="2" t="inlineStr">
        <is>
          <t>C0371</t>
        </is>
      </c>
      <c r="D2311" s="2" t="inlineStr">
        <is>
          <t>P0026</t>
        </is>
      </c>
      <c r="E2311" s="2" t="inlineStr">
        <is>
          <t>Shampoo</t>
        </is>
      </c>
      <c r="F2311" s="2" t="inlineStr">
        <is>
          <t>Beauty</t>
        </is>
      </c>
      <c r="G2311" s="2" t="inlineStr">
        <is>
          <t>East</t>
        </is>
      </c>
      <c r="H2311" s="2" t="inlineStr">
        <is>
          <t>Bihar</t>
        </is>
      </c>
      <c r="I2311" s="2" t="inlineStr">
        <is>
          <t>Gaya</t>
        </is>
      </c>
      <c r="J2311" s="2" t="inlineStr">
        <is>
          <t>Store</t>
        </is>
      </c>
      <c r="K2311" s="2" t="n">
        <v>4</v>
      </c>
      <c r="L2311" s="3" t="n">
        <v>866.4400000000001</v>
      </c>
      <c r="M2311" s="4" t="n">
        <v>0</v>
      </c>
      <c r="N2311" s="3" t="n">
        <v>2028.41</v>
      </c>
      <c r="O2311" s="3">
        <f>K2311*L2311*(1-M2311)</f>
        <v/>
      </c>
      <c r="P2311" s="3">
        <f>O2311-N2311</f>
        <v/>
      </c>
      <c r="Q2311" s="5">
        <f>IFERROR(P2311/O2311,0)</f>
        <v/>
      </c>
      <c r="R2311" s="2">
        <f>TEXT(DATEVALUE(B2311),"mmm")</f>
        <v/>
      </c>
      <c r="S2311" s="2">
        <f>TEXT(DATEVALUE(B2311),"yyyy-mm")</f>
        <v/>
      </c>
    </row>
    <row r="2312">
      <c r="A2312" s="2" t="inlineStr">
        <is>
          <t>O004551</t>
        </is>
      </c>
      <c r="B2312" s="2" t="inlineStr">
        <is>
          <t>2025-06-14</t>
        </is>
      </c>
      <c r="C2312" s="2" t="inlineStr">
        <is>
          <t>C0314</t>
        </is>
      </c>
      <c r="D2312" s="2" t="inlineStr">
        <is>
          <t>P0022</t>
        </is>
      </c>
      <c r="E2312" s="2" t="inlineStr">
        <is>
          <t>Face Wash</t>
        </is>
      </c>
      <c r="F2312" s="2" t="inlineStr">
        <is>
          <t>Beauty</t>
        </is>
      </c>
      <c r="G2312" s="2" t="inlineStr">
        <is>
          <t>East</t>
        </is>
      </c>
      <c r="H2312" s="2" t="inlineStr">
        <is>
          <t>Odisha</t>
        </is>
      </c>
      <c r="I2312" s="2" t="inlineStr">
        <is>
          <t>Bhubaneswar</t>
        </is>
      </c>
      <c r="J2312" s="2" t="inlineStr">
        <is>
          <t>Store</t>
        </is>
      </c>
      <c r="K2312" s="2" t="n">
        <v>1</v>
      </c>
      <c r="L2312" s="3" t="n">
        <v>543.13</v>
      </c>
      <c r="M2312" s="4" t="n">
        <v>0</v>
      </c>
      <c r="N2312" s="3" t="n">
        <v>347.29</v>
      </c>
      <c r="O2312" s="3">
        <f>K2312*L2312*(1-M2312)</f>
        <v/>
      </c>
      <c r="P2312" s="3">
        <f>O2312-N2312</f>
        <v/>
      </c>
      <c r="Q2312" s="5">
        <f>IFERROR(P2312/O2312,0)</f>
        <v/>
      </c>
      <c r="R2312" s="2">
        <f>TEXT(DATEVALUE(B2312),"mmm")</f>
        <v/>
      </c>
      <c r="S2312" s="2">
        <f>TEXT(DATEVALUE(B2312),"yyyy-mm")</f>
        <v/>
      </c>
    </row>
    <row r="2313">
      <c r="A2313" s="2" t="inlineStr">
        <is>
          <t>O001274</t>
        </is>
      </c>
      <c r="B2313" s="2" t="inlineStr">
        <is>
          <t>2025-06-14</t>
        </is>
      </c>
      <c r="C2313" s="2" t="inlineStr">
        <is>
          <t>C0279</t>
        </is>
      </c>
      <c r="D2313" s="2" t="inlineStr">
        <is>
          <t>P0011</t>
        </is>
      </c>
      <c r="E2313" s="2" t="inlineStr">
        <is>
          <t>Cookware Set</t>
        </is>
      </c>
      <c r="F2313" s="2" t="inlineStr">
        <is>
          <t>Home &amp; Kitchen</t>
        </is>
      </c>
      <c r="G2313" s="2" t="inlineStr">
        <is>
          <t>North</t>
        </is>
      </c>
      <c r="H2313" s="2" t="inlineStr">
        <is>
          <t>Uttar Pradesh</t>
        </is>
      </c>
      <c r="I2313" s="2" t="inlineStr">
        <is>
          <t>Kanpur</t>
        </is>
      </c>
      <c r="J2313" s="2" t="inlineStr">
        <is>
          <t>Online</t>
        </is>
      </c>
      <c r="K2313" s="2" t="n">
        <v>2</v>
      </c>
      <c r="L2313" s="3" t="n">
        <v>721.04</v>
      </c>
      <c r="M2313" s="4" t="n">
        <v>0.05</v>
      </c>
      <c r="N2313" s="3" t="n">
        <v>952.61</v>
      </c>
      <c r="O2313" s="3">
        <f>K2313*L2313*(1-M2313)</f>
        <v/>
      </c>
      <c r="P2313" s="3">
        <f>O2313-N2313</f>
        <v/>
      </c>
      <c r="Q2313" s="5">
        <f>IFERROR(P2313/O2313,0)</f>
        <v/>
      </c>
      <c r="R2313" s="2">
        <f>TEXT(DATEVALUE(B2313),"mmm")</f>
        <v/>
      </c>
      <c r="S2313" s="2">
        <f>TEXT(DATEVALUE(B2313),"yyyy-mm")</f>
        <v/>
      </c>
    </row>
    <row r="2314">
      <c r="A2314" s="2" t="inlineStr">
        <is>
          <t>O001044</t>
        </is>
      </c>
      <c r="B2314" s="2" t="inlineStr">
        <is>
          <t>2025-06-14</t>
        </is>
      </c>
      <c r="C2314" s="2" t="inlineStr">
        <is>
          <t>C0062</t>
        </is>
      </c>
      <c r="D2314" s="2" t="inlineStr">
        <is>
          <t>P0034</t>
        </is>
      </c>
      <c r="E2314" s="2" t="inlineStr">
        <is>
          <t>Gym Gloves</t>
        </is>
      </c>
      <c r="F2314" s="2" t="inlineStr">
        <is>
          <t>Sports</t>
        </is>
      </c>
      <c r="G2314" s="2" t="inlineStr">
        <is>
          <t>South</t>
        </is>
      </c>
      <c r="H2314" s="2" t="inlineStr">
        <is>
          <t>Kerala</t>
        </is>
      </c>
      <c r="I2314" s="2" t="inlineStr">
        <is>
          <t>Kochi</t>
        </is>
      </c>
      <c r="J2314" s="2" t="inlineStr">
        <is>
          <t>Store</t>
        </is>
      </c>
      <c r="K2314" s="2" t="n">
        <v>1</v>
      </c>
      <c r="L2314" s="3" t="n">
        <v>601.46</v>
      </c>
      <c r="M2314" s="4" t="n">
        <v>0.25</v>
      </c>
      <c r="N2314" s="3" t="n">
        <v>404.08</v>
      </c>
      <c r="O2314" s="3">
        <f>K2314*L2314*(1-M2314)</f>
        <v/>
      </c>
      <c r="P2314" s="3">
        <f>O2314-N2314</f>
        <v/>
      </c>
      <c r="Q2314" s="5">
        <f>IFERROR(P2314/O2314,0)</f>
        <v/>
      </c>
      <c r="R2314" s="2">
        <f>TEXT(DATEVALUE(B2314),"mmm")</f>
        <v/>
      </c>
      <c r="S2314" s="2">
        <f>TEXT(DATEVALUE(B2314),"yyyy-mm")</f>
        <v/>
      </c>
    </row>
    <row r="2315">
      <c r="A2315" s="2" t="inlineStr">
        <is>
          <t>O000750</t>
        </is>
      </c>
      <c r="B2315" s="2" t="inlineStr">
        <is>
          <t>2025-06-14</t>
        </is>
      </c>
      <c r="C2315" s="2" t="inlineStr">
        <is>
          <t>C0254</t>
        </is>
      </c>
      <c r="D2315" s="2" t="inlineStr">
        <is>
          <t>P0027</t>
        </is>
      </c>
      <c r="E2315" s="2" t="inlineStr">
        <is>
          <t>Moisturizer</t>
        </is>
      </c>
      <c r="F2315" s="2" t="inlineStr">
        <is>
          <t>Beauty</t>
        </is>
      </c>
      <c r="G2315" s="2" t="inlineStr">
        <is>
          <t>West</t>
        </is>
      </c>
      <c r="H2315" s="2" t="inlineStr">
        <is>
          <t>Gujarat</t>
        </is>
      </c>
      <c r="I2315" s="2" t="inlineStr">
        <is>
          <t>Surat</t>
        </is>
      </c>
      <c r="J2315" s="2" t="inlineStr">
        <is>
          <t>Online</t>
        </is>
      </c>
      <c r="K2315" s="2" t="n">
        <v>1</v>
      </c>
      <c r="L2315" s="3" t="n">
        <v>926.14</v>
      </c>
      <c r="M2315" s="4" t="n">
        <v>0.1</v>
      </c>
      <c r="N2315" s="3" t="n">
        <v>691.58</v>
      </c>
      <c r="O2315" s="3">
        <f>K2315*L2315*(1-M2315)</f>
        <v/>
      </c>
      <c r="P2315" s="3">
        <f>O2315-N2315</f>
        <v/>
      </c>
      <c r="Q2315" s="5">
        <f>IFERROR(P2315/O2315,0)</f>
        <v/>
      </c>
      <c r="R2315" s="2">
        <f>TEXT(DATEVALUE(B2315),"mmm")</f>
        <v/>
      </c>
      <c r="S2315" s="2">
        <f>TEXT(DATEVALUE(B2315),"yyyy-mm")</f>
        <v/>
      </c>
    </row>
    <row r="2316">
      <c r="A2316" s="2" t="inlineStr">
        <is>
          <t>O000616</t>
        </is>
      </c>
      <c r="B2316" s="2" t="inlineStr">
        <is>
          <t>2025-06-14</t>
        </is>
      </c>
      <c r="C2316" s="2" t="inlineStr">
        <is>
          <t>C0639</t>
        </is>
      </c>
      <c r="D2316" s="2" t="inlineStr">
        <is>
          <t>P0029</t>
        </is>
      </c>
      <c r="E2316" s="2" t="inlineStr">
        <is>
          <t>Yoga Mat</t>
        </is>
      </c>
      <c r="F2316" s="2" t="inlineStr">
        <is>
          <t>Sports</t>
        </is>
      </c>
      <c r="G2316" s="2" t="inlineStr">
        <is>
          <t>North</t>
        </is>
      </c>
      <c r="H2316" s="2" t="inlineStr">
        <is>
          <t>Delhi</t>
        </is>
      </c>
      <c r="I2316" s="2" t="inlineStr">
        <is>
          <t>New Delhi</t>
        </is>
      </c>
      <c r="J2316" s="2" t="inlineStr">
        <is>
          <t>Store</t>
        </is>
      </c>
      <c r="K2316" s="2" t="n">
        <v>1</v>
      </c>
      <c r="L2316" s="3" t="n">
        <v>2406.67</v>
      </c>
      <c r="M2316" s="4" t="n">
        <v>0.05</v>
      </c>
      <c r="N2316" s="3" t="n">
        <v>1278.83</v>
      </c>
      <c r="O2316" s="3">
        <f>K2316*L2316*(1-M2316)</f>
        <v/>
      </c>
      <c r="P2316" s="3">
        <f>O2316-N2316</f>
        <v/>
      </c>
      <c r="Q2316" s="5">
        <f>IFERROR(P2316/O2316,0)</f>
        <v/>
      </c>
      <c r="R2316" s="2">
        <f>TEXT(DATEVALUE(B2316),"mmm")</f>
        <v/>
      </c>
      <c r="S2316" s="2">
        <f>TEXT(DATEVALUE(B2316),"yyyy-mm")</f>
        <v/>
      </c>
    </row>
    <row r="2317">
      <c r="A2317" s="2" t="inlineStr">
        <is>
          <t>O000185</t>
        </is>
      </c>
      <c r="B2317" s="2" t="inlineStr">
        <is>
          <t>2025-06-14</t>
        </is>
      </c>
      <c r="C2317" s="2" t="inlineStr">
        <is>
          <t>C0588</t>
        </is>
      </c>
      <c r="D2317" s="2" t="inlineStr">
        <is>
          <t>P0012</t>
        </is>
      </c>
      <c r="E2317" s="2" t="inlineStr">
        <is>
          <t>Water Bottle</t>
        </is>
      </c>
      <c r="F2317" s="2" t="inlineStr">
        <is>
          <t>Home &amp; Kitchen</t>
        </is>
      </c>
      <c r="G2317" s="2" t="inlineStr">
        <is>
          <t>North</t>
        </is>
      </c>
      <c r="H2317" s="2" t="inlineStr">
        <is>
          <t>Uttar Pradesh</t>
        </is>
      </c>
      <c r="I2317" s="2" t="inlineStr">
        <is>
          <t>Lucknow</t>
        </is>
      </c>
      <c r="J2317" s="2" t="inlineStr">
        <is>
          <t>Store</t>
        </is>
      </c>
      <c r="K2317" s="2" t="n">
        <v>3</v>
      </c>
      <c r="L2317" s="3" t="n">
        <v>979.64</v>
      </c>
      <c r="M2317" s="4" t="n">
        <v>0.05</v>
      </c>
      <c r="N2317" s="3" t="n">
        <v>1925.06</v>
      </c>
      <c r="O2317" s="3">
        <f>K2317*L2317*(1-M2317)</f>
        <v/>
      </c>
      <c r="P2317" s="3">
        <f>O2317-N2317</f>
        <v/>
      </c>
      <c r="Q2317" s="5">
        <f>IFERROR(P2317/O2317,0)</f>
        <v/>
      </c>
      <c r="R2317" s="2">
        <f>TEXT(DATEVALUE(B2317),"mmm")</f>
        <v/>
      </c>
      <c r="S2317" s="2">
        <f>TEXT(DATEVALUE(B2317),"yyyy-mm")</f>
        <v/>
      </c>
    </row>
    <row r="2318">
      <c r="A2318" s="2" t="inlineStr">
        <is>
          <t>O001346</t>
        </is>
      </c>
      <c r="B2318" s="2" t="inlineStr">
        <is>
          <t>2025-06-14</t>
        </is>
      </c>
      <c r="C2318" s="2" t="inlineStr">
        <is>
          <t>C0430</t>
        </is>
      </c>
      <c r="D2318" s="2" t="inlineStr">
        <is>
          <t>P0018</t>
        </is>
      </c>
      <c r="E2318" s="2" t="inlineStr">
        <is>
          <t>Backpack</t>
        </is>
      </c>
      <c r="F2318" s="2" t="inlineStr">
        <is>
          <t>Fashion</t>
        </is>
      </c>
      <c r="G2318" s="2" t="inlineStr">
        <is>
          <t>West</t>
        </is>
      </c>
      <c r="H2318" s="2" t="inlineStr">
        <is>
          <t>Goa</t>
        </is>
      </c>
      <c r="I2318" s="2" t="inlineStr">
        <is>
          <t>Panaji</t>
        </is>
      </c>
      <c r="J2318" s="2" t="inlineStr">
        <is>
          <t>Store</t>
        </is>
      </c>
      <c r="K2318" s="2" t="n">
        <v>3</v>
      </c>
      <c r="L2318" s="3" t="n">
        <v>1815.77</v>
      </c>
      <c r="M2318" s="4" t="n">
        <v>0</v>
      </c>
      <c r="N2318" s="3" t="n">
        <v>4015.56</v>
      </c>
      <c r="O2318" s="3">
        <f>K2318*L2318*(1-M2318)</f>
        <v/>
      </c>
      <c r="P2318" s="3">
        <f>O2318-N2318</f>
        <v/>
      </c>
      <c r="Q2318" s="5">
        <f>IFERROR(P2318/O2318,0)</f>
        <v/>
      </c>
      <c r="R2318" s="2">
        <f>TEXT(DATEVALUE(B2318),"mmm")</f>
        <v/>
      </c>
      <c r="S2318" s="2">
        <f>TEXT(DATEVALUE(B2318),"yyyy-mm")</f>
        <v/>
      </c>
    </row>
    <row r="2319">
      <c r="A2319" s="2" t="inlineStr">
        <is>
          <t>O004918</t>
        </is>
      </c>
      <c r="B2319" s="2" t="inlineStr">
        <is>
          <t>2025-06-15</t>
        </is>
      </c>
      <c r="C2319" s="2" t="inlineStr">
        <is>
          <t>C0374</t>
        </is>
      </c>
      <c r="D2319" s="2" t="inlineStr">
        <is>
          <t>P0029</t>
        </is>
      </c>
      <c r="E2319" s="2" t="inlineStr">
        <is>
          <t>Yoga Mat</t>
        </is>
      </c>
      <c r="F2319" s="2" t="inlineStr">
        <is>
          <t>Sports</t>
        </is>
      </c>
      <c r="G2319" s="2" t="inlineStr">
        <is>
          <t>North</t>
        </is>
      </c>
      <c r="H2319" s="2" t="inlineStr">
        <is>
          <t>Delhi</t>
        </is>
      </c>
      <c r="I2319" s="2" t="inlineStr">
        <is>
          <t>New Delhi</t>
        </is>
      </c>
      <c r="J2319" s="2" t="inlineStr">
        <is>
          <t>Store</t>
        </is>
      </c>
      <c r="K2319" s="2" t="n">
        <v>3</v>
      </c>
      <c r="L2319" s="3" t="n">
        <v>2476.4</v>
      </c>
      <c r="M2319" s="4" t="n">
        <v>0</v>
      </c>
      <c r="N2319" s="3" t="n">
        <v>3861.19</v>
      </c>
      <c r="O2319" s="3">
        <f>K2319*L2319*(1-M2319)</f>
        <v/>
      </c>
      <c r="P2319" s="3">
        <f>O2319-N2319</f>
        <v/>
      </c>
      <c r="Q2319" s="5">
        <f>IFERROR(P2319/O2319,0)</f>
        <v/>
      </c>
      <c r="R2319" s="2">
        <f>TEXT(DATEVALUE(B2319),"mmm")</f>
        <v/>
      </c>
      <c r="S2319" s="2">
        <f>TEXT(DATEVALUE(B2319),"yyyy-mm")</f>
        <v/>
      </c>
    </row>
    <row r="2320">
      <c r="A2320" s="2" t="inlineStr">
        <is>
          <t>O004880</t>
        </is>
      </c>
      <c r="B2320" s="2" t="inlineStr">
        <is>
          <t>2025-06-15</t>
        </is>
      </c>
      <c r="C2320" s="2" t="inlineStr">
        <is>
          <t>C0296</t>
        </is>
      </c>
      <c r="D2320" s="2" t="inlineStr">
        <is>
          <t>P0002</t>
        </is>
      </c>
      <c r="E2320" s="2" t="inlineStr">
        <is>
          <t>Bluetooth Speaker</t>
        </is>
      </c>
      <c r="F2320" s="2" t="inlineStr">
        <is>
          <t>Electronics</t>
        </is>
      </c>
      <c r="G2320" s="2" t="inlineStr">
        <is>
          <t>East</t>
        </is>
      </c>
      <c r="H2320" s="2" t="inlineStr">
        <is>
          <t>West Bengal</t>
        </is>
      </c>
      <c r="I2320" s="2" t="inlineStr">
        <is>
          <t>Kolkata</t>
        </is>
      </c>
      <c r="J2320" s="2" t="inlineStr">
        <is>
          <t>Store</t>
        </is>
      </c>
      <c r="K2320" s="2" t="n">
        <v>2</v>
      </c>
      <c r="L2320" s="3" t="n">
        <v>1393.6</v>
      </c>
      <c r="M2320" s="4" t="n">
        <v>0</v>
      </c>
      <c r="N2320" s="3" t="n">
        <v>1643.22</v>
      </c>
      <c r="O2320" s="3">
        <f>K2320*L2320*(1-M2320)</f>
        <v/>
      </c>
      <c r="P2320" s="3">
        <f>O2320-N2320</f>
        <v/>
      </c>
      <c r="Q2320" s="5">
        <f>IFERROR(P2320/O2320,0)</f>
        <v/>
      </c>
      <c r="R2320" s="2">
        <f>TEXT(DATEVALUE(B2320),"mmm")</f>
        <v/>
      </c>
      <c r="S2320" s="2">
        <f>TEXT(DATEVALUE(B2320),"yyyy-mm")</f>
        <v/>
      </c>
    </row>
    <row r="2321">
      <c r="A2321" s="2" t="inlineStr">
        <is>
          <t>O004838</t>
        </is>
      </c>
      <c r="B2321" s="2" t="inlineStr">
        <is>
          <t>2025-06-15</t>
        </is>
      </c>
      <c r="C2321" s="2" t="inlineStr">
        <is>
          <t>C0004</t>
        </is>
      </c>
      <c r="D2321" s="2" t="inlineStr">
        <is>
          <t>P0031</t>
        </is>
      </c>
      <c r="E2321" s="2" t="inlineStr">
        <is>
          <t>Cricket Bat</t>
        </is>
      </c>
      <c r="F2321" s="2" t="inlineStr">
        <is>
          <t>Sports</t>
        </is>
      </c>
      <c r="G2321" s="2" t="inlineStr">
        <is>
          <t>West</t>
        </is>
      </c>
      <c r="H2321" s="2" t="inlineStr">
        <is>
          <t>Gujarat</t>
        </is>
      </c>
      <c r="I2321" s="2" t="inlineStr">
        <is>
          <t>Surat</t>
        </is>
      </c>
      <c r="J2321" s="2" t="inlineStr">
        <is>
          <t>Online</t>
        </is>
      </c>
      <c r="K2321" s="2" t="n">
        <v>5</v>
      </c>
      <c r="L2321" s="3" t="n">
        <v>1435.15</v>
      </c>
      <c r="M2321" s="4" t="n">
        <v>0.05</v>
      </c>
      <c r="N2321" s="3" t="n">
        <v>4775.57</v>
      </c>
      <c r="O2321" s="3">
        <f>K2321*L2321*(1-M2321)</f>
        <v/>
      </c>
      <c r="P2321" s="3">
        <f>O2321-N2321</f>
        <v/>
      </c>
      <c r="Q2321" s="5">
        <f>IFERROR(P2321/O2321,0)</f>
        <v/>
      </c>
      <c r="R2321" s="2">
        <f>TEXT(DATEVALUE(B2321),"mmm")</f>
        <v/>
      </c>
      <c r="S2321" s="2">
        <f>TEXT(DATEVALUE(B2321),"yyyy-mm")</f>
        <v/>
      </c>
    </row>
    <row r="2322">
      <c r="A2322" s="2" t="inlineStr">
        <is>
          <t>O004770</t>
        </is>
      </c>
      <c r="B2322" s="2" t="inlineStr">
        <is>
          <t>2025-06-15</t>
        </is>
      </c>
      <c r="C2322" s="2" t="inlineStr">
        <is>
          <t>C0235</t>
        </is>
      </c>
      <c r="D2322" s="2" t="inlineStr">
        <is>
          <t>P0003</t>
        </is>
      </c>
      <c r="E2322" s="2" t="inlineStr">
        <is>
          <t>Smartwatch</t>
        </is>
      </c>
      <c r="F2322" s="2" t="inlineStr">
        <is>
          <t>Electronics</t>
        </is>
      </c>
      <c r="G2322" s="2" t="inlineStr">
        <is>
          <t>North</t>
        </is>
      </c>
      <c r="H2322" s="2" t="inlineStr">
        <is>
          <t>Uttar Pradesh</t>
        </is>
      </c>
      <c r="I2322" s="2" t="inlineStr">
        <is>
          <t>Kanpur</t>
        </is>
      </c>
      <c r="J2322" s="2" t="inlineStr">
        <is>
          <t>Store</t>
        </is>
      </c>
      <c r="K2322" s="2" t="n">
        <v>1</v>
      </c>
      <c r="L2322" s="3" t="n">
        <v>2329.08</v>
      </c>
      <c r="M2322" s="4" t="n">
        <v>0</v>
      </c>
      <c r="N2322" s="3" t="n">
        <v>1173.36</v>
      </c>
      <c r="O2322" s="3">
        <f>K2322*L2322*(1-M2322)</f>
        <v/>
      </c>
      <c r="P2322" s="3">
        <f>O2322-N2322</f>
        <v/>
      </c>
      <c r="Q2322" s="5">
        <f>IFERROR(P2322/O2322,0)</f>
        <v/>
      </c>
      <c r="R2322" s="2">
        <f>TEXT(DATEVALUE(B2322),"mmm")</f>
        <v/>
      </c>
      <c r="S2322" s="2">
        <f>TEXT(DATEVALUE(B2322),"yyyy-mm")</f>
        <v/>
      </c>
    </row>
    <row r="2323">
      <c r="A2323" s="2" t="inlineStr">
        <is>
          <t>O004386</t>
        </is>
      </c>
      <c r="B2323" s="2" t="inlineStr">
        <is>
          <t>2025-06-15</t>
        </is>
      </c>
      <c r="C2323" s="2" t="inlineStr">
        <is>
          <t>C0175</t>
        </is>
      </c>
      <c r="D2323" s="2" t="inlineStr">
        <is>
          <t>P0021</t>
        </is>
      </c>
      <c r="E2323" s="2" t="inlineStr">
        <is>
          <t>Wallet</t>
        </is>
      </c>
      <c r="F2323" s="2" t="inlineStr">
        <is>
          <t>Fashion</t>
        </is>
      </c>
      <c r="G2323" s="2" t="inlineStr">
        <is>
          <t>North</t>
        </is>
      </c>
      <c r="H2323" s="2" t="inlineStr">
        <is>
          <t>Haryana</t>
        </is>
      </c>
      <c r="I2323" s="2" t="inlineStr">
        <is>
          <t>Gurugram</t>
        </is>
      </c>
      <c r="J2323" s="2" t="inlineStr">
        <is>
          <t>Store</t>
        </is>
      </c>
      <c r="K2323" s="2" t="n">
        <v>3</v>
      </c>
      <c r="L2323" s="3" t="n">
        <v>2079.93</v>
      </c>
      <c r="M2323" s="4" t="n">
        <v>0.1</v>
      </c>
      <c r="N2323" s="3" t="n">
        <v>3547.21</v>
      </c>
      <c r="O2323" s="3">
        <f>K2323*L2323*(1-M2323)</f>
        <v/>
      </c>
      <c r="P2323" s="3">
        <f>O2323-N2323</f>
        <v/>
      </c>
      <c r="Q2323" s="5">
        <f>IFERROR(P2323/O2323,0)</f>
        <v/>
      </c>
      <c r="R2323" s="2">
        <f>TEXT(DATEVALUE(B2323),"mmm")</f>
        <v/>
      </c>
      <c r="S2323" s="2">
        <f>TEXT(DATEVALUE(B2323),"yyyy-mm")</f>
        <v/>
      </c>
    </row>
    <row r="2324">
      <c r="A2324" s="2" t="inlineStr">
        <is>
          <t>O004328</t>
        </is>
      </c>
      <c r="B2324" s="2" t="inlineStr">
        <is>
          <t>2025-06-15</t>
        </is>
      </c>
      <c r="C2324" s="2" t="inlineStr">
        <is>
          <t>C0566</t>
        </is>
      </c>
      <c r="D2324" s="2" t="inlineStr">
        <is>
          <t>P0031</t>
        </is>
      </c>
      <c r="E2324" s="2" t="inlineStr">
        <is>
          <t>Cricket Bat</t>
        </is>
      </c>
      <c r="F2324" s="2" t="inlineStr">
        <is>
          <t>Sports</t>
        </is>
      </c>
      <c r="G2324" s="2" t="inlineStr">
        <is>
          <t>West</t>
        </is>
      </c>
      <c r="H2324" s="2" t="inlineStr">
        <is>
          <t>Goa</t>
        </is>
      </c>
      <c r="I2324" s="2" t="inlineStr">
        <is>
          <t>Margao</t>
        </is>
      </c>
      <c r="J2324" s="2" t="inlineStr">
        <is>
          <t>Online</t>
        </is>
      </c>
      <c r="K2324" s="2" t="n">
        <v>2</v>
      </c>
      <c r="L2324" s="3" t="n">
        <v>1431.99</v>
      </c>
      <c r="M2324" s="4" t="n">
        <v>0.1</v>
      </c>
      <c r="N2324" s="3" t="n">
        <v>1910.07</v>
      </c>
      <c r="O2324" s="3">
        <f>K2324*L2324*(1-M2324)</f>
        <v/>
      </c>
      <c r="P2324" s="3">
        <f>O2324-N2324</f>
        <v/>
      </c>
      <c r="Q2324" s="5">
        <f>IFERROR(P2324/O2324,0)</f>
        <v/>
      </c>
      <c r="R2324" s="2">
        <f>TEXT(DATEVALUE(B2324),"mmm")</f>
        <v/>
      </c>
      <c r="S2324" s="2">
        <f>TEXT(DATEVALUE(B2324),"yyyy-mm")</f>
        <v/>
      </c>
    </row>
    <row r="2325">
      <c r="A2325" s="2" t="inlineStr">
        <is>
          <t>O003757</t>
        </is>
      </c>
      <c r="B2325" s="2" t="inlineStr">
        <is>
          <t>2025-06-15</t>
        </is>
      </c>
      <c r="C2325" s="2" t="inlineStr">
        <is>
          <t>C0319</t>
        </is>
      </c>
      <c r="D2325" s="2" t="inlineStr">
        <is>
          <t>P0018</t>
        </is>
      </c>
      <c r="E2325" s="2" t="inlineStr">
        <is>
          <t>Backpack</t>
        </is>
      </c>
      <c r="F2325" s="2" t="inlineStr">
        <is>
          <t>Fashion</t>
        </is>
      </c>
      <c r="G2325" s="2" t="inlineStr">
        <is>
          <t>North</t>
        </is>
      </c>
      <c r="H2325" s="2" t="inlineStr">
        <is>
          <t>Uttar Pradesh</t>
        </is>
      </c>
      <c r="I2325" s="2" t="inlineStr">
        <is>
          <t>Kanpur</t>
        </is>
      </c>
      <c r="J2325" s="2" t="inlineStr">
        <is>
          <t>Online</t>
        </is>
      </c>
      <c r="K2325" s="2" t="n">
        <v>1</v>
      </c>
      <c r="L2325" s="3" t="n">
        <v>1875.47</v>
      </c>
      <c r="M2325" s="4" t="n">
        <v>0</v>
      </c>
      <c r="N2325" s="3" t="n">
        <v>1392.89</v>
      </c>
      <c r="O2325" s="3">
        <f>K2325*L2325*(1-M2325)</f>
        <v/>
      </c>
      <c r="P2325" s="3">
        <f>O2325-N2325</f>
        <v/>
      </c>
      <c r="Q2325" s="5">
        <f>IFERROR(P2325/O2325,0)</f>
        <v/>
      </c>
      <c r="R2325" s="2">
        <f>TEXT(DATEVALUE(B2325),"mmm")</f>
        <v/>
      </c>
      <c r="S2325" s="2">
        <f>TEXT(DATEVALUE(B2325),"yyyy-mm")</f>
        <v/>
      </c>
    </row>
    <row r="2326">
      <c r="A2326" s="2" t="inlineStr">
        <is>
          <t>O003333</t>
        </is>
      </c>
      <c r="B2326" s="2" t="inlineStr">
        <is>
          <t>2025-06-15</t>
        </is>
      </c>
      <c r="C2326" s="2" t="inlineStr">
        <is>
          <t>C0684</t>
        </is>
      </c>
      <c r="D2326" s="2" t="inlineStr">
        <is>
          <t>P0024</t>
        </is>
      </c>
      <c r="E2326" s="2" t="inlineStr">
        <is>
          <t>Hair Dryer</t>
        </is>
      </c>
      <c r="F2326" s="2" t="inlineStr">
        <is>
          <t>Beauty</t>
        </is>
      </c>
      <c r="G2326" s="2" t="inlineStr">
        <is>
          <t>North</t>
        </is>
      </c>
      <c r="H2326" s="2" t="inlineStr">
        <is>
          <t>Delhi</t>
        </is>
      </c>
      <c r="I2326" s="2" t="inlineStr">
        <is>
          <t>New Delhi</t>
        </is>
      </c>
      <c r="J2326" s="2" t="inlineStr">
        <is>
          <t>Online</t>
        </is>
      </c>
      <c r="K2326" s="2" t="n">
        <v>1</v>
      </c>
      <c r="L2326" s="3" t="n">
        <v>1015.14</v>
      </c>
      <c r="M2326" s="4" t="n">
        <v>0.1</v>
      </c>
      <c r="N2326" s="3" t="n">
        <v>737.95</v>
      </c>
      <c r="O2326" s="3">
        <f>K2326*L2326*(1-M2326)</f>
        <v/>
      </c>
      <c r="P2326" s="3">
        <f>O2326-N2326</f>
        <v/>
      </c>
      <c r="Q2326" s="5">
        <f>IFERROR(P2326/O2326,0)</f>
        <v/>
      </c>
      <c r="R2326" s="2">
        <f>TEXT(DATEVALUE(B2326),"mmm")</f>
        <v/>
      </c>
      <c r="S2326" s="2">
        <f>TEXT(DATEVALUE(B2326),"yyyy-mm")</f>
        <v/>
      </c>
    </row>
    <row r="2327">
      <c r="A2327" s="2" t="inlineStr">
        <is>
          <t>O001833</t>
        </is>
      </c>
      <c r="B2327" s="2" t="inlineStr">
        <is>
          <t>2025-06-15</t>
        </is>
      </c>
      <c r="C2327" s="2" t="inlineStr">
        <is>
          <t>C0511</t>
        </is>
      </c>
      <c r="D2327" s="2" t="inlineStr">
        <is>
          <t>P0024</t>
        </is>
      </c>
      <c r="E2327" s="2" t="inlineStr">
        <is>
          <t>Hair Dryer</t>
        </is>
      </c>
      <c r="F2327" s="2" t="inlineStr">
        <is>
          <t>Beauty</t>
        </is>
      </c>
      <c r="G2327" s="2" t="inlineStr">
        <is>
          <t>North</t>
        </is>
      </c>
      <c r="H2327" s="2" t="inlineStr">
        <is>
          <t>Delhi</t>
        </is>
      </c>
      <c r="I2327" s="2" t="inlineStr">
        <is>
          <t>New Delhi</t>
        </is>
      </c>
      <c r="J2327" s="2" t="inlineStr">
        <is>
          <t>Online</t>
        </is>
      </c>
      <c r="K2327" s="2" t="n">
        <v>1</v>
      </c>
      <c r="L2327" s="3" t="n">
        <v>989.6900000000001</v>
      </c>
      <c r="M2327" s="4" t="n">
        <v>0.05</v>
      </c>
      <c r="N2327" s="3" t="n">
        <v>742.35</v>
      </c>
      <c r="O2327" s="3">
        <f>K2327*L2327*(1-M2327)</f>
        <v/>
      </c>
      <c r="P2327" s="3">
        <f>O2327-N2327</f>
        <v/>
      </c>
      <c r="Q2327" s="5">
        <f>IFERROR(P2327/O2327,0)</f>
        <v/>
      </c>
      <c r="R2327" s="2">
        <f>TEXT(DATEVALUE(B2327),"mmm")</f>
        <v/>
      </c>
      <c r="S2327" s="2">
        <f>TEXT(DATEVALUE(B2327),"yyyy-mm")</f>
        <v/>
      </c>
    </row>
    <row r="2328">
      <c r="A2328" s="2" t="inlineStr">
        <is>
          <t>O001800</t>
        </is>
      </c>
      <c r="B2328" s="2" t="inlineStr">
        <is>
          <t>2025-06-15</t>
        </is>
      </c>
      <c r="C2328" s="2" t="inlineStr">
        <is>
          <t>C0456</t>
        </is>
      </c>
      <c r="D2328" s="2" t="inlineStr">
        <is>
          <t>P0007</t>
        </is>
      </c>
      <c r="E2328" s="2" t="inlineStr">
        <is>
          <t>Wireless Mouse</t>
        </is>
      </c>
      <c r="F2328" s="2" t="inlineStr">
        <is>
          <t>Electronics</t>
        </is>
      </c>
      <c r="G2328" s="2" t="inlineStr">
        <is>
          <t>South</t>
        </is>
      </c>
      <c r="H2328" s="2" t="inlineStr">
        <is>
          <t>Telangana</t>
        </is>
      </c>
      <c r="I2328" s="2" t="inlineStr">
        <is>
          <t>Hyderabad</t>
        </is>
      </c>
      <c r="J2328" s="2" t="inlineStr">
        <is>
          <t>Store</t>
        </is>
      </c>
      <c r="K2328" s="2" t="n">
        <v>1</v>
      </c>
      <c r="L2328" s="3" t="n">
        <v>967.4</v>
      </c>
      <c r="M2328" s="4" t="n">
        <v>0.15</v>
      </c>
      <c r="N2328" s="3" t="n">
        <v>605.16</v>
      </c>
      <c r="O2328" s="3">
        <f>K2328*L2328*(1-M2328)</f>
        <v/>
      </c>
      <c r="P2328" s="3">
        <f>O2328-N2328</f>
        <v/>
      </c>
      <c r="Q2328" s="5">
        <f>IFERROR(P2328/O2328,0)</f>
        <v/>
      </c>
      <c r="R2328" s="2">
        <f>TEXT(DATEVALUE(B2328),"mmm")</f>
        <v/>
      </c>
      <c r="S2328" s="2">
        <f>TEXT(DATEVALUE(B2328),"yyyy-mm")</f>
        <v/>
      </c>
    </row>
    <row r="2329">
      <c r="A2329" s="2" t="inlineStr">
        <is>
          <t>O001785</t>
        </is>
      </c>
      <c r="B2329" s="2" t="inlineStr">
        <is>
          <t>2025-06-15</t>
        </is>
      </c>
      <c r="C2329" s="2" t="inlineStr">
        <is>
          <t>C0203</t>
        </is>
      </c>
      <c r="D2329" s="2" t="inlineStr">
        <is>
          <t>P0020</t>
        </is>
      </c>
      <c r="E2329" s="2" t="inlineStr">
        <is>
          <t>Sneakers</t>
        </is>
      </c>
      <c r="F2329" s="2" t="inlineStr">
        <is>
          <t>Fashion</t>
        </is>
      </c>
      <c r="G2329" s="2" t="inlineStr">
        <is>
          <t>West</t>
        </is>
      </c>
      <c r="H2329" s="2" t="inlineStr">
        <is>
          <t>Goa</t>
        </is>
      </c>
      <c r="I2329" s="2" t="inlineStr">
        <is>
          <t>Margao</t>
        </is>
      </c>
      <c r="J2329" s="2" t="inlineStr">
        <is>
          <t>Store</t>
        </is>
      </c>
      <c r="K2329" s="2" t="n">
        <v>1</v>
      </c>
      <c r="L2329" s="3" t="n">
        <v>1894.92</v>
      </c>
      <c r="M2329" s="4" t="n">
        <v>0.05</v>
      </c>
      <c r="N2329" s="3" t="n">
        <v>1501.92</v>
      </c>
      <c r="O2329" s="3">
        <f>K2329*L2329*(1-M2329)</f>
        <v/>
      </c>
      <c r="P2329" s="3">
        <f>O2329-N2329</f>
        <v/>
      </c>
      <c r="Q2329" s="5">
        <f>IFERROR(P2329/O2329,0)</f>
        <v/>
      </c>
      <c r="R2329" s="2">
        <f>TEXT(DATEVALUE(B2329),"mmm")</f>
        <v/>
      </c>
      <c r="S2329" s="2">
        <f>TEXT(DATEVALUE(B2329),"yyyy-mm")</f>
        <v/>
      </c>
    </row>
    <row r="2330">
      <c r="A2330" s="2" t="inlineStr">
        <is>
          <t>O001236</t>
        </is>
      </c>
      <c r="B2330" s="2" t="inlineStr">
        <is>
          <t>2025-06-15</t>
        </is>
      </c>
      <c r="C2330" s="2" t="inlineStr">
        <is>
          <t>C0355</t>
        </is>
      </c>
      <c r="D2330" s="2" t="inlineStr">
        <is>
          <t>P0015</t>
        </is>
      </c>
      <c r="E2330" s="2" t="inlineStr">
        <is>
          <t>Running Shoes</t>
        </is>
      </c>
      <c r="F2330" s="2" t="inlineStr">
        <is>
          <t>Fashion</t>
        </is>
      </c>
      <c r="G2330" s="2" t="inlineStr">
        <is>
          <t>North</t>
        </is>
      </c>
      <c r="H2330" s="2" t="inlineStr">
        <is>
          <t>Punjab</t>
        </is>
      </c>
      <c r="I2330" s="2" t="inlineStr">
        <is>
          <t>Amritsar</t>
        </is>
      </c>
      <c r="J2330" s="2" t="inlineStr">
        <is>
          <t>Online</t>
        </is>
      </c>
      <c r="K2330" s="2" t="n">
        <v>2</v>
      </c>
      <c r="L2330" s="3" t="n">
        <v>599.35</v>
      </c>
      <c r="M2330" s="4" t="n">
        <v>0.2</v>
      </c>
      <c r="N2330" s="3" t="n">
        <v>752.61</v>
      </c>
      <c r="O2330" s="3">
        <f>K2330*L2330*(1-M2330)</f>
        <v/>
      </c>
      <c r="P2330" s="3">
        <f>O2330-N2330</f>
        <v/>
      </c>
      <c r="Q2330" s="5">
        <f>IFERROR(P2330/O2330,0)</f>
        <v/>
      </c>
      <c r="R2330" s="2">
        <f>TEXT(DATEVALUE(B2330),"mmm")</f>
        <v/>
      </c>
      <c r="S2330" s="2">
        <f>TEXT(DATEVALUE(B2330),"yyyy-mm")</f>
        <v/>
      </c>
    </row>
    <row r="2331">
      <c r="A2331" s="2" t="inlineStr">
        <is>
          <t>O000800</t>
        </is>
      </c>
      <c r="B2331" s="2" t="inlineStr">
        <is>
          <t>2025-06-15</t>
        </is>
      </c>
      <c r="C2331" s="2" t="inlineStr">
        <is>
          <t>C0173</t>
        </is>
      </c>
      <c r="D2331" s="2" t="inlineStr">
        <is>
          <t>P0034</t>
        </is>
      </c>
      <c r="E2331" s="2" t="inlineStr">
        <is>
          <t>Gym Gloves</t>
        </is>
      </c>
      <c r="F2331" s="2" t="inlineStr">
        <is>
          <t>Sports</t>
        </is>
      </c>
      <c r="G2331" s="2" t="inlineStr">
        <is>
          <t>West</t>
        </is>
      </c>
      <c r="H2331" s="2" t="inlineStr">
        <is>
          <t>Goa</t>
        </is>
      </c>
      <c r="I2331" s="2" t="inlineStr">
        <is>
          <t>Margao</t>
        </is>
      </c>
      <c r="J2331" s="2" t="inlineStr">
        <is>
          <t>Store</t>
        </is>
      </c>
      <c r="K2331" s="2" t="n">
        <v>1</v>
      </c>
      <c r="L2331" s="3" t="n">
        <v>591.88</v>
      </c>
      <c r="M2331" s="4" t="n">
        <v>0</v>
      </c>
      <c r="N2331" s="3" t="n">
        <v>406.34</v>
      </c>
      <c r="O2331" s="3">
        <f>K2331*L2331*(1-M2331)</f>
        <v/>
      </c>
      <c r="P2331" s="3">
        <f>O2331-N2331</f>
        <v/>
      </c>
      <c r="Q2331" s="5">
        <f>IFERROR(P2331/O2331,0)</f>
        <v/>
      </c>
      <c r="R2331" s="2">
        <f>TEXT(DATEVALUE(B2331),"mmm")</f>
        <v/>
      </c>
      <c r="S2331" s="2">
        <f>TEXT(DATEVALUE(B2331),"yyyy-mm")</f>
        <v/>
      </c>
    </row>
    <row r="2332">
      <c r="A2332" s="2" t="inlineStr">
        <is>
          <t>O002373</t>
        </is>
      </c>
      <c r="B2332" s="2" t="inlineStr">
        <is>
          <t>2025-06-15</t>
        </is>
      </c>
      <c r="C2332" s="2" t="inlineStr">
        <is>
          <t>C0184</t>
        </is>
      </c>
      <c r="D2332" s="2" t="inlineStr">
        <is>
          <t>P0017</t>
        </is>
      </c>
      <c r="E2332" s="2" t="inlineStr">
        <is>
          <t>Jeans</t>
        </is>
      </c>
      <c r="F2332" s="2" t="inlineStr">
        <is>
          <t>Fashion</t>
        </is>
      </c>
      <c r="G2332" s="2" t="inlineStr">
        <is>
          <t>North</t>
        </is>
      </c>
      <c r="H2332" s="2" t="inlineStr">
        <is>
          <t>Punjab</t>
        </is>
      </c>
      <c r="I2332" s="2" t="inlineStr">
        <is>
          <t>Amritsar</t>
        </is>
      </c>
      <c r="J2332" s="2" t="inlineStr">
        <is>
          <t>Store</t>
        </is>
      </c>
      <c r="K2332" s="2" t="n">
        <v>2</v>
      </c>
      <c r="L2332" s="3" t="n">
        <v>1541.3</v>
      </c>
      <c r="M2332" s="4" t="n">
        <v>0.05</v>
      </c>
      <c r="N2332" s="3" t="n">
        <v>2087.07</v>
      </c>
      <c r="O2332" s="3">
        <f>K2332*L2332*(1-M2332)</f>
        <v/>
      </c>
      <c r="P2332" s="3">
        <f>O2332-N2332</f>
        <v/>
      </c>
      <c r="Q2332" s="5">
        <f>IFERROR(P2332/O2332,0)</f>
        <v/>
      </c>
      <c r="R2332" s="2">
        <f>TEXT(DATEVALUE(B2332),"mmm")</f>
        <v/>
      </c>
      <c r="S2332" s="2">
        <f>TEXT(DATEVALUE(B2332),"yyyy-mm")</f>
        <v/>
      </c>
    </row>
    <row r="2333">
      <c r="A2333" s="2" t="inlineStr">
        <is>
          <t>O002958</t>
        </is>
      </c>
      <c r="B2333" s="2" t="inlineStr">
        <is>
          <t>2025-06-16</t>
        </is>
      </c>
      <c r="C2333" s="2" t="inlineStr">
        <is>
          <t>C0161</t>
        </is>
      </c>
      <c r="D2333" s="2" t="inlineStr">
        <is>
          <t>P0026</t>
        </is>
      </c>
      <c r="E2333" s="2" t="inlineStr">
        <is>
          <t>Shampoo</t>
        </is>
      </c>
      <c r="F2333" s="2" t="inlineStr">
        <is>
          <t>Beauty</t>
        </is>
      </c>
      <c r="G2333" s="2" t="inlineStr">
        <is>
          <t>South</t>
        </is>
      </c>
      <c r="H2333" s="2" t="inlineStr">
        <is>
          <t>Tamil Nadu</t>
        </is>
      </c>
      <c r="I2333" s="2" t="inlineStr">
        <is>
          <t>Chennai</t>
        </is>
      </c>
      <c r="J2333" s="2" t="inlineStr">
        <is>
          <t>Store</t>
        </is>
      </c>
      <c r="K2333" s="2" t="n">
        <v>1</v>
      </c>
      <c r="L2333" s="3" t="n">
        <v>879.22</v>
      </c>
      <c r="M2333" s="4" t="n">
        <v>0.05</v>
      </c>
      <c r="N2333" s="3" t="n">
        <v>526.61</v>
      </c>
      <c r="O2333" s="3">
        <f>K2333*L2333*(1-M2333)</f>
        <v/>
      </c>
      <c r="P2333" s="3">
        <f>O2333-N2333</f>
        <v/>
      </c>
      <c r="Q2333" s="5">
        <f>IFERROR(P2333/O2333,0)</f>
        <v/>
      </c>
      <c r="R2333" s="2">
        <f>TEXT(DATEVALUE(B2333),"mmm")</f>
        <v/>
      </c>
      <c r="S2333" s="2">
        <f>TEXT(DATEVALUE(B2333),"yyyy-mm")</f>
        <v/>
      </c>
    </row>
    <row r="2334">
      <c r="A2334" s="2" t="inlineStr">
        <is>
          <t>O004580</t>
        </is>
      </c>
      <c r="B2334" s="2" t="inlineStr">
        <is>
          <t>2025-06-16</t>
        </is>
      </c>
      <c r="C2334" s="2" t="inlineStr">
        <is>
          <t>C0113</t>
        </is>
      </c>
      <c r="D2334" s="2" t="inlineStr">
        <is>
          <t>P0017</t>
        </is>
      </c>
      <c r="E2334" s="2" t="inlineStr">
        <is>
          <t>Jeans</t>
        </is>
      </c>
      <c r="F2334" s="2" t="inlineStr">
        <is>
          <t>Fashion</t>
        </is>
      </c>
      <c r="G2334" s="2" t="inlineStr">
        <is>
          <t>West</t>
        </is>
      </c>
      <c r="H2334" s="2" t="inlineStr">
        <is>
          <t>Goa</t>
        </is>
      </c>
      <c r="I2334" s="2" t="inlineStr">
        <is>
          <t>Panaji</t>
        </is>
      </c>
      <c r="J2334" s="2" t="inlineStr">
        <is>
          <t>Store</t>
        </is>
      </c>
      <c r="K2334" s="2" t="n">
        <v>1</v>
      </c>
      <c r="L2334" s="3" t="n">
        <v>1464.21</v>
      </c>
      <c r="M2334" s="4" t="n">
        <v>0.1</v>
      </c>
      <c r="N2334" s="3" t="n">
        <v>1040.02</v>
      </c>
      <c r="O2334" s="3">
        <f>K2334*L2334*(1-M2334)</f>
        <v/>
      </c>
      <c r="P2334" s="3">
        <f>O2334-N2334</f>
        <v/>
      </c>
      <c r="Q2334" s="5">
        <f>IFERROR(P2334/O2334,0)</f>
        <v/>
      </c>
      <c r="R2334" s="2">
        <f>TEXT(DATEVALUE(B2334),"mmm")</f>
        <v/>
      </c>
      <c r="S2334" s="2">
        <f>TEXT(DATEVALUE(B2334),"yyyy-mm")</f>
        <v/>
      </c>
    </row>
    <row r="2335">
      <c r="A2335" s="2" t="inlineStr">
        <is>
          <t>O004193</t>
        </is>
      </c>
      <c r="B2335" s="2" t="inlineStr">
        <is>
          <t>2025-06-16</t>
        </is>
      </c>
      <c r="C2335" s="2" t="inlineStr">
        <is>
          <t>C0568</t>
        </is>
      </c>
      <c r="D2335" s="2" t="inlineStr">
        <is>
          <t>P0012</t>
        </is>
      </c>
      <c r="E2335" s="2" t="inlineStr">
        <is>
          <t>Water Bottle</t>
        </is>
      </c>
      <c r="F2335" s="2" t="inlineStr">
        <is>
          <t>Home &amp; Kitchen</t>
        </is>
      </c>
      <c r="G2335" s="2" t="inlineStr">
        <is>
          <t>West</t>
        </is>
      </c>
      <c r="H2335" s="2" t="inlineStr">
        <is>
          <t>Goa</t>
        </is>
      </c>
      <c r="I2335" s="2" t="inlineStr">
        <is>
          <t>Margao</t>
        </is>
      </c>
      <c r="J2335" s="2" t="inlineStr">
        <is>
          <t>Online</t>
        </is>
      </c>
      <c r="K2335" s="2" t="n">
        <v>3</v>
      </c>
      <c r="L2335" s="3" t="n">
        <v>999.98</v>
      </c>
      <c r="M2335" s="4" t="n">
        <v>0.1</v>
      </c>
      <c r="N2335" s="3" t="n">
        <v>1933.46</v>
      </c>
      <c r="O2335" s="3">
        <f>K2335*L2335*(1-M2335)</f>
        <v/>
      </c>
      <c r="P2335" s="3">
        <f>O2335-N2335</f>
        <v/>
      </c>
      <c r="Q2335" s="5">
        <f>IFERROR(P2335/O2335,0)</f>
        <v/>
      </c>
      <c r="R2335" s="2">
        <f>TEXT(DATEVALUE(B2335),"mmm")</f>
        <v/>
      </c>
      <c r="S2335" s="2">
        <f>TEXT(DATEVALUE(B2335),"yyyy-mm")</f>
        <v/>
      </c>
    </row>
    <row r="2336">
      <c r="A2336" s="2" t="inlineStr">
        <is>
          <t>O003377</t>
        </is>
      </c>
      <c r="B2336" s="2" t="inlineStr">
        <is>
          <t>2025-06-16</t>
        </is>
      </c>
      <c r="C2336" s="2" t="inlineStr">
        <is>
          <t>C0723</t>
        </is>
      </c>
      <c r="D2336" s="2" t="inlineStr">
        <is>
          <t>P0032</t>
        </is>
      </c>
      <c r="E2336" s="2" t="inlineStr">
        <is>
          <t>Football</t>
        </is>
      </c>
      <c r="F2336" s="2" t="inlineStr">
        <is>
          <t>Sports</t>
        </is>
      </c>
      <c r="G2336" s="2" t="inlineStr">
        <is>
          <t>East</t>
        </is>
      </c>
      <c r="H2336" s="2" t="inlineStr">
        <is>
          <t>West Bengal</t>
        </is>
      </c>
      <c r="I2336" s="2" t="inlineStr">
        <is>
          <t>Kolkata</t>
        </is>
      </c>
      <c r="J2336" s="2" t="inlineStr">
        <is>
          <t>Online</t>
        </is>
      </c>
      <c r="K2336" s="2" t="n">
        <v>4</v>
      </c>
      <c r="L2336" s="3" t="n">
        <v>781.1799999999999</v>
      </c>
      <c r="M2336" s="4" t="n">
        <v>0.1</v>
      </c>
      <c r="N2336" s="3" t="n">
        <v>2147.81</v>
      </c>
      <c r="O2336" s="3">
        <f>K2336*L2336*(1-M2336)</f>
        <v/>
      </c>
      <c r="P2336" s="3">
        <f>O2336-N2336</f>
        <v/>
      </c>
      <c r="Q2336" s="5">
        <f>IFERROR(P2336/O2336,0)</f>
        <v/>
      </c>
      <c r="R2336" s="2">
        <f>TEXT(DATEVALUE(B2336),"mmm")</f>
        <v/>
      </c>
      <c r="S2336" s="2">
        <f>TEXT(DATEVALUE(B2336),"yyyy-mm")</f>
        <v/>
      </c>
    </row>
    <row r="2337">
      <c r="A2337" s="2" t="inlineStr">
        <is>
          <t>O002920</t>
        </is>
      </c>
      <c r="B2337" s="2" t="inlineStr">
        <is>
          <t>2025-06-16</t>
        </is>
      </c>
      <c r="C2337" s="2" t="inlineStr">
        <is>
          <t>C0634</t>
        </is>
      </c>
      <c r="D2337" s="2" t="inlineStr">
        <is>
          <t>P0011</t>
        </is>
      </c>
      <c r="E2337" s="2" t="inlineStr">
        <is>
          <t>Cookware Set</t>
        </is>
      </c>
      <c r="F2337" s="2" t="inlineStr">
        <is>
          <t>Home &amp; Kitchen</t>
        </is>
      </c>
      <c r="G2337" s="2" t="inlineStr">
        <is>
          <t>West</t>
        </is>
      </c>
      <c r="H2337" s="2" t="inlineStr">
        <is>
          <t>Goa</t>
        </is>
      </c>
      <c r="I2337" s="2" t="inlineStr">
        <is>
          <t>Panaji</t>
        </is>
      </c>
      <c r="J2337" s="2" t="inlineStr">
        <is>
          <t>Online</t>
        </is>
      </c>
      <c r="K2337" s="2" t="n">
        <v>2</v>
      </c>
      <c r="L2337" s="3" t="n">
        <v>715.05</v>
      </c>
      <c r="M2337" s="4" t="n">
        <v>0.05</v>
      </c>
      <c r="N2337" s="3" t="n">
        <v>946.91</v>
      </c>
      <c r="O2337" s="3">
        <f>K2337*L2337*(1-M2337)</f>
        <v/>
      </c>
      <c r="P2337" s="3">
        <f>O2337-N2337</f>
        <v/>
      </c>
      <c r="Q2337" s="5">
        <f>IFERROR(P2337/O2337,0)</f>
        <v/>
      </c>
      <c r="R2337" s="2">
        <f>TEXT(DATEVALUE(B2337),"mmm")</f>
        <v/>
      </c>
      <c r="S2337" s="2">
        <f>TEXT(DATEVALUE(B2337),"yyyy-mm")</f>
        <v/>
      </c>
    </row>
    <row r="2338">
      <c r="A2338" s="2" t="inlineStr">
        <is>
          <t>O004284</t>
        </is>
      </c>
      <c r="B2338" s="2" t="inlineStr">
        <is>
          <t>2025-06-16</t>
        </is>
      </c>
      <c r="C2338" s="2" t="inlineStr">
        <is>
          <t>C0179</t>
        </is>
      </c>
      <c r="D2338" s="2" t="inlineStr">
        <is>
          <t>P0007</t>
        </is>
      </c>
      <c r="E2338" s="2" t="inlineStr">
        <is>
          <t>Wireless Mouse</t>
        </is>
      </c>
      <c r="F2338" s="2" t="inlineStr">
        <is>
          <t>Electronics</t>
        </is>
      </c>
      <c r="G2338" s="2" t="inlineStr">
        <is>
          <t>South</t>
        </is>
      </c>
      <c r="H2338" s="2" t="inlineStr">
        <is>
          <t>Telangana</t>
        </is>
      </c>
      <c r="I2338" s="2" t="inlineStr">
        <is>
          <t>Warangal</t>
        </is>
      </c>
      <c r="J2338" s="2" t="inlineStr">
        <is>
          <t>Store</t>
        </is>
      </c>
      <c r="K2338" s="2" t="n">
        <v>1</v>
      </c>
      <c r="L2338" s="3" t="n">
        <v>974.99</v>
      </c>
      <c r="M2338" s="4" t="n">
        <v>0.2</v>
      </c>
      <c r="N2338" s="3" t="n">
        <v>621.41</v>
      </c>
      <c r="O2338" s="3">
        <f>K2338*L2338*(1-M2338)</f>
        <v/>
      </c>
      <c r="P2338" s="3">
        <f>O2338-N2338</f>
        <v/>
      </c>
      <c r="Q2338" s="5">
        <f>IFERROR(P2338/O2338,0)</f>
        <v/>
      </c>
      <c r="R2338" s="2">
        <f>TEXT(DATEVALUE(B2338),"mmm")</f>
        <v/>
      </c>
      <c r="S2338" s="2">
        <f>TEXT(DATEVALUE(B2338),"yyyy-mm")</f>
        <v/>
      </c>
    </row>
    <row r="2339">
      <c r="A2339" s="2" t="inlineStr">
        <is>
          <t>O002255</t>
        </is>
      </c>
      <c r="B2339" s="2" t="inlineStr">
        <is>
          <t>2025-06-16</t>
        </is>
      </c>
      <c r="C2339" s="2" t="inlineStr">
        <is>
          <t>C0156</t>
        </is>
      </c>
      <c r="D2339" s="2" t="inlineStr">
        <is>
          <t>P0021</t>
        </is>
      </c>
      <c r="E2339" s="2" t="inlineStr">
        <is>
          <t>Wallet</t>
        </is>
      </c>
      <c r="F2339" s="2" t="inlineStr">
        <is>
          <t>Fashion</t>
        </is>
      </c>
      <c r="G2339" s="2" t="inlineStr">
        <is>
          <t>North</t>
        </is>
      </c>
      <c r="H2339" s="2" t="inlineStr">
        <is>
          <t>Haryana</t>
        </is>
      </c>
      <c r="I2339" s="2" t="inlineStr">
        <is>
          <t>Faridabad</t>
        </is>
      </c>
      <c r="J2339" s="2" t="inlineStr">
        <is>
          <t>Store</t>
        </is>
      </c>
      <c r="K2339" s="2" t="n">
        <v>3</v>
      </c>
      <c r="L2339" s="3" t="n">
        <v>2092.44</v>
      </c>
      <c r="M2339" s="4" t="n">
        <v>0</v>
      </c>
      <c r="N2339" s="3" t="n">
        <v>3538.17</v>
      </c>
      <c r="O2339" s="3">
        <f>K2339*L2339*(1-M2339)</f>
        <v/>
      </c>
      <c r="P2339" s="3">
        <f>O2339-N2339</f>
        <v/>
      </c>
      <c r="Q2339" s="5">
        <f>IFERROR(P2339/O2339,0)</f>
        <v/>
      </c>
      <c r="R2339" s="2">
        <f>TEXT(DATEVALUE(B2339),"mmm")</f>
        <v/>
      </c>
      <c r="S2339" s="2">
        <f>TEXT(DATEVALUE(B2339),"yyyy-mm")</f>
        <v/>
      </c>
    </row>
    <row r="2340">
      <c r="A2340" s="2" t="inlineStr">
        <is>
          <t>O002223</t>
        </is>
      </c>
      <c r="B2340" s="2" t="inlineStr">
        <is>
          <t>2025-06-16</t>
        </is>
      </c>
      <c r="C2340" s="2" t="inlineStr">
        <is>
          <t>C0390</t>
        </is>
      </c>
      <c r="D2340" s="2" t="inlineStr">
        <is>
          <t>P0026</t>
        </is>
      </c>
      <c r="E2340" s="2" t="inlineStr">
        <is>
          <t>Shampoo</t>
        </is>
      </c>
      <c r="F2340" s="2" t="inlineStr">
        <is>
          <t>Beauty</t>
        </is>
      </c>
      <c r="G2340" s="2" t="inlineStr">
        <is>
          <t>North</t>
        </is>
      </c>
      <c r="H2340" s="2" t="inlineStr">
        <is>
          <t>Delhi</t>
        </is>
      </c>
      <c r="I2340" s="2" t="inlineStr">
        <is>
          <t>New Delhi</t>
        </is>
      </c>
      <c r="J2340" s="2" t="inlineStr">
        <is>
          <t>Online</t>
        </is>
      </c>
      <c r="K2340" s="2" t="n">
        <v>4</v>
      </c>
      <c r="L2340" s="3" t="n">
        <v>857.48</v>
      </c>
      <c r="M2340" s="4" t="n">
        <v>0.05</v>
      </c>
      <c r="N2340" s="3" t="n">
        <v>2087.82</v>
      </c>
      <c r="O2340" s="3">
        <f>K2340*L2340*(1-M2340)</f>
        <v/>
      </c>
      <c r="P2340" s="3">
        <f>O2340-N2340</f>
        <v/>
      </c>
      <c r="Q2340" s="5">
        <f>IFERROR(P2340/O2340,0)</f>
        <v/>
      </c>
      <c r="R2340" s="2">
        <f>TEXT(DATEVALUE(B2340),"mmm")</f>
        <v/>
      </c>
      <c r="S2340" s="2">
        <f>TEXT(DATEVALUE(B2340),"yyyy-mm")</f>
        <v/>
      </c>
    </row>
    <row r="2341">
      <c r="A2341" s="2" t="inlineStr">
        <is>
          <t>O000633</t>
        </is>
      </c>
      <c r="B2341" s="2" t="inlineStr">
        <is>
          <t>2025-06-16</t>
        </is>
      </c>
      <c r="C2341" s="2" t="inlineStr">
        <is>
          <t>C0152</t>
        </is>
      </c>
      <c r="D2341" s="2" t="inlineStr">
        <is>
          <t>P0005</t>
        </is>
      </c>
      <c r="E2341" s="2" t="inlineStr">
        <is>
          <t>Power Bank</t>
        </is>
      </c>
      <c r="F2341" s="2" t="inlineStr">
        <is>
          <t>Electronics</t>
        </is>
      </c>
      <c r="G2341" s="2" t="inlineStr">
        <is>
          <t>West</t>
        </is>
      </c>
      <c r="H2341" s="2" t="inlineStr">
        <is>
          <t>Maharashtra</t>
        </is>
      </c>
      <c r="I2341" s="2" t="inlineStr">
        <is>
          <t>Thane</t>
        </is>
      </c>
      <c r="J2341" s="2" t="inlineStr">
        <is>
          <t>Online</t>
        </is>
      </c>
      <c r="K2341" s="2" t="n">
        <v>1</v>
      </c>
      <c r="L2341" s="3" t="n">
        <v>1108.96</v>
      </c>
      <c r="M2341" s="4" t="n">
        <v>0.1</v>
      </c>
      <c r="N2341" s="3" t="n">
        <v>675.3</v>
      </c>
      <c r="O2341" s="3">
        <f>K2341*L2341*(1-M2341)</f>
        <v/>
      </c>
      <c r="P2341" s="3">
        <f>O2341-N2341</f>
        <v/>
      </c>
      <c r="Q2341" s="5">
        <f>IFERROR(P2341/O2341,0)</f>
        <v/>
      </c>
      <c r="R2341" s="2">
        <f>TEXT(DATEVALUE(B2341),"mmm")</f>
        <v/>
      </c>
      <c r="S2341" s="2">
        <f>TEXT(DATEVALUE(B2341),"yyyy-mm")</f>
        <v/>
      </c>
    </row>
    <row r="2342">
      <c r="A2342" s="2" t="inlineStr">
        <is>
          <t>O000047</t>
        </is>
      </c>
      <c r="B2342" s="2" t="inlineStr">
        <is>
          <t>2025-06-16</t>
        </is>
      </c>
      <c r="C2342" s="2" t="inlineStr">
        <is>
          <t>C0481</t>
        </is>
      </c>
      <c r="D2342" s="2" t="inlineStr">
        <is>
          <t>P0024</t>
        </is>
      </c>
      <c r="E2342" s="2" t="inlineStr">
        <is>
          <t>Hair Dryer</t>
        </is>
      </c>
      <c r="F2342" s="2" t="inlineStr">
        <is>
          <t>Beauty</t>
        </is>
      </c>
      <c r="G2342" s="2" t="inlineStr">
        <is>
          <t>West</t>
        </is>
      </c>
      <c r="H2342" s="2" t="inlineStr">
        <is>
          <t>Maharashtra</t>
        </is>
      </c>
      <c r="I2342" s="2" t="inlineStr">
        <is>
          <t>Nashik</t>
        </is>
      </c>
      <c r="J2342" s="2" t="inlineStr">
        <is>
          <t>Store</t>
        </is>
      </c>
      <c r="K2342" s="2" t="n">
        <v>1</v>
      </c>
      <c r="L2342" s="3" t="n">
        <v>970.03</v>
      </c>
      <c r="M2342" s="4" t="n">
        <v>0.1</v>
      </c>
      <c r="N2342" s="3" t="n">
        <v>753.6799999999999</v>
      </c>
      <c r="O2342" s="3">
        <f>K2342*L2342*(1-M2342)</f>
        <v/>
      </c>
      <c r="P2342" s="3">
        <f>O2342-N2342</f>
        <v/>
      </c>
      <c r="Q2342" s="5">
        <f>IFERROR(P2342/O2342,0)</f>
        <v/>
      </c>
      <c r="R2342" s="2">
        <f>TEXT(DATEVALUE(B2342),"mmm")</f>
        <v/>
      </c>
      <c r="S2342" s="2">
        <f>TEXT(DATEVALUE(B2342),"yyyy-mm")</f>
        <v/>
      </c>
    </row>
    <row r="2343">
      <c r="A2343" s="2" t="inlineStr">
        <is>
          <t>O002266</t>
        </is>
      </c>
      <c r="B2343" s="2" t="inlineStr">
        <is>
          <t>2025-06-16</t>
        </is>
      </c>
      <c r="C2343" s="2" t="inlineStr">
        <is>
          <t>C0107</t>
        </is>
      </c>
      <c r="D2343" s="2" t="inlineStr">
        <is>
          <t>P0031</t>
        </is>
      </c>
      <c r="E2343" s="2" t="inlineStr">
        <is>
          <t>Cricket Bat</t>
        </is>
      </c>
      <c r="F2343" s="2" t="inlineStr">
        <is>
          <t>Sports</t>
        </is>
      </c>
      <c r="G2343" s="2" t="inlineStr">
        <is>
          <t>South</t>
        </is>
      </c>
      <c r="H2343" s="2" t="inlineStr">
        <is>
          <t>Karnataka</t>
        </is>
      </c>
      <c r="I2343" s="2" t="inlineStr">
        <is>
          <t>Mysuru</t>
        </is>
      </c>
      <c r="J2343" s="2" t="inlineStr">
        <is>
          <t>Online</t>
        </is>
      </c>
      <c r="K2343" s="2" t="n">
        <v>1</v>
      </c>
      <c r="L2343" s="3" t="n">
        <v>1364.55</v>
      </c>
      <c r="M2343" s="4" t="n">
        <v>0</v>
      </c>
      <c r="N2343" s="3" t="n">
        <v>948.4299999999999</v>
      </c>
      <c r="O2343" s="3">
        <f>K2343*L2343*(1-M2343)</f>
        <v/>
      </c>
      <c r="P2343" s="3">
        <f>O2343-N2343</f>
        <v/>
      </c>
      <c r="Q2343" s="5">
        <f>IFERROR(P2343/O2343,0)</f>
        <v/>
      </c>
      <c r="R2343" s="2">
        <f>TEXT(DATEVALUE(B2343),"mmm")</f>
        <v/>
      </c>
      <c r="S2343" s="2">
        <f>TEXT(DATEVALUE(B2343),"yyyy-mm")</f>
        <v/>
      </c>
    </row>
    <row r="2344">
      <c r="A2344" s="2" t="inlineStr">
        <is>
          <t>O004463</t>
        </is>
      </c>
      <c r="B2344" s="2" t="inlineStr">
        <is>
          <t>2025-06-17</t>
        </is>
      </c>
      <c r="C2344" s="2" t="inlineStr">
        <is>
          <t>C0566</t>
        </is>
      </c>
      <c r="D2344" s="2" t="inlineStr">
        <is>
          <t>P0023</t>
        </is>
      </c>
      <c r="E2344" s="2" t="inlineStr">
        <is>
          <t>Skin Care Kit</t>
        </is>
      </c>
      <c r="F2344" s="2" t="inlineStr">
        <is>
          <t>Beauty</t>
        </is>
      </c>
      <c r="G2344" s="2" t="inlineStr">
        <is>
          <t>East</t>
        </is>
      </c>
      <c r="H2344" s="2" t="inlineStr">
        <is>
          <t>Bihar</t>
        </is>
      </c>
      <c r="I2344" s="2" t="inlineStr">
        <is>
          <t>Gaya</t>
        </is>
      </c>
      <c r="J2344" s="2" t="inlineStr">
        <is>
          <t>Online</t>
        </is>
      </c>
      <c r="K2344" s="2" t="n">
        <v>2</v>
      </c>
      <c r="L2344" s="3" t="n">
        <v>1421.91</v>
      </c>
      <c r="M2344" s="4" t="n">
        <v>0.15</v>
      </c>
      <c r="N2344" s="3" t="n">
        <v>1739.17</v>
      </c>
      <c r="O2344" s="3">
        <f>K2344*L2344*(1-M2344)</f>
        <v/>
      </c>
      <c r="P2344" s="3">
        <f>O2344-N2344</f>
        <v/>
      </c>
      <c r="Q2344" s="5">
        <f>IFERROR(P2344/O2344,0)</f>
        <v/>
      </c>
      <c r="R2344" s="2">
        <f>TEXT(DATEVALUE(B2344),"mmm")</f>
        <v/>
      </c>
      <c r="S2344" s="2">
        <f>TEXT(DATEVALUE(B2344),"yyyy-mm")</f>
        <v/>
      </c>
    </row>
    <row r="2345">
      <c r="A2345" s="2" t="inlineStr">
        <is>
          <t>O004406</t>
        </is>
      </c>
      <c r="B2345" s="2" t="inlineStr">
        <is>
          <t>2025-06-17</t>
        </is>
      </c>
      <c r="C2345" s="2" t="inlineStr">
        <is>
          <t>C0520</t>
        </is>
      </c>
      <c r="D2345" s="2" t="inlineStr">
        <is>
          <t>P0007</t>
        </is>
      </c>
      <c r="E2345" s="2" t="inlineStr">
        <is>
          <t>Wireless Mouse</t>
        </is>
      </c>
      <c r="F2345" s="2" t="inlineStr">
        <is>
          <t>Electronics</t>
        </is>
      </c>
      <c r="G2345" s="2" t="inlineStr">
        <is>
          <t>North</t>
        </is>
      </c>
      <c r="H2345" s="2" t="inlineStr">
        <is>
          <t>Delhi</t>
        </is>
      </c>
      <c r="I2345" s="2" t="inlineStr">
        <is>
          <t>New Delhi</t>
        </is>
      </c>
      <c r="J2345" s="2" t="inlineStr">
        <is>
          <t>Store</t>
        </is>
      </c>
      <c r="K2345" s="2" t="n">
        <v>1</v>
      </c>
      <c r="L2345" s="3" t="n">
        <v>965.3099999999999</v>
      </c>
      <c r="M2345" s="4" t="n">
        <v>0.05</v>
      </c>
      <c r="N2345" s="3" t="n">
        <v>612.9400000000001</v>
      </c>
      <c r="O2345" s="3">
        <f>K2345*L2345*(1-M2345)</f>
        <v/>
      </c>
      <c r="P2345" s="3">
        <f>O2345-N2345</f>
        <v/>
      </c>
      <c r="Q2345" s="5">
        <f>IFERROR(P2345/O2345,0)</f>
        <v/>
      </c>
      <c r="R2345" s="2">
        <f>TEXT(DATEVALUE(B2345),"mmm")</f>
        <v/>
      </c>
      <c r="S2345" s="2">
        <f>TEXT(DATEVALUE(B2345),"yyyy-mm")</f>
        <v/>
      </c>
    </row>
    <row r="2346">
      <c r="A2346" s="2" t="inlineStr">
        <is>
          <t>O004234</t>
        </is>
      </c>
      <c r="B2346" s="2" t="inlineStr">
        <is>
          <t>2025-06-17</t>
        </is>
      </c>
      <c r="C2346" s="2" t="inlineStr">
        <is>
          <t>C0523</t>
        </is>
      </c>
      <c r="D2346" s="2" t="inlineStr">
        <is>
          <t>P0003</t>
        </is>
      </c>
      <c r="E2346" s="2" t="inlineStr">
        <is>
          <t>Smartwatch</t>
        </is>
      </c>
      <c r="F2346" s="2" t="inlineStr">
        <is>
          <t>Electronics</t>
        </is>
      </c>
      <c r="G2346" s="2" t="inlineStr">
        <is>
          <t>West</t>
        </is>
      </c>
      <c r="H2346" s="2" t="inlineStr">
        <is>
          <t>Maharashtra</t>
        </is>
      </c>
      <c r="I2346" s="2" t="inlineStr">
        <is>
          <t>Nagpur</t>
        </is>
      </c>
      <c r="J2346" s="2" t="inlineStr">
        <is>
          <t>Store</t>
        </is>
      </c>
      <c r="K2346" s="2" t="n">
        <v>1</v>
      </c>
      <c r="L2346" s="3" t="n">
        <v>2344.6</v>
      </c>
      <c r="M2346" s="4" t="n">
        <v>0.15</v>
      </c>
      <c r="N2346" s="3" t="n">
        <v>1173.41</v>
      </c>
      <c r="O2346" s="3">
        <f>K2346*L2346*(1-M2346)</f>
        <v/>
      </c>
      <c r="P2346" s="3">
        <f>O2346-N2346</f>
        <v/>
      </c>
      <c r="Q2346" s="5">
        <f>IFERROR(P2346/O2346,0)</f>
        <v/>
      </c>
      <c r="R2346" s="2">
        <f>TEXT(DATEVALUE(B2346),"mmm")</f>
        <v/>
      </c>
      <c r="S2346" s="2">
        <f>TEXT(DATEVALUE(B2346),"yyyy-mm")</f>
        <v/>
      </c>
    </row>
    <row r="2347">
      <c r="A2347" s="2" t="inlineStr">
        <is>
          <t>O004127</t>
        </is>
      </c>
      <c r="B2347" s="2" t="inlineStr">
        <is>
          <t>2025-06-17</t>
        </is>
      </c>
      <c r="C2347" s="2" t="inlineStr">
        <is>
          <t>C0790</t>
        </is>
      </c>
      <c r="D2347" s="2" t="inlineStr">
        <is>
          <t>P0008</t>
        </is>
      </c>
      <c r="E2347" s="2" t="inlineStr">
        <is>
          <t>Air Fryer</t>
        </is>
      </c>
      <c r="F2347" s="2" t="inlineStr">
        <is>
          <t>Home &amp; Kitchen</t>
        </is>
      </c>
      <c r="G2347" s="2" t="inlineStr">
        <is>
          <t>West</t>
        </is>
      </c>
      <c r="H2347" s="2" t="inlineStr">
        <is>
          <t>Goa</t>
        </is>
      </c>
      <c r="I2347" s="2" t="inlineStr">
        <is>
          <t>Margao</t>
        </is>
      </c>
      <c r="J2347" s="2" t="inlineStr">
        <is>
          <t>Online</t>
        </is>
      </c>
      <c r="K2347" s="2" t="n">
        <v>2</v>
      </c>
      <c r="L2347" s="3" t="n">
        <v>1031.75</v>
      </c>
      <c r="M2347" s="4" t="n">
        <v>0.1</v>
      </c>
      <c r="N2347" s="3" t="n">
        <v>1368.75</v>
      </c>
      <c r="O2347" s="3">
        <f>K2347*L2347*(1-M2347)</f>
        <v/>
      </c>
      <c r="P2347" s="3">
        <f>O2347-N2347</f>
        <v/>
      </c>
      <c r="Q2347" s="5">
        <f>IFERROR(P2347/O2347,0)</f>
        <v/>
      </c>
      <c r="R2347" s="2">
        <f>TEXT(DATEVALUE(B2347),"mmm")</f>
        <v/>
      </c>
      <c r="S2347" s="2">
        <f>TEXT(DATEVALUE(B2347),"yyyy-mm")</f>
        <v/>
      </c>
    </row>
    <row r="2348">
      <c r="A2348" s="2" t="inlineStr">
        <is>
          <t>O003277</t>
        </is>
      </c>
      <c r="B2348" s="2" t="inlineStr">
        <is>
          <t>2025-06-17</t>
        </is>
      </c>
      <c r="C2348" s="2" t="inlineStr">
        <is>
          <t>C0282</t>
        </is>
      </c>
      <c r="D2348" s="2" t="inlineStr">
        <is>
          <t>P0007</t>
        </is>
      </c>
      <c r="E2348" s="2" t="inlineStr">
        <is>
          <t>Wireless Mouse</t>
        </is>
      </c>
      <c r="F2348" s="2" t="inlineStr">
        <is>
          <t>Electronics</t>
        </is>
      </c>
      <c r="G2348" s="2" t="inlineStr">
        <is>
          <t>West</t>
        </is>
      </c>
      <c r="H2348" s="2" t="inlineStr">
        <is>
          <t>Goa</t>
        </is>
      </c>
      <c r="I2348" s="2" t="inlineStr">
        <is>
          <t>Margao</t>
        </is>
      </c>
      <c r="J2348" s="2" t="inlineStr">
        <is>
          <t>Store</t>
        </is>
      </c>
      <c r="K2348" s="2" t="n">
        <v>1</v>
      </c>
      <c r="L2348" s="3" t="n">
        <v>944.74</v>
      </c>
      <c r="M2348" s="4" t="n">
        <v>0.1</v>
      </c>
      <c r="N2348" s="3" t="n">
        <v>614.5700000000001</v>
      </c>
      <c r="O2348" s="3">
        <f>K2348*L2348*(1-M2348)</f>
        <v/>
      </c>
      <c r="P2348" s="3">
        <f>O2348-N2348</f>
        <v/>
      </c>
      <c r="Q2348" s="5">
        <f>IFERROR(P2348/O2348,0)</f>
        <v/>
      </c>
      <c r="R2348" s="2">
        <f>TEXT(DATEVALUE(B2348),"mmm")</f>
        <v/>
      </c>
      <c r="S2348" s="2">
        <f>TEXT(DATEVALUE(B2348),"yyyy-mm")</f>
        <v/>
      </c>
    </row>
    <row r="2349">
      <c r="A2349" s="2" t="inlineStr">
        <is>
          <t>O002946</t>
        </is>
      </c>
      <c r="B2349" s="2" t="inlineStr">
        <is>
          <t>2025-06-17</t>
        </is>
      </c>
      <c r="C2349" s="2" t="inlineStr">
        <is>
          <t>C0397</t>
        </is>
      </c>
      <c r="D2349" s="2" t="inlineStr">
        <is>
          <t>P0011</t>
        </is>
      </c>
      <c r="E2349" s="2" t="inlineStr">
        <is>
          <t>Cookware Set</t>
        </is>
      </c>
      <c r="F2349" s="2" t="inlineStr">
        <is>
          <t>Home &amp; Kitchen</t>
        </is>
      </c>
      <c r="G2349" s="2" t="inlineStr">
        <is>
          <t>East</t>
        </is>
      </c>
      <c r="H2349" s="2" t="inlineStr">
        <is>
          <t>Bihar</t>
        </is>
      </c>
      <c r="I2349" s="2" t="inlineStr">
        <is>
          <t>Patna</t>
        </is>
      </c>
      <c r="J2349" s="2" t="inlineStr">
        <is>
          <t>Online</t>
        </is>
      </c>
      <c r="K2349" s="2" t="n">
        <v>2</v>
      </c>
      <c r="L2349" s="3" t="n">
        <v>734.2</v>
      </c>
      <c r="M2349" s="4" t="n">
        <v>0.05</v>
      </c>
      <c r="N2349" s="3" t="n">
        <v>976.78</v>
      </c>
      <c r="O2349" s="3">
        <f>K2349*L2349*(1-M2349)</f>
        <v/>
      </c>
      <c r="P2349" s="3">
        <f>O2349-N2349</f>
        <v/>
      </c>
      <c r="Q2349" s="5">
        <f>IFERROR(P2349/O2349,0)</f>
        <v/>
      </c>
      <c r="R2349" s="2">
        <f>TEXT(DATEVALUE(B2349),"mmm")</f>
        <v/>
      </c>
      <c r="S2349" s="2">
        <f>TEXT(DATEVALUE(B2349),"yyyy-mm")</f>
        <v/>
      </c>
    </row>
    <row r="2350">
      <c r="A2350" s="2" t="inlineStr">
        <is>
          <t>O001634</t>
        </is>
      </c>
      <c r="B2350" s="2" t="inlineStr">
        <is>
          <t>2025-06-17</t>
        </is>
      </c>
      <c r="C2350" s="2" t="inlineStr">
        <is>
          <t>C0218</t>
        </is>
      </c>
      <c r="D2350" s="2" t="inlineStr">
        <is>
          <t>P0011</t>
        </is>
      </c>
      <c r="E2350" s="2" t="inlineStr">
        <is>
          <t>Cookware Set</t>
        </is>
      </c>
      <c r="F2350" s="2" t="inlineStr">
        <is>
          <t>Home &amp; Kitchen</t>
        </is>
      </c>
      <c r="G2350" s="2" t="inlineStr">
        <is>
          <t>North</t>
        </is>
      </c>
      <c r="H2350" s="2" t="inlineStr">
        <is>
          <t>Haryana</t>
        </is>
      </c>
      <c r="I2350" s="2" t="inlineStr">
        <is>
          <t>Faridabad</t>
        </is>
      </c>
      <c r="J2350" s="2" t="inlineStr">
        <is>
          <t>Online</t>
        </is>
      </c>
      <c r="K2350" s="2" t="n">
        <v>2</v>
      </c>
      <c r="L2350" s="3" t="n">
        <v>730.25</v>
      </c>
      <c r="M2350" s="4" t="n">
        <v>0.05</v>
      </c>
      <c r="N2350" s="3" t="n">
        <v>935.59</v>
      </c>
      <c r="O2350" s="3">
        <f>K2350*L2350*(1-M2350)</f>
        <v/>
      </c>
      <c r="P2350" s="3">
        <f>O2350-N2350</f>
        <v/>
      </c>
      <c r="Q2350" s="5">
        <f>IFERROR(P2350/O2350,0)</f>
        <v/>
      </c>
      <c r="R2350" s="2">
        <f>TEXT(DATEVALUE(B2350),"mmm")</f>
        <v/>
      </c>
      <c r="S2350" s="2">
        <f>TEXT(DATEVALUE(B2350),"yyyy-mm")</f>
        <v/>
      </c>
    </row>
    <row r="2351">
      <c r="A2351" s="2" t="inlineStr">
        <is>
          <t>O001358</t>
        </is>
      </c>
      <c r="B2351" s="2" t="inlineStr">
        <is>
          <t>2025-06-17</t>
        </is>
      </c>
      <c r="C2351" s="2" t="inlineStr">
        <is>
          <t>C0668</t>
        </is>
      </c>
      <c r="D2351" s="2" t="inlineStr">
        <is>
          <t>P0011</t>
        </is>
      </c>
      <c r="E2351" s="2" t="inlineStr">
        <is>
          <t>Cookware Set</t>
        </is>
      </c>
      <c r="F2351" s="2" t="inlineStr">
        <is>
          <t>Home &amp; Kitchen</t>
        </is>
      </c>
      <c r="G2351" s="2" t="inlineStr">
        <is>
          <t>South</t>
        </is>
      </c>
      <c r="H2351" s="2" t="inlineStr">
        <is>
          <t>Telangana</t>
        </is>
      </c>
      <c r="I2351" s="2" t="inlineStr">
        <is>
          <t>Hyderabad</t>
        </is>
      </c>
      <c r="J2351" s="2" t="inlineStr">
        <is>
          <t>Online</t>
        </is>
      </c>
      <c r="K2351" s="2" t="n">
        <v>1</v>
      </c>
      <c r="L2351" s="3" t="n">
        <v>692.5</v>
      </c>
      <c r="M2351" s="4" t="n">
        <v>0</v>
      </c>
      <c r="N2351" s="3" t="n">
        <v>480.95</v>
      </c>
      <c r="O2351" s="3">
        <f>K2351*L2351*(1-M2351)</f>
        <v/>
      </c>
      <c r="P2351" s="3">
        <f>O2351-N2351</f>
        <v/>
      </c>
      <c r="Q2351" s="5">
        <f>IFERROR(P2351/O2351,0)</f>
        <v/>
      </c>
      <c r="R2351" s="2">
        <f>TEXT(DATEVALUE(B2351),"mmm")</f>
        <v/>
      </c>
      <c r="S2351" s="2">
        <f>TEXT(DATEVALUE(B2351),"yyyy-mm")</f>
        <v/>
      </c>
    </row>
    <row r="2352">
      <c r="A2352" s="2" t="inlineStr">
        <is>
          <t>O001009</t>
        </is>
      </c>
      <c r="B2352" s="2" t="inlineStr">
        <is>
          <t>2025-06-17</t>
        </is>
      </c>
      <c r="C2352" s="2" t="inlineStr">
        <is>
          <t>C0209</t>
        </is>
      </c>
      <c r="D2352" s="2" t="inlineStr">
        <is>
          <t>P0012</t>
        </is>
      </c>
      <c r="E2352" s="2" t="inlineStr">
        <is>
          <t>Water Bottle</t>
        </is>
      </c>
      <c r="F2352" s="2" t="inlineStr">
        <is>
          <t>Home &amp; Kitchen</t>
        </is>
      </c>
      <c r="G2352" s="2" t="inlineStr">
        <is>
          <t>North</t>
        </is>
      </c>
      <c r="H2352" s="2" t="inlineStr">
        <is>
          <t>Delhi</t>
        </is>
      </c>
      <c r="I2352" s="2" t="inlineStr">
        <is>
          <t>New Delhi</t>
        </is>
      </c>
      <c r="J2352" s="2" t="inlineStr">
        <is>
          <t>Online</t>
        </is>
      </c>
      <c r="K2352" s="2" t="n">
        <v>3</v>
      </c>
      <c r="L2352" s="3" t="n">
        <v>983.33</v>
      </c>
      <c r="M2352" s="4" t="n">
        <v>0</v>
      </c>
      <c r="N2352" s="3" t="n">
        <v>1811.04</v>
      </c>
      <c r="O2352" s="3">
        <f>K2352*L2352*(1-M2352)</f>
        <v/>
      </c>
      <c r="P2352" s="3">
        <f>O2352-N2352</f>
        <v/>
      </c>
      <c r="Q2352" s="5">
        <f>IFERROR(P2352/O2352,0)</f>
        <v/>
      </c>
      <c r="R2352" s="2">
        <f>TEXT(DATEVALUE(B2352),"mmm")</f>
        <v/>
      </c>
      <c r="S2352" s="2">
        <f>TEXT(DATEVALUE(B2352),"yyyy-mm")</f>
        <v/>
      </c>
    </row>
    <row r="2353">
      <c r="A2353" s="2" t="inlineStr">
        <is>
          <t>O000609</t>
        </is>
      </c>
      <c r="B2353" s="2" t="inlineStr">
        <is>
          <t>2025-06-17</t>
        </is>
      </c>
      <c r="C2353" s="2" t="inlineStr">
        <is>
          <t>C0581</t>
        </is>
      </c>
      <c r="D2353" s="2" t="inlineStr">
        <is>
          <t>P0006</t>
        </is>
      </c>
      <c r="E2353" s="2" t="inlineStr">
        <is>
          <t>Mechanical Keyboard</t>
        </is>
      </c>
      <c r="F2353" s="2" t="inlineStr">
        <is>
          <t>Electronics</t>
        </is>
      </c>
      <c r="G2353" s="2" t="inlineStr">
        <is>
          <t>South</t>
        </is>
      </c>
      <c r="H2353" s="2" t="inlineStr">
        <is>
          <t>Karnataka</t>
        </is>
      </c>
      <c r="I2353" s="2" t="inlineStr">
        <is>
          <t>Mangaluru</t>
        </is>
      </c>
      <c r="J2353" s="2" t="inlineStr">
        <is>
          <t>Online</t>
        </is>
      </c>
      <c r="K2353" s="2" t="n">
        <v>2</v>
      </c>
      <c r="L2353" s="3" t="n">
        <v>2603.55</v>
      </c>
      <c r="M2353" s="4" t="n">
        <v>0.05</v>
      </c>
      <c r="N2353" s="3" t="n">
        <v>2972.79</v>
      </c>
      <c r="O2353" s="3">
        <f>K2353*L2353*(1-M2353)</f>
        <v/>
      </c>
      <c r="P2353" s="3">
        <f>O2353-N2353</f>
        <v/>
      </c>
      <c r="Q2353" s="5">
        <f>IFERROR(P2353/O2353,0)</f>
        <v/>
      </c>
      <c r="R2353" s="2">
        <f>TEXT(DATEVALUE(B2353),"mmm")</f>
        <v/>
      </c>
      <c r="S2353" s="2">
        <f>TEXT(DATEVALUE(B2353),"yyyy-mm")</f>
        <v/>
      </c>
    </row>
    <row r="2354">
      <c r="A2354" s="2" t="inlineStr">
        <is>
          <t>O000514</t>
        </is>
      </c>
      <c r="B2354" s="2" t="inlineStr">
        <is>
          <t>2025-06-17</t>
        </is>
      </c>
      <c r="C2354" s="2" t="inlineStr">
        <is>
          <t>C0217</t>
        </is>
      </c>
      <c r="D2354" s="2" t="inlineStr">
        <is>
          <t>P0017</t>
        </is>
      </c>
      <c r="E2354" s="2" t="inlineStr">
        <is>
          <t>Jeans</t>
        </is>
      </c>
      <c r="F2354" s="2" t="inlineStr">
        <is>
          <t>Fashion</t>
        </is>
      </c>
      <c r="G2354" s="2" t="inlineStr">
        <is>
          <t>North</t>
        </is>
      </c>
      <c r="H2354" s="2" t="inlineStr">
        <is>
          <t>Delhi</t>
        </is>
      </c>
      <c r="I2354" s="2" t="inlineStr">
        <is>
          <t>New Delhi</t>
        </is>
      </c>
      <c r="J2354" s="2" t="inlineStr">
        <is>
          <t>Store</t>
        </is>
      </c>
      <c r="K2354" s="2" t="n">
        <v>2</v>
      </c>
      <c r="L2354" s="3" t="n">
        <v>1438.24</v>
      </c>
      <c r="M2354" s="4" t="n">
        <v>0</v>
      </c>
      <c r="N2354" s="3" t="n">
        <v>2087.62</v>
      </c>
      <c r="O2354" s="3">
        <f>K2354*L2354*(1-M2354)</f>
        <v/>
      </c>
      <c r="P2354" s="3">
        <f>O2354-N2354</f>
        <v/>
      </c>
      <c r="Q2354" s="5">
        <f>IFERROR(P2354/O2354,0)</f>
        <v/>
      </c>
      <c r="R2354" s="2">
        <f>TEXT(DATEVALUE(B2354),"mmm")</f>
        <v/>
      </c>
      <c r="S2354" s="2">
        <f>TEXT(DATEVALUE(B2354),"yyyy-mm")</f>
        <v/>
      </c>
    </row>
    <row r="2355">
      <c r="A2355" s="2" t="inlineStr">
        <is>
          <t>O004313</t>
        </is>
      </c>
      <c r="B2355" s="2" t="inlineStr">
        <is>
          <t>2025-06-18</t>
        </is>
      </c>
      <c r="C2355" s="2" t="inlineStr">
        <is>
          <t>C0731</t>
        </is>
      </c>
      <c r="D2355" s="2" t="inlineStr">
        <is>
          <t>P0006</t>
        </is>
      </c>
      <c r="E2355" s="2" t="inlineStr">
        <is>
          <t>Mechanical Keyboard</t>
        </is>
      </c>
      <c r="F2355" s="2" t="inlineStr">
        <is>
          <t>Electronics</t>
        </is>
      </c>
      <c r="G2355" s="2" t="inlineStr">
        <is>
          <t>North</t>
        </is>
      </c>
      <c r="H2355" s="2" t="inlineStr">
        <is>
          <t>Punjab</t>
        </is>
      </c>
      <c r="I2355" s="2" t="inlineStr">
        <is>
          <t>Amritsar</t>
        </is>
      </c>
      <c r="J2355" s="2" t="inlineStr">
        <is>
          <t>Store</t>
        </is>
      </c>
      <c r="K2355" s="2" t="n">
        <v>1</v>
      </c>
      <c r="L2355" s="3" t="n">
        <v>2773.12</v>
      </c>
      <c r="M2355" s="4" t="n">
        <v>0</v>
      </c>
      <c r="N2355" s="3" t="n">
        <v>1485.86</v>
      </c>
      <c r="O2355" s="3">
        <f>K2355*L2355*(1-M2355)</f>
        <v/>
      </c>
      <c r="P2355" s="3">
        <f>O2355-N2355</f>
        <v/>
      </c>
      <c r="Q2355" s="5">
        <f>IFERROR(P2355/O2355,0)</f>
        <v/>
      </c>
      <c r="R2355" s="2">
        <f>TEXT(DATEVALUE(B2355),"mmm")</f>
        <v/>
      </c>
      <c r="S2355" s="2">
        <f>TEXT(DATEVALUE(B2355),"yyyy-mm")</f>
        <v/>
      </c>
    </row>
    <row r="2356">
      <c r="A2356" s="2" t="inlineStr">
        <is>
          <t>O004198</t>
        </is>
      </c>
      <c r="B2356" s="2" t="inlineStr">
        <is>
          <t>2025-06-18</t>
        </is>
      </c>
      <c r="C2356" s="2" t="inlineStr">
        <is>
          <t>C0793</t>
        </is>
      </c>
      <c r="D2356" s="2" t="inlineStr">
        <is>
          <t>P0015</t>
        </is>
      </c>
      <c r="E2356" s="2" t="inlineStr">
        <is>
          <t>Running Shoes</t>
        </is>
      </c>
      <c r="F2356" s="2" t="inlineStr">
        <is>
          <t>Fashion</t>
        </is>
      </c>
      <c r="G2356" s="2" t="inlineStr">
        <is>
          <t>West</t>
        </is>
      </c>
      <c r="H2356" s="2" t="inlineStr">
        <is>
          <t>Goa</t>
        </is>
      </c>
      <c r="I2356" s="2" t="inlineStr">
        <is>
          <t>Margao</t>
        </is>
      </c>
      <c r="J2356" s="2" t="inlineStr">
        <is>
          <t>Online</t>
        </is>
      </c>
      <c r="K2356" s="2" t="n">
        <v>3</v>
      </c>
      <c r="L2356" s="3" t="n">
        <v>579.3</v>
      </c>
      <c r="M2356" s="4" t="n">
        <v>0.1</v>
      </c>
      <c r="N2356" s="3" t="n">
        <v>1083.75</v>
      </c>
      <c r="O2356" s="3">
        <f>K2356*L2356*(1-M2356)</f>
        <v/>
      </c>
      <c r="P2356" s="3">
        <f>O2356-N2356</f>
        <v/>
      </c>
      <c r="Q2356" s="5">
        <f>IFERROR(P2356/O2356,0)</f>
        <v/>
      </c>
      <c r="R2356" s="2">
        <f>TEXT(DATEVALUE(B2356),"mmm")</f>
        <v/>
      </c>
      <c r="S2356" s="2">
        <f>TEXT(DATEVALUE(B2356),"yyyy-mm")</f>
        <v/>
      </c>
    </row>
    <row r="2357">
      <c r="A2357" s="2" t="inlineStr">
        <is>
          <t>O004139</t>
        </is>
      </c>
      <c r="B2357" s="2" t="inlineStr">
        <is>
          <t>2025-06-18</t>
        </is>
      </c>
      <c r="C2357" s="2" t="inlineStr">
        <is>
          <t>C0203</t>
        </is>
      </c>
      <c r="D2357" s="2" t="inlineStr">
        <is>
          <t>P0032</t>
        </is>
      </c>
      <c r="E2357" s="2" t="inlineStr">
        <is>
          <t>Football</t>
        </is>
      </c>
      <c r="F2357" s="2" t="inlineStr">
        <is>
          <t>Sports</t>
        </is>
      </c>
      <c r="G2357" s="2" t="inlineStr">
        <is>
          <t>North</t>
        </is>
      </c>
      <c r="H2357" s="2" t="inlineStr">
        <is>
          <t>Delhi</t>
        </is>
      </c>
      <c r="I2357" s="2" t="inlineStr">
        <is>
          <t>New Delhi</t>
        </is>
      </c>
      <c r="J2357" s="2" t="inlineStr">
        <is>
          <t>Online</t>
        </is>
      </c>
      <c r="K2357" s="2" t="n">
        <v>3</v>
      </c>
      <c r="L2357" s="3" t="n">
        <v>797.72</v>
      </c>
      <c r="M2357" s="4" t="n">
        <v>0.05</v>
      </c>
      <c r="N2357" s="3" t="n">
        <v>1647.66</v>
      </c>
      <c r="O2357" s="3">
        <f>K2357*L2357*(1-M2357)</f>
        <v/>
      </c>
      <c r="P2357" s="3">
        <f>O2357-N2357</f>
        <v/>
      </c>
      <c r="Q2357" s="5">
        <f>IFERROR(P2357/O2357,0)</f>
        <v/>
      </c>
      <c r="R2357" s="2">
        <f>TEXT(DATEVALUE(B2357),"mmm")</f>
        <v/>
      </c>
      <c r="S2357" s="2">
        <f>TEXT(DATEVALUE(B2357),"yyyy-mm")</f>
        <v/>
      </c>
    </row>
    <row r="2358">
      <c r="A2358" s="2" t="inlineStr">
        <is>
          <t>O004118</t>
        </is>
      </c>
      <c r="B2358" s="2" t="inlineStr">
        <is>
          <t>2025-06-18</t>
        </is>
      </c>
      <c r="C2358" s="2" t="inlineStr">
        <is>
          <t>C0723</t>
        </is>
      </c>
      <c r="D2358" s="2" t="inlineStr">
        <is>
          <t>P0022</t>
        </is>
      </c>
      <c r="E2358" s="2" t="inlineStr">
        <is>
          <t>Face Wash</t>
        </is>
      </c>
      <c r="F2358" s="2" t="inlineStr">
        <is>
          <t>Beauty</t>
        </is>
      </c>
      <c r="G2358" s="2" t="inlineStr">
        <is>
          <t>South</t>
        </is>
      </c>
      <c r="H2358" s="2" t="inlineStr">
        <is>
          <t>Tamil Nadu</t>
        </is>
      </c>
      <c r="I2358" s="2" t="inlineStr">
        <is>
          <t>Chennai</t>
        </is>
      </c>
      <c r="J2358" s="2" t="inlineStr">
        <is>
          <t>Online</t>
        </is>
      </c>
      <c r="K2358" s="2" t="n">
        <v>2</v>
      </c>
      <c r="L2358" s="3" t="n">
        <v>566.8200000000001</v>
      </c>
      <c r="M2358" s="4" t="n">
        <v>0.25</v>
      </c>
      <c r="N2358" s="3" t="n">
        <v>682.36</v>
      </c>
      <c r="O2358" s="3">
        <f>K2358*L2358*(1-M2358)</f>
        <v/>
      </c>
      <c r="P2358" s="3">
        <f>O2358-N2358</f>
        <v/>
      </c>
      <c r="Q2358" s="5">
        <f>IFERROR(P2358/O2358,0)</f>
        <v/>
      </c>
      <c r="R2358" s="2">
        <f>TEXT(DATEVALUE(B2358),"mmm")</f>
        <v/>
      </c>
      <c r="S2358" s="2">
        <f>TEXT(DATEVALUE(B2358),"yyyy-mm")</f>
        <v/>
      </c>
    </row>
    <row r="2359">
      <c r="A2359" s="2" t="inlineStr">
        <is>
          <t>O003947</t>
        </is>
      </c>
      <c r="B2359" s="2" t="inlineStr">
        <is>
          <t>2025-06-18</t>
        </is>
      </c>
      <c r="C2359" s="2" t="inlineStr">
        <is>
          <t>C0100</t>
        </is>
      </c>
      <c r="D2359" s="2" t="inlineStr">
        <is>
          <t>P0022</t>
        </is>
      </c>
      <c r="E2359" s="2" t="inlineStr">
        <is>
          <t>Face Wash</t>
        </is>
      </c>
      <c r="F2359" s="2" t="inlineStr">
        <is>
          <t>Beauty</t>
        </is>
      </c>
      <c r="G2359" s="2" t="inlineStr">
        <is>
          <t>North</t>
        </is>
      </c>
      <c r="H2359" s="2" t="inlineStr">
        <is>
          <t>Punjab</t>
        </is>
      </c>
      <c r="I2359" s="2" t="inlineStr">
        <is>
          <t>Jalandhar</t>
        </is>
      </c>
      <c r="J2359" s="2" t="inlineStr">
        <is>
          <t>Online</t>
        </is>
      </c>
      <c r="K2359" s="2" t="n">
        <v>3</v>
      </c>
      <c r="L2359" s="3" t="n">
        <v>553.39</v>
      </c>
      <c r="M2359" s="4" t="n">
        <v>0.1</v>
      </c>
      <c r="N2359" s="3" t="n">
        <v>1082.39</v>
      </c>
      <c r="O2359" s="3">
        <f>K2359*L2359*(1-M2359)</f>
        <v/>
      </c>
      <c r="P2359" s="3">
        <f>O2359-N2359</f>
        <v/>
      </c>
      <c r="Q2359" s="5">
        <f>IFERROR(P2359/O2359,0)</f>
        <v/>
      </c>
      <c r="R2359" s="2">
        <f>TEXT(DATEVALUE(B2359),"mmm")</f>
        <v/>
      </c>
      <c r="S2359" s="2">
        <f>TEXT(DATEVALUE(B2359),"yyyy-mm")</f>
        <v/>
      </c>
    </row>
    <row r="2360">
      <c r="A2360" s="2" t="inlineStr">
        <is>
          <t>O000297</t>
        </is>
      </c>
      <c r="B2360" s="2" t="inlineStr">
        <is>
          <t>2025-06-18</t>
        </is>
      </c>
      <c r="C2360" s="2" t="inlineStr">
        <is>
          <t>C0456</t>
        </is>
      </c>
      <c r="D2360" s="2" t="inlineStr">
        <is>
          <t>P0004</t>
        </is>
      </c>
      <c r="E2360" s="2" t="inlineStr">
        <is>
          <t>USB-C Hub</t>
        </is>
      </c>
      <c r="F2360" s="2" t="inlineStr">
        <is>
          <t>Electronics</t>
        </is>
      </c>
      <c r="G2360" s="2" t="inlineStr">
        <is>
          <t>East</t>
        </is>
      </c>
      <c r="H2360" s="2" t="inlineStr">
        <is>
          <t>West Bengal</t>
        </is>
      </c>
      <c r="I2360" s="2" t="inlineStr">
        <is>
          <t>Kolkata</t>
        </is>
      </c>
      <c r="J2360" s="2" t="inlineStr">
        <is>
          <t>Online</t>
        </is>
      </c>
      <c r="K2360" s="2" t="n">
        <v>1</v>
      </c>
      <c r="L2360" s="3" t="n">
        <v>1308.32</v>
      </c>
      <c r="M2360" s="4" t="n">
        <v>0</v>
      </c>
      <c r="N2360" s="3" t="n">
        <v>913.78</v>
      </c>
      <c r="O2360" s="3">
        <f>K2360*L2360*(1-M2360)</f>
        <v/>
      </c>
      <c r="P2360" s="3">
        <f>O2360-N2360</f>
        <v/>
      </c>
      <c r="Q2360" s="5">
        <f>IFERROR(P2360/O2360,0)</f>
        <v/>
      </c>
      <c r="R2360" s="2">
        <f>TEXT(DATEVALUE(B2360),"mmm")</f>
        <v/>
      </c>
      <c r="S2360" s="2">
        <f>TEXT(DATEVALUE(B2360),"yyyy-mm")</f>
        <v/>
      </c>
    </row>
    <row r="2361">
      <c r="A2361" s="2" t="inlineStr">
        <is>
          <t>O002900</t>
        </is>
      </c>
      <c r="B2361" s="2" t="inlineStr">
        <is>
          <t>2025-06-18</t>
        </is>
      </c>
      <c r="C2361" s="2" t="inlineStr">
        <is>
          <t>C0587</t>
        </is>
      </c>
      <c r="D2361" s="2" t="inlineStr">
        <is>
          <t>P0004</t>
        </is>
      </c>
      <c r="E2361" s="2" t="inlineStr">
        <is>
          <t>USB-C Hub</t>
        </is>
      </c>
      <c r="F2361" s="2" t="inlineStr">
        <is>
          <t>Electronics</t>
        </is>
      </c>
      <c r="G2361" s="2" t="inlineStr">
        <is>
          <t>North</t>
        </is>
      </c>
      <c r="H2361" s="2" t="inlineStr">
        <is>
          <t>Haryana</t>
        </is>
      </c>
      <c r="I2361" s="2" t="inlineStr">
        <is>
          <t>Faridabad</t>
        </is>
      </c>
      <c r="J2361" s="2" t="inlineStr">
        <is>
          <t>Online</t>
        </is>
      </c>
      <c r="K2361" s="2" t="n">
        <v>2</v>
      </c>
      <c r="L2361" s="3" t="n">
        <v>1257.78</v>
      </c>
      <c r="M2361" s="4" t="n">
        <v>0</v>
      </c>
      <c r="N2361" s="3" t="n">
        <v>1872.98</v>
      </c>
      <c r="O2361" s="3">
        <f>K2361*L2361*(1-M2361)</f>
        <v/>
      </c>
      <c r="P2361" s="3">
        <f>O2361-N2361</f>
        <v/>
      </c>
      <c r="Q2361" s="5">
        <f>IFERROR(P2361/O2361,0)</f>
        <v/>
      </c>
      <c r="R2361" s="2">
        <f>TEXT(DATEVALUE(B2361),"mmm")</f>
        <v/>
      </c>
      <c r="S2361" s="2">
        <f>TEXT(DATEVALUE(B2361),"yyyy-mm")</f>
        <v/>
      </c>
    </row>
    <row r="2362">
      <c r="A2362" s="2" t="inlineStr">
        <is>
          <t>O002583</t>
        </is>
      </c>
      <c r="B2362" s="2" t="inlineStr">
        <is>
          <t>2025-06-18</t>
        </is>
      </c>
      <c r="C2362" s="2" t="inlineStr">
        <is>
          <t>C0606</t>
        </is>
      </c>
      <c r="D2362" s="2" t="inlineStr">
        <is>
          <t>P0024</t>
        </is>
      </c>
      <c r="E2362" s="2" t="inlineStr">
        <is>
          <t>Hair Dryer</t>
        </is>
      </c>
      <c r="F2362" s="2" t="inlineStr">
        <is>
          <t>Beauty</t>
        </is>
      </c>
      <c r="G2362" s="2" t="inlineStr">
        <is>
          <t>West</t>
        </is>
      </c>
      <c r="H2362" s="2" t="inlineStr">
        <is>
          <t>Gujarat</t>
        </is>
      </c>
      <c r="I2362" s="2" t="inlineStr">
        <is>
          <t>Vadodara</t>
        </is>
      </c>
      <c r="J2362" s="2" t="inlineStr">
        <is>
          <t>Online</t>
        </is>
      </c>
      <c r="K2362" s="2" t="n">
        <v>1</v>
      </c>
      <c r="L2362" s="3" t="n">
        <v>988.66</v>
      </c>
      <c r="M2362" s="4" t="n">
        <v>0.15</v>
      </c>
      <c r="N2362" s="3" t="n">
        <v>726.86</v>
      </c>
      <c r="O2362" s="3">
        <f>K2362*L2362*(1-M2362)</f>
        <v/>
      </c>
      <c r="P2362" s="3">
        <f>O2362-N2362</f>
        <v/>
      </c>
      <c r="Q2362" s="5">
        <f>IFERROR(P2362/O2362,0)</f>
        <v/>
      </c>
      <c r="R2362" s="2">
        <f>TEXT(DATEVALUE(B2362),"mmm")</f>
        <v/>
      </c>
      <c r="S2362" s="2">
        <f>TEXT(DATEVALUE(B2362),"yyyy-mm")</f>
        <v/>
      </c>
    </row>
    <row r="2363">
      <c r="A2363" s="2" t="inlineStr">
        <is>
          <t>O002085</t>
        </is>
      </c>
      <c r="B2363" s="2" t="inlineStr">
        <is>
          <t>2025-06-18</t>
        </is>
      </c>
      <c r="C2363" s="2" t="inlineStr">
        <is>
          <t>C0661</t>
        </is>
      </c>
      <c r="D2363" s="2" t="inlineStr">
        <is>
          <t>P0026</t>
        </is>
      </c>
      <c r="E2363" s="2" t="inlineStr">
        <is>
          <t>Shampoo</t>
        </is>
      </c>
      <c r="F2363" s="2" t="inlineStr">
        <is>
          <t>Beauty</t>
        </is>
      </c>
      <c r="G2363" s="2" t="inlineStr">
        <is>
          <t>North</t>
        </is>
      </c>
      <c r="H2363" s="2" t="inlineStr">
        <is>
          <t>Punjab</t>
        </is>
      </c>
      <c r="I2363" s="2" t="inlineStr">
        <is>
          <t>Jalandhar</t>
        </is>
      </c>
      <c r="J2363" s="2" t="inlineStr">
        <is>
          <t>Store</t>
        </is>
      </c>
      <c r="K2363" s="2" t="n">
        <v>2</v>
      </c>
      <c r="L2363" s="3" t="n">
        <v>915.8099999999999</v>
      </c>
      <c r="M2363" s="4" t="n">
        <v>0.05</v>
      </c>
      <c r="N2363" s="3" t="n">
        <v>1040.27</v>
      </c>
      <c r="O2363" s="3">
        <f>K2363*L2363*(1-M2363)</f>
        <v/>
      </c>
      <c r="P2363" s="3">
        <f>O2363-N2363</f>
        <v/>
      </c>
      <c r="Q2363" s="5">
        <f>IFERROR(P2363/O2363,0)</f>
        <v/>
      </c>
      <c r="R2363" s="2">
        <f>TEXT(DATEVALUE(B2363),"mmm")</f>
        <v/>
      </c>
      <c r="S2363" s="2">
        <f>TEXT(DATEVALUE(B2363),"yyyy-mm")</f>
        <v/>
      </c>
    </row>
    <row r="2364">
      <c r="A2364" s="2" t="inlineStr">
        <is>
          <t>O001640</t>
        </is>
      </c>
      <c r="B2364" s="2" t="inlineStr">
        <is>
          <t>2025-06-18</t>
        </is>
      </c>
      <c r="C2364" s="2" t="inlineStr">
        <is>
          <t>C0497</t>
        </is>
      </c>
      <c r="D2364" s="2" t="inlineStr">
        <is>
          <t>P0022</t>
        </is>
      </c>
      <c r="E2364" s="2" t="inlineStr">
        <is>
          <t>Face Wash</t>
        </is>
      </c>
      <c r="F2364" s="2" t="inlineStr">
        <is>
          <t>Beauty</t>
        </is>
      </c>
      <c r="G2364" s="2" t="inlineStr">
        <is>
          <t>West</t>
        </is>
      </c>
      <c r="H2364" s="2" t="inlineStr">
        <is>
          <t>Goa</t>
        </is>
      </c>
      <c r="I2364" s="2" t="inlineStr">
        <is>
          <t>Margao</t>
        </is>
      </c>
      <c r="J2364" s="2" t="inlineStr">
        <is>
          <t>Online</t>
        </is>
      </c>
      <c r="K2364" s="2" t="n">
        <v>1</v>
      </c>
      <c r="L2364" s="3" t="n">
        <v>552.09</v>
      </c>
      <c r="M2364" s="4" t="n">
        <v>0.15</v>
      </c>
      <c r="N2364" s="3" t="n">
        <v>351.75</v>
      </c>
      <c r="O2364" s="3">
        <f>K2364*L2364*(1-M2364)</f>
        <v/>
      </c>
      <c r="P2364" s="3">
        <f>O2364-N2364</f>
        <v/>
      </c>
      <c r="Q2364" s="5">
        <f>IFERROR(P2364/O2364,0)</f>
        <v/>
      </c>
      <c r="R2364" s="2">
        <f>TEXT(DATEVALUE(B2364),"mmm")</f>
        <v/>
      </c>
      <c r="S2364" s="2">
        <f>TEXT(DATEVALUE(B2364),"yyyy-mm")</f>
        <v/>
      </c>
    </row>
    <row r="2365">
      <c r="A2365" s="2" t="inlineStr">
        <is>
          <t>O003560</t>
        </is>
      </c>
      <c r="B2365" s="2" t="inlineStr">
        <is>
          <t>2025-06-18</t>
        </is>
      </c>
      <c r="C2365" s="2" t="inlineStr">
        <is>
          <t>C0279</t>
        </is>
      </c>
      <c r="D2365" s="2" t="inlineStr">
        <is>
          <t>P0007</t>
        </is>
      </c>
      <c r="E2365" s="2" t="inlineStr">
        <is>
          <t>Wireless Mouse</t>
        </is>
      </c>
      <c r="F2365" s="2" t="inlineStr">
        <is>
          <t>Electronics</t>
        </is>
      </c>
      <c r="G2365" s="2" t="inlineStr">
        <is>
          <t>West</t>
        </is>
      </c>
      <c r="H2365" s="2" t="inlineStr">
        <is>
          <t>Gujarat</t>
        </is>
      </c>
      <c r="I2365" s="2" t="inlineStr">
        <is>
          <t>Ahmedabad</t>
        </is>
      </c>
      <c r="J2365" s="2" t="inlineStr">
        <is>
          <t>Online</t>
        </is>
      </c>
      <c r="K2365" s="2" t="n">
        <v>3</v>
      </c>
      <c r="L2365" s="3" t="n">
        <v>985.39</v>
      </c>
      <c r="M2365" s="4" t="n">
        <v>0.05</v>
      </c>
      <c r="N2365" s="3" t="n">
        <v>1835.15</v>
      </c>
      <c r="O2365" s="3">
        <f>K2365*L2365*(1-M2365)</f>
        <v/>
      </c>
      <c r="P2365" s="3">
        <f>O2365-N2365</f>
        <v/>
      </c>
      <c r="Q2365" s="5">
        <f>IFERROR(P2365/O2365,0)</f>
        <v/>
      </c>
      <c r="R2365" s="2">
        <f>TEXT(DATEVALUE(B2365),"mmm")</f>
        <v/>
      </c>
      <c r="S2365" s="2">
        <f>TEXT(DATEVALUE(B2365),"yyyy-mm")</f>
        <v/>
      </c>
    </row>
    <row r="2366">
      <c r="A2366" s="2" t="inlineStr">
        <is>
          <t>O003422</t>
        </is>
      </c>
      <c r="B2366" s="2" t="inlineStr">
        <is>
          <t>2025-06-19</t>
        </is>
      </c>
      <c r="C2366" s="2" t="inlineStr">
        <is>
          <t>C0482</t>
        </is>
      </c>
      <c r="D2366" s="2" t="inlineStr">
        <is>
          <t>P0016</t>
        </is>
      </c>
      <c r="E2366" s="2" t="inlineStr">
        <is>
          <t>Casual Shirt</t>
        </is>
      </c>
      <c r="F2366" s="2" t="inlineStr">
        <is>
          <t>Fashion</t>
        </is>
      </c>
      <c r="G2366" s="2" t="inlineStr">
        <is>
          <t>East</t>
        </is>
      </c>
      <c r="H2366" s="2" t="inlineStr">
        <is>
          <t>Bihar</t>
        </is>
      </c>
      <c r="I2366" s="2" t="inlineStr">
        <is>
          <t>Gaya</t>
        </is>
      </c>
      <c r="J2366" s="2" t="inlineStr">
        <is>
          <t>Online</t>
        </is>
      </c>
      <c r="K2366" s="2" t="n">
        <v>1</v>
      </c>
      <c r="L2366" s="3" t="n">
        <v>1268.88</v>
      </c>
      <c r="M2366" s="4" t="n">
        <v>0.1</v>
      </c>
      <c r="N2366" s="3" t="n">
        <v>875.1799999999999</v>
      </c>
      <c r="O2366" s="3">
        <f>K2366*L2366*(1-M2366)</f>
        <v/>
      </c>
      <c r="P2366" s="3">
        <f>O2366-N2366</f>
        <v/>
      </c>
      <c r="Q2366" s="5">
        <f>IFERROR(P2366/O2366,0)</f>
        <v/>
      </c>
      <c r="R2366" s="2">
        <f>TEXT(DATEVALUE(B2366),"mmm")</f>
        <v/>
      </c>
      <c r="S2366" s="2">
        <f>TEXT(DATEVALUE(B2366),"yyyy-mm")</f>
        <v/>
      </c>
    </row>
    <row r="2367">
      <c r="A2367" s="2" t="inlineStr">
        <is>
          <t>O004879</t>
        </is>
      </c>
      <c r="B2367" s="2" t="inlineStr">
        <is>
          <t>2025-06-19</t>
        </is>
      </c>
      <c r="C2367" s="2" t="inlineStr">
        <is>
          <t>C0598</t>
        </is>
      </c>
      <c r="D2367" s="2" t="inlineStr">
        <is>
          <t>P0017</t>
        </is>
      </c>
      <c r="E2367" s="2" t="inlineStr">
        <is>
          <t>Jeans</t>
        </is>
      </c>
      <c r="F2367" s="2" t="inlineStr">
        <is>
          <t>Fashion</t>
        </is>
      </c>
      <c r="G2367" s="2" t="inlineStr">
        <is>
          <t>North</t>
        </is>
      </c>
      <c r="H2367" s="2" t="inlineStr">
        <is>
          <t>Delhi</t>
        </is>
      </c>
      <c r="I2367" s="2" t="inlineStr">
        <is>
          <t>New Delhi</t>
        </is>
      </c>
      <c r="J2367" s="2" t="inlineStr">
        <is>
          <t>Store</t>
        </is>
      </c>
      <c r="K2367" s="2" t="n">
        <v>3</v>
      </c>
      <c r="L2367" s="3" t="n">
        <v>1549.61</v>
      </c>
      <c r="M2367" s="4" t="n">
        <v>0.15</v>
      </c>
      <c r="N2367" s="3" t="n">
        <v>2997.26</v>
      </c>
      <c r="O2367" s="3">
        <f>K2367*L2367*(1-M2367)</f>
        <v/>
      </c>
      <c r="P2367" s="3">
        <f>O2367-N2367</f>
        <v/>
      </c>
      <c r="Q2367" s="5">
        <f>IFERROR(P2367/O2367,0)</f>
        <v/>
      </c>
      <c r="R2367" s="2">
        <f>TEXT(DATEVALUE(B2367),"mmm")</f>
        <v/>
      </c>
      <c r="S2367" s="2">
        <f>TEXT(DATEVALUE(B2367),"yyyy-mm")</f>
        <v/>
      </c>
    </row>
    <row r="2368">
      <c r="A2368" s="2" t="inlineStr">
        <is>
          <t>O004739</t>
        </is>
      </c>
      <c r="B2368" s="2" t="inlineStr">
        <is>
          <t>2025-06-19</t>
        </is>
      </c>
      <c r="C2368" s="2" t="inlineStr">
        <is>
          <t>C0174</t>
        </is>
      </c>
      <c r="D2368" s="2" t="inlineStr">
        <is>
          <t>P0009</t>
        </is>
      </c>
      <c r="E2368" s="2" t="inlineStr">
        <is>
          <t>Electric Kettle</t>
        </is>
      </c>
      <c r="F2368" s="2" t="inlineStr">
        <is>
          <t>Home &amp; Kitchen</t>
        </is>
      </c>
      <c r="G2368" s="2" t="inlineStr">
        <is>
          <t>North</t>
        </is>
      </c>
      <c r="H2368" s="2" t="inlineStr">
        <is>
          <t>Uttar Pradesh</t>
        </is>
      </c>
      <c r="I2368" s="2" t="inlineStr">
        <is>
          <t>Lucknow</t>
        </is>
      </c>
      <c r="J2368" s="2" t="inlineStr">
        <is>
          <t>Online</t>
        </is>
      </c>
      <c r="K2368" s="2" t="n">
        <v>5</v>
      </c>
      <c r="L2368" s="3" t="n">
        <v>2011.4</v>
      </c>
      <c r="M2368" s="4" t="n">
        <v>0</v>
      </c>
      <c r="N2368" s="3" t="n">
        <v>5769.97</v>
      </c>
      <c r="O2368" s="3">
        <f>K2368*L2368*(1-M2368)</f>
        <v/>
      </c>
      <c r="P2368" s="3">
        <f>O2368-N2368</f>
        <v/>
      </c>
      <c r="Q2368" s="5">
        <f>IFERROR(P2368/O2368,0)</f>
        <v/>
      </c>
      <c r="R2368" s="2">
        <f>TEXT(DATEVALUE(B2368),"mmm")</f>
        <v/>
      </c>
      <c r="S2368" s="2">
        <f>TEXT(DATEVALUE(B2368),"yyyy-mm")</f>
        <v/>
      </c>
    </row>
    <row r="2369">
      <c r="A2369" s="2" t="inlineStr">
        <is>
          <t>O004404</t>
        </is>
      </c>
      <c r="B2369" s="2" t="inlineStr">
        <is>
          <t>2025-06-19</t>
        </is>
      </c>
      <c r="C2369" s="2" t="inlineStr">
        <is>
          <t>C0684</t>
        </is>
      </c>
      <c r="D2369" s="2" t="inlineStr">
        <is>
          <t>P0006</t>
        </is>
      </c>
      <c r="E2369" s="2" t="inlineStr">
        <is>
          <t>Mechanical Keyboard</t>
        </is>
      </c>
      <c r="F2369" s="2" t="inlineStr">
        <is>
          <t>Electronics</t>
        </is>
      </c>
      <c r="G2369" s="2" t="inlineStr">
        <is>
          <t>North</t>
        </is>
      </c>
      <c r="H2369" s="2" t="inlineStr">
        <is>
          <t>Uttar Pradesh</t>
        </is>
      </c>
      <c r="I2369" s="2" t="inlineStr">
        <is>
          <t>Lucknow</t>
        </is>
      </c>
      <c r="J2369" s="2" t="inlineStr">
        <is>
          <t>Store</t>
        </is>
      </c>
      <c r="K2369" s="2" t="n">
        <v>1</v>
      </c>
      <c r="L2369" s="3" t="n">
        <v>2620.32</v>
      </c>
      <c r="M2369" s="4" t="n">
        <v>0.05</v>
      </c>
      <c r="N2369" s="3" t="n">
        <v>1494.75</v>
      </c>
      <c r="O2369" s="3">
        <f>K2369*L2369*(1-M2369)</f>
        <v/>
      </c>
      <c r="P2369" s="3">
        <f>O2369-N2369</f>
        <v/>
      </c>
      <c r="Q2369" s="5">
        <f>IFERROR(P2369/O2369,0)</f>
        <v/>
      </c>
      <c r="R2369" s="2">
        <f>TEXT(DATEVALUE(B2369),"mmm")</f>
        <v/>
      </c>
      <c r="S2369" s="2">
        <f>TEXT(DATEVALUE(B2369),"yyyy-mm")</f>
        <v/>
      </c>
    </row>
    <row r="2370">
      <c r="A2370" s="2" t="inlineStr">
        <is>
          <t>O004003</t>
        </is>
      </c>
      <c r="B2370" s="2" t="inlineStr">
        <is>
          <t>2025-06-19</t>
        </is>
      </c>
      <c r="C2370" s="2" t="inlineStr">
        <is>
          <t>C0508</t>
        </is>
      </c>
      <c r="D2370" s="2" t="inlineStr">
        <is>
          <t>P0011</t>
        </is>
      </c>
      <c r="E2370" s="2" t="inlineStr">
        <is>
          <t>Cookware Set</t>
        </is>
      </c>
      <c r="F2370" s="2" t="inlineStr">
        <is>
          <t>Home &amp; Kitchen</t>
        </is>
      </c>
      <c r="G2370" s="2" t="inlineStr">
        <is>
          <t>South</t>
        </is>
      </c>
      <c r="H2370" s="2" t="inlineStr">
        <is>
          <t>Tamil Nadu</t>
        </is>
      </c>
      <c r="I2370" s="2" t="inlineStr">
        <is>
          <t>Chennai</t>
        </is>
      </c>
      <c r="J2370" s="2" t="inlineStr">
        <is>
          <t>Online</t>
        </is>
      </c>
      <c r="K2370" s="2" t="n">
        <v>2</v>
      </c>
      <c r="L2370" s="3" t="n">
        <v>713.8</v>
      </c>
      <c r="M2370" s="4" t="n">
        <v>0.05</v>
      </c>
      <c r="N2370" s="3" t="n">
        <v>933.87</v>
      </c>
      <c r="O2370" s="3">
        <f>K2370*L2370*(1-M2370)</f>
        <v/>
      </c>
      <c r="P2370" s="3">
        <f>O2370-N2370</f>
        <v/>
      </c>
      <c r="Q2370" s="5">
        <f>IFERROR(P2370/O2370,0)</f>
        <v/>
      </c>
      <c r="R2370" s="2">
        <f>TEXT(DATEVALUE(B2370),"mmm")</f>
        <v/>
      </c>
      <c r="S2370" s="2">
        <f>TEXT(DATEVALUE(B2370),"yyyy-mm")</f>
        <v/>
      </c>
    </row>
    <row r="2371">
      <c r="A2371" s="2" t="inlineStr">
        <is>
          <t>O003826</t>
        </is>
      </c>
      <c r="B2371" s="2" t="inlineStr">
        <is>
          <t>2025-06-19</t>
        </is>
      </c>
      <c r="C2371" s="2" t="inlineStr">
        <is>
          <t>C0624</t>
        </is>
      </c>
      <c r="D2371" s="2" t="inlineStr">
        <is>
          <t>P0002</t>
        </is>
      </c>
      <c r="E2371" s="2" t="inlineStr">
        <is>
          <t>Bluetooth Speaker</t>
        </is>
      </c>
      <c r="F2371" s="2" t="inlineStr">
        <is>
          <t>Electronics</t>
        </is>
      </c>
      <c r="G2371" s="2" t="inlineStr">
        <is>
          <t>South</t>
        </is>
      </c>
      <c r="H2371" s="2" t="inlineStr">
        <is>
          <t>Karnataka</t>
        </is>
      </c>
      <c r="I2371" s="2" t="inlineStr">
        <is>
          <t>Mysuru</t>
        </is>
      </c>
      <c r="J2371" s="2" t="inlineStr">
        <is>
          <t>Online</t>
        </is>
      </c>
      <c r="K2371" s="2" t="n">
        <v>1</v>
      </c>
      <c r="L2371" s="3" t="n">
        <v>1379.92</v>
      </c>
      <c r="M2371" s="4" t="n">
        <v>0</v>
      </c>
      <c r="N2371" s="3" t="n">
        <v>841.5599999999999</v>
      </c>
      <c r="O2371" s="3">
        <f>K2371*L2371*(1-M2371)</f>
        <v/>
      </c>
      <c r="P2371" s="3">
        <f>O2371-N2371</f>
        <v/>
      </c>
      <c r="Q2371" s="5">
        <f>IFERROR(P2371/O2371,0)</f>
        <v/>
      </c>
      <c r="R2371" s="2">
        <f>TEXT(DATEVALUE(B2371),"mmm")</f>
        <v/>
      </c>
      <c r="S2371" s="2">
        <f>TEXT(DATEVALUE(B2371),"yyyy-mm")</f>
        <v/>
      </c>
    </row>
    <row r="2372">
      <c r="A2372" s="2" t="inlineStr">
        <is>
          <t>O001646</t>
        </is>
      </c>
      <c r="B2372" s="2" t="inlineStr">
        <is>
          <t>2025-06-19</t>
        </is>
      </c>
      <c r="C2372" s="2" t="inlineStr">
        <is>
          <t>C0213</t>
        </is>
      </c>
      <c r="D2372" s="2" t="inlineStr">
        <is>
          <t>P0007</t>
        </is>
      </c>
      <c r="E2372" s="2" t="inlineStr">
        <is>
          <t>Wireless Mouse</t>
        </is>
      </c>
      <c r="F2372" s="2" t="inlineStr">
        <is>
          <t>Electronics</t>
        </is>
      </c>
      <c r="G2372" s="2" t="inlineStr">
        <is>
          <t>West</t>
        </is>
      </c>
      <c r="H2372" s="2" t="inlineStr">
        <is>
          <t>Gujarat</t>
        </is>
      </c>
      <c r="I2372" s="2" t="inlineStr">
        <is>
          <t>Vadodara</t>
        </is>
      </c>
      <c r="J2372" s="2" t="inlineStr">
        <is>
          <t>Online</t>
        </is>
      </c>
      <c r="K2372" s="2" t="n">
        <v>2</v>
      </c>
      <c r="L2372" s="3" t="n">
        <v>975.11</v>
      </c>
      <c r="M2372" s="4" t="n">
        <v>0.05</v>
      </c>
      <c r="N2372" s="3" t="n">
        <v>1286.77</v>
      </c>
      <c r="O2372" s="3">
        <f>K2372*L2372*(1-M2372)</f>
        <v/>
      </c>
      <c r="P2372" s="3">
        <f>O2372-N2372</f>
        <v/>
      </c>
      <c r="Q2372" s="5">
        <f>IFERROR(P2372/O2372,0)</f>
        <v/>
      </c>
      <c r="R2372" s="2">
        <f>TEXT(DATEVALUE(B2372),"mmm")</f>
        <v/>
      </c>
      <c r="S2372" s="2">
        <f>TEXT(DATEVALUE(B2372),"yyyy-mm")</f>
        <v/>
      </c>
    </row>
    <row r="2373">
      <c r="A2373" s="2" t="inlineStr">
        <is>
          <t>O002209</t>
        </is>
      </c>
      <c r="B2373" s="2" t="inlineStr">
        <is>
          <t>2025-06-19</t>
        </is>
      </c>
      <c r="C2373" s="2" t="inlineStr">
        <is>
          <t>C0227</t>
        </is>
      </c>
      <c r="D2373" s="2" t="inlineStr">
        <is>
          <t>P0013</t>
        </is>
      </c>
      <c r="E2373" s="2" t="inlineStr">
        <is>
          <t>Storage Organizer</t>
        </is>
      </c>
      <c r="F2373" s="2" t="inlineStr">
        <is>
          <t>Home &amp; Kitchen</t>
        </is>
      </c>
      <c r="G2373" s="2" t="inlineStr">
        <is>
          <t>West</t>
        </is>
      </c>
      <c r="H2373" s="2" t="inlineStr">
        <is>
          <t>Goa</t>
        </is>
      </c>
      <c r="I2373" s="2" t="inlineStr">
        <is>
          <t>Panaji</t>
        </is>
      </c>
      <c r="J2373" s="2" t="inlineStr">
        <is>
          <t>Online</t>
        </is>
      </c>
      <c r="K2373" s="2" t="n">
        <v>4</v>
      </c>
      <c r="L2373" s="3" t="n">
        <v>587.38</v>
      </c>
      <c r="M2373" s="4" t="n">
        <v>0.1</v>
      </c>
      <c r="N2373" s="3" t="n">
        <v>1411.31</v>
      </c>
      <c r="O2373" s="3">
        <f>K2373*L2373*(1-M2373)</f>
        <v/>
      </c>
      <c r="P2373" s="3">
        <f>O2373-N2373</f>
        <v/>
      </c>
      <c r="Q2373" s="5">
        <f>IFERROR(P2373/O2373,0)</f>
        <v/>
      </c>
      <c r="R2373" s="2">
        <f>TEXT(DATEVALUE(B2373),"mmm")</f>
        <v/>
      </c>
      <c r="S2373" s="2">
        <f>TEXT(DATEVALUE(B2373),"yyyy-mm")</f>
        <v/>
      </c>
    </row>
    <row r="2374">
      <c r="A2374" s="2" t="inlineStr">
        <is>
          <t>O001495</t>
        </is>
      </c>
      <c r="B2374" s="2" t="inlineStr">
        <is>
          <t>2025-06-19</t>
        </is>
      </c>
      <c r="C2374" s="2" t="inlineStr">
        <is>
          <t>C0798</t>
        </is>
      </c>
      <c r="D2374" s="2" t="inlineStr">
        <is>
          <t>P0018</t>
        </is>
      </c>
      <c r="E2374" s="2" t="inlineStr">
        <is>
          <t>Backpack</t>
        </is>
      </c>
      <c r="F2374" s="2" t="inlineStr">
        <is>
          <t>Fashion</t>
        </is>
      </c>
      <c r="G2374" s="2" t="inlineStr">
        <is>
          <t>West</t>
        </is>
      </c>
      <c r="H2374" s="2" t="inlineStr">
        <is>
          <t>Goa</t>
        </is>
      </c>
      <c r="I2374" s="2" t="inlineStr">
        <is>
          <t>Margao</t>
        </is>
      </c>
      <c r="J2374" s="2" t="inlineStr">
        <is>
          <t>Online</t>
        </is>
      </c>
      <c r="K2374" s="2" t="n">
        <v>6</v>
      </c>
      <c r="L2374" s="3" t="n">
        <v>1796.26</v>
      </c>
      <c r="M2374" s="4" t="n">
        <v>0.05</v>
      </c>
      <c r="N2374" s="3" t="n">
        <v>8013.28</v>
      </c>
      <c r="O2374" s="3">
        <f>K2374*L2374*(1-M2374)</f>
        <v/>
      </c>
      <c r="P2374" s="3">
        <f>O2374-N2374</f>
        <v/>
      </c>
      <c r="Q2374" s="5">
        <f>IFERROR(P2374/O2374,0)</f>
        <v/>
      </c>
      <c r="R2374" s="2">
        <f>TEXT(DATEVALUE(B2374),"mmm")</f>
        <v/>
      </c>
      <c r="S2374" s="2">
        <f>TEXT(DATEVALUE(B2374),"yyyy-mm")</f>
        <v/>
      </c>
    </row>
    <row r="2375">
      <c r="A2375" s="2" t="inlineStr">
        <is>
          <t>O001597</t>
        </is>
      </c>
      <c r="B2375" s="2" t="inlineStr">
        <is>
          <t>2025-06-19</t>
        </is>
      </c>
      <c r="C2375" s="2" t="inlineStr">
        <is>
          <t>C0196</t>
        </is>
      </c>
      <c r="D2375" s="2" t="inlineStr">
        <is>
          <t>P0016</t>
        </is>
      </c>
      <c r="E2375" s="2" t="inlineStr">
        <is>
          <t>Casual Shirt</t>
        </is>
      </c>
      <c r="F2375" s="2" t="inlineStr">
        <is>
          <t>Fashion</t>
        </is>
      </c>
      <c r="G2375" s="2" t="inlineStr">
        <is>
          <t>North</t>
        </is>
      </c>
      <c r="H2375" s="2" t="inlineStr">
        <is>
          <t>Uttar Pradesh</t>
        </is>
      </c>
      <c r="I2375" s="2" t="inlineStr">
        <is>
          <t>Noida</t>
        </is>
      </c>
      <c r="J2375" s="2" t="inlineStr">
        <is>
          <t>Online</t>
        </is>
      </c>
      <c r="K2375" s="2" t="n">
        <v>2</v>
      </c>
      <c r="L2375" s="3" t="n">
        <v>1261.91</v>
      </c>
      <c r="M2375" s="4" t="n">
        <v>0.1</v>
      </c>
      <c r="N2375" s="3" t="n">
        <v>1853.38</v>
      </c>
      <c r="O2375" s="3">
        <f>K2375*L2375*(1-M2375)</f>
        <v/>
      </c>
      <c r="P2375" s="3">
        <f>O2375-N2375</f>
        <v/>
      </c>
      <c r="Q2375" s="5">
        <f>IFERROR(P2375/O2375,0)</f>
        <v/>
      </c>
      <c r="R2375" s="2">
        <f>TEXT(DATEVALUE(B2375),"mmm")</f>
        <v/>
      </c>
      <c r="S2375" s="2">
        <f>TEXT(DATEVALUE(B2375),"yyyy-mm")</f>
        <v/>
      </c>
    </row>
    <row r="2376">
      <c r="A2376" s="2" t="inlineStr">
        <is>
          <t>O000845</t>
        </is>
      </c>
      <c r="B2376" s="2" t="inlineStr">
        <is>
          <t>2025-06-19</t>
        </is>
      </c>
      <c r="C2376" s="2" t="inlineStr">
        <is>
          <t>C0450</t>
        </is>
      </c>
      <c r="D2376" s="2" t="inlineStr">
        <is>
          <t>P0009</t>
        </is>
      </c>
      <c r="E2376" s="2" t="inlineStr">
        <is>
          <t>Electric Kettle</t>
        </is>
      </c>
      <c r="F2376" s="2" t="inlineStr">
        <is>
          <t>Home &amp; Kitchen</t>
        </is>
      </c>
      <c r="G2376" s="2" t="inlineStr">
        <is>
          <t>North</t>
        </is>
      </c>
      <c r="H2376" s="2" t="inlineStr">
        <is>
          <t>Delhi</t>
        </is>
      </c>
      <c r="I2376" s="2" t="inlineStr">
        <is>
          <t>New Delhi</t>
        </is>
      </c>
      <c r="J2376" s="2" t="inlineStr">
        <is>
          <t>Online</t>
        </is>
      </c>
      <c r="K2376" s="2" t="n">
        <v>3</v>
      </c>
      <c r="L2376" s="3" t="n">
        <v>2112.66</v>
      </c>
      <c r="M2376" s="4" t="n">
        <v>0.15</v>
      </c>
      <c r="N2376" s="3" t="n">
        <v>3382.26</v>
      </c>
      <c r="O2376" s="3">
        <f>K2376*L2376*(1-M2376)</f>
        <v/>
      </c>
      <c r="P2376" s="3">
        <f>O2376-N2376</f>
        <v/>
      </c>
      <c r="Q2376" s="5">
        <f>IFERROR(P2376/O2376,0)</f>
        <v/>
      </c>
      <c r="R2376" s="2">
        <f>TEXT(DATEVALUE(B2376),"mmm")</f>
        <v/>
      </c>
      <c r="S2376" s="2">
        <f>TEXT(DATEVALUE(B2376),"yyyy-mm")</f>
        <v/>
      </c>
    </row>
    <row r="2377">
      <c r="A2377" s="2" t="inlineStr">
        <is>
          <t>O000610</t>
        </is>
      </c>
      <c r="B2377" s="2" t="inlineStr">
        <is>
          <t>2025-06-19</t>
        </is>
      </c>
      <c r="C2377" s="2" t="inlineStr">
        <is>
          <t>C0800</t>
        </is>
      </c>
      <c r="D2377" s="2" t="inlineStr">
        <is>
          <t>P0021</t>
        </is>
      </c>
      <c r="E2377" s="2" t="inlineStr">
        <is>
          <t>Wallet</t>
        </is>
      </c>
      <c r="F2377" s="2" t="inlineStr">
        <is>
          <t>Fashion</t>
        </is>
      </c>
      <c r="G2377" s="2" t="inlineStr">
        <is>
          <t>West</t>
        </is>
      </c>
      <c r="H2377" s="2" t="inlineStr">
        <is>
          <t>Gujarat</t>
        </is>
      </c>
      <c r="I2377" s="2" t="inlineStr">
        <is>
          <t>Ahmedabad</t>
        </is>
      </c>
      <c r="J2377" s="2" t="inlineStr">
        <is>
          <t>Store</t>
        </is>
      </c>
      <c r="K2377" s="2" t="n">
        <v>3</v>
      </c>
      <c r="L2377" s="3" t="n">
        <v>2040.32</v>
      </c>
      <c r="M2377" s="4" t="n">
        <v>0.05</v>
      </c>
      <c r="N2377" s="3" t="n">
        <v>3761.38</v>
      </c>
      <c r="O2377" s="3">
        <f>K2377*L2377*(1-M2377)</f>
        <v/>
      </c>
      <c r="P2377" s="3">
        <f>O2377-N2377</f>
        <v/>
      </c>
      <c r="Q2377" s="5">
        <f>IFERROR(P2377/O2377,0)</f>
        <v/>
      </c>
      <c r="R2377" s="2">
        <f>TEXT(DATEVALUE(B2377),"mmm")</f>
        <v/>
      </c>
      <c r="S2377" s="2">
        <f>TEXT(DATEVALUE(B2377),"yyyy-mm")</f>
        <v/>
      </c>
    </row>
    <row r="2378">
      <c r="A2378" s="2" t="inlineStr">
        <is>
          <t>O000407</t>
        </is>
      </c>
      <c r="B2378" s="2" t="inlineStr">
        <is>
          <t>2025-06-19</t>
        </is>
      </c>
      <c r="C2378" s="2" t="inlineStr">
        <is>
          <t>C0667</t>
        </is>
      </c>
      <c r="D2378" s="2" t="inlineStr">
        <is>
          <t>P0026</t>
        </is>
      </c>
      <c r="E2378" s="2" t="inlineStr">
        <is>
          <t>Shampoo</t>
        </is>
      </c>
      <c r="F2378" s="2" t="inlineStr">
        <is>
          <t>Beauty</t>
        </is>
      </c>
      <c r="G2378" s="2" t="inlineStr">
        <is>
          <t>West</t>
        </is>
      </c>
      <c r="H2378" s="2" t="inlineStr">
        <is>
          <t>Gujarat</t>
        </is>
      </c>
      <c r="I2378" s="2" t="inlineStr">
        <is>
          <t>Ahmedabad</t>
        </is>
      </c>
      <c r="J2378" s="2" t="inlineStr">
        <is>
          <t>Store</t>
        </is>
      </c>
      <c r="K2378" s="2" t="n">
        <v>1</v>
      </c>
      <c r="L2378" s="3" t="n">
        <v>920.95</v>
      </c>
      <c r="M2378" s="4" t="n">
        <v>0.15</v>
      </c>
      <c r="N2378" s="3" t="n">
        <v>517.99</v>
      </c>
      <c r="O2378" s="3">
        <f>K2378*L2378*(1-M2378)</f>
        <v/>
      </c>
      <c r="P2378" s="3">
        <f>O2378-N2378</f>
        <v/>
      </c>
      <c r="Q2378" s="5">
        <f>IFERROR(P2378/O2378,0)</f>
        <v/>
      </c>
      <c r="R2378" s="2">
        <f>TEXT(DATEVALUE(B2378),"mmm")</f>
        <v/>
      </c>
      <c r="S2378" s="2">
        <f>TEXT(DATEVALUE(B2378),"yyyy-mm")</f>
        <v/>
      </c>
    </row>
    <row r="2379">
      <c r="A2379" s="2" t="inlineStr">
        <is>
          <t>O000374</t>
        </is>
      </c>
      <c r="B2379" s="2" t="inlineStr">
        <is>
          <t>2025-06-19</t>
        </is>
      </c>
      <c r="C2379" s="2" t="inlineStr">
        <is>
          <t>C0723</t>
        </is>
      </c>
      <c r="D2379" s="2" t="inlineStr">
        <is>
          <t>P0007</t>
        </is>
      </c>
      <c r="E2379" s="2" t="inlineStr">
        <is>
          <t>Wireless Mouse</t>
        </is>
      </c>
      <c r="F2379" s="2" t="inlineStr">
        <is>
          <t>Electronics</t>
        </is>
      </c>
      <c r="G2379" s="2" t="inlineStr">
        <is>
          <t>South</t>
        </is>
      </c>
      <c r="H2379" s="2" t="inlineStr">
        <is>
          <t>Tamil Nadu</t>
        </is>
      </c>
      <c r="I2379" s="2" t="inlineStr">
        <is>
          <t>Madurai</t>
        </is>
      </c>
      <c r="J2379" s="2" t="inlineStr">
        <is>
          <t>Store</t>
        </is>
      </c>
      <c r="K2379" s="2" t="n">
        <v>2</v>
      </c>
      <c r="L2379" s="3" t="n">
        <v>953.34</v>
      </c>
      <c r="M2379" s="4" t="n">
        <v>0.05</v>
      </c>
      <c r="N2379" s="3" t="n">
        <v>1207.85</v>
      </c>
      <c r="O2379" s="3">
        <f>K2379*L2379*(1-M2379)</f>
        <v/>
      </c>
      <c r="P2379" s="3">
        <f>O2379-N2379</f>
        <v/>
      </c>
      <c r="Q2379" s="5">
        <f>IFERROR(P2379/O2379,0)</f>
        <v/>
      </c>
      <c r="R2379" s="2">
        <f>TEXT(DATEVALUE(B2379),"mmm")</f>
        <v/>
      </c>
      <c r="S2379" s="2">
        <f>TEXT(DATEVALUE(B2379),"yyyy-mm")</f>
        <v/>
      </c>
    </row>
    <row r="2380">
      <c r="A2380" s="2" t="inlineStr">
        <is>
          <t>O000160</t>
        </is>
      </c>
      <c r="B2380" s="2" t="inlineStr">
        <is>
          <t>2025-06-19</t>
        </is>
      </c>
      <c r="C2380" s="2" t="inlineStr">
        <is>
          <t>C0297</t>
        </is>
      </c>
      <c r="D2380" s="2" t="inlineStr">
        <is>
          <t>P0033</t>
        </is>
      </c>
      <c r="E2380" s="2" t="inlineStr">
        <is>
          <t>Resistance Bands</t>
        </is>
      </c>
      <c r="F2380" s="2" t="inlineStr">
        <is>
          <t>Sports</t>
        </is>
      </c>
      <c r="G2380" s="2" t="inlineStr">
        <is>
          <t>South</t>
        </is>
      </c>
      <c r="H2380" s="2" t="inlineStr">
        <is>
          <t>Tamil Nadu</t>
        </is>
      </c>
      <c r="I2380" s="2" t="inlineStr">
        <is>
          <t>Madurai</t>
        </is>
      </c>
      <c r="J2380" s="2" t="inlineStr">
        <is>
          <t>Store</t>
        </is>
      </c>
      <c r="K2380" s="2" t="n">
        <v>4</v>
      </c>
      <c r="L2380" s="3" t="n">
        <v>1163.43</v>
      </c>
      <c r="M2380" s="4" t="n">
        <v>0.2</v>
      </c>
      <c r="N2380" s="3" t="n">
        <v>3180.15</v>
      </c>
      <c r="O2380" s="3">
        <f>K2380*L2380*(1-M2380)</f>
        <v/>
      </c>
      <c r="P2380" s="3">
        <f>O2380-N2380</f>
        <v/>
      </c>
      <c r="Q2380" s="5">
        <f>IFERROR(P2380/O2380,0)</f>
        <v/>
      </c>
      <c r="R2380" s="2">
        <f>TEXT(DATEVALUE(B2380),"mmm")</f>
        <v/>
      </c>
      <c r="S2380" s="2">
        <f>TEXT(DATEVALUE(B2380),"yyyy-mm")</f>
        <v/>
      </c>
    </row>
    <row r="2381">
      <c r="A2381" s="2" t="inlineStr">
        <is>
          <t>O000032</t>
        </is>
      </c>
      <c r="B2381" s="2" t="inlineStr">
        <is>
          <t>2025-06-19</t>
        </is>
      </c>
      <c r="C2381" s="2" t="inlineStr">
        <is>
          <t>C0045</t>
        </is>
      </c>
      <c r="D2381" s="2" t="inlineStr">
        <is>
          <t>P0012</t>
        </is>
      </c>
      <c r="E2381" s="2" t="inlineStr">
        <is>
          <t>Water Bottle</t>
        </is>
      </c>
      <c r="F2381" s="2" t="inlineStr">
        <is>
          <t>Home &amp; Kitchen</t>
        </is>
      </c>
      <c r="G2381" s="2" t="inlineStr">
        <is>
          <t>South</t>
        </is>
      </c>
      <c r="H2381" s="2" t="inlineStr">
        <is>
          <t>Telangana</t>
        </is>
      </c>
      <c r="I2381" s="2" t="inlineStr">
        <is>
          <t>Warangal</t>
        </is>
      </c>
      <c r="J2381" s="2" t="inlineStr">
        <is>
          <t>Online</t>
        </is>
      </c>
      <c r="K2381" s="2" t="n">
        <v>1</v>
      </c>
      <c r="L2381" s="3" t="n">
        <v>995.91</v>
      </c>
      <c r="M2381" s="4" t="n">
        <v>0</v>
      </c>
      <c r="N2381" s="3" t="n">
        <v>615.63</v>
      </c>
      <c r="O2381" s="3">
        <f>K2381*L2381*(1-M2381)</f>
        <v/>
      </c>
      <c r="P2381" s="3">
        <f>O2381-N2381</f>
        <v/>
      </c>
      <c r="Q2381" s="5">
        <f>IFERROR(P2381/O2381,0)</f>
        <v/>
      </c>
      <c r="R2381" s="2">
        <f>TEXT(DATEVALUE(B2381),"mmm")</f>
        <v/>
      </c>
      <c r="S2381" s="2">
        <f>TEXT(DATEVALUE(B2381),"yyyy-mm")</f>
        <v/>
      </c>
    </row>
    <row r="2382">
      <c r="A2382" s="2" t="inlineStr">
        <is>
          <t>O004858</t>
        </is>
      </c>
      <c r="B2382" s="2" t="inlineStr">
        <is>
          <t>2025-06-20</t>
        </is>
      </c>
      <c r="C2382" s="2" t="inlineStr">
        <is>
          <t>C0606</t>
        </is>
      </c>
      <c r="D2382" s="2" t="inlineStr">
        <is>
          <t>P0033</t>
        </is>
      </c>
      <c r="E2382" s="2" t="inlineStr">
        <is>
          <t>Resistance Bands</t>
        </is>
      </c>
      <c r="F2382" s="2" t="inlineStr">
        <is>
          <t>Sports</t>
        </is>
      </c>
      <c r="G2382" s="2" t="inlineStr">
        <is>
          <t>West</t>
        </is>
      </c>
      <c r="H2382" s="2" t="inlineStr">
        <is>
          <t>Goa</t>
        </is>
      </c>
      <c r="I2382" s="2" t="inlineStr">
        <is>
          <t>Margao</t>
        </is>
      </c>
      <c r="J2382" s="2" t="inlineStr">
        <is>
          <t>Online</t>
        </is>
      </c>
      <c r="K2382" s="2" t="n">
        <v>2</v>
      </c>
      <c r="L2382" s="3" t="n">
        <v>1139.05</v>
      </c>
      <c r="M2382" s="4" t="n">
        <v>0.05</v>
      </c>
      <c r="N2382" s="3" t="n">
        <v>1564.28</v>
      </c>
      <c r="O2382" s="3">
        <f>K2382*L2382*(1-M2382)</f>
        <v/>
      </c>
      <c r="P2382" s="3">
        <f>O2382-N2382</f>
        <v/>
      </c>
      <c r="Q2382" s="5">
        <f>IFERROR(P2382/O2382,0)</f>
        <v/>
      </c>
      <c r="R2382" s="2">
        <f>TEXT(DATEVALUE(B2382),"mmm")</f>
        <v/>
      </c>
      <c r="S2382" s="2">
        <f>TEXT(DATEVALUE(B2382),"yyyy-mm")</f>
        <v/>
      </c>
    </row>
    <row r="2383">
      <c r="A2383" s="2" t="inlineStr">
        <is>
          <t>O004626</t>
        </is>
      </c>
      <c r="B2383" s="2" t="inlineStr">
        <is>
          <t>2025-06-20</t>
        </is>
      </c>
      <c r="C2383" s="2" t="inlineStr">
        <is>
          <t>C0457</t>
        </is>
      </c>
      <c r="D2383" s="2" t="inlineStr">
        <is>
          <t>P0004</t>
        </is>
      </c>
      <c r="E2383" s="2" t="inlineStr">
        <is>
          <t>USB-C Hub</t>
        </is>
      </c>
      <c r="F2383" s="2" t="inlineStr">
        <is>
          <t>Electronics</t>
        </is>
      </c>
      <c r="G2383" s="2" t="inlineStr">
        <is>
          <t>West</t>
        </is>
      </c>
      <c r="H2383" s="2" t="inlineStr">
        <is>
          <t>Maharashtra</t>
        </is>
      </c>
      <c r="I2383" s="2" t="inlineStr">
        <is>
          <t>Mumbai</t>
        </is>
      </c>
      <c r="J2383" s="2" t="inlineStr">
        <is>
          <t>Online</t>
        </is>
      </c>
      <c r="K2383" s="2" t="n">
        <v>1</v>
      </c>
      <c r="L2383" s="3" t="n">
        <v>1313.24</v>
      </c>
      <c r="M2383" s="4" t="n">
        <v>0.1</v>
      </c>
      <c r="N2383" s="3" t="n">
        <v>928.16</v>
      </c>
      <c r="O2383" s="3">
        <f>K2383*L2383*(1-M2383)</f>
        <v/>
      </c>
      <c r="P2383" s="3">
        <f>O2383-N2383</f>
        <v/>
      </c>
      <c r="Q2383" s="5">
        <f>IFERROR(P2383/O2383,0)</f>
        <v/>
      </c>
      <c r="R2383" s="2">
        <f>TEXT(DATEVALUE(B2383),"mmm")</f>
        <v/>
      </c>
      <c r="S2383" s="2">
        <f>TEXT(DATEVALUE(B2383),"yyyy-mm")</f>
        <v/>
      </c>
    </row>
    <row r="2384">
      <c r="A2384" s="2" t="inlineStr">
        <is>
          <t>O004001</t>
        </is>
      </c>
      <c r="B2384" s="2" t="inlineStr">
        <is>
          <t>2025-06-20</t>
        </is>
      </c>
      <c r="C2384" s="2" t="inlineStr">
        <is>
          <t>C0164</t>
        </is>
      </c>
      <c r="D2384" s="2" t="inlineStr">
        <is>
          <t>P0016</t>
        </is>
      </c>
      <c r="E2384" s="2" t="inlineStr">
        <is>
          <t>Casual Shirt</t>
        </is>
      </c>
      <c r="F2384" s="2" t="inlineStr">
        <is>
          <t>Fashion</t>
        </is>
      </c>
      <c r="G2384" s="2" t="inlineStr">
        <is>
          <t>West</t>
        </is>
      </c>
      <c r="H2384" s="2" t="inlineStr">
        <is>
          <t>Goa</t>
        </is>
      </c>
      <c r="I2384" s="2" t="inlineStr">
        <is>
          <t>Panaji</t>
        </is>
      </c>
      <c r="J2384" s="2" t="inlineStr">
        <is>
          <t>Online</t>
        </is>
      </c>
      <c r="K2384" s="2" t="n">
        <v>6</v>
      </c>
      <c r="L2384" s="3" t="n">
        <v>1336.65</v>
      </c>
      <c r="M2384" s="4" t="n">
        <v>0.1</v>
      </c>
      <c r="N2384" s="3" t="n">
        <v>5333.87</v>
      </c>
      <c r="O2384" s="3">
        <f>K2384*L2384*(1-M2384)</f>
        <v/>
      </c>
      <c r="P2384" s="3">
        <f>O2384-N2384</f>
        <v/>
      </c>
      <c r="Q2384" s="5">
        <f>IFERROR(P2384/O2384,0)</f>
        <v/>
      </c>
      <c r="R2384" s="2">
        <f>TEXT(DATEVALUE(B2384),"mmm")</f>
        <v/>
      </c>
      <c r="S2384" s="2">
        <f>TEXT(DATEVALUE(B2384),"yyyy-mm")</f>
        <v/>
      </c>
    </row>
    <row r="2385">
      <c r="A2385" s="2" t="inlineStr">
        <is>
          <t>O003810</t>
        </is>
      </c>
      <c r="B2385" s="2" t="inlineStr">
        <is>
          <t>2025-06-20</t>
        </is>
      </c>
      <c r="C2385" s="2" t="inlineStr">
        <is>
          <t>C0393</t>
        </is>
      </c>
      <c r="D2385" s="2" t="inlineStr">
        <is>
          <t>P0035</t>
        </is>
      </c>
      <c r="E2385" s="2" t="inlineStr">
        <is>
          <t>Skipping Rope</t>
        </is>
      </c>
      <c r="F2385" s="2" t="inlineStr">
        <is>
          <t>Sports</t>
        </is>
      </c>
      <c r="G2385" s="2" t="inlineStr">
        <is>
          <t>West</t>
        </is>
      </c>
      <c r="H2385" s="2" t="inlineStr">
        <is>
          <t>Maharashtra</t>
        </is>
      </c>
      <c r="I2385" s="2" t="inlineStr">
        <is>
          <t>Thane</t>
        </is>
      </c>
      <c r="J2385" s="2" t="inlineStr">
        <is>
          <t>Online</t>
        </is>
      </c>
      <c r="K2385" s="2" t="n">
        <v>2</v>
      </c>
      <c r="L2385" s="3" t="n">
        <v>742.8</v>
      </c>
      <c r="M2385" s="4" t="n">
        <v>0.05</v>
      </c>
      <c r="N2385" s="3" t="n">
        <v>851.35</v>
      </c>
      <c r="O2385" s="3">
        <f>K2385*L2385*(1-M2385)</f>
        <v/>
      </c>
      <c r="P2385" s="3">
        <f>O2385-N2385</f>
        <v/>
      </c>
      <c r="Q2385" s="5">
        <f>IFERROR(P2385/O2385,0)</f>
        <v/>
      </c>
      <c r="R2385" s="2">
        <f>TEXT(DATEVALUE(B2385),"mmm")</f>
        <v/>
      </c>
      <c r="S2385" s="2">
        <f>TEXT(DATEVALUE(B2385),"yyyy-mm")</f>
        <v/>
      </c>
    </row>
    <row r="2386">
      <c r="A2386" s="2" t="inlineStr">
        <is>
          <t>O003551</t>
        </is>
      </c>
      <c r="B2386" s="2" t="inlineStr">
        <is>
          <t>2025-06-20</t>
        </is>
      </c>
      <c r="C2386" s="2" t="inlineStr">
        <is>
          <t>C0179</t>
        </is>
      </c>
      <c r="D2386" s="2" t="inlineStr">
        <is>
          <t>P0006</t>
        </is>
      </c>
      <c r="E2386" s="2" t="inlineStr">
        <is>
          <t>Mechanical Keyboard</t>
        </is>
      </c>
      <c r="F2386" s="2" t="inlineStr">
        <is>
          <t>Electronics</t>
        </is>
      </c>
      <c r="G2386" s="2" t="inlineStr">
        <is>
          <t>South</t>
        </is>
      </c>
      <c r="H2386" s="2" t="inlineStr">
        <is>
          <t>Karnataka</t>
        </is>
      </c>
      <c r="I2386" s="2" t="inlineStr">
        <is>
          <t>Mysuru</t>
        </is>
      </c>
      <c r="J2386" s="2" t="inlineStr">
        <is>
          <t>Online</t>
        </is>
      </c>
      <c r="K2386" s="2" t="n">
        <v>2</v>
      </c>
      <c r="L2386" s="3" t="n">
        <v>2599.05</v>
      </c>
      <c r="M2386" s="4" t="n">
        <v>0.05</v>
      </c>
      <c r="N2386" s="3" t="n">
        <v>3032.5</v>
      </c>
      <c r="O2386" s="3">
        <f>K2386*L2386*(1-M2386)</f>
        <v/>
      </c>
      <c r="P2386" s="3">
        <f>O2386-N2386</f>
        <v/>
      </c>
      <c r="Q2386" s="5">
        <f>IFERROR(P2386/O2386,0)</f>
        <v/>
      </c>
      <c r="R2386" s="2">
        <f>TEXT(DATEVALUE(B2386),"mmm")</f>
        <v/>
      </c>
      <c r="S2386" s="2">
        <f>TEXT(DATEVALUE(B2386),"yyyy-mm")</f>
        <v/>
      </c>
    </row>
    <row r="2387">
      <c r="A2387" s="2" t="inlineStr">
        <is>
          <t>O001987</t>
        </is>
      </c>
      <c r="B2387" s="2" t="inlineStr">
        <is>
          <t>2025-06-20</t>
        </is>
      </c>
      <c r="C2387" s="2" t="inlineStr">
        <is>
          <t>C0515</t>
        </is>
      </c>
      <c r="D2387" s="2" t="inlineStr">
        <is>
          <t>P0007</t>
        </is>
      </c>
      <c r="E2387" s="2" t="inlineStr">
        <is>
          <t>Wireless Mouse</t>
        </is>
      </c>
      <c r="F2387" s="2" t="inlineStr">
        <is>
          <t>Electronics</t>
        </is>
      </c>
      <c r="G2387" s="2" t="inlineStr">
        <is>
          <t>West</t>
        </is>
      </c>
      <c r="H2387" s="2" t="inlineStr">
        <is>
          <t>Gujarat</t>
        </is>
      </c>
      <c r="I2387" s="2" t="inlineStr">
        <is>
          <t>Ahmedabad</t>
        </is>
      </c>
      <c r="J2387" s="2" t="inlineStr">
        <is>
          <t>Online</t>
        </is>
      </c>
      <c r="K2387" s="2" t="n">
        <v>5</v>
      </c>
      <c r="L2387" s="3" t="n">
        <v>949.27</v>
      </c>
      <c r="M2387" s="4" t="n">
        <v>0.2</v>
      </c>
      <c r="N2387" s="3" t="n">
        <v>3035.41</v>
      </c>
      <c r="O2387" s="3">
        <f>K2387*L2387*(1-M2387)</f>
        <v/>
      </c>
      <c r="P2387" s="3">
        <f>O2387-N2387</f>
        <v/>
      </c>
      <c r="Q2387" s="5">
        <f>IFERROR(P2387/O2387,0)</f>
        <v/>
      </c>
      <c r="R2387" s="2">
        <f>TEXT(DATEVALUE(B2387),"mmm")</f>
        <v/>
      </c>
      <c r="S2387" s="2">
        <f>TEXT(DATEVALUE(B2387),"yyyy-mm")</f>
        <v/>
      </c>
    </row>
    <row r="2388">
      <c r="A2388" s="2" t="inlineStr">
        <is>
          <t>O001482</t>
        </is>
      </c>
      <c r="B2388" s="2" t="inlineStr">
        <is>
          <t>2025-06-20</t>
        </is>
      </c>
      <c r="C2388" s="2" t="inlineStr">
        <is>
          <t>C0500</t>
        </is>
      </c>
      <c r="D2388" s="2" t="inlineStr">
        <is>
          <t>P0008</t>
        </is>
      </c>
      <c r="E2388" s="2" t="inlineStr">
        <is>
          <t>Air Fryer</t>
        </is>
      </c>
      <c r="F2388" s="2" t="inlineStr">
        <is>
          <t>Home &amp; Kitchen</t>
        </is>
      </c>
      <c r="G2388" s="2" t="inlineStr">
        <is>
          <t>South</t>
        </is>
      </c>
      <c r="H2388" s="2" t="inlineStr">
        <is>
          <t>Karnataka</t>
        </is>
      </c>
      <c r="I2388" s="2" t="inlineStr">
        <is>
          <t>Mysuru</t>
        </is>
      </c>
      <c r="J2388" s="2" t="inlineStr">
        <is>
          <t>Store</t>
        </is>
      </c>
      <c r="K2388" s="2" t="n">
        <v>1</v>
      </c>
      <c r="L2388" s="3" t="n">
        <v>1079.42</v>
      </c>
      <c r="M2388" s="4" t="n">
        <v>0.05</v>
      </c>
      <c r="N2388" s="3" t="n">
        <v>673.37</v>
      </c>
      <c r="O2388" s="3">
        <f>K2388*L2388*(1-M2388)</f>
        <v/>
      </c>
      <c r="P2388" s="3">
        <f>O2388-N2388</f>
        <v/>
      </c>
      <c r="Q2388" s="5">
        <f>IFERROR(P2388/O2388,0)</f>
        <v/>
      </c>
      <c r="R2388" s="2">
        <f>TEXT(DATEVALUE(B2388),"mmm")</f>
        <v/>
      </c>
      <c r="S2388" s="2">
        <f>TEXT(DATEVALUE(B2388),"yyyy-mm")</f>
        <v/>
      </c>
    </row>
    <row r="2389">
      <c r="A2389" s="2" t="inlineStr">
        <is>
          <t>O001142</t>
        </is>
      </c>
      <c r="B2389" s="2" t="inlineStr">
        <is>
          <t>2025-06-20</t>
        </is>
      </c>
      <c r="C2389" s="2" t="inlineStr">
        <is>
          <t>C0701</t>
        </is>
      </c>
      <c r="D2389" s="2" t="inlineStr">
        <is>
          <t>P0031</t>
        </is>
      </c>
      <c r="E2389" s="2" t="inlineStr">
        <is>
          <t>Cricket Bat</t>
        </is>
      </c>
      <c r="F2389" s="2" t="inlineStr">
        <is>
          <t>Sports</t>
        </is>
      </c>
      <c r="G2389" s="2" t="inlineStr">
        <is>
          <t>West</t>
        </is>
      </c>
      <c r="H2389" s="2" t="inlineStr">
        <is>
          <t>Goa</t>
        </is>
      </c>
      <c r="I2389" s="2" t="inlineStr">
        <is>
          <t>Margao</t>
        </is>
      </c>
      <c r="J2389" s="2" t="inlineStr">
        <is>
          <t>Store</t>
        </is>
      </c>
      <c r="K2389" s="2" t="n">
        <v>1</v>
      </c>
      <c r="L2389" s="3" t="n">
        <v>1358.07</v>
      </c>
      <c r="M2389" s="4" t="n">
        <v>0.1</v>
      </c>
      <c r="N2389" s="3" t="n">
        <v>965.62</v>
      </c>
      <c r="O2389" s="3">
        <f>K2389*L2389*(1-M2389)</f>
        <v/>
      </c>
      <c r="P2389" s="3">
        <f>O2389-N2389</f>
        <v/>
      </c>
      <c r="Q2389" s="5">
        <f>IFERROR(P2389/O2389,0)</f>
        <v/>
      </c>
      <c r="R2389" s="2">
        <f>TEXT(DATEVALUE(B2389),"mmm")</f>
        <v/>
      </c>
      <c r="S2389" s="2">
        <f>TEXT(DATEVALUE(B2389),"yyyy-mm")</f>
        <v/>
      </c>
    </row>
    <row r="2390">
      <c r="A2390" s="2" t="inlineStr">
        <is>
          <t>O000149</t>
        </is>
      </c>
      <c r="B2390" s="2" t="inlineStr">
        <is>
          <t>2025-06-20</t>
        </is>
      </c>
      <c r="C2390" s="2" t="inlineStr">
        <is>
          <t>C0519</t>
        </is>
      </c>
      <c r="D2390" s="2" t="inlineStr">
        <is>
          <t>P0002</t>
        </is>
      </c>
      <c r="E2390" s="2" t="inlineStr">
        <is>
          <t>Bluetooth Speaker</t>
        </is>
      </c>
      <c r="F2390" s="2" t="inlineStr">
        <is>
          <t>Electronics</t>
        </is>
      </c>
      <c r="G2390" s="2" t="inlineStr">
        <is>
          <t>North</t>
        </is>
      </c>
      <c r="H2390" s="2" t="inlineStr">
        <is>
          <t>Punjab</t>
        </is>
      </c>
      <c r="I2390" s="2" t="inlineStr">
        <is>
          <t>Amritsar</t>
        </is>
      </c>
      <c r="J2390" s="2" t="inlineStr">
        <is>
          <t>Store</t>
        </is>
      </c>
      <c r="K2390" s="2" t="n">
        <v>5</v>
      </c>
      <c r="L2390" s="3" t="n">
        <v>1414.72</v>
      </c>
      <c r="M2390" s="4" t="n">
        <v>0.25</v>
      </c>
      <c r="N2390" s="3" t="n">
        <v>4262.16</v>
      </c>
      <c r="O2390" s="3">
        <f>K2390*L2390*(1-M2390)</f>
        <v/>
      </c>
      <c r="P2390" s="3">
        <f>O2390-N2390</f>
        <v/>
      </c>
      <c r="Q2390" s="5">
        <f>IFERROR(P2390/O2390,0)</f>
        <v/>
      </c>
      <c r="R2390" s="2">
        <f>TEXT(DATEVALUE(B2390),"mmm")</f>
        <v/>
      </c>
      <c r="S2390" s="2">
        <f>TEXT(DATEVALUE(B2390),"yyyy-mm")</f>
        <v/>
      </c>
    </row>
    <row r="2391">
      <c r="A2391" s="2" t="inlineStr">
        <is>
          <t>O002654</t>
        </is>
      </c>
      <c r="B2391" s="2" t="inlineStr">
        <is>
          <t>2025-06-20</t>
        </is>
      </c>
      <c r="C2391" s="2" t="inlineStr">
        <is>
          <t>C0734</t>
        </is>
      </c>
      <c r="D2391" s="2" t="inlineStr">
        <is>
          <t>P0011</t>
        </is>
      </c>
      <c r="E2391" s="2" t="inlineStr">
        <is>
          <t>Cookware Set</t>
        </is>
      </c>
      <c r="F2391" s="2" t="inlineStr">
        <is>
          <t>Home &amp; Kitchen</t>
        </is>
      </c>
      <c r="G2391" s="2" t="inlineStr">
        <is>
          <t>West</t>
        </is>
      </c>
      <c r="H2391" s="2" t="inlineStr">
        <is>
          <t>Maharashtra</t>
        </is>
      </c>
      <c r="I2391" s="2" t="inlineStr">
        <is>
          <t>Nashik</t>
        </is>
      </c>
      <c r="J2391" s="2" t="inlineStr">
        <is>
          <t>Store</t>
        </is>
      </c>
      <c r="K2391" s="2" t="n">
        <v>3</v>
      </c>
      <c r="L2391" s="3" t="n">
        <v>706.6799999999999</v>
      </c>
      <c r="M2391" s="4" t="n">
        <v>0.2</v>
      </c>
      <c r="N2391" s="3" t="n">
        <v>1437.87</v>
      </c>
      <c r="O2391" s="3">
        <f>K2391*L2391*(1-M2391)</f>
        <v/>
      </c>
      <c r="P2391" s="3">
        <f>O2391-N2391</f>
        <v/>
      </c>
      <c r="Q2391" s="5">
        <f>IFERROR(P2391/O2391,0)</f>
        <v/>
      </c>
      <c r="R2391" s="2">
        <f>TEXT(DATEVALUE(B2391),"mmm")</f>
        <v/>
      </c>
      <c r="S2391" s="2">
        <f>TEXT(DATEVALUE(B2391),"yyyy-mm")</f>
        <v/>
      </c>
    </row>
    <row r="2392">
      <c r="A2392" s="2" t="inlineStr">
        <is>
          <t>O002298</t>
        </is>
      </c>
      <c r="B2392" s="2" t="inlineStr">
        <is>
          <t>2025-06-21</t>
        </is>
      </c>
      <c r="C2392" s="2" t="inlineStr">
        <is>
          <t>C0733</t>
        </is>
      </c>
      <c r="D2392" s="2" t="inlineStr">
        <is>
          <t>P0029</t>
        </is>
      </c>
      <c r="E2392" s="2" t="inlineStr">
        <is>
          <t>Yoga Mat</t>
        </is>
      </c>
      <c r="F2392" s="2" t="inlineStr">
        <is>
          <t>Sports</t>
        </is>
      </c>
      <c r="G2392" s="2" t="inlineStr">
        <is>
          <t>West</t>
        </is>
      </c>
      <c r="H2392" s="2" t="inlineStr">
        <is>
          <t>Maharashtra</t>
        </is>
      </c>
      <c r="I2392" s="2" t="inlineStr">
        <is>
          <t>Thane</t>
        </is>
      </c>
      <c r="J2392" s="2" t="inlineStr">
        <is>
          <t>Online</t>
        </is>
      </c>
      <c r="K2392" s="2" t="n">
        <v>1</v>
      </c>
      <c r="L2392" s="3" t="n">
        <v>2301.7</v>
      </c>
      <c r="M2392" s="4" t="n">
        <v>0.25</v>
      </c>
      <c r="N2392" s="3" t="n">
        <v>1360.13</v>
      </c>
      <c r="O2392" s="3">
        <f>K2392*L2392*(1-M2392)</f>
        <v/>
      </c>
      <c r="P2392" s="3">
        <f>O2392-N2392</f>
        <v/>
      </c>
      <c r="Q2392" s="5">
        <f>IFERROR(P2392/O2392,0)</f>
        <v/>
      </c>
      <c r="R2392" s="2">
        <f>TEXT(DATEVALUE(B2392),"mmm")</f>
        <v/>
      </c>
      <c r="S2392" s="2">
        <f>TEXT(DATEVALUE(B2392),"yyyy-mm")</f>
        <v/>
      </c>
    </row>
    <row r="2393">
      <c r="A2393" s="2" t="inlineStr">
        <is>
          <t>O003176</t>
        </is>
      </c>
      <c r="B2393" s="2" t="inlineStr">
        <is>
          <t>2025-06-21</t>
        </is>
      </c>
      <c r="C2393" s="2" t="inlineStr">
        <is>
          <t>C0798</t>
        </is>
      </c>
      <c r="D2393" s="2" t="inlineStr">
        <is>
          <t>P0016</t>
        </is>
      </c>
      <c r="E2393" s="2" t="inlineStr">
        <is>
          <t>Casual Shirt</t>
        </is>
      </c>
      <c r="F2393" s="2" t="inlineStr">
        <is>
          <t>Fashion</t>
        </is>
      </c>
      <c r="G2393" s="2" t="inlineStr">
        <is>
          <t>South</t>
        </is>
      </c>
      <c r="H2393" s="2" t="inlineStr">
        <is>
          <t>Tamil Nadu</t>
        </is>
      </c>
      <c r="I2393" s="2" t="inlineStr">
        <is>
          <t>Coimbatore</t>
        </is>
      </c>
      <c r="J2393" s="2" t="inlineStr">
        <is>
          <t>Store</t>
        </is>
      </c>
      <c r="K2393" s="2" t="n">
        <v>3</v>
      </c>
      <c r="L2393" s="3" t="n">
        <v>1324.49</v>
      </c>
      <c r="M2393" s="4" t="n">
        <v>0.2</v>
      </c>
      <c r="N2393" s="3" t="n">
        <v>2765.96</v>
      </c>
      <c r="O2393" s="3">
        <f>K2393*L2393*(1-M2393)</f>
        <v/>
      </c>
      <c r="P2393" s="3">
        <f>O2393-N2393</f>
        <v/>
      </c>
      <c r="Q2393" s="5">
        <f>IFERROR(P2393/O2393,0)</f>
        <v/>
      </c>
      <c r="R2393" s="2">
        <f>TEXT(DATEVALUE(B2393),"mmm")</f>
        <v/>
      </c>
      <c r="S2393" s="2">
        <f>TEXT(DATEVALUE(B2393),"yyyy-mm")</f>
        <v/>
      </c>
    </row>
    <row r="2394">
      <c r="A2394" s="2" t="inlineStr">
        <is>
          <t>O003365</t>
        </is>
      </c>
      <c r="B2394" s="2" t="inlineStr">
        <is>
          <t>2025-06-21</t>
        </is>
      </c>
      <c r="C2394" s="2" t="inlineStr">
        <is>
          <t>C0694</t>
        </is>
      </c>
      <c r="D2394" s="2" t="inlineStr">
        <is>
          <t>P0008</t>
        </is>
      </c>
      <c r="E2394" s="2" t="inlineStr">
        <is>
          <t>Air Fryer</t>
        </is>
      </c>
      <c r="F2394" s="2" t="inlineStr">
        <is>
          <t>Home &amp; Kitchen</t>
        </is>
      </c>
      <c r="G2394" s="2" t="inlineStr">
        <is>
          <t>East</t>
        </is>
      </c>
      <c r="H2394" s="2" t="inlineStr">
        <is>
          <t>West Bengal</t>
        </is>
      </c>
      <c r="I2394" s="2" t="inlineStr">
        <is>
          <t>Kolkata</t>
        </is>
      </c>
      <c r="J2394" s="2" t="inlineStr">
        <is>
          <t>Store</t>
        </is>
      </c>
      <c r="K2394" s="2" t="n">
        <v>2</v>
      </c>
      <c r="L2394" s="3" t="n">
        <v>1020.19</v>
      </c>
      <c r="M2394" s="4" t="n">
        <v>0.1</v>
      </c>
      <c r="N2394" s="3" t="n">
        <v>1405.62</v>
      </c>
      <c r="O2394" s="3">
        <f>K2394*L2394*(1-M2394)</f>
        <v/>
      </c>
      <c r="P2394" s="3">
        <f>O2394-N2394</f>
        <v/>
      </c>
      <c r="Q2394" s="5">
        <f>IFERROR(P2394/O2394,0)</f>
        <v/>
      </c>
      <c r="R2394" s="2">
        <f>TEXT(DATEVALUE(B2394),"mmm")</f>
        <v/>
      </c>
      <c r="S2394" s="2">
        <f>TEXT(DATEVALUE(B2394),"yyyy-mm")</f>
        <v/>
      </c>
    </row>
    <row r="2395">
      <c r="A2395" s="2" t="inlineStr">
        <is>
          <t>O002613</t>
        </is>
      </c>
      <c r="B2395" s="2" t="inlineStr">
        <is>
          <t>2025-06-21</t>
        </is>
      </c>
      <c r="C2395" s="2" t="inlineStr">
        <is>
          <t>C0218</t>
        </is>
      </c>
      <c r="D2395" s="2" t="inlineStr">
        <is>
          <t>P0027</t>
        </is>
      </c>
      <c r="E2395" s="2" t="inlineStr">
        <is>
          <t>Moisturizer</t>
        </is>
      </c>
      <c r="F2395" s="2" t="inlineStr">
        <is>
          <t>Beauty</t>
        </is>
      </c>
      <c r="G2395" s="2" t="inlineStr">
        <is>
          <t>East</t>
        </is>
      </c>
      <c r="H2395" s="2" t="inlineStr">
        <is>
          <t>West Bengal</t>
        </is>
      </c>
      <c r="I2395" s="2" t="inlineStr">
        <is>
          <t>Durgapur</t>
        </is>
      </c>
      <c r="J2395" s="2" t="inlineStr">
        <is>
          <t>Store</t>
        </is>
      </c>
      <c r="K2395" s="2" t="n">
        <v>2</v>
      </c>
      <c r="L2395" s="3" t="n">
        <v>927.17</v>
      </c>
      <c r="M2395" s="4" t="n">
        <v>0.25</v>
      </c>
      <c r="N2395" s="3" t="n">
        <v>1388.22</v>
      </c>
      <c r="O2395" s="3">
        <f>K2395*L2395*(1-M2395)</f>
        <v/>
      </c>
      <c r="P2395" s="3">
        <f>O2395-N2395</f>
        <v/>
      </c>
      <c r="Q2395" s="5">
        <f>IFERROR(P2395/O2395,0)</f>
        <v/>
      </c>
      <c r="R2395" s="2">
        <f>TEXT(DATEVALUE(B2395),"mmm")</f>
        <v/>
      </c>
      <c r="S2395" s="2">
        <f>TEXT(DATEVALUE(B2395),"yyyy-mm")</f>
        <v/>
      </c>
    </row>
    <row r="2396">
      <c r="A2396" s="2" t="inlineStr">
        <is>
          <t>O002194</t>
        </is>
      </c>
      <c r="B2396" s="2" t="inlineStr">
        <is>
          <t>2025-06-21</t>
        </is>
      </c>
      <c r="C2396" s="2" t="inlineStr">
        <is>
          <t>C0694</t>
        </is>
      </c>
      <c r="D2396" s="2" t="inlineStr">
        <is>
          <t>P0021</t>
        </is>
      </c>
      <c r="E2396" s="2" t="inlineStr">
        <is>
          <t>Wallet</t>
        </is>
      </c>
      <c r="F2396" s="2" t="inlineStr">
        <is>
          <t>Fashion</t>
        </is>
      </c>
      <c r="G2396" s="2" t="inlineStr">
        <is>
          <t>North</t>
        </is>
      </c>
      <c r="H2396" s="2" t="inlineStr">
        <is>
          <t>Haryana</t>
        </is>
      </c>
      <c r="I2396" s="2" t="inlineStr">
        <is>
          <t>Faridabad</t>
        </is>
      </c>
      <c r="J2396" s="2" t="inlineStr">
        <is>
          <t>Online</t>
        </is>
      </c>
      <c r="K2396" s="2" t="n">
        <v>1</v>
      </c>
      <c r="L2396" s="3" t="n">
        <v>2059.79</v>
      </c>
      <c r="M2396" s="4" t="n">
        <v>0.15</v>
      </c>
      <c r="N2396" s="3" t="n">
        <v>1241.62</v>
      </c>
      <c r="O2396" s="3">
        <f>K2396*L2396*(1-M2396)</f>
        <v/>
      </c>
      <c r="P2396" s="3">
        <f>O2396-N2396</f>
        <v/>
      </c>
      <c r="Q2396" s="5">
        <f>IFERROR(P2396/O2396,0)</f>
        <v/>
      </c>
      <c r="R2396" s="2">
        <f>TEXT(DATEVALUE(B2396),"mmm")</f>
        <v/>
      </c>
      <c r="S2396" s="2">
        <f>TEXT(DATEVALUE(B2396),"yyyy-mm")</f>
        <v/>
      </c>
    </row>
    <row r="2397">
      <c r="A2397" s="2" t="inlineStr">
        <is>
          <t>O000189</t>
        </is>
      </c>
      <c r="B2397" s="2" t="inlineStr">
        <is>
          <t>2025-06-21</t>
        </is>
      </c>
      <c r="C2397" s="2" t="inlineStr">
        <is>
          <t>C0112</t>
        </is>
      </c>
      <c r="D2397" s="2" t="inlineStr">
        <is>
          <t>P0014</t>
        </is>
      </c>
      <c r="E2397" s="2" t="inlineStr">
        <is>
          <t>Coffee Maker</t>
        </is>
      </c>
      <c r="F2397" s="2" t="inlineStr">
        <is>
          <t>Home &amp; Kitchen</t>
        </is>
      </c>
      <c r="G2397" s="2" t="inlineStr">
        <is>
          <t>East</t>
        </is>
      </c>
      <c r="H2397" s="2" t="inlineStr">
        <is>
          <t>West Bengal</t>
        </is>
      </c>
      <c r="I2397" s="2" t="inlineStr">
        <is>
          <t>Durgapur</t>
        </is>
      </c>
      <c r="J2397" s="2" t="inlineStr">
        <is>
          <t>Online</t>
        </is>
      </c>
      <c r="K2397" s="2" t="n">
        <v>2</v>
      </c>
      <c r="L2397" s="3" t="n">
        <v>1019.31</v>
      </c>
      <c r="M2397" s="4" t="n">
        <v>0.05</v>
      </c>
      <c r="N2397" s="3" t="n">
        <v>1494.19</v>
      </c>
      <c r="O2397" s="3">
        <f>K2397*L2397*(1-M2397)</f>
        <v/>
      </c>
      <c r="P2397" s="3">
        <f>O2397-N2397</f>
        <v/>
      </c>
      <c r="Q2397" s="5">
        <f>IFERROR(P2397/O2397,0)</f>
        <v/>
      </c>
      <c r="R2397" s="2">
        <f>TEXT(DATEVALUE(B2397),"mmm")</f>
        <v/>
      </c>
      <c r="S2397" s="2">
        <f>TEXT(DATEVALUE(B2397),"yyyy-mm")</f>
        <v/>
      </c>
    </row>
    <row r="2398">
      <c r="A2398" s="2" t="inlineStr">
        <is>
          <t>O001007</t>
        </is>
      </c>
      <c r="B2398" s="2" t="inlineStr">
        <is>
          <t>2025-06-21</t>
        </is>
      </c>
      <c r="C2398" s="2" t="inlineStr">
        <is>
          <t>C0749</t>
        </is>
      </c>
      <c r="D2398" s="2" t="inlineStr">
        <is>
          <t>P0015</t>
        </is>
      </c>
      <c r="E2398" s="2" t="inlineStr">
        <is>
          <t>Running Shoes</t>
        </is>
      </c>
      <c r="F2398" s="2" t="inlineStr">
        <is>
          <t>Fashion</t>
        </is>
      </c>
      <c r="G2398" s="2" t="inlineStr">
        <is>
          <t>West</t>
        </is>
      </c>
      <c r="H2398" s="2" t="inlineStr">
        <is>
          <t>Goa</t>
        </is>
      </c>
      <c r="I2398" s="2" t="inlineStr">
        <is>
          <t>Margao</t>
        </is>
      </c>
      <c r="J2398" s="2" t="inlineStr">
        <is>
          <t>Store</t>
        </is>
      </c>
      <c r="K2398" s="2" t="n">
        <v>2</v>
      </c>
      <c r="L2398" s="3" t="n">
        <v>601.17</v>
      </c>
      <c r="M2398" s="4" t="n">
        <v>0.1</v>
      </c>
      <c r="N2398" s="3" t="n">
        <v>748.9400000000001</v>
      </c>
      <c r="O2398" s="3">
        <f>K2398*L2398*(1-M2398)</f>
        <v/>
      </c>
      <c r="P2398" s="3">
        <f>O2398-N2398</f>
        <v/>
      </c>
      <c r="Q2398" s="5">
        <f>IFERROR(P2398/O2398,0)</f>
        <v/>
      </c>
      <c r="R2398" s="2">
        <f>TEXT(DATEVALUE(B2398),"mmm")</f>
        <v/>
      </c>
      <c r="S2398" s="2">
        <f>TEXT(DATEVALUE(B2398),"yyyy-mm")</f>
        <v/>
      </c>
    </row>
    <row r="2399">
      <c r="A2399" s="2" t="inlineStr">
        <is>
          <t>O000331</t>
        </is>
      </c>
      <c r="B2399" s="2" t="inlineStr">
        <is>
          <t>2025-06-21</t>
        </is>
      </c>
      <c r="C2399" s="2" t="inlineStr">
        <is>
          <t>C0060</t>
        </is>
      </c>
      <c r="D2399" s="2" t="inlineStr">
        <is>
          <t>P0012</t>
        </is>
      </c>
      <c r="E2399" s="2" t="inlineStr">
        <is>
          <t>Water Bottle</t>
        </is>
      </c>
      <c r="F2399" s="2" t="inlineStr">
        <is>
          <t>Home &amp; Kitchen</t>
        </is>
      </c>
      <c r="G2399" s="2" t="inlineStr">
        <is>
          <t>West</t>
        </is>
      </c>
      <c r="H2399" s="2" t="inlineStr">
        <is>
          <t>Maharashtra</t>
        </is>
      </c>
      <c r="I2399" s="2" t="inlineStr">
        <is>
          <t>Mumbai</t>
        </is>
      </c>
      <c r="J2399" s="2" t="inlineStr">
        <is>
          <t>Online</t>
        </is>
      </c>
      <c r="K2399" s="2" t="n">
        <v>2</v>
      </c>
      <c r="L2399" s="3" t="n">
        <v>982.72</v>
      </c>
      <c r="M2399" s="4" t="n">
        <v>0.2</v>
      </c>
      <c r="N2399" s="3" t="n">
        <v>1281.55</v>
      </c>
      <c r="O2399" s="3">
        <f>K2399*L2399*(1-M2399)</f>
        <v/>
      </c>
      <c r="P2399" s="3">
        <f>O2399-N2399</f>
        <v/>
      </c>
      <c r="Q2399" s="5">
        <f>IFERROR(P2399/O2399,0)</f>
        <v/>
      </c>
      <c r="R2399" s="2">
        <f>TEXT(DATEVALUE(B2399),"mmm")</f>
        <v/>
      </c>
      <c r="S2399" s="2">
        <f>TEXT(DATEVALUE(B2399),"yyyy-mm")</f>
        <v/>
      </c>
    </row>
    <row r="2400">
      <c r="A2400" s="2" t="inlineStr">
        <is>
          <t>O000217</t>
        </is>
      </c>
      <c r="B2400" s="2" t="inlineStr">
        <is>
          <t>2025-06-21</t>
        </is>
      </c>
      <c r="C2400" s="2" t="inlineStr">
        <is>
          <t>C0454</t>
        </is>
      </c>
      <c r="D2400" s="2" t="inlineStr">
        <is>
          <t>P0012</t>
        </is>
      </c>
      <c r="E2400" s="2" t="inlineStr">
        <is>
          <t>Water Bottle</t>
        </is>
      </c>
      <c r="F2400" s="2" t="inlineStr">
        <is>
          <t>Home &amp; Kitchen</t>
        </is>
      </c>
      <c r="G2400" s="2" t="inlineStr">
        <is>
          <t>East</t>
        </is>
      </c>
      <c r="H2400" s="2" t="inlineStr">
        <is>
          <t>West Bengal</t>
        </is>
      </c>
      <c r="I2400" s="2" t="inlineStr">
        <is>
          <t>Kolkata</t>
        </is>
      </c>
      <c r="J2400" s="2" t="inlineStr">
        <is>
          <t>Online</t>
        </is>
      </c>
      <c r="K2400" s="2" t="n">
        <v>1</v>
      </c>
      <c r="L2400" s="3" t="n">
        <v>974.75</v>
      </c>
      <c r="M2400" s="4" t="n">
        <v>0.1</v>
      </c>
      <c r="N2400" s="3" t="n">
        <v>629.71</v>
      </c>
      <c r="O2400" s="3">
        <f>K2400*L2400*(1-M2400)</f>
        <v/>
      </c>
      <c r="P2400" s="3">
        <f>O2400-N2400</f>
        <v/>
      </c>
      <c r="Q2400" s="5">
        <f>IFERROR(P2400/O2400,0)</f>
        <v/>
      </c>
      <c r="R2400" s="2">
        <f>TEXT(DATEVALUE(B2400),"mmm")</f>
        <v/>
      </c>
      <c r="S2400" s="2">
        <f>TEXT(DATEVALUE(B2400),"yyyy-mm")</f>
        <v/>
      </c>
    </row>
    <row r="2401">
      <c r="A2401" s="2" t="inlineStr">
        <is>
          <t>O000121</t>
        </is>
      </c>
      <c r="B2401" s="2" t="inlineStr">
        <is>
          <t>2025-06-21</t>
        </is>
      </c>
      <c r="C2401" s="2" t="inlineStr">
        <is>
          <t>C0775</t>
        </is>
      </c>
      <c r="D2401" s="2" t="inlineStr">
        <is>
          <t>P0019</t>
        </is>
      </c>
      <c r="E2401" s="2" t="inlineStr">
        <is>
          <t>Jacket</t>
        </is>
      </c>
      <c r="F2401" s="2" t="inlineStr">
        <is>
          <t>Fashion</t>
        </is>
      </c>
      <c r="G2401" s="2" t="inlineStr">
        <is>
          <t>South</t>
        </is>
      </c>
      <c r="H2401" s="2" t="inlineStr">
        <is>
          <t>Kerala</t>
        </is>
      </c>
      <c r="I2401" s="2" t="inlineStr">
        <is>
          <t>Kochi</t>
        </is>
      </c>
      <c r="J2401" s="2" t="inlineStr">
        <is>
          <t>Store</t>
        </is>
      </c>
      <c r="K2401" s="2" t="n">
        <v>5</v>
      </c>
      <c r="L2401" s="3" t="n">
        <v>1004.49</v>
      </c>
      <c r="M2401" s="4" t="n">
        <v>0.1</v>
      </c>
      <c r="N2401" s="3" t="n">
        <v>3411.07</v>
      </c>
      <c r="O2401" s="3">
        <f>K2401*L2401*(1-M2401)</f>
        <v/>
      </c>
      <c r="P2401" s="3">
        <f>O2401-N2401</f>
        <v/>
      </c>
      <c r="Q2401" s="5">
        <f>IFERROR(P2401/O2401,0)</f>
        <v/>
      </c>
      <c r="R2401" s="2">
        <f>TEXT(DATEVALUE(B2401),"mmm")</f>
        <v/>
      </c>
      <c r="S2401" s="2">
        <f>TEXT(DATEVALUE(B2401),"yyyy-mm")</f>
        <v/>
      </c>
    </row>
    <row r="2402">
      <c r="A2402" s="2" t="inlineStr">
        <is>
          <t>O001421</t>
        </is>
      </c>
      <c r="B2402" s="2" t="inlineStr">
        <is>
          <t>2025-06-21</t>
        </is>
      </c>
      <c r="C2402" s="2" t="inlineStr">
        <is>
          <t>C0525</t>
        </is>
      </c>
      <c r="D2402" s="2" t="inlineStr">
        <is>
          <t>P0015</t>
        </is>
      </c>
      <c r="E2402" s="2" t="inlineStr">
        <is>
          <t>Running Shoes</t>
        </is>
      </c>
      <c r="F2402" s="2" t="inlineStr">
        <is>
          <t>Fashion</t>
        </is>
      </c>
      <c r="G2402" s="2" t="inlineStr">
        <is>
          <t>South</t>
        </is>
      </c>
      <c r="H2402" s="2" t="inlineStr">
        <is>
          <t>Kerala</t>
        </is>
      </c>
      <c r="I2402" s="2" t="inlineStr">
        <is>
          <t>Kochi</t>
        </is>
      </c>
      <c r="J2402" s="2" t="inlineStr">
        <is>
          <t>Online</t>
        </is>
      </c>
      <c r="K2402" s="2" t="n">
        <v>3</v>
      </c>
      <c r="L2402" s="3" t="n">
        <v>592.74</v>
      </c>
      <c r="M2402" s="4" t="n">
        <v>0.05</v>
      </c>
      <c r="N2402" s="3" t="n">
        <v>1144.2</v>
      </c>
      <c r="O2402" s="3">
        <f>K2402*L2402*(1-M2402)</f>
        <v/>
      </c>
      <c r="P2402" s="3">
        <f>O2402-N2402</f>
        <v/>
      </c>
      <c r="Q2402" s="5">
        <f>IFERROR(P2402/O2402,0)</f>
        <v/>
      </c>
      <c r="R2402" s="2">
        <f>TEXT(DATEVALUE(B2402),"mmm")</f>
        <v/>
      </c>
      <c r="S2402" s="2">
        <f>TEXT(DATEVALUE(B2402),"yyyy-mm")</f>
        <v/>
      </c>
    </row>
    <row r="2403">
      <c r="A2403" s="2" t="inlineStr">
        <is>
          <t>O002540</t>
        </is>
      </c>
      <c r="B2403" s="2" t="inlineStr">
        <is>
          <t>2025-06-22</t>
        </is>
      </c>
      <c r="C2403" s="2" t="inlineStr">
        <is>
          <t>C0311</t>
        </is>
      </c>
      <c r="D2403" s="2" t="inlineStr">
        <is>
          <t>P0025</t>
        </is>
      </c>
      <c r="E2403" s="2" t="inlineStr">
        <is>
          <t>Perfume</t>
        </is>
      </c>
      <c r="F2403" s="2" t="inlineStr">
        <is>
          <t>Beauty</t>
        </is>
      </c>
      <c r="G2403" s="2" t="inlineStr">
        <is>
          <t>East</t>
        </is>
      </c>
      <c r="H2403" s="2" t="inlineStr">
        <is>
          <t>Bihar</t>
        </is>
      </c>
      <c r="I2403" s="2" t="inlineStr">
        <is>
          <t>Patna</t>
        </is>
      </c>
      <c r="J2403" s="2" t="inlineStr">
        <is>
          <t>Online</t>
        </is>
      </c>
      <c r="K2403" s="2" t="n">
        <v>5</v>
      </c>
      <c r="L2403" s="3" t="n">
        <v>816.6900000000001</v>
      </c>
      <c r="M2403" s="4" t="n">
        <v>0.25</v>
      </c>
      <c r="N2403" s="3" t="n">
        <v>3109.72</v>
      </c>
      <c r="O2403" s="3">
        <f>K2403*L2403*(1-M2403)</f>
        <v/>
      </c>
      <c r="P2403" s="3">
        <f>O2403-N2403</f>
        <v/>
      </c>
      <c r="Q2403" s="5">
        <f>IFERROR(P2403/O2403,0)</f>
        <v/>
      </c>
      <c r="R2403" s="2">
        <f>TEXT(DATEVALUE(B2403),"mmm")</f>
        <v/>
      </c>
      <c r="S2403" s="2">
        <f>TEXT(DATEVALUE(B2403),"yyyy-mm")</f>
        <v/>
      </c>
    </row>
    <row r="2404">
      <c r="A2404" s="2" t="inlineStr">
        <is>
          <t>O004675</t>
        </is>
      </c>
      <c r="B2404" s="2" t="inlineStr">
        <is>
          <t>2025-06-22</t>
        </is>
      </c>
      <c r="C2404" s="2" t="inlineStr">
        <is>
          <t>C0680</t>
        </is>
      </c>
      <c r="D2404" s="2" t="inlineStr">
        <is>
          <t>P0006</t>
        </is>
      </c>
      <c r="E2404" s="2" t="inlineStr">
        <is>
          <t>Mechanical Keyboard</t>
        </is>
      </c>
      <c r="F2404" s="2" t="inlineStr">
        <is>
          <t>Electronics</t>
        </is>
      </c>
      <c r="G2404" s="2" t="inlineStr">
        <is>
          <t>South</t>
        </is>
      </c>
      <c r="H2404" s="2" t="inlineStr">
        <is>
          <t>Karnataka</t>
        </is>
      </c>
      <c r="I2404" s="2" t="inlineStr">
        <is>
          <t>Mangaluru</t>
        </is>
      </c>
      <c r="J2404" s="2" t="inlineStr">
        <is>
          <t>Online</t>
        </is>
      </c>
      <c r="K2404" s="2" t="n">
        <v>1</v>
      </c>
      <c r="L2404" s="3" t="n">
        <v>2728.83</v>
      </c>
      <c r="M2404" s="4" t="n">
        <v>0.1</v>
      </c>
      <c r="N2404" s="3" t="n">
        <v>1483.63</v>
      </c>
      <c r="O2404" s="3">
        <f>K2404*L2404*(1-M2404)</f>
        <v/>
      </c>
      <c r="P2404" s="3">
        <f>O2404-N2404</f>
        <v/>
      </c>
      <c r="Q2404" s="5">
        <f>IFERROR(P2404/O2404,0)</f>
        <v/>
      </c>
      <c r="R2404" s="2">
        <f>TEXT(DATEVALUE(B2404),"mmm")</f>
        <v/>
      </c>
      <c r="S2404" s="2">
        <f>TEXT(DATEVALUE(B2404),"yyyy-mm")</f>
        <v/>
      </c>
    </row>
    <row r="2405">
      <c r="A2405" s="2" t="inlineStr">
        <is>
          <t>O004041</t>
        </is>
      </c>
      <c r="B2405" s="2" t="inlineStr">
        <is>
          <t>2025-06-22</t>
        </is>
      </c>
      <c r="C2405" s="2" t="inlineStr">
        <is>
          <t>C0746</t>
        </is>
      </c>
      <c r="D2405" s="2" t="inlineStr">
        <is>
          <t>P0023</t>
        </is>
      </c>
      <c r="E2405" s="2" t="inlineStr">
        <is>
          <t>Skin Care Kit</t>
        </is>
      </c>
      <c r="F2405" s="2" t="inlineStr">
        <is>
          <t>Beauty</t>
        </is>
      </c>
      <c r="G2405" s="2" t="inlineStr">
        <is>
          <t>South</t>
        </is>
      </c>
      <c r="H2405" s="2" t="inlineStr">
        <is>
          <t>Karnataka</t>
        </is>
      </c>
      <c r="I2405" s="2" t="inlineStr">
        <is>
          <t>Mysuru</t>
        </is>
      </c>
      <c r="J2405" s="2" t="inlineStr">
        <is>
          <t>Online</t>
        </is>
      </c>
      <c r="K2405" s="2" t="n">
        <v>2</v>
      </c>
      <c r="L2405" s="3" t="n">
        <v>1434.62</v>
      </c>
      <c r="M2405" s="4" t="n">
        <v>0</v>
      </c>
      <c r="N2405" s="3" t="n">
        <v>1786.17</v>
      </c>
      <c r="O2405" s="3">
        <f>K2405*L2405*(1-M2405)</f>
        <v/>
      </c>
      <c r="P2405" s="3">
        <f>O2405-N2405</f>
        <v/>
      </c>
      <c r="Q2405" s="5">
        <f>IFERROR(P2405/O2405,0)</f>
        <v/>
      </c>
      <c r="R2405" s="2">
        <f>TEXT(DATEVALUE(B2405),"mmm")</f>
        <v/>
      </c>
      <c r="S2405" s="2">
        <f>TEXT(DATEVALUE(B2405),"yyyy-mm")</f>
        <v/>
      </c>
    </row>
    <row r="2406">
      <c r="A2406" s="2" t="inlineStr">
        <is>
          <t>O004015</t>
        </is>
      </c>
      <c r="B2406" s="2" t="inlineStr">
        <is>
          <t>2025-06-22</t>
        </is>
      </c>
      <c r="C2406" s="2" t="inlineStr">
        <is>
          <t>C0394</t>
        </is>
      </c>
      <c r="D2406" s="2" t="inlineStr">
        <is>
          <t>P0002</t>
        </is>
      </c>
      <c r="E2406" s="2" t="inlineStr">
        <is>
          <t>Bluetooth Speaker</t>
        </is>
      </c>
      <c r="F2406" s="2" t="inlineStr">
        <is>
          <t>Electronics</t>
        </is>
      </c>
      <c r="G2406" s="2" t="inlineStr">
        <is>
          <t>West</t>
        </is>
      </c>
      <c r="H2406" s="2" t="inlineStr">
        <is>
          <t>Goa</t>
        </is>
      </c>
      <c r="I2406" s="2" t="inlineStr">
        <is>
          <t>Panaji</t>
        </is>
      </c>
      <c r="J2406" s="2" t="inlineStr">
        <is>
          <t>Online</t>
        </is>
      </c>
      <c r="K2406" s="2" t="n">
        <v>3</v>
      </c>
      <c r="L2406" s="3" t="n">
        <v>1334.59</v>
      </c>
      <c r="M2406" s="4" t="n">
        <v>0.1</v>
      </c>
      <c r="N2406" s="3" t="n">
        <v>2487.59</v>
      </c>
      <c r="O2406" s="3">
        <f>K2406*L2406*(1-M2406)</f>
        <v/>
      </c>
      <c r="P2406" s="3">
        <f>O2406-N2406</f>
        <v/>
      </c>
      <c r="Q2406" s="5">
        <f>IFERROR(P2406/O2406,0)</f>
        <v/>
      </c>
      <c r="R2406" s="2">
        <f>TEXT(DATEVALUE(B2406),"mmm")</f>
        <v/>
      </c>
      <c r="S2406" s="2">
        <f>TEXT(DATEVALUE(B2406),"yyyy-mm")</f>
        <v/>
      </c>
    </row>
    <row r="2407">
      <c r="A2407" s="2" t="inlineStr">
        <is>
          <t>O003762</t>
        </is>
      </c>
      <c r="B2407" s="2" t="inlineStr">
        <is>
          <t>2025-06-22</t>
        </is>
      </c>
      <c r="C2407" s="2" t="inlineStr">
        <is>
          <t>C0145</t>
        </is>
      </c>
      <c r="D2407" s="2" t="inlineStr">
        <is>
          <t>P0033</t>
        </is>
      </c>
      <c r="E2407" s="2" t="inlineStr">
        <is>
          <t>Resistance Bands</t>
        </is>
      </c>
      <c r="F2407" s="2" t="inlineStr">
        <is>
          <t>Sports</t>
        </is>
      </c>
      <c r="G2407" s="2" t="inlineStr">
        <is>
          <t>West</t>
        </is>
      </c>
      <c r="H2407" s="2" t="inlineStr">
        <is>
          <t>Goa</t>
        </is>
      </c>
      <c r="I2407" s="2" t="inlineStr">
        <is>
          <t>Panaji</t>
        </is>
      </c>
      <c r="J2407" s="2" t="inlineStr">
        <is>
          <t>Online</t>
        </is>
      </c>
      <c r="K2407" s="2" t="n">
        <v>3</v>
      </c>
      <c r="L2407" s="3" t="n">
        <v>1098.95</v>
      </c>
      <c r="M2407" s="4" t="n">
        <v>0.15</v>
      </c>
      <c r="N2407" s="3" t="n">
        <v>2246.87</v>
      </c>
      <c r="O2407" s="3">
        <f>K2407*L2407*(1-M2407)</f>
        <v/>
      </c>
      <c r="P2407" s="3">
        <f>O2407-N2407</f>
        <v/>
      </c>
      <c r="Q2407" s="5">
        <f>IFERROR(P2407/O2407,0)</f>
        <v/>
      </c>
      <c r="R2407" s="2">
        <f>TEXT(DATEVALUE(B2407),"mmm")</f>
        <v/>
      </c>
      <c r="S2407" s="2">
        <f>TEXT(DATEVALUE(B2407),"yyyy-mm")</f>
        <v/>
      </c>
    </row>
    <row r="2408">
      <c r="A2408" s="2" t="inlineStr">
        <is>
          <t>O004774</t>
        </is>
      </c>
      <c r="B2408" s="2" t="inlineStr">
        <is>
          <t>2025-06-22</t>
        </is>
      </c>
      <c r="C2408" s="2" t="inlineStr">
        <is>
          <t>C0344</t>
        </is>
      </c>
      <c r="D2408" s="2" t="inlineStr">
        <is>
          <t>P0006</t>
        </is>
      </c>
      <c r="E2408" s="2" t="inlineStr">
        <is>
          <t>Mechanical Keyboard</t>
        </is>
      </c>
      <c r="F2408" s="2" t="inlineStr">
        <is>
          <t>Electronics</t>
        </is>
      </c>
      <c r="G2408" s="2" t="inlineStr">
        <is>
          <t>South</t>
        </is>
      </c>
      <c r="H2408" s="2" t="inlineStr">
        <is>
          <t>Telangana</t>
        </is>
      </c>
      <c r="I2408" s="2" t="inlineStr">
        <is>
          <t>Hyderabad</t>
        </is>
      </c>
      <c r="J2408" s="2" t="inlineStr">
        <is>
          <t>Online</t>
        </is>
      </c>
      <c r="K2408" s="2" t="n">
        <v>2</v>
      </c>
      <c r="L2408" s="3" t="n">
        <v>2748.85</v>
      </c>
      <c r="M2408" s="4" t="n">
        <v>0.05</v>
      </c>
      <c r="N2408" s="3" t="n">
        <v>2940.06</v>
      </c>
      <c r="O2408" s="3">
        <f>K2408*L2408*(1-M2408)</f>
        <v/>
      </c>
      <c r="P2408" s="3">
        <f>O2408-N2408</f>
        <v/>
      </c>
      <c r="Q2408" s="5">
        <f>IFERROR(P2408/O2408,0)</f>
        <v/>
      </c>
      <c r="R2408" s="2">
        <f>TEXT(DATEVALUE(B2408),"mmm")</f>
        <v/>
      </c>
      <c r="S2408" s="2">
        <f>TEXT(DATEVALUE(B2408),"yyyy-mm")</f>
        <v/>
      </c>
    </row>
    <row r="2409">
      <c r="A2409" s="2" t="inlineStr">
        <is>
          <t>O003489</t>
        </is>
      </c>
      <c r="B2409" s="2" t="inlineStr">
        <is>
          <t>2025-06-22</t>
        </is>
      </c>
      <c r="C2409" s="2" t="inlineStr">
        <is>
          <t>C0183</t>
        </is>
      </c>
      <c r="D2409" s="2" t="inlineStr">
        <is>
          <t>P0016</t>
        </is>
      </c>
      <c r="E2409" s="2" t="inlineStr">
        <is>
          <t>Casual Shirt</t>
        </is>
      </c>
      <c r="F2409" s="2" t="inlineStr">
        <is>
          <t>Fashion</t>
        </is>
      </c>
      <c r="G2409" s="2" t="inlineStr">
        <is>
          <t>West</t>
        </is>
      </c>
      <c r="H2409" s="2" t="inlineStr">
        <is>
          <t>Gujarat</t>
        </is>
      </c>
      <c r="I2409" s="2" t="inlineStr">
        <is>
          <t>Ahmedabad</t>
        </is>
      </c>
      <c r="J2409" s="2" t="inlineStr">
        <is>
          <t>Store</t>
        </is>
      </c>
      <c r="K2409" s="2" t="n">
        <v>1</v>
      </c>
      <c r="L2409" s="3" t="n">
        <v>1265.59</v>
      </c>
      <c r="M2409" s="4" t="n">
        <v>0.15</v>
      </c>
      <c r="N2409" s="3" t="n">
        <v>884.34</v>
      </c>
      <c r="O2409" s="3">
        <f>K2409*L2409*(1-M2409)</f>
        <v/>
      </c>
      <c r="P2409" s="3">
        <f>O2409-N2409</f>
        <v/>
      </c>
      <c r="Q2409" s="5">
        <f>IFERROR(P2409/O2409,0)</f>
        <v/>
      </c>
      <c r="R2409" s="2">
        <f>TEXT(DATEVALUE(B2409),"mmm")</f>
        <v/>
      </c>
      <c r="S2409" s="2">
        <f>TEXT(DATEVALUE(B2409),"yyyy-mm")</f>
        <v/>
      </c>
    </row>
    <row r="2410">
      <c r="A2410" s="2" t="inlineStr">
        <is>
          <t>O003125</t>
        </is>
      </c>
      <c r="B2410" s="2" t="inlineStr">
        <is>
          <t>2025-06-22</t>
        </is>
      </c>
      <c r="C2410" s="2" t="inlineStr">
        <is>
          <t>C0771</t>
        </is>
      </c>
      <c r="D2410" s="2" t="inlineStr">
        <is>
          <t>P0004</t>
        </is>
      </c>
      <c r="E2410" s="2" t="inlineStr">
        <is>
          <t>USB-C Hub</t>
        </is>
      </c>
      <c r="F2410" s="2" t="inlineStr">
        <is>
          <t>Electronics</t>
        </is>
      </c>
      <c r="G2410" s="2" t="inlineStr">
        <is>
          <t>West</t>
        </is>
      </c>
      <c r="H2410" s="2" t="inlineStr">
        <is>
          <t>Gujarat</t>
        </is>
      </c>
      <c r="I2410" s="2" t="inlineStr">
        <is>
          <t>Surat</t>
        </is>
      </c>
      <c r="J2410" s="2" t="inlineStr">
        <is>
          <t>Online</t>
        </is>
      </c>
      <c r="K2410" s="2" t="n">
        <v>4</v>
      </c>
      <c r="L2410" s="3" t="n">
        <v>1257.1</v>
      </c>
      <c r="M2410" s="4" t="n">
        <v>0.05</v>
      </c>
      <c r="N2410" s="3" t="n">
        <v>3686.33</v>
      </c>
      <c r="O2410" s="3">
        <f>K2410*L2410*(1-M2410)</f>
        <v/>
      </c>
      <c r="P2410" s="3">
        <f>O2410-N2410</f>
        <v/>
      </c>
      <c r="Q2410" s="5">
        <f>IFERROR(P2410/O2410,0)</f>
        <v/>
      </c>
      <c r="R2410" s="2">
        <f>TEXT(DATEVALUE(B2410),"mmm")</f>
        <v/>
      </c>
      <c r="S2410" s="2">
        <f>TEXT(DATEVALUE(B2410),"yyyy-mm")</f>
        <v/>
      </c>
    </row>
    <row r="2411">
      <c r="A2411" s="2" t="inlineStr">
        <is>
          <t>O002758</t>
        </is>
      </c>
      <c r="B2411" s="2" t="inlineStr">
        <is>
          <t>2025-06-22</t>
        </is>
      </c>
      <c r="C2411" s="2" t="inlineStr">
        <is>
          <t>C0502</t>
        </is>
      </c>
      <c r="D2411" s="2" t="inlineStr">
        <is>
          <t>P0029</t>
        </is>
      </c>
      <c r="E2411" s="2" t="inlineStr">
        <is>
          <t>Yoga Mat</t>
        </is>
      </c>
      <c r="F2411" s="2" t="inlineStr">
        <is>
          <t>Sports</t>
        </is>
      </c>
      <c r="G2411" s="2" t="inlineStr">
        <is>
          <t>North</t>
        </is>
      </c>
      <c r="H2411" s="2" t="inlineStr">
        <is>
          <t>Uttar Pradesh</t>
        </is>
      </c>
      <c r="I2411" s="2" t="inlineStr">
        <is>
          <t>Lucknow</t>
        </is>
      </c>
      <c r="J2411" s="2" t="inlineStr">
        <is>
          <t>Store</t>
        </is>
      </c>
      <c r="K2411" s="2" t="n">
        <v>6</v>
      </c>
      <c r="L2411" s="3" t="n">
        <v>2392.92</v>
      </c>
      <c r="M2411" s="4" t="n">
        <v>0.15</v>
      </c>
      <c r="N2411" s="3" t="n">
        <v>7652.56</v>
      </c>
      <c r="O2411" s="3">
        <f>K2411*L2411*(1-M2411)</f>
        <v/>
      </c>
      <c r="P2411" s="3">
        <f>O2411-N2411</f>
        <v/>
      </c>
      <c r="Q2411" s="5">
        <f>IFERROR(P2411/O2411,0)</f>
        <v/>
      </c>
      <c r="R2411" s="2">
        <f>TEXT(DATEVALUE(B2411),"mmm")</f>
        <v/>
      </c>
      <c r="S2411" s="2">
        <f>TEXT(DATEVALUE(B2411),"yyyy-mm")</f>
        <v/>
      </c>
    </row>
    <row r="2412">
      <c r="A2412" s="2" t="inlineStr">
        <is>
          <t>O002491</t>
        </is>
      </c>
      <c r="B2412" s="2" t="inlineStr">
        <is>
          <t>2025-06-22</t>
        </is>
      </c>
      <c r="C2412" s="2" t="inlineStr">
        <is>
          <t>C0373</t>
        </is>
      </c>
      <c r="D2412" s="2" t="inlineStr">
        <is>
          <t>P0013</t>
        </is>
      </c>
      <c r="E2412" s="2" t="inlineStr">
        <is>
          <t>Storage Organizer</t>
        </is>
      </c>
      <c r="F2412" s="2" t="inlineStr">
        <is>
          <t>Home &amp; Kitchen</t>
        </is>
      </c>
      <c r="G2412" s="2" t="inlineStr">
        <is>
          <t>West</t>
        </is>
      </c>
      <c r="H2412" s="2" t="inlineStr">
        <is>
          <t>Goa</t>
        </is>
      </c>
      <c r="I2412" s="2" t="inlineStr">
        <is>
          <t>Panaji</t>
        </is>
      </c>
      <c r="J2412" s="2" t="inlineStr">
        <is>
          <t>Online</t>
        </is>
      </c>
      <c r="K2412" s="2" t="n">
        <v>1</v>
      </c>
      <c r="L2412" s="3" t="n">
        <v>556.08</v>
      </c>
      <c r="M2412" s="4" t="n">
        <v>0.05</v>
      </c>
      <c r="N2412" s="3" t="n">
        <v>349.73</v>
      </c>
      <c r="O2412" s="3">
        <f>K2412*L2412*(1-M2412)</f>
        <v/>
      </c>
      <c r="P2412" s="3">
        <f>O2412-N2412</f>
        <v/>
      </c>
      <c r="Q2412" s="5">
        <f>IFERROR(P2412/O2412,0)</f>
        <v/>
      </c>
      <c r="R2412" s="2">
        <f>TEXT(DATEVALUE(B2412),"mmm")</f>
        <v/>
      </c>
      <c r="S2412" s="2">
        <f>TEXT(DATEVALUE(B2412),"yyyy-mm")</f>
        <v/>
      </c>
    </row>
    <row r="2413">
      <c r="A2413" s="2" t="inlineStr">
        <is>
          <t>O003606</t>
        </is>
      </c>
      <c r="B2413" s="2" t="inlineStr">
        <is>
          <t>2025-06-22</t>
        </is>
      </c>
      <c r="C2413" s="2" t="inlineStr">
        <is>
          <t>C0457</t>
        </is>
      </c>
      <c r="D2413" s="2" t="inlineStr">
        <is>
          <t>P0031</t>
        </is>
      </c>
      <c r="E2413" s="2" t="inlineStr">
        <is>
          <t>Cricket Bat</t>
        </is>
      </c>
      <c r="F2413" s="2" t="inlineStr">
        <is>
          <t>Sports</t>
        </is>
      </c>
      <c r="G2413" s="2" t="inlineStr">
        <is>
          <t>South</t>
        </is>
      </c>
      <c r="H2413" s="2" t="inlineStr">
        <is>
          <t>Telangana</t>
        </is>
      </c>
      <c r="I2413" s="2" t="inlineStr">
        <is>
          <t>Hyderabad</t>
        </is>
      </c>
      <c r="J2413" s="2" t="inlineStr">
        <is>
          <t>Store</t>
        </is>
      </c>
      <c r="K2413" s="2" t="n">
        <v>2</v>
      </c>
      <c r="L2413" s="3" t="n">
        <v>1404.45</v>
      </c>
      <c r="M2413" s="4" t="n">
        <v>0.2</v>
      </c>
      <c r="N2413" s="3" t="n">
        <v>1879.81</v>
      </c>
      <c r="O2413" s="3">
        <f>K2413*L2413*(1-M2413)</f>
        <v/>
      </c>
      <c r="P2413" s="3">
        <f>O2413-N2413</f>
        <v/>
      </c>
      <c r="Q2413" s="5">
        <f>IFERROR(P2413/O2413,0)</f>
        <v/>
      </c>
      <c r="R2413" s="2">
        <f>TEXT(DATEVALUE(B2413),"mmm")</f>
        <v/>
      </c>
      <c r="S2413" s="2">
        <f>TEXT(DATEVALUE(B2413),"yyyy-mm")</f>
        <v/>
      </c>
    </row>
    <row r="2414">
      <c r="A2414" s="2" t="inlineStr">
        <is>
          <t>O002195</t>
        </is>
      </c>
      <c r="B2414" s="2" t="inlineStr">
        <is>
          <t>2025-06-22</t>
        </is>
      </c>
      <c r="C2414" s="2" t="inlineStr">
        <is>
          <t>C0440</t>
        </is>
      </c>
      <c r="D2414" s="2" t="inlineStr">
        <is>
          <t>P0013</t>
        </is>
      </c>
      <c r="E2414" s="2" t="inlineStr">
        <is>
          <t>Storage Organizer</t>
        </is>
      </c>
      <c r="F2414" s="2" t="inlineStr">
        <is>
          <t>Home &amp; Kitchen</t>
        </is>
      </c>
      <c r="G2414" s="2" t="inlineStr">
        <is>
          <t>East</t>
        </is>
      </c>
      <c r="H2414" s="2" t="inlineStr">
        <is>
          <t>West Bengal</t>
        </is>
      </c>
      <c r="I2414" s="2" t="inlineStr">
        <is>
          <t>Kolkata</t>
        </is>
      </c>
      <c r="J2414" s="2" t="inlineStr">
        <is>
          <t>Online</t>
        </is>
      </c>
      <c r="K2414" s="2" t="n">
        <v>2</v>
      </c>
      <c r="L2414" s="3" t="n">
        <v>548.75</v>
      </c>
      <c r="M2414" s="4" t="n">
        <v>0</v>
      </c>
      <c r="N2414" s="3" t="n">
        <v>701.15</v>
      </c>
      <c r="O2414" s="3">
        <f>K2414*L2414*(1-M2414)</f>
        <v/>
      </c>
      <c r="P2414" s="3">
        <f>O2414-N2414</f>
        <v/>
      </c>
      <c r="Q2414" s="5">
        <f>IFERROR(P2414/O2414,0)</f>
        <v/>
      </c>
      <c r="R2414" s="2">
        <f>TEXT(DATEVALUE(B2414),"mmm")</f>
        <v/>
      </c>
      <c r="S2414" s="2">
        <f>TEXT(DATEVALUE(B2414),"yyyy-mm")</f>
        <v/>
      </c>
    </row>
    <row r="2415">
      <c r="A2415" s="2" t="inlineStr">
        <is>
          <t>O000383</t>
        </is>
      </c>
      <c r="B2415" s="2" t="inlineStr">
        <is>
          <t>2025-06-22</t>
        </is>
      </c>
      <c r="C2415" s="2" t="inlineStr">
        <is>
          <t>C0083</t>
        </is>
      </c>
      <c r="D2415" s="2" t="inlineStr">
        <is>
          <t>P0023</t>
        </is>
      </c>
      <c r="E2415" s="2" t="inlineStr">
        <is>
          <t>Skin Care Kit</t>
        </is>
      </c>
      <c r="F2415" s="2" t="inlineStr">
        <is>
          <t>Beauty</t>
        </is>
      </c>
      <c r="G2415" s="2" t="inlineStr">
        <is>
          <t>East</t>
        </is>
      </c>
      <c r="H2415" s="2" t="inlineStr">
        <is>
          <t>West Bengal</t>
        </is>
      </c>
      <c r="I2415" s="2" t="inlineStr">
        <is>
          <t>Kolkata</t>
        </is>
      </c>
      <c r="J2415" s="2" t="inlineStr">
        <is>
          <t>Store</t>
        </is>
      </c>
      <c r="K2415" s="2" t="n">
        <v>3</v>
      </c>
      <c r="L2415" s="3" t="n">
        <v>1441.77</v>
      </c>
      <c r="M2415" s="4" t="n">
        <v>0.15</v>
      </c>
      <c r="N2415" s="3" t="n">
        <v>2590.92</v>
      </c>
      <c r="O2415" s="3">
        <f>K2415*L2415*(1-M2415)</f>
        <v/>
      </c>
      <c r="P2415" s="3">
        <f>O2415-N2415</f>
        <v/>
      </c>
      <c r="Q2415" s="5">
        <f>IFERROR(P2415/O2415,0)</f>
        <v/>
      </c>
      <c r="R2415" s="2">
        <f>TEXT(DATEVALUE(B2415),"mmm")</f>
        <v/>
      </c>
      <c r="S2415" s="2">
        <f>TEXT(DATEVALUE(B2415),"yyyy-mm")</f>
        <v/>
      </c>
    </row>
    <row r="2416">
      <c r="A2416" s="2" t="inlineStr">
        <is>
          <t>O000640</t>
        </is>
      </c>
      <c r="B2416" s="2" t="inlineStr">
        <is>
          <t>2025-06-22</t>
        </is>
      </c>
      <c r="C2416" s="2" t="inlineStr">
        <is>
          <t>C0489</t>
        </is>
      </c>
      <c r="D2416" s="2" t="inlineStr">
        <is>
          <t>P0019</t>
        </is>
      </c>
      <c r="E2416" s="2" t="inlineStr">
        <is>
          <t>Jacket</t>
        </is>
      </c>
      <c r="F2416" s="2" t="inlineStr">
        <is>
          <t>Fashion</t>
        </is>
      </c>
      <c r="G2416" s="2" t="inlineStr">
        <is>
          <t>South</t>
        </is>
      </c>
      <c r="H2416" s="2" t="inlineStr">
        <is>
          <t>Telangana</t>
        </is>
      </c>
      <c r="I2416" s="2" t="inlineStr">
        <is>
          <t>Hyderabad</t>
        </is>
      </c>
      <c r="J2416" s="2" t="inlineStr">
        <is>
          <t>Store</t>
        </is>
      </c>
      <c r="K2416" s="2" t="n">
        <v>6</v>
      </c>
      <c r="L2416" s="3" t="n">
        <v>991.52</v>
      </c>
      <c r="M2416" s="4" t="n">
        <v>0.1</v>
      </c>
      <c r="N2416" s="3" t="n">
        <v>4019.47</v>
      </c>
      <c r="O2416" s="3">
        <f>K2416*L2416*(1-M2416)</f>
        <v/>
      </c>
      <c r="P2416" s="3">
        <f>O2416-N2416</f>
        <v/>
      </c>
      <c r="Q2416" s="5">
        <f>IFERROR(P2416/O2416,0)</f>
        <v/>
      </c>
      <c r="R2416" s="2">
        <f>TEXT(DATEVALUE(B2416),"mmm")</f>
        <v/>
      </c>
      <c r="S2416" s="2">
        <f>TEXT(DATEVALUE(B2416),"yyyy-mm")</f>
        <v/>
      </c>
    </row>
    <row r="2417">
      <c r="A2417" s="2" t="inlineStr">
        <is>
          <t>O000658</t>
        </is>
      </c>
      <c r="B2417" s="2" t="inlineStr">
        <is>
          <t>2025-06-22</t>
        </is>
      </c>
      <c r="C2417" s="2" t="inlineStr">
        <is>
          <t>C0238</t>
        </is>
      </c>
      <c r="D2417" s="2" t="inlineStr">
        <is>
          <t>P0018</t>
        </is>
      </c>
      <c r="E2417" s="2" t="inlineStr">
        <is>
          <t>Backpack</t>
        </is>
      </c>
      <c r="F2417" s="2" t="inlineStr">
        <is>
          <t>Fashion</t>
        </is>
      </c>
      <c r="G2417" s="2" t="inlineStr">
        <is>
          <t>North</t>
        </is>
      </c>
      <c r="H2417" s="2" t="inlineStr">
        <is>
          <t>Uttar Pradesh</t>
        </is>
      </c>
      <c r="I2417" s="2" t="inlineStr">
        <is>
          <t>Lucknow</t>
        </is>
      </c>
      <c r="J2417" s="2" t="inlineStr">
        <is>
          <t>Store</t>
        </is>
      </c>
      <c r="K2417" s="2" t="n">
        <v>1</v>
      </c>
      <c r="L2417" s="3" t="n">
        <v>1836.37</v>
      </c>
      <c r="M2417" s="4" t="n">
        <v>0.1</v>
      </c>
      <c r="N2417" s="3" t="n">
        <v>1337.22</v>
      </c>
      <c r="O2417" s="3">
        <f>K2417*L2417*(1-M2417)</f>
        <v/>
      </c>
      <c r="P2417" s="3">
        <f>O2417-N2417</f>
        <v/>
      </c>
      <c r="Q2417" s="5">
        <f>IFERROR(P2417/O2417,0)</f>
        <v/>
      </c>
      <c r="R2417" s="2">
        <f>TEXT(DATEVALUE(B2417),"mmm")</f>
        <v/>
      </c>
      <c r="S2417" s="2">
        <f>TEXT(DATEVALUE(B2417),"yyyy-mm")</f>
        <v/>
      </c>
    </row>
    <row r="2418">
      <c r="A2418" s="2" t="inlineStr">
        <is>
          <t>O000660</t>
        </is>
      </c>
      <c r="B2418" s="2" t="inlineStr">
        <is>
          <t>2025-06-22</t>
        </is>
      </c>
      <c r="C2418" s="2" t="inlineStr">
        <is>
          <t>C0066</t>
        </is>
      </c>
      <c r="D2418" s="2" t="inlineStr">
        <is>
          <t>P0004</t>
        </is>
      </c>
      <c r="E2418" s="2" t="inlineStr">
        <is>
          <t>USB-C Hub</t>
        </is>
      </c>
      <c r="F2418" s="2" t="inlineStr">
        <is>
          <t>Electronics</t>
        </is>
      </c>
      <c r="G2418" s="2" t="inlineStr">
        <is>
          <t>West</t>
        </is>
      </c>
      <c r="H2418" s="2" t="inlineStr">
        <is>
          <t>Maharashtra</t>
        </is>
      </c>
      <c r="I2418" s="2" t="inlineStr">
        <is>
          <t>Pune</t>
        </is>
      </c>
      <c r="J2418" s="2" t="inlineStr">
        <is>
          <t>Online</t>
        </is>
      </c>
      <c r="K2418" s="2" t="n">
        <v>5</v>
      </c>
      <c r="L2418" s="3" t="n">
        <v>1281.64</v>
      </c>
      <c r="M2418" s="4" t="n">
        <v>0.2</v>
      </c>
      <c r="N2418" s="3" t="n">
        <v>4479.21</v>
      </c>
      <c r="O2418" s="3">
        <f>K2418*L2418*(1-M2418)</f>
        <v/>
      </c>
      <c r="P2418" s="3">
        <f>O2418-N2418</f>
        <v/>
      </c>
      <c r="Q2418" s="5">
        <f>IFERROR(P2418/O2418,0)</f>
        <v/>
      </c>
      <c r="R2418" s="2">
        <f>TEXT(DATEVALUE(B2418),"mmm")</f>
        <v/>
      </c>
      <c r="S2418" s="2">
        <f>TEXT(DATEVALUE(B2418),"yyyy-mm")</f>
        <v/>
      </c>
    </row>
    <row r="2419">
      <c r="A2419" s="2" t="inlineStr">
        <is>
          <t>O002412</t>
        </is>
      </c>
      <c r="B2419" s="2" t="inlineStr">
        <is>
          <t>2025-06-22</t>
        </is>
      </c>
      <c r="C2419" s="2" t="inlineStr">
        <is>
          <t>C0566</t>
        </is>
      </c>
      <c r="D2419" s="2" t="inlineStr">
        <is>
          <t>P0016</t>
        </is>
      </c>
      <c r="E2419" s="2" t="inlineStr">
        <is>
          <t>Casual Shirt</t>
        </is>
      </c>
      <c r="F2419" s="2" t="inlineStr">
        <is>
          <t>Fashion</t>
        </is>
      </c>
      <c r="G2419" s="2" t="inlineStr">
        <is>
          <t>East</t>
        </is>
      </c>
      <c r="H2419" s="2" t="inlineStr">
        <is>
          <t>Bihar</t>
        </is>
      </c>
      <c r="I2419" s="2" t="inlineStr">
        <is>
          <t>Patna</t>
        </is>
      </c>
      <c r="J2419" s="2" t="inlineStr">
        <is>
          <t>Store</t>
        </is>
      </c>
      <c r="K2419" s="2" t="n">
        <v>3</v>
      </c>
      <c r="L2419" s="3" t="n">
        <v>1292.86</v>
      </c>
      <c r="M2419" s="4" t="n">
        <v>0.15</v>
      </c>
      <c r="N2419" s="3" t="n">
        <v>2803.1</v>
      </c>
      <c r="O2419" s="3">
        <f>K2419*L2419*(1-M2419)</f>
        <v/>
      </c>
      <c r="P2419" s="3">
        <f>O2419-N2419</f>
        <v/>
      </c>
      <c r="Q2419" s="5">
        <f>IFERROR(P2419/O2419,0)</f>
        <v/>
      </c>
      <c r="R2419" s="2">
        <f>TEXT(DATEVALUE(B2419),"mmm")</f>
        <v/>
      </c>
      <c r="S2419" s="2">
        <f>TEXT(DATEVALUE(B2419),"yyyy-mm")</f>
        <v/>
      </c>
    </row>
    <row r="2420">
      <c r="A2420" s="2" t="inlineStr">
        <is>
          <t>O000979</t>
        </is>
      </c>
      <c r="B2420" s="2" t="inlineStr">
        <is>
          <t>2025-06-22</t>
        </is>
      </c>
      <c r="C2420" s="2" t="inlineStr">
        <is>
          <t>C0219</t>
        </is>
      </c>
      <c r="D2420" s="2" t="inlineStr">
        <is>
          <t>P0032</t>
        </is>
      </c>
      <c r="E2420" s="2" t="inlineStr">
        <is>
          <t>Football</t>
        </is>
      </c>
      <c r="F2420" s="2" t="inlineStr">
        <is>
          <t>Sports</t>
        </is>
      </c>
      <c r="G2420" s="2" t="inlineStr">
        <is>
          <t>North</t>
        </is>
      </c>
      <c r="H2420" s="2" t="inlineStr">
        <is>
          <t>Haryana</t>
        </is>
      </c>
      <c r="I2420" s="2" t="inlineStr">
        <is>
          <t>Faridabad</t>
        </is>
      </c>
      <c r="J2420" s="2" t="inlineStr">
        <is>
          <t>Store</t>
        </is>
      </c>
      <c r="K2420" s="2" t="n">
        <v>1</v>
      </c>
      <c r="L2420" s="3" t="n">
        <v>777.83</v>
      </c>
      <c r="M2420" s="4" t="n">
        <v>0</v>
      </c>
      <c r="N2420" s="3" t="n">
        <v>538.86</v>
      </c>
      <c r="O2420" s="3">
        <f>K2420*L2420*(1-M2420)</f>
        <v/>
      </c>
      <c r="P2420" s="3">
        <f>O2420-N2420</f>
        <v/>
      </c>
      <c r="Q2420" s="5">
        <f>IFERROR(P2420/O2420,0)</f>
        <v/>
      </c>
      <c r="R2420" s="2">
        <f>TEXT(DATEVALUE(B2420),"mmm")</f>
        <v/>
      </c>
      <c r="S2420" s="2">
        <f>TEXT(DATEVALUE(B2420),"yyyy-mm")</f>
        <v/>
      </c>
    </row>
    <row r="2421">
      <c r="A2421" s="2" t="inlineStr">
        <is>
          <t>O001112</t>
        </is>
      </c>
      <c r="B2421" s="2" t="inlineStr">
        <is>
          <t>2025-06-22</t>
        </is>
      </c>
      <c r="C2421" s="2" t="inlineStr">
        <is>
          <t>C0393</t>
        </is>
      </c>
      <c r="D2421" s="2" t="inlineStr">
        <is>
          <t>P0024</t>
        </is>
      </c>
      <c r="E2421" s="2" t="inlineStr">
        <is>
          <t>Hair Dryer</t>
        </is>
      </c>
      <c r="F2421" s="2" t="inlineStr">
        <is>
          <t>Beauty</t>
        </is>
      </c>
      <c r="G2421" s="2" t="inlineStr">
        <is>
          <t>East</t>
        </is>
      </c>
      <c r="H2421" s="2" t="inlineStr">
        <is>
          <t>Odisha</t>
        </is>
      </c>
      <c r="I2421" s="2" t="inlineStr">
        <is>
          <t>Cuttack</t>
        </is>
      </c>
      <c r="J2421" s="2" t="inlineStr">
        <is>
          <t>Store</t>
        </is>
      </c>
      <c r="K2421" s="2" t="n">
        <v>3</v>
      </c>
      <c r="L2421" s="3" t="n">
        <v>995.88</v>
      </c>
      <c r="M2421" s="4" t="n">
        <v>0.1</v>
      </c>
      <c r="N2421" s="3" t="n">
        <v>2146.72</v>
      </c>
      <c r="O2421" s="3">
        <f>K2421*L2421*(1-M2421)</f>
        <v/>
      </c>
      <c r="P2421" s="3">
        <f>O2421-N2421</f>
        <v/>
      </c>
      <c r="Q2421" s="5">
        <f>IFERROR(P2421/O2421,0)</f>
        <v/>
      </c>
      <c r="R2421" s="2">
        <f>TEXT(DATEVALUE(B2421),"mmm")</f>
        <v/>
      </c>
      <c r="S2421" s="2">
        <f>TEXT(DATEVALUE(B2421),"yyyy-mm")</f>
        <v/>
      </c>
    </row>
    <row r="2422">
      <c r="A2422" s="2" t="inlineStr">
        <is>
          <t>O001363</t>
        </is>
      </c>
      <c r="B2422" s="2" t="inlineStr">
        <is>
          <t>2025-06-22</t>
        </is>
      </c>
      <c r="C2422" s="2" t="inlineStr">
        <is>
          <t>C0028</t>
        </is>
      </c>
      <c r="D2422" s="2" t="inlineStr">
        <is>
          <t>P0007</t>
        </is>
      </c>
      <c r="E2422" s="2" t="inlineStr">
        <is>
          <t>Wireless Mouse</t>
        </is>
      </c>
      <c r="F2422" s="2" t="inlineStr">
        <is>
          <t>Electronics</t>
        </is>
      </c>
      <c r="G2422" s="2" t="inlineStr">
        <is>
          <t>South</t>
        </is>
      </c>
      <c r="H2422" s="2" t="inlineStr">
        <is>
          <t>Karnataka</t>
        </is>
      </c>
      <c r="I2422" s="2" t="inlineStr">
        <is>
          <t>Mysuru</t>
        </is>
      </c>
      <c r="J2422" s="2" t="inlineStr">
        <is>
          <t>Store</t>
        </is>
      </c>
      <c r="K2422" s="2" t="n">
        <v>6</v>
      </c>
      <c r="L2422" s="3" t="n">
        <v>963.6</v>
      </c>
      <c r="M2422" s="4" t="n">
        <v>0.05</v>
      </c>
      <c r="N2422" s="3" t="n">
        <v>3828.89</v>
      </c>
      <c r="O2422" s="3">
        <f>K2422*L2422*(1-M2422)</f>
        <v/>
      </c>
      <c r="P2422" s="3">
        <f>O2422-N2422</f>
        <v/>
      </c>
      <c r="Q2422" s="5">
        <f>IFERROR(P2422/O2422,0)</f>
        <v/>
      </c>
      <c r="R2422" s="2">
        <f>TEXT(DATEVALUE(B2422),"mmm")</f>
        <v/>
      </c>
      <c r="S2422" s="2">
        <f>TEXT(DATEVALUE(B2422),"yyyy-mm")</f>
        <v/>
      </c>
    </row>
    <row r="2423">
      <c r="A2423" s="2" t="inlineStr">
        <is>
          <t>O001882</t>
        </is>
      </c>
      <c r="B2423" s="2" t="inlineStr">
        <is>
          <t>2025-06-22</t>
        </is>
      </c>
      <c r="C2423" s="2" t="inlineStr">
        <is>
          <t>C0617</t>
        </is>
      </c>
      <c r="D2423" s="2" t="inlineStr">
        <is>
          <t>P0004</t>
        </is>
      </c>
      <c r="E2423" s="2" t="inlineStr">
        <is>
          <t>USB-C Hub</t>
        </is>
      </c>
      <c r="F2423" s="2" t="inlineStr">
        <is>
          <t>Electronics</t>
        </is>
      </c>
      <c r="G2423" s="2" t="inlineStr">
        <is>
          <t>West</t>
        </is>
      </c>
      <c r="H2423" s="2" t="inlineStr">
        <is>
          <t>Maharashtra</t>
        </is>
      </c>
      <c r="I2423" s="2" t="inlineStr">
        <is>
          <t>Pune</t>
        </is>
      </c>
      <c r="J2423" s="2" t="inlineStr">
        <is>
          <t>Online</t>
        </is>
      </c>
      <c r="K2423" s="2" t="n">
        <v>1</v>
      </c>
      <c r="L2423" s="3" t="n">
        <v>1228.71</v>
      </c>
      <c r="M2423" s="4" t="n">
        <v>0.05</v>
      </c>
      <c r="N2423" s="3" t="n">
        <v>950.01</v>
      </c>
      <c r="O2423" s="3">
        <f>K2423*L2423*(1-M2423)</f>
        <v/>
      </c>
      <c r="P2423" s="3">
        <f>O2423-N2423</f>
        <v/>
      </c>
      <c r="Q2423" s="5">
        <f>IFERROR(P2423/O2423,0)</f>
        <v/>
      </c>
      <c r="R2423" s="2">
        <f>TEXT(DATEVALUE(B2423),"mmm")</f>
        <v/>
      </c>
      <c r="S2423" s="2">
        <f>TEXT(DATEVALUE(B2423),"yyyy-mm")</f>
        <v/>
      </c>
    </row>
    <row r="2424">
      <c r="A2424" s="2" t="inlineStr">
        <is>
          <t>O000758</t>
        </is>
      </c>
      <c r="B2424" s="2" t="inlineStr">
        <is>
          <t>2025-06-22</t>
        </is>
      </c>
      <c r="C2424" s="2" t="inlineStr">
        <is>
          <t>C0028</t>
        </is>
      </c>
      <c r="D2424" s="2" t="inlineStr">
        <is>
          <t>P0011</t>
        </is>
      </c>
      <c r="E2424" s="2" t="inlineStr">
        <is>
          <t>Cookware Set</t>
        </is>
      </c>
      <c r="F2424" s="2" t="inlineStr">
        <is>
          <t>Home &amp; Kitchen</t>
        </is>
      </c>
      <c r="G2424" s="2" t="inlineStr">
        <is>
          <t>West</t>
        </is>
      </c>
      <c r="H2424" s="2" t="inlineStr">
        <is>
          <t>Goa</t>
        </is>
      </c>
      <c r="I2424" s="2" t="inlineStr">
        <is>
          <t>Margao</t>
        </is>
      </c>
      <c r="J2424" s="2" t="inlineStr">
        <is>
          <t>Store</t>
        </is>
      </c>
      <c r="K2424" s="2" t="n">
        <v>3</v>
      </c>
      <c r="L2424" s="3" t="n">
        <v>709.42</v>
      </c>
      <c r="M2424" s="4" t="n">
        <v>0.05</v>
      </c>
      <c r="N2424" s="3" t="n">
        <v>1382.2</v>
      </c>
      <c r="O2424" s="3">
        <f>K2424*L2424*(1-M2424)</f>
        <v/>
      </c>
      <c r="P2424" s="3">
        <f>O2424-N2424</f>
        <v/>
      </c>
      <c r="Q2424" s="5">
        <f>IFERROR(P2424/O2424,0)</f>
        <v/>
      </c>
      <c r="R2424" s="2">
        <f>TEXT(DATEVALUE(B2424),"mmm")</f>
        <v/>
      </c>
      <c r="S2424" s="2">
        <f>TEXT(DATEVALUE(B2424),"yyyy-mm")</f>
        <v/>
      </c>
    </row>
    <row r="2425">
      <c r="A2425" s="2" t="inlineStr">
        <is>
          <t>O003904</t>
        </is>
      </c>
      <c r="B2425" s="2" t="inlineStr">
        <is>
          <t>2025-06-23</t>
        </is>
      </c>
      <c r="C2425" s="2" t="inlineStr">
        <is>
          <t>C0684</t>
        </is>
      </c>
      <c r="D2425" s="2" t="inlineStr">
        <is>
          <t>P0022</t>
        </is>
      </c>
      <c r="E2425" s="2" t="inlineStr">
        <is>
          <t>Face Wash</t>
        </is>
      </c>
      <c r="F2425" s="2" t="inlineStr">
        <is>
          <t>Beauty</t>
        </is>
      </c>
      <c r="G2425" s="2" t="inlineStr">
        <is>
          <t>East</t>
        </is>
      </c>
      <c r="H2425" s="2" t="inlineStr">
        <is>
          <t>Odisha</t>
        </is>
      </c>
      <c r="I2425" s="2" t="inlineStr">
        <is>
          <t>Cuttack</t>
        </is>
      </c>
      <c r="J2425" s="2" t="inlineStr">
        <is>
          <t>Online</t>
        </is>
      </c>
      <c r="K2425" s="2" t="n">
        <v>2</v>
      </c>
      <c r="L2425" s="3" t="n">
        <v>538.89</v>
      </c>
      <c r="M2425" s="4" t="n">
        <v>0.15</v>
      </c>
      <c r="N2425" s="3" t="n">
        <v>680.75</v>
      </c>
      <c r="O2425" s="3">
        <f>K2425*L2425*(1-M2425)</f>
        <v/>
      </c>
      <c r="P2425" s="3">
        <f>O2425-N2425</f>
        <v/>
      </c>
      <c r="Q2425" s="5">
        <f>IFERROR(P2425/O2425,0)</f>
        <v/>
      </c>
      <c r="R2425" s="2">
        <f>TEXT(DATEVALUE(B2425),"mmm")</f>
        <v/>
      </c>
      <c r="S2425" s="2">
        <f>TEXT(DATEVALUE(B2425),"yyyy-mm")</f>
        <v/>
      </c>
    </row>
    <row r="2426">
      <c r="A2426" s="2" t="inlineStr">
        <is>
          <t>O003292</t>
        </is>
      </c>
      <c r="B2426" s="2" t="inlineStr">
        <is>
          <t>2025-06-23</t>
        </is>
      </c>
      <c r="C2426" s="2" t="inlineStr">
        <is>
          <t>C0523</t>
        </is>
      </c>
      <c r="D2426" s="2" t="inlineStr">
        <is>
          <t>P0024</t>
        </is>
      </c>
      <c r="E2426" s="2" t="inlineStr">
        <is>
          <t>Hair Dryer</t>
        </is>
      </c>
      <c r="F2426" s="2" t="inlineStr">
        <is>
          <t>Beauty</t>
        </is>
      </c>
      <c r="G2426" s="2" t="inlineStr">
        <is>
          <t>North</t>
        </is>
      </c>
      <c r="H2426" s="2" t="inlineStr">
        <is>
          <t>Delhi</t>
        </is>
      </c>
      <c r="I2426" s="2" t="inlineStr">
        <is>
          <t>New Delhi</t>
        </is>
      </c>
      <c r="J2426" s="2" t="inlineStr">
        <is>
          <t>Online</t>
        </is>
      </c>
      <c r="K2426" s="2" t="n">
        <v>4</v>
      </c>
      <c r="L2426" s="3" t="n">
        <v>991.1</v>
      </c>
      <c r="M2426" s="4" t="n">
        <v>0.15</v>
      </c>
      <c r="N2426" s="3" t="n">
        <v>2859.32</v>
      </c>
      <c r="O2426" s="3">
        <f>K2426*L2426*(1-M2426)</f>
        <v/>
      </c>
      <c r="P2426" s="3">
        <f>O2426-N2426</f>
        <v/>
      </c>
      <c r="Q2426" s="5">
        <f>IFERROR(P2426/O2426,0)</f>
        <v/>
      </c>
      <c r="R2426" s="2">
        <f>TEXT(DATEVALUE(B2426),"mmm")</f>
        <v/>
      </c>
      <c r="S2426" s="2">
        <f>TEXT(DATEVALUE(B2426),"yyyy-mm")</f>
        <v/>
      </c>
    </row>
    <row r="2427">
      <c r="A2427" s="2" t="inlineStr">
        <is>
          <t>O003187</t>
        </is>
      </c>
      <c r="B2427" s="2" t="inlineStr">
        <is>
          <t>2025-06-23</t>
        </is>
      </c>
      <c r="C2427" s="2" t="inlineStr">
        <is>
          <t>C0074</t>
        </is>
      </c>
      <c r="D2427" s="2" t="inlineStr">
        <is>
          <t>P0016</t>
        </is>
      </c>
      <c r="E2427" s="2" t="inlineStr">
        <is>
          <t>Casual Shirt</t>
        </is>
      </c>
      <c r="F2427" s="2" t="inlineStr">
        <is>
          <t>Fashion</t>
        </is>
      </c>
      <c r="G2427" s="2" t="inlineStr">
        <is>
          <t>South</t>
        </is>
      </c>
      <c r="H2427" s="2" t="inlineStr">
        <is>
          <t>Telangana</t>
        </is>
      </c>
      <c r="I2427" s="2" t="inlineStr">
        <is>
          <t>Warangal</t>
        </is>
      </c>
      <c r="J2427" s="2" t="inlineStr">
        <is>
          <t>Online</t>
        </is>
      </c>
      <c r="K2427" s="2" t="n">
        <v>3</v>
      </c>
      <c r="L2427" s="3" t="n">
        <v>1324.33</v>
      </c>
      <c r="M2427" s="4" t="n">
        <v>0.05</v>
      </c>
      <c r="N2427" s="3" t="n">
        <v>2773.05</v>
      </c>
      <c r="O2427" s="3">
        <f>K2427*L2427*(1-M2427)</f>
        <v/>
      </c>
      <c r="P2427" s="3">
        <f>O2427-N2427</f>
        <v/>
      </c>
      <c r="Q2427" s="5">
        <f>IFERROR(P2427/O2427,0)</f>
        <v/>
      </c>
      <c r="R2427" s="2">
        <f>TEXT(DATEVALUE(B2427),"mmm")</f>
        <v/>
      </c>
      <c r="S2427" s="2">
        <f>TEXT(DATEVALUE(B2427),"yyyy-mm")</f>
        <v/>
      </c>
    </row>
    <row r="2428">
      <c r="A2428" s="2" t="inlineStr">
        <is>
          <t>O002826</t>
        </is>
      </c>
      <c r="B2428" s="2" t="inlineStr">
        <is>
          <t>2025-06-23</t>
        </is>
      </c>
      <c r="C2428" s="2" t="inlineStr">
        <is>
          <t>C0564</t>
        </is>
      </c>
      <c r="D2428" s="2" t="inlineStr">
        <is>
          <t>P0026</t>
        </is>
      </c>
      <c r="E2428" s="2" t="inlineStr">
        <is>
          <t>Shampoo</t>
        </is>
      </c>
      <c r="F2428" s="2" t="inlineStr">
        <is>
          <t>Beauty</t>
        </is>
      </c>
      <c r="G2428" s="2" t="inlineStr">
        <is>
          <t>West</t>
        </is>
      </c>
      <c r="H2428" s="2" t="inlineStr">
        <is>
          <t>Maharashtra</t>
        </is>
      </c>
      <c r="I2428" s="2" t="inlineStr">
        <is>
          <t>Thane</t>
        </is>
      </c>
      <c r="J2428" s="2" t="inlineStr">
        <is>
          <t>Online</t>
        </is>
      </c>
      <c r="K2428" s="2" t="n">
        <v>2</v>
      </c>
      <c r="L2428" s="3" t="n">
        <v>865.47</v>
      </c>
      <c r="M2428" s="4" t="n">
        <v>0.05</v>
      </c>
      <c r="N2428" s="3" t="n">
        <v>1051.05</v>
      </c>
      <c r="O2428" s="3">
        <f>K2428*L2428*(1-M2428)</f>
        <v/>
      </c>
      <c r="P2428" s="3">
        <f>O2428-N2428</f>
        <v/>
      </c>
      <c r="Q2428" s="5">
        <f>IFERROR(P2428/O2428,0)</f>
        <v/>
      </c>
      <c r="R2428" s="2">
        <f>TEXT(DATEVALUE(B2428),"mmm")</f>
        <v/>
      </c>
      <c r="S2428" s="2">
        <f>TEXT(DATEVALUE(B2428),"yyyy-mm")</f>
        <v/>
      </c>
    </row>
    <row r="2429">
      <c r="A2429" s="2" t="inlineStr">
        <is>
          <t>O004436</t>
        </is>
      </c>
      <c r="B2429" s="2" t="inlineStr">
        <is>
          <t>2025-06-23</t>
        </is>
      </c>
      <c r="C2429" s="2" t="inlineStr">
        <is>
          <t>C0394</t>
        </is>
      </c>
      <c r="D2429" s="2" t="inlineStr">
        <is>
          <t>P0006</t>
        </is>
      </c>
      <c r="E2429" s="2" t="inlineStr">
        <is>
          <t>Mechanical Keyboard</t>
        </is>
      </c>
      <c r="F2429" s="2" t="inlineStr">
        <is>
          <t>Electronics</t>
        </is>
      </c>
      <c r="G2429" s="2" t="inlineStr">
        <is>
          <t>West</t>
        </is>
      </c>
      <c r="H2429" s="2" t="inlineStr">
        <is>
          <t>Maharashtra</t>
        </is>
      </c>
      <c r="I2429" s="2" t="inlineStr">
        <is>
          <t>Thane</t>
        </is>
      </c>
      <c r="J2429" s="2" t="inlineStr">
        <is>
          <t>Online</t>
        </is>
      </c>
      <c r="K2429" s="2" t="n">
        <v>1</v>
      </c>
      <c r="L2429" s="3" t="n">
        <v>2683.35</v>
      </c>
      <c r="M2429" s="4" t="n">
        <v>0</v>
      </c>
      <c r="N2429" s="3" t="n">
        <v>1461.62</v>
      </c>
      <c r="O2429" s="3">
        <f>K2429*L2429*(1-M2429)</f>
        <v/>
      </c>
      <c r="P2429" s="3">
        <f>O2429-N2429</f>
        <v/>
      </c>
      <c r="Q2429" s="5">
        <f>IFERROR(P2429/O2429,0)</f>
        <v/>
      </c>
      <c r="R2429" s="2">
        <f>TEXT(DATEVALUE(B2429),"mmm")</f>
        <v/>
      </c>
      <c r="S2429" s="2">
        <f>TEXT(DATEVALUE(B2429),"yyyy-mm")</f>
        <v/>
      </c>
    </row>
    <row r="2430">
      <c r="A2430" s="2" t="inlineStr">
        <is>
          <t>O001836</t>
        </is>
      </c>
      <c r="B2430" s="2" t="inlineStr">
        <is>
          <t>2025-06-23</t>
        </is>
      </c>
      <c r="C2430" s="2" t="inlineStr">
        <is>
          <t>C0456</t>
        </is>
      </c>
      <c r="D2430" s="2" t="inlineStr">
        <is>
          <t>P0010</t>
        </is>
      </c>
      <c r="E2430" s="2" t="inlineStr">
        <is>
          <t>Mixer Grinder</t>
        </is>
      </c>
      <c r="F2430" s="2" t="inlineStr">
        <is>
          <t>Home &amp; Kitchen</t>
        </is>
      </c>
      <c r="G2430" s="2" t="inlineStr">
        <is>
          <t>South</t>
        </is>
      </c>
      <c r="H2430" s="2" t="inlineStr">
        <is>
          <t>Telangana</t>
        </is>
      </c>
      <c r="I2430" s="2" t="inlineStr">
        <is>
          <t>Warangal</t>
        </is>
      </c>
      <c r="J2430" s="2" t="inlineStr">
        <is>
          <t>Online</t>
        </is>
      </c>
      <c r="K2430" s="2" t="n">
        <v>2</v>
      </c>
      <c r="L2430" s="3" t="n">
        <v>1611.66</v>
      </c>
      <c r="M2430" s="4" t="n">
        <v>0.15</v>
      </c>
      <c r="N2430" s="3" t="n">
        <v>2126.44</v>
      </c>
      <c r="O2430" s="3">
        <f>K2430*L2430*(1-M2430)</f>
        <v/>
      </c>
      <c r="P2430" s="3">
        <f>O2430-N2430</f>
        <v/>
      </c>
      <c r="Q2430" s="5">
        <f>IFERROR(P2430/O2430,0)</f>
        <v/>
      </c>
      <c r="R2430" s="2">
        <f>TEXT(DATEVALUE(B2430),"mmm")</f>
        <v/>
      </c>
      <c r="S2430" s="2">
        <f>TEXT(DATEVALUE(B2430),"yyyy-mm")</f>
        <v/>
      </c>
    </row>
    <row r="2431">
      <c r="A2431" s="2" t="inlineStr">
        <is>
          <t>O001768</t>
        </is>
      </c>
      <c r="B2431" s="2" t="inlineStr">
        <is>
          <t>2025-06-23</t>
        </is>
      </c>
      <c r="C2431" s="2" t="inlineStr">
        <is>
          <t>C0694</t>
        </is>
      </c>
      <c r="D2431" s="2" t="inlineStr">
        <is>
          <t>P0003</t>
        </is>
      </c>
      <c r="E2431" s="2" t="inlineStr">
        <is>
          <t>Smartwatch</t>
        </is>
      </c>
      <c r="F2431" s="2" t="inlineStr">
        <is>
          <t>Electronics</t>
        </is>
      </c>
      <c r="G2431" s="2" t="inlineStr">
        <is>
          <t>West</t>
        </is>
      </c>
      <c r="H2431" s="2" t="inlineStr">
        <is>
          <t>Goa</t>
        </is>
      </c>
      <c r="I2431" s="2" t="inlineStr">
        <is>
          <t>Margao</t>
        </is>
      </c>
      <c r="J2431" s="2" t="inlineStr">
        <is>
          <t>Store</t>
        </is>
      </c>
      <c r="K2431" s="2" t="n">
        <v>1</v>
      </c>
      <c r="L2431" s="3" t="n">
        <v>2289.15</v>
      </c>
      <c r="M2431" s="4" t="n">
        <v>0</v>
      </c>
      <c r="N2431" s="3" t="n">
        <v>1213.64</v>
      </c>
      <c r="O2431" s="3">
        <f>K2431*L2431*(1-M2431)</f>
        <v/>
      </c>
      <c r="P2431" s="3">
        <f>O2431-N2431</f>
        <v/>
      </c>
      <c r="Q2431" s="5">
        <f>IFERROR(P2431/O2431,0)</f>
        <v/>
      </c>
      <c r="R2431" s="2">
        <f>TEXT(DATEVALUE(B2431),"mmm")</f>
        <v/>
      </c>
      <c r="S2431" s="2">
        <f>TEXT(DATEVALUE(B2431),"yyyy-mm")</f>
        <v/>
      </c>
    </row>
    <row r="2432">
      <c r="A2432" s="2" t="inlineStr">
        <is>
          <t>O000607</t>
        </is>
      </c>
      <c r="B2432" s="2" t="inlineStr">
        <is>
          <t>2025-06-23</t>
        </is>
      </c>
      <c r="C2432" s="2" t="inlineStr">
        <is>
          <t>C0568</t>
        </is>
      </c>
      <c r="D2432" s="2" t="inlineStr">
        <is>
          <t>P0011</t>
        </is>
      </c>
      <c r="E2432" s="2" t="inlineStr">
        <is>
          <t>Cookware Set</t>
        </is>
      </c>
      <c r="F2432" s="2" t="inlineStr">
        <is>
          <t>Home &amp; Kitchen</t>
        </is>
      </c>
      <c r="G2432" s="2" t="inlineStr">
        <is>
          <t>West</t>
        </is>
      </c>
      <c r="H2432" s="2" t="inlineStr">
        <is>
          <t>Gujarat</t>
        </is>
      </c>
      <c r="I2432" s="2" t="inlineStr">
        <is>
          <t>Ahmedabad</t>
        </is>
      </c>
      <c r="J2432" s="2" t="inlineStr">
        <is>
          <t>Online</t>
        </is>
      </c>
      <c r="K2432" s="2" t="n">
        <v>4</v>
      </c>
      <c r="L2432" s="3" t="n">
        <v>684.63</v>
      </c>
      <c r="M2432" s="4" t="n">
        <v>0.1</v>
      </c>
      <c r="N2432" s="3" t="n">
        <v>1940.35</v>
      </c>
      <c r="O2432" s="3">
        <f>K2432*L2432*(1-M2432)</f>
        <v/>
      </c>
      <c r="P2432" s="3">
        <f>O2432-N2432</f>
        <v/>
      </c>
      <c r="Q2432" s="5">
        <f>IFERROR(P2432/O2432,0)</f>
        <v/>
      </c>
      <c r="R2432" s="2">
        <f>TEXT(DATEVALUE(B2432),"mmm")</f>
        <v/>
      </c>
      <c r="S2432" s="2">
        <f>TEXT(DATEVALUE(B2432),"yyyy-mm")</f>
        <v/>
      </c>
    </row>
    <row r="2433">
      <c r="A2433" s="2" t="inlineStr">
        <is>
          <t>O000360</t>
        </is>
      </c>
      <c r="B2433" s="2" t="inlineStr">
        <is>
          <t>2025-06-23</t>
        </is>
      </c>
      <c r="C2433" s="2" t="inlineStr">
        <is>
          <t>C0362</t>
        </is>
      </c>
      <c r="D2433" s="2" t="inlineStr">
        <is>
          <t>P0009</t>
        </is>
      </c>
      <c r="E2433" s="2" t="inlineStr">
        <is>
          <t>Electric Kettle</t>
        </is>
      </c>
      <c r="F2433" s="2" t="inlineStr">
        <is>
          <t>Home &amp; Kitchen</t>
        </is>
      </c>
      <c r="G2433" s="2" t="inlineStr">
        <is>
          <t>North</t>
        </is>
      </c>
      <c r="H2433" s="2" t="inlineStr">
        <is>
          <t>Delhi</t>
        </is>
      </c>
      <c r="I2433" s="2" t="inlineStr">
        <is>
          <t>New Delhi</t>
        </is>
      </c>
      <c r="J2433" s="2" t="inlineStr">
        <is>
          <t>Online</t>
        </is>
      </c>
      <c r="K2433" s="2" t="n">
        <v>1</v>
      </c>
      <c r="L2433" s="3" t="n">
        <v>2136.7</v>
      </c>
      <c r="M2433" s="4" t="n">
        <v>0.15</v>
      </c>
      <c r="N2433" s="3" t="n">
        <v>1132.18</v>
      </c>
      <c r="O2433" s="3">
        <f>K2433*L2433*(1-M2433)</f>
        <v/>
      </c>
      <c r="P2433" s="3">
        <f>O2433-N2433</f>
        <v/>
      </c>
      <c r="Q2433" s="5">
        <f>IFERROR(P2433/O2433,0)</f>
        <v/>
      </c>
      <c r="R2433" s="2">
        <f>TEXT(DATEVALUE(B2433),"mmm")</f>
        <v/>
      </c>
      <c r="S2433" s="2">
        <f>TEXT(DATEVALUE(B2433),"yyyy-mm")</f>
        <v/>
      </c>
    </row>
    <row r="2434">
      <c r="A2434" s="2" t="inlineStr">
        <is>
          <t>O002615</t>
        </is>
      </c>
      <c r="B2434" s="2" t="inlineStr">
        <is>
          <t>2025-06-23</t>
        </is>
      </c>
      <c r="C2434" s="2" t="inlineStr">
        <is>
          <t>C0468</t>
        </is>
      </c>
      <c r="D2434" s="2" t="inlineStr">
        <is>
          <t>P0005</t>
        </is>
      </c>
      <c r="E2434" s="2" t="inlineStr">
        <is>
          <t>Power Bank</t>
        </is>
      </c>
      <c r="F2434" s="2" t="inlineStr">
        <is>
          <t>Electronics</t>
        </is>
      </c>
      <c r="G2434" s="2" t="inlineStr">
        <is>
          <t>West</t>
        </is>
      </c>
      <c r="H2434" s="2" t="inlineStr">
        <is>
          <t>Gujarat</t>
        </is>
      </c>
      <c r="I2434" s="2" t="inlineStr">
        <is>
          <t>Ahmedabad</t>
        </is>
      </c>
      <c r="J2434" s="2" t="inlineStr">
        <is>
          <t>Online</t>
        </is>
      </c>
      <c r="K2434" s="2" t="n">
        <v>1</v>
      </c>
      <c r="L2434" s="3" t="n">
        <v>1164.46</v>
      </c>
      <c r="M2434" s="4" t="n">
        <v>0.05</v>
      </c>
      <c r="N2434" s="3" t="n">
        <v>675.33</v>
      </c>
      <c r="O2434" s="3">
        <f>K2434*L2434*(1-M2434)</f>
        <v/>
      </c>
      <c r="P2434" s="3">
        <f>O2434-N2434</f>
        <v/>
      </c>
      <c r="Q2434" s="5">
        <f>IFERROR(P2434/O2434,0)</f>
        <v/>
      </c>
      <c r="R2434" s="2">
        <f>TEXT(DATEVALUE(B2434),"mmm")</f>
        <v/>
      </c>
      <c r="S2434" s="2">
        <f>TEXT(DATEVALUE(B2434),"yyyy-mm")</f>
        <v/>
      </c>
    </row>
    <row r="2435">
      <c r="A2435" s="2" t="inlineStr">
        <is>
          <t>O004596</t>
        </is>
      </c>
      <c r="B2435" s="2" t="inlineStr">
        <is>
          <t>2025-06-24</t>
        </is>
      </c>
      <c r="C2435" s="2" t="inlineStr">
        <is>
          <t>C0390</t>
        </is>
      </c>
      <c r="D2435" s="2" t="inlineStr">
        <is>
          <t>P0022</t>
        </is>
      </c>
      <c r="E2435" s="2" t="inlineStr">
        <is>
          <t>Face Wash</t>
        </is>
      </c>
      <c r="F2435" s="2" t="inlineStr">
        <is>
          <t>Beauty</t>
        </is>
      </c>
      <c r="G2435" s="2" t="inlineStr">
        <is>
          <t>West</t>
        </is>
      </c>
      <c r="H2435" s="2" t="inlineStr">
        <is>
          <t>Goa</t>
        </is>
      </c>
      <c r="I2435" s="2" t="inlineStr">
        <is>
          <t>Margao</t>
        </is>
      </c>
      <c r="J2435" s="2" t="inlineStr">
        <is>
          <t>Online</t>
        </is>
      </c>
      <c r="K2435" s="2" t="n">
        <v>3</v>
      </c>
      <c r="L2435" s="3" t="n">
        <v>551.3099999999999</v>
      </c>
      <c r="M2435" s="4" t="n">
        <v>0.15</v>
      </c>
      <c r="N2435" s="3" t="n">
        <v>1042.83</v>
      </c>
      <c r="O2435" s="3">
        <f>K2435*L2435*(1-M2435)</f>
        <v/>
      </c>
      <c r="P2435" s="3">
        <f>O2435-N2435</f>
        <v/>
      </c>
      <c r="Q2435" s="5">
        <f>IFERROR(P2435/O2435,0)</f>
        <v/>
      </c>
      <c r="R2435" s="2">
        <f>TEXT(DATEVALUE(B2435),"mmm")</f>
        <v/>
      </c>
      <c r="S2435" s="2">
        <f>TEXT(DATEVALUE(B2435),"yyyy-mm")</f>
        <v/>
      </c>
    </row>
    <row r="2436">
      <c r="A2436" s="2" t="inlineStr">
        <is>
          <t>O004591</t>
        </is>
      </c>
      <c r="B2436" s="2" t="inlineStr">
        <is>
          <t>2025-06-24</t>
        </is>
      </c>
      <c r="C2436" s="2" t="inlineStr">
        <is>
          <t>C0421</t>
        </is>
      </c>
      <c r="D2436" s="2" t="inlineStr">
        <is>
          <t>P0022</t>
        </is>
      </c>
      <c r="E2436" s="2" t="inlineStr">
        <is>
          <t>Face Wash</t>
        </is>
      </c>
      <c r="F2436" s="2" t="inlineStr">
        <is>
          <t>Beauty</t>
        </is>
      </c>
      <c r="G2436" s="2" t="inlineStr">
        <is>
          <t>West</t>
        </is>
      </c>
      <c r="H2436" s="2" t="inlineStr">
        <is>
          <t>Goa</t>
        </is>
      </c>
      <c r="I2436" s="2" t="inlineStr">
        <is>
          <t>Panaji</t>
        </is>
      </c>
      <c r="J2436" s="2" t="inlineStr">
        <is>
          <t>Online</t>
        </is>
      </c>
      <c r="K2436" s="2" t="n">
        <v>3</v>
      </c>
      <c r="L2436" s="3" t="n">
        <v>555.63</v>
      </c>
      <c r="M2436" s="4" t="n">
        <v>0.1</v>
      </c>
      <c r="N2436" s="3" t="n">
        <v>1047.91</v>
      </c>
      <c r="O2436" s="3">
        <f>K2436*L2436*(1-M2436)</f>
        <v/>
      </c>
      <c r="P2436" s="3">
        <f>O2436-N2436</f>
        <v/>
      </c>
      <c r="Q2436" s="5">
        <f>IFERROR(P2436/O2436,0)</f>
        <v/>
      </c>
      <c r="R2436" s="2">
        <f>TEXT(DATEVALUE(B2436),"mmm")</f>
        <v/>
      </c>
      <c r="S2436" s="2">
        <f>TEXT(DATEVALUE(B2436),"yyyy-mm")</f>
        <v/>
      </c>
    </row>
    <row r="2437">
      <c r="A2437" s="2" t="inlineStr">
        <is>
          <t>O004211</t>
        </is>
      </c>
      <c r="B2437" s="2" t="inlineStr">
        <is>
          <t>2025-06-24</t>
        </is>
      </c>
      <c r="C2437" s="2" t="inlineStr">
        <is>
          <t>C0274</t>
        </is>
      </c>
      <c r="D2437" s="2" t="inlineStr">
        <is>
          <t>P0013</t>
        </is>
      </c>
      <c r="E2437" s="2" t="inlineStr">
        <is>
          <t>Storage Organizer</t>
        </is>
      </c>
      <c r="F2437" s="2" t="inlineStr">
        <is>
          <t>Home &amp; Kitchen</t>
        </is>
      </c>
      <c r="G2437" s="2" t="inlineStr">
        <is>
          <t>South</t>
        </is>
      </c>
      <c r="H2437" s="2" t="inlineStr">
        <is>
          <t>Kerala</t>
        </is>
      </c>
      <c r="I2437" s="2" t="inlineStr">
        <is>
          <t>Kochi</t>
        </is>
      </c>
      <c r="J2437" s="2" t="inlineStr">
        <is>
          <t>Online</t>
        </is>
      </c>
      <c r="K2437" s="2" t="n">
        <v>3</v>
      </c>
      <c r="L2437" s="3" t="n">
        <v>567.1</v>
      </c>
      <c r="M2437" s="4" t="n">
        <v>0.05</v>
      </c>
      <c r="N2437" s="3" t="n">
        <v>1102.96</v>
      </c>
      <c r="O2437" s="3">
        <f>K2437*L2437*(1-M2437)</f>
        <v/>
      </c>
      <c r="P2437" s="3">
        <f>O2437-N2437</f>
        <v/>
      </c>
      <c r="Q2437" s="5">
        <f>IFERROR(P2437/O2437,0)</f>
        <v/>
      </c>
      <c r="R2437" s="2">
        <f>TEXT(DATEVALUE(B2437),"mmm")</f>
        <v/>
      </c>
      <c r="S2437" s="2">
        <f>TEXT(DATEVALUE(B2437),"yyyy-mm")</f>
        <v/>
      </c>
    </row>
    <row r="2438">
      <c r="A2438" s="2" t="inlineStr">
        <is>
          <t>O003896</t>
        </is>
      </c>
      <c r="B2438" s="2" t="inlineStr">
        <is>
          <t>2025-06-24</t>
        </is>
      </c>
      <c r="C2438" s="2" t="inlineStr">
        <is>
          <t>C0568</t>
        </is>
      </c>
      <c r="D2438" s="2" t="inlineStr">
        <is>
          <t>P0004</t>
        </is>
      </c>
      <c r="E2438" s="2" t="inlineStr">
        <is>
          <t>USB-C Hub</t>
        </is>
      </c>
      <c r="F2438" s="2" t="inlineStr">
        <is>
          <t>Electronics</t>
        </is>
      </c>
      <c r="G2438" s="2" t="inlineStr">
        <is>
          <t>North</t>
        </is>
      </c>
      <c r="H2438" s="2" t="inlineStr">
        <is>
          <t>Haryana</t>
        </is>
      </c>
      <c r="I2438" s="2" t="inlineStr">
        <is>
          <t>Gurugram</t>
        </is>
      </c>
      <c r="J2438" s="2" t="inlineStr">
        <is>
          <t>Online</t>
        </is>
      </c>
      <c r="K2438" s="2" t="n">
        <v>4</v>
      </c>
      <c r="L2438" s="3" t="n">
        <v>1232.61</v>
      </c>
      <c r="M2438" s="4" t="n">
        <v>0.15</v>
      </c>
      <c r="N2438" s="3" t="n">
        <v>3667.19</v>
      </c>
      <c r="O2438" s="3">
        <f>K2438*L2438*(1-M2438)</f>
        <v/>
      </c>
      <c r="P2438" s="3">
        <f>O2438-N2438</f>
        <v/>
      </c>
      <c r="Q2438" s="5">
        <f>IFERROR(P2438/O2438,0)</f>
        <v/>
      </c>
      <c r="R2438" s="2">
        <f>TEXT(DATEVALUE(B2438),"mmm")</f>
        <v/>
      </c>
      <c r="S2438" s="2">
        <f>TEXT(DATEVALUE(B2438),"yyyy-mm")</f>
        <v/>
      </c>
    </row>
    <row r="2439">
      <c r="A2439" s="2" t="inlineStr">
        <is>
          <t>O003828</t>
        </is>
      </c>
      <c r="B2439" s="2" t="inlineStr">
        <is>
          <t>2025-06-24</t>
        </is>
      </c>
      <c r="C2439" s="2" t="inlineStr">
        <is>
          <t>C0456</t>
        </is>
      </c>
      <c r="D2439" s="2" t="inlineStr">
        <is>
          <t>P0016</t>
        </is>
      </c>
      <c r="E2439" s="2" t="inlineStr">
        <is>
          <t>Casual Shirt</t>
        </is>
      </c>
      <c r="F2439" s="2" t="inlineStr">
        <is>
          <t>Fashion</t>
        </is>
      </c>
      <c r="G2439" s="2" t="inlineStr">
        <is>
          <t>West</t>
        </is>
      </c>
      <c r="H2439" s="2" t="inlineStr">
        <is>
          <t>Gujarat</t>
        </is>
      </c>
      <c r="I2439" s="2" t="inlineStr">
        <is>
          <t>Surat</t>
        </is>
      </c>
      <c r="J2439" s="2" t="inlineStr">
        <is>
          <t>Store</t>
        </is>
      </c>
      <c r="K2439" s="2" t="n">
        <v>3</v>
      </c>
      <c r="L2439" s="3" t="n">
        <v>1343.32</v>
      </c>
      <c r="M2439" s="4" t="n">
        <v>0</v>
      </c>
      <c r="N2439" s="3" t="n">
        <v>2655.4</v>
      </c>
      <c r="O2439" s="3">
        <f>K2439*L2439*(1-M2439)</f>
        <v/>
      </c>
      <c r="P2439" s="3">
        <f>O2439-N2439</f>
        <v/>
      </c>
      <c r="Q2439" s="5">
        <f>IFERROR(P2439/O2439,0)</f>
        <v/>
      </c>
      <c r="R2439" s="2">
        <f>TEXT(DATEVALUE(B2439),"mmm")</f>
        <v/>
      </c>
      <c r="S2439" s="2">
        <f>TEXT(DATEVALUE(B2439),"yyyy-mm")</f>
        <v/>
      </c>
    </row>
    <row r="2440">
      <c r="A2440" s="2" t="inlineStr">
        <is>
          <t>O003820</t>
        </is>
      </c>
      <c r="B2440" s="2" t="inlineStr">
        <is>
          <t>2025-06-24</t>
        </is>
      </c>
      <c r="C2440" s="2" t="inlineStr">
        <is>
          <t>C0117</t>
        </is>
      </c>
      <c r="D2440" s="2" t="inlineStr">
        <is>
          <t>P0012</t>
        </is>
      </c>
      <c r="E2440" s="2" t="inlineStr">
        <is>
          <t>Water Bottle</t>
        </is>
      </c>
      <c r="F2440" s="2" t="inlineStr">
        <is>
          <t>Home &amp; Kitchen</t>
        </is>
      </c>
      <c r="G2440" s="2" t="inlineStr">
        <is>
          <t>West</t>
        </is>
      </c>
      <c r="H2440" s="2" t="inlineStr">
        <is>
          <t>Maharashtra</t>
        </is>
      </c>
      <c r="I2440" s="2" t="inlineStr">
        <is>
          <t>Nagpur</t>
        </is>
      </c>
      <c r="J2440" s="2" t="inlineStr">
        <is>
          <t>Online</t>
        </is>
      </c>
      <c r="K2440" s="2" t="n">
        <v>2</v>
      </c>
      <c r="L2440" s="3" t="n">
        <v>996.96</v>
      </c>
      <c r="M2440" s="4" t="n">
        <v>0</v>
      </c>
      <c r="N2440" s="3" t="n">
        <v>1215.16</v>
      </c>
      <c r="O2440" s="3">
        <f>K2440*L2440*(1-M2440)</f>
        <v/>
      </c>
      <c r="P2440" s="3">
        <f>O2440-N2440</f>
        <v/>
      </c>
      <c r="Q2440" s="5">
        <f>IFERROR(P2440/O2440,0)</f>
        <v/>
      </c>
      <c r="R2440" s="2">
        <f>TEXT(DATEVALUE(B2440),"mmm")</f>
        <v/>
      </c>
      <c r="S2440" s="2">
        <f>TEXT(DATEVALUE(B2440),"yyyy-mm")</f>
        <v/>
      </c>
    </row>
    <row r="2441">
      <c r="A2441" s="2" t="inlineStr">
        <is>
          <t>O003718</t>
        </is>
      </c>
      <c r="B2441" s="2" t="inlineStr">
        <is>
          <t>2025-06-24</t>
        </is>
      </c>
      <c r="C2441" s="2" t="inlineStr">
        <is>
          <t>C0310</t>
        </is>
      </c>
      <c r="D2441" s="2" t="inlineStr">
        <is>
          <t>P0027</t>
        </is>
      </c>
      <c r="E2441" s="2" t="inlineStr">
        <is>
          <t>Moisturizer</t>
        </is>
      </c>
      <c r="F2441" s="2" t="inlineStr">
        <is>
          <t>Beauty</t>
        </is>
      </c>
      <c r="G2441" s="2" t="inlineStr">
        <is>
          <t>West</t>
        </is>
      </c>
      <c r="H2441" s="2" t="inlineStr">
        <is>
          <t>Goa</t>
        </is>
      </c>
      <c r="I2441" s="2" t="inlineStr">
        <is>
          <t>Panaji</t>
        </is>
      </c>
      <c r="J2441" s="2" t="inlineStr">
        <is>
          <t>Online</t>
        </is>
      </c>
      <c r="K2441" s="2" t="n">
        <v>2</v>
      </c>
      <c r="L2441" s="3" t="n">
        <v>989.53</v>
      </c>
      <c r="M2441" s="4" t="n">
        <v>0.25</v>
      </c>
      <c r="N2441" s="3" t="n">
        <v>1377.78</v>
      </c>
      <c r="O2441" s="3">
        <f>K2441*L2441*(1-M2441)</f>
        <v/>
      </c>
      <c r="P2441" s="3">
        <f>O2441-N2441</f>
        <v/>
      </c>
      <c r="Q2441" s="5">
        <f>IFERROR(P2441/O2441,0)</f>
        <v/>
      </c>
      <c r="R2441" s="2">
        <f>TEXT(DATEVALUE(B2441),"mmm")</f>
        <v/>
      </c>
      <c r="S2441" s="2">
        <f>TEXT(DATEVALUE(B2441),"yyyy-mm")</f>
        <v/>
      </c>
    </row>
    <row r="2442">
      <c r="A2442" s="2" t="inlineStr">
        <is>
          <t>O003524</t>
        </is>
      </c>
      <c r="B2442" s="2" t="inlineStr">
        <is>
          <t>2025-06-24</t>
        </is>
      </c>
      <c r="C2442" s="2" t="inlineStr">
        <is>
          <t>C0678</t>
        </is>
      </c>
      <c r="D2442" s="2" t="inlineStr">
        <is>
          <t>P0008</t>
        </is>
      </c>
      <c r="E2442" s="2" t="inlineStr">
        <is>
          <t>Air Fryer</t>
        </is>
      </c>
      <c r="F2442" s="2" t="inlineStr">
        <is>
          <t>Home &amp; Kitchen</t>
        </is>
      </c>
      <c r="G2442" s="2" t="inlineStr">
        <is>
          <t>North</t>
        </is>
      </c>
      <c r="H2442" s="2" t="inlineStr">
        <is>
          <t>Delhi</t>
        </is>
      </c>
      <c r="I2442" s="2" t="inlineStr">
        <is>
          <t>New Delhi</t>
        </is>
      </c>
      <c r="J2442" s="2" t="inlineStr">
        <is>
          <t>Store</t>
        </is>
      </c>
      <c r="K2442" s="2" t="n">
        <v>1</v>
      </c>
      <c r="L2442" s="3" t="n">
        <v>1040.44</v>
      </c>
      <c r="M2442" s="4" t="n">
        <v>0.15</v>
      </c>
      <c r="N2442" s="3" t="n">
        <v>707.1</v>
      </c>
      <c r="O2442" s="3">
        <f>K2442*L2442*(1-M2442)</f>
        <v/>
      </c>
      <c r="P2442" s="3">
        <f>O2442-N2442</f>
        <v/>
      </c>
      <c r="Q2442" s="5">
        <f>IFERROR(P2442/O2442,0)</f>
        <v/>
      </c>
      <c r="R2442" s="2">
        <f>TEXT(DATEVALUE(B2442),"mmm")</f>
        <v/>
      </c>
      <c r="S2442" s="2">
        <f>TEXT(DATEVALUE(B2442),"yyyy-mm")</f>
        <v/>
      </c>
    </row>
    <row r="2443">
      <c r="A2443" s="2" t="inlineStr">
        <is>
          <t>O003297</t>
        </is>
      </c>
      <c r="B2443" s="2" t="inlineStr">
        <is>
          <t>2025-06-24</t>
        </is>
      </c>
      <c r="C2443" s="2" t="inlineStr">
        <is>
          <t>C0456</t>
        </is>
      </c>
      <c r="D2443" s="2" t="inlineStr">
        <is>
          <t>P0022</t>
        </is>
      </c>
      <c r="E2443" s="2" t="inlineStr">
        <is>
          <t>Face Wash</t>
        </is>
      </c>
      <c r="F2443" s="2" t="inlineStr">
        <is>
          <t>Beauty</t>
        </is>
      </c>
      <c r="G2443" s="2" t="inlineStr">
        <is>
          <t>West</t>
        </is>
      </c>
      <c r="H2443" s="2" t="inlineStr">
        <is>
          <t>Maharashtra</t>
        </is>
      </c>
      <c r="I2443" s="2" t="inlineStr">
        <is>
          <t>Pune</t>
        </is>
      </c>
      <c r="J2443" s="2" t="inlineStr">
        <is>
          <t>Online</t>
        </is>
      </c>
      <c r="K2443" s="2" t="n">
        <v>3</v>
      </c>
      <c r="L2443" s="3" t="n">
        <v>562.78</v>
      </c>
      <c r="M2443" s="4" t="n">
        <v>0.2</v>
      </c>
      <c r="N2443" s="3" t="n">
        <v>1075.69</v>
      </c>
      <c r="O2443" s="3">
        <f>K2443*L2443*(1-M2443)</f>
        <v/>
      </c>
      <c r="P2443" s="3">
        <f>O2443-N2443</f>
        <v/>
      </c>
      <c r="Q2443" s="5">
        <f>IFERROR(P2443/O2443,0)</f>
        <v/>
      </c>
      <c r="R2443" s="2">
        <f>TEXT(DATEVALUE(B2443),"mmm")</f>
        <v/>
      </c>
      <c r="S2443" s="2">
        <f>TEXT(DATEVALUE(B2443),"yyyy-mm")</f>
        <v/>
      </c>
    </row>
    <row r="2444">
      <c r="A2444" s="2" t="inlineStr">
        <is>
          <t>O002054</t>
        </is>
      </c>
      <c r="B2444" s="2" t="inlineStr">
        <is>
          <t>2025-06-24</t>
        </is>
      </c>
      <c r="C2444" s="2" t="inlineStr">
        <is>
          <t>C0522</t>
        </is>
      </c>
      <c r="D2444" s="2" t="inlineStr">
        <is>
          <t>P0010</t>
        </is>
      </c>
      <c r="E2444" s="2" t="inlineStr">
        <is>
          <t>Mixer Grinder</t>
        </is>
      </c>
      <c r="F2444" s="2" t="inlineStr">
        <is>
          <t>Home &amp; Kitchen</t>
        </is>
      </c>
      <c r="G2444" s="2" t="inlineStr">
        <is>
          <t>North</t>
        </is>
      </c>
      <c r="H2444" s="2" t="inlineStr">
        <is>
          <t>Uttar Pradesh</t>
        </is>
      </c>
      <c r="I2444" s="2" t="inlineStr">
        <is>
          <t>Lucknow</t>
        </is>
      </c>
      <c r="J2444" s="2" t="inlineStr">
        <is>
          <t>Store</t>
        </is>
      </c>
      <c r="K2444" s="2" t="n">
        <v>5</v>
      </c>
      <c r="L2444" s="3" t="n">
        <v>1631.22</v>
      </c>
      <c r="M2444" s="4" t="n">
        <v>0.15</v>
      </c>
      <c r="N2444" s="3" t="n">
        <v>5157.32</v>
      </c>
      <c r="O2444" s="3">
        <f>K2444*L2444*(1-M2444)</f>
        <v/>
      </c>
      <c r="P2444" s="3">
        <f>O2444-N2444</f>
        <v/>
      </c>
      <c r="Q2444" s="5">
        <f>IFERROR(P2444/O2444,0)</f>
        <v/>
      </c>
      <c r="R2444" s="2">
        <f>TEXT(DATEVALUE(B2444),"mmm")</f>
        <v/>
      </c>
      <c r="S2444" s="2">
        <f>TEXT(DATEVALUE(B2444),"yyyy-mm")</f>
        <v/>
      </c>
    </row>
    <row r="2445">
      <c r="A2445" s="2" t="inlineStr">
        <is>
          <t>O001994</t>
        </is>
      </c>
      <c r="B2445" s="2" t="inlineStr">
        <is>
          <t>2025-06-24</t>
        </is>
      </c>
      <c r="C2445" s="2" t="inlineStr">
        <is>
          <t>C0602</t>
        </is>
      </c>
      <c r="D2445" s="2" t="inlineStr">
        <is>
          <t>P0003</t>
        </is>
      </c>
      <c r="E2445" s="2" t="inlineStr">
        <is>
          <t>Smartwatch</t>
        </is>
      </c>
      <c r="F2445" s="2" t="inlineStr">
        <is>
          <t>Electronics</t>
        </is>
      </c>
      <c r="G2445" s="2" t="inlineStr">
        <is>
          <t>West</t>
        </is>
      </c>
      <c r="H2445" s="2" t="inlineStr">
        <is>
          <t>Maharashtra</t>
        </is>
      </c>
      <c r="I2445" s="2" t="inlineStr">
        <is>
          <t>Thane</t>
        </is>
      </c>
      <c r="J2445" s="2" t="inlineStr">
        <is>
          <t>Online</t>
        </is>
      </c>
      <c r="K2445" s="2" t="n">
        <v>2</v>
      </c>
      <c r="L2445" s="3" t="n">
        <v>2380.54</v>
      </c>
      <c r="M2445" s="4" t="n">
        <v>0.15</v>
      </c>
      <c r="N2445" s="3" t="n">
        <v>2392.73</v>
      </c>
      <c r="O2445" s="3">
        <f>K2445*L2445*(1-M2445)</f>
        <v/>
      </c>
      <c r="P2445" s="3">
        <f>O2445-N2445</f>
        <v/>
      </c>
      <c r="Q2445" s="5">
        <f>IFERROR(P2445/O2445,0)</f>
        <v/>
      </c>
      <c r="R2445" s="2">
        <f>TEXT(DATEVALUE(B2445),"mmm")</f>
        <v/>
      </c>
      <c r="S2445" s="2">
        <f>TEXT(DATEVALUE(B2445),"yyyy-mm")</f>
        <v/>
      </c>
    </row>
    <row r="2446">
      <c r="A2446" s="2" t="inlineStr">
        <is>
          <t>O001733</t>
        </is>
      </c>
      <c r="B2446" s="2" t="inlineStr">
        <is>
          <t>2025-06-24</t>
        </is>
      </c>
      <c r="C2446" s="2" t="inlineStr">
        <is>
          <t>C0576</t>
        </is>
      </c>
      <c r="D2446" s="2" t="inlineStr">
        <is>
          <t>P0026</t>
        </is>
      </c>
      <c r="E2446" s="2" t="inlineStr">
        <is>
          <t>Shampoo</t>
        </is>
      </c>
      <c r="F2446" s="2" t="inlineStr">
        <is>
          <t>Beauty</t>
        </is>
      </c>
      <c r="G2446" s="2" t="inlineStr">
        <is>
          <t>South</t>
        </is>
      </c>
      <c r="H2446" s="2" t="inlineStr">
        <is>
          <t>Telangana</t>
        </is>
      </c>
      <c r="I2446" s="2" t="inlineStr">
        <is>
          <t>Warangal</t>
        </is>
      </c>
      <c r="J2446" s="2" t="inlineStr">
        <is>
          <t>Online</t>
        </is>
      </c>
      <c r="K2446" s="2" t="n">
        <v>3</v>
      </c>
      <c r="L2446" s="3" t="n">
        <v>866.25</v>
      </c>
      <c r="M2446" s="4" t="n">
        <v>0.25</v>
      </c>
      <c r="N2446" s="3" t="n">
        <v>1606.02</v>
      </c>
      <c r="O2446" s="3">
        <f>K2446*L2446*(1-M2446)</f>
        <v/>
      </c>
      <c r="P2446" s="3">
        <f>O2446-N2446</f>
        <v/>
      </c>
      <c r="Q2446" s="5">
        <f>IFERROR(P2446/O2446,0)</f>
        <v/>
      </c>
      <c r="R2446" s="2">
        <f>TEXT(DATEVALUE(B2446),"mmm")</f>
        <v/>
      </c>
      <c r="S2446" s="2">
        <f>TEXT(DATEVALUE(B2446),"yyyy-mm")</f>
        <v/>
      </c>
    </row>
    <row r="2447">
      <c r="A2447" s="2" t="inlineStr">
        <is>
          <t>O001231</t>
        </is>
      </c>
      <c r="B2447" s="2" t="inlineStr">
        <is>
          <t>2025-06-24</t>
        </is>
      </c>
      <c r="C2447" s="2" t="inlineStr">
        <is>
          <t>C0750</t>
        </is>
      </c>
      <c r="D2447" s="2" t="inlineStr">
        <is>
          <t>P0019</t>
        </is>
      </c>
      <c r="E2447" s="2" t="inlineStr">
        <is>
          <t>Jacket</t>
        </is>
      </c>
      <c r="F2447" s="2" t="inlineStr">
        <is>
          <t>Fashion</t>
        </is>
      </c>
      <c r="G2447" s="2" t="inlineStr">
        <is>
          <t>West</t>
        </is>
      </c>
      <c r="H2447" s="2" t="inlineStr">
        <is>
          <t>Gujarat</t>
        </is>
      </c>
      <c r="I2447" s="2" t="inlineStr">
        <is>
          <t>Ahmedabad</t>
        </is>
      </c>
      <c r="J2447" s="2" t="inlineStr">
        <is>
          <t>Online</t>
        </is>
      </c>
      <c r="K2447" s="2" t="n">
        <v>3</v>
      </c>
      <c r="L2447" s="3" t="n">
        <v>1012.16</v>
      </c>
      <c r="M2447" s="4" t="n">
        <v>0.1</v>
      </c>
      <c r="N2447" s="3" t="n">
        <v>2044.67</v>
      </c>
      <c r="O2447" s="3">
        <f>K2447*L2447*(1-M2447)</f>
        <v/>
      </c>
      <c r="P2447" s="3">
        <f>O2447-N2447</f>
        <v/>
      </c>
      <c r="Q2447" s="5">
        <f>IFERROR(P2447/O2447,0)</f>
        <v/>
      </c>
      <c r="R2447" s="2">
        <f>TEXT(DATEVALUE(B2447),"mmm")</f>
        <v/>
      </c>
      <c r="S2447" s="2">
        <f>TEXT(DATEVALUE(B2447),"yyyy-mm")</f>
        <v/>
      </c>
    </row>
    <row r="2448">
      <c r="A2448" s="2" t="inlineStr">
        <is>
          <t>O000036</t>
        </is>
      </c>
      <c r="B2448" s="2" t="inlineStr">
        <is>
          <t>2025-06-24</t>
        </is>
      </c>
      <c r="C2448" s="2" t="inlineStr">
        <is>
          <t>C0119</t>
        </is>
      </c>
      <c r="D2448" s="2" t="inlineStr">
        <is>
          <t>P0005</t>
        </is>
      </c>
      <c r="E2448" s="2" t="inlineStr">
        <is>
          <t>Power Bank</t>
        </is>
      </c>
      <c r="F2448" s="2" t="inlineStr">
        <is>
          <t>Electronics</t>
        </is>
      </c>
      <c r="G2448" s="2" t="inlineStr">
        <is>
          <t>South</t>
        </is>
      </c>
      <c r="H2448" s="2" t="inlineStr">
        <is>
          <t>Karnataka</t>
        </is>
      </c>
      <c r="I2448" s="2" t="inlineStr">
        <is>
          <t>Bengaluru</t>
        </is>
      </c>
      <c r="J2448" s="2" t="inlineStr">
        <is>
          <t>Store</t>
        </is>
      </c>
      <c r="K2448" s="2" t="n">
        <v>1</v>
      </c>
      <c r="L2448" s="3" t="n">
        <v>1101.38</v>
      </c>
      <c r="M2448" s="4" t="n">
        <v>0</v>
      </c>
      <c r="N2448" s="3" t="n">
        <v>666.89</v>
      </c>
      <c r="O2448" s="3">
        <f>K2448*L2448*(1-M2448)</f>
        <v/>
      </c>
      <c r="P2448" s="3">
        <f>O2448-N2448</f>
        <v/>
      </c>
      <c r="Q2448" s="5">
        <f>IFERROR(P2448/O2448,0)</f>
        <v/>
      </c>
      <c r="R2448" s="2">
        <f>TEXT(DATEVALUE(B2448),"mmm")</f>
        <v/>
      </c>
      <c r="S2448" s="2">
        <f>TEXT(DATEVALUE(B2448),"yyyy-mm")</f>
        <v/>
      </c>
    </row>
    <row r="2449">
      <c r="A2449" s="2" t="inlineStr">
        <is>
          <t>O002230</t>
        </is>
      </c>
      <c r="B2449" s="2" t="inlineStr">
        <is>
          <t>2025-06-24</t>
        </is>
      </c>
      <c r="C2449" s="2" t="inlineStr">
        <is>
          <t>C0029</t>
        </is>
      </c>
      <c r="D2449" s="2" t="inlineStr">
        <is>
          <t>P0009</t>
        </is>
      </c>
      <c r="E2449" s="2" t="inlineStr">
        <is>
          <t>Electric Kettle</t>
        </is>
      </c>
      <c r="F2449" s="2" t="inlineStr">
        <is>
          <t>Home &amp; Kitchen</t>
        </is>
      </c>
      <c r="G2449" s="2" t="inlineStr">
        <is>
          <t>West</t>
        </is>
      </c>
      <c r="H2449" s="2" t="inlineStr">
        <is>
          <t>Gujarat</t>
        </is>
      </c>
      <c r="I2449" s="2" t="inlineStr">
        <is>
          <t>Ahmedabad</t>
        </is>
      </c>
      <c r="J2449" s="2" t="inlineStr">
        <is>
          <t>Online</t>
        </is>
      </c>
      <c r="K2449" s="2" t="n">
        <v>3</v>
      </c>
      <c r="L2449" s="3" t="n">
        <v>2133.55</v>
      </c>
      <c r="M2449" s="4" t="n">
        <v>0.2</v>
      </c>
      <c r="N2449" s="3" t="n">
        <v>3358.52</v>
      </c>
      <c r="O2449" s="3">
        <f>K2449*L2449*(1-M2449)</f>
        <v/>
      </c>
      <c r="P2449" s="3">
        <f>O2449-N2449</f>
        <v/>
      </c>
      <c r="Q2449" s="5">
        <f>IFERROR(P2449/O2449,0)</f>
        <v/>
      </c>
      <c r="R2449" s="2">
        <f>TEXT(DATEVALUE(B2449),"mmm")</f>
        <v/>
      </c>
      <c r="S2449" s="2">
        <f>TEXT(DATEVALUE(B2449),"yyyy-mm")</f>
        <v/>
      </c>
    </row>
    <row r="2450">
      <c r="A2450" s="2" t="inlineStr">
        <is>
          <t>O001709</t>
        </is>
      </c>
      <c r="B2450" s="2" t="inlineStr">
        <is>
          <t>2025-06-24</t>
        </is>
      </c>
      <c r="C2450" s="2" t="inlineStr">
        <is>
          <t>C0303</t>
        </is>
      </c>
      <c r="D2450" s="2" t="inlineStr">
        <is>
          <t>P0017</t>
        </is>
      </c>
      <c r="E2450" s="2" t="inlineStr">
        <is>
          <t>Jeans</t>
        </is>
      </c>
      <c r="F2450" s="2" t="inlineStr">
        <is>
          <t>Fashion</t>
        </is>
      </c>
      <c r="G2450" s="2" t="inlineStr">
        <is>
          <t>North</t>
        </is>
      </c>
      <c r="H2450" s="2" t="inlineStr">
        <is>
          <t>Punjab</t>
        </is>
      </c>
      <c r="I2450" s="2" t="inlineStr">
        <is>
          <t>Ludhiana</t>
        </is>
      </c>
      <c r="J2450" s="2" t="inlineStr">
        <is>
          <t>Store</t>
        </is>
      </c>
      <c r="K2450" s="2" t="n">
        <v>2</v>
      </c>
      <c r="L2450" s="3" t="n">
        <v>1487.83</v>
      </c>
      <c r="M2450" s="4" t="n">
        <v>0.25</v>
      </c>
      <c r="N2450" s="3" t="n">
        <v>2087.46</v>
      </c>
      <c r="O2450" s="3">
        <f>K2450*L2450*(1-M2450)</f>
        <v/>
      </c>
      <c r="P2450" s="3">
        <f>O2450-N2450</f>
        <v/>
      </c>
      <c r="Q2450" s="5">
        <f>IFERROR(P2450/O2450,0)</f>
        <v/>
      </c>
      <c r="R2450" s="2">
        <f>TEXT(DATEVALUE(B2450),"mmm")</f>
        <v/>
      </c>
      <c r="S2450" s="2">
        <f>TEXT(DATEVALUE(B2450),"yyyy-mm")</f>
        <v/>
      </c>
    </row>
    <row r="2451">
      <c r="A2451" s="2" t="inlineStr">
        <is>
          <t>O004818</t>
        </is>
      </c>
      <c r="B2451" s="2" t="inlineStr">
        <is>
          <t>2025-06-25</t>
        </is>
      </c>
      <c r="C2451" s="2" t="inlineStr">
        <is>
          <t>C0738</t>
        </is>
      </c>
      <c r="D2451" s="2" t="inlineStr">
        <is>
          <t>P0025</t>
        </is>
      </c>
      <c r="E2451" s="2" t="inlineStr">
        <is>
          <t>Perfume</t>
        </is>
      </c>
      <c r="F2451" s="2" t="inlineStr">
        <is>
          <t>Beauty</t>
        </is>
      </c>
      <c r="G2451" s="2" t="inlineStr">
        <is>
          <t>South</t>
        </is>
      </c>
      <c r="H2451" s="2" t="inlineStr">
        <is>
          <t>Tamil Nadu</t>
        </is>
      </c>
      <c r="I2451" s="2" t="inlineStr">
        <is>
          <t>Coimbatore</t>
        </is>
      </c>
      <c r="J2451" s="2" t="inlineStr">
        <is>
          <t>Store</t>
        </is>
      </c>
      <c r="K2451" s="2" t="n">
        <v>5</v>
      </c>
      <c r="L2451" s="3" t="n">
        <v>832.49</v>
      </c>
      <c r="M2451" s="4" t="n">
        <v>0.05</v>
      </c>
      <c r="N2451" s="3" t="n">
        <v>3042.16</v>
      </c>
      <c r="O2451" s="3">
        <f>K2451*L2451*(1-M2451)</f>
        <v/>
      </c>
      <c r="P2451" s="3">
        <f>O2451-N2451</f>
        <v/>
      </c>
      <c r="Q2451" s="5">
        <f>IFERROR(P2451/O2451,0)</f>
        <v/>
      </c>
      <c r="R2451" s="2">
        <f>TEXT(DATEVALUE(B2451),"mmm")</f>
        <v/>
      </c>
      <c r="S2451" s="2">
        <f>TEXT(DATEVALUE(B2451),"yyyy-mm")</f>
        <v/>
      </c>
    </row>
    <row r="2452">
      <c r="A2452" s="2" t="inlineStr">
        <is>
          <t>O003053</t>
        </is>
      </c>
      <c r="B2452" s="2" t="inlineStr">
        <is>
          <t>2025-06-25</t>
        </is>
      </c>
      <c r="C2452" s="2" t="inlineStr">
        <is>
          <t>C0169</t>
        </is>
      </c>
      <c r="D2452" s="2" t="inlineStr">
        <is>
          <t>P0026</t>
        </is>
      </c>
      <c r="E2452" s="2" t="inlineStr">
        <is>
          <t>Shampoo</t>
        </is>
      </c>
      <c r="F2452" s="2" t="inlineStr">
        <is>
          <t>Beauty</t>
        </is>
      </c>
      <c r="G2452" s="2" t="inlineStr">
        <is>
          <t>East</t>
        </is>
      </c>
      <c r="H2452" s="2" t="inlineStr">
        <is>
          <t>Bihar</t>
        </is>
      </c>
      <c r="I2452" s="2" t="inlineStr">
        <is>
          <t>Gaya</t>
        </is>
      </c>
      <c r="J2452" s="2" t="inlineStr">
        <is>
          <t>Online</t>
        </is>
      </c>
      <c r="K2452" s="2" t="n">
        <v>2</v>
      </c>
      <c r="L2452" s="3" t="n">
        <v>881.05</v>
      </c>
      <c r="M2452" s="4" t="n">
        <v>0.15</v>
      </c>
      <c r="N2452" s="3" t="n">
        <v>1014.31</v>
      </c>
      <c r="O2452" s="3">
        <f>K2452*L2452*(1-M2452)</f>
        <v/>
      </c>
      <c r="P2452" s="3">
        <f>O2452-N2452</f>
        <v/>
      </c>
      <c r="Q2452" s="5">
        <f>IFERROR(P2452/O2452,0)</f>
        <v/>
      </c>
      <c r="R2452" s="2">
        <f>TEXT(DATEVALUE(B2452),"mmm")</f>
        <v/>
      </c>
      <c r="S2452" s="2">
        <f>TEXT(DATEVALUE(B2452),"yyyy-mm")</f>
        <v/>
      </c>
    </row>
    <row r="2453">
      <c r="A2453" s="2" t="inlineStr">
        <is>
          <t>O004803</t>
        </is>
      </c>
      <c r="B2453" s="2" t="inlineStr">
        <is>
          <t>2025-06-25</t>
        </is>
      </c>
      <c r="C2453" s="2" t="inlineStr">
        <is>
          <t>C0525</t>
        </is>
      </c>
      <c r="D2453" s="2" t="inlineStr">
        <is>
          <t>P0005</t>
        </is>
      </c>
      <c r="E2453" s="2" t="inlineStr">
        <is>
          <t>Power Bank</t>
        </is>
      </c>
      <c r="F2453" s="2" t="inlineStr">
        <is>
          <t>Electronics</t>
        </is>
      </c>
      <c r="G2453" s="2" t="inlineStr">
        <is>
          <t>South</t>
        </is>
      </c>
      <c r="H2453" s="2" t="inlineStr">
        <is>
          <t>Karnataka</t>
        </is>
      </c>
      <c r="I2453" s="2" t="inlineStr">
        <is>
          <t>Mangaluru</t>
        </is>
      </c>
      <c r="J2453" s="2" t="inlineStr">
        <is>
          <t>Store</t>
        </is>
      </c>
      <c r="K2453" s="2" t="n">
        <v>1</v>
      </c>
      <c r="L2453" s="3" t="n">
        <v>1080.83</v>
      </c>
      <c r="M2453" s="4" t="n">
        <v>0.1</v>
      </c>
      <c r="N2453" s="3" t="n">
        <v>651.8</v>
      </c>
      <c r="O2453" s="3">
        <f>K2453*L2453*(1-M2453)</f>
        <v/>
      </c>
      <c r="P2453" s="3">
        <f>O2453-N2453</f>
        <v/>
      </c>
      <c r="Q2453" s="5">
        <f>IFERROR(P2453/O2453,0)</f>
        <v/>
      </c>
      <c r="R2453" s="2">
        <f>TEXT(DATEVALUE(B2453),"mmm")</f>
        <v/>
      </c>
      <c r="S2453" s="2">
        <f>TEXT(DATEVALUE(B2453),"yyyy-mm")</f>
        <v/>
      </c>
    </row>
    <row r="2454">
      <c r="A2454" s="2" t="inlineStr">
        <is>
          <t>O004385</t>
        </is>
      </c>
      <c r="B2454" s="2" t="inlineStr">
        <is>
          <t>2025-06-25</t>
        </is>
      </c>
      <c r="C2454" s="2" t="inlineStr">
        <is>
          <t>C0040</t>
        </is>
      </c>
      <c r="D2454" s="2" t="inlineStr">
        <is>
          <t>P0011</t>
        </is>
      </c>
      <c r="E2454" s="2" t="inlineStr">
        <is>
          <t>Cookware Set</t>
        </is>
      </c>
      <c r="F2454" s="2" t="inlineStr">
        <is>
          <t>Home &amp; Kitchen</t>
        </is>
      </c>
      <c r="G2454" s="2" t="inlineStr">
        <is>
          <t>West</t>
        </is>
      </c>
      <c r="H2454" s="2" t="inlineStr">
        <is>
          <t>Goa</t>
        </is>
      </c>
      <c r="I2454" s="2" t="inlineStr">
        <is>
          <t>Panaji</t>
        </is>
      </c>
      <c r="J2454" s="2" t="inlineStr">
        <is>
          <t>Online</t>
        </is>
      </c>
      <c r="K2454" s="2" t="n">
        <v>1</v>
      </c>
      <c r="L2454" s="3" t="n">
        <v>692.04</v>
      </c>
      <c r="M2454" s="4" t="n">
        <v>0.05</v>
      </c>
      <c r="N2454" s="3" t="n">
        <v>484.19</v>
      </c>
      <c r="O2454" s="3">
        <f>K2454*L2454*(1-M2454)</f>
        <v/>
      </c>
      <c r="P2454" s="3">
        <f>O2454-N2454</f>
        <v/>
      </c>
      <c r="Q2454" s="5">
        <f>IFERROR(P2454/O2454,0)</f>
        <v/>
      </c>
      <c r="R2454" s="2">
        <f>TEXT(DATEVALUE(B2454),"mmm")</f>
        <v/>
      </c>
      <c r="S2454" s="2">
        <f>TEXT(DATEVALUE(B2454),"yyyy-mm")</f>
        <v/>
      </c>
    </row>
    <row r="2455">
      <c r="A2455" s="2" t="inlineStr">
        <is>
          <t>O003395</t>
        </is>
      </c>
      <c r="B2455" s="2" t="inlineStr">
        <is>
          <t>2025-06-25</t>
        </is>
      </c>
      <c r="C2455" s="2" t="inlineStr">
        <is>
          <t>C0056</t>
        </is>
      </c>
      <c r="D2455" s="2" t="inlineStr">
        <is>
          <t>P0024</t>
        </is>
      </c>
      <c r="E2455" s="2" t="inlineStr">
        <is>
          <t>Hair Dryer</t>
        </is>
      </c>
      <c r="F2455" s="2" t="inlineStr">
        <is>
          <t>Beauty</t>
        </is>
      </c>
      <c r="G2455" s="2" t="inlineStr">
        <is>
          <t>South</t>
        </is>
      </c>
      <c r="H2455" s="2" t="inlineStr">
        <is>
          <t>Kerala</t>
        </is>
      </c>
      <c r="I2455" s="2" t="inlineStr">
        <is>
          <t>Kochi</t>
        </is>
      </c>
      <c r="J2455" s="2" t="inlineStr">
        <is>
          <t>Online</t>
        </is>
      </c>
      <c r="K2455" s="2" t="n">
        <v>2</v>
      </c>
      <c r="L2455" s="3" t="n">
        <v>991.25</v>
      </c>
      <c r="M2455" s="4" t="n">
        <v>0.15</v>
      </c>
      <c r="N2455" s="3" t="n">
        <v>1444.39</v>
      </c>
      <c r="O2455" s="3">
        <f>K2455*L2455*(1-M2455)</f>
        <v/>
      </c>
      <c r="P2455" s="3">
        <f>O2455-N2455</f>
        <v/>
      </c>
      <c r="Q2455" s="5">
        <f>IFERROR(P2455/O2455,0)</f>
        <v/>
      </c>
      <c r="R2455" s="2">
        <f>TEXT(DATEVALUE(B2455),"mmm")</f>
        <v/>
      </c>
      <c r="S2455" s="2">
        <f>TEXT(DATEVALUE(B2455),"yyyy-mm")</f>
        <v/>
      </c>
    </row>
    <row r="2456">
      <c r="A2456" s="2" t="inlineStr">
        <is>
          <t>O002992</t>
        </is>
      </c>
      <c r="B2456" s="2" t="inlineStr">
        <is>
          <t>2025-06-25</t>
        </is>
      </c>
      <c r="C2456" s="2" t="inlineStr">
        <is>
          <t>C0577</t>
        </is>
      </c>
      <c r="D2456" s="2" t="inlineStr">
        <is>
          <t>P0018</t>
        </is>
      </c>
      <c r="E2456" s="2" t="inlineStr">
        <is>
          <t>Backpack</t>
        </is>
      </c>
      <c r="F2456" s="2" t="inlineStr">
        <is>
          <t>Fashion</t>
        </is>
      </c>
      <c r="G2456" s="2" t="inlineStr">
        <is>
          <t>South</t>
        </is>
      </c>
      <c r="H2456" s="2" t="inlineStr">
        <is>
          <t>Kerala</t>
        </is>
      </c>
      <c r="I2456" s="2" t="inlineStr">
        <is>
          <t>Thiruvananthapuram</t>
        </is>
      </c>
      <c r="J2456" s="2" t="inlineStr">
        <is>
          <t>Online</t>
        </is>
      </c>
      <c r="K2456" s="2" t="n">
        <v>3</v>
      </c>
      <c r="L2456" s="3" t="n">
        <v>1765.02</v>
      </c>
      <c r="M2456" s="4" t="n">
        <v>0.15</v>
      </c>
      <c r="N2456" s="3" t="n">
        <v>3967.13</v>
      </c>
      <c r="O2456" s="3">
        <f>K2456*L2456*(1-M2456)</f>
        <v/>
      </c>
      <c r="P2456" s="3">
        <f>O2456-N2456</f>
        <v/>
      </c>
      <c r="Q2456" s="5">
        <f>IFERROR(P2456/O2456,0)</f>
        <v/>
      </c>
      <c r="R2456" s="2">
        <f>TEXT(DATEVALUE(B2456),"mmm")</f>
        <v/>
      </c>
      <c r="S2456" s="2">
        <f>TEXT(DATEVALUE(B2456),"yyyy-mm")</f>
        <v/>
      </c>
    </row>
    <row r="2457">
      <c r="A2457" s="2" t="inlineStr">
        <is>
          <t>O001611</t>
        </is>
      </c>
      <c r="B2457" s="2" t="inlineStr">
        <is>
          <t>2025-06-25</t>
        </is>
      </c>
      <c r="C2457" s="2" t="inlineStr">
        <is>
          <t>C0280</t>
        </is>
      </c>
      <c r="D2457" s="2" t="inlineStr">
        <is>
          <t>P0004</t>
        </is>
      </c>
      <c r="E2457" s="2" t="inlineStr">
        <is>
          <t>USB-C Hub</t>
        </is>
      </c>
      <c r="F2457" s="2" t="inlineStr">
        <is>
          <t>Electronics</t>
        </is>
      </c>
      <c r="G2457" s="2" t="inlineStr">
        <is>
          <t>South</t>
        </is>
      </c>
      <c r="H2457" s="2" t="inlineStr">
        <is>
          <t>Karnataka</t>
        </is>
      </c>
      <c r="I2457" s="2" t="inlineStr">
        <is>
          <t>Mangaluru</t>
        </is>
      </c>
      <c r="J2457" s="2" t="inlineStr">
        <is>
          <t>Online</t>
        </is>
      </c>
      <c r="K2457" s="2" t="n">
        <v>5</v>
      </c>
      <c r="L2457" s="3" t="n">
        <v>1229.43</v>
      </c>
      <c r="M2457" s="4" t="n">
        <v>0.15</v>
      </c>
      <c r="N2457" s="3" t="n">
        <v>4696.96</v>
      </c>
      <c r="O2457" s="3">
        <f>K2457*L2457*(1-M2457)</f>
        <v/>
      </c>
      <c r="P2457" s="3">
        <f>O2457-N2457</f>
        <v/>
      </c>
      <c r="Q2457" s="5">
        <f>IFERROR(P2457/O2457,0)</f>
        <v/>
      </c>
      <c r="R2457" s="2">
        <f>TEXT(DATEVALUE(B2457),"mmm")</f>
        <v/>
      </c>
      <c r="S2457" s="2">
        <f>TEXT(DATEVALUE(B2457),"yyyy-mm")</f>
        <v/>
      </c>
    </row>
    <row r="2458">
      <c r="A2458" s="2" t="inlineStr">
        <is>
          <t>O001607</t>
        </is>
      </c>
      <c r="B2458" s="2" t="inlineStr">
        <is>
          <t>2025-06-25</t>
        </is>
      </c>
      <c r="C2458" s="2" t="inlineStr">
        <is>
          <t>C0794</t>
        </is>
      </c>
      <c r="D2458" s="2" t="inlineStr">
        <is>
          <t>P0022</t>
        </is>
      </c>
      <c r="E2458" s="2" t="inlineStr">
        <is>
          <t>Face Wash</t>
        </is>
      </c>
      <c r="F2458" s="2" t="inlineStr">
        <is>
          <t>Beauty</t>
        </is>
      </c>
      <c r="G2458" s="2" t="inlineStr">
        <is>
          <t>West</t>
        </is>
      </c>
      <c r="H2458" s="2" t="inlineStr">
        <is>
          <t>Maharashtra</t>
        </is>
      </c>
      <c r="I2458" s="2" t="inlineStr">
        <is>
          <t>Nagpur</t>
        </is>
      </c>
      <c r="J2458" s="2" t="inlineStr">
        <is>
          <t>Online</t>
        </is>
      </c>
      <c r="K2458" s="2" t="n">
        <v>3</v>
      </c>
      <c r="L2458" s="3" t="n">
        <v>556.49</v>
      </c>
      <c r="M2458" s="4" t="n">
        <v>0.05</v>
      </c>
      <c r="N2458" s="3" t="n">
        <v>1049.82</v>
      </c>
      <c r="O2458" s="3">
        <f>K2458*L2458*(1-M2458)</f>
        <v/>
      </c>
      <c r="P2458" s="3">
        <f>O2458-N2458</f>
        <v/>
      </c>
      <c r="Q2458" s="5">
        <f>IFERROR(P2458/O2458,0)</f>
        <v/>
      </c>
      <c r="R2458" s="2">
        <f>TEXT(DATEVALUE(B2458),"mmm")</f>
        <v/>
      </c>
      <c r="S2458" s="2">
        <f>TEXT(DATEVALUE(B2458),"yyyy-mm")</f>
        <v/>
      </c>
    </row>
    <row r="2459">
      <c r="A2459" s="2" t="inlineStr">
        <is>
          <t>O001465</t>
        </is>
      </c>
      <c r="B2459" s="2" t="inlineStr">
        <is>
          <t>2025-06-25</t>
        </is>
      </c>
      <c r="C2459" s="2" t="inlineStr">
        <is>
          <t>C0405</t>
        </is>
      </c>
      <c r="D2459" s="2" t="inlineStr">
        <is>
          <t>P0033</t>
        </is>
      </c>
      <c r="E2459" s="2" t="inlineStr">
        <is>
          <t>Resistance Bands</t>
        </is>
      </c>
      <c r="F2459" s="2" t="inlineStr">
        <is>
          <t>Sports</t>
        </is>
      </c>
      <c r="G2459" s="2" t="inlineStr">
        <is>
          <t>West</t>
        </is>
      </c>
      <c r="H2459" s="2" t="inlineStr">
        <is>
          <t>Gujarat</t>
        </is>
      </c>
      <c r="I2459" s="2" t="inlineStr">
        <is>
          <t>Surat</t>
        </is>
      </c>
      <c r="J2459" s="2" t="inlineStr">
        <is>
          <t>Store</t>
        </is>
      </c>
      <c r="K2459" s="2" t="n">
        <v>2</v>
      </c>
      <c r="L2459" s="3" t="n">
        <v>1116.89</v>
      </c>
      <c r="M2459" s="4" t="n">
        <v>0.05</v>
      </c>
      <c r="N2459" s="3" t="n">
        <v>1526.88</v>
      </c>
      <c r="O2459" s="3">
        <f>K2459*L2459*(1-M2459)</f>
        <v/>
      </c>
      <c r="P2459" s="3">
        <f>O2459-N2459</f>
        <v/>
      </c>
      <c r="Q2459" s="5">
        <f>IFERROR(P2459/O2459,0)</f>
        <v/>
      </c>
      <c r="R2459" s="2">
        <f>TEXT(DATEVALUE(B2459),"mmm")</f>
        <v/>
      </c>
      <c r="S2459" s="2">
        <f>TEXT(DATEVALUE(B2459),"yyyy-mm")</f>
        <v/>
      </c>
    </row>
    <row r="2460">
      <c r="A2460" s="2" t="inlineStr">
        <is>
          <t>O000372</t>
        </is>
      </c>
      <c r="B2460" s="2" t="inlineStr">
        <is>
          <t>2025-06-25</t>
        </is>
      </c>
      <c r="C2460" s="2" t="inlineStr">
        <is>
          <t>C0634</t>
        </is>
      </c>
      <c r="D2460" s="2" t="inlineStr">
        <is>
          <t>P0030</t>
        </is>
      </c>
      <c r="E2460" s="2" t="inlineStr">
        <is>
          <t>Dumbbells</t>
        </is>
      </c>
      <c r="F2460" s="2" t="inlineStr">
        <is>
          <t>Sports</t>
        </is>
      </c>
      <c r="G2460" s="2" t="inlineStr">
        <is>
          <t>South</t>
        </is>
      </c>
      <c r="H2460" s="2" t="inlineStr">
        <is>
          <t>Karnataka</t>
        </is>
      </c>
      <c r="I2460" s="2" t="inlineStr">
        <is>
          <t>Bengaluru</t>
        </is>
      </c>
      <c r="J2460" s="2" t="inlineStr">
        <is>
          <t>Store</t>
        </is>
      </c>
      <c r="K2460" s="2" t="n">
        <v>3</v>
      </c>
      <c r="L2460" s="3" t="n">
        <v>1614.72</v>
      </c>
      <c r="M2460" s="4" t="n">
        <v>0.1</v>
      </c>
      <c r="N2460" s="3" t="n">
        <v>3020.64</v>
      </c>
      <c r="O2460" s="3">
        <f>K2460*L2460*(1-M2460)</f>
        <v/>
      </c>
      <c r="P2460" s="3">
        <f>O2460-N2460</f>
        <v/>
      </c>
      <c r="Q2460" s="5">
        <f>IFERROR(P2460/O2460,0)</f>
        <v/>
      </c>
      <c r="R2460" s="2">
        <f>TEXT(DATEVALUE(B2460),"mmm")</f>
        <v/>
      </c>
      <c r="S2460" s="2">
        <f>TEXT(DATEVALUE(B2460),"yyyy-mm")</f>
        <v/>
      </c>
    </row>
    <row r="2461">
      <c r="A2461" s="2" t="inlineStr">
        <is>
          <t>O000307</t>
        </is>
      </c>
      <c r="B2461" s="2" t="inlineStr">
        <is>
          <t>2025-06-25</t>
        </is>
      </c>
      <c r="C2461" s="2" t="inlineStr">
        <is>
          <t>C0649</t>
        </is>
      </c>
      <c r="D2461" s="2" t="inlineStr">
        <is>
          <t>P0034</t>
        </is>
      </c>
      <c r="E2461" s="2" t="inlineStr">
        <is>
          <t>Gym Gloves</t>
        </is>
      </c>
      <c r="F2461" s="2" t="inlineStr">
        <is>
          <t>Sports</t>
        </is>
      </c>
      <c r="G2461" s="2" t="inlineStr">
        <is>
          <t>West</t>
        </is>
      </c>
      <c r="H2461" s="2" t="inlineStr">
        <is>
          <t>Goa</t>
        </is>
      </c>
      <c r="I2461" s="2" t="inlineStr">
        <is>
          <t>Panaji</t>
        </is>
      </c>
      <c r="J2461" s="2" t="inlineStr">
        <is>
          <t>Store</t>
        </is>
      </c>
      <c r="K2461" s="2" t="n">
        <v>2</v>
      </c>
      <c r="L2461" s="3" t="n">
        <v>594.86</v>
      </c>
      <c r="M2461" s="4" t="n">
        <v>0.1</v>
      </c>
      <c r="N2461" s="3" t="n">
        <v>780.17</v>
      </c>
      <c r="O2461" s="3">
        <f>K2461*L2461*(1-M2461)</f>
        <v/>
      </c>
      <c r="P2461" s="3">
        <f>O2461-N2461</f>
        <v/>
      </c>
      <c r="Q2461" s="5">
        <f>IFERROR(P2461/O2461,0)</f>
        <v/>
      </c>
      <c r="R2461" s="2">
        <f>TEXT(DATEVALUE(B2461),"mmm")</f>
        <v/>
      </c>
      <c r="S2461" s="2">
        <f>TEXT(DATEVALUE(B2461),"yyyy-mm")</f>
        <v/>
      </c>
    </row>
    <row r="2462">
      <c r="A2462" s="2" t="inlineStr">
        <is>
          <t>O002087</t>
        </is>
      </c>
      <c r="B2462" s="2" t="inlineStr">
        <is>
          <t>2025-06-25</t>
        </is>
      </c>
      <c r="C2462" s="2" t="inlineStr">
        <is>
          <t>C0445</t>
        </is>
      </c>
      <c r="D2462" s="2" t="inlineStr">
        <is>
          <t>P0021</t>
        </is>
      </c>
      <c r="E2462" s="2" t="inlineStr">
        <is>
          <t>Wallet</t>
        </is>
      </c>
      <c r="F2462" s="2" t="inlineStr">
        <is>
          <t>Fashion</t>
        </is>
      </c>
      <c r="G2462" s="2" t="inlineStr">
        <is>
          <t>South</t>
        </is>
      </c>
      <c r="H2462" s="2" t="inlineStr">
        <is>
          <t>Kerala</t>
        </is>
      </c>
      <c r="I2462" s="2" t="inlineStr">
        <is>
          <t>Kochi</t>
        </is>
      </c>
      <c r="J2462" s="2" t="inlineStr">
        <is>
          <t>Online</t>
        </is>
      </c>
      <c r="K2462" s="2" t="n">
        <v>6</v>
      </c>
      <c r="L2462" s="3" t="n">
        <v>1947.57</v>
      </c>
      <c r="M2462" s="4" t="n">
        <v>0</v>
      </c>
      <c r="N2462" s="3" t="n">
        <v>7257.73</v>
      </c>
      <c r="O2462" s="3">
        <f>K2462*L2462*(1-M2462)</f>
        <v/>
      </c>
      <c r="P2462" s="3">
        <f>O2462-N2462</f>
        <v/>
      </c>
      <c r="Q2462" s="5">
        <f>IFERROR(P2462/O2462,0)</f>
        <v/>
      </c>
      <c r="R2462" s="2">
        <f>TEXT(DATEVALUE(B2462),"mmm")</f>
        <v/>
      </c>
      <c r="S2462" s="2">
        <f>TEXT(DATEVALUE(B2462),"yyyy-mm")</f>
        <v/>
      </c>
    </row>
    <row r="2463">
      <c r="A2463" s="2" t="inlineStr">
        <is>
          <t>O004529</t>
        </is>
      </c>
      <c r="B2463" s="2" t="inlineStr">
        <is>
          <t>2025-06-26</t>
        </is>
      </c>
      <c r="C2463" s="2" t="inlineStr">
        <is>
          <t>C0371</t>
        </is>
      </c>
      <c r="D2463" s="2" t="inlineStr">
        <is>
          <t>P0021</t>
        </is>
      </c>
      <c r="E2463" s="2" t="inlineStr">
        <is>
          <t>Wallet</t>
        </is>
      </c>
      <c r="F2463" s="2" t="inlineStr">
        <is>
          <t>Fashion</t>
        </is>
      </c>
      <c r="G2463" s="2" t="inlineStr">
        <is>
          <t>West</t>
        </is>
      </c>
      <c r="H2463" s="2" t="inlineStr">
        <is>
          <t>Goa</t>
        </is>
      </c>
      <c r="I2463" s="2" t="inlineStr">
        <is>
          <t>Panaji</t>
        </is>
      </c>
      <c r="J2463" s="2" t="inlineStr">
        <is>
          <t>Online</t>
        </is>
      </c>
      <c r="K2463" s="2" t="n">
        <v>1</v>
      </c>
      <c r="L2463" s="3" t="n">
        <v>1942.77</v>
      </c>
      <c r="M2463" s="4" t="n">
        <v>0</v>
      </c>
      <c r="N2463" s="3" t="n">
        <v>1223.41</v>
      </c>
      <c r="O2463" s="3">
        <f>K2463*L2463*(1-M2463)</f>
        <v/>
      </c>
      <c r="P2463" s="3">
        <f>O2463-N2463</f>
        <v/>
      </c>
      <c r="Q2463" s="5">
        <f>IFERROR(P2463/O2463,0)</f>
        <v/>
      </c>
      <c r="R2463" s="2">
        <f>TEXT(DATEVALUE(B2463),"mmm")</f>
        <v/>
      </c>
      <c r="S2463" s="2">
        <f>TEXT(DATEVALUE(B2463),"yyyy-mm")</f>
        <v/>
      </c>
    </row>
    <row r="2464">
      <c r="A2464" s="2" t="inlineStr">
        <is>
          <t>O004316</t>
        </is>
      </c>
      <c r="B2464" s="2" t="inlineStr">
        <is>
          <t>2025-06-26</t>
        </is>
      </c>
      <c r="C2464" s="2" t="inlineStr">
        <is>
          <t>C0050</t>
        </is>
      </c>
      <c r="D2464" s="2" t="inlineStr">
        <is>
          <t>P0011</t>
        </is>
      </c>
      <c r="E2464" s="2" t="inlineStr">
        <is>
          <t>Cookware Set</t>
        </is>
      </c>
      <c r="F2464" s="2" t="inlineStr">
        <is>
          <t>Home &amp; Kitchen</t>
        </is>
      </c>
      <c r="G2464" s="2" t="inlineStr">
        <is>
          <t>West</t>
        </is>
      </c>
      <c r="H2464" s="2" t="inlineStr">
        <is>
          <t>Gujarat</t>
        </is>
      </c>
      <c r="I2464" s="2" t="inlineStr">
        <is>
          <t>Vadodara</t>
        </is>
      </c>
      <c r="J2464" s="2" t="inlineStr">
        <is>
          <t>Store</t>
        </is>
      </c>
      <c r="K2464" s="2" t="n">
        <v>4</v>
      </c>
      <c r="L2464" s="3" t="n">
        <v>684.77</v>
      </c>
      <c r="M2464" s="4" t="n">
        <v>0.1</v>
      </c>
      <c r="N2464" s="3" t="n">
        <v>1888.86</v>
      </c>
      <c r="O2464" s="3">
        <f>K2464*L2464*(1-M2464)</f>
        <v/>
      </c>
      <c r="P2464" s="3">
        <f>O2464-N2464</f>
        <v/>
      </c>
      <c r="Q2464" s="5">
        <f>IFERROR(P2464/O2464,0)</f>
        <v/>
      </c>
      <c r="R2464" s="2">
        <f>TEXT(DATEVALUE(B2464),"mmm")</f>
        <v/>
      </c>
      <c r="S2464" s="2">
        <f>TEXT(DATEVALUE(B2464),"yyyy-mm")</f>
        <v/>
      </c>
    </row>
    <row r="2465">
      <c r="A2465" s="2" t="inlineStr">
        <is>
          <t>O003708</t>
        </is>
      </c>
      <c r="B2465" s="2" t="inlineStr">
        <is>
          <t>2025-06-26</t>
        </is>
      </c>
      <c r="C2465" s="2" t="inlineStr">
        <is>
          <t>C0007</t>
        </is>
      </c>
      <c r="D2465" s="2" t="inlineStr">
        <is>
          <t>P0017</t>
        </is>
      </c>
      <c r="E2465" s="2" t="inlineStr">
        <is>
          <t>Jeans</t>
        </is>
      </c>
      <c r="F2465" s="2" t="inlineStr">
        <is>
          <t>Fashion</t>
        </is>
      </c>
      <c r="G2465" s="2" t="inlineStr">
        <is>
          <t>West</t>
        </is>
      </c>
      <c r="H2465" s="2" t="inlineStr">
        <is>
          <t>Goa</t>
        </is>
      </c>
      <c r="I2465" s="2" t="inlineStr">
        <is>
          <t>Margao</t>
        </is>
      </c>
      <c r="J2465" s="2" t="inlineStr">
        <is>
          <t>Store</t>
        </is>
      </c>
      <c r="K2465" s="2" t="n">
        <v>6</v>
      </c>
      <c r="L2465" s="3" t="n">
        <v>1549.16</v>
      </c>
      <c r="M2465" s="4" t="n">
        <v>0.05</v>
      </c>
      <c r="N2465" s="3" t="n">
        <v>6093.71</v>
      </c>
      <c r="O2465" s="3">
        <f>K2465*L2465*(1-M2465)</f>
        <v/>
      </c>
      <c r="P2465" s="3">
        <f>O2465-N2465</f>
        <v/>
      </c>
      <c r="Q2465" s="5">
        <f>IFERROR(P2465/O2465,0)</f>
        <v/>
      </c>
      <c r="R2465" s="2">
        <f>TEXT(DATEVALUE(B2465),"mmm")</f>
        <v/>
      </c>
      <c r="S2465" s="2">
        <f>TEXT(DATEVALUE(B2465),"yyyy-mm")</f>
        <v/>
      </c>
    </row>
    <row r="2466">
      <c r="A2466" s="2" t="inlineStr">
        <is>
          <t>O003296</t>
        </is>
      </c>
      <c r="B2466" s="2" t="inlineStr">
        <is>
          <t>2025-06-26</t>
        </is>
      </c>
      <c r="C2466" s="2" t="inlineStr">
        <is>
          <t>C0181</t>
        </is>
      </c>
      <c r="D2466" s="2" t="inlineStr">
        <is>
          <t>P0028</t>
        </is>
      </c>
      <c r="E2466" s="2" t="inlineStr">
        <is>
          <t>Trimmer</t>
        </is>
      </c>
      <c r="F2466" s="2" t="inlineStr">
        <is>
          <t>Beauty</t>
        </is>
      </c>
      <c r="G2466" s="2" t="inlineStr">
        <is>
          <t>West</t>
        </is>
      </c>
      <c r="H2466" s="2" t="inlineStr">
        <is>
          <t>Gujarat</t>
        </is>
      </c>
      <c r="I2466" s="2" t="inlineStr">
        <is>
          <t>Surat</t>
        </is>
      </c>
      <c r="J2466" s="2" t="inlineStr">
        <is>
          <t>Online</t>
        </is>
      </c>
      <c r="K2466" s="2" t="n">
        <v>6</v>
      </c>
      <c r="L2466" s="3" t="n">
        <v>466.81</v>
      </c>
      <c r="M2466" s="4" t="n">
        <v>0.15</v>
      </c>
      <c r="N2466" s="3" t="n">
        <v>1478.67</v>
      </c>
      <c r="O2466" s="3">
        <f>K2466*L2466*(1-M2466)</f>
        <v/>
      </c>
      <c r="P2466" s="3">
        <f>O2466-N2466</f>
        <v/>
      </c>
      <c r="Q2466" s="5">
        <f>IFERROR(P2466/O2466,0)</f>
        <v/>
      </c>
      <c r="R2466" s="2">
        <f>TEXT(DATEVALUE(B2466),"mmm")</f>
        <v/>
      </c>
      <c r="S2466" s="2">
        <f>TEXT(DATEVALUE(B2466),"yyyy-mm")</f>
        <v/>
      </c>
    </row>
    <row r="2467">
      <c r="A2467" s="2" t="inlineStr">
        <is>
          <t>O003237</t>
        </is>
      </c>
      <c r="B2467" s="2" t="inlineStr">
        <is>
          <t>2025-06-26</t>
        </is>
      </c>
      <c r="C2467" s="2" t="inlineStr">
        <is>
          <t>C0320</t>
        </is>
      </c>
      <c r="D2467" s="2" t="inlineStr">
        <is>
          <t>P0011</t>
        </is>
      </c>
      <c r="E2467" s="2" t="inlineStr">
        <is>
          <t>Cookware Set</t>
        </is>
      </c>
      <c r="F2467" s="2" t="inlineStr">
        <is>
          <t>Home &amp; Kitchen</t>
        </is>
      </c>
      <c r="G2467" s="2" t="inlineStr">
        <is>
          <t>West</t>
        </is>
      </c>
      <c r="H2467" s="2" t="inlineStr">
        <is>
          <t>Maharashtra</t>
        </is>
      </c>
      <c r="I2467" s="2" t="inlineStr">
        <is>
          <t>Mumbai</t>
        </is>
      </c>
      <c r="J2467" s="2" t="inlineStr">
        <is>
          <t>Online</t>
        </is>
      </c>
      <c r="K2467" s="2" t="n">
        <v>6</v>
      </c>
      <c r="L2467" s="3" t="n">
        <v>697.09</v>
      </c>
      <c r="M2467" s="4" t="n">
        <v>0.1</v>
      </c>
      <c r="N2467" s="3" t="n">
        <v>2869.52</v>
      </c>
      <c r="O2467" s="3">
        <f>K2467*L2467*(1-M2467)</f>
        <v/>
      </c>
      <c r="P2467" s="3">
        <f>O2467-N2467</f>
        <v/>
      </c>
      <c r="Q2467" s="5">
        <f>IFERROR(P2467/O2467,0)</f>
        <v/>
      </c>
      <c r="R2467" s="2">
        <f>TEXT(DATEVALUE(B2467),"mmm")</f>
        <v/>
      </c>
      <c r="S2467" s="2">
        <f>TEXT(DATEVALUE(B2467),"yyyy-mm")</f>
        <v/>
      </c>
    </row>
    <row r="2468">
      <c r="A2468" s="2" t="inlineStr">
        <is>
          <t>O002902</t>
        </is>
      </c>
      <c r="B2468" s="2" t="inlineStr">
        <is>
          <t>2025-06-26</t>
        </is>
      </c>
      <c r="C2468" s="2" t="inlineStr">
        <is>
          <t>C0319</t>
        </is>
      </c>
      <c r="D2468" s="2" t="inlineStr">
        <is>
          <t>P0016</t>
        </is>
      </c>
      <c r="E2468" s="2" t="inlineStr">
        <is>
          <t>Casual Shirt</t>
        </is>
      </c>
      <c r="F2468" s="2" t="inlineStr">
        <is>
          <t>Fashion</t>
        </is>
      </c>
      <c r="G2468" s="2" t="inlineStr">
        <is>
          <t>East</t>
        </is>
      </c>
      <c r="H2468" s="2" t="inlineStr">
        <is>
          <t>Odisha</t>
        </is>
      </c>
      <c r="I2468" s="2" t="inlineStr">
        <is>
          <t>Cuttack</t>
        </is>
      </c>
      <c r="J2468" s="2" t="inlineStr">
        <is>
          <t>Online</t>
        </is>
      </c>
      <c r="K2468" s="2" t="n">
        <v>3</v>
      </c>
      <c r="L2468" s="3" t="n">
        <v>1331.66</v>
      </c>
      <c r="M2468" s="4" t="n">
        <v>0.15</v>
      </c>
      <c r="N2468" s="3" t="n">
        <v>2797.79</v>
      </c>
      <c r="O2468" s="3">
        <f>K2468*L2468*(1-M2468)</f>
        <v/>
      </c>
      <c r="P2468" s="3">
        <f>O2468-N2468</f>
        <v/>
      </c>
      <c r="Q2468" s="5">
        <f>IFERROR(P2468/O2468,0)</f>
        <v/>
      </c>
      <c r="R2468" s="2">
        <f>TEXT(DATEVALUE(B2468),"mmm")</f>
        <v/>
      </c>
      <c r="S2468" s="2">
        <f>TEXT(DATEVALUE(B2468),"yyyy-mm")</f>
        <v/>
      </c>
    </row>
    <row r="2469">
      <c r="A2469" s="2" t="inlineStr">
        <is>
          <t>O001567</t>
        </is>
      </c>
      <c r="B2469" s="2" t="inlineStr">
        <is>
          <t>2025-06-26</t>
        </is>
      </c>
      <c r="C2469" s="2" t="inlineStr">
        <is>
          <t>C0341</t>
        </is>
      </c>
      <c r="D2469" s="2" t="inlineStr">
        <is>
          <t>P0011</t>
        </is>
      </c>
      <c r="E2469" s="2" t="inlineStr">
        <is>
          <t>Cookware Set</t>
        </is>
      </c>
      <c r="F2469" s="2" t="inlineStr">
        <is>
          <t>Home &amp; Kitchen</t>
        </is>
      </c>
      <c r="G2469" s="2" t="inlineStr">
        <is>
          <t>West</t>
        </is>
      </c>
      <c r="H2469" s="2" t="inlineStr">
        <is>
          <t>Goa</t>
        </is>
      </c>
      <c r="I2469" s="2" t="inlineStr">
        <is>
          <t>Panaji</t>
        </is>
      </c>
      <c r="J2469" s="2" t="inlineStr">
        <is>
          <t>Store</t>
        </is>
      </c>
      <c r="K2469" s="2" t="n">
        <v>5</v>
      </c>
      <c r="L2469" s="3" t="n">
        <v>706.72</v>
      </c>
      <c r="M2469" s="4" t="n">
        <v>0.15</v>
      </c>
      <c r="N2469" s="3" t="n">
        <v>2315.57</v>
      </c>
      <c r="O2469" s="3">
        <f>K2469*L2469*(1-M2469)</f>
        <v/>
      </c>
      <c r="P2469" s="3">
        <f>O2469-N2469</f>
        <v/>
      </c>
      <c r="Q2469" s="5">
        <f>IFERROR(P2469/O2469,0)</f>
        <v/>
      </c>
      <c r="R2469" s="2">
        <f>TEXT(DATEVALUE(B2469),"mmm")</f>
        <v/>
      </c>
      <c r="S2469" s="2">
        <f>TEXT(DATEVALUE(B2469),"yyyy-mm")</f>
        <v/>
      </c>
    </row>
    <row r="2470">
      <c r="A2470" s="2" t="inlineStr">
        <is>
          <t>O001918</t>
        </is>
      </c>
      <c r="B2470" s="2" t="inlineStr">
        <is>
          <t>2025-06-26</t>
        </is>
      </c>
      <c r="C2470" s="2" t="inlineStr">
        <is>
          <t>C0513</t>
        </is>
      </c>
      <c r="D2470" s="2" t="inlineStr">
        <is>
          <t>P0010</t>
        </is>
      </c>
      <c r="E2470" s="2" t="inlineStr">
        <is>
          <t>Mixer Grinder</t>
        </is>
      </c>
      <c r="F2470" s="2" t="inlineStr">
        <is>
          <t>Home &amp; Kitchen</t>
        </is>
      </c>
      <c r="G2470" s="2" t="inlineStr">
        <is>
          <t>West</t>
        </is>
      </c>
      <c r="H2470" s="2" t="inlineStr">
        <is>
          <t>Gujarat</t>
        </is>
      </c>
      <c r="I2470" s="2" t="inlineStr">
        <is>
          <t>Ahmedabad</t>
        </is>
      </c>
      <c r="J2470" s="2" t="inlineStr">
        <is>
          <t>Online</t>
        </is>
      </c>
      <c r="K2470" s="2" t="n">
        <v>6</v>
      </c>
      <c r="L2470" s="3" t="n">
        <v>1575.24</v>
      </c>
      <c r="M2470" s="4" t="n">
        <v>0.05</v>
      </c>
      <c r="N2470" s="3" t="n">
        <v>6486.7</v>
      </c>
      <c r="O2470" s="3">
        <f>K2470*L2470*(1-M2470)</f>
        <v/>
      </c>
      <c r="P2470" s="3">
        <f>O2470-N2470</f>
        <v/>
      </c>
      <c r="Q2470" s="5">
        <f>IFERROR(P2470/O2470,0)</f>
        <v/>
      </c>
      <c r="R2470" s="2">
        <f>TEXT(DATEVALUE(B2470),"mmm")</f>
        <v/>
      </c>
      <c r="S2470" s="2">
        <f>TEXT(DATEVALUE(B2470),"yyyy-mm")</f>
        <v/>
      </c>
    </row>
    <row r="2471">
      <c r="A2471" s="2" t="inlineStr">
        <is>
          <t>O001206</t>
        </is>
      </c>
      <c r="B2471" s="2" t="inlineStr">
        <is>
          <t>2025-06-26</t>
        </is>
      </c>
      <c r="C2471" s="2" t="inlineStr">
        <is>
          <t>C0185</t>
        </is>
      </c>
      <c r="D2471" s="2" t="inlineStr">
        <is>
          <t>P0012</t>
        </is>
      </c>
      <c r="E2471" s="2" t="inlineStr">
        <is>
          <t>Water Bottle</t>
        </is>
      </c>
      <c r="F2471" s="2" t="inlineStr">
        <is>
          <t>Home &amp; Kitchen</t>
        </is>
      </c>
      <c r="G2471" s="2" t="inlineStr">
        <is>
          <t>East</t>
        </is>
      </c>
      <c r="H2471" s="2" t="inlineStr">
        <is>
          <t>West Bengal</t>
        </is>
      </c>
      <c r="I2471" s="2" t="inlineStr">
        <is>
          <t>Durgapur</t>
        </is>
      </c>
      <c r="J2471" s="2" t="inlineStr">
        <is>
          <t>Online</t>
        </is>
      </c>
      <c r="K2471" s="2" t="n">
        <v>1</v>
      </c>
      <c r="L2471" s="3" t="n">
        <v>994.55</v>
      </c>
      <c r="M2471" s="4" t="n">
        <v>0.1</v>
      </c>
      <c r="N2471" s="3" t="n">
        <v>610.97</v>
      </c>
      <c r="O2471" s="3">
        <f>K2471*L2471*(1-M2471)</f>
        <v/>
      </c>
      <c r="P2471" s="3">
        <f>O2471-N2471</f>
        <v/>
      </c>
      <c r="Q2471" s="5">
        <f>IFERROR(P2471/O2471,0)</f>
        <v/>
      </c>
      <c r="R2471" s="2">
        <f>TEXT(DATEVALUE(B2471),"mmm")</f>
        <v/>
      </c>
      <c r="S2471" s="2">
        <f>TEXT(DATEVALUE(B2471),"yyyy-mm")</f>
        <v/>
      </c>
    </row>
    <row r="2472">
      <c r="A2472" s="2" t="inlineStr">
        <is>
          <t>O001196</t>
        </is>
      </c>
      <c r="B2472" s="2" t="inlineStr">
        <is>
          <t>2025-06-26</t>
        </is>
      </c>
      <c r="C2472" s="2" t="inlineStr">
        <is>
          <t>C0734</t>
        </is>
      </c>
      <c r="D2472" s="2" t="inlineStr">
        <is>
          <t>P0032</t>
        </is>
      </c>
      <c r="E2472" s="2" t="inlineStr">
        <is>
          <t>Football</t>
        </is>
      </c>
      <c r="F2472" s="2" t="inlineStr">
        <is>
          <t>Sports</t>
        </is>
      </c>
      <c r="G2472" s="2" t="inlineStr">
        <is>
          <t>East</t>
        </is>
      </c>
      <c r="H2472" s="2" t="inlineStr">
        <is>
          <t>Odisha</t>
        </is>
      </c>
      <c r="I2472" s="2" t="inlineStr">
        <is>
          <t>Cuttack</t>
        </is>
      </c>
      <c r="J2472" s="2" t="inlineStr">
        <is>
          <t>Online</t>
        </is>
      </c>
      <c r="K2472" s="2" t="n">
        <v>1</v>
      </c>
      <c r="L2472" s="3" t="n">
        <v>811.75</v>
      </c>
      <c r="M2472" s="4" t="n">
        <v>0</v>
      </c>
      <c r="N2472" s="3" t="n">
        <v>529.51</v>
      </c>
      <c r="O2472" s="3">
        <f>K2472*L2472*(1-M2472)</f>
        <v/>
      </c>
      <c r="P2472" s="3">
        <f>O2472-N2472</f>
        <v/>
      </c>
      <c r="Q2472" s="5">
        <f>IFERROR(P2472/O2472,0)</f>
        <v/>
      </c>
      <c r="R2472" s="2">
        <f>TEXT(DATEVALUE(B2472),"mmm")</f>
        <v/>
      </c>
      <c r="S2472" s="2">
        <f>TEXT(DATEVALUE(B2472),"yyyy-mm")</f>
        <v/>
      </c>
    </row>
    <row r="2473">
      <c r="A2473" s="2" t="inlineStr">
        <is>
          <t>O000737</t>
        </is>
      </c>
      <c r="B2473" s="2" t="inlineStr">
        <is>
          <t>2025-06-26</t>
        </is>
      </c>
      <c r="C2473" s="2" t="inlineStr">
        <is>
          <t>C0143</t>
        </is>
      </c>
      <c r="D2473" s="2" t="inlineStr">
        <is>
          <t>P0018</t>
        </is>
      </c>
      <c r="E2473" s="2" t="inlineStr">
        <is>
          <t>Backpack</t>
        </is>
      </c>
      <c r="F2473" s="2" t="inlineStr">
        <is>
          <t>Fashion</t>
        </is>
      </c>
      <c r="G2473" s="2" t="inlineStr">
        <is>
          <t>South</t>
        </is>
      </c>
      <c r="H2473" s="2" t="inlineStr">
        <is>
          <t>Tamil Nadu</t>
        </is>
      </c>
      <c r="I2473" s="2" t="inlineStr">
        <is>
          <t>Madurai</t>
        </is>
      </c>
      <c r="J2473" s="2" t="inlineStr">
        <is>
          <t>Store</t>
        </is>
      </c>
      <c r="K2473" s="2" t="n">
        <v>3</v>
      </c>
      <c r="L2473" s="3" t="n">
        <v>1763.33</v>
      </c>
      <c r="M2473" s="4" t="n">
        <v>0.05</v>
      </c>
      <c r="N2473" s="3" t="n">
        <v>4186.4</v>
      </c>
      <c r="O2473" s="3">
        <f>K2473*L2473*(1-M2473)</f>
        <v/>
      </c>
      <c r="P2473" s="3">
        <f>O2473-N2473</f>
        <v/>
      </c>
      <c r="Q2473" s="5">
        <f>IFERROR(P2473/O2473,0)</f>
        <v/>
      </c>
      <c r="R2473" s="2">
        <f>TEXT(DATEVALUE(B2473),"mmm")</f>
        <v/>
      </c>
      <c r="S2473" s="2">
        <f>TEXT(DATEVALUE(B2473),"yyyy-mm")</f>
        <v/>
      </c>
    </row>
    <row r="2474">
      <c r="A2474" s="2" t="inlineStr">
        <is>
          <t>O000728</t>
        </is>
      </c>
      <c r="B2474" s="2" t="inlineStr">
        <is>
          <t>2025-06-26</t>
        </is>
      </c>
      <c r="C2474" s="2" t="inlineStr">
        <is>
          <t>C0253</t>
        </is>
      </c>
      <c r="D2474" s="2" t="inlineStr">
        <is>
          <t>P0012</t>
        </is>
      </c>
      <c r="E2474" s="2" t="inlineStr">
        <is>
          <t>Water Bottle</t>
        </is>
      </c>
      <c r="F2474" s="2" t="inlineStr">
        <is>
          <t>Home &amp; Kitchen</t>
        </is>
      </c>
      <c r="G2474" s="2" t="inlineStr">
        <is>
          <t>East</t>
        </is>
      </c>
      <c r="H2474" s="2" t="inlineStr">
        <is>
          <t>West Bengal</t>
        </is>
      </c>
      <c r="I2474" s="2" t="inlineStr">
        <is>
          <t>Durgapur</t>
        </is>
      </c>
      <c r="J2474" s="2" t="inlineStr">
        <is>
          <t>Online</t>
        </is>
      </c>
      <c r="K2474" s="2" t="n">
        <v>2</v>
      </c>
      <c r="L2474" s="3" t="n">
        <v>1013.26</v>
      </c>
      <c r="M2474" s="4" t="n">
        <v>0.2</v>
      </c>
      <c r="N2474" s="3" t="n">
        <v>1289.13</v>
      </c>
      <c r="O2474" s="3">
        <f>K2474*L2474*(1-M2474)</f>
        <v/>
      </c>
      <c r="P2474" s="3">
        <f>O2474-N2474</f>
        <v/>
      </c>
      <c r="Q2474" s="5">
        <f>IFERROR(P2474/O2474,0)</f>
        <v/>
      </c>
      <c r="R2474" s="2">
        <f>TEXT(DATEVALUE(B2474),"mmm")</f>
        <v/>
      </c>
      <c r="S2474" s="2">
        <f>TEXT(DATEVALUE(B2474),"yyyy-mm")</f>
        <v/>
      </c>
    </row>
    <row r="2475">
      <c r="A2475" s="2" t="inlineStr">
        <is>
          <t>O000568</t>
        </is>
      </c>
      <c r="B2475" s="2" t="inlineStr">
        <is>
          <t>2025-06-26</t>
        </is>
      </c>
      <c r="C2475" s="2" t="inlineStr">
        <is>
          <t>C0232</t>
        </is>
      </c>
      <c r="D2475" s="2" t="inlineStr">
        <is>
          <t>P0008</t>
        </is>
      </c>
      <c r="E2475" s="2" t="inlineStr">
        <is>
          <t>Air Fryer</t>
        </is>
      </c>
      <c r="F2475" s="2" t="inlineStr">
        <is>
          <t>Home &amp; Kitchen</t>
        </is>
      </c>
      <c r="G2475" s="2" t="inlineStr">
        <is>
          <t>North</t>
        </is>
      </c>
      <c r="H2475" s="2" t="inlineStr">
        <is>
          <t>Uttar Pradesh</t>
        </is>
      </c>
      <c r="I2475" s="2" t="inlineStr">
        <is>
          <t>Noida</t>
        </is>
      </c>
      <c r="J2475" s="2" t="inlineStr">
        <is>
          <t>Online</t>
        </is>
      </c>
      <c r="K2475" s="2" t="n">
        <v>1</v>
      </c>
      <c r="L2475" s="3" t="n">
        <v>1076.58</v>
      </c>
      <c r="M2475" s="4" t="n">
        <v>0.1</v>
      </c>
      <c r="N2475" s="3" t="n">
        <v>690.26</v>
      </c>
      <c r="O2475" s="3">
        <f>K2475*L2475*(1-M2475)</f>
        <v/>
      </c>
      <c r="P2475" s="3">
        <f>O2475-N2475</f>
        <v/>
      </c>
      <c r="Q2475" s="5">
        <f>IFERROR(P2475/O2475,0)</f>
        <v/>
      </c>
      <c r="R2475" s="2">
        <f>TEXT(DATEVALUE(B2475),"mmm")</f>
        <v/>
      </c>
      <c r="S2475" s="2">
        <f>TEXT(DATEVALUE(B2475),"yyyy-mm")</f>
        <v/>
      </c>
    </row>
    <row r="2476">
      <c r="A2476" s="2" t="inlineStr">
        <is>
          <t>O000544</t>
        </is>
      </c>
      <c r="B2476" s="2" t="inlineStr">
        <is>
          <t>2025-06-26</t>
        </is>
      </c>
      <c r="C2476" s="2" t="inlineStr">
        <is>
          <t>C0771</t>
        </is>
      </c>
      <c r="D2476" s="2" t="inlineStr">
        <is>
          <t>P0022</t>
        </is>
      </c>
      <c r="E2476" s="2" t="inlineStr">
        <is>
          <t>Face Wash</t>
        </is>
      </c>
      <c r="F2476" s="2" t="inlineStr">
        <is>
          <t>Beauty</t>
        </is>
      </c>
      <c r="G2476" s="2" t="inlineStr">
        <is>
          <t>South</t>
        </is>
      </c>
      <c r="H2476" s="2" t="inlineStr">
        <is>
          <t>Karnataka</t>
        </is>
      </c>
      <c r="I2476" s="2" t="inlineStr">
        <is>
          <t>Bengaluru</t>
        </is>
      </c>
      <c r="J2476" s="2" t="inlineStr">
        <is>
          <t>Online</t>
        </is>
      </c>
      <c r="K2476" s="2" t="n">
        <v>3</v>
      </c>
      <c r="L2476" s="3" t="n">
        <v>567.4400000000001</v>
      </c>
      <c r="M2476" s="4" t="n">
        <v>0.15</v>
      </c>
      <c r="N2476" s="3" t="n">
        <v>1083.21</v>
      </c>
      <c r="O2476" s="3">
        <f>K2476*L2476*(1-M2476)</f>
        <v/>
      </c>
      <c r="P2476" s="3">
        <f>O2476-N2476</f>
        <v/>
      </c>
      <c r="Q2476" s="5">
        <f>IFERROR(P2476/O2476,0)</f>
        <v/>
      </c>
      <c r="R2476" s="2">
        <f>TEXT(DATEVALUE(B2476),"mmm")</f>
        <v/>
      </c>
      <c r="S2476" s="2">
        <f>TEXT(DATEVALUE(B2476),"yyyy-mm")</f>
        <v/>
      </c>
    </row>
    <row r="2477">
      <c r="A2477" s="2" t="inlineStr">
        <is>
          <t>O001518</t>
        </is>
      </c>
      <c r="B2477" s="2" t="inlineStr">
        <is>
          <t>2025-06-26</t>
        </is>
      </c>
      <c r="C2477" s="2" t="inlineStr">
        <is>
          <t>C0049</t>
        </is>
      </c>
      <c r="D2477" s="2" t="inlineStr">
        <is>
          <t>P0015</t>
        </is>
      </c>
      <c r="E2477" s="2" t="inlineStr">
        <is>
          <t>Running Shoes</t>
        </is>
      </c>
      <c r="F2477" s="2" t="inlineStr">
        <is>
          <t>Fashion</t>
        </is>
      </c>
      <c r="G2477" s="2" t="inlineStr">
        <is>
          <t>North</t>
        </is>
      </c>
      <c r="H2477" s="2" t="inlineStr">
        <is>
          <t>Haryana</t>
        </is>
      </c>
      <c r="I2477" s="2" t="inlineStr">
        <is>
          <t>Gurugram</t>
        </is>
      </c>
      <c r="J2477" s="2" t="inlineStr">
        <is>
          <t>Store</t>
        </is>
      </c>
      <c r="K2477" s="2" t="n">
        <v>3</v>
      </c>
      <c r="L2477" s="3" t="n">
        <v>623.61</v>
      </c>
      <c r="M2477" s="4" t="n">
        <v>0.1</v>
      </c>
      <c r="N2477" s="3" t="n">
        <v>1082.97</v>
      </c>
      <c r="O2477" s="3">
        <f>K2477*L2477*(1-M2477)</f>
        <v/>
      </c>
      <c r="P2477" s="3">
        <f>O2477-N2477</f>
        <v/>
      </c>
      <c r="Q2477" s="5">
        <f>IFERROR(P2477/O2477,0)</f>
        <v/>
      </c>
      <c r="R2477" s="2">
        <f>TEXT(DATEVALUE(B2477),"mmm")</f>
        <v/>
      </c>
      <c r="S2477" s="2">
        <f>TEXT(DATEVALUE(B2477),"yyyy-mm")</f>
        <v/>
      </c>
    </row>
    <row r="2478">
      <c r="A2478" s="2" t="inlineStr">
        <is>
          <t>O002862</t>
        </is>
      </c>
      <c r="B2478" s="2" t="inlineStr">
        <is>
          <t>2025-06-27</t>
        </is>
      </c>
      <c r="C2478" s="2" t="inlineStr">
        <is>
          <t>C0637</t>
        </is>
      </c>
      <c r="D2478" s="2" t="inlineStr">
        <is>
          <t>P0031</t>
        </is>
      </c>
      <c r="E2478" s="2" t="inlineStr">
        <is>
          <t>Cricket Bat</t>
        </is>
      </c>
      <c r="F2478" s="2" t="inlineStr">
        <is>
          <t>Sports</t>
        </is>
      </c>
      <c r="G2478" s="2" t="inlineStr">
        <is>
          <t>West</t>
        </is>
      </c>
      <c r="H2478" s="2" t="inlineStr">
        <is>
          <t>Gujarat</t>
        </is>
      </c>
      <c r="I2478" s="2" t="inlineStr">
        <is>
          <t>Surat</t>
        </is>
      </c>
      <c r="J2478" s="2" t="inlineStr">
        <is>
          <t>Online</t>
        </is>
      </c>
      <c r="K2478" s="2" t="n">
        <v>1</v>
      </c>
      <c r="L2478" s="3" t="n">
        <v>1367.97</v>
      </c>
      <c r="M2478" s="4" t="n">
        <v>0.1</v>
      </c>
      <c r="N2478" s="3" t="n">
        <v>951.39</v>
      </c>
      <c r="O2478" s="3">
        <f>K2478*L2478*(1-M2478)</f>
        <v/>
      </c>
      <c r="P2478" s="3">
        <f>O2478-N2478</f>
        <v/>
      </c>
      <c r="Q2478" s="5">
        <f>IFERROR(P2478/O2478,0)</f>
        <v/>
      </c>
      <c r="R2478" s="2">
        <f>TEXT(DATEVALUE(B2478),"mmm")</f>
        <v/>
      </c>
      <c r="S2478" s="2">
        <f>TEXT(DATEVALUE(B2478),"yyyy-mm")</f>
        <v/>
      </c>
    </row>
    <row r="2479">
      <c r="A2479" s="2" t="inlineStr">
        <is>
          <t>O004802</t>
        </is>
      </c>
      <c r="B2479" s="2" t="inlineStr">
        <is>
          <t>2025-06-27</t>
        </is>
      </c>
      <c r="C2479" s="2" t="inlineStr">
        <is>
          <t>C0112</t>
        </is>
      </c>
      <c r="D2479" s="2" t="inlineStr">
        <is>
          <t>P0028</t>
        </is>
      </c>
      <c r="E2479" s="2" t="inlineStr">
        <is>
          <t>Trimmer</t>
        </is>
      </c>
      <c r="F2479" s="2" t="inlineStr">
        <is>
          <t>Beauty</t>
        </is>
      </c>
      <c r="G2479" s="2" t="inlineStr">
        <is>
          <t>South</t>
        </is>
      </c>
      <c r="H2479" s="2" t="inlineStr">
        <is>
          <t>Telangana</t>
        </is>
      </c>
      <c r="I2479" s="2" t="inlineStr">
        <is>
          <t>Hyderabad</t>
        </is>
      </c>
      <c r="J2479" s="2" t="inlineStr">
        <is>
          <t>Online</t>
        </is>
      </c>
      <c r="K2479" s="2" t="n">
        <v>1</v>
      </c>
      <c r="L2479" s="3" t="n">
        <v>451</v>
      </c>
      <c r="M2479" s="4" t="n">
        <v>0.05</v>
      </c>
      <c r="N2479" s="3" t="n">
        <v>257.77</v>
      </c>
      <c r="O2479" s="3">
        <f>K2479*L2479*(1-M2479)</f>
        <v/>
      </c>
      <c r="P2479" s="3">
        <f>O2479-N2479</f>
        <v/>
      </c>
      <c r="Q2479" s="5">
        <f>IFERROR(P2479/O2479,0)</f>
        <v/>
      </c>
      <c r="R2479" s="2">
        <f>TEXT(DATEVALUE(B2479),"mmm")</f>
        <v/>
      </c>
      <c r="S2479" s="2">
        <f>TEXT(DATEVALUE(B2479),"yyyy-mm")</f>
        <v/>
      </c>
    </row>
    <row r="2480">
      <c r="A2480" s="2" t="inlineStr">
        <is>
          <t>O004760</t>
        </is>
      </c>
      <c r="B2480" s="2" t="inlineStr">
        <is>
          <t>2025-06-27</t>
        </is>
      </c>
      <c r="C2480" s="2" t="inlineStr">
        <is>
          <t>C0719</t>
        </is>
      </c>
      <c r="D2480" s="2" t="inlineStr">
        <is>
          <t>P0007</t>
        </is>
      </c>
      <c r="E2480" s="2" t="inlineStr">
        <is>
          <t>Wireless Mouse</t>
        </is>
      </c>
      <c r="F2480" s="2" t="inlineStr">
        <is>
          <t>Electronics</t>
        </is>
      </c>
      <c r="G2480" s="2" t="inlineStr">
        <is>
          <t>North</t>
        </is>
      </c>
      <c r="H2480" s="2" t="inlineStr">
        <is>
          <t>Punjab</t>
        </is>
      </c>
      <c r="I2480" s="2" t="inlineStr">
        <is>
          <t>Ludhiana</t>
        </is>
      </c>
      <c r="J2480" s="2" t="inlineStr">
        <is>
          <t>Store</t>
        </is>
      </c>
      <c r="K2480" s="2" t="n">
        <v>2</v>
      </c>
      <c r="L2480" s="3" t="n">
        <v>999.55</v>
      </c>
      <c r="M2480" s="4" t="n">
        <v>0.05</v>
      </c>
      <c r="N2480" s="3" t="n">
        <v>1279.02</v>
      </c>
      <c r="O2480" s="3">
        <f>K2480*L2480*(1-M2480)</f>
        <v/>
      </c>
      <c r="P2480" s="3">
        <f>O2480-N2480</f>
        <v/>
      </c>
      <c r="Q2480" s="5">
        <f>IFERROR(P2480/O2480,0)</f>
        <v/>
      </c>
      <c r="R2480" s="2">
        <f>TEXT(DATEVALUE(B2480),"mmm")</f>
        <v/>
      </c>
      <c r="S2480" s="2">
        <f>TEXT(DATEVALUE(B2480),"yyyy-mm")</f>
        <v/>
      </c>
    </row>
    <row r="2481">
      <c r="A2481" s="2" t="inlineStr">
        <is>
          <t>O004391</t>
        </is>
      </c>
      <c r="B2481" s="2" t="inlineStr">
        <is>
          <t>2025-06-27</t>
        </is>
      </c>
      <c r="C2481" s="2" t="inlineStr">
        <is>
          <t>C0156</t>
        </is>
      </c>
      <c r="D2481" s="2" t="inlineStr">
        <is>
          <t>P0009</t>
        </is>
      </c>
      <c r="E2481" s="2" t="inlineStr">
        <is>
          <t>Electric Kettle</t>
        </is>
      </c>
      <c r="F2481" s="2" t="inlineStr">
        <is>
          <t>Home &amp; Kitchen</t>
        </is>
      </c>
      <c r="G2481" s="2" t="inlineStr">
        <is>
          <t>North</t>
        </is>
      </c>
      <c r="H2481" s="2" t="inlineStr">
        <is>
          <t>Punjab</t>
        </is>
      </c>
      <c r="I2481" s="2" t="inlineStr">
        <is>
          <t>Ludhiana</t>
        </is>
      </c>
      <c r="J2481" s="2" t="inlineStr">
        <is>
          <t>Store</t>
        </is>
      </c>
      <c r="K2481" s="2" t="n">
        <v>5</v>
      </c>
      <c r="L2481" s="3" t="n">
        <v>2089.73</v>
      </c>
      <c r="M2481" s="4" t="n">
        <v>0.15</v>
      </c>
      <c r="N2481" s="3" t="n">
        <v>5810.91</v>
      </c>
      <c r="O2481" s="3">
        <f>K2481*L2481*(1-M2481)</f>
        <v/>
      </c>
      <c r="P2481" s="3">
        <f>O2481-N2481</f>
        <v/>
      </c>
      <c r="Q2481" s="5">
        <f>IFERROR(P2481/O2481,0)</f>
        <v/>
      </c>
      <c r="R2481" s="2">
        <f>TEXT(DATEVALUE(B2481),"mmm")</f>
        <v/>
      </c>
      <c r="S2481" s="2">
        <f>TEXT(DATEVALUE(B2481),"yyyy-mm")</f>
        <v/>
      </c>
    </row>
    <row r="2482">
      <c r="A2482" s="2" t="inlineStr">
        <is>
          <t>O003658</t>
        </is>
      </c>
      <c r="B2482" s="2" t="inlineStr">
        <is>
          <t>2025-06-27</t>
        </is>
      </c>
      <c r="C2482" s="2" t="inlineStr">
        <is>
          <t>C0190</t>
        </is>
      </c>
      <c r="D2482" s="2" t="inlineStr">
        <is>
          <t>P0030</t>
        </is>
      </c>
      <c r="E2482" s="2" t="inlineStr">
        <is>
          <t>Dumbbells</t>
        </is>
      </c>
      <c r="F2482" s="2" t="inlineStr">
        <is>
          <t>Sports</t>
        </is>
      </c>
      <c r="G2482" s="2" t="inlineStr">
        <is>
          <t>South</t>
        </is>
      </c>
      <c r="H2482" s="2" t="inlineStr">
        <is>
          <t>Tamil Nadu</t>
        </is>
      </c>
      <c r="I2482" s="2" t="inlineStr">
        <is>
          <t>Madurai</t>
        </is>
      </c>
      <c r="J2482" s="2" t="inlineStr">
        <is>
          <t>Store</t>
        </is>
      </c>
      <c r="K2482" s="2" t="n">
        <v>3</v>
      </c>
      <c r="L2482" s="3" t="n">
        <v>1610.29</v>
      </c>
      <c r="M2482" s="4" t="n">
        <v>0.1</v>
      </c>
      <c r="N2482" s="3" t="n">
        <v>3149.16</v>
      </c>
      <c r="O2482" s="3">
        <f>K2482*L2482*(1-M2482)</f>
        <v/>
      </c>
      <c r="P2482" s="3">
        <f>O2482-N2482</f>
        <v/>
      </c>
      <c r="Q2482" s="5">
        <f>IFERROR(P2482/O2482,0)</f>
        <v/>
      </c>
      <c r="R2482" s="2">
        <f>TEXT(DATEVALUE(B2482),"mmm")</f>
        <v/>
      </c>
      <c r="S2482" s="2">
        <f>TEXT(DATEVALUE(B2482),"yyyy-mm")</f>
        <v/>
      </c>
    </row>
    <row r="2483">
      <c r="A2483" s="2" t="inlineStr">
        <is>
          <t>O002961</t>
        </is>
      </c>
      <c r="B2483" s="2" t="inlineStr">
        <is>
          <t>2025-06-27</t>
        </is>
      </c>
      <c r="C2483" s="2" t="inlineStr">
        <is>
          <t>C0249</t>
        </is>
      </c>
      <c r="D2483" s="2" t="inlineStr">
        <is>
          <t>P0006</t>
        </is>
      </c>
      <c r="E2483" s="2" t="inlineStr">
        <is>
          <t>Mechanical Keyboard</t>
        </is>
      </c>
      <c r="F2483" s="2" t="inlineStr">
        <is>
          <t>Electronics</t>
        </is>
      </c>
      <c r="G2483" s="2" t="inlineStr">
        <is>
          <t>North</t>
        </is>
      </c>
      <c r="H2483" s="2" t="inlineStr">
        <is>
          <t>Haryana</t>
        </is>
      </c>
      <c r="I2483" s="2" t="inlineStr">
        <is>
          <t>Faridabad</t>
        </is>
      </c>
      <c r="J2483" s="2" t="inlineStr">
        <is>
          <t>Online</t>
        </is>
      </c>
      <c r="K2483" s="2" t="n">
        <v>2</v>
      </c>
      <c r="L2483" s="3" t="n">
        <v>2648.21</v>
      </c>
      <c r="M2483" s="4" t="n">
        <v>0.05</v>
      </c>
      <c r="N2483" s="3" t="n">
        <v>2924.28</v>
      </c>
      <c r="O2483" s="3">
        <f>K2483*L2483*(1-M2483)</f>
        <v/>
      </c>
      <c r="P2483" s="3">
        <f>O2483-N2483</f>
        <v/>
      </c>
      <c r="Q2483" s="5">
        <f>IFERROR(P2483/O2483,0)</f>
        <v/>
      </c>
      <c r="R2483" s="2">
        <f>TEXT(DATEVALUE(B2483),"mmm")</f>
        <v/>
      </c>
      <c r="S2483" s="2">
        <f>TEXT(DATEVALUE(B2483),"yyyy-mm")</f>
        <v/>
      </c>
    </row>
    <row r="2484">
      <c r="A2484" s="2" t="inlineStr">
        <is>
          <t>O002887</t>
        </is>
      </c>
      <c r="B2484" s="2" t="inlineStr">
        <is>
          <t>2025-06-27</t>
        </is>
      </c>
      <c r="C2484" s="2" t="inlineStr">
        <is>
          <t>C0550</t>
        </is>
      </c>
      <c r="D2484" s="2" t="inlineStr">
        <is>
          <t>P0031</t>
        </is>
      </c>
      <c r="E2484" s="2" t="inlineStr">
        <is>
          <t>Cricket Bat</t>
        </is>
      </c>
      <c r="F2484" s="2" t="inlineStr">
        <is>
          <t>Sports</t>
        </is>
      </c>
      <c r="G2484" s="2" t="inlineStr">
        <is>
          <t>East</t>
        </is>
      </c>
      <c r="H2484" s="2" t="inlineStr">
        <is>
          <t>Bihar</t>
        </is>
      </c>
      <c r="I2484" s="2" t="inlineStr">
        <is>
          <t>Gaya</t>
        </is>
      </c>
      <c r="J2484" s="2" t="inlineStr">
        <is>
          <t>Online</t>
        </is>
      </c>
      <c r="K2484" s="2" t="n">
        <v>1</v>
      </c>
      <c r="L2484" s="3" t="n">
        <v>1444.73</v>
      </c>
      <c r="M2484" s="4" t="n">
        <v>0.1</v>
      </c>
      <c r="N2484" s="3" t="n">
        <v>958.91</v>
      </c>
      <c r="O2484" s="3">
        <f>K2484*L2484*(1-M2484)</f>
        <v/>
      </c>
      <c r="P2484" s="3">
        <f>O2484-N2484</f>
        <v/>
      </c>
      <c r="Q2484" s="5">
        <f>IFERROR(P2484/O2484,0)</f>
        <v/>
      </c>
      <c r="R2484" s="2">
        <f>TEXT(DATEVALUE(B2484),"mmm")</f>
        <v/>
      </c>
      <c r="S2484" s="2">
        <f>TEXT(DATEVALUE(B2484),"yyyy-mm")</f>
        <v/>
      </c>
    </row>
    <row r="2485">
      <c r="A2485" s="2" t="inlineStr">
        <is>
          <t>O002462</t>
        </is>
      </c>
      <c r="B2485" s="2" t="inlineStr">
        <is>
          <t>2025-06-27</t>
        </is>
      </c>
      <c r="C2485" s="2" t="inlineStr">
        <is>
          <t>C0771</t>
        </is>
      </c>
      <c r="D2485" s="2" t="inlineStr">
        <is>
          <t>P0004</t>
        </is>
      </c>
      <c r="E2485" s="2" t="inlineStr">
        <is>
          <t>USB-C Hub</t>
        </is>
      </c>
      <c r="F2485" s="2" t="inlineStr">
        <is>
          <t>Electronics</t>
        </is>
      </c>
      <c r="G2485" s="2" t="inlineStr">
        <is>
          <t>North</t>
        </is>
      </c>
      <c r="H2485" s="2" t="inlineStr">
        <is>
          <t>Punjab</t>
        </is>
      </c>
      <c r="I2485" s="2" t="inlineStr">
        <is>
          <t>Ludhiana</t>
        </is>
      </c>
      <c r="J2485" s="2" t="inlineStr">
        <is>
          <t>Store</t>
        </is>
      </c>
      <c r="K2485" s="2" t="n">
        <v>1</v>
      </c>
      <c r="L2485" s="3" t="n">
        <v>1279.23</v>
      </c>
      <c r="M2485" s="4" t="n">
        <v>0</v>
      </c>
      <c r="N2485" s="3" t="n">
        <v>917.24</v>
      </c>
      <c r="O2485" s="3">
        <f>K2485*L2485*(1-M2485)</f>
        <v/>
      </c>
      <c r="P2485" s="3">
        <f>O2485-N2485</f>
        <v/>
      </c>
      <c r="Q2485" s="5">
        <f>IFERROR(P2485/O2485,0)</f>
        <v/>
      </c>
      <c r="R2485" s="2">
        <f>TEXT(DATEVALUE(B2485),"mmm")</f>
        <v/>
      </c>
      <c r="S2485" s="2">
        <f>TEXT(DATEVALUE(B2485),"yyyy-mm")</f>
        <v/>
      </c>
    </row>
    <row r="2486">
      <c r="A2486" s="2" t="inlineStr">
        <is>
          <t>O000506</t>
        </is>
      </c>
      <c r="B2486" s="2" t="inlineStr">
        <is>
          <t>2025-06-27</t>
        </is>
      </c>
      <c r="C2486" s="2" t="inlineStr">
        <is>
          <t>C0557</t>
        </is>
      </c>
      <c r="D2486" s="2" t="inlineStr">
        <is>
          <t>P0001</t>
        </is>
      </c>
      <c r="E2486" s="2" t="inlineStr">
        <is>
          <t>Wireless Headphones</t>
        </is>
      </c>
      <c r="F2486" s="2" t="inlineStr">
        <is>
          <t>Electronics</t>
        </is>
      </c>
      <c r="G2486" s="2" t="inlineStr">
        <is>
          <t>North</t>
        </is>
      </c>
      <c r="H2486" s="2" t="inlineStr">
        <is>
          <t>Uttar Pradesh</t>
        </is>
      </c>
      <c r="I2486" s="2" t="inlineStr">
        <is>
          <t>Lucknow</t>
        </is>
      </c>
      <c r="J2486" s="2" t="inlineStr">
        <is>
          <t>Online</t>
        </is>
      </c>
      <c r="K2486" s="2" t="n">
        <v>1</v>
      </c>
      <c r="L2486" s="3" t="n">
        <v>1325.58</v>
      </c>
      <c r="M2486" s="4" t="n">
        <v>0.1</v>
      </c>
      <c r="N2486" s="3" t="n">
        <v>726.39</v>
      </c>
      <c r="O2486" s="3">
        <f>K2486*L2486*(1-M2486)</f>
        <v/>
      </c>
      <c r="P2486" s="3">
        <f>O2486-N2486</f>
        <v/>
      </c>
      <c r="Q2486" s="5">
        <f>IFERROR(P2486/O2486,0)</f>
        <v/>
      </c>
      <c r="R2486" s="2">
        <f>TEXT(DATEVALUE(B2486),"mmm")</f>
        <v/>
      </c>
      <c r="S2486" s="2">
        <f>TEXT(DATEVALUE(B2486),"yyyy-mm")</f>
        <v/>
      </c>
    </row>
    <row r="2487">
      <c r="A2487" s="2" t="inlineStr">
        <is>
          <t>O002036</t>
        </is>
      </c>
      <c r="B2487" s="2" t="inlineStr">
        <is>
          <t>2025-06-27</t>
        </is>
      </c>
      <c r="C2487" s="2" t="inlineStr">
        <is>
          <t>C0747</t>
        </is>
      </c>
      <c r="D2487" s="2" t="inlineStr">
        <is>
          <t>P0016</t>
        </is>
      </c>
      <c r="E2487" s="2" t="inlineStr">
        <is>
          <t>Casual Shirt</t>
        </is>
      </c>
      <c r="F2487" s="2" t="inlineStr">
        <is>
          <t>Fashion</t>
        </is>
      </c>
      <c r="G2487" s="2" t="inlineStr">
        <is>
          <t>East</t>
        </is>
      </c>
      <c r="H2487" s="2" t="inlineStr">
        <is>
          <t>Odisha</t>
        </is>
      </c>
      <c r="I2487" s="2" t="inlineStr">
        <is>
          <t>Cuttack</t>
        </is>
      </c>
      <c r="J2487" s="2" t="inlineStr">
        <is>
          <t>Online</t>
        </is>
      </c>
      <c r="K2487" s="2" t="n">
        <v>1</v>
      </c>
      <c r="L2487" s="3" t="n">
        <v>1287.02</v>
      </c>
      <c r="M2487" s="4" t="n">
        <v>0.15</v>
      </c>
      <c r="N2487" s="3" t="n">
        <v>900.96</v>
      </c>
      <c r="O2487" s="3">
        <f>K2487*L2487*(1-M2487)</f>
        <v/>
      </c>
      <c r="P2487" s="3">
        <f>O2487-N2487</f>
        <v/>
      </c>
      <c r="Q2487" s="5">
        <f>IFERROR(P2487/O2487,0)</f>
        <v/>
      </c>
      <c r="R2487" s="2">
        <f>TEXT(DATEVALUE(B2487),"mmm")</f>
        <v/>
      </c>
      <c r="S2487" s="2">
        <f>TEXT(DATEVALUE(B2487),"yyyy-mm")</f>
        <v/>
      </c>
    </row>
    <row r="2488">
      <c r="A2488" s="2" t="inlineStr">
        <is>
          <t>O001853</t>
        </is>
      </c>
      <c r="B2488" s="2" t="inlineStr">
        <is>
          <t>2025-06-27</t>
        </is>
      </c>
      <c r="C2488" s="2" t="inlineStr">
        <is>
          <t>C0279</t>
        </is>
      </c>
      <c r="D2488" s="2" t="inlineStr">
        <is>
          <t>P0018</t>
        </is>
      </c>
      <c r="E2488" s="2" t="inlineStr">
        <is>
          <t>Backpack</t>
        </is>
      </c>
      <c r="F2488" s="2" t="inlineStr">
        <is>
          <t>Fashion</t>
        </is>
      </c>
      <c r="G2488" s="2" t="inlineStr">
        <is>
          <t>West</t>
        </is>
      </c>
      <c r="H2488" s="2" t="inlineStr">
        <is>
          <t>Gujarat</t>
        </is>
      </c>
      <c r="I2488" s="2" t="inlineStr">
        <is>
          <t>Vadodara</t>
        </is>
      </c>
      <c r="J2488" s="2" t="inlineStr">
        <is>
          <t>Online</t>
        </is>
      </c>
      <c r="K2488" s="2" t="n">
        <v>1</v>
      </c>
      <c r="L2488" s="3" t="n">
        <v>1757.26</v>
      </c>
      <c r="M2488" s="4" t="n">
        <v>0.15</v>
      </c>
      <c r="N2488" s="3" t="n">
        <v>1335.86</v>
      </c>
      <c r="O2488" s="3">
        <f>K2488*L2488*(1-M2488)</f>
        <v/>
      </c>
      <c r="P2488" s="3">
        <f>O2488-N2488</f>
        <v/>
      </c>
      <c r="Q2488" s="5">
        <f>IFERROR(P2488/O2488,0)</f>
        <v/>
      </c>
      <c r="R2488" s="2">
        <f>TEXT(DATEVALUE(B2488),"mmm")</f>
        <v/>
      </c>
      <c r="S2488" s="2">
        <f>TEXT(DATEVALUE(B2488),"yyyy-mm")</f>
        <v/>
      </c>
    </row>
    <row r="2489">
      <c r="A2489" s="2" t="inlineStr">
        <is>
          <t>O001573</t>
        </is>
      </c>
      <c r="B2489" s="2" t="inlineStr">
        <is>
          <t>2025-06-27</t>
        </is>
      </c>
      <c r="C2489" s="2" t="inlineStr">
        <is>
          <t>C0088</t>
        </is>
      </c>
      <c r="D2489" s="2" t="inlineStr">
        <is>
          <t>P0007</t>
        </is>
      </c>
      <c r="E2489" s="2" t="inlineStr">
        <is>
          <t>Wireless Mouse</t>
        </is>
      </c>
      <c r="F2489" s="2" t="inlineStr">
        <is>
          <t>Electronics</t>
        </is>
      </c>
      <c r="G2489" s="2" t="inlineStr">
        <is>
          <t>North</t>
        </is>
      </c>
      <c r="H2489" s="2" t="inlineStr">
        <is>
          <t>Uttar Pradesh</t>
        </is>
      </c>
      <c r="I2489" s="2" t="inlineStr">
        <is>
          <t>Kanpur</t>
        </is>
      </c>
      <c r="J2489" s="2" t="inlineStr">
        <is>
          <t>Store</t>
        </is>
      </c>
      <c r="K2489" s="2" t="n">
        <v>1</v>
      </c>
      <c r="L2489" s="3" t="n">
        <v>991.9</v>
      </c>
      <c r="M2489" s="4" t="n">
        <v>0.25</v>
      </c>
      <c r="N2489" s="3" t="n">
        <v>618.15</v>
      </c>
      <c r="O2489" s="3">
        <f>K2489*L2489*(1-M2489)</f>
        <v/>
      </c>
      <c r="P2489" s="3">
        <f>O2489-N2489</f>
        <v/>
      </c>
      <c r="Q2489" s="5">
        <f>IFERROR(P2489/O2489,0)</f>
        <v/>
      </c>
      <c r="R2489" s="2">
        <f>TEXT(DATEVALUE(B2489),"mmm")</f>
        <v/>
      </c>
      <c r="S2489" s="2">
        <f>TEXT(DATEVALUE(B2489),"yyyy-mm")</f>
        <v/>
      </c>
    </row>
    <row r="2490">
      <c r="A2490" s="2" t="inlineStr">
        <is>
          <t>O001249</t>
        </is>
      </c>
      <c r="B2490" s="2" t="inlineStr">
        <is>
          <t>2025-06-27</t>
        </is>
      </c>
      <c r="C2490" s="2" t="inlineStr">
        <is>
          <t>C0289</t>
        </is>
      </c>
      <c r="D2490" s="2" t="inlineStr">
        <is>
          <t>P0012</t>
        </is>
      </c>
      <c r="E2490" s="2" t="inlineStr">
        <is>
          <t>Water Bottle</t>
        </is>
      </c>
      <c r="F2490" s="2" t="inlineStr">
        <is>
          <t>Home &amp; Kitchen</t>
        </is>
      </c>
      <c r="G2490" s="2" t="inlineStr">
        <is>
          <t>South</t>
        </is>
      </c>
      <c r="H2490" s="2" t="inlineStr">
        <is>
          <t>Telangana</t>
        </is>
      </c>
      <c r="I2490" s="2" t="inlineStr">
        <is>
          <t>Warangal</t>
        </is>
      </c>
      <c r="J2490" s="2" t="inlineStr">
        <is>
          <t>Store</t>
        </is>
      </c>
      <c r="K2490" s="2" t="n">
        <v>1</v>
      </c>
      <c r="L2490" s="3" t="n">
        <v>1004.17</v>
      </c>
      <c r="M2490" s="4" t="n">
        <v>0.1</v>
      </c>
      <c r="N2490" s="3" t="n">
        <v>641.7</v>
      </c>
      <c r="O2490" s="3">
        <f>K2490*L2490*(1-M2490)</f>
        <v/>
      </c>
      <c r="P2490" s="3">
        <f>O2490-N2490</f>
        <v/>
      </c>
      <c r="Q2490" s="5">
        <f>IFERROR(P2490/O2490,0)</f>
        <v/>
      </c>
      <c r="R2490" s="2">
        <f>TEXT(DATEVALUE(B2490),"mmm")</f>
        <v/>
      </c>
      <c r="S2490" s="2">
        <f>TEXT(DATEVALUE(B2490),"yyyy-mm")</f>
        <v/>
      </c>
    </row>
    <row r="2491">
      <c r="A2491" s="2" t="inlineStr">
        <is>
          <t>O001003</t>
        </is>
      </c>
      <c r="B2491" s="2" t="inlineStr">
        <is>
          <t>2025-06-27</t>
        </is>
      </c>
      <c r="C2491" s="2" t="inlineStr">
        <is>
          <t>C0003</t>
        </is>
      </c>
      <c r="D2491" s="2" t="inlineStr">
        <is>
          <t>P0029</t>
        </is>
      </c>
      <c r="E2491" s="2" t="inlineStr">
        <is>
          <t>Yoga Mat</t>
        </is>
      </c>
      <c r="F2491" s="2" t="inlineStr">
        <is>
          <t>Sports</t>
        </is>
      </c>
      <c r="G2491" s="2" t="inlineStr">
        <is>
          <t>South</t>
        </is>
      </c>
      <c r="H2491" s="2" t="inlineStr">
        <is>
          <t>Kerala</t>
        </is>
      </c>
      <c r="I2491" s="2" t="inlineStr">
        <is>
          <t>Thiruvananthapuram</t>
        </is>
      </c>
      <c r="J2491" s="2" t="inlineStr">
        <is>
          <t>Store</t>
        </is>
      </c>
      <c r="K2491" s="2" t="n">
        <v>2</v>
      </c>
      <c r="L2491" s="3" t="n">
        <v>2367.89</v>
      </c>
      <c r="M2491" s="4" t="n">
        <v>0</v>
      </c>
      <c r="N2491" s="3" t="n">
        <v>2587.53</v>
      </c>
      <c r="O2491" s="3">
        <f>K2491*L2491*(1-M2491)</f>
        <v/>
      </c>
      <c r="P2491" s="3">
        <f>O2491-N2491</f>
        <v/>
      </c>
      <c r="Q2491" s="5">
        <f>IFERROR(P2491/O2491,0)</f>
        <v/>
      </c>
      <c r="R2491" s="2">
        <f>TEXT(DATEVALUE(B2491),"mmm")</f>
        <v/>
      </c>
      <c r="S2491" s="2">
        <f>TEXT(DATEVALUE(B2491),"yyyy-mm")</f>
        <v/>
      </c>
    </row>
    <row r="2492">
      <c r="A2492" s="2" t="inlineStr">
        <is>
          <t>O000696</t>
        </is>
      </c>
      <c r="B2492" s="2" t="inlineStr">
        <is>
          <t>2025-06-27</t>
        </is>
      </c>
      <c r="C2492" s="2" t="inlineStr">
        <is>
          <t>C0545</t>
        </is>
      </c>
      <c r="D2492" s="2" t="inlineStr">
        <is>
          <t>P0003</t>
        </is>
      </c>
      <c r="E2492" s="2" t="inlineStr">
        <is>
          <t>Smartwatch</t>
        </is>
      </c>
      <c r="F2492" s="2" t="inlineStr">
        <is>
          <t>Electronics</t>
        </is>
      </c>
      <c r="G2492" s="2" t="inlineStr">
        <is>
          <t>North</t>
        </is>
      </c>
      <c r="H2492" s="2" t="inlineStr">
        <is>
          <t>Haryana</t>
        </is>
      </c>
      <c r="I2492" s="2" t="inlineStr">
        <is>
          <t>Faridabad</t>
        </is>
      </c>
      <c r="J2492" s="2" t="inlineStr">
        <is>
          <t>Store</t>
        </is>
      </c>
      <c r="K2492" s="2" t="n">
        <v>2</v>
      </c>
      <c r="L2492" s="3" t="n">
        <v>2378.74</v>
      </c>
      <c r="M2492" s="4" t="n">
        <v>0.25</v>
      </c>
      <c r="N2492" s="3" t="n">
        <v>2392.22</v>
      </c>
      <c r="O2492" s="3">
        <f>K2492*L2492*(1-M2492)</f>
        <v/>
      </c>
      <c r="P2492" s="3">
        <f>O2492-N2492</f>
        <v/>
      </c>
      <c r="Q2492" s="5">
        <f>IFERROR(P2492/O2492,0)</f>
        <v/>
      </c>
      <c r="R2492" s="2">
        <f>TEXT(DATEVALUE(B2492),"mmm")</f>
        <v/>
      </c>
      <c r="S2492" s="2">
        <f>TEXT(DATEVALUE(B2492),"yyyy-mm")</f>
        <v/>
      </c>
    </row>
    <row r="2493">
      <c r="A2493" s="2" t="inlineStr">
        <is>
          <t>O002437</t>
        </is>
      </c>
      <c r="B2493" s="2" t="inlineStr">
        <is>
          <t>2025-06-27</t>
        </is>
      </c>
      <c r="C2493" s="2" t="inlineStr">
        <is>
          <t>C0076</t>
        </is>
      </c>
      <c r="D2493" s="2" t="inlineStr">
        <is>
          <t>P0012</t>
        </is>
      </c>
      <c r="E2493" s="2" t="inlineStr">
        <is>
          <t>Water Bottle</t>
        </is>
      </c>
      <c r="F2493" s="2" t="inlineStr">
        <is>
          <t>Home &amp; Kitchen</t>
        </is>
      </c>
      <c r="G2493" s="2" t="inlineStr">
        <is>
          <t>North</t>
        </is>
      </c>
      <c r="H2493" s="2" t="inlineStr">
        <is>
          <t>Uttar Pradesh</t>
        </is>
      </c>
      <c r="I2493" s="2" t="inlineStr">
        <is>
          <t>Varanasi</t>
        </is>
      </c>
      <c r="J2493" s="2" t="inlineStr">
        <is>
          <t>Online</t>
        </is>
      </c>
      <c r="K2493" s="2" t="n">
        <v>4</v>
      </c>
      <c r="L2493" s="3" t="n">
        <v>1006.02</v>
      </c>
      <c r="M2493" s="4" t="n">
        <v>0.15</v>
      </c>
      <c r="N2493" s="3" t="n">
        <v>2522.22</v>
      </c>
      <c r="O2493" s="3">
        <f>K2493*L2493*(1-M2493)</f>
        <v/>
      </c>
      <c r="P2493" s="3">
        <f>O2493-N2493</f>
        <v/>
      </c>
      <c r="Q2493" s="5">
        <f>IFERROR(P2493/O2493,0)</f>
        <v/>
      </c>
      <c r="R2493" s="2">
        <f>TEXT(DATEVALUE(B2493),"mmm")</f>
        <v/>
      </c>
      <c r="S2493" s="2">
        <f>TEXT(DATEVALUE(B2493),"yyyy-mm")</f>
        <v/>
      </c>
    </row>
    <row r="2494">
      <c r="A2494" s="2" t="inlineStr">
        <is>
          <t>O003520</t>
        </is>
      </c>
      <c r="B2494" s="2" t="inlineStr">
        <is>
          <t>2025-06-28</t>
        </is>
      </c>
      <c r="C2494" s="2" t="inlineStr">
        <is>
          <t>C0390</t>
        </is>
      </c>
      <c r="D2494" s="2" t="inlineStr">
        <is>
          <t>P0003</t>
        </is>
      </c>
      <c r="E2494" s="2" t="inlineStr">
        <is>
          <t>Smartwatch</t>
        </is>
      </c>
      <c r="F2494" s="2" t="inlineStr">
        <is>
          <t>Electronics</t>
        </is>
      </c>
      <c r="G2494" s="2" t="inlineStr">
        <is>
          <t>South</t>
        </is>
      </c>
      <c r="H2494" s="2" t="inlineStr">
        <is>
          <t>Tamil Nadu</t>
        </is>
      </c>
      <c r="I2494" s="2" t="inlineStr">
        <is>
          <t>Madurai</t>
        </is>
      </c>
      <c r="J2494" s="2" t="inlineStr">
        <is>
          <t>Store</t>
        </is>
      </c>
      <c r="K2494" s="2" t="n">
        <v>1</v>
      </c>
      <c r="L2494" s="3" t="n">
        <v>2324.48</v>
      </c>
      <c r="M2494" s="4" t="n">
        <v>0.15</v>
      </c>
      <c r="N2494" s="3" t="n">
        <v>1215.76</v>
      </c>
      <c r="O2494" s="3">
        <f>K2494*L2494*(1-M2494)</f>
        <v/>
      </c>
      <c r="P2494" s="3">
        <f>O2494-N2494</f>
        <v/>
      </c>
      <c r="Q2494" s="5">
        <f>IFERROR(P2494/O2494,0)</f>
        <v/>
      </c>
      <c r="R2494" s="2">
        <f>TEXT(DATEVALUE(B2494),"mmm")</f>
        <v/>
      </c>
      <c r="S2494" s="2">
        <f>TEXT(DATEVALUE(B2494),"yyyy-mm")</f>
        <v/>
      </c>
    </row>
    <row r="2495">
      <c r="A2495" s="2" t="inlineStr">
        <is>
          <t>O004955</t>
        </is>
      </c>
      <c r="B2495" s="2" t="inlineStr">
        <is>
          <t>2025-06-28</t>
        </is>
      </c>
      <c r="C2495" s="2" t="inlineStr">
        <is>
          <t>C0354</t>
        </is>
      </c>
      <c r="D2495" s="2" t="inlineStr">
        <is>
          <t>P0013</t>
        </is>
      </c>
      <c r="E2495" s="2" t="inlineStr">
        <is>
          <t>Storage Organizer</t>
        </is>
      </c>
      <c r="F2495" s="2" t="inlineStr">
        <is>
          <t>Home &amp; Kitchen</t>
        </is>
      </c>
      <c r="G2495" s="2" t="inlineStr">
        <is>
          <t>West</t>
        </is>
      </c>
      <c r="H2495" s="2" t="inlineStr">
        <is>
          <t>Gujarat</t>
        </is>
      </c>
      <c r="I2495" s="2" t="inlineStr">
        <is>
          <t>Vadodara</t>
        </is>
      </c>
      <c r="J2495" s="2" t="inlineStr">
        <is>
          <t>Store</t>
        </is>
      </c>
      <c r="K2495" s="2" t="n">
        <v>1</v>
      </c>
      <c r="L2495" s="3" t="n">
        <v>565.95</v>
      </c>
      <c r="M2495" s="4" t="n">
        <v>0.1</v>
      </c>
      <c r="N2495" s="3" t="n">
        <v>355.24</v>
      </c>
      <c r="O2495" s="3">
        <f>K2495*L2495*(1-M2495)</f>
        <v/>
      </c>
      <c r="P2495" s="3">
        <f>O2495-N2495</f>
        <v/>
      </c>
      <c r="Q2495" s="5">
        <f>IFERROR(P2495/O2495,0)</f>
        <v/>
      </c>
      <c r="R2495" s="2">
        <f>TEXT(DATEVALUE(B2495),"mmm")</f>
        <v/>
      </c>
      <c r="S2495" s="2">
        <f>TEXT(DATEVALUE(B2495),"yyyy-mm")</f>
        <v/>
      </c>
    </row>
    <row r="2496">
      <c r="A2496" s="2" t="inlineStr">
        <is>
          <t>O004442</t>
        </is>
      </c>
      <c r="B2496" s="2" t="inlineStr">
        <is>
          <t>2025-06-28</t>
        </is>
      </c>
      <c r="C2496" s="2" t="inlineStr">
        <is>
          <t>C0024</t>
        </is>
      </c>
      <c r="D2496" s="2" t="inlineStr">
        <is>
          <t>P0022</t>
        </is>
      </c>
      <c r="E2496" s="2" t="inlineStr">
        <is>
          <t>Face Wash</t>
        </is>
      </c>
      <c r="F2496" s="2" t="inlineStr">
        <is>
          <t>Beauty</t>
        </is>
      </c>
      <c r="G2496" s="2" t="inlineStr">
        <is>
          <t>East</t>
        </is>
      </c>
      <c r="H2496" s="2" t="inlineStr">
        <is>
          <t>Bihar</t>
        </is>
      </c>
      <c r="I2496" s="2" t="inlineStr">
        <is>
          <t>Gaya</t>
        </is>
      </c>
      <c r="J2496" s="2" t="inlineStr">
        <is>
          <t>Store</t>
        </is>
      </c>
      <c r="K2496" s="2" t="n">
        <v>2</v>
      </c>
      <c r="L2496" s="3" t="n">
        <v>542.1</v>
      </c>
      <c r="M2496" s="4" t="n">
        <v>0</v>
      </c>
      <c r="N2496" s="3" t="n">
        <v>723.4</v>
      </c>
      <c r="O2496" s="3">
        <f>K2496*L2496*(1-M2496)</f>
        <v/>
      </c>
      <c r="P2496" s="3">
        <f>O2496-N2496</f>
        <v/>
      </c>
      <c r="Q2496" s="5">
        <f>IFERROR(P2496/O2496,0)</f>
        <v/>
      </c>
      <c r="R2496" s="2">
        <f>TEXT(DATEVALUE(B2496),"mmm")</f>
        <v/>
      </c>
      <c r="S2496" s="2">
        <f>TEXT(DATEVALUE(B2496),"yyyy-mm")</f>
        <v/>
      </c>
    </row>
    <row r="2497">
      <c r="A2497" s="2" t="inlineStr">
        <is>
          <t>O004259</t>
        </is>
      </c>
      <c r="B2497" s="2" t="inlineStr">
        <is>
          <t>2025-06-28</t>
        </is>
      </c>
      <c r="C2497" s="2" t="inlineStr">
        <is>
          <t>C0025</t>
        </is>
      </c>
      <c r="D2497" s="2" t="inlineStr">
        <is>
          <t>P0003</t>
        </is>
      </c>
      <c r="E2497" s="2" t="inlineStr">
        <is>
          <t>Smartwatch</t>
        </is>
      </c>
      <c r="F2497" s="2" t="inlineStr">
        <is>
          <t>Electronics</t>
        </is>
      </c>
      <c r="G2497" s="2" t="inlineStr">
        <is>
          <t>East</t>
        </is>
      </c>
      <c r="H2497" s="2" t="inlineStr">
        <is>
          <t>Bihar</t>
        </is>
      </c>
      <c r="I2497" s="2" t="inlineStr">
        <is>
          <t>Gaya</t>
        </is>
      </c>
      <c r="J2497" s="2" t="inlineStr">
        <is>
          <t>Online</t>
        </is>
      </c>
      <c r="K2497" s="2" t="n">
        <v>1</v>
      </c>
      <c r="L2497" s="3" t="n">
        <v>2246.06</v>
      </c>
      <c r="M2497" s="4" t="n">
        <v>0.1</v>
      </c>
      <c r="N2497" s="3" t="n">
        <v>1196.77</v>
      </c>
      <c r="O2497" s="3">
        <f>K2497*L2497*(1-M2497)</f>
        <v/>
      </c>
      <c r="P2497" s="3">
        <f>O2497-N2497</f>
        <v/>
      </c>
      <c r="Q2497" s="5">
        <f>IFERROR(P2497/O2497,0)</f>
        <v/>
      </c>
      <c r="R2497" s="2">
        <f>TEXT(DATEVALUE(B2497),"mmm")</f>
        <v/>
      </c>
      <c r="S2497" s="2">
        <f>TEXT(DATEVALUE(B2497),"yyyy-mm")</f>
        <v/>
      </c>
    </row>
    <row r="2498">
      <c r="A2498" s="2" t="inlineStr">
        <is>
          <t>O004133</t>
        </is>
      </c>
      <c r="B2498" s="2" t="inlineStr">
        <is>
          <t>2025-06-28</t>
        </is>
      </c>
      <c r="C2498" s="2" t="inlineStr">
        <is>
          <t>C0226</t>
        </is>
      </c>
      <c r="D2498" s="2" t="inlineStr">
        <is>
          <t>P0030</t>
        </is>
      </c>
      <c r="E2498" s="2" t="inlineStr">
        <is>
          <t>Dumbbells</t>
        </is>
      </c>
      <c r="F2498" s="2" t="inlineStr">
        <is>
          <t>Sports</t>
        </is>
      </c>
      <c r="G2498" s="2" t="inlineStr">
        <is>
          <t>South</t>
        </is>
      </c>
      <c r="H2498" s="2" t="inlineStr">
        <is>
          <t>Tamil Nadu</t>
        </is>
      </c>
      <c r="I2498" s="2" t="inlineStr">
        <is>
          <t>Coimbatore</t>
        </is>
      </c>
      <c r="J2498" s="2" t="inlineStr">
        <is>
          <t>Online</t>
        </is>
      </c>
      <c r="K2498" s="2" t="n">
        <v>2</v>
      </c>
      <c r="L2498" s="3" t="n">
        <v>1578.94</v>
      </c>
      <c r="M2498" s="4" t="n">
        <v>0</v>
      </c>
      <c r="N2498" s="3" t="n">
        <v>2047.62</v>
      </c>
      <c r="O2498" s="3">
        <f>K2498*L2498*(1-M2498)</f>
        <v/>
      </c>
      <c r="P2498" s="3">
        <f>O2498-N2498</f>
        <v/>
      </c>
      <c r="Q2498" s="5">
        <f>IFERROR(P2498/O2498,0)</f>
        <v/>
      </c>
      <c r="R2498" s="2">
        <f>TEXT(DATEVALUE(B2498),"mmm")</f>
        <v/>
      </c>
      <c r="S2498" s="2">
        <f>TEXT(DATEVALUE(B2498),"yyyy-mm")</f>
        <v/>
      </c>
    </row>
    <row r="2499">
      <c r="A2499" s="2" t="inlineStr">
        <is>
          <t>O003712</t>
        </is>
      </c>
      <c r="B2499" s="2" t="inlineStr">
        <is>
          <t>2025-06-28</t>
        </is>
      </c>
      <c r="C2499" s="2" t="inlineStr">
        <is>
          <t>C0769</t>
        </is>
      </c>
      <c r="D2499" s="2" t="inlineStr">
        <is>
          <t>P0032</t>
        </is>
      </c>
      <c r="E2499" s="2" t="inlineStr">
        <is>
          <t>Football</t>
        </is>
      </c>
      <c r="F2499" s="2" t="inlineStr">
        <is>
          <t>Sports</t>
        </is>
      </c>
      <c r="G2499" s="2" t="inlineStr">
        <is>
          <t>South</t>
        </is>
      </c>
      <c r="H2499" s="2" t="inlineStr">
        <is>
          <t>Telangana</t>
        </is>
      </c>
      <c r="I2499" s="2" t="inlineStr">
        <is>
          <t>Warangal</t>
        </is>
      </c>
      <c r="J2499" s="2" t="inlineStr">
        <is>
          <t>Store</t>
        </is>
      </c>
      <c r="K2499" s="2" t="n">
        <v>1</v>
      </c>
      <c r="L2499" s="3" t="n">
        <v>798.62</v>
      </c>
      <c r="M2499" s="4" t="n">
        <v>0</v>
      </c>
      <c r="N2499" s="3" t="n">
        <v>515.2</v>
      </c>
      <c r="O2499" s="3">
        <f>K2499*L2499*(1-M2499)</f>
        <v/>
      </c>
      <c r="P2499" s="3">
        <f>O2499-N2499</f>
        <v/>
      </c>
      <c r="Q2499" s="5">
        <f>IFERROR(P2499/O2499,0)</f>
        <v/>
      </c>
      <c r="R2499" s="2">
        <f>TEXT(DATEVALUE(B2499),"mmm")</f>
        <v/>
      </c>
      <c r="S2499" s="2">
        <f>TEXT(DATEVALUE(B2499),"yyyy-mm")</f>
        <v/>
      </c>
    </row>
    <row r="2500">
      <c r="A2500" s="2" t="inlineStr">
        <is>
          <t>O003201</t>
        </is>
      </c>
      <c r="B2500" s="2" t="inlineStr">
        <is>
          <t>2025-06-28</t>
        </is>
      </c>
      <c r="C2500" s="2" t="inlineStr">
        <is>
          <t>C0258</t>
        </is>
      </c>
      <c r="D2500" s="2" t="inlineStr">
        <is>
          <t>P0013</t>
        </is>
      </c>
      <c r="E2500" s="2" t="inlineStr">
        <is>
          <t>Storage Organizer</t>
        </is>
      </c>
      <c r="F2500" s="2" t="inlineStr">
        <is>
          <t>Home &amp; Kitchen</t>
        </is>
      </c>
      <c r="G2500" s="2" t="inlineStr">
        <is>
          <t>East</t>
        </is>
      </c>
      <c r="H2500" s="2" t="inlineStr">
        <is>
          <t>West Bengal</t>
        </is>
      </c>
      <c r="I2500" s="2" t="inlineStr">
        <is>
          <t>Kolkata</t>
        </is>
      </c>
      <c r="J2500" s="2" t="inlineStr">
        <is>
          <t>Online</t>
        </is>
      </c>
      <c r="K2500" s="2" t="n">
        <v>3</v>
      </c>
      <c r="L2500" s="3" t="n">
        <v>568.46</v>
      </c>
      <c r="M2500" s="4" t="n">
        <v>0.05</v>
      </c>
      <c r="N2500" s="3" t="n">
        <v>1114.87</v>
      </c>
      <c r="O2500" s="3">
        <f>K2500*L2500*(1-M2500)</f>
        <v/>
      </c>
      <c r="P2500" s="3">
        <f>O2500-N2500</f>
        <v/>
      </c>
      <c r="Q2500" s="5">
        <f>IFERROR(P2500/O2500,0)</f>
        <v/>
      </c>
      <c r="R2500" s="2">
        <f>TEXT(DATEVALUE(B2500),"mmm")</f>
        <v/>
      </c>
      <c r="S2500" s="2">
        <f>TEXT(DATEVALUE(B2500),"yyyy-mm")</f>
        <v/>
      </c>
    </row>
    <row r="2501">
      <c r="A2501" s="2" t="inlineStr">
        <is>
          <t>O001809</t>
        </is>
      </c>
      <c r="B2501" s="2" t="inlineStr">
        <is>
          <t>2025-06-28</t>
        </is>
      </c>
      <c r="C2501" s="2" t="inlineStr">
        <is>
          <t>C0791</t>
        </is>
      </c>
      <c r="D2501" s="2" t="inlineStr">
        <is>
          <t>P0022</t>
        </is>
      </c>
      <c r="E2501" s="2" t="inlineStr">
        <is>
          <t>Face Wash</t>
        </is>
      </c>
      <c r="F2501" s="2" t="inlineStr">
        <is>
          <t>Beauty</t>
        </is>
      </c>
      <c r="G2501" s="2" t="inlineStr">
        <is>
          <t>South</t>
        </is>
      </c>
      <c r="H2501" s="2" t="inlineStr">
        <is>
          <t>Telangana</t>
        </is>
      </c>
      <c r="I2501" s="2" t="inlineStr">
        <is>
          <t>Hyderabad</t>
        </is>
      </c>
      <c r="J2501" s="2" t="inlineStr">
        <is>
          <t>Store</t>
        </is>
      </c>
      <c r="K2501" s="2" t="n">
        <v>3</v>
      </c>
      <c r="L2501" s="3" t="n">
        <v>551.37</v>
      </c>
      <c r="M2501" s="4" t="n">
        <v>0.05</v>
      </c>
      <c r="N2501" s="3" t="n">
        <v>1024.68</v>
      </c>
      <c r="O2501" s="3">
        <f>K2501*L2501*(1-M2501)</f>
        <v/>
      </c>
      <c r="P2501" s="3">
        <f>O2501-N2501</f>
        <v/>
      </c>
      <c r="Q2501" s="5">
        <f>IFERROR(P2501/O2501,0)</f>
        <v/>
      </c>
      <c r="R2501" s="2">
        <f>TEXT(DATEVALUE(B2501),"mmm")</f>
        <v/>
      </c>
      <c r="S2501" s="2">
        <f>TEXT(DATEVALUE(B2501),"yyyy-mm")</f>
        <v/>
      </c>
    </row>
    <row r="2502">
      <c r="A2502" s="2" t="inlineStr">
        <is>
          <t>O002019</t>
        </is>
      </c>
      <c r="B2502" s="2" t="inlineStr">
        <is>
          <t>2025-06-28</t>
        </is>
      </c>
      <c r="C2502" s="2" t="inlineStr">
        <is>
          <t>C0553</t>
        </is>
      </c>
      <c r="D2502" s="2" t="inlineStr">
        <is>
          <t>P0020</t>
        </is>
      </c>
      <c r="E2502" s="2" t="inlineStr">
        <is>
          <t>Sneakers</t>
        </is>
      </c>
      <c r="F2502" s="2" t="inlineStr">
        <is>
          <t>Fashion</t>
        </is>
      </c>
      <c r="G2502" s="2" t="inlineStr">
        <is>
          <t>South</t>
        </is>
      </c>
      <c r="H2502" s="2" t="inlineStr">
        <is>
          <t>Tamil Nadu</t>
        </is>
      </c>
      <c r="I2502" s="2" t="inlineStr">
        <is>
          <t>Chennai</t>
        </is>
      </c>
      <c r="J2502" s="2" t="inlineStr">
        <is>
          <t>Online</t>
        </is>
      </c>
      <c r="K2502" s="2" t="n">
        <v>1</v>
      </c>
      <c r="L2502" s="3" t="n">
        <v>1865.85</v>
      </c>
      <c r="M2502" s="4" t="n">
        <v>0</v>
      </c>
      <c r="N2502" s="3" t="n">
        <v>1473.95</v>
      </c>
      <c r="O2502" s="3">
        <f>K2502*L2502*(1-M2502)</f>
        <v/>
      </c>
      <c r="P2502" s="3">
        <f>O2502-N2502</f>
        <v/>
      </c>
      <c r="Q2502" s="5">
        <f>IFERROR(P2502/O2502,0)</f>
        <v/>
      </c>
      <c r="R2502" s="2">
        <f>TEXT(DATEVALUE(B2502),"mmm")</f>
        <v/>
      </c>
      <c r="S2502" s="2">
        <f>TEXT(DATEVALUE(B2502),"yyyy-mm")</f>
        <v/>
      </c>
    </row>
    <row r="2503">
      <c r="A2503" s="2" t="inlineStr">
        <is>
          <t>O001188</t>
        </is>
      </c>
      <c r="B2503" s="2" t="inlineStr">
        <is>
          <t>2025-06-28</t>
        </is>
      </c>
      <c r="C2503" s="2" t="inlineStr">
        <is>
          <t>C0745</t>
        </is>
      </c>
      <c r="D2503" s="2" t="inlineStr">
        <is>
          <t>P0006</t>
        </is>
      </c>
      <c r="E2503" s="2" t="inlineStr">
        <is>
          <t>Mechanical Keyboard</t>
        </is>
      </c>
      <c r="F2503" s="2" t="inlineStr">
        <is>
          <t>Electronics</t>
        </is>
      </c>
      <c r="G2503" s="2" t="inlineStr">
        <is>
          <t>East</t>
        </is>
      </c>
      <c r="H2503" s="2" t="inlineStr">
        <is>
          <t>West Bengal</t>
        </is>
      </c>
      <c r="I2503" s="2" t="inlineStr">
        <is>
          <t>Kolkata</t>
        </is>
      </c>
      <c r="J2503" s="2" t="inlineStr">
        <is>
          <t>Online</t>
        </is>
      </c>
      <c r="K2503" s="2" t="n">
        <v>4</v>
      </c>
      <c r="L2503" s="3" t="n">
        <v>2626.34</v>
      </c>
      <c r="M2503" s="4" t="n">
        <v>0.15</v>
      </c>
      <c r="N2503" s="3" t="n">
        <v>6052.52</v>
      </c>
      <c r="O2503" s="3">
        <f>K2503*L2503*(1-M2503)</f>
        <v/>
      </c>
      <c r="P2503" s="3">
        <f>O2503-N2503</f>
        <v/>
      </c>
      <c r="Q2503" s="5">
        <f>IFERROR(P2503/O2503,0)</f>
        <v/>
      </c>
      <c r="R2503" s="2">
        <f>TEXT(DATEVALUE(B2503),"mmm")</f>
        <v/>
      </c>
      <c r="S2503" s="2">
        <f>TEXT(DATEVALUE(B2503),"yyyy-mm")</f>
        <v/>
      </c>
    </row>
    <row r="2504">
      <c r="A2504" s="2" t="inlineStr">
        <is>
          <t>O001076</t>
        </is>
      </c>
      <c r="B2504" s="2" t="inlineStr">
        <is>
          <t>2025-06-28</t>
        </is>
      </c>
      <c r="C2504" s="2" t="inlineStr">
        <is>
          <t>C0686</t>
        </is>
      </c>
      <c r="D2504" s="2" t="inlineStr">
        <is>
          <t>P0003</t>
        </is>
      </c>
      <c r="E2504" s="2" t="inlineStr">
        <is>
          <t>Smartwatch</t>
        </is>
      </c>
      <c r="F2504" s="2" t="inlineStr">
        <is>
          <t>Electronics</t>
        </is>
      </c>
      <c r="G2504" s="2" t="inlineStr">
        <is>
          <t>North</t>
        </is>
      </c>
      <c r="H2504" s="2" t="inlineStr">
        <is>
          <t>Uttar Pradesh</t>
        </is>
      </c>
      <c r="I2504" s="2" t="inlineStr">
        <is>
          <t>Noida</t>
        </is>
      </c>
      <c r="J2504" s="2" t="inlineStr">
        <is>
          <t>Store</t>
        </is>
      </c>
      <c r="K2504" s="2" t="n">
        <v>1</v>
      </c>
      <c r="L2504" s="3" t="n">
        <v>2305.42</v>
      </c>
      <c r="M2504" s="4" t="n">
        <v>0</v>
      </c>
      <c r="N2504" s="3" t="n">
        <v>1213</v>
      </c>
      <c r="O2504" s="3">
        <f>K2504*L2504*(1-M2504)</f>
        <v/>
      </c>
      <c r="P2504" s="3">
        <f>O2504-N2504</f>
        <v/>
      </c>
      <c r="Q2504" s="5">
        <f>IFERROR(P2504/O2504,0)</f>
        <v/>
      </c>
      <c r="R2504" s="2">
        <f>TEXT(DATEVALUE(B2504),"mmm")</f>
        <v/>
      </c>
      <c r="S2504" s="2">
        <f>TEXT(DATEVALUE(B2504),"yyyy-mm")</f>
        <v/>
      </c>
    </row>
    <row r="2505">
      <c r="A2505" s="2" t="inlineStr">
        <is>
          <t>O001060</t>
        </is>
      </c>
      <c r="B2505" s="2" t="inlineStr">
        <is>
          <t>2025-06-28</t>
        </is>
      </c>
      <c r="C2505" s="2" t="inlineStr">
        <is>
          <t>C0373</t>
        </is>
      </c>
      <c r="D2505" s="2" t="inlineStr">
        <is>
          <t>P0014</t>
        </is>
      </c>
      <c r="E2505" s="2" t="inlineStr">
        <is>
          <t>Coffee Maker</t>
        </is>
      </c>
      <c r="F2505" s="2" t="inlineStr">
        <is>
          <t>Home &amp; Kitchen</t>
        </is>
      </c>
      <c r="G2505" s="2" t="inlineStr">
        <is>
          <t>West</t>
        </is>
      </c>
      <c r="H2505" s="2" t="inlineStr">
        <is>
          <t>Goa</t>
        </is>
      </c>
      <c r="I2505" s="2" t="inlineStr">
        <is>
          <t>Margao</t>
        </is>
      </c>
      <c r="J2505" s="2" t="inlineStr">
        <is>
          <t>Online</t>
        </is>
      </c>
      <c r="K2505" s="2" t="n">
        <v>1</v>
      </c>
      <c r="L2505" s="3" t="n">
        <v>1077.61</v>
      </c>
      <c r="M2505" s="4" t="n">
        <v>0.15</v>
      </c>
      <c r="N2505" s="3" t="n">
        <v>741.55</v>
      </c>
      <c r="O2505" s="3">
        <f>K2505*L2505*(1-M2505)</f>
        <v/>
      </c>
      <c r="P2505" s="3">
        <f>O2505-N2505</f>
        <v/>
      </c>
      <c r="Q2505" s="5">
        <f>IFERROR(P2505/O2505,0)</f>
        <v/>
      </c>
      <c r="R2505" s="2">
        <f>TEXT(DATEVALUE(B2505),"mmm")</f>
        <v/>
      </c>
      <c r="S2505" s="2">
        <f>TEXT(DATEVALUE(B2505),"yyyy-mm")</f>
        <v/>
      </c>
    </row>
    <row r="2506">
      <c r="A2506" s="2" t="inlineStr">
        <is>
          <t>O000509</t>
        </is>
      </c>
      <c r="B2506" s="2" t="inlineStr">
        <is>
          <t>2025-06-28</t>
        </is>
      </c>
      <c r="C2506" s="2" t="inlineStr">
        <is>
          <t>C0198</t>
        </is>
      </c>
      <c r="D2506" s="2" t="inlineStr">
        <is>
          <t>P0009</t>
        </is>
      </c>
      <c r="E2506" s="2" t="inlineStr">
        <is>
          <t>Electric Kettle</t>
        </is>
      </c>
      <c r="F2506" s="2" t="inlineStr">
        <is>
          <t>Home &amp; Kitchen</t>
        </is>
      </c>
      <c r="G2506" s="2" t="inlineStr">
        <is>
          <t>West</t>
        </is>
      </c>
      <c r="H2506" s="2" t="inlineStr">
        <is>
          <t>Goa</t>
        </is>
      </c>
      <c r="I2506" s="2" t="inlineStr">
        <is>
          <t>Panaji</t>
        </is>
      </c>
      <c r="J2506" s="2" t="inlineStr">
        <is>
          <t>Store</t>
        </is>
      </c>
      <c r="K2506" s="2" t="n">
        <v>3</v>
      </c>
      <c r="L2506" s="3" t="n">
        <v>2064.25</v>
      </c>
      <c r="M2506" s="4" t="n">
        <v>0.05</v>
      </c>
      <c r="N2506" s="3" t="n">
        <v>3334.74</v>
      </c>
      <c r="O2506" s="3">
        <f>K2506*L2506*(1-M2506)</f>
        <v/>
      </c>
      <c r="P2506" s="3">
        <f>O2506-N2506</f>
        <v/>
      </c>
      <c r="Q2506" s="5">
        <f>IFERROR(P2506/O2506,0)</f>
        <v/>
      </c>
      <c r="R2506" s="2">
        <f>TEXT(DATEVALUE(B2506),"mmm")</f>
        <v/>
      </c>
      <c r="S2506" s="2">
        <f>TEXT(DATEVALUE(B2506),"yyyy-mm")</f>
        <v/>
      </c>
    </row>
    <row r="2507">
      <c r="A2507" s="2" t="inlineStr">
        <is>
          <t>O000138</t>
        </is>
      </c>
      <c r="B2507" s="2" t="inlineStr">
        <is>
          <t>2025-06-28</t>
        </is>
      </c>
      <c r="C2507" s="2" t="inlineStr">
        <is>
          <t>C0314</t>
        </is>
      </c>
      <c r="D2507" s="2" t="inlineStr">
        <is>
          <t>P0027</t>
        </is>
      </c>
      <c r="E2507" s="2" t="inlineStr">
        <is>
          <t>Moisturizer</t>
        </is>
      </c>
      <c r="F2507" s="2" t="inlineStr">
        <is>
          <t>Beauty</t>
        </is>
      </c>
      <c r="G2507" s="2" t="inlineStr">
        <is>
          <t>South</t>
        </is>
      </c>
      <c r="H2507" s="2" t="inlineStr">
        <is>
          <t>Kerala</t>
        </is>
      </c>
      <c r="I2507" s="2" t="inlineStr">
        <is>
          <t>Kochi</t>
        </is>
      </c>
      <c r="J2507" s="2" t="inlineStr">
        <is>
          <t>Online</t>
        </is>
      </c>
      <c r="K2507" s="2" t="n">
        <v>5</v>
      </c>
      <c r="L2507" s="3" t="n">
        <v>953.87</v>
      </c>
      <c r="M2507" s="4" t="n">
        <v>0.05</v>
      </c>
      <c r="N2507" s="3" t="n">
        <v>3450.33</v>
      </c>
      <c r="O2507" s="3">
        <f>K2507*L2507*(1-M2507)</f>
        <v/>
      </c>
      <c r="P2507" s="3">
        <f>O2507-N2507</f>
        <v/>
      </c>
      <c r="Q2507" s="5">
        <f>IFERROR(P2507/O2507,0)</f>
        <v/>
      </c>
      <c r="R2507" s="2">
        <f>TEXT(DATEVALUE(B2507),"mmm")</f>
        <v/>
      </c>
      <c r="S2507" s="2">
        <f>TEXT(DATEVALUE(B2507),"yyyy-mm")</f>
        <v/>
      </c>
    </row>
    <row r="2508">
      <c r="A2508" s="2" t="inlineStr">
        <is>
          <t>O003045</t>
        </is>
      </c>
      <c r="B2508" s="2" t="inlineStr">
        <is>
          <t>2025-06-29</t>
        </is>
      </c>
      <c r="C2508" s="2" t="inlineStr">
        <is>
          <t>C0597</t>
        </is>
      </c>
      <c r="D2508" s="2" t="inlineStr">
        <is>
          <t>P0024</t>
        </is>
      </c>
      <c r="E2508" s="2" t="inlineStr">
        <is>
          <t>Hair Dryer</t>
        </is>
      </c>
      <c r="F2508" s="2" t="inlineStr">
        <is>
          <t>Beauty</t>
        </is>
      </c>
      <c r="G2508" s="2" t="inlineStr">
        <is>
          <t>West</t>
        </is>
      </c>
      <c r="H2508" s="2" t="inlineStr">
        <is>
          <t>Goa</t>
        </is>
      </c>
      <c r="I2508" s="2" t="inlineStr">
        <is>
          <t>Margao</t>
        </is>
      </c>
      <c r="J2508" s="2" t="inlineStr">
        <is>
          <t>Online</t>
        </is>
      </c>
      <c r="K2508" s="2" t="n">
        <v>3</v>
      </c>
      <c r="L2508" s="3" t="n">
        <v>960.3200000000001</v>
      </c>
      <c r="M2508" s="4" t="n">
        <v>0.15</v>
      </c>
      <c r="N2508" s="3" t="n">
        <v>2225.46</v>
      </c>
      <c r="O2508" s="3">
        <f>K2508*L2508*(1-M2508)</f>
        <v/>
      </c>
      <c r="P2508" s="3">
        <f>O2508-N2508</f>
        <v/>
      </c>
      <c r="Q2508" s="5">
        <f>IFERROR(P2508/O2508,0)</f>
        <v/>
      </c>
      <c r="R2508" s="2">
        <f>TEXT(DATEVALUE(B2508),"mmm")</f>
        <v/>
      </c>
      <c r="S2508" s="2">
        <f>TEXT(DATEVALUE(B2508),"yyyy-mm")</f>
        <v/>
      </c>
    </row>
    <row r="2509">
      <c r="A2509" s="2" t="inlineStr">
        <is>
          <t>O002358</t>
        </is>
      </c>
      <c r="B2509" s="2" t="inlineStr">
        <is>
          <t>2025-06-29</t>
        </is>
      </c>
      <c r="C2509" s="2" t="inlineStr">
        <is>
          <t>C0125</t>
        </is>
      </c>
      <c r="D2509" s="2" t="inlineStr">
        <is>
          <t>P0020</t>
        </is>
      </c>
      <c r="E2509" s="2" t="inlineStr">
        <is>
          <t>Sneakers</t>
        </is>
      </c>
      <c r="F2509" s="2" t="inlineStr">
        <is>
          <t>Fashion</t>
        </is>
      </c>
      <c r="G2509" s="2" t="inlineStr">
        <is>
          <t>West</t>
        </is>
      </c>
      <c r="H2509" s="2" t="inlineStr">
        <is>
          <t>Gujarat</t>
        </is>
      </c>
      <c r="I2509" s="2" t="inlineStr">
        <is>
          <t>Ahmedabad</t>
        </is>
      </c>
      <c r="J2509" s="2" t="inlineStr">
        <is>
          <t>Store</t>
        </is>
      </c>
      <c r="K2509" s="2" t="n">
        <v>1</v>
      </c>
      <c r="L2509" s="3" t="n">
        <v>1999.58</v>
      </c>
      <c r="M2509" s="4" t="n">
        <v>0.05</v>
      </c>
      <c r="N2509" s="3" t="n">
        <v>1456.73</v>
      </c>
      <c r="O2509" s="3">
        <f>K2509*L2509*(1-M2509)</f>
        <v/>
      </c>
      <c r="P2509" s="3">
        <f>O2509-N2509</f>
        <v/>
      </c>
      <c r="Q2509" s="5">
        <f>IFERROR(P2509/O2509,0)</f>
        <v/>
      </c>
      <c r="R2509" s="2">
        <f>TEXT(DATEVALUE(B2509),"mmm")</f>
        <v/>
      </c>
      <c r="S2509" s="2">
        <f>TEXT(DATEVALUE(B2509),"yyyy-mm")</f>
        <v/>
      </c>
    </row>
    <row r="2510">
      <c r="A2510" s="2" t="inlineStr">
        <is>
          <t>O001192</t>
        </is>
      </c>
      <c r="B2510" s="2" t="inlineStr">
        <is>
          <t>2025-06-29</t>
        </is>
      </c>
      <c r="C2510" s="2" t="inlineStr">
        <is>
          <t>C0028</t>
        </is>
      </c>
      <c r="D2510" s="2" t="inlineStr">
        <is>
          <t>P0013</t>
        </is>
      </c>
      <c r="E2510" s="2" t="inlineStr">
        <is>
          <t>Storage Organizer</t>
        </is>
      </c>
      <c r="F2510" s="2" t="inlineStr">
        <is>
          <t>Home &amp; Kitchen</t>
        </is>
      </c>
      <c r="G2510" s="2" t="inlineStr">
        <is>
          <t>West</t>
        </is>
      </c>
      <c r="H2510" s="2" t="inlineStr">
        <is>
          <t>Goa</t>
        </is>
      </c>
      <c r="I2510" s="2" t="inlineStr">
        <is>
          <t>Margao</t>
        </is>
      </c>
      <c r="J2510" s="2" t="inlineStr">
        <is>
          <t>Online</t>
        </is>
      </c>
      <c r="K2510" s="2" t="n">
        <v>2</v>
      </c>
      <c r="L2510" s="3" t="n">
        <v>554.91</v>
      </c>
      <c r="M2510" s="4" t="n">
        <v>0.1</v>
      </c>
      <c r="N2510" s="3" t="n">
        <v>723.38</v>
      </c>
      <c r="O2510" s="3">
        <f>K2510*L2510*(1-M2510)</f>
        <v/>
      </c>
      <c r="P2510" s="3">
        <f>O2510-N2510</f>
        <v/>
      </c>
      <c r="Q2510" s="5">
        <f>IFERROR(P2510/O2510,0)</f>
        <v/>
      </c>
      <c r="R2510" s="2">
        <f>TEXT(DATEVALUE(B2510),"mmm")</f>
        <v/>
      </c>
      <c r="S2510" s="2">
        <f>TEXT(DATEVALUE(B2510),"yyyy-mm")</f>
        <v/>
      </c>
    </row>
    <row r="2511">
      <c r="A2511" s="2" t="inlineStr">
        <is>
          <t>O000936</t>
        </is>
      </c>
      <c r="B2511" s="2" t="inlineStr">
        <is>
          <t>2025-06-29</t>
        </is>
      </c>
      <c r="C2511" s="2" t="inlineStr">
        <is>
          <t>C0275</t>
        </is>
      </c>
      <c r="D2511" s="2" t="inlineStr">
        <is>
          <t>P0011</t>
        </is>
      </c>
      <c r="E2511" s="2" t="inlineStr">
        <is>
          <t>Cookware Set</t>
        </is>
      </c>
      <c r="F2511" s="2" t="inlineStr">
        <is>
          <t>Home &amp; Kitchen</t>
        </is>
      </c>
      <c r="G2511" s="2" t="inlineStr">
        <is>
          <t>North</t>
        </is>
      </c>
      <c r="H2511" s="2" t="inlineStr">
        <is>
          <t>Punjab</t>
        </is>
      </c>
      <c r="I2511" s="2" t="inlineStr">
        <is>
          <t>Ludhiana</t>
        </is>
      </c>
      <c r="J2511" s="2" t="inlineStr">
        <is>
          <t>Store</t>
        </is>
      </c>
      <c r="K2511" s="2" t="n">
        <v>1</v>
      </c>
      <c r="L2511" s="3" t="n">
        <v>726.98</v>
      </c>
      <c r="M2511" s="4" t="n">
        <v>0.05</v>
      </c>
      <c r="N2511" s="3" t="n">
        <v>466.74</v>
      </c>
      <c r="O2511" s="3">
        <f>K2511*L2511*(1-M2511)</f>
        <v/>
      </c>
      <c r="P2511" s="3">
        <f>O2511-N2511</f>
        <v/>
      </c>
      <c r="Q2511" s="5">
        <f>IFERROR(P2511/O2511,0)</f>
        <v/>
      </c>
      <c r="R2511" s="2">
        <f>TEXT(DATEVALUE(B2511),"mmm")</f>
        <v/>
      </c>
      <c r="S2511" s="2">
        <f>TEXT(DATEVALUE(B2511),"yyyy-mm")</f>
        <v/>
      </c>
    </row>
    <row r="2512">
      <c r="A2512" s="2" t="inlineStr">
        <is>
          <t>O000490</t>
        </is>
      </c>
      <c r="B2512" s="2" t="inlineStr">
        <is>
          <t>2025-06-29</t>
        </is>
      </c>
      <c r="C2512" s="2" t="inlineStr">
        <is>
          <t>C0639</t>
        </is>
      </c>
      <c r="D2512" s="2" t="inlineStr">
        <is>
          <t>P0001</t>
        </is>
      </c>
      <c r="E2512" s="2" t="inlineStr">
        <is>
          <t>Wireless Headphones</t>
        </is>
      </c>
      <c r="F2512" s="2" t="inlineStr">
        <is>
          <t>Electronics</t>
        </is>
      </c>
      <c r="G2512" s="2" t="inlineStr">
        <is>
          <t>North</t>
        </is>
      </c>
      <c r="H2512" s="2" t="inlineStr">
        <is>
          <t>Delhi</t>
        </is>
      </c>
      <c r="I2512" s="2" t="inlineStr">
        <is>
          <t>New Delhi</t>
        </is>
      </c>
      <c r="J2512" s="2" t="inlineStr">
        <is>
          <t>Online</t>
        </is>
      </c>
      <c r="K2512" s="2" t="n">
        <v>4</v>
      </c>
      <c r="L2512" s="3" t="n">
        <v>1365.5</v>
      </c>
      <c r="M2512" s="4" t="n">
        <v>0</v>
      </c>
      <c r="N2512" s="3" t="n">
        <v>2727.31</v>
      </c>
      <c r="O2512" s="3">
        <f>K2512*L2512*(1-M2512)</f>
        <v/>
      </c>
      <c r="P2512" s="3">
        <f>O2512-N2512</f>
        <v/>
      </c>
      <c r="Q2512" s="5">
        <f>IFERROR(P2512/O2512,0)</f>
        <v/>
      </c>
      <c r="R2512" s="2">
        <f>TEXT(DATEVALUE(B2512),"mmm")</f>
        <v/>
      </c>
      <c r="S2512" s="2">
        <f>TEXT(DATEVALUE(B2512),"yyyy-mm")</f>
        <v/>
      </c>
    </row>
    <row r="2513">
      <c r="A2513" s="2" t="inlineStr">
        <is>
          <t>O000406</t>
        </is>
      </c>
      <c r="B2513" s="2" t="inlineStr">
        <is>
          <t>2025-06-29</t>
        </is>
      </c>
      <c r="C2513" s="2" t="inlineStr">
        <is>
          <t>C0093</t>
        </is>
      </c>
      <c r="D2513" s="2" t="inlineStr">
        <is>
          <t>P0022</t>
        </is>
      </c>
      <c r="E2513" s="2" t="inlineStr">
        <is>
          <t>Face Wash</t>
        </is>
      </c>
      <c r="F2513" s="2" t="inlineStr">
        <is>
          <t>Beauty</t>
        </is>
      </c>
      <c r="G2513" s="2" t="inlineStr">
        <is>
          <t>North</t>
        </is>
      </c>
      <c r="H2513" s="2" t="inlineStr">
        <is>
          <t>Haryana</t>
        </is>
      </c>
      <c r="I2513" s="2" t="inlineStr">
        <is>
          <t>Gurugram</t>
        </is>
      </c>
      <c r="J2513" s="2" t="inlineStr">
        <is>
          <t>Online</t>
        </is>
      </c>
      <c r="K2513" s="2" t="n">
        <v>2</v>
      </c>
      <c r="L2513" s="3" t="n">
        <v>560.21</v>
      </c>
      <c r="M2513" s="4" t="n">
        <v>0.15</v>
      </c>
      <c r="N2513" s="3" t="n">
        <v>698.63</v>
      </c>
      <c r="O2513" s="3">
        <f>K2513*L2513*(1-M2513)</f>
        <v/>
      </c>
      <c r="P2513" s="3">
        <f>O2513-N2513</f>
        <v/>
      </c>
      <c r="Q2513" s="5">
        <f>IFERROR(P2513/O2513,0)</f>
        <v/>
      </c>
      <c r="R2513" s="2">
        <f>TEXT(DATEVALUE(B2513),"mmm")</f>
        <v/>
      </c>
      <c r="S2513" s="2">
        <f>TEXT(DATEVALUE(B2513),"yyyy-mm")</f>
        <v/>
      </c>
    </row>
    <row r="2514">
      <c r="A2514" s="2" t="inlineStr">
        <is>
          <t>O000195</t>
        </is>
      </c>
      <c r="B2514" s="2" t="inlineStr">
        <is>
          <t>2025-06-29</t>
        </is>
      </c>
      <c r="C2514" s="2" t="inlineStr">
        <is>
          <t>C0631</t>
        </is>
      </c>
      <c r="D2514" s="2" t="inlineStr">
        <is>
          <t>P0017</t>
        </is>
      </c>
      <c r="E2514" s="2" t="inlineStr">
        <is>
          <t>Jeans</t>
        </is>
      </c>
      <c r="F2514" s="2" t="inlineStr">
        <is>
          <t>Fashion</t>
        </is>
      </c>
      <c r="G2514" s="2" t="inlineStr">
        <is>
          <t>South</t>
        </is>
      </c>
      <c r="H2514" s="2" t="inlineStr">
        <is>
          <t>Karnataka</t>
        </is>
      </c>
      <c r="I2514" s="2" t="inlineStr">
        <is>
          <t>Mysuru</t>
        </is>
      </c>
      <c r="J2514" s="2" t="inlineStr">
        <is>
          <t>Online</t>
        </is>
      </c>
      <c r="K2514" s="2" t="n">
        <v>1</v>
      </c>
      <c r="L2514" s="3" t="n">
        <v>1535.68</v>
      </c>
      <c r="M2514" s="4" t="n">
        <v>0</v>
      </c>
      <c r="N2514" s="3" t="n">
        <v>996.96</v>
      </c>
      <c r="O2514" s="3">
        <f>K2514*L2514*(1-M2514)</f>
        <v/>
      </c>
      <c r="P2514" s="3">
        <f>O2514-N2514</f>
        <v/>
      </c>
      <c r="Q2514" s="5">
        <f>IFERROR(P2514/O2514,0)</f>
        <v/>
      </c>
      <c r="R2514" s="2">
        <f>TEXT(DATEVALUE(B2514),"mmm")</f>
        <v/>
      </c>
      <c r="S2514" s="2">
        <f>TEXT(DATEVALUE(B2514),"yyyy-mm")</f>
        <v/>
      </c>
    </row>
    <row r="2515">
      <c r="A2515" s="2" t="inlineStr">
        <is>
          <t>O000880</t>
        </is>
      </c>
      <c r="B2515" s="2" t="inlineStr">
        <is>
          <t>2025-06-29</t>
        </is>
      </c>
      <c r="C2515" s="2" t="inlineStr">
        <is>
          <t>C0734</t>
        </is>
      </c>
      <c r="D2515" s="2" t="inlineStr">
        <is>
          <t>P0014</t>
        </is>
      </c>
      <c r="E2515" s="2" t="inlineStr">
        <is>
          <t>Coffee Maker</t>
        </is>
      </c>
      <c r="F2515" s="2" t="inlineStr">
        <is>
          <t>Home &amp; Kitchen</t>
        </is>
      </c>
      <c r="G2515" s="2" t="inlineStr">
        <is>
          <t>North</t>
        </is>
      </c>
      <c r="H2515" s="2" t="inlineStr">
        <is>
          <t>Uttar Pradesh</t>
        </is>
      </c>
      <c r="I2515" s="2" t="inlineStr">
        <is>
          <t>Noida</t>
        </is>
      </c>
      <c r="J2515" s="2" t="inlineStr">
        <is>
          <t>Online</t>
        </is>
      </c>
      <c r="K2515" s="2" t="n">
        <v>1</v>
      </c>
      <c r="L2515" s="3" t="n">
        <v>1073.1</v>
      </c>
      <c r="M2515" s="4" t="n">
        <v>0.1</v>
      </c>
      <c r="N2515" s="3" t="n">
        <v>744.53</v>
      </c>
      <c r="O2515" s="3">
        <f>K2515*L2515*(1-M2515)</f>
        <v/>
      </c>
      <c r="P2515" s="3">
        <f>O2515-N2515</f>
        <v/>
      </c>
      <c r="Q2515" s="5">
        <f>IFERROR(P2515/O2515,0)</f>
        <v/>
      </c>
      <c r="R2515" s="2">
        <f>TEXT(DATEVALUE(B2515),"mmm")</f>
        <v/>
      </c>
      <c r="S2515" s="2">
        <f>TEXT(DATEVALUE(B2515),"yyyy-mm")</f>
        <v/>
      </c>
    </row>
    <row r="2516">
      <c r="A2516" s="2" t="inlineStr">
        <is>
          <t>O003825</t>
        </is>
      </c>
      <c r="B2516" s="2" t="inlineStr">
        <is>
          <t>2025-06-30</t>
        </is>
      </c>
      <c r="C2516" s="2" t="inlineStr">
        <is>
          <t>C0515</t>
        </is>
      </c>
      <c r="D2516" s="2" t="inlineStr">
        <is>
          <t>P0026</t>
        </is>
      </c>
      <c r="E2516" s="2" t="inlineStr">
        <is>
          <t>Shampoo</t>
        </is>
      </c>
      <c r="F2516" s="2" t="inlineStr">
        <is>
          <t>Beauty</t>
        </is>
      </c>
      <c r="G2516" s="2" t="inlineStr">
        <is>
          <t>South</t>
        </is>
      </c>
      <c r="H2516" s="2" t="inlineStr">
        <is>
          <t>Tamil Nadu</t>
        </is>
      </c>
      <c r="I2516" s="2" t="inlineStr">
        <is>
          <t>Coimbatore</t>
        </is>
      </c>
      <c r="J2516" s="2" t="inlineStr">
        <is>
          <t>Store</t>
        </is>
      </c>
      <c r="K2516" s="2" t="n">
        <v>1</v>
      </c>
      <c r="L2516" s="3" t="n">
        <v>920.96</v>
      </c>
      <c r="M2516" s="4" t="n">
        <v>0.05</v>
      </c>
      <c r="N2516" s="3" t="n">
        <v>531.78</v>
      </c>
      <c r="O2516" s="3">
        <f>K2516*L2516*(1-M2516)</f>
        <v/>
      </c>
      <c r="P2516" s="3">
        <f>O2516-N2516</f>
        <v/>
      </c>
      <c r="Q2516" s="5">
        <f>IFERROR(P2516/O2516,0)</f>
        <v/>
      </c>
      <c r="R2516" s="2">
        <f>TEXT(DATEVALUE(B2516),"mmm")</f>
        <v/>
      </c>
      <c r="S2516" s="2">
        <f>TEXT(DATEVALUE(B2516),"yyyy-mm")</f>
        <v/>
      </c>
    </row>
    <row r="2517">
      <c r="A2517" s="2" t="inlineStr">
        <is>
          <t>O004950</t>
        </is>
      </c>
      <c r="B2517" s="2" t="inlineStr">
        <is>
          <t>2025-06-30</t>
        </is>
      </c>
      <c r="C2517" s="2" t="inlineStr">
        <is>
          <t>C0538</t>
        </is>
      </c>
      <c r="D2517" s="2" t="inlineStr">
        <is>
          <t>P0017</t>
        </is>
      </c>
      <c r="E2517" s="2" t="inlineStr">
        <is>
          <t>Jeans</t>
        </is>
      </c>
      <c r="F2517" s="2" t="inlineStr">
        <is>
          <t>Fashion</t>
        </is>
      </c>
      <c r="G2517" s="2" t="inlineStr">
        <is>
          <t>North</t>
        </is>
      </c>
      <c r="H2517" s="2" t="inlineStr">
        <is>
          <t>Uttar Pradesh</t>
        </is>
      </c>
      <c r="I2517" s="2" t="inlineStr">
        <is>
          <t>Noida</t>
        </is>
      </c>
      <c r="J2517" s="2" t="inlineStr">
        <is>
          <t>Online</t>
        </is>
      </c>
      <c r="K2517" s="2" t="n">
        <v>1</v>
      </c>
      <c r="L2517" s="3" t="n">
        <v>1428.56</v>
      </c>
      <c r="M2517" s="4" t="n">
        <v>0.15</v>
      </c>
      <c r="N2517" s="3" t="n">
        <v>1018.55</v>
      </c>
      <c r="O2517" s="3">
        <f>K2517*L2517*(1-M2517)</f>
        <v/>
      </c>
      <c r="P2517" s="3">
        <f>O2517-N2517</f>
        <v/>
      </c>
      <c r="Q2517" s="5">
        <f>IFERROR(P2517/O2517,0)</f>
        <v/>
      </c>
      <c r="R2517" s="2">
        <f>TEXT(DATEVALUE(B2517),"mmm")</f>
        <v/>
      </c>
      <c r="S2517" s="2">
        <f>TEXT(DATEVALUE(B2517),"yyyy-mm")</f>
        <v/>
      </c>
    </row>
    <row r="2518">
      <c r="A2518" s="2" t="inlineStr">
        <is>
          <t>O004654</t>
        </is>
      </c>
      <c r="B2518" s="2" t="inlineStr">
        <is>
          <t>2025-06-30</t>
        </is>
      </c>
      <c r="C2518" s="2" t="inlineStr">
        <is>
          <t>C0733</t>
        </is>
      </c>
      <c r="D2518" s="2" t="inlineStr">
        <is>
          <t>P0027</t>
        </is>
      </c>
      <c r="E2518" s="2" t="inlineStr">
        <is>
          <t>Moisturizer</t>
        </is>
      </c>
      <c r="F2518" s="2" t="inlineStr">
        <is>
          <t>Beauty</t>
        </is>
      </c>
      <c r="G2518" s="2" t="inlineStr">
        <is>
          <t>West</t>
        </is>
      </c>
      <c r="H2518" s="2" t="inlineStr">
        <is>
          <t>Goa</t>
        </is>
      </c>
      <c r="I2518" s="2" t="inlineStr">
        <is>
          <t>Panaji</t>
        </is>
      </c>
      <c r="J2518" s="2" t="inlineStr">
        <is>
          <t>Online</t>
        </is>
      </c>
      <c r="K2518" s="2" t="n">
        <v>2</v>
      </c>
      <c r="L2518" s="3" t="n">
        <v>976.67</v>
      </c>
      <c r="M2518" s="4" t="n">
        <v>0.05</v>
      </c>
      <c r="N2518" s="3" t="n">
        <v>1334.85</v>
      </c>
      <c r="O2518" s="3">
        <f>K2518*L2518*(1-M2518)</f>
        <v/>
      </c>
      <c r="P2518" s="3">
        <f>O2518-N2518</f>
        <v/>
      </c>
      <c r="Q2518" s="5">
        <f>IFERROR(P2518/O2518,0)</f>
        <v/>
      </c>
      <c r="R2518" s="2">
        <f>TEXT(DATEVALUE(B2518),"mmm")</f>
        <v/>
      </c>
      <c r="S2518" s="2">
        <f>TEXT(DATEVALUE(B2518),"yyyy-mm")</f>
        <v/>
      </c>
    </row>
    <row r="2519">
      <c r="A2519" s="2" t="inlineStr">
        <is>
          <t>O004116</t>
        </is>
      </c>
      <c r="B2519" s="2" t="inlineStr">
        <is>
          <t>2025-06-30</t>
        </is>
      </c>
      <c r="C2519" s="2" t="inlineStr">
        <is>
          <t>C0483</t>
        </is>
      </c>
      <c r="D2519" s="2" t="inlineStr">
        <is>
          <t>P0004</t>
        </is>
      </c>
      <c r="E2519" s="2" t="inlineStr">
        <is>
          <t>USB-C Hub</t>
        </is>
      </c>
      <c r="F2519" s="2" t="inlineStr">
        <is>
          <t>Electronics</t>
        </is>
      </c>
      <c r="G2519" s="2" t="inlineStr">
        <is>
          <t>South</t>
        </is>
      </c>
      <c r="H2519" s="2" t="inlineStr">
        <is>
          <t>Tamil Nadu</t>
        </is>
      </c>
      <c r="I2519" s="2" t="inlineStr">
        <is>
          <t>Madurai</t>
        </is>
      </c>
      <c r="J2519" s="2" t="inlineStr">
        <is>
          <t>Store</t>
        </is>
      </c>
      <c r="K2519" s="2" t="n">
        <v>3</v>
      </c>
      <c r="L2519" s="3" t="n">
        <v>1289.13</v>
      </c>
      <c r="M2519" s="4" t="n">
        <v>0.05</v>
      </c>
      <c r="N2519" s="3" t="n">
        <v>2744.39</v>
      </c>
      <c r="O2519" s="3">
        <f>K2519*L2519*(1-M2519)</f>
        <v/>
      </c>
      <c r="P2519" s="3">
        <f>O2519-N2519</f>
        <v/>
      </c>
      <c r="Q2519" s="5">
        <f>IFERROR(P2519/O2519,0)</f>
        <v/>
      </c>
      <c r="R2519" s="2">
        <f>TEXT(DATEVALUE(B2519),"mmm")</f>
        <v/>
      </c>
      <c r="S2519" s="2">
        <f>TEXT(DATEVALUE(B2519),"yyyy-mm")</f>
        <v/>
      </c>
    </row>
    <row r="2520">
      <c r="A2520" s="2" t="inlineStr">
        <is>
          <t>O004108</t>
        </is>
      </c>
      <c r="B2520" s="2" t="inlineStr">
        <is>
          <t>2025-06-30</t>
        </is>
      </c>
      <c r="C2520" s="2" t="inlineStr">
        <is>
          <t>C0755</t>
        </is>
      </c>
      <c r="D2520" s="2" t="inlineStr">
        <is>
          <t>P0014</t>
        </is>
      </c>
      <c r="E2520" s="2" t="inlineStr">
        <is>
          <t>Coffee Maker</t>
        </is>
      </c>
      <c r="F2520" s="2" t="inlineStr">
        <is>
          <t>Home &amp; Kitchen</t>
        </is>
      </c>
      <c r="G2520" s="2" t="inlineStr">
        <is>
          <t>West</t>
        </is>
      </c>
      <c r="H2520" s="2" t="inlineStr">
        <is>
          <t>Gujarat</t>
        </is>
      </c>
      <c r="I2520" s="2" t="inlineStr">
        <is>
          <t>Ahmedabad</t>
        </is>
      </c>
      <c r="J2520" s="2" t="inlineStr">
        <is>
          <t>Online</t>
        </is>
      </c>
      <c r="K2520" s="2" t="n">
        <v>2</v>
      </c>
      <c r="L2520" s="3" t="n">
        <v>1091.58</v>
      </c>
      <c r="M2520" s="4" t="n">
        <v>0.2</v>
      </c>
      <c r="N2520" s="3" t="n">
        <v>1549.43</v>
      </c>
      <c r="O2520" s="3">
        <f>K2520*L2520*(1-M2520)</f>
        <v/>
      </c>
      <c r="P2520" s="3">
        <f>O2520-N2520</f>
        <v/>
      </c>
      <c r="Q2520" s="5">
        <f>IFERROR(P2520/O2520,0)</f>
        <v/>
      </c>
      <c r="R2520" s="2">
        <f>TEXT(DATEVALUE(B2520),"mmm")</f>
        <v/>
      </c>
      <c r="S2520" s="2">
        <f>TEXT(DATEVALUE(B2520),"yyyy-mm")</f>
        <v/>
      </c>
    </row>
    <row r="2521">
      <c r="A2521" s="2" t="inlineStr">
        <is>
          <t>O004044</t>
        </is>
      </c>
      <c r="B2521" s="2" t="inlineStr">
        <is>
          <t>2025-06-30</t>
        </is>
      </c>
      <c r="C2521" s="2" t="inlineStr">
        <is>
          <t>C0667</t>
        </is>
      </c>
      <c r="D2521" s="2" t="inlineStr">
        <is>
          <t>P0027</t>
        </is>
      </c>
      <c r="E2521" s="2" t="inlineStr">
        <is>
          <t>Moisturizer</t>
        </is>
      </c>
      <c r="F2521" s="2" t="inlineStr">
        <is>
          <t>Beauty</t>
        </is>
      </c>
      <c r="G2521" s="2" t="inlineStr">
        <is>
          <t>North</t>
        </is>
      </c>
      <c r="H2521" s="2" t="inlineStr">
        <is>
          <t>Delhi</t>
        </is>
      </c>
      <c r="I2521" s="2" t="inlineStr">
        <is>
          <t>New Delhi</t>
        </is>
      </c>
      <c r="J2521" s="2" t="inlineStr">
        <is>
          <t>Store</t>
        </is>
      </c>
      <c r="K2521" s="2" t="n">
        <v>4</v>
      </c>
      <c r="L2521" s="3" t="n">
        <v>938.02</v>
      </c>
      <c r="M2521" s="4" t="n">
        <v>0.15</v>
      </c>
      <c r="N2521" s="3" t="n">
        <v>2760.35</v>
      </c>
      <c r="O2521" s="3">
        <f>K2521*L2521*(1-M2521)</f>
        <v/>
      </c>
      <c r="P2521" s="3">
        <f>O2521-N2521</f>
        <v/>
      </c>
      <c r="Q2521" s="5">
        <f>IFERROR(P2521/O2521,0)</f>
        <v/>
      </c>
      <c r="R2521" s="2">
        <f>TEXT(DATEVALUE(B2521),"mmm")</f>
        <v/>
      </c>
      <c r="S2521" s="2">
        <f>TEXT(DATEVALUE(B2521),"yyyy-mm")</f>
        <v/>
      </c>
    </row>
    <row r="2522">
      <c r="A2522" s="2" t="inlineStr">
        <is>
          <t>O002595</t>
        </is>
      </c>
      <c r="B2522" s="2" t="inlineStr">
        <is>
          <t>2025-06-30</t>
        </is>
      </c>
      <c r="C2522" s="2" t="inlineStr">
        <is>
          <t>C0221</t>
        </is>
      </c>
      <c r="D2522" s="2" t="inlineStr">
        <is>
          <t>P0031</t>
        </is>
      </c>
      <c r="E2522" s="2" t="inlineStr">
        <is>
          <t>Cricket Bat</t>
        </is>
      </c>
      <c r="F2522" s="2" t="inlineStr">
        <is>
          <t>Sports</t>
        </is>
      </c>
      <c r="G2522" s="2" t="inlineStr">
        <is>
          <t>West</t>
        </is>
      </c>
      <c r="H2522" s="2" t="inlineStr">
        <is>
          <t>Maharashtra</t>
        </is>
      </c>
      <c r="I2522" s="2" t="inlineStr">
        <is>
          <t>Nashik</t>
        </is>
      </c>
      <c r="J2522" s="2" t="inlineStr">
        <is>
          <t>Online</t>
        </is>
      </c>
      <c r="K2522" s="2" t="n">
        <v>5</v>
      </c>
      <c r="L2522" s="3" t="n">
        <v>1367.99</v>
      </c>
      <c r="M2522" s="4" t="n">
        <v>0.05</v>
      </c>
      <c r="N2522" s="3" t="n">
        <v>4778.13</v>
      </c>
      <c r="O2522" s="3">
        <f>K2522*L2522*(1-M2522)</f>
        <v/>
      </c>
      <c r="P2522" s="3">
        <f>O2522-N2522</f>
        <v/>
      </c>
      <c r="Q2522" s="5">
        <f>IFERROR(P2522/O2522,0)</f>
        <v/>
      </c>
      <c r="R2522" s="2">
        <f>TEXT(DATEVALUE(B2522),"mmm")</f>
        <v/>
      </c>
      <c r="S2522" s="2">
        <f>TEXT(DATEVALUE(B2522),"yyyy-mm")</f>
        <v/>
      </c>
    </row>
    <row r="2523">
      <c r="A2523" s="2" t="inlineStr">
        <is>
          <t>O001373</t>
        </is>
      </c>
      <c r="B2523" s="2" t="inlineStr">
        <is>
          <t>2025-06-30</t>
        </is>
      </c>
      <c r="C2523" s="2" t="inlineStr">
        <is>
          <t>C0510</t>
        </is>
      </c>
      <c r="D2523" s="2" t="inlineStr">
        <is>
          <t>P0017</t>
        </is>
      </c>
      <c r="E2523" s="2" t="inlineStr">
        <is>
          <t>Jeans</t>
        </is>
      </c>
      <c r="F2523" s="2" t="inlineStr">
        <is>
          <t>Fashion</t>
        </is>
      </c>
      <c r="G2523" s="2" t="inlineStr">
        <is>
          <t>West</t>
        </is>
      </c>
      <c r="H2523" s="2" t="inlineStr">
        <is>
          <t>Gujarat</t>
        </is>
      </c>
      <c r="I2523" s="2" t="inlineStr">
        <is>
          <t>Vadodara</t>
        </is>
      </c>
      <c r="J2523" s="2" t="inlineStr">
        <is>
          <t>Store</t>
        </is>
      </c>
      <c r="K2523" s="2" t="n">
        <v>2</v>
      </c>
      <c r="L2523" s="3" t="n">
        <v>1517.14</v>
      </c>
      <c r="M2523" s="4" t="n">
        <v>0.1</v>
      </c>
      <c r="N2523" s="3" t="n">
        <v>2120.75</v>
      </c>
      <c r="O2523" s="3">
        <f>K2523*L2523*(1-M2523)</f>
        <v/>
      </c>
      <c r="P2523" s="3">
        <f>O2523-N2523</f>
        <v/>
      </c>
      <c r="Q2523" s="5">
        <f>IFERROR(P2523/O2523,0)</f>
        <v/>
      </c>
      <c r="R2523" s="2">
        <f>TEXT(DATEVALUE(B2523),"mmm")</f>
        <v/>
      </c>
      <c r="S2523" s="2">
        <f>TEXT(DATEVALUE(B2523),"yyyy-mm")</f>
        <v/>
      </c>
    </row>
    <row r="2524">
      <c r="A2524" s="2" t="inlineStr">
        <is>
          <t>O002023</t>
        </is>
      </c>
      <c r="B2524" s="2" t="inlineStr">
        <is>
          <t>2025-06-30</t>
        </is>
      </c>
      <c r="C2524" s="2" t="inlineStr">
        <is>
          <t>C0139</t>
        </is>
      </c>
      <c r="D2524" s="2" t="inlineStr">
        <is>
          <t>P0003</t>
        </is>
      </c>
      <c r="E2524" s="2" t="inlineStr">
        <is>
          <t>Smartwatch</t>
        </is>
      </c>
      <c r="F2524" s="2" t="inlineStr">
        <is>
          <t>Electronics</t>
        </is>
      </c>
      <c r="G2524" s="2" t="inlineStr">
        <is>
          <t>South</t>
        </is>
      </c>
      <c r="H2524" s="2" t="inlineStr">
        <is>
          <t>Kerala</t>
        </is>
      </c>
      <c r="I2524" s="2" t="inlineStr">
        <is>
          <t>Kochi</t>
        </is>
      </c>
      <c r="J2524" s="2" t="inlineStr">
        <is>
          <t>Online</t>
        </is>
      </c>
      <c r="K2524" s="2" t="n">
        <v>4</v>
      </c>
      <c r="L2524" s="3" t="n">
        <v>2350.86</v>
      </c>
      <c r="M2524" s="4" t="n">
        <v>0.1</v>
      </c>
      <c r="N2524" s="3" t="n">
        <v>4819.53</v>
      </c>
      <c r="O2524" s="3">
        <f>K2524*L2524*(1-M2524)</f>
        <v/>
      </c>
      <c r="P2524" s="3">
        <f>O2524-N2524</f>
        <v/>
      </c>
      <c r="Q2524" s="5">
        <f>IFERROR(P2524/O2524,0)</f>
        <v/>
      </c>
      <c r="R2524" s="2">
        <f>TEXT(DATEVALUE(B2524),"mmm")</f>
        <v/>
      </c>
      <c r="S2524" s="2">
        <f>TEXT(DATEVALUE(B2524),"yyyy-mm")</f>
        <v/>
      </c>
    </row>
    <row r="2525">
      <c r="A2525" s="2" t="inlineStr">
        <is>
          <t>O001772</t>
        </is>
      </c>
      <c r="B2525" s="2" t="inlineStr">
        <is>
          <t>2025-06-30</t>
        </is>
      </c>
      <c r="C2525" s="2" t="inlineStr">
        <is>
          <t>C0150</t>
        </is>
      </c>
      <c r="D2525" s="2" t="inlineStr">
        <is>
          <t>P0011</t>
        </is>
      </c>
      <c r="E2525" s="2" t="inlineStr">
        <is>
          <t>Cookware Set</t>
        </is>
      </c>
      <c r="F2525" s="2" t="inlineStr">
        <is>
          <t>Home &amp; Kitchen</t>
        </is>
      </c>
      <c r="G2525" s="2" t="inlineStr">
        <is>
          <t>West</t>
        </is>
      </c>
      <c r="H2525" s="2" t="inlineStr">
        <is>
          <t>Maharashtra</t>
        </is>
      </c>
      <c r="I2525" s="2" t="inlineStr">
        <is>
          <t>Nagpur</t>
        </is>
      </c>
      <c r="J2525" s="2" t="inlineStr">
        <is>
          <t>Store</t>
        </is>
      </c>
      <c r="K2525" s="2" t="n">
        <v>3</v>
      </c>
      <c r="L2525" s="3" t="n">
        <v>721.28</v>
      </c>
      <c r="M2525" s="4" t="n">
        <v>0</v>
      </c>
      <c r="N2525" s="3" t="n">
        <v>1432.36</v>
      </c>
      <c r="O2525" s="3">
        <f>K2525*L2525*(1-M2525)</f>
        <v/>
      </c>
      <c r="P2525" s="3">
        <f>O2525-N2525</f>
        <v/>
      </c>
      <c r="Q2525" s="5">
        <f>IFERROR(P2525/O2525,0)</f>
        <v/>
      </c>
      <c r="R2525" s="2">
        <f>TEXT(DATEVALUE(B2525),"mmm")</f>
        <v/>
      </c>
      <c r="S2525" s="2">
        <f>TEXT(DATEVALUE(B2525),"yyyy-mm")</f>
        <v/>
      </c>
    </row>
    <row r="2526">
      <c r="A2526" s="2" t="inlineStr">
        <is>
          <t>O001645</t>
        </is>
      </c>
      <c r="B2526" s="2" t="inlineStr">
        <is>
          <t>2025-06-30</t>
        </is>
      </c>
      <c r="C2526" s="2" t="inlineStr">
        <is>
          <t>C0734</t>
        </is>
      </c>
      <c r="D2526" s="2" t="inlineStr">
        <is>
          <t>P0010</t>
        </is>
      </c>
      <c r="E2526" s="2" t="inlineStr">
        <is>
          <t>Mixer Grinder</t>
        </is>
      </c>
      <c r="F2526" s="2" t="inlineStr">
        <is>
          <t>Home &amp; Kitchen</t>
        </is>
      </c>
      <c r="G2526" s="2" t="inlineStr">
        <is>
          <t>North</t>
        </is>
      </c>
      <c r="H2526" s="2" t="inlineStr">
        <is>
          <t>Haryana</t>
        </is>
      </c>
      <c r="I2526" s="2" t="inlineStr">
        <is>
          <t>Gurugram</t>
        </is>
      </c>
      <c r="J2526" s="2" t="inlineStr">
        <is>
          <t>Store</t>
        </is>
      </c>
      <c r="K2526" s="2" t="n">
        <v>3</v>
      </c>
      <c r="L2526" s="3" t="n">
        <v>1675.42</v>
      </c>
      <c r="M2526" s="4" t="n">
        <v>0.15</v>
      </c>
      <c r="N2526" s="3" t="n">
        <v>3225.12</v>
      </c>
      <c r="O2526" s="3">
        <f>K2526*L2526*(1-M2526)</f>
        <v/>
      </c>
      <c r="P2526" s="3">
        <f>O2526-N2526</f>
        <v/>
      </c>
      <c r="Q2526" s="5">
        <f>IFERROR(P2526/O2526,0)</f>
        <v/>
      </c>
      <c r="R2526" s="2">
        <f>TEXT(DATEVALUE(B2526),"mmm")</f>
        <v/>
      </c>
      <c r="S2526" s="2">
        <f>TEXT(DATEVALUE(B2526),"yyyy-mm")</f>
        <v/>
      </c>
    </row>
    <row r="2527">
      <c r="A2527" s="2" t="inlineStr">
        <is>
          <t>O000588</t>
        </is>
      </c>
      <c r="B2527" s="2" t="inlineStr">
        <is>
          <t>2025-06-30</t>
        </is>
      </c>
      <c r="C2527" s="2" t="inlineStr">
        <is>
          <t>C0507</t>
        </is>
      </c>
      <c r="D2527" s="2" t="inlineStr">
        <is>
          <t>P0031</t>
        </is>
      </c>
      <c r="E2527" s="2" t="inlineStr">
        <is>
          <t>Cricket Bat</t>
        </is>
      </c>
      <c r="F2527" s="2" t="inlineStr">
        <is>
          <t>Sports</t>
        </is>
      </c>
      <c r="G2527" s="2" t="inlineStr">
        <is>
          <t>North</t>
        </is>
      </c>
      <c r="H2527" s="2" t="inlineStr">
        <is>
          <t>Delhi</t>
        </is>
      </c>
      <c r="I2527" s="2" t="inlineStr">
        <is>
          <t>New Delhi</t>
        </is>
      </c>
      <c r="J2527" s="2" t="inlineStr">
        <is>
          <t>Online</t>
        </is>
      </c>
      <c r="K2527" s="2" t="n">
        <v>1</v>
      </c>
      <c r="L2527" s="3" t="n">
        <v>1418.58</v>
      </c>
      <c r="M2527" s="4" t="n">
        <v>0</v>
      </c>
      <c r="N2527" s="3" t="n">
        <v>967.4299999999999</v>
      </c>
      <c r="O2527" s="3">
        <f>K2527*L2527*(1-M2527)</f>
        <v/>
      </c>
      <c r="P2527" s="3">
        <f>O2527-N2527</f>
        <v/>
      </c>
      <c r="Q2527" s="5">
        <f>IFERROR(P2527/O2527,0)</f>
        <v/>
      </c>
      <c r="R2527" s="2">
        <f>TEXT(DATEVALUE(B2527),"mmm")</f>
        <v/>
      </c>
      <c r="S2527" s="2">
        <f>TEXT(DATEVALUE(B2527),"yyyy-mm")</f>
        <v/>
      </c>
    </row>
    <row r="2528">
      <c r="A2528" s="2" t="inlineStr">
        <is>
          <t>O000342</t>
        </is>
      </c>
      <c r="B2528" s="2" t="inlineStr">
        <is>
          <t>2025-06-30</t>
        </is>
      </c>
      <c r="C2528" s="2" t="inlineStr">
        <is>
          <t>C0686</t>
        </is>
      </c>
      <c r="D2528" s="2" t="inlineStr">
        <is>
          <t>P0014</t>
        </is>
      </c>
      <c r="E2528" s="2" t="inlineStr">
        <is>
          <t>Coffee Maker</t>
        </is>
      </c>
      <c r="F2528" s="2" t="inlineStr">
        <is>
          <t>Home &amp; Kitchen</t>
        </is>
      </c>
      <c r="G2528" s="2" t="inlineStr">
        <is>
          <t>East</t>
        </is>
      </c>
      <c r="H2528" s="2" t="inlineStr">
        <is>
          <t>Odisha</t>
        </is>
      </c>
      <c r="I2528" s="2" t="inlineStr">
        <is>
          <t>Bhubaneswar</t>
        </is>
      </c>
      <c r="J2528" s="2" t="inlineStr">
        <is>
          <t>Online</t>
        </is>
      </c>
      <c r="K2528" s="2" t="n">
        <v>1</v>
      </c>
      <c r="L2528" s="3" t="n">
        <v>1059.85</v>
      </c>
      <c r="M2528" s="4" t="n">
        <v>0.05</v>
      </c>
      <c r="N2528" s="3" t="n">
        <v>790.16</v>
      </c>
      <c r="O2528" s="3">
        <f>K2528*L2528*(1-M2528)</f>
        <v/>
      </c>
      <c r="P2528" s="3">
        <f>O2528-N2528</f>
        <v/>
      </c>
      <c r="Q2528" s="5">
        <f>IFERROR(P2528/O2528,0)</f>
        <v/>
      </c>
      <c r="R2528" s="2">
        <f>TEXT(DATEVALUE(B2528),"mmm")</f>
        <v/>
      </c>
      <c r="S2528" s="2">
        <f>TEXT(DATEVALUE(B2528),"yyyy-mm")</f>
        <v/>
      </c>
    </row>
    <row r="2529">
      <c r="A2529" s="2" t="inlineStr">
        <is>
          <t>O002489</t>
        </is>
      </c>
      <c r="B2529" s="2" t="inlineStr">
        <is>
          <t>2025-06-30</t>
        </is>
      </c>
      <c r="C2529" s="2" t="inlineStr">
        <is>
          <t>C0686</t>
        </is>
      </c>
      <c r="D2529" s="2" t="inlineStr">
        <is>
          <t>P0001</t>
        </is>
      </c>
      <c r="E2529" s="2" t="inlineStr">
        <is>
          <t>Wireless Headphones</t>
        </is>
      </c>
      <c r="F2529" s="2" t="inlineStr">
        <is>
          <t>Electronics</t>
        </is>
      </c>
      <c r="G2529" s="2" t="inlineStr">
        <is>
          <t>North</t>
        </is>
      </c>
      <c r="H2529" s="2" t="inlineStr">
        <is>
          <t>Punjab</t>
        </is>
      </c>
      <c r="I2529" s="2" t="inlineStr">
        <is>
          <t>Amritsar</t>
        </is>
      </c>
      <c r="J2529" s="2" t="inlineStr">
        <is>
          <t>Online</t>
        </is>
      </c>
      <c r="K2529" s="2" t="n">
        <v>1</v>
      </c>
      <c r="L2529" s="3" t="n">
        <v>1370.93</v>
      </c>
      <c r="M2529" s="4" t="n">
        <v>0.05</v>
      </c>
      <c r="N2529" s="3" t="n">
        <v>716.34</v>
      </c>
      <c r="O2529" s="3">
        <f>K2529*L2529*(1-M2529)</f>
        <v/>
      </c>
      <c r="P2529" s="3">
        <f>O2529-N2529</f>
        <v/>
      </c>
      <c r="Q2529" s="5">
        <f>IFERROR(P2529/O2529,0)</f>
        <v/>
      </c>
      <c r="R2529" s="2">
        <f>TEXT(DATEVALUE(B2529),"mmm")</f>
        <v/>
      </c>
      <c r="S2529" s="2">
        <f>TEXT(DATEVALUE(B2529),"yyyy-mm")</f>
        <v/>
      </c>
    </row>
    <row r="2530">
      <c r="A2530" s="2" t="inlineStr">
        <is>
          <t>O004288</t>
        </is>
      </c>
      <c r="B2530" s="2" t="inlineStr">
        <is>
          <t>2025-07-01</t>
        </is>
      </c>
      <c r="C2530" s="2" t="inlineStr">
        <is>
          <t>C0195</t>
        </is>
      </c>
      <c r="D2530" s="2" t="inlineStr">
        <is>
          <t>P0011</t>
        </is>
      </c>
      <c r="E2530" s="2" t="inlineStr">
        <is>
          <t>Cookware Set</t>
        </is>
      </c>
      <c r="F2530" s="2" t="inlineStr">
        <is>
          <t>Home &amp; Kitchen</t>
        </is>
      </c>
      <c r="G2530" s="2" t="inlineStr">
        <is>
          <t>West</t>
        </is>
      </c>
      <c r="H2530" s="2" t="inlineStr">
        <is>
          <t>Goa</t>
        </is>
      </c>
      <c r="I2530" s="2" t="inlineStr">
        <is>
          <t>Margao</t>
        </is>
      </c>
      <c r="J2530" s="2" t="inlineStr">
        <is>
          <t>Online</t>
        </is>
      </c>
      <c r="K2530" s="2" t="n">
        <v>1</v>
      </c>
      <c r="L2530" s="3" t="n">
        <v>681.28</v>
      </c>
      <c r="M2530" s="4" t="n">
        <v>0.25</v>
      </c>
      <c r="N2530" s="3" t="n">
        <v>468.49</v>
      </c>
      <c r="O2530" s="3">
        <f>K2530*L2530*(1-M2530)</f>
        <v/>
      </c>
      <c r="P2530" s="3">
        <f>O2530-N2530</f>
        <v/>
      </c>
      <c r="Q2530" s="5">
        <f>IFERROR(P2530/O2530,0)</f>
        <v/>
      </c>
      <c r="R2530" s="2">
        <f>TEXT(DATEVALUE(B2530),"mmm")</f>
        <v/>
      </c>
      <c r="S2530" s="2">
        <f>TEXT(DATEVALUE(B2530),"yyyy-mm")</f>
        <v/>
      </c>
    </row>
    <row r="2531">
      <c r="A2531" s="2" t="inlineStr">
        <is>
          <t>O004895</t>
        </is>
      </c>
      <c r="B2531" s="2" t="inlineStr">
        <is>
          <t>2025-07-01</t>
        </is>
      </c>
      <c r="C2531" s="2" t="inlineStr">
        <is>
          <t>C0633</t>
        </is>
      </c>
      <c r="D2531" s="2" t="inlineStr">
        <is>
          <t>P0018</t>
        </is>
      </c>
      <c r="E2531" s="2" t="inlineStr">
        <is>
          <t>Backpack</t>
        </is>
      </c>
      <c r="F2531" s="2" t="inlineStr">
        <is>
          <t>Fashion</t>
        </is>
      </c>
      <c r="G2531" s="2" t="inlineStr">
        <is>
          <t>North</t>
        </is>
      </c>
      <c r="H2531" s="2" t="inlineStr">
        <is>
          <t>Haryana</t>
        </is>
      </c>
      <c r="I2531" s="2" t="inlineStr">
        <is>
          <t>Faridabad</t>
        </is>
      </c>
      <c r="J2531" s="2" t="inlineStr">
        <is>
          <t>Store</t>
        </is>
      </c>
      <c r="K2531" s="2" t="n">
        <v>2</v>
      </c>
      <c r="L2531" s="3" t="n">
        <v>1862.73</v>
      </c>
      <c r="M2531" s="4" t="n">
        <v>0.05</v>
      </c>
      <c r="N2531" s="3" t="n">
        <v>2659.77</v>
      </c>
      <c r="O2531" s="3">
        <f>K2531*L2531*(1-M2531)</f>
        <v/>
      </c>
      <c r="P2531" s="3">
        <f>O2531-N2531</f>
        <v/>
      </c>
      <c r="Q2531" s="5">
        <f>IFERROR(P2531/O2531,0)</f>
        <v/>
      </c>
      <c r="R2531" s="2">
        <f>TEXT(DATEVALUE(B2531),"mmm")</f>
        <v/>
      </c>
      <c r="S2531" s="2">
        <f>TEXT(DATEVALUE(B2531),"yyyy-mm")</f>
        <v/>
      </c>
    </row>
    <row r="2532">
      <c r="A2532" s="2" t="inlineStr">
        <is>
          <t>O004815</t>
        </is>
      </c>
      <c r="B2532" s="2" t="inlineStr">
        <is>
          <t>2025-07-01</t>
        </is>
      </c>
      <c r="C2532" s="2" t="inlineStr">
        <is>
          <t>C0352</t>
        </is>
      </c>
      <c r="D2532" s="2" t="inlineStr">
        <is>
          <t>P0032</t>
        </is>
      </c>
      <c r="E2532" s="2" t="inlineStr">
        <is>
          <t>Football</t>
        </is>
      </c>
      <c r="F2532" s="2" t="inlineStr">
        <is>
          <t>Sports</t>
        </is>
      </c>
      <c r="G2532" s="2" t="inlineStr">
        <is>
          <t>East</t>
        </is>
      </c>
      <c r="H2532" s="2" t="inlineStr">
        <is>
          <t>West Bengal</t>
        </is>
      </c>
      <c r="I2532" s="2" t="inlineStr">
        <is>
          <t>Kolkata</t>
        </is>
      </c>
      <c r="J2532" s="2" t="inlineStr">
        <is>
          <t>Store</t>
        </is>
      </c>
      <c r="K2532" s="2" t="n">
        <v>1</v>
      </c>
      <c r="L2532" s="3" t="n">
        <v>817.8200000000001</v>
      </c>
      <c r="M2532" s="4" t="n">
        <v>0</v>
      </c>
      <c r="N2532" s="3" t="n">
        <v>516.45</v>
      </c>
      <c r="O2532" s="3">
        <f>K2532*L2532*(1-M2532)</f>
        <v/>
      </c>
      <c r="P2532" s="3">
        <f>O2532-N2532</f>
        <v/>
      </c>
      <c r="Q2532" s="5">
        <f>IFERROR(P2532/O2532,0)</f>
        <v/>
      </c>
      <c r="R2532" s="2">
        <f>TEXT(DATEVALUE(B2532),"mmm")</f>
        <v/>
      </c>
      <c r="S2532" s="2">
        <f>TEXT(DATEVALUE(B2532),"yyyy-mm")</f>
        <v/>
      </c>
    </row>
    <row r="2533">
      <c r="A2533" s="2" t="inlineStr">
        <is>
          <t>O004689</t>
        </is>
      </c>
      <c r="B2533" s="2" t="inlineStr">
        <is>
          <t>2025-07-01</t>
        </is>
      </c>
      <c r="C2533" s="2" t="inlineStr">
        <is>
          <t>C0630</t>
        </is>
      </c>
      <c r="D2533" s="2" t="inlineStr">
        <is>
          <t>P0024</t>
        </is>
      </c>
      <c r="E2533" s="2" t="inlineStr">
        <is>
          <t>Hair Dryer</t>
        </is>
      </c>
      <c r="F2533" s="2" t="inlineStr">
        <is>
          <t>Beauty</t>
        </is>
      </c>
      <c r="G2533" s="2" t="inlineStr">
        <is>
          <t>North</t>
        </is>
      </c>
      <c r="H2533" s="2" t="inlineStr">
        <is>
          <t>Haryana</t>
        </is>
      </c>
      <c r="I2533" s="2" t="inlineStr">
        <is>
          <t>Faridabad</t>
        </is>
      </c>
      <c r="J2533" s="2" t="inlineStr">
        <is>
          <t>Store</t>
        </is>
      </c>
      <c r="K2533" s="2" t="n">
        <v>1</v>
      </c>
      <c r="L2533" s="3" t="n">
        <v>1035.8</v>
      </c>
      <c r="M2533" s="4" t="n">
        <v>0</v>
      </c>
      <c r="N2533" s="3" t="n">
        <v>747.08</v>
      </c>
      <c r="O2533" s="3">
        <f>K2533*L2533*(1-M2533)</f>
        <v/>
      </c>
      <c r="P2533" s="3">
        <f>O2533-N2533</f>
        <v/>
      </c>
      <c r="Q2533" s="5">
        <f>IFERROR(P2533/O2533,0)</f>
        <v/>
      </c>
      <c r="R2533" s="2">
        <f>TEXT(DATEVALUE(B2533),"mmm")</f>
        <v/>
      </c>
      <c r="S2533" s="2">
        <f>TEXT(DATEVALUE(B2533),"yyyy-mm")</f>
        <v/>
      </c>
    </row>
    <row r="2534">
      <c r="A2534" s="2" t="inlineStr">
        <is>
          <t>O004450</t>
        </is>
      </c>
      <c r="B2534" s="2" t="inlineStr">
        <is>
          <t>2025-07-01</t>
        </is>
      </c>
      <c r="C2534" s="2" t="inlineStr">
        <is>
          <t>C0263</t>
        </is>
      </c>
      <c r="D2534" s="2" t="inlineStr">
        <is>
          <t>P0031</t>
        </is>
      </c>
      <c r="E2534" s="2" t="inlineStr">
        <is>
          <t>Cricket Bat</t>
        </is>
      </c>
      <c r="F2534" s="2" t="inlineStr">
        <is>
          <t>Sports</t>
        </is>
      </c>
      <c r="G2534" s="2" t="inlineStr">
        <is>
          <t>East</t>
        </is>
      </c>
      <c r="H2534" s="2" t="inlineStr">
        <is>
          <t>West Bengal</t>
        </is>
      </c>
      <c r="I2534" s="2" t="inlineStr">
        <is>
          <t>Kolkata</t>
        </is>
      </c>
      <c r="J2534" s="2" t="inlineStr">
        <is>
          <t>Online</t>
        </is>
      </c>
      <c r="K2534" s="2" t="n">
        <v>6</v>
      </c>
      <c r="L2534" s="3" t="n">
        <v>1413.63</v>
      </c>
      <c r="M2534" s="4" t="n">
        <v>0</v>
      </c>
      <c r="N2534" s="3" t="n">
        <v>5580.63</v>
      </c>
      <c r="O2534" s="3">
        <f>K2534*L2534*(1-M2534)</f>
        <v/>
      </c>
      <c r="P2534" s="3">
        <f>O2534-N2534</f>
        <v/>
      </c>
      <c r="Q2534" s="5">
        <f>IFERROR(P2534/O2534,0)</f>
        <v/>
      </c>
      <c r="R2534" s="2">
        <f>TEXT(DATEVALUE(B2534),"mmm")</f>
        <v/>
      </c>
      <c r="S2534" s="2">
        <f>TEXT(DATEVALUE(B2534),"yyyy-mm")</f>
        <v/>
      </c>
    </row>
    <row r="2535">
      <c r="A2535" s="2" t="inlineStr">
        <is>
          <t>O003807</t>
        </is>
      </c>
      <c r="B2535" s="2" t="inlineStr">
        <is>
          <t>2025-07-01</t>
        </is>
      </c>
      <c r="C2535" s="2" t="inlineStr">
        <is>
          <t>C0174</t>
        </is>
      </c>
      <c r="D2535" s="2" t="inlineStr">
        <is>
          <t>P0009</t>
        </is>
      </c>
      <c r="E2535" s="2" t="inlineStr">
        <is>
          <t>Electric Kettle</t>
        </is>
      </c>
      <c r="F2535" s="2" t="inlineStr">
        <is>
          <t>Home &amp; Kitchen</t>
        </is>
      </c>
      <c r="G2535" s="2" t="inlineStr">
        <is>
          <t>West</t>
        </is>
      </c>
      <c r="H2535" s="2" t="inlineStr">
        <is>
          <t>Gujarat</t>
        </is>
      </c>
      <c r="I2535" s="2" t="inlineStr">
        <is>
          <t>Surat</t>
        </is>
      </c>
      <c r="J2535" s="2" t="inlineStr">
        <is>
          <t>Store</t>
        </is>
      </c>
      <c r="K2535" s="2" t="n">
        <v>2</v>
      </c>
      <c r="L2535" s="3" t="n">
        <v>2064.38</v>
      </c>
      <c r="M2535" s="4" t="n">
        <v>0</v>
      </c>
      <c r="N2535" s="3" t="n">
        <v>2217.04</v>
      </c>
      <c r="O2535" s="3">
        <f>K2535*L2535*(1-M2535)</f>
        <v/>
      </c>
      <c r="P2535" s="3">
        <f>O2535-N2535</f>
        <v/>
      </c>
      <c r="Q2535" s="5">
        <f>IFERROR(P2535/O2535,0)</f>
        <v/>
      </c>
      <c r="R2535" s="2">
        <f>TEXT(DATEVALUE(B2535),"mmm")</f>
        <v/>
      </c>
      <c r="S2535" s="2">
        <f>TEXT(DATEVALUE(B2535),"yyyy-mm")</f>
        <v/>
      </c>
    </row>
    <row r="2536">
      <c r="A2536" s="2" t="inlineStr">
        <is>
          <t>O004887</t>
        </is>
      </c>
      <c r="B2536" s="2" t="inlineStr">
        <is>
          <t>2025-07-01</t>
        </is>
      </c>
      <c r="C2536" s="2" t="inlineStr">
        <is>
          <t>C0319</t>
        </is>
      </c>
      <c r="D2536" s="2" t="inlineStr">
        <is>
          <t>P0017</t>
        </is>
      </c>
      <c r="E2536" s="2" t="inlineStr">
        <is>
          <t>Jeans</t>
        </is>
      </c>
      <c r="F2536" s="2" t="inlineStr">
        <is>
          <t>Fashion</t>
        </is>
      </c>
      <c r="G2536" s="2" t="inlineStr">
        <is>
          <t>North</t>
        </is>
      </c>
      <c r="H2536" s="2" t="inlineStr">
        <is>
          <t>Uttar Pradesh</t>
        </is>
      </c>
      <c r="I2536" s="2" t="inlineStr">
        <is>
          <t>Varanasi</t>
        </is>
      </c>
      <c r="J2536" s="2" t="inlineStr">
        <is>
          <t>Online</t>
        </is>
      </c>
      <c r="K2536" s="2" t="n">
        <v>1</v>
      </c>
      <c r="L2536" s="3" t="n">
        <v>1471.84</v>
      </c>
      <c r="M2536" s="4" t="n">
        <v>0.05</v>
      </c>
      <c r="N2536" s="3" t="n">
        <v>994.9400000000001</v>
      </c>
      <c r="O2536" s="3">
        <f>K2536*L2536*(1-M2536)</f>
        <v/>
      </c>
      <c r="P2536" s="3">
        <f>O2536-N2536</f>
        <v/>
      </c>
      <c r="Q2536" s="5">
        <f>IFERROR(P2536/O2536,0)</f>
        <v/>
      </c>
      <c r="R2536" s="2">
        <f>TEXT(DATEVALUE(B2536),"mmm")</f>
        <v/>
      </c>
      <c r="S2536" s="2">
        <f>TEXT(DATEVALUE(B2536),"yyyy-mm")</f>
        <v/>
      </c>
    </row>
    <row r="2537">
      <c r="A2537" s="2" t="inlineStr">
        <is>
          <t>O002825</t>
        </is>
      </c>
      <c r="B2537" s="2" t="inlineStr">
        <is>
          <t>2025-07-01</t>
        </is>
      </c>
      <c r="C2537" s="2" t="inlineStr">
        <is>
          <t>C0504</t>
        </is>
      </c>
      <c r="D2537" s="2" t="inlineStr">
        <is>
          <t>P0021</t>
        </is>
      </c>
      <c r="E2537" s="2" t="inlineStr">
        <is>
          <t>Wallet</t>
        </is>
      </c>
      <c r="F2537" s="2" t="inlineStr">
        <is>
          <t>Fashion</t>
        </is>
      </c>
      <c r="G2537" s="2" t="inlineStr">
        <is>
          <t>West</t>
        </is>
      </c>
      <c r="H2537" s="2" t="inlineStr">
        <is>
          <t>Goa</t>
        </is>
      </c>
      <c r="I2537" s="2" t="inlineStr">
        <is>
          <t>Panaji</t>
        </is>
      </c>
      <c r="J2537" s="2" t="inlineStr">
        <is>
          <t>Store</t>
        </is>
      </c>
      <c r="K2537" s="2" t="n">
        <v>1</v>
      </c>
      <c r="L2537" s="3" t="n">
        <v>1974.53</v>
      </c>
      <c r="M2537" s="4" t="n">
        <v>0</v>
      </c>
      <c r="N2537" s="3" t="n">
        <v>1184.99</v>
      </c>
      <c r="O2537" s="3">
        <f>K2537*L2537*(1-M2537)</f>
        <v/>
      </c>
      <c r="P2537" s="3">
        <f>O2537-N2537</f>
        <v/>
      </c>
      <c r="Q2537" s="5">
        <f>IFERROR(P2537/O2537,0)</f>
        <v/>
      </c>
      <c r="R2537" s="2">
        <f>TEXT(DATEVALUE(B2537),"mmm")</f>
        <v/>
      </c>
      <c r="S2537" s="2">
        <f>TEXT(DATEVALUE(B2537),"yyyy-mm")</f>
        <v/>
      </c>
    </row>
    <row r="2538">
      <c r="A2538" s="2" t="inlineStr">
        <is>
          <t>O001275</t>
        </is>
      </c>
      <c r="B2538" s="2" t="inlineStr">
        <is>
          <t>2025-07-01</t>
        </is>
      </c>
      <c r="C2538" s="2" t="inlineStr">
        <is>
          <t>C0141</t>
        </is>
      </c>
      <c r="D2538" s="2" t="inlineStr">
        <is>
          <t>P0032</t>
        </is>
      </c>
      <c r="E2538" s="2" t="inlineStr">
        <is>
          <t>Football</t>
        </is>
      </c>
      <c r="F2538" s="2" t="inlineStr">
        <is>
          <t>Sports</t>
        </is>
      </c>
      <c r="G2538" s="2" t="inlineStr">
        <is>
          <t>West</t>
        </is>
      </c>
      <c r="H2538" s="2" t="inlineStr">
        <is>
          <t>Maharashtra</t>
        </is>
      </c>
      <c r="I2538" s="2" t="inlineStr">
        <is>
          <t>Mumbai</t>
        </is>
      </c>
      <c r="J2538" s="2" t="inlineStr">
        <is>
          <t>Online</t>
        </is>
      </c>
      <c r="K2538" s="2" t="n">
        <v>2</v>
      </c>
      <c r="L2538" s="3" t="n">
        <v>840.34</v>
      </c>
      <c r="M2538" s="4" t="n">
        <v>0.05</v>
      </c>
      <c r="N2538" s="3" t="n">
        <v>1101.64</v>
      </c>
      <c r="O2538" s="3">
        <f>K2538*L2538*(1-M2538)</f>
        <v/>
      </c>
      <c r="P2538" s="3">
        <f>O2538-N2538</f>
        <v/>
      </c>
      <c r="Q2538" s="5">
        <f>IFERROR(P2538/O2538,0)</f>
        <v/>
      </c>
      <c r="R2538" s="2">
        <f>TEXT(DATEVALUE(B2538),"mmm")</f>
        <v/>
      </c>
      <c r="S2538" s="2">
        <f>TEXT(DATEVALUE(B2538),"yyyy-mm")</f>
        <v/>
      </c>
    </row>
    <row r="2539">
      <c r="A2539" s="2" t="inlineStr">
        <is>
          <t>O001189</t>
        </is>
      </c>
      <c r="B2539" s="2" t="inlineStr">
        <is>
          <t>2025-07-01</t>
        </is>
      </c>
      <c r="C2539" s="2" t="inlineStr">
        <is>
          <t>C0706</t>
        </is>
      </c>
      <c r="D2539" s="2" t="inlineStr">
        <is>
          <t>P0017</t>
        </is>
      </c>
      <c r="E2539" s="2" t="inlineStr">
        <is>
          <t>Jeans</t>
        </is>
      </c>
      <c r="F2539" s="2" t="inlineStr">
        <is>
          <t>Fashion</t>
        </is>
      </c>
      <c r="G2539" s="2" t="inlineStr">
        <is>
          <t>West</t>
        </is>
      </c>
      <c r="H2539" s="2" t="inlineStr">
        <is>
          <t>Goa</t>
        </is>
      </c>
      <c r="I2539" s="2" t="inlineStr">
        <is>
          <t>Margao</t>
        </is>
      </c>
      <c r="J2539" s="2" t="inlineStr">
        <is>
          <t>Online</t>
        </is>
      </c>
      <c r="K2539" s="2" t="n">
        <v>4</v>
      </c>
      <c r="L2539" s="3" t="n">
        <v>1530.27</v>
      </c>
      <c r="M2539" s="4" t="n">
        <v>0.1</v>
      </c>
      <c r="N2539" s="3" t="n">
        <v>4018.78</v>
      </c>
      <c r="O2539" s="3">
        <f>K2539*L2539*(1-M2539)</f>
        <v/>
      </c>
      <c r="P2539" s="3">
        <f>O2539-N2539</f>
        <v/>
      </c>
      <c r="Q2539" s="5">
        <f>IFERROR(P2539/O2539,0)</f>
        <v/>
      </c>
      <c r="R2539" s="2">
        <f>TEXT(DATEVALUE(B2539),"mmm")</f>
        <v/>
      </c>
      <c r="S2539" s="2">
        <f>TEXT(DATEVALUE(B2539),"yyyy-mm")</f>
        <v/>
      </c>
    </row>
    <row r="2540">
      <c r="A2540" s="2" t="inlineStr">
        <is>
          <t>O001163</t>
        </is>
      </c>
      <c r="B2540" s="2" t="inlineStr">
        <is>
          <t>2025-07-01</t>
        </is>
      </c>
      <c r="C2540" s="2" t="inlineStr">
        <is>
          <t>C0281</t>
        </is>
      </c>
      <c r="D2540" s="2" t="inlineStr">
        <is>
          <t>P0008</t>
        </is>
      </c>
      <c r="E2540" s="2" t="inlineStr">
        <is>
          <t>Air Fryer</t>
        </is>
      </c>
      <c r="F2540" s="2" t="inlineStr">
        <is>
          <t>Home &amp; Kitchen</t>
        </is>
      </c>
      <c r="G2540" s="2" t="inlineStr">
        <is>
          <t>East</t>
        </is>
      </c>
      <c r="H2540" s="2" t="inlineStr">
        <is>
          <t>West Bengal</t>
        </is>
      </c>
      <c r="I2540" s="2" t="inlineStr">
        <is>
          <t>Durgapur</t>
        </is>
      </c>
      <c r="J2540" s="2" t="inlineStr">
        <is>
          <t>Store</t>
        </is>
      </c>
      <c r="K2540" s="2" t="n">
        <v>1</v>
      </c>
      <c r="L2540" s="3" t="n">
        <v>1055</v>
      </c>
      <c r="M2540" s="4" t="n">
        <v>0.2</v>
      </c>
      <c r="N2540" s="3" t="n">
        <v>698.58</v>
      </c>
      <c r="O2540" s="3">
        <f>K2540*L2540*(1-M2540)</f>
        <v/>
      </c>
      <c r="P2540" s="3">
        <f>O2540-N2540</f>
        <v/>
      </c>
      <c r="Q2540" s="5">
        <f>IFERROR(P2540/O2540,0)</f>
        <v/>
      </c>
      <c r="R2540" s="2">
        <f>TEXT(DATEVALUE(B2540),"mmm")</f>
        <v/>
      </c>
      <c r="S2540" s="2">
        <f>TEXT(DATEVALUE(B2540),"yyyy-mm")</f>
        <v/>
      </c>
    </row>
    <row r="2541">
      <c r="A2541" s="2" t="inlineStr">
        <is>
          <t>O002845</t>
        </is>
      </c>
      <c r="B2541" s="2" t="inlineStr">
        <is>
          <t>2025-07-01</t>
        </is>
      </c>
      <c r="C2541" s="2" t="inlineStr">
        <is>
          <t>C0174</t>
        </is>
      </c>
      <c r="D2541" s="2" t="inlineStr">
        <is>
          <t>P0019</t>
        </is>
      </c>
      <c r="E2541" s="2" t="inlineStr">
        <is>
          <t>Jacket</t>
        </is>
      </c>
      <c r="F2541" s="2" t="inlineStr">
        <is>
          <t>Fashion</t>
        </is>
      </c>
      <c r="G2541" s="2" t="inlineStr">
        <is>
          <t>East</t>
        </is>
      </c>
      <c r="H2541" s="2" t="inlineStr">
        <is>
          <t>Odisha</t>
        </is>
      </c>
      <c r="I2541" s="2" t="inlineStr">
        <is>
          <t>Bhubaneswar</t>
        </is>
      </c>
      <c r="J2541" s="2" t="inlineStr">
        <is>
          <t>Online</t>
        </is>
      </c>
      <c r="K2541" s="2" t="n">
        <v>3</v>
      </c>
      <c r="L2541" s="3" t="n">
        <v>1004.67</v>
      </c>
      <c r="M2541" s="4" t="n">
        <v>0</v>
      </c>
      <c r="N2541" s="3" t="n">
        <v>1987</v>
      </c>
      <c r="O2541" s="3">
        <f>K2541*L2541*(1-M2541)</f>
        <v/>
      </c>
      <c r="P2541" s="3">
        <f>O2541-N2541</f>
        <v/>
      </c>
      <c r="Q2541" s="5">
        <f>IFERROR(P2541/O2541,0)</f>
        <v/>
      </c>
      <c r="R2541" s="2">
        <f>TEXT(DATEVALUE(B2541),"mmm")</f>
        <v/>
      </c>
      <c r="S2541" s="2">
        <f>TEXT(DATEVALUE(B2541),"yyyy-mm")</f>
        <v/>
      </c>
    </row>
    <row r="2542">
      <c r="A2542" s="2" t="inlineStr">
        <is>
          <t>O000632</t>
        </is>
      </c>
      <c r="B2542" s="2" t="inlineStr">
        <is>
          <t>2025-07-01</t>
        </is>
      </c>
      <c r="C2542" s="2" t="inlineStr">
        <is>
          <t>C0568</t>
        </is>
      </c>
      <c r="D2542" s="2" t="inlineStr">
        <is>
          <t>P0011</t>
        </is>
      </c>
      <c r="E2542" s="2" t="inlineStr">
        <is>
          <t>Cookware Set</t>
        </is>
      </c>
      <c r="F2542" s="2" t="inlineStr">
        <is>
          <t>Home &amp; Kitchen</t>
        </is>
      </c>
      <c r="G2542" s="2" t="inlineStr">
        <is>
          <t>North</t>
        </is>
      </c>
      <c r="H2542" s="2" t="inlineStr">
        <is>
          <t>Haryana</t>
        </is>
      </c>
      <c r="I2542" s="2" t="inlineStr">
        <is>
          <t>Gurugram</t>
        </is>
      </c>
      <c r="J2542" s="2" t="inlineStr">
        <is>
          <t>Store</t>
        </is>
      </c>
      <c r="K2542" s="2" t="n">
        <v>1</v>
      </c>
      <c r="L2542" s="3" t="n">
        <v>673.92</v>
      </c>
      <c r="M2542" s="4" t="n">
        <v>0</v>
      </c>
      <c r="N2542" s="3" t="n">
        <v>486.98</v>
      </c>
      <c r="O2542" s="3">
        <f>K2542*L2542*(1-M2542)</f>
        <v/>
      </c>
      <c r="P2542" s="3">
        <f>O2542-N2542</f>
        <v/>
      </c>
      <c r="Q2542" s="5">
        <f>IFERROR(P2542/O2542,0)</f>
        <v/>
      </c>
      <c r="R2542" s="2">
        <f>TEXT(DATEVALUE(B2542),"mmm")</f>
        <v/>
      </c>
      <c r="S2542" s="2">
        <f>TEXT(DATEVALUE(B2542),"yyyy-mm")</f>
        <v/>
      </c>
    </row>
    <row r="2543">
      <c r="A2543" s="2" t="inlineStr">
        <is>
          <t>O004868</t>
        </is>
      </c>
      <c r="B2543" s="2" t="inlineStr">
        <is>
          <t>2025-07-02</t>
        </is>
      </c>
      <c r="C2543" s="2" t="inlineStr">
        <is>
          <t>C0367</t>
        </is>
      </c>
      <c r="D2543" s="2" t="inlineStr">
        <is>
          <t>P0022</t>
        </is>
      </c>
      <c r="E2543" s="2" t="inlineStr">
        <is>
          <t>Face Wash</t>
        </is>
      </c>
      <c r="F2543" s="2" t="inlineStr">
        <is>
          <t>Beauty</t>
        </is>
      </c>
      <c r="G2543" s="2" t="inlineStr">
        <is>
          <t>South</t>
        </is>
      </c>
      <c r="H2543" s="2" t="inlineStr">
        <is>
          <t>Telangana</t>
        </is>
      </c>
      <c r="I2543" s="2" t="inlineStr">
        <is>
          <t>Hyderabad</t>
        </is>
      </c>
      <c r="J2543" s="2" t="inlineStr">
        <is>
          <t>Store</t>
        </is>
      </c>
      <c r="K2543" s="2" t="n">
        <v>2</v>
      </c>
      <c r="L2543" s="3" t="n">
        <v>528.7</v>
      </c>
      <c r="M2543" s="4" t="n">
        <v>0.1</v>
      </c>
      <c r="N2543" s="3" t="n">
        <v>685.23</v>
      </c>
      <c r="O2543" s="3">
        <f>K2543*L2543*(1-M2543)</f>
        <v/>
      </c>
      <c r="P2543" s="3">
        <f>O2543-N2543</f>
        <v/>
      </c>
      <c r="Q2543" s="5">
        <f>IFERROR(P2543/O2543,0)</f>
        <v/>
      </c>
      <c r="R2543" s="2">
        <f>TEXT(DATEVALUE(B2543),"mmm")</f>
        <v/>
      </c>
      <c r="S2543" s="2">
        <f>TEXT(DATEVALUE(B2543),"yyyy-mm")</f>
        <v/>
      </c>
    </row>
    <row r="2544">
      <c r="A2544" s="2" t="inlineStr">
        <is>
          <t>O004841</t>
        </is>
      </c>
      <c r="B2544" s="2" t="inlineStr">
        <is>
          <t>2025-07-02</t>
        </is>
      </c>
      <c r="C2544" s="2" t="inlineStr">
        <is>
          <t>C0727</t>
        </is>
      </c>
      <c r="D2544" s="2" t="inlineStr">
        <is>
          <t>P0004</t>
        </is>
      </c>
      <c r="E2544" s="2" t="inlineStr">
        <is>
          <t>USB-C Hub</t>
        </is>
      </c>
      <c r="F2544" s="2" t="inlineStr">
        <is>
          <t>Electronics</t>
        </is>
      </c>
      <c r="G2544" s="2" t="inlineStr">
        <is>
          <t>North</t>
        </is>
      </c>
      <c r="H2544" s="2" t="inlineStr">
        <is>
          <t>Uttar Pradesh</t>
        </is>
      </c>
      <c r="I2544" s="2" t="inlineStr">
        <is>
          <t>Kanpur</t>
        </is>
      </c>
      <c r="J2544" s="2" t="inlineStr">
        <is>
          <t>Online</t>
        </is>
      </c>
      <c r="K2544" s="2" t="n">
        <v>3</v>
      </c>
      <c r="L2544" s="3" t="n">
        <v>1302.4</v>
      </c>
      <c r="M2544" s="4" t="n">
        <v>0.1</v>
      </c>
      <c r="N2544" s="3" t="n">
        <v>2792.41</v>
      </c>
      <c r="O2544" s="3">
        <f>K2544*L2544*(1-M2544)</f>
        <v/>
      </c>
      <c r="P2544" s="3">
        <f>O2544-N2544</f>
        <v/>
      </c>
      <c r="Q2544" s="5">
        <f>IFERROR(P2544/O2544,0)</f>
        <v/>
      </c>
      <c r="R2544" s="2">
        <f>TEXT(DATEVALUE(B2544),"mmm")</f>
        <v/>
      </c>
      <c r="S2544" s="2">
        <f>TEXT(DATEVALUE(B2544),"yyyy-mm")</f>
        <v/>
      </c>
    </row>
    <row r="2545">
      <c r="A2545" s="2" t="inlineStr">
        <is>
          <t>O004213</t>
        </is>
      </c>
      <c r="B2545" s="2" t="inlineStr">
        <is>
          <t>2025-07-02</t>
        </is>
      </c>
      <c r="C2545" s="2" t="inlineStr">
        <is>
          <t>C0425</t>
        </is>
      </c>
      <c r="D2545" s="2" t="inlineStr">
        <is>
          <t>P0006</t>
        </is>
      </c>
      <c r="E2545" s="2" t="inlineStr">
        <is>
          <t>Mechanical Keyboard</t>
        </is>
      </c>
      <c r="F2545" s="2" t="inlineStr">
        <is>
          <t>Electronics</t>
        </is>
      </c>
      <c r="G2545" s="2" t="inlineStr">
        <is>
          <t>North</t>
        </is>
      </c>
      <c r="H2545" s="2" t="inlineStr">
        <is>
          <t>Uttar Pradesh</t>
        </is>
      </c>
      <c r="I2545" s="2" t="inlineStr">
        <is>
          <t>Noida</t>
        </is>
      </c>
      <c r="J2545" s="2" t="inlineStr">
        <is>
          <t>Store</t>
        </is>
      </c>
      <c r="K2545" s="2" t="n">
        <v>2</v>
      </c>
      <c r="L2545" s="3" t="n">
        <v>2674.9</v>
      </c>
      <c r="M2545" s="4" t="n">
        <v>0.1</v>
      </c>
      <c r="N2545" s="3" t="n">
        <v>2856.19</v>
      </c>
      <c r="O2545" s="3">
        <f>K2545*L2545*(1-M2545)</f>
        <v/>
      </c>
      <c r="P2545" s="3">
        <f>O2545-N2545</f>
        <v/>
      </c>
      <c r="Q2545" s="5">
        <f>IFERROR(P2545/O2545,0)</f>
        <v/>
      </c>
      <c r="R2545" s="2">
        <f>TEXT(DATEVALUE(B2545),"mmm")</f>
        <v/>
      </c>
      <c r="S2545" s="2">
        <f>TEXT(DATEVALUE(B2545),"yyyy-mm")</f>
        <v/>
      </c>
    </row>
    <row r="2546">
      <c r="A2546" s="2" t="inlineStr">
        <is>
          <t>O003648</t>
        </is>
      </c>
      <c r="B2546" s="2" t="inlineStr">
        <is>
          <t>2025-07-02</t>
        </is>
      </c>
      <c r="C2546" s="2" t="inlineStr">
        <is>
          <t>C0161</t>
        </is>
      </c>
      <c r="D2546" s="2" t="inlineStr">
        <is>
          <t>P0016</t>
        </is>
      </c>
      <c r="E2546" s="2" t="inlineStr">
        <is>
          <t>Casual Shirt</t>
        </is>
      </c>
      <c r="F2546" s="2" t="inlineStr">
        <is>
          <t>Fashion</t>
        </is>
      </c>
      <c r="G2546" s="2" t="inlineStr">
        <is>
          <t>North</t>
        </is>
      </c>
      <c r="H2546" s="2" t="inlineStr">
        <is>
          <t>Uttar Pradesh</t>
        </is>
      </c>
      <c r="I2546" s="2" t="inlineStr">
        <is>
          <t>Kanpur</t>
        </is>
      </c>
      <c r="J2546" s="2" t="inlineStr">
        <is>
          <t>Online</t>
        </is>
      </c>
      <c r="K2546" s="2" t="n">
        <v>2</v>
      </c>
      <c r="L2546" s="3" t="n">
        <v>1268.16</v>
      </c>
      <c r="M2546" s="4" t="n">
        <v>0</v>
      </c>
      <c r="N2546" s="3" t="n">
        <v>1827.3</v>
      </c>
      <c r="O2546" s="3">
        <f>K2546*L2546*(1-M2546)</f>
        <v/>
      </c>
      <c r="P2546" s="3">
        <f>O2546-N2546</f>
        <v/>
      </c>
      <c r="Q2546" s="5">
        <f>IFERROR(P2546/O2546,0)</f>
        <v/>
      </c>
      <c r="R2546" s="2">
        <f>TEXT(DATEVALUE(B2546),"mmm")</f>
        <v/>
      </c>
      <c r="S2546" s="2">
        <f>TEXT(DATEVALUE(B2546),"yyyy-mm")</f>
        <v/>
      </c>
    </row>
    <row r="2547">
      <c r="A2547" s="2" t="inlineStr">
        <is>
          <t>O003510</t>
        </is>
      </c>
      <c r="B2547" s="2" t="inlineStr">
        <is>
          <t>2025-07-02</t>
        </is>
      </c>
      <c r="C2547" s="2" t="inlineStr">
        <is>
          <t>C0738</t>
        </is>
      </c>
      <c r="D2547" s="2" t="inlineStr">
        <is>
          <t>P0026</t>
        </is>
      </c>
      <c r="E2547" s="2" t="inlineStr">
        <is>
          <t>Shampoo</t>
        </is>
      </c>
      <c r="F2547" s="2" t="inlineStr">
        <is>
          <t>Beauty</t>
        </is>
      </c>
      <c r="G2547" s="2" t="inlineStr">
        <is>
          <t>West</t>
        </is>
      </c>
      <c r="H2547" s="2" t="inlineStr">
        <is>
          <t>Goa</t>
        </is>
      </c>
      <c r="I2547" s="2" t="inlineStr">
        <is>
          <t>Panaji</t>
        </is>
      </c>
      <c r="J2547" s="2" t="inlineStr">
        <is>
          <t>Online</t>
        </is>
      </c>
      <c r="K2547" s="2" t="n">
        <v>2</v>
      </c>
      <c r="L2547" s="3" t="n">
        <v>859.34</v>
      </c>
      <c r="M2547" s="4" t="n">
        <v>0.1</v>
      </c>
      <c r="N2547" s="3" t="n">
        <v>1058.91</v>
      </c>
      <c r="O2547" s="3">
        <f>K2547*L2547*(1-M2547)</f>
        <v/>
      </c>
      <c r="P2547" s="3">
        <f>O2547-N2547</f>
        <v/>
      </c>
      <c r="Q2547" s="5">
        <f>IFERROR(P2547/O2547,0)</f>
        <v/>
      </c>
      <c r="R2547" s="2">
        <f>TEXT(DATEVALUE(B2547),"mmm")</f>
        <v/>
      </c>
      <c r="S2547" s="2">
        <f>TEXT(DATEVALUE(B2547),"yyyy-mm")</f>
        <v/>
      </c>
    </row>
    <row r="2548">
      <c r="A2548" s="2" t="inlineStr">
        <is>
          <t>O003266</t>
        </is>
      </c>
      <c r="B2548" s="2" t="inlineStr">
        <is>
          <t>2025-07-02</t>
        </is>
      </c>
      <c r="C2548" s="2" t="inlineStr">
        <is>
          <t>C0274</t>
        </is>
      </c>
      <c r="D2548" s="2" t="inlineStr">
        <is>
          <t>P0034</t>
        </is>
      </c>
      <c r="E2548" s="2" t="inlineStr">
        <is>
          <t>Gym Gloves</t>
        </is>
      </c>
      <c r="F2548" s="2" t="inlineStr">
        <is>
          <t>Sports</t>
        </is>
      </c>
      <c r="G2548" s="2" t="inlineStr">
        <is>
          <t>South</t>
        </is>
      </c>
      <c r="H2548" s="2" t="inlineStr">
        <is>
          <t>Telangana</t>
        </is>
      </c>
      <c r="I2548" s="2" t="inlineStr">
        <is>
          <t>Hyderabad</t>
        </is>
      </c>
      <c r="J2548" s="2" t="inlineStr">
        <is>
          <t>Store</t>
        </is>
      </c>
      <c r="K2548" s="2" t="n">
        <v>4</v>
      </c>
      <c r="L2548" s="3" t="n">
        <v>617.85</v>
      </c>
      <c r="M2548" s="4" t="n">
        <v>0.2</v>
      </c>
      <c r="N2548" s="3" t="n">
        <v>1658.89</v>
      </c>
      <c r="O2548" s="3">
        <f>K2548*L2548*(1-M2548)</f>
        <v/>
      </c>
      <c r="P2548" s="3">
        <f>O2548-N2548</f>
        <v/>
      </c>
      <c r="Q2548" s="5">
        <f>IFERROR(P2548/O2548,0)</f>
        <v/>
      </c>
      <c r="R2548" s="2">
        <f>TEXT(DATEVALUE(B2548),"mmm")</f>
        <v/>
      </c>
      <c r="S2548" s="2">
        <f>TEXT(DATEVALUE(B2548),"yyyy-mm")</f>
        <v/>
      </c>
    </row>
    <row r="2549">
      <c r="A2549" s="2" t="inlineStr">
        <is>
          <t>O003161</t>
        </is>
      </c>
      <c r="B2549" s="2" t="inlineStr">
        <is>
          <t>2025-07-02</t>
        </is>
      </c>
      <c r="C2549" s="2" t="inlineStr">
        <is>
          <t>C0695</t>
        </is>
      </c>
      <c r="D2549" s="2" t="inlineStr">
        <is>
          <t>P0023</t>
        </is>
      </c>
      <c r="E2549" s="2" t="inlineStr">
        <is>
          <t>Skin Care Kit</t>
        </is>
      </c>
      <c r="F2549" s="2" t="inlineStr">
        <is>
          <t>Beauty</t>
        </is>
      </c>
      <c r="G2549" s="2" t="inlineStr">
        <is>
          <t>South</t>
        </is>
      </c>
      <c r="H2549" s="2" t="inlineStr">
        <is>
          <t>Kerala</t>
        </is>
      </c>
      <c r="I2549" s="2" t="inlineStr">
        <is>
          <t>Kochi</t>
        </is>
      </c>
      <c r="J2549" s="2" t="inlineStr">
        <is>
          <t>Online</t>
        </is>
      </c>
      <c r="K2549" s="2" t="n">
        <v>6</v>
      </c>
      <c r="L2549" s="3" t="n">
        <v>1348.16</v>
      </c>
      <c r="M2549" s="4" t="n">
        <v>0.15</v>
      </c>
      <c r="N2549" s="3" t="n">
        <v>5201.92</v>
      </c>
      <c r="O2549" s="3">
        <f>K2549*L2549*(1-M2549)</f>
        <v/>
      </c>
      <c r="P2549" s="3">
        <f>O2549-N2549</f>
        <v/>
      </c>
      <c r="Q2549" s="5">
        <f>IFERROR(P2549/O2549,0)</f>
        <v/>
      </c>
      <c r="R2549" s="2">
        <f>TEXT(DATEVALUE(B2549),"mmm")</f>
        <v/>
      </c>
      <c r="S2549" s="2">
        <f>TEXT(DATEVALUE(B2549),"yyyy-mm")</f>
        <v/>
      </c>
    </row>
    <row r="2550">
      <c r="A2550" s="2" t="inlineStr">
        <is>
          <t>O002763</t>
        </is>
      </c>
      <c r="B2550" s="2" t="inlineStr">
        <is>
          <t>2025-07-02</t>
        </is>
      </c>
      <c r="C2550" s="2" t="inlineStr">
        <is>
          <t>C0729</t>
        </is>
      </c>
      <c r="D2550" s="2" t="inlineStr">
        <is>
          <t>P0016</t>
        </is>
      </c>
      <c r="E2550" s="2" t="inlineStr">
        <is>
          <t>Casual Shirt</t>
        </is>
      </c>
      <c r="F2550" s="2" t="inlineStr">
        <is>
          <t>Fashion</t>
        </is>
      </c>
      <c r="G2550" s="2" t="inlineStr">
        <is>
          <t>North</t>
        </is>
      </c>
      <c r="H2550" s="2" t="inlineStr">
        <is>
          <t>Punjab</t>
        </is>
      </c>
      <c r="I2550" s="2" t="inlineStr">
        <is>
          <t>Ludhiana</t>
        </is>
      </c>
      <c r="J2550" s="2" t="inlineStr">
        <is>
          <t>Online</t>
        </is>
      </c>
      <c r="K2550" s="2" t="n">
        <v>1</v>
      </c>
      <c r="L2550" s="3" t="n">
        <v>1245.13</v>
      </c>
      <c r="M2550" s="4" t="n">
        <v>0.25</v>
      </c>
      <c r="N2550" s="3" t="n">
        <v>894.03</v>
      </c>
      <c r="O2550" s="3">
        <f>K2550*L2550*(1-M2550)</f>
        <v/>
      </c>
      <c r="P2550" s="3">
        <f>O2550-N2550</f>
        <v/>
      </c>
      <c r="Q2550" s="5">
        <f>IFERROR(P2550/O2550,0)</f>
        <v/>
      </c>
      <c r="R2550" s="2">
        <f>TEXT(DATEVALUE(B2550),"mmm")</f>
        <v/>
      </c>
      <c r="S2550" s="2">
        <f>TEXT(DATEVALUE(B2550),"yyyy-mm")</f>
        <v/>
      </c>
    </row>
    <row r="2551">
      <c r="A2551" s="2" t="inlineStr">
        <is>
          <t>O002761</t>
        </is>
      </c>
      <c r="B2551" s="2" t="inlineStr">
        <is>
          <t>2025-07-02</t>
        </is>
      </c>
      <c r="C2551" s="2" t="inlineStr">
        <is>
          <t>C0449</t>
        </is>
      </c>
      <c r="D2551" s="2" t="inlineStr">
        <is>
          <t>P0011</t>
        </is>
      </c>
      <c r="E2551" s="2" t="inlineStr">
        <is>
          <t>Cookware Set</t>
        </is>
      </c>
      <c r="F2551" s="2" t="inlineStr">
        <is>
          <t>Home &amp; Kitchen</t>
        </is>
      </c>
      <c r="G2551" s="2" t="inlineStr">
        <is>
          <t>West</t>
        </is>
      </c>
      <c r="H2551" s="2" t="inlineStr">
        <is>
          <t>Maharashtra</t>
        </is>
      </c>
      <c r="I2551" s="2" t="inlineStr">
        <is>
          <t>Pune</t>
        </is>
      </c>
      <c r="J2551" s="2" t="inlineStr">
        <is>
          <t>Online</t>
        </is>
      </c>
      <c r="K2551" s="2" t="n">
        <v>2</v>
      </c>
      <c r="L2551" s="3" t="n">
        <v>680.35</v>
      </c>
      <c r="M2551" s="4" t="n">
        <v>0.1</v>
      </c>
      <c r="N2551" s="3" t="n">
        <v>914.85</v>
      </c>
      <c r="O2551" s="3">
        <f>K2551*L2551*(1-M2551)</f>
        <v/>
      </c>
      <c r="P2551" s="3">
        <f>O2551-N2551</f>
        <v/>
      </c>
      <c r="Q2551" s="5">
        <f>IFERROR(P2551/O2551,0)</f>
        <v/>
      </c>
      <c r="R2551" s="2">
        <f>TEXT(DATEVALUE(B2551),"mmm")</f>
        <v/>
      </c>
      <c r="S2551" s="2">
        <f>TEXT(DATEVALUE(B2551),"yyyy-mm")</f>
        <v/>
      </c>
    </row>
    <row r="2552">
      <c r="A2552" s="2" t="inlineStr">
        <is>
          <t>O002605</t>
        </is>
      </c>
      <c r="B2552" s="2" t="inlineStr">
        <is>
          <t>2025-07-02</t>
        </is>
      </c>
      <c r="C2552" s="2" t="inlineStr">
        <is>
          <t>C0282</t>
        </is>
      </c>
      <c r="D2552" s="2" t="inlineStr">
        <is>
          <t>P0015</t>
        </is>
      </c>
      <c r="E2552" s="2" t="inlineStr">
        <is>
          <t>Running Shoes</t>
        </is>
      </c>
      <c r="F2552" s="2" t="inlineStr">
        <is>
          <t>Fashion</t>
        </is>
      </c>
      <c r="G2552" s="2" t="inlineStr">
        <is>
          <t>North</t>
        </is>
      </c>
      <c r="H2552" s="2" t="inlineStr">
        <is>
          <t>Haryana</t>
        </is>
      </c>
      <c r="I2552" s="2" t="inlineStr">
        <is>
          <t>Faridabad</t>
        </is>
      </c>
      <c r="J2552" s="2" t="inlineStr">
        <is>
          <t>Online</t>
        </is>
      </c>
      <c r="K2552" s="2" t="n">
        <v>3</v>
      </c>
      <c r="L2552" s="3" t="n">
        <v>612.25</v>
      </c>
      <c r="M2552" s="4" t="n">
        <v>0</v>
      </c>
      <c r="N2552" s="3" t="n">
        <v>1121.88</v>
      </c>
      <c r="O2552" s="3">
        <f>K2552*L2552*(1-M2552)</f>
        <v/>
      </c>
      <c r="P2552" s="3">
        <f>O2552-N2552</f>
        <v/>
      </c>
      <c r="Q2552" s="5">
        <f>IFERROR(P2552/O2552,0)</f>
        <v/>
      </c>
      <c r="R2552" s="2">
        <f>TEXT(DATEVALUE(B2552),"mmm")</f>
        <v/>
      </c>
      <c r="S2552" s="2">
        <f>TEXT(DATEVALUE(B2552),"yyyy-mm")</f>
        <v/>
      </c>
    </row>
    <row r="2553">
      <c r="A2553" s="2" t="inlineStr">
        <is>
          <t>O002498</t>
        </is>
      </c>
      <c r="B2553" s="2" t="inlineStr">
        <is>
          <t>2025-07-02</t>
        </is>
      </c>
      <c r="C2553" s="2" t="inlineStr">
        <is>
          <t>C0277</t>
        </is>
      </c>
      <c r="D2553" s="2" t="inlineStr">
        <is>
          <t>P0029</t>
        </is>
      </c>
      <c r="E2553" s="2" t="inlineStr">
        <is>
          <t>Yoga Mat</t>
        </is>
      </c>
      <c r="F2553" s="2" t="inlineStr">
        <is>
          <t>Sports</t>
        </is>
      </c>
      <c r="G2553" s="2" t="inlineStr">
        <is>
          <t>South</t>
        </is>
      </c>
      <c r="H2553" s="2" t="inlineStr">
        <is>
          <t>Tamil Nadu</t>
        </is>
      </c>
      <c r="I2553" s="2" t="inlineStr">
        <is>
          <t>Coimbatore</t>
        </is>
      </c>
      <c r="J2553" s="2" t="inlineStr">
        <is>
          <t>Online</t>
        </is>
      </c>
      <c r="K2553" s="2" t="n">
        <v>1</v>
      </c>
      <c r="L2553" s="3" t="n">
        <v>2425.1</v>
      </c>
      <c r="M2553" s="4" t="n">
        <v>0.05</v>
      </c>
      <c r="N2553" s="3" t="n">
        <v>1351.69</v>
      </c>
      <c r="O2553" s="3">
        <f>K2553*L2553*(1-M2553)</f>
        <v/>
      </c>
      <c r="P2553" s="3">
        <f>O2553-N2553</f>
        <v/>
      </c>
      <c r="Q2553" s="5">
        <f>IFERROR(P2553/O2553,0)</f>
        <v/>
      </c>
      <c r="R2553" s="2">
        <f>TEXT(DATEVALUE(B2553),"mmm")</f>
        <v/>
      </c>
      <c r="S2553" s="2">
        <f>TEXT(DATEVALUE(B2553),"yyyy-mm")</f>
        <v/>
      </c>
    </row>
    <row r="2554">
      <c r="A2554" s="2" t="inlineStr">
        <is>
          <t>O002475</t>
        </is>
      </c>
      <c r="B2554" s="2" t="inlineStr">
        <is>
          <t>2025-07-02</t>
        </is>
      </c>
      <c r="C2554" s="2" t="inlineStr">
        <is>
          <t>C0640</t>
        </is>
      </c>
      <c r="D2554" s="2" t="inlineStr">
        <is>
          <t>P0003</t>
        </is>
      </c>
      <c r="E2554" s="2" t="inlineStr">
        <is>
          <t>Smartwatch</t>
        </is>
      </c>
      <c r="F2554" s="2" t="inlineStr">
        <is>
          <t>Electronics</t>
        </is>
      </c>
      <c r="G2554" s="2" t="inlineStr">
        <is>
          <t>South</t>
        </is>
      </c>
      <c r="H2554" s="2" t="inlineStr">
        <is>
          <t>Tamil Nadu</t>
        </is>
      </c>
      <c r="I2554" s="2" t="inlineStr">
        <is>
          <t>Chennai</t>
        </is>
      </c>
      <c r="J2554" s="2" t="inlineStr">
        <is>
          <t>Online</t>
        </is>
      </c>
      <c r="K2554" s="2" t="n">
        <v>6</v>
      </c>
      <c r="L2554" s="3" t="n">
        <v>2271.21</v>
      </c>
      <c r="M2554" s="4" t="n">
        <v>0.05</v>
      </c>
      <c r="N2554" s="3" t="n">
        <v>7235.42</v>
      </c>
      <c r="O2554" s="3">
        <f>K2554*L2554*(1-M2554)</f>
        <v/>
      </c>
      <c r="P2554" s="3">
        <f>O2554-N2554</f>
        <v/>
      </c>
      <c r="Q2554" s="5">
        <f>IFERROR(P2554/O2554,0)</f>
        <v/>
      </c>
      <c r="R2554" s="2">
        <f>TEXT(DATEVALUE(B2554),"mmm")</f>
        <v/>
      </c>
      <c r="S2554" s="2">
        <f>TEXT(DATEVALUE(B2554),"yyyy-mm")</f>
        <v/>
      </c>
    </row>
    <row r="2555">
      <c r="A2555" s="2" t="inlineStr">
        <is>
          <t>O001886</t>
        </is>
      </c>
      <c r="B2555" s="2" t="inlineStr">
        <is>
          <t>2025-07-02</t>
        </is>
      </c>
      <c r="C2555" s="2" t="inlineStr">
        <is>
          <t>C0735</t>
        </is>
      </c>
      <c r="D2555" s="2" t="inlineStr">
        <is>
          <t>P0006</t>
        </is>
      </c>
      <c r="E2555" s="2" t="inlineStr">
        <is>
          <t>Mechanical Keyboard</t>
        </is>
      </c>
      <c r="F2555" s="2" t="inlineStr">
        <is>
          <t>Electronics</t>
        </is>
      </c>
      <c r="G2555" s="2" t="inlineStr">
        <is>
          <t>South</t>
        </is>
      </c>
      <c r="H2555" s="2" t="inlineStr">
        <is>
          <t>Tamil Nadu</t>
        </is>
      </c>
      <c r="I2555" s="2" t="inlineStr">
        <is>
          <t>Madurai</t>
        </is>
      </c>
      <c r="J2555" s="2" t="inlineStr">
        <is>
          <t>Online</t>
        </is>
      </c>
      <c r="K2555" s="2" t="n">
        <v>2</v>
      </c>
      <c r="L2555" s="3" t="n">
        <v>2730.93</v>
      </c>
      <c r="M2555" s="4" t="n">
        <v>0.15</v>
      </c>
      <c r="N2555" s="3" t="n">
        <v>3018.61</v>
      </c>
      <c r="O2555" s="3">
        <f>K2555*L2555*(1-M2555)</f>
        <v/>
      </c>
      <c r="P2555" s="3">
        <f>O2555-N2555</f>
        <v/>
      </c>
      <c r="Q2555" s="5">
        <f>IFERROR(P2555/O2555,0)</f>
        <v/>
      </c>
      <c r="R2555" s="2">
        <f>TEXT(DATEVALUE(B2555),"mmm")</f>
        <v/>
      </c>
      <c r="S2555" s="2">
        <f>TEXT(DATEVALUE(B2555),"yyyy-mm")</f>
        <v/>
      </c>
    </row>
    <row r="2556">
      <c r="A2556" s="2" t="inlineStr">
        <is>
          <t>O001483</t>
        </is>
      </c>
      <c r="B2556" s="2" t="inlineStr">
        <is>
          <t>2025-07-02</t>
        </is>
      </c>
      <c r="C2556" s="2" t="inlineStr">
        <is>
          <t>C0504</t>
        </is>
      </c>
      <c r="D2556" s="2" t="inlineStr">
        <is>
          <t>P0011</t>
        </is>
      </c>
      <c r="E2556" s="2" t="inlineStr">
        <is>
          <t>Cookware Set</t>
        </is>
      </c>
      <c r="F2556" s="2" t="inlineStr">
        <is>
          <t>Home &amp; Kitchen</t>
        </is>
      </c>
      <c r="G2556" s="2" t="inlineStr">
        <is>
          <t>South</t>
        </is>
      </c>
      <c r="H2556" s="2" t="inlineStr">
        <is>
          <t>Telangana</t>
        </is>
      </c>
      <c r="I2556" s="2" t="inlineStr">
        <is>
          <t>Hyderabad</t>
        </is>
      </c>
      <c r="J2556" s="2" t="inlineStr">
        <is>
          <t>Store</t>
        </is>
      </c>
      <c r="K2556" s="2" t="n">
        <v>3</v>
      </c>
      <c r="L2556" s="3" t="n">
        <v>727.92</v>
      </c>
      <c r="M2556" s="4" t="n">
        <v>0.1</v>
      </c>
      <c r="N2556" s="3" t="n">
        <v>1406.11</v>
      </c>
      <c r="O2556" s="3">
        <f>K2556*L2556*(1-M2556)</f>
        <v/>
      </c>
      <c r="P2556" s="3">
        <f>O2556-N2556</f>
        <v/>
      </c>
      <c r="Q2556" s="5">
        <f>IFERROR(P2556/O2556,0)</f>
        <v/>
      </c>
      <c r="R2556" s="2">
        <f>TEXT(DATEVALUE(B2556),"mmm")</f>
        <v/>
      </c>
      <c r="S2556" s="2">
        <f>TEXT(DATEVALUE(B2556),"yyyy-mm")</f>
        <v/>
      </c>
    </row>
    <row r="2557">
      <c r="A2557" s="2" t="inlineStr">
        <is>
          <t>O000826</t>
        </is>
      </c>
      <c r="B2557" s="2" t="inlineStr">
        <is>
          <t>2025-07-02</t>
        </is>
      </c>
      <c r="C2557" s="2" t="inlineStr">
        <is>
          <t>C0694</t>
        </is>
      </c>
      <c r="D2557" s="2" t="inlineStr">
        <is>
          <t>P0035</t>
        </is>
      </c>
      <c r="E2557" s="2" t="inlineStr">
        <is>
          <t>Skipping Rope</t>
        </is>
      </c>
      <c r="F2557" s="2" t="inlineStr">
        <is>
          <t>Sports</t>
        </is>
      </c>
      <c r="G2557" s="2" t="inlineStr">
        <is>
          <t>South</t>
        </is>
      </c>
      <c r="H2557" s="2" t="inlineStr">
        <is>
          <t>Telangana</t>
        </is>
      </c>
      <c r="I2557" s="2" t="inlineStr">
        <is>
          <t>Warangal</t>
        </is>
      </c>
      <c r="J2557" s="2" t="inlineStr">
        <is>
          <t>Online</t>
        </is>
      </c>
      <c r="K2557" s="2" t="n">
        <v>3</v>
      </c>
      <c r="L2557" s="3" t="n">
        <v>726.3</v>
      </c>
      <c r="M2557" s="4" t="n">
        <v>0.05</v>
      </c>
      <c r="N2557" s="3" t="n">
        <v>1272.11</v>
      </c>
      <c r="O2557" s="3">
        <f>K2557*L2557*(1-M2557)</f>
        <v/>
      </c>
      <c r="P2557" s="3">
        <f>O2557-N2557</f>
        <v/>
      </c>
      <c r="Q2557" s="5">
        <f>IFERROR(P2557/O2557,0)</f>
        <v/>
      </c>
      <c r="R2557" s="2">
        <f>TEXT(DATEVALUE(B2557),"mmm")</f>
        <v/>
      </c>
      <c r="S2557" s="2">
        <f>TEXT(DATEVALUE(B2557),"yyyy-mm")</f>
        <v/>
      </c>
    </row>
    <row r="2558">
      <c r="A2558" s="2" t="inlineStr">
        <is>
          <t>O000554</t>
        </is>
      </c>
      <c r="B2558" s="2" t="inlineStr">
        <is>
          <t>2025-07-02</t>
        </is>
      </c>
      <c r="C2558" s="2" t="inlineStr">
        <is>
          <t>C0394</t>
        </is>
      </c>
      <c r="D2558" s="2" t="inlineStr">
        <is>
          <t>P0020</t>
        </is>
      </c>
      <c r="E2558" s="2" t="inlineStr">
        <is>
          <t>Sneakers</t>
        </is>
      </c>
      <c r="F2558" s="2" t="inlineStr">
        <is>
          <t>Fashion</t>
        </is>
      </c>
      <c r="G2558" s="2" t="inlineStr">
        <is>
          <t>South</t>
        </is>
      </c>
      <c r="H2558" s="2" t="inlineStr">
        <is>
          <t>Kerala</t>
        </is>
      </c>
      <c r="I2558" s="2" t="inlineStr">
        <is>
          <t>Thiruvananthapuram</t>
        </is>
      </c>
      <c r="J2558" s="2" t="inlineStr">
        <is>
          <t>Online</t>
        </is>
      </c>
      <c r="K2558" s="2" t="n">
        <v>3</v>
      </c>
      <c r="L2558" s="3" t="n">
        <v>1949.72</v>
      </c>
      <c r="M2558" s="4" t="n">
        <v>0.05</v>
      </c>
      <c r="N2558" s="3" t="n">
        <v>4667.58</v>
      </c>
      <c r="O2558" s="3">
        <f>K2558*L2558*(1-M2558)</f>
        <v/>
      </c>
      <c r="P2558" s="3">
        <f>O2558-N2558</f>
        <v/>
      </c>
      <c r="Q2558" s="5">
        <f>IFERROR(P2558/O2558,0)</f>
        <v/>
      </c>
      <c r="R2558" s="2">
        <f>TEXT(DATEVALUE(B2558),"mmm")</f>
        <v/>
      </c>
      <c r="S2558" s="2">
        <f>TEXT(DATEVALUE(B2558),"yyyy-mm")</f>
        <v/>
      </c>
    </row>
    <row r="2559">
      <c r="A2559" s="2" t="inlineStr">
        <is>
          <t>O004921</t>
        </is>
      </c>
      <c r="B2559" s="2" t="inlineStr">
        <is>
          <t>2025-07-03</t>
        </is>
      </c>
      <c r="C2559" s="2" t="inlineStr">
        <is>
          <t>C0185</t>
        </is>
      </c>
      <c r="D2559" s="2" t="inlineStr">
        <is>
          <t>P0031</t>
        </is>
      </c>
      <c r="E2559" s="2" t="inlineStr">
        <is>
          <t>Cricket Bat</t>
        </is>
      </c>
      <c r="F2559" s="2" t="inlineStr">
        <is>
          <t>Sports</t>
        </is>
      </c>
      <c r="G2559" s="2" t="inlineStr">
        <is>
          <t>West</t>
        </is>
      </c>
      <c r="H2559" s="2" t="inlineStr">
        <is>
          <t>Goa</t>
        </is>
      </c>
      <c r="I2559" s="2" t="inlineStr">
        <is>
          <t>Margao</t>
        </is>
      </c>
      <c r="J2559" s="2" t="inlineStr">
        <is>
          <t>Store</t>
        </is>
      </c>
      <c r="K2559" s="2" t="n">
        <v>2</v>
      </c>
      <c r="L2559" s="3" t="n">
        <v>1371.68</v>
      </c>
      <c r="M2559" s="4" t="n">
        <v>0.05</v>
      </c>
      <c r="N2559" s="3" t="n">
        <v>1948.85</v>
      </c>
      <c r="O2559" s="3">
        <f>K2559*L2559*(1-M2559)</f>
        <v/>
      </c>
      <c r="P2559" s="3">
        <f>O2559-N2559</f>
        <v/>
      </c>
      <c r="Q2559" s="5">
        <f>IFERROR(P2559/O2559,0)</f>
        <v/>
      </c>
      <c r="R2559" s="2">
        <f>TEXT(DATEVALUE(B2559),"mmm")</f>
        <v/>
      </c>
      <c r="S2559" s="2">
        <f>TEXT(DATEVALUE(B2559),"yyyy-mm")</f>
        <v/>
      </c>
    </row>
    <row r="2560">
      <c r="A2560" s="2" t="inlineStr">
        <is>
          <t>O003953</t>
        </is>
      </c>
      <c r="B2560" s="2" t="inlineStr">
        <is>
          <t>2025-07-03</t>
        </is>
      </c>
      <c r="C2560" s="2" t="inlineStr">
        <is>
          <t>C0597</t>
        </is>
      </c>
      <c r="D2560" s="2" t="inlineStr">
        <is>
          <t>P0035</t>
        </is>
      </c>
      <c r="E2560" s="2" t="inlineStr">
        <is>
          <t>Skipping Rope</t>
        </is>
      </c>
      <c r="F2560" s="2" t="inlineStr">
        <is>
          <t>Sports</t>
        </is>
      </c>
      <c r="G2560" s="2" t="inlineStr">
        <is>
          <t>North</t>
        </is>
      </c>
      <c r="H2560" s="2" t="inlineStr">
        <is>
          <t>Uttar Pradesh</t>
        </is>
      </c>
      <c r="I2560" s="2" t="inlineStr">
        <is>
          <t>Noida</t>
        </is>
      </c>
      <c r="J2560" s="2" t="inlineStr">
        <is>
          <t>Store</t>
        </is>
      </c>
      <c r="K2560" s="2" t="n">
        <v>2</v>
      </c>
      <c r="L2560" s="3" t="n">
        <v>697.9400000000001</v>
      </c>
      <c r="M2560" s="4" t="n">
        <v>0.05</v>
      </c>
      <c r="N2560" s="3" t="n">
        <v>800.77</v>
      </c>
      <c r="O2560" s="3">
        <f>K2560*L2560*(1-M2560)</f>
        <v/>
      </c>
      <c r="P2560" s="3">
        <f>O2560-N2560</f>
        <v/>
      </c>
      <c r="Q2560" s="5">
        <f>IFERROR(P2560/O2560,0)</f>
        <v/>
      </c>
      <c r="R2560" s="2">
        <f>TEXT(DATEVALUE(B2560),"mmm")</f>
        <v/>
      </c>
      <c r="S2560" s="2">
        <f>TEXT(DATEVALUE(B2560),"yyyy-mm")</f>
        <v/>
      </c>
    </row>
    <row r="2561">
      <c r="A2561" s="2" t="inlineStr">
        <is>
          <t>O003623</t>
        </is>
      </c>
      <c r="B2561" s="2" t="inlineStr">
        <is>
          <t>2025-07-03</t>
        </is>
      </c>
      <c r="C2561" s="2" t="inlineStr">
        <is>
          <t>C0161</t>
        </is>
      </c>
      <c r="D2561" s="2" t="inlineStr">
        <is>
          <t>P0016</t>
        </is>
      </c>
      <c r="E2561" s="2" t="inlineStr">
        <is>
          <t>Casual Shirt</t>
        </is>
      </c>
      <c r="F2561" s="2" t="inlineStr">
        <is>
          <t>Fashion</t>
        </is>
      </c>
      <c r="G2561" s="2" t="inlineStr">
        <is>
          <t>South</t>
        </is>
      </c>
      <c r="H2561" s="2" t="inlineStr">
        <is>
          <t>Karnataka</t>
        </is>
      </c>
      <c r="I2561" s="2" t="inlineStr">
        <is>
          <t>Mysuru</t>
        </is>
      </c>
      <c r="J2561" s="2" t="inlineStr">
        <is>
          <t>Online</t>
        </is>
      </c>
      <c r="K2561" s="2" t="n">
        <v>1</v>
      </c>
      <c r="L2561" s="3" t="n">
        <v>1248.93</v>
      </c>
      <c r="M2561" s="4" t="n">
        <v>0.05</v>
      </c>
      <c r="N2561" s="3" t="n">
        <v>927.04</v>
      </c>
      <c r="O2561" s="3">
        <f>K2561*L2561*(1-M2561)</f>
        <v/>
      </c>
      <c r="P2561" s="3">
        <f>O2561-N2561</f>
        <v/>
      </c>
      <c r="Q2561" s="5">
        <f>IFERROR(P2561/O2561,0)</f>
        <v/>
      </c>
      <c r="R2561" s="2">
        <f>TEXT(DATEVALUE(B2561),"mmm")</f>
        <v/>
      </c>
      <c r="S2561" s="2">
        <f>TEXT(DATEVALUE(B2561),"yyyy-mm")</f>
        <v/>
      </c>
    </row>
    <row r="2562">
      <c r="A2562" s="2" t="inlineStr">
        <is>
          <t>O003563</t>
        </is>
      </c>
      <c r="B2562" s="2" t="inlineStr">
        <is>
          <t>2025-07-03</t>
        </is>
      </c>
      <c r="C2562" s="2" t="inlineStr">
        <is>
          <t>C0014</t>
        </is>
      </c>
      <c r="D2562" s="2" t="inlineStr">
        <is>
          <t>P0012</t>
        </is>
      </c>
      <c r="E2562" s="2" t="inlineStr">
        <is>
          <t>Water Bottle</t>
        </is>
      </c>
      <c r="F2562" s="2" t="inlineStr">
        <is>
          <t>Home &amp; Kitchen</t>
        </is>
      </c>
      <c r="G2562" s="2" t="inlineStr">
        <is>
          <t>North</t>
        </is>
      </c>
      <c r="H2562" s="2" t="inlineStr">
        <is>
          <t>Haryana</t>
        </is>
      </c>
      <c r="I2562" s="2" t="inlineStr">
        <is>
          <t>Gurugram</t>
        </is>
      </c>
      <c r="J2562" s="2" t="inlineStr">
        <is>
          <t>Online</t>
        </is>
      </c>
      <c r="K2562" s="2" t="n">
        <v>2</v>
      </c>
      <c r="L2562" s="3" t="n">
        <v>951.61</v>
      </c>
      <c r="M2562" s="4" t="n">
        <v>0.05</v>
      </c>
      <c r="N2562" s="3" t="n">
        <v>1283.47</v>
      </c>
      <c r="O2562" s="3">
        <f>K2562*L2562*(1-M2562)</f>
        <v/>
      </c>
      <c r="P2562" s="3">
        <f>O2562-N2562</f>
        <v/>
      </c>
      <c r="Q2562" s="5">
        <f>IFERROR(P2562/O2562,0)</f>
        <v/>
      </c>
      <c r="R2562" s="2">
        <f>TEXT(DATEVALUE(B2562),"mmm")</f>
        <v/>
      </c>
      <c r="S2562" s="2">
        <f>TEXT(DATEVALUE(B2562),"yyyy-mm")</f>
        <v/>
      </c>
    </row>
    <row r="2563">
      <c r="A2563" s="2" t="inlineStr">
        <is>
          <t>O003496</t>
        </is>
      </c>
      <c r="B2563" s="2" t="inlineStr">
        <is>
          <t>2025-07-03</t>
        </is>
      </c>
      <c r="C2563" s="2" t="inlineStr">
        <is>
          <t>C0739</t>
        </is>
      </c>
      <c r="D2563" s="2" t="inlineStr">
        <is>
          <t>P0006</t>
        </is>
      </c>
      <c r="E2563" s="2" t="inlineStr">
        <is>
          <t>Mechanical Keyboard</t>
        </is>
      </c>
      <c r="F2563" s="2" t="inlineStr">
        <is>
          <t>Electronics</t>
        </is>
      </c>
      <c r="G2563" s="2" t="inlineStr">
        <is>
          <t>East</t>
        </is>
      </c>
      <c r="H2563" s="2" t="inlineStr">
        <is>
          <t>West Bengal</t>
        </is>
      </c>
      <c r="I2563" s="2" t="inlineStr">
        <is>
          <t>Durgapur</t>
        </is>
      </c>
      <c r="J2563" s="2" t="inlineStr">
        <is>
          <t>Online</t>
        </is>
      </c>
      <c r="K2563" s="2" t="n">
        <v>1</v>
      </c>
      <c r="L2563" s="3" t="n">
        <v>2734.96</v>
      </c>
      <c r="M2563" s="4" t="n">
        <v>0.1</v>
      </c>
      <c r="N2563" s="3" t="n">
        <v>1440.84</v>
      </c>
      <c r="O2563" s="3">
        <f>K2563*L2563*(1-M2563)</f>
        <v/>
      </c>
      <c r="P2563" s="3">
        <f>O2563-N2563</f>
        <v/>
      </c>
      <c r="Q2563" s="5">
        <f>IFERROR(P2563/O2563,0)</f>
        <v/>
      </c>
      <c r="R2563" s="2">
        <f>TEXT(DATEVALUE(B2563),"mmm")</f>
        <v/>
      </c>
      <c r="S2563" s="2">
        <f>TEXT(DATEVALUE(B2563),"yyyy-mm")</f>
        <v/>
      </c>
    </row>
    <row r="2564">
      <c r="A2564" s="2" t="inlineStr">
        <is>
          <t>O002854</t>
        </is>
      </c>
      <c r="B2564" s="2" t="inlineStr">
        <is>
          <t>2025-07-03</t>
        </is>
      </c>
      <c r="C2564" s="2" t="inlineStr">
        <is>
          <t>C0734</t>
        </is>
      </c>
      <c r="D2564" s="2" t="inlineStr">
        <is>
          <t>P0024</t>
        </is>
      </c>
      <c r="E2564" s="2" t="inlineStr">
        <is>
          <t>Hair Dryer</t>
        </is>
      </c>
      <c r="F2564" s="2" t="inlineStr">
        <is>
          <t>Beauty</t>
        </is>
      </c>
      <c r="G2564" s="2" t="inlineStr">
        <is>
          <t>East</t>
        </is>
      </c>
      <c r="H2564" s="2" t="inlineStr">
        <is>
          <t>West Bengal</t>
        </is>
      </c>
      <c r="I2564" s="2" t="inlineStr">
        <is>
          <t>Durgapur</t>
        </is>
      </c>
      <c r="J2564" s="2" t="inlineStr">
        <is>
          <t>Store</t>
        </is>
      </c>
      <c r="K2564" s="2" t="n">
        <v>2</v>
      </c>
      <c r="L2564" s="3" t="n">
        <v>1034.38</v>
      </c>
      <c r="M2564" s="4" t="n">
        <v>0.05</v>
      </c>
      <c r="N2564" s="3" t="n">
        <v>1472.62</v>
      </c>
      <c r="O2564" s="3">
        <f>K2564*L2564*(1-M2564)</f>
        <v/>
      </c>
      <c r="P2564" s="3">
        <f>O2564-N2564</f>
        <v/>
      </c>
      <c r="Q2564" s="5">
        <f>IFERROR(P2564/O2564,0)</f>
        <v/>
      </c>
      <c r="R2564" s="2">
        <f>TEXT(DATEVALUE(B2564),"mmm")</f>
        <v/>
      </c>
      <c r="S2564" s="2">
        <f>TEXT(DATEVALUE(B2564),"yyyy-mm")</f>
        <v/>
      </c>
    </row>
    <row r="2565">
      <c r="A2565" s="2" t="inlineStr">
        <is>
          <t>O000224</t>
        </is>
      </c>
      <c r="B2565" s="2" t="inlineStr">
        <is>
          <t>2025-07-03</t>
        </is>
      </c>
      <c r="C2565" s="2" t="inlineStr">
        <is>
          <t>C0187</t>
        </is>
      </c>
      <c r="D2565" s="2" t="inlineStr">
        <is>
          <t>P0004</t>
        </is>
      </c>
      <c r="E2565" s="2" t="inlineStr">
        <is>
          <t>USB-C Hub</t>
        </is>
      </c>
      <c r="F2565" s="2" t="inlineStr">
        <is>
          <t>Electronics</t>
        </is>
      </c>
      <c r="G2565" s="2" t="inlineStr">
        <is>
          <t>North</t>
        </is>
      </c>
      <c r="H2565" s="2" t="inlineStr">
        <is>
          <t>Uttar Pradesh</t>
        </is>
      </c>
      <c r="I2565" s="2" t="inlineStr">
        <is>
          <t>Noida</t>
        </is>
      </c>
      <c r="J2565" s="2" t="inlineStr">
        <is>
          <t>Online</t>
        </is>
      </c>
      <c r="K2565" s="2" t="n">
        <v>1</v>
      </c>
      <c r="L2565" s="3" t="n">
        <v>1313.85</v>
      </c>
      <c r="M2565" s="4" t="n">
        <v>0</v>
      </c>
      <c r="N2565" s="3" t="n">
        <v>921.24</v>
      </c>
      <c r="O2565" s="3">
        <f>K2565*L2565*(1-M2565)</f>
        <v/>
      </c>
      <c r="P2565" s="3">
        <f>O2565-N2565</f>
        <v/>
      </c>
      <c r="Q2565" s="5">
        <f>IFERROR(P2565/O2565,0)</f>
        <v/>
      </c>
      <c r="R2565" s="2">
        <f>TEXT(DATEVALUE(B2565),"mmm")</f>
        <v/>
      </c>
      <c r="S2565" s="2">
        <f>TEXT(DATEVALUE(B2565),"yyyy-mm")</f>
        <v/>
      </c>
    </row>
    <row r="2566">
      <c r="A2566" s="2" t="inlineStr">
        <is>
          <t>O002035</t>
        </is>
      </c>
      <c r="B2566" s="2" t="inlineStr">
        <is>
          <t>2025-07-03</t>
        </is>
      </c>
      <c r="C2566" s="2" t="inlineStr">
        <is>
          <t>C0769</t>
        </is>
      </c>
      <c r="D2566" s="2" t="inlineStr">
        <is>
          <t>P0008</t>
        </is>
      </c>
      <c r="E2566" s="2" t="inlineStr">
        <is>
          <t>Air Fryer</t>
        </is>
      </c>
      <c r="F2566" s="2" t="inlineStr">
        <is>
          <t>Home &amp; Kitchen</t>
        </is>
      </c>
      <c r="G2566" s="2" t="inlineStr">
        <is>
          <t>North</t>
        </is>
      </c>
      <c r="H2566" s="2" t="inlineStr">
        <is>
          <t>Punjab</t>
        </is>
      </c>
      <c r="I2566" s="2" t="inlineStr">
        <is>
          <t>Amritsar</t>
        </is>
      </c>
      <c r="J2566" s="2" t="inlineStr">
        <is>
          <t>Online</t>
        </is>
      </c>
      <c r="K2566" s="2" t="n">
        <v>3</v>
      </c>
      <c r="L2566" s="3" t="n">
        <v>1024.67</v>
      </c>
      <c r="M2566" s="4" t="n">
        <v>0.05</v>
      </c>
      <c r="N2566" s="3" t="n">
        <v>2001.33</v>
      </c>
      <c r="O2566" s="3">
        <f>K2566*L2566*(1-M2566)</f>
        <v/>
      </c>
      <c r="P2566" s="3">
        <f>O2566-N2566</f>
        <v/>
      </c>
      <c r="Q2566" s="5">
        <f>IFERROR(P2566/O2566,0)</f>
        <v/>
      </c>
      <c r="R2566" s="2">
        <f>TEXT(DATEVALUE(B2566),"mmm")</f>
        <v/>
      </c>
      <c r="S2566" s="2">
        <f>TEXT(DATEVALUE(B2566),"yyyy-mm")</f>
        <v/>
      </c>
    </row>
    <row r="2567">
      <c r="A2567" s="2" t="inlineStr">
        <is>
          <t>O001103</t>
        </is>
      </c>
      <c r="B2567" s="2" t="inlineStr">
        <is>
          <t>2025-07-03</t>
        </is>
      </c>
      <c r="C2567" s="2" t="inlineStr">
        <is>
          <t>C0227</t>
        </is>
      </c>
      <c r="D2567" s="2" t="inlineStr">
        <is>
          <t>P0012</t>
        </is>
      </c>
      <c r="E2567" s="2" t="inlineStr">
        <is>
          <t>Water Bottle</t>
        </is>
      </c>
      <c r="F2567" s="2" t="inlineStr">
        <is>
          <t>Home &amp; Kitchen</t>
        </is>
      </c>
      <c r="G2567" s="2" t="inlineStr">
        <is>
          <t>West</t>
        </is>
      </c>
      <c r="H2567" s="2" t="inlineStr">
        <is>
          <t>Goa</t>
        </is>
      </c>
      <c r="I2567" s="2" t="inlineStr">
        <is>
          <t>Margao</t>
        </is>
      </c>
      <c r="J2567" s="2" t="inlineStr">
        <is>
          <t>Online</t>
        </is>
      </c>
      <c r="K2567" s="2" t="n">
        <v>1</v>
      </c>
      <c r="L2567" s="3" t="n">
        <v>1014.61</v>
      </c>
      <c r="M2567" s="4" t="n">
        <v>0</v>
      </c>
      <c r="N2567" s="3" t="n">
        <v>619.73</v>
      </c>
      <c r="O2567" s="3">
        <f>K2567*L2567*(1-M2567)</f>
        <v/>
      </c>
      <c r="P2567" s="3">
        <f>O2567-N2567</f>
        <v/>
      </c>
      <c r="Q2567" s="5">
        <f>IFERROR(P2567/O2567,0)</f>
        <v/>
      </c>
      <c r="R2567" s="2">
        <f>TEXT(DATEVALUE(B2567),"mmm")</f>
        <v/>
      </c>
      <c r="S2567" s="2">
        <f>TEXT(DATEVALUE(B2567),"yyyy-mm")</f>
        <v/>
      </c>
    </row>
    <row r="2568">
      <c r="A2568" s="2" t="inlineStr">
        <is>
          <t>O000831</t>
        </is>
      </c>
      <c r="B2568" s="2" t="inlineStr">
        <is>
          <t>2025-07-03</t>
        </is>
      </c>
      <c r="C2568" s="2" t="inlineStr">
        <is>
          <t>C0258</t>
        </is>
      </c>
      <c r="D2568" s="2" t="inlineStr">
        <is>
          <t>P0013</t>
        </is>
      </c>
      <c r="E2568" s="2" t="inlineStr">
        <is>
          <t>Storage Organizer</t>
        </is>
      </c>
      <c r="F2568" s="2" t="inlineStr">
        <is>
          <t>Home &amp; Kitchen</t>
        </is>
      </c>
      <c r="G2568" s="2" t="inlineStr">
        <is>
          <t>East</t>
        </is>
      </c>
      <c r="H2568" s="2" t="inlineStr">
        <is>
          <t>West Bengal</t>
        </is>
      </c>
      <c r="I2568" s="2" t="inlineStr">
        <is>
          <t>Durgapur</t>
        </is>
      </c>
      <c r="J2568" s="2" t="inlineStr">
        <is>
          <t>Online</t>
        </is>
      </c>
      <c r="K2568" s="2" t="n">
        <v>1</v>
      </c>
      <c r="L2568" s="3" t="n">
        <v>549.61</v>
      </c>
      <c r="M2568" s="4" t="n">
        <v>0.05</v>
      </c>
      <c r="N2568" s="3" t="n">
        <v>368.95</v>
      </c>
      <c r="O2568" s="3">
        <f>K2568*L2568*(1-M2568)</f>
        <v/>
      </c>
      <c r="P2568" s="3">
        <f>O2568-N2568</f>
        <v/>
      </c>
      <c r="Q2568" s="5">
        <f>IFERROR(P2568/O2568,0)</f>
        <v/>
      </c>
      <c r="R2568" s="2">
        <f>TEXT(DATEVALUE(B2568),"mmm")</f>
        <v/>
      </c>
      <c r="S2568" s="2">
        <f>TEXT(DATEVALUE(B2568),"yyyy-mm")</f>
        <v/>
      </c>
    </row>
    <row r="2569">
      <c r="A2569" s="2" t="inlineStr">
        <is>
          <t>O000810</t>
        </is>
      </c>
      <c r="B2569" s="2" t="inlineStr">
        <is>
          <t>2025-07-03</t>
        </is>
      </c>
      <c r="C2569" s="2" t="inlineStr">
        <is>
          <t>C0568</t>
        </is>
      </c>
      <c r="D2569" s="2" t="inlineStr">
        <is>
          <t>P0003</t>
        </is>
      </c>
      <c r="E2569" s="2" t="inlineStr">
        <is>
          <t>Smartwatch</t>
        </is>
      </c>
      <c r="F2569" s="2" t="inlineStr">
        <is>
          <t>Electronics</t>
        </is>
      </c>
      <c r="G2569" s="2" t="inlineStr">
        <is>
          <t>West</t>
        </is>
      </c>
      <c r="H2569" s="2" t="inlineStr">
        <is>
          <t>Goa</t>
        </is>
      </c>
      <c r="I2569" s="2" t="inlineStr">
        <is>
          <t>Panaji</t>
        </is>
      </c>
      <c r="J2569" s="2" t="inlineStr">
        <is>
          <t>Online</t>
        </is>
      </c>
      <c r="K2569" s="2" t="n">
        <v>1</v>
      </c>
      <c r="L2569" s="3" t="n">
        <v>2216.45</v>
      </c>
      <c r="M2569" s="4" t="n">
        <v>0.1</v>
      </c>
      <c r="N2569" s="3" t="n">
        <v>1147.05</v>
      </c>
      <c r="O2569" s="3">
        <f>K2569*L2569*(1-M2569)</f>
        <v/>
      </c>
      <c r="P2569" s="3">
        <f>O2569-N2569</f>
        <v/>
      </c>
      <c r="Q2569" s="5">
        <f>IFERROR(P2569/O2569,0)</f>
        <v/>
      </c>
      <c r="R2569" s="2">
        <f>TEXT(DATEVALUE(B2569),"mmm")</f>
        <v/>
      </c>
      <c r="S2569" s="2">
        <f>TEXT(DATEVALUE(B2569),"yyyy-mm")</f>
        <v/>
      </c>
    </row>
    <row r="2570">
      <c r="A2570" s="2" t="inlineStr">
        <is>
          <t>O002657</t>
        </is>
      </c>
      <c r="B2570" s="2" t="inlineStr">
        <is>
          <t>2025-07-03</t>
        </is>
      </c>
      <c r="C2570" s="2" t="inlineStr">
        <is>
          <t>C0004</t>
        </is>
      </c>
      <c r="D2570" s="2" t="inlineStr">
        <is>
          <t>P0016</t>
        </is>
      </c>
      <c r="E2570" s="2" t="inlineStr">
        <is>
          <t>Casual Shirt</t>
        </is>
      </c>
      <c r="F2570" s="2" t="inlineStr">
        <is>
          <t>Fashion</t>
        </is>
      </c>
      <c r="G2570" s="2" t="inlineStr">
        <is>
          <t>North</t>
        </is>
      </c>
      <c r="H2570" s="2" t="inlineStr">
        <is>
          <t>Punjab</t>
        </is>
      </c>
      <c r="I2570" s="2" t="inlineStr">
        <is>
          <t>Amritsar</t>
        </is>
      </c>
      <c r="J2570" s="2" t="inlineStr">
        <is>
          <t>Store</t>
        </is>
      </c>
      <c r="K2570" s="2" t="n">
        <v>4</v>
      </c>
      <c r="L2570" s="3" t="n">
        <v>1242.25</v>
      </c>
      <c r="M2570" s="4" t="n">
        <v>0.1</v>
      </c>
      <c r="N2570" s="3" t="n">
        <v>3720.72</v>
      </c>
      <c r="O2570" s="3">
        <f>K2570*L2570*(1-M2570)</f>
        <v/>
      </c>
      <c r="P2570" s="3">
        <f>O2570-N2570</f>
        <v/>
      </c>
      <c r="Q2570" s="5">
        <f>IFERROR(P2570/O2570,0)</f>
        <v/>
      </c>
      <c r="R2570" s="2">
        <f>TEXT(DATEVALUE(B2570),"mmm")</f>
        <v/>
      </c>
      <c r="S2570" s="2">
        <f>TEXT(DATEVALUE(B2570),"yyyy-mm")</f>
        <v/>
      </c>
    </row>
    <row r="2571">
      <c r="A2571" s="2" t="inlineStr">
        <is>
          <t>O000467</t>
        </is>
      </c>
      <c r="B2571" s="2" t="inlineStr">
        <is>
          <t>2025-07-04</t>
        </is>
      </c>
      <c r="C2571" s="2" t="inlineStr">
        <is>
          <t>C0577</t>
        </is>
      </c>
      <c r="D2571" s="2" t="inlineStr">
        <is>
          <t>P0004</t>
        </is>
      </c>
      <c r="E2571" s="2" t="inlineStr">
        <is>
          <t>USB-C Hub</t>
        </is>
      </c>
      <c r="F2571" s="2" t="inlineStr">
        <is>
          <t>Electronics</t>
        </is>
      </c>
      <c r="G2571" s="2" t="inlineStr">
        <is>
          <t>North</t>
        </is>
      </c>
      <c r="H2571" s="2" t="inlineStr">
        <is>
          <t>Punjab</t>
        </is>
      </c>
      <c r="I2571" s="2" t="inlineStr">
        <is>
          <t>Amritsar</t>
        </is>
      </c>
      <c r="J2571" s="2" t="inlineStr">
        <is>
          <t>Store</t>
        </is>
      </c>
      <c r="K2571" s="2" t="n">
        <v>5</v>
      </c>
      <c r="L2571" s="3" t="n">
        <v>1311.46</v>
      </c>
      <c r="M2571" s="4" t="n">
        <v>0.05</v>
      </c>
      <c r="N2571" s="3" t="n">
        <v>4745.2</v>
      </c>
      <c r="O2571" s="3">
        <f>K2571*L2571*(1-M2571)</f>
        <v/>
      </c>
      <c r="P2571" s="3">
        <f>O2571-N2571</f>
        <v/>
      </c>
      <c r="Q2571" s="5">
        <f>IFERROR(P2571/O2571,0)</f>
        <v/>
      </c>
      <c r="R2571" s="2">
        <f>TEXT(DATEVALUE(B2571),"mmm")</f>
        <v/>
      </c>
      <c r="S2571" s="2">
        <f>TEXT(DATEVALUE(B2571),"yyyy-mm")</f>
        <v/>
      </c>
    </row>
    <row r="2572">
      <c r="A2572" s="2" t="inlineStr">
        <is>
          <t>O001510</t>
        </is>
      </c>
      <c r="B2572" s="2" t="inlineStr">
        <is>
          <t>2025-07-04</t>
        </is>
      </c>
      <c r="C2572" s="2" t="inlineStr">
        <is>
          <t>C0525</t>
        </is>
      </c>
      <c r="D2572" s="2" t="inlineStr">
        <is>
          <t>P0011</t>
        </is>
      </c>
      <c r="E2572" s="2" t="inlineStr">
        <is>
          <t>Cookware Set</t>
        </is>
      </c>
      <c r="F2572" s="2" t="inlineStr">
        <is>
          <t>Home &amp; Kitchen</t>
        </is>
      </c>
      <c r="G2572" s="2" t="inlineStr">
        <is>
          <t>North</t>
        </is>
      </c>
      <c r="H2572" s="2" t="inlineStr">
        <is>
          <t>Delhi</t>
        </is>
      </c>
      <c r="I2572" s="2" t="inlineStr">
        <is>
          <t>New Delhi</t>
        </is>
      </c>
      <c r="J2572" s="2" t="inlineStr">
        <is>
          <t>Online</t>
        </is>
      </c>
      <c r="K2572" s="2" t="n">
        <v>5</v>
      </c>
      <c r="L2572" s="3" t="n">
        <v>725.24</v>
      </c>
      <c r="M2572" s="4" t="n">
        <v>0.1</v>
      </c>
      <c r="N2572" s="3" t="n">
        <v>2402.01</v>
      </c>
      <c r="O2572" s="3">
        <f>K2572*L2572*(1-M2572)</f>
        <v/>
      </c>
      <c r="P2572" s="3">
        <f>O2572-N2572</f>
        <v/>
      </c>
      <c r="Q2572" s="5">
        <f>IFERROR(P2572/O2572,0)</f>
        <v/>
      </c>
      <c r="R2572" s="2">
        <f>TEXT(DATEVALUE(B2572),"mmm")</f>
        <v/>
      </c>
      <c r="S2572" s="2">
        <f>TEXT(DATEVALUE(B2572),"yyyy-mm")</f>
        <v/>
      </c>
    </row>
    <row r="2573">
      <c r="A2573" s="2" t="inlineStr">
        <is>
          <t>O002032</t>
        </is>
      </c>
      <c r="B2573" s="2" t="inlineStr">
        <is>
          <t>2025-07-04</t>
        </is>
      </c>
      <c r="C2573" s="2" t="inlineStr">
        <is>
          <t>C0287</t>
        </is>
      </c>
      <c r="D2573" s="2" t="inlineStr">
        <is>
          <t>P0007</t>
        </is>
      </c>
      <c r="E2573" s="2" t="inlineStr">
        <is>
          <t>Wireless Mouse</t>
        </is>
      </c>
      <c r="F2573" s="2" t="inlineStr">
        <is>
          <t>Electronics</t>
        </is>
      </c>
      <c r="G2573" s="2" t="inlineStr">
        <is>
          <t>South</t>
        </is>
      </c>
      <c r="H2573" s="2" t="inlineStr">
        <is>
          <t>Kerala</t>
        </is>
      </c>
      <c r="I2573" s="2" t="inlineStr">
        <is>
          <t>Thiruvananthapuram</t>
        </is>
      </c>
      <c r="J2573" s="2" t="inlineStr">
        <is>
          <t>Store</t>
        </is>
      </c>
      <c r="K2573" s="2" t="n">
        <v>1</v>
      </c>
      <c r="L2573" s="3" t="n">
        <v>1006.42</v>
      </c>
      <c r="M2573" s="4" t="n">
        <v>0.2</v>
      </c>
      <c r="N2573" s="3" t="n">
        <v>641.85</v>
      </c>
      <c r="O2573" s="3">
        <f>K2573*L2573*(1-M2573)</f>
        <v/>
      </c>
      <c r="P2573" s="3">
        <f>O2573-N2573</f>
        <v/>
      </c>
      <c r="Q2573" s="5">
        <f>IFERROR(P2573/O2573,0)</f>
        <v/>
      </c>
      <c r="R2573" s="2">
        <f>TEXT(DATEVALUE(B2573),"mmm")</f>
        <v/>
      </c>
      <c r="S2573" s="2">
        <f>TEXT(DATEVALUE(B2573),"yyyy-mm")</f>
        <v/>
      </c>
    </row>
    <row r="2574">
      <c r="A2574" s="2" t="inlineStr">
        <is>
          <t>O004149</t>
        </is>
      </c>
      <c r="B2574" s="2" t="inlineStr">
        <is>
          <t>2025-07-04</t>
        </is>
      </c>
      <c r="C2574" s="2" t="inlineStr">
        <is>
          <t>C0710</t>
        </is>
      </c>
      <c r="D2574" s="2" t="inlineStr">
        <is>
          <t>P0022</t>
        </is>
      </c>
      <c r="E2574" s="2" t="inlineStr">
        <is>
          <t>Face Wash</t>
        </is>
      </c>
      <c r="F2574" s="2" t="inlineStr">
        <is>
          <t>Beauty</t>
        </is>
      </c>
      <c r="G2574" s="2" t="inlineStr">
        <is>
          <t>North</t>
        </is>
      </c>
      <c r="H2574" s="2" t="inlineStr">
        <is>
          <t>Haryana</t>
        </is>
      </c>
      <c r="I2574" s="2" t="inlineStr">
        <is>
          <t>Gurugram</t>
        </is>
      </c>
      <c r="J2574" s="2" t="inlineStr">
        <is>
          <t>Store</t>
        </is>
      </c>
      <c r="K2574" s="2" t="n">
        <v>3</v>
      </c>
      <c r="L2574" s="3" t="n">
        <v>536.28</v>
      </c>
      <c r="M2574" s="4" t="n">
        <v>0</v>
      </c>
      <c r="N2574" s="3" t="n">
        <v>1036.27</v>
      </c>
      <c r="O2574" s="3">
        <f>K2574*L2574*(1-M2574)</f>
        <v/>
      </c>
      <c r="P2574" s="3">
        <f>O2574-N2574</f>
        <v/>
      </c>
      <c r="Q2574" s="5">
        <f>IFERROR(P2574/O2574,0)</f>
        <v/>
      </c>
      <c r="R2574" s="2">
        <f>TEXT(DATEVALUE(B2574),"mmm")</f>
        <v/>
      </c>
      <c r="S2574" s="2">
        <f>TEXT(DATEVALUE(B2574),"yyyy-mm")</f>
        <v/>
      </c>
    </row>
    <row r="2575">
      <c r="A2575" s="2" t="inlineStr">
        <is>
          <t>O004476</t>
        </is>
      </c>
      <c r="B2575" s="2" t="inlineStr">
        <is>
          <t>2025-07-04</t>
        </is>
      </c>
      <c r="C2575" s="2" t="inlineStr">
        <is>
          <t>C0235</t>
        </is>
      </c>
      <c r="D2575" s="2" t="inlineStr">
        <is>
          <t>P0021</t>
        </is>
      </c>
      <c r="E2575" s="2" t="inlineStr">
        <is>
          <t>Wallet</t>
        </is>
      </c>
      <c r="F2575" s="2" t="inlineStr">
        <is>
          <t>Fashion</t>
        </is>
      </c>
      <c r="G2575" s="2" t="inlineStr">
        <is>
          <t>West</t>
        </is>
      </c>
      <c r="H2575" s="2" t="inlineStr">
        <is>
          <t>Goa</t>
        </is>
      </c>
      <c r="I2575" s="2" t="inlineStr">
        <is>
          <t>Margao</t>
        </is>
      </c>
      <c r="J2575" s="2" t="inlineStr">
        <is>
          <t>Online</t>
        </is>
      </c>
      <c r="K2575" s="2" t="n">
        <v>1</v>
      </c>
      <c r="L2575" s="3" t="n">
        <v>2059.43</v>
      </c>
      <c r="M2575" s="4" t="n">
        <v>0.1</v>
      </c>
      <c r="N2575" s="3" t="n">
        <v>1253.03</v>
      </c>
      <c r="O2575" s="3">
        <f>K2575*L2575*(1-M2575)</f>
        <v/>
      </c>
      <c r="P2575" s="3">
        <f>O2575-N2575</f>
        <v/>
      </c>
      <c r="Q2575" s="5">
        <f>IFERROR(P2575/O2575,0)</f>
        <v/>
      </c>
      <c r="R2575" s="2">
        <f>TEXT(DATEVALUE(B2575),"mmm")</f>
        <v/>
      </c>
      <c r="S2575" s="2">
        <f>TEXT(DATEVALUE(B2575),"yyyy-mm")</f>
        <v/>
      </c>
    </row>
    <row r="2576">
      <c r="A2576" s="2" t="inlineStr">
        <is>
          <t>O004667</t>
        </is>
      </c>
      <c r="B2576" s="2" t="inlineStr">
        <is>
          <t>2025-07-04</t>
        </is>
      </c>
      <c r="C2576" s="2" t="inlineStr">
        <is>
          <t>C0181</t>
        </is>
      </c>
      <c r="D2576" s="2" t="inlineStr">
        <is>
          <t>P0002</t>
        </is>
      </c>
      <c r="E2576" s="2" t="inlineStr">
        <is>
          <t>Bluetooth Speaker</t>
        </is>
      </c>
      <c r="F2576" s="2" t="inlineStr">
        <is>
          <t>Electronics</t>
        </is>
      </c>
      <c r="G2576" s="2" t="inlineStr">
        <is>
          <t>West</t>
        </is>
      </c>
      <c r="H2576" s="2" t="inlineStr">
        <is>
          <t>Gujarat</t>
        </is>
      </c>
      <c r="I2576" s="2" t="inlineStr">
        <is>
          <t>Ahmedabad</t>
        </is>
      </c>
      <c r="J2576" s="2" t="inlineStr">
        <is>
          <t>Online</t>
        </is>
      </c>
      <c r="K2576" s="2" t="n">
        <v>5</v>
      </c>
      <c r="L2576" s="3" t="n">
        <v>1322.96</v>
      </c>
      <c r="M2576" s="4" t="n">
        <v>0</v>
      </c>
      <c r="N2576" s="3" t="n">
        <v>4227.37</v>
      </c>
      <c r="O2576" s="3">
        <f>K2576*L2576*(1-M2576)</f>
        <v/>
      </c>
      <c r="P2576" s="3">
        <f>O2576-N2576</f>
        <v/>
      </c>
      <c r="Q2576" s="5">
        <f>IFERROR(P2576/O2576,0)</f>
        <v/>
      </c>
      <c r="R2576" s="2">
        <f>TEXT(DATEVALUE(B2576),"mmm")</f>
        <v/>
      </c>
      <c r="S2576" s="2">
        <f>TEXT(DATEVALUE(B2576),"yyyy-mm")</f>
        <v/>
      </c>
    </row>
    <row r="2577">
      <c r="A2577" s="2" t="inlineStr">
        <is>
          <t>O002736</t>
        </is>
      </c>
      <c r="B2577" s="2" t="inlineStr">
        <is>
          <t>2025-07-05</t>
        </is>
      </c>
      <c r="C2577" s="2" t="inlineStr">
        <is>
          <t>C0741</t>
        </is>
      </c>
      <c r="D2577" s="2" t="inlineStr">
        <is>
          <t>P0017</t>
        </is>
      </c>
      <c r="E2577" s="2" t="inlineStr">
        <is>
          <t>Jeans</t>
        </is>
      </c>
      <c r="F2577" s="2" t="inlineStr">
        <is>
          <t>Fashion</t>
        </is>
      </c>
      <c r="G2577" s="2" t="inlineStr">
        <is>
          <t>South</t>
        </is>
      </c>
      <c r="H2577" s="2" t="inlineStr">
        <is>
          <t>Kerala</t>
        </is>
      </c>
      <c r="I2577" s="2" t="inlineStr">
        <is>
          <t>Kochi</t>
        </is>
      </c>
      <c r="J2577" s="2" t="inlineStr">
        <is>
          <t>Online</t>
        </is>
      </c>
      <c r="K2577" s="2" t="n">
        <v>1</v>
      </c>
      <c r="L2577" s="3" t="n">
        <v>1440.62</v>
      </c>
      <c r="M2577" s="4" t="n">
        <v>0</v>
      </c>
      <c r="N2577" s="3" t="n">
        <v>1019.6</v>
      </c>
      <c r="O2577" s="3">
        <f>K2577*L2577*(1-M2577)</f>
        <v/>
      </c>
      <c r="P2577" s="3">
        <f>O2577-N2577</f>
        <v/>
      </c>
      <c r="Q2577" s="5">
        <f>IFERROR(P2577/O2577,0)</f>
        <v/>
      </c>
      <c r="R2577" s="2">
        <f>TEXT(DATEVALUE(B2577),"mmm")</f>
        <v/>
      </c>
      <c r="S2577" s="2">
        <f>TEXT(DATEVALUE(B2577),"yyyy-mm")</f>
        <v/>
      </c>
    </row>
    <row r="2578">
      <c r="A2578" s="2" t="inlineStr">
        <is>
          <t>O004475</t>
        </is>
      </c>
      <c r="B2578" s="2" t="inlineStr">
        <is>
          <t>2025-07-05</t>
        </is>
      </c>
      <c r="C2578" s="2" t="inlineStr">
        <is>
          <t>C0771</t>
        </is>
      </c>
      <c r="D2578" s="2" t="inlineStr">
        <is>
          <t>P0010</t>
        </is>
      </c>
      <c r="E2578" s="2" t="inlineStr">
        <is>
          <t>Mixer Grinder</t>
        </is>
      </c>
      <c r="F2578" s="2" t="inlineStr">
        <is>
          <t>Home &amp; Kitchen</t>
        </is>
      </c>
      <c r="G2578" s="2" t="inlineStr">
        <is>
          <t>South</t>
        </is>
      </c>
      <c r="H2578" s="2" t="inlineStr">
        <is>
          <t>Karnataka</t>
        </is>
      </c>
      <c r="I2578" s="2" t="inlineStr">
        <is>
          <t>Mysuru</t>
        </is>
      </c>
      <c r="J2578" s="2" t="inlineStr">
        <is>
          <t>Online</t>
        </is>
      </c>
      <c r="K2578" s="2" t="n">
        <v>3</v>
      </c>
      <c r="L2578" s="3" t="n">
        <v>1607.71</v>
      </c>
      <c r="M2578" s="4" t="n">
        <v>0</v>
      </c>
      <c r="N2578" s="3" t="n">
        <v>3112.22</v>
      </c>
      <c r="O2578" s="3">
        <f>K2578*L2578*(1-M2578)</f>
        <v/>
      </c>
      <c r="P2578" s="3">
        <f>O2578-N2578</f>
        <v/>
      </c>
      <c r="Q2578" s="5">
        <f>IFERROR(P2578/O2578,0)</f>
        <v/>
      </c>
      <c r="R2578" s="2">
        <f>TEXT(DATEVALUE(B2578),"mmm")</f>
        <v/>
      </c>
      <c r="S2578" s="2">
        <f>TEXT(DATEVALUE(B2578),"yyyy-mm")</f>
        <v/>
      </c>
    </row>
    <row r="2579">
      <c r="A2579" s="2" t="inlineStr">
        <is>
          <t>O003823</t>
        </is>
      </c>
      <c r="B2579" s="2" t="inlineStr">
        <is>
          <t>2025-07-05</t>
        </is>
      </c>
      <c r="C2579" s="2" t="inlineStr">
        <is>
          <t>C0590</t>
        </is>
      </c>
      <c r="D2579" s="2" t="inlineStr">
        <is>
          <t>P0020</t>
        </is>
      </c>
      <c r="E2579" s="2" t="inlineStr">
        <is>
          <t>Sneakers</t>
        </is>
      </c>
      <c r="F2579" s="2" t="inlineStr">
        <is>
          <t>Fashion</t>
        </is>
      </c>
      <c r="G2579" s="2" t="inlineStr">
        <is>
          <t>North</t>
        </is>
      </c>
      <c r="H2579" s="2" t="inlineStr">
        <is>
          <t>Uttar Pradesh</t>
        </is>
      </c>
      <c r="I2579" s="2" t="inlineStr">
        <is>
          <t>Kanpur</t>
        </is>
      </c>
      <c r="J2579" s="2" t="inlineStr">
        <is>
          <t>Store</t>
        </is>
      </c>
      <c r="K2579" s="2" t="n">
        <v>3</v>
      </c>
      <c r="L2579" s="3" t="n">
        <v>1967.39</v>
      </c>
      <c r="M2579" s="4" t="n">
        <v>0</v>
      </c>
      <c r="N2579" s="3" t="n">
        <v>4533.12</v>
      </c>
      <c r="O2579" s="3">
        <f>K2579*L2579*(1-M2579)</f>
        <v/>
      </c>
      <c r="P2579" s="3">
        <f>O2579-N2579</f>
        <v/>
      </c>
      <c r="Q2579" s="5">
        <f>IFERROR(P2579/O2579,0)</f>
        <v/>
      </c>
      <c r="R2579" s="2">
        <f>TEXT(DATEVALUE(B2579),"mmm")</f>
        <v/>
      </c>
      <c r="S2579" s="2">
        <f>TEXT(DATEVALUE(B2579),"yyyy-mm")</f>
        <v/>
      </c>
    </row>
    <row r="2580">
      <c r="A2580" s="2" t="inlineStr">
        <is>
          <t>O003713</t>
        </is>
      </c>
      <c r="B2580" s="2" t="inlineStr">
        <is>
          <t>2025-07-05</t>
        </is>
      </c>
      <c r="C2580" s="2" t="inlineStr">
        <is>
          <t>C0203</t>
        </is>
      </c>
      <c r="D2580" s="2" t="inlineStr">
        <is>
          <t>P0007</t>
        </is>
      </c>
      <c r="E2580" s="2" t="inlineStr">
        <is>
          <t>Wireless Mouse</t>
        </is>
      </c>
      <c r="F2580" s="2" t="inlineStr">
        <is>
          <t>Electronics</t>
        </is>
      </c>
      <c r="G2580" s="2" t="inlineStr">
        <is>
          <t>West</t>
        </is>
      </c>
      <c r="H2580" s="2" t="inlineStr">
        <is>
          <t>Goa</t>
        </is>
      </c>
      <c r="I2580" s="2" t="inlineStr">
        <is>
          <t>Panaji</t>
        </is>
      </c>
      <c r="J2580" s="2" t="inlineStr">
        <is>
          <t>Store</t>
        </is>
      </c>
      <c r="K2580" s="2" t="n">
        <v>3</v>
      </c>
      <c r="L2580" s="3" t="n">
        <v>942.03</v>
      </c>
      <c r="M2580" s="4" t="n">
        <v>0.2</v>
      </c>
      <c r="N2580" s="3" t="n">
        <v>1917.22</v>
      </c>
      <c r="O2580" s="3">
        <f>K2580*L2580*(1-M2580)</f>
        <v/>
      </c>
      <c r="P2580" s="3">
        <f>O2580-N2580</f>
        <v/>
      </c>
      <c r="Q2580" s="5">
        <f>IFERROR(P2580/O2580,0)</f>
        <v/>
      </c>
      <c r="R2580" s="2">
        <f>TEXT(DATEVALUE(B2580),"mmm")</f>
        <v/>
      </c>
      <c r="S2580" s="2">
        <f>TEXT(DATEVALUE(B2580),"yyyy-mm")</f>
        <v/>
      </c>
    </row>
    <row r="2581">
      <c r="A2581" s="2" t="inlineStr">
        <is>
          <t>O002708</t>
        </is>
      </c>
      <c r="B2581" s="2" t="inlineStr">
        <is>
          <t>2025-07-05</t>
        </is>
      </c>
      <c r="C2581" s="2" t="inlineStr">
        <is>
          <t>C0404</t>
        </is>
      </c>
      <c r="D2581" s="2" t="inlineStr">
        <is>
          <t>P0018</t>
        </is>
      </c>
      <c r="E2581" s="2" t="inlineStr">
        <is>
          <t>Backpack</t>
        </is>
      </c>
      <c r="F2581" s="2" t="inlineStr">
        <is>
          <t>Fashion</t>
        </is>
      </c>
      <c r="G2581" s="2" t="inlineStr">
        <is>
          <t>South</t>
        </is>
      </c>
      <c r="H2581" s="2" t="inlineStr">
        <is>
          <t>Kerala</t>
        </is>
      </c>
      <c r="I2581" s="2" t="inlineStr">
        <is>
          <t>Thiruvananthapuram</t>
        </is>
      </c>
      <c r="J2581" s="2" t="inlineStr">
        <is>
          <t>Online</t>
        </is>
      </c>
      <c r="K2581" s="2" t="n">
        <v>1</v>
      </c>
      <c r="L2581" s="3" t="n">
        <v>1902.38</v>
      </c>
      <c r="M2581" s="4" t="n">
        <v>0.1</v>
      </c>
      <c r="N2581" s="3" t="n">
        <v>1383.7</v>
      </c>
      <c r="O2581" s="3">
        <f>K2581*L2581*(1-M2581)</f>
        <v/>
      </c>
      <c r="P2581" s="3">
        <f>O2581-N2581</f>
        <v/>
      </c>
      <c r="Q2581" s="5">
        <f>IFERROR(P2581/O2581,0)</f>
        <v/>
      </c>
      <c r="R2581" s="2">
        <f>TEXT(DATEVALUE(B2581),"mmm")</f>
        <v/>
      </c>
      <c r="S2581" s="2">
        <f>TEXT(DATEVALUE(B2581),"yyyy-mm")</f>
        <v/>
      </c>
    </row>
    <row r="2582">
      <c r="A2582" s="2" t="inlineStr">
        <is>
          <t>O000397</t>
        </is>
      </c>
      <c r="B2582" s="2" t="inlineStr">
        <is>
          <t>2025-07-05</t>
        </is>
      </c>
      <c r="C2582" s="2" t="inlineStr">
        <is>
          <t>C0034</t>
        </is>
      </c>
      <c r="D2582" s="2" t="inlineStr">
        <is>
          <t>P0015</t>
        </is>
      </c>
      <c r="E2582" s="2" t="inlineStr">
        <is>
          <t>Running Shoes</t>
        </is>
      </c>
      <c r="F2582" s="2" t="inlineStr">
        <is>
          <t>Fashion</t>
        </is>
      </c>
      <c r="G2582" s="2" t="inlineStr">
        <is>
          <t>East</t>
        </is>
      </c>
      <c r="H2582" s="2" t="inlineStr">
        <is>
          <t>West Bengal</t>
        </is>
      </c>
      <c r="I2582" s="2" t="inlineStr">
        <is>
          <t>Kolkata</t>
        </is>
      </c>
      <c r="J2582" s="2" t="inlineStr">
        <is>
          <t>Online</t>
        </is>
      </c>
      <c r="K2582" s="2" t="n">
        <v>1</v>
      </c>
      <c r="L2582" s="3" t="n">
        <v>579.53</v>
      </c>
      <c r="M2582" s="4" t="n">
        <v>0.25</v>
      </c>
      <c r="N2582" s="3" t="n">
        <v>381.11</v>
      </c>
      <c r="O2582" s="3">
        <f>K2582*L2582*(1-M2582)</f>
        <v/>
      </c>
      <c r="P2582" s="3">
        <f>O2582-N2582</f>
        <v/>
      </c>
      <c r="Q2582" s="5">
        <f>IFERROR(P2582/O2582,0)</f>
        <v/>
      </c>
      <c r="R2582" s="2">
        <f>TEXT(DATEVALUE(B2582),"mmm")</f>
        <v/>
      </c>
      <c r="S2582" s="2">
        <f>TEXT(DATEVALUE(B2582),"yyyy-mm")</f>
        <v/>
      </c>
    </row>
    <row r="2583">
      <c r="A2583" s="2" t="inlineStr">
        <is>
          <t>O001930</t>
        </is>
      </c>
      <c r="B2583" s="2" t="inlineStr">
        <is>
          <t>2025-07-05</t>
        </is>
      </c>
      <c r="C2583" s="2" t="inlineStr">
        <is>
          <t>C0442</t>
        </is>
      </c>
      <c r="D2583" s="2" t="inlineStr">
        <is>
          <t>P0006</t>
        </is>
      </c>
      <c r="E2583" s="2" t="inlineStr">
        <is>
          <t>Mechanical Keyboard</t>
        </is>
      </c>
      <c r="F2583" s="2" t="inlineStr">
        <is>
          <t>Electronics</t>
        </is>
      </c>
      <c r="G2583" s="2" t="inlineStr">
        <is>
          <t>East</t>
        </is>
      </c>
      <c r="H2583" s="2" t="inlineStr">
        <is>
          <t>Odisha</t>
        </is>
      </c>
      <c r="I2583" s="2" t="inlineStr">
        <is>
          <t>Bhubaneswar</t>
        </is>
      </c>
      <c r="J2583" s="2" t="inlineStr">
        <is>
          <t>Online</t>
        </is>
      </c>
      <c r="K2583" s="2" t="n">
        <v>1</v>
      </c>
      <c r="L2583" s="3" t="n">
        <v>2818.52</v>
      </c>
      <c r="M2583" s="4" t="n">
        <v>0.1</v>
      </c>
      <c r="N2583" s="3" t="n">
        <v>1481.46</v>
      </c>
      <c r="O2583" s="3">
        <f>K2583*L2583*(1-M2583)</f>
        <v/>
      </c>
      <c r="P2583" s="3">
        <f>O2583-N2583</f>
        <v/>
      </c>
      <c r="Q2583" s="5">
        <f>IFERROR(P2583/O2583,0)</f>
        <v/>
      </c>
      <c r="R2583" s="2">
        <f>TEXT(DATEVALUE(B2583),"mmm")</f>
        <v/>
      </c>
      <c r="S2583" s="2">
        <f>TEXT(DATEVALUE(B2583),"yyyy-mm")</f>
        <v/>
      </c>
    </row>
    <row r="2584">
      <c r="A2584" s="2" t="inlineStr">
        <is>
          <t>O001621</t>
        </is>
      </c>
      <c r="B2584" s="2" t="inlineStr">
        <is>
          <t>2025-07-05</t>
        </is>
      </c>
      <c r="C2584" s="2" t="inlineStr">
        <is>
          <t>C0362</t>
        </is>
      </c>
      <c r="D2584" s="2" t="inlineStr">
        <is>
          <t>P0010</t>
        </is>
      </c>
      <c r="E2584" s="2" t="inlineStr">
        <is>
          <t>Mixer Grinder</t>
        </is>
      </c>
      <c r="F2584" s="2" t="inlineStr">
        <is>
          <t>Home &amp; Kitchen</t>
        </is>
      </c>
      <c r="G2584" s="2" t="inlineStr">
        <is>
          <t>North</t>
        </is>
      </c>
      <c r="H2584" s="2" t="inlineStr">
        <is>
          <t>Delhi</t>
        </is>
      </c>
      <c r="I2584" s="2" t="inlineStr">
        <is>
          <t>New Delhi</t>
        </is>
      </c>
      <c r="J2584" s="2" t="inlineStr">
        <is>
          <t>Online</t>
        </is>
      </c>
      <c r="K2584" s="2" t="n">
        <v>2</v>
      </c>
      <c r="L2584" s="3" t="n">
        <v>1591.38</v>
      </c>
      <c r="M2584" s="4" t="n">
        <v>0.05</v>
      </c>
      <c r="N2584" s="3" t="n">
        <v>2102.25</v>
      </c>
      <c r="O2584" s="3">
        <f>K2584*L2584*(1-M2584)</f>
        <v/>
      </c>
      <c r="P2584" s="3">
        <f>O2584-N2584</f>
        <v/>
      </c>
      <c r="Q2584" s="5">
        <f>IFERROR(P2584/O2584,0)</f>
        <v/>
      </c>
      <c r="R2584" s="2">
        <f>TEXT(DATEVALUE(B2584),"mmm")</f>
        <v/>
      </c>
      <c r="S2584" s="2">
        <f>TEXT(DATEVALUE(B2584),"yyyy-mm")</f>
        <v/>
      </c>
    </row>
    <row r="2585">
      <c r="A2585" s="2" t="inlineStr">
        <is>
          <t>O000694</t>
        </is>
      </c>
      <c r="B2585" s="2" t="inlineStr">
        <is>
          <t>2025-07-05</t>
        </is>
      </c>
      <c r="C2585" s="2" t="inlineStr">
        <is>
          <t>C0416</t>
        </is>
      </c>
      <c r="D2585" s="2" t="inlineStr">
        <is>
          <t>P0007</t>
        </is>
      </c>
      <c r="E2585" s="2" t="inlineStr">
        <is>
          <t>Wireless Mouse</t>
        </is>
      </c>
      <c r="F2585" s="2" t="inlineStr">
        <is>
          <t>Electronics</t>
        </is>
      </c>
      <c r="G2585" s="2" t="inlineStr">
        <is>
          <t>North</t>
        </is>
      </c>
      <c r="H2585" s="2" t="inlineStr">
        <is>
          <t>Haryana</t>
        </is>
      </c>
      <c r="I2585" s="2" t="inlineStr">
        <is>
          <t>Gurugram</t>
        </is>
      </c>
      <c r="J2585" s="2" t="inlineStr">
        <is>
          <t>Online</t>
        </is>
      </c>
      <c r="K2585" s="2" t="n">
        <v>2</v>
      </c>
      <c r="L2585" s="3" t="n">
        <v>974.89</v>
      </c>
      <c r="M2585" s="4" t="n">
        <v>0.1</v>
      </c>
      <c r="N2585" s="3" t="n">
        <v>1220.45</v>
      </c>
      <c r="O2585" s="3">
        <f>K2585*L2585*(1-M2585)</f>
        <v/>
      </c>
      <c r="P2585" s="3">
        <f>O2585-N2585</f>
        <v/>
      </c>
      <c r="Q2585" s="5">
        <f>IFERROR(P2585/O2585,0)</f>
        <v/>
      </c>
      <c r="R2585" s="2">
        <f>TEXT(DATEVALUE(B2585),"mmm")</f>
        <v/>
      </c>
      <c r="S2585" s="2">
        <f>TEXT(DATEVALUE(B2585),"yyyy-mm")</f>
        <v/>
      </c>
    </row>
    <row r="2586">
      <c r="A2586" s="2" t="inlineStr">
        <is>
          <t>O000590</t>
        </is>
      </c>
      <c r="B2586" s="2" t="inlineStr">
        <is>
          <t>2025-07-05</t>
        </is>
      </c>
      <c r="C2586" s="2" t="inlineStr">
        <is>
          <t>C0073</t>
        </is>
      </c>
      <c r="D2586" s="2" t="inlineStr">
        <is>
          <t>P0011</t>
        </is>
      </c>
      <c r="E2586" s="2" t="inlineStr">
        <is>
          <t>Cookware Set</t>
        </is>
      </c>
      <c r="F2586" s="2" t="inlineStr">
        <is>
          <t>Home &amp; Kitchen</t>
        </is>
      </c>
      <c r="G2586" s="2" t="inlineStr">
        <is>
          <t>North</t>
        </is>
      </c>
      <c r="H2586" s="2" t="inlineStr">
        <is>
          <t>Delhi</t>
        </is>
      </c>
      <c r="I2586" s="2" t="inlineStr">
        <is>
          <t>New Delhi</t>
        </is>
      </c>
      <c r="J2586" s="2" t="inlineStr">
        <is>
          <t>Online</t>
        </is>
      </c>
      <c r="K2586" s="2" t="n">
        <v>1</v>
      </c>
      <c r="L2586" s="3" t="n">
        <v>709.03</v>
      </c>
      <c r="M2586" s="4" t="n">
        <v>0.1</v>
      </c>
      <c r="N2586" s="3" t="n">
        <v>461.18</v>
      </c>
      <c r="O2586" s="3">
        <f>K2586*L2586*(1-M2586)</f>
        <v/>
      </c>
      <c r="P2586" s="3">
        <f>O2586-N2586</f>
        <v/>
      </c>
      <c r="Q2586" s="5">
        <f>IFERROR(P2586/O2586,0)</f>
        <v/>
      </c>
      <c r="R2586" s="2">
        <f>TEXT(DATEVALUE(B2586),"mmm")</f>
        <v/>
      </c>
      <c r="S2586" s="2">
        <f>TEXT(DATEVALUE(B2586),"yyyy-mm")</f>
        <v/>
      </c>
    </row>
    <row r="2587">
      <c r="A2587" s="2" t="inlineStr">
        <is>
          <t>O002672</t>
        </is>
      </c>
      <c r="B2587" s="2" t="inlineStr">
        <is>
          <t>2025-07-05</t>
        </is>
      </c>
      <c r="C2587" s="2" t="inlineStr">
        <is>
          <t>C0582</t>
        </is>
      </c>
      <c r="D2587" s="2" t="inlineStr">
        <is>
          <t>P0018</t>
        </is>
      </c>
      <c r="E2587" s="2" t="inlineStr">
        <is>
          <t>Backpack</t>
        </is>
      </c>
      <c r="F2587" s="2" t="inlineStr">
        <is>
          <t>Fashion</t>
        </is>
      </c>
      <c r="G2587" s="2" t="inlineStr">
        <is>
          <t>North</t>
        </is>
      </c>
      <c r="H2587" s="2" t="inlineStr">
        <is>
          <t>Haryana</t>
        </is>
      </c>
      <c r="I2587" s="2" t="inlineStr">
        <is>
          <t>Gurugram</t>
        </is>
      </c>
      <c r="J2587" s="2" t="inlineStr">
        <is>
          <t>Store</t>
        </is>
      </c>
      <c r="K2587" s="2" t="n">
        <v>4</v>
      </c>
      <c r="L2587" s="3" t="n">
        <v>1826.23</v>
      </c>
      <c r="M2587" s="4" t="n">
        <v>0.1</v>
      </c>
      <c r="N2587" s="3" t="n">
        <v>5400.35</v>
      </c>
      <c r="O2587" s="3">
        <f>K2587*L2587*(1-M2587)</f>
        <v/>
      </c>
      <c r="P2587" s="3">
        <f>O2587-N2587</f>
        <v/>
      </c>
      <c r="Q2587" s="5">
        <f>IFERROR(P2587/O2587,0)</f>
        <v/>
      </c>
      <c r="R2587" s="2">
        <f>TEXT(DATEVALUE(B2587),"mmm")</f>
        <v/>
      </c>
      <c r="S2587" s="2">
        <f>TEXT(DATEVALUE(B2587),"yyyy-mm")</f>
        <v/>
      </c>
    </row>
    <row r="2588">
      <c r="A2588" s="2" t="inlineStr">
        <is>
          <t>O004834</t>
        </is>
      </c>
      <c r="B2588" s="2" t="inlineStr">
        <is>
          <t>2025-07-06</t>
        </is>
      </c>
      <c r="C2588" s="2" t="inlineStr">
        <is>
          <t>C0495</t>
        </is>
      </c>
      <c r="D2588" s="2" t="inlineStr">
        <is>
          <t>P0032</t>
        </is>
      </c>
      <c r="E2588" s="2" t="inlineStr">
        <is>
          <t>Football</t>
        </is>
      </c>
      <c r="F2588" s="2" t="inlineStr">
        <is>
          <t>Sports</t>
        </is>
      </c>
      <c r="G2588" s="2" t="inlineStr">
        <is>
          <t>East</t>
        </is>
      </c>
      <c r="H2588" s="2" t="inlineStr">
        <is>
          <t>West Bengal</t>
        </is>
      </c>
      <c r="I2588" s="2" t="inlineStr">
        <is>
          <t>Durgapur</t>
        </is>
      </c>
      <c r="J2588" s="2" t="inlineStr">
        <is>
          <t>Online</t>
        </is>
      </c>
      <c r="K2588" s="2" t="n">
        <v>1</v>
      </c>
      <c r="L2588" s="3" t="n">
        <v>813.61</v>
      </c>
      <c r="M2588" s="4" t="n">
        <v>0.2</v>
      </c>
      <c r="N2588" s="3" t="n">
        <v>514.73</v>
      </c>
      <c r="O2588" s="3">
        <f>K2588*L2588*(1-M2588)</f>
        <v/>
      </c>
      <c r="P2588" s="3">
        <f>O2588-N2588</f>
        <v/>
      </c>
      <c r="Q2588" s="5">
        <f>IFERROR(P2588/O2588,0)</f>
        <v/>
      </c>
      <c r="R2588" s="2">
        <f>TEXT(DATEVALUE(B2588),"mmm")</f>
        <v/>
      </c>
      <c r="S2588" s="2">
        <f>TEXT(DATEVALUE(B2588),"yyyy-mm")</f>
        <v/>
      </c>
    </row>
    <row r="2589">
      <c r="A2589" s="2" t="inlineStr">
        <is>
          <t>O004806</t>
        </is>
      </c>
      <c r="B2589" s="2" t="inlineStr">
        <is>
          <t>2025-07-06</t>
        </is>
      </c>
      <c r="C2589" s="2" t="inlineStr">
        <is>
          <t>C0249</t>
        </is>
      </c>
      <c r="D2589" s="2" t="inlineStr">
        <is>
          <t>P0005</t>
        </is>
      </c>
      <c r="E2589" s="2" t="inlineStr">
        <is>
          <t>Power Bank</t>
        </is>
      </c>
      <c r="F2589" s="2" t="inlineStr">
        <is>
          <t>Electronics</t>
        </is>
      </c>
      <c r="G2589" s="2" t="inlineStr">
        <is>
          <t>South</t>
        </is>
      </c>
      <c r="H2589" s="2" t="inlineStr">
        <is>
          <t>Telangana</t>
        </is>
      </c>
      <c r="I2589" s="2" t="inlineStr">
        <is>
          <t>Hyderabad</t>
        </is>
      </c>
      <c r="J2589" s="2" t="inlineStr">
        <is>
          <t>Online</t>
        </is>
      </c>
      <c r="K2589" s="2" t="n">
        <v>5</v>
      </c>
      <c r="L2589" s="3" t="n">
        <v>1173.56</v>
      </c>
      <c r="M2589" s="4" t="n">
        <v>0</v>
      </c>
      <c r="N2589" s="3" t="n">
        <v>3285.5</v>
      </c>
      <c r="O2589" s="3">
        <f>K2589*L2589*(1-M2589)</f>
        <v/>
      </c>
      <c r="P2589" s="3">
        <f>O2589-N2589</f>
        <v/>
      </c>
      <c r="Q2589" s="5">
        <f>IFERROR(P2589/O2589,0)</f>
        <v/>
      </c>
      <c r="R2589" s="2">
        <f>TEXT(DATEVALUE(B2589),"mmm")</f>
        <v/>
      </c>
      <c r="S2589" s="2">
        <f>TEXT(DATEVALUE(B2589),"yyyy-mm")</f>
        <v/>
      </c>
    </row>
    <row r="2590">
      <c r="A2590" s="2" t="inlineStr">
        <is>
          <t>O004455</t>
        </is>
      </c>
      <c r="B2590" s="2" t="inlineStr">
        <is>
          <t>2025-07-06</t>
        </is>
      </c>
      <c r="C2590" s="2" t="inlineStr">
        <is>
          <t>C0273</t>
        </is>
      </c>
      <c r="D2590" s="2" t="inlineStr">
        <is>
          <t>P0026</t>
        </is>
      </c>
      <c r="E2590" s="2" t="inlineStr">
        <is>
          <t>Shampoo</t>
        </is>
      </c>
      <c r="F2590" s="2" t="inlineStr">
        <is>
          <t>Beauty</t>
        </is>
      </c>
      <c r="G2590" s="2" t="inlineStr">
        <is>
          <t>West</t>
        </is>
      </c>
      <c r="H2590" s="2" t="inlineStr">
        <is>
          <t>Goa</t>
        </is>
      </c>
      <c r="I2590" s="2" t="inlineStr">
        <is>
          <t>Panaji</t>
        </is>
      </c>
      <c r="J2590" s="2" t="inlineStr">
        <is>
          <t>Online</t>
        </is>
      </c>
      <c r="K2590" s="2" t="n">
        <v>1</v>
      </c>
      <c r="L2590" s="3" t="n">
        <v>852.1</v>
      </c>
      <c r="M2590" s="4" t="n">
        <v>0.15</v>
      </c>
      <c r="N2590" s="3" t="n">
        <v>518.85</v>
      </c>
      <c r="O2590" s="3">
        <f>K2590*L2590*(1-M2590)</f>
        <v/>
      </c>
      <c r="P2590" s="3">
        <f>O2590-N2590</f>
        <v/>
      </c>
      <c r="Q2590" s="5">
        <f>IFERROR(P2590/O2590,0)</f>
        <v/>
      </c>
      <c r="R2590" s="2">
        <f>TEXT(DATEVALUE(B2590),"mmm")</f>
        <v/>
      </c>
      <c r="S2590" s="2">
        <f>TEXT(DATEVALUE(B2590),"yyyy-mm")</f>
        <v/>
      </c>
    </row>
    <row r="2591">
      <c r="A2591" s="2" t="inlineStr">
        <is>
          <t>O003987</t>
        </is>
      </c>
      <c r="B2591" s="2" t="inlineStr">
        <is>
          <t>2025-07-06</t>
        </is>
      </c>
      <c r="C2591" s="2" t="inlineStr">
        <is>
          <t>C0505</t>
        </is>
      </c>
      <c r="D2591" s="2" t="inlineStr">
        <is>
          <t>P0011</t>
        </is>
      </c>
      <c r="E2591" s="2" t="inlineStr">
        <is>
          <t>Cookware Set</t>
        </is>
      </c>
      <c r="F2591" s="2" t="inlineStr">
        <is>
          <t>Home &amp; Kitchen</t>
        </is>
      </c>
      <c r="G2591" s="2" t="inlineStr">
        <is>
          <t>West</t>
        </is>
      </c>
      <c r="H2591" s="2" t="inlineStr">
        <is>
          <t>Goa</t>
        </is>
      </c>
      <c r="I2591" s="2" t="inlineStr">
        <is>
          <t>Margao</t>
        </is>
      </c>
      <c r="J2591" s="2" t="inlineStr">
        <is>
          <t>Online</t>
        </is>
      </c>
      <c r="K2591" s="2" t="n">
        <v>2</v>
      </c>
      <c r="L2591" s="3" t="n">
        <v>695.59</v>
      </c>
      <c r="M2591" s="4" t="n">
        <v>0.05</v>
      </c>
      <c r="N2591" s="3" t="n">
        <v>919.79</v>
      </c>
      <c r="O2591" s="3">
        <f>K2591*L2591*(1-M2591)</f>
        <v/>
      </c>
      <c r="P2591" s="3">
        <f>O2591-N2591</f>
        <v/>
      </c>
      <c r="Q2591" s="5">
        <f>IFERROR(P2591/O2591,0)</f>
        <v/>
      </c>
      <c r="R2591" s="2">
        <f>TEXT(DATEVALUE(B2591),"mmm")</f>
        <v/>
      </c>
      <c r="S2591" s="2">
        <f>TEXT(DATEVALUE(B2591),"yyyy-mm")</f>
        <v/>
      </c>
    </row>
    <row r="2592">
      <c r="A2592" s="2" t="inlineStr">
        <is>
          <t>O003827</t>
        </is>
      </c>
      <c r="B2592" s="2" t="inlineStr">
        <is>
          <t>2025-07-06</t>
        </is>
      </c>
      <c r="C2592" s="2" t="inlineStr">
        <is>
          <t>C0456</t>
        </is>
      </c>
      <c r="D2592" s="2" t="inlineStr">
        <is>
          <t>P0029</t>
        </is>
      </c>
      <c r="E2592" s="2" t="inlineStr">
        <is>
          <t>Yoga Mat</t>
        </is>
      </c>
      <c r="F2592" s="2" t="inlineStr">
        <is>
          <t>Sports</t>
        </is>
      </c>
      <c r="G2592" s="2" t="inlineStr">
        <is>
          <t>West</t>
        </is>
      </c>
      <c r="H2592" s="2" t="inlineStr">
        <is>
          <t>Maharashtra</t>
        </is>
      </c>
      <c r="I2592" s="2" t="inlineStr">
        <is>
          <t>Nashik</t>
        </is>
      </c>
      <c r="J2592" s="2" t="inlineStr">
        <is>
          <t>Online</t>
        </is>
      </c>
      <c r="K2592" s="2" t="n">
        <v>6</v>
      </c>
      <c r="L2592" s="3" t="n">
        <v>2425.23</v>
      </c>
      <c r="M2592" s="4" t="n">
        <v>0.05</v>
      </c>
      <c r="N2592" s="3" t="n">
        <v>7660.56</v>
      </c>
      <c r="O2592" s="3">
        <f>K2592*L2592*(1-M2592)</f>
        <v/>
      </c>
      <c r="P2592" s="3">
        <f>O2592-N2592</f>
        <v/>
      </c>
      <c r="Q2592" s="5">
        <f>IFERROR(P2592/O2592,0)</f>
        <v/>
      </c>
      <c r="R2592" s="2">
        <f>TEXT(DATEVALUE(B2592),"mmm")</f>
        <v/>
      </c>
      <c r="S2592" s="2">
        <f>TEXT(DATEVALUE(B2592),"yyyy-mm")</f>
        <v/>
      </c>
    </row>
    <row r="2593">
      <c r="A2593" s="2" t="inlineStr">
        <is>
          <t>O001531</t>
        </is>
      </c>
      <c r="B2593" s="2" t="inlineStr">
        <is>
          <t>2025-07-06</t>
        </is>
      </c>
      <c r="C2593" s="2" t="inlineStr">
        <is>
          <t>C0777</t>
        </is>
      </c>
      <c r="D2593" s="2" t="inlineStr">
        <is>
          <t>P0029</t>
        </is>
      </c>
      <c r="E2593" s="2" t="inlineStr">
        <is>
          <t>Yoga Mat</t>
        </is>
      </c>
      <c r="F2593" s="2" t="inlineStr">
        <is>
          <t>Sports</t>
        </is>
      </c>
      <c r="G2593" s="2" t="inlineStr">
        <is>
          <t>South</t>
        </is>
      </c>
      <c r="H2593" s="2" t="inlineStr">
        <is>
          <t>Tamil Nadu</t>
        </is>
      </c>
      <c r="I2593" s="2" t="inlineStr">
        <is>
          <t>Chennai</t>
        </is>
      </c>
      <c r="J2593" s="2" t="inlineStr">
        <is>
          <t>Online</t>
        </is>
      </c>
      <c r="K2593" s="2" t="n">
        <v>2</v>
      </c>
      <c r="L2593" s="3" t="n">
        <v>2377.06</v>
      </c>
      <c r="M2593" s="4" t="n">
        <v>0.15</v>
      </c>
      <c r="N2593" s="3" t="n">
        <v>2720.75</v>
      </c>
      <c r="O2593" s="3">
        <f>K2593*L2593*(1-M2593)</f>
        <v/>
      </c>
      <c r="P2593" s="3">
        <f>O2593-N2593</f>
        <v/>
      </c>
      <c r="Q2593" s="5">
        <f>IFERROR(P2593/O2593,0)</f>
        <v/>
      </c>
      <c r="R2593" s="2">
        <f>TEXT(DATEVALUE(B2593),"mmm")</f>
        <v/>
      </c>
      <c r="S2593" s="2">
        <f>TEXT(DATEVALUE(B2593),"yyyy-mm")</f>
        <v/>
      </c>
    </row>
    <row r="2594">
      <c r="A2594" s="2" t="inlineStr">
        <is>
          <t>O003955</t>
        </is>
      </c>
      <c r="B2594" s="2" t="inlineStr">
        <is>
          <t>2025-07-06</t>
        </is>
      </c>
      <c r="C2594" s="2" t="inlineStr">
        <is>
          <t>C0261</t>
        </is>
      </c>
      <c r="D2594" s="2" t="inlineStr">
        <is>
          <t>P0022</t>
        </is>
      </c>
      <c r="E2594" s="2" t="inlineStr">
        <is>
          <t>Face Wash</t>
        </is>
      </c>
      <c r="F2594" s="2" t="inlineStr">
        <is>
          <t>Beauty</t>
        </is>
      </c>
      <c r="G2594" s="2" t="inlineStr">
        <is>
          <t>West</t>
        </is>
      </c>
      <c r="H2594" s="2" t="inlineStr">
        <is>
          <t>Gujarat</t>
        </is>
      </c>
      <c r="I2594" s="2" t="inlineStr">
        <is>
          <t>Surat</t>
        </is>
      </c>
      <c r="J2594" s="2" t="inlineStr">
        <is>
          <t>Online</t>
        </is>
      </c>
      <c r="K2594" s="2" t="n">
        <v>5</v>
      </c>
      <c r="L2594" s="3" t="n">
        <v>568.41</v>
      </c>
      <c r="M2594" s="4" t="n">
        <v>0</v>
      </c>
      <c r="N2594" s="3" t="n">
        <v>1757.73</v>
      </c>
      <c r="O2594" s="3">
        <f>K2594*L2594*(1-M2594)</f>
        <v/>
      </c>
      <c r="P2594" s="3">
        <f>O2594-N2594</f>
        <v/>
      </c>
      <c r="Q2594" s="5">
        <f>IFERROR(P2594/O2594,0)</f>
        <v/>
      </c>
      <c r="R2594" s="2">
        <f>TEXT(DATEVALUE(B2594),"mmm")</f>
        <v/>
      </c>
      <c r="S2594" s="2">
        <f>TEXT(DATEVALUE(B2594),"yyyy-mm")</f>
        <v/>
      </c>
    </row>
    <row r="2595">
      <c r="A2595" s="2" t="inlineStr">
        <is>
          <t>O000893</t>
        </is>
      </c>
      <c r="B2595" s="2" t="inlineStr">
        <is>
          <t>2025-07-06</t>
        </is>
      </c>
      <c r="C2595" s="2" t="inlineStr">
        <is>
          <t>C0711</t>
        </is>
      </c>
      <c r="D2595" s="2" t="inlineStr">
        <is>
          <t>P0004</t>
        </is>
      </c>
      <c r="E2595" s="2" t="inlineStr">
        <is>
          <t>USB-C Hub</t>
        </is>
      </c>
      <c r="F2595" s="2" t="inlineStr">
        <is>
          <t>Electronics</t>
        </is>
      </c>
      <c r="G2595" s="2" t="inlineStr">
        <is>
          <t>West</t>
        </is>
      </c>
      <c r="H2595" s="2" t="inlineStr">
        <is>
          <t>Goa</t>
        </is>
      </c>
      <c r="I2595" s="2" t="inlineStr">
        <is>
          <t>Margao</t>
        </is>
      </c>
      <c r="J2595" s="2" t="inlineStr">
        <is>
          <t>Store</t>
        </is>
      </c>
      <c r="K2595" s="2" t="n">
        <v>1</v>
      </c>
      <c r="L2595" s="3" t="n">
        <v>1217.02</v>
      </c>
      <c r="M2595" s="4" t="n">
        <v>0.05</v>
      </c>
      <c r="N2595" s="3" t="n">
        <v>893.04</v>
      </c>
      <c r="O2595" s="3">
        <f>K2595*L2595*(1-M2595)</f>
        <v/>
      </c>
      <c r="P2595" s="3">
        <f>O2595-N2595</f>
        <v/>
      </c>
      <c r="Q2595" s="5">
        <f>IFERROR(P2595/O2595,0)</f>
        <v/>
      </c>
      <c r="R2595" s="2">
        <f>TEXT(DATEVALUE(B2595),"mmm")</f>
        <v/>
      </c>
      <c r="S2595" s="2">
        <f>TEXT(DATEVALUE(B2595),"yyyy-mm")</f>
        <v/>
      </c>
    </row>
    <row r="2596">
      <c r="A2596" s="2" t="inlineStr">
        <is>
          <t>O000566</t>
        </is>
      </c>
      <c r="B2596" s="2" t="inlineStr">
        <is>
          <t>2025-07-06</t>
        </is>
      </c>
      <c r="C2596" s="2" t="inlineStr">
        <is>
          <t>C0177</t>
        </is>
      </c>
      <c r="D2596" s="2" t="inlineStr">
        <is>
          <t>P0018</t>
        </is>
      </c>
      <c r="E2596" s="2" t="inlineStr">
        <is>
          <t>Backpack</t>
        </is>
      </c>
      <c r="F2596" s="2" t="inlineStr">
        <is>
          <t>Fashion</t>
        </is>
      </c>
      <c r="G2596" s="2" t="inlineStr">
        <is>
          <t>East</t>
        </is>
      </c>
      <c r="H2596" s="2" t="inlineStr">
        <is>
          <t>Odisha</t>
        </is>
      </c>
      <c r="I2596" s="2" t="inlineStr">
        <is>
          <t>Bhubaneswar</t>
        </is>
      </c>
      <c r="J2596" s="2" t="inlineStr">
        <is>
          <t>Store</t>
        </is>
      </c>
      <c r="K2596" s="2" t="n">
        <v>1</v>
      </c>
      <c r="L2596" s="3" t="n">
        <v>1808.82</v>
      </c>
      <c r="M2596" s="4" t="n">
        <v>0.05</v>
      </c>
      <c r="N2596" s="3" t="n">
        <v>1350.55</v>
      </c>
      <c r="O2596" s="3">
        <f>K2596*L2596*(1-M2596)</f>
        <v/>
      </c>
      <c r="P2596" s="3">
        <f>O2596-N2596</f>
        <v/>
      </c>
      <c r="Q2596" s="5">
        <f>IFERROR(P2596/O2596,0)</f>
        <v/>
      </c>
      <c r="R2596" s="2">
        <f>TEXT(DATEVALUE(B2596),"mmm")</f>
        <v/>
      </c>
      <c r="S2596" s="2">
        <f>TEXT(DATEVALUE(B2596),"yyyy-mm")</f>
        <v/>
      </c>
    </row>
    <row r="2597">
      <c r="A2597" s="2" t="inlineStr">
        <is>
          <t>O000237</t>
        </is>
      </c>
      <c r="B2597" s="2" t="inlineStr">
        <is>
          <t>2025-07-06</t>
        </is>
      </c>
      <c r="C2597" s="2" t="inlineStr">
        <is>
          <t>C0637</t>
        </is>
      </c>
      <c r="D2597" s="2" t="inlineStr">
        <is>
          <t>P0032</t>
        </is>
      </c>
      <c r="E2597" s="2" t="inlineStr">
        <is>
          <t>Football</t>
        </is>
      </c>
      <c r="F2597" s="2" t="inlineStr">
        <is>
          <t>Sports</t>
        </is>
      </c>
      <c r="G2597" s="2" t="inlineStr">
        <is>
          <t>West</t>
        </is>
      </c>
      <c r="H2597" s="2" t="inlineStr">
        <is>
          <t>Maharashtra</t>
        </is>
      </c>
      <c r="I2597" s="2" t="inlineStr">
        <is>
          <t>Thane</t>
        </is>
      </c>
      <c r="J2597" s="2" t="inlineStr">
        <is>
          <t>Store</t>
        </is>
      </c>
      <c r="K2597" s="2" t="n">
        <v>1</v>
      </c>
      <c r="L2597" s="3" t="n">
        <v>838.61</v>
      </c>
      <c r="M2597" s="4" t="n">
        <v>0.1</v>
      </c>
      <c r="N2597" s="3" t="n">
        <v>547.87</v>
      </c>
      <c r="O2597" s="3">
        <f>K2597*L2597*(1-M2597)</f>
        <v/>
      </c>
      <c r="P2597" s="3">
        <f>O2597-N2597</f>
        <v/>
      </c>
      <c r="Q2597" s="5">
        <f>IFERROR(P2597/O2597,0)</f>
        <v/>
      </c>
      <c r="R2597" s="2">
        <f>TEXT(DATEVALUE(B2597),"mmm")</f>
        <v/>
      </c>
      <c r="S2597" s="2">
        <f>TEXT(DATEVALUE(B2597),"yyyy-mm")</f>
        <v/>
      </c>
    </row>
    <row r="2598">
      <c r="A2598" s="2" t="inlineStr">
        <is>
          <t>O000205</t>
        </is>
      </c>
      <c r="B2598" s="2" t="inlineStr">
        <is>
          <t>2025-07-06</t>
        </is>
      </c>
      <c r="C2598" s="2" t="inlineStr">
        <is>
          <t>C0366</t>
        </is>
      </c>
      <c r="D2598" s="2" t="inlineStr">
        <is>
          <t>P0013</t>
        </is>
      </c>
      <c r="E2598" s="2" t="inlineStr">
        <is>
          <t>Storage Organizer</t>
        </is>
      </c>
      <c r="F2598" s="2" t="inlineStr">
        <is>
          <t>Home &amp; Kitchen</t>
        </is>
      </c>
      <c r="G2598" s="2" t="inlineStr">
        <is>
          <t>East</t>
        </is>
      </c>
      <c r="H2598" s="2" t="inlineStr">
        <is>
          <t>Bihar</t>
        </is>
      </c>
      <c r="I2598" s="2" t="inlineStr">
        <is>
          <t>Gaya</t>
        </is>
      </c>
      <c r="J2598" s="2" t="inlineStr">
        <is>
          <t>Online</t>
        </is>
      </c>
      <c r="K2598" s="2" t="n">
        <v>2</v>
      </c>
      <c r="L2598" s="3" t="n">
        <v>577.4</v>
      </c>
      <c r="M2598" s="4" t="n">
        <v>0.15</v>
      </c>
      <c r="N2598" s="3" t="n">
        <v>735.29</v>
      </c>
      <c r="O2598" s="3">
        <f>K2598*L2598*(1-M2598)</f>
        <v/>
      </c>
      <c r="P2598" s="3">
        <f>O2598-N2598</f>
        <v/>
      </c>
      <c r="Q2598" s="5">
        <f>IFERROR(P2598/O2598,0)</f>
        <v/>
      </c>
      <c r="R2598" s="2">
        <f>TEXT(DATEVALUE(B2598),"mmm")</f>
        <v/>
      </c>
      <c r="S2598" s="2">
        <f>TEXT(DATEVALUE(B2598),"yyyy-mm")</f>
        <v/>
      </c>
    </row>
    <row r="2599">
      <c r="A2599" s="2" t="inlineStr">
        <is>
          <t>O000155</t>
        </is>
      </c>
      <c r="B2599" s="2" t="inlineStr">
        <is>
          <t>2025-07-06</t>
        </is>
      </c>
      <c r="C2599" s="2" t="inlineStr">
        <is>
          <t>C0568</t>
        </is>
      </c>
      <c r="D2599" s="2" t="inlineStr">
        <is>
          <t>P0010</t>
        </is>
      </c>
      <c r="E2599" s="2" t="inlineStr">
        <is>
          <t>Mixer Grinder</t>
        </is>
      </c>
      <c r="F2599" s="2" t="inlineStr">
        <is>
          <t>Home &amp; Kitchen</t>
        </is>
      </c>
      <c r="G2599" s="2" t="inlineStr">
        <is>
          <t>South</t>
        </is>
      </c>
      <c r="H2599" s="2" t="inlineStr">
        <is>
          <t>Kerala</t>
        </is>
      </c>
      <c r="I2599" s="2" t="inlineStr">
        <is>
          <t>Kochi</t>
        </is>
      </c>
      <c r="J2599" s="2" t="inlineStr">
        <is>
          <t>Online</t>
        </is>
      </c>
      <c r="K2599" s="2" t="n">
        <v>1</v>
      </c>
      <c r="L2599" s="3" t="n">
        <v>1573.69</v>
      </c>
      <c r="M2599" s="4" t="n">
        <v>0.1</v>
      </c>
      <c r="N2599" s="3" t="n">
        <v>1045.41</v>
      </c>
      <c r="O2599" s="3">
        <f>K2599*L2599*(1-M2599)</f>
        <v/>
      </c>
      <c r="P2599" s="3">
        <f>O2599-N2599</f>
        <v/>
      </c>
      <c r="Q2599" s="5">
        <f>IFERROR(P2599/O2599,0)</f>
        <v/>
      </c>
      <c r="R2599" s="2">
        <f>TEXT(DATEVALUE(B2599),"mmm")</f>
        <v/>
      </c>
      <c r="S2599" s="2">
        <f>TEXT(DATEVALUE(B2599),"yyyy-mm")</f>
        <v/>
      </c>
    </row>
    <row r="2600">
      <c r="A2600" s="2" t="inlineStr">
        <is>
          <t>O001383</t>
        </is>
      </c>
      <c r="B2600" s="2" t="inlineStr">
        <is>
          <t>2025-07-06</t>
        </is>
      </c>
      <c r="C2600" s="2" t="inlineStr">
        <is>
          <t>C0107</t>
        </is>
      </c>
      <c r="D2600" s="2" t="inlineStr">
        <is>
          <t>P0022</t>
        </is>
      </c>
      <c r="E2600" s="2" t="inlineStr">
        <is>
          <t>Face Wash</t>
        </is>
      </c>
      <c r="F2600" s="2" t="inlineStr">
        <is>
          <t>Beauty</t>
        </is>
      </c>
      <c r="G2600" s="2" t="inlineStr">
        <is>
          <t>South</t>
        </is>
      </c>
      <c r="H2600" s="2" t="inlineStr">
        <is>
          <t>Telangana</t>
        </is>
      </c>
      <c r="I2600" s="2" t="inlineStr">
        <is>
          <t>Warangal</t>
        </is>
      </c>
      <c r="J2600" s="2" t="inlineStr">
        <is>
          <t>Online</t>
        </is>
      </c>
      <c r="K2600" s="2" t="n">
        <v>1</v>
      </c>
      <c r="L2600" s="3" t="n">
        <v>566.84</v>
      </c>
      <c r="M2600" s="4" t="n">
        <v>0.1</v>
      </c>
      <c r="N2600" s="3" t="n">
        <v>362.7</v>
      </c>
      <c r="O2600" s="3">
        <f>K2600*L2600*(1-M2600)</f>
        <v/>
      </c>
      <c r="P2600" s="3">
        <f>O2600-N2600</f>
        <v/>
      </c>
      <c r="Q2600" s="5">
        <f>IFERROR(P2600/O2600,0)</f>
        <v/>
      </c>
      <c r="R2600" s="2">
        <f>TEXT(DATEVALUE(B2600),"mmm")</f>
        <v/>
      </c>
      <c r="S2600" s="2">
        <f>TEXT(DATEVALUE(B2600),"yyyy-mm")</f>
        <v/>
      </c>
    </row>
    <row r="2601">
      <c r="A2601" s="2" t="inlineStr">
        <is>
          <t>O002829</t>
        </is>
      </c>
      <c r="B2601" s="2" t="inlineStr">
        <is>
          <t>2025-07-07</t>
        </is>
      </c>
      <c r="C2601" s="2" t="inlineStr">
        <is>
          <t>C0161</t>
        </is>
      </c>
      <c r="D2601" s="2" t="inlineStr">
        <is>
          <t>P0022</t>
        </is>
      </c>
      <c r="E2601" s="2" t="inlineStr">
        <is>
          <t>Face Wash</t>
        </is>
      </c>
      <c r="F2601" s="2" t="inlineStr">
        <is>
          <t>Beauty</t>
        </is>
      </c>
      <c r="G2601" s="2" t="inlineStr">
        <is>
          <t>South</t>
        </is>
      </c>
      <c r="H2601" s="2" t="inlineStr">
        <is>
          <t>Karnataka</t>
        </is>
      </c>
      <c r="I2601" s="2" t="inlineStr">
        <is>
          <t>Mangaluru</t>
        </is>
      </c>
      <c r="J2601" s="2" t="inlineStr">
        <is>
          <t>Online</t>
        </is>
      </c>
      <c r="K2601" s="2" t="n">
        <v>1</v>
      </c>
      <c r="L2601" s="3" t="n">
        <v>530.54</v>
      </c>
      <c r="M2601" s="4" t="n">
        <v>0.1</v>
      </c>
      <c r="N2601" s="3" t="n">
        <v>351.03</v>
      </c>
      <c r="O2601" s="3">
        <f>K2601*L2601*(1-M2601)</f>
        <v/>
      </c>
      <c r="P2601" s="3">
        <f>O2601-N2601</f>
        <v/>
      </c>
      <c r="Q2601" s="5">
        <f>IFERROR(P2601/O2601,0)</f>
        <v/>
      </c>
      <c r="R2601" s="2">
        <f>TEXT(DATEVALUE(B2601),"mmm")</f>
        <v/>
      </c>
      <c r="S2601" s="2">
        <f>TEXT(DATEVALUE(B2601),"yyyy-mm")</f>
        <v/>
      </c>
    </row>
    <row r="2602">
      <c r="A2602" s="2" t="inlineStr">
        <is>
          <t>O004121</t>
        </is>
      </c>
      <c r="B2602" s="2" t="inlineStr">
        <is>
          <t>2025-07-07</t>
        </is>
      </c>
      <c r="C2602" s="2" t="inlineStr">
        <is>
          <t>C0435</t>
        </is>
      </c>
      <c r="D2602" s="2" t="inlineStr">
        <is>
          <t>P0010</t>
        </is>
      </c>
      <c r="E2602" s="2" t="inlineStr">
        <is>
          <t>Mixer Grinder</t>
        </is>
      </c>
      <c r="F2602" s="2" t="inlineStr">
        <is>
          <t>Home &amp; Kitchen</t>
        </is>
      </c>
      <c r="G2602" s="2" t="inlineStr">
        <is>
          <t>South</t>
        </is>
      </c>
      <c r="H2602" s="2" t="inlineStr">
        <is>
          <t>Karnataka</t>
        </is>
      </c>
      <c r="I2602" s="2" t="inlineStr">
        <is>
          <t>Bengaluru</t>
        </is>
      </c>
      <c r="J2602" s="2" t="inlineStr">
        <is>
          <t>Online</t>
        </is>
      </c>
      <c r="K2602" s="2" t="n">
        <v>1</v>
      </c>
      <c r="L2602" s="3" t="n">
        <v>1690.45</v>
      </c>
      <c r="M2602" s="4" t="n">
        <v>0.05</v>
      </c>
      <c r="N2602" s="3" t="n">
        <v>1035.14</v>
      </c>
      <c r="O2602" s="3">
        <f>K2602*L2602*(1-M2602)</f>
        <v/>
      </c>
      <c r="P2602" s="3">
        <f>O2602-N2602</f>
        <v/>
      </c>
      <c r="Q2602" s="5">
        <f>IFERROR(P2602/O2602,0)</f>
        <v/>
      </c>
      <c r="R2602" s="2">
        <f>TEXT(DATEVALUE(B2602),"mmm")</f>
        <v/>
      </c>
      <c r="S2602" s="2">
        <f>TEXT(DATEVALUE(B2602),"yyyy-mm")</f>
        <v/>
      </c>
    </row>
    <row r="2603">
      <c r="A2603" s="2" t="inlineStr">
        <is>
          <t>O004075</t>
        </is>
      </c>
      <c r="B2603" s="2" t="inlineStr">
        <is>
          <t>2025-07-07</t>
        </is>
      </c>
      <c r="C2603" s="2" t="inlineStr">
        <is>
          <t>C0627</t>
        </is>
      </c>
      <c r="D2603" s="2" t="inlineStr">
        <is>
          <t>P0017</t>
        </is>
      </c>
      <c r="E2603" s="2" t="inlineStr">
        <is>
          <t>Jeans</t>
        </is>
      </c>
      <c r="F2603" s="2" t="inlineStr">
        <is>
          <t>Fashion</t>
        </is>
      </c>
      <c r="G2603" s="2" t="inlineStr">
        <is>
          <t>North</t>
        </is>
      </c>
      <c r="H2603" s="2" t="inlineStr">
        <is>
          <t>Punjab</t>
        </is>
      </c>
      <c r="I2603" s="2" t="inlineStr">
        <is>
          <t>Ludhiana</t>
        </is>
      </c>
      <c r="J2603" s="2" t="inlineStr">
        <is>
          <t>Online</t>
        </is>
      </c>
      <c r="K2603" s="2" t="n">
        <v>1</v>
      </c>
      <c r="L2603" s="3" t="n">
        <v>1527.79</v>
      </c>
      <c r="M2603" s="4" t="n">
        <v>0.05</v>
      </c>
      <c r="N2603" s="3" t="n">
        <v>1024.23</v>
      </c>
      <c r="O2603" s="3">
        <f>K2603*L2603*(1-M2603)</f>
        <v/>
      </c>
      <c r="P2603" s="3">
        <f>O2603-N2603</f>
        <v/>
      </c>
      <c r="Q2603" s="5">
        <f>IFERROR(P2603/O2603,0)</f>
        <v/>
      </c>
      <c r="R2603" s="2">
        <f>TEXT(DATEVALUE(B2603),"mmm")</f>
        <v/>
      </c>
      <c r="S2603" s="2">
        <f>TEXT(DATEVALUE(B2603),"yyyy-mm")</f>
        <v/>
      </c>
    </row>
    <row r="2604">
      <c r="A2604" s="2" t="inlineStr">
        <is>
          <t>O003900</t>
        </is>
      </c>
      <c r="B2604" s="2" t="inlineStr">
        <is>
          <t>2025-07-07</t>
        </is>
      </c>
      <c r="C2604" s="2" t="inlineStr">
        <is>
          <t>C0279</t>
        </is>
      </c>
      <c r="D2604" s="2" t="inlineStr">
        <is>
          <t>P0003</t>
        </is>
      </c>
      <c r="E2604" s="2" t="inlineStr">
        <is>
          <t>Smartwatch</t>
        </is>
      </c>
      <c r="F2604" s="2" t="inlineStr">
        <is>
          <t>Electronics</t>
        </is>
      </c>
      <c r="G2604" s="2" t="inlineStr">
        <is>
          <t>West</t>
        </is>
      </c>
      <c r="H2604" s="2" t="inlineStr">
        <is>
          <t>Goa</t>
        </is>
      </c>
      <c r="I2604" s="2" t="inlineStr">
        <is>
          <t>Margao</t>
        </is>
      </c>
      <c r="J2604" s="2" t="inlineStr">
        <is>
          <t>Online</t>
        </is>
      </c>
      <c r="K2604" s="2" t="n">
        <v>2</v>
      </c>
      <c r="L2604" s="3" t="n">
        <v>2306.98</v>
      </c>
      <c r="M2604" s="4" t="n">
        <v>0.05</v>
      </c>
      <c r="N2604" s="3" t="n">
        <v>2356.1</v>
      </c>
      <c r="O2604" s="3">
        <f>K2604*L2604*(1-M2604)</f>
        <v/>
      </c>
      <c r="P2604" s="3">
        <f>O2604-N2604</f>
        <v/>
      </c>
      <c r="Q2604" s="5">
        <f>IFERROR(P2604/O2604,0)</f>
        <v/>
      </c>
      <c r="R2604" s="2">
        <f>TEXT(DATEVALUE(B2604),"mmm")</f>
        <v/>
      </c>
      <c r="S2604" s="2">
        <f>TEXT(DATEVALUE(B2604),"yyyy-mm")</f>
        <v/>
      </c>
    </row>
    <row r="2605">
      <c r="A2605" s="2" t="inlineStr">
        <is>
          <t>O003812</t>
        </is>
      </c>
      <c r="B2605" s="2" t="inlineStr">
        <is>
          <t>2025-07-07</t>
        </is>
      </c>
      <c r="C2605" s="2" t="inlineStr">
        <is>
          <t>C0137</t>
        </is>
      </c>
      <c r="D2605" s="2" t="inlineStr">
        <is>
          <t>P0013</t>
        </is>
      </c>
      <c r="E2605" s="2" t="inlineStr">
        <is>
          <t>Storage Organizer</t>
        </is>
      </c>
      <c r="F2605" s="2" t="inlineStr">
        <is>
          <t>Home &amp; Kitchen</t>
        </is>
      </c>
      <c r="G2605" s="2" t="inlineStr">
        <is>
          <t>North</t>
        </is>
      </c>
      <c r="H2605" s="2" t="inlineStr">
        <is>
          <t>Punjab</t>
        </is>
      </c>
      <c r="I2605" s="2" t="inlineStr">
        <is>
          <t>Jalandhar</t>
        </is>
      </c>
      <c r="J2605" s="2" t="inlineStr">
        <is>
          <t>Store</t>
        </is>
      </c>
      <c r="K2605" s="2" t="n">
        <v>3</v>
      </c>
      <c r="L2605" s="3" t="n">
        <v>561.03</v>
      </c>
      <c r="M2605" s="4" t="n">
        <v>0.05</v>
      </c>
      <c r="N2605" s="3" t="n">
        <v>1064.97</v>
      </c>
      <c r="O2605" s="3">
        <f>K2605*L2605*(1-M2605)</f>
        <v/>
      </c>
      <c r="P2605" s="3">
        <f>O2605-N2605</f>
        <v/>
      </c>
      <c r="Q2605" s="5">
        <f>IFERROR(P2605/O2605,0)</f>
        <v/>
      </c>
      <c r="R2605" s="2">
        <f>TEXT(DATEVALUE(B2605),"mmm")</f>
        <v/>
      </c>
      <c r="S2605" s="2">
        <f>TEXT(DATEVALUE(B2605),"yyyy-mm")</f>
        <v/>
      </c>
    </row>
    <row r="2606">
      <c r="A2606" s="2" t="inlineStr">
        <is>
          <t>O004461</t>
        </is>
      </c>
      <c r="B2606" s="2" t="inlineStr">
        <is>
          <t>2025-07-07</t>
        </is>
      </c>
      <c r="C2606" s="2" t="inlineStr">
        <is>
          <t>C0778</t>
        </is>
      </c>
      <c r="D2606" s="2" t="inlineStr">
        <is>
          <t>P0007</t>
        </is>
      </c>
      <c r="E2606" s="2" t="inlineStr">
        <is>
          <t>Wireless Mouse</t>
        </is>
      </c>
      <c r="F2606" s="2" t="inlineStr">
        <is>
          <t>Electronics</t>
        </is>
      </c>
      <c r="G2606" s="2" t="inlineStr">
        <is>
          <t>North</t>
        </is>
      </c>
      <c r="H2606" s="2" t="inlineStr">
        <is>
          <t>Uttar Pradesh</t>
        </is>
      </c>
      <c r="I2606" s="2" t="inlineStr">
        <is>
          <t>Noida</t>
        </is>
      </c>
      <c r="J2606" s="2" t="inlineStr">
        <is>
          <t>Online</t>
        </is>
      </c>
      <c r="K2606" s="2" t="n">
        <v>2</v>
      </c>
      <c r="L2606" s="3" t="n">
        <v>989.13</v>
      </c>
      <c r="M2606" s="4" t="n">
        <v>0.15</v>
      </c>
      <c r="N2606" s="3" t="n">
        <v>1286.65</v>
      </c>
      <c r="O2606" s="3">
        <f>K2606*L2606*(1-M2606)</f>
        <v/>
      </c>
      <c r="P2606" s="3">
        <f>O2606-N2606</f>
        <v/>
      </c>
      <c r="Q2606" s="5">
        <f>IFERROR(P2606/O2606,0)</f>
        <v/>
      </c>
      <c r="R2606" s="2">
        <f>TEXT(DATEVALUE(B2606),"mmm")</f>
        <v/>
      </c>
      <c r="S2606" s="2">
        <f>TEXT(DATEVALUE(B2606),"yyyy-mm")</f>
        <v/>
      </c>
    </row>
    <row r="2607">
      <c r="A2607" s="2" t="inlineStr">
        <is>
          <t>O003605</t>
        </is>
      </c>
      <c r="B2607" s="2" t="inlineStr">
        <is>
          <t>2025-07-07</t>
        </is>
      </c>
      <c r="C2607" s="2" t="inlineStr">
        <is>
          <t>C0694</t>
        </is>
      </c>
      <c r="D2607" s="2" t="inlineStr">
        <is>
          <t>P0027</t>
        </is>
      </c>
      <c r="E2607" s="2" t="inlineStr">
        <is>
          <t>Moisturizer</t>
        </is>
      </c>
      <c r="F2607" s="2" t="inlineStr">
        <is>
          <t>Beauty</t>
        </is>
      </c>
      <c r="G2607" s="2" t="inlineStr">
        <is>
          <t>South</t>
        </is>
      </c>
      <c r="H2607" s="2" t="inlineStr">
        <is>
          <t>Telangana</t>
        </is>
      </c>
      <c r="I2607" s="2" t="inlineStr">
        <is>
          <t>Hyderabad</t>
        </is>
      </c>
      <c r="J2607" s="2" t="inlineStr">
        <is>
          <t>Online</t>
        </is>
      </c>
      <c r="K2607" s="2" t="n">
        <v>4</v>
      </c>
      <c r="L2607" s="3" t="n">
        <v>983.45</v>
      </c>
      <c r="M2607" s="4" t="n">
        <v>0</v>
      </c>
      <c r="N2607" s="3" t="n">
        <v>2749.37</v>
      </c>
      <c r="O2607" s="3">
        <f>K2607*L2607*(1-M2607)</f>
        <v/>
      </c>
      <c r="P2607" s="3">
        <f>O2607-N2607</f>
        <v/>
      </c>
      <c r="Q2607" s="5">
        <f>IFERROR(P2607/O2607,0)</f>
        <v/>
      </c>
      <c r="R2607" s="2">
        <f>TEXT(DATEVALUE(B2607),"mmm")</f>
        <v/>
      </c>
      <c r="S2607" s="2">
        <f>TEXT(DATEVALUE(B2607),"yyyy-mm")</f>
        <v/>
      </c>
    </row>
    <row r="2608">
      <c r="A2608" s="2" t="inlineStr">
        <is>
          <t>O003586</t>
        </is>
      </c>
      <c r="B2608" s="2" t="inlineStr">
        <is>
          <t>2025-07-07</t>
        </is>
      </c>
      <c r="C2608" s="2" t="inlineStr">
        <is>
          <t>C0642</t>
        </is>
      </c>
      <c r="D2608" s="2" t="inlineStr">
        <is>
          <t>P0014</t>
        </is>
      </c>
      <c r="E2608" s="2" t="inlineStr">
        <is>
          <t>Coffee Maker</t>
        </is>
      </c>
      <c r="F2608" s="2" t="inlineStr">
        <is>
          <t>Home &amp; Kitchen</t>
        </is>
      </c>
      <c r="G2608" s="2" t="inlineStr">
        <is>
          <t>East</t>
        </is>
      </c>
      <c r="H2608" s="2" t="inlineStr">
        <is>
          <t>Bihar</t>
        </is>
      </c>
      <c r="I2608" s="2" t="inlineStr">
        <is>
          <t>Gaya</t>
        </is>
      </c>
      <c r="J2608" s="2" t="inlineStr">
        <is>
          <t>Online</t>
        </is>
      </c>
      <c r="K2608" s="2" t="n">
        <v>1</v>
      </c>
      <c r="L2608" s="3" t="n">
        <v>1026.97</v>
      </c>
      <c r="M2608" s="4" t="n">
        <v>0.05</v>
      </c>
      <c r="N2608" s="3" t="n">
        <v>783.53</v>
      </c>
      <c r="O2608" s="3">
        <f>K2608*L2608*(1-M2608)</f>
        <v/>
      </c>
      <c r="P2608" s="3">
        <f>O2608-N2608</f>
        <v/>
      </c>
      <c r="Q2608" s="5">
        <f>IFERROR(P2608/O2608,0)</f>
        <v/>
      </c>
      <c r="R2608" s="2">
        <f>TEXT(DATEVALUE(B2608),"mmm")</f>
        <v/>
      </c>
      <c r="S2608" s="2">
        <f>TEXT(DATEVALUE(B2608),"yyyy-mm")</f>
        <v/>
      </c>
    </row>
    <row r="2609">
      <c r="A2609" s="2" t="inlineStr">
        <is>
          <t>O003359</t>
        </is>
      </c>
      <c r="B2609" s="2" t="inlineStr">
        <is>
          <t>2025-07-07</t>
        </is>
      </c>
      <c r="C2609" s="2" t="inlineStr">
        <is>
          <t>C0592</t>
        </is>
      </c>
      <c r="D2609" s="2" t="inlineStr">
        <is>
          <t>P0011</t>
        </is>
      </c>
      <c r="E2609" s="2" t="inlineStr">
        <is>
          <t>Cookware Set</t>
        </is>
      </c>
      <c r="F2609" s="2" t="inlineStr">
        <is>
          <t>Home &amp; Kitchen</t>
        </is>
      </c>
      <c r="G2609" s="2" t="inlineStr">
        <is>
          <t>North</t>
        </is>
      </c>
      <c r="H2609" s="2" t="inlineStr">
        <is>
          <t>Delhi</t>
        </is>
      </c>
      <c r="I2609" s="2" t="inlineStr">
        <is>
          <t>New Delhi</t>
        </is>
      </c>
      <c r="J2609" s="2" t="inlineStr">
        <is>
          <t>Online</t>
        </is>
      </c>
      <c r="K2609" s="2" t="n">
        <v>1</v>
      </c>
      <c r="L2609" s="3" t="n">
        <v>674.73</v>
      </c>
      <c r="M2609" s="4" t="n">
        <v>0.1</v>
      </c>
      <c r="N2609" s="3" t="n">
        <v>484.29</v>
      </c>
      <c r="O2609" s="3">
        <f>K2609*L2609*(1-M2609)</f>
        <v/>
      </c>
      <c r="P2609" s="3">
        <f>O2609-N2609</f>
        <v/>
      </c>
      <c r="Q2609" s="5">
        <f>IFERROR(P2609/O2609,0)</f>
        <v/>
      </c>
      <c r="R2609" s="2">
        <f>TEXT(DATEVALUE(B2609),"mmm")</f>
        <v/>
      </c>
      <c r="S2609" s="2">
        <f>TEXT(DATEVALUE(B2609),"yyyy-mm")</f>
        <v/>
      </c>
    </row>
    <row r="2610">
      <c r="A2610" s="2" t="inlineStr">
        <is>
          <t>O002744</t>
        </is>
      </c>
      <c r="B2610" s="2" t="inlineStr">
        <is>
          <t>2025-07-07</t>
        </is>
      </c>
      <c r="C2610" s="2" t="inlineStr">
        <is>
          <t>C0782</t>
        </is>
      </c>
      <c r="D2610" s="2" t="inlineStr">
        <is>
          <t>P0017</t>
        </is>
      </c>
      <c r="E2610" s="2" t="inlineStr">
        <is>
          <t>Jeans</t>
        </is>
      </c>
      <c r="F2610" s="2" t="inlineStr">
        <is>
          <t>Fashion</t>
        </is>
      </c>
      <c r="G2610" s="2" t="inlineStr">
        <is>
          <t>North</t>
        </is>
      </c>
      <c r="H2610" s="2" t="inlineStr">
        <is>
          <t>Uttar Pradesh</t>
        </is>
      </c>
      <c r="I2610" s="2" t="inlineStr">
        <is>
          <t>Kanpur</t>
        </is>
      </c>
      <c r="J2610" s="2" t="inlineStr">
        <is>
          <t>Store</t>
        </is>
      </c>
      <c r="K2610" s="2" t="n">
        <v>1</v>
      </c>
      <c r="L2610" s="3" t="n">
        <v>1528.26</v>
      </c>
      <c r="M2610" s="4" t="n">
        <v>0.1</v>
      </c>
      <c r="N2610" s="3" t="n">
        <v>1012.94</v>
      </c>
      <c r="O2610" s="3">
        <f>K2610*L2610*(1-M2610)</f>
        <v/>
      </c>
      <c r="P2610" s="3">
        <f>O2610-N2610</f>
        <v/>
      </c>
      <c r="Q2610" s="5">
        <f>IFERROR(P2610/O2610,0)</f>
        <v/>
      </c>
      <c r="R2610" s="2">
        <f>TEXT(DATEVALUE(B2610),"mmm")</f>
        <v/>
      </c>
      <c r="S2610" s="2">
        <f>TEXT(DATEVALUE(B2610),"yyyy-mm")</f>
        <v/>
      </c>
    </row>
    <row r="2611">
      <c r="A2611" s="2" t="inlineStr">
        <is>
          <t>O003620</t>
        </is>
      </c>
      <c r="B2611" s="2" t="inlineStr">
        <is>
          <t>2025-07-07</t>
        </is>
      </c>
      <c r="C2611" s="2" t="inlineStr">
        <is>
          <t>C0599</t>
        </is>
      </c>
      <c r="D2611" s="2" t="inlineStr">
        <is>
          <t>P0004</t>
        </is>
      </c>
      <c r="E2611" s="2" t="inlineStr">
        <is>
          <t>USB-C Hub</t>
        </is>
      </c>
      <c r="F2611" s="2" t="inlineStr">
        <is>
          <t>Electronics</t>
        </is>
      </c>
      <c r="G2611" s="2" t="inlineStr">
        <is>
          <t>North</t>
        </is>
      </c>
      <c r="H2611" s="2" t="inlineStr">
        <is>
          <t>Uttar Pradesh</t>
        </is>
      </c>
      <c r="I2611" s="2" t="inlineStr">
        <is>
          <t>Varanasi</t>
        </is>
      </c>
      <c r="J2611" s="2" t="inlineStr">
        <is>
          <t>Online</t>
        </is>
      </c>
      <c r="K2611" s="2" t="n">
        <v>1</v>
      </c>
      <c r="L2611" s="3" t="n">
        <v>1262.94</v>
      </c>
      <c r="M2611" s="4" t="n">
        <v>0.05</v>
      </c>
      <c r="N2611" s="3" t="n">
        <v>902.83</v>
      </c>
      <c r="O2611" s="3">
        <f>K2611*L2611*(1-M2611)</f>
        <v/>
      </c>
      <c r="P2611" s="3">
        <f>O2611-N2611</f>
        <v/>
      </c>
      <c r="Q2611" s="5">
        <f>IFERROR(P2611/O2611,0)</f>
        <v/>
      </c>
      <c r="R2611" s="2">
        <f>TEXT(DATEVALUE(B2611),"mmm")</f>
        <v/>
      </c>
      <c r="S2611" s="2">
        <f>TEXT(DATEVALUE(B2611),"yyyy-mm")</f>
        <v/>
      </c>
    </row>
    <row r="2612">
      <c r="A2612" s="2" t="inlineStr">
        <is>
          <t>O002494</t>
        </is>
      </c>
      <c r="B2612" s="2" t="inlineStr">
        <is>
          <t>2025-07-07</t>
        </is>
      </c>
      <c r="C2612" s="2" t="inlineStr">
        <is>
          <t>C0175</t>
        </is>
      </c>
      <c r="D2612" s="2" t="inlineStr">
        <is>
          <t>P0025</t>
        </is>
      </c>
      <c r="E2612" s="2" t="inlineStr">
        <is>
          <t>Perfume</t>
        </is>
      </c>
      <c r="F2612" s="2" t="inlineStr">
        <is>
          <t>Beauty</t>
        </is>
      </c>
      <c r="G2612" s="2" t="inlineStr">
        <is>
          <t>East</t>
        </is>
      </c>
      <c r="H2612" s="2" t="inlineStr">
        <is>
          <t>West Bengal</t>
        </is>
      </c>
      <c r="I2612" s="2" t="inlineStr">
        <is>
          <t>Durgapur</t>
        </is>
      </c>
      <c r="J2612" s="2" t="inlineStr">
        <is>
          <t>Online</t>
        </is>
      </c>
      <c r="K2612" s="2" t="n">
        <v>1</v>
      </c>
      <c r="L2612" s="3" t="n">
        <v>833.38</v>
      </c>
      <c r="M2612" s="4" t="n">
        <v>0.2</v>
      </c>
      <c r="N2612" s="3" t="n">
        <v>586.84</v>
      </c>
      <c r="O2612" s="3">
        <f>K2612*L2612*(1-M2612)</f>
        <v/>
      </c>
      <c r="P2612" s="3">
        <f>O2612-N2612</f>
        <v/>
      </c>
      <c r="Q2612" s="5">
        <f>IFERROR(P2612/O2612,0)</f>
        <v/>
      </c>
      <c r="R2612" s="2">
        <f>TEXT(DATEVALUE(B2612),"mmm")</f>
        <v/>
      </c>
      <c r="S2612" s="2">
        <f>TEXT(DATEVALUE(B2612),"yyyy-mm")</f>
        <v/>
      </c>
    </row>
    <row r="2613">
      <c r="A2613" s="2" t="inlineStr">
        <is>
          <t>O002258</t>
        </is>
      </c>
      <c r="B2613" s="2" t="inlineStr">
        <is>
          <t>2025-07-07</t>
        </is>
      </c>
      <c r="C2613" s="2" t="inlineStr">
        <is>
          <t>C0231</t>
        </is>
      </c>
      <c r="D2613" s="2" t="inlineStr">
        <is>
          <t>P0012</t>
        </is>
      </c>
      <c r="E2613" s="2" t="inlineStr">
        <is>
          <t>Water Bottle</t>
        </is>
      </c>
      <c r="F2613" s="2" t="inlineStr">
        <is>
          <t>Home &amp; Kitchen</t>
        </is>
      </c>
      <c r="G2613" s="2" t="inlineStr">
        <is>
          <t>South</t>
        </is>
      </c>
      <c r="H2613" s="2" t="inlineStr">
        <is>
          <t>Tamil Nadu</t>
        </is>
      </c>
      <c r="I2613" s="2" t="inlineStr">
        <is>
          <t>Coimbatore</t>
        </is>
      </c>
      <c r="J2613" s="2" t="inlineStr">
        <is>
          <t>Store</t>
        </is>
      </c>
      <c r="K2613" s="2" t="n">
        <v>1</v>
      </c>
      <c r="L2613" s="3" t="n">
        <v>964.5599999999999</v>
      </c>
      <c r="M2613" s="4" t="n">
        <v>0.15</v>
      </c>
      <c r="N2613" s="3" t="n">
        <v>603.2</v>
      </c>
      <c r="O2613" s="3">
        <f>K2613*L2613*(1-M2613)</f>
        <v/>
      </c>
      <c r="P2613" s="3">
        <f>O2613-N2613</f>
        <v/>
      </c>
      <c r="Q2613" s="5">
        <f>IFERROR(P2613/O2613,0)</f>
        <v/>
      </c>
      <c r="R2613" s="2">
        <f>TEXT(DATEVALUE(B2613),"mmm")</f>
        <v/>
      </c>
      <c r="S2613" s="2">
        <f>TEXT(DATEVALUE(B2613),"yyyy-mm")</f>
        <v/>
      </c>
    </row>
    <row r="2614">
      <c r="A2614" s="2" t="inlineStr">
        <is>
          <t>O001868</t>
        </is>
      </c>
      <c r="B2614" s="2" t="inlineStr">
        <is>
          <t>2025-07-07</t>
        </is>
      </c>
      <c r="C2614" s="2" t="inlineStr">
        <is>
          <t>C0047</t>
        </is>
      </c>
      <c r="D2614" s="2" t="inlineStr">
        <is>
          <t>P0022</t>
        </is>
      </c>
      <c r="E2614" s="2" t="inlineStr">
        <is>
          <t>Face Wash</t>
        </is>
      </c>
      <c r="F2614" s="2" t="inlineStr">
        <is>
          <t>Beauty</t>
        </is>
      </c>
      <c r="G2614" s="2" t="inlineStr">
        <is>
          <t>North</t>
        </is>
      </c>
      <c r="H2614" s="2" t="inlineStr">
        <is>
          <t>Uttar Pradesh</t>
        </is>
      </c>
      <c r="I2614" s="2" t="inlineStr">
        <is>
          <t>Varanasi</t>
        </is>
      </c>
      <c r="J2614" s="2" t="inlineStr">
        <is>
          <t>Store</t>
        </is>
      </c>
      <c r="K2614" s="2" t="n">
        <v>3</v>
      </c>
      <c r="L2614" s="3" t="n">
        <v>565.33</v>
      </c>
      <c r="M2614" s="4" t="n">
        <v>0.15</v>
      </c>
      <c r="N2614" s="3" t="n">
        <v>1021.88</v>
      </c>
      <c r="O2614" s="3">
        <f>K2614*L2614*(1-M2614)</f>
        <v/>
      </c>
      <c r="P2614" s="3">
        <f>O2614-N2614</f>
        <v/>
      </c>
      <c r="Q2614" s="5">
        <f>IFERROR(P2614/O2614,0)</f>
        <v/>
      </c>
      <c r="R2614" s="2">
        <f>TEXT(DATEVALUE(B2614),"mmm")</f>
        <v/>
      </c>
      <c r="S2614" s="2">
        <f>TEXT(DATEVALUE(B2614),"yyyy-mm")</f>
        <v/>
      </c>
    </row>
    <row r="2615">
      <c r="A2615" s="2" t="inlineStr">
        <is>
          <t>O001680</t>
        </is>
      </c>
      <c r="B2615" s="2" t="inlineStr">
        <is>
          <t>2025-07-07</t>
        </is>
      </c>
      <c r="C2615" s="2" t="inlineStr">
        <is>
          <t>C0694</t>
        </is>
      </c>
      <c r="D2615" s="2" t="inlineStr">
        <is>
          <t>P0018</t>
        </is>
      </c>
      <c r="E2615" s="2" t="inlineStr">
        <is>
          <t>Backpack</t>
        </is>
      </c>
      <c r="F2615" s="2" t="inlineStr">
        <is>
          <t>Fashion</t>
        </is>
      </c>
      <c r="G2615" s="2" t="inlineStr">
        <is>
          <t>West</t>
        </is>
      </c>
      <c r="H2615" s="2" t="inlineStr">
        <is>
          <t>Maharashtra</t>
        </is>
      </c>
      <c r="I2615" s="2" t="inlineStr">
        <is>
          <t>Pune</t>
        </is>
      </c>
      <c r="J2615" s="2" t="inlineStr">
        <is>
          <t>Online</t>
        </is>
      </c>
      <c r="K2615" s="2" t="n">
        <v>4</v>
      </c>
      <c r="L2615" s="3" t="n">
        <v>1772.13</v>
      </c>
      <c r="M2615" s="4" t="n">
        <v>0.05</v>
      </c>
      <c r="N2615" s="3" t="n">
        <v>5486.92</v>
      </c>
      <c r="O2615" s="3">
        <f>K2615*L2615*(1-M2615)</f>
        <v/>
      </c>
      <c r="P2615" s="3">
        <f>O2615-N2615</f>
        <v/>
      </c>
      <c r="Q2615" s="5">
        <f>IFERROR(P2615/O2615,0)</f>
        <v/>
      </c>
      <c r="R2615" s="2">
        <f>TEXT(DATEVALUE(B2615),"mmm")</f>
        <v/>
      </c>
      <c r="S2615" s="2">
        <f>TEXT(DATEVALUE(B2615),"yyyy-mm")</f>
        <v/>
      </c>
    </row>
    <row r="2616">
      <c r="A2616" s="2" t="inlineStr">
        <is>
          <t>O001650</t>
        </is>
      </c>
      <c r="B2616" s="2" t="inlineStr">
        <is>
          <t>2025-07-07</t>
        </is>
      </c>
      <c r="C2616" s="2" t="inlineStr">
        <is>
          <t>C0757</t>
        </is>
      </c>
      <c r="D2616" s="2" t="inlineStr">
        <is>
          <t>P0006</t>
        </is>
      </c>
      <c r="E2616" s="2" t="inlineStr">
        <is>
          <t>Mechanical Keyboard</t>
        </is>
      </c>
      <c r="F2616" s="2" t="inlineStr">
        <is>
          <t>Electronics</t>
        </is>
      </c>
      <c r="G2616" s="2" t="inlineStr">
        <is>
          <t>East</t>
        </is>
      </c>
      <c r="H2616" s="2" t="inlineStr">
        <is>
          <t>Odisha</t>
        </is>
      </c>
      <c r="I2616" s="2" t="inlineStr">
        <is>
          <t>Bhubaneswar</t>
        </is>
      </c>
      <c r="J2616" s="2" t="inlineStr">
        <is>
          <t>Online</t>
        </is>
      </c>
      <c r="K2616" s="2" t="n">
        <v>4</v>
      </c>
      <c r="L2616" s="3" t="n">
        <v>2830.67</v>
      </c>
      <c r="M2616" s="4" t="n">
        <v>0.05</v>
      </c>
      <c r="N2616" s="3" t="n">
        <v>5949.59</v>
      </c>
      <c r="O2616" s="3">
        <f>K2616*L2616*(1-M2616)</f>
        <v/>
      </c>
      <c r="P2616" s="3">
        <f>O2616-N2616</f>
        <v/>
      </c>
      <c r="Q2616" s="5">
        <f>IFERROR(P2616/O2616,0)</f>
        <v/>
      </c>
      <c r="R2616" s="2">
        <f>TEXT(DATEVALUE(B2616),"mmm")</f>
        <v/>
      </c>
      <c r="S2616" s="2">
        <f>TEXT(DATEVALUE(B2616),"yyyy-mm")</f>
        <v/>
      </c>
    </row>
    <row r="2617">
      <c r="A2617" s="2" t="inlineStr">
        <is>
          <t>O001477</t>
        </is>
      </c>
      <c r="B2617" s="2" t="inlineStr">
        <is>
          <t>2025-07-07</t>
        </is>
      </c>
      <c r="C2617" s="2" t="inlineStr">
        <is>
          <t>C0270</t>
        </is>
      </c>
      <c r="D2617" s="2" t="inlineStr">
        <is>
          <t>P0003</t>
        </is>
      </c>
      <c r="E2617" s="2" t="inlineStr">
        <is>
          <t>Smartwatch</t>
        </is>
      </c>
      <c r="F2617" s="2" t="inlineStr">
        <is>
          <t>Electronics</t>
        </is>
      </c>
      <c r="G2617" s="2" t="inlineStr">
        <is>
          <t>East</t>
        </is>
      </c>
      <c r="H2617" s="2" t="inlineStr">
        <is>
          <t>Odisha</t>
        </is>
      </c>
      <c r="I2617" s="2" t="inlineStr">
        <is>
          <t>Bhubaneswar</t>
        </is>
      </c>
      <c r="J2617" s="2" t="inlineStr">
        <is>
          <t>Online</t>
        </is>
      </c>
      <c r="K2617" s="2" t="n">
        <v>2</v>
      </c>
      <c r="L2617" s="3" t="n">
        <v>2234.96</v>
      </c>
      <c r="M2617" s="4" t="n">
        <v>0.15</v>
      </c>
      <c r="N2617" s="3" t="n">
        <v>2375.92</v>
      </c>
      <c r="O2617" s="3">
        <f>K2617*L2617*(1-M2617)</f>
        <v/>
      </c>
      <c r="P2617" s="3">
        <f>O2617-N2617</f>
        <v/>
      </c>
      <c r="Q2617" s="5">
        <f>IFERROR(P2617/O2617,0)</f>
        <v/>
      </c>
      <c r="R2617" s="2">
        <f>TEXT(DATEVALUE(B2617),"mmm")</f>
        <v/>
      </c>
      <c r="S2617" s="2">
        <f>TEXT(DATEVALUE(B2617),"yyyy-mm")</f>
        <v/>
      </c>
    </row>
    <row r="2618">
      <c r="A2618" s="2" t="inlineStr">
        <is>
          <t>O001288</t>
        </is>
      </c>
      <c r="B2618" s="2" t="inlineStr">
        <is>
          <t>2025-07-07</t>
        </is>
      </c>
      <c r="C2618" s="2" t="inlineStr">
        <is>
          <t>C0416</t>
        </is>
      </c>
      <c r="D2618" s="2" t="inlineStr">
        <is>
          <t>P0014</t>
        </is>
      </c>
      <c r="E2618" s="2" t="inlineStr">
        <is>
          <t>Coffee Maker</t>
        </is>
      </c>
      <c r="F2618" s="2" t="inlineStr">
        <is>
          <t>Home &amp; Kitchen</t>
        </is>
      </c>
      <c r="G2618" s="2" t="inlineStr">
        <is>
          <t>West</t>
        </is>
      </c>
      <c r="H2618" s="2" t="inlineStr">
        <is>
          <t>Maharashtra</t>
        </is>
      </c>
      <c r="I2618" s="2" t="inlineStr">
        <is>
          <t>Nagpur</t>
        </is>
      </c>
      <c r="J2618" s="2" t="inlineStr">
        <is>
          <t>Online</t>
        </is>
      </c>
      <c r="K2618" s="2" t="n">
        <v>2</v>
      </c>
      <c r="L2618" s="3" t="n">
        <v>1086.53</v>
      </c>
      <c r="M2618" s="4" t="n">
        <v>0.15</v>
      </c>
      <c r="N2618" s="3" t="n">
        <v>1532.86</v>
      </c>
      <c r="O2618" s="3">
        <f>K2618*L2618*(1-M2618)</f>
        <v/>
      </c>
      <c r="P2618" s="3">
        <f>O2618-N2618</f>
        <v/>
      </c>
      <c r="Q2618" s="5">
        <f>IFERROR(P2618/O2618,0)</f>
        <v/>
      </c>
      <c r="R2618" s="2">
        <f>TEXT(DATEVALUE(B2618),"mmm")</f>
        <v/>
      </c>
      <c r="S2618" s="2">
        <f>TEXT(DATEVALUE(B2618),"yyyy-mm")</f>
        <v/>
      </c>
    </row>
    <row r="2619">
      <c r="A2619" s="2" t="inlineStr">
        <is>
          <t>O000345</t>
        </is>
      </c>
      <c r="B2619" s="2" t="inlineStr">
        <is>
          <t>2025-07-07</t>
        </is>
      </c>
      <c r="C2619" s="2" t="inlineStr">
        <is>
          <t>C0093</t>
        </is>
      </c>
      <c r="D2619" s="2" t="inlineStr">
        <is>
          <t>P0004</t>
        </is>
      </c>
      <c r="E2619" s="2" t="inlineStr">
        <is>
          <t>USB-C Hub</t>
        </is>
      </c>
      <c r="F2619" s="2" t="inlineStr">
        <is>
          <t>Electronics</t>
        </is>
      </c>
      <c r="G2619" s="2" t="inlineStr">
        <is>
          <t>West</t>
        </is>
      </c>
      <c r="H2619" s="2" t="inlineStr">
        <is>
          <t>Goa</t>
        </is>
      </c>
      <c r="I2619" s="2" t="inlineStr">
        <is>
          <t>Margao</t>
        </is>
      </c>
      <c r="J2619" s="2" t="inlineStr">
        <is>
          <t>Store</t>
        </is>
      </c>
      <c r="K2619" s="2" t="n">
        <v>2</v>
      </c>
      <c r="L2619" s="3" t="n">
        <v>1250.09</v>
      </c>
      <c r="M2619" s="4" t="n">
        <v>0.05</v>
      </c>
      <c r="N2619" s="3" t="n">
        <v>1804.71</v>
      </c>
      <c r="O2619" s="3">
        <f>K2619*L2619*(1-M2619)</f>
        <v/>
      </c>
      <c r="P2619" s="3">
        <f>O2619-N2619</f>
        <v/>
      </c>
      <c r="Q2619" s="5">
        <f>IFERROR(P2619/O2619,0)</f>
        <v/>
      </c>
      <c r="R2619" s="2">
        <f>TEXT(DATEVALUE(B2619),"mmm")</f>
        <v/>
      </c>
      <c r="S2619" s="2">
        <f>TEXT(DATEVALUE(B2619),"yyyy-mm")</f>
        <v/>
      </c>
    </row>
    <row r="2620">
      <c r="A2620" s="2" t="inlineStr">
        <is>
          <t>O000090</t>
        </is>
      </c>
      <c r="B2620" s="2" t="inlineStr">
        <is>
          <t>2025-07-07</t>
        </is>
      </c>
      <c r="C2620" s="2" t="inlineStr">
        <is>
          <t>C0057</t>
        </is>
      </c>
      <c r="D2620" s="2" t="inlineStr">
        <is>
          <t>P0015</t>
        </is>
      </c>
      <c r="E2620" s="2" t="inlineStr">
        <is>
          <t>Running Shoes</t>
        </is>
      </c>
      <c r="F2620" s="2" t="inlineStr">
        <is>
          <t>Fashion</t>
        </is>
      </c>
      <c r="G2620" s="2" t="inlineStr">
        <is>
          <t>East</t>
        </is>
      </c>
      <c r="H2620" s="2" t="inlineStr">
        <is>
          <t>Bihar</t>
        </is>
      </c>
      <c r="I2620" s="2" t="inlineStr">
        <is>
          <t>Gaya</t>
        </is>
      </c>
      <c r="J2620" s="2" t="inlineStr">
        <is>
          <t>Online</t>
        </is>
      </c>
      <c r="K2620" s="2" t="n">
        <v>1</v>
      </c>
      <c r="L2620" s="3" t="n">
        <v>615.76</v>
      </c>
      <c r="M2620" s="4" t="n">
        <v>0.25</v>
      </c>
      <c r="N2620" s="3" t="n">
        <v>375.59</v>
      </c>
      <c r="O2620" s="3">
        <f>K2620*L2620*(1-M2620)</f>
        <v/>
      </c>
      <c r="P2620" s="3">
        <f>O2620-N2620</f>
        <v/>
      </c>
      <c r="Q2620" s="5">
        <f>IFERROR(P2620/O2620,0)</f>
        <v/>
      </c>
      <c r="R2620" s="2">
        <f>TEXT(DATEVALUE(B2620),"mmm")</f>
        <v/>
      </c>
      <c r="S2620" s="2">
        <f>TEXT(DATEVALUE(B2620),"yyyy-mm")</f>
        <v/>
      </c>
    </row>
    <row r="2621">
      <c r="A2621" s="2" t="inlineStr">
        <is>
          <t>O000033</t>
        </is>
      </c>
      <c r="B2621" s="2" t="inlineStr">
        <is>
          <t>2025-07-07</t>
        </is>
      </c>
      <c r="C2621" s="2" t="inlineStr">
        <is>
          <t>C0457</t>
        </is>
      </c>
      <c r="D2621" s="2" t="inlineStr">
        <is>
          <t>P0025</t>
        </is>
      </c>
      <c r="E2621" s="2" t="inlineStr">
        <is>
          <t>Perfume</t>
        </is>
      </c>
      <c r="F2621" s="2" t="inlineStr">
        <is>
          <t>Beauty</t>
        </is>
      </c>
      <c r="G2621" s="2" t="inlineStr">
        <is>
          <t>North</t>
        </is>
      </c>
      <c r="H2621" s="2" t="inlineStr">
        <is>
          <t>Delhi</t>
        </is>
      </c>
      <c r="I2621" s="2" t="inlineStr">
        <is>
          <t>New Delhi</t>
        </is>
      </c>
      <c r="J2621" s="2" t="inlineStr">
        <is>
          <t>Store</t>
        </is>
      </c>
      <c r="K2621" s="2" t="n">
        <v>2</v>
      </c>
      <c r="L2621" s="3" t="n">
        <v>838.99</v>
      </c>
      <c r="M2621" s="4" t="n">
        <v>0.1</v>
      </c>
      <c r="N2621" s="3" t="n">
        <v>1215.42</v>
      </c>
      <c r="O2621" s="3">
        <f>K2621*L2621*(1-M2621)</f>
        <v/>
      </c>
      <c r="P2621" s="3">
        <f>O2621-N2621</f>
        <v/>
      </c>
      <c r="Q2621" s="5">
        <f>IFERROR(P2621/O2621,0)</f>
        <v/>
      </c>
      <c r="R2621" s="2">
        <f>TEXT(DATEVALUE(B2621),"mmm")</f>
        <v/>
      </c>
      <c r="S2621" s="2">
        <f>TEXT(DATEVALUE(B2621),"yyyy-mm")</f>
        <v/>
      </c>
    </row>
    <row r="2622">
      <c r="A2622" s="2" t="inlineStr">
        <is>
          <t>O002723</t>
        </is>
      </c>
      <c r="B2622" s="2" t="inlineStr">
        <is>
          <t>2025-07-07</t>
        </is>
      </c>
      <c r="C2622" s="2" t="inlineStr">
        <is>
          <t>C0058</t>
        </is>
      </c>
      <c r="D2622" s="2" t="inlineStr">
        <is>
          <t>P0016</t>
        </is>
      </c>
      <c r="E2622" s="2" t="inlineStr">
        <is>
          <t>Casual Shirt</t>
        </is>
      </c>
      <c r="F2622" s="2" t="inlineStr">
        <is>
          <t>Fashion</t>
        </is>
      </c>
      <c r="G2622" s="2" t="inlineStr">
        <is>
          <t>North</t>
        </is>
      </c>
      <c r="H2622" s="2" t="inlineStr">
        <is>
          <t>Haryana</t>
        </is>
      </c>
      <c r="I2622" s="2" t="inlineStr">
        <is>
          <t>Faridabad</t>
        </is>
      </c>
      <c r="J2622" s="2" t="inlineStr">
        <is>
          <t>Online</t>
        </is>
      </c>
      <c r="K2622" s="2" t="n">
        <v>2</v>
      </c>
      <c r="L2622" s="3" t="n">
        <v>1253.42</v>
      </c>
      <c r="M2622" s="4" t="n">
        <v>0.1</v>
      </c>
      <c r="N2622" s="3" t="n">
        <v>1821.4</v>
      </c>
      <c r="O2622" s="3">
        <f>K2622*L2622*(1-M2622)</f>
        <v/>
      </c>
      <c r="P2622" s="3">
        <f>O2622-N2622</f>
        <v/>
      </c>
      <c r="Q2622" s="5">
        <f>IFERROR(P2622/O2622,0)</f>
        <v/>
      </c>
      <c r="R2622" s="2">
        <f>TEXT(DATEVALUE(B2622),"mmm")</f>
        <v/>
      </c>
      <c r="S2622" s="2">
        <f>TEXT(DATEVALUE(B2622),"yyyy-mm")</f>
        <v/>
      </c>
    </row>
    <row r="2623">
      <c r="A2623" s="2" t="inlineStr">
        <is>
          <t>O004229</t>
        </is>
      </c>
      <c r="B2623" s="2" t="inlineStr">
        <is>
          <t>2025-07-08</t>
        </is>
      </c>
      <c r="C2623" s="2" t="inlineStr">
        <is>
          <t>C0436</t>
        </is>
      </c>
      <c r="D2623" s="2" t="inlineStr">
        <is>
          <t>P0017</t>
        </is>
      </c>
      <c r="E2623" s="2" t="inlineStr">
        <is>
          <t>Jeans</t>
        </is>
      </c>
      <c r="F2623" s="2" t="inlineStr">
        <is>
          <t>Fashion</t>
        </is>
      </c>
      <c r="G2623" s="2" t="inlineStr">
        <is>
          <t>East</t>
        </is>
      </c>
      <c r="H2623" s="2" t="inlineStr">
        <is>
          <t>Bihar</t>
        </is>
      </c>
      <c r="I2623" s="2" t="inlineStr">
        <is>
          <t>Patna</t>
        </is>
      </c>
      <c r="J2623" s="2" t="inlineStr">
        <is>
          <t>Store</t>
        </is>
      </c>
      <c r="K2623" s="2" t="n">
        <v>2</v>
      </c>
      <c r="L2623" s="3" t="n">
        <v>1443.71</v>
      </c>
      <c r="M2623" s="4" t="n">
        <v>0.1</v>
      </c>
      <c r="N2623" s="3" t="n">
        <v>2064.52</v>
      </c>
      <c r="O2623" s="3">
        <f>K2623*L2623*(1-M2623)</f>
        <v/>
      </c>
      <c r="P2623" s="3">
        <f>O2623-N2623</f>
        <v/>
      </c>
      <c r="Q2623" s="5">
        <f>IFERROR(P2623/O2623,0)</f>
        <v/>
      </c>
      <c r="R2623" s="2">
        <f>TEXT(DATEVALUE(B2623),"mmm")</f>
        <v/>
      </c>
      <c r="S2623" s="2">
        <f>TEXT(DATEVALUE(B2623),"yyyy-mm")</f>
        <v/>
      </c>
    </row>
    <row r="2624">
      <c r="A2624" s="2" t="inlineStr">
        <is>
          <t>O004101</t>
        </is>
      </c>
      <c r="B2624" s="2" t="inlineStr">
        <is>
          <t>2025-07-08</t>
        </is>
      </c>
      <c r="C2624" s="2" t="inlineStr">
        <is>
          <t>C0400</t>
        </is>
      </c>
      <c r="D2624" s="2" t="inlineStr">
        <is>
          <t>P0007</t>
        </is>
      </c>
      <c r="E2624" s="2" t="inlineStr">
        <is>
          <t>Wireless Mouse</t>
        </is>
      </c>
      <c r="F2624" s="2" t="inlineStr">
        <is>
          <t>Electronics</t>
        </is>
      </c>
      <c r="G2624" s="2" t="inlineStr">
        <is>
          <t>West</t>
        </is>
      </c>
      <c r="H2624" s="2" t="inlineStr">
        <is>
          <t>Goa</t>
        </is>
      </c>
      <c r="I2624" s="2" t="inlineStr">
        <is>
          <t>Margao</t>
        </is>
      </c>
      <c r="J2624" s="2" t="inlineStr">
        <is>
          <t>Store</t>
        </is>
      </c>
      <c r="K2624" s="2" t="n">
        <v>3</v>
      </c>
      <c r="L2624" s="3" t="n">
        <v>960.96</v>
      </c>
      <c r="M2624" s="4" t="n">
        <v>0.15</v>
      </c>
      <c r="N2624" s="3" t="n">
        <v>1887.94</v>
      </c>
      <c r="O2624" s="3">
        <f>K2624*L2624*(1-M2624)</f>
        <v/>
      </c>
      <c r="P2624" s="3">
        <f>O2624-N2624</f>
        <v/>
      </c>
      <c r="Q2624" s="5">
        <f>IFERROR(P2624/O2624,0)</f>
        <v/>
      </c>
      <c r="R2624" s="2">
        <f>TEXT(DATEVALUE(B2624),"mmm")</f>
        <v/>
      </c>
      <c r="S2624" s="2">
        <f>TEXT(DATEVALUE(B2624),"yyyy-mm")</f>
        <v/>
      </c>
    </row>
    <row r="2625">
      <c r="A2625" s="2" t="inlineStr">
        <is>
          <t>O003544</t>
        </is>
      </c>
      <c r="B2625" s="2" t="inlineStr">
        <is>
          <t>2025-07-08</t>
        </is>
      </c>
      <c r="C2625" s="2" t="inlineStr">
        <is>
          <t>C0694</t>
        </is>
      </c>
      <c r="D2625" s="2" t="inlineStr">
        <is>
          <t>P0019</t>
        </is>
      </c>
      <c r="E2625" s="2" t="inlineStr">
        <is>
          <t>Jacket</t>
        </is>
      </c>
      <c r="F2625" s="2" t="inlineStr">
        <is>
          <t>Fashion</t>
        </is>
      </c>
      <c r="G2625" s="2" t="inlineStr">
        <is>
          <t>North</t>
        </is>
      </c>
      <c r="H2625" s="2" t="inlineStr">
        <is>
          <t>Haryana</t>
        </is>
      </c>
      <c r="I2625" s="2" t="inlineStr">
        <is>
          <t>Gurugram</t>
        </is>
      </c>
      <c r="J2625" s="2" t="inlineStr">
        <is>
          <t>Online</t>
        </is>
      </c>
      <c r="K2625" s="2" t="n">
        <v>1</v>
      </c>
      <c r="L2625" s="3" t="n">
        <v>1054.31</v>
      </c>
      <c r="M2625" s="4" t="n">
        <v>0.05</v>
      </c>
      <c r="N2625" s="3" t="n">
        <v>665.75</v>
      </c>
      <c r="O2625" s="3">
        <f>K2625*L2625*(1-M2625)</f>
        <v/>
      </c>
      <c r="P2625" s="3">
        <f>O2625-N2625</f>
        <v/>
      </c>
      <c r="Q2625" s="5">
        <f>IFERROR(P2625/O2625,0)</f>
        <v/>
      </c>
      <c r="R2625" s="2">
        <f>TEXT(DATEVALUE(B2625),"mmm")</f>
        <v/>
      </c>
      <c r="S2625" s="2">
        <f>TEXT(DATEVALUE(B2625),"yyyy-mm")</f>
        <v/>
      </c>
    </row>
    <row r="2626">
      <c r="A2626" s="2" t="inlineStr">
        <is>
          <t>O003239</t>
        </is>
      </c>
      <c r="B2626" s="2" t="inlineStr">
        <is>
          <t>2025-07-08</t>
        </is>
      </c>
      <c r="C2626" s="2" t="inlineStr">
        <is>
          <t>C0239</t>
        </is>
      </c>
      <c r="D2626" s="2" t="inlineStr">
        <is>
          <t>P0032</t>
        </is>
      </c>
      <c r="E2626" s="2" t="inlineStr">
        <is>
          <t>Football</t>
        </is>
      </c>
      <c r="F2626" s="2" t="inlineStr">
        <is>
          <t>Sports</t>
        </is>
      </c>
      <c r="G2626" s="2" t="inlineStr">
        <is>
          <t>South</t>
        </is>
      </c>
      <c r="H2626" s="2" t="inlineStr">
        <is>
          <t>Karnataka</t>
        </is>
      </c>
      <c r="I2626" s="2" t="inlineStr">
        <is>
          <t>Bengaluru</t>
        </is>
      </c>
      <c r="J2626" s="2" t="inlineStr">
        <is>
          <t>Online</t>
        </is>
      </c>
      <c r="K2626" s="2" t="n">
        <v>2</v>
      </c>
      <c r="L2626" s="3" t="n">
        <v>779.42</v>
      </c>
      <c r="M2626" s="4" t="n">
        <v>0.15</v>
      </c>
      <c r="N2626" s="3" t="n">
        <v>1051.53</v>
      </c>
      <c r="O2626" s="3">
        <f>K2626*L2626*(1-M2626)</f>
        <v/>
      </c>
      <c r="P2626" s="3">
        <f>O2626-N2626</f>
        <v/>
      </c>
      <c r="Q2626" s="5">
        <f>IFERROR(P2626/O2626,0)</f>
        <v/>
      </c>
      <c r="R2626" s="2">
        <f>TEXT(DATEVALUE(B2626),"mmm")</f>
        <v/>
      </c>
      <c r="S2626" s="2">
        <f>TEXT(DATEVALUE(B2626),"yyyy-mm")</f>
        <v/>
      </c>
    </row>
    <row r="2627">
      <c r="A2627" s="2" t="inlineStr">
        <is>
          <t>O004884</t>
        </is>
      </c>
      <c r="B2627" s="2" t="inlineStr">
        <is>
          <t>2025-07-08</t>
        </is>
      </c>
      <c r="C2627" s="2" t="inlineStr">
        <is>
          <t>C0175</t>
        </is>
      </c>
      <c r="D2627" s="2" t="inlineStr">
        <is>
          <t>P0021</t>
        </is>
      </c>
      <c r="E2627" s="2" t="inlineStr">
        <is>
          <t>Wallet</t>
        </is>
      </c>
      <c r="F2627" s="2" t="inlineStr">
        <is>
          <t>Fashion</t>
        </is>
      </c>
      <c r="G2627" s="2" t="inlineStr">
        <is>
          <t>West</t>
        </is>
      </c>
      <c r="H2627" s="2" t="inlineStr">
        <is>
          <t>Gujarat</t>
        </is>
      </c>
      <c r="I2627" s="2" t="inlineStr">
        <is>
          <t>Ahmedabad</t>
        </is>
      </c>
      <c r="J2627" s="2" t="inlineStr">
        <is>
          <t>Store</t>
        </is>
      </c>
      <c r="K2627" s="2" t="n">
        <v>3</v>
      </c>
      <c r="L2627" s="3" t="n">
        <v>1994.14</v>
      </c>
      <c r="M2627" s="4" t="n">
        <v>0.2</v>
      </c>
      <c r="N2627" s="3" t="n">
        <v>3691.73</v>
      </c>
      <c r="O2627" s="3">
        <f>K2627*L2627*(1-M2627)</f>
        <v/>
      </c>
      <c r="P2627" s="3">
        <f>O2627-N2627</f>
        <v/>
      </c>
      <c r="Q2627" s="5">
        <f>IFERROR(P2627/O2627,0)</f>
        <v/>
      </c>
      <c r="R2627" s="2">
        <f>TEXT(DATEVALUE(B2627),"mmm")</f>
        <v/>
      </c>
      <c r="S2627" s="2">
        <f>TEXT(DATEVALUE(B2627),"yyyy-mm")</f>
        <v/>
      </c>
    </row>
    <row r="2628">
      <c r="A2628" s="2" t="inlineStr">
        <is>
          <t>O002655</t>
        </is>
      </c>
      <c r="B2628" s="2" t="inlineStr">
        <is>
          <t>2025-07-08</t>
        </is>
      </c>
      <c r="C2628" s="2" t="inlineStr">
        <is>
          <t>C0182</t>
        </is>
      </c>
      <c r="D2628" s="2" t="inlineStr">
        <is>
          <t>P0024</t>
        </is>
      </c>
      <c r="E2628" s="2" t="inlineStr">
        <is>
          <t>Hair Dryer</t>
        </is>
      </c>
      <c r="F2628" s="2" t="inlineStr">
        <is>
          <t>Beauty</t>
        </is>
      </c>
      <c r="G2628" s="2" t="inlineStr">
        <is>
          <t>North</t>
        </is>
      </c>
      <c r="H2628" s="2" t="inlineStr">
        <is>
          <t>Punjab</t>
        </is>
      </c>
      <c r="I2628" s="2" t="inlineStr">
        <is>
          <t>Ludhiana</t>
        </is>
      </c>
      <c r="J2628" s="2" t="inlineStr">
        <is>
          <t>Store</t>
        </is>
      </c>
      <c r="K2628" s="2" t="n">
        <v>6</v>
      </c>
      <c r="L2628" s="3" t="n">
        <v>1010.35</v>
      </c>
      <c r="M2628" s="4" t="n">
        <v>0.05</v>
      </c>
      <c r="N2628" s="3" t="n">
        <v>4434.12</v>
      </c>
      <c r="O2628" s="3">
        <f>K2628*L2628*(1-M2628)</f>
        <v/>
      </c>
      <c r="P2628" s="3">
        <f>O2628-N2628</f>
        <v/>
      </c>
      <c r="Q2628" s="5">
        <f>IFERROR(P2628/O2628,0)</f>
        <v/>
      </c>
      <c r="R2628" s="2">
        <f>TEXT(DATEVALUE(B2628),"mmm")</f>
        <v/>
      </c>
      <c r="S2628" s="2">
        <f>TEXT(DATEVALUE(B2628),"yyyy-mm")</f>
        <v/>
      </c>
    </row>
    <row r="2629">
      <c r="A2629" s="2" t="inlineStr">
        <is>
          <t>O001211</t>
        </is>
      </c>
      <c r="B2629" s="2" t="inlineStr">
        <is>
          <t>2025-07-08</t>
        </is>
      </c>
      <c r="C2629" s="2" t="inlineStr">
        <is>
          <t>C0029</t>
        </is>
      </c>
      <c r="D2629" s="2" t="inlineStr">
        <is>
          <t>P0006</t>
        </is>
      </c>
      <c r="E2629" s="2" t="inlineStr">
        <is>
          <t>Mechanical Keyboard</t>
        </is>
      </c>
      <c r="F2629" s="2" t="inlineStr">
        <is>
          <t>Electronics</t>
        </is>
      </c>
      <c r="G2629" s="2" t="inlineStr">
        <is>
          <t>West</t>
        </is>
      </c>
      <c r="H2629" s="2" t="inlineStr">
        <is>
          <t>Goa</t>
        </is>
      </c>
      <c r="I2629" s="2" t="inlineStr">
        <is>
          <t>Panaji</t>
        </is>
      </c>
      <c r="J2629" s="2" t="inlineStr">
        <is>
          <t>Store</t>
        </is>
      </c>
      <c r="K2629" s="2" t="n">
        <v>3</v>
      </c>
      <c r="L2629" s="3" t="n">
        <v>2724</v>
      </c>
      <c r="M2629" s="4" t="n">
        <v>0.25</v>
      </c>
      <c r="N2629" s="3" t="n">
        <v>4314.42</v>
      </c>
      <c r="O2629" s="3">
        <f>K2629*L2629*(1-M2629)</f>
        <v/>
      </c>
      <c r="P2629" s="3">
        <f>O2629-N2629</f>
        <v/>
      </c>
      <c r="Q2629" s="5">
        <f>IFERROR(P2629/O2629,0)</f>
        <v/>
      </c>
      <c r="R2629" s="2">
        <f>TEXT(DATEVALUE(B2629),"mmm")</f>
        <v/>
      </c>
      <c r="S2629" s="2">
        <f>TEXT(DATEVALUE(B2629),"yyyy-mm")</f>
        <v/>
      </c>
    </row>
    <row r="2630">
      <c r="A2630" s="2" t="inlineStr">
        <is>
          <t>O000457</t>
        </is>
      </c>
      <c r="B2630" s="2" t="inlineStr">
        <is>
          <t>2025-07-08</t>
        </is>
      </c>
      <c r="C2630" s="2" t="inlineStr">
        <is>
          <t>C0019</t>
        </is>
      </c>
      <c r="D2630" s="2" t="inlineStr">
        <is>
          <t>P0017</t>
        </is>
      </c>
      <c r="E2630" s="2" t="inlineStr">
        <is>
          <t>Jeans</t>
        </is>
      </c>
      <c r="F2630" s="2" t="inlineStr">
        <is>
          <t>Fashion</t>
        </is>
      </c>
      <c r="G2630" s="2" t="inlineStr">
        <is>
          <t>West</t>
        </is>
      </c>
      <c r="H2630" s="2" t="inlineStr">
        <is>
          <t>Goa</t>
        </is>
      </c>
      <c r="I2630" s="2" t="inlineStr">
        <is>
          <t>Margao</t>
        </is>
      </c>
      <c r="J2630" s="2" t="inlineStr">
        <is>
          <t>Store</t>
        </is>
      </c>
      <c r="K2630" s="2" t="n">
        <v>1</v>
      </c>
      <c r="L2630" s="3" t="n">
        <v>1549.07</v>
      </c>
      <c r="M2630" s="4" t="n">
        <v>0.05</v>
      </c>
      <c r="N2630" s="3" t="n">
        <v>1004.76</v>
      </c>
      <c r="O2630" s="3">
        <f>K2630*L2630*(1-M2630)</f>
        <v/>
      </c>
      <c r="P2630" s="3">
        <f>O2630-N2630</f>
        <v/>
      </c>
      <c r="Q2630" s="5">
        <f>IFERROR(P2630/O2630,0)</f>
        <v/>
      </c>
      <c r="R2630" s="2">
        <f>TEXT(DATEVALUE(B2630),"mmm")</f>
        <v/>
      </c>
      <c r="S2630" s="2">
        <f>TEXT(DATEVALUE(B2630),"yyyy-mm")</f>
        <v/>
      </c>
    </row>
    <row r="2631">
      <c r="A2631" s="2" t="inlineStr">
        <is>
          <t>O000006</t>
        </is>
      </c>
      <c r="B2631" s="2" t="inlineStr">
        <is>
          <t>2025-07-08</t>
        </is>
      </c>
      <c r="C2631" s="2" t="inlineStr">
        <is>
          <t>C0159</t>
        </is>
      </c>
      <c r="D2631" s="2" t="inlineStr">
        <is>
          <t>P0012</t>
        </is>
      </c>
      <c r="E2631" s="2" t="inlineStr">
        <is>
          <t>Water Bottle</t>
        </is>
      </c>
      <c r="F2631" s="2" t="inlineStr">
        <is>
          <t>Home &amp; Kitchen</t>
        </is>
      </c>
      <c r="G2631" s="2" t="inlineStr">
        <is>
          <t>North</t>
        </is>
      </c>
      <c r="H2631" s="2" t="inlineStr">
        <is>
          <t>Punjab</t>
        </is>
      </c>
      <c r="I2631" s="2" t="inlineStr">
        <is>
          <t>Amritsar</t>
        </is>
      </c>
      <c r="J2631" s="2" t="inlineStr">
        <is>
          <t>Online</t>
        </is>
      </c>
      <c r="K2631" s="2" t="n">
        <v>2</v>
      </c>
      <c r="L2631" s="3" t="n">
        <v>955.16</v>
      </c>
      <c r="M2631" s="4" t="n">
        <v>0.05</v>
      </c>
      <c r="N2631" s="3" t="n">
        <v>1245.32</v>
      </c>
      <c r="O2631" s="3">
        <f>K2631*L2631*(1-M2631)</f>
        <v/>
      </c>
      <c r="P2631" s="3">
        <f>O2631-N2631</f>
        <v/>
      </c>
      <c r="Q2631" s="5">
        <f>IFERROR(P2631/O2631,0)</f>
        <v/>
      </c>
      <c r="R2631" s="2">
        <f>TEXT(DATEVALUE(B2631),"mmm")</f>
        <v/>
      </c>
      <c r="S2631" s="2">
        <f>TEXT(DATEVALUE(B2631),"yyyy-mm")</f>
        <v/>
      </c>
    </row>
    <row r="2632">
      <c r="A2632" s="2" t="inlineStr">
        <is>
          <t>O003026</t>
        </is>
      </c>
      <c r="B2632" s="2" t="inlineStr">
        <is>
          <t>2025-07-08</t>
        </is>
      </c>
      <c r="C2632" s="2" t="inlineStr">
        <is>
          <t>C0780</t>
        </is>
      </c>
      <c r="D2632" s="2" t="inlineStr">
        <is>
          <t>P0026</t>
        </is>
      </c>
      <c r="E2632" s="2" t="inlineStr">
        <is>
          <t>Shampoo</t>
        </is>
      </c>
      <c r="F2632" s="2" t="inlineStr">
        <is>
          <t>Beauty</t>
        </is>
      </c>
      <c r="G2632" s="2" t="inlineStr">
        <is>
          <t>West</t>
        </is>
      </c>
      <c r="H2632" s="2" t="inlineStr">
        <is>
          <t>Goa</t>
        </is>
      </c>
      <c r="I2632" s="2" t="inlineStr">
        <is>
          <t>Panaji</t>
        </is>
      </c>
      <c r="J2632" s="2" t="inlineStr">
        <is>
          <t>Online</t>
        </is>
      </c>
      <c r="K2632" s="2" t="n">
        <v>1</v>
      </c>
      <c r="L2632" s="3" t="n">
        <v>886.72</v>
      </c>
      <c r="M2632" s="4" t="n">
        <v>0.1</v>
      </c>
      <c r="N2632" s="3" t="n">
        <v>525.97</v>
      </c>
      <c r="O2632" s="3">
        <f>K2632*L2632*(1-M2632)</f>
        <v/>
      </c>
      <c r="P2632" s="3">
        <f>O2632-N2632</f>
        <v/>
      </c>
      <c r="Q2632" s="5">
        <f>IFERROR(P2632/O2632,0)</f>
        <v/>
      </c>
      <c r="R2632" s="2">
        <f>TEXT(DATEVALUE(B2632),"mmm")</f>
        <v/>
      </c>
      <c r="S2632" s="2">
        <f>TEXT(DATEVALUE(B2632),"yyyy-mm")</f>
        <v/>
      </c>
    </row>
    <row r="2633">
      <c r="A2633" s="2" t="inlineStr">
        <is>
          <t>O004144</t>
        </is>
      </c>
      <c r="B2633" s="2" t="inlineStr">
        <is>
          <t>2025-07-09</t>
        </is>
      </c>
      <c r="C2633" s="2" t="inlineStr">
        <is>
          <t>C0731</t>
        </is>
      </c>
      <c r="D2633" s="2" t="inlineStr">
        <is>
          <t>P0018</t>
        </is>
      </c>
      <c r="E2633" s="2" t="inlineStr">
        <is>
          <t>Backpack</t>
        </is>
      </c>
      <c r="F2633" s="2" t="inlineStr">
        <is>
          <t>Fashion</t>
        </is>
      </c>
      <c r="G2633" s="2" t="inlineStr">
        <is>
          <t>North</t>
        </is>
      </c>
      <c r="H2633" s="2" t="inlineStr">
        <is>
          <t>Delhi</t>
        </is>
      </c>
      <c r="I2633" s="2" t="inlineStr">
        <is>
          <t>New Delhi</t>
        </is>
      </c>
      <c r="J2633" s="2" t="inlineStr">
        <is>
          <t>Store</t>
        </is>
      </c>
      <c r="K2633" s="2" t="n">
        <v>3</v>
      </c>
      <c r="L2633" s="3" t="n">
        <v>1747.61</v>
      </c>
      <c r="M2633" s="4" t="n">
        <v>0.1</v>
      </c>
      <c r="N2633" s="3" t="n">
        <v>3951.4</v>
      </c>
      <c r="O2633" s="3">
        <f>K2633*L2633*(1-M2633)</f>
        <v/>
      </c>
      <c r="P2633" s="3">
        <f>O2633-N2633</f>
        <v/>
      </c>
      <c r="Q2633" s="5">
        <f>IFERROR(P2633/O2633,0)</f>
        <v/>
      </c>
      <c r="R2633" s="2">
        <f>TEXT(DATEVALUE(B2633),"mmm")</f>
        <v/>
      </c>
      <c r="S2633" s="2">
        <f>TEXT(DATEVALUE(B2633),"yyyy-mm")</f>
        <v/>
      </c>
    </row>
    <row r="2634">
      <c r="A2634" s="2" t="inlineStr">
        <is>
          <t>O003242</t>
        </is>
      </c>
      <c r="B2634" s="2" t="inlineStr">
        <is>
          <t>2025-07-09</t>
        </is>
      </c>
      <c r="C2634" s="2" t="inlineStr">
        <is>
          <t>C0761</t>
        </is>
      </c>
      <c r="D2634" s="2" t="inlineStr">
        <is>
          <t>P0011</t>
        </is>
      </c>
      <c r="E2634" s="2" t="inlineStr">
        <is>
          <t>Cookware Set</t>
        </is>
      </c>
      <c r="F2634" s="2" t="inlineStr">
        <is>
          <t>Home &amp; Kitchen</t>
        </is>
      </c>
      <c r="G2634" s="2" t="inlineStr">
        <is>
          <t>West</t>
        </is>
      </c>
      <c r="H2634" s="2" t="inlineStr">
        <is>
          <t>Gujarat</t>
        </is>
      </c>
      <c r="I2634" s="2" t="inlineStr">
        <is>
          <t>Ahmedabad</t>
        </is>
      </c>
      <c r="J2634" s="2" t="inlineStr">
        <is>
          <t>Store</t>
        </is>
      </c>
      <c r="K2634" s="2" t="n">
        <v>4</v>
      </c>
      <c r="L2634" s="3" t="n">
        <v>699.47</v>
      </c>
      <c r="M2634" s="4" t="n">
        <v>0.1</v>
      </c>
      <c r="N2634" s="3" t="n">
        <v>1867.74</v>
      </c>
      <c r="O2634" s="3">
        <f>K2634*L2634*(1-M2634)</f>
        <v/>
      </c>
      <c r="P2634" s="3">
        <f>O2634-N2634</f>
        <v/>
      </c>
      <c r="Q2634" s="5">
        <f>IFERROR(P2634/O2634,0)</f>
        <v/>
      </c>
      <c r="R2634" s="2">
        <f>TEXT(DATEVALUE(B2634),"mmm")</f>
        <v/>
      </c>
      <c r="S2634" s="2">
        <f>TEXT(DATEVALUE(B2634),"yyyy-mm")</f>
        <v/>
      </c>
    </row>
    <row r="2635">
      <c r="A2635" s="2" t="inlineStr">
        <is>
          <t>O003107</t>
        </is>
      </c>
      <c r="B2635" s="2" t="inlineStr">
        <is>
          <t>2025-07-09</t>
        </is>
      </c>
      <c r="C2635" s="2" t="inlineStr">
        <is>
          <t>C0102</t>
        </is>
      </c>
      <c r="D2635" s="2" t="inlineStr">
        <is>
          <t>P0011</t>
        </is>
      </c>
      <c r="E2635" s="2" t="inlineStr">
        <is>
          <t>Cookware Set</t>
        </is>
      </c>
      <c r="F2635" s="2" t="inlineStr">
        <is>
          <t>Home &amp; Kitchen</t>
        </is>
      </c>
      <c r="G2635" s="2" t="inlineStr">
        <is>
          <t>South</t>
        </is>
      </c>
      <c r="H2635" s="2" t="inlineStr">
        <is>
          <t>Karnataka</t>
        </is>
      </c>
      <c r="I2635" s="2" t="inlineStr">
        <is>
          <t>Bengaluru</t>
        </is>
      </c>
      <c r="J2635" s="2" t="inlineStr">
        <is>
          <t>Online</t>
        </is>
      </c>
      <c r="K2635" s="2" t="n">
        <v>2</v>
      </c>
      <c r="L2635" s="3" t="n">
        <v>694.6900000000001</v>
      </c>
      <c r="M2635" s="4" t="n">
        <v>0</v>
      </c>
      <c r="N2635" s="3" t="n">
        <v>954.98</v>
      </c>
      <c r="O2635" s="3">
        <f>K2635*L2635*(1-M2635)</f>
        <v/>
      </c>
      <c r="P2635" s="3">
        <f>O2635-N2635</f>
        <v/>
      </c>
      <c r="Q2635" s="5">
        <f>IFERROR(P2635/O2635,0)</f>
        <v/>
      </c>
      <c r="R2635" s="2">
        <f>TEXT(DATEVALUE(B2635),"mmm")</f>
        <v/>
      </c>
      <c r="S2635" s="2">
        <f>TEXT(DATEVALUE(B2635),"yyyy-mm")</f>
        <v/>
      </c>
    </row>
    <row r="2636">
      <c r="A2636" s="2" t="inlineStr">
        <is>
          <t>O003043</t>
        </is>
      </c>
      <c r="B2636" s="2" t="inlineStr">
        <is>
          <t>2025-07-09</t>
        </is>
      </c>
      <c r="C2636" s="2" t="inlineStr">
        <is>
          <t>C0175</t>
        </is>
      </c>
      <c r="D2636" s="2" t="inlineStr">
        <is>
          <t>P0017</t>
        </is>
      </c>
      <c r="E2636" s="2" t="inlineStr">
        <is>
          <t>Jeans</t>
        </is>
      </c>
      <c r="F2636" s="2" t="inlineStr">
        <is>
          <t>Fashion</t>
        </is>
      </c>
      <c r="G2636" s="2" t="inlineStr">
        <is>
          <t>West</t>
        </is>
      </c>
      <c r="H2636" s="2" t="inlineStr">
        <is>
          <t>Goa</t>
        </is>
      </c>
      <c r="I2636" s="2" t="inlineStr">
        <is>
          <t>Panaji</t>
        </is>
      </c>
      <c r="J2636" s="2" t="inlineStr">
        <is>
          <t>Online</t>
        </is>
      </c>
      <c r="K2636" s="2" t="n">
        <v>2</v>
      </c>
      <c r="L2636" s="3" t="n">
        <v>1448.61</v>
      </c>
      <c r="M2636" s="4" t="n">
        <v>0.05</v>
      </c>
      <c r="N2636" s="3" t="n">
        <v>2045.66</v>
      </c>
      <c r="O2636" s="3">
        <f>K2636*L2636*(1-M2636)</f>
        <v/>
      </c>
      <c r="P2636" s="3">
        <f>O2636-N2636</f>
        <v/>
      </c>
      <c r="Q2636" s="5">
        <f>IFERROR(P2636/O2636,0)</f>
        <v/>
      </c>
      <c r="R2636" s="2">
        <f>TEXT(DATEVALUE(B2636),"mmm")</f>
        <v/>
      </c>
      <c r="S2636" s="2">
        <f>TEXT(DATEVALUE(B2636),"yyyy-mm")</f>
        <v/>
      </c>
    </row>
    <row r="2637">
      <c r="A2637" s="2" t="inlineStr">
        <is>
          <t>O002586</t>
        </is>
      </c>
      <c r="B2637" s="2" t="inlineStr">
        <is>
          <t>2025-07-09</t>
        </is>
      </c>
      <c r="C2637" s="2" t="inlineStr">
        <is>
          <t>C0166</t>
        </is>
      </c>
      <c r="D2637" s="2" t="inlineStr">
        <is>
          <t>P0031</t>
        </is>
      </c>
      <c r="E2637" s="2" t="inlineStr">
        <is>
          <t>Cricket Bat</t>
        </is>
      </c>
      <c r="F2637" s="2" t="inlineStr">
        <is>
          <t>Sports</t>
        </is>
      </c>
      <c r="G2637" s="2" t="inlineStr">
        <is>
          <t>South</t>
        </is>
      </c>
      <c r="H2637" s="2" t="inlineStr">
        <is>
          <t>Tamil Nadu</t>
        </is>
      </c>
      <c r="I2637" s="2" t="inlineStr">
        <is>
          <t>Coimbatore</t>
        </is>
      </c>
      <c r="J2637" s="2" t="inlineStr">
        <is>
          <t>Online</t>
        </is>
      </c>
      <c r="K2637" s="2" t="n">
        <v>2</v>
      </c>
      <c r="L2637" s="3" t="n">
        <v>1356.06</v>
      </c>
      <c r="M2637" s="4" t="n">
        <v>0</v>
      </c>
      <c r="N2637" s="3" t="n">
        <v>1842.81</v>
      </c>
      <c r="O2637" s="3">
        <f>K2637*L2637*(1-M2637)</f>
        <v/>
      </c>
      <c r="P2637" s="3">
        <f>O2637-N2637</f>
        <v/>
      </c>
      <c r="Q2637" s="5">
        <f>IFERROR(P2637/O2637,0)</f>
        <v/>
      </c>
      <c r="R2637" s="2">
        <f>TEXT(DATEVALUE(B2637),"mmm")</f>
        <v/>
      </c>
      <c r="S2637" s="2">
        <f>TEXT(DATEVALUE(B2637),"yyyy-mm")</f>
        <v/>
      </c>
    </row>
    <row r="2638">
      <c r="A2638" s="2" t="inlineStr">
        <is>
          <t>O002445</t>
        </is>
      </c>
      <c r="B2638" s="2" t="inlineStr">
        <is>
          <t>2025-07-09</t>
        </is>
      </c>
      <c r="C2638" s="2" t="inlineStr">
        <is>
          <t>C0412</t>
        </is>
      </c>
      <c r="D2638" s="2" t="inlineStr">
        <is>
          <t>P0013</t>
        </is>
      </c>
      <c r="E2638" s="2" t="inlineStr">
        <is>
          <t>Storage Organizer</t>
        </is>
      </c>
      <c r="F2638" s="2" t="inlineStr">
        <is>
          <t>Home &amp; Kitchen</t>
        </is>
      </c>
      <c r="G2638" s="2" t="inlineStr">
        <is>
          <t>East</t>
        </is>
      </c>
      <c r="H2638" s="2" t="inlineStr">
        <is>
          <t>Odisha</t>
        </is>
      </c>
      <c r="I2638" s="2" t="inlineStr">
        <is>
          <t>Bhubaneswar</t>
        </is>
      </c>
      <c r="J2638" s="2" t="inlineStr">
        <is>
          <t>Online</t>
        </is>
      </c>
      <c r="K2638" s="2" t="n">
        <v>3</v>
      </c>
      <c r="L2638" s="3" t="n">
        <v>567.38</v>
      </c>
      <c r="M2638" s="4" t="n">
        <v>0.05</v>
      </c>
      <c r="N2638" s="3" t="n">
        <v>1075.02</v>
      </c>
      <c r="O2638" s="3">
        <f>K2638*L2638*(1-M2638)</f>
        <v/>
      </c>
      <c r="P2638" s="3">
        <f>O2638-N2638</f>
        <v/>
      </c>
      <c r="Q2638" s="5">
        <f>IFERROR(P2638/O2638,0)</f>
        <v/>
      </c>
      <c r="R2638" s="2">
        <f>TEXT(DATEVALUE(B2638),"mmm")</f>
        <v/>
      </c>
      <c r="S2638" s="2">
        <f>TEXT(DATEVALUE(B2638),"yyyy-mm")</f>
        <v/>
      </c>
    </row>
    <row r="2639">
      <c r="A2639" s="2" t="inlineStr">
        <is>
          <t>O002359</t>
        </is>
      </c>
      <c r="B2639" s="2" t="inlineStr">
        <is>
          <t>2025-07-09</t>
        </is>
      </c>
      <c r="C2639" s="2" t="inlineStr">
        <is>
          <t>C0782</t>
        </is>
      </c>
      <c r="D2639" s="2" t="inlineStr">
        <is>
          <t>P0006</t>
        </is>
      </c>
      <c r="E2639" s="2" t="inlineStr">
        <is>
          <t>Mechanical Keyboard</t>
        </is>
      </c>
      <c r="F2639" s="2" t="inlineStr">
        <is>
          <t>Electronics</t>
        </is>
      </c>
      <c r="G2639" s="2" t="inlineStr">
        <is>
          <t>West</t>
        </is>
      </c>
      <c r="H2639" s="2" t="inlineStr">
        <is>
          <t>Gujarat</t>
        </is>
      </c>
      <c r="I2639" s="2" t="inlineStr">
        <is>
          <t>Surat</t>
        </is>
      </c>
      <c r="J2639" s="2" t="inlineStr">
        <is>
          <t>Online</t>
        </is>
      </c>
      <c r="K2639" s="2" t="n">
        <v>1</v>
      </c>
      <c r="L2639" s="3" t="n">
        <v>2595.44</v>
      </c>
      <c r="M2639" s="4" t="n">
        <v>0.05</v>
      </c>
      <c r="N2639" s="3" t="n">
        <v>1459.07</v>
      </c>
      <c r="O2639" s="3">
        <f>K2639*L2639*(1-M2639)</f>
        <v/>
      </c>
      <c r="P2639" s="3">
        <f>O2639-N2639</f>
        <v/>
      </c>
      <c r="Q2639" s="5">
        <f>IFERROR(P2639/O2639,0)</f>
        <v/>
      </c>
      <c r="R2639" s="2">
        <f>TEXT(DATEVALUE(B2639),"mmm")</f>
        <v/>
      </c>
      <c r="S2639" s="2">
        <f>TEXT(DATEVALUE(B2639),"yyyy-mm")</f>
        <v/>
      </c>
    </row>
    <row r="2640">
      <c r="A2640" s="2" t="inlineStr">
        <is>
          <t>O000651</t>
        </is>
      </c>
      <c r="B2640" s="2" t="inlineStr">
        <is>
          <t>2025-07-09</t>
        </is>
      </c>
      <c r="C2640" s="2" t="inlineStr">
        <is>
          <t>C0049</t>
        </is>
      </c>
      <c r="D2640" s="2" t="inlineStr">
        <is>
          <t>P0006</t>
        </is>
      </c>
      <c r="E2640" s="2" t="inlineStr">
        <is>
          <t>Mechanical Keyboard</t>
        </is>
      </c>
      <c r="F2640" s="2" t="inlineStr">
        <is>
          <t>Electronics</t>
        </is>
      </c>
      <c r="G2640" s="2" t="inlineStr">
        <is>
          <t>East</t>
        </is>
      </c>
      <c r="H2640" s="2" t="inlineStr">
        <is>
          <t>Odisha</t>
        </is>
      </c>
      <c r="I2640" s="2" t="inlineStr">
        <is>
          <t>Cuttack</t>
        </is>
      </c>
      <c r="J2640" s="2" t="inlineStr">
        <is>
          <t>Online</t>
        </is>
      </c>
      <c r="K2640" s="2" t="n">
        <v>1</v>
      </c>
      <c r="L2640" s="3" t="n">
        <v>2622.17</v>
      </c>
      <c r="M2640" s="4" t="n">
        <v>0</v>
      </c>
      <c r="N2640" s="3" t="n">
        <v>1436.05</v>
      </c>
      <c r="O2640" s="3">
        <f>K2640*L2640*(1-M2640)</f>
        <v/>
      </c>
      <c r="P2640" s="3">
        <f>O2640-N2640</f>
        <v/>
      </c>
      <c r="Q2640" s="5">
        <f>IFERROR(P2640/O2640,0)</f>
        <v/>
      </c>
      <c r="R2640" s="2">
        <f>TEXT(DATEVALUE(B2640),"mmm")</f>
        <v/>
      </c>
      <c r="S2640" s="2">
        <f>TEXT(DATEVALUE(B2640),"yyyy-mm")</f>
        <v/>
      </c>
    </row>
    <row r="2641">
      <c r="A2641" s="2" t="inlineStr">
        <is>
          <t>O000550</t>
        </is>
      </c>
      <c r="B2641" s="2" t="inlineStr">
        <is>
          <t>2025-07-09</t>
        </is>
      </c>
      <c r="C2641" s="2" t="inlineStr">
        <is>
          <t>C0724</t>
        </is>
      </c>
      <c r="D2641" s="2" t="inlineStr">
        <is>
          <t>P0007</t>
        </is>
      </c>
      <c r="E2641" s="2" t="inlineStr">
        <is>
          <t>Wireless Mouse</t>
        </is>
      </c>
      <c r="F2641" s="2" t="inlineStr">
        <is>
          <t>Electronics</t>
        </is>
      </c>
      <c r="G2641" s="2" t="inlineStr">
        <is>
          <t>West</t>
        </is>
      </c>
      <c r="H2641" s="2" t="inlineStr">
        <is>
          <t>Goa</t>
        </is>
      </c>
      <c r="I2641" s="2" t="inlineStr">
        <is>
          <t>Margao</t>
        </is>
      </c>
      <c r="J2641" s="2" t="inlineStr">
        <is>
          <t>Online</t>
        </is>
      </c>
      <c r="K2641" s="2" t="n">
        <v>6</v>
      </c>
      <c r="L2641" s="3" t="n">
        <v>1007.64</v>
      </c>
      <c r="M2641" s="4" t="n">
        <v>0.1</v>
      </c>
      <c r="N2641" s="3" t="n">
        <v>3620.67</v>
      </c>
      <c r="O2641" s="3">
        <f>K2641*L2641*(1-M2641)</f>
        <v/>
      </c>
      <c r="P2641" s="3">
        <f>O2641-N2641</f>
        <v/>
      </c>
      <c r="Q2641" s="5">
        <f>IFERROR(P2641/O2641,0)</f>
        <v/>
      </c>
      <c r="R2641" s="2">
        <f>TEXT(DATEVALUE(B2641),"mmm")</f>
        <v/>
      </c>
      <c r="S2641" s="2">
        <f>TEXT(DATEVALUE(B2641),"yyyy-mm")</f>
        <v/>
      </c>
    </row>
    <row r="2642">
      <c r="A2642" s="2" t="inlineStr">
        <is>
          <t>O000399</t>
        </is>
      </c>
      <c r="B2642" s="2" t="inlineStr">
        <is>
          <t>2025-07-09</t>
        </is>
      </c>
      <c r="C2642" s="2" t="inlineStr">
        <is>
          <t>C0066</t>
        </is>
      </c>
      <c r="D2642" s="2" t="inlineStr">
        <is>
          <t>P0013</t>
        </is>
      </c>
      <c r="E2642" s="2" t="inlineStr">
        <is>
          <t>Storage Organizer</t>
        </is>
      </c>
      <c r="F2642" s="2" t="inlineStr">
        <is>
          <t>Home &amp; Kitchen</t>
        </is>
      </c>
      <c r="G2642" s="2" t="inlineStr">
        <is>
          <t>North</t>
        </is>
      </c>
      <c r="H2642" s="2" t="inlineStr">
        <is>
          <t>Haryana</t>
        </is>
      </c>
      <c r="I2642" s="2" t="inlineStr">
        <is>
          <t>Gurugram</t>
        </is>
      </c>
      <c r="J2642" s="2" t="inlineStr">
        <is>
          <t>Online</t>
        </is>
      </c>
      <c r="K2642" s="2" t="n">
        <v>3</v>
      </c>
      <c r="L2642" s="3" t="n">
        <v>569.27</v>
      </c>
      <c r="M2642" s="4" t="n">
        <v>0.05</v>
      </c>
      <c r="N2642" s="3" t="n">
        <v>1054.56</v>
      </c>
      <c r="O2642" s="3">
        <f>K2642*L2642*(1-M2642)</f>
        <v/>
      </c>
      <c r="P2642" s="3">
        <f>O2642-N2642</f>
        <v/>
      </c>
      <c r="Q2642" s="5">
        <f>IFERROR(P2642/O2642,0)</f>
        <v/>
      </c>
      <c r="R2642" s="2">
        <f>TEXT(DATEVALUE(B2642),"mmm")</f>
        <v/>
      </c>
      <c r="S2642" s="2">
        <f>TEXT(DATEVALUE(B2642),"yyyy-mm")</f>
        <v/>
      </c>
    </row>
    <row r="2643">
      <c r="A2643" s="2" t="inlineStr">
        <is>
          <t>O000174</t>
        </is>
      </c>
      <c r="B2643" s="2" t="inlineStr">
        <is>
          <t>2025-07-09</t>
        </is>
      </c>
      <c r="C2643" s="2" t="inlineStr">
        <is>
          <t>C0179</t>
        </is>
      </c>
      <c r="D2643" s="2" t="inlineStr">
        <is>
          <t>P0015</t>
        </is>
      </c>
      <c r="E2643" s="2" t="inlineStr">
        <is>
          <t>Running Shoes</t>
        </is>
      </c>
      <c r="F2643" s="2" t="inlineStr">
        <is>
          <t>Fashion</t>
        </is>
      </c>
      <c r="G2643" s="2" t="inlineStr">
        <is>
          <t>North</t>
        </is>
      </c>
      <c r="H2643" s="2" t="inlineStr">
        <is>
          <t>Punjab</t>
        </is>
      </c>
      <c r="I2643" s="2" t="inlineStr">
        <is>
          <t>Amritsar</t>
        </is>
      </c>
      <c r="J2643" s="2" t="inlineStr">
        <is>
          <t>Online</t>
        </is>
      </c>
      <c r="K2643" s="2" t="n">
        <v>2</v>
      </c>
      <c r="L2643" s="3" t="n">
        <v>606.05</v>
      </c>
      <c r="M2643" s="4" t="n">
        <v>0.1</v>
      </c>
      <c r="N2643" s="3" t="n">
        <v>732.23</v>
      </c>
      <c r="O2643" s="3">
        <f>K2643*L2643*(1-M2643)</f>
        <v/>
      </c>
      <c r="P2643" s="3">
        <f>O2643-N2643</f>
        <v/>
      </c>
      <c r="Q2643" s="5">
        <f>IFERROR(P2643/O2643,0)</f>
        <v/>
      </c>
      <c r="R2643" s="2">
        <f>TEXT(DATEVALUE(B2643),"mmm")</f>
        <v/>
      </c>
      <c r="S2643" s="2">
        <f>TEXT(DATEVALUE(B2643),"yyyy-mm")</f>
        <v/>
      </c>
    </row>
    <row r="2644">
      <c r="A2644" s="2" t="inlineStr">
        <is>
          <t>O000080</t>
        </is>
      </c>
      <c r="B2644" s="2" t="inlineStr">
        <is>
          <t>2025-07-09</t>
        </is>
      </c>
      <c r="C2644" s="2" t="inlineStr">
        <is>
          <t>C0016</t>
        </is>
      </c>
      <c r="D2644" s="2" t="inlineStr">
        <is>
          <t>P0031</t>
        </is>
      </c>
      <c r="E2644" s="2" t="inlineStr">
        <is>
          <t>Cricket Bat</t>
        </is>
      </c>
      <c r="F2644" s="2" t="inlineStr">
        <is>
          <t>Sports</t>
        </is>
      </c>
      <c r="G2644" s="2" t="inlineStr">
        <is>
          <t>South</t>
        </is>
      </c>
      <c r="H2644" s="2" t="inlineStr">
        <is>
          <t>Tamil Nadu</t>
        </is>
      </c>
      <c r="I2644" s="2" t="inlineStr">
        <is>
          <t>Madurai</t>
        </is>
      </c>
      <c r="J2644" s="2" t="inlineStr">
        <is>
          <t>Online</t>
        </is>
      </c>
      <c r="K2644" s="2" t="n">
        <v>1</v>
      </c>
      <c r="L2644" s="3" t="n">
        <v>1425.58</v>
      </c>
      <c r="M2644" s="4" t="n">
        <v>0.2</v>
      </c>
      <c r="N2644" s="3" t="n">
        <v>923.8200000000001</v>
      </c>
      <c r="O2644" s="3">
        <f>K2644*L2644*(1-M2644)</f>
        <v/>
      </c>
      <c r="P2644" s="3">
        <f>O2644-N2644</f>
        <v/>
      </c>
      <c r="Q2644" s="5">
        <f>IFERROR(P2644/O2644,0)</f>
        <v/>
      </c>
      <c r="R2644" s="2">
        <f>TEXT(DATEVALUE(B2644),"mmm")</f>
        <v/>
      </c>
      <c r="S2644" s="2">
        <f>TEXT(DATEVALUE(B2644),"yyyy-mm")</f>
        <v/>
      </c>
    </row>
    <row r="2645">
      <c r="A2645" s="2" t="inlineStr">
        <is>
          <t>O000035</t>
        </is>
      </c>
      <c r="B2645" s="2" t="inlineStr">
        <is>
          <t>2025-07-09</t>
        </is>
      </c>
      <c r="C2645" s="2" t="inlineStr">
        <is>
          <t>C0448</t>
        </is>
      </c>
      <c r="D2645" s="2" t="inlineStr">
        <is>
          <t>P0023</t>
        </is>
      </c>
      <c r="E2645" s="2" t="inlineStr">
        <is>
          <t>Skin Care Kit</t>
        </is>
      </c>
      <c r="F2645" s="2" t="inlineStr">
        <is>
          <t>Beauty</t>
        </is>
      </c>
      <c r="G2645" s="2" t="inlineStr">
        <is>
          <t>West</t>
        </is>
      </c>
      <c r="H2645" s="2" t="inlineStr">
        <is>
          <t>Gujarat</t>
        </is>
      </c>
      <c r="I2645" s="2" t="inlineStr">
        <is>
          <t>Vadodara</t>
        </is>
      </c>
      <c r="J2645" s="2" t="inlineStr">
        <is>
          <t>Store</t>
        </is>
      </c>
      <c r="K2645" s="2" t="n">
        <v>2</v>
      </c>
      <c r="L2645" s="3" t="n">
        <v>1345.68</v>
      </c>
      <c r="M2645" s="4" t="n">
        <v>0.05</v>
      </c>
      <c r="N2645" s="3" t="n">
        <v>1805.11</v>
      </c>
      <c r="O2645" s="3">
        <f>K2645*L2645*(1-M2645)</f>
        <v/>
      </c>
      <c r="P2645" s="3">
        <f>O2645-N2645</f>
        <v/>
      </c>
      <c r="Q2645" s="5">
        <f>IFERROR(P2645/O2645,0)</f>
        <v/>
      </c>
      <c r="R2645" s="2">
        <f>TEXT(DATEVALUE(B2645),"mmm")</f>
        <v/>
      </c>
      <c r="S2645" s="2">
        <f>TEXT(DATEVALUE(B2645),"yyyy-mm")</f>
        <v/>
      </c>
    </row>
    <row r="2646">
      <c r="A2646" s="2" t="inlineStr">
        <is>
          <t>O001364</t>
        </is>
      </c>
      <c r="B2646" s="2" t="inlineStr">
        <is>
          <t>2025-07-09</t>
        </is>
      </c>
      <c r="C2646" s="2" t="inlineStr">
        <is>
          <t>C0698</t>
        </is>
      </c>
      <c r="D2646" s="2" t="inlineStr">
        <is>
          <t>P0014</t>
        </is>
      </c>
      <c r="E2646" s="2" t="inlineStr">
        <is>
          <t>Coffee Maker</t>
        </is>
      </c>
      <c r="F2646" s="2" t="inlineStr">
        <is>
          <t>Home &amp; Kitchen</t>
        </is>
      </c>
      <c r="G2646" s="2" t="inlineStr">
        <is>
          <t>South</t>
        </is>
      </c>
      <c r="H2646" s="2" t="inlineStr">
        <is>
          <t>Tamil Nadu</t>
        </is>
      </c>
      <c r="I2646" s="2" t="inlineStr">
        <is>
          <t>Chennai</t>
        </is>
      </c>
      <c r="J2646" s="2" t="inlineStr">
        <is>
          <t>Store</t>
        </is>
      </c>
      <c r="K2646" s="2" t="n">
        <v>6</v>
      </c>
      <c r="L2646" s="3" t="n">
        <v>1007.98</v>
      </c>
      <c r="M2646" s="4" t="n">
        <v>0.1</v>
      </c>
      <c r="N2646" s="3" t="n">
        <v>4565.2</v>
      </c>
      <c r="O2646" s="3">
        <f>K2646*L2646*(1-M2646)</f>
        <v/>
      </c>
      <c r="P2646" s="3">
        <f>O2646-N2646</f>
        <v/>
      </c>
      <c r="Q2646" s="5">
        <f>IFERROR(P2646/O2646,0)</f>
        <v/>
      </c>
      <c r="R2646" s="2">
        <f>TEXT(DATEVALUE(B2646),"mmm")</f>
        <v/>
      </c>
      <c r="S2646" s="2">
        <f>TEXT(DATEVALUE(B2646),"yyyy-mm")</f>
        <v/>
      </c>
    </row>
    <row r="2647">
      <c r="A2647" s="2" t="inlineStr">
        <is>
          <t>O003076</t>
        </is>
      </c>
      <c r="B2647" s="2" t="inlineStr">
        <is>
          <t>2025-07-10</t>
        </is>
      </c>
      <c r="C2647" s="2" t="inlineStr">
        <is>
          <t>C0289</t>
        </is>
      </c>
      <c r="D2647" s="2" t="inlineStr">
        <is>
          <t>P0004</t>
        </is>
      </c>
      <c r="E2647" s="2" t="inlineStr">
        <is>
          <t>USB-C Hub</t>
        </is>
      </c>
      <c r="F2647" s="2" t="inlineStr">
        <is>
          <t>Electronics</t>
        </is>
      </c>
      <c r="G2647" s="2" t="inlineStr">
        <is>
          <t>East</t>
        </is>
      </c>
      <c r="H2647" s="2" t="inlineStr">
        <is>
          <t>West Bengal</t>
        </is>
      </c>
      <c r="I2647" s="2" t="inlineStr">
        <is>
          <t>Durgapur</t>
        </is>
      </c>
      <c r="J2647" s="2" t="inlineStr">
        <is>
          <t>Online</t>
        </is>
      </c>
      <c r="K2647" s="2" t="n">
        <v>3</v>
      </c>
      <c r="L2647" s="3" t="n">
        <v>1230.46</v>
      </c>
      <c r="M2647" s="4" t="n">
        <v>0</v>
      </c>
      <c r="N2647" s="3" t="n">
        <v>2865.5</v>
      </c>
      <c r="O2647" s="3">
        <f>K2647*L2647*(1-M2647)</f>
        <v/>
      </c>
      <c r="P2647" s="3">
        <f>O2647-N2647</f>
        <v/>
      </c>
      <c r="Q2647" s="5">
        <f>IFERROR(P2647/O2647,0)</f>
        <v/>
      </c>
      <c r="R2647" s="2">
        <f>TEXT(DATEVALUE(B2647),"mmm")</f>
        <v/>
      </c>
      <c r="S2647" s="2">
        <f>TEXT(DATEVALUE(B2647),"yyyy-mm")</f>
        <v/>
      </c>
    </row>
    <row r="2648">
      <c r="A2648" s="2" t="inlineStr">
        <is>
          <t>O004871</t>
        </is>
      </c>
      <c r="B2648" s="2" t="inlineStr">
        <is>
          <t>2025-07-10</t>
        </is>
      </c>
      <c r="C2648" s="2" t="inlineStr">
        <is>
          <t>C0498</t>
        </is>
      </c>
      <c r="D2648" s="2" t="inlineStr">
        <is>
          <t>P0032</t>
        </is>
      </c>
      <c r="E2648" s="2" t="inlineStr">
        <is>
          <t>Football</t>
        </is>
      </c>
      <c r="F2648" s="2" t="inlineStr">
        <is>
          <t>Sports</t>
        </is>
      </c>
      <c r="G2648" s="2" t="inlineStr">
        <is>
          <t>North</t>
        </is>
      </c>
      <c r="H2648" s="2" t="inlineStr">
        <is>
          <t>Punjab</t>
        </is>
      </c>
      <c r="I2648" s="2" t="inlineStr">
        <is>
          <t>Jalandhar</t>
        </is>
      </c>
      <c r="J2648" s="2" t="inlineStr">
        <is>
          <t>Online</t>
        </is>
      </c>
      <c r="K2648" s="2" t="n">
        <v>1</v>
      </c>
      <c r="L2648" s="3" t="n">
        <v>847.87</v>
      </c>
      <c r="M2648" s="4" t="n">
        <v>0.05</v>
      </c>
      <c r="N2648" s="3" t="n">
        <v>526.66</v>
      </c>
      <c r="O2648" s="3">
        <f>K2648*L2648*(1-M2648)</f>
        <v/>
      </c>
      <c r="P2648" s="3">
        <f>O2648-N2648</f>
        <v/>
      </c>
      <c r="Q2648" s="5">
        <f>IFERROR(P2648/O2648,0)</f>
        <v/>
      </c>
      <c r="R2648" s="2">
        <f>TEXT(DATEVALUE(B2648),"mmm")</f>
        <v/>
      </c>
      <c r="S2648" s="2">
        <f>TEXT(DATEVALUE(B2648),"yyyy-mm")</f>
        <v/>
      </c>
    </row>
    <row r="2649">
      <c r="A2649" s="2" t="inlineStr">
        <is>
          <t>O004181</t>
        </is>
      </c>
      <c r="B2649" s="2" t="inlineStr">
        <is>
          <t>2025-07-10</t>
        </is>
      </c>
      <c r="C2649" s="2" t="inlineStr">
        <is>
          <t>C0245</t>
        </is>
      </c>
      <c r="D2649" s="2" t="inlineStr">
        <is>
          <t>P0032</t>
        </is>
      </c>
      <c r="E2649" s="2" t="inlineStr">
        <is>
          <t>Football</t>
        </is>
      </c>
      <c r="F2649" s="2" t="inlineStr">
        <is>
          <t>Sports</t>
        </is>
      </c>
      <c r="G2649" s="2" t="inlineStr">
        <is>
          <t>South</t>
        </is>
      </c>
      <c r="H2649" s="2" t="inlineStr">
        <is>
          <t>Kerala</t>
        </is>
      </c>
      <c r="I2649" s="2" t="inlineStr">
        <is>
          <t>Thiruvananthapuram</t>
        </is>
      </c>
      <c r="J2649" s="2" t="inlineStr">
        <is>
          <t>Online</t>
        </is>
      </c>
      <c r="K2649" s="2" t="n">
        <v>1</v>
      </c>
      <c r="L2649" s="3" t="n">
        <v>784.76</v>
      </c>
      <c r="M2649" s="4" t="n">
        <v>0.05</v>
      </c>
      <c r="N2649" s="3" t="n">
        <v>528.6799999999999</v>
      </c>
      <c r="O2649" s="3">
        <f>K2649*L2649*(1-M2649)</f>
        <v/>
      </c>
      <c r="P2649" s="3">
        <f>O2649-N2649</f>
        <v/>
      </c>
      <c r="Q2649" s="5">
        <f>IFERROR(P2649/O2649,0)</f>
        <v/>
      </c>
      <c r="R2649" s="2">
        <f>TEXT(DATEVALUE(B2649),"mmm")</f>
        <v/>
      </c>
      <c r="S2649" s="2">
        <f>TEXT(DATEVALUE(B2649),"yyyy-mm")</f>
        <v/>
      </c>
    </row>
    <row r="2650">
      <c r="A2650" s="2" t="inlineStr">
        <is>
          <t>O003663</t>
        </is>
      </c>
      <c r="B2650" s="2" t="inlineStr">
        <is>
          <t>2025-07-10</t>
        </is>
      </c>
      <c r="C2650" s="2" t="inlineStr">
        <is>
          <t>C0668</t>
        </is>
      </c>
      <c r="D2650" s="2" t="inlineStr">
        <is>
          <t>P0024</t>
        </is>
      </c>
      <c r="E2650" s="2" t="inlineStr">
        <is>
          <t>Hair Dryer</t>
        </is>
      </c>
      <c r="F2650" s="2" t="inlineStr">
        <is>
          <t>Beauty</t>
        </is>
      </c>
      <c r="G2650" s="2" t="inlineStr">
        <is>
          <t>West</t>
        </is>
      </c>
      <c r="H2650" s="2" t="inlineStr">
        <is>
          <t>Gujarat</t>
        </is>
      </c>
      <c r="I2650" s="2" t="inlineStr">
        <is>
          <t>Surat</t>
        </is>
      </c>
      <c r="J2650" s="2" t="inlineStr">
        <is>
          <t>Online</t>
        </is>
      </c>
      <c r="K2650" s="2" t="n">
        <v>4</v>
      </c>
      <c r="L2650" s="3" t="n">
        <v>1011.55</v>
      </c>
      <c r="M2650" s="4" t="n">
        <v>0.05</v>
      </c>
      <c r="N2650" s="3" t="n">
        <v>2938.46</v>
      </c>
      <c r="O2650" s="3">
        <f>K2650*L2650*(1-M2650)</f>
        <v/>
      </c>
      <c r="P2650" s="3">
        <f>O2650-N2650</f>
        <v/>
      </c>
      <c r="Q2650" s="5">
        <f>IFERROR(P2650/O2650,0)</f>
        <v/>
      </c>
      <c r="R2650" s="2">
        <f>TEXT(DATEVALUE(B2650),"mmm")</f>
        <v/>
      </c>
      <c r="S2650" s="2">
        <f>TEXT(DATEVALUE(B2650),"yyyy-mm")</f>
        <v/>
      </c>
    </row>
    <row r="2651">
      <c r="A2651" s="2" t="inlineStr">
        <is>
          <t>O003082</t>
        </is>
      </c>
      <c r="B2651" s="2" t="inlineStr">
        <is>
          <t>2025-07-10</t>
        </is>
      </c>
      <c r="C2651" s="2" t="inlineStr">
        <is>
          <t>C0673</t>
        </is>
      </c>
      <c r="D2651" s="2" t="inlineStr">
        <is>
          <t>P0004</t>
        </is>
      </c>
      <c r="E2651" s="2" t="inlineStr">
        <is>
          <t>USB-C Hub</t>
        </is>
      </c>
      <c r="F2651" s="2" t="inlineStr">
        <is>
          <t>Electronics</t>
        </is>
      </c>
      <c r="G2651" s="2" t="inlineStr">
        <is>
          <t>South</t>
        </is>
      </c>
      <c r="H2651" s="2" t="inlineStr">
        <is>
          <t>Karnataka</t>
        </is>
      </c>
      <c r="I2651" s="2" t="inlineStr">
        <is>
          <t>Mangaluru</t>
        </is>
      </c>
      <c r="J2651" s="2" t="inlineStr">
        <is>
          <t>Online</t>
        </is>
      </c>
      <c r="K2651" s="2" t="n">
        <v>4</v>
      </c>
      <c r="L2651" s="3" t="n">
        <v>1230.15</v>
      </c>
      <c r="M2651" s="4" t="n">
        <v>0.05</v>
      </c>
      <c r="N2651" s="3" t="n">
        <v>3587.4</v>
      </c>
      <c r="O2651" s="3">
        <f>K2651*L2651*(1-M2651)</f>
        <v/>
      </c>
      <c r="P2651" s="3">
        <f>O2651-N2651</f>
        <v/>
      </c>
      <c r="Q2651" s="5">
        <f>IFERROR(P2651/O2651,0)</f>
        <v/>
      </c>
      <c r="R2651" s="2">
        <f>TEXT(DATEVALUE(B2651),"mmm")</f>
        <v/>
      </c>
      <c r="S2651" s="2">
        <f>TEXT(DATEVALUE(B2651),"yyyy-mm")</f>
        <v/>
      </c>
    </row>
    <row r="2652">
      <c r="A2652" s="2" t="inlineStr">
        <is>
          <t>O002659</t>
        </is>
      </c>
      <c r="B2652" s="2" t="inlineStr">
        <is>
          <t>2025-07-10</t>
        </is>
      </c>
      <c r="C2652" s="2" t="inlineStr">
        <is>
          <t>C0181</t>
        </is>
      </c>
      <c r="D2652" s="2" t="inlineStr">
        <is>
          <t>P0012</t>
        </is>
      </c>
      <c r="E2652" s="2" t="inlineStr">
        <is>
          <t>Water Bottle</t>
        </is>
      </c>
      <c r="F2652" s="2" t="inlineStr">
        <is>
          <t>Home &amp; Kitchen</t>
        </is>
      </c>
      <c r="G2652" s="2" t="inlineStr">
        <is>
          <t>West</t>
        </is>
      </c>
      <c r="H2652" s="2" t="inlineStr">
        <is>
          <t>Gujarat</t>
        </is>
      </c>
      <c r="I2652" s="2" t="inlineStr">
        <is>
          <t>Surat</t>
        </is>
      </c>
      <c r="J2652" s="2" t="inlineStr">
        <is>
          <t>Online</t>
        </is>
      </c>
      <c r="K2652" s="2" t="n">
        <v>4</v>
      </c>
      <c r="L2652" s="3" t="n">
        <v>998.3200000000001</v>
      </c>
      <c r="M2652" s="4" t="n">
        <v>0.1</v>
      </c>
      <c r="N2652" s="3" t="n">
        <v>2492.87</v>
      </c>
      <c r="O2652" s="3">
        <f>K2652*L2652*(1-M2652)</f>
        <v/>
      </c>
      <c r="P2652" s="3">
        <f>O2652-N2652</f>
        <v/>
      </c>
      <c r="Q2652" s="5">
        <f>IFERROR(P2652/O2652,0)</f>
        <v/>
      </c>
      <c r="R2652" s="2">
        <f>TEXT(DATEVALUE(B2652),"mmm")</f>
        <v/>
      </c>
      <c r="S2652" s="2">
        <f>TEXT(DATEVALUE(B2652),"yyyy-mm")</f>
        <v/>
      </c>
    </row>
    <row r="2653">
      <c r="A2653" s="2" t="inlineStr">
        <is>
          <t>O003594</t>
        </is>
      </c>
      <c r="B2653" s="2" t="inlineStr">
        <is>
          <t>2025-07-10</t>
        </is>
      </c>
      <c r="C2653" s="2" t="inlineStr">
        <is>
          <t>C0638</t>
        </is>
      </c>
      <c r="D2653" s="2" t="inlineStr">
        <is>
          <t>P0014</t>
        </is>
      </c>
      <c r="E2653" s="2" t="inlineStr">
        <is>
          <t>Coffee Maker</t>
        </is>
      </c>
      <c r="F2653" s="2" t="inlineStr">
        <is>
          <t>Home &amp; Kitchen</t>
        </is>
      </c>
      <c r="G2653" s="2" t="inlineStr">
        <is>
          <t>East</t>
        </is>
      </c>
      <c r="H2653" s="2" t="inlineStr">
        <is>
          <t>West Bengal</t>
        </is>
      </c>
      <c r="I2653" s="2" t="inlineStr">
        <is>
          <t>Durgapur</t>
        </is>
      </c>
      <c r="J2653" s="2" t="inlineStr">
        <is>
          <t>Store</t>
        </is>
      </c>
      <c r="K2653" s="2" t="n">
        <v>3</v>
      </c>
      <c r="L2653" s="3" t="n">
        <v>1084.78</v>
      </c>
      <c r="M2653" s="4" t="n">
        <v>0</v>
      </c>
      <c r="N2653" s="3" t="n">
        <v>2313.73</v>
      </c>
      <c r="O2653" s="3">
        <f>K2653*L2653*(1-M2653)</f>
        <v/>
      </c>
      <c r="P2653" s="3">
        <f>O2653-N2653</f>
        <v/>
      </c>
      <c r="Q2653" s="5">
        <f>IFERROR(P2653/O2653,0)</f>
        <v/>
      </c>
      <c r="R2653" s="2">
        <f>TEXT(DATEVALUE(B2653),"mmm")</f>
        <v/>
      </c>
      <c r="S2653" s="2">
        <f>TEXT(DATEVALUE(B2653),"yyyy-mm")</f>
        <v/>
      </c>
    </row>
    <row r="2654">
      <c r="A2654" s="2" t="inlineStr">
        <is>
          <t>O002465</t>
        </is>
      </c>
      <c r="B2654" s="2" t="inlineStr">
        <is>
          <t>2025-07-10</t>
        </is>
      </c>
      <c r="C2654" s="2" t="inlineStr">
        <is>
          <t>C0694</t>
        </is>
      </c>
      <c r="D2654" s="2" t="inlineStr">
        <is>
          <t>P0034</t>
        </is>
      </c>
      <c r="E2654" s="2" t="inlineStr">
        <is>
          <t>Gym Gloves</t>
        </is>
      </c>
      <c r="F2654" s="2" t="inlineStr">
        <is>
          <t>Sports</t>
        </is>
      </c>
      <c r="G2654" s="2" t="inlineStr">
        <is>
          <t>South</t>
        </is>
      </c>
      <c r="H2654" s="2" t="inlineStr">
        <is>
          <t>Karnataka</t>
        </is>
      </c>
      <c r="I2654" s="2" t="inlineStr">
        <is>
          <t>Mysuru</t>
        </is>
      </c>
      <c r="J2654" s="2" t="inlineStr">
        <is>
          <t>Store</t>
        </is>
      </c>
      <c r="K2654" s="2" t="n">
        <v>6</v>
      </c>
      <c r="L2654" s="3" t="n">
        <v>614.13</v>
      </c>
      <c r="M2654" s="4" t="n">
        <v>0.1</v>
      </c>
      <c r="N2654" s="3" t="n">
        <v>2383.35</v>
      </c>
      <c r="O2654" s="3">
        <f>K2654*L2654*(1-M2654)</f>
        <v/>
      </c>
      <c r="P2654" s="3">
        <f>O2654-N2654</f>
        <v/>
      </c>
      <c r="Q2654" s="5">
        <f>IFERROR(P2654/O2654,0)</f>
        <v/>
      </c>
      <c r="R2654" s="2">
        <f>TEXT(DATEVALUE(B2654),"mmm")</f>
        <v/>
      </c>
      <c r="S2654" s="2">
        <f>TEXT(DATEVALUE(B2654),"yyyy-mm")</f>
        <v/>
      </c>
    </row>
    <row r="2655">
      <c r="A2655" s="2" t="inlineStr">
        <is>
          <t>O001648</t>
        </is>
      </c>
      <c r="B2655" s="2" t="inlineStr">
        <is>
          <t>2025-07-10</t>
        </is>
      </c>
      <c r="C2655" s="2" t="inlineStr">
        <is>
          <t>C0004</t>
        </is>
      </c>
      <c r="D2655" s="2" t="inlineStr">
        <is>
          <t>P0002</t>
        </is>
      </c>
      <c r="E2655" s="2" t="inlineStr">
        <is>
          <t>Bluetooth Speaker</t>
        </is>
      </c>
      <c r="F2655" s="2" t="inlineStr">
        <is>
          <t>Electronics</t>
        </is>
      </c>
      <c r="G2655" s="2" t="inlineStr">
        <is>
          <t>South</t>
        </is>
      </c>
      <c r="H2655" s="2" t="inlineStr">
        <is>
          <t>Tamil Nadu</t>
        </is>
      </c>
      <c r="I2655" s="2" t="inlineStr">
        <is>
          <t>Chennai</t>
        </is>
      </c>
      <c r="J2655" s="2" t="inlineStr">
        <is>
          <t>Online</t>
        </is>
      </c>
      <c r="K2655" s="2" t="n">
        <v>4</v>
      </c>
      <c r="L2655" s="3" t="n">
        <v>1426.78</v>
      </c>
      <c r="M2655" s="4" t="n">
        <v>0.1</v>
      </c>
      <c r="N2655" s="3" t="n">
        <v>3205.33</v>
      </c>
      <c r="O2655" s="3">
        <f>K2655*L2655*(1-M2655)</f>
        <v/>
      </c>
      <c r="P2655" s="3">
        <f>O2655-N2655</f>
        <v/>
      </c>
      <c r="Q2655" s="5">
        <f>IFERROR(P2655/O2655,0)</f>
        <v/>
      </c>
      <c r="R2655" s="2">
        <f>TEXT(DATEVALUE(B2655),"mmm")</f>
        <v/>
      </c>
      <c r="S2655" s="2">
        <f>TEXT(DATEVALUE(B2655),"yyyy-mm")</f>
        <v/>
      </c>
    </row>
    <row r="2656">
      <c r="A2656" s="2" t="inlineStr">
        <is>
          <t>O002495</t>
        </is>
      </c>
      <c r="B2656" s="2" t="inlineStr">
        <is>
          <t>2025-07-10</t>
        </is>
      </c>
      <c r="C2656" s="2" t="inlineStr">
        <is>
          <t>C0003</t>
        </is>
      </c>
      <c r="D2656" s="2" t="inlineStr">
        <is>
          <t>P0015</t>
        </is>
      </c>
      <c r="E2656" s="2" t="inlineStr">
        <is>
          <t>Running Shoes</t>
        </is>
      </c>
      <c r="F2656" s="2" t="inlineStr">
        <is>
          <t>Fashion</t>
        </is>
      </c>
      <c r="G2656" s="2" t="inlineStr">
        <is>
          <t>South</t>
        </is>
      </c>
      <c r="H2656" s="2" t="inlineStr">
        <is>
          <t>Karnataka</t>
        </is>
      </c>
      <c r="I2656" s="2" t="inlineStr">
        <is>
          <t>Bengaluru</t>
        </is>
      </c>
      <c r="J2656" s="2" t="inlineStr">
        <is>
          <t>Store</t>
        </is>
      </c>
      <c r="K2656" s="2" t="n">
        <v>3</v>
      </c>
      <c r="L2656" s="3" t="n">
        <v>622.63</v>
      </c>
      <c r="M2656" s="4" t="n">
        <v>0.15</v>
      </c>
      <c r="N2656" s="3" t="n">
        <v>1094.2</v>
      </c>
      <c r="O2656" s="3">
        <f>K2656*L2656*(1-M2656)</f>
        <v/>
      </c>
      <c r="P2656" s="3">
        <f>O2656-N2656</f>
        <v/>
      </c>
      <c r="Q2656" s="5">
        <f>IFERROR(P2656/O2656,0)</f>
        <v/>
      </c>
      <c r="R2656" s="2">
        <f>TEXT(DATEVALUE(B2656),"mmm")</f>
        <v/>
      </c>
      <c r="S2656" s="2">
        <f>TEXT(DATEVALUE(B2656),"yyyy-mm")</f>
        <v/>
      </c>
    </row>
    <row r="2657">
      <c r="A2657" s="2" t="inlineStr">
        <is>
          <t>O000652</t>
        </is>
      </c>
      <c r="B2657" s="2" t="inlineStr">
        <is>
          <t>2025-07-10</t>
        </is>
      </c>
      <c r="C2657" s="2" t="inlineStr">
        <is>
          <t>C0757</t>
        </is>
      </c>
      <c r="D2657" s="2" t="inlineStr">
        <is>
          <t>P0006</t>
        </is>
      </c>
      <c r="E2657" s="2" t="inlineStr">
        <is>
          <t>Mechanical Keyboard</t>
        </is>
      </c>
      <c r="F2657" s="2" t="inlineStr">
        <is>
          <t>Electronics</t>
        </is>
      </c>
      <c r="G2657" s="2" t="inlineStr">
        <is>
          <t>South</t>
        </is>
      </c>
      <c r="H2657" s="2" t="inlineStr">
        <is>
          <t>Kerala</t>
        </is>
      </c>
      <c r="I2657" s="2" t="inlineStr">
        <is>
          <t>Kochi</t>
        </is>
      </c>
      <c r="J2657" s="2" t="inlineStr">
        <is>
          <t>Online</t>
        </is>
      </c>
      <c r="K2657" s="2" t="n">
        <v>2</v>
      </c>
      <c r="L2657" s="3" t="n">
        <v>2624.8</v>
      </c>
      <c r="M2657" s="4" t="n">
        <v>0.15</v>
      </c>
      <c r="N2657" s="3" t="n">
        <v>3050.46</v>
      </c>
      <c r="O2657" s="3">
        <f>K2657*L2657*(1-M2657)</f>
        <v/>
      </c>
      <c r="P2657" s="3">
        <f>O2657-N2657</f>
        <v/>
      </c>
      <c r="Q2657" s="5">
        <f>IFERROR(P2657/O2657,0)</f>
        <v/>
      </c>
      <c r="R2657" s="2">
        <f>TEXT(DATEVALUE(B2657),"mmm")</f>
        <v/>
      </c>
      <c r="S2657" s="2">
        <f>TEXT(DATEVALUE(B2657),"yyyy-mm")</f>
        <v/>
      </c>
    </row>
    <row r="2658">
      <c r="A2658" s="2" t="inlineStr">
        <is>
          <t>O000347</t>
        </is>
      </c>
      <c r="B2658" s="2" t="inlineStr">
        <is>
          <t>2025-07-10</t>
        </is>
      </c>
      <c r="C2658" s="2" t="inlineStr">
        <is>
          <t>C0273</t>
        </is>
      </c>
      <c r="D2658" s="2" t="inlineStr">
        <is>
          <t>P0023</t>
        </is>
      </c>
      <c r="E2658" s="2" t="inlineStr">
        <is>
          <t>Skin Care Kit</t>
        </is>
      </c>
      <c r="F2658" s="2" t="inlineStr">
        <is>
          <t>Beauty</t>
        </is>
      </c>
      <c r="G2658" s="2" t="inlineStr">
        <is>
          <t>North</t>
        </is>
      </c>
      <c r="H2658" s="2" t="inlineStr">
        <is>
          <t>Haryana</t>
        </is>
      </c>
      <c r="I2658" s="2" t="inlineStr">
        <is>
          <t>Gurugram</t>
        </is>
      </c>
      <c r="J2658" s="2" t="inlineStr">
        <is>
          <t>Online</t>
        </is>
      </c>
      <c r="K2658" s="2" t="n">
        <v>1</v>
      </c>
      <c r="L2658" s="3" t="n">
        <v>1350.25</v>
      </c>
      <c r="M2658" s="4" t="n">
        <v>0.05</v>
      </c>
      <c r="N2658" s="3" t="n">
        <v>879.5700000000001</v>
      </c>
      <c r="O2658" s="3">
        <f>K2658*L2658*(1-M2658)</f>
        <v/>
      </c>
      <c r="P2658" s="3">
        <f>O2658-N2658</f>
        <v/>
      </c>
      <c r="Q2658" s="5">
        <f>IFERROR(P2658/O2658,0)</f>
        <v/>
      </c>
      <c r="R2658" s="2">
        <f>TEXT(DATEVALUE(B2658),"mmm")</f>
        <v/>
      </c>
      <c r="S2658" s="2">
        <f>TEXT(DATEVALUE(B2658),"yyyy-mm")</f>
        <v/>
      </c>
    </row>
    <row r="2659">
      <c r="A2659" s="2" t="inlineStr">
        <is>
          <t>O000069</t>
        </is>
      </c>
      <c r="B2659" s="2" t="inlineStr">
        <is>
          <t>2025-07-10</t>
        </is>
      </c>
      <c r="C2659" s="2" t="inlineStr">
        <is>
          <t>C0097</t>
        </is>
      </c>
      <c r="D2659" s="2" t="inlineStr">
        <is>
          <t>P0035</t>
        </is>
      </c>
      <c r="E2659" s="2" t="inlineStr">
        <is>
          <t>Skipping Rope</t>
        </is>
      </c>
      <c r="F2659" s="2" t="inlineStr">
        <is>
          <t>Sports</t>
        </is>
      </c>
      <c r="G2659" s="2" t="inlineStr">
        <is>
          <t>East</t>
        </is>
      </c>
      <c r="H2659" s="2" t="inlineStr">
        <is>
          <t>Bihar</t>
        </is>
      </c>
      <c r="I2659" s="2" t="inlineStr">
        <is>
          <t>Gaya</t>
        </is>
      </c>
      <c r="J2659" s="2" t="inlineStr">
        <is>
          <t>Store</t>
        </is>
      </c>
      <c r="K2659" s="2" t="n">
        <v>6</v>
      </c>
      <c r="L2659" s="3" t="n">
        <v>739.67</v>
      </c>
      <c r="M2659" s="4" t="n">
        <v>0.1</v>
      </c>
      <c r="N2659" s="3" t="n">
        <v>2449.01</v>
      </c>
      <c r="O2659" s="3">
        <f>K2659*L2659*(1-M2659)</f>
        <v/>
      </c>
      <c r="P2659" s="3">
        <f>O2659-N2659</f>
        <v/>
      </c>
      <c r="Q2659" s="5">
        <f>IFERROR(P2659/O2659,0)</f>
        <v/>
      </c>
      <c r="R2659" s="2">
        <f>TEXT(DATEVALUE(B2659),"mmm")</f>
        <v/>
      </c>
      <c r="S2659" s="2">
        <f>TEXT(DATEVALUE(B2659),"yyyy-mm")</f>
        <v/>
      </c>
    </row>
    <row r="2660">
      <c r="A2660" s="2" t="inlineStr">
        <is>
          <t>O004999</t>
        </is>
      </c>
      <c r="B2660" s="2" t="inlineStr">
        <is>
          <t>2025-07-11</t>
        </is>
      </c>
      <c r="C2660" s="2" t="inlineStr">
        <is>
          <t>C0014</t>
        </is>
      </c>
      <c r="D2660" s="2" t="inlineStr">
        <is>
          <t>P0017</t>
        </is>
      </c>
      <c r="E2660" s="2" t="inlineStr">
        <is>
          <t>Jeans</t>
        </is>
      </c>
      <c r="F2660" s="2" t="inlineStr">
        <is>
          <t>Fashion</t>
        </is>
      </c>
      <c r="G2660" s="2" t="inlineStr">
        <is>
          <t>South</t>
        </is>
      </c>
      <c r="H2660" s="2" t="inlineStr">
        <is>
          <t>Telangana</t>
        </is>
      </c>
      <c r="I2660" s="2" t="inlineStr">
        <is>
          <t>Warangal</t>
        </is>
      </c>
      <c r="J2660" s="2" t="inlineStr">
        <is>
          <t>Online</t>
        </is>
      </c>
      <c r="K2660" s="2" t="n">
        <v>3</v>
      </c>
      <c r="L2660" s="3" t="n">
        <v>1465.02</v>
      </c>
      <c r="M2660" s="4" t="n">
        <v>0.15</v>
      </c>
      <c r="N2660" s="3" t="n">
        <v>3113.04</v>
      </c>
      <c r="O2660" s="3">
        <f>K2660*L2660*(1-M2660)</f>
        <v/>
      </c>
      <c r="P2660" s="3">
        <f>O2660-N2660</f>
        <v/>
      </c>
      <c r="Q2660" s="5">
        <f>IFERROR(P2660/O2660,0)</f>
        <v/>
      </c>
      <c r="R2660" s="2">
        <f>TEXT(DATEVALUE(B2660),"mmm")</f>
        <v/>
      </c>
      <c r="S2660" s="2">
        <f>TEXT(DATEVALUE(B2660),"yyyy-mm")</f>
        <v/>
      </c>
    </row>
    <row r="2661">
      <c r="A2661" s="2" t="inlineStr">
        <is>
          <t>O004723</t>
        </is>
      </c>
      <c r="B2661" s="2" t="inlineStr">
        <is>
          <t>2025-07-11</t>
        </is>
      </c>
      <c r="C2661" s="2" t="inlineStr">
        <is>
          <t>C0475</t>
        </is>
      </c>
      <c r="D2661" s="2" t="inlineStr">
        <is>
          <t>P0020</t>
        </is>
      </c>
      <c r="E2661" s="2" t="inlineStr">
        <is>
          <t>Sneakers</t>
        </is>
      </c>
      <c r="F2661" s="2" t="inlineStr">
        <is>
          <t>Fashion</t>
        </is>
      </c>
      <c r="G2661" s="2" t="inlineStr">
        <is>
          <t>South</t>
        </is>
      </c>
      <c r="H2661" s="2" t="inlineStr">
        <is>
          <t>Kerala</t>
        </is>
      </c>
      <c r="I2661" s="2" t="inlineStr">
        <is>
          <t>Thiruvananthapuram</t>
        </is>
      </c>
      <c r="J2661" s="2" t="inlineStr">
        <is>
          <t>Online</t>
        </is>
      </c>
      <c r="K2661" s="2" t="n">
        <v>1</v>
      </c>
      <c r="L2661" s="3" t="n">
        <v>1915.35</v>
      </c>
      <c r="M2661" s="4" t="n">
        <v>0.2</v>
      </c>
      <c r="N2661" s="3" t="n">
        <v>1467.98</v>
      </c>
      <c r="O2661" s="3">
        <f>K2661*L2661*(1-M2661)</f>
        <v/>
      </c>
      <c r="P2661" s="3">
        <f>O2661-N2661</f>
        <v/>
      </c>
      <c r="Q2661" s="5">
        <f>IFERROR(P2661/O2661,0)</f>
        <v/>
      </c>
      <c r="R2661" s="2">
        <f>TEXT(DATEVALUE(B2661),"mmm")</f>
        <v/>
      </c>
      <c r="S2661" s="2">
        <f>TEXT(DATEVALUE(B2661),"yyyy-mm")</f>
        <v/>
      </c>
    </row>
    <row r="2662">
      <c r="A2662" s="2" t="inlineStr">
        <is>
          <t>O004214</t>
        </is>
      </c>
      <c r="B2662" s="2" t="inlineStr">
        <is>
          <t>2025-07-11</t>
        </is>
      </c>
      <c r="C2662" s="2" t="inlineStr">
        <is>
          <t>C0456</t>
        </is>
      </c>
      <c r="D2662" s="2" t="inlineStr">
        <is>
          <t>P0007</t>
        </is>
      </c>
      <c r="E2662" s="2" t="inlineStr">
        <is>
          <t>Wireless Mouse</t>
        </is>
      </c>
      <c r="F2662" s="2" t="inlineStr">
        <is>
          <t>Electronics</t>
        </is>
      </c>
      <c r="G2662" s="2" t="inlineStr">
        <is>
          <t>West</t>
        </is>
      </c>
      <c r="H2662" s="2" t="inlineStr">
        <is>
          <t>Maharashtra</t>
        </is>
      </c>
      <c r="I2662" s="2" t="inlineStr">
        <is>
          <t>Pune</t>
        </is>
      </c>
      <c r="J2662" s="2" t="inlineStr">
        <is>
          <t>Store</t>
        </is>
      </c>
      <c r="K2662" s="2" t="n">
        <v>1</v>
      </c>
      <c r="L2662" s="3" t="n">
        <v>953.84</v>
      </c>
      <c r="M2662" s="4" t="n">
        <v>0.05</v>
      </c>
      <c r="N2662" s="3" t="n">
        <v>644.73</v>
      </c>
      <c r="O2662" s="3">
        <f>K2662*L2662*(1-M2662)</f>
        <v/>
      </c>
      <c r="P2662" s="3">
        <f>O2662-N2662</f>
        <v/>
      </c>
      <c r="Q2662" s="5">
        <f>IFERROR(P2662/O2662,0)</f>
        <v/>
      </c>
      <c r="R2662" s="2">
        <f>TEXT(DATEVALUE(B2662),"mmm")</f>
        <v/>
      </c>
      <c r="S2662" s="2">
        <f>TEXT(DATEVALUE(B2662),"yyyy-mm")</f>
        <v/>
      </c>
    </row>
    <row r="2663">
      <c r="A2663" s="2" t="inlineStr">
        <is>
          <t>O003517</t>
        </is>
      </c>
      <c r="B2663" s="2" t="inlineStr">
        <is>
          <t>2025-07-11</t>
        </is>
      </c>
      <c r="C2663" s="2" t="inlineStr">
        <is>
          <t>C0622</t>
        </is>
      </c>
      <c r="D2663" s="2" t="inlineStr">
        <is>
          <t>P0021</t>
        </is>
      </c>
      <c r="E2663" s="2" t="inlineStr">
        <is>
          <t>Wallet</t>
        </is>
      </c>
      <c r="F2663" s="2" t="inlineStr">
        <is>
          <t>Fashion</t>
        </is>
      </c>
      <c r="G2663" s="2" t="inlineStr">
        <is>
          <t>North</t>
        </is>
      </c>
      <c r="H2663" s="2" t="inlineStr">
        <is>
          <t>Haryana</t>
        </is>
      </c>
      <c r="I2663" s="2" t="inlineStr">
        <is>
          <t>Gurugram</t>
        </is>
      </c>
      <c r="J2663" s="2" t="inlineStr">
        <is>
          <t>Online</t>
        </is>
      </c>
      <c r="K2663" s="2" t="n">
        <v>1</v>
      </c>
      <c r="L2663" s="3" t="n">
        <v>1990.65</v>
      </c>
      <c r="M2663" s="4" t="n">
        <v>0.1</v>
      </c>
      <c r="N2663" s="3" t="n">
        <v>1209.39</v>
      </c>
      <c r="O2663" s="3">
        <f>K2663*L2663*(1-M2663)</f>
        <v/>
      </c>
      <c r="P2663" s="3">
        <f>O2663-N2663</f>
        <v/>
      </c>
      <c r="Q2663" s="5">
        <f>IFERROR(P2663/O2663,0)</f>
        <v/>
      </c>
      <c r="R2663" s="2">
        <f>TEXT(DATEVALUE(B2663),"mmm")</f>
        <v/>
      </c>
      <c r="S2663" s="2">
        <f>TEXT(DATEVALUE(B2663),"yyyy-mm")</f>
        <v/>
      </c>
    </row>
    <row r="2664">
      <c r="A2664" s="2" t="inlineStr">
        <is>
          <t>O003269</t>
        </is>
      </c>
      <c r="B2664" s="2" t="inlineStr">
        <is>
          <t>2025-07-11</t>
        </is>
      </c>
      <c r="C2664" s="2" t="inlineStr">
        <is>
          <t>C0373</t>
        </is>
      </c>
      <c r="D2664" s="2" t="inlineStr">
        <is>
          <t>P0010</t>
        </is>
      </c>
      <c r="E2664" s="2" t="inlineStr">
        <is>
          <t>Mixer Grinder</t>
        </is>
      </c>
      <c r="F2664" s="2" t="inlineStr">
        <is>
          <t>Home &amp; Kitchen</t>
        </is>
      </c>
      <c r="G2664" s="2" t="inlineStr">
        <is>
          <t>East</t>
        </is>
      </c>
      <c r="H2664" s="2" t="inlineStr">
        <is>
          <t>West Bengal</t>
        </is>
      </c>
      <c r="I2664" s="2" t="inlineStr">
        <is>
          <t>Kolkata</t>
        </is>
      </c>
      <c r="J2664" s="2" t="inlineStr">
        <is>
          <t>Store</t>
        </is>
      </c>
      <c r="K2664" s="2" t="n">
        <v>1</v>
      </c>
      <c r="L2664" s="3" t="n">
        <v>1608.65</v>
      </c>
      <c r="M2664" s="4" t="n">
        <v>0.1</v>
      </c>
      <c r="N2664" s="3" t="n">
        <v>1032.22</v>
      </c>
      <c r="O2664" s="3">
        <f>K2664*L2664*(1-M2664)</f>
        <v/>
      </c>
      <c r="P2664" s="3">
        <f>O2664-N2664</f>
        <v/>
      </c>
      <c r="Q2664" s="5">
        <f>IFERROR(P2664/O2664,0)</f>
        <v/>
      </c>
      <c r="R2664" s="2">
        <f>TEXT(DATEVALUE(B2664),"mmm")</f>
        <v/>
      </c>
      <c r="S2664" s="2">
        <f>TEXT(DATEVALUE(B2664),"yyyy-mm")</f>
        <v/>
      </c>
    </row>
    <row r="2665">
      <c r="A2665" s="2" t="inlineStr">
        <is>
          <t>O003250</t>
        </is>
      </c>
      <c r="B2665" s="2" t="inlineStr">
        <is>
          <t>2025-07-11</t>
        </is>
      </c>
      <c r="C2665" s="2" t="inlineStr">
        <is>
          <t>C0694</t>
        </is>
      </c>
      <c r="D2665" s="2" t="inlineStr">
        <is>
          <t>P0030</t>
        </is>
      </c>
      <c r="E2665" s="2" t="inlineStr">
        <is>
          <t>Dumbbells</t>
        </is>
      </c>
      <c r="F2665" s="2" t="inlineStr">
        <is>
          <t>Sports</t>
        </is>
      </c>
      <c r="G2665" s="2" t="inlineStr">
        <is>
          <t>West</t>
        </is>
      </c>
      <c r="H2665" s="2" t="inlineStr">
        <is>
          <t>Goa</t>
        </is>
      </c>
      <c r="I2665" s="2" t="inlineStr">
        <is>
          <t>Panaji</t>
        </is>
      </c>
      <c r="J2665" s="2" t="inlineStr">
        <is>
          <t>Store</t>
        </is>
      </c>
      <c r="K2665" s="2" t="n">
        <v>2</v>
      </c>
      <c r="L2665" s="3" t="n">
        <v>1610.88</v>
      </c>
      <c r="M2665" s="4" t="n">
        <v>0.05</v>
      </c>
      <c r="N2665" s="3" t="n">
        <v>2065.83</v>
      </c>
      <c r="O2665" s="3">
        <f>K2665*L2665*(1-M2665)</f>
        <v/>
      </c>
      <c r="P2665" s="3">
        <f>O2665-N2665</f>
        <v/>
      </c>
      <c r="Q2665" s="5">
        <f>IFERROR(P2665/O2665,0)</f>
        <v/>
      </c>
      <c r="R2665" s="2">
        <f>TEXT(DATEVALUE(B2665),"mmm")</f>
        <v/>
      </c>
      <c r="S2665" s="2">
        <f>TEXT(DATEVALUE(B2665),"yyyy-mm")</f>
        <v/>
      </c>
    </row>
    <row r="2666">
      <c r="A2666" s="2" t="inlineStr">
        <is>
          <t>O002810</t>
        </is>
      </c>
      <c r="B2666" s="2" t="inlineStr">
        <is>
          <t>2025-07-11</t>
        </is>
      </c>
      <c r="C2666" s="2" t="inlineStr">
        <is>
          <t>C0750</t>
        </is>
      </c>
      <c r="D2666" s="2" t="inlineStr">
        <is>
          <t>P0007</t>
        </is>
      </c>
      <c r="E2666" s="2" t="inlineStr">
        <is>
          <t>Wireless Mouse</t>
        </is>
      </c>
      <c r="F2666" s="2" t="inlineStr">
        <is>
          <t>Electronics</t>
        </is>
      </c>
      <c r="G2666" s="2" t="inlineStr">
        <is>
          <t>West</t>
        </is>
      </c>
      <c r="H2666" s="2" t="inlineStr">
        <is>
          <t>Goa</t>
        </is>
      </c>
      <c r="I2666" s="2" t="inlineStr">
        <is>
          <t>Margao</t>
        </is>
      </c>
      <c r="J2666" s="2" t="inlineStr">
        <is>
          <t>Online</t>
        </is>
      </c>
      <c r="K2666" s="2" t="n">
        <v>4</v>
      </c>
      <c r="L2666" s="3" t="n">
        <v>1028.34</v>
      </c>
      <c r="M2666" s="4" t="n">
        <v>0.1</v>
      </c>
      <c r="N2666" s="3" t="n">
        <v>2444.67</v>
      </c>
      <c r="O2666" s="3">
        <f>K2666*L2666*(1-M2666)</f>
        <v/>
      </c>
      <c r="P2666" s="3">
        <f>O2666-N2666</f>
        <v/>
      </c>
      <c r="Q2666" s="5">
        <f>IFERROR(P2666/O2666,0)</f>
        <v/>
      </c>
      <c r="R2666" s="2">
        <f>TEXT(DATEVALUE(B2666),"mmm")</f>
        <v/>
      </c>
      <c r="S2666" s="2">
        <f>TEXT(DATEVALUE(B2666),"yyyy-mm")</f>
        <v/>
      </c>
    </row>
    <row r="2667">
      <c r="A2667" s="2" t="inlineStr">
        <is>
          <t>O002756</t>
        </is>
      </c>
      <c r="B2667" s="2" t="inlineStr">
        <is>
          <t>2025-07-11</t>
        </is>
      </c>
      <c r="C2667" s="2" t="inlineStr">
        <is>
          <t>C0407</t>
        </is>
      </c>
      <c r="D2667" s="2" t="inlineStr">
        <is>
          <t>P0029</t>
        </is>
      </c>
      <c r="E2667" s="2" t="inlineStr">
        <is>
          <t>Yoga Mat</t>
        </is>
      </c>
      <c r="F2667" s="2" t="inlineStr">
        <is>
          <t>Sports</t>
        </is>
      </c>
      <c r="G2667" s="2" t="inlineStr">
        <is>
          <t>North</t>
        </is>
      </c>
      <c r="H2667" s="2" t="inlineStr">
        <is>
          <t>Uttar Pradesh</t>
        </is>
      </c>
      <c r="I2667" s="2" t="inlineStr">
        <is>
          <t>Lucknow</t>
        </is>
      </c>
      <c r="J2667" s="2" t="inlineStr">
        <is>
          <t>Online</t>
        </is>
      </c>
      <c r="K2667" s="2" t="n">
        <v>4</v>
      </c>
      <c r="L2667" s="3" t="n">
        <v>2415.82</v>
      </c>
      <c r="M2667" s="4" t="n">
        <v>0.05</v>
      </c>
      <c r="N2667" s="3" t="n">
        <v>5197.25</v>
      </c>
      <c r="O2667" s="3">
        <f>K2667*L2667*(1-M2667)</f>
        <v/>
      </c>
      <c r="P2667" s="3">
        <f>O2667-N2667</f>
        <v/>
      </c>
      <c r="Q2667" s="5">
        <f>IFERROR(P2667/O2667,0)</f>
        <v/>
      </c>
      <c r="R2667" s="2">
        <f>TEXT(DATEVALUE(B2667),"mmm")</f>
        <v/>
      </c>
      <c r="S2667" s="2">
        <f>TEXT(DATEVALUE(B2667),"yyyy-mm")</f>
        <v/>
      </c>
    </row>
    <row r="2668">
      <c r="A2668" s="2" t="inlineStr">
        <is>
          <t>O002516</t>
        </is>
      </c>
      <c r="B2668" s="2" t="inlineStr">
        <is>
          <t>2025-07-11</t>
        </is>
      </c>
      <c r="C2668" s="2" t="inlineStr">
        <is>
          <t>C0353</t>
        </is>
      </c>
      <c r="D2668" s="2" t="inlineStr">
        <is>
          <t>P0011</t>
        </is>
      </c>
      <c r="E2668" s="2" t="inlineStr">
        <is>
          <t>Cookware Set</t>
        </is>
      </c>
      <c r="F2668" s="2" t="inlineStr">
        <is>
          <t>Home &amp; Kitchen</t>
        </is>
      </c>
      <c r="G2668" s="2" t="inlineStr">
        <is>
          <t>West</t>
        </is>
      </c>
      <c r="H2668" s="2" t="inlineStr">
        <is>
          <t>Maharashtra</t>
        </is>
      </c>
      <c r="I2668" s="2" t="inlineStr">
        <is>
          <t>Thane</t>
        </is>
      </c>
      <c r="J2668" s="2" t="inlineStr">
        <is>
          <t>Online</t>
        </is>
      </c>
      <c r="K2668" s="2" t="n">
        <v>2</v>
      </c>
      <c r="L2668" s="3" t="n">
        <v>678.84</v>
      </c>
      <c r="M2668" s="4" t="n">
        <v>0.05</v>
      </c>
      <c r="N2668" s="3" t="n">
        <v>963.6799999999999</v>
      </c>
      <c r="O2668" s="3">
        <f>K2668*L2668*(1-M2668)</f>
        <v/>
      </c>
      <c r="P2668" s="3">
        <f>O2668-N2668</f>
        <v/>
      </c>
      <c r="Q2668" s="5">
        <f>IFERROR(P2668/O2668,0)</f>
        <v/>
      </c>
      <c r="R2668" s="2">
        <f>TEXT(DATEVALUE(B2668),"mmm")</f>
        <v/>
      </c>
      <c r="S2668" s="2">
        <f>TEXT(DATEVALUE(B2668),"yyyy-mm")</f>
        <v/>
      </c>
    </row>
    <row r="2669">
      <c r="A2669" s="2" t="inlineStr">
        <is>
          <t>O002928</t>
        </is>
      </c>
      <c r="B2669" s="2" t="inlineStr">
        <is>
          <t>2025-07-11</t>
        </is>
      </c>
      <c r="C2669" s="2" t="inlineStr">
        <is>
          <t>C0403</t>
        </is>
      </c>
      <c r="D2669" s="2" t="inlineStr">
        <is>
          <t>P0029</t>
        </is>
      </c>
      <c r="E2669" s="2" t="inlineStr">
        <is>
          <t>Yoga Mat</t>
        </is>
      </c>
      <c r="F2669" s="2" t="inlineStr">
        <is>
          <t>Sports</t>
        </is>
      </c>
      <c r="G2669" s="2" t="inlineStr">
        <is>
          <t>West</t>
        </is>
      </c>
      <c r="H2669" s="2" t="inlineStr">
        <is>
          <t>Maharashtra</t>
        </is>
      </c>
      <c r="I2669" s="2" t="inlineStr">
        <is>
          <t>Nagpur</t>
        </is>
      </c>
      <c r="J2669" s="2" t="inlineStr">
        <is>
          <t>Online</t>
        </is>
      </c>
      <c r="K2669" s="2" t="n">
        <v>6</v>
      </c>
      <c r="L2669" s="3" t="n">
        <v>2322.98</v>
      </c>
      <c r="M2669" s="4" t="n">
        <v>0.1</v>
      </c>
      <c r="N2669" s="3" t="n">
        <v>7981.7</v>
      </c>
      <c r="O2669" s="3">
        <f>K2669*L2669*(1-M2669)</f>
        <v/>
      </c>
      <c r="P2669" s="3">
        <f>O2669-N2669</f>
        <v/>
      </c>
      <c r="Q2669" s="5">
        <f>IFERROR(P2669/O2669,0)</f>
        <v/>
      </c>
      <c r="R2669" s="2">
        <f>TEXT(DATEVALUE(B2669),"mmm")</f>
        <v/>
      </c>
      <c r="S2669" s="2">
        <f>TEXT(DATEVALUE(B2669),"yyyy-mm")</f>
        <v/>
      </c>
    </row>
    <row r="2670">
      <c r="A2670" s="2" t="inlineStr">
        <is>
          <t>O001708</t>
        </is>
      </c>
      <c r="B2670" s="2" t="inlineStr">
        <is>
          <t>2025-07-11</t>
        </is>
      </c>
      <c r="C2670" s="2" t="inlineStr">
        <is>
          <t>C0556</t>
        </is>
      </c>
      <c r="D2670" s="2" t="inlineStr">
        <is>
          <t>P0017</t>
        </is>
      </c>
      <c r="E2670" s="2" t="inlineStr">
        <is>
          <t>Jeans</t>
        </is>
      </c>
      <c r="F2670" s="2" t="inlineStr">
        <is>
          <t>Fashion</t>
        </is>
      </c>
      <c r="G2670" s="2" t="inlineStr">
        <is>
          <t>South</t>
        </is>
      </c>
      <c r="H2670" s="2" t="inlineStr">
        <is>
          <t>Telangana</t>
        </is>
      </c>
      <c r="I2670" s="2" t="inlineStr">
        <is>
          <t>Warangal</t>
        </is>
      </c>
      <c r="J2670" s="2" t="inlineStr">
        <is>
          <t>Online</t>
        </is>
      </c>
      <c r="K2670" s="2" t="n">
        <v>1</v>
      </c>
      <c r="L2670" s="3" t="n">
        <v>1454.33</v>
      </c>
      <c r="M2670" s="4" t="n">
        <v>0</v>
      </c>
      <c r="N2670" s="3" t="n">
        <v>1015.46</v>
      </c>
      <c r="O2670" s="3">
        <f>K2670*L2670*(1-M2670)</f>
        <v/>
      </c>
      <c r="P2670" s="3">
        <f>O2670-N2670</f>
        <v/>
      </c>
      <c r="Q2670" s="5">
        <f>IFERROR(P2670/O2670,0)</f>
        <v/>
      </c>
      <c r="R2670" s="2">
        <f>TEXT(DATEVALUE(B2670),"mmm")</f>
        <v/>
      </c>
      <c r="S2670" s="2">
        <f>TEXT(DATEVALUE(B2670),"yyyy-mm")</f>
        <v/>
      </c>
    </row>
    <row r="2671">
      <c r="A2671" s="2" t="inlineStr">
        <is>
          <t>O001699</t>
        </is>
      </c>
      <c r="B2671" s="2" t="inlineStr">
        <is>
          <t>2025-07-11</t>
        </is>
      </c>
      <c r="C2671" s="2" t="inlineStr">
        <is>
          <t>C0445</t>
        </is>
      </c>
      <c r="D2671" s="2" t="inlineStr">
        <is>
          <t>P0032</t>
        </is>
      </c>
      <c r="E2671" s="2" t="inlineStr">
        <is>
          <t>Football</t>
        </is>
      </c>
      <c r="F2671" s="2" t="inlineStr">
        <is>
          <t>Sports</t>
        </is>
      </c>
      <c r="G2671" s="2" t="inlineStr">
        <is>
          <t>East</t>
        </is>
      </c>
      <c r="H2671" s="2" t="inlineStr">
        <is>
          <t>Odisha</t>
        </is>
      </c>
      <c r="I2671" s="2" t="inlineStr">
        <is>
          <t>Cuttack</t>
        </is>
      </c>
      <c r="J2671" s="2" t="inlineStr">
        <is>
          <t>Online</t>
        </is>
      </c>
      <c r="K2671" s="2" t="n">
        <v>2</v>
      </c>
      <c r="L2671" s="3" t="n">
        <v>790.25</v>
      </c>
      <c r="M2671" s="4" t="n">
        <v>0.25</v>
      </c>
      <c r="N2671" s="3" t="n">
        <v>1101.62</v>
      </c>
      <c r="O2671" s="3">
        <f>K2671*L2671*(1-M2671)</f>
        <v/>
      </c>
      <c r="P2671" s="3">
        <f>O2671-N2671</f>
        <v/>
      </c>
      <c r="Q2671" s="5">
        <f>IFERROR(P2671/O2671,0)</f>
        <v/>
      </c>
      <c r="R2671" s="2">
        <f>TEXT(DATEVALUE(B2671),"mmm")</f>
        <v/>
      </c>
      <c r="S2671" s="2">
        <f>TEXT(DATEVALUE(B2671),"yyyy-mm")</f>
        <v/>
      </c>
    </row>
    <row r="2672">
      <c r="A2672" s="2" t="inlineStr">
        <is>
          <t>O000905</t>
        </is>
      </c>
      <c r="B2672" s="2" t="inlineStr">
        <is>
          <t>2025-07-11</t>
        </is>
      </c>
      <c r="C2672" s="2" t="inlineStr">
        <is>
          <t>C0101</t>
        </is>
      </c>
      <c r="D2672" s="2" t="inlineStr">
        <is>
          <t>P0031</t>
        </is>
      </c>
      <c r="E2672" s="2" t="inlineStr">
        <is>
          <t>Cricket Bat</t>
        </is>
      </c>
      <c r="F2672" s="2" t="inlineStr">
        <is>
          <t>Sports</t>
        </is>
      </c>
      <c r="G2672" s="2" t="inlineStr">
        <is>
          <t>West</t>
        </is>
      </c>
      <c r="H2672" s="2" t="inlineStr">
        <is>
          <t>Maharashtra</t>
        </is>
      </c>
      <c r="I2672" s="2" t="inlineStr">
        <is>
          <t>Nashik</t>
        </is>
      </c>
      <c r="J2672" s="2" t="inlineStr">
        <is>
          <t>Store</t>
        </is>
      </c>
      <c r="K2672" s="2" t="n">
        <v>2</v>
      </c>
      <c r="L2672" s="3" t="n">
        <v>1425.57</v>
      </c>
      <c r="M2672" s="4" t="n">
        <v>0.1</v>
      </c>
      <c r="N2672" s="3" t="n">
        <v>1843.14</v>
      </c>
      <c r="O2672" s="3">
        <f>K2672*L2672*(1-M2672)</f>
        <v/>
      </c>
      <c r="P2672" s="3">
        <f>O2672-N2672</f>
        <v/>
      </c>
      <c r="Q2672" s="5">
        <f>IFERROR(P2672/O2672,0)</f>
        <v/>
      </c>
      <c r="R2672" s="2">
        <f>TEXT(DATEVALUE(B2672),"mmm")</f>
        <v/>
      </c>
      <c r="S2672" s="2">
        <f>TEXT(DATEVALUE(B2672),"yyyy-mm")</f>
        <v/>
      </c>
    </row>
    <row r="2673">
      <c r="A2673" s="2" t="inlineStr">
        <is>
          <t>O000788</t>
        </is>
      </c>
      <c r="B2673" s="2" t="inlineStr">
        <is>
          <t>2025-07-11</t>
        </is>
      </c>
      <c r="C2673" s="2" t="inlineStr">
        <is>
          <t>C0519</t>
        </is>
      </c>
      <c r="D2673" s="2" t="inlineStr">
        <is>
          <t>P0031</t>
        </is>
      </c>
      <c r="E2673" s="2" t="inlineStr">
        <is>
          <t>Cricket Bat</t>
        </is>
      </c>
      <c r="F2673" s="2" t="inlineStr">
        <is>
          <t>Sports</t>
        </is>
      </c>
      <c r="G2673" s="2" t="inlineStr">
        <is>
          <t>West</t>
        </is>
      </c>
      <c r="H2673" s="2" t="inlineStr">
        <is>
          <t>Goa</t>
        </is>
      </c>
      <c r="I2673" s="2" t="inlineStr">
        <is>
          <t>Panaji</t>
        </is>
      </c>
      <c r="J2673" s="2" t="inlineStr">
        <is>
          <t>Online</t>
        </is>
      </c>
      <c r="K2673" s="2" t="n">
        <v>4</v>
      </c>
      <c r="L2673" s="3" t="n">
        <v>1350.18</v>
      </c>
      <c r="M2673" s="4" t="n">
        <v>0.1</v>
      </c>
      <c r="N2673" s="3" t="n">
        <v>3797.75</v>
      </c>
      <c r="O2673" s="3">
        <f>K2673*L2673*(1-M2673)</f>
        <v/>
      </c>
      <c r="P2673" s="3">
        <f>O2673-N2673</f>
        <v/>
      </c>
      <c r="Q2673" s="5">
        <f>IFERROR(P2673/O2673,0)</f>
        <v/>
      </c>
      <c r="R2673" s="2">
        <f>TEXT(DATEVALUE(B2673),"mmm")</f>
        <v/>
      </c>
      <c r="S2673" s="2">
        <f>TEXT(DATEVALUE(B2673),"yyyy-mm")</f>
        <v/>
      </c>
    </row>
    <row r="2674">
      <c r="A2674" s="2" t="inlineStr">
        <is>
          <t>O000702</t>
        </is>
      </c>
      <c r="B2674" s="2" t="inlineStr">
        <is>
          <t>2025-07-11</t>
        </is>
      </c>
      <c r="C2674" s="2" t="inlineStr">
        <is>
          <t>C0280</t>
        </is>
      </c>
      <c r="D2674" s="2" t="inlineStr">
        <is>
          <t>P0017</t>
        </is>
      </c>
      <c r="E2674" s="2" t="inlineStr">
        <is>
          <t>Jeans</t>
        </is>
      </c>
      <c r="F2674" s="2" t="inlineStr">
        <is>
          <t>Fashion</t>
        </is>
      </c>
      <c r="G2674" s="2" t="inlineStr">
        <is>
          <t>East</t>
        </is>
      </c>
      <c r="H2674" s="2" t="inlineStr">
        <is>
          <t>Odisha</t>
        </is>
      </c>
      <c r="I2674" s="2" t="inlineStr">
        <is>
          <t>Bhubaneswar</t>
        </is>
      </c>
      <c r="J2674" s="2" t="inlineStr">
        <is>
          <t>Online</t>
        </is>
      </c>
      <c r="K2674" s="2" t="n">
        <v>1</v>
      </c>
      <c r="L2674" s="3" t="n">
        <v>1535.66</v>
      </c>
      <c r="M2674" s="4" t="n">
        <v>0.15</v>
      </c>
      <c r="N2674" s="3" t="n">
        <v>1025.53</v>
      </c>
      <c r="O2674" s="3">
        <f>K2674*L2674*(1-M2674)</f>
        <v/>
      </c>
      <c r="P2674" s="3">
        <f>O2674-N2674</f>
        <v/>
      </c>
      <c r="Q2674" s="5">
        <f>IFERROR(P2674/O2674,0)</f>
        <v/>
      </c>
      <c r="R2674" s="2">
        <f>TEXT(DATEVALUE(B2674),"mmm")</f>
        <v/>
      </c>
      <c r="S2674" s="2">
        <f>TEXT(DATEVALUE(B2674),"yyyy-mm")</f>
        <v/>
      </c>
    </row>
    <row r="2675">
      <c r="A2675" s="2" t="inlineStr">
        <is>
          <t>O000542</t>
        </is>
      </c>
      <c r="B2675" s="2" t="inlineStr">
        <is>
          <t>2025-07-11</t>
        </is>
      </c>
      <c r="C2675" s="2" t="inlineStr">
        <is>
          <t>C0758</t>
        </is>
      </c>
      <c r="D2675" s="2" t="inlineStr">
        <is>
          <t>P0018</t>
        </is>
      </c>
      <c r="E2675" s="2" t="inlineStr">
        <is>
          <t>Backpack</t>
        </is>
      </c>
      <c r="F2675" s="2" t="inlineStr">
        <is>
          <t>Fashion</t>
        </is>
      </c>
      <c r="G2675" s="2" t="inlineStr">
        <is>
          <t>West</t>
        </is>
      </c>
      <c r="H2675" s="2" t="inlineStr">
        <is>
          <t>Gujarat</t>
        </is>
      </c>
      <c r="I2675" s="2" t="inlineStr">
        <is>
          <t>Vadodara</t>
        </is>
      </c>
      <c r="J2675" s="2" t="inlineStr">
        <is>
          <t>Online</t>
        </is>
      </c>
      <c r="K2675" s="2" t="n">
        <v>4</v>
      </c>
      <c r="L2675" s="3" t="n">
        <v>1826.88</v>
      </c>
      <c r="M2675" s="4" t="n">
        <v>0.2</v>
      </c>
      <c r="N2675" s="3" t="n">
        <v>5518.85</v>
      </c>
      <c r="O2675" s="3">
        <f>K2675*L2675*(1-M2675)</f>
        <v/>
      </c>
      <c r="P2675" s="3">
        <f>O2675-N2675</f>
        <v/>
      </c>
      <c r="Q2675" s="5">
        <f>IFERROR(P2675/O2675,0)</f>
        <v/>
      </c>
      <c r="R2675" s="2">
        <f>TEXT(DATEVALUE(B2675),"mmm")</f>
        <v/>
      </c>
      <c r="S2675" s="2">
        <f>TEXT(DATEVALUE(B2675),"yyyy-mm")</f>
        <v/>
      </c>
    </row>
    <row r="2676">
      <c r="A2676" s="2" t="inlineStr">
        <is>
          <t>O000458</t>
        </is>
      </c>
      <c r="B2676" s="2" t="inlineStr">
        <is>
          <t>2025-07-11</t>
        </is>
      </c>
      <c r="C2676" s="2" t="inlineStr">
        <is>
          <t>C0244</t>
        </is>
      </c>
      <c r="D2676" s="2" t="inlineStr">
        <is>
          <t>P0007</t>
        </is>
      </c>
      <c r="E2676" s="2" t="inlineStr">
        <is>
          <t>Wireless Mouse</t>
        </is>
      </c>
      <c r="F2676" s="2" t="inlineStr">
        <is>
          <t>Electronics</t>
        </is>
      </c>
      <c r="G2676" s="2" t="inlineStr">
        <is>
          <t>South</t>
        </is>
      </c>
      <c r="H2676" s="2" t="inlineStr">
        <is>
          <t>Kerala</t>
        </is>
      </c>
      <c r="I2676" s="2" t="inlineStr">
        <is>
          <t>Thiruvananthapuram</t>
        </is>
      </c>
      <c r="J2676" s="2" t="inlineStr">
        <is>
          <t>Store</t>
        </is>
      </c>
      <c r="K2676" s="2" t="n">
        <v>1</v>
      </c>
      <c r="L2676" s="3" t="n">
        <v>968.14</v>
      </c>
      <c r="M2676" s="4" t="n">
        <v>0.2</v>
      </c>
      <c r="N2676" s="3" t="n">
        <v>634.37</v>
      </c>
      <c r="O2676" s="3">
        <f>K2676*L2676*(1-M2676)</f>
        <v/>
      </c>
      <c r="P2676" s="3">
        <f>O2676-N2676</f>
        <v/>
      </c>
      <c r="Q2676" s="5">
        <f>IFERROR(P2676/O2676,0)</f>
        <v/>
      </c>
      <c r="R2676" s="2">
        <f>TEXT(DATEVALUE(B2676),"mmm")</f>
        <v/>
      </c>
      <c r="S2676" s="2">
        <f>TEXT(DATEVALUE(B2676),"yyyy-mm")</f>
        <v/>
      </c>
    </row>
    <row r="2677">
      <c r="A2677" s="2" t="inlineStr">
        <is>
          <t>O000328</t>
        </is>
      </c>
      <c r="B2677" s="2" t="inlineStr">
        <is>
          <t>2025-07-11</t>
        </is>
      </c>
      <c r="C2677" s="2" t="inlineStr">
        <is>
          <t>C0471</t>
        </is>
      </c>
      <c r="D2677" s="2" t="inlineStr">
        <is>
          <t>P0022</t>
        </is>
      </c>
      <c r="E2677" s="2" t="inlineStr">
        <is>
          <t>Face Wash</t>
        </is>
      </c>
      <c r="F2677" s="2" t="inlineStr">
        <is>
          <t>Beauty</t>
        </is>
      </c>
      <c r="G2677" s="2" t="inlineStr">
        <is>
          <t>West</t>
        </is>
      </c>
      <c r="H2677" s="2" t="inlineStr">
        <is>
          <t>Maharashtra</t>
        </is>
      </c>
      <c r="I2677" s="2" t="inlineStr">
        <is>
          <t>Nagpur</t>
        </is>
      </c>
      <c r="J2677" s="2" t="inlineStr">
        <is>
          <t>Online</t>
        </is>
      </c>
      <c r="K2677" s="2" t="n">
        <v>1</v>
      </c>
      <c r="L2677" s="3" t="n">
        <v>574.66</v>
      </c>
      <c r="M2677" s="4" t="n">
        <v>0.05</v>
      </c>
      <c r="N2677" s="3" t="n">
        <v>350.67</v>
      </c>
      <c r="O2677" s="3">
        <f>K2677*L2677*(1-M2677)</f>
        <v/>
      </c>
      <c r="P2677" s="3">
        <f>O2677-N2677</f>
        <v/>
      </c>
      <c r="Q2677" s="5">
        <f>IFERROR(P2677/O2677,0)</f>
        <v/>
      </c>
      <c r="R2677" s="2">
        <f>TEXT(DATEVALUE(B2677),"mmm")</f>
        <v/>
      </c>
      <c r="S2677" s="2">
        <f>TEXT(DATEVALUE(B2677),"yyyy-mm")</f>
        <v/>
      </c>
    </row>
    <row r="2678">
      <c r="A2678" s="2" t="inlineStr">
        <is>
          <t>O000022</t>
        </is>
      </c>
      <c r="B2678" s="2" t="inlineStr">
        <is>
          <t>2025-07-11</t>
        </is>
      </c>
      <c r="C2678" s="2" t="inlineStr">
        <is>
          <t>C0005</t>
        </is>
      </c>
      <c r="D2678" s="2" t="inlineStr">
        <is>
          <t>P0006</t>
        </is>
      </c>
      <c r="E2678" s="2" t="inlineStr">
        <is>
          <t>Mechanical Keyboard</t>
        </is>
      </c>
      <c r="F2678" s="2" t="inlineStr">
        <is>
          <t>Electronics</t>
        </is>
      </c>
      <c r="G2678" s="2" t="inlineStr">
        <is>
          <t>West</t>
        </is>
      </c>
      <c r="H2678" s="2" t="inlineStr">
        <is>
          <t>Goa</t>
        </is>
      </c>
      <c r="I2678" s="2" t="inlineStr">
        <is>
          <t>Margao</t>
        </is>
      </c>
      <c r="J2678" s="2" t="inlineStr">
        <is>
          <t>Store</t>
        </is>
      </c>
      <c r="K2678" s="2" t="n">
        <v>2</v>
      </c>
      <c r="L2678" s="3" t="n">
        <v>2692.52</v>
      </c>
      <c r="M2678" s="4" t="n">
        <v>0.25</v>
      </c>
      <c r="N2678" s="3" t="n">
        <v>2883.18</v>
      </c>
      <c r="O2678" s="3">
        <f>K2678*L2678*(1-M2678)</f>
        <v/>
      </c>
      <c r="P2678" s="3">
        <f>O2678-N2678</f>
        <v/>
      </c>
      <c r="Q2678" s="5">
        <f>IFERROR(P2678/O2678,0)</f>
        <v/>
      </c>
      <c r="R2678" s="2">
        <f>TEXT(DATEVALUE(B2678),"mmm")</f>
        <v/>
      </c>
      <c r="S2678" s="2">
        <f>TEXT(DATEVALUE(B2678),"yyyy-mm")</f>
        <v/>
      </c>
    </row>
    <row r="2679">
      <c r="A2679" s="2" t="inlineStr">
        <is>
          <t>O002081</t>
        </is>
      </c>
      <c r="B2679" s="2" t="inlineStr">
        <is>
          <t>2025-07-11</t>
        </is>
      </c>
      <c r="C2679" s="2" t="inlineStr">
        <is>
          <t>C0053</t>
        </is>
      </c>
      <c r="D2679" s="2" t="inlineStr">
        <is>
          <t>P0007</t>
        </is>
      </c>
      <c r="E2679" s="2" t="inlineStr">
        <is>
          <t>Wireless Mouse</t>
        </is>
      </c>
      <c r="F2679" s="2" t="inlineStr">
        <is>
          <t>Electronics</t>
        </is>
      </c>
      <c r="G2679" s="2" t="inlineStr">
        <is>
          <t>North</t>
        </is>
      </c>
      <c r="H2679" s="2" t="inlineStr">
        <is>
          <t>Haryana</t>
        </is>
      </c>
      <c r="I2679" s="2" t="inlineStr">
        <is>
          <t>Faridabad</t>
        </is>
      </c>
      <c r="J2679" s="2" t="inlineStr">
        <is>
          <t>Store</t>
        </is>
      </c>
      <c r="K2679" s="2" t="n">
        <v>5</v>
      </c>
      <c r="L2679" s="3" t="n">
        <v>979.1799999999999</v>
      </c>
      <c r="M2679" s="4" t="n">
        <v>0.1</v>
      </c>
      <c r="N2679" s="3" t="n">
        <v>3042.44</v>
      </c>
      <c r="O2679" s="3">
        <f>K2679*L2679*(1-M2679)</f>
        <v/>
      </c>
      <c r="P2679" s="3">
        <f>O2679-N2679</f>
        <v/>
      </c>
      <c r="Q2679" s="5">
        <f>IFERROR(P2679/O2679,0)</f>
        <v/>
      </c>
      <c r="R2679" s="2">
        <f>TEXT(DATEVALUE(B2679),"mmm")</f>
        <v/>
      </c>
      <c r="S2679" s="2">
        <f>TEXT(DATEVALUE(B2679),"yyyy-mm")</f>
        <v/>
      </c>
    </row>
    <row r="2680">
      <c r="A2680" s="2" t="inlineStr">
        <is>
          <t>O004901</t>
        </is>
      </c>
      <c r="B2680" s="2" t="inlineStr">
        <is>
          <t>2025-07-12</t>
        </is>
      </c>
      <c r="C2680" s="2" t="inlineStr">
        <is>
          <t>C0582</t>
        </is>
      </c>
      <c r="D2680" s="2" t="inlineStr">
        <is>
          <t>P0025</t>
        </is>
      </c>
      <c r="E2680" s="2" t="inlineStr">
        <is>
          <t>Perfume</t>
        </is>
      </c>
      <c r="F2680" s="2" t="inlineStr">
        <is>
          <t>Beauty</t>
        </is>
      </c>
      <c r="G2680" s="2" t="inlineStr">
        <is>
          <t>South</t>
        </is>
      </c>
      <c r="H2680" s="2" t="inlineStr">
        <is>
          <t>Telangana</t>
        </is>
      </c>
      <c r="I2680" s="2" t="inlineStr">
        <is>
          <t>Hyderabad</t>
        </is>
      </c>
      <c r="J2680" s="2" t="inlineStr">
        <is>
          <t>Store</t>
        </is>
      </c>
      <c r="K2680" s="2" t="n">
        <v>2</v>
      </c>
      <c r="L2680" s="3" t="n">
        <v>795.96</v>
      </c>
      <c r="M2680" s="4" t="n">
        <v>0.25</v>
      </c>
      <c r="N2680" s="3" t="n">
        <v>1236.32</v>
      </c>
      <c r="O2680" s="3">
        <f>K2680*L2680*(1-M2680)</f>
        <v/>
      </c>
      <c r="P2680" s="3">
        <f>O2680-N2680</f>
        <v/>
      </c>
      <c r="Q2680" s="5">
        <f>IFERROR(P2680/O2680,0)</f>
        <v/>
      </c>
      <c r="R2680" s="2">
        <f>TEXT(DATEVALUE(B2680),"mmm")</f>
        <v/>
      </c>
      <c r="S2680" s="2">
        <f>TEXT(DATEVALUE(B2680),"yyyy-mm")</f>
        <v/>
      </c>
    </row>
    <row r="2681">
      <c r="A2681" s="2" t="inlineStr">
        <is>
          <t>O004622</t>
        </is>
      </c>
      <c r="B2681" s="2" t="inlineStr">
        <is>
          <t>2025-07-12</t>
        </is>
      </c>
      <c r="C2681" s="2" t="inlineStr">
        <is>
          <t>C0582</t>
        </is>
      </c>
      <c r="D2681" s="2" t="inlineStr">
        <is>
          <t>P0011</t>
        </is>
      </c>
      <c r="E2681" s="2" t="inlineStr">
        <is>
          <t>Cookware Set</t>
        </is>
      </c>
      <c r="F2681" s="2" t="inlineStr">
        <is>
          <t>Home &amp; Kitchen</t>
        </is>
      </c>
      <c r="G2681" s="2" t="inlineStr">
        <is>
          <t>South</t>
        </is>
      </c>
      <c r="H2681" s="2" t="inlineStr">
        <is>
          <t>Tamil Nadu</t>
        </is>
      </c>
      <c r="I2681" s="2" t="inlineStr">
        <is>
          <t>Chennai</t>
        </is>
      </c>
      <c r="J2681" s="2" t="inlineStr">
        <is>
          <t>Online</t>
        </is>
      </c>
      <c r="K2681" s="2" t="n">
        <v>2</v>
      </c>
      <c r="L2681" s="3" t="n">
        <v>701.64</v>
      </c>
      <c r="M2681" s="4" t="n">
        <v>0.05</v>
      </c>
      <c r="N2681" s="3" t="n">
        <v>917.7</v>
      </c>
      <c r="O2681" s="3">
        <f>K2681*L2681*(1-M2681)</f>
        <v/>
      </c>
      <c r="P2681" s="3">
        <f>O2681-N2681</f>
        <v/>
      </c>
      <c r="Q2681" s="5">
        <f>IFERROR(P2681/O2681,0)</f>
        <v/>
      </c>
      <c r="R2681" s="2">
        <f>TEXT(DATEVALUE(B2681),"mmm")</f>
        <v/>
      </c>
      <c r="S2681" s="2">
        <f>TEXT(DATEVALUE(B2681),"yyyy-mm")</f>
        <v/>
      </c>
    </row>
    <row r="2682">
      <c r="A2682" s="2" t="inlineStr">
        <is>
          <t>O004236</t>
        </is>
      </c>
      <c r="B2682" s="2" t="inlineStr">
        <is>
          <t>2025-07-12</t>
        </is>
      </c>
      <c r="C2682" s="2" t="inlineStr">
        <is>
          <t>C0418</t>
        </is>
      </c>
      <c r="D2682" s="2" t="inlineStr">
        <is>
          <t>P0014</t>
        </is>
      </c>
      <c r="E2682" s="2" t="inlineStr">
        <is>
          <t>Coffee Maker</t>
        </is>
      </c>
      <c r="F2682" s="2" t="inlineStr">
        <is>
          <t>Home &amp; Kitchen</t>
        </is>
      </c>
      <c r="G2682" s="2" t="inlineStr">
        <is>
          <t>South</t>
        </is>
      </c>
      <c r="H2682" s="2" t="inlineStr">
        <is>
          <t>Kerala</t>
        </is>
      </c>
      <c r="I2682" s="2" t="inlineStr">
        <is>
          <t>Thiruvananthapuram</t>
        </is>
      </c>
      <c r="J2682" s="2" t="inlineStr">
        <is>
          <t>Store</t>
        </is>
      </c>
      <c r="K2682" s="2" t="n">
        <v>1</v>
      </c>
      <c r="L2682" s="3" t="n">
        <v>1061.95</v>
      </c>
      <c r="M2682" s="4" t="n">
        <v>0.05</v>
      </c>
      <c r="N2682" s="3" t="n">
        <v>768.84</v>
      </c>
      <c r="O2682" s="3">
        <f>K2682*L2682*(1-M2682)</f>
        <v/>
      </c>
      <c r="P2682" s="3">
        <f>O2682-N2682</f>
        <v/>
      </c>
      <c r="Q2682" s="5">
        <f>IFERROR(P2682/O2682,0)</f>
        <v/>
      </c>
      <c r="R2682" s="2">
        <f>TEXT(DATEVALUE(B2682),"mmm")</f>
        <v/>
      </c>
      <c r="S2682" s="2">
        <f>TEXT(DATEVALUE(B2682),"yyyy-mm")</f>
        <v/>
      </c>
    </row>
    <row r="2683">
      <c r="A2683" s="2" t="inlineStr">
        <is>
          <t>O004060</t>
        </is>
      </c>
      <c r="B2683" s="2" t="inlineStr">
        <is>
          <t>2025-07-12</t>
        </is>
      </c>
      <c r="C2683" s="2" t="inlineStr">
        <is>
          <t>C0340</t>
        </is>
      </c>
      <c r="D2683" s="2" t="inlineStr">
        <is>
          <t>P0002</t>
        </is>
      </c>
      <c r="E2683" s="2" t="inlineStr">
        <is>
          <t>Bluetooth Speaker</t>
        </is>
      </c>
      <c r="F2683" s="2" t="inlineStr">
        <is>
          <t>Electronics</t>
        </is>
      </c>
      <c r="G2683" s="2" t="inlineStr">
        <is>
          <t>East</t>
        </is>
      </c>
      <c r="H2683" s="2" t="inlineStr">
        <is>
          <t>Odisha</t>
        </is>
      </c>
      <c r="I2683" s="2" t="inlineStr">
        <is>
          <t>Cuttack</t>
        </is>
      </c>
      <c r="J2683" s="2" t="inlineStr">
        <is>
          <t>Store</t>
        </is>
      </c>
      <c r="K2683" s="2" t="n">
        <v>3</v>
      </c>
      <c r="L2683" s="3" t="n">
        <v>1367.36</v>
      </c>
      <c r="M2683" s="4" t="n">
        <v>0.1</v>
      </c>
      <c r="N2683" s="3" t="n">
        <v>2386.92</v>
      </c>
      <c r="O2683" s="3">
        <f>K2683*L2683*(1-M2683)</f>
        <v/>
      </c>
      <c r="P2683" s="3">
        <f>O2683-N2683</f>
        <v/>
      </c>
      <c r="Q2683" s="5">
        <f>IFERROR(P2683/O2683,0)</f>
        <v/>
      </c>
      <c r="R2683" s="2">
        <f>TEXT(DATEVALUE(B2683),"mmm")</f>
        <v/>
      </c>
      <c r="S2683" s="2">
        <f>TEXT(DATEVALUE(B2683),"yyyy-mm")</f>
        <v/>
      </c>
    </row>
    <row r="2684">
      <c r="A2684" s="2" t="inlineStr">
        <is>
          <t>O001526</t>
        </is>
      </c>
      <c r="B2684" s="2" t="inlineStr">
        <is>
          <t>2025-07-12</t>
        </is>
      </c>
      <c r="C2684" s="2" t="inlineStr">
        <is>
          <t>C0064</t>
        </is>
      </c>
      <c r="D2684" s="2" t="inlineStr">
        <is>
          <t>P0017</t>
        </is>
      </c>
      <c r="E2684" s="2" t="inlineStr">
        <is>
          <t>Jeans</t>
        </is>
      </c>
      <c r="F2684" s="2" t="inlineStr">
        <is>
          <t>Fashion</t>
        </is>
      </c>
      <c r="G2684" s="2" t="inlineStr">
        <is>
          <t>West</t>
        </is>
      </c>
      <c r="H2684" s="2" t="inlineStr">
        <is>
          <t>Maharashtra</t>
        </is>
      </c>
      <c r="I2684" s="2" t="inlineStr">
        <is>
          <t>Nashik</t>
        </is>
      </c>
      <c r="J2684" s="2" t="inlineStr">
        <is>
          <t>Store</t>
        </is>
      </c>
      <c r="K2684" s="2" t="n">
        <v>1</v>
      </c>
      <c r="L2684" s="3" t="n">
        <v>1536.97</v>
      </c>
      <c r="M2684" s="4" t="n">
        <v>0.05</v>
      </c>
      <c r="N2684" s="3" t="n">
        <v>1006.81</v>
      </c>
      <c r="O2684" s="3">
        <f>K2684*L2684*(1-M2684)</f>
        <v/>
      </c>
      <c r="P2684" s="3">
        <f>O2684-N2684</f>
        <v/>
      </c>
      <c r="Q2684" s="5">
        <f>IFERROR(P2684/O2684,0)</f>
        <v/>
      </c>
      <c r="R2684" s="2">
        <f>TEXT(DATEVALUE(B2684),"mmm")</f>
        <v/>
      </c>
      <c r="S2684" s="2">
        <f>TEXT(DATEVALUE(B2684),"yyyy-mm")</f>
        <v/>
      </c>
    </row>
    <row r="2685">
      <c r="A2685" s="2" t="inlineStr">
        <is>
          <t>O002056</t>
        </is>
      </c>
      <c r="B2685" s="2" t="inlineStr">
        <is>
          <t>2025-07-12</t>
        </is>
      </c>
      <c r="C2685" s="2" t="inlineStr">
        <is>
          <t>C0739</t>
        </is>
      </c>
      <c r="D2685" s="2" t="inlineStr">
        <is>
          <t>P0011</t>
        </is>
      </c>
      <c r="E2685" s="2" t="inlineStr">
        <is>
          <t>Cookware Set</t>
        </is>
      </c>
      <c r="F2685" s="2" t="inlineStr">
        <is>
          <t>Home &amp; Kitchen</t>
        </is>
      </c>
      <c r="G2685" s="2" t="inlineStr">
        <is>
          <t>North</t>
        </is>
      </c>
      <c r="H2685" s="2" t="inlineStr">
        <is>
          <t>Haryana</t>
        </is>
      </c>
      <c r="I2685" s="2" t="inlineStr">
        <is>
          <t>Faridabad</t>
        </is>
      </c>
      <c r="J2685" s="2" t="inlineStr">
        <is>
          <t>Store</t>
        </is>
      </c>
      <c r="K2685" s="2" t="n">
        <v>2</v>
      </c>
      <c r="L2685" s="3" t="n">
        <v>688.78</v>
      </c>
      <c r="M2685" s="4" t="n">
        <v>0.1</v>
      </c>
      <c r="N2685" s="3" t="n">
        <v>926.02</v>
      </c>
      <c r="O2685" s="3">
        <f>K2685*L2685*(1-M2685)</f>
        <v/>
      </c>
      <c r="P2685" s="3">
        <f>O2685-N2685</f>
        <v/>
      </c>
      <c r="Q2685" s="5">
        <f>IFERROR(P2685/O2685,0)</f>
        <v/>
      </c>
      <c r="R2685" s="2">
        <f>TEXT(DATEVALUE(B2685),"mmm")</f>
        <v/>
      </c>
      <c r="S2685" s="2">
        <f>TEXT(DATEVALUE(B2685),"yyyy-mm")</f>
        <v/>
      </c>
    </row>
    <row r="2686">
      <c r="A2686" s="2" t="inlineStr">
        <is>
          <t>O001702</t>
        </is>
      </c>
      <c r="B2686" s="2" t="inlineStr">
        <is>
          <t>2025-07-12</t>
        </is>
      </c>
      <c r="C2686" s="2" t="inlineStr">
        <is>
          <t>C0499</t>
        </is>
      </c>
      <c r="D2686" s="2" t="inlineStr">
        <is>
          <t>P0009</t>
        </is>
      </c>
      <c r="E2686" s="2" t="inlineStr">
        <is>
          <t>Electric Kettle</t>
        </is>
      </c>
      <c r="F2686" s="2" t="inlineStr">
        <is>
          <t>Home &amp; Kitchen</t>
        </is>
      </c>
      <c r="G2686" s="2" t="inlineStr">
        <is>
          <t>East</t>
        </is>
      </c>
      <c r="H2686" s="2" t="inlineStr">
        <is>
          <t>Bihar</t>
        </is>
      </c>
      <c r="I2686" s="2" t="inlineStr">
        <is>
          <t>Patna</t>
        </is>
      </c>
      <c r="J2686" s="2" t="inlineStr">
        <is>
          <t>Store</t>
        </is>
      </c>
      <c r="K2686" s="2" t="n">
        <v>3</v>
      </c>
      <c r="L2686" s="3" t="n">
        <v>2084.92</v>
      </c>
      <c r="M2686" s="4" t="n">
        <v>0.15</v>
      </c>
      <c r="N2686" s="3" t="n">
        <v>3330.8</v>
      </c>
      <c r="O2686" s="3">
        <f>K2686*L2686*(1-M2686)</f>
        <v/>
      </c>
      <c r="P2686" s="3">
        <f>O2686-N2686</f>
        <v/>
      </c>
      <c r="Q2686" s="5">
        <f>IFERROR(P2686/O2686,0)</f>
        <v/>
      </c>
      <c r="R2686" s="2">
        <f>TEXT(DATEVALUE(B2686),"mmm")</f>
        <v/>
      </c>
      <c r="S2686" s="2">
        <f>TEXT(DATEVALUE(B2686),"yyyy-mm")</f>
        <v/>
      </c>
    </row>
    <row r="2687">
      <c r="A2687" s="2" t="inlineStr">
        <is>
          <t>O001371</t>
        </is>
      </c>
      <c r="B2687" s="2" t="inlineStr">
        <is>
          <t>2025-07-12</t>
        </is>
      </c>
      <c r="C2687" s="2" t="inlineStr">
        <is>
          <t>C0610</t>
        </is>
      </c>
      <c r="D2687" s="2" t="inlineStr">
        <is>
          <t>P0003</t>
        </is>
      </c>
      <c r="E2687" s="2" t="inlineStr">
        <is>
          <t>Smartwatch</t>
        </is>
      </c>
      <c r="F2687" s="2" t="inlineStr">
        <is>
          <t>Electronics</t>
        </is>
      </c>
      <c r="G2687" s="2" t="inlineStr">
        <is>
          <t>West</t>
        </is>
      </c>
      <c r="H2687" s="2" t="inlineStr">
        <is>
          <t>Goa</t>
        </is>
      </c>
      <c r="I2687" s="2" t="inlineStr">
        <is>
          <t>Margao</t>
        </is>
      </c>
      <c r="J2687" s="2" t="inlineStr">
        <is>
          <t>Online</t>
        </is>
      </c>
      <c r="K2687" s="2" t="n">
        <v>2</v>
      </c>
      <c r="L2687" s="3" t="n">
        <v>2371.78</v>
      </c>
      <c r="M2687" s="4" t="n">
        <v>0</v>
      </c>
      <c r="N2687" s="3" t="n">
        <v>2426.72</v>
      </c>
      <c r="O2687" s="3">
        <f>K2687*L2687*(1-M2687)</f>
        <v/>
      </c>
      <c r="P2687" s="3">
        <f>O2687-N2687</f>
        <v/>
      </c>
      <c r="Q2687" s="5">
        <f>IFERROR(P2687/O2687,0)</f>
        <v/>
      </c>
      <c r="R2687" s="2">
        <f>TEXT(DATEVALUE(B2687),"mmm")</f>
        <v/>
      </c>
      <c r="S2687" s="2">
        <f>TEXT(DATEVALUE(B2687),"yyyy-mm")</f>
        <v/>
      </c>
    </row>
    <row r="2688">
      <c r="A2688" s="2" t="inlineStr">
        <is>
          <t>O003384</t>
        </is>
      </c>
      <c r="B2688" s="2" t="inlineStr">
        <is>
          <t>2025-07-12</t>
        </is>
      </c>
      <c r="C2688" s="2" t="inlineStr">
        <is>
          <t>C0800</t>
        </is>
      </c>
      <c r="D2688" s="2" t="inlineStr">
        <is>
          <t>P0006</t>
        </is>
      </c>
      <c r="E2688" s="2" t="inlineStr">
        <is>
          <t>Mechanical Keyboard</t>
        </is>
      </c>
      <c r="F2688" s="2" t="inlineStr">
        <is>
          <t>Electronics</t>
        </is>
      </c>
      <c r="G2688" s="2" t="inlineStr">
        <is>
          <t>West</t>
        </is>
      </c>
      <c r="H2688" s="2" t="inlineStr">
        <is>
          <t>Gujarat</t>
        </is>
      </c>
      <c r="I2688" s="2" t="inlineStr">
        <is>
          <t>Surat</t>
        </is>
      </c>
      <c r="J2688" s="2" t="inlineStr">
        <is>
          <t>Online</t>
        </is>
      </c>
      <c r="K2688" s="2" t="n">
        <v>2</v>
      </c>
      <c r="L2688" s="3" t="n">
        <v>2611.1</v>
      </c>
      <c r="M2688" s="4" t="n">
        <v>0.05</v>
      </c>
      <c r="N2688" s="3" t="n">
        <v>2871.68</v>
      </c>
      <c r="O2688" s="3">
        <f>K2688*L2688*(1-M2688)</f>
        <v/>
      </c>
      <c r="P2688" s="3">
        <f>O2688-N2688</f>
        <v/>
      </c>
      <c r="Q2688" s="5">
        <f>IFERROR(P2688/O2688,0)</f>
        <v/>
      </c>
      <c r="R2688" s="2">
        <f>TEXT(DATEVALUE(B2688),"mmm")</f>
        <v/>
      </c>
      <c r="S2688" s="2">
        <f>TEXT(DATEVALUE(B2688),"yyyy-mm")</f>
        <v/>
      </c>
    </row>
    <row r="2689">
      <c r="A2689" s="2" t="inlineStr">
        <is>
          <t>O003559</t>
        </is>
      </c>
      <c r="B2689" s="2" t="inlineStr">
        <is>
          <t>2025-07-13</t>
        </is>
      </c>
      <c r="C2689" s="2" t="inlineStr">
        <is>
          <t>C0137</t>
        </is>
      </c>
      <c r="D2689" s="2" t="inlineStr">
        <is>
          <t>P0031</t>
        </is>
      </c>
      <c r="E2689" s="2" t="inlineStr">
        <is>
          <t>Cricket Bat</t>
        </is>
      </c>
      <c r="F2689" s="2" t="inlineStr">
        <is>
          <t>Sports</t>
        </is>
      </c>
      <c r="G2689" s="2" t="inlineStr">
        <is>
          <t>West</t>
        </is>
      </c>
      <c r="H2689" s="2" t="inlineStr">
        <is>
          <t>Maharashtra</t>
        </is>
      </c>
      <c r="I2689" s="2" t="inlineStr">
        <is>
          <t>Nashik</t>
        </is>
      </c>
      <c r="J2689" s="2" t="inlineStr">
        <is>
          <t>Online</t>
        </is>
      </c>
      <c r="K2689" s="2" t="n">
        <v>2</v>
      </c>
      <c r="L2689" s="3" t="n">
        <v>1396.74</v>
      </c>
      <c r="M2689" s="4" t="n">
        <v>0.15</v>
      </c>
      <c r="N2689" s="3" t="n">
        <v>1877.39</v>
      </c>
      <c r="O2689" s="3">
        <f>K2689*L2689*(1-M2689)</f>
        <v/>
      </c>
      <c r="P2689" s="3">
        <f>O2689-N2689</f>
        <v/>
      </c>
      <c r="Q2689" s="5">
        <f>IFERROR(P2689/O2689,0)</f>
        <v/>
      </c>
      <c r="R2689" s="2">
        <f>TEXT(DATEVALUE(B2689),"mmm")</f>
        <v/>
      </c>
      <c r="S2689" s="2">
        <f>TEXT(DATEVALUE(B2689),"yyyy-mm")</f>
        <v/>
      </c>
    </row>
    <row r="2690">
      <c r="A2690" s="2" t="inlineStr">
        <is>
          <t>O004660</t>
        </is>
      </c>
      <c r="B2690" s="2" t="inlineStr">
        <is>
          <t>2025-07-13</t>
        </is>
      </c>
      <c r="C2690" s="2" t="inlineStr">
        <is>
          <t>C0412</t>
        </is>
      </c>
      <c r="D2690" s="2" t="inlineStr">
        <is>
          <t>P0007</t>
        </is>
      </c>
      <c r="E2690" s="2" t="inlineStr">
        <is>
          <t>Wireless Mouse</t>
        </is>
      </c>
      <c r="F2690" s="2" t="inlineStr">
        <is>
          <t>Electronics</t>
        </is>
      </c>
      <c r="G2690" s="2" t="inlineStr">
        <is>
          <t>South</t>
        </is>
      </c>
      <c r="H2690" s="2" t="inlineStr">
        <is>
          <t>Telangana</t>
        </is>
      </c>
      <c r="I2690" s="2" t="inlineStr">
        <is>
          <t>Warangal</t>
        </is>
      </c>
      <c r="J2690" s="2" t="inlineStr">
        <is>
          <t>Store</t>
        </is>
      </c>
      <c r="K2690" s="2" t="n">
        <v>2</v>
      </c>
      <c r="L2690" s="3" t="n">
        <v>1004.58</v>
      </c>
      <c r="M2690" s="4" t="n">
        <v>0.15</v>
      </c>
      <c r="N2690" s="3" t="n">
        <v>1276.59</v>
      </c>
      <c r="O2690" s="3">
        <f>K2690*L2690*(1-M2690)</f>
        <v/>
      </c>
      <c r="P2690" s="3">
        <f>O2690-N2690</f>
        <v/>
      </c>
      <c r="Q2690" s="5">
        <f>IFERROR(P2690/O2690,0)</f>
        <v/>
      </c>
      <c r="R2690" s="2">
        <f>TEXT(DATEVALUE(B2690),"mmm")</f>
        <v/>
      </c>
      <c r="S2690" s="2">
        <f>TEXT(DATEVALUE(B2690),"yyyy-mm")</f>
        <v/>
      </c>
    </row>
    <row r="2691">
      <c r="A2691" s="2" t="inlineStr">
        <is>
          <t>O004187</t>
        </is>
      </c>
      <c r="B2691" s="2" t="inlineStr">
        <is>
          <t>2025-07-13</t>
        </is>
      </c>
      <c r="C2691" s="2" t="inlineStr">
        <is>
          <t>C0214</t>
        </is>
      </c>
      <c r="D2691" s="2" t="inlineStr">
        <is>
          <t>P0007</t>
        </is>
      </c>
      <c r="E2691" s="2" t="inlineStr">
        <is>
          <t>Wireless Mouse</t>
        </is>
      </c>
      <c r="F2691" s="2" t="inlineStr">
        <is>
          <t>Electronics</t>
        </is>
      </c>
      <c r="G2691" s="2" t="inlineStr">
        <is>
          <t>North</t>
        </is>
      </c>
      <c r="H2691" s="2" t="inlineStr">
        <is>
          <t>Uttar Pradesh</t>
        </is>
      </c>
      <c r="I2691" s="2" t="inlineStr">
        <is>
          <t>Noida</t>
        </is>
      </c>
      <c r="J2691" s="2" t="inlineStr">
        <is>
          <t>Online</t>
        </is>
      </c>
      <c r="K2691" s="2" t="n">
        <v>1</v>
      </c>
      <c r="L2691" s="3" t="n">
        <v>1026.5</v>
      </c>
      <c r="M2691" s="4" t="n">
        <v>0.05</v>
      </c>
      <c r="N2691" s="3" t="n">
        <v>603.03</v>
      </c>
      <c r="O2691" s="3">
        <f>K2691*L2691*(1-M2691)</f>
        <v/>
      </c>
      <c r="P2691" s="3">
        <f>O2691-N2691</f>
        <v/>
      </c>
      <c r="Q2691" s="5">
        <f>IFERROR(P2691/O2691,0)</f>
        <v/>
      </c>
      <c r="R2691" s="2">
        <f>TEXT(DATEVALUE(B2691),"mmm")</f>
        <v/>
      </c>
      <c r="S2691" s="2">
        <f>TEXT(DATEVALUE(B2691),"yyyy-mm")</f>
        <v/>
      </c>
    </row>
    <row r="2692">
      <c r="A2692" s="2" t="inlineStr">
        <is>
          <t>O003593</t>
        </is>
      </c>
      <c r="B2692" s="2" t="inlineStr">
        <is>
          <t>2025-07-13</t>
        </is>
      </c>
      <c r="C2692" s="2" t="inlineStr">
        <is>
          <t>C0518</t>
        </is>
      </c>
      <c r="D2692" s="2" t="inlineStr">
        <is>
          <t>P0021</t>
        </is>
      </c>
      <c r="E2692" s="2" t="inlineStr">
        <is>
          <t>Wallet</t>
        </is>
      </c>
      <c r="F2692" s="2" t="inlineStr">
        <is>
          <t>Fashion</t>
        </is>
      </c>
      <c r="G2692" s="2" t="inlineStr">
        <is>
          <t>West</t>
        </is>
      </c>
      <c r="H2692" s="2" t="inlineStr">
        <is>
          <t>Goa</t>
        </is>
      </c>
      <c r="I2692" s="2" t="inlineStr">
        <is>
          <t>Panaji</t>
        </is>
      </c>
      <c r="J2692" s="2" t="inlineStr">
        <is>
          <t>Store</t>
        </is>
      </c>
      <c r="K2692" s="2" t="n">
        <v>2</v>
      </c>
      <c r="L2692" s="3" t="n">
        <v>1940.86</v>
      </c>
      <c r="M2692" s="4" t="n">
        <v>0.1</v>
      </c>
      <c r="N2692" s="3" t="n">
        <v>2454.19</v>
      </c>
      <c r="O2692" s="3">
        <f>K2692*L2692*(1-M2692)</f>
        <v/>
      </c>
      <c r="P2692" s="3">
        <f>O2692-N2692</f>
        <v/>
      </c>
      <c r="Q2692" s="5">
        <f>IFERROR(P2692/O2692,0)</f>
        <v/>
      </c>
      <c r="R2692" s="2">
        <f>TEXT(DATEVALUE(B2692),"mmm")</f>
        <v/>
      </c>
      <c r="S2692" s="2">
        <f>TEXT(DATEVALUE(B2692),"yyyy-mm")</f>
        <v/>
      </c>
    </row>
    <row r="2693">
      <c r="A2693" s="2" t="inlineStr">
        <is>
          <t>O003210</t>
        </is>
      </c>
      <c r="B2693" s="2" t="inlineStr">
        <is>
          <t>2025-07-13</t>
        </is>
      </c>
      <c r="C2693" s="2" t="inlineStr">
        <is>
          <t>C0622</t>
        </is>
      </c>
      <c r="D2693" s="2" t="inlineStr">
        <is>
          <t>P0011</t>
        </is>
      </c>
      <c r="E2693" s="2" t="inlineStr">
        <is>
          <t>Cookware Set</t>
        </is>
      </c>
      <c r="F2693" s="2" t="inlineStr">
        <is>
          <t>Home &amp; Kitchen</t>
        </is>
      </c>
      <c r="G2693" s="2" t="inlineStr">
        <is>
          <t>West</t>
        </is>
      </c>
      <c r="H2693" s="2" t="inlineStr">
        <is>
          <t>Maharashtra</t>
        </is>
      </c>
      <c r="I2693" s="2" t="inlineStr">
        <is>
          <t>Nashik</t>
        </is>
      </c>
      <c r="J2693" s="2" t="inlineStr">
        <is>
          <t>Online</t>
        </is>
      </c>
      <c r="K2693" s="2" t="n">
        <v>3</v>
      </c>
      <c r="L2693" s="3" t="n">
        <v>721.61</v>
      </c>
      <c r="M2693" s="4" t="n">
        <v>0.1</v>
      </c>
      <c r="N2693" s="3" t="n">
        <v>1399.84</v>
      </c>
      <c r="O2693" s="3">
        <f>K2693*L2693*(1-M2693)</f>
        <v/>
      </c>
      <c r="P2693" s="3">
        <f>O2693-N2693</f>
        <v/>
      </c>
      <c r="Q2693" s="5">
        <f>IFERROR(P2693/O2693,0)</f>
        <v/>
      </c>
      <c r="R2693" s="2">
        <f>TEXT(DATEVALUE(B2693),"mmm")</f>
        <v/>
      </c>
      <c r="S2693" s="2">
        <f>TEXT(DATEVALUE(B2693),"yyyy-mm")</f>
        <v/>
      </c>
    </row>
    <row r="2694">
      <c r="A2694" s="2" t="inlineStr">
        <is>
          <t>O000613</t>
        </is>
      </c>
      <c r="B2694" s="2" t="inlineStr">
        <is>
          <t>2025-07-13</t>
        </is>
      </c>
      <c r="C2694" s="2" t="inlineStr">
        <is>
          <t>C0568</t>
        </is>
      </c>
      <c r="D2694" s="2" t="inlineStr">
        <is>
          <t>P0011</t>
        </is>
      </c>
      <c r="E2694" s="2" t="inlineStr">
        <is>
          <t>Cookware Set</t>
        </is>
      </c>
      <c r="F2694" s="2" t="inlineStr">
        <is>
          <t>Home &amp; Kitchen</t>
        </is>
      </c>
      <c r="G2694" s="2" t="inlineStr">
        <is>
          <t>South</t>
        </is>
      </c>
      <c r="H2694" s="2" t="inlineStr">
        <is>
          <t>Karnataka</t>
        </is>
      </c>
      <c r="I2694" s="2" t="inlineStr">
        <is>
          <t>Mysuru</t>
        </is>
      </c>
      <c r="J2694" s="2" t="inlineStr">
        <is>
          <t>Online</t>
        </is>
      </c>
      <c r="K2694" s="2" t="n">
        <v>2</v>
      </c>
      <c r="L2694" s="3" t="n">
        <v>716.89</v>
      </c>
      <c r="M2694" s="4" t="n">
        <v>0.15</v>
      </c>
      <c r="N2694" s="3" t="n">
        <v>943.1799999999999</v>
      </c>
      <c r="O2694" s="3">
        <f>K2694*L2694*(1-M2694)</f>
        <v/>
      </c>
      <c r="P2694" s="3">
        <f>O2694-N2694</f>
        <v/>
      </c>
      <c r="Q2694" s="5">
        <f>IFERROR(P2694/O2694,0)</f>
        <v/>
      </c>
      <c r="R2694" s="2">
        <f>TEXT(DATEVALUE(B2694),"mmm")</f>
        <v/>
      </c>
      <c r="S2694" s="2">
        <f>TEXT(DATEVALUE(B2694),"yyyy-mm")</f>
        <v/>
      </c>
    </row>
    <row r="2695">
      <c r="A2695" s="2" t="inlineStr">
        <is>
          <t>O001232</t>
        </is>
      </c>
      <c r="B2695" s="2" t="inlineStr">
        <is>
          <t>2025-07-13</t>
        </is>
      </c>
      <c r="C2695" s="2" t="inlineStr">
        <is>
          <t>C0609</t>
        </is>
      </c>
      <c r="D2695" s="2" t="inlineStr">
        <is>
          <t>P0022</t>
        </is>
      </c>
      <c r="E2695" s="2" t="inlineStr">
        <is>
          <t>Face Wash</t>
        </is>
      </c>
      <c r="F2695" s="2" t="inlineStr">
        <is>
          <t>Beauty</t>
        </is>
      </c>
      <c r="G2695" s="2" t="inlineStr">
        <is>
          <t>North</t>
        </is>
      </c>
      <c r="H2695" s="2" t="inlineStr">
        <is>
          <t>Delhi</t>
        </is>
      </c>
      <c r="I2695" s="2" t="inlineStr">
        <is>
          <t>New Delhi</t>
        </is>
      </c>
      <c r="J2695" s="2" t="inlineStr">
        <is>
          <t>Store</t>
        </is>
      </c>
      <c r="K2695" s="2" t="n">
        <v>6</v>
      </c>
      <c r="L2695" s="3" t="n">
        <v>537.74</v>
      </c>
      <c r="M2695" s="4" t="n">
        <v>0</v>
      </c>
      <c r="N2695" s="3" t="n">
        <v>2174.66</v>
      </c>
      <c r="O2695" s="3">
        <f>K2695*L2695*(1-M2695)</f>
        <v/>
      </c>
      <c r="P2695" s="3">
        <f>O2695-N2695</f>
        <v/>
      </c>
      <c r="Q2695" s="5">
        <f>IFERROR(P2695/O2695,0)</f>
        <v/>
      </c>
      <c r="R2695" s="2">
        <f>TEXT(DATEVALUE(B2695),"mmm")</f>
        <v/>
      </c>
      <c r="S2695" s="2">
        <f>TEXT(DATEVALUE(B2695),"yyyy-mm")</f>
        <v/>
      </c>
    </row>
    <row r="2696">
      <c r="A2696" s="2" t="inlineStr">
        <is>
          <t>O000975</t>
        </is>
      </c>
      <c r="B2696" s="2" t="inlineStr">
        <is>
          <t>2025-07-13</t>
        </is>
      </c>
      <c r="C2696" s="2" t="inlineStr">
        <is>
          <t>C0586</t>
        </is>
      </c>
      <c r="D2696" s="2" t="inlineStr">
        <is>
          <t>P0028</t>
        </is>
      </c>
      <c r="E2696" s="2" t="inlineStr">
        <is>
          <t>Trimmer</t>
        </is>
      </c>
      <c r="F2696" s="2" t="inlineStr">
        <is>
          <t>Beauty</t>
        </is>
      </c>
      <c r="G2696" s="2" t="inlineStr">
        <is>
          <t>North</t>
        </is>
      </c>
      <c r="H2696" s="2" t="inlineStr">
        <is>
          <t>Uttar Pradesh</t>
        </is>
      </c>
      <c r="I2696" s="2" t="inlineStr">
        <is>
          <t>Varanasi</t>
        </is>
      </c>
      <c r="J2696" s="2" t="inlineStr">
        <is>
          <t>Online</t>
        </is>
      </c>
      <c r="K2696" s="2" t="n">
        <v>3</v>
      </c>
      <c r="L2696" s="3" t="n">
        <v>451.17</v>
      </c>
      <c r="M2696" s="4" t="n">
        <v>0.1</v>
      </c>
      <c r="N2696" s="3" t="n">
        <v>747.99</v>
      </c>
      <c r="O2696" s="3">
        <f>K2696*L2696*(1-M2696)</f>
        <v/>
      </c>
      <c r="P2696" s="3">
        <f>O2696-N2696</f>
        <v/>
      </c>
      <c r="Q2696" s="5">
        <f>IFERROR(P2696/O2696,0)</f>
        <v/>
      </c>
      <c r="R2696" s="2">
        <f>TEXT(DATEVALUE(B2696),"mmm")</f>
        <v/>
      </c>
      <c r="S2696" s="2">
        <f>TEXT(DATEVALUE(B2696),"yyyy-mm")</f>
        <v/>
      </c>
    </row>
    <row r="2697">
      <c r="A2697" s="2" t="inlineStr">
        <is>
          <t>O001832</t>
        </is>
      </c>
      <c r="B2697" s="2" t="inlineStr">
        <is>
          <t>2025-07-13</t>
        </is>
      </c>
      <c r="C2697" s="2" t="inlineStr">
        <is>
          <t>C0385</t>
        </is>
      </c>
      <c r="D2697" s="2" t="inlineStr">
        <is>
          <t>P0022</t>
        </is>
      </c>
      <c r="E2697" s="2" t="inlineStr">
        <is>
          <t>Face Wash</t>
        </is>
      </c>
      <c r="F2697" s="2" t="inlineStr">
        <is>
          <t>Beauty</t>
        </is>
      </c>
      <c r="G2697" s="2" t="inlineStr">
        <is>
          <t>West</t>
        </is>
      </c>
      <c r="H2697" s="2" t="inlineStr">
        <is>
          <t>Gujarat</t>
        </is>
      </c>
      <c r="I2697" s="2" t="inlineStr">
        <is>
          <t>Surat</t>
        </is>
      </c>
      <c r="J2697" s="2" t="inlineStr">
        <is>
          <t>Online</t>
        </is>
      </c>
      <c r="K2697" s="2" t="n">
        <v>3</v>
      </c>
      <c r="L2697" s="3" t="n">
        <v>546.03</v>
      </c>
      <c r="M2697" s="4" t="n">
        <v>0.1</v>
      </c>
      <c r="N2697" s="3" t="n">
        <v>1019.57</v>
      </c>
      <c r="O2697" s="3">
        <f>K2697*L2697*(1-M2697)</f>
        <v/>
      </c>
      <c r="P2697" s="3">
        <f>O2697-N2697</f>
        <v/>
      </c>
      <c r="Q2697" s="5">
        <f>IFERROR(P2697/O2697,0)</f>
        <v/>
      </c>
      <c r="R2697" s="2">
        <f>TEXT(DATEVALUE(B2697),"mmm")</f>
        <v/>
      </c>
      <c r="S2697" s="2">
        <f>TEXT(DATEVALUE(B2697),"yyyy-mm")</f>
        <v/>
      </c>
    </row>
    <row r="2698">
      <c r="A2698" s="2" t="inlineStr">
        <is>
          <t>O000293</t>
        </is>
      </c>
      <c r="B2698" s="2" t="inlineStr">
        <is>
          <t>2025-07-13</t>
        </is>
      </c>
      <c r="C2698" s="2" t="inlineStr">
        <is>
          <t>C0192</t>
        </is>
      </c>
      <c r="D2698" s="2" t="inlineStr">
        <is>
          <t>P0007</t>
        </is>
      </c>
      <c r="E2698" s="2" t="inlineStr">
        <is>
          <t>Wireless Mouse</t>
        </is>
      </c>
      <c r="F2698" s="2" t="inlineStr">
        <is>
          <t>Electronics</t>
        </is>
      </c>
      <c r="G2698" s="2" t="inlineStr">
        <is>
          <t>North</t>
        </is>
      </c>
      <c r="H2698" s="2" t="inlineStr">
        <is>
          <t>Haryana</t>
        </is>
      </c>
      <c r="I2698" s="2" t="inlineStr">
        <is>
          <t>Faridabad</t>
        </is>
      </c>
      <c r="J2698" s="2" t="inlineStr">
        <is>
          <t>Online</t>
        </is>
      </c>
      <c r="K2698" s="2" t="n">
        <v>2</v>
      </c>
      <c r="L2698" s="3" t="n">
        <v>977.54</v>
      </c>
      <c r="M2698" s="4" t="n">
        <v>0.15</v>
      </c>
      <c r="N2698" s="3" t="n">
        <v>1231.23</v>
      </c>
      <c r="O2698" s="3">
        <f>K2698*L2698*(1-M2698)</f>
        <v/>
      </c>
      <c r="P2698" s="3">
        <f>O2698-N2698</f>
        <v/>
      </c>
      <c r="Q2698" s="5">
        <f>IFERROR(P2698/O2698,0)</f>
        <v/>
      </c>
      <c r="R2698" s="2">
        <f>TEXT(DATEVALUE(B2698),"mmm")</f>
        <v/>
      </c>
      <c r="S2698" s="2">
        <f>TEXT(DATEVALUE(B2698),"yyyy-mm")</f>
        <v/>
      </c>
    </row>
    <row r="2699">
      <c r="A2699" s="2" t="inlineStr">
        <is>
          <t>O004769</t>
        </is>
      </c>
      <c r="B2699" s="2" t="inlineStr">
        <is>
          <t>2025-07-14</t>
        </is>
      </c>
      <c r="C2699" s="2" t="inlineStr">
        <is>
          <t>C0179</t>
        </is>
      </c>
      <c r="D2699" s="2" t="inlineStr">
        <is>
          <t>P0006</t>
        </is>
      </c>
      <c r="E2699" s="2" t="inlineStr">
        <is>
          <t>Mechanical Keyboard</t>
        </is>
      </c>
      <c r="F2699" s="2" t="inlineStr">
        <is>
          <t>Electronics</t>
        </is>
      </c>
      <c r="G2699" s="2" t="inlineStr">
        <is>
          <t>East</t>
        </is>
      </c>
      <c r="H2699" s="2" t="inlineStr">
        <is>
          <t>Bihar</t>
        </is>
      </c>
      <c r="I2699" s="2" t="inlineStr">
        <is>
          <t>Patna</t>
        </is>
      </c>
      <c r="J2699" s="2" t="inlineStr">
        <is>
          <t>Online</t>
        </is>
      </c>
      <c r="K2699" s="2" t="n">
        <v>1</v>
      </c>
      <c r="L2699" s="3" t="n">
        <v>2723.87</v>
      </c>
      <c r="M2699" s="4" t="n">
        <v>0</v>
      </c>
      <c r="N2699" s="3" t="n">
        <v>1522.21</v>
      </c>
      <c r="O2699" s="3">
        <f>K2699*L2699*(1-M2699)</f>
        <v/>
      </c>
      <c r="P2699" s="3">
        <f>O2699-N2699</f>
        <v/>
      </c>
      <c r="Q2699" s="5">
        <f>IFERROR(P2699/O2699,0)</f>
        <v/>
      </c>
      <c r="R2699" s="2">
        <f>TEXT(DATEVALUE(B2699),"mmm")</f>
        <v/>
      </c>
      <c r="S2699" s="2">
        <f>TEXT(DATEVALUE(B2699),"yyyy-mm")</f>
        <v/>
      </c>
    </row>
    <row r="2700">
      <c r="A2700" s="2" t="inlineStr">
        <is>
          <t>O004594</t>
        </is>
      </c>
      <c r="B2700" s="2" t="inlineStr">
        <is>
          <t>2025-07-14</t>
        </is>
      </c>
      <c r="C2700" s="2" t="inlineStr">
        <is>
          <t>C0213</t>
        </is>
      </c>
      <c r="D2700" s="2" t="inlineStr">
        <is>
          <t>P0006</t>
        </is>
      </c>
      <c r="E2700" s="2" t="inlineStr">
        <is>
          <t>Mechanical Keyboard</t>
        </is>
      </c>
      <c r="F2700" s="2" t="inlineStr">
        <is>
          <t>Electronics</t>
        </is>
      </c>
      <c r="G2700" s="2" t="inlineStr">
        <is>
          <t>East</t>
        </is>
      </c>
      <c r="H2700" s="2" t="inlineStr">
        <is>
          <t>West Bengal</t>
        </is>
      </c>
      <c r="I2700" s="2" t="inlineStr">
        <is>
          <t>Durgapur</t>
        </is>
      </c>
      <c r="J2700" s="2" t="inlineStr">
        <is>
          <t>Store</t>
        </is>
      </c>
      <c r="K2700" s="2" t="n">
        <v>1</v>
      </c>
      <c r="L2700" s="3" t="n">
        <v>2815.92</v>
      </c>
      <c r="M2700" s="4" t="n">
        <v>0.1</v>
      </c>
      <c r="N2700" s="3" t="n">
        <v>1504.3</v>
      </c>
      <c r="O2700" s="3">
        <f>K2700*L2700*(1-M2700)</f>
        <v/>
      </c>
      <c r="P2700" s="3">
        <f>O2700-N2700</f>
        <v/>
      </c>
      <c r="Q2700" s="5">
        <f>IFERROR(P2700/O2700,0)</f>
        <v/>
      </c>
      <c r="R2700" s="2">
        <f>TEXT(DATEVALUE(B2700),"mmm")</f>
        <v/>
      </c>
      <c r="S2700" s="2">
        <f>TEXT(DATEVALUE(B2700),"yyyy-mm")</f>
        <v/>
      </c>
    </row>
    <row r="2701">
      <c r="A2701" s="2" t="inlineStr">
        <is>
          <t>O004097</t>
        </is>
      </c>
      <c r="B2701" s="2" t="inlineStr">
        <is>
          <t>2025-07-14</t>
        </is>
      </c>
      <c r="C2701" s="2" t="inlineStr">
        <is>
          <t>C0188</t>
        </is>
      </c>
      <c r="D2701" s="2" t="inlineStr">
        <is>
          <t>P0022</t>
        </is>
      </c>
      <c r="E2701" s="2" t="inlineStr">
        <is>
          <t>Face Wash</t>
        </is>
      </c>
      <c r="F2701" s="2" t="inlineStr">
        <is>
          <t>Beauty</t>
        </is>
      </c>
      <c r="G2701" s="2" t="inlineStr">
        <is>
          <t>North</t>
        </is>
      </c>
      <c r="H2701" s="2" t="inlineStr">
        <is>
          <t>Haryana</t>
        </is>
      </c>
      <c r="I2701" s="2" t="inlineStr">
        <is>
          <t>Gurugram</t>
        </is>
      </c>
      <c r="J2701" s="2" t="inlineStr">
        <is>
          <t>Online</t>
        </is>
      </c>
      <c r="K2701" s="2" t="n">
        <v>3</v>
      </c>
      <c r="L2701" s="3" t="n">
        <v>567.3200000000001</v>
      </c>
      <c r="M2701" s="4" t="n">
        <v>0.1</v>
      </c>
      <c r="N2701" s="3" t="n">
        <v>1055.42</v>
      </c>
      <c r="O2701" s="3">
        <f>K2701*L2701*(1-M2701)</f>
        <v/>
      </c>
      <c r="P2701" s="3">
        <f>O2701-N2701</f>
        <v/>
      </c>
      <c r="Q2701" s="5">
        <f>IFERROR(P2701/O2701,0)</f>
        <v/>
      </c>
      <c r="R2701" s="2">
        <f>TEXT(DATEVALUE(B2701),"mmm")</f>
        <v/>
      </c>
      <c r="S2701" s="2">
        <f>TEXT(DATEVALUE(B2701),"yyyy-mm")</f>
        <v/>
      </c>
    </row>
    <row r="2702">
      <c r="A2702" s="2" t="inlineStr">
        <is>
          <t>O003859</t>
        </is>
      </c>
      <c r="B2702" s="2" t="inlineStr">
        <is>
          <t>2025-07-14</t>
        </is>
      </c>
      <c r="C2702" s="2" t="inlineStr">
        <is>
          <t>C0259</t>
        </is>
      </c>
      <c r="D2702" s="2" t="inlineStr">
        <is>
          <t>P0017</t>
        </is>
      </c>
      <c r="E2702" s="2" t="inlineStr">
        <is>
          <t>Jeans</t>
        </is>
      </c>
      <c r="F2702" s="2" t="inlineStr">
        <is>
          <t>Fashion</t>
        </is>
      </c>
      <c r="G2702" s="2" t="inlineStr">
        <is>
          <t>North</t>
        </is>
      </c>
      <c r="H2702" s="2" t="inlineStr">
        <is>
          <t>Punjab</t>
        </is>
      </c>
      <c r="I2702" s="2" t="inlineStr">
        <is>
          <t>Jalandhar</t>
        </is>
      </c>
      <c r="J2702" s="2" t="inlineStr">
        <is>
          <t>Online</t>
        </is>
      </c>
      <c r="K2702" s="2" t="n">
        <v>1</v>
      </c>
      <c r="L2702" s="3" t="n">
        <v>1439.1</v>
      </c>
      <c r="M2702" s="4" t="n">
        <v>0.1</v>
      </c>
      <c r="N2702" s="3" t="n">
        <v>995.85</v>
      </c>
      <c r="O2702" s="3">
        <f>K2702*L2702*(1-M2702)</f>
        <v/>
      </c>
      <c r="P2702" s="3">
        <f>O2702-N2702</f>
        <v/>
      </c>
      <c r="Q2702" s="5">
        <f>IFERROR(P2702/O2702,0)</f>
        <v/>
      </c>
      <c r="R2702" s="2">
        <f>TEXT(DATEVALUE(B2702),"mmm")</f>
        <v/>
      </c>
      <c r="S2702" s="2">
        <f>TEXT(DATEVALUE(B2702),"yyyy-mm")</f>
        <v/>
      </c>
    </row>
    <row r="2703">
      <c r="A2703" s="2" t="inlineStr">
        <is>
          <t>O001974</t>
        </is>
      </c>
      <c r="B2703" s="2" t="inlineStr">
        <is>
          <t>2025-07-14</t>
        </is>
      </c>
      <c r="C2703" s="2" t="inlineStr">
        <is>
          <t>C0761</t>
        </is>
      </c>
      <c r="D2703" s="2" t="inlineStr">
        <is>
          <t>P0007</t>
        </is>
      </c>
      <c r="E2703" s="2" t="inlineStr">
        <is>
          <t>Wireless Mouse</t>
        </is>
      </c>
      <c r="F2703" s="2" t="inlineStr">
        <is>
          <t>Electronics</t>
        </is>
      </c>
      <c r="G2703" s="2" t="inlineStr">
        <is>
          <t>West</t>
        </is>
      </c>
      <c r="H2703" s="2" t="inlineStr">
        <is>
          <t>Gujarat</t>
        </is>
      </c>
      <c r="I2703" s="2" t="inlineStr">
        <is>
          <t>Ahmedabad</t>
        </is>
      </c>
      <c r="J2703" s="2" t="inlineStr">
        <is>
          <t>Store</t>
        </is>
      </c>
      <c r="K2703" s="2" t="n">
        <v>1</v>
      </c>
      <c r="L2703" s="3" t="n">
        <v>1024.06</v>
      </c>
      <c r="M2703" s="4" t="n">
        <v>0.2</v>
      </c>
      <c r="N2703" s="3" t="n">
        <v>630.4400000000001</v>
      </c>
      <c r="O2703" s="3">
        <f>K2703*L2703*(1-M2703)</f>
        <v/>
      </c>
      <c r="P2703" s="3">
        <f>O2703-N2703</f>
        <v/>
      </c>
      <c r="Q2703" s="5">
        <f>IFERROR(P2703/O2703,0)</f>
        <v/>
      </c>
      <c r="R2703" s="2">
        <f>TEXT(DATEVALUE(B2703),"mmm")</f>
        <v/>
      </c>
      <c r="S2703" s="2">
        <f>TEXT(DATEVALUE(B2703),"yyyy-mm")</f>
        <v/>
      </c>
    </row>
    <row r="2704">
      <c r="A2704" s="2" t="inlineStr">
        <is>
          <t>O003363</t>
        </is>
      </c>
      <c r="B2704" s="2" t="inlineStr">
        <is>
          <t>2025-07-14</t>
        </is>
      </c>
      <c r="C2704" s="2" t="inlineStr">
        <is>
          <t>C0389</t>
        </is>
      </c>
      <c r="D2704" s="2" t="inlineStr">
        <is>
          <t>P0008</t>
        </is>
      </c>
      <c r="E2704" s="2" t="inlineStr">
        <is>
          <t>Air Fryer</t>
        </is>
      </c>
      <c r="F2704" s="2" t="inlineStr">
        <is>
          <t>Home &amp; Kitchen</t>
        </is>
      </c>
      <c r="G2704" s="2" t="inlineStr">
        <is>
          <t>North</t>
        </is>
      </c>
      <c r="H2704" s="2" t="inlineStr">
        <is>
          <t>Delhi</t>
        </is>
      </c>
      <c r="I2704" s="2" t="inlineStr">
        <is>
          <t>New Delhi</t>
        </is>
      </c>
      <c r="J2704" s="2" t="inlineStr">
        <is>
          <t>Store</t>
        </is>
      </c>
      <c r="K2704" s="2" t="n">
        <v>3</v>
      </c>
      <c r="L2704" s="3" t="n">
        <v>1037.36</v>
      </c>
      <c r="M2704" s="4" t="n">
        <v>0.05</v>
      </c>
      <c r="N2704" s="3" t="n">
        <v>1994.2</v>
      </c>
      <c r="O2704" s="3">
        <f>K2704*L2704*(1-M2704)</f>
        <v/>
      </c>
      <c r="P2704" s="3">
        <f>O2704-N2704</f>
        <v/>
      </c>
      <c r="Q2704" s="5">
        <f>IFERROR(P2704/O2704,0)</f>
        <v/>
      </c>
      <c r="R2704" s="2">
        <f>TEXT(DATEVALUE(B2704),"mmm")</f>
        <v/>
      </c>
      <c r="S2704" s="2">
        <f>TEXT(DATEVALUE(B2704),"yyyy-mm")</f>
        <v/>
      </c>
    </row>
    <row r="2705">
      <c r="A2705" s="2" t="inlineStr">
        <is>
          <t>O001594</t>
        </is>
      </c>
      <c r="B2705" s="2" t="inlineStr">
        <is>
          <t>2025-07-14</t>
        </is>
      </c>
      <c r="C2705" s="2" t="inlineStr">
        <is>
          <t>C0518</t>
        </is>
      </c>
      <c r="D2705" s="2" t="inlineStr">
        <is>
          <t>P0012</t>
        </is>
      </c>
      <c r="E2705" s="2" t="inlineStr">
        <is>
          <t>Water Bottle</t>
        </is>
      </c>
      <c r="F2705" s="2" t="inlineStr">
        <is>
          <t>Home &amp; Kitchen</t>
        </is>
      </c>
      <c r="G2705" s="2" t="inlineStr">
        <is>
          <t>West</t>
        </is>
      </c>
      <c r="H2705" s="2" t="inlineStr">
        <is>
          <t>Maharashtra</t>
        </is>
      </c>
      <c r="I2705" s="2" t="inlineStr">
        <is>
          <t>Thane</t>
        </is>
      </c>
      <c r="J2705" s="2" t="inlineStr">
        <is>
          <t>Online</t>
        </is>
      </c>
      <c r="K2705" s="2" t="n">
        <v>2</v>
      </c>
      <c r="L2705" s="3" t="n">
        <v>979.7</v>
      </c>
      <c r="M2705" s="4" t="n">
        <v>0</v>
      </c>
      <c r="N2705" s="3" t="n">
        <v>1234.75</v>
      </c>
      <c r="O2705" s="3">
        <f>K2705*L2705*(1-M2705)</f>
        <v/>
      </c>
      <c r="P2705" s="3">
        <f>O2705-N2705</f>
        <v/>
      </c>
      <c r="Q2705" s="5">
        <f>IFERROR(P2705/O2705,0)</f>
        <v/>
      </c>
      <c r="R2705" s="2">
        <f>TEXT(DATEVALUE(B2705),"mmm")</f>
        <v/>
      </c>
      <c r="S2705" s="2">
        <f>TEXT(DATEVALUE(B2705),"yyyy-mm")</f>
        <v/>
      </c>
    </row>
    <row r="2706">
      <c r="A2706" s="2" t="inlineStr">
        <is>
          <t>O001295</t>
        </is>
      </c>
      <c r="B2706" s="2" t="inlineStr">
        <is>
          <t>2025-07-14</t>
        </is>
      </c>
      <c r="C2706" s="2" t="inlineStr">
        <is>
          <t>C0568</t>
        </is>
      </c>
      <c r="D2706" s="2" t="inlineStr">
        <is>
          <t>P0011</t>
        </is>
      </c>
      <c r="E2706" s="2" t="inlineStr">
        <is>
          <t>Cookware Set</t>
        </is>
      </c>
      <c r="F2706" s="2" t="inlineStr">
        <is>
          <t>Home &amp; Kitchen</t>
        </is>
      </c>
      <c r="G2706" s="2" t="inlineStr">
        <is>
          <t>East</t>
        </is>
      </c>
      <c r="H2706" s="2" t="inlineStr">
        <is>
          <t>Bihar</t>
        </is>
      </c>
      <c r="I2706" s="2" t="inlineStr">
        <is>
          <t>Gaya</t>
        </is>
      </c>
      <c r="J2706" s="2" t="inlineStr">
        <is>
          <t>Store</t>
        </is>
      </c>
      <c r="K2706" s="2" t="n">
        <v>1</v>
      </c>
      <c r="L2706" s="3" t="n">
        <v>683.77</v>
      </c>
      <c r="M2706" s="4" t="n">
        <v>0.1</v>
      </c>
      <c r="N2706" s="3" t="n">
        <v>485.88</v>
      </c>
      <c r="O2706" s="3">
        <f>K2706*L2706*(1-M2706)</f>
        <v/>
      </c>
      <c r="P2706" s="3">
        <f>O2706-N2706</f>
        <v/>
      </c>
      <c r="Q2706" s="5">
        <f>IFERROR(P2706/O2706,0)</f>
        <v/>
      </c>
      <c r="R2706" s="2">
        <f>TEXT(DATEVALUE(B2706),"mmm")</f>
        <v/>
      </c>
      <c r="S2706" s="2">
        <f>TEXT(DATEVALUE(B2706),"yyyy-mm")</f>
        <v/>
      </c>
    </row>
    <row r="2707">
      <c r="A2707" s="2" t="inlineStr">
        <is>
          <t>O000835</t>
        </is>
      </c>
      <c r="B2707" s="2" t="inlineStr">
        <is>
          <t>2025-07-14</t>
        </is>
      </c>
      <c r="C2707" s="2" t="inlineStr">
        <is>
          <t>C0394</t>
        </is>
      </c>
      <c r="D2707" s="2" t="inlineStr">
        <is>
          <t>P0006</t>
        </is>
      </c>
      <c r="E2707" s="2" t="inlineStr">
        <is>
          <t>Mechanical Keyboard</t>
        </is>
      </c>
      <c r="F2707" s="2" t="inlineStr">
        <is>
          <t>Electronics</t>
        </is>
      </c>
      <c r="G2707" s="2" t="inlineStr">
        <is>
          <t>West</t>
        </is>
      </c>
      <c r="H2707" s="2" t="inlineStr">
        <is>
          <t>Goa</t>
        </is>
      </c>
      <c r="I2707" s="2" t="inlineStr">
        <is>
          <t>Margao</t>
        </is>
      </c>
      <c r="J2707" s="2" t="inlineStr">
        <is>
          <t>Online</t>
        </is>
      </c>
      <c r="K2707" s="2" t="n">
        <v>2</v>
      </c>
      <c r="L2707" s="3" t="n">
        <v>2714.88</v>
      </c>
      <c r="M2707" s="4" t="n">
        <v>0.05</v>
      </c>
      <c r="N2707" s="3" t="n">
        <v>2937.97</v>
      </c>
      <c r="O2707" s="3">
        <f>K2707*L2707*(1-M2707)</f>
        <v/>
      </c>
      <c r="P2707" s="3">
        <f>O2707-N2707</f>
        <v/>
      </c>
      <c r="Q2707" s="5">
        <f>IFERROR(P2707/O2707,0)</f>
        <v/>
      </c>
      <c r="R2707" s="2">
        <f>TEXT(DATEVALUE(B2707),"mmm")</f>
        <v/>
      </c>
      <c r="S2707" s="2">
        <f>TEXT(DATEVALUE(B2707),"yyyy-mm")</f>
        <v/>
      </c>
    </row>
    <row r="2708">
      <c r="A2708" s="2" t="inlineStr">
        <is>
          <t>O000833</t>
        </is>
      </c>
      <c r="B2708" s="2" t="inlineStr">
        <is>
          <t>2025-07-14</t>
        </is>
      </c>
      <c r="C2708" s="2" t="inlineStr">
        <is>
          <t>C0725</t>
        </is>
      </c>
      <c r="D2708" s="2" t="inlineStr">
        <is>
          <t>P0019</t>
        </is>
      </c>
      <c r="E2708" s="2" t="inlineStr">
        <is>
          <t>Jacket</t>
        </is>
      </c>
      <c r="F2708" s="2" t="inlineStr">
        <is>
          <t>Fashion</t>
        </is>
      </c>
      <c r="G2708" s="2" t="inlineStr">
        <is>
          <t>West</t>
        </is>
      </c>
      <c r="H2708" s="2" t="inlineStr">
        <is>
          <t>Maharashtra</t>
        </is>
      </c>
      <c r="I2708" s="2" t="inlineStr">
        <is>
          <t>Mumbai</t>
        </is>
      </c>
      <c r="J2708" s="2" t="inlineStr">
        <is>
          <t>Online</t>
        </is>
      </c>
      <c r="K2708" s="2" t="n">
        <v>6</v>
      </c>
      <c r="L2708" s="3" t="n">
        <v>1043.34</v>
      </c>
      <c r="M2708" s="4" t="n">
        <v>0.1</v>
      </c>
      <c r="N2708" s="3" t="n">
        <v>4005.35</v>
      </c>
      <c r="O2708" s="3">
        <f>K2708*L2708*(1-M2708)</f>
        <v/>
      </c>
      <c r="P2708" s="3">
        <f>O2708-N2708</f>
        <v/>
      </c>
      <c r="Q2708" s="5">
        <f>IFERROR(P2708/O2708,0)</f>
        <v/>
      </c>
      <c r="R2708" s="2">
        <f>TEXT(DATEVALUE(B2708),"mmm")</f>
        <v/>
      </c>
      <c r="S2708" s="2">
        <f>TEXT(DATEVALUE(B2708),"yyyy-mm")</f>
        <v/>
      </c>
    </row>
    <row r="2709">
      <c r="A2709" s="2" t="inlineStr">
        <is>
          <t>O000304</t>
        </is>
      </c>
      <c r="B2709" s="2" t="inlineStr">
        <is>
          <t>2025-07-14</t>
        </is>
      </c>
      <c r="C2709" s="2" t="inlineStr">
        <is>
          <t>C0323</t>
        </is>
      </c>
      <c r="D2709" s="2" t="inlineStr">
        <is>
          <t>P0008</t>
        </is>
      </c>
      <c r="E2709" s="2" t="inlineStr">
        <is>
          <t>Air Fryer</t>
        </is>
      </c>
      <c r="F2709" s="2" t="inlineStr">
        <is>
          <t>Home &amp; Kitchen</t>
        </is>
      </c>
      <c r="G2709" s="2" t="inlineStr">
        <is>
          <t>South</t>
        </is>
      </c>
      <c r="H2709" s="2" t="inlineStr">
        <is>
          <t>Karnataka</t>
        </is>
      </c>
      <c r="I2709" s="2" t="inlineStr">
        <is>
          <t>Mangaluru</t>
        </is>
      </c>
      <c r="J2709" s="2" t="inlineStr">
        <is>
          <t>Store</t>
        </is>
      </c>
      <c r="K2709" s="2" t="n">
        <v>1</v>
      </c>
      <c r="L2709" s="3" t="n">
        <v>1015.22</v>
      </c>
      <c r="M2709" s="4" t="n">
        <v>0.1</v>
      </c>
      <c r="N2709" s="3" t="n">
        <v>659.98</v>
      </c>
      <c r="O2709" s="3">
        <f>K2709*L2709*(1-M2709)</f>
        <v/>
      </c>
      <c r="P2709" s="3">
        <f>O2709-N2709</f>
        <v/>
      </c>
      <c r="Q2709" s="5">
        <f>IFERROR(P2709/O2709,0)</f>
        <v/>
      </c>
      <c r="R2709" s="2">
        <f>TEXT(DATEVALUE(B2709),"mmm")</f>
        <v/>
      </c>
      <c r="S2709" s="2">
        <f>TEXT(DATEVALUE(B2709),"yyyy-mm")</f>
        <v/>
      </c>
    </row>
    <row r="2710">
      <c r="A2710" s="2" t="inlineStr">
        <is>
          <t>O001737</t>
        </is>
      </c>
      <c r="B2710" s="2" t="inlineStr">
        <is>
          <t>2025-07-14</t>
        </is>
      </c>
      <c r="C2710" s="2" t="inlineStr">
        <is>
          <t>C0776</t>
        </is>
      </c>
      <c r="D2710" s="2" t="inlineStr">
        <is>
          <t>P0009</t>
        </is>
      </c>
      <c r="E2710" s="2" t="inlineStr">
        <is>
          <t>Electric Kettle</t>
        </is>
      </c>
      <c r="F2710" s="2" t="inlineStr">
        <is>
          <t>Home &amp; Kitchen</t>
        </is>
      </c>
      <c r="G2710" s="2" t="inlineStr">
        <is>
          <t>West</t>
        </is>
      </c>
      <c r="H2710" s="2" t="inlineStr">
        <is>
          <t>Gujarat</t>
        </is>
      </c>
      <c r="I2710" s="2" t="inlineStr">
        <is>
          <t>Vadodara</t>
        </is>
      </c>
      <c r="J2710" s="2" t="inlineStr">
        <is>
          <t>Online</t>
        </is>
      </c>
      <c r="K2710" s="2" t="n">
        <v>1</v>
      </c>
      <c r="L2710" s="3" t="n">
        <v>2031.2</v>
      </c>
      <c r="M2710" s="4" t="n">
        <v>0</v>
      </c>
      <c r="N2710" s="3" t="n">
        <v>1126.37</v>
      </c>
      <c r="O2710" s="3">
        <f>K2710*L2710*(1-M2710)</f>
        <v/>
      </c>
      <c r="P2710" s="3">
        <f>O2710-N2710</f>
        <v/>
      </c>
      <c r="Q2710" s="5">
        <f>IFERROR(P2710/O2710,0)</f>
        <v/>
      </c>
      <c r="R2710" s="2">
        <f>TEXT(DATEVALUE(B2710),"mmm")</f>
        <v/>
      </c>
      <c r="S2710" s="2">
        <f>TEXT(DATEVALUE(B2710),"yyyy-mm")</f>
        <v/>
      </c>
    </row>
    <row r="2711">
      <c r="A2711" s="2" t="inlineStr">
        <is>
          <t>O002889</t>
        </is>
      </c>
      <c r="B2711" s="2" t="inlineStr">
        <is>
          <t>2025-07-15</t>
        </is>
      </c>
      <c r="C2711" s="2" t="inlineStr">
        <is>
          <t>C0639</t>
        </is>
      </c>
      <c r="D2711" s="2" t="inlineStr">
        <is>
          <t>P0004</t>
        </is>
      </c>
      <c r="E2711" s="2" t="inlineStr">
        <is>
          <t>USB-C Hub</t>
        </is>
      </c>
      <c r="F2711" s="2" t="inlineStr">
        <is>
          <t>Electronics</t>
        </is>
      </c>
      <c r="G2711" s="2" t="inlineStr">
        <is>
          <t>North</t>
        </is>
      </c>
      <c r="H2711" s="2" t="inlineStr">
        <is>
          <t>Uttar Pradesh</t>
        </is>
      </c>
      <c r="I2711" s="2" t="inlineStr">
        <is>
          <t>Lucknow</t>
        </is>
      </c>
      <c r="J2711" s="2" t="inlineStr">
        <is>
          <t>Online</t>
        </is>
      </c>
      <c r="K2711" s="2" t="n">
        <v>1</v>
      </c>
      <c r="L2711" s="3" t="n">
        <v>1288.81</v>
      </c>
      <c r="M2711" s="4" t="n">
        <v>0.05</v>
      </c>
      <c r="N2711" s="3" t="n">
        <v>912.39</v>
      </c>
      <c r="O2711" s="3">
        <f>K2711*L2711*(1-M2711)</f>
        <v/>
      </c>
      <c r="P2711" s="3">
        <f>O2711-N2711</f>
        <v/>
      </c>
      <c r="Q2711" s="5">
        <f>IFERROR(P2711/O2711,0)</f>
        <v/>
      </c>
      <c r="R2711" s="2">
        <f>TEXT(DATEVALUE(B2711),"mmm")</f>
        <v/>
      </c>
      <c r="S2711" s="2">
        <f>TEXT(DATEVALUE(B2711),"yyyy-mm")</f>
        <v/>
      </c>
    </row>
    <row r="2712">
      <c r="A2712" s="2" t="inlineStr">
        <is>
          <t>O004508</t>
        </is>
      </c>
      <c r="B2712" s="2" t="inlineStr">
        <is>
          <t>2025-07-15</t>
        </is>
      </c>
      <c r="C2712" s="2" t="inlineStr">
        <is>
          <t>C0478</t>
        </is>
      </c>
      <c r="D2712" s="2" t="inlineStr">
        <is>
          <t>P0032</t>
        </is>
      </c>
      <c r="E2712" s="2" t="inlineStr">
        <is>
          <t>Football</t>
        </is>
      </c>
      <c r="F2712" s="2" t="inlineStr">
        <is>
          <t>Sports</t>
        </is>
      </c>
      <c r="G2712" s="2" t="inlineStr">
        <is>
          <t>North</t>
        </is>
      </c>
      <c r="H2712" s="2" t="inlineStr">
        <is>
          <t>Uttar Pradesh</t>
        </is>
      </c>
      <c r="I2712" s="2" t="inlineStr">
        <is>
          <t>Kanpur</t>
        </is>
      </c>
      <c r="J2712" s="2" t="inlineStr">
        <is>
          <t>Store</t>
        </is>
      </c>
      <c r="K2712" s="2" t="n">
        <v>3</v>
      </c>
      <c r="L2712" s="3" t="n">
        <v>845.24</v>
      </c>
      <c r="M2712" s="4" t="n">
        <v>0.1</v>
      </c>
      <c r="N2712" s="3" t="n">
        <v>1593.04</v>
      </c>
      <c r="O2712" s="3">
        <f>K2712*L2712*(1-M2712)</f>
        <v/>
      </c>
      <c r="P2712" s="3">
        <f>O2712-N2712</f>
        <v/>
      </c>
      <c r="Q2712" s="5">
        <f>IFERROR(P2712/O2712,0)</f>
        <v/>
      </c>
      <c r="R2712" s="2">
        <f>TEXT(DATEVALUE(B2712),"mmm")</f>
        <v/>
      </c>
      <c r="S2712" s="2">
        <f>TEXT(DATEVALUE(B2712),"yyyy-mm")</f>
        <v/>
      </c>
    </row>
    <row r="2713">
      <c r="A2713" s="2" t="inlineStr">
        <is>
          <t>O003428</t>
        </is>
      </c>
      <c r="B2713" s="2" t="inlineStr">
        <is>
          <t>2025-07-15</t>
        </is>
      </c>
      <c r="C2713" s="2" t="inlineStr">
        <is>
          <t>C0278</t>
        </is>
      </c>
      <c r="D2713" s="2" t="inlineStr">
        <is>
          <t>P0004</t>
        </is>
      </c>
      <c r="E2713" s="2" t="inlineStr">
        <is>
          <t>USB-C Hub</t>
        </is>
      </c>
      <c r="F2713" s="2" t="inlineStr">
        <is>
          <t>Electronics</t>
        </is>
      </c>
      <c r="G2713" s="2" t="inlineStr">
        <is>
          <t>East</t>
        </is>
      </c>
      <c r="H2713" s="2" t="inlineStr">
        <is>
          <t>Odisha</t>
        </is>
      </c>
      <c r="I2713" s="2" t="inlineStr">
        <is>
          <t>Bhubaneswar</t>
        </is>
      </c>
      <c r="J2713" s="2" t="inlineStr">
        <is>
          <t>Store</t>
        </is>
      </c>
      <c r="K2713" s="2" t="n">
        <v>3</v>
      </c>
      <c r="L2713" s="3" t="n">
        <v>1240.09</v>
      </c>
      <c r="M2713" s="4" t="n">
        <v>0.05</v>
      </c>
      <c r="N2713" s="3" t="n">
        <v>2682.03</v>
      </c>
      <c r="O2713" s="3">
        <f>K2713*L2713*(1-M2713)</f>
        <v/>
      </c>
      <c r="P2713" s="3">
        <f>O2713-N2713</f>
        <v/>
      </c>
      <c r="Q2713" s="5">
        <f>IFERROR(P2713/O2713,0)</f>
        <v/>
      </c>
      <c r="R2713" s="2">
        <f>TEXT(DATEVALUE(B2713),"mmm")</f>
        <v/>
      </c>
      <c r="S2713" s="2">
        <f>TEXT(DATEVALUE(B2713),"yyyy-mm")</f>
        <v/>
      </c>
    </row>
    <row r="2714">
      <c r="A2714" s="2" t="inlineStr">
        <is>
          <t>O003381</t>
        </is>
      </c>
      <c r="B2714" s="2" t="inlineStr">
        <is>
          <t>2025-07-15</t>
        </is>
      </c>
      <c r="C2714" s="2" t="inlineStr">
        <is>
          <t>C0075</t>
        </is>
      </c>
      <c r="D2714" s="2" t="inlineStr">
        <is>
          <t>P0002</t>
        </is>
      </c>
      <c r="E2714" s="2" t="inlineStr">
        <is>
          <t>Bluetooth Speaker</t>
        </is>
      </c>
      <c r="F2714" s="2" t="inlineStr">
        <is>
          <t>Electronics</t>
        </is>
      </c>
      <c r="G2714" s="2" t="inlineStr">
        <is>
          <t>South</t>
        </is>
      </c>
      <c r="H2714" s="2" t="inlineStr">
        <is>
          <t>Kerala</t>
        </is>
      </c>
      <c r="I2714" s="2" t="inlineStr">
        <is>
          <t>Kochi</t>
        </is>
      </c>
      <c r="J2714" s="2" t="inlineStr">
        <is>
          <t>Online</t>
        </is>
      </c>
      <c r="K2714" s="2" t="n">
        <v>2</v>
      </c>
      <c r="L2714" s="3" t="n">
        <v>1360.42</v>
      </c>
      <c r="M2714" s="4" t="n">
        <v>0.05</v>
      </c>
      <c r="N2714" s="3" t="n">
        <v>1670.85</v>
      </c>
      <c r="O2714" s="3">
        <f>K2714*L2714*(1-M2714)</f>
        <v/>
      </c>
      <c r="P2714" s="3">
        <f>O2714-N2714</f>
        <v/>
      </c>
      <c r="Q2714" s="5">
        <f>IFERROR(P2714/O2714,0)</f>
        <v/>
      </c>
      <c r="R2714" s="2">
        <f>TEXT(DATEVALUE(B2714),"mmm")</f>
        <v/>
      </c>
      <c r="S2714" s="2">
        <f>TEXT(DATEVALUE(B2714),"yyyy-mm")</f>
        <v/>
      </c>
    </row>
    <row r="2715">
      <c r="A2715" s="2" t="inlineStr">
        <is>
          <t>O003150</t>
        </is>
      </c>
      <c r="B2715" s="2" t="inlineStr">
        <is>
          <t>2025-07-15</t>
        </is>
      </c>
      <c r="C2715" s="2" t="inlineStr">
        <is>
          <t>C0539</t>
        </is>
      </c>
      <c r="D2715" s="2" t="inlineStr">
        <is>
          <t>P0010</t>
        </is>
      </c>
      <c r="E2715" s="2" t="inlineStr">
        <is>
          <t>Mixer Grinder</t>
        </is>
      </c>
      <c r="F2715" s="2" t="inlineStr">
        <is>
          <t>Home &amp; Kitchen</t>
        </is>
      </c>
      <c r="G2715" s="2" t="inlineStr">
        <is>
          <t>East</t>
        </is>
      </c>
      <c r="H2715" s="2" t="inlineStr">
        <is>
          <t>Bihar</t>
        </is>
      </c>
      <c r="I2715" s="2" t="inlineStr">
        <is>
          <t>Gaya</t>
        </is>
      </c>
      <c r="J2715" s="2" t="inlineStr">
        <is>
          <t>Online</t>
        </is>
      </c>
      <c r="K2715" s="2" t="n">
        <v>3</v>
      </c>
      <c r="L2715" s="3" t="n">
        <v>1633.99</v>
      </c>
      <c r="M2715" s="4" t="n">
        <v>0</v>
      </c>
      <c r="N2715" s="3" t="n">
        <v>3199.42</v>
      </c>
      <c r="O2715" s="3">
        <f>K2715*L2715*(1-M2715)</f>
        <v/>
      </c>
      <c r="P2715" s="3">
        <f>O2715-N2715</f>
        <v/>
      </c>
      <c r="Q2715" s="5">
        <f>IFERROR(P2715/O2715,0)</f>
        <v/>
      </c>
      <c r="R2715" s="2">
        <f>TEXT(DATEVALUE(B2715),"mmm")</f>
        <v/>
      </c>
      <c r="S2715" s="2">
        <f>TEXT(DATEVALUE(B2715),"yyyy-mm")</f>
        <v/>
      </c>
    </row>
    <row r="2716">
      <c r="A2716" s="2" t="inlineStr">
        <is>
          <t>O003021</t>
        </is>
      </c>
      <c r="B2716" s="2" t="inlineStr">
        <is>
          <t>2025-07-15</t>
        </is>
      </c>
      <c r="C2716" s="2" t="inlineStr">
        <is>
          <t>C0639</t>
        </is>
      </c>
      <c r="D2716" s="2" t="inlineStr">
        <is>
          <t>P0011</t>
        </is>
      </c>
      <c r="E2716" s="2" t="inlineStr">
        <is>
          <t>Cookware Set</t>
        </is>
      </c>
      <c r="F2716" s="2" t="inlineStr">
        <is>
          <t>Home &amp; Kitchen</t>
        </is>
      </c>
      <c r="G2716" s="2" t="inlineStr">
        <is>
          <t>South</t>
        </is>
      </c>
      <c r="H2716" s="2" t="inlineStr">
        <is>
          <t>Karnataka</t>
        </is>
      </c>
      <c r="I2716" s="2" t="inlineStr">
        <is>
          <t>Mysuru</t>
        </is>
      </c>
      <c r="J2716" s="2" t="inlineStr">
        <is>
          <t>Store</t>
        </is>
      </c>
      <c r="K2716" s="2" t="n">
        <v>1</v>
      </c>
      <c r="L2716" s="3" t="n">
        <v>673.5700000000001</v>
      </c>
      <c r="M2716" s="4" t="n">
        <v>0.05</v>
      </c>
      <c r="N2716" s="3" t="n">
        <v>472.35</v>
      </c>
      <c r="O2716" s="3">
        <f>K2716*L2716*(1-M2716)</f>
        <v/>
      </c>
      <c r="P2716" s="3">
        <f>O2716-N2716</f>
        <v/>
      </c>
      <c r="Q2716" s="5">
        <f>IFERROR(P2716/O2716,0)</f>
        <v/>
      </c>
      <c r="R2716" s="2">
        <f>TEXT(DATEVALUE(B2716),"mmm")</f>
        <v/>
      </c>
      <c r="S2716" s="2">
        <f>TEXT(DATEVALUE(B2716),"yyyy-mm")</f>
        <v/>
      </c>
    </row>
    <row r="2717">
      <c r="A2717" s="2" t="inlineStr">
        <is>
          <t>O002861</t>
        </is>
      </c>
      <c r="B2717" s="2" t="inlineStr">
        <is>
          <t>2025-07-15</t>
        </is>
      </c>
      <c r="C2717" s="2" t="inlineStr">
        <is>
          <t>C0439</t>
        </is>
      </c>
      <c r="D2717" s="2" t="inlineStr">
        <is>
          <t>P0024</t>
        </is>
      </c>
      <c r="E2717" s="2" t="inlineStr">
        <is>
          <t>Hair Dryer</t>
        </is>
      </c>
      <c r="F2717" s="2" t="inlineStr">
        <is>
          <t>Beauty</t>
        </is>
      </c>
      <c r="G2717" s="2" t="inlineStr">
        <is>
          <t>East</t>
        </is>
      </c>
      <c r="H2717" s="2" t="inlineStr">
        <is>
          <t>Bihar</t>
        </is>
      </c>
      <c r="I2717" s="2" t="inlineStr">
        <is>
          <t>Patna</t>
        </is>
      </c>
      <c r="J2717" s="2" t="inlineStr">
        <is>
          <t>Store</t>
        </is>
      </c>
      <c r="K2717" s="2" t="n">
        <v>4</v>
      </c>
      <c r="L2717" s="3" t="n">
        <v>1029.85</v>
      </c>
      <c r="M2717" s="4" t="n">
        <v>0.1</v>
      </c>
      <c r="N2717" s="3" t="n">
        <v>2913.56</v>
      </c>
      <c r="O2717" s="3">
        <f>K2717*L2717*(1-M2717)</f>
        <v/>
      </c>
      <c r="P2717" s="3">
        <f>O2717-N2717</f>
        <v/>
      </c>
      <c r="Q2717" s="5">
        <f>IFERROR(P2717/O2717,0)</f>
        <v/>
      </c>
      <c r="R2717" s="2">
        <f>TEXT(DATEVALUE(B2717),"mmm")</f>
        <v/>
      </c>
      <c r="S2717" s="2">
        <f>TEXT(DATEVALUE(B2717),"yyyy-mm")</f>
        <v/>
      </c>
    </row>
    <row r="2718">
      <c r="A2718" s="2" t="inlineStr">
        <is>
          <t>O000418</t>
        </is>
      </c>
      <c r="B2718" s="2" t="inlineStr">
        <is>
          <t>2025-07-15</t>
        </is>
      </c>
      <c r="C2718" s="2" t="inlineStr">
        <is>
          <t>C0465</t>
        </is>
      </c>
      <c r="D2718" s="2" t="inlineStr">
        <is>
          <t>P0008</t>
        </is>
      </c>
      <c r="E2718" s="2" t="inlineStr">
        <is>
          <t>Air Fryer</t>
        </is>
      </c>
      <c r="F2718" s="2" t="inlineStr">
        <is>
          <t>Home &amp; Kitchen</t>
        </is>
      </c>
      <c r="G2718" s="2" t="inlineStr">
        <is>
          <t>North</t>
        </is>
      </c>
      <c r="H2718" s="2" t="inlineStr">
        <is>
          <t>Delhi</t>
        </is>
      </c>
      <c r="I2718" s="2" t="inlineStr">
        <is>
          <t>New Delhi</t>
        </is>
      </c>
      <c r="J2718" s="2" t="inlineStr">
        <is>
          <t>Online</t>
        </is>
      </c>
      <c r="K2718" s="2" t="n">
        <v>2</v>
      </c>
      <c r="L2718" s="3" t="n">
        <v>1023.08</v>
      </c>
      <c r="M2718" s="4" t="n">
        <v>0.2</v>
      </c>
      <c r="N2718" s="3" t="n">
        <v>1323.16</v>
      </c>
      <c r="O2718" s="3">
        <f>K2718*L2718*(1-M2718)</f>
        <v/>
      </c>
      <c r="P2718" s="3">
        <f>O2718-N2718</f>
        <v/>
      </c>
      <c r="Q2718" s="5">
        <f>IFERROR(P2718/O2718,0)</f>
        <v/>
      </c>
      <c r="R2718" s="2">
        <f>TEXT(DATEVALUE(B2718),"mmm")</f>
        <v/>
      </c>
      <c r="S2718" s="2">
        <f>TEXT(DATEVALUE(B2718),"yyyy-mm")</f>
        <v/>
      </c>
    </row>
    <row r="2719">
      <c r="A2719" s="2" t="inlineStr">
        <is>
          <t>O002361</t>
        </is>
      </c>
      <c r="B2719" s="2" t="inlineStr">
        <is>
          <t>2025-07-15</t>
        </is>
      </c>
      <c r="C2719" s="2" t="inlineStr">
        <is>
          <t>C0434</t>
        </is>
      </c>
      <c r="D2719" s="2" t="inlineStr">
        <is>
          <t>P0016</t>
        </is>
      </c>
      <c r="E2719" s="2" t="inlineStr">
        <is>
          <t>Casual Shirt</t>
        </is>
      </c>
      <c r="F2719" s="2" t="inlineStr">
        <is>
          <t>Fashion</t>
        </is>
      </c>
      <c r="G2719" s="2" t="inlineStr">
        <is>
          <t>South</t>
        </is>
      </c>
      <c r="H2719" s="2" t="inlineStr">
        <is>
          <t>Tamil Nadu</t>
        </is>
      </c>
      <c r="I2719" s="2" t="inlineStr">
        <is>
          <t>Coimbatore</t>
        </is>
      </c>
      <c r="J2719" s="2" t="inlineStr">
        <is>
          <t>Online</t>
        </is>
      </c>
      <c r="K2719" s="2" t="n">
        <v>3</v>
      </c>
      <c r="L2719" s="3" t="n">
        <v>1324.33</v>
      </c>
      <c r="M2719" s="4" t="n">
        <v>0.15</v>
      </c>
      <c r="N2719" s="3" t="n">
        <v>2722.66</v>
      </c>
      <c r="O2719" s="3">
        <f>K2719*L2719*(1-M2719)</f>
        <v/>
      </c>
      <c r="P2719" s="3">
        <f>O2719-N2719</f>
        <v/>
      </c>
      <c r="Q2719" s="5">
        <f>IFERROR(P2719/O2719,0)</f>
        <v/>
      </c>
      <c r="R2719" s="2">
        <f>TEXT(DATEVALUE(B2719),"mmm")</f>
        <v/>
      </c>
      <c r="S2719" s="2">
        <f>TEXT(DATEVALUE(B2719),"yyyy-mm")</f>
        <v/>
      </c>
    </row>
    <row r="2720">
      <c r="A2720" s="2" t="inlineStr">
        <is>
          <t>O002277</t>
        </is>
      </c>
      <c r="B2720" s="2" t="inlineStr">
        <is>
          <t>2025-07-15</t>
        </is>
      </c>
      <c r="C2720" s="2" t="inlineStr">
        <is>
          <t>C0152</t>
        </is>
      </c>
      <c r="D2720" s="2" t="inlineStr">
        <is>
          <t>P0007</t>
        </is>
      </c>
      <c r="E2720" s="2" t="inlineStr">
        <is>
          <t>Wireless Mouse</t>
        </is>
      </c>
      <c r="F2720" s="2" t="inlineStr">
        <is>
          <t>Electronics</t>
        </is>
      </c>
      <c r="G2720" s="2" t="inlineStr">
        <is>
          <t>West</t>
        </is>
      </c>
      <c r="H2720" s="2" t="inlineStr">
        <is>
          <t>Goa</t>
        </is>
      </c>
      <c r="I2720" s="2" t="inlineStr">
        <is>
          <t>Panaji</t>
        </is>
      </c>
      <c r="J2720" s="2" t="inlineStr">
        <is>
          <t>Online</t>
        </is>
      </c>
      <c r="K2720" s="2" t="n">
        <v>4</v>
      </c>
      <c r="L2720" s="3" t="n">
        <v>998.16</v>
      </c>
      <c r="M2720" s="4" t="n">
        <v>0.1</v>
      </c>
      <c r="N2720" s="3" t="n">
        <v>2535.94</v>
      </c>
      <c r="O2720" s="3">
        <f>K2720*L2720*(1-M2720)</f>
        <v/>
      </c>
      <c r="P2720" s="3">
        <f>O2720-N2720</f>
        <v/>
      </c>
      <c r="Q2720" s="5">
        <f>IFERROR(P2720/O2720,0)</f>
        <v/>
      </c>
      <c r="R2720" s="2">
        <f>TEXT(DATEVALUE(B2720),"mmm")</f>
        <v/>
      </c>
      <c r="S2720" s="2">
        <f>TEXT(DATEVALUE(B2720),"yyyy-mm")</f>
        <v/>
      </c>
    </row>
    <row r="2721">
      <c r="A2721" s="2" t="inlineStr">
        <is>
          <t>O001694</t>
        </is>
      </c>
      <c r="B2721" s="2" t="inlineStr">
        <is>
          <t>2025-07-15</t>
        </is>
      </c>
      <c r="C2721" s="2" t="inlineStr">
        <is>
          <t>C0367</t>
        </is>
      </c>
      <c r="D2721" s="2" t="inlineStr">
        <is>
          <t>P0001</t>
        </is>
      </c>
      <c r="E2721" s="2" t="inlineStr">
        <is>
          <t>Wireless Headphones</t>
        </is>
      </c>
      <c r="F2721" s="2" t="inlineStr">
        <is>
          <t>Electronics</t>
        </is>
      </c>
      <c r="G2721" s="2" t="inlineStr">
        <is>
          <t>East</t>
        </is>
      </c>
      <c r="H2721" s="2" t="inlineStr">
        <is>
          <t>Odisha</t>
        </is>
      </c>
      <c r="I2721" s="2" t="inlineStr">
        <is>
          <t>Bhubaneswar</t>
        </is>
      </c>
      <c r="J2721" s="2" t="inlineStr">
        <is>
          <t>Online</t>
        </is>
      </c>
      <c r="K2721" s="2" t="n">
        <v>1</v>
      </c>
      <c r="L2721" s="3" t="n">
        <v>1360.63</v>
      </c>
      <c r="M2721" s="4" t="n">
        <v>0</v>
      </c>
      <c r="N2721" s="3" t="n">
        <v>693.25</v>
      </c>
      <c r="O2721" s="3">
        <f>K2721*L2721*(1-M2721)</f>
        <v/>
      </c>
      <c r="P2721" s="3">
        <f>O2721-N2721</f>
        <v/>
      </c>
      <c r="Q2721" s="5">
        <f>IFERROR(P2721/O2721,0)</f>
        <v/>
      </c>
      <c r="R2721" s="2">
        <f>TEXT(DATEVALUE(B2721),"mmm")</f>
        <v/>
      </c>
      <c r="S2721" s="2">
        <f>TEXT(DATEVALUE(B2721),"yyyy-mm")</f>
        <v/>
      </c>
    </row>
    <row r="2722">
      <c r="A2722" s="2" t="inlineStr">
        <is>
          <t>O001088</t>
        </is>
      </c>
      <c r="B2722" s="2" t="inlineStr">
        <is>
          <t>2025-07-15</t>
        </is>
      </c>
      <c r="C2722" s="2" t="inlineStr">
        <is>
          <t>C0506</t>
        </is>
      </c>
      <c r="D2722" s="2" t="inlineStr">
        <is>
          <t>P0031</t>
        </is>
      </c>
      <c r="E2722" s="2" t="inlineStr">
        <is>
          <t>Cricket Bat</t>
        </is>
      </c>
      <c r="F2722" s="2" t="inlineStr">
        <is>
          <t>Sports</t>
        </is>
      </c>
      <c r="G2722" s="2" t="inlineStr">
        <is>
          <t>South</t>
        </is>
      </c>
      <c r="H2722" s="2" t="inlineStr">
        <is>
          <t>Telangana</t>
        </is>
      </c>
      <c r="I2722" s="2" t="inlineStr">
        <is>
          <t>Hyderabad</t>
        </is>
      </c>
      <c r="J2722" s="2" t="inlineStr">
        <is>
          <t>Online</t>
        </is>
      </c>
      <c r="K2722" s="2" t="n">
        <v>3</v>
      </c>
      <c r="L2722" s="3" t="n">
        <v>1361.83</v>
      </c>
      <c r="M2722" s="4" t="n">
        <v>0.2</v>
      </c>
      <c r="N2722" s="3" t="n">
        <v>2898.97</v>
      </c>
      <c r="O2722" s="3">
        <f>K2722*L2722*(1-M2722)</f>
        <v/>
      </c>
      <c r="P2722" s="3">
        <f>O2722-N2722</f>
        <v/>
      </c>
      <c r="Q2722" s="5">
        <f>IFERROR(P2722/O2722,0)</f>
        <v/>
      </c>
      <c r="R2722" s="2">
        <f>TEXT(DATEVALUE(B2722),"mmm")</f>
        <v/>
      </c>
      <c r="S2722" s="2">
        <f>TEXT(DATEVALUE(B2722),"yyyy-mm")</f>
        <v/>
      </c>
    </row>
    <row r="2723">
      <c r="A2723" s="2" t="inlineStr">
        <is>
          <t>O000533</t>
        </is>
      </c>
      <c r="B2723" s="2" t="inlineStr">
        <is>
          <t>2025-07-15</t>
        </is>
      </c>
      <c r="C2723" s="2" t="inlineStr">
        <is>
          <t>C0694</t>
        </is>
      </c>
      <c r="D2723" s="2" t="inlineStr">
        <is>
          <t>P0011</t>
        </is>
      </c>
      <c r="E2723" s="2" t="inlineStr">
        <is>
          <t>Cookware Set</t>
        </is>
      </c>
      <c r="F2723" s="2" t="inlineStr">
        <is>
          <t>Home &amp; Kitchen</t>
        </is>
      </c>
      <c r="G2723" s="2" t="inlineStr">
        <is>
          <t>North</t>
        </is>
      </c>
      <c r="H2723" s="2" t="inlineStr">
        <is>
          <t>Punjab</t>
        </is>
      </c>
      <c r="I2723" s="2" t="inlineStr">
        <is>
          <t>Jalandhar</t>
        </is>
      </c>
      <c r="J2723" s="2" t="inlineStr">
        <is>
          <t>Online</t>
        </is>
      </c>
      <c r="K2723" s="2" t="n">
        <v>1</v>
      </c>
      <c r="L2723" s="3" t="n">
        <v>677.22</v>
      </c>
      <c r="M2723" s="4" t="n">
        <v>0.05</v>
      </c>
      <c r="N2723" s="3" t="n">
        <v>487.45</v>
      </c>
      <c r="O2723" s="3">
        <f>K2723*L2723*(1-M2723)</f>
        <v/>
      </c>
      <c r="P2723" s="3">
        <f>O2723-N2723</f>
        <v/>
      </c>
      <c r="Q2723" s="5">
        <f>IFERROR(P2723/O2723,0)</f>
        <v/>
      </c>
      <c r="R2723" s="2">
        <f>TEXT(DATEVALUE(B2723),"mmm")</f>
        <v/>
      </c>
      <c r="S2723" s="2">
        <f>TEXT(DATEVALUE(B2723),"yyyy-mm")</f>
        <v/>
      </c>
    </row>
    <row r="2724">
      <c r="A2724" s="2" t="inlineStr">
        <is>
          <t>O002501</t>
        </is>
      </c>
      <c r="B2724" s="2" t="inlineStr">
        <is>
          <t>2025-07-15</t>
        </is>
      </c>
      <c r="C2724" s="2" t="inlineStr">
        <is>
          <t>C0782</t>
        </is>
      </c>
      <c r="D2724" s="2" t="inlineStr">
        <is>
          <t>P0016</t>
        </is>
      </c>
      <c r="E2724" s="2" t="inlineStr">
        <is>
          <t>Casual Shirt</t>
        </is>
      </c>
      <c r="F2724" s="2" t="inlineStr">
        <is>
          <t>Fashion</t>
        </is>
      </c>
      <c r="G2724" s="2" t="inlineStr">
        <is>
          <t>North</t>
        </is>
      </c>
      <c r="H2724" s="2" t="inlineStr">
        <is>
          <t>Delhi</t>
        </is>
      </c>
      <c r="I2724" s="2" t="inlineStr">
        <is>
          <t>New Delhi</t>
        </is>
      </c>
      <c r="J2724" s="2" t="inlineStr">
        <is>
          <t>Store</t>
        </is>
      </c>
      <c r="K2724" s="2" t="n">
        <v>5</v>
      </c>
      <c r="L2724" s="3" t="n">
        <v>1234.78</v>
      </c>
      <c r="M2724" s="4" t="n">
        <v>0.25</v>
      </c>
      <c r="N2724" s="3" t="n">
        <v>4581.41</v>
      </c>
      <c r="O2724" s="3">
        <f>K2724*L2724*(1-M2724)</f>
        <v/>
      </c>
      <c r="P2724" s="3">
        <f>O2724-N2724</f>
        <v/>
      </c>
      <c r="Q2724" s="5">
        <f>IFERROR(P2724/O2724,0)</f>
        <v/>
      </c>
      <c r="R2724" s="2">
        <f>TEXT(DATEVALUE(B2724),"mmm")</f>
        <v/>
      </c>
      <c r="S2724" s="2">
        <f>TEXT(DATEVALUE(B2724),"yyyy-mm")</f>
        <v/>
      </c>
    </row>
    <row r="2725">
      <c r="A2725" s="2" t="inlineStr">
        <is>
          <t>O004282</t>
        </is>
      </c>
      <c r="B2725" s="2" t="inlineStr">
        <is>
          <t>2025-07-16</t>
        </is>
      </c>
      <c r="C2725" s="2" t="inlineStr">
        <is>
          <t>C0125</t>
        </is>
      </c>
      <c r="D2725" s="2" t="inlineStr">
        <is>
          <t>P0028</t>
        </is>
      </c>
      <c r="E2725" s="2" t="inlineStr">
        <is>
          <t>Trimmer</t>
        </is>
      </c>
      <c r="F2725" s="2" t="inlineStr">
        <is>
          <t>Beauty</t>
        </is>
      </c>
      <c r="G2725" s="2" t="inlineStr">
        <is>
          <t>North</t>
        </is>
      </c>
      <c r="H2725" s="2" t="inlineStr">
        <is>
          <t>Punjab</t>
        </is>
      </c>
      <c r="I2725" s="2" t="inlineStr">
        <is>
          <t>Jalandhar</t>
        </is>
      </c>
      <c r="J2725" s="2" t="inlineStr">
        <is>
          <t>Online</t>
        </is>
      </c>
      <c r="K2725" s="2" t="n">
        <v>1</v>
      </c>
      <c r="L2725" s="3" t="n">
        <v>452.28</v>
      </c>
      <c r="M2725" s="4" t="n">
        <v>0.1</v>
      </c>
      <c r="N2725" s="3" t="n">
        <v>255.61</v>
      </c>
      <c r="O2725" s="3">
        <f>K2725*L2725*(1-M2725)</f>
        <v/>
      </c>
      <c r="P2725" s="3">
        <f>O2725-N2725</f>
        <v/>
      </c>
      <c r="Q2725" s="5">
        <f>IFERROR(P2725/O2725,0)</f>
        <v/>
      </c>
      <c r="R2725" s="2">
        <f>TEXT(DATEVALUE(B2725),"mmm")</f>
        <v/>
      </c>
      <c r="S2725" s="2">
        <f>TEXT(DATEVALUE(B2725),"yyyy-mm")</f>
        <v/>
      </c>
    </row>
    <row r="2726">
      <c r="A2726" s="2" t="inlineStr">
        <is>
          <t>O004848</t>
        </is>
      </c>
      <c r="B2726" s="2" t="inlineStr">
        <is>
          <t>2025-07-16</t>
        </is>
      </c>
      <c r="C2726" s="2" t="inlineStr">
        <is>
          <t>C0258</t>
        </is>
      </c>
      <c r="D2726" s="2" t="inlineStr">
        <is>
          <t>P0031</t>
        </is>
      </c>
      <c r="E2726" s="2" t="inlineStr">
        <is>
          <t>Cricket Bat</t>
        </is>
      </c>
      <c r="F2726" s="2" t="inlineStr">
        <is>
          <t>Sports</t>
        </is>
      </c>
      <c r="G2726" s="2" t="inlineStr">
        <is>
          <t>North</t>
        </is>
      </c>
      <c r="H2726" s="2" t="inlineStr">
        <is>
          <t>Delhi</t>
        </is>
      </c>
      <c r="I2726" s="2" t="inlineStr">
        <is>
          <t>New Delhi</t>
        </is>
      </c>
      <c r="J2726" s="2" t="inlineStr">
        <is>
          <t>Store</t>
        </is>
      </c>
      <c r="K2726" s="2" t="n">
        <v>1</v>
      </c>
      <c r="L2726" s="3" t="n">
        <v>1393.82</v>
      </c>
      <c r="M2726" s="4" t="n">
        <v>0.1</v>
      </c>
      <c r="N2726" s="3" t="n">
        <v>937.22</v>
      </c>
      <c r="O2726" s="3">
        <f>K2726*L2726*(1-M2726)</f>
        <v/>
      </c>
      <c r="P2726" s="3">
        <f>O2726-N2726</f>
        <v/>
      </c>
      <c r="Q2726" s="5">
        <f>IFERROR(P2726/O2726,0)</f>
        <v/>
      </c>
      <c r="R2726" s="2">
        <f>TEXT(DATEVALUE(B2726),"mmm")</f>
        <v/>
      </c>
      <c r="S2726" s="2">
        <f>TEXT(DATEVALUE(B2726),"yyyy-mm")</f>
        <v/>
      </c>
    </row>
    <row r="2727">
      <c r="A2727" s="2" t="inlineStr">
        <is>
          <t>O004066</t>
        </is>
      </c>
      <c r="B2727" s="2" t="inlineStr">
        <is>
          <t>2025-07-16</t>
        </is>
      </c>
      <c r="C2727" s="2" t="inlineStr">
        <is>
          <t>C0732</t>
        </is>
      </c>
      <c r="D2727" s="2" t="inlineStr">
        <is>
          <t>P0012</t>
        </is>
      </c>
      <c r="E2727" s="2" t="inlineStr">
        <is>
          <t>Water Bottle</t>
        </is>
      </c>
      <c r="F2727" s="2" t="inlineStr">
        <is>
          <t>Home &amp; Kitchen</t>
        </is>
      </c>
      <c r="G2727" s="2" t="inlineStr">
        <is>
          <t>West</t>
        </is>
      </c>
      <c r="H2727" s="2" t="inlineStr">
        <is>
          <t>Maharashtra</t>
        </is>
      </c>
      <c r="I2727" s="2" t="inlineStr">
        <is>
          <t>Mumbai</t>
        </is>
      </c>
      <c r="J2727" s="2" t="inlineStr">
        <is>
          <t>Online</t>
        </is>
      </c>
      <c r="K2727" s="2" t="n">
        <v>1</v>
      </c>
      <c r="L2727" s="3" t="n">
        <v>964.29</v>
      </c>
      <c r="M2727" s="4" t="n">
        <v>0</v>
      </c>
      <c r="N2727" s="3" t="n">
        <v>640.5</v>
      </c>
      <c r="O2727" s="3">
        <f>K2727*L2727*(1-M2727)</f>
        <v/>
      </c>
      <c r="P2727" s="3">
        <f>O2727-N2727</f>
        <v/>
      </c>
      <c r="Q2727" s="5">
        <f>IFERROR(P2727/O2727,0)</f>
        <v/>
      </c>
      <c r="R2727" s="2">
        <f>TEXT(DATEVALUE(B2727),"mmm")</f>
        <v/>
      </c>
      <c r="S2727" s="2">
        <f>TEXT(DATEVALUE(B2727),"yyyy-mm")</f>
        <v/>
      </c>
    </row>
    <row r="2728">
      <c r="A2728" s="2" t="inlineStr">
        <is>
          <t>O004870</t>
        </is>
      </c>
      <c r="B2728" s="2" t="inlineStr">
        <is>
          <t>2025-07-16</t>
        </is>
      </c>
      <c r="C2728" s="2" t="inlineStr">
        <is>
          <t>C0608</t>
        </is>
      </c>
      <c r="D2728" s="2" t="inlineStr">
        <is>
          <t>P0008</t>
        </is>
      </c>
      <c r="E2728" s="2" t="inlineStr">
        <is>
          <t>Air Fryer</t>
        </is>
      </c>
      <c r="F2728" s="2" t="inlineStr">
        <is>
          <t>Home &amp; Kitchen</t>
        </is>
      </c>
      <c r="G2728" s="2" t="inlineStr">
        <is>
          <t>North</t>
        </is>
      </c>
      <c r="H2728" s="2" t="inlineStr">
        <is>
          <t>Delhi</t>
        </is>
      </c>
      <c r="I2728" s="2" t="inlineStr">
        <is>
          <t>New Delhi</t>
        </is>
      </c>
      <c r="J2728" s="2" t="inlineStr">
        <is>
          <t>Online</t>
        </is>
      </c>
      <c r="K2728" s="2" t="n">
        <v>1</v>
      </c>
      <c r="L2728" s="3" t="n">
        <v>1062.53</v>
      </c>
      <c r="M2728" s="4" t="n">
        <v>0.15</v>
      </c>
      <c r="N2728" s="3" t="n">
        <v>685.3</v>
      </c>
      <c r="O2728" s="3">
        <f>K2728*L2728*(1-M2728)</f>
        <v/>
      </c>
      <c r="P2728" s="3">
        <f>O2728-N2728</f>
        <v/>
      </c>
      <c r="Q2728" s="5">
        <f>IFERROR(P2728/O2728,0)</f>
        <v/>
      </c>
      <c r="R2728" s="2">
        <f>TEXT(DATEVALUE(B2728),"mmm")</f>
        <v/>
      </c>
      <c r="S2728" s="2">
        <f>TEXT(DATEVALUE(B2728),"yyyy-mm")</f>
        <v/>
      </c>
    </row>
    <row r="2729">
      <c r="A2729" s="2" t="inlineStr">
        <is>
          <t>O001292</t>
        </is>
      </c>
      <c r="B2729" s="2" t="inlineStr">
        <is>
          <t>2025-07-16</t>
        </is>
      </c>
      <c r="C2729" s="2" t="inlineStr">
        <is>
          <t>C0003</t>
        </is>
      </c>
      <c r="D2729" s="2" t="inlineStr">
        <is>
          <t>P0018</t>
        </is>
      </c>
      <c r="E2729" s="2" t="inlineStr">
        <is>
          <t>Backpack</t>
        </is>
      </c>
      <c r="F2729" s="2" t="inlineStr">
        <is>
          <t>Fashion</t>
        </is>
      </c>
      <c r="G2729" s="2" t="inlineStr">
        <is>
          <t>South</t>
        </is>
      </c>
      <c r="H2729" s="2" t="inlineStr">
        <is>
          <t>Telangana</t>
        </is>
      </c>
      <c r="I2729" s="2" t="inlineStr">
        <is>
          <t>Warangal</t>
        </is>
      </c>
      <c r="J2729" s="2" t="inlineStr">
        <is>
          <t>Online</t>
        </is>
      </c>
      <c r="K2729" s="2" t="n">
        <v>3</v>
      </c>
      <c r="L2729" s="3" t="n">
        <v>1907.36</v>
      </c>
      <c r="M2729" s="4" t="n">
        <v>0.15</v>
      </c>
      <c r="N2729" s="3" t="n">
        <v>3983.15</v>
      </c>
      <c r="O2729" s="3">
        <f>K2729*L2729*(1-M2729)</f>
        <v/>
      </c>
      <c r="P2729" s="3">
        <f>O2729-N2729</f>
        <v/>
      </c>
      <c r="Q2729" s="5">
        <f>IFERROR(P2729/O2729,0)</f>
        <v/>
      </c>
      <c r="R2729" s="2">
        <f>TEXT(DATEVALUE(B2729),"mmm")</f>
        <v/>
      </c>
      <c r="S2729" s="2">
        <f>TEXT(DATEVALUE(B2729),"yyyy-mm")</f>
        <v/>
      </c>
    </row>
    <row r="2730">
      <c r="A2730" s="2" t="inlineStr">
        <is>
          <t>O000713</t>
        </is>
      </c>
      <c r="B2730" s="2" t="inlineStr">
        <is>
          <t>2025-07-16</t>
        </is>
      </c>
      <c r="C2730" s="2" t="inlineStr">
        <is>
          <t>C0258</t>
        </is>
      </c>
      <c r="D2730" s="2" t="inlineStr">
        <is>
          <t>P0018</t>
        </is>
      </c>
      <c r="E2730" s="2" t="inlineStr">
        <is>
          <t>Backpack</t>
        </is>
      </c>
      <c r="F2730" s="2" t="inlineStr">
        <is>
          <t>Fashion</t>
        </is>
      </c>
      <c r="G2730" s="2" t="inlineStr">
        <is>
          <t>East</t>
        </is>
      </c>
      <c r="H2730" s="2" t="inlineStr">
        <is>
          <t>Bihar</t>
        </is>
      </c>
      <c r="I2730" s="2" t="inlineStr">
        <is>
          <t>Patna</t>
        </is>
      </c>
      <c r="J2730" s="2" t="inlineStr">
        <is>
          <t>Online</t>
        </is>
      </c>
      <c r="K2730" s="2" t="n">
        <v>1</v>
      </c>
      <c r="L2730" s="3" t="n">
        <v>1901.19</v>
      </c>
      <c r="M2730" s="4" t="n">
        <v>0.05</v>
      </c>
      <c r="N2730" s="3" t="n">
        <v>1332.34</v>
      </c>
      <c r="O2730" s="3">
        <f>K2730*L2730*(1-M2730)</f>
        <v/>
      </c>
      <c r="P2730" s="3">
        <f>O2730-N2730</f>
        <v/>
      </c>
      <c r="Q2730" s="5">
        <f>IFERROR(P2730/O2730,0)</f>
        <v/>
      </c>
      <c r="R2730" s="2">
        <f>TEXT(DATEVALUE(B2730),"mmm")</f>
        <v/>
      </c>
      <c r="S2730" s="2">
        <f>TEXT(DATEVALUE(B2730),"yyyy-mm")</f>
        <v/>
      </c>
    </row>
    <row r="2731">
      <c r="A2731" s="2" t="inlineStr">
        <is>
          <t>O002962</t>
        </is>
      </c>
      <c r="B2731" s="2" t="inlineStr">
        <is>
          <t>2025-07-16</t>
        </is>
      </c>
      <c r="C2731" s="2" t="inlineStr">
        <is>
          <t>C0441</t>
        </is>
      </c>
      <c r="D2731" s="2" t="inlineStr">
        <is>
          <t>P0017</t>
        </is>
      </c>
      <c r="E2731" s="2" t="inlineStr">
        <is>
          <t>Jeans</t>
        </is>
      </c>
      <c r="F2731" s="2" t="inlineStr">
        <is>
          <t>Fashion</t>
        </is>
      </c>
      <c r="G2731" s="2" t="inlineStr">
        <is>
          <t>West</t>
        </is>
      </c>
      <c r="H2731" s="2" t="inlineStr">
        <is>
          <t>Maharashtra</t>
        </is>
      </c>
      <c r="I2731" s="2" t="inlineStr">
        <is>
          <t>Nashik</t>
        </is>
      </c>
      <c r="J2731" s="2" t="inlineStr">
        <is>
          <t>Online</t>
        </is>
      </c>
      <c r="K2731" s="2" t="n">
        <v>2</v>
      </c>
      <c r="L2731" s="3" t="n">
        <v>1509.5</v>
      </c>
      <c r="M2731" s="4" t="n">
        <v>0.05</v>
      </c>
      <c r="N2731" s="3" t="n">
        <v>2045.92</v>
      </c>
      <c r="O2731" s="3">
        <f>K2731*L2731*(1-M2731)</f>
        <v/>
      </c>
      <c r="P2731" s="3">
        <f>O2731-N2731</f>
        <v/>
      </c>
      <c r="Q2731" s="5">
        <f>IFERROR(P2731/O2731,0)</f>
        <v/>
      </c>
      <c r="R2731" s="2">
        <f>TEXT(DATEVALUE(B2731),"mmm")</f>
        <v/>
      </c>
      <c r="S2731" s="2">
        <f>TEXT(DATEVALUE(B2731),"yyyy-mm")</f>
        <v/>
      </c>
    </row>
    <row r="2732">
      <c r="A2732" s="2" t="inlineStr">
        <is>
          <t>O000743</t>
        </is>
      </c>
      <c r="B2732" s="2" t="inlineStr">
        <is>
          <t>2025-07-16</t>
        </is>
      </c>
      <c r="C2732" s="2" t="inlineStr">
        <is>
          <t>C0199</t>
        </is>
      </c>
      <c r="D2732" s="2" t="inlineStr">
        <is>
          <t>P0004</t>
        </is>
      </c>
      <c r="E2732" s="2" t="inlineStr">
        <is>
          <t>USB-C Hub</t>
        </is>
      </c>
      <c r="F2732" s="2" t="inlineStr">
        <is>
          <t>Electronics</t>
        </is>
      </c>
      <c r="G2732" s="2" t="inlineStr">
        <is>
          <t>North</t>
        </is>
      </c>
      <c r="H2732" s="2" t="inlineStr">
        <is>
          <t>Haryana</t>
        </is>
      </c>
      <c r="I2732" s="2" t="inlineStr">
        <is>
          <t>Faridabad</t>
        </is>
      </c>
      <c r="J2732" s="2" t="inlineStr">
        <is>
          <t>Online</t>
        </is>
      </c>
      <c r="K2732" s="2" t="n">
        <v>2</v>
      </c>
      <c r="L2732" s="3" t="n">
        <v>1282.82</v>
      </c>
      <c r="M2732" s="4" t="n">
        <v>0.2</v>
      </c>
      <c r="N2732" s="3" t="n">
        <v>1876.12</v>
      </c>
      <c r="O2732" s="3">
        <f>K2732*L2732*(1-M2732)</f>
        <v/>
      </c>
      <c r="P2732" s="3">
        <f>O2732-N2732</f>
        <v/>
      </c>
      <c r="Q2732" s="5">
        <f>IFERROR(P2732/O2732,0)</f>
        <v/>
      </c>
      <c r="R2732" s="2">
        <f>TEXT(DATEVALUE(B2732),"mmm")</f>
        <v/>
      </c>
      <c r="S2732" s="2">
        <f>TEXT(DATEVALUE(B2732),"yyyy-mm")</f>
        <v/>
      </c>
    </row>
    <row r="2733">
      <c r="A2733" s="2" t="inlineStr">
        <is>
          <t>O002775</t>
        </is>
      </c>
      <c r="B2733" s="2" t="inlineStr">
        <is>
          <t>2025-07-17</t>
        </is>
      </c>
      <c r="C2733" s="2" t="inlineStr">
        <is>
          <t>C0279</t>
        </is>
      </c>
      <c r="D2733" s="2" t="inlineStr">
        <is>
          <t>P0035</t>
        </is>
      </c>
      <c r="E2733" s="2" t="inlineStr">
        <is>
          <t>Skipping Rope</t>
        </is>
      </c>
      <c r="F2733" s="2" t="inlineStr">
        <is>
          <t>Sports</t>
        </is>
      </c>
      <c r="G2733" s="2" t="inlineStr">
        <is>
          <t>South</t>
        </is>
      </c>
      <c r="H2733" s="2" t="inlineStr">
        <is>
          <t>Kerala</t>
        </is>
      </c>
      <c r="I2733" s="2" t="inlineStr">
        <is>
          <t>Kochi</t>
        </is>
      </c>
      <c r="J2733" s="2" t="inlineStr">
        <is>
          <t>Online</t>
        </is>
      </c>
      <c r="K2733" s="2" t="n">
        <v>3</v>
      </c>
      <c r="L2733" s="3" t="n">
        <v>730.04</v>
      </c>
      <c r="M2733" s="4" t="n">
        <v>0</v>
      </c>
      <c r="N2733" s="3" t="n">
        <v>1233.07</v>
      </c>
      <c r="O2733" s="3">
        <f>K2733*L2733*(1-M2733)</f>
        <v/>
      </c>
      <c r="P2733" s="3">
        <f>O2733-N2733</f>
        <v/>
      </c>
      <c r="Q2733" s="5">
        <f>IFERROR(P2733/O2733,0)</f>
        <v/>
      </c>
      <c r="R2733" s="2">
        <f>TEXT(DATEVALUE(B2733),"mmm")</f>
        <v/>
      </c>
      <c r="S2733" s="2">
        <f>TEXT(DATEVALUE(B2733),"yyyy-mm")</f>
        <v/>
      </c>
    </row>
    <row r="2734">
      <c r="A2734" s="2" t="inlineStr">
        <is>
          <t>O003709</t>
        </is>
      </c>
      <c r="B2734" s="2" t="inlineStr">
        <is>
          <t>2025-07-17</t>
        </is>
      </c>
      <c r="C2734" s="2" t="inlineStr">
        <is>
          <t>C0591</t>
        </is>
      </c>
      <c r="D2734" s="2" t="inlineStr">
        <is>
          <t>P0007</t>
        </is>
      </c>
      <c r="E2734" s="2" t="inlineStr">
        <is>
          <t>Wireless Mouse</t>
        </is>
      </c>
      <c r="F2734" s="2" t="inlineStr">
        <is>
          <t>Electronics</t>
        </is>
      </c>
      <c r="G2734" s="2" t="inlineStr">
        <is>
          <t>North</t>
        </is>
      </c>
      <c r="H2734" s="2" t="inlineStr">
        <is>
          <t>Delhi</t>
        </is>
      </c>
      <c r="I2734" s="2" t="inlineStr">
        <is>
          <t>New Delhi</t>
        </is>
      </c>
      <c r="J2734" s="2" t="inlineStr">
        <is>
          <t>Online</t>
        </is>
      </c>
      <c r="K2734" s="2" t="n">
        <v>2</v>
      </c>
      <c r="L2734" s="3" t="n">
        <v>979.6900000000001</v>
      </c>
      <c r="M2734" s="4" t="n">
        <v>0.05</v>
      </c>
      <c r="N2734" s="3" t="n">
        <v>1245.76</v>
      </c>
      <c r="O2734" s="3">
        <f>K2734*L2734*(1-M2734)</f>
        <v/>
      </c>
      <c r="P2734" s="3">
        <f>O2734-N2734</f>
        <v/>
      </c>
      <c r="Q2734" s="5">
        <f>IFERROR(P2734/O2734,0)</f>
        <v/>
      </c>
      <c r="R2734" s="2">
        <f>TEXT(DATEVALUE(B2734),"mmm")</f>
        <v/>
      </c>
      <c r="S2734" s="2">
        <f>TEXT(DATEVALUE(B2734),"yyyy-mm")</f>
        <v/>
      </c>
    </row>
    <row r="2735">
      <c r="A2735" s="2" t="inlineStr">
        <is>
          <t>O002905</t>
        </is>
      </c>
      <c r="B2735" s="2" t="inlineStr">
        <is>
          <t>2025-07-17</t>
        </is>
      </c>
      <c r="C2735" s="2" t="inlineStr">
        <is>
          <t>C0280</t>
        </is>
      </c>
      <c r="D2735" s="2" t="inlineStr">
        <is>
          <t>P0011</t>
        </is>
      </c>
      <c r="E2735" s="2" t="inlineStr">
        <is>
          <t>Cookware Set</t>
        </is>
      </c>
      <c r="F2735" s="2" t="inlineStr">
        <is>
          <t>Home &amp; Kitchen</t>
        </is>
      </c>
      <c r="G2735" s="2" t="inlineStr">
        <is>
          <t>West</t>
        </is>
      </c>
      <c r="H2735" s="2" t="inlineStr">
        <is>
          <t>Gujarat</t>
        </is>
      </c>
      <c r="I2735" s="2" t="inlineStr">
        <is>
          <t>Vadodara</t>
        </is>
      </c>
      <c r="J2735" s="2" t="inlineStr">
        <is>
          <t>Online</t>
        </is>
      </c>
      <c r="K2735" s="2" t="n">
        <v>2</v>
      </c>
      <c r="L2735" s="3" t="n">
        <v>676.9</v>
      </c>
      <c r="M2735" s="4" t="n">
        <v>0.05</v>
      </c>
      <c r="N2735" s="3" t="n">
        <v>962.29</v>
      </c>
      <c r="O2735" s="3">
        <f>K2735*L2735*(1-M2735)</f>
        <v/>
      </c>
      <c r="P2735" s="3">
        <f>O2735-N2735</f>
        <v/>
      </c>
      <c r="Q2735" s="5">
        <f>IFERROR(P2735/O2735,0)</f>
        <v/>
      </c>
      <c r="R2735" s="2">
        <f>TEXT(DATEVALUE(B2735),"mmm")</f>
        <v/>
      </c>
      <c r="S2735" s="2">
        <f>TEXT(DATEVALUE(B2735),"yyyy-mm")</f>
        <v/>
      </c>
    </row>
    <row r="2736">
      <c r="A2736" s="2" t="inlineStr">
        <is>
          <t>O002798</t>
        </is>
      </c>
      <c r="B2736" s="2" t="inlineStr">
        <is>
          <t>2025-07-17</t>
        </is>
      </c>
      <c r="C2736" s="2" t="inlineStr">
        <is>
          <t>C0723</t>
        </is>
      </c>
      <c r="D2736" s="2" t="inlineStr">
        <is>
          <t>P0002</t>
        </is>
      </c>
      <c r="E2736" s="2" t="inlineStr">
        <is>
          <t>Bluetooth Speaker</t>
        </is>
      </c>
      <c r="F2736" s="2" t="inlineStr">
        <is>
          <t>Electronics</t>
        </is>
      </c>
      <c r="G2736" s="2" t="inlineStr">
        <is>
          <t>North</t>
        </is>
      </c>
      <c r="H2736" s="2" t="inlineStr">
        <is>
          <t>Delhi</t>
        </is>
      </c>
      <c r="I2736" s="2" t="inlineStr">
        <is>
          <t>New Delhi</t>
        </is>
      </c>
      <c r="J2736" s="2" t="inlineStr">
        <is>
          <t>Online</t>
        </is>
      </c>
      <c r="K2736" s="2" t="n">
        <v>2</v>
      </c>
      <c r="L2736" s="3" t="n">
        <v>1365.92</v>
      </c>
      <c r="M2736" s="4" t="n">
        <v>0</v>
      </c>
      <c r="N2736" s="3" t="n">
        <v>1620.79</v>
      </c>
      <c r="O2736" s="3">
        <f>K2736*L2736*(1-M2736)</f>
        <v/>
      </c>
      <c r="P2736" s="3">
        <f>O2736-N2736</f>
        <v/>
      </c>
      <c r="Q2736" s="5">
        <f>IFERROR(P2736/O2736,0)</f>
        <v/>
      </c>
      <c r="R2736" s="2">
        <f>TEXT(DATEVALUE(B2736),"mmm")</f>
        <v/>
      </c>
      <c r="S2736" s="2">
        <f>TEXT(DATEVALUE(B2736),"yyyy-mm")</f>
        <v/>
      </c>
    </row>
    <row r="2737">
      <c r="A2737" s="2" t="inlineStr">
        <is>
          <t>O002780</t>
        </is>
      </c>
      <c r="B2737" s="2" t="inlineStr">
        <is>
          <t>2025-07-17</t>
        </is>
      </c>
      <c r="C2737" s="2" t="inlineStr">
        <is>
          <t>C0341</t>
        </is>
      </c>
      <c r="D2737" s="2" t="inlineStr">
        <is>
          <t>P0006</t>
        </is>
      </c>
      <c r="E2737" s="2" t="inlineStr">
        <is>
          <t>Mechanical Keyboard</t>
        </is>
      </c>
      <c r="F2737" s="2" t="inlineStr">
        <is>
          <t>Electronics</t>
        </is>
      </c>
      <c r="G2737" s="2" t="inlineStr">
        <is>
          <t>North</t>
        </is>
      </c>
      <c r="H2737" s="2" t="inlineStr">
        <is>
          <t>Haryana</t>
        </is>
      </c>
      <c r="I2737" s="2" t="inlineStr">
        <is>
          <t>Faridabad</t>
        </is>
      </c>
      <c r="J2737" s="2" t="inlineStr">
        <is>
          <t>Online</t>
        </is>
      </c>
      <c r="K2737" s="2" t="n">
        <v>6</v>
      </c>
      <c r="L2737" s="3" t="n">
        <v>2814.24</v>
      </c>
      <c r="M2737" s="4" t="n">
        <v>0.15</v>
      </c>
      <c r="N2737" s="3" t="n">
        <v>9004.35</v>
      </c>
      <c r="O2737" s="3">
        <f>K2737*L2737*(1-M2737)</f>
        <v/>
      </c>
      <c r="P2737" s="3">
        <f>O2737-N2737</f>
        <v/>
      </c>
      <c r="Q2737" s="5">
        <f>IFERROR(P2737/O2737,0)</f>
        <v/>
      </c>
      <c r="R2737" s="2">
        <f>TEXT(DATEVALUE(B2737),"mmm")</f>
        <v/>
      </c>
      <c r="S2737" s="2">
        <f>TEXT(DATEVALUE(B2737),"yyyy-mm")</f>
        <v/>
      </c>
    </row>
    <row r="2738">
      <c r="A2738" s="2" t="inlineStr">
        <is>
          <t>O002014</t>
        </is>
      </c>
      <c r="B2738" s="2" t="inlineStr">
        <is>
          <t>2025-07-17</t>
        </is>
      </c>
      <c r="C2738" s="2" t="inlineStr">
        <is>
          <t>C0163</t>
        </is>
      </c>
      <c r="D2738" s="2" t="inlineStr">
        <is>
          <t>P0021</t>
        </is>
      </c>
      <c r="E2738" s="2" t="inlineStr">
        <is>
          <t>Wallet</t>
        </is>
      </c>
      <c r="F2738" s="2" t="inlineStr">
        <is>
          <t>Fashion</t>
        </is>
      </c>
      <c r="G2738" s="2" t="inlineStr">
        <is>
          <t>North</t>
        </is>
      </c>
      <c r="H2738" s="2" t="inlineStr">
        <is>
          <t>Delhi</t>
        </is>
      </c>
      <c r="I2738" s="2" t="inlineStr">
        <is>
          <t>New Delhi</t>
        </is>
      </c>
      <c r="J2738" s="2" t="inlineStr">
        <is>
          <t>Store</t>
        </is>
      </c>
      <c r="K2738" s="2" t="n">
        <v>1</v>
      </c>
      <c r="L2738" s="3" t="n">
        <v>2049.02</v>
      </c>
      <c r="M2738" s="4" t="n">
        <v>0</v>
      </c>
      <c r="N2738" s="3" t="n">
        <v>1247.46</v>
      </c>
      <c r="O2738" s="3">
        <f>K2738*L2738*(1-M2738)</f>
        <v/>
      </c>
      <c r="P2738" s="3">
        <f>O2738-N2738</f>
        <v/>
      </c>
      <c r="Q2738" s="5">
        <f>IFERROR(P2738/O2738,0)</f>
        <v/>
      </c>
      <c r="R2738" s="2">
        <f>TEXT(DATEVALUE(B2738),"mmm")</f>
        <v/>
      </c>
      <c r="S2738" s="2">
        <f>TEXT(DATEVALUE(B2738),"yyyy-mm")</f>
        <v/>
      </c>
    </row>
    <row r="2739">
      <c r="A2739" s="2" t="inlineStr">
        <is>
          <t>O004191</t>
        </is>
      </c>
      <c r="B2739" s="2" t="inlineStr">
        <is>
          <t>2025-07-17</t>
        </is>
      </c>
      <c r="C2739" s="2" t="inlineStr">
        <is>
          <t>C0015</t>
        </is>
      </c>
      <c r="D2739" s="2" t="inlineStr">
        <is>
          <t>P0019</t>
        </is>
      </c>
      <c r="E2739" s="2" t="inlineStr">
        <is>
          <t>Jacket</t>
        </is>
      </c>
      <c r="F2739" s="2" t="inlineStr">
        <is>
          <t>Fashion</t>
        </is>
      </c>
      <c r="G2739" s="2" t="inlineStr">
        <is>
          <t>East</t>
        </is>
      </c>
      <c r="H2739" s="2" t="inlineStr">
        <is>
          <t>Odisha</t>
        </is>
      </c>
      <c r="I2739" s="2" t="inlineStr">
        <is>
          <t>Bhubaneswar</t>
        </is>
      </c>
      <c r="J2739" s="2" t="inlineStr">
        <is>
          <t>Online</t>
        </is>
      </c>
      <c r="K2739" s="2" t="n">
        <v>1</v>
      </c>
      <c r="L2739" s="3" t="n">
        <v>1072.43</v>
      </c>
      <c r="M2739" s="4" t="n">
        <v>0.15</v>
      </c>
      <c r="N2739" s="3" t="n">
        <v>675.41</v>
      </c>
      <c r="O2739" s="3">
        <f>K2739*L2739*(1-M2739)</f>
        <v/>
      </c>
      <c r="P2739" s="3">
        <f>O2739-N2739</f>
        <v/>
      </c>
      <c r="Q2739" s="5">
        <f>IFERROR(P2739/O2739,0)</f>
        <v/>
      </c>
      <c r="R2739" s="2">
        <f>TEXT(DATEVALUE(B2739),"mmm")</f>
        <v/>
      </c>
      <c r="S2739" s="2">
        <f>TEXT(DATEVALUE(B2739),"yyyy-mm")</f>
        <v/>
      </c>
    </row>
    <row r="2740">
      <c r="A2740" s="2" t="inlineStr">
        <is>
          <t>O001534</t>
        </is>
      </c>
      <c r="B2740" s="2" t="inlineStr">
        <is>
          <t>2025-07-17</t>
        </is>
      </c>
      <c r="C2740" s="2" t="inlineStr">
        <is>
          <t>C0373</t>
        </is>
      </c>
      <c r="D2740" s="2" t="inlineStr">
        <is>
          <t>P0031</t>
        </is>
      </c>
      <c r="E2740" s="2" t="inlineStr">
        <is>
          <t>Cricket Bat</t>
        </is>
      </c>
      <c r="F2740" s="2" t="inlineStr">
        <is>
          <t>Sports</t>
        </is>
      </c>
      <c r="G2740" s="2" t="inlineStr">
        <is>
          <t>South</t>
        </is>
      </c>
      <c r="H2740" s="2" t="inlineStr">
        <is>
          <t>Tamil Nadu</t>
        </is>
      </c>
      <c r="I2740" s="2" t="inlineStr">
        <is>
          <t>Chennai</t>
        </is>
      </c>
      <c r="J2740" s="2" t="inlineStr">
        <is>
          <t>Online</t>
        </is>
      </c>
      <c r="K2740" s="2" t="n">
        <v>3</v>
      </c>
      <c r="L2740" s="3" t="n">
        <v>1431.71</v>
      </c>
      <c r="M2740" s="4" t="n">
        <v>0</v>
      </c>
      <c r="N2740" s="3" t="n">
        <v>2766.24</v>
      </c>
      <c r="O2740" s="3">
        <f>K2740*L2740*(1-M2740)</f>
        <v/>
      </c>
      <c r="P2740" s="3">
        <f>O2740-N2740</f>
        <v/>
      </c>
      <c r="Q2740" s="5">
        <f>IFERROR(P2740/O2740,0)</f>
        <v/>
      </c>
      <c r="R2740" s="2">
        <f>TEXT(DATEVALUE(B2740),"mmm")</f>
        <v/>
      </c>
      <c r="S2740" s="2">
        <f>TEXT(DATEVALUE(B2740),"yyyy-mm")</f>
        <v/>
      </c>
    </row>
    <row r="2741">
      <c r="A2741" s="2" t="inlineStr">
        <is>
          <t>O001193</t>
        </is>
      </c>
      <c r="B2741" s="2" t="inlineStr">
        <is>
          <t>2025-07-17</t>
        </is>
      </c>
      <c r="C2741" s="2" t="inlineStr">
        <is>
          <t>C0535</t>
        </is>
      </c>
      <c r="D2741" s="2" t="inlineStr">
        <is>
          <t>P0002</t>
        </is>
      </c>
      <c r="E2741" s="2" t="inlineStr">
        <is>
          <t>Bluetooth Speaker</t>
        </is>
      </c>
      <c r="F2741" s="2" t="inlineStr">
        <is>
          <t>Electronics</t>
        </is>
      </c>
      <c r="G2741" s="2" t="inlineStr">
        <is>
          <t>South</t>
        </is>
      </c>
      <c r="H2741" s="2" t="inlineStr">
        <is>
          <t>Telangana</t>
        </is>
      </c>
      <c r="I2741" s="2" t="inlineStr">
        <is>
          <t>Warangal</t>
        </is>
      </c>
      <c r="J2741" s="2" t="inlineStr">
        <is>
          <t>Store</t>
        </is>
      </c>
      <c r="K2741" s="2" t="n">
        <v>1</v>
      </c>
      <c r="L2741" s="3" t="n">
        <v>1416.57</v>
      </c>
      <c r="M2741" s="4" t="n">
        <v>0.25</v>
      </c>
      <c r="N2741" s="3" t="n">
        <v>846.78</v>
      </c>
      <c r="O2741" s="3">
        <f>K2741*L2741*(1-M2741)</f>
        <v/>
      </c>
      <c r="P2741" s="3">
        <f>O2741-N2741</f>
        <v/>
      </c>
      <c r="Q2741" s="5">
        <f>IFERROR(P2741/O2741,0)</f>
        <v/>
      </c>
      <c r="R2741" s="2">
        <f>TEXT(DATEVALUE(B2741),"mmm")</f>
        <v/>
      </c>
      <c r="S2741" s="2">
        <f>TEXT(DATEVALUE(B2741),"yyyy-mm")</f>
        <v/>
      </c>
    </row>
    <row r="2742">
      <c r="A2742" s="2" t="inlineStr">
        <is>
          <t>O001073</t>
        </is>
      </c>
      <c r="B2742" s="2" t="inlineStr">
        <is>
          <t>2025-07-17</t>
        </is>
      </c>
      <c r="C2742" s="2" t="inlineStr">
        <is>
          <t>C0278</t>
        </is>
      </c>
      <c r="D2742" s="2" t="inlineStr">
        <is>
          <t>P0014</t>
        </is>
      </c>
      <c r="E2742" s="2" t="inlineStr">
        <is>
          <t>Coffee Maker</t>
        </is>
      </c>
      <c r="F2742" s="2" t="inlineStr">
        <is>
          <t>Home &amp; Kitchen</t>
        </is>
      </c>
      <c r="G2742" s="2" t="inlineStr">
        <is>
          <t>West</t>
        </is>
      </c>
      <c r="H2742" s="2" t="inlineStr">
        <is>
          <t>Gujarat</t>
        </is>
      </c>
      <c r="I2742" s="2" t="inlineStr">
        <is>
          <t>Ahmedabad</t>
        </is>
      </c>
      <c r="J2742" s="2" t="inlineStr">
        <is>
          <t>Online</t>
        </is>
      </c>
      <c r="K2742" s="2" t="n">
        <v>1</v>
      </c>
      <c r="L2742" s="3" t="n">
        <v>1057.1</v>
      </c>
      <c r="M2742" s="4" t="n">
        <v>0.2</v>
      </c>
      <c r="N2742" s="3" t="n">
        <v>758.45</v>
      </c>
      <c r="O2742" s="3">
        <f>K2742*L2742*(1-M2742)</f>
        <v/>
      </c>
      <c r="P2742" s="3">
        <f>O2742-N2742</f>
        <v/>
      </c>
      <c r="Q2742" s="5">
        <f>IFERROR(P2742/O2742,0)</f>
        <v/>
      </c>
      <c r="R2742" s="2">
        <f>TEXT(DATEVALUE(B2742),"mmm")</f>
        <v/>
      </c>
      <c r="S2742" s="2">
        <f>TEXT(DATEVALUE(B2742),"yyyy-mm")</f>
        <v/>
      </c>
    </row>
    <row r="2743">
      <c r="A2743" s="2" t="inlineStr">
        <is>
          <t>O000946</t>
        </is>
      </c>
      <c r="B2743" s="2" t="inlineStr">
        <is>
          <t>2025-07-17</t>
        </is>
      </c>
      <c r="C2743" s="2" t="inlineStr">
        <is>
          <t>C0282</t>
        </is>
      </c>
      <c r="D2743" s="2" t="inlineStr">
        <is>
          <t>P0007</t>
        </is>
      </c>
      <c r="E2743" s="2" t="inlineStr">
        <is>
          <t>Wireless Mouse</t>
        </is>
      </c>
      <c r="F2743" s="2" t="inlineStr">
        <is>
          <t>Electronics</t>
        </is>
      </c>
      <c r="G2743" s="2" t="inlineStr">
        <is>
          <t>West</t>
        </is>
      </c>
      <c r="H2743" s="2" t="inlineStr">
        <is>
          <t>Goa</t>
        </is>
      </c>
      <c r="I2743" s="2" t="inlineStr">
        <is>
          <t>Margao</t>
        </is>
      </c>
      <c r="J2743" s="2" t="inlineStr">
        <is>
          <t>Online</t>
        </is>
      </c>
      <c r="K2743" s="2" t="n">
        <v>1</v>
      </c>
      <c r="L2743" s="3" t="n">
        <v>1022.16</v>
      </c>
      <c r="M2743" s="4" t="n">
        <v>0</v>
      </c>
      <c r="N2743" s="3" t="n">
        <v>639.9</v>
      </c>
      <c r="O2743" s="3">
        <f>K2743*L2743*(1-M2743)</f>
        <v/>
      </c>
      <c r="P2743" s="3">
        <f>O2743-N2743</f>
        <v/>
      </c>
      <c r="Q2743" s="5">
        <f>IFERROR(P2743/O2743,0)</f>
        <v/>
      </c>
      <c r="R2743" s="2">
        <f>TEXT(DATEVALUE(B2743),"mmm")</f>
        <v/>
      </c>
      <c r="S2743" s="2">
        <f>TEXT(DATEVALUE(B2743),"yyyy-mm")</f>
        <v/>
      </c>
    </row>
    <row r="2744">
      <c r="A2744" s="2" t="inlineStr">
        <is>
          <t>O000231</t>
        </is>
      </c>
      <c r="B2744" s="2" t="inlineStr">
        <is>
          <t>2025-07-17</t>
        </is>
      </c>
      <c r="C2744" s="2" t="inlineStr">
        <is>
          <t>C0229</t>
        </is>
      </c>
      <c r="D2744" s="2" t="inlineStr">
        <is>
          <t>P0007</t>
        </is>
      </c>
      <c r="E2744" s="2" t="inlineStr">
        <is>
          <t>Wireless Mouse</t>
        </is>
      </c>
      <c r="F2744" s="2" t="inlineStr">
        <is>
          <t>Electronics</t>
        </is>
      </c>
      <c r="G2744" s="2" t="inlineStr">
        <is>
          <t>West</t>
        </is>
      </c>
      <c r="H2744" s="2" t="inlineStr">
        <is>
          <t>Gujarat</t>
        </is>
      </c>
      <c r="I2744" s="2" t="inlineStr">
        <is>
          <t>Vadodara</t>
        </is>
      </c>
      <c r="J2744" s="2" t="inlineStr">
        <is>
          <t>Online</t>
        </is>
      </c>
      <c r="K2744" s="2" t="n">
        <v>2</v>
      </c>
      <c r="L2744" s="3" t="n">
        <v>995.78</v>
      </c>
      <c r="M2744" s="4" t="n">
        <v>0.1</v>
      </c>
      <c r="N2744" s="3" t="n">
        <v>1270.21</v>
      </c>
      <c r="O2744" s="3">
        <f>K2744*L2744*(1-M2744)</f>
        <v/>
      </c>
      <c r="P2744" s="3">
        <f>O2744-N2744</f>
        <v/>
      </c>
      <c r="Q2744" s="5">
        <f>IFERROR(P2744/O2744,0)</f>
        <v/>
      </c>
      <c r="R2744" s="2">
        <f>TEXT(DATEVALUE(B2744),"mmm")</f>
        <v/>
      </c>
      <c r="S2744" s="2">
        <f>TEXT(DATEVALUE(B2744),"yyyy-mm")</f>
        <v/>
      </c>
    </row>
    <row r="2745">
      <c r="A2745" s="2" t="inlineStr">
        <is>
          <t>O000220</t>
        </is>
      </c>
      <c r="B2745" s="2" t="inlineStr">
        <is>
          <t>2025-07-17</t>
        </is>
      </c>
      <c r="C2745" s="2" t="inlineStr">
        <is>
          <t>C0371</t>
        </is>
      </c>
      <c r="D2745" s="2" t="inlineStr">
        <is>
          <t>P0011</t>
        </is>
      </c>
      <c r="E2745" s="2" t="inlineStr">
        <is>
          <t>Cookware Set</t>
        </is>
      </c>
      <c r="F2745" s="2" t="inlineStr">
        <is>
          <t>Home &amp; Kitchen</t>
        </is>
      </c>
      <c r="G2745" s="2" t="inlineStr">
        <is>
          <t>South</t>
        </is>
      </c>
      <c r="H2745" s="2" t="inlineStr">
        <is>
          <t>Kerala</t>
        </is>
      </c>
      <c r="I2745" s="2" t="inlineStr">
        <is>
          <t>Thiruvananthapuram</t>
        </is>
      </c>
      <c r="J2745" s="2" t="inlineStr">
        <is>
          <t>Store</t>
        </is>
      </c>
      <c r="K2745" s="2" t="n">
        <v>1</v>
      </c>
      <c r="L2745" s="3" t="n">
        <v>696.11</v>
      </c>
      <c r="M2745" s="4" t="n">
        <v>0</v>
      </c>
      <c r="N2745" s="3" t="n">
        <v>486.87</v>
      </c>
      <c r="O2745" s="3">
        <f>K2745*L2745*(1-M2745)</f>
        <v/>
      </c>
      <c r="P2745" s="3">
        <f>O2745-N2745</f>
        <v/>
      </c>
      <c r="Q2745" s="5">
        <f>IFERROR(P2745/O2745,0)</f>
        <v/>
      </c>
      <c r="R2745" s="2">
        <f>TEXT(DATEVALUE(B2745),"mmm")</f>
        <v/>
      </c>
      <c r="S2745" s="2">
        <f>TEXT(DATEVALUE(B2745),"yyyy-mm")</f>
        <v/>
      </c>
    </row>
    <row r="2746">
      <c r="A2746" s="2" t="inlineStr">
        <is>
          <t>O000182</t>
        </is>
      </c>
      <c r="B2746" s="2" t="inlineStr">
        <is>
          <t>2025-07-17</t>
        </is>
      </c>
      <c r="C2746" s="2" t="inlineStr">
        <is>
          <t>C0478</t>
        </is>
      </c>
      <c r="D2746" s="2" t="inlineStr">
        <is>
          <t>P0016</t>
        </is>
      </c>
      <c r="E2746" s="2" t="inlineStr">
        <is>
          <t>Casual Shirt</t>
        </is>
      </c>
      <c r="F2746" s="2" t="inlineStr">
        <is>
          <t>Fashion</t>
        </is>
      </c>
      <c r="G2746" s="2" t="inlineStr">
        <is>
          <t>West</t>
        </is>
      </c>
      <c r="H2746" s="2" t="inlineStr">
        <is>
          <t>Goa</t>
        </is>
      </c>
      <c r="I2746" s="2" t="inlineStr">
        <is>
          <t>Panaji</t>
        </is>
      </c>
      <c r="J2746" s="2" t="inlineStr">
        <is>
          <t>Online</t>
        </is>
      </c>
      <c r="K2746" s="2" t="n">
        <v>5</v>
      </c>
      <c r="L2746" s="3" t="n">
        <v>1336.46</v>
      </c>
      <c r="M2746" s="4" t="n">
        <v>0.1</v>
      </c>
      <c r="N2746" s="3" t="n">
        <v>4443.72</v>
      </c>
      <c r="O2746" s="3">
        <f>K2746*L2746*(1-M2746)</f>
        <v/>
      </c>
      <c r="P2746" s="3">
        <f>O2746-N2746</f>
        <v/>
      </c>
      <c r="Q2746" s="5">
        <f>IFERROR(P2746/O2746,0)</f>
        <v/>
      </c>
      <c r="R2746" s="2">
        <f>TEXT(DATEVALUE(B2746),"mmm")</f>
        <v/>
      </c>
      <c r="S2746" s="2">
        <f>TEXT(DATEVALUE(B2746),"yyyy-mm")</f>
        <v/>
      </c>
    </row>
    <row r="2747">
      <c r="A2747" s="2" t="inlineStr">
        <is>
          <t>O001443</t>
        </is>
      </c>
      <c r="B2747" s="2" t="inlineStr">
        <is>
          <t>2025-07-17</t>
        </is>
      </c>
      <c r="C2747" s="2" t="inlineStr">
        <is>
          <t>C0214</t>
        </is>
      </c>
      <c r="D2747" s="2" t="inlineStr">
        <is>
          <t>P0018</t>
        </is>
      </c>
      <c r="E2747" s="2" t="inlineStr">
        <is>
          <t>Backpack</t>
        </is>
      </c>
      <c r="F2747" s="2" t="inlineStr">
        <is>
          <t>Fashion</t>
        </is>
      </c>
      <c r="G2747" s="2" t="inlineStr">
        <is>
          <t>South</t>
        </is>
      </c>
      <c r="H2747" s="2" t="inlineStr">
        <is>
          <t>Telangana</t>
        </is>
      </c>
      <c r="I2747" s="2" t="inlineStr">
        <is>
          <t>Hyderabad</t>
        </is>
      </c>
      <c r="J2747" s="2" t="inlineStr">
        <is>
          <t>Store</t>
        </is>
      </c>
      <c r="K2747" s="2" t="n">
        <v>2</v>
      </c>
      <c r="L2747" s="3" t="n">
        <v>1908.9</v>
      </c>
      <c r="M2747" s="4" t="n">
        <v>0.1</v>
      </c>
      <c r="N2747" s="3" t="n">
        <v>2730.92</v>
      </c>
      <c r="O2747" s="3">
        <f>K2747*L2747*(1-M2747)</f>
        <v/>
      </c>
      <c r="P2747" s="3">
        <f>O2747-N2747</f>
        <v/>
      </c>
      <c r="Q2747" s="5">
        <f>IFERROR(P2747/O2747,0)</f>
        <v/>
      </c>
      <c r="R2747" s="2">
        <f>TEXT(DATEVALUE(B2747),"mmm")</f>
        <v/>
      </c>
      <c r="S2747" s="2">
        <f>TEXT(DATEVALUE(B2747),"yyyy-mm")</f>
        <v/>
      </c>
    </row>
    <row r="2748">
      <c r="A2748" s="2" t="inlineStr">
        <is>
          <t>O004076</t>
        </is>
      </c>
      <c r="B2748" s="2" t="inlineStr">
        <is>
          <t>2025-07-18</t>
        </is>
      </c>
      <c r="C2748" s="2" t="inlineStr">
        <is>
          <t>C0200</t>
        </is>
      </c>
      <c r="D2748" s="2" t="inlineStr">
        <is>
          <t>P0031</t>
        </is>
      </c>
      <c r="E2748" s="2" t="inlineStr">
        <is>
          <t>Cricket Bat</t>
        </is>
      </c>
      <c r="F2748" s="2" t="inlineStr">
        <is>
          <t>Sports</t>
        </is>
      </c>
      <c r="G2748" s="2" t="inlineStr">
        <is>
          <t>West</t>
        </is>
      </c>
      <c r="H2748" s="2" t="inlineStr">
        <is>
          <t>Gujarat</t>
        </is>
      </c>
      <c r="I2748" s="2" t="inlineStr">
        <is>
          <t>Ahmedabad</t>
        </is>
      </c>
      <c r="J2748" s="2" t="inlineStr">
        <is>
          <t>Online</t>
        </is>
      </c>
      <c r="K2748" s="2" t="n">
        <v>1</v>
      </c>
      <c r="L2748" s="3" t="n">
        <v>1429.26</v>
      </c>
      <c r="M2748" s="4" t="n">
        <v>0.1</v>
      </c>
      <c r="N2748" s="3" t="n">
        <v>915.41</v>
      </c>
      <c r="O2748" s="3">
        <f>K2748*L2748*(1-M2748)</f>
        <v/>
      </c>
      <c r="P2748" s="3">
        <f>O2748-N2748</f>
        <v/>
      </c>
      <c r="Q2748" s="5">
        <f>IFERROR(P2748/O2748,0)</f>
        <v/>
      </c>
      <c r="R2748" s="2">
        <f>TEXT(DATEVALUE(B2748),"mmm")</f>
        <v/>
      </c>
      <c r="S2748" s="2">
        <f>TEXT(DATEVALUE(B2748),"yyyy-mm")</f>
        <v/>
      </c>
    </row>
    <row r="2749">
      <c r="A2749" s="2" t="inlineStr">
        <is>
          <t>O001544</t>
        </is>
      </c>
      <c r="B2749" s="2" t="inlineStr">
        <is>
          <t>2025-07-18</t>
        </is>
      </c>
      <c r="C2749" s="2" t="inlineStr">
        <is>
          <t>C0439</t>
        </is>
      </c>
      <c r="D2749" s="2" t="inlineStr">
        <is>
          <t>P0010</t>
        </is>
      </c>
      <c r="E2749" s="2" t="inlineStr">
        <is>
          <t>Mixer Grinder</t>
        </is>
      </c>
      <c r="F2749" s="2" t="inlineStr">
        <is>
          <t>Home &amp; Kitchen</t>
        </is>
      </c>
      <c r="G2749" s="2" t="inlineStr">
        <is>
          <t>West</t>
        </is>
      </c>
      <c r="H2749" s="2" t="inlineStr">
        <is>
          <t>Maharashtra</t>
        </is>
      </c>
      <c r="I2749" s="2" t="inlineStr">
        <is>
          <t>Mumbai</t>
        </is>
      </c>
      <c r="J2749" s="2" t="inlineStr">
        <is>
          <t>Online</t>
        </is>
      </c>
      <c r="K2749" s="2" t="n">
        <v>2</v>
      </c>
      <c r="L2749" s="3" t="n">
        <v>1560.32</v>
      </c>
      <c r="M2749" s="4" t="n">
        <v>0.1</v>
      </c>
      <c r="N2749" s="3" t="n">
        <v>2115.17</v>
      </c>
      <c r="O2749" s="3">
        <f>K2749*L2749*(1-M2749)</f>
        <v/>
      </c>
      <c r="P2749" s="3">
        <f>O2749-N2749</f>
        <v/>
      </c>
      <c r="Q2749" s="5">
        <f>IFERROR(P2749/O2749,0)</f>
        <v/>
      </c>
      <c r="R2749" s="2">
        <f>TEXT(DATEVALUE(B2749),"mmm")</f>
        <v/>
      </c>
      <c r="S2749" s="2">
        <f>TEXT(DATEVALUE(B2749),"yyyy-mm")</f>
        <v/>
      </c>
    </row>
    <row r="2750">
      <c r="A2750" s="2" t="inlineStr">
        <is>
          <t>O003883</t>
        </is>
      </c>
      <c r="B2750" s="2" t="inlineStr">
        <is>
          <t>2025-07-18</t>
        </is>
      </c>
      <c r="C2750" s="2" t="inlineStr">
        <is>
          <t>C0104</t>
        </is>
      </c>
      <c r="D2750" s="2" t="inlineStr">
        <is>
          <t>P0021</t>
        </is>
      </c>
      <c r="E2750" s="2" t="inlineStr">
        <is>
          <t>Wallet</t>
        </is>
      </c>
      <c r="F2750" s="2" t="inlineStr">
        <is>
          <t>Fashion</t>
        </is>
      </c>
      <c r="G2750" s="2" t="inlineStr">
        <is>
          <t>South</t>
        </is>
      </c>
      <c r="H2750" s="2" t="inlineStr">
        <is>
          <t>Kerala</t>
        </is>
      </c>
      <c r="I2750" s="2" t="inlineStr">
        <is>
          <t>Thiruvananthapuram</t>
        </is>
      </c>
      <c r="J2750" s="2" t="inlineStr">
        <is>
          <t>Store</t>
        </is>
      </c>
      <c r="K2750" s="2" t="n">
        <v>1</v>
      </c>
      <c r="L2750" s="3" t="n">
        <v>2108.83</v>
      </c>
      <c r="M2750" s="4" t="n">
        <v>0</v>
      </c>
      <c r="N2750" s="3" t="n">
        <v>1206.02</v>
      </c>
      <c r="O2750" s="3">
        <f>K2750*L2750*(1-M2750)</f>
        <v/>
      </c>
      <c r="P2750" s="3">
        <f>O2750-N2750</f>
        <v/>
      </c>
      <c r="Q2750" s="5">
        <f>IFERROR(P2750/O2750,0)</f>
        <v/>
      </c>
      <c r="R2750" s="2">
        <f>TEXT(DATEVALUE(B2750),"mmm")</f>
        <v/>
      </c>
      <c r="S2750" s="2">
        <f>TEXT(DATEVALUE(B2750),"yyyy-mm")</f>
        <v/>
      </c>
    </row>
    <row r="2751">
      <c r="A2751" s="2" t="inlineStr">
        <is>
          <t>O004648</t>
        </is>
      </c>
      <c r="B2751" s="2" t="inlineStr">
        <is>
          <t>2025-07-18</t>
        </is>
      </c>
      <c r="C2751" s="2" t="inlineStr">
        <is>
          <t>C0456</t>
        </is>
      </c>
      <c r="D2751" s="2" t="inlineStr">
        <is>
          <t>P0007</t>
        </is>
      </c>
      <c r="E2751" s="2" t="inlineStr">
        <is>
          <t>Wireless Mouse</t>
        </is>
      </c>
      <c r="F2751" s="2" t="inlineStr">
        <is>
          <t>Electronics</t>
        </is>
      </c>
      <c r="G2751" s="2" t="inlineStr">
        <is>
          <t>West</t>
        </is>
      </c>
      <c r="H2751" s="2" t="inlineStr">
        <is>
          <t>Goa</t>
        </is>
      </c>
      <c r="I2751" s="2" t="inlineStr">
        <is>
          <t>Panaji</t>
        </is>
      </c>
      <c r="J2751" s="2" t="inlineStr">
        <is>
          <t>Store</t>
        </is>
      </c>
      <c r="K2751" s="2" t="n">
        <v>1</v>
      </c>
      <c r="L2751" s="3" t="n">
        <v>947.76</v>
      </c>
      <c r="M2751" s="4" t="n">
        <v>0.1</v>
      </c>
      <c r="N2751" s="3" t="n">
        <v>614.03</v>
      </c>
      <c r="O2751" s="3">
        <f>K2751*L2751*(1-M2751)</f>
        <v/>
      </c>
      <c r="P2751" s="3">
        <f>O2751-N2751</f>
        <v/>
      </c>
      <c r="Q2751" s="5">
        <f>IFERROR(P2751/O2751,0)</f>
        <v/>
      </c>
      <c r="R2751" s="2">
        <f>TEXT(DATEVALUE(B2751),"mmm")</f>
        <v/>
      </c>
      <c r="S2751" s="2">
        <f>TEXT(DATEVALUE(B2751),"yyyy-mm")</f>
        <v/>
      </c>
    </row>
    <row r="2752">
      <c r="A2752" s="2" t="inlineStr">
        <is>
          <t>O002871</t>
        </is>
      </c>
      <c r="B2752" s="2" t="inlineStr">
        <is>
          <t>2025-07-18</t>
        </is>
      </c>
      <c r="C2752" s="2" t="inlineStr">
        <is>
          <t>C0359</t>
        </is>
      </c>
      <c r="D2752" s="2" t="inlineStr">
        <is>
          <t>P0027</t>
        </is>
      </c>
      <c r="E2752" s="2" t="inlineStr">
        <is>
          <t>Moisturizer</t>
        </is>
      </c>
      <c r="F2752" s="2" t="inlineStr">
        <is>
          <t>Beauty</t>
        </is>
      </c>
      <c r="G2752" s="2" t="inlineStr">
        <is>
          <t>North</t>
        </is>
      </c>
      <c r="H2752" s="2" t="inlineStr">
        <is>
          <t>Punjab</t>
        </is>
      </c>
      <c r="I2752" s="2" t="inlineStr">
        <is>
          <t>Amritsar</t>
        </is>
      </c>
      <c r="J2752" s="2" t="inlineStr">
        <is>
          <t>Online</t>
        </is>
      </c>
      <c r="K2752" s="2" t="n">
        <v>1</v>
      </c>
      <c r="L2752" s="3" t="n">
        <v>962.04</v>
      </c>
      <c r="M2752" s="4" t="n">
        <v>0.1</v>
      </c>
      <c r="N2752" s="3" t="n">
        <v>673.54</v>
      </c>
      <c r="O2752" s="3">
        <f>K2752*L2752*(1-M2752)</f>
        <v/>
      </c>
      <c r="P2752" s="3">
        <f>O2752-N2752</f>
        <v/>
      </c>
      <c r="Q2752" s="5">
        <f>IFERROR(P2752/O2752,0)</f>
        <v/>
      </c>
      <c r="R2752" s="2">
        <f>TEXT(DATEVALUE(B2752),"mmm")</f>
        <v/>
      </c>
      <c r="S2752" s="2">
        <f>TEXT(DATEVALUE(B2752),"yyyy-mm")</f>
        <v/>
      </c>
    </row>
    <row r="2753">
      <c r="A2753" s="2" t="inlineStr">
        <is>
          <t>O000247</t>
        </is>
      </c>
      <c r="B2753" s="2" t="inlineStr">
        <is>
          <t>2025-07-18</t>
        </is>
      </c>
      <c r="C2753" s="2" t="inlineStr">
        <is>
          <t>C0756</t>
        </is>
      </c>
      <c r="D2753" s="2" t="inlineStr">
        <is>
          <t>P0022</t>
        </is>
      </c>
      <c r="E2753" s="2" t="inlineStr">
        <is>
          <t>Face Wash</t>
        </is>
      </c>
      <c r="F2753" s="2" t="inlineStr">
        <is>
          <t>Beauty</t>
        </is>
      </c>
      <c r="G2753" s="2" t="inlineStr">
        <is>
          <t>East</t>
        </is>
      </c>
      <c r="H2753" s="2" t="inlineStr">
        <is>
          <t>West Bengal</t>
        </is>
      </c>
      <c r="I2753" s="2" t="inlineStr">
        <is>
          <t>Durgapur</t>
        </is>
      </c>
      <c r="J2753" s="2" t="inlineStr">
        <is>
          <t>Online</t>
        </is>
      </c>
      <c r="K2753" s="2" t="n">
        <v>5</v>
      </c>
      <c r="L2753" s="3" t="n">
        <v>539.72</v>
      </c>
      <c r="M2753" s="4" t="n">
        <v>0.05</v>
      </c>
      <c r="N2753" s="3" t="n">
        <v>1778.65</v>
      </c>
      <c r="O2753" s="3">
        <f>K2753*L2753*(1-M2753)</f>
        <v/>
      </c>
      <c r="P2753" s="3">
        <f>O2753-N2753</f>
        <v/>
      </c>
      <c r="Q2753" s="5">
        <f>IFERROR(P2753/O2753,0)</f>
        <v/>
      </c>
      <c r="R2753" s="2">
        <f>TEXT(DATEVALUE(B2753),"mmm")</f>
        <v/>
      </c>
      <c r="S2753" s="2">
        <f>TEXT(DATEVALUE(B2753),"yyyy-mm")</f>
        <v/>
      </c>
    </row>
    <row r="2754">
      <c r="A2754" s="2" t="inlineStr">
        <is>
          <t>O001770</t>
        </is>
      </c>
      <c r="B2754" s="2" t="inlineStr">
        <is>
          <t>2025-07-18</t>
        </is>
      </c>
      <c r="C2754" s="2" t="inlineStr">
        <is>
          <t>C0355</t>
        </is>
      </c>
      <c r="D2754" s="2" t="inlineStr">
        <is>
          <t>P0012</t>
        </is>
      </c>
      <c r="E2754" s="2" t="inlineStr">
        <is>
          <t>Water Bottle</t>
        </is>
      </c>
      <c r="F2754" s="2" t="inlineStr">
        <is>
          <t>Home &amp; Kitchen</t>
        </is>
      </c>
      <c r="G2754" s="2" t="inlineStr">
        <is>
          <t>South</t>
        </is>
      </c>
      <c r="H2754" s="2" t="inlineStr">
        <is>
          <t>Telangana</t>
        </is>
      </c>
      <c r="I2754" s="2" t="inlineStr">
        <is>
          <t>Hyderabad</t>
        </is>
      </c>
      <c r="J2754" s="2" t="inlineStr">
        <is>
          <t>Online</t>
        </is>
      </c>
      <c r="K2754" s="2" t="n">
        <v>1</v>
      </c>
      <c r="L2754" s="3" t="n">
        <v>972.66</v>
      </c>
      <c r="M2754" s="4" t="n">
        <v>0.2</v>
      </c>
      <c r="N2754" s="3" t="n">
        <v>623.41</v>
      </c>
      <c r="O2754" s="3">
        <f>K2754*L2754*(1-M2754)</f>
        <v/>
      </c>
      <c r="P2754" s="3">
        <f>O2754-N2754</f>
        <v/>
      </c>
      <c r="Q2754" s="5">
        <f>IFERROR(P2754/O2754,0)</f>
        <v/>
      </c>
      <c r="R2754" s="2">
        <f>TEXT(DATEVALUE(B2754),"mmm")</f>
        <v/>
      </c>
      <c r="S2754" s="2">
        <f>TEXT(DATEVALUE(B2754),"yyyy-mm")</f>
        <v/>
      </c>
    </row>
    <row r="2755">
      <c r="A2755" s="2" t="inlineStr">
        <is>
          <t>O001456</t>
        </is>
      </c>
      <c r="B2755" s="2" t="inlineStr">
        <is>
          <t>2025-07-18</t>
        </is>
      </c>
      <c r="C2755" s="2" t="inlineStr">
        <is>
          <t>C0404</t>
        </is>
      </c>
      <c r="D2755" s="2" t="inlineStr">
        <is>
          <t>P0018</t>
        </is>
      </c>
      <c r="E2755" s="2" t="inlineStr">
        <is>
          <t>Backpack</t>
        </is>
      </c>
      <c r="F2755" s="2" t="inlineStr">
        <is>
          <t>Fashion</t>
        </is>
      </c>
      <c r="G2755" s="2" t="inlineStr">
        <is>
          <t>South</t>
        </is>
      </c>
      <c r="H2755" s="2" t="inlineStr">
        <is>
          <t>Telangana</t>
        </is>
      </c>
      <c r="I2755" s="2" t="inlineStr">
        <is>
          <t>Hyderabad</t>
        </is>
      </c>
      <c r="J2755" s="2" t="inlineStr">
        <is>
          <t>Store</t>
        </is>
      </c>
      <c r="K2755" s="2" t="n">
        <v>1</v>
      </c>
      <c r="L2755" s="3" t="n">
        <v>1837.07</v>
      </c>
      <c r="M2755" s="4" t="n">
        <v>0.1</v>
      </c>
      <c r="N2755" s="3" t="n">
        <v>1310.44</v>
      </c>
      <c r="O2755" s="3">
        <f>K2755*L2755*(1-M2755)</f>
        <v/>
      </c>
      <c r="P2755" s="3">
        <f>O2755-N2755</f>
        <v/>
      </c>
      <c r="Q2755" s="5">
        <f>IFERROR(P2755/O2755,0)</f>
        <v/>
      </c>
      <c r="R2755" s="2">
        <f>TEXT(DATEVALUE(B2755),"mmm")</f>
        <v/>
      </c>
      <c r="S2755" s="2">
        <f>TEXT(DATEVALUE(B2755),"yyyy-mm")</f>
        <v/>
      </c>
    </row>
    <row r="2756">
      <c r="A2756" s="2" t="inlineStr">
        <is>
          <t>O002112</t>
        </is>
      </c>
      <c r="B2756" s="2" t="inlineStr">
        <is>
          <t>2025-07-18</t>
        </is>
      </c>
      <c r="C2756" s="2" t="inlineStr">
        <is>
          <t>C0034</t>
        </is>
      </c>
      <c r="D2756" s="2" t="inlineStr">
        <is>
          <t>P0014</t>
        </is>
      </c>
      <c r="E2756" s="2" t="inlineStr">
        <is>
          <t>Coffee Maker</t>
        </is>
      </c>
      <c r="F2756" s="2" t="inlineStr">
        <is>
          <t>Home &amp; Kitchen</t>
        </is>
      </c>
      <c r="G2756" s="2" t="inlineStr">
        <is>
          <t>South</t>
        </is>
      </c>
      <c r="H2756" s="2" t="inlineStr">
        <is>
          <t>Telangana</t>
        </is>
      </c>
      <c r="I2756" s="2" t="inlineStr">
        <is>
          <t>Hyderabad</t>
        </is>
      </c>
      <c r="J2756" s="2" t="inlineStr">
        <is>
          <t>Online</t>
        </is>
      </c>
      <c r="K2756" s="2" t="n">
        <v>1</v>
      </c>
      <c r="L2756" s="3" t="n">
        <v>1008.32</v>
      </c>
      <c r="M2756" s="4" t="n">
        <v>0.1</v>
      </c>
      <c r="N2756" s="3" t="n">
        <v>742.3200000000001</v>
      </c>
      <c r="O2756" s="3">
        <f>K2756*L2756*(1-M2756)</f>
        <v/>
      </c>
      <c r="P2756" s="3">
        <f>O2756-N2756</f>
        <v/>
      </c>
      <c r="Q2756" s="5">
        <f>IFERROR(P2756/O2756,0)</f>
        <v/>
      </c>
      <c r="R2756" s="2">
        <f>TEXT(DATEVALUE(B2756),"mmm")</f>
        <v/>
      </c>
      <c r="S2756" s="2">
        <f>TEXT(DATEVALUE(B2756),"yyyy-mm")</f>
        <v/>
      </c>
    </row>
    <row r="2757">
      <c r="A2757" s="2" t="inlineStr">
        <is>
          <t>O001129</t>
        </is>
      </c>
      <c r="B2757" s="2" t="inlineStr">
        <is>
          <t>2025-07-19</t>
        </is>
      </c>
      <c r="C2757" s="2" t="inlineStr">
        <is>
          <t>C0721</t>
        </is>
      </c>
      <c r="D2757" s="2" t="inlineStr">
        <is>
          <t>P0011</t>
        </is>
      </c>
      <c r="E2757" s="2" t="inlineStr">
        <is>
          <t>Cookware Set</t>
        </is>
      </c>
      <c r="F2757" s="2" t="inlineStr">
        <is>
          <t>Home &amp; Kitchen</t>
        </is>
      </c>
      <c r="G2757" s="2" t="inlineStr">
        <is>
          <t>South</t>
        </is>
      </c>
      <c r="H2757" s="2" t="inlineStr">
        <is>
          <t>Kerala</t>
        </is>
      </c>
      <c r="I2757" s="2" t="inlineStr">
        <is>
          <t>Thiruvananthapuram</t>
        </is>
      </c>
      <c r="J2757" s="2" t="inlineStr">
        <is>
          <t>Store</t>
        </is>
      </c>
      <c r="K2757" s="2" t="n">
        <v>2</v>
      </c>
      <c r="L2757" s="3" t="n">
        <v>685.75</v>
      </c>
      <c r="M2757" s="4" t="n">
        <v>0.1</v>
      </c>
      <c r="N2757" s="3" t="n">
        <v>969.79</v>
      </c>
      <c r="O2757" s="3">
        <f>K2757*L2757*(1-M2757)</f>
        <v/>
      </c>
      <c r="P2757" s="3">
        <f>O2757-N2757</f>
        <v/>
      </c>
      <c r="Q2757" s="5">
        <f>IFERROR(P2757/O2757,0)</f>
        <v/>
      </c>
      <c r="R2757" s="2">
        <f>TEXT(DATEVALUE(B2757),"mmm")</f>
        <v/>
      </c>
      <c r="S2757" s="2">
        <f>TEXT(DATEVALUE(B2757),"yyyy-mm")</f>
        <v/>
      </c>
    </row>
    <row r="2758">
      <c r="A2758" s="2" t="inlineStr">
        <is>
          <t>O001444</t>
        </is>
      </c>
      <c r="B2758" s="2" t="inlineStr">
        <is>
          <t>2025-07-19</t>
        </is>
      </c>
      <c r="C2758" s="2" t="inlineStr">
        <is>
          <t>C0327</t>
        </is>
      </c>
      <c r="D2758" s="2" t="inlineStr">
        <is>
          <t>P0005</t>
        </is>
      </c>
      <c r="E2758" s="2" t="inlineStr">
        <is>
          <t>Power Bank</t>
        </is>
      </c>
      <c r="F2758" s="2" t="inlineStr">
        <is>
          <t>Electronics</t>
        </is>
      </c>
      <c r="G2758" s="2" t="inlineStr">
        <is>
          <t>West</t>
        </is>
      </c>
      <c r="H2758" s="2" t="inlineStr">
        <is>
          <t>Maharashtra</t>
        </is>
      </c>
      <c r="I2758" s="2" t="inlineStr">
        <is>
          <t>Nashik</t>
        </is>
      </c>
      <c r="J2758" s="2" t="inlineStr">
        <is>
          <t>Online</t>
        </is>
      </c>
      <c r="K2758" s="2" t="n">
        <v>3</v>
      </c>
      <c r="L2758" s="3" t="n">
        <v>1150.42</v>
      </c>
      <c r="M2758" s="4" t="n">
        <v>0.05</v>
      </c>
      <c r="N2758" s="3" t="n">
        <v>1967.03</v>
      </c>
      <c r="O2758" s="3">
        <f>K2758*L2758*(1-M2758)</f>
        <v/>
      </c>
      <c r="P2758" s="3">
        <f>O2758-N2758</f>
        <v/>
      </c>
      <c r="Q2758" s="5">
        <f>IFERROR(P2758/O2758,0)</f>
        <v/>
      </c>
      <c r="R2758" s="2">
        <f>TEXT(DATEVALUE(B2758),"mmm")</f>
        <v/>
      </c>
      <c r="S2758" s="2">
        <f>TEXT(DATEVALUE(B2758),"yyyy-mm")</f>
        <v/>
      </c>
    </row>
    <row r="2759">
      <c r="A2759" s="2" t="inlineStr">
        <is>
          <t>O002288</t>
        </is>
      </c>
      <c r="B2759" s="2" t="inlineStr">
        <is>
          <t>2025-07-19</t>
        </is>
      </c>
      <c r="C2759" s="2" t="inlineStr">
        <is>
          <t>C0214</t>
        </is>
      </c>
      <c r="D2759" s="2" t="inlineStr">
        <is>
          <t>P0035</t>
        </is>
      </c>
      <c r="E2759" s="2" t="inlineStr">
        <is>
          <t>Skipping Rope</t>
        </is>
      </c>
      <c r="F2759" s="2" t="inlineStr">
        <is>
          <t>Sports</t>
        </is>
      </c>
      <c r="G2759" s="2" t="inlineStr">
        <is>
          <t>South</t>
        </is>
      </c>
      <c r="H2759" s="2" t="inlineStr">
        <is>
          <t>Karnataka</t>
        </is>
      </c>
      <c r="I2759" s="2" t="inlineStr">
        <is>
          <t>Mangaluru</t>
        </is>
      </c>
      <c r="J2759" s="2" t="inlineStr">
        <is>
          <t>Store</t>
        </is>
      </c>
      <c r="K2759" s="2" t="n">
        <v>3</v>
      </c>
      <c r="L2759" s="3" t="n">
        <v>718.4299999999999</v>
      </c>
      <c r="M2759" s="4" t="n">
        <v>0.2</v>
      </c>
      <c r="N2759" s="3" t="n">
        <v>1241.72</v>
      </c>
      <c r="O2759" s="3">
        <f>K2759*L2759*(1-M2759)</f>
        <v/>
      </c>
      <c r="P2759" s="3">
        <f>O2759-N2759</f>
        <v/>
      </c>
      <c r="Q2759" s="5">
        <f>IFERROR(P2759/O2759,0)</f>
        <v/>
      </c>
      <c r="R2759" s="2">
        <f>TEXT(DATEVALUE(B2759),"mmm")</f>
        <v/>
      </c>
      <c r="S2759" s="2">
        <f>TEXT(DATEVALUE(B2759),"yyyy-mm")</f>
        <v/>
      </c>
    </row>
    <row r="2760">
      <c r="A2760" s="2" t="inlineStr">
        <is>
          <t>O002536</t>
        </is>
      </c>
      <c r="B2760" s="2" t="inlineStr">
        <is>
          <t>2025-07-19</t>
        </is>
      </c>
      <c r="C2760" s="2" t="inlineStr">
        <is>
          <t>C0332</t>
        </is>
      </c>
      <c r="D2760" s="2" t="inlineStr">
        <is>
          <t>P0007</t>
        </is>
      </c>
      <c r="E2760" s="2" t="inlineStr">
        <is>
          <t>Wireless Mouse</t>
        </is>
      </c>
      <c r="F2760" s="2" t="inlineStr">
        <is>
          <t>Electronics</t>
        </is>
      </c>
      <c r="G2760" s="2" t="inlineStr">
        <is>
          <t>East</t>
        </is>
      </c>
      <c r="H2760" s="2" t="inlineStr">
        <is>
          <t>Bihar</t>
        </is>
      </c>
      <c r="I2760" s="2" t="inlineStr">
        <is>
          <t>Gaya</t>
        </is>
      </c>
      <c r="J2760" s="2" t="inlineStr">
        <is>
          <t>Store</t>
        </is>
      </c>
      <c r="K2760" s="2" t="n">
        <v>5</v>
      </c>
      <c r="L2760" s="3" t="n">
        <v>1001.11</v>
      </c>
      <c r="M2760" s="4" t="n">
        <v>0.15</v>
      </c>
      <c r="N2760" s="3" t="n">
        <v>3019.81</v>
      </c>
      <c r="O2760" s="3">
        <f>K2760*L2760*(1-M2760)</f>
        <v/>
      </c>
      <c r="P2760" s="3">
        <f>O2760-N2760</f>
        <v/>
      </c>
      <c r="Q2760" s="5">
        <f>IFERROR(P2760/O2760,0)</f>
        <v/>
      </c>
      <c r="R2760" s="2">
        <f>TEXT(DATEVALUE(B2760),"mmm")</f>
        <v/>
      </c>
      <c r="S2760" s="2">
        <f>TEXT(DATEVALUE(B2760),"yyyy-mm")</f>
        <v/>
      </c>
    </row>
    <row r="2761">
      <c r="A2761" s="2" t="inlineStr">
        <is>
          <t>O002546</t>
        </is>
      </c>
      <c r="B2761" s="2" t="inlineStr">
        <is>
          <t>2025-07-19</t>
        </is>
      </c>
      <c r="C2761" s="2" t="inlineStr">
        <is>
          <t>C0121</t>
        </is>
      </c>
      <c r="D2761" s="2" t="inlineStr">
        <is>
          <t>P0021</t>
        </is>
      </c>
      <c r="E2761" s="2" t="inlineStr">
        <is>
          <t>Wallet</t>
        </is>
      </c>
      <c r="F2761" s="2" t="inlineStr">
        <is>
          <t>Fashion</t>
        </is>
      </c>
      <c r="G2761" s="2" t="inlineStr">
        <is>
          <t>West</t>
        </is>
      </c>
      <c r="H2761" s="2" t="inlineStr">
        <is>
          <t>Gujarat</t>
        </is>
      </c>
      <c r="I2761" s="2" t="inlineStr">
        <is>
          <t>Vadodara</t>
        </is>
      </c>
      <c r="J2761" s="2" t="inlineStr">
        <is>
          <t>Online</t>
        </is>
      </c>
      <c r="K2761" s="2" t="n">
        <v>3</v>
      </c>
      <c r="L2761" s="3" t="n">
        <v>2091.19</v>
      </c>
      <c r="M2761" s="4" t="n">
        <v>0</v>
      </c>
      <c r="N2761" s="3" t="n">
        <v>3556.25</v>
      </c>
      <c r="O2761" s="3">
        <f>K2761*L2761*(1-M2761)</f>
        <v/>
      </c>
      <c r="P2761" s="3">
        <f>O2761-N2761</f>
        <v/>
      </c>
      <c r="Q2761" s="5">
        <f>IFERROR(P2761/O2761,0)</f>
        <v/>
      </c>
      <c r="R2761" s="2">
        <f>TEXT(DATEVALUE(B2761),"mmm")</f>
        <v/>
      </c>
      <c r="S2761" s="2">
        <f>TEXT(DATEVALUE(B2761),"yyyy-mm")</f>
        <v/>
      </c>
    </row>
    <row r="2762">
      <c r="A2762" s="2" t="inlineStr">
        <is>
          <t>O003177</t>
        </is>
      </c>
      <c r="B2762" s="2" t="inlineStr">
        <is>
          <t>2025-07-20</t>
        </is>
      </c>
      <c r="C2762" s="2" t="inlineStr">
        <is>
          <t>C0457</t>
        </is>
      </c>
      <c r="D2762" s="2" t="inlineStr">
        <is>
          <t>P0034</t>
        </is>
      </c>
      <c r="E2762" s="2" t="inlineStr">
        <is>
          <t>Gym Gloves</t>
        </is>
      </c>
      <c r="F2762" s="2" t="inlineStr">
        <is>
          <t>Sports</t>
        </is>
      </c>
      <c r="G2762" s="2" t="inlineStr">
        <is>
          <t>North</t>
        </is>
      </c>
      <c r="H2762" s="2" t="inlineStr">
        <is>
          <t>Uttar Pradesh</t>
        </is>
      </c>
      <c r="I2762" s="2" t="inlineStr">
        <is>
          <t>Kanpur</t>
        </is>
      </c>
      <c r="J2762" s="2" t="inlineStr">
        <is>
          <t>Store</t>
        </is>
      </c>
      <c r="K2762" s="2" t="n">
        <v>2</v>
      </c>
      <c r="L2762" s="3" t="n">
        <v>592.8099999999999</v>
      </c>
      <c r="M2762" s="4" t="n">
        <v>0.15</v>
      </c>
      <c r="N2762" s="3" t="n">
        <v>805.3099999999999</v>
      </c>
      <c r="O2762" s="3">
        <f>K2762*L2762*(1-M2762)</f>
        <v/>
      </c>
      <c r="P2762" s="3">
        <f>O2762-N2762</f>
        <v/>
      </c>
      <c r="Q2762" s="5">
        <f>IFERROR(P2762/O2762,0)</f>
        <v/>
      </c>
      <c r="R2762" s="2">
        <f>TEXT(DATEVALUE(B2762),"mmm")</f>
        <v/>
      </c>
      <c r="S2762" s="2">
        <f>TEXT(DATEVALUE(B2762),"yyyy-mm")</f>
        <v/>
      </c>
    </row>
    <row r="2763">
      <c r="A2763" s="2" t="inlineStr">
        <is>
          <t>O004575</t>
        </is>
      </c>
      <c r="B2763" s="2" t="inlineStr">
        <is>
          <t>2025-07-20</t>
        </is>
      </c>
      <c r="C2763" s="2" t="inlineStr">
        <is>
          <t>C0136</t>
        </is>
      </c>
      <c r="D2763" s="2" t="inlineStr">
        <is>
          <t>P0029</t>
        </is>
      </c>
      <c r="E2763" s="2" t="inlineStr">
        <is>
          <t>Yoga Mat</t>
        </is>
      </c>
      <c r="F2763" s="2" t="inlineStr">
        <is>
          <t>Sports</t>
        </is>
      </c>
      <c r="G2763" s="2" t="inlineStr">
        <is>
          <t>North</t>
        </is>
      </c>
      <c r="H2763" s="2" t="inlineStr">
        <is>
          <t>Uttar Pradesh</t>
        </is>
      </c>
      <c r="I2763" s="2" t="inlineStr">
        <is>
          <t>Varanasi</t>
        </is>
      </c>
      <c r="J2763" s="2" t="inlineStr">
        <is>
          <t>Online</t>
        </is>
      </c>
      <c r="K2763" s="2" t="n">
        <v>3</v>
      </c>
      <c r="L2763" s="3" t="n">
        <v>2393.67</v>
      </c>
      <c r="M2763" s="4" t="n">
        <v>0.2</v>
      </c>
      <c r="N2763" s="3" t="n">
        <v>4065.22</v>
      </c>
      <c r="O2763" s="3">
        <f>K2763*L2763*(1-M2763)</f>
        <v/>
      </c>
      <c r="P2763" s="3">
        <f>O2763-N2763</f>
        <v/>
      </c>
      <c r="Q2763" s="5">
        <f>IFERROR(P2763/O2763,0)</f>
        <v/>
      </c>
      <c r="R2763" s="2">
        <f>TEXT(DATEVALUE(B2763),"mmm")</f>
        <v/>
      </c>
      <c r="S2763" s="2">
        <f>TEXT(DATEVALUE(B2763),"yyyy-mm")</f>
        <v/>
      </c>
    </row>
    <row r="2764">
      <c r="A2764" s="2" t="inlineStr">
        <is>
          <t>O003730</t>
        </is>
      </c>
      <c r="B2764" s="2" t="inlineStr">
        <is>
          <t>2025-07-20</t>
        </is>
      </c>
      <c r="C2764" s="2" t="inlineStr">
        <is>
          <t>C0508</t>
        </is>
      </c>
      <c r="D2764" s="2" t="inlineStr">
        <is>
          <t>P0004</t>
        </is>
      </c>
      <c r="E2764" s="2" t="inlineStr">
        <is>
          <t>USB-C Hub</t>
        </is>
      </c>
      <c r="F2764" s="2" t="inlineStr">
        <is>
          <t>Electronics</t>
        </is>
      </c>
      <c r="G2764" s="2" t="inlineStr">
        <is>
          <t>South</t>
        </is>
      </c>
      <c r="H2764" s="2" t="inlineStr">
        <is>
          <t>Telangana</t>
        </is>
      </c>
      <c r="I2764" s="2" t="inlineStr">
        <is>
          <t>Hyderabad</t>
        </is>
      </c>
      <c r="J2764" s="2" t="inlineStr">
        <is>
          <t>Store</t>
        </is>
      </c>
      <c r="K2764" s="2" t="n">
        <v>2</v>
      </c>
      <c r="L2764" s="3" t="n">
        <v>1282.54</v>
      </c>
      <c r="M2764" s="4" t="n">
        <v>0.15</v>
      </c>
      <c r="N2764" s="3" t="n">
        <v>1844.15</v>
      </c>
      <c r="O2764" s="3">
        <f>K2764*L2764*(1-M2764)</f>
        <v/>
      </c>
      <c r="P2764" s="3">
        <f>O2764-N2764</f>
        <v/>
      </c>
      <c r="Q2764" s="5">
        <f>IFERROR(P2764/O2764,0)</f>
        <v/>
      </c>
      <c r="R2764" s="2">
        <f>TEXT(DATEVALUE(B2764),"mmm")</f>
        <v/>
      </c>
      <c r="S2764" s="2">
        <f>TEXT(DATEVALUE(B2764),"yyyy-mm")</f>
        <v/>
      </c>
    </row>
    <row r="2765">
      <c r="A2765" s="2" t="inlineStr">
        <is>
          <t>O003588</t>
        </is>
      </c>
      <c r="B2765" s="2" t="inlineStr">
        <is>
          <t>2025-07-20</t>
        </is>
      </c>
      <c r="C2765" s="2" t="inlineStr">
        <is>
          <t>C0437</t>
        </is>
      </c>
      <c r="D2765" s="2" t="inlineStr">
        <is>
          <t>P0017</t>
        </is>
      </c>
      <c r="E2765" s="2" t="inlineStr">
        <is>
          <t>Jeans</t>
        </is>
      </c>
      <c r="F2765" s="2" t="inlineStr">
        <is>
          <t>Fashion</t>
        </is>
      </c>
      <c r="G2765" s="2" t="inlineStr">
        <is>
          <t>West</t>
        </is>
      </c>
      <c r="H2765" s="2" t="inlineStr">
        <is>
          <t>Gujarat</t>
        </is>
      </c>
      <c r="I2765" s="2" t="inlineStr">
        <is>
          <t>Vadodara</t>
        </is>
      </c>
      <c r="J2765" s="2" t="inlineStr">
        <is>
          <t>Store</t>
        </is>
      </c>
      <c r="K2765" s="2" t="n">
        <v>1</v>
      </c>
      <c r="L2765" s="3" t="n">
        <v>1542.49</v>
      </c>
      <c r="M2765" s="4" t="n">
        <v>0.05</v>
      </c>
      <c r="N2765" s="3" t="n">
        <v>1019.5</v>
      </c>
      <c r="O2765" s="3">
        <f>K2765*L2765*(1-M2765)</f>
        <v/>
      </c>
      <c r="P2765" s="3">
        <f>O2765-N2765</f>
        <v/>
      </c>
      <c r="Q2765" s="5">
        <f>IFERROR(P2765/O2765,0)</f>
        <v/>
      </c>
      <c r="R2765" s="2">
        <f>TEXT(DATEVALUE(B2765),"mmm")</f>
        <v/>
      </c>
      <c r="S2765" s="2">
        <f>TEXT(DATEVALUE(B2765),"yyyy-mm")</f>
        <v/>
      </c>
    </row>
    <row r="2766">
      <c r="A2766" s="2" t="inlineStr">
        <is>
          <t>O003430</t>
        </is>
      </c>
      <c r="B2766" s="2" t="inlineStr">
        <is>
          <t>2025-07-20</t>
        </is>
      </c>
      <c r="C2766" s="2" t="inlineStr">
        <is>
          <t>C0150</t>
        </is>
      </c>
      <c r="D2766" s="2" t="inlineStr">
        <is>
          <t>P0007</t>
        </is>
      </c>
      <c r="E2766" s="2" t="inlineStr">
        <is>
          <t>Wireless Mouse</t>
        </is>
      </c>
      <c r="F2766" s="2" t="inlineStr">
        <is>
          <t>Electronics</t>
        </is>
      </c>
      <c r="G2766" s="2" t="inlineStr">
        <is>
          <t>East</t>
        </is>
      </c>
      <c r="H2766" s="2" t="inlineStr">
        <is>
          <t>Bihar</t>
        </is>
      </c>
      <c r="I2766" s="2" t="inlineStr">
        <is>
          <t>Gaya</t>
        </is>
      </c>
      <c r="J2766" s="2" t="inlineStr">
        <is>
          <t>Store</t>
        </is>
      </c>
      <c r="K2766" s="2" t="n">
        <v>1</v>
      </c>
      <c r="L2766" s="3" t="n">
        <v>970.41</v>
      </c>
      <c r="M2766" s="4" t="n">
        <v>0</v>
      </c>
      <c r="N2766" s="3" t="n">
        <v>637.64</v>
      </c>
      <c r="O2766" s="3">
        <f>K2766*L2766*(1-M2766)</f>
        <v/>
      </c>
      <c r="P2766" s="3">
        <f>O2766-N2766</f>
        <v/>
      </c>
      <c r="Q2766" s="5">
        <f>IFERROR(P2766/O2766,0)</f>
        <v/>
      </c>
      <c r="R2766" s="2">
        <f>TEXT(DATEVALUE(B2766),"mmm")</f>
        <v/>
      </c>
      <c r="S2766" s="2">
        <f>TEXT(DATEVALUE(B2766),"yyyy-mm")</f>
        <v/>
      </c>
    </row>
    <row r="2767">
      <c r="A2767" s="2" t="inlineStr">
        <is>
          <t>O003324</t>
        </is>
      </c>
      <c r="B2767" s="2" t="inlineStr">
        <is>
          <t>2025-07-20</t>
        </is>
      </c>
      <c r="C2767" s="2" t="inlineStr">
        <is>
          <t>C0581</t>
        </is>
      </c>
      <c r="D2767" s="2" t="inlineStr">
        <is>
          <t>P0015</t>
        </is>
      </c>
      <c r="E2767" s="2" t="inlineStr">
        <is>
          <t>Running Shoes</t>
        </is>
      </c>
      <c r="F2767" s="2" t="inlineStr">
        <is>
          <t>Fashion</t>
        </is>
      </c>
      <c r="G2767" s="2" t="inlineStr">
        <is>
          <t>South</t>
        </is>
      </c>
      <c r="H2767" s="2" t="inlineStr">
        <is>
          <t>Telangana</t>
        </is>
      </c>
      <c r="I2767" s="2" t="inlineStr">
        <is>
          <t>Hyderabad</t>
        </is>
      </c>
      <c r="J2767" s="2" t="inlineStr">
        <is>
          <t>Online</t>
        </is>
      </c>
      <c r="K2767" s="2" t="n">
        <v>2</v>
      </c>
      <c r="L2767" s="3" t="n">
        <v>587.8200000000001</v>
      </c>
      <c r="M2767" s="4" t="n">
        <v>0.1</v>
      </c>
      <c r="N2767" s="3" t="n">
        <v>763.9299999999999</v>
      </c>
      <c r="O2767" s="3">
        <f>K2767*L2767*(1-M2767)</f>
        <v/>
      </c>
      <c r="P2767" s="3">
        <f>O2767-N2767</f>
        <v/>
      </c>
      <c r="Q2767" s="5">
        <f>IFERROR(P2767/O2767,0)</f>
        <v/>
      </c>
      <c r="R2767" s="2">
        <f>TEXT(DATEVALUE(B2767),"mmm")</f>
        <v/>
      </c>
      <c r="S2767" s="2">
        <f>TEXT(DATEVALUE(B2767),"yyyy-mm")</f>
        <v/>
      </c>
    </row>
    <row r="2768">
      <c r="A2768" s="2" t="inlineStr">
        <is>
          <t>O004713</t>
        </is>
      </c>
      <c r="B2768" s="2" t="inlineStr">
        <is>
          <t>2025-07-20</t>
        </is>
      </c>
      <c r="C2768" s="2" t="inlineStr">
        <is>
          <t>C0114</t>
        </is>
      </c>
      <c r="D2768" s="2" t="inlineStr">
        <is>
          <t>P0003</t>
        </is>
      </c>
      <c r="E2768" s="2" t="inlineStr">
        <is>
          <t>Smartwatch</t>
        </is>
      </c>
      <c r="F2768" s="2" t="inlineStr">
        <is>
          <t>Electronics</t>
        </is>
      </c>
      <c r="G2768" s="2" t="inlineStr">
        <is>
          <t>East</t>
        </is>
      </c>
      <c r="H2768" s="2" t="inlineStr">
        <is>
          <t>Bihar</t>
        </is>
      </c>
      <c r="I2768" s="2" t="inlineStr">
        <is>
          <t>Patna</t>
        </is>
      </c>
      <c r="J2768" s="2" t="inlineStr">
        <is>
          <t>Online</t>
        </is>
      </c>
      <c r="K2768" s="2" t="n">
        <v>2</v>
      </c>
      <c r="L2768" s="3" t="n">
        <v>2240.89</v>
      </c>
      <c r="M2768" s="4" t="n">
        <v>0.05</v>
      </c>
      <c r="N2768" s="3" t="n">
        <v>2325.84</v>
      </c>
      <c r="O2768" s="3">
        <f>K2768*L2768*(1-M2768)</f>
        <v/>
      </c>
      <c r="P2768" s="3">
        <f>O2768-N2768</f>
        <v/>
      </c>
      <c r="Q2768" s="5">
        <f>IFERROR(P2768/O2768,0)</f>
        <v/>
      </c>
      <c r="R2768" s="2">
        <f>TEXT(DATEVALUE(B2768),"mmm")</f>
        <v/>
      </c>
      <c r="S2768" s="2">
        <f>TEXT(DATEVALUE(B2768),"yyyy-mm")</f>
        <v/>
      </c>
    </row>
    <row r="2769">
      <c r="A2769" s="2" t="inlineStr">
        <is>
          <t>O003123</t>
        </is>
      </c>
      <c r="B2769" s="2" t="inlineStr">
        <is>
          <t>2025-07-20</t>
        </is>
      </c>
      <c r="C2769" s="2" t="inlineStr">
        <is>
          <t>C0235</t>
        </is>
      </c>
      <c r="D2769" s="2" t="inlineStr">
        <is>
          <t>P0029</t>
        </is>
      </c>
      <c r="E2769" s="2" t="inlineStr">
        <is>
          <t>Yoga Mat</t>
        </is>
      </c>
      <c r="F2769" s="2" t="inlineStr">
        <is>
          <t>Sports</t>
        </is>
      </c>
      <c r="G2769" s="2" t="inlineStr">
        <is>
          <t>West</t>
        </is>
      </c>
      <c r="H2769" s="2" t="inlineStr">
        <is>
          <t>Goa</t>
        </is>
      </c>
      <c r="I2769" s="2" t="inlineStr">
        <is>
          <t>Margao</t>
        </is>
      </c>
      <c r="J2769" s="2" t="inlineStr">
        <is>
          <t>Online</t>
        </is>
      </c>
      <c r="K2769" s="2" t="n">
        <v>2</v>
      </c>
      <c r="L2769" s="3" t="n">
        <v>2504.21</v>
      </c>
      <c r="M2769" s="4" t="n">
        <v>0</v>
      </c>
      <c r="N2769" s="3" t="n">
        <v>2620.51</v>
      </c>
      <c r="O2769" s="3">
        <f>K2769*L2769*(1-M2769)</f>
        <v/>
      </c>
      <c r="P2769" s="3">
        <f>O2769-N2769</f>
        <v/>
      </c>
      <c r="Q2769" s="5">
        <f>IFERROR(P2769/O2769,0)</f>
        <v/>
      </c>
      <c r="R2769" s="2">
        <f>TEXT(DATEVALUE(B2769),"mmm")</f>
        <v/>
      </c>
      <c r="S2769" s="2">
        <f>TEXT(DATEVALUE(B2769),"yyyy-mm")</f>
        <v/>
      </c>
    </row>
    <row r="2770">
      <c r="A2770" s="2" t="inlineStr">
        <is>
          <t>O001407</t>
        </is>
      </c>
      <c r="B2770" s="2" t="inlineStr">
        <is>
          <t>2025-07-20</t>
        </is>
      </c>
      <c r="C2770" s="2" t="inlineStr">
        <is>
          <t>C0476</t>
        </is>
      </c>
      <c r="D2770" s="2" t="inlineStr">
        <is>
          <t>P0007</t>
        </is>
      </c>
      <c r="E2770" s="2" t="inlineStr">
        <is>
          <t>Wireless Mouse</t>
        </is>
      </c>
      <c r="F2770" s="2" t="inlineStr">
        <is>
          <t>Electronics</t>
        </is>
      </c>
      <c r="G2770" s="2" t="inlineStr">
        <is>
          <t>East</t>
        </is>
      </c>
      <c r="H2770" s="2" t="inlineStr">
        <is>
          <t>West Bengal</t>
        </is>
      </c>
      <c r="I2770" s="2" t="inlineStr">
        <is>
          <t>Kolkata</t>
        </is>
      </c>
      <c r="J2770" s="2" t="inlineStr">
        <is>
          <t>Store</t>
        </is>
      </c>
      <c r="K2770" s="2" t="n">
        <v>6</v>
      </c>
      <c r="L2770" s="3" t="n">
        <v>959.4400000000001</v>
      </c>
      <c r="M2770" s="4" t="n">
        <v>0</v>
      </c>
      <c r="N2770" s="3" t="n">
        <v>3762.4</v>
      </c>
      <c r="O2770" s="3">
        <f>K2770*L2770*(1-M2770)</f>
        <v/>
      </c>
      <c r="P2770" s="3">
        <f>O2770-N2770</f>
        <v/>
      </c>
      <c r="Q2770" s="5">
        <f>IFERROR(P2770/O2770,0)</f>
        <v/>
      </c>
      <c r="R2770" s="2">
        <f>TEXT(DATEVALUE(B2770),"mmm")</f>
        <v/>
      </c>
      <c r="S2770" s="2">
        <f>TEXT(DATEVALUE(B2770),"yyyy-mm")</f>
        <v/>
      </c>
    </row>
    <row r="2771">
      <c r="A2771" s="2" t="inlineStr">
        <is>
          <t>O001404</t>
        </is>
      </c>
      <c r="B2771" s="2" t="inlineStr">
        <is>
          <t>2025-07-20</t>
        </is>
      </c>
      <c r="C2771" s="2" t="inlineStr">
        <is>
          <t>C0793</t>
        </is>
      </c>
      <c r="D2771" s="2" t="inlineStr">
        <is>
          <t>P0016</t>
        </is>
      </c>
      <c r="E2771" s="2" t="inlineStr">
        <is>
          <t>Casual Shirt</t>
        </is>
      </c>
      <c r="F2771" s="2" t="inlineStr">
        <is>
          <t>Fashion</t>
        </is>
      </c>
      <c r="G2771" s="2" t="inlineStr">
        <is>
          <t>East</t>
        </is>
      </c>
      <c r="H2771" s="2" t="inlineStr">
        <is>
          <t>Bihar</t>
        </is>
      </c>
      <c r="I2771" s="2" t="inlineStr">
        <is>
          <t>Gaya</t>
        </is>
      </c>
      <c r="J2771" s="2" t="inlineStr">
        <is>
          <t>Online</t>
        </is>
      </c>
      <c r="K2771" s="2" t="n">
        <v>5</v>
      </c>
      <c r="L2771" s="3" t="n">
        <v>1240.02</v>
      </c>
      <c r="M2771" s="4" t="n">
        <v>0.2</v>
      </c>
      <c r="N2771" s="3" t="n">
        <v>4388.72</v>
      </c>
      <c r="O2771" s="3">
        <f>K2771*L2771*(1-M2771)</f>
        <v/>
      </c>
      <c r="P2771" s="3">
        <f>O2771-N2771</f>
        <v/>
      </c>
      <c r="Q2771" s="5">
        <f>IFERROR(P2771/O2771,0)</f>
        <v/>
      </c>
      <c r="R2771" s="2">
        <f>TEXT(DATEVALUE(B2771),"mmm")</f>
        <v/>
      </c>
      <c r="S2771" s="2">
        <f>TEXT(DATEVALUE(B2771),"yyyy-mm")</f>
        <v/>
      </c>
    </row>
    <row r="2772">
      <c r="A2772" s="2" t="inlineStr">
        <is>
          <t>O001325</t>
        </is>
      </c>
      <c r="B2772" s="2" t="inlineStr">
        <is>
          <t>2025-07-20</t>
        </is>
      </c>
      <c r="C2772" s="2" t="inlineStr">
        <is>
          <t>C0781</t>
        </is>
      </c>
      <c r="D2772" s="2" t="inlineStr">
        <is>
          <t>P0015</t>
        </is>
      </c>
      <c r="E2772" s="2" t="inlineStr">
        <is>
          <t>Running Shoes</t>
        </is>
      </c>
      <c r="F2772" s="2" t="inlineStr">
        <is>
          <t>Fashion</t>
        </is>
      </c>
      <c r="G2772" s="2" t="inlineStr">
        <is>
          <t>West</t>
        </is>
      </c>
      <c r="H2772" s="2" t="inlineStr">
        <is>
          <t>Gujarat</t>
        </is>
      </c>
      <c r="I2772" s="2" t="inlineStr">
        <is>
          <t>Ahmedabad</t>
        </is>
      </c>
      <c r="J2772" s="2" t="inlineStr">
        <is>
          <t>Store</t>
        </is>
      </c>
      <c r="K2772" s="2" t="n">
        <v>1</v>
      </c>
      <c r="L2772" s="3" t="n">
        <v>621.22</v>
      </c>
      <c r="M2772" s="4" t="n">
        <v>0.05</v>
      </c>
      <c r="N2772" s="3" t="n">
        <v>380.76</v>
      </c>
      <c r="O2772" s="3">
        <f>K2772*L2772*(1-M2772)</f>
        <v/>
      </c>
      <c r="P2772" s="3">
        <f>O2772-N2772</f>
        <v/>
      </c>
      <c r="Q2772" s="5">
        <f>IFERROR(P2772/O2772,0)</f>
        <v/>
      </c>
      <c r="R2772" s="2">
        <f>TEXT(DATEVALUE(B2772),"mmm")</f>
        <v/>
      </c>
      <c r="S2772" s="2">
        <f>TEXT(DATEVALUE(B2772),"yyyy-mm")</f>
        <v/>
      </c>
    </row>
    <row r="2773">
      <c r="A2773" s="2" t="inlineStr">
        <is>
          <t>O000704</t>
        </is>
      </c>
      <c r="B2773" s="2" t="inlineStr">
        <is>
          <t>2025-07-20</t>
        </is>
      </c>
      <c r="C2773" s="2" t="inlineStr">
        <is>
          <t>C0693</t>
        </is>
      </c>
      <c r="D2773" s="2" t="inlineStr">
        <is>
          <t>P0021</t>
        </is>
      </c>
      <c r="E2773" s="2" t="inlineStr">
        <is>
          <t>Wallet</t>
        </is>
      </c>
      <c r="F2773" s="2" t="inlineStr">
        <is>
          <t>Fashion</t>
        </is>
      </c>
      <c r="G2773" s="2" t="inlineStr">
        <is>
          <t>East</t>
        </is>
      </c>
      <c r="H2773" s="2" t="inlineStr">
        <is>
          <t>Bihar</t>
        </is>
      </c>
      <c r="I2773" s="2" t="inlineStr">
        <is>
          <t>Patna</t>
        </is>
      </c>
      <c r="J2773" s="2" t="inlineStr">
        <is>
          <t>Store</t>
        </is>
      </c>
      <c r="K2773" s="2" t="n">
        <v>1</v>
      </c>
      <c r="L2773" s="3" t="n">
        <v>1946.76</v>
      </c>
      <c r="M2773" s="4" t="n">
        <v>0.05</v>
      </c>
      <c r="N2773" s="3" t="n">
        <v>1248.08</v>
      </c>
      <c r="O2773" s="3">
        <f>K2773*L2773*(1-M2773)</f>
        <v/>
      </c>
      <c r="P2773" s="3">
        <f>O2773-N2773</f>
        <v/>
      </c>
      <c r="Q2773" s="5">
        <f>IFERROR(P2773/O2773,0)</f>
        <v/>
      </c>
      <c r="R2773" s="2">
        <f>TEXT(DATEVALUE(B2773),"mmm")</f>
        <v/>
      </c>
      <c r="S2773" s="2">
        <f>TEXT(DATEVALUE(B2773),"yyyy-mm")</f>
        <v/>
      </c>
    </row>
    <row r="2774">
      <c r="A2774" s="2" t="inlineStr">
        <is>
          <t>O000235</t>
        </is>
      </c>
      <c r="B2774" s="2" t="inlineStr">
        <is>
          <t>2025-07-20</t>
        </is>
      </c>
      <c r="C2774" s="2" t="inlineStr">
        <is>
          <t>C0344</t>
        </is>
      </c>
      <c r="D2774" s="2" t="inlineStr">
        <is>
          <t>P0016</t>
        </is>
      </c>
      <c r="E2774" s="2" t="inlineStr">
        <is>
          <t>Casual Shirt</t>
        </is>
      </c>
      <c r="F2774" s="2" t="inlineStr">
        <is>
          <t>Fashion</t>
        </is>
      </c>
      <c r="G2774" s="2" t="inlineStr">
        <is>
          <t>South</t>
        </is>
      </c>
      <c r="H2774" s="2" t="inlineStr">
        <is>
          <t>Tamil Nadu</t>
        </is>
      </c>
      <c r="I2774" s="2" t="inlineStr">
        <is>
          <t>Coimbatore</t>
        </is>
      </c>
      <c r="J2774" s="2" t="inlineStr">
        <is>
          <t>Store</t>
        </is>
      </c>
      <c r="K2774" s="2" t="n">
        <v>1</v>
      </c>
      <c r="L2774" s="3" t="n">
        <v>1300.16</v>
      </c>
      <c r="M2774" s="4" t="n">
        <v>0.1</v>
      </c>
      <c r="N2774" s="3" t="n">
        <v>880.21</v>
      </c>
      <c r="O2774" s="3">
        <f>K2774*L2774*(1-M2774)</f>
        <v/>
      </c>
      <c r="P2774" s="3">
        <f>O2774-N2774</f>
        <v/>
      </c>
      <c r="Q2774" s="5">
        <f>IFERROR(P2774/O2774,0)</f>
        <v/>
      </c>
      <c r="R2774" s="2">
        <f>TEXT(DATEVALUE(B2774),"mmm")</f>
        <v/>
      </c>
      <c r="S2774" s="2">
        <f>TEXT(DATEVALUE(B2774),"yyyy-mm")</f>
        <v/>
      </c>
    </row>
    <row r="2775">
      <c r="A2775" s="2" t="inlineStr">
        <is>
          <t>O000112</t>
        </is>
      </c>
      <c r="B2775" s="2" t="inlineStr">
        <is>
          <t>2025-07-20</t>
        </is>
      </c>
      <c r="C2775" s="2" t="inlineStr">
        <is>
          <t>C0314</t>
        </is>
      </c>
      <c r="D2775" s="2" t="inlineStr">
        <is>
          <t>P0011</t>
        </is>
      </c>
      <c r="E2775" s="2" t="inlineStr">
        <is>
          <t>Cookware Set</t>
        </is>
      </c>
      <c r="F2775" s="2" t="inlineStr">
        <is>
          <t>Home &amp; Kitchen</t>
        </is>
      </c>
      <c r="G2775" s="2" t="inlineStr">
        <is>
          <t>West</t>
        </is>
      </c>
      <c r="H2775" s="2" t="inlineStr">
        <is>
          <t>Gujarat</t>
        </is>
      </c>
      <c r="I2775" s="2" t="inlineStr">
        <is>
          <t>Surat</t>
        </is>
      </c>
      <c r="J2775" s="2" t="inlineStr">
        <is>
          <t>Online</t>
        </is>
      </c>
      <c r="K2775" s="2" t="n">
        <v>2</v>
      </c>
      <c r="L2775" s="3" t="n">
        <v>705.42</v>
      </c>
      <c r="M2775" s="4" t="n">
        <v>0.05</v>
      </c>
      <c r="N2775" s="3" t="n">
        <v>934.08</v>
      </c>
      <c r="O2775" s="3">
        <f>K2775*L2775*(1-M2775)</f>
        <v/>
      </c>
      <c r="P2775" s="3">
        <f>O2775-N2775</f>
        <v/>
      </c>
      <c r="Q2775" s="5">
        <f>IFERROR(P2775/O2775,0)</f>
        <v/>
      </c>
      <c r="R2775" s="2">
        <f>TEXT(DATEVALUE(B2775),"mmm")</f>
        <v/>
      </c>
      <c r="S2775" s="2">
        <f>TEXT(DATEVALUE(B2775),"yyyy-mm")</f>
        <v/>
      </c>
    </row>
    <row r="2776">
      <c r="A2776" s="2" t="inlineStr">
        <is>
          <t>O003069</t>
        </is>
      </c>
      <c r="B2776" s="2" t="inlineStr">
        <is>
          <t>2025-07-20</t>
        </is>
      </c>
      <c r="C2776" s="2" t="inlineStr">
        <is>
          <t>C0114</t>
        </is>
      </c>
      <c r="D2776" s="2" t="inlineStr">
        <is>
          <t>P0028</t>
        </is>
      </c>
      <c r="E2776" s="2" t="inlineStr">
        <is>
          <t>Trimmer</t>
        </is>
      </c>
      <c r="F2776" s="2" t="inlineStr">
        <is>
          <t>Beauty</t>
        </is>
      </c>
      <c r="G2776" s="2" t="inlineStr">
        <is>
          <t>West</t>
        </is>
      </c>
      <c r="H2776" s="2" t="inlineStr">
        <is>
          <t>Maharashtra</t>
        </is>
      </c>
      <c r="I2776" s="2" t="inlineStr">
        <is>
          <t>Mumbai</t>
        </is>
      </c>
      <c r="J2776" s="2" t="inlineStr">
        <is>
          <t>Online</t>
        </is>
      </c>
      <c r="K2776" s="2" t="n">
        <v>1</v>
      </c>
      <c r="L2776" s="3" t="n">
        <v>442.36</v>
      </c>
      <c r="M2776" s="4" t="n">
        <v>0.15</v>
      </c>
      <c r="N2776" s="3" t="n">
        <v>251.9</v>
      </c>
      <c r="O2776" s="3">
        <f>K2776*L2776*(1-M2776)</f>
        <v/>
      </c>
      <c r="P2776" s="3">
        <f>O2776-N2776</f>
        <v/>
      </c>
      <c r="Q2776" s="5">
        <f>IFERROR(P2776/O2776,0)</f>
        <v/>
      </c>
      <c r="R2776" s="2">
        <f>TEXT(DATEVALUE(B2776),"mmm")</f>
        <v/>
      </c>
      <c r="S2776" s="2">
        <f>TEXT(DATEVALUE(B2776),"yyyy-mm")</f>
        <v/>
      </c>
    </row>
    <row r="2777">
      <c r="A2777" s="2" t="inlineStr">
        <is>
          <t>O004497</t>
        </is>
      </c>
      <c r="B2777" s="2" t="inlineStr">
        <is>
          <t>2025-07-21</t>
        </is>
      </c>
      <c r="C2777" s="2" t="inlineStr">
        <is>
          <t>C0441</t>
        </is>
      </c>
      <c r="D2777" s="2" t="inlineStr">
        <is>
          <t>P0021</t>
        </is>
      </c>
      <c r="E2777" s="2" t="inlineStr">
        <is>
          <t>Wallet</t>
        </is>
      </c>
      <c r="F2777" s="2" t="inlineStr">
        <is>
          <t>Fashion</t>
        </is>
      </c>
      <c r="G2777" s="2" t="inlineStr">
        <is>
          <t>North</t>
        </is>
      </c>
      <c r="H2777" s="2" t="inlineStr">
        <is>
          <t>Haryana</t>
        </is>
      </c>
      <c r="I2777" s="2" t="inlineStr">
        <is>
          <t>Gurugram</t>
        </is>
      </c>
      <c r="J2777" s="2" t="inlineStr">
        <is>
          <t>Store</t>
        </is>
      </c>
      <c r="K2777" s="2" t="n">
        <v>2</v>
      </c>
      <c r="L2777" s="3" t="n">
        <v>2064.52</v>
      </c>
      <c r="M2777" s="4" t="n">
        <v>0</v>
      </c>
      <c r="N2777" s="3" t="n">
        <v>2498.69</v>
      </c>
      <c r="O2777" s="3">
        <f>K2777*L2777*(1-M2777)</f>
        <v/>
      </c>
      <c r="P2777" s="3">
        <f>O2777-N2777</f>
        <v/>
      </c>
      <c r="Q2777" s="5">
        <f>IFERROR(P2777/O2777,0)</f>
        <v/>
      </c>
      <c r="R2777" s="2">
        <f>TEXT(DATEVALUE(B2777),"mmm")</f>
        <v/>
      </c>
      <c r="S2777" s="2">
        <f>TEXT(DATEVALUE(B2777),"yyyy-mm")</f>
        <v/>
      </c>
    </row>
    <row r="2778">
      <c r="A2778" s="2" t="inlineStr">
        <is>
          <t>O004306</t>
        </is>
      </c>
      <c r="B2778" s="2" t="inlineStr">
        <is>
          <t>2025-07-21</t>
        </is>
      </c>
      <c r="C2778" s="2" t="inlineStr">
        <is>
          <t>C0536</t>
        </is>
      </c>
      <c r="D2778" s="2" t="inlineStr">
        <is>
          <t>P0004</t>
        </is>
      </c>
      <c r="E2778" s="2" t="inlineStr">
        <is>
          <t>USB-C Hub</t>
        </is>
      </c>
      <c r="F2778" s="2" t="inlineStr">
        <is>
          <t>Electronics</t>
        </is>
      </c>
      <c r="G2778" s="2" t="inlineStr">
        <is>
          <t>South</t>
        </is>
      </c>
      <c r="H2778" s="2" t="inlineStr">
        <is>
          <t>Karnataka</t>
        </is>
      </c>
      <c r="I2778" s="2" t="inlineStr">
        <is>
          <t>Mysuru</t>
        </is>
      </c>
      <c r="J2778" s="2" t="inlineStr">
        <is>
          <t>Store</t>
        </is>
      </c>
      <c r="K2778" s="2" t="n">
        <v>1</v>
      </c>
      <c r="L2778" s="3" t="n">
        <v>1320.22</v>
      </c>
      <c r="M2778" s="4" t="n">
        <v>0.15</v>
      </c>
      <c r="N2778" s="3" t="n">
        <v>925.3099999999999</v>
      </c>
      <c r="O2778" s="3">
        <f>K2778*L2778*(1-M2778)</f>
        <v/>
      </c>
      <c r="P2778" s="3">
        <f>O2778-N2778</f>
        <v/>
      </c>
      <c r="Q2778" s="5">
        <f>IFERROR(P2778/O2778,0)</f>
        <v/>
      </c>
      <c r="R2778" s="2">
        <f>TEXT(DATEVALUE(B2778),"mmm")</f>
        <v/>
      </c>
      <c r="S2778" s="2">
        <f>TEXT(DATEVALUE(B2778),"yyyy-mm")</f>
        <v/>
      </c>
    </row>
    <row r="2779">
      <c r="A2779" s="2" t="inlineStr">
        <is>
          <t>O004300</t>
        </is>
      </c>
      <c r="B2779" s="2" t="inlineStr">
        <is>
          <t>2025-07-21</t>
        </is>
      </c>
      <c r="C2779" s="2" t="inlineStr">
        <is>
          <t>C0001</t>
        </is>
      </c>
      <c r="D2779" s="2" t="inlineStr">
        <is>
          <t>P0006</t>
        </is>
      </c>
      <c r="E2779" s="2" t="inlineStr">
        <is>
          <t>Mechanical Keyboard</t>
        </is>
      </c>
      <c r="F2779" s="2" t="inlineStr">
        <is>
          <t>Electronics</t>
        </is>
      </c>
      <c r="G2779" s="2" t="inlineStr">
        <is>
          <t>West</t>
        </is>
      </c>
      <c r="H2779" s="2" t="inlineStr">
        <is>
          <t>Maharashtra</t>
        </is>
      </c>
      <c r="I2779" s="2" t="inlineStr">
        <is>
          <t>Thane</t>
        </is>
      </c>
      <c r="J2779" s="2" t="inlineStr">
        <is>
          <t>Store</t>
        </is>
      </c>
      <c r="K2779" s="2" t="n">
        <v>4</v>
      </c>
      <c r="L2779" s="3" t="n">
        <v>2834.66</v>
      </c>
      <c r="M2779" s="4" t="n">
        <v>0.2</v>
      </c>
      <c r="N2779" s="3" t="n">
        <v>5939.64</v>
      </c>
      <c r="O2779" s="3">
        <f>K2779*L2779*(1-M2779)</f>
        <v/>
      </c>
      <c r="P2779" s="3">
        <f>O2779-N2779</f>
        <v/>
      </c>
      <c r="Q2779" s="5">
        <f>IFERROR(P2779/O2779,0)</f>
        <v/>
      </c>
      <c r="R2779" s="2">
        <f>TEXT(DATEVALUE(B2779),"mmm")</f>
        <v/>
      </c>
      <c r="S2779" s="2">
        <f>TEXT(DATEVALUE(B2779),"yyyy-mm")</f>
        <v/>
      </c>
    </row>
    <row r="2780">
      <c r="A2780" s="2" t="inlineStr">
        <is>
          <t>O003927</t>
        </is>
      </c>
      <c r="B2780" s="2" t="inlineStr">
        <is>
          <t>2025-07-21</t>
        </is>
      </c>
      <c r="C2780" s="2" t="inlineStr">
        <is>
          <t>C0686</t>
        </is>
      </c>
      <c r="D2780" s="2" t="inlineStr">
        <is>
          <t>P0006</t>
        </is>
      </c>
      <c r="E2780" s="2" t="inlineStr">
        <is>
          <t>Mechanical Keyboard</t>
        </is>
      </c>
      <c r="F2780" s="2" t="inlineStr">
        <is>
          <t>Electronics</t>
        </is>
      </c>
      <c r="G2780" s="2" t="inlineStr">
        <is>
          <t>West</t>
        </is>
      </c>
      <c r="H2780" s="2" t="inlineStr">
        <is>
          <t>Maharashtra</t>
        </is>
      </c>
      <c r="I2780" s="2" t="inlineStr">
        <is>
          <t>Nashik</t>
        </is>
      </c>
      <c r="J2780" s="2" t="inlineStr">
        <is>
          <t>Online</t>
        </is>
      </c>
      <c r="K2780" s="2" t="n">
        <v>5</v>
      </c>
      <c r="L2780" s="3" t="n">
        <v>2773.51</v>
      </c>
      <c r="M2780" s="4" t="n">
        <v>0.05</v>
      </c>
      <c r="N2780" s="3" t="n">
        <v>7337.38</v>
      </c>
      <c r="O2780" s="3">
        <f>K2780*L2780*(1-M2780)</f>
        <v/>
      </c>
      <c r="P2780" s="3">
        <f>O2780-N2780</f>
        <v/>
      </c>
      <c r="Q2780" s="5">
        <f>IFERROR(P2780/O2780,0)</f>
        <v/>
      </c>
      <c r="R2780" s="2">
        <f>TEXT(DATEVALUE(B2780),"mmm")</f>
        <v/>
      </c>
      <c r="S2780" s="2">
        <f>TEXT(DATEVALUE(B2780),"yyyy-mm")</f>
        <v/>
      </c>
    </row>
    <row r="2781">
      <c r="A2781" s="2" t="inlineStr">
        <is>
          <t>O003389</t>
        </is>
      </c>
      <c r="B2781" s="2" t="inlineStr">
        <is>
          <t>2025-07-21</t>
        </is>
      </c>
      <c r="C2781" s="2" t="inlineStr">
        <is>
          <t>C0531</t>
        </is>
      </c>
      <c r="D2781" s="2" t="inlineStr">
        <is>
          <t>P0014</t>
        </is>
      </c>
      <c r="E2781" s="2" t="inlineStr">
        <is>
          <t>Coffee Maker</t>
        </is>
      </c>
      <c r="F2781" s="2" t="inlineStr">
        <is>
          <t>Home &amp; Kitchen</t>
        </is>
      </c>
      <c r="G2781" s="2" t="inlineStr">
        <is>
          <t>East</t>
        </is>
      </c>
      <c r="H2781" s="2" t="inlineStr">
        <is>
          <t>West Bengal</t>
        </is>
      </c>
      <c r="I2781" s="2" t="inlineStr">
        <is>
          <t>Durgapur</t>
        </is>
      </c>
      <c r="J2781" s="2" t="inlineStr">
        <is>
          <t>Online</t>
        </is>
      </c>
      <c r="K2781" s="2" t="n">
        <v>4</v>
      </c>
      <c r="L2781" s="3" t="n">
        <v>1025.49</v>
      </c>
      <c r="M2781" s="4" t="n">
        <v>0.1</v>
      </c>
      <c r="N2781" s="3" t="n">
        <v>3109.44</v>
      </c>
      <c r="O2781" s="3">
        <f>K2781*L2781*(1-M2781)</f>
        <v/>
      </c>
      <c r="P2781" s="3">
        <f>O2781-N2781</f>
        <v/>
      </c>
      <c r="Q2781" s="5">
        <f>IFERROR(P2781/O2781,0)</f>
        <v/>
      </c>
      <c r="R2781" s="2">
        <f>TEXT(DATEVALUE(B2781),"mmm")</f>
        <v/>
      </c>
      <c r="S2781" s="2">
        <f>TEXT(DATEVALUE(B2781),"yyyy-mm")</f>
        <v/>
      </c>
    </row>
    <row r="2782">
      <c r="A2782" s="2" t="inlineStr">
        <is>
          <t>O003317</t>
        </is>
      </c>
      <c r="B2782" s="2" t="inlineStr">
        <is>
          <t>2025-07-21</t>
        </is>
      </c>
      <c r="C2782" s="2" t="inlineStr">
        <is>
          <t>C0615</t>
        </is>
      </c>
      <c r="D2782" s="2" t="inlineStr">
        <is>
          <t>P0032</t>
        </is>
      </c>
      <c r="E2782" s="2" t="inlineStr">
        <is>
          <t>Football</t>
        </is>
      </c>
      <c r="F2782" s="2" t="inlineStr">
        <is>
          <t>Sports</t>
        </is>
      </c>
      <c r="G2782" s="2" t="inlineStr">
        <is>
          <t>West</t>
        </is>
      </c>
      <c r="H2782" s="2" t="inlineStr">
        <is>
          <t>Goa</t>
        </is>
      </c>
      <c r="I2782" s="2" t="inlineStr">
        <is>
          <t>Panaji</t>
        </is>
      </c>
      <c r="J2782" s="2" t="inlineStr">
        <is>
          <t>Online</t>
        </is>
      </c>
      <c r="K2782" s="2" t="n">
        <v>4</v>
      </c>
      <c r="L2782" s="3" t="n">
        <v>826.28</v>
      </c>
      <c r="M2782" s="4" t="n">
        <v>0.15</v>
      </c>
      <c r="N2782" s="3" t="n">
        <v>2109.47</v>
      </c>
      <c r="O2782" s="3">
        <f>K2782*L2782*(1-M2782)</f>
        <v/>
      </c>
      <c r="P2782" s="3">
        <f>O2782-N2782</f>
        <v/>
      </c>
      <c r="Q2782" s="5">
        <f>IFERROR(P2782/O2782,0)</f>
        <v/>
      </c>
      <c r="R2782" s="2">
        <f>TEXT(DATEVALUE(B2782),"mmm")</f>
        <v/>
      </c>
      <c r="S2782" s="2">
        <f>TEXT(DATEVALUE(B2782),"yyyy-mm")</f>
        <v/>
      </c>
    </row>
    <row r="2783">
      <c r="A2783" s="2" t="inlineStr">
        <is>
          <t>O002720</t>
        </is>
      </c>
      <c r="B2783" s="2" t="inlineStr">
        <is>
          <t>2025-07-21</t>
        </is>
      </c>
      <c r="C2783" s="2" t="inlineStr">
        <is>
          <t>C0784</t>
        </is>
      </c>
      <c r="D2783" s="2" t="inlineStr">
        <is>
          <t>P0018</t>
        </is>
      </c>
      <c r="E2783" s="2" t="inlineStr">
        <is>
          <t>Backpack</t>
        </is>
      </c>
      <c r="F2783" s="2" t="inlineStr">
        <is>
          <t>Fashion</t>
        </is>
      </c>
      <c r="G2783" s="2" t="inlineStr">
        <is>
          <t>South</t>
        </is>
      </c>
      <c r="H2783" s="2" t="inlineStr">
        <is>
          <t>Kerala</t>
        </is>
      </c>
      <c r="I2783" s="2" t="inlineStr">
        <is>
          <t>Thiruvananthapuram</t>
        </is>
      </c>
      <c r="J2783" s="2" t="inlineStr">
        <is>
          <t>Online</t>
        </is>
      </c>
      <c r="K2783" s="2" t="n">
        <v>2</v>
      </c>
      <c r="L2783" s="3" t="n">
        <v>1848.03</v>
      </c>
      <c r="M2783" s="4" t="n">
        <v>0.05</v>
      </c>
      <c r="N2783" s="3" t="n">
        <v>2661.93</v>
      </c>
      <c r="O2783" s="3">
        <f>K2783*L2783*(1-M2783)</f>
        <v/>
      </c>
      <c r="P2783" s="3">
        <f>O2783-N2783</f>
        <v/>
      </c>
      <c r="Q2783" s="5">
        <f>IFERROR(P2783/O2783,0)</f>
        <v/>
      </c>
      <c r="R2783" s="2">
        <f>TEXT(DATEVALUE(B2783),"mmm")</f>
        <v/>
      </c>
      <c r="S2783" s="2">
        <f>TEXT(DATEVALUE(B2783),"yyyy-mm")</f>
        <v/>
      </c>
    </row>
    <row r="2784">
      <c r="A2784" s="2" t="inlineStr">
        <is>
          <t>O002224</t>
        </is>
      </c>
      <c r="B2784" s="2" t="inlineStr">
        <is>
          <t>2025-07-21</t>
        </is>
      </c>
      <c r="C2784" s="2" t="inlineStr">
        <is>
          <t>C0311</t>
        </is>
      </c>
      <c r="D2784" s="2" t="inlineStr">
        <is>
          <t>P0018</t>
        </is>
      </c>
      <c r="E2784" s="2" t="inlineStr">
        <is>
          <t>Backpack</t>
        </is>
      </c>
      <c r="F2784" s="2" t="inlineStr">
        <is>
          <t>Fashion</t>
        </is>
      </c>
      <c r="G2784" s="2" t="inlineStr">
        <is>
          <t>North</t>
        </is>
      </c>
      <c r="H2784" s="2" t="inlineStr">
        <is>
          <t>Haryana</t>
        </is>
      </c>
      <c r="I2784" s="2" t="inlineStr">
        <is>
          <t>Faridabad</t>
        </is>
      </c>
      <c r="J2784" s="2" t="inlineStr">
        <is>
          <t>Store</t>
        </is>
      </c>
      <c r="K2784" s="2" t="n">
        <v>2</v>
      </c>
      <c r="L2784" s="3" t="n">
        <v>1882.58</v>
      </c>
      <c r="M2784" s="4" t="n">
        <v>0.05</v>
      </c>
      <c r="N2784" s="3" t="n">
        <v>2711.35</v>
      </c>
      <c r="O2784" s="3">
        <f>K2784*L2784*(1-M2784)</f>
        <v/>
      </c>
      <c r="P2784" s="3">
        <f>O2784-N2784</f>
        <v/>
      </c>
      <c r="Q2784" s="5">
        <f>IFERROR(P2784/O2784,0)</f>
        <v/>
      </c>
      <c r="R2784" s="2">
        <f>TEXT(DATEVALUE(B2784),"mmm")</f>
        <v/>
      </c>
      <c r="S2784" s="2">
        <f>TEXT(DATEVALUE(B2784),"yyyy-mm")</f>
        <v/>
      </c>
    </row>
    <row r="2785">
      <c r="A2785" s="2" t="inlineStr">
        <is>
          <t>O004162</t>
        </is>
      </c>
      <c r="B2785" s="2" t="inlineStr">
        <is>
          <t>2025-07-21</t>
        </is>
      </c>
      <c r="C2785" s="2" t="inlineStr">
        <is>
          <t>C0769</t>
        </is>
      </c>
      <c r="D2785" s="2" t="inlineStr">
        <is>
          <t>P0028</t>
        </is>
      </c>
      <c r="E2785" s="2" t="inlineStr">
        <is>
          <t>Trimmer</t>
        </is>
      </c>
      <c r="F2785" s="2" t="inlineStr">
        <is>
          <t>Beauty</t>
        </is>
      </c>
      <c r="G2785" s="2" t="inlineStr">
        <is>
          <t>West</t>
        </is>
      </c>
      <c r="H2785" s="2" t="inlineStr">
        <is>
          <t>Maharashtra</t>
        </is>
      </c>
      <c r="I2785" s="2" t="inlineStr">
        <is>
          <t>Pune</t>
        </is>
      </c>
      <c r="J2785" s="2" t="inlineStr">
        <is>
          <t>Online</t>
        </is>
      </c>
      <c r="K2785" s="2" t="n">
        <v>1</v>
      </c>
      <c r="L2785" s="3" t="n">
        <v>448.78</v>
      </c>
      <c r="M2785" s="4" t="n">
        <v>0.1</v>
      </c>
      <c r="N2785" s="3" t="n">
        <v>255.19</v>
      </c>
      <c r="O2785" s="3">
        <f>K2785*L2785*(1-M2785)</f>
        <v/>
      </c>
      <c r="P2785" s="3">
        <f>O2785-N2785</f>
        <v/>
      </c>
      <c r="Q2785" s="5">
        <f>IFERROR(P2785/O2785,0)</f>
        <v/>
      </c>
      <c r="R2785" s="2">
        <f>TEXT(DATEVALUE(B2785),"mmm")</f>
        <v/>
      </c>
      <c r="S2785" s="2">
        <f>TEXT(DATEVALUE(B2785),"yyyy-mm")</f>
        <v/>
      </c>
    </row>
    <row r="2786">
      <c r="A2786" s="2" t="inlineStr">
        <is>
          <t>O001821</t>
        </is>
      </c>
      <c r="B2786" s="2" t="inlineStr">
        <is>
          <t>2025-07-21</t>
        </is>
      </c>
      <c r="C2786" s="2" t="inlineStr">
        <is>
          <t>C0269</t>
        </is>
      </c>
      <c r="D2786" s="2" t="inlineStr">
        <is>
          <t>P0024</t>
        </is>
      </c>
      <c r="E2786" s="2" t="inlineStr">
        <is>
          <t>Hair Dryer</t>
        </is>
      </c>
      <c r="F2786" s="2" t="inlineStr">
        <is>
          <t>Beauty</t>
        </is>
      </c>
      <c r="G2786" s="2" t="inlineStr">
        <is>
          <t>North</t>
        </is>
      </c>
      <c r="H2786" s="2" t="inlineStr">
        <is>
          <t>Uttar Pradesh</t>
        </is>
      </c>
      <c r="I2786" s="2" t="inlineStr">
        <is>
          <t>Noida</t>
        </is>
      </c>
      <c r="J2786" s="2" t="inlineStr">
        <is>
          <t>Online</t>
        </is>
      </c>
      <c r="K2786" s="2" t="n">
        <v>1</v>
      </c>
      <c r="L2786" s="3" t="n">
        <v>1033.2</v>
      </c>
      <c r="M2786" s="4" t="n">
        <v>0.05</v>
      </c>
      <c r="N2786" s="3" t="n">
        <v>740.15</v>
      </c>
      <c r="O2786" s="3">
        <f>K2786*L2786*(1-M2786)</f>
        <v/>
      </c>
      <c r="P2786" s="3">
        <f>O2786-N2786</f>
        <v/>
      </c>
      <c r="Q2786" s="5">
        <f>IFERROR(P2786/O2786,0)</f>
        <v/>
      </c>
      <c r="R2786" s="2">
        <f>TEXT(DATEVALUE(B2786),"mmm")</f>
        <v/>
      </c>
      <c r="S2786" s="2">
        <f>TEXT(DATEVALUE(B2786),"yyyy-mm")</f>
        <v/>
      </c>
    </row>
    <row r="2787">
      <c r="A2787" s="2" t="inlineStr">
        <is>
          <t>O001309</t>
        </is>
      </c>
      <c r="B2787" s="2" t="inlineStr">
        <is>
          <t>2025-07-21</t>
        </is>
      </c>
      <c r="C2787" s="2" t="inlineStr">
        <is>
          <t>C0597</t>
        </is>
      </c>
      <c r="D2787" s="2" t="inlineStr">
        <is>
          <t>P0014</t>
        </is>
      </c>
      <c r="E2787" s="2" t="inlineStr">
        <is>
          <t>Coffee Maker</t>
        </is>
      </c>
      <c r="F2787" s="2" t="inlineStr">
        <is>
          <t>Home &amp; Kitchen</t>
        </is>
      </c>
      <c r="G2787" s="2" t="inlineStr">
        <is>
          <t>West</t>
        </is>
      </c>
      <c r="H2787" s="2" t="inlineStr">
        <is>
          <t>Gujarat</t>
        </is>
      </c>
      <c r="I2787" s="2" t="inlineStr">
        <is>
          <t>Surat</t>
        </is>
      </c>
      <c r="J2787" s="2" t="inlineStr">
        <is>
          <t>Online</t>
        </is>
      </c>
      <c r="K2787" s="2" t="n">
        <v>2</v>
      </c>
      <c r="L2787" s="3" t="n">
        <v>1042.52</v>
      </c>
      <c r="M2787" s="4" t="n">
        <v>0.25</v>
      </c>
      <c r="N2787" s="3" t="n">
        <v>1502.56</v>
      </c>
      <c r="O2787" s="3">
        <f>K2787*L2787*(1-M2787)</f>
        <v/>
      </c>
      <c r="P2787" s="3">
        <f>O2787-N2787</f>
        <v/>
      </c>
      <c r="Q2787" s="5">
        <f>IFERROR(P2787/O2787,0)</f>
        <v/>
      </c>
      <c r="R2787" s="2">
        <f>TEXT(DATEVALUE(B2787),"mmm")</f>
        <v/>
      </c>
      <c r="S2787" s="2">
        <f>TEXT(DATEVALUE(B2787),"yyyy-mm")</f>
        <v/>
      </c>
    </row>
    <row r="2788">
      <c r="A2788" s="2" t="inlineStr">
        <is>
          <t>O001171</t>
        </is>
      </c>
      <c r="B2788" s="2" t="inlineStr">
        <is>
          <t>2025-07-21</t>
        </is>
      </c>
      <c r="C2788" s="2" t="inlineStr">
        <is>
          <t>C0166</t>
        </is>
      </c>
      <c r="D2788" s="2" t="inlineStr">
        <is>
          <t>P0031</t>
        </is>
      </c>
      <c r="E2788" s="2" t="inlineStr">
        <is>
          <t>Cricket Bat</t>
        </is>
      </c>
      <c r="F2788" s="2" t="inlineStr">
        <is>
          <t>Sports</t>
        </is>
      </c>
      <c r="G2788" s="2" t="inlineStr">
        <is>
          <t>South</t>
        </is>
      </c>
      <c r="H2788" s="2" t="inlineStr">
        <is>
          <t>Kerala</t>
        </is>
      </c>
      <c r="I2788" s="2" t="inlineStr">
        <is>
          <t>Kochi</t>
        </is>
      </c>
      <c r="J2788" s="2" t="inlineStr">
        <is>
          <t>Online</t>
        </is>
      </c>
      <c r="K2788" s="2" t="n">
        <v>1</v>
      </c>
      <c r="L2788" s="3" t="n">
        <v>1367.17</v>
      </c>
      <c r="M2788" s="4" t="n">
        <v>0.05</v>
      </c>
      <c r="N2788" s="3" t="n">
        <v>918.65</v>
      </c>
      <c r="O2788" s="3">
        <f>K2788*L2788*(1-M2788)</f>
        <v/>
      </c>
      <c r="P2788" s="3">
        <f>O2788-N2788</f>
        <v/>
      </c>
      <c r="Q2788" s="5">
        <f>IFERROR(P2788/O2788,0)</f>
        <v/>
      </c>
      <c r="R2788" s="2">
        <f>TEXT(DATEVALUE(B2788),"mmm")</f>
        <v/>
      </c>
      <c r="S2788" s="2">
        <f>TEXT(DATEVALUE(B2788),"yyyy-mm")</f>
        <v/>
      </c>
    </row>
    <row r="2789">
      <c r="A2789" s="2" t="inlineStr">
        <is>
          <t>O000908</t>
        </is>
      </c>
      <c r="B2789" s="2" t="inlineStr">
        <is>
          <t>2025-07-21</t>
        </is>
      </c>
      <c r="C2789" s="2" t="inlineStr">
        <is>
          <t>C0348</t>
        </is>
      </c>
      <c r="D2789" s="2" t="inlineStr">
        <is>
          <t>P0030</t>
        </is>
      </c>
      <c r="E2789" s="2" t="inlineStr">
        <is>
          <t>Dumbbells</t>
        </is>
      </c>
      <c r="F2789" s="2" t="inlineStr">
        <is>
          <t>Sports</t>
        </is>
      </c>
      <c r="G2789" s="2" t="inlineStr">
        <is>
          <t>South</t>
        </is>
      </c>
      <c r="H2789" s="2" t="inlineStr">
        <is>
          <t>Kerala</t>
        </is>
      </c>
      <c r="I2789" s="2" t="inlineStr">
        <is>
          <t>Thiruvananthapuram</t>
        </is>
      </c>
      <c r="J2789" s="2" t="inlineStr">
        <is>
          <t>Store</t>
        </is>
      </c>
      <c r="K2789" s="2" t="n">
        <v>1</v>
      </c>
      <c r="L2789" s="3" t="n">
        <v>1552.09</v>
      </c>
      <c r="M2789" s="4" t="n">
        <v>0.05</v>
      </c>
      <c r="N2789" s="3" t="n">
        <v>1016.3</v>
      </c>
      <c r="O2789" s="3">
        <f>K2789*L2789*(1-M2789)</f>
        <v/>
      </c>
      <c r="P2789" s="3">
        <f>O2789-N2789</f>
        <v/>
      </c>
      <c r="Q2789" s="5">
        <f>IFERROR(P2789/O2789,0)</f>
        <v/>
      </c>
      <c r="R2789" s="2">
        <f>TEXT(DATEVALUE(B2789),"mmm")</f>
        <v/>
      </c>
      <c r="S2789" s="2">
        <f>TEXT(DATEVALUE(B2789),"yyyy-mm")</f>
        <v/>
      </c>
    </row>
    <row r="2790">
      <c r="A2790" s="2" t="inlineStr">
        <is>
          <t>O000751</t>
        </is>
      </c>
      <c r="B2790" s="2" t="inlineStr">
        <is>
          <t>2025-07-21</t>
        </is>
      </c>
      <c r="C2790" s="2" t="inlineStr">
        <is>
          <t>C0506</t>
        </is>
      </c>
      <c r="D2790" s="2" t="inlineStr">
        <is>
          <t>P0010</t>
        </is>
      </c>
      <c r="E2790" s="2" t="inlineStr">
        <is>
          <t>Mixer Grinder</t>
        </is>
      </c>
      <c r="F2790" s="2" t="inlineStr">
        <is>
          <t>Home &amp; Kitchen</t>
        </is>
      </c>
      <c r="G2790" s="2" t="inlineStr">
        <is>
          <t>West</t>
        </is>
      </c>
      <c r="H2790" s="2" t="inlineStr">
        <is>
          <t>Maharashtra</t>
        </is>
      </c>
      <c r="I2790" s="2" t="inlineStr">
        <is>
          <t>Pune</t>
        </is>
      </c>
      <c r="J2790" s="2" t="inlineStr">
        <is>
          <t>Online</t>
        </is>
      </c>
      <c r="K2790" s="2" t="n">
        <v>4</v>
      </c>
      <c r="L2790" s="3" t="n">
        <v>1699.93</v>
      </c>
      <c r="M2790" s="4" t="n">
        <v>0.05</v>
      </c>
      <c r="N2790" s="3" t="n">
        <v>4072.1</v>
      </c>
      <c r="O2790" s="3">
        <f>K2790*L2790*(1-M2790)</f>
        <v/>
      </c>
      <c r="P2790" s="3">
        <f>O2790-N2790</f>
        <v/>
      </c>
      <c r="Q2790" s="5">
        <f>IFERROR(P2790/O2790,0)</f>
        <v/>
      </c>
      <c r="R2790" s="2">
        <f>TEXT(DATEVALUE(B2790),"mmm")</f>
        <v/>
      </c>
      <c r="S2790" s="2">
        <f>TEXT(DATEVALUE(B2790),"yyyy-mm")</f>
        <v/>
      </c>
    </row>
    <row r="2791">
      <c r="A2791" s="2" t="inlineStr">
        <is>
          <t>O000635</t>
        </is>
      </c>
      <c r="B2791" s="2" t="inlineStr">
        <is>
          <t>2025-07-21</t>
        </is>
      </c>
      <c r="C2791" s="2" t="inlineStr">
        <is>
          <t>C0161</t>
        </is>
      </c>
      <c r="D2791" s="2" t="inlineStr">
        <is>
          <t>P0006</t>
        </is>
      </c>
      <c r="E2791" s="2" t="inlineStr">
        <is>
          <t>Mechanical Keyboard</t>
        </is>
      </c>
      <c r="F2791" s="2" t="inlineStr">
        <is>
          <t>Electronics</t>
        </is>
      </c>
      <c r="G2791" s="2" t="inlineStr">
        <is>
          <t>North</t>
        </is>
      </c>
      <c r="H2791" s="2" t="inlineStr">
        <is>
          <t>Delhi</t>
        </is>
      </c>
      <c r="I2791" s="2" t="inlineStr">
        <is>
          <t>New Delhi</t>
        </is>
      </c>
      <c r="J2791" s="2" t="inlineStr">
        <is>
          <t>Online</t>
        </is>
      </c>
      <c r="K2791" s="2" t="n">
        <v>1</v>
      </c>
      <c r="L2791" s="3" t="n">
        <v>2783.67</v>
      </c>
      <c r="M2791" s="4" t="n">
        <v>0.1</v>
      </c>
      <c r="N2791" s="3" t="n">
        <v>1458.32</v>
      </c>
      <c r="O2791" s="3">
        <f>K2791*L2791*(1-M2791)</f>
        <v/>
      </c>
      <c r="P2791" s="3">
        <f>O2791-N2791</f>
        <v/>
      </c>
      <c r="Q2791" s="5">
        <f>IFERROR(P2791/O2791,0)</f>
        <v/>
      </c>
      <c r="R2791" s="2">
        <f>TEXT(DATEVALUE(B2791),"mmm")</f>
        <v/>
      </c>
      <c r="S2791" s="2">
        <f>TEXT(DATEVALUE(B2791),"yyyy-mm")</f>
        <v/>
      </c>
    </row>
    <row r="2792">
      <c r="A2792" s="2" t="inlineStr">
        <is>
          <t>O000073</t>
        </is>
      </c>
      <c r="B2792" s="2" t="inlineStr">
        <is>
          <t>2025-07-21</t>
        </is>
      </c>
      <c r="C2792" s="2" t="inlineStr">
        <is>
          <t>C0444</t>
        </is>
      </c>
      <c r="D2792" s="2" t="inlineStr">
        <is>
          <t>P0014</t>
        </is>
      </c>
      <c r="E2792" s="2" t="inlineStr">
        <is>
          <t>Coffee Maker</t>
        </is>
      </c>
      <c r="F2792" s="2" t="inlineStr">
        <is>
          <t>Home &amp; Kitchen</t>
        </is>
      </c>
      <c r="G2792" s="2" t="inlineStr">
        <is>
          <t>East</t>
        </is>
      </c>
      <c r="H2792" s="2" t="inlineStr">
        <is>
          <t>Bihar</t>
        </is>
      </c>
      <c r="I2792" s="2" t="inlineStr">
        <is>
          <t>Gaya</t>
        </is>
      </c>
      <c r="J2792" s="2" t="inlineStr">
        <is>
          <t>Store</t>
        </is>
      </c>
      <c r="K2792" s="2" t="n">
        <v>1</v>
      </c>
      <c r="L2792" s="3" t="n">
        <v>1004.73</v>
      </c>
      <c r="M2792" s="4" t="n">
        <v>0.05</v>
      </c>
      <c r="N2792" s="3" t="n">
        <v>772.13</v>
      </c>
      <c r="O2792" s="3">
        <f>K2792*L2792*(1-M2792)</f>
        <v/>
      </c>
      <c r="P2792" s="3">
        <f>O2792-N2792</f>
        <v/>
      </c>
      <c r="Q2792" s="5">
        <f>IFERROR(P2792/O2792,0)</f>
        <v/>
      </c>
      <c r="R2792" s="2">
        <f>TEXT(DATEVALUE(B2792),"mmm")</f>
        <v/>
      </c>
      <c r="S2792" s="2">
        <f>TEXT(DATEVALUE(B2792),"yyyy-mm")</f>
        <v/>
      </c>
    </row>
    <row r="2793">
      <c r="A2793" s="2" t="inlineStr">
        <is>
          <t>O001899</t>
        </is>
      </c>
      <c r="B2793" s="2" t="inlineStr">
        <is>
          <t>2025-07-21</t>
        </is>
      </c>
      <c r="C2793" s="2" t="inlineStr">
        <is>
          <t>C0039</t>
        </is>
      </c>
      <c r="D2793" s="2" t="inlineStr">
        <is>
          <t>P0021</t>
        </is>
      </c>
      <c r="E2793" s="2" t="inlineStr">
        <is>
          <t>Wallet</t>
        </is>
      </c>
      <c r="F2793" s="2" t="inlineStr">
        <is>
          <t>Fashion</t>
        </is>
      </c>
      <c r="G2793" s="2" t="inlineStr">
        <is>
          <t>East</t>
        </is>
      </c>
      <c r="H2793" s="2" t="inlineStr">
        <is>
          <t>Bihar</t>
        </is>
      </c>
      <c r="I2793" s="2" t="inlineStr">
        <is>
          <t>Gaya</t>
        </is>
      </c>
      <c r="J2793" s="2" t="inlineStr">
        <is>
          <t>Online</t>
        </is>
      </c>
      <c r="K2793" s="2" t="n">
        <v>2</v>
      </c>
      <c r="L2793" s="3" t="n">
        <v>2003</v>
      </c>
      <c r="M2793" s="4" t="n">
        <v>0.15</v>
      </c>
      <c r="N2793" s="3" t="n">
        <v>2350.34</v>
      </c>
      <c r="O2793" s="3">
        <f>K2793*L2793*(1-M2793)</f>
        <v/>
      </c>
      <c r="P2793" s="3">
        <f>O2793-N2793</f>
        <v/>
      </c>
      <c r="Q2793" s="5">
        <f>IFERROR(P2793/O2793,0)</f>
        <v/>
      </c>
      <c r="R2793" s="2">
        <f>TEXT(DATEVALUE(B2793),"mmm")</f>
        <v/>
      </c>
      <c r="S2793" s="2">
        <f>TEXT(DATEVALUE(B2793),"yyyy-mm")</f>
        <v/>
      </c>
    </row>
    <row r="2794">
      <c r="A2794" s="2" t="inlineStr">
        <is>
          <t>O004882</t>
        </is>
      </c>
      <c r="B2794" s="2" t="inlineStr">
        <is>
          <t>2025-07-22</t>
        </is>
      </c>
      <c r="C2794" s="2" t="inlineStr">
        <is>
          <t>C0106</t>
        </is>
      </c>
      <c r="D2794" s="2" t="inlineStr">
        <is>
          <t>P0024</t>
        </is>
      </c>
      <c r="E2794" s="2" t="inlineStr">
        <is>
          <t>Hair Dryer</t>
        </is>
      </c>
      <c r="F2794" s="2" t="inlineStr">
        <is>
          <t>Beauty</t>
        </is>
      </c>
      <c r="G2794" s="2" t="inlineStr">
        <is>
          <t>West</t>
        </is>
      </c>
      <c r="H2794" s="2" t="inlineStr">
        <is>
          <t>Gujarat</t>
        </is>
      </c>
      <c r="I2794" s="2" t="inlineStr">
        <is>
          <t>Ahmedabad</t>
        </is>
      </c>
      <c r="J2794" s="2" t="inlineStr">
        <is>
          <t>Store</t>
        </is>
      </c>
      <c r="K2794" s="2" t="n">
        <v>4</v>
      </c>
      <c r="L2794" s="3" t="n">
        <v>980.88</v>
      </c>
      <c r="M2794" s="4" t="n">
        <v>0.05</v>
      </c>
      <c r="N2794" s="3" t="n">
        <v>2961.88</v>
      </c>
      <c r="O2794" s="3">
        <f>K2794*L2794*(1-M2794)</f>
        <v/>
      </c>
      <c r="P2794" s="3">
        <f>O2794-N2794</f>
        <v/>
      </c>
      <c r="Q2794" s="5">
        <f>IFERROR(P2794/O2794,0)</f>
        <v/>
      </c>
      <c r="R2794" s="2">
        <f>TEXT(DATEVALUE(B2794),"mmm")</f>
        <v/>
      </c>
      <c r="S2794" s="2">
        <f>TEXT(DATEVALUE(B2794),"yyyy-mm")</f>
        <v/>
      </c>
    </row>
    <row r="2795">
      <c r="A2795" s="2" t="inlineStr">
        <is>
          <t>O004418</t>
        </is>
      </c>
      <c r="B2795" s="2" t="inlineStr">
        <is>
          <t>2025-07-22</t>
        </is>
      </c>
      <c r="C2795" s="2" t="inlineStr">
        <is>
          <t>C0503</t>
        </is>
      </c>
      <c r="D2795" s="2" t="inlineStr">
        <is>
          <t>P0007</t>
        </is>
      </c>
      <c r="E2795" s="2" t="inlineStr">
        <is>
          <t>Wireless Mouse</t>
        </is>
      </c>
      <c r="F2795" s="2" t="inlineStr">
        <is>
          <t>Electronics</t>
        </is>
      </c>
      <c r="G2795" s="2" t="inlineStr">
        <is>
          <t>East</t>
        </is>
      </c>
      <c r="H2795" s="2" t="inlineStr">
        <is>
          <t>Odisha</t>
        </is>
      </c>
      <c r="I2795" s="2" t="inlineStr">
        <is>
          <t>Bhubaneswar</t>
        </is>
      </c>
      <c r="J2795" s="2" t="inlineStr">
        <is>
          <t>Store</t>
        </is>
      </c>
      <c r="K2795" s="2" t="n">
        <v>5</v>
      </c>
      <c r="L2795" s="3" t="n">
        <v>949.1</v>
      </c>
      <c r="M2795" s="4" t="n">
        <v>0.1</v>
      </c>
      <c r="N2795" s="3" t="n">
        <v>3169.57</v>
      </c>
      <c r="O2795" s="3">
        <f>K2795*L2795*(1-M2795)</f>
        <v/>
      </c>
      <c r="P2795" s="3">
        <f>O2795-N2795</f>
        <v/>
      </c>
      <c r="Q2795" s="5">
        <f>IFERROR(P2795/O2795,0)</f>
        <v/>
      </c>
      <c r="R2795" s="2">
        <f>TEXT(DATEVALUE(B2795),"mmm")</f>
        <v/>
      </c>
      <c r="S2795" s="2">
        <f>TEXT(DATEVALUE(B2795),"yyyy-mm")</f>
        <v/>
      </c>
    </row>
    <row r="2796">
      <c r="A2796" s="2" t="inlineStr">
        <is>
          <t>O004057</t>
        </is>
      </c>
      <c r="B2796" s="2" t="inlineStr">
        <is>
          <t>2025-07-22</t>
        </is>
      </c>
      <c r="C2796" s="2" t="inlineStr">
        <is>
          <t>C0393</t>
        </is>
      </c>
      <c r="D2796" s="2" t="inlineStr">
        <is>
          <t>P0021</t>
        </is>
      </c>
      <c r="E2796" s="2" t="inlineStr">
        <is>
          <t>Wallet</t>
        </is>
      </c>
      <c r="F2796" s="2" t="inlineStr">
        <is>
          <t>Fashion</t>
        </is>
      </c>
      <c r="G2796" s="2" t="inlineStr">
        <is>
          <t>South</t>
        </is>
      </c>
      <c r="H2796" s="2" t="inlineStr">
        <is>
          <t>Kerala</t>
        </is>
      </c>
      <c r="I2796" s="2" t="inlineStr">
        <is>
          <t>Kochi</t>
        </is>
      </c>
      <c r="J2796" s="2" t="inlineStr">
        <is>
          <t>Online</t>
        </is>
      </c>
      <c r="K2796" s="2" t="n">
        <v>5</v>
      </c>
      <c r="L2796" s="3" t="n">
        <v>1968.1</v>
      </c>
      <c r="M2796" s="4" t="n">
        <v>0.1</v>
      </c>
      <c r="N2796" s="3" t="n">
        <v>5902.52</v>
      </c>
      <c r="O2796" s="3">
        <f>K2796*L2796*(1-M2796)</f>
        <v/>
      </c>
      <c r="P2796" s="3">
        <f>O2796-N2796</f>
        <v/>
      </c>
      <c r="Q2796" s="5">
        <f>IFERROR(P2796/O2796,0)</f>
        <v/>
      </c>
      <c r="R2796" s="2">
        <f>TEXT(DATEVALUE(B2796),"mmm")</f>
        <v/>
      </c>
      <c r="S2796" s="2">
        <f>TEXT(DATEVALUE(B2796),"yyyy-mm")</f>
        <v/>
      </c>
    </row>
    <row r="2797">
      <c r="A2797" s="2" t="inlineStr">
        <is>
          <t>O003516</t>
        </is>
      </c>
      <c r="B2797" s="2" t="inlineStr">
        <is>
          <t>2025-07-22</t>
        </is>
      </c>
      <c r="C2797" s="2" t="inlineStr">
        <is>
          <t>C0467</t>
        </is>
      </c>
      <c r="D2797" s="2" t="inlineStr">
        <is>
          <t>P0013</t>
        </is>
      </c>
      <c r="E2797" s="2" t="inlineStr">
        <is>
          <t>Storage Organizer</t>
        </is>
      </c>
      <c r="F2797" s="2" t="inlineStr">
        <is>
          <t>Home &amp; Kitchen</t>
        </is>
      </c>
      <c r="G2797" s="2" t="inlineStr">
        <is>
          <t>South</t>
        </is>
      </c>
      <c r="H2797" s="2" t="inlineStr">
        <is>
          <t>Kerala</t>
        </is>
      </c>
      <c r="I2797" s="2" t="inlineStr">
        <is>
          <t>Kochi</t>
        </is>
      </c>
      <c r="J2797" s="2" t="inlineStr">
        <is>
          <t>Store</t>
        </is>
      </c>
      <c r="K2797" s="2" t="n">
        <v>1</v>
      </c>
      <c r="L2797" s="3" t="n">
        <v>569.52</v>
      </c>
      <c r="M2797" s="4" t="n">
        <v>0.05</v>
      </c>
      <c r="N2797" s="3" t="n">
        <v>362.64</v>
      </c>
      <c r="O2797" s="3">
        <f>K2797*L2797*(1-M2797)</f>
        <v/>
      </c>
      <c r="P2797" s="3">
        <f>O2797-N2797</f>
        <v/>
      </c>
      <c r="Q2797" s="5">
        <f>IFERROR(P2797/O2797,0)</f>
        <v/>
      </c>
      <c r="R2797" s="2">
        <f>TEXT(DATEVALUE(B2797),"mmm")</f>
        <v/>
      </c>
      <c r="S2797" s="2">
        <f>TEXT(DATEVALUE(B2797),"yyyy-mm")</f>
        <v/>
      </c>
    </row>
    <row r="2798">
      <c r="A2798" s="2" t="inlineStr">
        <is>
          <t>O003144</t>
        </is>
      </c>
      <c r="B2798" s="2" t="inlineStr">
        <is>
          <t>2025-07-22</t>
        </is>
      </c>
      <c r="C2798" s="2" t="inlineStr">
        <is>
          <t>C0374</t>
        </is>
      </c>
      <c r="D2798" s="2" t="inlineStr">
        <is>
          <t>P0017</t>
        </is>
      </c>
      <c r="E2798" s="2" t="inlineStr">
        <is>
          <t>Jeans</t>
        </is>
      </c>
      <c r="F2798" s="2" t="inlineStr">
        <is>
          <t>Fashion</t>
        </is>
      </c>
      <c r="G2798" s="2" t="inlineStr">
        <is>
          <t>South</t>
        </is>
      </c>
      <c r="H2798" s="2" t="inlineStr">
        <is>
          <t>Karnataka</t>
        </is>
      </c>
      <c r="I2798" s="2" t="inlineStr">
        <is>
          <t>Mysuru</t>
        </is>
      </c>
      <c r="J2798" s="2" t="inlineStr">
        <is>
          <t>Online</t>
        </is>
      </c>
      <c r="K2798" s="2" t="n">
        <v>3</v>
      </c>
      <c r="L2798" s="3" t="n">
        <v>1503.6</v>
      </c>
      <c r="M2798" s="4" t="n">
        <v>0.15</v>
      </c>
      <c r="N2798" s="3" t="n">
        <v>3128.85</v>
      </c>
      <c r="O2798" s="3">
        <f>K2798*L2798*(1-M2798)</f>
        <v/>
      </c>
      <c r="P2798" s="3">
        <f>O2798-N2798</f>
        <v/>
      </c>
      <c r="Q2798" s="5">
        <f>IFERROR(P2798/O2798,0)</f>
        <v/>
      </c>
      <c r="R2798" s="2">
        <f>TEXT(DATEVALUE(B2798),"mmm")</f>
        <v/>
      </c>
      <c r="S2798" s="2">
        <f>TEXT(DATEVALUE(B2798),"yyyy-mm")</f>
        <v/>
      </c>
    </row>
    <row r="2799">
      <c r="A2799" s="2" t="inlineStr">
        <is>
          <t>O002868</t>
        </is>
      </c>
      <c r="B2799" s="2" t="inlineStr">
        <is>
          <t>2025-07-22</t>
        </is>
      </c>
      <c r="C2799" s="2" t="inlineStr">
        <is>
          <t>C0421</t>
        </is>
      </c>
      <c r="D2799" s="2" t="inlineStr">
        <is>
          <t>P0025</t>
        </is>
      </c>
      <c r="E2799" s="2" t="inlineStr">
        <is>
          <t>Perfume</t>
        </is>
      </c>
      <c r="F2799" s="2" t="inlineStr">
        <is>
          <t>Beauty</t>
        </is>
      </c>
      <c r="G2799" s="2" t="inlineStr">
        <is>
          <t>North</t>
        </is>
      </c>
      <c r="H2799" s="2" t="inlineStr">
        <is>
          <t>Punjab</t>
        </is>
      </c>
      <c r="I2799" s="2" t="inlineStr">
        <is>
          <t>Ludhiana</t>
        </is>
      </c>
      <c r="J2799" s="2" t="inlineStr">
        <is>
          <t>Online</t>
        </is>
      </c>
      <c r="K2799" s="2" t="n">
        <v>2</v>
      </c>
      <c r="L2799" s="3" t="n">
        <v>797.9299999999999</v>
      </c>
      <c r="M2799" s="4" t="n">
        <v>0.1</v>
      </c>
      <c r="N2799" s="3" t="n">
        <v>1207.02</v>
      </c>
      <c r="O2799" s="3">
        <f>K2799*L2799*(1-M2799)</f>
        <v/>
      </c>
      <c r="P2799" s="3">
        <f>O2799-N2799</f>
        <v/>
      </c>
      <c r="Q2799" s="5">
        <f>IFERROR(P2799/O2799,0)</f>
        <v/>
      </c>
      <c r="R2799" s="2">
        <f>TEXT(DATEVALUE(B2799),"mmm")</f>
        <v/>
      </c>
      <c r="S2799" s="2">
        <f>TEXT(DATEVALUE(B2799),"yyyy-mm")</f>
        <v/>
      </c>
    </row>
    <row r="2800">
      <c r="A2800" s="2" t="inlineStr">
        <is>
          <t>O002531</t>
        </is>
      </c>
      <c r="B2800" s="2" t="inlineStr">
        <is>
          <t>2025-07-22</t>
        </is>
      </c>
      <c r="C2800" s="2" t="inlineStr">
        <is>
          <t>C0604</t>
        </is>
      </c>
      <c r="D2800" s="2" t="inlineStr">
        <is>
          <t>P0017</t>
        </is>
      </c>
      <c r="E2800" s="2" t="inlineStr">
        <is>
          <t>Jeans</t>
        </is>
      </c>
      <c r="F2800" s="2" t="inlineStr">
        <is>
          <t>Fashion</t>
        </is>
      </c>
      <c r="G2800" s="2" t="inlineStr">
        <is>
          <t>South</t>
        </is>
      </c>
      <c r="H2800" s="2" t="inlineStr">
        <is>
          <t>Kerala</t>
        </is>
      </c>
      <c r="I2800" s="2" t="inlineStr">
        <is>
          <t>Thiruvananthapuram</t>
        </is>
      </c>
      <c r="J2800" s="2" t="inlineStr">
        <is>
          <t>Online</t>
        </is>
      </c>
      <c r="K2800" s="2" t="n">
        <v>2</v>
      </c>
      <c r="L2800" s="3" t="n">
        <v>1548.41</v>
      </c>
      <c r="M2800" s="4" t="n">
        <v>0</v>
      </c>
      <c r="N2800" s="3" t="n">
        <v>2057.16</v>
      </c>
      <c r="O2800" s="3">
        <f>K2800*L2800*(1-M2800)</f>
        <v/>
      </c>
      <c r="P2800" s="3">
        <f>O2800-N2800</f>
        <v/>
      </c>
      <c r="Q2800" s="5">
        <f>IFERROR(P2800/O2800,0)</f>
        <v/>
      </c>
      <c r="R2800" s="2">
        <f>TEXT(DATEVALUE(B2800),"mmm")</f>
        <v/>
      </c>
      <c r="S2800" s="2">
        <f>TEXT(DATEVALUE(B2800),"yyyy-mm")</f>
        <v/>
      </c>
    </row>
    <row r="2801">
      <c r="A2801" s="2" t="inlineStr">
        <is>
          <t>O002154</t>
        </is>
      </c>
      <c r="B2801" s="2" t="inlineStr">
        <is>
          <t>2025-07-22</t>
        </is>
      </c>
      <c r="C2801" s="2" t="inlineStr">
        <is>
          <t>C0687</t>
        </is>
      </c>
      <c r="D2801" s="2" t="inlineStr">
        <is>
          <t>P0007</t>
        </is>
      </c>
      <c r="E2801" s="2" t="inlineStr">
        <is>
          <t>Wireless Mouse</t>
        </is>
      </c>
      <c r="F2801" s="2" t="inlineStr">
        <is>
          <t>Electronics</t>
        </is>
      </c>
      <c r="G2801" s="2" t="inlineStr">
        <is>
          <t>West</t>
        </is>
      </c>
      <c r="H2801" s="2" t="inlineStr">
        <is>
          <t>Gujarat</t>
        </is>
      </c>
      <c r="I2801" s="2" t="inlineStr">
        <is>
          <t>Ahmedabad</t>
        </is>
      </c>
      <c r="J2801" s="2" t="inlineStr">
        <is>
          <t>Store</t>
        </is>
      </c>
      <c r="K2801" s="2" t="n">
        <v>6</v>
      </c>
      <c r="L2801" s="3" t="n">
        <v>1009.97</v>
      </c>
      <c r="M2801" s="4" t="n">
        <v>0.1</v>
      </c>
      <c r="N2801" s="3" t="n">
        <v>3810.52</v>
      </c>
      <c r="O2801" s="3">
        <f>K2801*L2801*(1-M2801)</f>
        <v/>
      </c>
      <c r="P2801" s="3">
        <f>O2801-N2801</f>
        <v/>
      </c>
      <c r="Q2801" s="5">
        <f>IFERROR(P2801/O2801,0)</f>
        <v/>
      </c>
      <c r="R2801" s="2">
        <f>TEXT(DATEVALUE(B2801),"mmm")</f>
        <v/>
      </c>
      <c r="S2801" s="2">
        <f>TEXT(DATEVALUE(B2801),"yyyy-mm")</f>
        <v/>
      </c>
    </row>
    <row r="2802">
      <c r="A2802" s="2" t="inlineStr">
        <is>
          <t>O000977</t>
        </is>
      </c>
      <c r="B2802" s="2" t="inlineStr">
        <is>
          <t>2025-07-22</t>
        </is>
      </c>
      <c r="C2802" s="2" t="inlineStr">
        <is>
          <t>C0347</t>
        </is>
      </c>
      <c r="D2802" s="2" t="inlineStr">
        <is>
          <t>P0006</t>
        </is>
      </c>
      <c r="E2802" s="2" t="inlineStr">
        <is>
          <t>Mechanical Keyboard</t>
        </is>
      </c>
      <c r="F2802" s="2" t="inlineStr">
        <is>
          <t>Electronics</t>
        </is>
      </c>
      <c r="G2802" s="2" t="inlineStr">
        <is>
          <t>North</t>
        </is>
      </c>
      <c r="H2802" s="2" t="inlineStr">
        <is>
          <t>Uttar Pradesh</t>
        </is>
      </c>
      <c r="I2802" s="2" t="inlineStr">
        <is>
          <t>Varanasi</t>
        </is>
      </c>
      <c r="J2802" s="2" t="inlineStr">
        <is>
          <t>Online</t>
        </is>
      </c>
      <c r="K2802" s="2" t="n">
        <v>1</v>
      </c>
      <c r="L2802" s="3" t="n">
        <v>2684.42</v>
      </c>
      <c r="M2802" s="4" t="n">
        <v>0.25</v>
      </c>
      <c r="N2802" s="3" t="n">
        <v>1439.8</v>
      </c>
      <c r="O2802" s="3">
        <f>K2802*L2802*(1-M2802)</f>
        <v/>
      </c>
      <c r="P2802" s="3">
        <f>O2802-N2802</f>
        <v/>
      </c>
      <c r="Q2802" s="5">
        <f>IFERROR(P2802/O2802,0)</f>
        <v/>
      </c>
      <c r="R2802" s="2">
        <f>TEXT(DATEVALUE(B2802),"mmm")</f>
        <v/>
      </c>
      <c r="S2802" s="2">
        <f>TEXT(DATEVALUE(B2802),"yyyy-mm")</f>
        <v/>
      </c>
    </row>
    <row r="2803">
      <c r="A2803" s="2" t="inlineStr">
        <is>
          <t>O000666</t>
        </is>
      </c>
      <c r="B2803" s="2" t="inlineStr">
        <is>
          <t>2025-07-22</t>
        </is>
      </c>
      <c r="C2803" s="2" t="inlineStr">
        <is>
          <t>C0686</t>
        </is>
      </c>
      <c r="D2803" s="2" t="inlineStr">
        <is>
          <t>P0031</t>
        </is>
      </c>
      <c r="E2803" s="2" t="inlineStr">
        <is>
          <t>Cricket Bat</t>
        </is>
      </c>
      <c r="F2803" s="2" t="inlineStr">
        <is>
          <t>Sports</t>
        </is>
      </c>
      <c r="G2803" s="2" t="inlineStr">
        <is>
          <t>North</t>
        </is>
      </c>
      <c r="H2803" s="2" t="inlineStr">
        <is>
          <t>Punjab</t>
        </is>
      </c>
      <c r="I2803" s="2" t="inlineStr">
        <is>
          <t>Jalandhar</t>
        </is>
      </c>
      <c r="J2803" s="2" t="inlineStr">
        <is>
          <t>Online</t>
        </is>
      </c>
      <c r="K2803" s="2" t="n">
        <v>2</v>
      </c>
      <c r="L2803" s="3" t="n">
        <v>1428.09</v>
      </c>
      <c r="M2803" s="4" t="n">
        <v>0.05</v>
      </c>
      <c r="N2803" s="3" t="n">
        <v>1852.82</v>
      </c>
      <c r="O2803" s="3">
        <f>K2803*L2803*(1-M2803)</f>
        <v/>
      </c>
      <c r="P2803" s="3">
        <f>O2803-N2803</f>
        <v/>
      </c>
      <c r="Q2803" s="5">
        <f>IFERROR(P2803/O2803,0)</f>
        <v/>
      </c>
      <c r="R2803" s="2">
        <f>TEXT(DATEVALUE(B2803),"mmm")</f>
        <v/>
      </c>
      <c r="S2803" s="2">
        <f>TEXT(DATEVALUE(B2803),"yyyy-mm")</f>
        <v/>
      </c>
    </row>
    <row r="2804">
      <c r="A2804" s="2" t="inlineStr">
        <is>
          <t>O000223</t>
        </is>
      </c>
      <c r="B2804" s="2" t="inlineStr">
        <is>
          <t>2025-07-22</t>
        </is>
      </c>
      <c r="C2804" s="2" t="inlineStr">
        <is>
          <t>C0066</t>
        </is>
      </c>
      <c r="D2804" s="2" t="inlineStr">
        <is>
          <t>P0021</t>
        </is>
      </c>
      <c r="E2804" s="2" t="inlineStr">
        <is>
          <t>Wallet</t>
        </is>
      </c>
      <c r="F2804" s="2" t="inlineStr">
        <is>
          <t>Fashion</t>
        </is>
      </c>
      <c r="G2804" s="2" t="inlineStr">
        <is>
          <t>South</t>
        </is>
      </c>
      <c r="H2804" s="2" t="inlineStr">
        <is>
          <t>Kerala</t>
        </is>
      </c>
      <c r="I2804" s="2" t="inlineStr">
        <is>
          <t>Thiruvananthapuram</t>
        </is>
      </c>
      <c r="J2804" s="2" t="inlineStr">
        <is>
          <t>Store</t>
        </is>
      </c>
      <c r="K2804" s="2" t="n">
        <v>1</v>
      </c>
      <c r="L2804" s="3" t="n">
        <v>2048.98</v>
      </c>
      <c r="M2804" s="4" t="n">
        <v>0</v>
      </c>
      <c r="N2804" s="3" t="n">
        <v>1190.41</v>
      </c>
      <c r="O2804" s="3">
        <f>K2804*L2804*(1-M2804)</f>
        <v/>
      </c>
      <c r="P2804" s="3">
        <f>O2804-N2804</f>
        <v/>
      </c>
      <c r="Q2804" s="5">
        <f>IFERROR(P2804/O2804,0)</f>
        <v/>
      </c>
      <c r="R2804" s="2">
        <f>TEXT(DATEVALUE(B2804),"mmm")</f>
        <v/>
      </c>
      <c r="S2804" s="2">
        <f>TEXT(DATEVALUE(B2804),"yyyy-mm")</f>
        <v/>
      </c>
    </row>
    <row r="2805">
      <c r="A2805" s="2" t="inlineStr">
        <is>
          <t>O002635</t>
        </is>
      </c>
      <c r="B2805" s="2" t="inlineStr">
        <is>
          <t>2025-07-22</t>
        </is>
      </c>
      <c r="C2805" s="2" t="inlineStr">
        <is>
          <t>C0434</t>
        </is>
      </c>
      <c r="D2805" s="2" t="inlineStr">
        <is>
          <t>P0027</t>
        </is>
      </c>
      <c r="E2805" s="2" t="inlineStr">
        <is>
          <t>Moisturizer</t>
        </is>
      </c>
      <c r="F2805" s="2" t="inlineStr">
        <is>
          <t>Beauty</t>
        </is>
      </c>
      <c r="G2805" s="2" t="inlineStr">
        <is>
          <t>West</t>
        </is>
      </c>
      <c r="H2805" s="2" t="inlineStr">
        <is>
          <t>Gujarat</t>
        </is>
      </c>
      <c r="I2805" s="2" t="inlineStr">
        <is>
          <t>Ahmedabad</t>
        </is>
      </c>
      <c r="J2805" s="2" t="inlineStr">
        <is>
          <t>Online</t>
        </is>
      </c>
      <c r="K2805" s="2" t="n">
        <v>6</v>
      </c>
      <c r="L2805" s="3" t="n">
        <v>954.49</v>
      </c>
      <c r="M2805" s="4" t="n">
        <v>0</v>
      </c>
      <c r="N2805" s="3" t="n">
        <v>4100.46</v>
      </c>
      <c r="O2805" s="3">
        <f>K2805*L2805*(1-M2805)</f>
        <v/>
      </c>
      <c r="P2805" s="3">
        <f>O2805-N2805</f>
        <v/>
      </c>
      <c r="Q2805" s="5">
        <f>IFERROR(P2805/O2805,0)</f>
        <v/>
      </c>
      <c r="R2805" s="2">
        <f>TEXT(DATEVALUE(B2805),"mmm")</f>
        <v/>
      </c>
      <c r="S2805" s="2">
        <f>TEXT(DATEVALUE(B2805),"yyyy-mm")</f>
        <v/>
      </c>
    </row>
    <row r="2806">
      <c r="A2806" s="2" t="inlineStr">
        <is>
          <t>O004243</t>
        </is>
      </c>
      <c r="B2806" s="2" t="inlineStr">
        <is>
          <t>2025-07-23</t>
        </is>
      </c>
      <c r="C2806" s="2" t="inlineStr">
        <is>
          <t>C0566</t>
        </is>
      </c>
      <c r="D2806" s="2" t="inlineStr">
        <is>
          <t>P0011</t>
        </is>
      </c>
      <c r="E2806" s="2" t="inlineStr">
        <is>
          <t>Cookware Set</t>
        </is>
      </c>
      <c r="F2806" s="2" t="inlineStr">
        <is>
          <t>Home &amp; Kitchen</t>
        </is>
      </c>
      <c r="G2806" s="2" t="inlineStr">
        <is>
          <t>East</t>
        </is>
      </c>
      <c r="H2806" s="2" t="inlineStr">
        <is>
          <t>Odisha</t>
        </is>
      </c>
      <c r="I2806" s="2" t="inlineStr">
        <is>
          <t>Bhubaneswar</t>
        </is>
      </c>
      <c r="J2806" s="2" t="inlineStr">
        <is>
          <t>Store</t>
        </is>
      </c>
      <c r="K2806" s="2" t="n">
        <v>1</v>
      </c>
      <c r="L2806" s="3" t="n">
        <v>699.5599999999999</v>
      </c>
      <c r="M2806" s="4" t="n">
        <v>0.1</v>
      </c>
      <c r="N2806" s="3" t="n">
        <v>464.49</v>
      </c>
      <c r="O2806" s="3">
        <f>K2806*L2806*(1-M2806)</f>
        <v/>
      </c>
      <c r="P2806" s="3">
        <f>O2806-N2806</f>
        <v/>
      </c>
      <c r="Q2806" s="5">
        <f>IFERROR(P2806/O2806,0)</f>
        <v/>
      </c>
      <c r="R2806" s="2">
        <f>TEXT(DATEVALUE(B2806),"mmm")</f>
        <v/>
      </c>
      <c r="S2806" s="2">
        <f>TEXT(DATEVALUE(B2806),"yyyy-mm")</f>
        <v/>
      </c>
    </row>
    <row r="2807">
      <c r="A2807" s="2" t="inlineStr">
        <is>
          <t>O004787</t>
        </is>
      </c>
      <c r="B2807" s="2" t="inlineStr">
        <is>
          <t>2025-07-23</t>
        </is>
      </c>
      <c r="C2807" s="2" t="inlineStr">
        <is>
          <t>C0719</t>
        </is>
      </c>
      <c r="D2807" s="2" t="inlineStr">
        <is>
          <t>P0004</t>
        </is>
      </c>
      <c r="E2807" s="2" t="inlineStr">
        <is>
          <t>USB-C Hub</t>
        </is>
      </c>
      <c r="F2807" s="2" t="inlineStr">
        <is>
          <t>Electronics</t>
        </is>
      </c>
      <c r="G2807" s="2" t="inlineStr">
        <is>
          <t>West</t>
        </is>
      </c>
      <c r="H2807" s="2" t="inlineStr">
        <is>
          <t>Gujarat</t>
        </is>
      </c>
      <c r="I2807" s="2" t="inlineStr">
        <is>
          <t>Surat</t>
        </is>
      </c>
      <c r="J2807" s="2" t="inlineStr">
        <is>
          <t>Store</t>
        </is>
      </c>
      <c r="K2807" s="2" t="n">
        <v>2</v>
      </c>
      <c r="L2807" s="3" t="n">
        <v>1298.02</v>
      </c>
      <c r="M2807" s="4" t="n">
        <v>0</v>
      </c>
      <c r="N2807" s="3" t="n">
        <v>1898.83</v>
      </c>
      <c r="O2807" s="3">
        <f>K2807*L2807*(1-M2807)</f>
        <v/>
      </c>
      <c r="P2807" s="3">
        <f>O2807-N2807</f>
        <v/>
      </c>
      <c r="Q2807" s="5">
        <f>IFERROR(P2807/O2807,0)</f>
        <v/>
      </c>
      <c r="R2807" s="2">
        <f>TEXT(DATEVALUE(B2807),"mmm")</f>
        <v/>
      </c>
      <c r="S2807" s="2">
        <f>TEXT(DATEVALUE(B2807),"yyyy-mm")</f>
        <v/>
      </c>
    </row>
    <row r="2808">
      <c r="A2808" s="2" t="inlineStr">
        <is>
          <t>O004752</t>
        </is>
      </c>
      <c r="B2808" s="2" t="inlineStr">
        <is>
          <t>2025-07-23</t>
        </is>
      </c>
      <c r="C2808" s="2" t="inlineStr">
        <is>
          <t>C0077</t>
        </is>
      </c>
      <c r="D2808" s="2" t="inlineStr">
        <is>
          <t>P0014</t>
        </is>
      </c>
      <c r="E2808" s="2" t="inlineStr">
        <is>
          <t>Coffee Maker</t>
        </is>
      </c>
      <c r="F2808" s="2" t="inlineStr">
        <is>
          <t>Home &amp; Kitchen</t>
        </is>
      </c>
      <c r="G2808" s="2" t="inlineStr">
        <is>
          <t>North</t>
        </is>
      </c>
      <c r="H2808" s="2" t="inlineStr">
        <is>
          <t>Punjab</t>
        </is>
      </c>
      <c r="I2808" s="2" t="inlineStr">
        <is>
          <t>Ludhiana</t>
        </is>
      </c>
      <c r="J2808" s="2" t="inlineStr">
        <is>
          <t>Store</t>
        </is>
      </c>
      <c r="K2808" s="2" t="n">
        <v>2</v>
      </c>
      <c r="L2808" s="3" t="n">
        <v>999.66</v>
      </c>
      <c r="M2808" s="4" t="n">
        <v>0.25</v>
      </c>
      <c r="N2808" s="3" t="n">
        <v>1476.95</v>
      </c>
      <c r="O2808" s="3">
        <f>K2808*L2808*(1-M2808)</f>
        <v/>
      </c>
      <c r="P2808" s="3">
        <f>O2808-N2808</f>
        <v/>
      </c>
      <c r="Q2808" s="5">
        <f>IFERROR(P2808/O2808,0)</f>
        <v/>
      </c>
      <c r="R2808" s="2">
        <f>TEXT(DATEVALUE(B2808),"mmm")</f>
        <v/>
      </c>
      <c r="S2808" s="2">
        <f>TEXT(DATEVALUE(B2808),"yyyy-mm")</f>
        <v/>
      </c>
    </row>
    <row r="2809">
      <c r="A2809" s="2" t="inlineStr">
        <is>
          <t>O004665</t>
        </is>
      </c>
      <c r="B2809" s="2" t="inlineStr">
        <is>
          <t>2025-07-23</t>
        </is>
      </c>
      <c r="C2809" s="2" t="inlineStr">
        <is>
          <t>C0178</t>
        </is>
      </c>
      <c r="D2809" s="2" t="inlineStr">
        <is>
          <t>P0015</t>
        </is>
      </c>
      <c r="E2809" s="2" t="inlineStr">
        <is>
          <t>Running Shoes</t>
        </is>
      </c>
      <c r="F2809" s="2" t="inlineStr">
        <is>
          <t>Fashion</t>
        </is>
      </c>
      <c r="G2809" s="2" t="inlineStr">
        <is>
          <t>West</t>
        </is>
      </c>
      <c r="H2809" s="2" t="inlineStr">
        <is>
          <t>Gujarat</t>
        </is>
      </c>
      <c r="I2809" s="2" t="inlineStr">
        <is>
          <t>Ahmedabad</t>
        </is>
      </c>
      <c r="J2809" s="2" t="inlineStr">
        <is>
          <t>Store</t>
        </is>
      </c>
      <c r="K2809" s="2" t="n">
        <v>2</v>
      </c>
      <c r="L2809" s="3" t="n">
        <v>580.11</v>
      </c>
      <c r="M2809" s="4" t="n">
        <v>0</v>
      </c>
      <c r="N2809" s="3" t="n">
        <v>725.98</v>
      </c>
      <c r="O2809" s="3">
        <f>K2809*L2809*(1-M2809)</f>
        <v/>
      </c>
      <c r="P2809" s="3">
        <f>O2809-N2809</f>
        <v/>
      </c>
      <c r="Q2809" s="5">
        <f>IFERROR(P2809/O2809,0)</f>
        <v/>
      </c>
      <c r="R2809" s="2">
        <f>TEXT(DATEVALUE(B2809),"mmm")</f>
        <v/>
      </c>
      <c r="S2809" s="2">
        <f>TEXT(DATEVALUE(B2809),"yyyy-mm")</f>
        <v/>
      </c>
    </row>
    <row r="2810">
      <c r="A2810" s="2" t="inlineStr">
        <is>
          <t>O003677</t>
        </is>
      </c>
      <c r="B2810" s="2" t="inlineStr">
        <is>
          <t>2025-07-23</t>
        </is>
      </c>
      <c r="C2810" s="2" t="inlineStr">
        <is>
          <t>C0133</t>
        </is>
      </c>
      <c r="D2810" s="2" t="inlineStr">
        <is>
          <t>P0016</t>
        </is>
      </c>
      <c r="E2810" s="2" t="inlineStr">
        <is>
          <t>Casual Shirt</t>
        </is>
      </c>
      <c r="F2810" s="2" t="inlineStr">
        <is>
          <t>Fashion</t>
        </is>
      </c>
      <c r="G2810" s="2" t="inlineStr">
        <is>
          <t>West</t>
        </is>
      </c>
      <c r="H2810" s="2" t="inlineStr">
        <is>
          <t>Gujarat</t>
        </is>
      </c>
      <c r="I2810" s="2" t="inlineStr">
        <is>
          <t>Surat</t>
        </is>
      </c>
      <c r="J2810" s="2" t="inlineStr">
        <is>
          <t>Online</t>
        </is>
      </c>
      <c r="K2810" s="2" t="n">
        <v>1</v>
      </c>
      <c r="L2810" s="3" t="n">
        <v>1337.55</v>
      </c>
      <c r="M2810" s="4" t="n">
        <v>0.05</v>
      </c>
      <c r="N2810" s="3" t="n">
        <v>883.11</v>
      </c>
      <c r="O2810" s="3">
        <f>K2810*L2810*(1-M2810)</f>
        <v/>
      </c>
      <c r="P2810" s="3">
        <f>O2810-N2810</f>
        <v/>
      </c>
      <c r="Q2810" s="5">
        <f>IFERROR(P2810/O2810,0)</f>
        <v/>
      </c>
      <c r="R2810" s="2">
        <f>TEXT(DATEVALUE(B2810),"mmm")</f>
        <v/>
      </c>
      <c r="S2810" s="2">
        <f>TEXT(DATEVALUE(B2810),"yyyy-mm")</f>
        <v/>
      </c>
    </row>
    <row r="2811">
      <c r="A2811" s="2" t="inlineStr">
        <is>
          <t>O004317</t>
        </is>
      </c>
      <c r="B2811" s="2" t="inlineStr">
        <is>
          <t>2025-07-23</t>
        </is>
      </c>
      <c r="C2811" s="2" t="inlineStr">
        <is>
          <t>C0206</t>
        </is>
      </c>
      <c r="D2811" s="2" t="inlineStr">
        <is>
          <t>P0006</t>
        </is>
      </c>
      <c r="E2811" s="2" t="inlineStr">
        <is>
          <t>Mechanical Keyboard</t>
        </is>
      </c>
      <c r="F2811" s="2" t="inlineStr">
        <is>
          <t>Electronics</t>
        </is>
      </c>
      <c r="G2811" s="2" t="inlineStr">
        <is>
          <t>South</t>
        </is>
      </c>
      <c r="H2811" s="2" t="inlineStr">
        <is>
          <t>Tamil Nadu</t>
        </is>
      </c>
      <c r="I2811" s="2" t="inlineStr">
        <is>
          <t>Madurai</t>
        </is>
      </c>
      <c r="J2811" s="2" t="inlineStr">
        <is>
          <t>Store</t>
        </is>
      </c>
      <c r="K2811" s="2" t="n">
        <v>2</v>
      </c>
      <c r="L2811" s="3" t="n">
        <v>2813.96</v>
      </c>
      <c r="M2811" s="4" t="n">
        <v>0.05</v>
      </c>
      <c r="N2811" s="3" t="n">
        <v>2939</v>
      </c>
      <c r="O2811" s="3">
        <f>K2811*L2811*(1-M2811)</f>
        <v/>
      </c>
      <c r="P2811" s="3">
        <f>O2811-N2811</f>
        <v/>
      </c>
      <c r="Q2811" s="5">
        <f>IFERROR(P2811/O2811,0)</f>
        <v/>
      </c>
      <c r="R2811" s="2">
        <f>TEXT(DATEVALUE(B2811),"mmm")</f>
        <v/>
      </c>
      <c r="S2811" s="2">
        <f>TEXT(DATEVALUE(B2811),"yyyy-mm")</f>
        <v/>
      </c>
    </row>
    <row r="2812">
      <c r="A2812" s="2" t="inlineStr">
        <is>
          <t>O003397</t>
        </is>
      </c>
      <c r="B2812" s="2" t="inlineStr">
        <is>
          <t>2025-07-23</t>
        </is>
      </c>
      <c r="C2812" s="2" t="inlineStr">
        <is>
          <t>C0503</t>
        </is>
      </c>
      <c r="D2812" s="2" t="inlineStr">
        <is>
          <t>P0021</t>
        </is>
      </c>
      <c r="E2812" s="2" t="inlineStr">
        <is>
          <t>Wallet</t>
        </is>
      </c>
      <c r="F2812" s="2" t="inlineStr">
        <is>
          <t>Fashion</t>
        </is>
      </c>
      <c r="G2812" s="2" t="inlineStr">
        <is>
          <t>South</t>
        </is>
      </c>
      <c r="H2812" s="2" t="inlineStr">
        <is>
          <t>Tamil Nadu</t>
        </is>
      </c>
      <c r="I2812" s="2" t="inlineStr">
        <is>
          <t>Madurai</t>
        </is>
      </c>
      <c r="J2812" s="2" t="inlineStr">
        <is>
          <t>Online</t>
        </is>
      </c>
      <c r="K2812" s="2" t="n">
        <v>2</v>
      </c>
      <c r="L2812" s="3" t="n">
        <v>1970.92</v>
      </c>
      <c r="M2812" s="4" t="n">
        <v>0</v>
      </c>
      <c r="N2812" s="3" t="n">
        <v>2505.54</v>
      </c>
      <c r="O2812" s="3">
        <f>K2812*L2812*(1-M2812)</f>
        <v/>
      </c>
      <c r="P2812" s="3">
        <f>O2812-N2812</f>
        <v/>
      </c>
      <c r="Q2812" s="5">
        <f>IFERROR(P2812/O2812,0)</f>
        <v/>
      </c>
      <c r="R2812" s="2">
        <f>TEXT(DATEVALUE(B2812),"mmm")</f>
        <v/>
      </c>
      <c r="S2812" s="2">
        <f>TEXT(DATEVALUE(B2812),"yyyy-mm")</f>
        <v/>
      </c>
    </row>
    <row r="2813">
      <c r="A2813" s="2" t="inlineStr">
        <is>
          <t>O000474</t>
        </is>
      </c>
      <c r="B2813" s="2" t="inlineStr">
        <is>
          <t>2025-07-23</t>
        </is>
      </c>
      <c r="C2813" s="2" t="inlineStr">
        <is>
          <t>C0194</t>
        </is>
      </c>
      <c r="D2813" s="2" t="inlineStr">
        <is>
          <t>P0022</t>
        </is>
      </c>
      <c r="E2813" s="2" t="inlineStr">
        <is>
          <t>Face Wash</t>
        </is>
      </c>
      <c r="F2813" s="2" t="inlineStr">
        <is>
          <t>Beauty</t>
        </is>
      </c>
      <c r="G2813" s="2" t="inlineStr">
        <is>
          <t>East</t>
        </is>
      </c>
      <c r="H2813" s="2" t="inlineStr">
        <is>
          <t>Bihar</t>
        </is>
      </c>
      <c r="I2813" s="2" t="inlineStr">
        <is>
          <t>Patna</t>
        </is>
      </c>
      <c r="J2813" s="2" t="inlineStr">
        <is>
          <t>Online</t>
        </is>
      </c>
      <c r="K2813" s="2" t="n">
        <v>2</v>
      </c>
      <c r="L2813" s="3" t="n">
        <v>559.6799999999999</v>
      </c>
      <c r="M2813" s="4" t="n">
        <v>0.2</v>
      </c>
      <c r="N2813" s="3" t="n">
        <v>712.09</v>
      </c>
      <c r="O2813" s="3">
        <f>K2813*L2813*(1-M2813)</f>
        <v/>
      </c>
      <c r="P2813" s="3">
        <f>O2813-N2813</f>
        <v/>
      </c>
      <c r="Q2813" s="5">
        <f>IFERROR(P2813/O2813,0)</f>
        <v/>
      </c>
      <c r="R2813" s="2">
        <f>TEXT(DATEVALUE(B2813),"mmm")</f>
        <v/>
      </c>
      <c r="S2813" s="2">
        <f>TEXT(DATEVALUE(B2813),"yyyy-mm")</f>
        <v/>
      </c>
    </row>
    <row r="2814">
      <c r="A2814" s="2" t="inlineStr">
        <is>
          <t>O001711</t>
        </is>
      </c>
      <c r="B2814" s="2" t="inlineStr">
        <is>
          <t>2025-07-23</t>
        </is>
      </c>
      <c r="C2814" s="2" t="inlineStr">
        <is>
          <t>C0225</t>
        </is>
      </c>
      <c r="D2814" s="2" t="inlineStr">
        <is>
          <t>P0007</t>
        </is>
      </c>
      <c r="E2814" s="2" t="inlineStr">
        <is>
          <t>Wireless Mouse</t>
        </is>
      </c>
      <c r="F2814" s="2" t="inlineStr">
        <is>
          <t>Electronics</t>
        </is>
      </c>
      <c r="G2814" s="2" t="inlineStr">
        <is>
          <t>South</t>
        </is>
      </c>
      <c r="H2814" s="2" t="inlineStr">
        <is>
          <t>Kerala</t>
        </is>
      </c>
      <c r="I2814" s="2" t="inlineStr">
        <is>
          <t>Thiruvananthapuram</t>
        </is>
      </c>
      <c r="J2814" s="2" t="inlineStr">
        <is>
          <t>Online</t>
        </is>
      </c>
      <c r="K2814" s="2" t="n">
        <v>3</v>
      </c>
      <c r="L2814" s="3" t="n">
        <v>985.45</v>
      </c>
      <c r="M2814" s="4" t="n">
        <v>0.25</v>
      </c>
      <c r="N2814" s="3" t="n">
        <v>1814.3</v>
      </c>
      <c r="O2814" s="3">
        <f>K2814*L2814*(1-M2814)</f>
        <v/>
      </c>
      <c r="P2814" s="3">
        <f>O2814-N2814</f>
        <v/>
      </c>
      <c r="Q2814" s="5">
        <f>IFERROR(P2814/O2814,0)</f>
        <v/>
      </c>
      <c r="R2814" s="2">
        <f>TEXT(DATEVALUE(B2814),"mmm")</f>
        <v/>
      </c>
      <c r="S2814" s="2">
        <f>TEXT(DATEVALUE(B2814),"yyyy-mm")</f>
        <v/>
      </c>
    </row>
    <row r="2815">
      <c r="A2815" s="2" t="inlineStr">
        <is>
          <t>O003558</t>
        </is>
      </c>
      <c r="B2815" s="2" t="inlineStr">
        <is>
          <t>2025-07-23</t>
        </is>
      </c>
      <c r="C2815" s="2" t="inlineStr">
        <is>
          <t>C0154</t>
        </is>
      </c>
      <c r="D2815" s="2" t="inlineStr">
        <is>
          <t>P0004</t>
        </is>
      </c>
      <c r="E2815" s="2" t="inlineStr">
        <is>
          <t>USB-C Hub</t>
        </is>
      </c>
      <c r="F2815" s="2" t="inlineStr">
        <is>
          <t>Electronics</t>
        </is>
      </c>
      <c r="G2815" s="2" t="inlineStr">
        <is>
          <t>South</t>
        </is>
      </c>
      <c r="H2815" s="2" t="inlineStr">
        <is>
          <t>Kerala</t>
        </is>
      </c>
      <c r="I2815" s="2" t="inlineStr">
        <is>
          <t>Kochi</t>
        </is>
      </c>
      <c r="J2815" s="2" t="inlineStr">
        <is>
          <t>Online</t>
        </is>
      </c>
      <c r="K2815" s="2" t="n">
        <v>3</v>
      </c>
      <c r="L2815" s="3" t="n">
        <v>1234.19</v>
      </c>
      <c r="M2815" s="4" t="n">
        <v>0</v>
      </c>
      <c r="N2815" s="3" t="n">
        <v>2847.44</v>
      </c>
      <c r="O2815" s="3">
        <f>K2815*L2815*(1-M2815)</f>
        <v/>
      </c>
      <c r="P2815" s="3">
        <f>O2815-N2815</f>
        <v/>
      </c>
      <c r="Q2815" s="5">
        <f>IFERROR(P2815/O2815,0)</f>
        <v/>
      </c>
      <c r="R2815" s="2">
        <f>TEXT(DATEVALUE(B2815),"mmm")</f>
        <v/>
      </c>
      <c r="S2815" s="2">
        <f>TEXT(DATEVALUE(B2815),"yyyy-mm")</f>
        <v/>
      </c>
    </row>
    <row r="2816">
      <c r="A2816" s="2" t="inlineStr">
        <is>
          <t>O001995</t>
        </is>
      </c>
      <c r="B2816" s="2" t="inlineStr">
        <is>
          <t>2025-07-23</t>
        </is>
      </c>
      <c r="C2816" s="2" t="inlineStr">
        <is>
          <t>C0506</t>
        </is>
      </c>
      <c r="D2816" s="2" t="inlineStr">
        <is>
          <t>P0018</t>
        </is>
      </c>
      <c r="E2816" s="2" t="inlineStr">
        <is>
          <t>Backpack</t>
        </is>
      </c>
      <c r="F2816" s="2" t="inlineStr">
        <is>
          <t>Fashion</t>
        </is>
      </c>
      <c r="G2816" s="2" t="inlineStr">
        <is>
          <t>South</t>
        </is>
      </c>
      <c r="H2816" s="2" t="inlineStr">
        <is>
          <t>Telangana</t>
        </is>
      </c>
      <c r="I2816" s="2" t="inlineStr">
        <is>
          <t>Warangal</t>
        </is>
      </c>
      <c r="J2816" s="2" t="inlineStr">
        <is>
          <t>Store</t>
        </is>
      </c>
      <c r="K2816" s="2" t="n">
        <v>1</v>
      </c>
      <c r="L2816" s="3" t="n">
        <v>1870.97</v>
      </c>
      <c r="M2816" s="4" t="n">
        <v>0.25</v>
      </c>
      <c r="N2816" s="3" t="n">
        <v>1333.15</v>
      </c>
      <c r="O2816" s="3">
        <f>K2816*L2816*(1-M2816)</f>
        <v/>
      </c>
      <c r="P2816" s="3">
        <f>O2816-N2816</f>
        <v/>
      </c>
      <c r="Q2816" s="5">
        <f>IFERROR(P2816/O2816,0)</f>
        <v/>
      </c>
      <c r="R2816" s="2">
        <f>TEXT(DATEVALUE(B2816),"mmm")</f>
        <v/>
      </c>
      <c r="S2816" s="2">
        <f>TEXT(DATEVALUE(B2816),"yyyy-mm")</f>
        <v/>
      </c>
    </row>
    <row r="2817">
      <c r="A2817" s="2" t="inlineStr">
        <is>
          <t>O001850</t>
        </is>
      </c>
      <c r="B2817" s="2" t="inlineStr">
        <is>
          <t>2025-07-23</t>
        </is>
      </c>
      <c r="C2817" s="2" t="inlineStr">
        <is>
          <t>C0773</t>
        </is>
      </c>
      <c r="D2817" s="2" t="inlineStr">
        <is>
          <t>P0011</t>
        </is>
      </c>
      <c r="E2817" s="2" t="inlineStr">
        <is>
          <t>Cookware Set</t>
        </is>
      </c>
      <c r="F2817" s="2" t="inlineStr">
        <is>
          <t>Home &amp; Kitchen</t>
        </is>
      </c>
      <c r="G2817" s="2" t="inlineStr">
        <is>
          <t>West</t>
        </is>
      </c>
      <c r="H2817" s="2" t="inlineStr">
        <is>
          <t>Maharashtra</t>
        </is>
      </c>
      <c r="I2817" s="2" t="inlineStr">
        <is>
          <t>Nashik</t>
        </is>
      </c>
      <c r="J2817" s="2" t="inlineStr">
        <is>
          <t>Online</t>
        </is>
      </c>
      <c r="K2817" s="2" t="n">
        <v>3</v>
      </c>
      <c r="L2817" s="3" t="n">
        <v>698.75</v>
      </c>
      <c r="M2817" s="4" t="n">
        <v>0.05</v>
      </c>
      <c r="N2817" s="3" t="n">
        <v>1439.02</v>
      </c>
      <c r="O2817" s="3">
        <f>K2817*L2817*(1-M2817)</f>
        <v/>
      </c>
      <c r="P2817" s="3">
        <f>O2817-N2817</f>
        <v/>
      </c>
      <c r="Q2817" s="5">
        <f>IFERROR(P2817/O2817,0)</f>
        <v/>
      </c>
      <c r="R2817" s="2">
        <f>TEXT(DATEVALUE(B2817),"mmm")</f>
        <v/>
      </c>
      <c r="S2817" s="2">
        <f>TEXT(DATEVALUE(B2817),"yyyy-mm")</f>
        <v/>
      </c>
    </row>
    <row r="2818">
      <c r="A2818" s="2" t="inlineStr">
        <is>
          <t>O000759</t>
        </is>
      </c>
      <c r="B2818" s="2" t="inlineStr">
        <is>
          <t>2025-07-24</t>
        </is>
      </c>
      <c r="C2818" s="2" t="inlineStr">
        <is>
          <t>C0568</t>
        </is>
      </c>
      <c r="D2818" s="2" t="inlineStr">
        <is>
          <t>P0035</t>
        </is>
      </c>
      <c r="E2818" s="2" t="inlineStr">
        <is>
          <t>Skipping Rope</t>
        </is>
      </c>
      <c r="F2818" s="2" t="inlineStr">
        <is>
          <t>Sports</t>
        </is>
      </c>
      <c r="G2818" s="2" t="inlineStr">
        <is>
          <t>West</t>
        </is>
      </c>
      <c r="H2818" s="2" t="inlineStr">
        <is>
          <t>Maharashtra</t>
        </is>
      </c>
      <c r="I2818" s="2" t="inlineStr">
        <is>
          <t>Nashik</t>
        </is>
      </c>
      <c r="J2818" s="2" t="inlineStr">
        <is>
          <t>Online</t>
        </is>
      </c>
      <c r="K2818" s="2" t="n">
        <v>1</v>
      </c>
      <c r="L2818" s="3" t="n">
        <v>740.34</v>
      </c>
      <c r="M2818" s="4" t="n">
        <v>0.05</v>
      </c>
      <c r="N2818" s="3" t="n">
        <v>426.28</v>
      </c>
      <c r="O2818" s="3">
        <f>K2818*L2818*(1-M2818)</f>
        <v/>
      </c>
      <c r="P2818" s="3">
        <f>O2818-N2818</f>
        <v/>
      </c>
      <c r="Q2818" s="5">
        <f>IFERROR(P2818/O2818,0)</f>
        <v/>
      </c>
      <c r="R2818" s="2">
        <f>TEXT(DATEVALUE(B2818),"mmm")</f>
        <v/>
      </c>
      <c r="S2818" s="2">
        <f>TEXT(DATEVALUE(B2818),"yyyy-mm")</f>
        <v/>
      </c>
    </row>
    <row r="2819">
      <c r="A2819" s="2" t="inlineStr">
        <is>
          <t>O000818</t>
        </is>
      </c>
      <c r="B2819" s="2" t="inlineStr">
        <is>
          <t>2025-07-24</t>
        </is>
      </c>
      <c r="C2819" s="2" t="inlineStr">
        <is>
          <t>C0017</t>
        </is>
      </c>
      <c r="D2819" s="2" t="inlineStr">
        <is>
          <t>P0006</t>
        </is>
      </c>
      <c r="E2819" s="2" t="inlineStr">
        <is>
          <t>Mechanical Keyboard</t>
        </is>
      </c>
      <c r="F2819" s="2" t="inlineStr">
        <is>
          <t>Electronics</t>
        </is>
      </c>
      <c r="G2819" s="2" t="inlineStr">
        <is>
          <t>North</t>
        </is>
      </c>
      <c r="H2819" s="2" t="inlineStr">
        <is>
          <t>Uttar Pradesh</t>
        </is>
      </c>
      <c r="I2819" s="2" t="inlineStr">
        <is>
          <t>Kanpur</t>
        </is>
      </c>
      <c r="J2819" s="2" t="inlineStr">
        <is>
          <t>Online</t>
        </is>
      </c>
      <c r="K2819" s="2" t="n">
        <v>1</v>
      </c>
      <c r="L2819" s="3" t="n">
        <v>2700.56</v>
      </c>
      <c r="M2819" s="4" t="n">
        <v>0.05</v>
      </c>
      <c r="N2819" s="3" t="n">
        <v>1526.2</v>
      </c>
      <c r="O2819" s="3">
        <f>K2819*L2819*(1-M2819)</f>
        <v/>
      </c>
      <c r="P2819" s="3">
        <f>O2819-N2819</f>
        <v/>
      </c>
      <c r="Q2819" s="5">
        <f>IFERROR(P2819/O2819,0)</f>
        <v/>
      </c>
      <c r="R2819" s="2">
        <f>TEXT(DATEVALUE(B2819),"mmm")</f>
        <v/>
      </c>
      <c r="S2819" s="2">
        <f>TEXT(DATEVALUE(B2819),"yyyy-mm")</f>
        <v/>
      </c>
    </row>
    <row r="2820">
      <c r="A2820" s="2" t="inlineStr">
        <is>
          <t>O001792</t>
        </is>
      </c>
      <c r="B2820" s="2" t="inlineStr">
        <is>
          <t>2025-07-24</t>
        </is>
      </c>
      <c r="C2820" s="2" t="inlineStr">
        <is>
          <t>C0473</t>
        </is>
      </c>
      <c r="D2820" s="2" t="inlineStr">
        <is>
          <t>P0027</t>
        </is>
      </c>
      <c r="E2820" s="2" t="inlineStr">
        <is>
          <t>Moisturizer</t>
        </is>
      </c>
      <c r="F2820" s="2" t="inlineStr">
        <is>
          <t>Beauty</t>
        </is>
      </c>
      <c r="G2820" s="2" t="inlineStr">
        <is>
          <t>North</t>
        </is>
      </c>
      <c r="H2820" s="2" t="inlineStr">
        <is>
          <t>Haryana</t>
        </is>
      </c>
      <c r="I2820" s="2" t="inlineStr">
        <is>
          <t>Faridabad</t>
        </is>
      </c>
      <c r="J2820" s="2" t="inlineStr">
        <is>
          <t>Store</t>
        </is>
      </c>
      <c r="K2820" s="2" t="n">
        <v>1</v>
      </c>
      <c r="L2820" s="3" t="n">
        <v>938.09</v>
      </c>
      <c r="M2820" s="4" t="n">
        <v>0.1</v>
      </c>
      <c r="N2820" s="3" t="n">
        <v>681.55</v>
      </c>
      <c r="O2820" s="3">
        <f>K2820*L2820*(1-M2820)</f>
        <v/>
      </c>
      <c r="P2820" s="3">
        <f>O2820-N2820</f>
        <v/>
      </c>
      <c r="Q2820" s="5">
        <f>IFERROR(P2820/O2820,0)</f>
        <v/>
      </c>
      <c r="R2820" s="2">
        <f>TEXT(DATEVALUE(B2820),"mmm")</f>
        <v/>
      </c>
      <c r="S2820" s="2">
        <f>TEXT(DATEVALUE(B2820),"yyyy-mm")</f>
        <v/>
      </c>
    </row>
    <row r="2821">
      <c r="A2821" s="2" t="inlineStr">
        <is>
          <t>O002848</t>
        </is>
      </c>
      <c r="B2821" s="2" t="inlineStr">
        <is>
          <t>2025-07-24</t>
        </is>
      </c>
      <c r="C2821" s="2" t="inlineStr">
        <is>
          <t>C0734</t>
        </is>
      </c>
      <c r="D2821" s="2" t="inlineStr">
        <is>
          <t>P0007</t>
        </is>
      </c>
      <c r="E2821" s="2" t="inlineStr">
        <is>
          <t>Wireless Mouse</t>
        </is>
      </c>
      <c r="F2821" s="2" t="inlineStr">
        <is>
          <t>Electronics</t>
        </is>
      </c>
      <c r="G2821" s="2" t="inlineStr">
        <is>
          <t>South</t>
        </is>
      </c>
      <c r="H2821" s="2" t="inlineStr">
        <is>
          <t>Tamil Nadu</t>
        </is>
      </c>
      <c r="I2821" s="2" t="inlineStr">
        <is>
          <t>Madurai</t>
        </is>
      </c>
      <c r="J2821" s="2" t="inlineStr">
        <is>
          <t>Online</t>
        </is>
      </c>
      <c r="K2821" s="2" t="n">
        <v>3</v>
      </c>
      <c r="L2821" s="3" t="n">
        <v>989.27</v>
      </c>
      <c r="M2821" s="4" t="n">
        <v>0.1</v>
      </c>
      <c r="N2821" s="3" t="n">
        <v>1919.93</v>
      </c>
      <c r="O2821" s="3">
        <f>K2821*L2821*(1-M2821)</f>
        <v/>
      </c>
      <c r="P2821" s="3">
        <f>O2821-N2821</f>
        <v/>
      </c>
      <c r="Q2821" s="5">
        <f>IFERROR(P2821/O2821,0)</f>
        <v/>
      </c>
      <c r="R2821" s="2">
        <f>TEXT(DATEVALUE(B2821),"mmm")</f>
        <v/>
      </c>
      <c r="S2821" s="2">
        <f>TEXT(DATEVALUE(B2821),"yyyy-mm")</f>
        <v/>
      </c>
    </row>
    <row r="2822">
      <c r="A2822" s="2" t="inlineStr">
        <is>
          <t>O003665</t>
        </is>
      </c>
      <c r="B2822" s="2" t="inlineStr">
        <is>
          <t>2025-07-24</t>
        </is>
      </c>
      <c r="C2822" s="2" t="inlineStr">
        <is>
          <t>C0430</t>
        </is>
      </c>
      <c r="D2822" s="2" t="inlineStr">
        <is>
          <t>P0032</t>
        </is>
      </c>
      <c r="E2822" s="2" t="inlineStr">
        <is>
          <t>Football</t>
        </is>
      </c>
      <c r="F2822" s="2" t="inlineStr">
        <is>
          <t>Sports</t>
        </is>
      </c>
      <c r="G2822" s="2" t="inlineStr">
        <is>
          <t>South</t>
        </is>
      </c>
      <c r="H2822" s="2" t="inlineStr">
        <is>
          <t>Tamil Nadu</t>
        </is>
      </c>
      <c r="I2822" s="2" t="inlineStr">
        <is>
          <t>Chennai</t>
        </is>
      </c>
      <c r="J2822" s="2" t="inlineStr">
        <is>
          <t>Online</t>
        </is>
      </c>
      <c r="K2822" s="2" t="n">
        <v>3</v>
      </c>
      <c r="L2822" s="3" t="n">
        <v>798.92</v>
      </c>
      <c r="M2822" s="4" t="n">
        <v>0.1</v>
      </c>
      <c r="N2822" s="3" t="n">
        <v>1546.18</v>
      </c>
      <c r="O2822" s="3">
        <f>K2822*L2822*(1-M2822)</f>
        <v/>
      </c>
      <c r="P2822" s="3">
        <f>O2822-N2822</f>
        <v/>
      </c>
      <c r="Q2822" s="5">
        <f>IFERROR(P2822/O2822,0)</f>
        <v/>
      </c>
      <c r="R2822" s="2">
        <f>TEXT(DATEVALUE(B2822),"mmm")</f>
        <v/>
      </c>
      <c r="S2822" s="2">
        <f>TEXT(DATEVALUE(B2822),"yyyy-mm")</f>
        <v/>
      </c>
    </row>
    <row r="2823">
      <c r="A2823" s="2" t="inlineStr">
        <is>
          <t>O003863</t>
        </is>
      </c>
      <c r="B2823" s="2" t="inlineStr">
        <is>
          <t>2025-07-24</t>
        </is>
      </c>
      <c r="C2823" s="2" t="inlineStr">
        <is>
          <t>C0427</t>
        </is>
      </c>
      <c r="D2823" s="2" t="inlineStr">
        <is>
          <t>P0020</t>
        </is>
      </c>
      <c r="E2823" s="2" t="inlineStr">
        <is>
          <t>Sneakers</t>
        </is>
      </c>
      <c r="F2823" s="2" t="inlineStr">
        <is>
          <t>Fashion</t>
        </is>
      </c>
      <c r="G2823" s="2" t="inlineStr">
        <is>
          <t>West</t>
        </is>
      </c>
      <c r="H2823" s="2" t="inlineStr">
        <is>
          <t>Goa</t>
        </is>
      </c>
      <c r="I2823" s="2" t="inlineStr">
        <is>
          <t>Panaji</t>
        </is>
      </c>
      <c r="J2823" s="2" t="inlineStr">
        <is>
          <t>Online</t>
        </is>
      </c>
      <c r="K2823" s="2" t="n">
        <v>1</v>
      </c>
      <c r="L2823" s="3" t="n">
        <v>1996.08</v>
      </c>
      <c r="M2823" s="4" t="n">
        <v>0.2</v>
      </c>
      <c r="N2823" s="3" t="n">
        <v>1539.33</v>
      </c>
      <c r="O2823" s="3">
        <f>K2823*L2823*(1-M2823)</f>
        <v/>
      </c>
      <c r="P2823" s="3">
        <f>O2823-N2823</f>
        <v/>
      </c>
      <c r="Q2823" s="5">
        <f>IFERROR(P2823/O2823,0)</f>
        <v/>
      </c>
      <c r="R2823" s="2">
        <f>TEXT(DATEVALUE(B2823),"mmm")</f>
        <v/>
      </c>
      <c r="S2823" s="2">
        <f>TEXT(DATEVALUE(B2823),"yyyy-mm")</f>
        <v/>
      </c>
    </row>
    <row r="2824">
      <c r="A2824" s="2" t="inlineStr">
        <is>
          <t>O004477</t>
        </is>
      </c>
      <c r="B2824" s="2" t="inlineStr">
        <is>
          <t>2025-07-24</t>
        </is>
      </c>
      <c r="C2824" s="2" t="inlineStr">
        <is>
          <t>C0263</t>
        </is>
      </c>
      <c r="D2824" s="2" t="inlineStr">
        <is>
          <t>P0005</t>
        </is>
      </c>
      <c r="E2824" s="2" t="inlineStr">
        <is>
          <t>Power Bank</t>
        </is>
      </c>
      <c r="F2824" s="2" t="inlineStr">
        <is>
          <t>Electronics</t>
        </is>
      </c>
      <c r="G2824" s="2" t="inlineStr">
        <is>
          <t>West</t>
        </is>
      </c>
      <c r="H2824" s="2" t="inlineStr">
        <is>
          <t>Maharashtra</t>
        </is>
      </c>
      <c r="I2824" s="2" t="inlineStr">
        <is>
          <t>Nashik</t>
        </is>
      </c>
      <c r="J2824" s="2" t="inlineStr">
        <is>
          <t>Online</t>
        </is>
      </c>
      <c r="K2824" s="2" t="n">
        <v>2</v>
      </c>
      <c r="L2824" s="3" t="n">
        <v>1077.25</v>
      </c>
      <c r="M2824" s="4" t="n">
        <v>0.05</v>
      </c>
      <c r="N2824" s="3" t="n">
        <v>1359.83</v>
      </c>
      <c r="O2824" s="3">
        <f>K2824*L2824*(1-M2824)</f>
        <v/>
      </c>
      <c r="P2824" s="3">
        <f>O2824-N2824</f>
        <v/>
      </c>
      <c r="Q2824" s="5">
        <f>IFERROR(P2824/O2824,0)</f>
        <v/>
      </c>
      <c r="R2824" s="2">
        <f>TEXT(DATEVALUE(B2824),"mmm")</f>
        <v/>
      </c>
      <c r="S2824" s="2">
        <f>TEXT(DATEVALUE(B2824),"yyyy-mm")</f>
        <v/>
      </c>
    </row>
    <row r="2825">
      <c r="A2825" s="2" t="inlineStr">
        <is>
          <t>O004602</t>
        </is>
      </c>
      <c r="B2825" s="2" t="inlineStr">
        <is>
          <t>2025-07-24</t>
        </is>
      </c>
      <c r="C2825" s="2" t="inlineStr">
        <is>
          <t>C0775</t>
        </is>
      </c>
      <c r="D2825" s="2" t="inlineStr">
        <is>
          <t>P0019</t>
        </is>
      </c>
      <c r="E2825" s="2" t="inlineStr">
        <is>
          <t>Jacket</t>
        </is>
      </c>
      <c r="F2825" s="2" t="inlineStr">
        <is>
          <t>Fashion</t>
        </is>
      </c>
      <c r="G2825" s="2" t="inlineStr">
        <is>
          <t>West</t>
        </is>
      </c>
      <c r="H2825" s="2" t="inlineStr">
        <is>
          <t>Goa</t>
        </is>
      </c>
      <c r="I2825" s="2" t="inlineStr">
        <is>
          <t>Margao</t>
        </is>
      </c>
      <c r="J2825" s="2" t="inlineStr">
        <is>
          <t>Online</t>
        </is>
      </c>
      <c r="K2825" s="2" t="n">
        <v>2</v>
      </c>
      <c r="L2825" s="3" t="n">
        <v>991.34</v>
      </c>
      <c r="M2825" s="4" t="n">
        <v>0.05</v>
      </c>
      <c r="N2825" s="3" t="n">
        <v>1352.49</v>
      </c>
      <c r="O2825" s="3">
        <f>K2825*L2825*(1-M2825)</f>
        <v/>
      </c>
      <c r="P2825" s="3">
        <f>O2825-N2825</f>
        <v/>
      </c>
      <c r="Q2825" s="5">
        <f>IFERROR(P2825/O2825,0)</f>
        <v/>
      </c>
      <c r="R2825" s="2">
        <f>TEXT(DATEVALUE(B2825),"mmm")</f>
        <v/>
      </c>
      <c r="S2825" s="2">
        <f>TEXT(DATEVALUE(B2825),"yyyy-mm")</f>
        <v/>
      </c>
    </row>
    <row r="2826">
      <c r="A2826" s="2" t="inlineStr">
        <is>
          <t>O004649</t>
        </is>
      </c>
      <c r="B2826" s="2" t="inlineStr">
        <is>
          <t>2025-07-25</t>
        </is>
      </c>
      <c r="C2826" s="2" t="inlineStr">
        <is>
          <t>C0064</t>
        </is>
      </c>
      <c r="D2826" s="2" t="inlineStr">
        <is>
          <t>P0024</t>
        </is>
      </c>
      <c r="E2826" s="2" t="inlineStr">
        <is>
          <t>Hair Dryer</t>
        </is>
      </c>
      <c r="F2826" s="2" t="inlineStr">
        <is>
          <t>Beauty</t>
        </is>
      </c>
      <c r="G2826" s="2" t="inlineStr">
        <is>
          <t>West</t>
        </is>
      </c>
      <c r="H2826" s="2" t="inlineStr">
        <is>
          <t>Gujarat</t>
        </is>
      </c>
      <c r="I2826" s="2" t="inlineStr">
        <is>
          <t>Ahmedabad</t>
        </is>
      </c>
      <c r="J2826" s="2" t="inlineStr">
        <is>
          <t>Store</t>
        </is>
      </c>
      <c r="K2826" s="2" t="n">
        <v>2</v>
      </c>
      <c r="L2826" s="3" t="n">
        <v>1046.52</v>
      </c>
      <c r="M2826" s="4" t="n">
        <v>0.2</v>
      </c>
      <c r="N2826" s="3" t="n">
        <v>1421.46</v>
      </c>
      <c r="O2826" s="3">
        <f>K2826*L2826*(1-M2826)</f>
        <v/>
      </c>
      <c r="P2826" s="3">
        <f>O2826-N2826</f>
        <v/>
      </c>
      <c r="Q2826" s="5">
        <f>IFERROR(P2826/O2826,0)</f>
        <v/>
      </c>
      <c r="R2826" s="2">
        <f>TEXT(DATEVALUE(B2826),"mmm")</f>
        <v/>
      </c>
      <c r="S2826" s="2">
        <f>TEXT(DATEVALUE(B2826),"yyyy-mm")</f>
        <v/>
      </c>
    </row>
    <row r="2827">
      <c r="A2827" s="2" t="inlineStr">
        <is>
          <t>O004690</t>
        </is>
      </c>
      <c r="B2827" s="2" t="inlineStr">
        <is>
          <t>2025-07-25</t>
        </is>
      </c>
      <c r="C2827" s="2" t="inlineStr">
        <is>
          <t>C0276</t>
        </is>
      </c>
      <c r="D2827" s="2" t="inlineStr">
        <is>
          <t>P0014</t>
        </is>
      </c>
      <c r="E2827" s="2" t="inlineStr">
        <is>
          <t>Coffee Maker</t>
        </is>
      </c>
      <c r="F2827" s="2" t="inlineStr">
        <is>
          <t>Home &amp; Kitchen</t>
        </is>
      </c>
      <c r="G2827" s="2" t="inlineStr">
        <is>
          <t>South</t>
        </is>
      </c>
      <c r="H2827" s="2" t="inlineStr">
        <is>
          <t>Karnataka</t>
        </is>
      </c>
      <c r="I2827" s="2" t="inlineStr">
        <is>
          <t>Mangaluru</t>
        </is>
      </c>
      <c r="J2827" s="2" t="inlineStr">
        <is>
          <t>Store</t>
        </is>
      </c>
      <c r="K2827" s="2" t="n">
        <v>2</v>
      </c>
      <c r="L2827" s="3" t="n">
        <v>1078.8</v>
      </c>
      <c r="M2827" s="4" t="n">
        <v>0.15</v>
      </c>
      <c r="N2827" s="3" t="n">
        <v>1498.65</v>
      </c>
      <c r="O2827" s="3">
        <f>K2827*L2827*(1-M2827)</f>
        <v/>
      </c>
      <c r="P2827" s="3">
        <f>O2827-N2827</f>
        <v/>
      </c>
      <c r="Q2827" s="5">
        <f>IFERROR(P2827/O2827,0)</f>
        <v/>
      </c>
      <c r="R2827" s="2">
        <f>TEXT(DATEVALUE(B2827),"mmm")</f>
        <v/>
      </c>
      <c r="S2827" s="2">
        <f>TEXT(DATEVALUE(B2827),"yyyy-mm")</f>
        <v/>
      </c>
    </row>
    <row r="2828">
      <c r="A2828" s="2" t="inlineStr">
        <is>
          <t>O004579</t>
        </is>
      </c>
      <c r="B2828" s="2" t="inlineStr">
        <is>
          <t>2025-07-25</t>
        </is>
      </c>
      <c r="C2828" s="2" t="inlineStr">
        <is>
          <t>C0141</t>
        </is>
      </c>
      <c r="D2828" s="2" t="inlineStr">
        <is>
          <t>P0011</t>
        </is>
      </c>
      <c r="E2828" s="2" t="inlineStr">
        <is>
          <t>Cookware Set</t>
        </is>
      </c>
      <c r="F2828" s="2" t="inlineStr">
        <is>
          <t>Home &amp; Kitchen</t>
        </is>
      </c>
      <c r="G2828" s="2" t="inlineStr">
        <is>
          <t>North</t>
        </is>
      </c>
      <c r="H2828" s="2" t="inlineStr">
        <is>
          <t>Uttar Pradesh</t>
        </is>
      </c>
      <c r="I2828" s="2" t="inlineStr">
        <is>
          <t>Kanpur</t>
        </is>
      </c>
      <c r="J2828" s="2" t="inlineStr">
        <is>
          <t>Online</t>
        </is>
      </c>
      <c r="K2828" s="2" t="n">
        <v>5</v>
      </c>
      <c r="L2828" s="3" t="n">
        <v>700.78</v>
      </c>
      <c r="M2828" s="4" t="n">
        <v>0.05</v>
      </c>
      <c r="N2828" s="3" t="n">
        <v>2343.59</v>
      </c>
      <c r="O2828" s="3">
        <f>K2828*L2828*(1-M2828)</f>
        <v/>
      </c>
      <c r="P2828" s="3">
        <f>O2828-N2828</f>
        <v/>
      </c>
      <c r="Q2828" s="5">
        <f>IFERROR(P2828/O2828,0)</f>
        <v/>
      </c>
      <c r="R2828" s="2">
        <f>TEXT(DATEVALUE(B2828),"mmm")</f>
        <v/>
      </c>
      <c r="S2828" s="2">
        <f>TEXT(DATEVALUE(B2828),"yyyy-mm")</f>
        <v/>
      </c>
    </row>
    <row r="2829">
      <c r="A2829" s="2" t="inlineStr">
        <is>
          <t>O004255</t>
        </is>
      </c>
      <c r="B2829" s="2" t="inlineStr">
        <is>
          <t>2025-07-25</t>
        </is>
      </c>
      <c r="C2829" s="2" t="inlineStr">
        <is>
          <t>C0202</t>
        </is>
      </c>
      <c r="D2829" s="2" t="inlineStr">
        <is>
          <t>P0018</t>
        </is>
      </c>
      <c r="E2829" s="2" t="inlineStr">
        <is>
          <t>Backpack</t>
        </is>
      </c>
      <c r="F2829" s="2" t="inlineStr">
        <is>
          <t>Fashion</t>
        </is>
      </c>
      <c r="G2829" s="2" t="inlineStr">
        <is>
          <t>East</t>
        </is>
      </c>
      <c r="H2829" s="2" t="inlineStr">
        <is>
          <t>Bihar</t>
        </is>
      </c>
      <c r="I2829" s="2" t="inlineStr">
        <is>
          <t>Gaya</t>
        </is>
      </c>
      <c r="J2829" s="2" t="inlineStr">
        <is>
          <t>Online</t>
        </is>
      </c>
      <c r="K2829" s="2" t="n">
        <v>1</v>
      </c>
      <c r="L2829" s="3" t="n">
        <v>1904.51</v>
      </c>
      <c r="M2829" s="4" t="n">
        <v>0.1</v>
      </c>
      <c r="N2829" s="3" t="n">
        <v>1365.2</v>
      </c>
      <c r="O2829" s="3">
        <f>K2829*L2829*(1-M2829)</f>
        <v/>
      </c>
      <c r="P2829" s="3">
        <f>O2829-N2829</f>
        <v/>
      </c>
      <c r="Q2829" s="5">
        <f>IFERROR(P2829/O2829,0)</f>
        <v/>
      </c>
      <c r="R2829" s="2">
        <f>TEXT(DATEVALUE(B2829),"mmm")</f>
        <v/>
      </c>
      <c r="S2829" s="2">
        <f>TEXT(DATEVALUE(B2829),"yyyy-mm")</f>
        <v/>
      </c>
    </row>
    <row r="2830">
      <c r="A2830" s="2" t="inlineStr">
        <is>
          <t>O004148</t>
        </is>
      </c>
      <c r="B2830" s="2" t="inlineStr">
        <is>
          <t>2025-07-25</t>
        </is>
      </c>
      <c r="C2830" s="2" t="inlineStr">
        <is>
          <t>C0684</t>
        </is>
      </c>
      <c r="D2830" s="2" t="inlineStr">
        <is>
          <t>P0021</t>
        </is>
      </c>
      <c r="E2830" s="2" t="inlineStr">
        <is>
          <t>Wallet</t>
        </is>
      </c>
      <c r="F2830" s="2" t="inlineStr">
        <is>
          <t>Fashion</t>
        </is>
      </c>
      <c r="G2830" s="2" t="inlineStr">
        <is>
          <t>East</t>
        </is>
      </c>
      <c r="H2830" s="2" t="inlineStr">
        <is>
          <t>Bihar</t>
        </is>
      </c>
      <c r="I2830" s="2" t="inlineStr">
        <is>
          <t>Gaya</t>
        </is>
      </c>
      <c r="J2830" s="2" t="inlineStr">
        <is>
          <t>Online</t>
        </is>
      </c>
      <c r="K2830" s="2" t="n">
        <v>2</v>
      </c>
      <c r="L2830" s="3" t="n">
        <v>2043.58</v>
      </c>
      <c r="M2830" s="4" t="n">
        <v>0.2</v>
      </c>
      <c r="N2830" s="3" t="n">
        <v>2483.1</v>
      </c>
      <c r="O2830" s="3">
        <f>K2830*L2830*(1-M2830)</f>
        <v/>
      </c>
      <c r="P2830" s="3">
        <f>O2830-N2830</f>
        <v/>
      </c>
      <c r="Q2830" s="5">
        <f>IFERROR(P2830/O2830,0)</f>
        <v/>
      </c>
      <c r="R2830" s="2">
        <f>TEXT(DATEVALUE(B2830),"mmm")</f>
        <v/>
      </c>
      <c r="S2830" s="2">
        <f>TEXT(DATEVALUE(B2830),"yyyy-mm")</f>
        <v/>
      </c>
    </row>
    <row r="2831">
      <c r="A2831" s="2" t="inlineStr">
        <is>
          <t>O004038</t>
        </is>
      </c>
      <c r="B2831" s="2" t="inlineStr">
        <is>
          <t>2025-07-25</t>
        </is>
      </c>
      <c r="C2831" s="2" t="inlineStr">
        <is>
          <t>C0012</t>
        </is>
      </c>
      <c r="D2831" s="2" t="inlineStr">
        <is>
          <t>P0016</t>
        </is>
      </c>
      <c r="E2831" s="2" t="inlineStr">
        <is>
          <t>Casual Shirt</t>
        </is>
      </c>
      <c r="F2831" s="2" t="inlineStr">
        <is>
          <t>Fashion</t>
        </is>
      </c>
      <c r="G2831" s="2" t="inlineStr">
        <is>
          <t>West</t>
        </is>
      </c>
      <c r="H2831" s="2" t="inlineStr">
        <is>
          <t>Gujarat</t>
        </is>
      </c>
      <c r="I2831" s="2" t="inlineStr">
        <is>
          <t>Ahmedabad</t>
        </is>
      </c>
      <c r="J2831" s="2" t="inlineStr">
        <is>
          <t>Online</t>
        </is>
      </c>
      <c r="K2831" s="2" t="n">
        <v>1</v>
      </c>
      <c r="L2831" s="3" t="n">
        <v>1242.6</v>
      </c>
      <c r="M2831" s="4" t="n">
        <v>0.25</v>
      </c>
      <c r="N2831" s="3" t="n">
        <v>919.67</v>
      </c>
      <c r="O2831" s="3">
        <f>K2831*L2831*(1-M2831)</f>
        <v/>
      </c>
      <c r="P2831" s="3">
        <f>O2831-N2831</f>
        <v/>
      </c>
      <c r="Q2831" s="5">
        <f>IFERROR(P2831/O2831,0)</f>
        <v/>
      </c>
      <c r="R2831" s="2">
        <f>TEXT(DATEVALUE(B2831),"mmm")</f>
        <v/>
      </c>
      <c r="S2831" s="2">
        <f>TEXT(DATEVALUE(B2831),"yyyy-mm")</f>
        <v/>
      </c>
    </row>
    <row r="2832">
      <c r="A2832" s="2" t="inlineStr">
        <is>
          <t>O002020</t>
        </is>
      </c>
      <c r="B2832" s="2" t="inlineStr">
        <is>
          <t>2025-07-25</t>
        </is>
      </c>
      <c r="C2832" s="2" t="inlineStr">
        <is>
          <t>C0073</t>
        </is>
      </c>
      <c r="D2832" s="2" t="inlineStr">
        <is>
          <t>P0024</t>
        </is>
      </c>
      <c r="E2832" s="2" t="inlineStr">
        <is>
          <t>Hair Dryer</t>
        </is>
      </c>
      <c r="F2832" s="2" t="inlineStr">
        <is>
          <t>Beauty</t>
        </is>
      </c>
      <c r="G2832" s="2" t="inlineStr">
        <is>
          <t>West</t>
        </is>
      </c>
      <c r="H2832" s="2" t="inlineStr">
        <is>
          <t>Maharashtra</t>
        </is>
      </c>
      <c r="I2832" s="2" t="inlineStr">
        <is>
          <t>Nashik</t>
        </is>
      </c>
      <c r="J2832" s="2" t="inlineStr">
        <is>
          <t>Store</t>
        </is>
      </c>
      <c r="K2832" s="2" t="n">
        <v>4</v>
      </c>
      <c r="L2832" s="3" t="n">
        <v>970.34</v>
      </c>
      <c r="M2832" s="4" t="n">
        <v>0.05</v>
      </c>
      <c r="N2832" s="3" t="n">
        <v>2882.13</v>
      </c>
      <c r="O2832" s="3">
        <f>K2832*L2832*(1-M2832)</f>
        <v/>
      </c>
      <c r="P2832" s="3">
        <f>O2832-N2832</f>
        <v/>
      </c>
      <c r="Q2832" s="5">
        <f>IFERROR(P2832/O2832,0)</f>
        <v/>
      </c>
      <c r="R2832" s="2">
        <f>TEXT(DATEVALUE(B2832),"mmm")</f>
        <v/>
      </c>
      <c r="S2832" s="2">
        <f>TEXT(DATEVALUE(B2832),"yyyy-mm")</f>
        <v/>
      </c>
    </row>
    <row r="2833">
      <c r="A2833" s="2" t="inlineStr">
        <is>
          <t>O002389</t>
        </is>
      </c>
      <c r="B2833" s="2" t="inlineStr">
        <is>
          <t>2025-07-25</t>
        </is>
      </c>
      <c r="C2833" s="2" t="inlineStr">
        <is>
          <t>C0599</t>
        </is>
      </c>
      <c r="D2833" s="2" t="inlineStr">
        <is>
          <t>P0021</t>
        </is>
      </c>
      <c r="E2833" s="2" t="inlineStr">
        <is>
          <t>Wallet</t>
        </is>
      </c>
      <c r="F2833" s="2" t="inlineStr">
        <is>
          <t>Fashion</t>
        </is>
      </c>
      <c r="G2833" s="2" t="inlineStr">
        <is>
          <t>South</t>
        </is>
      </c>
      <c r="H2833" s="2" t="inlineStr">
        <is>
          <t>Kerala</t>
        </is>
      </c>
      <c r="I2833" s="2" t="inlineStr">
        <is>
          <t>Thiruvananthapuram</t>
        </is>
      </c>
      <c r="J2833" s="2" t="inlineStr">
        <is>
          <t>Online</t>
        </is>
      </c>
      <c r="K2833" s="2" t="n">
        <v>5</v>
      </c>
      <c r="L2833" s="3" t="n">
        <v>1932.52</v>
      </c>
      <c r="M2833" s="4" t="n">
        <v>0.1</v>
      </c>
      <c r="N2833" s="3" t="n">
        <v>6101.7</v>
      </c>
      <c r="O2833" s="3">
        <f>K2833*L2833*(1-M2833)</f>
        <v/>
      </c>
      <c r="P2833" s="3">
        <f>O2833-N2833</f>
        <v/>
      </c>
      <c r="Q2833" s="5">
        <f>IFERROR(P2833/O2833,0)</f>
        <v/>
      </c>
      <c r="R2833" s="2">
        <f>TEXT(DATEVALUE(B2833),"mmm")</f>
        <v/>
      </c>
      <c r="S2833" s="2">
        <f>TEXT(DATEVALUE(B2833),"yyyy-mm")</f>
        <v/>
      </c>
    </row>
    <row r="2834">
      <c r="A2834" s="2" t="inlineStr">
        <is>
          <t>O001779</t>
        </is>
      </c>
      <c r="B2834" s="2" t="inlineStr">
        <is>
          <t>2025-07-25</t>
        </is>
      </c>
      <c r="C2834" s="2" t="inlineStr">
        <is>
          <t>C0219</t>
        </is>
      </c>
      <c r="D2834" s="2" t="inlineStr">
        <is>
          <t>P0014</t>
        </is>
      </c>
      <c r="E2834" s="2" t="inlineStr">
        <is>
          <t>Coffee Maker</t>
        </is>
      </c>
      <c r="F2834" s="2" t="inlineStr">
        <is>
          <t>Home &amp; Kitchen</t>
        </is>
      </c>
      <c r="G2834" s="2" t="inlineStr">
        <is>
          <t>South</t>
        </is>
      </c>
      <c r="H2834" s="2" t="inlineStr">
        <is>
          <t>Kerala</t>
        </is>
      </c>
      <c r="I2834" s="2" t="inlineStr">
        <is>
          <t>Kochi</t>
        </is>
      </c>
      <c r="J2834" s="2" t="inlineStr">
        <is>
          <t>Store</t>
        </is>
      </c>
      <c r="K2834" s="2" t="n">
        <v>2</v>
      </c>
      <c r="L2834" s="3" t="n">
        <v>1045.45</v>
      </c>
      <c r="M2834" s="4" t="n">
        <v>0</v>
      </c>
      <c r="N2834" s="3" t="n">
        <v>1565.12</v>
      </c>
      <c r="O2834" s="3">
        <f>K2834*L2834*(1-M2834)</f>
        <v/>
      </c>
      <c r="P2834" s="3">
        <f>O2834-N2834</f>
        <v/>
      </c>
      <c r="Q2834" s="5">
        <f>IFERROR(P2834/O2834,0)</f>
        <v/>
      </c>
      <c r="R2834" s="2">
        <f>TEXT(DATEVALUE(B2834),"mmm")</f>
        <v/>
      </c>
      <c r="S2834" s="2">
        <f>TEXT(DATEVALUE(B2834),"yyyy-mm")</f>
        <v/>
      </c>
    </row>
    <row r="2835">
      <c r="A2835" s="2" t="inlineStr">
        <is>
          <t>O001666</t>
        </is>
      </c>
      <c r="B2835" s="2" t="inlineStr">
        <is>
          <t>2025-07-25</t>
        </is>
      </c>
      <c r="C2835" s="2" t="inlineStr">
        <is>
          <t>C0441</t>
        </is>
      </c>
      <c r="D2835" s="2" t="inlineStr">
        <is>
          <t>P0020</t>
        </is>
      </c>
      <c r="E2835" s="2" t="inlineStr">
        <is>
          <t>Sneakers</t>
        </is>
      </c>
      <c r="F2835" s="2" t="inlineStr">
        <is>
          <t>Fashion</t>
        </is>
      </c>
      <c r="G2835" s="2" t="inlineStr">
        <is>
          <t>West</t>
        </is>
      </c>
      <c r="H2835" s="2" t="inlineStr">
        <is>
          <t>Maharashtra</t>
        </is>
      </c>
      <c r="I2835" s="2" t="inlineStr">
        <is>
          <t>Mumbai</t>
        </is>
      </c>
      <c r="J2835" s="2" t="inlineStr">
        <is>
          <t>Online</t>
        </is>
      </c>
      <c r="K2835" s="2" t="n">
        <v>2</v>
      </c>
      <c r="L2835" s="3" t="n">
        <v>1889.94</v>
      </c>
      <c r="M2835" s="4" t="n">
        <v>0</v>
      </c>
      <c r="N2835" s="3" t="n">
        <v>3052.97</v>
      </c>
      <c r="O2835" s="3">
        <f>K2835*L2835*(1-M2835)</f>
        <v/>
      </c>
      <c r="P2835" s="3">
        <f>O2835-N2835</f>
        <v/>
      </c>
      <c r="Q2835" s="5">
        <f>IFERROR(P2835/O2835,0)</f>
        <v/>
      </c>
      <c r="R2835" s="2">
        <f>TEXT(DATEVALUE(B2835),"mmm")</f>
        <v/>
      </c>
      <c r="S2835" s="2">
        <f>TEXT(DATEVALUE(B2835),"yyyy-mm")</f>
        <v/>
      </c>
    </row>
    <row r="2836">
      <c r="A2836" s="2" t="inlineStr">
        <is>
          <t>O000574</t>
        </is>
      </c>
      <c r="B2836" s="2" t="inlineStr">
        <is>
          <t>2025-07-25</t>
        </is>
      </c>
      <c r="C2836" s="2" t="inlineStr">
        <is>
          <t>C0611</t>
        </is>
      </c>
      <c r="D2836" s="2" t="inlineStr">
        <is>
          <t>P0008</t>
        </is>
      </c>
      <c r="E2836" s="2" t="inlineStr">
        <is>
          <t>Air Fryer</t>
        </is>
      </c>
      <c r="F2836" s="2" t="inlineStr">
        <is>
          <t>Home &amp; Kitchen</t>
        </is>
      </c>
      <c r="G2836" s="2" t="inlineStr">
        <is>
          <t>West</t>
        </is>
      </c>
      <c r="H2836" s="2" t="inlineStr">
        <is>
          <t>Gujarat</t>
        </is>
      </c>
      <c r="I2836" s="2" t="inlineStr">
        <is>
          <t>Vadodara</t>
        </is>
      </c>
      <c r="J2836" s="2" t="inlineStr">
        <is>
          <t>Online</t>
        </is>
      </c>
      <c r="K2836" s="2" t="n">
        <v>1</v>
      </c>
      <c r="L2836" s="3" t="n">
        <v>1013.52</v>
      </c>
      <c r="M2836" s="4" t="n">
        <v>0.1</v>
      </c>
      <c r="N2836" s="3" t="n">
        <v>694.0700000000001</v>
      </c>
      <c r="O2836" s="3">
        <f>K2836*L2836*(1-M2836)</f>
        <v/>
      </c>
      <c r="P2836" s="3">
        <f>O2836-N2836</f>
        <v/>
      </c>
      <c r="Q2836" s="5">
        <f>IFERROR(P2836/O2836,0)</f>
        <v/>
      </c>
      <c r="R2836" s="2">
        <f>TEXT(DATEVALUE(B2836),"mmm")</f>
        <v/>
      </c>
      <c r="S2836" s="2">
        <f>TEXT(DATEVALUE(B2836),"yyyy-mm")</f>
        <v/>
      </c>
    </row>
    <row r="2837">
      <c r="A2837" s="2" t="inlineStr">
        <is>
          <t>O000060</t>
        </is>
      </c>
      <c r="B2837" s="2" t="inlineStr">
        <is>
          <t>2025-07-25</t>
        </is>
      </c>
      <c r="C2837" s="2" t="inlineStr">
        <is>
          <t>C0311</t>
        </is>
      </c>
      <c r="D2837" s="2" t="inlineStr">
        <is>
          <t>P0029</t>
        </is>
      </c>
      <c r="E2837" s="2" t="inlineStr">
        <is>
          <t>Yoga Mat</t>
        </is>
      </c>
      <c r="F2837" s="2" t="inlineStr">
        <is>
          <t>Sports</t>
        </is>
      </c>
      <c r="G2837" s="2" t="inlineStr">
        <is>
          <t>North</t>
        </is>
      </c>
      <c r="H2837" s="2" t="inlineStr">
        <is>
          <t>Delhi</t>
        </is>
      </c>
      <c r="I2837" s="2" t="inlineStr">
        <is>
          <t>New Delhi</t>
        </is>
      </c>
      <c r="J2837" s="2" t="inlineStr">
        <is>
          <t>Online</t>
        </is>
      </c>
      <c r="K2837" s="2" t="n">
        <v>1</v>
      </c>
      <c r="L2837" s="3" t="n">
        <v>2400.62</v>
      </c>
      <c r="M2837" s="4" t="n">
        <v>0.1</v>
      </c>
      <c r="N2837" s="3" t="n">
        <v>1348.29</v>
      </c>
      <c r="O2837" s="3">
        <f>K2837*L2837*(1-M2837)</f>
        <v/>
      </c>
      <c r="P2837" s="3">
        <f>O2837-N2837</f>
        <v/>
      </c>
      <c r="Q2837" s="5">
        <f>IFERROR(P2837/O2837,0)</f>
        <v/>
      </c>
      <c r="R2837" s="2">
        <f>TEXT(DATEVALUE(B2837),"mmm")</f>
        <v/>
      </c>
      <c r="S2837" s="2">
        <f>TEXT(DATEVALUE(B2837),"yyyy-mm")</f>
        <v/>
      </c>
    </row>
    <row r="2838">
      <c r="A2838" s="2" t="inlineStr">
        <is>
          <t>O003127</t>
        </is>
      </c>
      <c r="B2838" s="2" t="inlineStr">
        <is>
          <t>2025-07-25</t>
        </is>
      </c>
      <c r="C2838" s="2" t="inlineStr">
        <is>
          <t>C0191</t>
        </is>
      </c>
      <c r="D2838" s="2" t="inlineStr">
        <is>
          <t>P0021</t>
        </is>
      </c>
      <c r="E2838" s="2" t="inlineStr">
        <is>
          <t>Wallet</t>
        </is>
      </c>
      <c r="F2838" s="2" t="inlineStr">
        <is>
          <t>Fashion</t>
        </is>
      </c>
      <c r="G2838" s="2" t="inlineStr">
        <is>
          <t>West</t>
        </is>
      </c>
      <c r="H2838" s="2" t="inlineStr">
        <is>
          <t>Maharashtra</t>
        </is>
      </c>
      <c r="I2838" s="2" t="inlineStr">
        <is>
          <t>Nashik</t>
        </is>
      </c>
      <c r="J2838" s="2" t="inlineStr">
        <is>
          <t>Online</t>
        </is>
      </c>
      <c r="K2838" s="2" t="n">
        <v>2</v>
      </c>
      <c r="L2838" s="3" t="n">
        <v>2059.74</v>
      </c>
      <c r="M2838" s="4" t="n">
        <v>0.05</v>
      </c>
      <c r="N2838" s="3" t="n">
        <v>2460.18</v>
      </c>
      <c r="O2838" s="3">
        <f>K2838*L2838*(1-M2838)</f>
        <v/>
      </c>
      <c r="P2838" s="3">
        <f>O2838-N2838</f>
        <v/>
      </c>
      <c r="Q2838" s="5">
        <f>IFERROR(P2838/O2838,0)</f>
        <v/>
      </c>
      <c r="R2838" s="2">
        <f>TEXT(DATEVALUE(B2838),"mmm")</f>
        <v/>
      </c>
      <c r="S2838" s="2">
        <f>TEXT(DATEVALUE(B2838),"yyyy-mm")</f>
        <v/>
      </c>
    </row>
    <row r="2839">
      <c r="A2839" s="2" t="inlineStr">
        <is>
          <t>O004630</t>
        </is>
      </c>
      <c r="B2839" s="2" t="inlineStr">
        <is>
          <t>2025-07-26</t>
        </is>
      </c>
      <c r="C2839" s="2" t="inlineStr">
        <is>
          <t>C0497</t>
        </is>
      </c>
      <c r="D2839" s="2" t="inlineStr">
        <is>
          <t>P0023</t>
        </is>
      </c>
      <c r="E2839" s="2" t="inlineStr">
        <is>
          <t>Skin Care Kit</t>
        </is>
      </c>
      <c r="F2839" s="2" t="inlineStr">
        <is>
          <t>Beauty</t>
        </is>
      </c>
      <c r="G2839" s="2" t="inlineStr">
        <is>
          <t>West</t>
        </is>
      </c>
      <c r="H2839" s="2" t="inlineStr">
        <is>
          <t>Gujarat</t>
        </is>
      </c>
      <c r="I2839" s="2" t="inlineStr">
        <is>
          <t>Vadodara</t>
        </is>
      </c>
      <c r="J2839" s="2" t="inlineStr">
        <is>
          <t>Online</t>
        </is>
      </c>
      <c r="K2839" s="2" t="n">
        <v>2</v>
      </c>
      <c r="L2839" s="3" t="n">
        <v>1390.92</v>
      </c>
      <c r="M2839" s="4" t="n">
        <v>0.05</v>
      </c>
      <c r="N2839" s="3" t="n">
        <v>1834</v>
      </c>
      <c r="O2839" s="3">
        <f>K2839*L2839*(1-M2839)</f>
        <v/>
      </c>
      <c r="P2839" s="3">
        <f>O2839-N2839</f>
        <v/>
      </c>
      <c r="Q2839" s="5">
        <f>IFERROR(P2839/O2839,0)</f>
        <v/>
      </c>
      <c r="R2839" s="2">
        <f>TEXT(DATEVALUE(B2839),"mmm")</f>
        <v/>
      </c>
      <c r="S2839" s="2">
        <f>TEXT(DATEVALUE(B2839),"yyyy-mm")</f>
        <v/>
      </c>
    </row>
    <row r="2840">
      <c r="A2840" s="2" t="inlineStr">
        <is>
          <t>O004964</t>
        </is>
      </c>
      <c r="B2840" s="2" t="inlineStr">
        <is>
          <t>2025-07-26</t>
        </is>
      </c>
      <c r="C2840" s="2" t="inlineStr">
        <is>
          <t>C0409</t>
        </is>
      </c>
      <c r="D2840" s="2" t="inlineStr">
        <is>
          <t>P0029</t>
        </is>
      </c>
      <c r="E2840" s="2" t="inlineStr">
        <is>
          <t>Yoga Mat</t>
        </is>
      </c>
      <c r="F2840" s="2" t="inlineStr">
        <is>
          <t>Sports</t>
        </is>
      </c>
      <c r="G2840" s="2" t="inlineStr">
        <is>
          <t>North</t>
        </is>
      </c>
      <c r="H2840" s="2" t="inlineStr">
        <is>
          <t>Punjab</t>
        </is>
      </c>
      <c r="I2840" s="2" t="inlineStr">
        <is>
          <t>Jalandhar</t>
        </is>
      </c>
      <c r="J2840" s="2" t="inlineStr">
        <is>
          <t>Store</t>
        </is>
      </c>
      <c r="K2840" s="2" t="n">
        <v>2</v>
      </c>
      <c r="L2840" s="3" t="n">
        <v>2371.01</v>
      </c>
      <c r="M2840" s="4" t="n">
        <v>0.15</v>
      </c>
      <c r="N2840" s="3" t="n">
        <v>2722.88</v>
      </c>
      <c r="O2840" s="3">
        <f>K2840*L2840*(1-M2840)</f>
        <v/>
      </c>
      <c r="P2840" s="3">
        <f>O2840-N2840</f>
        <v/>
      </c>
      <c r="Q2840" s="5">
        <f>IFERROR(P2840/O2840,0)</f>
        <v/>
      </c>
      <c r="R2840" s="2">
        <f>TEXT(DATEVALUE(B2840),"mmm")</f>
        <v/>
      </c>
      <c r="S2840" s="2">
        <f>TEXT(DATEVALUE(B2840),"yyyy-mm")</f>
        <v/>
      </c>
    </row>
    <row r="2841">
      <c r="A2841" s="2" t="inlineStr">
        <is>
          <t>O004842</t>
        </is>
      </c>
      <c r="B2841" s="2" t="inlineStr">
        <is>
          <t>2025-07-26</t>
        </is>
      </c>
      <c r="C2841" s="2" t="inlineStr">
        <is>
          <t>C0568</t>
        </is>
      </c>
      <c r="D2841" s="2" t="inlineStr">
        <is>
          <t>P0016</t>
        </is>
      </c>
      <c r="E2841" s="2" t="inlineStr">
        <is>
          <t>Casual Shirt</t>
        </is>
      </c>
      <c r="F2841" s="2" t="inlineStr">
        <is>
          <t>Fashion</t>
        </is>
      </c>
      <c r="G2841" s="2" t="inlineStr">
        <is>
          <t>South</t>
        </is>
      </c>
      <c r="H2841" s="2" t="inlineStr">
        <is>
          <t>Karnataka</t>
        </is>
      </c>
      <c r="I2841" s="2" t="inlineStr">
        <is>
          <t>Mangaluru</t>
        </is>
      </c>
      <c r="J2841" s="2" t="inlineStr">
        <is>
          <t>Store</t>
        </is>
      </c>
      <c r="K2841" s="2" t="n">
        <v>1</v>
      </c>
      <c r="L2841" s="3" t="n">
        <v>1308.08</v>
      </c>
      <c r="M2841" s="4" t="n">
        <v>0.1</v>
      </c>
      <c r="N2841" s="3" t="n">
        <v>911.24</v>
      </c>
      <c r="O2841" s="3">
        <f>K2841*L2841*(1-M2841)</f>
        <v/>
      </c>
      <c r="P2841" s="3">
        <f>O2841-N2841</f>
        <v/>
      </c>
      <c r="Q2841" s="5">
        <f>IFERROR(P2841/O2841,0)</f>
        <v/>
      </c>
      <c r="R2841" s="2">
        <f>TEXT(DATEVALUE(B2841),"mmm")</f>
        <v/>
      </c>
      <c r="S2841" s="2">
        <f>TEXT(DATEVALUE(B2841),"yyyy-mm")</f>
        <v/>
      </c>
    </row>
    <row r="2842">
      <c r="A2842" s="2" t="inlineStr">
        <is>
          <t>O004781</t>
        </is>
      </c>
      <c r="B2842" s="2" t="inlineStr">
        <is>
          <t>2025-07-26</t>
        </is>
      </c>
      <c r="C2842" s="2" t="inlineStr">
        <is>
          <t>C0294</t>
        </is>
      </c>
      <c r="D2842" s="2" t="inlineStr">
        <is>
          <t>P0005</t>
        </is>
      </c>
      <c r="E2842" s="2" t="inlineStr">
        <is>
          <t>Power Bank</t>
        </is>
      </c>
      <c r="F2842" s="2" t="inlineStr">
        <is>
          <t>Electronics</t>
        </is>
      </c>
      <c r="G2842" s="2" t="inlineStr">
        <is>
          <t>North</t>
        </is>
      </c>
      <c r="H2842" s="2" t="inlineStr">
        <is>
          <t>Uttar Pradesh</t>
        </is>
      </c>
      <c r="I2842" s="2" t="inlineStr">
        <is>
          <t>Kanpur</t>
        </is>
      </c>
      <c r="J2842" s="2" t="inlineStr">
        <is>
          <t>Online</t>
        </is>
      </c>
      <c r="K2842" s="2" t="n">
        <v>3</v>
      </c>
      <c r="L2842" s="3" t="n">
        <v>1129</v>
      </c>
      <c r="M2842" s="4" t="n">
        <v>0.1</v>
      </c>
      <c r="N2842" s="3" t="n">
        <v>2010.51</v>
      </c>
      <c r="O2842" s="3">
        <f>K2842*L2842*(1-M2842)</f>
        <v/>
      </c>
      <c r="P2842" s="3">
        <f>O2842-N2842</f>
        <v/>
      </c>
      <c r="Q2842" s="5">
        <f>IFERROR(P2842/O2842,0)</f>
        <v/>
      </c>
      <c r="R2842" s="2">
        <f>TEXT(DATEVALUE(B2842),"mmm")</f>
        <v/>
      </c>
      <c r="S2842" s="2">
        <f>TEXT(DATEVALUE(B2842),"yyyy-mm")</f>
        <v/>
      </c>
    </row>
    <row r="2843">
      <c r="A2843" s="2" t="inlineStr">
        <is>
          <t>O004755</t>
        </is>
      </c>
      <c r="B2843" s="2" t="inlineStr">
        <is>
          <t>2025-07-26</t>
        </is>
      </c>
      <c r="C2843" s="2" t="inlineStr">
        <is>
          <t>C0393</t>
        </is>
      </c>
      <c r="D2843" s="2" t="inlineStr">
        <is>
          <t>P0016</t>
        </is>
      </c>
      <c r="E2843" s="2" t="inlineStr">
        <is>
          <t>Casual Shirt</t>
        </is>
      </c>
      <c r="F2843" s="2" t="inlineStr">
        <is>
          <t>Fashion</t>
        </is>
      </c>
      <c r="G2843" s="2" t="inlineStr">
        <is>
          <t>East</t>
        </is>
      </c>
      <c r="H2843" s="2" t="inlineStr">
        <is>
          <t>Bihar</t>
        </is>
      </c>
      <c r="I2843" s="2" t="inlineStr">
        <is>
          <t>Gaya</t>
        </is>
      </c>
      <c r="J2843" s="2" t="inlineStr">
        <is>
          <t>Online</t>
        </is>
      </c>
      <c r="K2843" s="2" t="n">
        <v>1</v>
      </c>
      <c r="L2843" s="3" t="n">
        <v>1265.6</v>
      </c>
      <c r="M2843" s="4" t="n">
        <v>0.05</v>
      </c>
      <c r="N2843" s="3" t="n">
        <v>873.76</v>
      </c>
      <c r="O2843" s="3">
        <f>K2843*L2843*(1-M2843)</f>
        <v/>
      </c>
      <c r="P2843" s="3">
        <f>O2843-N2843</f>
        <v/>
      </c>
      <c r="Q2843" s="5">
        <f>IFERROR(P2843/O2843,0)</f>
        <v/>
      </c>
      <c r="R2843" s="2">
        <f>TEXT(DATEVALUE(B2843),"mmm")</f>
        <v/>
      </c>
      <c r="S2843" s="2">
        <f>TEXT(DATEVALUE(B2843),"yyyy-mm")</f>
        <v/>
      </c>
    </row>
    <row r="2844">
      <c r="A2844" s="2" t="inlineStr">
        <is>
          <t>O004710</t>
        </is>
      </c>
      <c r="B2844" s="2" t="inlineStr">
        <is>
          <t>2025-07-26</t>
        </is>
      </c>
      <c r="C2844" s="2" t="inlineStr">
        <is>
          <t>C0390</t>
        </is>
      </c>
      <c r="D2844" s="2" t="inlineStr">
        <is>
          <t>P0011</t>
        </is>
      </c>
      <c r="E2844" s="2" t="inlineStr">
        <is>
          <t>Cookware Set</t>
        </is>
      </c>
      <c r="F2844" s="2" t="inlineStr">
        <is>
          <t>Home &amp; Kitchen</t>
        </is>
      </c>
      <c r="G2844" s="2" t="inlineStr">
        <is>
          <t>South</t>
        </is>
      </c>
      <c r="H2844" s="2" t="inlineStr">
        <is>
          <t>Tamil Nadu</t>
        </is>
      </c>
      <c r="I2844" s="2" t="inlineStr">
        <is>
          <t>Chennai</t>
        </is>
      </c>
      <c r="J2844" s="2" t="inlineStr">
        <is>
          <t>Store</t>
        </is>
      </c>
      <c r="K2844" s="2" t="n">
        <v>5</v>
      </c>
      <c r="L2844" s="3" t="n">
        <v>701.24</v>
      </c>
      <c r="M2844" s="4" t="n">
        <v>0.2</v>
      </c>
      <c r="N2844" s="3" t="n">
        <v>2305.88</v>
      </c>
      <c r="O2844" s="3">
        <f>K2844*L2844*(1-M2844)</f>
        <v/>
      </c>
      <c r="P2844" s="3">
        <f>O2844-N2844</f>
        <v/>
      </c>
      <c r="Q2844" s="5">
        <f>IFERROR(P2844/O2844,0)</f>
        <v/>
      </c>
      <c r="R2844" s="2">
        <f>TEXT(DATEVALUE(B2844),"mmm")</f>
        <v/>
      </c>
      <c r="S2844" s="2">
        <f>TEXT(DATEVALUE(B2844),"yyyy-mm")</f>
        <v/>
      </c>
    </row>
    <row r="2845">
      <c r="A2845" s="2" t="inlineStr">
        <is>
          <t>O004487</t>
        </is>
      </c>
      <c r="B2845" s="2" t="inlineStr">
        <is>
          <t>2025-07-26</t>
        </is>
      </c>
      <c r="C2845" s="2" t="inlineStr">
        <is>
          <t>C0014</t>
        </is>
      </c>
      <c r="D2845" s="2" t="inlineStr">
        <is>
          <t>P0033</t>
        </is>
      </c>
      <c r="E2845" s="2" t="inlineStr">
        <is>
          <t>Resistance Bands</t>
        </is>
      </c>
      <c r="F2845" s="2" t="inlineStr">
        <is>
          <t>Sports</t>
        </is>
      </c>
      <c r="G2845" s="2" t="inlineStr">
        <is>
          <t>South</t>
        </is>
      </c>
      <c r="H2845" s="2" t="inlineStr">
        <is>
          <t>Kerala</t>
        </is>
      </c>
      <c r="I2845" s="2" t="inlineStr">
        <is>
          <t>Thiruvananthapuram</t>
        </is>
      </c>
      <c r="J2845" s="2" t="inlineStr">
        <is>
          <t>Online</t>
        </is>
      </c>
      <c r="K2845" s="2" t="n">
        <v>4</v>
      </c>
      <c r="L2845" s="3" t="n">
        <v>1100.41</v>
      </c>
      <c r="M2845" s="4" t="n">
        <v>0</v>
      </c>
      <c r="N2845" s="3" t="n">
        <v>3054.5</v>
      </c>
      <c r="O2845" s="3">
        <f>K2845*L2845*(1-M2845)</f>
        <v/>
      </c>
      <c r="P2845" s="3">
        <f>O2845-N2845</f>
        <v/>
      </c>
      <c r="Q2845" s="5">
        <f>IFERROR(P2845/O2845,0)</f>
        <v/>
      </c>
      <c r="R2845" s="2">
        <f>TEXT(DATEVALUE(B2845),"mmm")</f>
        <v/>
      </c>
      <c r="S2845" s="2">
        <f>TEXT(DATEVALUE(B2845),"yyyy-mm")</f>
        <v/>
      </c>
    </row>
    <row r="2846">
      <c r="A2846" s="2" t="inlineStr">
        <is>
          <t>O004912</t>
        </is>
      </c>
      <c r="B2846" s="2" t="inlineStr">
        <is>
          <t>2025-07-26</t>
        </is>
      </c>
      <c r="C2846" s="2" t="inlineStr">
        <is>
          <t>C0148</t>
        </is>
      </c>
      <c r="D2846" s="2" t="inlineStr">
        <is>
          <t>P0019</t>
        </is>
      </c>
      <c r="E2846" s="2" t="inlineStr">
        <is>
          <t>Jacket</t>
        </is>
      </c>
      <c r="F2846" s="2" t="inlineStr">
        <is>
          <t>Fashion</t>
        </is>
      </c>
      <c r="G2846" s="2" t="inlineStr">
        <is>
          <t>South</t>
        </is>
      </c>
      <c r="H2846" s="2" t="inlineStr">
        <is>
          <t>Karnataka</t>
        </is>
      </c>
      <c r="I2846" s="2" t="inlineStr">
        <is>
          <t>Bengaluru</t>
        </is>
      </c>
      <c r="J2846" s="2" t="inlineStr">
        <is>
          <t>Online</t>
        </is>
      </c>
      <c r="K2846" s="2" t="n">
        <v>2</v>
      </c>
      <c r="L2846" s="3" t="n">
        <v>1010.38</v>
      </c>
      <c r="M2846" s="4" t="n">
        <v>0.15</v>
      </c>
      <c r="N2846" s="3" t="n">
        <v>1340.56</v>
      </c>
      <c r="O2846" s="3">
        <f>K2846*L2846*(1-M2846)</f>
        <v/>
      </c>
      <c r="P2846" s="3">
        <f>O2846-N2846</f>
        <v/>
      </c>
      <c r="Q2846" s="5">
        <f>IFERROR(P2846/O2846,0)</f>
        <v/>
      </c>
      <c r="R2846" s="2">
        <f>TEXT(DATEVALUE(B2846),"mmm")</f>
        <v/>
      </c>
      <c r="S2846" s="2">
        <f>TEXT(DATEVALUE(B2846),"yyyy-mm")</f>
        <v/>
      </c>
    </row>
    <row r="2847">
      <c r="A2847" s="2" t="inlineStr">
        <is>
          <t>O003093</t>
        </is>
      </c>
      <c r="B2847" s="2" t="inlineStr">
        <is>
          <t>2025-07-26</t>
        </is>
      </c>
      <c r="C2847" s="2" t="inlineStr">
        <is>
          <t>C0254</t>
        </is>
      </c>
      <c r="D2847" s="2" t="inlineStr">
        <is>
          <t>P0008</t>
        </is>
      </c>
      <c r="E2847" s="2" t="inlineStr">
        <is>
          <t>Air Fryer</t>
        </is>
      </c>
      <c r="F2847" s="2" t="inlineStr">
        <is>
          <t>Home &amp; Kitchen</t>
        </is>
      </c>
      <c r="G2847" s="2" t="inlineStr">
        <is>
          <t>South</t>
        </is>
      </c>
      <c r="H2847" s="2" t="inlineStr">
        <is>
          <t>Tamil Nadu</t>
        </is>
      </c>
      <c r="I2847" s="2" t="inlineStr">
        <is>
          <t>Chennai</t>
        </is>
      </c>
      <c r="J2847" s="2" t="inlineStr">
        <is>
          <t>Online</t>
        </is>
      </c>
      <c r="K2847" s="2" t="n">
        <v>4</v>
      </c>
      <c r="L2847" s="3" t="n">
        <v>1036.56</v>
      </c>
      <c r="M2847" s="4" t="n">
        <v>0.05</v>
      </c>
      <c r="N2847" s="3" t="n">
        <v>2716.99</v>
      </c>
      <c r="O2847" s="3">
        <f>K2847*L2847*(1-M2847)</f>
        <v/>
      </c>
      <c r="P2847" s="3">
        <f>O2847-N2847</f>
        <v/>
      </c>
      <c r="Q2847" s="5">
        <f>IFERROR(P2847/O2847,0)</f>
        <v/>
      </c>
      <c r="R2847" s="2">
        <f>TEXT(DATEVALUE(B2847),"mmm")</f>
        <v/>
      </c>
      <c r="S2847" s="2">
        <f>TEXT(DATEVALUE(B2847),"yyyy-mm")</f>
        <v/>
      </c>
    </row>
    <row r="2848">
      <c r="A2848" s="2" t="inlineStr">
        <is>
          <t>O002002</t>
        </is>
      </c>
      <c r="B2848" s="2" t="inlineStr">
        <is>
          <t>2025-07-26</t>
        </is>
      </c>
      <c r="C2848" s="2" t="inlineStr">
        <is>
          <t>C0512</t>
        </is>
      </c>
      <c r="D2848" s="2" t="inlineStr">
        <is>
          <t>P0022</t>
        </is>
      </c>
      <c r="E2848" s="2" t="inlineStr">
        <is>
          <t>Face Wash</t>
        </is>
      </c>
      <c r="F2848" s="2" t="inlineStr">
        <is>
          <t>Beauty</t>
        </is>
      </c>
      <c r="G2848" s="2" t="inlineStr">
        <is>
          <t>South</t>
        </is>
      </c>
      <c r="H2848" s="2" t="inlineStr">
        <is>
          <t>Karnataka</t>
        </is>
      </c>
      <c r="I2848" s="2" t="inlineStr">
        <is>
          <t>Mysuru</t>
        </is>
      </c>
      <c r="J2848" s="2" t="inlineStr">
        <is>
          <t>Online</t>
        </is>
      </c>
      <c r="K2848" s="2" t="n">
        <v>3</v>
      </c>
      <c r="L2848" s="3" t="n">
        <v>535.0700000000001</v>
      </c>
      <c r="M2848" s="4" t="n">
        <v>0.1</v>
      </c>
      <c r="N2848" s="3" t="n">
        <v>1087.4</v>
      </c>
      <c r="O2848" s="3">
        <f>K2848*L2848*(1-M2848)</f>
        <v/>
      </c>
      <c r="P2848" s="3">
        <f>O2848-N2848</f>
        <v/>
      </c>
      <c r="Q2848" s="5">
        <f>IFERROR(P2848/O2848,0)</f>
        <v/>
      </c>
      <c r="R2848" s="2">
        <f>TEXT(DATEVALUE(B2848),"mmm")</f>
        <v/>
      </c>
      <c r="S2848" s="2">
        <f>TEXT(DATEVALUE(B2848),"yyyy-mm")</f>
        <v/>
      </c>
    </row>
    <row r="2849">
      <c r="A2849" s="2" t="inlineStr">
        <is>
          <t>O001903</t>
        </is>
      </c>
      <c r="B2849" s="2" t="inlineStr">
        <is>
          <t>2025-07-26</t>
        </is>
      </c>
      <c r="C2849" s="2" t="inlineStr">
        <is>
          <t>C0553</t>
        </is>
      </c>
      <c r="D2849" s="2" t="inlineStr">
        <is>
          <t>P0009</t>
        </is>
      </c>
      <c r="E2849" s="2" t="inlineStr">
        <is>
          <t>Electric Kettle</t>
        </is>
      </c>
      <c r="F2849" s="2" t="inlineStr">
        <is>
          <t>Home &amp; Kitchen</t>
        </is>
      </c>
      <c r="G2849" s="2" t="inlineStr">
        <is>
          <t>West</t>
        </is>
      </c>
      <c r="H2849" s="2" t="inlineStr">
        <is>
          <t>Maharashtra</t>
        </is>
      </c>
      <c r="I2849" s="2" t="inlineStr">
        <is>
          <t>Thane</t>
        </is>
      </c>
      <c r="J2849" s="2" t="inlineStr">
        <is>
          <t>Online</t>
        </is>
      </c>
      <c r="K2849" s="2" t="n">
        <v>1</v>
      </c>
      <c r="L2849" s="3" t="n">
        <v>2185.37</v>
      </c>
      <c r="M2849" s="4" t="n">
        <v>0.05</v>
      </c>
      <c r="N2849" s="3" t="n">
        <v>1169.76</v>
      </c>
      <c r="O2849" s="3">
        <f>K2849*L2849*(1-M2849)</f>
        <v/>
      </c>
      <c r="P2849" s="3">
        <f>O2849-N2849</f>
        <v/>
      </c>
      <c r="Q2849" s="5">
        <f>IFERROR(P2849/O2849,0)</f>
        <v/>
      </c>
      <c r="R2849" s="2">
        <f>TEXT(DATEVALUE(B2849),"mmm")</f>
        <v/>
      </c>
      <c r="S2849" s="2">
        <f>TEXT(DATEVALUE(B2849),"yyyy-mm")</f>
        <v/>
      </c>
    </row>
    <row r="2850">
      <c r="A2850" s="2" t="inlineStr">
        <is>
          <t>O000881</t>
        </is>
      </c>
      <c r="B2850" s="2" t="inlineStr">
        <is>
          <t>2025-07-26</t>
        </is>
      </c>
      <c r="C2850" s="2" t="inlineStr">
        <is>
          <t>C0445</t>
        </is>
      </c>
      <c r="D2850" s="2" t="inlineStr">
        <is>
          <t>P0023</t>
        </is>
      </c>
      <c r="E2850" s="2" t="inlineStr">
        <is>
          <t>Skin Care Kit</t>
        </is>
      </c>
      <c r="F2850" s="2" t="inlineStr">
        <is>
          <t>Beauty</t>
        </is>
      </c>
      <c r="G2850" s="2" t="inlineStr">
        <is>
          <t>East</t>
        </is>
      </c>
      <c r="H2850" s="2" t="inlineStr">
        <is>
          <t>West Bengal</t>
        </is>
      </c>
      <c r="I2850" s="2" t="inlineStr">
        <is>
          <t>Kolkata</t>
        </is>
      </c>
      <c r="J2850" s="2" t="inlineStr">
        <is>
          <t>Online</t>
        </is>
      </c>
      <c r="K2850" s="2" t="n">
        <v>1</v>
      </c>
      <c r="L2850" s="3" t="n">
        <v>1375.56</v>
      </c>
      <c r="M2850" s="4" t="n">
        <v>0.15</v>
      </c>
      <c r="N2850" s="3" t="n">
        <v>907.21</v>
      </c>
      <c r="O2850" s="3">
        <f>K2850*L2850*(1-M2850)</f>
        <v/>
      </c>
      <c r="P2850" s="3">
        <f>O2850-N2850</f>
        <v/>
      </c>
      <c r="Q2850" s="5">
        <f>IFERROR(P2850/O2850,0)</f>
        <v/>
      </c>
      <c r="R2850" s="2">
        <f>TEXT(DATEVALUE(B2850),"mmm")</f>
        <v/>
      </c>
      <c r="S2850" s="2">
        <f>TEXT(DATEVALUE(B2850),"yyyy-mm")</f>
        <v/>
      </c>
    </row>
    <row r="2851">
      <c r="A2851" s="2" t="inlineStr">
        <is>
          <t>O000782</t>
        </is>
      </c>
      <c r="B2851" s="2" t="inlineStr">
        <is>
          <t>2025-07-26</t>
        </is>
      </c>
      <c r="C2851" s="2" t="inlineStr">
        <is>
          <t>C0677</t>
        </is>
      </c>
      <c r="D2851" s="2" t="inlineStr">
        <is>
          <t>P0004</t>
        </is>
      </c>
      <c r="E2851" s="2" t="inlineStr">
        <is>
          <t>USB-C Hub</t>
        </is>
      </c>
      <c r="F2851" s="2" t="inlineStr">
        <is>
          <t>Electronics</t>
        </is>
      </c>
      <c r="G2851" s="2" t="inlineStr">
        <is>
          <t>South</t>
        </is>
      </c>
      <c r="H2851" s="2" t="inlineStr">
        <is>
          <t>Telangana</t>
        </is>
      </c>
      <c r="I2851" s="2" t="inlineStr">
        <is>
          <t>Hyderabad</t>
        </is>
      </c>
      <c r="J2851" s="2" t="inlineStr">
        <is>
          <t>Online</t>
        </is>
      </c>
      <c r="K2851" s="2" t="n">
        <v>1</v>
      </c>
      <c r="L2851" s="3" t="n">
        <v>1265.15</v>
      </c>
      <c r="M2851" s="4" t="n">
        <v>0</v>
      </c>
      <c r="N2851" s="3" t="n">
        <v>907.03</v>
      </c>
      <c r="O2851" s="3">
        <f>K2851*L2851*(1-M2851)</f>
        <v/>
      </c>
      <c r="P2851" s="3">
        <f>O2851-N2851</f>
        <v/>
      </c>
      <c r="Q2851" s="5">
        <f>IFERROR(P2851/O2851,0)</f>
        <v/>
      </c>
      <c r="R2851" s="2">
        <f>TEXT(DATEVALUE(B2851),"mmm")</f>
        <v/>
      </c>
      <c r="S2851" s="2">
        <f>TEXT(DATEVALUE(B2851),"yyyy-mm")</f>
        <v/>
      </c>
    </row>
    <row r="2852">
      <c r="A2852" s="2" t="inlineStr">
        <is>
          <t>O000134</t>
        </is>
      </c>
      <c r="B2852" s="2" t="inlineStr">
        <is>
          <t>2025-07-26</t>
        </is>
      </c>
      <c r="C2852" s="2" t="inlineStr">
        <is>
          <t>C0216</t>
        </is>
      </c>
      <c r="D2852" s="2" t="inlineStr">
        <is>
          <t>P0030</t>
        </is>
      </c>
      <c r="E2852" s="2" t="inlineStr">
        <is>
          <t>Dumbbells</t>
        </is>
      </c>
      <c r="F2852" s="2" t="inlineStr">
        <is>
          <t>Sports</t>
        </is>
      </c>
      <c r="G2852" s="2" t="inlineStr">
        <is>
          <t>West</t>
        </is>
      </c>
      <c r="H2852" s="2" t="inlineStr">
        <is>
          <t>Maharashtra</t>
        </is>
      </c>
      <c r="I2852" s="2" t="inlineStr">
        <is>
          <t>Nagpur</t>
        </is>
      </c>
      <c r="J2852" s="2" t="inlineStr">
        <is>
          <t>Store</t>
        </is>
      </c>
      <c r="K2852" s="2" t="n">
        <v>1</v>
      </c>
      <c r="L2852" s="3" t="n">
        <v>1626.69</v>
      </c>
      <c r="M2852" s="4" t="n">
        <v>0.05</v>
      </c>
      <c r="N2852" s="3" t="n">
        <v>1027.16</v>
      </c>
      <c r="O2852" s="3">
        <f>K2852*L2852*(1-M2852)</f>
        <v/>
      </c>
      <c r="P2852" s="3">
        <f>O2852-N2852</f>
        <v/>
      </c>
      <c r="Q2852" s="5">
        <f>IFERROR(P2852/O2852,0)</f>
        <v/>
      </c>
      <c r="R2852" s="2">
        <f>TEXT(DATEVALUE(B2852),"mmm")</f>
        <v/>
      </c>
      <c r="S2852" s="2">
        <f>TEXT(DATEVALUE(B2852),"yyyy-mm")</f>
        <v/>
      </c>
    </row>
    <row r="2853">
      <c r="A2853" s="2" t="inlineStr">
        <is>
          <t>O004345</t>
        </is>
      </c>
      <c r="B2853" s="2" t="inlineStr">
        <is>
          <t>2025-07-26</t>
        </is>
      </c>
      <c r="C2853" s="2" t="inlineStr">
        <is>
          <t>C0303</t>
        </is>
      </c>
      <c r="D2853" s="2" t="inlineStr">
        <is>
          <t>P0021</t>
        </is>
      </c>
      <c r="E2853" s="2" t="inlineStr">
        <is>
          <t>Wallet</t>
        </is>
      </c>
      <c r="F2853" s="2" t="inlineStr">
        <is>
          <t>Fashion</t>
        </is>
      </c>
      <c r="G2853" s="2" t="inlineStr">
        <is>
          <t>East</t>
        </is>
      </c>
      <c r="H2853" s="2" t="inlineStr">
        <is>
          <t>Bihar</t>
        </is>
      </c>
      <c r="I2853" s="2" t="inlineStr">
        <is>
          <t>Gaya</t>
        </is>
      </c>
      <c r="J2853" s="2" t="inlineStr">
        <is>
          <t>Store</t>
        </is>
      </c>
      <c r="K2853" s="2" t="n">
        <v>2</v>
      </c>
      <c r="L2853" s="3" t="n">
        <v>1936.62</v>
      </c>
      <c r="M2853" s="4" t="n">
        <v>0.15</v>
      </c>
      <c r="N2853" s="3" t="n">
        <v>2438.87</v>
      </c>
      <c r="O2853" s="3">
        <f>K2853*L2853*(1-M2853)</f>
        <v/>
      </c>
      <c r="P2853" s="3">
        <f>O2853-N2853</f>
        <v/>
      </c>
      <c r="Q2853" s="5">
        <f>IFERROR(P2853/O2853,0)</f>
        <v/>
      </c>
      <c r="R2853" s="2">
        <f>TEXT(DATEVALUE(B2853),"mmm")</f>
        <v/>
      </c>
      <c r="S2853" s="2">
        <f>TEXT(DATEVALUE(B2853),"yyyy-mm")</f>
        <v/>
      </c>
    </row>
    <row r="2854">
      <c r="A2854" s="2" t="inlineStr">
        <is>
          <t>O004847</t>
        </is>
      </c>
      <c r="B2854" s="2" t="inlineStr">
        <is>
          <t>2025-07-27</t>
        </is>
      </c>
      <c r="C2854" s="2" t="inlineStr">
        <is>
          <t>C0503</t>
        </is>
      </c>
      <c r="D2854" s="2" t="inlineStr">
        <is>
          <t>P0015</t>
        </is>
      </c>
      <c r="E2854" s="2" t="inlineStr">
        <is>
          <t>Running Shoes</t>
        </is>
      </c>
      <c r="F2854" s="2" t="inlineStr">
        <is>
          <t>Fashion</t>
        </is>
      </c>
      <c r="G2854" s="2" t="inlineStr">
        <is>
          <t>West</t>
        </is>
      </c>
      <c r="H2854" s="2" t="inlineStr">
        <is>
          <t>Gujarat</t>
        </is>
      </c>
      <c r="I2854" s="2" t="inlineStr">
        <is>
          <t>Ahmedabad</t>
        </is>
      </c>
      <c r="J2854" s="2" t="inlineStr">
        <is>
          <t>Store</t>
        </is>
      </c>
      <c r="K2854" s="2" t="n">
        <v>1</v>
      </c>
      <c r="L2854" s="3" t="n">
        <v>625.77</v>
      </c>
      <c r="M2854" s="4" t="n">
        <v>0.25</v>
      </c>
      <c r="N2854" s="3" t="n">
        <v>381.77</v>
      </c>
      <c r="O2854" s="3">
        <f>K2854*L2854*(1-M2854)</f>
        <v/>
      </c>
      <c r="P2854" s="3">
        <f>O2854-N2854</f>
        <v/>
      </c>
      <c r="Q2854" s="5">
        <f>IFERROR(P2854/O2854,0)</f>
        <v/>
      </c>
      <c r="R2854" s="2">
        <f>TEXT(DATEVALUE(B2854),"mmm")</f>
        <v/>
      </c>
      <c r="S2854" s="2">
        <f>TEXT(DATEVALUE(B2854),"yyyy-mm")</f>
        <v/>
      </c>
    </row>
    <row r="2855">
      <c r="A2855" s="2" t="inlineStr">
        <is>
          <t>O003546</t>
        </is>
      </c>
      <c r="B2855" s="2" t="inlineStr">
        <is>
          <t>2025-07-27</t>
        </is>
      </c>
      <c r="C2855" s="2" t="inlineStr">
        <is>
          <t>C0413</t>
        </is>
      </c>
      <c r="D2855" s="2" t="inlineStr">
        <is>
          <t>P0016</t>
        </is>
      </c>
      <c r="E2855" s="2" t="inlineStr">
        <is>
          <t>Casual Shirt</t>
        </is>
      </c>
      <c r="F2855" s="2" t="inlineStr">
        <is>
          <t>Fashion</t>
        </is>
      </c>
      <c r="G2855" s="2" t="inlineStr">
        <is>
          <t>West</t>
        </is>
      </c>
      <c r="H2855" s="2" t="inlineStr">
        <is>
          <t>Maharashtra</t>
        </is>
      </c>
      <c r="I2855" s="2" t="inlineStr">
        <is>
          <t>Pune</t>
        </is>
      </c>
      <c r="J2855" s="2" t="inlineStr">
        <is>
          <t>Store</t>
        </is>
      </c>
      <c r="K2855" s="2" t="n">
        <v>5</v>
      </c>
      <c r="L2855" s="3" t="n">
        <v>1247.2</v>
      </c>
      <c r="M2855" s="4" t="n">
        <v>0.1</v>
      </c>
      <c r="N2855" s="3" t="n">
        <v>4632.95</v>
      </c>
      <c r="O2855" s="3">
        <f>K2855*L2855*(1-M2855)</f>
        <v/>
      </c>
      <c r="P2855" s="3">
        <f>O2855-N2855</f>
        <v/>
      </c>
      <c r="Q2855" s="5">
        <f>IFERROR(P2855/O2855,0)</f>
        <v/>
      </c>
      <c r="R2855" s="2">
        <f>TEXT(DATEVALUE(B2855),"mmm")</f>
        <v/>
      </c>
      <c r="S2855" s="2">
        <f>TEXT(DATEVALUE(B2855),"yyyy-mm")</f>
        <v/>
      </c>
    </row>
    <row r="2856">
      <c r="A2856" s="2" t="inlineStr">
        <is>
          <t>O004323</t>
        </is>
      </c>
      <c r="B2856" s="2" t="inlineStr">
        <is>
          <t>2025-07-27</t>
        </is>
      </c>
      <c r="C2856" s="2" t="inlineStr">
        <is>
          <t>C0057</t>
        </is>
      </c>
      <c r="D2856" s="2" t="inlineStr">
        <is>
          <t>P0013</t>
        </is>
      </c>
      <c r="E2856" s="2" t="inlineStr">
        <is>
          <t>Storage Organizer</t>
        </is>
      </c>
      <c r="F2856" s="2" t="inlineStr">
        <is>
          <t>Home &amp; Kitchen</t>
        </is>
      </c>
      <c r="G2856" s="2" t="inlineStr">
        <is>
          <t>South</t>
        </is>
      </c>
      <c r="H2856" s="2" t="inlineStr">
        <is>
          <t>Tamil Nadu</t>
        </is>
      </c>
      <c r="I2856" s="2" t="inlineStr">
        <is>
          <t>Madurai</t>
        </is>
      </c>
      <c r="J2856" s="2" t="inlineStr">
        <is>
          <t>Store</t>
        </is>
      </c>
      <c r="K2856" s="2" t="n">
        <v>1</v>
      </c>
      <c r="L2856" s="3" t="n">
        <v>594.91</v>
      </c>
      <c r="M2856" s="4" t="n">
        <v>0.05</v>
      </c>
      <c r="N2856" s="3" t="n">
        <v>368.43</v>
      </c>
      <c r="O2856" s="3">
        <f>K2856*L2856*(1-M2856)</f>
        <v/>
      </c>
      <c r="P2856" s="3">
        <f>O2856-N2856</f>
        <v/>
      </c>
      <c r="Q2856" s="5">
        <f>IFERROR(P2856/O2856,0)</f>
        <v/>
      </c>
      <c r="R2856" s="2">
        <f>TEXT(DATEVALUE(B2856),"mmm")</f>
        <v/>
      </c>
      <c r="S2856" s="2">
        <f>TEXT(DATEVALUE(B2856),"yyyy-mm")</f>
        <v/>
      </c>
    </row>
    <row r="2857">
      <c r="A2857" s="2" t="inlineStr">
        <is>
          <t>O003843</t>
        </is>
      </c>
      <c r="B2857" s="2" t="inlineStr">
        <is>
          <t>2025-07-27</t>
        </is>
      </c>
      <c r="C2857" s="2" t="inlineStr">
        <is>
          <t>C0394</t>
        </is>
      </c>
      <c r="D2857" s="2" t="inlineStr">
        <is>
          <t>P0019</t>
        </is>
      </c>
      <c r="E2857" s="2" t="inlineStr">
        <is>
          <t>Jacket</t>
        </is>
      </c>
      <c r="F2857" s="2" t="inlineStr">
        <is>
          <t>Fashion</t>
        </is>
      </c>
      <c r="G2857" s="2" t="inlineStr">
        <is>
          <t>West</t>
        </is>
      </c>
      <c r="H2857" s="2" t="inlineStr">
        <is>
          <t>Goa</t>
        </is>
      </c>
      <c r="I2857" s="2" t="inlineStr">
        <is>
          <t>Panaji</t>
        </is>
      </c>
      <c r="J2857" s="2" t="inlineStr">
        <is>
          <t>Online</t>
        </is>
      </c>
      <c r="K2857" s="2" t="n">
        <v>5</v>
      </c>
      <c r="L2857" s="3" t="n">
        <v>994.3</v>
      </c>
      <c r="M2857" s="4" t="n">
        <v>0.1</v>
      </c>
      <c r="N2857" s="3" t="n">
        <v>3356.62</v>
      </c>
      <c r="O2857" s="3">
        <f>K2857*L2857*(1-M2857)</f>
        <v/>
      </c>
      <c r="P2857" s="3">
        <f>O2857-N2857</f>
        <v/>
      </c>
      <c r="Q2857" s="5">
        <f>IFERROR(P2857/O2857,0)</f>
        <v/>
      </c>
      <c r="R2857" s="2">
        <f>TEXT(DATEVALUE(B2857),"mmm")</f>
        <v/>
      </c>
      <c r="S2857" s="2">
        <f>TEXT(DATEVALUE(B2857),"yyyy-mm")</f>
        <v/>
      </c>
    </row>
    <row r="2858">
      <c r="A2858" s="2" t="inlineStr">
        <is>
          <t>O002314</t>
        </is>
      </c>
      <c r="B2858" s="2" t="inlineStr">
        <is>
          <t>2025-07-27</t>
        </is>
      </c>
      <c r="C2858" s="2" t="inlineStr">
        <is>
          <t>C0084</t>
        </is>
      </c>
      <c r="D2858" s="2" t="inlineStr">
        <is>
          <t>P0026</t>
        </is>
      </c>
      <c r="E2858" s="2" t="inlineStr">
        <is>
          <t>Shampoo</t>
        </is>
      </c>
      <c r="F2858" s="2" t="inlineStr">
        <is>
          <t>Beauty</t>
        </is>
      </c>
      <c r="G2858" s="2" t="inlineStr">
        <is>
          <t>East</t>
        </is>
      </c>
      <c r="H2858" s="2" t="inlineStr">
        <is>
          <t>Bihar</t>
        </is>
      </c>
      <c r="I2858" s="2" t="inlineStr">
        <is>
          <t>Gaya</t>
        </is>
      </c>
      <c r="J2858" s="2" t="inlineStr">
        <is>
          <t>Online</t>
        </is>
      </c>
      <c r="K2858" s="2" t="n">
        <v>1</v>
      </c>
      <c r="L2858" s="3" t="n">
        <v>857.92</v>
      </c>
      <c r="M2858" s="4" t="n">
        <v>0.15</v>
      </c>
      <c r="N2858" s="3" t="n">
        <v>528.34</v>
      </c>
      <c r="O2858" s="3">
        <f>K2858*L2858*(1-M2858)</f>
        <v/>
      </c>
      <c r="P2858" s="3">
        <f>O2858-N2858</f>
        <v/>
      </c>
      <c r="Q2858" s="5">
        <f>IFERROR(P2858/O2858,0)</f>
        <v/>
      </c>
      <c r="R2858" s="2">
        <f>TEXT(DATEVALUE(B2858),"mmm")</f>
        <v/>
      </c>
      <c r="S2858" s="2">
        <f>TEXT(DATEVALUE(B2858),"yyyy-mm")</f>
        <v/>
      </c>
    </row>
    <row r="2859">
      <c r="A2859" s="2" t="inlineStr">
        <is>
          <t>O000083</t>
        </is>
      </c>
      <c r="B2859" s="2" t="inlineStr">
        <is>
          <t>2025-07-27</t>
        </is>
      </c>
      <c r="C2859" s="2" t="inlineStr">
        <is>
          <t>C0013</t>
        </is>
      </c>
      <c r="D2859" s="2" t="inlineStr">
        <is>
          <t>P0006</t>
        </is>
      </c>
      <c r="E2859" s="2" t="inlineStr">
        <is>
          <t>Mechanical Keyboard</t>
        </is>
      </c>
      <c r="F2859" s="2" t="inlineStr">
        <is>
          <t>Electronics</t>
        </is>
      </c>
      <c r="G2859" s="2" t="inlineStr">
        <is>
          <t>North</t>
        </is>
      </c>
      <c r="H2859" s="2" t="inlineStr">
        <is>
          <t>Punjab</t>
        </is>
      </c>
      <c r="I2859" s="2" t="inlineStr">
        <is>
          <t>Amritsar</t>
        </is>
      </c>
      <c r="J2859" s="2" t="inlineStr">
        <is>
          <t>Store</t>
        </is>
      </c>
      <c r="K2859" s="2" t="n">
        <v>4</v>
      </c>
      <c r="L2859" s="3" t="n">
        <v>2616.96</v>
      </c>
      <c r="M2859" s="4" t="n">
        <v>0.05</v>
      </c>
      <c r="N2859" s="3" t="n">
        <v>5726.18</v>
      </c>
      <c r="O2859" s="3">
        <f>K2859*L2859*(1-M2859)</f>
        <v/>
      </c>
      <c r="P2859" s="3">
        <f>O2859-N2859</f>
        <v/>
      </c>
      <c r="Q2859" s="5">
        <f>IFERROR(P2859/O2859,0)</f>
        <v/>
      </c>
      <c r="R2859" s="2">
        <f>TEXT(DATEVALUE(B2859),"mmm")</f>
        <v/>
      </c>
      <c r="S2859" s="2">
        <f>TEXT(DATEVALUE(B2859),"yyyy-mm")</f>
        <v/>
      </c>
    </row>
    <row r="2860">
      <c r="A2860" s="2" t="inlineStr">
        <is>
          <t>O001862</t>
        </is>
      </c>
      <c r="B2860" s="2" t="inlineStr">
        <is>
          <t>2025-07-27</t>
        </is>
      </c>
      <c r="C2860" s="2" t="inlineStr">
        <is>
          <t>C0390</t>
        </is>
      </c>
      <c r="D2860" s="2" t="inlineStr">
        <is>
          <t>P0011</t>
        </is>
      </c>
      <c r="E2860" s="2" t="inlineStr">
        <is>
          <t>Cookware Set</t>
        </is>
      </c>
      <c r="F2860" s="2" t="inlineStr">
        <is>
          <t>Home &amp; Kitchen</t>
        </is>
      </c>
      <c r="G2860" s="2" t="inlineStr">
        <is>
          <t>North</t>
        </is>
      </c>
      <c r="H2860" s="2" t="inlineStr">
        <is>
          <t>Haryana</t>
        </is>
      </c>
      <c r="I2860" s="2" t="inlineStr">
        <is>
          <t>Gurugram</t>
        </is>
      </c>
      <c r="J2860" s="2" t="inlineStr">
        <is>
          <t>Online</t>
        </is>
      </c>
      <c r="K2860" s="2" t="n">
        <v>2</v>
      </c>
      <c r="L2860" s="3" t="n">
        <v>720.64</v>
      </c>
      <c r="M2860" s="4" t="n">
        <v>0.15</v>
      </c>
      <c r="N2860" s="3" t="n">
        <v>964.25</v>
      </c>
      <c r="O2860" s="3">
        <f>K2860*L2860*(1-M2860)</f>
        <v/>
      </c>
      <c r="P2860" s="3">
        <f>O2860-N2860</f>
        <v/>
      </c>
      <c r="Q2860" s="5">
        <f>IFERROR(P2860/O2860,0)</f>
        <v/>
      </c>
      <c r="R2860" s="2">
        <f>TEXT(DATEVALUE(B2860),"mmm")</f>
        <v/>
      </c>
      <c r="S2860" s="2">
        <f>TEXT(DATEVALUE(B2860),"yyyy-mm")</f>
        <v/>
      </c>
    </row>
    <row r="2861">
      <c r="A2861" s="2" t="inlineStr">
        <is>
          <t>O001758</t>
        </is>
      </c>
      <c r="B2861" s="2" t="inlineStr">
        <is>
          <t>2025-07-27</t>
        </is>
      </c>
      <c r="C2861" s="2" t="inlineStr">
        <is>
          <t>C0570</t>
        </is>
      </c>
      <c r="D2861" s="2" t="inlineStr">
        <is>
          <t>P0008</t>
        </is>
      </c>
      <c r="E2861" s="2" t="inlineStr">
        <is>
          <t>Air Fryer</t>
        </is>
      </c>
      <c r="F2861" s="2" t="inlineStr">
        <is>
          <t>Home &amp; Kitchen</t>
        </is>
      </c>
      <c r="G2861" s="2" t="inlineStr">
        <is>
          <t>West</t>
        </is>
      </c>
      <c r="H2861" s="2" t="inlineStr">
        <is>
          <t>Gujarat</t>
        </is>
      </c>
      <c r="I2861" s="2" t="inlineStr">
        <is>
          <t>Surat</t>
        </is>
      </c>
      <c r="J2861" s="2" t="inlineStr">
        <is>
          <t>Online</t>
        </is>
      </c>
      <c r="K2861" s="2" t="n">
        <v>3</v>
      </c>
      <c r="L2861" s="3" t="n">
        <v>1001.98</v>
      </c>
      <c r="M2861" s="4" t="n">
        <v>0.1</v>
      </c>
      <c r="N2861" s="3" t="n">
        <v>2032.16</v>
      </c>
      <c r="O2861" s="3">
        <f>K2861*L2861*(1-M2861)</f>
        <v/>
      </c>
      <c r="P2861" s="3">
        <f>O2861-N2861</f>
        <v/>
      </c>
      <c r="Q2861" s="5">
        <f>IFERROR(P2861/O2861,0)</f>
        <v/>
      </c>
      <c r="R2861" s="2">
        <f>TEXT(DATEVALUE(B2861),"mmm")</f>
        <v/>
      </c>
      <c r="S2861" s="2">
        <f>TEXT(DATEVALUE(B2861),"yyyy-mm")</f>
        <v/>
      </c>
    </row>
    <row r="2862">
      <c r="A2862" s="2" t="inlineStr">
        <is>
          <t>O000296</t>
        </is>
      </c>
      <c r="B2862" s="2" t="inlineStr">
        <is>
          <t>2025-07-27</t>
        </is>
      </c>
      <c r="C2862" s="2" t="inlineStr">
        <is>
          <t>C0465</t>
        </is>
      </c>
      <c r="D2862" s="2" t="inlineStr">
        <is>
          <t>P0030</t>
        </is>
      </c>
      <c r="E2862" s="2" t="inlineStr">
        <is>
          <t>Dumbbells</t>
        </is>
      </c>
      <c r="F2862" s="2" t="inlineStr">
        <is>
          <t>Sports</t>
        </is>
      </c>
      <c r="G2862" s="2" t="inlineStr">
        <is>
          <t>North</t>
        </is>
      </c>
      <c r="H2862" s="2" t="inlineStr">
        <is>
          <t>Haryana</t>
        </is>
      </c>
      <c r="I2862" s="2" t="inlineStr">
        <is>
          <t>Gurugram</t>
        </is>
      </c>
      <c r="J2862" s="2" t="inlineStr">
        <is>
          <t>Online</t>
        </is>
      </c>
      <c r="K2862" s="2" t="n">
        <v>4</v>
      </c>
      <c r="L2862" s="3" t="n">
        <v>1596.17</v>
      </c>
      <c r="M2862" s="4" t="n">
        <v>0</v>
      </c>
      <c r="N2862" s="3" t="n">
        <v>4016.83</v>
      </c>
      <c r="O2862" s="3">
        <f>K2862*L2862*(1-M2862)</f>
        <v/>
      </c>
      <c r="P2862" s="3">
        <f>O2862-N2862</f>
        <v/>
      </c>
      <c r="Q2862" s="5">
        <f>IFERROR(P2862/O2862,0)</f>
        <v/>
      </c>
      <c r="R2862" s="2">
        <f>TEXT(DATEVALUE(B2862),"mmm")</f>
        <v/>
      </c>
      <c r="S2862" s="2">
        <f>TEXT(DATEVALUE(B2862),"yyyy-mm")</f>
        <v/>
      </c>
    </row>
    <row r="2863">
      <c r="A2863" s="2" t="inlineStr">
        <is>
          <t>O000275</t>
        </is>
      </c>
      <c r="B2863" s="2" t="inlineStr">
        <is>
          <t>2025-07-27</t>
        </is>
      </c>
      <c r="C2863" s="2" t="inlineStr">
        <is>
          <t>C0495</t>
        </is>
      </c>
      <c r="D2863" s="2" t="inlineStr">
        <is>
          <t>P0032</t>
        </is>
      </c>
      <c r="E2863" s="2" t="inlineStr">
        <is>
          <t>Football</t>
        </is>
      </c>
      <c r="F2863" s="2" t="inlineStr">
        <is>
          <t>Sports</t>
        </is>
      </c>
      <c r="G2863" s="2" t="inlineStr">
        <is>
          <t>North</t>
        </is>
      </c>
      <c r="H2863" s="2" t="inlineStr">
        <is>
          <t>Delhi</t>
        </is>
      </c>
      <c r="I2863" s="2" t="inlineStr">
        <is>
          <t>New Delhi</t>
        </is>
      </c>
      <c r="J2863" s="2" t="inlineStr">
        <is>
          <t>Store</t>
        </is>
      </c>
      <c r="K2863" s="2" t="n">
        <v>1</v>
      </c>
      <c r="L2863" s="3" t="n">
        <v>831.8099999999999</v>
      </c>
      <c r="M2863" s="4" t="n">
        <v>0.1</v>
      </c>
      <c r="N2863" s="3" t="n">
        <v>529.4</v>
      </c>
      <c r="O2863" s="3">
        <f>K2863*L2863*(1-M2863)</f>
        <v/>
      </c>
      <c r="P2863" s="3">
        <f>O2863-N2863</f>
        <v/>
      </c>
      <c r="Q2863" s="5">
        <f>IFERROR(P2863/O2863,0)</f>
        <v/>
      </c>
      <c r="R2863" s="2">
        <f>TEXT(DATEVALUE(B2863),"mmm")</f>
        <v/>
      </c>
      <c r="S2863" s="2">
        <f>TEXT(DATEVALUE(B2863),"yyyy-mm")</f>
        <v/>
      </c>
    </row>
    <row r="2864">
      <c r="A2864" s="2" t="inlineStr">
        <is>
          <t>O002212</t>
        </is>
      </c>
      <c r="B2864" s="2" t="inlineStr">
        <is>
          <t>2025-07-27</t>
        </is>
      </c>
      <c r="C2864" s="2" t="inlineStr">
        <is>
          <t>C0442</t>
        </is>
      </c>
      <c r="D2864" s="2" t="inlineStr">
        <is>
          <t>P0001</t>
        </is>
      </c>
      <c r="E2864" s="2" t="inlineStr">
        <is>
          <t>Wireless Headphones</t>
        </is>
      </c>
      <c r="F2864" s="2" t="inlineStr">
        <is>
          <t>Electronics</t>
        </is>
      </c>
      <c r="G2864" s="2" t="inlineStr">
        <is>
          <t>West</t>
        </is>
      </c>
      <c r="H2864" s="2" t="inlineStr">
        <is>
          <t>Goa</t>
        </is>
      </c>
      <c r="I2864" s="2" t="inlineStr">
        <is>
          <t>Margao</t>
        </is>
      </c>
      <c r="J2864" s="2" t="inlineStr">
        <is>
          <t>Online</t>
        </is>
      </c>
      <c r="K2864" s="2" t="n">
        <v>1</v>
      </c>
      <c r="L2864" s="3" t="n">
        <v>1258.29</v>
      </c>
      <c r="M2864" s="4" t="n">
        <v>0.2</v>
      </c>
      <c r="N2864" s="3" t="n">
        <v>711.17</v>
      </c>
      <c r="O2864" s="3">
        <f>K2864*L2864*(1-M2864)</f>
        <v/>
      </c>
      <c r="P2864" s="3">
        <f>O2864-N2864</f>
        <v/>
      </c>
      <c r="Q2864" s="5">
        <f>IFERROR(P2864/O2864,0)</f>
        <v/>
      </c>
      <c r="R2864" s="2">
        <f>TEXT(DATEVALUE(B2864),"mmm")</f>
        <v/>
      </c>
      <c r="S2864" s="2">
        <f>TEXT(DATEVALUE(B2864),"yyyy-mm")</f>
        <v/>
      </c>
    </row>
    <row r="2865">
      <c r="A2865" s="2" t="inlineStr">
        <is>
          <t>O004939</t>
        </is>
      </c>
      <c r="B2865" s="2" t="inlineStr">
        <is>
          <t>2025-07-28</t>
        </is>
      </c>
      <c r="C2865" s="2" t="inlineStr">
        <is>
          <t>C0651</t>
        </is>
      </c>
      <c r="D2865" s="2" t="inlineStr">
        <is>
          <t>P0014</t>
        </is>
      </c>
      <c r="E2865" s="2" t="inlineStr">
        <is>
          <t>Coffee Maker</t>
        </is>
      </c>
      <c r="F2865" s="2" t="inlineStr">
        <is>
          <t>Home &amp; Kitchen</t>
        </is>
      </c>
      <c r="G2865" s="2" t="inlineStr">
        <is>
          <t>West</t>
        </is>
      </c>
      <c r="H2865" s="2" t="inlineStr">
        <is>
          <t>Gujarat</t>
        </is>
      </c>
      <c r="I2865" s="2" t="inlineStr">
        <is>
          <t>Surat</t>
        </is>
      </c>
      <c r="J2865" s="2" t="inlineStr">
        <is>
          <t>Store</t>
        </is>
      </c>
      <c r="K2865" s="2" t="n">
        <v>1</v>
      </c>
      <c r="L2865" s="3" t="n">
        <v>1055.84</v>
      </c>
      <c r="M2865" s="4" t="n">
        <v>0.05</v>
      </c>
      <c r="N2865" s="3" t="n">
        <v>772.42</v>
      </c>
      <c r="O2865" s="3">
        <f>K2865*L2865*(1-M2865)</f>
        <v/>
      </c>
      <c r="P2865" s="3">
        <f>O2865-N2865</f>
        <v/>
      </c>
      <c r="Q2865" s="5">
        <f>IFERROR(P2865/O2865,0)</f>
        <v/>
      </c>
      <c r="R2865" s="2">
        <f>TEXT(DATEVALUE(B2865),"mmm")</f>
        <v/>
      </c>
      <c r="S2865" s="2">
        <f>TEXT(DATEVALUE(B2865),"yyyy-mm")</f>
        <v/>
      </c>
    </row>
    <row r="2866">
      <c r="A2866" s="2" t="inlineStr">
        <is>
          <t>O004906</t>
        </is>
      </c>
      <c r="B2866" s="2" t="inlineStr">
        <is>
          <t>2025-07-28</t>
        </is>
      </c>
      <c r="C2866" s="2" t="inlineStr">
        <is>
          <t>C0590</t>
        </is>
      </c>
      <c r="D2866" s="2" t="inlineStr">
        <is>
          <t>P0004</t>
        </is>
      </c>
      <c r="E2866" s="2" t="inlineStr">
        <is>
          <t>USB-C Hub</t>
        </is>
      </c>
      <c r="F2866" s="2" t="inlineStr">
        <is>
          <t>Electronics</t>
        </is>
      </c>
      <c r="G2866" s="2" t="inlineStr">
        <is>
          <t>North</t>
        </is>
      </c>
      <c r="H2866" s="2" t="inlineStr">
        <is>
          <t>Uttar Pradesh</t>
        </is>
      </c>
      <c r="I2866" s="2" t="inlineStr">
        <is>
          <t>Lucknow</t>
        </is>
      </c>
      <c r="J2866" s="2" t="inlineStr">
        <is>
          <t>Online</t>
        </is>
      </c>
      <c r="K2866" s="2" t="n">
        <v>3</v>
      </c>
      <c r="L2866" s="3" t="n">
        <v>1308.24</v>
      </c>
      <c r="M2866" s="4" t="n">
        <v>0.15</v>
      </c>
      <c r="N2866" s="3" t="n">
        <v>2695.5</v>
      </c>
      <c r="O2866" s="3">
        <f>K2866*L2866*(1-M2866)</f>
        <v/>
      </c>
      <c r="P2866" s="3">
        <f>O2866-N2866</f>
        <v/>
      </c>
      <c r="Q2866" s="5">
        <f>IFERROR(P2866/O2866,0)</f>
        <v/>
      </c>
      <c r="R2866" s="2">
        <f>TEXT(DATEVALUE(B2866),"mmm")</f>
        <v/>
      </c>
      <c r="S2866" s="2">
        <f>TEXT(DATEVALUE(B2866),"yyyy-mm")</f>
        <v/>
      </c>
    </row>
    <row r="2867">
      <c r="A2867" s="2" t="inlineStr">
        <is>
          <t>O004568</t>
        </is>
      </c>
      <c r="B2867" s="2" t="inlineStr">
        <is>
          <t>2025-07-28</t>
        </is>
      </c>
      <c r="C2867" s="2" t="inlineStr">
        <is>
          <t>C0056</t>
        </is>
      </c>
      <c r="D2867" s="2" t="inlineStr">
        <is>
          <t>P0017</t>
        </is>
      </c>
      <c r="E2867" s="2" t="inlineStr">
        <is>
          <t>Jeans</t>
        </is>
      </c>
      <c r="F2867" s="2" t="inlineStr">
        <is>
          <t>Fashion</t>
        </is>
      </c>
      <c r="G2867" s="2" t="inlineStr">
        <is>
          <t>East</t>
        </is>
      </c>
      <c r="H2867" s="2" t="inlineStr">
        <is>
          <t>Bihar</t>
        </is>
      </c>
      <c r="I2867" s="2" t="inlineStr">
        <is>
          <t>Gaya</t>
        </is>
      </c>
      <c r="J2867" s="2" t="inlineStr">
        <is>
          <t>Online</t>
        </is>
      </c>
      <c r="K2867" s="2" t="n">
        <v>3</v>
      </c>
      <c r="L2867" s="3" t="n">
        <v>1484.97</v>
      </c>
      <c r="M2867" s="4" t="n">
        <v>0.05</v>
      </c>
      <c r="N2867" s="3" t="n">
        <v>3002.21</v>
      </c>
      <c r="O2867" s="3">
        <f>K2867*L2867*(1-M2867)</f>
        <v/>
      </c>
      <c r="P2867" s="3">
        <f>O2867-N2867</f>
        <v/>
      </c>
      <c r="Q2867" s="5">
        <f>IFERROR(P2867/O2867,0)</f>
        <v/>
      </c>
      <c r="R2867" s="2">
        <f>TEXT(DATEVALUE(B2867),"mmm")</f>
        <v/>
      </c>
      <c r="S2867" s="2">
        <f>TEXT(DATEVALUE(B2867),"yyyy-mm")</f>
        <v/>
      </c>
    </row>
    <row r="2868">
      <c r="A2868" s="2" t="inlineStr">
        <is>
          <t>O004443</t>
        </is>
      </c>
      <c r="B2868" s="2" t="inlineStr">
        <is>
          <t>2025-07-28</t>
        </is>
      </c>
      <c r="C2868" s="2" t="inlineStr">
        <is>
          <t>C0220</t>
        </is>
      </c>
      <c r="D2868" s="2" t="inlineStr">
        <is>
          <t>P0003</t>
        </is>
      </c>
      <c r="E2868" s="2" t="inlineStr">
        <is>
          <t>Smartwatch</t>
        </is>
      </c>
      <c r="F2868" s="2" t="inlineStr">
        <is>
          <t>Electronics</t>
        </is>
      </c>
      <c r="G2868" s="2" t="inlineStr">
        <is>
          <t>South</t>
        </is>
      </c>
      <c r="H2868" s="2" t="inlineStr">
        <is>
          <t>Karnataka</t>
        </is>
      </c>
      <c r="I2868" s="2" t="inlineStr">
        <is>
          <t>Mysuru</t>
        </is>
      </c>
      <c r="J2868" s="2" t="inlineStr">
        <is>
          <t>Online</t>
        </is>
      </c>
      <c r="K2868" s="2" t="n">
        <v>2</v>
      </c>
      <c r="L2868" s="3" t="n">
        <v>2198.78</v>
      </c>
      <c r="M2868" s="4" t="n">
        <v>0.05</v>
      </c>
      <c r="N2868" s="3" t="n">
        <v>2413.52</v>
      </c>
      <c r="O2868" s="3">
        <f>K2868*L2868*(1-M2868)</f>
        <v/>
      </c>
      <c r="P2868" s="3">
        <f>O2868-N2868</f>
        <v/>
      </c>
      <c r="Q2868" s="5">
        <f>IFERROR(P2868/O2868,0)</f>
        <v/>
      </c>
      <c r="R2868" s="2">
        <f>TEXT(DATEVALUE(B2868),"mmm")</f>
        <v/>
      </c>
      <c r="S2868" s="2">
        <f>TEXT(DATEVALUE(B2868),"yyyy-mm")</f>
        <v/>
      </c>
    </row>
    <row r="2869">
      <c r="A2869" s="2" t="inlineStr">
        <is>
          <t>O003938</t>
        </is>
      </c>
      <c r="B2869" s="2" t="inlineStr">
        <is>
          <t>2025-07-28</t>
        </is>
      </c>
      <c r="C2869" s="2" t="inlineStr">
        <is>
          <t>C0738</t>
        </is>
      </c>
      <c r="D2869" s="2" t="inlineStr">
        <is>
          <t>P0005</t>
        </is>
      </c>
      <c r="E2869" s="2" t="inlineStr">
        <is>
          <t>Power Bank</t>
        </is>
      </c>
      <c r="F2869" s="2" t="inlineStr">
        <is>
          <t>Electronics</t>
        </is>
      </c>
      <c r="G2869" s="2" t="inlineStr">
        <is>
          <t>South</t>
        </is>
      </c>
      <c r="H2869" s="2" t="inlineStr">
        <is>
          <t>Telangana</t>
        </is>
      </c>
      <c r="I2869" s="2" t="inlineStr">
        <is>
          <t>Hyderabad</t>
        </is>
      </c>
      <c r="J2869" s="2" t="inlineStr">
        <is>
          <t>Online</t>
        </is>
      </c>
      <c r="K2869" s="2" t="n">
        <v>2</v>
      </c>
      <c r="L2869" s="3" t="n">
        <v>1081.19</v>
      </c>
      <c r="M2869" s="4" t="n">
        <v>0.15</v>
      </c>
      <c r="N2869" s="3" t="n">
        <v>1332.25</v>
      </c>
      <c r="O2869" s="3">
        <f>K2869*L2869*(1-M2869)</f>
        <v/>
      </c>
      <c r="P2869" s="3">
        <f>O2869-N2869</f>
        <v/>
      </c>
      <c r="Q2869" s="5">
        <f>IFERROR(P2869/O2869,0)</f>
        <v/>
      </c>
      <c r="R2869" s="2">
        <f>TEXT(DATEVALUE(B2869),"mmm")</f>
        <v/>
      </c>
      <c r="S2869" s="2">
        <f>TEXT(DATEVALUE(B2869),"yyyy-mm")</f>
        <v/>
      </c>
    </row>
    <row r="2870">
      <c r="A2870" s="2" t="inlineStr">
        <is>
          <t>O004720</t>
        </is>
      </c>
      <c r="B2870" s="2" t="inlineStr">
        <is>
          <t>2025-07-28</t>
        </is>
      </c>
      <c r="C2870" s="2" t="inlineStr">
        <is>
          <t>C0321</t>
        </is>
      </c>
      <c r="D2870" s="2" t="inlineStr">
        <is>
          <t>P0024</t>
        </is>
      </c>
      <c r="E2870" s="2" t="inlineStr">
        <is>
          <t>Hair Dryer</t>
        </is>
      </c>
      <c r="F2870" s="2" t="inlineStr">
        <is>
          <t>Beauty</t>
        </is>
      </c>
      <c r="G2870" s="2" t="inlineStr">
        <is>
          <t>South</t>
        </is>
      </c>
      <c r="H2870" s="2" t="inlineStr">
        <is>
          <t>Kerala</t>
        </is>
      </c>
      <c r="I2870" s="2" t="inlineStr">
        <is>
          <t>Thiruvananthapuram</t>
        </is>
      </c>
      <c r="J2870" s="2" t="inlineStr">
        <is>
          <t>Online</t>
        </is>
      </c>
      <c r="K2870" s="2" t="n">
        <v>4</v>
      </c>
      <c r="L2870" s="3" t="n">
        <v>1013.74</v>
      </c>
      <c r="M2870" s="4" t="n">
        <v>0.1</v>
      </c>
      <c r="N2870" s="3" t="n">
        <v>3021.12</v>
      </c>
      <c r="O2870" s="3">
        <f>K2870*L2870*(1-M2870)</f>
        <v/>
      </c>
      <c r="P2870" s="3">
        <f>O2870-N2870</f>
        <v/>
      </c>
      <c r="Q2870" s="5">
        <f>IFERROR(P2870/O2870,0)</f>
        <v/>
      </c>
      <c r="R2870" s="2">
        <f>TEXT(DATEVALUE(B2870),"mmm")</f>
        <v/>
      </c>
      <c r="S2870" s="2">
        <f>TEXT(DATEVALUE(B2870),"yyyy-mm")</f>
        <v/>
      </c>
    </row>
    <row r="2871">
      <c r="A2871" s="2" t="inlineStr">
        <is>
          <t>O002697</t>
        </is>
      </c>
      <c r="B2871" s="2" t="inlineStr">
        <is>
          <t>2025-07-28</t>
        </is>
      </c>
      <c r="C2871" s="2" t="inlineStr">
        <is>
          <t>C0312</t>
        </is>
      </c>
      <c r="D2871" s="2" t="inlineStr">
        <is>
          <t>P0021</t>
        </is>
      </c>
      <c r="E2871" s="2" t="inlineStr">
        <is>
          <t>Wallet</t>
        </is>
      </c>
      <c r="F2871" s="2" t="inlineStr">
        <is>
          <t>Fashion</t>
        </is>
      </c>
      <c r="G2871" s="2" t="inlineStr">
        <is>
          <t>North</t>
        </is>
      </c>
      <c r="H2871" s="2" t="inlineStr">
        <is>
          <t>Haryana</t>
        </is>
      </c>
      <c r="I2871" s="2" t="inlineStr">
        <is>
          <t>Faridabad</t>
        </is>
      </c>
      <c r="J2871" s="2" t="inlineStr">
        <is>
          <t>Online</t>
        </is>
      </c>
      <c r="K2871" s="2" t="n">
        <v>1</v>
      </c>
      <c r="L2871" s="3" t="n">
        <v>1983.01</v>
      </c>
      <c r="M2871" s="4" t="n">
        <v>0</v>
      </c>
      <c r="N2871" s="3" t="n">
        <v>1256.62</v>
      </c>
      <c r="O2871" s="3">
        <f>K2871*L2871*(1-M2871)</f>
        <v/>
      </c>
      <c r="P2871" s="3">
        <f>O2871-N2871</f>
        <v/>
      </c>
      <c r="Q2871" s="5">
        <f>IFERROR(P2871/O2871,0)</f>
        <v/>
      </c>
      <c r="R2871" s="2">
        <f>TEXT(DATEVALUE(B2871),"mmm")</f>
        <v/>
      </c>
      <c r="S2871" s="2">
        <f>TEXT(DATEVALUE(B2871),"yyyy-mm")</f>
        <v/>
      </c>
    </row>
    <row r="2872">
      <c r="A2872" s="2" t="inlineStr">
        <is>
          <t>O002301</t>
        </is>
      </c>
      <c r="B2872" s="2" t="inlineStr">
        <is>
          <t>2025-07-28</t>
        </is>
      </c>
      <c r="C2872" s="2" t="inlineStr">
        <is>
          <t>C0646</t>
        </is>
      </c>
      <c r="D2872" s="2" t="inlineStr">
        <is>
          <t>P0011</t>
        </is>
      </c>
      <c r="E2872" s="2" t="inlineStr">
        <is>
          <t>Cookware Set</t>
        </is>
      </c>
      <c r="F2872" s="2" t="inlineStr">
        <is>
          <t>Home &amp; Kitchen</t>
        </is>
      </c>
      <c r="G2872" s="2" t="inlineStr">
        <is>
          <t>West</t>
        </is>
      </c>
      <c r="H2872" s="2" t="inlineStr">
        <is>
          <t>Maharashtra</t>
        </is>
      </c>
      <c r="I2872" s="2" t="inlineStr">
        <is>
          <t>Nagpur</t>
        </is>
      </c>
      <c r="J2872" s="2" t="inlineStr">
        <is>
          <t>Store</t>
        </is>
      </c>
      <c r="K2872" s="2" t="n">
        <v>1</v>
      </c>
      <c r="L2872" s="3" t="n">
        <v>690.16</v>
      </c>
      <c r="M2872" s="4" t="n">
        <v>0</v>
      </c>
      <c r="N2872" s="3" t="n">
        <v>469.21</v>
      </c>
      <c r="O2872" s="3">
        <f>K2872*L2872*(1-M2872)</f>
        <v/>
      </c>
      <c r="P2872" s="3">
        <f>O2872-N2872</f>
        <v/>
      </c>
      <c r="Q2872" s="5">
        <f>IFERROR(P2872/O2872,0)</f>
        <v/>
      </c>
      <c r="R2872" s="2">
        <f>TEXT(DATEVALUE(B2872),"mmm")</f>
        <v/>
      </c>
      <c r="S2872" s="2">
        <f>TEXT(DATEVALUE(B2872),"yyyy-mm")</f>
        <v/>
      </c>
    </row>
    <row r="2873">
      <c r="A2873" s="2" t="inlineStr">
        <is>
          <t>O001793</t>
        </is>
      </c>
      <c r="B2873" s="2" t="inlineStr">
        <is>
          <t>2025-07-28</t>
        </is>
      </c>
      <c r="C2873" s="2" t="inlineStr">
        <is>
          <t>C0253</t>
        </is>
      </c>
      <c r="D2873" s="2" t="inlineStr">
        <is>
          <t>P0002</t>
        </is>
      </c>
      <c r="E2873" s="2" t="inlineStr">
        <is>
          <t>Bluetooth Speaker</t>
        </is>
      </c>
      <c r="F2873" s="2" t="inlineStr">
        <is>
          <t>Electronics</t>
        </is>
      </c>
      <c r="G2873" s="2" t="inlineStr">
        <is>
          <t>North</t>
        </is>
      </c>
      <c r="H2873" s="2" t="inlineStr">
        <is>
          <t>Haryana</t>
        </is>
      </c>
      <c r="I2873" s="2" t="inlineStr">
        <is>
          <t>Faridabad</t>
        </is>
      </c>
      <c r="J2873" s="2" t="inlineStr">
        <is>
          <t>Online</t>
        </is>
      </c>
      <c r="K2873" s="2" t="n">
        <v>2</v>
      </c>
      <c r="L2873" s="3" t="n">
        <v>1408.91</v>
      </c>
      <c r="M2873" s="4" t="n">
        <v>0.05</v>
      </c>
      <c r="N2873" s="3" t="n">
        <v>1654.69</v>
      </c>
      <c r="O2873" s="3">
        <f>K2873*L2873*(1-M2873)</f>
        <v/>
      </c>
      <c r="P2873" s="3">
        <f>O2873-N2873</f>
        <v/>
      </c>
      <c r="Q2873" s="5">
        <f>IFERROR(P2873/O2873,0)</f>
        <v/>
      </c>
      <c r="R2873" s="2">
        <f>TEXT(DATEVALUE(B2873),"mmm")</f>
        <v/>
      </c>
      <c r="S2873" s="2">
        <f>TEXT(DATEVALUE(B2873),"yyyy-mm")</f>
        <v/>
      </c>
    </row>
    <row r="2874">
      <c r="A2874" s="2" t="inlineStr">
        <is>
          <t>O001318</t>
        </is>
      </c>
      <c r="B2874" s="2" t="inlineStr">
        <is>
          <t>2025-07-28</t>
        </is>
      </c>
      <c r="C2874" s="2" t="inlineStr">
        <is>
          <t>C0581</t>
        </is>
      </c>
      <c r="D2874" s="2" t="inlineStr">
        <is>
          <t>P0023</t>
        </is>
      </c>
      <c r="E2874" s="2" t="inlineStr">
        <is>
          <t>Skin Care Kit</t>
        </is>
      </c>
      <c r="F2874" s="2" t="inlineStr">
        <is>
          <t>Beauty</t>
        </is>
      </c>
      <c r="G2874" s="2" t="inlineStr">
        <is>
          <t>North</t>
        </is>
      </c>
      <c r="H2874" s="2" t="inlineStr">
        <is>
          <t>Uttar Pradesh</t>
        </is>
      </c>
      <c r="I2874" s="2" t="inlineStr">
        <is>
          <t>Noida</t>
        </is>
      </c>
      <c r="J2874" s="2" t="inlineStr">
        <is>
          <t>Online</t>
        </is>
      </c>
      <c r="K2874" s="2" t="n">
        <v>1</v>
      </c>
      <c r="L2874" s="3" t="n">
        <v>1435.57</v>
      </c>
      <c r="M2874" s="4" t="n">
        <v>0.1</v>
      </c>
      <c r="N2874" s="3" t="n">
        <v>911.12</v>
      </c>
      <c r="O2874" s="3">
        <f>K2874*L2874*(1-M2874)</f>
        <v/>
      </c>
      <c r="P2874" s="3">
        <f>O2874-N2874</f>
        <v/>
      </c>
      <c r="Q2874" s="5">
        <f>IFERROR(P2874/O2874,0)</f>
        <v/>
      </c>
      <c r="R2874" s="2">
        <f>TEXT(DATEVALUE(B2874),"mmm")</f>
        <v/>
      </c>
      <c r="S2874" s="2">
        <f>TEXT(DATEVALUE(B2874),"yyyy-mm")</f>
        <v/>
      </c>
    </row>
    <row r="2875">
      <c r="A2875" s="2" t="inlineStr">
        <is>
          <t>O001316</t>
        </is>
      </c>
      <c r="B2875" s="2" t="inlineStr">
        <is>
          <t>2025-07-28</t>
        </is>
      </c>
      <c r="C2875" s="2" t="inlineStr">
        <is>
          <t>C0004</t>
        </is>
      </c>
      <c r="D2875" s="2" t="inlineStr">
        <is>
          <t>P0007</t>
        </is>
      </c>
      <c r="E2875" s="2" t="inlineStr">
        <is>
          <t>Wireless Mouse</t>
        </is>
      </c>
      <c r="F2875" s="2" t="inlineStr">
        <is>
          <t>Electronics</t>
        </is>
      </c>
      <c r="G2875" s="2" t="inlineStr">
        <is>
          <t>South</t>
        </is>
      </c>
      <c r="H2875" s="2" t="inlineStr">
        <is>
          <t>Tamil Nadu</t>
        </is>
      </c>
      <c r="I2875" s="2" t="inlineStr">
        <is>
          <t>Coimbatore</t>
        </is>
      </c>
      <c r="J2875" s="2" t="inlineStr">
        <is>
          <t>Store</t>
        </is>
      </c>
      <c r="K2875" s="2" t="n">
        <v>1</v>
      </c>
      <c r="L2875" s="3" t="n">
        <v>962</v>
      </c>
      <c r="M2875" s="4" t="n">
        <v>0.05</v>
      </c>
      <c r="N2875" s="3" t="n">
        <v>614.2</v>
      </c>
      <c r="O2875" s="3">
        <f>K2875*L2875*(1-M2875)</f>
        <v/>
      </c>
      <c r="P2875" s="3">
        <f>O2875-N2875</f>
        <v/>
      </c>
      <c r="Q2875" s="5">
        <f>IFERROR(P2875/O2875,0)</f>
        <v/>
      </c>
      <c r="R2875" s="2">
        <f>TEXT(DATEVALUE(B2875),"mmm")</f>
        <v/>
      </c>
      <c r="S2875" s="2">
        <f>TEXT(DATEVALUE(B2875),"yyyy-mm")</f>
        <v/>
      </c>
    </row>
    <row r="2876">
      <c r="A2876" s="2" t="inlineStr">
        <is>
          <t>O003687</t>
        </is>
      </c>
      <c r="B2876" s="2" t="inlineStr">
        <is>
          <t>2025-07-28</t>
        </is>
      </c>
      <c r="C2876" s="2" t="inlineStr">
        <is>
          <t>C0762</t>
        </is>
      </c>
      <c r="D2876" s="2" t="inlineStr">
        <is>
          <t>P0032</t>
        </is>
      </c>
      <c r="E2876" s="2" t="inlineStr">
        <is>
          <t>Football</t>
        </is>
      </c>
      <c r="F2876" s="2" t="inlineStr">
        <is>
          <t>Sports</t>
        </is>
      </c>
      <c r="G2876" s="2" t="inlineStr">
        <is>
          <t>East</t>
        </is>
      </c>
      <c r="H2876" s="2" t="inlineStr">
        <is>
          <t>Odisha</t>
        </is>
      </c>
      <c r="I2876" s="2" t="inlineStr">
        <is>
          <t>Bhubaneswar</t>
        </is>
      </c>
      <c r="J2876" s="2" t="inlineStr">
        <is>
          <t>Online</t>
        </is>
      </c>
      <c r="K2876" s="2" t="n">
        <v>1</v>
      </c>
      <c r="L2876" s="3" t="n">
        <v>845.3099999999999</v>
      </c>
      <c r="M2876" s="4" t="n">
        <v>0.1</v>
      </c>
      <c r="N2876" s="3" t="n">
        <v>549.04</v>
      </c>
      <c r="O2876" s="3">
        <f>K2876*L2876*(1-M2876)</f>
        <v/>
      </c>
      <c r="P2876" s="3">
        <f>O2876-N2876</f>
        <v/>
      </c>
      <c r="Q2876" s="5">
        <f>IFERROR(P2876/O2876,0)</f>
        <v/>
      </c>
      <c r="R2876" s="2">
        <f>TEXT(DATEVALUE(B2876),"mmm")</f>
        <v/>
      </c>
      <c r="S2876" s="2">
        <f>TEXT(DATEVALUE(B2876),"yyyy-mm")</f>
        <v/>
      </c>
    </row>
    <row r="2877">
      <c r="A2877" s="2" t="inlineStr">
        <is>
          <t>O004260</t>
        </is>
      </c>
      <c r="B2877" s="2" t="inlineStr">
        <is>
          <t>2025-07-29</t>
        </is>
      </c>
      <c r="C2877" s="2" t="inlineStr">
        <is>
          <t>C0389</t>
        </is>
      </c>
      <c r="D2877" s="2" t="inlineStr">
        <is>
          <t>P0035</t>
        </is>
      </c>
      <c r="E2877" s="2" t="inlineStr">
        <is>
          <t>Skipping Rope</t>
        </is>
      </c>
      <c r="F2877" s="2" t="inlineStr">
        <is>
          <t>Sports</t>
        </is>
      </c>
      <c r="G2877" s="2" t="inlineStr">
        <is>
          <t>South</t>
        </is>
      </c>
      <c r="H2877" s="2" t="inlineStr">
        <is>
          <t>Tamil Nadu</t>
        </is>
      </c>
      <c r="I2877" s="2" t="inlineStr">
        <is>
          <t>Coimbatore</t>
        </is>
      </c>
      <c r="J2877" s="2" t="inlineStr">
        <is>
          <t>Store</t>
        </is>
      </c>
      <c r="K2877" s="2" t="n">
        <v>1</v>
      </c>
      <c r="L2877" s="3" t="n">
        <v>728.65</v>
      </c>
      <c r="M2877" s="4" t="n">
        <v>0</v>
      </c>
      <c r="N2877" s="3" t="n">
        <v>399.39</v>
      </c>
      <c r="O2877" s="3">
        <f>K2877*L2877*(1-M2877)</f>
        <v/>
      </c>
      <c r="P2877" s="3">
        <f>O2877-N2877</f>
        <v/>
      </c>
      <c r="Q2877" s="5">
        <f>IFERROR(P2877/O2877,0)</f>
        <v/>
      </c>
      <c r="R2877" s="2">
        <f>TEXT(DATEVALUE(B2877),"mmm")</f>
        <v/>
      </c>
      <c r="S2877" s="2">
        <f>TEXT(DATEVALUE(B2877),"yyyy-mm")</f>
        <v/>
      </c>
    </row>
    <row r="2878">
      <c r="A2878" s="2" t="inlineStr">
        <is>
          <t>O003925</t>
        </is>
      </c>
      <c r="B2878" s="2" t="inlineStr">
        <is>
          <t>2025-07-29</t>
        </is>
      </c>
      <c r="C2878" s="2" t="inlineStr">
        <is>
          <t>C0283</t>
        </is>
      </c>
      <c r="D2878" s="2" t="inlineStr">
        <is>
          <t>P0012</t>
        </is>
      </c>
      <c r="E2878" s="2" t="inlineStr">
        <is>
          <t>Water Bottle</t>
        </is>
      </c>
      <c r="F2878" s="2" t="inlineStr">
        <is>
          <t>Home &amp; Kitchen</t>
        </is>
      </c>
      <c r="G2878" s="2" t="inlineStr">
        <is>
          <t>East</t>
        </is>
      </c>
      <c r="H2878" s="2" t="inlineStr">
        <is>
          <t>West Bengal</t>
        </is>
      </c>
      <c r="I2878" s="2" t="inlineStr">
        <is>
          <t>Durgapur</t>
        </is>
      </c>
      <c r="J2878" s="2" t="inlineStr">
        <is>
          <t>Online</t>
        </is>
      </c>
      <c r="K2878" s="2" t="n">
        <v>1</v>
      </c>
      <c r="L2878" s="3" t="n">
        <v>951.83</v>
      </c>
      <c r="M2878" s="4" t="n">
        <v>0.15</v>
      </c>
      <c r="N2878" s="3" t="n">
        <v>606.15</v>
      </c>
      <c r="O2878" s="3">
        <f>K2878*L2878*(1-M2878)</f>
        <v/>
      </c>
      <c r="P2878" s="3">
        <f>O2878-N2878</f>
        <v/>
      </c>
      <c r="Q2878" s="5">
        <f>IFERROR(P2878/O2878,0)</f>
        <v/>
      </c>
      <c r="R2878" s="2">
        <f>TEXT(DATEVALUE(B2878),"mmm")</f>
        <v/>
      </c>
      <c r="S2878" s="2">
        <f>TEXT(DATEVALUE(B2878),"yyyy-mm")</f>
        <v/>
      </c>
    </row>
    <row r="2879">
      <c r="A2879" s="2" t="inlineStr">
        <is>
          <t>O003750</t>
        </is>
      </c>
      <c r="B2879" s="2" t="inlineStr">
        <is>
          <t>2025-07-29</t>
        </is>
      </c>
      <c r="C2879" s="2" t="inlineStr">
        <is>
          <t>C0118</t>
        </is>
      </c>
      <c r="D2879" s="2" t="inlineStr">
        <is>
          <t>P0004</t>
        </is>
      </c>
      <c r="E2879" s="2" t="inlineStr">
        <is>
          <t>USB-C Hub</t>
        </is>
      </c>
      <c r="F2879" s="2" t="inlineStr">
        <is>
          <t>Electronics</t>
        </is>
      </c>
      <c r="G2879" s="2" t="inlineStr">
        <is>
          <t>North</t>
        </is>
      </c>
      <c r="H2879" s="2" t="inlineStr">
        <is>
          <t>Haryana</t>
        </is>
      </c>
      <c r="I2879" s="2" t="inlineStr">
        <is>
          <t>Gurugram</t>
        </is>
      </c>
      <c r="J2879" s="2" t="inlineStr">
        <is>
          <t>Store</t>
        </is>
      </c>
      <c r="K2879" s="2" t="n">
        <v>1</v>
      </c>
      <c r="L2879" s="3" t="n">
        <v>1249.38</v>
      </c>
      <c r="M2879" s="4" t="n">
        <v>0.1</v>
      </c>
      <c r="N2879" s="3" t="n">
        <v>914.76</v>
      </c>
      <c r="O2879" s="3">
        <f>K2879*L2879*(1-M2879)</f>
        <v/>
      </c>
      <c r="P2879" s="3">
        <f>O2879-N2879</f>
        <v/>
      </c>
      <c r="Q2879" s="5">
        <f>IFERROR(P2879/O2879,0)</f>
        <v/>
      </c>
      <c r="R2879" s="2">
        <f>TEXT(DATEVALUE(B2879),"mmm")</f>
        <v/>
      </c>
      <c r="S2879" s="2">
        <f>TEXT(DATEVALUE(B2879),"yyyy-mm")</f>
        <v/>
      </c>
    </row>
    <row r="2880">
      <c r="A2880" s="2" t="inlineStr">
        <is>
          <t>O003321</t>
        </is>
      </c>
      <c r="B2880" s="2" t="inlineStr">
        <is>
          <t>2025-07-29</t>
        </is>
      </c>
      <c r="C2880" s="2" t="inlineStr">
        <is>
          <t>C0525</t>
        </is>
      </c>
      <c r="D2880" s="2" t="inlineStr">
        <is>
          <t>P0027</t>
        </is>
      </c>
      <c r="E2880" s="2" t="inlineStr">
        <is>
          <t>Moisturizer</t>
        </is>
      </c>
      <c r="F2880" s="2" t="inlineStr">
        <is>
          <t>Beauty</t>
        </is>
      </c>
      <c r="G2880" s="2" t="inlineStr">
        <is>
          <t>East</t>
        </is>
      </c>
      <c r="H2880" s="2" t="inlineStr">
        <is>
          <t>West Bengal</t>
        </is>
      </c>
      <c r="I2880" s="2" t="inlineStr">
        <is>
          <t>Kolkata</t>
        </is>
      </c>
      <c r="J2880" s="2" t="inlineStr">
        <is>
          <t>Online</t>
        </is>
      </c>
      <c r="K2880" s="2" t="n">
        <v>2</v>
      </c>
      <c r="L2880" s="3" t="n">
        <v>935.08</v>
      </c>
      <c r="M2880" s="4" t="n">
        <v>0.15</v>
      </c>
      <c r="N2880" s="3" t="n">
        <v>1322.76</v>
      </c>
      <c r="O2880" s="3">
        <f>K2880*L2880*(1-M2880)</f>
        <v/>
      </c>
      <c r="P2880" s="3">
        <f>O2880-N2880</f>
        <v/>
      </c>
      <c r="Q2880" s="5">
        <f>IFERROR(P2880/O2880,0)</f>
        <v/>
      </c>
      <c r="R2880" s="2">
        <f>TEXT(DATEVALUE(B2880),"mmm")</f>
        <v/>
      </c>
      <c r="S2880" s="2">
        <f>TEXT(DATEVALUE(B2880),"yyyy-mm")</f>
        <v/>
      </c>
    </row>
    <row r="2881">
      <c r="A2881" s="2" t="inlineStr">
        <is>
          <t>O003220</t>
        </is>
      </c>
      <c r="B2881" s="2" t="inlineStr">
        <is>
          <t>2025-07-29</t>
        </is>
      </c>
      <c r="C2881" s="2" t="inlineStr">
        <is>
          <t>C0336</t>
        </is>
      </c>
      <c r="D2881" s="2" t="inlineStr">
        <is>
          <t>P0011</t>
        </is>
      </c>
      <c r="E2881" s="2" t="inlineStr">
        <is>
          <t>Cookware Set</t>
        </is>
      </c>
      <c r="F2881" s="2" t="inlineStr">
        <is>
          <t>Home &amp; Kitchen</t>
        </is>
      </c>
      <c r="G2881" s="2" t="inlineStr">
        <is>
          <t>West</t>
        </is>
      </c>
      <c r="H2881" s="2" t="inlineStr">
        <is>
          <t>Maharashtra</t>
        </is>
      </c>
      <c r="I2881" s="2" t="inlineStr">
        <is>
          <t>Nashik</t>
        </is>
      </c>
      <c r="J2881" s="2" t="inlineStr">
        <is>
          <t>Online</t>
        </is>
      </c>
      <c r="K2881" s="2" t="n">
        <v>2</v>
      </c>
      <c r="L2881" s="3" t="n">
        <v>686.13</v>
      </c>
      <c r="M2881" s="4" t="n">
        <v>0.2</v>
      </c>
      <c r="N2881" s="3" t="n">
        <v>936.3200000000001</v>
      </c>
      <c r="O2881" s="3">
        <f>K2881*L2881*(1-M2881)</f>
        <v/>
      </c>
      <c r="P2881" s="3">
        <f>O2881-N2881</f>
        <v/>
      </c>
      <c r="Q2881" s="5">
        <f>IFERROR(P2881/O2881,0)</f>
        <v/>
      </c>
      <c r="R2881" s="2">
        <f>TEXT(DATEVALUE(B2881),"mmm")</f>
        <v/>
      </c>
      <c r="S2881" s="2">
        <f>TEXT(DATEVALUE(B2881),"yyyy-mm")</f>
        <v/>
      </c>
    </row>
    <row r="2882">
      <c r="A2882" s="2" t="inlineStr">
        <is>
          <t>O001705</t>
        </is>
      </c>
      <c r="B2882" s="2" t="inlineStr">
        <is>
          <t>2025-07-29</t>
        </is>
      </c>
      <c r="C2882" s="2" t="inlineStr">
        <is>
          <t>C0706</t>
        </is>
      </c>
      <c r="D2882" s="2" t="inlineStr">
        <is>
          <t>P0022</t>
        </is>
      </c>
      <c r="E2882" s="2" t="inlineStr">
        <is>
          <t>Face Wash</t>
        </is>
      </c>
      <c r="F2882" s="2" t="inlineStr">
        <is>
          <t>Beauty</t>
        </is>
      </c>
      <c r="G2882" s="2" t="inlineStr">
        <is>
          <t>South</t>
        </is>
      </c>
      <c r="H2882" s="2" t="inlineStr">
        <is>
          <t>Karnataka</t>
        </is>
      </c>
      <c r="I2882" s="2" t="inlineStr">
        <is>
          <t>Mangaluru</t>
        </is>
      </c>
      <c r="J2882" s="2" t="inlineStr">
        <is>
          <t>Online</t>
        </is>
      </c>
      <c r="K2882" s="2" t="n">
        <v>2</v>
      </c>
      <c r="L2882" s="3" t="n">
        <v>534.39</v>
      </c>
      <c r="M2882" s="4" t="n">
        <v>0.05</v>
      </c>
      <c r="N2882" s="3" t="n">
        <v>702.4</v>
      </c>
      <c r="O2882" s="3">
        <f>K2882*L2882*(1-M2882)</f>
        <v/>
      </c>
      <c r="P2882" s="3">
        <f>O2882-N2882</f>
        <v/>
      </c>
      <c r="Q2882" s="5">
        <f>IFERROR(P2882/O2882,0)</f>
        <v/>
      </c>
      <c r="R2882" s="2">
        <f>TEXT(DATEVALUE(B2882),"mmm")</f>
        <v/>
      </c>
      <c r="S2882" s="2">
        <f>TEXT(DATEVALUE(B2882),"yyyy-mm")</f>
        <v/>
      </c>
    </row>
    <row r="2883">
      <c r="A2883" s="2" t="inlineStr">
        <is>
          <t>O002976</t>
        </is>
      </c>
      <c r="B2883" s="2" t="inlineStr">
        <is>
          <t>2025-07-29</t>
        </is>
      </c>
      <c r="C2883" s="2" t="inlineStr">
        <is>
          <t>C0577</t>
        </is>
      </c>
      <c r="D2883" s="2" t="inlineStr">
        <is>
          <t>P0013</t>
        </is>
      </c>
      <c r="E2883" s="2" t="inlineStr">
        <is>
          <t>Storage Organizer</t>
        </is>
      </c>
      <c r="F2883" s="2" t="inlineStr">
        <is>
          <t>Home &amp; Kitchen</t>
        </is>
      </c>
      <c r="G2883" s="2" t="inlineStr">
        <is>
          <t>West</t>
        </is>
      </c>
      <c r="H2883" s="2" t="inlineStr">
        <is>
          <t>Gujarat</t>
        </is>
      </c>
      <c r="I2883" s="2" t="inlineStr">
        <is>
          <t>Surat</t>
        </is>
      </c>
      <c r="J2883" s="2" t="inlineStr">
        <is>
          <t>Store</t>
        </is>
      </c>
      <c r="K2883" s="2" t="n">
        <v>1</v>
      </c>
      <c r="L2883" s="3" t="n">
        <v>596.64</v>
      </c>
      <c r="M2883" s="4" t="n">
        <v>0</v>
      </c>
      <c r="N2883" s="3" t="n">
        <v>365.35</v>
      </c>
      <c r="O2883" s="3">
        <f>K2883*L2883*(1-M2883)</f>
        <v/>
      </c>
      <c r="P2883" s="3">
        <f>O2883-N2883</f>
        <v/>
      </c>
      <c r="Q2883" s="5">
        <f>IFERROR(P2883/O2883,0)</f>
        <v/>
      </c>
      <c r="R2883" s="2">
        <f>TEXT(DATEVALUE(B2883),"mmm")</f>
        <v/>
      </c>
      <c r="S2883" s="2">
        <f>TEXT(DATEVALUE(B2883),"yyyy-mm")</f>
        <v/>
      </c>
    </row>
    <row r="2884">
      <c r="A2884" s="2" t="inlineStr">
        <is>
          <t>O001489</t>
        </is>
      </c>
      <c r="B2884" s="2" t="inlineStr">
        <is>
          <t>2025-07-29</t>
        </is>
      </c>
      <c r="C2884" s="2" t="inlineStr">
        <is>
          <t>C0385</t>
        </is>
      </c>
      <c r="D2884" s="2" t="inlineStr">
        <is>
          <t>P0032</t>
        </is>
      </c>
      <c r="E2884" s="2" t="inlineStr">
        <is>
          <t>Football</t>
        </is>
      </c>
      <c r="F2884" s="2" t="inlineStr">
        <is>
          <t>Sports</t>
        </is>
      </c>
      <c r="G2884" s="2" t="inlineStr">
        <is>
          <t>West</t>
        </is>
      </c>
      <c r="H2884" s="2" t="inlineStr">
        <is>
          <t>Gujarat</t>
        </is>
      </c>
      <c r="I2884" s="2" t="inlineStr">
        <is>
          <t>Surat</t>
        </is>
      </c>
      <c r="J2884" s="2" t="inlineStr">
        <is>
          <t>Online</t>
        </is>
      </c>
      <c r="K2884" s="2" t="n">
        <v>4</v>
      </c>
      <c r="L2884" s="3" t="n">
        <v>813.75</v>
      </c>
      <c r="M2884" s="4" t="n">
        <v>0.05</v>
      </c>
      <c r="N2884" s="3" t="n">
        <v>2138.42</v>
      </c>
      <c r="O2884" s="3">
        <f>K2884*L2884*(1-M2884)</f>
        <v/>
      </c>
      <c r="P2884" s="3">
        <f>O2884-N2884</f>
        <v/>
      </c>
      <c r="Q2884" s="5">
        <f>IFERROR(P2884/O2884,0)</f>
        <v/>
      </c>
      <c r="R2884" s="2">
        <f>TEXT(DATEVALUE(B2884),"mmm")</f>
        <v/>
      </c>
      <c r="S2884" s="2">
        <f>TEXT(DATEVALUE(B2884),"yyyy-mm")</f>
        <v/>
      </c>
    </row>
    <row r="2885">
      <c r="A2885" s="2" t="inlineStr">
        <is>
          <t>O001182</t>
        </is>
      </c>
      <c r="B2885" s="2" t="inlineStr">
        <is>
          <t>2025-07-29</t>
        </is>
      </c>
      <c r="C2885" s="2" t="inlineStr">
        <is>
          <t>C0789</t>
        </is>
      </c>
      <c r="D2885" s="2" t="inlineStr">
        <is>
          <t>P0007</t>
        </is>
      </c>
      <c r="E2885" s="2" t="inlineStr">
        <is>
          <t>Wireless Mouse</t>
        </is>
      </c>
      <c r="F2885" s="2" t="inlineStr">
        <is>
          <t>Electronics</t>
        </is>
      </c>
      <c r="G2885" s="2" t="inlineStr">
        <is>
          <t>North</t>
        </is>
      </c>
      <c r="H2885" s="2" t="inlineStr">
        <is>
          <t>Haryana</t>
        </is>
      </c>
      <c r="I2885" s="2" t="inlineStr">
        <is>
          <t>Gurugram</t>
        </is>
      </c>
      <c r="J2885" s="2" t="inlineStr">
        <is>
          <t>Online</t>
        </is>
      </c>
      <c r="K2885" s="2" t="n">
        <v>2</v>
      </c>
      <c r="L2885" s="3" t="n">
        <v>944.8099999999999</v>
      </c>
      <c r="M2885" s="4" t="n">
        <v>0</v>
      </c>
      <c r="N2885" s="3" t="n">
        <v>1235.81</v>
      </c>
      <c r="O2885" s="3">
        <f>K2885*L2885*(1-M2885)</f>
        <v/>
      </c>
      <c r="P2885" s="3">
        <f>O2885-N2885</f>
        <v/>
      </c>
      <c r="Q2885" s="5">
        <f>IFERROR(P2885/O2885,0)</f>
        <v/>
      </c>
      <c r="R2885" s="2">
        <f>TEXT(DATEVALUE(B2885),"mmm")</f>
        <v/>
      </c>
      <c r="S2885" s="2">
        <f>TEXT(DATEVALUE(B2885),"yyyy-mm")</f>
        <v/>
      </c>
    </row>
    <row r="2886">
      <c r="A2886" s="2" t="inlineStr">
        <is>
          <t>O001138</t>
        </is>
      </c>
      <c r="B2886" s="2" t="inlineStr">
        <is>
          <t>2025-07-29</t>
        </is>
      </c>
      <c r="C2886" s="2" t="inlineStr">
        <is>
          <t>C0755</t>
        </is>
      </c>
      <c r="D2886" s="2" t="inlineStr">
        <is>
          <t>P0010</t>
        </is>
      </c>
      <c r="E2886" s="2" t="inlineStr">
        <is>
          <t>Mixer Grinder</t>
        </is>
      </c>
      <c r="F2886" s="2" t="inlineStr">
        <is>
          <t>Home &amp; Kitchen</t>
        </is>
      </c>
      <c r="G2886" s="2" t="inlineStr">
        <is>
          <t>East</t>
        </is>
      </c>
      <c r="H2886" s="2" t="inlineStr">
        <is>
          <t>Odisha</t>
        </is>
      </c>
      <c r="I2886" s="2" t="inlineStr">
        <is>
          <t>Bhubaneswar</t>
        </is>
      </c>
      <c r="J2886" s="2" t="inlineStr">
        <is>
          <t>Store</t>
        </is>
      </c>
      <c r="K2886" s="2" t="n">
        <v>1</v>
      </c>
      <c r="L2886" s="3" t="n">
        <v>1684.38</v>
      </c>
      <c r="M2886" s="4" t="n">
        <v>0</v>
      </c>
      <c r="N2886" s="3" t="n">
        <v>1065.99</v>
      </c>
      <c r="O2886" s="3">
        <f>K2886*L2886*(1-M2886)</f>
        <v/>
      </c>
      <c r="P2886" s="3">
        <f>O2886-N2886</f>
        <v/>
      </c>
      <c r="Q2886" s="5">
        <f>IFERROR(P2886/O2886,0)</f>
        <v/>
      </c>
      <c r="R2886" s="2">
        <f>TEXT(DATEVALUE(B2886),"mmm")</f>
        <v/>
      </c>
      <c r="S2886" s="2">
        <f>TEXT(DATEVALUE(B2886),"yyyy-mm")</f>
        <v/>
      </c>
    </row>
    <row r="2887">
      <c r="A2887" s="2" t="inlineStr">
        <is>
          <t>O004888</t>
        </is>
      </c>
      <c r="B2887" s="2" t="inlineStr">
        <is>
          <t>2025-07-29</t>
        </is>
      </c>
      <c r="C2887" s="2" t="inlineStr">
        <is>
          <t>C0584</t>
        </is>
      </c>
      <c r="D2887" s="2" t="inlineStr">
        <is>
          <t>P0024</t>
        </is>
      </c>
      <c r="E2887" s="2" t="inlineStr">
        <is>
          <t>Hair Dryer</t>
        </is>
      </c>
      <c r="F2887" s="2" t="inlineStr">
        <is>
          <t>Beauty</t>
        </is>
      </c>
      <c r="G2887" s="2" t="inlineStr">
        <is>
          <t>West</t>
        </is>
      </c>
      <c r="H2887" s="2" t="inlineStr">
        <is>
          <t>Goa</t>
        </is>
      </c>
      <c r="I2887" s="2" t="inlineStr">
        <is>
          <t>Panaji</t>
        </is>
      </c>
      <c r="J2887" s="2" t="inlineStr">
        <is>
          <t>Store</t>
        </is>
      </c>
      <c r="K2887" s="2" t="n">
        <v>6</v>
      </c>
      <c r="L2887" s="3" t="n">
        <v>985.45</v>
      </c>
      <c r="M2887" s="4" t="n">
        <v>0.05</v>
      </c>
      <c r="N2887" s="3" t="n">
        <v>4345.44</v>
      </c>
      <c r="O2887" s="3">
        <f>K2887*L2887*(1-M2887)</f>
        <v/>
      </c>
      <c r="P2887" s="3">
        <f>O2887-N2887</f>
        <v/>
      </c>
      <c r="Q2887" s="5">
        <f>IFERROR(P2887/O2887,0)</f>
        <v/>
      </c>
      <c r="R2887" s="2">
        <f>TEXT(DATEVALUE(B2887),"mmm")</f>
        <v/>
      </c>
      <c r="S2887" s="2">
        <f>TEXT(DATEVALUE(B2887),"yyyy-mm")</f>
        <v/>
      </c>
    </row>
    <row r="2888">
      <c r="A2888" s="2" t="inlineStr">
        <is>
          <t>O003094</t>
        </is>
      </c>
      <c r="B2888" s="2" t="inlineStr">
        <is>
          <t>2025-07-29</t>
        </is>
      </c>
      <c r="C2888" s="2" t="inlineStr">
        <is>
          <t>C0174</t>
        </is>
      </c>
      <c r="D2888" s="2" t="inlineStr">
        <is>
          <t>P0031</t>
        </is>
      </c>
      <c r="E2888" s="2" t="inlineStr">
        <is>
          <t>Cricket Bat</t>
        </is>
      </c>
      <c r="F2888" s="2" t="inlineStr">
        <is>
          <t>Sports</t>
        </is>
      </c>
      <c r="G2888" s="2" t="inlineStr">
        <is>
          <t>West</t>
        </is>
      </c>
      <c r="H2888" s="2" t="inlineStr">
        <is>
          <t>Goa</t>
        </is>
      </c>
      <c r="I2888" s="2" t="inlineStr">
        <is>
          <t>Margao</t>
        </is>
      </c>
      <c r="J2888" s="2" t="inlineStr">
        <is>
          <t>Store</t>
        </is>
      </c>
      <c r="K2888" s="2" t="n">
        <v>1</v>
      </c>
      <c r="L2888" s="3" t="n">
        <v>1363.82</v>
      </c>
      <c r="M2888" s="4" t="n">
        <v>0.15</v>
      </c>
      <c r="N2888" s="3" t="n">
        <v>921.64</v>
      </c>
      <c r="O2888" s="3">
        <f>K2888*L2888*(1-M2888)</f>
        <v/>
      </c>
      <c r="P2888" s="3">
        <f>O2888-N2888</f>
        <v/>
      </c>
      <c r="Q2888" s="5">
        <f>IFERROR(P2888/O2888,0)</f>
        <v/>
      </c>
      <c r="R2888" s="2">
        <f>TEXT(DATEVALUE(B2888),"mmm")</f>
        <v/>
      </c>
      <c r="S2888" s="2">
        <f>TEXT(DATEVALUE(B2888),"yyyy-mm")</f>
        <v/>
      </c>
    </row>
    <row r="2889">
      <c r="A2889" s="2" t="inlineStr">
        <is>
          <t>O003733</t>
        </is>
      </c>
      <c r="B2889" s="2" t="inlineStr">
        <is>
          <t>2025-07-30</t>
        </is>
      </c>
      <c r="C2889" s="2" t="inlineStr">
        <is>
          <t>C0766</t>
        </is>
      </c>
      <c r="D2889" s="2" t="inlineStr">
        <is>
          <t>P0018</t>
        </is>
      </c>
      <c r="E2889" s="2" t="inlineStr">
        <is>
          <t>Backpack</t>
        </is>
      </c>
      <c r="F2889" s="2" t="inlineStr">
        <is>
          <t>Fashion</t>
        </is>
      </c>
      <c r="G2889" s="2" t="inlineStr">
        <is>
          <t>North</t>
        </is>
      </c>
      <c r="H2889" s="2" t="inlineStr">
        <is>
          <t>Delhi</t>
        </is>
      </c>
      <c r="I2889" s="2" t="inlineStr">
        <is>
          <t>New Delhi</t>
        </is>
      </c>
      <c r="J2889" s="2" t="inlineStr">
        <is>
          <t>Online</t>
        </is>
      </c>
      <c r="K2889" s="2" t="n">
        <v>4</v>
      </c>
      <c r="L2889" s="3" t="n">
        <v>1825.3</v>
      </c>
      <c r="M2889" s="4" t="n">
        <v>0.25</v>
      </c>
      <c r="N2889" s="3" t="n">
        <v>5554.54</v>
      </c>
      <c r="O2889" s="3">
        <f>K2889*L2889*(1-M2889)</f>
        <v/>
      </c>
      <c r="P2889" s="3">
        <f>O2889-N2889</f>
        <v/>
      </c>
      <c r="Q2889" s="5">
        <f>IFERROR(P2889/O2889,0)</f>
        <v/>
      </c>
      <c r="R2889" s="2">
        <f>TEXT(DATEVALUE(B2889),"mmm")</f>
        <v/>
      </c>
      <c r="S2889" s="2">
        <f>TEXT(DATEVALUE(B2889),"yyyy-mm")</f>
        <v/>
      </c>
    </row>
    <row r="2890">
      <c r="A2890" s="2" t="inlineStr">
        <is>
          <t>O002706</t>
        </is>
      </c>
      <c r="B2890" s="2" t="inlineStr">
        <is>
          <t>2025-07-30</t>
        </is>
      </c>
      <c r="C2890" s="2" t="inlineStr">
        <is>
          <t>C0628</t>
        </is>
      </c>
      <c r="D2890" s="2" t="inlineStr">
        <is>
          <t>P0016</t>
        </is>
      </c>
      <c r="E2890" s="2" t="inlineStr">
        <is>
          <t>Casual Shirt</t>
        </is>
      </c>
      <c r="F2890" s="2" t="inlineStr">
        <is>
          <t>Fashion</t>
        </is>
      </c>
      <c r="G2890" s="2" t="inlineStr">
        <is>
          <t>West</t>
        </is>
      </c>
      <c r="H2890" s="2" t="inlineStr">
        <is>
          <t>Goa</t>
        </is>
      </c>
      <c r="I2890" s="2" t="inlineStr">
        <is>
          <t>Panaji</t>
        </is>
      </c>
      <c r="J2890" s="2" t="inlineStr">
        <is>
          <t>Online</t>
        </is>
      </c>
      <c r="K2890" s="2" t="n">
        <v>1</v>
      </c>
      <c r="L2890" s="3" t="n">
        <v>1296.05</v>
      </c>
      <c r="M2890" s="4" t="n">
        <v>0</v>
      </c>
      <c r="N2890" s="3" t="n">
        <v>904.39</v>
      </c>
      <c r="O2890" s="3">
        <f>K2890*L2890*(1-M2890)</f>
        <v/>
      </c>
      <c r="P2890" s="3">
        <f>O2890-N2890</f>
        <v/>
      </c>
      <c r="Q2890" s="5">
        <f>IFERROR(P2890/O2890,0)</f>
        <v/>
      </c>
      <c r="R2890" s="2">
        <f>TEXT(DATEVALUE(B2890),"mmm")</f>
        <v/>
      </c>
      <c r="S2890" s="2">
        <f>TEXT(DATEVALUE(B2890),"yyyy-mm")</f>
        <v/>
      </c>
    </row>
    <row r="2891">
      <c r="A2891" s="2" t="inlineStr">
        <is>
          <t>O004864</t>
        </is>
      </c>
      <c r="B2891" s="2" t="inlineStr">
        <is>
          <t>2025-07-30</t>
        </is>
      </c>
      <c r="C2891" s="2" t="inlineStr">
        <is>
          <t>C0179</t>
        </is>
      </c>
      <c r="D2891" s="2" t="inlineStr">
        <is>
          <t>P0010</t>
        </is>
      </c>
      <c r="E2891" s="2" t="inlineStr">
        <is>
          <t>Mixer Grinder</t>
        </is>
      </c>
      <c r="F2891" s="2" t="inlineStr">
        <is>
          <t>Home &amp; Kitchen</t>
        </is>
      </c>
      <c r="G2891" s="2" t="inlineStr">
        <is>
          <t>South</t>
        </is>
      </c>
      <c r="H2891" s="2" t="inlineStr">
        <is>
          <t>Kerala</t>
        </is>
      </c>
      <c r="I2891" s="2" t="inlineStr">
        <is>
          <t>Kochi</t>
        </is>
      </c>
      <c r="J2891" s="2" t="inlineStr">
        <is>
          <t>Online</t>
        </is>
      </c>
      <c r="K2891" s="2" t="n">
        <v>2</v>
      </c>
      <c r="L2891" s="3" t="n">
        <v>1600.88</v>
      </c>
      <c r="M2891" s="4" t="n">
        <v>0.05</v>
      </c>
      <c r="N2891" s="3" t="n">
        <v>2105.38</v>
      </c>
      <c r="O2891" s="3">
        <f>K2891*L2891*(1-M2891)</f>
        <v/>
      </c>
      <c r="P2891" s="3">
        <f>O2891-N2891</f>
        <v/>
      </c>
      <c r="Q2891" s="5">
        <f>IFERROR(P2891/O2891,0)</f>
        <v/>
      </c>
      <c r="R2891" s="2">
        <f>TEXT(DATEVALUE(B2891),"mmm")</f>
        <v/>
      </c>
      <c r="S2891" s="2">
        <f>TEXT(DATEVALUE(B2891),"yyyy-mm")</f>
        <v/>
      </c>
    </row>
    <row r="2892">
      <c r="A2892" s="2" t="inlineStr">
        <is>
          <t>O004722</t>
        </is>
      </c>
      <c r="B2892" s="2" t="inlineStr">
        <is>
          <t>2025-07-30</t>
        </is>
      </c>
      <c r="C2892" s="2" t="inlineStr">
        <is>
          <t>C0427</t>
        </is>
      </c>
      <c r="D2892" s="2" t="inlineStr">
        <is>
          <t>P0024</t>
        </is>
      </c>
      <c r="E2892" s="2" t="inlineStr">
        <is>
          <t>Hair Dryer</t>
        </is>
      </c>
      <c r="F2892" s="2" t="inlineStr">
        <is>
          <t>Beauty</t>
        </is>
      </c>
      <c r="G2892" s="2" t="inlineStr">
        <is>
          <t>South</t>
        </is>
      </c>
      <c r="H2892" s="2" t="inlineStr">
        <is>
          <t>Kerala</t>
        </is>
      </c>
      <c r="I2892" s="2" t="inlineStr">
        <is>
          <t>Kochi</t>
        </is>
      </c>
      <c r="J2892" s="2" t="inlineStr">
        <is>
          <t>Online</t>
        </is>
      </c>
      <c r="K2892" s="2" t="n">
        <v>1</v>
      </c>
      <c r="L2892" s="3" t="n">
        <v>1014.35</v>
      </c>
      <c r="M2892" s="4" t="n">
        <v>0.1</v>
      </c>
      <c r="N2892" s="3" t="n">
        <v>726.85</v>
      </c>
      <c r="O2892" s="3">
        <f>K2892*L2892*(1-M2892)</f>
        <v/>
      </c>
      <c r="P2892" s="3">
        <f>O2892-N2892</f>
        <v/>
      </c>
      <c r="Q2892" s="5">
        <f>IFERROR(P2892/O2892,0)</f>
        <v/>
      </c>
      <c r="R2892" s="2">
        <f>TEXT(DATEVALUE(B2892),"mmm")</f>
        <v/>
      </c>
      <c r="S2892" s="2">
        <f>TEXT(DATEVALUE(B2892),"yyyy-mm")</f>
        <v/>
      </c>
    </row>
    <row r="2893">
      <c r="A2893" s="2" t="inlineStr">
        <is>
          <t>O003029</t>
        </is>
      </c>
      <c r="B2893" s="2" t="inlineStr">
        <is>
          <t>2025-07-30</t>
        </is>
      </c>
      <c r="C2893" s="2" t="inlineStr">
        <is>
          <t>C0713</t>
        </is>
      </c>
      <c r="D2893" s="2" t="inlineStr">
        <is>
          <t>P0006</t>
        </is>
      </c>
      <c r="E2893" s="2" t="inlineStr">
        <is>
          <t>Mechanical Keyboard</t>
        </is>
      </c>
      <c r="F2893" s="2" t="inlineStr">
        <is>
          <t>Electronics</t>
        </is>
      </c>
      <c r="G2893" s="2" t="inlineStr">
        <is>
          <t>West</t>
        </is>
      </c>
      <c r="H2893" s="2" t="inlineStr">
        <is>
          <t>Maharashtra</t>
        </is>
      </c>
      <c r="I2893" s="2" t="inlineStr">
        <is>
          <t>Mumbai</t>
        </is>
      </c>
      <c r="J2893" s="2" t="inlineStr">
        <is>
          <t>Online</t>
        </is>
      </c>
      <c r="K2893" s="2" t="n">
        <v>1</v>
      </c>
      <c r="L2893" s="3" t="n">
        <v>2712.17</v>
      </c>
      <c r="M2893" s="4" t="n">
        <v>0.1</v>
      </c>
      <c r="N2893" s="3" t="n">
        <v>1431.8</v>
      </c>
      <c r="O2893" s="3">
        <f>K2893*L2893*(1-M2893)</f>
        <v/>
      </c>
      <c r="P2893" s="3">
        <f>O2893-N2893</f>
        <v/>
      </c>
      <c r="Q2893" s="5">
        <f>IFERROR(P2893/O2893,0)</f>
        <v/>
      </c>
      <c r="R2893" s="2">
        <f>TEXT(DATEVALUE(B2893),"mmm")</f>
        <v/>
      </c>
      <c r="S2893" s="2">
        <f>TEXT(DATEVALUE(B2893),"yyyy-mm")</f>
        <v/>
      </c>
    </row>
    <row r="2894">
      <c r="A2894" s="2" t="inlineStr">
        <is>
          <t>O001891</t>
        </is>
      </c>
      <c r="B2894" s="2" t="inlineStr">
        <is>
          <t>2025-07-30</t>
        </is>
      </c>
      <c r="C2894" s="2" t="inlineStr">
        <is>
          <t>C0283</t>
        </is>
      </c>
      <c r="D2894" s="2" t="inlineStr">
        <is>
          <t>P0006</t>
        </is>
      </c>
      <c r="E2894" s="2" t="inlineStr">
        <is>
          <t>Mechanical Keyboard</t>
        </is>
      </c>
      <c r="F2894" s="2" t="inlineStr">
        <is>
          <t>Electronics</t>
        </is>
      </c>
      <c r="G2894" s="2" t="inlineStr">
        <is>
          <t>West</t>
        </is>
      </c>
      <c r="H2894" s="2" t="inlineStr">
        <is>
          <t>Goa</t>
        </is>
      </c>
      <c r="I2894" s="2" t="inlineStr">
        <is>
          <t>Margao</t>
        </is>
      </c>
      <c r="J2894" s="2" t="inlineStr">
        <is>
          <t>Store</t>
        </is>
      </c>
      <c r="K2894" s="2" t="n">
        <v>1</v>
      </c>
      <c r="L2894" s="3" t="n">
        <v>2705.37</v>
      </c>
      <c r="M2894" s="4" t="n">
        <v>0</v>
      </c>
      <c r="N2894" s="3" t="n">
        <v>1488.65</v>
      </c>
      <c r="O2894" s="3">
        <f>K2894*L2894*(1-M2894)</f>
        <v/>
      </c>
      <c r="P2894" s="3">
        <f>O2894-N2894</f>
        <v/>
      </c>
      <c r="Q2894" s="5">
        <f>IFERROR(P2894/O2894,0)</f>
        <v/>
      </c>
      <c r="R2894" s="2">
        <f>TEXT(DATEVALUE(B2894),"mmm")</f>
        <v/>
      </c>
      <c r="S2894" s="2">
        <f>TEXT(DATEVALUE(B2894),"yyyy-mm")</f>
        <v/>
      </c>
    </row>
    <row r="2895">
      <c r="A2895" s="2" t="inlineStr">
        <is>
          <t>O002559</t>
        </is>
      </c>
      <c r="B2895" s="2" t="inlineStr">
        <is>
          <t>2025-07-30</t>
        </is>
      </c>
      <c r="C2895" s="2" t="inlineStr">
        <is>
          <t>C0634</t>
        </is>
      </c>
      <c r="D2895" s="2" t="inlineStr">
        <is>
          <t>P0004</t>
        </is>
      </c>
      <c r="E2895" s="2" t="inlineStr">
        <is>
          <t>USB-C Hub</t>
        </is>
      </c>
      <c r="F2895" s="2" t="inlineStr">
        <is>
          <t>Electronics</t>
        </is>
      </c>
      <c r="G2895" s="2" t="inlineStr">
        <is>
          <t>East</t>
        </is>
      </c>
      <c r="H2895" s="2" t="inlineStr">
        <is>
          <t>Bihar</t>
        </is>
      </c>
      <c r="I2895" s="2" t="inlineStr">
        <is>
          <t>Gaya</t>
        </is>
      </c>
      <c r="J2895" s="2" t="inlineStr">
        <is>
          <t>Online</t>
        </is>
      </c>
      <c r="K2895" s="2" t="n">
        <v>3</v>
      </c>
      <c r="L2895" s="3" t="n">
        <v>1321.86</v>
      </c>
      <c r="M2895" s="4" t="n">
        <v>0.1</v>
      </c>
      <c r="N2895" s="3" t="n">
        <v>2835.85</v>
      </c>
      <c r="O2895" s="3">
        <f>K2895*L2895*(1-M2895)</f>
        <v/>
      </c>
      <c r="P2895" s="3">
        <f>O2895-N2895</f>
        <v/>
      </c>
      <c r="Q2895" s="5">
        <f>IFERROR(P2895/O2895,0)</f>
        <v/>
      </c>
      <c r="R2895" s="2">
        <f>TEXT(DATEVALUE(B2895),"mmm")</f>
        <v/>
      </c>
      <c r="S2895" s="2">
        <f>TEXT(DATEVALUE(B2895),"yyyy-mm")</f>
        <v/>
      </c>
    </row>
    <row r="2896">
      <c r="A2896" s="2" t="inlineStr">
        <is>
          <t>O001219</t>
        </is>
      </c>
      <c r="B2896" s="2" t="inlineStr">
        <is>
          <t>2025-07-30</t>
        </is>
      </c>
      <c r="C2896" s="2" t="inlineStr">
        <is>
          <t>C0032</t>
        </is>
      </c>
      <c r="D2896" s="2" t="inlineStr">
        <is>
          <t>P0011</t>
        </is>
      </c>
      <c r="E2896" s="2" t="inlineStr">
        <is>
          <t>Cookware Set</t>
        </is>
      </c>
      <c r="F2896" s="2" t="inlineStr">
        <is>
          <t>Home &amp; Kitchen</t>
        </is>
      </c>
      <c r="G2896" s="2" t="inlineStr">
        <is>
          <t>South</t>
        </is>
      </c>
      <c r="H2896" s="2" t="inlineStr">
        <is>
          <t>Tamil Nadu</t>
        </is>
      </c>
      <c r="I2896" s="2" t="inlineStr">
        <is>
          <t>Coimbatore</t>
        </is>
      </c>
      <c r="J2896" s="2" t="inlineStr">
        <is>
          <t>Online</t>
        </is>
      </c>
      <c r="K2896" s="2" t="n">
        <v>1</v>
      </c>
      <c r="L2896" s="3" t="n">
        <v>686.59</v>
      </c>
      <c r="M2896" s="4" t="n">
        <v>0</v>
      </c>
      <c r="N2896" s="3" t="n">
        <v>485.96</v>
      </c>
      <c r="O2896" s="3">
        <f>K2896*L2896*(1-M2896)</f>
        <v/>
      </c>
      <c r="P2896" s="3">
        <f>O2896-N2896</f>
        <v/>
      </c>
      <c r="Q2896" s="5">
        <f>IFERROR(P2896/O2896,0)</f>
        <v/>
      </c>
      <c r="R2896" s="2">
        <f>TEXT(DATEVALUE(B2896),"mmm")</f>
        <v/>
      </c>
      <c r="S2896" s="2">
        <f>TEXT(DATEVALUE(B2896),"yyyy-mm")</f>
        <v/>
      </c>
    </row>
    <row r="2897">
      <c r="A2897" s="2" t="inlineStr">
        <is>
          <t>O002748</t>
        </is>
      </c>
      <c r="B2897" s="2" t="inlineStr">
        <is>
          <t>2025-07-30</t>
        </is>
      </c>
      <c r="C2897" s="2" t="inlineStr">
        <is>
          <t>C0016</t>
        </is>
      </c>
      <c r="D2897" s="2" t="inlineStr">
        <is>
          <t>P0022</t>
        </is>
      </c>
      <c r="E2897" s="2" t="inlineStr">
        <is>
          <t>Face Wash</t>
        </is>
      </c>
      <c r="F2897" s="2" t="inlineStr">
        <is>
          <t>Beauty</t>
        </is>
      </c>
      <c r="G2897" s="2" t="inlineStr">
        <is>
          <t>South</t>
        </is>
      </c>
      <c r="H2897" s="2" t="inlineStr">
        <is>
          <t>Karnataka</t>
        </is>
      </c>
      <c r="I2897" s="2" t="inlineStr">
        <is>
          <t>Bengaluru</t>
        </is>
      </c>
      <c r="J2897" s="2" t="inlineStr">
        <is>
          <t>Store</t>
        </is>
      </c>
      <c r="K2897" s="2" t="n">
        <v>2</v>
      </c>
      <c r="L2897" s="3" t="n">
        <v>539.22</v>
      </c>
      <c r="M2897" s="4" t="n">
        <v>0.1</v>
      </c>
      <c r="N2897" s="3" t="n">
        <v>716.3099999999999</v>
      </c>
      <c r="O2897" s="3">
        <f>K2897*L2897*(1-M2897)</f>
        <v/>
      </c>
      <c r="P2897" s="3">
        <f>O2897-N2897</f>
        <v/>
      </c>
      <c r="Q2897" s="5">
        <f>IFERROR(P2897/O2897,0)</f>
        <v/>
      </c>
      <c r="R2897" s="2">
        <f>TEXT(DATEVALUE(B2897),"mmm")</f>
        <v/>
      </c>
      <c r="S2897" s="2">
        <f>TEXT(DATEVALUE(B2897),"yyyy-mm")</f>
        <v/>
      </c>
    </row>
    <row r="2898">
      <c r="A2898" s="2" t="inlineStr">
        <is>
          <t>O000705</t>
        </is>
      </c>
      <c r="B2898" s="2" t="inlineStr">
        <is>
          <t>2025-07-31</t>
        </is>
      </c>
      <c r="C2898" s="2" t="inlineStr">
        <is>
          <t>C0762</t>
        </is>
      </c>
      <c r="D2898" s="2" t="inlineStr">
        <is>
          <t>P0024</t>
        </is>
      </c>
      <c r="E2898" s="2" t="inlineStr">
        <is>
          <t>Hair Dryer</t>
        </is>
      </c>
      <c r="F2898" s="2" t="inlineStr">
        <is>
          <t>Beauty</t>
        </is>
      </c>
      <c r="G2898" s="2" t="inlineStr">
        <is>
          <t>West</t>
        </is>
      </c>
      <c r="H2898" s="2" t="inlineStr">
        <is>
          <t>Gujarat</t>
        </is>
      </c>
      <c r="I2898" s="2" t="inlineStr">
        <is>
          <t>Vadodara</t>
        </is>
      </c>
      <c r="J2898" s="2" t="inlineStr">
        <is>
          <t>Online</t>
        </is>
      </c>
      <c r="K2898" s="2" t="n">
        <v>2</v>
      </c>
      <c r="L2898" s="3" t="n">
        <v>1047.81</v>
      </c>
      <c r="M2898" s="4" t="n">
        <v>0.1</v>
      </c>
      <c r="N2898" s="3" t="n">
        <v>1453.84</v>
      </c>
      <c r="O2898" s="3">
        <f>K2898*L2898*(1-M2898)</f>
        <v/>
      </c>
      <c r="P2898" s="3">
        <f>O2898-N2898</f>
        <v/>
      </c>
      <c r="Q2898" s="5">
        <f>IFERROR(P2898/O2898,0)</f>
        <v/>
      </c>
      <c r="R2898" s="2">
        <f>TEXT(DATEVALUE(B2898),"mmm")</f>
        <v/>
      </c>
      <c r="S2898" s="2">
        <f>TEXT(DATEVALUE(B2898),"yyyy-mm")</f>
        <v/>
      </c>
    </row>
    <row r="2899">
      <c r="A2899" s="2" t="inlineStr">
        <is>
          <t>O000918</t>
        </is>
      </c>
      <c r="B2899" s="2" t="inlineStr">
        <is>
          <t>2025-07-31</t>
        </is>
      </c>
      <c r="C2899" s="2" t="inlineStr">
        <is>
          <t>C0692</t>
        </is>
      </c>
      <c r="D2899" s="2" t="inlineStr">
        <is>
          <t>P0003</t>
        </is>
      </c>
      <c r="E2899" s="2" t="inlineStr">
        <is>
          <t>Smartwatch</t>
        </is>
      </c>
      <c r="F2899" s="2" t="inlineStr">
        <is>
          <t>Electronics</t>
        </is>
      </c>
      <c r="G2899" s="2" t="inlineStr">
        <is>
          <t>North</t>
        </is>
      </c>
      <c r="H2899" s="2" t="inlineStr">
        <is>
          <t>Punjab</t>
        </is>
      </c>
      <c r="I2899" s="2" t="inlineStr">
        <is>
          <t>Amritsar</t>
        </is>
      </c>
      <c r="J2899" s="2" t="inlineStr">
        <is>
          <t>Store</t>
        </is>
      </c>
      <c r="K2899" s="2" t="n">
        <v>2</v>
      </c>
      <c r="L2899" s="3" t="n">
        <v>2333.59</v>
      </c>
      <c r="M2899" s="4" t="n">
        <v>0.15</v>
      </c>
      <c r="N2899" s="3" t="n">
        <v>2351.35</v>
      </c>
      <c r="O2899" s="3">
        <f>K2899*L2899*(1-M2899)</f>
        <v/>
      </c>
      <c r="P2899" s="3">
        <f>O2899-N2899</f>
        <v/>
      </c>
      <c r="Q2899" s="5">
        <f>IFERROR(P2899/O2899,0)</f>
        <v/>
      </c>
      <c r="R2899" s="2">
        <f>TEXT(DATEVALUE(B2899),"mmm")</f>
        <v/>
      </c>
      <c r="S2899" s="2">
        <f>TEXT(DATEVALUE(B2899),"yyyy-mm")</f>
        <v/>
      </c>
    </row>
    <row r="2900">
      <c r="A2900" s="2" t="inlineStr">
        <is>
          <t>O000986</t>
        </is>
      </c>
      <c r="B2900" s="2" t="inlineStr">
        <is>
          <t>2025-07-31</t>
        </is>
      </c>
      <c r="C2900" s="2" t="inlineStr">
        <is>
          <t>C0677</t>
        </is>
      </c>
      <c r="D2900" s="2" t="inlineStr">
        <is>
          <t>P0011</t>
        </is>
      </c>
      <c r="E2900" s="2" t="inlineStr">
        <is>
          <t>Cookware Set</t>
        </is>
      </c>
      <c r="F2900" s="2" t="inlineStr">
        <is>
          <t>Home &amp; Kitchen</t>
        </is>
      </c>
      <c r="G2900" s="2" t="inlineStr">
        <is>
          <t>South</t>
        </is>
      </c>
      <c r="H2900" s="2" t="inlineStr">
        <is>
          <t>Tamil Nadu</t>
        </is>
      </c>
      <c r="I2900" s="2" t="inlineStr">
        <is>
          <t>Madurai</t>
        </is>
      </c>
      <c r="J2900" s="2" t="inlineStr">
        <is>
          <t>Store</t>
        </is>
      </c>
      <c r="K2900" s="2" t="n">
        <v>4</v>
      </c>
      <c r="L2900" s="3" t="n">
        <v>705.49</v>
      </c>
      <c r="M2900" s="4" t="n">
        <v>0.1</v>
      </c>
      <c r="N2900" s="3" t="n">
        <v>1944.08</v>
      </c>
      <c r="O2900" s="3">
        <f>K2900*L2900*(1-M2900)</f>
        <v/>
      </c>
      <c r="P2900" s="3">
        <f>O2900-N2900</f>
        <v/>
      </c>
      <c r="Q2900" s="5">
        <f>IFERROR(P2900/O2900,0)</f>
        <v/>
      </c>
      <c r="R2900" s="2">
        <f>TEXT(DATEVALUE(B2900),"mmm")</f>
        <v/>
      </c>
      <c r="S2900" s="2">
        <f>TEXT(DATEVALUE(B2900),"yyyy-mm")</f>
        <v/>
      </c>
    </row>
    <row r="2901">
      <c r="A2901" s="2" t="inlineStr">
        <is>
          <t>O003063</t>
        </is>
      </c>
      <c r="B2901" s="2" t="inlineStr">
        <is>
          <t>2025-07-31</t>
        </is>
      </c>
      <c r="C2901" s="2" t="inlineStr">
        <is>
          <t>C0554</t>
        </is>
      </c>
      <c r="D2901" s="2" t="inlineStr">
        <is>
          <t>P0021</t>
        </is>
      </c>
      <c r="E2901" s="2" t="inlineStr">
        <is>
          <t>Wallet</t>
        </is>
      </c>
      <c r="F2901" s="2" t="inlineStr">
        <is>
          <t>Fashion</t>
        </is>
      </c>
      <c r="G2901" s="2" t="inlineStr">
        <is>
          <t>North</t>
        </is>
      </c>
      <c r="H2901" s="2" t="inlineStr">
        <is>
          <t>Haryana</t>
        </is>
      </c>
      <c r="I2901" s="2" t="inlineStr">
        <is>
          <t>Faridabad</t>
        </is>
      </c>
      <c r="J2901" s="2" t="inlineStr">
        <is>
          <t>Store</t>
        </is>
      </c>
      <c r="K2901" s="2" t="n">
        <v>2</v>
      </c>
      <c r="L2901" s="3" t="n">
        <v>2006.67</v>
      </c>
      <c r="M2901" s="4" t="n">
        <v>0.2</v>
      </c>
      <c r="N2901" s="3" t="n">
        <v>2422.16</v>
      </c>
      <c r="O2901" s="3">
        <f>K2901*L2901*(1-M2901)</f>
        <v/>
      </c>
      <c r="P2901" s="3">
        <f>O2901-N2901</f>
        <v/>
      </c>
      <c r="Q2901" s="5">
        <f>IFERROR(P2901/O2901,0)</f>
        <v/>
      </c>
      <c r="R2901" s="2">
        <f>TEXT(DATEVALUE(B2901),"mmm")</f>
        <v/>
      </c>
      <c r="S2901" s="2">
        <f>TEXT(DATEVALUE(B2901),"yyyy-mm")</f>
        <v/>
      </c>
    </row>
    <row r="2902">
      <c r="A2902" s="2" t="inlineStr">
        <is>
          <t>O004131</t>
        </is>
      </c>
      <c r="B2902" s="2" t="inlineStr">
        <is>
          <t>2025-07-31</t>
        </is>
      </c>
      <c r="C2902" s="2" t="inlineStr">
        <is>
          <t>C0510</t>
        </is>
      </c>
      <c r="D2902" s="2" t="inlineStr">
        <is>
          <t>P0011</t>
        </is>
      </c>
      <c r="E2902" s="2" t="inlineStr">
        <is>
          <t>Cookware Set</t>
        </is>
      </c>
      <c r="F2902" s="2" t="inlineStr">
        <is>
          <t>Home &amp; Kitchen</t>
        </is>
      </c>
      <c r="G2902" s="2" t="inlineStr">
        <is>
          <t>West</t>
        </is>
      </c>
      <c r="H2902" s="2" t="inlineStr">
        <is>
          <t>Goa</t>
        </is>
      </c>
      <c r="I2902" s="2" t="inlineStr">
        <is>
          <t>Panaji</t>
        </is>
      </c>
      <c r="J2902" s="2" t="inlineStr">
        <is>
          <t>Store</t>
        </is>
      </c>
      <c r="K2902" s="2" t="n">
        <v>1</v>
      </c>
      <c r="L2902" s="3" t="n">
        <v>705.86</v>
      </c>
      <c r="M2902" s="4" t="n">
        <v>0.1</v>
      </c>
      <c r="N2902" s="3" t="n">
        <v>461.42</v>
      </c>
      <c r="O2902" s="3">
        <f>K2902*L2902*(1-M2902)</f>
        <v/>
      </c>
      <c r="P2902" s="3">
        <f>O2902-N2902</f>
        <v/>
      </c>
      <c r="Q2902" s="5">
        <f>IFERROR(P2902/O2902,0)</f>
        <v/>
      </c>
      <c r="R2902" s="2">
        <f>TEXT(DATEVALUE(B2902),"mmm")</f>
        <v/>
      </c>
      <c r="S2902" s="2">
        <f>TEXT(DATEVALUE(B2902),"yyyy-mm")</f>
        <v/>
      </c>
    </row>
    <row r="2903">
      <c r="A2903" s="2" t="inlineStr">
        <is>
          <t>O004405</t>
        </is>
      </c>
      <c r="B2903" s="2" t="inlineStr">
        <is>
          <t>2025-07-31</t>
        </is>
      </c>
      <c r="C2903" s="2" t="inlineStr">
        <is>
          <t>C0745</t>
        </is>
      </c>
      <c r="D2903" s="2" t="inlineStr">
        <is>
          <t>P0005</t>
        </is>
      </c>
      <c r="E2903" s="2" t="inlineStr">
        <is>
          <t>Power Bank</t>
        </is>
      </c>
      <c r="F2903" s="2" t="inlineStr">
        <is>
          <t>Electronics</t>
        </is>
      </c>
      <c r="G2903" s="2" t="inlineStr">
        <is>
          <t>East</t>
        </is>
      </c>
      <c r="H2903" s="2" t="inlineStr">
        <is>
          <t>Bihar</t>
        </is>
      </c>
      <c r="I2903" s="2" t="inlineStr">
        <is>
          <t>Gaya</t>
        </is>
      </c>
      <c r="J2903" s="2" t="inlineStr">
        <is>
          <t>Online</t>
        </is>
      </c>
      <c r="K2903" s="2" t="n">
        <v>6</v>
      </c>
      <c r="L2903" s="3" t="n">
        <v>1163.8</v>
      </c>
      <c r="M2903" s="4" t="n">
        <v>0</v>
      </c>
      <c r="N2903" s="3" t="n">
        <v>4081.11</v>
      </c>
      <c r="O2903" s="3">
        <f>K2903*L2903*(1-M2903)</f>
        <v/>
      </c>
      <c r="P2903" s="3">
        <f>O2903-N2903</f>
        <v/>
      </c>
      <c r="Q2903" s="5">
        <f>IFERROR(P2903/O2903,0)</f>
        <v/>
      </c>
      <c r="R2903" s="2">
        <f>TEXT(DATEVALUE(B2903),"mmm")</f>
        <v/>
      </c>
      <c r="S2903" s="2">
        <f>TEXT(DATEVALUE(B2903),"yyyy-mm")</f>
        <v/>
      </c>
    </row>
    <row r="2904">
      <c r="A2904" s="2" t="inlineStr">
        <is>
          <t>O004956</t>
        </is>
      </c>
      <c r="B2904" s="2" t="inlineStr">
        <is>
          <t>2025-07-31</t>
        </is>
      </c>
      <c r="C2904" s="2" t="inlineStr">
        <is>
          <t>C0494</t>
        </is>
      </c>
      <c r="D2904" s="2" t="inlineStr">
        <is>
          <t>P0022</t>
        </is>
      </c>
      <c r="E2904" s="2" t="inlineStr">
        <is>
          <t>Face Wash</t>
        </is>
      </c>
      <c r="F2904" s="2" t="inlineStr">
        <is>
          <t>Beauty</t>
        </is>
      </c>
      <c r="G2904" s="2" t="inlineStr">
        <is>
          <t>West</t>
        </is>
      </c>
      <c r="H2904" s="2" t="inlineStr">
        <is>
          <t>Gujarat</t>
        </is>
      </c>
      <c r="I2904" s="2" t="inlineStr">
        <is>
          <t>Ahmedabad</t>
        </is>
      </c>
      <c r="J2904" s="2" t="inlineStr">
        <is>
          <t>Store</t>
        </is>
      </c>
      <c r="K2904" s="2" t="n">
        <v>2</v>
      </c>
      <c r="L2904" s="3" t="n">
        <v>564.34</v>
      </c>
      <c r="M2904" s="4" t="n">
        <v>0.25</v>
      </c>
      <c r="N2904" s="3" t="n">
        <v>716.63</v>
      </c>
      <c r="O2904" s="3">
        <f>K2904*L2904*(1-M2904)</f>
        <v/>
      </c>
      <c r="P2904" s="3">
        <f>O2904-N2904</f>
        <v/>
      </c>
      <c r="Q2904" s="5">
        <f>IFERROR(P2904/O2904,0)</f>
        <v/>
      </c>
      <c r="R2904" s="2">
        <f>TEXT(DATEVALUE(B2904),"mmm")</f>
        <v/>
      </c>
      <c r="S2904" s="2">
        <f>TEXT(DATEVALUE(B2904),"yyyy-mm")</f>
        <v/>
      </c>
    </row>
    <row r="2905">
      <c r="A2905" s="2" t="inlineStr">
        <is>
          <t>O004535</t>
        </is>
      </c>
      <c r="B2905" s="2" t="inlineStr">
        <is>
          <t>2025-08-01</t>
        </is>
      </c>
      <c r="C2905" s="2" t="inlineStr">
        <is>
          <t>C0431</t>
        </is>
      </c>
      <c r="D2905" s="2" t="inlineStr">
        <is>
          <t>P0001</t>
        </is>
      </c>
      <c r="E2905" s="2" t="inlineStr">
        <is>
          <t>Wireless Headphones</t>
        </is>
      </c>
      <c r="F2905" s="2" t="inlineStr">
        <is>
          <t>Electronics</t>
        </is>
      </c>
      <c r="G2905" s="2" t="inlineStr">
        <is>
          <t>West</t>
        </is>
      </c>
      <c r="H2905" s="2" t="inlineStr">
        <is>
          <t>Gujarat</t>
        </is>
      </c>
      <c r="I2905" s="2" t="inlineStr">
        <is>
          <t>Vadodara</t>
        </is>
      </c>
      <c r="J2905" s="2" t="inlineStr">
        <is>
          <t>Store</t>
        </is>
      </c>
      <c r="K2905" s="2" t="n">
        <v>4</v>
      </c>
      <c r="L2905" s="3" t="n">
        <v>1288.87</v>
      </c>
      <c r="M2905" s="4" t="n">
        <v>0.05</v>
      </c>
      <c r="N2905" s="3" t="n">
        <v>2798.32</v>
      </c>
      <c r="O2905" s="3">
        <f>K2905*L2905*(1-M2905)</f>
        <v/>
      </c>
      <c r="P2905" s="3">
        <f>O2905-N2905</f>
        <v/>
      </c>
      <c r="Q2905" s="5">
        <f>IFERROR(P2905/O2905,0)</f>
        <v/>
      </c>
      <c r="R2905" s="2">
        <f>TEXT(DATEVALUE(B2905),"mmm")</f>
        <v/>
      </c>
      <c r="S2905" s="2">
        <f>TEXT(DATEVALUE(B2905),"yyyy-mm")</f>
        <v/>
      </c>
    </row>
    <row r="2906">
      <c r="A2906" s="2" t="inlineStr">
        <is>
          <t>O004155</t>
        </is>
      </c>
      <c r="B2906" s="2" t="inlineStr">
        <is>
          <t>2025-08-01</t>
        </is>
      </c>
      <c r="C2906" s="2" t="inlineStr">
        <is>
          <t>C0456</t>
        </is>
      </c>
      <c r="D2906" s="2" t="inlineStr">
        <is>
          <t>P0002</t>
        </is>
      </c>
      <c r="E2906" s="2" t="inlineStr">
        <is>
          <t>Bluetooth Speaker</t>
        </is>
      </c>
      <c r="F2906" s="2" t="inlineStr">
        <is>
          <t>Electronics</t>
        </is>
      </c>
      <c r="G2906" s="2" t="inlineStr">
        <is>
          <t>North</t>
        </is>
      </c>
      <c r="H2906" s="2" t="inlineStr">
        <is>
          <t>Haryana</t>
        </is>
      </c>
      <c r="I2906" s="2" t="inlineStr">
        <is>
          <t>Gurugram</t>
        </is>
      </c>
      <c r="J2906" s="2" t="inlineStr">
        <is>
          <t>Online</t>
        </is>
      </c>
      <c r="K2906" s="2" t="n">
        <v>1</v>
      </c>
      <c r="L2906" s="3" t="n">
        <v>1381.68</v>
      </c>
      <c r="M2906" s="4" t="n">
        <v>0.1</v>
      </c>
      <c r="N2906" s="3" t="n">
        <v>827.22</v>
      </c>
      <c r="O2906" s="3">
        <f>K2906*L2906*(1-M2906)</f>
        <v/>
      </c>
      <c r="P2906" s="3">
        <f>O2906-N2906</f>
        <v/>
      </c>
      <c r="Q2906" s="5">
        <f>IFERROR(P2906/O2906,0)</f>
        <v/>
      </c>
      <c r="R2906" s="2">
        <f>TEXT(DATEVALUE(B2906),"mmm")</f>
        <v/>
      </c>
      <c r="S2906" s="2">
        <f>TEXT(DATEVALUE(B2906),"yyyy-mm")</f>
        <v/>
      </c>
    </row>
    <row r="2907">
      <c r="A2907" s="2" t="inlineStr">
        <is>
          <t>O003720</t>
        </is>
      </c>
      <c r="B2907" s="2" t="inlineStr">
        <is>
          <t>2025-08-01</t>
        </is>
      </c>
      <c r="C2907" s="2" t="inlineStr">
        <is>
          <t>C0004</t>
        </is>
      </c>
      <c r="D2907" s="2" t="inlineStr">
        <is>
          <t>P0012</t>
        </is>
      </c>
      <c r="E2907" s="2" t="inlineStr">
        <is>
          <t>Water Bottle</t>
        </is>
      </c>
      <c r="F2907" s="2" t="inlineStr">
        <is>
          <t>Home &amp; Kitchen</t>
        </is>
      </c>
      <c r="G2907" s="2" t="inlineStr">
        <is>
          <t>West</t>
        </is>
      </c>
      <c r="H2907" s="2" t="inlineStr">
        <is>
          <t>Goa</t>
        </is>
      </c>
      <c r="I2907" s="2" t="inlineStr">
        <is>
          <t>Margao</t>
        </is>
      </c>
      <c r="J2907" s="2" t="inlineStr">
        <is>
          <t>Store</t>
        </is>
      </c>
      <c r="K2907" s="2" t="n">
        <v>1</v>
      </c>
      <c r="L2907" s="3" t="n">
        <v>1004.25</v>
      </c>
      <c r="M2907" s="4" t="n">
        <v>0</v>
      </c>
      <c r="N2907" s="3" t="n">
        <v>620.9299999999999</v>
      </c>
      <c r="O2907" s="3">
        <f>K2907*L2907*(1-M2907)</f>
        <v/>
      </c>
      <c r="P2907" s="3">
        <f>O2907-N2907</f>
        <v/>
      </c>
      <c r="Q2907" s="5">
        <f>IFERROR(P2907/O2907,0)</f>
        <v/>
      </c>
      <c r="R2907" s="2">
        <f>TEXT(DATEVALUE(B2907),"mmm")</f>
        <v/>
      </c>
      <c r="S2907" s="2">
        <f>TEXT(DATEVALUE(B2907),"yyyy-mm")</f>
        <v/>
      </c>
    </row>
    <row r="2908">
      <c r="A2908" s="2" t="inlineStr">
        <is>
          <t>O003344</t>
        </is>
      </c>
      <c r="B2908" s="2" t="inlineStr">
        <is>
          <t>2025-08-01</t>
        </is>
      </c>
      <c r="C2908" s="2" t="inlineStr">
        <is>
          <t>C0770</t>
        </is>
      </c>
      <c r="D2908" s="2" t="inlineStr">
        <is>
          <t>P0002</t>
        </is>
      </c>
      <c r="E2908" s="2" t="inlineStr">
        <is>
          <t>Bluetooth Speaker</t>
        </is>
      </c>
      <c r="F2908" s="2" t="inlineStr">
        <is>
          <t>Electronics</t>
        </is>
      </c>
      <c r="G2908" s="2" t="inlineStr">
        <is>
          <t>East</t>
        </is>
      </c>
      <c r="H2908" s="2" t="inlineStr">
        <is>
          <t>Bihar</t>
        </is>
      </c>
      <c r="I2908" s="2" t="inlineStr">
        <is>
          <t>Patna</t>
        </is>
      </c>
      <c r="J2908" s="2" t="inlineStr">
        <is>
          <t>Online</t>
        </is>
      </c>
      <c r="K2908" s="2" t="n">
        <v>1</v>
      </c>
      <c r="L2908" s="3" t="n">
        <v>1327.01</v>
      </c>
      <c r="M2908" s="4" t="n">
        <v>0.1</v>
      </c>
      <c r="N2908" s="3" t="n">
        <v>798.4400000000001</v>
      </c>
      <c r="O2908" s="3">
        <f>K2908*L2908*(1-M2908)</f>
        <v/>
      </c>
      <c r="P2908" s="3">
        <f>O2908-N2908</f>
        <v/>
      </c>
      <c r="Q2908" s="5">
        <f>IFERROR(P2908/O2908,0)</f>
        <v/>
      </c>
      <c r="R2908" s="2">
        <f>TEXT(DATEVALUE(B2908),"mmm")</f>
        <v/>
      </c>
      <c r="S2908" s="2">
        <f>TEXT(DATEVALUE(B2908),"yyyy-mm")</f>
        <v/>
      </c>
    </row>
    <row r="2909">
      <c r="A2909" s="2" t="inlineStr">
        <is>
          <t>O003033</t>
        </is>
      </c>
      <c r="B2909" s="2" t="inlineStr">
        <is>
          <t>2025-08-01</t>
        </is>
      </c>
      <c r="C2909" s="2" t="inlineStr">
        <is>
          <t>C0700</t>
        </is>
      </c>
      <c r="D2909" s="2" t="inlineStr">
        <is>
          <t>P0017</t>
        </is>
      </c>
      <c r="E2909" s="2" t="inlineStr">
        <is>
          <t>Jeans</t>
        </is>
      </c>
      <c r="F2909" s="2" t="inlineStr">
        <is>
          <t>Fashion</t>
        </is>
      </c>
      <c r="G2909" s="2" t="inlineStr">
        <is>
          <t>North</t>
        </is>
      </c>
      <c r="H2909" s="2" t="inlineStr">
        <is>
          <t>Punjab</t>
        </is>
      </c>
      <c r="I2909" s="2" t="inlineStr">
        <is>
          <t>Ludhiana</t>
        </is>
      </c>
      <c r="J2909" s="2" t="inlineStr">
        <is>
          <t>Online</t>
        </is>
      </c>
      <c r="K2909" s="2" t="n">
        <v>4</v>
      </c>
      <c r="L2909" s="3" t="n">
        <v>1490.49</v>
      </c>
      <c r="M2909" s="4" t="n">
        <v>0</v>
      </c>
      <c r="N2909" s="3" t="n">
        <v>4187.42</v>
      </c>
      <c r="O2909" s="3">
        <f>K2909*L2909*(1-M2909)</f>
        <v/>
      </c>
      <c r="P2909" s="3">
        <f>O2909-N2909</f>
        <v/>
      </c>
      <c r="Q2909" s="5">
        <f>IFERROR(P2909/O2909,0)</f>
        <v/>
      </c>
      <c r="R2909" s="2">
        <f>TEXT(DATEVALUE(B2909),"mmm")</f>
        <v/>
      </c>
      <c r="S2909" s="2">
        <f>TEXT(DATEVALUE(B2909),"yyyy-mm")</f>
        <v/>
      </c>
    </row>
    <row r="2910">
      <c r="A2910" s="2" t="inlineStr">
        <is>
          <t>O002940</t>
        </is>
      </c>
      <c r="B2910" s="2" t="inlineStr">
        <is>
          <t>2025-08-01</t>
        </is>
      </c>
      <c r="C2910" s="2" t="inlineStr">
        <is>
          <t>C0100</t>
        </is>
      </c>
      <c r="D2910" s="2" t="inlineStr">
        <is>
          <t>P0013</t>
        </is>
      </c>
      <c r="E2910" s="2" t="inlineStr">
        <is>
          <t>Storage Organizer</t>
        </is>
      </c>
      <c r="F2910" s="2" t="inlineStr">
        <is>
          <t>Home &amp; Kitchen</t>
        </is>
      </c>
      <c r="G2910" s="2" t="inlineStr">
        <is>
          <t>South</t>
        </is>
      </c>
      <c r="H2910" s="2" t="inlineStr">
        <is>
          <t>Karnataka</t>
        </is>
      </c>
      <c r="I2910" s="2" t="inlineStr">
        <is>
          <t>Bengaluru</t>
        </is>
      </c>
      <c r="J2910" s="2" t="inlineStr">
        <is>
          <t>Store</t>
        </is>
      </c>
      <c r="K2910" s="2" t="n">
        <v>1</v>
      </c>
      <c r="L2910" s="3" t="n">
        <v>583.55</v>
      </c>
      <c r="M2910" s="4" t="n">
        <v>0.05</v>
      </c>
      <c r="N2910" s="3" t="n">
        <v>362.99</v>
      </c>
      <c r="O2910" s="3">
        <f>K2910*L2910*(1-M2910)</f>
        <v/>
      </c>
      <c r="P2910" s="3">
        <f>O2910-N2910</f>
        <v/>
      </c>
      <c r="Q2910" s="5">
        <f>IFERROR(P2910/O2910,0)</f>
        <v/>
      </c>
      <c r="R2910" s="2">
        <f>TEXT(DATEVALUE(B2910),"mmm")</f>
        <v/>
      </c>
      <c r="S2910" s="2">
        <f>TEXT(DATEVALUE(B2910),"yyyy-mm")</f>
        <v/>
      </c>
    </row>
    <row r="2911">
      <c r="A2911" s="2" t="inlineStr">
        <is>
          <t>O002647</t>
        </is>
      </c>
      <c r="B2911" s="2" t="inlineStr">
        <is>
          <t>2025-08-01</t>
        </is>
      </c>
      <c r="C2911" s="2" t="inlineStr">
        <is>
          <t>C0457</t>
        </is>
      </c>
      <c r="D2911" s="2" t="inlineStr">
        <is>
          <t>P0032</t>
        </is>
      </c>
      <c r="E2911" s="2" t="inlineStr">
        <is>
          <t>Football</t>
        </is>
      </c>
      <c r="F2911" s="2" t="inlineStr">
        <is>
          <t>Sports</t>
        </is>
      </c>
      <c r="G2911" s="2" t="inlineStr">
        <is>
          <t>North</t>
        </is>
      </c>
      <c r="H2911" s="2" t="inlineStr">
        <is>
          <t>Delhi</t>
        </is>
      </c>
      <c r="I2911" s="2" t="inlineStr">
        <is>
          <t>New Delhi</t>
        </is>
      </c>
      <c r="J2911" s="2" t="inlineStr">
        <is>
          <t>Online</t>
        </is>
      </c>
      <c r="K2911" s="2" t="n">
        <v>2</v>
      </c>
      <c r="L2911" s="3" t="n">
        <v>829.26</v>
      </c>
      <c r="M2911" s="4" t="n">
        <v>0.1</v>
      </c>
      <c r="N2911" s="3" t="n">
        <v>1046.95</v>
      </c>
      <c r="O2911" s="3">
        <f>K2911*L2911*(1-M2911)</f>
        <v/>
      </c>
      <c r="P2911" s="3">
        <f>O2911-N2911</f>
        <v/>
      </c>
      <c r="Q2911" s="5">
        <f>IFERROR(P2911/O2911,0)</f>
        <v/>
      </c>
      <c r="R2911" s="2">
        <f>TEXT(DATEVALUE(B2911),"mmm")</f>
        <v/>
      </c>
      <c r="S2911" s="2">
        <f>TEXT(DATEVALUE(B2911),"yyyy-mm")</f>
        <v/>
      </c>
    </row>
    <row r="2912">
      <c r="A2912" s="2" t="inlineStr">
        <is>
          <t>O002835</t>
        </is>
      </c>
      <c r="B2912" s="2" t="inlineStr">
        <is>
          <t>2025-08-01</t>
        </is>
      </c>
      <c r="C2912" s="2" t="inlineStr">
        <is>
          <t>C0554</t>
        </is>
      </c>
      <c r="D2912" s="2" t="inlineStr">
        <is>
          <t>P0019</t>
        </is>
      </c>
      <c r="E2912" s="2" t="inlineStr">
        <is>
          <t>Jacket</t>
        </is>
      </c>
      <c r="F2912" s="2" t="inlineStr">
        <is>
          <t>Fashion</t>
        </is>
      </c>
      <c r="G2912" s="2" t="inlineStr">
        <is>
          <t>South</t>
        </is>
      </c>
      <c r="H2912" s="2" t="inlineStr">
        <is>
          <t>Tamil Nadu</t>
        </is>
      </c>
      <c r="I2912" s="2" t="inlineStr">
        <is>
          <t>Madurai</t>
        </is>
      </c>
      <c r="J2912" s="2" t="inlineStr">
        <is>
          <t>Store</t>
        </is>
      </c>
      <c r="K2912" s="2" t="n">
        <v>2</v>
      </c>
      <c r="L2912" s="3" t="n">
        <v>1028.55</v>
      </c>
      <c r="M2912" s="4" t="n">
        <v>0</v>
      </c>
      <c r="N2912" s="3" t="n">
        <v>1393.18</v>
      </c>
      <c r="O2912" s="3">
        <f>K2912*L2912*(1-M2912)</f>
        <v/>
      </c>
      <c r="P2912" s="3">
        <f>O2912-N2912</f>
        <v/>
      </c>
      <c r="Q2912" s="5">
        <f>IFERROR(P2912/O2912,0)</f>
        <v/>
      </c>
      <c r="R2912" s="2">
        <f>TEXT(DATEVALUE(B2912),"mmm")</f>
        <v/>
      </c>
      <c r="S2912" s="2">
        <f>TEXT(DATEVALUE(B2912),"yyyy-mm")</f>
        <v/>
      </c>
    </row>
    <row r="2913">
      <c r="A2913" s="2" t="inlineStr">
        <is>
          <t>O002488</t>
        </is>
      </c>
      <c r="B2913" s="2" t="inlineStr">
        <is>
          <t>2025-08-01</t>
        </is>
      </c>
      <c r="C2913" s="2" t="inlineStr">
        <is>
          <t>C0780</t>
        </is>
      </c>
      <c r="D2913" s="2" t="inlineStr">
        <is>
          <t>P0004</t>
        </is>
      </c>
      <c r="E2913" s="2" t="inlineStr">
        <is>
          <t>USB-C Hub</t>
        </is>
      </c>
      <c r="F2913" s="2" t="inlineStr">
        <is>
          <t>Electronics</t>
        </is>
      </c>
      <c r="G2913" s="2" t="inlineStr">
        <is>
          <t>South</t>
        </is>
      </c>
      <c r="H2913" s="2" t="inlineStr">
        <is>
          <t>Kerala</t>
        </is>
      </c>
      <c r="I2913" s="2" t="inlineStr">
        <is>
          <t>Kochi</t>
        </is>
      </c>
      <c r="J2913" s="2" t="inlineStr">
        <is>
          <t>Store</t>
        </is>
      </c>
      <c r="K2913" s="2" t="n">
        <v>2</v>
      </c>
      <c r="L2913" s="3" t="n">
        <v>1249.18</v>
      </c>
      <c r="M2913" s="4" t="n">
        <v>0.1</v>
      </c>
      <c r="N2913" s="3" t="n">
        <v>1826.83</v>
      </c>
      <c r="O2913" s="3">
        <f>K2913*L2913*(1-M2913)</f>
        <v/>
      </c>
      <c r="P2913" s="3">
        <f>O2913-N2913</f>
        <v/>
      </c>
      <c r="Q2913" s="5">
        <f>IFERROR(P2913/O2913,0)</f>
        <v/>
      </c>
      <c r="R2913" s="2">
        <f>TEXT(DATEVALUE(B2913),"mmm")</f>
        <v/>
      </c>
      <c r="S2913" s="2">
        <f>TEXT(DATEVALUE(B2913),"yyyy-mm")</f>
        <v/>
      </c>
    </row>
    <row r="2914">
      <c r="A2914" s="2" t="inlineStr">
        <is>
          <t>O000082</t>
        </is>
      </c>
      <c r="B2914" s="2" t="inlineStr">
        <is>
          <t>2025-08-01</t>
        </is>
      </c>
      <c r="C2914" s="2" t="inlineStr">
        <is>
          <t>C0719</t>
        </is>
      </c>
      <c r="D2914" s="2" t="inlineStr">
        <is>
          <t>P0004</t>
        </is>
      </c>
      <c r="E2914" s="2" t="inlineStr">
        <is>
          <t>USB-C Hub</t>
        </is>
      </c>
      <c r="F2914" s="2" t="inlineStr">
        <is>
          <t>Electronics</t>
        </is>
      </c>
      <c r="G2914" s="2" t="inlineStr">
        <is>
          <t>West</t>
        </is>
      </c>
      <c r="H2914" s="2" t="inlineStr">
        <is>
          <t>Maharashtra</t>
        </is>
      </c>
      <c r="I2914" s="2" t="inlineStr">
        <is>
          <t>Thane</t>
        </is>
      </c>
      <c r="J2914" s="2" t="inlineStr">
        <is>
          <t>Online</t>
        </is>
      </c>
      <c r="K2914" s="2" t="n">
        <v>6</v>
      </c>
      <c r="L2914" s="3" t="n">
        <v>1284.48</v>
      </c>
      <c r="M2914" s="4" t="n">
        <v>0.05</v>
      </c>
      <c r="N2914" s="3" t="n">
        <v>5474.91</v>
      </c>
      <c r="O2914" s="3">
        <f>K2914*L2914*(1-M2914)</f>
        <v/>
      </c>
      <c r="P2914" s="3">
        <f>O2914-N2914</f>
        <v/>
      </c>
      <c r="Q2914" s="5">
        <f>IFERROR(P2914/O2914,0)</f>
        <v/>
      </c>
      <c r="R2914" s="2">
        <f>TEXT(DATEVALUE(B2914),"mmm")</f>
        <v/>
      </c>
      <c r="S2914" s="2">
        <f>TEXT(DATEVALUE(B2914),"yyyy-mm")</f>
        <v/>
      </c>
    </row>
    <row r="2915">
      <c r="A2915" s="2" t="inlineStr">
        <is>
          <t>O000665</t>
        </is>
      </c>
      <c r="B2915" s="2" t="inlineStr">
        <is>
          <t>2025-08-01</t>
        </is>
      </c>
      <c r="C2915" s="2" t="inlineStr">
        <is>
          <t>C0582</t>
        </is>
      </c>
      <c r="D2915" s="2" t="inlineStr">
        <is>
          <t>P0010</t>
        </is>
      </c>
      <c r="E2915" s="2" t="inlineStr">
        <is>
          <t>Mixer Grinder</t>
        </is>
      </c>
      <c r="F2915" s="2" t="inlineStr">
        <is>
          <t>Home &amp; Kitchen</t>
        </is>
      </c>
      <c r="G2915" s="2" t="inlineStr">
        <is>
          <t>West</t>
        </is>
      </c>
      <c r="H2915" s="2" t="inlineStr">
        <is>
          <t>Goa</t>
        </is>
      </c>
      <c r="I2915" s="2" t="inlineStr">
        <is>
          <t>Panaji</t>
        </is>
      </c>
      <c r="J2915" s="2" t="inlineStr">
        <is>
          <t>Online</t>
        </is>
      </c>
      <c r="K2915" s="2" t="n">
        <v>4</v>
      </c>
      <c r="L2915" s="3" t="n">
        <v>1602.53</v>
      </c>
      <c r="M2915" s="4" t="n">
        <v>0.05</v>
      </c>
      <c r="N2915" s="3" t="n">
        <v>4119.63</v>
      </c>
      <c r="O2915" s="3">
        <f>K2915*L2915*(1-M2915)</f>
        <v/>
      </c>
      <c r="P2915" s="3">
        <f>O2915-N2915</f>
        <v/>
      </c>
      <c r="Q2915" s="5">
        <f>IFERROR(P2915/O2915,0)</f>
        <v/>
      </c>
      <c r="R2915" s="2">
        <f>TEXT(DATEVALUE(B2915),"mmm")</f>
        <v/>
      </c>
      <c r="S2915" s="2">
        <f>TEXT(DATEVALUE(B2915),"yyyy-mm")</f>
        <v/>
      </c>
    </row>
    <row r="2916">
      <c r="A2916" s="2" t="inlineStr">
        <is>
          <t>O001043</t>
        </is>
      </c>
      <c r="B2916" s="2" t="inlineStr">
        <is>
          <t>2025-08-01</t>
        </is>
      </c>
      <c r="C2916" s="2" t="inlineStr">
        <is>
          <t>C0621</t>
        </is>
      </c>
      <c r="D2916" s="2" t="inlineStr">
        <is>
          <t>P0017</t>
        </is>
      </c>
      <c r="E2916" s="2" t="inlineStr">
        <is>
          <t>Jeans</t>
        </is>
      </c>
      <c r="F2916" s="2" t="inlineStr">
        <is>
          <t>Fashion</t>
        </is>
      </c>
      <c r="G2916" s="2" t="inlineStr">
        <is>
          <t>North</t>
        </is>
      </c>
      <c r="H2916" s="2" t="inlineStr">
        <is>
          <t>Punjab</t>
        </is>
      </c>
      <c r="I2916" s="2" t="inlineStr">
        <is>
          <t>Ludhiana</t>
        </is>
      </c>
      <c r="J2916" s="2" t="inlineStr">
        <is>
          <t>Online</t>
        </is>
      </c>
      <c r="K2916" s="2" t="n">
        <v>5</v>
      </c>
      <c r="L2916" s="3" t="n">
        <v>1463.35</v>
      </c>
      <c r="M2916" s="4" t="n">
        <v>0.05</v>
      </c>
      <c r="N2916" s="3" t="n">
        <v>5228.23</v>
      </c>
      <c r="O2916" s="3">
        <f>K2916*L2916*(1-M2916)</f>
        <v/>
      </c>
      <c r="P2916" s="3">
        <f>O2916-N2916</f>
        <v/>
      </c>
      <c r="Q2916" s="5">
        <f>IFERROR(P2916/O2916,0)</f>
        <v/>
      </c>
      <c r="R2916" s="2">
        <f>TEXT(DATEVALUE(B2916),"mmm")</f>
        <v/>
      </c>
      <c r="S2916" s="2">
        <f>TEXT(DATEVALUE(B2916),"yyyy-mm")</f>
        <v/>
      </c>
    </row>
    <row r="2917">
      <c r="A2917" s="2" t="inlineStr">
        <is>
          <t>O002612</t>
        </is>
      </c>
      <c r="B2917" s="2" t="inlineStr">
        <is>
          <t>2025-08-01</t>
        </is>
      </c>
      <c r="C2917" s="2" t="inlineStr">
        <is>
          <t>C0668</t>
        </is>
      </c>
      <c r="D2917" s="2" t="inlineStr">
        <is>
          <t>P0021</t>
        </is>
      </c>
      <c r="E2917" s="2" t="inlineStr">
        <is>
          <t>Wallet</t>
        </is>
      </c>
      <c r="F2917" s="2" t="inlineStr">
        <is>
          <t>Fashion</t>
        </is>
      </c>
      <c r="G2917" s="2" t="inlineStr">
        <is>
          <t>North</t>
        </is>
      </c>
      <c r="H2917" s="2" t="inlineStr">
        <is>
          <t>Uttar Pradesh</t>
        </is>
      </c>
      <c r="I2917" s="2" t="inlineStr">
        <is>
          <t>Kanpur</t>
        </is>
      </c>
      <c r="J2917" s="2" t="inlineStr">
        <is>
          <t>Online</t>
        </is>
      </c>
      <c r="K2917" s="2" t="n">
        <v>4</v>
      </c>
      <c r="L2917" s="3" t="n">
        <v>1931.97</v>
      </c>
      <c r="M2917" s="4" t="n">
        <v>0.15</v>
      </c>
      <c r="N2917" s="3" t="n">
        <v>4724.82</v>
      </c>
      <c r="O2917" s="3">
        <f>K2917*L2917*(1-M2917)</f>
        <v/>
      </c>
      <c r="P2917" s="3">
        <f>O2917-N2917</f>
        <v/>
      </c>
      <c r="Q2917" s="5">
        <f>IFERROR(P2917/O2917,0)</f>
        <v/>
      </c>
      <c r="R2917" s="2">
        <f>TEXT(DATEVALUE(B2917),"mmm")</f>
        <v/>
      </c>
      <c r="S2917" s="2">
        <f>TEXT(DATEVALUE(B2917),"yyyy-mm")</f>
        <v/>
      </c>
    </row>
    <row r="2918">
      <c r="A2918" s="2" t="inlineStr">
        <is>
          <t>O002108</t>
        </is>
      </c>
      <c r="B2918" s="2" t="inlineStr">
        <is>
          <t>2025-08-01</t>
        </is>
      </c>
      <c r="C2918" s="2" t="inlineStr">
        <is>
          <t>C0506</t>
        </is>
      </c>
      <c r="D2918" s="2" t="inlineStr">
        <is>
          <t>P0024</t>
        </is>
      </c>
      <c r="E2918" s="2" t="inlineStr">
        <is>
          <t>Hair Dryer</t>
        </is>
      </c>
      <c r="F2918" s="2" t="inlineStr">
        <is>
          <t>Beauty</t>
        </is>
      </c>
      <c r="G2918" s="2" t="inlineStr">
        <is>
          <t>South</t>
        </is>
      </c>
      <c r="H2918" s="2" t="inlineStr">
        <is>
          <t>Telangana</t>
        </is>
      </c>
      <c r="I2918" s="2" t="inlineStr">
        <is>
          <t>Hyderabad</t>
        </is>
      </c>
      <c r="J2918" s="2" t="inlineStr">
        <is>
          <t>Online</t>
        </is>
      </c>
      <c r="K2918" s="2" t="n">
        <v>2</v>
      </c>
      <c r="L2918" s="3" t="n">
        <v>1039.91</v>
      </c>
      <c r="M2918" s="4" t="n">
        <v>0.1</v>
      </c>
      <c r="N2918" s="3" t="n">
        <v>1480.04</v>
      </c>
      <c r="O2918" s="3">
        <f>K2918*L2918*(1-M2918)</f>
        <v/>
      </c>
      <c r="P2918" s="3">
        <f>O2918-N2918</f>
        <v/>
      </c>
      <c r="Q2918" s="5">
        <f>IFERROR(P2918/O2918,0)</f>
        <v/>
      </c>
      <c r="R2918" s="2">
        <f>TEXT(DATEVALUE(B2918),"mmm")</f>
        <v/>
      </c>
      <c r="S2918" s="2">
        <f>TEXT(DATEVALUE(B2918),"yyyy-mm")</f>
        <v/>
      </c>
    </row>
    <row r="2919">
      <c r="A2919" s="2" t="inlineStr">
        <is>
          <t>O002486</t>
        </is>
      </c>
      <c r="B2919" s="2" t="inlineStr">
        <is>
          <t>2025-08-01</t>
        </is>
      </c>
      <c r="C2919" s="2" t="inlineStr">
        <is>
          <t>C0778</t>
        </is>
      </c>
      <c r="D2919" s="2" t="inlineStr">
        <is>
          <t>P0023</t>
        </is>
      </c>
      <c r="E2919" s="2" t="inlineStr">
        <is>
          <t>Skin Care Kit</t>
        </is>
      </c>
      <c r="F2919" s="2" t="inlineStr">
        <is>
          <t>Beauty</t>
        </is>
      </c>
      <c r="G2919" s="2" t="inlineStr">
        <is>
          <t>West</t>
        </is>
      </c>
      <c r="H2919" s="2" t="inlineStr">
        <is>
          <t>Goa</t>
        </is>
      </c>
      <c r="I2919" s="2" t="inlineStr">
        <is>
          <t>Margao</t>
        </is>
      </c>
      <c r="J2919" s="2" t="inlineStr">
        <is>
          <t>Online</t>
        </is>
      </c>
      <c r="K2919" s="2" t="n">
        <v>5</v>
      </c>
      <c r="L2919" s="3" t="n">
        <v>1404.9</v>
      </c>
      <c r="M2919" s="4" t="n">
        <v>0.25</v>
      </c>
      <c r="N2919" s="3" t="n">
        <v>4602.11</v>
      </c>
      <c r="O2919" s="3">
        <f>K2919*L2919*(1-M2919)</f>
        <v/>
      </c>
      <c r="P2919" s="3">
        <f>O2919-N2919</f>
        <v/>
      </c>
      <c r="Q2919" s="5">
        <f>IFERROR(P2919/O2919,0)</f>
        <v/>
      </c>
      <c r="R2919" s="2">
        <f>TEXT(DATEVALUE(B2919),"mmm")</f>
        <v/>
      </c>
      <c r="S2919" s="2">
        <f>TEXT(DATEVALUE(B2919),"yyyy-mm")</f>
        <v/>
      </c>
    </row>
    <row r="2920">
      <c r="A2920" s="2" t="inlineStr">
        <is>
          <t>O001908</t>
        </is>
      </c>
      <c r="B2920" s="2" t="inlineStr">
        <is>
          <t>2025-08-01</t>
        </is>
      </c>
      <c r="C2920" s="2" t="inlineStr">
        <is>
          <t>C0241</t>
        </is>
      </c>
      <c r="D2920" s="2" t="inlineStr">
        <is>
          <t>P0020</t>
        </is>
      </c>
      <c r="E2920" s="2" t="inlineStr">
        <is>
          <t>Sneakers</t>
        </is>
      </c>
      <c r="F2920" s="2" t="inlineStr">
        <is>
          <t>Fashion</t>
        </is>
      </c>
      <c r="G2920" s="2" t="inlineStr">
        <is>
          <t>South</t>
        </is>
      </c>
      <c r="H2920" s="2" t="inlineStr">
        <is>
          <t>Karnataka</t>
        </is>
      </c>
      <c r="I2920" s="2" t="inlineStr">
        <is>
          <t>Mysuru</t>
        </is>
      </c>
      <c r="J2920" s="2" t="inlineStr">
        <is>
          <t>Store</t>
        </is>
      </c>
      <c r="K2920" s="2" t="n">
        <v>2</v>
      </c>
      <c r="L2920" s="3" t="n">
        <v>1885.37</v>
      </c>
      <c r="M2920" s="4" t="n">
        <v>0.15</v>
      </c>
      <c r="N2920" s="3" t="n">
        <v>3048.09</v>
      </c>
      <c r="O2920" s="3">
        <f>K2920*L2920*(1-M2920)</f>
        <v/>
      </c>
      <c r="P2920" s="3">
        <f>O2920-N2920</f>
        <v/>
      </c>
      <c r="Q2920" s="5">
        <f>IFERROR(P2920/O2920,0)</f>
        <v/>
      </c>
      <c r="R2920" s="2">
        <f>TEXT(DATEVALUE(B2920),"mmm")</f>
        <v/>
      </c>
      <c r="S2920" s="2">
        <f>TEXT(DATEVALUE(B2920),"yyyy-mm")</f>
        <v/>
      </c>
    </row>
    <row r="2921">
      <c r="A2921" s="2" t="inlineStr">
        <is>
          <t>O004904</t>
        </is>
      </c>
      <c r="B2921" s="2" t="inlineStr">
        <is>
          <t>2025-08-02</t>
        </is>
      </c>
      <c r="C2921" s="2" t="inlineStr">
        <is>
          <t>C0438</t>
        </is>
      </c>
      <c r="D2921" s="2" t="inlineStr">
        <is>
          <t>P0004</t>
        </is>
      </c>
      <c r="E2921" s="2" t="inlineStr">
        <is>
          <t>USB-C Hub</t>
        </is>
      </c>
      <c r="F2921" s="2" t="inlineStr">
        <is>
          <t>Electronics</t>
        </is>
      </c>
      <c r="G2921" s="2" t="inlineStr">
        <is>
          <t>West</t>
        </is>
      </c>
      <c r="H2921" s="2" t="inlineStr">
        <is>
          <t>Maharashtra</t>
        </is>
      </c>
      <c r="I2921" s="2" t="inlineStr">
        <is>
          <t>Pune</t>
        </is>
      </c>
      <c r="J2921" s="2" t="inlineStr">
        <is>
          <t>Store</t>
        </is>
      </c>
      <c r="K2921" s="2" t="n">
        <v>4</v>
      </c>
      <c r="L2921" s="3" t="n">
        <v>1216.38</v>
      </c>
      <c r="M2921" s="4" t="n">
        <v>0</v>
      </c>
      <c r="N2921" s="3" t="n">
        <v>3753.86</v>
      </c>
      <c r="O2921" s="3">
        <f>K2921*L2921*(1-M2921)</f>
        <v/>
      </c>
      <c r="P2921" s="3">
        <f>O2921-N2921</f>
        <v/>
      </c>
      <c r="Q2921" s="5">
        <f>IFERROR(P2921/O2921,0)</f>
        <v/>
      </c>
      <c r="R2921" s="2">
        <f>TEXT(DATEVALUE(B2921),"mmm")</f>
        <v/>
      </c>
      <c r="S2921" s="2">
        <f>TEXT(DATEVALUE(B2921),"yyyy-mm")</f>
        <v/>
      </c>
    </row>
    <row r="2922">
      <c r="A2922" s="2" t="inlineStr">
        <is>
          <t>O003469</t>
        </is>
      </c>
      <c r="B2922" s="2" t="inlineStr">
        <is>
          <t>2025-08-02</t>
        </is>
      </c>
      <c r="C2922" s="2" t="inlineStr">
        <is>
          <t>C0519</t>
        </is>
      </c>
      <c r="D2922" s="2" t="inlineStr">
        <is>
          <t>P0016</t>
        </is>
      </c>
      <c r="E2922" s="2" t="inlineStr">
        <is>
          <t>Casual Shirt</t>
        </is>
      </c>
      <c r="F2922" s="2" t="inlineStr">
        <is>
          <t>Fashion</t>
        </is>
      </c>
      <c r="G2922" s="2" t="inlineStr">
        <is>
          <t>East</t>
        </is>
      </c>
      <c r="H2922" s="2" t="inlineStr">
        <is>
          <t>Bihar</t>
        </is>
      </c>
      <c r="I2922" s="2" t="inlineStr">
        <is>
          <t>Patna</t>
        </is>
      </c>
      <c r="J2922" s="2" t="inlineStr">
        <is>
          <t>Online</t>
        </is>
      </c>
      <c r="K2922" s="2" t="n">
        <v>6</v>
      </c>
      <c r="L2922" s="3" t="n">
        <v>1290.38</v>
      </c>
      <c r="M2922" s="4" t="n">
        <v>0</v>
      </c>
      <c r="N2922" s="3" t="n">
        <v>5383.4</v>
      </c>
      <c r="O2922" s="3">
        <f>K2922*L2922*(1-M2922)</f>
        <v/>
      </c>
      <c r="P2922" s="3">
        <f>O2922-N2922</f>
        <v/>
      </c>
      <c r="Q2922" s="5">
        <f>IFERROR(P2922/O2922,0)</f>
        <v/>
      </c>
      <c r="R2922" s="2">
        <f>TEXT(DATEVALUE(B2922),"mmm")</f>
        <v/>
      </c>
      <c r="S2922" s="2">
        <f>TEXT(DATEVALUE(B2922),"yyyy-mm")</f>
        <v/>
      </c>
    </row>
    <row r="2923">
      <c r="A2923" s="2" t="inlineStr">
        <is>
          <t>O004479</t>
        </is>
      </c>
      <c r="B2923" s="2" t="inlineStr">
        <is>
          <t>2025-08-02</t>
        </is>
      </c>
      <c r="C2923" s="2" t="inlineStr">
        <is>
          <t>C0115</t>
        </is>
      </c>
      <c r="D2923" s="2" t="inlineStr">
        <is>
          <t>P0010</t>
        </is>
      </c>
      <c r="E2923" s="2" t="inlineStr">
        <is>
          <t>Mixer Grinder</t>
        </is>
      </c>
      <c r="F2923" s="2" t="inlineStr">
        <is>
          <t>Home &amp; Kitchen</t>
        </is>
      </c>
      <c r="G2923" s="2" t="inlineStr">
        <is>
          <t>West</t>
        </is>
      </c>
      <c r="H2923" s="2" t="inlineStr">
        <is>
          <t>Goa</t>
        </is>
      </c>
      <c r="I2923" s="2" t="inlineStr">
        <is>
          <t>Margao</t>
        </is>
      </c>
      <c r="J2923" s="2" t="inlineStr">
        <is>
          <t>Online</t>
        </is>
      </c>
      <c r="K2923" s="2" t="n">
        <v>5</v>
      </c>
      <c r="L2923" s="3" t="n">
        <v>1676.4</v>
      </c>
      <c r="M2923" s="4" t="n">
        <v>0</v>
      </c>
      <c r="N2923" s="3" t="n">
        <v>5269.82</v>
      </c>
      <c r="O2923" s="3">
        <f>K2923*L2923*(1-M2923)</f>
        <v/>
      </c>
      <c r="P2923" s="3">
        <f>O2923-N2923</f>
        <v/>
      </c>
      <c r="Q2923" s="5">
        <f>IFERROR(P2923/O2923,0)</f>
        <v/>
      </c>
      <c r="R2923" s="2">
        <f>TEXT(DATEVALUE(B2923),"mmm")</f>
        <v/>
      </c>
      <c r="S2923" s="2">
        <f>TEXT(DATEVALUE(B2923),"yyyy-mm")</f>
        <v/>
      </c>
    </row>
    <row r="2924">
      <c r="A2924" s="2" t="inlineStr">
        <is>
          <t>O004281</t>
        </is>
      </c>
      <c r="B2924" s="2" t="inlineStr">
        <is>
          <t>2025-08-02</t>
        </is>
      </c>
      <c r="C2924" s="2" t="inlineStr">
        <is>
          <t>C0521</t>
        </is>
      </c>
      <c r="D2924" s="2" t="inlineStr">
        <is>
          <t>P0027</t>
        </is>
      </c>
      <c r="E2924" s="2" t="inlineStr">
        <is>
          <t>Moisturizer</t>
        </is>
      </c>
      <c r="F2924" s="2" t="inlineStr">
        <is>
          <t>Beauty</t>
        </is>
      </c>
      <c r="G2924" s="2" t="inlineStr">
        <is>
          <t>North</t>
        </is>
      </c>
      <c r="H2924" s="2" t="inlineStr">
        <is>
          <t>Punjab</t>
        </is>
      </c>
      <c r="I2924" s="2" t="inlineStr">
        <is>
          <t>Amritsar</t>
        </is>
      </c>
      <c r="J2924" s="2" t="inlineStr">
        <is>
          <t>Online</t>
        </is>
      </c>
      <c r="K2924" s="2" t="n">
        <v>2</v>
      </c>
      <c r="L2924" s="3" t="n">
        <v>952.12</v>
      </c>
      <c r="M2924" s="4" t="n">
        <v>0.1</v>
      </c>
      <c r="N2924" s="3" t="n">
        <v>1334.76</v>
      </c>
      <c r="O2924" s="3">
        <f>K2924*L2924*(1-M2924)</f>
        <v/>
      </c>
      <c r="P2924" s="3">
        <f>O2924-N2924</f>
        <v/>
      </c>
      <c r="Q2924" s="5">
        <f>IFERROR(P2924/O2924,0)</f>
        <v/>
      </c>
      <c r="R2924" s="2">
        <f>TEXT(DATEVALUE(B2924),"mmm")</f>
        <v/>
      </c>
      <c r="S2924" s="2">
        <f>TEXT(DATEVALUE(B2924),"yyyy-mm")</f>
        <v/>
      </c>
    </row>
    <row r="2925">
      <c r="A2925" s="2" t="inlineStr">
        <is>
          <t>O004170</t>
        </is>
      </c>
      <c r="B2925" s="2" t="inlineStr">
        <is>
          <t>2025-08-02</t>
        </is>
      </c>
      <c r="C2925" s="2" t="inlineStr">
        <is>
          <t>C0568</t>
        </is>
      </c>
      <c r="D2925" s="2" t="inlineStr">
        <is>
          <t>P0016</t>
        </is>
      </c>
      <c r="E2925" s="2" t="inlineStr">
        <is>
          <t>Casual Shirt</t>
        </is>
      </c>
      <c r="F2925" s="2" t="inlineStr">
        <is>
          <t>Fashion</t>
        </is>
      </c>
      <c r="G2925" s="2" t="inlineStr">
        <is>
          <t>West</t>
        </is>
      </c>
      <c r="H2925" s="2" t="inlineStr">
        <is>
          <t>Gujarat</t>
        </is>
      </c>
      <c r="I2925" s="2" t="inlineStr">
        <is>
          <t>Ahmedabad</t>
        </is>
      </c>
      <c r="J2925" s="2" t="inlineStr">
        <is>
          <t>Store</t>
        </is>
      </c>
      <c r="K2925" s="2" t="n">
        <v>1</v>
      </c>
      <c r="L2925" s="3" t="n">
        <v>1249.06</v>
      </c>
      <c r="M2925" s="4" t="n">
        <v>0.1</v>
      </c>
      <c r="N2925" s="3" t="n">
        <v>888.08</v>
      </c>
      <c r="O2925" s="3">
        <f>K2925*L2925*(1-M2925)</f>
        <v/>
      </c>
      <c r="P2925" s="3">
        <f>O2925-N2925</f>
        <v/>
      </c>
      <c r="Q2925" s="5">
        <f>IFERROR(P2925/O2925,0)</f>
        <v/>
      </c>
      <c r="R2925" s="2">
        <f>TEXT(DATEVALUE(B2925),"mmm")</f>
        <v/>
      </c>
      <c r="S2925" s="2">
        <f>TEXT(DATEVALUE(B2925),"yyyy-mm")</f>
        <v/>
      </c>
    </row>
    <row r="2926">
      <c r="A2926" s="2" t="inlineStr">
        <is>
          <t>O003855</t>
        </is>
      </c>
      <c r="B2926" s="2" t="inlineStr">
        <is>
          <t>2025-08-02</t>
        </is>
      </c>
      <c r="C2926" s="2" t="inlineStr">
        <is>
          <t>C0578</t>
        </is>
      </c>
      <c r="D2926" s="2" t="inlineStr">
        <is>
          <t>P0017</t>
        </is>
      </c>
      <c r="E2926" s="2" t="inlineStr">
        <is>
          <t>Jeans</t>
        </is>
      </c>
      <c r="F2926" s="2" t="inlineStr">
        <is>
          <t>Fashion</t>
        </is>
      </c>
      <c r="G2926" s="2" t="inlineStr">
        <is>
          <t>South</t>
        </is>
      </c>
      <c r="H2926" s="2" t="inlineStr">
        <is>
          <t>Telangana</t>
        </is>
      </c>
      <c r="I2926" s="2" t="inlineStr">
        <is>
          <t>Warangal</t>
        </is>
      </c>
      <c r="J2926" s="2" t="inlineStr">
        <is>
          <t>Online</t>
        </is>
      </c>
      <c r="K2926" s="2" t="n">
        <v>1</v>
      </c>
      <c r="L2926" s="3" t="n">
        <v>1547.18</v>
      </c>
      <c r="M2926" s="4" t="n">
        <v>0</v>
      </c>
      <c r="N2926" s="3" t="n">
        <v>1010.89</v>
      </c>
      <c r="O2926" s="3">
        <f>K2926*L2926*(1-M2926)</f>
        <v/>
      </c>
      <c r="P2926" s="3">
        <f>O2926-N2926</f>
        <v/>
      </c>
      <c r="Q2926" s="5">
        <f>IFERROR(P2926/O2926,0)</f>
        <v/>
      </c>
      <c r="R2926" s="2">
        <f>TEXT(DATEVALUE(B2926),"mmm")</f>
        <v/>
      </c>
      <c r="S2926" s="2">
        <f>TEXT(DATEVALUE(B2926),"yyyy-mm")</f>
        <v/>
      </c>
    </row>
    <row r="2927">
      <c r="A2927" s="2" t="inlineStr">
        <is>
          <t>O003685</t>
        </is>
      </c>
      <c r="B2927" s="2" t="inlineStr">
        <is>
          <t>2025-08-02</t>
        </is>
      </c>
      <c r="C2927" s="2" t="inlineStr">
        <is>
          <t>C0280</t>
        </is>
      </c>
      <c r="D2927" s="2" t="inlineStr">
        <is>
          <t>P0007</t>
        </is>
      </c>
      <c r="E2927" s="2" t="inlineStr">
        <is>
          <t>Wireless Mouse</t>
        </is>
      </c>
      <c r="F2927" s="2" t="inlineStr">
        <is>
          <t>Electronics</t>
        </is>
      </c>
      <c r="G2927" s="2" t="inlineStr">
        <is>
          <t>South</t>
        </is>
      </c>
      <c r="H2927" s="2" t="inlineStr">
        <is>
          <t>Karnataka</t>
        </is>
      </c>
      <c r="I2927" s="2" t="inlineStr">
        <is>
          <t>Bengaluru</t>
        </is>
      </c>
      <c r="J2927" s="2" t="inlineStr">
        <is>
          <t>Store</t>
        </is>
      </c>
      <c r="K2927" s="2" t="n">
        <v>3</v>
      </c>
      <c r="L2927" s="3" t="n">
        <v>964.8200000000001</v>
      </c>
      <c r="M2927" s="4" t="n">
        <v>0</v>
      </c>
      <c r="N2927" s="3" t="n">
        <v>1907.89</v>
      </c>
      <c r="O2927" s="3">
        <f>K2927*L2927*(1-M2927)</f>
        <v/>
      </c>
      <c r="P2927" s="3">
        <f>O2927-N2927</f>
        <v/>
      </c>
      <c r="Q2927" s="5">
        <f>IFERROR(P2927/O2927,0)</f>
        <v/>
      </c>
      <c r="R2927" s="2">
        <f>TEXT(DATEVALUE(B2927),"mmm")</f>
        <v/>
      </c>
      <c r="S2927" s="2">
        <f>TEXT(DATEVALUE(B2927),"yyyy-mm")</f>
        <v/>
      </c>
    </row>
    <row r="2928">
      <c r="A2928" s="2" t="inlineStr">
        <is>
          <t>O003645</t>
        </is>
      </c>
      <c r="B2928" s="2" t="inlineStr">
        <is>
          <t>2025-08-02</t>
        </is>
      </c>
      <c r="C2928" s="2" t="inlineStr">
        <is>
          <t>C0228</t>
        </is>
      </c>
      <c r="D2928" s="2" t="inlineStr">
        <is>
          <t>P0022</t>
        </is>
      </c>
      <c r="E2928" s="2" t="inlineStr">
        <is>
          <t>Face Wash</t>
        </is>
      </c>
      <c r="F2928" s="2" t="inlineStr">
        <is>
          <t>Beauty</t>
        </is>
      </c>
      <c r="G2928" s="2" t="inlineStr">
        <is>
          <t>North</t>
        </is>
      </c>
      <c r="H2928" s="2" t="inlineStr">
        <is>
          <t>Delhi</t>
        </is>
      </c>
      <c r="I2928" s="2" t="inlineStr">
        <is>
          <t>New Delhi</t>
        </is>
      </c>
      <c r="J2928" s="2" t="inlineStr">
        <is>
          <t>Online</t>
        </is>
      </c>
      <c r="K2928" s="2" t="n">
        <v>1</v>
      </c>
      <c r="L2928" s="3" t="n">
        <v>551.4400000000001</v>
      </c>
      <c r="M2928" s="4" t="n">
        <v>0.25</v>
      </c>
      <c r="N2928" s="3" t="n">
        <v>346.3</v>
      </c>
      <c r="O2928" s="3">
        <f>K2928*L2928*(1-M2928)</f>
        <v/>
      </c>
      <c r="P2928" s="3">
        <f>O2928-N2928</f>
        <v/>
      </c>
      <c r="Q2928" s="5">
        <f>IFERROR(P2928/O2928,0)</f>
        <v/>
      </c>
      <c r="R2928" s="2">
        <f>TEXT(DATEVALUE(B2928),"mmm")</f>
        <v/>
      </c>
      <c r="S2928" s="2">
        <f>TEXT(DATEVALUE(B2928),"yyyy-mm")</f>
        <v/>
      </c>
    </row>
    <row r="2929">
      <c r="A2929" s="2" t="inlineStr">
        <is>
          <t>O003550</t>
        </is>
      </c>
      <c r="B2929" s="2" t="inlineStr">
        <is>
          <t>2025-08-02</t>
        </is>
      </c>
      <c r="C2929" s="2" t="inlineStr">
        <is>
          <t>C0207</t>
        </is>
      </c>
      <c r="D2929" s="2" t="inlineStr">
        <is>
          <t>P0017</t>
        </is>
      </c>
      <c r="E2929" s="2" t="inlineStr">
        <is>
          <t>Jeans</t>
        </is>
      </c>
      <c r="F2929" s="2" t="inlineStr">
        <is>
          <t>Fashion</t>
        </is>
      </c>
      <c r="G2929" s="2" t="inlineStr">
        <is>
          <t>North</t>
        </is>
      </c>
      <c r="H2929" s="2" t="inlineStr">
        <is>
          <t>Haryana</t>
        </is>
      </c>
      <c r="I2929" s="2" t="inlineStr">
        <is>
          <t>Faridabad</t>
        </is>
      </c>
      <c r="J2929" s="2" t="inlineStr">
        <is>
          <t>Online</t>
        </is>
      </c>
      <c r="K2929" s="2" t="n">
        <v>1</v>
      </c>
      <c r="L2929" s="3" t="n">
        <v>1450.17</v>
      </c>
      <c r="M2929" s="4" t="n">
        <v>0.05</v>
      </c>
      <c r="N2929" s="3" t="n">
        <v>989.67</v>
      </c>
      <c r="O2929" s="3">
        <f>K2929*L2929*(1-M2929)</f>
        <v/>
      </c>
      <c r="P2929" s="3">
        <f>O2929-N2929</f>
        <v/>
      </c>
      <c r="Q2929" s="5">
        <f>IFERROR(P2929/O2929,0)</f>
        <v/>
      </c>
      <c r="R2929" s="2">
        <f>TEXT(DATEVALUE(B2929),"mmm")</f>
        <v/>
      </c>
      <c r="S2929" s="2">
        <f>TEXT(DATEVALUE(B2929),"yyyy-mm")</f>
        <v/>
      </c>
    </row>
    <row r="2930">
      <c r="A2930" s="2" t="inlineStr">
        <is>
          <t>O004548</t>
        </is>
      </c>
      <c r="B2930" s="2" t="inlineStr">
        <is>
          <t>2025-08-02</t>
        </is>
      </c>
      <c r="C2930" s="2" t="inlineStr">
        <is>
          <t>C0422</t>
        </is>
      </c>
      <c r="D2930" s="2" t="inlineStr">
        <is>
          <t>P0007</t>
        </is>
      </c>
      <c r="E2930" s="2" t="inlineStr">
        <is>
          <t>Wireless Mouse</t>
        </is>
      </c>
      <c r="F2930" s="2" t="inlineStr">
        <is>
          <t>Electronics</t>
        </is>
      </c>
      <c r="G2930" s="2" t="inlineStr">
        <is>
          <t>North</t>
        </is>
      </c>
      <c r="H2930" s="2" t="inlineStr">
        <is>
          <t>Delhi</t>
        </is>
      </c>
      <c r="I2930" s="2" t="inlineStr">
        <is>
          <t>New Delhi</t>
        </is>
      </c>
      <c r="J2930" s="2" t="inlineStr">
        <is>
          <t>Online</t>
        </is>
      </c>
      <c r="K2930" s="2" t="n">
        <v>3</v>
      </c>
      <c r="L2930" s="3" t="n">
        <v>1000.82</v>
      </c>
      <c r="M2930" s="4" t="n">
        <v>0.15</v>
      </c>
      <c r="N2930" s="3" t="n">
        <v>1925.19</v>
      </c>
      <c r="O2930" s="3">
        <f>K2930*L2930*(1-M2930)</f>
        <v/>
      </c>
      <c r="P2930" s="3">
        <f>O2930-N2930</f>
        <v/>
      </c>
      <c r="Q2930" s="5">
        <f>IFERROR(P2930/O2930,0)</f>
        <v/>
      </c>
      <c r="R2930" s="2">
        <f>TEXT(DATEVALUE(B2930),"mmm")</f>
        <v/>
      </c>
      <c r="S2930" s="2">
        <f>TEXT(DATEVALUE(B2930),"yyyy-mm")</f>
        <v/>
      </c>
    </row>
    <row r="2931">
      <c r="A2931" s="2" t="inlineStr">
        <is>
          <t>O003218</t>
        </is>
      </c>
      <c r="B2931" s="2" t="inlineStr">
        <is>
          <t>2025-08-02</t>
        </is>
      </c>
      <c r="C2931" s="2" t="inlineStr">
        <is>
          <t>C0705</t>
        </is>
      </c>
      <c r="D2931" s="2" t="inlineStr">
        <is>
          <t>P0004</t>
        </is>
      </c>
      <c r="E2931" s="2" t="inlineStr">
        <is>
          <t>USB-C Hub</t>
        </is>
      </c>
      <c r="F2931" s="2" t="inlineStr">
        <is>
          <t>Electronics</t>
        </is>
      </c>
      <c r="G2931" s="2" t="inlineStr">
        <is>
          <t>East</t>
        </is>
      </c>
      <c r="H2931" s="2" t="inlineStr">
        <is>
          <t>Odisha</t>
        </is>
      </c>
      <c r="I2931" s="2" t="inlineStr">
        <is>
          <t>Cuttack</t>
        </is>
      </c>
      <c r="J2931" s="2" t="inlineStr">
        <is>
          <t>Store</t>
        </is>
      </c>
      <c r="K2931" s="2" t="n">
        <v>1</v>
      </c>
      <c r="L2931" s="3" t="n">
        <v>1270.85</v>
      </c>
      <c r="M2931" s="4" t="n">
        <v>0.05</v>
      </c>
      <c r="N2931" s="3" t="n">
        <v>938.16</v>
      </c>
      <c r="O2931" s="3">
        <f>K2931*L2931*(1-M2931)</f>
        <v/>
      </c>
      <c r="P2931" s="3">
        <f>O2931-N2931</f>
        <v/>
      </c>
      <c r="Q2931" s="5">
        <f>IFERROR(P2931/O2931,0)</f>
        <v/>
      </c>
      <c r="R2931" s="2">
        <f>TEXT(DATEVALUE(B2931),"mmm")</f>
        <v/>
      </c>
      <c r="S2931" s="2">
        <f>TEXT(DATEVALUE(B2931),"yyyy-mm")</f>
        <v/>
      </c>
    </row>
    <row r="2932">
      <c r="A2932" s="2" t="inlineStr">
        <is>
          <t>O002937</t>
        </is>
      </c>
      <c r="B2932" s="2" t="inlineStr">
        <is>
          <t>2025-08-02</t>
        </is>
      </c>
      <c r="C2932" s="2" t="inlineStr">
        <is>
          <t>C0371</t>
        </is>
      </c>
      <c r="D2932" s="2" t="inlineStr">
        <is>
          <t>P0023</t>
        </is>
      </c>
      <c r="E2932" s="2" t="inlineStr">
        <is>
          <t>Skin Care Kit</t>
        </is>
      </c>
      <c r="F2932" s="2" t="inlineStr">
        <is>
          <t>Beauty</t>
        </is>
      </c>
      <c r="G2932" s="2" t="inlineStr">
        <is>
          <t>East</t>
        </is>
      </c>
      <c r="H2932" s="2" t="inlineStr">
        <is>
          <t>West Bengal</t>
        </is>
      </c>
      <c r="I2932" s="2" t="inlineStr">
        <is>
          <t>Kolkata</t>
        </is>
      </c>
      <c r="J2932" s="2" t="inlineStr">
        <is>
          <t>Store</t>
        </is>
      </c>
      <c r="K2932" s="2" t="n">
        <v>4</v>
      </c>
      <c r="L2932" s="3" t="n">
        <v>1420.68</v>
      </c>
      <c r="M2932" s="4" t="n">
        <v>0</v>
      </c>
      <c r="N2932" s="3" t="n">
        <v>3455.11</v>
      </c>
      <c r="O2932" s="3">
        <f>K2932*L2932*(1-M2932)</f>
        <v/>
      </c>
      <c r="P2932" s="3">
        <f>O2932-N2932</f>
        <v/>
      </c>
      <c r="Q2932" s="5">
        <f>IFERROR(P2932/O2932,0)</f>
        <v/>
      </c>
      <c r="R2932" s="2">
        <f>TEXT(DATEVALUE(B2932),"mmm")</f>
        <v/>
      </c>
      <c r="S2932" s="2">
        <f>TEXT(DATEVALUE(B2932),"yyyy-mm")</f>
        <v/>
      </c>
    </row>
    <row r="2933">
      <c r="A2933" s="2" t="inlineStr">
        <is>
          <t>O000123</t>
        </is>
      </c>
      <c r="B2933" s="2" t="inlineStr">
        <is>
          <t>2025-08-02</t>
        </is>
      </c>
      <c r="C2933" s="2" t="inlineStr">
        <is>
          <t>C0761</t>
        </is>
      </c>
      <c r="D2933" s="2" t="inlineStr">
        <is>
          <t>P0007</t>
        </is>
      </c>
      <c r="E2933" s="2" t="inlineStr">
        <is>
          <t>Wireless Mouse</t>
        </is>
      </c>
      <c r="F2933" s="2" t="inlineStr">
        <is>
          <t>Electronics</t>
        </is>
      </c>
      <c r="G2933" s="2" t="inlineStr">
        <is>
          <t>North</t>
        </is>
      </c>
      <c r="H2933" s="2" t="inlineStr">
        <is>
          <t>Uttar Pradesh</t>
        </is>
      </c>
      <c r="I2933" s="2" t="inlineStr">
        <is>
          <t>Noida</t>
        </is>
      </c>
      <c r="J2933" s="2" t="inlineStr">
        <is>
          <t>Online</t>
        </is>
      </c>
      <c r="K2933" s="2" t="n">
        <v>2</v>
      </c>
      <c r="L2933" s="3" t="n">
        <v>973.86</v>
      </c>
      <c r="M2933" s="4" t="n">
        <v>0.15</v>
      </c>
      <c r="N2933" s="3" t="n">
        <v>1288.34</v>
      </c>
      <c r="O2933" s="3">
        <f>K2933*L2933*(1-M2933)</f>
        <v/>
      </c>
      <c r="P2933" s="3">
        <f>O2933-N2933</f>
        <v/>
      </c>
      <c r="Q2933" s="5">
        <f>IFERROR(P2933/O2933,0)</f>
        <v/>
      </c>
      <c r="R2933" s="2">
        <f>TEXT(DATEVALUE(B2933),"mmm")</f>
        <v/>
      </c>
      <c r="S2933" s="2">
        <f>TEXT(DATEVALUE(B2933),"yyyy-mm")</f>
        <v/>
      </c>
    </row>
    <row r="2934">
      <c r="A2934" s="2" t="inlineStr">
        <is>
          <t>O000864</t>
        </is>
      </c>
      <c r="B2934" s="2" t="inlineStr">
        <is>
          <t>2025-08-02</t>
        </is>
      </c>
      <c r="C2934" s="2" t="inlineStr">
        <is>
          <t>C0597</t>
        </is>
      </c>
      <c r="D2934" s="2" t="inlineStr">
        <is>
          <t>P0032</t>
        </is>
      </c>
      <c r="E2934" s="2" t="inlineStr">
        <is>
          <t>Football</t>
        </is>
      </c>
      <c r="F2934" s="2" t="inlineStr">
        <is>
          <t>Sports</t>
        </is>
      </c>
      <c r="G2934" s="2" t="inlineStr">
        <is>
          <t>West</t>
        </is>
      </c>
      <c r="H2934" s="2" t="inlineStr">
        <is>
          <t>Gujarat</t>
        </is>
      </c>
      <c r="I2934" s="2" t="inlineStr">
        <is>
          <t>Surat</t>
        </is>
      </c>
      <c r="J2934" s="2" t="inlineStr">
        <is>
          <t>Online</t>
        </is>
      </c>
      <c r="K2934" s="2" t="n">
        <v>1</v>
      </c>
      <c r="L2934" s="3" t="n">
        <v>833.66</v>
      </c>
      <c r="M2934" s="4" t="n">
        <v>0.1</v>
      </c>
      <c r="N2934" s="3" t="n">
        <v>545.02</v>
      </c>
      <c r="O2934" s="3">
        <f>K2934*L2934*(1-M2934)</f>
        <v/>
      </c>
      <c r="P2934" s="3">
        <f>O2934-N2934</f>
        <v/>
      </c>
      <c r="Q2934" s="5">
        <f>IFERROR(P2934/O2934,0)</f>
        <v/>
      </c>
      <c r="R2934" s="2">
        <f>TEXT(DATEVALUE(B2934),"mmm")</f>
        <v/>
      </c>
      <c r="S2934" s="2">
        <f>TEXT(DATEVALUE(B2934),"yyyy-mm")</f>
        <v/>
      </c>
    </row>
    <row r="2935">
      <c r="A2935" s="2" t="inlineStr">
        <is>
          <t>O000885</t>
        </is>
      </c>
      <c r="B2935" s="2" t="inlineStr">
        <is>
          <t>2025-08-02</t>
        </is>
      </c>
      <c r="C2935" s="2" t="inlineStr">
        <is>
          <t>C0237</t>
        </is>
      </c>
      <c r="D2935" s="2" t="inlineStr">
        <is>
          <t>P0009</t>
        </is>
      </c>
      <c r="E2935" s="2" t="inlineStr">
        <is>
          <t>Electric Kettle</t>
        </is>
      </c>
      <c r="F2935" s="2" t="inlineStr">
        <is>
          <t>Home &amp; Kitchen</t>
        </is>
      </c>
      <c r="G2935" s="2" t="inlineStr">
        <is>
          <t>West</t>
        </is>
      </c>
      <c r="H2935" s="2" t="inlineStr">
        <is>
          <t>Gujarat</t>
        </is>
      </c>
      <c r="I2935" s="2" t="inlineStr">
        <is>
          <t>Ahmedabad</t>
        </is>
      </c>
      <c r="J2935" s="2" t="inlineStr">
        <is>
          <t>Online</t>
        </is>
      </c>
      <c r="K2935" s="2" t="n">
        <v>2</v>
      </c>
      <c r="L2935" s="3" t="n">
        <v>2020.8</v>
      </c>
      <c r="M2935" s="4" t="n">
        <v>0.05</v>
      </c>
      <c r="N2935" s="3" t="n">
        <v>2264.42</v>
      </c>
      <c r="O2935" s="3">
        <f>K2935*L2935*(1-M2935)</f>
        <v/>
      </c>
      <c r="P2935" s="3">
        <f>O2935-N2935</f>
        <v/>
      </c>
      <c r="Q2935" s="5">
        <f>IFERROR(P2935/O2935,0)</f>
        <v/>
      </c>
      <c r="R2935" s="2">
        <f>TEXT(DATEVALUE(B2935),"mmm")</f>
        <v/>
      </c>
      <c r="S2935" s="2">
        <f>TEXT(DATEVALUE(B2935),"yyyy-mm")</f>
        <v/>
      </c>
    </row>
    <row r="2936">
      <c r="A2936" s="2" t="inlineStr">
        <is>
          <t>O001156</t>
        </is>
      </c>
      <c r="B2936" s="2" t="inlineStr">
        <is>
          <t>2025-08-02</t>
        </is>
      </c>
      <c r="C2936" s="2" t="inlineStr">
        <is>
          <t>C0471</t>
        </is>
      </c>
      <c r="D2936" s="2" t="inlineStr">
        <is>
          <t>P0004</t>
        </is>
      </c>
      <c r="E2936" s="2" t="inlineStr">
        <is>
          <t>USB-C Hub</t>
        </is>
      </c>
      <c r="F2936" s="2" t="inlineStr">
        <is>
          <t>Electronics</t>
        </is>
      </c>
      <c r="G2936" s="2" t="inlineStr">
        <is>
          <t>West</t>
        </is>
      </c>
      <c r="H2936" s="2" t="inlineStr">
        <is>
          <t>Goa</t>
        </is>
      </c>
      <c r="I2936" s="2" t="inlineStr">
        <is>
          <t>Margao</t>
        </is>
      </c>
      <c r="J2936" s="2" t="inlineStr">
        <is>
          <t>Online</t>
        </is>
      </c>
      <c r="K2936" s="2" t="n">
        <v>2</v>
      </c>
      <c r="L2936" s="3" t="n">
        <v>1247.12</v>
      </c>
      <c r="M2936" s="4" t="n">
        <v>0</v>
      </c>
      <c r="N2936" s="3" t="n">
        <v>1890.76</v>
      </c>
      <c r="O2936" s="3">
        <f>K2936*L2936*(1-M2936)</f>
        <v/>
      </c>
      <c r="P2936" s="3">
        <f>O2936-N2936</f>
        <v/>
      </c>
      <c r="Q2936" s="5">
        <f>IFERROR(P2936/O2936,0)</f>
        <v/>
      </c>
      <c r="R2936" s="2">
        <f>TEXT(DATEVALUE(B2936),"mmm")</f>
        <v/>
      </c>
      <c r="S2936" s="2">
        <f>TEXT(DATEVALUE(B2936),"yyyy-mm")</f>
        <v/>
      </c>
    </row>
    <row r="2937">
      <c r="A2937" s="2" t="inlineStr">
        <is>
          <t>O002942</t>
        </is>
      </c>
      <c r="B2937" s="2" t="inlineStr">
        <is>
          <t>2025-08-02</t>
        </is>
      </c>
      <c r="C2937" s="2" t="inlineStr">
        <is>
          <t>C0503</t>
        </is>
      </c>
      <c r="D2937" s="2" t="inlineStr">
        <is>
          <t>P0003</t>
        </is>
      </c>
      <c r="E2937" s="2" t="inlineStr">
        <is>
          <t>Smartwatch</t>
        </is>
      </c>
      <c r="F2937" s="2" t="inlineStr">
        <is>
          <t>Electronics</t>
        </is>
      </c>
      <c r="G2937" s="2" t="inlineStr">
        <is>
          <t>West</t>
        </is>
      </c>
      <c r="H2937" s="2" t="inlineStr">
        <is>
          <t>Goa</t>
        </is>
      </c>
      <c r="I2937" s="2" t="inlineStr">
        <is>
          <t>Panaji</t>
        </is>
      </c>
      <c r="J2937" s="2" t="inlineStr">
        <is>
          <t>Store</t>
        </is>
      </c>
      <c r="K2937" s="2" t="n">
        <v>5</v>
      </c>
      <c r="L2937" s="3" t="n">
        <v>2329.25</v>
      </c>
      <c r="M2937" s="4" t="n">
        <v>0.1</v>
      </c>
      <c r="N2937" s="3" t="n">
        <v>6069.14</v>
      </c>
      <c r="O2937" s="3">
        <f>K2937*L2937*(1-M2937)</f>
        <v/>
      </c>
      <c r="P2937" s="3">
        <f>O2937-N2937</f>
        <v/>
      </c>
      <c r="Q2937" s="5">
        <f>IFERROR(P2937/O2937,0)</f>
        <v/>
      </c>
      <c r="R2937" s="2">
        <f>TEXT(DATEVALUE(B2937),"mmm")</f>
        <v/>
      </c>
      <c r="S2937" s="2">
        <f>TEXT(DATEVALUE(B2937),"yyyy-mm")</f>
        <v/>
      </c>
    </row>
    <row r="2938">
      <c r="A2938" s="2" t="inlineStr">
        <is>
          <t>O001808</t>
        </is>
      </c>
      <c r="B2938" s="2" t="inlineStr">
        <is>
          <t>2025-08-02</t>
        </is>
      </c>
      <c r="C2938" s="2" t="inlineStr">
        <is>
          <t>C0434</t>
        </is>
      </c>
      <c r="D2938" s="2" t="inlineStr">
        <is>
          <t>P0013</t>
        </is>
      </c>
      <c r="E2938" s="2" t="inlineStr">
        <is>
          <t>Storage Organizer</t>
        </is>
      </c>
      <c r="F2938" s="2" t="inlineStr">
        <is>
          <t>Home &amp; Kitchen</t>
        </is>
      </c>
      <c r="G2938" s="2" t="inlineStr">
        <is>
          <t>East</t>
        </is>
      </c>
      <c r="H2938" s="2" t="inlineStr">
        <is>
          <t>Bihar</t>
        </is>
      </c>
      <c r="I2938" s="2" t="inlineStr">
        <is>
          <t>Gaya</t>
        </is>
      </c>
      <c r="J2938" s="2" t="inlineStr">
        <is>
          <t>Online</t>
        </is>
      </c>
      <c r="K2938" s="2" t="n">
        <v>1</v>
      </c>
      <c r="L2938" s="3" t="n">
        <v>586.22</v>
      </c>
      <c r="M2938" s="4" t="n">
        <v>0.05</v>
      </c>
      <c r="N2938" s="3" t="n">
        <v>363.43</v>
      </c>
      <c r="O2938" s="3">
        <f>K2938*L2938*(1-M2938)</f>
        <v/>
      </c>
      <c r="P2938" s="3">
        <f>O2938-N2938</f>
        <v/>
      </c>
      <c r="Q2938" s="5">
        <f>IFERROR(P2938/O2938,0)</f>
        <v/>
      </c>
      <c r="R2938" s="2">
        <f>TEXT(DATEVALUE(B2938),"mmm")</f>
        <v/>
      </c>
      <c r="S2938" s="2">
        <f>TEXT(DATEVALUE(B2938),"yyyy-mm")</f>
        <v/>
      </c>
    </row>
    <row r="2939">
      <c r="A2939" s="2" t="inlineStr">
        <is>
          <t>O002201</t>
        </is>
      </c>
      <c r="B2939" s="2" t="inlineStr">
        <is>
          <t>2025-08-02</t>
        </is>
      </c>
      <c r="C2939" s="2" t="inlineStr">
        <is>
          <t>C0428</t>
        </is>
      </c>
      <c r="D2939" s="2" t="inlineStr">
        <is>
          <t>P0007</t>
        </is>
      </c>
      <c r="E2939" s="2" t="inlineStr">
        <is>
          <t>Wireless Mouse</t>
        </is>
      </c>
      <c r="F2939" s="2" t="inlineStr">
        <is>
          <t>Electronics</t>
        </is>
      </c>
      <c r="G2939" s="2" t="inlineStr">
        <is>
          <t>South</t>
        </is>
      </c>
      <c r="H2939" s="2" t="inlineStr">
        <is>
          <t>Telangana</t>
        </is>
      </c>
      <c r="I2939" s="2" t="inlineStr">
        <is>
          <t>Warangal</t>
        </is>
      </c>
      <c r="J2939" s="2" t="inlineStr">
        <is>
          <t>Online</t>
        </is>
      </c>
      <c r="K2939" s="2" t="n">
        <v>2</v>
      </c>
      <c r="L2939" s="3" t="n">
        <v>941.1799999999999</v>
      </c>
      <c r="M2939" s="4" t="n">
        <v>0</v>
      </c>
      <c r="N2939" s="3" t="n">
        <v>1245.96</v>
      </c>
      <c r="O2939" s="3">
        <f>K2939*L2939*(1-M2939)</f>
        <v/>
      </c>
      <c r="P2939" s="3">
        <f>O2939-N2939</f>
        <v/>
      </c>
      <c r="Q2939" s="5">
        <f>IFERROR(P2939/O2939,0)</f>
        <v/>
      </c>
      <c r="R2939" s="2">
        <f>TEXT(DATEVALUE(B2939),"mmm")</f>
        <v/>
      </c>
      <c r="S2939" s="2">
        <f>TEXT(DATEVALUE(B2939),"yyyy-mm")</f>
        <v/>
      </c>
    </row>
    <row r="2940">
      <c r="A2940" s="2" t="inlineStr">
        <is>
          <t>O002535</t>
        </is>
      </c>
      <c r="B2940" s="2" t="inlineStr">
        <is>
          <t>2025-08-02</t>
        </is>
      </c>
      <c r="C2940" s="2" t="inlineStr">
        <is>
          <t>C0568</t>
        </is>
      </c>
      <c r="D2940" s="2" t="inlineStr">
        <is>
          <t>P0019</t>
        </is>
      </c>
      <c r="E2940" s="2" t="inlineStr">
        <is>
          <t>Jacket</t>
        </is>
      </c>
      <c r="F2940" s="2" t="inlineStr">
        <is>
          <t>Fashion</t>
        </is>
      </c>
      <c r="G2940" s="2" t="inlineStr">
        <is>
          <t>South</t>
        </is>
      </c>
      <c r="H2940" s="2" t="inlineStr">
        <is>
          <t>Kerala</t>
        </is>
      </c>
      <c r="I2940" s="2" t="inlineStr">
        <is>
          <t>Thiruvananthapuram</t>
        </is>
      </c>
      <c r="J2940" s="2" t="inlineStr">
        <is>
          <t>Online</t>
        </is>
      </c>
      <c r="K2940" s="2" t="n">
        <v>4</v>
      </c>
      <c r="L2940" s="3" t="n">
        <v>1026.75</v>
      </c>
      <c r="M2940" s="4" t="n">
        <v>0</v>
      </c>
      <c r="N2940" s="3" t="n">
        <v>2728.86</v>
      </c>
      <c r="O2940" s="3">
        <f>K2940*L2940*(1-M2940)</f>
        <v/>
      </c>
      <c r="P2940" s="3">
        <f>O2940-N2940</f>
        <v/>
      </c>
      <c r="Q2940" s="5">
        <f>IFERROR(P2940/O2940,0)</f>
        <v/>
      </c>
      <c r="R2940" s="2">
        <f>TEXT(DATEVALUE(B2940),"mmm")</f>
        <v/>
      </c>
      <c r="S2940" s="2">
        <f>TEXT(DATEVALUE(B2940),"yyyy-mm")</f>
        <v/>
      </c>
    </row>
    <row r="2941">
      <c r="A2941" s="2" t="inlineStr">
        <is>
          <t>O001787</t>
        </is>
      </c>
      <c r="B2941" s="2" t="inlineStr">
        <is>
          <t>2025-08-02</t>
        </is>
      </c>
      <c r="C2941" s="2" t="inlineStr">
        <is>
          <t>C0407</t>
        </is>
      </c>
      <c r="D2941" s="2" t="inlineStr">
        <is>
          <t>P0022</t>
        </is>
      </c>
      <c r="E2941" s="2" t="inlineStr">
        <is>
          <t>Face Wash</t>
        </is>
      </c>
      <c r="F2941" s="2" t="inlineStr">
        <is>
          <t>Beauty</t>
        </is>
      </c>
      <c r="G2941" s="2" t="inlineStr">
        <is>
          <t>South</t>
        </is>
      </c>
      <c r="H2941" s="2" t="inlineStr">
        <is>
          <t>Kerala</t>
        </is>
      </c>
      <c r="I2941" s="2" t="inlineStr">
        <is>
          <t>Thiruvananthapuram</t>
        </is>
      </c>
      <c r="J2941" s="2" t="inlineStr">
        <is>
          <t>Store</t>
        </is>
      </c>
      <c r="K2941" s="2" t="n">
        <v>1</v>
      </c>
      <c r="L2941" s="3" t="n">
        <v>540.13</v>
      </c>
      <c r="M2941" s="4" t="n">
        <v>0</v>
      </c>
      <c r="N2941" s="3" t="n">
        <v>349.16</v>
      </c>
      <c r="O2941" s="3">
        <f>K2941*L2941*(1-M2941)</f>
        <v/>
      </c>
      <c r="P2941" s="3">
        <f>O2941-N2941</f>
        <v/>
      </c>
      <c r="Q2941" s="5">
        <f>IFERROR(P2941/O2941,0)</f>
        <v/>
      </c>
      <c r="R2941" s="2">
        <f>TEXT(DATEVALUE(B2941),"mmm")</f>
        <v/>
      </c>
      <c r="S2941" s="2">
        <f>TEXT(DATEVALUE(B2941),"yyyy-mm")</f>
        <v/>
      </c>
    </row>
    <row r="2942">
      <c r="A2942" s="2" t="inlineStr">
        <is>
          <t>O001566</t>
        </is>
      </c>
      <c r="B2942" s="2" t="inlineStr">
        <is>
          <t>2025-08-03</t>
        </is>
      </c>
      <c r="C2942" s="2" t="inlineStr">
        <is>
          <t>C0385</t>
        </is>
      </c>
      <c r="D2942" s="2" t="inlineStr">
        <is>
          <t>P0007</t>
        </is>
      </c>
      <c r="E2942" s="2" t="inlineStr">
        <is>
          <t>Wireless Mouse</t>
        </is>
      </c>
      <c r="F2942" s="2" t="inlineStr">
        <is>
          <t>Electronics</t>
        </is>
      </c>
      <c r="G2942" s="2" t="inlineStr">
        <is>
          <t>West</t>
        </is>
      </c>
      <c r="H2942" s="2" t="inlineStr">
        <is>
          <t>Goa</t>
        </is>
      </c>
      <c r="I2942" s="2" t="inlineStr">
        <is>
          <t>Margao</t>
        </is>
      </c>
      <c r="J2942" s="2" t="inlineStr">
        <is>
          <t>Store</t>
        </is>
      </c>
      <c r="K2942" s="2" t="n">
        <v>5</v>
      </c>
      <c r="L2942" s="3" t="n">
        <v>999.01</v>
      </c>
      <c r="M2942" s="4" t="n">
        <v>0.05</v>
      </c>
      <c r="N2942" s="3" t="n">
        <v>3069.24</v>
      </c>
      <c r="O2942" s="3">
        <f>K2942*L2942*(1-M2942)</f>
        <v/>
      </c>
      <c r="P2942" s="3">
        <f>O2942-N2942</f>
        <v/>
      </c>
      <c r="Q2942" s="5">
        <f>IFERROR(P2942/O2942,0)</f>
        <v/>
      </c>
      <c r="R2942" s="2">
        <f>TEXT(DATEVALUE(B2942),"mmm")</f>
        <v/>
      </c>
      <c r="S2942" s="2">
        <f>TEXT(DATEVALUE(B2942),"yyyy-mm")</f>
        <v/>
      </c>
    </row>
    <row r="2943">
      <c r="A2943" s="2" t="inlineStr">
        <is>
          <t>O004731</t>
        </is>
      </c>
      <c r="B2943" s="2" t="inlineStr">
        <is>
          <t>2025-08-03</t>
        </is>
      </c>
      <c r="C2943" s="2" t="inlineStr">
        <is>
          <t>C0474</t>
        </is>
      </c>
      <c r="D2943" s="2" t="inlineStr">
        <is>
          <t>P0007</t>
        </is>
      </c>
      <c r="E2943" s="2" t="inlineStr">
        <is>
          <t>Wireless Mouse</t>
        </is>
      </c>
      <c r="F2943" s="2" t="inlineStr">
        <is>
          <t>Electronics</t>
        </is>
      </c>
      <c r="G2943" s="2" t="inlineStr">
        <is>
          <t>East</t>
        </is>
      </c>
      <c r="H2943" s="2" t="inlineStr">
        <is>
          <t>West Bengal</t>
        </is>
      </c>
      <c r="I2943" s="2" t="inlineStr">
        <is>
          <t>Durgapur</t>
        </is>
      </c>
      <c r="J2943" s="2" t="inlineStr">
        <is>
          <t>Store</t>
        </is>
      </c>
      <c r="K2943" s="2" t="n">
        <v>3</v>
      </c>
      <c r="L2943" s="3" t="n">
        <v>942.8</v>
      </c>
      <c r="M2943" s="4" t="n">
        <v>0</v>
      </c>
      <c r="N2943" s="3" t="n">
        <v>1833.12</v>
      </c>
      <c r="O2943" s="3">
        <f>K2943*L2943*(1-M2943)</f>
        <v/>
      </c>
      <c r="P2943" s="3">
        <f>O2943-N2943</f>
        <v/>
      </c>
      <c r="Q2943" s="5">
        <f>IFERROR(P2943/O2943,0)</f>
        <v/>
      </c>
      <c r="R2943" s="2">
        <f>TEXT(DATEVALUE(B2943),"mmm")</f>
        <v/>
      </c>
      <c r="S2943" s="2">
        <f>TEXT(DATEVALUE(B2943),"yyyy-mm")</f>
        <v/>
      </c>
    </row>
    <row r="2944">
      <c r="A2944" s="2" t="inlineStr">
        <is>
          <t>O004292</t>
        </is>
      </c>
      <c r="B2944" s="2" t="inlineStr">
        <is>
          <t>2025-08-03</t>
        </is>
      </c>
      <c r="C2944" s="2" t="inlineStr">
        <is>
          <t>C0221</t>
        </is>
      </c>
      <c r="D2944" s="2" t="inlineStr">
        <is>
          <t>P0018</t>
        </is>
      </c>
      <c r="E2944" s="2" t="inlineStr">
        <is>
          <t>Backpack</t>
        </is>
      </c>
      <c r="F2944" s="2" t="inlineStr">
        <is>
          <t>Fashion</t>
        </is>
      </c>
      <c r="G2944" s="2" t="inlineStr">
        <is>
          <t>West</t>
        </is>
      </c>
      <c r="H2944" s="2" t="inlineStr">
        <is>
          <t>Goa</t>
        </is>
      </c>
      <c r="I2944" s="2" t="inlineStr">
        <is>
          <t>Panaji</t>
        </is>
      </c>
      <c r="J2944" s="2" t="inlineStr">
        <is>
          <t>Online</t>
        </is>
      </c>
      <c r="K2944" s="2" t="n">
        <v>2</v>
      </c>
      <c r="L2944" s="3" t="n">
        <v>1798.79</v>
      </c>
      <c r="M2944" s="4" t="n">
        <v>0.15</v>
      </c>
      <c r="N2944" s="3" t="n">
        <v>2704.12</v>
      </c>
      <c r="O2944" s="3">
        <f>K2944*L2944*(1-M2944)</f>
        <v/>
      </c>
      <c r="P2944" s="3">
        <f>O2944-N2944</f>
        <v/>
      </c>
      <c r="Q2944" s="5">
        <f>IFERROR(P2944/O2944,0)</f>
        <v/>
      </c>
      <c r="R2944" s="2">
        <f>TEXT(DATEVALUE(B2944),"mmm")</f>
        <v/>
      </c>
      <c r="S2944" s="2">
        <f>TEXT(DATEVALUE(B2944),"yyyy-mm")</f>
        <v/>
      </c>
    </row>
    <row r="2945">
      <c r="A2945" s="2" t="inlineStr">
        <is>
          <t>O004290</t>
        </is>
      </c>
      <c r="B2945" s="2" t="inlineStr">
        <is>
          <t>2025-08-03</t>
        </is>
      </c>
      <c r="C2945" s="2" t="inlineStr">
        <is>
          <t>C0407</t>
        </is>
      </c>
      <c r="D2945" s="2" t="inlineStr">
        <is>
          <t>P0005</t>
        </is>
      </c>
      <c r="E2945" s="2" t="inlineStr">
        <is>
          <t>Power Bank</t>
        </is>
      </c>
      <c r="F2945" s="2" t="inlineStr">
        <is>
          <t>Electronics</t>
        </is>
      </c>
      <c r="G2945" s="2" t="inlineStr">
        <is>
          <t>South</t>
        </is>
      </c>
      <c r="H2945" s="2" t="inlineStr">
        <is>
          <t>Karnataka</t>
        </is>
      </c>
      <c r="I2945" s="2" t="inlineStr">
        <is>
          <t>Bengaluru</t>
        </is>
      </c>
      <c r="J2945" s="2" t="inlineStr">
        <is>
          <t>Online</t>
        </is>
      </c>
      <c r="K2945" s="2" t="n">
        <v>1</v>
      </c>
      <c r="L2945" s="3" t="n">
        <v>1160.98</v>
      </c>
      <c r="M2945" s="4" t="n">
        <v>0.2</v>
      </c>
      <c r="N2945" s="3" t="n">
        <v>674.84</v>
      </c>
      <c r="O2945" s="3">
        <f>K2945*L2945*(1-M2945)</f>
        <v/>
      </c>
      <c r="P2945" s="3">
        <f>O2945-N2945</f>
        <v/>
      </c>
      <c r="Q2945" s="5">
        <f>IFERROR(P2945/O2945,0)</f>
        <v/>
      </c>
      <c r="R2945" s="2">
        <f>TEXT(DATEVALUE(B2945),"mmm")</f>
        <v/>
      </c>
      <c r="S2945" s="2">
        <f>TEXT(DATEVALUE(B2945),"yyyy-mm")</f>
        <v/>
      </c>
    </row>
    <row r="2946">
      <c r="A2946" s="2" t="inlineStr">
        <is>
          <t>O003627</t>
        </is>
      </c>
      <c r="B2946" s="2" t="inlineStr">
        <is>
          <t>2025-08-03</t>
        </is>
      </c>
      <c r="C2946" s="2" t="inlineStr">
        <is>
          <t>C0428</t>
        </is>
      </c>
      <c r="D2946" s="2" t="inlineStr">
        <is>
          <t>P0021</t>
        </is>
      </c>
      <c r="E2946" s="2" t="inlineStr">
        <is>
          <t>Wallet</t>
        </is>
      </c>
      <c r="F2946" s="2" t="inlineStr">
        <is>
          <t>Fashion</t>
        </is>
      </c>
      <c r="G2946" s="2" t="inlineStr">
        <is>
          <t>East</t>
        </is>
      </c>
      <c r="H2946" s="2" t="inlineStr">
        <is>
          <t>Odisha</t>
        </is>
      </c>
      <c r="I2946" s="2" t="inlineStr">
        <is>
          <t>Bhubaneswar</t>
        </is>
      </c>
      <c r="J2946" s="2" t="inlineStr">
        <is>
          <t>Store</t>
        </is>
      </c>
      <c r="K2946" s="2" t="n">
        <v>6</v>
      </c>
      <c r="L2946" s="3" t="n">
        <v>2075.83</v>
      </c>
      <c r="M2946" s="4" t="n">
        <v>0.05</v>
      </c>
      <c r="N2946" s="3" t="n">
        <v>7108.38</v>
      </c>
      <c r="O2946" s="3">
        <f>K2946*L2946*(1-M2946)</f>
        <v/>
      </c>
      <c r="P2946" s="3">
        <f>O2946-N2946</f>
        <v/>
      </c>
      <c r="Q2946" s="5">
        <f>IFERROR(P2946/O2946,0)</f>
        <v/>
      </c>
      <c r="R2946" s="2">
        <f>TEXT(DATEVALUE(B2946),"mmm")</f>
        <v/>
      </c>
      <c r="S2946" s="2">
        <f>TEXT(DATEVALUE(B2946),"yyyy-mm")</f>
        <v/>
      </c>
    </row>
    <row r="2947">
      <c r="A2947" s="2" t="inlineStr">
        <is>
          <t>O003295</t>
        </is>
      </c>
      <c r="B2947" s="2" t="inlineStr">
        <is>
          <t>2025-08-03</t>
        </is>
      </c>
      <c r="C2947" s="2" t="inlineStr">
        <is>
          <t>C0456</t>
        </is>
      </c>
      <c r="D2947" s="2" t="inlineStr">
        <is>
          <t>P0026</t>
        </is>
      </c>
      <c r="E2947" s="2" t="inlineStr">
        <is>
          <t>Shampoo</t>
        </is>
      </c>
      <c r="F2947" s="2" t="inlineStr">
        <is>
          <t>Beauty</t>
        </is>
      </c>
      <c r="G2947" s="2" t="inlineStr">
        <is>
          <t>West</t>
        </is>
      </c>
      <c r="H2947" s="2" t="inlineStr">
        <is>
          <t>Goa</t>
        </is>
      </c>
      <c r="I2947" s="2" t="inlineStr">
        <is>
          <t>Margao</t>
        </is>
      </c>
      <c r="J2947" s="2" t="inlineStr">
        <is>
          <t>Online</t>
        </is>
      </c>
      <c r="K2947" s="2" t="n">
        <v>3</v>
      </c>
      <c r="L2947" s="3" t="n">
        <v>902.79</v>
      </c>
      <c r="M2947" s="4" t="n">
        <v>0.05</v>
      </c>
      <c r="N2947" s="3" t="n">
        <v>1549.35</v>
      </c>
      <c r="O2947" s="3">
        <f>K2947*L2947*(1-M2947)</f>
        <v/>
      </c>
      <c r="P2947" s="3">
        <f>O2947-N2947</f>
        <v/>
      </c>
      <c r="Q2947" s="5">
        <f>IFERROR(P2947/O2947,0)</f>
        <v/>
      </c>
      <c r="R2947" s="2">
        <f>TEXT(DATEVALUE(B2947),"mmm")</f>
        <v/>
      </c>
      <c r="S2947" s="2">
        <f>TEXT(DATEVALUE(B2947),"yyyy-mm")</f>
        <v/>
      </c>
    </row>
    <row r="2948">
      <c r="A2948" s="2" t="inlineStr">
        <is>
          <t>O003118</t>
        </is>
      </c>
      <c r="B2948" s="2" t="inlineStr">
        <is>
          <t>2025-08-03</t>
        </is>
      </c>
      <c r="C2948" s="2" t="inlineStr">
        <is>
          <t>C0505</t>
        </is>
      </c>
      <c r="D2948" s="2" t="inlineStr">
        <is>
          <t>P0010</t>
        </is>
      </c>
      <c r="E2948" s="2" t="inlineStr">
        <is>
          <t>Mixer Grinder</t>
        </is>
      </c>
      <c r="F2948" s="2" t="inlineStr">
        <is>
          <t>Home &amp; Kitchen</t>
        </is>
      </c>
      <c r="G2948" s="2" t="inlineStr">
        <is>
          <t>West</t>
        </is>
      </c>
      <c r="H2948" s="2" t="inlineStr">
        <is>
          <t>Maharashtra</t>
        </is>
      </c>
      <c r="I2948" s="2" t="inlineStr">
        <is>
          <t>Nagpur</t>
        </is>
      </c>
      <c r="J2948" s="2" t="inlineStr">
        <is>
          <t>Online</t>
        </is>
      </c>
      <c r="K2948" s="2" t="n">
        <v>1</v>
      </c>
      <c r="L2948" s="3" t="n">
        <v>1591.81</v>
      </c>
      <c r="M2948" s="4" t="n">
        <v>0.1</v>
      </c>
      <c r="N2948" s="3" t="n">
        <v>1064.98</v>
      </c>
      <c r="O2948" s="3">
        <f>K2948*L2948*(1-M2948)</f>
        <v/>
      </c>
      <c r="P2948" s="3">
        <f>O2948-N2948</f>
        <v/>
      </c>
      <c r="Q2948" s="5">
        <f>IFERROR(P2948/O2948,0)</f>
        <v/>
      </c>
      <c r="R2948" s="2">
        <f>TEXT(DATEVALUE(B2948),"mmm")</f>
        <v/>
      </c>
      <c r="S2948" s="2">
        <f>TEXT(DATEVALUE(B2948),"yyyy-mm")</f>
        <v/>
      </c>
    </row>
    <row r="2949">
      <c r="A2949" s="2" t="inlineStr">
        <is>
          <t>O002297</t>
        </is>
      </c>
      <c r="B2949" s="2" t="inlineStr">
        <is>
          <t>2025-08-03</t>
        </is>
      </c>
      <c r="C2949" s="2" t="inlineStr">
        <is>
          <t>C0218</t>
        </is>
      </c>
      <c r="D2949" s="2" t="inlineStr">
        <is>
          <t>P0002</t>
        </is>
      </c>
      <c r="E2949" s="2" t="inlineStr">
        <is>
          <t>Bluetooth Speaker</t>
        </is>
      </c>
      <c r="F2949" s="2" t="inlineStr">
        <is>
          <t>Electronics</t>
        </is>
      </c>
      <c r="G2949" s="2" t="inlineStr">
        <is>
          <t>West</t>
        </is>
      </c>
      <c r="H2949" s="2" t="inlineStr">
        <is>
          <t>Goa</t>
        </is>
      </c>
      <c r="I2949" s="2" t="inlineStr">
        <is>
          <t>Panaji</t>
        </is>
      </c>
      <c r="J2949" s="2" t="inlineStr">
        <is>
          <t>Online</t>
        </is>
      </c>
      <c r="K2949" s="2" t="n">
        <v>1</v>
      </c>
      <c r="L2949" s="3" t="n">
        <v>1377.36</v>
      </c>
      <c r="M2949" s="4" t="n">
        <v>0.1</v>
      </c>
      <c r="N2949" s="3" t="n">
        <v>806</v>
      </c>
      <c r="O2949" s="3">
        <f>K2949*L2949*(1-M2949)</f>
        <v/>
      </c>
      <c r="P2949" s="3">
        <f>O2949-N2949</f>
        <v/>
      </c>
      <c r="Q2949" s="5">
        <f>IFERROR(P2949/O2949,0)</f>
        <v/>
      </c>
      <c r="R2949" s="2">
        <f>TEXT(DATEVALUE(B2949),"mmm")</f>
        <v/>
      </c>
      <c r="S2949" s="2">
        <f>TEXT(DATEVALUE(B2949),"yyyy-mm")</f>
        <v/>
      </c>
    </row>
    <row r="2950">
      <c r="A2950" s="2" t="inlineStr">
        <is>
          <t>O004951</t>
        </is>
      </c>
      <c r="B2950" s="2" t="inlineStr">
        <is>
          <t>2025-08-03</t>
        </is>
      </c>
      <c r="C2950" s="2" t="inlineStr">
        <is>
          <t>C0362</t>
        </is>
      </c>
      <c r="D2950" s="2" t="inlineStr">
        <is>
          <t>P0017</t>
        </is>
      </c>
      <c r="E2950" s="2" t="inlineStr">
        <is>
          <t>Jeans</t>
        </is>
      </c>
      <c r="F2950" s="2" t="inlineStr">
        <is>
          <t>Fashion</t>
        </is>
      </c>
      <c r="G2950" s="2" t="inlineStr">
        <is>
          <t>North</t>
        </is>
      </c>
      <c r="H2950" s="2" t="inlineStr">
        <is>
          <t>Haryana</t>
        </is>
      </c>
      <c r="I2950" s="2" t="inlineStr">
        <is>
          <t>Faridabad</t>
        </is>
      </c>
      <c r="J2950" s="2" t="inlineStr">
        <is>
          <t>Online</t>
        </is>
      </c>
      <c r="K2950" s="2" t="n">
        <v>2</v>
      </c>
      <c r="L2950" s="3" t="n">
        <v>1453.05</v>
      </c>
      <c r="M2950" s="4" t="n">
        <v>0.2</v>
      </c>
      <c r="N2950" s="3" t="n">
        <v>2121.29</v>
      </c>
      <c r="O2950" s="3">
        <f>K2950*L2950*(1-M2950)</f>
        <v/>
      </c>
      <c r="P2950" s="3">
        <f>O2950-N2950</f>
        <v/>
      </c>
      <c r="Q2950" s="5">
        <f>IFERROR(P2950/O2950,0)</f>
        <v/>
      </c>
      <c r="R2950" s="2">
        <f>TEXT(DATEVALUE(B2950),"mmm")</f>
        <v/>
      </c>
      <c r="S2950" s="2">
        <f>TEXT(DATEVALUE(B2950),"yyyy-mm")</f>
        <v/>
      </c>
    </row>
    <row r="2951">
      <c r="A2951" s="2" t="inlineStr">
        <is>
          <t>O001442</t>
        </is>
      </c>
      <c r="B2951" s="2" t="inlineStr">
        <is>
          <t>2025-08-03</t>
        </is>
      </c>
      <c r="C2951" s="2" t="inlineStr">
        <is>
          <t>C0563</t>
        </is>
      </c>
      <c r="D2951" s="2" t="inlineStr">
        <is>
          <t>P0004</t>
        </is>
      </c>
      <c r="E2951" s="2" t="inlineStr">
        <is>
          <t>USB-C Hub</t>
        </is>
      </c>
      <c r="F2951" s="2" t="inlineStr">
        <is>
          <t>Electronics</t>
        </is>
      </c>
      <c r="G2951" s="2" t="inlineStr">
        <is>
          <t>North</t>
        </is>
      </c>
      <c r="H2951" s="2" t="inlineStr">
        <is>
          <t>Haryana</t>
        </is>
      </c>
      <c r="I2951" s="2" t="inlineStr">
        <is>
          <t>Faridabad</t>
        </is>
      </c>
      <c r="J2951" s="2" t="inlineStr">
        <is>
          <t>Store</t>
        </is>
      </c>
      <c r="K2951" s="2" t="n">
        <v>1</v>
      </c>
      <c r="L2951" s="3" t="n">
        <v>1226.86</v>
      </c>
      <c r="M2951" s="4" t="n">
        <v>0.05</v>
      </c>
      <c r="N2951" s="3" t="n">
        <v>920.98</v>
      </c>
      <c r="O2951" s="3">
        <f>K2951*L2951*(1-M2951)</f>
        <v/>
      </c>
      <c r="P2951" s="3">
        <f>O2951-N2951</f>
        <v/>
      </c>
      <c r="Q2951" s="5">
        <f>IFERROR(P2951/O2951,0)</f>
        <v/>
      </c>
      <c r="R2951" s="2">
        <f>TEXT(DATEVALUE(B2951),"mmm")</f>
        <v/>
      </c>
      <c r="S2951" s="2">
        <f>TEXT(DATEVALUE(B2951),"yyyy-mm")</f>
        <v/>
      </c>
    </row>
    <row r="2952">
      <c r="A2952" s="2" t="inlineStr">
        <is>
          <t>O001334</t>
        </is>
      </c>
      <c r="B2952" s="2" t="inlineStr">
        <is>
          <t>2025-08-03</t>
        </is>
      </c>
      <c r="C2952" s="2" t="inlineStr">
        <is>
          <t>C0793</t>
        </is>
      </c>
      <c r="D2952" s="2" t="inlineStr">
        <is>
          <t>P0002</t>
        </is>
      </c>
      <c r="E2952" s="2" t="inlineStr">
        <is>
          <t>Bluetooth Speaker</t>
        </is>
      </c>
      <c r="F2952" s="2" t="inlineStr">
        <is>
          <t>Electronics</t>
        </is>
      </c>
      <c r="G2952" s="2" t="inlineStr">
        <is>
          <t>South</t>
        </is>
      </c>
      <c r="H2952" s="2" t="inlineStr">
        <is>
          <t>Telangana</t>
        </is>
      </c>
      <c r="I2952" s="2" t="inlineStr">
        <is>
          <t>Hyderabad</t>
        </is>
      </c>
      <c r="J2952" s="2" t="inlineStr">
        <is>
          <t>Online</t>
        </is>
      </c>
      <c r="K2952" s="2" t="n">
        <v>1</v>
      </c>
      <c r="L2952" s="3" t="n">
        <v>1400.46</v>
      </c>
      <c r="M2952" s="4" t="n">
        <v>0.1</v>
      </c>
      <c r="N2952" s="3" t="n">
        <v>852.58</v>
      </c>
      <c r="O2952" s="3">
        <f>K2952*L2952*(1-M2952)</f>
        <v/>
      </c>
      <c r="P2952" s="3">
        <f>O2952-N2952</f>
        <v/>
      </c>
      <c r="Q2952" s="5">
        <f>IFERROR(P2952/O2952,0)</f>
        <v/>
      </c>
      <c r="R2952" s="2">
        <f>TEXT(DATEVALUE(B2952),"mmm")</f>
        <v/>
      </c>
      <c r="S2952" s="2">
        <f>TEXT(DATEVALUE(B2952),"yyyy-mm")</f>
        <v/>
      </c>
    </row>
    <row r="2953">
      <c r="A2953" s="2" t="inlineStr">
        <is>
          <t>O001313</t>
        </is>
      </c>
      <c r="B2953" s="2" t="inlineStr">
        <is>
          <t>2025-08-03</t>
        </is>
      </c>
      <c r="C2953" s="2" t="inlineStr">
        <is>
          <t>C0775</t>
        </is>
      </c>
      <c r="D2953" s="2" t="inlineStr">
        <is>
          <t>P0007</t>
        </is>
      </c>
      <c r="E2953" s="2" t="inlineStr">
        <is>
          <t>Wireless Mouse</t>
        </is>
      </c>
      <c r="F2953" s="2" t="inlineStr">
        <is>
          <t>Electronics</t>
        </is>
      </c>
      <c r="G2953" s="2" t="inlineStr">
        <is>
          <t>South</t>
        </is>
      </c>
      <c r="H2953" s="2" t="inlineStr">
        <is>
          <t>Telangana</t>
        </is>
      </c>
      <c r="I2953" s="2" t="inlineStr">
        <is>
          <t>Warangal</t>
        </is>
      </c>
      <c r="J2953" s="2" t="inlineStr">
        <is>
          <t>Store</t>
        </is>
      </c>
      <c r="K2953" s="2" t="n">
        <v>3</v>
      </c>
      <c r="L2953" s="3" t="n">
        <v>1028.33</v>
      </c>
      <c r="M2953" s="4" t="n">
        <v>0.05</v>
      </c>
      <c r="N2953" s="3" t="n">
        <v>1930.56</v>
      </c>
      <c r="O2953" s="3">
        <f>K2953*L2953*(1-M2953)</f>
        <v/>
      </c>
      <c r="P2953" s="3">
        <f>O2953-N2953</f>
        <v/>
      </c>
      <c r="Q2953" s="5">
        <f>IFERROR(P2953/O2953,0)</f>
        <v/>
      </c>
      <c r="R2953" s="2">
        <f>TEXT(DATEVALUE(B2953),"mmm")</f>
        <v/>
      </c>
      <c r="S2953" s="2">
        <f>TEXT(DATEVALUE(B2953),"yyyy-mm")</f>
        <v/>
      </c>
    </row>
    <row r="2954">
      <c r="A2954" s="2" t="inlineStr">
        <is>
          <t>O001218</t>
        </is>
      </c>
      <c r="B2954" s="2" t="inlineStr">
        <is>
          <t>2025-08-03</t>
        </is>
      </c>
      <c r="C2954" s="2" t="inlineStr">
        <is>
          <t>C0724</t>
        </is>
      </c>
      <c r="D2954" s="2" t="inlineStr">
        <is>
          <t>P0011</t>
        </is>
      </c>
      <c r="E2954" s="2" t="inlineStr">
        <is>
          <t>Cookware Set</t>
        </is>
      </c>
      <c r="F2954" s="2" t="inlineStr">
        <is>
          <t>Home &amp; Kitchen</t>
        </is>
      </c>
      <c r="G2954" s="2" t="inlineStr">
        <is>
          <t>South</t>
        </is>
      </c>
      <c r="H2954" s="2" t="inlineStr">
        <is>
          <t>Tamil Nadu</t>
        </is>
      </c>
      <c r="I2954" s="2" t="inlineStr">
        <is>
          <t>Chennai</t>
        </is>
      </c>
      <c r="J2954" s="2" t="inlineStr">
        <is>
          <t>Online</t>
        </is>
      </c>
      <c r="K2954" s="2" t="n">
        <v>1</v>
      </c>
      <c r="L2954" s="3" t="n">
        <v>710.46</v>
      </c>
      <c r="M2954" s="4" t="n">
        <v>0.15</v>
      </c>
      <c r="N2954" s="3" t="n">
        <v>487.79</v>
      </c>
      <c r="O2954" s="3">
        <f>K2954*L2954*(1-M2954)</f>
        <v/>
      </c>
      <c r="P2954" s="3">
        <f>O2954-N2954</f>
        <v/>
      </c>
      <c r="Q2954" s="5">
        <f>IFERROR(P2954/O2954,0)</f>
        <v/>
      </c>
      <c r="R2954" s="2">
        <f>TEXT(DATEVALUE(B2954),"mmm")</f>
        <v/>
      </c>
      <c r="S2954" s="2">
        <f>TEXT(DATEVALUE(B2954),"yyyy-mm")</f>
        <v/>
      </c>
    </row>
    <row r="2955">
      <c r="A2955" s="2" t="inlineStr">
        <is>
          <t>O000595</t>
        </is>
      </c>
      <c r="B2955" s="2" t="inlineStr">
        <is>
          <t>2025-08-03</t>
        </is>
      </c>
      <c r="C2955" s="2" t="inlineStr">
        <is>
          <t>C0325</t>
        </is>
      </c>
      <c r="D2955" s="2" t="inlineStr">
        <is>
          <t>P0022</t>
        </is>
      </c>
      <c r="E2955" s="2" t="inlineStr">
        <is>
          <t>Face Wash</t>
        </is>
      </c>
      <c r="F2955" s="2" t="inlineStr">
        <is>
          <t>Beauty</t>
        </is>
      </c>
      <c r="G2955" s="2" t="inlineStr">
        <is>
          <t>West</t>
        </is>
      </c>
      <c r="H2955" s="2" t="inlineStr">
        <is>
          <t>Gujarat</t>
        </is>
      </c>
      <c r="I2955" s="2" t="inlineStr">
        <is>
          <t>Ahmedabad</t>
        </is>
      </c>
      <c r="J2955" s="2" t="inlineStr">
        <is>
          <t>Online</t>
        </is>
      </c>
      <c r="K2955" s="2" t="n">
        <v>3</v>
      </c>
      <c r="L2955" s="3" t="n">
        <v>531.47</v>
      </c>
      <c r="M2955" s="4" t="n">
        <v>0.05</v>
      </c>
      <c r="N2955" s="3" t="n">
        <v>1068.34</v>
      </c>
      <c r="O2955" s="3">
        <f>K2955*L2955*(1-M2955)</f>
        <v/>
      </c>
      <c r="P2955" s="3">
        <f>O2955-N2955</f>
        <v/>
      </c>
      <c r="Q2955" s="5">
        <f>IFERROR(P2955/O2955,0)</f>
        <v/>
      </c>
      <c r="R2955" s="2">
        <f>TEXT(DATEVALUE(B2955),"mmm")</f>
        <v/>
      </c>
      <c r="S2955" s="2">
        <f>TEXT(DATEVALUE(B2955),"yyyy-mm")</f>
        <v/>
      </c>
    </row>
    <row r="2956">
      <c r="A2956" s="2" t="inlineStr">
        <is>
          <t>O000525</t>
        </is>
      </c>
      <c r="B2956" s="2" t="inlineStr">
        <is>
          <t>2025-08-03</t>
        </is>
      </c>
      <c r="C2956" s="2" t="inlineStr">
        <is>
          <t>C0416</t>
        </is>
      </c>
      <c r="D2956" s="2" t="inlineStr">
        <is>
          <t>P0007</t>
        </is>
      </c>
      <c r="E2956" s="2" t="inlineStr">
        <is>
          <t>Wireless Mouse</t>
        </is>
      </c>
      <c r="F2956" s="2" t="inlineStr">
        <is>
          <t>Electronics</t>
        </is>
      </c>
      <c r="G2956" s="2" t="inlineStr">
        <is>
          <t>West</t>
        </is>
      </c>
      <c r="H2956" s="2" t="inlineStr">
        <is>
          <t>Gujarat</t>
        </is>
      </c>
      <c r="I2956" s="2" t="inlineStr">
        <is>
          <t>Ahmedabad</t>
        </is>
      </c>
      <c r="J2956" s="2" t="inlineStr">
        <is>
          <t>Store</t>
        </is>
      </c>
      <c r="K2956" s="2" t="n">
        <v>4</v>
      </c>
      <c r="L2956" s="3" t="n">
        <v>947.71</v>
      </c>
      <c r="M2956" s="4" t="n">
        <v>0.1</v>
      </c>
      <c r="N2956" s="3" t="n">
        <v>2496.38</v>
      </c>
      <c r="O2956" s="3">
        <f>K2956*L2956*(1-M2956)</f>
        <v/>
      </c>
      <c r="P2956" s="3">
        <f>O2956-N2956</f>
        <v/>
      </c>
      <c r="Q2956" s="5">
        <f>IFERROR(P2956/O2956,0)</f>
        <v/>
      </c>
      <c r="R2956" s="2">
        <f>TEXT(DATEVALUE(B2956),"mmm")</f>
        <v/>
      </c>
      <c r="S2956" s="2">
        <f>TEXT(DATEVALUE(B2956),"yyyy-mm")</f>
        <v/>
      </c>
    </row>
    <row r="2957">
      <c r="A2957" s="2" t="inlineStr">
        <is>
          <t>O000393</t>
        </is>
      </c>
      <c r="B2957" s="2" t="inlineStr">
        <is>
          <t>2025-08-03</t>
        </is>
      </c>
      <c r="C2957" s="2" t="inlineStr">
        <is>
          <t>C0506</t>
        </is>
      </c>
      <c r="D2957" s="2" t="inlineStr">
        <is>
          <t>P0021</t>
        </is>
      </c>
      <c r="E2957" s="2" t="inlineStr">
        <is>
          <t>Wallet</t>
        </is>
      </c>
      <c r="F2957" s="2" t="inlineStr">
        <is>
          <t>Fashion</t>
        </is>
      </c>
      <c r="G2957" s="2" t="inlineStr">
        <is>
          <t>South</t>
        </is>
      </c>
      <c r="H2957" s="2" t="inlineStr">
        <is>
          <t>Kerala</t>
        </is>
      </c>
      <c r="I2957" s="2" t="inlineStr">
        <is>
          <t>Thiruvananthapuram</t>
        </is>
      </c>
      <c r="J2957" s="2" t="inlineStr">
        <is>
          <t>Online</t>
        </is>
      </c>
      <c r="K2957" s="2" t="n">
        <v>2</v>
      </c>
      <c r="L2957" s="3" t="n">
        <v>2017.42</v>
      </c>
      <c r="M2957" s="4" t="n">
        <v>0.2</v>
      </c>
      <c r="N2957" s="3" t="n">
        <v>2507.15</v>
      </c>
      <c r="O2957" s="3">
        <f>K2957*L2957*(1-M2957)</f>
        <v/>
      </c>
      <c r="P2957" s="3">
        <f>O2957-N2957</f>
        <v/>
      </c>
      <c r="Q2957" s="5">
        <f>IFERROR(P2957/O2957,0)</f>
        <v/>
      </c>
      <c r="R2957" s="2">
        <f>TEXT(DATEVALUE(B2957),"mmm")</f>
        <v/>
      </c>
      <c r="S2957" s="2">
        <f>TEXT(DATEVALUE(B2957),"yyyy-mm")</f>
        <v/>
      </c>
    </row>
    <row r="2958">
      <c r="A2958" s="2" t="inlineStr">
        <is>
          <t>O000078</t>
        </is>
      </c>
      <c r="B2958" s="2" t="inlineStr">
        <is>
          <t>2025-08-03</t>
        </is>
      </c>
      <c r="C2958" s="2" t="inlineStr">
        <is>
          <t>C0504</t>
        </is>
      </c>
      <c r="D2958" s="2" t="inlineStr">
        <is>
          <t>P0007</t>
        </is>
      </c>
      <c r="E2958" s="2" t="inlineStr">
        <is>
          <t>Wireless Mouse</t>
        </is>
      </c>
      <c r="F2958" s="2" t="inlineStr">
        <is>
          <t>Electronics</t>
        </is>
      </c>
      <c r="G2958" s="2" t="inlineStr">
        <is>
          <t>North</t>
        </is>
      </c>
      <c r="H2958" s="2" t="inlineStr">
        <is>
          <t>Haryana</t>
        </is>
      </c>
      <c r="I2958" s="2" t="inlineStr">
        <is>
          <t>Faridabad</t>
        </is>
      </c>
      <c r="J2958" s="2" t="inlineStr">
        <is>
          <t>Online</t>
        </is>
      </c>
      <c r="K2958" s="2" t="n">
        <v>2</v>
      </c>
      <c r="L2958" s="3" t="n">
        <v>1017.9</v>
      </c>
      <c r="M2958" s="4" t="n">
        <v>0.15</v>
      </c>
      <c r="N2958" s="3" t="n">
        <v>1260.37</v>
      </c>
      <c r="O2958" s="3">
        <f>K2958*L2958*(1-M2958)</f>
        <v/>
      </c>
      <c r="P2958" s="3">
        <f>O2958-N2958</f>
        <v/>
      </c>
      <c r="Q2958" s="5">
        <f>IFERROR(P2958/O2958,0)</f>
        <v/>
      </c>
      <c r="R2958" s="2">
        <f>TEXT(DATEVALUE(B2958),"mmm")</f>
        <v/>
      </c>
      <c r="S2958" s="2">
        <f>TEXT(DATEVALUE(B2958),"yyyy-mm")</f>
        <v/>
      </c>
    </row>
    <row r="2959">
      <c r="A2959" s="2" t="inlineStr">
        <is>
          <t>O000010</t>
        </is>
      </c>
      <c r="B2959" s="2" t="inlineStr">
        <is>
          <t>2025-08-03</t>
        </is>
      </c>
      <c r="C2959" s="2" t="inlineStr">
        <is>
          <t>C0321</t>
        </is>
      </c>
      <c r="D2959" s="2" t="inlineStr">
        <is>
          <t>P0007</t>
        </is>
      </c>
      <c r="E2959" s="2" t="inlineStr">
        <is>
          <t>Wireless Mouse</t>
        </is>
      </c>
      <c r="F2959" s="2" t="inlineStr">
        <is>
          <t>Electronics</t>
        </is>
      </c>
      <c r="G2959" s="2" t="inlineStr">
        <is>
          <t>North</t>
        </is>
      </c>
      <c r="H2959" s="2" t="inlineStr">
        <is>
          <t>Uttar Pradesh</t>
        </is>
      </c>
      <c r="I2959" s="2" t="inlineStr">
        <is>
          <t>Varanasi</t>
        </is>
      </c>
      <c r="J2959" s="2" t="inlineStr">
        <is>
          <t>Store</t>
        </is>
      </c>
      <c r="K2959" s="2" t="n">
        <v>1</v>
      </c>
      <c r="L2959" s="3" t="n">
        <v>943.91</v>
      </c>
      <c r="M2959" s="4" t="n">
        <v>0.15</v>
      </c>
      <c r="N2959" s="3" t="n">
        <v>622.04</v>
      </c>
      <c r="O2959" s="3">
        <f>K2959*L2959*(1-M2959)</f>
        <v/>
      </c>
      <c r="P2959" s="3">
        <f>O2959-N2959</f>
        <v/>
      </c>
      <c r="Q2959" s="5">
        <f>IFERROR(P2959/O2959,0)</f>
        <v/>
      </c>
      <c r="R2959" s="2">
        <f>TEXT(DATEVALUE(B2959),"mmm")</f>
        <v/>
      </c>
      <c r="S2959" s="2">
        <f>TEXT(DATEVALUE(B2959),"yyyy-mm")</f>
        <v/>
      </c>
    </row>
    <row r="2960">
      <c r="A2960" s="2" t="inlineStr">
        <is>
          <t>O001468</t>
        </is>
      </c>
      <c r="B2960" s="2" t="inlineStr">
        <is>
          <t>2025-08-03</t>
        </is>
      </c>
      <c r="C2960" s="2" t="inlineStr">
        <is>
          <t>C0568</t>
        </is>
      </c>
      <c r="D2960" s="2" t="inlineStr">
        <is>
          <t>P0022</t>
        </is>
      </c>
      <c r="E2960" s="2" t="inlineStr">
        <is>
          <t>Face Wash</t>
        </is>
      </c>
      <c r="F2960" s="2" t="inlineStr">
        <is>
          <t>Beauty</t>
        </is>
      </c>
      <c r="G2960" s="2" t="inlineStr">
        <is>
          <t>North</t>
        </is>
      </c>
      <c r="H2960" s="2" t="inlineStr">
        <is>
          <t>Haryana</t>
        </is>
      </c>
      <c r="I2960" s="2" t="inlineStr">
        <is>
          <t>Gurugram</t>
        </is>
      </c>
      <c r="J2960" s="2" t="inlineStr">
        <is>
          <t>Store</t>
        </is>
      </c>
      <c r="K2960" s="2" t="n">
        <v>3</v>
      </c>
      <c r="L2960" s="3" t="n">
        <v>536.37</v>
      </c>
      <c r="M2960" s="4" t="n">
        <v>0</v>
      </c>
      <c r="N2960" s="3" t="n">
        <v>1084.49</v>
      </c>
      <c r="O2960" s="3">
        <f>K2960*L2960*(1-M2960)</f>
        <v/>
      </c>
      <c r="P2960" s="3">
        <f>O2960-N2960</f>
        <v/>
      </c>
      <c r="Q2960" s="5">
        <f>IFERROR(P2960/O2960,0)</f>
        <v/>
      </c>
      <c r="R2960" s="2">
        <f>TEXT(DATEVALUE(B2960),"mmm")</f>
        <v/>
      </c>
      <c r="S2960" s="2">
        <f>TEXT(DATEVALUE(B2960),"yyyy-mm")</f>
        <v/>
      </c>
    </row>
    <row r="2961">
      <c r="A2961" s="2" t="inlineStr">
        <is>
          <t>O003180</t>
        </is>
      </c>
      <c r="B2961" s="2" t="inlineStr">
        <is>
          <t>2025-08-04</t>
        </is>
      </c>
      <c r="C2961" s="2" t="inlineStr">
        <is>
          <t>C0456</t>
        </is>
      </c>
      <c r="D2961" s="2" t="inlineStr">
        <is>
          <t>P0026</t>
        </is>
      </c>
      <c r="E2961" s="2" t="inlineStr">
        <is>
          <t>Shampoo</t>
        </is>
      </c>
      <c r="F2961" s="2" t="inlineStr">
        <is>
          <t>Beauty</t>
        </is>
      </c>
      <c r="G2961" s="2" t="inlineStr">
        <is>
          <t>West</t>
        </is>
      </c>
      <c r="H2961" s="2" t="inlineStr">
        <is>
          <t>Maharashtra</t>
        </is>
      </c>
      <c r="I2961" s="2" t="inlineStr">
        <is>
          <t>Mumbai</t>
        </is>
      </c>
      <c r="J2961" s="2" t="inlineStr">
        <is>
          <t>Online</t>
        </is>
      </c>
      <c r="K2961" s="2" t="n">
        <v>2</v>
      </c>
      <c r="L2961" s="3" t="n">
        <v>871.09</v>
      </c>
      <c r="M2961" s="4" t="n">
        <v>0</v>
      </c>
      <c r="N2961" s="3" t="n">
        <v>1046.16</v>
      </c>
      <c r="O2961" s="3">
        <f>K2961*L2961*(1-M2961)</f>
        <v/>
      </c>
      <c r="P2961" s="3">
        <f>O2961-N2961</f>
        <v/>
      </c>
      <c r="Q2961" s="5">
        <f>IFERROR(P2961/O2961,0)</f>
        <v/>
      </c>
      <c r="R2961" s="2">
        <f>TEXT(DATEVALUE(B2961),"mmm")</f>
        <v/>
      </c>
      <c r="S2961" s="2">
        <f>TEXT(DATEVALUE(B2961),"yyyy-mm")</f>
        <v/>
      </c>
    </row>
    <row r="2962">
      <c r="A2962" s="2" t="inlineStr">
        <is>
          <t>O003515</t>
        </is>
      </c>
      <c r="B2962" s="2" t="inlineStr">
        <is>
          <t>2025-08-04</t>
        </is>
      </c>
      <c r="C2962" s="2" t="inlineStr">
        <is>
          <t>C0478</t>
        </is>
      </c>
      <c r="D2962" s="2" t="inlineStr">
        <is>
          <t>P0022</t>
        </is>
      </c>
      <c r="E2962" s="2" t="inlineStr">
        <is>
          <t>Face Wash</t>
        </is>
      </c>
      <c r="F2962" s="2" t="inlineStr">
        <is>
          <t>Beauty</t>
        </is>
      </c>
      <c r="G2962" s="2" t="inlineStr">
        <is>
          <t>North</t>
        </is>
      </c>
      <c r="H2962" s="2" t="inlineStr">
        <is>
          <t>Punjab</t>
        </is>
      </c>
      <c r="I2962" s="2" t="inlineStr">
        <is>
          <t>Jalandhar</t>
        </is>
      </c>
      <c r="J2962" s="2" t="inlineStr">
        <is>
          <t>Online</t>
        </is>
      </c>
      <c r="K2962" s="2" t="n">
        <v>1</v>
      </c>
      <c r="L2962" s="3" t="n">
        <v>535.29</v>
      </c>
      <c r="M2962" s="4" t="n">
        <v>0.1</v>
      </c>
      <c r="N2962" s="3" t="n">
        <v>356.31</v>
      </c>
      <c r="O2962" s="3">
        <f>K2962*L2962*(1-M2962)</f>
        <v/>
      </c>
      <c r="P2962" s="3">
        <f>O2962-N2962</f>
        <v/>
      </c>
      <c r="Q2962" s="5">
        <f>IFERROR(P2962/O2962,0)</f>
        <v/>
      </c>
      <c r="R2962" s="2">
        <f>TEXT(DATEVALUE(B2962),"mmm")</f>
        <v/>
      </c>
      <c r="S2962" s="2">
        <f>TEXT(DATEVALUE(B2962),"yyyy-mm")</f>
        <v/>
      </c>
    </row>
    <row r="2963">
      <c r="A2963" s="2" t="inlineStr">
        <is>
          <t>O003765</t>
        </is>
      </c>
      <c r="B2963" s="2" t="inlineStr">
        <is>
          <t>2025-08-04</t>
        </is>
      </c>
      <c r="C2963" s="2" t="inlineStr">
        <is>
          <t>C0582</t>
        </is>
      </c>
      <c r="D2963" s="2" t="inlineStr">
        <is>
          <t>P0014</t>
        </is>
      </c>
      <c r="E2963" s="2" t="inlineStr">
        <is>
          <t>Coffee Maker</t>
        </is>
      </c>
      <c r="F2963" s="2" t="inlineStr">
        <is>
          <t>Home &amp; Kitchen</t>
        </is>
      </c>
      <c r="G2963" s="2" t="inlineStr">
        <is>
          <t>South</t>
        </is>
      </c>
      <c r="H2963" s="2" t="inlineStr">
        <is>
          <t>Tamil Nadu</t>
        </is>
      </c>
      <c r="I2963" s="2" t="inlineStr">
        <is>
          <t>Coimbatore</t>
        </is>
      </c>
      <c r="J2963" s="2" t="inlineStr">
        <is>
          <t>Online</t>
        </is>
      </c>
      <c r="K2963" s="2" t="n">
        <v>4</v>
      </c>
      <c r="L2963" s="3" t="n">
        <v>1016.41</v>
      </c>
      <c r="M2963" s="4" t="n">
        <v>0.2</v>
      </c>
      <c r="N2963" s="3" t="n">
        <v>3007.35</v>
      </c>
      <c r="O2963" s="3">
        <f>K2963*L2963*(1-M2963)</f>
        <v/>
      </c>
      <c r="P2963" s="3">
        <f>O2963-N2963</f>
        <v/>
      </c>
      <c r="Q2963" s="5">
        <f>IFERROR(P2963/O2963,0)</f>
        <v/>
      </c>
      <c r="R2963" s="2">
        <f>TEXT(DATEVALUE(B2963),"mmm")</f>
        <v/>
      </c>
      <c r="S2963" s="2">
        <f>TEXT(DATEVALUE(B2963),"yyyy-mm")</f>
        <v/>
      </c>
    </row>
    <row r="2964">
      <c r="A2964" s="2" t="inlineStr">
        <is>
          <t>O003034</t>
        </is>
      </c>
      <c r="B2964" s="2" t="inlineStr">
        <is>
          <t>2025-08-04</t>
        </is>
      </c>
      <c r="C2964" s="2" t="inlineStr">
        <is>
          <t>C0452</t>
        </is>
      </c>
      <c r="D2964" s="2" t="inlineStr">
        <is>
          <t>P0017</t>
        </is>
      </c>
      <c r="E2964" s="2" t="inlineStr">
        <is>
          <t>Jeans</t>
        </is>
      </c>
      <c r="F2964" s="2" t="inlineStr">
        <is>
          <t>Fashion</t>
        </is>
      </c>
      <c r="G2964" s="2" t="inlineStr">
        <is>
          <t>West</t>
        </is>
      </c>
      <c r="H2964" s="2" t="inlineStr">
        <is>
          <t>Gujarat</t>
        </is>
      </c>
      <c r="I2964" s="2" t="inlineStr">
        <is>
          <t>Ahmedabad</t>
        </is>
      </c>
      <c r="J2964" s="2" t="inlineStr">
        <is>
          <t>Online</t>
        </is>
      </c>
      <c r="K2964" s="2" t="n">
        <v>4</v>
      </c>
      <c r="L2964" s="3" t="n">
        <v>1421.93</v>
      </c>
      <c r="M2964" s="4" t="n">
        <v>0.05</v>
      </c>
      <c r="N2964" s="3" t="n">
        <v>4008.03</v>
      </c>
      <c r="O2964" s="3">
        <f>K2964*L2964*(1-M2964)</f>
        <v/>
      </c>
      <c r="P2964" s="3">
        <f>O2964-N2964</f>
        <v/>
      </c>
      <c r="Q2964" s="5">
        <f>IFERROR(P2964/O2964,0)</f>
        <v/>
      </c>
      <c r="R2964" s="2">
        <f>TEXT(DATEVALUE(B2964),"mmm")</f>
        <v/>
      </c>
      <c r="S2964" s="2">
        <f>TEXT(DATEVALUE(B2964),"yyyy-mm")</f>
        <v/>
      </c>
    </row>
    <row r="2965">
      <c r="A2965" s="2" t="inlineStr">
        <is>
          <t>O004002</t>
        </is>
      </c>
      <c r="B2965" s="2" t="inlineStr">
        <is>
          <t>2025-08-04</t>
        </is>
      </c>
      <c r="C2965" s="2" t="inlineStr">
        <is>
          <t>C0583</t>
        </is>
      </c>
      <c r="D2965" s="2" t="inlineStr">
        <is>
          <t>P0007</t>
        </is>
      </c>
      <c r="E2965" s="2" t="inlineStr">
        <is>
          <t>Wireless Mouse</t>
        </is>
      </c>
      <c r="F2965" s="2" t="inlineStr">
        <is>
          <t>Electronics</t>
        </is>
      </c>
      <c r="G2965" s="2" t="inlineStr">
        <is>
          <t>West</t>
        </is>
      </c>
      <c r="H2965" s="2" t="inlineStr">
        <is>
          <t>Maharashtra</t>
        </is>
      </c>
      <c r="I2965" s="2" t="inlineStr">
        <is>
          <t>Nashik</t>
        </is>
      </c>
      <c r="J2965" s="2" t="inlineStr">
        <is>
          <t>Online</t>
        </is>
      </c>
      <c r="K2965" s="2" t="n">
        <v>6</v>
      </c>
      <c r="L2965" s="3" t="n">
        <v>1028.76</v>
      </c>
      <c r="M2965" s="4" t="n">
        <v>0.05</v>
      </c>
      <c r="N2965" s="3" t="n">
        <v>3865.36</v>
      </c>
      <c r="O2965" s="3">
        <f>K2965*L2965*(1-M2965)</f>
        <v/>
      </c>
      <c r="P2965" s="3">
        <f>O2965-N2965</f>
        <v/>
      </c>
      <c r="Q2965" s="5">
        <f>IFERROR(P2965/O2965,0)</f>
        <v/>
      </c>
      <c r="R2965" s="2">
        <f>TEXT(DATEVALUE(B2965),"mmm")</f>
        <v/>
      </c>
      <c r="S2965" s="2">
        <f>TEXT(DATEVALUE(B2965),"yyyy-mm")</f>
        <v/>
      </c>
    </row>
    <row r="2966">
      <c r="A2966" s="2" t="inlineStr">
        <is>
          <t>O004231</t>
        </is>
      </c>
      <c r="B2966" s="2" t="inlineStr">
        <is>
          <t>2025-08-04</t>
        </is>
      </c>
      <c r="C2966" s="2" t="inlineStr">
        <is>
          <t>C0394</t>
        </is>
      </c>
      <c r="D2966" s="2" t="inlineStr">
        <is>
          <t>P0021</t>
        </is>
      </c>
      <c r="E2966" s="2" t="inlineStr">
        <is>
          <t>Wallet</t>
        </is>
      </c>
      <c r="F2966" s="2" t="inlineStr">
        <is>
          <t>Fashion</t>
        </is>
      </c>
      <c r="G2966" s="2" t="inlineStr">
        <is>
          <t>South</t>
        </is>
      </c>
      <c r="H2966" s="2" t="inlineStr">
        <is>
          <t>Karnataka</t>
        </is>
      </c>
      <c r="I2966" s="2" t="inlineStr">
        <is>
          <t>Bengaluru</t>
        </is>
      </c>
      <c r="J2966" s="2" t="inlineStr">
        <is>
          <t>Store</t>
        </is>
      </c>
      <c r="K2966" s="2" t="n">
        <v>6</v>
      </c>
      <c r="L2966" s="3" t="n">
        <v>2054.98</v>
      </c>
      <c r="M2966" s="4" t="n">
        <v>0.05</v>
      </c>
      <c r="N2966" s="3" t="n">
        <v>7203.2</v>
      </c>
      <c r="O2966" s="3">
        <f>K2966*L2966*(1-M2966)</f>
        <v/>
      </c>
      <c r="P2966" s="3">
        <f>O2966-N2966</f>
        <v/>
      </c>
      <c r="Q2966" s="5">
        <f>IFERROR(P2966/O2966,0)</f>
        <v/>
      </c>
      <c r="R2966" s="2">
        <f>TEXT(DATEVALUE(B2966),"mmm")</f>
        <v/>
      </c>
      <c r="S2966" s="2">
        <f>TEXT(DATEVALUE(B2966),"yyyy-mm")</f>
        <v/>
      </c>
    </row>
    <row r="2967">
      <c r="A2967" s="2" t="inlineStr">
        <is>
          <t>O003899</t>
        </is>
      </c>
      <c r="B2967" s="2" t="inlineStr">
        <is>
          <t>2025-08-04</t>
        </is>
      </c>
      <c r="C2967" s="2" t="inlineStr">
        <is>
          <t>C0120</t>
        </is>
      </c>
      <c r="D2967" s="2" t="inlineStr">
        <is>
          <t>P0007</t>
        </is>
      </c>
      <c r="E2967" s="2" t="inlineStr">
        <is>
          <t>Wireless Mouse</t>
        </is>
      </c>
      <c r="F2967" s="2" t="inlineStr">
        <is>
          <t>Electronics</t>
        </is>
      </c>
      <c r="G2967" s="2" t="inlineStr">
        <is>
          <t>West</t>
        </is>
      </c>
      <c r="H2967" s="2" t="inlineStr">
        <is>
          <t>Maharashtra</t>
        </is>
      </c>
      <c r="I2967" s="2" t="inlineStr">
        <is>
          <t>Nashik</t>
        </is>
      </c>
      <c r="J2967" s="2" t="inlineStr">
        <is>
          <t>Online</t>
        </is>
      </c>
      <c r="K2967" s="2" t="n">
        <v>2</v>
      </c>
      <c r="L2967" s="3" t="n">
        <v>986.83</v>
      </c>
      <c r="M2967" s="4" t="n">
        <v>0.1</v>
      </c>
      <c r="N2967" s="3" t="n">
        <v>1220.98</v>
      </c>
      <c r="O2967" s="3">
        <f>K2967*L2967*(1-M2967)</f>
        <v/>
      </c>
      <c r="P2967" s="3">
        <f>O2967-N2967</f>
        <v/>
      </c>
      <c r="Q2967" s="5">
        <f>IFERROR(P2967/O2967,0)</f>
        <v/>
      </c>
      <c r="R2967" s="2">
        <f>TEXT(DATEVALUE(B2967),"mmm")</f>
        <v/>
      </c>
      <c r="S2967" s="2">
        <f>TEXT(DATEVALUE(B2967),"yyyy-mm")</f>
        <v/>
      </c>
    </row>
    <row r="2968">
      <c r="A2968" s="2" t="inlineStr">
        <is>
          <t>O004986</t>
        </is>
      </c>
      <c r="B2968" s="2" t="inlineStr">
        <is>
          <t>2025-08-04</t>
        </is>
      </c>
      <c r="C2968" s="2" t="inlineStr">
        <is>
          <t>C0518</t>
        </is>
      </c>
      <c r="D2968" s="2" t="inlineStr">
        <is>
          <t>P0007</t>
        </is>
      </c>
      <c r="E2968" s="2" t="inlineStr">
        <is>
          <t>Wireless Mouse</t>
        </is>
      </c>
      <c r="F2968" s="2" t="inlineStr">
        <is>
          <t>Electronics</t>
        </is>
      </c>
      <c r="G2968" s="2" t="inlineStr">
        <is>
          <t>West</t>
        </is>
      </c>
      <c r="H2968" s="2" t="inlineStr">
        <is>
          <t>Gujarat</t>
        </is>
      </c>
      <c r="I2968" s="2" t="inlineStr">
        <is>
          <t>Ahmedabad</t>
        </is>
      </c>
      <c r="J2968" s="2" t="inlineStr">
        <is>
          <t>Online</t>
        </is>
      </c>
      <c r="K2968" s="2" t="n">
        <v>2</v>
      </c>
      <c r="L2968" s="3" t="n">
        <v>1023.2</v>
      </c>
      <c r="M2968" s="4" t="n">
        <v>0.05</v>
      </c>
      <c r="N2968" s="3" t="n">
        <v>1216.3</v>
      </c>
      <c r="O2968" s="3">
        <f>K2968*L2968*(1-M2968)</f>
        <v/>
      </c>
      <c r="P2968" s="3">
        <f>O2968-N2968</f>
        <v/>
      </c>
      <c r="Q2968" s="5">
        <f>IFERROR(P2968/O2968,0)</f>
        <v/>
      </c>
      <c r="R2968" s="2">
        <f>TEXT(DATEVALUE(B2968),"mmm")</f>
        <v/>
      </c>
      <c r="S2968" s="2">
        <f>TEXT(DATEVALUE(B2968),"yyyy-mm")</f>
        <v/>
      </c>
    </row>
    <row r="2969">
      <c r="A2969" s="2" t="inlineStr">
        <is>
          <t>O002733</t>
        </is>
      </c>
      <c r="B2969" s="2" t="inlineStr">
        <is>
          <t>2025-08-04</t>
        </is>
      </c>
      <c r="C2969" s="2" t="inlineStr">
        <is>
          <t>C0152</t>
        </is>
      </c>
      <c r="D2969" s="2" t="inlineStr">
        <is>
          <t>P0033</t>
        </is>
      </c>
      <c r="E2969" s="2" t="inlineStr">
        <is>
          <t>Resistance Bands</t>
        </is>
      </c>
      <c r="F2969" s="2" t="inlineStr">
        <is>
          <t>Sports</t>
        </is>
      </c>
      <c r="G2969" s="2" t="inlineStr">
        <is>
          <t>West</t>
        </is>
      </c>
      <c r="H2969" s="2" t="inlineStr">
        <is>
          <t>Goa</t>
        </is>
      </c>
      <c r="I2969" s="2" t="inlineStr">
        <is>
          <t>Margao</t>
        </is>
      </c>
      <c r="J2969" s="2" t="inlineStr">
        <is>
          <t>Online</t>
        </is>
      </c>
      <c r="K2969" s="2" t="n">
        <v>4</v>
      </c>
      <c r="L2969" s="3" t="n">
        <v>1173.15</v>
      </c>
      <c r="M2969" s="4" t="n">
        <v>0.1</v>
      </c>
      <c r="N2969" s="3" t="n">
        <v>3014.93</v>
      </c>
      <c r="O2969" s="3">
        <f>K2969*L2969*(1-M2969)</f>
        <v/>
      </c>
      <c r="P2969" s="3">
        <f>O2969-N2969</f>
        <v/>
      </c>
      <c r="Q2969" s="5">
        <f>IFERROR(P2969/O2969,0)</f>
        <v/>
      </c>
      <c r="R2969" s="2">
        <f>TEXT(DATEVALUE(B2969),"mmm")</f>
        <v/>
      </c>
      <c r="S2969" s="2">
        <f>TEXT(DATEVALUE(B2969),"yyyy-mm")</f>
        <v/>
      </c>
    </row>
    <row r="2970">
      <c r="A2970" s="2" t="inlineStr">
        <is>
          <t>O002025</t>
        </is>
      </c>
      <c r="B2970" s="2" t="inlineStr">
        <is>
          <t>2025-08-04</t>
        </is>
      </c>
      <c r="C2970" s="2" t="inlineStr">
        <is>
          <t>C0595</t>
        </is>
      </c>
      <c r="D2970" s="2" t="inlineStr">
        <is>
          <t>P0027</t>
        </is>
      </c>
      <c r="E2970" s="2" t="inlineStr">
        <is>
          <t>Moisturizer</t>
        </is>
      </c>
      <c r="F2970" s="2" t="inlineStr">
        <is>
          <t>Beauty</t>
        </is>
      </c>
      <c r="G2970" s="2" t="inlineStr">
        <is>
          <t>East</t>
        </is>
      </c>
      <c r="H2970" s="2" t="inlineStr">
        <is>
          <t>West Bengal</t>
        </is>
      </c>
      <c r="I2970" s="2" t="inlineStr">
        <is>
          <t>Kolkata</t>
        </is>
      </c>
      <c r="J2970" s="2" t="inlineStr">
        <is>
          <t>Online</t>
        </is>
      </c>
      <c r="K2970" s="2" t="n">
        <v>3</v>
      </c>
      <c r="L2970" s="3" t="n">
        <v>958.47</v>
      </c>
      <c r="M2970" s="4" t="n">
        <v>0</v>
      </c>
      <c r="N2970" s="3" t="n">
        <v>1992.06</v>
      </c>
      <c r="O2970" s="3">
        <f>K2970*L2970*(1-M2970)</f>
        <v/>
      </c>
      <c r="P2970" s="3">
        <f>O2970-N2970</f>
        <v/>
      </c>
      <c r="Q2970" s="5">
        <f>IFERROR(P2970/O2970,0)</f>
        <v/>
      </c>
      <c r="R2970" s="2">
        <f>TEXT(DATEVALUE(B2970),"mmm")</f>
        <v/>
      </c>
      <c r="S2970" s="2">
        <f>TEXT(DATEVALUE(B2970),"yyyy-mm")</f>
        <v/>
      </c>
    </row>
    <row r="2971">
      <c r="A2971" s="2" t="inlineStr">
        <is>
          <t>O001631</t>
        </is>
      </c>
      <c r="B2971" s="2" t="inlineStr">
        <is>
          <t>2025-08-04</t>
        </is>
      </c>
      <c r="C2971" s="2" t="inlineStr">
        <is>
          <t>C0517</t>
        </is>
      </c>
      <c r="D2971" s="2" t="inlineStr">
        <is>
          <t>P0007</t>
        </is>
      </c>
      <c r="E2971" s="2" t="inlineStr">
        <is>
          <t>Wireless Mouse</t>
        </is>
      </c>
      <c r="F2971" s="2" t="inlineStr">
        <is>
          <t>Electronics</t>
        </is>
      </c>
      <c r="G2971" s="2" t="inlineStr">
        <is>
          <t>South</t>
        </is>
      </c>
      <c r="H2971" s="2" t="inlineStr">
        <is>
          <t>Tamil Nadu</t>
        </is>
      </c>
      <c r="I2971" s="2" t="inlineStr">
        <is>
          <t>Chennai</t>
        </is>
      </c>
      <c r="J2971" s="2" t="inlineStr">
        <is>
          <t>Store</t>
        </is>
      </c>
      <c r="K2971" s="2" t="n">
        <v>2</v>
      </c>
      <c r="L2971" s="3" t="n">
        <v>998.09</v>
      </c>
      <c r="M2971" s="4" t="n">
        <v>0</v>
      </c>
      <c r="N2971" s="3" t="n">
        <v>1212.13</v>
      </c>
      <c r="O2971" s="3">
        <f>K2971*L2971*(1-M2971)</f>
        <v/>
      </c>
      <c r="P2971" s="3">
        <f>O2971-N2971</f>
        <v/>
      </c>
      <c r="Q2971" s="5">
        <f>IFERROR(P2971/O2971,0)</f>
        <v/>
      </c>
      <c r="R2971" s="2">
        <f>TEXT(DATEVALUE(B2971),"mmm")</f>
        <v/>
      </c>
      <c r="S2971" s="2">
        <f>TEXT(DATEVALUE(B2971),"yyyy-mm")</f>
        <v/>
      </c>
    </row>
    <row r="2972">
      <c r="A2972" s="2" t="inlineStr">
        <is>
          <t>O001577</t>
        </is>
      </c>
      <c r="B2972" s="2" t="inlineStr">
        <is>
          <t>2025-08-04</t>
        </is>
      </c>
      <c r="C2972" s="2" t="inlineStr">
        <is>
          <t>C0591</t>
        </is>
      </c>
      <c r="D2972" s="2" t="inlineStr">
        <is>
          <t>P0007</t>
        </is>
      </c>
      <c r="E2972" s="2" t="inlineStr">
        <is>
          <t>Wireless Mouse</t>
        </is>
      </c>
      <c r="F2972" s="2" t="inlineStr">
        <is>
          <t>Electronics</t>
        </is>
      </c>
      <c r="G2972" s="2" t="inlineStr">
        <is>
          <t>East</t>
        </is>
      </c>
      <c r="H2972" s="2" t="inlineStr">
        <is>
          <t>Bihar</t>
        </is>
      </c>
      <c r="I2972" s="2" t="inlineStr">
        <is>
          <t>Patna</t>
        </is>
      </c>
      <c r="J2972" s="2" t="inlineStr">
        <is>
          <t>Store</t>
        </is>
      </c>
      <c r="K2972" s="2" t="n">
        <v>1</v>
      </c>
      <c r="L2972" s="3" t="n">
        <v>960.36</v>
      </c>
      <c r="M2972" s="4" t="n">
        <v>0.25</v>
      </c>
      <c r="N2972" s="3" t="n">
        <v>637.04</v>
      </c>
      <c r="O2972" s="3">
        <f>K2972*L2972*(1-M2972)</f>
        <v/>
      </c>
      <c r="P2972" s="3">
        <f>O2972-N2972</f>
        <v/>
      </c>
      <c r="Q2972" s="5">
        <f>IFERROR(P2972/O2972,0)</f>
        <v/>
      </c>
      <c r="R2972" s="2">
        <f>TEXT(DATEVALUE(B2972),"mmm")</f>
        <v/>
      </c>
      <c r="S2972" s="2">
        <f>TEXT(DATEVALUE(B2972),"yyyy-mm")</f>
        <v/>
      </c>
    </row>
    <row r="2973">
      <c r="A2973" s="2" t="inlineStr">
        <is>
          <t>O001437</t>
        </is>
      </c>
      <c r="B2973" s="2" t="inlineStr">
        <is>
          <t>2025-08-04</t>
        </is>
      </c>
      <c r="C2973" s="2" t="inlineStr">
        <is>
          <t>C0757</t>
        </is>
      </c>
      <c r="D2973" s="2" t="inlineStr">
        <is>
          <t>P0027</t>
        </is>
      </c>
      <c r="E2973" s="2" t="inlineStr">
        <is>
          <t>Moisturizer</t>
        </is>
      </c>
      <c r="F2973" s="2" t="inlineStr">
        <is>
          <t>Beauty</t>
        </is>
      </c>
      <c r="G2973" s="2" t="inlineStr">
        <is>
          <t>South</t>
        </is>
      </c>
      <c r="H2973" s="2" t="inlineStr">
        <is>
          <t>Kerala</t>
        </is>
      </c>
      <c r="I2973" s="2" t="inlineStr">
        <is>
          <t>Kochi</t>
        </is>
      </c>
      <c r="J2973" s="2" t="inlineStr">
        <is>
          <t>Online</t>
        </is>
      </c>
      <c r="K2973" s="2" t="n">
        <v>2</v>
      </c>
      <c r="L2973" s="3" t="n">
        <v>970.66</v>
      </c>
      <c r="M2973" s="4" t="n">
        <v>0</v>
      </c>
      <c r="N2973" s="3" t="n">
        <v>1338.13</v>
      </c>
      <c r="O2973" s="3">
        <f>K2973*L2973*(1-M2973)</f>
        <v/>
      </c>
      <c r="P2973" s="3">
        <f>O2973-N2973</f>
        <v/>
      </c>
      <c r="Q2973" s="5">
        <f>IFERROR(P2973/O2973,0)</f>
        <v/>
      </c>
      <c r="R2973" s="2">
        <f>TEXT(DATEVALUE(B2973),"mmm")</f>
        <v/>
      </c>
      <c r="S2973" s="2">
        <f>TEXT(DATEVALUE(B2973),"yyyy-mm")</f>
        <v/>
      </c>
    </row>
    <row r="2974">
      <c r="A2974" s="2" t="inlineStr">
        <is>
          <t>O001102</t>
        </is>
      </c>
      <c r="B2974" s="2" t="inlineStr">
        <is>
          <t>2025-08-04</t>
        </is>
      </c>
      <c r="C2974" s="2" t="inlineStr">
        <is>
          <t>C0566</t>
        </is>
      </c>
      <c r="D2974" s="2" t="inlineStr">
        <is>
          <t>P0002</t>
        </is>
      </c>
      <c r="E2974" s="2" t="inlineStr">
        <is>
          <t>Bluetooth Speaker</t>
        </is>
      </c>
      <c r="F2974" s="2" t="inlineStr">
        <is>
          <t>Electronics</t>
        </is>
      </c>
      <c r="G2974" s="2" t="inlineStr">
        <is>
          <t>West</t>
        </is>
      </c>
      <c r="H2974" s="2" t="inlineStr">
        <is>
          <t>Goa</t>
        </is>
      </c>
      <c r="I2974" s="2" t="inlineStr">
        <is>
          <t>Panaji</t>
        </is>
      </c>
      <c r="J2974" s="2" t="inlineStr">
        <is>
          <t>Store</t>
        </is>
      </c>
      <c r="K2974" s="2" t="n">
        <v>1</v>
      </c>
      <c r="L2974" s="3" t="n">
        <v>1370.76</v>
      </c>
      <c r="M2974" s="4" t="n">
        <v>0.05</v>
      </c>
      <c r="N2974" s="3" t="n">
        <v>835.0599999999999</v>
      </c>
      <c r="O2974" s="3">
        <f>K2974*L2974*(1-M2974)</f>
        <v/>
      </c>
      <c r="P2974" s="3">
        <f>O2974-N2974</f>
        <v/>
      </c>
      <c r="Q2974" s="5">
        <f>IFERROR(P2974/O2974,0)</f>
        <v/>
      </c>
      <c r="R2974" s="2">
        <f>TEXT(DATEVALUE(B2974),"mmm")</f>
        <v/>
      </c>
      <c r="S2974" s="2">
        <f>TEXT(DATEVALUE(B2974),"yyyy-mm")</f>
        <v/>
      </c>
    </row>
    <row r="2975">
      <c r="A2975" s="2" t="inlineStr">
        <is>
          <t>O000889</t>
        </is>
      </c>
      <c r="B2975" s="2" t="inlineStr">
        <is>
          <t>2025-08-04</t>
        </is>
      </c>
      <c r="C2975" s="2" t="inlineStr">
        <is>
          <t>C0145</t>
        </is>
      </c>
      <c r="D2975" s="2" t="inlineStr">
        <is>
          <t>P0017</t>
        </is>
      </c>
      <c r="E2975" s="2" t="inlineStr">
        <is>
          <t>Jeans</t>
        </is>
      </c>
      <c r="F2975" s="2" t="inlineStr">
        <is>
          <t>Fashion</t>
        </is>
      </c>
      <c r="G2975" s="2" t="inlineStr">
        <is>
          <t>North</t>
        </is>
      </c>
      <c r="H2975" s="2" t="inlineStr">
        <is>
          <t>Haryana</t>
        </is>
      </c>
      <c r="I2975" s="2" t="inlineStr">
        <is>
          <t>Gurugram</t>
        </is>
      </c>
      <c r="J2975" s="2" t="inlineStr">
        <is>
          <t>Online</t>
        </is>
      </c>
      <c r="K2975" s="2" t="n">
        <v>1</v>
      </c>
      <c r="L2975" s="3" t="n">
        <v>1507.23</v>
      </c>
      <c r="M2975" s="4" t="n">
        <v>0.05</v>
      </c>
      <c r="N2975" s="3" t="n">
        <v>1031.88</v>
      </c>
      <c r="O2975" s="3">
        <f>K2975*L2975*(1-M2975)</f>
        <v/>
      </c>
      <c r="P2975" s="3">
        <f>O2975-N2975</f>
        <v/>
      </c>
      <c r="Q2975" s="5">
        <f>IFERROR(P2975/O2975,0)</f>
        <v/>
      </c>
      <c r="R2975" s="2">
        <f>TEXT(DATEVALUE(B2975),"mmm")</f>
        <v/>
      </c>
      <c r="S2975" s="2">
        <f>TEXT(DATEVALUE(B2975),"yyyy-mm")</f>
        <v/>
      </c>
    </row>
    <row r="2976">
      <c r="A2976" s="2" t="inlineStr">
        <is>
          <t>O000118</t>
        </is>
      </c>
      <c r="B2976" s="2" t="inlineStr">
        <is>
          <t>2025-08-04</t>
        </is>
      </c>
      <c r="C2976" s="2" t="inlineStr">
        <is>
          <t>C0175</t>
        </is>
      </c>
      <c r="D2976" s="2" t="inlineStr">
        <is>
          <t>P0010</t>
        </is>
      </c>
      <c r="E2976" s="2" t="inlineStr">
        <is>
          <t>Mixer Grinder</t>
        </is>
      </c>
      <c r="F2976" s="2" t="inlineStr">
        <is>
          <t>Home &amp; Kitchen</t>
        </is>
      </c>
      <c r="G2976" s="2" t="inlineStr">
        <is>
          <t>East</t>
        </is>
      </c>
      <c r="H2976" s="2" t="inlineStr">
        <is>
          <t>Bihar</t>
        </is>
      </c>
      <c r="I2976" s="2" t="inlineStr">
        <is>
          <t>Gaya</t>
        </is>
      </c>
      <c r="J2976" s="2" t="inlineStr">
        <is>
          <t>Online</t>
        </is>
      </c>
      <c r="K2976" s="2" t="n">
        <v>1</v>
      </c>
      <c r="L2976" s="3" t="n">
        <v>1628.05</v>
      </c>
      <c r="M2976" s="4" t="n">
        <v>0.25</v>
      </c>
      <c r="N2976" s="3" t="n">
        <v>1060.66</v>
      </c>
      <c r="O2976" s="3">
        <f>K2976*L2976*(1-M2976)</f>
        <v/>
      </c>
      <c r="P2976" s="3">
        <f>O2976-N2976</f>
        <v/>
      </c>
      <c r="Q2976" s="5">
        <f>IFERROR(P2976/O2976,0)</f>
        <v/>
      </c>
      <c r="R2976" s="2">
        <f>TEXT(DATEVALUE(B2976),"mmm")</f>
        <v/>
      </c>
      <c r="S2976" s="2">
        <f>TEXT(DATEVALUE(B2976),"yyyy-mm")</f>
        <v/>
      </c>
    </row>
    <row r="2977">
      <c r="A2977" s="2" t="inlineStr">
        <is>
          <t>O002377</t>
        </is>
      </c>
      <c r="B2977" s="2" t="inlineStr">
        <is>
          <t>2025-08-04</t>
        </is>
      </c>
      <c r="C2977" s="2" t="inlineStr">
        <is>
          <t>C0397</t>
        </is>
      </c>
      <c r="D2977" s="2" t="inlineStr">
        <is>
          <t>P0028</t>
        </is>
      </c>
      <c r="E2977" s="2" t="inlineStr">
        <is>
          <t>Trimmer</t>
        </is>
      </c>
      <c r="F2977" s="2" t="inlineStr">
        <is>
          <t>Beauty</t>
        </is>
      </c>
      <c r="G2977" s="2" t="inlineStr">
        <is>
          <t>East</t>
        </is>
      </c>
      <c r="H2977" s="2" t="inlineStr">
        <is>
          <t>Odisha</t>
        </is>
      </c>
      <c r="I2977" s="2" t="inlineStr">
        <is>
          <t>Bhubaneswar</t>
        </is>
      </c>
      <c r="J2977" s="2" t="inlineStr">
        <is>
          <t>Online</t>
        </is>
      </c>
      <c r="K2977" s="2" t="n">
        <v>1</v>
      </c>
      <c r="L2977" s="3" t="n">
        <v>467.95</v>
      </c>
      <c r="M2977" s="4" t="n">
        <v>0</v>
      </c>
      <c r="N2977" s="3" t="n">
        <v>249.45</v>
      </c>
      <c r="O2977" s="3">
        <f>K2977*L2977*(1-M2977)</f>
        <v/>
      </c>
      <c r="P2977" s="3">
        <f>O2977-N2977</f>
        <v/>
      </c>
      <c r="Q2977" s="5">
        <f>IFERROR(P2977/O2977,0)</f>
        <v/>
      </c>
      <c r="R2977" s="2">
        <f>TEXT(DATEVALUE(B2977),"mmm")</f>
        <v/>
      </c>
      <c r="S2977" s="2">
        <f>TEXT(DATEVALUE(B2977),"yyyy-mm")</f>
        <v/>
      </c>
    </row>
    <row r="2978">
      <c r="A2978" s="2" t="inlineStr">
        <is>
          <t>O004804</t>
        </is>
      </c>
      <c r="B2978" s="2" t="inlineStr">
        <is>
          <t>2025-08-05</t>
        </is>
      </c>
      <c r="C2978" s="2" t="inlineStr">
        <is>
          <t>C0798</t>
        </is>
      </c>
      <c r="D2978" s="2" t="inlineStr">
        <is>
          <t>P0024</t>
        </is>
      </c>
      <c r="E2978" s="2" t="inlineStr">
        <is>
          <t>Hair Dryer</t>
        </is>
      </c>
      <c r="F2978" s="2" t="inlineStr">
        <is>
          <t>Beauty</t>
        </is>
      </c>
      <c r="G2978" s="2" t="inlineStr">
        <is>
          <t>West</t>
        </is>
      </c>
      <c r="H2978" s="2" t="inlineStr">
        <is>
          <t>Maharashtra</t>
        </is>
      </c>
      <c r="I2978" s="2" t="inlineStr">
        <is>
          <t>Thane</t>
        </is>
      </c>
      <c r="J2978" s="2" t="inlineStr">
        <is>
          <t>Store</t>
        </is>
      </c>
      <c r="K2978" s="2" t="n">
        <v>1</v>
      </c>
      <c r="L2978" s="3" t="n">
        <v>964.05</v>
      </c>
      <c r="M2978" s="4" t="n">
        <v>0.1</v>
      </c>
      <c r="N2978" s="3" t="n">
        <v>751.9299999999999</v>
      </c>
      <c r="O2978" s="3">
        <f>K2978*L2978*(1-M2978)</f>
        <v/>
      </c>
      <c r="P2978" s="3">
        <f>O2978-N2978</f>
        <v/>
      </c>
      <c r="Q2978" s="5">
        <f>IFERROR(P2978/O2978,0)</f>
        <v/>
      </c>
      <c r="R2978" s="2">
        <f>TEXT(DATEVALUE(B2978),"mmm")</f>
        <v/>
      </c>
      <c r="S2978" s="2">
        <f>TEXT(DATEVALUE(B2978),"yyyy-mm")</f>
        <v/>
      </c>
    </row>
    <row r="2979">
      <c r="A2979" s="2" t="inlineStr">
        <is>
          <t>O003853</t>
        </is>
      </c>
      <c r="B2979" s="2" t="inlineStr">
        <is>
          <t>2025-08-05</t>
        </is>
      </c>
      <c r="C2979" s="2" t="inlineStr">
        <is>
          <t>C0393</t>
        </is>
      </c>
      <c r="D2979" s="2" t="inlineStr">
        <is>
          <t>P0007</t>
        </is>
      </c>
      <c r="E2979" s="2" t="inlineStr">
        <is>
          <t>Wireless Mouse</t>
        </is>
      </c>
      <c r="F2979" s="2" t="inlineStr">
        <is>
          <t>Electronics</t>
        </is>
      </c>
      <c r="G2979" s="2" t="inlineStr">
        <is>
          <t>South</t>
        </is>
      </c>
      <c r="H2979" s="2" t="inlineStr">
        <is>
          <t>Telangana</t>
        </is>
      </c>
      <c r="I2979" s="2" t="inlineStr">
        <is>
          <t>Hyderabad</t>
        </is>
      </c>
      <c r="J2979" s="2" t="inlineStr">
        <is>
          <t>Store</t>
        </is>
      </c>
      <c r="K2979" s="2" t="n">
        <v>1</v>
      </c>
      <c r="L2979" s="3" t="n">
        <v>947.6799999999999</v>
      </c>
      <c r="M2979" s="4" t="n">
        <v>0.25</v>
      </c>
      <c r="N2979" s="3" t="n">
        <v>611.4299999999999</v>
      </c>
      <c r="O2979" s="3">
        <f>K2979*L2979*(1-M2979)</f>
        <v/>
      </c>
      <c r="P2979" s="3">
        <f>O2979-N2979</f>
        <v/>
      </c>
      <c r="Q2979" s="5">
        <f>IFERROR(P2979/O2979,0)</f>
        <v/>
      </c>
      <c r="R2979" s="2">
        <f>TEXT(DATEVALUE(B2979),"mmm")</f>
        <v/>
      </c>
      <c r="S2979" s="2">
        <f>TEXT(DATEVALUE(B2979),"yyyy-mm")</f>
        <v/>
      </c>
    </row>
    <row r="2980">
      <c r="A2980" s="2" t="inlineStr">
        <is>
          <t>O003716</t>
        </is>
      </c>
      <c r="B2980" s="2" t="inlineStr">
        <is>
          <t>2025-08-05</t>
        </is>
      </c>
      <c r="C2980" s="2" t="inlineStr">
        <is>
          <t>C0500</t>
        </is>
      </c>
      <c r="D2980" s="2" t="inlineStr">
        <is>
          <t>P0014</t>
        </is>
      </c>
      <c r="E2980" s="2" t="inlineStr">
        <is>
          <t>Coffee Maker</t>
        </is>
      </c>
      <c r="F2980" s="2" t="inlineStr">
        <is>
          <t>Home &amp; Kitchen</t>
        </is>
      </c>
      <c r="G2980" s="2" t="inlineStr">
        <is>
          <t>West</t>
        </is>
      </c>
      <c r="H2980" s="2" t="inlineStr">
        <is>
          <t>Gujarat</t>
        </is>
      </c>
      <c r="I2980" s="2" t="inlineStr">
        <is>
          <t>Ahmedabad</t>
        </is>
      </c>
      <c r="J2980" s="2" t="inlineStr">
        <is>
          <t>Store</t>
        </is>
      </c>
      <c r="K2980" s="2" t="n">
        <v>1</v>
      </c>
      <c r="L2980" s="3" t="n">
        <v>1002.07</v>
      </c>
      <c r="M2980" s="4" t="n">
        <v>0</v>
      </c>
      <c r="N2980" s="3" t="n">
        <v>758.75</v>
      </c>
      <c r="O2980" s="3">
        <f>K2980*L2980*(1-M2980)</f>
        <v/>
      </c>
      <c r="P2980" s="3">
        <f>O2980-N2980</f>
        <v/>
      </c>
      <c r="Q2980" s="5">
        <f>IFERROR(P2980/O2980,0)</f>
        <v/>
      </c>
      <c r="R2980" s="2">
        <f>TEXT(DATEVALUE(B2980),"mmm")</f>
        <v/>
      </c>
      <c r="S2980" s="2">
        <f>TEXT(DATEVALUE(B2980),"yyyy-mm")</f>
        <v/>
      </c>
    </row>
    <row r="2981">
      <c r="A2981" s="2" t="inlineStr">
        <is>
          <t>O002847</t>
        </is>
      </c>
      <c r="B2981" s="2" t="inlineStr">
        <is>
          <t>2025-08-05</t>
        </is>
      </c>
      <c r="C2981" s="2" t="inlineStr">
        <is>
          <t>C0583</t>
        </is>
      </c>
      <c r="D2981" s="2" t="inlineStr">
        <is>
          <t>P0013</t>
        </is>
      </c>
      <c r="E2981" s="2" t="inlineStr">
        <is>
          <t>Storage Organizer</t>
        </is>
      </c>
      <c r="F2981" s="2" t="inlineStr">
        <is>
          <t>Home &amp; Kitchen</t>
        </is>
      </c>
      <c r="G2981" s="2" t="inlineStr">
        <is>
          <t>North</t>
        </is>
      </c>
      <c r="H2981" s="2" t="inlineStr">
        <is>
          <t>Uttar Pradesh</t>
        </is>
      </c>
      <c r="I2981" s="2" t="inlineStr">
        <is>
          <t>Kanpur</t>
        </is>
      </c>
      <c r="J2981" s="2" t="inlineStr">
        <is>
          <t>Online</t>
        </is>
      </c>
      <c r="K2981" s="2" t="n">
        <v>2</v>
      </c>
      <c r="L2981" s="3" t="n">
        <v>549.83</v>
      </c>
      <c r="M2981" s="4" t="n">
        <v>0.1</v>
      </c>
      <c r="N2981" s="3" t="n">
        <v>747.85</v>
      </c>
      <c r="O2981" s="3">
        <f>K2981*L2981*(1-M2981)</f>
        <v/>
      </c>
      <c r="P2981" s="3">
        <f>O2981-N2981</f>
        <v/>
      </c>
      <c r="Q2981" s="5">
        <f>IFERROR(P2981/O2981,0)</f>
        <v/>
      </c>
      <c r="R2981" s="2">
        <f>TEXT(DATEVALUE(B2981),"mmm")</f>
        <v/>
      </c>
      <c r="S2981" s="2">
        <f>TEXT(DATEVALUE(B2981),"yyyy-mm")</f>
        <v/>
      </c>
    </row>
    <row r="2982">
      <c r="A2982" s="2" t="inlineStr">
        <is>
          <t>O002584</t>
        </is>
      </c>
      <c r="B2982" s="2" t="inlineStr">
        <is>
          <t>2025-08-05</t>
        </is>
      </c>
      <c r="C2982" s="2" t="inlineStr">
        <is>
          <t>C0338</t>
        </is>
      </c>
      <c r="D2982" s="2" t="inlineStr">
        <is>
          <t>P0012</t>
        </is>
      </c>
      <c r="E2982" s="2" t="inlineStr">
        <is>
          <t>Water Bottle</t>
        </is>
      </c>
      <c r="F2982" s="2" t="inlineStr">
        <is>
          <t>Home &amp; Kitchen</t>
        </is>
      </c>
      <c r="G2982" s="2" t="inlineStr">
        <is>
          <t>North</t>
        </is>
      </c>
      <c r="H2982" s="2" t="inlineStr">
        <is>
          <t>Haryana</t>
        </is>
      </c>
      <c r="I2982" s="2" t="inlineStr">
        <is>
          <t>Gurugram</t>
        </is>
      </c>
      <c r="J2982" s="2" t="inlineStr">
        <is>
          <t>Store</t>
        </is>
      </c>
      <c r="K2982" s="2" t="n">
        <v>1</v>
      </c>
      <c r="L2982" s="3" t="n">
        <v>971.6</v>
      </c>
      <c r="M2982" s="4" t="n">
        <v>0.1</v>
      </c>
      <c r="N2982" s="3" t="n">
        <v>643.25</v>
      </c>
      <c r="O2982" s="3">
        <f>K2982*L2982*(1-M2982)</f>
        <v/>
      </c>
      <c r="P2982" s="3">
        <f>O2982-N2982</f>
        <v/>
      </c>
      <c r="Q2982" s="5">
        <f>IFERROR(P2982/O2982,0)</f>
        <v/>
      </c>
      <c r="R2982" s="2">
        <f>TEXT(DATEVALUE(B2982),"mmm")</f>
        <v/>
      </c>
      <c r="S2982" s="2">
        <f>TEXT(DATEVALUE(B2982),"yyyy-mm")</f>
        <v/>
      </c>
    </row>
    <row r="2983">
      <c r="A2983" s="2" t="inlineStr">
        <is>
          <t>O002029</t>
        </is>
      </c>
      <c r="B2983" s="2" t="inlineStr">
        <is>
          <t>2025-08-05</t>
        </is>
      </c>
      <c r="C2983" s="2" t="inlineStr">
        <is>
          <t>C0501</t>
        </is>
      </c>
      <c r="D2983" s="2" t="inlineStr">
        <is>
          <t>P0032</t>
        </is>
      </c>
      <c r="E2983" s="2" t="inlineStr">
        <is>
          <t>Football</t>
        </is>
      </c>
      <c r="F2983" s="2" t="inlineStr">
        <is>
          <t>Sports</t>
        </is>
      </c>
      <c r="G2983" s="2" t="inlineStr">
        <is>
          <t>West</t>
        </is>
      </c>
      <c r="H2983" s="2" t="inlineStr">
        <is>
          <t>Goa</t>
        </is>
      </c>
      <c r="I2983" s="2" t="inlineStr">
        <is>
          <t>Margao</t>
        </is>
      </c>
      <c r="J2983" s="2" t="inlineStr">
        <is>
          <t>Online</t>
        </is>
      </c>
      <c r="K2983" s="2" t="n">
        <v>2</v>
      </c>
      <c r="L2983" s="3" t="n">
        <v>793</v>
      </c>
      <c r="M2983" s="4" t="n">
        <v>0.05</v>
      </c>
      <c r="N2983" s="3" t="n">
        <v>1042.75</v>
      </c>
      <c r="O2983" s="3">
        <f>K2983*L2983*(1-M2983)</f>
        <v/>
      </c>
      <c r="P2983" s="3">
        <f>O2983-N2983</f>
        <v/>
      </c>
      <c r="Q2983" s="5">
        <f>IFERROR(P2983/O2983,0)</f>
        <v/>
      </c>
      <c r="R2983" s="2">
        <f>TEXT(DATEVALUE(B2983),"mmm")</f>
        <v/>
      </c>
      <c r="S2983" s="2">
        <f>TEXT(DATEVALUE(B2983),"yyyy-mm")</f>
        <v/>
      </c>
    </row>
    <row r="2984">
      <c r="A2984" s="2" t="inlineStr">
        <is>
          <t>O001804</t>
        </is>
      </c>
      <c r="B2984" s="2" t="inlineStr">
        <is>
          <t>2025-08-05</t>
        </is>
      </c>
      <c r="C2984" s="2" t="inlineStr">
        <is>
          <t>C0375</t>
        </is>
      </c>
      <c r="D2984" s="2" t="inlineStr">
        <is>
          <t>P0005</t>
        </is>
      </c>
      <c r="E2984" s="2" t="inlineStr">
        <is>
          <t>Power Bank</t>
        </is>
      </c>
      <c r="F2984" s="2" t="inlineStr">
        <is>
          <t>Electronics</t>
        </is>
      </c>
      <c r="G2984" s="2" t="inlineStr">
        <is>
          <t>East</t>
        </is>
      </c>
      <c r="H2984" s="2" t="inlineStr">
        <is>
          <t>Bihar</t>
        </is>
      </c>
      <c r="I2984" s="2" t="inlineStr">
        <is>
          <t>Patna</t>
        </is>
      </c>
      <c r="J2984" s="2" t="inlineStr">
        <is>
          <t>Store</t>
        </is>
      </c>
      <c r="K2984" s="2" t="n">
        <v>3</v>
      </c>
      <c r="L2984" s="3" t="n">
        <v>1121.57</v>
      </c>
      <c r="M2984" s="4" t="n">
        <v>0.05</v>
      </c>
      <c r="N2984" s="3" t="n">
        <v>2085.97</v>
      </c>
      <c r="O2984" s="3">
        <f>K2984*L2984*(1-M2984)</f>
        <v/>
      </c>
      <c r="P2984" s="3">
        <f>O2984-N2984</f>
        <v/>
      </c>
      <c r="Q2984" s="5">
        <f>IFERROR(P2984/O2984,0)</f>
        <v/>
      </c>
      <c r="R2984" s="2">
        <f>TEXT(DATEVALUE(B2984),"mmm")</f>
        <v/>
      </c>
      <c r="S2984" s="2">
        <f>TEXT(DATEVALUE(B2984),"yyyy-mm")</f>
        <v/>
      </c>
    </row>
    <row r="2985">
      <c r="A2985" s="2" t="inlineStr">
        <is>
          <t>O004182</t>
        </is>
      </c>
      <c r="B2985" s="2" t="inlineStr">
        <is>
          <t>2025-08-05</t>
        </is>
      </c>
      <c r="C2985" s="2" t="inlineStr">
        <is>
          <t>C0481</t>
        </is>
      </c>
      <c r="D2985" s="2" t="inlineStr">
        <is>
          <t>P0011</t>
        </is>
      </c>
      <c r="E2985" s="2" t="inlineStr">
        <is>
          <t>Cookware Set</t>
        </is>
      </c>
      <c r="F2985" s="2" t="inlineStr">
        <is>
          <t>Home &amp; Kitchen</t>
        </is>
      </c>
      <c r="G2985" s="2" t="inlineStr">
        <is>
          <t>West</t>
        </is>
      </c>
      <c r="H2985" s="2" t="inlineStr">
        <is>
          <t>Maharashtra</t>
        </is>
      </c>
      <c r="I2985" s="2" t="inlineStr">
        <is>
          <t>Pune</t>
        </is>
      </c>
      <c r="J2985" s="2" t="inlineStr">
        <is>
          <t>Online</t>
        </is>
      </c>
      <c r="K2985" s="2" t="n">
        <v>3</v>
      </c>
      <c r="L2985" s="3" t="n">
        <v>688.41</v>
      </c>
      <c r="M2985" s="4" t="n">
        <v>0</v>
      </c>
      <c r="N2985" s="3" t="n">
        <v>1400.9</v>
      </c>
      <c r="O2985" s="3">
        <f>K2985*L2985*(1-M2985)</f>
        <v/>
      </c>
      <c r="P2985" s="3">
        <f>O2985-N2985</f>
        <v/>
      </c>
      <c r="Q2985" s="5">
        <f>IFERROR(P2985/O2985,0)</f>
        <v/>
      </c>
      <c r="R2985" s="2">
        <f>TEXT(DATEVALUE(B2985),"mmm")</f>
        <v/>
      </c>
      <c r="S2985" s="2">
        <f>TEXT(DATEVALUE(B2985),"yyyy-mm")</f>
        <v/>
      </c>
    </row>
    <row r="2986">
      <c r="A2986" s="2" t="inlineStr">
        <is>
          <t>O000733</t>
        </is>
      </c>
      <c r="B2986" s="2" t="inlineStr">
        <is>
          <t>2025-08-05</t>
        </is>
      </c>
      <c r="C2986" s="2" t="inlineStr">
        <is>
          <t>C0719</t>
        </is>
      </c>
      <c r="D2986" s="2" t="inlineStr">
        <is>
          <t>P0006</t>
        </is>
      </c>
      <c r="E2986" s="2" t="inlineStr">
        <is>
          <t>Mechanical Keyboard</t>
        </is>
      </c>
      <c r="F2986" s="2" t="inlineStr">
        <is>
          <t>Electronics</t>
        </is>
      </c>
      <c r="G2986" s="2" t="inlineStr">
        <is>
          <t>East</t>
        </is>
      </c>
      <c r="H2986" s="2" t="inlineStr">
        <is>
          <t>West Bengal</t>
        </is>
      </c>
      <c r="I2986" s="2" t="inlineStr">
        <is>
          <t>Kolkata</t>
        </is>
      </c>
      <c r="J2986" s="2" t="inlineStr">
        <is>
          <t>Store</t>
        </is>
      </c>
      <c r="K2986" s="2" t="n">
        <v>2</v>
      </c>
      <c r="L2986" s="3" t="n">
        <v>2701.75</v>
      </c>
      <c r="M2986" s="4" t="n">
        <v>0.15</v>
      </c>
      <c r="N2986" s="3" t="n">
        <v>3051.44</v>
      </c>
      <c r="O2986" s="3">
        <f>K2986*L2986*(1-M2986)</f>
        <v/>
      </c>
      <c r="P2986" s="3">
        <f>O2986-N2986</f>
        <v/>
      </c>
      <c r="Q2986" s="5">
        <f>IFERROR(P2986/O2986,0)</f>
        <v/>
      </c>
      <c r="R2986" s="2">
        <f>TEXT(DATEVALUE(B2986),"mmm")</f>
        <v/>
      </c>
      <c r="S2986" s="2">
        <f>TEXT(DATEVALUE(B2986),"yyyy-mm")</f>
        <v/>
      </c>
    </row>
    <row r="2987">
      <c r="A2987" s="2" t="inlineStr">
        <is>
          <t>O000624</t>
        </is>
      </c>
      <c r="B2987" s="2" t="inlineStr">
        <is>
          <t>2025-08-05</t>
        </is>
      </c>
      <c r="C2987" s="2" t="inlineStr">
        <is>
          <t>C0332</t>
        </is>
      </c>
      <c r="D2987" s="2" t="inlineStr">
        <is>
          <t>P0031</t>
        </is>
      </c>
      <c r="E2987" s="2" t="inlineStr">
        <is>
          <t>Cricket Bat</t>
        </is>
      </c>
      <c r="F2987" s="2" t="inlineStr">
        <is>
          <t>Sports</t>
        </is>
      </c>
      <c r="G2987" s="2" t="inlineStr">
        <is>
          <t>West</t>
        </is>
      </c>
      <c r="H2987" s="2" t="inlineStr">
        <is>
          <t>Maharashtra</t>
        </is>
      </c>
      <c r="I2987" s="2" t="inlineStr">
        <is>
          <t>Nashik</t>
        </is>
      </c>
      <c r="J2987" s="2" t="inlineStr">
        <is>
          <t>Online</t>
        </is>
      </c>
      <c r="K2987" s="2" t="n">
        <v>1</v>
      </c>
      <c r="L2987" s="3" t="n">
        <v>1440.16</v>
      </c>
      <c r="M2987" s="4" t="n">
        <v>0.05</v>
      </c>
      <c r="N2987" s="3" t="n">
        <v>957.09</v>
      </c>
      <c r="O2987" s="3">
        <f>K2987*L2987*(1-M2987)</f>
        <v/>
      </c>
      <c r="P2987" s="3">
        <f>O2987-N2987</f>
        <v/>
      </c>
      <c r="Q2987" s="5">
        <f>IFERROR(P2987/O2987,0)</f>
        <v/>
      </c>
      <c r="R2987" s="2">
        <f>TEXT(DATEVALUE(B2987),"mmm")</f>
        <v/>
      </c>
      <c r="S2987" s="2">
        <f>TEXT(DATEVALUE(B2987),"yyyy-mm")</f>
        <v/>
      </c>
    </row>
    <row r="2988">
      <c r="A2988" s="2" t="inlineStr">
        <is>
          <t>O000564</t>
        </is>
      </c>
      <c r="B2988" s="2" t="inlineStr">
        <is>
          <t>2025-08-05</t>
        </is>
      </c>
      <c r="C2988" s="2" t="inlineStr">
        <is>
          <t>C0769</t>
        </is>
      </c>
      <c r="D2988" s="2" t="inlineStr">
        <is>
          <t>P0003</t>
        </is>
      </c>
      <c r="E2988" s="2" t="inlineStr">
        <is>
          <t>Smartwatch</t>
        </is>
      </c>
      <c r="F2988" s="2" t="inlineStr">
        <is>
          <t>Electronics</t>
        </is>
      </c>
      <c r="G2988" s="2" t="inlineStr">
        <is>
          <t>South</t>
        </is>
      </c>
      <c r="H2988" s="2" t="inlineStr">
        <is>
          <t>Kerala</t>
        </is>
      </c>
      <c r="I2988" s="2" t="inlineStr">
        <is>
          <t>Thiruvananthapuram</t>
        </is>
      </c>
      <c r="J2988" s="2" t="inlineStr">
        <is>
          <t>Store</t>
        </is>
      </c>
      <c r="K2988" s="2" t="n">
        <v>3</v>
      </c>
      <c r="L2988" s="3" t="n">
        <v>2323.85</v>
      </c>
      <c r="M2988" s="4" t="n">
        <v>0.05</v>
      </c>
      <c r="N2988" s="3" t="n">
        <v>3655.98</v>
      </c>
      <c r="O2988" s="3">
        <f>K2988*L2988*(1-M2988)</f>
        <v/>
      </c>
      <c r="P2988" s="3">
        <f>O2988-N2988</f>
        <v/>
      </c>
      <c r="Q2988" s="5">
        <f>IFERROR(P2988/O2988,0)</f>
        <v/>
      </c>
      <c r="R2988" s="2">
        <f>TEXT(DATEVALUE(B2988),"mmm")</f>
        <v/>
      </c>
      <c r="S2988" s="2">
        <f>TEXT(DATEVALUE(B2988),"yyyy-mm")</f>
        <v/>
      </c>
    </row>
    <row r="2989">
      <c r="A2989" s="2" t="inlineStr">
        <is>
          <t>O000557</t>
        </is>
      </c>
      <c r="B2989" s="2" t="inlineStr">
        <is>
          <t>2025-08-05</t>
        </is>
      </c>
      <c r="C2989" s="2" t="inlineStr">
        <is>
          <t>C0325</t>
        </is>
      </c>
      <c r="D2989" s="2" t="inlineStr">
        <is>
          <t>P0005</t>
        </is>
      </c>
      <c r="E2989" s="2" t="inlineStr">
        <is>
          <t>Power Bank</t>
        </is>
      </c>
      <c r="F2989" s="2" t="inlineStr">
        <is>
          <t>Electronics</t>
        </is>
      </c>
      <c r="G2989" s="2" t="inlineStr">
        <is>
          <t>South</t>
        </is>
      </c>
      <c r="H2989" s="2" t="inlineStr">
        <is>
          <t>Kerala</t>
        </is>
      </c>
      <c r="I2989" s="2" t="inlineStr">
        <is>
          <t>Thiruvananthapuram</t>
        </is>
      </c>
      <c r="J2989" s="2" t="inlineStr">
        <is>
          <t>Store</t>
        </is>
      </c>
      <c r="K2989" s="2" t="n">
        <v>1</v>
      </c>
      <c r="L2989" s="3" t="n">
        <v>1151.38</v>
      </c>
      <c r="M2989" s="4" t="n">
        <v>0.1</v>
      </c>
      <c r="N2989" s="3" t="n">
        <v>661.11</v>
      </c>
      <c r="O2989" s="3">
        <f>K2989*L2989*(1-M2989)</f>
        <v/>
      </c>
      <c r="P2989" s="3">
        <f>O2989-N2989</f>
        <v/>
      </c>
      <c r="Q2989" s="5">
        <f>IFERROR(P2989/O2989,0)</f>
        <v/>
      </c>
      <c r="R2989" s="2">
        <f>TEXT(DATEVALUE(B2989),"mmm")</f>
        <v/>
      </c>
      <c r="S2989" s="2">
        <f>TEXT(DATEVALUE(B2989),"yyyy-mm")</f>
        <v/>
      </c>
    </row>
    <row r="2990">
      <c r="A2990" s="2" t="inlineStr">
        <is>
          <t>O000537</t>
        </is>
      </c>
      <c r="B2990" s="2" t="inlineStr">
        <is>
          <t>2025-08-05</t>
        </is>
      </c>
      <c r="C2990" s="2" t="inlineStr">
        <is>
          <t>C0695</t>
        </is>
      </c>
      <c r="D2990" s="2" t="inlineStr">
        <is>
          <t>P0022</t>
        </is>
      </c>
      <c r="E2990" s="2" t="inlineStr">
        <is>
          <t>Face Wash</t>
        </is>
      </c>
      <c r="F2990" s="2" t="inlineStr">
        <is>
          <t>Beauty</t>
        </is>
      </c>
      <c r="G2990" s="2" t="inlineStr">
        <is>
          <t>West</t>
        </is>
      </c>
      <c r="H2990" s="2" t="inlineStr">
        <is>
          <t>Goa</t>
        </is>
      </c>
      <c r="I2990" s="2" t="inlineStr">
        <is>
          <t>Panaji</t>
        </is>
      </c>
      <c r="J2990" s="2" t="inlineStr">
        <is>
          <t>Online</t>
        </is>
      </c>
      <c r="K2990" s="2" t="n">
        <v>3</v>
      </c>
      <c r="L2990" s="3" t="n">
        <v>548.63</v>
      </c>
      <c r="M2990" s="4" t="n">
        <v>0.1</v>
      </c>
      <c r="N2990" s="3" t="n">
        <v>1058.32</v>
      </c>
      <c r="O2990" s="3">
        <f>K2990*L2990*(1-M2990)</f>
        <v/>
      </c>
      <c r="P2990" s="3">
        <f>O2990-N2990</f>
        <v/>
      </c>
      <c r="Q2990" s="5">
        <f>IFERROR(P2990/O2990,0)</f>
        <v/>
      </c>
      <c r="R2990" s="2">
        <f>TEXT(DATEVALUE(B2990),"mmm")</f>
        <v/>
      </c>
      <c r="S2990" s="2">
        <f>TEXT(DATEVALUE(B2990),"yyyy-mm")</f>
        <v/>
      </c>
    </row>
    <row r="2991">
      <c r="A2991" s="2" t="inlineStr">
        <is>
          <t>O000088</t>
        </is>
      </c>
      <c r="B2991" s="2" t="inlineStr">
        <is>
          <t>2025-08-05</t>
        </is>
      </c>
      <c r="C2991" s="2" t="inlineStr">
        <is>
          <t>C0785</t>
        </is>
      </c>
      <c r="D2991" s="2" t="inlineStr">
        <is>
          <t>P0016</t>
        </is>
      </c>
      <c r="E2991" s="2" t="inlineStr">
        <is>
          <t>Casual Shirt</t>
        </is>
      </c>
      <c r="F2991" s="2" t="inlineStr">
        <is>
          <t>Fashion</t>
        </is>
      </c>
      <c r="G2991" s="2" t="inlineStr">
        <is>
          <t>North</t>
        </is>
      </c>
      <c r="H2991" s="2" t="inlineStr">
        <is>
          <t>Delhi</t>
        </is>
      </c>
      <c r="I2991" s="2" t="inlineStr">
        <is>
          <t>New Delhi</t>
        </is>
      </c>
      <c r="J2991" s="2" t="inlineStr">
        <is>
          <t>Store</t>
        </is>
      </c>
      <c r="K2991" s="2" t="n">
        <v>1</v>
      </c>
      <c r="L2991" s="3" t="n">
        <v>1301.43</v>
      </c>
      <c r="M2991" s="4" t="n">
        <v>0.1</v>
      </c>
      <c r="N2991" s="3" t="n">
        <v>917.39</v>
      </c>
      <c r="O2991" s="3">
        <f>K2991*L2991*(1-M2991)</f>
        <v/>
      </c>
      <c r="P2991" s="3">
        <f>O2991-N2991</f>
        <v/>
      </c>
      <c r="Q2991" s="5">
        <f>IFERROR(P2991/O2991,0)</f>
        <v/>
      </c>
      <c r="R2991" s="2">
        <f>TEXT(DATEVALUE(B2991),"mmm")</f>
        <v/>
      </c>
      <c r="S2991" s="2">
        <f>TEXT(DATEVALUE(B2991),"yyyy-mm")</f>
        <v/>
      </c>
    </row>
    <row r="2992">
      <c r="A2992" s="2" t="inlineStr">
        <is>
          <t>O001411</t>
        </is>
      </c>
      <c r="B2992" s="2" t="inlineStr">
        <is>
          <t>2025-08-05</t>
        </is>
      </c>
      <c r="C2992" s="2" t="inlineStr">
        <is>
          <t>C0251</t>
        </is>
      </c>
      <c r="D2992" s="2" t="inlineStr">
        <is>
          <t>P0014</t>
        </is>
      </c>
      <c r="E2992" s="2" t="inlineStr">
        <is>
          <t>Coffee Maker</t>
        </is>
      </c>
      <c r="F2992" s="2" t="inlineStr">
        <is>
          <t>Home &amp; Kitchen</t>
        </is>
      </c>
      <c r="G2992" s="2" t="inlineStr">
        <is>
          <t>North</t>
        </is>
      </c>
      <c r="H2992" s="2" t="inlineStr">
        <is>
          <t>Delhi</t>
        </is>
      </c>
      <c r="I2992" s="2" t="inlineStr">
        <is>
          <t>New Delhi</t>
        </is>
      </c>
      <c r="J2992" s="2" t="inlineStr">
        <is>
          <t>Online</t>
        </is>
      </c>
      <c r="K2992" s="2" t="n">
        <v>2</v>
      </c>
      <c r="L2992" s="3" t="n">
        <v>1062.98</v>
      </c>
      <c r="M2992" s="4" t="n">
        <v>0.05</v>
      </c>
      <c r="N2992" s="3" t="n">
        <v>1532.57</v>
      </c>
      <c r="O2992" s="3">
        <f>K2992*L2992*(1-M2992)</f>
        <v/>
      </c>
      <c r="P2992" s="3">
        <f>O2992-N2992</f>
        <v/>
      </c>
      <c r="Q2992" s="5">
        <f>IFERROR(P2992/O2992,0)</f>
        <v/>
      </c>
      <c r="R2992" s="2">
        <f>TEXT(DATEVALUE(B2992),"mmm")</f>
        <v/>
      </c>
      <c r="S2992" s="2">
        <f>TEXT(DATEVALUE(B2992),"yyyy-mm")</f>
        <v/>
      </c>
    </row>
    <row r="2993">
      <c r="A2993" s="2" t="inlineStr">
        <is>
          <t>O004758</t>
        </is>
      </c>
      <c r="B2993" s="2" t="inlineStr">
        <is>
          <t>2025-08-06</t>
        </is>
      </c>
      <c r="C2993" s="2" t="inlineStr">
        <is>
          <t>C0017</t>
        </is>
      </c>
      <c r="D2993" s="2" t="inlineStr">
        <is>
          <t>P0017</t>
        </is>
      </c>
      <c r="E2993" s="2" t="inlineStr">
        <is>
          <t>Jeans</t>
        </is>
      </c>
      <c r="F2993" s="2" t="inlineStr">
        <is>
          <t>Fashion</t>
        </is>
      </c>
      <c r="G2993" s="2" t="inlineStr">
        <is>
          <t>North</t>
        </is>
      </c>
      <c r="H2993" s="2" t="inlineStr">
        <is>
          <t>Delhi</t>
        </is>
      </c>
      <c r="I2993" s="2" t="inlineStr">
        <is>
          <t>New Delhi</t>
        </is>
      </c>
      <c r="J2993" s="2" t="inlineStr">
        <is>
          <t>Store</t>
        </is>
      </c>
      <c r="K2993" s="2" t="n">
        <v>2</v>
      </c>
      <c r="L2993" s="3" t="n">
        <v>1489.66</v>
      </c>
      <c r="M2993" s="4" t="n">
        <v>0</v>
      </c>
      <c r="N2993" s="3" t="n">
        <v>2059.37</v>
      </c>
      <c r="O2993" s="3">
        <f>K2993*L2993*(1-M2993)</f>
        <v/>
      </c>
      <c r="P2993" s="3">
        <f>O2993-N2993</f>
        <v/>
      </c>
      <c r="Q2993" s="5">
        <f>IFERROR(P2993/O2993,0)</f>
        <v/>
      </c>
      <c r="R2993" s="2">
        <f>TEXT(DATEVALUE(B2993),"mmm")</f>
        <v/>
      </c>
      <c r="S2993" s="2">
        <f>TEXT(DATEVALUE(B2993),"yyyy-mm")</f>
        <v/>
      </c>
    </row>
    <row r="2994">
      <c r="A2994" s="2" t="inlineStr">
        <is>
          <t>O004303</t>
        </is>
      </c>
      <c r="B2994" s="2" t="inlineStr">
        <is>
          <t>2025-08-06</t>
        </is>
      </c>
      <c r="C2994" s="2" t="inlineStr">
        <is>
          <t>C0111</t>
        </is>
      </c>
      <c r="D2994" s="2" t="inlineStr">
        <is>
          <t>P0031</t>
        </is>
      </c>
      <c r="E2994" s="2" t="inlineStr">
        <is>
          <t>Cricket Bat</t>
        </is>
      </c>
      <c r="F2994" s="2" t="inlineStr">
        <is>
          <t>Sports</t>
        </is>
      </c>
      <c r="G2994" s="2" t="inlineStr">
        <is>
          <t>East</t>
        </is>
      </c>
      <c r="H2994" s="2" t="inlineStr">
        <is>
          <t>Odisha</t>
        </is>
      </c>
      <c r="I2994" s="2" t="inlineStr">
        <is>
          <t>Cuttack</t>
        </is>
      </c>
      <c r="J2994" s="2" t="inlineStr">
        <is>
          <t>Online</t>
        </is>
      </c>
      <c r="K2994" s="2" t="n">
        <v>3</v>
      </c>
      <c r="L2994" s="3" t="n">
        <v>1330.59</v>
      </c>
      <c r="M2994" s="4" t="n">
        <v>0.05</v>
      </c>
      <c r="N2994" s="3" t="n">
        <v>2817.81</v>
      </c>
      <c r="O2994" s="3">
        <f>K2994*L2994*(1-M2994)</f>
        <v/>
      </c>
      <c r="P2994" s="3">
        <f>O2994-N2994</f>
        <v/>
      </c>
      <c r="Q2994" s="5">
        <f>IFERROR(P2994/O2994,0)</f>
        <v/>
      </c>
      <c r="R2994" s="2">
        <f>TEXT(DATEVALUE(B2994),"mmm")</f>
        <v/>
      </c>
      <c r="S2994" s="2">
        <f>TEXT(DATEVALUE(B2994),"yyyy-mm")</f>
        <v/>
      </c>
    </row>
    <row r="2995">
      <c r="A2995" s="2" t="inlineStr">
        <is>
          <t>O003866</t>
        </is>
      </c>
      <c r="B2995" s="2" t="inlineStr">
        <is>
          <t>2025-08-06</t>
        </is>
      </c>
      <c r="C2995" s="2" t="inlineStr">
        <is>
          <t>C0562</t>
        </is>
      </c>
      <c r="D2995" s="2" t="inlineStr">
        <is>
          <t>P0035</t>
        </is>
      </c>
      <c r="E2995" s="2" t="inlineStr">
        <is>
          <t>Skipping Rope</t>
        </is>
      </c>
      <c r="F2995" s="2" t="inlineStr">
        <is>
          <t>Sports</t>
        </is>
      </c>
      <c r="G2995" s="2" t="inlineStr">
        <is>
          <t>East</t>
        </is>
      </c>
      <c r="H2995" s="2" t="inlineStr">
        <is>
          <t>Odisha</t>
        </is>
      </c>
      <c r="I2995" s="2" t="inlineStr">
        <is>
          <t>Cuttack</t>
        </is>
      </c>
      <c r="J2995" s="2" t="inlineStr">
        <is>
          <t>Online</t>
        </is>
      </c>
      <c r="K2995" s="2" t="n">
        <v>2</v>
      </c>
      <c r="L2995" s="3" t="n">
        <v>734.89</v>
      </c>
      <c r="M2995" s="4" t="n">
        <v>0</v>
      </c>
      <c r="N2995" s="3" t="n">
        <v>797.25</v>
      </c>
      <c r="O2995" s="3">
        <f>K2995*L2995*(1-M2995)</f>
        <v/>
      </c>
      <c r="P2995" s="3">
        <f>O2995-N2995</f>
        <v/>
      </c>
      <c r="Q2995" s="5">
        <f>IFERROR(P2995/O2995,0)</f>
        <v/>
      </c>
      <c r="R2995" s="2">
        <f>TEXT(DATEVALUE(B2995),"mmm")</f>
        <v/>
      </c>
      <c r="S2995" s="2">
        <f>TEXT(DATEVALUE(B2995),"yyyy-mm")</f>
        <v/>
      </c>
    </row>
    <row r="2996">
      <c r="A2996" s="2" t="inlineStr">
        <is>
          <t>O003714</t>
        </is>
      </c>
      <c r="B2996" s="2" t="inlineStr">
        <is>
          <t>2025-08-06</t>
        </is>
      </c>
      <c r="C2996" s="2" t="inlineStr">
        <is>
          <t>C0393</t>
        </is>
      </c>
      <c r="D2996" s="2" t="inlineStr">
        <is>
          <t>P0029</t>
        </is>
      </c>
      <c r="E2996" s="2" t="inlineStr">
        <is>
          <t>Yoga Mat</t>
        </is>
      </c>
      <c r="F2996" s="2" t="inlineStr">
        <is>
          <t>Sports</t>
        </is>
      </c>
      <c r="G2996" s="2" t="inlineStr">
        <is>
          <t>North</t>
        </is>
      </c>
      <c r="H2996" s="2" t="inlineStr">
        <is>
          <t>Haryana</t>
        </is>
      </c>
      <c r="I2996" s="2" t="inlineStr">
        <is>
          <t>Gurugram</t>
        </is>
      </c>
      <c r="J2996" s="2" t="inlineStr">
        <is>
          <t>Online</t>
        </is>
      </c>
      <c r="K2996" s="2" t="n">
        <v>3</v>
      </c>
      <c r="L2996" s="3" t="n">
        <v>2374.96</v>
      </c>
      <c r="M2996" s="4" t="n">
        <v>0.05</v>
      </c>
      <c r="N2996" s="3" t="n">
        <v>3879.2</v>
      </c>
      <c r="O2996" s="3">
        <f>K2996*L2996*(1-M2996)</f>
        <v/>
      </c>
      <c r="P2996" s="3">
        <f>O2996-N2996</f>
        <v/>
      </c>
      <c r="Q2996" s="5">
        <f>IFERROR(P2996/O2996,0)</f>
        <v/>
      </c>
      <c r="R2996" s="2">
        <f>TEXT(DATEVALUE(B2996),"mmm")</f>
        <v/>
      </c>
      <c r="S2996" s="2">
        <f>TEXT(DATEVALUE(B2996),"yyyy-mm")</f>
        <v/>
      </c>
    </row>
    <row r="2997">
      <c r="A2997" s="2" t="inlineStr">
        <is>
          <t>O003224</t>
        </is>
      </c>
      <c r="B2997" s="2" t="inlineStr">
        <is>
          <t>2025-08-06</t>
        </is>
      </c>
      <c r="C2997" s="2" t="inlineStr">
        <is>
          <t>C0014</t>
        </is>
      </c>
      <c r="D2997" s="2" t="inlineStr">
        <is>
          <t>P0032</t>
        </is>
      </c>
      <c r="E2997" s="2" t="inlineStr">
        <is>
          <t>Football</t>
        </is>
      </c>
      <c r="F2997" s="2" t="inlineStr">
        <is>
          <t>Sports</t>
        </is>
      </c>
      <c r="G2997" s="2" t="inlineStr">
        <is>
          <t>South</t>
        </is>
      </c>
      <c r="H2997" s="2" t="inlineStr">
        <is>
          <t>Tamil Nadu</t>
        </is>
      </c>
      <c r="I2997" s="2" t="inlineStr">
        <is>
          <t>Madurai</t>
        </is>
      </c>
      <c r="J2997" s="2" t="inlineStr">
        <is>
          <t>Online</t>
        </is>
      </c>
      <c r="K2997" s="2" t="n">
        <v>5</v>
      </c>
      <c r="L2997" s="3" t="n">
        <v>795.84</v>
      </c>
      <c r="M2997" s="4" t="n">
        <v>0.2</v>
      </c>
      <c r="N2997" s="3" t="n">
        <v>2683.31</v>
      </c>
      <c r="O2997" s="3">
        <f>K2997*L2997*(1-M2997)</f>
        <v/>
      </c>
      <c r="P2997" s="3">
        <f>O2997-N2997</f>
        <v/>
      </c>
      <c r="Q2997" s="5">
        <f>IFERROR(P2997/O2997,0)</f>
        <v/>
      </c>
      <c r="R2997" s="2">
        <f>TEXT(DATEVALUE(B2997),"mmm")</f>
        <v/>
      </c>
      <c r="S2997" s="2">
        <f>TEXT(DATEVALUE(B2997),"yyyy-mm")</f>
        <v/>
      </c>
    </row>
    <row r="2998">
      <c r="A2998" s="2" t="inlineStr">
        <is>
          <t>O003042</t>
        </is>
      </c>
      <c r="B2998" s="2" t="inlineStr">
        <is>
          <t>2025-08-06</t>
        </is>
      </c>
      <c r="C2998" s="2" t="inlineStr">
        <is>
          <t>C0275</t>
        </is>
      </c>
      <c r="D2998" s="2" t="inlineStr">
        <is>
          <t>P0011</t>
        </is>
      </c>
      <c r="E2998" s="2" t="inlineStr">
        <is>
          <t>Cookware Set</t>
        </is>
      </c>
      <c r="F2998" s="2" t="inlineStr">
        <is>
          <t>Home &amp; Kitchen</t>
        </is>
      </c>
      <c r="G2998" s="2" t="inlineStr">
        <is>
          <t>South</t>
        </is>
      </c>
      <c r="H2998" s="2" t="inlineStr">
        <is>
          <t>Tamil Nadu</t>
        </is>
      </c>
      <c r="I2998" s="2" t="inlineStr">
        <is>
          <t>Madurai</t>
        </is>
      </c>
      <c r="J2998" s="2" t="inlineStr">
        <is>
          <t>Online</t>
        </is>
      </c>
      <c r="K2998" s="2" t="n">
        <v>2</v>
      </c>
      <c r="L2998" s="3" t="n">
        <v>698.78</v>
      </c>
      <c r="M2998" s="4" t="n">
        <v>0.1</v>
      </c>
      <c r="N2998" s="3" t="n">
        <v>968.59</v>
      </c>
      <c r="O2998" s="3">
        <f>K2998*L2998*(1-M2998)</f>
        <v/>
      </c>
      <c r="P2998" s="3">
        <f>O2998-N2998</f>
        <v/>
      </c>
      <c r="Q2998" s="5">
        <f>IFERROR(P2998/O2998,0)</f>
        <v/>
      </c>
      <c r="R2998" s="2">
        <f>TEXT(DATEVALUE(B2998),"mmm")</f>
        <v/>
      </c>
      <c r="S2998" s="2">
        <f>TEXT(DATEVALUE(B2998),"yyyy-mm")</f>
        <v/>
      </c>
    </row>
    <row r="2999">
      <c r="A2999" s="2" t="inlineStr">
        <is>
          <t>O002882</t>
        </is>
      </c>
      <c r="B2999" s="2" t="inlineStr">
        <is>
          <t>2025-08-06</t>
        </is>
      </c>
      <c r="C2999" s="2" t="inlineStr">
        <is>
          <t>C0507</t>
        </is>
      </c>
      <c r="D2999" s="2" t="inlineStr">
        <is>
          <t>P0027</t>
        </is>
      </c>
      <c r="E2999" s="2" t="inlineStr">
        <is>
          <t>Moisturizer</t>
        </is>
      </c>
      <c r="F2999" s="2" t="inlineStr">
        <is>
          <t>Beauty</t>
        </is>
      </c>
      <c r="G2999" s="2" t="inlineStr">
        <is>
          <t>South</t>
        </is>
      </c>
      <c r="H2999" s="2" t="inlineStr">
        <is>
          <t>Kerala</t>
        </is>
      </c>
      <c r="I2999" s="2" t="inlineStr">
        <is>
          <t>Thiruvananthapuram</t>
        </is>
      </c>
      <c r="J2999" s="2" t="inlineStr">
        <is>
          <t>Store</t>
        </is>
      </c>
      <c r="K2999" s="2" t="n">
        <v>2</v>
      </c>
      <c r="L2999" s="3" t="n">
        <v>938.08</v>
      </c>
      <c r="M2999" s="4" t="n">
        <v>0.05</v>
      </c>
      <c r="N2999" s="3" t="n">
        <v>1323.65</v>
      </c>
      <c r="O2999" s="3">
        <f>K2999*L2999*(1-M2999)</f>
        <v/>
      </c>
      <c r="P2999" s="3">
        <f>O2999-N2999</f>
        <v/>
      </c>
      <c r="Q2999" s="5">
        <f>IFERROR(P2999/O2999,0)</f>
        <v/>
      </c>
      <c r="R2999" s="2">
        <f>TEXT(DATEVALUE(B2999),"mmm")</f>
        <v/>
      </c>
      <c r="S2999" s="2">
        <f>TEXT(DATEVALUE(B2999),"yyyy-mm")</f>
        <v/>
      </c>
    </row>
    <row r="3000">
      <c r="A3000" s="2" t="inlineStr">
        <is>
          <t>O002262</t>
        </is>
      </c>
      <c r="B3000" s="2" t="inlineStr">
        <is>
          <t>2025-08-06</t>
        </is>
      </c>
      <c r="C3000" s="2" t="inlineStr">
        <is>
          <t>C0028</t>
        </is>
      </c>
      <c r="D3000" s="2" t="inlineStr">
        <is>
          <t>P0024</t>
        </is>
      </c>
      <c r="E3000" s="2" t="inlineStr">
        <is>
          <t>Hair Dryer</t>
        </is>
      </c>
      <c r="F3000" s="2" t="inlineStr">
        <is>
          <t>Beauty</t>
        </is>
      </c>
      <c r="G3000" s="2" t="inlineStr">
        <is>
          <t>North</t>
        </is>
      </c>
      <c r="H3000" s="2" t="inlineStr">
        <is>
          <t>Haryana</t>
        </is>
      </c>
      <c r="I3000" s="2" t="inlineStr">
        <is>
          <t>Faridabad</t>
        </is>
      </c>
      <c r="J3000" s="2" t="inlineStr">
        <is>
          <t>Store</t>
        </is>
      </c>
      <c r="K3000" s="2" t="n">
        <v>3</v>
      </c>
      <c r="L3000" s="3" t="n">
        <v>1046.97</v>
      </c>
      <c r="M3000" s="4" t="n">
        <v>0.05</v>
      </c>
      <c r="N3000" s="3" t="n">
        <v>2212.93</v>
      </c>
      <c r="O3000" s="3">
        <f>K3000*L3000*(1-M3000)</f>
        <v/>
      </c>
      <c r="P3000" s="3">
        <f>O3000-N3000</f>
        <v/>
      </c>
      <c r="Q3000" s="5">
        <f>IFERROR(P3000/O3000,0)</f>
        <v/>
      </c>
      <c r="R3000" s="2">
        <f>TEXT(DATEVALUE(B3000),"mmm")</f>
        <v/>
      </c>
      <c r="S3000" s="2">
        <f>TEXT(DATEVALUE(B3000),"yyyy-mm")</f>
        <v/>
      </c>
    </row>
    <row r="3001">
      <c r="A3001" s="2" t="inlineStr">
        <is>
          <t>O001558</t>
        </is>
      </c>
      <c r="B3001" s="2" t="inlineStr">
        <is>
          <t>2025-08-06</t>
        </is>
      </c>
      <c r="C3001" s="2" t="inlineStr">
        <is>
          <t>C0750</t>
        </is>
      </c>
      <c r="D3001" s="2" t="inlineStr">
        <is>
          <t>P0022</t>
        </is>
      </c>
      <c r="E3001" s="2" t="inlineStr">
        <is>
          <t>Face Wash</t>
        </is>
      </c>
      <c r="F3001" s="2" t="inlineStr">
        <is>
          <t>Beauty</t>
        </is>
      </c>
      <c r="G3001" s="2" t="inlineStr">
        <is>
          <t>West</t>
        </is>
      </c>
      <c r="H3001" s="2" t="inlineStr">
        <is>
          <t>Maharashtra</t>
        </is>
      </c>
      <c r="I3001" s="2" t="inlineStr">
        <is>
          <t>Pune</t>
        </is>
      </c>
      <c r="J3001" s="2" t="inlineStr">
        <is>
          <t>Online</t>
        </is>
      </c>
      <c r="K3001" s="2" t="n">
        <v>1</v>
      </c>
      <c r="L3001" s="3" t="n">
        <v>534.75</v>
      </c>
      <c r="M3001" s="4" t="n">
        <v>0.2</v>
      </c>
      <c r="N3001" s="3" t="n">
        <v>350.2</v>
      </c>
      <c r="O3001" s="3">
        <f>K3001*L3001*(1-M3001)</f>
        <v/>
      </c>
      <c r="P3001" s="3">
        <f>O3001-N3001</f>
        <v/>
      </c>
      <c r="Q3001" s="5">
        <f>IFERROR(P3001/O3001,0)</f>
        <v/>
      </c>
      <c r="R3001" s="2">
        <f>TEXT(DATEVALUE(B3001),"mmm")</f>
        <v/>
      </c>
      <c r="S3001" s="2">
        <f>TEXT(DATEVALUE(B3001),"yyyy-mm")</f>
        <v/>
      </c>
    </row>
    <row r="3002">
      <c r="A3002" s="2" t="inlineStr">
        <is>
          <t>O001135</t>
        </is>
      </c>
      <c r="B3002" s="2" t="inlineStr">
        <is>
          <t>2025-08-06</t>
        </is>
      </c>
      <c r="C3002" s="2" t="inlineStr">
        <is>
          <t>C0322</t>
        </is>
      </c>
      <c r="D3002" s="2" t="inlineStr">
        <is>
          <t>P0004</t>
        </is>
      </c>
      <c r="E3002" s="2" t="inlineStr">
        <is>
          <t>USB-C Hub</t>
        </is>
      </c>
      <c r="F3002" s="2" t="inlineStr">
        <is>
          <t>Electronics</t>
        </is>
      </c>
      <c r="G3002" s="2" t="inlineStr">
        <is>
          <t>North</t>
        </is>
      </c>
      <c r="H3002" s="2" t="inlineStr">
        <is>
          <t>Delhi</t>
        </is>
      </c>
      <c r="I3002" s="2" t="inlineStr">
        <is>
          <t>New Delhi</t>
        </is>
      </c>
      <c r="J3002" s="2" t="inlineStr">
        <is>
          <t>Store</t>
        </is>
      </c>
      <c r="K3002" s="2" t="n">
        <v>1</v>
      </c>
      <c r="L3002" s="3" t="n">
        <v>1287.29</v>
      </c>
      <c r="M3002" s="4" t="n">
        <v>0.15</v>
      </c>
      <c r="N3002" s="3" t="n">
        <v>902.79</v>
      </c>
      <c r="O3002" s="3">
        <f>K3002*L3002*(1-M3002)</f>
        <v/>
      </c>
      <c r="P3002" s="3">
        <f>O3002-N3002</f>
        <v/>
      </c>
      <c r="Q3002" s="5">
        <f>IFERROR(P3002/O3002,0)</f>
        <v/>
      </c>
      <c r="R3002" s="2">
        <f>TEXT(DATEVALUE(B3002),"mmm")</f>
        <v/>
      </c>
      <c r="S3002" s="2">
        <f>TEXT(DATEVALUE(B3002),"yyyy-mm")</f>
        <v/>
      </c>
    </row>
    <row r="3003">
      <c r="A3003" s="2" t="inlineStr">
        <is>
          <t>O000857</t>
        </is>
      </c>
      <c r="B3003" s="2" t="inlineStr">
        <is>
          <t>2025-08-06</t>
        </is>
      </c>
      <c r="C3003" s="2" t="inlineStr">
        <is>
          <t>C0253</t>
        </is>
      </c>
      <c r="D3003" s="2" t="inlineStr">
        <is>
          <t>P0010</t>
        </is>
      </c>
      <c r="E3003" s="2" t="inlineStr">
        <is>
          <t>Mixer Grinder</t>
        </is>
      </c>
      <c r="F3003" s="2" t="inlineStr">
        <is>
          <t>Home &amp; Kitchen</t>
        </is>
      </c>
      <c r="G3003" s="2" t="inlineStr">
        <is>
          <t>North</t>
        </is>
      </c>
      <c r="H3003" s="2" t="inlineStr">
        <is>
          <t>Uttar Pradesh</t>
        </is>
      </c>
      <c r="I3003" s="2" t="inlineStr">
        <is>
          <t>Varanasi</t>
        </is>
      </c>
      <c r="J3003" s="2" t="inlineStr">
        <is>
          <t>Online</t>
        </is>
      </c>
      <c r="K3003" s="2" t="n">
        <v>1</v>
      </c>
      <c r="L3003" s="3" t="n">
        <v>1653.12</v>
      </c>
      <c r="M3003" s="4" t="n">
        <v>0.1</v>
      </c>
      <c r="N3003" s="3" t="n">
        <v>1012.03</v>
      </c>
      <c r="O3003" s="3">
        <f>K3003*L3003*(1-M3003)</f>
        <v/>
      </c>
      <c r="P3003" s="3">
        <f>O3003-N3003</f>
        <v/>
      </c>
      <c r="Q3003" s="5">
        <f>IFERROR(P3003/O3003,0)</f>
        <v/>
      </c>
      <c r="R3003" s="2">
        <f>TEXT(DATEVALUE(B3003),"mmm")</f>
        <v/>
      </c>
      <c r="S3003" s="2">
        <f>TEXT(DATEVALUE(B3003),"yyyy-mm")</f>
        <v/>
      </c>
    </row>
    <row r="3004">
      <c r="A3004" s="2" t="inlineStr">
        <is>
          <t>O000475</t>
        </is>
      </c>
      <c r="B3004" s="2" t="inlineStr">
        <is>
          <t>2025-08-06</t>
        </is>
      </c>
      <c r="C3004" s="2" t="inlineStr">
        <is>
          <t>C0428</t>
        </is>
      </c>
      <c r="D3004" s="2" t="inlineStr">
        <is>
          <t>P0010</t>
        </is>
      </c>
      <c r="E3004" s="2" t="inlineStr">
        <is>
          <t>Mixer Grinder</t>
        </is>
      </c>
      <c r="F3004" s="2" t="inlineStr">
        <is>
          <t>Home &amp; Kitchen</t>
        </is>
      </c>
      <c r="G3004" s="2" t="inlineStr">
        <is>
          <t>East</t>
        </is>
      </c>
      <c r="H3004" s="2" t="inlineStr">
        <is>
          <t>West Bengal</t>
        </is>
      </c>
      <c r="I3004" s="2" t="inlineStr">
        <is>
          <t>Durgapur</t>
        </is>
      </c>
      <c r="J3004" s="2" t="inlineStr">
        <is>
          <t>Store</t>
        </is>
      </c>
      <c r="K3004" s="2" t="n">
        <v>1</v>
      </c>
      <c r="L3004" s="3" t="n">
        <v>1588.43</v>
      </c>
      <c r="M3004" s="4" t="n">
        <v>0.1</v>
      </c>
      <c r="N3004" s="3" t="n">
        <v>1076.23</v>
      </c>
      <c r="O3004" s="3">
        <f>K3004*L3004*(1-M3004)</f>
        <v/>
      </c>
      <c r="P3004" s="3">
        <f>O3004-N3004</f>
        <v/>
      </c>
      <c r="Q3004" s="5">
        <f>IFERROR(P3004/O3004,0)</f>
        <v/>
      </c>
      <c r="R3004" s="2">
        <f>TEXT(DATEVALUE(B3004),"mmm")</f>
        <v/>
      </c>
      <c r="S3004" s="2">
        <f>TEXT(DATEVALUE(B3004),"yyyy-mm")</f>
        <v/>
      </c>
    </row>
    <row r="3005">
      <c r="A3005" s="2" t="inlineStr">
        <is>
          <t>O000218</t>
        </is>
      </c>
      <c r="B3005" s="2" t="inlineStr">
        <is>
          <t>2025-08-06</t>
        </is>
      </c>
      <c r="C3005" s="2" t="inlineStr">
        <is>
          <t>C0150</t>
        </is>
      </c>
      <c r="D3005" s="2" t="inlineStr">
        <is>
          <t>P0009</t>
        </is>
      </c>
      <c r="E3005" s="2" t="inlineStr">
        <is>
          <t>Electric Kettle</t>
        </is>
      </c>
      <c r="F3005" s="2" t="inlineStr">
        <is>
          <t>Home &amp; Kitchen</t>
        </is>
      </c>
      <c r="G3005" s="2" t="inlineStr">
        <is>
          <t>South</t>
        </is>
      </c>
      <c r="H3005" s="2" t="inlineStr">
        <is>
          <t>Karnataka</t>
        </is>
      </c>
      <c r="I3005" s="2" t="inlineStr">
        <is>
          <t>Mangaluru</t>
        </is>
      </c>
      <c r="J3005" s="2" t="inlineStr">
        <is>
          <t>Online</t>
        </is>
      </c>
      <c r="K3005" s="2" t="n">
        <v>2</v>
      </c>
      <c r="L3005" s="3" t="n">
        <v>2087.5</v>
      </c>
      <c r="M3005" s="4" t="n">
        <v>0.1</v>
      </c>
      <c r="N3005" s="3" t="n">
        <v>2264.27</v>
      </c>
      <c r="O3005" s="3">
        <f>K3005*L3005*(1-M3005)</f>
        <v/>
      </c>
      <c r="P3005" s="3">
        <f>O3005-N3005</f>
        <v/>
      </c>
      <c r="Q3005" s="5">
        <f>IFERROR(P3005/O3005,0)</f>
        <v/>
      </c>
      <c r="R3005" s="2">
        <f>TEXT(DATEVALUE(B3005),"mmm")</f>
        <v/>
      </c>
      <c r="S3005" s="2">
        <f>TEXT(DATEVALUE(B3005),"yyyy-mm")</f>
        <v/>
      </c>
    </row>
    <row r="3006">
      <c r="A3006" s="2" t="inlineStr">
        <is>
          <t>O000130</t>
        </is>
      </c>
      <c r="B3006" s="2" t="inlineStr">
        <is>
          <t>2025-08-06</t>
        </is>
      </c>
      <c r="C3006" s="2" t="inlineStr">
        <is>
          <t>C0778</t>
        </is>
      </c>
      <c r="D3006" s="2" t="inlineStr">
        <is>
          <t>P0031</t>
        </is>
      </c>
      <c r="E3006" s="2" t="inlineStr">
        <is>
          <t>Cricket Bat</t>
        </is>
      </c>
      <c r="F3006" s="2" t="inlineStr">
        <is>
          <t>Sports</t>
        </is>
      </c>
      <c r="G3006" s="2" t="inlineStr">
        <is>
          <t>West</t>
        </is>
      </c>
      <c r="H3006" s="2" t="inlineStr">
        <is>
          <t>Goa</t>
        </is>
      </c>
      <c r="I3006" s="2" t="inlineStr">
        <is>
          <t>Panaji</t>
        </is>
      </c>
      <c r="J3006" s="2" t="inlineStr">
        <is>
          <t>Online</t>
        </is>
      </c>
      <c r="K3006" s="2" t="n">
        <v>2</v>
      </c>
      <c r="L3006" s="3" t="n">
        <v>1336.25</v>
      </c>
      <c r="M3006" s="4" t="n">
        <v>0.2</v>
      </c>
      <c r="N3006" s="3" t="n">
        <v>1887.12</v>
      </c>
      <c r="O3006" s="3">
        <f>K3006*L3006*(1-M3006)</f>
        <v/>
      </c>
      <c r="P3006" s="3">
        <f>O3006-N3006</f>
        <v/>
      </c>
      <c r="Q3006" s="5">
        <f>IFERROR(P3006/O3006,0)</f>
        <v/>
      </c>
      <c r="R3006" s="2">
        <f>TEXT(DATEVALUE(B3006),"mmm")</f>
        <v/>
      </c>
      <c r="S3006" s="2">
        <f>TEXT(DATEVALUE(B3006),"yyyy-mm")</f>
        <v/>
      </c>
    </row>
    <row r="3007">
      <c r="A3007" s="2" t="inlineStr">
        <is>
          <t>O000070</t>
        </is>
      </c>
      <c r="B3007" s="2" t="inlineStr">
        <is>
          <t>2025-08-06</t>
        </is>
      </c>
      <c r="C3007" s="2" t="inlineStr">
        <is>
          <t>C0794</t>
        </is>
      </c>
      <c r="D3007" s="2" t="inlineStr">
        <is>
          <t>P0011</t>
        </is>
      </c>
      <c r="E3007" s="2" t="inlineStr">
        <is>
          <t>Cookware Set</t>
        </is>
      </c>
      <c r="F3007" s="2" t="inlineStr">
        <is>
          <t>Home &amp; Kitchen</t>
        </is>
      </c>
      <c r="G3007" s="2" t="inlineStr">
        <is>
          <t>South</t>
        </is>
      </c>
      <c r="H3007" s="2" t="inlineStr">
        <is>
          <t>Telangana</t>
        </is>
      </c>
      <c r="I3007" s="2" t="inlineStr">
        <is>
          <t>Warangal</t>
        </is>
      </c>
      <c r="J3007" s="2" t="inlineStr">
        <is>
          <t>Online</t>
        </is>
      </c>
      <c r="K3007" s="2" t="n">
        <v>2</v>
      </c>
      <c r="L3007" s="3" t="n">
        <v>700.4</v>
      </c>
      <c r="M3007" s="4" t="n">
        <v>0.25</v>
      </c>
      <c r="N3007" s="3" t="n">
        <v>934.62</v>
      </c>
      <c r="O3007" s="3">
        <f>K3007*L3007*(1-M3007)</f>
        <v/>
      </c>
      <c r="P3007" s="3">
        <f>O3007-N3007</f>
        <v/>
      </c>
      <c r="Q3007" s="5">
        <f>IFERROR(P3007/O3007,0)</f>
        <v/>
      </c>
      <c r="R3007" s="2">
        <f>TEXT(DATEVALUE(B3007),"mmm")</f>
        <v/>
      </c>
      <c r="S3007" s="2">
        <f>TEXT(DATEVALUE(B3007),"yyyy-mm")</f>
        <v/>
      </c>
    </row>
    <row r="3008">
      <c r="A3008" s="2" t="inlineStr">
        <is>
          <t>O002059</t>
        </is>
      </c>
      <c r="B3008" s="2" t="inlineStr">
        <is>
          <t>2025-08-06</t>
        </is>
      </c>
      <c r="C3008" s="2" t="inlineStr">
        <is>
          <t>C0686</t>
        </is>
      </c>
      <c r="D3008" s="2" t="inlineStr">
        <is>
          <t>P0031</t>
        </is>
      </c>
      <c r="E3008" s="2" t="inlineStr">
        <is>
          <t>Cricket Bat</t>
        </is>
      </c>
      <c r="F3008" s="2" t="inlineStr">
        <is>
          <t>Sports</t>
        </is>
      </c>
      <c r="G3008" s="2" t="inlineStr">
        <is>
          <t>West</t>
        </is>
      </c>
      <c r="H3008" s="2" t="inlineStr">
        <is>
          <t>Goa</t>
        </is>
      </c>
      <c r="I3008" s="2" t="inlineStr">
        <is>
          <t>Margao</t>
        </is>
      </c>
      <c r="J3008" s="2" t="inlineStr">
        <is>
          <t>Online</t>
        </is>
      </c>
      <c r="K3008" s="2" t="n">
        <v>1</v>
      </c>
      <c r="L3008" s="3" t="n">
        <v>1447</v>
      </c>
      <c r="M3008" s="4" t="n">
        <v>0.05</v>
      </c>
      <c r="N3008" s="3" t="n">
        <v>914.34</v>
      </c>
      <c r="O3008" s="3">
        <f>K3008*L3008*(1-M3008)</f>
        <v/>
      </c>
      <c r="P3008" s="3">
        <f>O3008-N3008</f>
        <v/>
      </c>
      <c r="Q3008" s="5">
        <f>IFERROR(P3008/O3008,0)</f>
        <v/>
      </c>
      <c r="R3008" s="2">
        <f>TEXT(DATEVALUE(B3008),"mmm")</f>
        <v/>
      </c>
      <c r="S3008" s="2">
        <f>TEXT(DATEVALUE(B3008),"yyyy-mm")</f>
        <v/>
      </c>
    </row>
    <row r="3009">
      <c r="A3009" s="2" t="inlineStr">
        <is>
          <t>O003521</t>
        </is>
      </c>
      <c r="B3009" s="2" t="inlineStr">
        <is>
          <t>2025-08-07</t>
        </is>
      </c>
      <c r="C3009" s="2" t="inlineStr">
        <is>
          <t>C0723</t>
        </is>
      </c>
      <c r="D3009" s="2" t="inlineStr">
        <is>
          <t>P0028</t>
        </is>
      </c>
      <c r="E3009" s="2" t="inlineStr">
        <is>
          <t>Trimmer</t>
        </is>
      </c>
      <c r="F3009" s="2" t="inlineStr">
        <is>
          <t>Beauty</t>
        </is>
      </c>
      <c r="G3009" s="2" t="inlineStr">
        <is>
          <t>East</t>
        </is>
      </c>
      <c r="H3009" s="2" t="inlineStr">
        <is>
          <t>West Bengal</t>
        </is>
      </c>
      <c r="I3009" s="2" t="inlineStr">
        <is>
          <t>Kolkata</t>
        </is>
      </c>
      <c r="J3009" s="2" t="inlineStr">
        <is>
          <t>Store</t>
        </is>
      </c>
      <c r="K3009" s="2" t="n">
        <v>2</v>
      </c>
      <c r="L3009" s="3" t="n">
        <v>471.23</v>
      </c>
      <c r="M3009" s="4" t="n">
        <v>0.05</v>
      </c>
      <c r="N3009" s="3" t="n">
        <v>515.27</v>
      </c>
      <c r="O3009" s="3">
        <f>K3009*L3009*(1-M3009)</f>
        <v/>
      </c>
      <c r="P3009" s="3">
        <f>O3009-N3009</f>
        <v/>
      </c>
      <c r="Q3009" s="5">
        <f>IFERROR(P3009/O3009,0)</f>
        <v/>
      </c>
      <c r="R3009" s="2">
        <f>TEXT(DATEVALUE(B3009),"mmm")</f>
        <v/>
      </c>
      <c r="S3009" s="2">
        <f>TEXT(DATEVALUE(B3009),"yyyy-mm")</f>
        <v/>
      </c>
    </row>
    <row r="3010">
      <c r="A3010" s="2" t="inlineStr">
        <is>
          <t>O004332</t>
        </is>
      </c>
      <c r="B3010" s="2" t="inlineStr">
        <is>
          <t>2025-08-07</t>
        </is>
      </c>
      <c r="C3010" s="2" t="inlineStr">
        <is>
          <t>C0583</t>
        </is>
      </c>
      <c r="D3010" s="2" t="inlineStr">
        <is>
          <t>P0024</t>
        </is>
      </c>
      <c r="E3010" s="2" t="inlineStr">
        <is>
          <t>Hair Dryer</t>
        </is>
      </c>
      <c r="F3010" s="2" t="inlineStr">
        <is>
          <t>Beauty</t>
        </is>
      </c>
      <c r="G3010" s="2" t="inlineStr">
        <is>
          <t>West</t>
        </is>
      </c>
      <c r="H3010" s="2" t="inlineStr">
        <is>
          <t>Gujarat</t>
        </is>
      </c>
      <c r="I3010" s="2" t="inlineStr">
        <is>
          <t>Vadodara</t>
        </is>
      </c>
      <c r="J3010" s="2" t="inlineStr">
        <is>
          <t>Online</t>
        </is>
      </c>
      <c r="K3010" s="2" t="n">
        <v>3</v>
      </c>
      <c r="L3010" s="3" t="n">
        <v>1008.51</v>
      </c>
      <c r="M3010" s="4" t="n">
        <v>0.15</v>
      </c>
      <c r="N3010" s="3" t="n">
        <v>2158.27</v>
      </c>
      <c r="O3010" s="3">
        <f>K3010*L3010*(1-M3010)</f>
        <v/>
      </c>
      <c r="P3010" s="3">
        <f>O3010-N3010</f>
        <v/>
      </c>
      <c r="Q3010" s="5">
        <f>IFERROR(P3010/O3010,0)</f>
        <v/>
      </c>
      <c r="R3010" s="2">
        <f>TEXT(DATEVALUE(B3010),"mmm")</f>
        <v/>
      </c>
      <c r="S3010" s="2">
        <f>TEXT(DATEVALUE(B3010),"yyyy-mm")</f>
        <v/>
      </c>
    </row>
    <row r="3011">
      <c r="A3011" s="2" t="inlineStr">
        <is>
          <t>O004315</t>
        </is>
      </c>
      <c r="B3011" s="2" t="inlineStr">
        <is>
          <t>2025-08-07</t>
        </is>
      </c>
      <c r="C3011" s="2" t="inlineStr">
        <is>
          <t>C0694</t>
        </is>
      </c>
      <c r="D3011" s="2" t="inlineStr">
        <is>
          <t>P0029</t>
        </is>
      </c>
      <c r="E3011" s="2" t="inlineStr">
        <is>
          <t>Yoga Mat</t>
        </is>
      </c>
      <c r="F3011" s="2" t="inlineStr">
        <is>
          <t>Sports</t>
        </is>
      </c>
      <c r="G3011" s="2" t="inlineStr">
        <is>
          <t>West</t>
        </is>
      </c>
      <c r="H3011" s="2" t="inlineStr">
        <is>
          <t>Goa</t>
        </is>
      </c>
      <c r="I3011" s="2" t="inlineStr">
        <is>
          <t>Margao</t>
        </is>
      </c>
      <c r="J3011" s="2" t="inlineStr">
        <is>
          <t>Store</t>
        </is>
      </c>
      <c r="K3011" s="2" t="n">
        <v>1</v>
      </c>
      <c r="L3011" s="3" t="n">
        <v>2498.08</v>
      </c>
      <c r="M3011" s="4" t="n">
        <v>0.1</v>
      </c>
      <c r="N3011" s="3" t="n">
        <v>1355.05</v>
      </c>
      <c r="O3011" s="3">
        <f>K3011*L3011*(1-M3011)</f>
        <v/>
      </c>
      <c r="P3011" s="3">
        <f>O3011-N3011</f>
        <v/>
      </c>
      <c r="Q3011" s="5">
        <f>IFERROR(P3011/O3011,0)</f>
        <v/>
      </c>
      <c r="R3011" s="2">
        <f>TEXT(DATEVALUE(B3011),"mmm")</f>
        <v/>
      </c>
      <c r="S3011" s="2">
        <f>TEXT(DATEVALUE(B3011),"yyyy-mm")</f>
        <v/>
      </c>
    </row>
    <row r="3012">
      <c r="A3012" s="2" t="inlineStr">
        <is>
          <t>O003099</t>
        </is>
      </c>
      <c r="B3012" s="2" t="inlineStr">
        <is>
          <t>2025-08-07</t>
        </is>
      </c>
      <c r="C3012" s="2" t="inlineStr">
        <is>
          <t>C0311</t>
        </is>
      </c>
      <c r="D3012" s="2" t="inlineStr">
        <is>
          <t>P0015</t>
        </is>
      </c>
      <c r="E3012" s="2" t="inlineStr">
        <is>
          <t>Running Shoes</t>
        </is>
      </c>
      <c r="F3012" s="2" t="inlineStr">
        <is>
          <t>Fashion</t>
        </is>
      </c>
      <c r="G3012" s="2" t="inlineStr">
        <is>
          <t>South</t>
        </is>
      </c>
      <c r="H3012" s="2" t="inlineStr">
        <is>
          <t>Telangana</t>
        </is>
      </c>
      <c r="I3012" s="2" t="inlineStr">
        <is>
          <t>Warangal</t>
        </is>
      </c>
      <c r="J3012" s="2" t="inlineStr">
        <is>
          <t>Online</t>
        </is>
      </c>
      <c r="K3012" s="2" t="n">
        <v>3</v>
      </c>
      <c r="L3012" s="3" t="n">
        <v>617.1</v>
      </c>
      <c r="M3012" s="4" t="n">
        <v>0.1</v>
      </c>
      <c r="N3012" s="3" t="n">
        <v>1124.94</v>
      </c>
      <c r="O3012" s="3">
        <f>K3012*L3012*(1-M3012)</f>
        <v/>
      </c>
      <c r="P3012" s="3">
        <f>O3012-N3012</f>
        <v/>
      </c>
      <c r="Q3012" s="5">
        <f>IFERROR(P3012/O3012,0)</f>
        <v/>
      </c>
      <c r="R3012" s="2">
        <f>TEXT(DATEVALUE(B3012),"mmm")</f>
        <v/>
      </c>
      <c r="S3012" s="2">
        <f>TEXT(DATEVALUE(B3012),"yyyy-mm")</f>
        <v/>
      </c>
    </row>
    <row r="3013">
      <c r="A3013" s="2" t="inlineStr">
        <is>
          <t>O001698</t>
        </is>
      </c>
      <c r="B3013" s="2" t="inlineStr">
        <is>
          <t>2025-08-07</t>
        </is>
      </c>
      <c r="C3013" s="2" t="inlineStr">
        <is>
          <t>C0407</t>
        </is>
      </c>
      <c r="D3013" s="2" t="inlineStr">
        <is>
          <t>P0006</t>
        </is>
      </c>
      <c r="E3013" s="2" t="inlineStr">
        <is>
          <t>Mechanical Keyboard</t>
        </is>
      </c>
      <c r="F3013" s="2" t="inlineStr">
        <is>
          <t>Electronics</t>
        </is>
      </c>
      <c r="G3013" s="2" t="inlineStr">
        <is>
          <t>South</t>
        </is>
      </c>
      <c r="H3013" s="2" t="inlineStr">
        <is>
          <t>Karnataka</t>
        </is>
      </c>
      <c r="I3013" s="2" t="inlineStr">
        <is>
          <t>Bengaluru</t>
        </is>
      </c>
      <c r="J3013" s="2" t="inlineStr">
        <is>
          <t>Online</t>
        </is>
      </c>
      <c r="K3013" s="2" t="n">
        <v>3</v>
      </c>
      <c r="L3013" s="3" t="n">
        <v>2681.61</v>
      </c>
      <c r="M3013" s="4" t="n">
        <v>0.15</v>
      </c>
      <c r="N3013" s="3" t="n">
        <v>4472.43</v>
      </c>
      <c r="O3013" s="3">
        <f>K3013*L3013*(1-M3013)</f>
        <v/>
      </c>
      <c r="P3013" s="3">
        <f>O3013-N3013</f>
        <v/>
      </c>
      <c r="Q3013" s="5">
        <f>IFERROR(P3013/O3013,0)</f>
        <v/>
      </c>
      <c r="R3013" s="2">
        <f>TEXT(DATEVALUE(B3013),"mmm")</f>
        <v/>
      </c>
      <c r="S3013" s="2">
        <f>TEXT(DATEVALUE(B3013),"yyyy-mm")</f>
        <v/>
      </c>
    </row>
    <row r="3014">
      <c r="A3014" s="2" t="inlineStr">
        <is>
          <t>O002477</t>
        </is>
      </c>
      <c r="B3014" s="2" t="inlineStr">
        <is>
          <t>2025-08-07</t>
        </is>
      </c>
      <c r="C3014" s="2" t="inlineStr">
        <is>
          <t>C0685</t>
        </is>
      </c>
      <c r="D3014" s="2" t="inlineStr">
        <is>
          <t>P0001</t>
        </is>
      </c>
      <c r="E3014" s="2" t="inlineStr">
        <is>
          <t>Wireless Headphones</t>
        </is>
      </c>
      <c r="F3014" s="2" t="inlineStr">
        <is>
          <t>Electronics</t>
        </is>
      </c>
      <c r="G3014" s="2" t="inlineStr">
        <is>
          <t>North</t>
        </is>
      </c>
      <c r="H3014" s="2" t="inlineStr">
        <is>
          <t>Haryana</t>
        </is>
      </c>
      <c r="I3014" s="2" t="inlineStr">
        <is>
          <t>Faridabad</t>
        </is>
      </c>
      <c r="J3014" s="2" t="inlineStr">
        <is>
          <t>Online</t>
        </is>
      </c>
      <c r="K3014" s="2" t="n">
        <v>3</v>
      </c>
      <c r="L3014" s="3" t="n">
        <v>1344.05</v>
      </c>
      <c r="M3014" s="4" t="n">
        <v>0.1</v>
      </c>
      <c r="N3014" s="3" t="n">
        <v>2101.47</v>
      </c>
      <c r="O3014" s="3">
        <f>K3014*L3014*(1-M3014)</f>
        <v/>
      </c>
      <c r="P3014" s="3">
        <f>O3014-N3014</f>
        <v/>
      </c>
      <c r="Q3014" s="5">
        <f>IFERROR(P3014/O3014,0)</f>
        <v/>
      </c>
      <c r="R3014" s="2">
        <f>TEXT(DATEVALUE(B3014),"mmm")</f>
        <v/>
      </c>
      <c r="S3014" s="2">
        <f>TEXT(DATEVALUE(B3014),"yyyy-mm")</f>
        <v/>
      </c>
    </row>
    <row r="3015">
      <c r="A3015" s="2" t="inlineStr">
        <is>
          <t>O002687</t>
        </is>
      </c>
      <c r="B3015" s="2" t="inlineStr">
        <is>
          <t>2025-08-07</t>
        </is>
      </c>
      <c r="C3015" s="2" t="inlineStr">
        <is>
          <t>C0585</t>
        </is>
      </c>
      <c r="D3015" s="2" t="inlineStr">
        <is>
          <t>P0017</t>
        </is>
      </c>
      <c r="E3015" s="2" t="inlineStr">
        <is>
          <t>Jeans</t>
        </is>
      </c>
      <c r="F3015" s="2" t="inlineStr">
        <is>
          <t>Fashion</t>
        </is>
      </c>
      <c r="G3015" s="2" t="inlineStr">
        <is>
          <t>East</t>
        </is>
      </c>
      <c r="H3015" s="2" t="inlineStr">
        <is>
          <t>Odisha</t>
        </is>
      </c>
      <c r="I3015" s="2" t="inlineStr">
        <is>
          <t>Cuttack</t>
        </is>
      </c>
      <c r="J3015" s="2" t="inlineStr">
        <is>
          <t>Online</t>
        </is>
      </c>
      <c r="K3015" s="2" t="n">
        <v>2</v>
      </c>
      <c r="L3015" s="3" t="n">
        <v>1545.9</v>
      </c>
      <c r="M3015" s="4" t="n">
        <v>0.1</v>
      </c>
      <c r="N3015" s="3" t="n">
        <v>2075.19</v>
      </c>
      <c r="O3015" s="3">
        <f>K3015*L3015*(1-M3015)</f>
        <v/>
      </c>
      <c r="P3015" s="3">
        <f>O3015-N3015</f>
        <v/>
      </c>
      <c r="Q3015" s="5">
        <f>IFERROR(P3015/O3015,0)</f>
        <v/>
      </c>
      <c r="R3015" s="2">
        <f>TEXT(DATEVALUE(B3015),"mmm")</f>
        <v/>
      </c>
      <c r="S3015" s="2">
        <f>TEXT(DATEVALUE(B3015),"yyyy-mm")</f>
        <v/>
      </c>
    </row>
    <row r="3016">
      <c r="A3016" s="2" t="inlineStr">
        <is>
          <t>O001357</t>
        </is>
      </c>
      <c r="B3016" s="2" t="inlineStr">
        <is>
          <t>2025-08-07</t>
        </is>
      </c>
      <c r="C3016" s="2" t="inlineStr">
        <is>
          <t>C0332</t>
        </is>
      </c>
      <c r="D3016" s="2" t="inlineStr">
        <is>
          <t>P0028</t>
        </is>
      </c>
      <c r="E3016" s="2" t="inlineStr">
        <is>
          <t>Trimmer</t>
        </is>
      </c>
      <c r="F3016" s="2" t="inlineStr">
        <is>
          <t>Beauty</t>
        </is>
      </c>
      <c r="G3016" s="2" t="inlineStr">
        <is>
          <t>West</t>
        </is>
      </c>
      <c r="H3016" s="2" t="inlineStr">
        <is>
          <t>Gujarat</t>
        </is>
      </c>
      <c r="I3016" s="2" t="inlineStr">
        <is>
          <t>Vadodara</t>
        </is>
      </c>
      <c r="J3016" s="2" t="inlineStr">
        <is>
          <t>Online</t>
        </is>
      </c>
      <c r="K3016" s="2" t="n">
        <v>2</v>
      </c>
      <c r="L3016" s="3" t="n">
        <v>452.86</v>
      </c>
      <c r="M3016" s="4" t="n">
        <v>0</v>
      </c>
      <c r="N3016" s="3" t="n">
        <v>493.41</v>
      </c>
      <c r="O3016" s="3">
        <f>K3016*L3016*(1-M3016)</f>
        <v/>
      </c>
      <c r="P3016" s="3">
        <f>O3016-N3016</f>
        <v/>
      </c>
      <c r="Q3016" s="5">
        <f>IFERROR(P3016/O3016,0)</f>
        <v/>
      </c>
      <c r="R3016" s="2">
        <f>TEXT(DATEVALUE(B3016),"mmm")</f>
        <v/>
      </c>
      <c r="S3016" s="2">
        <f>TEXT(DATEVALUE(B3016),"yyyy-mm")</f>
        <v/>
      </c>
    </row>
    <row r="3017">
      <c r="A3017" s="2" t="inlineStr">
        <is>
          <t>O004671</t>
        </is>
      </c>
      <c r="B3017" s="2" t="inlineStr">
        <is>
          <t>2025-08-08</t>
        </is>
      </c>
      <c r="C3017" s="2" t="inlineStr">
        <is>
          <t>C0023</t>
        </is>
      </c>
      <c r="D3017" s="2" t="inlineStr">
        <is>
          <t>P0028</t>
        </is>
      </c>
      <c r="E3017" s="2" t="inlineStr">
        <is>
          <t>Trimmer</t>
        </is>
      </c>
      <c r="F3017" s="2" t="inlineStr">
        <is>
          <t>Beauty</t>
        </is>
      </c>
      <c r="G3017" s="2" t="inlineStr">
        <is>
          <t>West</t>
        </is>
      </c>
      <c r="H3017" s="2" t="inlineStr">
        <is>
          <t>Maharashtra</t>
        </is>
      </c>
      <c r="I3017" s="2" t="inlineStr">
        <is>
          <t>Mumbai</t>
        </is>
      </c>
      <c r="J3017" s="2" t="inlineStr">
        <is>
          <t>Online</t>
        </is>
      </c>
      <c r="K3017" s="2" t="n">
        <v>1</v>
      </c>
      <c r="L3017" s="3" t="n">
        <v>466.93</v>
      </c>
      <c r="M3017" s="4" t="n">
        <v>0.1</v>
      </c>
      <c r="N3017" s="3" t="n">
        <v>253.91</v>
      </c>
      <c r="O3017" s="3">
        <f>K3017*L3017*(1-M3017)</f>
        <v/>
      </c>
      <c r="P3017" s="3">
        <f>O3017-N3017</f>
        <v/>
      </c>
      <c r="Q3017" s="5">
        <f>IFERROR(P3017/O3017,0)</f>
        <v/>
      </c>
      <c r="R3017" s="2">
        <f>TEXT(DATEVALUE(B3017),"mmm")</f>
        <v/>
      </c>
      <c r="S3017" s="2">
        <f>TEXT(DATEVALUE(B3017),"yyyy-mm")</f>
        <v/>
      </c>
    </row>
    <row r="3018">
      <c r="A3018" s="2" t="inlineStr">
        <is>
          <t>O002988</t>
        </is>
      </c>
      <c r="B3018" s="2" t="inlineStr">
        <is>
          <t>2025-08-08</t>
        </is>
      </c>
      <c r="C3018" s="2" t="inlineStr">
        <is>
          <t>C0445</t>
        </is>
      </c>
      <c r="D3018" s="2" t="inlineStr">
        <is>
          <t>P0016</t>
        </is>
      </c>
      <c r="E3018" s="2" t="inlineStr">
        <is>
          <t>Casual Shirt</t>
        </is>
      </c>
      <c r="F3018" s="2" t="inlineStr">
        <is>
          <t>Fashion</t>
        </is>
      </c>
      <c r="G3018" s="2" t="inlineStr">
        <is>
          <t>East</t>
        </is>
      </c>
      <c r="H3018" s="2" t="inlineStr">
        <is>
          <t>Bihar</t>
        </is>
      </c>
      <c r="I3018" s="2" t="inlineStr">
        <is>
          <t>Gaya</t>
        </is>
      </c>
      <c r="J3018" s="2" t="inlineStr">
        <is>
          <t>Store</t>
        </is>
      </c>
      <c r="K3018" s="2" t="n">
        <v>4</v>
      </c>
      <c r="L3018" s="3" t="n">
        <v>1236.27</v>
      </c>
      <c r="M3018" s="4" t="n">
        <v>0.05</v>
      </c>
      <c r="N3018" s="3" t="n">
        <v>3742.98</v>
      </c>
      <c r="O3018" s="3">
        <f>K3018*L3018*(1-M3018)</f>
        <v/>
      </c>
      <c r="P3018" s="3">
        <f>O3018-N3018</f>
        <v/>
      </c>
      <c r="Q3018" s="5">
        <f>IFERROR(P3018/O3018,0)</f>
        <v/>
      </c>
      <c r="R3018" s="2">
        <f>TEXT(DATEVALUE(B3018),"mmm")</f>
        <v/>
      </c>
      <c r="S3018" s="2">
        <f>TEXT(DATEVALUE(B3018),"yyyy-mm")</f>
        <v/>
      </c>
    </row>
    <row r="3019">
      <c r="A3019" s="2" t="inlineStr">
        <is>
          <t>O002841</t>
        </is>
      </c>
      <c r="B3019" s="2" t="inlineStr">
        <is>
          <t>2025-08-08</t>
        </is>
      </c>
      <c r="C3019" s="2" t="inlineStr">
        <is>
          <t>C0468</t>
        </is>
      </c>
      <c r="D3019" s="2" t="inlineStr">
        <is>
          <t>P0032</t>
        </is>
      </c>
      <c r="E3019" s="2" t="inlineStr">
        <is>
          <t>Football</t>
        </is>
      </c>
      <c r="F3019" s="2" t="inlineStr">
        <is>
          <t>Sports</t>
        </is>
      </c>
      <c r="G3019" s="2" t="inlineStr">
        <is>
          <t>North</t>
        </is>
      </c>
      <c r="H3019" s="2" t="inlineStr">
        <is>
          <t>Haryana</t>
        </is>
      </c>
      <c r="I3019" s="2" t="inlineStr">
        <is>
          <t>Faridabad</t>
        </is>
      </c>
      <c r="J3019" s="2" t="inlineStr">
        <is>
          <t>Online</t>
        </is>
      </c>
      <c r="K3019" s="2" t="n">
        <v>2</v>
      </c>
      <c r="L3019" s="3" t="n">
        <v>794.89</v>
      </c>
      <c r="M3019" s="4" t="n">
        <v>0.05</v>
      </c>
      <c r="N3019" s="3" t="n">
        <v>1092.43</v>
      </c>
      <c r="O3019" s="3">
        <f>K3019*L3019*(1-M3019)</f>
        <v/>
      </c>
      <c r="P3019" s="3">
        <f>O3019-N3019</f>
        <v/>
      </c>
      <c r="Q3019" s="5">
        <f>IFERROR(P3019/O3019,0)</f>
        <v/>
      </c>
      <c r="R3019" s="2">
        <f>TEXT(DATEVALUE(B3019),"mmm")</f>
        <v/>
      </c>
      <c r="S3019" s="2">
        <f>TEXT(DATEVALUE(B3019),"yyyy-mm")</f>
        <v/>
      </c>
    </row>
    <row r="3020">
      <c r="A3020" s="2" t="inlineStr">
        <is>
          <t>O002839</t>
        </is>
      </c>
      <c r="B3020" s="2" t="inlineStr">
        <is>
          <t>2025-08-08</t>
        </is>
      </c>
      <c r="C3020" s="2" t="inlineStr">
        <is>
          <t>C0750</t>
        </is>
      </c>
      <c r="D3020" s="2" t="inlineStr">
        <is>
          <t>P0007</t>
        </is>
      </c>
      <c r="E3020" s="2" t="inlineStr">
        <is>
          <t>Wireless Mouse</t>
        </is>
      </c>
      <c r="F3020" s="2" t="inlineStr">
        <is>
          <t>Electronics</t>
        </is>
      </c>
      <c r="G3020" s="2" t="inlineStr">
        <is>
          <t>West</t>
        </is>
      </c>
      <c r="H3020" s="2" t="inlineStr">
        <is>
          <t>Goa</t>
        </is>
      </c>
      <c r="I3020" s="2" t="inlineStr">
        <is>
          <t>Margao</t>
        </is>
      </c>
      <c r="J3020" s="2" t="inlineStr">
        <is>
          <t>Store</t>
        </is>
      </c>
      <c r="K3020" s="2" t="n">
        <v>1</v>
      </c>
      <c r="L3020" s="3" t="n">
        <v>985.77</v>
      </c>
      <c r="M3020" s="4" t="n">
        <v>0</v>
      </c>
      <c r="N3020" s="3" t="n">
        <v>633.0599999999999</v>
      </c>
      <c r="O3020" s="3">
        <f>K3020*L3020*(1-M3020)</f>
        <v/>
      </c>
      <c r="P3020" s="3">
        <f>O3020-N3020</f>
        <v/>
      </c>
      <c r="Q3020" s="5">
        <f>IFERROR(P3020/O3020,0)</f>
        <v/>
      </c>
      <c r="R3020" s="2">
        <f>TEXT(DATEVALUE(B3020),"mmm")</f>
        <v/>
      </c>
      <c r="S3020" s="2">
        <f>TEXT(DATEVALUE(B3020),"yyyy-mm")</f>
        <v/>
      </c>
    </row>
    <row r="3021">
      <c r="A3021" s="2" t="inlineStr">
        <is>
          <t>O002571</t>
        </is>
      </c>
      <c r="B3021" s="2" t="inlineStr">
        <is>
          <t>2025-08-08</t>
        </is>
      </c>
      <c r="C3021" s="2" t="inlineStr">
        <is>
          <t>C0169</t>
        </is>
      </c>
      <c r="D3021" s="2" t="inlineStr">
        <is>
          <t>P0006</t>
        </is>
      </c>
      <c r="E3021" s="2" t="inlineStr">
        <is>
          <t>Mechanical Keyboard</t>
        </is>
      </c>
      <c r="F3021" s="2" t="inlineStr">
        <is>
          <t>Electronics</t>
        </is>
      </c>
      <c r="G3021" s="2" t="inlineStr">
        <is>
          <t>North</t>
        </is>
      </c>
      <c r="H3021" s="2" t="inlineStr">
        <is>
          <t>Delhi</t>
        </is>
      </c>
      <c r="I3021" s="2" t="inlineStr">
        <is>
          <t>New Delhi</t>
        </is>
      </c>
      <c r="J3021" s="2" t="inlineStr">
        <is>
          <t>Online</t>
        </is>
      </c>
      <c r="K3021" s="2" t="n">
        <v>5</v>
      </c>
      <c r="L3021" s="3" t="n">
        <v>2723.31</v>
      </c>
      <c r="M3021" s="4" t="n">
        <v>0</v>
      </c>
      <c r="N3021" s="3" t="n">
        <v>7585.93</v>
      </c>
      <c r="O3021" s="3">
        <f>K3021*L3021*(1-M3021)</f>
        <v/>
      </c>
      <c r="P3021" s="3">
        <f>O3021-N3021</f>
        <v/>
      </c>
      <c r="Q3021" s="5">
        <f>IFERROR(P3021/O3021,0)</f>
        <v/>
      </c>
      <c r="R3021" s="2">
        <f>TEXT(DATEVALUE(B3021),"mmm")</f>
        <v/>
      </c>
      <c r="S3021" s="2">
        <f>TEXT(DATEVALUE(B3021),"yyyy-mm")</f>
        <v/>
      </c>
    </row>
    <row r="3022">
      <c r="A3022" s="2" t="inlineStr">
        <is>
          <t>O002202</t>
        </is>
      </c>
      <c r="B3022" s="2" t="inlineStr">
        <is>
          <t>2025-08-08</t>
        </is>
      </c>
      <c r="C3022" s="2" t="inlineStr">
        <is>
          <t>C0671</t>
        </is>
      </c>
      <c r="D3022" s="2" t="inlineStr">
        <is>
          <t>P0022</t>
        </is>
      </c>
      <c r="E3022" s="2" t="inlineStr">
        <is>
          <t>Face Wash</t>
        </is>
      </c>
      <c r="F3022" s="2" t="inlineStr">
        <is>
          <t>Beauty</t>
        </is>
      </c>
      <c r="G3022" s="2" t="inlineStr">
        <is>
          <t>East</t>
        </is>
      </c>
      <c r="H3022" s="2" t="inlineStr">
        <is>
          <t>Bihar</t>
        </is>
      </c>
      <c r="I3022" s="2" t="inlineStr">
        <is>
          <t>Patna</t>
        </is>
      </c>
      <c r="J3022" s="2" t="inlineStr">
        <is>
          <t>Online</t>
        </is>
      </c>
      <c r="K3022" s="2" t="n">
        <v>2</v>
      </c>
      <c r="L3022" s="3" t="n">
        <v>539.53</v>
      </c>
      <c r="M3022" s="4" t="n">
        <v>0.05</v>
      </c>
      <c r="N3022" s="3" t="n">
        <v>699.1</v>
      </c>
      <c r="O3022" s="3">
        <f>K3022*L3022*(1-M3022)</f>
        <v/>
      </c>
      <c r="P3022" s="3">
        <f>O3022-N3022</f>
        <v/>
      </c>
      <c r="Q3022" s="5">
        <f>IFERROR(P3022/O3022,0)</f>
        <v/>
      </c>
      <c r="R3022" s="2">
        <f>TEXT(DATEVALUE(B3022),"mmm")</f>
        <v/>
      </c>
      <c r="S3022" s="2">
        <f>TEXT(DATEVALUE(B3022),"yyyy-mm")</f>
        <v/>
      </c>
    </row>
    <row r="3023">
      <c r="A3023" s="2" t="inlineStr">
        <is>
          <t>O002080</t>
        </is>
      </c>
      <c r="B3023" s="2" t="inlineStr">
        <is>
          <t>2025-08-08</t>
        </is>
      </c>
      <c r="C3023" s="2" t="inlineStr">
        <is>
          <t>C0430</t>
        </is>
      </c>
      <c r="D3023" s="2" t="inlineStr">
        <is>
          <t>P0021</t>
        </is>
      </c>
      <c r="E3023" s="2" t="inlineStr">
        <is>
          <t>Wallet</t>
        </is>
      </c>
      <c r="F3023" s="2" t="inlineStr">
        <is>
          <t>Fashion</t>
        </is>
      </c>
      <c r="G3023" s="2" t="inlineStr">
        <is>
          <t>North</t>
        </is>
      </c>
      <c r="H3023" s="2" t="inlineStr">
        <is>
          <t>Uttar Pradesh</t>
        </is>
      </c>
      <c r="I3023" s="2" t="inlineStr">
        <is>
          <t>Kanpur</t>
        </is>
      </c>
      <c r="J3023" s="2" t="inlineStr">
        <is>
          <t>Store</t>
        </is>
      </c>
      <c r="K3023" s="2" t="n">
        <v>1</v>
      </c>
      <c r="L3023" s="3" t="n">
        <v>1941.96</v>
      </c>
      <c r="M3023" s="4" t="n">
        <v>0.05</v>
      </c>
      <c r="N3023" s="3" t="n">
        <v>1235.66</v>
      </c>
      <c r="O3023" s="3">
        <f>K3023*L3023*(1-M3023)</f>
        <v/>
      </c>
      <c r="P3023" s="3">
        <f>O3023-N3023</f>
        <v/>
      </c>
      <c r="Q3023" s="5">
        <f>IFERROR(P3023/O3023,0)</f>
        <v/>
      </c>
      <c r="R3023" s="2">
        <f>TEXT(DATEVALUE(B3023),"mmm")</f>
        <v/>
      </c>
      <c r="S3023" s="2">
        <f>TEXT(DATEVALUE(B3023),"yyyy-mm")</f>
        <v/>
      </c>
    </row>
    <row r="3024">
      <c r="A3024" s="2" t="inlineStr">
        <is>
          <t>O004730</t>
        </is>
      </c>
      <c r="B3024" s="2" t="inlineStr">
        <is>
          <t>2025-08-08</t>
        </is>
      </c>
      <c r="C3024" s="2" t="inlineStr">
        <is>
          <t>C0298</t>
        </is>
      </c>
      <c r="D3024" s="2" t="inlineStr">
        <is>
          <t>P0012</t>
        </is>
      </c>
      <c r="E3024" s="2" t="inlineStr">
        <is>
          <t>Water Bottle</t>
        </is>
      </c>
      <c r="F3024" s="2" t="inlineStr">
        <is>
          <t>Home &amp; Kitchen</t>
        </is>
      </c>
      <c r="G3024" s="2" t="inlineStr">
        <is>
          <t>North</t>
        </is>
      </c>
      <c r="H3024" s="2" t="inlineStr">
        <is>
          <t>Haryana</t>
        </is>
      </c>
      <c r="I3024" s="2" t="inlineStr">
        <is>
          <t>Faridabad</t>
        </is>
      </c>
      <c r="J3024" s="2" t="inlineStr">
        <is>
          <t>Online</t>
        </is>
      </c>
      <c r="K3024" s="2" t="n">
        <v>1</v>
      </c>
      <c r="L3024" s="3" t="n">
        <v>984.3</v>
      </c>
      <c r="M3024" s="4" t="n">
        <v>0.05</v>
      </c>
      <c r="N3024" s="3" t="n">
        <v>642.96</v>
      </c>
      <c r="O3024" s="3">
        <f>K3024*L3024*(1-M3024)</f>
        <v/>
      </c>
      <c r="P3024" s="3">
        <f>O3024-N3024</f>
        <v/>
      </c>
      <c r="Q3024" s="5">
        <f>IFERROR(P3024/O3024,0)</f>
        <v/>
      </c>
      <c r="R3024" s="2">
        <f>TEXT(DATEVALUE(B3024),"mmm")</f>
        <v/>
      </c>
      <c r="S3024" s="2">
        <f>TEXT(DATEVALUE(B3024),"yyyy-mm")</f>
        <v/>
      </c>
    </row>
    <row r="3025">
      <c r="A3025" s="2" t="inlineStr">
        <is>
          <t>O000967</t>
        </is>
      </c>
      <c r="B3025" s="2" t="inlineStr">
        <is>
          <t>2025-08-08</t>
        </is>
      </c>
      <c r="C3025" s="2" t="inlineStr">
        <is>
          <t>C0667</t>
        </is>
      </c>
      <c r="D3025" s="2" t="inlineStr">
        <is>
          <t>P0016</t>
        </is>
      </c>
      <c r="E3025" s="2" t="inlineStr">
        <is>
          <t>Casual Shirt</t>
        </is>
      </c>
      <c r="F3025" s="2" t="inlineStr">
        <is>
          <t>Fashion</t>
        </is>
      </c>
      <c r="G3025" s="2" t="inlineStr">
        <is>
          <t>East</t>
        </is>
      </c>
      <c r="H3025" s="2" t="inlineStr">
        <is>
          <t>Bihar</t>
        </is>
      </c>
      <c r="I3025" s="2" t="inlineStr">
        <is>
          <t>Patna</t>
        </is>
      </c>
      <c r="J3025" s="2" t="inlineStr">
        <is>
          <t>Online</t>
        </is>
      </c>
      <c r="K3025" s="2" t="n">
        <v>1</v>
      </c>
      <c r="L3025" s="3" t="n">
        <v>1272.85</v>
      </c>
      <c r="M3025" s="4" t="n">
        <v>0.2</v>
      </c>
      <c r="N3025" s="3" t="n">
        <v>881.13</v>
      </c>
      <c r="O3025" s="3">
        <f>K3025*L3025*(1-M3025)</f>
        <v/>
      </c>
      <c r="P3025" s="3">
        <f>O3025-N3025</f>
        <v/>
      </c>
      <c r="Q3025" s="5">
        <f>IFERROR(P3025/O3025,0)</f>
        <v/>
      </c>
      <c r="R3025" s="2">
        <f>TEXT(DATEVALUE(B3025),"mmm")</f>
        <v/>
      </c>
      <c r="S3025" s="2">
        <f>TEXT(DATEVALUE(B3025),"yyyy-mm")</f>
        <v/>
      </c>
    </row>
    <row r="3026">
      <c r="A3026" s="2" t="inlineStr">
        <is>
          <t>O000706</t>
        </is>
      </c>
      <c r="B3026" s="2" t="inlineStr">
        <is>
          <t>2025-08-08</t>
        </is>
      </c>
      <c r="C3026" s="2" t="inlineStr">
        <is>
          <t>C0544</t>
        </is>
      </c>
      <c r="D3026" s="2" t="inlineStr">
        <is>
          <t>P0019</t>
        </is>
      </c>
      <c r="E3026" s="2" t="inlineStr">
        <is>
          <t>Jacket</t>
        </is>
      </c>
      <c r="F3026" s="2" t="inlineStr">
        <is>
          <t>Fashion</t>
        </is>
      </c>
      <c r="G3026" s="2" t="inlineStr">
        <is>
          <t>North</t>
        </is>
      </c>
      <c r="H3026" s="2" t="inlineStr">
        <is>
          <t>Uttar Pradesh</t>
        </is>
      </c>
      <c r="I3026" s="2" t="inlineStr">
        <is>
          <t>Noida</t>
        </is>
      </c>
      <c r="J3026" s="2" t="inlineStr">
        <is>
          <t>Online</t>
        </is>
      </c>
      <c r="K3026" s="2" t="n">
        <v>1</v>
      </c>
      <c r="L3026" s="3" t="n">
        <v>1028.28</v>
      </c>
      <c r="M3026" s="4" t="n">
        <v>0.05</v>
      </c>
      <c r="N3026" s="3" t="n">
        <v>690.1900000000001</v>
      </c>
      <c r="O3026" s="3">
        <f>K3026*L3026*(1-M3026)</f>
        <v/>
      </c>
      <c r="P3026" s="3">
        <f>O3026-N3026</f>
        <v/>
      </c>
      <c r="Q3026" s="5">
        <f>IFERROR(P3026/O3026,0)</f>
        <v/>
      </c>
      <c r="R3026" s="2">
        <f>TEXT(DATEVALUE(B3026),"mmm")</f>
        <v/>
      </c>
      <c r="S3026" s="2">
        <f>TEXT(DATEVALUE(B3026),"yyyy-mm")</f>
        <v/>
      </c>
    </row>
    <row r="3027">
      <c r="A3027" s="2" t="inlineStr">
        <is>
          <t>O000698</t>
        </is>
      </c>
      <c r="B3027" s="2" t="inlineStr">
        <is>
          <t>2025-08-08</t>
        </is>
      </c>
      <c r="C3027" s="2" t="inlineStr">
        <is>
          <t>C0582</t>
        </is>
      </c>
      <c r="D3027" s="2" t="inlineStr">
        <is>
          <t>P0027</t>
        </is>
      </c>
      <c r="E3027" s="2" t="inlineStr">
        <is>
          <t>Moisturizer</t>
        </is>
      </c>
      <c r="F3027" s="2" t="inlineStr">
        <is>
          <t>Beauty</t>
        </is>
      </c>
      <c r="G3027" s="2" t="inlineStr">
        <is>
          <t>South</t>
        </is>
      </c>
      <c r="H3027" s="2" t="inlineStr">
        <is>
          <t>Tamil Nadu</t>
        </is>
      </c>
      <c r="I3027" s="2" t="inlineStr">
        <is>
          <t>Madurai</t>
        </is>
      </c>
      <c r="J3027" s="2" t="inlineStr">
        <is>
          <t>Store</t>
        </is>
      </c>
      <c r="K3027" s="2" t="n">
        <v>4</v>
      </c>
      <c r="L3027" s="3" t="n">
        <v>953.13</v>
      </c>
      <c r="M3027" s="4" t="n">
        <v>0.15</v>
      </c>
      <c r="N3027" s="3" t="n">
        <v>2775.55</v>
      </c>
      <c r="O3027" s="3">
        <f>K3027*L3027*(1-M3027)</f>
        <v/>
      </c>
      <c r="P3027" s="3">
        <f>O3027-N3027</f>
        <v/>
      </c>
      <c r="Q3027" s="5">
        <f>IFERROR(P3027/O3027,0)</f>
        <v/>
      </c>
      <c r="R3027" s="2">
        <f>TEXT(DATEVALUE(B3027),"mmm")</f>
        <v/>
      </c>
      <c r="S3027" s="2">
        <f>TEXT(DATEVALUE(B3027),"yyyy-mm")</f>
        <v/>
      </c>
    </row>
    <row r="3028">
      <c r="A3028" s="2" t="inlineStr">
        <is>
          <t>O000643</t>
        </is>
      </c>
      <c r="B3028" s="2" t="inlineStr">
        <is>
          <t>2025-08-08</t>
        </is>
      </c>
      <c r="C3028" s="2" t="inlineStr">
        <is>
          <t>C0043</t>
        </is>
      </c>
      <c r="D3028" s="2" t="inlineStr">
        <is>
          <t>P0011</t>
        </is>
      </c>
      <c r="E3028" s="2" t="inlineStr">
        <is>
          <t>Cookware Set</t>
        </is>
      </c>
      <c r="F3028" s="2" t="inlineStr">
        <is>
          <t>Home &amp; Kitchen</t>
        </is>
      </c>
      <c r="G3028" s="2" t="inlineStr">
        <is>
          <t>North</t>
        </is>
      </c>
      <c r="H3028" s="2" t="inlineStr">
        <is>
          <t>Punjab</t>
        </is>
      </c>
      <c r="I3028" s="2" t="inlineStr">
        <is>
          <t>Ludhiana</t>
        </is>
      </c>
      <c r="J3028" s="2" t="inlineStr">
        <is>
          <t>Store</t>
        </is>
      </c>
      <c r="K3028" s="2" t="n">
        <v>1</v>
      </c>
      <c r="L3028" s="3" t="n">
        <v>710.29</v>
      </c>
      <c r="M3028" s="4" t="n">
        <v>0.05</v>
      </c>
      <c r="N3028" s="3" t="n">
        <v>487.83</v>
      </c>
      <c r="O3028" s="3">
        <f>K3028*L3028*(1-M3028)</f>
        <v/>
      </c>
      <c r="P3028" s="3">
        <f>O3028-N3028</f>
        <v/>
      </c>
      <c r="Q3028" s="5">
        <f>IFERROR(P3028/O3028,0)</f>
        <v/>
      </c>
      <c r="R3028" s="2">
        <f>TEXT(DATEVALUE(B3028),"mmm")</f>
        <v/>
      </c>
      <c r="S3028" s="2">
        <f>TEXT(DATEVALUE(B3028),"yyyy-mm")</f>
        <v/>
      </c>
    </row>
    <row r="3029">
      <c r="A3029" s="2" t="inlineStr">
        <is>
          <t>O000469</t>
        </is>
      </c>
      <c r="B3029" s="2" t="inlineStr">
        <is>
          <t>2025-08-08</t>
        </is>
      </c>
      <c r="C3029" s="2" t="inlineStr">
        <is>
          <t>C0758</t>
        </is>
      </c>
      <c r="D3029" s="2" t="inlineStr">
        <is>
          <t>P0019</t>
        </is>
      </c>
      <c r="E3029" s="2" t="inlineStr">
        <is>
          <t>Jacket</t>
        </is>
      </c>
      <c r="F3029" s="2" t="inlineStr">
        <is>
          <t>Fashion</t>
        </is>
      </c>
      <c r="G3029" s="2" t="inlineStr">
        <is>
          <t>West</t>
        </is>
      </c>
      <c r="H3029" s="2" t="inlineStr">
        <is>
          <t>Goa</t>
        </is>
      </c>
      <c r="I3029" s="2" t="inlineStr">
        <is>
          <t>Margao</t>
        </is>
      </c>
      <c r="J3029" s="2" t="inlineStr">
        <is>
          <t>Online</t>
        </is>
      </c>
      <c r="K3029" s="2" t="n">
        <v>2</v>
      </c>
      <c r="L3029" s="3" t="n">
        <v>1020.36</v>
      </c>
      <c r="M3029" s="4" t="n">
        <v>0</v>
      </c>
      <c r="N3029" s="3" t="n">
        <v>1390.26</v>
      </c>
      <c r="O3029" s="3">
        <f>K3029*L3029*(1-M3029)</f>
        <v/>
      </c>
      <c r="P3029" s="3">
        <f>O3029-N3029</f>
        <v/>
      </c>
      <c r="Q3029" s="5">
        <f>IFERROR(P3029/O3029,0)</f>
        <v/>
      </c>
      <c r="R3029" s="2">
        <f>TEXT(DATEVALUE(B3029),"mmm")</f>
        <v/>
      </c>
      <c r="S3029" s="2">
        <f>TEXT(DATEVALUE(B3029),"yyyy-mm")</f>
        <v/>
      </c>
    </row>
    <row r="3030">
      <c r="A3030" s="2" t="inlineStr">
        <is>
          <t>O000332</t>
        </is>
      </c>
      <c r="B3030" s="2" t="inlineStr">
        <is>
          <t>2025-08-08</t>
        </is>
      </c>
      <c r="C3030" s="2" t="inlineStr">
        <is>
          <t>C0161</t>
        </is>
      </c>
      <c r="D3030" s="2" t="inlineStr">
        <is>
          <t>P0017</t>
        </is>
      </c>
      <c r="E3030" s="2" t="inlineStr">
        <is>
          <t>Jeans</t>
        </is>
      </c>
      <c r="F3030" s="2" t="inlineStr">
        <is>
          <t>Fashion</t>
        </is>
      </c>
      <c r="G3030" s="2" t="inlineStr">
        <is>
          <t>South</t>
        </is>
      </c>
      <c r="H3030" s="2" t="inlineStr">
        <is>
          <t>Karnataka</t>
        </is>
      </c>
      <c r="I3030" s="2" t="inlineStr">
        <is>
          <t>Mysuru</t>
        </is>
      </c>
      <c r="J3030" s="2" t="inlineStr">
        <is>
          <t>Store</t>
        </is>
      </c>
      <c r="K3030" s="2" t="n">
        <v>1</v>
      </c>
      <c r="L3030" s="3" t="n">
        <v>1447.06</v>
      </c>
      <c r="M3030" s="4" t="n">
        <v>0.1</v>
      </c>
      <c r="N3030" s="3" t="n">
        <v>1028.89</v>
      </c>
      <c r="O3030" s="3">
        <f>K3030*L3030*(1-M3030)</f>
        <v/>
      </c>
      <c r="P3030" s="3">
        <f>O3030-N3030</f>
        <v/>
      </c>
      <c r="Q3030" s="5">
        <f>IFERROR(P3030/O3030,0)</f>
        <v/>
      </c>
      <c r="R3030" s="2">
        <f>TEXT(DATEVALUE(B3030),"mmm")</f>
        <v/>
      </c>
      <c r="S3030" s="2">
        <f>TEXT(DATEVALUE(B3030),"yyyy-mm")</f>
        <v/>
      </c>
    </row>
    <row r="3031">
      <c r="A3031" s="2" t="inlineStr">
        <is>
          <t>O000209</t>
        </is>
      </c>
      <c r="B3031" s="2" t="inlineStr">
        <is>
          <t>2025-08-08</t>
        </is>
      </c>
      <c r="C3031" s="2" t="inlineStr">
        <is>
          <t>C0765</t>
        </is>
      </c>
      <c r="D3031" s="2" t="inlineStr">
        <is>
          <t>P0021</t>
        </is>
      </c>
      <c r="E3031" s="2" t="inlineStr">
        <is>
          <t>Wallet</t>
        </is>
      </c>
      <c r="F3031" s="2" t="inlineStr">
        <is>
          <t>Fashion</t>
        </is>
      </c>
      <c r="G3031" s="2" t="inlineStr">
        <is>
          <t>North</t>
        </is>
      </c>
      <c r="H3031" s="2" t="inlineStr">
        <is>
          <t>Punjab</t>
        </is>
      </c>
      <c r="I3031" s="2" t="inlineStr">
        <is>
          <t>Ludhiana</t>
        </is>
      </c>
      <c r="J3031" s="2" t="inlineStr">
        <is>
          <t>Store</t>
        </is>
      </c>
      <c r="K3031" s="2" t="n">
        <v>2</v>
      </c>
      <c r="L3031" s="3" t="n">
        <v>1957.57</v>
      </c>
      <c r="M3031" s="4" t="n">
        <v>0.25</v>
      </c>
      <c r="N3031" s="3" t="n">
        <v>2358.65</v>
      </c>
      <c r="O3031" s="3">
        <f>K3031*L3031*(1-M3031)</f>
        <v/>
      </c>
      <c r="P3031" s="3">
        <f>O3031-N3031</f>
        <v/>
      </c>
      <c r="Q3031" s="5">
        <f>IFERROR(P3031/O3031,0)</f>
        <v/>
      </c>
      <c r="R3031" s="2">
        <f>TEXT(DATEVALUE(B3031),"mmm")</f>
        <v/>
      </c>
      <c r="S3031" s="2">
        <f>TEXT(DATEVALUE(B3031),"yyyy-mm")</f>
        <v/>
      </c>
    </row>
    <row r="3032">
      <c r="A3032" s="2" t="inlineStr">
        <is>
          <t>O001913</t>
        </is>
      </c>
      <c r="B3032" s="2" t="inlineStr">
        <is>
          <t>2025-08-08</t>
        </is>
      </c>
      <c r="C3032" s="2" t="inlineStr">
        <is>
          <t>C0539</t>
        </is>
      </c>
      <c r="D3032" s="2" t="inlineStr">
        <is>
          <t>P0010</t>
        </is>
      </c>
      <c r="E3032" s="2" t="inlineStr">
        <is>
          <t>Mixer Grinder</t>
        </is>
      </c>
      <c r="F3032" s="2" t="inlineStr">
        <is>
          <t>Home &amp; Kitchen</t>
        </is>
      </c>
      <c r="G3032" s="2" t="inlineStr">
        <is>
          <t>West</t>
        </is>
      </c>
      <c r="H3032" s="2" t="inlineStr">
        <is>
          <t>Goa</t>
        </is>
      </c>
      <c r="I3032" s="2" t="inlineStr">
        <is>
          <t>Panaji</t>
        </is>
      </c>
      <c r="J3032" s="2" t="inlineStr">
        <is>
          <t>Store</t>
        </is>
      </c>
      <c r="K3032" s="2" t="n">
        <v>2</v>
      </c>
      <c r="L3032" s="3" t="n">
        <v>1618.37</v>
      </c>
      <c r="M3032" s="4" t="n">
        <v>0.15</v>
      </c>
      <c r="N3032" s="3" t="n">
        <v>2084.16</v>
      </c>
      <c r="O3032" s="3">
        <f>K3032*L3032*(1-M3032)</f>
        <v/>
      </c>
      <c r="P3032" s="3">
        <f>O3032-N3032</f>
        <v/>
      </c>
      <c r="Q3032" s="5">
        <f>IFERROR(P3032/O3032,0)</f>
        <v/>
      </c>
      <c r="R3032" s="2">
        <f>TEXT(DATEVALUE(B3032),"mmm")</f>
        <v/>
      </c>
      <c r="S3032" s="2">
        <f>TEXT(DATEVALUE(B3032),"yyyy-mm")</f>
        <v/>
      </c>
    </row>
    <row r="3033">
      <c r="A3033" s="2" t="inlineStr">
        <is>
          <t>O004685</t>
        </is>
      </c>
      <c r="B3033" s="2" t="inlineStr">
        <is>
          <t>2025-08-09</t>
        </is>
      </c>
      <c r="C3033" s="2" t="inlineStr">
        <is>
          <t>C0298</t>
        </is>
      </c>
      <c r="D3033" s="2" t="inlineStr">
        <is>
          <t>P0023</t>
        </is>
      </c>
      <c r="E3033" s="2" t="inlineStr">
        <is>
          <t>Skin Care Kit</t>
        </is>
      </c>
      <c r="F3033" s="2" t="inlineStr">
        <is>
          <t>Beauty</t>
        </is>
      </c>
      <c r="G3033" s="2" t="inlineStr">
        <is>
          <t>West</t>
        </is>
      </c>
      <c r="H3033" s="2" t="inlineStr">
        <is>
          <t>Maharashtra</t>
        </is>
      </c>
      <c r="I3033" s="2" t="inlineStr">
        <is>
          <t>Thane</t>
        </is>
      </c>
      <c r="J3033" s="2" t="inlineStr">
        <is>
          <t>Store</t>
        </is>
      </c>
      <c r="K3033" s="2" t="n">
        <v>2</v>
      </c>
      <c r="L3033" s="3" t="n">
        <v>1388.59</v>
      </c>
      <c r="M3033" s="4" t="n">
        <v>0</v>
      </c>
      <c r="N3033" s="3" t="n">
        <v>1842.04</v>
      </c>
      <c r="O3033" s="3">
        <f>K3033*L3033*(1-M3033)</f>
        <v/>
      </c>
      <c r="P3033" s="3">
        <f>O3033-N3033</f>
        <v/>
      </c>
      <c r="Q3033" s="5">
        <f>IFERROR(P3033/O3033,0)</f>
        <v/>
      </c>
      <c r="R3033" s="2">
        <f>TEXT(DATEVALUE(B3033),"mmm")</f>
        <v/>
      </c>
      <c r="S3033" s="2">
        <f>TEXT(DATEVALUE(B3033),"yyyy-mm")</f>
        <v/>
      </c>
    </row>
    <row r="3034">
      <c r="A3034" s="2" t="inlineStr">
        <is>
          <t>O004682</t>
        </is>
      </c>
      <c r="B3034" s="2" t="inlineStr">
        <is>
          <t>2025-08-09</t>
        </is>
      </c>
      <c r="C3034" s="2" t="inlineStr">
        <is>
          <t>C0694</t>
        </is>
      </c>
      <c r="D3034" s="2" t="inlineStr">
        <is>
          <t>P0030</t>
        </is>
      </c>
      <c r="E3034" s="2" t="inlineStr">
        <is>
          <t>Dumbbells</t>
        </is>
      </c>
      <c r="F3034" s="2" t="inlineStr">
        <is>
          <t>Sports</t>
        </is>
      </c>
      <c r="G3034" s="2" t="inlineStr">
        <is>
          <t>West</t>
        </is>
      </c>
      <c r="H3034" s="2" t="inlineStr">
        <is>
          <t>Gujarat</t>
        </is>
      </c>
      <c r="I3034" s="2" t="inlineStr">
        <is>
          <t>Vadodara</t>
        </is>
      </c>
      <c r="J3034" s="2" t="inlineStr">
        <is>
          <t>Online</t>
        </is>
      </c>
      <c r="K3034" s="2" t="n">
        <v>3</v>
      </c>
      <c r="L3034" s="3" t="n">
        <v>1626.62</v>
      </c>
      <c r="M3034" s="4" t="n">
        <v>0.1</v>
      </c>
      <c r="N3034" s="3" t="n">
        <v>3096.01</v>
      </c>
      <c r="O3034" s="3">
        <f>K3034*L3034*(1-M3034)</f>
        <v/>
      </c>
      <c r="P3034" s="3">
        <f>O3034-N3034</f>
        <v/>
      </c>
      <c r="Q3034" s="5">
        <f>IFERROR(P3034/O3034,0)</f>
        <v/>
      </c>
      <c r="R3034" s="2">
        <f>TEXT(DATEVALUE(B3034),"mmm")</f>
        <v/>
      </c>
      <c r="S3034" s="2">
        <f>TEXT(DATEVALUE(B3034),"yyyy-mm")</f>
        <v/>
      </c>
    </row>
    <row r="3035">
      <c r="A3035" s="2" t="inlineStr">
        <is>
          <t>O004089</t>
        </is>
      </c>
      <c r="B3035" s="2" t="inlineStr">
        <is>
          <t>2025-08-09</t>
        </is>
      </c>
      <c r="C3035" s="2" t="inlineStr">
        <is>
          <t>C0568</t>
        </is>
      </c>
      <c r="D3035" s="2" t="inlineStr">
        <is>
          <t>P0004</t>
        </is>
      </c>
      <c r="E3035" s="2" t="inlineStr">
        <is>
          <t>USB-C Hub</t>
        </is>
      </c>
      <c r="F3035" s="2" t="inlineStr">
        <is>
          <t>Electronics</t>
        </is>
      </c>
      <c r="G3035" s="2" t="inlineStr">
        <is>
          <t>West</t>
        </is>
      </c>
      <c r="H3035" s="2" t="inlineStr">
        <is>
          <t>Goa</t>
        </is>
      </c>
      <c r="I3035" s="2" t="inlineStr">
        <is>
          <t>Panaji</t>
        </is>
      </c>
      <c r="J3035" s="2" t="inlineStr">
        <is>
          <t>Store</t>
        </is>
      </c>
      <c r="K3035" s="2" t="n">
        <v>4</v>
      </c>
      <c r="L3035" s="3" t="n">
        <v>1290.88</v>
      </c>
      <c r="M3035" s="4" t="n">
        <v>0.1</v>
      </c>
      <c r="N3035" s="3" t="n">
        <v>3580.53</v>
      </c>
      <c r="O3035" s="3">
        <f>K3035*L3035*(1-M3035)</f>
        <v/>
      </c>
      <c r="P3035" s="3">
        <f>O3035-N3035</f>
        <v/>
      </c>
      <c r="Q3035" s="5">
        <f>IFERROR(P3035/O3035,0)</f>
        <v/>
      </c>
      <c r="R3035" s="2">
        <f>TEXT(DATEVALUE(B3035),"mmm")</f>
        <v/>
      </c>
      <c r="S3035" s="2">
        <f>TEXT(DATEVALUE(B3035),"yyyy-mm")</f>
        <v/>
      </c>
    </row>
    <row r="3036">
      <c r="A3036" s="2" t="inlineStr">
        <is>
          <t>O004064</t>
        </is>
      </c>
      <c r="B3036" s="2" t="inlineStr">
        <is>
          <t>2025-08-09</t>
        </is>
      </c>
      <c r="C3036" s="2" t="inlineStr">
        <is>
          <t>C0796</t>
        </is>
      </c>
      <c r="D3036" s="2" t="inlineStr">
        <is>
          <t>P0027</t>
        </is>
      </c>
      <c r="E3036" s="2" t="inlineStr">
        <is>
          <t>Moisturizer</t>
        </is>
      </c>
      <c r="F3036" s="2" t="inlineStr">
        <is>
          <t>Beauty</t>
        </is>
      </c>
      <c r="G3036" s="2" t="inlineStr">
        <is>
          <t>West</t>
        </is>
      </c>
      <c r="H3036" s="2" t="inlineStr">
        <is>
          <t>Maharashtra</t>
        </is>
      </c>
      <c r="I3036" s="2" t="inlineStr">
        <is>
          <t>Pune</t>
        </is>
      </c>
      <c r="J3036" s="2" t="inlineStr">
        <is>
          <t>Store</t>
        </is>
      </c>
      <c r="K3036" s="2" t="n">
        <v>1</v>
      </c>
      <c r="L3036" s="3" t="n">
        <v>990.35</v>
      </c>
      <c r="M3036" s="4" t="n">
        <v>0.2</v>
      </c>
      <c r="N3036" s="3" t="n">
        <v>690.59</v>
      </c>
      <c r="O3036" s="3">
        <f>K3036*L3036*(1-M3036)</f>
        <v/>
      </c>
      <c r="P3036" s="3">
        <f>O3036-N3036</f>
        <v/>
      </c>
      <c r="Q3036" s="5">
        <f>IFERROR(P3036/O3036,0)</f>
        <v/>
      </c>
      <c r="R3036" s="2">
        <f>TEXT(DATEVALUE(B3036),"mmm")</f>
        <v/>
      </c>
      <c r="S3036" s="2">
        <f>TEXT(DATEVALUE(B3036),"yyyy-mm")</f>
        <v/>
      </c>
    </row>
    <row r="3037">
      <c r="A3037" s="2" t="inlineStr">
        <is>
          <t>O003632</t>
        </is>
      </c>
      <c r="B3037" s="2" t="inlineStr">
        <is>
          <t>2025-08-09</t>
        </is>
      </c>
      <c r="C3037" s="2" t="inlineStr">
        <is>
          <t>C0694</t>
        </is>
      </c>
      <c r="D3037" s="2" t="inlineStr">
        <is>
          <t>P0004</t>
        </is>
      </c>
      <c r="E3037" s="2" t="inlineStr">
        <is>
          <t>USB-C Hub</t>
        </is>
      </c>
      <c r="F3037" s="2" t="inlineStr">
        <is>
          <t>Electronics</t>
        </is>
      </c>
      <c r="G3037" s="2" t="inlineStr">
        <is>
          <t>South</t>
        </is>
      </c>
      <c r="H3037" s="2" t="inlineStr">
        <is>
          <t>Kerala</t>
        </is>
      </c>
      <c r="I3037" s="2" t="inlineStr">
        <is>
          <t>Kochi</t>
        </is>
      </c>
      <c r="J3037" s="2" t="inlineStr">
        <is>
          <t>Online</t>
        </is>
      </c>
      <c r="K3037" s="2" t="n">
        <v>3</v>
      </c>
      <c r="L3037" s="3" t="n">
        <v>1224.28</v>
      </c>
      <c r="M3037" s="4" t="n">
        <v>0.1</v>
      </c>
      <c r="N3037" s="3" t="n">
        <v>2702.84</v>
      </c>
      <c r="O3037" s="3">
        <f>K3037*L3037*(1-M3037)</f>
        <v/>
      </c>
      <c r="P3037" s="3">
        <f>O3037-N3037</f>
        <v/>
      </c>
      <c r="Q3037" s="5">
        <f>IFERROR(P3037/O3037,0)</f>
        <v/>
      </c>
      <c r="R3037" s="2">
        <f>TEXT(DATEVALUE(B3037),"mmm")</f>
        <v/>
      </c>
      <c r="S3037" s="2">
        <f>TEXT(DATEVALUE(B3037),"yyyy-mm")</f>
        <v/>
      </c>
    </row>
    <row r="3038">
      <c r="A3038" s="2" t="inlineStr">
        <is>
          <t>O002730</t>
        </is>
      </c>
      <c r="B3038" s="2" t="inlineStr">
        <is>
          <t>2025-08-09</t>
        </is>
      </c>
      <c r="C3038" s="2" t="inlineStr">
        <is>
          <t>C0399</t>
        </is>
      </c>
      <c r="D3038" s="2" t="inlineStr">
        <is>
          <t>P0002</t>
        </is>
      </c>
      <c r="E3038" s="2" t="inlineStr">
        <is>
          <t>Bluetooth Speaker</t>
        </is>
      </c>
      <c r="F3038" s="2" t="inlineStr">
        <is>
          <t>Electronics</t>
        </is>
      </c>
      <c r="G3038" s="2" t="inlineStr">
        <is>
          <t>North</t>
        </is>
      </c>
      <c r="H3038" s="2" t="inlineStr">
        <is>
          <t>Haryana</t>
        </is>
      </c>
      <c r="I3038" s="2" t="inlineStr">
        <is>
          <t>Faridabad</t>
        </is>
      </c>
      <c r="J3038" s="2" t="inlineStr">
        <is>
          <t>Store</t>
        </is>
      </c>
      <c r="K3038" s="2" t="n">
        <v>2</v>
      </c>
      <c r="L3038" s="3" t="n">
        <v>1322.52</v>
      </c>
      <c r="M3038" s="4" t="n">
        <v>0.05</v>
      </c>
      <c r="N3038" s="3" t="n">
        <v>1636.05</v>
      </c>
      <c r="O3038" s="3">
        <f>K3038*L3038*(1-M3038)</f>
        <v/>
      </c>
      <c r="P3038" s="3">
        <f>O3038-N3038</f>
        <v/>
      </c>
      <c r="Q3038" s="5">
        <f>IFERROR(P3038/O3038,0)</f>
        <v/>
      </c>
      <c r="R3038" s="2">
        <f>TEXT(DATEVALUE(B3038),"mmm")</f>
        <v/>
      </c>
      <c r="S3038" s="2">
        <f>TEXT(DATEVALUE(B3038),"yyyy-mm")</f>
        <v/>
      </c>
    </row>
    <row r="3039">
      <c r="A3039" s="2" t="inlineStr">
        <is>
          <t>O002458</t>
        </is>
      </c>
      <c r="B3039" s="2" t="inlineStr">
        <is>
          <t>2025-08-09</t>
        </is>
      </c>
      <c r="C3039" s="2" t="inlineStr">
        <is>
          <t>C0568</t>
        </is>
      </c>
      <c r="D3039" s="2" t="inlineStr">
        <is>
          <t>P0031</t>
        </is>
      </c>
      <c r="E3039" s="2" t="inlineStr">
        <is>
          <t>Cricket Bat</t>
        </is>
      </c>
      <c r="F3039" s="2" t="inlineStr">
        <is>
          <t>Sports</t>
        </is>
      </c>
      <c r="G3039" s="2" t="inlineStr">
        <is>
          <t>North</t>
        </is>
      </c>
      <c r="H3039" s="2" t="inlineStr">
        <is>
          <t>Haryana</t>
        </is>
      </c>
      <c r="I3039" s="2" t="inlineStr">
        <is>
          <t>Faridabad</t>
        </is>
      </c>
      <c r="J3039" s="2" t="inlineStr">
        <is>
          <t>Online</t>
        </is>
      </c>
      <c r="K3039" s="2" t="n">
        <v>1</v>
      </c>
      <c r="L3039" s="3" t="n">
        <v>1395.69</v>
      </c>
      <c r="M3039" s="4" t="n">
        <v>0.1</v>
      </c>
      <c r="N3039" s="3" t="n">
        <v>915.12</v>
      </c>
      <c r="O3039" s="3">
        <f>K3039*L3039*(1-M3039)</f>
        <v/>
      </c>
      <c r="P3039" s="3">
        <f>O3039-N3039</f>
        <v/>
      </c>
      <c r="Q3039" s="5">
        <f>IFERROR(P3039/O3039,0)</f>
        <v/>
      </c>
      <c r="R3039" s="2">
        <f>TEXT(DATEVALUE(B3039),"mmm")</f>
        <v/>
      </c>
      <c r="S3039" s="2">
        <f>TEXT(DATEVALUE(B3039),"yyyy-mm")</f>
        <v/>
      </c>
    </row>
    <row r="3040">
      <c r="A3040" s="2" t="inlineStr">
        <is>
          <t>O002131</t>
        </is>
      </c>
      <c r="B3040" s="2" t="inlineStr">
        <is>
          <t>2025-08-09</t>
        </is>
      </c>
      <c r="C3040" s="2" t="inlineStr">
        <is>
          <t>C0564</t>
        </is>
      </c>
      <c r="D3040" s="2" t="inlineStr">
        <is>
          <t>P0021</t>
        </is>
      </c>
      <c r="E3040" s="2" t="inlineStr">
        <is>
          <t>Wallet</t>
        </is>
      </c>
      <c r="F3040" s="2" t="inlineStr">
        <is>
          <t>Fashion</t>
        </is>
      </c>
      <c r="G3040" s="2" t="inlineStr">
        <is>
          <t>West</t>
        </is>
      </c>
      <c r="H3040" s="2" t="inlineStr">
        <is>
          <t>Maharashtra</t>
        </is>
      </c>
      <c r="I3040" s="2" t="inlineStr">
        <is>
          <t>Pune</t>
        </is>
      </c>
      <c r="J3040" s="2" t="inlineStr">
        <is>
          <t>Online</t>
        </is>
      </c>
      <c r="K3040" s="2" t="n">
        <v>1</v>
      </c>
      <c r="L3040" s="3" t="n">
        <v>2053.97</v>
      </c>
      <c r="M3040" s="4" t="n">
        <v>0.1</v>
      </c>
      <c r="N3040" s="3" t="n">
        <v>1240.84</v>
      </c>
      <c r="O3040" s="3">
        <f>K3040*L3040*(1-M3040)</f>
        <v/>
      </c>
      <c r="P3040" s="3">
        <f>O3040-N3040</f>
        <v/>
      </c>
      <c r="Q3040" s="5">
        <f>IFERROR(P3040/O3040,0)</f>
        <v/>
      </c>
      <c r="R3040" s="2">
        <f>TEXT(DATEVALUE(B3040),"mmm")</f>
        <v/>
      </c>
      <c r="S3040" s="2">
        <f>TEXT(DATEVALUE(B3040),"yyyy-mm")</f>
        <v/>
      </c>
    </row>
    <row r="3041">
      <c r="A3041" s="2" t="inlineStr">
        <is>
          <t>O001883</t>
        </is>
      </c>
      <c r="B3041" s="2" t="inlineStr">
        <is>
          <t>2025-08-09</t>
        </is>
      </c>
      <c r="C3041" s="2" t="inlineStr">
        <is>
          <t>C0599</t>
        </is>
      </c>
      <c r="D3041" s="2" t="inlineStr">
        <is>
          <t>P0014</t>
        </is>
      </c>
      <c r="E3041" s="2" t="inlineStr">
        <is>
          <t>Coffee Maker</t>
        </is>
      </c>
      <c r="F3041" s="2" t="inlineStr">
        <is>
          <t>Home &amp; Kitchen</t>
        </is>
      </c>
      <c r="G3041" s="2" t="inlineStr">
        <is>
          <t>East</t>
        </is>
      </c>
      <c r="H3041" s="2" t="inlineStr">
        <is>
          <t>Bihar</t>
        </is>
      </c>
      <c r="I3041" s="2" t="inlineStr">
        <is>
          <t>Patna</t>
        </is>
      </c>
      <c r="J3041" s="2" t="inlineStr">
        <is>
          <t>Online</t>
        </is>
      </c>
      <c r="K3041" s="2" t="n">
        <v>2</v>
      </c>
      <c r="L3041" s="3" t="n">
        <v>1034.11</v>
      </c>
      <c r="M3041" s="4" t="n">
        <v>0.1</v>
      </c>
      <c r="N3041" s="3" t="n">
        <v>1509.22</v>
      </c>
      <c r="O3041" s="3">
        <f>K3041*L3041*(1-M3041)</f>
        <v/>
      </c>
      <c r="P3041" s="3">
        <f>O3041-N3041</f>
        <v/>
      </c>
      <c r="Q3041" s="5">
        <f>IFERROR(P3041/O3041,0)</f>
        <v/>
      </c>
      <c r="R3041" s="2">
        <f>TEXT(DATEVALUE(B3041),"mmm")</f>
        <v/>
      </c>
      <c r="S3041" s="2">
        <f>TEXT(DATEVALUE(B3041),"yyyy-mm")</f>
        <v/>
      </c>
    </row>
    <row r="3042">
      <c r="A3042" s="2" t="inlineStr">
        <is>
          <t>O000596</t>
        </is>
      </c>
      <c r="B3042" s="2" t="inlineStr">
        <is>
          <t>2025-08-09</t>
        </is>
      </c>
      <c r="C3042" s="2" t="inlineStr">
        <is>
          <t>C0413</t>
        </is>
      </c>
      <c r="D3042" s="2" t="inlineStr">
        <is>
          <t>P0012</t>
        </is>
      </c>
      <c r="E3042" s="2" t="inlineStr">
        <is>
          <t>Water Bottle</t>
        </is>
      </c>
      <c r="F3042" s="2" t="inlineStr">
        <is>
          <t>Home &amp; Kitchen</t>
        </is>
      </c>
      <c r="G3042" s="2" t="inlineStr">
        <is>
          <t>South</t>
        </is>
      </c>
      <c r="H3042" s="2" t="inlineStr">
        <is>
          <t>Tamil Nadu</t>
        </is>
      </c>
      <c r="I3042" s="2" t="inlineStr">
        <is>
          <t>Chennai</t>
        </is>
      </c>
      <c r="J3042" s="2" t="inlineStr">
        <is>
          <t>Store</t>
        </is>
      </c>
      <c r="K3042" s="2" t="n">
        <v>1</v>
      </c>
      <c r="L3042" s="3" t="n">
        <v>937.7</v>
      </c>
      <c r="M3042" s="4" t="n">
        <v>0.25</v>
      </c>
      <c r="N3042" s="3" t="n">
        <v>628.05</v>
      </c>
      <c r="O3042" s="3">
        <f>K3042*L3042*(1-M3042)</f>
        <v/>
      </c>
      <c r="P3042" s="3">
        <f>O3042-N3042</f>
        <v/>
      </c>
      <c r="Q3042" s="5">
        <f>IFERROR(P3042/O3042,0)</f>
        <v/>
      </c>
      <c r="R3042" s="2">
        <f>TEXT(DATEVALUE(B3042),"mmm")</f>
        <v/>
      </c>
      <c r="S3042" s="2">
        <f>TEXT(DATEVALUE(B3042),"yyyy-mm")</f>
        <v/>
      </c>
    </row>
    <row r="3043">
      <c r="A3043" s="2" t="inlineStr">
        <is>
          <t>O002510</t>
        </is>
      </c>
      <c r="B3043" s="2" t="inlineStr">
        <is>
          <t>2025-08-09</t>
        </is>
      </c>
      <c r="C3043" s="2" t="inlineStr">
        <is>
          <t>C0179</t>
        </is>
      </c>
      <c r="D3043" s="2" t="inlineStr">
        <is>
          <t>P0002</t>
        </is>
      </c>
      <c r="E3043" s="2" t="inlineStr">
        <is>
          <t>Bluetooth Speaker</t>
        </is>
      </c>
      <c r="F3043" s="2" t="inlineStr">
        <is>
          <t>Electronics</t>
        </is>
      </c>
      <c r="G3043" s="2" t="inlineStr">
        <is>
          <t>West</t>
        </is>
      </c>
      <c r="H3043" s="2" t="inlineStr">
        <is>
          <t>Goa</t>
        </is>
      </c>
      <c r="I3043" s="2" t="inlineStr">
        <is>
          <t>Margao</t>
        </is>
      </c>
      <c r="J3043" s="2" t="inlineStr">
        <is>
          <t>Online</t>
        </is>
      </c>
      <c r="K3043" s="2" t="n">
        <v>3</v>
      </c>
      <c r="L3043" s="3" t="n">
        <v>1384.98</v>
      </c>
      <c r="M3043" s="4" t="n">
        <v>0.2</v>
      </c>
      <c r="N3043" s="3" t="n">
        <v>2412.53</v>
      </c>
      <c r="O3043" s="3">
        <f>K3043*L3043*(1-M3043)</f>
        <v/>
      </c>
      <c r="P3043" s="3">
        <f>O3043-N3043</f>
        <v/>
      </c>
      <c r="Q3043" s="5">
        <f>IFERROR(P3043/O3043,0)</f>
        <v/>
      </c>
      <c r="R3043" s="2">
        <f>TEXT(DATEVALUE(B3043),"mmm")</f>
        <v/>
      </c>
      <c r="S3043" s="2">
        <f>TEXT(DATEVALUE(B3043),"yyyy-mm")</f>
        <v/>
      </c>
    </row>
    <row r="3044">
      <c r="A3044" s="2" t="inlineStr">
        <is>
          <t>O003566</t>
        </is>
      </c>
      <c r="B3044" s="2" t="inlineStr">
        <is>
          <t>2025-08-10</t>
        </is>
      </c>
      <c r="C3044" s="2" t="inlineStr">
        <is>
          <t>C0548</t>
        </is>
      </c>
      <c r="D3044" s="2" t="inlineStr">
        <is>
          <t>P0007</t>
        </is>
      </c>
      <c r="E3044" s="2" t="inlineStr">
        <is>
          <t>Wireless Mouse</t>
        </is>
      </c>
      <c r="F3044" s="2" t="inlineStr">
        <is>
          <t>Electronics</t>
        </is>
      </c>
      <c r="G3044" s="2" t="inlineStr">
        <is>
          <t>North</t>
        </is>
      </c>
      <c r="H3044" s="2" t="inlineStr">
        <is>
          <t>Delhi</t>
        </is>
      </c>
      <c r="I3044" s="2" t="inlineStr">
        <is>
          <t>New Delhi</t>
        </is>
      </c>
      <c r="J3044" s="2" t="inlineStr">
        <is>
          <t>Online</t>
        </is>
      </c>
      <c r="K3044" s="2" t="n">
        <v>4</v>
      </c>
      <c r="L3044" s="3" t="n">
        <v>1009.59</v>
      </c>
      <c r="M3044" s="4" t="n">
        <v>0.25</v>
      </c>
      <c r="N3044" s="3" t="n">
        <v>2548.46</v>
      </c>
      <c r="O3044" s="3">
        <f>K3044*L3044*(1-M3044)</f>
        <v/>
      </c>
      <c r="P3044" s="3">
        <f>O3044-N3044</f>
        <v/>
      </c>
      <c r="Q3044" s="5">
        <f>IFERROR(P3044/O3044,0)</f>
        <v/>
      </c>
      <c r="R3044" s="2">
        <f>TEXT(DATEVALUE(B3044),"mmm")</f>
        <v/>
      </c>
      <c r="S3044" s="2">
        <f>TEXT(DATEVALUE(B3044),"yyyy-mm")</f>
        <v/>
      </c>
    </row>
    <row r="3045">
      <c r="A3045" s="2" t="inlineStr">
        <is>
          <t>O004917</t>
        </is>
      </c>
      <c r="B3045" s="2" t="inlineStr">
        <is>
          <t>2025-08-10</t>
        </is>
      </c>
      <c r="C3045" s="2" t="inlineStr">
        <is>
          <t>C0800</t>
        </is>
      </c>
      <c r="D3045" s="2" t="inlineStr">
        <is>
          <t>P0021</t>
        </is>
      </c>
      <c r="E3045" s="2" t="inlineStr">
        <is>
          <t>Wallet</t>
        </is>
      </c>
      <c r="F3045" s="2" t="inlineStr">
        <is>
          <t>Fashion</t>
        </is>
      </c>
      <c r="G3045" s="2" t="inlineStr">
        <is>
          <t>South</t>
        </is>
      </c>
      <c r="H3045" s="2" t="inlineStr">
        <is>
          <t>Telangana</t>
        </is>
      </c>
      <c r="I3045" s="2" t="inlineStr">
        <is>
          <t>Hyderabad</t>
        </is>
      </c>
      <c r="J3045" s="2" t="inlineStr">
        <is>
          <t>Store</t>
        </is>
      </c>
      <c r="K3045" s="2" t="n">
        <v>2</v>
      </c>
      <c r="L3045" s="3" t="n">
        <v>2091.98</v>
      </c>
      <c r="M3045" s="4" t="n">
        <v>0</v>
      </c>
      <c r="N3045" s="3" t="n">
        <v>2352.55</v>
      </c>
      <c r="O3045" s="3">
        <f>K3045*L3045*(1-M3045)</f>
        <v/>
      </c>
      <c r="P3045" s="3">
        <f>O3045-N3045</f>
        <v/>
      </c>
      <c r="Q3045" s="5">
        <f>IFERROR(P3045/O3045,0)</f>
        <v/>
      </c>
      <c r="R3045" s="2">
        <f>TEXT(DATEVALUE(B3045),"mmm")</f>
        <v/>
      </c>
      <c r="S3045" s="2">
        <f>TEXT(DATEVALUE(B3045),"yyyy-mm")</f>
        <v/>
      </c>
    </row>
    <row r="3046">
      <c r="A3046" s="2" t="inlineStr">
        <is>
          <t>O004771</t>
        </is>
      </c>
      <c r="B3046" s="2" t="inlineStr">
        <is>
          <t>2025-08-10</t>
        </is>
      </c>
      <c r="C3046" s="2" t="inlineStr">
        <is>
          <t>C0334</t>
        </is>
      </c>
      <c r="D3046" s="2" t="inlineStr">
        <is>
          <t>P0024</t>
        </is>
      </c>
      <c r="E3046" s="2" t="inlineStr">
        <is>
          <t>Hair Dryer</t>
        </is>
      </c>
      <c r="F3046" s="2" t="inlineStr">
        <is>
          <t>Beauty</t>
        </is>
      </c>
      <c r="G3046" s="2" t="inlineStr">
        <is>
          <t>West</t>
        </is>
      </c>
      <c r="H3046" s="2" t="inlineStr">
        <is>
          <t>Maharashtra</t>
        </is>
      </c>
      <c r="I3046" s="2" t="inlineStr">
        <is>
          <t>Nagpur</t>
        </is>
      </c>
      <c r="J3046" s="2" t="inlineStr">
        <is>
          <t>Store</t>
        </is>
      </c>
      <c r="K3046" s="2" t="n">
        <v>3</v>
      </c>
      <c r="L3046" s="3" t="n">
        <v>967.52</v>
      </c>
      <c r="M3046" s="4" t="n">
        <v>0.05</v>
      </c>
      <c r="N3046" s="3" t="n">
        <v>2178.83</v>
      </c>
      <c r="O3046" s="3">
        <f>K3046*L3046*(1-M3046)</f>
        <v/>
      </c>
      <c r="P3046" s="3">
        <f>O3046-N3046</f>
        <v/>
      </c>
      <c r="Q3046" s="5">
        <f>IFERROR(P3046/O3046,0)</f>
        <v/>
      </c>
      <c r="R3046" s="2">
        <f>TEXT(DATEVALUE(B3046),"mmm")</f>
        <v/>
      </c>
      <c r="S3046" s="2">
        <f>TEXT(DATEVALUE(B3046),"yyyy-mm")</f>
        <v/>
      </c>
    </row>
    <row r="3047">
      <c r="A3047" s="2" t="inlineStr">
        <is>
          <t>O004751</t>
        </is>
      </c>
      <c r="B3047" s="2" t="inlineStr">
        <is>
          <t>2025-08-10</t>
        </is>
      </c>
      <c r="C3047" s="2" t="inlineStr">
        <is>
          <t>C0758</t>
        </is>
      </c>
      <c r="D3047" s="2" t="inlineStr">
        <is>
          <t>P0018</t>
        </is>
      </c>
      <c r="E3047" s="2" t="inlineStr">
        <is>
          <t>Backpack</t>
        </is>
      </c>
      <c r="F3047" s="2" t="inlineStr">
        <is>
          <t>Fashion</t>
        </is>
      </c>
      <c r="G3047" s="2" t="inlineStr">
        <is>
          <t>North</t>
        </is>
      </c>
      <c r="H3047" s="2" t="inlineStr">
        <is>
          <t>Delhi</t>
        </is>
      </c>
      <c r="I3047" s="2" t="inlineStr">
        <is>
          <t>New Delhi</t>
        </is>
      </c>
      <c r="J3047" s="2" t="inlineStr">
        <is>
          <t>Online</t>
        </is>
      </c>
      <c r="K3047" s="2" t="n">
        <v>2</v>
      </c>
      <c r="L3047" s="3" t="n">
        <v>1843.39</v>
      </c>
      <c r="M3047" s="4" t="n">
        <v>0</v>
      </c>
      <c r="N3047" s="3" t="n">
        <v>2656.99</v>
      </c>
      <c r="O3047" s="3">
        <f>K3047*L3047*(1-M3047)</f>
        <v/>
      </c>
      <c r="P3047" s="3">
        <f>O3047-N3047</f>
        <v/>
      </c>
      <c r="Q3047" s="5">
        <f>IFERROR(P3047/O3047,0)</f>
        <v/>
      </c>
      <c r="R3047" s="2">
        <f>TEXT(DATEVALUE(B3047),"mmm")</f>
        <v/>
      </c>
      <c r="S3047" s="2">
        <f>TEXT(DATEVALUE(B3047),"yyyy-mm")</f>
        <v/>
      </c>
    </row>
    <row r="3048">
      <c r="A3048" s="2" t="inlineStr">
        <is>
          <t>O003930</t>
        </is>
      </c>
      <c r="B3048" s="2" t="inlineStr">
        <is>
          <t>2025-08-10</t>
        </is>
      </c>
      <c r="C3048" s="2" t="inlineStr">
        <is>
          <t>C0446</t>
        </is>
      </c>
      <c r="D3048" s="2" t="inlineStr">
        <is>
          <t>P0007</t>
        </is>
      </c>
      <c r="E3048" s="2" t="inlineStr">
        <is>
          <t>Wireless Mouse</t>
        </is>
      </c>
      <c r="F3048" s="2" t="inlineStr">
        <is>
          <t>Electronics</t>
        </is>
      </c>
      <c r="G3048" s="2" t="inlineStr">
        <is>
          <t>North</t>
        </is>
      </c>
      <c r="H3048" s="2" t="inlineStr">
        <is>
          <t>Uttar Pradesh</t>
        </is>
      </c>
      <c r="I3048" s="2" t="inlineStr">
        <is>
          <t>Noida</t>
        </is>
      </c>
      <c r="J3048" s="2" t="inlineStr">
        <is>
          <t>Online</t>
        </is>
      </c>
      <c r="K3048" s="2" t="n">
        <v>2</v>
      </c>
      <c r="L3048" s="3" t="n">
        <v>949.4</v>
      </c>
      <c r="M3048" s="4" t="n">
        <v>0</v>
      </c>
      <c r="N3048" s="3" t="n">
        <v>1220.85</v>
      </c>
      <c r="O3048" s="3">
        <f>K3048*L3048*(1-M3048)</f>
        <v/>
      </c>
      <c r="P3048" s="3">
        <f>O3048-N3048</f>
        <v/>
      </c>
      <c r="Q3048" s="5">
        <f>IFERROR(P3048/O3048,0)</f>
        <v/>
      </c>
      <c r="R3048" s="2">
        <f>TEXT(DATEVALUE(B3048),"mmm")</f>
        <v/>
      </c>
      <c r="S3048" s="2">
        <f>TEXT(DATEVALUE(B3048),"yyyy-mm")</f>
        <v/>
      </c>
    </row>
    <row r="3049">
      <c r="A3049" s="2" t="inlineStr">
        <is>
          <t>O004966</t>
        </is>
      </c>
      <c r="B3049" s="2" t="inlineStr">
        <is>
          <t>2025-08-10</t>
        </is>
      </c>
      <c r="C3049" s="2" t="inlineStr">
        <is>
          <t>C0767</t>
        </is>
      </c>
      <c r="D3049" s="2" t="inlineStr">
        <is>
          <t>P0031</t>
        </is>
      </c>
      <c r="E3049" s="2" t="inlineStr">
        <is>
          <t>Cricket Bat</t>
        </is>
      </c>
      <c r="F3049" s="2" t="inlineStr">
        <is>
          <t>Sports</t>
        </is>
      </c>
      <c r="G3049" s="2" t="inlineStr">
        <is>
          <t>East</t>
        </is>
      </c>
      <c r="H3049" s="2" t="inlineStr">
        <is>
          <t>Bihar</t>
        </is>
      </c>
      <c r="I3049" s="2" t="inlineStr">
        <is>
          <t>Patna</t>
        </is>
      </c>
      <c r="J3049" s="2" t="inlineStr">
        <is>
          <t>Online</t>
        </is>
      </c>
      <c r="K3049" s="2" t="n">
        <v>4</v>
      </c>
      <c r="L3049" s="3" t="n">
        <v>1409.24</v>
      </c>
      <c r="M3049" s="4" t="n">
        <v>0.05</v>
      </c>
      <c r="N3049" s="3" t="n">
        <v>3809.75</v>
      </c>
      <c r="O3049" s="3">
        <f>K3049*L3049*(1-M3049)</f>
        <v/>
      </c>
      <c r="P3049" s="3">
        <f>O3049-N3049</f>
        <v/>
      </c>
      <c r="Q3049" s="5">
        <f>IFERROR(P3049/O3049,0)</f>
        <v/>
      </c>
      <c r="R3049" s="2">
        <f>TEXT(DATEVALUE(B3049),"mmm")</f>
        <v/>
      </c>
      <c r="S3049" s="2">
        <f>TEXT(DATEVALUE(B3049),"yyyy-mm")</f>
        <v/>
      </c>
    </row>
    <row r="3050">
      <c r="A3050" s="2" t="inlineStr">
        <is>
          <t>O003829</t>
        </is>
      </c>
      <c r="B3050" s="2" t="inlineStr">
        <is>
          <t>2025-08-10</t>
        </is>
      </c>
      <c r="C3050" s="2" t="inlineStr">
        <is>
          <t>C0078</t>
        </is>
      </c>
      <c r="D3050" s="2" t="inlineStr">
        <is>
          <t>P0012</t>
        </is>
      </c>
      <c r="E3050" s="2" t="inlineStr">
        <is>
          <t>Water Bottle</t>
        </is>
      </c>
      <c r="F3050" s="2" t="inlineStr">
        <is>
          <t>Home &amp; Kitchen</t>
        </is>
      </c>
      <c r="G3050" s="2" t="inlineStr">
        <is>
          <t>South</t>
        </is>
      </c>
      <c r="H3050" s="2" t="inlineStr">
        <is>
          <t>Telangana</t>
        </is>
      </c>
      <c r="I3050" s="2" t="inlineStr">
        <is>
          <t>Warangal</t>
        </is>
      </c>
      <c r="J3050" s="2" t="inlineStr">
        <is>
          <t>Online</t>
        </is>
      </c>
      <c r="K3050" s="2" t="n">
        <v>2</v>
      </c>
      <c r="L3050" s="3" t="n">
        <v>939.37</v>
      </c>
      <c r="M3050" s="4" t="n">
        <v>0</v>
      </c>
      <c r="N3050" s="3" t="n">
        <v>1280.28</v>
      </c>
      <c r="O3050" s="3">
        <f>K3050*L3050*(1-M3050)</f>
        <v/>
      </c>
      <c r="P3050" s="3">
        <f>O3050-N3050</f>
        <v/>
      </c>
      <c r="Q3050" s="5">
        <f>IFERROR(P3050/O3050,0)</f>
        <v/>
      </c>
      <c r="R3050" s="2">
        <f>TEXT(DATEVALUE(B3050),"mmm")</f>
        <v/>
      </c>
      <c r="S3050" s="2">
        <f>TEXT(DATEVALUE(B3050),"yyyy-mm")</f>
        <v/>
      </c>
    </row>
    <row r="3051">
      <c r="A3051" s="2" t="inlineStr">
        <is>
          <t>O003148</t>
        </is>
      </c>
      <c r="B3051" s="2" t="inlineStr">
        <is>
          <t>2025-08-10</t>
        </is>
      </c>
      <c r="C3051" s="2" t="inlineStr">
        <is>
          <t>C0165</t>
        </is>
      </c>
      <c r="D3051" s="2" t="inlineStr">
        <is>
          <t>P0011</t>
        </is>
      </c>
      <c r="E3051" s="2" t="inlineStr">
        <is>
          <t>Cookware Set</t>
        </is>
      </c>
      <c r="F3051" s="2" t="inlineStr">
        <is>
          <t>Home &amp; Kitchen</t>
        </is>
      </c>
      <c r="G3051" s="2" t="inlineStr">
        <is>
          <t>West</t>
        </is>
      </c>
      <c r="H3051" s="2" t="inlineStr">
        <is>
          <t>Maharashtra</t>
        </is>
      </c>
      <c r="I3051" s="2" t="inlineStr">
        <is>
          <t>Thane</t>
        </is>
      </c>
      <c r="J3051" s="2" t="inlineStr">
        <is>
          <t>Online</t>
        </is>
      </c>
      <c r="K3051" s="2" t="n">
        <v>4</v>
      </c>
      <c r="L3051" s="3" t="n">
        <v>713.47</v>
      </c>
      <c r="M3051" s="4" t="n">
        <v>0.05</v>
      </c>
      <c r="N3051" s="3" t="n">
        <v>1854.97</v>
      </c>
      <c r="O3051" s="3">
        <f>K3051*L3051*(1-M3051)</f>
        <v/>
      </c>
      <c r="P3051" s="3">
        <f>O3051-N3051</f>
        <v/>
      </c>
      <c r="Q3051" s="5">
        <f>IFERROR(P3051/O3051,0)</f>
        <v/>
      </c>
      <c r="R3051" s="2">
        <f>TEXT(DATEVALUE(B3051),"mmm")</f>
        <v/>
      </c>
      <c r="S3051" s="2">
        <f>TEXT(DATEVALUE(B3051),"yyyy-mm")</f>
        <v/>
      </c>
    </row>
    <row r="3052">
      <c r="A3052" s="2" t="inlineStr">
        <is>
          <t>O001301</t>
        </is>
      </c>
      <c r="B3052" s="2" t="inlineStr">
        <is>
          <t>2025-08-10</t>
        </is>
      </c>
      <c r="C3052" s="2" t="inlineStr">
        <is>
          <t>C0546</t>
        </is>
      </c>
      <c r="D3052" s="2" t="inlineStr">
        <is>
          <t>P0021</t>
        </is>
      </c>
      <c r="E3052" s="2" t="inlineStr">
        <is>
          <t>Wallet</t>
        </is>
      </c>
      <c r="F3052" s="2" t="inlineStr">
        <is>
          <t>Fashion</t>
        </is>
      </c>
      <c r="G3052" s="2" t="inlineStr">
        <is>
          <t>West</t>
        </is>
      </c>
      <c r="H3052" s="2" t="inlineStr">
        <is>
          <t>Gujarat</t>
        </is>
      </c>
      <c r="I3052" s="2" t="inlineStr">
        <is>
          <t>Surat</t>
        </is>
      </c>
      <c r="J3052" s="2" t="inlineStr">
        <is>
          <t>Store</t>
        </is>
      </c>
      <c r="K3052" s="2" t="n">
        <v>5</v>
      </c>
      <c r="L3052" s="3" t="n">
        <v>2025.45</v>
      </c>
      <c r="M3052" s="4" t="n">
        <v>0.05</v>
      </c>
      <c r="N3052" s="3" t="n">
        <v>5919.07</v>
      </c>
      <c r="O3052" s="3">
        <f>K3052*L3052*(1-M3052)</f>
        <v/>
      </c>
      <c r="P3052" s="3">
        <f>O3052-N3052</f>
        <v/>
      </c>
      <c r="Q3052" s="5">
        <f>IFERROR(P3052/O3052,0)</f>
        <v/>
      </c>
      <c r="R3052" s="2">
        <f>TEXT(DATEVALUE(B3052),"mmm")</f>
        <v/>
      </c>
      <c r="S3052" s="2">
        <f>TEXT(DATEVALUE(B3052),"yyyy-mm")</f>
        <v/>
      </c>
    </row>
    <row r="3053">
      <c r="A3053" s="2" t="inlineStr">
        <is>
          <t>O001778</t>
        </is>
      </c>
      <c r="B3053" s="2" t="inlineStr">
        <is>
          <t>2025-08-10</t>
        </is>
      </c>
      <c r="C3053" s="2" t="inlineStr">
        <is>
          <t>C0607</t>
        </is>
      </c>
      <c r="D3053" s="2" t="inlineStr">
        <is>
          <t>P0013</t>
        </is>
      </c>
      <c r="E3053" s="2" t="inlineStr">
        <is>
          <t>Storage Organizer</t>
        </is>
      </c>
      <c r="F3053" s="2" t="inlineStr">
        <is>
          <t>Home &amp; Kitchen</t>
        </is>
      </c>
      <c r="G3053" s="2" t="inlineStr">
        <is>
          <t>West</t>
        </is>
      </c>
      <c r="H3053" s="2" t="inlineStr">
        <is>
          <t>Goa</t>
        </is>
      </c>
      <c r="I3053" s="2" t="inlineStr">
        <is>
          <t>Margao</t>
        </is>
      </c>
      <c r="J3053" s="2" t="inlineStr">
        <is>
          <t>Online</t>
        </is>
      </c>
      <c r="K3053" s="2" t="n">
        <v>2</v>
      </c>
      <c r="L3053" s="3" t="n">
        <v>574.86</v>
      </c>
      <c r="M3053" s="4" t="n">
        <v>0.05</v>
      </c>
      <c r="N3053" s="3" t="n">
        <v>716.95</v>
      </c>
      <c r="O3053" s="3">
        <f>K3053*L3053*(1-M3053)</f>
        <v/>
      </c>
      <c r="P3053" s="3">
        <f>O3053-N3053</f>
        <v/>
      </c>
      <c r="Q3053" s="5">
        <f>IFERROR(P3053/O3053,0)</f>
        <v/>
      </c>
      <c r="R3053" s="2">
        <f>TEXT(DATEVALUE(B3053),"mmm")</f>
        <v/>
      </c>
      <c r="S3053" s="2">
        <f>TEXT(DATEVALUE(B3053),"yyyy-mm")</f>
        <v/>
      </c>
    </row>
    <row r="3054">
      <c r="A3054" s="2" t="inlineStr">
        <is>
          <t>O001691</t>
        </is>
      </c>
      <c r="B3054" s="2" t="inlineStr">
        <is>
          <t>2025-08-10</t>
        </is>
      </c>
      <c r="C3054" s="2" t="inlineStr">
        <is>
          <t>C0492</t>
        </is>
      </c>
      <c r="D3054" s="2" t="inlineStr">
        <is>
          <t>P0011</t>
        </is>
      </c>
      <c r="E3054" s="2" t="inlineStr">
        <is>
          <t>Cookware Set</t>
        </is>
      </c>
      <c r="F3054" s="2" t="inlineStr">
        <is>
          <t>Home &amp; Kitchen</t>
        </is>
      </c>
      <c r="G3054" s="2" t="inlineStr">
        <is>
          <t>West</t>
        </is>
      </c>
      <c r="H3054" s="2" t="inlineStr">
        <is>
          <t>Maharashtra</t>
        </is>
      </c>
      <c r="I3054" s="2" t="inlineStr">
        <is>
          <t>Pune</t>
        </is>
      </c>
      <c r="J3054" s="2" t="inlineStr">
        <is>
          <t>Online</t>
        </is>
      </c>
      <c r="K3054" s="2" t="n">
        <v>2</v>
      </c>
      <c r="L3054" s="3" t="n">
        <v>674.26</v>
      </c>
      <c r="M3054" s="4" t="n">
        <v>0</v>
      </c>
      <c r="N3054" s="3" t="n">
        <v>931.58</v>
      </c>
      <c r="O3054" s="3">
        <f>K3054*L3054*(1-M3054)</f>
        <v/>
      </c>
      <c r="P3054" s="3">
        <f>O3054-N3054</f>
        <v/>
      </c>
      <c r="Q3054" s="5">
        <f>IFERROR(P3054/O3054,0)</f>
        <v/>
      </c>
      <c r="R3054" s="2">
        <f>TEXT(DATEVALUE(B3054),"mmm")</f>
        <v/>
      </c>
      <c r="S3054" s="2">
        <f>TEXT(DATEVALUE(B3054),"yyyy-mm")</f>
        <v/>
      </c>
    </row>
    <row r="3055">
      <c r="A3055" s="2" t="inlineStr">
        <is>
          <t>O001235</t>
        </is>
      </c>
      <c r="B3055" s="2" t="inlineStr">
        <is>
          <t>2025-08-10</t>
        </is>
      </c>
      <c r="C3055" s="2" t="inlineStr">
        <is>
          <t>C0686</t>
        </is>
      </c>
      <c r="D3055" s="2" t="inlineStr">
        <is>
          <t>P0007</t>
        </is>
      </c>
      <c r="E3055" s="2" t="inlineStr">
        <is>
          <t>Wireless Mouse</t>
        </is>
      </c>
      <c r="F3055" s="2" t="inlineStr">
        <is>
          <t>Electronics</t>
        </is>
      </c>
      <c r="G3055" s="2" t="inlineStr">
        <is>
          <t>North</t>
        </is>
      </c>
      <c r="H3055" s="2" t="inlineStr">
        <is>
          <t>Delhi</t>
        </is>
      </c>
      <c r="I3055" s="2" t="inlineStr">
        <is>
          <t>New Delhi</t>
        </is>
      </c>
      <c r="J3055" s="2" t="inlineStr">
        <is>
          <t>Online</t>
        </is>
      </c>
      <c r="K3055" s="2" t="n">
        <v>2</v>
      </c>
      <c r="L3055" s="3" t="n">
        <v>972.74</v>
      </c>
      <c r="M3055" s="4" t="n">
        <v>0.25</v>
      </c>
      <c r="N3055" s="3" t="n">
        <v>1213.45</v>
      </c>
      <c r="O3055" s="3">
        <f>K3055*L3055*(1-M3055)</f>
        <v/>
      </c>
      <c r="P3055" s="3">
        <f>O3055-N3055</f>
        <v/>
      </c>
      <c r="Q3055" s="5">
        <f>IFERROR(P3055/O3055,0)</f>
        <v/>
      </c>
      <c r="R3055" s="2">
        <f>TEXT(DATEVALUE(B3055),"mmm")</f>
        <v/>
      </c>
      <c r="S3055" s="2">
        <f>TEXT(DATEVALUE(B3055),"yyyy-mm")</f>
        <v/>
      </c>
    </row>
    <row r="3056">
      <c r="A3056" s="2" t="inlineStr">
        <is>
          <t>O000776</t>
        </is>
      </c>
      <c r="B3056" s="2" t="inlineStr">
        <is>
          <t>2025-08-10</t>
        </is>
      </c>
      <c r="C3056" s="2" t="inlineStr">
        <is>
          <t>C0404</t>
        </is>
      </c>
      <c r="D3056" s="2" t="inlineStr">
        <is>
          <t>P0032</t>
        </is>
      </c>
      <c r="E3056" s="2" t="inlineStr">
        <is>
          <t>Football</t>
        </is>
      </c>
      <c r="F3056" s="2" t="inlineStr">
        <is>
          <t>Sports</t>
        </is>
      </c>
      <c r="G3056" s="2" t="inlineStr">
        <is>
          <t>North</t>
        </is>
      </c>
      <c r="H3056" s="2" t="inlineStr">
        <is>
          <t>Uttar Pradesh</t>
        </is>
      </c>
      <c r="I3056" s="2" t="inlineStr">
        <is>
          <t>Lucknow</t>
        </is>
      </c>
      <c r="J3056" s="2" t="inlineStr">
        <is>
          <t>Online</t>
        </is>
      </c>
      <c r="K3056" s="2" t="n">
        <v>2</v>
      </c>
      <c r="L3056" s="3" t="n">
        <v>788.92</v>
      </c>
      <c r="M3056" s="4" t="n">
        <v>0</v>
      </c>
      <c r="N3056" s="3" t="n">
        <v>1056.77</v>
      </c>
      <c r="O3056" s="3">
        <f>K3056*L3056*(1-M3056)</f>
        <v/>
      </c>
      <c r="P3056" s="3">
        <f>O3056-N3056</f>
        <v/>
      </c>
      <c r="Q3056" s="5">
        <f>IFERROR(P3056/O3056,0)</f>
        <v/>
      </c>
      <c r="R3056" s="2">
        <f>TEXT(DATEVALUE(B3056),"mmm")</f>
        <v/>
      </c>
      <c r="S3056" s="2">
        <f>TEXT(DATEVALUE(B3056),"yyyy-mm")</f>
        <v/>
      </c>
    </row>
    <row r="3057">
      <c r="A3057" s="2" t="inlineStr">
        <is>
          <t>O000481</t>
        </is>
      </c>
      <c r="B3057" s="2" t="inlineStr">
        <is>
          <t>2025-08-10</t>
        </is>
      </c>
      <c r="C3057" s="2" t="inlineStr">
        <is>
          <t>C0386</t>
        </is>
      </c>
      <c r="D3057" s="2" t="inlineStr">
        <is>
          <t>P0022</t>
        </is>
      </c>
      <c r="E3057" s="2" t="inlineStr">
        <is>
          <t>Face Wash</t>
        </is>
      </c>
      <c r="F3057" s="2" t="inlineStr">
        <is>
          <t>Beauty</t>
        </is>
      </c>
      <c r="G3057" s="2" t="inlineStr">
        <is>
          <t>North</t>
        </is>
      </c>
      <c r="H3057" s="2" t="inlineStr">
        <is>
          <t>Haryana</t>
        </is>
      </c>
      <c r="I3057" s="2" t="inlineStr">
        <is>
          <t>Faridabad</t>
        </is>
      </c>
      <c r="J3057" s="2" t="inlineStr">
        <is>
          <t>Online</t>
        </is>
      </c>
      <c r="K3057" s="2" t="n">
        <v>2</v>
      </c>
      <c r="L3057" s="3" t="n">
        <v>569</v>
      </c>
      <c r="M3057" s="4" t="n">
        <v>0.05</v>
      </c>
      <c r="N3057" s="3" t="n">
        <v>700.67</v>
      </c>
      <c r="O3057" s="3">
        <f>K3057*L3057*(1-M3057)</f>
        <v/>
      </c>
      <c r="P3057" s="3">
        <f>O3057-N3057</f>
        <v/>
      </c>
      <c r="Q3057" s="5">
        <f>IFERROR(P3057/O3057,0)</f>
        <v/>
      </c>
      <c r="R3057" s="2">
        <f>TEXT(DATEVALUE(B3057),"mmm")</f>
        <v/>
      </c>
      <c r="S3057" s="2">
        <f>TEXT(DATEVALUE(B3057),"yyyy-mm")</f>
        <v/>
      </c>
    </row>
    <row r="3058">
      <c r="A3058" s="2" t="inlineStr">
        <is>
          <t>O000145</t>
        </is>
      </c>
      <c r="B3058" s="2" t="inlineStr">
        <is>
          <t>2025-08-10</t>
        </is>
      </c>
      <c r="C3058" s="2" t="inlineStr">
        <is>
          <t>C0345</t>
        </is>
      </c>
      <c r="D3058" s="2" t="inlineStr">
        <is>
          <t>P0007</t>
        </is>
      </c>
      <c r="E3058" s="2" t="inlineStr">
        <is>
          <t>Wireless Mouse</t>
        </is>
      </c>
      <c r="F3058" s="2" t="inlineStr">
        <is>
          <t>Electronics</t>
        </is>
      </c>
      <c r="G3058" s="2" t="inlineStr">
        <is>
          <t>East</t>
        </is>
      </c>
      <c r="H3058" s="2" t="inlineStr">
        <is>
          <t>Bihar</t>
        </is>
      </c>
      <c r="I3058" s="2" t="inlineStr">
        <is>
          <t>Gaya</t>
        </is>
      </c>
      <c r="J3058" s="2" t="inlineStr">
        <is>
          <t>Online</t>
        </is>
      </c>
      <c r="K3058" s="2" t="n">
        <v>2</v>
      </c>
      <c r="L3058" s="3" t="n">
        <v>953.78</v>
      </c>
      <c r="M3058" s="4" t="n">
        <v>0.1</v>
      </c>
      <c r="N3058" s="3" t="n">
        <v>1204.71</v>
      </c>
      <c r="O3058" s="3">
        <f>K3058*L3058*(1-M3058)</f>
        <v/>
      </c>
      <c r="P3058" s="3">
        <f>O3058-N3058</f>
        <v/>
      </c>
      <c r="Q3058" s="5">
        <f>IFERROR(P3058/O3058,0)</f>
        <v/>
      </c>
      <c r="R3058" s="2">
        <f>TEXT(DATEVALUE(B3058),"mmm")</f>
        <v/>
      </c>
      <c r="S3058" s="2">
        <f>TEXT(DATEVALUE(B3058),"yyyy-mm")</f>
        <v/>
      </c>
    </row>
    <row r="3059">
      <c r="A3059" s="2" t="inlineStr">
        <is>
          <t>O002619</t>
        </is>
      </c>
      <c r="B3059" s="2" t="inlineStr">
        <is>
          <t>2025-08-10</t>
        </is>
      </c>
      <c r="C3059" s="2" t="inlineStr">
        <is>
          <t>C0500</t>
        </is>
      </c>
      <c r="D3059" s="2" t="inlineStr">
        <is>
          <t>P0027</t>
        </is>
      </c>
      <c r="E3059" s="2" t="inlineStr">
        <is>
          <t>Moisturizer</t>
        </is>
      </c>
      <c r="F3059" s="2" t="inlineStr">
        <is>
          <t>Beauty</t>
        </is>
      </c>
      <c r="G3059" s="2" t="inlineStr">
        <is>
          <t>South</t>
        </is>
      </c>
      <c r="H3059" s="2" t="inlineStr">
        <is>
          <t>Telangana</t>
        </is>
      </c>
      <c r="I3059" s="2" t="inlineStr">
        <is>
          <t>Warangal</t>
        </is>
      </c>
      <c r="J3059" s="2" t="inlineStr">
        <is>
          <t>Online</t>
        </is>
      </c>
      <c r="K3059" s="2" t="n">
        <v>1</v>
      </c>
      <c r="L3059" s="3" t="n">
        <v>968.85</v>
      </c>
      <c r="M3059" s="4" t="n">
        <v>0.15</v>
      </c>
      <c r="N3059" s="3" t="n">
        <v>691.39</v>
      </c>
      <c r="O3059" s="3">
        <f>K3059*L3059*(1-M3059)</f>
        <v/>
      </c>
      <c r="P3059" s="3">
        <f>O3059-N3059</f>
        <v/>
      </c>
      <c r="Q3059" s="5">
        <f>IFERROR(P3059/O3059,0)</f>
        <v/>
      </c>
      <c r="R3059" s="2">
        <f>TEXT(DATEVALUE(B3059),"mmm")</f>
        <v/>
      </c>
      <c r="S3059" s="2">
        <f>TEXT(DATEVALUE(B3059),"yyyy-mm")</f>
        <v/>
      </c>
    </row>
    <row r="3060">
      <c r="A3060" s="2" t="inlineStr">
        <is>
          <t>O004960</t>
        </is>
      </c>
      <c r="B3060" s="2" t="inlineStr">
        <is>
          <t>2025-08-11</t>
        </is>
      </c>
      <c r="C3060" s="2" t="inlineStr">
        <is>
          <t>C0206</t>
        </is>
      </c>
      <c r="D3060" s="2" t="inlineStr">
        <is>
          <t>P0013</t>
        </is>
      </c>
      <c r="E3060" s="2" t="inlineStr">
        <is>
          <t>Storage Organizer</t>
        </is>
      </c>
      <c r="F3060" s="2" t="inlineStr">
        <is>
          <t>Home &amp; Kitchen</t>
        </is>
      </c>
      <c r="G3060" s="2" t="inlineStr">
        <is>
          <t>West</t>
        </is>
      </c>
      <c r="H3060" s="2" t="inlineStr">
        <is>
          <t>Gujarat</t>
        </is>
      </c>
      <c r="I3060" s="2" t="inlineStr">
        <is>
          <t>Ahmedabad</t>
        </is>
      </c>
      <c r="J3060" s="2" t="inlineStr">
        <is>
          <t>Store</t>
        </is>
      </c>
      <c r="K3060" s="2" t="n">
        <v>4</v>
      </c>
      <c r="L3060" s="3" t="n">
        <v>557.28</v>
      </c>
      <c r="M3060" s="4" t="n">
        <v>0.1</v>
      </c>
      <c r="N3060" s="3" t="n">
        <v>1494.31</v>
      </c>
      <c r="O3060" s="3">
        <f>K3060*L3060*(1-M3060)</f>
        <v/>
      </c>
      <c r="P3060" s="3">
        <f>O3060-N3060</f>
        <v/>
      </c>
      <c r="Q3060" s="5">
        <f>IFERROR(P3060/O3060,0)</f>
        <v/>
      </c>
      <c r="R3060" s="2">
        <f>TEXT(DATEVALUE(B3060),"mmm")</f>
        <v/>
      </c>
      <c r="S3060" s="2">
        <f>TEXT(DATEVALUE(B3060),"yyyy-mm")</f>
        <v/>
      </c>
    </row>
    <row r="3061">
      <c r="A3061" s="2" t="inlineStr">
        <is>
          <t>O003929</t>
        </is>
      </c>
      <c r="B3061" s="2" t="inlineStr">
        <is>
          <t>2025-08-11</t>
        </is>
      </c>
      <c r="C3061" s="2" t="inlineStr">
        <is>
          <t>C0750</t>
        </is>
      </c>
      <c r="D3061" s="2" t="inlineStr">
        <is>
          <t>P0001</t>
        </is>
      </c>
      <c r="E3061" s="2" t="inlineStr">
        <is>
          <t>Wireless Headphones</t>
        </is>
      </c>
      <c r="F3061" s="2" t="inlineStr">
        <is>
          <t>Electronics</t>
        </is>
      </c>
      <c r="G3061" s="2" t="inlineStr">
        <is>
          <t>South</t>
        </is>
      </c>
      <c r="H3061" s="2" t="inlineStr">
        <is>
          <t>Telangana</t>
        </is>
      </c>
      <c r="I3061" s="2" t="inlineStr">
        <is>
          <t>Hyderabad</t>
        </is>
      </c>
      <c r="J3061" s="2" t="inlineStr">
        <is>
          <t>Online</t>
        </is>
      </c>
      <c r="K3061" s="2" t="n">
        <v>3</v>
      </c>
      <c r="L3061" s="3" t="n">
        <v>1313.6</v>
      </c>
      <c r="M3061" s="4" t="n">
        <v>0.1</v>
      </c>
      <c r="N3061" s="3" t="n">
        <v>2118.81</v>
      </c>
      <c r="O3061" s="3">
        <f>K3061*L3061*(1-M3061)</f>
        <v/>
      </c>
      <c r="P3061" s="3">
        <f>O3061-N3061</f>
        <v/>
      </c>
      <c r="Q3061" s="5">
        <f>IFERROR(P3061/O3061,0)</f>
        <v/>
      </c>
      <c r="R3061" s="2">
        <f>TEXT(DATEVALUE(B3061),"mmm")</f>
        <v/>
      </c>
      <c r="S3061" s="2">
        <f>TEXT(DATEVALUE(B3061),"yyyy-mm")</f>
        <v/>
      </c>
    </row>
    <row r="3062">
      <c r="A3062" s="2" t="inlineStr">
        <is>
          <t>O003348</t>
        </is>
      </c>
      <c r="B3062" s="2" t="inlineStr">
        <is>
          <t>2025-08-11</t>
        </is>
      </c>
      <c r="C3062" s="2" t="inlineStr">
        <is>
          <t>C0627</t>
        </is>
      </c>
      <c r="D3062" s="2" t="inlineStr">
        <is>
          <t>P0004</t>
        </is>
      </c>
      <c r="E3062" s="2" t="inlineStr">
        <is>
          <t>USB-C Hub</t>
        </is>
      </c>
      <c r="F3062" s="2" t="inlineStr">
        <is>
          <t>Electronics</t>
        </is>
      </c>
      <c r="G3062" s="2" t="inlineStr">
        <is>
          <t>West</t>
        </is>
      </c>
      <c r="H3062" s="2" t="inlineStr">
        <is>
          <t>Goa</t>
        </is>
      </c>
      <c r="I3062" s="2" t="inlineStr">
        <is>
          <t>Margao</t>
        </is>
      </c>
      <c r="J3062" s="2" t="inlineStr">
        <is>
          <t>Online</t>
        </is>
      </c>
      <c r="K3062" s="2" t="n">
        <v>2</v>
      </c>
      <c r="L3062" s="3" t="n">
        <v>1238.16</v>
      </c>
      <c r="M3062" s="4" t="n">
        <v>0.05</v>
      </c>
      <c r="N3062" s="3" t="n">
        <v>1798.08</v>
      </c>
      <c r="O3062" s="3">
        <f>K3062*L3062*(1-M3062)</f>
        <v/>
      </c>
      <c r="P3062" s="3">
        <f>O3062-N3062</f>
        <v/>
      </c>
      <c r="Q3062" s="5">
        <f>IFERROR(P3062/O3062,0)</f>
        <v/>
      </c>
      <c r="R3062" s="2">
        <f>TEXT(DATEVALUE(B3062),"mmm")</f>
        <v/>
      </c>
      <c r="S3062" s="2">
        <f>TEXT(DATEVALUE(B3062),"yyyy-mm")</f>
        <v/>
      </c>
    </row>
    <row r="3063">
      <c r="A3063" s="2" t="inlineStr">
        <is>
          <t>O003012</t>
        </is>
      </c>
      <c r="B3063" s="2" t="inlineStr">
        <is>
          <t>2025-08-11</t>
        </is>
      </c>
      <c r="C3063" s="2" t="inlineStr">
        <is>
          <t>C0255</t>
        </is>
      </c>
      <c r="D3063" s="2" t="inlineStr">
        <is>
          <t>P0011</t>
        </is>
      </c>
      <c r="E3063" s="2" t="inlineStr">
        <is>
          <t>Cookware Set</t>
        </is>
      </c>
      <c r="F3063" s="2" t="inlineStr">
        <is>
          <t>Home &amp; Kitchen</t>
        </is>
      </c>
      <c r="G3063" s="2" t="inlineStr">
        <is>
          <t>East</t>
        </is>
      </c>
      <c r="H3063" s="2" t="inlineStr">
        <is>
          <t>Odisha</t>
        </is>
      </c>
      <c r="I3063" s="2" t="inlineStr">
        <is>
          <t>Bhubaneswar</t>
        </is>
      </c>
      <c r="J3063" s="2" t="inlineStr">
        <is>
          <t>Store</t>
        </is>
      </c>
      <c r="K3063" s="2" t="n">
        <v>6</v>
      </c>
      <c r="L3063" s="3" t="n">
        <v>725.28</v>
      </c>
      <c r="M3063" s="4" t="n">
        <v>0.15</v>
      </c>
      <c r="N3063" s="3" t="n">
        <v>2777.57</v>
      </c>
      <c r="O3063" s="3">
        <f>K3063*L3063*(1-M3063)</f>
        <v/>
      </c>
      <c r="P3063" s="3">
        <f>O3063-N3063</f>
        <v/>
      </c>
      <c r="Q3063" s="5">
        <f>IFERROR(P3063/O3063,0)</f>
        <v/>
      </c>
      <c r="R3063" s="2">
        <f>TEXT(DATEVALUE(B3063),"mmm")</f>
        <v/>
      </c>
      <c r="S3063" s="2">
        <f>TEXT(DATEVALUE(B3063),"yyyy-mm")</f>
        <v/>
      </c>
    </row>
    <row r="3064">
      <c r="A3064" s="2" t="inlineStr">
        <is>
          <t>O002703</t>
        </is>
      </c>
      <c r="B3064" s="2" t="inlineStr">
        <is>
          <t>2025-08-11</t>
        </is>
      </c>
      <c r="C3064" s="2" t="inlineStr">
        <is>
          <t>C0202</t>
        </is>
      </c>
      <c r="D3064" s="2" t="inlineStr">
        <is>
          <t>P0019</t>
        </is>
      </c>
      <c r="E3064" s="2" t="inlineStr">
        <is>
          <t>Jacket</t>
        </is>
      </c>
      <c r="F3064" s="2" t="inlineStr">
        <is>
          <t>Fashion</t>
        </is>
      </c>
      <c r="G3064" s="2" t="inlineStr">
        <is>
          <t>West</t>
        </is>
      </c>
      <c r="H3064" s="2" t="inlineStr">
        <is>
          <t>Gujarat</t>
        </is>
      </c>
      <c r="I3064" s="2" t="inlineStr">
        <is>
          <t>Ahmedabad</t>
        </is>
      </c>
      <c r="J3064" s="2" t="inlineStr">
        <is>
          <t>Store</t>
        </is>
      </c>
      <c r="K3064" s="2" t="n">
        <v>1</v>
      </c>
      <c r="L3064" s="3" t="n">
        <v>1030.08</v>
      </c>
      <c r="M3064" s="4" t="n">
        <v>0.1</v>
      </c>
      <c r="N3064" s="3" t="n">
        <v>653.1900000000001</v>
      </c>
      <c r="O3064" s="3">
        <f>K3064*L3064*(1-M3064)</f>
        <v/>
      </c>
      <c r="P3064" s="3">
        <f>O3064-N3064</f>
        <v/>
      </c>
      <c r="Q3064" s="5">
        <f>IFERROR(P3064/O3064,0)</f>
        <v/>
      </c>
      <c r="R3064" s="2">
        <f>TEXT(DATEVALUE(B3064),"mmm")</f>
        <v/>
      </c>
      <c r="S3064" s="2">
        <f>TEXT(DATEVALUE(B3064),"yyyy-mm")</f>
        <v/>
      </c>
    </row>
    <row r="3065">
      <c r="A3065" s="2" t="inlineStr">
        <is>
          <t>O002573</t>
        </is>
      </c>
      <c r="B3065" s="2" t="inlineStr">
        <is>
          <t>2025-08-11</t>
        </is>
      </c>
      <c r="C3065" s="2" t="inlineStr">
        <is>
          <t>C0373</t>
        </is>
      </c>
      <c r="D3065" s="2" t="inlineStr">
        <is>
          <t>P0012</t>
        </is>
      </c>
      <c r="E3065" s="2" t="inlineStr">
        <is>
          <t>Water Bottle</t>
        </is>
      </c>
      <c r="F3065" s="2" t="inlineStr">
        <is>
          <t>Home &amp; Kitchen</t>
        </is>
      </c>
      <c r="G3065" s="2" t="inlineStr">
        <is>
          <t>North</t>
        </is>
      </c>
      <c r="H3065" s="2" t="inlineStr">
        <is>
          <t>Haryana</t>
        </is>
      </c>
      <c r="I3065" s="2" t="inlineStr">
        <is>
          <t>Faridabad</t>
        </is>
      </c>
      <c r="J3065" s="2" t="inlineStr">
        <is>
          <t>Online</t>
        </is>
      </c>
      <c r="K3065" s="2" t="n">
        <v>2</v>
      </c>
      <c r="L3065" s="3" t="n">
        <v>982.95</v>
      </c>
      <c r="M3065" s="4" t="n">
        <v>0</v>
      </c>
      <c r="N3065" s="3" t="n">
        <v>1252.65</v>
      </c>
      <c r="O3065" s="3">
        <f>K3065*L3065*(1-M3065)</f>
        <v/>
      </c>
      <c r="P3065" s="3">
        <f>O3065-N3065</f>
        <v/>
      </c>
      <c r="Q3065" s="5">
        <f>IFERROR(P3065/O3065,0)</f>
        <v/>
      </c>
      <c r="R3065" s="2">
        <f>TEXT(DATEVALUE(B3065),"mmm")</f>
        <v/>
      </c>
      <c r="S3065" s="2">
        <f>TEXT(DATEVALUE(B3065),"yyyy-mm")</f>
        <v/>
      </c>
    </row>
    <row r="3066">
      <c r="A3066" s="2" t="inlineStr">
        <is>
          <t>O002034</t>
        </is>
      </c>
      <c r="B3066" s="2" t="inlineStr">
        <is>
          <t>2025-08-11</t>
        </is>
      </c>
      <c r="C3066" s="2" t="inlineStr">
        <is>
          <t>C0739</t>
        </is>
      </c>
      <c r="D3066" s="2" t="inlineStr">
        <is>
          <t>P0007</t>
        </is>
      </c>
      <c r="E3066" s="2" t="inlineStr">
        <is>
          <t>Wireless Mouse</t>
        </is>
      </c>
      <c r="F3066" s="2" t="inlineStr">
        <is>
          <t>Electronics</t>
        </is>
      </c>
      <c r="G3066" s="2" t="inlineStr">
        <is>
          <t>West</t>
        </is>
      </c>
      <c r="H3066" s="2" t="inlineStr">
        <is>
          <t>Goa</t>
        </is>
      </c>
      <c r="I3066" s="2" t="inlineStr">
        <is>
          <t>Margao</t>
        </is>
      </c>
      <c r="J3066" s="2" t="inlineStr">
        <is>
          <t>Store</t>
        </is>
      </c>
      <c r="K3066" s="2" t="n">
        <v>1</v>
      </c>
      <c r="L3066" s="3" t="n">
        <v>951.27</v>
      </c>
      <c r="M3066" s="4" t="n">
        <v>0.05</v>
      </c>
      <c r="N3066" s="3" t="n">
        <v>623.77</v>
      </c>
      <c r="O3066" s="3">
        <f>K3066*L3066*(1-M3066)</f>
        <v/>
      </c>
      <c r="P3066" s="3">
        <f>O3066-N3066</f>
        <v/>
      </c>
      <c r="Q3066" s="5">
        <f>IFERROR(P3066/O3066,0)</f>
        <v/>
      </c>
      <c r="R3066" s="2">
        <f>TEXT(DATEVALUE(B3066),"mmm")</f>
        <v/>
      </c>
      <c r="S3066" s="2">
        <f>TEXT(DATEVALUE(B3066),"yyyy-mm")</f>
        <v/>
      </c>
    </row>
    <row r="3067">
      <c r="A3067" s="2" t="inlineStr">
        <is>
          <t>O001848</t>
        </is>
      </c>
      <c r="B3067" s="2" t="inlineStr">
        <is>
          <t>2025-08-11</t>
        </is>
      </c>
      <c r="C3067" s="2" t="inlineStr">
        <is>
          <t>C0563</t>
        </is>
      </c>
      <c r="D3067" s="2" t="inlineStr">
        <is>
          <t>P0010</t>
        </is>
      </c>
      <c r="E3067" s="2" t="inlineStr">
        <is>
          <t>Mixer Grinder</t>
        </is>
      </c>
      <c r="F3067" s="2" t="inlineStr">
        <is>
          <t>Home &amp; Kitchen</t>
        </is>
      </c>
      <c r="G3067" s="2" t="inlineStr">
        <is>
          <t>West</t>
        </is>
      </c>
      <c r="H3067" s="2" t="inlineStr">
        <is>
          <t>Maharashtra</t>
        </is>
      </c>
      <c r="I3067" s="2" t="inlineStr">
        <is>
          <t>Nagpur</t>
        </is>
      </c>
      <c r="J3067" s="2" t="inlineStr">
        <is>
          <t>Online</t>
        </is>
      </c>
      <c r="K3067" s="2" t="n">
        <v>4</v>
      </c>
      <c r="L3067" s="3" t="n">
        <v>1565.72</v>
      </c>
      <c r="M3067" s="4" t="n">
        <v>0.2</v>
      </c>
      <c r="N3067" s="3" t="n">
        <v>4053.29</v>
      </c>
      <c r="O3067" s="3">
        <f>K3067*L3067*(1-M3067)</f>
        <v/>
      </c>
      <c r="P3067" s="3">
        <f>O3067-N3067</f>
        <v/>
      </c>
      <c r="Q3067" s="5">
        <f>IFERROR(P3067/O3067,0)</f>
        <v/>
      </c>
      <c r="R3067" s="2">
        <f>TEXT(DATEVALUE(B3067),"mmm")</f>
        <v/>
      </c>
      <c r="S3067" s="2">
        <f>TEXT(DATEVALUE(B3067),"yyyy-mm")</f>
        <v/>
      </c>
    </row>
    <row r="3068">
      <c r="A3068" s="2" t="inlineStr">
        <is>
          <t>O001678</t>
        </is>
      </c>
      <c r="B3068" s="2" t="inlineStr">
        <is>
          <t>2025-08-11</t>
        </is>
      </c>
      <c r="C3068" s="2" t="inlineStr">
        <is>
          <t>C0485</t>
        </is>
      </c>
      <c r="D3068" s="2" t="inlineStr">
        <is>
          <t>P0035</t>
        </is>
      </c>
      <c r="E3068" s="2" t="inlineStr">
        <is>
          <t>Skipping Rope</t>
        </is>
      </c>
      <c r="F3068" s="2" t="inlineStr">
        <is>
          <t>Sports</t>
        </is>
      </c>
      <c r="G3068" s="2" t="inlineStr">
        <is>
          <t>West</t>
        </is>
      </c>
      <c r="H3068" s="2" t="inlineStr">
        <is>
          <t>Gujarat</t>
        </is>
      </c>
      <c r="I3068" s="2" t="inlineStr">
        <is>
          <t>Vadodara</t>
        </is>
      </c>
      <c r="J3068" s="2" t="inlineStr">
        <is>
          <t>Online</t>
        </is>
      </c>
      <c r="K3068" s="2" t="n">
        <v>2</v>
      </c>
      <c r="L3068" s="3" t="n">
        <v>731.9299999999999</v>
      </c>
      <c r="M3068" s="4" t="n">
        <v>0</v>
      </c>
      <c r="N3068" s="3" t="n">
        <v>812.21</v>
      </c>
      <c r="O3068" s="3">
        <f>K3068*L3068*(1-M3068)</f>
        <v/>
      </c>
      <c r="P3068" s="3">
        <f>O3068-N3068</f>
        <v/>
      </c>
      <c r="Q3068" s="5">
        <f>IFERROR(P3068/O3068,0)</f>
        <v/>
      </c>
      <c r="R3068" s="2">
        <f>TEXT(DATEVALUE(B3068),"mmm")</f>
        <v/>
      </c>
      <c r="S3068" s="2">
        <f>TEXT(DATEVALUE(B3068),"yyyy-mm")</f>
        <v/>
      </c>
    </row>
    <row r="3069">
      <c r="A3069" s="2" t="inlineStr">
        <is>
          <t>O001470</t>
        </is>
      </c>
      <c r="B3069" s="2" t="inlineStr">
        <is>
          <t>2025-08-11</t>
        </is>
      </c>
      <c r="C3069" s="2" t="inlineStr">
        <is>
          <t>C0722</t>
        </is>
      </c>
      <c r="D3069" s="2" t="inlineStr">
        <is>
          <t>P0021</t>
        </is>
      </c>
      <c r="E3069" s="2" t="inlineStr">
        <is>
          <t>Wallet</t>
        </is>
      </c>
      <c r="F3069" s="2" t="inlineStr">
        <is>
          <t>Fashion</t>
        </is>
      </c>
      <c r="G3069" s="2" t="inlineStr">
        <is>
          <t>West</t>
        </is>
      </c>
      <c r="H3069" s="2" t="inlineStr">
        <is>
          <t>Gujarat</t>
        </is>
      </c>
      <c r="I3069" s="2" t="inlineStr">
        <is>
          <t>Vadodara</t>
        </is>
      </c>
      <c r="J3069" s="2" t="inlineStr">
        <is>
          <t>Online</t>
        </is>
      </c>
      <c r="K3069" s="2" t="n">
        <v>1</v>
      </c>
      <c r="L3069" s="3" t="n">
        <v>1977.77</v>
      </c>
      <c r="M3069" s="4" t="n">
        <v>0.1</v>
      </c>
      <c r="N3069" s="3" t="n">
        <v>1240.5</v>
      </c>
      <c r="O3069" s="3">
        <f>K3069*L3069*(1-M3069)</f>
        <v/>
      </c>
      <c r="P3069" s="3">
        <f>O3069-N3069</f>
        <v/>
      </c>
      <c r="Q3069" s="5">
        <f>IFERROR(P3069/O3069,0)</f>
        <v/>
      </c>
      <c r="R3069" s="2">
        <f>TEXT(DATEVALUE(B3069),"mmm")</f>
        <v/>
      </c>
      <c r="S3069" s="2">
        <f>TEXT(DATEVALUE(B3069),"yyyy-mm")</f>
        <v/>
      </c>
    </row>
    <row r="3070">
      <c r="A3070" s="2" t="inlineStr">
        <is>
          <t>O001276</t>
        </is>
      </c>
      <c r="B3070" s="2" t="inlineStr">
        <is>
          <t>2025-08-11</t>
        </is>
      </c>
      <c r="C3070" s="2" t="inlineStr">
        <is>
          <t>C0668</t>
        </is>
      </c>
      <c r="D3070" s="2" t="inlineStr">
        <is>
          <t>P0023</t>
        </is>
      </c>
      <c r="E3070" s="2" t="inlineStr">
        <is>
          <t>Skin Care Kit</t>
        </is>
      </c>
      <c r="F3070" s="2" t="inlineStr">
        <is>
          <t>Beauty</t>
        </is>
      </c>
      <c r="G3070" s="2" t="inlineStr">
        <is>
          <t>East</t>
        </is>
      </c>
      <c r="H3070" s="2" t="inlineStr">
        <is>
          <t>Bihar</t>
        </is>
      </c>
      <c r="I3070" s="2" t="inlineStr">
        <is>
          <t>Patna</t>
        </is>
      </c>
      <c r="J3070" s="2" t="inlineStr">
        <is>
          <t>Online</t>
        </is>
      </c>
      <c r="K3070" s="2" t="n">
        <v>6</v>
      </c>
      <c r="L3070" s="3" t="n">
        <v>1344.76</v>
      </c>
      <c r="M3070" s="4" t="n">
        <v>0.05</v>
      </c>
      <c r="N3070" s="3" t="n">
        <v>5202.48</v>
      </c>
      <c r="O3070" s="3">
        <f>K3070*L3070*(1-M3070)</f>
        <v/>
      </c>
      <c r="P3070" s="3">
        <f>O3070-N3070</f>
        <v/>
      </c>
      <c r="Q3070" s="5">
        <f>IFERROR(P3070/O3070,0)</f>
        <v/>
      </c>
      <c r="R3070" s="2">
        <f>TEXT(DATEVALUE(B3070),"mmm")</f>
        <v/>
      </c>
      <c r="S3070" s="2">
        <f>TEXT(DATEVALUE(B3070),"yyyy-mm")</f>
        <v/>
      </c>
    </row>
    <row r="3071">
      <c r="A3071" s="2" t="inlineStr">
        <is>
          <t>O000964</t>
        </is>
      </c>
      <c r="B3071" s="2" t="inlineStr">
        <is>
          <t>2025-08-11</t>
        </is>
      </c>
      <c r="C3071" s="2" t="inlineStr">
        <is>
          <t>C0255</t>
        </is>
      </c>
      <c r="D3071" s="2" t="inlineStr">
        <is>
          <t>P0012</t>
        </is>
      </c>
      <c r="E3071" s="2" t="inlineStr">
        <is>
          <t>Water Bottle</t>
        </is>
      </c>
      <c r="F3071" s="2" t="inlineStr">
        <is>
          <t>Home &amp; Kitchen</t>
        </is>
      </c>
      <c r="G3071" s="2" t="inlineStr">
        <is>
          <t>South</t>
        </is>
      </c>
      <c r="H3071" s="2" t="inlineStr">
        <is>
          <t>Kerala</t>
        </is>
      </c>
      <c r="I3071" s="2" t="inlineStr">
        <is>
          <t>Thiruvananthapuram</t>
        </is>
      </c>
      <c r="J3071" s="2" t="inlineStr">
        <is>
          <t>Online</t>
        </is>
      </c>
      <c r="K3071" s="2" t="n">
        <v>1</v>
      </c>
      <c r="L3071" s="3" t="n">
        <v>985.89</v>
      </c>
      <c r="M3071" s="4" t="n">
        <v>0.1</v>
      </c>
      <c r="N3071" s="3" t="n">
        <v>638.17</v>
      </c>
      <c r="O3071" s="3">
        <f>K3071*L3071*(1-M3071)</f>
        <v/>
      </c>
      <c r="P3071" s="3">
        <f>O3071-N3071</f>
        <v/>
      </c>
      <c r="Q3071" s="5">
        <f>IFERROR(P3071/O3071,0)</f>
        <v/>
      </c>
      <c r="R3071" s="2">
        <f>TEXT(DATEVALUE(B3071),"mmm")</f>
        <v/>
      </c>
      <c r="S3071" s="2">
        <f>TEXT(DATEVALUE(B3071),"yyyy-mm")</f>
        <v/>
      </c>
    </row>
    <row r="3072">
      <c r="A3072" s="2" t="inlineStr">
        <is>
          <t>O000591</t>
        </is>
      </c>
      <c r="B3072" s="2" t="inlineStr">
        <is>
          <t>2025-08-11</t>
        </is>
      </c>
      <c r="C3072" s="2" t="inlineStr">
        <is>
          <t>C0001</t>
        </is>
      </c>
      <c r="D3072" s="2" t="inlineStr">
        <is>
          <t>P0003</t>
        </is>
      </c>
      <c r="E3072" s="2" t="inlineStr">
        <is>
          <t>Smartwatch</t>
        </is>
      </c>
      <c r="F3072" s="2" t="inlineStr">
        <is>
          <t>Electronics</t>
        </is>
      </c>
      <c r="G3072" s="2" t="inlineStr">
        <is>
          <t>West</t>
        </is>
      </c>
      <c r="H3072" s="2" t="inlineStr">
        <is>
          <t>Maharashtra</t>
        </is>
      </c>
      <c r="I3072" s="2" t="inlineStr">
        <is>
          <t>Nagpur</t>
        </is>
      </c>
      <c r="J3072" s="2" t="inlineStr">
        <is>
          <t>Online</t>
        </is>
      </c>
      <c r="K3072" s="2" t="n">
        <v>2</v>
      </c>
      <c r="L3072" s="3" t="n">
        <v>2292.29</v>
      </c>
      <c r="M3072" s="4" t="n">
        <v>0.05</v>
      </c>
      <c r="N3072" s="3" t="n">
        <v>2300.78</v>
      </c>
      <c r="O3072" s="3">
        <f>K3072*L3072*(1-M3072)</f>
        <v/>
      </c>
      <c r="P3072" s="3">
        <f>O3072-N3072</f>
        <v/>
      </c>
      <c r="Q3072" s="5">
        <f>IFERROR(P3072/O3072,0)</f>
        <v/>
      </c>
      <c r="R3072" s="2">
        <f>TEXT(DATEVALUE(B3072),"mmm")</f>
        <v/>
      </c>
      <c r="S3072" s="2">
        <f>TEXT(DATEVALUE(B3072),"yyyy-mm")</f>
        <v/>
      </c>
    </row>
    <row r="3073">
      <c r="A3073" s="2" t="inlineStr">
        <is>
          <t>O000575</t>
        </is>
      </c>
      <c r="B3073" s="2" t="inlineStr">
        <is>
          <t>2025-08-11</t>
        </is>
      </c>
      <c r="C3073" s="2" t="inlineStr">
        <is>
          <t>C0523</t>
        </is>
      </c>
      <c r="D3073" s="2" t="inlineStr">
        <is>
          <t>P0011</t>
        </is>
      </c>
      <c r="E3073" s="2" t="inlineStr">
        <is>
          <t>Cookware Set</t>
        </is>
      </c>
      <c r="F3073" s="2" t="inlineStr">
        <is>
          <t>Home &amp; Kitchen</t>
        </is>
      </c>
      <c r="G3073" s="2" t="inlineStr">
        <is>
          <t>West</t>
        </is>
      </c>
      <c r="H3073" s="2" t="inlineStr">
        <is>
          <t>Gujarat</t>
        </is>
      </c>
      <c r="I3073" s="2" t="inlineStr">
        <is>
          <t>Vadodara</t>
        </is>
      </c>
      <c r="J3073" s="2" t="inlineStr">
        <is>
          <t>Store</t>
        </is>
      </c>
      <c r="K3073" s="2" t="n">
        <v>2</v>
      </c>
      <c r="L3073" s="3" t="n">
        <v>673.89</v>
      </c>
      <c r="M3073" s="4" t="n">
        <v>0.05</v>
      </c>
      <c r="N3073" s="3" t="n">
        <v>964.61</v>
      </c>
      <c r="O3073" s="3">
        <f>K3073*L3073*(1-M3073)</f>
        <v/>
      </c>
      <c r="P3073" s="3">
        <f>O3073-N3073</f>
        <v/>
      </c>
      <c r="Q3073" s="5">
        <f>IFERROR(P3073/O3073,0)</f>
        <v/>
      </c>
      <c r="R3073" s="2">
        <f>TEXT(DATEVALUE(B3073),"mmm")</f>
        <v/>
      </c>
      <c r="S3073" s="2">
        <f>TEXT(DATEVALUE(B3073),"yyyy-mm")</f>
        <v/>
      </c>
    </row>
    <row r="3074">
      <c r="A3074" s="2" t="inlineStr">
        <is>
          <t>O000491</t>
        </is>
      </c>
      <c r="B3074" s="2" t="inlineStr">
        <is>
          <t>2025-08-11</t>
        </is>
      </c>
      <c r="C3074" s="2" t="inlineStr">
        <is>
          <t>C0160</t>
        </is>
      </c>
      <c r="D3074" s="2" t="inlineStr">
        <is>
          <t>P0022</t>
        </is>
      </c>
      <c r="E3074" s="2" t="inlineStr">
        <is>
          <t>Face Wash</t>
        </is>
      </c>
      <c r="F3074" s="2" t="inlineStr">
        <is>
          <t>Beauty</t>
        </is>
      </c>
      <c r="G3074" s="2" t="inlineStr">
        <is>
          <t>South</t>
        </is>
      </c>
      <c r="H3074" s="2" t="inlineStr">
        <is>
          <t>Tamil Nadu</t>
        </is>
      </c>
      <c r="I3074" s="2" t="inlineStr">
        <is>
          <t>Chennai</t>
        </is>
      </c>
      <c r="J3074" s="2" t="inlineStr">
        <is>
          <t>Store</t>
        </is>
      </c>
      <c r="K3074" s="2" t="n">
        <v>6</v>
      </c>
      <c r="L3074" s="3" t="n">
        <v>528.78</v>
      </c>
      <c r="M3074" s="4" t="n">
        <v>0.05</v>
      </c>
      <c r="N3074" s="3" t="n">
        <v>2048.36</v>
      </c>
      <c r="O3074" s="3">
        <f>K3074*L3074*(1-M3074)</f>
        <v/>
      </c>
      <c r="P3074" s="3">
        <f>O3074-N3074</f>
        <v/>
      </c>
      <c r="Q3074" s="5">
        <f>IFERROR(P3074/O3074,0)</f>
        <v/>
      </c>
      <c r="R3074" s="2">
        <f>TEXT(DATEVALUE(B3074),"mmm")</f>
        <v/>
      </c>
      <c r="S3074" s="2">
        <f>TEXT(DATEVALUE(B3074),"yyyy-mm")</f>
        <v/>
      </c>
    </row>
    <row r="3075">
      <c r="A3075" s="2" t="inlineStr">
        <is>
          <t>O000355</t>
        </is>
      </c>
      <c r="B3075" s="2" t="inlineStr">
        <is>
          <t>2025-08-11</t>
        </is>
      </c>
      <c r="C3075" s="2" t="inlineStr">
        <is>
          <t>C0504</t>
        </is>
      </c>
      <c r="D3075" s="2" t="inlineStr">
        <is>
          <t>P0018</t>
        </is>
      </c>
      <c r="E3075" s="2" t="inlineStr">
        <is>
          <t>Backpack</t>
        </is>
      </c>
      <c r="F3075" s="2" t="inlineStr">
        <is>
          <t>Fashion</t>
        </is>
      </c>
      <c r="G3075" s="2" t="inlineStr">
        <is>
          <t>East</t>
        </is>
      </c>
      <c r="H3075" s="2" t="inlineStr">
        <is>
          <t>Bihar</t>
        </is>
      </c>
      <c r="I3075" s="2" t="inlineStr">
        <is>
          <t>Patna</t>
        </is>
      </c>
      <c r="J3075" s="2" t="inlineStr">
        <is>
          <t>Store</t>
        </is>
      </c>
      <c r="K3075" s="2" t="n">
        <v>1</v>
      </c>
      <c r="L3075" s="3" t="n">
        <v>1879.3</v>
      </c>
      <c r="M3075" s="4" t="n">
        <v>0.15</v>
      </c>
      <c r="N3075" s="3" t="n">
        <v>1364.14</v>
      </c>
      <c r="O3075" s="3">
        <f>K3075*L3075*(1-M3075)</f>
        <v/>
      </c>
      <c r="P3075" s="3">
        <f>O3075-N3075</f>
        <v/>
      </c>
      <c r="Q3075" s="5">
        <f>IFERROR(P3075/O3075,0)</f>
        <v/>
      </c>
      <c r="R3075" s="2">
        <f>TEXT(DATEVALUE(B3075),"mmm")</f>
        <v/>
      </c>
      <c r="S3075" s="2">
        <f>TEXT(DATEVALUE(B3075),"yyyy-mm")</f>
        <v/>
      </c>
    </row>
    <row r="3076">
      <c r="A3076" s="2" t="inlineStr">
        <is>
          <t>O004765</t>
        </is>
      </c>
      <c r="B3076" s="2" t="inlineStr">
        <is>
          <t>2025-08-12</t>
        </is>
      </c>
      <c r="C3076" s="2" t="inlineStr">
        <is>
          <t>C0213</t>
        </is>
      </c>
      <c r="D3076" s="2" t="inlineStr">
        <is>
          <t>P0014</t>
        </is>
      </c>
      <c r="E3076" s="2" t="inlineStr">
        <is>
          <t>Coffee Maker</t>
        </is>
      </c>
      <c r="F3076" s="2" t="inlineStr">
        <is>
          <t>Home &amp; Kitchen</t>
        </is>
      </c>
      <c r="G3076" s="2" t="inlineStr">
        <is>
          <t>West</t>
        </is>
      </c>
      <c r="H3076" s="2" t="inlineStr">
        <is>
          <t>Goa</t>
        </is>
      </c>
      <c r="I3076" s="2" t="inlineStr">
        <is>
          <t>Panaji</t>
        </is>
      </c>
      <c r="J3076" s="2" t="inlineStr">
        <is>
          <t>Store</t>
        </is>
      </c>
      <c r="K3076" s="2" t="n">
        <v>1</v>
      </c>
      <c r="L3076" s="3" t="n">
        <v>1033.15</v>
      </c>
      <c r="M3076" s="4" t="n">
        <v>0.15</v>
      </c>
      <c r="N3076" s="3" t="n">
        <v>757.2</v>
      </c>
      <c r="O3076" s="3">
        <f>K3076*L3076*(1-M3076)</f>
        <v/>
      </c>
      <c r="P3076" s="3">
        <f>O3076-N3076</f>
        <v/>
      </c>
      <c r="Q3076" s="5">
        <f>IFERROR(P3076/O3076,0)</f>
        <v/>
      </c>
      <c r="R3076" s="2">
        <f>TEXT(DATEVALUE(B3076),"mmm")</f>
        <v/>
      </c>
      <c r="S3076" s="2">
        <f>TEXT(DATEVALUE(B3076),"yyyy-mm")</f>
        <v/>
      </c>
    </row>
    <row r="3077">
      <c r="A3077" s="2" t="inlineStr">
        <is>
          <t>O003917</t>
        </is>
      </c>
      <c r="B3077" s="2" t="inlineStr">
        <is>
          <t>2025-08-12</t>
        </is>
      </c>
      <c r="C3077" s="2" t="inlineStr">
        <is>
          <t>C0049</t>
        </is>
      </c>
      <c r="D3077" s="2" t="inlineStr">
        <is>
          <t>P0004</t>
        </is>
      </c>
      <c r="E3077" s="2" t="inlineStr">
        <is>
          <t>USB-C Hub</t>
        </is>
      </c>
      <c r="F3077" s="2" t="inlineStr">
        <is>
          <t>Electronics</t>
        </is>
      </c>
      <c r="G3077" s="2" t="inlineStr">
        <is>
          <t>South</t>
        </is>
      </c>
      <c r="H3077" s="2" t="inlineStr">
        <is>
          <t>Karnataka</t>
        </is>
      </c>
      <c r="I3077" s="2" t="inlineStr">
        <is>
          <t>Bengaluru</t>
        </is>
      </c>
      <c r="J3077" s="2" t="inlineStr">
        <is>
          <t>Online</t>
        </is>
      </c>
      <c r="K3077" s="2" t="n">
        <v>1</v>
      </c>
      <c r="L3077" s="3" t="n">
        <v>1299.82</v>
      </c>
      <c r="M3077" s="4" t="n">
        <v>0</v>
      </c>
      <c r="N3077" s="3" t="n">
        <v>907.05</v>
      </c>
      <c r="O3077" s="3">
        <f>K3077*L3077*(1-M3077)</f>
        <v/>
      </c>
      <c r="P3077" s="3">
        <f>O3077-N3077</f>
        <v/>
      </c>
      <c r="Q3077" s="5">
        <f>IFERROR(P3077/O3077,0)</f>
        <v/>
      </c>
      <c r="R3077" s="2">
        <f>TEXT(DATEVALUE(B3077),"mmm")</f>
        <v/>
      </c>
      <c r="S3077" s="2">
        <f>TEXT(DATEVALUE(B3077),"yyyy-mm")</f>
        <v/>
      </c>
    </row>
    <row r="3078">
      <c r="A3078" s="2" t="inlineStr">
        <is>
          <t>O003833</t>
        </is>
      </c>
      <c r="B3078" s="2" t="inlineStr">
        <is>
          <t>2025-08-12</t>
        </is>
      </c>
      <c r="C3078" s="2" t="inlineStr">
        <is>
          <t>C0732</t>
        </is>
      </c>
      <c r="D3078" s="2" t="inlineStr">
        <is>
          <t>P0029</t>
        </is>
      </c>
      <c r="E3078" s="2" t="inlineStr">
        <is>
          <t>Yoga Mat</t>
        </is>
      </c>
      <c r="F3078" s="2" t="inlineStr">
        <is>
          <t>Sports</t>
        </is>
      </c>
      <c r="G3078" s="2" t="inlineStr">
        <is>
          <t>West</t>
        </is>
      </c>
      <c r="H3078" s="2" t="inlineStr">
        <is>
          <t>Gujarat</t>
        </is>
      </c>
      <c r="I3078" s="2" t="inlineStr">
        <is>
          <t>Surat</t>
        </is>
      </c>
      <c r="J3078" s="2" t="inlineStr">
        <is>
          <t>Online</t>
        </is>
      </c>
      <c r="K3078" s="2" t="n">
        <v>2</v>
      </c>
      <c r="L3078" s="3" t="n">
        <v>2368.86</v>
      </c>
      <c r="M3078" s="4" t="n">
        <v>0.2</v>
      </c>
      <c r="N3078" s="3" t="n">
        <v>2723.86</v>
      </c>
      <c r="O3078" s="3">
        <f>K3078*L3078*(1-M3078)</f>
        <v/>
      </c>
      <c r="P3078" s="3">
        <f>O3078-N3078</f>
        <v/>
      </c>
      <c r="Q3078" s="5">
        <f>IFERROR(P3078/O3078,0)</f>
        <v/>
      </c>
      <c r="R3078" s="2">
        <f>TEXT(DATEVALUE(B3078),"mmm")</f>
        <v/>
      </c>
      <c r="S3078" s="2">
        <f>TEXT(DATEVALUE(B3078),"yyyy-mm")</f>
        <v/>
      </c>
    </row>
    <row r="3079">
      <c r="A3079" s="2" t="inlineStr">
        <is>
          <t>O003436</t>
        </is>
      </c>
      <c r="B3079" s="2" t="inlineStr">
        <is>
          <t>2025-08-12</t>
        </is>
      </c>
      <c r="C3079" s="2" t="inlineStr">
        <is>
          <t>C0088</t>
        </is>
      </c>
      <c r="D3079" s="2" t="inlineStr">
        <is>
          <t>P0024</t>
        </is>
      </c>
      <c r="E3079" s="2" t="inlineStr">
        <is>
          <t>Hair Dryer</t>
        </is>
      </c>
      <c r="F3079" s="2" t="inlineStr">
        <is>
          <t>Beauty</t>
        </is>
      </c>
      <c r="G3079" s="2" t="inlineStr">
        <is>
          <t>South</t>
        </is>
      </c>
      <c r="H3079" s="2" t="inlineStr">
        <is>
          <t>Karnataka</t>
        </is>
      </c>
      <c r="I3079" s="2" t="inlineStr">
        <is>
          <t>Mangaluru</t>
        </is>
      </c>
      <c r="J3079" s="2" t="inlineStr">
        <is>
          <t>Online</t>
        </is>
      </c>
      <c r="K3079" s="2" t="n">
        <v>1</v>
      </c>
      <c r="L3079" s="3" t="n">
        <v>990.14</v>
      </c>
      <c r="M3079" s="4" t="n">
        <v>0.05</v>
      </c>
      <c r="N3079" s="3" t="n">
        <v>709.11</v>
      </c>
      <c r="O3079" s="3">
        <f>K3079*L3079*(1-M3079)</f>
        <v/>
      </c>
      <c r="P3079" s="3">
        <f>O3079-N3079</f>
        <v/>
      </c>
      <c r="Q3079" s="5">
        <f>IFERROR(P3079/O3079,0)</f>
        <v/>
      </c>
      <c r="R3079" s="2">
        <f>TEXT(DATEVALUE(B3079),"mmm")</f>
        <v/>
      </c>
      <c r="S3079" s="2">
        <f>TEXT(DATEVALUE(B3079),"yyyy-mm")</f>
        <v/>
      </c>
    </row>
    <row r="3080">
      <c r="A3080" s="2" t="inlineStr">
        <is>
          <t>O002680</t>
        </is>
      </c>
      <c r="B3080" s="2" t="inlineStr">
        <is>
          <t>2025-08-12</t>
        </is>
      </c>
      <c r="C3080" s="2" t="inlineStr">
        <is>
          <t>C0522</t>
        </is>
      </c>
      <c r="D3080" s="2" t="inlineStr">
        <is>
          <t>P0007</t>
        </is>
      </c>
      <c r="E3080" s="2" t="inlineStr">
        <is>
          <t>Wireless Mouse</t>
        </is>
      </c>
      <c r="F3080" s="2" t="inlineStr">
        <is>
          <t>Electronics</t>
        </is>
      </c>
      <c r="G3080" s="2" t="inlineStr">
        <is>
          <t>West</t>
        </is>
      </c>
      <c r="H3080" s="2" t="inlineStr">
        <is>
          <t>Gujarat</t>
        </is>
      </c>
      <c r="I3080" s="2" t="inlineStr">
        <is>
          <t>Vadodara</t>
        </is>
      </c>
      <c r="J3080" s="2" t="inlineStr">
        <is>
          <t>Store</t>
        </is>
      </c>
      <c r="K3080" s="2" t="n">
        <v>1</v>
      </c>
      <c r="L3080" s="3" t="n">
        <v>1008.23</v>
      </c>
      <c r="M3080" s="4" t="n">
        <v>0.1</v>
      </c>
      <c r="N3080" s="3" t="n">
        <v>628.45</v>
      </c>
      <c r="O3080" s="3">
        <f>K3080*L3080*(1-M3080)</f>
        <v/>
      </c>
      <c r="P3080" s="3">
        <f>O3080-N3080</f>
        <v/>
      </c>
      <c r="Q3080" s="5">
        <f>IFERROR(P3080/O3080,0)</f>
        <v/>
      </c>
      <c r="R3080" s="2">
        <f>TEXT(DATEVALUE(B3080),"mmm")</f>
        <v/>
      </c>
      <c r="S3080" s="2">
        <f>TEXT(DATEVALUE(B3080),"yyyy-mm")</f>
        <v/>
      </c>
    </row>
    <row r="3081">
      <c r="A3081" s="2" t="inlineStr">
        <is>
          <t>O002634</t>
        </is>
      </c>
      <c r="B3081" s="2" t="inlineStr">
        <is>
          <t>2025-08-12</t>
        </is>
      </c>
      <c r="C3081" s="2" t="inlineStr">
        <is>
          <t>C0430</t>
        </is>
      </c>
      <c r="D3081" s="2" t="inlineStr">
        <is>
          <t>P0007</t>
        </is>
      </c>
      <c r="E3081" s="2" t="inlineStr">
        <is>
          <t>Wireless Mouse</t>
        </is>
      </c>
      <c r="F3081" s="2" t="inlineStr">
        <is>
          <t>Electronics</t>
        </is>
      </c>
      <c r="G3081" s="2" t="inlineStr">
        <is>
          <t>South</t>
        </is>
      </c>
      <c r="H3081" s="2" t="inlineStr">
        <is>
          <t>Telangana</t>
        </is>
      </c>
      <c r="I3081" s="2" t="inlineStr">
        <is>
          <t>Warangal</t>
        </is>
      </c>
      <c r="J3081" s="2" t="inlineStr">
        <is>
          <t>Store</t>
        </is>
      </c>
      <c r="K3081" s="2" t="n">
        <v>2</v>
      </c>
      <c r="L3081" s="3" t="n">
        <v>1009.88</v>
      </c>
      <c r="M3081" s="4" t="n">
        <v>0</v>
      </c>
      <c r="N3081" s="3" t="n">
        <v>1266.96</v>
      </c>
      <c r="O3081" s="3">
        <f>K3081*L3081*(1-M3081)</f>
        <v/>
      </c>
      <c r="P3081" s="3">
        <f>O3081-N3081</f>
        <v/>
      </c>
      <c r="Q3081" s="5">
        <f>IFERROR(P3081/O3081,0)</f>
        <v/>
      </c>
      <c r="R3081" s="2">
        <f>TEXT(DATEVALUE(B3081),"mmm")</f>
        <v/>
      </c>
      <c r="S3081" s="2">
        <f>TEXT(DATEVALUE(B3081),"yyyy-mm")</f>
        <v/>
      </c>
    </row>
    <row r="3082">
      <c r="A3082" s="2" t="inlineStr">
        <is>
          <t>O002117</t>
        </is>
      </c>
      <c r="B3082" s="2" t="inlineStr">
        <is>
          <t>2025-08-12</t>
        </is>
      </c>
      <c r="C3082" s="2" t="inlineStr">
        <is>
          <t>C0131</t>
        </is>
      </c>
      <c r="D3082" s="2" t="inlineStr">
        <is>
          <t>P0031</t>
        </is>
      </c>
      <c r="E3082" s="2" t="inlineStr">
        <is>
          <t>Cricket Bat</t>
        </is>
      </c>
      <c r="F3082" s="2" t="inlineStr">
        <is>
          <t>Sports</t>
        </is>
      </c>
      <c r="G3082" s="2" t="inlineStr">
        <is>
          <t>South</t>
        </is>
      </c>
      <c r="H3082" s="2" t="inlineStr">
        <is>
          <t>Telangana</t>
        </is>
      </c>
      <c r="I3082" s="2" t="inlineStr">
        <is>
          <t>Warangal</t>
        </is>
      </c>
      <c r="J3082" s="2" t="inlineStr">
        <is>
          <t>Store</t>
        </is>
      </c>
      <c r="K3082" s="2" t="n">
        <v>1</v>
      </c>
      <c r="L3082" s="3" t="n">
        <v>1377.72</v>
      </c>
      <c r="M3082" s="4" t="n">
        <v>0.05</v>
      </c>
      <c r="N3082" s="3" t="n">
        <v>954.11</v>
      </c>
      <c r="O3082" s="3">
        <f>K3082*L3082*(1-M3082)</f>
        <v/>
      </c>
      <c r="P3082" s="3">
        <f>O3082-N3082</f>
        <v/>
      </c>
      <c r="Q3082" s="5">
        <f>IFERROR(P3082/O3082,0)</f>
        <v/>
      </c>
      <c r="R3082" s="2">
        <f>TEXT(DATEVALUE(B3082),"mmm")</f>
        <v/>
      </c>
      <c r="S3082" s="2">
        <f>TEXT(DATEVALUE(B3082),"yyyy-mm")</f>
        <v/>
      </c>
    </row>
    <row r="3083">
      <c r="A3083" s="2" t="inlineStr">
        <is>
          <t>O004661</t>
        </is>
      </c>
      <c r="B3083" s="2" t="inlineStr">
        <is>
          <t>2025-08-12</t>
        </is>
      </c>
      <c r="C3083" s="2" t="inlineStr">
        <is>
          <t>C0694</t>
        </is>
      </c>
      <c r="D3083" s="2" t="inlineStr">
        <is>
          <t>P0007</t>
        </is>
      </c>
      <c r="E3083" s="2" t="inlineStr">
        <is>
          <t>Wireless Mouse</t>
        </is>
      </c>
      <c r="F3083" s="2" t="inlineStr">
        <is>
          <t>Electronics</t>
        </is>
      </c>
      <c r="G3083" s="2" t="inlineStr">
        <is>
          <t>North</t>
        </is>
      </c>
      <c r="H3083" s="2" t="inlineStr">
        <is>
          <t>Uttar Pradesh</t>
        </is>
      </c>
      <c r="I3083" s="2" t="inlineStr">
        <is>
          <t>Kanpur</t>
        </is>
      </c>
      <c r="J3083" s="2" t="inlineStr">
        <is>
          <t>Online</t>
        </is>
      </c>
      <c r="K3083" s="2" t="n">
        <v>3</v>
      </c>
      <c r="L3083" s="3" t="n">
        <v>942.29</v>
      </c>
      <c r="M3083" s="4" t="n">
        <v>0.05</v>
      </c>
      <c r="N3083" s="3" t="n">
        <v>1832.89</v>
      </c>
      <c r="O3083" s="3">
        <f>K3083*L3083*(1-M3083)</f>
        <v/>
      </c>
      <c r="P3083" s="3">
        <f>O3083-N3083</f>
        <v/>
      </c>
      <c r="Q3083" s="5">
        <f>IFERROR(P3083/O3083,0)</f>
        <v/>
      </c>
      <c r="R3083" s="2">
        <f>TEXT(DATEVALUE(B3083),"mmm")</f>
        <v/>
      </c>
      <c r="S3083" s="2">
        <f>TEXT(DATEVALUE(B3083),"yyyy-mm")</f>
        <v/>
      </c>
    </row>
    <row r="3084">
      <c r="A3084" s="2" t="inlineStr">
        <is>
          <t>O001670</t>
        </is>
      </c>
      <c r="B3084" s="2" t="inlineStr">
        <is>
          <t>2025-08-12</t>
        </is>
      </c>
      <c r="C3084" s="2" t="inlineStr">
        <is>
          <t>C0112</t>
        </is>
      </c>
      <c r="D3084" s="2" t="inlineStr">
        <is>
          <t>P0014</t>
        </is>
      </c>
      <c r="E3084" s="2" t="inlineStr">
        <is>
          <t>Coffee Maker</t>
        </is>
      </c>
      <c r="F3084" s="2" t="inlineStr">
        <is>
          <t>Home &amp; Kitchen</t>
        </is>
      </c>
      <c r="G3084" s="2" t="inlineStr">
        <is>
          <t>North</t>
        </is>
      </c>
      <c r="H3084" s="2" t="inlineStr">
        <is>
          <t>Delhi</t>
        </is>
      </c>
      <c r="I3084" s="2" t="inlineStr">
        <is>
          <t>New Delhi</t>
        </is>
      </c>
      <c r="J3084" s="2" t="inlineStr">
        <is>
          <t>Store</t>
        </is>
      </c>
      <c r="K3084" s="2" t="n">
        <v>2</v>
      </c>
      <c r="L3084" s="3" t="n">
        <v>1052.45</v>
      </c>
      <c r="M3084" s="4" t="n">
        <v>0</v>
      </c>
      <c r="N3084" s="3" t="n">
        <v>1557.54</v>
      </c>
      <c r="O3084" s="3">
        <f>K3084*L3084*(1-M3084)</f>
        <v/>
      </c>
      <c r="P3084" s="3">
        <f>O3084-N3084</f>
        <v/>
      </c>
      <c r="Q3084" s="5">
        <f>IFERROR(P3084/O3084,0)</f>
        <v/>
      </c>
      <c r="R3084" s="2">
        <f>TEXT(DATEVALUE(B3084),"mmm")</f>
        <v/>
      </c>
      <c r="S3084" s="2">
        <f>TEXT(DATEVALUE(B3084),"yyyy-mm")</f>
        <v/>
      </c>
    </row>
    <row r="3085">
      <c r="A3085" s="2" t="inlineStr">
        <is>
          <t>O001617</t>
        </is>
      </c>
      <c r="B3085" s="2" t="inlineStr">
        <is>
          <t>2025-08-12</t>
        </is>
      </c>
      <c r="C3085" s="2" t="inlineStr">
        <is>
          <t>C0214</t>
        </is>
      </c>
      <c r="D3085" s="2" t="inlineStr">
        <is>
          <t>P0017</t>
        </is>
      </c>
      <c r="E3085" s="2" t="inlineStr">
        <is>
          <t>Jeans</t>
        </is>
      </c>
      <c r="F3085" s="2" t="inlineStr">
        <is>
          <t>Fashion</t>
        </is>
      </c>
      <c r="G3085" s="2" t="inlineStr">
        <is>
          <t>South</t>
        </is>
      </c>
      <c r="H3085" s="2" t="inlineStr">
        <is>
          <t>Kerala</t>
        </is>
      </c>
      <c r="I3085" s="2" t="inlineStr">
        <is>
          <t>Kochi</t>
        </is>
      </c>
      <c r="J3085" s="2" t="inlineStr">
        <is>
          <t>Online</t>
        </is>
      </c>
      <c r="K3085" s="2" t="n">
        <v>1</v>
      </c>
      <c r="L3085" s="3" t="n">
        <v>1464.7</v>
      </c>
      <c r="M3085" s="4" t="n">
        <v>0.1</v>
      </c>
      <c r="N3085" s="3" t="n">
        <v>1038.26</v>
      </c>
      <c r="O3085" s="3">
        <f>K3085*L3085*(1-M3085)</f>
        <v/>
      </c>
      <c r="P3085" s="3">
        <f>O3085-N3085</f>
        <v/>
      </c>
      <c r="Q3085" s="5">
        <f>IFERROR(P3085/O3085,0)</f>
        <v/>
      </c>
      <c r="R3085" s="2">
        <f>TEXT(DATEVALUE(B3085),"mmm")</f>
        <v/>
      </c>
      <c r="S3085" s="2">
        <f>TEXT(DATEVALUE(B3085),"yyyy-mm")</f>
        <v/>
      </c>
    </row>
    <row r="3086">
      <c r="A3086" s="2" t="inlineStr">
        <is>
          <t>O001315</t>
        </is>
      </c>
      <c r="B3086" s="2" t="inlineStr">
        <is>
          <t>2025-08-12</t>
        </is>
      </c>
      <c r="C3086" s="2" t="inlineStr">
        <is>
          <t>C0757</t>
        </is>
      </c>
      <c r="D3086" s="2" t="inlineStr">
        <is>
          <t>P0017</t>
        </is>
      </c>
      <c r="E3086" s="2" t="inlineStr">
        <is>
          <t>Jeans</t>
        </is>
      </c>
      <c r="F3086" s="2" t="inlineStr">
        <is>
          <t>Fashion</t>
        </is>
      </c>
      <c r="G3086" s="2" t="inlineStr">
        <is>
          <t>South</t>
        </is>
      </c>
      <c r="H3086" s="2" t="inlineStr">
        <is>
          <t>Karnataka</t>
        </is>
      </c>
      <c r="I3086" s="2" t="inlineStr">
        <is>
          <t>Mangaluru</t>
        </is>
      </c>
      <c r="J3086" s="2" t="inlineStr">
        <is>
          <t>Store</t>
        </is>
      </c>
      <c r="K3086" s="2" t="n">
        <v>2</v>
      </c>
      <c r="L3086" s="3" t="n">
        <v>1466.66</v>
      </c>
      <c r="M3086" s="4" t="n">
        <v>0</v>
      </c>
      <c r="N3086" s="3" t="n">
        <v>2120.18</v>
      </c>
      <c r="O3086" s="3">
        <f>K3086*L3086*(1-M3086)</f>
        <v/>
      </c>
      <c r="P3086" s="3">
        <f>O3086-N3086</f>
        <v/>
      </c>
      <c r="Q3086" s="5">
        <f>IFERROR(P3086/O3086,0)</f>
        <v/>
      </c>
      <c r="R3086" s="2">
        <f>TEXT(DATEVALUE(B3086),"mmm")</f>
        <v/>
      </c>
      <c r="S3086" s="2">
        <f>TEXT(DATEVALUE(B3086),"yyyy-mm")</f>
        <v/>
      </c>
    </row>
    <row r="3087">
      <c r="A3087" s="2" t="inlineStr">
        <is>
          <t>O001216</t>
        </is>
      </c>
      <c r="B3087" s="2" t="inlineStr">
        <is>
          <t>2025-08-12</t>
        </is>
      </c>
      <c r="C3087" s="2" t="inlineStr">
        <is>
          <t>C0348</t>
        </is>
      </c>
      <c r="D3087" s="2" t="inlineStr">
        <is>
          <t>P0026</t>
        </is>
      </c>
      <c r="E3087" s="2" t="inlineStr">
        <is>
          <t>Shampoo</t>
        </is>
      </c>
      <c r="F3087" s="2" t="inlineStr">
        <is>
          <t>Beauty</t>
        </is>
      </c>
      <c r="G3087" s="2" t="inlineStr">
        <is>
          <t>North</t>
        </is>
      </c>
      <c r="H3087" s="2" t="inlineStr">
        <is>
          <t>Delhi</t>
        </is>
      </c>
      <c r="I3087" s="2" t="inlineStr">
        <is>
          <t>New Delhi</t>
        </is>
      </c>
      <c r="J3087" s="2" t="inlineStr">
        <is>
          <t>Store</t>
        </is>
      </c>
      <c r="K3087" s="2" t="n">
        <v>1</v>
      </c>
      <c r="L3087" s="3" t="n">
        <v>852.5700000000001</v>
      </c>
      <c r="M3087" s="4" t="n">
        <v>0.2</v>
      </c>
      <c r="N3087" s="3" t="n">
        <v>532.45</v>
      </c>
      <c r="O3087" s="3">
        <f>K3087*L3087*(1-M3087)</f>
        <v/>
      </c>
      <c r="P3087" s="3">
        <f>O3087-N3087</f>
        <v/>
      </c>
      <c r="Q3087" s="5">
        <f>IFERROR(P3087/O3087,0)</f>
        <v/>
      </c>
      <c r="R3087" s="2">
        <f>TEXT(DATEVALUE(B3087),"mmm")</f>
        <v/>
      </c>
      <c r="S3087" s="2">
        <f>TEXT(DATEVALUE(B3087),"yyyy-mm")</f>
        <v/>
      </c>
    </row>
    <row r="3088">
      <c r="A3088" s="2" t="inlineStr">
        <is>
          <t>O000726</t>
        </is>
      </c>
      <c r="B3088" s="2" t="inlineStr">
        <is>
          <t>2025-08-12</t>
        </is>
      </c>
      <c r="C3088" s="2" t="inlineStr">
        <is>
          <t>C0225</t>
        </is>
      </c>
      <c r="D3088" s="2" t="inlineStr">
        <is>
          <t>P0012</t>
        </is>
      </c>
      <c r="E3088" s="2" t="inlineStr">
        <is>
          <t>Water Bottle</t>
        </is>
      </c>
      <c r="F3088" s="2" t="inlineStr">
        <is>
          <t>Home &amp; Kitchen</t>
        </is>
      </c>
      <c r="G3088" s="2" t="inlineStr">
        <is>
          <t>West</t>
        </is>
      </c>
      <c r="H3088" s="2" t="inlineStr">
        <is>
          <t>Gujarat</t>
        </is>
      </c>
      <c r="I3088" s="2" t="inlineStr">
        <is>
          <t>Vadodara</t>
        </is>
      </c>
      <c r="J3088" s="2" t="inlineStr">
        <is>
          <t>Online</t>
        </is>
      </c>
      <c r="K3088" s="2" t="n">
        <v>2</v>
      </c>
      <c r="L3088" s="3" t="n">
        <v>965.74</v>
      </c>
      <c r="M3088" s="4" t="n">
        <v>0.05</v>
      </c>
      <c r="N3088" s="3" t="n">
        <v>1262.81</v>
      </c>
      <c r="O3088" s="3">
        <f>K3088*L3088*(1-M3088)</f>
        <v/>
      </c>
      <c r="P3088" s="3">
        <f>O3088-N3088</f>
        <v/>
      </c>
      <c r="Q3088" s="5">
        <f>IFERROR(P3088/O3088,0)</f>
        <v/>
      </c>
      <c r="R3088" s="2">
        <f>TEXT(DATEVALUE(B3088),"mmm")</f>
        <v/>
      </c>
      <c r="S3088" s="2">
        <f>TEXT(DATEVALUE(B3088),"yyyy-mm")</f>
        <v/>
      </c>
    </row>
    <row r="3089">
      <c r="A3089" s="2" t="inlineStr">
        <is>
          <t>O000684</t>
        </is>
      </c>
      <c r="B3089" s="2" t="inlineStr">
        <is>
          <t>2025-08-12</t>
        </is>
      </c>
      <c r="C3089" s="2" t="inlineStr">
        <is>
          <t>C0075</t>
        </is>
      </c>
      <c r="D3089" s="2" t="inlineStr">
        <is>
          <t>P0026</t>
        </is>
      </c>
      <c r="E3089" s="2" t="inlineStr">
        <is>
          <t>Shampoo</t>
        </is>
      </c>
      <c r="F3089" s="2" t="inlineStr">
        <is>
          <t>Beauty</t>
        </is>
      </c>
      <c r="G3089" s="2" t="inlineStr">
        <is>
          <t>South</t>
        </is>
      </c>
      <c r="H3089" s="2" t="inlineStr">
        <is>
          <t>Kerala</t>
        </is>
      </c>
      <c r="I3089" s="2" t="inlineStr">
        <is>
          <t>Kochi</t>
        </is>
      </c>
      <c r="J3089" s="2" t="inlineStr">
        <is>
          <t>Online</t>
        </is>
      </c>
      <c r="K3089" s="2" t="n">
        <v>6</v>
      </c>
      <c r="L3089" s="3" t="n">
        <v>911.12</v>
      </c>
      <c r="M3089" s="4" t="n">
        <v>0.15</v>
      </c>
      <c r="N3089" s="3" t="n">
        <v>3238.64</v>
      </c>
      <c r="O3089" s="3">
        <f>K3089*L3089*(1-M3089)</f>
        <v/>
      </c>
      <c r="P3089" s="3">
        <f>O3089-N3089</f>
        <v/>
      </c>
      <c r="Q3089" s="5">
        <f>IFERROR(P3089/O3089,0)</f>
        <v/>
      </c>
      <c r="R3089" s="2">
        <f>TEXT(DATEVALUE(B3089),"mmm")</f>
        <v/>
      </c>
      <c r="S3089" s="2">
        <f>TEXT(DATEVALUE(B3089),"yyyy-mm")</f>
        <v/>
      </c>
    </row>
    <row r="3090">
      <c r="A3090" s="2" t="inlineStr">
        <is>
          <t>O000551</t>
        </is>
      </c>
      <c r="B3090" s="2" t="inlineStr">
        <is>
          <t>2025-08-12</t>
        </is>
      </c>
      <c r="C3090" s="2" t="inlineStr">
        <is>
          <t>C0175</t>
        </is>
      </c>
      <c r="D3090" s="2" t="inlineStr">
        <is>
          <t>P0002</t>
        </is>
      </c>
      <c r="E3090" s="2" t="inlineStr">
        <is>
          <t>Bluetooth Speaker</t>
        </is>
      </c>
      <c r="F3090" s="2" t="inlineStr">
        <is>
          <t>Electronics</t>
        </is>
      </c>
      <c r="G3090" s="2" t="inlineStr">
        <is>
          <t>South</t>
        </is>
      </c>
      <c r="H3090" s="2" t="inlineStr">
        <is>
          <t>Tamil Nadu</t>
        </is>
      </c>
      <c r="I3090" s="2" t="inlineStr">
        <is>
          <t>Chennai</t>
        </is>
      </c>
      <c r="J3090" s="2" t="inlineStr">
        <is>
          <t>Store</t>
        </is>
      </c>
      <c r="K3090" s="2" t="n">
        <v>3</v>
      </c>
      <c r="L3090" s="3" t="n">
        <v>1374.25</v>
      </c>
      <c r="M3090" s="4" t="n">
        <v>0.15</v>
      </c>
      <c r="N3090" s="3" t="n">
        <v>2450.6</v>
      </c>
      <c r="O3090" s="3">
        <f>K3090*L3090*(1-M3090)</f>
        <v/>
      </c>
      <c r="P3090" s="3">
        <f>O3090-N3090</f>
        <v/>
      </c>
      <c r="Q3090" s="5">
        <f>IFERROR(P3090/O3090,0)</f>
        <v/>
      </c>
      <c r="R3090" s="2">
        <f>TEXT(DATEVALUE(B3090),"mmm")</f>
        <v/>
      </c>
      <c r="S3090" s="2">
        <f>TEXT(DATEVALUE(B3090),"yyyy-mm")</f>
        <v/>
      </c>
    </row>
    <row r="3091">
      <c r="A3091" s="2" t="inlineStr">
        <is>
          <t>O001687</t>
        </is>
      </c>
      <c r="B3091" s="2" t="inlineStr">
        <is>
          <t>2025-08-12</t>
        </is>
      </c>
      <c r="C3091" s="2" t="inlineStr">
        <is>
          <t>C0542</t>
        </is>
      </c>
      <c r="D3091" s="2" t="inlineStr">
        <is>
          <t>P0004</t>
        </is>
      </c>
      <c r="E3091" s="2" t="inlineStr">
        <is>
          <t>USB-C Hub</t>
        </is>
      </c>
      <c r="F3091" s="2" t="inlineStr">
        <is>
          <t>Electronics</t>
        </is>
      </c>
      <c r="G3091" s="2" t="inlineStr">
        <is>
          <t>West</t>
        </is>
      </c>
      <c r="H3091" s="2" t="inlineStr">
        <is>
          <t>Maharashtra</t>
        </is>
      </c>
      <c r="I3091" s="2" t="inlineStr">
        <is>
          <t>Nagpur</t>
        </is>
      </c>
      <c r="J3091" s="2" t="inlineStr">
        <is>
          <t>Store</t>
        </is>
      </c>
      <c r="K3091" s="2" t="n">
        <v>2</v>
      </c>
      <c r="L3091" s="3" t="n">
        <v>1257.42</v>
      </c>
      <c r="M3091" s="4" t="n">
        <v>0.15</v>
      </c>
      <c r="N3091" s="3" t="n">
        <v>1838.76</v>
      </c>
      <c r="O3091" s="3">
        <f>K3091*L3091*(1-M3091)</f>
        <v/>
      </c>
      <c r="P3091" s="3">
        <f>O3091-N3091</f>
        <v/>
      </c>
      <c r="Q3091" s="5">
        <f>IFERROR(P3091/O3091,0)</f>
        <v/>
      </c>
      <c r="R3091" s="2">
        <f>TEXT(DATEVALUE(B3091),"mmm")</f>
        <v/>
      </c>
      <c r="S3091" s="2">
        <f>TEXT(DATEVALUE(B3091),"yyyy-mm")</f>
        <v/>
      </c>
    </row>
    <row r="3092">
      <c r="A3092" s="2" t="inlineStr">
        <is>
          <t>O004413</t>
        </is>
      </c>
      <c r="B3092" s="2" t="inlineStr">
        <is>
          <t>2025-08-13</t>
        </is>
      </c>
      <c r="C3092" s="2" t="inlineStr">
        <is>
          <t>C0122</t>
        </is>
      </c>
      <c r="D3092" s="2" t="inlineStr">
        <is>
          <t>P0016</t>
        </is>
      </c>
      <c r="E3092" s="2" t="inlineStr">
        <is>
          <t>Casual Shirt</t>
        </is>
      </c>
      <c r="F3092" s="2" t="inlineStr">
        <is>
          <t>Fashion</t>
        </is>
      </c>
      <c r="G3092" s="2" t="inlineStr">
        <is>
          <t>South</t>
        </is>
      </c>
      <c r="H3092" s="2" t="inlineStr">
        <is>
          <t>Tamil Nadu</t>
        </is>
      </c>
      <c r="I3092" s="2" t="inlineStr">
        <is>
          <t>Madurai</t>
        </is>
      </c>
      <c r="J3092" s="2" t="inlineStr">
        <is>
          <t>Store</t>
        </is>
      </c>
      <c r="K3092" s="2" t="n">
        <v>1</v>
      </c>
      <c r="L3092" s="3" t="n">
        <v>1326.17</v>
      </c>
      <c r="M3092" s="4" t="n">
        <v>0.05</v>
      </c>
      <c r="N3092" s="3" t="n">
        <v>932.55</v>
      </c>
      <c r="O3092" s="3">
        <f>K3092*L3092*(1-M3092)</f>
        <v/>
      </c>
      <c r="P3092" s="3">
        <f>O3092-N3092</f>
        <v/>
      </c>
      <c r="Q3092" s="5">
        <f>IFERROR(P3092/O3092,0)</f>
        <v/>
      </c>
      <c r="R3092" s="2">
        <f>TEXT(DATEVALUE(B3092),"mmm")</f>
        <v/>
      </c>
      <c r="S3092" s="2">
        <f>TEXT(DATEVALUE(B3092),"yyyy-mm")</f>
        <v/>
      </c>
    </row>
    <row r="3093">
      <c r="A3093" s="2" t="inlineStr">
        <is>
          <t>O003852</t>
        </is>
      </c>
      <c r="B3093" s="2" t="inlineStr">
        <is>
          <t>2025-08-13</t>
        </is>
      </c>
      <c r="C3093" s="2" t="inlineStr">
        <is>
          <t>C0202</t>
        </is>
      </c>
      <c r="D3093" s="2" t="inlineStr">
        <is>
          <t>P0027</t>
        </is>
      </c>
      <c r="E3093" s="2" t="inlineStr">
        <is>
          <t>Moisturizer</t>
        </is>
      </c>
      <c r="F3093" s="2" t="inlineStr">
        <is>
          <t>Beauty</t>
        </is>
      </c>
      <c r="G3093" s="2" t="inlineStr">
        <is>
          <t>North</t>
        </is>
      </c>
      <c r="H3093" s="2" t="inlineStr">
        <is>
          <t>Haryana</t>
        </is>
      </c>
      <c r="I3093" s="2" t="inlineStr">
        <is>
          <t>Faridabad</t>
        </is>
      </c>
      <c r="J3093" s="2" t="inlineStr">
        <is>
          <t>Online</t>
        </is>
      </c>
      <c r="K3093" s="2" t="n">
        <v>5</v>
      </c>
      <c r="L3093" s="3" t="n">
        <v>939.25</v>
      </c>
      <c r="M3093" s="4" t="n">
        <v>0.05</v>
      </c>
      <c r="N3093" s="3" t="n">
        <v>3430.94</v>
      </c>
      <c r="O3093" s="3">
        <f>K3093*L3093*(1-M3093)</f>
        <v/>
      </c>
      <c r="P3093" s="3">
        <f>O3093-N3093</f>
        <v/>
      </c>
      <c r="Q3093" s="5">
        <f>IFERROR(P3093/O3093,0)</f>
        <v/>
      </c>
      <c r="R3093" s="2">
        <f>TEXT(DATEVALUE(B3093),"mmm")</f>
        <v/>
      </c>
      <c r="S3093" s="2">
        <f>TEXT(DATEVALUE(B3093),"yyyy-mm")</f>
        <v/>
      </c>
    </row>
    <row r="3094">
      <c r="A3094" s="2" t="inlineStr">
        <is>
          <t>O003535</t>
        </is>
      </c>
      <c r="B3094" s="2" t="inlineStr">
        <is>
          <t>2025-08-13</t>
        </is>
      </c>
      <c r="C3094" s="2" t="inlineStr">
        <is>
          <t>C0568</t>
        </is>
      </c>
      <c r="D3094" s="2" t="inlineStr">
        <is>
          <t>P0008</t>
        </is>
      </c>
      <c r="E3094" s="2" t="inlineStr">
        <is>
          <t>Air Fryer</t>
        </is>
      </c>
      <c r="F3094" s="2" t="inlineStr">
        <is>
          <t>Home &amp; Kitchen</t>
        </is>
      </c>
      <c r="G3094" s="2" t="inlineStr">
        <is>
          <t>West</t>
        </is>
      </c>
      <c r="H3094" s="2" t="inlineStr">
        <is>
          <t>Maharashtra</t>
        </is>
      </c>
      <c r="I3094" s="2" t="inlineStr">
        <is>
          <t>Thane</t>
        </is>
      </c>
      <c r="J3094" s="2" t="inlineStr">
        <is>
          <t>Store</t>
        </is>
      </c>
      <c r="K3094" s="2" t="n">
        <v>2</v>
      </c>
      <c r="L3094" s="3" t="n">
        <v>1032.47</v>
      </c>
      <c r="M3094" s="4" t="n">
        <v>0</v>
      </c>
      <c r="N3094" s="3" t="n">
        <v>1355.05</v>
      </c>
      <c r="O3094" s="3">
        <f>K3094*L3094*(1-M3094)</f>
        <v/>
      </c>
      <c r="P3094" s="3">
        <f>O3094-N3094</f>
        <v/>
      </c>
      <c r="Q3094" s="5">
        <f>IFERROR(P3094/O3094,0)</f>
        <v/>
      </c>
      <c r="R3094" s="2">
        <f>TEXT(DATEVALUE(B3094),"mmm")</f>
        <v/>
      </c>
      <c r="S3094" s="2">
        <f>TEXT(DATEVALUE(B3094),"yyyy-mm")</f>
        <v/>
      </c>
    </row>
    <row r="3095">
      <c r="A3095" s="2" t="inlineStr">
        <is>
          <t>O003309</t>
        </is>
      </c>
      <c r="B3095" s="2" t="inlineStr">
        <is>
          <t>2025-08-13</t>
        </is>
      </c>
      <c r="C3095" s="2" t="inlineStr">
        <is>
          <t>C0576</t>
        </is>
      </c>
      <c r="D3095" s="2" t="inlineStr">
        <is>
          <t>P0026</t>
        </is>
      </c>
      <c r="E3095" s="2" t="inlineStr">
        <is>
          <t>Shampoo</t>
        </is>
      </c>
      <c r="F3095" s="2" t="inlineStr">
        <is>
          <t>Beauty</t>
        </is>
      </c>
      <c r="G3095" s="2" t="inlineStr">
        <is>
          <t>South</t>
        </is>
      </c>
      <c r="H3095" s="2" t="inlineStr">
        <is>
          <t>Telangana</t>
        </is>
      </c>
      <c r="I3095" s="2" t="inlineStr">
        <is>
          <t>Warangal</t>
        </is>
      </c>
      <c r="J3095" s="2" t="inlineStr">
        <is>
          <t>Online</t>
        </is>
      </c>
      <c r="K3095" s="2" t="n">
        <v>2</v>
      </c>
      <c r="L3095" s="3" t="n">
        <v>880.0700000000001</v>
      </c>
      <c r="M3095" s="4" t="n">
        <v>0.05</v>
      </c>
      <c r="N3095" s="3" t="n">
        <v>1039.13</v>
      </c>
      <c r="O3095" s="3">
        <f>K3095*L3095*(1-M3095)</f>
        <v/>
      </c>
      <c r="P3095" s="3">
        <f>O3095-N3095</f>
        <v/>
      </c>
      <c r="Q3095" s="5">
        <f>IFERROR(P3095/O3095,0)</f>
        <v/>
      </c>
      <c r="R3095" s="2">
        <f>TEXT(DATEVALUE(B3095),"mmm")</f>
        <v/>
      </c>
      <c r="S3095" s="2">
        <f>TEXT(DATEVALUE(B3095),"yyyy-mm")</f>
        <v/>
      </c>
    </row>
    <row r="3096">
      <c r="A3096" s="2" t="inlineStr">
        <is>
          <t>O003096</t>
        </is>
      </c>
      <c r="B3096" s="2" t="inlineStr">
        <is>
          <t>2025-08-13</t>
        </is>
      </c>
      <c r="C3096" s="2" t="inlineStr">
        <is>
          <t>C0581</t>
        </is>
      </c>
      <c r="D3096" s="2" t="inlineStr">
        <is>
          <t>P0004</t>
        </is>
      </c>
      <c r="E3096" s="2" t="inlineStr">
        <is>
          <t>USB-C Hub</t>
        </is>
      </c>
      <c r="F3096" s="2" t="inlineStr">
        <is>
          <t>Electronics</t>
        </is>
      </c>
      <c r="G3096" s="2" t="inlineStr">
        <is>
          <t>North</t>
        </is>
      </c>
      <c r="H3096" s="2" t="inlineStr">
        <is>
          <t>Haryana</t>
        </is>
      </c>
      <c r="I3096" s="2" t="inlineStr">
        <is>
          <t>Faridabad</t>
        </is>
      </c>
      <c r="J3096" s="2" t="inlineStr">
        <is>
          <t>Store</t>
        </is>
      </c>
      <c r="K3096" s="2" t="n">
        <v>4</v>
      </c>
      <c r="L3096" s="3" t="n">
        <v>1313.55</v>
      </c>
      <c r="M3096" s="4" t="n">
        <v>0.05</v>
      </c>
      <c r="N3096" s="3" t="n">
        <v>3706.52</v>
      </c>
      <c r="O3096" s="3">
        <f>K3096*L3096*(1-M3096)</f>
        <v/>
      </c>
      <c r="P3096" s="3">
        <f>O3096-N3096</f>
        <v/>
      </c>
      <c r="Q3096" s="5">
        <f>IFERROR(P3096/O3096,0)</f>
        <v/>
      </c>
      <c r="R3096" s="2">
        <f>TEXT(DATEVALUE(B3096),"mmm")</f>
        <v/>
      </c>
      <c r="S3096" s="2">
        <f>TEXT(DATEVALUE(B3096),"yyyy-mm")</f>
        <v/>
      </c>
    </row>
    <row r="3097">
      <c r="A3097" s="2" t="inlineStr">
        <is>
          <t>O001939</t>
        </is>
      </c>
      <c r="B3097" s="2" t="inlineStr">
        <is>
          <t>2025-08-13</t>
        </is>
      </c>
      <c r="C3097" s="2" t="inlineStr">
        <is>
          <t>C0041</t>
        </is>
      </c>
      <c r="D3097" s="2" t="inlineStr">
        <is>
          <t>P0014</t>
        </is>
      </c>
      <c r="E3097" s="2" t="inlineStr">
        <is>
          <t>Coffee Maker</t>
        </is>
      </c>
      <c r="F3097" s="2" t="inlineStr">
        <is>
          <t>Home &amp; Kitchen</t>
        </is>
      </c>
      <c r="G3097" s="2" t="inlineStr">
        <is>
          <t>North</t>
        </is>
      </c>
      <c r="H3097" s="2" t="inlineStr">
        <is>
          <t>Punjab</t>
        </is>
      </c>
      <c r="I3097" s="2" t="inlineStr">
        <is>
          <t>Amritsar</t>
        </is>
      </c>
      <c r="J3097" s="2" t="inlineStr">
        <is>
          <t>Online</t>
        </is>
      </c>
      <c r="K3097" s="2" t="n">
        <v>1</v>
      </c>
      <c r="L3097" s="3" t="n">
        <v>1061.87</v>
      </c>
      <c r="M3097" s="4" t="n">
        <v>0.15</v>
      </c>
      <c r="N3097" s="3" t="n">
        <v>767.95</v>
      </c>
      <c r="O3097" s="3">
        <f>K3097*L3097*(1-M3097)</f>
        <v/>
      </c>
      <c r="P3097" s="3">
        <f>O3097-N3097</f>
        <v/>
      </c>
      <c r="Q3097" s="5">
        <f>IFERROR(P3097/O3097,0)</f>
        <v/>
      </c>
      <c r="R3097" s="2">
        <f>TEXT(DATEVALUE(B3097),"mmm")</f>
        <v/>
      </c>
      <c r="S3097" s="2">
        <f>TEXT(DATEVALUE(B3097),"yyyy-mm")</f>
        <v/>
      </c>
    </row>
    <row r="3098">
      <c r="A3098" s="2" t="inlineStr">
        <is>
          <t>O001825</t>
        </is>
      </c>
      <c r="B3098" s="2" t="inlineStr">
        <is>
          <t>2025-08-13</t>
        </is>
      </c>
      <c r="C3098" s="2" t="inlineStr">
        <is>
          <t>C0216</t>
        </is>
      </c>
      <c r="D3098" s="2" t="inlineStr">
        <is>
          <t>P0022</t>
        </is>
      </c>
      <c r="E3098" s="2" t="inlineStr">
        <is>
          <t>Face Wash</t>
        </is>
      </c>
      <c r="F3098" s="2" t="inlineStr">
        <is>
          <t>Beauty</t>
        </is>
      </c>
      <c r="G3098" s="2" t="inlineStr">
        <is>
          <t>South</t>
        </is>
      </c>
      <c r="H3098" s="2" t="inlineStr">
        <is>
          <t>Tamil Nadu</t>
        </is>
      </c>
      <c r="I3098" s="2" t="inlineStr">
        <is>
          <t>Madurai</t>
        </is>
      </c>
      <c r="J3098" s="2" t="inlineStr">
        <is>
          <t>Store</t>
        </is>
      </c>
      <c r="K3098" s="2" t="n">
        <v>3</v>
      </c>
      <c r="L3098" s="3" t="n">
        <v>540.22</v>
      </c>
      <c r="M3098" s="4" t="n">
        <v>0.15</v>
      </c>
      <c r="N3098" s="3" t="n">
        <v>1052.05</v>
      </c>
      <c r="O3098" s="3">
        <f>K3098*L3098*(1-M3098)</f>
        <v/>
      </c>
      <c r="P3098" s="3">
        <f>O3098-N3098</f>
        <v/>
      </c>
      <c r="Q3098" s="5">
        <f>IFERROR(P3098/O3098,0)</f>
        <v/>
      </c>
      <c r="R3098" s="2">
        <f>TEXT(DATEVALUE(B3098),"mmm")</f>
        <v/>
      </c>
      <c r="S3098" s="2">
        <f>TEXT(DATEVALUE(B3098),"yyyy-mm")</f>
        <v/>
      </c>
    </row>
    <row r="3099">
      <c r="A3099" s="2" t="inlineStr">
        <is>
          <t>O001068</t>
        </is>
      </c>
      <c r="B3099" s="2" t="inlineStr">
        <is>
          <t>2025-08-13</t>
        </is>
      </c>
      <c r="C3099" s="2" t="inlineStr">
        <is>
          <t>C0051</t>
        </is>
      </c>
      <c r="D3099" s="2" t="inlineStr">
        <is>
          <t>P0023</t>
        </is>
      </c>
      <c r="E3099" s="2" t="inlineStr">
        <is>
          <t>Skin Care Kit</t>
        </is>
      </c>
      <c r="F3099" s="2" t="inlineStr">
        <is>
          <t>Beauty</t>
        </is>
      </c>
      <c r="G3099" s="2" t="inlineStr">
        <is>
          <t>West</t>
        </is>
      </c>
      <c r="H3099" s="2" t="inlineStr">
        <is>
          <t>Goa</t>
        </is>
      </c>
      <c r="I3099" s="2" t="inlineStr">
        <is>
          <t>Panaji</t>
        </is>
      </c>
      <c r="J3099" s="2" t="inlineStr">
        <is>
          <t>Online</t>
        </is>
      </c>
      <c r="K3099" s="2" t="n">
        <v>1</v>
      </c>
      <c r="L3099" s="3" t="n">
        <v>1407.22</v>
      </c>
      <c r="M3099" s="4" t="n">
        <v>0.15</v>
      </c>
      <c r="N3099" s="3" t="n">
        <v>874.95</v>
      </c>
      <c r="O3099" s="3">
        <f>K3099*L3099*(1-M3099)</f>
        <v/>
      </c>
      <c r="P3099" s="3">
        <f>O3099-N3099</f>
        <v/>
      </c>
      <c r="Q3099" s="5">
        <f>IFERROR(P3099/O3099,0)</f>
        <v/>
      </c>
      <c r="R3099" s="2">
        <f>TEXT(DATEVALUE(B3099),"mmm")</f>
        <v/>
      </c>
      <c r="S3099" s="2">
        <f>TEXT(DATEVALUE(B3099),"yyyy-mm")</f>
        <v/>
      </c>
    </row>
    <row r="3100">
      <c r="A3100" s="2" t="inlineStr">
        <is>
          <t>O000987</t>
        </is>
      </c>
      <c r="B3100" s="2" t="inlineStr">
        <is>
          <t>2025-08-13</t>
        </is>
      </c>
      <c r="C3100" s="2" t="inlineStr">
        <is>
          <t>C0456</t>
        </is>
      </c>
      <c r="D3100" s="2" t="inlineStr">
        <is>
          <t>P0025</t>
        </is>
      </c>
      <c r="E3100" s="2" t="inlineStr">
        <is>
          <t>Perfume</t>
        </is>
      </c>
      <c r="F3100" s="2" t="inlineStr">
        <is>
          <t>Beauty</t>
        </is>
      </c>
      <c r="G3100" s="2" t="inlineStr">
        <is>
          <t>West</t>
        </is>
      </c>
      <c r="H3100" s="2" t="inlineStr">
        <is>
          <t>Gujarat</t>
        </is>
      </c>
      <c r="I3100" s="2" t="inlineStr">
        <is>
          <t>Vadodara</t>
        </is>
      </c>
      <c r="J3100" s="2" t="inlineStr">
        <is>
          <t>Online</t>
        </is>
      </c>
      <c r="K3100" s="2" t="n">
        <v>4</v>
      </c>
      <c r="L3100" s="3" t="n">
        <v>799.74</v>
      </c>
      <c r="M3100" s="4" t="n">
        <v>0</v>
      </c>
      <c r="N3100" s="3" t="n">
        <v>2389.75</v>
      </c>
      <c r="O3100" s="3">
        <f>K3100*L3100*(1-M3100)</f>
        <v/>
      </c>
      <c r="P3100" s="3">
        <f>O3100-N3100</f>
        <v/>
      </c>
      <c r="Q3100" s="5">
        <f>IFERROR(P3100/O3100,0)</f>
        <v/>
      </c>
      <c r="R3100" s="2">
        <f>TEXT(DATEVALUE(B3100),"mmm")</f>
        <v/>
      </c>
      <c r="S3100" s="2">
        <f>TEXT(DATEVALUE(B3100),"yyyy-mm")</f>
        <v/>
      </c>
    </row>
    <row r="3101">
      <c r="A3101" s="2" t="inlineStr">
        <is>
          <t>O000213</t>
        </is>
      </c>
      <c r="B3101" s="2" t="inlineStr">
        <is>
          <t>2025-08-13</t>
        </is>
      </c>
      <c r="C3101" s="2" t="inlineStr">
        <is>
          <t>C0084</t>
        </is>
      </c>
      <c r="D3101" s="2" t="inlineStr">
        <is>
          <t>P0013</t>
        </is>
      </c>
      <c r="E3101" s="2" t="inlineStr">
        <is>
          <t>Storage Organizer</t>
        </is>
      </c>
      <c r="F3101" s="2" t="inlineStr">
        <is>
          <t>Home &amp; Kitchen</t>
        </is>
      </c>
      <c r="G3101" s="2" t="inlineStr">
        <is>
          <t>South</t>
        </is>
      </c>
      <c r="H3101" s="2" t="inlineStr">
        <is>
          <t>Kerala</t>
        </is>
      </c>
      <c r="I3101" s="2" t="inlineStr">
        <is>
          <t>Kochi</t>
        </is>
      </c>
      <c r="J3101" s="2" t="inlineStr">
        <is>
          <t>Online</t>
        </is>
      </c>
      <c r="K3101" s="2" t="n">
        <v>3</v>
      </c>
      <c r="L3101" s="3" t="n">
        <v>593.9</v>
      </c>
      <c r="M3101" s="4" t="n">
        <v>0</v>
      </c>
      <c r="N3101" s="3" t="n">
        <v>1099.98</v>
      </c>
      <c r="O3101" s="3">
        <f>K3101*L3101*(1-M3101)</f>
        <v/>
      </c>
      <c r="P3101" s="3">
        <f>O3101-N3101</f>
        <v/>
      </c>
      <c r="Q3101" s="5">
        <f>IFERROR(P3101/O3101,0)</f>
        <v/>
      </c>
      <c r="R3101" s="2">
        <f>TEXT(DATEVALUE(B3101),"mmm")</f>
        <v/>
      </c>
      <c r="S3101" s="2">
        <f>TEXT(DATEVALUE(B3101),"yyyy-mm")</f>
        <v/>
      </c>
    </row>
    <row r="3102">
      <c r="A3102" s="2" t="inlineStr">
        <is>
          <t>O000186</t>
        </is>
      </c>
      <c r="B3102" s="2" t="inlineStr">
        <is>
          <t>2025-08-13</t>
        </is>
      </c>
      <c r="C3102" s="2" t="inlineStr">
        <is>
          <t>C0034</t>
        </is>
      </c>
      <c r="D3102" s="2" t="inlineStr">
        <is>
          <t>P0026</t>
        </is>
      </c>
      <c r="E3102" s="2" t="inlineStr">
        <is>
          <t>Shampoo</t>
        </is>
      </c>
      <c r="F3102" s="2" t="inlineStr">
        <is>
          <t>Beauty</t>
        </is>
      </c>
      <c r="G3102" s="2" t="inlineStr">
        <is>
          <t>North</t>
        </is>
      </c>
      <c r="H3102" s="2" t="inlineStr">
        <is>
          <t>Delhi</t>
        </is>
      </c>
      <c r="I3102" s="2" t="inlineStr">
        <is>
          <t>New Delhi</t>
        </is>
      </c>
      <c r="J3102" s="2" t="inlineStr">
        <is>
          <t>Store</t>
        </is>
      </c>
      <c r="K3102" s="2" t="n">
        <v>3</v>
      </c>
      <c r="L3102" s="3" t="n">
        <v>852.37</v>
      </c>
      <c r="M3102" s="4" t="n">
        <v>0.05</v>
      </c>
      <c r="N3102" s="3" t="n">
        <v>1529.61</v>
      </c>
      <c r="O3102" s="3">
        <f>K3102*L3102*(1-M3102)</f>
        <v/>
      </c>
      <c r="P3102" s="3">
        <f>O3102-N3102</f>
        <v/>
      </c>
      <c r="Q3102" s="5">
        <f>IFERROR(P3102/O3102,0)</f>
        <v/>
      </c>
      <c r="R3102" s="2">
        <f>TEXT(DATEVALUE(B3102),"mmm")</f>
        <v/>
      </c>
      <c r="S3102" s="2">
        <f>TEXT(DATEVALUE(B3102),"yyyy-mm")</f>
        <v/>
      </c>
    </row>
    <row r="3103">
      <c r="A3103" s="2" t="inlineStr">
        <is>
          <t>O000175</t>
        </is>
      </c>
      <c r="B3103" s="2" t="inlineStr">
        <is>
          <t>2025-08-13</t>
        </is>
      </c>
      <c r="C3103" s="2" t="inlineStr">
        <is>
          <t>C0397</t>
        </is>
      </c>
      <c r="D3103" s="2" t="inlineStr">
        <is>
          <t>P0011</t>
        </is>
      </c>
      <c r="E3103" s="2" t="inlineStr">
        <is>
          <t>Cookware Set</t>
        </is>
      </c>
      <c r="F3103" s="2" t="inlineStr">
        <is>
          <t>Home &amp; Kitchen</t>
        </is>
      </c>
      <c r="G3103" s="2" t="inlineStr">
        <is>
          <t>West</t>
        </is>
      </c>
      <c r="H3103" s="2" t="inlineStr">
        <is>
          <t>Goa</t>
        </is>
      </c>
      <c r="I3103" s="2" t="inlineStr">
        <is>
          <t>Panaji</t>
        </is>
      </c>
      <c r="J3103" s="2" t="inlineStr">
        <is>
          <t>Online</t>
        </is>
      </c>
      <c r="K3103" s="2" t="n">
        <v>1</v>
      </c>
      <c r="L3103" s="3" t="n">
        <v>680.54</v>
      </c>
      <c r="M3103" s="4" t="n">
        <v>0.05</v>
      </c>
      <c r="N3103" s="3" t="n">
        <v>462.61</v>
      </c>
      <c r="O3103" s="3">
        <f>K3103*L3103*(1-M3103)</f>
        <v/>
      </c>
      <c r="P3103" s="3">
        <f>O3103-N3103</f>
        <v/>
      </c>
      <c r="Q3103" s="5">
        <f>IFERROR(P3103/O3103,0)</f>
        <v/>
      </c>
      <c r="R3103" s="2">
        <f>TEXT(DATEVALUE(B3103),"mmm")</f>
        <v/>
      </c>
      <c r="S3103" s="2">
        <f>TEXT(DATEVALUE(B3103),"yyyy-mm")</f>
        <v/>
      </c>
    </row>
    <row r="3104">
      <c r="A3104" s="2" t="inlineStr">
        <is>
          <t>O003862</t>
        </is>
      </c>
      <c r="B3104" s="2" t="inlineStr">
        <is>
          <t>2025-08-14</t>
        </is>
      </c>
      <c r="C3104" s="2" t="inlineStr">
        <is>
          <t>C0774</t>
        </is>
      </c>
      <c r="D3104" s="2" t="inlineStr">
        <is>
          <t>P0011</t>
        </is>
      </c>
      <c r="E3104" s="2" t="inlineStr">
        <is>
          <t>Cookware Set</t>
        </is>
      </c>
      <c r="F3104" s="2" t="inlineStr">
        <is>
          <t>Home &amp; Kitchen</t>
        </is>
      </c>
      <c r="G3104" s="2" t="inlineStr">
        <is>
          <t>East</t>
        </is>
      </c>
      <c r="H3104" s="2" t="inlineStr">
        <is>
          <t>West Bengal</t>
        </is>
      </c>
      <c r="I3104" s="2" t="inlineStr">
        <is>
          <t>Durgapur</t>
        </is>
      </c>
      <c r="J3104" s="2" t="inlineStr">
        <is>
          <t>Online</t>
        </is>
      </c>
      <c r="K3104" s="2" t="n">
        <v>2</v>
      </c>
      <c r="L3104" s="3" t="n">
        <v>675.14</v>
      </c>
      <c r="M3104" s="4" t="n">
        <v>0.05</v>
      </c>
      <c r="N3104" s="3" t="n">
        <v>951.74</v>
      </c>
      <c r="O3104" s="3">
        <f>K3104*L3104*(1-M3104)</f>
        <v/>
      </c>
      <c r="P3104" s="3">
        <f>O3104-N3104</f>
        <v/>
      </c>
      <c r="Q3104" s="5">
        <f>IFERROR(P3104/O3104,0)</f>
        <v/>
      </c>
      <c r="R3104" s="2">
        <f>TEXT(DATEVALUE(B3104),"mmm")</f>
        <v/>
      </c>
      <c r="S3104" s="2">
        <f>TEXT(DATEVALUE(B3104),"yyyy-mm")</f>
        <v/>
      </c>
    </row>
    <row r="3105">
      <c r="A3105" s="2" t="inlineStr">
        <is>
          <t>O003915</t>
        </is>
      </c>
      <c r="B3105" s="2" t="inlineStr">
        <is>
          <t>2025-08-14</t>
        </is>
      </c>
      <c r="C3105" s="2" t="inlineStr">
        <is>
          <t>C0593</t>
        </is>
      </c>
      <c r="D3105" s="2" t="inlineStr">
        <is>
          <t>P0022</t>
        </is>
      </c>
      <c r="E3105" s="2" t="inlineStr">
        <is>
          <t>Face Wash</t>
        </is>
      </c>
      <c r="F3105" s="2" t="inlineStr">
        <is>
          <t>Beauty</t>
        </is>
      </c>
      <c r="G3105" s="2" t="inlineStr">
        <is>
          <t>South</t>
        </is>
      </c>
      <c r="H3105" s="2" t="inlineStr">
        <is>
          <t>Kerala</t>
        </is>
      </c>
      <c r="I3105" s="2" t="inlineStr">
        <is>
          <t>Thiruvananthapuram</t>
        </is>
      </c>
      <c r="J3105" s="2" t="inlineStr">
        <is>
          <t>Online</t>
        </is>
      </c>
      <c r="K3105" s="2" t="n">
        <v>2</v>
      </c>
      <c r="L3105" s="3" t="n">
        <v>529.03</v>
      </c>
      <c r="M3105" s="4" t="n">
        <v>0.1</v>
      </c>
      <c r="N3105" s="3" t="n">
        <v>721.4</v>
      </c>
      <c r="O3105" s="3">
        <f>K3105*L3105*(1-M3105)</f>
        <v/>
      </c>
      <c r="P3105" s="3">
        <f>O3105-N3105</f>
        <v/>
      </c>
      <c r="Q3105" s="5">
        <f>IFERROR(P3105/O3105,0)</f>
        <v/>
      </c>
      <c r="R3105" s="2">
        <f>TEXT(DATEVALUE(B3105),"mmm")</f>
        <v/>
      </c>
      <c r="S3105" s="2">
        <f>TEXT(DATEVALUE(B3105),"yyyy-mm")</f>
        <v/>
      </c>
    </row>
    <row r="3106">
      <c r="A3106" s="2" t="inlineStr">
        <is>
          <t>O003035</t>
        </is>
      </c>
      <c r="B3106" s="2" t="inlineStr">
        <is>
          <t>2025-08-14</t>
        </is>
      </c>
      <c r="C3106" s="2" t="inlineStr">
        <is>
          <t>C0255</t>
        </is>
      </c>
      <c r="D3106" s="2" t="inlineStr">
        <is>
          <t>P0021</t>
        </is>
      </c>
      <c r="E3106" s="2" t="inlineStr">
        <is>
          <t>Wallet</t>
        </is>
      </c>
      <c r="F3106" s="2" t="inlineStr">
        <is>
          <t>Fashion</t>
        </is>
      </c>
      <c r="G3106" s="2" t="inlineStr">
        <is>
          <t>West</t>
        </is>
      </c>
      <c r="H3106" s="2" t="inlineStr">
        <is>
          <t>Goa</t>
        </is>
      </c>
      <c r="I3106" s="2" t="inlineStr">
        <is>
          <t>Panaji</t>
        </is>
      </c>
      <c r="J3106" s="2" t="inlineStr">
        <is>
          <t>Online</t>
        </is>
      </c>
      <c r="K3106" s="2" t="n">
        <v>1</v>
      </c>
      <c r="L3106" s="3" t="n">
        <v>2053.96</v>
      </c>
      <c r="M3106" s="4" t="n">
        <v>0.1</v>
      </c>
      <c r="N3106" s="3" t="n">
        <v>1197.35</v>
      </c>
      <c r="O3106" s="3">
        <f>K3106*L3106*(1-M3106)</f>
        <v/>
      </c>
      <c r="P3106" s="3">
        <f>O3106-N3106</f>
        <v/>
      </c>
      <c r="Q3106" s="5">
        <f>IFERROR(P3106/O3106,0)</f>
        <v/>
      </c>
      <c r="R3106" s="2">
        <f>TEXT(DATEVALUE(B3106),"mmm")</f>
        <v/>
      </c>
      <c r="S3106" s="2">
        <f>TEXT(DATEVALUE(B3106),"yyyy-mm")</f>
        <v/>
      </c>
    </row>
    <row r="3107">
      <c r="A3107" s="2" t="inlineStr">
        <is>
          <t>O002600</t>
        </is>
      </c>
      <c r="B3107" s="2" t="inlineStr">
        <is>
          <t>2025-08-14</t>
        </is>
      </c>
      <c r="C3107" s="2" t="inlineStr">
        <is>
          <t>C0202</t>
        </is>
      </c>
      <c r="D3107" s="2" t="inlineStr">
        <is>
          <t>P0020</t>
        </is>
      </c>
      <c r="E3107" s="2" t="inlineStr">
        <is>
          <t>Sneakers</t>
        </is>
      </c>
      <c r="F3107" s="2" t="inlineStr">
        <is>
          <t>Fashion</t>
        </is>
      </c>
      <c r="G3107" s="2" t="inlineStr">
        <is>
          <t>South</t>
        </is>
      </c>
      <c r="H3107" s="2" t="inlineStr">
        <is>
          <t>Karnataka</t>
        </is>
      </c>
      <c r="I3107" s="2" t="inlineStr">
        <is>
          <t>Bengaluru</t>
        </is>
      </c>
      <c r="J3107" s="2" t="inlineStr">
        <is>
          <t>Online</t>
        </is>
      </c>
      <c r="K3107" s="2" t="n">
        <v>2</v>
      </c>
      <c r="L3107" s="3" t="n">
        <v>1956.57</v>
      </c>
      <c r="M3107" s="4" t="n">
        <v>0</v>
      </c>
      <c r="N3107" s="3" t="n">
        <v>2968.78</v>
      </c>
      <c r="O3107" s="3">
        <f>K3107*L3107*(1-M3107)</f>
        <v/>
      </c>
      <c r="P3107" s="3">
        <f>O3107-N3107</f>
        <v/>
      </c>
      <c r="Q3107" s="5">
        <f>IFERROR(P3107/O3107,0)</f>
        <v/>
      </c>
      <c r="R3107" s="2">
        <f>TEXT(DATEVALUE(B3107),"mmm")</f>
        <v/>
      </c>
      <c r="S3107" s="2">
        <f>TEXT(DATEVALUE(B3107),"yyyy-mm")</f>
        <v/>
      </c>
    </row>
    <row r="3108">
      <c r="A3108" s="2" t="inlineStr">
        <is>
          <t>O002345</t>
        </is>
      </c>
      <c r="B3108" s="2" t="inlineStr">
        <is>
          <t>2025-08-14</t>
        </is>
      </c>
      <c r="C3108" s="2" t="inlineStr">
        <is>
          <t>C0644</t>
        </is>
      </c>
      <c r="D3108" s="2" t="inlineStr">
        <is>
          <t>P0001</t>
        </is>
      </c>
      <c r="E3108" s="2" t="inlineStr">
        <is>
          <t>Wireless Headphones</t>
        </is>
      </c>
      <c r="F3108" s="2" t="inlineStr">
        <is>
          <t>Electronics</t>
        </is>
      </c>
      <c r="G3108" s="2" t="inlineStr">
        <is>
          <t>South</t>
        </is>
      </c>
      <c r="H3108" s="2" t="inlineStr">
        <is>
          <t>Karnataka</t>
        </is>
      </c>
      <c r="I3108" s="2" t="inlineStr">
        <is>
          <t>Mysuru</t>
        </is>
      </c>
      <c r="J3108" s="2" t="inlineStr">
        <is>
          <t>Online</t>
        </is>
      </c>
      <c r="K3108" s="2" t="n">
        <v>1</v>
      </c>
      <c r="L3108" s="3" t="n">
        <v>1343.65</v>
      </c>
      <c r="M3108" s="4" t="n">
        <v>0</v>
      </c>
      <c r="N3108" s="3" t="n">
        <v>712.88</v>
      </c>
      <c r="O3108" s="3">
        <f>K3108*L3108*(1-M3108)</f>
        <v/>
      </c>
      <c r="P3108" s="3">
        <f>O3108-N3108</f>
        <v/>
      </c>
      <c r="Q3108" s="5">
        <f>IFERROR(P3108/O3108,0)</f>
        <v/>
      </c>
      <c r="R3108" s="2">
        <f>TEXT(DATEVALUE(B3108),"mmm")</f>
        <v/>
      </c>
      <c r="S3108" s="2">
        <f>TEXT(DATEVALUE(B3108),"yyyy-mm")</f>
        <v/>
      </c>
    </row>
    <row r="3109">
      <c r="A3109" s="2" t="inlineStr">
        <is>
          <t>O002233</t>
        </is>
      </c>
      <c r="B3109" s="2" t="inlineStr">
        <is>
          <t>2025-08-14</t>
        </is>
      </c>
      <c r="C3109" s="2" t="inlineStr">
        <is>
          <t>C0762</t>
        </is>
      </c>
      <c r="D3109" s="2" t="inlineStr">
        <is>
          <t>P0014</t>
        </is>
      </c>
      <c r="E3109" s="2" t="inlineStr">
        <is>
          <t>Coffee Maker</t>
        </is>
      </c>
      <c r="F3109" s="2" t="inlineStr">
        <is>
          <t>Home &amp; Kitchen</t>
        </is>
      </c>
      <c r="G3109" s="2" t="inlineStr">
        <is>
          <t>West</t>
        </is>
      </c>
      <c r="H3109" s="2" t="inlineStr">
        <is>
          <t>Goa</t>
        </is>
      </c>
      <c r="I3109" s="2" t="inlineStr">
        <is>
          <t>Margao</t>
        </is>
      </c>
      <c r="J3109" s="2" t="inlineStr">
        <is>
          <t>Online</t>
        </is>
      </c>
      <c r="K3109" s="2" t="n">
        <v>3</v>
      </c>
      <c r="L3109" s="3" t="n">
        <v>1056.24</v>
      </c>
      <c r="M3109" s="4" t="n">
        <v>0.1</v>
      </c>
      <c r="N3109" s="3" t="n">
        <v>2231.09</v>
      </c>
      <c r="O3109" s="3">
        <f>K3109*L3109*(1-M3109)</f>
        <v/>
      </c>
      <c r="P3109" s="3">
        <f>O3109-N3109</f>
        <v/>
      </c>
      <c r="Q3109" s="5">
        <f>IFERROR(P3109/O3109,0)</f>
        <v/>
      </c>
      <c r="R3109" s="2">
        <f>TEXT(DATEVALUE(B3109),"mmm")</f>
        <v/>
      </c>
      <c r="S3109" s="2">
        <f>TEXT(DATEVALUE(B3109),"yyyy-mm")</f>
        <v/>
      </c>
    </row>
    <row r="3110">
      <c r="A3110" s="2" t="inlineStr">
        <is>
          <t>O001722</t>
        </is>
      </c>
      <c r="B3110" s="2" t="inlineStr">
        <is>
          <t>2025-08-14</t>
        </is>
      </c>
      <c r="C3110" s="2" t="inlineStr">
        <is>
          <t>C0651</t>
        </is>
      </c>
      <c r="D3110" s="2" t="inlineStr">
        <is>
          <t>P0012</t>
        </is>
      </c>
      <c r="E3110" s="2" t="inlineStr">
        <is>
          <t>Water Bottle</t>
        </is>
      </c>
      <c r="F3110" s="2" t="inlineStr">
        <is>
          <t>Home &amp; Kitchen</t>
        </is>
      </c>
      <c r="G3110" s="2" t="inlineStr">
        <is>
          <t>North</t>
        </is>
      </c>
      <c r="H3110" s="2" t="inlineStr">
        <is>
          <t>Delhi</t>
        </is>
      </c>
      <c r="I3110" s="2" t="inlineStr">
        <is>
          <t>New Delhi</t>
        </is>
      </c>
      <c r="J3110" s="2" t="inlineStr">
        <is>
          <t>Online</t>
        </is>
      </c>
      <c r="K3110" s="2" t="n">
        <v>3</v>
      </c>
      <c r="L3110" s="3" t="n">
        <v>938.35</v>
      </c>
      <c r="M3110" s="4" t="n">
        <v>0.05</v>
      </c>
      <c r="N3110" s="3" t="n">
        <v>1896.09</v>
      </c>
      <c r="O3110" s="3">
        <f>K3110*L3110*(1-M3110)</f>
        <v/>
      </c>
      <c r="P3110" s="3">
        <f>O3110-N3110</f>
        <v/>
      </c>
      <c r="Q3110" s="5">
        <f>IFERROR(P3110/O3110,0)</f>
        <v/>
      </c>
      <c r="R3110" s="2">
        <f>TEXT(DATEVALUE(B3110),"mmm")</f>
        <v/>
      </c>
      <c r="S3110" s="2">
        <f>TEXT(DATEVALUE(B3110),"yyyy-mm")</f>
        <v/>
      </c>
    </row>
    <row r="3111">
      <c r="A3111" s="2" t="inlineStr">
        <is>
          <t>O000790</t>
        </is>
      </c>
      <c r="B3111" s="2" t="inlineStr">
        <is>
          <t>2025-08-14</t>
        </is>
      </c>
      <c r="C3111" s="2" t="inlineStr">
        <is>
          <t>C0686</t>
        </is>
      </c>
      <c r="D3111" s="2" t="inlineStr">
        <is>
          <t>P0010</t>
        </is>
      </c>
      <c r="E3111" s="2" t="inlineStr">
        <is>
          <t>Mixer Grinder</t>
        </is>
      </c>
      <c r="F3111" s="2" t="inlineStr">
        <is>
          <t>Home &amp; Kitchen</t>
        </is>
      </c>
      <c r="G3111" s="2" t="inlineStr">
        <is>
          <t>West</t>
        </is>
      </c>
      <c r="H3111" s="2" t="inlineStr">
        <is>
          <t>Goa</t>
        </is>
      </c>
      <c r="I3111" s="2" t="inlineStr">
        <is>
          <t>Margao</t>
        </is>
      </c>
      <c r="J3111" s="2" t="inlineStr">
        <is>
          <t>Store</t>
        </is>
      </c>
      <c r="K3111" s="2" t="n">
        <v>1</v>
      </c>
      <c r="L3111" s="3" t="n">
        <v>1616.67</v>
      </c>
      <c r="M3111" s="4" t="n">
        <v>0.15</v>
      </c>
      <c r="N3111" s="3" t="n">
        <v>1072.5</v>
      </c>
      <c r="O3111" s="3">
        <f>K3111*L3111*(1-M3111)</f>
        <v/>
      </c>
      <c r="P3111" s="3">
        <f>O3111-N3111</f>
        <v/>
      </c>
      <c r="Q3111" s="5">
        <f>IFERROR(P3111/O3111,0)</f>
        <v/>
      </c>
      <c r="R3111" s="2">
        <f>TEXT(DATEVALUE(B3111),"mmm")</f>
        <v/>
      </c>
      <c r="S3111" s="2">
        <f>TEXT(DATEVALUE(B3111),"yyyy-mm")</f>
        <v/>
      </c>
    </row>
    <row r="3112">
      <c r="A3112" s="2" t="inlineStr">
        <is>
          <t>O001595</t>
        </is>
      </c>
      <c r="B3112" s="2" t="inlineStr">
        <is>
          <t>2025-08-14</t>
        </is>
      </c>
      <c r="C3112" s="2" t="inlineStr">
        <is>
          <t>C0644</t>
        </is>
      </c>
      <c r="D3112" s="2" t="inlineStr">
        <is>
          <t>P0034</t>
        </is>
      </c>
      <c r="E3112" s="2" t="inlineStr">
        <is>
          <t>Gym Gloves</t>
        </is>
      </c>
      <c r="F3112" s="2" t="inlineStr">
        <is>
          <t>Sports</t>
        </is>
      </c>
      <c r="G3112" s="2" t="inlineStr">
        <is>
          <t>North</t>
        </is>
      </c>
      <c r="H3112" s="2" t="inlineStr">
        <is>
          <t>Haryana</t>
        </is>
      </c>
      <c r="I3112" s="2" t="inlineStr">
        <is>
          <t>Gurugram</t>
        </is>
      </c>
      <c r="J3112" s="2" t="inlineStr">
        <is>
          <t>Store</t>
        </is>
      </c>
      <c r="K3112" s="2" t="n">
        <v>2</v>
      </c>
      <c r="L3112" s="3" t="n">
        <v>631.11</v>
      </c>
      <c r="M3112" s="4" t="n">
        <v>0.05</v>
      </c>
      <c r="N3112" s="3" t="n">
        <v>828.17</v>
      </c>
      <c r="O3112" s="3">
        <f>K3112*L3112*(1-M3112)</f>
        <v/>
      </c>
      <c r="P3112" s="3">
        <f>O3112-N3112</f>
        <v/>
      </c>
      <c r="Q3112" s="5">
        <f>IFERROR(P3112/O3112,0)</f>
        <v/>
      </c>
      <c r="R3112" s="2">
        <f>TEXT(DATEVALUE(B3112),"mmm")</f>
        <v/>
      </c>
      <c r="S3112" s="2">
        <f>TEXT(DATEVALUE(B3112),"yyyy-mm")</f>
        <v/>
      </c>
    </row>
    <row r="3113">
      <c r="A3113" s="2" t="inlineStr">
        <is>
          <t>O001556</t>
        </is>
      </c>
      <c r="B3113" s="2" t="inlineStr">
        <is>
          <t>2025-08-14</t>
        </is>
      </c>
      <c r="C3113" s="2" t="inlineStr">
        <is>
          <t>C0460</t>
        </is>
      </c>
      <c r="D3113" s="2" t="inlineStr">
        <is>
          <t>P0035</t>
        </is>
      </c>
      <c r="E3113" s="2" t="inlineStr">
        <is>
          <t>Skipping Rope</t>
        </is>
      </c>
      <c r="F3113" s="2" t="inlineStr">
        <is>
          <t>Sports</t>
        </is>
      </c>
      <c r="G3113" s="2" t="inlineStr">
        <is>
          <t>West</t>
        </is>
      </c>
      <c r="H3113" s="2" t="inlineStr">
        <is>
          <t>Gujarat</t>
        </is>
      </c>
      <c r="I3113" s="2" t="inlineStr">
        <is>
          <t>Vadodara</t>
        </is>
      </c>
      <c r="J3113" s="2" t="inlineStr">
        <is>
          <t>Online</t>
        </is>
      </c>
      <c r="K3113" s="2" t="n">
        <v>1</v>
      </c>
      <c r="L3113" s="3" t="n">
        <v>729.98</v>
      </c>
      <c r="M3113" s="4" t="n">
        <v>0.15</v>
      </c>
      <c r="N3113" s="3" t="n">
        <v>419.53</v>
      </c>
      <c r="O3113" s="3">
        <f>K3113*L3113*(1-M3113)</f>
        <v/>
      </c>
      <c r="P3113" s="3">
        <f>O3113-N3113</f>
        <v/>
      </c>
      <c r="Q3113" s="5">
        <f>IFERROR(P3113/O3113,0)</f>
        <v/>
      </c>
      <c r="R3113" s="2">
        <f>TEXT(DATEVALUE(B3113),"mmm")</f>
        <v/>
      </c>
      <c r="S3113" s="2">
        <f>TEXT(DATEVALUE(B3113),"yyyy-mm")</f>
        <v/>
      </c>
    </row>
    <row r="3114">
      <c r="A3114" s="2" t="inlineStr">
        <is>
          <t>O001542</t>
        </is>
      </c>
      <c r="B3114" s="2" t="inlineStr">
        <is>
          <t>2025-08-14</t>
        </is>
      </c>
      <c r="C3114" s="2" t="inlineStr">
        <is>
          <t>C0312</t>
        </is>
      </c>
      <c r="D3114" s="2" t="inlineStr">
        <is>
          <t>P0011</t>
        </is>
      </c>
      <c r="E3114" s="2" t="inlineStr">
        <is>
          <t>Cookware Set</t>
        </is>
      </c>
      <c r="F3114" s="2" t="inlineStr">
        <is>
          <t>Home &amp; Kitchen</t>
        </is>
      </c>
      <c r="G3114" s="2" t="inlineStr">
        <is>
          <t>East</t>
        </is>
      </c>
      <c r="H3114" s="2" t="inlineStr">
        <is>
          <t>Bihar</t>
        </is>
      </c>
      <c r="I3114" s="2" t="inlineStr">
        <is>
          <t>Gaya</t>
        </is>
      </c>
      <c r="J3114" s="2" t="inlineStr">
        <is>
          <t>Online</t>
        </is>
      </c>
      <c r="K3114" s="2" t="n">
        <v>3</v>
      </c>
      <c r="L3114" s="3" t="n">
        <v>727.8</v>
      </c>
      <c r="M3114" s="4" t="n">
        <v>0.05</v>
      </c>
      <c r="N3114" s="3" t="n">
        <v>1368.07</v>
      </c>
      <c r="O3114" s="3">
        <f>K3114*L3114*(1-M3114)</f>
        <v/>
      </c>
      <c r="P3114" s="3">
        <f>O3114-N3114</f>
        <v/>
      </c>
      <c r="Q3114" s="5">
        <f>IFERROR(P3114/O3114,0)</f>
        <v/>
      </c>
      <c r="R3114" s="2">
        <f>TEXT(DATEVALUE(B3114),"mmm")</f>
        <v/>
      </c>
      <c r="S3114" s="2">
        <f>TEXT(DATEVALUE(B3114),"yyyy-mm")</f>
        <v/>
      </c>
    </row>
    <row r="3115">
      <c r="A3115" s="2" t="inlineStr">
        <is>
          <t>O001302</t>
        </is>
      </c>
      <c r="B3115" s="2" t="inlineStr">
        <is>
          <t>2025-08-14</t>
        </is>
      </c>
      <c r="C3115" s="2" t="inlineStr">
        <is>
          <t>C0705</t>
        </is>
      </c>
      <c r="D3115" s="2" t="inlineStr">
        <is>
          <t>P0023</t>
        </is>
      </c>
      <c r="E3115" s="2" t="inlineStr">
        <is>
          <t>Skin Care Kit</t>
        </is>
      </c>
      <c r="F3115" s="2" t="inlineStr">
        <is>
          <t>Beauty</t>
        </is>
      </c>
      <c r="G3115" s="2" t="inlineStr">
        <is>
          <t>West</t>
        </is>
      </c>
      <c r="H3115" s="2" t="inlineStr">
        <is>
          <t>Maharashtra</t>
        </is>
      </c>
      <c r="I3115" s="2" t="inlineStr">
        <is>
          <t>Nashik</t>
        </is>
      </c>
      <c r="J3115" s="2" t="inlineStr">
        <is>
          <t>Store</t>
        </is>
      </c>
      <c r="K3115" s="2" t="n">
        <v>3</v>
      </c>
      <c r="L3115" s="3" t="n">
        <v>1410.21</v>
      </c>
      <c r="M3115" s="4" t="n">
        <v>0.05</v>
      </c>
      <c r="N3115" s="3" t="n">
        <v>2593.19</v>
      </c>
      <c r="O3115" s="3">
        <f>K3115*L3115*(1-M3115)</f>
        <v/>
      </c>
      <c r="P3115" s="3">
        <f>O3115-N3115</f>
        <v/>
      </c>
      <c r="Q3115" s="5">
        <f>IFERROR(P3115/O3115,0)</f>
        <v/>
      </c>
      <c r="R3115" s="2">
        <f>TEXT(DATEVALUE(B3115),"mmm")</f>
        <v/>
      </c>
      <c r="S3115" s="2">
        <f>TEXT(DATEVALUE(B3115),"yyyy-mm")</f>
        <v/>
      </c>
    </row>
    <row r="3116">
      <c r="A3116" s="2" t="inlineStr">
        <is>
          <t>O000939</t>
        </is>
      </c>
      <c r="B3116" s="2" t="inlineStr">
        <is>
          <t>2025-08-14</t>
        </is>
      </c>
      <c r="C3116" s="2" t="inlineStr">
        <is>
          <t>C0800</t>
        </is>
      </c>
      <c r="D3116" s="2" t="inlineStr">
        <is>
          <t>P0022</t>
        </is>
      </c>
      <c r="E3116" s="2" t="inlineStr">
        <is>
          <t>Face Wash</t>
        </is>
      </c>
      <c r="F3116" s="2" t="inlineStr">
        <is>
          <t>Beauty</t>
        </is>
      </c>
      <c r="G3116" s="2" t="inlineStr">
        <is>
          <t>East</t>
        </is>
      </c>
      <c r="H3116" s="2" t="inlineStr">
        <is>
          <t>Odisha</t>
        </is>
      </c>
      <c r="I3116" s="2" t="inlineStr">
        <is>
          <t>Cuttack</t>
        </is>
      </c>
      <c r="J3116" s="2" t="inlineStr">
        <is>
          <t>Online</t>
        </is>
      </c>
      <c r="K3116" s="2" t="n">
        <v>2</v>
      </c>
      <c r="L3116" s="3" t="n">
        <v>572.8200000000001</v>
      </c>
      <c r="M3116" s="4" t="n">
        <v>0.05</v>
      </c>
      <c r="N3116" s="3" t="n">
        <v>702.49</v>
      </c>
      <c r="O3116" s="3">
        <f>K3116*L3116*(1-M3116)</f>
        <v/>
      </c>
      <c r="P3116" s="3">
        <f>O3116-N3116</f>
        <v/>
      </c>
      <c r="Q3116" s="5">
        <f>IFERROR(P3116/O3116,0)</f>
        <v/>
      </c>
      <c r="R3116" s="2">
        <f>TEXT(DATEVALUE(B3116),"mmm")</f>
        <v/>
      </c>
      <c r="S3116" s="2">
        <f>TEXT(DATEVALUE(B3116),"yyyy-mm")</f>
        <v/>
      </c>
    </row>
    <row r="3117">
      <c r="A3117" s="2" t="inlineStr">
        <is>
          <t>O000318</t>
        </is>
      </c>
      <c r="B3117" s="2" t="inlineStr">
        <is>
          <t>2025-08-14</t>
        </is>
      </c>
      <c r="C3117" s="2" t="inlineStr">
        <is>
          <t>C0043</t>
        </is>
      </c>
      <c r="D3117" s="2" t="inlineStr">
        <is>
          <t>P0018</t>
        </is>
      </c>
      <c r="E3117" s="2" t="inlineStr">
        <is>
          <t>Backpack</t>
        </is>
      </c>
      <c r="F3117" s="2" t="inlineStr">
        <is>
          <t>Fashion</t>
        </is>
      </c>
      <c r="G3117" s="2" t="inlineStr">
        <is>
          <t>West</t>
        </is>
      </c>
      <c r="H3117" s="2" t="inlineStr">
        <is>
          <t>Gujarat</t>
        </is>
      </c>
      <c r="I3117" s="2" t="inlineStr">
        <is>
          <t>Vadodara</t>
        </is>
      </c>
      <c r="J3117" s="2" t="inlineStr">
        <is>
          <t>Online</t>
        </is>
      </c>
      <c r="K3117" s="2" t="n">
        <v>1</v>
      </c>
      <c r="L3117" s="3" t="n">
        <v>1833.96</v>
      </c>
      <c r="M3117" s="4" t="n">
        <v>0.2</v>
      </c>
      <c r="N3117" s="3" t="n">
        <v>1334.97</v>
      </c>
      <c r="O3117" s="3">
        <f>K3117*L3117*(1-M3117)</f>
        <v/>
      </c>
      <c r="P3117" s="3">
        <f>O3117-N3117</f>
        <v/>
      </c>
      <c r="Q3117" s="5">
        <f>IFERROR(P3117/O3117,0)</f>
        <v/>
      </c>
      <c r="R3117" s="2">
        <f>TEXT(DATEVALUE(B3117),"mmm")</f>
        <v/>
      </c>
      <c r="S3117" s="2">
        <f>TEXT(DATEVALUE(B3117),"yyyy-mm")</f>
        <v/>
      </c>
    </row>
    <row r="3118">
      <c r="A3118" s="2" t="inlineStr">
        <is>
          <t>O001602</t>
        </is>
      </c>
      <c r="B3118" s="2" t="inlineStr">
        <is>
          <t>2025-08-14</t>
        </is>
      </c>
      <c r="C3118" s="2" t="inlineStr">
        <is>
          <t>C0647</t>
        </is>
      </c>
      <c r="D3118" s="2" t="inlineStr">
        <is>
          <t>P0028</t>
        </is>
      </c>
      <c r="E3118" s="2" t="inlineStr">
        <is>
          <t>Trimmer</t>
        </is>
      </c>
      <c r="F3118" s="2" t="inlineStr">
        <is>
          <t>Beauty</t>
        </is>
      </c>
      <c r="G3118" s="2" t="inlineStr">
        <is>
          <t>South</t>
        </is>
      </c>
      <c r="H3118" s="2" t="inlineStr">
        <is>
          <t>Kerala</t>
        </is>
      </c>
      <c r="I3118" s="2" t="inlineStr">
        <is>
          <t>Kochi</t>
        </is>
      </c>
      <c r="J3118" s="2" t="inlineStr">
        <is>
          <t>Store</t>
        </is>
      </c>
      <c r="K3118" s="2" t="n">
        <v>3</v>
      </c>
      <c r="L3118" s="3" t="n">
        <v>448.95</v>
      </c>
      <c r="M3118" s="4" t="n">
        <v>0.05</v>
      </c>
      <c r="N3118" s="3" t="n">
        <v>730.88</v>
      </c>
      <c r="O3118" s="3">
        <f>K3118*L3118*(1-M3118)</f>
        <v/>
      </c>
      <c r="P3118" s="3">
        <f>O3118-N3118</f>
        <v/>
      </c>
      <c r="Q3118" s="5">
        <f>IFERROR(P3118/O3118,0)</f>
        <v/>
      </c>
      <c r="R3118" s="2">
        <f>TEXT(DATEVALUE(B3118),"mmm")</f>
        <v/>
      </c>
      <c r="S3118" s="2">
        <f>TEXT(DATEVALUE(B3118),"yyyy-mm")</f>
        <v/>
      </c>
    </row>
    <row r="3119">
      <c r="A3119" s="2" t="inlineStr">
        <is>
          <t>O002508</t>
        </is>
      </c>
      <c r="B3119" s="2" t="inlineStr">
        <is>
          <t>2025-08-15</t>
        </is>
      </c>
      <c r="C3119" s="2" t="inlineStr">
        <is>
          <t>C0794</t>
        </is>
      </c>
      <c r="D3119" s="2" t="inlineStr">
        <is>
          <t>P0004</t>
        </is>
      </c>
      <c r="E3119" s="2" t="inlineStr">
        <is>
          <t>USB-C Hub</t>
        </is>
      </c>
      <c r="F3119" s="2" t="inlineStr">
        <is>
          <t>Electronics</t>
        </is>
      </c>
      <c r="G3119" s="2" t="inlineStr">
        <is>
          <t>North</t>
        </is>
      </c>
      <c r="H3119" s="2" t="inlineStr">
        <is>
          <t>Delhi</t>
        </is>
      </c>
      <c r="I3119" s="2" t="inlineStr">
        <is>
          <t>New Delhi</t>
        </is>
      </c>
      <c r="J3119" s="2" t="inlineStr">
        <is>
          <t>Store</t>
        </is>
      </c>
      <c r="K3119" s="2" t="n">
        <v>2</v>
      </c>
      <c r="L3119" s="3" t="n">
        <v>1246.26</v>
      </c>
      <c r="M3119" s="4" t="n">
        <v>0.2</v>
      </c>
      <c r="N3119" s="3" t="n">
        <v>1787.39</v>
      </c>
      <c r="O3119" s="3">
        <f>K3119*L3119*(1-M3119)</f>
        <v/>
      </c>
      <c r="P3119" s="3">
        <f>O3119-N3119</f>
        <v/>
      </c>
      <c r="Q3119" s="5">
        <f>IFERROR(P3119/O3119,0)</f>
        <v/>
      </c>
      <c r="R3119" s="2">
        <f>TEXT(DATEVALUE(B3119),"mmm")</f>
        <v/>
      </c>
      <c r="S3119" s="2">
        <f>TEXT(DATEVALUE(B3119),"yyyy-mm")</f>
        <v/>
      </c>
    </row>
    <row r="3120">
      <c r="A3120" s="2" t="inlineStr">
        <is>
          <t>O003781</t>
        </is>
      </c>
      <c r="B3120" s="2" t="inlineStr">
        <is>
          <t>2025-08-15</t>
        </is>
      </c>
      <c r="C3120" s="2" t="inlineStr">
        <is>
          <t>C0115</t>
        </is>
      </c>
      <c r="D3120" s="2" t="inlineStr">
        <is>
          <t>P0004</t>
        </is>
      </c>
      <c r="E3120" s="2" t="inlineStr">
        <is>
          <t>USB-C Hub</t>
        </is>
      </c>
      <c r="F3120" s="2" t="inlineStr">
        <is>
          <t>Electronics</t>
        </is>
      </c>
      <c r="G3120" s="2" t="inlineStr">
        <is>
          <t>North</t>
        </is>
      </c>
      <c r="H3120" s="2" t="inlineStr">
        <is>
          <t>Haryana</t>
        </is>
      </c>
      <c r="I3120" s="2" t="inlineStr">
        <is>
          <t>Faridabad</t>
        </is>
      </c>
      <c r="J3120" s="2" t="inlineStr">
        <is>
          <t>Online</t>
        </is>
      </c>
      <c r="K3120" s="2" t="n">
        <v>3</v>
      </c>
      <c r="L3120" s="3" t="n">
        <v>1254.62</v>
      </c>
      <c r="M3120" s="4" t="n">
        <v>0.05</v>
      </c>
      <c r="N3120" s="3" t="n">
        <v>2705.29</v>
      </c>
      <c r="O3120" s="3">
        <f>K3120*L3120*(1-M3120)</f>
        <v/>
      </c>
      <c r="P3120" s="3">
        <f>O3120-N3120</f>
        <v/>
      </c>
      <c r="Q3120" s="5">
        <f>IFERROR(P3120/O3120,0)</f>
        <v/>
      </c>
      <c r="R3120" s="2">
        <f>TEXT(DATEVALUE(B3120),"mmm")</f>
        <v/>
      </c>
      <c r="S3120" s="2">
        <f>TEXT(DATEVALUE(B3120),"yyyy-mm")</f>
        <v/>
      </c>
    </row>
    <row r="3121">
      <c r="A3121" s="2" t="inlineStr">
        <is>
          <t>O003746</t>
        </is>
      </c>
      <c r="B3121" s="2" t="inlineStr">
        <is>
          <t>2025-08-15</t>
        </is>
      </c>
      <c r="C3121" s="2" t="inlineStr">
        <is>
          <t>C0346</t>
        </is>
      </c>
      <c r="D3121" s="2" t="inlineStr">
        <is>
          <t>P0002</t>
        </is>
      </c>
      <c r="E3121" s="2" t="inlineStr">
        <is>
          <t>Bluetooth Speaker</t>
        </is>
      </c>
      <c r="F3121" s="2" t="inlineStr">
        <is>
          <t>Electronics</t>
        </is>
      </c>
      <c r="G3121" s="2" t="inlineStr">
        <is>
          <t>East</t>
        </is>
      </c>
      <c r="H3121" s="2" t="inlineStr">
        <is>
          <t>West Bengal</t>
        </is>
      </c>
      <c r="I3121" s="2" t="inlineStr">
        <is>
          <t>Durgapur</t>
        </is>
      </c>
      <c r="J3121" s="2" t="inlineStr">
        <is>
          <t>Store</t>
        </is>
      </c>
      <c r="K3121" s="2" t="n">
        <v>4</v>
      </c>
      <c r="L3121" s="3" t="n">
        <v>1342.01</v>
      </c>
      <c r="M3121" s="4" t="n">
        <v>0.15</v>
      </c>
      <c r="N3121" s="3" t="n">
        <v>3342.07</v>
      </c>
      <c r="O3121" s="3">
        <f>K3121*L3121*(1-M3121)</f>
        <v/>
      </c>
      <c r="P3121" s="3">
        <f>O3121-N3121</f>
        <v/>
      </c>
      <c r="Q3121" s="5">
        <f>IFERROR(P3121/O3121,0)</f>
        <v/>
      </c>
      <c r="R3121" s="2">
        <f>TEXT(DATEVALUE(B3121),"mmm")</f>
        <v/>
      </c>
      <c r="S3121" s="2">
        <f>TEXT(DATEVALUE(B3121),"yyyy-mm")</f>
        <v/>
      </c>
    </row>
    <row r="3122">
      <c r="A3122" s="2" t="inlineStr">
        <is>
          <t>O003146</t>
        </is>
      </c>
      <c r="B3122" s="2" t="inlineStr">
        <is>
          <t>2025-08-15</t>
        </is>
      </c>
      <c r="C3122" s="2" t="inlineStr">
        <is>
          <t>C0578</t>
        </is>
      </c>
      <c r="D3122" s="2" t="inlineStr">
        <is>
          <t>P0011</t>
        </is>
      </c>
      <c r="E3122" s="2" t="inlineStr">
        <is>
          <t>Cookware Set</t>
        </is>
      </c>
      <c r="F3122" s="2" t="inlineStr">
        <is>
          <t>Home &amp; Kitchen</t>
        </is>
      </c>
      <c r="G3122" s="2" t="inlineStr">
        <is>
          <t>West</t>
        </is>
      </c>
      <c r="H3122" s="2" t="inlineStr">
        <is>
          <t>Maharashtra</t>
        </is>
      </c>
      <c r="I3122" s="2" t="inlineStr">
        <is>
          <t>Nagpur</t>
        </is>
      </c>
      <c r="J3122" s="2" t="inlineStr">
        <is>
          <t>Online</t>
        </is>
      </c>
      <c r="K3122" s="2" t="n">
        <v>5</v>
      </c>
      <c r="L3122" s="3" t="n">
        <v>683.4</v>
      </c>
      <c r="M3122" s="4" t="n">
        <v>0.15</v>
      </c>
      <c r="N3122" s="3" t="n">
        <v>2298.01</v>
      </c>
      <c r="O3122" s="3">
        <f>K3122*L3122*(1-M3122)</f>
        <v/>
      </c>
      <c r="P3122" s="3">
        <f>O3122-N3122</f>
        <v/>
      </c>
      <c r="Q3122" s="5">
        <f>IFERROR(P3122/O3122,0)</f>
        <v/>
      </c>
      <c r="R3122" s="2">
        <f>TEXT(DATEVALUE(B3122),"mmm")</f>
        <v/>
      </c>
      <c r="S3122" s="2">
        <f>TEXT(DATEVALUE(B3122),"yyyy-mm")</f>
        <v/>
      </c>
    </row>
    <row r="3123">
      <c r="A3123" s="2" t="inlineStr">
        <is>
          <t>O003084</t>
        </is>
      </c>
      <c r="B3123" s="2" t="inlineStr">
        <is>
          <t>2025-08-15</t>
        </is>
      </c>
      <c r="C3123" s="2" t="inlineStr">
        <is>
          <t>C0497</t>
        </is>
      </c>
      <c r="D3123" s="2" t="inlineStr">
        <is>
          <t>P0026</t>
        </is>
      </c>
      <c r="E3123" s="2" t="inlineStr">
        <is>
          <t>Shampoo</t>
        </is>
      </c>
      <c r="F3123" s="2" t="inlineStr">
        <is>
          <t>Beauty</t>
        </is>
      </c>
      <c r="G3123" s="2" t="inlineStr">
        <is>
          <t>West</t>
        </is>
      </c>
      <c r="H3123" s="2" t="inlineStr">
        <is>
          <t>Maharashtra</t>
        </is>
      </c>
      <c r="I3123" s="2" t="inlineStr">
        <is>
          <t>Pune</t>
        </is>
      </c>
      <c r="J3123" s="2" t="inlineStr">
        <is>
          <t>Store</t>
        </is>
      </c>
      <c r="K3123" s="2" t="n">
        <v>4</v>
      </c>
      <c r="L3123" s="3" t="n">
        <v>857.6900000000001</v>
      </c>
      <c r="M3123" s="4" t="n">
        <v>0.05</v>
      </c>
      <c r="N3123" s="3" t="n">
        <v>2110.8</v>
      </c>
      <c r="O3123" s="3">
        <f>K3123*L3123*(1-M3123)</f>
        <v/>
      </c>
      <c r="P3123" s="3">
        <f>O3123-N3123</f>
        <v/>
      </c>
      <c r="Q3123" s="5">
        <f>IFERROR(P3123/O3123,0)</f>
        <v/>
      </c>
      <c r="R3123" s="2">
        <f>TEXT(DATEVALUE(B3123),"mmm")</f>
        <v/>
      </c>
      <c r="S3123" s="2">
        <f>TEXT(DATEVALUE(B3123),"yyyy-mm")</f>
        <v/>
      </c>
    </row>
    <row r="3124">
      <c r="A3124" s="2" t="inlineStr">
        <is>
          <t>O003025</t>
        </is>
      </c>
      <c r="B3124" s="2" t="inlineStr">
        <is>
          <t>2025-08-15</t>
        </is>
      </c>
      <c r="C3124" s="2" t="inlineStr">
        <is>
          <t>C0363</t>
        </is>
      </c>
      <c r="D3124" s="2" t="inlineStr">
        <is>
          <t>P0011</t>
        </is>
      </c>
      <c r="E3124" s="2" t="inlineStr">
        <is>
          <t>Cookware Set</t>
        </is>
      </c>
      <c r="F3124" s="2" t="inlineStr">
        <is>
          <t>Home &amp; Kitchen</t>
        </is>
      </c>
      <c r="G3124" s="2" t="inlineStr">
        <is>
          <t>West</t>
        </is>
      </c>
      <c r="H3124" s="2" t="inlineStr">
        <is>
          <t>Gujarat</t>
        </is>
      </c>
      <c r="I3124" s="2" t="inlineStr">
        <is>
          <t>Ahmedabad</t>
        </is>
      </c>
      <c r="J3124" s="2" t="inlineStr">
        <is>
          <t>Online</t>
        </is>
      </c>
      <c r="K3124" s="2" t="n">
        <v>3</v>
      </c>
      <c r="L3124" s="3" t="n">
        <v>718.28</v>
      </c>
      <c r="M3124" s="4" t="n">
        <v>0.1</v>
      </c>
      <c r="N3124" s="3" t="n">
        <v>1431.92</v>
      </c>
      <c r="O3124" s="3">
        <f>K3124*L3124*(1-M3124)</f>
        <v/>
      </c>
      <c r="P3124" s="3">
        <f>O3124-N3124</f>
        <v/>
      </c>
      <c r="Q3124" s="5">
        <f>IFERROR(P3124/O3124,0)</f>
        <v/>
      </c>
      <c r="R3124" s="2">
        <f>TEXT(DATEVALUE(B3124),"mmm")</f>
        <v/>
      </c>
      <c r="S3124" s="2">
        <f>TEXT(DATEVALUE(B3124),"yyyy-mm")</f>
        <v/>
      </c>
    </row>
    <row r="3125">
      <c r="A3125" s="2" t="inlineStr">
        <is>
          <t>O002956</t>
        </is>
      </c>
      <c r="B3125" s="2" t="inlineStr">
        <is>
          <t>2025-08-15</t>
        </is>
      </c>
      <c r="C3125" s="2" t="inlineStr">
        <is>
          <t>C0393</t>
        </is>
      </c>
      <c r="D3125" s="2" t="inlineStr">
        <is>
          <t>P0019</t>
        </is>
      </c>
      <c r="E3125" s="2" t="inlineStr">
        <is>
          <t>Jacket</t>
        </is>
      </c>
      <c r="F3125" s="2" t="inlineStr">
        <is>
          <t>Fashion</t>
        </is>
      </c>
      <c r="G3125" s="2" t="inlineStr">
        <is>
          <t>South</t>
        </is>
      </c>
      <c r="H3125" s="2" t="inlineStr">
        <is>
          <t>Tamil Nadu</t>
        </is>
      </c>
      <c r="I3125" s="2" t="inlineStr">
        <is>
          <t>Chennai</t>
        </is>
      </c>
      <c r="J3125" s="2" t="inlineStr">
        <is>
          <t>Online</t>
        </is>
      </c>
      <c r="K3125" s="2" t="n">
        <v>1</v>
      </c>
      <c r="L3125" s="3" t="n">
        <v>1069.95</v>
      </c>
      <c r="M3125" s="4" t="n">
        <v>0.15</v>
      </c>
      <c r="N3125" s="3" t="n">
        <v>693.72</v>
      </c>
      <c r="O3125" s="3">
        <f>K3125*L3125*(1-M3125)</f>
        <v/>
      </c>
      <c r="P3125" s="3">
        <f>O3125-N3125</f>
        <v/>
      </c>
      <c r="Q3125" s="5">
        <f>IFERROR(P3125/O3125,0)</f>
        <v/>
      </c>
      <c r="R3125" s="2">
        <f>TEXT(DATEVALUE(B3125),"mmm")</f>
        <v/>
      </c>
      <c r="S3125" s="2">
        <f>TEXT(DATEVALUE(B3125),"yyyy-mm")</f>
        <v/>
      </c>
    </row>
    <row r="3126">
      <c r="A3126" s="2" t="inlineStr">
        <is>
          <t>O002714</t>
        </is>
      </c>
      <c r="B3126" s="2" t="inlineStr">
        <is>
          <t>2025-08-15</t>
        </is>
      </c>
      <c r="C3126" s="2" t="inlineStr">
        <is>
          <t>C0639</t>
        </is>
      </c>
      <c r="D3126" s="2" t="inlineStr">
        <is>
          <t>P0022</t>
        </is>
      </c>
      <c r="E3126" s="2" t="inlineStr">
        <is>
          <t>Face Wash</t>
        </is>
      </c>
      <c r="F3126" s="2" t="inlineStr">
        <is>
          <t>Beauty</t>
        </is>
      </c>
      <c r="G3126" s="2" t="inlineStr">
        <is>
          <t>South</t>
        </is>
      </c>
      <c r="H3126" s="2" t="inlineStr">
        <is>
          <t>Telangana</t>
        </is>
      </c>
      <c r="I3126" s="2" t="inlineStr">
        <is>
          <t>Hyderabad</t>
        </is>
      </c>
      <c r="J3126" s="2" t="inlineStr">
        <is>
          <t>Store</t>
        </is>
      </c>
      <c r="K3126" s="2" t="n">
        <v>1</v>
      </c>
      <c r="L3126" s="3" t="n">
        <v>541.6799999999999</v>
      </c>
      <c r="M3126" s="4" t="n">
        <v>0.2</v>
      </c>
      <c r="N3126" s="3" t="n">
        <v>353.22</v>
      </c>
      <c r="O3126" s="3">
        <f>K3126*L3126*(1-M3126)</f>
        <v/>
      </c>
      <c r="P3126" s="3">
        <f>O3126-N3126</f>
        <v/>
      </c>
      <c r="Q3126" s="5">
        <f>IFERROR(P3126/O3126,0)</f>
        <v/>
      </c>
      <c r="R3126" s="2">
        <f>TEXT(DATEVALUE(B3126),"mmm")</f>
        <v/>
      </c>
      <c r="S3126" s="2">
        <f>TEXT(DATEVALUE(B3126),"yyyy-mm")</f>
        <v/>
      </c>
    </row>
    <row r="3127">
      <c r="A3127" s="2" t="inlineStr">
        <is>
          <t>O001714</t>
        </is>
      </c>
      <c r="B3127" s="2" t="inlineStr">
        <is>
          <t>2025-08-15</t>
        </is>
      </c>
      <c r="C3127" s="2" t="inlineStr">
        <is>
          <t>C0161</t>
        </is>
      </c>
      <c r="D3127" s="2" t="inlineStr">
        <is>
          <t>P0016</t>
        </is>
      </c>
      <c r="E3127" s="2" t="inlineStr">
        <is>
          <t>Casual Shirt</t>
        </is>
      </c>
      <c r="F3127" s="2" t="inlineStr">
        <is>
          <t>Fashion</t>
        </is>
      </c>
      <c r="G3127" s="2" t="inlineStr">
        <is>
          <t>South</t>
        </is>
      </c>
      <c r="H3127" s="2" t="inlineStr">
        <is>
          <t>Tamil Nadu</t>
        </is>
      </c>
      <c r="I3127" s="2" t="inlineStr">
        <is>
          <t>Coimbatore</t>
        </is>
      </c>
      <c r="J3127" s="2" t="inlineStr">
        <is>
          <t>Store</t>
        </is>
      </c>
      <c r="K3127" s="2" t="n">
        <v>3</v>
      </c>
      <c r="L3127" s="3" t="n">
        <v>1285.56</v>
      </c>
      <c r="M3127" s="4" t="n">
        <v>0.15</v>
      </c>
      <c r="N3127" s="3" t="n">
        <v>2770.53</v>
      </c>
      <c r="O3127" s="3">
        <f>K3127*L3127*(1-M3127)</f>
        <v/>
      </c>
      <c r="P3127" s="3">
        <f>O3127-N3127</f>
        <v/>
      </c>
      <c r="Q3127" s="5">
        <f>IFERROR(P3127/O3127,0)</f>
        <v/>
      </c>
      <c r="R3127" s="2">
        <f>TEXT(DATEVALUE(B3127),"mmm")</f>
        <v/>
      </c>
      <c r="S3127" s="2">
        <f>TEXT(DATEVALUE(B3127),"yyyy-mm")</f>
        <v/>
      </c>
    </row>
    <row r="3128">
      <c r="A3128" s="2" t="inlineStr">
        <is>
          <t>O000903</t>
        </is>
      </c>
      <c r="B3128" s="2" t="inlineStr">
        <is>
          <t>2025-08-15</t>
        </is>
      </c>
      <c r="C3128" s="2" t="inlineStr">
        <is>
          <t>C0188</t>
        </is>
      </c>
      <c r="D3128" s="2" t="inlineStr">
        <is>
          <t>P0022</t>
        </is>
      </c>
      <c r="E3128" s="2" t="inlineStr">
        <is>
          <t>Face Wash</t>
        </is>
      </c>
      <c r="F3128" s="2" t="inlineStr">
        <is>
          <t>Beauty</t>
        </is>
      </c>
      <c r="G3128" s="2" t="inlineStr">
        <is>
          <t>North</t>
        </is>
      </c>
      <c r="H3128" s="2" t="inlineStr">
        <is>
          <t>Uttar Pradesh</t>
        </is>
      </c>
      <c r="I3128" s="2" t="inlineStr">
        <is>
          <t>Lucknow</t>
        </is>
      </c>
      <c r="J3128" s="2" t="inlineStr">
        <is>
          <t>Store</t>
        </is>
      </c>
      <c r="K3128" s="2" t="n">
        <v>1</v>
      </c>
      <c r="L3128" s="3" t="n">
        <v>540.87</v>
      </c>
      <c r="M3128" s="4" t="n">
        <v>0</v>
      </c>
      <c r="N3128" s="3" t="n">
        <v>354.7</v>
      </c>
      <c r="O3128" s="3">
        <f>K3128*L3128*(1-M3128)</f>
        <v/>
      </c>
      <c r="P3128" s="3">
        <f>O3128-N3128</f>
        <v/>
      </c>
      <c r="Q3128" s="5">
        <f>IFERROR(P3128/O3128,0)</f>
        <v/>
      </c>
      <c r="R3128" s="2">
        <f>TEXT(DATEVALUE(B3128),"mmm")</f>
        <v/>
      </c>
      <c r="S3128" s="2">
        <f>TEXT(DATEVALUE(B3128),"yyyy-mm")</f>
        <v/>
      </c>
    </row>
    <row r="3129">
      <c r="A3129" s="2" t="inlineStr">
        <is>
          <t>O001503</t>
        </is>
      </c>
      <c r="B3129" s="2" t="inlineStr">
        <is>
          <t>2025-08-15</t>
        </is>
      </c>
      <c r="C3129" s="2" t="inlineStr">
        <is>
          <t>C0390</t>
        </is>
      </c>
      <c r="D3129" s="2" t="inlineStr">
        <is>
          <t>P0021</t>
        </is>
      </c>
      <c r="E3129" s="2" t="inlineStr">
        <is>
          <t>Wallet</t>
        </is>
      </c>
      <c r="F3129" s="2" t="inlineStr">
        <is>
          <t>Fashion</t>
        </is>
      </c>
      <c r="G3129" s="2" t="inlineStr">
        <is>
          <t>East</t>
        </is>
      </c>
      <c r="H3129" s="2" t="inlineStr">
        <is>
          <t>Odisha</t>
        </is>
      </c>
      <c r="I3129" s="2" t="inlineStr">
        <is>
          <t>Cuttack</t>
        </is>
      </c>
      <c r="J3129" s="2" t="inlineStr">
        <is>
          <t>Online</t>
        </is>
      </c>
      <c r="K3129" s="2" t="n">
        <v>1</v>
      </c>
      <c r="L3129" s="3" t="n">
        <v>2024.41</v>
      </c>
      <c r="M3129" s="4" t="n">
        <v>0.15</v>
      </c>
      <c r="N3129" s="3" t="n">
        <v>1216.93</v>
      </c>
      <c r="O3129" s="3">
        <f>K3129*L3129*(1-M3129)</f>
        <v/>
      </c>
      <c r="P3129" s="3">
        <f>O3129-N3129</f>
        <v/>
      </c>
      <c r="Q3129" s="5">
        <f>IFERROR(P3129/O3129,0)</f>
        <v/>
      </c>
      <c r="R3129" s="2">
        <f>TEXT(DATEVALUE(B3129),"mmm")</f>
        <v/>
      </c>
      <c r="S3129" s="2">
        <f>TEXT(DATEVALUE(B3129),"yyyy-mm")</f>
        <v/>
      </c>
    </row>
    <row r="3130">
      <c r="A3130" s="2" t="inlineStr">
        <is>
          <t>O001580</t>
        </is>
      </c>
      <c r="B3130" s="2" t="inlineStr">
        <is>
          <t>2025-08-15</t>
        </is>
      </c>
      <c r="C3130" s="2" t="inlineStr">
        <is>
          <t>C0582</t>
        </is>
      </c>
      <c r="D3130" s="2" t="inlineStr">
        <is>
          <t>P0003</t>
        </is>
      </c>
      <c r="E3130" s="2" t="inlineStr">
        <is>
          <t>Smartwatch</t>
        </is>
      </c>
      <c r="F3130" s="2" t="inlineStr">
        <is>
          <t>Electronics</t>
        </is>
      </c>
      <c r="G3130" s="2" t="inlineStr">
        <is>
          <t>North</t>
        </is>
      </c>
      <c r="H3130" s="2" t="inlineStr">
        <is>
          <t>Uttar Pradesh</t>
        </is>
      </c>
      <c r="I3130" s="2" t="inlineStr">
        <is>
          <t>Lucknow</t>
        </is>
      </c>
      <c r="J3130" s="2" t="inlineStr">
        <is>
          <t>Online</t>
        </is>
      </c>
      <c r="K3130" s="2" t="n">
        <v>6</v>
      </c>
      <c r="L3130" s="3" t="n">
        <v>2339.38</v>
      </c>
      <c r="M3130" s="4" t="n">
        <v>0.05</v>
      </c>
      <c r="N3130" s="3" t="n">
        <v>7067.74</v>
      </c>
      <c r="O3130" s="3">
        <f>K3130*L3130*(1-M3130)</f>
        <v/>
      </c>
      <c r="P3130" s="3">
        <f>O3130-N3130</f>
        <v/>
      </c>
      <c r="Q3130" s="5">
        <f>IFERROR(P3130/O3130,0)</f>
        <v/>
      </c>
      <c r="R3130" s="2">
        <f>TEXT(DATEVALUE(B3130),"mmm")</f>
        <v/>
      </c>
      <c r="S3130" s="2">
        <f>TEXT(DATEVALUE(B3130),"yyyy-mm")</f>
        <v/>
      </c>
    </row>
    <row r="3131">
      <c r="A3131" s="2" t="inlineStr">
        <is>
          <t>O000125</t>
        </is>
      </c>
      <c r="B3131" s="2" t="inlineStr">
        <is>
          <t>2025-08-15</t>
        </is>
      </c>
      <c r="C3131" s="2" t="inlineStr">
        <is>
          <t>C0062</t>
        </is>
      </c>
      <c r="D3131" s="2" t="inlineStr">
        <is>
          <t>P0017</t>
        </is>
      </c>
      <c r="E3131" s="2" t="inlineStr">
        <is>
          <t>Jeans</t>
        </is>
      </c>
      <c r="F3131" s="2" t="inlineStr">
        <is>
          <t>Fashion</t>
        </is>
      </c>
      <c r="G3131" s="2" t="inlineStr">
        <is>
          <t>West</t>
        </is>
      </c>
      <c r="H3131" s="2" t="inlineStr">
        <is>
          <t>Gujarat</t>
        </is>
      </c>
      <c r="I3131" s="2" t="inlineStr">
        <is>
          <t>Vadodara</t>
        </is>
      </c>
      <c r="J3131" s="2" t="inlineStr">
        <is>
          <t>Online</t>
        </is>
      </c>
      <c r="K3131" s="2" t="n">
        <v>1</v>
      </c>
      <c r="L3131" s="3" t="n">
        <v>1553.66</v>
      </c>
      <c r="M3131" s="4" t="n">
        <v>0.1</v>
      </c>
      <c r="N3131" s="3" t="n">
        <v>1008.41</v>
      </c>
      <c r="O3131" s="3">
        <f>K3131*L3131*(1-M3131)</f>
        <v/>
      </c>
      <c r="P3131" s="3">
        <f>O3131-N3131</f>
        <v/>
      </c>
      <c r="Q3131" s="5">
        <f>IFERROR(P3131/O3131,0)</f>
        <v/>
      </c>
      <c r="R3131" s="2">
        <f>TEXT(DATEVALUE(B3131),"mmm")</f>
        <v/>
      </c>
      <c r="S3131" s="2">
        <f>TEXT(DATEVALUE(B3131),"yyyy-mm")</f>
        <v/>
      </c>
    </row>
    <row r="3132">
      <c r="A3132" s="2" t="inlineStr">
        <is>
          <t>O000287</t>
        </is>
      </c>
      <c r="B3132" s="2" t="inlineStr">
        <is>
          <t>2025-08-15</t>
        </is>
      </c>
      <c r="C3132" s="2" t="inlineStr">
        <is>
          <t>C0375</t>
        </is>
      </c>
      <c r="D3132" s="2" t="inlineStr">
        <is>
          <t>P0020</t>
        </is>
      </c>
      <c r="E3132" s="2" t="inlineStr">
        <is>
          <t>Sneakers</t>
        </is>
      </c>
      <c r="F3132" s="2" t="inlineStr">
        <is>
          <t>Fashion</t>
        </is>
      </c>
      <c r="G3132" s="2" t="inlineStr">
        <is>
          <t>West</t>
        </is>
      </c>
      <c r="H3132" s="2" t="inlineStr">
        <is>
          <t>Maharashtra</t>
        </is>
      </c>
      <c r="I3132" s="2" t="inlineStr">
        <is>
          <t>Nagpur</t>
        </is>
      </c>
      <c r="J3132" s="2" t="inlineStr">
        <is>
          <t>Online</t>
        </is>
      </c>
      <c r="K3132" s="2" t="n">
        <v>3</v>
      </c>
      <c r="L3132" s="3" t="n">
        <v>1977.56</v>
      </c>
      <c r="M3132" s="4" t="n">
        <v>0.05</v>
      </c>
      <c r="N3132" s="3" t="n">
        <v>4632.59</v>
      </c>
      <c r="O3132" s="3">
        <f>K3132*L3132*(1-M3132)</f>
        <v/>
      </c>
      <c r="P3132" s="3">
        <f>O3132-N3132</f>
        <v/>
      </c>
      <c r="Q3132" s="5">
        <f>IFERROR(P3132/O3132,0)</f>
        <v/>
      </c>
      <c r="R3132" s="2">
        <f>TEXT(DATEVALUE(B3132),"mmm")</f>
        <v/>
      </c>
      <c r="S3132" s="2">
        <f>TEXT(DATEVALUE(B3132),"yyyy-mm")</f>
        <v/>
      </c>
    </row>
    <row r="3133">
      <c r="A3133" s="2" t="inlineStr">
        <is>
          <t>O000670</t>
        </is>
      </c>
      <c r="B3133" s="2" t="inlineStr">
        <is>
          <t>2025-08-15</t>
        </is>
      </c>
      <c r="C3133" s="2" t="inlineStr">
        <is>
          <t>C0510</t>
        </is>
      </c>
      <c r="D3133" s="2" t="inlineStr">
        <is>
          <t>P0007</t>
        </is>
      </c>
      <c r="E3133" s="2" t="inlineStr">
        <is>
          <t>Wireless Mouse</t>
        </is>
      </c>
      <c r="F3133" s="2" t="inlineStr">
        <is>
          <t>Electronics</t>
        </is>
      </c>
      <c r="G3133" s="2" t="inlineStr">
        <is>
          <t>West</t>
        </is>
      </c>
      <c r="H3133" s="2" t="inlineStr">
        <is>
          <t>Goa</t>
        </is>
      </c>
      <c r="I3133" s="2" t="inlineStr">
        <is>
          <t>Margao</t>
        </is>
      </c>
      <c r="J3133" s="2" t="inlineStr">
        <is>
          <t>Store</t>
        </is>
      </c>
      <c r="K3133" s="2" t="n">
        <v>2</v>
      </c>
      <c r="L3133" s="3" t="n">
        <v>947.76</v>
      </c>
      <c r="M3133" s="4" t="n">
        <v>0.05</v>
      </c>
      <c r="N3133" s="3" t="n">
        <v>1208.65</v>
      </c>
      <c r="O3133" s="3">
        <f>K3133*L3133*(1-M3133)</f>
        <v/>
      </c>
      <c r="P3133" s="3">
        <f>O3133-N3133</f>
        <v/>
      </c>
      <c r="Q3133" s="5">
        <f>IFERROR(P3133/O3133,0)</f>
        <v/>
      </c>
      <c r="R3133" s="2">
        <f>TEXT(DATEVALUE(B3133),"mmm")</f>
        <v/>
      </c>
      <c r="S3133" s="2">
        <f>TEXT(DATEVALUE(B3133),"yyyy-mm")</f>
        <v/>
      </c>
    </row>
    <row r="3134">
      <c r="A3134" s="2" t="inlineStr">
        <is>
          <t>O000543</t>
        </is>
      </c>
      <c r="B3134" s="2" t="inlineStr">
        <is>
          <t>2025-08-15</t>
        </is>
      </c>
      <c r="C3134" s="2" t="inlineStr">
        <is>
          <t>C0794</t>
        </is>
      </c>
      <c r="D3134" s="2" t="inlineStr">
        <is>
          <t>P0022</t>
        </is>
      </c>
      <c r="E3134" s="2" t="inlineStr">
        <is>
          <t>Face Wash</t>
        </is>
      </c>
      <c r="F3134" s="2" t="inlineStr">
        <is>
          <t>Beauty</t>
        </is>
      </c>
      <c r="G3134" s="2" t="inlineStr">
        <is>
          <t>East</t>
        </is>
      </c>
      <c r="H3134" s="2" t="inlineStr">
        <is>
          <t>Bihar</t>
        </is>
      </c>
      <c r="I3134" s="2" t="inlineStr">
        <is>
          <t>Patna</t>
        </is>
      </c>
      <c r="J3134" s="2" t="inlineStr">
        <is>
          <t>Store</t>
        </is>
      </c>
      <c r="K3134" s="2" t="n">
        <v>2</v>
      </c>
      <c r="L3134" s="3" t="n">
        <v>576.12</v>
      </c>
      <c r="M3134" s="4" t="n">
        <v>0.05</v>
      </c>
      <c r="N3134" s="3" t="n">
        <v>713.62</v>
      </c>
      <c r="O3134" s="3">
        <f>K3134*L3134*(1-M3134)</f>
        <v/>
      </c>
      <c r="P3134" s="3">
        <f>O3134-N3134</f>
        <v/>
      </c>
      <c r="Q3134" s="5">
        <f>IFERROR(P3134/O3134,0)</f>
        <v/>
      </c>
      <c r="R3134" s="2">
        <f>TEXT(DATEVALUE(B3134),"mmm")</f>
        <v/>
      </c>
      <c r="S3134" s="2">
        <f>TEXT(DATEVALUE(B3134),"yyyy-mm")</f>
        <v/>
      </c>
    </row>
    <row r="3135">
      <c r="A3135" s="2" t="inlineStr">
        <is>
          <t>O001494</t>
        </is>
      </c>
      <c r="B3135" s="2" t="inlineStr">
        <is>
          <t>2025-08-15</t>
        </is>
      </c>
      <c r="C3135" s="2" t="inlineStr">
        <is>
          <t>C0764</t>
        </is>
      </c>
      <c r="D3135" s="2" t="inlineStr">
        <is>
          <t>P0031</t>
        </is>
      </c>
      <c r="E3135" s="2" t="inlineStr">
        <is>
          <t>Cricket Bat</t>
        </is>
      </c>
      <c r="F3135" s="2" t="inlineStr">
        <is>
          <t>Sports</t>
        </is>
      </c>
      <c r="G3135" s="2" t="inlineStr">
        <is>
          <t>North</t>
        </is>
      </c>
      <c r="H3135" s="2" t="inlineStr">
        <is>
          <t>Uttar Pradesh</t>
        </is>
      </c>
      <c r="I3135" s="2" t="inlineStr">
        <is>
          <t>Varanasi</t>
        </is>
      </c>
      <c r="J3135" s="2" t="inlineStr">
        <is>
          <t>Online</t>
        </is>
      </c>
      <c r="K3135" s="2" t="n">
        <v>1</v>
      </c>
      <c r="L3135" s="3" t="n">
        <v>1414.63</v>
      </c>
      <c r="M3135" s="4" t="n">
        <v>0.1</v>
      </c>
      <c r="N3135" s="3" t="n">
        <v>918.2</v>
      </c>
      <c r="O3135" s="3">
        <f>K3135*L3135*(1-M3135)</f>
        <v/>
      </c>
      <c r="P3135" s="3">
        <f>O3135-N3135</f>
        <v/>
      </c>
      <c r="Q3135" s="5">
        <f>IFERROR(P3135/O3135,0)</f>
        <v/>
      </c>
      <c r="R3135" s="2">
        <f>TEXT(DATEVALUE(B3135),"mmm")</f>
        <v/>
      </c>
      <c r="S3135" s="2">
        <f>TEXT(DATEVALUE(B3135),"yyyy-mm")</f>
        <v/>
      </c>
    </row>
    <row r="3136">
      <c r="A3136" s="2" t="inlineStr">
        <is>
          <t>O001386</t>
        </is>
      </c>
      <c r="B3136" s="2" t="inlineStr">
        <is>
          <t>2025-08-15</t>
        </is>
      </c>
      <c r="C3136" s="2" t="inlineStr">
        <is>
          <t>C0568</t>
        </is>
      </c>
      <c r="D3136" s="2" t="inlineStr">
        <is>
          <t>P0017</t>
        </is>
      </c>
      <c r="E3136" s="2" t="inlineStr">
        <is>
          <t>Jeans</t>
        </is>
      </c>
      <c r="F3136" s="2" t="inlineStr">
        <is>
          <t>Fashion</t>
        </is>
      </c>
      <c r="G3136" s="2" t="inlineStr">
        <is>
          <t>East</t>
        </is>
      </c>
      <c r="H3136" s="2" t="inlineStr">
        <is>
          <t>Bihar</t>
        </is>
      </c>
      <c r="I3136" s="2" t="inlineStr">
        <is>
          <t>Gaya</t>
        </is>
      </c>
      <c r="J3136" s="2" t="inlineStr">
        <is>
          <t>Store</t>
        </is>
      </c>
      <c r="K3136" s="2" t="n">
        <v>2</v>
      </c>
      <c r="L3136" s="3" t="n">
        <v>1548.6</v>
      </c>
      <c r="M3136" s="4" t="n">
        <v>0.15</v>
      </c>
      <c r="N3136" s="3" t="n">
        <v>2032.08</v>
      </c>
      <c r="O3136" s="3">
        <f>K3136*L3136*(1-M3136)</f>
        <v/>
      </c>
      <c r="P3136" s="3">
        <f>O3136-N3136</f>
        <v/>
      </c>
      <c r="Q3136" s="5">
        <f>IFERROR(P3136/O3136,0)</f>
        <v/>
      </c>
      <c r="R3136" s="2">
        <f>TEXT(DATEVALUE(B3136),"mmm")</f>
        <v/>
      </c>
      <c r="S3136" s="2">
        <f>TEXT(DATEVALUE(B3136),"yyyy-mm")</f>
        <v/>
      </c>
    </row>
    <row r="3137">
      <c r="A3137" s="2" t="inlineStr">
        <is>
          <t>O001400</t>
        </is>
      </c>
      <c r="B3137" s="2" t="inlineStr">
        <is>
          <t>2025-08-15</t>
        </is>
      </c>
      <c r="C3137" s="2" t="inlineStr">
        <is>
          <t>C0061</t>
        </is>
      </c>
      <c r="D3137" s="2" t="inlineStr">
        <is>
          <t>P0019</t>
        </is>
      </c>
      <c r="E3137" s="2" t="inlineStr">
        <is>
          <t>Jacket</t>
        </is>
      </c>
      <c r="F3137" s="2" t="inlineStr">
        <is>
          <t>Fashion</t>
        </is>
      </c>
      <c r="G3137" s="2" t="inlineStr">
        <is>
          <t>South</t>
        </is>
      </c>
      <c r="H3137" s="2" t="inlineStr">
        <is>
          <t>Telangana</t>
        </is>
      </c>
      <c r="I3137" s="2" t="inlineStr">
        <is>
          <t>Warangal</t>
        </is>
      </c>
      <c r="J3137" s="2" t="inlineStr">
        <is>
          <t>Online</t>
        </is>
      </c>
      <c r="K3137" s="2" t="n">
        <v>2</v>
      </c>
      <c r="L3137" s="3" t="n">
        <v>1011.76</v>
      </c>
      <c r="M3137" s="4" t="n">
        <v>0.2</v>
      </c>
      <c r="N3137" s="3" t="n">
        <v>1384.34</v>
      </c>
      <c r="O3137" s="3">
        <f>K3137*L3137*(1-M3137)</f>
        <v/>
      </c>
      <c r="P3137" s="3">
        <f>O3137-N3137</f>
        <v/>
      </c>
      <c r="Q3137" s="5">
        <f>IFERROR(P3137/O3137,0)</f>
        <v/>
      </c>
      <c r="R3137" s="2">
        <f>TEXT(DATEVALUE(B3137),"mmm")</f>
        <v/>
      </c>
      <c r="S3137" s="2">
        <f>TEXT(DATEVALUE(B3137),"yyyy-mm")</f>
        <v/>
      </c>
    </row>
    <row r="3138">
      <c r="A3138" s="2" t="inlineStr">
        <is>
          <t>O004151</t>
        </is>
      </c>
      <c r="B3138" s="2" t="inlineStr">
        <is>
          <t>2025-08-16</t>
        </is>
      </c>
      <c r="C3138" s="2" t="inlineStr">
        <is>
          <t>C0723</t>
        </is>
      </c>
      <c r="D3138" s="2" t="inlineStr">
        <is>
          <t>P0031</t>
        </is>
      </c>
      <c r="E3138" s="2" t="inlineStr">
        <is>
          <t>Cricket Bat</t>
        </is>
      </c>
      <c r="F3138" s="2" t="inlineStr">
        <is>
          <t>Sports</t>
        </is>
      </c>
      <c r="G3138" s="2" t="inlineStr">
        <is>
          <t>South</t>
        </is>
      </c>
      <c r="H3138" s="2" t="inlineStr">
        <is>
          <t>Karnataka</t>
        </is>
      </c>
      <c r="I3138" s="2" t="inlineStr">
        <is>
          <t>Bengaluru</t>
        </is>
      </c>
      <c r="J3138" s="2" t="inlineStr">
        <is>
          <t>Online</t>
        </is>
      </c>
      <c r="K3138" s="2" t="n">
        <v>2</v>
      </c>
      <c r="L3138" s="3" t="n">
        <v>1366.5</v>
      </c>
      <c r="M3138" s="4" t="n">
        <v>0.15</v>
      </c>
      <c r="N3138" s="3" t="n">
        <v>1914.85</v>
      </c>
      <c r="O3138" s="3">
        <f>K3138*L3138*(1-M3138)</f>
        <v/>
      </c>
      <c r="P3138" s="3">
        <f>O3138-N3138</f>
        <v/>
      </c>
      <c r="Q3138" s="5">
        <f>IFERROR(P3138/O3138,0)</f>
        <v/>
      </c>
      <c r="R3138" s="2">
        <f>TEXT(DATEVALUE(B3138),"mmm")</f>
        <v/>
      </c>
      <c r="S3138" s="2">
        <f>TEXT(DATEVALUE(B3138),"yyyy-mm")</f>
        <v/>
      </c>
    </row>
    <row r="3139">
      <c r="A3139" s="2" t="inlineStr">
        <is>
          <t>O004017</t>
        </is>
      </c>
      <c r="B3139" s="2" t="inlineStr">
        <is>
          <t>2025-08-16</t>
        </is>
      </c>
      <c r="C3139" s="2" t="inlineStr">
        <is>
          <t>C0696</t>
        </is>
      </c>
      <c r="D3139" s="2" t="inlineStr">
        <is>
          <t>P0024</t>
        </is>
      </c>
      <c r="E3139" s="2" t="inlineStr">
        <is>
          <t>Hair Dryer</t>
        </is>
      </c>
      <c r="F3139" s="2" t="inlineStr">
        <is>
          <t>Beauty</t>
        </is>
      </c>
      <c r="G3139" s="2" t="inlineStr">
        <is>
          <t>South</t>
        </is>
      </c>
      <c r="H3139" s="2" t="inlineStr">
        <is>
          <t>Karnataka</t>
        </is>
      </c>
      <c r="I3139" s="2" t="inlineStr">
        <is>
          <t>Bengaluru</t>
        </is>
      </c>
      <c r="J3139" s="2" t="inlineStr">
        <is>
          <t>Store</t>
        </is>
      </c>
      <c r="K3139" s="2" t="n">
        <v>3</v>
      </c>
      <c r="L3139" s="3" t="n">
        <v>963.5599999999999</v>
      </c>
      <c r="M3139" s="4" t="n">
        <v>0.1</v>
      </c>
      <c r="N3139" s="3" t="n">
        <v>2142.6</v>
      </c>
      <c r="O3139" s="3">
        <f>K3139*L3139*(1-M3139)</f>
        <v/>
      </c>
      <c r="P3139" s="3">
        <f>O3139-N3139</f>
        <v/>
      </c>
      <c r="Q3139" s="5">
        <f>IFERROR(P3139/O3139,0)</f>
        <v/>
      </c>
      <c r="R3139" s="2">
        <f>TEXT(DATEVALUE(B3139),"mmm")</f>
        <v/>
      </c>
      <c r="S3139" s="2">
        <f>TEXT(DATEVALUE(B3139),"yyyy-mm")</f>
        <v/>
      </c>
    </row>
    <row r="3140">
      <c r="A3140" s="2" t="inlineStr">
        <is>
          <t>O003846</t>
        </is>
      </c>
      <c r="B3140" s="2" t="inlineStr">
        <is>
          <t>2025-08-16</t>
        </is>
      </c>
      <c r="C3140" s="2" t="inlineStr">
        <is>
          <t>C0733</t>
        </is>
      </c>
      <c r="D3140" s="2" t="inlineStr">
        <is>
          <t>P0012</t>
        </is>
      </c>
      <c r="E3140" s="2" t="inlineStr">
        <is>
          <t>Water Bottle</t>
        </is>
      </c>
      <c r="F3140" s="2" t="inlineStr">
        <is>
          <t>Home &amp; Kitchen</t>
        </is>
      </c>
      <c r="G3140" s="2" t="inlineStr">
        <is>
          <t>West</t>
        </is>
      </c>
      <c r="H3140" s="2" t="inlineStr">
        <is>
          <t>Gujarat</t>
        </is>
      </c>
      <c r="I3140" s="2" t="inlineStr">
        <is>
          <t>Ahmedabad</t>
        </is>
      </c>
      <c r="J3140" s="2" t="inlineStr">
        <is>
          <t>Online</t>
        </is>
      </c>
      <c r="K3140" s="2" t="n">
        <v>2</v>
      </c>
      <c r="L3140" s="3" t="n">
        <v>960.49</v>
      </c>
      <c r="M3140" s="4" t="n">
        <v>0.1</v>
      </c>
      <c r="N3140" s="3" t="n">
        <v>1270.86</v>
      </c>
      <c r="O3140" s="3">
        <f>K3140*L3140*(1-M3140)</f>
        <v/>
      </c>
      <c r="P3140" s="3">
        <f>O3140-N3140</f>
        <v/>
      </c>
      <c r="Q3140" s="5">
        <f>IFERROR(P3140/O3140,0)</f>
        <v/>
      </c>
      <c r="R3140" s="2">
        <f>TEXT(DATEVALUE(B3140),"mmm")</f>
        <v/>
      </c>
      <c r="S3140" s="2">
        <f>TEXT(DATEVALUE(B3140),"yyyy-mm")</f>
        <v/>
      </c>
    </row>
    <row r="3141">
      <c r="A3141" s="2" t="inlineStr">
        <is>
          <t>O003811</t>
        </is>
      </c>
      <c r="B3141" s="2" t="inlineStr">
        <is>
          <t>2025-08-16</t>
        </is>
      </c>
      <c r="C3141" s="2" t="inlineStr">
        <is>
          <t>C0718</t>
        </is>
      </c>
      <c r="D3141" s="2" t="inlineStr">
        <is>
          <t>P0020</t>
        </is>
      </c>
      <c r="E3141" s="2" t="inlineStr">
        <is>
          <t>Sneakers</t>
        </is>
      </c>
      <c r="F3141" s="2" t="inlineStr">
        <is>
          <t>Fashion</t>
        </is>
      </c>
      <c r="G3141" s="2" t="inlineStr">
        <is>
          <t>West</t>
        </is>
      </c>
      <c r="H3141" s="2" t="inlineStr">
        <is>
          <t>Maharashtra</t>
        </is>
      </c>
      <c r="I3141" s="2" t="inlineStr">
        <is>
          <t>Thane</t>
        </is>
      </c>
      <c r="J3141" s="2" t="inlineStr">
        <is>
          <t>Online</t>
        </is>
      </c>
      <c r="K3141" s="2" t="n">
        <v>3</v>
      </c>
      <c r="L3141" s="3" t="n">
        <v>1900.06</v>
      </c>
      <c r="M3141" s="4" t="n">
        <v>0.2</v>
      </c>
      <c r="N3141" s="3" t="n">
        <v>4483.48</v>
      </c>
      <c r="O3141" s="3">
        <f>K3141*L3141*(1-M3141)</f>
        <v/>
      </c>
      <c r="P3141" s="3">
        <f>O3141-N3141</f>
        <v/>
      </c>
      <c r="Q3141" s="5">
        <f>IFERROR(P3141/O3141,0)</f>
        <v/>
      </c>
      <c r="R3141" s="2">
        <f>TEXT(DATEVALUE(B3141),"mmm")</f>
        <v/>
      </c>
      <c r="S3141" s="2">
        <f>TEXT(DATEVALUE(B3141),"yyyy-mm")</f>
        <v/>
      </c>
    </row>
    <row r="3142">
      <c r="A3142" s="2" t="inlineStr">
        <is>
          <t>O003512</t>
        </is>
      </c>
      <c r="B3142" s="2" t="inlineStr">
        <is>
          <t>2025-08-16</t>
        </is>
      </c>
      <c r="C3142" s="2" t="inlineStr">
        <is>
          <t>C0555</t>
        </is>
      </c>
      <c r="D3142" s="2" t="inlineStr">
        <is>
          <t>P0014</t>
        </is>
      </c>
      <c r="E3142" s="2" t="inlineStr">
        <is>
          <t>Coffee Maker</t>
        </is>
      </c>
      <c r="F3142" s="2" t="inlineStr">
        <is>
          <t>Home &amp; Kitchen</t>
        </is>
      </c>
      <c r="G3142" s="2" t="inlineStr">
        <is>
          <t>West</t>
        </is>
      </c>
      <c r="H3142" s="2" t="inlineStr">
        <is>
          <t>Maharashtra</t>
        </is>
      </c>
      <c r="I3142" s="2" t="inlineStr">
        <is>
          <t>Nagpur</t>
        </is>
      </c>
      <c r="J3142" s="2" t="inlineStr">
        <is>
          <t>Store</t>
        </is>
      </c>
      <c r="K3142" s="2" t="n">
        <v>1</v>
      </c>
      <c r="L3142" s="3" t="n">
        <v>1011.52</v>
      </c>
      <c r="M3142" s="4" t="n">
        <v>0.05</v>
      </c>
      <c r="N3142" s="3" t="n">
        <v>747.58</v>
      </c>
      <c r="O3142" s="3">
        <f>K3142*L3142*(1-M3142)</f>
        <v/>
      </c>
      <c r="P3142" s="3">
        <f>O3142-N3142</f>
        <v/>
      </c>
      <c r="Q3142" s="5">
        <f>IFERROR(P3142/O3142,0)</f>
        <v/>
      </c>
      <c r="R3142" s="2">
        <f>TEXT(DATEVALUE(B3142),"mmm")</f>
        <v/>
      </c>
      <c r="S3142" s="2">
        <f>TEXT(DATEVALUE(B3142),"yyyy-mm")</f>
        <v/>
      </c>
    </row>
    <row r="3143">
      <c r="A3143" s="2" t="inlineStr">
        <is>
          <t>O002759</t>
        </is>
      </c>
      <c r="B3143" s="2" t="inlineStr">
        <is>
          <t>2025-08-16</t>
        </is>
      </c>
      <c r="C3143" s="2" t="inlineStr">
        <is>
          <t>C0384</t>
        </is>
      </c>
      <c r="D3143" s="2" t="inlineStr">
        <is>
          <t>P0003</t>
        </is>
      </c>
      <c r="E3143" s="2" t="inlineStr">
        <is>
          <t>Smartwatch</t>
        </is>
      </c>
      <c r="F3143" s="2" t="inlineStr">
        <is>
          <t>Electronics</t>
        </is>
      </c>
      <c r="G3143" s="2" t="inlineStr">
        <is>
          <t>South</t>
        </is>
      </c>
      <c r="H3143" s="2" t="inlineStr">
        <is>
          <t>Karnataka</t>
        </is>
      </c>
      <c r="I3143" s="2" t="inlineStr">
        <is>
          <t>Mysuru</t>
        </is>
      </c>
      <c r="J3143" s="2" t="inlineStr">
        <is>
          <t>Store</t>
        </is>
      </c>
      <c r="K3143" s="2" t="n">
        <v>1</v>
      </c>
      <c r="L3143" s="3" t="n">
        <v>2309.8</v>
      </c>
      <c r="M3143" s="4" t="n">
        <v>0.1</v>
      </c>
      <c r="N3143" s="3" t="n">
        <v>1155.11</v>
      </c>
      <c r="O3143" s="3">
        <f>K3143*L3143*(1-M3143)</f>
        <v/>
      </c>
      <c r="P3143" s="3">
        <f>O3143-N3143</f>
        <v/>
      </c>
      <c r="Q3143" s="5">
        <f>IFERROR(P3143/O3143,0)</f>
        <v/>
      </c>
      <c r="R3143" s="2">
        <f>TEXT(DATEVALUE(B3143),"mmm")</f>
        <v/>
      </c>
      <c r="S3143" s="2">
        <f>TEXT(DATEVALUE(B3143),"yyyy-mm")</f>
        <v/>
      </c>
    </row>
    <row r="3144">
      <c r="A3144" s="2" t="inlineStr">
        <is>
          <t>O002853</t>
        </is>
      </c>
      <c r="B3144" s="2" t="inlineStr">
        <is>
          <t>2025-08-16</t>
        </is>
      </c>
      <c r="C3144" s="2" t="inlineStr">
        <is>
          <t>C0397</t>
        </is>
      </c>
      <c r="D3144" s="2" t="inlineStr">
        <is>
          <t>P0007</t>
        </is>
      </c>
      <c r="E3144" s="2" t="inlineStr">
        <is>
          <t>Wireless Mouse</t>
        </is>
      </c>
      <c r="F3144" s="2" t="inlineStr">
        <is>
          <t>Electronics</t>
        </is>
      </c>
      <c r="G3144" s="2" t="inlineStr">
        <is>
          <t>West</t>
        </is>
      </c>
      <c r="H3144" s="2" t="inlineStr">
        <is>
          <t>Gujarat</t>
        </is>
      </c>
      <c r="I3144" s="2" t="inlineStr">
        <is>
          <t>Ahmedabad</t>
        </is>
      </c>
      <c r="J3144" s="2" t="inlineStr">
        <is>
          <t>Online</t>
        </is>
      </c>
      <c r="K3144" s="2" t="n">
        <v>5</v>
      </c>
      <c r="L3144" s="3" t="n">
        <v>971.12</v>
      </c>
      <c r="M3144" s="4" t="n">
        <v>0.2</v>
      </c>
      <c r="N3144" s="3" t="n">
        <v>3203.86</v>
      </c>
      <c r="O3144" s="3">
        <f>K3144*L3144*(1-M3144)</f>
        <v/>
      </c>
      <c r="P3144" s="3">
        <f>O3144-N3144</f>
        <v/>
      </c>
      <c r="Q3144" s="5">
        <f>IFERROR(P3144/O3144,0)</f>
        <v/>
      </c>
      <c r="R3144" s="2">
        <f>TEXT(DATEVALUE(B3144),"mmm")</f>
        <v/>
      </c>
      <c r="S3144" s="2">
        <f>TEXT(DATEVALUE(B3144),"yyyy-mm")</f>
        <v/>
      </c>
    </row>
    <row r="3145">
      <c r="A3145" s="2" t="inlineStr">
        <is>
          <t>O002139</t>
        </is>
      </c>
      <c r="B3145" s="2" t="inlineStr">
        <is>
          <t>2025-08-16</t>
        </is>
      </c>
      <c r="C3145" s="2" t="inlineStr">
        <is>
          <t>C0441</t>
        </is>
      </c>
      <c r="D3145" s="2" t="inlineStr">
        <is>
          <t>P0001</t>
        </is>
      </c>
      <c r="E3145" s="2" t="inlineStr">
        <is>
          <t>Wireless Headphones</t>
        </is>
      </c>
      <c r="F3145" s="2" t="inlineStr">
        <is>
          <t>Electronics</t>
        </is>
      </c>
      <c r="G3145" s="2" t="inlineStr">
        <is>
          <t>South</t>
        </is>
      </c>
      <c r="H3145" s="2" t="inlineStr">
        <is>
          <t>Telangana</t>
        </is>
      </c>
      <c r="I3145" s="2" t="inlineStr">
        <is>
          <t>Hyderabad</t>
        </is>
      </c>
      <c r="J3145" s="2" t="inlineStr">
        <is>
          <t>Online</t>
        </is>
      </c>
      <c r="K3145" s="2" t="n">
        <v>6</v>
      </c>
      <c r="L3145" s="3" t="n">
        <v>1257.75</v>
      </c>
      <c r="M3145" s="4" t="n">
        <v>0.05</v>
      </c>
      <c r="N3145" s="3" t="n">
        <v>4139.07</v>
      </c>
      <c r="O3145" s="3">
        <f>K3145*L3145*(1-M3145)</f>
        <v/>
      </c>
      <c r="P3145" s="3">
        <f>O3145-N3145</f>
        <v/>
      </c>
      <c r="Q3145" s="5">
        <f>IFERROR(P3145/O3145,0)</f>
        <v/>
      </c>
      <c r="R3145" s="2">
        <f>TEXT(DATEVALUE(B3145),"mmm")</f>
        <v/>
      </c>
      <c r="S3145" s="2">
        <f>TEXT(DATEVALUE(B3145),"yyyy-mm")</f>
        <v/>
      </c>
    </row>
    <row r="3146">
      <c r="A3146" s="2" t="inlineStr">
        <is>
          <t>O001924</t>
        </is>
      </c>
      <c r="B3146" s="2" t="inlineStr">
        <is>
          <t>2025-08-16</t>
        </is>
      </c>
      <c r="C3146" s="2" t="inlineStr">
        <is>
          <t>C0774</t>
        </is>
      </c>
      <c r="D3146" s="2" t="inlineStr">
        <is>
          <t>P0034</t>
        </is>
      </c>
      <c r="E3146" s="2" t="inlineStr">
        <is>
          <t>Gym Gloves</t>
        </is>
      </c>
      <c r="F3146" s="2" t="inlineStr">
        <is>
          <t>Sports</t>
        </is>
      </c>
      <c r="G3146" s="2" t="inlineStr">
        <is>
          <t>South</t>
        </is>
      </c>
      <c r="H3146" s="2" t="inlineStr">
        <is>
          <t>Telangana</t>
        </is>
      </c>
      <c r="I3146" s="2" t="inlineStr">
        <is>
          <t>Warangal</t>
        </is>
      </c>
      <c r="J3146" s="2" t="inlineStr">
        <is>
          <t>Store</t>
        </is>
      </c>
      <c r="K3146" s="2" t="n">
        <v>1</v>
      </c>
      <c r="L3146" s="3" t="n">
        <v>604.6</v>
      </c>
      <c r="M3146" s="4" t="n">
        <v>0.15</v>
      </c>
      <c r="N3146" s="3" t="n">
        <v>415.64</v>
      </c>
      <c r="O3146" s="3">
        <f>K3146*L3146*(1-M3146)</f>
        <v/>
      </c>
      <c r="P3146" s="3">
        <f>O3146-N3146</f>
        <v/>
      </c>
      <c r="Q3146" s="5">
        <f>IFERROR(P3146/O3146,0)</f>
        <v/>
      </c>
      <c r="R3146" s="2">
        <f>TEXT(DATEVALUE(B3146),"mmm")</f>
        <v/>
      </c>
      <c r="S3146" s="2">
        <f>TEXT(DATEVALUE(B3146),"yyyy-mm")</f>
        <v/>
      </c>
    </row>
    <row r="3147">
      <c r="A3147" s="2" t="inlineStr">
        <is>
          <t>O001783</t>
        </is>
      </c>
      <c r="B3147" s="2" t="inlineStr">
        <is>
          <t>2025-08-16</t>
        </is>
      </c>
      <c r="C3147" s="2" t="inlineStr">
        <is>
          <t>C0161</t>
        </is>
      </c>
      <c r="D3147" s="2" t="inlineStr">
        <is>
          <t>P0022</t>
        </is>
      </c>
      <c r="E3147" s="2" t="inlineStr">
        <is>
          <t>Face Wash</t>
        </is>
      </c>
      <c r="F3147" s="2" t="inlineStr">
        <is>
          <t>Beauty</t>
        </is>
      </c>
      <c r="G3147" s="2" t="inlineStr">
        <is>
          <t>West</t>
        </is>
      </c>
      <c r="H3147" s="2" t="inlineStr">
        <is>
          <t>Maharashtra</t>
        </is>
      </c>
      <c r="I3147" s="2" t="inlineStr">
        <is>
          <t>Thane</t>
        </is>
      </c>
      <c r="J3147" s="2" t="inlineStr">
        <is>
          <t>Store</t>
        </is>
      </c>
      <c r="K3147" s="2" t="n">
        <v>3</v>
      </c>
      <c r="L3147" s="3" t="n">
        <v>537.05</v>
      </c>
      <c r="M3147" s="4" t="n">
        <v>0.25</v>
      </c>
      <c r="N3147" s="3" t="n">
        <v>1079.75</v>
      </c>
      <c r="O3147" s="3">
        <f>K3147*L3147*(1-M3147)</f>
        <v/>
      </c>
      <c r="P3147" s="3">
        <f>O3147-N3147</f>
        <v/>
      </c>
      <c r="Q3147" s="5">
        <f>IFERROR(P3147/O3147,0)</f>
        <v/>
      </c>
      <c r="R3147" s="2">
        <f>TEXT(DATEVALUE(B3147),"mmm")</f>
        <v/>
      </c>
      <c r="S3147" s="2">
        <f>TEXT(DATEVALUE(B3147),"yyyy-mm")</f>
        <v/>
      </c>
    </row>
    <row r="3148">
      <c r="A3148" s="2" t="inlineStr">
        <is>
          <t>O001100</t>
        </is>
      </c>
      <c r="B3148" s="2" t="inlineStr">
        <is>
          <t>2025-08-16</t>
        </is>
      </c>
      <c r="C3148" s="2" t="inlineStr">
        <is>
          <t>C0798</t>
        </is>
      </c>
      <c r="D3148" s="2" t="inlineStr">
        <is>
          <t>P0003</t>
        </is>
      </c>
      <c r="E3148" s="2" t="inlineStr">
        <is>
          <t>Smartwatch</t>
        </is>
      </c>
      <c r="F3148" s="2" t="inlineStr">
        <is>
          <t>Electronics</t>
        </is>
      </c>
      <c r="G3148" s="2" t="inlineStr">
        <is>
          <t>South</t>
        </is>
      </c>
      <c r="H3148" s="2" t="inlineStr">
        <is>
          <t>Tamil Nadu</t>
        </is>
      </c>
      <c r="I3148" s="2" t="inlineStr">
        <is>
          <t>Chennai</t>
        </is>
      </c>
      <c r="J3148" s="2" t="inlineStr">
        <is>
          <t>Online</t>
        </is>
      </c>
      <c r="K3148" s="2" t="n">
        <v>5</v>
      </c>
      <c r="L3148" s="3" t="n">
        <v>2214.87</v>
      </c>
      <c r="M3148" s="4" t="n">
        <v>0.05</v>
      </c>
      <c r="N3148" s="3" t="n">
        <v>5747.72</v>
      </c>
      <c r="O3148" s="3">
        <f>K3148*L3148*(1-M3148)</f>
        <v/>
      </c>
      <c r="P3148" s="3">
        <f>O3148-N3148</f>
        <v/>
      </c>
      <c r="Q3148" s="5">
        <f>IFERROR(P3148/O3148,0)</f>
        <v/>
      </c>
      <c r="R3148" s="2">
        <f>TEXT(DATEVALUE(B3148),"mmm")</f>
        <v/>
      </c>
      <c r="S3148" s="2">
        <f>TEXT(DATEVALUE(B3148),"yyyy-mm")</f>
        <v/>
      </c>
    </row>
    <row r="3149">
      <c r="A3149" s="2" t="inlineStr">
        <is>
          <t>O000926</t>
        </is>
      </c>
      <c r="B3149" s="2" t="inlineStr">
        <is>
          <t>2025-08-16</t>
        </is>
      </c>
      <c r="C3149" s="2" t="inlineStr">
        <is>
          <t>C0194</t>
        </is>
      </c>
      <c r="D3149" s="2" t="inlineStr">
        <is>
          <t>P0022</t>
        </is>
      </c>
      <c r="E3149" s="2" t="inlineStr">
        <is>
          <t>Face Wash</t>
        </is>
      </c>
      <c r="F3149" s="2" t="inlineStr">
        <is>
          <t>Beauty</t>
        </is>
      </c>
      <c r="G3149" s="2" t="inlineStr">
        <is>
          <t>West</t>
        </is>
      </c>
      <c r="H3149" s="2" t="inlineStr">
        <is>
          <t>Gujarat</t>
        </is>
      </c>
      <c r="I3149" s="2" t="inlineStr">
        <is>
          <t>Vadodara</t>
        </is>
      </c>
      <c r="J3149" s="2" t="inlineStr">
        <is>
          <t>Store</t>
        </is>
      </c>
      <c r="K3149" s="2" t="n">
        <v>3</v>
      </c>
      <c r="L3149" s="3" t="n">
        <v>543.12</v>
      </c>
      <c r="M3149" s="4" t="n">
        <v>0.15</v>
      </c>
      <c r="N3149" s="3" t="n">
        <v>1038.01</v>
      </c>
      <c r="O3149" s="3">
        <f>K3149*L3149*(1-M3149)</f>
        <v/>
      </c>
      <c r="P3149" s="3">
        <f>O3149-N3149</f>
        <v/>
      </c>
      <c r="Q3149" s="5">
        <f>IFERROR(P3149/O3149,0)</f>
        <v/>
      </c>
      <c r="R3149" s="2">
        <f>TEXT(DATEVALUE(B3149),"mmm")</f>
        <v/>
      </c>
      <c r="S3149" s="2">
        <f>TEXT(DATEVALUE(B3149),"yyyy-mm")</f>
        <v/>
      </c>
    </row>
    <row r="3150">
      <c r="A3150" s="2" t="inlineStr">
        <is>
          <t>O000701</t>
        </is>
      </c>
      <c r="B3150" s="2" t="inlineStr">
        <is>
          <t>2025-08-16</t>
        </is>
      </c>
      <c r="C3150" s="2" t="inlineStr">
        <is>
          <t>C0723</t>
        </is>
      </c>
      <c r="D3150" s="2" t="inlineStr">
        <is>
          <t>P0025</t>
        </is>
      </c>
      <c r="E3150" s="2" t="inlineStr">
        <is>
          <t>Perfume</t>
        </is>
      </c>
      <c r="F3150" s="2" t="inlineStr">
        <is>
          <t>Beauty</t>
        </is>
      </c>
      <c r="G3150" s="2" t="inlineStr">
        <is>
          <t>South</t>
        </is>
      </c>
      <c r="H3150" s="2" t="inlineStr">
        <is>
          <t>Kerala</t>
        </is>
      </c>
      <c r="I3150" s="2" t="inlineStr">
        <is>
          <t>Kochi</t>
        </is>
      </c>
      <c r="J3150" s="2" t="inlineStr">
        <is>
          <t>Online</t>
        </is>
      </c>
      <c r="K3150" s="2" t="n">
        <v>2</v>
      </c>
      <c r="L3150" s="3" t="n">
        <v>839.87</v>
      </c>
      <c r="M3150" s="4" t="n">
        <v>0</v>
      </c>
      <c r="N3150" s="3" t="n">
        <v>1231.81</v>
      </c>
      <c r="O3150" s="3">
        <f>K3150*L3150*(1-M3150)</f>
        <v/>
      </c>
      <c r="P3150" s="3">
        <f>O3150-N3150</f>
        <v/>
      </c>
      <c r="Q3150" s="5">
        <f>IFERROR(P3150/O3150,0)</f>
        <v/>
      </c>
      <c r="R3150" s="2">
        <f>TEXT(DATEVALUE(B3150),"mmm")</f>
        <v/>
      </c>
      <c r="S3150" s="2">
        <f>TEXT(DATEVALUE(B3150),"yyyy-mm")</f>
        <v/>
      </c>
    </row>
    <row r="3151">
      <c r="A3151" s="2" t="inlineStr">
        <is>
          <t>O002557</t>
        </is>
      </c>
      <c r="B3151" s="2" t="inlineStr">
        <is>
          <t>2025-08-16</t>
        </is>
      </c>
      <c r="C3151" s="2" t="inlineStr">
        <is>
          <t>C0199</t>
        </is>
      </c>
      <c r="D3151" s="2" t="inlineStr">
        <is>
          <t>P0031</t>
        </is>
      </c>
      <c r="E3151" s="2" t="inlineStr">
        <is>
          <t>Cricket Bat</t>
        </is>
      </c>
      <c r="F3151" s="2" t="inlineStr">
        <is>
          <t>Sports</t>
        </is>
      </c>
      <c r="G3151" s="2" t="inlineStr">
        <is>
          <t>South</t>
        </is>
      </c>
      <c r="H3151" s="2" t="inlineStr">
        <is>
          <t>Telangana</t>
        </is>
      </c>
      <c r="I3151" s="2" t="inlineStr">
        <is>
          <t>Hyderabad</t>
        </is>
      </c>
      <c r="J3151" s="2" t="inlineStr">
        <is>
          <t>Online</t>
        </is>
      </c>
      <c r="K3151" s="2" t="n">
        <v>4</v>
      </c>
      <c r="L3151" s="3" t="n">
        <v>1345.51</v>
      </c>
      <c r="M3151" s="4" t="n">
        <v>0.2</v>
      </c>
      <c r="N3151" s="3" t="n">
        <v>3887.84</v>
      </c>
      <c r="O3151" s="3">
        <f>K3151*L3151*(1-M3151)</f>
        <v/>
      </c>
      <c r="P3151" s="3">
        <f>O3151-N3151</f>
        <v/>
      </c>
      <c r="Q3151" s="5">
        <f>IFERROR(P3151/O3151,0)</f>
        <v/>
      </c>
      <c r="R3151" s="2">
        <f>TEXT(DATEVALUE(B3151),"mmm")</f>
        <v/>
      </c>
      <c r="S3151" s="2">
        <f>TEXT(DATEVALUE(B3151),"yyyy-mm")</f>
        <v/>
      </c>
    </row>
    <row r="3152">
      <c r="A3152" s="2" t="inlineStr">
        <is>
          <t>O001967</t>
        </is>
      </c>
      <c r="B3152" s="2" t="inlineStr">
        <is>
          <t>2025-08-17</t>
        </is>
      </c>
      <c r="C3152" s="2" t="inlineStr">
        <is>
          <t>C0765</t>
        </is>
      </c>
      <c r="D3152" s="2" t="inlineStr">
        <is>
          <t>P0026</t>
        </is>
      </c>
      <c r="E3152" s="2" t="inlineStr">
        <is>
          <t>Shampoo</t>
        </is>
      </c>
      <c r="F3152" s="2" t="inlineStr">
        <is>
          <t>Beauty</t>
        </is>
      </c>
      <c r="G3152" s="2" t="inlineStr">
        <is>
          <t>West</t>
        </is>
      </c>
      <c r="H3152" s="2" t="inlineStr">
        <is>
          <t>Goa</t>
        </is>
      </c>
      <c r="I3152" s="2" t="inlineStr">
        <is>
          <t>Margao</t>
        </is>
      </c>
      <c r="J3152" s="2" t="inlineStr">
        <is>
          <t>Online</t>
        </is>
      </c>
      <c r="K3152" s="2" t="n">
        <v>4</v>
      </c>
      <c r="L3152" s="3" t="n">
        <v>859.84</v>
      </c>
      <c r="M3152" s="4" t="n">
        <v>0.15</v>
      </c>
      <c r="N3152" s="3" t="n">
        <v>2023.82</v>
      </c>
      <c r="O3152" s="3">
        <f>K3152*L3152*(1-M3152)</f>
        <v/>
      </c>
      <c r="P3152" s="3">
        <f>O3152-N3152</f>
        <v/>
      </c>
      <c r="Q3152" s="5">
        <f>IFERROR(P3152/O3152,0)</f>
        <v/>
      </c>
      <c r="R3152" s="2">
        <f>TEXT(DATEVALUE(B3152),"mmm")</f>
        <v/>
      </c>
      <c r="S3152" s="2">
        <f>TEXT(DATEVALUE(B3152),"yyyy-mm")</f>
        <v/>
      </c>
    </row>
    <row r="3153">
      <c r="A3153" s="2" t="inlineStr">
        <is>
          <t>O003751</t>
        </is>
      </c>
      <c r="B3153" s="2" t="inlineStr">
        <is>
          <t>2025-08-17</t>
        </is>
      </c>
      <c r="C3153" s="2" t="inlineStr">
        <is>
          <t>C0761</t>
        </is>
      </c>
      <c r="D3153" s="2" t="inlineStr">
        <is>
          <t>P0006</t>
        </is>
      </c>
      <c r="E3153" s="2" t="inlineStr">
        <is>
          <t>Mechanical Keyboard</t>
        </is>
      </c>
      <c r="F3153" s="2" t="inlineStr">
        <is>
          <t>Electronics</t>
        </is>
      </c>
      <c r="G3153" s="2" t="inlineStr">
        <is>
          <t>South</t>
        </is>
      </c>
      <c r="H3153" s="2" t="inlineStr">
        <is>
          <t>Telangana</t>
        </is>
      </c>
      <c r="I3153" s="2" t="inlineStr">
        <is>
          <t>Hyderabad</t>
        </is>
      </c>
      <c r="J3153" s="2" t="inlineStr">
        <is>
          <t>Online</t>
        </is>
      </c>
      <c r="K3153" s="2" t="n">
        <v>4</v>
      </c>
      <c r="L3153" s="3" t="n">
        <v>2626.9</v>
      </c>
      <c r="M3153" s="4" t="n">
        <v>0</v>
      </c>
      <c r="N3153" s="3" t="n">
        <v>5975.68</v>
      </c>
      <c r="O3153" s="3">
        <f>K3153*L3153*(1-M3153)</f>
        <v/>
      </c>
      <c r="P3153" s="3">
        <f>O3153-N3153</f>
        <v/>
      </c>
      <c r="Q3153" s="5">
        <f>IFERROR(P3153/O3153,0)</f>
        <v/>
      </c>
      <c r="R3153" s="2">
        <f>TEXT(DATEVALUE(B3153),"mmm")</f>
        <v/>
      </c>
      <c r="S3153" s="2">
        <f>TEXT(DATEVALUE(B3153),"yyyy-mm")</f>
        <v/>
      </c>
    </row>
    <row r="3154">
      <c r="A3154" s="2" t="inlineStr">
        <is>
          <t>O002734</t>
        </is>
      </c>
      <c r="B3154" s="2" t="inlineStr">
        <is>
          <t>2025-08-17</t>
        </is>
      </c>
      <c r="C3154" s="2" t="inlineStr">
        <is>
          <t>C0208</t>
        </is>
      </c>
      <c r="D3154" s="2" t="inlineStr">
        <is>
          <t>P0030</t>
        </is>
      </c>
      <c r="E3154" s="2" t="inlineStr">
        <is>
          <t>Dumbbells</t>
        </is>
      </c>
      <c r="F3154" s="2" t="inlineStr">
        <is>
          <t>Sports</t>
        </is>
      </c>
      <c r="G3154" s="2" t="inlineStr">
        <is>
          <t>West</t>
        </is>
      </c>
      <c r="H3154" s="2" t="inlineStr">
        <is>
          <t>Maharashtra</t>
        </is>
      </c>
      <c r="I3154" s="2" t="inlineStr">
        <is>
          <t>Pune</t>
        </is>
      </c>
      <c r="J3154" s="2" t="inlineStr">
        <is>
          <t>Store</t>
        </is>
      </c>
      <c r="K3154" s="2" t="n">
        <v>2</v>
      </c>
      <c r="L3154" s="3" t="n">
        <v>1626.09</v>
      </c>
      <c r="M3154" s="4" t="n">
        <v>0.1</v>
      </c>
      <c r="N3154" s="3" t="n">
        <v>2104.19</v>
      </c>
      <c r="O3154" s="3">
        <f>K3154*L3154*(1-M3154)</f>
        <v/>
      </c>
      <c r="P3154" s="3">
        <f>O3154-N3154</f>
        <v/>
      </c>
      <c r="Q3154" s="5">
        <f>IFERROR(P3154/O3154,0)</f>
        <v/>
      </c>
      <c r="R3154" s="2">
        <f>TEXT(DATEVALUE(B3154),"mmm")</f>
        <v/>
      </c>
      <c r="S3154" s="2">
        <f>TEXT(DATEVALUE(B3154),"yyyy-mm")</f>
        <v/>
      </c>
    </row>
    <row r="3155">
      <c r="A3155" s="2" t="inlineStr">
        <is>
          <t>O002668</t>
        </is>
      </c>
      <c r="B3155" s="2" t="inlineStr">
        <is>
          <t>2025-08-17</t>
        </is>
      </c>
      <c r="C3155" s="2" t="inlineStr">
        <is>
          <t>C0568</t>
        </is>
      </c>
      <c r="D3155" s="2" t="inlineStr">
        <is>
          <t>P0009</t>
        </is>
      </c>
      <c r="E3155" s="2" t="inlineStr">
        <is>
          <t>Electric Kettle</t>
        </is>
      </c>
      <c r="F3155" s="2" t="inlineStr">
        <is>
          <t>Home &amp; Kitchen</t>
        </is>
      </c>
      <c r="G3155" s="2" t="inlineStr">
        <is>
          <t>East</t>
        </is>
      </c>
      <c r="H3155" s="2" t="inlineStr">
        <is>
          <t>West Bengal</t>
        </is>
      </c>
      <c r="I3155" s="2" t="inlineStr">
        <is>
          <t>Kolkata</t>
        </is>
      </c>
      <c r="J3155" s="2" t="inlineStr">
        <is>
          <t>Online</t>
        </is>
      </c>
      <c r="K3155" s="2" t="n">
        <v>2</v>
      </c>
      <c r="L3155" s="3" t="n">
        <v>2190.06</v>
      </c>
      <c r="M3155" s="4" t="n">
        <v>0</v>
      </c>
      <c r="N3155" s="3" t="n">
        <v>2334.24</v>
      </c>
      <c r="O3155" s="3">
        <f>K3155*L3155*(1-M3155)</f>
        <v/>
      </c>
      <c r="P3155" s="3">
        <f>O3155-N3155</f>
        <v/>
      </c>
      <c r="Q3155" s="5">
        <f>IFERROR(P3155/O3155,0)</f>
        <v/>
      </c>
      <c r="R3155" s="2">
        <f>TEXT(DATEVALUE(B3155),"mmm")</f>
        <v/>
      </c>
      <c r="S3155" s="2">
        <f>TEXT(DATEVALUE(B3155),"yyyy-mm")</f>
        <v/>
      </c>
    </row>
    <row r="3156">
      <c r="A3156" s="2" t="inlineStr">
        <is>
          <t>O002472</t>
        </is>
      </c>
      <c r="B3156" s="2" t="inlineStr">
        <is>
          <t>2025-08-17</t>
        </is>
      </c>
      <c r="C3156" s="2" t="inlineStr">
        <is>
          <t>C0393</t>
        </is>
      </c>
      <c r="D3156" s="2" t="inlineStr">
        <is>
          <t>P0035</t>
        </is>
      </c>
      <c r="E3156" s="2" t="inlineStr">
        <is>
          <t>Skipping Rope</t>
        </is>
      </c>
      <c r="F3156" s="2" t="inlineStr">
        <is>
          <t>Sports</t>
        </is>
      </c>
      <c r="G3156" s="2" t="inlineStr">
        <is>
          <t>North</t>
        </is>
      </c>
      <c r="H3156" s="2" t="inlineStr">
        <is>
          <t>Haryana</t>
        </is>
      </c>
      <c r="I3156" s="2" t="inlineStr">
        <is>
          <t>Gurugram</t>
        </is>
      </c>
      <c r="J3156" s="2" t="inlineStr">
        <is>
          <t>Store</t>
        </is>
      </c>
      <c r="K3156" s="2" t="n">
        <v>3</v>
      </c>
      <c r="L3156" s="3" t="n">
        <v>705.62</v>
      </c>
      <c r="M3156" s="4" t="n">
        <v>0</v>
      </c>
      <c r="N3156" s="3" t="n">
        <v>1198.39</v>
      </c>
      <c r="O3156" s="3">
        <f>K3156*L3156*(1-M3156)</f>
        <v/>
      </c>
      <c r="P3156" s="3">
        <f>O3156-N3156</f>
        <v/>
      </c>
      <c r="Q3156" s="5">
        <f>IFERROR(P3156/O3156,0)</f>
        <v/>
      </c>
      <c r="R3156" s="2">
        <f>TEXT(DATEVALUE(B3156),"mmm")</f>
        <v/>
      </c>
      <c r="S3156" s="2">
        <f>TEXT(DATEVALUE(B3156),"yyyy-mm")</f>
        <v/>
      </c>
    </row>
    <row r="3157">
      <c r="A3157" s="2" t="inlineStr">
        <is>
          <t>O002270</t>
        </is>
      </c>
      <c r="B3157" s="2" t="inlineStr">
        <is>
          <t>2025-08-17</t>
        </is>
      </c>
      <c r="C3157" s="2" t="inlineStr">
        <is>
          <t>C0309</t>
        </is>
      </c>
      <c r="D3157" s="2" t="inlineStr">
        <is>
          <t>P0004</t>
        </is>
      </c>
      <c r="E3157" s="2" t="inlineStr">
        <is>
          <t>USB-C Hub</t>
        </is>
      </c>
      <c r="F3157" s="2" t="inlineStr">
        <is>
          <t>Electronics</t>
        </is>
      </c>
      <c r="G3157" s="2" t="inlineStr">
        <is>
          <t>West</t>
        </is>
      </c>
      <c r="H3157" s="2" t="inlineStr">
        <is>
          <t>Goa</t>
        </is>
      </c>
      <c r="I3157" s="2" t="inlineStr">
        <is>
          <t>Panaji</t>
        </is>
      </c>
      <c r="J3157" s="2" t="inlineStr">
        <is>
          <t>Online</t>
        </is>
      </c>
      <c r="K3157" s="2" t="n">
        <v>2</v>
      </c>
      <c r="L3157" s="3" t="n">
        <v>1275.75</v>
      </c>
      <c r="M3157" s="4" t="n">
        <v>0</v>
      </c>
      <c r="N3157" s="3" t="n">
        <v>1865.18</v>
      </c>
      <c r="O3157" s="3">
        <f>K3157*L3157*(1-M3157)</f>
        <v/>
      </c>
      <c r="P3157" s="3">
        <f>O3157-N3157</f>
        <v/>
      </c>
      <c r="Q3157" s="5">
        <f>IFERROR(P3157/O3157,0)</f>
        <v/>
      </c>
      <c r="R3157" s="2">
        <f>TEXT(DATEVALUE(B3157),"mmm")</f>
        <v/>
      </c>
      <c r="S3157" s="2">
        <f>TEXT(DATEVALUE(B3157),"yyyy-mm")</f>
        <v/>
      </c>
    </row>
    <row r="3158">
      <c r="A3158" s="2" t="inlineStr">
        <is>
          <t>O001419</t>
        </is>
      </c>
      <c r="B3158" s="2" t="inlineStr">
        <is>
          <t>2025-08-17</t>
        </is>
      </c>
      <c r="C3158" s="2" t="inlineStr">
        <is>
          <t>C0400</t>
        </is>
      </c>
      <c r="D3158" s="2" t="inlineStr">
        <is>
          <t>P0022</t>
        </is>
      </c>
      <c r="E3158" s="2" t="inlineStr">
        <is>
          <t>Face Wash</t>
        </is>
      </c>
      <c r="F3158" s="2" t="inlineStr">
        <is>
          <t>Beauty</t>
        </is>
      </c>
      <c r="G3158" s="2" t="inlineStr">
        <is>
          <t>West</t>
        </is>
      </c>
      <c r="H3158" s="2" t="inlineStr">
        <is>
          <t>Goa</t>
        </is>
      </c>
      <c r="I3158" s="2" t="inlineStr">
        <is>
          <t>Margao</t>
        </is>
      </c>
      <c r="J3158" s="2" t="inlineStr">
        <is>
          <t>Online</t>
        </is>
      </c>
      <c r="K3158" s="2" t="n">
        <v>2</v>
      </c>
      <c r="L3158" s="3" t="n">
        <v>547.53</v>
      </c>
      <c r="M3158" s="4" t="n">
        <v>0.05</v>
      </c>
      <c r="N3158" s="3" t="n">
        <v>704.52</v>
      </c>
      <c r="O3158" s="3">
        <f>K3158*L3158*(1-M3158)</f>
        <v/>
      </c>
      <c r="P3158" s="3">
        <f>O3158-N3158</f>
        <v/>
      </c>
      <c r="Q3158" s="5">
        <f>IFERROR(P3158/O3158,0)</f>
        <v/>
      </c>
      <c r="R3158" s="2">
        <f>TEXT(DATEVALUE(B3158),"mmm")</f>
        <v/>
      </c>
      <c r="S3158" s="2">
        <f>TEXT(DATEVALUE(B3158),"yyyy-mm")</f>
        <v/>
      </c>
    </row>
    <row r="3159">
      <c r="A3159" s="2" t="inlineStr">
        <is>
          <t>O000439</t>
        </is>
      </c>
      <c r="B3159" s="2" t="inlineStr">
        <is>
          <t>2025-08-17</t>
        </is>
      </c>
      <c r="C3159" s="2" t="inlineStr">
        <is>
          <t>C0049</t>
        </is>
      </c>
      <c r="D3159" s="2" t="inlineStr">
        <is>
          <t>P0007</t>
        </is>
      </c>
      <c r="E3159" s="2" t="inlineStr">
        <is>
          <t>Wireless Mouse</t>
        </is>
      </c>
      <c r="F3159" s="2" t="inlineStr">
        <is>
          <t>Electronics</t>
        </is>
      </c>
      <c r="G3159" s="2" t="inlineStr">
        <is>
          <t>West</t>
        </is>
      </c>
      <c r="H3159" s="2" t="inlineStr">
        <is>
          <t>Gujarat</t>
        </is>
      </c>
      <c r="I3159" s="2" t="inlineStr">
        <is>
          <t>Vadodara</t>
        </is>
      </c>
      <c r="J3159" s="2" t="inlineStr">
        <is>
          <t>Online</t>
        </is>
      </c>
      <c r="K3159" s="2" t="n">
        <v>1</v>
      </c>
      <c r="L3159" s="3" t="n">
        <v>983.08</v>
      </c>
      <c r="M3159" s="4" t="n">
        <v>0.1</v>
      </c>
      <c r="N3159" s="3" t="n">
        <v>601.8</v>
      </c>
      <c r="O3159" s="3">
        <f>K3159*L3159*(1-M3159)</f>
        <v/>
      </c>
      <c r="P3159" s="3">
        <f>O3159-N3159</f>
        <v/>
      </c>
      <c r="Q3159" s="5">
        <f>IFERROR(P3159/O3159,0)</f>
        <v/>
      </c>
      <c r="R3159" s="2">
        <f>TEXT(DATEVALUE(B3159),"mmm")</f>
        <v/>
      </c>
      <c r="S3159" s="2">
        <f>TEXT(DATEVALUE(B3159),"yyyy-mm")</f>
        <v/>
      </c>
    </row>
    <row r="3160">
      <c r="A3160" s="2" t="inlineStr">
        <is>
          <t>O001038</t>
        </is>
      </c>
      <c r="B3160" s="2" t="inlineStr">
        <is>
          <t>2025-08-17</t>
        </is>
      </c>
      <c r="C3160" s="2" t="inlineStr">
        <is>
          <t>C0611</t>
        </is>
      </c>
      <c r="D3160" s="2" t="inlineStr">
        <is>
          <t>P0011</t>
        </is>
      </c>
      <c r="E3160" s="2" t="inlineStr">
        <is>
          <t>Cookware Set</t>
        </is>
      </c>
      <c r="F3160" s="2" t="inlineStr">
        <is>
          <t>Home &amp; Kitchen</t>
        </is>
      </c>
      <c r="G3160" s="2" t="inlineStr">
        <is>
          <t>South</t>
        </is>
      </c>
      <c r="H3160" s="2" t="inlineStr">
        <is>
          <t>Telangana</t>
        </is>
      </c>
      <c r="I3160" s="2" t="inlineStr">
        <is>
          <t>Warangal</t>
        </is>
      </c>
      <c r="J3160" s="2" t="inlineStr">
        <is>
          <t>Online</t>
        </is>
      </c>
      <c r="K3160" s="2" t="n">
        <v>2</v>
      </c>
      <c r="L3160" s="3" t="n">
        <v>689.3</v>
      </c>
      <c r="M3160" s="4" t="n">
        <v>0.05</v>
      </c>
      <c r="N3160" s="3" t="n">
        <v>928.3200000000001</v>
      </c>
      <c r="O3160" s="3">
        <f>K3160*L3160*(1-M3160)</f>
        <v/>
      </c>
      <c r="P3160" s="3">
        <f>O3160-N3160</f>
        <v/>
      </c>
      <c r="Q3160" s="5">
        <f>IFERROR(P3160/O3160,0)</f>
        <v/>
      </c>
      <c r="R3160" s="2">
        <f>TEXT(DATEVALUE(B3160),"mmm")</f>
        <v/>
      </c>
      <c r="S3160" s="2">
        <f>TEXT(DATEVALUE(B3160),"yyyy-mm")</f>
        <v/>
      </c>
    </row>
    <row r="3161">
      <c r="A3161" s="2" t="inlineStr">
        <is>
          <t>O000962</t>
        </is>
      </c>
      <c r="B3161" s="2" t="inlineStr">
        <is>
          <t>2025-08-17</t>
        </is>
      </c>
      <c r="C3161" s="2" t="inlineStr">
        <is>
          <t>C0374</t>
        </is>
      </c>
      <c r="D3161" s="2" t="inlineStr">
        <is>
          <t>P0007</t>
        </is>
      </c>
      <c r="E3161" s="2" t="inlineStr">
        <is>
          <t>Wireless Mouse</t>
        </is>
      </c>
      <c r="F3161" s="2" t="inlineStr">
        <is>
          <t>Electronics</t>
        </is>
      </c>
      <c r="G3161" s="2" t="inlineStr">
        <is>
          <t>North</t>
        </is>
      </c>
      <c r="H3161" s="2" t="inlineStr">
        <is>
          <t>Uttar Pradesh</t>
        </is>
      </c>
      <c r="I3161" s="2" t="inlineStr">
        <is>
          <t>Kanpur</t>
        </is>
      </c>
      <c r="J3161" s="2" t="inlineStr">
        <is>
          <t>Online</t>
        </is>
      </c>
      <c r="K3161" s="2" t="n">
        <v>1</v>
      </c>
      <c r="L3161" s="3" t="n">
        <v>1009.69</v>
      </c>
      <c r="M3161" s="4" t="n">
        <v>0.05</v>
      </c>
      <c r="N3161" s="3" t="n">
        <v>617.04</v>
      </c>
      <c r="O3161" s="3">
        <f>K3161*L3161*(1-M3161)</f>
        <v/>
      </c>
      <c r="P3161" s="3">
        <f>O3161-N3161</f>
        <v/>
      </c>
      <c r="Q3161" s="5">
        <f>IFERROR(P3161/O3161,0)</f>
        <v/>
      </c>
      <c r="R3161" s="2">
        <f>TEXT(DATEVALUE(B3161),"mmm")</f>
        <v/>
      </c>
      <c r="S3161" s="2">
        <f>TEXT(DATEVALUE(B3161),"yyyy-mm")</f>
        <v/>
      </c>
    </row>
    <row r="3162">
      <c r="A3162" s="2" t="inlineStr">
        <is>
          <t>O000942</t>
        </is>
      </c>
      <c r="B3162" s="2" t="inlineStr">
        <is>
          <t>2025-08-17</t>
        </is>
      </c>
      <c r="C3162" s="2" t="inlineStr">
        <is>
          <t>C0691</t>
        </is>
      </c>
      <c r="D3162" s="2" t="inlineStr">
        <is>
          <t>P0006</t>
        </is>
      </c>
      <c r="E3162" s="2" t="inlineStr">
        <is>
          <t>Mechanical Keyboard</t>
        </is>
      </c>
      <c r="F3162" s="2" t="inlineStr">
        <is>
          <t>Electronics</t>
        </is>
      </c>
      <c r="G3162" s="2" t="inlineStr">
        <is>
          <t>North</t>
        </is>
      </c>
      <c r="H3162" s="2" t="inlineStr">
        <is>
          <t>Uttar Pradesh</t>
        </is>
      </c>
      <c r="I3162" s="2" t="inlineStr">
        <is>
          <t>Noida</t>
        </is>
      </c>
      <c r="J3162" s="2" t="inlineStr">
        <is>
          <t>Online</t>
        </is>
      </c>
      <c r="K3162" s="2" t="n">
        <v>4</v>
      </c>
      <c r="L3162" s="3" t="n">
        <v>2814.59</v>
      </c>
      <c r="M3162" s="4" t="n">
        <v>0.1</v>
      </c>
      <c r="N3162" s="3" t="n">
        <v>5791.37</v>
      </c>
      <c r="O3162" s="3">
        <f>K3162*L3162*(1-M3162)</f>
        <v/>
      </c>
      <c r="P3162" s="3">
        <f>O3162-N3162</f>
        <v/>
      </c>
      <c r="Q3162" s="5">
        <f>IFERROR(P3162/O3162,0)</f>
        <v/>
      </c>
      <c r="R3162" s="2">
        <f>TEXT(DATEVALUE(B3162),"mmm")</f>
        <v/>
      </c>
      <c r="S3162" s="2">
        <f>TEXT(DATEVALUE(B3162),"yyyy-mm")</f>
        <v/>
      </c>
    </row>
    <row r="3163">
      <c r="A3163" s="2" t="inlineStr">
        <is>
          <t>O000783</t>
        </is>
      </c>
      <c r="B3163" s="2" t="inlineStr">
        <is>
          <t>2025-08-17</t>
        </is>
      </c>
      <c r="C3163" s="2" t="inlineStr">
        <is>
          <t>C0319</t>
        </is>
      </c>
      <c r="D3163" s="2" t="inlineStr">
        <is>
          <t>P0007</t>
        </is>
      </c>
      <c r="E3163" s="2" t="inlineStr">
        <is>
          <t>Wireless Mouse</t>
        </is>
      </c>
      <c r="F3163" s="2" t="inlineStr">
        <is>
          <t>Electronics</t>
        </is>
      </c>
      <c r="G3163" s="2" t="inlineStr">
        <is>
          <t>North</t>
        </is>
      </c>
      <c r="H3163" s="2" t="inlineStr">
        <is>
          <t>Delhi</t>
        </is>
      </c>
      <c r="I3163" s="2" t="inlineStr">
        <is>
          <t>New Delhi</t>
        </is>
      </c>
      <c r="J3163" s="2" t="inlineStr">
        <is>
          <t>Online</t>
        </is>
      </c>
      <c r="K3163" s="2" t="n">
        <v>1</v>
      </c>
      <c r="L3163" s="3" t="n">
        <v>1026.78</v>
      </c>
      <c r="M3163" s="4" t="n">
        <v>0.05</v>
      </c>
      <c r="N3163" s="3" t="n">
        <v>621.27</v>
      </c>
      <c r="O3163" s="3">
        <f>K3163*L3163*(1-M3163)</f>
        <v/>
      </c>
      <c r="P3163" s="3">
        <f>O3163-N3163</f>
        <v/>
      </c>
      <c r="Q3163" s="5">
        <f>IFERROR(P3163/O3163,0)</f>
        <v/>
      </c>
      <c r="R3163" s="2">
        <f>TEXT(DATEVALUE(B3163),"mmm")</f>
        <v/>
      </c>
      <c r="S3163" s="2">
        <f>TEXT(DATEVALUE(B3163),"yyyy-mm")</f>
        <v/>
      </c>
    </row>
    <row r="3164">
      <c r="A3164" s="2" t="inlineStr">
        <is>
          <t>O000668</t>
        </is>
      </c>
      <c r="B3164" s="2" t="inlineStr">
        <is>
          <t>2025-08-17</t>
        </is>
      </c>
      <c r="C3164" s="2" t="inlineStr">
        <is>
          <t>C0471</t>
        </is>
      </c>
      <c r="D3164" s="2" t="inlineStr">
        <is>
          <t>P0029</t>
        </is>
      </c>
      <c r="E3164" s="2" t="inlineStr">
        <is>
          <t>Yoga Mat</t>
        </is>
      </c>
      <c r="F3164" s="2" t="inlineStr">
        <is>
          <t>Sports</t>
        </is>
      </c>
      <c r="G3164" s="2" t="inlineStr">
        <is>
          <t>North</t>
        </is>
      </c>
      <c r="H3164" s="2" t="inlineStr">
        <is>
          <t>Punjab</t>
        </is>
      </c>
      <c r="I3164" s="2" t="inlineStr">
        <is>
          <t>Amritsar</t>
        </is>
      </c>
      <c r="J3164" s="2" t="inlineStr">
        <is>
          <t>Online</t>
        </is>
      </c>
      <c r="K3164" s="2" t="n">
        <v>1</v>
      </c>
      <c r="L3164" s="3" t="n">
        <v>2395.91</v>
      </c>
      <c r="M3164" s="4" t="n">
        <v>0.05</v>
      </c>
      <c r="N3164" s="3" t="n">
        <v>1341.5</v>
      </c>
      <c r="O3164" s="3">
        <f>K3164*L3164*(1-M3164)</f>
        <v/>
      </c>
      <c r="P3164" s="3">
        <f>O3164-N3164</f>
        <v/>
      </c>
      <c r="Q3164" s="5">
        <f>IFERROR(P3164/O3164,0)</f>
        <v/>
      </c>
      <c r="R3164" s="2">
        <f>TEXT(DATEVALUE(B3164),"mmm")</f>
        <v/>
      </c>
      <c r="S3164" s="2">
        <f>TEXT(DATEVALUE(B3164),"yyyy-mm")</f>
        <v/>
      </c>
    </row>
    <row r="3165">
      <c r="A3165" s="2" t="inlineStr">
        <is>
          <t>O001261</t>
        </is>
      </c>
      <c r="B3165" s="2" t="inlineStr">
        <is>
          <t>2025-08-17</t>
        </is>
      </c>
      <c r="C3165" s="2" t="inlineStr">
        <is>
          <t>C0379</t>
        </is>
      </c>
      <c r="D3165" s="2" t="inlineStr">
        <is>
          <t>P0032</t>
        </is>
      </c>
      <c r="E3165" s="2" t="inlineStr">
        <is>
          <t>Football</t>
        </is>
      </c>
      <c r="F3165" s="2" t="inlineStr">
        <is>
          <t>Sports</t>
        </is>
      </c>
      <c r="G3165" s="2" t="inlineStr">
        <is>
          <t>South</t>
        </is>
      </c>
      <c r="H3165" s="2" t="inlineStr">
        <is>
          <t>Telangana</t>
        </is>
      </c>
      <c r="I3165" s="2" t="inlineStr">
        <is>
          <t>Warangal</t>
        </is>
      </c>
      <c r="J3165" s="2" t="inlineStr">
        <is>
          <t>Store</t>
        </is>
      </c>
      <c r="K3165" s="2" t="n">
        <v>3</v>
      </c>
      <c r="L3165" s="3" t="n">
        <v>826.83</v>
      </c>
      <c r="M3165" s="4" t="n">
        <v>0.05</v>
      </c>
      <c r="N3165" s="3" t="n">
        <v>1568.19</v>
      </c>
      <c r="O3165" s="3">
        <f>K3165*L3165*(1-M3165)</f>
        <v/>
      </c>
      <c r="P3165" s="3">
        <f>O3165-N3165</f>
        <v/>
      </c>
      <c r="Q3165" s="5">
        <f>IFERROR(P3165/O3165,0)</f>
        <v/>
      </c>
      <c r="R3165" s="2">
        <f>TEXT(DATEVALUE(B3165),"mmm")</f>
        <v/>
      </c>
      <c r="S3165" s="2">
        <f>TEXT(DATEVALUE(B3165),"yyyy-mm")</f>
        <v/>
      </c>
    </row>
    <row r="3166">
      <c r="A3166" s="2" t="inlineStr">
        <is>
          <t>O004462</t>
        </is>
      </c>
      <c r="B3166" s="2" t="inlineStr">
        <is>
          <t>2025-08-18</t>
        </is>
      </c>
      <c r="C3166" s="2" t="inlineStr">
        <is>
          <t>C0581</t>
        </is>
      </c>
      <c r="D3166" s="2" t="inlineStr">
        <is>
          <t>P0016</t>
        </is>
      </c>
      <c r="E3166" s="2" t="inlineStr">
        <is>
          <t>Casual Shirt</t>
        </is>
      </c>
      <c r="F3166" s="2" t="inlineStr">
        <is>
          <t>Fashion</t>
        </is>
      </c>
      <c r="G3166" s="2" t="inlineStr">
        <is>
          <t>East</t>
        </is>
      </c>
      <c r="H3166" s="2" t="inlineStr">
        <is>
          <t>Odisha</t>
        </is>
      </c>
      <c r="I3166" s="2" t="inlineStr">
        <is>
          <t>Bhubaneswar</t>
        </is>
      </c>
      <c r="J3166" s="2" t="inlineStr">
        <is>
          <t>Online</t>
        </is>
      </c>
      <c r="K3166" s="2" t="n">
        <v>4</v>
      </c>
      <c r="L3166" s="3" t="n">
        <v>1298.83</v>
      </c>
      <c r="M3166" s="4" t="n">
        <v>0.1</v>
      </c>
      <c r="N3166" s="3" t="n">
        <v>3611.28</v>
      </c>
      <c r="O3166" s="3">
        <f>K3166*L3166*(1-M3166)</f>
        <v/>
      </c>
      <c r="P3166" s="3">
        <f>O3166-N3166</f>
        <v/>
      </c>
      <c r="Q3166" s="5">
        <f>IFERROR(P3166/O3166,0)</f>
        <v/>
      </c>
      <c r="R3166" s="2">
        <f>TEXT(DATEVALUE(B3166),"mmm")</f>
        <v/>
      </c>
      <c r="S3166" s="2">
        <f>TEXT(DATEVALUE(B3166),"yyyy-mm")</f>
        <v/>
      </c>
    </row>
    <row r="3167">
      <c r="A3167" s="2" t="inlineStr">
        <is>
          <t>O004927</t>
        </is>
      </c>
      <c r="B3167" s="2" t="inlineStr">
        <is>
          <t>2025-08-18</t>
        </is>
      </c>
      <c r="C3167" s="2" t="inlineStr">
        <is>
          <t>C0729</t>
        </is>
      </c>
      <c r="D3167" s="2" t="inlineStr">
        <is>
          <t>P0010</t>
        </is>
      </c>
      <c r="E3167" s="2" t="inlineStr">
        <is>
          <t>Mixer Grinder</t>
        </is>
      </c>
      <c r="F3167" s="2" t="inlineStr">
        <is>
          <t>Home &amp; Kitchen</t>
        </is>
      </c>
      <c r="G3167" s="2" t="inlineStr">
        <is>
          <t>East</t>
        </is>
      </c>
      <c r="H3167" s="2" t="inlineStr">
        <is>
          <t>Odisha</t>
        </is>
      </c>
      <c r="I3167" s="2" t="inlineStr">
        <is>
          <t>Bhubaneswar</t>
        </is>
      </c>
      <c r="J3167" s="2" t="inlineStr">
        <is>
          <t>Online</t>
        </is>
      </c>
      <c r="K3167" s="2" t="n">
        <v>2</v>
      </c>
      <c r="L3167" s="3" t="n">
        <v>1616.45</v>
      </c>
      <c r="M3167" s="4" t="n">
        <v>0.05</v>
      </c>
      <c r="N3167" s="3" t="n">
        <v>2041.72</v>
      </c>
      <c r="O3167" s="3">
        <f>K3167*L3167*(1-M3167)</f>
        <v/>
      </c>
      <c r="P3167" s="3">
        <f>O3167-N3167</f>
        <v/>
      </c>
      <c r="Q3167" s="5">
        <f>IFERROR(P3167/O3167,0)</f>
        <v/>
      </c>
      <c r="R3167" s="2">
        <f>TEXT(DATEVALUE(B3167),"mmm")</f>
        <v/>
      </c>
      <c r="S3167" s="2">
        <f>TEXT(DATEVALUE(B3167),"yyyy-mm")</f>
        <v/>
      </c>
    </row>
    <row r="3168">
      <c r="A3168" s="2" t="inlineStr">
        <is>
          <t>O004811</t>
        </is>
      </c>
      <c r="B3168" s="2" t="inlineStr">
        <is>
          <t>2025-08-18</t>
        </is>
      </c>
      <c r="C3168" s="2" t="inlineStr">
        <is>
          <t>C0750</t>
        </is>
      </c>
      <c r="D3168" s="2" t="inlineStr">
        <is>
          <t>P0021</t>
        </is>
      </c>
      <c r="E3168" s="2" t="inlineStr">
        <is>
          <t>Wallet</t>
        </is>
      </c>
      <c r="F3168" s="2" t="inlineStr">
        <is>
          <t>Fashion</t>
        </is>
      </c>
      <c r="G3168" s="2" t="inlineStr">
        <is>
          <t>West</t>
        </is>
      </c>
      <c r="H3168" s="2" t="inlineStr">
        <is>
          <t>Goa</t>
        </is>
      </c>
      <c r="I3168" s="2" t="inlineStr">
        <is>
          <t>Panaji</t>
        </is>
      </c>
      <c r="J3168" s="2" t="inlineStr">
        <is>
          <t>Online</t>
        </is>
      </c>
      <c r="K3168" s="2" t="n">
        <v>2</v>
      </c>
      <c r="L3168" s="3" t="n">
        <v>2101.06</v>
      </c>
      <c r="M3168" s="4" t="n">
        <v>0.15</v>
      </c>
      <c r="N3168" s="3" t="n">
        <v>2436.58</v>
      </c>
      <c r="O3168" s="3">
        <f>K3168*L3168*(1-M3168)</f>
        <v/>
      </c>
      <c r="P3168" s="3">
        <f>O3168-N3168</f>
        <v/>
      </c>
      <c r="Q3168" s="5">
        <f>IFERROR(P3168/O3168,0)</f>
        <v/>
      </c>
      <c r="R3168" s="2">
        <f>TEXT(DATEVALUE(B3168),"mmm")</f>
        <v/>
      </c>
      <c r="S3168" s="2">
        <f>TEXT(DATEVALUE(B3168),"yyyy-mm")</f>
        <v/>
      </c>
    </row>
    <row r="3169">
      <c r="A3169" s="2" t="inlineStr">
        <is>
          <t>O003814</t>
        </is>
      </c>
      <c r="B3169" s="2" t="inlineStr">
        <is>
          <t>2025-08-18</t>
        </is>
      </c>
      <c r="C3169" s="2" t="inlineStr">
        <is>
          <t>C0528</t>
        </is>
      </c>
      <c r="D3169" s="2" t="inlineStr">
        <is>
          <t>P0009</t>
        </is>
      </c>
      <c r="E3169" s="2" t="inlineStr">
        <is>
          <t>Electric Kettle</t>
        </is>
      </c>
      <c r="F3169" s="2" t="inlineStr">
        <is>
          <t>Home &amp; Kitchen</t>
        </is>
      </c>
      <c r="G3169" s="2" t="inlineStr">
        <is>
          <t>West</t>
        </is>
      </c>
      <c r="H3169" s="2" t="inlineStr">
        <is>
          <t>Goa</t>
        </is>
      </c>
      <c r="I3169" s="2" t="inlineStr">
        <is>
          <t>Panaji</t>
        </is>
      </c>
      <c r="J3169" s="2" t="inlineStr">
        <is>
          <t>Online</t>
        </is>
      </c>
      <c r="K3169" s="2" t="n">
        <v>2</v>
      </c>
      <c r="L3169" s="3" t="n">
        <v>2181.03</v>
      </c>
      <c r="M3169" s="4" t="n">
        <v>0</v>
      </c>
      <c r="N3169" s="3" t="n">
        <v>2223.78</v>
      </c>
      <c r="O3169" s="3">
        <f>K3169*L3169*(1-M3169)</f>
        <v/>
      </c>
      <c r="P3169" s="3">
        <f>O3169-N3169</f>
        <v/>
      </c>
      <c r="Q3169" s="5">
        <f>IFERROR(P3169/O3169,0)</f>
        <v/>
      </c>
      <c r="R3169" s="2">
        <f>TEXT(DATEVALUE(B3169),"mmm")</f>
        <v/>
      </c>
      <c r="S3169" s="2">
        <f>TEXT(DATEVALUE(B3169),"yyyy-mm")</f>
        <v/>
      </c>
    </row>
    <row r="3170">
      <c r="A3170" s="2" t="inlineStr">
        <is>
          <t>O004334</t>
        </is>
      </c>
      <c r="B3170" s="2" t="inlineStr">
        <is>
          <t>2025-08-18</t>
        </is>
      </c>
      <c r="C3170" s="2" t="inlineStr">
        <is>
          <t>C0067</t>
        </is>
      </c>
      <c r="D3170" s="2" t="inlineStr">
        <is>
          <t>P0022</t>
        </is>
      </c>
      <c r="E3170" s="2" t="inlineStr">
        <is>
          <t>Face Wash</t>
        </is>
      </c>
      <c r="F3170" s="2" t="inlineStr">
        <is>
          <t>Beauty</t>
        </is>
      </c>
      <c r="G3170" s="2" t="inlineStr">
        <is>
          <t>South</t>
        </is>
      </c>
      <c r="H3170" s="2" t="inlineStr">
        <is>
          <t>Telangana</t>
        </is>
      </c>
      <c r="I3170" s="2" t="inlineStr">
        <is>
          <t>Warangal</t>
        </is>
      </c>
      <c r="J3170" s="2" t="inlineStr">
        <is>
          <t>Online</t>
        </is>
      </c>
      <c r="K3170" s="2" t="n">
        <v>2</v>
      </c>
      <c r="L3170" s="3" t="n">
        <v>542.75</v>
      </c>
      <c r="M3170" s="4" t="n">
        <v>0.05</v>
      </c>
      <c r="N3170" s="3" t="n">
        <v>687.9400000000001</v>
      </c>
      <c r="O3170" s="3">
        <f>K3170*L3170*(1-M3170)</f>
        <v/>
      </c>
      <c r="P3170" s="3">
        <f>O3170-N3170</f>
        <v/>
      </c>
      <c r="Q3170" s="5">
        <f>IFERROR(P3170/O3170,0)</f>
        <v/>
      </c>
      <c r="R3170" s="2">
        <f>TEXT(DATEVALUE(B3170),"mmm")</f>
        <v/>
      </c>
      <c r="S3170" s="2">
        <f>TEXT(DATEVALUE(B3170),"yyyy-mm")</f>
        <v/>
      </c>
    </row>
    <row r="3171">
      <c r="A3171" s="2" t="inlineStr">
        <is>
          <t>O002479</t>
        </is>
      </c>
      <c r="B3171" s="2" t="inlineStr">
        <is>
          <t>2025-08-18</t>
        </is>
      </c>
      <c r="C3171" s="2" t="inlineStr">
        <is>
          <t>C0568</t>
        </is>
      </c>
      <c r="D3171" s="2" t="inlineStr">
        <is>
          <t>P0025</t>
        </is>
      </c>
      <c r="E3171" s="2" t="inlineStr">
        <is>
          <t>Perfume</t>
        </is>
      </c>
      <c r="F3171" s="2" t="inlineStr">
        <is>
          <t>Beauty</t>
        </is>
      </c>
      <c r="G3171" s="2" t="inlineStr">
        <is>
          <t>West</t>
        </is>
      </c>
      <c r="H3171" s="2" t="inlineStr">
        <is>
          <t>Gujarat</t>
        </is>
      </c>
      <c r="I3171" s="2" t="inlineStr">
        <is>
          <t>Surat</t>
        </is>
      </c>
      <c r="J3171" s="2" t="inlineStr">
        <is>
          <t>Online</t>
        </is>
      </c>
      <c r="K3171" s="2" t="n">
        <v>2</v>
      </c>
      <c r="L3171" s="3" t="n">
        <v>784.15</v>
      </c>
      <c r="M3171" s="4" t="n">
        <v>0.25</v>
      </c>
      <c r="N3171" s="3" t="n">
        <v>1221.11</v>
      </c>
      <c r="O3171" s="3">
        <f>K3171*L3171*(1-M3171)</f>
        <v/>
      </c>
      <c r="P3171" s="3">
        <f>O3171-N3171</f>
        <v/>
      </c>
      <c r="Q3171" s="5">
        <f>IFERROR(P3171/O3171,0)</f>
        <v/>
      </c>
      <c r="R3171" s="2">
        <f>TEXT(DATEVALUE(B3171),"mmm")</f>
        <v/>
      </c>
      <c r="S3171" s="2">
        <f>TEXT(DATEVALUE(B3171),"yyyy-mm")</f>
        <v/>
      </c>
    </row>
    <row r="3172">
      <c r="A3172" s="2" t="inlineStr">
        <is>
          <t>O002717</t>
        </is>
      </c>
      <c r="B3172" s="2" t="inlineStr">
        <is>
          <t>2025-08-18</t>
        </is>
      </c>
      <c r="C3172" s="2" t="inlineStr">
        <is>
          <t>C0329</t>
        </is>
      </c>
      <c r="D3172" s="2" t="inlineStr">
        <is>
          <t>P0008</t>
        </is>
      </c>
      <c r="E3172" s="2" t="inlineStr">
        <is>
          <t>Air Fryer</t>
        </is>
      </c>
      <c r="F3172" s="2" t="inlineStr">
        <is>
          <t>Home &amp; Kitchen</t>
        </is>
      </c>
      <c r="G3172" s="2" t="inlineStr">
        <is>
          <t>South</t>
        </is>
      </c>
      <c r="H3172" s="2" t="inlineStr">
        <is>
          <t>Tamil Nadu</t>
        </is>
      </c>
      <c r="I3172" s="2" t="inlineStr">
        <is>
          <t>Coimbatore</t>
        </is>
      </c>
      <c r="J3172" s="2" t="inlineStr">
        <is>
          <t>Store</t>
        </is>
      </c>
      <c r="K3172" s="2" t="n">
        <v>4</v>
      </c>
      <c r="L3172" s="3" t="n">
        <v>1036.63</v>
      </c>
      <c r="M3172" s="4" t="n">
        <v>0</v>
      </c>
      <c r="N3172" s="3" t="n">
        <v>2691.32</v>
      </c>
      <c r="O3172" s="3">
        <f>K3172*L3172*(1-M3172)</f>
        <v/>
      </c>
      <c r="P3172" s="3">
        <f>O3172-N3172</f>
        <v/>
      </c>
      <c r="Q3172" s="5">
        <f>IFERROR(P3172/O3172,0)</f>
        <v/>
      </c>
      <c r="R3172" s="2">
        <f>TEXT(DATEVALUE(B3172),"mmm")</f>
        <v/>
      </c>
      <c r="S3172" s="2">
        <f>TEXT(DATEVALUE(B3172),"yyyy-mm")</f>
        <v/>
      </c>
    </row>
    <row r="3173">
      <c r="A3173" s="2" t="inlineStr">
        <is>
          <t>O002287</t>
        </is>
      </c>
      <c r="B3173" s="2" t="inlineStr">
        <is>
          <t>2025-08-18</t>
        </is>
      </c>
      <c r="C3173" s="2" t="inlineStr">
        <is>
          <t>C0448</t>
        </is>
      </c>
      <c r="D3173" s="2" t="inlineStr">
        <is>
          <t>P0008</t>
        </is>
      </c>
      <c r="E3173" s="2" t="inlineStr">
        <is>
          <t>Air Fryer</t>
        </is>
      </c>
      <c r="F3173" s="2" t="inlineStr">
        <is>
          <t>Home &amp; Kitchen</t>
        </is>
      </c>
      <c r="G3173" s="2" t="inlineStr">
        <is>
          <t>West</t>
        </is>
      </c>
      <c r="H3173" s="2" t="inlineStr">
        <is>
          <t>Gujarat</t>
        </is>
      </c>
      <c r="I3173" s="2" t="inlineStr">
        <is>
          <t>Vadodara</t>
        </is>
      </c>
      <c r="J3173" s="2" t="inlineStr">
        <is>
          <t>Store</t>
        </is>
      </c>
      <c r="K3173" s="2" t="n">
        <v>2</v>
      </c>
      <c r="L3173" s="3" t="n">
        <v>1067.36</v>
      </c>
      <c r="M3173" s="4" t="n">
        <v>0.2</v>
      </c>
      <c r="N3173" s="3" t="n">
        <v>1390.96</v>
      </c>
      <c r="O3173" s="3">
        <f>K3173*L3173*(1-M3173)</f>
        <v/>
      </c>
      <c r="P3173" s="3">
        <f>O3173-N3173</f>
        <v/>
      </c>
      <c r="Q3173" s="5">
        <f>IFERROR(P3173/O3173,0)</f>
        <v/>
      </c>
      <c r="R3173" s="2">
        <f>TEXT(DATEVALUE(B3173),"mmm")</f>
        <v/>
      </c>
      <c r="S3173" s="2">
        <f>TEXT(DATEVALUE(B3173),"yyyy-mm")</f>
        <v/>
      </c>
    </row>
    <row r="3174">
      <c r="A3174" s="2" t="inlineStr">
        <is>
          <t>O000605</t>
        </is>
      </c>
      <c r="B3174" s="2" t="inlineStr">
        <is>
          <t>2025-08-18</t>
        </is>
      </c>
      <c r="C3174" s="2" t="inlineStr">
        <is>
          <t>C0452</t>
        </is>
      </c>
      <c r="D3174" s="2" t="inlineStr">
        <is>
          <t>P0012</t>
        </is>
      </c>
      <c r="E3174" s="2" t="inlineStr">
        <is>
          <t>Water Bottle</t>
        </is>
      </c>
      <c r="F3174" s="2" t="inlineStr">
        <is>
          <t>Home &amp; Kitchen</t>
        </is>
      </c>
      <c r="G3174" s="2" t="inlineStr">
        <is>
          <t>West</t>
        </is>
      </c>
      <c r="H3174" s="2" t="inlineStr">
        <is>
          <t>Gujarat</t>
        </is>
      </c>
      <c r="I3174" s="2" t="inlineStr">
        <is>
          <t>Ahmedabad</t>
        </is>
      </c>
      <c r="J3174" s="2" t="inlineStr">
        <is>
          <t>Store</t>
        </is>
      </c>
      <c r="K3174" s="2" t="n">
        <v>1</v>
      </c>
      <c r="L3174" s="3" t="n">
        <v>1006.33</v>
      </c>
      <c r="M3174" s="4" t="n">
        <v>0</v>
      </c>
      <c r="N3174" s="3" t="n">
        <v>626.03</v>
      </c>
      <c r="O3174" s="3">
        <f>K3174*L3174*(1-M3174)</f>
        <v/>
      </c>
      <c r="P3174" s="3">
        <f>O3174-N3174</f>
        <v/>
      </c>
      <c r="Q3174" s="5">
        <f>IFERROR(P3174/O3174,0)</f>
        <v/>
      </c>
      <c r="R3174" s="2">
        <f>TEXT(DATEVALUE(B3174),"mmm")</f>
        <v/>
      </c>
      <c r="S3174" s="2">
        <f>TEXT(DATEVALUE(B3174),"yyyy-mm")</f>
        <v/>
      </c>
    </row>
    <row r="3175">
      <c r="A3175" s="2" t="inlineStr">
        <is>
          <t>O000312</t>
        </is>
      </c>
      <c r="B3175" s="2" t="inlineStr">
        <is>
          <t>2025-08-18</t>
        </is>
      </c>
      <c r="C3175" s="2" t="inlineStr">
        <is>
          <t>C0481</t>
        </is>
      </c>
      <c r="D3175" s="2" t="inlineStr">
        <is>
          <t>P0013</t>
        </is>
      </c>
      <c r="E3175" s="2" t="inlineStr">
        <is>
          <t>Storage Organizer</t>
        </is>
      </c>
      <c r="F3175" s="2" t="inlineStr">
        <is>
          <t>Home &amp; Kitchen</t>
        </is>
      </c>
      <c r="G3175" s="2" t="inlineStr">
        <is>
          <t>East</t>
        </is>
      </c>
      <c r="H3175" s="2" t="inlineStr">
        <is>
          <t>Bihar</t>
        </is>
      </c>
      <c r="I3175" s="2" t="inlineStr">
        <is>
          <t>Gaya</t>
        </is>
      </c>
      <c r="J3175" s="2" t="inlineStr">
        <is>
          <t>Store</t>
        </is>
      </c>
      <c r="K3175" s="2" t="n">
        <v>3</v>
      </c>
      <c r="L3175" s="3" t="n">
        <v>586.59</v>
      </c>
      <c r="M3175" s="4" t="n">
        <v>0.05</v>
      </c>
      <c r="N3175" s="3" t="n">
        <v>1090</v>
      </c>
      <c r="O3175" s="3">
        <f>K3175*L3175*(1-M3175)</f>
        <v/>
      </c>
      <c r="P3175" s="3">
        <f>O3175-N3175</f>
        <v/>
      </c>
      <c r="Q3175" s="5">
        <f>IFERROR(P3175/O3175,0)</f>
        <v/>
      </c>
      <c r="R3175" s="2">
        <f>TEXT(DATEVALUE(B3175),"mmm")</f>
        <v/>
      </c>
      <c r="S3175" s="2">
        <f>TEXT(DATEVALUE(B3175),"yyyy-mm")</f>
        <v/>
      </c>
    </row>
    <row r="3176">
      <c r="A3176" s="2" t="inlineStr">
        <is>
          <t>O004968</t>
        </is>
      </c>
      <c r="B3176" s="2" t="inlineStr">
        <is>
          <t>2025-08-19</t>
        </is>
      </c>
      <c r="C3176" s="2" t="inlineStr">
        <is>
          <t>C0686</t>
        </is>
      </c>
      <c r="D3176" s="2" t="inlineStr">
        <is>
          <t>P0004</t>
        </is>
      </c>
      <c r="E3176" s="2" t="inlineStr">
        <is>
          <t>USB-C Hub</t>
        </is>
      </c>
      <c r="F3176" s="2" t="inlineStr">
        <is>
          <t>Electronics</t>
        </is>
      </c>
      <c r="G3176" s="2" t="inlineStr">
        <is>
          <t>West</t>
        </is>
      </c>
      <c r="H3176" s="2" t="inlineStr">
        <is>
          <t>Gujarat</t>
        </is>
      </c>
      <c r="I3176" s="2" t="inlineStr">
        <is>
          <t>Vadodara</t>
        </is>
      </c>
      <c r="J3176" s="2" t="inlineStr">
        <is>
          <t>Online</t>
        </is>
      </c>
      <c r="K3176" s="2" t="n">
        <v>1</v>
      </c>
      <c r="L3176" s="3" t="n">
        <v>1277</v>
      </c>
      <c r="M3176" s="4" t="n">
        <v>0.05</v>
      </c>
      <c r="N3176" s="3" t="n">
        <v>906.1799999999999</v>
      </c>
      <c r="O3176" s="3">
        <f>K3176*L3176*(1-M3176)</f>
        <v/>
      </c>
      <c r="P3176" s="3">
        <f>O3176-N3176</f>
        <v/>
      </c>
      <c r="Q3176" s="5">
        <f>IFERROR(P3176/O3176,0)</f>
        <v/>
      </c>
      <c r="R3176" s="2">
        <f>TEXT(DATEVALUE(B3176),"mmm")</f>
        <v/>
      </c>
      <c r="S3176" s="2">
        <f>TEXT(DATEVALUE(B3176),"yyyy-mm")</f>
        <v/>
      </c>
    </row>
    <row r="3177">
      <c r="A3177" s="2" t="inlineStr">
        <is>
          <t>O003633</t>
        </is>
      </c>
      <c r="B3177" s="2" t="inlineStr">
        <is>
          <t>2025-08-19</t>
        </is>
      </c>
      <c r="C3177" s="2" t="inlineStr">
        <is>
          <t>C0397</t>
        </is>
      </c>
      <c r="D3177" s="2" t="inlineStr">
        <is>
          <t>P0024</t>
        </is>
      </c>
      <c r="E3177" s="2" t="inlineStr">
        <is>
          <t>Hair Dryer</t>
        </is>
      </c>
      <c r="F3177" s="2" t="inlineStr">
        <is>
          <t>Beauty</t>
        </is>
      </c>
      <c r="G3177" s="2" t="inlineStr">
        <is>
          <t>South</t>
        </is>
      </c>
      <c r="H3177" s="2" t="inlineStr">
        <is>
          <t>Kerala</t>
        </is>
      </c>
      <c r="I3177" s="2" t="inlineStr">
        <is>
          <t>Kochi</t>
        </is>
      </c>
      <c r="J3177" s="2" t="inlineStr">
        <is>
          <t>Store</t>
        </is>
      </c>
      <c r="K3177" s="2" t="n">
        <v>1</v>
      </c>
      <c r="L3177" s="3" t="n">
        <v>1038.15</v>
      </c>
      <c r="M3177" s="4" t="n">
        <v>0.1</v>
      </c>
      <c r="N3177" s="3" t="n">
        <v>713.37</v>
      </c>
      <c r="O3177" s="3">
        <f>K3177*L3177*(1-M3177)</f>
        <v/>
      </c>
      <c r="P3177" s="3">
        <f>O3177-N3177</f>
        <v/>
      </c>
      <c r="Q3177" s="5">
        <f>IFERROR(P3177/O3177,0)</f>
        <v/>
      </c>
      <c r="R3177" s="2">
        <f>TEXT(DATEVALUE(B3177),"mmm")</f>
        <v/>
      </c>
      <c r="S3177" s="2">
        <f>TEXT(DATEVALUE(B3177),"yyyy-mm")</f>
        <v/>
      </c>
    </row>
    <row r="3178">
      <c r="A3178" s="2" t="inlineStr">
        <is>
          <t>O002817</t>
        </is>
      </c>
      <c r="B3178" s="2" t="inlineStr">
        <is>
          <t>2025-08-19</t>
        </is>
      </c>
      <c r="C3178" s="2" t="inlineStr">
        <is>
          <t>C0407</t>
        </is>
      </c>
      <c r="D3178" s="2" t="inlineStr">
        <is>
          <t>P0032</t>
        </is>
      </c>
      <c r="E3178" s="2" t="inlineStr">
        <is>
          <t>Football</t>
        </is>
      </c>
      <c r="F3178" s="2" t="inlineStr">
        <is>
          <t>Sports</t>
        </is>
      </c>
      <c r="G3178" s="2" t="inlineStr">
        <is>
          <t>South</t>
        </is>
      </c>
      <c r="H3178" s="2" t="inlineStr">
        <is>
          <t>Karnataka</t>
        </is>
      </c>
      <c r="I3178" s="2" t="inlineStr">
        <is>
          <t>Bengaluru</t>
        </is>
      </c>
      <c r="J3178" s="2" t="inlineStr">
        <is>
          <t>Online</t>
        </is>
      </c>
      <c r="K3178" s="2" t="n">
        <v>4</v>
      </c>
      <c r="L3178" s="3" t="n">
        <v>797.8099999999999</v>
      </c>
      <c r="M3178" s="4" t="n">
        <v>0.05</v>
      </c>
      <c r="N3178" s="3" t="n">
        <v>2121.64</v>
      </c>
      <c r="O3178" s="3">
        <f>K3178*L3178*(1-M3178)</f>
        <v/>
      </c>
      <c r="P3178" s="3">
        <f>O3178-N3178</f>
        <v/>
      </c>
      <c r="Q3178" s="5">
        <f>IFERROR(P3178/O3178,0)</f>
        <v/>
      </c>
      <c r="R3178" s="2">
        <f>TEXT(DATEVALUE(B3178),"mmm")</f>
        <v/>
      </c>
      <c r="S3178" s="2">
        <f>TEXT(DATEVALUE(B3178),"yyyy-mm")</f>
        <v/>
      </c>
    </row>
    <row r="3179">
      <c r="A3179" s="2" t="inlineStr">
        <is>
          <t>O002686</t>
        </is>
      </c>
      <c r="B3179" s="2" t="inlineStr">
        <is>
          <t>2025-08-19</t>
        </is>
      </c>
      <c r="C3179" s="2" t="inlineStr">
        <is>
          <t>C0776</t>
        </is>
      </c>
      <c r="D3179" s="2" t="inlineStr">
        <is>
          <t>P0022</t>
        </is>
      </c>
      <c r="E3179" s="2" t="inlineStr">
        <is>
          <t>Face Wash</t>
        </is>
      </c>
      <c r="F3179" s="2" t="inlineStr">
        <is>
          <t>Beauty</t>
        </is>
      </c>
      <c r="G3179" s="2" t="inlineStr">
        <is>
          <t>West</t>
        </is>
      </c>
      <c r="H3179" s="2" t="inlineStr">
        <is>
          <t>Maharashtra</t>
        </is>
      </c>
      <c r="I3179" s="2" t="inlineStr">
        <is>
          <t>Mumbai</t>
        </is>
      </c>
      <c r="J3179" s="2" t="inlineStr">
        <is>
          <t>Online</t>
        </is>
      </c>
      <c r="K3179" s="2" t="n">
        <v>2</v>
      </c>
      <c r="L3179" s="3" t="n">
        <v>528.0700000000001</v>
      </c>
      <c r="M3179" s="4" t="n">
        <v>0.1</v>
      </c>
      <c r="N3179" s="3" t="n">
        <v>682.88</v>
      </c>
      <c r="O3179" s="3">
        <f>K3179*L3179*(1-M3179)</f>
        <v/>
      </c>
      <c r="P3179" s="3">
        <f>O3179-N3179</f>
        <v/>
      </c>
      <c r="Q3179" s="5">
        <f>IFERROR(P3179/O3179,0)</f>
        <v/>
      </c>
      <c r="R3179" s="2">
        <f>TEXT(DATEVALUE(B3179),"mmm")</f>
        <v/>
      </c>
      <c r="S3179" s="2">
        <f>TEXT(DATEVALUE(B3179),"yyyy-mm")</f>
        <v/>
      </c>
    </row>
    <row r="3180">
      <c r="A3180" s="2" t="inlineStr">
        <is>
          <t>O002461</t>
        </is>
      </c>
      <c r="B3180" s="2" t="inlineStr">
        <is>
          <t>2025-08-19</t>
        </is>
      </c>
      <c r="C3180" s="2" t="inlineStr">
        <is>
          <t>C0568</t>
        </is>
      </c>
      <c r="D3180" s="2" t="inlineStr">
        <is>
          <t>P0016</t>
        </is>
      </c>
      <c r="E3180" s="2" t="inlineStr">
        <is>
          <t>Casual Shirt</t>
        </is>
      </c>
      <c r="F3180" s="2" t="inlineStr">
        <is>
          <t>Fashion</t>
        </is>
      </c>
      <c r="G3180" s="2" t="inlineStr">
        <is>
          <t>South</t>
        </is>
      </c>
      <c r="H3180" s="2" t="inlineStr">
        <is>
          <t>Karnataka</t>
        </is>
      </c>
      <c r="I3180" s="2" t="inlineStr">
        <is>
          <t>Mysuru</t>
        </is>
      </c>
      <c r="J3180" s="2" t="inlineStr">
        <is>
          <t>Store</t>
        </is>
      </c>
      <c r="K3180" s="2" t="n">
        <v>2</v>
      </c>
      <c r="L3180" s="3" t="n">
        <v>1245.56</v>
      </c>
      <c r="M3180" s="4" t="n">
        <v>0.1</v>
      </c>
      <c r="N3180" s="3" t="n">
        <v>1871.89</v>
      </c>
      <c r="O3180" s="3">
        <f>K3180*L3180*(1-M3180)</f>
        <v/>
      </c>
      <c r="P3180" s="3">
        <f>O3180-N3180</f>
        <v/>
      </c>
      <c r="Q3180" s="5">
        <f>IFERROR(P3180/O3180,0)</f>
        <v/>
      </c>
      <c r="R3180" s="2">
        <f>TEXT(DATEVALUE(B3180),"mmm")</f>
        <v/>
      </c>
      <c r="S3180" s="2">
        <f>TEXT(DATEVALUE(B3180),"yyyy-mm")</f>
        <v/>
      </c>
    </row>
    <row r="3181">
      <c r="A3181" s="2" t="inlineStr">
        <is>
          <t>O002340</t>
        </is>
      </c>
      <c r="B3181" s="2" t="inlineStr">
        <is>
          <t>2025-08-19</t>
        </is>
      </c>
      <c r="C3181" s="2" t="inlineStr">
        <is>
          <t>C0590</t>
        </is>
      </c>
      <c r="D3181" s="2" t="inlineStr">
        <is>
          <t>P0001</t>
        </is>
      </c>
      <c r="E3181" s="2" t="inlineStr">
        <is>
          <t>Wireless Headphones</t>
        </is>
      </c>
      <c r="F3181" s="2" t="inlineStr">
        <is>
          <t>Electronics</t>
        </is>
      </c>
      <c r="G3181" s="2" t="inlineStr">
        <is>
          <t>West</t>
        </is>
      </c>
      <c r="H3181" s="2" t="inlineStr">
        <is>
          <t>Gujarat</t>
        </is>
      </c>
      <c r="I3181" s="2" t="inlineStr">
        <is>
          <t>Surat</t>
        </is>
      </c>
      <c r="J3181" s="2" t="inlineStr">
        <is>
          <t>Online</t>
        </is>
      </c>
      <c r="K3181" s="2" t="n">
        <v>1</v>
      </c>
      <c r="L3181" s="3" t="n">
        <v>1310.26</v>
      </c>
      <c r="M3181" s="4" t="n">
        <v>0.15</v>
      </c>
      <c r="N3181" s="3" t="n">
        <v>683.3</v>
      </c>
      <c r="O3181" s="3">
        <f>K3181*L3181*(1-M3181)</f>
        <v/>
      </c>
      <c r="P3181" s="3">
        <f>O3181-N3181</f>
        <v/>
      </c>
      <c r="Q3181" s="5">
        <f>IFERROR(P3181/O3181,0)</f>
        <v/>
      </c>
      <c r="R3181" s="2">
        <f>TEXT(DATEVALUE(B3181),"mmm")</f>
        <v/>
      </c>
      <c r="S3181" s="2">
        <f>TEXT(DATEVALUE(B3181),"yyyy-mm")</f>
        <v/>
      </c>
    </row>
    <row r="3182">
      <c r="A3182" s="2" t="inlineStr">
        <is>
          <t>O001960</t>
        </is>
      </c>
      <c r="B3182" s="2" t="inlineStr">
        <is>
          <t>2025-08-19</t>
        </is>
      </c>
      <c r="C3182" s="2" t="inlineStr">
        <is>
          <t>C0684</t>
        </is>
      </c>
      <c r="D3182" s="2" t="inlineStr">
        <is>
          <t>P0019</t>
        </is>
      </c>
      <c r="E3182" s="2" t="inlineStr">
        <is>
          <t>Jacket</t>
        </is>
      </c>
      <c r="F3182" s="2" t="inlineStr">
        <is>
          <t>Fashion</t>
        </is>
      </c>
      <c r="G3182" s="2" t="inlineStr">
        <is>
          <t>West</t>
        </is>
      </c>
      <c r="H3182" s="2" t="inlineStr">
        <is>
          <t>Maharashtra</t>
        </is>
      </c>
      <c r="I3182" s="2" t="inlineStr">
        <is>
          <t>Thane</t>
        </is>
      </c>
      <c r="J3182" s="2" t="inlineStr">
        <is>
          <t>Online</t>
        </is>
      </c>
      <c r="K3182" s="2" t="n">
        <v>1</v>
      </c>
      <c r="L3182" s="3" t="n">
        <v>1061.38</v>
      </c>
      <c r="M3182" s="4" t="n">
        <v>0.1</v>
      </c>
      <c r="N3182" s="3" t="n">
        <v>673.66</v>
      </c>
      <c r="O3182" s="3">
        <f>K3182*L3182*(1-M3182)</f>
        <v/>
      </c>
      <c r="P3182" s="3">
        <f>O3182-N3182</f>
        <v/>
      </c>
      <c r="Q3182" s="5">
        <f>IFERROR(P3182/O3182,0)</f>
        <v/>
      </c>
      <c r="R3182" s="2">
        <f>TEXT(DATEVALUE(B3182),"mmm")</f>
        <v/>
      </c>
      <c r="S3182" s="2">
        <f>TEXT(DATEVALUE(B3182),"yyyy-mm")</f>
        <v/>
      </c>
    </row>
    <row r="3183">
      <c r="A3183" s="2" t="inlineStr">
        <is>
          <t>O001957</t>
        </is>
      </c>
      <c r="B3183" s="2" t="inlineStr">
        <is>
          <t>2025-08-19</t>
        </is>
      </c>
      <c r="C3183" s="2" t="inlineStr">
        <is>
          <t>C0684</t>
        </is>
      </c>
      <c r="D3183" s="2" t="inlineStr">
        <is>
          <t>P0005</t>
        </is>
      </c>
      <c r="E3183" s="2" t="inlineStr">
        <is>
          <t>Power Bank</t>
        </is>
      </c>
      <c r="F3183" s="2" t="inlineStr">
        <is>
          <t>Electronics</t>
        </is>
      </c>
      <c r="G3183" s="2" t="inlineStr">
        <is>
          <t>South</t>
        </is>
      </c>
      <c r="H3183" s="2" t="inlineStr">
        <is>
          <t>Tamil Nadu</t>
        </is>
      </c>
      <c r="I3183" s="2" t="inlineStr">
        <is>
          <t>Chennai</t>
        </is>
      </c>
      <c r="J3183" s="2" t="inlineStr">
        <is>
          <t>Store</t>
        </is>
      </c>
      <c r="K3183" s="2" t="n">
        <v>1</v>
      </c>
      <c r="L3183" s="3" t="n">
        <v>1164.62</v>
      </c>
      <c r="M3183" s="4" t="n">
        <v>0.1</v>
      </c>
      <c r="N3183" s="3" t="n">
        <v>657.73</v>
      </c>
      <c r="O3183" s="3">
        <f>K3183*L3183*(1-M3183)</f>
        <v/>
      </c>
      <c r="P3183" s="3">
        <f>O3183-N3183</f>
        <v/>
      </c>
      <c r="Q3183" s="5">
        <f>IFERROR(P3183/O3183,0)</f>
        <v/>
      </c>
      <c r="R3183" s="2">
        <f>TEXT(DATEVALUE(B3183),"mmm")</f>
        <v/>
      </c>
      <c r="S3183" s="2">
        <f>TEXT(DATEVALUE(B3183),"yyyy-mm")</f>
        <v/>
      </c>
    </row>
    <row r="3184">
      <c r="A3184" s="2" t="inlineStr">
        <is>
          <t>O001082</t>
        </is>
      </c>
      <c r="B3184" s="2" t="inlineStr">
        <is>
          <t>2025-08-19</t>
        </is>
      </c>
      <c r="C3184" s="2" t="inlineStr">
        <is>
          <t>C0259</t>
        </is>
      </c>
      <c r="D3184" s="2" t="inlineStr">
        <is>
          <t>P0027</t>
        </is>
      </c>
      <c r="E3184" s="2" t="inlineStr">
        <is>
          <t>Moisturizer</t>
        </is>
      </c>
      <c r="F3184" s="2" t="inlineStr">
        <is>
          <t>Beauty</t>
        </is>
      </c>
      <c r="G3184" s="2" t="inlineStr">
        <is>
          <t>West</t>
        </is>
      </c>
      <c r="H3184" s="2" t="inlineStr">
        <is>
          <t>Goa</t>
        </is>
      </c>
      <c r="I3184" s="2" t="inlineStr">
        <is>
          <t>Panaji</t>
        </is>
      </c>
      <c r="J3184" s="2" t="inlineStr">
        <is>
          <t>Online</t>
        </is>
      </c>
      <c r="K3184" s="2" t="n">
        <v>1</v>
      </c>
      <c r="L3184" s="3" t="n">
        <v>949.03</v>
      </c>
      <c r="M3184" s="4" t="n">
        <v>0.1</v>
      </c>
      <c r="N3184" s="3" t="n">
        <v>702.26</v>
      </c>
      <c r="O3184" s="3">
        <f>K3184*L3184*(1-M3184)</f>
        <v/>
      </c>
      <c r="P3184" s="3">
        <f>O3184-N3184</f>
        <v/>
      </c>
      <c r="Q3184" s="5">
        <f>IFERROR(P3184/O3184,0)</f>
        <v/>
      </c>
      <c r="R3184" s="2">
        <f>TEXT(DATEVALUE(B3184),"mmm")</f>
        <v/>
      </c>
      <c r="S3184" s="2">
        <f>TEXT(DATEVALUE(B3184),"yyyy-mm")</f>
        <v/>
      </c>
    </row>
    <row r="3185">
      <c r="A3185" s="2" t="inlineStr">
        <is>
          <t>O000911</t>
        </is>
      </c>
      <c r="B3185" s="2" t="inlineStr">
        <is>
          <t>2025-08-19</t>
        </is>
      </c>
      <c r="C3185" s="2" t="inlineStr">
        <is>
          <t>C0546</t>
        </is>
      </c>
      <c r="D3185" s="2" t="inlineStr">
        <is>
          <t>P0021</t>
        </is>
      </c>
      <c r="E3185" s="2" t="inlineStr">
        <is>
          <t>Wallet</t>
        </is>
      </c>
      <c r="F3185" s="2" t="inlineStr">
        <is>
          <t>Fashion</t>
        </is>
      </c>
      <c r="G3185" s="2" t="inlineStr">
        <is>
          <t>West</t>
        </is>
      </c>
      <c r="H3185" s="2" t="inlineStr">
        <is>
          <t>Goa</t>
        </is>
      </c>
      <c r="I3185" s="2" t="inlineStr">
        <is>
          <t>Margao</t>
        </is>
      </c>
      <c r="J3185" s="2" t="inlineStr">
        <is>
          <t>Online</t>
        </is>
      </c>
      <c r="K3185" s="2" t="n">
        <v>2</v>
      </c>
      <c r="L3185" s="3" t="n">
        <v>1947.82</v>
      </c>
      <c r="M3185" s="4" t="n">
        <v>0.2</v>
      </c>
      <c r="N3185" s="3" t="n">
        <v>2355.78</v>
      </c>
      <c r="O3185" s="3">
        <f>K3185*L3185*(1-M3185)</f>
        <v/>
      </c>
      <c r="P3185" s="3">
        <f>O3185-N3185</f>
        <v/>
      </c>
      <c r="Q3185" s="5">
        <f>IFERROR(P3185/O3185,0)</f>
        <v/>
      </c>
      <c r="R3185" s="2">
        <f>TEXT(DATEVALUE(B3185),"mmm")</f>
        <v/>
      </c>
      <c r="S3185" s="2">
        <f>TEXT(DATEVALUE(B3185),"yyyy-mm")</f>
        <v/>
      </c>
    </row>
    <row r="3186">
      <c r="A3186" s="2" t="inlineStr">
        <is>
          <t>O000173</t>
        </is>
      </c>
      <c r="B3186" s="2" t="inlineStr">
        <is>
          <t>2025-08-19</t>
        </is>
      </c>
      <c r="C3186" s="2" t="inlineStr">
        <is>
          <t>C0602</t>
        </is>
      </c>
      <c r="D3186" s="2" t="inlineStr">
        <is>
          <t>P0026</t>
        </is>
      </c>
      <c r="E3186" s="2" t="inlineStr">
        <is>
          <t>Shampoo</t>
        </is>
      </c>
      <c r="F3186" s="2" t="inlineStr">
        <is>
          <t>Beauty</t>
        </is>
      </c>
      <c r="G3186" s="2" t="inlineStr">
        <is>
          <t>South</t>
        </is>
      </c>
      <c r="H3186" s="2" t="inlineStr">
        <is>
          <t>Kerala</t>
        </is>
      </c>
      <c r="I3186" s="2" t="inlineStr">
        <is>
          <t>Thiruvananthapuram</t>
        </is>
      </c>
      <c r="J3186" s="2" t="inlineStr">
        <is>
          <t>Online</t>
        </is>
      </c>
      <c r="K3186" s="2" t="n">
        <v>1</v>
      </c>
      <c r="L3186" s="3" t="n">
        <v>879.14</v>
      </c>
      <c r="M3186" s="4" t="n">
        <v>0.1</v>
      </c>
      <c r="N3186" s="3" t="n">
        <v>535.58</v>
      </c>
      <c r="O3186" s="3">
        <f>K3186*L3186*(1-M3186)</f>
        <v/>
      </c>
      <c r="P3186" s="3">
        <f>O3186-N3186</f>
        <v/>
      </c>
      <c r="Q3186" s="5">
        <f>IFERROR(P3186/O3186,0)</f>
        <v/>
      </c>
      <c r="R3186" s="2">
        <f>TEXT(DATEVALUE(B3186),"mmm")</f>
        <v/>
      </c>
      <c r="S3186" s="2">
        <f>TEXT(DATEVALUE(B3186),"yyyy-mm")</f>
        <v/>
      </c>
    </row>
    <row r="3187">
      <c r="A3187" s="2" t="inlineStr">
        <is>
          <t>O000146</t>
        </is>
      </c>
      <c r="B3187" s="2" t="inlineStr">
        <is>
          <t>2025-08-19</t>
        </is>
      </c>
      <c r="C3187" s="2" t="inlineStr">
        <is>
          <t>C0118</t>
        </is>
      </c>
      <c r="D3187" s="2" t="inlineStr">
        <is>
          <t>P0004</t>
        </is>
      </c>
      <c r="E3187" s="2" t="inlineStr">
        <is>
          <t>USB-C Hub</t>
        </is>
      </c>
      <c r="F3187" s="2" t="inlineStr">
        <is>
          <t>Electronics</t>
        </is>
      </c>
      <c r="G3187" s="2" t="inlineStr">
        <is>
          <t>West</t>
        </is>
      </c>
      <c r="H3187" s="2" t="inlineStr">
        <is>
          <t>Goa</t>
        </is>
      </c>
      <c r="I3187" s="2" t="inlineStr">
        <is>
          <t>Panaji</t>
        </is>
      </c>
      <c r="J3187" s="2" t="inlineStr">
        <is>
          <t>Online</t>
        </is>
      </c>
      <c r="K3187" s="2" t="n">
        <v>2</v>
      </c>
      <c r="L3187" s="3" t="n">
        <v>1322.39</v>
      </c>
      <c r="M3187" s="4" t="n">
        <v>0.05</v>
      </c>
      <c r="N3187" s="3" t="n">
        <v>1901.61</v>
      </c>
      <c r="O3187" s="3">
        <f>K3187*L3187*(1-M3187)</f>
        <v/>
      </c>
      <c r="P3187" s="3">
        <f>O3187-N3187</f>
        <v/>
      </c>
      <c r="Q3187" s="5">
        <f>IFERROR(P3187/O3187,0)</f>
        <v/>
      </c>
      <c r="R3187" s="2">
        <f>TEXT(DATEVALUE(B3187),"mmm")</f>
        <v/>
      </c>
      <c r="S3187" s="2">
        <f>TEXT(DATEVALUE(B3187),"yyyy-mm")</f>
        <v/>
      </c>
    </row>
    <row r="3188">
      <c r="A3188" s="2" t="inlineStr">
        <is>
          <t>O000141</t>
        </is>
      </c>
      <c r="B3188" s="2" t="inlineStr">
        <is>
          <t>2025-08-19</t>
        </is>
      </c>
      <c r="C3188" s="2" t="inlineStr">
        <is>
          <t>C0294</t>
        </is>
      </c>
      <c r="D3188" s="2" t="inlineStr">
        <is>
          <t>P0018</t>
        </is>
      </c>
      <c r="E3188" s="2" t="inlineStr">
        <is>
          <t>Backpack</t>
        </is>
      </c>
      <c r="F3188" s="2" t="inlineStr">
        <is>
          <t>Fashion</t>
        </is>
      </c>
      <c r="G3188" s="2" t="inlineStr">
        <is>
          <t>North</t>
        </is>
      </c>
      <c r="H3188" s="2" t="inlineStr">
        <is>
          <t>Punjab</t>
        </is>
      </c>
      <c r="I3188" s="2" t="inlineStr">
        <is>
          <t>Jalandhar</t>
        </is>
      </c>
      <c r="J3188" s="2" t="inlineStr">
        <is>
          <t>Store</t>
        </is>
      </c>
      <c r="K3188" s="2" t="n">
        <v>2</v>
      </c>
      <c r="L3188" s="3" t="n">
        <v>1783.83</v>
      </c>
      <c r="M3188" s="4" t="n">
        <v>0.05</v>
      </c>
      <c r="N3188" s="3" t="n">
        <v>2791.89</v>
      </c>
      <c r="O3188" s="3">
        <f>K3188*L3188*(1-M3188)</f>
        <v/>
      </c>
      <c r="P3188" s="3">
        <f>O3188-N3188</f>
        <v/>
      </c>
      <c r="Q3188" s="5">
        <f>IFERROR(P3188/O3188,0)</f>
        <v/>
      </c>
      <c r="R3188" s="2">
        <f>TEXT(DATEVALUE(B3188),"mmm")</f>
        <v/>
      </c>
      <c r="S3188" s="2">
        <f>TEXT(DATEVALUE(B3188),"yyyy-mm")</f>
        <v/>
      </c>
    </row>
    <row r="3189">
      <c r="A3189" s="2" t="inlineStr">
        <is>
          <t>O000108</t>
        </is>
      </c>
      <c r="B3189" s="2" t="inlineStr">
        <is>
          <t>2025-08-19</t>
        </is>
      </c>
      <c r="C3189" s="2" t="inlineStr">
        <is>
          <t>C0454</t>
        </is>
      </c>
      <c r="D3189" s="2" t="inlineStr">
        <is>
          <t>P0022</t>
        </is>
      </c>
      <c r="E3189" s="2" t="inlineStr">
        <is>
          <t>Face Wash</t>
        </is>
      </c>
      <c r="F3189" s="2" t="inlineStr">
        <is>
          <t>Beauty</t>
        </is>
      </c>
      <c r="G3189" s="2" t="inlineStr">
        <is>
          <t>West</t>
        </is>
      </c>
      <c r="H3189" s="2" t="inlineStr">
        <is>
          <t>Gujarat</t>
        </is>
      </c>
      <c r="I3189" s="2" t="inlineStr">
        <is>
          <t>Vadodara</t>
        </is>
      </c>
      <c r="J3189" s="2" t="inlineStr">
        <is>
          <t>Store</t>
        </is>
      </c>
      <c r="K3189" s="2" t="n">
        <v>1</v>
      </c>
      <c r="L3189" s="3" t="n">
        <v>539.63</v>
      </c>
      <c r="M3189" s="4" t="n">
        <v>0.15</v>
      </c>
      <c r="N3189" s="3" t="n">
        <v>351.88</v>
      </c>
      <c r="O3189" s="3">
        <f>K3189*L3189*(1-M3189)</f>
        <v/>
      </c>
      <c r="P3189" s="3">
        <f>O3189-N3189</f>
        <v/>
      </c>
      <c r="Q3189" s="5">
        <f>IFERROR(P3189/O3189,0)</f>
        <v/>
      </c>
      <c r="R3189" s="2">
        <f>TEXT(DATEVALUE(B3189),"mmm")</f>
        <v/>
      </c>
      <c r="S3189" s="2">
        <f>TEXT(DATEVALUE(B3189),"yyyy-mm")</f>
        <v/>
      </c>
    </row>
    <row r="3190">
      <c r="A3190" s="2" t="inlineStr">
        <is>
          <t>O004807</t>
        </is>
      </c>
      <c r="B3190" s="2" t="inlineStr">
        <is>
          <t>2025-08-20</t>
        </is>
      </c>
      <c r="C3190" s="2" t="inlineStr">
        <is>
          <t>C0780</t>
        </is>
      </c>
      <c r="D3190" s="2" t="inlineStr">
        <is>
          <t>P0022</t>
        </is>
      </c>
      <c r="E3190" s="2" t="inlineStr">
        <is>
          <t>Face Wash</t>
        </is>
      </c>
      <c r="F3190" s="2" t="inlineStr">
        <is>
          <t>Beauty</t>
        </is>
      </c>
      <c r="G3190" s="2" t="inlineStr">
        <is>
          <t>East</t>
        </is>
      </c>
      <c r="H3190" s="2" t="inlineStr">
        <is>
          <t>Odisha</t>
        </is>
      </c>
      <c r="I3190" s="2" t="inlineStr">
        <is>
          <t>Cuttack</t>
        </is>
      </c>
      <c r="J3190" s="2" t="inlineStr">
        <is>
          <t>Online</t>
        </is>
      </c>
      <c r="K3190" s="2" t="n">
        <v>1</v>
      </c>
      <c r="L3190" s="3" t="n">
        <v>547.73</v>
      </c>
      <c r="M3190" s="4" t="n">
        <v>0.15</v>
      </c>
      <c r="N3190" s="3" t="n">
        <v>359.11</v>
      </c>
      <c r="O3190" s="3">
        <f>K3190*L3190*(1-M3190)</f>
        <v/>
      </c>
      <c r="P3190" s="3">
        <f>O3190-N3190</f>
        <v/>
      </c>
      <c r="Q3190" s="5">
        <f>IFERROR(P3190/O3190,0)</f>
        <v/>
      </c>
      <c r="R3190" s="2">
        <f>TEXT(DATEVALUE(B3190),"mmm")</f>
        <v/>
      </c>
      <c r="S3190" s="2">
        <f>TEXT(DATEVALUE(B3190),"yyyy-mm")</f>
        <v/>
      </c>
    </row>
    <row r="3191">
      <c r="A3191" s="2" t="inlineStr">
        <is>
          <t>O004657</t>
        </is>
      </c>
      <c r="B3191" s="2" t="inlineStr">
        <is>
          <t>2025-08-20</t>
        </is>
      </c>
      <c r="C3191" s="2" t="inlineStr">
        <is>
          <t>C0434</t>
        </is>
      </c>
      <c r="D3191" s="2" t="inlineStr">
        <is>
          <t>P0022</t>
        </is>
      </c>
      <c r="E3191" s="2" t="inlineStr">
        <is>
          <t>Face Wash</t>
        </is>
      </c>
      <c r="F3191" s="2" t="inlineStr">
        <is>
          <t>Beauty</t>
        </is>
      </c>
      <c r="G3191" s="2" t="inlineStr">
        <is>
          <t>North</t>
        </is>
      </c>
      <c r="H3191" s="2" t="inlineStr">
        <is>
          <t>Uttar Pradesh</t>
        </is>
      </c>
      <c r="I3191" s="2" t="inlineStr">
        <is>
          <t>Varanasi</t>
        </is>
      </c>
      <c r="J3191" s="2" t="inlineStr">
        <is>
          <t>Online</t>
        </is>
      </c>
      <c r="K3191" s="2" t="n">
        <v>1</v>
      </c>
      <c r="L3191" s="3" t="n">
        <v>559.14</v>
      </c>
      <c r="M3191" s="4" t="n">
        <v>0</v>
      </c>
      <c r="N3191" s="3" t="n">
        <v>343.17</v>
      </c>
      <c r="O3191" s="3">
        <f>K3191*L3191*(1-M3191)</f>
        <v/>
      </c>
      <c r="P3191" s="3">
        <f>O3191-N3191</f>
        <v/>
      </c>
      <c r="Q3191" s="5">
        <f>IFERROR(P3191/O3191,0)</f>
        <v/>
      </c>
      <c r="R3191" s="2">
        <f>TEXT(DATEVALUE(B3191),"mmm")</f>
        <v/>
      </c>
      <c r="S3191" s="2">
        <f>TEXT(DATEVALUE(B3191),"yyyy-mm")</f>
        <v/>
      </c>
    </row>
    <row r="3192">
      <c r="A3192" s="2" t="inlineStr">
        <is>
          <t>O003584</t>
        </is>
      </c>
      <c r="B3192" s="2" t="inlineStr">
        <is>
          <t>2025-08-20</t>
        </is>
      </c>
      <c r="C3192" s="2" t="inlineStr">
        <is>
          <t>C0758</t>
        </is>
      </c>
      <c r="D3192" s="2" t="inlineStr">
        <is>
          <t>P0014</t>
        </is>
      </c>
      <c r="E3192" s="2" t="inlineStr">
        <is>
          <t>Coffee Maker</t>
        </is>
      </c>
      <c r="F3192" s="2" t="inlineStr">
        <is>
          <t>Home &amp; Kitchen</t>
        </is>
      </c>
      <c r="G3192" s="2" t="inlineStr">
        <is>
          <t>West</t>
        </is>
      </c>
      <c r="H3192" s="2" t="inlineStr">
        <is>
          <t>Goa</t>
        </is>
      </c>
      <c r="I3192" s="2" t="inlineStr">
        <is>
          <t>Panaji</t>
        </is>
      </c>
      <c r="J3192" s="2" t="inlineStr">
        <is>
          <t>Store</t>
        </is>
      </c>
      <c r="K3192" s="2" t="n">
        <v>1</v>
      </c>
      <c r="L3192" s="3" t="n">
        <v>1002.12</v>
      </c>
      <c r="M3192" s="4" t="n">
        <v>0</v>
      </c>
      <c r="N3192" s="3" t="n">
        <v>742.98</v>
      </c>
      <c r="O3192" s="3">
        <f>K3192*L3192*(1-M3192)</f>
        <v/>
      </c>
      <c r="P3192" s="3">
        <f>O3192-N3192</f>
        <v/>
      </c>
      <c r="Q3192" s="5">
        <f>IFERROR(P3192/O3192,0)</f>
        <v/>
      </c>
      <c r="R3192" s="2">
        <f>TEXT(DATEVALUE(B3192),"mmm")</f>
        <v/>
      </c>
      <c r="S3192" s="2">
        <f>TEXT(DATEVALUE(B3192),"yyyy-mm")</f>
        <v/>
      </c>
    </row>
    <row r="3193">
      <c r="A3193" s="2" t="inlineStr">
        <is>
          <t>O003195</t>
        </is>
      </c>
      <c r="B3193" s="2" t="inlineStr">
        <is>
          <t>2025-08-20</t>
        </is>
      </c>
      <c r="C3193" s="2" t="inlineStr">
        <is>
          <t>C0587</t>
        </is>
      </c>
      <c r="D3193" s="2" t="inlineStr">
        <is>
          <t>P0031</t>
        </is>
      </c>
      <c r="E3193" s="2" t="inlineStr">
        <is>
          <t>Cricket Bat</t>
        </is>
      </c>
      <c r="F3193" s="2" t="inlineStr">
        <is>
          <t>Sports</t>
        </is>
      </c>
      <c r="G3193" s="2" t="inlineStr">
        <is>
          <t>West</t>
        </is>
      </c>
      <c r="H3193" s="2" t="inlineStr">
        <is>
          <t>Goa</t>
        </is>
      </c>
      <c r="I3193" s="2" t="inlineStr">
        <is>
          <t>Panaji</t>
        </is>
      </c>
      <c r="J3193" s="2" t="inlineStr">
        <is>
          <t>Online</t>
        </is>
      </c>
      <c r="K3193" s="2" t="n">
        <v>3</v>
      </c>
      <c r="L3193" s="3" t="n">
        <v>1371.02</v>
      </c>
      <c r="M3193" s="4" t="n">
        <v>0.15</v>
      </c>
      <c r="N3193" s="3" t="n">
        <v>2778.3</v>
      </c>
      <c r="O3193" s="3">
        <f>K3193*L3193*(1-M3193)</f>
        <v/>
      </c>
      <c r="P3193" s="3">
        <f>O3193-N3193</f>
        <v/>
      </c>
      <c r="Q3193" s="5">
        <f>IFERROR(P3193/O3193,0)</f>
        <v/>
      </c>
      <c r="R3193" s="2">
        <f>TEXT(DATEVALUE(B3193),"mmm")</f>
        <v/>
      </c>
      <c r="S3193" s="2">
        <f>TEXT(DATEVALUE(B3193),"yyyy-mm")</f>
        <v/>
      </c>
    </row>
    <row r="3194">
      <c r="A3194" s="2" t="inlineStr">
        <is>
          <t>O002939</t>
        </is>
      </c>
      <c r="B3194" s="2" t="inlineStr">
        <is>
          <t>2025-08-20</t>
        </is>
      </c>
      <c r="C3194" s="2" t="inlineStr">
        <is>
          <t>C0766</t>
        </is>
      </c>
      <c r="D3194" s="2" t="inlineStr">
        <is>
          <t>P0022</t>
        </is>
      </c>
      <c r="E3194" s="2" t="inlineStr">
        <is>
          <t>Face Wash</t>
        </is>
      </c>
      <c r="F3194" s="2" t="inlineStr">
        <is>
          <t>Beauty</t>
        </is>
      </c>
      <c r="G3194" s="2" t="inlineStr">
        <is>
          <t>South</t>
        </is>
      </c>
      <c r="H3194" s="2" t="inlineStr">
        <is>
          <t>Tamil Nadu</t>
        </is>
      </c>
      <c r="I3194" s="2" t="inlineStr">
        <is>
          <t>Madurai</t>
        </is>
      </c>
      <c r="J3194" s="2" t="inlineStr">
        <is>
          <t>Online</t>
        </is>
      </c>
      <c r="K3194" s="2" t="n">
        <v>2</v>
      </c>
      <c r="L3194" s="3" t="n">
        <v>555.88</v>
      </c>
      <c r="M3194" s="4" t="n">
        <v>0</v>
      </c>
      <c r="N3194" s="3" t="n">
        <v>695.08</v>
      </c>
      <c r="O3194" s="3">
        <f>K3194*L3194*(1-M3194)</f>
        <v/>
      </c>
      <c r="P3194" s="3">
        <f>O3194-N3194</f>
        <v/>
      </c>
      <c r="Q3194" s="5">
        <f>IFERROR(P3194/O3194,0)</f>
        <v/>
      </c>
      <c r="R3194" s="2">
        <f>TEXT(DATEVALUE(B3194),"mmm")</f>
        <v/>
      </c>
      <c r="S3194" s="2">
        <f>TEXT(DATEVALUE(B3194),"yyyy-mm")</f>
        <v/>
      </c>
    </row>
    <row r="3195">
      <c r="A3195" s="2" t="inlineStr">
        <is>
          <t>O001385</t>
        </is>
      </c>
      <c r="B3195" s="2" t="inlineStr">
        <is>
          <t>2025-08-20</t>
        </is>
      </c>
      <c r="C3195" s="2" t="inlineStr">
        <is>
          <t>C0046</t>
        </is>
      </c>
      <c r="D3195" s="2" t="inlineStr">
        <is>
          <t>P0011</t>
        </is>
      </c>
      <c r="E3195" s="2" t="inlineStr">
        <is>
          <t>Cookware Set</t>
        </is>
      </c>
      <c r="F3195" s="2" t="inlineStr">
        <is>
          <t>Home &amp; Kitchen</t>
        </is>
      </c>
      <c r="G3195" s="2" t="inlineStr">
        <is>
          <t>West</t>
        </is>
      </c>
      <c r="H3195" s="2" t="inlineStr">
        <is>
          <t>Goa</t>
        </is>
      </c>
      <c r="I3195" s="2" t="inlineStr">
        <is>
          <t>Margao</t>
        </is>
      </c>
      <c r="J3195" s="2" t="inlineStr">
        <is>
          <t>Store</t>
        </is>
      </c>
      <c r="K3195" s="2" t="n">
        <v>2</v>
      </c>
      <c r="L3195" s="3" t="n">
        <v>704.9400000000001</v>
      </c>
      <c r="M3195" s="4" t="n">
        <v>0.15</v>
      </c>
      <c r="N3195" s="3" t="n">
        <v>931.16</v>
      </c>
      <c r="O3195" s="3">
        <f>K3195*L3195*(1-M3195)</f>
        <v/>
      </c>
      <c r="P3195" s="3">
        <f>O3195-N3195</f>
        <v/>
      </c>
      <c r="Q3195" s="5">
        <f>IFERROR(P3195/O3195,0)</f>
        <v/>
      </c>
      <c r="R3195" s="2">
        <f>TEXT(DATEVALUE(B3195),"mmm")</f>
        <v/>
      </c>
      <c r="S3195" s="2">
        <f>TEXT(DATEVALUE(B3195),"yyyy-mm")</f>
        <v/>
      </c>
    </row>
    <row r="3196">
      <c r="A3196" s="2" t="inlineStr">
        <is>
          <t>O002528</t>
        </is>
      </c>
      <c r="B3196" s="2" t="inlineStr">
        <is>
          <t>2025-08-20</t>
        </is>
      </c>
      <c r="C3196" s="2" t="inlineStr">
        <is>
          <t>C0397</t>
        </is>
      </c>
      <c r="D3196" s="2" t="inlineStr">
        <is>
          <t>P0027</t>
        </is>
      </c>
      <c r="E3196" s="2" t="inlineStr">
        <is>
          <t>Moisturizer</t>
        </is>
      </c>
      <c r="F3196" s="2" t="inlineStr">
        <is>
          <t>Beauty</t>
        </is>
      </c>
      <c r="G3196" s="2" t="inlineStr">
        <is>
          <t>South</t>
        </is>
      </c>
      <c r="H3196" s="2" t="inlineStr">
        <is>
          <t>Telangana</t>
        </is>
      </c>
      <c r="I3196" s="2" t="inlineStr">
        <is>
          <t>Warangal</t>
        </is>
      </c>
      <c r="J3196" s="2" t="inlineStr">
        <is>
          <t>Online</t>
        </is>
      </c>
      <c r="K3196" s="2" t="n">
        <v>1</v>
      </c>
      <c r="L3196" s="3" t="n">
        <v>976.66</v>
      </c>
      <c r="M3196" s="4" t="n">
        <v>0</v>
      </c>
      <c r="N3196" s="3" t="n">
        <v>685.8099999999999</v>
      </c>
      <c r="O3196" s="3">
        <f>K3196*L3196*(1-M3196)</f>
        <v/>
      </c>
      <c r="P3196" s="3">
        <f>O3196-N3196</f>
        <v/>
      </c>
      <c r="Q3196" s="5">
        <f>IFERROR(P3196/O3196,0)</f>
        <v/>
      </c>
      <c r="R3196" s="2">
        <f>TEXT(DATEVALUE(B3196),"mmm")</f>
        <v/>
      </c>
      <c r="S3196" s="2">
        <f>TEXT(DATEVALUE(B3196),"yyyy-mm")</f>
        <v/>
      </c>
    </row>
    <row r="3197">
      <c r="A3197" s="2" t="inlineStr">
        <is>
          <t>O002507</t>
        </is>
      </c>
      <c r="B3197" s="2" t="inlineStr">
        <is>
          <t>2025-08-20</t>
        </is>
      </c>
      <c r="C3197" s="2" t="inlineStr">
        <is>
          <t>C0355</t>
        </is>
      </c>
      <c r="D3197" s="2" t="inlineStr">
        <is>
          <t>P0003</t>
        </is>
      </c>
      <c r="E3197" s="2" t="inlineStr">
        <is>
          <t>Smartwatch</t>
        </is>
      </c>
      <c r="F3197" s="2" t="inlineStr">
        <is>
          <t>Electronics</t>
        </is>
      </c>
      <c r="G3197" s="2" t="inlineStr">
        <is>
          <t>North</t>
        </is>
      </c>
      <c r="H3197" s="2" t="inlineStr">
        <is>
          <t>Haryana</t>
        </is>
      </c>
      <c r="I3197" s="2" t="inlineStr">
        <is>
          <t>Gurugram</t>
        </is>
      </c>
      <c r="J3197" s="2" t="inlineStr">
        <is>
          <t>Online</t>
        </is>
      </c>
      <c r="K3197" s="2" t="n">
        <v>2</v>
      </c>
      <c r="L3197" s="3" t="n">
        <v>2345.95</v>
      </c>
      <c r="M3197" s="4" t="n">
        <v>0.05</v>
      </c>
      <c r="N3197" s="3" t="n">
        <v>2327.97</v>
      </c>
      <c r="O3197" s="3">
        <f>K3197*L3197*(1-M3197)</f>
        <v/>
      </c>
      <c r="P3197" s="3">
        <f>O3197-N3197</f>
        <v/>
      </c>
      <c r="Q3197" s="5">
        <f>IFERROR(P3197/O3197,0)</f>
        <v/>
      </c>
      <c r="R3197" s="2">
        <f>TEXT(DATEVALUE(B3197),"mmm")</f>
        <v/>
      </c>
      <c r="S3197" s="2">
        <f>TEXT(DATEVALUE(B3197),"yyyy-mm")</f>
        <v/>
      </c>
    </row>
    <row r="3198">
      <c r="A3198" s="2" t="inlineStr">
        <is>
          <t>O002269</t>
        </is>
      </c>
      <c r="B3198" s="2" t="inlineStr">
        <is>
          <t>2025-08-20</t>
        </is>
      </c>
      <c r="C3198" s="2" t="inlineStr">
        <is>
          <t>C0070</t>
        </is>
      </c>
      <c r="D3198" s="2" t="inlineStr">
        <is>
          <t>P0016</t>
        </is>
      </c>
      <c r="E3198" s="2" t="inlineStr">
        <is>
          <t>Casual Shirt</t>
        </is>
      </c>
      <c r="F3198" s="2" t="inlineStr">
        <is>
          <t>Fashion</t>
        </is>
      </c>
      <c r="G3198" s="2" t="inlineStr">
        <is>
          <t>East</t>
        </is>
      </c>
      <c r="H3198" s="2" t="inlineStr">
        <is>
          <t>West Bengal</t>
        </is>
      </c>
      <c r="I3198" s="2" t="inlineStr">
        <is>
          <t>Durgapur</t>
        </is>
      </c>
      <c r="J3198" s="2" t="inlineStr">
        <is>
          <t>Online</t>
        </is>
      </c>
      <c r="K3198" s="2" t="n">
        <v>2</v>
      </c>
      <c r="L3198" s="3" t="n">
        <v>1292.06</v>
      </c>
      <c r="M3198" s="4" t="n">
        <v>0</v>
      </c>
      <c r="N3198" s="3" t="n">
        <v>1794.73</v>
      </c>
      <c r="O3198" s="3">
        <f>K3198*L3198*(1-M3198)</f>
        <v/>
      </c>
      <c r="P3198" s="3">
        <f>O3198-N3198</f>
        <v/>
      </c>
      <c r="Q3198" s="5">
        <f>IFERROR(P3198/O3198,0)</f>
        <v/>
      </c>
      <c r="R3198" s="2">
        <f>TEXT(DATEVALUE(B3198),"mmm")</f>
        <v/>
      </c>
      <c r="S3198" s="2">
        <f>TEXT(DATEVALUE(B3198),"yyyy-mm")</f>
        <v/>
      </c>
    </row>
    <row r="3199">
      <c r="A3199" s="2" t="inlineStr">
        <is>
          <t>O002065</t>
        </is>
      </c>
      <c r="B3199" s="2" t="inlineStr">
        <is>
          <t>2025-08-20</t>
        </is>
      </c>
      <c r="C3199" s="2" t="inlineStr">
        <is>
          <t>C0201</t>
        </is>
      </c>
      <c r="D3199" s="2" t="inlineStr">
        <is>
          <t>P0007</t>
        </is>
      </c>
      <c r="E3199" s="2" t="inlineStr">
        <is>
          <t>Wireless Mouse</t>
        </is>
      </c>
      <c r="F3199" s="2" t="inlineStr">
        <is>
          <t>Electronics</t>
        </is>
      </c>
      <c r="G3199" s="2" t="inlineStr">
        <is>
          <t>North</t>
        </is>
      </c>
      <c r="H3199" s="2" t="inlineStr">
        <is>
          <t>Delhi</t>
        </is>
      </c>
      <c r="I3199" s="2" t="inlineStr">
        <is>
          <t>New Delhi</t>
        </is>
      </c>
      <c r="J3199" s="2" t="inlineStr">
        <is>
          <t>Online</t>
        </is>
      </c>
      <c r="K3199" s="2" t="n">
        <v>1</v>
      </c>
      <c r="L3199" s="3" t="n">
        <v>1004.9</v>
      </c>
      <c r="M3199" s="4" t="n">
        <v>0.1</v>
      </c>
      <c r="N3199" s="3" t="n">
        <v>613.0700000000001</v>
      </c>
      <c r="O3199" s="3">
        <f>K3199*L3199*(1-M3199)</f>
        <v/>
      </c>
      <c r="P3199" s="3">
        <f>O3199-N3199</f>
        <v/>
      </c>
      <c r="Q3199" s="5">
        <f>IFERROR(P3199/O3199,0)</f>
        <v/>
      </c>
      <c r="R3199" s="2">
        <f>TEXT(DATEVALUE(B3199),"mmm")</f>
        <v/>
      </c>
      <c r="S3199" s="2">
        <f>TEXT(DATEVALUE(B3199),"yyyy-mm")</f>
        <v/>
      </c>
    </row>
    <row r="3200">
      <c r="A3200" s="2" t="inlineStr">
        <is>
          <t>O002555</t>
        </is>
      </c>
      <c r="B3200" s="2" t="inlineStr">
        <is>
          <t>2025-08-20</t>
        </is>
      </c>
      <c r="C3200" s="2" t="inlineStr">
        <is>
          <t>C0626</t>
        </is>
      </c>
      <c r="D3200" s="2" t="inlineStr">
        <is>
          <t>P0022</t>
        </is>
      </c>
      <c r="E3200" s="2" t="inlineStr">
        <is>
          <t>Face Wash</t>
        </is>
      </c>
      <c r="F3200" s="2" t="inlineStr">
        <is>
          <t>Beauty</t>
        </is>
      </c>
      <c r="G3200" s="2" t="inlineStr">
        <is>
          <t>West</t>
        </is>
      </c>
      <c r="H3200" s="2" t="inlineStr">
        <is>
          <t>Gujarat</t>
        </is>
      </c>
      <c r="I3200" s="2" t="inlineStr">
        <is>
          <t>Vadodara</t>
        </is>
      </c>
      <c r="J3200" s="2" t="inlineStr">
        <is>
          <t>Online</t>
        </is>
      </c>
      <c r="K3200" s="2" t="n">
        <v>1</v>
      </c>
      <c r="L3200" s="3" t="n">
        <v>567.64</v>
      </c>
      <c r="M3200" s="4" t="n">
        <v>0.05</v>
      </c>
      <c r="N3200" s="3" t="n">
        <v>350.93</v>
      </c>
      <c r="O3200" s="3">
        <f>K3200*L3200*(1-M3200)</f>
        <v/>
      </c>
      <c r="P3200" s="3">
        <f>O3200-N3200</f>
        <v/>
      </c>
      <c r="Q3200" s="5">
        <f>IFERROR(P3200/O3200,0)</f>
        <v/>
      </c>
      <c r="R3200" s="2">
        <f>TEXT(DATEVALUE(B3200),"mmm")</f>
        <v/>
      </c>
      <c r="S3200" s="2">
        <f>TEXT(DATEVALUE(B3200),"yyyy-mm")</f>
        <v/>
      </c>
    </row>
    <row r="3201">
      <c r="A3201" s="2" t="inlineStr">
        <is>
          <t>O002509</t>
        </is>
      </c>
      <c r="B3201" s="2" t="inlineStr">
        <is>
          <t>2025-08-21</t>
        </is>
      </c>
      <c r="C3201" s="2" t="inlineStr">
        <is>
          <t>C0001</t>
        </is>
      </c>
      <c r="D3201" s="2" t="inlineStr">
        <is>
          <t>P0007</t>
        </is>
      </c>
      <c r="E3201" s="2" t="inlineStr">
        <is>
          <t>Wireless Mouse</t>
        </is>
      </c>
      <c r="F3201" s="2" t="inlineStr">
        <is>
          <t>Electronics</t>
        </is>
      </c>
      <c r="G3201" s="2" t="inlineStr">
        <is>
          <t>South</t>
        </is>
      </c>
      <c r="H3201" s="2" t="inlineStr">
        <is>
          <t>Kerala</t>
        </is>
      </c>
      <c r="I3201" s="2" t="inlineStr">
        <is>
          <t>Thiruvananthapuram</t>
        </is>
      </c>
      <c r="J3201" s="2" t="inlineStr">
        <is>
          <t>Online</t>
        </is>
      </c>
      <c r="K3201" s="2" t="n">
        <v>5</v>
      </c>
      <c r="L3201" s="3" t="n">
        <v>961.89</v>
      </c>
      <c r="M3201" s="4" t="n">
        <v>0.05</v>
      </c>
      <c r="N3201" s="3" t="n">
        <v>3146.51</v>
      </c>
      <c r="O3201" s="3">
        <f>K3201*L3201*(1-M3201)</f>
        <v/>
      </c>
      <c r="P3201" s="3">
        <f>O3201-N3201</f>
        <v/>
      </c>
      <c r="Q3201" s="5">
        <f>IFERROR(P3201/O3201,0)</f>
        <v/>
      </c>
      <c r="R3201" s="2">
        <f>TEXT(DATEVALUE(B3201),"mmm")</f>
        <v/>
      </c>
      <c r="S3201" s="2">
        <f>TEXT(DATEVALUE(B3201),"yyyy-mm")</f>
        <v/>
      </c>
    </row>
    <row r="3202">
      <c r="A3202" s="2" t="inlineStr">
        <is>
          <t>O004647</t>
        </is>
      </c>
      <c r="B3202" s="2" t="inlineStr">
        <is>
          <t>2025-08-21</t>
        </is>
      </c>
      <c r="C3202" s="2" t="inlineStr">
        <is>
          <t>C0008</t>
        </is>
      </c>
      <c r="D3202" s="2" t="inlineStr">
        <is>
          <t>P0004</t>
        </is>
      </c>
      <c r="E3202" s="2" t="inlineStr">
        <is>
          <t>USB-C Hub</t>
        </is>
      </c>
      <c r="F3202" s="2" t="inlineStr">
        <is>
          <t>Electronics</t>
        </is>
      </c>
      <c r="G3202" s="2" t="inlineStr">
        <is>
          <t>North</t>
        </is>
      </c>
      <c r="H3202" s="2" t="inlineStr">
        <is>
          <t>Delhi</t>
        </is>
      </c>
      <c r="I3202" s="2" t="inlineStr">
        <is>
          <t>New Delhi</t>
        </is>
      </c>
      <c r="J3202" s="2" t="inlineStr">
        <is>
          <t>Store</t>
        </is>
      </c>
      <c r="K3202" s="2" t="n">
        <v>3</v>
      </c>
      <c r="L3202" s="3" t="n">
        <v>1293.2</v>
      </c>
      <c r="M3202" s="4" t="n">
        <v>0.05</v>
      </c>
      <c r="N3202" s="3" t="n">
        <v>2684.76</v>
      </c>
      <c r="O3202" s="3">
        <f>K3202*L3202*(1-M3202)</f>
        <v/>
      </c>
      <c r="P3202" s="3">
        <f>O3202-N3202</f>
        <v/>
      </c>
      <c r="Q3202" s="5">
        <f>IFERROR(P3202/O3202,0)</f>
        <v/>
      </c>
      <c r="R3202" s="2">
        <f>TEXT(DATEVALUE(B3202),"mmm")</f>
        <v/>
      </c>
      <c r="S3202" s="2">
        <f>TEXT(DATEVALUE(B3202),"yyyy-mm")</f>
        <v/>
      </c>
    </row>
    <row r="3203">
      <c r="A3203" s="2" t="inlineStr">
        <is>
          <t>O004352</t>
        </is>
      </c>
      <c r="B3203" s="2" t="inlineStr">
        <is>
          <t>2025-08-21</t>
        </is>
      </c>
      <c r="C3203" s="2" t="inlineStr">
        <is>
          <t>C0460</t>
        </is>
      </c>
      <c r="D3203" s="2" t="inlineStr">
        <is>
          <t>P0014</t>
        </is>
      </c>
      <c r="E3203" s="2" t="inlineStr">
        <is>
          <t>Coffee Maker</t>
        </is>
      </c>
      <c r="F3203" s="2" t="inlineStr">
        <is>
          <t>Home &amp; Kitchen</t>
        </is>
      </c>
      <c r="G3203" s="2" t="inlineStr">
        <is>
          <t>East</t>
        </is>
      </c>
      <c r="H3203" s="2" t="inlineStr">
        <is>
          <t>Odisha</t>
        </is>
      </c>
      <c r="I3203" s="2" t="inlineStr">
        <is>
          <t>Cuttack</t>
        </is>
      </c>
      <c r="J3203" s="2" t="inlineStr">
        <is>
          <t>Online</t>
        </is>
      </c>
      <c r="K3203" s="2" t="n">
        <v>1</v>
      </c>
      <c r="L3203" s="3" t="n">
        <v>1043.72</v>
      </c>
      <c r="M3203" s="4" t="n">
        <v>0.05</v>
      </c>
      <c r="N3203" s="3" t="n">
        <v>766.66</v>
      </c>
      <c r="O3203" s="3">
        <f>K3203*L3203*(1-M3203)</f>
        <v/>
      </c>
      <c r="P3203" s="3">
        <f>O3203-N3203</f>
        <v/>
      </c>
      <c r="Q3203" s="5">
        <f>IFERROR(P3203/O3203,0)</f>
        <v/>
      </c>
      <c r="R3203" s="2">
        <f>TEXT(DATEVALUE(B3203),"mmm")</f>
        <v/>
      </c>
      <c r="S3203" s="2">
        <f>TEXT(DATEVALUE(B3203),"yyyy-mm")</f>
        <v/>
      </c>
    </row>
    <row r="3204">
      <c r="A3204" s="2" t="inlineStr">
        <is>
          <t>O003879</t>
        </is>
      </c>
      <c r="B3204" s="2" t="inlineStr">
        <is>
          <t>2025-08-21</t>
        </is>
      </c>
      <c r="C3204" s="2" t="inlineStr">
        <is>
          <t>C0564</t>
        </is>
      </c>
      <c r="D3204" s="2" t="inlineStr">
        <is>
          <t>P0011</t>
        </is>
      </c>
      <c r="E3204" s="2" t="inlineStr">
        <is>
          <t>Cookware Set</t>
        </is>
      </c>
      <c r="F3204" s="2" t="inlineStr">
        <is>
          <t>Home &amp; Kitchen</t>
        </is>
      </c>
      <c r="G3204" s="2" t="inlineStr">
        <is>
          <t>West</t>
        </is>
      </c>
      <c r="H3204" s="2" t="inlineStr">
        <is>
          <t>Goa</t>
        </is>
      </c>
      <c r="I3204" s="2" t="inlineStr">
        <is>
          <t>Margao</t>
        </is>
      </c>
      <c r="J3204" s="2" t="inlineStr">
        <is>
          <t>Store</t>
        </is>
      </c>
      <c r="K3204" s="2" t="n">
        <v>2</v>
      </c>
      <c r="L3204" s="3" t="n">
        <v>695.2</v>
      </c>
      <c r="M3204" s="4" t="n">
        <v>0.1</v>
      </c>
      <c r="N3204" s="3" t="n">
        <v>968.8099999999999</v>
      </c>
      <c r="O3204" s="3">
        <f>K3204*L3204*(1-M3204)</f>
        <v/>
      </c>
      <c r="P3204" s="3">
        <f>O3204-N3204</f>
        <v/>
      </c>
      <c r="Q3204" s="5">
        <f>IFERROR(P3204/O3204,0)</f>
        <v/>
      </c>
      <c r="R3204" s="2">
        <f>TEXT(DATEVALUE(B3204),"mmm")</f>
        <v/>
      </c>
      <c r="S3204" s="2">
        <f>TEXT(DATEVALUE(B3204),"yyyy-mm")</f>
        <v/>
      </c>
    </row>
    <row r="3205">
      <c r="A3205" s="2" t="inlineStr">
        <is>
          <t>O003830</t>
        </is>
      </c>
      <c r="B3205" s="2" t="inlineStr">
        <is>
          <t>2025-08-21</t>
        </is>
      </c>
      <c r="C3205" s="2" t="inlineStr">
        <is>
          <t>C0358</t>
        </is>
      </c>
      <c r="D3205" s="2" t="inlineStr">
        <is>
          <t>P0016</t>
        </is>
      </c>
      <c r="E3205" s="2" t="inlineStr">
        <is>
          <t>Casual Shirt</t>
        </is>
      </c>
      <c r="F3205" s="2" t="inlineStr">
        <is>
          <t>Fashion</t>
        </is>
      </c>
      <c r="G3205" s="2" t="inlineStr">
        <is>
          <t>North</t>
        </is>
      </c>
      <c r="H3205" s="2" t="inlineStr">
        <is>
          <t>Haryana</t>
        </is>
      </c>
      <c r="I3205" s="2" t="inlineStr">
        <is>
          <t>Faridabad</t>
        </is>
      </c>
      <c r="J3205" s="2" t="inlineStr">
        <is>
          <t>Online</t>
        </is>
      </c>
      <c r="K3205" s="2" t="n">
        <v>1</v>
      </c>
      <c r="L3205" s="3" t="n">
        <v>1260.63</v>
      </c>
      <c r="M3205" s="4" t="n">
        <v>0.15</v>
      </c>
      <c r="N3205" s="3" t="n">
        <v>899.1799999999999</v>
      </c>
      <c r="O3205" s="3">
        <f>K3205*L3205*(1-M3205)</f>
        <v/>
      </c>
      <c r="P3205" s="3">
        <f>O3205-N3205</f>
        <v/>
      </c>
      <c r="Q3205" s="5">
        <f>IFERROR(P3205/O3205,0)</f>
        <v/>
      </c>
      <c r="R3205" s="2">
        <f>TEXT(DATEVALUE(B3205),"mmm")</f>
        <v/>
      </c>
      <c r="S3205" s="2">
        <f>TEXT(DATEVALUE(B3205),"yyyy-mm")</f>
        <v/>
      </c>
    </row>
    <row r="3206">
      <c r="A3206" s="2" t="inlineStr">
        <is>
          <t>O003637</t>
        </is>
      </c>
      <c r="B3206" s="2" t="inlineStr">
        <is>
          <t>2025-08-21</t>
        </is>
      </c>
      <c r="C3206" s="2" t="inlineStr">
        <is>
          <t>C0048</t>
        </is>
      </c>
      <c r="D3206" s="2" t="inlineStr">
        <is>
          <t>P0006</t>
        </is>
      </c>
      <c r="E3206" s="2" t="inlineStr">
        <is>
          <t>Mechanical Keyboard</t>
        </is>
      </c>
      <c r="F3206" s="2" t="inlineStr">
        <is>
          <t>Electronics</t>
        </is>
      </c>
      <c r="G3206" s="2" t="inlineStr">
        <is>
          <t>West</t>
        </is>
      </c>
      <c r="H3206" s="2" t="inlineStr">
        <is>
          <t>Goa</t>
        </is>
      </c>
      <c r="I3206" s="2" t="inlineStr">
        <is>
          <t>Margao</t>
        </is>
      </c>
      <c r="J3206" s="2" t="inlineStr">
        <is>
          <t>Online</t>
        </is>
      </c>
      <c r="K3206" s="2" t="n">
        <v>3</v>
      </c>
      <c r="L3206" s="3" t="n">
        <v>2694.97</v>
      </c>
      <c r="M3206" s="4" t="n">
        <v>0.1</v>
      </c>
      <c r="N3206" s="3" t="n">
        <v>4536.25</v>
      </c>
      <c r="O3206" s="3">
        <f>K3206*L3206*(1-M3206)</f>
        <v/>
      </c>
      <c r="P3206" s="3">
        <f>O3206-N3206</f>
        <v/>
      </c>
      <c r="Q3206" s="5">
        <f>IFERROR(P3206/O3206,0)</f>
        <v/>
      </c>
      <c r="R3206" s="2">
        <f>TEXT(DATEVALUE(B3206),"mmm")</f>
        <v/>
      </c>
      <c r="S3206" s="2">
        <f>TEXT(DATEVALUE(B3206),"yyyy-mm")</f>
        <v/>
      </c>
    </row>
    <row r="3207">
      <c r="A3207" s="2" t="inlineStr">
        <is>
          <t>O003255</t>
        </is>
      </c>
      <c r="B3207" s="2" t="inlineStr">
        <is>
          <t>2025-08-21</t>
        </is>
      </c>
      <c r="C3207" s="2" t="inlineStr">
        <is>
          <t>C0690</t>
        </is>
      </c>
      <c r="D3207" s="2" t="inlineStr">
        <is>
          <t>P0007</t>
        </is>
      </c>
      <c r="E3207" s="2" t="inlineStr">
        <is>
          <t>Wireless Mouse</t>
        </is>
      </c>
      <c r="F3207" s="2" t="inlineStr">
        <is>
          <t>Electronics</t>
        </is>
      </c>
      <c r="G3207" s="2" t="inlineStr">
        <is>
          <t>West</t>
        </is>
      </c>
      <c r="H3207" s="2" t="inlineStr">
        <is>
          <t>Gujarat</t>
        </is>
      </c>
      <c r="I3207" s="2" t="inlineStr">
        <is>
          <t>Surat</t>
        </is>
      </c>
      <c r="J3207" s="2" t="inlineStr">
        <is>
          <t>Online</t>
        </is>
      </c>
      <c r="K3207" s="2" t="n">
        <v>2</v>
      </c>
      <c r="L3207" s="3" t="n">
        <v>1011.19</v>
      </c>
      <c r="M3207" s="4" t="n">
        <v>0.05</v>
      </c>
      <c r="N3207" s="3" t="n">
        <v>1219.11</v>
      </c>
      <c r="O3207" s="3">
        <f>K3207*L3207*(1-M3207)</f>
        <v/>
      </c>
      <c r="P3207" s="3">
        <f>O3207-N3207</f>
        <v/>
      </c>
      <c r="Q3207" s="5">
        <f>IFERROR(P3207/O3207,0)</f>
        <v/>
      </c>
      <c r="R3207" s="2">
        <f>TEXT(DATEVALUE(B3207),"mmm")</f>
        <v/>
      </c>
      <c r="S3207" s="2">
        <f>TEXT(DATEVALUE(B3207),"yyyy-mm")</f>
        <v/>
      </c>
    </row>
    <row r="3208">
      <c r="A3208" s="2" t="inlineStr">
        <is>
          <t>O002623</t>
        </is>
      </c>
      <c r="B3208" s="2" t="inlineStr">
        <is>
          <t>2025-08-21</t>
        </is>
      </c>
      <c r="C3208" s="2" t="inlineStr">
        <is>
          <t>C0053</t>
        </is>
      </c>
      <c r="D3208" s="2" t="inlineStr">
        <is>
          <t>P0011</t>
        </is>
      </c>
      <c r="E3208" s="2" t="inlineStr">
        <is>
          <t>Cookware Set</t>
        </is>
      </c>
      <c r="F3208" s="2" t="inlineStr">
        <is>
          <t>Home &amp; Kitchen</t>
        </is>
      </c>
      <c r="G3208" s="2" t="inlineStr">
        <is>
          <t>East</t>
        </is>
      </c>
      <c r="H3208" s="2" t="inlineStr">
        <is>
          <t>Bihar</t>
        </is>
      </c>
      <c r="I3208" s="2" t="inlineStr">
        <is>
          <t>Patna</t>
        </is>
      </c>
      <c r="J3208" s="2" t="inlineStr">
        <is>
          <t>Store</t>
        </is>
      </c>
      <c r="K3208" s="2" t="n">
        <v>2</v>
      </c>
      <c r="L3208" s="3" t="n">
        <v>708.63</v>
      </c>
      <c r="M3208" s="4" t="n">
        <v>0.2</v>
      </c>
      <c r="N3208" s="3" t="n">
        <v>962.01</v>
      </c>
      <c r="O3208" s="3">
        <f>K3208*L3208*(1-M3208)</f>
        <v/>
      </c>
      <c r="P3208" s="3">
        <f>O3208-N3208</f>
        <v/>
      </c>
      <c r="Q3208" s="5">
        <f>IFERROR(P3208/O3208,0)</f>
        <v/>
      </c>
      <c r="R3208" s="2">
        <f>TEXT(DATEVALUE(B3208),"mmm")</f>
        <v/>
      </c>
      <c r="S3208" s="2">
        <f>TEXT(DATEVALUE(B3208),"yyyy-mm")</f>
        <v/>
      </c>
    </row>
    <row r="3209">
      <c r="A3209" s="2" t="inlineStr">
        <is>
          <t>O001686</t>
        </is>
      </c>
      <c r="B3209" s="2" t="inlineStr">
        <is>
          <t>2025-08-21</t>
        </is>
      </c>
      <c r="C3209" s="2" t="inlineStr">
        <is>
          <t>C0342</t>
        </is>
      </c>
      <c r="D3209" s="2" t="inlineStr">
        <is>
          <t>P0011</t>
        </is>
      </c>
      <c r="E3209" s="2" t="inlineStr">
        <is>
          <t>Cookware Set</t>
        </is>
      </c>
      <c r="F3209" s="2" t="inlineStr">
        <is>
          <t>Home &amp; Kitchen</t>
        </is>
      </c>
      <c r="G3209" s="2" t="inlineStr">
        <is>
          <t>South</t>
        </is>
      </c>
      <c r="H3209" s="2" t="inlineStr">
        <is>
          <t>Telangana</t>
        </is>
      </c>
      <c r="I3209" s="2" t="inlineStr">
        <is>
          <t>Warangal</t>
        </is>
      </c>
      <c r="J3209" s="2" t="inlineStr">
        <is>
          <t>Store</t>
        </is>
      </c>
      <c r="K3209" s="2" t="n">
        <v>1</v>
      </c>
      <c r="L3209" s="3" t="n">
        <v>728.49</v>
      </c>
      <c r="M3209" s="4" t="n">
        <v>0.15</v>
      </c>
      <c r="N3209" s="3" t="n">
        <v>463.99</v>
      </c>
      <c r="O3209" s="3">
        <f>K3209*L3209*(1-M3209)</f>
        <v/>
      </c>
      <c r="P3209" s="3">
        <f>O3209-N3209</f>
        <v/>
      </c>
      <c r="Q3209" s="5">
        <f>IFERROR(P3209/O3209,0)</f>
        <v/>
      </c>
      <c r="R3209" s="2">
        <f>TEXT(DATEVALUE(B3209),"mmm")</f>
        <v/>
      </c>
      <c r="S3209" s="2">
        <f>TEXT(DATEVALUE(B3209),"yyyy-mm")</f>
        <v/>
      </c>
    </row>
    <row r="3210">
      <c r="A3210" s="2" t="inlineStr">
        <is>
          <t>O001827</t>
        </is>
      </c>
      <c r="B3210" s="2" t="inlineStr">
        <is>
          <t>2025-08-21</t>
        </is>
      </c>
      <c r="C3210" s="2" t="inlineStr">
        <is>
          <t>C0495</t>
        </is>
      </c>
      <c r="D3210" s="2" t="inlineStr">
        <is>
          <t>P0004</t>
        </is>
      </c>
      <c r="E3210" s="2" t="inlineStr">
        <is>
          <t>USB-C Hub</t>
        </is>
      </c>
      <c r="F3210" s="2" t="inlineStr">
        <is>
          <t>Electronics</t>
        </is>
      </c>
      <c r="G3210" s="2" t="inlineStr">
        <is>
          <t>South</t>
        </is>
      </c>
      <c r="H3210" s="2" t="inlineStr">
        <is>
          <t>Tamil Nadu</t>
        </is>
      </c>
      <c r="I3210" s="2" t="inlineStr">
        <is>
          <t>Madurai</t>
        </is>
      </c>
      <c r="J3210" s="2" t="inlineStr">
        <is>
          <t>Online</t>
        </is>
      </c>
      <c r="K3210" s="2" t="n">
        <v>4</v>
      </c>
      <c r="L3210" s="3" t="n">
        <v>1247.65</v>
      </c>
      <c r="M3210" s="4" t="n">
        <v>0.1</v>
      </c>
      <c r="N3210" s="3" t="n">
        <v>3739.76</v>
      </c>
      <c r="O3210" s="3">
        <f>K3210*L3210*(1-M3210)</f>
        <v/>
      </c>
      <c r="P3210" s="3">
        <f>O3210-N3210</f>
        <v/>
      </c>
      <c r="Q3210" s="5">
        <f>IFERROR(P3210/O3210,0)</f>
        <v/>
      </c>
      <c r="R3210" s="2">
        <f>TEXT(DATEVALUE(B3210),"mmm")</f>
        <v/>
      </c>
      <c r="S3210" s="2">
        <f>TEXT(DATEVALUE(B3210),"yyyy-mm")</f>
        <v/>
      </c>
    </row>
    <row r="3211">
      <c r="A3211" s="2" t="inlineStr">
        <is>
          <t>O000922</t>
        </is>
      </c>
      <c r="B3211" s="2" t="inlineStr">
        <is>
          <t>2025-08-21</t>
        </is>
      </c>
      <c r="C3211" s="2" t="inlineStr">
        <is>
          <t>C0775</t>
        </is>
      </c>
      <c r="D3211" s="2" t="inlineStr">
        <is>
          <t>P0007</t>
        </is>
      </c>
      <c r="E3211" s="2" t="inlineStr">
        <is>
          <t>Wireless Mouse</t>
        </is>
      </c>
      <c r="F3211" s="2" t="inlineStr">
        <is>
          <t>Electronics</t>
        </is>
      </c>
      <c r="G3211" s="2" t="inlineStr">
        <is>
          <t>East</t>
        </is>
      </c>
      <c r="H3211" s="2" t="inlineStr">
        <is>
          <t>West Bengal</t>
        </is>
      </c>
      <c r="I3211" s="2" t="inlineStr">
        <is>
          <t>Durgapur</t>
        </is>
      </c>
      <c r="J3211" s="2" t="inlineStr">
        <is>
          <t>Store</t>
        </is>
      </c>
      <c r="K3211" s="2" t="n">
        <v>1</v>
      </c>
      <c r="L3211" s="3" t="n">
        <v>1001.46</v>
      </c>
      <c r="M3211" s="4" t="n">
        <v>0.1</v>
      </c>
      <c r="N3211" s="3" t="n">
        <v>615.14</v>
      </c>
      <c r="O3211" s="3">
        <f>K3211*L3211*(1-M3211)</f>
        <v/>
      </c>
      <c r="P3211" s="3">
        <f>O3211-N3211</f>
        <v/>
      </c>
      <c r="Q3211" s="5">
        <f>IFERROR(P3211/O3211,0)</f>
        <v/>
      </c>
      <c r="R3211" s="2">
        <f>TEXT(DATEVALUE(B3211),"mmm")</f>
        <v/>
      </c>
      <c r="S3211" s="2">
        <f>TEXT(DATEVALUE(B3211),"yyyy-mm")</f>
        <v/>
      </c>
    </row>
    <row r="3212">
      <c r="A3212" s="2" t="inlineStr">
        <is>
          <t>O001675</t>
        </is>
      </c>
      <c r="B3212" s="2" t="inlineStr">
        <is>
          <t>2025-08-21</t>
        </is>
      </c>
      <c r="C3212" s="2" t="inlineStr">
        <is>
          <t>C0438</t>
        </is>
      </c>
      <c r="D3212" s="2" t="inlineStr">
        <is>
          <t>P0010</t>
        </is>
      </c>
      <c r="E3212" s="2" t="inlineStr">
        <is>
          <t>Mixer Grinder</t>
        </is>
      </c>
      <c r="F3212" s="2" t="inlineStr">
        <is>
          <t>Home &amp; Kitchen</t>
        </is>
      </c>
      <c r="G3212" s="2" t="inlineStr">
        <is>
          <t>North</t>
        </is>
      </c>
      <c r="H3212" s="2" t="inlineStr">
        <is>
          <t>Punjab</t>
        </is>
      </c>
      <c r="I3212" s="2" t="inlineStr">
        <is>
          <t>Ludhiana</t>
        </is>
      </c>
      <c r="J3212" s="2" t="inlineStr">
        <is>
          <t>Store</t>
        </is>
      </c>
      <c r="K3212" s="2" t="n">
        <v>1</v>
      </c>
      <c r="L3212" s="3" t="n">
        <v>1663.04</v>
      </c>
      <c r="M3212" s="4" t="n">
        <v>0.2</v>
      </c>
      <c r="N3212" s="3" t="n">
        <v>1032.25</v>
      </c>
      <c r="O3212" s="3">
        <f>K3212*L3212*(1-M3212)</f>
        <v/>
      </c>
      <c r="P3212" s="3">
        <f>O3212-N3212</f>
        <v/>
      </c>
      <c r="Q3212" s="5">
        <f>IFERROR(P3212/O3212,0)</f>
        <v/>
      </c>
      <c r="R3212" s="2">
        <f>TEXT(DATEVALUE(B3212),"mmm")</f>
        <v/>
      </c>
      <c r="S3212" s="2">
        <f>TEXT(DATEVALUE(B3212),"yyyy-mm")</f>
        <v/>
      </c>
    </row>
    <row r="3213">
      <c r="A3213" s="2" t="inlineStr">
        <is>
          <t>O000851</t>
        </is>
      </c>
      <c r="B3213" s="2" t="inlineStr">
        <is>
          <t>2025-08-21</t>
        </is>
      </c>
      <c r="C3213" s="2" t="inlineStr">
        <is>
          <t>C0077</t>
        </is>
      </c>
      <c r="D3213" s="2" t="inlineStr">
        <is>
          <t>P0016</t>
        </is>
      </c>
      <c r="E3213" s="2" t="inlineStr">
        <is>
          <t>Casual Shirt</t>
        </is>
      </c>
      <c r="F3213" s="2" t="inlineStr">
        <is>
          <t>Fashion</t>
        </is>
      </c>
      <c r="G3213" s="2" t="inlineStr">
        <is>
          <t>North</t>
        </is>
      </c>
      <c r="H3213" s="2" t="inlineStr">
        <is>
          <t>Delhi</t>
        </is>
      </c>
      <c r="I3213" s="2" t="inlineStr">
        <is>
          <t>New Delhi</t>
        </is>
      </c>
      <c r="J3213" s="2" t="inlineStr">
        <is>
          <t>Store</t>
        </is>
      </c>
      <c r="K3213" s="2" t="n">
        <v>1</v>
      </c>
      <c r="L3213" s="3" t="n">
        <v>1333.57</v>
      </c>
      <c r="M3213" s="4" t="n">
        <v>0.05</v>
      </c>
      <c r="N3213" s="3" t="n">
        <v>898.3</v>
      </c>
      <c r="O3213" s="3">
        <f>K3213*L3213*(1-M3213)</f>
        <v/>
      </c>
      <c r="P3213" s="3">
        <f>O3213-N3213</f>
        <v/>
      </c>
      <c r="Q3213" s="5">
        <f>IFERROR(P3213/O3213,0)</f>
        <v/>
      </c>
      <c r="R3213" s="2">
        <f>TEXT(DATEVALUE(B3213),"mmm")</f>
        <v/>
      </c>
      <c r="S3213" s="2">
        <f>TEXT(DATEVALUE(B3213),"yyyy-mm")</f>
        <v/>
      </c>
    </row>
    <row r="3214">
      <c r="A3214" s="2" t="inlineStr">
        <is>
          <t>O000674</t>
        </is>
      </c>
      <c r="B3214" s="2" t="inlineStr">
        <is>
          <t>2025-08-21</t>
        </is>
      </c>
      <c r="C3214" s="2" t="inlineStr">
        <is>
          <t>C0740</t>
        </is>
      </c>
      <c r="D3214" s="2" t="inlineStr">
        <is>
          <t>P0016</t>
        </is>
      </c>
      <c r="E3214" s="2" t="inlineStr">
        <is>
          <t>Casual Shirt</t>
        </is>
      </c>
      <c r="F3214" s="2" t="inlineStr">
        <is>
          <t>Fashion</t>
        </is>
      </c>
      <c r="G3214" s="2" t="inlineStr">
        <is>
          <t>South</t>
        </is>
      </c>
      <c r="H3214" s="2" t="inlineStr">
        <is>
          <t>Telangana</t>
        </is>
      </c>
      <c r="I3214" s="2" t="inlineStr">
        <is>
          <t>Warangal</t>
        </is>
      </c>
      <c r="J3214" s="2" t="inlineStr">
        <is>
          <t>Store</t>
        </is>
      </c>
      <c r="K3214" s="2" t="n">
        <v>2</v>
      </c>
      <c r="L3214" s="3" t="n">
        <v>1319.28</v>
      </c>
      <c r="M3214" s="4" t="n">
        <v>0.15</v>
      </c>
      <c r="N3214" s="3" t="n">
        <v>1838.6</v>
      </c>
      <c r="O3214" s="3">
        <f>K3214*L3214*(1-M3214)</f>
        <v/>
      </c>
      <c r="P3214" s="3">
        <f>O3214-N3214</f>
        <v/>
      </c>
      <c r="Q3214" s="5">
        <f>IFERROR(P3214/O3214,0)</f>
        <v/>
      </c>
      <c r="R3214" s="2">
        <f>TEXT(DATEVALUE(B3214),"mmm")</f>
        <v/>
      </c>
      <c r="S3214" s="2">
        <f>TEXT(DATEVALUE(B3214),"yyyy-mm")</f>
        <v/>
      </c>
    </row>
    <row r="3215">
      <c r="A3215" s="2" t="inlineStr">
        <is>
          <t>O000570</t>
        </is>
      </c>
      <c r="B3215" s="2" t="inlineStr">
        <is>
          <t>2025-08-21</t>
        </is>
      </c>
      <c r="C3215" s="2" t="inlineStr">
        <is>
          <t>C0242</t>
        </is>
      </c>
      <c r="D3215" s="2" t="inlineStr">
        <is>
          <t>P0026</t>
        </is>
      </c>
      <c r="E3215" s="2" t="inlineStr">
        <is>
          <t>Shampoo</t>
        </is>
      </c>
      <c r="F3215" s="2" t="inlineStr">
        <is>
          <t>Beauty</t>
        </is>
      </c>
      <c r="G3215" s="2" t="inlineStr">
        <is>
          <t>West</t>
        </is>
      </c>
      <c r="H3215" s="2" t="inlineStr">
        <is>
          <t>Goa</t>
        </is>
      </c>
      <c r="I3215" s="2" t="inlineStr">
        <is>
          <t>Panaji</t>
        </is>
      </c>
      <c r="J3215" s="2" t="inlineStr">
        <is>
          <t>Store</t>
        </is>
      </c>
      <c r="K3215" s="2" t="n">
        <v>1</v>
      </c>
      <c r="L3215" s="3" t="n">
        <v>888.92</v>
      </c>
      <c r="M3215" s="4" t="n">
        <v>0.05</v>
      </c>
      <c r="N3215" s="3" t="n">
        <v>531.03</v>
      </c>
      <c r="O3215" s="3">
        <f>K3215*L3215*(1-M3215)</f>
        <v/>
      </c>
      <c r="P3215" s="3">
        <f>O3215-N3215</f>
        <v/>
      </c>
      <c r="Q3215" s="5">
        <f>IFERROR(P3215/O3215,0)</f>
        <v/>
      </c>
      <c r="R3215" s="2">
        <f>TEXT(DATEVALUE(B3215),"mmm")</f>
        <v/>
      </c>
      <c r="S3215" s="2">
        <f>TEXT(DATEVALUE(B3215),"yyyy-mm")</f>
        <v/>
      </c>
    </row>
    <row r="3216">
      <c r="A3216" s="2" t="inlineStr">
        <is>
          <t>O000337</t>
        </is>
      </c>
      <c r="B3216" s="2" t="inlineStr">
        <is>
          <t>2025-08-21</t>
        </is>
      </c>
      <c r="C3216" s="2" t="inlineStr">
        <is>
          <t>C0434</t>
        </is>
      </c>
      <c r="D3216" s="2" t="inlineStr">
        <is>
          <t>P0007</t>
        </is>
      </c>
      <c r="E3216" s="2" t="inlineStr">
        <is>
          <t>Wireless Mouse</t>
        </is>
      </c>
      <c r="F3216" s="2" t="inlineStr">
        <is>
          <t>Electronics</t>
        </is>
      </c>
      <c r="G3216" s="2" t="inlineStr">
        <is>
          <t>South</t>
        </is>
      </c>
      <c r="H3216" s="2" t="inlineStr">
        <is>
          <t>Telangana</t>
        </is>
      </c>
      <c r="I3216" s="2" t="inlineStr">
        <is>
          <t>Warangal</t>
        </is>
      </c>
      <c r="J3216" s="2" t="inlineStr">
        <is>
          <t>Online</t>
        </is>
      </c>
      <c r="K3216" s="2" t="n">
        <v>3</v>
      </c>
      <c r="L3216" s="3" t="n">
        <v>960.13</v>
      </c>
      <c r="M3216" s="4" t="n">
        <v>0.2</v>
      </c>
      <c r="N3216" s="3" t="n">
        <v>1860.6</v>
      </c>
      <c r="O3216" s="3">
        <f>K3216*L3216*(1-M3216)</f>
        <v/>
      </c>
      <c r="P3216" s="3">
        <f>O3216-N3216</f>
        <v/>
      </c>
      <c r="Q3216" s="5">
        <f>IFERROR(P3216/O3216,0)</f>
        <v/>
      </c>
      <c r="R3216" s="2">
        <f>TEXT(DATEVALUE(B3216),"mmm")</f>
        <v/>
      </c>
      <c r="S3216" s="2">
        <f>TEXT(DATEVALUE(B3216),"yyyy-mm")</f>
        <v/>
      </c>
    </row>
    <row r="3217">
      <c r="A3217" s="2" t="inlineStr">
        <is>
          <t>O000271</t>
        </is>
      </c>
      <c r="B3217" s="2" t="inlineStr">
        <is>
          <t>2025-08-21</t>
        </is>
      </c>
      <c r="C3217" s="2" t="inlineStr">
        <is>
          <t>C0476</t>
        </is>
      </c>
      <c r="D3217" s="2" t="inlineStr">
        <is>
          <t>P0022</t>
        </is>
      </c>
      <c r="E3217" s="2" t="inlineStr">
        <is>
          <t>Face Wash</t>
        </is>
      </c>
      <c r="F3217" s="2" t="inlineStr">
        <is>
          <t>Beauty</t>
        </is>
      </c>
      <c r="G3217" s="2" t="inlineStr">
        <is>
          <t>North</t>
        </is>
      </c>
      <c r="H3217" s="2" t="inlineStr">
        <is>
          <t>Delhi</t>
        </is>
      </c>
      <c r="I3217" s="2" t="inlineStr">
        <is>
          <t>New Delhi</t>
        </is>
      </c>
      <c r="J3217" s="2" t="inlineStr">
        <is>
          <t>Online</t>
        </is>
      </c>
      <c r="K3217" s="2" t="n">
        <v>2</v>
      </c>
      <c r="L3217" s="3" t="n">
        <v>532.25</v>
      </c>
      <c r="M3217" s="4" t="n">
        <v>0</v>
      </c>
      <c r="N3217" s="3" t="n">
        <v>711.14</v>
      </c>
      <c r="O3217" s="3">
        <f>K3217*L3217*(1-M3217)</f>
        <v/>
      </c>
      <c r="P3217" s="3">
        <f>O3217-N3217</f>
        <v/>
      </c>
      <c r="Q3217" s="5">
        <f>IFERROR(P3217/O3217,0)</f>
        <v/>
      </c>
      <c r="R3217" s="2">
        <f>TEXT(DATEVALUE(B3217),"mmm")</f>
        <v/>
      </c>
      <c r="S3217" s="2">
        <f>TEXT(DATEVALUE(B3217),"yyyy-mm")</f>
        <v/>
      </c>
    </row>
    <row r="3218">
      <c r="A3218" s="2" t="inlineStr">
        <is>
          <t>O000194</t>
        </is>
      </c>
      <c r="B3218" s="2" t="inlineStr">
        <is>
          <t>2025-08-21</t>
        </is>
      </c>
      <c r="C3218" s="2" t="inlineStr">
        <is>
          <t>C0594</t>
        </is>
      </c>
      <c r="D3218" s="2" t="inlineStr">
        <is>
          <t>P0022</t>
        </is>
      </c>
      <c r="E3218" s="2" t="inlineStr">
        <is>
          <t>Face Wash</t>
        </is>
      </c>
      <c r="F3218" s="2" t="inlineStr">
        <is>
          <t>Beauty</t>
        </is>
      </c>
      <c r="G3218" s="2" t="inlineStr">
        <is>
          <t>West</t>
        </is>
      </c>
      <c r="H3218" s="2" t="inlineStr">
        <is>
          <t>Maharashtra</t>
        </is>
      </c>
      <c r="I3218" s="2" t="inlineStr">
        <is>
          <t>Nashik</t>
        </is>
      </c>
      <c r="J3218" s="2" t="inlineStr">
        <is>
          <t>Store</t>
        </is>
      </c>
      <c r="K3218" s="2" t="n">
        <v>2</v>
      </c>
      <c r="L3218" s="3" t="n">
        <v>571.27</v>
      </c>
      <c r="M3218" s="4" t="n">
        <v>0.05</v>
      </c>
      <c r="N3218" s="3" t="n">
        <v>721.5</v>
      </c>
      <c r="O3218" s="3">
        <f>K3218*L3218*(1-M3218)</f>
        <v/>
      </c>
      <c r="P3218" s="3">
        <f>O3218-N3218</f>
        <v/>
      </c>
      <c r="Q3218" s="5">
        <f>IFERROR(P3218/O3218,0)</f>
        <v/>
      </c>
      <c r="R3218" s="2">
        <f>TEXT(DATEVALUE(B3218),"mmm")</f>
        <v/>
      </c>
      <c r="S3218" s="2">
        <f>TEXT(DATEVALUE(B3218),"yyyy-mm")</f>
        <v/>
      </c>
    </row>
    <row r="3219">
      <c r="A3219" s="2" t="inlineStr">
        <is>
          <t>O000179</t>
        </is>
      </c>
      <c r="B3219" s="2" t="inlineStr">
        <is>
          <t>2025-08-21</t>
        </is>
      </c>
      <c r="C3219" s="2" t="inlineStr">
        <is>
          <t>C0492</t>
        </is>
      </c>
      <c r="D3219" s="2" t="inlineStr">
        <is>
          <t>P0007</t>
        </is>
      </c>
      <c r="E3219" s="2" t="inlineStr">
        <is>
          <t>Wireless Mouse</t>
        </is>
      </c>
      <c r="F3219" s="2" t="inlineStr">
        <is>
          <t>Electronics</t>
        </is>
      </c>
      <c r="G3219" s="2" t="inlineStr">
        <is>
          <t>East</t>
        </is>
      </c>
      <c r="H3219" s="2" t="inlineStr">
        <is>
          <t>Bihar</t>
        </is>
      </c>
      <c r="I3219" s="2" t="inlineStr">
        <is>
          <t>Gaya</t>
        </is>
      </c>
      <c r="J3219" s="2" t="inlineStr">
        <is>
          <t>Store</t>
        </is>
      </c>
      <c r="K3219" s="2" t="n">
        <v>5</v>
      </c>
      <c r="L3219" s="3" t="n">
        <v>989.22</v>
      </c>
      <c r="M3219" s="4" t="n">
        <v>0.1</v>
      </c>
      <c r="N3219" s="3" t="n">
        <v>3179.23</v>
      </c>
      <c r="O3219" s="3">
        <f>K3219*L3219*(1-M3219)</f>
        <v/>
      </c>
      <c r="P3219" s="3">
        <f>O3219-N3219</f>
        <v/>
      </c>
      <c r="Q3219" s="5">
        <f>IFERROR(P3219/O3219,0)</f>
        <v/>
      </c>
      <c r="R3219" s="2">
        <f>TEXT(DATEVALUE(B3219),"mmm")</f>
        <v/>
      </c>
      <c r="S3219" s="2">
        <f>TEXT(DATEVALUE(B3219),"yyyy-mm")</f>
        <v/>
      </c>
    </row>
    <row r="3220">
      <c r="A3220" s="2" t="inlineStr">
        <is>
          <t>O004684</t>
        </is>
      </c>
      <c r="B3220" s="2" t="inlineStr">
        <is>
          <t>2025-08-22</t>
        </is>
      </c>
      <c r="C3220" s="2" t="inlineStr">
        <is>
          <t>C0568</t>
        </is>
      </c>
      <c r="D3220" s="2" t="inlineStr">
        <is>
          <t>P0015</t>
        </is>
      </c>
      <c r="E3220" s="2" t="inlineStr">
        <is>
          <t>Running Shoes</t>
        </is>
      </c>
      <c r="F3220" s="2" t="inlineStr">
        <is>
          <t>Fashion</t>
        </is>
      </c>
      <c r="G3220" s="2" t="inlineStr">
        <is>
          <t>East</t>
        </is>
      </c>
      <c r="H3220" s="2" t="inlineStr">
        <is>
          <t>Bihar</t>
        </is>
      </c>
      <c r="I3220" s="2" t="inlineStr">
        <is>
          <t>Patna</t>
        </is>
      </c>
      <c r="J3220" s="2" t="inlineStr">
        <is>
          <t>Store</t>
        </is>
      </c>
      <c r="K3220" s="2" t="n">
        <v>1</v>
      </c>
      <c r="L3220" s="3" t="n">
        <v>589.84</v>
      </c>
      <c r="M3220" s="4" t="n">
        <v>0.25</v>
      </c>
      <c r="N3220" s="3" t="n">
        <v>361.38</v>
      </c>
      <c r="O3220" s="3">
        <f>K3220*L3220*(1-M3220)</f>
        <v/>
      </c>
      <c r="P3220" s="3">
        <f>O3220-N3220</f>
        <v/>
      </c>
      <c r="Q3220" s="5">
        <f>IFERROR(P3220/O3220,0)</f>
        <v/>
      </c>
      <c r="R3220" s="2">
        <f>TEXT(DATEVALUE(B3220),"mmm")</f>
        <v/>
      </c>
      <c r="S3220" s="2">
        <f>TEXT(DATEVALUE(B3220),"yyyy-mm")</f>
        <v/>
      </c>
    </row>
    <row r="3221">
      <c r="A3221" s="2" t="inlineStr">
        <is>
          <t>O004576</t>
        </is>
      </c>
      <c r="B3221" s="2" t="inlineStr">
        <is>
          <t>2025-08-22</t>
        </is>
      </c>
      <c r="C3221" s="2" t="inlineStr">
        <is>
          <t>C0311</t>
        </is>
      </c>
      <c r="D3221" s="2" t="inlineStr">
        <is>
          <t>P0007</t>
        </is>
      </c>
      <c r="E3221" s="2" t="inlineStr">
        <is>
          <t>Wireless Mouse</t>
        </is>
      </c>
      <c r="F3221" s="2" t="inlineStr">
        <is>
          <t>Electronics</t>
        </is>
      </c>
      <c r="G3221" s="2" t="inlineStr">
        <is>
          <t>East</t>
        </is>
      </c>
      <c r="H3221" s="2" t="inlineStr">
        <is>
          <t>Odisha</t>
        </is>
      </c>
      <c r="I3221" s="2" t="inlineStr">
        <is>
          <t>Cuttack</t>
        </is>
      </c>
      <c r="J3221" s="2" t="inlineStr">
        <is>
          <t>Online</t>
        </is>
      </c>
      <c r="K3221" s="2" t="n">
        <v>2</v>
      </c>
      <c r="L3221" s="3" t="n">
        <v>943.78</v>
      </c>
      <c r="M3221" s="4" t="n">
        <v>0.25</v>
      </c>
      <c r="N3221" s="3" t="n">
        <v>1267.74</v>
      </c>
      <c r="O3221" s="3">
        <f>K3221*L3221*(1-M3221)</f>
        <v/>
      </c>
      <c r="P3221" s="3">
        <f>O3221-N3221</f>
        <v/>
      </c>
      <c r="Q3221" s="5">
        <f>IFERROR(P3221/O3221,0)</f>
        <v/>
      </c>
      <c r="R3221" s="2">
        <f>TEXT(DATEVALUE(B3221),"mmm")</f>
        <v/>
      </c>
      <c r="S3221" s="2">
        <f>TEXT(DATEVALUE(B3221),"yyyy-mm")</f>
        <v/>
      </c>
    </row>
    <row r="3222">
      <c r="A3222" s="2" t="inlineStr">
        <is>
          <t>O004512</t>
        </is>
      </c>
      <c r="B3222" s="2" t="inlineStr">
        <is>
          <t>2025-08-22</t>
        </is>
      </c>
      <c r="C3222" s="2" t="inlineStr">
        <is>
          <t>C0789</t>
        </is>
      </c>
      <c r="D3222" s="2" t="inlineStr">
        <is>
          <t>P0012</t>
        </is>
      </c>
      <c r="E3222" s="2" t="inlineStr">
        <is>
          <t>Water Bottle</t>
        </is>
      </c>
      <c r="F3222" s="2" t="inlineStr">
        <is>
          <t>Home &amp; Kitchen</t>
        </is>
      </c>
      <c r="G3222" s="2" t="inlineStr">
        <is>
          <t>West</t>
        </is>
      </c>
      <c r="H3222" s="2" t="inlineStr">
        <is>
          <t>Gujarat</t>
        </is>
      </c>
      <c r="I3222" s="2" t="inlineStr">
        <is>
          <t>Vadodara</t>
        </is>
      </c>
      <c r="J3222" s="2" t="inlineStr">
        <is>
          <t>Store</t>
        </is>
      </c>
      <c r="K3222" s="2" t="n">
        <v>3</v>
      </c>
      <c r="L3222" s="3" t="n">
        <v>969.77</v>
      </c>
      <c r="M3222" s="4" t="n">
        <v>0.05</v>
      </c>
      <c r="N3222" s="3" t="n">
        <v>1846.69</v>
      </c>
      <c r="O3222" s="3">
        <f>K3222*L3222*(1-M3222)</f>
        <v/>
      </c>
      <c r="P3222" s="3">
        <f>O3222-N3222</f>
        <v/>
      </c>
      <c r="Q3222" s="5">
        <f>IFERROR(P3222/O3222,0)</f>
        <v/>
      </c>
      <c r="R3222" s="2">
        <f>TEXT(DATEVALUE(B3222),"mmm")</f>
        <v/>
      </c>
      <c r="S3222" s="2">
        <f>TEXT(DATEVALUE(B3222),"yyyy-mm")</f>
        <v/>
      </c>
    </row>
    <row r="3223">
      <c r="A3223" s="2" t="inlineStr">
        <is>
          <t>O003617</t>
        </is>
      </c>
      <c r="B3223" s="2" t="inlineStr">
        <is>
          <t>2025-08-22</t>
        </is>
      </c>
      <c r="C3223" s="2" t="inlineStr">
        <is>
          <t>C0049</t>
        </is>
      </c>
      <c r="D3223" s="2" t="inlineStr">
        <is>
          <t>P0022</t>
        </is>
      </c>
      <c r="E3223" s="2" t="inlineStr">
        <is>
          <t>Face Wash</t>
        </is>
      </c>
      <c r="F3223" s="2" t="inlineStr">
        <is>
          <t>Beauty</t>
        </is>
      </c>
      <c r="G3223" s="2" t="inlineStr">
        <is>
          <t>South</t>
        </is>
      </c>
      <c r="H3223" s="2" t="inlineStr">
        <is>
          <t>Kerala</t>
        </is>
      </c>
      <c r="I3223" s="2" t="inlineStr">
        <is>
          <t>Kochi</t>
        </is>
      </c>
      <c r="J3223" s="2" t="inlineStr">
        <is>
          <t>Online</t>
        </is>
      </c>
      <c r="K3223" s="2" t="n">
        <v>2</v>
      </c>
      <c r="L3223" s="3" t="n">
        <v>554.71</v>
      </c>
      <c r="M3223" s="4" t="n">
        <v>0.05</v>
      </c>
      <c r="N3223" s="3" t="n">
        <v>719.26</v>
      </c>
      <c r="O3223" s="3">
        <f>K3223*L3223*(1-M3223)</f>
        <v/>
      </c>
      <c r="P3223" s="3">
        <f>O3223-N3223</f>
        <v/>
      </c>
      <c r="Q3223" s="5">
        <f>IFERROR(P3223/O3223,0)</f>
        <v/>
      </c>
      <c r="R3223" s="2">
        <f>TEXT(DATEVALUE(B3223),"mmm")</f>
        <v/>
      </c>
      <c r="S3223" s="2">
        <f>TEXT(DATEVALUE(B3223),"yyyy-mm")</f>
        <v/>
      </c>
    </row>
    <row r="3224">
      <c r="A3224" s="2" t="inlineStr">
        <is>
          <t>O004958</t>
        </is>
      </c>
      <c r="B3224" s="2" t="inlineStr">
        <is>
          <t>2025-08-22</t>
        </is>
      </c>
      <c r="C3224" s="2" t="inlineStr">
        <is>
          <t>C0118</t>
        </is>
      </c>
      <c r="D3224" s="2" t="inlineStr">
        <is>
          <t>P0006</t>
        </is>
      </c>
      <c r="E3224" s="2" t="inlineStr">
        <is>
          <t>Mechanical Keyboard</t>
        </is>
      </c>
      <c r="F3224" s="2" t="inlineStr">
        <is>
          <t>Electronics</t>
        </is>
      </c>
      <c r="G3224" s="2" t="inlineStr">
        <is>
          <t>North</t>
        </is>
      </c>
      <c r="H3224" s="2" t="inlineStr">
        <is>
          <t>Punjab</t>
        </is>
      </c>
      <c r="I3224" s="2" t="inlineStr">
        <is>
          <t>Ludhiana</t>
        </is>
      </c>
      <c r="J3224" s="2" t="inlineStr">
        <is>
          <t>Store</t>
        </is>
      </c>
      <c r="K3224" s="2" t="n">
        <v>2</v>
      </c>
      <c r="L3224" s="3" t="n">
        <v>2758.3</v>
      </c>
      <c r="M3224" s="4" t="n">
        <v>0</v>
      </c>
      <c r="N3224" s="3" t="n">
        <v>2964.97</v>
      </c>
      <c r="O3224" s="3">
        <f>K3224*L3224*(1-M3224)</f>
        <v/>
      </c>
      <c r="P3224" s="3">
        <f>O3224-N3224</f>
        <v/>
      </c>
      <c r="Q3224" s="5">
        <f>IFERROR(P3224/O3224,0)</f>
        <v/>
      </c>
      <c r="R3224" s="2">
        <f>TEXT(DATEVALUE(B3224),"mmm")</f>
        <v/>
      </c>
      <c r="S3224" s="2">
        <f>TEXT(DATEVALUE(B3224),"yyyy-mm")</f>
        <v/>
      </c>
    </row>
    <row r="3225">
      <c r="A3225" s="2" t="inlineStr">
        <is>
          <t>O002692</t>
        </is>
      </c>
      <c r="B3225" s="2" t="inlineStr">
        <is>
          <t>2025-08-22</t>
        </is>
      </c>
      <c r="C3225" s="2" t="inlineStr">
        <is>
          <t>C0283</t>
        </is>
      </c>
      <c r="D3225" s="2" t="inlineStr">
        <is>
          <t>P0007</t>
        </is>
      </c>
      <c r="E3225" s="2" t="inlineStr">
        <is>
          <t>Wireless Mouse</t>
        </is>
      </c>
      <c r="F3225" s="2" t="inlineStr">
        <is>
          <t>Electronics</t>
        </is>
      </c>
      <c r="G3225" s="2" t="inlineStr">
        <is>
          <t>West</t>
        </is>
      </c>
      <c r="H3225" s="2" t="inlineStr">
        <is>
          <t>Gujarat</t>
        </is>
      </c>
      <c r="I3225" s="2" t="inlineStr">
        <is>
          <t>Vadodara</t>
        </is>
      </c>
      <c r="J3225" s="2" t="inlineStr">
        <is>
          <t>Online</t>
        </is>
      </c>
      <c r="K3225" s="2" t="n">
        <v>4</v>
      </c>
      <c r="L3225" s="3" t="n">
        <v>979.4400000000001</v>
      </c>
      <c r="M3225" s="4" t="n">
        <v>0.1</v>
      </c>
      <c r="N3225" s="3" t="n">
        <v>2477.69</v>
      </c>
      <c r="O3225" s="3">
        <f>K3225*L3225*(1-M3225)</f>
        <v/>
      </c>
      <c r="P3225" s="3">
        <f>O3225-N3225</f>
        <v/>
      </c>
      <c r="Q3225" s="5">
        <f>IFERROR(P3225/O3225,0)</f>
        <v/>
      </c>
      <c r="R3225" s="2">
        <f>TEXT(DATEVALUE(B3225),"mmm")</f>
        <v/>
      </c>
      <c r="S3225" s="2">
        <f>TEXT(DATEVALUE(B3225),"yyyy-mm")</f>
        <v/>
      </c>
    </row>
    <row r="3226">
      <c r="A3226" s="2" t="inlineStr">
        <is>
          <t>O002044</t>
        </is>
      </c>
      <c r="B3226" s="2" t="inlineStr">
        <is>
          <t>2025-08-22</t>
        </is>
      </c>
      <c r="C3226" s="2" t="inlineStr">
        <is>
          <t>C0617</t>
        </is>
      </c>
      <c r="D3226" s="2" t="inlineStr">
        <is>
          <t>P0021</t>
        </is>
      </c>
      <c r="E3226" s="2" t="inlineStr">
        <is>
          <t>Wallet</t>
        </is>
      </c>
      <c r="F3226" s="2" t="inlineStr">
        <is>
          <t>Fashion</t>
        </is>
      </c>
      <c r="G3226" s="2" t="inlineStr">
        <is>
          <t>West</t>
        </is>
      </c>
      <c r="H3226" s="2" t="inlineStr">
        <is>
          <t>Goa</t>
        </is>
      </c>
      <c r="I3226" s="2" t="inlineStr">
        <is>
          <t>Panaji</t>
        </is>
      </c>
      <c r="J3226" s="2" t="inlineStr">
        <is>
          <t>Store</t>
        </is>
      </c>
      <c r="K3226" s="2" t="n">
        <v>3</v>
      </c>
      <c r="L3226" s="3" t="n">
        <v>1973.7</v>
      </c>
      <c r="M3226" s="4" t="n">
        <v>0.05</v>
      </c>
      <c r="N3226" s="3" t="n">
        <v>3535.73</v>
      </c>
      <c r="O3226" s="3">
        <f>K3226*L3226*(1-M3226)</f>
        <v/>
      </c>
      <c r="P3226" s="3">
        <f>O3226-N3226</f>
        <v/>
      </c>
      <c r="Q3226" s="5">
        <f>IFERROR(P3226/O3226,0)</f>
        <v/>
      </c>
      <c r="R3226" s="2">
        <f>TEXT(DATEVALUE(B3226),"mmm")</f>
        <v/>
      </c>
      <c r="S3226" s="2">
        <f>TEXT(DATEVALUE(B3226),"yyyy-mm")</f>
        <v/>
      </c>
    </row>
    <row r="3227">
      <c r="A3227" s="2" t="inlineStr">
        <is>
          <t>O001294</t>
        </is>
      </c>
      <c r="B3227" s="2" t="inlineStr">
        <is>
          <t>2025-08-22</t>
        </is>
      </c>
      <c r="C3227" s="2" t="inlineStr">
        <is>
          <t>C0434</t>
        </is>
      </c>
      <c r="D3227" s="2" t="inlineStr">
        <is>
          <t>P0026</t>
        </is>
      </c>
      <c r="E3227" s="2" t="inlineStr">
        <is>
          <t>Shampoo</t>
        </is>
      </c>
      <c r="F3227" s="2" t="inlineStr">
        <is>
          <t>Beauty</t>
        </is>
      </c>
      <c r="G3227" s="2" t="inlineStr">
        <is>
          <t>South</t>
        </is>
      </c>
      <c r="H3227" s="2" t="inlineStr">
        <is>
          <t>Tamil Nadu</t>
        </is>
      </c>
      <c r="I3227" s="2" t="inlineStr">
        <is>
          <t>Madurai</t>
        </is>
      </c>
      <c r="J3227" s="2" t="inlineStr">
        <is>
          <t>Online</t>
        </is>
      </c>
      <c r="K3227" s="2" t="n">
        <v>4</v>
      </c>
      <c r="L3227" s="3" t="n">
        <v>913.65</v>
      </c>
      <c r="M3227" s="4" t="n">
        <v>0.05</v>
      </c>
      <c r="N3227" s="3" t="n">
        <v>2141.88</v>
      </c>
      <c r="O3227" s="3">
        <f>K3227*L3227*(1-M3227)</f>
        <v/>
      </c>
      <c r="P3227" s="3">
        <f>O3227-N3227</f>
        <v/>
      </c>
      <c r="Q3227" s="5">
        <f>IFERROR(P3227/O3227,0)</f>
        <v/>
      </c>
      <c r="R3227" s="2">
        <f>TEXT(DATEVALUE(B3227),"mmm")</f>
        <v/>
      </c>
      <c r="S3227" s="2">
        <f>TEXT(DATEVALUE(B3227),"yyyy-mm")</f>
        <v/>
      </c>
    </row>
    <row r="3228">
      <c r="A3228" s="2" t="inlineStr">
        <is>
          <t>O000188</t>
        </is>
      </c>
      <c r="B3228" s="2" t="inlineStr">
        <is>
          <t>2025-08-22</t>
        </is>
      </c>
      <c r="C3228" s="2" t="inlineStr">
        <is>
          <t>C0362</t>
        </is>
      </c>
      <c r="D3228" s="2" t="inlineStr">
        <is>
          <t>P0012</t>
        </is>
      </c>
      <c r="E3228" s="2" t="inlineStr">
        <is>
          <t>Water Bottle</t>
        </is>
      </c>
      <c r="F3228" s="2" t="inlineStr">
        <is>
          <t>Home &amp; Kitchen</t>
        </is>
      </c>
      <c r="G3228" s="2" t="inlineStr">
        <is>
          <t>North</t>
        </is>
      </c>
      <c r="H3228" s="2" t="inlineStr">
        <is>
          <t>Punjab</t>
        </is>
      </c>
      <c r="I3228" s="2" t="inlineStr">
        <is>
          <t>Amritsar</t>
        </is>
      </c>
      <c r="J3228" s="2" t="inlineStr">
        <is>
          <t>Online</t>
        </is>
      </c>
      <c r="K3228" s="2" t="n">
        <v>2</v>
      </c>
      <c r="L3228" s="3" t="n">
        <v>951.35</v>
      </c>
      <c r="M3228" s="4" t="n">
        <v>0.25</v>
      </c>
      <c r="N3228" s="3" t="n">
        <v>1239.62</v>
      </c>
      <c r="O3228" s="3">
        <f>K3228*L3228*(1-M3228)</f>
        <v/>
      </c>
      <c r="P3228" s="3">
        <f>O3228-N3228</f>
        <v/>
      </c>
      <c r="Q3228" s="5">
        <f>IFERROR(P3228/O3228,0)</f>
        <v/>
      </c>
      <c r="R3228" s="2">
        <f>TEXT(DATEVALUE(B3228),"mmm")</f>
        <v/>
      </c>
      <c r="S3228" s="2">
        <f>TEXT(DATEVALUE(B3228),"yyyy-mm")</f>
        <v/>
      </c>
    </row>
    <row r="3229">
      <c r="A3229" s="2" t="inlineStr">
        <is>
          <t>O003411</t>
        </is>
      </c>
      <c r="B3229" s="2" t="inlineStr">
        <is>
          <t>2025-08-22</t>
        </is>
      </c>
      <c r="C3229" s="2" t="inlineStr">
        <is>
          <t>C0778</t>
        </is>
      </c>
      <c r="D3229" s="2" t="inlineStr">
        <is>
          <t>P0025</t>
        </is>
      </c>
      <c r="E3229" s="2" t="inlineStr">
        <is>
          <t>Perfume</t>
        </is>
      </c>
      <c r="F3229" s="2" t="inlineStr">
        <is>
          <t>Beauty</t>
        </is>
      </c>
      <c r="G3229" s="2" t="inlineStr">
        <is>
          <t>South</t>
        </is>
      </c>
      <c r="H3229" s="2" t="inlineStr">
        <is>
          <t>Kerala</t>
        </is>
      </c>
      <c r="I3229" s="2" t="inlineStr">
        <is>
          <t>Thiruvananthapuram</t>
        </is>
      </c>
      <c r="J3229" s="2" t="inlineStr">
        <is>
          <t>Store</t>
        </is>
      </c>
      <c r="K3229" s="2" t="n">
        <v>3</v>
      </c>
      <c r="L3229" s="3" t="n">
        <v>817.78</v>
      </c>
      <c r="M3229" s="4" t="n">
        <v>0</v>
      </c>
      <c r="N3229" s="3" t="n">
        <v>1825.32</v>
      </c>
      <c r="O3229" s="3">
        <f>K3229*L3229*(1-M3229)</f>
        <v/>
      </c>
      <c r="P3229" s="3">
        <f>O3229-N3229</f>
        <v/>
      </c>
      <c r="Q3229" s="5">
        <f>IFERROR(P3229/O3229,0)</f>
        <v/>
      </c>
      <c r="R3229" s="2">
        <f>TEXT(DATEVALUE(B3229),"mmm")</f>
        <v/>
      </c>
      <c r="S3229" s="2">
        <f>TEXT(DATEVALUE(B3229),"yyyy-mm")</f>
        <v/>
      </c>
    </row>
    <row r="3230">
      <c r="A3230" s="2" t="inlineStr">
        <is>
          <t>O004945</t>
        </is>
      </c>
      <c r="B3230" s="2" t="inlineStr">
        <is>
          <t>2025-08-23</t>
        </is>
      </c>
      <c r="C3230" s="2" t="inlineStr">
        <is>
          <t>C0175</t>
        </is>
      </c>
      <c r="D3230" s="2" t="inlineStr">
        <is>
          <t>P0027</t>
        </is>
      </c>
      <c r="E3230" s="2" t="inlineStr">
        <is>
          <t>Moisturizer</t>
        </is>
      </c>
      <c r="F3230" s="2" t="inlineStr">
        <is>
          <t>Beauty</t>
        </is>
      </c>
      <c r="G3230" s="2" t="inlineStr">
        <is>
          <t>West</t>
        </is>
      </c>
      <c r="H3230" s="2" t="inlineStr">
        <is>
          <t>Goa</t>
        </is>
      </c>
      <c r="I3230" s="2" t="inlineStr">
        <is>
          <t>Margao</t>
        </is>
      </c>
      <c r="J3230" s="2" t="inlineStr">
        <is>
          <t>Online</t>
        </is>
      </c>
      <c r="K3230" s="2" t="n">
        <v>1</v>
      </c>
      <c r="L3230" s="3" t="n">
        <v>991.47</v>
      </c>
      <c r="M3230" s="4" t="n">
        <v>0.1</v>
      </c>
      <c r="N3230" s="3" t="n">
        <v>703.24</v>
      </c>
      <c r="O3230" s="3">
        <f>K3230*L3230*(1-M3230)</f>
        <v/>
      </c>
      <c r="P3230" s="3">
        <f>O3230-N3230</f>
        <v/>
      </c>
      <c r="Q3230" s="5">
        <f>IFERROR(P3230/O3230,0)</f>
        <v/>
      </c>
      <c r="R3230" s="2">
        <f>TEXT(DATEVALUE(B3230),"mmm")</f>
        <v/>
      </c>
      <c r="S3230" s="2">
        <f>TEXT(DATEVALUE(B3230),"yyyy-mm")</f>
        <v/>
      </c>
    </row>
    <row r="3231">
      <c r="A3231" s="2" t="inlineStr">
        <is>
          <t>O004844</t>
        </is>
      </c>
      <c r="B3231" s="2" t="inlineStr">
        <is>
          <t>2025-08-23</t>
        </is>
      </c>
      <c r="C3231" s="2" t="inlineStr">
        <is>
          <t>C0314</t>
        </is>
      </c>
      <c r="D3231" s="2" t="inlineStr">
        <is>
          <t>P0007</t>
        </is>
      </c>
      <c r="E3231" s="2" t="inlineStr">
        <is>
          <t>Wireless Mouse</t>
        </is>
      </c>
      <c r="F3231" s="2" t="inlineStr">
        <is>
          <t>Electronics</t>
        </is>
      </c>
      <c r="G3231" s="2" t="inlineStr">
        <is>
          <t>North</t>
        </is>
      </c>
      <c r="H3231" s="2" t="inlineStr">
        <is>
          <t>Punjab</t>
        </is>
      </c>
      <c r="I3231" s="2" t="inlineStr">
        <is>
          <t>Amritsar</t>
        </is>
      </c>
      <c r="J3231" s="2" t="inlineStr">
        <is>
          <t>Online</t>
        </is>
      </c>
      <c r="K3231" s="2" t="n">
        <v>5</v>
      </c>
      <c r="L3231" s="3" t="n">
        <v>1003.79</v>
      </c>
      <c r="M3231" s="4" t="n">
        <v>0.15</v>
      </c>
      <c r="N3231" s="3" t="n">
        <v>3213.85</v>
      </c>
      <c r="O3231" s="3">
        <f>K3231*L3231*(1-M3231)</f>
        <v/>
      </c>
      <c r="P3231" s="3">
        <f>O3231-N3231</f>
        <v/>
      </c>
      <c r="Q3231" s="5">
        <f>IFERROR(P3231/O3231,0)</f>
        <v/>
      </c>
      <c r="R3231" s="2">
        <f>TEXT(DATEVALUE(B3231),"mmm")</f>
        <v/>
      </c>
      <c r="S3231" s="2">
        <f>TEXT(DATEVALUE(B3231),"yyyy-mm")</f>
        <v/>
      </c>
    </row>
    <row r="3232">
      <c r="A3232" s="2" t="inlineStr">
        <is>
          <t>O004702</t>
        </is>
      </c>
      <c r="B3232" s="2" t="inlineStr">
        <is>
          <t>2025-08-23</t>
        </is>
      </c>
      <c r="C3232" s="2" t="inlineStr">
        <is>
          <t>C0006</t>
        </is>
      </c>
      <c r="D3232" s="2" t="inlineStr">
        <is>
          <t>P0002</t>
        </is>
      </c>
      <c r="E3232" s="2" t="inlineStr">
        <is>
          <t>Bluetooth Speaker</t>
        </is>
      </c>
      <c r="F3232" s="2" t="inlineStr">
        <is>
          <t>Electronics</t>
        </is>
      </c>
      <c r="G3232" s="2" t="inlineStr">
        <is>
          <t>West</t>
        </is>
      </c>
      <c r="H3232" s="2" t="inlineStr">
        <is>
          <t>Maharashtra</t>
        </is>
      </c>
      <c r="I3232" s="2" t="inlineStr">
        <is>
          <t>Mumbai</t>
        </is>
      </c>
      <c r="J3232" s="2" t="inlineStr">
        <is>
          <t>Online</t>
        </is>
      </c>
      <c r="K3232" s="2" t="n">
        <v>4</v>
      </c>
      <c r="L3232" s="3" t="n">
        <v>1403.98</v>
      </c>
      <c r="M3232" s="4" t="n">
        <v>0.1</v>
      </c>
      <c r="N3232" s="3" t="n">
        <v>3276.84</v>
      </c>
      <c r="O3232" s="3">
        <f>K3232*L3232*(1-M3232)</f>
        <v/>
      </c>
      <c r="P3232" s="3">
        <f>O3232-N3232</f>
        <v/>
      </c>
      <c r="Q3232" s="5">
        <f>IFERROR(P3232/O3232,0)</f>
        <v/>
      </c>
      <c r="R3232" s="2">
        <f>TEXT(DATEVALUE(B3232),"mmm")</f>
        <v/>
      </c>
      <c r="S3232" s="2">
        <f>TEXT(DATEVALUE(B3232),"yyyy-mm")</f>
        <v/>
      </c>
    </row>
    <row r="3233">
      <c r="A3233" s="2" t="inlineStr">
        <is>
          <t>O004570</t>
        </is>
      </c>
      <c r="B3233" s="2" t="inlineStr">
        <is>
          <t>2025-08-23</t>
        </is>
      </c>
      <c r="C3233" s="2" t="inlineStr">
        <is>
          <t>C0506</t>
        </is>
      </c>
      <c r="D3233" s="2" t="inlineStr">
        <is>
          <t>P0016</t>
        </is>
      </c>
      <c r="E3233" s="2" t="inlineStr">
        <is>
          <t>Casual Shirt</t>
        </is>
      </c>
      <c r="F3233" s="2" t="inlineStr">
        <is>
          <t>Fashion</t>
        </is>
      </c>
      <c r="G3233" s="2" t="inlineStr">
        <is>
          <t>North</t>
        </is>
      </c>
      <c r="H3233" s="2" t="inlineStr">
        <is>
          <t>Haryana</t>
        </is>
      </c>
      <c r="I3233" s="2" t="inlineStr">
        <is>
          <t>Gurugram</t>
        </is>
      </c>
      <c r="J3233" s="2" t="inlineStr">
        <is>
          <t>Store</t>
        </is>
      </c>
      <c r="K3233" s="2" t="n">
        <v>3</v>
      </c>
      <c r="L3233" s="3" t="n">
        <v>1314.74</v>
      </c>
      <c r="M3233" s="4" t="n">
        <v>0.1</v>
      </c>
      <c r="N3233" s="3" t="n">
        <v>2668.97</v>
      </c>
      <c r="O3233" s="3">
        <f>K3233*L3233*(1-M3233)</f>
        <v/>
      </c>
      <c r="P3233" s="3">
        <f>O3233-N3233</f>
        <v/>
      </c>
      <c r="Q3233" s="5">
        <f>IFERROR(P3233/O3233,0)</f>
        <v/>
      </c>
      <c r="R3233" s="2">
        <f>TEXT(DATEVALUE(B3233),"mmm")</f>
        <v/>
      </c>
      <c r="S3233" s="2">
        <f>TEXT(DATEVALUE(B3233),"yyyy-mm")</f>
        <v/>
      </c>
    </row>
    <row r="3234">
      <c r="A3234" s="2" t="inlineStr">
        <is>
          <t>O003935</t>
        </is>
      </c>
      <c r="B3234" s="2" t="inlineStr">
        <is>
          <t>2025-08-23</t>
        </is>
      </c>
      <c r="C3234" s="2" t="inlineStr">
        <is>
          <t>C0631</t>
        </is>
      </c>
      <c r="D3234" s="2" t="inlineStr">
        <is>
          <t>P0022</t>
        </is>
      </c>
      <c r="E3234" s="2" t="inlineStr">
        <is>
          <t>Face Wash</t>
        </is>
      </c>
      <c r="F3234" s="2" t="inlineStr">
        <is>
          <t>Beauty</t>
        </is>
      </c>
      <c r="G3234" s="2" t="inlineStr">
        <is>
          <t>South</t>
        </is>
      </c>
      <c r="H3234" s="2" t="inlineStr">
        <is>
          <t>Tamil Nadu</t>
        </is>
      </c>
      <c r="I3234" s="2" t="inlineStr">
        <is>
          <t>Madurai</t>
        </is>
      </c>
      <c r="J3234" s="2" t="inlineStr">
        <is>
          <t>Store</t>
        </is>
      </c>
      <c r="K3234" s="2" t="n">
        <v>2</v>
      </c>
      <c r="L3234" s="3" t="n">
        <v>573.35</v>
      </c>
      <c r="M3234" s="4" t="n">
        <v>0.05</v>
      </c>
      <c r="N3234" s="3" t="n">
        <v>700.51</v>
      </c>
      <c r="O3234" s="3">
        <f>K3234*L3234*(1-M3234)</f>
        <v/>
      </c>
      <c r="P3234" s="3">
        <f>O3234-N3234</f>
        <v/>
      </c>
      <c r="Q3234" s="5">
        <f>IFERROR(P3234/O3234,0)</f>
        <v/>
      </c>
      <c r="R3234" s="2">
        <f>TEXT(DATEVALUE(B3234),"mmm")</f>
        <v/>
      </c>
      <c r="S3234" s="2">
        <f>TEXT(DATEVALUE(B3234),"yyyy-mm")</f>
        <v/>
      </c>
    </row>
    <row r="3235">
      <c r="A3235" s="2" t="inlineStr">
        <is>
          <t>O003780</t>
        </is>
      </c>
      <c r="B3235" s="2" t="inlineStr">
        <is>
          <t>2025-08-23</t>
        </is>
      </c>
      <c r="C3235" s="2" t="inlineStr">
        <is>
          <t>C0427</t>
        </is>
      </c>
      <c r="D3235" s="2" t="inlineStr">
        <is>
          <t>P0012</t>
        </is>
      </c>
      <c r="E3235" s="2" t="inlineStr">
        <is>
          <t>Water Bottle</t>
        </is>
      </c>
      <c r="F3235" s="2" t="inlineStr">
        <is>
          <t>Home &amp; Kitchen</t>
        </is>
      </c>
      <c r="G3235" s="2" t="inlineStr">
        <is>
          <t>South</t>
        </is>
      </c>
      <c r="H3235" s="2" t="inlineStr">
        <is>
          <t>Karnataka</t>
        </is>
      </c>
      <c r="I3235" s="2" t="inlineStr">
        <is>
          <t>Mangaluru</t>
        </is>
      </c>
      <c r="J3235" s="2" t="inlineStr">
        <is>
          <t>Online</t>
        </is>
      </c>
      <c r="K3235" s="2" t="n">
        <v>3</v>
      </c>
      <c r="L3235" s="3" t="n">
        <v>988.36</v>
      </c>
      <c r="M3235" s="4" t="n">
        <v>0.05</v>
      </c>
      <c r="N3235" s="3" t="n">
        <v>1839.36</v>
      </c>
      <c r="O3235" s="3">
        <f>K3235*L3235*(1-M3235)</f>
        <v/>
      </c>
      <c r="P3235" s="3">
        <f>O3235-N3235</f>
        <v/>
      </c>
      <c r="Q3235" s="5">
        <f>IFERROR(P3235/O3235,0)</f>
        <v/>
      </c>
      <c r="R3235" s="2">
        <f>TEXT(DATEVALUE(B3235),"mmm")</f>
        <v/>
      </c>
      <c r="S3235" s="2">
        <f>TEXT(DATEVALUE(B3235),"yyyy-mm")</f>
        <v/>
      </c>
    </row>
    <row r="3236">
      <c r="A3236" s="2" t="inlineStr">
        <is>
          <t>O003721</t>
        </is>
      </c>
      <c r="B3236" s="2" t="inlineStr">
        <is>
          <t>2025-08-23</t>
        </is>
      </c>
      <c r="C3236" s="2" t="inlineStr">
        <is>
          <t>C0653</t>
        </is>
      </c>
      <c r="D3236" s="2" t="inlineStr">
        <is>
          <t>P0016</t>
        </is>
      </c>
      <c r="E3236" s="2" t="inlineStr">
        <is>
          <t>Casual Shirt</t>
        </is>
      </c>
      <c r="F3236" s="2" t="inlineStr">
        <is>
          <t>Fashion</t>
        </is>
      </c>
      <c r="G3236" s="2" t="inlineStr">
        <is>
          <t>South</t>
        </is>
      </c>
      <c r="H3236" s="2" t="inlineStr">
        <is>
          <t>Kerala</t>
        </is>
      </c>
      <c r="I3236" s="2" t="inlineStr">
        <is>
          <t>Kochi</t>
        </is>
      </c>
      <c r="J3236" s="2" t="inlineStr">
        <is>
          <t>Online</t>
        </is>
      </c>
      <c r="K3236" s="2" t="n">
        <v>2</v>
      </c>
      <c r="L3236" s="3" t="n">
        <v>1232.17</v>
      </c>
      <c r="M3236" s="4" t="n">
        <v>0.05</v>
      </c>
      <c r="N3236" s="3" t="n">
        <v>1804.79</v>
      </c>
      <c r="O3236" s="3">
        <f>K3236*L3236*(1-M3236)</f>
        <v/>
      </c>
      <c r="P3236" s="3">
        <f>O3236-N3236</f>
        <v/>
      </c>
      <c r="Q3236" s="5">
        <f>IFERROR(P3236/O3236,0)</f>
        <v/>
      </c>
      <c r="R3236" s="2">
        <f>TEXT(DATEVALUE(B3236),"mmm")</f>
        <v/>
      </c>
      <c r="S3236" s="2">
        <f>TEXT(DATEVALUE(B3236),"yyyy-mm")</f>
        <v/>
      </c>
    </row>
    <row r="3237">
      <c r="A3237" s="2" t="inlineStr">
        <is>
          <t>O002639</t>
        </is>
      </c>
      <c r="B3237" s="2" t="inlineStr">
        <is>
          <t>2025-08-23</t>
        </is>
      </c>
      <c r="C3237" s="2" t="inlineStr">
        <is>
          <t>C0730</t>
        </is>
      </c>
      <c r="D3237" s="2" t="inlineStr">
        <is>
          <t>P0007</t>
        </is>
      </c>
      <c r="E3237" s="2" t="inlineStr">
        <is>
          <t>Wireless Mouse</t>
        </is>
      </c>
      <c r="F3237" s="2" t="inlineStr">
        <is>
          <t>Electronics</t>
        </is>
      </c>
      <c r="G3237" s="2" t="inlineStr">
        <is>
          <t>East</t>
        </is>
      </c>
      <c r="H3237" s="2" t="inlineStr">
        <is>
          <t>West Bengal</t>
        </is>
      </c>
      <c r="I3237" s="2" t="inlineStr">
        <is>
          <t>Kolkata</t>
        </is>
      </c>
      <c r="J3237" s="2" t="inlineStr">
        <is>
          <t>Online</t>
        </is>
      </c>
      <c r="K3237" s="2" t="n">
        <v>2</v>
      </c>
      <c r="L3237" s="3" t="n">
        <v>956.51</v>
      </c>
      <c r="M3237" s="4" t="n">
        <v>0.05</v>
      </c>
      <c r="N3237" s="3" t="n">
        <v>1216.85</v>
      </c>
      <c r="O3237" s="3">
        <f>K3237*L3237*(1-M3237)</f>
        <v/>
      </c>
      <c r="P3237" s="3">
        <f>O3237-N3237</f>
        <v/>
      </c>
      <c r="Q3237" s="5">
        <f>IFERROR(P3237/O3237,0)</f>
        <v/>
      </c>
      <c r="R3237" s="2">
        <f>TEXT(DATEVALUE(B3237),"mmm")</f>
        <v/>
      </c>
      <c r="S3237" s="2">
        <f>TEXT(DATEVALUE(B3237),"yyyy-mm")</f>
        <v/>
      </c>
    </row>
    <row r="3238">
      <c r="A3238" s="2" t="inlineStr">
        <is>
          <t>O001653</t>
        </is>
      </c>
      <c r="B3238" s="2" t="inlineStr">
        <is>
          <t>2025-08-23</t>
        </is>
      </c>
      <c r="C3238" s="2" t="inlineStr">
        <is>
          <t>C0599</t>
        </is>
      </c>
      <c r="D3238" s="2" t="inlineStr">
        <is>
          <t>P0014</t>
        </is>
      </c>
      <c r="E3238" s="2" t="inlineStr">
        <is>
          <t>Coffee Maker</t>
        </is>
      </c>
      <c r="F3238" s="2" t="inlineStr">
        <is>
          <t>Home &amp; Kitchen</t>
        </is>
      </c>
      <c r="G3238" s="2" t="inlineStr">
        <is>
          <t>West</t>
        </is>
      </c>
      <c r="H3238" s="2" t="inlineStr">
        <is>
          <t>Maharashtra</t>
        </is>
      </c>
      <c r="I3238" s="2" t="inlineStr">
        <is>
          <t>Nashik</t>
        </is>
      </c>
      <c r="J3238" s="2" t="inlineStr">
        <is>
          <t>Online</t>
        </is>
      </c>
      <c r="K3238" s="2" t="n">
        <v>1</v>
      </c>
      <c r="L3238" s="3" t="n">
        <v>1021.54</v>
      </c>
      <c r="M3238" s="4" t="n">
        <v>0.05</v>
      </c>
      <c r="N3238" s="3" t="n">
        <v>762.01</v>
      </c>
      <c r="O3238" s="3">
        <f>K3238*L3238*(1-M3238)</f>
        <v/>
      </c>
      <c r="P3238" s="3">
        <f>O3238-N3238</f>
        <v/>
      </c>
      <c r="Q3238" s="5">
        <f>IFERROR(P3238/O3238,0)</f>
        <v/>
      </c>
      <c r="R3238" s="2">
        <f>TEXT(DATEVALUE(B3238),"mmm")</f>
        <v/>
      </c>
      <c r="S3238" s="2">
        <f>TEXT(DATEVALUE(B3238),"yyyy-mm")</f>
        <v/>
      </c>
    </row>
    <row r="3239">
      <c r="A3239" s="2" t="inlineStr">
        <is>
          <t>O001328</t>
        </is>
      </c>
      <c r="B3239" s="2" t="inlineStr">
        <is>
          <t>2025-08-23</t>
        </is>
      </c>
      <c r="C3239" s="2" t="inlineStr">
        <is>
          <t>C0052</t>
        </is>
      </c>
      <c r="D3239" s="2" t="inlineStr">
        <is>
          <t>P0022</t>
        </is>
      </c>
      <c r="E3239" s="2" t="inlineStr">
        <is>
          <t>Face Wash</t>
        </is>
      </c>
      <c r="F3239" s="2" t="inlineStr">
        <is>
          <t>Beauty</t>
        </is>
      </c>
      <c r="G3239" s="2" t="inlineStr">
        <is>
          <t>West</t>
        </is>
      </c>
      <c r="H3239" s="2" t="inlineStr">
        <is>
          <t>Gujarat</t>
        </is>
      </c>
      <c r="I3239" s="2" t="inlineStr">
        <is>
          <t>Surat</t>
        </is>
      </c>
      <c r="J3239" s="2" t="inlineStr">
        <is>
          <t>Online</t>
        </is>
      </c>
      <c r="K3239" s="2" t="n">
        <v>1</v>
      </c>
      <c r="L3239" s="3" t="n">
        <v>570.24</v>
      </c>
      <c r="M3239" s="4" t="n">
        <v>0.1</v>
      </c>
      <c r="N3239" s="3" t="n">
        <v>356.73</v>
      </c>
      <c r="O3239" s="3">
        <f>K3239*L3239*(1-M3239)</f>
        <v/>
      </c>
      <c r="P3239" s="3">
        <f>O3239-N3239</f>
        <v/>
      </c>
      <c r="Q3239" s="5">
        <f>IFERROR(P3239/O3239,0)</f>
        <v/>
      </c>
      <c r="R3239" s="2">
        <f>TEXT(DATEVALUE(B3239),"mmm")</f>
        <v/>
      </c>
      <c r="S3239" s="2">
        <f>TEXT(DATEVALUE(B3239),"yyyy-mm")</f>
        <v/>
      </c>
    </row>
    <row r="3240">
      <c r="A3240" s="2" t="inlineStr">
        <is>
          <t>O000820</t>
        </is>
      </c>
      <c r="B3240" s="2" t="inlineStr">
        <is>
          <t>2025-08-23</t>
        </is>
      </c>
      <c r="C3240" s="2" t="inlineStr">
        <is>
          <t>C0694</t>
        </is>
      </c>
      <c r="D3240" s="2" t="inlineStr">
        <is>
          <t>P0012</t>
        </is>
      </c>
      <c r="E3240" s="2" t="inlineStr">
        <is>
          <t>Water Bottle</t>
        </is>
      </c>
      <c r="F3240" s="2" t="inlineStr">
        <is>
          <t>Home &amp; Kitchen</t>
        </is>
      </c>
      <c r="G3240" s="2" t="inlineStr">
        <is>
          <t>East</t>
        </is>
      </c>
      <c r="H3240" s="2" t="inlineStr">
        <is>
          <t>Bihar</t>
        </is>
      </c>
      <c r="I3240" s="2" t="inlineStr">
        <is>
          <t>Patna</t>
        </is>
      </c>
      <c r="J3240" s="2" t="inlineStr">
        <is>
          <t>Online</t>
        </is>
      </c>
      <c r="K3240" s="2" t="n">
        <v>1</v>
      </c>
      <c r="L3240" s="3" t="n">
        <v>987</v>
      </c>
      <c r="M3240" s="4" t="n">
        <v>0.1</v>
      </c>
      <c r="N3240" s="3" t="n">
        <v>620.38</v>
      </c>
      <c r="O3240" s="3">
        <f>K3240*L3240*(1-M3240)</f>
        <v/>
      </c>
      <c r="P3240" s="3">
        <f>O3240-N3240</f>
        <v/>
      </c>
      <c r="Q3240" s="5">
        <f>IFERROR(P3240/O3240,0)</f>
        <v/>
      </c>
      <c r="R3240" s="2">
        <f>TEXT(DATEVALUE(B3240),"mmm")</f>
        <v/>
      </c>
      <c r="S3240" s="2">
        <f>TEXT(DATEVALUE(B3240),"yyyy-mm")</f>
        <v/>
      </c>
    </row>
    <row r="3241">
      <c r="A3241" s="2" t="inlineStr">
        <is>
          <t>O000597</t>
        </is>
      </c>
      <c r="B3241" s="2" t="inlineStr">
        <is>
          <t>2025-08-23</t>
        </is>
      </c>
      <c r="C3241" s="2" t="inlineStr">
        <is>
          <t>C0354</t>
        </is>
      </c>
      <c r="D3241" s="2" t="inlineStr">
        <is>
          <t>P0023</t>
        </is>
      </c>
      <c r="E3241" s="2" t="inlineStr">
        <is>
          <t>Skin Care Kit</t>
        </is>
      </c>
      <c r="F3241" s="2" t="inlineStr">
        <is>
          <t>Beauty</t>
        </is>
      </c>
      <c r="G3241" s="2" t="inlineStr">
        <is>
          <t>South</t>
        </is>
      </c>
      <c r="H3241" s="2" t="inlineStr">
        <is>
          <t>Karnataka</t>
        </is>
      </c>
      <c r="I3241" s="2" t="inlineStr">
        <is>
          <t>Mangaluru</t>
        </is>
      </c>
      <c r="J3241" s="2" t="inlineStr">
        <is>
          <t>Online</t>
        </is>
      </c>
      <c r="K3241" s="2" t="n">
        <v>1</v>
      </c>
      <c r="L3241" s="3" t="n">
        <v>1414.66</v>
      </c>
      <c r="M3241" s="4" t="n">
        <v>0.05</v>
      </c>
      <c r="N3241" s="3" t="n">
        <v>917.91</v>
      </c>
      <c r="O3241" s="3">
        <f>K3241*L3241*(1-M3241)</f>
        <v/>
      </c>
      <c r="P3241" s="3">
        <f>O3241-N3241</f>
        <v/>
      </c>
      <c r="Q3241" s="5">
        <f>IFERROR(P3241/O3241,0)</f>
        <v/>
      </c>
      <c r="R3241" s="2">
        <f>TEXT(DATEVALUE(B3241),"mmm")</f>
        <v/>
      </c>
      <c r="S3241" s="2">
        <f>TEXT(DATEVALUE(B3241),"yyyy-mm")</f>
        <v/>
      </c>
    </row>
    <row r="3242">
      <c r="A3242" s="2" t="inlineStr">
        <is>
          <t>O003339</t>
        </is>
      </c>
      <c r="B3242" s="2" t="inlineStr">
        <is>
          <t>2025-08-23</t>
        </is>
      </c>
      <c r="C3242" s="2" t="inlineStr">
        <is>
          <t>C0289</t>
        </is>
      </c>
      <c r="D3242" s="2" t="inlineStr">
        <is>
          <t>P0027</t>
        </is>
      </c>
      <c r="E3242" s="2" t="inlineStr">
        <is>
          <t>Moisturizer</t>
        </is>
      </c>
      <c r="F3242" s="2" t="inlineStr">
        <is>
          <t>Beauty</t>
        </is>
      </c>
      <c r="G3242" s="2" t="inlineStr">
        <is>
          <t>North</t>
        </is>
      </c>
      <c r="H3242" s="2" t="inlineStr">
        <is>
          <t>Delhi</t>
        </is>
      </c>
      <c r="I3242" s="2" t="inlineStr">
        <is>
          <t>New Delhi</t>
        </is>
      </c>
      <c r="J3242" s="2" t="inlineStr">
        <is>
          <t>Online</t>
        </is>
      </c>
      <c r="K3242" s="2" t="n">
        <v>1</v>
      </c>
      <c r="L3242" s="3" t="n">
        <v>914.46</v>
      </c>
      <c r="M3242" s="4" t="n">
        <v>0.2</v>
      </c>
      <c r="N3242" s="3" t="n">
        <v>661.3</v>
      </c>
      <c r="O3242" s="3">
        <f>K3242*L3242*(1-M3242)</f>
        <v/>
      </c>
      <c r="P3242" s="3">
        <f>O3242-N3242</f>
        <v/>
      </c>
      <c r="Q3242" s="5">
        <f>IFERROR(P3242/O3242,0)</f>
        <v/>
      </c>
      <c r="R3242" s="2">
        <f>TEXT(DATEVALUE(B3242),"mmm")</f>
        <v/>
      </c>
      <c r="S3242" s="2">
        <f>TEXT(DATEVALUE(B3242),"yyyy-mm")</f>
        <v/>
      </c>
    </row>
    <row r="3243">
      <c r="A3243" s="2" t="inlineStr">
        <is>
          <t>O001781</t>
        </is>
      </c>
      <c r="B3243" s="2" t="inlineStr">
        <is>
          <t>2025-08-24</t>
        </is>
      </c>
      <c r="C3243" s="2" t="inlineStr">
        <is>
          <t>C0034</t>
        </is>
      </c>
      <c r="D3243" s="2" t="inlineStr">
        <is>
          <t>P0035</t>
        </is>
      </c>
      <c r="E3243" s="2" t="inlineStr">
        <is>
          <t>Skipping Rope</t>
        </is>
      </c>
      <c r="F3243" s="2" t="inlineStr">
        <is>
          <t>Sports</t>
        </is>
      </c>
      <c r="G3243" s="2" t="inlineStr">
        <is>
          <t>West</t>
        </is>
      </c>
      <c r="H3243" s="2" t="inlineStr">
        <is>
          <t>Goa</t>
        </is>
      </c>
      <c r="I3243" s="2" t="inlineStr">
        <is>
          <t>Panaji</t>
        </is>
      </c>
      <c r="J3243" s="2" t="inlineStr">
        <is>
          <t>Online</t>
        </is>
      </c>
      <c r="K3243" s="2" t="n">
        <v>3</v>
      </c>
      <c r="L3243" s="3" t="n">
        <v>711.03</v>
      </c>
      <c r="M3243" s="4" t="n">
        <v>0.05</v>
      </c>
      <c r="N3243" s="3" t="n">
        <v>1253.75</v>
      </c>
      <c r="O3243" s="3">
        <f>K3243*L3243*(1-M3243)</f>
        <v/>
      </c>
      <c r="P3243" s="3">
        <f>O3243-N3243</f>
        <v/>
      </c>
      <c r="Q3243" s="5">
        <f>IFERROR(P3243/O3243,0)</f>
        <v/>
      </c>
      <c r="R3243" s="2">
        <f>TEXT(DATEVALUE(B3243),"mmm")</f>
        <v/>
      </c>
      <c r="S3243" s="2">
        <f>TEXT(DATEVALUE(B3243),"yyyy-mm")</f>
        <v/>
      </c>
    </row>
    <row r="3244">
      <c r="A3244" s="2" t="inlineStr">
        <is>
          <t>O003747</t>
        </is>
      </c>
      <c r="B3244" s="2" t="inlineStr">
        <is>
          <t>2025-08-24</t>
        </is>
      </c>
      <c r="C3244" s="2" t="inlineStr">
        <is>
          <t>C0499</t>
        </is>
      </c>
      <c r="D3244" s="2" t="inlineStr">
        <is>
          <t>P0026</t>
        </is>
      </c>
      <c r="E3244" s="2" t="inlineStr">
        <is>
          <t>Shampoo</t>
        </is>
      </c>
      <c r="F3244" s="2" t="inlineStr">
        <is>
          <t>Beauty</t>
        </is>
      </c>
      <c r="G3244" s="2" t="inlineStr">
        <is>
          <t>South</t>
        </is>
      </c>
      <c r="H3244" s="2" t="inlineStr">
        <is>
          <t>Tamil Nadu</t>
        </is>
      </c>
      <c r="I3244" s="2" t="inlineStr">
        <is>
          <t>Madurai</t>
        </is>
      </c>
      <c r="J3244" s="2" t="inlineStr">
        <is>
          <t>Store</t>
        </is>
      </c>
      <c r="K3244" s="2" t="n">
        <v>1</v>
      </c>
      <c r="L3244" s="3" t="n">
        <v>919.27</v>
      </c>
      <c r="M3244" s="4" t="n">
        <v>0.05</v>
      </c>
      <c r="N3244" s="3" t="n">
        <v>535.84</v>
      </c>
      <c r="O3244" s="3">
        <f>K3244*L3244*(1-M3244)</f>
        <v/>
      </c>
      <c r="P3244" s="3">
        <f>O3244-N3244</f>
        <v/>
      </c>
      <c r="Q3244" s="5">
        <f>IFERROR(P3244/O3244,0)</f>
        <v/>
      </c>
      <c r="R3244" s="2">
        <f>TEXT(DATEVALUE(B3244),"mmm")</f>
        <v/>
      </c>
      <c r="S3244" s="2">
        <f>TEXT(DATEVALUE(B3244),"yyyy-mm")</f>
        <v/>
      </c>
    </row>
    <row r="3245">
      <c r="A3245" s="2" t="inlineStr">
        <is>
          <t>O003506</t>
        </is>
      </c>
      <c r="B3245" s="2" t="inlineStr">
        <is>
          <t>2025-08-24</t>
        </is>
      </c>
      <c r="C3245" s="2" t="inlineStr">
        <is>
          <t>C0102</t>
        </is>
      </c>
      <c r="D3245" s="2" t="inlineStr">
        <is>
          <t>P0004</t>
        </is>
      </c>
      <c r="E3245" s="2" t="inlineStr">
        <is>
          <t>USB-C Hub</t>
        </is>
      </c>
      <c r="F3245" s="2" t="inlineStr">
        <is>
          <t>Electronics</t>
        </is>
      </c>
      <c r="G3245" s="2" t="inlineStr">
        <is>
          <t>North</t>
        </is>
      </c>
      <c r="H3245" s="2" t="inlineStr">
        <is>
          <t>Punjab</t>
        </is>
      </c>
      <c r="I3245" s="2" t="inlineStr">
        <is>
          <t>Amritsar</t>
        </is>
      </c>
      <c r="J3245" s="2" t="inlineStr">
        <is>
          <t>Store</t>
        </is>
      </c>
      <c r="K3245" s="2" t="n">
        <v>2</v>
      </c>
      <c r="L3245" s="3" t="n">
        <v>1244.7</v>
      </c>
      <c r="M3245" s="4" t="n">
        <v>0.05</v>
      </c>
      <c r="N3245" s="3" t="n">
        <v>1796.89</v>
      </c>
      <c r="O3245" s="3">
        <f>K3245*L3245*(1-M3245)</f>
        <v/>
      </c>
      <c r="P3245" s="3">
        <f>O3245-N3245</f>
        <v/>
      </c>
      <c r="Q3245" s="5">
        <f>IFERROR(P3245/O3245,0)</f>
        <v/>
      </c>
      <c r="R3245" s="2">
        <f>TEXT(DATEVALUE(B3245),"mmm")</f>
        <v/>
      </c>
      <c r="S3245" s="2">
        <f>TEXT(DATEVALUE(B3245),"yyyy-mm")</f>
        <v/>
      </c>
    </row>
    <row r="3246">
      <c r="A3246" s="2" t="inlineStr">
        <is>
          <t>O002633</t>
        </is>
      </c>
      <c r="B3246" s="2" t="inlineStr">
        <is>
          <t>2025-08-24</t>
        </is>
      </c>
      <c r="C3246" s="2" t="inlineStr">
        <is>
          <t>C0635</t>
        </is>
      </c>
      <c r="D3246" s="2" t="inlineStr">
        <is>
          <t>P0027</t>
        </is>
      </c>
      <c r="E3246" s="2" t="inlineStr">
        <is>
          <t>Moisturizer</t>
        </is>
      </c>
      <c r="F3246" s="2" t="inlineStr">
        <is>
          <t>Beauty</t>
        </is>
      </c>
      <c r="G3246" s="2" t="inlineStr">
        <is>
          <t>South</t>
        </is>
      </c>
      <c r="H3246" s="2" t="inlineStr">
        <is>
          <t>Kerala</t>
        </is>
      </c>
      <c r="I3246" s="2" t="inlineStr">
        <is>
          <t>Thiruvananthapuram</t>
        </is>
      </c>
      <c r="J3246" s="2" t="inlineStr">
        <is>
          <t>Store</t>
        </is>
      </c>
      <c r="K3246" s="2" t="n">
        <v>1</v>
      </c>
      <c r="L3246" s="3" t="n">
        <v>938.89</v>
      </c>
      <c r="M3246" s="4" t="n">
        <v>0</v>
      </c>
      <c r="N3246" s="3" t="n">
        <v>691.51</v>
      </c>
      <c r="O3246" s="3">
        <f>K3246*L3246*(1-M3246)</f>
        <v/>
      </c>
      <c r="P3246" s="3">
        <f>O3246-N3246</f>
        <v/>
      </c>
      <c r="Q3246" s="5">
        <f>IFERROR(P3246/O3246,0)</f>
        <v/>
      </c>
      <c r="R3246" s="2">
        <f>TEXT(DATEVALUE(B3246),"mmm")</f>
        <v/>
      </c>
      <c r="S3246" s="2">
        <f>TEXT(DATEVALUE(B3246),"yyyy-mm")</f>
        <v/>
      </c>
    </row>
    <row r="3247">
      <c r="A3247" s="2" t="inlineStr">
        <is>
          <t>O004995</t>
        </is>
      </c>
      <c r="B3247" s="2" t="inlineStr">
        <is>
          <t>2025-08-24</t>
        </is>
      </c>
      <c r="C3247" s="2" t="inlineStr">
        <is>
          <t>C0183</t>
        </is>
      </c>
      <c r="D3247" s="2" t="inlineStr">
        <is>
          <t>P0027</t>
        </is>
      </c>
      <c r="E3247" s="2" t="inlineStr">
        <is>
          <t>Moisturizer</t>
        </is>
      </c>
      <c r="F3247" s="2" t="inlineStr">
        <is>
          <t>Beauty</t>
        </is>
      </c>
      <c r="G3247" s="2" t="inlineStr">
        <is>
          <t>North</t>
        </is>
      </c>
      <c r="H3247" s="2" t="inlineStr">
        <is>
          <t>Delhi</t>
        </is>
      </c>
      <c r="I3247" s="2" t="inlineStr">
        <is>
          <t>New Delhi</t>
        </is>
      </c>
      <c r="J3247" s="2" t="inlineStr">
        <is>
          <t>Store</t>
        </is>
      </c>
      <c r="K3247" s="2" t="n">
        <v>1</v>
      </c>
      <c r="L3247" s="3" t="n">
        <v>925.38</v>
      </c>
      <c r="M3247" s="4" t="n">
        <v>0.05</v>
      </c>
      <c r="N3247" s="3" t="n">
        <v>692.08</v>
      </c>
      <c r="O3247" s="3">
        <f>K3247*L3247*(1-M3247)</f>
        <v/>
      </c>
      <c r="P3247" s="3">
        <f>O3247-N3247</f>
        <v/>
      </c>
      <c r="Q3247" s="5">
        <f>IFERROR(P3247/O3247,0)</f>
        <v/>
      </c>
      <c r="R3247" s="2">
        <f>TEXT(DATEVALUE(B3247),"mmm")</f>
        <v/>
      </c>
      <c r="S3247" s="2">
        <f>TEXT(DATEVALUE(B3247),"yyyy-mm")</f>
        <v/>
      </c>
    </row>
    <row r="3248">
      <c r="A3248" s="2" t="inlineStr">
        <is>
          <t>O001739</t>
        </is>
      </c>
      <c r="B3248" s="2" t="inlineStr">
        <is>
          <t>2025-08-24</t>
        </is>
      </c>
      <c r="C3248" s="2" t="inlineStr">
        <is>
          <t>C0585</t>
        </is>
      </c>
      <c r="D3248" s="2" t="inlineStr">
        <is>
          <t>P0021</t>
        </is>
      </c>
      <c r="E3248" s="2" t="inlineStr">
        <is>
          <t>Wallet</t>
        </is>
      </c>
      <c r="F3248" s="2" t="inlineStr">
        <is>
          <t>Fashion</t>
        </is>
      </c>
      <c r="G3248" s="2" t="inlineStr">
        <is>
          <t>East</t>
        </is>
      </c>
      <c r="H3248" s="2" t="inlineStr">
        <is>
          <t>Odisha</t>
        </is>
      </c>
      <c r="I3248" s="2" t="inlineStr">
        <is>
          <t>Bhubaneswar</t>
        </is>
      </c>
      <c r="J3248" s="2" t="inlineStr">
        <is>
          <t>Online</t>
        </is>
      </c>
      <c r="K3248" s="2" t="n">
        <v>1</v>
      </c>
      <c r="L3248" s="3" t="n">
        <v>1934.98</v>
      </c>
      <c r="M3248" s="4" t="n">
        <v>0.05</v>
      </c>
      <c r="N3248" s="3" t="n">
        <v>1175.91</v>
      </c>
      <c r="O3248" s="3">
        <f>K3248*L3248*(1-M3248)</f>
        <v/>
      </c>
      <c r="P3248" s="3">
        <f>O3248-N3248</f>
        <v/>
      </c>
      <c r="Q3248" s="5">
        <f>IFERROR(P3248/O3248,0)</f>
        <v/>
      </c>
      <c r="R3248" s="2">
        <f>TEXT(DATEVALUE(B3248),"mmm")</f>
        <v/>
      </c>
      <c r="S3248" s="2">
        <f>TEXT(DATEVALUE(B3248),"yyyy-mm")</f>
        <v/>
      </c>
    </row>
    <row r="3249">
      <c r="A3249" s="2" t="inlineStr">
        <is>
          <t>O001024</t>
        </is>
      </c>
      <c r="B3249" s="2" t="inlineStr">
        <is>
          <t>2025-08-24</t>
        </is>
      </c>
      <c r="C3249" s="2" t="inlineStr">
        <is>
          <t>C0020</t>
        </is>
      </c>
      <c r="D3249" s="2" t="inlineStr">
        <is>
          <t>P0022</t>
        </is>
      </c>
      <c r="E3249" s="2" t="inlineStr">
        <is>
          <t>Face Wash</t>
        </is>
      </c>
      <c r="F3249" s="2" t="inlineStr">
        <is>
          <t>Beauty</t>
        </is>
      </c>
      <c r="G3249" s="2" t="inlineStr">
        <is>
          <t>South</t>
        </is>
      </c>
      <c r="H3249" s="2" t="inlineStr">
        <is>
          <t>Tamil Nadu</t>
        </is>
      </c>
      <c r="I3249" s="2" t="inlineStr">
        <is>
          <t>Madurai</t>
        </is>
      </c>
      <c r="J3249" s="2" t="inlineStr">
        <is>
          <t>Online</t>
        </is>
      </c>
      <c r="K3249" s="2" t="n">
        <v>4</v>
      </c>
      <c r="L3249" s="3" t="n">
        <v>539.6799999999999</v>
      </c>
      <c r="M3249" s="4" t="n">
        <v>0.1</v>
      </c>
      <c r="N3249" s="3" t="n">
        <v>1448.79</v>
      </c>
      <c r="O3249" s="3">
        <f>K3249*L3249*(1-M3249)</f>
        <v/>
      </c>
      <c r="P3249" s="3">
        <f>O3249-N3249</f>
        <v/>
      </c>
      <c r="Q3249" s="5">
        <f>IFERROR(P3249/O3249,0)</f>
        <v/>
      </c>
      <c r="R3249" s="2">
        <f>TEXT(DATEVALUE(B3249),"mmm")</f>
        <v/>
      </c>
      <c r="S3249" s="2">
        <f>TEXT(DATEVALUE(B3249),"yyyy-mm")</f>
        <v/>
      </c>
    </row>
    <row r="3250">
      <c r="A3250" s="2" t="inlineStr">
        <is>
          <t>O001509</t>
        </is>
      </c>
      <c r="B3250" s="2" t="inlineStr">
        <is>
          <t>2025-08-24</t>
        </is>
      </c>
      <c r="C3250" s="2" t="inlineStr">
        <is>
          <t>C0555</t>
        </is>
      </c>
      <c r="D3250" s="2" t="inlineStr">
        <is>
          <t>P0022</t>
        </is>
      </c>
      <c r="E3250" s="2" t="inlineStr">
        <is>
          <t>Face Wash</t>
        </is>
      </c>
      <c r="F3250" s="2" t="inlineStr">
        <is>
          <t>Beauty</t>
        </is>
      </c>
      <c r="G3250" s="2" t="inlineStr">
        <is>
          <t>South</t>
        </is>
      </c>
      <c r="H3250" s="2" t="inlineStr">
        <is>
          <t>Tamil Nadu</t>
        </is>
      </c>
      <c r="I3250" s="2" t="inlineStr">
        <is>
          <t>Chennai</t>
        </is>
      </c>
      <c r="J3250" s="2" t="inlineStr">
        <is>
          <t>Online</t>
        </is>
      </c>
      <c r="K3250" s="2" t="n">
        <v>1</v>
      </c>
      <c r="L3250" s="3" t="n">
        <v>566.47</v>
      </c>
      <c r="M3250" s="4" t="n">
        <v>0.15</v>
      </c>
      <c r="N3250" s="3" t="n">
        <v>354.91</v>
      </c>
      <c r="O3250" s="3">
        <f>K3250*L3250*(1-M3250)</f>
        <v/>
      </c>
      <c r="P3250" s="3">
        <f>O3250-N3250</f>
        <v/>
      </c>
      <c r="Q3250" s="5">
        <f>IFERROR(P3250/O3250,0)</f>
        <v/>
      </c>
      <c r="R3250" s="2">
        <f>TEXT(DATEVALUE(B3250),"mmm")</f>
        <v/>
      </c>
      <c r="S3250" s="2">
        <f>TEXT(DATEVALUE(B3250),"yyyy-mm")</f>
        <v/>
      </c>
    </row>
    <row r="3251">
      <c r="A3251" s="2" t="inlineStr">
        <is>
          <t>O000931</t>
        </is>
      </c>
      <c r="B3251" s="2" t="inlineStr">
        <is>
          <t>2025-08-24</t>
        </is>
      </c>
      <c r="C3251" s="2" t="inlineStr">
        <is>
          <t>C0471</t>
        </is>
      </c>
      <c r="D3251" s="2" t="inlineStr">
        <is>
          <t>P0013</t>
        </is>
      </c>
      <c r="E3251" s="2" t="inlineStr">
        <is>
          <t>Storage Organizer</t>
        </is>
      </c>
      <c r="F3251" s="2" t="inlineStr">
        <is>
          <t>Home &amp; Kitchen</t>
        </is>
      </c>
      <c r="G3251" s="2" t="inlineStr">
        <is>
          <t>South</t>
        </is>
      </c>
      <c r="H3251" s="2" t="inlineStr">
        <is>
          <t>Tamil Nadu</t>
        </is>
      </c>
      <c r="I3251" s="2" t="inlineStr">
        <is>
          <t>Chennai</t>
        </is>
      </c>
      <c r="J3251" s="2" t="inlineStr">
        <is>
          <t>Store</t>
        </is>
      </c>
      <c r="K3251" s="2" t="n">
        <v>1</v>
      </c>
      <c r="L3251" s="3" t="n">
        <v>561.78</v>
      </c>
      <c r="M3251" s="4" t="n">
        <v>0.05</v>
      </c>
      <c r="N3251" s="3" t="n">
        <v>353</v>
      </c>
      <c r="O3251" s="3">
        <f>K3251*L3251*(1-M3251)</f>
        <v/>
      </c>
      <c r="P3251" s="3">
        <f>O3251-N3251</f>
        <v/>
      </c>
      <c r="Q3251" s="5">
        <f>IFERROR(P3251/O3251,0)</f>
        <v/>
      </c>
      <c r="R3251" s="2">
        <f>TEXT(DATEVALUE(B3251),"mmm")</f>
        <v/>
      </c>
      <c r="S3251" s="2">
        <f>TEXT(DATEVALUE(B3251),"yyyy-mm")</f>
        <v/>
      </c>
    </row>
    <row r="3252">
      <c r="A3252" s="2" t="inlineStr">
        <is>
          <t>O000775</t>
        </is>
      </c>
      <c r="B3252" s="2" t="inlineStr">
        <is>
          <t>2025-08-24</t>
        </is>
      </c>
      <c r="C3252" s="2" t="inlineStr">
        <is>
          <t>C0179</t>
        </is>
      </c>
      <c r="D3252" s="2" t="inlineStr">
        <is>
          <t>P0004</t>
        </is>
      </c>
      <c r="E3252" s="2" t="inlineStr">
        <is>
          <t>USB-C Hub</t>
        </is>
      </c>
      <c r="F3252" s="2" t="inlineStr">
        <is>
          <t>Electronics</t>
        </is>
      </c>
      <c r="G3252" s="2" t="inlineStr">
        <is>
          <t>East</t>
        </is>
      </c>
      <c r="H3252" s="2" t="inlineStr">
        <is>
          <t>Odisha</t>
        </is>
      </c>
      <c r="I3252" s="2" t="inlineStr">
        <is>
          <t>Cuttack</t>
        </is>
      </c>
      <c r="J3252" s="2" t="inlineStr">
        <is>
          <t>Online</t>
        </is>
      </c>
      <c r="K3252" s="2" t="n">
        <v>2</v>
      </c>
      <c r="L3252" s="3" t="n">
        <v>1244.3</v>
      </c>
      <c r="M3252" s="4" t="n">
        <v>0.05</v>
      </c>
      <c r="N3252" s="3" t="n">
        <v>1873.03</v>
      </c>
      <c r="O3252" s="3">
        <f>K3252*L3252*(1-M3252)</f>
        <v/>
      </c>
      <c r="P3252" s="3">
        <f>O3252-N3252</f>
        <v/>
      </c>
      <c r="Q3252" s="5">
        <f>IFERROR(P3252/O3252,0)</f>
        <v/>
      </c>
      <c r="R3252" s="2">
        <f>TEXT(DATEVALUE(B3252),"mmm")</f>
        <v/>
      </c>
      <c r="S3252" s="2">
        <f>TEXT(DATEVALUE(B3252),"yyyy-mm")</f>
        <v/>
      </c>
    </row>
    <row r="3253">
      <c r="A3253" s="2" t="inlineStr">
        <is>
          <t>O000028</t>
        </is>
      </c>
      <c r="B3253" s="2" t="inlineStr">
        <is>
          <t>2025-08-24</t>
        </is>
      </c>
      <c r="C3253" s="2" t="inlineStr">
        <is>
          <t>C0400</t>
        </is>
      </c>
      <c r="D3253" s="2" t="inlineStr">
        <is>
          <t>P0004</t>
        </is>
      </c>
      <c r="E3253" s="2" t="inlineStr">
        <is>
          <t>USB-C Hub</t>
        </is>
      </c>
      <c r="F3253" s="2" t="inlineStr">
        <is>
          <t>Electronics</t>
        </is>
      </c>
      <c r="G3253" s="2" t="inlineStr">
        <is>
          <t>West</t>
        </is>
      </c>
      <c r="H3253" s="2" t="inlineStr">
        <is>
          <t>Gujarat</t>
        </is>
      </c>
      <c r="I3253" s="2" t="inlineStr">
        <is>
          <t>Vadodara</t>
        </is>
      </c>
      <c r="J3253" s="2" t="inlineStr">
        <is>
          <t>Store</t>
        </is>
      </c>
      <c r="K3253" s="2" t="n">
        <v>2</v>
      </c>
      <c r="L3253" s="3" t="n">
        <v>1218.06</v>
      </c>
      <c r="M3253" s="4" t="n">
        <v>0.1</v>
      </c>
      <c r="N3253" s="3" t="n">
        <v>1821.74</v>
      </c>
      <c r="O3253" s="3">
        <f>K3253*L3253*(1-M3253)</f>
        <v/>
      </c>
      <c r="P3253" s="3">
        <f>O3253-N3253</f>
        <v/>
      </c>
      <c r="Q3253" s="5">
        <f>IFERROR(P3253/O3253,0)</f>
        <v/>
      </c>
      <c r="R3253" s="2">
        <f>TEXT(DATEVALUE(B3253),"mmm")</f>
        <v/>
      </c>
      <c r="S3253" s="2">
        <f>TEXT(DATEVALUE(B3253),"yyyy-mm")</f>
        <v/>
      </c>
    </row>
    <row r="3254">
      <c r="A3254" s="2" t="inlineStr">
        <is>
          <t>O001512</t>
        </is>
      </c>
      <c r="B3254" s="2" t="inlineStr">
        <is>
          <t>2025-08-24</t>
        </is>
      </c>
      <c r="C3254" s="2" t="inlineStr">
        <is>
          <t>C0037</t>
        </is>
      </c>
      <c r="D3254" s="2" t="inlineStr">
        <is>
          <t>P0023</t>
        </is>
      </c>
      <c r="E3254" s="2" t="inlineStr">
        <is>
          <t>Skin Care Kit</t>
        </is>
      </c>
      <c r="F3254" s="2" t="inlineStr">
        <is>
          <t>Beauty</t>
        </is>
      </c>
      <c r="G3254" s="2" t="inlineStr">
        <is>
          <t>West</t>
        </is>
      </c>
      <c r="H3254" s="2" t="inlineStr">
        <is>
          <t>Goa</t>
        </is>
      </c>
      <c r="I3254" s="2" t="inlineStr">
        <is>
          <t>Margao</t>
        </is>
      </c>
      <c r="J3254" s="2" t="inlineStr">
        <is>
          <t>Online</t>
        </is>
      </c>
      <c r="K3254" s="2" t="n">
        <v>1</v>
      </c>
      <c r="L3254" s="3" t="n">
        <v>1398.44</v>
      </c>
      <c r="M3254" s="4" t="n">
        <v>0.15</v>
      </c>
      <c r="N3254" s="3" t="n">
        <v>873.6799999999999</v>
      </c>
      <c r="O3254" s="3">
        <f>K3254*L3254*(1-M3254)</f>
        <v/>
      </c>
      <c r="P3254" s="3">
        <f>O3254-N3254</f>
        <v/>
      </c>
      <c r="Q3254" s="5">
        <f>IFERROR(P3254/O3254,0)</f>
        <v/>
      </c>
      <c r="R3254" s="2">
        <f>TEXT(DATEVALUE(B3254),"mmm")</f>
        <v/>
      </c>
      <c r="S3254" s="2">
        <f>TEXT(DATEVALUE(B3254),"yyyy-mm")</f>
        <v/>
      </c>
    </row>
    <row r="3255">
      <c r="A3255" s="2" t="inlineStr">
        <is>
          <t>O004749</t>
        </is>
      </c>
      <c r="B3255" s="2" t="inlineStr">
        <is>
          <t>2025-08-25</t>
        </is>
      </c>
      <c r="C3255" s="2" t="inlineStr">
        <is>
          <t>C0319</t>
        </is>
      </c>
      <c r="D3255" s="2" t="inlineStr">
        <is>
          <t>P0024</t>
        </is>
      </c>
      <c r="E3255" s="2" t="inlineStr">
        <is>
          <t>Hair Dryer</t>
        </is>
      </c>
      <c r="F3255" s="2" t="inlineStr">
        <is>
          <t>Beauty</t>
        </is>
      </c>
      <c r="G3255" s="2" t="inlineStr">
        <is>
          <t>West</t>
        </is>
      </c>
      <c r="H3255" s="2" t="inlineStr">
        <is>
          <t>Maharashtra</t>
        </is>
      </c>
      <c r="I3255" s="2" t="inlineStr">
        <is>
          <t>Thane</t>
        </is>
      </c>
      <c r="J3255" s="2" t="inlineStr">
        <is>
          <t>Store</t>
        </is>
      </c>
      <c r="K3255" s="2" t="n">
        <v>3</v>
      </c>
      <c r="L3255" s="3" t="n">
        <v>971.25</v>
      </c>
      <c r="M3255" s="4" t="n">
        <v>0</v>
      </c>
      <c r="N3255" s="3" t="n">
        <v>2145.43</v>
      </c>
      <c r="O3255" s="3">
        <f>K3255*L3255*(1-M3255)</f>
        <v/>
      </c>
      <c r="P3255" s="3">
        <f>O3255-N3255</f>
        <v/>
      </c>
      <c r="Q3255" s="5">
        <f>IFERROR(P3255/O3255,0)</f>
        <v/>
      </c>
      <c r="R3255" s="2">
        <f>TEXT(DATEVALUE(B3255),"mmm")</f>
        <v/>
      </c>
      <c r="S3255" s="2">
        <f>TEXT(DATEVALUE(B3255),"yyyy-mm")</f>
        <v/>
      </c>
    </row>
    <row r="3256">
      <c r="A3256" s="2" t="inlineStr">
        <is>
          <t>O004521</t>
        </is>
      </c>
      <c r="B3256" s="2" t="inlineStr">
        <is>
          <t>2025-08-25</t>
        </is>
      </c>
      <c r="C3256" s="2" t="inlineStr">
        <is>
          <t>C0015</t>
        </is>
      </c>
      <c r="D3256" s="2" t="inlineStr">
        <is>
          <t>P0003</t>
        </is>
      </c>
      <c r="E3256" s="2" t="inlineStr">
        <is>
          <t>Smartwatch</t>
        </is>
      </c>
      <c r="F3256" s="2" t="inlineStr">
        <is>
          <t>Electronics</t>
        </is>
      </c>
      <c r="G3256" s="2" t="inlineStr">
        <is>
          <t>North</t>
        </is>
      </c>
      <c r="H3256" s="2" t="inlineStr">
        <is>
          <t>Punjab</t>
        </is>
      </c>
      <c r="I3256" s="2" t="inlineStr">
        <is>
          <t>Jalandhar</t>
        </is>
      </c>
      <c r="J3256" s="2" t="inlineStr">
        <is>
          <t>Online</t>
        </is>
      </c>
      <c r="K3256" s="2" t="n">
        <v>3</v>
      </c>
      <c r="L3256" s="3" t="n">
        <v>2386.96</v>
      </c>
      <c r="M3256" s="4" t="n">
        <v>0.1</v>
      </c>
      <c r="N3256" s="3" t="n">
        <v>3513.53</v>
      </c>
      <c r="O3256" s="3">
        <f>K3256*L3256*(1-M3256)</f>
        <v/>
      </c>
      <c r="P3256" s="3">
        <f>O3256-N3256</f>
        <v/>
      </c>
      <c r="Q3256" s="5">
        <f>IFERROR(P3256/O3256,0)</f>
        <v/>
      </c>
      <c r="R3256" s="2">
        <f>TEXT(DATEVALUE(B3256),"mmm")</f>
        <v/>
      </c>
      <c r="S3256" s="2">
        <f>TEXT(DATEVALUE(B3256),"yyyy-mm")</f>
        <v/>
      </c>
    </row>
    <row r="3257">
      <c r="A3257" s="2" t="inlineStr">
        <is>
          <t>O004380</t>
        </is>
      </c>
      <c r="B3257" s="2" t="inlineStr">
        <is>
          <t>2025-08-25</t>
        </is>
      </c>
      <c r="C3257" s="2" t="inlineStr">
        <is>
          <t>C0739</t>
        </is>
      </c>
      <c r="D3257" s="2" t="inlineStr">
        <is>
          <t>P0013</t>
        </is>
      </c>
      <c r="E3257" s="2" t="inlineStr">
        <is>
          <t>Storage Organizer</t>
        </is>
      </c>
      <c r="F3257" s="2" t="inlineStr">
        <is>
          <t>Home &amp; Kitchen</t>
        </is>
      </c>
      <c r="G3257" s="2" t="inlineStr">
        <is>
          <t>West</t>
        </is>
      </c>
      <c r="H3257" s="2" t="inlineStr">
        <is>
          <t>Gujarat</t>
        </is>
      </c>
      <c r="I3257" s="2" t="inlineStr">
        <is>
          <t>Surat</t>
        </is>
      </c>
      <c r="J3257" s="2" t="inlineStr">
        <is>
          <t>Store</t>
        </is>
      </c>
      <c r="K3257" s="2" t="n">
        <v>1</v>
      </c>
      <c r="L3257" s="3" t="n">
        <v>581.66</v>
      </c>
      <c r="M3257" s="4" t="n">
        <v>0.15</v>
      </c>
      <c r="N3257" s="3" t="n">
        <v>359.21</v>
      </c>
      <c r="O3257" s="3">
        <f>K3257*L3257*(1-M3257)</f>
        <v/>
      </c>
      <c r="P3257" s="3">
        <f>O3257-N3257</f>
        <v/>
      </c>
      <c r="Q3257" s="5">
        <f>IFERROR(P3257/O3257,0)</f>
        <v/>
      </c>
      <c r="R3257" s="2">
        <f>TEXT(DATEVALUE(B3257),"mmm")</f>
        <v/>
      </c>
      <c r="S3257" s="2">
        <f>TEXT(DATEVALUE(B3257),"yyyy-mm")</f>
        <v/>
      </c>
    </row>
    <row r="3258">
      <c r="A3258" s="2" t="inlineStr">
        <is>
          <t>O004063</t>
        </is>
      </c>
      <c r="B3258" s="2" t="inlineStr">
        <is>
          <t>2025-08-25</t>
        </is>
      </c>
      <c r="C3258" s="2" t="inlineStr">
        <is>
          <t>C0551</t>
        </is>
      </c>
      <c r="D3258" s="2" t="inlineStr">
        <is>
          <t>P0017</t>
        </is>
      </c>
      <c r="E3258" s="2" t="inlineStr">
        <is>
          <t>Jeans</t>
        </is>
      </c>
      <c r="F3258" s="2" t="inlineStr">
        <is>
          <t>Fashion</t>
        </is>
      </c>
      <c r="G3258" s="2" t="inlineStr">
        <is>
          <t>North</t>
        </is>
      </c>
      <c r="H3258" s="2" t="inlineStr">
        <is>
          <t>Delhi</t>
        </is>
      </c>
      <c r="I3258" s="2" t="inlineStr">
        <is>
          <t>New Delhi</t>
        </is>
      </c>
      <c r="J3258" s="2" t="inlineStr">
        <is>
          <t>Online</t>
        </is>
      </c>
      <c r="K3258" s="2" t="n">
        <v>1</v>
      </c>
      <c r="L3258" s="3" t="n">
        <v>1428.33</v>
      </c>
      <c r="M3258" s="4" t="n">
        <v>0.1</v>
      </c>
      <c r="N3258" s="3" t="n">
        <v>997.28</v>
      </c>
      <c r="O3258" s="3">
        <f>K3258*L3258*(1-M3258)</f>
        <v/>
      </c>
      <c r="P3258" s="3">
        <f>O3258-N3258</f>
        <v/>
      </c>
      <c r="Q3258" s="5">
        <f>IFERROR(P3258/O3258,0)</f>
        <v/>
      </c>
      <c r="R3258" s="2">
        <f>TEXT(DATEVALUE(B3258),"mmm")</f>
        <v/>
      </c>
      <c r="S3258" s="2">
        <f>TEXT(DATEVALUE(B3258),"yyyy-mm")</f>
        <v/>
      </c>
    </row>
    <row r="3259">
      <c r="A3259" s="2" t="inlineStr">
        <is>
          <t>O003763</t>
        </is>
      </c>
      <c r="B3259" s="2" t="inlineStr">
        <is>
          <t>2025-08-25</t>
        </is>
      </c>
      <c r="C3259" s="2" t="inlineStr">
        <is>
          <t>C0782</t>
        </is>
      </c>
      <c r="D3259" s="2" t="inlineStr">
        <is>
          <t>P0007</t>
        </is>
      </c>
      <c r="E3259" s="2" t="inlineStr">
        <is>
          <t>Wireless Mouse</t>
        </is>
      </c>
      <c r="F3259" s="2" t="inlineStr">
        <is>
          <t>Electronics</t>
        </is>
      </c>
      <c r="G3259" s="2" t="inlineStr">
        <is>
          <t>East</t>
        </is>
      </c>
      <c r="H3259" s="2" t="inlineStr">
        <is>
          <t>Odisha</t>
        </is>
      </c>
      <c r="I3259" s="2" t="inlineStr">
        <is>
          <t>Cuttack</t>
        </is>
      </c>
      <c r="J3259" s="2" t="inlineStr">
        <is>
          <t>Online</t>
        </is>
      </c>
      <c r="K3259" s="2" t="n">
        <v>6</v>
      </c>
      <c r="L3259" s="3" t="n">
        <v>964.66</v>
      </c>
      <c r="M3259" s="4" t="n">
        <v>0.1</v>
      </c>
      <c r="N3259" s="3" t="n">
        <v>3773.97</v>
      </c>
      <c r="O3259" s="3">
        <f>K3259*L3259*(1-M3259)</f>
        <v/>
      </c>
      <c r="P3259" s="3">
        <f>O3259-N3259</f>
        <v/>
      </c>
      <c r="Q3259" s="5">
        <f>IFERROR(P3259/O3259,0)</f>
        <v/>
      </c>
      <c r="R3259" s="2">
        <f>TEXT(DATEVALUE(B3259),"mmm")</f>
        <v/>
      </c>
      <c r="S3259" s="2">
        <f>TEXT(DATEVALUE(B3259),"yyyy-mm")</f>
        <v/>
      </c>
    </row>
    <row r="3260">
      <c r="A3260" s="2" t="inlineStr">
        <is>
          <t>O002350</t>
        </is>
      </c>
      <c r="B3260" s="2" t="inlineStr">
        <is>
          <t>2025-08-25</t>
        </is>
      </c>
      <c r="C3260" s="2" t="inlineStr">
        <is>
          <t>C0283</t>
        </is>
      </c>
      <c r="D3260" s="2" t="inlineStr">
        <is>
          <t>P0022</t>
        </is>
      </c>
      <c r="E3260" s="2" t="inlineStr">
        <is>
          <t>Face Wash</t>
        </is>
      </c>
      <c r="F3260" s="2" t="inlineStr">
        <is>
          <t>Beauty</t>
        </is>
      </c>
      <c r="G3260" s="2" t="inlineStr">
        <is>
          <t>North</t>
        </is>
      </c>
      <c r="H3260" s="2" t="inlineStr">
        <is>
          <t>Delhi</t>
        </is>
      </c>
      <c r="I3260" s="2" t="inlineStr">
        <is>
          <t>New Delhi</t>
        </is>
      </c>
      <c r="J3260" s="2" t="inlineStr">
        <is>
          <t>Store</t>
        </is>
      </c>
      <c r="K3260" s="2" t="n">
        <v>5</v>
      </c>
      <c r="L3260" s="3" t="n">
        <v>532.25</v>
      </c>
      <c r="M3260" s="4" t="n">
        <v>0.1</v>
      </c>
      <c r="N3260" s="3" t="n">
        <v>1748.88</v>
      </c>
      <c r="O3260" s="3">
        <f>K3260*L3260*(1-M3260)</f>
        <v/>
      </c>
      <c r="P3260" s="3">
        <f>O3260-N3260</f>
        <v/>
      </c>
      <c r="Q3260" s="5">
        <f>IFERROR(P3260/O3260,0)</f>
        <v/>
      </c>
      <c r="R3260" s="2">
        <f>TEXT(DATEVALUE(B3260),"mmm")</f>
        <v/>
      </c>
      <c r="S3260" s="2">
        <f>TEXT(DATEVALUE(B3260),"yyyy-mm")</f>
        <v/>
      </c>
    </row>
    <row r="3261">
      <c r="A3261" s="2" t="inlineStr">
        <is>
          <t>O002325</t>
        </is>
      </c>
      <c r="B3261" s="2" t="inlineStr">
        <is>
          <t>2025-08-25</t>
        </is>
      </c>
      <c r="C3261" s="2" t="inlineStr">
        <is>
          <t>C0725</t>
        </is>
      </c>
      <c r="D3261" s="2" t="inlineStr">
        <is>
          <t>P0024</t>
        </is>
      </c>
      <c r="E3261" s="2" t="inlineStr">
        <is>
          <t>Hair Dryer</t>
        </is>
      </c>
      <c r="F3261" s="2" t="inlineStr">
        <is>
          <t>Beauty</t>
        </is>
      </c>
      <c r="G3261" s="2" t="inlineStr">
        <is>
          <t>North</t>
        </is>
      </c>
      <c r="H3261" s="2" t="inlineStr">
        <is>
          <t>Haryana</t>
        </is>
      </c>
      <c r="I3261" s="2" t="inlineStr">
        <is>
          <t>Faridabad</t>
        </is>
      </c>
      <c r="J3261" s="2" t="inlineStr">
        <is>
          <t>Store</t>
        </is>
      </c>
      <c r="K3261" s="2" t="n">
        <v>2</v>
      </c>
      <c r="L3261" s="3" t="n">
        <v>1027.67</v>
      </c>
      <c r="M3261" s="4" t="n">
        <v>0.1</v>
      </c>
      <c r="N3261" s="3" t="n">
        <v>1516.5</v>
      </c>
      <c r="O3261" s="3">
        <f>K3261*L3261*(1-M3261)</f>
        <v/>
      </c>
      <c r="P3261" s="3">
        <f>O3261-N3261</f>
        <v/>
      </c>
      <c r="Q3261" s="5">
        <f>IFERROR(P3261/O3261,0)</f>
        <v/>
      </c>
      <c r="R3261" s="2">
        <f>TEXT(DATEVALUE(B3261),"mmm")</f>
        <v/>
      </c>
      <c r="S3261" s="2">
        <f>TEXT(DATEVALUE(B3261),"yyyy-mm")</f>
        <v/>
      </c>
    </row>
    <row r="3262">
      <c r="A3262" s="2" t="inlineStr">
        <is>
          <t>O003234</t>
        </is>
      </c>
      <c r="B3262" s="2" t="inlineStr">
        <is>
          <t>2025-08-25</t>
        </is>
      </c>
      <c r="C3262" s="2" t="inlineStr">
        <is>
          <t>C0742</t>
        </is>
      </c>
      <c r="D3262" s="2" t="inlineStr">
        <is>
          <t>P0009</t>
        </is>
      </c>
      <c r="E3262" s="2" t="inlineStr">
        <is>
          <t>Electric Kettle</t>
        </is>
      </c>
      <c r="F3262" s="2" t="inlineStr">
        <is>
          <t>Home &amp; Kitchen</t>
        </is>
      </c>
      <c r="G3262" s="2" t="inlineStr">
        <is>
          <t>East</t>
        </is>
      </c>
      <c r="H3262" s="2" t="inlineStr">
        <is>
          <t>West Bengal</t>
        </is>
      </c>
      <c r="I3262" s="2" t="inlineStr">
        <is>
          <t>Kolkata</t>
        </is>
      </c>
      <c r="J3262" s="2" t="inlineStr">
        <is>
          <t>Online</t>
        </is>
      </c>
      <c r="K3262" s="2" t="n">
        <v>2</v>
      </c>
      <c r="L3262" s="3" t="n">
        <v>2097.36</v>
      </c>
      <c r="M3262" s="4" t="n">
        <v>0.1</v>
      </c>
      <c r="N3262" s="3" t="n">
        <v>2276.55</v>
      </c>
      <c r="O3262" s="3">
        <f>K3262*L3262*(1-M3262)</f>
        <v/>
      </c>
      <c r="P3262" s="3">
        <f>O3262-N3262</f>
        <v/>
      </c>
      <c r="Q3262" s="5">
        <f>IFERROR(P3262/O3262,0)</f>
        <v/>
      </c>
      <c r="R3262" s="2">
        <f>TEXT(DATEVALUE(B3262),"mmm")</f>
        <v/>
      </c>
      <c r="S3262" s="2">
        <f>TEXT(DATEVALUE(B3262),"yyyy-mm")</f>
        <v/>
      </c>
    </row>
    <row r="3263">
      <c r="A3263" s="2" t="inlineStr">
        <is>
          <t>O001628</t>
        </is>
      </c>
      <c r="B3263" s="2" t="inlineStr">
        <is>
          <t>2025-08-25</t>
        </is>
      </c>
      <c r="C3263" s="2" t="inlineStr">
        <is>
          <t>C0140</t>
        </is>
      </c>
      <c r="D3263" s="2" t="inlineStr">
        <is>
          <t>P0024</t>
        </is>
      </c>
      <c r="E3263" s="2" t="inlineStr">
        <is>
          <t>Hair Dryer</t>
        </is>
      </c>
      <c r="F3263" s="2" t="inlineStr">
        <is>
          <t>Beauty</t>
        </is>
      </c>
      <c r="G3263" s="2" t="inlineStr">
        <is>
          <t>West</t>
        </is>
      </c>
      <c r="H3263" s="2" t="inlineStr">
        <is>
          <t>Gujarat</t>
        </is>
      </c>
      <c r="I3263" s="2" t="inlineStr">
        <is>
          <t>Vadodara</t>
        </is>
      </c>
      <c r="J3263" s="2" t="inlineStr">
        <is>
          <t>Online</t>
        </is>
      </c>
      <c r="K3263" s="2" t="n">
        <v>1</v>
      </c>
      <c r="L3263" s="3" t="n">
        <v>980.15</v>
      </c>
      <c r="M3263" s="4" t="n">
        <v>0.25</v>
      </c>
      <c r="N3263" s="3" t="n">
        <v>731.59</v>
      </c>
      <c r="O3263" s="3">
        <f>K3263*L3263*(1-M3263)</f>
        <v/>
      </c>
      <c r="P3263" s="3">
        <f>O3263-N3263</f>
        <v/>
      </c>
      <c r="Q3263" s="5">
        <f>IFERROR(P3263/O3263,0)</f>
        <v/>
      </c>
      <c r="R3263" s="2">
        <f>TEXT(DATEVALUE(B3263),"mmm")</f>
        <v/>
      </c>
      <c r="S3263" s="2">
        <f>TEXT(DATEVALUE(B3263),"yyyy-mm")</f>
        <v/>
      </c>
    </row>
    <row r="3264">
      <c r="A3264" s="2" t="inlineStr">
        <is>
          <t>O001361</t>
        </is>
      </c>
      <c r="B3264" s="2" t="inlineStr">
        <is>
          <t>2025-08-25</t>
        </is>
      </c>
      <c r="C3264" s="2" t="inlineStr">
        <is>
          <t>C0100</t>
        </is>
      </c>
      <c r="D3264" s="2" t="inlineStr">
        <is>
          <t>P0024</t>
        </is>
      </c>
      <c r="E3264" s="2" t="inlineStr">
        <is>
          <t>Hair Dryer</t>
        </is>
      </c>
      <c r="F3264" s="2" t="inlineStr">
        <is>
          <t>Beauty</t>
        </is>
      </c>
      <c r="G3264" s="2" t="inlineStr">
        <is>
          <t>West</t>
        </is>
      </c>
      <c r="H3264" s="2" t="inlineStr">
        <is>
          <t>Goa</t>
        </is>
      </c>
      <c r="I3264" s="2" t="inlineStr">
        <is>
          <t>Panaji</t>
        </is>
      </c>
      <c r="J3264" s="2" t="inlineStr">
        <is>
          <t>Store</t>
        </is>
      </c>
      <c r="K3264" s="2" t="n">
        <v>3</v>
      </c>
      <c r="L3264" s="3" t="n">
        <v>1042.07</v>
      </c>
      <c r="M3264" s="4" t="n">
        <v>0.05</v>
      </c>
      <c r="N3264" s="3" t="n">
        <v>2211.98</v>
      </c>
      <c r="O3264" s="3">
        <f>K3264*L3264*(1-M3264)</f>
        <v/>
      </c>
      <c r="P3264" s="3">
        <f>O3264-N3264</f>
        <v/>
      </c>
      <c r="Q3264" s="5">
        <f>IFERROR(P3264/O3264,0)</f>
        <v/>
      </c>
      <c r="R3264" s="2">
        <f>TEXT(DATEVALUE(B3264),"mmm")</f>
        <v/>
      </c>
      <c r="S3264" s="2">
        <f>TEXT(DATEVALUE(B3264),"yyyy-mm")</f>
        <v/>
      </c>
    </row>
    <row r="3265">
      <c r="A3265" s="2" t="inlineStr">
        <is>
          <t>O001322</t>
        </is>
      </c>
      <c r="B3265" s="2" t="inlineStr">
        <is>
          <t>2025-08-25</t>
        </is>
      </c>
      <c r="C3265" s="2" t="inlineStr">
        <is>
          <t>C0001</t>
        </is>
      </c>
      <c r="D3265" s="2" t="inlineStr">
        <is>
          <t>P0022</t>
        </is>
      </c>
      <c r="E3265" s="2" t="inlineStr">
        <is>
          <t>Face Wash</t>
        </is>
      </c>
      <c r="F3265" s="2" t="inlineStr">
        <is>
          <t>Beauty</t>
        </is>
      </c>
      <c r="G3265" s="2" t="inlineStr">
        <is>
          <t>West</t>
        </is>
      </c>
      <c r="H3265" s="2" t="inlineStr">
        <is>
          <t>Goa</t>
        </is>
      </c>
      <c r="I3265" s="2" t="inlineStr">
        <is>
          <t>Panaji</t>
        </is>
      </c>
      <c r="J3265" s="2" t="inlineStr">
        <is>
          <t>Online</t>
        </is>
      </c>
      <c r="K3265" s="2" t="n">
        <v>2</v>
      </c>
      <c r="L3265" s="3" t="n">
        <v>575.04</v>
      </c>
      <c r="M3265" s="4" t="n">
        <v>0.05</v>
      </c>
      <c r="N3265" s="3" t="n">
        <v>717.8</v>
      </c>
      <c r="O3265" s="3">
        <f>K3265*L3265*(1-M3265)</f>
        <v/>
      </c>
      <c r="P3265" s="3">
        <f>O3265-N3265</f>
        <v/>
      </c>
      <c r="Q3265" s="5">
        <f>IFERROR(P3265/O3265,0)</f>
        <v/>
      </c>
      <c r="R3265" s="2">
        <f>TEXT(DATEVALUE(B3265),"mmm")</f>
        <v/>
      </c>
      <c r="S3265" s="2">
        <f>TEXT(DATEVALUE(B3265),"yyyy-mm")</f>
        <v/>
      </c>
    </row>
    <row r="3266">
      <c r="A3266" s="2" t="inlineStr">
        <is>
          <t>O001051</t>
        </is>
      </c>
      <c r="B3266" s="2" t="inlineStr">
        <is>
          <t>2025-08-25</t>
        </is>
      </c>
      <c r="C3266" s="2" t="inlineStr">
        <is>
          <t>C0613</t>
        </is>
      </c>
      <c r="D3266" s="2" t="inlineStr">
        <is>
          <t>P0016</t>
        </is>
      </c>
      <c r="E3266" s="2" t="inlineStr">
        <is>
          <t>Casual Shirt</t>
        </is>
      </c>
      <c r="F3266" s="2" t="inlineStr">
        <is>
          <t>Fashion</t>
        </is>
      </c>
      <c r="G3266" s="2" t="inlineStr">
        <is>
          <t>West</t>
        </is>
      </c>
      <c r="H3266" s="2" t="inlineStr">
        <is>
          <t>Goa</t>
        </is>
      </c>
      <c r="I3266" s="2" t="inlineStr">
        <is>
          <t>Margao</t>
        </is>
      </c>
      <c r="J3266" s="2" t="inlineStr">
        <is>
          <t>Online</t>
        </is>
      </c>
      <c r="K3266" s="2" t="n">
        <v>5</v>
      </c>
      <c r="L3266" s="3" t="n">
        <v>1268.05</v>
      </c>
      <c r="M3266" s="4" t="n">
        <v>0.1</v>
      </c>
      <c r="N3266" s="3" t="n">
        <v>4467.48</v>
      </c>
      <c r="O3266" s="3">
        <f>K3266*L3266*(1-M3266)</f>
        <v/>
      </c>
      <c r="P3266" s="3">
        <f>O3266-N3266</f>
        <v/>
      </c>
      <c r="Q3266" s="5">
        <f>IFERROR(P3266/O3266,0)</f>
        <v/>
      </c>
      <c r="R3266" s="2">
        <f>TEXT(DATEVALUE(B3266),"mmm")</f>
        <v/>
      </c>
      <c r="S3266" s="2">
        <f>TEXT(DATEVALUE(B3266),"yyyy-mm")</f>
        <v/>
      </c>
    </row>
    <row r="3267">
      <c r="A3267" s="2" t="inlineStr">
        <is>
          <t>O000455</t>
        </is>
      </c>
      <c r="B3267" s="2" t="inlineStr">
        <is>
          <t>2025-08-25</t>
        </is>
      </c>
      <c r="C3267" s="2" t="inlineStr">
        <is>
          <t>C0626</t>
        </is>
      </c>
      <c r="D3267" s="2" t="inlineStr">
        <is>
          <t>P0021</t>
        </is>
      </c>
      <c r="E3267" s="2" t="inlineStr">
        <is>
          <t>Wallet</t>
        </is>
      </c>
      <c r="F3267" s="2" t="inlineStr">
        <is>
          <t>Fashion</t>
        </is>
      </c>
      <c r="G3267" s="2" t="inlineStr">
        <is>
          <t>South</t>
        </is>
      </c>
      <c r="H3267" s="2" t="inlineStr">
        <is>
          <t>Tamil Nadu</t>
        </is>
      </c>
      <c r="I3267" s="2" t="inlineStr">
        <is>
          <t>Chennai</t>
        </is>
      </c>
      <c r="J3267" s="2" t="inlineStr">
        <is>
          <t>Store</t>
        </is>
      </c>
      <c r="K3267" s="2" t="n">
        <v>1</v>
      </c>
      <c r="L3267" s="3" t="n">
        <v>1960.11</v>
      </c>
      <c r="M3267" s="4" t="n">
        <v>0</v>
      </c>
      <c r="N3267" s="3" t="n">
        <v>1256.06</v>
      </c>
      <c r="O3267" s="3">
        <f>K3267*L3267*(1-M3267)</f>
        <v/>
      </c>
      <c r="P3267" s="3">
        <f>O3267-N3267</f>
        <v/>
      </c>
      <c r="Q3267" s="5">
        <f>IFERROR(P3267/O3267,0)</f>
        <v/>
      </c>
      <c r="R3267" s="2">
        <f>TEXT(DATEVALUE(B3267),"mmm")</f>
        <v/>
      </c>
      <c r="S3267" s="2">
        <f>TEXT(DATEVALUE(B3267),"yyyy-mm")</f>
        <v/>
      </c>
    </row>
    <row r="3268">
      <c r="A3268" s="2" t="inlineStr">
        <is>
          <t>O000147</t>
        </is>
      </c>
      <c r="B3268" s="2" t="inlineStr">
        <is>
          <t>2025-08-25</t>
        </is>
      </c>
      <c r="C3268" s="2" t="inlineStr">
        <is>
          <t>C0432</t>
        </is>
      </c>
      <c r="D3268" s="2" t="inlineStr">
        <is>
          <t>P0019</t>
        </is>
      </c>
      <c r="E3268" s="2" t="inlineStr">
        <is>
          <t>Jacket</t>
        </is>
      </c>
      <c r="F3268" s="2" t="inlineStr">
        <is>
          <t>Fashion</t>
        </is>
      </c>
      <c r="G3268" s="2" t="inlineStr">
        <is>
          <t>West</t>
        </is>
      </c>
      <c r="H3268" s="2" t="inlineStr">
        <is>
          <t>Goa</t>
        </is>
      </c>
      <c r="I3268" s="2" t="inlineStr">
        <is>
          <t>Panaji</t>
        </is>
      </c>
      <c r="J3268" s="2" t="inlineStr">
        <is>
          <t>Online</t>
        </is>
      </c>
      <c r="K3268" s="2" t="n">
        <v>1</v>
      </c>
      <c r="L3268" s="3" t="n">
        <v>1072.27</v>
      </c>
      <c r="M3268" s="4" t="n">
        <v>0.05</v>
      </c>
      <c r="N3268" s="3" t="n">
        <v>663.37</v>
      </c>
      <c r="O3268" s="3">
        <f>K3268*L3268*(1-M3268)</f>
        <v/>
      </c>
      <c r="P3268" s="3">
        <f>O3268-N3268</f>
        <v/>
      </c>
      <c r="Q3268" s="5">
        <f>IFERROR(P3268/O3268,0)</f>
        <v/>
      </c>
      <c r="R3268" s="2">
        <f>TEXT(DATEVALUE(B3268),"mmm")</f>
        <v/>
      </c>
      <c r="S3268" s="2">
        <f>TEXT(DATEVALUE(B3268),"yyyy-mm")</f>
        <v/>
      </c>
    </row>
    <row r="3269">
      <c r="A3269" s="2" t="inlineStr">
        <is>
          <t>O000084</t>
        </is>
      </c>
      <c r="B3269" s="2" t="inlineStr">
        <is>
          <t>2025-08-25</t>
        </is>
      </c>
      <c r="C3269" s="2" t="inlineStr">
        <is>
          <t>C0353</t>
        </is>
      </c>
      <c r="D3269" s="2" t="inlineStr">
        <is>
          <t>P0019</t>
        </is>
      </c>
      <c r="E3269" s="2" t="inlineStr">
        <is>
          <t>Jacket</t>
        </is>
      </c>
      <c r="F3269" s="2" t="inlineStr">
        <is>
          <t>Fashion</t>
        </is>
      </c>
      <c r="G3269" s="2" t="inlineStr">
        <is>
          <t>West</t>
        </is>
      </c>
      <c r="H3269" s="2" t="inlineStr">
        <is>
          <t>Maharashtra</t>
        </is>
      </c>
      <c r="I3269" s="2" t="inlineStr">
        <is>
          <t>Thane</t>
        </is>
      </c>
      <c r="J3269" s="2" t="inlineStr">
        <is>
          <t>Store</t>
        </is>
      </c>
      <c r="K3269" s="2" t="n">
        <v>1</v>
      </c>
      <c r="L3269" s="3" t="n">
        <v>990.66</v>
      </c>
      <c r="M3269" s="4" t="n">
        <v>0.05</v>
      </c>
      <c r="N3269" s="3" t="n">
        <v>672.52</v>
      </c>
      <c r="O3269" s="3">
        <f>K3269*L3269*(1-M3269)</f>
        <v/>
      </c>
      <c r="P3269" s="3">
        <f>O3269-N3269</f>
        <v/>
      </c>
      <c r="Q3269" s="5">
        <f>IFERROR(P3269/O3269,0)</f>
        <v/>
      </c>
      <c r="R3269" s="2">
        <f>TEXT(DATEVALUE(B3269),"mmm")</f>
        <v/>
      </c>
      <c r="S3269" s="2">
        <f>TEXT(DATEVALUE(B3269),"yyyy-mm")</f>
        <v/>
      </c>
    </row>
    <row r="3270">
      <c r="A3270" s="2" t="inlineStr">
        <is>
          <t>O001935</t>
        </is>
      </c>
      <c r="B3270" s="2" t="inlineStr">
        <is>
          <t>2025-08-25</t>
        </is>
      </c>
      <c r="C3270" s="2" t="inlineStr">
        <is>
          <t>C0477</t>
        </is>
      </c>
      <c r="D3270" s="2" t="inlineStr">
        <is>
          <t>P0002</t>
        </is>
      </c>
      <c r="E3270" s="2" t="inlineStr">
        <is>
          <t>Bluetooth Speaker</t>
        </is>
      </c>
      <c r="F3270" s="2" t="inlineStr">
        <is>
          <t>Electronics</t>
        </is>
      </c>
      <c r="G3270" s="2" t="inlineStr">
        <is>
          <t>North</t>
        </is>
      </c>
      <c r="H3270" s="2" t="inlineStr">
        <is>
          <t>Uttar Pradesh</t>
        </is>
      </c>
      <c r="I3270" s="2" t="inlineStr">
        <is>
          <t>Kanpur</t>
        </is>
      </c>
      <c r="J3270" s="2" t="inlineStr">
        <is>
          <t>Online</t>
        </is>
      </c>
      <c r="K3270" s="2" t="n">
        <v>3</v>
      </c>
      <c r="L3270" s="3" t="n">
        <v>1386.21</v>
      </c>
      <c r="M3270" s="4" t="n">
        <v>0</v>
      </c>
      <c r="N3270" s="3" t="n">
        <v>2445.8</v>
      </c>
      <c r="O3270" s="3">
        <f>K3270*L3270*(1-M3270)</f>
        <v/>
      </c>
      <c r="P3270" s="3">
        <f>O3270-N3270</f>
        <v/>
      </c>
      <c r="Q3270" s="5">
        <f>IFERROR(P3270/O3270,0)</f>
        <v/>
      </c>
      <c r="R3270" s="2">
        <f>TEXT(DATEVALUE(B3270),"mmm")</f>
        <v/>
      </c>
      <c r="S3270" s="2">
        <f>TEXT(DATEVALUE(B3270),"yyyy-mm")</f>
        <v/>
      </c>
    </row>
    <row r="3271">
      <c r="A3271" s="2" t="inlineStr">
        <is>
          <t>O004440</t>
        </is>
      </c>
      <c r="B3271" s="2" t="inlineStr">
        <is>
          <t>2025-08-26</t>
        </is>
      </c>
      <c r="C3271" s="2" t="inlineStr">
        <is>
          <t>C0692</t>
        </is>
      </c>
      <c r="D3271" s="2" t="inlineStr">
        <is>
          <t>P0021</t>
        </is>
      </c>
      <c r="E3271" s="2" t="inlineStr">
        <is>
          <t>Wallet</t>
        </is>
      </c>
      <c r="F3271" s="2" t="inlineStr">
        <is>
          <t>Fashion</t>
        </is>
      </c>
      <c r="G3271" s="2" t="inlineStr">
        <is>
          <t>West</t>
        </is>
      </c>
      <c r="H3271" s="2" t="inlineStr">
        <is>
          <t>Maharashtra</t>
        </is>
      </c>
      <c r="I3271" s="2" t="inlineStr">
        <is>
          <t>Nagpur</t>
        </is>
      </c>
      <c r="J3271" s="2" t="inlineStr">
        <is>
          <t>Store</t>
        </is>
      </c>
      <c r="K3271" s="2" t="n">
        <v>2</v>
      </c>
      <c r="L3271" s="3" t="n">
        <v>1958.81</v>
      </c>
      <c r="M3271" s="4" t="n">
        <v>0.1</v>
      </c>
      <c r="N3271" s="3" t="n">
        <v>2407.04</v>
      </c>
      <c r="O3271" s="3">
        <f>K3271*L3271*(1-M3271)</f>
        <v/>
      </c>
      <c r="P3271" s="3">
        <f>O3271-N3271</f>
        <v/>
      </c>
      <c r="Q3271" s="5">
        <f>IFERROR(P3271/O3271,0)</f>
        <v/>
      </c>
      <c r="R3271" s="2">
        <f>TEXT(DATEVALUE(B3271),"mmm")</f>
        <v/>
      </c>
      <c r="S3271" s="2">
        <f>TEXT(DATEVALUE(B3271),"yyyy-mm")</f>
        <v/>
      </c>
    </row>
    <row r="3272">
      <c r="A3272" s="2" t="inlineStr">
        <is>
          <t>O002974</t>
        </is>
      </c>
      <c r="B3272" s="2" t="inlineStr">
        <is>
          <t>2025-08-26</t>
        </is>
      </c>
      <c r="C3272" s="2" t="inlineStr">
        <is>
          <t>C0686</t>
        </is>
      </c>
      <c r="D3272" s="2" t="inlineStr">
        <is>
          <t>P0022</t>
        </is>
      </c>
      <c r="E3272" s="2" t="inlineStr">
        <is>
          <t>Face Wash</t>
        </is>
      </c>
      <c r="F3272" s="2" t="inlineStr">
        <is>
          <t>Beauty</t>
        </is>
      </c>
      <c r="G3272" s="2" t="inlineStr">
        <is>
          <t>West</t>
        </is>
      </c>
      <c r="H3272" s="2" t="inlineStr">
        <is>
          <t>Goa</t>
        </is>
      </c>
      <c r="I3272" s="2" t="inlineStr">
        <is>
          <t>Panaji</t>
        </is>
      </c>
      <c r="J3272" s="2" t="inlineStr">
        <is>
          <t>Online</t>
        </is>
      </c>
      <c r="K3272" s="2" t="n">
        <v>4</v>
      </c>
      <c r="L3272" s="3" t="n">
        <v>554.03</v>
      </c>
      <c r="M3272" s="4" t="n">
        <v>0.1</v>
      </c>
      <c r="N3272" s="3" t="n">
        <v>1445.64</v>
      </c>
      <c r="O3272" s="3">
        <f>K3272*L3272*(1-M3272)</f>
        <v/>
      </c>
      <c r="P3272" s="3">
        <f>O3272-N3272</f>
        <v/>
      </c>
      <c r="Q3272" s="5">
        <f>IFERROR(P3272/O3272,0)</f>
        <v/>
      </c>
      <c r="R3272" s="2">
        <f>TEXT(DATEVALUE(B3272),"mmm")</f>
        <v/>
      </c>
      <c r="S3272" s="2">
        <f>TEXT(DATEVALUE(B3272),"yyyy-mm")</f>
        <v/>
      </c>
    </row>
    <row r="3273">
      <c r="A3273" s="2" t="inlineStr">
        <is>
          <t>O002630</t>
        </is>
      </c>
      <c r="B3273" s="2" t="inlineStr">
        <is>
          <t>2025-08-26</t>
        </is>
      </c>
      <c r="C3273" s="2" t="inlineStr">
        <is>
          <t>C0252</t>
        </is>
      </c>
      <c r="D3273" s="2" t="inlineStr">
        <is>
          <t>P0021</t>
        </is>
      </c>
      <c r="E3273" s="2" t="inlineStr">
        <is>
          <t>Wallet</t>
        </is>
      </c>
      <c r="F3273" s="2" t="inlineStr">
        <is>
          <t>Fashion</t>
        </is>
      </c>
      <c r="G3273" s="2" t="inlineStr">
        <is>
          <t>West</t>
        </is>
      </c>
      <c r="H3273" s="2" t="inlineStr">
        <is>
          <t>Maharashtra</t>
        </is>
      </c>
      <c r="I3273" s="2" t="inlineStr">
        <is>
          <t>Pune</t>
        </is>
      </c>
      <c r="J3273" s="2" t="inlineStr">
        <is>
          <t>Store</t>
        </is>
      </c>
      <c r="K3273" s="2" t="n">
        <v>2</v>
      </c>
      <c r="L3273" s="3" t="n">
        <v>2057.39</v>
      </c>
      <c r="M3273" s="4" t="n">
        <v>0.15</v>
      </c>
      <c r="N3273" s="3" t="n">
        <v>2513.93</v>
      </c>
      <c r="O3273" s="3">
        <f>K3273*L3273*(1-M3273)</f>
        <v/>
      </c>
      <c r="P3273" s="3">
        <f>O3273-N3273</f>
        <v/>
      </c>
      <c r="Q3273" s="5">
        <f>IFERROR(P3273/O3273,0)</f>
        <v/>
      </c>
      <c r="R3273" s="2">
        <f>TEXT(DATEVALUE(B3273),"mmm")</f>
        <v/>
      </c>
      <c r="S3273" s="2">
        <f>TEXT(DATEVALUE(B3273),"yyyy-mm")</f>
        <v/>
      </c>
    </row>
    <row r="3274">
      <c r="A3274" s="2" t="inlineStr">
        <is>
          <t>O002405</t>
        </is>
      </c>
      <c r="B3274" s="2" t="inlineStr">
        <is>
          <t>2025-08-26</t>
        </is>
      </c>
      <c r="C3274" s="2" t="inlineStr">
        <is>
          <t>C0474</t>
        </is>
      </c>
      <c r="D3274" s="2" t="inlineStr">
        <is>
          <t>P0016</t>
        </is>
      </c>
      <c r="E3274" s="2" t="inlineStr">
        <is>
          <t>Casual Shirt</t>
        </is>
      </c>
      <c r="F3274" s="2" t="inlineStr">
        <is>
          <t>Fashion</t>
        </is>
      </c>
      <c r="G3274" s="2" t="inlineStr">
        <is>
          <t>West</t>
        </is>
      </c>
      <c r="H3274" s="2" t="inlineStr">
        <is>
          <t>Goa</t>
        </is>
      </c>
      <c r="I3274" s="2" t="inlineStr">
        <is>
          <t>Panaji</t>
        </is>
      </c>
      <c r="J3274" s="2" t="inlineStr">
        <is>
          <t>Online</t>
        </is>
      </c>
      <c r="K3274" s="2" t="n">
        <v>1</v>
      </c>
      <c r="L3274" s="3" t="n">
        <v>1298.97</v>
      </c>
      <c r="M3274" s="4" t="n">
        <v>0</v>
      </c>
      <c r="N3274" s="3" t="n">
        <v>928.7</v>
      </c>
      <c r="O3274" s="3">
        <f>K3274*L3274*(1-M3274)</f>
        <v/>
      </c>
      <c r="P3274" s="3">
        <f>O3274-N3274</f>
        <v/>
      </c>
      <c r="Q3274" s="5">
        <f>IFERROR(P3274/O3274,0)</f>
        <v/>
      </c>
      <c r="R3274" s="2">
        <f>TEXT(DATEVALUE(B3274),"mmm")</f>
        <v/>
      </c>
      <c r="S3274" s="2">
        <f>TEXT(DATEVALUE(B3274),"yyyy-mm")</f>
        <v/>
      </c>
    </row>
    <row r="3275">
      <c r="A3275" s="2" t="inlineStr">
        <is>
          <t>O000473</t>
        </is>
      </c>
      <c r="B3275" s="2" t="inlineStr">
        <is>
          <t>2025-08-26</t>
        </is>
      </c>
      <c r="C3275" s="2" t="inlineStr">
        <is>
          <t>C0769</t>
        </is>
      </c>
      <c r="D3275" s="2" t="inlineStr">
        <is>
          <t>P0006</t>
        </is>
      </c>
      <c r="E3275" s="2" t="inlineStr">
        <is>
          <t>Mechanical Keyboard</t>
        </is>
      </c>
      <c r="F3275" s="2" t="inlineStr">
        <is>
          <t>Electronics</t>
        </is>
      </c>
      <c r="G3275" s="2" t="inlineStr">
        <is>
          <t>East</t>
        </is>
      </c>
      <c r="H3275" s="2" t="inlineStr">
        <is>
          <t>Odisha</t>
        </is>
      </c>
      <c r="I3275" s="2" t="inlineStr">
        <is>
          <t>Bhubaneswar</t>
        </is>
      </c>
      <c r="J3275" s="2" t="inlineStr">
        <is>
          <t>Store</t>
        </is>
      </c>
      <c r="K3275" s="2" t="n">
        <v>1</v>
      </c>
      <c r="L3275" s="3" t="n">
        <v>2765.95</v>
      </c>
      <c r="M3275" s="4" t="n">
        <v>0.15</v>
      </c>
      <c r="N3275" s="3" t="n">
        <v>1448.84</v>
      </c>
      <c r="O3275" s="3">
        <f>K3275*L3275*(1-M3275)</f>
        <v/>
      </c>
      <c r="P3275" s="3">
        <f>O3275-N3275</f>
        <v/>
      </c>
      <c r="Q3275" s="5">
        <f>IFERROR(P3275/O3275,0)</f>
        <v/>
      </c>
      <c r="R3275" s="2">
        <f>TEXT(DATEVALUE(B3275),"mmm")</f>
        <v/>
      </c>
      <c r="S3275" s="2">
        <f>TEXT(DATEVALUE(B3275),"yyyy-mm")</f>
        <v/>
      </c>
    </row>
    <row r="3276">
      <c r="A3276" s="2" t="inlineStr">
        <is>
          <t>O000898</t>
        </is>
      </c>
      <c r="B3276" s="2" t="inlineStr">
        <is>
          <t>2025-08-26</t>
        </is>
      </c>
      <c r="C3276" s="2" t="inlineStr">
        <is>
          <t>C0548</t>
        </is>
      </c>
      <c r="D3276" s="2" t="inlineStr">
        <is>
          <t>P0010</t>
        </is>
      </c>
      <c r="E3276" s="2" t="inlineStr">
        <is>
          <t>Mixer Grinder</t>
        </is>
      </c>
      <c r="F3276" s="2" t="inlineStr">
        <is>
          <t>Home &amp; Kitchen</t>
        </is>
      </c>
      <c r="G3276" s="2" t="inlineStr">
        <is>
          <t>North</t>
        </is>
      </c>
      <c r="H3276" s="2" t="inlineStr">
        <is>
          <t>Delhi</t>
        </is>
      </c>
      <c r="I3276" s="2" t="inlineStr">
        <is>
          <t>New Delhi</t>
        </is>
      </c>
      <c r="J3276" s="2" t="inlineStr">
        <is>
          <t>Online</t>
        </is>
      </c>
      <c r="K3276" s="2" t="n">
        <v>2</v>
      </c>
      <c r="L3276" s="3" t="n">
        <v>1598.18</v>
      </c>
      <c r="M3276" s="4" t="n">
        <v>0</v>
      </c>
      <c r="N3276" s="3" t="n">
        <v>2155.88</v>
      </c>
      <c r="O3276" s="3">
        <f>K3276*L3276*(1-M3276)</f>
        <v/>
      </c>
      <c r="P3276" s="3">
        <f>O3276-N3276</f>
        <v/>
      </c>
      <c r="Q3276" s="5">
        <f>IFERROR(P3276/O3276,0)</f>
        <v/>
      </c>
      <c r="R3276" s="2">
        <f>TEXT(DATEVALUE(B3276),"mmm")</f>
        <v/>
      </c>
      <c r="S3276" s="2">
        <f>TEXT(DATEVALUE(B3276),"yyyy-mm")</f>
        <v/>
      </c>
    </row>
    <row r="3277">
      <c r="A3277" s="2" t="inlineStr">
        <is>
          <t>O000309</t>
        </is>
      </c>
      <c r="B3277" s="2" t="inlineStr">
        <is>
          <t>2025-08-26</t>
        </is>
      </c>
      <c r="C3277" s="2" t="inlineStr">
        <is>
          <t>C0553</t>
        </is>
      </c>
      <c r="D3277" s="2" t="inlineStr">
        <is>
          <t>P0007</t>
        </is>
      </c>
      <c r="E3277" s="2" t="inlineStr">
        <is>
          <t>Wireless Mouse</t>
        </is>
      </c>
      <c r="F3277" s="2" t="inlineStr">
        <is>
          <t>Electronics</t>
        </is>
      </c>
      <c r="G3277" s="2" t="inlineStr">
        <is>
          <t>West</t>
        </is>
      </c>
      <c r="H3277" s="2" t="inlineStr">
        <is>
          <t>Maharashtra</t>
        </is>
      </c>
      <c r="I3277" s="2" t="inlineStr">
        <is>
          <t>Thane</t>
        </is>
      </c>
      <c r="J3277" s="2" t="inlineStr">
        <is>
          <t>Online</t>
        </is>
      </c>
      <c r="K3277" s="2" t="n">
        <v>1</v>
      </c>
      <c r="L3277" s="3" t="n">
        <v>973.74</v>
      </c>
      <c r="M3277" s="4" t="n">
        <v>0.15</v>
      </c>
      <c r="N3277" s="3" t="n">
        <v>642.98</v>
      </c>
      <c r="O3277" s="3">
        <f>K3277*L3277*(1-M3277)</f>
        <v/>
      </c>
      <c r="P3277" s="3">
        <f>O3277-N3277</f>
        <v/>
      </c>
      <c r="Q3277" s="5">
        <f>IFERROR(P3277/O3277,0)</f>
        <v/>
      </c>
      <c r="R3277" s="2">
        <f>TEXT(DATEVALUE(B3277),"mmm")</f>
        <v/>
      </c>
      <c r="S3277" s="2">
        <f>TEXT(DATEVALUE(B3277),"yyyy-mm")</f>
        <v/>
      </c>
    </row>
    <row r="3278">
      <c r="A3278" s="2" t="inlineStr">
        <is>
          <t>O001880</t>
        </is>
      </c>
      <c r="B3278" s="2" t="inlineStr">
        <is>
          <t>2025-08-26</t>
        </is>
      </c>
      <c r="C3278" s="2" t="inlineStr">
        <is>
          <t>C0514</t>
        </is>
      </c>
      <c r="D3278" s="2" t="inlineStr">
        <is>
          <t>P0002</t>
        </is>
      </c>
      <c r="E3278" s="2" t="inlineStr">
        <is>
          <t>Bluetooth Speaker</t>
        </is>
      </c>
      <c r="F3278" s="2" t="inlineStr">
        <is>
          <t>Electronics</t>
        </is>
      </c>
      <c r="G3278" s="2" t="inlineStr">
        <is>
          <t>South</t>
        </is>
      </c>
      <c r="H3278" s="2" t="inlineStr">
        <is>
          <t>Kerala</t>
        </is>
      </c>
      <c r="I3278" s="2" t="inlineStr">
        <is>
          <t>Kochi</t>
        </is>
      </c>
      <c r="J3278" s="2" t="inlineStr">
        <is>
          <t>Online</t>
        </is>
      </c>
      <c r="K3278" s="2" t="n">
        <v>1</v>
      </c>
      <c r="L3278" s="3" t="n">
        <v>1394.7</v>
      </c>
      <c r="M3278" s="4" t="n">
        <v>0.1</v>
      </c>
      <c r="N3278" s="3" t="n">
        <v>832.46</v>
      </c>
      <c r="O3278" s="3">
        <f>K3278*L3278*(1-M3278)</f>
        <v/>
      </c>
      <c r="P3278" s="3">
        <f>O3278-N3278</f>
        <v/>
      </c>
      <c r="Q3278" s="5">
        <f>IFERROR(P3278/O3278,0)</f>
        <v/>
      </c>
      <c r="R3278" s="2">
        <f>TEXT(DATEVALUE(B3278),"mmm")</f>
        <v/>
      </c>
      <c r="S3278" s="2">
        <f>TEXT(DATEVALUE(B3278),"yyyy-mm")</f>
        <v/>
      </c>
    </row>
    <row r="3279">
      <c r="A3279" s="2" t="inlineStr">
        <is>
          <t>O004601</t>
        </is>
      </c>
      <c r="B3279" s="2" t="inlineStr">
        <is>
          <t>2025-08-27</t>
        </is>
      </c>
      <c r="C3279" s="2" t="inlineStr">
        <is>
          <t>C0363</t>
        </is>
      </c>
      <c r="D3279" s="2" t="inlineStr">
        <is>
          <t>P0007</t>
        </is>
      </c>
      <c r="E3279" s="2" t="inlineStr">
        <is>
          <t>Wireless Mouse</t>
        </is>
      </c>
      <c r="F3279" s="2" t="inlineStr">
        <is>
          <t>Electronics</t>
        </is>
      </c>
      <c r="G3279" s="2" t="inlineStr">
        <is>
          <t>West</t>
        </is>
      </c>
      <c r="H3279" s="2" t="inlineStr">
        <is>
          <t>Maharashtra</t>
        </is>
      </c>
      <c r="I3279" s="2" t="inlineStr">
        <is>
          <t>Nagpur</t>
        </is>
      </c>
      <c r="J3279" s="2" t="inlineStr">
        <is>
          <t>Online</t>
        </is>
      </c>
      <c r="K3279" s="2" t="n">
        <v>1</v>
      </c>
      <c r="L3279" s="3" t="n">
        <v>949.95</v>
      </c>
      <c r="M3279" s="4" t="n">
        <v>0.05</v>
      </c>
      <c r="N3279" s="3" t="n">
        <v>616.9299999999999</v>
      </c>
      <c r="O3279" s="3">
        <f>K3279*L3279*(1-M3279)</f>
        <v/>
      </c>
      <c r="P3279" s="3">
        <f>O3279-N3279</f>
        <v/>
      </c>
      <c r="Q3279" s="5">
        <f>IFERROR(P3279/O3279,0)</f>
        <v/>
      </c>
      <c r="R3279" s="2">
        <f>TEXT(DATEVALUE(B3279),"mmm")</f>
        <v/>
      </c>
      <c r="S3279" s="2">
        <f>TEXT(DATEVALUE(B3279),"yyyy-mm")</f>
        <v/>
      </c>
    </row>
    <row r="3280">
      <c r="A3280" s="2" t="inlineStr">
        <is>
          <t>O004550</t>
        </is>
      </c>
      <c r="B3280" s="2" t="inlineStr">
        <is>
          <t>2025-08-27</t>
        </is>
      </c>
      <c r="C3280" s="2" t="inlineStr">
        <is>
          <t>C0590</t>
        </is>
      </c>
      <c r="D3280" s="2" t="inlineStr">
        <is>
          <t>P0011</t>
        </is>
      </c>
      <c r="E3280" s="2" t="inlineStr">
        <is>
          <t>Cookware Set</t>
        </is>
      </c>
      <c r="F3280" s="2" t="inlineStr">
        <is>
          <t>Home &amp; Kitchen</t>
        </is>
      </c>
      <c r="G3280" s="2" t="inlineStr">
        <is>
          <t>South</t>
        </is>
      </c>
      <c r="H3280" s="2" t="inlineStr">
        <is>
          <t>Telangana</t>
        </is>
      </c>
      <c r="I3280" s="2" t="inlineStr">
        <is>
          <t>Hyderabad</t>
        </is>
      </c>
      <c r="J3280" s="2" t="inlineStr">
        <is>
          <t>Online</t>
        </is>
      </c>
      <c r="K3280" s="2" t="n">
        <v>1</v>
      </c>
      <c r="L3280" s="3" t="n">
        <v>687.52</v>
      </c>
      <c r="M3280" s="4" t="n">
        <v>0.15</v>
      </c>
      <c r="N3280" s="3" t="n">
        <v>486.38</v>
      </c>
      <c r="O3280" s="3">
        <f>K3280*L3280*(1-M3280)</f>
        <v/>
      </c>
      <c r="P3280" s="3">
        <f>O3280-N3280</f>
        <v/>
      </c>
      <c r="Q3280" s="5">
        <f>IFERROR(P3280/O3280,0)</f>
        <v/>
      </c>
      <c r="R3280" s="2">
        <f>TEXT(DATEVALUE(B3280),"mmm")</f>
        <v/>
      </c>
      <c r="S3280" s="2">
        <f>TEXT(DATEVALUE(B3280),"yyyy-mm")</f>
        <v/>
      </c>
    </row>
    <row r="3281">
      <c r="A3281" s="2" t="inlineStr">
        <is>
          <t>O004138</t>
        </is>
      </c>
      <c r="B3281" s="2" t="inlineStr">
        <is>
          <t>2025-08-27</t>
        </is>
      </c>
      <c r="C3281" s="2" t="inlineStr">
        <is>
          <t>C0114</t>
        </is>
      </c>
      <c r="D3281" s="2" t="inlineStr">
        <is>
          <t>P0001</t>
        </is>
      </c>
      <c r="E3281" s="2" t="inlineStr">
        <is>
          <t>Wireless Headphones</t>
        </is>
      </c>
      <c r="F3281" s="2" t="inlineStr">
        <is>
          <t>Electronics</t>
        </is>
      </c>
      <c r="G3281" s="2" t="inlineStr">
        <is>
          <t>West</t>
        </is>
      </c>
      <c r="H3281" s="2" t="inlineStr">
        <is>
          <t>Gujarat</t>
        </is>
      </c>
      <c r="I3281" s="2" t="inlineStr">
        <is>
          <t>Vadodara</t>
        </is>
      </c>
      <c r="J3281" s="2" t="inlineStr">
        <is>
          <t>Online</t>
        </is>
      </c>
      <c r="K3281" s="2" t="n">
        <v>1</v>
      </c>
      <c r="L3281" s="3" t="n">
        <v>1358.78</v>
      </c>
      <c r="M3281" s="4" t="n">
        <v>0.1</v>
      </c>
      <c r="N3281" s="3" t="n">
        <v>707.1900000000001</v>
      </c>
      <c r="O3281" s="3">
        <f>K3281*L3281*(1-M3281)</f>
        <v/>
      </c>
      <c r="P3281" s="3">
        <f>O3281-N3281</f>
        <v/>
      </c>
      <c r="Q3281" s="5">
        <f>IFERROR(P3281/O3281,0)</f>
        <v/>
      </c>
      <c r="R3281" s="2">
        <f>TEXT(DATEVALUE(B3281),"mmm")</f>
        <v/>
      </c>
      <c r="S3281" s="2">
        <f>TEXT(DATEVALUE(B3281),"yyyy-mm")</f>
        <v/>
      </c>
    </row>
    <row r="3282">
      <c r="A3282" s="2" t="inlineStr">
        <is>
          <t>O000900</t>
        </is>
      </c>
      <c r="B3282" s="2" t="inlineStr">
        <is>
          <t>2025-08-27</t>
        </is>
      </c>
      <c r="C3282" s="2" t="inlineStr">
        <is>
          <t>C0606</t>
        </is>
      </c>
      <c r="D3282" s="2" t="inlineStr">
        <is>
          <t>P0026</t>
        </is>
      </c>
      <c r="E3282" s="2" t="inlineStr">
        <is>
          <t>Shampoo</t>
        </is>
      </c>
      <c r="F3282" s="2" t="inlineStr">
        <is>
          <t>Beauty</t>
        </is>
      </c>
      <c r="G3282" s="2" t="inlineStr">
        <is>
          <t>West</t>
        </is>
      </c>
      <c r="H3282" s="2" t="inlineStr">
        <is>
          <t>Gujarat</t>
        </is>
      </c>
      <c r="I3282" s="2" t="inlineStr">
        <is>
          <t>Surat</t>
        </is>
      </c>
      <c r="J3282" s="2" t="inlineStr">
        <is>
          <t>Store</t>
        </is>
      </c>
      <c r="K3282" s="2" t="n">
        <v>3</v>
      </c>
      <c r="L3282" s="3" t="n">
        <v>875.23</v>
      </c>
      <c r="M3282" s="4" t="n">
        <v>0.25</v>
      </c>
      <c r="N3282" s="3" t="n">
        <v>1558.75</v>
      </c>
      <c r="O3282" s="3">
        <f>K3282*L3282*(1-M3282)</f>
        <v/>
      </c>
      <c r="P3282" s="3">
        <f>O3282-N3282</f>
        <v/>
      </c>
      <c r="Q3282" s="5">
        <f>IFERROR(P3282/O3282,0)</f>
        <v/>
      </c>
      <c r="R3282" s="2">
        <f>TEXT(DATEVALUE(B3282),"mmm")</f>
        <v/>
      </c>
      <c r="S3282" s="2">
        <f>TEXT(DATEVALUE(B3282),"yyyy-mm")</f>
        <v/>
      </c>
    </row>
    <row r="3283">
      <c r="A3283" s="2" t="inlineStr">
        <is>
          <t>O004768</t>
        </is>
      </c>
      <c r="B3283" s="2" t="inlineStr">
        <is>
          <t>2025-08-27</t>
        </is>
      </c>
      <c r="C3283" s="2" t="inlineStr">
        <is>
          <t>C0440</t>
        </is>
      </c>
      <c r="D3283" s="2" t="inlineStr">
        <is>
          <t>P0014</t>
        </is>
      </c>
      <c r="E3283" s="2" t="inlineStr">
        <is>
          <t>Coffee Maker</t>
        </is>
      </c>
      <c r="F3283" s="2" t="inlineStr">
        <is>
          <t>Home &amp; Kitchen</t>
        </is>
      </c>
      <c r="G3283" s="2" t="inlineStr">
        <is>
          <t>West</t>
        </is>
      </c>
      <c r="H3283" s="2" t="inlineStr">
        <is>
          <t>Maharashtra</t>
        </is>
      </c>
      <c r="I3283" s="2" t="inlineStr">
        <is>
          <t>Thane</t>
        </is>
      </c>
      <c r="J3283" s="2" t="inlineStr">
        <is>
          <t>Online</t>
        </is>
      </c>
      <c r="K3283" s="2" t="n">
        <v>1</v>
      </c>
      <c r="L3283" s="3" t="n">
        <v>1011.3</v>
      </c>
      <c r="M3283" s="4" t="n">
        <v>0.2</v>
      </c>
      <c r="N3283" s="3" t="n">
        <v>772.15</v>
      </c>
      <c r="O3283" s="3">
        <f>K3283*L3283*(1-M3283)</f>
        <v/>
      </c>
      <c r="P3283" s="3">
        <f>O3283-N3283</f>
        <v/>
      </c>
      <c r="Q3283" s="5">
        <f>IFERROR(P3283/O3283,0)</f>
        <v/>
      </c>
      <c r="R3283" s="2">
        <f>TEXT(DATEVALUE(B3283),"mmm")</f>
        <v/>
      </c>
      <c r="S3283" s="2">
        <f>TEXT(DATEVALUE(B3283),"yyyy-mm")</f>
        <v/>
      </c>
    </row>
    <row r="3284">
      <c r="A3284" s="2" t="inlineStr">
        <is>
          <t>O004948</t>
        </is>
      </c>
      <c r="B3284" s="2" t="inlineStr">
        <is>
          <t>2025-08-27</t>
        </is>
      </c>
      <c r="C3284" s="2" t="inlineStr">
        <is>
          <t>C0557</t>
        </is>
      </c>
      <c r="D3284" s="2" t="inlineStr">
        <is>
          <t>P0031</t>
        </is>
      </c>
      <c r="E3284" s="2" t="inlineStr">
        <is>
          <t>Cricket Bat</t>
        </is>
      </c>
      <c r="F3284" s="2" t="inlineStr">
        <is>
          <t>Sports</t>
        </is>
      </c>
      <c r="G3284" s="2" t="inlineStr">
        <is>
          <t>East</t>
        </is>
      </c>
      <c r="H3284" s="2" t="inlineStr">
        <is>
          <t>Odisha</t>
        </is>
      </c>
      <c r="I3284" s="2" t="inlineStr">
        <is>
          <t>Cuttack</t>
        </is>
      </c>
      <c r="J3284" s="2" t="inlineStr">
        <is>
          <t>Online</t>
        </is>
      </c>
      <c r="K3284" s="2" t="n">
        <v>1</v>
      </c>
      <c r="L3284" s="3" t="n">
        <v>1354.46</v>
      </c>
      <c r="M3284" s="4" t="n">
        <v>0.15</v>
      </c>
      <c r="N3284" s="3" t="n">
        <v>944.21</v>
      </c>
      <c r="O3284" s="3">
        <f>K3284*L3284*(1-M3284)</f>
        <v/>
      </c>
      <c r="P3284" s="3">
        <f>O3284-N3284</f>
        <v/>
      </c>
      <c r="Q3284" s="5">
        <f>IFERROR(P3284/O3284,0)</f>
        <v/>
      </c>
      <c r="R3284" s="2">
        <f>TEXT(DATEVALUE(B3284),"mmm")</f>
        <v/>
      </c>
      <c r="S3284" s="2">
        <f>TEXT(DATEVALUE(B3284),"yyyy-mm")</f>
        <v/>
      </c>
    </row>
    <row r="3285">
      <c r="A3285" s="2" t="inlineStr">
        <is>
          <t>O004959</t>
        </is>
      </c>
      <c r="B3285" s="2" t="inlineStr">
        <is>
          <t>2025-08-27</t>
        </is>
      </c>
      <c r="C3285" s="2" t="inlineStr">
        <is>
          <t>C0353</t>
        </is>
      </c>
      <c r="D3285" s="2" t="inlineStr">
        <is>
          <t>P0014</t>
        </is>
      </c>
      <c r="E3285" s="2" t="inlineStr">
        <is>
          <t>Coffee Maker</t>
        </is>
      </c>
      <c r="F3285" s="2" t="inlineStr">
        <is>
          <t>Home &amp; Kitchen</t>
        </is>
      </c>
      <c r="G3285" s="2" t="inlineStr">
        <is>
          <t>West</t>
        </is>
      </c>
      <c r="H3285" s="2" t="inlineStr">
        <is>
          <t>Goa</t>
        </is>
      </c>
      <c r="I3285" s="2" t="inlineStr">
        <is>
          <t>Margao</t>
        </is>
      </c>
      <c r="J3285" s="2" t="inlineStr">
        <is>
          <t>Online</t>
        </is>
      </c>
      <c r="K3285" s="2" t="n">
        <v>3</v>
      </c>
      <c r="L3285" s="3" t="n">
        <v>1038.84</v>
      </c>
      <c r="M3285" s="4" t="n">
        <v>0.05</v>
      </c>
      <c r="N3285" s="3" t="n">
        <v>2354.59</v>
      </c>
      <c r="O3285" s="3">
        <f>K3285*L3285*(1-M3285)</f>
        <v/>
      </c>
      <c r="P3285" s="3">
        <f>O3285-N3285</f>
        <v/>
      </c>
      <c r="Q3285" s="5">
        <f>IFERROR(P3285/O3285,0)</f>
        <v/>
      </c>
      <c r="R3285" s="2">
        <f>TEXT(DATEVALUE(B3285),"mmm")</f>
        <v/>
      </c>
      <c r="S3285" s="2">
        <f>TEXT(DATEVALUE(B3285),"yyyy-mm")</f>
        <v/>
      </c>
    </row>
    <row r="3286">
      <c r="A3286" s="2" t="inlineStr">
        <is>
          <t>O003525</t>
        </is>
      </c>
      <c r="B3286" s="2" t="inlineStr">
        <is>
          <t>2025-08-27</t>
        </is>
      </c>
      <c r="C3286" s="2" t="inlineStr">
        <is>
          <t>C0034</t>
        </is>
      </c>
      <c r="D3286" s="2" t="inlineStr">
        <is>
          <t>P0016</t>
        </is>
      </c>
      <c r="E3286" s="2" t="inlineStr">
        <is>
          <t>Casual Shirt</t>
        </is>
      </c>
      <c r="F3286" s="2" t="inlineStr">
        <is>
          <t>Fashion</t>
        </is>
      </c>
      <c r="G3286" s="2" t="inlineStr">
        <is>
          <t>North</t>
        </is>
      </c>
      <c r="H3286" s="2" t="inlineStr">
        <is>
          <t>Punjab</t>
        </is>
      </c>
      <c r="I3286" s="2" t="inlineStr">
        <is>
          <t>Jalandhar</t>
        </is>
      </c>
      <c r="J3286" s="2" t="inlineStr">
        <is>
          <t>Online</t>
        </is>
      </c>
      <c r="K3286" s="2" t="n">
        <v>3</v>
      </c>
      <c r="L3286" s="3" t="n">
        <v>1334.65</v>
      </c>
      <c r="M3286" s="4" t="n">
        <v>0.05</v>
      </c>
      <c r="N3286" s="3" t="n">
        <v>2646.47</v>
      </c>
      <c r="O3286" s="3">
        <f>K3286*L3286*(1-M3286)</f>
        <v/>
      </c>
      <c r="P3286" s="3">
        <f>O3286-N3286</f>
        <v/>
      </c>
      <c r="Q3286" s="5">
        <f>IFERROR(P3286/O3286,0)</f>
        <v/>
      </c>
      <c r="R3286" s="2">
        <f>TEXT(DATEVALUE(B3286),"mmm")</f>
        <v/>
      </c>
      <c r="S3286" s="2">
        <f>TEXT(DATEVALUE(B3286),"yyyy-mm")</f>
        <v/>
      </c>
    </row>
    <row r="3287">
      <c r="A3287" s="2" t="inlineStr">
        <is>
          <t>O004666</t>
        </is>
      </c>
      <c r="B3287" s="2" t="inlineStr">
        <is>
          <t>2025-08-27</t>
        </is>
      </c>
      <c r="C3287" s="2" t="inlineStr">
        <is>
          <t>C0532</t>
        </is>
      </c>
      <c r="D3287" s="2" t="inlineStr">
        <is>
          <t>P0009</t>
        </is>
      </c>
      <c r="E3287" s="2" t="inlineStr">
        <is>
          <t>Electric Kettle</t>
        </is>
      </c>
      <c r="F3287" s="2" t="inlineStr">
        <is>
          <t>Home &amp; Kitchen</t>
        </is>
      </c>
      <c r="G3287" s="2" t="inlineStr">
        <is>
          <t>North</t>
        </is>
      </c>
      <c r="H3287" s="2" t="inlineStr">
        <is>
          <t>Haryana</t>
        </is>
      </c>
      <c r="I3287" s="2" t="inlineStr">
        <is>
          <t>Gurugram</t>
        </is>
      </c>
      <c r="J3287" s="2" t="inlineStr">
        <is>
          <t>Online</t>
        </is>
      </c>
      <c r="K3287" s="2" t="n">
        <v>2</v>
      </c>
      <c r="L3287" s="3" t="n">
        <v>2160.48</v>
      </c>
      <c r="M3287" s="4" t="n">
        <v>0</v>
      </c>
      <c r="N3287" s="3" t="n">
        <v>2280.43</v>
      </c>
      <c r="O3287" s="3">
        <f>K3287*L3287*(1-M3287)</f>
        <v/>
      </c>
      <c r="P3287" s="3">
        <f>O3287-N3287</f>
        <v/>
      </c>
      <c r="Q3287" s="5">
        <f>IFERROR(P3287/O3287,0)</f>
        <v/>
      </c>
      <c r="R3287" s="2">
        <f>TEXT(DATEVALUE(B3287),"mmm")</f>
        <v/>
      </c>
      <c r="S3287" s="2">
        <f>TEXT(DATEVALUE(B3287),"yyyy-mm")</f>
        <v/>
      </c>
    </row>
    <row r="3288">
      <c r="A3288" s="2" t="inlineStr">
        <is>
          <t>O003306</t>
        </is>
      </c>
      <c r="B3288" s="2" t="inlineStr">
        <is>
          <t>2025-08-27</t>
        </is>
      </c>
      <c r="C3288" s="2" t="inlineStr">
        <is>
          <t>C0406</t>
        </is>
      </c>
      <c r="D3288" s="2" t="inlineStr">
        <is>
          <t>P0015</t>
        </is>
      </c>
      <c r="E3288" s="2" t="inlineStr">
        <is>
          <t>Running Shoes</t>
        </is>
      </c>
      <c r="F3288" s="2" t="inlineStr">
        <is>
          <t>Fashion</t>
        </is>
      </c>
      <c r="G3288" s="2" t="inlineStr">
        <is>
          <t>West</t>
        </is>
      </c>
      <c r="H3288" s="2" t="inlineStr">
        <is>
          <t>Gujarat</t>
        </is>
      </c>
      <c r="I3288" s="2" t="inlineStr">
        <is>
          <t>Ahmedabad</t>
        </is>
      </c>
      <c r="J3288" s="2" t="inlineStr">
        <is>
          <t>Online</t>
        </is>
      </c>
      <c r="K3288" s="2" t="n">
        <v>3</v>
      </c>
      <c r="L3288" s="3" t="n">
        <v>625.92</v>
      </c>
      <c r="M3288" s="4" t="n">
        <v>0.1</v>
      </c>
      <c r="N3288" s="3" t="n">
        <v>1078.53</v>
      </c>
      <c r="O3288" s="3">
        <f>K3288*L3288*(1-M3288)</f>
        <v/>
      </c>
      <c r="P3288" s="3">
        <f>O3288-N3288</f>
        <v/>
      </c>
      <c r="Q3288" s="5">
        <f>IFERROR(P3288/O3288,0)</f>
        <v/>
      </c>
      <c r="R3288" s="2">
        <f>TEXT(DATEVALUE(B3288),"mmm")</f>
        <v/>
      </c>
      <c r="S3288" s="2">
        <f>TEXT(DATEVALUE(B3288),"yyyy-mm")</f>
        <v/>
      </c>
    </row>
    <row r="3289">
      <c r="A3289" s="2" t="inlineStr">
        <is>
          <t>O000600</t>
        </is>
      </c>
      <c r="B3289" s="2" t="inlineStr">
        <is>
          <t>2025-08-27</t>
        </is>
      </c>
      <c r="C3289" s="2" t="inlineStr">
        <is>
          <t>C0774</t>
        </is>
      </c>
      <c r="D3289" s="2" t="inlineStr">
        <is>
          <t>P0031</t>
        </is>
      </c>
      <c r="E3289" s="2" t="inlineStr">
        <is>
          <t>Cricket Bat</t>
        </is>
      </c>
      <c r="F3289" s="2" t="inlineStr">
        <is>
          <t>Sports</t>
        </is>
      </c>
      <c r="G3289" s="2" t="inlineStr">
        <is>
          <t>East</t>
        </is>
      </c>
      <c r="H3289" s="2" t="inlineStr">
        <is>
          <t>Odisha</t>
        </is>
      </c>
      <c r="I3289" s="2" t="inlineStr">
        <is>
          <t>Bhubaneswar</t>
        </is>
      </c>
      <c r="J3289" s="2" t="inlineStr">
        <is>
          <t>Online</t>
        </is>
      </c>
      <c r="K3289" s="2" t="n">
        <v>1</v>
      </c>
      <c r="L3289" s="3" t="n">
        <v>1326.14</v>
      </c>
      <c r="M3289" s="4" t="n">
        <v>0.1</v>
      </c>
      <c r="N3289" s="3" t="n">
        <v>914.23</v>
      </c>
      <c r="O3289" s="3">
        <f>K3289*L3289*(1-M3289)</f>
        <v/>
      </c>
      <c r="P3289" s="3">
        <f>O3289-N3289</f>
        <v/>
      </c>
      <c r="Q3289" s="5">
        <f>IFERROR(P3289/O3289,0)</f>
        <v/>
      </c>
      <c r="R3289" s="2">
        <f>TEXT(DATEVALUE(B3289),"mmm")</f>
        <v/>
      </c>
      <c r="S3289" s="2">
        <f>TEXT(DATEVALUE(B3289),"yyyy-mm")</f>
        <v/>
      </c>
    </row>
    <row r="3290">
      <c r="A3290" s="2" t="inlineStr">
        <is>
          <t>O002166</t>
        </is>
      </c>
      <c r="B3290" s="2" t="inlineStr">
        <is>
          <t>2025-08-27</t>
        </is>
      </c>
      <c r="C3290" s="2" t="inlineStr">
        <is>
          <t>C0562</t>
        </is>
      </c>
      <c r="D3290" s="2" t="inlineStr">
        <is>
          <t>P0035</t>
        </is>
      </c>
      <c r="E3290" s="2" t="inlineStr">
        <is>
          <t>Skipping Rope</t>
        </is>
      </c>
      <c r="F3290" s="2" t="inlineStr">
        <is>
          <t>Sports</t>
        </is>
      </c>
      <c r="G3290" s="2" t="inlineStr">
        <is>
          <t>South</t>
        </is>
      </c>
      <c r="H3290" s="2" t="inlineStr">
        <is>
          <t>Tamil Nadu</t>
        </is>
      </c>
      <c r="I3290" s="2" t="inlineStr">
        <is>
          <t>Madurai</t>
        </is>
      </c>
      <c r="J3290" s="2" t="inlineStr">
        <is>
          <t>Online</t>
        </is>
      </c>
      <c r="K3290" s="2" t="n">
        <v>4</v>
      </c>
      <c r="L3290" s="3" t="n">
        <v>714.67</v>
      </c>
      <c r="M3290" s="4" t="n">
        <v>0</v>
      </c>
      <c r="N3290" s="3" t="n">
        <v>1669.26</v>
      </c>
      <c r="O3290" s="3">
        <f>K3290*L3290*(1-M3290)</f>
        <v/>
      </c>
      <c r="P3290" s="3">
        <f>O3290-N3290</f>
        <v/>
      </c>
      <c r="Q3290" s="5">
        <f>IFERROR(P3290/O3290,0)</f>
        <v/>
      </c>
      <c r="R3290" s="2">
        <f>TEXT(DATEVALUE(B3290),"mmm")</f>
        <v/>
      </c>
      <c r="S3290" s="2">
        <f>TEXT(DATEVALUE(B3290),"yyyy-mm")</f>
        <v/>
      </c>
    </row>
    <row r="3291">
      <c r="A3291" s="2" t="inlineStr">
        <is>
          <t>O001513</t>
        </is>
      </c>
      <c r="B3291" s="2" t="inlineStr">
        <is>
          <t>2025-08-27</t>
        </is>
      </c>
      <c r="C3291" s="2" t="inlineStr">
        <is>
          <t>C0750</t>
        </is>
      </c>
      <c r="D3291" s="2" t="inlineStr">
        <is>
          <t>P0015</t>
        </is>
      </c>
      <c r="E3291" s="2" t="inlineStr">
        <is>
          <t>Running Shoes</t>
        </is>
      </c>
      <c r="F3291" s="2" t="inlineStr">
        <is>
          <t>Fashion</t>
        </is>
      </c>
      <c r="G3291" s="2" t="inlineStr">
        <is>
          <t>East</t>
        </is>
      </c>
      <c r="H3291" s="2" t="inlineStr">
        <is>
          <t>Odisha</t>
        </is>
      </c>
      <c r="I3291" s="2" t="inlineStr">
        <is>
          <t>Bhubaneswar</t>
        </is>
      </c>
      <c r="J3291" s="2" t="inlineStr">
        <is>
          <t>Online</t>
        </is>
      </c>
      <c r="K3291" s="2" t="n">
        <v>2</v>
      </c>
      <c r="L3291" s="3" t="n">
        <v>606.48</v>
      </c>
      <c r="M3291" s="4" t="n">
        <v>0.2</v>
      </c>
      <c r="N3291" s="3" t="n">
        <v>742.15</v>
      </c>
      <c r="O3291" s="3">
        <f>K3291*L3291*(1-M3291)</f>
        <v/>
      </c>
      <c r="P3291" s="3">
        <f>O3291-N3291</f>
        <v/>
      </c>
      <c r="Q3291" s="5">
        <f>IFERROR(P3291/O3291,0)</f>
        <v/>
      </c>
      <c r="R3291" s="2">
        <f>TEXT(DATEVALUE(B3291),"mmm")</f>
        <v/>
      </c>
      <c r="S3291" s="2">
        <f>TEXT(DATEVALUE(B3291),"yyyy-mm")</f>
        <v/>
      </c>
    </row>
    <row r="3292">
      <c r="A3292" s="2" t="inlineStr">
        <is>
          <t>O001398</t>
        </is>
      </c>
      <c r="B3292" s="2" t="inlineStr">
        <is>
          <t>2025-08-27</t>
        </is>
      </c>
      <c r="C3292" s="2" t="inlineStr">
        <is>
          <t>C0065</t>
        </is>
      </c>
      <c r="D3292" s="2" t="inlineStr">
        <is>
          <t>P0022</t>
        </is>
      </c>
      <c r="E3292" s="2" t="inlineStr">
        <is>
          <t>Face Wash</t>
        </is>
      </c>
      <c r="F3292" s="2" t="inlineStr">
        <is>
          <t>Beauty</t>
        </is>
      </c>
      <c r="G3292" s="2" t="inlineStr">
        <is>
          <t>North</t>
        </is>
      </c>
      <c r="H3292" s="2" t="inlineStr">
        <is>
          <t>Haryana</t>
        </is>
      </c>
      <c r="I3292" s="2" t="inlineStr">
        <is>
          <t>Faridabad</t>
        </is>
      </c>
      <c r="J3292" s="2" t="inlineStr">
        <is>
          <t>Store</t>
        </is>
      </c>
      <c r="K3292" s="2" t="n">
        <v>2</v>
      </c>
      <c r="L3292" s="3" t="n">
        <v>544.38</v>
      </c>
      <c r="M3292" s="4" t="n">
        <v>0</v>
      </c>
      <c r="N3292" s="3" t="n">
        <v>681.67</v>
      </c>
      <c r="O3292" s="3">
        <f>K3292*L3292*(1-M3292)</f>
        <v/>
      </c>
      <c r="P3292" s="3">
        <f>O3292-N3292</f>
        <v/>
      </c>
      <c r="Q3292" s="5">
        <f>IFERROR(P3292/O3292,0)</f>
        <v/>
      </c>
      <c r="R3292" s="2">
        <f>TEXT(DATEVALUE(B3292),"mmm")</f>
        <v/>
      </c>
      <c r="S3292" s="2">
        <f>TEXT(DATEVALUE(B3292),"yyyy-mm")</f>
        <v/>
      </c>
    </row>
    <row r="3293">
      <c r="A3293" s="2" t="inlineStr">
        <is>
          <t>O001260</t>
        </is>
      </c>
      <c r="B3293" s="2" t="inlineStr">
        <is>
          <t>2025-08-27</t>
        </is>
      </c>
      <c r="C3293" s="2" t="inlineStr">
        <is>
          <t>C0710</t>
        </is>
      </c>
      <c r="D3293" s="2" t="inlineStr">
        <is>
          <t>P0006</t>
        </is>
      </c>
      <c r="E3293" s="2" t="inlineStr">
        <is>
          <t>Mechanical Keyboard</t>
        </is>
      </c>
      <c r="F3293" s="2" t="inlineStr">
        <is>
          <t>Electronics</t>
        </is>
      </c>
      <c r="G3293" s="2" t="inlineStr">
        <is>
          <t>North</t>
        </is>
      </c>
      <c r="H3293" s="2" t="inlineStr">
        <is>
          <t>Delhi</t>
        </is>
      </c>
      <c r="I3293" s="2" t="inlineStr">
        <is>
          <t>New Delhi</t>
        </is>
      </c>
      <c r="J3293" s="2" t="inlineStr">
        <is>
          <t>Online</t>
        </is>
      </c>
      <c r="K3293" s="2" t="n">
        <v>2</v>
      </c>
      <c r="L3293" s="3" t="n">
        <v>2651.53</v>
      </c>
      <c r="M3293" s="4" t="n">
        <v>0</v>
      </c>
      <c r="N3293" s="3" t="n">
        <v>3005.81</v>
      </c>
      <c r="O3293" s="3">
        <f>K3293*L3293*(1-M3293)</f>
        <v/>
      </c>
      <c r="P3293" s="3">
        <f>O3293-N3293</f>
        <v/>
      </c>
      <c r="Q3293" s="5">
        <f>IFERROR(P3293/O3293,0)</f>
        <v/>
      </c>
      <c r="R3293" s="2">
        <f>TEXT(DATEVALUE(B3293),"mmm")</f>
        <v/>
      </c>
      <c r="S3293" s="2">
        <f>TEXT(DATEVALUE(B3293),"yyyy-mm")</f>
        <v/>
      </c>
    </row>
    <row r="3294">
      <c r="A3294" s="2" t="inlineStr">
        <is>
          <t>O000865</t>
        </is>
      </c>
      <c r="B3294" s="2" t="inlineStr">
        <is>
          <t>2025-08-27</t>
        </is>
      </c>
      <c r="C3294" s="2" t="inlineStr">
        <is>
          <t>C0599</t>
        </is>
      </c>
      <c r="D3294" s="2" t="inlineStr">
        <is>
          <t>P0007</t>
        </is>
      </c>
      <c r="E3294" s="2" t="inlineStr">
        <is>
          <t>Wireless Mouse</t>
        </is>
      </c>
      <c r="F3294" s="2" t="inlineStr">
        <is>
          <t>Electronics</t>
        </is>
      </c>
      <c r="G3294" s="2" t="inlineStr">
        <is>
          <t>North</t>
        </is>
      </c>
      <c r="H3294" s="2" t="inlineStr">
        <is>
          <t>Delhi</t>
        </is>
      </c>
      <c r="I3294" s="2" t="inlineStr">
        <is>
          <t>New Delhi</t>
        </is>
      </c>
      <c r="J3294" s="2" t="inlineStr">
        <is>
          <t>Store</t>
        </is>
      </c>
      <c r="K3294" s="2" t="n">
        <v>2</v>
      </c>
      <c r="L3294" s="3" t="n">
        <v>977.14</v>
      </c>
      <c r="M3294" s="4" t="n">
        <v>0</v>
      </c>
      <c r="N3294" s="3" t="n">
        <v>1246.63</v>
      </c>
      <c r="O3294" s="3">
        <f>K3294*L3294*(1-M3294)</f>
        <v/>
      </c>
      <c r="P3294" s="3">
        <f>O3294-N3294</f>
        <v/>
      </c>
      <c r="Q3294" s="5">
        <f>IFERROR(P3294/O3294,0)</f>
        <v/>
      </c>
      <c r="R3294" s="2">
        <f>TEXT(DATEVALUE(B3294),"mmm")</f>
        <v/>
      </c>
      <c r="S3294" s="2">
        <f>TEXT(DATEVALUE(B3294),"yyyy-mm")</f>
        <v/>
      </c>
    </row>
    <row r="3295">
      <c r="A3295" s="2" t="inlineStr">
        <is>
          <t>O000727</t>
        </is>
      </c>
      <c r="B3295" s="2" t="inlineStr">
        <is>
          <t>2025-08-27</t>
        </is>
      </c>
      <c r="C3295" s="2" t="inlineStr">
        <is>
          <t>C0590</t>
        </is>
      </c>
      <c r="D3295" s="2" t="inlineStr">
        <is>
          <t>P0003</t>
        </is>
      </c>
      <c r="E3295" s="2" t="inlineStr">
        <is>
          <t>Smartwatch</t>
        </is>
      </c>
      <c r="F3295" s="2" t="inlineStr">
        <is>
          <t>Electronics</t>
        </is>
      </c>
      <c r="G3295" s="2" t="inlineStr">
        <is>
          <t>West</t>
        </is>
      </c>
      <c r="H3295" s="2" t="inlineStr">
        <is>
          <t>Gujarat</t>
        </is>
      </c>
      <c r="I3295" s="2" t="inlineStr">
        <is>
          <t>Vadodara</t>
        </is>
      </c>
      <c r="J3295" s="2" t="inlineStr">
        <is>
          <t>Online</t>
        </is>
      </c>
      <c r="K3295" s="2" t="n">
        <v>4</v>
      </c>
      <c r="L3295" s="3" t="n">
        <v>2288.56</v>
      </c>
      <c r="M3295" s="4" t="n">
        <v>0.05</v>
      </c>
      <c r="N3295" s="3" t="n">
        <v>4832.9</v>
      </c>
      <c r="O3295" s="3">
        <f>K3295*L3295*(1-M3295)</f>
        <v/>
      </c>
      <c r="P3295" s="3">
        <f>O3295-N3295</f>
        <v/>
      </c>
      <c r="Q3295" s="5">
        <f>IFERROR(P3295/O3295,0)</f>
        <v/>
      </c>
      <c r="R3295" s="2">
        <f>TEXT(DATEVALUE(B3295),"mmm")</f>
        <v/>
      </c>
      <c r="S3295" s="2">
        <f>TEXT(DATEVALUE(B3295),"yyyy-mm")</f>
        <v/>
      </c>
    </row>
    <row r="3296">
      <c r="A3296" s="2" t="inlineStr">
        <is>
          <t>O002370</t>
        </is>
      </c>
      <c r="B3296" s="2" t="inlineStr">
        <is>
          <t>2025-08-27</t>
        </is>
      </c>
      <c r="C3296" s="2" t="inlineStr">
        <is>
          <t>C0121</t>
        </is>
      </c>
      <c r="D3296" s="2" t="inlineStr">
        <is>
          <t>P0023</t>
        </is>
      </c>
      <c r="E3296" s="2" t="inlineStr">
        <is>
          <t>Skin Care Kit</t>
        </is>
      </c>
      <c r="F3296" s="2" t="inlineStr">
        <is>
          <t>Beauty</t>
        </is>
      </c>
      <c r="G3296" s="2" t="inlineStr">
        <is>
          <t>East</t>
        </is>
      </c>
      <c r="H3296" s="2" t="inlineStr">
        <is>
          <t>Odisha</t>
        </is>
      </c>
      <c r="I3296" s="2" t="inlineStr">
        <is>
          <t>Bhubaneswar</t>
        </is>
      </c>
      <c r="J3296" s="2" t="inlineStr">
        <is>
          <t>Online</t>
        </is>
      </c>
      <c r="K3296" s="2" t="n">
        <v>1</v>
      </c>
      <c r="L3296" s="3" t="n">
        <v>1361.16</v>
      </c>
      <c r="M3296" s="4" t="n">
        <v>0.2</v>
      </c>
      <c r="N3296" s="3" t="n">
        <v>925.1900000000001</v>
      </c>
      <c r="O3296" s="3">
        <f>K3296*L3296*(1-M3296)</f>
        <v/>
      </c>
      <c r="P3296" s="3">
        <f>O3296-N3296</f>
        <v/>
      </c>
      <c r="Q3296" s="5">
        <f>IFERROR(P3296/O3296,0)</f>
        <v/>
      </c>
      <c r="R3296" s="2">
        <f>TEXT(DATEVALUE(B3296),"mmm")</f>
        <v/>
      </c>
      <c r="S3296" s="2">
        <f>TEXT(DATEVALUE(B3296),"yyyy-mm")</f>
        <v/>
      </c>
    </row>
    <row r="3297">
      <c r="A3297" s="2" t="inlineStr">
        <is>
          <t>O000448</t>
        </is>
      </c>
      <c r="B3297" s="2" t="inlineStr">
        <is>
          <t>2025-08-27</t>
        </is>
      </c>
      <c r="C3297" s="2" t="inlineStr">
        <is>
          <t>C0397</t>
        </is>
      </c>
      <c r="D3297" s="2" t="inlineStr">
        <is>
          <t>P0031</t>
        </is>
      </c>
      <c r="E3297" s="2" t="inlineStr">
        <is>
          <t>Cricket Bat</t>
        </is>
      </c>
      <c r="F3297" s="2" t="inlineStr">
        <is>
          <t>Sports</t>
        </is>
      </c>
      <c r="G3297" s="2" t="inlineStr">
        <is>
          <t>South</t>
        </is>
      </c>
      <c r="H3297" s="2" t="inlineStr">
        <is>
          <t>Telangana</t>
        </is>
      </c>
      <c r="I3297" s="2" t="inlineStr">
        <is>
          <t>Warangal</t>
        </is>
      </c>
      <c r="J3297" s="2" t="inlineStr">
        <is>
          <t>Online</t>
        </is>
      </c>
      <c r="K3297" s="2" t="n">
        <v>1</v>
      </c>
      <c r="L3297" s="3" t="n">
        <v>1396.8</v>
      </c>
      <c r="M3297" s="4" t="n">
        <v>0.05</v>
      </c>
      <c r="N3297" s="3" t="n">
        <v>942.88</v>
      </c>
      <c r="O3297" s="3">
        <f>K3297*L3297*(1-M3297)</f>
        <v/>
      </c>
      <c r="P3297" s="3">
        <f>O3297-N3297</f>
        <v/>
      </c>
      <c r="Q3297" s="5">
        <f>IFERROR(P3297/O3297,0)</f>
        <v/>
      </c>
      <c r="R3297" s="2">
        <f>TEXT(DATEVALUE(B3297),"mmm")</f>
        <v/>
      </c>
      <c r="S3297" s="2">
        <f>TEXT(DATEVALUE(B3297),"yyyy-mm")</f>
        <v/>
      </c>
    </row>
    <row r="3298">
      <c r="A3298" s="2" t="inlineStr">
        <is>
          <t>O004240</t>
        </is>
      </c>
      <c r="B3298" s="2" t="inlineStr">
        <is>
          <t>2025-08-28</t>
        </is>
      </c>
      <c r="C3298" s="2" t="inlineStr">
        <is>
          <t>C0796</t>
        </is>
      </c>
      <c r="D3298" s="2" t="inlineStr">
        <is>
          <t>P0026</t>
        </is>
      </c>
      <c r="E3298" s="2" t="inlineStr">
        <is>
          <t>Shampoo</t>
        </is>
      </c>
      <c r="F3298" s="2" t="inlineStr">
        <is>
          <t>Beauty</t>
        </is>
      </c>
      <c r="G3298" s="2" t="inlineStr">
        <is>
          <t>West</t>
        </is>
      </c>
      <c r="H3298" s="2" t="inlineStr">
        <is>
          <t>Goa</t>
        </is>
      </c>
      <c r="I3298" s="2" t="inlineStr">
        <is>
          <t>Panaji</t>
        </is>
      </c>
      <c r="J3298" s="2" t="inlineStr">
        <is>
          <t>Online</t>
        </is>
      </c>
      <c r="K3298" s="2" t="n">
        <v>3</v>
      </c>
      <c r="L3298" s="3" t="n">
        <v>858.49</v>
      </c>
      <c r="M3298" s="4" t="n">
        <v>0.1</v>
      </c>
      <c r="N3298" s="3" t="n">
        <v>1604.75</v>
      </c>
      <c r="O3298" s="3">
        <f>K3298*L3298*(1-M3298)</f>
        <v/>
      </c>
      <c r="P3298" s="3">
        <f>O3298-N3298</f>
        <v/>
      </c>
      <c r="Q3298" s="5">
        <f>IFERROR(P3298/O3298,0)</f>
        <v/>
      </c>
      <c r="R3298" s="2">
        <f>TEXT(DATEVALUE(B3298),"mmm")</f>
        <v/>
      </c>
      <c r="S3298" s="2">
        <f>TEXT(DATEVALUE(B3298),"yyyy-mm")</f>
        <v/>
      </c>
    </row>
    <row r="3299">
      <c r="A3299" s="2" t="inlineStr">
        <is>
          <t>O003939</t>
        </is>
      </c>
      <c r="B3299" s="2" t="inlineStr">
        <is>
          <t>2025-08-28</t>
        </is>
      </c>
      <c r="C3299" s="2" t="inlineStr">
        <is>
          <t>C0327</t>
        </is>
      </c>
      <c r="D3299" s="2" t="inlineStr">
        <is>
          <t>P0017</t>
        </is>
      </c>
      <c r="E3299" s="2" t="inlineStr">
        <is>
          <t>Jeans</t>
        </is>
      </c>
      <c r="F3299" s="2" t="inlineStr">
        <is>
          <t>Fashion</t>
        </is>
      </c>
      <c r="G3299" s="2" t="inlineStr">
        <is>
          <t>West</t>
        </is>
      </c>
      <c r="H3299" s="2" t="inlineStr">
        <is>
          <t>Goa</t>
        </is>
      </c>
      <c r="I3299" s="2" t="inlineStr">
        <is>
          <t>Panaji</t>
        </is>
      </c>
      <c r="J3299" s="2" t="inlineStr">
        <is>
          <t>Online</t>
        </is>
      </c>
      <c r="K3299" s="2" t="n">
        <v>2</v>
      </c>
      <c r="L3299" s="3" t="n">
        <v>1538.68</v>
      </c>
      <c r="M3299" s="4" t="n">
        <v>0.05</v>
      </c>
      <c r="N3299" s="3" t="n">
        <v>1982.85</v>
      </c>
      <c r="O3299" s="3">
        <f>K3299*L3299*(1-M3299)</f>
        <v/>
      </c>
      <c r="P3299" s="3">
        <f>O3299-N3299</f>
        <v/>
      </c>
      <c r="Q3299" s="5">
        <f>IFERROR(P3299/O3299,0)</f>
        <v/>
      </c>
      <c r="R3299" s="2">
        <f>TEXT(DATEVALUE(B3299),"mmm")</f>
        <v/>
      </c>
      <c r="S3299" s="2">
        <f>TEXT(DATEVALUE(B3299),"yyyy-mm")</f>
        <v/>
      </c>
    </row>
    <row r="3300">
      <c r="A3300" s="2" t="inlineStr">
        <is>
          <t>O003284</t>
        </is>
      </c>
      <c r="B3300" s="2" t="inlineStr">
        <is>
          <t>2025-08-28</t>
        </is>
      </c>
      <c r="C3300" s="2" t="inlineStr">
        <is>
          <t>C0312</t>
        </is>
      </c>
      <c r="D3300" s="2" t="inlineStr">
        <is>
          <t>P0021</t>
        </is>
      </c>
      <c r="E3300" s="2" t="inlineStr">
        <is>
          <t>Wallet</t>
        </is>
      </c>
      <c r="F3300" s="2" t="inlineStr">
        <is>
          <t>Fashion</t>
        </is>
      </c>
      <c r="G3300" s="2" t="inlineStr">
        <is>
          <t>West</t>
        </is>
      </c>
      <c r="H3300" s="2" t="inlineStr">
        <is>
          <t>Maharashtra</t>
        </is>
      </c>
      <c r="I3300" s="2" t="inlineStr">
        <is>
          <t>Pune</t>
        </is>
      </c>
      <c r="J3300" s="2" t="inlineStr">
        <is>
          <t>Online</t>
        </is>
      </c>
      <c r="K3300" s="2" t="n">
        <v>3</v>
      </c>
      <c r="L3300" s="3" t="n">
        <v>2095.57</v>
      </c>
      <c r="M3300" s="4" t="n">
        <v>0</v>
      </c>
      <c r="N3300" s="3" t="n">
        <v>3542.09</v>
      </c>
      <c r="O3300" s="3">
        <f>K3300*L3300*(1-M3300)</f>
        <v/>
      </c>
      <c r="P3300" s="3">
        <f>O3300-N3300</f>
        <v/>
      </c>
      <c r="Q3300" s="5">
        <f>IFERROR(P3300/O3300,0)</f>
        <v/>
      </c>
      <c r="R3300" s="2">
        <f>TEXT(DATEVALUE(B3300),"mmm")</f>
        <v/>
      </c>
      <c r="S3300" s="2">
        <f>TEXT(DATEVALUE(B3300),"yyyy-mm")</f>
        <v/>
      </c>
    </row>
    <row r="3301">
      <c r="A3301" s="2" t="inlineStr">
        <is>
          <t>O002778</t>
        </is>
      </c>
      <c r="B3301" s="2" t="inlineStr">
        <is>
          <t>2025-08-28</t>
        </is>
      </c>
      <c r="C3301" s="2" t="inlineStr">
        <is>
          <t>C0343</t>
        </is>
      </c>
      <c r="D3301" s="2" t="inlineStr">
        <is>
          <t>P0009</t>
        </is>
      </c>
      <c r="E3301" s="2" t="inlineStr">
        <is>
          <t>Electric Kettle</t>
        </is>
      </c>
      <c r="F3301" s="2" t="inlineStr">
        <is>
          <t>Home &amp; Kitchen</t>
        </is>
      </c>
      <c r="G3301" s="2" t="inlineStr">
        <is>
          <t>North</t>
        </is>
      </c>
      <c r="H3301" s="2" t="inlineStr">
        <is>
          <t>Punjab</t>
        </is>
      </c>
      <c r="I3301" s="2" t="inlineStr">
        <is>
          <t>Amritsar</t>
        </is>
      </c>
      <c r="J3301" s="2" t="inlineStr">
        <is>
          <t>Store</t>
        </is>
      </c>
      <c r="K3301" s="2" t="n">
        <v>5</v>
      </c>
      <c r="L3301" s="3" t="n">
        <v>2070.98</v>
      </c>
      <c r="M3301" s="4" t="n">
        <v>0.1</v>
      </c>
      <c r="N3301" s="3" t="n">
        <v>5649.79</v>
      </c>
      <c r="O3301" s="3">
        <f>K3301*L3301*(1-M3301)</f>
        <v/>
      </c>
      <c r="P3301" s="3">
        <f>O3301-N3301</f>
        <v/>
      </c>
      <c r="Q3301" s="5">
        <f>IFERROR(P3301/O3301,0)</f>
        <v/>
      </c>
      <c r="R3301" s="2">
        <f>TEXT(DATEVALUE(B3301),"mmm")</f>
        <v/>
      </c>
      <c r="S3301" s="2">
        <f>TEXT(DATEVALUE(B3301),"yyyy-mm")</f>
        <v/>
      </c>
    </row>
    <row r="3302">
      <c r="A3302" s="2" t="inlineStr">
        <is>
          <t>O000822</t>
        </is>
      </c>
      <c r="B3302" s="2" t="inlineStr">
        <is>
          <t>2025-08-28</t>
        </is>
      </c>
      <c r="C3302" s="2" t="inlineStr">
        <is>
          <t>C0568</t>
        </is>
      </c>
      <c r="D3302" s="2" t="inlineStr">
        <is>
          <t>P0006</t>
        </is>
      </c>
      <c r="E3302" s="2" t="inlineStr">
        <is>
          <t>Mechanical Keyboard</t>
        </is>
      </c>
      <c r="F3302" s="2" t="inlineStr">
        <is>
          <t>Electronics</t>
        </is>
      </c>
      <c r="G3302" s="2" t="inlineStr">
        <is>
          <t>East</t>
        </is>
      </c>
      <c r="H3302" s="2" t="inlineStr">
        <is>
          <t>Odisha</t>
        </is>
      </c>
      <c r="I3302" s="2" t="inlineStr">
        <is>
          <t>Bhubaneswar</t>
        </is>
      </c>
      <c r="J3302" s="2" t="inlineStr">
        <is>
          <t>Store</t>
        </is>
      </c>
      <c r="K3302" s="2" t="n">
        <v>2</v>
      </c>
      <c r="L3302" s="3" t="n">
        <v>2610.84</v>
      </c>
      <c r="M3302" s="4" t="n">
        <v>0.05</v>
      </c>
      <c r="N3302" s="3" t="n">
        <v>2939.6</v>
      </c>
      <c r="O3302" s="3">
        <f>K3302*L3302*(1-M3302)</f>
        <v/>
      </c>
      <c r="P3302" s="3">
        <f>O3302-N3302</f>
        <v/>
      </c>
      <c r="Q3302" s="5">
        <f>IFERROR(P3302/O3302,0)</f>
        <v/>
      </c>
      <c r="R3302" s="2">
        <f>TEXT(DATEVALUE(B3302),"mmm")</f>
        <v/>
      </c>
      <c r="S3302" s="2">
        <f>TEXT(DATEVALUE(B3302),"yyyy-mm")</f>
        <v/>
      </c>
    </row>
    <row r="3303">
      <c r="A3303" s="2" t="inlineStr">
        <is>
          <t>O000707</t>
        </is>
      </c>
      <c r="B3303" s="2" t="inlineStr">
        <is>
          <t>2025-08-28</t>
        </is>
      </c>
      <c r="C3303" s="2" t="inlineStr">
        <is>
          <t>C0209</t>
        </is>
      </c>
      <c r="D3303" s="2" t="inlineStr">
        <is>
          <t>P0013</t>
        </is>
      </c>
      <c r="E3303" s="2" t="inlineStr">
        <is>
          <t>Storage Organizer</t>
        </is>
      </c>
      <c r="F3303" s="2" t="inlineStr">
        <is>
          <t>Home &amp; Kitchen</t>
        </is>
      </c>
      <c r="G3303" s="2" t="inlineStr">
        <is>
          <t>East</t>
        </is>
      </c>
      <c r="H3303" s="2" t="inlineStr">
        <is>
          <t>Odisha</t>
        </is>
      </c>
      <c r="I3303" s="2" t="inlineStr">
        <is>
          <t>Bhubaneswar</t>
        </is>
      </c>
      <c r="J3303" s="2" t="inlineStr">
        <is>
          <t>Online</t>
        </is>
      </c>
      <c r="K3303" s="2" t="n">
        <v>5</v>
      </c>
      <c r="L3303" s="3" t="n">
        <v>547.3099999999999</v>
      </c>
      <c r="M3303" s="4" t="n">
        <v>0.1</v>
      </c>
      <c r="N3303" s="3" t="n">
        <v>1809.53</v>
      </c>
      <c r="O3303" s="3">
        <f>K3303*L3303*(1-M3303)</f>
        <v/>
      </c>
      <c r="P3303" s="3">
        <f>O3303-N3303</f>
        <v/>
      </c>
      <c r="Q3303" s="5">
        <f>IFERROR(P3303/O3303,0)</f>
        <v/>
      </c>
      <c r="R3303" s="2">
        <f>TEXT(DATEVALUE(B3303),"mmm")</f>
        <v/>
      </c>
      <c r="S3303" s="2">
        <f>TEXT(DATEVALUE(B3303),"yyyy-mm")</f>
        <v/>
      </c>
    </row>
    <row r="3304">
      <c r="A3304" s="2" t="inlineStr">
        <is>
          <t>O000232</t>
        </is>
      </c>
      <c r="B3304" s="2" t="inlineStr">
        <is>
          <t>2025-08-28</t>
        </is>
      </c>
      <c r="C3304" s="2" t="inlineStr">
        <is>
          <t>C0456</t>
        </is>
      </c>
      <c r="D3304" s="2" t="inlineStr">
        <is>
          <t>P0029</t>
        </is>
      </c>
      <c r="E3304" s="2" t="inlineStr">
        <is>
          <t>Yoga Mat</t>
        </is>
      </c>
      <c r="F3304" s="2" t="inlineStr">
        <is>
          <t>Sports</t>
        </is>
      </c>
      <c r="G3304" s="2" t="inlineStr">
        <is>
          <t>West</t>
        </is>
      </c>
      <c r="H3304" s="2" t="inlineStr">
        <is>
          <t>Maharashtra</t>
        </is>
      </c>
      <c r="I3304" s="2" t="inlineStr">
        <is>
          <t>Nashik</t>
        </is>
      </c>
      <c r="J3304" s="2" t="inlineStr">
        <is>
          <t>Online</t>
        </is>
      </c>
      <c r="K3304" s="2" t="n">
        <v>1</v>
      </c>
      <c r="L3304" s="3" t="n">
        <v>2395.18</v>
      </c>
      <c r="M3304" s="4" t="n">
        <v>0</v>
      </c>
      <c r="N3304" s="3" t="n">
        <v>1290.11</v>
      </c>
      <c r="O3304" s="3">
        <f>K3304*L3304*(1-M3304)</f>
        <v/>
      </c>
      <c r="P3304" s="3">
        <f>O3304-N3304</f>
        <v/>
      </c>
      <c r="Q3304" s="5">
        <f>IFERROR(P3304/O3304,0)</f>
        <v/>
      </c>
      <c r="R3304" s="2">
        <f>TEXT(DATEVALUE(B3304),"mmm")</f>
        <v/>
      </c>
      <c r="S3304" s="2">
        <f>TEXT(DATEVALUE(B3304),"yyyy-mm")</f>
        <v/>
      </c>
    </row>
    <row r="3305">
      <c r="A3305" s="2" t="inlineStr">
        <is>
          <t>O001944</t>
        </is>
      </c>
      <c r="B3305" s="2" t="inlineStr">
        <is>
          <t>2025-08-28</t>
        </is>
      </c>
      <c r="C3305" s="2" t="inlineStr">
        <is>
          <t>C0733</t>
        </is>
      </c>
      <c r="D3305" s="2" t="inlineStr">
        <is>
          <t>P0021</t>
        </is>
      </c>
      <c r="E3305" s="2" t="inlineStr">
        <is>
          <t>Wallet</t>
        </is>
      </c>
      <c r="F3305" s="2" t="inlineStr">
        <is>
          <t>Fashion</t>
        </is>
      </c>
      <c r="G3305" s="2" t="inlineStr">
        <is>
          <t>West</t>
        </is>
      </c>
      <c r="H3305" s="2" t="inlineStr">
        <is>
          <t>Goa</t>
        </is>
      </c>
      <c r="I3305" s="2" t="inlineStr">
        <is>
          <t>Panaji</t>
        </is>
      </c>
      <c r="J3305" s="2" t="inlineStr">
        <is>
          <t>Store</t>
        </is>
      </c>
      <c r="K3305" s="2" t="n">
        <v>2</v>
      </c>
      <c r="L3305" s="3" t="n">
        <v>2072.38</v>
      </c>
      <c r="M3305" s="4" t="n">
        <v>0</v>
      </c>
      <c r="N3305" s="3" t="n">
        <v>2394.61</v>
      </c>
      <c r="O3305" s="3">
        <f>K3305*L3305*(1-M3305)</f>
        <v/>
      </c>
      <c r="P3305" s="3">
        <f>O3305-N3305</f>
        <v/>
      </c>
      <c r="Q3305" s="5">
        <f>IFERROR(P3305/O3305,0)</f>
        <v/>
      </c>
      <c r="R3305" s="2">
        <f>TEXT(DATEVALUE(B3305),"mmm")</f>
        <v/>
      </c>
      <c r="S3305" s="2">
        <f>TEXT(DATEVALUE(B3305),"yyyy-mm")</f>
        <v/>
      </c>
    </row>
    <row r="3306">
      <c r="A3306" s="2" t="inlineStr">
        <is>
          <t>O003907</t>
        </is>
      </c>
      <c r="B3306" s="2" t="inlineStr">
        <is>
          <t>2025-08-29</t>
        </is>
      </c>
      <c r="C3306" s="2" t="inlineStr">
        <is>
          <t>C0582</t>
        </is>
      </c>
      <c r="D3306" s="2" t="inlineStr">
        <is>
          <t>P0021</t>
        </is>
      </c>
      <c r="E3306" s="2" t="inlineStr">
        <is>
          <t>Wallet</t>
        </is>
      </c>
      <c r="F3306" s="2" t="inlineStr">
        <is>
          <t>Fashion</t>
        </is>
      </c>
      <c r="G3306" s="2" t="inlineStr">
        <is>
          <t>West</t>
        </is>
      </c>
      <c r="H3306" s="2" t="inlineStr">
        <is>
          <t>Gujarat</t>
        </is>
      </c>
      <c r="I3306" s="2" t="inlineStr">
        <is>
          <t>Vadodara</t>
        </is>
      </c>
      <c r="J3306" s="2" t="inlineStr">
        <is>
          <t>Online</t>
        </is>
      </c>
      <c r="K3306" s="2" t="n">
        <v>2</v>
      </c>
      <c r="L3306" s="3" t="n">
        <v>1963.97</v>
      </c>
      <c r="M3306" s="4" t="n">
        <v>0.1</v>
      </c>
      <c r="N3306" s="3" t="n">
        <v>2364.31</v>
      </c>
      <c r="O3306" s="3">
        <f>K3306*L3306*(1-M3306)</f>
        <v/>
      </c>
      <c r="P3306" s="3">
        <f>O3306-N3306</f>
        <v/>
      </c>
      <c r="Q3306" s="5">
        <f>IFERROR(P3306/O3306,0)</f>
        <v/>
      </c>
      <c r="R3306" s="2">
        <f>TEXT(DATEVALUE(B3306),"mmm")</f>
        <v/>
      </c>
      <c r="S3306" s="2">
        <f>TEXT(DATEVALUE(B3306),"yyyy-mm")</f>
        <v/>
      </c>
    </row>
    <row r="3307">
      <c r="A3307" s="2" t="inlineStr">
        <is>
          <t>O004623</t>
        </is>
      </c>
      <c r="B3307" s="2" t="inlineStr">
        <is>
          <t>2025-08-29</t>
        </is>
      </c>
      <c r="C3307" s="2" t="inlineStr">
        <is>
          <t>C0798</t>
        </is>
      </c>
      <c r="D3307" s="2" t="inlineStr">
        <is>
          <t>P0020</t>
        </is>
      </c>
      <c r="E3307" s="2" t="inlineStr">
        <is>
          <t>Sneakers</t>
        </is>
      </c>
      <c r="F3307" s="2" t="inlineStr">
        <is>
          <t>Fashion</t>
        </is>
      </c>
      <c r="G3307" s="2" t="inlineStr">
        <is>
          <t>East</t>
        </is>
      </c>
      <c r="H3307" s="2" t="inlineStr">
        <is>
          <t>Bihar</t>
        </is>
      </c>
      <c r="I3307" s="2" t="inlineStr">
        <is>
          <t>Patna</t>
        </is>
      </c>
      <c r="J3307" s="2" t="inlineStr">
        <is>
          <t>Online</t>
        </is>
      </c>
      <c r="K3307" s="2" t="n">
        <v>4</v>
      </c>
      <c r="L3307" s="3" t="n">
        <v>1909.12</v>
      </c>
      <c r="M3307" s="4" t="n">
        <v>0.05</v>
      </c>
      <c r="N3307" s="3" t="n">
        <v>5839.53</v>
      </c>
      <c r="O3307" s="3">
        <f>K3307*L3307*(1-M3307)</f>
        <v/>
      </c>
      <c r="P3307" s="3">
        <f>O3307-N3307</f>
        <v/>
      </c>
      <c r="Q3307" s="5">
        <f>IFERROR(P3307/O3307,0)</f>
        <v/>
      </c>
      <c r="R3307" s="2">
        <f>TEXT(DATEVALUE(B3307),"mmm")</f>
        <v/>
      </c>
      <c r="S3307" s="2">
        <f>TEXT(DATEVALUE(B3307),"yyyy-mm")</f>
        <v/>
      </c>
    </row>
    <row r="3308">
      <c r="A3308" s="2" t="inlineStr">
        <is>
          <t>O004179</t>
        </is>
      </c>
      <c r="B3308" s="2" t="inlineStr">
        <is>
          <t>2025-08-29</t>
        </is>
      </c>
      <c r="C3308" s="2" t="inlineStr">
        <is>
          <t>C0279</t>
        </is>
      </c>
      <c r="D3308" s="2" t="inlineStr">
        <is>
          <t>P0014</t>
        </is>
      </c>
      <c r="E3308" s="2" t="inlineStr">
        <is>
          <t>Coffee Maker</t>
        </is>
      </c>
      <c r="F3308" s="2" t="inlineStr">
        <is>
          <t>Home &amp; Kitchen</t>
        </is>
      </c>
      <c r="G3308" s="2" t="inlineStr">
        <is>
          <t>East</t>
        </is>
      </c>
      <c r="H3308" s="2" t="inlineStr">
        <is>
          <t>Odisha</t>
        </is>
      </c>
      <c r="I3308" s="2" t="inlineStr">
        <is>
          <t>Bhubaneswar</t>
        </is>
      </c>
      <c r="J3308" s="2" t="inlineStr">
        <is>
          <t>Online</t>
        </is>
      </c>
      <c r="K3308" s="2" t="n">
        <v>1</v>
      </c>
      <c r="L3308" s="3" t="n">
        <v>1009.9</v>
      </c>
      <c r="M3308" s="4" t="n">
        <v>0.05</v>
      </c>
      <c r="N3308" s="3" t="n">
        <v>761.84</v>
      </c>
      <c r="O3308" s="3">
        <f>K3308*L3308*(1-M3308)</f>
        <v/>
      </c>
      <c r="P3308" s="3">
        <f>O3308-N3308</f>
        <v/>
      </c>
      <c r="Q3308" s="5">
        <f>IFERROR(P3308/O3308,0)</f>
        <v/>
      </c>
      <c r="R3308" s="2">
        <f>TEXT(DATEVALUE(B3308),"mmm")</f>
        <v/>
      </c>
      <c r="S3308" s="2">
        <f>TEXT(DATEVALUE(B3308),"yyyy-mm")</f>
        <v/>
      </c>
    </row>
    <row r="3309">
      <c r="A3309" s="2" t="inlineStr">
        <is>
          <t>O004158</t>
        </is>
      </c>
      <c r="B3309" s="2" t="inlineStr">
        <is>
          <t>2025-08-29</t>
        </is>
      </c>
      <c r="C3309" s="2" t="inlineStr">
        <is>
          <t>C0348</t>
        </is>
      </c>
      <c r="D3309" s="2" t="inlineStr">
        <is>
          <t>P0011</t>
        </is>
      </c>
      <c r="E3309" s="2" t="inlineStr">
        <is>
          <t>Cookware Set</t>
        </is>
      </c>
      <c r="F3309" s="2" t="inlineStr">
        <is>
          <t>Home &amp; Kitchen</t>
        </is>
      </c>
      <c r="G3309" s="2" t="inlineStr">
        <is>
          <t>West</t>
        </is>
      </c>
      <c r="H3309" s="2" t="inlineStr">
        <is>
          <t>Maharashtra</t>
        </is>
      </c>
      <c r="I3309" s="2" t="inlineStr">
        <is>
          <t>Mumbai</t>
        </is>
      </c>
      <c r="J3309" s="2" t="inlineStr">
        <is>
          <t>Online</t>
        </is>
      </c>
      <c r="K3309" s="2" t="n">
        <v>3</v>
      </c>
      <c r="L3309" s="3" t="n">
        <v>692.36</v>
      </c>
      <c r="M3309" s="4" t="n">
        <v>0.15</v>
      </c>
      <c r="N3309" s="3" t="n">
        <v>1438.79</v>
      </c>
      <c r="O3309" s="3">
        <f>K3309*L3309*(1-M3309)</f>
        <v/>
      </c>
      <c r="P3309" s="3">
        <f>O3309-N3309</f>
        <v/>
      </c>
      <c r="Q3309" s="5">
        <f>IFERROR(P3309/O3309,0)</f>
        <v/>
      </c>
      <c r="R3309" s="2">
        <f>TEXT(DATEVALUE(B3309),"mmm")</f>
        <v/>
      </c>
      <c r="S3309" s="2">
        <f>TEXT(DATEVALUE(B3309),"yyyy-mm")</f>
        <v/>
      </c>
    </row>
    <row r="3310">
      <c r="A3310" s="2" t="inlineStr">
        <is>
          <t>O004028</t>
        </is>
      </c>
      <c r="B3310" s="2" t="inlineStr">
        <is>
          <t>2025-08-29</t>
        </is>
      </c>
      <c r="C3310" s="2" t="inlineStr">
        <is>
          <t>C0676</t>
        </is>
      </c>
      <c r="D3310" s="2" t="inlineStr">
        <is>
          <t>P0017</t>
        </is>
      </c>
      <c r="E3310" s="2" t="inlineStr">
        <is>
          <t>Jeans</t>
        </is>
      </c>
      <c r="F3310" s="2" t="inlineStr">
        <is>
          <t>Fashion</t>
        </is>
      </c>
      <c r="G3310" s="2" t="inlineStr">
        <is>
          <t>West</t>
        </is>
      </c>
      <c r="H3310" s="2" t="inlineStr">
        <is>
          <t>Goa</t>
        </is>
      </c>
      <c r="I3310" s="2" t="inlineStr">
        <is>
          <t>Panaji</t>
        </is>
      </c>
      <c r="J3310" s="2" t="inlineStr">
        <is>
          <t>Store</t>
        </is>
      </c>
      <c r="K3310" s="2" t="n">
        <v>6</v>
      </c>
      <c r="L3310" s="3" t="n">
        <v>1543.46</v>
      </c>
      <c r="M3310" s="4" t="n">
        <v>0.15</v>
      </c>
      <c r="N3310" s="3" t="n">
        <v>6101.63</v>
      </c>
      <c r="O3310" s="3">
        <f>K3310*L3310*(1-M3310)</f>
        <v/>
      </c>
      <c r="P3310" s="3">
        <f>O3310-N3310</f>
        <v/>
      </c>
      <c r="Q3310" s="5">
        <f>IFERROR(P3310/O3310,0)</f>
        <v/>
      </c>
      <c r="R3310" s="2">
        <f>TEXT(DATEVALUE(B3310),"mmm")</f>
        <v/>
      </c>
      <c r="S3310" s="2">
        <f>TEXT(DATEVALUE(B3310),"yyyy-mm")</f>
        <v/>
      </c>
    </row>
    <row r="3311">
      <c r="A3311" s="2" t="inlineStr">
        <is>
          <t>O003680</t>
        </is>
      </c>
      <c r="B3311" s="2" t="inlineStr">
        <is>
          <t>2025-08-29</t>
        </is>
      </c>
      <c r="C3311" s="2" t="inlineStr">
        <is>
          <t>C0115</t>
        </is>
      </c>
      <c r="D3311" s="2" t="inlineStr">
        <is>
          <t>P0007</t>
        </is>
      </c>
      <c r="E3311" s="2" t="inlineStr">
        <is>
          <t>Wireless Mouse</t>
        </is>
      </c>
      <c r="F3311" s="2" t="inlineStr">
        <is>
          <t>Electronics</t>
        </is>
      </c>
      <c r="G3311" s="2" t="inlineStr">
        <is>
          <t>South</t>
        </is>
      </c>
      <c r="H3311" s="2" t="inlineStr">
        <is>
          <t>Tamil Nadu</t>
        </is>
      </c>
      <c r="I3311" s="2" t="inlineStr">
        <is>
          <t>Chennai</t>
        </is>
      </c>
      <c r="J3311" s="2" t="inlineStr">
        <is>
          <t>Online</t>
        </is>
      </c>
      <c r="K3311" s="2" t="n">
        <v>6</v>
      </c>
      <c r="L3311" s="3" t="n">
        <v>955.75</v>
      </c>
      <c r="M3311" s="4" t="n">
        <v>0.2</v>
      </c>
      <c r="N3311" s="3" t="n">
        <v>3715.34</v>
      </c>
      <c r="O3311" s="3">
        <f>K3311*L3311*(1-M3311)</f>
        <v/>
      </c>
      <c r="P3311" s="3">
        <f>O3311-N3311</f>
        <v/>
      </c>
      <c r="Q3311" s="5">
        <f>IFERROR(P3311/O3311,0)</f>
        <v/>
      </c>
      <c r="R3311" s="2">
        <f>TEXT(DATEVALUE(B3311),"mmm")</f>
        <v/>
      </c>
      <c r="S3311" s="2">
        <f>TEXT(DATEVALUE(B3311),"yyyy-mm")</f>
        <v/>
      </c>
    </row>
    <row r="3312">
      <c r="A3312" s="2" t="inlineStr">
        <is>
          <t>O001559</t>
        </is>
      </c>
      <c r="B3312" s="2" t="inlineStr">
        <is>
          <t>2025-08-29</t>
        </is>
      </c>
      <c r="C3312" s="2" t="inlineStr">
        <is>
          <t>C0392</t>
        </is>
      </c>
      <c r="D3312" s="2" t="inlineStr">
        <is>
          <t>P0034</t>
        </is>
      </c>
      <c r="E3312" s="2" t="inlineStr">
        <is>
          <t>Gym Gloves</t>
        </is>
      </c>
      <c r="F3312" s="2" t="inlineStr">
        <is>
          <t>Sports</t>
        </is>
      </c>
      <c r="G3312" s="2" t="inlineStr">
        <is>
          <t>West</t>
        </is>
      </c>
      <c r="H3312" s="2" t="inlineStr">
        <is>
          <t>Maharashtra</t>
        </is>
      </c>
      <c r="I3312" s="2" t="inlineStr">
        <is>
          <t>Mumbai</t>
        </is>
      </c>
      <c r="J3312" s="2" t="inlineStr">
        <is>
          <t>Online</t>
        </is>
      </c>
      <c r="K3312" s="2" t="n">
        <v>1</v>
      </c>
      <c r="L3312" s="3" t="n">
        <v>613.63</v>
      </c>
      <c r="M3312" s="4" t="n">
        <v>0</v>
      </c>
      <c r="N3312" s="3" t="n">
        <v>393.06</v>
      </c>
      <c r="O3312" s="3">
        <f>K3312*L3312*(1-M3312)</f>
        <v/>
      </c>
      <c r="P3312" s="3">
        <f>O3312-N3312</f>
        <v/>
      </c>
      <c r="Q3312" s="5">
        <f>IFERROR(P3312/O3312,0)</f>
        <v/>
      </c>
      <c r="R3312" s="2">
        <f>TEXT(DATEVALUE(B3312),"mmm")</f>
        <v/>
      </c>
      <c r="S3312" s="2">
        <f>TEXT(DATEVALUE(B3312),"yyyy-mm")</f>
        <v/>
      </c>
    </row>
    <row r="3313">
      <c r="A3313" s="2" t="inlineStr">
        <is>
          <t>O002256</t>
        </is>
      </c>
      <c r="B3313" s="2" t="inlineStr">
        <is>
          <t>2025-08-29</t>
        </is>
      </c>
      <c r="C3313" s="2" t="inlineStr">
        <is>
          <t>C0393</t>
        </is>
      </c>
      <c r="D3313" s="2" t="inlineStr">
        <is>
          <t>P0017</t>
        </is>
      </c>
      <c r="E3313" s="2" t="inlineStr">
        <is>
          <t>Jeans</t>
        </is>
      </c>
      <c r="F3313" s="2" t="inlineStr">
        <is>
          <t>Fashion</t>
        </is>
      </c>
      <c r="G3313" s="2" t="inlineStr">
        <is>
          <t>South</t>
        </is>
      </c>
      <c r="H3313" s="2" t="inlineStr">
        <is>
          <t>Kerala</t>
        </is>
      </c>
      <c r="I3313" s="2" t="inlineStr">
        <is>
          <t>Kochi</t>
        </is>
      </c>
      <c r="J3313" s="2" t="inlineStr">
        <is>
          <t>Store</t>
        </is>
      </c>
      <c r="K3313" s="2" t="n">
        <v>1</v>
      </c>
      <c r="L3313" s="3" t="n">
        <v>1485.56</v>
      </c>
      <c r="M3313" s="4" t="n">
        <v>0.1</v>
      </c>
      <c r="N3313" s="3" t="n">
        <v>1042.21</v>
      </c>
      <c r="O3313" s="3">
        <f>K3313*L3313*(1-M3313)</f>
        <v/>
      </c>
      <c r="P3313" s="3">
        <f>O3313-N3313</f>
        <v/>
      </c>
      <c r="Q3313" s="5">
        <f>IFERROR(P3313/O3313,0)</f>
        <v/>
      </c>
      <c r="R3313" s="2">
        <f>TEXT(DATEVALUE(B3313),"mmm")</f>
        <v/>
      </c>
      <c r="S3313" s="2">
        <f>TEXT(DATEVALUE(B3313),"yyyy-mm")</f>
        <v/>
      </c>
    </row>
    <row r="3314">
      <c r="A3314" s="2" t="inlineStr">
        <is>
          <t>O002188</t>
        </is>
      </c>
      <c r="B3314" s="2" t="inlineStr">
        <is>
          <t>2025-08-29</t>
        </is>
      </c>
      <c r="C3314" s="2" t="inlineStr">
        <is>
          <t>C0263</t>
        </is>
      </c>
      <c r="D3314" s="2" t="inlineStr">
        <is>
          <t>P0014</t>
        </is>
      </c>
      <c r="E3314" s="2" t="inlineStr">
        <is>
          <t>Coffee Maker</t>
        </is>
      </c>
      <c r="F3314" s="2" t="inlineStr">
        <is>
          <t>Home &amp; Kitchen</t>
        </is>
      </c>
      <c r="G3314" s="2" t="inlineStr">
        <is>
          <t>West</t>
        </is>
      </c>
      <c r="H3314" s="2" t="inlineStr">
        <is>
          <t>Gujarat</t>
        </is>
      </c>
      <c r="I3314" s="2" t="inlineStr">
        <is>
          <t>Surat</t>
        </is>
      </c>
      <c r="J3314" s="2" t="inlineStr">
        <is>
          <t>Online</t>
        </is>
      </c>
      <c r="K3314" s="2" t="n">
        <v>1</v>
      </c>
      <c r="L3314" s="3" t="n">
        <v>1027.67</v>
      </c>
      <c r="M3314" s="4" t="n">
        <v>0</v>
      </c>
      <c r="N3314" s="3" t="n">
        <v>741.13</v>
      </c>
      <c r="O3314" s="3">
        <f>K3314*L3314*(1-M3314)</f>
        <v/>
      </c>
      <c r="P3314" s="3">
        <f>O3314-N3314</f>
        <v/>
      </c>
      <c r="Q3314" s="5">
        <f>IFERROR(P3314/O3314,0)</f>
        <v/>
      </c>
      <c r="R3314" s="2">
        <f>TEXT(DATEVALUE(B3314),"mmm")</f>
        <v/>
      </c>
      <c r="S3314" s="2">
        <f>TEXT(DATEVALUE(B3314),"yyyy-mm")</f>
        <v/>
      </c>
    </row>
    <row r="3315">
      <c r="A3315" s="2" t="inlineStr">
        <is>
          <t>O001571</t>
        </is>
      </c>
      <c r="B3315" s="2" t="inlineStr">
        <is>
          <t>2025-08-29</t>
        </is>
      </c>
      <c r="C3315" s="2" t="inlineStr">
        <is>
          <t>C0297</t>
        </is>
      </c>
      <c r="D3315" s="2" t="inlineStr">
        <is>
          <t>P0014</t>
        </is>
      </c>
      <c r="E3315" s="2" t="inlineStr">
        <is>
          <t>Coffee Maker</t>
        </is>
      </c>
      <c r="F3315" s="2" t="inlineStr">
        <is>
          <t>Home &amp; Kitchen</t>
        </is>
      </c>
      <c r="G3315" s="2" t="inlineStr">
        <is>
          <t>South</t>
        </is>
      </c>
      <c r="H3315" s="2" t="inlineStr">
        <is>
          <t>Tamil Nadu</t>
        </is>
      </c>
      <c r="I3315" s="2" t="inlineStr">
        <is>
          <t>Chennai</t>
        </is>
      </c>
      <c r="J3315" s="2" t="inlineStr">
        <is>
          <t>Online</t>
        </is>
      </c>
      <c r="K3315" s="2" t="n">
        <v>3</v>
      </c>
      <c r="L3315" s="3" t="n">
        <v>1084.28</v>
      </c>
      <c r="M3315" s="4" t="n">
        <v>0</v>
      </c>
      <c r="N3315" s="3" t="n">
        <v>2243.37</v>
      </c>
      <c r="O3315" s="3">
        <f>K3315*L3315*(1-M3315)</f>
        <v/>
      </c>
      <c r="P3315" s="3">
        <f>O3315-N3315</f>
        <v/>
      </c>
      <c r="Q3315" s="5">
        <f>IFERROR(P3315/O3315,0)</f>
        <v/>
      </c>
      <c r="R3315" s="2">
        <f>TEXT(DATEVALUE(B3315),"mmm")</f>
        <v/>
      </c>
      <c r="S3315" s="2">
        <f>TEXT(DATEVALUE(B3315),"yyyy-mm")</f>
        <v/>
      </c>
    </row>
    <row r="3316">
      <c r="A3316" s="2" t="inlineStr">
        <is>
          <t>O000142</t>
        </is>
      </c>
      <c r="B3316" s="2" t="inlineStr">
        <is>
          <t>2025-08-29</t>
        </is>
      </c>
      <c r="C3316" s="2" t="inlineStr">
        <is>
          <t>C0001</t>
        </is>
      </c>
      <c r="D3316" s="2" t="inlineStr">
        <is>
          <t>P0015</t>
        </is>
      </c>
      <c r="E3316" s="2" t="inlineStr">
        <is>
          <t>Running Shoes</t>
        </is>
      </c>
      <c r="F3316" s="2" t="inlineStr">
        <is>
          <t>Fashion</t>
        </is>
      </c>
      <c r="G3316" s="2" t="inlineStr">
        <is>
          <t>South</t>
        </is>
      </c>
      <c r="H3316" s="2" t="inlineStr">
        <is>
          <t>Karnataka</t>
        </is>
      </c>
      <c r="I3316" s="2" t="inlineStr">
        <is>
          <t>Bengaluru</t>
        </is>
      </c>
      <c r="J3316" s="2" t="inlineStr">
        <is>
          <t>Store</t>
        </is>
      </c>
      <c r="K3316" s="2" t="n">
        <v>1</v>
      </c>
      <c r="L3316" s="3" t="n">
        <v>589.35</v>
      </c>
      <c r="M3316" s="4" t="n">
        <v>0</v>
      </c>
      <c r="N3316" s="3" t="n">
        <v>360.34</v>
      </c>
      <c r="O3316" s="3">
        <f>K3316*L3316*(1-M3316)</f>
        <v/>
      </c>
      <c r="P3316" s="3">
        <f>O3316-N3316</f>
        <v/>
      </c>
      <c r="Q3316" s="5">
        <f>IFERROR(P3316/O3316,0)</f>
        <v/>
      </c>
      <c r="R3316" s="2">
        <f>TEXT(DATEVALUE(B3316),"mmm")</f>
        <v/>
      </c>
      <c r="S3316" s="2">
        <f>TEXT(DATEVALUE(B3316),"yyyy-mm")</f>
        <v/>
      </c>
    </row>
    <row r="3317">
      <c r="A3317" s="2" t="inlineStr">
        <is>
          <t>O003230</t>
        </is>
      </c>
      <c r="B3317" s="2" t="inlineStr">
        <is>
          <t>2025-08-29</t>
        </is>
      </c>
      <c r="C3317" s="2" t="inlineStr">
        <is>
          <t>C0394</t>
        </is>
      </c>
      <c r="D3317" s="2" t="inlineStr">
        <is>
          <t>P0014</t>
        </is>
      </c>
      <c r="E3317" s="2" t="inlineStr">
        <is>
          <t>Coffee Maker</t>
        </is>
      </c>
      <c r="F3317" s="2" t="inlineStr">
        <is>
          <t>Home &amp; Kitchen</t>
        </is>
      </c>
      <c r="G3317" s="2" t="inlineStr">
        <is>
          <t>East</t>
        </is>
      </c>
      <c r="H3317" s="2" t="inlineStr">
        <is>
          <t>West Bengal</t>
        </is>
      </c>
      <c r="I3317" s="2" t="inlineStr">
        <is>
          <t>Durgapur</t>
        </is>
      </c>
      <c r="J3317" s="2" t="inlineStr">
        <is>
          <t>Store</t>
        </is>
      </c>
      <c r="K3317" s="2" t="n">
        <v>1</v>
      </c>
      <c r="L3317" s="3" t="n">
        <v>1017.85</v>
      </c>
      <c r="M3317" s="4" t="n">
        <v>0.25</v>
      </c>
      <c r="N3317" s="3" t="n">
        <v>784.54</v>
      </c>
      <c r="O3317" s="3">
        <f>K3317*L3317*(1-M3317)</f>
        <v/>
      </c>
      <c r="P3317" s="3">
        <f>O3317-N3317</f>
        <v/>
      </c>
      <c r="Q3317" s="5">
        <f>IFERROR(P3317/O3317,0)</f>
        <v/>
      </c>
      <c r="R3317" s="2">
        <f>TEXT(DATEVALUE(B3317),"mmm")</f>
        <v/>
      </c>
      <c r="S3317" s="2">
        <f>TEXT(DATEVALUE(B3317),"yyyy-mm")</f>
        <v/>
      </c>
    </row>
    <row r="3318">
      <c r="A3318" s="2" t="inlineStr">
        <is>
          <t>O003519</t>
        </is>
      </c>
      <c r="B3318" s="2" t="inlineStr">
        <is>
          <t>2025-08-30</t>
        </is>
      </c>
      <c r="C3318" s="2" t="inlineStr">
        <is>
          <t>C0555</t>
        </is>
      </c>
      <c r="D3318" s="2" t="inlineStr">
        <is>
          <t>P0022</t>
        </is>
      </c>
      <c r="E3318" s="2" t="inlineStr">
        <is>
          <t>Face Wash</t>
        </is>
      </c>
      <c r="F3318" s="2" t="inlineStr">
        <is>
          <t>Beauty</t>
        </is>
      </c>
      <c r="G3318" s="2" t="inlineStr">
        <is>
          <t>North</t>
        </is>
      </c>
      <c r="H3318" s="2" t="inlineStr">
        <is>
          <t>Haryana</t>
        </is>
      </c>
      <c r="I3318" s="2" t="inlineStr">
        <is>
          <t>Faridabad</t>
        </is>
      </c>
      <c r="J3318" s="2" t="inlineStr">
        <is>
          <t>Online</t>
        </is>
      </c>
      <c r="K3318" s="2" t="n">
        <v>2</v>
      </c>
      <c r="L3318" s="3" t="n">
        <v>565.28</v>
      </c>
      <c r="M3318" s="4" t="n">
        <v>0.1</v>
      </c>
      <c r="N3318" s="3" t="n">
        <v>725.3200000000001</v>
      </c>
      <c r="O3318" s="3">
        <f>K3318*L3318*(1-M3318)</f>
        <v/>
      </c>
      <c r="P3318" s="3">
        <f>O3318-N3318</f>
        <v/>
      </c>
      <c r="Q3318" s="5">
        <f>IFERROR(P3318/O3318,0)</f>
        <v/>
      </c>
      <c r="R3318" s="2">
        <f>TEXT(DATEVALUE(B3318),"mmm")</f>
        <v/>
      </c>
      <c r="S3318" s="2">
        <f>TEXT(DATEVALUE(B3318),"yyyy-mm")</f>
        <v/>
      </c>
    </row>
    <row r="3319">
      <c r="A3319" s="2" t="inlineStr">
        <is>
          <t>O004905</t>
        </is>
      </c>
      <c r="B3319" s="2" t="inlineStr">
        <is>
          <t>2025-08-30</t>
        </is>
      </c>
      <c r="C3319" s="2" t="inlineStr">
        <is>
          <t>C0077</t>
        </is>
      </c>
      <c r="D3319" s="2" t="inlineStr">
        <is>
          <t>P0031</t>
        </is>
      </c>
      <c r="E3319" s="2" t="inlineStr">
        <is>
          <t>Cricket Bat</t>
        </is>
      </c>
      <c r="F3319" s="2" t="inlineStr">
        <is>
          <t>Sports</t>
        </is>
      </c>
      <c r="G3319" s="2" t="inlineStr">
        <is>
          <t>North</t>
        </is>
      </c>
      <c r="H3319" s="2" t="inlineStr">
        <is>
          <t>Uttar Pradesh</t>
        </is>
      </c>
      <c r="I3319" s="2" t="inlineStr">
        <is>
          <t>Kanpur</t>
        </is>
      </c>
      <c r="J3319" s="2" t="inlineStr">
        <is>
          <t>Online</t>
        </is>
      </c>
      <c r="K3319" s="2" t="n">
        <v>1</v>
      </c>
      <c r="L3319" s="3" t="n">
        <v>1448</v>
      </c>
      <c r="M3319" s="4" t="n">
        <v>0</v>
      </c>
      <c r="N3319" s="3" t="n">
        <v>930.0700000000001</v>
      </c>
      <c r="O3319" s="3">
        <f>K3319*L3319*(1-M3319)</f>
        <v/>
      </c>
      <c r="P3319" s="3">
        <f>O3319-N3319</f>
        <v/>
      </c>
      <c r="Q3319" s="5">
        <f>IFERROR(P3319/O3319,0)</f>
        <v/>
      </c>
      <c r="R3319" s="2">
        <f>TEXT(DATEVALUE(B3319),"mmm")</f>
        <v/>
      </c>
      <c r="S3319" s="2">
        <f>TEXT(DATEVALUE(B3319),"yyyy-mm")</f>
        <v/>
      </c>
    </row>
    <row r="3320">
      <c r="A3320" s="2" t="inlineStr">
        <is>
          <t>O004500</t>
        </is>
      </c>
      <c r="B3320" s="2" t="inlineStr">
        <is>
          <t>2025-08-30</t>
        </is>
      </c>
      <c r="C3320" s="2" t="inlineStr">
        <is>
          <t>C0456</t>
        </is>
      </c>
      <c r="D3320" s="2" t="inlineStr">
        <is>
          <t>P0002</t>
        </is>
      </c>
      <c r="E3320" s="2" t="inlineStr">
        <is>
          <t>Bluetooth Speaker</t>
        </is>
      </c>
      <c r="F3320" s="2" t="inlineStr">
        <is>
          <t>Electronics</t>
        </is>
      </c>
      <c r="G3320" s="2" t="inlineStr">
        <is>
          <t>South</t>
        </is>
      </c>
      <c r="H3320" s="2" t="inlineStr">
        <is>
          <t>Telangana</t>
        </is>
      </c>
      <c r="I3320" s="2" t="inlineStr">
        <is>
          <t>Hyderabad</t>
        </is>
      </c>
      <c r="J3320" s="2" t="inlineStr">
        <is>
          <t>Online</t>
        </is>
      </c>
      <c r="K3320" s="2" t="n">
        <v>2</v>
      </c>
      <c r="L3320" s="3" t="n">
        <v>1423.68</v>
      </c>
      <c r="M3320" s="4" t="n">
        <v>0</v>
      </c>
      <c r="N3320" s="3" t="n">
        <v>1635.42</v>
      </c>
      <c r="O3320" s="3">
        <f>K3320*L3320*(1-M3320)</f>
        <v/>
      </c>
      <c r="P3320" s="3">
        <f>O3320-N3320</f>
        <v/>
      </c>
      <c r="Q3320" s="5">
        <f>IFERROR(P3320/O3320,0)</f>
        <v/>
      </c>
      <c r="R3320" s="2">
        <f>TEXT(DATEVALUE(B3320),"mmm")</f>
        <v/>
      </c>
      <c r="S3320" s="2">
        <f>TEXT(DATEVALUE(B3320),"yyyy-mm")</f>
        <v/>
      </c>
    </row>
    <row r="3321">
      <c r="A3321" s="2" t="inlineStr">
        <is>
          <t>O004491</t>
        </is>
      </c>
      <c r="B3321" s="2" t="inlineStr">
        <is>
          <t>2025-08-30</t>
        </is>
      </c>
      <c r="C3321" s="2" t="inlineStr">
        <is>
          <t>C0593</t>
        </is>
      </c>
      <c r="D3321" s="2" t="inlineStr">
        <is>
          <t>P0012</t>
        </is>
      </c>
      <c r="E3321" s="2" t="inlineStr">
        <is>
          <t>Water Bottle</t>
        </is>
      </c>
      <c r="F3321" s="2" t="inlineStr">
        <is>
          <t>Home &amp; Kitchen</t>
        </is>
      </c>
      <c r="G3321" s="2" t="inlineStr">
        <is>
          <t>East</t>
        </is>
      </c>
      <c r="H3321" s="2" t="inlineStr">
        <is>
          <t>Bihar</t>
        </is>
      </c>
      <c r="I3321" s="2" t="inlineStr">
        <is>
          <t>Patna</t>
        </is>
      </c>
      <c r="J3321" s="2" t="inlineStr">
        <is>
          <t>Online</t>
        </is>
      </c>
      <c r="K3321" s="2" t="n">
        <v>2</v>
      </c>
      <c r="L3321" s="3" t="n">
        <v>993.99</v>
      </c>
      <c r="M3321" s="4" t="n">
        <v>0.05</v>
      </c>
      <c r="N3321" s="3" t="n">
        <v>1232.86</v>
      </c>
      <c r="O3321" s="3">
        <f>K3321*L3321*(1-M3321)</f>
        <v/>
      </c>
      <c r="P3321" s="3">
        <f>O3321-N3321</f>
        <v/>
      </c>
      <c r="Q3321" s="5">
        <f>IFERROR(P3321/O3321,0)</f>
        <v/>
      </c>
      <c r="R3321" s="2">
        <f>TEXT(DATEVALUE(B3321),"mmm")</f>
        <v/>
      </c>
      <c r="S3321" s="2">
        <f>TEXT(DATEVALUE(B3321),"yyyy-mm")</f>
        <v/>
      </c>
    </row>
    <row r="3322">
      <c r="A3322" s="2" t="inlineStr">
        <is>
          <t>O004086</t>
        </is>
      </c>
      <c r="B3322" s="2" t="inlineStr">
        <is>
          <t>2025-08-30</t>
        </is>
      </c>
      <c r="C3322" s="2" t="inlineStr">
        <is>
          <t>C0642</t>
        </is>
      </c>
      <c r="D3322" s="2" t="inlineStr">
        <is>
          <t>P0006</t>
        </is>
      </c>
      <c r="E3322" s="2" t="inlineStr">
        <is>
          <t>Mechanical Keyboard</t>
        </is>
      </c>
      <c r="F3322" s="2" t="inlineStr">
        <is>
          <t>Electronics</t>
        </is>
      </c>
      <c r="G3322" s="2" t="inlineStr">
        <is>
          <t>West</t>
        </is>
      </c>
      <c r="H3322" s="2" t="inlineStr">
        <is>
          <t>Goa</t>
        </is>
      </c>
      <c r="I3322" s="2" t="inlineStr">
        <is>
          <t>Panaji</t>
        </is>
      </c>
      <c r="J3322" s="2" t="inlineStr">
        <is>
          <t>Online</t>
        </is>
      </c>
      <c r="K3322" s="2" t="n">
        <v>3</v>
      </c>
      <c r="L3322" s="3" t="n">
        <v>2757.24</v>
      </c>
      <c r="M3322" s="4" t="n">
        <v>0</v>
      </c>
      <c r="N3322" s="3" t="n">
        <v>4580.05</v>
      </c>
      <c r="O3322" s="3">
        <f>K3322*L3322*(1-M3322)</f>
        <v/>
      </c>
      <c r="P3322" s="3">
        <f>O3322-N3322</f>
        <v/>
      </c>
      <c r="Q3322" s="5">
        <f>IFERROR(P3322/O3322,0)</f>
        <v/>
      </c>
      <c r="R3322" s="2">
        <f>TEXT(DATEVALUE(B3322),"mmm")</f>
        <v/>
      </c>
      <c r="S3322" s="2">
        <f>TEXT(DATEVALUE(B3322),"yyyy-mm")</f>
        <v/>
      </c>
    </row>
    <row r="3323">
      <c r="A3323" s="2" t="inlineStr">
        <is>
          <t>O003990</t>
        </is>
      </c>
      <c r="B3323" s="2" t="inlineStr">
        <is>
          <t>2025-08-30</t>
        </is>
      </c>
      <c r="C3323" s="2" t="inlineStr">
        <is>
          <t>C0775</t>
        </is>
      </c>
      <c r="D3323" s="2" t="inlineStr">
        <is>
          <t>P0003</t>
        </is>
      </c>
      <c r="E3323" s="2" t="inlineStr">
        <is>
          <t>Smartwatch</t>
        </is>
      </c>
      <c r="F3323" s="2" t="inlineStr">
        <is>
          <t>Electronics</t>
        </is>
      </c>
      <c r="G3323" s="2" t="inlineStr">
        <is>
          <t>West</t>
        </is>
      </c>
      <c r="H3323" s="2" t="inlineStr">
        <is>
          <t>Goa</t>
        </is>
      </c>
      <c r="I3323" s="2" t="inlineStr">
        <is>
          <t>Margao</t>
        </is>
      </c>
      <c r="J3323" s="2" t="inlineStr">
        <is>
          <t>Store</t>
        </is>
      </c>
      <c r="K3323" s="2" t="n">
        <v>2</v>
      </c>
      <c r="L3323" s="3" t="n">
        <v>2218.62</v>
      </c>
      <c r="M3323" s="4" t="n">
        <v>0.1</v>
      </c>
      <c r="N3323" s="3" t="n">
        <v>2393.02</v>
      </c>
      <c r="O3323" s="3">
        <f>K3323*L3323*(1-M3323)</f>
        <v/>
      </c>
      <c r="P3323" s="3">
        <f>O3323-N3323</f>
        <v/>
      </c>
      <c r="Q3323" s="5">
        <f>IFERROR(P3323/O3323,0)</f>
        <v/>
      </c>
      <c r="R3323" s="2">
        <f>TEXT(DATEVALUE(B3323),"mmm")</f>
        <v/>
      </c>
      <c r="S3323" s="2">
        <f>TEXT(DATEVALUE(B3323),"yyyy-mm")</f>
        <v/>
      </c>
    </row>
    <row r="3324">
      <c r="A3324" s="2" t="inlineStr">
        <is>
          <t>O003905</t>
        </is>
      </c>
      <c r="B3324" s="2" t="inlineStr">
        <is>
          <t>2025-08-30</t>
        </is>
      </c>
      <c r="C3324" s="2" t="inlineStr">
        <is>
          <t>C0616</t>
        </is>
      </c>
      <c r="D3324" s="2" t="inlineStr">
        <is>
          <t>P0032</t>
        </is>
      </c>
      <c r="E3324" s="2" t="inlineStr">
        <is>
          <t>Football</t>
        </is>
      </c>
      <c r="F3324" s="2" t="inlineStr">
        <is>
          <t>Sports</t>
        </is>
      </c>
      <c r="G3324" s="2" t="inlineStr">
        <is>
          <t>North</t>
        </is>
      </c>
      <c r="H3324" s="2" t="inlineStr">
        <is>
          <t>Punjab</t>
        </is>
      </c>
      <c r="I3324" s="2" t="inlineStr">
        <is>
          <t>Jalandhar</t>
        </is>
      </c>
      <c r="J3324" s="2" t="inlineStr">
        <is>
          <t>Online</t>
        </is>
      </c>
      <c r="K3324" s="2" t="n">
        <v>2</v>
      </c>
      <c r="L3324" s="3" t="n">
        <v>806.51</v>
      </c>
      <c r="M3324" s="4" t="n">
        <v>0.1</v>
      </c>
      <c r="N3324" s="3" t="n">
        <v>1052.86</v>
      </c>
      <c r="O3324" s="3">
        <f>K3324*L3324*(1-M3324)</f>
        <v/>
      </c>
      <c r="P3324" s="3">
        <f>O3324-N3324</f>
        <v/>
      </c>
      <c r="Q3324" s="5">
        <f>IFERROR(P3324/O3324,0)</f>
        <v/>
      </c>
      <c r="R3324" s="2">
        <f>TEXT(DATEVALUE(B3324),"mmm")</f>
        <v/>
      </c>
      <c r="S3324" s="2">
        <f>TEXT(DATEVALUE(B3324),"yyyy-mm")</f>
        <v/>
      </c>
    </row>
    <row r="3325">
      <c r="A3325" s="2" t="inlineStr">
        <is>
          <t>O002526</t>
        </is>
      </c>
      <c r="B3325" s="2" t="inlineStr">
        <is>
          <t>2025-08-30</t>
        </is>
      </c>
      <c r="C3325" s="2" t="inlineStr">
        <is>
          <t>C0442</t>
        </is>
      </c>
      <c r="D3325" s="2" t="inlineStr">
        <is>
          <t>P0021</t>
        </is>
      </c>
      <c r="E3325" s="2" t="inlineStr">
        <is>
          <t>Wallet</t>
        </is>
      </c>
      <c r="F3325" s="2" t="inlineStr">
        <is>
          <t>Fashion</t>
        </is>
      </c>
      <c r="G3325" s="2" t="inlineStr">
        <is>
          <t>South</t>
        </is>
      </c>
      <c r="H3325" s="2" t="inlineStr">
        <is>
          <t>Tamil Nadu</t>
        </is>
      </c>
      <c r="I3325" s="2" t="inlineStr">
        <is>
          <t>Coimbatore</t>
        </is>
      </c>
      <c r="J3325" s="2" t="inlineStr">
        <is>
          <t>Store</t>
        </is>
      </c>
      <c r="K3325" s="2" t="n">
        <v>1</v>
      </c>
      <c r="L3325" s="3" t="n">
        <v>2088.37</v>
      </c>
      <c r="M3325" s="4" t="n">
        <v>0.1</v>
      </c>
      <c r="N3325" s="3" t="n">
        <v>1185.97</v>
      </c>
      <c r="O3325" s="3">
        <f>K3325*L3325*(1-M3325)</f>
        <v/>
      </c>
      <c r="P3325" s="3">
        <f>O3325-N3325</f>
        <v/>
      </c>
      <c r="Q3325" s="5">
        <f>IFERROR(P3325/O3325,0)</f>
        <v/>
      </c>
      <c r="R3325" s="2">
        <f>TEXT(DATEVALUE(B3325),"mmm")</f>
        <v/>
      </c>
      <c r="S3325" s="2">
        <f>TEXT(DATEVALUE(B3325),"yyyy-mm")</f>
        <v/>
      </c>
    </row>
    <row r="3326">
      <c r="A3326" s="2" t="inlineStr">
        <is>
          <t>O001696</t>
        </is>
      </c>
      <c r="B3326" s="2" t="inlineStr">
        <is>
          <t>2025-08-30</t>
        </is>
      </c>
      <c r="C3326" s="2" t="inlineStr">
        <is>
          <t>C0182</t>
        </is>
      </c>
      <c r="D3326" s="2" t="inlineStr">
        <is>
          <t>P0032</t>
        </is>
      </c>
      <c r="E3326" s="2" t="inlineStr">
        <is>
          <t>Football</t>
        </is>
      </c>
      <c r="F3326" s="2" t="inlineStr">
        <is>
          <t>Sports</t>
        </is>
      </c>
      <c r="G3326" s="2" t="inlineStr">
        <is>
          <t>North</t>
        </is>
      </c>
      <c r="H3326" s="2" t="inlineStr">
        <is>
          <t>Delhi</t>
        </is>
      </c>
      <c r="I3326" s="2" t="inlineStr">
        <is>
          <t>New Delhi</t>
        </is>
      </c>
      <c r="J3326" s="2" t="inlineStr">
        <is>
          <t>Online</t>
        </is>
      </c>
      <c r="K3326" s="2" t="n">
        <v>2</v>
      </c>
      <c r="L3326" s="3" t="n">
        <v>840.37</v>
      </c>
      <c r="M3326" s="4" t="n">
        <v>0.05</v>
      </c>
      <c r="N3326" s="3" t="n">
        <v>1069.34</v>
      </c>
      <c r="O3326" s="3">
        <f>K3326*L3326*(1-M3326)</f>
        <v/>
      </c>
      <c r="P3326" s="3">
        <f>O3326-N3326</f>
        <v/>
      </c>
      <c r="Q3326" s="5">
        <f>IFERROR(P3326/O3326,0)</f>
        <v/>
      </c>
      <c r="R3326" s="2">
        <f>TEXT(DATEVALUE(B3326),"mmm")</f>
        <v/>
      </c>
      <c r="S3326" s="2">
        <f>TEXT(DATEVALUE(B3326),"yyyy-mm")</f>
        <v/>
      </c>
    </row>
    <row r="3327">
      <c r="A3327" s="2" t="inlineStr">
        <is>
          <t>O002228</t>
        </is>
      </c>
      <c r="B3327" s="2" t="inlineStr">
        <is>
          <t>2025-08-30</t>
        </is>
      </c>
      <c r="C3327" s="2" t="inlineStr">
        <is>
          <t>C0053</t>
        </is>
      </c>
      <c r="D3327" s="2" t="inlineStr">
        <is>
          <t>P0027</t>
        </is>
      </c>
      <c r="E3327" s="2" t="inlineStr">
        <is>
          <t>Moisturizer</t>
        </is>
      </c>
      <c r="F3327" s="2" t="inlineStr">
        <is>
          <t>Beauty</t>
        </is>
      </c>
      <c r="G3327" s="2" t="inlineStr">
        <is>
          <t>West</t>
        </is>
      </c>
      <c r="H3327" s="2" t="inlineStr">
        <is>
          <t>Gujarat</t>
        </is>
      </c>
      <c r="I3327" s="2" t="inlineStr">
        <is>
          <t>Surat</t>
        </is>
      </c>
      <c r="J3327" s="2" t="inlineStr">
        <is>
          <t>Online</t>
        </is>
      </c>
      <c r="K3327" s="2" t="n">
        <v>1</v>
      </c>
      <c r="L3327" s="3" t="n">
        <v>963.86</v>
      </c>
      <c r="M3327" s="4" t="n">
        <v>0.05</v>
      </c>
      <c r="N3327" s="3" t="n">
        <v>683.62</v>
      </c>
      <c r="O3327" s="3">
        <f>K3327*L3327*(1-M3327)</f>
        <v/>
      </c>
      <c r="P3327" s="3">
        <f>O3327-N3327</f>
        <v/>
      </c>
      <c r="Q3327" s="5">
        <f>IFERROR(P3327/O3327,0)</f>
        <v/>
      </c>
      <c r="R3327" s="2">
        <f>TEXT(DATEVALUE(B3327),"mmm")</f>
        <v/>
      </c>
      <c r="S3327" s="2">
        <f>TEXT(DATEVALUE(B3327),"yyyy-mm")</f>
        <v/>
      </c>
    </row>
    <row r="3328">
      <c r="A3328" s="2" t="inlineStr">
        <is>
          <t>O002024</t>
        </is>
      </c>
      <c r="B3328" s="2" t="inlineStr">
        <is>
          <t>2025-08-30</t>
        </is>
      </c>
      <c r="C3328" s="2" t="inlineStr">
        <is>
          <t>C0480</t>
        </is>
      </c>
      <c r="D3328" s="2" t="inlineStr">
        <is>
          <t>P0023</t>
        </is>
      </c>
      <c r="E3328" s="2" t="inlineStr">
        <is>
          <t>Skin Care Kit</t>
        </is>
      </c>
      <c r="F3328" s="2" t="inlineStr">
        <is>
          <t>Beauty</t>
        </is>
      </c>
      <c r="G3328" s="2" t="inlineStr">
        <is>
          <t>West</t>
        </is>
      </c>
      <c r="H3328" s="2" t="inlineStr">
        <is>
          <t>Goa</t>
        </is>
      </c>
      <c r="I3328" s="2" t="inlineStr">
        <is>
          <t>Margao</t>
        </is>
      </c>
      <c r="J3328" s="2" t="inlineStr">
        <is>
          <t>Online</t>
        </is>
      </c>
      <c r="K3328" s="2" t="n">
        <v>1</v>
      </c>
      <c r="L3328" s="3" t="n">
        <v>1375.18</v>
      </c>
      <c r="M3328" s="4" t="n">
        <v>0.05</v>
      </c>
      <c r="N3328" s="3" t="n">
        <v>871.63</v>
      </c>
      <c r="O3328" s="3">
        <f>K3328*L3328*(1-M3328)</f>
        <v/>
      </c>
      <c r="P3328" s="3">
        <f>O3328-N3328</f>
        <v/>
      </c>
      <c r="Q3328" s="5">
        <f>IFERROR(P3328/O3328,0)</f>
        <v/>
      </c>
      <c r="R3328" s="2">
        <f>TEXT(DATEVALUE(B3328),"mmm")</f>
        <v/>
      </c>
      <c r="S3328" s="2">
        <f>TEXT(DATEVALUE(B3328),"yyyy-mm")</f>
        <v/>
      </c>
    </row>
    <row r="3329">
      <c r="A3329" s="2" t="inlineStr">
        <is>
          <t>O001822</t>
        </is>
      </c>
      <c r="B3329" s="2" t="inlineStr">
        <is>
          <t>2025-08-30</t>
        </is>
      </c>
      <c r="C3329" s="2" t="inlineStr">
        <is>
          <t>C0578</t>
        </is>
      </c>
      <c r="D3329" s="2" t="inlineStr">
        <is>
          <t>P0028</t>
        </is>
      </c>
      <c r="E3329" s="2" t="inlineStr">
        <is>
          <t>Trimmer</t>
        </is>
      </c>
      <c r="F3329" s="2" t="inlineStr">
        <is>
          <t>Beauty</t>
        </is>
      </c>
      <c r="G3329" s="2" t="inlineStr">
        <is>
          <t>North</t>
        </is>
      </c>
      <c r="H3329" s="2" t="inlineStr">
        <is>
          <t>Punjab</t>
        </is>
      </c>
      <c r="I3329" s="2" t="inlineStr">
        <is>
          <t>Ludhiana</t>
        </is>
      </c>
      <c r="J3329" s="2" t="inlineStr">
        <is>
          <t>Store</t>
        </is>
      </c>
      <c r="K3329" s="2" t="n">
        <v>1</v>
      </c>
      <c r="L3329" s="3" t="n">
        <v>439.78</v>
      </c>
      <c r="M3329" s="4" t="n">
        <v>0.1</v>
      </c>
      <c r="N3329" s="3" t="n">
        <v>242.73</v>
      </c>
      <c r="O3329" s="3">
        <f>K3329*L3329*(1-M3329)</f>
        <v/>
      </c>
      <c r="P3329" s="3">
        <f>O3329-N3329</f>
        <v/>
      </c>
      <c r="Q3329" s="5">
        <f>IFERROR(P3329/O3329,0)</f>
        <v/>
      </c>
      <c r="R3329" s="2">
        <f>TEXT(DATEVALUE(B3329),"mmm")</f>
        <v/>
      </c>
      <c r="S3329" s="2">
        <f>TEXT(DATEVALUE(B3329),"yyyy-mm")</f>
        <v/>
      </c>
    </row>
    <row r="3330">
      <c r="A3330" s="2" t="inlineStr">
        <is>
          <t>O000718</t>
        </is>
      </c>
      <c r="B3330" s="2" t="inlineStr">
        <is>
          <t>2025-08-30</t>
        </is>
      </c>
      <c r="C3330" s="2" t="inlineStr">
        <is>
          <t>C0659</t>
        </is>
      </c>
      <c r="D3330" s="2" t="inlineStr">
        <is>
          <t>P0016</t>
        </is>
      </c>
      <c r="E3330" s="2" t="inlineStr">
        <is>
          <t>Casual Shirt</t>
        </is>
      </c>
      <c r="F3330" s="2" t="inlineStr">
        <is>
          <t>Fashion</t>
        </is>
      </c>
      <c r="G3330" s="2" t="inlineStr">
        <is>
          <t>West</t>
        </is>
      </c>
      <c r="H3330" s="2" t="inlineStr">
        <is>
          <t>Goa</t>
        </is>
      </c>
      <c r="I3330" s="2" t="inlineStr">
        <is>
          <t>Margao</t>
        </is>
      </c>
      <c r="J3330" s="2" t="inlineStr">
        <is>
          <t>Online</t>
        </is>
      </c>
      <c r="K3330" s="2" t="n">
        <v>2</v>
      </c>
      <c r="L3330" s="3" t="n">
        <v>1321</v>
      </c>
      <c r="M3330" s="4" t="n">
        <v>0.05</v>
      </c>
      <c r="N3330" s="3" t="n">
        <v>1829.28</v>
      </c>
      <c r="O3330" s="3">
        <f>K3330*L3330*(1-M3330)</f>
        <v/>
      </c>
      <c r="P3330" s="3">
        <f>O3330-N3330</f>
        <v/>
      </c>
      <c r="Q3330" s="5">
        <f>IFERROR(P3330/O3330,0)</f>
        <v/>
      </c>
      <c r="R3330" s="2">
        <f>TEXT(DATEVALUE(B3330),"mmm")</f>
        <v/>
      </c>
      <c r="S3330" s="2">
        <f>TEXT(DATEVALUE(B3330),"yyyy-mm")</f>
        <v/>
      </c>
    </row>
    <row r="3331">
      <c r="A3331" s="2" t="inlineStr">
        <is>
          <t>O000642</t>
        </is>
      </c>
      <c r="B3331" s="2" t="inlineStr">
        <is>
          <t>2025-08-30</t>
        </is>
      </c>
      <c r="C3331" s="2" t="inlineStr">
        <is>
          <t>C0599</t>
        </is>
      </c>
      <c r="D3331" s="2" t="inlineStr">
        <is>
          <t>P0018</t>
        </is>
      </c>
      <c r="E3331" s="2" t="inlineStr">
        <is>
          <t>Backpack</t>
        </is>
      </c>
      <c r="F3331" s="2" t="inlineStr">
        <is>
          <t>Fashion</t>
        </is>
      </c>
      <c r="G3331" s="2" t="inlineStr">
        <is>
          <t>South</t>
        </is>
      </c>
      <c r="H3331" s="2" t="inlineStr">
        <is>
          <t>Kerala</t>
        </is>
      </c>
      <c r="I3331" s="2" t="inlineStr">
        <is>
          <t>Kochi</t>
        </is>
      </c>
      <c r="J3331" s="2" t="inlineStr">
        <is>
          <t>Store</t>
        </is>
      </c>
      <c r="K3331" s="2" t="n">
        <v>2</v>
      </c>
      <c r="L3331" s="3" t="n">
        <v>1808.46</v>
      </c>
      <c r="M3331" s="4" t="n">
        <v>0.05</v>
      </c>
      <c r="N3331" s="3" t="n">
        <v>2620.51</v>
      </c>
      <c r="O3331" s="3">
        <f>K3331*L3331*(1-M3331)</f>
        <v/>
      </c>
      <c r="P3331" s="3">
        <f>O3331-N3331</f>
        <v/>
      </c>
      <c r="Q3331" s="5">
        <f>IFERROR(P3331/O3331,0)</f>
        <v/>
      </c>
      <c r="R3331" s="2">
        <f>TEXT(DATEVALUE(B3331),"mmm")</f>
        <v/>
      </c>
      <c r="S3331" s="2">
        <f>TEXT(DATEVALUE(B3331),"yyyy-mm")</f>
        <v/>
      </c>
    </row>
    <row r="3332">
      <c r="A3332" s="2" t="inlineStr">
        <is>
          <t>O000523</t>
        </is>
      </c>
      <c r="B3332" s="2" t="inlineStr">
        <is>
          <t>2025-08-30</t>
        </is>
      </c>
      <c r="C3332" s="2" t="inlineStr">
        <is>
          <t>C0377</t>
        </is>
      </c>
      <c r="D3332" s="2" t="inlineStr">
        <is>
          <t>P0011</t>
        </is>
      </c>
      <c r="E3332" s="2" t="inlineStr">
        <is>
          <t>Cookware Set</t>
        </is>
      </c>
      <c r="F3332" s="2" t="inlineStr">
        <is>
          <t>Home &amp; Kitchen</t>
        </is>
      </c>
      <c r="G3332" s="2" t="inlineStr">
        <is>
          <t>West</t>
        </is>
      </c>
      <c r="H3332" s="2" t="inlineStr">
        <is>
          <t>Maharashtra</t>
        </is>
      </c>
      <c r="I3332" s="2" t="inlineStr">
        <is>
          <t>Nashik</t>
        </is>
      </c>
      <c r="J3332" s="2" t="inlineStr">
        <is>
          <t>Store</t>
        </is>
      </c>
      <c r="K3332" s="2" t="n">
        <v>2</v>
      </c>
      <c r="L3332" s="3" t="n">
        <v>686.51</v>
      </c>
      <c r="M3332" s="4" t="n">
        <v>0.1</v>
      </c>
      <c r="N3332" s="3" t="n">
        <v>973.9400000000001</v>
      </c>
      <c r="O3332" s="3">
        <f>K3332*L3332*(1-M3332)</f>
        <v/>
      </c>
      <c r="P3332" s="3">
        <f>O3332-N3332</f>
        <v/>
      </c>
      <c r="Q3332" s="5">
        <f>IFERROR(P3332/O3332,0)</f>
        <v/>
      </c>
      <c r="R3332" s="2">
        <f>TEXT(DATEVALUE(B3332),"mmm")</f>
        <v/>
      </c>
      <c r="S3332" s="2">
        <f>TEXT(DATEVALUE(B3332),"yyyy-mm")</f>
        <v/>
      </c>
    </row>
    <row r="3333">
      <c r="A3333" s="2" t="inlineStr">
        <is>
          <t>O000052</t>
        </is>
      </c>
      <c r="B3333" s="2" t="inlineStr">
        <is>
          <t>2025-08-30</t>
        </is>
      </c>
      <c r="C3333" s="2" t="inlineStr">
        <is>
          <t>C0114</t>
        </is>
      </c>
      <c r="D3333" s="2" t="inlineStr">
        <is>
          <t>P0022</t>
        </is>
      </c>
      <c r="E3333" s="2" t="inlineStr">
        <is>
          <t>Face Wash</t>
        </is>
      </c>
      <c r="F3333" s="2" t="inlineStr">
        <is>
          <t>Beauty</t>
        </is>
      </c>
      <c r="G3333" s="2" t="inlineStr">
        <is>
          <t>South</t>
        </is>
      </c>
      <c r="H3333" s="2" t="inlineStr">
        <is>
          <t>Tamil Nadu</t>
        </is>
      </c>
      <c r="I3333" s="2" t="inlineStr">
        <is>
          <t>Chennai</t>
        </is>
      </c>
      <c r="J3333" s="2" t="inlineStr">
        <is>
          <t>Online</t>
        </is>
      </c>
      <c r="K3333" s="2" t="n">
        <v>2</v>
      </c>
      <c r="L3333" s="3" t="n">
        <v>538.99</v>
      </c>
      <c r="M3333" s="4" t="n">
        <v>0</v>
      </c>
      <c r="N3333" s="3" t="n">
        <v>721.49</v>
      </c>
      <c r="O3333" s="3">
        <f>K3333*L3333*(1-M3333)</f>
        <v/>
      </c>
      <c r="P3333" s="3">
        <f>O3333-N3333</f>
        <v/>
      </c>
      <c r="Q3333" s="5">
        <f>IFERROR(P3333/O3333,0)</f>
        <v/>
      </c>
      <c r="R3333" s="2">
        <f>TEXT(DATEVALUE(B3333),"mmm")</f>
        <v/>
      </c>
      <c r="S3333" s="2">
        <f>TEXT(DATEVALUE(B3333),"yyyy-mm")</f>
        <v/>
      </c>
    </row>
    <row r="3334">
      <c r="A3334" s="2" t="inlineStr">
        <is>
          <t>O002487</t>
        </is>
      </c>
      <c r="B3334" s="2" t="inlineStr">
        <is>
          <t>2025-08-30</t>
        </is>
      </c>
      <c r="C3334" s="2" t="inlineStr">
        <is>
          <t>C0553</t>
        </is>
      </c>
      <c r="D3334" s="2" t="inlineStr">
        <is>
          <t>P0017</t>
        </is>
      </c>
      <c r="E3334" s="2" t="inlineStr">
        <is>
          <t>Jeans</t>
        </is>
      </c>
      <c r="F3334" s="2" t="inlineStr">
        <is>
          <t>Fashion</t>
        </is>
      </c>
      <c r="G3334" s="2" t="inlineStr">
        <is>
          <t>West</t>
        </is>
      </c>
      <c r="H3334" s="2" t="inlineStr">
        <is>
          <t>Goa</t>
        </is>
      </c>
      <c r="I3334" s="2" t="inlineStr">
        <is>
          <t>Panaji</t>
        </is>
      </c>
      <c r="J3334" s="2" t="inlineStr">
        <is>
          <t>Online</t>
        </is>
      </c>
      <c r="K3334" s="2" t="n">
        <v>1</v>
      </c>
      <c r="L3334" s="3" t="n">
        <v>1553.55</v>
      </c>
      <c r="M3334" s="4" t="n">
        <v>0.15</v>
      </c>
      <c r="N3334" s="3" t="n">
        <v>1035.65</v>
      </c>
      <c r="O3334" s="3">
        <f>K3334*L3334*(1-M3334)</f>
        <v/>
      </c>
      <c r="P3334" s="3">
        <f>O3334-N3334</f>
        <v/>
      </c>
      <c r="Q3334" s="5">
        <f>IFERROR(P3334/O3334,0)</f>
        <v/>
      </c>
      <c r="R3334" s="2">
        <f>TEXT(DATEVALUE(B3334),"mmm")</f>
        <v/>
      </c>
      <c r="S3334" s="2">
        <f>TEXT(DATEVALUE(B3334),"yyyy-mm")</f>
        <v/>
      </c>
    </row>
    <row r="3335">
      <c r="A3335" s="2" t="inlineStr">
        <is>
          <t>O003311</t>
        </is>
      </c>
      <c r="B3335" s="2" t="inlineStr">
        <is>
          <t>2025-08-31</t>
        </is>
      </c>
      <c r="C3335" s="2" t="inlineStr">
        <is>
          <t>C0263</t>
        </is>
      </c>
      <c r="D3335" s="2" t="inlineStr">
        <is>
          <t>P0017</t>
        </is>
      </c>
      <c r="E3335" s="2" t="inlineStr">
        <is>
          <t>Jeans</t>
        </is>
      </c>
      <c r="F3335" s="2" t="inlineStr">
        <is>
          <t>Fashion</t>
        </is>
      </c>
      <c r="G3335" s="2" t="inlineStr">
        <is>
          <t>South</t>
        </is>
      </c>
      <c r="H3335" s="2" t="inlineStr">
        <is>
          <t>Kerala</t>
        </is>
      </c>
      <c r="I3335" s="2" t="inlineStr">
        <is>
          <t>Kochi</t>
        </is>
      </c>
      <c r="J3335" s="2" t="inlineStr">
        <is>
          <t>Online</t>
        </is>
      </c>
      <c r="K3335" s="2" t="n">
        <v>1</v>
      </c>
      <c r="L3335" s="3" t="n">
        <v>1474.86</v>
      </c>
      <c r="M3335" s="4" t="n">
        <v>0.05</v>
      </c>
      <c r="N3335" s="3" t="n">
        <v>1051.99</v>
      </c>
      <c r="O3335" s="3">
        <f>K3335*L3335*(1-M3335)</f>
        <v/>
      </c>
      <c r="P3335" s="3">
        <f>O3335-N3335</f>
        <v/>
      </c>
      <c r="Q3335" s="5">
        <f>IFERROR(P3335/O3335,0)</f>
        <v/>
      </c>
      <c r="R3335" s="2">
        <f>TEXT(DATEVALUE(B3335),"mmm")</f>
        <v/>
      </c>
      <c r="S3335" s="2">
        <f>TEXT(DATEVALUE(B3335),"yyyy-mm")</f>
        <v/>
      </c>
    </row>
    <row r="3336">
      <c r="A3336" s="2" t="inlineStr">
        <is>
          <t>O002929</t>
        </is>
      </c>
      <c r="B3336" s="2" t="inlineStr">
        <is>
          <t>2025-08-31</t>
        </is>
      </c>
      <c r="C3336" s="2" t="inlineStr">
        <is>
          <t>C0370</t>
        </is>
      </c>
      <c r="D3336" s="2" t="inlineStr">
        <is>
          <t>P0004</t>
        </is>
      </c>
      <c r="E3336" s="2" t="inlineStr">
        <is>
          <t>USB-C Hub</t>
        </is>
      </c>
      <c r="F3336" s="2" t="inlineStr">
        <is>
          <t>Electronics</t>
        </is>
      </c>
      <c r="G3336" s="2" t="inlineStr">
        <is>
          <t>South</t>
        </is>
      </c>
      <c r="H3336" s="2" t="inlineStr">
        <is>
          <t>Kerala</t>
        </is>
      </c>
      <c r="I3336" s="2" t="inlineStr">
        <is>
          <t>Thiruvananthapuram</t>
        </is>
      </c>
      <c r="J3336" s="2" t="inlineStr">
        <is>
          <t>Online</t>
        </is>
      </c>
      <c r="K3336" s="2" t="n">
        <v>2</v>
      </c>
      <c r="L3336" s="3" t="n">
        <v>1247.62</v>
      </c>
      <c r="M3336" s="4" t="n">
        <v>0.05</v>
      </c>
      <c r="N3336" s="3" t="n">
        <v>1851.37</v>
      </c>
      <c r="O3336" s="3">
        <f>K3336*L3336*(1-M3336)</f>
        <v/>
      </c>
      <c r="P3336" s="3">
        <f>O3336-N3336</f>
        <v/>
      </c>
      <c r="Q3336" s="5">
        <f>IFERROR(P3336/O3336,0)</f>
        <v/>
      </c>
      <c r="R3336" s="2">
        <f>TEXT(DATEVALUE(B3336),"mmm")</f>
        <v/>
      </c>
      <c r="S3336" s="2">
        <f>TEXT(DATEVALUE(B3336),"yyyy-mm")</f>
        <v/>
      </c>
    </row>
    <row r="3337">
      <c r="A3337" s="2" t="inlineStr">
        <is>
          <t>O002702</t>
        </is>
      </c>
      <c r="B3337" s="2" t="inlineStr">
        <is>
          <t>2025-08-31</t>
        </is>
      </c>
      <c r="C3337" s="2" t="inlineStr">
        <is>
          <t>C0608</t>
        </is>
      </c>
      <c r="D3337" s="2" t="inlineStr">
        <is>
          <t>P0034</t>
        </is>
      </c>
      <c r="E3337" s="2" t="inlineStr">
        <is>
          <t>Gym Gloves</t>
        </is>
      </c>
      <c r="F3337" s="2" t="inlineStr">
        <is>
          <t>Sports</t>
        </is>
      </c>
      <c r="G3337" s="2" t="inlineStr">
        <is>
          <t>West</t>
        </is>
      </c>
      <c r="H3337" s="2" t="inlineStr">
        <is>
          <t>Maharashtra</t>
        </is>
      </c>
      <c r="I3337" s="2" t="inlineStr">
        <is>
          <t>Nagpur</t>
        </is>
      </c>
      <c r="J3337" s="2" t="inlineStr">
        <is>
          <t>Online</t>
        </is>
      </c>
      <c r="K3337" s="2" t="n">
        <v>2</v>
      </c>
      <c r="L3337" s="3" t="n">
        <v>602.26</v>
      </c>
      <c r="M3337" s="4" t="n">
        <v>0.1</v>
      </c>
      <c r="N3337" s="3" t="n">
        <v>811.3</v>
      </c>
      <c r="O3337" s="3">
        <f>K3337*L3337*(1-M3337)</f>
        <v/>
      </c>
      <c r="P3337" s="3">
        <f>O3337-N3337</f>
        <v/>
      </c>
      <c r="Q3337" s="5">
        <f>IFERROR(P3337/O3337,0)</f>
        <v/>
      </c>
      <c r="R3337" s="2">
        <f>TEXT(DATEVALUE(B3337),"mmm")</f>
        <v/>
      </c>
      <c r="S3337" s="2">
        <f>TEXT(DATEVALUE(B3337),"yyyy-mm")</f>
        <v/>
      </c>
    </row>
    <row r="3338">
      <c r="A3338" s="2" t="inlineStr">
        <is>
          <t>O001900</t>
        </is>
      </c>
      <c r="B3338" s="2" t="inlineStr">
        <is>
          <t>2025-08-31</t>
        </is>
      </c>
      <c r="C3338" s="2" t="inlineStr">
        <is>
          <t>C0429</t>
        </is>
      </c>
      <c r="D3338" s="2" t="inlineStr">
        <is>
          <t>P0004</t>
        </is>
      </c>
      <c r="E3338" s="2" t="inlineStr">
        <is>
          <t>USB-C Hub</t>
        </is>
      </c>
      <c r="F3338" s="2" t="inlineStr">
        <is>
          <t>Electronics</t>
        </is>
      </c>
      <c r="G3338" s="2" t="inlineStr">
        <is>
          <t>North</t>
        </is>
      </c>
      <c r="H3338" s="2" t="inlineStr">
        <is>
          <t>Delhi</t>
        </is>
      </c>
      <c r="I3338" s="2" t="inlineStr">
        <is>
          <t>New Delhi</t>
        </is>
      </c>
      <c r="J3338" s="2" t="inlineStr">
        <is>
          <t>Store</t>
        </is>
      </c>
      <c r="K3338" s="2" t="n">
        <v>1</v>
      </c>
      <c r="L3338" s="3" t="n">
        <v>1317.53</v>
      </c>
      <c r="M3338" s="4" t="n">
        <v>0.05</v>
      </c>
      <c r="N3338" s="3" t="n">
        <v>917.96</v>
      </c>
      <c r="O3338" s="3">
        <f>K3338*L3338*(1-M3338)</f>
        <v/>
      </c>
      <c r="P3338" s="3">
        <f>O3338-N3338</f>
        <v/>
      </c>
      <c r="Q3338" s="5">
        <f>IFERROR(P3338/O3338,0)</f>
        <v/>
      </c>
      <c r="R3338" s="2">
        <f>TEXT(DATEVALUE(B3338),"mmm")</f>
        <v/>
      </c>
      <c r="S3338" s="2">
        <f>TEXT(DATEVALUE(B3338),"yyyy-mm")</f>
        <v/>
      </c>
    </row>
    <row r="3339">
      <c r="A3339" s="2" t="inlineStr">
        <is>
          <t>O001929</t>
        </is>
      </c>
      <c r="B3339" s="2" t="inlineStr">
        <is>
          <t>2025-08-31</t>
        </is>
      </c>
      <c r="C3339" s="2" t="inlineStr">
        <is>
          <t>C0182</t>
        </is>
      </c>
      <c r="D3339" s="2" t="inlineStr">
        <is>
          <t>P0021</t>
        </is>
      </c>
      <c r="E3339" s="2" t="inlineStr">
        <is>
          <t>Wallet</t>
        </is>
      </c>
      <c r="F3339" s="2" t="inlineStr">
        <is>
          <t>Fashion</t>
        </is>
      </c>
      <c r="G3339" s="2" t="inlineStr">
        <is>
          <t>East</t>
        </is>
      </c>
      <c r="H3339" s="2" t="inlineStr">
        <is>
          <t>Odisha</t>
        </is>
      </c>
      <c r="I3339" s="2" t="inlineStr">
        <is>
          <t>Cuttack</t>
        </is>
      </c>
      <c r="J3339" s="2" t="inlineStr">
        <is>
          <t>Online</t>
        </is>
      </c>
      <c r="K3339" s="2" t="n">
        <v>1</v>
      </c>
      <c r="L3339" s="3" t="n">
        <v>2034.59</v>
      </c>
      <c r="M3339" s="4" t="n">
        <v>0.05</v>
      </c>
      <c r="N3339" s="3" t="n">
        <v>1219.55</v>
      </c>
      <c r="O3339" s="3">
        <f>K3339*L3339*(1-M3339)</f>
        <v/>
      </c>
      <c r="P3339" s="3">
        <f>O3339-N3339</f>
        <v/>
      </c>
      <c r="Q3339" s="5">
        <f>IFERROR(P3339/O3339,0)</f>
        <v/>
      </c>
      <c r="R3339" s="2">
        <f>TEXT(DATEVALUE(B3339),"mmm")</f>
        <v/>
      </c>
      <c r="S3339" s="2">
        <f>TEXT(DATEVALUE(B3339),"yyyy-mm")</f>
        <v/>
      </c>
    </row>
    <row r="3340">
      <c r="A3340" s="2" t="inlineStr">
        <is>
          <t>O001553</t>
        </is>
      </c>
      <c r="B3340" s="2" t="inlineStr">
        <is>
          <t>2025-08-31</t>
        </is>
      </c>
      <c r="C3340" s="2" t="inlineStr">
        <is>
          <t>C0582</t>
        </is>
      </c>
      <c r="D3340" s="2" t="inlineStr">
        <is>
          <t>P0012</t>
        </is>
      </c>
      <c r="E3340" s="2" t="inlineStr">
        <is>
          <t>Water Bottle</t>
        </is>
      </c>
      <c r="F3340" s="2" t="inlineStr">
        <is>
          <t>Home &amp; Kitchen</t>
        </is>
      </c>
      <c r="G3340" s="2" t="inlineStr">
        <is>
          <t>West</t>
        </is>
      </c>
      <c r="H3340" s="2" t="inlineStr">
        <is>
          <t>Gujarat</t>
        </is>
      </c>
      <c r="I3340" s="2" t="inlineStr">
        <is>
          <t>Vadodara</t>
        </is>
      </c>
      <c r="J3340" s="2" t="inlineStr">
        <is>
          <t>Online</t>
        </is>
      </c>
      <c r="K3340" s="2" t="n">
        <v>3</v>
      </c>
      <c r="L3340" s="3" t="n">
        <v>942.25</v>
      </c>
      <c r="M3340" s="4" t="n">
        <v>0.15</v>
      </c>
      <c r="N3340" s="3" t="n">
        <v>1810.79</v>
      </c>
      <c r="O3340" s="3">
        <f>K3340*L3340*(1-M3340)</f>
        <v/>
      </c>
      <c r="P3340" s="3">
        <f>O3340-N3340</f>
        <v/>
      </c>
      <c r="Q3340" s="5">
        <f>IFERROR(P3340/O3340,0)</f>
        <v/>
      </c>
      <c r="R3340" s="2">
        <f>TEXT(DATEVALUE(B3340),"mmm")</f>
        <v/>
      </c>
      <c r="S3340" s="2">
        <f>TEXT(DATEVALUE(B3340),"yyyy-mm")</f>
        <v/>
      </c>
    </row>
    <row r="3341">
      <c r="A3341" s="2" t="inlineStr">
        <is>
          <t>O001116</t>
        </is>
      </c>
      <c r="B3341" s="2" t="inlineStr">
        <is>
          <t>2025-08-31</t>
        </is>
      </c>
      <c r="C3341" s="2" t="inlineStr">
        <is>
          <t>C0194</t>
        </is>
      </c>
      <c r="D3341" s="2" t="inlineStr">
        <is>
          <t>P0035</t>
        </is>
      </c>
      <c r="E3341" s="2" t="inlineStr">
        <is>
          <t>Skipping Rope</t>
        </is>
      </c>
      <c r="F3341" s="2" t="inlineStr">
        <is>
          <t>Sports</t>
        </is>
      </c>
      <c r="G3341" s="2" t="inlineStr">
        <is>
          <t>West</t>
        </is>
      </c>
      <c r="H3341" s="2" t="inlineStr">
        <is>
          <t>Maharashtra</t>
        </is>
      </c>
      <c r="I3341" s="2" t="inlineStr">
        <is>
          <t>Nagpur</t>
        </is>
      </c>
      <c r="J3341" s="2" t="inlineStr">
        <is>
          <t>Store</t>
        </is>
      </c>
      <c r="K3341" s="2" t="n">
        <v>3</v>
      </c>
      <c r="L3341" s="3" t="n">
        <v>722.92</v>
      </c>
      <c r="M3341" s="4" t="n">
        <v>0.05</v>
      </c>
      <c r="N3341" s="3" t="n">
        <v>1226.48</v>
      </c>
      <c r="O3341" s="3">
        <f>K3341*L3341*(1-M3341)</f>
        <v/>
      </c>
      <c r="P3341" s="3">
        <f>O3341-N3341</f>
        <v/>
      </c>
      <c r="Q3341" s="5">
        <f>IFERROR(P3341/O3341,0)</f>
        <v/>
      </c>
      <c r="R3341" s="2">
        <f>TEXT(DATEVALUE(B3341),"mmm")</f>
        <v/>
      </c>
      <c r="S3341" s="2">
        <f>TEXT(DATEVALUE(B3341),"yyyy-mm")</f>
        <v/>
      </c>
    </row>
    <row r="3342">
      <c r="A3342" s="2" t="inlineStr">
        <is>
          <t>O000959</t>
        </is>
      </c>
      <c r="B3342" s="2" t="inlineStr">
        <is>
          <t>2025-08-31</t>
        </is>
      </c>
      <c r="C3342" s="2" t="inlineStr">
        <is>
          <t>C0686</t>
        </is>
      </c>
      <c r="D3342" s="2" t="inlineStr">
        <is>
          <t>P0023</t>
        </is>
      </c>
      <c r="E3342" s="2" t="inlineStr">
        <is>
          <t>Skin Care Kit</t>
        </is>
      </c>
      <c r="F3342" s="2" t="inlineStr">
        <is>
          <t>Beauty</t>
        </is>
      </c>
      <c r="G3342" s="2" t="inlineStr">
        <is>
          <t>South</t>
        </is>
      </c>
      <c r="H3342" s="2" t="inlineStr">
        <is>
          <t>Telangana</t>
        </is>
      </c>
      <c r="I3342" s="2" t="inlineStr">
        <is>
          <t>Warangal</t>
        </is>
      </c>
      <c r="J3342" s="2" t="inlineStr">
        <is>
          <t>Online</t>
        </is>
      </c>
      <c r="K3342" s="2" t="n">
        <v>4</v>
      </c>
      <c r="L3342" s="3" t="n">
        <v>1386.43</v>
      </c>
      <c r="M3342" s="4" t="n">
        <v>0</v>
      </c>
      <c r="N3342" s="3" t="n">
        <v>3514.06</v>
      </c>
      <c r="O3342" s="3">
        <f>K3342*L3342*(1-M3342)</f>
        <v/>
      </c>
      <c r="P3342" s="3">
        <f>O3342-N3342</f>
        <v/>
      </c>
      <c r="Q3342" s="5">
        <f>IFERROR(P3342/O3342,0)</f>
        <v/>
      </c>
      <c r="R3342" s="2">
        <f>TEXT(DATEVALUE(B3342),"mmm")</f>
        <v/>
      </c>
      <c r="S3342" s="2">
        <f>TEXT(DATEVALUE(B3342),"yyyy-mm")</f>
        <v/>
      </c>
    </row>
    <row r="3343">
      <c r="A3343" s="2" t="inlineStr">
        <is>
          <t>O000156</t>
        </is>
      </c>
      <c r="B3343" s="2" t="inlineStr">
        <is>
          <t>2025-08-31</t>
        </is>
      </c>
      <c r="C3343" s="2" t="inlineStr">
        <is>
          <t>C0377</t>
        </is>
      </c>
      <c r="D3343" s="2" t="inlineStr">
        <is>
          <t>P0031</t>
        </is>
      </c>
      <c r="E3343" s="2" t="inlineStr">
        <is>
          <t>Cricket Bat</t>
        </is>
      </c>
      <c r="F3343" s="2" t="inlineStr">
        <is>
          <t>Sports</t>
        </is>
      </c>
      <c r="G3343" s="2" t="inlineStr">
        <is>
          <t>West</t>
        </is>
      </c>
      <c r="H3343" s="2" t="inlineStr">
        <is>
          <t>Maharashtra</t>
        </is>
      </c>
      <c r="I3343" s="2" t="inlineStr">
        <is>
          <t>Thane</t>
        </is>
      </c>
      <c r="J3343" s="2" t="inlineStr">
        <is>
          <t>Online</t>
        </is>
      </c>
      <c r="K3343" s="2" t="n">
        <v>1</v>
      </c>
      <c r="L3343" s="3" t="n">
        <v>1370.36</v>
      </c>
      <c r="M3343" s="4" t="n">
        <v>0</v>
      </c>
      <c r="N3343" s="3" t="n">
        <v>928.75</v>
      </c>
      <c r="O3343" s="3">
        <f>K3343*L3343*(1-M3343)</f>
        <v/>
      </c>
      <c r="P3343" s="3">
        <f>O3343-N3343</f>
        <v/>
      </c>
      <c r="Q3343" s="5">
        <f>IFERROR(P3343/O3343,0)</f>
        <v/>
      </c>
      <c r="R3343" s="2">
        <f>TEXT(DATEVALUE(B3343),"mmm")</f>
        <v/>
      </c>
      <c r="S3343" s="2">
        <f>TEXT(DATEVALUE(B3343),"yyyy-mm")</f>
        <v/>
      </c>
    </row>
    <row r="3344">
      <c r="A3344" s="2" t="inlineStr">
        <is>
          <t>O001876</t>
        </is>
      </c>
      <c r="B3344" s="2" t="inlineStr">
        <is>
          <t>2025-08-31</t>
        </is>
      </c>
      <c r="C3344" s="2" t="inlineStr">
        <is>
          <t>C0294</t>
        </is>
      </c>
      <c r="D3344" s="2" t="inlineStr">
        <is>
          <t>P0018</t>
        </is>
      </c>
      <c r="E3344" s="2" t="inlineStr">
        <is>
          <t>Backpack</t>
        </is>
      </c>
      <c r="F3344" s="2" t="inlineStr">
        <is>
          <t>Fashion</t>
        </is>
      </c>
      <c r="G3344" s="2" t="inlineStr">
        <is>
          <t>South</t>
        </is>
      </c>
      <c r="H3344" s="2" t="inlineStr">
        <is>
          <t>Telangana</t>
        </is>
      </c>
      <c r="I3344" s="2" t="inlineStr">
        <is>
          <t>Warangal</t>
        </is>
      </c>
      <c r="J3344" s="2" t="inlineStr">
        <is>
          <t>Online</t>
        </is>
      </c>
      <c r="K3344" s="2" t="n">
        <v>1</v>
      </c>
      <c r="L3344" s="3" t="n">
        <v>1906.02</v>
      </c>
      <c r="M3344" s="4" t="n">
        <v>0.05</v>
      </c>
      <c r="N3344" s="3" t="n">
        <v>1361.69</v>
      </c>
      <c r="O3344" s="3">
        <f>K3344*L3344*(1-M3344)</f>
        <v/>
      </c>
      <c r="P3344" s="3">
        <f>O3344-N3344</f>
        <v/>
      </c>
      <c r="Q3344" s="5">
        <f>IFERROR(P3344/O3344,0)</f>
        <v/>
      </c>
      <c r="R3344" s="2">
        <f>TEXT(DATEVALUE(B3344),"mmm")</f>
        <v/>
      </c>
      <c r="S3344" s="2">
        <f>TEXT(DATEVALUE(B3344),"yyyy-mm")</f>
        <v/>
      </c>
    </row>
    <row r="3345">
      <c r="A3345" s="2" t="inlineStr">
        <is>
          <t>O000040</t>
        </is>
      </c>
      <c r="B3345" s="2" t="inlineStr">
        <is>
          <t>2025-09-01</t>
        </is>
      </c>
      <c r="C3345" s="2" t="inlineStr">
        <is>
          <t>C0299</t>
        </is>
      </c>
      <c r="D3345" s="2" t="inlineStr">
        <is>
          <t>P0017</t>
        </is>
      </c>
      <c r="E3345" s="2" t="inlineStr">
        <is>
          <t>Jeans</t>
        </is>
      </c>
      <c r="F3345" s="2" t="inlineStr">
        <is>
          <t>Fashion</t>
        </is>
      </c>
      <c r="G3345" s="2" t="inlineStr">
        <is>
          <t>South</t>
        </is>
      </c>
      <c r="H3345" s="2" t="inlineStr">
        <is>
          <t>Telangana</t>
        </is>
      </c>
      <c r="I3345" s="2" t="inlineStr">
        <is>
          <t>Warangal</t>
        </is>
      </c>
      <c r="J3345" s="2" t="inlineStr">
        <is>
          <t>Online</t>
        </is>
      </c>
      <c r="K3345" s="2" t="n">
        <v>1</v>
      </c>
      <c r="L3345" s="3" t="n">
        <v>1492.2</v>
      </c>
      <c r="M3345" s="4" t="n">
        <v>0</v>
      </c>
      <c r="N3345" s="3" t="n">
        <v>1046.28</v>
      </c>
      <c r="O3345" s="3">
        <f>K3345*L3345*(1-M3345)</f>
        <v/>
      </c>
      <c r="P3345" s="3">
        <f>O3345-N3345</f>
        <v/>
      </c>
      <c r="Q3345" s="5">
        <f>IFERROR(P3345/O3345,0)</f>
        <v/>
      </c>
      <c r="R3345" s="2">
        <f>TEXT(DATEVALUE(B3345),"mmm")</f>
        <v/>
      </c>
      <c r="S3345" s="2">
        <f>TEXT(DATEVALUE(B3345),"yyyy-mm")</f>
        <v/>
      </c>
    </row>
    <row r="3346">
      <c r="A3346" s="2" t="inlineStr">
        <is>
          <t>O001177</t>
        </is>
      </c>
      <c r="B3346" s="2" t="inlineStr">
        <is>
          <t>2025-09-01</t>
        </is>
      </c>
      <c r="C3346" s="2" t="inlineStr">
        <is>
          <t>C0694</t>
        </is>
      </c>
      <c r="D3346" s="2" t="inlineStr">
        <is>
          <t>P0012</t>
        </is>
      </c>
      <c r="E3346" s="2" t="inlineStr">
        <is>
          <t>Water Bottle</t>
        </is>
      </c>
      <c r="F3346" s="2" t="inlineStr">
        <is>
          <t>Home &amp; Kitchen</t>
        </is>
      </c>
      <c r="G3346" s="2" t="inlineStr">
        <is>
          <t>South</t>
        </is>
      </c>
      <c r="H3346" s="2" t="inlineStr">
        <is>
          <t>Karnataka</t>
        </is>
      </c>
      <c r="I3346" s="2" t="inlineStr">
        <is>
          <t>Mangaluru</t>
        </is>
      </c>
      <c r="J3346" s="2" t="inlineStr">
        <is>
          <t>Online</t>
        </is>
      </c>
      <c r="K3346" s="2" t="n">
        <v>2</v>
      </c>
      <c r="L3346" s="3" t="n">
        <v>1017.71</v>
      </c>
      <c r="M3346" s="4" t="n">
        <v>0.1</v>
      </c>
      <c r="N3346" s="3" t="n">
        <v>1267.71</v>
      </c>
      <c r="O3346" s="3">
        <f>K3346*L3346*(1-M3346)</f>
        <v/>
      </c>
      <c r="P3346" s="3">
        <f>O3346-N3346</f>
        <v/>
      </c>
      <c r="Q3346" s="5">
        <f>IFERROR(P3346/O3346,0)</f>
        <v/>
      </c>
      <c r="R3346" s="2">
        <f>TEXT(DATEVALUE(B3346),"mmm")</f>
        <v/>
      </c>
      <c r="S3346" s="2">
        <f>TEXT(DATEVALUE(B3346),"yyyy-mm")</f>
        <v/>
      </c>
    </row>
    <row r="3347">
      <c r="A3347" s="2" t="inlineStr">
        <is>
          <t>O001401</t>
        </is>
      </c>
      <c r="B3347" s="2" t="inlineStr">
        <is>
          <t>2025-09-01</t>
        </is>
      </c>
      <c r="C3347" s="2" t="inlineStr">
        <is>
          <t>C0462</t>
        </is>
      </c>
      <c r="D3347" s="2" t="inlineStr">
        <is>
          <t>P0016</t>
        </is>
      </c>
      <c r="E3347" s="2" t="inlineStr">
        <is>
          <t>Casual Shirt</t>
        </is>
      </c>
      <c r="F3347" s="2" t="inlineStr">
        <is>
          <t>Fashion</t>
        </is>
      </c>
      <c r="G3347" s="2" t="inlineStr">
        <is>
          <t>West</t>
        </is>
      </c>
      <c r="H3347" s="2" t="inlineStr">
        <is>
          <t>Maharashtra</t>
        </is>
      </c>
      <c r="I3347" s="2" t="inlineStr">
        <is>
          <t>Pune</t>
        </is>
      </c>
      <c r="J3347" s="2" t="inlineStr">
        <is>
          <t>Store</t>
        </is>
      </c>
      <c r="K3347" s="2" t="n">
        <v>4</v>
      </c>
      <c r="L3347" s="3" t="n">
        <v>1318.98</v>
      </c>
      <c r="M3347" s="4" t="n">
        <v>0.05</v>
      </c>
      <c r="N3347" s="3" t="n">
        <v>3562.65</v>
      </c>
      <c r="O3347" s="3">
        <f>K3347*L3347*(1-M3347)</f>
        <v/>
      </c>
      <c r="P3347" s="3">
        <f>O3347-N3347</f>
        <v/>
      </c>
      <c r="Q3347" s="5">
        <f>IFERROR(P3347/O3347,0)</f>
        <v/>
      </c>
      <c r="R3347" s="2">
        <f>TEXT(DATEVALUE(B3347),"mmm")</f>
        <v/>
      </c>
      <c r="S3347" s="2">
        <f>TEXT(DATEVALUE(B3347),"yyyy-mm")</f>
        <v/>
      </c>
    </row>
    <row r="3348">
      <c r="A3348" s="2" t="inlineStr">
        <is>
          <t>O002368</t>
        </is>
      </c>
      <c r="B3348" s="2" t="inlineStr">
        <is>
          <t>2025-09-01</t>
        </is>
      </c>
      <c r="C3348" s="2" t="inlineStr">
        <is>
          <t>C0738</t>
        </is>
      </c>
      <c r="D3348" s="2" t="inlineStr">
        <is>
          <t>P0016</t>
        </is>
      </c>
      <c r="E3348" s="2" t="inlineStr">
        <is>
          <t>Casual Shirt</t>
        </is>
      </c>
      <c r="F3348" s="2" t="inlineStr">
        <is>
          <t>Fashion</t>
        </is>
      </c>
      <c r="G3348" s="2" t="inlineStr">
        <is>
          <t>West</t>
        </is>
      </c>
      <c r="H3348" s="2" t="inlineStr">
        <is>
          <t>Goa</t>
        </is>
      </c>
      <c r="I3348" s="2" t="inlineStr">
        <is>
          <t>Panaji</t>
        </is>
      </c>
      <c r="J3348" s="2" t="inlineStr">
        <is>
          <t>Store</t>
        </is>
      </c>
      <c r="K3348" s="2" t="n">
        <v>1</v>
      </c>
      <c r="L3348" s="3" t="n">
        <v>1241.38</v>
      </c>
      <c r="M3348" s="4" t="n">
        <v>0.05</v>
      </c>
      <c r="N3348" s="3" t="n">
        <v>931.1900000000001</v>
      </c>
      <c r="O3348" s="3">
        <f>K3348*L3348*(1-M3348)</f>
        <v/>
      </c>
      <c r="P3348" s="3">
        <f>O3348-N3348</f>
        <v/>
      </c>
      <c r="Q3348" s="5">
        <f>IFERROR(P3348/O3348,0)</f>
        <v/>
      </c>
      <c r="R3348" s="2">
        <f>TEXT(DATEVALUE(B3348),"mmm")</f>
        <v/>
      </c>
      <c r="S3348" s="2">
        <f>TEXT(DATEVALUE(B3348),"yyyy-mm")</f>
        <v/>
      </c>
    </row>
    <row r="3349">
      <c r="A3349" s="2" t="inlineStr">
        <is>
          <t>O003838</t>
        </is>
      </c>
      <c r="B3349" s="2" t="inlineStr">
        <is>
          <t>2025-09-01</t>
        </is>
      </c>
      <c r="C3349" s="2" t="inlineStr">
        <is>
          <t>C0347</t>
        </is>
      </c>
      <c r="D3349" s="2" t="inlineStr">
        <is>
          <t>P0016</t>
        </is>
      </c>
      <c r="E3349" s="2" t="inlineStr">
        <is>
          <t>Casual Shirt</t>
        </is>
      </c>
      <c r="F3349" s="2" t="inlineStr">
        <is>
          <t>Fashion</t>
        </is>
      </c>
      <c r="G3349" s="2" t="inlineStr">
        <is>
          <t>West</t>
        </is>
      </c>
      <c r="H3349" s="2" t="inlineStr">
        <is>
          <t>Gujarat</t>
        </is>
      </c>
      <c r="I3349" s="2" t="inlineStr">
        <is>
          <t>Surat</t>
        </is>
      </c>
      <c r="J3349" s="2" t="inlineStr">
        <is>
          <t>Online</t>
        </is>
      </c>
      <c r="K3349" s="2" t="n">
        <v>1</v>
      </c>
      <c r="L3349" s="3" t="n">
        <v>1237.56</v>
      </c>
      <c r="M3349" s="4" t="n">
        <v>0.1</v>
      </c>
      <c r="N3349" s="3" t="n">
        <v>900.12</v>
      </c>
      <c r="O3349" s="3">
        <f>K3349*L3349*(1-M3349)</f>
        <v/>
      </c>
      <c r="P3349" s="3">
        <f>O3349-N3349</f>
        <v/>
      </c>
      <c r="Q3349" s="5">
        <f>IFERROR(P3349/O3349,0)</f>
        <v/>
      </c>
      <c r="R3349" s="2">
        <f>TEXT(DATEVALUE(B3349),"mmm")</f>
        <v/>
      </c>
      <c r="S3349" s="2">
        <f>TEXT(DATEVALUE(B3349),"yyyy-mm")</f>
        <v/>
      </c>
    </row>
    <row r="3350">
      <c r="A3350" s="2" t="inlineStr">
        <is>
          <t>O004392</t>
        </is>
      </c>
      <c r="B3350" s="2" t="inlineStr">
        <is>
          <t>2025-09-01</t>
        </is>
      </c>
      <c r="C3350" s="2" t="inlineStr">
        <is>
          <t>C0389</t>
        </is>
      </c>
      <c r="D3350" s="2" t="inlineStr">
        <is>
          <t>P0028</t>
        </is>
      </c>
      <c r="E3350" s="2" t="inlineStr">
        <is>
          <t>Trimmer</t>
        </is>
      </c>
      <c r="F3350" s="2" t="inlineStr">
        <is>
          <t>Beauty</t>
        </is>
      </c>
      <c r="G3350" s="2" t="inlineStr">
        <is>
          <t>North</t>
        </is>
      </c>
      <c r="H3350" s="2" t="inlineStr">
        <is>
          <t>Uttar Pradesh</t>
        </is>
      </c>
      <c r="I3350" s="2" t="inlineStr">
        <is>
          <t>Lucknow</t>
        </is>
      </c>
      <c r="J3350" s="2" t="inlineStr">
        <is>
          <t>Online</t>
        </is>
      </c>
      <c r="K3350" s="2" t="n">
        <v>1</v>
      </c>
      <c r="L3350" s="3" t="n">
        <v>435.38</v>
      </c>
      <c r="M3350" s="4" t="n">
        <v>0.1</v>
      </c>
      <c r="N3350" s="3" t="n">
        <v>251.55</v>
      </c>
      <c r="O3350" s="3">
        <f>K3350*L3350*(1-M3350)</f>
        <v/>
      </c>
      <c r="P3350" s="3">
        <f>O3350-N3350</f>
        <v/>
      </c>
      <c r="Q3350" s="5">
        <f>IFERROR(P3350/O3350,0)</f>
        <v/>
      </c>
      <c r="R3350" s="2">
        <f>TEXT(DATEVALUE(B3350),"mmm")</f>
        <v/>
      </c>
      <c r="S3350" s="2">
        <f>TEXT(DATEVALUE(B3350),"yyyy-mm")</f>
        <v/>
      </c>
    </row>
    <row r="3351">
      <c r="A3351" s="2" t="inlineStr">
        <is>
          <t>O003975</t>
        </is>
      </c>
      <c r="B3351" s="2" t="inlineStr">
        <is>
          <t>2025-09-02</t>
        </is>
      </c>
      <c r="C3351" s="2" t="inlineStr">
        <is>
          <t>C0642</t>
        </is>
      </c>
      <c r="D3351" s="2" t="inlineStr">
        <is>
          <t>P0028</t>
        </is>
      </c>
      <c r="E3351" s="2" t="inlineStr">
        <is>
          <t>Trimmer</t>
        </is>
      </c>
      <c r="F3351" s="2" t="inlineStr">
        <is>
          <t>Beauty</t>
        </is>
      </c>
      <c r="G3351" s="2" t="inlineStr">
        <is>
          <t>South</t>
        </is>
      </c>
      <c r="H3351" s="2" t="inlineStr">
        <is>
          <t>Tamil Nadu</t>
        </is>
      </c>
      <c r="I3351" s="2" t="inlineStr">
        <is>
          <t>Madurai</t>
        </is>
      </c>
      <c r="J3351" s="2" t="inlineStr">
        <is>
          <t>Store</t>
        </is>
      </c>
      <c r="K3351" s="2" t="n">
        <v>2</v>
      </c>
      <c r="L3351" s="3" t="n">
        <v>463.15</v>
      </c>
      <c r="M3351" s="4" t="n">
        <v>0.2</v>
      </c>
      <c r="N3351" s="3" t="n">
        <v>501.66</v>
      </c>
      <c r="O3351" s="3">
        <f>K3351*L3351*(1-M3351)</f>
        <v/>
      </c>
      <c r="P3351" s="3">
        <f>O3351-N3351</f>
        <v/>
      </c>
      <c r="Q3351" s="5">
        <f>IFERROR(P3351/O3351,0)</f>
        <v/>
      </c>
      <c r="R3351" s="2">
        <f>TEXT(DATEVALUE(B3351),"mmm")</f>
        <v/>
      </c>
      <c r="S3351" s="2">
        <f>TEXT(DATEVALUE(B3351),"yyyy-mm")</f>
        <v/>
      </c>
    </row>
    <row r="3352">
      <c r="A3352" s="2" t="inlineStr">
        <is>
          <t>O004604</t>
        </is>
      </c>
      <c r="B3352" s="2" t="inlineStr">
        <is>
          <t>2025-09-02</t>
        </is>
      </c>
      <c r="C3352" s="2" t="inlineStr">
        <is>
          <t>C0520</t>
        </is>
      </c>
      <c r="D3352" s="2" t="inlineStr">
        <is>
          <t>P0025</t>
        </is>
      </c>
      <c r="E3352" s="2" t="inlineStr">
        <is>
          <t>Perfume</t>
        </is>
      </c>
      <c r="F3352" s="2" t="inlineStr">
        <is>
          <t>Beauty</t>
        </is>
      </c>
      <c r="G3352" s="2" t="inlineStr">
        <is>
          <t>North</t>
        </is>
      </c>
      <c r="H3352" s="2" t="inlineStr">
        <is>
          <t>Uttar Pradesh</t>
        </is>
      </c>
      <c r="I3352" s="2" t="inlineStr">
        <is>
          <t>Noida</t>
        </is>
      </c>
      <c r="J3352" s="2" t="inlineStr">
        <is>
          <t>Online</t>
        </is>
      </c>
      <c r="K3352" s="2" t="n">
        <v>1</v>
      </c>
      <c r="L3352" s="3" t="n">
        <v>847.33</v>
      </c>
      <c r="M3352" s="4" t="n">
        <v>0</v>
      </c>
      <c r="N3352" s="3" t="n">
        <v>595.5</v>
      </c>
      <c r="O3352" s="3">
        <f>K3352*L3352*(1-M3352)</f>
        <v/>
      </c>
      <c r="P3352" s="3">
        <f>O3352-N3352</f>
        <v/>
      </c>
      <c r="Q3352" s="5">
        <f>IFERROR(P3352/O3352,0)</f>
        <v/>
      </c>
      <c r="R3352" s="2">
        <f>TEXT(DATEVALUE(B3352),"mmm")</f>
        <v/>
      </c>
      <c r="S3352" s="2">
        <f>TEXT(DATEVALUE(B3352),"yyyy-mm")</f>
        <v/>
      </c>
    </row>
    <row r="3353">
      <c r="A3353" s="2" t="inlineStr">
        <is>
          <t>O004408</t>
        </is>
      </c>
      <c r="B3353" s="2" t="inlineStr">
        <is>
          <t>2025-09-02</t>
        </is>
      </c>
      <c r="C3353" s="2" t="inlineStr">
        <is>
          <t>C0727</t>
        </is>
      </c>
      <c r="D3353" s="2" t="inlineStr">
        <is>
          <t>P0022</t>
        </is>
      </c>
      <c r="E3353" s="2" t="inlineStr">
        <is>
          <t>Face Wash</t>
        </is>
      </c>
      <c r="F3353" s="2" t="inlineStr">
        <is>
          <t>Beauty</t>
        </is>
      </c>
      <c r="G3353" s="2" t="inlineStr">
        <is>
          <t>South</t>
        </is>
      </c>
      <c r="H3353" s="2" t="inlineStr">
        <is>
          <t>Telangana</t>
        </is>
      </c>
      <c r="I3353" s="2" t="inlineStr">
        <is>
          <t>Hyderabad</t>
        </is>
      </c>
      <c r="J3353" s="2" t="inlineStr">
        <is>
          <t>Online</t>
        </is>
      </c>
      <c r="K3353" s="2" t="n">
        <v>3</v>
      </c>
      <c r="L3353" s="3" t="n">
        <v>549.1900000000001</v>
      </c>
      <c r="M3353" s="4" t="n">
        <v>0</v>
      </c>
      <c r="N3353" s="3" t="n">
        <v>1091</v>
      </c>
      <c r="O3353" s="3">
        <f>K3353*L3353*(1-M3353)</f>
        <v/>
      </c>
      <c r="P3353" s="3">
        <f>O3353-N3353</f>
        <v/>
      </c>
      <c r="Q3353" s="5">
        <f>IFERROR(P3353/O3353,0)</f>
        <v/>
      </c>
      <c r="R3353" s="2">
        <f>TEXT(DATEVALUE(B3353),"mmm")</f>
        <v/>
      </c>
      <c r="S3353" s="2">
        <f>TEXT(DATEVALUE(B3353),"yyyy-mm")</f>
        <v/>
      </c>
    </row>
    <row r="3354">
      <c r="A3354" s="2" t="inlineStr">
        <is>
          <t>O004736</t>
        </is>
      </c>
      <c r="B3354" s="2" t="inlineStr">
        <is>
          <t>2025-09-02</t>
        </is>
      </c>
      <c r="C3354" s="2" t="inlineStr">
        <is>
          <t>C0371</t>
        </is>
      </c>
      <c r="D3354" s="2" t="inlineStr">
        <is>
          <t>P0007</t>
        </is>
      </c>
      <c r="E3354" s="2" t="inlineStr">
        <is>
          <t>Wireless Mouse</t>
        </is>
      </c>
      <c r="F3354" s="2" t="inlineStr">
        <is>
          <t>Electronics</t>
        </is>
      </c>
      <c r="G3354" s="2" t="inlineStr">
        <is>
          <t>West</t>
        </is>
      </c>
      <c r="H3354" s="2" t="inlineStr">
        <is>
          <t>Goa</t>
        </is>
      </c>
      <c r="I3354" s="2" t="inlineStr">
        <is>
          <t>Panaji</t>
        </is>
      </c>
      <c r="J3354" s="2" t="inlineStr">
        <is>
          <t>Online</t>
        </is>
      </c>
      <c r="K3354" s="2" t="n">
        <v>1</v>
      </c>
      <c r="L3354" s="3" t="n">
        <v>981.87</v>
      </c>
      <c r="M3354" s="4" t="n">
        <v>0.1</v>
      </c>
      <c r="N3354" s="3" t="n">
        <v>605.95</v>
      </c>
      <c r="O3354" s="3">
        <f>K3354*L3354*(1-M3354)</f>
        <v/>
      </c>
      <c r="P3354" s="3">
        <f>O3354-N3354</f>
        <v/>
      </c>
      <c r="Q3354" s="5">
        <f>IFERROR(P3354/O3354,0)</f>
        <v/>
      </c>
      <c r="R3354" s="2">
        <f>TEXT(DATEVALUE(B3354),"mmm")</f>
        <v/>
      </c>
      <c r="S3354" s="2">
        <f>TEXT(DATEVALUE(B3354),"yyyy-mm")</f>
        <v/>
      </c>
    </row>
    <row r="3355">
      <c r="A3355" s="2" t="inlineStr">
        <is>
          <t>O003417</t>
        </is>
      </c>
      <c r="B3355" s="2" t="inlineStr">
        <is>
          <t>2025-09-02</t>
        </is>
      </c>
      <c r="C3355" s="2" t="inlineStr">
        <is>
          <t>C0028</t>
        </is>
      </c>
      <c r="D3355" s="2" t="inlineStr">
        <is>
          <t>P0022</t>
        </is>
      </c>
      <c r="E3355" s="2" t="inlineStr">
        <is>
          <t>Face Wash</t>
        </is>
      </c>
      <c r="F3355" s="2" t="inlineStr">
        <is>
          <t>Beauty</t>
        </is>
      </c>
      <c r="G3355" s="2" t="inlineStr">
        <is>
          <t>South</t>
        </is>
      </c>
      <c r="H3355" s="2" t="inlineStr">
        <is>
          <t>Kerala</t>
        </is>
      </c>
      <c r="I3355" s="2" t="inlineStr">
        <is>
          <t>Kochi</t>
        </is>
      </c>
      <c r="J3355" s="2" t="inlineStr">
        <is>
          <t>Online</t>
        </is>
      </c>
      <c r="K3355" s="2" t="n">
        <v>2</v>
      </c>
      <c r="L3355" s="3" t="n">
        <v>555.4</v>
      </c>
      <c r="M3355" s="4" t="n">
        <v>0.05</v>
      </c>
      <c r="N3355" s="3" t="n">
        <v>688.46</v>
      </c>
      <c r="O3355" s="3">
        <f>K3355*L3355*(1-M3355)</f>
        <v/>
      </c>
      <c r="P3355" s="3">
        <f>O3355-N3355</f>
        <v/>
      </c>
      <c r="Q3355" s="5">
        <f>IFERROR(P3355/O3355,0)</f>
        <v/>
      </c>
      <c r="R3355" s="2">
        <f>TEXT(DATEVALUE(B3355),"mmm")</f>
        <v/>
      </c>
      <c r="S3355" s="2">
        <f>TEXT(DATEVALUE(B3355),"yyyy-mm")</f>
        <v/>
      </c>
    </row>
    <row r="3356">
      <c r="A3356" s="2" t="inlineStr">
        <is>
          <t>O004205</t>
        </is>
      </c>
      <c r="B3356" s="2" t="inlineStr">
        <is>
          <t>2025-09-02</t>
        </is>
      </c>
      <c r="C3356" s="2" t="inlineStr">
        <is>
          <t>C0686</t>
        </is>
      </c>
      <c r="D3356" s="2" t="inlineStr">
        <is>
          <t>P0011</t>
        </is>
      </c>
      <c r="E3356" s="2" t="inlineStr">
        <is>
          <t>Cookware Set</t>
        </is>
      </c>
      <c r="F3356" s="2" t="inlineStr">
        <is>
          <t>Home &amp; Kitchen</t>
        </is>
      </c>
      <c r="G3356" s="2" t="inlineStr">
        <is>
          <t>West</t>
        </is>
      </c>
      <c r="H3356" s="2" t="inlineStr">
        <is>
          <t>Maharashtra</t>
        </is>
      </c>
      <c r="I3356" s="2" t="inlineStr">
        <is>
          <t>Thane</t>
        </is>
      </c>
      <c r="J3356" s="2" t="inlineStr">
        <is>
          <t>Online</t>
        </is>
      </c>
      <c r="K3356" s="2" t="n">
        <v>1</v>
      </c>
      <c r="L3356" s="3" t="n">
        <v>673.38</v>
      </c>
      <c r="M3356" s="4" t="n">
        <v>0.15</v>
      </c>
      <c r="N3356" s="3" t="n">
        <v>461.91</v>
      </c>
      <c r="O3356" s="3">
        <f>K3356*L3356*(1-M3356)</f>
        <v/>
      </c>
      <c r="P3356" s="3">
        <f>O3356-N3356</f>
        <v/>
      </c>
      <c r="Q3356" s="5">
        <f>IFERROR(P3356/O3356,0)</f>
        <v/>
      </c>
      <c r="R3356" s="2">
        <f>TEXT(DATEVALUE(B3356),"mmm")</f>
        <v/>
      </c>
      <c r="S3356" s="2">
        <f>TEXT(DATEVALUE(B3356),"yyyy-mm")</f>
        <v/>
      </c>
    </row>
    <row r="3357">
      <c r="A3357" s="2" t="inlineStr">
        <is>
          <t>O002802</t>
        </is>
      </c>
      <c r="B3357" s="2" t="inlineStr">
        <is>
          <t>2025-09-02</t>
        </is>
      </c>
      <c r="C3357" s="2" t="inlineStr">
        <is>
          <t>C0724</t>
        </is>
      </c>
      <c r="D3357" s="2" t="inlineStr">
        <is>
          <t>P0016</t>
        </is>
      </c>
      <c r="E3357" s="2" t="inlineStr">
        <is>
          <t>Casual Shirt</t>
        </is>
      </c>
      <c r="F3357" s="2" t="inlineStr">
        <is>
          <t>Fashion</t>
        </is>
      </c>
      <c r="G3357" s="2" t="inlineStr">
        <is>
          <t>North</t>
        </is>
      </c>
      <c r="H3357" s="2" t="inlineStr">
        <is>
          <t>Punjab</t>
        </is>
      </c>
      <c r="I3357" s="2" t="inlineStr">
        <is>
          <t>Amritsar</t>
        </is>
      </c>
      <c r="J3357" s="2" t="inlineStr">
        <is>
          <t>Store</t>
        </is>
      </c>
      <c r="K3357" s="2" t="n">
        <v>1</v>
      </c>
      <c r="L3357" s="3" t="n">
        <v>1315.3</v>
      </c>
      <c r="M3357" s="4" t="n">
        <v>0</v>
      </c>
      <c r="N3357" s="3" t="n">
        <v>916.99</v>
      </c>
      <c r="O3357" s="3">
        <f>K3357*L3357*(1-M3357)</f>
        <v/>
      </c>
      <c r="P3357" s="3">
        <f>O3357-N3357</f>
        <v/>
      </c>
      <c r="Q3357" s="5">
        <f>IFERROR(P3357/O3357,0)</f>
        <v/>
      </c>
      <c r="R3357" s="2">
        <f>TEXT(DATEVALUE(B3357),"mmm")</f>
        <v/>
      </c>
      <c r="S3357" s="2">
        <f>TEXT(DATEVALUE(B3357),"yyyy-mm")</f>
        <v/>
      </c>
    </row>
    <row r="3358">
      <c r="A3358" s="2" t="inlineStr">
        <is>
          <t>O002090</t>
        </is>
      </c>
      <c r="B3358" s="2" t="inlineStr">
        <is>
          <t>2025-09-02</t>
        </is>
      </c>
      <c r="C3358" s="2" t="inlineStr">
        <is>
          <t>C0471</t>
        </is>
      </c>
      <c r="D3358" s="2" t="inlineStr">
        <is>
          <t>P0022</t>
        </is>
      </c>
      <c r="E3358" s="2" t="inlineStr">
        <is>
          <t>Face Wash</t>
        </is>
      </c>
      <c r="F3358" s="2" t="inlineStr">
        <is>
          <t>Beauty</t>
        </is>
      </c>
      <c r="G3358" s="2" t="inlineStr">
        <is>
          <t>West</t>
        </is>
      </c>
      <c r="H3358" s="2" t="inlineStr">
        <is>
          <t>Goa</t>
        </is>
      </c>
      <c r="I3358" s="2" t="inlineStr">
        <is>
          <t>Margao</t>
        </is>
      </c>
      <c r="J3358" s="2" t="inlineStr">
        <is>
          <t>Store</t>
        </is>
      </c>
      <c r="K3358" s="2" t="n">
        <v>2</v>
      </c>
      <c r="L3358" s="3" t="n">
        <v>532.23</v>
      </c>
      <c r="M3358" s="4" t="n">
        <v>0.1</v>
      </c>
      <c r="N3358" s="3" t="n">
        <v>679.6900000000001</v>
      </c>
      <c r="O3358" s="3">
        <f>K3358*L3358*(1-M3358)</f>
        <v/>
      </c>
      <c r="P3358" s="3">
        <f>O3358-N3358</f>
        <v/>
      </c>
      <c r="Q3358" s="5">
        <f>IFERROR(P3358/O3358,0)</f>
        <v/>
      </c>
      <c r="R3358" s="2">
        <f>TEXT(DATEVALUE(B3358),"mmm")</f>
        <v/>
      </c>
      <c r="S3358" s="2">
        <f>TEXT(DATEVALUE(B3358),"yyyy-mm")</f>
        <v/>
      </c>
    </row>
    <row r="3359">
      <c r="A3359" s="2" t="inlineStr">
        <is>
          <t>O002015</t>
        </is>
      </c>
      <c r="B3359" s="2" t="inlineStr">
        <is>
          <t>2025-09-02</t>
        </is>
      </c>
      <c r="C3359" s="2" t="inlineStr">
        <is>
          <t>C0638</t>
        </is>
      </c>
      <c r="D3359" s="2" t="inlineStr">
        <is>
          <t>P0007</t>
        </is>
      </c>
      <c r="E3359" s="2" t="inlineStr">
        <is>
          <t>Wireless Mouse</t>
        </is>
      </c>
      <c r="F3359" s="2" t="inlineStr">
        <is>
          <t>Electronics</t>
        </is>
      </c>
      <c r="G3359" s="2" t="inlineStr">
        <is>
          <t>North</t>
        </is>
      </c>
      <c r="H3359" s="2" t="inlineStr">
        <is>
          <t>Uttar Pradesh</t>
        </is>
      </c>
      <c r="I3359" s="2" t="inlineStr">
        <is>
          <t>Lucknow</t>
        </is>
      </c>
      <c r="J3359" s="2" t="inlineStr">
        <is>
          <t>Online</t>
        </is>
      </c>
      <c r="K3359" s="2" t="n">
        <v>1</v>
      </c>
      <c r="L3359" s="3" t="n">
        <v>964.66</v>
      </c>
      <c r="M3359" s="4" t="n">
        <v>0</v>
      </c>
      <c r="N3359" s="3" t="n">
        <v>643.75</v>
      </c>
      <c r="O3359" s="3">
        <f>K3359*L3359*(1-M3359)</f>
        <v/>
      </c>
      <c r="P3359" s="3">
        <f>O3359-N3359</f>
        <v/>
      </c>
      <c r="Q3359" s="5">
        <f>IFERROR(P3359/O3359,0)</f>
        <v/>
      </c>
      <c r="R3359" s="2">
        <f>TEXT(DATEVALUE(B3359),"mmm")</f>
        <v/>
      </c>
      <c r="S3359" s="2">
        <f>TEXT(DATEVALUE(B3359),"yyyy-mm")</f>
        <v/>
      </c>
    </row>
    <row r="3360">
      <c r="A3360" s="2" t="inlineStr">
        <is>
          <t>O001508</t>
        </is>
      </c>
      <c r="B3360" s="2" t="inlineStr">
        <is>
          <t>2025-09-02</t>
        </is>
      </c>
      <c r="C3360" s="2" t="inlineStr">
        <is>
          <t>C0736</t>
        </is>
      </c>
      <c r="D3360" s="2" t="inlineStr">
        <is>
          <t>P0024</t>
        </is>
      </c>
      <c r="E3360" s="2" t="inlineStr">
        <is>
          <t>Hair Dryer</t>
        </is>
      </c>
      <c r="F3360" s="2" t="inlineStr">
        <is>
          <t>Beauty</t>
        </is>
      </c>
      <c r="G3360" s="2" t="inlineStr">
        <is>
          <t>West</t>
        </is>
      </c>
      <c r="H3360" s="2" t="inlineStr">
        <is>
          <t>Goa</t>
        </is>
      </c>
      <c r="I3360" s="2" t="inlineStr">
        <is>
          <t>Margao</t>
        </is>
      </c>
      <c r="J3360" s="2" t="inlineStr">
        <is>
          <t>Store</t>
        </is>
      </c>
      <c r="K3360" s="2" t="n">
        <v>1</v>
      </c>
      <c r="L3360" s="3" t="n">
        <v>1033.78</v>
      </c>
      <c r="M3360" s="4" t="n">
        <v>0.05</v>
      </c>
      <c r="N3360" s="3" t="n">
        <v>731.4400000000001</v>
      </c>
      <c r="O3360" s="3">
        <f>K3360*L3360*(1-M3360)</f>
        <v/>
      </c>
      <c r="P3360" s="3">
        <f>O3360-N3360</f>
        <v/>
      </c>
      <c r="Q3360" s="5">
        <f>IFERROR(P3360/O3360,0)</f>
        <v/>
      </c>
      <c r="R3360" s="2">
        <f>TEXT(DATEVALUE(B3360),"mmm")</f>
        <v/>
      </c>
      <c r="S3360" s="2">
        <f>TEXT(DATEVALUE(B3360),"yyyy-mm")</f>
        <v/>
      </c>
    </row>
    <row r="3361">
      <c r="A3361" s="2" t="inlineStr">
        <is>
          <t>O003249</t>
        </is>
      </c>
      <c r="B3361" s="2" t="inlineStr">
        <is>
          <t>2025-09-02</t>
        </is>
      </c>
      <c r="C3361" s="2" t="inlineStr">
        <is>
          <t>C0347</t>
        </is>
      </c>
      <c r="D3361" s="2" t="inlineStr">
        <is>
          <t>P0016</t>
        </is>
      </c>
      <c r="E3361" s="2" t="inlineStr">
        <is>
          <t>Casual Shirt</t>
        </is>
      </c>
      <c r="F3361" s="2" t="inlineStr">
        <is>
          <t>Fashion</t>
        </is>
      </c>
      <c r="G3361" s="2" t="inlineStr">
        <is>
          <t>West</t>
        </is>
      </c>
      <c r="H3361" s="2" t="inlineStr">
        <is>
          <t>Gujarat</t>
        </is>
      </c>
      <c r="I3361" s="2" t="inlineStr">
        <is>
          <t>Ahmedabad</t>
        </is>
      </c>
      <c r="J3361" s="2" t="inlineStr">
        <is>
          <t>Online</t>
        </is>
      </c>
      <c r="K3361" s="2" t="n">
        <v>2</v>
      </c>
      <c r="L3361" s="3" t="n">
        <v>1319.78</v>
      </c>
      <c r="M3361" s="4" t="n">
        <v>0.2</v>
      </c>
      <c r="N3361" s="3" t="n">
        <v>1798.3</v>
      </c>
      <c r="O3361" s="3">
        <f>K3361*L3361*(1-M3361)</f>
        <v/>
      </c>
      <c r="P3361" s="3">
        <f>O3361-N3361</f>
        <v/>
      </c>
      <c r="Q3361" s="5">
        <f>IFERROR(P3361/O3361,0)</f>
        <v/>
      </c>
      <c r="R3361" s="2">
        <f>TEXT(DATEVALUE(B3361),"mmm")</f>
        <v/>
      </c>
      <c r="S3361" s="2">
        <f>TEXT(DATEVALUE(B3361),"yyyy-mm")</f>
        <v/>
      </c>
    </row>
    <row r="3362">
      <c r="A3362" s="2" t="inlineStr">
        <is>
          <t>O004877</t>
        </is>
      </c>
      <c r="B3362" s="2" t="inlineStr">
        <is>
          <t>2025-09-03</t>
        </is>
      </c>
      <c r="C3362" s="2" t="inlineStr">
        <is>
          <t>C0568</t>
        </is>
      </c>
      <c r="D3362" s="2" t="inlineStr">
        <is>
          <t>P0006</t>
        </is>
      </c>
      <c r="E3362" s="2" t="inlineStr">
        <is>
          <t>Mechanical Keyboard</t>
        </is>
      </c>
      <c r="F3362" s="2" t="inlineStr">
        <is>
          <t>Electronics</t>
        </is>
      </c>
      <c r="G3362" s="2" t="inlineStr">
        <is>
          <t>West</t>
        </is>
      </c>
      <c r="H3362" s="2" t="inlineStr">
        <is>
          <t>Maharashtra</t>
        </is>
      </c>
      <c r="I3362" s="2" t="inlineStr">
        <is>
          <t>Nagpur</t>
        </is>
      </c>
      <c r="J3362" s="2" t="inlineStr">
        <is>
          <t>Online</t>
        </is>
      </c>
      <c r="K3362" s="2" t="n">
        <v>1</v>
      </c>
      <c r="L3362" s="3" t="n">
        <v>2682.76</v>
      </c>
      <c r="M3362" s="4" t="n">
        <v>0.15</v>
      </c>
      <c r="N3362" s="3" t="n">
        <v>1517.05</v>
      </c>
      <c r="O3362" s="3">
        <f>K3362*L3362*(1-M3362)</f>
        <v/>
      </c>
      <c r="P3362" s="3">
        <f>O3362-N3362</f>
        <v/>
      </c>
      <c r="Q3362" s="5">
        <f>IFERROR(P3362/O3362,0)</f>
        <v/>
      </c>
      <c r="R3362" s="2">
        <f>TEXT(DATEVALUE(B3362),"mmm")</f>
        <v/>
      </c>
      <c r="S3362" s="2">
        <f>TEXT(DATEVALUE(B3362),"yyyy-mm")</f>
        <v/>
      </c>
    </row>
    <row r="3363">
      <c r="A3363" s="2" t="inlineStr">
        <is>
          <t>O004599</t>
        </is>
      </c>
      <c r="B3363" s="2" t="inlineStr">
        <is>
          <t>2025-09-03</t>
        </is>
      </c>
      <c r="C3363" s="2" t="inlineStr">
        <is>
          <t>C0036</t>
        </is>
      </c>
      <c r="D3363" s="2" t="inlineStr">
        <is>
          <t>P0011</t>
        </is>
      </c>
      <c r="E3363" s="2" t="inlineStr">
        <is>
          <t>Cookware Set</t>
        </is>
      </c>
      <c r="F3363" s="2" t="inlineStr">
        <is>
          <t>Home &amp; Kitchen</t>
        </is>
      </c>
      <c r="G3363" s="2" t="inlineStr">
        <is>
          <t>South</t>
        </is>
      </c>
      <c r="H3363" s="2" t="inlineStr">
        <is>
          <t>Kerala</t>
        </is>
      </c>
      <c r="I3363" s="2" t="inlineStr">
        <is>
          <t>Thiruvananthapuram</t>
        </is>
      </c>
      <c r="J3363" s="2" t="inlineStr">
        <is>
          <t>Store</t>
        </is>
      </c>
      <c r="K3363" s="2" t="n">
        <v>1</v>
      </c>
      <c r="L3363" s="3" t="n">
        <v>730.01</v>
      </c>
      <c r="M3363" s="4" t="n">
        <v>0.1</v>
      </c>
      <c r="N3363" s="3" t="n">
        <v>456.89</v>
      </c>
      <c r="O3363" s="3">
        <f>K3363*L3363*(1-M3363)</f>
        <v/>
      </c>
      <c r="P3363" s="3">
        <f>O3363-N3363</f>
        <v/>
      </c>
      <c r="Q3363" s="5">
        <f>IFERROR(P3363/O3363,0)</f>
        <v/>
      </c>
      <c r="R3363" s="2">
        <f>TEXT(DATEVALUE(B3363),"mmm")</f>
        <v/>
      </c>
      <c r="S3363" s="2">
        <f>TEXT(DATEVALUE(B3363),"yyyy-mm")</f>
        <v/>
      </c>
    </row>
    <row r="3364">
      <c r="A3364" s="2" t="inlineStr">
        <is>
          <t>O004583</t>
        </is>
      </c>
      <c r="B3364" s="2" t="inlineStr">
        <is>
          <t>2025-09-03</t>
        </is>
      </c>
      <c r="C3364" s="2" t="inlineStr">
        <is>
          <t>C0161</t>
        </is>
      </c>
      <c r="D3364" s="2" t="inlineStr">
        <is>
          <t>P0018</t>
        </is>
      </c>
      <c r="E3364" s="2" t="inlineStr">
        <is>
          <t>Backpack</t>
        </is>
      </c>
      <c r="F3364" s="2" t="inlineStr">
        <is>
          <t>Fashion</t>
        </is>
      </c>
      <c r="G3364" s="2" t="inlineStr">
        <is>
          <t>West</t>
        </is>
      </c>
      <c r="H3364" s="2" t="inlineStr">
        <is>
          <t>Goa</t>
        </is>
      </c>
      <c r="I3364" s="2" t="inlineStr">
        <is>
          <t>Panaji</t>
        </is>
      </c>
      <c r="J3364" s="2" t="inlineStr">
        <is>
          <t>Online</t>
        </is>
      </c>
      <c r="K3364" s="2" t="n">
        <v>2</v>
      </c>
      <c r="L3364" s="3" t="n">
        <v>1882.44</v>
      </c>
      <c r="M3364" s="4" t="n">
        <v>0.05</v>
      </c>
      <c r="N3364" s="3" t="n">
        <v>2781.59</v>
      </c>
      <c r="O3364" s="3">
        <f>K3364*L3364*(1-M3364)</f>
        <v/>
      </c>
      <c r="P3364" s="3">
        <f>O3364-N3364</f>
        <v/>
      </c>
      <c r="Q3364" s="5">
        <f>IFERROR(P3364/O3364,0)</f>
        <v/>
      </c>
      <c r="R3364" s="2">
        <f>TEXT(DATEVALUE(B3364),"mmm")</f>
        <v/>
      </c>
      <c r="S3364" s="2">
        <f>TEXT(DATEVALUE(B3364),"yyyy-mm")</f>
        <v/>
      </c>
    </row>
    <row r="3365">
      <c r="A3365" s="2" t="inlineStr">
        <is>
          <t>O004566</t>
        </is>
      </c>
      <c r="B3365" s="2" t="inlineStr">
        <is>
          <t>2025-09-03</t>
        </is>
      </c>
      <c r="C3365" s="2" t="inlineStr">
        <is>
          <t>C0798</t>
        </is>
      </c>
      <c r="D3365" s="2" t="inlineStr">
        <is>
          <t>P0024</t>
        </is>
      </c>
      <c r="E3365" s="2" t="inlineStr">
        <is>
          <t>Hair Dryer</t>
        </is>
      </c>
      <c r="F3365" s="2" t="inlineStr">
        <is>
          <t>Beauty</t>
        </is>
      </c>
      <c r="G3365" s="2" t="inlineStr">
        <is>
          <t>West</t>
        </is>
      </c>
      <c r="H3365" s="2" t="inlineStr">
        <is>
          <t>Goa</t>
        </is>
      </c>
      <c r="I3365" s="2" t="inlineStr">
        <is>
          <t>Panaji</t>
        </is>
      </c>
      <c r="J3365" s="2" t="inlineStr">
        <is>
          <t>Online</t>
        </is>
      </c>
      <c r="K3365" s="2" t="n">
        <v>2</v>
      </c>
      <c r="L3365" s="3" t="n">
        <v>983.24</v>
      </c>
      <c r="M3365" s="4" t="n">
        <v>0.2</v>
      </c>
      <c r="N3365" s="3" t="n">
        <v>1420.78</v>
      </c>
      <c r="O3365" s="3">
        <f>K3365*L3365*(1-M3365)</f>
        <v/>
      </c>
      <c r="P3365" s="3">
        <f>O3365-N3365</f>
        <v/>
      </c>
      <c r="Q3365" s="5">
        <f>IFERROR(P3365/O3365,0)</f>
        <v/>
      </c>
      <c r="R3365" s="2">
        <f>TEXT(DATEVALUE(B3365),"mmm")</f>
        <v/>
      </c>
      <c r="S3365" s="2">
        <f>TEXT(DATEVALUE(B3365),"yyyy-mm")</f>
        <v/>
      </c>
    </row>
    <row r="3366">
      <c r="A3366" s="2" t="inlineStr">
        <is>
          <t>O003494</t>
        </is>
      </c>
      <c r="B3366" s="2" t="inlineStr">
        <is>
          <t>2025-09-03</t>
        </is>
      </c>
      <c r="C3366" s="2" t="inlineStr">
        <is>
          <t>C0075</t>
        </is>
      </c>
      <c r="D3366" s="2" t="inlineStr">
        <is>
          <t>P0005</t>
        </is>
      </c>
      <c r="E3366" s="2" t="inlineStr">
        <is>
          <t>Power Bank</t>
        </is>
      </c>
      <c r="F3366" s="2" t="inlineStr">
        <is>
          <t>Electronics</t>
        </is>
      </c>
      <c r="G3366" s="2" t="inlineStr">
        <is>
          <t>East</t>
        </is>
      </c>
      <c r="H3366" s="2" t="inlineStr">
        <is>
          <t>West Bengal</t>
        </is>
      </c>
      <c r="I3366" s="2" t="inlineStr">
        <is>
          <t>Kolkata</t>
        </is>
      </c>
      <c r="J3366" s="2" t="inlineStr">
        <is>
          <t>Online</t>
        </is>
      </c>
      <c r="K3366" s="2" t="n">
        <v>3</v>
      </c>
      <c r="L3366" s="3" t="n">
        <v>1085.87</v>
      </c>
      <c r="M3366" s="4" t="n">
        <v>0.25</v>
      </c>
      <c r="N3366" s="3" t="n">
        <v>2090.03</v>
      </c>
      <c r="O3366" s="3">
        <f>K3366*L3366*(1-M3366)</f>
        <v/>
      </c>
      <c r="P3366" s="3">
        <f>O3366-N3366</f>
        <v/>
      </c>
      <c r="Q3366" s="5">
        <f>IFERROR(P3366/O3366,0)</f>
        <v/>
      </c>
      <c r="R3366" s="2">
        <f>TEXT(DATEVALUE(B3366),"mmm")</f>
        <v/>
      </c>
      <c r="S3366" s="2">
        <f>TEXT(DATEVALUE(B3366),"yyyy-mm")</f>
        <v/>
      </c>
    </row>
    <row r="3367">
      <c r="A3367" s="2" t="inlineStr">
        <is>
          <t>O002996</t>
        </is>
      </c>
      <c r="B3367" s="2" t="inlineStr">
        <is>
          <t>2025-09-03</t>
        </is>
      </c>
      <c r="C3367" s="2" t="inlineStr">
        <is>
          <t>C0474</t>
        </is>
      </c>
      <c r="D3367" s="2" t="inlineStr">
        <is>
          <t>P0024</t>
        </is>
      </c>
      <c r="E3367" s="2" t="inlineStr">
        <is>
          <t>Hair Dryer</t>
        </is>
      </c>
      <c r="F3367" s="2" t="inlineStr">
        <is>
          <t>Beauty</t>
        </is>
      </c>
      <c r="G3367" s="2" t="inlineStr">
        <is>
          <t>South</t>
        </is>
      </c>
      <c r="H3367" s="2" t="inlineStr">
        <is>
          <t>Kerala</t>
        </is>
      </c>
      <c r="I3367" s="2" t="inlineStr">
        <is>
          <t>Thiruvananthapuram</t>
        </is>
      </c>
      <c r="J3367" s="2" t="inlineStr">
        <is>
          <t>Store</t>
        </is>
      </c>
      <c r="K3367" s="2" t="n">
        <v>2</v>
      </c>
      <c r="L3367" s="3" t="n">
        <v>963.14</v>
      </c>
      <c r="M3367" s="4" t="n">
        <v>0</v>
      </c>
      <c r="N3367" s="3" t="n">
        <v>1477.94</v>
      </c>
      <c r="O3367" s="3">
        <f>K3367*L3367*(1-M3367)</f>
        <v/>
      </c>
      <c r="P3367" s="3">
        <f>O3367-N3367</f>
        <v/>
      </c>
      <c r="Q3367" s="5">
        <f>IFERROR(P3367/O3367,0)</f>
        <v/>
      </c>
      <c r="R3367" s="2">
        <f>TEXT(DATEVALUE(B3367),"mmm")</f>
        <v/>
      </c>
      <c r="S3367" s="2">
        <f>TEXT(DATEVALUE(B3367),"yyyy-mm")</f>
        <v/>
      </c>
    </row>
    <row r="3368">
      <c r="A3368" s="2" t="inlineStr">
        <is>
          <t>O003492</t>
        </is>
      </c>
      <c r="B3368" s="2" t="inlineStr">
        <is>
          <t>2025-09-03</t>
        </is>
      </c>
      <c r="C3368" s="2" t="inlineStr">
        <is>
          <t>C0745</t>
        </is>
      </c>
      <c r="D3368" s="2" t="inlineStr">
        <is>
          <t>P0021</t>
        </is>
      </c>
      <c r="E3368" s="2" t="inlineStr">
        <is>
          <t>Wallet</t>
        </is>
      </c>
      <c r="F3368" s="2" t="inlineStr">
        <is>
          <t>Fashion</t>
        </is>
      </c>
      <c r="G3368" s="2" t="inlineStr">
        <is>
          <t>South</t>
        </is>
      </c>
      <c r="H3368" s="2" t="inlineStr">
        <is>
          <t>Karnataka</t>
        </is>
      </c>
      <c r="I3368" s="2" t="inlineStr">
        <is>
          <t>Mangaluru</t>
        </is>
      </c>
      <c r="J3368" s="2" t="inlineStr">
        <is>
          <t>Online</t>
        </is>
      </c>
      <c r="K3368" s="2" t="n">
        <v>1</v>
      </c>
      <c r="L3368" s="3" t="n">
        <v>1954.29</v>
      </c>
      <c r="M3368" s="4" t="n">
        <v>0</v>
      </c>
      <c r="N3368" s="3" t="n">
        <v>1246.1</v>
      </c>
      <c r="O3368" s="3">
        <f>K3368*L3368*(1-M3368)</f>
        <v/>
      </c>
      <c r="P3368" s="3">
        <f>O3368-N3368</f>
        <v/>
      </c>
      <c r="Q3368" s="5">
        <f>IFERROR(P3368/O3368,0)</f>
        <v/>
      </c>
      <c r="R3368" s="2">
        <f>TEXT(DATEVALUE(B3368),"mmm")</f>
        <v/>
      </c>
      <c r="S3368" s="2">
        <f>TEXT(DATEVALUE(B3368),"yyyy-mm")</f>
        <v/>
      </c>
    </row>
    <row r="3369">
      <c r="A3369" s="2" t="inlineStr">
        <is>
          <t>O001931</t>
        </is>
      </c>
      <c r="B3369" s="2" t="inlineStr">
        <is>
          <t>2025-09-03</t>
        </is>
      </c>
      <c r="C3369" s="2" t="inlineStr">
        <is>
          <t>C0304</t>
        </is>
      </c>
      <c r="D3369" s="2" t="inlineStr">
        <is>
          <t>P0021</t>
        </is>
      </c>
      <c r="E3369" s="2" t="inlineStr">
        <is>
          <t>Wallet</t>
        </is>
      </c>
      <c r="F3369" s="2" t="inlineStr">
        <is>
          <t>Fashion</t>
        </is>
      </c>
      <c r="G3369" s="2" t="inlineStr">
        <is>
          <t>East</t>
        </is>
      </c>
      <c r="H3369" s="2" t="inlineStr">
        <is>
          <t>West Bengal</t>
        </is>
      </c>
      <c r="I3369" s="2" t="inlineStr">
        <is>
          <t>Durgapur</t>
        </is>
      </c>
      <c r="J3369" s="2" t="inlineStr">
        <is>
          <t>Store</t>
        </is>
      </c>
      <c r="K3369" s="2" t="n">
        <v>3</v>
      </c>
      <c r="L3369" s="3" t="n">
        <v>1949.12</v>
      </c>
      <c r="M3369" s="4" t="n">
        <v>0.1</v>
      </c>
      <c r="N3369" s="3" t="n">
        <v>3577.06</v>
      </c>
      <c r="O3369" s="3">
        <f>K3369*L3369*(1-M3369)</f>
        <v/>
      </c>
      <c r="P3369" s="3">
        <f>O3369-N3369</f>
        <v/>
      </c>
      <c r="Q3369" s="5">
        <f>IFERROR(P3369/O3369,0)</f>
        <v/>
      </c>
      <c r="R3369" s="2">
        <f>TEXT(DATEVALUE(B3369),"mmm")</f>
        <v/>
      </c>
      <c r="S3369" s="2">
        <f>TEXT(DATEVALUE(B3369),"yyyy-mm")</f>
        <v/>
      </c>
    </row>
    <row r="3370">
      <c r="A3370" s="2" t="inlineStr">
        <is>
          <t>O001392</t>
        </is>
      </c>
      <c r="B3370" s="2" t="inlineStr">
        <is>
          <t>2025-09-03</t>
        </is>
      </c>
      <c r="C3370" s="2" t="inlineStr">
        <is>
          <t>C0476</t>
        </is>
      </c>
      <c r="D3370" s="2" t="inlineStr">
        <is>
          <t>P0033</t>
        </is>
      </c>
      <c r="E3370" s="2" t="inlineStr">
        <is>
          <t>Resistance Bands</t>
        </is>
      </c>
      <c r="F3370" s="2" t="inlineStr">
        <is>
          <t>Sports</t>
        </is>
      </c>
      <c r="G3370" s="2" t="inlineStr">
        <is>
          <t>West</t>
        </is>
      </c>
      <c r="H3370" s="2" t="inlineStr">
        <is>
          <t>Maharashtra</t>
        </is>
      </c>
      <c r="I3370" s="2" t="inlineStr">
        <is>
          <t>Nagpur</t>
        </is>
      </c>
      <c r="J3370" s="2" t="inlineStr">
        <is>
          <t>Online</t>
        </is>
      </c>
      <c r="K3370" s="2" t="n">
        <v>1</v>
      </c>
      <c r="L3370" s="3" t="n">
        <v>1090.89</v>
      </c>
      <c r="M3370" s="4" t="n">
        <v>0.25</v>
      </c>
      <c r="N3370" s="3" t="n">
        <v>763.98</v>
      </c>
      <c r="O3370" s="3">
        <f>K3370*L3370*(1-M3370)</f>
        <v/>
      </c>
      <c r="P3370" s="3">
        <f>O3370-N3370</f>
        <v/>
      </c>
      <c r="Q3370" s="5">
        <f>IFERROR(P3370/O3370,0)</f>
        <v/>
      </c>
      <c r="R3370" s="2">
        <f>TEXT(DATEVALUE(B3370),"mmm")</f>
        <v/>
      </c>
      <c r="S3370" s="2">
        <f>TEXT(DATEVALUE(B3370),"yyyy-mm")</f>
        <v/>
      </c>
    </row>
    <row r="3371">
      <c r="A3371" s="2" t="inlineStr">
        <is>
          <t>O001326</t>
        </is>
      </c>
      <c r="B3371" s="2" t="inlineStr">
        <is>
          <t>2025-09-03</t>
        </is>
      </c>
      <c r="C3371" s="2" t="inlineStr">
        <is>
          <t>C0202</t>
        </is>
      </c>
      <c r="D3371" s="2" t="inlineStr">
        <is>
          <t>P0030</t>
        </is>
      </c>
      <c r="E3371" s="2" t="inlineStr">
        <is>
          <t>Dumbbells</t>
        </is>
      </c>
      <c r="F3371" s="2" t="inlineStr">
        <is>
          <t>Sports</t>
        </is>
      </c>
      <c r="G3371" s="2" t="inlineStr">
        <is>
          <t>East</t>
        </is>
      </c>
      <c r="H3371" s="2" t="inlineStr">
        <is>
          <t>Bihar</t>
        </is>
      </c>
      <c r="I3371" s="2" t="inlineStr">
        <is>
          <t>Patna</t>
        </is>
      </c>
      <c r="J3371" s="2" t="inlineStr">
        <is>
          <t>Online</t>
        </is>
      </c>
      <c r="K3371" s="2" t="n">
        <v>2</v>
      </c>
      <c r="L3371" s="3" t="n">
        <v>1562.83</v>
      </c>
      <c r="M3371" s="4" t="n">
        <v>0.15</v>
      </c>
      <c r="N3371" s="3" t="n">
        <v>2128.74</v>
      </c>
      <c r="O3371" s="3">
        <f>K3371*L3371*(1-M3371)</f>
        <v/>
      </c>
      <c r="P3371" s="3">
        <f>O3371-N3371</f>
        <v/>
      </c>
      <c r="Q3371" s="5">
        <f>IFERROR(P3371/O3371,0)</f>
        <v/>
      </c>
      <c r="R3371" s="2">
        <f>TEXT(DATEVALUE(B3371),"mmm")</f>
        <v/>
      </c>
      <c r="S3371" s="2">
        <f>TEXT(DATEVALUE(B3371),"yyyy-mm")</f>
        <v/>
      </c>
    </row>
    <row r="3372">
      <c r="A3372" s="2" t="inlineStr">
        <is>
          <t>O000486</t>
        </is>
      </c>
      <c r="B3372" s="2" t="inlineStr">
        <is>
          <t>2025-09-03</t>
        </is>
      </c>
      <c r="C3372" s="2" t="inlineStr">
        <is>
          <t>C0150</t>
        </is>
      </c>
      <c r="D3372" s="2" t="inlineStr">
        <is>
          <t>P0007</t>
        </is>
      </c>
      <c r="E3372" s="2" t="inlineStr">
        <is>
          <t>Wireless Mouse</t>
        </is>
      </c>
      <c r="F3372" s="2" t="inlineStr">
        <is>
          <t>Electronics</t>
        </is>
      </c>
      <c r="G3372" s="2" t="inlineStr">
        <is>
          <t>South</t>
        </is>
      </c>
      <c r="H3372" s="2" t="inlineStr">
        <is>
          <t>Tamil Nadu</t>
        </is>
      </c>
      <c r="I3372" s="2" t="inlineStr">
        <is>
          <t>Madurai</t>
        </is>
      </c>
      <c r="J3372" s="2" t="inlineStr">
        <is>
          <t>Store</t>
        </is>
      </c>
      <c r="K3372" s="2" t="n">
        <v>1</v>
      </c>
      <c r="L3372" s="3" t="n">
        <v>1016.17</v>
      </c>
      <c r="M3372" s="4" t="n">
        <v>0.15</v>
      </c>
      <c r="N3372" s="3" t="n">
        <v>644.75</v>
      </c>
      <c r="O3372" s="3">
        <f>K3372*L3372*(1-M3372)</f>
        <v/>
      </c>
      <c r="P3372" s="3">
        <f>O3372-N3372</f>
        <v/>
      </c>
      <c r="Q3372" s="5">
        <f>IFERROR(P3372/O3372,0)</f>
        <v/>
      </c>
      <c r="R3372" s="2">
        <f>TEXT(DATEVALUE(B3372),"mmm")</f>
        <v/>
      </c>
      <c r="S3372" s="2">
        <f>TEXT(DATEVALUE(B3372),"yyyy-mm")</f>
        <v/>
      </c>
    </row>
    <row r="3373">
      <c r="A3373" s="2" t="inlineStr">
        <is>
          <t>O000371</t>
        </is>
      </c>
      <c r="B3373" s="2" t="inlineStr">
        <is>
          <t>2025-09-03</t>
        </is>
      </c>
      <c r="C3373" s="2" t="inlineStr">
        <is>
          <t>C0705</t>
        </is>
      </c>
      <c r="D3373" s="2" t="inlineStr">
        <is>
          <t>P0030</t>
        </is>
      </c>
      <c r="E3373" s="2" t="inlineStr">
        <is>
          <t>Dumbbells</t>
        </is>
      </c>
      <c r="F3373" s="2" t="inlineStr">
        <is>
          <t>Sports</t>
        </is>
      </c>
      <c r="G3373" s="2" t="inlineStr">
        <is>
          <t>West</t>
        </is>
      </c>
      <c r="H3373" s="2" t="inlineStr">
        <is>
          <t>Gujarat</t>
        </is>
      </c>
      <c r="I3373" s="2" t="inlineStr">
        <is>
          <t>Surat</t>
        </is>
      </c>
      <c r="J3373" s="2" t="inlineStr">
        <is>
          <t>Online</t>
        </is>
      </c>
      <c r="K3373" s="2" t="n">
        <v>1</v>
      </c>
      <c r="L3373" s="3" t="n">
        <v>1619.67</v>
      </c>
      <c r="M3373" s="4" t="n">
        <v>0.1</v>
      </c>
      <c r="N3373" s="3" t="n">
        <v>1044.91</v>
      </c>
      <c r="O3373" s="3">
        <f>K3373*L3373*(1-M3373)</f>
        <v/>
      </c>
      <c r="P3373" s="3">
        <f>O3373-N3373</f>
        <v/>
      </c>
      <c r="Q3373" s="5">
        <f>IFERROR(P3373/O3373,0)</f>
        <v/>
      </c>
      <c r="R3373" s="2">
        <f>TEXT(DATEVALUE(B3373),"mmm")</f>
        <v/>
      </c>
      <c r="S3373" s="2">
        <f>TEXT(DATEVALUE(B3373),"yyyy-mm")</f>
        <v/>
      </c>
    </row>
    <row r="3374">
      <c r="A3374" s="2" t="inlineStr">
        <is>
          <t>O002478</t>
        </is>
      </c>
      <c r="B3374" s="2" t="inlineStr">
        <is>
          <t>2025-09-03</t>
        </is>
      </c>
      <c r="C3374" s="2" t="inlineStr">
        <is>
          <t>C0506</t>
        </is>
      </c>
      <c r="D3374" s="2" t="inlineStr">
        <is>
          <t>P0035</t>
        </is>
      </c>
      <c r="E3374" s="2" t="inlineStr">
        <is>
          <t>Skipping Rope</t>
        </is>
      </c>
      <c r="F3374" s="2" t="inlineStr">
        <is>
          <t>Sports</t>
        </is>
      </c>
      <c r="G3374" s="2" t="inlineStr">
        <is>
          <t>South</t>
        </is>
      </c>
      <c r="H3374" s="2" t="inlineStr">
        <is>
          <t>Telangana</t>
        </is>
      </c>
      <c r="I3374" s="2" t="inlineStr">
        <is>
          <t>Warangal</t>
        </is>
      </c>
      <c r="J3374" s="2" t="inlineStr">
        <is>
          <t>Online</t>
        </is>
      </c>
      <c r="K3374" s="2" t="n">
        <v>2</v>
      </c>
      <c r="L3374" s="3" t="n">
        <v>683.0599999999999</v>
      </c>
      <c r="M3374" s="4" t="n">
        <v>0.2</v>
      </c>
      <c r="N3374" s="3" t="n">
        <v>809.1</v>
      </c>
      <c r="O3374" s="3">
        <f>K3374*L3374*(1-M3374)</f>
        <v/>
      </c>
      <c r="P3374" s="3">
        <f>O3374-N3374</f>
        <v/>
      </c>
      <c r="Q3374" s="5">
        <f>IFERROR(P3374/O3374,0)</f>
        <v/>
      </c>
      <c r="R3374" s="2">
        <f>TEXT(DATEVALUE(B3374),"mmm")</f>
        <v/>
      </c>
      <c r="S3374" s="2">
        <f>TEXT(DATEVALUE(B3374),"yyyy-mm")</f>
        <v/>
      </c>
    </row>
    <row r="3375">
      <c r="A3375" s="2" t="inlineStr">
        <is>
          <t>O003014</t>
        </is>
      </c>
      <c r="B3375" s="2" t="inlineStr">
        <is>
          <t>2025-09-04</t>
        </is>
      </c>
      <c r="C3375" s="2" t="inlineStr">
        <is>
          <t>C0312</t>
        </is>
      </c>
      <c r="D3375" s="2" t="inlineStr">
        <is>
          <t>P0010</t>
        </is>
      </c>
      <c r="E3375" s="2" t="inlineStr">
        <is>
          <t>Mixer Grinder</t>
        </is>
      </c>
      <c r="F3375" s="2" t="inlineStr">
        <is>
          <t>Home &amp; Kitchen</t>
        </is>
      </c>
      <c r="G3375" s="2" t="inlineStr">
        <is>
          <t>West</t>
        </is>
      </c>
      <c r="H3375" s="2" t="inlineStr">
        <is>
          <t>Maharashtra</t>
        </is>
      </c>
      <c r="I3375" s="2" t="inlineStr">
        <is>
          <t>Nashik</t>
        </is>
      </c>
      <c r="J3375" s="2" t="inlineStr">
        <is>
          <t>Store</t>
        </is>
      </c>
      <c r="K3375" s="2" t="n">
        <v>4</v>
      </c>
      <c r="L3375" s="3" t="n">
        <v>1689.5</v>
      </c>
      <c r="M3375" s="4" t="n">
        <v>0.05</v>
      </c>
      <c r="N3375" s="3" t="n">
        <v>4122.76</v>
      </c>
      <c r="O3375" s="3">
        <f>K3375*L3375*(1-M3375)</f>
        <v/>
      </c>
      <c r="P3375" s="3">
        <f>O3375-N3375</f>
        <v/>
      </c>
      <c r="Q3375" s="5">
        <f>IFERROR(P3375/O3375,0)</f>
        <v/>
      </c>
      <c r="R3375" s="2">
        <f>TEXT(DATEVALUE(B3375),"mmm")</f>
        <v/>
      </c>
      <c r="S3375" s="2">
        <f>TEXT(DATEVALUE(B3375),"yyyy-mm")</f>
        <v/>
      </c>
    </row>
    <row r="3376">
      <c r="A3376" s="2" t="inlineStr">
        <is>
          <t>O004581</t>
        </is>
      </c>
      <c r="B3376" s="2" t="inlineStr">
        <is>
          <t>2025-09-04</t>
        </is>
      </c>
      <c r="C3376" s="2" t="inlineStr">
        <is>
          <t>C0352</t>
        </is>
      </c>
      <c r="D3376" s="2" t="inlineStr">
        <is>
          <t>P0011</t>
        </is>
      </c>
      <c r="E3376" s="2" t="inlineStr">
        <is>
          <t>Cookware Set</t>
        </is>
      </c>
      <c r="F3376" s="2" t="inlineStr">
        <is>
          <t>Home &amp; Kitchen</t>
        </is>
      </c>
      <c r="G3376" s="2" t="inlineStr">
        <is>
          <t>North</t>
        </is>
      </c>
      <c r="H3376" s="2" t="inlineStr">
        <is>
          <t>Delhi</t>
        </is>
      </c>
      <c r="I3376" s="2" t="inlineStr">
        <is>
          <t>New Delhi</t>
        </is>
      </c>
      <c r="J3376" s="2" t="inlineStr">
        <is>
          <t>Online</t>
        </is>
      </c>
      <c r="K3376" s="2" t="n">
        <v>2</v>
      </c>
      <c r="L3376" s="3" t="n">
        <v>734.21</v>
      </c>
      <c r="M3376" s="4" t="n">
        <v>0.15</v>
      </c>
      <c r="N3376" s="3" t="n">
        <v>961.4299999999999</v>
      </c>
      <c r="O3376" s="3">
        <f>K3376*L3376*(1-M3376)</f>
        <v/>
      </c>
      <c r="P3376" s="3">
        <f>O3376-N3376</f>
        <v/>
      </c>
      <c r="Q3376" s="5">
        <f>IFERROR(P3376/O3376,0)</f>
        <v/>
      </c>
      <c r="R3376" s="2">
        <f>TEXT(DATEVALUE(B3376),"mmm")</f>
        <v/>
      </c>
      <c r="S3376" s="2">
        <f>TEXT(DATEVALUE(B3376),"yyyy-mm")</f>
        <v/>
      </c>
    </row>
    <row r="3377">
      <c r="A3377" s="2" t="inlineStr">
        <is>
          <t>O004558</t>
        </is>
      </c>
      <c r="B3377" s="2" t="inlineStr">
        <is>
          <t>2025-09-04</t>
        </is>
      </c>
      <c r="C3377" s="2" t="inlineStr">
        <is>
          <t>C0123</t>
        </is>
      </c>
      <c r="D3377" s="2" t="inlineStr">
        <is>
          <t>P0012</t>
        </is>
      </c>
      <c r="E3377" s="2" t="inlineStr">
        <is>
          <t>Water Bottle</t>
        </is>
      </c>
      <c r="F3377" s="2" t="inlineStr">
        <is>
          <t>Home &amp; Kitchen</t>
        </is>
      </c>
      <c r="G3377" s="2" t="inlineStr">
        <is>
          <t>South</t>
        </is>
      </c>
      <c r="H3377" s="2" t="inlineStr">
        <is>
          <t>Telangana</t>
        </is>
      </c>
      <c r="I3377" s="2" t="inlineStr">
        <is>
          <t>Hyderabad</t>
        </is>
      </c>
      <c r="J3377" s="2" t="inlineStr">
        <is>
          <t>Online</t>
        </is>
      </c>
      <c r="K3377" s="2" t="n">
        <v>1</v>
      </c>
      <c r="L3377" s="3" t="n">
        <v>952.67</v>
      </c>
      <c r="M3377" s="4" t="n">
        <v>0.05</v>
      </c>
      <c r="N3377" s="3" t="n">
        <v>609.0599999999999</v>
      </c>
      <c r="O3377" s="3">
        <f>K3377*L3377*(1-M3377)</f>
        <v/>
      </c>
      <c r="P3377" s="3">
        <f>O3377-N3377</f>
        <v/>
      </c>
      <c r="Q3377" s="5">
        <f>IFERROR(P3377/O3377,0)</f>
        <v/>
      </c>
      <c r="R3377" s="2">
        <f>TEXT(DATEVALUE(B3377),"mmm")</f>
        <v/>
      </c>
      <c r="S3377" s="2">
        <f>TEXT(DATEVALUE(B3377),"yyyy-mm")</f>
        <v/>
      </c>
    </row>
    <row r="3378">
      <c r="A3378" s="2" t="inlineStr">
        <is>
          <t>O004230</t>
        </is>
      </c>
      <c r="B3378" s="2" t="inlineStr">
        <is>
          <t>2025-09-04</t>
        </is>
      </c>
      <c r="C3378" s="2" t="inlineStr">
        <is>
          <t>C0223</t>
        </is>
      </c>
      <c r="D3378" s="2" t="inlineStr">
        <is>
          <t>P0017</t>
        </is>
      </c>
      <c r="E3378" s="2" t="inlineStr">
        <is>
          <t>Jeans</t>
        </is>
      </c>
      <c r="F3378" s="2" t="inlineStr">
        <is>
          <t>Fashion</t>
        </is>
      </c>
      <c r="G3378" s="2" t="inlineStr">
        <is>
          <t>North</t>
        </is>
      </c>
      <c r="H3378" s="2" t="inlineStr">
        <is>
          <t>Uttar Pradesh</t>
        </is>
      </c>
      <c r="I3378" s="2" t="inlineStr">
        <is>
          <t>Lucknow</t>
        </is>
      </c>
      <c r="J3378" s="2" t="inlineStr">
        <is>
          <t>Store</t>
        </is>
      </c>
      <c r="K3378" s="2" t="n">
        <v>3</v>
      </c>
      <c r="L3378" s="3" t="n">
        <v>1465.51</v>
      </c>
      <c r="M3378" s="4" t="n">
        <v>0.05</v>
      </c>
      <c r="N3378" s="3" t="n">
        <v>3001.59</v>
      </c>
      <c r="O3378" s="3">
        <f>K3378*L3378*(1-M3378)</f>
        <v/>
      </c>
      <c r="P3378" s="3">
        <f>O3378-N3378</f>
        <v/>
      </c>
      <c r="Q3378" s="5">
        <f>IFERROR(P3378/O3378,0)</f>
        <v/>
      </c>
      <c r="R3378" s="2">
        <f>TEXT(DATEVALUE(B3378),"mmm")</f>
        <v/>
      </c>
      <c r="S3378" s="2">
        <f>TEXT(DATEVALUE(B3378),"yyyy-mm")</f>
        <v/>
      </c>
    </row>
    <row r="3379">
      <c r="A3379" s="2" t="inlineStr">
        <is>
          <t>O004020</t>
        </is>
      </c>
      <c r="B3379" s="2" t="inlineStr">
        <is>
          <t>2025-09-04</t>
        </is>
      </c>
      <c r="C3379" s="2" t="inlineStr">
        <is>
          <t>C0597</t>
        </is>
      </c>
      <c r="D3379" s="2" t="inlineStr">
        <is>
          <t>P0010</t>
        </is>
      </c>
      <c r="E3379" s="2" t="inlineStr">
        <is>
          <t>Mixer Grinder</t>
        </is>
      </c>
      <c r="F3379" s="2" t="inlineStr">
        <is>
          <t>Home &amp; Kitchen</t>
        </is>
      </c>
      <c r="G3379" s="2" t="inlineStr">
        <is>
          <t>North</t>
        </is>
      </c>
      <c r="H3379" s="2" t="inlineStr">
        <is>
          <t>Delhi</t>
        </is>
      </c>
      <c r="I3379" s="2" t="inlineStr">
        <is>
          <t>New Delhi</t>
        </is>
      </c>
      <c r="J3379" s="2" t="inlineStr">
        <is>
          <t>Online</t>
        </is>
      </c>
      <c r="K3379" s="2" t="n">
        <v>1</v>
      </c>
      <c r="L3379" s="3" t="n">
        <v>1611.08</v>
      </c>
      <c r="M3379" s="4" t="n">
        <v>0.15</v>
      </c>
      <c r="N3379" s="3" t="n">
        <v>1078.06</v>
      </c>
      <c r="O3379" s="3">
        <f>K3379*L3379*(1-M3379)</f>
        <v/>
      </c>
      <c r="P3379" s="3">
        <f>O3379-N3379</f>
        <v/>
      </c>
      <c r="Q3379" s="5">
        <f>IFERROR(P3379/O3379,0)</f>
        <v/>
      </c>
      <c r="R3379" s="2">
        <f>TEXT(DATEVALUE(B3379),"mmm")</f>
        <v/>
      </c>
      <c r="S3379" s="2">
        <f>TEXT(DATEVALUE(B3379),"yyyy-mm")</f>
        <v/>
      </c>
    </row>
    <row r="3380">
      <c r="A3380" s="2" t="inlineStr">
        <is>
          <t>O003977</t>
        </is>
      </c>
      <c r="B3380" s="2" t="inlineStr">
        <is>
          <t>2025-09-04</t>
        </is>
      </c>
      <c r="C3380" s="2" t="inlineStr">
        <is>
          <t>C0688</t>
        </is>
      </c>
      <c r="D3380" s="2" t="inlineStr">
        <is>
          <t>P0006</t>
        </is>
      </c>
      <c r="E3380" s="2" t="inlineStr">
        <is>
          <t>Mechanical Keyboard</t>
        </is>
      </c>
      <c r="F3380" s="2" t="inlineStr">
        <is>
          <t>Electronics</t>
        </is>
      </c>
      <c r="G3380" s="2" t="inlineStr">
        <is>
          <t>East</t>
        </is>
      </c>
      <c r="H3380" s="2" t="inlineStr">
        <is>
          <t>Odisha</t>
        </is>
      </c>
      <c r="I3380" s="2" t="inlineStr">
        <is>
          <t>Cuttack</t>
        </is>
      </c>
      <c r="J3380" s="2" t="inlineStr">
        <is>
          <t>Online</t>
        </is>
      </c>
      <c r="K3380" s="2" t="n">
        <v>1</v>
      </c>
      <c r="L3380" s="3" t="n">
        <v>2711.45</v>
      </c>
      <c r="M3380" s="4" t="n">
        <v>0.05</v>
      </c>
      <c r="N3380" s="3" t="n">
        <v>1462.36</v>
      </c>
      <c r="O3380" s="3">
        <f>K3380*L3380*(1-M3380)</f>
        <v/>
      </c>
      <c r="P3380" s="3">
        <f>O3380-N3380</f>
        <v/>
      </c>
      <c r="Q3380" s="5">
        <f>IFERROR(P3380/O3380,0)</f>
        <v/>
      </c>
      <c r="R3380" s="2">
        <f>TEXT(DATEVALUE(B3380),"mmm")</f>
        <v/>
      </c>
      <c r="S3380" s="2">
        <f>TEXT(DATEVALUE(B3380),"yyyy-mm")</f>
        <v/>
      </c>
    </row>
    <row r="3381">
      <c r="A3381" s="2" t="inlineStr">
        <is>
          <t>O003073</t>
        </is>
      </c>
      <c r="B3381" s="2" t="inlineStr">
        <is>
          <t>2025-09-04</t>
        </is>
      </c>
      <c r="C3381" s="2" t="inlineStr">
        <is>
          <t>C0478</t>
        </is>
      </c>
      <c r="D3381" s="2" t="inlineStr">
        <is>
          <t>P0007</t>
        </is>
      </c>
      <c r="E3381" s="2" t="inlineStr">
        <is>
          <t>Wireless Mouse</t>
        </is>
      </c>
      <c r="F3381" s="2" t="inlineStr">
        <is>
          <t>Electronics</t>
        </is>
      </c>
      <c r="G3381" s="2" t="inlineStr">
        <is>
          <t>West</t>
        </is>
      </c>
      <c r="H3381" s="2" t="inlineStr">
        <is>
          <t>Gujarat</t>
        </is>
      </c>
      <c r="I3381" s="2" t="inlineStr">
        <is>
          <t>Vadodara</t>
        </is>
      </c>
      <c r="J3381" s="2" t="inlineStr">
        <is>
          <t>Store</t>
        </is>
      </c>
      <c r="K3381" s="2" t="n">
        <v>4</v>
      </c>
      <c r="L3381" s="3" t="n">
        <v>977.23</v>
      </c>
      <c r="M3381" s="4" t="n">
        <v>0.15</v>
      </c>
      <c r="N3381" s="3" t="n">
        <v>2559.93</v>
      </c>
      <c r="O3381" s="3">
        <f>K3381*L3381*(1-M3381)</f>
        <v/>
      </c>
      <c r="P3381" s="3">
        <f>O3381-N3381</f>
        <v/>
      </c>
      <c r="Q3381" s="5">
        <f>IFERROR(P3381/O3381,0)</f>
        <v/>
      </c>
      <c r="R3381" s="2">
        <f>TEXT(DATEVALUE(B3381),"mmm")</f>
        <v/>
      </c>
      <c r="S3381" s="2">
        <f>TEXT(DATEVALUE(B3381),"yyyy-mm")</f>
        <v/>
      </c>
    </row>
    <row r="3382">
      <c r="A3382" s="2" t="inlineStr">
        <is>
          <t>O002532</t>
        </is>
      </c>
      <c r="B3382" s="2" t="inlineStr">
        <is>
          <t>2025-09-04</t>
        </is>
      </c>
      <c r="C3382" s="2" t="inlineStr">
        <is>
          <t>C0131</t>
        </is>
      </c>
      <c r="D3382" s="2" t="inlineStr">
        <is>
          <t>P0007</t>
        </is>
      </c>
      <c r="E3382" s="2" t="inlineStr">
        <is>
          <t>Wireless Mouse</t>
        </is>
      </c>
      <c r="F3382" s="2" t="inlineStr">
        <is>
          <t>Electronics</t>
        </is>
      </c>
      <c r="G3382" s="2" t="inlineStr">
        <is>
          <t>East</t>
        </is>
      </c>
      <c r="H3382" s="2" t="inlineStr">
        <is>
          <t>West Bengal</t>
        </is>
      </c>
      <c r="I3382" s="2" t="inlineStr">
        <is>
          <t>Kolkata</t>
        </is>
      </c>
      <c r="J3382" s="2" t="inlineStr">
        <is>
          <t>Store</t>
        </is>
      </c>
      <c r="K3382" s="2" t="n">
        <v>1</v>
      </c>
      <c r="L3382" s="3" t="n">
        <v>1020.99</v>
      </c>
      <c r="M3382" s="4" t="n">
        <v>0</v>
      </c>
      <c r="N3382" s="3" t="n">
        <v>616.21</v>
      </c>
      <c r="O3382" s="3">
        <f>K3382*L3382*(1-M3382)</f>
        <v/>
      </c>
      <c r="P3382" s="3">
        <f>O3382-N3382</f>
        <v/>
      </c>
      <c r="Q3382" s="5">
        <f>IFERROR(P3382/O3382,0)</f>
        <v/>
      </c>
      <c r="R3382" s="2">
        <f>TEXT(DATEVALUE(B3382),"mmm")</f>
        <v/>
      </c>
      <c r="S3382" s="2">
        <f>TEXT(DATEVALUE(B3382),"yyyy-mm")</f>
        <v/>
      </c>
    </row>
    <row r="3383">
      <c r="A3383" s="2" t="inlineStr">
        <is>
          <t>O000375</t>
        </is>
      </c>
      <c r="B3383" s="2" t="inlineStr">
        <is>
          <t>2025-09-04</t>
        </is>
      </c>
      <c r="C3383" s="2" t="inlineStr">
        <is>
          <t>C0400</t>
        </is>
      </c>
      <c r="D3383" s="2" t="inlineStr">
        <is>
          <t>P0013</t>
        </is>
      </c>
      <c r="E3383" s="2" t="inlineStr">
        <is>
          <t>Storage Organizer</t>
        </is>
      </c>
      <c r="F3383" s="2" t="inlineStr">
        <is>
          <t>Home &amp; Kitchen</t>
        </is>
      </c>
      <c r="G3383" s="2" t="inlineStr">
        <is>
          <t>West</t>
        </is>
      </c>
      <c r="H3383" s="2" t="inlineStr">
        <is>
          <t>Goa</t>
        </is>
      </c>
      <c r="I3383" s="2" t="inlineStr">
        <is>
          <t>Margao</t>
        </is>
      </c>
      <c r="J3383" s="2" t="inlineStr">
        <is>
          <t>Online</t>
        </is>
      </c>
      <c r="K3383" s="2" t="n">
        <v>3</v>
      </c>
      <c r="L3383" s="3" t="n">
        <v>556.34</v>
      </c>
      <c r="M3383" s="4" t="n">
        <v>0.2</v>
      </c>
      <c r="N3383" s="3" t="n">
        <v>1080.73</v>
      </c>
      <c r="O3383" s="3">
        <f>K3383*L3383*(1-M3383)</f>
        <v/>
      </c>
      <c r="P3383" s="3">
        <f>O3383-N3383</f>
        <v/>
      </c>
      <c r="Q3383" s="5">
        <f>IFERROR(P3383/O3383,0)</f>
        <v/>
      </c>
      <c r="R3383" s="2">
        <f>TEXT(DATEVALUE(B3383),"mmm")</f>
        <v/>
      </c>
      <c r="S3383" s="2">
        <f>TEXT(DATEVALUE(B3383),"yyyy-mm")</f>
        <v/>
      </c>
    </row>
    <row r="3384">
      <c r="A3384" s="2" t="inlineStr">
        <is>
          <t>O001254</t>
        </is>
      </c>
      <c r="B3384" s="2" t="inlineStr">
        <is>
          <t>2025-09-04</t>
        </is>
      </c>
      <c r="C3384" s="2" t="inlineStr">
        <is>
          <t>C0016</t>
        </is>
      </c>
      <c r="D3384" s="2" t="inlineStr">
        <is>
          <t>P0031</t>
        </is>
      </c>
      <c r="E3384" s="2" t="inlineStr">
        <is>
          <t>Cricket Bat</t>
        </is>
      </c>
      <c r="F3384" s="2" t="inlineStr">
        <is>
          <t>Sports</t>
        </is>
      </c>
      <c r="G3384" s="2" t="inlineStr">
        <is>
          <t>West</t>
        </is>
      </c>
      <c r="H3384" s="2" t="inlineStr">
        <is>
          <t>Gujarat</t>
        </is>
      </c>
      <c r="I3384" s="2" t="inlineStr">
        <is>
          <t>Surat</t>
        </is>
      </c>
      <c r="J3384" s="2" t="inlineStr">
        <is>
          <t>Online</t>
        </is>
      </c>
      <c r="K3384" s="2" t="n">
        <v>3</v>
      </c>
      <c r="L3384" s="3" t="n">
        <v>1393.39</v>
      </c>
      <c r="M3384" s="4" t="n">
        <v>0.1</v>
      </c>
      <c r="N3384" s="3" t="n">
        <v>2835.61</v>
      </c>
      <c r="O3384" s="3">
        <f>K3384*L3384*(1-M3384)</f>
        <v/>
      </c>
      <c r="P3384" s="3">
        <f>O3384-N3384</f>
        <v/>
      </c>
      <c r="Q3384" s="5">
        <f>IFERROR(P3384/O3384,0)</f>
        <v/>
      </c>
      <c r="R3384" s="2">
        <f>TEXT(DATEVALUE(B3384),"mmm")</f>
        <v/>
      </c>
      <c r="S3384" s="2">
        <f>TEXT(DATEVALUE(B3384),"yyyy-mm")</f>
        <v/>
      </c>
    </row>
    <row r="3385">
      <c r="A3385" s="2" t="inlineStr">
        <is>
          <t>O000958</t>
        </is>
      </c>
      <c r="B3385" s="2" t="inlineStr">
        <is>
          <t>2025-09-04</t>
        </is>
      </c>
      <c r="C3385" s="2" t="inlineStr">
        <is>
          <t>C0088</t>
        </is>
      </c>
      <c r="D3385" s="2" t="inlineStr">
        <is>
          <t>P0012</t>
        </is>
      </c>
      <c r="E3385" s="2" t="inlineStr">
        <is>
          <t>Water Bottle</t>
        </is>
      </c>
      <c r="F3385" s="2" t="inlineStr">
        <is>
          <t>Home &amp; Kitchen</t>
        </is>
      </c>
      <c r="G3385" s="2" t="inlineStr">
        <is>
          <t>West</t>
        </is>
      </c>
      <c r="H3385" s="2" t="inlineStr">
        <is>
          <t>Gujarat</t>
        </is>
      </c>
      <c r="I3385" s="2" t="inlineStr">
        <is>
          <t>Vadodara</t>
        </is>
      </c>
      <c r="J3385" s="2" t="inlineStr">
        <is>
          <t>Online</t>
        </is>
      </c>
      <c r="K3385" s="2" t="n">
        <v>1</v>
      </c>
      <c r="L3385" s="3" t="n">
        <v>931.6799999999999</v>
      </c>
      <c r="M3385" s="4" t="n">
        <v>0.2</v>
      </c>
      <c r="N3385" s="3" t="n">
        <v>612.34</v>
      </c>
      <c r="O3385" s="3">
        <f>K3385*L3385*(1-M3385)</f>
        <v/>
      </c>
      <c r="P3385" s="3">
        <f>O3385-N3385</f>
        <v/>
      </c>
      <c r="Q3385" s="5">
        <f>IFERROR(P3385/O3385,0)</f>
        <v/>
      </c>
      <c r="R3385" s="2">
        <f>TEXT(DATEVALUE(B3385),"mmm")</f>
        <v/>
      </c>
      <c r="S3385" s="2">
        <f>TEXT(DATEVALUE(B3385),"yyyy-mm")</f>
        <v/>
      </c>
    </row>
    <row r="3386">
      <c r="A3386" s="2" t="inlineStr">
        <is>
          <t>O000803</t>
        </is>
      </c>
      <c r="B3386" s="2" t="inlineStr">
        <is>
          <t>2025-09-04</t>
        </is>
      </c>
      <c r="C3386" s="2" t="inlineStr">
        <is>
          <t>C0506</t>
        </is>
      </c>
      <c r="D3386" s="2" t="inlineStr">
        <is>
          <t>P0011</t>
        </is>
      </c>
      <c r="E3386" s="2" t="inlineStr">
        <is>
          <t>Cookware Set</t>
        </is>
      </c>
      <c r="F3386" s="2" t="inlineStr">
        <is>
          <t>Home &amp; Kitchen</t>
        </is>
      </c>
      <c r="G3386" s="2" t="inlineStr">
        <is>
          <t>West</t>
        </is>
      </c>
      <c r="H3386" s="2" t="inlineStr">
        <is>
          <t>Goa</t>
        </is>
      </c>
      <c r="I3386" s="2" t="inlineStr">
        <is>
          <t>Panaji</t>
        </is>
      </c>
      <c r="J3386" s="2" t="inlineStr">
        <is>
          <t>Store</t>
        </is>
      </c>
      <c r="K3386" s="2" t="n">
        <v>4</v>
      </c>
      <c r="L3386" s="3" t="n">
        <v>709.42</v>
      </c>
      <c r="M3386" s="4" t="n">
        <v>0</v>
      </c>
      <c r="N3386" s="3" t="n">
        <v>1885.87</v>
      </c>
      <c r="O3386" s="3">
        <f>K3386*L3386*(1-M3386)</f>
        <v/>
      </c>
      <c r="P3386" s="3">
        <f>O3386-N3386</f>
        <v/>
      </c>
      <c r="Q3386" s="5">
        <f>IFERROR(P3386/O3386,0)</f>
        <v/>
      </c>
      <c r="R3386" s="2">
        <f>TEXT(DATEVALUE(B3386),"mmm")</f>
        <v/>
      </c>
      <c r="S3386" s="2">
        <f>TEXT(DATEVALUE(B3386),"yyyy-mm")</f>
        <v/>
      </c>
    </row>
    <row r="3387">
      <c r="A3387" s="2" t="inlineStr">
        <is>
          <t>O000501</t>
        </is>
      </c>
      <c r="B3387" s="2" t="inlineStr">
        <is>
          <t>2025-09-04</t>
        </is>
      </c>
      <c r="C3387" s="2" t="inlineStr">
        <is>
          <t>C0104</t>
        </is>
      </c>
      <c r="D3387" s="2" t="inlineStr">
        <is>
          <t>P0004</t>
        </is>
      </c>
      <c r="E3387" s="2" t="inlineStr">
        <is>
          <t>USB-C Hub</t>
        </is>
      </c>
      <c r="F3387" s="2" t="inlineStr">
        <is>
          <t>Electronics</t>
        </is>
      </c>
      <c r="G3387" s="2" t="inlineStr">
        <is>
          <t>North</t>
        </is>
      </c>
      <c r="H3387" s="2" t="inlineStr">
        <is>
          <t>Uttar Pradesh</t>
        </is>
      </c>
      <c r="I3387" s="2" t="inlineStr">
        <is>
          <t>Kanpur</t>
        </is>
      </c>
      <c r="J3387" s="2" t="inlineStr">
        <is>
          <t>Online</t>
        </is>
      </c>
      <c r="K3387" s="2" t="n">
        <v>5</v>
      </c>
      <c r="L3387" s="3" t="n">
        <v>1281.27</v>
      </c>
      <c r="M3387" s="4" t="n">
        <v>0.15</v>
      </c>
      <c r="N3387" s="3" t="n">
        <v>4559.84</v>
      </c>
      <c r="O3387" s="3">
        <f>K3387*L3387*(1-M3387)</f>
        <v/>
      </c>
      <c r="P3387" s="3">
        <f>O3387-N3387</f>
        <v/>
      </c>
      <c r="Q3387" s="5">
        <f>IFERROR(P3387/O3387,0)</f>
        <v/>
      </c>
      <c r="R3387" s="2">
        <f>TEXT(DATEVALUE(B3387),"mmm")</f>
        <v/>
      </c>
      <c r="S3387" s="2">
        <f>TEXT(DATEVALUE(B3387),"yyyy-mm")</f>
        <v/>
      </c>
    </row>
    <row r="3388">
      <c r="A3388" s="2" t="inlineStr">
        <is>
          <t>O000462</t>
        </is>
      </c>
      <c r="B3388" s="2" t="inlineStr">
        <is>
          <t>2025-09-04</t>
        </is>
      </c>
      <c r="C3388" s="2" t="inlineStr">
        <is>
          <t>C0785</t>
        </is>
      </c>
      <c r="D3388" s="2" t="inlineStr">
        <is>
          <t>P0003</t>
        </is>
      </c>
      <c r="E3388" s="2" t="inlineStr">
        <is>
          <t>Smartwatch</t>
        </is>
      </c>
      <c r="F3388" s="2" t="inlineStr">
        <is>
          <t>Electronics</t>
        </is>
      </c>
      <c r="G3388" s="2" t="inlineStr">
        <is>
          <t>South</t>
        </is>
      </c>
      <c r="H3388" s="2" t="inlineStr">
        <is>
          <t>Telangana</t>
        </is>
      </c>
      <c r="I3388" s="2" t="inlineStr">
        <is>
          <t>Warangal</t>
        </is>
      </c>
      <c r="J3388" s="2" t="inlineStr">
        <is>
          <t>Store</t>
        </is>
      </c>
      <c r="K3388" s="2" t="n">
        <v>1</v>
      </c>
      <c r="L3388" s="3" t="n">
        <v>2367.84</v>
      </c>
      <c r="M3388" s="4" t="n">
        <v>0.1</v>
      </c>
      <c r="N3388" s="3" t="n">
        <v>1223.57</v>
      </c>
      <c r="O3388" s="3">
        <f>K3388*L3388*(1-M3388)</f>
        <v/>
      </c>
      <c r="P3388" s="3">
        <f>O3388-N3388</f>
        <v/>
      </c>
      <c r="Q3388" s="5">
        <f>IFERROR(P3388/O3388,0)</f>
        <v/>
      </c>
      <c r="R3388" s="2">
        <f>TEXT(DATEVALUE(B3388),"mmm")</f>
        <v/>
      </c>
      <c r="S3388" s="2">
        <f>TEXT(DATEVALUE(B3388),"yyyy-mm")</f>
        <v/>
      </c>
    </row>
    <row r="3389">
      <c r="A3389" s="2" t="inlineStr">
        <is>
          <t>O000221</t>
        </is>
      </c>
      <c r="B3389" s="2" t="inlineStr">
        <is>
          <t>2025-09-04</t>
        </is>
      </c>
      <c r="C3389" s="2" t="inlineStr">
        <is>
          <t>C0122</t>
        </is>
      </c>
      <c r="D3389" s="2" t="inlineStr">
        <is>
          <t>P0013</t>
        </is>
      </c>
      <c r="E3389" s="2" t="inlineStr">
        <is>
          <t>Storage Organizer</t>
        </is>
      </c>
      <c r="F3389" s="2" t="inlineStr">
        <is>
          <t>Home &amp; Kitchen</t>
        </is>
      </c>
      <c r="G3389" s="2" t="inlineStr">
        <is>
          <t>North</t>
        </is>
      </c>
      <c r="H3389" s="2" t="inlineStr">
        <is>
          <t>Haryana</t>
        </is>
      </c>
      <c r="I3389" s="2" t="inlineStr">
        <is>
          <t>Faridabad</t>
        </is>
      </c>
      <c r="J3389" s="2" t="inlineStr">
        <is>
          <t>Online</t>
        </is>
      </c>
      <c r="K3389" s="2" t="n">
        <v>1</v>
      </c>
      <c r="L3389" s="3" t="n">
        <v>597.3</v>
      </c>
      <c r="M3389" s="4" t="n">
        <v>0.15</v>
      </c>
      <c r="N3389" s="3" t="n">
        <v>373.69</v>
      </c>
      <c r="O3389" s="3">
        <f>K3389*L3389*(1-M3389)</f>
        <v/>
      </c>
      <c r="P3389" s="3">
        <f>O3389-N3389</f>
        <v/>
      </c>
      <c r="Q3389" s="5">
        <f>IFERROR(P3389/O3389,0)</f>
        <v/>
      </c>
      <c r="R3389" s="2">
        <f>TEXT(DATEVALUE(B3389),"mmm")</f>
        <v/>
      </c>
      <c r="S3389" s="2">
        <f>TEXT(DATEVALUE(B3389),"yyyy-mm")</f>
        <v/>
      </c>
    </row>
    <row r="3390">
      <c r="A3390" s="2" t="inlineStr">
        <is>
          <t>O001498</t>
        </is>
      </c>
      <c r="B3390" s="2" t="inlineStr">
        <is>
          <t>2025-09-04</t>
        </is>
      </c>
      <c r="C3390" s="2" t="inlineStr">
        <is>
          <t>C0390</t>
        </is>
      </c>
      <c r="D3390" s="2" t="inlineStr">
        <is>
          <t>P0024</t>
        </is>
      </c>
      <c r="E3390" s="2" t="inlineStr">
        <is>
          <t>Hair Dryer</t>
        </is>
      </c>
      <c r="F3390" s="2" t="inlineStr">
        <is>
          <t>Beauty</t>
        </is>
      </c>
      <c r="G3390" s="2" t="inlineStr">
        <is>
          <t>North</t>
        </is>
      </c>
      <c r="H3390" s="2" t="inlineStr">
        <is>
          <t>Punjab</t>
        </is>
      </c>
      <c r="I3390" s="2" t="inlineStr">
        <is>
          <t>Jalandhar</t>
        </is>
      </c>
      <c r="J3390" s="2" t="inlineStr">
        <is>
          <t>Online</t>
        </is>
      </c>
      <c r="K3390" s="2" t="n">
        <v>3</v>
      </c>
      <c r="L3390" s="3" t="n">
        <v>1014.98</v>
      </c>
      <c r="M3390" s="4" t="n">
        <v>0</v>
      </c>
      <c r="N3390" s="3" t="n">
        <v>2256.73</v>
      </c>
      <c r="O3390" s="3">
        <f>K3390*L3390*(1-M3390)</f>
        <v/>
      </c>
      <c r="P3390" s="3">
        <f>O3390-N3390</f>
        <v/>
      </c>
      <c r="Q3390" s="5">
        <f>IFERROR(P3390/O3390,0)</f>
        <v/>
      </c>
      <c r="R3390" s="2">
        <f>TEXT(DATEVALUE(B3390),"mmm")</f>
        <v/>
      </c>
      <c r="S3390" s="2">
        <f>TEXT(DATEVALUE(B3390),"yyyy-mm")</f>
        <v/>
      </c>
    </row>
    <row r="3391">
      <c r="A3391" s="2" t="inlineStr">
        <is>
          <t>O004019</t>
        </is>
      </c>
      <c r="B3391" s="2" t="inlineStr">
        <is>
          <t>2025-09-05</t>
        </is>
      </c>
      <c r="C3391" s="2" t="inlineStr">
        <is>
          <t>C0231</t>
        </is>
      </c>
      <c r="D3391" s="2" t="inlineStr">
        <is>
          <t>P0011</t>
        </is>
      </c>
      <c r="E3391" s="2" t="inlineStr">
        <is>
          <t>Cookware Set</t>
        </is>
      </c>
      <c r="F3391" s="2" t="inlineStr">
        <is>
          <t>Home &amp; Kitchen</t>
        </is>
      </c>
      <c r="G3391" s="2" t="inlineStr">
        <is>
          <t>North</t>
        </is>
      </c>
      <c r="H3391" s="2" t="inlineStr">
        <is>
          <t>Delhi</t>
        </is>
      </c>
      <c r="I3391" s="2" t="inlineStr">
        <is>
          <t>New Delhi</t>
        </is>
      </c>
      <c r="J3391" s="2" t="inlineStr">
        <is>
          <t>Store</t>
        </is>
      </c>
      <c r="K3391" s="2" t="n">
        <v>4</v>
      </c>
      <c r="L3391" s="3" t="n">
        <v>712.29</v>
      </c>
      <c r="M3391" s="4" t="n">
        <v>0.25</v>
      </c>
      <c r="N3391" s="3" t="n">
        <v>1949.24</v>
      </c>
      <c r="O3391" s="3">
        <f>K3391*L3391*(1-M3391)</f>
        <v/>
      </c>
      <c r="P3391" s="3">
        <f>O3391-N3391</f>
        <v/>
      </c>
      <c r="Q3391" s="5">
        <f>IFERROR(P3391/O3391,0)</f>
        <v/>
      </c>
      <c r="R3391" s="2">
        <f>TEXT(DATEVALUE(B3391),"mmm")</f>
        <v/>
      </c>
      <c r="S3391" s="2">
        <f>TEXT(DATEVALUE(B3391),"yyyy-mm")</f>
        <v/>
      </c>
    </row>
    <row r="3392">
      <c r="A3392" s="2" t="inlineStr">
        <is>
          <t>O004399</t>
        </is>
      </c>
      <c r="B3392" s="2" t="inlineStr">
        <is>
          <t>2025-09-05</t>
        </is>
      </c>
      <c r="C3392" s="2" t="inlineStr">
        <is>
          <t>C0092</t>
        </is>
      </c>
      <c r="D3392" s="2" t="inlineStr">
        <is>
          <t>P0014</t>
        </is>
      </c>
      <c r="E3392" s="2" t="inlineStr">
        <is>
          <t>Coffee Maker</t>
        </is>
      </c>
      <c r="F3392" s="2" t="inlineStr">
        <is>
          <t>Home &amp; Kitchen</t>
        </is>
      </c>
      <c r="G3392" s="2" t="inlineStr">
        <is>
          <t>North</t>
        </is>
      </c>
      <c r="H3392" s="2" t="inlineStr">
        <is>
          <t>Haryana</t>
        </is>
      </c>
      <c r="I3392" s="2" t="inlineStr">
        <is>
          <t>Gurugram</t>
        </is>
      </c>
      <c r="J3392" s="2" t="inlineStr">
        <is>
          <t>Online</t>
        </is>
      </c>
      <c r="K3392" s="2" t="n">
        <v>3</v>
      </c>
      <c r="L3392" s="3" t="n">
        <v>1023.49</v>
      </c>
      <c r="M3392" s="4" t="n">
        <v>0.15</v>
      </c>
      <c r="N3392" s="3" t="n">
        <v>2329.44</v>
      </c>
      <c r="O3392" s="3">
        <f>K3392*L3392*(1-M3392)</f>
        <v/>
      </c>
      <c r="P3392" s="3">
        <f>O3392-N3392</f>
        <v/>
      </c>
      <c r="Q3392" s="5">
        <f>IFERROR(P3392/O3392,0)</f>
        <v/>
      </c>
      <c r="R3392" s="2">
        <f>TEXT(DATEVALUE(B3392),"mmm")</f>
        <v/>
      </c>
      <c r="S3392" s="2">
        <f>TEXT(DATEVALUE(B3392),"yyyy-mm")</f>
        <v/>
      </c>
    </row>
    <row r="3393">
      <c r="A3393" s="2" t="inlineStr">
        <is>
          <t>O004365</t>
        </is>
      </c>
      <c r="B3393" s="2" t="inlineStr">
        <is>
          <t>2025-09-05</t>
        </is>
      </c>
      <c r="C3393" s="2" t="inlineStr">
        <is>
          <t>C0429</t>
        </is>
      </c>
      <c r="D3393" s="2" t="inlineStr">
        <is>
          <t>P0027</t>
        </is>
      </c>
      <c r="E3393" s="2" t="inlineStr">
        <is>
          <t>Moisturizer</t>
        </is>
      </c>
      <c r="F3393" s="2" t="inlineStr">
        <is>
          <t>Beauty</t>
        </is>
      </c>
      <c r="G3393" s="2" t="inlineStr">
        <is>
          <t>North</t>
        </is>
      </c>
      <c r="H3393" s="2" t="inlineStr">
        <is>
          <t>Haryana</t>
        </is>
      </c>
      <c r="I3393" s="2" t="inlineStr">
        <is>
          <t>Faridabad</t>
        </is>
      </c>
      <c r="J3393" s="2" t="inlineStr">
        <is>
          <t>Store</t>
        </is>
      </c>
      <c r="K3393" s="2" t="n">
        <v>1</v>
      </c>
      <c r="L3393" s="3" t="n">
        <v>991.03</v>
      </c>
      <c r="M3393" s="4" t="n">
        <v>0</v>
      </c>
      <c r="N3393" s="3" t="n">
        <v>671.23</v>
      </c>
      <c r="O3393" s="3">
        <f>K3393*L3393*(1-M3393)</f>
        <v/>
      </c>
      <c r="P3393" s="3">
        <f>O3393-N3393</f>
        <v/>
      </c>
      <c r="Q3393" s="5">
        <f>IFERROR(P3393/O3393,0)</f>
        <v/>
      </c>
      <c r="R3393" s="2">
        <f>TEXT(DATEVALUE(B3393),"mmm")</f>
        <v/>
      </c>
      <c r="S3393" s="2">
        <f>TEXT(DATEVALUE(B3393),"yyyy-mm")</f>
        <v/>
      </c>
    </row>
    <row r="3394">
      <c r="A3394" s="2" t="inlineStr">
        <is>
          <t>O004295</t>
        </is>
      </c>
      <c r="B3394" s="2" t="inlineStr">
        <is>
          <t>2025-09-05</t>
        </is>
      </c>
      <c r="C3394" s="2" t="inlineStr">
        <is>
          <t>C0311</t>
        </is>
      </c>
      <c r="D3394" s="2" t="inlineStr">
        <is>
          <t>P0011</t>
        </is>
      </c>
      <c r="E3394" s="2" t="inlineStr">
        <is>
          <t>Cookware Set</t>
        </is>
      </c>
      <c r="F3394" s="2" t="inlineStr">
        <is>
          <t>Home &amp; Kitchen</t>
        </is>
      </c>
      <c r="G3394" s="2" t="inlineStr">
        <is>
          <t>West</t>
        </is>
      </c>
      <c r="H3394" s="2" t="inlineStr">
        <is>
          <t>Goa</t>
        </is>
      </c>
      <c r="I3394" s="2" t="inlineStr">
        <is>
          <t>Margao</t>
        </is>
      </c>
      <c r="J3394" s="2" t="inlineStr">
        <is>
          <t>Store</t>
        </is>
      </c>
      <c r="K3394" s="2" t="n">
        <v>1</v>
      </c>
      <c r="L3394" s="3" t="n">
        <v>719.13</v>
      </c>
      <c r="M3394" s="4" t="n">
        <v>0</v>
      </c>
      <c r="N3394" s="3" t="n">
        <v>479.6</v>
      </c>
      <c r="O3394" s="3">
        <f>K3394*L3394*(1-M3394)</f>
        <v/>
      </c>
      <c r="P3394" s="3">
        <f>O3394-N3394</f>
        <v/>
      </c>
      <c r="Q3394" s="5">
        <f>IFERROR(P3394/O3394,0)</f>
        <v/>
      </c>
      <c r="R3394" s="2">
        <f>TEXT(DATEVALUE(B3394),"mmm")</f>
        <v/>
      </c>
      <c r="S3394" s="2">
        <f>TEXT(DATEVALUE(B3394),"yyyy-mm")</f>
        <v/>
      </c>
    </row>
    <row r="3395">
      <c r="A3395" s="2" t="inlineStr">
        <is>
          <t>O004109</t>
        </is>
      </c>
      <c r="B3395" s="2" t="inlineStr">
        <is>
          <t>2025-09-05</t>
        </is>
      </c>
      <c r="C3395" s="2" t="inlineStr">
        <is>
          <t>C0793</t>
        </is>
      </c>
      <c r="D3395" s="2" t="inlineStr">
        <is>
          <t>P0008</t>
        </is>
      </c>
      <c r="E3395" s="2" t="inlineStr">
        <is>
          <t>Air Fryer</t>
        </is>
      </c>
      <c r="F3395" s="2" t="inlineStr">
        <is>
          <t>Home &amp; Kitchen</t>
        </is>
      </c>
      <c r="G3395" s="2" t="inlineStr">
        <is>
          <t>South</t>
        </is>
      </c>
      <c r="H3395" s="2" t="inlineStr">
        <is>
          <t>Kerala</t>
        </is>
      </c>
      <c r="I3395" s="2" t="inlineStr">
        <is>
          <t>Thiruvananthapuram</t>
        </is>
      </c>
      <c r="J3395" s="2" t="inlineStr">
        <is>
          <t>Store</t>
        </is>
      </c>
      <c r="K3395" s="2" t="n">
        <v>1</v>
      </c>
      <c r="L3395" s="3" t="n">
        <v>1032.26</v>
      </c>
      <c r="M3395" s="4" t="n">
        <v>0.1</v>
      </c>
      <c r="N3395" s="3" t="n">
        <v>680.28</v>
      </c>
      <c r="O3395" s="3">
        <f>K3395*L3395*(1-M3395)</f>
        <v/>
      </c>
      <c r="P3395" s="3">
        <f>O3395-N3395</f>
        <v/>
      </c>
      <c r="Q3395" s="5">
        <f>IFERROR(P3395/O3395,0)</f>
        <v/>
      </c>
      <c r="R3395" s="2">
        <f>TEXT(DATEVALUE(B3395),"mmm")</f>
        <v/>
      </c>
      <c r="S3395" s="2">
        <f>TEXT(DATEVALUE(B3395),"yyyy-mm")</f>
        <v/>
      </c>
    </row>
    <row r="3396">
      <c r="A3396" s="2" t="inlineStr">
        <is>
          <t>O003912</t>
        </is>
      </c>
      <c r="B3396" s="2" t="inlineStr">
        <is>
          <t>2025-09-05</t>
        </is>
      </c>
      <c r="C3396" s="2" t="inlineStr">
        <is>
          <t>C0214</t>
        </is>
      </c>
      <c r="D3396" s="2" t="inlineStr">
        <is>
          <t>P0016</t>
        </is>
      </c>
      <c r="E3396" s="2" t="inlineStr">
        <is>
          <t>Casual Shirt</t>
        </is>
      </c>
      <c r="F3396" s="2" t="inlineStr">
        <is>
          <t>Fashion</t>
        </is>
      </c>
      <c r="G3396" s="2" t="inlineStr">
        <is>
          <t>South</t>
        </is>
      </c>
      <c r="H3396" s="2" t="inlineStr">
        <is>
          <t>Telangana</t>
        </is>
      </c>
      <c r="I3396" s="2" t="inlineStr">
        <is>
          <t>Hyderabad</t>
        </is>
      </c>
      <c r="J3396" s="2" t="inlineStr">
        <is>
          <t>Online</t>
        </is>
      </c>
      <c r="K3396" s="2" t="n">
        <v>3</v>
      </c>
      <c r="L3396" s="3" t="n">
        <v>1234.15</v>
      </c>
      <c r="M3396" s="4" t="n">
        <v>0.1</v>
      </c>
      <c r="N3396" s="3" t="n">
        <v>2781.53</v>
      </c>
      <c r="O3396" s="3">
        <f>K3396*L3396*(1-M3396)</f>
        <v/>
      </c>
      <c r="P3396" s="3">
        <f>O3396-N3396</f>
        <v/>
      </c>
      <c r="Q3396" s="5">
        <f>IFERROR(P3396/O3396,0)</f>
        <v/>
      </c>
      <c r="R3396" s="2">
        <f>TEXT(DATEVALUE(B3396),"mmm")</f>
        <v/>
      </c>
      <c r="S3396" s="2">
        <f>TEXT(DATEVALUE(B3396),"yyyy-mm")</f>
        <v/>
      </c>
    </row>
    <row r="3397">
      <c r="A3397" s="2" t="inlineStr">
        <is>
          <t>O002333</t>
        </is>
      </c>
      <c r="B3397" s="2" t="inlineStr">
        <is>
          <t>2025-09-05</t>
        </is>
      </c>
      <c r="C3397" s="2" t="inlineStr">
        <is>
          <t>C0504</t>
        </is>
      </c>
      <c r="D3397" s="2" t="inlineStr">
        <is>
          <t>P0017</t>
        </is>
      </c>
      <c r="E3397" s="2" t="inlineStr">
        <is>
          <t>Jeans</t>
        </is>
      </c>
      <c r="F3397" s="2" t="inlineStr">
        <is>
          <t>Fashion</t>
        </is>
      </c>
      <c r="G3397" s="2" t="inlineStr">
        <is>
          <t>North</t>
        </is>
      </c>
      <c r="H3397" s="2" t="inlineStr">
        <is>
          <t>Haryana</t>
        </is>
      </c>
      <c r="I3397" s="2" t="inlineStr">
        <is>
          <t>Faridabad</t>
        </is>
      </c>
      <c r="J3397" s="2" t="inlineStr">
        <is>
          <t>Online</t>
        </is>
      </c>
      <c r="K3397" s="2" t="n">
        <v>2</v>
      </c>
      <c r="L3397" s="3" t="n">
        <v>1451.44</v>
      </c>
      <c r="M3397" s="4" t="n">
        <v>0.1</v>
      </c>
      <c r="N3397" s="3" t="n">
        <v>2025.72</v>
      </c>
      <c r="O3397" s="3">
        <f>K3397*L3397*(1-M3397)</f>
        <v/>
      </c>
      <c r="P3397" s="3">
        <f>O3397-N3397</f>
        <v/>
      </c>
      <c r="Q3397" s="5">
        <f>IFERROR(P3397/O3397,0)</f>
        <v/>
      </c>
      <c r="R3397" s="2">
        <f>TEXT(DATEVALUE(B3397),"mmm")</f>
        <v/>
      </c>
      <c r="S3397" s="2">
        <f>TEXT(DATEVALUE(B3397),"yyyy-mm")</f>
        <v/>
      </c>
    </row>
    <row r="3398">
      <c r="A3398" s="2" t="inlineStr">
        <is>
          <t>O003066</t>
        </is>
      </c>
      <c r="B3398" s="2" t="inlineStr">
        <is>
          <t>2025-09-05</t>
        </is>
      </c>
      <c r="C3398" s="2" t="inlineStr">
        <is>
          <t>C0037</t>
        </is>
      </c>
      <c r="D3398" s="2" t="inlineStr">
        <is>
          <t>P0007</t>
        </is>
      </c>
      <c r="E3398" s="2" t="inlineStr">
        <is>
          <t>Wireless Mouse</t>
        </is>
      </c>
      <c r="F3398" s="2" t="inlineStr">
        <is>
          <t>Electronics</t>
        </is>
      </c>
      <c r="G3398" s="2" t="inlineStr">
        <is>
          <t>West</t>
        </is>
      </c>
      <c r="H3398" s="2" t="inlineStr">
        <is>
          <t>Gujarat</t>
        </is>
      </c>
      <c r="I3398" s="2" t="inlineStr">
        <is>
          <t>Ahmedabad</t>
        </is>
      </c>
      <c r="J3398" s="2" t="inlineStr">
        <is>
          <t>Store</t>
        </is>
      </c>
      <c r="K3398" s="2" t="n">
        <v>2</v>
      </c>
      <c r="L3398" s="3" t="n">
        <v>1021.22</v>
      </c>
      <c r="M3398" s="4" t="n">
        <v>0.05</v>
      </c>
      <c r="N3398" s="3" t="n">
        <v>1223.51</v>
      </c>
      <c r="O3398" s="3">
        <f>K3398*L3398*(1-M3398)</f>
        <v/>
      </c>
      <c r="P3398" s="3">
        <f>O3398-N3398</f>
        <v/>
      </c>
      <c r="Q3398" s="5">
        <f>IFERROR(P3398/O3398,0)</f>
        <v/>
      </c>
      <c r="R3398" s="2">
        <f>TEXT(DATEVALUE(B3398),"mmm")</f>
        <v/>
      </c>
      <c r="S3398" s="2">
        <f>TEXT(DATEVALUE(B3398),"yyyy-mm")</f>
        <v/>
      </c>
    </row>
    <row r="3399">
      <c r="A3399" s="2" t="inlineStr">
        <is>
          <t>O003041</t>
        </is>
      </c>
      <c r="B3399" s="2" t="inlineStr">
        <is>
          <t>2025-09-05</t>
        </is>
      </c>
      <c r="C3399" s="2" t="inlineStr">
        <is>
          <t>C0732</t>
        </is>
      </c>
      <c r="D3399" s="2" t="inlineStr">
        <is>
          <t>P0012</t>
        </is>
      </c>
      <c r="E3399" s="2" t="inlineStr">
        <is>
          <t>Water Bottle</t>
        </is>
      </c>
      <c r="F3399" s="2" t="inlineStr">
        <is>
          <t>Home &amp; Kitchen</t>
        </is>
      </c>
      <c r="G3399" s="2" t="inlineStr">
        <is>
          <t>West</t>
        </is>
      </c>
      <c r="H3399" s="2" t="inlineStr">
        <is>
          <t>Maharashtra</t>
        </is>
      </c>
      <c r="I3399" s="2" t="inlineStr">
        <is>
          <t>Pune</t>
        </is>
      </c>
      <c r="J3399" s="2" t="inlineStr">
        <is>
          <t>Online</t>
        </is>
      </c>
      <c r="K3399" s="2" t="n">
        <v>2</v>
      </c>
      <c r="L3399" s="3" t="n">
        <v>968.29</v>
      </c>
      <c r="M3399" s="4" t="n">
        <v>0.1</v>
      </c>
      <c r="N3399" s="3" t="n">
        <v>1277.1</v>
      </c>
      <c r="O3399" s="3">
        <f>K3399*L3399*(1-M3399)</f>
        <v/>
      </c>
      <c r="P3399" s="3">
        <f>O3399-N3399</f>
        <v/>
      </c>
      <c r="Q3399" s="5">
        <f>IFERROR(P3399/O3399,0)</f>
        <v/>
      </c>
      <c r="R3399" s="2">
        <f>TEXT(DATEVALUE(B3399),"mmm")</f>
        <v/>
      </c>
      <c r="S3399" s="2">
        <f>TEXT(DATEVALUE(B3399),"yyyy-mm")</f>
        <v/>
      </c>
    </row>
    <row r="3400">
      <c r="A3400" s="2" t="inlineStr">
        <is>
          <t>O002951</t>
        </is>
      </c>
      <c r="B3400" s="2" t="inlineStr">
        <is>
          <t>2025-09-05</t>
        </is>
      </c>
      <c r="C3400" s="2" t="inlineStr">
        <is>
          <t>C0599</t>
        </is>
      </c>
      <c r="D3400" s="2" t="inlineStr">
        <is>
          <t>P0005</t>
        </is>
      </c>
      <c r="E3400" s="2" t="inlineStr">
        <is>
          <t>Power Bank</t>
        </is>
      </c>
      <c r="F3400" s="2" t="inlineStr">
        <is>
          <t>Electronics</t>
        </is>
      </c>
      <c r="G3400" s="2" t="inlineStr">
        <is>
          <t>North</t>
        </is>
      </c>
      <c r="H3400" s="2" t="inlineStr">
        <is>
          <t>Delhi</t>
        </is>
      </c>
      <c r="I3400" s="2" t="inlineStr">
        <is>
          <t>New Delhi</t>
        </is>
      </c>
      <c r="J3400" s="2" t="inlineStr">
        <is>
          <t>Online</t>
        </is>
      </c>
      <c r="K3400" s="2" t="n">
        <v>4</v>
      </c>
      <c r="L3400" s="3" t="n">
        <v>1099.72</v>
      </c>
      <c r="M3400" s="4" t="n">
        <v>0</v>
      </c>
      <c r="N3400" s="3" t="n">
        <v>2661.64</v>
      </c>
      <c r="O3400" s="3">
        <f>K3400*L3400*(1-M3400)</f>
        <v/>
      </c>
      <c r="P3400" s="3">
        <f>O3400-N3400</f>
        <v/>
      </c>
      <c r="Q3400" s="5">
        <f>IFERROR(P3400/O3400,0)</f>
        <v/>
      </c>
      <c r="R3400" s="2">
        <f>TEXT(DATEVALUE(B3400),"mmm")</f>
        <v/>
      </c>
      <c r="S3400" s="2">
        <f>TEXT(DATEVALUE(B3400),"yyyy-mm")</f>
        <v/>
      </c>
    </row>
    <row r="3401">
      <c r="A3401" s="2" t="inlineStr">
        <is>
          <t>O002867</t>
        </is>
      </c>
      <c r="B3401" s="2" t="inlineStr">
        <is>
          <t>2025-09-05</t>
        </is>
      </c>
      <c r="C3401" s="2" t="inlineStr">
        <is>
          <t>C0648</t>
        </is>
      </c>
      <c r="D3401" s="2" t="inlineStr">
        <is>
          <t>P0027</t>
        </is>
      </c>
      <c r="E3401" s="2" t="inlineStr">
        <is>
          <t>Moisturizer</t>
        </is>
      </c>
      <c r="F3401" s="2" t="inlineStr">
        <is>
          <t>Beauty</t>
        </is>
      </c>
      <c r="G3401" s="2" t="inlineStr">
        <is>
          <t>East</t>
        </is>
      </c>
      <c r="H3401" s="2" t="inlineStr">
        <is>
          <t>Odisha</t>
        </is>
      </c>
      <c r="I3401" s="2" t="inlineStr">
        <is>
          <t>Cuttack</t>
        </is>
      </c>
      <c r="J3401" s="2" t="inlineStr">
        <is>
          <t>Store</t>
        </is>
      </c>
      <c r="K3401" s="2" t="n">
        <v>5</v>
      </c>
      <c r="L3401" s="3" t="n">
        <v>937.63</v>
      </c>
      <c r="M3401" s="4" t="n">
        <v>0.05</v>
      </c>
      <c r="N3401" s="3" t="n">
        <v>3450.95</v>
      </c>
      <c r="O3401" s="3">
        <f>K3401*L3401*(1-M3401)</f>
        <v/>
      </c>
      <c r="P3401" s="3">
        <f>O3401-N3401</f>
        <v/>
      </c>
      <c r="Q3401" s="5">
        <f>IFERROR(P3401/O3401,0)</f>
        <v/>
      </c>
      <c r="R3401" s="2">
        <f>TEXT(DATEVALUE(B3401),"mmm")</f>
        <v/>
      </c>
      <c r="S3401" s="2">
        <f>TEXT(DATEVALUE(B3401),"yyyy-mm")</f>
        <v/>
      </c>
    </row>
    <row r="3402">
      <c r="A3402" s="2" t="inlineStr">
        <is>
          <t>O003672</t>
        </is>
      </c>
      <c r="B3402" s="2" t="inlineStr">
        <is>
          <t>2025-09-05</t>
        </is>
      </c>
      <c r="C3402" s="2" t="inlineStr">
        <is>
          <t>C0723</t>
        </is>
      </c>
      <c r="D3402" s="2" t="inlineStr">
        <is>
          <t>P0021</t>
        </is>
      </c>
      <c r="E3402" s="2" t="inlineStr">
        <is>
          <t>Wallet</t>
        </is>
      </c>
      <c r="F3402" s="2" t="inlineStr">
        <is>
          <t>Fashion</t>
        </is>
      </c>
      <c r="G3402" s="2" t="inlineStr">
        <is>
          <t>West</t>
        </is>
      </c>
      <c r="H3402" s="2" t="inlineStr">
        <is>
          <t>Goa</t>
        </is>
      </c>
      <c r="I3402" s="2" t="inlineStr">
        <is>
          <t>Margao</t>
        </is>
      </c>
      <c r="J3402" s="2" t="inlineStr">
        <is>
          <t>Online</t>
        </is>
      </c>
      <c r="K3402" s="2" t="n">
        <v>2</v>
      </c>
      <c r="L3402" s="3" t="n">
        <v>2036.82</v>
      </c>
      <c r="M3402" s="4" t="n">
        <v>0.1</v>
      </c>
      <c r="N3402" s="3" t="n">
        <v>2400.05</v>
      </c>
      <c r="O3402" s="3">
        <f>K3402*L3402*(1-M3402)</f>
        <v/>
      </c>
      <c r="P3402" s="3">
        <f>O3402-N3402</f>
        <v/>
      </c>
      <c r="Q3402" s="5">
        <f>IFERROR(P3402/O3402,0)</f>
        <v/>
      </c>
      <c r="R3402" s="2">
        <f>TEXT(DATEVALUE(B3402),"mmm")</f>
        <v/>
      </c>
      <c r="S3402" s="2">
        <f>TEXT(DATEVALUE(B3402),"yyyy-mm")</f>
        <v/>
      </c>
    </row>
    <row r="3403">
      <c r="A3403" s="2" t="inlineStr">
        <is>
          <t>O003518</t>
        </is>
      </c>
      <c r="B3403" s="2" t="inlineStr">
        <is>
          <t>2025-09-06</t>
        </is>
      </c>
      <c r="C3403" s="2" t="inlineStr">
        <is>
          <t>C0611</t>
        </is>
      </c>
      <c r="D3403" s="2" t="inlineStr">
        <is>
          <t>P0022</t>
        </is>
      </c>
      <c r="E3403" s="2" t="inlineStr">
        <is>
          <t>Face Wash</t>
        </is>
      </c>
      <c r="F3403" s="2" t="inlineStr">
        <is>
          <t>Beauty</t>
        </is>
      </c>
      <c r="G3403" s="2" t="inlineStr">
        <is>
          <t>West</t>
        </is>
      </c>
      <c r="H3403" s="2" t="inlineStr">
        <is>
          <t>Goa</t>
        </is>
      </c>
      <c r="I3403" s="2" t="inlineStr">
        <is>
          <t>Panaji</t>
        </is>
      </c>
      <c r="J3403" s="2" t="inlineStr">
        <is>
          <t>Online</t>
        </is>
      </c>
      <c r="K3403" s="2" t="n">
        <v>3</v>
      </c>
      <c r="L3403" s="3" t="n">
        <v>547.23</v>
      </c>
      <c r="M3403" s="4" t="n">
        <v>0.1</v>
      </c>
      <c r="N3403" s="3" t="n">
        <v>1050.86</v>
      </c>
      <c r="O3403" s="3">
        <f>K3403*L3403*(1-M3403)</f>
        <v/>
      </c>
      <c r="P3403" s="3">
        <f>O3403-N3403</f>
        <v/>
      </c>
      <c r="Q3403" s="5">
        <f>IFERROR(P3403/O3403,0)</f>
        <v/>
      </c>
      <c r="R3403" s="2">
        <f>TEXT(DATEVALUE(B3403),"mmm")</f>
        <v/>
      </c>
      <c r="S3403" s="2">
        <f>TEXT(DATEVALUE(B3403),"yyyy-mm")</f>
        <v/>
      </c>
    </row>
    <row r="3404">
      <c r="A3404" s="2" t="inlineStr">
        <is>
          <t>O003470</t>
        </is>
      </c>
      <c r="B3404" s="2" t="inlineStr">
        <is>
          <t>2025-09-06</t>
        </is>
      </c>
      <c r="C3404" s="2" t="inlineStr">
        <is>
          <t>C0548</t>
        </is>
      </c>
      <c r="D3404" s="2" t="inlineStr">
        <is>
          <t>P0031</t>
        </is>
      </c>
      <c r="E3404" s="2" t="inlineStr">
        <is>
          <t>Cricket Bat</t>
        </is>
      </c>
      <c r="F3404" s="2" t="inlineStr">
        <is>
          <t>Sports</t>
        </is>
      </c>
      <c r="G3404" s="2" t="inlineStr">
        <is>
          <t>West</t>
        </is>
      </c>
      <c r="H3404" s="2" t="inlineStr">
        <is>
          <t>Maharashtra</t>
        </is>
      </c>
      <c r="I3404" s="2" t="inlineStr">
        <is>
          <t>Nashik</t>
        </is>
      </c>
      <c r="J3404" s="2" t="inlineStr">
        <is>
          <t>Online</t>
        </is>
      </c>
      <c r="K3404" s="2" t="n">
        <v>2</v>
      </c>
      <c r="L3404" s="3" t="n">
        <v>1408.61</v>
      </c>
      <c r="M3404" s="4" t="n">
        <v>0.25</v>
      </c>
      <c r="N3404" s="3" t="n">
        <v>1925.54</v>
      </c>
      <c r="O3404" s="3">
        <f>K3404*L3404*(1-M3404)</f>
        <v/>
      </c>
      <c r="P3404" s="3">
        <f>O3404-N3404</f>
        <v/>
      </c>
      <c r="Q3404" s="5">
        <f>IFERROR(P3404/O3404,0)</f>
        <v/>
      </c>
      <c r="R3404" s="2">
        <f>TEXT(DATEVALUE(B3404),"mmm")</f>
        <v/>
      </c>
      <c r="S3404" s="2">
        <f>TEXT(DATEVALUE(B3404),"yyyy-mm")</f>
        <v/>
      </c>
    </row>
    <row r="3405">
      <c r="A3405" s="2" t="inlineStr">
        <is>
          <t>O002355</t>
        </is>
      </c>
      <c r="B3405" s="2" t="inlineStr">
        <is>
          <t>2025-09-06</t>
        </is>
      </c>
      <c r="C3405" s="2" t="inlineStr">
        <is>
          <t>C0409</t>
        </is>
      </c>
      <c r="D3405" s="2" t="inlineStr">
        <is>
          <t>P0021</t>
        </is>
      </c>
      <c r="E3405" s="2" t="inlineStr">
        <is>
          <t>Wallet</t>
        </is>
      </c>
      <c r="F3405" s="2" t="inlineStr">
        <is>
          <t>Fashion</t>
        </is>
      </c>
      <c r="G3405" s="2" t="inlineStr">
        <is>
          <t>North</t>
        </is>
      </c>
      <c r="H3405" s="2" t="inlineStr">
        <is>
          <t>Punjab</t>
        </is>
      </c>
      <c r="I3405" s="2" t="inlineStr">
        <is>
          <t>Jalandhar</t>
        </is>
      </c>
      <c r="J3405" s="2" t="inlineStr">
        <is>
          <t>Store</t>
        </is>
      </c>
      <c r="K3405" s="2" t="n">
        <v>5</v>
      </c>
      <c r="L3405" s="3" t="n">
        <v>2068.64</v>
      </c>
      <c r="M3405" s="4" t="n">
        <v>0</v>
      </c>
      <c r="N3405" s="3" t="n">
        <v>6167.15</v>
      </c>
      <c r="O3405" s="3">
        <f>K3405*L3405*(1-M3405)</f>
        <v/>
      </c>
      <c r="P3405" s="3">
        <f>O3405-N3405</f>
        <v/>
      </c>
      <c r="Q3405" s="5">
        <f>IFERROR(P3405/O3405,0)</f>
        <v/>
      </c>
      <c r="R3405" s="2">
        <f>TEXT(DATEVALUE(B3405),"mmm")</f>
        <v/>
      </c>
      <c r="S3405" s="2">
        <f>TEXT(DATEVALUE(B3405),"yyyy-mm")</f>
        <v/>
      </c>
    </row>
    <row r="3406">
      <c r="A3406" s="2" t="inlineStr">
        <is>
          <t>O001656</t>
        </is>
      </c>
      <c r="B3406" s="2" t="inlineStr">
        <is>
          <t>2025-09-06</t>
        </is>
      </c>
      <c r="C3406" s="2" t="inlineStr">
        <is>
          <t>C0778</t>
        </is>
      </c>
      <c r="D3406" s="2" t="inlineStr">
        <is>
          <t>P0001</t>
        </is>
      </c>
      <c r="E3406" s="2" t="inlineStr">
        <is>
          <t>Wireless Headphones</t>
        </is>
      </c>
      <c r="F3406" s="2" t="inlineStr">
        <is>
          <t>Electronics</t>
        </is>
      </c>
      <c r="G3406" s="2" t="inlineStr">
        <is>
          <t>South</t>
        </is>
      </c>
      <c r="H3406" s="2" t="inlineStr">
        <is>
          <t>Tamil Nadu</t>
        </is>
      </c>
      <c r="I3406" s="2" t="inlineStr">
        <is>
          <t>Coimbatore</t>
        </is>
      </c>
      <c r="J3406" s="2" t="inlineStr">
        <is>
          <t>Online</t>
        </is>
      </c>
      <c r="K3406" s="2" t="n">
        <v>2</v>
      </c>
      <c r="L3406" s="3" t="n">
        <v>1260.4</v>
      </c>
      <c r="M3406" s="4" t="n">
        <v>0.15</v>
      </c>
      <c r="N3406" s="3" t="n">
        <v>1376.76</v>
      </c>
      <c r="O3406" s="3">
        <f>K3406*L3406*(1-M3406)</f>
        <v/>
      </c>
      <c r="P3406" s="3">
        <f>O3406-N3406</f>
        <v/>
      </c>
      <c r="Q3406" s="5">
        <f>IFERROR(P3406/O3406,0)</f>
        <v/>
      </c>
      <c r="R3406" s="2">
        <f>TEXT(DATEVALUE(B3406),"mmm")</f>
        <v/>
      </c>
      <c r="S3406" s="2">
        <f>TEXT(DATEVALUE(B3406),"yyyy-mm")</f>
        <v/>
      </c>
    </row>
    <row r="3407">
      <c r="A3407" s="2" t="inlineStr">
        <is>
          <t>O004120</t>
        </is>
      </c>
      <c r="B3407" s="2" t="inlineStr">
        <is>
          <t>2025-09-06</t>
        </is>
      </c>
      <c r="C3407" s="2" t="inlineStr">
        <is>
          <t>C0783</t>
        </is>
      </c>
      <c r="D3407" s="2" t="inlineStr">
        <is>
          <t>P0021</t>
        </is>
      </c>
      <c r="E3407" s="2" t="inlineStr">
        <is>
          <t>Wallet</t>
        </is>
      </c>
      <c r="F3407" s="2" t="inlineStr">
        <is>
          <t>Fashion</t>
        </is>
      </c>
      <c r="G3407" s="2" t="inlineStr">
        <is>
          <t>North</t>
        </is>
      </c>
      <c r="H3407" s="2" t="inlineStr">
        <is>
          <t>Punjab</t>
        </is>
      </c>
      <c r="I3407" s="2" t="inlineStr">
        <is>
          <t>Jalandhar</t>
        </is>
      </c>
      <c r="J3407" s="2" t="inlineStr">
        <is>
          <t>Online</t>
        </is>
      </c>
      <c r="K3407" s="2" t="n">
        <v>2</v>
      </c>
      <c r="L3407" s="3" t="n">
        <v>2037.85</v>
      </c>
      <c r="M3407" s="4" t="n">
        <v>0.05</v>
      </c>
      <c r="N3407" s="3" t="n">
        <v>2425.1</v>
      </c>
      <c r="O3407" s="3">
        <f>K3407*L3407*(1-M3407)</f>
        <v/>
      </c>
      <c r="P3407" s="3">
        <f>O3407-N3407</f>
        <v/>
      </c>
      <c r="Q3407" s="5">
        <f>IFERROR(P3407/O3407,0)</f>
        <v/>
      </c>
      <c r="R3407" s="2">
        <f>TEXT(DATEVALUE(B3407),"mmm")</f>
        <v/>
      </c>
      <c r="S3407" s="2">
        <f>TEXT(DATEVALUE(B3407),"yyyy-mm")</f>
        <v/>
      </c>
    </row>
    <row r="3408">
      <c r="A3408" s="2" t="inlineStr">
        <is>
          <t>O000861</t>
        </is>
      </c>
      <c r="B3408" s="2" t="inlineStr">
        <is>
          <t>2025-09-06</t>
        </is>
      </c>
      <c r="C3408" s="2" t="inlineStr">
        <is>
          <t>C0362</t>
        </is>
      </c>
      <c r="D3408" s="2" t="inlineStr">
        <is>
          <t>P0022</t>
        </is>
      </c>
      <c r="E3408" s="2" t="inlineStr">
        <is>
          <t>Face Wash</t>
        </is>
      </c>
      <c r="F3408" s="2" t="inlineStr">
        <is>
          <t>Beauty</t>
        </is>
      </c>
      <c r="G3408" s="2" t="inlineStr">
        <is>
          <t>West</t>
        </is>
      </c>
      <c r="H3408" s="2" t="inlineStr">
        <is>
          <t>Gujarat</t>
        </is>
      </c>
      <c r="I3408" s="2" t="inlineStr">
        <is>
          <t>Ahmedabad</t>
        </is>
      </c>
      <c r="J3408" s="2" t="inlineStr">
        <is>
          <t>Store</t>
        </is>
      </c>
      <c r="K3408" s="2" t="n">
        <v>2</v>
      </c>
      <c r="L3408" s="3" t="n">
        <v>540.83</v>
      </c>
      <c r="M3408" s="4" t="n">
        <v>0.1</v>
      </c>
      <c r="N3408" s="3" t="n">
        <v>705.42</v>
      </c>
      <c r="O3408" s="3">
        <f>K3408*L3408*(1-M3408)</f>
        <v/>
      </c>
      <c r="P3408" s="3">
        <f>O3408-N3408</f>
        <v/>
      </c>
      <c r="Q3408" s="5">
        <f>IFERROR(P3408/O3408,0)</f>
        <v/>
      </c>
      <c r="R3408" s="2">
        <f>TEXT(DATEVALUE(B3408),"mmm")</f>
        <v/>
      </c>
      <c r="S3408" s="2">
        <f>TEXT(DATEVALUE(B3408),"yyyy-mm")</f>
        <v/>
      </c>
    </row>
    <row r="3409">
      <c r="A3409" s="2" t="inlineStr">
        <is>
          <t>O000824</t>
        </is>
      </c>
      <c r="B3409" s="2" t="inlineStr">
        <is>
          <t>2025-09-06</t>
        </is>
      </c>
      <c r="C3409" s="2" t="inlineStr">
        <is>
          <t>C0758</t>
        </is>
      </c>
      <c r="D3409" s="2" t="inlineStr">
        <is>
          <t>P0029</t>
        </is>
      </c>
      <c r="E3409" s="2" t="inlineStr">
        <is>
          <t>Yoga Mat</t>
        </is>
      </c>
      <c r="F3409" s="2" t="inlineStr">
        <is>
          <t>Sports</t>
        </is>
      </c>
      <c r="G3409" s="2" t="inlineStr">
        <is>
          <t>North</t>
        </is>
      </c>
      <c r="H3409" s="2" t="inlineStr">
        <is>
          <t>Delhi</t>
        </is>
      </c>
      <c r="I3409" s="2" t="inlineStr">
        <is>
          <t>New Delhi</t>
        </is>
      </c>
      <c r="J3409" s="2" t="inlineStr">
        <is>
          <t>Store</t>
        </is>
      </c>
      <c r="K3409" s="2" t="n">
        <v>2</v>
      </c>
      <c r="L3409" s="3" t="n">
        <v>2352.4</v>
      </c>
      <c r="M3409" s="4" t="n">
        <v>0.05</v>
      </c>
      <c r="N3409" s="3" t="n">
        <v>2623.6</v>
      </c>
      <c r="O3409" s="3">
        <f>K3409*L3409*(1-M3409)</f>
        <v/>
      </c>
      <c r="P3409" s="3">
        <f>O3409-N3409</f>
        <v/>
      </c>
      <c r="Q3409" s="5">
        <f>IFERROR(P3409/O3409,0)</f>
        <v/>
      </c>
      <c r="R3409" s="2">
        <f>TEXT(DATEVALUE(B3409),"mmm")</f>
        <v/>
      </c>
      <c r="S3409" s="2">
        <f>TEXT(DATEVALUE(B3409),"yyyy-mm")</f>
        <v/>
      </c>
    </row>
    <row r="3410">
      <c r="A3410" s="2" t="inlineStr">
        <is>
          <t>O000799</t>
        </is>
      </c>
      <c r="B3410" s="2" t="inlineStr">
        <is>
          <t>2025-09-06</t>
        </is>
      </c>
      <c r="C3410" s="2" t="inlineStr">
        <is>
          <t>C0768</t>
        </is>
      </c>
      <c r="D3410" s="2" t="inlineStr">
        <is>
          <t>P0013</t>
        </is>
      </c>
      <c r="E3410" s="2" t="inlineStr">
        <is>
          <t>Storage Organizer</t>
        </is>
      </c>
      <c r="F3410" s="2" t="inlineStr">
        <is>
          <t>Home &amp; Kitchen</t>
        </is>
      </c>
      <c r="G3410" s="2" t="inlineStr">
        <is>
          <t>North</t>
        </is>
      </c>
      <c r="H3410" s="2" t="inlineStr">
        <is>
          <t>Haryana</t>
        </is>
      </c>
      <c r="I3410" s="2" t="inlineStr">
        <is>
          <t>Gurugram</t>
        </is>
      </c>
      <c r="J3410" s="2" t="inlineStr">
        <is>
          <t>Online</t>
        </is>
      </c>
      <c r="K3410" s="2" t="n">
        <v>1</v>
      </c>
      <c r="L3410" s="3" t="n">
        <v>580.9400000000001</v>
      </c>
      <c r="M3410" s="4" t="n">
        <v>0.05</v>
      </c>
      <c r="N3410" s="3" t="n">
        <v>362.03</v>
      </c>
      <c r="O3410" s="3">
        <f>K3410*L3410*(1-M3410)</f>
        <v/>
      </c>
      <c r="P3410" s="3">
        <f>O3410-N3410</f>
        <v/>
      </c>
      <c r="Q3410" s="5">
        <f>IFERROR(P3410/O3410,0)</f>
        <v/>
      </c>
      <c r="R3410" s="2">
        <f>TEXT(DATEVALUE(B3410),"mmm")</f>
        <v/>
      </c>
      <c r="S3410" s="2">
        <f>TEXT(DATEVALUE(B3410),"yyyy-mm")</f>
        <v/>
      </c>
    </row>
    <row r="3411">
      <c r="A3411" s="2" t="inlineStr">
        <is>
          <t>O000539</t>
        </is>
      </c>
      <c r="B3411" s="2" t="inlineStr">
        <is>
          <t>2025-09-06</t>
        </is>
      </c>
      <c r="C3411" s="2" t="inlineStr">
        <is>
          <t>C0216</t>
        </is>
      </c>
      <c r="D3411" s="2" t="inlineStr">
        <is>
          <t>P0006</t>
        </is>
      </c>
      <c r="E3411" s="2" t="inlineStr">
        <is>
          <t>Mechanical Keyboard</t>
        </is>
      </c>
      <c r="F3411" s="2" t="inlineStr">
        <is>
          <t>Electronics</t>
        </is>
      </c>
      <c r="G3411" s="2" t="inlineStr">
        <is>
          <t>South</t>
        </is>
      </c>
      <c r="H3411" s="2" t="inlineStr">
        <is>
          <t>Tamil Nadu</t>
        </is>
      </c>
      <c r="I3411" s="2" t="inlineStr">
        <is>
          <t>Chennai</t>
        </is>
      </c>
      <c r="J3411" s="2" t="inlineStr">
        <is>
          <t>Online</t>
        </is>
      </c>
      <c r="K3411" s="2" t="n">
        <v>3</v>
      </c>
      <c r="L3411" s="3" t="n">
        <v>2779.04</v>
      </c>
      <c r="M3411" s="4" t="n">
        <v>0.05</v>
      </c>
      <c r="N3411" s="3" t="n">
        <v>4431.35</v>
      </c>
      <c r="O3411" s="3">
        <f>K3411*L3411*(1-M3411)</f>
        <v/>
      </c>
      <c r="P3411" s="3">
        <f>O3411-N3411</f>
        <v/>
      </c>
      <c r="Q3411" s="5">
        <f>IFERROR(P3411/O3411,0)</f>
        <v/>
      </c>
      <c r="R3411" s="2">
        <f>TEXT(DATEVALUE(B3411),"mmm")</f>
        <v/>
      </c>
      <c r="S3411" s="2">
        <f>TEXT(DATEVALUE(B3411),"yyyy-mm")</f>
        <v/>
      </c>
    </row>
    <row r="3412">
      <c r="A3412" s="2" t="inlineStr">
        <is>
          <t>O001259</t>
        </is>
      </c>
      <c r="B3412" s="2" t="inlineStr">
        <is>
          <t>2025-09-06</t>
        </is>
      </c>
      <c r="C3412" s="2" t="inlineStr">
        <is>
          <t>C0226</t>
        </is>
      </c>
      <c r="D3412" s="2" t="inlineStr">
        <is>
          <t>P0031</t>
        </is>
      </c>
      <c r="E3412" s="2" t="inlineStr">
        <is>
          <t>Cricket Bat</t>
        </is>
      </c>
      <c r="F3412" s="2" t="inlineStr">
        <is>
          <t>Sports</t>
        </is>
      </c>
      <c r="G3412" s="2" t="inlineStr">
        <is>
          <t>East</t>
        </is>
      </c>
      <c r="H3412" s="2" t="inlineStr">
        <is>
          <t>West Bengal</t>
        </is>
      </c>
      <c r="I3412" s="2" t="inlineStr">
        <is>
          <t>Durgapur</t>
        </is>
      </c>
      <c r="J3412" s="2" t="inlineStr">
        <is>
          <t>Online</t>
        </is>
      </c>
      <c r="K3412" s="2" t="n">
        <v>1</v>
      </c>
      <c r="L3412" s="3" t="n">
        <v>1418.37</v>
      </c>
      <c r="M3412" s="4" t="n">
        <v>0.1</v>
      </c>
      <c r="N3412" s="3" t="n">
        <v>963.67</v>
      </c>
      <c r="O3412" s="3">
        <f>K3412*L3412*(1-M3412)</f>
        <v/>
      </c>
      <c r="P3412" s="3">
        <f>O3412-N3412</f>
        <v/>
      </c>
      <c r="Q3412" s="5">
        <f>IFERROR(P3412/O3412,0)</f>
        <v/>
      </c>
      <c r="R3412" s="2">
        <f>TEXT(DATEVALUE(B3412),"mmm")</f>
        <v/>
      </c>
      <c r="S3412" s="2">
        <f>TEXT(DATEVALUE(B3412),"yyyy-mm")</f>
        <v/>
      </c>
    </row>
    <row r="3413">
      <c r="A3413" s="2" t="inlineStr">
        <is>
          <t>O004714</t>
        </is>
      </c>
      <c r="B3413" s="2" t="inlineStr">
        <is>
          <t>2025-09-07</t>
        </is>
      </c>
      <c r="C3413" s="2" t="inlineStr">
        <is>
          <t>C0505</t>
        </is>
      </c>
      <c r="D3413" s="2" t="inlineStr">
        <is>
          <t>P0006</t>
        </is>
      </c>
      <c r="E3413" s="2" t="inlineStr">
        <is>
          <t>Mechanical Keyboard</t>
        </is>
      </c>
      <c r="F3413" s="2" t="inlineStr">
        <is>
          <t>Electronics</t>
        </is>
      </c>
      <c r="G3413" s="2" t="inlineStr">
        <is>
          <t>West</t>
        </is>
      </c>
      <c r="H3413" s="2" t="inlineStr">
        <is>
          <t>Gujarat</t>
        </is>
      </c>
      <c r="I3413" s="2" t="inlineStr">
        <is>
          <t>Vadodara</t>
        </is>
      </c>
      <c r="J3413" s="2" t="inlineStr">
        <is>
          <t>Online</t>
        </is>
      </c>
      <c r="K3413" s="2" t="n">
        <v>1</v>
      </c>
      <c r="L3413" s="3" t="n">
        <v>2820.42</v>
      </c>
      <c r="M3413" s="4" t="n">
        <v>0.15</v>
      </c>
      <c r="N3413" s="3" t="n">
        <v>1480.57</v>
      </c>
      <c r="O3413" s="3">
        <f>K3413*L3413*(1-M3413)</f>
        <v/>
      </c>
      <c r="P3413" s="3">
        <f>O3413-N3413</f>
        <v/>
      </c>
      <c r="Q3413" s="5">
        <f>IFERROR(P3413/O3413,0)</f>
        <v/>
      </c>
      <c r="R3413" s="2">
        <f>TEXT(DATEVALUE(B3413),"mmm")</f>
        <v/>
      </c>
      <c r="S3413" s="2">
        <f>TEXT(DATEVALUE(B3413),"yyyy-mm")</f>
        <v/>
      </c>
    </row>
    <row r="3414">
      <c r="A3414" s="2" t="inlineStr">
        <is>
          <t>O003511</t>
        </is>
      </c>
      <c r="B3414" s="2" t="inlineStr">
        <is>
          <t>2025-09-07</t>
        </is>
      </c>
      <c r="C3414" s="2" t="inlineStr">
        <is>
          <t>C0319</t>
        </is>
      </c>
      <c r="D3414" s="2" t="inlineStr">
        <is>
          <t>P0016</t>
        </is>
      </c>
      <c r="E3414" s="2" t="inlineStr">
        <is>
          <t>Casual Shirt</t>
        </is>
      </c>
      <c r="F3414" s="2" t="inlineStr">
        <is>
          <t>Fashion</t>
        </is>
      </c>
      <c r="G3414" s="2" t="inlineStr">
        <is>
          <t>West</t>
        </is>
      </c>
      <c r="H3414" s="2" t="inlineStr">
        <is>
          <t>Gujarat</t>
        </is>
      </c>
      <c r="I3414" s="2" t="inlineStr">
        <is>
          <t>Vadodara</t>
        </is>
      </c>
      <c r="J3414" s="2" t="inlineStr">
        <is>
          <t>Online</t>
        </is>
      </c>
      <c r="K3414" s="2" t="n">
        <v>3</v>
      </c>
      <c r="L3414" s="3" t="n">
        <v>1334.86</v>
      </c>
      <c r="M3414" s="4" t="n">
        <v>0</v>
      </c>
      <c r="N3414" s="3" t="n">
        <v>2656.98</v>
      </c>
      <c r="O3414" s="3">
        <f>K3414*L3414*(1-M3414)</f>
        <v/>
      </c>
      <c r="P3414" s="3">
        <f>O3414-N3414</f>
        <v/>
      </c>
      <c r="Q3414" s="5">
        <f>IFERROR(P3414/O3414,0)</f>
        <v/>
      </c>
      <c r="R3414" s="2">
        <f>TEXT(DATEVALUE(B3414),"mmm")</f>
        <v/>
      </c>
      <c r="S3414" s="2">
        <f>TEXT(DATEVALUE(B3414),"yyyy-mm")</f>
        <v/>
      </c>
    </row>
    <row r="3415">
      <c r="A3415" s="2" t="inlineStr">
        <is>
          <t>O003472</t>
        </is>
      </c>
      <c r="B3415" s="2" t="inlineStr">
        <is>
          <t>2025-09-07</t>
        </is>
      </c>
      <c r="C3415" s="2" t="inlineStr">
        <is>
          <t>C0730</t>
        </is>
      </c>
      <c r="D3415" s="2" t="inlineStr">
        <is>
          <t>P0004</t>
        </is>
      </c>
      <c r="E3415" s="2" t="inlineStr">
        <is>
          <t>USB-C Hub</t>
        </is>
      </c>
      <c r="F3415" s="2" t="inlineStr">
        <is>
          <t>Electronics</t>
        </is>
      </c>
      <c r="G3415" s="2" t="inlineStr">
        <is>
          <t>South</t>
        </is>
      </c>
      <c r="H3415" s="2" t="inlineStr">
        <is>
          <t>Telangana</t>
        </is>
      </c>
      <c r="I3415" s="2" t="inlineStr">
        <is>
          <t>Warangal</t>
        </is>
      </c>
      <c r="J3415" s="2" t="inlineStr">
        <is>
          <t>Online</t>
        </is>
      </c>
      <c r="K3415" s="2" t="n">
        <v>2</v>
      </c>
      <c r="L3415" s="3" t="n">
        <v>1210.55</v>
      </c>
      <c r="M3415" s="4" t="n">
        <v>0.05</v>
      </c>
      <c r="N3415" s="3" t="n">
        <v>1797.8</v>
      </c>
      <c r="O3415" s="3">
        <f>K3415*L3415*(1-M3415)</f>
        <v/>
      </c>
      <c r="P3415" s="3">
        <f>O3415-N3415</f>
        <v/>
      </c>
      <c r="Q3415" s="5">
        <f>IFERROR(P3415/O3415,0)</f>
        <v/>
      </c>
      <c r="R3415" s="2">
        <f>TEXT(DATEVALUE(B3415),"mmm")</f>
        <v/>
      </c>
      <c r="S3415" s="2">
        <f>TEXT(DATEVALUE(B3415),"yyyy-mm")</f>
        <v/>
      </c>
    </row>
    <row r="3416">
      <c r="A3416" s="2" t="inlineStr">
        <is>
          <t>O003451</t>
        </is>
      </c>
      <c r="B3416" s="2" t="inlineStr">
        <is>
          <t>2025-09-07</t>
        </is>
      </c>
      <c r="C3416" s="2" t="inlineStr">
        <is>
          <t>C0422</t>
        </is>
      </c>
      <c r="D3416" s="2" t="inlineStr">
        <is>
          <t>P0027</t>
        </is>
      </c>
      <c r="E3416" s="2" t="inlineStr">
        <is>
          <t>Moisturizer</t>
        </is>
      </c>
      <c r="F3416" s="2" t="inlineStr">
        <is>
          <t>Beauty</t>
        </is>
      </c>
      <c r="G3416" s="2" t="inlineStr">
        <is>
          <t>West</t>
        </is>
      </c>
      <c r="H3416" s="2" t="inlineStr">
        <is>
          <t>Maharashtra</t>
        </is>
      </c>
      <c r="I3416" s="2" t="inlineStr">
        <is>
          <t>Nagpur</t>
        </is>
      </c>
      <c r="J3416" s="2" t="inlineStr">
        <is>
          <t>Online</t>
        </is>
      </c>
      <c r="K3416" s="2" t="n">
        <v>3</v>
      </c>
      <c r="L3416" s="3" t="n">
        <v>959.88</v>
      </c>
      <c r="M3416" s="4" t="n">
        <v>0.05</v>
      </c>
      <c r="N3416" s="3" t="n">
        <v>2100.33</v>
      </c>
      <c r="O3416" s="3">
        <f>K3416*L3416*(1-M3416)</f>
        <v/>
      </c>
      <c r="P3416" s="3">
        <f>O3416-N3416</f>
        <v/>
      </c>
      <c r="Q3416" s="5">
        <f>IFERROR(P3416/O3416,0)</f>
        <v/>
      </c>
      <c r="R3416" s="2">
        <f>TEXT(DATEVALUE(B3416),"mmm")</f>
        <v/>
      </c>
      <c r="S3416" s="2">
        <f>TEXT(DATEVALUE(B3416),"yyyy-mm")</f>
        <v/>
      </c>
    </row>
    <row r="3417">
      <c r="A3417" s="2" t="inlineStr">
        <is>
          <t>O003288</t>
        </is>
      </c>
      <c r="B3417" s="2" t="inlineStr">
        <is>
          <t>2025-09-07</t>
        </is>
      </c>
      <c r="C3417" s="2" t="inlineStr">
        <is>
          <t>C0350</t>
        </is>
      </c>
      <c r="D3417" s="2" t="inlineStr">
        <is>
          <t>P0006</t>
        </is>
      </c>
      <c r="E3417" s="2" t="inlineStr">
        <is>
          <t>Mechanical Keyboard</t>
        </is>
      </c>
      <c r="F3417" s="2" t="inlineStr">
        <is>
          <t>Electronics</t>
        </is>
      </c>
      <c r="G3417" s="2" t="inlineStr">
        <is>
          <t>West</t>
        </is>
      </c>
      <c r="H3417" s="2" t="inlineStr">
        <is>
          <t>Gujarat</t>
        </is>
      </c>
      <c r="I3417" s="2" t="inlineStr">
        <is>
          <t>Surat</t>
        </is>
      </c>
      <c r="J3417" s="2" t="inlineStr">
        <is>
          <t>Store</t>
        </is>
      </c>
      <c r="K3417" s="2" t="n">
        <v>2</v>
      </c>
      <c r="L3417" s="3" t="n">
        <v>2820.91</v>
      </c>
      <c r="M3417" s="4" t="n">
        <v>0.05</v>
      </c>
      <c r="N3417" s="3" t="n">
        <v>2889.53</v>
      </c>
      <c r="O3417" s="3">
        <f>K3417*L3417*(1-M3417)</f>
        <v/>
      </c>
      <c r="P3417" s="3">
        <f>O3417-N3417</f>
        <v/>
      </c>
      <c r="Q3417" s="5">
        <f>IFERROR(P3417/O3417,0)</f>
        <v/>
      </c>
      <c r="R3417" s="2">
        <f>TEXT(DATEVALUE(B3417),"mmm")</f>
        <v/>
      </c>
      <c r="S3417" s="2">
        <f>TEXT(DATEVALUE(B3417),"yyyy-mm")</f>
        <v/>
      </c>
    </row>
    <row r="3418">
      <c r="A3418" s="2" t="inlineStr">
        <is>
          <t>O002858</t>
        </is>
      </c>
      <c r="B3418" s="2" t="inlineStr">
        <is>
          <t>2025-09-07</t>
        </is>
      </c>
      <c r="C3418" s="2" t="inlineStr">
        <is>
          <t>C0694</t>
        </is>
      </c>
      <c r="D3418" s="2" t="inlineStr">
        <is>
          <t>P0001</t>
        </is>
      </c>
      <c r="E3418" s="2" t="inlineStr">
        <is>
          <t>Wireless Headphones</t>
        </is>
      </c>
      <c r="F3418" s="2" t="inlineStr">
        <is>
          <t>Electronics</t>
        </is>
      </c>
      <c r="G3418" s="2" t="inlineStr">
        <is>
          <t>North</t>
        </is>
      </c>
      <c r="H3418" s="2" t="inlineStr">
        <is>
          <t>Punjab</t>
        </is>
      </c>
      <c r="I3418" s="2" t="inlineStr">
        <is>
          <t>Jalandhar</t>
        </is>
      </c>
      <c r="J3418" s="2" t="inlineStr">
        <is>
          <t>Online</t>
        </is>
      </c>
      <c r="K3418" s="2" t="n">
        <v>3</v>
      </c>
      <c r="L3418" s="3" t="n">
        <v>1338.65</v>
      </c>
      <c r="M3418" s="4" t="n">
        <v>0.05</v>
      </c>
      <c r="N3418" s="3" t="n">
        <v>2174.4</v>
      </c>
      <c r="O3418" s="3">
        <f>K3418*L3418*(1-M3418)</f>
        <v/>
      </c>
      <c r="P3418" s="3">
        <f>O3418-N3418</f>
        <v/>
      </c>
      <c r="Q3418" s="5">
        <f>IFERROR(P3418/O3418,0)</f>
        <v/>
      </c>
      <c r="R3418" s="2">
        <f>TEXT(DATEVALUE(B3418),"mmm")</f>
        <v/>
      </c>
      <c r="S3418" s="2">
        <f>TEXT(DATEVALUE(B3418),"yyyy-mm")</f>
        <v/>
      </c>
    </row>
    <row r="3419">
      <c r="A3419" s="2" t="inlineStr">
        <is>
          <t>O001459</t>
        </is>
      </c>
      <c r="B3419" s="2" t="inlineStr">
        <is>
          <t>2025-09-07</t>
        </is>
      </c>
      <c r="C3419" s="2" t="inlineStr">
        <is>
          <t>C0765</t>
        </is>
      </c>
      <c r="D3419" s="2" t="inlineStr">
        <is>
          <t>P0011</t>
        </is>
      </c>
      <c r="E3419" s="2" t="inlineStr">
        <is>
          <t>Cookware Set</t>
        </is>
      </c>
      <c r="F3419" s="2" t="inlineStr">
        <is>
          <t>Home &amp; Kitchen</t>
        </is>
      </c>
      <c r="G3419" s="2" t="inlineStr">
        <is>
          <t>South</t>
        </is>
      </c>
      <c r="H3419" s="2" t="inlineStr">
        <is>
          <t>Tamil Nadu</t>
        </is>
      </c>
      <c r="I3419" s="2" t="inlineStr">
        <is>
          <t>Chennai</t>
        </is>
      </c>
      <c r="J3419" s="2" t="inlineStr">
        <is>
          <t>Online</t>
        </is>
      </c>
      <c r="K3419" s="2" t="n">
        <v>1</v>
      </c>
      <c r="L3419" s="3" t="n">
        <v>694.4299999999999</v>
      </c>
      <c r="M3419" s="4" t="n">
        <v>0.1</v>
      </c>
      <c r="N3419" s="3" t="n">
        <v>468.48</v>
      </c>
      <c r="O3419" s="3">
        <f>K3419*L3419*(1-M3419)</f>
        <v/>
      </c>
      <c r="P3419" s="3">
        <f>O3419-N3419</f>
        <v/>
      </c>
      <c r="Q3419" s="5">
        <f>IFERROR(P3419/O3419,0)</f>
        <v/>
      </c>
      <c r="R3419" s="2">
        <f>TEXT(DATEVALUE(B3419),"mmm")</f>
        <v/>
      </c>
      <c r="S3419" s="2">
        <f>TEXT(DATEVALUE(B3419),"yyyy-mm")</f>
        <v/>
      </c>
    </row>
    <row r="3420">
      <c r="A3420" s="2" t="inlineStr">
        <is>
          <t>O001396</t>
        </is>
      </c>
      <c r="B3420" s="2" t="inlineStr">
        <is>
          <t>2025-09-07</t>
        </is>
      </c>
      <c r="C3420" s="2" t="inlineStr">
        <is>
          <t>C0164</t>
        </is>
      </c>
      <c r="D3420" s="2" t="inlineStr">
        <is>
          <t>P0019</t>
        </is>
      </c>
      <c r="E3420" s="2" t="inlineStr">
        <is>
          <t>Jacket</t>
        </is>
      </c>
      <c r="F3420" s="2" t="inlineStr">
        <is>
          <t>Fashion</t>
        </is>
      </c>
      <c r="G3420" s="2" t="inlineStr">
        <is>
          <t>West</t>
        </is>
      </c>
      <c r="H3420" s="2" t="inlineStr">
        <is>
          <t>Maharashtra</t>
        </is>
      </c>
      <c r="I3420" s="2" t="inlineStr">
        <is>
          <t>Thane</t>
        </is>
      </c>
      <c r="J3420" s="2" t="inlineStr">
        <is>
          <t>Online</t>
        </is>
      </c>
      <c r="K3420" s="2" t="n">
        <v>1</v>
      </c>
      <c r="L3420" s="3" t="n">
        <v>1024.28</v>
      </c>
      <c r="M3420" s="4" t="n">
        <v>0.05</v>
      </c>
      <c r="N3420" s="3" t="n">
        <v>667.45</v>
      </c>
      <c r="O3420" s="3">
        <f>K3420*L3420*(1-M3420)</f>
        <v/>
      </c>
      <c r="P3420" s="3">
        <f>O3420-N3420</f>
        <v/>
      </c>
      <c r="Q3420" s="5">
        <f>IFERROR(P3420/O3420,0)</f>
        <v/>
      </c>
      <c r="R3420" s="2">
        <f>TEXT(DATEVALUE(B3420),"mmm")</f>
        <v/>
      </c>
      <c r="S3420" s="2">
        <f>TEXT(DATEVALUE(B3420),"yyyy-mm")</f>
        <v/>
      </c>
    </row>
    <row r="3421">
      <c r="A3421" s="2" t="inlineStr">
        <is>
          <t>O000768</t>
        </is>
      </c>
      <c r="B3421" s="2" t="inlineStr">
        <is>
          <t>2025-09-07</t>
        </is>
      </c>
      <c r="C3421" s="2" t="inlineStr">
        <is>
          <t>C0276</t>
        </is>
      </c>
      <c r="D3421" s="2" t="inlineStr">
        <is>
          <t>P0021</t>
        </is>
      </c>
      <c r="E3421" s="2" t="inlineStr">
        <is>
          <t>Wallet</t>
        </is>
      </c>
      <c r="F3421" s="2" t="inlineStr">
        <is>
          <t>Fashion</t>
        </is>
      </c>
      <c r="G3421" s="2" t="inlineStr">
        <is>
          <t>West</t>
        </is>
      </c>
      <c r="H3421" s="2" t="inlineStr">
        <is>
          <t>Gujarat</t>
        </is>
      </c>
      <c r="I3421" s="2" t="inlineStr">
        <is>
          <t>Surat</t>
        </is>
      </c>
      <c r="J3421" s="2" t="inlineStr">
        <is>
          <t>Online</t>
        </is>
      </c>
      <c r="K3421" s="2" t="n">
        <v>1</v>
      </c>
      <c r="L3421" s="3" t="n">
        <v>1976.76</v>
      </c>
      <c r="M3421" s="4" t="n">
        <v>0.1</v>
      </c>
      <c r="N3421" s="3" t="n">
        <v>1179.79</v>
      </c>
      <c r="O3421" s="3">
        <f>K3421*L3421*(1-M3421)</f>
        <v/>
      </c>
      <c r="P3421" s="3">
        <f>O3421-N3421</f>
        <v/>
      </c>
      <c r="Q3421" s="5">
        <f>IFERROR(P3421/O3421,0)</f>
        <v/>
      </c>
      <c r="R3421" s="2">
        <f>TEXT(DATEVALUE(B3421),"mmm")</f>
        <v/>
      </c>
      <c r="S3421" s="2">
        <f>TEXT(DATEVALUE(B3421),"yyyy-mm")</f>
        <v/>
      </c>
    </row>
    <row r="3422">
      <c r="A3422" s="2" t="inlineStr">
        <is>
          <t>O000492</t>
        </is>
      </c>
      <c r="B3422" s="2" t="inlineStr">
        <is>
          <t>2025-09-07</t>
        </is>
      </c>
      <c r="C3422" s="2" t="inlineStr">
        <is>
          <t>C0100</t>
        </is>
      </c>
      <c r="D3422" s="2" t="inlineStr">
        <is>
          <t>P0011</t>
        </is>
      </c>
      <c r="E3422" s="2" t="inlineStr">
        <is>
          <t>Cookware Set</t>
        </is>
      </c>
      <c r="F3422" s="2" t="inlineStr">
        <is>
          <t>Home &amp; Kitchen</t>
        </is>
      </c>
      <c r="G3422" s="2" t="inlineStr">
        <is>
          <t>West</t>
        </is>
      </c>
      <c r="H3422" s="2" t="inlineStr">
        <is>
          <t>Gujarat</t>
        </is>
      </c>
      <c r="I3422" s="2" t="inlineStr">
        <is>
          <t>Ahmedabad</t>
        </is>
      </c>
      <c r="J3422" s="2" t="inlineStr">
        <is>
          <t>Store</t>
        </is>
      </c>
      <c r="K3422" s="2" t="n">
        <v>1</v>
      </c>
      <c r="L3422" s="3" t="n">
        <v>685.39</v>
      </c>
      <c r="M3422" s="4" t="n">
        <v>0.05</v>
      </c>
      <c r="N3422" s="3" t="n">
        <v>486</v>
      </c>
      <c r="O3422" s="3">
        <f>K3422*L3422*(1-M3422)</f>
        <v/>
      </c>
      <c r="P3422" s="3">
        <f>O3422-N3422</f>
        <v/>
      </c>
      <c r="Q3422" s="5">
        <f>IFERROR(P3422/O3422,0)</f>
        <v/>
      </c>
      <c r="R3422" s="2">
        <f>TEXT(DATEVALUE(B3422),"mmm")</f>
        <v/>
      </c>
      <c r="S3422" s="2">
        <f>TEXT(DATEVALUE(B3422),"yyyy-mm")</f>
        <v/>
      </c>
    </row>
    <row r="3423">
      <c r="A3423" s="2" t="inlineStr">
        <is>
          <t>O000484</t>
        </is>
      </c>
      <c r="B3423" s="2" t="inlineStr">
        <is>
          <t>2025-09-07</t>
        </is>
      </c>
      <c r="C3423" s="2" t="inlineStr">
        <is>
          <t>C0420</t>
        </is>
      </c>
      <c r="D3423" s="2" t="inlineStr">
        <is>
          <t>P0001</t>
        </is>
      </c>
      <c r="E3423" s="2" t="inlineStr">
        <is>
          <t>Wireless Headphones</t>
        </is>
      </c>
      <c r="F3423" s="2" t="inlineStr">
        <is>
          <t>Electronics</t>
        </is>
      </c>
      <c r="G3423" s="2" t="inlineStr">
        <is>
          <t>East</t>
        </is>
      </c>
      <c r="H3423" s="2" t="inlineStr">
        <is>
          <t>Bihar</t>
        </is>
      </c>
      <c r="I3423" s="2" t="inlineStr">
        <is>
          <t>Gaya</t>
        </is>
      </c>
      <c r="J3423" s="2" t="inlineStr">
        <is>
          <t>Online</t>
        </is>
      </c>
      <c r="K3423" s="2" t="n">
        <v>3</v>
      </c>
      <c r="L3423" s="3" t="n">
        <v>1317.41</v>
      </c>
      <c r="M3423" s="4" t="n">
        <v>0</v>
      </c>
      <c r="N3423" s="3" t="n">
        <v>2077.77</v>
      </c>
      <c r="O3423" s="3">
        <f>K3423*L3423*(1-M3423)</f>
        <v/>
      </c>
      <c r="P3423" s="3">
        <f>O3423-N3423</f>
        <v/>
      </c>
      <c r="Q3423" s="5">
        <f>IFERROR(P3423/O3423,0)</f>
        <v/>
      </c>
      <c r="R3423" s="2">
        <f>TEXT(DATEVALUE(B3423),"mmm")</f>
        <v/>
      </c>
      <c r="S3423" s="2">
        <f>TEXT(DATEVALUE(B3423),"yyyy-mm")</f>
        <v/>
      </c>
    </row>
    <row r="3424">
      <c r="A3424" s="2" t="inlineStr">
        <is>
          <t>O001921</t>
        </is>
      </c>
      <c r="B3424" s="2" t="inlineStr">
        <is>
          <t>2025-09-07</t>
        </is>
      </c>
      <c r="C3424" s="2" t="inlineStr">
        <is>
          <t>C0352</t>
        </is>
      </c>
      <c r="D3424" s="2" t="inlineStr">
        <is>
          <t>P0022</t>
        </is>
      </c>
      <c r="E3424" s="2" t="inlineStr">
        <is>
          <t>Face Wash</t>
        </is>
      </c>
      <c r="F3424" s="2" t="inlineStr">
        <is>
          <t>Beauty</t>
        </is>
      </c>
      <c r="G3424" s="2" t="inlineStr">
        <is>
          <t>East</t>
        </is>
      </c>
      <c r="H3424" s="2" t="inlineStr">
        <is>
          <t>Odisha</t>
        </is>
      </c>
      <c r="I3424" s="2" t="inlineStr">
        <is>
          <t>Bhubaneswar</t>
        </is>
      </c>
      <c r="J3424" s="2" t="inlineStr">
        <is>
          <t>Online</t>
        </is>
      </c>
      <c r="K3424" s="2" t="n">
        <v>5</v>
      </c>
      <c r="L3424" s="3" t="n">
        <v>576.48</v>
      </c>
      <c r="M3424" s="4" t="n">
        <v>0.2</v>
      </c>
      <c r="N3424" s="3" t="n">
        <v>1808.92</v>
      </c>
      <c r="O3424" s="3">
        <f>K3424*L3424*(1-M3424)</f>
        <v/>
      </c>
      <c r="P3424" s="3">
        <f>O3424-N3424</f>
        <v/>
      </c>
      <c r="Q3424" s="5">
        <f>IFERROR(P3424/O3424,0)</f>
        <v/>
      </c>
      <c r="R3424" s="2">
        <f>TEXT(DATEVALUE(B3424),"mmm")</f>
        <v/>
      </c>
      <c r="S3424" s="2">
        <f>TEXT(DATEVALUE(B3424),"yyyy-mm")</f>
        <v/>
      </c>
    </row>
    <row r="3425">
      <c r="A3425" s="2" t="inlineStr">
        <is>
          <t>O002769</t>
        </is>
      </c>
      <c r="B3425" s="2" t="inlineStr">
        <is>
          <t>2025-09-08</t>
        </is>
      </c>
      <c r="C3425" s="2" t="inlineStr">
        <is>
          <t>C0280</t>
        </is>
      </c>
      <c r="D3425" s="2" t="inlineStr">
        <is>
          <t>P0007</t>
        </is>
      </c>
      <c r="E3425" s="2" t="inlineStr">
        <is>
          <t>Wireless Mouse</t>
        </is>
      </c>
      <c r="F3425" s="2" t="inlineStr">
        <is>
          <t>Electronics</t>
        </is>
      </c>
      <c r="G3425" s="2" t="inlineStr">
        <is>
          <t>North</t>
        </is>
      </c>
      <c r="H3425" s="2" t="inlineStr">
        <is>
          <t>Punjab</t>
        </is>
      </c>
      <c r="I3425" s="2" t="inlineStr">
        <is>
          <t>Jalandhar</t>
        </is>
      </c>
      <c r="J3425" s="2" t="inlineStr">
        <is>
          <t>Online</t>
        </is>
      </c>
      <c r="K3425" s="2" t="n">
        <v>6</v>
      </c>
      <c r="L3425" s="3" t="n">
        <v>990.91</v>
      </c>
      <c r="M3425" s="4" t="n">
        <v>0</v>
      </c>
      <c r="N3425" s="3" t="n">
        <v>3672.91</v>
      </c>
      <c r="O3425" s="3">
        <f>K3425*L3425*(1-M3425)</f>
        <v/>
      </c>
      <c r="P3425" s="3">
        <f>O3425-N3425</f>
        <v/>
      </c>
      <c r="Q3425" s="5">
        <f>IFERROR(P3425/O3425,0)</f>
        <v/>
      </c>
      <c r="R3425" s="2">
        <f>TEXT(DATEVALUE(B3425),"mmm")</f>
        <v/>
      </c>
      <c r="S3425" s="2">
        <f>TEXT(DATEVALUE(B3425),"yyyy-mm")</f>
        <v/>
      </c>
    </row>
    <row r="3426">
      <c r="A3426" s="2" t="inlineStr">
        <is>
          <t>O003098</t>
        </is>
      </c>
      <c r="B3426" s="2" t="inlineStr">
        <is>
          <t>2025-09-08</t>
        </is>
      </c>
      <c r="C3426" s="2" t="inlineStr">
        <is>
          <t>C0007</t>
        </is>
      </c>
      <c r="D3426" s="2" t="inlineStr">
        <is>
          <t>P0028</t>
        </is>
      </c>
      <c r="E3426" s="2" t="inlineStr">
        <is>
          <t>Trimmer</t>
        </is>
      </c>
      <c r="F3426" s="2" t="inlineStr">
        <is>
          <t>Beauty</t>
        </is>
      </c>
      <c r="G3426" s="2" t="inlineStr">
        <is>
          <t>East</t>
        </is>
      </c>
      <c r="H3426" s="2" t="inlineStr">
        <is>
          <t>West Bengal</t>
        </is>
      </c>
      <c r="I3426" s="2" t="inlineStr">
        <is>
          <t>Kolkata</t>
        </is>
      </c>
      <c r="J3426" s="2" t="inlineStr">
        <is>
          <t>Online</t>
        </is>
      </c>
      <c r="K3426" s="2" t="n">
        <v>2</v>
      </c>
      <c r="L3426" s="3" t="n">
        <v>448.96</v>
      </c>
      <c r="M3426" s="4" t="n">
        <v>0.15</v>
      </c>
      <c r="N3426" s="3" t="n">
        <v>509.98</v>
      </c>
      <c r="O3426" s="3">
        <f>K3426*L3426*(1-M3426)</f>
        <v/>
      </c>
      <c r="P3426" s="3">
        <f>O3426-N3426</f>
        <v/>
      </c>
      <c r="Q3426" s="5">
        <f>IFERROR(P3426/O3426,0)</f>
        <v/>
      </c>
      <c r="R3426" s="2">
        <f>TEXT(DATEVALUE(B3426),"mmm")</f>
        <v/>
      </c>
      <c r="S3426" s="2">
        <f>TEXT(DATEVALUE(B3426),"yyyy-mm")</f>
        <v/>
      </c>
    </row>
    <row r="3427">
      <c r="A3427" s="2" t="inlineStr">
        <is>
          <t>O003130</t>
        </is>
      </c>
      <c r="B3427" s="2" t="inlineStr">
        <is>
          <t>2025-09-08</t>
        </is>
      </c>
      <c r="C3427" s="2" t="inlineStr">
        <is>
          <t>C0237</t>
        </is>
      </c>
      <c r="D3427" s="2" t="inlineStr">
        <is>
          <t>P0010</t>
        </is>
      </c>
      <c r="E3427" s="2" t="inlineStr">
        <is>
          <t>Mixer Grinder</t>
        </is>
      </c>
      <c r="F3427" s="2" t="inlineStr">
        <is>
          <t>Home &amp; Kitchen</t>
        </is>
      </c>
      <c r="G3427" s="2" t="inlineStr">
        <is>
          <t>West</t>
        </is>
      </c>
      <c r="H3427" s="2" t="inlineStr">
        <is>
          <t>Maharashtra</t>
        </is>
      </c>
      <c r="I3427" s="2" t="inlineStr">
        <is>
          <t>Nagpur</t>
        </is>
      </c>
      <c r="J3427" s="2" t="inlineStr">
        <is>
          <t>Online</t>
        </is>
      </c>
      <c r="K3427" s="2" t="n">
        <v>3</v>
      </c>
      <c r="L3427" s="3" t="n">
        <v>1696.42</v>
      </c>
      <c r="M3427" s="4" t="n">
        <v>0</v>
      </c>
      <c r="N3427" s="3" t="n">
        <v>3106.68</v>
      </c>
      <c r="O3427" s="3">
        <f>K3427*L3427*(1-M3427)</f>
        <v/>
      </c>
      <c r="P3427" s="3">
        <f>O3427-N3427</f>
        <v/>
      </c>
      <c r="Q3427" s="5">
        <f>IFERROR(P3427/O3427,0)</f>
        <v/>
      </c>
      <c r="R3427" s="2">
        <f>TEXT(DATEVALUE(B3427),"mmm")</f>
        <v/>
      </c>
      <c r="S3427" s="2">
        <f>TEXT(DATEVALUE(B3427),"yyyy-mm")</f>
        <v/>
      </c>
    </row>
    <row r="3428">
      <c r="A3428" s="2" t="inlineStr">
        <is>
          <t>O004628</t>
        </is>
      </c>
      <c r="B3428" s="2" t="inlineStr">
        <is>
          <t>2025-09-08</t>
        </is>
      </c>
      <c r="C3428" s="2" t="inlineStr">
        <is>
          <t>C0151</t>
        </is>
      </c>
      <c r="D3428" s="2" t="inlineStr">
        <is>
          <t>P0018</t>
        </is>
      </c>
      <c r="E3428" s="2" t="inlineStr">
        <is>
          <t>Backpack</t>
        </is>
      </c>
      <c r="F3428" s="2" t="inlineStr">
        <is>
          <t>Fashion</t>
        </is>
      </c>
      <c r="G3428" s="2" t="inlineStr">
        <is>
          <t>South</t>
        </is>
      </c>
      <c r="H3428" s="2" t="inlineStr">
        <is>
          <t>Tamil Nadu</t>
        </is>
      </c>
      <c r="I3428" s="2" t="inlineStr">
        <is>
          <t>Madurai</t>
        </is>
      </c>
      <c r="J3428" s="2" t="inlineStr">
        <is>
          <t>Store</t>
        </is>
      </c>
      <c r="K3428" s="2" t="n">
        <v>2</v>
      </c>
      <c r="L3428" s="3" t="n">
        <v>1781.91</v>
      </c>
      <c r="M3428" s="4" t="n">
        <v>0.1</v>
      </c>
      <c r="N3428" s="3" t="n">
        <v>2626.56</v>
      </c>
      <c r="O3428" s="3">
        <f>K3428*L3428*(1-M3428)</f>
        <v/>
      </c>
      <c r="P3428" s="3">
        <f>O3428-N3428</f>
        <v/>
      </c>
      <c r="Q3428" s="5">
        <f>IFERROR(P3428/O3428,0)</f>
        <v/>
      </c>
      <c r="R3428" s="2">
        <f>TEXT(DATEVALUE(B3428),"mmm")</f>
        <v/>
      </c>
      <c r="S3428" s="2">
        <f>TEXT(DATEVALUE(B3428),"yyyy-mm")</f>
        <v/>
      </c>
    </row>
    <row r="3429">
      <c r="A3429" s="2" t="inlineStr">
        <is>
          <t>O004982</t>
        </is>
      </c>
      <c r="B3429" s="2" t="inlineStr">
        <is>
          <t>2025-09-08</t>
        </is>
      </c>
      <c r="C3429" s="2" t="inlineStr">
        <is>
          <t>C0064</t>
        </is>
      </c>
      <c r="D3429" s="2" t="inlineStr">
        <is>
          <t>P0028</t>
        </is>
      </c>
      <c r="E3429" s="2" t="inlineStr">
        <is>
          <t>Trimmer</t>
        </is>
      </c>
      <c r="F3429" s="2" t="inlineStr">
        <is>
          <t>Beauty</t>
        </is>
      </c>
      <c r="G3429" s="2" t="inlineStr">
        <is>
          <t>West</t>
        </is>
      </c>
      <c r="H3429" s="2" t="inlineStr">
        <is>
          <t>Gujarat</t>
        </is>
      </c>
      <c r="I3429" s="2" t="inlineStr">
        <is>
          <t>Vadodara</t>
        </is>
      </c>
      <c r="J3429" s="2" t="inlineStr">
        <is>
          <t>Online</t>
        </is>
      </c>
      <c r="K3429" s="2" t="n">
        <v>6</v>
      </c>
      <c r="L3429" s="3" t="n">
        <v>439.91</v>
      </c>
      <c r="M3429" s="4" t="n">
        <v>0.1</v>
      </c>
      <c r="N3429" s="3" t="n">
        <v>1514.5</v>
      </c>
      <c r="O3429" s="3">
        <f>K3429*L3429*(1-M3429)</f>
        <v/>
      </c>
      <c r="P3429" s="3">
        <f>O3429-N3429</f>
        <v/>
      </c>
      <c r="Q3429" s="5">
        <f>IFERROR(P3429/O3429,0)</f>
        <v/>
      </c>
      <c r="R3429" s="2">
        <f>TEXT(DATEVALUE(B3429),"mmm")</f>
        <v/>
      </c>
      <c r="S3429" s="2">
        <f>TEXT(DATEVALUE(B3429),"yyyy-mm")</f>
        <v/>
      </c>
    </row>
    <row r="3430">
      <c r="A3430" s="2" t="inlineStr">
        <is>
          <t>O004197</t>
        </is>
      </c>
      <c r="B3430" s="2" t="inlineStr">
        <is>
          <t>2025-09-08</t>
        </is>
      </c>
      <c r="C3430" s="2" t="inlineStr">
        <is>
          <t>C0096</t>
        </is>
      </c>
      <c r="D3430" s="2" t="inlineStr">
        <is>
          <t>P0004</t>
        </is>
      </c>
      <c r="E3430" s="2" t="inlineStr">
        <is>
          <t>USB-C Hub</t>
        </is>
      </c>
      <c r="F3430" s="2" t="inlineStr">
        <is>
          <t>Electronics</t>
        </is>
      </c>
      <c r="G3430" s="2" t="inlineStr">
        <is>
          <t>North</t>
        </is>
      </c>
      <c r="H3430" s="2" t="inlineStr">
        <is>
          <t>Haryana</t>
        </is>
      </c>
      <c r="I3430" s="2" t="inlineStr">
        <is>
          <t>Faridabad</t>
        </is>
      </c>
      <c r="J3430" s="2" t="inlineStr">
        <is>
          <t>Store</t>
        </is>
      </c>
      <c r="K3430" s="2" t="n">
        <v>1</v>
      </c>
      <c r="L3430" s="3" t="n">
        <v>1313.34</v>
      </c>
      <c r="M3430" s="4" t="n">
        <v>0.1</v>
      </c>
      <c r="N3430" s="3" t="n">
        <v>895.02</v>
      </c>
      <c r="O3430" s="3">
        <f>K3430*L3430*(1-M3430)</f>
        <v/>
      </c>
      <c r="P3430" s="3">
        <f>O3430-N3430</f>
        <v/>
      </c>
      <c r="Q3430" s="5">
        <f>IFERROR(P3430/O3430,0)</f>
        <v/>
      </c>
      <c r="R3430" s="2">
        <f>TEXT(DATEVALUE(B3430),"mmm")</f>
        <v/>
      </c>
      <c r="S3430" s="2">
        <f>TEXT(DATEVALUE(B3430),"yyyy-mm")</f>
        <v/>
      </c>
    </row>
    <row r="3431">
      <c r="A3431" s="2" t="inlineStr">
        <is>
          <t>O002026</t>
        </is>
      </c>
      <c r="B3431" s="2" t="inlineStr">
        <is>
          <t>2025-09-08</t>
        </is>
      </c>
      <c r="C3431" s="2" t="inlineStr">
        <is>
          <t>C0065</t>
        </is>
      </c>
      <c r="D3431" s="2" t="inlineStr">
        <is>
          <t>P0010</t>
        </is>
      </c>
      <c r="E3431" s="2" t="inlineStr">
        <is>
          <t>Mixer Grinder</t>
        </is>
      </c>
      <c r="F3431" s="2" t="inlineStr">
        <is>
          <t>Home &amp; Kitchen</t>
        </is>
      </c>
      <c r="G3431" s="2" t="inlineStr">
        <is>
          <t>West</t>
        </is>
      </c>
      <c r="H3431" s="2" t="inlineStr">
        <is>
          <t>Maharashtra</t>
        </is>
      </c>
      <c r="I3431" s="2" t="inlineStr">
        <is>
          <t>Pune</t>
        </is>
      </c>
      <c r="J3431" s="2" t="inlineStr">
        <is>
          <t>Store</t>
        </is>
      </c>
      <c r="K3431" s="2" t="n">
        <v>3</v>
      </c>
      <c r="L3431" s="3" t="n">
        <v>1568.38</v>
      </c>
      <c r="M3431" s="4" t="n">
        <v>0.05</v>
      </c>
      <c r="N3431" s="3" t="n">
        <v>3210.47</v>
      </c>
      <c r="O3431" s="3">
        <f>K3431*L3431*(1-M3431)</f>
        <v/>
      </c>
      <c r="P3431" s="3">
        <f>O3431-N3431</f>
        <v/>
      </c>
      <c r="Q3431" s="5">
        <f>IFERROR(P3431/O3431,0)</f>
        <v/>
      </c>
      <c r="R3431" s="2">
        <f>TEXT(DATEVALUE(B3431),"mmm")</f>
        <v/>
      </c>
      <c r="S3431" s="2">
        <f>TEXT(DATEVALUE(B3431),"yyyy-mm")</f>
        <v/>
      </c>
    </row>
    <row r="3432">
      <c r="A3432" s="2" t="inlineStr">
        <is>
          <t>O002768</t>
        </is>
      </c>
      <c r="B3432" s="2" t="inlineStr">
        <is>
          <t>2025-09-08</t>
        </is>
      </c>
      <c r="C3432" s="2" t="inlineStr">
        <is>
          <t>C0436</t>
        </is>
      </c>
      <c r="D3432" s="2" t="inlineStr">
        <is>
          <t>P0012</t>
        </is>
      </c>
      <c r="E3432" s="2" t="inlineStr">
        <is>
          <t>Water Bottle</t>
        </is>
      </c>
      <c r="F3432" s="2" t="inlineStr">
        <is>
          <t>Home &amp; Kitchen</t>
        </is>
      </c>
      <c r="G3432" s="2" t="inlineStr">
        <is>
          <t>West</t>
        </is>
      </c>
      <c r="H3432" s="2" t="inlineStr">
        <is>
          <t>Gujarat</t>
        </is>
      </c>
      <c r="I3432" s="2" t="inlineStr">
        <is>
          <t>Vadodara</t>
        </is>
      </c>
      <c r="J3432" s="2" t="inlineStr">
        <is>
          <t>Online</t>
        </is>
      </c>
      <c r="K3432" s="2" t="n">
        <v>3</v>
      </c>
      <c r="L3432" s="3" t="n">
        <v>959.64</v>
      </c>
      <c r="M3432" s="4" t="n">
        <v>0.05</v>
      </c>
      <c r="N3432" s="3" t="n">
        <v>1884.82</v>
      </c>
      <c r="O3432" s="3">
        <f>K3432*L3432*(1-M3432)</f>
        <v/>
      </c>
      <c r="P3432" s="3">
        <f>O3432-N3432</f>
        <v/>
      </c>
      <c r="Q3432" s="5">
        <f>IFERROR(P3432/O3432,0)</f>
        <v/>
      </c>
      <c r="R3432" s="2">
        <f>TEXT(DATEVALUE(B3432),"mmm")</f>
        <v/>
      </c>
      <c r="S3432" s="2">
        <f>TEXT(DATEVALUE(B3432),"yyyy-mm")</f>
        <v/>
      </c>
    </row>
    <row r="3433">
      <c r="A3433" s="2" t="inlineStr">
        <is>
          <t>O001859</t>
        </is>
      </c>
      <c r="B3433" s="2" t="inlineStr">
        <is>
          <t>2025-09-08</t>
        </is>
      </c>
      <c r="C3433" s="2" t="inlineStr">
        <is>
          <t>C0506</t>
        </is>
      </c>
      <c r="D3433" s="2" t="inlineStr">
        <is>
          <t>P0011</t>
        </is>
      </c>
      <c r="E3433" s="2" t="inlineStr">
        <is>
          <t>Cookware Set</t>
        </is>
      </c>
      <c r="F3433" s="2" t="inlineStr">
        <is>
          <t>Home &amp; Kitchen</t>
        </is>
      </c>
      <c r="G3433" s="2" t="inlineStr">
        <is>
          <t>South</t>
        </is>
      </c>
      <c r="H3433" s="2" t="inlineStr">
        <is>
          <t>Tamil Nadu</t>
        </is>
      </c>
      <c r="I3433" s="2" t="inlineStr">
        <is>
          <t>Coimbatore</t>
        </is>
      </c>
      <c r="J3433" s="2" t="inlineStr">
        <is>
          <t>Online</t>
        </is>
      </c>
      <c r="K3433" s="2" t="n">
        <v>2</v>
      </c>
      <c r="L3433" s="3" t="n">
        <v>679.27</v>
      </c>
      <c r="M3433" s="4" t="n">
        <v>0.05</v>
      </c>
      <c r="N3433" s="3" t="n">
        <v>931.41</v>
      </c>
      <c r="O3433" s="3">
        <f>K3433*L3433*(1-M3433)</f>
        <v/>
      </c>
      <c r="P3433" s="3">
        <f>O3433-N3433</f>
        <v/>
      </c>
      <c r="Q3433" s="5">
        <f>IFERROR(P3433/O3433,0)</f>
        <v/>
      </c>
      <c r="R3433" s="2">
        <f>TEXT(DATEVALUE(B3433),"mmm")</f>
        <v/>
      </c>
      <c r="S3433" s="2">
        <f>TEXT(DATEVALUE(B3433),"yyyy-mm")</f>
        <v/>
      </c>
    </row>
    <row r="3434">
      <c r="A3434" s="2" t="inlineStr">
        <is>
          <t>O001713</t>
        </is>
      </c>
      <c r="B3434" s="2" t="inlineStr">
        <is>
          <t>2025-09-08</t>
        </is>
      </c>
      <c r="C3434" s="2" t="inlineStr">
        <is>
          <t>C0507</t>
        </is>
      </c>
      <c r="D3434" s="2" t="inlineStr">
        <is>
          <t>P0027</t>
        </is>
      </c>
      <c r="E3434" s="2" t="inlineStr">
        <is>
          <t>Moisturizer</t>
        </is>
      </c>
      <c r="F3434" s="2" t="inlineStr">
        <is>
          <t>Beauty</t>
        </is>
      </c>
      <c r="G3434" s="2" t="inlineStr">
        <is>
          <t>West</t>
        </is>
      </c>
      <c r="H3434" s="2" t="inlineStr">
        <is>
          <t>Goa</t>
        </is>
      </c>
      <c r="I3434" s="2" t="inlineStr">
        <is>
          <t>Margao</t>
        </is>
      </c>
      <c r="J3434" s="2" t="inlineStr">
        <is>
          <t>Store</t>
        </is>
      </c>
      <c r="K3434" s="2" t="n">
        <v>3</v>
      </c>
      <c r="L3434" s="3" t="n">
        <v>995.79</v>
      </c>
      <c r="M3434" s="4" t="n">
        <v>0.05</v>
      </c>
      <c r="N3434" s="3" t="n">
        <v>1980.22</v>
      </c>
      <c r="O3434" s="3">
        <f>K3434*L3434*(1-M3434)</f>
        <v/>
      </c>
      <c r="P3434" s="3">
        <f>O3434-N3434</f>
        <v/>
      </c>
      <c r="Q3434" s="5">
        <f>IFERROR(P3434/O3434,0)</f>
        <v/>
      </c>
      <c r="R3434" s="2">
        <f>TEXT(DATEVALUE(B3434),"mmm")</f>
        <v/>
      </c>
      <c r="S3434" s="2">
        <f>TEXT(DATEVALUE(B3434),"yyyy-mm")</f>
        <v/>
      </c>
    </row>
    <row r="3435">
      <c r="A3435" s="2" t="inlineStr">
        <is>
          <t>O001606</t>
        </is>
      </c>
      <c r="B3435" s="2" t="inlineStr">
        <is>
          <t>2025-09-08</t>
        </is>
      </c>
      <c r="C3435" s="2" t="inlineStr">
        <is>
          <t>C0528</t>
        </is>
      </c>
      <c r="D3435" s="2" t="inlineStr">
        <is>
          <t>P0032</t>
        </is>
      </c>
      <c r="E3435" s="2" t="inlineStr">
        <is>
          <t>Football</t>
        </is>
      </c>
      <c r="F3435" s="2" t="inlineStr">
        <is>
          <t>Sports</t>
        </is>
      </c>
      <c r="G3435" s="2" t="inlineStr">
        <is>
          <t>West</t>
        </is>
      </c>
      <c r="H3435" s="2" t="inlineStr">
        <is>
          <t>Gujarat</t>
        </is>
      </c>
      <c r="I3435" s="2" t="inlineStr">
        <is>
          <t>Surat</t>
        </is>
      </c>
      <c r="J3435" s="2" t="inlineStr">
        <is>
          <t>Store</t>
        </is>
      </c>
      <c r="K3435" s="2" t="n">
        <v>4</v>
      </c>
      <c r="L3435" s="3" t="n">
        <v>820.6</v>
      </c>
      <c r="M3435" s="4" t="n">
        <v>0.2</v>
      </c>
      <c r="N3435" s="3" t="n">
        <v>2146.27</v>
      </c>
      <c r="O3435" s="3">
        <f>K3435*L3435*(1-M3435)</f>
        <v/>
      </c>
      <c r="P3435" s="3">
        <f>O3435-N3435</f>
        <v/>
      </c>
      <c r="Q3435" s="5">
        <f>IFERROR(P3435/O3435,0)</f>
        <v/>
      </c>
      <c r="R3435" s="2">
        <f>TEXT(DATEVALUE(B3435),"mmm")</f>
        <v/>
      </c>
      <c r="S3435" s="2">
        <f>TEXT(DATEVALUE(B3435),"yyyy-mm")</f>
        <v/>
      </c>
    </row>
    <row r="3436">
      <c r="A3436" s="2" t="inlineStr">
        <is>
          <t>O001497</t>
        </is>
      </c>
      <c r="B3436" s="2" t="inlineStr">
        <is>
          <t>2025-09-08</t>
        </is>
      </c>
      <c r="C3436" s="2" t="inlineStr">
        <is>
          <t>C0478</t>
        </is>
      </c>
      <c r="D3436" s="2" t="inlineStr">
        <is>
          <t>P0018</t>
        </is>
      </c>
      <c r="E3436" s="2" t="inlineStr">
        <is>
          <t>Backpack</t>
        </is>
      </c>
      <c r="F3436" s="2" t="inlineStr">
        <is>
          <t>Fashion</t>
        </is>
      </c>
      <c r="G3436" s="2" t="inlineStr">
        <is>
          <t>East</t>
        </is>
      </c>
      <c r="H3436" s="2" t="inlineStr">
        <is>
          <t>Odisha</t>
        </is>
      </c>
      <c r="I3436" s="2" t="inlineStr">
        <is>
          <t>Cuttack</t>
        </is>
      </c>
      <c r="J3436" s="2" t="inlineStr">
        <is>
          <t>Online</t>
        </is>
      </c>
      <c r="K3436" s="2" t="n">
        <v>1</v>
      </c>
      <c r="L3436" s="3" t="n">
        <v>1787.6</v>
      </c>
      <c r="M3436" s="4" t="n">
        <v>0.1</v>
      </c>
      <c r="N3436" s="3" t="n">
        <v>1347.5</v>
      </c>
      <c r="O3436" s="3">
        <f>K3436*L3436*(1-M3436)</f>
        <v/>
      </c>
      <c r="P3436" s="3">
        <f>O3436-N3436</f>
        <v/>
      </c>
      <c r="Q3436" s="5">
        <f>IFERROR(P3436/O3436,0)</f>
        <v/>
      </c>
      <c r="R3436" s="2">
        <f>TEXT(DATEVALUE(B3436),"mmm")</f>
        <v/>
      </c>
      <c r="S3436" s="2">
        <f>TEXT(DATEVALUE(B3436),"yyyy-mm")</f>
        <v/>
      </c>
    </row>
    <row r="3437">
      <c r="A3437" s="2" t="inlineStr">
        <is>
          <t>O002004</t>
        </is>
      </c>
      <c r="B3437" s="2" t="inlineStr">
        <is>
          <t>2025-09-08</t>
        </is>
      </c>
      <c r="C3437" s="2" t="inlineStr">
        <is>
          <t>C0719</t>
        </is>
      </c>
      <c r="D3437" s="2" t="inlineStr">
        <is>
          <t>P0018</t>
        </is>
      </c>
      <c r="E3437" s="2" t="inlineStr">
        <is>
          <t>Backpack</t>
        </is>
      </c>
      <c r="F3437" s="2" t="inlineStr">
        <is>
          <t>Fashion</t>
        </is>
      </c>
      <c r="G3437" s="2" t="inlineStr">
        <is>
          <t>South</t>
        </is>
      </c>
      <c r="H3437" s="2" t="inlineStr">
        <is>
          <t>Tamil Nadu</t>
        </is>
      </c>
      <c r="I3437" s="2" t="inlineStr">
        <is>
          <t>Chennai</t>
        </is>
      </c>
      <c r="J3437" s="2" t="inlineStr">
        <is>
          <t>Online</t>
        </is>
      </c>
      <c r="K3437" s="2" t="n">
        <v>1</v>
      </c>
      <c r="L3437" s="3" t="n">
        <v>1820.96</v>
      </c>
      <c r="M3437" s="4" t="n">
        <v>0.1</v>
      </c>
      <c r="N3437" s="3" t="n">
        <v>1325.24</v>
      </c>
      <c r="O3437" s="3">
        <f>K3437*L3437*(1-M3437)</f>
        <v/>
      </c>
      <c r="P3437" s="3">
        <f>O3437-N3437</f>
        <v/>
      </c>
      <c r="Q3437" s="5">
        <f>IFERROR(P3437/O3437,0)</f>
        <v/>
      </c>
      <c r="R3437" s="2">
        <f>TEXT(DATEVALUE(B3437),"mmm")</f>
        <v/>
      </c>
      <c r="S3437" s="2">
        <f>TEXT(DATEVALUE(B3437),"yyyy-mm")</f>
        <v/>
      </c>
    </row>
    <row r="3438">
      <c r="A3438" s="2" t="inlineStr">
        <is>
          <t>O001187</t>
        </is>
      </c>
      <c r="B3438" s="2" t="inlineStr">
        <is>
          <t>2025-09-08</t>
        </is>
      </c>
      <c r="C3438" s="2" t="inlineStr">
        <is>
          <t>C0657</t>
        </is>
      </c>
      <c r="D3438" s="2" t="inlineStr">
        <is>
          <t>P0021</t>
        </is>
      </c>
      <c r="E3438" s="2" t="inlineStr">
        <is>
          <t>Wallet</t>
        </is>
      </c>
      <c r="F3438" s="2" t="inlineStr">
        <is>
          <t>Fashion</t>
        </is>
      </c>
      <c r="G3438" s="2" t="inlineStr">
        <is>
          <t>West</t>
        </is>
      </c>
      <c r="H3438" s="2" t="inlineStr">
        <is>
          <t>Gujarat</t>
        </is>
      </c>
      <c r="I3438" s="2" t="inlineStr">
        <is>
          <t>Ahmedabad</t>
        </is>
      </c>
      <c r="J3438" s="2" t="inlineStr">
        <is>
          <t>Store</t>
        </is>
      </c>
      <c r="K3438" s="2" t="n">
        <v>4</v>
      </c>
      <c r="L3438" s="3" t="n">
        <v>2063.81</v>
      </c>
      <c r="M3438" s="4" t="n">
        <v>0</v>
      </c>
      <c r="N3438" s="3" t="n">
        <v>4859.56</v>
      </c>
      <c r="O3438" s="3">
        <f>K3438*L3438*(1-M3438)</f>
        <v/>
      </c>
      <c r="P3438" s="3">
        <f>O3438-N3438</f>
        <v/>
      </c>
      <c r="Q3438" s="5">
        <f>IFERROR(P3438/O3438,0)</f>
        <v/>
      </c>
      <c r="R3438" s="2">
        <f>TEXT(DATEVALUE(B3438),"mmm")</f>
        <v/>
      </c>
      <c r="S3438" s="2">
        <f>TEXT(DATEVALUE(B3438),"yyyy-mm")</f>
        <v/>
      </c>
    </row>
    <row r="3439">
      <c r="A3439" s="2" t="inlineStr">
        <is>
          <t>O000777</t>
        </is>
      </c>
      <c r="B3439" s="2" t="inlineStr">
        <is>
          <t>2025-09-08</t>
        </is>
      </c>
      <c r="C3439" s="2" t="inlineStr">
        <is>
          <t>C0700</t>
        </is>
      </c>
      <c r="D3439" s="2" t="inlineStr">
        <is>
          <t>P0019</t>
        </is>
      </c>
      <c r="E3439" s="2" t="inlineStr">
        <is>
          <t>Jacket</t>
        </is>
      </c>
      <c r="F3439" s="2" t="inlineStr">
        <is>
          <t>Fashion</t>
        </is>
      </c>
      <c r="G3439" s="2" t="inlineStr">
        <is>
          <t>South</t>
        </is>
      </c>
      <c r="H3439" s="2" t="inlineStr">
        <is>
          <t>Karnataka</t>
        </is>
      </c>
      <c r="I3439" s="2" t="inlineStr">
        <is>
          <t>Mangaluru</t>
        </is>
      </c>
      <c r="J3439" s="2" t="inlineStr">
        <is>
          <t>Online</t>
        </is>
      </c>
      <c r="K3439" s="2" t="n">
        <v>1</v>
      </c>
      <c r="L3439" s="3" t="n">
        <v>1046.59</v>
      </c>
      <c r="M3439" s="4" t="n">
        <v>0.15</v>
      </c>
      <c r="N3439" s="3" t="n">
        <v>685.75</v>
      </c>
      <c r="O3439" s="3">
        <f>K3439*L3439*(1-M3439)</f>
        <v/>
      </c>
      <c r="P3439" s="3">
        <f>O3439-N3439</f>
        <v/>
      </c>
      <c r="Q3439" s="5">
        <f>IFERROR(P3439/O3439,0)</f>
        <v/>
      </c>
      <c r="R3439" s="2">
        <f>TEXT(DATEVALUE(B3439),"mmm")</f>
        <v/>
      </c>
      <c r="S3439" s="2">
        <f>TEXT(DATEVALUE(B3439),"yyyy-mm")</f>
        <v/>
      </c>
    </row>
    <row r="3440">
      <c r="A3440" s="2" t="inlineStr">
        <is>
          <t>O000719</t>
        </is>
      </c>
      <c r="B3440" s="2" t="inlineStr">
        <is>
          <t>2025-09-08</t>
        </is>
      </c>
      <c r="C3440" s="2" t="inlineStr">
        <is>
          <t>C0445</t>
        </is>
      </c>
      <c r="D3440" s="2" t="inlineStr">
        <is>
          <t>P0007</t>
        </is>
      </c>
      <c r="E3440" s="2" t="inlineStr">
        <is>
          <t>Wireless Mouse</t>
        </is>
      </c>
      <c r="F3440" s="2" t="inlineStr">
        <is>
          <t>Electronics</t>
        </is>
      </c>
      <c r="G3440" s="2" t="inlineStr">
        <is>
          <t>West</t>
        </is>
      </c>
      <c r="H3440" s="2" t="inlineStr">
        <is>
          <t>Goa</t>
        </is>
      </c>
      <c r="I3440" s="2" t="inlineStr">
        <is>
          <t>Panaji</t>
        </is>
      </c>
      <c r="J3440" s="2" t="inlineStr">
        <is>
          <t>Store</t>
        </is>
      </c>
      <c r="K3440" s="2" t="n">
        <v>3</v>
      </c>
      <c r="L3440" s="3" t="n">
        <v>977.59</v>
      </c>
      <c r="M3440" s="4" t="n">
        <v>0.2</v>
      </c>
      <c r="N3440" s="3" t="n">
        <v>1834.19</v>
      </c>
      <c r="O3440" s="3">
        <f>K3440*L3440*(1-M3440)</f>
        <v/>
      </c>
      <c r="P3440" s="3">
        <f>O3440-N3440</f>
        <v/>
      </c>
      <c r="Q3440" s="5">
        <f>IFERROR(P3440/O3440,0)</f>
        <v/>
      </c>
      <c r="R3440" s="2">
        <f>TEXT(DATEVALUE(B3440),"mmm")</f>
        <v/>
      </c>
      <c r="S3440" s="2">
        <f>TEXT(DATEVALUE(B3440),"yyyy-mm")</f>
        <v/>
      </c>
    </row>
    <row r="3441">
      <c r="A3441" s="2" t="inlineStr">
        <is>
          <t>O004465</t>
        </is>
      </c>
      <c r="B3441" s="2" t="inlineStr">
        <is>
          <t>2025-09-09</t>
        </is>
      </c>
      <c r="C3441" s="2" t="inlineStr">
        <is>
          <t>C0114</t>
        </is>
      </c>
      <c r="D3441" s="2" t="inlineStr">
        <is>
          <t>P0016</t>
        </is>
      </c>
      <c r="E3441" s="2" t="inlineStr">
        <is>
          <t>Casual Shirt</t>
        </is>
      </c>
      <c r="F3441" s="2" t="inlineStr">
        <is>
          <t>Fashion</t>
        </is>
      </c>
      <c r="G3441" s="2" t="inlineStr">
        <is>
          <t>West</t>
        </is>
      </c>
      <c r="H3441" s="2" t="inlineStr">
        <is>
          <t>Gujarat</t>
        </is>
      </c>
      <c r="I3441" s="2" t="inlineStr">
        <is>
          <t>Vadodara</t>
        </is>
      </c>
      <c r="J3441" s="2" t="inlineStr">
        <is>
          <t>Store</t>
        </is>
      </c>
      <c r="K3441" s="2" t="n">
        <v>1</v>
      </c>
      <c r="L3441" s="3" t="n">
        <v>1285.68</v>
      </c>
      <c r="M3441" s="4" t="n">
        <v>0.1</v>
      </c>
      <c r="N3441" s="3" t="n">
        <v>894.34</v>
      </c>
      <c r="O3441" s="3">
        <f>K3441*L3441*(1-M3441)</f>
        <v/>
      </c>
      <c r="P3441" s="3">
        <f>O3441-N3441</f>
        <v/>
      </c>
      <c r="Q3441" s="5">
        <f>IFERROR(P3441/O3441,0)</f>
        <v/>
      </c>
      <c r="R3441" s="2">
        <f>TEXT(DATEVALUE(B3441),"mmm")</f>
        <v/>
      </c>
      <c r="S3441" s="2">
        <f>TEXT(DATEVALUE(B3441),"yyyy-mm")</f>
        <v/>
      </c>
    </row>
    <row r="3442">
      <c r="A3442" s="2" t="inlineStr">
        <is>
          <t>O004004</t>
        </is>
      </c>
      <c r="B3442" s="2" t="inlineStr">
        <is>
          <t>2025-09-09</t>
        </is>
      </c>
      <c r="C3442" s="2" t="inlineStr">
        <is>
          <t>C0082</t>
        </is>
      </c>
      <c r="D3442" s="2" t="inlineStr">
        <is>
          <t>P0019</t>
        </is>
      </c>
      <c r="E3442" s="2" t="inlineStr">
        <is>
          <t>Jacket</t>
        </is>
      </c>
      <c r="F3442" s="2" t="inlineStr">
        <is>
          <t>Fashion</t>
        </is>
      </c>
      <c r="G3442" s="2" t="inlineStr">
        <is>
          <t>East</t>
        </is>
      </c>
      <c r="H3442" s="2" t="inlineStr">
        <is>
          <t>Bihar</t>
        </is>
      </c>
      <c r="I3442" s="2" t="inlineStr">
        <is>
          <t>Patna</t>
        </is>
      </c>
      <c r="J3442" s="2" t="inlineStr">
        <is>
          <t>Store</t>
        </is>
      </c>
      <c r="K3442" s="2" t="n">
        <v>1</v>
      </c>
      <c r="L3442" s="3" t="n">
        <v>1027.02</v>
      </c>
      <c r="M3442" s="4" t="n">
        <v>0.1</v>
      </c>
      <c r="N3442" s="3" t="n">
        <v>683.03</v>
      </c>
      <c r="O3442" s="3">
        <f>K3442*L3442*(1-M3442)</f>
        <v/>
      </c>
      <c r="P3442" s="3">
        <f>O3442-N3442</f>
        <v/>
      </c>
      <c r="Q3442" s="5">
        <f>IFERROR(P3442/O3442,0)</f>
        <v/>
      </c>
      <c r="R3442" s="2">
        <f>TEXT(DATEVALUE(B3442),"mmm")</f>
        <v/>
      </c>
      <c r="S3442" s="2">
        <f>TEXT(DATEVALUE(B3442),"yyyy-mm")</f>
        <v/>
      </c>
    </row>
    <row r="3443">
      <c r="A3443" s="2" t="inlineStr">
        <is>
          <t>O003951</t>
        </is>
      </c>
      <c r="B3443" s="2" t="inlineStr">
        <is>
          <t>2025-09-09</t>
        </is>
      </c>
      <c r="C3443" s="2" t="inlineStr">
        <is>
          <t>C0739</t>
        </is>
      </c>
      <c r="D3443" s="2" t="inlineStr">
        <is>
          <t>P0007</t>
        </is>
      </c>
      <c r="E3443" s="2" t="inlineStr">
        <is>
          <t>Wireless Mouse</t>
        </is>
      </c>
      <c r="F3443" s="2" t="inlineStr">
        <is>
          <t>Electronics</t>
        </is>
      </c>
      <c r="G3443" s="2" t="inlineStr">
        <is>
          <t>South</t>
        </is>
      </c>
      <c r="H3443" s="2" t="inlineStr">
        <is>
          <t>Tamil Nadu</t>
        </is>
      </c>
      <c r="I3443" s="2" t="inlineStr">
        <is>
          <t>Coimbatore</t>
        </is>
      </c>
      <c r="J3443" s="2" t="inlineStr">
        <is>
          <t>Online</t>
        </is>
      </c>
      <c r="K3443" s="2" t="n">
        <v>2</v>
      </c>
      <c r="L3443" s="3" t="n">
        <v>941.11</v>
      </c>
      <c r="M3443" s="4" t="n">
        <v>0.1</v>
      </c>
      <c r="N3443" s="3" t="n">
        <v>1270.77</v>
      </c>
      <c r="O3443" s="3">
        <f>K3443*L3443*(1-M3443)</f>
        <v/>
      </c>
      <c r="P3443" s="3">
        <f>O3443-N3443</f>
        <v/>
      </c>
      <c r="Q3443" s="5">
        <f>IFERROR(P3443/O3443,0)</f>
        <v/>
      </c>
      <c r="R3443" s="2">
        <f>TEXT(DATEVALUE(B3443),"mmm")</f>
        <v/>
      </c>
      <c r="S3443" s="2">
        <f>TEXT(DATEVALUE(B3443),"yyyy-mm")</f>
        <v/>
      </c>
    </row>
    <row r="3444">
      <c r="A3444" s="2" t="inlineStr">
        <is>
          <t>O003466</t>
        </is>
      </c>
      <c r="B3444" s="2" t="inlineStr">
        <is>
          <t>2025-09-09</t>
        </is>
      </c>
      <c r="C3444" s="2" t="inlineStr">
        <is>
          <t>C0323</t>
        </is>
      </c>
      <c r="D3444" s="2" t="inlineStr">
        <is>
          <t>P0031</t>
        </is>
      </c>
      <c r="E3444" s="2" t="inlineStr">
        <is>
          <t>Cricket Bat</t>
        </is>
      </c>
      <c r="F3444" s="2" t="inlineStr">
        <is>
          <t>Sports</t>
        </is>
      </c>
      <c r="G3444" s="2" t="inlineStr">
        <is>
          <t>South</t>
        </is>
      </c>
      <c r="H3444" s="2" t="inlineStr">
        <is>
          <t>Telangana</t>
        </is>
      </c>
      <c r="I3444" s="2" t="inlineStr">
        <is>
          <t>Hyderabad</t>
        </is>
      </c>
      <c r="J3444" s="2" t="inlineStr">
        <is>
          <t>Online</t>
        </is>
      </c>
      <c r="K3444" s="2" t="n">
        <v>2</v>
      </c>
      <c r="L3444" s="3" t="n">
        <v>1447.88</v>
      </c>
      <c r="M3444" s="4" t="n">
        <v>0</v>
      </c>
      <c r="N3444" s="3" t="n">
        <v>1874.3</v>
      </c>
      <c r="O3444" s="3">
        <f>K3444*L3444*(1-M3444)</f>
        <v/>
      </c>
      <c r="P3444" s="3">
        <f>O3444-N3444</f>
        <v/>
      </c>
      <c r="Q3444" s="5">
        <f>IFERROR(P3444/O3444,0)</f>
        <v/>
      </c>
      <c r="R3444" s="2">
        <f>TEXT(DATEVALUE(B3444),"mmm")</f>
        <v/>
      </c>
      <c r="S3444" s="2">
        <f>TEXT(DATEVALUE(B3444),"yyyy-mm")</f>
        <v/>
      </c>
    </row>
    <row r="3445">
      <c r="A3445" s="2" t="inlineStr">
        <is>
          <t>O003091</t>
        </is>
      </c>
      <c r="B3445" s="2" t="inlineStr">
        <is>
          <t>2025-09-09</t>
        </is>
      </c>
      <c r="C3445" s="2" t="inlineStr">
        <is>
          <t>C0576</t>
        </is>
      </c>
      <c r="D3445" s="2" t="inlineStr">
        <is>
          <t>P0032</t>
        </is>
      </c>
      <c r="E3445" s="2" t="inlineStr">
        <is>
          <t>Football</t>
        </is>
      </c>
      <c r="F3445" s="2" t="inlineStr">
        <is>
          <t>Sports</t>
        </is>
      </c>
      <c r="G3445" s="2" t="inlineStr">
        <is>
          <t>South</t>
        </is>
      </c>
      <c r="H3445" s="2" t="inlineStr">
        <is>
          <t>Telangana</t>
        </is>
      </c>
      <c r="I3445" s="2" t="inlineStr">
        <is>
          <t>Warangal</t>
        </is>
      </c>
      <c r="J3445" s="2" t="inlineStr">
        <is>
          <t>Store</t>
        </is>
      </c>
      <c r="K3445" s="2" t="n">
        <v>2</v>
      </c>
      <c r="L3445" s="3" t="n">
        <v>777.99</v>
      </c>
      <c r="M3445" s="4" t="n">
        <v>0.1</v>
      </c>
      <c r="N3445" s="3" t="n">
        <v>1067.02</v>
      </c>
      <c r="O3445" s="3">
        <f>K3445*L3445*(1-M3445)</f>
        <v/>
      </c>
      <c r="P3445" s="3">
        <f>O3445-N3445</f>
        <v/>
      </c>
      <c r="Q3445" s="5">
        <f>IFERROR(P3445/O3445,0)</f>
        <v/>
      </c>
      <c r="R3445" s="2">
        <f>TEXT(DATEVALUE(B3445),"mmm")</f>
        <v/>
      </c>
      <c r="S3445" s="2">
        <f>TEXT(DATEVALUE(B3445),"yyyy-mm")</f>
        <v/>
      </c>
    </row>
    <row r="3446">
      <c r="A3446" s="2" t="inlineStr">
        <is>
          <t>O002505</t>
        </is>
      </c>
      <c r="B3446" s="2" t="inlineStr">
        <is>
          <t>2025-09-09</t>
        </is>
      </c>
      <c r="C3446" s="2" t="inlineStr">
        <is>
          <t>C0202</t>
        </is>
      </c>
      <c r="D3446" s="2" t="inlineStr">
        <is>
          <t>P0018</t>
        </is>
      </c>
      <c r="E3446" s="2" t="inlineStr">
        <is>
          <t>Backpack</t>
        </is>
      </c>
      <c r="F3446" s="2" t="inlineStr">
        <is>
          <t>Fashion</t>
        </is>
      </c>
      <c r="G3446" s="2" t="inlineStr">
        <is>
          <t>West</t>
        </is>
      </c>
      <c r="H3446" s="2" t="inlineStr">
        <is>
          <t>Goa</t>
        </is>
      </c>
      <c r="I3446" s="2" t="inlineStr">
        <is>
          <t>Panaji</t>
        </is>
      </c>
      <c r="J3446" s="2" t="inlineStr">
        <is>
          <t>Store</t>
        </is>
      </c>
      <c r="K3446" s="2" t="n">
        <v>4</v>
      </c>
      <c r="L3446" s="3" t="n">
        <v>1786.55</v>
      </c>
      <c r="M3446" s="4" t="n">
        <v>0</v>
      </c>
      <c r="N3446" s="3" t="n">
        <v>5279.69</v>
      </c>
      <c r="O3446" s="3">
        <f>K3446*L3446*(1-M3446)</f>
        <v/>
      </c>
      <c r="P3446" s="3">
        <f>O3446-N3446</f>
        <v/>
      </c>
      <c r="Q3446" s="5">
        <f>IFERROR(P3446/O3446,0)</f>
        <v/>
      </c>
      <c r="R3446" s="2">
        <f>TEXT(DATEVALUE(B3446),"mmm")</f>
        <v/>
      </c>
      <c r="S3446" s="2">
        <f>TEXT(DATEVALUE(B3446),"yyyy-mm")</f>
        <v/>
      </c>
    </row>
    <row r="3447">
      <c r="A3447" s="2" t="inlineStr">
        <is>
          <t>O002448</t>
        </is>
      </c>
      <c r="B3447" s="2" t="inlineStr">
        <is>
          <t>2025-09-09</t>
        </is>
      </c>
      <c r="C3447" s="2" t="inlineStr">
        <is>
          <t>C0283</t>
        </is>
      </c>
      <c r="D3447" s="2" t="inlineStr">
        <is>
          <t>P0017</t>
        </is>
      </c>
      <c r="E3447" s="2" t="inlineStr">
        <is>
          <t>Jeans</t>
        </is>
      </c>
      <c r="F3447" s="2" t="inlineStr">
        <is>
          <t>Fashion</t>
        </is>
      </c>
      <c r="G3447" s="2" t="inlineStr">
        <is>
          <t>West</t>
        </is>
      </c>
      <c r="H3447" s="2" t="inlineStr">
        <is>
          <t>Gujarat</t>
        </is>
      </c>
      <c r="I3447" s="2" t="inlineStr">
        <is>
          <t>Vadodara</t>
        </is>
      </c>
      <c r="J3447" s="2" t="inlineStr">
        <is>
          <t>Online</t>
        </is>
      </c>
      <c r="K3447" s="2" t="n">
        <v>5</v>
      </c>
      <c r="L3447" s="3" t="n">
        <v>1517.21</v>
      </c>
      <c r="M3447" s="4" t="n">
        <v>0.1</v>
      </c>
      <c r="N3447" s="3" t="n">
        <v>5198.47</v>
      </c>
      <c r="O3447" s="3">
        <f>K3447*L3447*(1-M3447)</f>
        <v/>
      </c>
      <c r="P3447" s="3">
        <f>O3447-N3447</f>
        <v/>
      </c>
      <c r="Q3447" s="5">
        <f>IFERROR(P3447/O3447,0)</f>
        <v/>
      </c>
      <c r="R3447" s="2">
        <f>TEXT(DATEVALUE(B3447),"mmm")</f>
        <v/>
      </c>
      <c r="S3447" s="2">
        <f>TEXT(DATEVALUE(B3447),"yyyy-mm")</f>
        <v/>
      </c>
    </row>
    <row r="3448">
      <c r="A3448" s="2" t="inlineStr">
        <is>
          <t>O003779</t>
        </is>
      </c>
      <c r="B3448" s="2" t="inlineStr">
        <is>
          <t>2025-09-09</t>
        </is>
      </c>
      <c r="C3448" s="2" t="inlineStr">
        <is>
          <t>C0397</t>
        </is>
      </c>
      <c r="D3448" s="2" t="inlineStr">
        <is>
          <t>P0015</t>
        </is>
      </c>
      <c r="E3448" s="2" t="inlineStr">
        <is>
          <t>Running Shoes</t>
        </is>
      </c>
      <c r="F3448" s="2" t="inlineStr">
        <is>
          <t>Fashion</t>
        </is>
      </c>
      <c r="G3448" s="2" t="inlineStr">
        <is>
          <t>South</t>
        </is>
      </c>
      <c r="H3448" s="2" t="inlineStr">
        <is>
          <t>Kerala</t>
        </is>
      </c>
      <c r="I3448" s="2" t="inlineStr">
        <is>
          <t>Kochi</t>
        </is>
      </c>
      <c r="J3448" s="2" t="inlineStr">
        <is>
          <t>Online</t>
        </is>
      </c>
      <c r="K3448" s="2" t="n">
        <v>1</v>
      </c>
      <c r="L3448" s="3" t="n">
        <v>614.02</v>
      </c>
      <c r="M3448" s="4" t="n">
        <v>0.1</v>
      </c>
      <c r="N3448" s="3" t="n">
        <v>383.39</v>
      </c>
      <c r="O3448" s="3">
        <f>K3448*L3448*(1-M3448)</f>
        <v/>
      </c>
      <c r="P3448" s="3">
        <f>O3448-N3448</f>
        <v/>
      </c>
      <c r="Q3448" s="5">
        <f>IFERROR(P3448/O3448,0)</f>
        <v/>
      </c>
      <c r="R3448" s="2">
        <f>TEXT(DATEVALUE(B3448),"mmm")</f>
        <v/>
      </c>
      <c r="S3448" s="2">
        <f>TEXT(DATEVALUE(B3448),"yyyy-mm")</f>
        <v/>
      </c>
    </row>
    <row r="3449">
      <c r="A3449" s="2" t="inlineStr">
        <is>
          <t>O000667</t>
        </is>
      </c>
      <c r="B3449" s="2" t="inlineStr">
        <is>
          <t>2025-09-09</t>
        </is>
      </c>
      <c r="C3449" s="2" t="inlineStr">
        <is>
          <t>C0346</t>
        </is>
      </c>
      <c r="D3449" s="2" t="inlineStr">
        <is>
          <t>P0005</t>
        </is>
      </c>
      <c r="E3449" s="2" t="inlineStr">
        <is>
          <t>Power Bank</t>
        </is>
      </c>
      <c r="F3449" s="2" t="inlineStr">
        <is>
          <t>Electronics</t>
        </is>
      </c>
      <c r="G3449" s="2" t="inlineStr">
        <is>
          <t>South</t>
        </is>
      </c>
      <c r="H3449" s="2" t="inlineStr">
        <is>
          <t>Kerala</t>
        </is>
      </c>
      <c r="I3449" s="2" t="inlineStr">
        <is>
          <t>Thiruvananthapuram</t>
        </is>
      </c>
      <c r="J3449" s="2" t="inlineStr">
        <is>
          <t>Online</t>
        </is>
      </c>
      <c r="K3449" s="2" t="n">
        <v>1</v>
      </c>
      <c r="L3449" s="3" t="n">
        <v>1101.12</v>
      </c>
      <c r="M3449" s="4" t="n">
        <v>0.1</v>
      </c>
      <c r="N3449" s="3" t="n">
        <v>696.6</v>
      </c>
      <c r="O3449" s="3">
        <f>K3449*L3449*(1-M3449)</f>
        <v/>
      </c>
      <c r="P3449" s="3">
        <f>O3449-N3449</f>
        <v/>
      </c>
      <c r="Q3449" s="5">
        <f>IFERROR(P3449/O3449,0)</f>
        <v/>
      </c>
      <c r="R3449" s="2">
        <f>TEXT(DATEVALUE(B3449),"mmm")</f>
        <v/>
      </c>
      <c r="S3449" s="2">
        <f>TEXT(DATEVALUE(B3449),"yyyy-mm")</f>
        <v/>
      </c>
    </row>
    <row r="3450">
      <c r="A3450" s="2" t="inlineStr">
        <is>
          <t>O000629</t>
        </is>
      </c>
      <c r="B3450" s="2" t="inlineStr">
        <is>
          <t>2025-09-09</t>
        </is>
      </c>
      <c r="C3450" s="2" t="inlineStr">
        <is>
          <t>C0694</t>
        </is>
      </c>
      <c r="D3450" s="2" t="inlineStr">
        <is>
          <t>P0019</t>
        </is>
      </c>
      <c r="E3450" s="2" t="inlineStr">
        <is>
          <t>Jacket</t>
        </is>
      </c>
      <c r="F3450" s="2" t="inlineStr">
        <is>
          <t>Fashion</t>
        </is>
      </c>
      <c r="G3450" s="2" t="inlineStr">
        <is>
          <t>South</t>
        </is>
      </c>
      <c r="H3450" s="2" t="inlineStr">
        <is>
          <t>Kerala</t>
        </is>
      </c>
      <c r="I3450" s="2" t="inlineStr">
        <is>
          <t>Kochi</t>
        </is>
      </c>
      <c r="J3450" s="2" t="inlineStr">
        <is>
          <t>Online</t>
        </is>
      </c>
      <c r="K3450" s="2" t="n">
        <v>2</v>
      </c>
      <c r="L3450" s="3" t="n">
        <v>995.1799999999999</v>
      </c>
      <c r="M3450" s="4" t="n">
        <v>0.05</v>
      </c>
      <c r="N3450" s="3" t="n">
        <v>1388.8</v>
      </c>
      <c r="O3450" s="3">
        <f>K3450*L3450*(1-M3450)</f>
        <v/>
      </c>
      <c r="P3450" s="3">
        <f>O3450-N3450</f>
        <v/>
      </c>
      <c r="Q3450" s="5">
        <f>IFERROR(P3450/O3450,0)</f>
        <v/>
      </c>
      <c r="R3450" s="2">
        <f>TEXT(DATEVALUE(B3450),"mmm")</f>
        <v/>
      </c>
      <c r="S3450" s="2">
        <f>TEXT(DATEVALUE(B3450),"yyyy-mm")</f>
        <v/>
      </c>
    </row>
    <row r="3451">
      <c r="A3451" s="2" t="inlineStr">
        <is>
          <t>O000259</t>
        </is>
      </c>
      <c r="B3451" s="2" t="inlineStr">
        <is>
          <t>2025-09-09</t>
        </is>
      </c>
      <c r="C3451" s="2" t="inlineStr">
        <is>
          <t>C0319</t>
        </is>
      </c>
      <c r="D3451" s="2" t="inlineStr">
        <is>
          <t>P0027</t>
        </is>
      </c>
      <c r="E3451" s="2" t="inlineStr">
        <is>
          <t>Moisturizer</t>
        </is>
      </c>
      <c r="F3451" s="2" t="inlineStr">
        <is>
          <t>Beauty</t>
        </is>
      </c>
      <c r="G3451" s="2" t="inlineStr">
        <is>
          <t>South</t>
        </is>
      </c>
      <c r="H3451" s="2" t="inlineStr">
        <is>
          <t>Kerala</t>
        </is>
      </c>
      <c r="I3451" s="2" t="inlineStr">
        <is>
          <t>Thiruvananthapuram</t>
        </is>
      </c>
      <c r="J3451" s="2" t="inlineStr">
        <is>
          <t>Online</t>
        </is>
      </c>
      <c r="K3451" s="2" t="n">
        <v>1</v>
      </c>
      <c r="L3451" s="3" t="n">
        <v>936.78</v>
      </c>
      <c r="M3451" s="4" t="n">
        <v>0</v>
      </c>
      <c r="N3451" s="3" t="n">
        <v>665.9</v>
      </c>
      <c r="O3451" s="3">
        <f>K3451*L3451*(1-M3451)</f>
        <v/>
      </c>
      <c r="P3451" s="3">
        <f>O3451-N3451</f>
        <v/>
      </c>
      <c r="Q3451" s="5">
        <f>IFERROR(P3451/O3451,0)</f>
        <v/>
      </c>
      <c r="R3451" s="2">
        <f>TEXT(DATEVALUE(B3451),"mmm")</f>
        <v/>
      </c>
      <c r="S3451" s="2">
        <f>TEXT(DATEVALUE(B3451),"yyyy-mm")</f>
        <v/>
      </c>
    </row>
    <row r="3452">
      <c r="A3452" s="2" t="inlineStr">
        <is>
          <t>O000242</t>
        </is>
      </c>
      <c r="B3452" s="2" t="inlineStr">
        <is>
          <t>2025-09-09</t>
        </is>
      </c>
      <c r="C3452" s="2" t="inlineStr">
        <is>
          <t>C0734</t>
        </is>
      </c>
      <c r="D3452" s="2" t="inlineStr">
        <is>
          <t>P0021</t>
        </is>
      </c>
      <c r="E3452" s="2" t="inlineStr">
        <is>
          <t>Wallet</t>
        </is>
      </c>
      <c r="F3452" s="2" t="inlineStr">
        <is>
          <t>Fashion</t>
        </is>
      </c>
      <c r="G3452" s="2" t="inlineStr">
        <is>
          <t>South</t>
        </is>
      </c>
      <c r="H3452" s="2" t="inlineStr">
        <is>
          <t>Tamil Nadu</t>
        </is>
      </c>
      <c r="I3452" s="2" t="inlineStr">
        <is>
          <t>Chennai</t>
        </is>
      </c>
      <c r="J3452" s="2" t="inlineStr">
        <is>
          <t>Online</t>
        </is>
      </c>
      <c r="K3452" s="2" t="n">
        <v>1</v>
      </c>
      <c r="L3452" s="3" t="n">
        <v>2025.12</v>
      </c>
      <c r="M3452" s="4" t="n">
        <v>0.05</v>
      </c>
      <c r="N3452" s="3" t="n">
        <v>1226.22</v>
      </c>
      <c r="O3452" s="3">
        <f>K3452*L3452*(1-M3452)</f>
        <v/>
      </c>
      <c r="P3452" s="3">
        <f>O3452-N3452</f>
        <v/>
      </c>
      <c r="Q3452" s="5">
        <f>IFERROR(P3452/O3452,0)</f>
        <v/>
      </c>
      <c r="R3452" s="2">
        <f>TEXT(DATEVALUE(B3452),"mmm")</f>
        <v/>
      </c>
      <c r="S3452" s="2">
        <f>TEXT(DATEVALUE(B3452),"yyyy-mm")</f>
        <v/>
      </c>
    </row>
    <row r="3453">
      <c r="A3453" s="2" t="inlineStr">
        <is>
          <t>O000089</t>
        </is>
      </c>
      <c r="B3453" s="2" t="inlineStr">
        <is>
          <t>2025-09-09</t>
        </is>
      </c>
      <c r="C3453" s="2" t="inlineStr">
        <is>
          <t>C0181</t>
        </is>
      </c>
      <c r="D3453" s="2" t="inlineStr">
        <is>
          <t>P0008</t>
        </is>
      </c>
      <c r="E3453" s="2" t="inlineStr">
        <is>
          <t>Air Fryer</t>
        </is>
      </c>
      <c r="F3453" s="2" t="inlineStr">
        <is>
          <t>Home &amp; Kitchen</t>
        </is>
      </c>
      <c r="G3453" s="2" t="inlineStr">
        <is>
          <t>North</t>
        </is>
      </c>
      <c r="H3453" s="2" t="inlineStr">
        <is>
          <t>Punjab</t>
        </is>
      </c>
      <c r="I3453" s="2" t="inlineStr">
        <is>
          <t>Ludhiana</t>
        </is>
      </c>
      <c r="J3453" s="2" t="inlineStr">
        <is>
          <t>Store</t>
        </is>
      </c>
      <c r="K3453" s="2" t="n">
        <v>3</v>
      </c>
      <c r="L3453" s="3" t="n">
        <v>1028.03</v>
      </c>
      <c r="M3453" s="4" t="n">
        <v>0.05</v>
      </c>
      <c r="N3453" s="3" t="n">
        <v>1996.69</v>
      </c>
      <c r="O3453" s="3">
        <f>K3453*L3453*(1-M3453)</f>
        <v/>
      </c>
      <c r="P3453" s="3">
        <f>O3453-N3453</f>
        <v/>
      </c>
      <c r="Q3453" s="5">
        <f>IFERROR(P3453/O3453,0)</f>
        <v/>
      </c>
      <c r="R3453" s="2">
        <f>TEXT(DATEVALUE(B3453),"mmm")</f>
        <v/>
      </c>
      <c r="S3453" s="2">
        <f>TEXT(DATEVALUE(B3453),"yyyy-mm")</f>
        <v/>
      </c>
    </row>
    <row r="3454">
      <c r="A3454" s="2" t="inlineStr">
        <is>
          <t>O000079</t>
        </is>
      </c>
      <c r="B3454" s="2" t="inlineStr">
        <is>
          <t>2025-09-09</t>
        </is>
      </c>
      <c r="C3454" s="2" t="inlineStr">
        <is>
          <t>C0583</t>
        </is>
      </c>
      <c r="D3454" s="2" t="inlineStr">
        <is>
          <t>P0012</t>
        </is>
      </c>
      <c r="E3454" s="2" t="inlineStr">
        <is>
          <t>Water Bottle</t>
        </is>
      </c>
      <c r="F3454" s="2" t="inlineStr">
        <is>
          <t>Home &amp; Kitchen</t>
        </is>
      </c>
      <c r="G3454" s="2" t="inlineStr">
        <is>
          <t>East</t>
        </is>
      </c>
      <c r="H3454" s="2" t="inlineStr">
        <is>
          <t>Bihar</t>
        </is>
      </c>
      <c r="I3454" s="2" t="inlineStr">
        <is>
          <t>Patna</t>
        </is>
      </c>
      <c r="J3454" s="2" t="inlineStr">
        <is>
          <t>Online</t>
        </is>
      </c>
      <c r="K3454" s="2" t="n">
        <v>2</v>
      </c>
      <c r="L3454" s="3" t="n">
        <v>965.4400000000001</v>
      </c>
      <c r="M3454" s="4" t="n">
        <v>0</v>
      </c>
      <c r="N3454" s="3" t="n">
        <v>1241.72</v>
      </c>
      <c r="O3454" s="3">
        <f>K3454*L3454*(1-M3454)</f>
        <v/>
      </c>
      <c r="P3454" s="3">
        <f>O3454-N3454</f>
        <v/>
      </c>
      <c r="Q3454" s="5">
        <f>IFERROR(P3454/O3454,0)</f>
        <v/>
      </c>
      <c r="R3454" s="2">
        <f>TEXT(DATEVALUE(B3454),"mmm")</f>
        <v/>
      </c>
      <c r="S3454" s="2">
        <f>TEXT(DATEVALUE(B3454),"yyyy-mm")</f>
        <v/>
      </c>
    </row>
    <row r="3455">
      <c r="A3455" s="2" t="inlineStr">
        <is>
          <t>O000789</t>
        </is>
      </c>
      <c r="B3455" s="2" t="inlineStr">
        <is>
          <t>2025-09-09</t>
        </is>
      </c>
      <c r="C3455" s="2" t="inlineStr">
        <is>
          <t>C0596</t>
        </is>
      </c>
      <c r="D3455" s="2" t="inlineStr">
        <is>
          <t>P0004</t>
        </is>
      </c>
      <c r="E3455" s="2" t="inlineStr">
        <is>
          <t>USB-C Hub</t>
        </is>
      </c>
      <c r="F3455" s="2" t="inlineStr">
        <is>
          <t>Electronics</t>
        </is>
      </c>
      <c r="G3455" s="2" t="inlineStr">
        <is>
          <t>West</t>
        </is>
      </c>
      <c r="H3455" s="2" t="inlineStr">
        <is>
          <t>Goa</t>
        </is>
      </c>
      <c r="I3455" s="2" t="inlineStr">
        <is>
          <t>Margao</t>
        </is>
      </c>
      <c r="J3455" s="2" t="inlineStr">
        <is>
          <t>Online</t>
        </is>
      </c>
      <c r="K3455" s="2" t="n">
        <v>2</v>
      </c>
      <c r="L3455" s="3" t="n">
        <v>1291.37</v>
      </c>
      <c r="M3455" s="4" t="n">
        <v>0.15</v>
      </c>
      <c r="N3455" s="3" t="n">
        <v>1873.63</v>
      </c>
      <c r="O3455" s="3">
        <f>K3455*L3455*(1-M3455)</f>
        <v/>
      </c>
      <c r="P3455" s="3">
        <f>O3455-N3455</f>
        <v/>
      </c>
      <c r="Q3455" s="5">
        <f>IFERROR(P3455/O3455,0)</f>
        <v/>
      </c>
      <c r="R3455" s="2">
        <f>TEXT(DATEVALUE(B3455),"mmm")</f>
        <v/>
      </c>
      <c r="S3455" s="2">
        <f>TEXT(DATEVALUE(B3455),"yyyy-mm")</f>
        <v/>
      </c>
    </row>
    <row r="3456">
      <c r="A3456" s="2" t="inlineStr">
        <is>
          <t>O004831</t>
        </is>
      </c>
      <c r="B3456" s="2" t="inlineStr">
        <is>
          <t>2025-09-10</t>
        </is>
      </c>
      <c r="C3456" s="2" t="inlineStr">
        <is>
          <t>C0456</t>
        </is>
      </c>
      <c r="D3456" s="2" t="inlineStr">
        <is>
          <t>P0004</t>
        </is>
      </c>
      <c r="E3456" s="2" t="inlineStr">
        <is>
          <t>USB-C Hub</t>
        </is>
      </c>
      <c r="F3456" s="2" t="inlineStr">
        <is>
          <t>Electronics</t>
        </is>
      </c>
      <c r="G3456" s="2" t="inlineStr">
        <is>
          <t>West</t>
        </is>
      </c>
      <c r="H3456" s="2" t="inlineStr">
        <is>
          <t>Maharashtra</t>
        </is>
      </c>
      <c r="I3456" s="2" t="inlineStr">
        <is>
          <t>Nashik</t>
        </is>
      </c>
      <c r="J3456" s="2" t="inlineStr">
        <is>
          <t>Online</t>
        </is>
      </c>
      <c r="K3456" s="2" t="n">
        <v>1</v>
      </c>
      <c r="L3456" s="3" t="n">
        <v>1212.84</v>
      </c>
      <c r="M3456" s="4" t="n">
        <v>0.15</v>
      </c>
      <c r="N3456" s="3" t="n">
        <v>945.92</v>
      </c>
      <c r="O3456" s="3">
        <f>K3456*L3456*(1-M3456)</f>
        <v/>
      </c>
      <c r="P3456" s="3">
        <f>O3456-N3456</f>
        <v/>
      </c>
      <c r="Q3456" s="5">
        <f>IFERROR(P3456/O3456,0)</f>
        <v/>
      </c>
      <c r="R3456" s="2">
        <f>TEXT(DATEVALUE(B3456),"mmm")</f>
        <v/>
      </c>
      <c r="S3456" s="2">
        <f>TEXT(DATEVALUE(B3456),"yyyy-mm")</f>
        <v/>
      </c>
    </row>
    <row r="3457">
      <c r="A3457" s="2" t="inlineStr">
        <is>
          <t>O004629</t>
        </is>
      </c>
      <c r="B3457" s="2" t="inlineStr">
        <is>
          <t>2025-09-10</t>
        </is>
      </c>
      <c r="C3457" s="2" t="inlineStr">
        <is>
          <t>C0728</t>
        </is>
      </c>
      <c r="D3457" s="2" t="inlineStr">
        <is>
          <t>P0016</t>
        </is>
      </c>
      <c r="E3457" s="2" t="inlineStr">
        <is>
          <t>Casual Shirt</t>
        </is>
      </c>
      <c r="F3457" s="2" t="inlineStr">
        <is>
          <t>Fashion</t>
        </is>
      </c>
      <c r="G3457" s="2" t="inlineStr">
        <is>
          <t>South</t>
        </is>
      </c>
      <c r="H3457" s="2" t="inlineStr">
        <is>
          <t>Kerala</t>
        </is>
      </c>
      <c r="I3457" s="2" t="inlineStr">
        <is>
          <t>Kochi</t>
        </is>
      </c>
      <c r="J3457" s="2" t="inlineStr">
        <is>
          <t>Online</t>
        </is>
      </c>
      <c r="K3457" s="2" t="n">
        <v>3</v>
      </c>
      <c r="L3457" s="3" t="n">
        <v>1247.79</v>
      </c>
      <c r="M3457" s="4" t="n">
        <v>0.15</v>
      </c>
      <c r="N3457" s="3" t="n">
        <v>2712.79</v>
      </c>
      <c r="O3457" s="3">
        <f>K3457*L3457*(1-M3457)</f>
        <v/>
      </c>
      <c r="P3457" s="3">
        <f>O3457-N3457</f>
        <v/>
      </c>
      <c r="Q3457" s="5">
        <f>IFERROR(P3457/O3457,0)</f>
        <v/>
      </c>
      <c r="R3457" s="2">
        <f>TEXT(DATEVALUE(B3457),"mmm")</f>
        <v/>
      </c>
      <c r="S3457" s="2">
        <f>TEXT(DATEVALUE(B3457),"yyyy-mm")</f>
        <v/>
      </c>
    </row>
    <row r="3458">
      <c r="A3458" s="2" t="inlineStr">
        <is>
          <t>O002438</t>
        </is>
      </c>
      <c r="B3458" s="2" t="inlineStr">
        <is>
          <t>2025-09-10</t>
        </is>
      </c>
      <c r="C3458" s="2" t="inlineStr">
        <is>
          <t>C0256</t>
        </is>
      </c>
      <c r="D3458" s="2" t="inlineStr">
        <is>
          <t>P0009</t>
        </is>
      </c>
      <c r="E3458" s="2" t="inlineStr">
        <is>
          <t>Electric Kettle</t>
        </is>
      </c>
      <c r="F3458" s="2" t="inlineStr">
        <is>
          <t>Home &amp; Kitchen</t>
        </is>
      </c>
      <c r="G3458" s="2" t="inlineStr">
        <is>
          <t>South</t>
        </is>
      </c>
      <c r="H3458" s="2" t="inlineStr">
        <is>
          <t>Tamil Nadu</t>
        </is>
      </c>
      <c r="I3458" s="2" t="inlineStr">
        <is>
          <t>Coimbatore</t>
        </is>
      </c>
      <c r="J3458" s="2" t="inlineStr">
        <is>
          <t>Online</t>
        </is>
      </c>
      <c r="K3458" s="2" t="n">
        <v>1</v>
      </c>
      <c r="L3458" s="3" t="n">
        <v>2028.56</v>
      </c>
      <c r="M3458" s="4" t="n">
        <v>0.2</v>
      </c>
      <c r="N3458" s="3" t="n">
        <v>1105.86</v>
      </c>
      <c r="O3458" s="3">
        <f>K3458*L3458*(1-M3458)</f>
        <v/>
      </c>
      <c r="P3458" s="3">
        <f>O3458-N3458</f>
        <v/>
      </c>
      <c r="Q3458" s="5">
        <f>IFERROR(P3458/O3458,0)</f>
        <v/>
      </c>
      <c r="R3458" s="2">
        <f>TEXT(DATEVALUE(B3458),"mmm")</f>
        <v/>
      </c>
      <c r="S3458" s="2">
        <f>TEXT(DATEVALUE(B3458),"yyyy-mm")</f>
        <v/>
      </c>
    </row>
    <row r="3459">
      <c r="A3459" s="2" t="inlineStr">
        <is>
          <t>O002395</t>
        </is>
      </c>
      <c r="B3459" s="2" t="inlineStr">
        <is>
          <t>2025-09-10</t>
        </is>
      </c>
      <c r="C3459" s="2" t="inlineStr">
        <is>
          <t>C0474</t>
        </is>
      </c>
      <c r="D3459" s="2" t="inlineStr">
        <is>
          <t>P0019</t>
        </is>
      </c>
      <c r="E3459" s="2" t="inlineStr">
        <is>
          <t>Jacket</t>
        </is>
      </c>
      <c r="F3459" s="2" t="inlineStr">
        <is>
          <t>Fashion</t>
        </is>
      </c>
      <c r="G3459" s="2" t="inlineStr">
        <is>
          <t>South</t>
        </is>
      </c>
      <c r="H3459" s="2" t="inlineStr">
        <is>
          <t>Kerala</t>
        </is>
      </c>
      <c r="I3459" s="2" t="inlineStr">
        <is>
          <t>Kochi</t>
        </is>
      </c>
      <c r="J3459" s="2" t="inlineStr">
        <is>
          <t>Online</t>
        </is>
      </c>
      <c r="K3459" s="2" t="n">
        <v>4</v>
      </c>
      <c r="L3459" s="3" t="n">
        <v>1033.9</v>
      </c>
      <c r="M3459" s="4" t="n">
        <v>0.05</v>
      </c>
      <c r="N3459" s="3" t="n">
        <v>2609.61</v>
      </c>
      <c r="O3459" s="3">
        <f>K3459*L3459*(1-M3459)</f>
        <v/>
      </c>
      <c r="P3459" s="3">
        <f>O3459-N3459</f>
        <v/>
      </c>
      <c r="Q3459" s="5">
        <f>IFERROR(P3459/O3459,0)</f>
        <v/>
      </c>
      <c r="R3459" s="2">
        <f>TEXT(DATEVALUE(B3459),"mmm")</f>
        <v/>
      </c>
      <c r="S3459" s="2">
        <f>TEXT(DATEVALUE(B3459),"yyyy-mm")</f>
        <v/>
      </c>
    </row>
    <row r="3460">
      <c r="A3460" s="2" t="inlineStr">
        <is>
          <t>O000879</t>
        </is>
      </c>
      <c r="B3460" s="2" t="inlineStr">
        <is>
          <t>2025-09-10</t>
        </is>
      </c>
      <c r="C3460" s="2" t="inlineStr">
        <is>
          <t>C0741</t>
        </is>
      </c>
      <c r="D3460" s="2" t="inlineStr">
        <is>
          <t>P0026</t>
        </is>
      </c>
      <c r="E3460" s="2" t="inlineStr">
        <is>
          <t>Shampoo</t>
        </is>
      </c>
      <c r="F3460" s="2" t="inlineStr">
        <is>
          <t>Beauty</t>
        </is>
      </c>
      <c r="G3460" s="2" t="inlineStr">
        <is>
          <t>West</t>
        </is>
      </c>
      <c r="H3460" s="2" t="inlineStr">
        <is>
          <t>Goa</t>
        </is>
      </c>
      <c r="I3460" s="2" t="inlineStr">
        <is>
          <t>Panaji</t>
        </is>
      </c>
      <c r="J3460" s="2" t="inlineStr">
        <is>
          <t>Online</t>
        </is>
      </c>
      <c r="K3460" s="2" t="n">
        <v>1</v>
      </c>
      <c r="L3460" s="3" t="n">
        <v>891.63</v>
      </c>
      <c r="M3460" s="4" t="n">
        <v>0.15</v>
      </c>
      <c r="N3460" s="3" t="n">
        <v>538.35</v>
      </c>
      <c r="O3460" s="3">
        <f>K3460*L3460*(1-M3460)</f>
        <v/>
      </c>
      <c r="P3460" s="3">
        <f>O3460-N3460</f>
        <v/>
      </c>
      <c r="Q3460" s="5">
        <f>IFERROR(P3460/O3460,0)</f>
        <v/>
      </c>
      <c r="R3460" s="2">
        <f>TEXT(DATEVALUE(B3460),"mmm")</f>
        <v/>
      </c>
      <c r="S3460" s="2">
        <f>TEXT(DATEVALUE(B3460),"yyyy-mm")</f>
        <v/>
      </c>
    </row>
    <row r="3461">
      <c r="A3461" s="2" t="inlineStr">
        <is>
          <t>O000710</t>
        </is>
      </c>
      <c r="B3461" s="2" t="inlineStr">
        <is>
          <t>2025-09-10</t>
        </is>
      </c>
      <c r="C3461" s="2" t="inlineStr">
        <is>
          <t>C0730</t>
        </is>
      </c>
      <c r="D3461" s="2" t="inlineStr">
        <is>
          <t>P0019</t>
        </is>
      </c>
      <c r="E3461" s="2" t="inlineStr">
        <is>
          <t>Jacket</t>
        </is>
      </c>
      <c r="F3461" s="2" t="inlineStr">
        <is>
          <t>Fashion</t>
        </is>
      </c>
      <c r="G3461" s="2" t="inlineStr">
        <is>
          <t>South</t>
        </is>
      </c>
      <c r="H3461" s="2" t="inlineStr">
        <is>
          <t>Telangana</t>
        </is>
      </c>
      <c r="I3461" s="2" t="inlineStr">
        <is>
          <t>Hyderabad</t>
        </is>
      </c>
      <c r="J3461" s="2" t="inlineStr">
        <is>
          <t>Store</t>
        </is>
      </c>
      <c r="K3461" s="2" t="n">
        <v>1</v>
      </c>
      <c r="L3461" s="3" t="n">
        <v>1060.74</v>
      </c>
      <c r="M3461" s="4" t="n">
        <v>0.15</v>
      </c>
      <c r="N3461" s="3" t="n">
        <v>663.28</v>
      </c>
      <c r="O3461" s="3">
        <f>K3461*L3461*(1-M3461)</f>
        <v/>
      </c>
      <c r="P3461" s="3">
        <f>O3461-N3461</f>
        <v/>
      </c>
      <c r="Q3461" s="5">
        <f>IFERROR(P3461/O3461,0)</f>
        <v/>
      </c>
      <c r="R3461" s="2">
        <f>TEXT(DATEVALUE(B3461),"mmm")</f>
        <v/>
      </c>
      <c r="S3461" s="2">
        <f>TEXT(DATEVALUE(B3461),"yyyy-mm")</f>
        <v/>
      </c>
    </row>
    <row r="3462">
      <c r="A3462" s="2" t="inlineStr">
        <is>
          <t>O000522</t>
        </is>
      </c>
      <c r="B3462" s="2" t="inlineStr">
        <is>
          <t>2025-09-10</t>
        </is>
      </c>
      <c r="C3462" s="2" t="inlineStr">
        <is>
          <t>C0440</t>
        </is>
      </c>
      <c r="D3462" s="2" t="inlineStr">
        <is>
          <t>P0004</t>
        </is>
      </c>
      <c r="E3462" s="2" t="inlineStr">
        <is>
          <t>USB-C Hub</t>
        </is>
      </c>
      <c r="F3462" s="2" t="inlineStr">
        <is>
          <t>Electronics</t>
        </is>
      </c>
      <c r="G3462" s="2" t="inlineStr">
        <is>
          <t>West</t>
        </is>
      </c>
      <c r="H3462" s="2" t="inlineStr">
        <is>
          <t>Gujarat</t>
        </is>
      </c>
      <c r="I3462" s="2" t="inlineStr">
        <is>
          <t>Surat</t>
        </is>
      </c>
      <c r="J3462" s="2" t="inlineStr">
        <is>
          <t>Online</t>
        </is>
      </c>
      <c r="K3462" s="2" t="n">
        <v>1</v>
      </c>
      <c r="L3462" s="3" t="n">
        <v>1313.2</v>
      </c>
      <c r="M3462" s="4" t="n">
        <v>0.05</v>
      </c>
      <c r="N3462" s="3" t="n">
        <v>926.3200000000001</v>
      </c>
      <c r="O3462" s="3">
        <f>K3462*L3462*(1-M3462)</f>
        <v/>
      </c>
      <c r="P3462" s="3">
        <f>O3462-N3462</f>
        <v/>
      </c>
      <c r="Q3462" s="5">
        <f>IFERROR(P3462/O3462,0)</f>
        <v/>
      </c>
      <c r="R3462" s="2">
        <f>TEXT(DATEVALUE(B3462),"mmm")</f>
        <v/>
      </c>
      <c r="S3462" s="2">
        <f>TEXT(DATEVALUE(B3462),"yyyy-mm")</f>
        <v/>
      </c>
    </row>
    <row r="3463">
      <c r="A3463" s="2" t="inlineStr">
        <is>
          <t>O000348</t>
        </is>
      </c>
      <c r="B3463" s="2" t="inlineStr">
        <is>
          <t>2025-09-10</t>
        </is>
      </c>
      <c r="C3463" s="2" t="inlineStr">
        <is>
          <t>C0541</t>
        </is>
      </c>
      <c r="D3463" s="2" t="inlineStr">
        <is>
          <t>P0003</t>
        </is>
      </c>
      <c r="E3463" s="2" t="inlineStr">
        <is>
          <t>Smartwatch</t>
        </is>
      </c>
      <c r="F3463" s="2" t="inlineStr">
        <is>
          <t>Electronics</t>
        </is>
      </c>
      <c r="G3463" s="2" t="inlineStr">
        <is>
          <t>North</t>
        </is>
      </c>
      <c r="H3463" s="2" t="inlineStr">
        <is>
          <t>Delhi</t>
        </is>
      </c>
      <c r="I3463" s="2" t="inlineStr">
        <is>
          <t>New Delhi</t>
        </is>
      </c>
      <c r="J3463" s="2" t="inlineStr">
        <is>
          <t>Store</t>
        </is>
      </c>
      <c r="K3463" s="2" t="n">
        <v>1</v>
      </c>
      <c r="L3463" s="3" t="n">
        <v>2250.01</v>
      </c>
      <c r="M3463" s="4" t="n">
        <v>0.2</v>
      </c>
      <c r="N3463" s="3" t="n">
        <v>1165.44</v>
      </c>
      <c r="O3463" s="3">
        <f>K3463*L3463*(1-M3463)</f>
        <v/>
      </c>
      <c r="P3463" s="3">
        <f>O3463-N3463</f>
        <v/>
      </c>
      <c r="Q3463" s="5">
        <f>IFERROR(P3463/O3463,0)</f>
        <v/>
      </c>
      <c r="R3463" s="2">
        <f>TEXT(DATEVALUE(B3463),"mmm")</f>
        <v/>
      </c>
      <c r="S3463" s="2">
        <f>TEXT(DATEVALUE(B3463),"yyyy-mm")</f>
        <v/>
      </c>
    </row>
    <row r="3464">
      <c r="A3464" s="2" t="inlineStr">
        <is>
          <t>O000027</t>
        </is>
      </c>
      <c r="B3464" s="2" t="inlineStr">
        <is>
          <t>2025-09-10</t>
        </is>
      </c>
      <c r="C3464" s="2" t="inlineStr">
        <is>
          <t>C0456</t>
        </is>
      </c>
      <c r="D3464" s="2" t="inlineStr">
        <is>
          <t>P0022</t>
        </is>
      </c>
      <c r="E3464" s="2" t="inlineStr">
        <is>
          <t>Face Wash</t>
        </is>
      </c>
      <c r="F3464" s="2" t="inlineStr">
        <is>
          <t>Beauty</t>
        </is>
      </c>
      <c r="G3464" s="2" t="inlineStr">
        <is>
          <t>North</t>
        </is>
      </c>
      <c r="H3464" s="2" t="inlineStr">
        <is>
          <t>Uttar Pradesh</t>
        </is>
      </c>
      <c r="I3464" s="2" t="inlineStr">
        <is>
          <t>Varanasi</t>
        </is>
      </c>
      <c r="J3464" s="2" t="inlineStr">
        <is>
          <t>Online</t>
        </is>
      </c>
      <c r="K3464" s="2" t="n">
        <v>1</v>
      </c>
      <c r="L3464" s="3" t="n">
        <v>542.3</v>
      </c>
      <c r="M3464" s="4" t="n">
        <v>0.15</v>
      </c>
      <c r="N3464" s="3" t="n">
        <v>342.08</v>
      </c>
      <c r="O3464" s="3">
        <f>K3464*L3464*(1-M3464)</f>
        <v/>
      </c>
      <c r="P3464" s="3">
        <f>O3464-N3464</f>
        <v/>
      </c>
      <c r="Q3464" s="5">
        <f>IFERROR(P3464/O3464,0)</f>
        <v/>
      </c>
      <c r="R3464" s="2">
        <f>TEXT(DATEVALUE(B3464),"mmm")</f>
        <v/>
      </c>
      <c r="S3464" s="2">
        <f>TEXT(DATEVALUE(B3464),"yyyy-mm")</f>
        <v/>
      </c>
    </row>
    <row r="3465">
      <c r="A3465" s="2" t="inlineStr">
        <is>
          <t>O000604</t>
        </is>
      </c>
      <c r="B3465" s="2" t="inlineStr">
        <is>
          <t>2025-09-10</t>
        </is>
      </c>
      <c r="C3465" s="2" t="inlineStr">
        <is>
          <t>C0390</t>
        </is>
      </c>
      <c r="D3465" s="2" t="inlineStr">
        <is>
          <t>P0033</t>
        </is>
      </c>
      <c r="E3465" s="2" t="inlineStr">
        <is>
          <t>Resistance Bands</t>
        </is>
      </c>
      <c r="F3465" s="2" t="inlineStr">
        <is>
          <t>Sports</t>
        </is>
      </c>
      <c r="G3465" s="2" t="inlineStr">
        <is>
          <t>West</t>
        </is>
      </c>
      <c r="H3465" s="2" t="inlineStr">
        <is>
          <t>Gujarat</t>
        </is>
      </c>
      <c r="I3465" s="2" t="inlineStr">
        <is>
          <t>Vadodara</t>
        </is>
      </c>
      <c r="J3465" s="2" t="inlineStr">
        <is>
          <t>Online</t>
        </is>
      </c>
      <c r="K3465" s="2" t="n">
        <v>1</v>
      </c>
      <c r="L3465" s="3" t="n">
        <v>1171.41</v>
      </c>
      <c r="M3465" s="4" t="n">
        <v>0.05</v>
      </c>
      <c r="N3465" s="3" t="n">
        <v>748.65</v>
      </c>
      <c r="O3465" s="3">
        <f>K3465*L3465*(1-M3465)</f>
        <v/>
      </c>
      <c r="P3465" s="3">
        <f>O3465-N3465</f>
        <v/>
      </c>
      <c r="Q3465" s="5">
        <f>IFERROR(P3465/O3465,0)</f>
        <v/>
      </c>
      <c r="R3465" s="2">
        <f>TEXT(DATEVALUE(B3465),"mmm")</f>
        <v/>
      </c>
      <c r="S3465" s="2">
        <f>TEXT(DATEVALUE(B3465),"yyyy-mm")</f>
        <v/>
      </c>
    </row>
    <row r="3466">
      <c r="A3466" s="2" t="inlineStr">
        <is>
          <t>O002738</t>
        </is>
      </c>
      <c r="B3466" s="2" t="inlineStr">
        <is>
          <t>2025-09-11</t>
        </is>
      </c>
      <c r="C3466" s="2" t="inlineStr">
        <is>
          <t>C0348</t>
        </is>
      </c>
      <c r="D3466" s="2" t="inlineStr">
        <is>
          <t>P0008</t>
        </is>
      </c>
      <c r="E3466" s="2" t="inlineStr">
        <is>
          <t>Air Fryer</t>
        </is>
      </c>
      <c r="F3466" s="2" t="inlineStr">
        <is>
          <t>Home &amp; Kitchen</t>
        </is>
      </c>
      <c r="G3466" s="2" t="inlineStr">
        <is>
          <t>South</t>
        </is>
      </c>
      <c r="H3466" s="2" t="inlineStr">
        <is>
          <t>Kerala</t>
        </is>
      </c>
      <c r="I3466" s="2" t="inlineStr">
        <is>
          <t>Kochi</t>
        </is>
      </c>
      <c r="J3466" s="2" t="inlineStr">
        <is>
          <t>Store</t>
        </is>
      </c>
      <c r="K3466" s="2" t="n">
        <v>2</v>
      </c>
      <c r="L3466" s="3" t="n">
        <v>1072.68</v>
      </c>
      <c r="M3466" s="4" t="n">
        <v>0.1</v>
      </c>
      <c r="N3466" s="3" t="n">
        <v>1383.72</v>
      </c>
      <c r="O3466" s="3">
        <f>K3466*L3466*(1-M3466)</f>
        <v/>
      </c>
      <c r="P3466" s="3">
        <f>O3466-N3466</f>
        <v/>
      </c>
      <c r="Q3466" s="5">
        <f>IFERROR(P3466/O3466,0)</f>
        <v/>
      </c>
      <c r="R3466" s="2">
        <f>TEXT(DATEVALUE(B3466),"mmm")</f>
        <v/>
      </c>
      <c r="S3466" s="2">
        <f>TEXT(DATEVALUE(B3466),"yyyy-mm")</f>
        <v/>
      </c>
    </row>
    <row r="3467">
      <c r="A3467" s="2" t="inlineStr">
        <is>
          <t>O004166</t>
        </is>
      </c>
      <c r="B3467" s="2" t="inlineStr">
        <is>
          <t>2025-09-11</t>
        </is>
      </c>
      <c r="C3467" s="2" t="inlineStr">
        <is>
          <t>C0704</t>
        </is>
      </c>
      <c r="D3467" s="2" t="inlineStr">
        <is>
          <t>P0003</t>
        </is>
      </c>
      <c r="E3467" s="2" t="inlineStr">
        <is>
          <t>Smartwatch</t>
        </is>
      </c>
      <c r="F3467" s="2" t="inlineStr">
        <is>
          <t>Electronics</t>
        </is>
      </c>
      <c r="G3467" s="2" t="inlineStr">
        <is>
          <t>South</t>
        </is>
      </c>
      <c r="H3467" s="2" t="inlineStr">
        <is>
          <t>Karnataka</t>
        </is>
      </c>
      <c r="I3467" s="2" t="inlineStr">
        <is>
          <t>Mangaluru</t>
        </is>
      </c>
      <c r="J3467" s="2" t="inlineStr">
        <is>
          <t>Online</t>
        </is>
      </c>
      <c r="K3467" s="2" t="n">
        <v>1</v>
      </c>
      <c r="L3467" s="3" t="n">
        <v>2217.61</v>
      </c>
      <c r="M3467" s="4" t="n">
        <v>0.05</v>
      </c>
      <c r="N3467" s="3" t="n">
        <v>1192.94</v>
      </c>
      <c r="O3467" s="3">
        <f>K3467*L3467*(1-M3467)</f>
        <v/>
      </c>
      <c r="P3467" s="3">
        <f>O3467-N3467</f>
        <v/>
      </c>
      <c r="Q3467" s="5">
        <f>IFERROR(P3467/O3467,0)</f>
        <v/>
      </c>
      <c r="R3467" s="2">
        <f>TEXT(DATEVALUE(B3467),"mmm")</f>
        <v/>
      </c>
      <c r="S3467" s="2">
        <f>TEXT(DATEVALUE(B3467),"yyyy-mm")</f>
        <v/>
      </c>
    </row>
    <row r="3468">
      <c r="A3468" s="2" t="inlineStr">
        <is>
          <t>O004115</t>
        </is>
      </c>
      <c r="B3468" s="2" t="inlineStr">
        <is>
          <t>2025-09-11</t>
        </is>
      </c>
      <c r="C3468" s="2" t="inlineStr">
        <is>
          <t>C0103</t>
        </is>
      </c>
      <c r="D3468" s="2" t="inlineStr">
        <is>
          <t>P0020</t>
        </is>
      </c>
      <c r="E3468" s="2" t="inlineStr">
        <is>
          <t>Sneakers</t>
        </is>
      </c>
      <c r="F3468" s="2" t="inlineStr">
        <is>
          <t>Fashion</t>
        </is>
      </c>
      <c r="G3468" s="2" t="inlineStr">
        <is>
          <t>West</t>
        </is>
      </c>
      <c r="H3468" s="2" t="inlineStr">
        <is>
          <t>Goa</t>
        </is>
      </c>
      <c r="I3468" s="2" t="inlineStr">
        <is>
          <t>Panaji</t>
        </is>
      </c>
      <c r="J3468" s="2" t="inlineStr">
        <is>
          <t>Online</t>
        </is>
      </c>
      <c r="K3468" s="2" t="n">
        <v>1</v>
      </c>
      <c r="L3468" s="3" t="n">
        <v>1986.28</v>
      </c>
      <c r="M3468" s="4" t="n">
        <v>0.1</v>
      </c>
      <c r="N3468" s="3" t="n">
        <v>1499.03</v>
      </c>
      <c r="O3468" s="3">
        <f>K3468*L3468*(1-M3468)</f>
        <v/>
      </c>
      <c r="P3468" s="3">
        <f>O3468-N3468</f>
        <v/>
      </c>
      <c r="Q3468" s="5">
        <f>IFERROR(P3468/O3468,0)</f>
        <v/>
      </c>
      <c r="R3468" s="2">
        <f>TEXT(DATEVALUE(B3468),"mmm")</f>
        <v/>
      </c>
      <c r="S3468" s="2">
        <f>TEXT(DATEVALUE(B3468),"yyyy-mm")</f>
        <v/>
      </c>
    </row>
    <row r="3469">
      <c r="A3469" s="2" t="inlineStr">
        <is>
          <t>O002952</t>
        </is>
      </c>
      <c r="B3469" s="2" t="inlineStr">
        <is>
          <t>2025-09-11</t>
        </is>
      </c>
      <c r="C3469" s="2" t="inlineStr">
        <is>
          <t>C0425</t>
        </is>
      </c>
      <c r="D3469" s="2" t="inlineStr">
        <is>
          <t>P0008</t>
        </is>
      </c>
      <c r="E3469" s="2" t="inlineStr">
        <is>
          <t>Air Fryer</t>
        </is>
      </c>
      <c r="F3469" s="2" t="inlineStr">
        <is>
          <t>Home &amp; Kitchen</t>
        </is>
      </c>
      <c r="G3469" s="2" t="inlineStr">
        <is>
          <t>West</t>
        </is>
      </c>
      <c r="H3469" s="2" t="inlineStr">
        <is>
          <t>Maharashtra</t>
        </is>
      </c>
      <c r="I3469" s="2" t="inlineStr">
        <is>
          <t>Nashik</t>
        </is>
      </c>
      <c r="J3469" s="2" t="inlineStr">
        <is>
          <t>Online</t>
        </is>
      </c>
      <c r="K3469" s="2" t="n">
        <v>3</v>
      </c>
      <c r="L3469" s="3" t="n">
        <v>1067.43</v>
      </c>
      <c r="M3469" s="4" t="n">
        <v>0</v>
      </c>
      <c r="N3469" s="3" t="n">
        <v>1978.8</v>
      </c>
      <c r="O3469" s="3">
        <f>K3469*L3469*(1-M3469)</f>
        <v/>
      </c>
      <c r="P3469" s="3">
        <f>O3469-N3469</f>
        <v/>
      </c>
      <c r="Q3469" s="5">
        <f>IFERROR(P3469/O3469,0)</f>
        <v/>
      </c>
      <c r="R3469" s="2">
        <f>TEXT(DATEVALUE(B3469),"mmm")</f>
        <v/>
      </c>
      <c r="S3469" s="2">
        <f>TEXT(DATEVALUE(B3469),"yyyy-mm")</f>
        <v/>
      </c>
    </row>
    <row r="3470">
      <c r="A3470" s="2" t="inlineStr">
        <is>
          <t>O002796</t>
        </is>
      </c>
      <c r="B3470" s="2" t="inlineStr">
        <is>
          <t>2025-09-11</t>
        </is>
      </c>
      <c r="C3470" s="2" t="inlineStr">
        <is>
          <t>C0014</t>
        </is>
      </c>
      <c r="D3470" s="2" t="inlineStr">
        <is>
          <t>P0002</t>
        </is>
      </c>
      <c r="E3470" s="2" t="inlineStr">
        <is>
          <t>Bluetooth Speaker</t>
        </is>
      </c>
      <c r="F3470" s="2" t="inlineStr">
        <is>
          <t>Electronics</t>
        </is>
      </c>
      <c r="G3470" s="2" t="inlineStr">
        <is>
          <t>North</t>
        </is>
      </c>
      <c r="H3470" s="2" t="inlineStr">
        <is>
          <t>Haryana</t>
        </is>
      </c>
      <c r="I3470" s="2" t="inlineStr">
        <is>
          <t>Gurugram</t>
        </is>
      </c>
      <c r="J3470" s="2" t="inlineStr">
        <is>
          <t>Online</t>
        </is>
      </c>
      <c r="K3470" s="2" t="n">
        <v>1</v>
      </c>
      <c r="L3470" s="3" t="n">
        <v>1375.27</v>
      </c>
      <c r="M3470" s="4" t="n">
        <v>0.1</v>
      </c>
      <c r="N3470" s="3" t="n">
        <v>811.1799999999999</v>
      </c>
      <c r="O3470" s="3">
        <f>K3470*L3470*(1-M3470)</f>
        <v/>
      </c>
      <c r="P3470" s="3">
        <f>O3470-N3470</f>
        <v/>
      </c>
      <c r="Q3470" s="5">
        <f>IFERROR(P3470/O3470,0)</f>
        <v/>
      </c>
      <c r="R3470" s="2">
        <f>TEXT(DATEVALUE(B3470),"mmm")</f>
        <v/>
      </c>
      <c r="S3470" s="2">
        <f>TEXT(DATEVALUE(B3470),"yyyy-mm")</f>
        <v/>
      </c>
    </row>
    <row r="3471">
      <c r="A3471" s="2" t="inlineStr">
        <is>
          <t>O002427</t>
        </is>
      </c>
      <c r="B3471" s="2" t="inlineStr">
        <is>
          <t>2025-09-11</t>
        </is>
      </c>
      <c r="C3471" s="2" t="inlineStr">
        <is>
          <t>C0585</t>
        </is>
      </c>
      <c r="D3471" s="2" t="inlineStr">
        <is>
          <t>P0007</t>
        </is>
      </c>
      <c r="E3471" s="2" t="inlineStr">
        <is>
          <t>Wireless Mouse</t>
        </is>
      </c>
      <c r="F3471" s="2" t="inlineStr">
        <is>
          <t>Electronics</t>
        </is>
      </c>
      <c r="G3471" s="2" t="inlineStr">
        <is>
          <t>North</t>
        </is>
      </c>
      <c r="H3471" s="2" t="inlineStr">
        <is>
          <t>Punjab</t>
        </is>
      </c>
      <c r="I3471" s="2" t="inlineStr">
        <is>
          <t>Amritsar</t>
        </is>
      </c>
      <c r="J3471" s="2" t="inlineStr">
        <is>
          <t>Online</t>
        </is>
      </c>
      <c r="K3471" s="2" t="n">
        <v>1</v>
      </c>
      <c r="L3471" s="3" t="n">
        <v>1012.81</v>
      </c>
      <c r="M3471" s="4" t="n">
        <v>0.1</v>
      </c>
      <c r="N3471" s="3" t="n">
        <v>629.36</v>
      </c>
      <c r="O3471" s="3">
        <f>K3471*L3471*(1-M3471)</f>
        <v/>
      </c>
      <c r="P3471" s="3">
        <f>O3471-N3471</f>
        <v/>
      </c>
      <c r="Q3471" s="5">
        <f>IFERROR(P3471/O3471,0)</f>
        <v/>
      </c>
      <c r="R3471" s="2">
        <f>TEXT(DATEVALUE(B3471),"mmm")</f>
        <v/>
      </c>
      <c r="S3471" s="2">
        <f>TEXT(DATEVALUE(B3471),"yyyy-mm")</f>
        <v/>
      </c>
    </row>
    <row r="3472">
      <c r="A3472" s="2" t="inlineStr">
        <is>
          <t>O001124</t>
        </is>
      </c>
      <c r="B3472" s="2" t="inlineStr">
        <is>
          <t>2025-09-11</t>
        </is>
      </c>
      <c r="C3472" s="2" t="inlineStr">
        <is>
          <t>C0390</t>
        </is>
      </c>
      <c r="D3472" s="2" t="inlineStr">
        <is>
          <t>P0011</t>
        </is>
      </c>
      <c r="E3472" s="2" t="inlineStr">
        <is>
          <t>Cookware Set</t>
        </is>
      </c>
      <c r="F3472" s="2" t="inlineStr">
        <is>
          <t>Home &amp; Kitchen</t>
        </is>
      </c>
      <c r="G3472" s="2" t="inlineStr">
        <is>
          <t>West</t>
        </is>
      </c>
      <c r="H3472" s="2" t="inlineStr">
        <is>
          <t>Gujarat</t>
        </is>
      </c>
      <c r="I3472" s="2" t="inlineStr">
        <is>
          <t>Surat</t>
        </is>
      </c>
      <c r="J3472" s="2" t="inlineStr">
        <is>
          <t>Online</t>
        </is>
      </c>
      <c r="K3472" s="2" t="n">
        <v>1</v>
      </c>
      <c r="L3472" s="3" t="n">
        <v>712.23</v>
      </c>
      <c r="M3472" s="4" t="n">
        <v>0.1</v>
      </c>
      <c r="N3472" s="3" t="n">
        <v>456.87</v>
      </c>
      <c r="O3472" s="3">
        <f>K3472*L3472*(1-M3472)</f>
        <v/>
      </c>
      <c r="P3472" s="3">
        <f>O3472-N3472</f>
        <v/>
      </c>
      <c r="Q3472" s="5">
        <f>IFERROR(P3472/O3472,0)</f>
        <v/>
      </c>
      <c r="R3472" s="2">
        <f>TEXT(DATEVALUE(B3472),"mmm")</f>
        <v/>
      </c>
      <c r="S3472" s="2">
        <f>TEXT(DATEVALUE(B3472),"yyyy-mm")</f>
        <v/>
      </c>
    </row>
    <row r="3473">
      <c r="A3473" s="2" t="inlineStr">
        <is>
          <t>O002245</t>
        </is>
      </c>
      <c r="B3473" s="2" t="inlineStr">
        <is>
          <t>2025-09-11</t>
        </is>
      </c>
      <c r="C3473" s="2" t="inlineStr">
        <is>
          <t>C0371</t>
        </is>
      </c>
      <c r="D3473" s="2" t="inlineStr">
        <is>
          <t>P0022</t>
        </is>
      </c>
      <c r="E3473" s="2" t="inlineStr">
        <is>
          <t>Face Wash</t>
        </is>
      </c>
      <c r="F3473" s="2" t="inlineStr">
        <is>
          <t>Beauty</t>
        </is>
      </c>
      <c r="G3473" s="2" t="inlineStr">
        <is>
          <t>East</t>
        </is>
      </c>
      <c r="H3473" s="2" t="inlineStr">
        <is>
          <t>West Bengal</t>
        </is>
      </c>
      <c r="I3473" s="2" t="inlineStr">
        <is>
          <t>Durgapur</t>
        </is>
      </c>
      <c r="J3473" s="2" t="inlineStr">
        <is>
          <t>Online</t>
        </is>
      </c>
      <c r="K3473" s="2" t="n">
        <v>3</v>
      </c>
      <c r="L3473" s="3" t="n">
        <v>556.0700000000001</v>
      </c>
      <c r="M3473" s="4" t="n">
        <v>0.1</v>
      </c>
      <c r="N3473" s="3" t="n">
        <v>1018.64</v>
      </c>
      <c r="O3473" s="3">
        <f>K3473*L3473*(1-M3473)</f>
        <v/>
      </c>
      <c r="P3473" s="3">
        <f>O3473-N3473</f>
        <v/>
      </c>
      <c r="Q3473" s="5">
        <f>IFERROR(P3473/O3473,0)</f>
        <v/>
      </c>
      <c r="R3473" s="2">
        <f>TEXT(DATEVALUE(B3473),"mmm")</f>
        <v/>
      </c>
      <c r="S3473" s="2">
        <f>TEXT(DATEVALUE(B3473),"yyyy-mm")</f>
        <v/>
      </c>
    </row>
    <row r="3474">
      <c r="A3474" s="2" t="inlineStr">
        <is>
          <t>O001087</t>
        </is>
      </c>
      <c r="B3474" s="2" t="inlineStr">
        <is>
          <t>2025-09-11</t>
        </is>
      </c>
      <c r="C3474" s="2" t="inlineStr">
        <is>
          <t>C0519</t>
        </is>
      </c>
      <c r="D3474" s="2" t="inlineStr">
        <is>
          <t>P0022</t>
        </is>
      </c>
      <c r="E3474" s="2" t="inlineStr">
        <is>
          <t>Face Wash</t>
        </is>
      </c>
      <c r="F3474" s="2" t="inlineStr">
        <is>
          <t>Beauty</t>
        </is>
      </c>
      <c r="G3474" s="2" t="inlineStr">
        <is>
          <t>North</t>
        </is>
      </c>
      <c r="H3474" s="2" t="inlineStr">
        <is>
          <t>Uttar Pradesh</t>
        </is>
      </c>
      <c r="I3474" s="2" t="inlineStr">
        <is>
          <t>Lucknow</t>
        </is>
      </c>
      <c r="J3474" s="2" t="inlineStr">
        <is>
          <t>Online</t>
        </is>
      </c>
      <c r="K3474" s="2" t="n">
        <v>5</v>
      </c>
      <c r="L3474" s="3" t="n">
        <v>566.5599999999999</v>
      </c>
      <c r="M3474" s="4" t="n">
        <v>0</v>
      </c>
      <c r="N3474" s="3" t="n">
        <v>1772.84</v>
      </c>
      <c r="O3474" s="3">
        <f>K3474*L3474*(1-M3474)</f>
        <v/>
      </c>
      <c r="P3474" s="3">
        <f>O3474-N3474</f>
        <v/>
      </c>
      <c r="Q3474" s="5">
        <f>IFERROR(P3474/O3474,0)</f>
        <v/>
      </c>
      <c r="R3474" s="2">
        <f>TEXT(DATEVALUE(B3474),"mmm")</f>
        <v/>
      </c>
      <c r="S3474" s="2">
        <f>TEXT(DATEVALUE(B3474),"yyyy-mm")</f>
        <v/>
      </c>
    </row>
    <row r="3475">
      <c r="A3475" s="2" t="inlineStr">
        <is>
          <t>O000480</t>
        </is>
      </c>
      <c r="B3475" s="2" t="inlineStr">
        <is>
          <t>2025-09-11</t>
        </is>
      </c>
      <c r="C3475" s="2" t="inlineStr">
        <is>
          <t>C0293</t>
        </is>
      </c>
      <c r="D3475" s="2" t="inlineStr">
        <is>
          <t>P0022</t>
        </is>
      </c>
      <c r="E3475" s="2" t="inlineStr">
        <is>
          <t>Face Wash</t>
        </is>
      </c>
      <c r="F3475" s="2" t="inlineStr">
        <is>
          <t>Beauty</t>
        </is>
      </c>
      <c r="G3475" s="2" t="inlineStr">
        <is>
          <t>East</t>
        </is>
      </c>
      <c r="H3475" s="2" t="inlineStr">
        <is>
          <t>Odisha</t>
        </is>
      </c>
      <c r="I3475" s="2" t="inlineStr">
        <is>
          <t>Bhubaneswar</t>
        </is>
      </c>
      <c r="J3475" s="2" t="inlineStr">
        <is>
          <t>Online</t>
        </is>
      </c>
      <c r="K3475" s="2" t="n">
        <v>1</v>
      </c>
      <c r="L3475" s="3" t="n">
        <v>556.17</v>
      </c>
      <c r="M3475" s="4" t="n">
        <v>0.1</v>
      </c>
      <c r="N3475" s="3" t="n">
        <v>351.97</v>
      </c>
      <c r="O3475" s="3">
        <f>K3475*L3475*(1-M3475)</f>
        <v/>
      </c>
      <c r="P3475" s="3">
        <f>O3475-N3475</f>
        <v/>
      </c>
      <c r="Q3475" s="5">
        <f>IFERROR(P3475/O3475,0)</f>
        <v/>
      </c>
      <c r="R3475" s="2">
        <f>TEXT(DATEVALUE(B3475),"mmm")</f>
        <v/>
      </c>
      <c r="S3475" s="2">
        <f>TEXT(DATEVALUE(B3475),"yyyy-mm")</f>
        <v/>
      </c>
    </row>
    <row r="3476">
      <c r="A3476" s="2" t="inlineStr">
        <is>
          <t>O000286</t>
        </is>
      </c>
      <c r="B3476" s="2" t="inlineStr">
        <is>
          <t>2025-09-11</t>
        </is>
      </c>
      <c r="C3476" s="2" t="inlineStr">
        <is>
          <t>C0634</t>
        </is>
      </c>
      <c r="D3476" s="2" t="inlineStr">
        <is>
          <t>P0007</t>
        </is>
      </c>
      <c r="E3476" s="2" t="inlineStr">
        <is>
          <t>Wireless Mouse</t>
        </is>
      </c>
      <c r="F3476" s="2" t="inlineStr">
        <is>
          <t>Electronics</t>
        </is>
      </c>
      <c r="G3476" s="2" t="inlineStr">
        <is>
          <t>West</t>
        </is>
      </c>
      <c r="H3476" s="2" t="inlineStr">
        <is>
          <t>Gujarat</t>
        </is>
      </c>
      <c r="I3476" s="2" t="inlineStr">
        <is>
          <t>Ahmedabad</t>
        </is>
      </c>
      <c r="J3476" s="2" t="inlineStr">
        <is>
          <t>Online</t>
        </is>
      </c>
      <c r="K3476" s="2" t="n">
        <v>1</v>
      </c>
      <c r="L3476" s="3" t="n">
        <v>1024.85</v>
      </c>
      <c r="M3476" s="4" t="n">
        <v>0.1</v>
      </c>
      <c r="N3476" s="3" t="n">
        <v>611.6799999999999</v>
      </c>
      <c r="O3476" s="3">
        <f>K3476*L3476*(1-M3476)</f>
        <v/>
      </c>
      <c r="P3476" s="3">
        <f>O3476-N3476</f>
        <v/>
      </c>
      <c r="Q3476" s="5">
        <f>IFERROR(P3476/O3476,0)</f>
        <v/>
      </c>
      <c r="R3476" s="2">
        <f>TEXT(DATEVALUE(B3476),"mmm")</f>
        <v/>
      </c>
      <c r="S3476" s="2">
        <f>TEXT(DATEVALUE(B3476),"yyyy-mm")</f>
        <v/>
      </c>
    </row>
    <row r="3477">
      <c r="A3477" s="2" t="inlineStr">
        <is>
          <t>O000266</t>
        </is>
      </c>
      <c r="B3477" s="2" t="inlineStr">
        <is>
          <t>2025-09-11</t>
        </is>
      </c>
      <c r="C3477" s="2" t="inlineStr">
        <is>
          <t>C0800</t>
        </is>
      </c>
      <c r="D3477" s="2" t="inlineStr">
        <is>
          <t>P0009</t>
        </is>
      </c>
      <c r="E3477" s="2" t="inlineStr">
        <is>
          <t>Electric Kettle</t>
        </is>
      </c>
      <c r="F3477" s="2" t="inlineStr">
        <is>
          <t>Home &amp; Kitchen</t>
        </is>
      </c>
      <c r="G3477" s="2" t="inlineStr">
        <is>
          <t>South</t>
        </is>
      </c>
      <c r="H3477" s="2" t="inlineStr">
        <is>
          <t>Kerala</t>
        </is>
      </c>
      <c r="I3477" s="2" t="inlineStr">
        <is>
          <t>Thiruvananthapuram</t>
        </is>
      </c>
      <c r="J3477" s="2" t="inlineStr">
        <is>
          <t>Online</t>
        </is>
      </c>
      <c r="K3477" s="2" t="n">
        <v>2</v>
      </c>
      <c r="L3477" s="3" t="n">
        <v>2047.94</v>
      </c>
      <c r="M3477" s="4" t="n">
        <v>0.2</v>
      </c>
      <c r="N3477" s="3" t="n">
        <v>2244.24</v>
      </c>
      <c r="O3477" s="3">
        <f>K3477*L3477*(1-M3477)</f>
        <v/>
      </c>
      <c r="P3477" s="3">
        <f>O3477-N3477</f>
        <v/>
      </c>
      <c r="Q3477" s="5">
        <f>IFERROR(P3477/O3477,0)</f>
        <v/>
      </c>
      <c r="R3477" s="2">
        <f>TEXT(DATEVALUE(B3477),"mmm")</f>
        <v/>
      </c>
      <c r="S3477" s="2">
        <f>TEXT(DATEVALUE(B3477),"yyyy-mm")</f>
        <v/>
      </c>
    </row>
    <row r="3478">
      <c r="A3478" s="2" t="inlineStr">
        <is>
          <t>O004808</t>
        </is>
      </c>
      <c r="B3478" s="2" t="inlineStr">
        <is>
          <t>2025-09-12</t>
        </is>
      </c>
      <c r="C3478" s="2" t="inlineStr">
        <is>
          <t>C0167</t>
        </is>
      </c>
      <c r="D3478" s="2" t="inlineStr">
        <is>
          <t>P0014</t>
        </is>
      </c>
      <c r="E3478" s="2" t="inlineStr">
        <is>
          <t>Coffee Maker</t>
        </is>
      </c>
      <c r="F3478" s="2" t="inlineStr">
        <is>
          <t>Home &amp; Kitchen</t>
        </is>
      </c>
      <c r="G3478" s="2" t="inlineStr">
        <is>
          <t>West</t>
        </is>
      </c>
      <c r="H3478" s="2" t="inlineStr">
        <is>
          <t>Goa</t>
        </is>
      </c>
      <c r="I3478" s="2" t="inlineStr">
        <is>
          <t>Margao</t>
        </is>
      </c>
      <c r="J3478" s="2" t="inlineStr">
        <is>
          <t>Online</t>
        </is>
      </c>
      <c r="K3478" s="2" t="n">
        <v>4</v>
      </c>
      <c r="L3478" s="3" t="n">
        <v>1077.34</v>
      </c>
      <c r="M3478" s="4" t="n">
        <v>0.15</v>
      </c>
      <c r="N3478" s="3" t="n">
        <v>3131.84</v>
      </c>
      <c r="O3478" s="3">
        <f>K3478*L3478*(1-M3478)</f>
        <v/>
      </c>
      <c r="P3478" s="3">
        <f>O3478-N3478</f>
        <v/>
      </c>
      <c r="Q3478" s="5">
        <f>IFERROR(P3478/O3478,0)</f>
        <v/>
      </c>
      <c r="R3478" s="2">
        <f>TEXT(DATEVALUE(B3478),"mmm")</f>
        <v/>
      </c>
      <c r="S3478" s="2">
        <f>TEXT(DATEVALUE(B3478),"yyyy-mm")</f>
        <v/>
      </c>
    </row>
    <row r="3479">
      <c r="A3479" s="2" t="inlineStr">
        <is>
          <t>O004165</t>
        </is>
      </c>
      <c r="B3479" s="2" t="inlineStr">
        <is>
          <t>2025-09-12</t>
        </is>
      </c>
      <c r="C3479" s="2" t="inlineStr">
        <is>
          <t>C0528</t>
        </is>
      </c>
      <c r="D3479" s="2" t="inlineStr">
        <is>
          <t>P0007</t>
        </is>
      </c>
      <c r="E3479" s="2" t="inlineStr">
        <is>
          <t>Wireless Mouse</t>
        </is>
      </c>
      <c r="F3479" s="2" t="inlineStr">
        <is>
          <t>Electronics</t>
        </is>
      </c>
      <c r="G3479" s="2" t="inlineStr">
        <is>
          <t>West</t>
        </is>
      </c>
      <c r="H3479" s="2" t="inlineStr">
        <is>
          <t>Maharashtra</t>
        </is>
      </c>
      <c r="I3479" s="2" t="inlineStr">
        <is>
          <t>Thane</t>
        </is>
      </c>
      <c r="J3479" s="2" t="inlineStr">
        <is>
          <t>Online</t>
        </is>
      </c>
      <c r="K3479" s="2" t="n">
        <v>1</v>
      </c>
      <c r="L3479" s="3" t="n">
        <v>959.24</v>
      </c>
      <c r="M3479" s="4" t="n">
        <v>0.1</v>
      </c>
      <c r="N3479" s="3" t="n">
        <v>618.6799999999999</v>
      </c>
      <c r="O3479" s="3">
        <f>K3479*L3479*(1-M3479)</f>
        <v/>
      </c>
      <c r="P3479" s="3">
        <f>O3479-N3479</f>
        <v/>
      </c>
      <c r="Q3479" s="5">
        <f>IFERROR(P3479/O3479,0)</f>
        <v/>
      </c>
      <c r="R3479" s="2">
        <f>TEXT(DATEVALUE(B3479),"mmm")</f>
        <v/>
      </c>
      <c r="S3479" s="2">
        <f>TEXT(DATEVALUE(B3479),"yyyy-mm")</f>
        <v/>
      </c>
    </row>
    <row r="3480">
      <c r="A3480" s="2" t="inlineStr">
        <is>
          <t>O004000</t>
        </is>
      </c>
      <c r="B3480" s="2" t="inlineStr">
        <is>
          <t>2025-09-12</t>
        </is>
      </c>
      <c r="C3480" s="2" t="inlineStr">
        <is>
          <t>C0652</t>
        </is>
      </c>
      <c r="D3480" s="2" t="inlineStr">
        <is>
          <t>P0022</t>
        </is>
      </c>
      <c r="E3480" s="2" t="inlineStr">
        <is>
          <t>Face Wash</t>
        </is>
      </c>
      <c r="F3480" s="2" t="inlineStr">
        <is>
          <t>Beauty</t>
        </is>
      </c>
      <c r="G3480" s="2" t="inlineStr">
        <is>
          <t>North</t>
        </is>
      </c>
      <c r="H3480" s="2" t="inlineStr">
        <is>
          <t>Punjab</t>
        </is>
      </c>
      <c r="I3480" s="2" t="inlineStr">
        <is>
          <t>Jalandhar</t>
        </is>
      </c>
      <c r="J3480" s="2" t="inlineStr">
        <is>
          <t>Online</t>
        </is>
      </c>
      <c r="K3480" s="2" t="n">
        <v>1</v>
      </c>
      <c r="L3480" s="3" t="n">
        <v>554.08</v>
      </c>
      <c r="M3480" s="4" t="n">
        <v>0</v>
      </c>
      <c r="N3480" s="3" t="n">
        <v>345.16</v>
      </c>
      <c r="O3480" s="3">
        <f>K3480*L3480*(1-M3480)</f>
        <v/>
      </c>
      <c r="P3480" s="3">
        <f>O3480-N3480</f>
        <v/>
      </c>
      <c r="Q3480" s="5">
        <f>IFERROR(P3480/O3480,0)</f>
        <v/>
      </c>
      <c r="R3480" s="2">
        <f>TEXT(DATEVALUE(B3480),"mmm")</f>
        <v/>
      </c>
      <c r="S3480" s="2">
        <f>TEXT(DATEVALUE(B3480),"yyyy-mm")</f>
        <v/>
      </c>
    </row>
    <row r="3481">
      <c r="A3481" s="2" t="inlineStr">
        <is>
          <t>O003170</t>
        </is>
      </c>
      <c r="B3481" s="2" t="inlineStr">
        <is>
          <t>2025-09-12</t>
        </is>
      </c>
      <c r="C3481" s="2" t="inlineStr">
        <is>
          <t>C0691</t>
        </is>
      </c>
      <c r="D3481" s="2" t="inlineStr">
        <is>
          <t>P0006</t>
        </is>
      </c>
      <c r="E3481" s="2" t="inlineStr">
        <is>
          <t>Mechanical Keyboard</t>
        </is>
      </c>
      <c r="F3481" s="2" t="inlineStr">
        <is>
          <t>Electronics</t>
        </is>
      </c>
      <c r="G3481" s="2" t="inlineStr">
        <is>
          <t>North</t>
        </is>
      </c>
      <c r="H3481" s="2" t="inlineStr">
        <is>
          <t>Punjab</t>
        </is>
      </c>
      <c r="I3481" s="2" t="inlineStr">
        <is>
          <t>Ludhiana</t>
        </is>
      </c>
      <c r="J3481" s="2" t="inlineStr">
        <is>
          <t>Online</t>
        </is>
      </c>
      <c r="K3481" s="2" t="n">
        <v>2</v>
      </c>
      <c r="L3481" s="3" t="n">
        <v>2737.36</v>
      </c>
      <c r="M3481" s="4" t="n">
        <v>0.1</v>
      </c>
      <c r="N3481" s="3" t="n">
        <v>2909.58</v>
      </c>
      <c r="O3481" s="3">
        <f>K3481*L3481*(1-M3481)</f>
        <v/>
      </c>
      <c r="P3481" s="3">
        <f>O3481-N3481</f>
        <v/>
      </c>
      <c r="Q3481" s="5">
        <f>IFERROR(P3481/O3481,0)</f>
        <v/>
      </c>
      <c r="R3481" s="2">
        <f>TEXT(DATEVALUE(B3481),"mmm")</f>
        <v/>
      </c>
      <c r="S3481" s="2">
        <f>TEXT(DATEVALUE(B3481),"yyyy-mm")</f>
        <v/>
      </c>
    </row>
    <row r="3482">
      <c r="A3482" s="2" t="inlineStr">
        <is>
          <t>O003160</t>
        </is>
      </c>
      <c r="B3482" s="2" t="inlineStr">
        <is>
          <t>2025-09-12</t>
        </is>
      </c>
      <c r="C3482" s="2" t="inlineStr">
        <is>
          <t>C0579</t>
        </is>
      </c>
      <c r="D3482" s="2" t="inlineStr">
        <is>
          <t>P0025</t>
        </is>
      </c>
      <c r="E3482" s="2" t="inlineStr">
        <is>
          <t>Perfume</t>
        </is>
      </c>
      <c r="F3482" s="2" t="inlineStr">
        <is>
          <t>Beauty</t>
        </is>
      </c>
      <c r="G3482" s="2" t="inlineStr">
        <is>
          <t>West</t>
        </is>
      </c>
      <c r="H3482" s="2" t="inlineStr">
        <is>
          <t>Maharashtra</t>
        </is>
      </c>
      <c r="I3482" s="2" t="inlineStr">
        <is>
          <t>Pune</t>
        </is>
      </c>
      <c r="J3482" s="2" t="inlineStr">
        <is>
          <t>Store</t>
        </is>
      </c>
      <c r="K3482" s="2" t="n">
        <v>1</v>
      </c>
      <c r="L3482" s="3" t="n">
        <v>816.34</v>
      </c>
      <c r="M3482" s="4" t="n">
        <v>0</v>
      </c>
      <c r="N3482" s="3" t="n">
        <v>603.4400000000001</v>
      </c>
      <c r="O3482" s="3">
        <f>K3482*L3482*(1-M3482)</f>
        <v/>
      </c>
      <c r="P3482" s="3">
        <f>O3482-N3482</f>
        <v/>
      </c>
      <c r="Q3482" s="5">
        <f>IFERROR(P3482/O3482,0)</f>
        <v/>
      </c>
      <c r="R3482" s="2">
        <f>TEXT(DATEVALUE(B3482),"mmm")</f>
        <v/>
      </c>
      <c r="S3482" s="2">
        <f>TEXT(DATEVALUE(B3482),"yyyy-mm")</f>
        <v/>
      </c>
    </row>
    <row r="3483">
      <c r="A3483" s="2" t="inlineStr">
        <is>
          <t>O000780</t>
        </is>
      </c>
      <c r="B3483" s="2" t="inlineStr">
        <is>
          <t>2025-09-12</t>
        </is>
      </c>
      <c r="C3483" s="2" t="inlineStr">
        <is>
          <t>C0456</t>
        </is>
      </c>
      <c r="D3483" s="2" t="inlineStr">
        <is>
          <t>P0012</t>
        </is>
      </c>
      <c r="E3483" s="2" t="inlineStr">
        <is>
          <t>Water Bottle</t>
        </is>
      </c>
      <c r="F3483" s="2" t="inlineStr">
        <is>
          <t>Home &amp; Kitchen</t>
        </is>
      </c>
      <c r="G3483" s="2" t="inlineStr">
        <is>
          <t>South</t>
        </is>
      </c>
      <c r="H3483" s="2" t="inlineStr">
        <is>
          <t>Tamil Nadu</t>
        </is>
      </c>
      <c r="I3483" s="2" t="inlineStr">
        <is>
          <t>Coimbatore</t>
        </is>
      </c>
      <c r="J3483" s="2" t="inlineStr">
        <is>
          <t>Store</t>
        </is>
      </c>
      <c r="K3483" s="2" t="n">
        <v>2</v>
      </c>
      <c r="L3483" s="3" t="n">
        <v>957.03</v>
      </c>
      <c r="M3483" s="4" t="n">
        <v>0.15</v>
      </c>
      <c r="N3483" s="3" t="n">
        <v>1223.23</v>
      </c>
      <c r="O3483" s="3">
        <f>K3483*L3483*(1-M3483)</f>
        <v/>
      </c>
      <c r="P3483" s="3">
        <f>O3483-N3483</f>
        <v/>
      </c>
      <c r="Q3483" s="5">
        <f>IFERROR(P3483/O3483,0)</f>
        <v/>
      </c>
      <c r="R3483" s="2">
        <f>TEXT(DATEVALUE(B3483),"mmm")</f>
        <v/>
      </c>
      <c r="S3483" s="2">
        <f>TEXT(DATEVALUE(B3483),"yyyy-mm")</f>
        <v/>
      </c>
    </row>
    <row r="3484">
      <c r="A3484" s="2" t="inlineStr">
        <is>
          <t>O000226</t>
        </is>
      </c>
      <c r="B3484" s="2" t="inlineStr">
        <is>
          <t>2025-09-12</t>
        </is>
      </c>
      <c r="C3484" s="2" t="inlineStr">
        <is>
          <t>C0667</t>
        </is>
      </c>
      <c r="D3484" s="2" t="inlineStr">
        <is>
          <t>P0007</t>
        </is>
      </c>
      <c r="E3484" s="2" t="inlineStr">
        <is>
          <t>Wireless Mouse</t>
        </is>
      </c>
      <c r="F3484" s="2" t="inlineStr">
        <is>
          <t>Electronics</t>
        </is>
      </c>
      <c r="G3484" s="2" t="inlineStr">
        <is>
          <t>West</t>
        </is>
      </c>
      <c r="H3484" s="2" t="inlineStr">
        <is>
          <t>Maharashtra</t>
        </is>
      </c>
      <c r="I3484" s="2" t="inlineStr">
        <is>
          <t>Pune</t>
        </is>
      </c>
      <c r="J3484" s="2" t="inlineStr">
        <is>
          <t>Online</t>
        </is>
      </c>
      <c r="K3484" s="2" t="n">
        <v>2</v>
      </c>
      <c r="L3484" s="3" t="n">
        <v>958.25</v>
      </c>
      <c r="M3484" s="4" t="n">
        <v>0.15</v>
      </c>
      <c r="N3484" s="3" t="n">
        <v>1268.59</v>
      </c>
      <c r="O3484" s="3">
        <f>K3484*L3484*(1-M3484)</f>
        <v/>
      </c>
      <c r="P3484" s="3">
        <f>O3484-N3484</f>
        <v/>
      </c>
      <c r="Q3484" s="5">
        <f>IFERROR(P3484/O3484,0)</f>
        <v/>
      </c>
      <c r="R3484" s="2">
        <f>TEXT(DATEVALUE(B3484),"mmm")</f>
        <v/>
      </c>
      <c r="S3484" s="2">
        <f>TEXT(DATEVALUE(B3484),"yyyy-mm")</f>
        <v/>
      </c>
    </row>
    <row r="3485">
      <c r="A3485" s="2" t="inlineStr">
        <is>
          <t>O000131</t>
        </is>
      </c>
      <c r="B3485" s="2" t="inlineStr">
        <is>
          <t>2025-09-12</t>
        </is>
      </c>
      <c r="C3485" s="2" t="inlineStr">
        <is>
          <t>C0227</t>
        </is>
      </c>
      <c r="D3485" s="2" t="inlineStr">
        <is>
          <t>P0026</t>
        </is>
      </c>
      <c r="E3485" s="2" t="inlineStr">
        <is>
          <t>Shampoo</t>
        </is>
      </c>
      <c r="F3485" s="2" t="inlineStr">
        <is>
          <t>Beauty</t>
        </is>
      </c>
      <c r="G3485" s="2" t="inlineStr">
        <is>
          <t>East</t>
        </is>
      </c>
      <c r="H3485" s="2" t="inlineStr">
        <is>
          <t>Odisha</t>
        </is>
      </c>
      <c r="I3485" s="2" t="inlineStr">
        <is>
          <t>Bhubaneswar</t>
        </is>
      </c>
      <c r="J3485" s="2" t="inlineStr">
        <is>
          <t>Online</t>
        </is>
      </c>
      <c r="K3485" s="2" t="n">
        <v>1</v>
      </c>
      <c r="L3485" s="3" t="n">
        <v>880.62</v>
      </c>
      <c r="M3485" s="4" t="n">
        <v>0</v>
      </c>
      <c r="N3485" s="3" t="n">
        <v>539.26</v>
      </c>
      <c r="O3485" s="3">
        <f>K3485*L3485*(1-M3485)</f>
        <v/>
      </c>
      <c r="P3485" s="3">
        <f>O3485-N3485</f>
        <v/>
      </c>
      <c r="Q3485" s="5">
        <f>IFERROR(P3485/O3485,0)</f>
        <v/>
      </c>
      <c r="R3485" s="2">
        <f>TEXT(DATEVALUE(B3485),"mmm")</f>
        <v/>
      </c>
      <c r="S3485" s="2">
        <f>TEXT(DATEVALUE(B3485),"yyyy-mm")</f>
        <v/>
      </c>
    </row>
    <row r="3486">
      <c r="A3486" s="2" t="inlineStr">
        <is>
          <t>O002587</t>
        </is>
      </c>
      <c r="B3486" s="2" t="inlineStr">
        <is>
          <t>2025-09-12</t>
        </is>
      </c>
      <c r="C3486" s="2" t="inlineStr">
        <is>
          <t>C0258</t>
        </is>
      </c>
      <c r="D3486" s="2" t="inlineStr">
        <is>
          <t>P0017</t>
        </is>
      </c>
      <c r="E3486" s="2" t="inlineStr">
        <is>
          <t>Jeans</t>
        </is>
      </c>
      <c r="F3486" s="2" t="inlineStr">
        <is>
          <t>Fashion</t>
        </is>
      </c>
      <c r="G3486" s="2" t="inlineStr">
        <is>
          <t>West</t>
        </is>
      </c>
      <c r="H3486" s="2" t="inlineStr">
        <is>
          <t>Goa</t>
        </is>
      </c>
      <c r="I3486" s="2" t="inlineStr">
        <is>
          <t>Margao</t>
        </is>
      </c>
      <c r="J3486" s="2" t="inlineStr">
        <is>
          <t>Store</t>
        </is>
      </c>
      <c r="K3486" s="2" t="n">
        <v>2</v>
      </c>
      <c r="L3486" s="3" t="n">
        <v>1508.77</v>
      </c>
      <c r="M3486" s="4" t="n">
        <v>0.1</v>
      </c>
      <c r="N3486" s="3" t="n">
        <v>2105.16</v>
      </c>
      <c r="O3486" s="3">
        <f>K3486*L3486*(1-M3486)</f>
        <v/>
      </c>
      <c r="P3486" s="3">
        <f>O3486-N3486</f>
        <v/>
      </c>
      <c r="Q3486" s="5">
        <f>IFERROR(P3486/O3486,0)</f>
        <v/>
      </c>
      <c r="R3486" s="2">
        <f>TEXT(DATEVALUE(B3486),"mmm")</f>
        <v/>
      </c>
      <c r="S3486" s="2">
        <f>TEXT(DATEVALUE(B3486),"yyyy-mm")</f>
        <v/>
      </c>
    </row>
    <row r="3487">
      <c r="A3487" s="2" t="inlineStr">
        <is>
          <t>O001256</t>
        </is>
      </c>
      <c r="B3487" s="2" t="inlineStr">
        <is>
          <t>2025-09-12</t>
        </is>
      </c>
      <c r="C3487" s="2" t="inlineStr">
        <is>
          <t>C0023</t>
        </is>
      </c>
      <c r="D3487" s="2" t="inlineStr">
        <is>
          <t>P0016</t>
        </is>
      </c>
      <c r="E3487" s="2" t="inlineStr">
        <is>
          <t>Casual Shirt</t>
        </is>
      </c>
      <c r="F3487" s="2" t="inlineStr">
        <is>
          <t>Fashion</t>
        </is>
      </c>
      <c r="G3487" s="2" t="inlineStr">
        <is>
          <t>North</t>
        </is>
      </c>
      <c r="H3487" s="2" t="inlineStr">
        <is>
          <t>Delhi</t>
        </is>
      </c>
      <c r="I3487" s="2" t="inlineStr">
        <is>
          <t>New Delhi</t>
        </is>
      </c>
      <c r="J3487" s="2" t="inlineStr">
        <is>
          <t>Online</t>
        </is>
      </c>
      <c r="K3487" s="2" t="n">
        <v>1</v>
      </c>
      <c r="L3487" s="3" t="n">
        <v>1324.6</v>
      </c>
      <c r="M3487" s="4" t="n">
        <v>0.1</v>
      </c>
      <c r="N3487" s="3" t="n">
        <v>934.5</v>
      </c>
      <c r="O3487" s="3">
        <f>K3487*L3487*(1-M3487)</f>
        <v/>
      </c>
      <c r="P3487" s="3">
        <f>O3487-N3487</f>
        <v/>
      </c>
      <c r="Q3487" s="5">
        <f>IFERROR(P3487/O3487,0)</f>
        <v/>
      </c>
      <c r="R3487" s="2">
        <f>TEXT(DATEVALUE(B3487),"mmm")</f>
        <v/>
      </c>
      <c r="S3487" s="2">
        <f>TEXT(DATEVALUE(B3487),"yyyy-mm")</f>
        <v/>
      </c>
    </row>
    <row r="3488">
      <c r="A3488" s="2" t="inlineStr">
        <is>
          <t>O004480</t>
        </is>
      </c>
      <c r="B3488" s="2" t="inlineStr">
        <is>
          <t>2025-09-13</t>
        </is>
      </c>
      <c r="C3488" s="2" t="inlineStr">
        <is>
          <t>C0212</t>
        </is>
      </c>
      <c r="D3488" s="2" t="inlineStr">
        <is>
          <t>P0001</t>
        </is>
      </c>
      <c r="E3488" s="2" t="inlineStr">
        <is>
          <t>Wireless Headphones</t>
        </is>
      </c>
      <c r="F3488" s="2" t="inlineStr">
        <is>
          <t>Electronics</t>
        </is>
      </c>
      <c r="G3488" s="2" t="inlineStr">
        <is>
          <t>West</t>
        </is>
      </c>
      <c r="H3488" s="2" t="inlineStr">
        <is>
          <t>Maharashtra</t>
        </is>
      </c>
      <c r="I3488" s="2" t="inlineStr">
        <is>
          <t>Thane</t>
        </is>
      </c>
      <c r="J3488" s="2" t="inlineStr">
        <is>
          <t>Online</t>
        </is>
      </c>
      <c r="K3488" s="2" t="n">
        <v>1</v>
      </c>
      <c r="L3488" s="3" t="n">
        <v>1287.1</v>
      </c>
      <c r="M3488" s="4" t="n">
        <v>0.05</v>
      </c>
      <c r="N3488" s="3" t="n">
        <v>694.51</v>
      </c>
      <c r="O3488" s="3">
        <f>K3488*L3488*(1-M3488)</f>
        <v/>
      </c>
      <c r="P3488" s="3">
        <f>O3488-N3488</f>
        <v/>
      </c>
      <c r="Q3488" s="5">
        <f>IFERROR(P3488/O3488,0)</f>
        <v/>
      </c>
      <c r="R3488" s="2">
        <f>TEXT(DATEVALUE(B3488),"mmm")</f>
        <v/>
      </c>
      <c r="S3488" s="2">
        <f>TEXT(DATEVALUE(B3488),"yyyy-mm")</f>
        <v/>
      </c>
    </row>
    <row r="3489">
      <c r="A3489" s="2" t="inlineStr">
        <is>
          <t>O004704</t>
        </is>
      </c>
      <c r="B3489" s="2" t="inlineStr">
        <is>
          <t>2025-09-13</t>
        </is>
      </c>
      <c r="C3489" s="2" t="inlineStr">
        <is>
          <t>C0456</t>
        </is>
      </c>
      <c r="D3489" s="2" t="inlineStr">
        <is>
          <t>P0021</t>
        </is>
      </c>
      <c r="E3489" s="2" t="inlineStr">
        <is>
          <t>Wallet</t>
        </is>
      </c>
      <c r="F3489" s="2" t="inlineStr">
        <is>
          <t>Fashion</t>
        </is>
      </c>
      <c r="G3489" s="2" t="inlineStr">
        <is>
          <t>North</t>
        </is>
      </c>
      <c r="H3489" s="2" t="inlineStr">
        <is>
          <t>Punjab</t>
        </is>
      </c>
      <c r="I3489" s="2" t="inlineStr">
        <is>
          <t>Amritsar</t>
        </is>
      </c>
      <c r="J3489" s="2" t="inlineStr">
        <is>
          <t>Online</t>
        </is>
      </c>
      <c r="K3489" s="2" t="n">
        <v>2</v>
      </c>
      <c r="L3489" s="3" t="n">
        <v>2105.8</v>
      </c>
      <c r="M3489" s="4" t="n">
        <v>0.2</v>
      </c>
      <c r="N3489" s="3" t="n">
        <v>2430.91</v>
      </c>
      <c r="O3489" s="3">
        <f>K3489*L3489*(1-M3489)</f>
        <v/>
      </c>
      <c r="P3489" s="3">
        <f>O3489-N3489</f>
        <v/>
      </c>
      <c r="Q3489" s="5">
        <f>IFERROR(P3489/O3489,0)</f>
        <v/>
      </c>
      <c r="R3489" s="2">
        <f>TEXT(DATEVALUE(B3489),"mmm")</f>
        <v/>
      </c>
      <c r="S3489" s="2">
        <f>TEXT(DATEVALUE(B3489),"yyyy-mm")</f>
        <v/>
      </c>
    </row>
    <row r="3490">
      <c r="A3490" s="2" t="inlineStr">
        <is>
          <t>O001300</t>
        </is>
      </c>
      <c r="B3490" s="2" t="inlineStr">
        <is>
          <t>2025-09-13</t>
        </is>
      </c>
      <c r="C3490" s="2" t="inlineStr">
        <is>
          <t>C0150</t>
        </is>
      </c>
      <c r="D3490" s="2" t="inlineStr">
        <is>
          <t>P0031</t>
        </is>
      </c>
      <c r="E3490" s="2" t="inlineStr">
        <is>
          <t>Cricket Bat</t>
        </is>
      </c>
      <c r="F3490" s="2" t="inlineStr">
        <is>
          <t>Sports</t>
        </is>
      </c>
      <c r="G3490" s="2" t="inlineStr">
        <is>
          <t>West</t>
        </is>
      </c>
      <c r="H3490" s="2" t="inlineStr">
        <is>
          <t>Maharashtra</t>
        </is>
      </c>
      <c r="I3490" s="2" t="inlineStr">
        <is>
          <t>Mumbai</t>
        </is>
      </c>
      <c r="J3490" s="2" t="inlineStr">
        <is>
          <t>Store</t>
        </is>
      </c>
      <c r="K3490" s="2" t="n">
        <v>1</v>
      </c>
      <c r="L3490" s="3" t="n">
        <v>1425.48</v>
      </c>
      <c r="M3490" s="4" t="n">
        <v>0.15</v>
      </c>
      <c r="N3490" s="3" t="n">
        <v>968.0700000000001</v>
      </c>
      <c r="O3490" s="3">
        <f>K3490*L3490*(1-M3490)</f>
        <v/>
      </c>
      <c r="P3490" s="3">
        <f>O3490-N3490</f>
        <v/>
      </c>
      <c r="Q3490" s="5">
        <f>IFERROR(P3490/O3490,0)</f>
        <v/>
      </c>
      <c r="R3490" s="2">
        <f>TEXT(DATEVALUE(B3490),"mmm")</f>
        <v/>
      </c>
      <c r="S3490" s="2">
        <f>TEXT(DATEVALUE(B3490),"yyyy-mm")</f>
        <v/>
      </c>
    </row>
    <row r="3491">
      <c r="A3491" s="2" t="inlineStr">
        <is>
          <t>O004843</t>
        </is>
      </c>
      <c r="B3491" s="2" t="inlineStr">
        <is>
          <t>2025-09-13</t>
        </is>
      </c>
      <c r="C3491" s="2" t="inlineStr">
        <is>
          <t>C0361</t>
        </is>
      </c>
      <c r="D3491" s="2" t="inlineStr">
        <is>
          <t>P0007</t>
        </is>
      </c>
      <c r="E3491" s="2" t="inlineStr">
        <is>
          <t>Wireless Mouse</t>
        </is>
      </c>
      <c r="F3491" s="2" t="inlineStr">
        <is>
          <t>Electronics</t>
        </is>
      </c>
      <c r="G3491" s="2" t="inlineStr">
        <is>
          <t>West</t>
        </is>
      </c>
      <c r="H3491" s="2" t="inlineStr">
        <is>
          <t>Maharashtra</t>
        </is>
      </c>
      <c r="I3491" s="2" t="inlineStr">
        <is>
          <t>Mumbai</t>
        </is>
      </c>
      <c r="J3491" s="2" t="inlineStr">
        <is>
          <t>Store</t>
        </is>
      </c>
      <c r="K3491" s="2" t="n">
        <v>3</v>
      </c>
      <c r="L3491" s="3" t="n">
        <v>1021.39</v>
      </c>
      <c r="M3491" s="4" t="n">
        <v>0.15</v>
      </c>
      <c r="N3491" s="3" t="n">
        <v>1866.43</v>
      </c>
      <c r="O3491" s="3">
        <f>K3491*L3491*(1-M3491)</f>
        <v/>
      </c>
      <c r="P3491" s="3">
        <f>O3491-N3491</f>
        <v/>
      </c>
      <c r="Q3491" s="5">
        <f>IFERROR(P3491/O3491,0)</f>
        <v/>
      </c>
      <c r="R3491" s="2">
        <f>TEXT(DATEVALUE(B3491),"mmm")</f>
        <v/>
      </c>
      <c r="S3491" s="2">
        <f>TEXT(DATEVALUE(B3491),"yyyy-mm")</f>
        <v/>
      </c>
    </row>
    <row r="3492">
      <c r="A3492" s="2" t="inlineStr">
        <is>
          <t>O004067</t>
        </is>
      </c>
      <c r="B3492" s="2" t="inlineStr">
        <is>
          <t>2025-09-13</t>
        </is>
      </c>
      <c r="C3492" s="2" t="inlineStr">
        <is>
          <t>C0003</t>
        </is>
      </c>
      <c r="D3492" s="2" t="inlineStr">
        <is>
          <t>P0008</t>
        </is>
      </c>
      <c r="E3492" s="2" t="inlineStr">
        <is>
          <t>Air Fryer</t>
        </is>
      </c>
      <c r="F3492" s="2" t="inlineStr">
        <is>
          <t>Home &amp; Kitchen</t>
        </is>
      </c>
      <c r="G3492" s="2" t="inlineStr">
        <is>
          <t>South</t>
        </is>
      </c>
      <c r="H3492" s="2" t="inlineStr">
        <is>
          <t>Karnataka</t>
        </is>
      </c>
      <c r="I3492" s="2" t="inlineStr">
        <is>
          <t>Mangaluru</t>
        </is>
      </c>
      <c r="J3492" s="2" t="inlineStr">
        <is>
          <t>Store</t>
        </is>
      </c>
      <c r="K3492" s="2" t="n">
        <v>1</v>
      </c>
      <c r="L3492" s="3" t="n">
        <v>1048.09</v>
      </c>
      <c r="M3492" s="4" t="n">
        <v>0.1</v>
      </c>
      <c r="N3492" s="3" t="n">
        <v>671.64</v>
      </c>
      <c r="O3492" s="3">
        <f>K3492*L3492*(1-M3492)</f>
        <v/>
      </c>
      <c r="P3492" s="3">
        <f>O3492-N3492</f>
        <v/>
      </c>
      <c r="Q3492" s="5">
        <f>IFERROR(P3492/O3492,0)</f>
        <v/>
      </c>
      <c r="R3492" s="2">
        <f>TEXT(DATEVALUE(B3492),"mmm")</f>
        <v/>
      </c>
      <c r="S3492" s="2">
        <f>TEXT(DATEVALUE(B3492),"yyyy-mm")</f>
        <v/>
      </c>
    </row>
    <row r="3493">
      <c r="A3493" s="2" t="inlineStr">
        <is>
          <t>O004816</t>
        </is>
      </c>
      <c r="B3493" s="2" t="inlineStr">
        <is>
          <t>2025-09-13</t>
        </is>
      </c>
      <c r="C3493" s="2" t="inlineStr">
        <is>
          <t>C0216</t>
        </is>
      </c>
      <c r="D3493" s="2" t="inlineStr">
        <is>
          <t>P0030</t>
        </is>
      </c>
      <c r="E3493" s="2" t="inlineStr">
        <is>
          <t>Dumbbells</t>
        </is>
      </c>
      <c r="F3493" s="2" t="inlineStr">
        <is>
          <t>Sports</t>
        </is>
      </c>
      <c r="G3493" s="2" t="inlineStr">
        <is>
          <t>West</t>
        </is>
      </c>
      <c r="H3493" s="2" t="inlineStr">
        <is>
          <t>Gujarat</t>
        </is>
      </c>
      <c r="I3493" s="2" t="inlineStr">
        <is>
          <t>Surat</t>
        </is>
      </c>
      <c r="J3493" s="2" t="inlineStr">
        <is>
          <t>Store</t>
        </is>
      </c>
      <c r="K3493" s="2" t="n">
        <v>3</v>
      </c>
      <c r="L3493" s="3" t="n">
        <v>1522.38</v>
      </c>
      <c r="M3493" s="4" t="n">
        <v>0.05</v>
      </c>
      <c r="N3493" s="3" t="n">
        <v>3190.45</v>
      </c>
      <c r="O3493" s="3">
        <f>K3493*L3493*(1-M3493)</f>
        <v/>
      </c>
      <c r="P3493" s="3">
        <f>O3493-N3493</f>
        <v/>
      </c>
      <c r="Q3493" s="5">
        <f>IFERROR(P3493/O3493,0)</f>
        <v/>
      </c>
      <c r="R3493" s="2">
        <f>TEXT(DATEVALUE(B3493),"mmm")</f>
        <v/>
      </c>
      <c r="S3493" s="2">
        <f>TEXT(DATEVALUE(B3493),"yyyy-mm")</f>
        <v/>
      </c>
    </row>
    <row r="3494">
      <c r="A3494" s="2" t="inlineStr">
        <is>
          <t>O003745</t>
        </is>
      </c>
      <c r="B3494" s="2" t="inlineStr">
        <is>
          <t>2025-09-13</t>
        </is>
      </c>
      <c r="C3494" s="2" t="inlineStr">
        <is>
          <t>C0202</t>
        </is>
      </c>
      <c r="D3494" s="2" t="inlineStr">
        <is>
          <t>P0021</t>
        </is>
      </c>
      <c r="E3494" s="2" t="inlineStr">
        <is>
          <t>Wallet</t>
        </is>
      </c>
      <c r="F3494" s="2" t="inlineStr">
        <is>
          <t>Fashion</t>
        </is>
      </c>
      <c r="G3494" s="2" t="inlineStr">
        <is>
          <t>South</t>
        </is>
      </c>
      <c r="H3494" s="2" t="inlineStr">
        <is>
          <t>Karnataka</t>
        </is>
      </c>
      <c r="I3494" s="2" t="inlineStr">
        <is>
          <t>Mangaluru</t>
        </is>
      </c>
      <c r="J3494" s="2" t="inlineStr">
        <is>
          <t>Online</t>
        </is>
      </c>
      <c r="K3494" s="2" t="n">
        <v>3</v>
      </c>
      <c r="L3494" s="3" t="n">
        <v>1935.97</v>
      </c>
      <c r="M3494" s="4" t="n">
        <v>0.1</v>
      </c>
      <c r="N3494" s="3" t="n">
        <v>3568.74</v>
      </c>
      <c r="O3494" s="3">
        <f>K3494*L3494*(1-M3494)</f>
        <v/>
      </c>
      <c r="P3494" s="3">
        <f>O3494-N3494</f>
        <v/>
      </c>
      <c r="Q3494" s="5">
        <f>IFERROR(P3494/O3494,0)</f>
        <v/>
      </c>
      <c r="R3494" s="2">
        <f>TEXT(DATEVALUE(B3494),"mmm")</f>
        <v/>
      </c>
      <c r="S3494" s="2">
        <f>TEXT(DATEVALUE(B3494),"yyyy-mm")</f>
        <v/>
      </c>
    </row>
    <row r="3495">
      <c r="A3495" s="2" t="inlineStr">
        <is>
          <t>O000350</t>
        </is>
      </c>
      <c r="B3495" s="2" t="inlineStr">
        <is>
          <t>2025-09-13</t>
        </is>
      </c>
      <c r="C3495" s="2" t="inlineStr">
        <is>
          <t>C0319</t>
        </is>
      </c>
      <c r="D3495" s="2" t="inlineStr">
        <is>
          <t>P0014</t>
        </is>
      </c>
      <c r="E3495" s="2" t="inlineStr">
        <is>
          <t>Coffee Maker</t>
        </is>
      </c>
      <c r="F3495" s="2" t="inlineStr">
        <is>
          <t>Home &amp; Kitchen</t>
        </is>
      </c>
      <c r="G3495" s="2" t="inlineStr">
        <is>
          <t>North</t>
        </is>
      </c>
      <c r="H3495" s="2" t="inlineStr">
        <is>
          <t>Haryana</t>
        </is>
      </c>
      <c r="I3495" s="2" t="inlineStr">
        <is>
          <t>Faridabad</t>
        </is>
      </c>
      <c r="J3495" s="2" t="inlineStr">
        <is>
          <t>Online</t>
        </is>
      </c>
      <c r="K3495" s="2" t="n">
        <v>1</v>
      </c>
      <c r="L3495" s="3" t="n">
        <v>1090.46</v>
      </c>
      <c r="M3495" s="4" t="n">
        <v>0.05</v>
      </c>
      <c r="N3495" s="3" t="n">
        <v>757.45</v>
      </c>
      <c r="O3495" s="3">
        <f>K3495*L3495*(1-M3495)</f>
        <v/>
      </c>
      <c r="P3495" s="3">
        <f>O3495-N3495</f>
        <v/>
      </c>
      <c r="Q3495" s="5">
        <f>IFERROR(P3495/O3495,0)</f>
        <v/>
      </c>
      <c r="R3495" s="2">
        <f>TEXT(DATEVALUE(B3495),"mmm")</f>
        <v/>
      </c>
      <c r="S3495" s="2">
        <f>TEXT(DATEVALUE(B3495),"yyyy-mm")</f>
        <v/>
      </c>
    </row>
    <row r="3496">
      <c r="A3496" s="2" t="inlineStr">
        <is>
          <t>O002575</t>
        </is>
      </c>
      <c r="B3496" s="2" t="inlineStr">
        <is>
          <t>2025-09-13</t>
        </is>
      </c>
      <c r="C3496" s="2" t="inlineStr">
        <is>
          <t>C0471</t>
        </is>
      </c>
      <c r="D3496" s="2" t="inlineStr">
        <is>
          <t>P0025</t>
        </is>
      </c>
      <c r="E3496" s="2" t="inlineStr">
        <is>
          <t>Perfume</t>
        </is>
      </c>
      <c r="F3496" s="2" t="inlineStr">
        <is>
          <t>Beauty</t>
        </is>
      </c>
      <c r="G3496" s="2" t="inlineStr">
        <is>
          <t>West</t>
        </is>
      </c>
      <c r="H3496" s="2" t="inlineStr">
        <is>
          <t>Maharashtra</t>
        </is>
      </c>
      <c r="I3496" s="2" t="inlineStr">
        <is>
          <t>Nashik</t>
        </is>
      </c>
      <c r="J3496" s="2" t="inlineStr">
        <is>
          <t>Online</t>
        </is>
      </c>
      <c r="K3496" s="2" t="n">
        <v>1</v>
      </c>
      <c r="L3496" s="3" t="n">
        <v>838.9</v>
      </c>
      <c r="M3496" s="4" t="n">
        <v>0</v>
      </c>
      <c r="N3496" s="3" t="n">
        <v>593.5</v>
      </c>
      <c r="O3496" s="3">
        <f>K3496*L3496*(1-M3496)</f>
        <v/>
      </c>
      <c r="P3496" s="3">
        <f>O3496-N3496</f>
        <v/>
      </c>
      <c r="Q3496" s="5">
        <f>IFERROR(P3496/O3496,0)</f>
        <v/>
      </c>
      <c r="R3496" s="2">
        <f>TEXT(DATEVALUE(B3496),"mmm")</f>
        <v/>
      </c>
      <c r="S3496" s="2">
        <f>TEXT(DATEVALUE(B3496),"yyyy-mm")</f>
        <v/>
      </c>
    </row>
    <row r="3497">
      <c r="A3497" s="2" t="inlineStr">
        <is>
          <t>O002497</t>
        </is>
      </c>
      <c r="B3497" s="2" t="inlineStr">
        <is>
          <t>2025-09-13</t>
        </is>
      </c>
      <c r="C3497" s="2" t="inlineStr">
        <is>
          <t>C0373</t>
        </is>
      </c>
      <c r="D3497" s="2" t="inlineStr">
        <is>
          <t>P0004</t>
        </is>
      </c>
      <c r="E3497" s="2" t="inlineStr">
        <is>
          <t>USB-C Hub</t>
        </is>
      </c>
      <c r="F3497" s="2" t="inlineStr">
        <is>
          <t>Electronics</t>
        </is>
      </c>
      <c r="G3497" s="2" t="inlineStr">
        <is>
          <t>West</t>
        </is>
      </c>
      <c r="H3497" s="2" t="inlineStr">
        <is>
          <t>Gujarat</t>
        </is>
      </c>
      <c r="I3497" s="2" t="inlineStr">
        <is>
          <t>Ahmedabad</t>
        </is>
      </c>
      <c r="J3497" s="2" t="inlineStr">
        <is>
          <t>Store</t>
        </is>
      </c>
      <c r="K3497" s="2" t="n">
        <v>1</v>
      </c>
      <c r="L3497" s="3" t="n">
        <v>1287.03</v>
      </c>
      <c r="M3497" s="4" t="n">
        <v>0.2</v>
      </c>
      <c r="N3497" s="3" t="n">
        <v>895.61</v>
      </c>
      <c r="O3497" s="3">
        <f>K3497*L3497*(1-M3497)</f>
        <v/>
      </c>
      <c r="P3497" s="3">
        <f>O3497-N3497</f>
        <v/>
      </c>
      <c r="Q3497" s="5">
        <f>IFERROR(P3497/O3497,0)</f>
        <v/>
      </c>
      <c r="R3497" s="2">
        <f>TEXT(DATEVALUE(B3497),"mmm")</f>
        <v/>
      </c>
      <c r="S3497" s="2">
        <f>TEXT(DATEVALUE(B3497),"yyyy-mm")</f>
        <v/>
      </c>
    </row>
    <row r="3498">
      <c r="A3498" s="2" t="inlineStr">
        <is>
          <t>O002467</t>
        </is>
      </c>
      <c r="B3498" s="2" t="inlineStr">
        <is>
          <t>2025-09-13</t>
        </is>
      </c>
      <c r="C3498" s="2" t="inlineStr">
        <is>
          <t>C0589</t>
        </is>
      </c>
      <c r="D3498" s="2" t="inlineStr">
        <is>
          <t>P0031</t>
        </is>
      </c>
      <c r="E3498" s="2" t="inlineStr">
        <is>
          <t>Cricket Bat</t>
        </is>
      </c>
      <c r="F3498" s="2" t="inlineStr">
        <is>
          <t>Sports</t>
        </is>
      </c>
      <c r="G3498" s="2" t="inlineStr">
        <is>
          <t>West</t>
        </is>
      </c>
      <c r="H3498" s="2" t="inlineStr">
        <is>
          <t>Goa</t>
        </is>
      </c>
      <c r="I3498" s="2" t="inlineStr">
        <is>
          <t>Panaji</t>
        </is>
      </c>
      <c r="J3498" s="2" t="inlineStr">
        <is>
          <t>Store</t>
        </is>
      </c>
      <c r="K3498" s="2" t="n">
        <v>1</v>
      </c>
      <c r="L3498" s="3" t="n">
        <v>1368.67</v>
      </c>
      <c r="M3498" s="4" t="n">
        <v>0.2</v>
      </c>
      <c r="N3498" s="3" t="n">
        <v>916.9400000000001</v>
      </c>
      <c r="O3498" s="3">
        <f>K3498*L3498*(1-M3498)</f>
        <v/>
      </c>
      <c r="P3498" s="3">
        <f>O3498-N3498</f>
        <v/>
      </c>
      <c r="Q3498" s="5">
        <f>IFERROR(P3498/O3498,0)</f>
        <v/>
      </c>
      <c r="R3498" s="2">
        <f>TEXT(DATEVALUE(B3498),"mmm")</f>
        <v/>
      </c>
      <c r="S3498" s="2">
        <f>TEXT(DATEVALUE(B3498),"yyyy-mm")</f>
        <v/>
      </c>
    </row>
    <row r="3499">
      <c r="A3499" s="2" t="inlineStr">
        <is>
          <t>O002391</t>
        </is>
      </c>
      <c r="B3499" s="2" t="inlineStr">
        <is>
          <t>2025-09-13</t>
        </is>
      </c>
      <c r="C3499" s="2" t="inlineStr">
        <is>
          <t>C0310</t>
        </is>
      </c>
      <c r="D3499" s="2" t="inlineStr">
        <is>
          <t>P0022</t>
        </is>
      </c>
      <c r="E3499" s="2" t="inlineStr">
        <is>
          <t>Face Wash</t>
        </is>
      </c>
      <c r="F3499" s="2" t="inlineStr">
        <is>
          <t>Beauty</t>
        </is>
      </c>
      <c r="G3499" s="2" t="inlineStr">
        <is>
          <t>South</t>
        </is>
      </c>
      <c r="H3499" s="2" t="inlineStr">
        <is>
          <t>Tamil Nadu</t>
        </is>
      </c>
      <c r="I3499" s="2" t="inlineStr">
        <is>
          <t>Coimbatore</t>
        </is>
      </c>
      <c r="J3499" s="2" t="inlineStr">
        <is>
          <t>Online</t>
        </is>
      </c>
      <c r="K3499" s="2" t="n">
        <v>1</v>
      </c>
      <c r="L3499" s="3" t="n">
        <v>541.0599999999999</v>
      </c>
      <c r="M3499" s="4" t="n">
        <v>0.15</v>
      </c>
      <c r="N3499" s="3" t="n">
        <v>340.93</v>
      </c>
      <c r="O3499" s="3">
        <f>K3499*L3499*(1-M3499)</f>
        <v/>
      </c>
      <c r="P3499" s="3">
        <f>O3499-N3499</f>
        <v/>
      </c>
      <c r="Q3499" s="5">
        <f>IFERROR(P3499/O3499,0)</f>
        <v/>
      </c>
      <c r="R3499" s="2">
        <f>TEXT(DATEVALUE(B3499),"mmm")</f>
        <v/>
      </c>
      <c r="S3499" s="2">
        <f>TEXT(DATEVALUE(B3499),"yyyy-mm")</f>
        <v/>
      </c>
    </row>
    <row r="3500">
      <c r="A3500" s="2" t="inlineStr">
        <is>
          <t>O000712</t>
        </is>
      </c>
      <c r="B3500" s="2" t="inlineStr">
        <is>
          <t>2025-09-13</t>
        </is>
      </c>
      <c r="C3500" s="2" t="inlineStr">
        <is>
          <t>C0684</t>
        </is>
      </c>
      <c r="D3500" s="2" t="inlineStr">
        <is>
          <t>P0021</t>
        </is>
      </c>
      <c r="E3500" s="2" t="inlineStr">
        <is>
          <t>Wallet</t>
        </is>
      </c>
      <c r="F3500" s="2" t="inlineStr">
        <is>
          <t>Fashion</t>
        </is>
      </c>
      <c r="G3500" s="2" t="inlineStr">
        <is>
          <t>West</t>
        </is>
      </c>
      <c r="H3500" s="2" t="inlineStr">
        <is>
          <t>Gujarat</t>
        </is>
      </c>
      <c r="I3500" s="2" t="inlineStr">
        <is>
          <t>Ahmedabad</t>
        </is>
      </c>
      <c r="J3500" s="2" t="inlineStr">
        <is>
          <t>Store</t>
        </is>
      </c>
      <c r="K3500" s="2" t="n">
        <v>1</v>
      </c>
      <c r="L3500" s="3" t="n">
        <v>2095.15</v>
      </c>
      <c r="M3500" s="4" t="n">
        <v>0.05</v>
      </c>
      <c r="N3500" s="3" t="n">
        <v>1181.03</v>
      </c>
      <c r="O3500" s="3">
        <f>K3500*L3500*(1-M3500)</f>
        <v/>
      </c>
      <c r="P3500" s="3">
        <f>O3500-N3500</f>
        <v/>
      </c>
      <c r="Q3500" s="5">
        <f>IFERROR(P3500/O3500,0)</f>
        <v/>
      </c>
      <c r="R3500" s="2">
        <f>TEXT(DATEVALUE(B3500),"mmm")</f>
        <v/>
      </c>
      <c r="S3500" s="2">
        <f>TEXT(DATEVALUE(B3500),"yyyy-mm")</f>
        <v/>
      </c>
    </row>
    <row r="3501">
      <c r="A3501" s="2" t="inlineStr">
        <is>
          <t>O004953</t>
        </is>
      </c>
      <c r="B3501" s="2" t="inlineStr">
        <is>
          <t>2025-09-13</t>
        </is>
      </c>
      <c r="C3501" s="2" t="inlineStr">
        <is>
          <t>C0736</t>
        </is>
      </c>
      <c r="D3501" s="2" t="inlineStr">
        <is>
          <t>P0016</t>
        </is>
      </c>
      <c r="E3501" s="2" t="inlineStr">
        <is>
          <t>Casual Shirt</t>
        </is>
      </c>
      <c r="F3501" s="2" t="inlineStr">
        <is>
          <t>Fashion</t>
        </is>
      </c>
      <c r="G3501" s="2" t="inlineStr">
        <is>
          <t>West</t>
        </is>
      </c>
      <c r="H3501" s="2" t="inlineStr">
        <is>
          <t>Goa</t>
        </is>
      </c>
      <c r="I3501" s="2" t="inlineStr">
        <is>
          <t>Panaji</t>
        </is>
      </c>
      <c r="J3501" s="2" t="inlineStr">
        <is>
          <t>Store</t>
        </is>
      </c>
      <c r="K3501" s="2" t="n">
        <v>1</v>
      </c>
      <c r="L3501" s="3" t="n">
        <v>1335.65</v>
      </c>
      <c r="M3501" s="4" t="n">
        <v>0.15</v>
      </c>
      <c r="N3501" s="3" t="n">
        <v>928.28</v>
      </c>
      <c r="O3501" s="3">
        <f>K3501*L3501*(1-M3501)</f>
        <v/>
      </c>
      <c r="P3501" s="3">
        <f>O3501-N3501</f>
        <v/>
      </c>
      <c r="Q3501" s="5">
        <f>IFERROR(P3501/O3501,0)</f>
        <v/>
      </c>
      <c r="R3501" s="2">
        <f>TEXT(DATEVALUE(B3501),"mmm")</f>
        <v/>
      </c>
      <c r="S3501" s="2">
        <f>TEXT(DATEVALUE(B3501),"yyyy-mm")</f>
        <v/>
      </c>
    </row>
    <row r="3502">
      <c r="A3502" s="2" t="inlineStr">
        <is>
          <t>O002636</t>
        </is>
      </c>
      <c r="B3502" s="2" t="inlineStr">
        <is>
          <t>2025-09-13</t>
        </is>
      </c>
      <c r="C3502" s="2" t="inlineStr">
        <is>
          <t>C0584</t>
        </is>
      </c>
      <c r="D3502" s="2" t="inlineStr">
        <is>
          <t>P0017</t>
        </is>
      </c>
      <c r="E3502" s="2" t="inlineStr">
        <is>
          <t>Jeans</t>
        </is>
      </c>
      <c r="F3502" s="2" t="inlineStr">
        <is>
          <t>Fashion</t>
        </is>
      </c>
      <c r="G3502" s="2" t="inlineStr">
        <is>
          <t>West</t>
        </is>
      </c>
      <c r="H3502" s="2" t="inlineStr">
        <is>
          <t>Maharashtra</t>
        </is>
      </c>
      <c r="I3502" s="2" t="inlineStr">
        <is>
          <t>Mumbai</t>
        </is>
      </c>
      <c r="J3502" s="2" t="inlineStr">
        <is>
          <t>Online</t>
        </is>
      </c>
      <c r="K3502" s="2" t="n">
        <v>1</v>
      </c>
      <c r="L3502" s="3" t="n">
        <v>1446.57</v>
      </c>
      <c r="M3502" s="4" t="n">
        <v>0</v>
      </c>
      <c r="N3502" s="3" t="n">
        <v>1035.56</v>
      </c>
      <c r="O3502" s="3">
        <f>K3502*L3502*(1-M3502)</f>
        <v/>
      </c>
      <c r="P3502" s="3">
        <f>O3502-N3502</f>
        <v/>
      </c>
      <c r="Q3502" s="5">
        <f>IFERROR(P3502/O3502,0)</f>
        <v/>
      </c>
      <c r="R3502" s="2">
        <f>TEXT(DATEVALUE(B3502),"mmm")</f>
        <v/>
      </c>
      <c r="S3502" s="2">
        <f>TEXT(DATEVALUE(B3502),"yyyy-mm")</f>
        <v/>
      </c>
    </row>
    <row r="3503">
      <c r="A3503" s="2" t="inlineStr">
        <is>
          <t>O003590</t>
        </is>
      </c>
      <c r="B3503" s="2" t="inlineStr">
        <is>
          <t>2025-09-14</t>
        </is>
      </c>
      <c r="C3503" s="2" t="inlineStr">
        <is>
          <t>C0523</t>
        </is>
      </c>
      <c r="D3503" s="2" t="inlineStr">
        <is>
          <t>P0015</t>
        </is>
      </c>
      <c r="E3503" s="2" t="inlineStr">
        <is>
          <t>Running Shoes</t>
        </is>
      </c>
      <c r="F3503" s="2" t="inlineStr">
        <is>
          <t>Fashion</t>
        </is>
      </c>
      <c r="G3503" s="2" t="inlineStr">
        <is>
          <t>East</t>
        </is>
      </c>
      <c r="H3503" s="2" t="inlineStr">
        <is>
          <t>Bihar</t>
        </is>
      </c>
      <c r="I3503" s="2" t="inlineStr">
        <is>
          <t>Patna</t>
        </is>
      </c>
      <c r="J3503" s="2" t="inlineStr">
        <is>
          <t>Online</t>
        </is>
      </c>
      <c r="K3503" s="2" t="n">
        <v>4</v>
      </c>
      <c r="L3503" s="3" t="n">
        <v>598.38</v>
      </c>
      <c r="M3503" s="4" t="n">
        <v>0.15</v>
      </c>
      <c r="N3503" s="3" t="n">
        <v>1495.16</v>
      </c>
      <c r="O3503" s="3">
        <f>K3503*L3503*(1-M3503)</f>
        <v/>
      </c>
      <c r="P3503" s="3">
        <f>O3503-N3503</f>
        <v/>
      </c>
      <c r="Q3503" s="5">
        <f>IFERROR(P3503/O3503,0)</f>
        <v/>
      </c>
      <c r="R3503" s="2">
        <f>TEXT(DATEVALUE(B3503),"mmm")</f>
        <v/>
      </c>
      <c r="S3503" s="2">
        <f>TEXT(DATEVALUE(B3503),"yyyy-mm")</f>
        <v/>
      </c>
    </row>
    <row r="3504">
      <c r="A3504" s="2" t="inlineStr">
        <is>
          <t>O003214</t>
        </is>
      </c>
      <c r="B3504" s="2" t="inlineStr">
        <is>
          <t>2025-09-14</t>
        </is>
      </c>
      <c r="C3504" s="2" t="inlineStr">
        <is>
          <t>C0511</t>
        </is>
      </c>
      <c r="D3504" s="2" t="inlineStr">
        <is>
          <t>P0021</t>
        </is>
      </c>
      <c r="E3504" s="2" t="inlineStr">
        <is>
          <t>Wallet</t>
        </is>
      </c>
      <c r="F3504" s="2" t="inlineStr">
        <is>
          <t>Fashion</t>
        </is>
      </c>
      <c r="G3504" s="2" t="inlineStr">
        <is>
          <t>South</t>
        </is>
      </c>
      <c r="H3504" s="2" t="inlineStr">
        <is>
          <t>Tamil Nadu</t>
        </is>
      </c>
      <c r="I3504" s="2" t="inlineStr">
        <is>
          <t>Coimbatore</t>
        </is>
      </c>
      <c r="J3504" s="2" t="inlineStr">
        <is>
          <t>Store</t>
        </is>
      </c>
      <c r="K3504" s="2" t="n">
        <v>1</v>
      </c>
      <c r="L3504" s="3" t="n">
        <v>2042.2</v>
      </c>
      <c r="M3504" s="4" t="n">
        <v>0.05</v>
      </c>
      <c r="N3504" s="3" t="n">
        <v>1215.89</v>
      </c>
      <c r="O3504" s="3">
        <f>K3504*L3504*(1-M3504)</f>
        <v/>
      </c>
      <c r="P3504" s="3">
        <f>O3504-N3504</f>
        <v/>
      </c>
      <c r="Q3504" s="5">
        <f>IFERROR(P3504/O3504,0)</f>
        <v/>
      </c>
      <c r="R3504" s="2">
        <f>TEXT(DATEVALUE(B3504),"mmm")</f>
        <v/>
      </c>
      <c r="S3504" s="2">
        <f>TEXT(DATEVALUE(B3504),"yyyy-mm")</f>
        <v/>
      </c>
    </row>
    <row r="3505">
      <c r="A3505" s="2" t="inlineStr">
        <is>
          <t>O004790</t>
        </is>
      </c>
      <c r="B3505" s="2" t="inlineStr">
        <is>
          <t>2025-09-14</t>
        </is>
      </c>
      <c r="C3505" s="2" t="inlineStr">
        <is>
          <t>C0353</t>
        </is>
      </c>
      <c r="D3505" s="2" t="inlineStr">
        <is>
          <t>P0008</t>
        </is>
      </c>
      <c r="E3505" s="2" t="inlineStr">
        <is>
          <t>Air Fryer</t>
        </is>
      </c>
      <c r="F3505" s="2" t="inlineStr">
        <is>
          <t>Home &amp; Kitchen</t>
        </is>
      </c>
      <c r="G3505" s="2" t="inlineStr">
        <is>
          <t>East</t>
        </is>
      </c>
      <c r="H3505" s="2" t="inlineStr">
        <is>
          <t>West Bengal</t>
        </is>
      </c>
      <c r="I3505" s="2" t="inlineStr">
        <is>
          <t>Durgapur</t>
        </is>
      </c>
      <c r="J3505" s="2" t="inlineStr">
        <is>
          <t>Online</t>
        </is>
      </c>
      <c r="K3505" s="2" t="n">
        <v>3</v>
      </c>
      <c r="L3505" s="3" t="n">
        <v>1071.2</v>
      </c>
      <c r="M3505" s="4" t="n">
        <v>0</v>
      </c>
      <c r="N3505" s="3" t="n">
        <v>2031.68</v>
      </c>
      <c r="O3505" s="3">
        <f>K3505*L3505*(1-M3505)</f>
        <v/>
      </c>
      <c r="P3505" s="3">
        <f>O3505-N3505</f>
        <v/>
      </c>
      <c r="Q3505" s="5">
        <f>IFERROR(P3505/O3505,0)</f>
        <v/>
      </c>
      <c r="R3505" s="2">
        <f>TEXT(DATEVALUE(B3505),"mmm")</f>
        <v/>
      </c>
      <c r="S3505" s="2">
        <f>TEXT(DATEVALUE(B3505),"yyyy-mm")</f>
        <v/>
      </c>
    </row>
    <row r="3506">
      <c r="A3506" s="2" t="inlineStr">
        <is>
          <t>O004049</t>
        </is>
      </c>
      <c r="B3506" s="2" t="inlineStr">
        <is>
          <t>2025-09-14</t>
        </is>
      </c>
      <c r="C3506" s="2" t="inlineStr">
        <is>
          <t>C0202</t>
        </is>
      </c>
      <c r="D3506" s="2" t="inlineStr">
        <is>
          <t>P0031</t>
        </is>
      </c>
      <c r="E3506" s="2" t="inlineStr">
        <is>
          <t>Cricket Bat</t>
        </is>
      </c>
      <c r="F3506" s="2" t="inlineStr">
        <is>
          <t>Sports</t>
        </is>
      </c>
      <c r="G3506" s="2" t="inlineStr">
        <is>
          <t>South</t>
        </is>
      </c>
      <c r="H3506" s="2" t="inlineStr">
        <is>
          <t>Tamil Nadu</t>
        </is>
      </c>
      <c r="I3506" s="2" t="inlineStr">
        <is>
          <t>Coimbatore</t>
        </is>
      </c>
      <c r="J3506" s="2" t="inlineStr">
        <is>
          <t>Store</t>
        </is>
      </c>
      <c r="K3506" s="2" t="n">
        <v>1</v>
      </c>
      <c r="L3506" s="3" t="n">
        <v>1404.71</v>
      </c>
      <c r="M3506" s="4" t="n">
        <v>0.05</v>
      </c>
      <c r="N3506" s="3" t="n">
        <v>961.05</v>
      </c>
      <c r="O3506" s="3">
        <f>K3506*L3506*(1-M3506)</f>
        <v/>
      </c>
      <c r="P3506" s="3">
        <f>O3506-N3506</f>
        <v/>
      </c>
      <c r="Q3506" s="5">
        <f>IFERROR(P3506/O3506,0)</f>
        <v/>
      </c>
      <c r="R3506" s="2">
        <f>TEXT(DATEVALUE(B3506),"mmm")</f>
        <v/>
      </c>
      <c r="S3506" s="2">
        <f>TEXT(DATEVALUE(B3506),"yyyy-mm")</f>
        <v/>
      </c>
    </row>
    <row r="3507">
      <c r="A3507" s="2" t="inlineStr">
        <is>
          <t>O001747</t>
        </is>
      </c>
      <c r="B3507" s="2" t="inlineStr">
        <is>
          <t>2025-09-14</t>
        </is>
      </c>
      <c r="C3507" s="2" t="inlineStr">
        <is>
          <t>C0240</t>
        </is>
      </c>
      <c r="D3507" s="2" t="inlineStr">
        <is>
          <t>P0028</t>
        </is>
      </c>
      <c r="E3507" s="2" t="inlineStr">
        <is>
          <t>Trimmer</t>
        </is>
      </c>
      <c r="F3507" s="2" t="inlineStr">
        <is>
          <t>Beauty</t>
        </is>
      </c>
      <c r="G3507" s="2" t="inlineStr">
        <is>
          <t>South</t>
        </is>
      </c>
      <c r="H3507" s="2" t="inlineStr">
        <is>
          <t>Kerala</t>
        </is>
      </c>
      <c r="I3507" s="2" t="inlineStr">
        <is>
          <t>Kochi</t>
        </is>
      </c>
      <c r="J3507" s="2" t="inlineStr">
        <is>
          <t>Store</t>
        </is>
      </c>
      <c r="K3507" s="2" t="n">
        <v>1</v>
      </c>
      <c r="L3507" s="3" t="n">
        <v>459.6</v>
      </c>
      <c r="M3507" s="4" t="n">
        <v>0.05</v>
      </c>
      <c r="N3507" s="3" t="n">
        <v>258.15</v>
      </c>
      <c r="O3507" s="3">
        <f>K3507*L3507*(1-M3507)</f>
        <v/>
      </c>
      <c r="P3507" s="3">
        <f>O3507-N3507</f>
        <v/>
      </c>
      <c r="Q3507" s="5">
        <f>IFERROR(P3507/O3507,0)</f>
        <v/>
      </c>
      <c r="R3507" s="2">
        <f>TEXT(DATEVALUE(B3507),"mmm")</f>
        <v/>
      </c>
      <c r="S3507" s="2">
        <f>TEXT(DATEVALUE(B3507),"yyyy-mm")</f>
        <v/>
      </c>
    </row>
    <row r="3508">
      <c r="A3508" s="2" t="inlineStr">
        <is>
          <t>O001983</t>
        </is>
      </c>
      <c r="B3508" s="2" t="inlineStr">
        <is>
          <t>2025-09-14</t>
        </is>
      </c>
      <c r="C3508" s="2" t="inlineStr">
        <is>
          <t>C0703</t>
        </is>
      </c>
      <c r="D3508" s="2" t="inlineStr">
        <is>
          <t>P0017</t>
        </is>
      </c>
      <c r="E3508" s="2" t="inlineStr">
        <is>
          <t>Jeans</t>
        </is>
      </c>
      <c r="F3508" s="2" t="inlineStr">
        <is>
          <t>Fashion</t>
        </is>
      </c>
      <c r="G3508" s="2" t="inlineStr">
        <is>
          <t>West</t>
        </is>
      </c>
      <c r="H3508" s="2" t="inlineStr">
        <is>
          <t>Goa</t>
        </is>
      </c>
      <c r="I3508" s="2" t="inlineStr">
        <is>
          <t>Margao</t>
        </is>
      </c>
      <c r="J3508" s="2" t="inlineStr">
        <is>
          <t>Online</t>
        </is>
      </c>
      <c r="K3508" s="2" t="n">
        <v>1</v>
      </c>
      <c r="L3508" s="3" t="n">
        <v>1523.75</v>
      </c>
      <c r="M3508" s="4" t="n">
        <v>0.1</v>
      </c>
      <c r="N3508" s="3" t="n">
        <v>1035.16</v>
      </c>
      <c r="O3508" s="3">
        <f>K3508*L3508*(1-M3508)</f>
        <v/>
      </c>
      <c r="P3508" s="3">
        <f>O3508-N3508</f>
        <v/>
      </c>
      <c r="Q3508" s="5">
        <f>IFERROR(P3508/O3508,0)</f>
        <v/>
      </c>
      <c r="R3508" s="2">
        <f>TEXT(DATEVALUE(B3508),"mmm")</f>
        <v/>
      </c>
      <c r="S3508" s="2">
        <f>TEXT(DATEVALUE(B3508),"yyyy-mm")</f>
        <v/>
      </c>
    </row>
    <row r="3509">
      <c r="A3509" s="2" t="inlineStr">
        <is>
          <t>O001215</t>
        </is>
      </c>
      <c r="B3509" s="2" t="inlineStr">
        <is>
          <t>2025-09-14</t>
        </is>
      </c>
      <c r="C3509" s="2" t="inlineStr">
        <is>
          <t>C0249</t>
        </is>
      </c>
      <c r="D3509" s="2" t="inlineStr">
        <is>
          <t>P0021</t>
        </is>
      </c>
      <c r="E3509" s="2" t="inlineStr">
        <is>
          <t>Wallet</t>
        </is>
      </c>
      <c r="F3509" s="2" t="inlineStr">
        <is>
          <t>Fashion</t>
        </is>
      </c>
      <c r="G3509" s="2" t="inlineStr">
        <is>
          <t>South</t>
        </is>
      </c>
      <c r="H3509" s="2" t="inlineStr">
        <is>
          <t>Tamil Nadu</t>
        </is>
      </c>
      <c r="I3509" s="2" t="inlineStr">
        <is>
          <t>Chennai</t>
        </is>
      </c>
      <c r="J3509" s="2" t="inlineStr">
        <is>
          <t>Store</t>
        </is>
      </c>
      <c r="K3509" s="2" t="n">
        <v>1</v>
      </c>
      <c r="L3509" s="3" t="n">
        <v>2022.24</v>
      </c>
      <c r="M3509" s="4" t="n">
        <v>0</v>
      </c>
      <c r="N3509" s="3" t="n">
        <v>1228.37</v>
      </c>
      <c r="O3509" s="3">
        <f>K3509*L3509*(1-M3509)</f>
        <v/>
      </c>
      <c r="P3509" s="3">
        <f>O3509-N3509</f>
        <v/>
      </c>
      <c r="Q3509" s="5">
        <f>IFERROR(P3509/O3509,0)</f>
        <v/>
      </c>
      <c r="R3509" s="2">
        <f>TEXT(DATEVALUE(B3509),"mmm")</f>
        <v/>
      </c>
      <c r="S3509" s="2">
        <f>TEXT(DATEVALUE(B3509),"yyyy-mm")</f>
        <v/>
      </c>
    </row>
    <row r="3510">
      <c r="A3510" s="2" t="inlineStr">
        <is>
          <t>O001229</t>
        </is>
      </c>
      <c r="B3510" s="2" t="inlineStr">
        <is>
          <t>2025-09-14</t>
        </is>
      </c>
      <c r="C3510" s="2" t="inlineStr">
        <is>
          <t>C0185</t>
        </is>
      </c>
      <c r="D3510" s="2" t="inlineStr">
        <is>
          <t>P0011</t>
        </is>
      </c>
      <c r="E3510" s="2" t="inlineStr">
        <is>
          <t>Cookware Set</t>
        </is>
      </c>
      <c r="F3510" s="2" t="inlineStr">
        <is>
          <t>Home &amp; Kitchen</t>
        </is>
      </c>
      <c r="G3510" s="2" t="inlineStr">
        <is>
          <t>South</t>
        </is>
      </c>
      <c r="H3510" s="2" t="inlineStr">
        <is>
          <t>Tamil Nadu</t>
        </is>
      </c>
      <c r="I3510" s="2" t="inlineStr">
        <is>
          <t>Chennai</t>
        </is>
      </c>
      <c r="J3510" s="2" t="inlineStr">
        <is>
          <t>Online</t>
        </is>
      </c>
      <c r="K3510" s="2" t="n">
        <v>2</v>
      </c>
      <c r="L3510" s="3" t="n">
        <v>733.33</v>
      </c>
      <c r="M3510" s="4" t="n">
        <v>0.1</v>
      </c>
      <c r="N3510" s="3" t="n">
        <v>936.1</v>
      </c>
      <c r="O3510" s="3">
        <f>K3510*L3510*(1-M3510)</f>
        <v/>
      </c>
      <c r="P3510" s="3">
        <f>O3510-N3510</f>
        <v/>
      </c>
      <c r="Q3510" s="5">
        <f>IFERROR(P3510/O3510,0)</f>
        <v/>
      </c>
      <c r="R3510" s="2">
        <f>TEXT(DATEVALUE(B3510),"mmm")</f>
        <v/>
      </c>
      <c r="S3510" s="2">
        <f>TEXT(DATEVALUE(B3510),"yyyy-mm")</f>
        <v/>
      </c>
    </row>
    <row r="3511">
      <c r="A3511" s="2" t="inlineStr">
        <is>
          <t>O001158</t>
        </is>
      </c>
      <c r="B3511" s="2" t="inlineStr">
        <is>
          <t>2025-09-14</t>
        </is>
      </c>
      <c r="C3511" s="2" t="inlineStr">
        <is>
          <t>C0423</t>
        </is>
      </c>
      <c r="D3511" s="2" t="inlineStr">
        <is>
          <t>P0007</t>
        </is>
      </c>
      <c r="E3511" s="2" t="inlineStr">
        <is>
          <t>Wireless Mouse</t>
        </is>
      </c>
      <c r="F3511" s="2" t="inlineStr">
        <is>
          <t>Electronics</t>
        </is>
      </c>
      <c r="G3511" s="2" t="inlineStr">
        <is>
          <t>South</t>
        </is>
      </c>
      <c r="H3511" s="2" t="inlineStr">
        <is>
          <t>Telangana</t>
        </is>
      </c>
      <c r="I3511" s="2" t="inlineStr">
        <is>
          <t>Hyderabad</t>
        </is>
      </c>
      <c r="J3511" s="2" t="inlineStr">
        <is>
          <t>Store</t>
        </is>
      </c>
      <c r="K3511" s="2" t="n">
        <v>1</v>
      </c>
      <c r="L3511" s="3" t="n">
        <v>950.25</v>
      </c>
      <c r="M3511" s="4" t="n">
        <v>0.05</v>
      </c>
      <c r="N3511" s="3" t="n">
        <v>620.66</v>
      </c>
      <c r="O3511" s="3">
        <f>K3511*L3511*(1-M3511)</f>
        <v/>
      </c>
      <c r="P3511" s="3">
        <f>O3511-N3511</f>
        <v/>
      </c>
      <c r="Q3511" s="5">
        <f>IFERROR(P3511/O3511,0)</f>
        <v/>
      </c>
      <c r="R3511" s="2">
        <f>TEXT(DATEVALUE(B3511),"mmm")</f>
        <v/>
      </c>
      <c r="S3511" s="2">
        <f>TEXT(DATEVALUE(B3511),"yyyy-mm")</f>
        <v/>
      </c>
    </row>
    <row r="3512">
      <c r="A3512" s="2" t="inlineStr">
        <is>
          <t>O000875</t>
        </is>
      </c>
      <c r="B3512" s="2" t="inlineStr">
        <is>
          <t>2025-09-14</t>
        </is>
      </c>
      <c r="C3512" s="2" t="inlineStr">
        <is>
          <t>C0309</t>
        </is>
      </c>
      <c r="D3512" s="2" t="inlineStr">
        <is>
          <t>P0028</t>
        </is>
      </c>
      <c r="E3512" s="2" t="inlineStr">
        <is>
          <t>Trimmer</t>
        </is>
      </c>
      <c r="F3512" s="2" t="inlineStr">
        <is>
          <t>Beauty</t>
        </is>
      </c>
      <c r="G3512" s="2" t="inlineStr">
        <is>
          <t>West</t>
        </is>
      </c>
      <c r="H3512" s="2" t="inlineStr">
        <is>
          <t>Gujarat</t>
        </is>
      </c>
      <c r="I3512" s="2" t="inlineStr">
        <is>
          <t>Ahmedabad</t>
        </is>
      </c>
      <c r="J3512" s="2" t="inlineStr">
        <is>
          <t>Online</t>
        </is>
      </c>
      <c r="K3512" s="2" t="n">
        <v>2</v>
      </c>
      <c r="L3512" s="3" t="n">
        <v>442.05</v>
      </c>
      <c r="M3512" s="4" t="n">
        <v>0</v>
      </c>
      <c r="N3512" s="3" t="n">
        <v>503.53</v>
      </c>
      <c r="O3512" s="3">
        <f>K3512*L3512*(1-M3512)</f>
        <v/>
      </c>
      <c r="P3512" s="3">
        <f>O3512-N3512</f>
        <v/>
      </c>
      <c r="Q3512" s="5">
        <f>IFERROR(P3512/O3512,0)</f>
        <v/>
      </c>
      <c r="R3512" s="2">
        <f>TEXT(DATEVALUE(B3512),"mmm")</f>
        <v/>
      </c>
      <c r="S3512" s="2">
        <f>TEXT(DATEVALUE(B3512),"yyyy-mm")</f>
        <v/>
      </c>
    </row>
    <row r="3513">
      <c r="A3513" s="2" t="inlineStr">
        <is>
          <t>O000495</t>
        </is>
      </c>
      <c r="B3513" s="2" t="inlineStr">
        <is>
          <t>2025-09-14</t>
        </is>
      </c>
      <c r="C3513" s="2" t="inlineStr">
        <is>
          <t>C0767</t>
        </is>
      </c>
      <c r="D3513" s="2" t="inlineStr">
        <is>
          <t>P0011</t>
        </is>
      </c>
      <c r="E3513" s="2" t="inlineStr">
        <is>
          <t>Cookware Set</t>
        </is>
      </c>
      <c r="F3513" s="2" t="inlineStr">
        <is>
          <t>Home &amp; Kitchen</t>
        </is>
      </c>
      <c r="G3513" s="2" t="inlineStr">
        <is>
          <t>North</t>
        </is>
      </c>
      <c r="H3513" s="2" t="inlineStr">
        <is>
          <t>Uttar Pradesh</t>
        </is>
      </c>
      <c r="I3513" s="2" t="inlineStr">
        <is>
          <t>Noida</t>
        </is>
      </c>
      <c r="J3513" s="2" t="inlineStr">
        <is>
          <t>Online</t>
        </is>
      </c>
      <c r="K3513" s="2" t="n">
        <v>1</v>
      </c>
      <c r="L3513" s="3" t="n">
        <v>689.75</v>
      </c>
      <c r="M3513" s="4" t="n">
        <v>0.1</v>
      </c>
      <c r="N3513" s="3" t="n">
        <v>478.87</v>
      </c>
      <c r="O3513" s="3">
        <f>K3513*L3513*(1-M3513)</f>
        <v/>
      </c>
      <c r="P3513" s="3">
        <f>O3513-N3513</f>
        <v/>
      </c>
      <c r="Q3513" s="5">
        <f>IFERROR(P3513/O3513,0)</f>
        <v/>
      </c>
      <c r="R3513" s="2">
        <f>TEXT(DATEVALUE(B3513),"mmm")</f>
        <v/>
      </c>
      <c r="S3513" s="2">
        <f>TEXT(DATEVALUE(B3513),"yyyy-mm")</f>
        <v/>
      </c>
    </row>
    <row r="3514">
      <c r="A3514" s="2" t="inlineStr">
        <is>
          <t>O000128</t>
        </is>
      </c>
      <c r="B3514" s="2" t="inlineStr">
        <is>
          <t>2025-09-14</t>
        </is>
      </c>
      <c r="C3514" s="2" t="inlineStr">
        <is>
          <t>C0684</t>
        </is>
      </c>
      <c r="D3514" s="2" t="inlineStr">
        <is>
          <t>P0022</t>
        </is>
      </c>
      <c r="E3514" s="2" t="inlineStr">
        <is>
          <t>Face Wash</t>
        </is>
      </c>
      <c r="F3514" s="2" t="inlineStr">
        <is>
          <t>Beauty</t>
        </is>
      </c>
      <c r="G3514" s="2" t="inlineStr">
        <is>
          <t>North</t>
        </is>
      </c>
      <c r="H3514" s="2" t="inlineStr">
        <is>
          <t>Delhi</t>
        </is>
      </c>
      <c r="I3514" s="2" t="inlineStr">
        <is>
          <t>New Delhi</t>
        </is>
      </c>
      <c r="J3514" s="2" t="inlineStr">
        <is>
          <t>Online</t>
        </is>
      </c>
      <c r="K3514" s="2" t="n">
        <v>1</v>
      </c>
      <c r="L3514" s="3" t="n">
        <v>552.9400000000001</v>
      </c>
      <c r="M3514" s="4" t="n">
        <v>0.05</v>
      </c>
      <c r="N3514" s="3" t="n">
        <v>341.86</v>
      </c>
      <c r="O3514" s="3">
        <f>K3514*L3514*(1-M3514)</f>
        <v/>
      </c>
      <c r="P3514" s="3">
        <f>O3514-N3514</f>
        <v/>
      </c>
      <c r="Q3514" s="5">
        <f>IFERROR(P3514/O3514,0)</f>
        <v/>
      </c>
      <c r="R3514" s="2">
        <f>TEXT(DATEVALUE(B3514),"mmm")</f>
        <v/>
      </c>
      <c r="S3514" s="2">
        <f>TEXT(DATEVALUE(B3514),"yyyy-mm")</f>
        <v/>
      </c>
    </row>
    <row r="3515">
      <c r="A3515" s="2" t="inlineStr">
        <is>
          <t>O004812</t>
        </is>
      </c>
      <c r="B3515" s="2" t="inlineStr">
        <is>
          <t>2025-09-15</t>
        </is>
      </c>
      <c r="C3515" s="2" t="inlineStr">
        <is>
          <t>C0785</t>
        </is>
      </c>
      <c r="D3515" s="2" t="inlineStr">
        <is>
          <t>P0012</t>
        </is>
      </c>
      <c r="E3515" s="2" t="inlineStr">
        <is>
          <t>Water Bottle</t>
        </is>
      </c>
      <c r="F3515" s="2" t="inlineStr">
        <is>
          <t>Home &amp; Kitchen</t>
        </is>
      </c>
      <c r="G3515" s="2" t="inlineStr">
        <is>
          <t>West</t>
        </is>
      </c>
      <c r="H3515" s="2" t="inlineStr">
        <is>
          <t>Gujarat</t>
        </is>
      </c>
      <c r="I3515" s="2" t="inlineStr">
        <is>
          <t>Ahmedabad</t>
        </is>
      </c>
      <c r="J3515" s="2" t="inlineStr">
        <is>
          <t>Online</t>
        </is>
      </c>
      <c r="K3515" s="2" t="n">
        <v>1</v>
      </c>
      <c r="L3515" s="3" t="n">
        <v>951.3099999999999</v>
      </c>
      <c r="M3515" s="4" t="n">
        <v>0.1</v>
      </c>
      <c r="N3515" s="3" t="n">
        <v>604.75</v>
      </c>
      <c r="O3515" s="3">
        <f>K3515*L3515*(1-M3515)</f>
        <v/>
      </c>
      <c r="P3515" s="3">
        <f>O3515-N3515</f>
        <v/>
      </c>
      <c r="Q3515" s="5">
        <f>IFERROR(P3515/O3515,0)</f>
        <v/>
      </c>
      <c r="R3515" s="2">
        <f>TEXT(DATEVALUE(B3515),"mmm")</f>
        <v/>
      </c>
      <c r="S3515" s="2">
        <f>TEXT(DATEVALUE(B3515),"yyyy-mm")</f>
        <v/>
      </c>
    </row>
    <row r="3516">
      <c r="A3516" s="2" t="inlineStr">
        <is>
          <t>O004457</t>
        </is>
      </c>
      <c r="B3516" s="2" t="inlineStr">
        <is>
          <t>2025-09-15</t>
        </is>
      </c>
      <c r="C3516" s="2" t="inlineStr">
        <is>
          <t>C0246</t>
        </is>
      </c>
      <c r="D3516" s="2" t="inlineStr">
        <is>
          <t>P0012</t>
        </is>
      </c>
      <c r="E3516" s="2" t="inlineStr">
        <is>
          <t>Water Bottle</t>
        </is>
      </c>
      <c r="F3516" s="2" t="inlineStr">
        <is>
          <t>Home &amp; Kitchen</t>
        </is>
      </c>
      <c r="G3516" s="2" t="inlineStr">
        <is>
          <t>West</t>
        </is>
      </c>
      <c r="H3516" s="2" t="inlineStr">
        <is>
          <t>Goa</t>
        </is>
      </c>
      <c r="I3516" s="2" t="inlineStr">
        <is>
          <t>Margao</t>
        </is>
      </c>
      <c r="J3516" s="2" t="inlineStr">
        <is>
          <t>Online</t>
        </is>
      </c>
      <c r="K3516" s="2" t="n">
        <v>2</v>
      </c>
      <c r="L3516" s="3" t="n">
        <v>998.71</v>
      </c>
      <c r="M3516" s="4" t="n">
        <v>0.15</v>
      </c>
      <c r="N3516" s="3" t="n">
        <v>1228.24</v>
      </c>
      <c r="O3516" s="3">
        <f>K3516*L3516*(1-M3516)</f>
        <v/>
      </c>
      <c r="P3516" s="3">
        <f>O3516-N3516</f>
        <v/>
      </c>
      <c r="Q3516" s="5">
        <f>IFERROR(P3516/O3516,0)</f>
        <v/>
      </c>
      <c r="R3516" s="2">
        <f>TEXT(DATEVALUE(B3516),"mmm")</f>
        <v/>
      </c>
      <c r="S3516" s="2">
        <f>TEXT(DATEVALUE(B3516),"yyyy-mm")</f>
        <v/>
      </c>
    </row>
    <row r="3517">
      <c r="A3517" s="2" t="inlineStr">
        <is>
          <t>O004355</t>
        </is>
      </c>
      <c r="B3517" s="2" t="inlineStr">
        <is>
          <t>2025-09-15</t>
        </is>
      </c>
      <c r="C3517" s="2" t="inlineStr">
        <is>
          <t>C0286</t>
        </is>
      </c>
      <c r="D3517" s="2" t="inlineStr">
        <is>
          <t>P0022</t>
        </is>
      </c>
      <c r="E3517" s="2" t="inlineStr">
        <is>
          <t>Face Wash</t>
        </is>
      </c>
      <c r="F3517" s="2" t="inlineStr">
        <is>
          <t>Beauty</t>
        </is>
      </c>
      <c r="G3517" s="2" t="inlineStr">
        <is>
          <t>East</t>
        </is>
      </c>
      <c r="H3517" s="2" t="inlineStr">
        <is>
          <t>Bihar</t>
        </is>
      </c>
      <c r="I3517" s="2" t="inlineStr">
        <is>
          <t>Gaya</t>
        </is>
      </c>
      <c r="J3517" s="2" t="inlineStr">
        <is>
          <t>Online</t>
        </is>
      </c>
      <c r="K3517" s="2" t="n">
        <v>1</v>
      </c>
      <c r="L3517" s="3" t="n">
        <v>549.78</v>
      </c>
      <c r="M3517" s="4" t="n">
        <v>0.1</v>
      </c>
      <c r="N3517" s="3" t="n">
        <v>341.62</v>
      </c>
      <c r="O3517" s="3">
        <f>K3517*L3517*(1-M3517)</f>
        <v/>
      </c>
      <c r="P3517" s="3">
        <f>O3517-N3517</f>
        <v/>
      </c>
      <c r="Q3517" s="5">
        <f>IFERROR(P3517/O3517,0)</f>
        <v/>
      </c>
      <c r="R3517" s="2">
        <f>TEXT(DATEVALUE(B3517),"mmm")</f>
        <v/>
      </c>
      <c r="S3517" s="2">
        <f>TEXT(DATEVALUE(B3517),"yyyy-mm")</f>
        <v/>
      </c>
    </row>
    <row r="3518">
      <c r="A3518" s="2" t="inlineStr">
        <is>
          <t>O003798</t>
        </is>
      </c>
      <c r="B3518" s="2" t="inlineStr">
        <is>
          <t>2025-09-15</t>
        </is>
      </c>
      <c r="C3518" s="2" t="inlineStr">
        <is>
          <t>C0233</t>
        </is>
      </c>
      <c r="D3518" s="2" t="inlineStr">
        <is>
          <t>P0021</t>
        </is>
      </c>
      <c r="E3518" s="2" t="inlineStr">
        <is>
          <t>Wallet</t>
        </is>
      </c>
      <c r="F3518" s="2" t="inlineStr">
        <is>
          <t>Fashion</t>
        </is>
      </c>
      <c r="G3518" s="2" t="inlineStr">
        <is>
          <t>West</t>
        </is>
      </c>
      <c r="H3518" s="2" t="inlineStr">
        <is>
          <t>Goa</t>
        </is>
      </c>
      <c r="I3518" s="2" t="inlineStr">
        <is>
          <t>Panaji</t>
        </is>
      </c>
      <c r="J3518" s="2" t="inlineStr">
        <is>
          <t>Online</t>
        </is>
      </c>
      <c r="K3518" s="2" t="n">
        <v>1</v>
      </c>
      <c r="L3518" s="3" t="n">
        <v>1986.93</v>
      </c>
      <c r="M3518" s="4" t="n">
        <v>0.1</v>
      </c>
      <c r="N3518" s="3" t="n">
        <v>1186.88</v>
      </c>
      <c r="O3518" s="3">
        <f>K3518*L3518*(1-M3518)</f>
        <v/>
      </c>
      <c r="P3518" s="3">
        <f>O3518-N3518</f>
        <v/>
      </c>
      <c r="Q3518" s="5">
        <f>IFERROR(P3518/O3518,0)</f>
        <v/>
      </c>
      <c r="R3518" s="2">
        <f>TEXT(DATEVALUE(B3518),"mmm")</f>
        <v/>
      </c>
      <c r="S3518" s="2">
        <f>TEXT(DATEVALUE(B3518),"yyyy-mm")</f>
        <v/>
      </c>
    </row>
    <row r="3519">
      <c r="A3519" s="2" t="inlineStr">
        <is>
          <t>O003336</t>
        </is>
      </c>
      <c r="B3519" s="2" t="inlineStr">
        <is>
          <t>2025-09-15</t>
        </is>
      </c>
      <c r="C3519" s="2" t="inlineStr">
        <is>
          <t>C0707</t>
        </is>
      </c>
      <c r="D3519" s="2" t="inlineStr">
        <is>
          <t>P0017</t>
        </is>
      </c>
      <c r="E3519" s="2" t="inlineStr">
        <is>
          <t>Jeans</t>
        </is>
      </c>
      <c r="F3519" s="2" t="inlineStr">
        <is>
          <t>Fashion</t>
        </is>
      </c>
      <c r="G3519" s="2" t="inlineStr">
        <is>
          <t>West</t>
        </is>
      </c>
      <c r="H3519" s="2" t="inlineStr">
        <is>
          <t>Goa</t>
        </is>
      </c>
      <c r="I3519" s="2" t="inlineStr">
        <is>
          <t>Margao</t>
        </is>
      </c>
      <c r="J3519" s="2" t="inlineStr">
        <is>
          <t>Online</t>
        </is>
      </c>
      <c r="K3519" s="2" t="n">
        <v>1</v>
      </c>
      <c r="L3519" s="3" t="n">
        <v>1525</v>
      </c>
      <c r="M3519" s="4" t="n">
        <v>0.05</v>
      </c>
      <c r="N3519" s="3" t="n">
        <v>1057.75</v>
      </c>
      <c r="O3519" s="3">
        <f>K3519*L3519*(1-M3519)</f>
        <v/>
      </c>
      <c r="P3519" s="3">
        <f>O3519-N3519</f>
        <v/>
      </c>
      <c r="Q3519" s="5">
        <f>IFERROR(P3519/O3519,0)</f>
        <v/>
      </c>
      <c r="R3519" s="2">
        <f>TEXT(DATEVALUE(B3519),"mmm")</f>
        <v/>
      </c>
      <c r="S3519" s="2">
        <f>TEXT(DATEVALUE(B3519),"yyyy-mm")</f>
        <v/>
      </c>
    </row>
    <row r="3520">
      <c r="A3520" s="2" t="inlineStr">
        <is>
          <t>O003314</t>
        </is>
      </c>
      <c r="B3520" s="2" t="inlineStr">
        <is>
          <t>2025-09-15</t>
        </is>
      </c>
      <c r="C3520" s="2" t="inlineStr">
        <is>
          <t>C0456</t>
        </is>
      </c>
      <c r="D3520" s="2" t="inlineStr">
        <is>
          <t>P0032</t>
        </is>
      </c>
      <c r="E3520" s="2" t="inlineStr">
        <is>
          <t>Football</t>
        </is>
      </c>
      <c r="F3520" s="2" t="inlineStr">
        <is>
          <t>Sports</t>
        </is>
      </c>
      <c r="G3520" s="2" t="inlineStr">
        <is>
          <t>East</t>
        </is>
      </c>
      <c r="H3520" s="2" t="inlineStr">
        <is>
          <t>West Bengal</t>
        </is>
      </c>
      <c r="I3520" s="2" t="inlineStr">
        <is>
          <t>Kolkata</t>
        </is>
      </c>
      <c r="J3520" s="2" t="inlineStr">
        <is>
          <t>Online</t>
        </is>
      </c>
      <c r="K3520" s="2" t="n">
        <v>1</v>
      </c>
      <c r="L3520" s="3" t="n">
        <v>835.97</v>
      </c>
      <c r="M3520" s="4" t="n">
        <v>0.05</v>
      </c>
      <c r="N3520" s="3" t="n">
        <v>535.8099999999999</v>
      </c>
      <c r="O3520" s="3">
        <f>K3520*L3520*(1-M3520)</f>
        <v/>
      </c>
      <c r="P3520" s="3">
        <f>O3520-N3520</f>
        <v/>
      </c>
      <c r="Q3520" s="5">
        <f>IFERROR(P3520/O3520,0)</f>
        <v/>
      </c>
      <c r="R3520" s="2">
        <f>TEXT(DATEVALUE(B3520),"mmm")</f>
        <v/>
      </c>
      <c r="S3520" s="2">
        <f>TEXT(DATEVALUE(B3520),"yyyy-mm")</f>
        <v/>
      </c>
    </row>
    <row r="3521">
      <c r="A3521" s="2" t="inlineStr">
        <is>
          <t>O002645</t>
        </is>
      </c>
      <c r="B3521" s="2" t="inlineStr">
        <is>
          <t>2025-09-15</t>
        </is>
      </c>
      <c r="C3521" s="2" t="inlineStr">
        <is>
          <t>C0428</t>
        </is>
      </c>
      <c r="D3521" s="2" t="inlineStr">
        <is>
          <t>P0006</t>
        </is>
      </c>
      <c r="E3521" s="2" t="inlineStr">
        <is>
          <t>Mechanical Keyboard</t>
        </is>
      </c>
      <c r="F3521" s="2" t="inlineStr">
        <is>
          <t>Electronics</t>
        </is>
      </c>
      <c r="G3521" s="2" t="inlineStr">
        <is>
          <t>South</t>
        </is>
      </c>
      <c r="H3521" s="2" t="inlineStr">
        <is>
          <t>Karnataka</t>
        </is>
      </c>
      <c r="I3521" s="2" t="inlineStr">
        <is>
          <t>Bengaluru</t>
        </is>
      </c>
      <c r="J3521" s="2" t="inlineStr">
        <is>
          <t>Online</t>
        </is>
      </c>
      <c r="K3521" s="2" t="n">
        <v>2</v>
      </c>
      <c r="L3521" s="3" t="n">
        <v>2767.61</v>
      </c>
      <c r="M3521" s="4" t="n">
        <v>0.1</v>
      </c>
      <c r="N3521" s="3" t="n">
        <v>2917.21</v>
      </c>
      <c r="O3521" s="3">
        <f>K3521*L3521*(1-M3521)</f>
        <v/>
      </c>
      <c r="P3521" s="3">
        <f>O3521-N3521</f>
        <v/>
      </c>
      <c r="Q3521" s="5">
        <f>IFERROR(P3521/O3521,0)</f>
        <v/>
      </c>
      <c r="R3521" s="2">
        <f>TEXT(DATEVALUE(B3521),"mmm")</f>
        <v/>
      </c>
      <c r="S3521" s="2">
        <f>TEXT(DATEVALUE(B3521),"yyyy-mm")</f>
        <v/>
      </c>
    </row>
    <row r="3522">
      <c r="A3522" s="2" t="inlineStr">
        <is>
          <t>O002593</t>
        </is>
      </c>
      <c r="B3522" s="2" t="inlineStr">
        <is>
          <t>2025-09-15</t>
        </is>
      </c>
      <c r="C3522" s="2" t="inlineStr">
        <is>
          <t>C0442</t>
        </is>
      </c>
      <c r="D3522" s="2" t="inlineStr">
        <is>
          <t>P0028</t>
        </is>
      </c>
      <c r="E3522" s="2" t="inlineStr">
        <is>
          <t>Trimmer</t>
        </is>
      </c>
      <c r="F3522" s="2" t="inlineStr">
        <is>
          <t>Beauty</t>
        </is>
      </c>
      <c r="G3522" s="2" t="inlineStr">
        <is>
          <t>North</t>
        </is>
      </c>
      <c r="H3522" s="2" t="inlineStr">
        <is>
          <t>Uttar Pradesh</t>
        </is>
      </c>
      <c r="I3522" s="2" t="inlineStr">
        <is>
          <t>Noida</t>
        </is>
      </c>
      <c r="J3522" s="2" t="inlineStr">
        <is>
          <t>Store</t>
        </is>
      </c>
      <c r="K3522" s="2" t="n">
        <v>2</v>
      </c>
      <c r="L3522" s="3" t="n">
        <v>466.97</v>
      </c>
      <c r="M3522" s="4" t="n">
        <v>0.25</v>
      </c>
      <c r="N3522" s="3" t="n">
        <v>501.46</v>
      </c>
      <c r="O3522" s="3">
        <f>K3522*L3522*(1-M3522)</f>
        <v/>
      </c>
      <c r="P3522" s="3">
        <f>O3522-N3522</f>
        <v/>
      </c>
      <c r="Q3522" s="5">
        <f>IFERROR(P3522/O3522,0)</f>
        <v/>
      </c>
      <c r="R3522" s="2">
        <f>TEXT(DATEVALUE(B3522),"mmm")</f>
        <v/>
      </c>
      <c r="S3522" s="2">
        <f>TEXT(DATEVALUE(B3522),"yyyy-mm")</f>
        <v/>
      </c>
    </row>
    <row r="3523">
      <c r="A3523" s="2" t="inlineStr">
        <is>
          <t>O002354</t>
        </is>
      </c>
      <c r="B3523" s="2" t="inlineStr">
        <is>
          <t>2025-09-15</t>
        </is>
      </c>
      <c r="C3523" s="2" t="inlineStr">
        <is>
          <t>C0694</t>
        </is>
      </c>
      <c r="D3523" s="2" t="inlineStr">
        <is>
          <t>P0006</t>
        </is>
      </c>
      <c r="E3523" s="2" t="inlineStr">
        <is>
          <t>Mechanical Keyboard</t>
        </is>
      </c>
      <c r="F3523" s="2" t="inlineStr">
        <is>
          <t>Electronics</t>
        </is>
      </c>
      <c r="G3523" s="2" t="inlineStr">
        <is>
          <t>North</t>
        </is>
      </c>
      <c r="H3523" s="2" t="inlineStr">
        <is>
          <t>Delhi</t>
        </is>
      </c>
      <c r="I3523" s="2" t="inlineStr">
        <is>
          <t>New Delhi</t>
        </is>
      </c>
      <c r="J3523" s="2" t="inlineStr">
        <is>
          <t>Online</t>
        </is>
      </c>
      <c r="K3523" s="2" t="n">
        <v>6</v>
      </c>
      <c r="L3523" s="3" t="n">
        <v>2678.48</v>
      </c>
      <c r="M3523" s="4" t="n">
        <v>0.1</v>
      </c>
      <c r="N3523" s="3" t="n">
        <v>9007.530000000001</v>
      </c>
      <c r="O3523" s="3">
        <f>K3523*L3523*(1-M3523)</f>
        <v/>
      </c>
      <c r="P3523" s="3">
        <f>O3523-N3523</f>
        <v/>
      </c>
      <c r="Q3523" s="5">
        <f>IFERROR(P3523/O3523,0)</f>
        <v/>
      </c>
      <c r="R3523" s="2">
        <f>TEXT(DATEVALUE(B3523),"mmm")</f>
        <v/>
      </c>
      <c r="S3523" s="2">
        <f>TEXT(DATEVALUE(B3523),"yyyy-mm")</f>
        <v/>
      </c>
    </row>
    <row r="3524">
      <c r="A3524" s="2" t="inlineStr">
        <is>
          <t>O002299</t>
        </is>
      </c>
      <c r="B3524" s="2" t="inlineStr">
        <is>
          <t>2025-09-15</t>
        </is>
      </c>
      <c r="C3524" s="2" t="inlineStr">
        <is>
          <t>C0092</t>
        </is>
      </c>
      <c r="D3524" s="2" t="inlineStr">
        <is>
          <t>P0032</t>
        </is>
      </c>
      <c r="E3524" s="2" t="inlineStr">
        <is>
          <t>Football</t>
        </is>
      </c>
      <c r="F3524" s="2" t="inlineStr">
        <is>
          <t>Sports</t>
        </is>
      </c>
      <c r="G3524" s="2" t="inlineStr">
        <is>
          <t>West</t>
        </is>
      </c>
      <c r="H3524" s="2" t="inlineStr">
        <is>
          <t>Goa</t>
        </is>
      </c>
      <c r="I3524" s="2" t="inlineStr">
        <is>
          <t>Margao</t>
        </is>
      </c>
      <c r="J3524" s="2" t="inlineStr">
        <is>
          <t>Online</t>
        </is>
      </c>
      <c r="K3524" s="2" t="n">
        <v>5</v>
      </c>
      <c r="L3524" s="3" t="n">
        <v>806.48</v>
      </c>
      <c r="M3524" s="4" t="n">
        <v>0.05</v>
      </c>
      <c r="N3524" s="3" t="n">
        <v>2638.5</v>
      </c>
      <c r="O3524" s="3">
        <f>K3524*L3524*(1-M3524)</f>
        <v/>
      </c>
      <c r="P3524" s="3">
        <f>O3524-N3524</f>
        <v/>
      </c>
      <c r="Q3524" s="5">
        <f>IFERROR(P3524/O3524,0)</f>
        <v/>
      </c>
      <c r="R3524" s="2">
        <f>TEXT(DATEVALUE(B3524),"mmm")</f>
        <v/>
      </c>
      <c r="S3524" s="2">
        <f>TEXT(DATEVALUE(B3524),"yyyy-mm")</f>
        <v/>
      </c>
    </row>
    <row r="3525">
      <c r="A3525" s="2" t="inlineStr">
        <is>
          <t>O002246</t>
        </is>
      </c>
      <c r="B3525" s="2" t="inlineStr">
        <is>
          <t>2025-09-15</t>
        </is>
      </c>
      <c r="C3525" s="2" t="inlineStr">
        <is>
          <t>C0745</t>
        </is>
      </c>
      <c r="D3525" s="2" t="inlineStr">
        <is>
          <t>P0018</t>
        </is>
      </c>
      <c r="E3525" s="2" t="inlineStr">
        <is>
          <t>Backpack</t>
        </is>
      </c>
      <c r="F3525" s="2" t="inlineStr">
        <is>
          <t>Fashion</t>
        </is>
      </c>
      <c r="G3525" s="2" t="inlineStr">
        <is>
          <t>West</t>
        </is>
      </c>
      <c r="H3525" s="2" t="inlineStr">
        <is>
          <t>Goa</t>
        </is>
      </c>
      <c r="I3525" s="2" t="inlineStr">
        <is>
          <t>Margao</t>
        </is>
      </c>
      <c r="J3525" s="2" t="inlineStr">
        <is>
          <t>Online</t>
        </is>
      </c>
      <c r="K3525" s="2" t="n">
        <v>1</v>
      </c>
      <c r="L3525" s="3" t="n">
        <v>1816.67</v>
      </c>
      <c r="M3525" s="4" t="n">
        <v>0</v>
      </c>
      <c r="N3525" s="3" t="n">
        <v>1392.1</v>
      </c>
      <c r="O3525" s="3">
        <f>K3525*L3525*(1-M3525)</f>
        <v/>
      </c>
      <c r="P3525" s="3">
        <f>O3525-N3525</f>
        <v/>
      </c>
      <c r="Q3525" s="5">
        <f>IFERROR(P3525/O3525,0)</f>
        <v/>
      </c>
      <c r="R3525" s="2">
        <f>TEXT(DATEVALUE(B3525),"mmm")</f>
        <v/>
      </c>
      <c r="S3525" s="2">
        <f>TEXT(DATEVALUE(B3525),"yyyy-mm")</f>
        <v/>
      </c>
    </row>
    <row r="3526">
      <c r="A3526" s="2" t="inlineStr">
        <is>
          <t>O001665</t>
        </is>
      </c>
      <c r="B3526" s="2" t="inlineStr">
        <is>
          <t>2025-09-15</t>
        </is>
      </c>
      <c r="C3526" s="2" t="inlineStr">
        <is>
          <t>C0303</t>
        </is>
      </c>
      <c r="D3526" s="2" t="inlineStr">
        <is>
          <t>P0011</t>
        </is>
      </c>
      <c r="E3526" s="2" t="inlineStr">
        <is>
          <t>Cookware Set</t>
        </is>
      </c>
      <c r="F3526" s="2" t="inlineStr">
        <is>
          <t>Home &amp; Kitchen</t>
        </is>
      </c>
      <c r="G3526" s="2" t="inlineStr">
        <is>
          <t>East</t>
        </is>
      </c>
      <c r="H3526" s="2" t="inlineStr">
        <is>
          <t>West Bengal</t>
        </is>
      </c>
      <c r="I3526" s="2" t="inlineStr">
        <is>
          <t>Kolkata</t>
        </is>
      </c>
      <c r="J3526" s="2" t="inlineStr">
        <is>
          <t>Online</t>
        </is>
      </c>
      <c r="K3526" s="2" t="n">
        <v>1</v>
      </c>
      <c r="L3526" s="3" t="n">
        <v>679.6900000000001</v>
      </c>
      <c r="M3526" s="4" t="n">
        <v>0.05</v>
      </c>
      <c r="N3526" s="3" t="n">
        <v>463.64</v>
      </c>
      <c r="O3526" s="3">
        <f>K3526*L3526*(1-M3526)</f>
        <v/>
      </c>
      <c r="P3526" s="3">
        <f>O3526-N3526</f>
        <v/>
      </c>
      <c r="Q3526" s="5">
        <f>IFERROR(P3526/O3526,0)</f>
        <v/>
      </c>
      <c r="R3526" s="2">
        <f>TEXT(DATEVALUE(B3526),"mmm")</f>
        <v/>
      </c>
      <c r="S3526" s="2">
        <f>TEXT(DATEVALUE(B3526),"yyyy-mm")</f>
        <v/>
      </c>
    </row>
    <row r="3527">
      <c r="A3527" s="2" t="inlineStr">
        <is>
          <t>O000502</t>
        </is>
      </c>
      <c r="B3527" s="2" t="inlineStr">
        <is>
          <t>2025-09-15</t>
        </is>
      </c>
      <c r="C3527" s="2" t="inlineStr">
        <is>
          <t>C0164</t>
        </is>
      </c>
      <c r="D3527" s="2" t="inlineStr">
        <is>
          <t>P0013</t>
        </is>
      </c>
      <c r="E3527" s="2" t="inlineStr">
        <is>
          <t>Storage Organizer</t>
        </is>
      </c>
      <c r="F3527" s="2" t="inlineStr">
        <is>
          <t>Home &amp; Kitchen</t>
        </is>
      </c>
      <c r="G3527" s="2" t="inlineStr">
        <is>
          <t>North</t>
        </is>
      </c>
      <c r="H3527" s="2" t="inlineStr">
        <is>
          <t>Punjab</t>
        </is>
      </c>
      <c r="I3527" s="2" t="inlineStr">
        <is>
          <t>Amritsar</t>
        </is>
      </c>
      <c r="J3527" s="2" t="inlineStr">
        <is>
          <t>Store</t>
        </is>
      </c>
      <c r="K3527" s="2" t="n">
        <v>2</v>
      </c>
      <c r="L3527" s="3" t="n">
        <v>558.4299999999999</v>
      </c>
      <c r="M3527" s="4" t="n">
        <v>0.05</v>
      </c>
      <c r="N3527" s="3" t="n">
        <v>727.99</v>
      </c>
      <c r="O3527" s="3">
        <f>K3527*L3527*(1-M3527)</f>
        <v/>
      </c>
      <c r="P3527" s="3">
        <f>O3527-N3527</f>
        <v/>
      </c>
      <c r="Q3527" s="5">
        <f>IFERROR(P3527/O3527,0)</f>
        <v/>
      </c>
      <c r="R3527" s="2">
        <f>TEXT(DATEVALUE(B3527),"mmm")</f>
        <v/>
      </c>
      <c r="S3527" s="2">
        <f>TEXT(DATEVALUE(B3527),"yyyy-mm")</f>
        <v/>
      </c>
    </row>
    <row r="3528">
      <c r="A3528" s="2" t="inlineStr">
        <is>
          <t>O000019</t>
        </is>
      </c>
      <c r="B3528" s="2" t="inlineStr">
        <is>
          <t>2025-09-15</t>
        </is>
      </c>
      <c r="C3528" s="2" t="inlineStr">
        <is>
          <t>C0184</t>
        </is>
      </c>
      <c r="D3528" s="2" t="inlineStr">
        <is>
          <t>P0017</t>
        </is>
      </c>
      <c r="E3528" s="2" t="inlineStr">
        <is>
          <t>Jeans</t>
        </is>
      </c>
      <c r="F3528" s="2" t="inlineStr">
        <is>
          <t>Fashion</t>
        </is>
      </c>
      <c r="G3528" s="2" t="inlineStr">
        <is>
          <t>North</t>
        </is>
      </c>
      <c r="H3528" s="2" t="inlineStr">
        <is>
          <t>Uttar Pradesh</t>
        </is>
      </c>
      <c r="I3528" s="2" t="inlineStr">
        <is>
          <t>Varanasi</t>
        </is>
      </c>
      <c r="J3528" s="2" t="inlineStr">
        <is>
          <t>Store</t>
        </is>
      </c>
      <c r="K3528" s="2" t="n">
        <v>1</v>
      </c>
      <c r="L3528" s="3" t="n">
        <v>1527.98</v>
      </c>
      <c r="M3528" s="4" t="n">
        <v>0.15</v>
      </c>
      <c r="N3528" s="3" t="n">
        <v>1045.51</v>
      </c>
      <c r="O3528" s="3">
        <f>K3528*L3528*(1-M3528)</f>
        <v/>
      </c>
      <c r="P3528" s="3">
        <f>O3528-N3528</f>
        <v/>
      </c>
      <c r="Q3528" s="5">
        <f>IFERROR(P3528/O3528,0)</f>
        <v/>
      </c>
      <c r="R3528" s="2">
        <f>TEXT(DATEVALUE(B3528),"mmm")</f>
        <v/>
      </c>
      <c r="S3528" s="2">
        <f>TEXT(DATEVALUE(B3528),"yyyy-mm")</f>
        <v/>
      </c>
    </row>
    <row r="3529">
      <c r="A3529" s="2" t="inlineStr">
        <is>
          <t>O003604</t>
        </is>
      </c>
      <c r="B3529" s="2" t="inlineStr">
        <is>
          <t>2025-09-16</t>
        </is>
      </c>
      <c r="C3529" s="2" t="inlineStr">
        <is>
          <t>C0403</t>
        </is>
      </c>
      <c r="D3529" s="2" t="inlineStr">
        <is>
          <t>P0026</t>
        </is>
      </c>
      <c r="E3529" s="2" t="inlineStr">
        <is>
          <t>Shampoo</t>
        </is>
      </c>
      <c r="F3529" s="2" t="inlineStr">
        <is>
          <t>Beauty</t>
        </is>
      </c>
      <c r="G3529" s="2" t="inlineStr">
        <is>
          <t>East</t>
        </is>
      </c>
      <c r="H3529" s="2" t="inlineStr">
        <is>
          <t>Bihar</t>
        </is>
      </c>
      <c r="I3529" s="2" t="inlineStr">
        <is>
          <t>Gaya</t>
        </is>
      </c>
      <c r="J3529" s="2" t="inlineStr">
        <is>
          <t>Store</t>
        </is>
      </c>
      <c r="K3529" s="2" t="n">
        <v>1</v>
      </c>
      <c r="L3529" s="3" t="n">
        <v>851.02</v>
      </c>
      <c r="M3529" s="4" t="n">
        <v>0.1</v>
      </c>
      <c r="N3529" s="3" t="n">
        <v>527.25</v>
      </c>
      <c r="O3529" s="3">
        <f>K3529*L3529*(1-M3529)</f>
        <v/>
      </c>
      <c r="P3529" s="3">
        <f>O3529-N3529</f>
        <v/>
      </c>
      <c r="Q3529" s="5">
        <f>IFERROR(P3529/O3529,0)</f>
        <v/>
      </c>
      <c r="R3529" s="2">
        <f>TEXT(DATEVALUE(B3529),"mmm")</f>
        <v/>
      </c>
      <c r="S3529" s="2">
        <f>TEXT(DATEVALUE(B3529),"yyyy-mm")</f>
        <v/>
      </c>
    </row>
    <row r="3530">
      <c r="A3530" s="2" t="inlineStr">
        <is>
          <t>O003327</t>
        </is>
      </c>
      <c r="B3530" s="2" t="inlineStr">
        <is>
          <t>2025-09-16</t>
        </is>
      </c>
      <c r="C3530" s="2" t="inlineStr">
        <is>
          <t>C0298</t>
        </is>
      </c>
      <c r="D3530" s="2" t="inlineStr">
        <is>
          <t>P0004</t>
        </is>
      </c>
      <c r="E3530" s="2" t="inlineStr">
        <is>
          <t>USB-C Hub</t>
        </is>
      </c>
      <c r="F3530" s="2" t="inlineStr">
        <is>
          <t>Electronics</t>
        </is>
      </c>
      <c r="G3530" s="2" t="inlineStr">
        <is>
          <t>North</t>
        </is>
      </c>
      <c r="H3530" s="2" t="inlineStr">
        <is>
          <t>Haryana</t>
        </is>
      </c>
      <c r="I3530" s="2" t="inlineStr">
        <is>
          <t>Faridabad</t>
        </is>
      </c>
      <c r="J3530" s="2" t="inlineStr">
        <is>
          <t>Online</t>
        </is>
      </c>
      <c r="K3530" s="2" t="n">
        <v>1</v>
      </c>
      <c r="L3530" s="3" t="n">
        <v>1263.55</v>
      </c>
      <c r="M3530" s="4" t="n">
        <v>0.05</v>
      </c>
      <c r="N3530" s="3" t="n">
        <v>914.27</v>
      </c>
      <c r="O3530" s="3">
        <f>K3530*L3530*(1-M3530)</f>
        <v/>
      </c>
      <c r="P3530" s="3">
        <f>O3530-N3530</f>
        <v/>
      </c>
      <c r="Q3530" s="5">
        <f>IFERROR(P3530/O3530,0)</f>
        <v/>
      </c>
      <c r="R3530" s="2">
        <f>TEXT(DATEVALUE(B3530),"mmm")</f>
        <v/>
      </c>
      <c r="S3530" s="2">
        <f>TEXT(DATEVALUE(B3530),"yyyy-mm")</f>
        <v/>
      </c>
    </row>
    <row r="3531">
      <c r="A3531" s="2" t="inlineStr">
        <is>
          <t>O002983</t>
        </is>
      </c>
      <c r="B3531" s="2" t="inlineStr">
        <is>
          <t>2025-09-16</t>
        </is>
      </c>
      <c r="C3531" s="2" t="inlineStr">
        <is>
          <t>C0780</t>
        </is>
      </c>
      <c r="D3531" s="2" t="inlineStr">
        <is>
          <t>P0017</t>
        </is>
      </c>
      <c r="E3531" s="2" t="inlineStr">
        <is>
          <t>Jeans</t>
        </is>
      </c>
      <c r="F3531" s="2" t="inlineStr">
        <is>
          <t>Fashion</t>
        </is>
      </c>
      <c r="G3531" s="2" t="inlineStr">
        <is>
          <t>North</t>
        </is>
      </c>
      <c r="H3531" s="2" t="inlineStr">
        <is>
          <t>Uttar Pradesh</t>
        </is>
      </c>
      <c r="I3531" s="2" t="inlineStr">
        <is>
          <t>Varanasi</t>
        </is>
      </c>
      <c r="J3531" s="2" t="inlineStr">
        <is>
          <t>Online</t>
        </is>
      </c>
      <c r="K3531" s="2" t="n">
        <v>3</v>
      </c>
      <c r="L3531" s="3" t="n">
        <v>1504.8</v>
      </c>
      <c r="M3531" s="4" t="n">
        <v>0.05</v>
      </c>
      <c r="N3531" s="3" t="n">
        <v>3151.5</v>
      </c>
      <c r="O3531" s="3">
        <f>K3531*L3531*(1-M3531)</f>
        <v/>
      </c>
      <c r="P3531" s="3">
        <f>O3531-N3531</f>
        <v/>
      </c>
      <c r="Q3531" s="5">
        <f>IFERROR(P3531/O3531,0)</f>
        <v/>
      </c>
      <c r="R3531" s="2">
        <f>TEXT(DATEVALUE(B3531),"mmm")</f>
        <v/>
      </c>
      <c r="S3531" s="2">
        <f>TEXT(DATEVALUE(B3531),"yyyy-mm")</f>
        <v/>
      </c>
    </row>
    <row r="3532">
      <c r="A3532" s="2" t="inlineStr">
        <is>
          <t>O002792</t>
        </is>
      </c>
      <c r="B3532" s="2" t="inlineStr">
        <is>
          <t>2025-09-16</t>
        </is>
      </c>
      <c r="C3532" s="2" t="inlineStr">
        <is>
          <t>C0284</t>
        </is>
      </c>
      <c r="D3532" s="2" t="inlineStr">
        <is>
          <t>P0005</t>
        </is>
      </c>
      <c r="E3532" s="2" t="inlineStr">
        <is>
          <t>Power Bank</t>
        </is>
      </c>
      <c r="F3532" s="2" t="inlineStr">
        <is>
          <t>Electronics</t>
        </is>
      </c>
      <c r="G3532" s="2" t="inlineStr">
        <is>
          <t>East</t>
        </is>
      </c>
      <c r="H3532" s="2" t="inlineStr">
        <is>
          <t>Odisha</t>
        </is>
      </c>
      <c r="I3532" s="2" t="inlineStr">
        <is>
          <t>Cuttack</t>
        </is>
      </c>
      <c r="J3532" s="2" t="inlineStr">
        <is>
          <t>Online</t>
        </is>
      </c>
      <c r="K3532" s="2" t="n">
        <v>3</v>
      </c>
      <c r="L3532" s="3" t="n">
        <v>1171.55</v>
      </c>
      <c r="M3532" s="4" t="n">
        <v>0.25</v>
      </c>
      <c r="N3532" s="3" t="n">
        <v>1953.86</v>
      </c>
      <c r="O3532" s="3">
        <f>K3532*L3532*(1-M3532)</f>
        <v/>
      </c>
      <c r="P3532" s="3">
        <f>O3532-N3532</f>
        <v/>
      </c>
      <c r="Q3532" s="5">
        <f>IFERROR(P3532/O3532,0)</f>
        <v/>
      </c>
      <c r="R3532" s="2">
        <f>TEXT(DATEVALUE(B3532),"mmm")</f>
        <v/>
      </c>
      <c r="S3532" s="2">
        <f>TEXT(DATEVALUE(B3532),"yyyy-mm")</f>
        <v/>
      </c>
    </row>
    <row r="3533">
      <c r="A3533" s="2" t="inlineStr">
        <is>
          <t>O002293</t>
        </is>
      </c>
      <c r="B3533" s="2" t="inlineStr">
        <is>
          <t>2025-09-16</t>
        </is>
      </c>
      <c r="C3533" s="2" t="inlineStr">
        <is>
          <t>C0568</t>
        </is>
      </c>
      <c r="D3533" s="2" t="inlineStr">
        <is>
          <t>P0008</t>
        </is>
      </c>
      <c r="E3533" s="2" t="inlineStr">
        <is>
          <t>Air Fryer</t>
        </is>
      </c>
      <c r="F3533" s="2" t="inlineStr">
        <is>
          <t>Home &amp; Kitchen</t>
        </is>
      </c>
      <c r="G3533" s="2" t="inlineStr">
        <is>
          <t>West</t>
        </is>
      </c>
      <c r="H3533" s="2" t="inlineStr">
        <is>
          <t>Maharashtra</t>
        </is>
      </c>
      <c r="I3533" s="2" t="inlineStr">
        <is>
          <t>Mumbai</t>
        </is>
      </c>
      <c r="J3533" s="2" t="inlineStr">
        <is>
          <t>Online</t>
        </is>
      </c>
      <c r="K3533" s="2" t="n">
        <v>5</v>
      </c>
      <c r="L3533" s="3" t="n">
        <v>1048.25</v>
      </c>
      <c r="M3533" s="4" t="n">
        <v>0.1</v>
      </c>
      <c r="N3533" s="3" t="n">
        <v>3341.32</v>
      </c>
      <c r="O3533" s="3">
        <f>K3533*L3533*(1-M3533)</f>
        <v/>
      </c>
      <c r="P3533" s="3">
        <f>O3533-N3533</f>
        <v/>
      </c>
      <c r="Q3533" s="5">
        <f>IFERROR(P3533/O3533,0)</f>
        <v/>
      </c>
      <c r="R3533" s="2">
        <f>TEXT(DATEVALUE(B3533),"mmm")</f>
        <v/>
      </c>
      <c r="S3533" s="2">
        <f>TEXT(DATEVALUE(B3533),"yyyy-mm")</f>
        <v/>
      </c>
    </row>
    <row r="3534">
      <c r="A3534" s="2" t="inlineStr">
        <is>
          <t>O001560</t>
        </is>
      </c>
      <c r="B3534" s="2" t="inlineStr">
        <is>
          <t>2025-09-16</t>
        </is>
      </c>
      <c r="C3534" s="2" t="inlineStr">
        <is>
          <t>C0590</t>
        </is>
      </c>
      <c r="D3534" s="2" t="inlineStr">
        <is>
          <t>P0012</t>
        </is>
      </c>
      <c r="E3534" s="2" t="inlineStr">
        <is>
          <t>Water Bottle</t>
        </is>
      </c>
      <c r="F3534" s="2" t="inlineStr">
        <is>
          <t>Home &amp; Kitchen</t>
        </is>
      </c>
      <c r="G3534" s="2" t="inlineStr">
        <is>
          <t>West</t>
        </is>
      </c>
      <c r="H3534" s="2" t="inlineStr">
        <is>
          <t>Maharashtra</t>
        </is>
      </c>
      <c r="I3534" s="2" t="inlineStr">
        <is>
          <t>Mumbai</t>
        </is>
      </c>
      <c r="J3534" s="2" t="inlineStr">
        <is>
          <t>Online</t>
        </is>
      </c>
      <c r="K3534" s="2" t="n">
        <v>1</v>
      </c>
      <c r="L3534" s="3" t="n">
        <v>960.67</v>
      </c>
      <c r="M3534" s="4" t="n">
        <v>0.15</v>
      </c>
      <c r="N3534" s="3" t="n">
        <v>628.05</v>
      </c>
      <c r="O3534" s="3">
        <f>K3534*L3534*(1-M3534)</f>
        <v/>
      </c>
      <c r="P3534" s="3">
        <f>O3534-N3534</f>
        <v/>
      </c>
      <c r="Q3534" s="5">
        <f>IFERROR(P3534/O3534,0)</f>
        <v/>
      </c>
      <c r="R3534" s="2">
        <f>TEXT(DATEVALUE(B3534),"mmm")</f>
        <v/>
      </c>
      <c r="S3534" s="2">
        <f>TEXT(DATEVALUE(B3534),"yyyy-mm")</f>
        <v/>
      </c>
    </row>
    <row r="3535">
      <c r="A3535" s="2" t="inlineStr">
        <is>
          <t>O000180</t>
        </is>
      </c>
      <c r="B3535" s="2" t="inlineStr">
        <is>
          <t>2025-09-16</t>
        </is>
      </c>
      <c r="C3535" s="2" t="inlineStr">
        <is>
          <t>C0691</t>
        </is>
      </c>
      <c r="D3535" s="2" t="inlineStr">
        <is>
          <t>P0004</t>
        </is>
      </c>
      <c r="E3535" s="2" t="inlineStr">
        <is>
          <t>USB-C Hub</t>
        </is>
      </c>
      <c r="F3535" s="2" t="inlineStr">
        <is>
          <t>Electronics</t>
        </is>
      </c>
      <c r="G3535" s="2" t="inlineStr">
        <is>
          <t>West</t>
        </is>
      </c>
      <c r="H3535" s="2" t="inlineStr">
        <is>
          <t>Gujarat</t>
        </is>
      </c>
      <c r="I3535" s="2" t="inlineStr">
        <is>
          <t>Surat</t>
        </is>
      </c>
      <c r="J3535" s="2" t="inlineStr">
        <is>
          <t>Online</t>
        </is>
      </c>
      <c r="K3535" s="2" t="n">
        <v>3</v>
      </c>
      <c r="L3535" s="3" t="n">
        <v>1267.53</v>
      </c>
      <c r="M3535" s="4" t="n">
        <v>0.1</v>
      </c>
      <c r="N3535" s="3" t="n">
        <v>2799.99</v>
      </c>
      <c r="O3535" s="3">
        <f>K3535*L3535*(1-M3535)</f>
        <v/>
      </c>
      <c r="P3535" s="3">
        <f>O3535-N3535</f>
        <v/>
      </c>
      <c r="Q3535" s="5">
        <f>IFERROR(P3535/O3535,0)</f>
        <v/>
      </c>
      <c r="R3535" s="2">
        <f>TEXT(DATEVALUE(B3535),"mmm")</f>
        <v/>
      </c>
      <c r="S3535" s="2">
        <f>TEXT(DATEVALUE(B3535),"yyyy-mm")</f>
        <v/>
      </c>
    </row>
    <row r="3536">
      <c r="A3536" s="2" t="inlineStr">
        <is>
          <t>O000771</t>
        </is>
      </c>
      <c r="B3536" s="2" t="inlineStr">
        <is>
          <t>2025-09-16</t>
        </is>
      </c>
      <c r="C3536" s="2" t="inlineStr">
        <is>
          <t>C0472</t>
        </is>
      </c>
      <c r="D3536" s="2" t="inlineStr">
        <is>
          <t>P0013</t>
        </is>
      </c>
      <c r="E3536" s="2" t="inlineStr">
        <is>
          <t>Storage Organizer</t>
        </is>
      </c>
      <c r="F3536" s="2" t="inlineStr">
        <is>
          <t>Home &amp; Kitchen</t>
        </is>
      </c>
      <c r="G3536" s="2" t="inlineStr">
        <is>
          <t>South</t>
        </is>
      </c>
      <c r="H3536" s="2" t="inlineStr">
        <is>
          <t>Telangana</t>
        </is>
      </c>
      <c r="I3536" s="2" t="inlineStr">
        <is>
          <t>Warangal</t>
        </is>
      </c>
      <c r="J3536" s="2" t="inlineStr">
        <is>
          <t>Store</t>
        </is>
      </c>
      <c r="K3536" s="2" t="n">
        <v>4</v>
      </c>
      <c r="L3536" s="3" t="n">
        <v>557.88</v>
      </c>
      <c r="M3536" s="4" t="n">
        <v>0.15</v>
      </c>
      <c r="N3536" s="3" t="n">
        <v>1434.18</v>
      </c>
      <c r="O3536" s="3">
        <f>K3536*L3536*(1-M3536)</f>
        <v/>
      </c>
      <c r="P3536" s="3">
        <f>O3536-N3536</f>
        <v/>
      </c>
      <c r="Q3536" s="5">
        <f>IFERROR(P3536/O3536,0)</f>
        <v/>
      </c>
      <c r="R3536" s="2">
        <f>TEXT(DATEVALUE(B3536),"mmm")</f>
        <v/>
      </c>
      <c r="S3536" s="2">
        <f>TEXT(DATEVALUE(B3536),"yyyy-mm")</f>
        <v/>
      </c>
    </row>
    <row r="3537">
      <c r="A3537" s="2" t="inlineStr">
        <is>
          <t>O000747</t>
        </is>
      </c>
      <c r="B3537" s="2" t="inlineStr">
        <is>
          <t>2025-09-16</t>
        </is>
      </c>
      <c r="C3537" s="2" t="inlineStr">
        <is>
          <t>C0505</t>
        </is>
      </c>
      <c r="D3537" s="2" t="inlineStr">
        <is>
          <t>P0021</t>
        </is>
      </c>
      <c r="E3537" s="2" t="inlineStr">
        <is>
          <t>Wallet</t>
        </is>
      </c>
      <c r="F3537" s="2" t="inlineStr">
        <is>
          <t>Fashion</t>
        </is>
      </c>
      <c r="G3537" s="2" t="inlineStr">
        <is>
          <t>West</t>
        </is>
      </c>
      <c r="H3537" s="2" t="inlineStr">
        <is>
          <t>Maharashtra</t>
        </is>
      </c>
      <c r="I3537" s="2" t="inlineStr">
        <is>
          <t>Pune</t>
        </is>
      </c>
      <c r="J3537" s="2" t="inlineStr">
        <is>
          <t>Store</t>
        </is>
      </c>
      <c r="K3537" s="2" t="n">
        <v>2</v>
      </c>
      <c r="L3537" s="3" t="n">
        <v>1998.67</v>
      </c>
      <c r="M3537" s="4" t="n">
        <v>0</v>
      </c>
      <c r="N3537" s="3" t="n">
        <v>2367.57</v>
      </c>
      <c r="O3537" s="3">
        <f>K3537*L3537*(1-M3537)</f>
        <v/>
      </c>
      <c r="P3537" s="3">
        <f>O3537-N3537</f>
        <v/>
      </c>
      <c r="Q3537" s="5">
        <f>IFERROR(P3537/O3537,0)</f>
        <v/>
      </c>
      <c r="R3537" s="2">
        <f>TEXT(DATEVALUE(B3537),"mmm")</f>
        <v/>
      </c>
      <c r="S3537" s="2">
        <f>TEXT(DATEVALUE(B3537),"yyyy-mm")</f>
        <v/>
      </c>
    </row>
    <row r="3538">
      <c r="A3538" s="2" t="inlineStr">
        <is>
          <t>O000680</t>
        </is>
      </c>
      <c r="B3538" s="2" t="inlineStr">
        <is>
          <t>2025-09-16</t>
        </is>
      </c>
      <c r="C3538" s="2" t="inlineStr">
        <is>
          <t>C0279</t>
        </is>
      </c>
      <c r="D3538" s="2" t="inlineStr">
        <is>
          <t>P0032</t>
        </is>
      </c>
      <c r="E3538" s="2" t="inlineStr">
        <is>
          <t>Football</t>
        </is>
      </c>
      <c r="F3538" s="2" t="inlineStr">
        <is>
          <t>Sports</t>
        </is>
      </c>
      <c r="G3538" s="2" t="inlineStr">
        <is>
          <t>East</t>
        </is>
      </c>
      <c r="H3538" s="2" t="inlineStr">
        <is>
          <t>West Bengal</t>
        </is>
      </c>
      <c r="I3538" s="2" t="inlineStr">
        <is>
          <t>Durgapur</t>
        </is>
      </c>
      <c r="J3538" s="2" t="inlineStr">
        <is>
          <t>Online</t>
        </is>
      </c>
      <c r="K3538" s="2" t="n">
        <v>1</v>
      </c>
      <c r="L3538" s="3" t="n">
        <v>786.13</v>
      </c>
      <c r="M3538" s="4" t="n">
        <v>0.05</v>
      </c>
      <c r="N3538" s="3" t="n">
        <v>521.17</v>
      </c>
      <c r="O3538" s="3">
        <f>K3538*L3538*(1-M3538)</f>
        <v/>
      </c>
      <c r="P3538" s="3">
        <f>O3538-N3538</f>
        <v/>
      </c>
      <c r="Q3538" s="5">
        <f>IFERROR(P3538/O3538,0)</f>
        <v/>
      </c>
      <c r="R3538" s="2">
        <f>TEXT(DATEVALUE(B3538),"mmm")</f>
        <v/>
      </c>
      <c r="S3538" s="2">
        <f>TEXT(DATEVALUE(B3538),"yyyy-mm")</f>
        <v/>
      </c>
    </row>
    <row r="3539">
      <c r="A3539" s="2" t="inlineStr">
        <is>
          <t>O000240</t>
        </is>
      </c>
      <c r="B3539" s="2" t="inlineStr">
        <is>
          <t>2025-09-16</t>
        </is>
      </c>
      <c r="C3539" s="2" t="inlineStr">
        <is>
          <t>C0436</t>
        </is>
      </c>
      <c r="D3539" s="2" t="inlineStr">
        <is>
          <t>P0031</t>
        </is>
      </c>
      <c r="E3539" s="2" t="inlineStr">
        <is>
          <t>Cricket Bat</t>
        </is>
      </c>
      <c r="F3539" s="2" t="inlineStr">
        <is>
          <t>Sports</t>
        </is>
      </c>
      <c r="G3539" s="2" t="inlineStr">
        <is>
          <t>South</t>
        </is>
      </c>
      <c r="H3539" s="2" t="inlineStr">
        <is>
          <t>Telangana</t>
        </is>
      </c>
      <c r="I3539" s="2" t="inlineStr">
        <is>
          <t>Hyderabad</t>
        </is>
      </c>
      <c r="J3539" s="2" t="inlineStr">
        <is>
          <t>Online</t>
        </is>
      </c>
      <c r="K3539" s="2" t="n">
        <v>4</v>
      </c>
      <c r="L3539" s="3" t="n">
        <v>1447.39</v>
      </c>
      <c r="M3539" s="4" t="n">
        <v>0.05</v>
      </c>
      <c r="N3539" s="3" t="n">
        <v>3854.54</v>
      </c>
      <c r="O3539" s="3">
        <f>K3539*L3539*(1-M3539)</f>
        <v/>
      </c>
      <c r="P3539" s="3">
        <f>O3539-N3539</f>
        <v/>
      </c>
      <c r="Q3539" s="5">
        <f>IFERROR(P3539/O3539,0)</f>
        <v/>
      </c>
      <c r="R3539" s="2">
        <f>TEXT(DATEVALUE(B3539),"mmm")</f>
        <v/>
      </c>
      <c r="S3539" s="2">
        <f>TEXT(DATEVALUE(B3539),"yyyy-mm")</f>
        <v/>
      </c>
    </row>
    <row r="3540">
      <c r="A3540" s="2" t="inlineStr">
        <is>
          <t>O001001</t>
        </is>
      </c>
      <c r="B3540" s="2" t="inlineStr">
        <is>
          <t>2025-09-16</t>
        </is>
      </c>
      <c r="C3540" s="2" t="inlineStr">
        <is>
          <t>C0678</t>
        </is>
      </c>
      <c r="D3540" s="2" t="inlineStr">
        <is>
          <t>P0022</t>
        </is>
      </c>
      <c r="E3540" s="2" t="inlineStr">
        <is>
          <t>Face Wash</t>
        </is>
      </c>
      <c r="F3540" s="2" t="inlineStr">
        <is>
          <t>Beauty</t>
        </is>
      </c>
      <c r="G3540" s="2" t="inlineStr">
        <is>
          <t>South</t>
        </is>
      </c>
      <c r="H3540" s="2" t="inlineStr">
        <is>
          <t>Tamil Nadu</t>
        </is>
      </c>
      <c r="I3540" s="2" t="inlineStr">
        <is>
          <t>Chennai</t>
        </is>
      </c>
      <c r="J3540" s="2" t="inlineStr">
        <is>
          <t>Store</t>
        </is>
      </c>
      <c r="K3540" s="2" t="n">
        <v>1</v>
      </c>
      <c r="L3540" s="3" t="n">
        <v>568.01</v>
      </c>
      <c r="M3540" s="4" t="n">
        <v>0.05</v>
      </c>
      <c r="N3540" s="3" t="n">
        <v>363.86</v>
      </c>
      <c r="O3540" s="3">
        <f>K3540*L3540*(1-M3540)</f>
        <v/>
      </c>
      <c r="P3540" s="3">
        <f>O3540-N3540</f>
        <v/>
      </c>
      <c r="Q3540" s="5">
        <f>IFERROR(P3540/O3540,0)</f>
        <v/>
      </c>
      <c r="R3540" s="2">
        <f>TEXT(DATEVALUE(B3540),"mmm")</f>
        <v/>
      </c>
      <c r="S3540" s="2">
        <f>TEXT(DATEVALUE(B3540),"yyyy-mm")</f>
        <v/>
      </c>
    </row>
    <row r="3541">
      <c r="A3541" s="2" t="inlineStr">
        <is>
          <t>O004900</t>
        </is>
      </c>
      <c r="B3541" s="2" t="inlineStr">
        <is>
          <t>2025-09-17</t>
        </is>
      </c>
      <c r="C3541" s="2" t="inlineStr">
        <is>
          <t>C0205</t>
        </is>
      </c>
      <c r="D3541" s="2" t="inlineStr">
        <is>
          <t>P0016</t>
        </is>
      </c>
      <c r="E3541" s="2" t="inlineStr">
        <is>
          <t>Casual Shirt</t>
        </is>
      </c>
      <c r="F3541" s="2" t="inlineStr">
        <is>
          <t>Fashion</t>
        </is>
      </c>
      <c r="G3541" s="2" t="inlineStr">
        <is>
          <t>South</t>
        </is>
      </c>
      <c r="H3541" s="2" t="inlineStr">
        <is>
          <t>Telangana</t>
        </is>
      </c>
      <c r="I3541" s="2" t="inlineStr">
        <is>
          <t>Hyderabad</t>
        </is>
      </c>
      <c r="J3541" s="2" t="inlineStr">
        <is>
          <t>Online</t>
        </is>
      </c>
      <c r="K3541" s="2" t="n">
        <v>1</v>
      </c>
      <c r="L3541" s="3" t="n">
        <v>1320.31</v>
      </c>
      <c r="M3541" s="4" t="n">
        <v>0.1</v>
      </c>
      <c r="N3541" s="3" t="n">
        <v>901.74</v>
      </c>
      <c r="O3541" s="3">
        <f>K3541*L3541*(1-M3541)</f>
        <v/>
      </c>
      <c r="P3541" s="3">
        <f>O3541-N3541</f>
        <v/>
      </c>
      <c r="Q3541" s="5">
        <f>IFERROR(P3541/O3541,0)</f>
        <v/>
      </c>
      <c r="R3541" s="2">
        <f>TEXT(DATEVALUE(B3541),"mmm")</f>
        <v/>
      </c>
      <c r="S3541" s="2">
        <f>TEXT(DATEVALUE(B3541),"yyyy-mm")</f>
        <v/>
      </c>
    </row>
    <row r="3542">
      <c r="A3542" s="2" t="inlineStr">
        <is>
          <t>O004478</t>
        </is>
      </c>
      <c r="B3542" s="2" t="inlineStr">
        <is>
          <t>2025-09-17</t>
        </is>
      </c>
      <c r="C3542" s="2" t="inlineStr">
        <is>
          <t>C0179</t>
        </is>
      </c>
      <c r="D3542" s="2" t="inlineStr">
        <is>
          <t>P0021</t>
        </is>
      </c>
      <c r="E3542" s="2" t="inlineStr">
        <is>
          <t>Wallet</t>
        </is>
      </c>
      <c r="F3542" s="2" t="inlineStr">
        <is>
          <t>Fashion</t>
        </is>
      </c>
      <c r="G3542" s="2" t="inlineStr">
        <is>
          <t>North</t>
        </is>
      </c>
      <c r="H3542" s="2" t="inlineStr">
        <is>
          <t>Haryana</t>
        </is>
      </c>
      <c r="I3542" s="2" t="inlineStr">
        <is>
          <t>Gurugram</t>
        </is>
      </c>
      <c r="J3542" s="2" t="inlineStr">
        <is>
          <t>Online</t>
        </is>
      </c>
      <c r="K3542" s="2" t="n">
        <v>1</v>
      </c>
      <c r="L3542" s="3" t="n">
        <v>2003.03</v>
      </c>
      <c r="M3542" s="4" t="n">
        <v>0.2</v>
      </c>
      <c r="N3542" s="3" t="n">
        <v>1244.63</v>
      </c>
      <c r="O3542" s="3">
        <f>K3542*L3542*(1-M3542)</f>
        <v/>
      </c>
      <c r="P3542" s="3">
        <f>O3542-N3542</f>
        <v/>
      </c>
      <c r="Q3542" s="5">
        <f>IFERROR(P3542/O3542,0)</f>
        <v/>
      </c>
      <c r="R3542" s="2">
        <f>TEXT(DATEVALUE(B3542),"mmm")</f>
        <v/>
      </c>
      <c r="S3542" s="2">
        <f>TEXT(DATEVALUE(B3542),"yyyy-mm")</f>
        <v/>
      </c>
    </row>
    <row r="3543">
      <c r="A3543" s="2" t="inlineStr">
        <is>
          <t>O003966</t>
        </is>
      </c>
      <c r="B3543" s="2" t="inlineStr">
        <is>
          <t>2025-09-17</t>
        </is>
      </c>
      <c r="C3543" s="2" t="inlineStr">
        <is>
          <t>C0417</t>
        </is>
      </c>
      <c r="D3543" s="2" t="inlineStr">
        <is>
          <t>P0007</t>
        </is>
      </c>
      <c r="E3543" s="2" t="inlineStr">
        <is>
          <t>Wireless Mouse</t>
        </is>
      </c>
      <c r="F3543" s="2" t="inlineStr">
        <is>
          <t>Electronics</t>
        </is>
      </c>
      <c r="G3543" s="2" t="inlineStr">
        <is>
          <t>West</t>
        </is>
      </c>
      <c r="H3543" s="2" t="inlineStr">
        <is>
          <t>Maharashtra</t>
        </is>
      </c>
      <c r="I3543" s="2" t="inlineStr">
        <is>
          <t>Pune</t>
        </is>
      </c>
      <c r="J3543" s="2" t="inlineStr">
        <is>
          <t>Online</t>
        </is>
      </c>
      <c r="K3543" s="2" t="n">
        <v>2</v>
      </c>
      <c r="L3543" s="3" t="n">
        <v>1007.76</v>
      </c>
      <c r="M3543" s="4" t="n">
        <v>0.05</v>
      </c>
      <c r="N3543" s="3" t="n">
        <v>1242.5</v>
      </c>
      <c r="O3543" s="3">
        <f>K3543*L3543*(1-M3543)</f>
        <v/>
      </c>
      <c r="P3543" s="3">
        <f>O3543-N3543</f>
        <v/>
      </c>
      <c r="Q3543" s="5">
        <f>IFERROR(P3543/O3543,0)</f>
        <v/>
      </c>
      <c r="R3543" s="2">
        <f>TEXT(DATEVALUE(B3543),"mmm")</f>
        <v/>
      </c>
      <c r="S3543" s="2">
        <f>TEXT(DATEVALUE(B3543),"yyyy-mm")</f>
        <v/>
      </c>
    </row>
    <row r="3544">
      <c r="A3544" s="2" t="inlineStr">
        <is>
          <t>O003664</t>
        </is>
      </c>
      <c r="B3544" s="2" t="inlineStr">
        <is>
          <t>2025-09-17</t>
        </is>
      </c>
      <c r="C3544" s="2" t="inlineStr">
        <is>
          <t>C0621</t>
        </is>
      </c>
      <c r="D3544" s="2" t="inlineStr">
        <is>
          <t>P0002</t>
        </is>
      </c>
      <c r="E3544" s="2" t="inlineStr">
        <is>
          <t>Bluetooth Speaker</t>
        </is>
      </c>
      <c r="F3544" s="2" t="inlineStr">
        <is>
          <t>Electronics</t>
        </is>
      </c>
      <c r="G3544" s="2" t="inlineStr">
        <is>
          <t>South</t>
        </is>
      </c>
      <c r="H3544" s="2" t="inlineStr">
        <is>
          <t>Kerala</t>
        </is>
      </c>
      <c r="I3544" s="2" t="inlineStr">
        <is>
          <t>Thiruvananthapuram</t>
        </is>
      </c>
      <c r="J3544" s="2" t="inlineStr">
        <is>
          <t>Online</t>
        </is>
      </c>
      <c r="K3544" s="2" t="n">
        <v>3</v>
      </c>
      <c r="L3544" s="3" t="n">
        <v>1335.61</v>
      </c>
      <c r="M3544" s="4" t="n">
        <v>0.2</v>
      </c>
      <c r="N3544" s="3" t="n">
        <v>2486.33</v>
      </c>
      <c r="O3544" s="3">
        <f>K3544*L3544*(1-M3544)</f>
        <v/>
      </c>
      <c r="P3544" s="3">
        <f>O3544-N3544</f>
        <v/>
      </c>
      <c r="Q3544" s="5">
        <f>IFERROR(P3544/O3544,0)</f>
        <v/>
      </c>
      <c r="R3544" s="2">
        <f>TEXT(DATEVALUE(B3544),"mmm")</f>
        <v/>
      </c>
      <c r="S3544" s="2">
        <f>TEXT(DATEVALUE(B3544),"yyyy-mm")</f>
        <v/>
      </c>
    </row>
    <row r="3545">
      <c r="A3545" s="2" t="inlineStr">
        <is>
          <t>O003599</t>
        </is>
      </c>
      <c r="B3545" s="2" t="inlineStr">
        <is>
          <t>2025-09-17</t>
        </is>
      </c>
      <c r="C3545" s="2" t="inlineStr">
        <is>
          <t>C0034</t>
        </is>
      </c>
      <c r="D3545" s="2" t="inlineStr">
        <is>
          <t>P0010</t>
        </is>
      </c>
      <c r="E3545" s="2" t="inlineStr">
        <is>
          <t>Mixer Grinder</t>
        </is>
      </c>
      <c r="F3545" s="2" t="inlineStr">
        <is>
          <t>Home &amp; Kitchen</t>
        </is>
      </c>
      <c r="G3545" s="2" t="inlineStr">
        <is>
          <t>West</t>
        </is>
      </c>
      <c r="H3545" s="2" t="inlineStr">
        <is>
          <t>Maharashtra</t>
        </is>
      </c>
      <c r="I3545" s="2" t="inlineStr">
        <is>
          <t>Mumbai</t>
        </is>
      </c>
      <c r="J3545" s="2" t="inlineStr">
        <is>
          <t>Store</t>
        </is>
      </c>
      <c r="K3545" s="2" t="n">
        <v>2</v>
      </c>
      <c r="L3545" s="3" t="n">
        <v>1661.02</v>
      </c>
      <c r="M3545" s="4" t="n">
        <v>0</v>
      </c>
      <c r="N3545" s="3" t="n">
        <v>2087.07</v>
      </c>
      <c r="O3545" s="3">
        <f>K3545*L3545*(1-M3545)</f>
        <v/>
      </c>
      <c r="P3545" s="3">
        <f>O3545-N3545</f>
        <v/>
      </c>
      <c r="Q3545" s="5">
        <f>IFERROR(P3545/O3545,0)</f>
        <v/>
      </c>
      <c r="R3545" s="2">
        <f>TEXT(DATEVALUE(B3545),"mmm")</f>
        <v/>
      </c>
      <c r="S3545" s="2">
        <f>TEXT(DATEVALUE(B3545),"yyyy-mm")</f>
        <v/>
      </c>
    </row>
    <row r="3546">
      <c r="A3546" s="2" t="inlineStr">
        <is>
          <t>O003526</t>
        </is>
      </c>
      <c r="B3546" s="2" t="inlineStr">
        <is>
          <t>2025-09-17</t>
        </is>
      </c>
      <c r="C3546" s="2" t="inlineStr">
        <is>
          <t>C0280</t>
        </is>
      </c>
      <c r="D3546" s="2" t="inlineStr">
        <is>
          <t>P0030</t>
        </is>
      </c>
      <c r="E3546" s="2" t="inlineStr">
        <is>
          <t>Dumbbells</t>
        </is>
      </c>
      <c r="F3546" s="2" t="inlineStr">
        <is>
          <t>Sports</t>
        </is>
      </c>
      <c r="G3546" s="2" t="inlineStr">
        <is>
          <t>East</t>
        </is>
      </c>
      <c r="H3546" s="2" t="inlineStr">
        <is>
          <t>Bihar</t>
        </is>
      </c>
      <c r="I3546" s="2" t="inlineStr">
        <is>
          <t>Patna</t>
        </is>
      </c>
      <c r="J3546" s="2" t="inlineStr">
        <is>
          <t>Online</t>
        </is>
      </c>
      <c r="K3546" s="2" t="n">
        <v>3</v>
      </c>
      <c r="L3546" s="3" t="n">
        <v>1489.48</v>
      </c>
      <c r="M3546" s="4" t="n">
        <v>0.15</v>
      </c>
      <c r="N3546" s="3" t="n">
        <v>3108.82</v>
      </c>
      <c r="O3546" s="3">
        <f>K3546*L3546*(1-M3546)</f>
        <v/>
      </c>
      <c r="P3546" s="3">
        <f>O3546-N3546</f>
        <v/>
      </c>
      <c r="Q3546" s="5">
        <f>IFERROR(P3546/O3546,0)</f>
        <v/>
      </c>
      <c r="R3546" s="2">
        <f>TEXT(DATEVALUE(B3546),"mmm")</f>
        <v/>
      </c>
      <c r="S3546" s="2">
        <f>TEXT(DATEVALUE(B3546),"yyyy-mm")</f>
        <v/>
      </c>
    </row>
    <row r="3547">
      <c r="A3547" s="2" t="inlineStr">
        <is>
          <t>O003407</t>
        </is>
      </c>
      <c r="B3547" s="2" t="inlineStr">
        <is>
          <t>2025-09-17</t>
        </is>
      </c>
      <c r="C3547" s="2" t="inlineStr">
        <is>
          <t>C0340</t>
        </is>
      </c>
      <c r="D3547" s="2" t="inlineStr">
        <is>
          <t>P0031</t>
        </is>
      </c>
      <c r="E3547" s="2" t="inlineStr">
        <is>
          <t>Cricket Bat</t>
        </is>
      </c>
      <c r="F3547" s="2" t="inlineStr">
        <is>
          <t>Sports</t>
        </is>
      </c>
      <c r="G3547" s="2" t="inlineStr">
        <is>
          <t>South</t>
        </is>
      </c>
      <c r="H3547" s="2" t="inlineStr">
        <is>
          <t>Tamil Nadu</t>
        </is>
      </c>
      <c r="I3547" s="2" t="inlineStr">
        <is>
          <t>Coimbatore</t>
        </is>
      </c>
      <c r="J3547" s="2" t="inlineStr">
        <is>
          <t>Store</t>
        </is>
      </c>
      <c r="K3547" s="2" t="n">
        <v>1</v>
      </c>
      <c r="L3547" s="3" t="n">
        <v>1441.4</v>
      </c>
      <c r="M3547" s="4" t="n">
        <v>0</v>
      </c>
      <c r="N3547" s="3" t="n">
        <v>973.27</v>
      </c>
      <c r="O3547" s="3">
        <f>K3547*L3547*(1-M3547)</f>
        <v/>
      </c>
      <c r="P3547" s="3">
        <f>O3547-N3547</f>
        <v/>
      </c>
      <c r="Q3547" s="5">
        <f>IFERROR(P3547/O3547,0)</f>
        <v/>
      </c>
      <c r="R3547" s="2">
        <f>TEXT(DATEVALUE(B3547),"mmm")</f>
        <v/>
      </c>
      <c r="S3547" s="2">
        <f>TEXT(DATEVALUE(B3547),"yyyy-mm")</f>
        <v/>
      </c>
    </row>
    <row r="3548">
      <c r="A3548" s="2" t="inlineStr">
        <is>
          <t>O003206</t>
        </is>
      </c>
      <c r="B3548" s="2" t="inlineStr">
        <is>
          <t>2025-09-17</t>
        </is>
      </c>
      <c r="C3548" s="2" t="inlineStr">
        <is>
          <t>C0448</t>
        </is>
      </c>
      <c r="D3548" s="2" t="inlineStr">
        <is>
          <t>P0031</t>
        </is>
      </c>
      <c r="E3548" s="2" t="inlineStr">
        <is>
          <t>Cricket Bat</t>
        </is>
      </c>
      <c r="F3548" s="2" t="inlineStr">
        <is>
          <t>Sports</t>
        </is>
      </c>
      <c r="G3548" s="2" t="inlineStr">
        <is>
          <t>East</t>
        </is>
      </c>
      <c r="H3548" s="2" t="inlineStr">
        <is>
          <t>West Bengal</t>
        </is>
      </c>
      <c r="I3548" s="2" t="inlineStr">
        <is>
          <t>Kolkata</t>
        </is>
      </c>
      <c r="J3548" s="2" t="inlineStr">
        <is>
          <t>Store</t>
        </is>
      </c>
      <c r="K3548" s="2" t="n">
        <v>3</v>
      </c>
      <c r="L3548" s="3" t="n">
        <v>1338.84</v>
      </c>
      <c r="M3548" s="4" t="n">
        <v>0.05</v>
      </c>
      <c r="N3548" s="3" t="n">
        <v>2917.32</v>
      </c>
      <c r="O3548" s="3">
        <f>K3548*L3548*(1-M3548)</f>
        <v/>
      </c>
      <c r="P3548" s="3">
        <f>O3548-N3548</f>
        <v/>
      </c>
      <c r="Q3548" s="5">
        <f>IFERROR(P3548/O3548,0)</f>
        <v/>
      </c>
      <c r="R3548" s="2">
        <f>TEXT(DATEVALUE(B3548),"mmm")</f>
        <v/>
      </c>
      <c r="S3548" s="2">
        <f>TEXT(DATEVALUE(B3548),"yyyy-mm")</f>
        <v/>
      </c>
    </row>
    <row r="3549">
      <c r="A3549" s="2" t="inlineStr">
        <is>
          <t>O003010</t>
        </is>
      </c>
      <c r="B3549" s="2" t="inlineStr">
        <is>
          <t>2025-09-17</t>
        </is>
      </c>
      <c r="C3549" s="2" t="inlineStr">
        <is>
          <t>C0630</t>
        </is>
      </c>
      <c r="D3549" s="2" t="inlineStr">
        <is>
          <t>P0013</t>
        </is>
      </c>
      <c r="E3549" s="2" t="inlineStr">
        <is>
          <t>Storage Organizer</t>
        </is>
      </c>
      <c r="F3549" s="2" t="inlineStr">
        <is>
          <t>Home &amp; Kitchen</t>
        </is>
      </c>
      <c r="G3549" s="2" t="inlineStr">
        <is>
          <t>South</t>
        </is>
      </c>
      <c r="H3549" s="2" t="inlineStr">
        <is>
          <t>Karnataka</t>
        </is>
      </c>
      <c r="I3549" s="2" t="inlineStr">
        <is>
          <t>Mangaluru</t>
        </is>
      </c>
      <c r="J3549" s="2" t="inlineStr">
        <is>
          <t>Store</t>
        </is>
      </c>
      <c r="K3549" s="2" t="n">
        <v>2</v>
      </c>
      <c r="L3549" s="3" t="n">
        <v>557.98</v>
      </c>
      <c r="M3549" s="4" t="n">
        <v>0.05</v>
      </c>
      <c r="N3549" s="3" t="n">
        <v>711.03</v>
      </c>
      <c r="O3549" s="3">
        <f>K3549*L3549*(1-M3549)</f>
        <v/>
      </c>
      <c r="P3549" s="3">
        <f>O3549-N3549</f>
        <v/>
      </c>
      <c r="Q3549" s="5">
        <f>IFERROR(P3549/O3549,0)</f>
        <v/>
      </c>
      <c r="R3549" s="2">
        <f>TEXT(DATEVALUE(B3549),"mmm")</f>
        <v/>
      </c>
      <c r="S3549" s="2">
        <f>TEXT(DATEVALUE(B3549),"yyyy-mm")</f>
        <v/>
      </c>
    </row>
    <row r="3550">
      <c r="A3550" s="2" t="inlineStr">
        <is>
          <t>O002815</t>
        </is>
      </c>
      <c r="B3550" s="2" t="inlineStr">
        <is>
          <t>2025-09-17</t>
        </is>
      </c>
      <c r="C3550" s="2" t="inlineStr">
        <is>
          <t>C0234</t>
        </is>
      </c>
      <c r="D3550" s="2" t="inlineStr">
        <is>
          <t>P0009</t>
        </is>
      </c>
      <c r="E3550" s="2" t="inlineStr">
        <is>
          <t>Electric Kettle</t>
        </is>
      </c>
      <c r="F3550" s="2" t="inlineStr">
        <is>
          <t>Home &amp; Kitchen</t>
        </is>
      </c>
      <c r="G3550" s="2" t="inlineStr">
        <is>
          <t>West</t>
        </is>
      </c>
      <c r="H3550" s="2" t="inlineStr">
        <is>
          <t>Gujarat</t>
        </is>
      </c>
      <c r="I3550" s="2" t="inlineStr">
        <is>
          <t>Ahmedabad</t>
        </is>
      </c>
      <c r="J3550" s="2" t="inlineStr">
        <is>
          <t>Online</t>
        </is>
      </c>
      <c r="K3550" s="2" t="n">
        <v>2</v>
      </c>
      <c r="L3550" s="3" t="n">
        <v>2017.02</v>
      </c>
      <c r="M3550" s="4" t="n">
        <v>0</v>
      </c>
      <c r="N3550" s="3" t="n">
        <v>2209.46</v>
      </c>
      <c r="O3550" s="3">
        <f>K3550*L3550*(1-M3550)</f>
        <v/>
      </c>
      <c r="P3550" s="3">
        <f>O3550-N3550</f>
        <v/>
      </c>
      <c r="Q3550" s="5">
        <f>IFERROR(P3550/O3550,0)</f>
        <v/>
      </c>
      <c r="R3550" s="2">
        <f>TEXT(DATEVALUE(B3550),"mmm")</f>
        <v/>
      </c>
      <c r="S3550" s="2">
        <f>TEXT(DATEVALUE(B3550),"yyyy-mm")</f>
        <v/>
      </c>
    </row>
    <row r="3551">
      <c r="A3551" s="2" t="inlineStr">
        <is>
          <t>O002776</t>
        </is>
      </c>
      <c r="B3551" s="2" t="inlineStr">
        <is>
          <t>2025-09-17</t>
        </is>
      </c>
      <c r="C3551" s="2" t="inlineStr">
        <is>
          <t>C0445</t>
        </is>
      </c>
      <c r="D3551" s="2" t="inlineStr">
        <is>
          <t>P0015</t>
        </is>
      </c>
      <c r="E3551" s="2" t="inlineStr">
        <is>
          <t>Running Shoes</t>
        </is>
      </c>
      <c r="F3551" s="2" t="inlineStr">
        <is>
          <t>Fashion</t>
        </is>
      </c>
      <c r="G3551" s="2" t="inlineStr">
        <is>
          <t>West</t>
        </is>
      </c>
      <c r="H3551" s="2" t="inlineStr">
        <is>
          <t>Maharashtra</t>
        </is>
      </c>
      <c r="I3551" s="2" t="inlineStr">
        <is>
          <t>Nashik</t>
        </is>
      </c>
      <c r="J3551" s="2" t="inlineStr">
        <is>
          <t>Online</t>
        </is>
      </c>
      <c r="K3551" s="2" t="n">
        <v>2</v>
      </c>
      <c r="L3551" s="3" t="n">
        <v>621.6</v>
      </c>
      <c r="M3551" s="4" t="n">
        <v>0.15</v>
      </c>
      <c r="N3551" s="3" t="n">
        <v>756.96</v>
      </c>
      <c r="O3551" s="3">
        <f>K3551*L3551*(1-M3551)</f>
        <v/>
      </c>
      <c r="P3551" s="3">
        <f>O3551-N3551</f>
        <v/>
      </c>
      <c r="Q3551" s="5">
        <f>IFERROR(P3551/O3551,0)</f>
        <v/>
      </c>
      <c r="R3551" s="2">
        <f>TEXT(DATEVALUE(B3551),"mmm")</f>
        <v/>
      </c>
      <c r="S3551" s="2">
        <f>TEXT(DATEVALUE(B3551),"yyyy-mm")</f>
        <v/>
      </c>
    </row>
    <row r="3552">
      <c r="A3552" s="2" t="inlineStr">
        <is>
          <t>O002722</t>
        </is>
      </c>
      <c r="B3552" s="2" t="inlineStr">
        <is>
          <t>2025-09-17</t>
        </is>
      </c>
      <c r="C3552" s="2" t="inlineStr">
        <is>
          <t>C0607</t>
        </is>
      </c>
      <c r="D3552" s="2" t="inlineStr">
        <is>
          <t>P0007</t>
        </is>
      </c>
      <c r="E3552" s="2" t="inlineStr">
        <is>
          <t>Wireless Mouse</t>
        </is>
      </c>
      <c r="F3552" s="2" t="inlineStr">
        <is>
          <t>Electronics</t>
        </is>
      </c>
      <c r="G3552" s="2" t="inlineStr">
        <is>
          <t>East</t>
        </is>
      </c>
      <c r="H3552" s="2" t="inlineStr">
        <is>
          <t>Odisha</t>
        </is>
      </c>
      <c r="I3552" s="2" t="inlineStr">
        <is>
          <t>Cuttack</t>
        </is>
      </c>
      <c r="J3552" s="2" t="inlineStr">
        <is>
          <t>Store</t>
        </is>
      </c>
      <c r="K3552" s="2" t="n">
        <v>1</v>
      </c>
      <c r="L3552" s="3" t="n">
        <v>947.05</v>
      </c>
      <c r="M3552" s="4" t="n">
        <v>0.1</v>
      </c>
      <c r="N3552" s="3" t="n">
        <v>626.78</v>
      </c>
      <c r="O3552" s="3">
        <f>K3552*L3552*(1-M3552)</f>
        <v/>
      </c>
      <c r="P3552" s="3">
        <f>O3552-N3552</f>
        <v/>
      </c>
      <c r="Q3552" s="5">
        <f>IFERROR(P3552/O3552,0)</f>
        <v/>
      </c>
      <c r="R3552" s="2">
        <f>TEXT(DATEVALUE(B3552),"mmm")</f>
        <v/>
      </c>
      <c r="S3552" s="2">
        <f>TEXT(DATEVALUE(B3552),"yyyy-mm")</f>
        <v/>
      </c>
    </row>
    <row r="3553">
      <c r="A3553" s="2" t="inlineStr">
        <is>
          <t>O002451</t>
        </is>
      </c>
      <c r="B3553" s="2" t="inlineStr">
        <is>
          <t>2025-09-17</t>
        </is>
      </c>
      <c r="C3553" s="2" t="inlineStr">
        <is>
          <t>C0625</t>
        </is>
      </c>
      <c r="D3553" s="2" t="inlineStr">
        <is>
          <t>P0003</t>
        </is>
      </c>
      <c r="E3553" s="2" t="inlineStr">
        <is>
          <t>Smartwatch</t>
        </is>
      </c>
      <c r="F3553" s="2" t="inlineStr">
        <is>
          <t>Electronics</t>
        </is>
      </c>
      <c r="G3553" s="2" t="inlineStr">
        <is>
          <t>South</t>
        </is>
      </c>
      <c r="H3553" s="2" t="inlineStr">
        <is>
          <t>Kerala</t>
        </is>
      </c>
      <c r="I3553" s="2" t="inlineStr">
        <is>
          <t>Kochi</t>
        </is>
      </c>
      <c r="J3553" s="2" t="inlineStr">
        <is>
          <t>Online</t>
        </is>
      </c>
      <c r="K3553" s="2" t="n">
        <v>3</v>
      </c>
      <c r="L3553" s="3" t="n">
        <v>2250.37</v>
      </c>
      <c r="M3553" s="4" t="n">
        <v>0.15</v>
      </c>
      <c r="N3553" s="3" t="n">
        <v>3453</v>
      </c>
      <c r="O3553" s="3">
        <f>K3553*L3553*(1-M3553)</f>
        <v/>
      </c>
      <c r="P3553" s="3">
        <f>O3553-N3553</f>
        <v/>
      </c>
      <c r="Q3553" s="5">
        <f>IFERROR(P3553/O3553,0)</f>
        <v/>
      </c>
      <c r="R3553" s="2">
        <f>TEXT(DATEVALUE(B3553),"mmm")</f>
        <v/>
      </c>
      <c r="S3553" s="2">
        <f>TEXT(DATEVALUE(B3553),"yyyy-mm")</f>
        <v/>
      </c>
    </row>
    <row r="3554">
      <c r="A3554" s="2" t="inlineStr">
        <is>
          <t>O002450</t>
        </is>
      </c>
      <c r="B3554" s="2" t="inlineStr">
        <is>
          <t>2025-09-17</t>
        </is>
      </c>
      <c r="C3554" s="2" t="inlineStr">
        <is>
          <t>C0667</t>
        </is>
      </c>
      <c r="D3554" s="2" t="inlineStr">
        <is>
          <t>P0023</t>
        </is>
      </c>
      <c r="E3554" s="2" t="inlineStr">
        <is>
          <t>Skin Care Kit</t>
        </is>
      </c>
      <c r="F3554" s="2" t="inlineStr">
        <is>
          <t>Beauty</t>
        </is>
      </c>
      <c r="G3554" s="2" t="inlineStr">
        <is>
          <t>West</t>
        </is>
      </c>
      <c r="H3554" s="2" t="inlineStr">
        <is>
          <t>Goa</t>
        </is>
      </c>
      <c r="I3554" s="2" t="inlineStr">
        <is>
          <t>Panaji</t>
        </is>
      </c>
      <c r="J3554" s="2" t="inlineStr">
        <is>
          <t>Online</t>
        </is>
      </c>
      <c r="K3554" s="2" t="n">
        <v>1</v>
      </c>
      <c r="L3554" s="3" t="n">
        <v>1465.47</v>
      </c>
      <c r="M3554" s="4" t="n">
        <v>0.1</v>
      </c>
      <c r="N3554" s="3" t="n">
        <v>879.84</v>
      </c>
      <c r="O3554" s="3">
        <f>K3554*L3554*(1-M3554)</f>
        <v/>
      </c>
      <c r="P3554" s="3">
        <f>O3554-N3554</f>
        <v/>
      </c>
      <c r="Q3554" s="5">
        <f>IFERROR(P3554/O3554,0)</f>
        <v/>
      </c>
      <c r="R3554" s="2">
        <f>TEXT(DATEVALUE(B3554),"mmm")</f>
        <v/>
      </c>
      <c r="S3554" s="2">
        <f>TEXT(DATEVALUE(B3554),"yyyy-mm")</f>
        <v/>
      </c>
    </row>
    <row r="3555">
      <c r="A3555" s="2" t="inlineStr">
        <is>
          <t>O001546</t>
        </is>
      </c>
      <c r="B3555" s="2" t="inlineStr">
        <is>
          <t>2025-09-17</t>
        </is>
      </c>
      <c r="C3555" s="2" t="inlineStr">
        <is>
          <t>C0765</t>
        </is>
      </c>
      <c r="D3555" s="2" t="inlineStr">
        <is>
          <t>P0022</t>
        </is>
      </c>
      <c r="E3555" s="2" t="inlineStr">
        <is>
          <t>Face Wash</t>
        </is>
      </c>
      <c r="F3555" s="2" t="inlineStr">
        <is>
          <t>Beauty</t>
        </is>
      </c>
      <c r="G3555" s="2" t="inlineStr">
        <is>
          <t>West</t>
        </is>
      </c>
      <c r="H3555" s="2" t="inlineStr">
        <is>
          <t>Goa</t>
        </is>
      </c>
      <c r="I3555" s="2" t="inlineStr">
        <is>
          <t>Panaji</t>
        </is>
      </c>
      <c r="J3555" s="2" t="inlineStr">
        <is>
          <t>Online</t>
        </is>
      </c>
      <c r="K3555" s="2" t="n">
        <v>5</v>
      </c>
      <c r="L3555" s="3" t="n">
        <v>571.8</v>
      </c>
      <c r="M3555" s="4" t="n">
        <v>0</v>
      </c>
      <c r="N3555" s="3" t="n">
        <v>1799.4</v>
      </c>
      <c r="O3555" s="3">
        <f>K3555*L3555*(1-M3555)</f>
        <v/>
      </c>
      <c r="P3555" s="3">
        <f>O3555-N3555</f>
        <v/>
      </c>
      <c r="Q3555" s="5">
        <f>IFERROR(P3555/O3555,0)</f>
        <v/>
      </c>
      <c r="R3555" s="2">
        <f>TEXT(DATEVALUE(B3555),"mmm")</f>
        <v/>
      </c>
      <c r="S3555" s="2">
        <f>TEXT(DATEVALUE(B3555),"yyyy-mm")</f>
        <v/>
      </c>
    </row>
    <row r="3556">
      <c r="A3556" s="2" t="inlineStr">
        <is>
          <t>O000760</t>
        </is>
      </c>
      <c r="B3556" s="2" t="inlineStr">
        <is>
          <t>2025-09-17</t>
        </is>
      </c>
      <c r="C3556" s="2" t="inlineStr">
        <is>
          <t>C0015</t>
        </is>
      </c>
      <c r="D3556" s="2" t="inlineStr">
        <is>
          <t>P0022</t>
        </is>
      </c>
      <c r="E3556" s="2" t="inlineStr">
        <is>
          <t>Face Wash</t>
        </is>
      </c>
      <c r="F3556" s="2" t="inlineStr">
        <is>
          <t>Beauty</t>
        </is>
      </c>
      <c r="G3556" s="2" t="inlineStr">
        <is>
          <t>North</t>
        </is>
      </c>
      <c r="H3556" s="2" t="inlineStr">
        <is>
          <t>Uttar Pradesh</t>
        </is>
      </c>
      <c r="I3556" s="2" t="inlineStr">
        <is>
          <t>Noida</t>
        </is>
      </c>
      <c r="J3556" s="2" t="inlineStr">
        <is>
          <t>Online</t>
        </is>
      </c>
      <c r="K3556" s="2" t="n">
        <v>1</v>
      </c>
      <c r="L3556" s="3" t="n">
        <v>575.01</v>
      </c>
      <c r="M3556" s="4" t="n">
        <v>0.1</v>
      </c>
      <c r="N3556" s="3" t="n">
        <v>357.47</v>
      </c>
      <c r="O3556" s="3">
        <f>K3556*L3556*(1-M3556)</f>
        <v/>
      </c>
      <c r="P3556" s="3">
        <f>O3556-N3556</f>
        <v/>
      </c>
      <c r="Q3556" s="5">
        <f>IFERROR(P3556/O3556,0)</f>
        <v/>
      </c>
      <c r="R3556" s="2">
        <f>TEXT(DATEVALUE(B3556),"mmm")</f>
        <v/>
      </c>
      <c r="S3556" s="2">
        <f>TEXT(DATEVALUE(B3556),"yyyy-mm")</f>
        <v/>
      </c>
    </row>
    <row r="3557">
      <c r="A3557" s="2" t="inlineStr">
        <is>
          <t>O000067</t>
        </is>
      </c>
      <c r="B3557" s="2" t="inlineStr">
        <is>
          <t>2025-09-17</t>
        </is>
      </c>
      <c r="C3557" s="2" t="inlineStr">
        <is>
          <t>C0393</t>
        </is>
      </c>
      <c r="D3557" s="2" t="inlineStr">
        <is>
          <t>P0022</t>
        </is>
      </c>
      <c r="E3557" s="2" t="inlineStr">
        <is>
          <t>Face Wash</t>
        </is>
      </c>
      <c r="F3557" s="2" t="inlineStr">
        <is>
          <t>Beauty</t>
        </is>
      </c>
      <c r="G3557" s="2" t="inlineStr">
        <is>
          <t>South</t>
        </is>
      </c>
      <c r="H3557" s="2" t="inlineStr">
        <is>
          <t>Telangana</t>
        </is>
      </c>
      <c r="I3557" s="2" t="inlineStr">
        <is>
          <t>Hyderabad</t>
        </is>
      </c>
      <c r="J3557" s="2" t="inlineStr">
        <is>
          <t>Online</t>
        </is>
      </c>
      <c r="K3557" s="2" t="n">
        <v>4</v>
      </c>
      <c r="L3557" s="3" t="n">
        <v>551.64</v>
      </c>
      <c r="M3557" s="4" t="n">
        <v>0</v>
      </c>
      <c r="N3557" s="3" t="n">
        <v>1443.72</v>
      </c>
      <c r="O3557" s="3">
        <f>K3557*L3557*(1-M3557)</f>
        <v/>
      </c>
      <c r="P3557" s="3">
        <f>O3557-N3557</f>
        <v/>
      </c>
      <c r="Q3557" s="5">
        <f>IFERROR(P3557/O3557,0)</f>
        <v/>
      </c>
      <c r="R3557" s="2">
        <f>TEXT(DATEVALUE(B3557),"mmm")</f>
        <v/>
      </c>
      <c r="S3557" s="2">
        <f>TEXT(DATEVALUE(B3557),"yyyy-mm")</f>
        <v/>
      </c>
    </row>
    <row r="3558">
      <c r="A3558" s="2" t="inlineStr">
        <is>
          <t>O002995</t>
        </is>
      </c>
      <c r="B3558" s="2" t="inlineStr">
        <is>
          <t>2025-09-17</t>
        </is>
      </c>
      <c r="C3558" s="2" t="inlineStr">
        <is>
          <t>C0474</t>
        </is>
      </c>
      <c r="D3558" s="2" t="inlineStr">
        <is>
          <t>P0023</t>
        </is>
      </c>
      <c r="E3558" s="2" t="inlineStr">
        <is>
          <t>Skin Care Kit</t>
        </is>
      </c>
      <c r="F3558" s="2" t="inlineStr">
        <is>
          <t>Beauty</t>
        </is>
      </c>
      <c r="G3558" s="2" t="inlineStr">
        <is>
          <t>East</t>
        </is>
      </c>
      <c r="H3558" s="2" t="inlineStr">
        <is>
          <t>West Bengal</t>
        </is>
      </c>
      <c r="I3558" s="2" t="inlineStr">
        <is>
          <t>Durgapur</t>
        </is>
      </c>
      <c r="J3558" s="2" t="inlineStr">
        <is>
          <t>Online</t>
        </is>
      </c>
      <c r="K3558" s="2" t="n">
        <v>2</v>
      </c>
      <c r="L3558" s="3" t="n">
        <v>1425.84</v>
      </c>
      <c r="M3558" s="4" t="n">
        <v>0.2</v>
      </c>
      <c r="N3558" s="3" t="n">
        <v>1768.6</v>
      </c>
      <c r="O3558" s="3">
        <f>K3558*L3558*(1-M3558)</f>
        <v/>
      </c>
      <c r="P3558" s="3">
        <f>O3558-N3558</f>
        <v/>
      </c>
      <c r="Q3558" s="5">
        <f>IFERROR(P3558/O3558,0)</f>
        <v/>
      </c>
      <c r="R3558" s="2">
        <f>TEXT(DATEVALUE(B3558),"mmm")</f>
        <v/>
      </c>
      <c r="S3558" s="2">
        <f>TEXT(DATEVALUE(B3558),"yyyy-mm")</f>
        <v/>
      </c>
    </row>
    <row r="3559">
      <c r="A3559" s="2" t="inlineStr">
        <is>
          <t>O004544</t>
        </is>
      </c>
      <c r="B3559" s="2" t="inlineStr">
        <is>
          <t>2025-09-18</t>
        </is>
      </c>
      <c r="C3559" s="2" t="inlineStr">
        <is>
          <t>C0773</t>
        </is>
      </c>
      <c r="D3559" s="2" t="inlineStr">
        <is>
          <t>P0011</t>
        </is>
      </c>
      <c r="E3559" s="2" t="inlineStr">
        <is>
          <t>Cookware Set</t>
        </is>
      </c>
      <c r="F3559" s="2" t="inlineStr">
        <is>
          <t>Home &amp; Kitchen</t>
        </is>
      </c>
      <c r="G3559" s="2" t="inlineStr">
        <is>
          <t>East</t>
        </is>
      </c>
      <c r="H3559" s="2" t="inlineStr">
        <is>
          <t>Bihar</t>
        </is>
      </c>
      <c r="I3559" s="2" t="inlineStr">
        <is>
          <t>Gaya</t>
        </is>
      </c>
      <c r="J3559" s="2" t="inlineStr">
        <is>
          <t>Online</t>
        </is>
      </c>
      <c r="K3559" s="2" t="n">
        <v>4</v>
      </c>
      <c r="L3559" s="3" t="n">
        <v>705.1799999999999</v>
      </c>
      <c r="M3559" s="4" t="n">
        <v>0</v>
      </c>
      <c r="N3559" s="3" t="n">
        <v>1841.85</v>
      </c>
      <c r="O3559" s="3">
        <f>K3559*L3559*(1-M3559)</f>
        <v/>
      </c>
      <c r="P3559" s="3">
        <f>O3559-N3559</f>
        <v/>
      </c>
      <c r="Q3559" s="5">
        <f>IFERROR(P3559/O3559,0)</f>
        <v/>
      </c>
      <c r="R3559" s="2">
        <f>TEXT(DATEVALUE(B3559),"mmm")</f>
        <v/>
      </c>
      <c r="S3559" s="2">
        <f>TEXT(DATEVALUE(B3559),"yyyy-mm")</f>
        <v/>
      </c>
    </row>
    <row r="3560">
      <c r="A3560" s="2" t="inlineStr">
        <is>
          <t>O002677</t>
        </is>
      </c>
      <c r="B3560" s="2" t="inlineStr">
        <is>
          <t>2025-09-18</t>
        </is>
      </c>
      <c r="C3560" s="2" t="inlineStr">
        <is>
          <t>C0250</t>
        </is>
      </c>
      <c r="D3560" s="2" t="inlineStr">
        <is>
          <t>P0017</t>
        </is>
      </c>
      <c r="E3560" s="2" t="inlineStr">
        <is>
          <t>Jeans</t>
        </is>
      </c>
      <c r="F3560" s="2" t="inlineStr">
        <is>
          <t>Fashion</t>
        </is>
      </c>
      <c r="G3560" s="2" t="inlineStr">
        <is>
          <t>West</t>
        </is>
      </c>
      <c r="H3560" s="2" t="inlineStr">
        <is>
          <t>Maharashtra</t>
        </is>
      </c>
      <c r="I3560" s="2" t="inlineStr">
        <is>
          <t>Pune</t>
        </is>
      </c>
      <c r="J3560" s="2" t="inlineStr">
        <is>
          <t>Store</t>
        </is>
      </c>
      <c r="K3560" s="2" t="n">
        <v>2</v>
      </c>
      <c r="L3560" s="3" t="n">
        <v>1484.33</v>
      </c>
      <c r="M3560" s="4" t="n">
        <v>0.1</v>
      </c>
      <c r="N3560" s="3" t="n">
        <v>1991.82</v>
      </c>
      <c r="O3560" s="3">
        <f>K3560*L3560*(1-M3560)</f>
        <v/>
      </c>
      <c r="P3560" s="3">
        <f>O3560-N3560</f>
        <v/>
      </c>
      <c r="Q3560" s="5">
        <f>IFERROR(P3560/O3560,0)</f>
        <v/>
      </c>
      <c r="R3560" s="2">
        <f>TEXT(DATEVALUE(B3560),"mmm")</f>
        <v/>
      </c>
      <c r="S3560" s="2">
        <f>TEXT(DATEVALUE(B3560),"yyyy-mm")</f>
        <v/>
      </c>
    </row>
    <row r="3561">
      <c r="A3561" s="2" t="inlineStr">
        <is>
          <t>O002563</t>
        </is>
      </c>
      <c r="B3561" s="2" t="inlineStr">
        <is>
          <t>2025-09-18</t>
        </is>
      </c>
      <c r="C3561" s="2" t="inlineStr">
        <is>
          <t>C0277</t>
        </is>
      </c>
      <c r="D3561" s="2" t="inlineStr">
        <is>
          <t>P0013</t>
        </is>
      </c>
      <c r="E3561" s="2" t="inlineStr">
        <is>
          <t>Storage Organizer</t>
        </is>
      </c>
      <c r="F3561" s="2" t="inlineStr">
        <is>
          <t>Home &amp; Kitchen</t>
        </is>
      </c>
      <c r="G3561" s="2" t="inlineStr">
        <is>
          <t>West</t>
        </is>
      </c>
      <c r="H3561" s="2" t="inlineStr">
        <is>
          <t>Goa</t>
        </is>
      </c>
      <c r="I3561" s="2" t="inlineStr">
        <is>
          <t>Margao</t>
        </is>
      </c>
      <c r="J3561" s="2" t="inlineStr">
        <is>
          <t>Online</t>
        </is>
      </c>
      <c r="K3561" s="2" t="n">
        <v>5</v>
      </c>
      <c r="L3561" s="3" t="n">
        <v>596.05</v>
      </c>
      <c r="M3561" s="4" t="n">
        <v>0</v>
      </c>
      <c r="N3561" s="3" t="n">
        <v>1849.56</v>
      </c>
      <c r="O3561" s="3">
        <f>K3561*L3561*(1-M3561)</f>
        <v/>
      </c>
      <c r="P3561" s="3">
        <f>O3561-N3561</f>
        <v/>
      </c>
      <c r="Q3561" s="5">
        <f>IFERROR(P3561/O3561,0)</f>
        <v/>
      </c>
      <c r="R3561" s="2">
        <f>TEXT(DATEVALUE(B3561),"mmm")</f>
        <v/>
      </c>
      <c r="S3561" s="2">
        <f>TEXT(DATEVALUE(B3561),"yyyy-mm")</f>
        <v/>
      </c>
    </row>
    <row r="3562">
      <c r="A3562" s="2" t="inlineStr">
        <is>
          <t>O002562</t>
        </is>
      </c>
      <c r="B3562" s="2" t="inlineStr">
        <is>
          <t>2025-09-18</t>
        </is>
      </c>
      <c r="C3562" s="2" t="inlineStr">
        <is>
          <t>C0451</t>
        </is>
      </c>
      <c r="D3562" s="2" t="inlineStr">
        <is>
          <t>P0011</t>
        </is>
      </c>
      <c r="E3562" s="2" t="inlineStr">
        <is>
          <t>Cookware Set</t>
        </is>
      </c>
      <c r="F3562" s="2" t="inlineStr">
        <is>
          <t>Home &amp; Kitchen</t>
        </is>
      </c>
      <c r="G3562" s="2" t="inlineStr">
        <is>
          <t>West</t>
        </is>
      </c>
      <c r="H3562" s="2" t="inlineStr">
        <is>
          <t>Maharashtra</t>
        </is>
      </c>
      <c r="I3562" s="2" t="inlineStr">
        <is>
          <t>Thane</t>
        </is>
      </c>
      <c r="J3562" s="2" t="inlineStr">
        <is>
          <t>Online</t>
        </is>
      </c>
      <c r="K3562" s="2" t="n">
        <v>1</v>
      </c>
      <c r="L3562" s="3" t="n">
        <v>679.9</v>
      </c>
      <c r="M3562" s="4" t="n">
        <v>0.2</v>
      </c>
      <c r="N3562" s="3" t="n">
        <v>459.64</v>
      </c>
      <c r="O3562" s="3">
        <f>K3562*L3562*(1-M3562)</f>
        <v/>
      </c>
      <c r="P3562" s="3">
        <f>O3562-N3562</f>
        <v/>
      </c>
      <c r="Q3562" s="5">
        <f>IFERROR(P3562/O3562,0)</f>
        <v/>
      </c>
      <c r="R3562" s="2">
        <f>TEXT(DATEVALUE(B3562),"mmm")</f>
        <v/>
      </c>
      <c r="S3562" s="2">
        <f>TEXT(DATEVALUE(B3562),"yyyy-mm")</f>
        <v/>
      </c>
    </row>
    <row r="3563">
      <c r="A3563" s="2" t="inlineStr">
        <is>
          <t>O001968</t>
        </is>
      </c>
      <c r="B3563" s="2" t="inlineStr">
        <is>
          <t>2025-09-18</t>
        </is>
      </c>
      <c r="C3563" s="2" t="inlineStr">
        <is>
          <t>C0312</t>
        </is>
      </c>
      <c r="D3563" s="2" t="inlineStr">
        <is>
          <t>P0008</t>
        </is>
      </c>
      <c r="E3563" s="2" t="inlineStr">
        <is>
          <t>Air Fryer</t>
        </is>
      </c>
      <c r="F3563" s="2" t="inlineStr">
        <is>
          <t>Home &amp; Kitchen</t>
        </is>
      </c>
      <c r="G3563" s="2" t="inlineStr">
        <is>
          <t>North</t>
        </is>
      </c>
      <c r="H3563" s="2" t="inlineStr">
        <is>
          <t>Haryana</t>
        </is>
      </c>
      <c r="I3563" s="2" t="inlineStr">
        <is>
          <t>Gurugram</t>
        </is>
      </c>
      <c r="J3563" s="2" t="inlineStr">
        <is>
          <t>Store</t>
        </is>
      </c>
      <c r="K3563" s="2" t="n">
        <v>1</v>
      </c>
      <c r="L3563" s="3" t="n">
        <v>1004.15</v>
      </c>
      <c r="M3563" s="4" t="n">
        <v>0.15</v>
      </c>
      <c r="N3563" s="3" t="n">
        <v>667.95</v>
      </c>
      <c r="O3563" s="3">
        <f>K3563*L3563*(1-M3563)</f>
        <v/>
      </c>
      <c r="P3563" s="3">
        <f>O3563-N3563</f>
        <v/>
      </c>
      <c r="Q3563" s="5">
        <f>IFERROR(P3563/O3563,0)</f>
        <v/>
      </c>
      <c r="R3563" s="2">
        <f>TEXT(DATEVALUE(B3563),"mmm")</f>
        <v/>
      </c>
      <c r="S3563" s="2">
        <f>TEXT(DATEVALUE(B3563),"yyyy-mm")</f>
        <v/>
      </c>
    </row>
    <row r="3564">
      <c r="A3564" s="2" t="inlineStr">
        <is>
          <t>O002811</t>
        </is>
      </c>
      <c r="B3564" s="2" t="inlineStr">
        <is>
          <t>2025-09-18</t>
        </is>
      </c>
      <c r="C3564" s="2" t="inlineStr">
        <is>
          <t>C0748</t>
        </is>
      </c>
      <c r="D3564" s="2" t="inlineStr">
        <is>
          <t>P0020</t>
        </is>
      </c>
      <c r="E3564" s="2" t="inlineStr">
        <is>
          <t>Sneakers</t>
        </is>
      </c>
      <c r="F3564" s="2" t="inlineStr">
        <is>
          <t>Fashion</t>
        </is>
      </c>
      <c r="G3564" s="2" t="inlineStr">
        <is>
          <t>North</t>
        </is>
      </c>
      <c r="H3564" s="2" t="inlineStr">
        <is>
          <t>Punjab</t>
        </is>
      </c>
      <c r="I3564" s="2" t="inlineStr">
        <is>
          <t>Ludhiana</t>
        </is>
      </c>
      <c r="J3564" s="2" t="inlineStr">
        <is>
          <t>Store</t>
        </is>
      </c>
      <c r="K3564" s="2" t="n">
        <v>2</v>
      </c>
      <c r="L3564" s="3" t="n">
        <v>1996.7</v>
      </c>
      <c r="M3564" s="4" t="n">
        <v>0.1</v>
      </c>
      <c r="N3564" s="3" t="n">
        <v>2993.43</v>
      </c>
      <c r="O3564" s="3">
        <f>K3564*L3564*(1-M3564)</f>
        <v/>
      </c>
      <c r="P3564" s="3">
        <f>O3564-N3564</f>
        <v/>
      </c>
      <c r="Q3564" s="5">
        <f>IFERROR(P3564/O3564,0)</f>
        <v/>
      </c>
      <c r="R3564" s="2">
        <f>TEXT(DATEVALUE(B3564),"mmm")</f>
        <v/>
      </c>
      <c r="S3564" s="2">
        <f>TEXT(DATEVALUE(B3564),"yyyy-mm")</f>
        <v/>
      </c>
    </row>
    <row r="3565">
      <c r="A3565" s="2" t="inlineStr">
        <is>
          <t>O001563</t>
        </is>
      </c>
      <c r="B3565" s="2" t="inlineStr">
        <is>
          <t>2025-09-18</t>
        </is>
      </c>
      <c r="C3565" s="2" t="inlineStr">
        <is>
          <t>C0271</t>
        </is>
      </c>
      <c r="D3565" s="2" t="inlineStr">
        <is>
          <t>P0028</t>
        </is>
      </c>
      <c r="E3565" s="2" t="inlineStr">
        <is>
          <t>Trimmer</t>
        </is>
      </c>
      <c r="F3565" s="2" t="inlineStr">
        <is>
          <t>Beauty</t>
        </is>
      </c>
      <c r="G3565" s="2" t="inlineStr">
        <is>
          <t>West</t>
        </is>
      </c>
      <c r="H3565" s="2" t="inlineStr">
        <is>
          <t>Gujarat</t>
        </is>
      </c>
      <c r="I3565" s="2" t="inlineStr">
        <is>
          <t>Surat</t>
        </is>
      </c>
      <c r="J3565" s="2" t="inlineStr">
        <is>
          <t>Online</t>
        </is>
      </c>
      <c r="K3565" s="2" t="n">
        <v>1</v>
      </c>
      <c r="L3565" s="3" t="n">
        <v>467.87</v>
      </c>
      <c r="M3565" s="4" t="n">
        <v>0</v>
      </c>
      <c r="N3565" s="3" t="n">
        <v>259.02</v>
      </c>
      <c r="O3565" s="3">
        <f>K3565*L3565*(1-M3565)</f>
        <v/>
      </c>
      <c r="P3565" s="3">
        <f>O3565-N3565</f>
        <v/>
      </c>
      <c r="Q3565" s="5">
        <f>IFERROR(P3565/O3565,0)</f>
        <v/>
      </c>
      <c r="R3565" s="2">
        <f>TEXT(DATEVALUE(B3565),"mmm")</f>
        <v/>
      </c>
      <c r="S3565" s="2">
        <f>TEXT(DATEVALUE(B3565),"yyyy-mm")</f>
        <v/>
      </c>
    </row>
    <row r="3566">
      <c r="A3566" s="2" t="inlineStr">
        <is>
          <t>O001298</t>
        </is>
      </c>
      <c r="B3566" s="2" t="inlineStr">
        <is>
          <t>2025-09-18</t>
        </is>
      </c>
      <c r="C3566" s="2" t="inlineStr">
        <is>
          <t>C0686</t>
        </is>
      </c>
      <c r="D3566" s="2" t="inlineStr">
        <is>
          <t>P0011</t>
        </is>
      </c>
      <c r="E3566" s="2" t="inlineStr">
        <is>
          <t>Cookware Set</t>
        </is>
      </c>
      <c r="F3566" s="2" t="inlineStr">
        <is>
          <t>Home &amp; Kitchen</t>
        </is>
      </c>
      <c r="G3566" s="2" t="inlineStr">
        <is>
          <t>South</t>
        </is>
      </c>
      <c r="H3566" s="2" t="inlineStr">
        <is>
          <t>Karnataka</t>
        </is>
      </c>
      <c r="I3566" s="2" t="inlineStr">
        <is>
          <t>Mysuru</t>
        </is>
      </c>
      <c r="J3566" s="2" t="inlineStr">
        <is>
          <t>Store</t>
        </is>
      </c>
      <c r="K3566" s="2" t="n">
        <v>4</v>
      </c>
      <c r="L3566" s="3" t="n">
        <v>674.52</v>
      </c>
      <c r="M3566" s="4" t="n">
        <v>0.2</v>
      </c>
      <c r="N3566" s="3" t="n">
        <v>1860.51</v>
      </c>
      <c r="O3566" s="3">
        <f>K3566*L3566*(1-M3566)</f>
        <v/>
      </c>
      <c r="P3566" s="3">
        <f>O3566-N3566</f>
        <v/>
      </c>
      <c r="Q3566" s="5">
        <f>IFERROR(P3566/O3566,0)</f>
        <v/>
      </c>
      <c r="R3566" s="2">
        <f>TEXT(DATEVALUE(B3566),"mmm")</f>
        <v/>
      </c>
      <c r="S3566" s="2">
        <f>TEXT(DATEVALUE(B3566),"yyyy-mm")</f>
        <v/>
      </c>
    </row>
    <row r="3567">
      <c r="A3567" s="2" t="inlineStr">
        <is>
          <t>O001107</t>
        </is>
      </c>
      <c r="B3567" s="2" t="inlineStr">
        <is>
          <t>2025-09-18</t>
        </is>
      </c>
      <c r="C3567" s="2" t="inlineStr">
        <is>
          <t>C0225</t>
        </is>
      </c>
      <c r="D3567" s="2" t="inlineStr">
        <is>
          <t>P0022</t>
        </is>
      </c>
      <c r="E3567" s="2" t="inlineStr">
        <is>
          <t>Face Wash</t>
        </is>
      </c>
      <c r="F3567" s="2" t="inlineStr">
        <is>
          <t>Beauty</t>
        </is>
      </c>
      <c r="G3567" s="2" t="inlineStr">
        <is>
          <t>North</t>
        </is>
      </c>
      <c r="H3567" s="2" t="inlineStr">
        <is>
          <t>Delhi</t>
        </is>
      </c>
      <c r="I3567" s="2" t="inlineStr">
        <is>
          <t>New Delhi</t>
        </is>
      </c>
      <c r="J3567" s="2" t="inlineStr">
        <is>
          <t>Online</t>
        </is>
      </c>
      <c r="K3567" s="2" t="n">
        <v>2</v>
      </c>
      <c r="L3567" s="3" t="n">
        <v>571.52</v>
      </c>
      <c r="M3567" s="4" t="n">
        <v>0</v>
      </c>
      <c r="N3567" s="3" t="n">
        <v>699.1900000000001</v>
      </c>
      <c r="O3567" s="3">
        <f>K3567*L3567*(1-M3567)</f>
        <v/>
      </c>
      <c r="P3567" s="3">
        <f>O3567-N3567</f>
        <v/>
      </c>
      <c r="Q3567" s="5">
        <f>IFERROR(P3567/O3567,0)</f>
        <v/>
      </c>
      <c r="R3567" s="2">
        <f>TEXT(DATEVALUE(B3567),"mmm")</f>
        <v/>
      </c>
      <c r="S3567" s="2">
        <f>TEXT(DATEVALUE(B3567),"yyyy-mm")</f>
        <v/>
      </c>
    </row>
    <row r="3568">
      <c r="A3568" s="2" t="inlineStr">
        <is>
          <t>O001005</t>
        </is>
      </c>
      <c r="B3568" s="2" t="inlineStr">
        <is>
          <t>2025-09-18</t>
        </is>
      </c>
      <c r="C3568" s="2" t="inlineStr">
        <is>
          <t>C0616</t>
        </is>
      </c>
      <c r="D3568" s="2" t="inlineStr">
        <is>
          <t>P0003</t>
        </is>
      </c>
      <c r="E3568" s="2" t="inlineStr">
        <is>
          <t>Smartwatch</t>
        </is>
      </c>
      <c r="F3568" s="2" t="inlineStr">
        <is>
          <t>Electronics</t>
        </is>
      </c>
      <c r="G3568" s="2" t="inlineStr">
        <is>
          <t>West</t>
        </is>
      </c>
      <c r="H3568" s="2" t="inlineStr">
        <is>
          <t>Gujarat</t>
        </is>
      </c>
      <c r="I3568" s="2" t="inlineStr">
        <is>
          <t>Surat</t>
        </is>
      </c>
      <c r="J3568" s="2" t="inlineStr">
        <is>
          <t>Online</t>
        </is>
      </c>
      <c r="K3568" s="2" t="n">
        <v>1</v>
      </c>
      <c r="L3568" s="3" t="n">
        <v>2340.61</v>
      </c>
      <c r="M3568" s="4" t="n">
        <v>0.05</v>
      </c>
      <c r="N3568" s="3" t="n">
        <v>1172.48</v>
      </c>
      <c r="O3568" s="3">
        <f>K3568*L3568*(1-M3568)</f>
        <v/>
      </c>
      <c r="P3568" s="3">
        <f>O3568-N3568</f>
        <v/>
      </c>
      <c r="Q3568" s="5">
        <f>IFERROR(P3568/O3568,0)</f>
        <v/>
      </c>
      <c r="R3568" s="2">
        <f>TEXT(DATEVALUE(B3568),"mmm")</f>
        <v/>
      </c>
      <c r="S3568" s="2">
        <f>TEXT(DATEVALUE(B3568),"yyyy-mm")</f>
        <v/>
      </c>
    </row>
    <row r="3569">
      <c r="A3569" s="2" t="inlineStr">
        <is>
          <t>O000107</t>
        </is>
      </c>
      <c r="B3569" s="2" t="inlineStr">
        <is>
          <t>2025-09-18</t>
        </is>
      </c>
      <c r="C3569" s="2" t="inlineStr">
        <is>
          <t>C0595</t>
        </is>
      </c>
      <c r="D3569" s="2" t="inlineStr">
        <is>
          <t>P0011</t>
        </is>
      </c>
      <c r="E3569" s="2" t="inlineStr">
        <is>
          <t>Cookware Set</t>
        </is>
      </c>
      <c r="F3569" s="2" t="inlineStr">
        <is>
          <t>Home &amp; Kitchen</t>
        </is>
      </c>
      <c r="G3569" s="2" t="inlineStr">
        <is>
          <t>West</t>
        </is>
      </c>
      <c r="H3569" s="2" t="inlineStr">
        <is>
          <t>Gujarat</t>
        </is>
      </c>
      <c r="I3569" s="2" t="inlineStr">
        <is>
          <t>Surat</t>
        </is>
      </c>
      <c r="J3569" s="2" t="inlineStr">
        <is>
          <t>Store</t>
        </is>
      </c>
      <c r="K3569" s="2" t="n">
        <v>2</v>
      </c>
      <c r="L3569" s="3" t="n">
        <v>679.55</v>
      </c>
      <c r="M3569" s="4" t="n">
        <v>0.05</v>
      </c>
      <c r="N3569" s="3" t="n">
        <v>962.62</v>
      </c>
      <c r="O3569" s="3">
        <f>K3569*L3569*(1-M3569)</f>
        <v/>
      </c>
      <c r="P3569" s="3">
        <f>O3569-N3569</f>
        <v/>
      </c>
      <c r="Q3569" s="5">
        <f>IFERROR(P3569/O3569,0)</f>
        <v/>
      </c>
      <c r="R3569" s="2">
        <f>TEXT(DATEVALUE(B3569),"mmm")</f>
        <v/>
      </c>
      <c r="S3569" s="2">
        <f>TEXT(DATEVALUE(B3569),"yyyy-mm")</f>
        <v/>
      </c>
    </row>
    <row r="3570">
      <c r="A3570" s="2" t="inlineStr">
        <is>
          <t>O001601</t>
        </is>
      </c>
      <c r="B3570" s="2" t="inlineStr">
        <is>
          <t>2025-09-18</t>
        </is>
      </c>
      <c r="C3570" s="2" t="inlineStr">
        <is>
          <t>C0258</t>
        </is>
      </c>
      <c r="D3570" s="2" t="inlineStr">
        <is>
          <t>P0025</t>
        </is>
      </c>
      <c r="E3570" s="2" t="inlineStr">
        <is>
          <t>Perfume</t>
        </is>
      </c>
      <c r="F3570" s="2" t="inlineStr">
        <is>
          <t>Beauty</t>
        </is>
      </c>
      <c r="G3570" s="2" t="inlineStr">
        <is>
          <t>West</t>
        </is>
      </c>
      <c r="H3570" s="2" t="inlineStr">
        <is>
          <t>Goa</t>
        </is>
      </c>
      <c r="I3570" s="2" t="inlineStr">
        <is>
          <t>Margao</t>
        </is>
      </c>
      <c r="J3570" s="2" t="inlineStr">
        <is>
          <t>Online</t>
        </is>
      </c>
      <c r="K3570" s="2" t="n">
        <v>1</v>
      </c>
      <c r="L3570" s="3" t="n">
        <v>811.3099999999999</v>
      </c>
      <c r="M3570" s="4" t="n">
        <v>0.2</v>
      </c>
      <c r="N3570" s="3" t="n">
        <v>622.04</v>
      </c>
      <c r="O3570" s="3">
        <f>K3570*L3570*(1-M3570)</f>
        <v/>
      </c>
      <c r="P3570" s="3">
        <f>O3570-N3570</f>
        <v/>
      </c>
      <c r="Q3570" s="5">
        <f>IFERROR(P3570/O3570,0)</f>
        <v/>
      </c>
      <c r="R3570" s="2">
        <f>TEXT(DATEVALUE(B3570),"mmm")</f>
        <v/>
      </c>
      <c r="S3570" s="2">
        <f>TEXT(DATEVALUE(B3570),"yyyy-mm")</f>
        <v/>
      </c>
    </row>
    <row r="3571">
      <c r="A3571" s="2" t="inlineStr">
        <is>
          <t>O004384</t>
        </is>
      </c>
      <c r="B3571" s="2" t="inlineStr">
        <is>
          <t>2025-09-19</t>
        </is>
      </c>
      <c r="C3571" s="2" t="inlineStr">
        <is>
          <t>C0389</t>
        </is>
      </c>
      <c r="D3571" s="2" t="inlineStr">
        <is>
          <t>P0026</t>
        </is>
      </c>
      <c r="E3571" s="2" t="inlineStr">
        <is>
          <t>Shampoo</t>
        </is>
      </c>
      <c r="F3571" s="2" t="inlineStr">
        <is>
          <t>Beauty</t>
        </is>
      </c>
      <c r="G3571" s="2" t="inlineStr">
        <is>
          <t>West</t>
        </is>
      </c>
      <c r="H3571" s="2" t="inlineStr">
        <is>
          <t>Maharashtra</t>
        </is>
      </c>
      <c r="I3571" s="2" t="inlineStr">
        <is>
          <t>Nashik</t>
        </is>
      </c>
      <c r="J3571" s="2" t="inlineStr">
        <is>
          <t>Online</t>
        </is>
      </c>
      <c r="K3571" s="2" t="n">
        <v>3</v>
      </c>
      <c r="L3571" s="3" t="n">
        <v>891.45</v>
      </c>
      <c r="M3571" s="4" t="n">
        <v>0</v>
      </c>
      <c r="N3571" s="3" t="n">
        <v>1594.29</v>
      </c>
      <c r="O3571" s="3">
        <f>K3571*L3571*(1-M3571)</f>
        <v/>
      </c>
      <c r="P3571" s="3">
        <f>O3571-N3571</f>
        <v/>
      </c>
      <c r="Q3571" s="5">
        <f>IFERROR(P3571/O3571,0)</f>
        <v/>
      </c>
      <c r="R3571" s="2">
        <f>TEXT(DATEVALUE(B3571),"mmm")</f>
        <v/>
      </c>
      <c r="S3571" s="2">
        <f>TEXT(DATEVALUE(B3571),"yyyy-mm")</f>
        <v/>
      </c>
    </row>
    <row r="3572">
      <c r="A3572" s="2" t="inlineStr">
        <is>
          <t>O004202</t>
        </is>
      </c>
      <c r="B3572" s="2" t="inlineStr">
        <is>
          <t>2025-09-19</t>
        </is>
      </c>
      <c r="C3572" s="2" t="inlineStr">
        <is>
          <t>C0355</t>
        </is>
      </c>
      <c r="D3572" s="2" t="inlineStr">
        <is>
          <t>P0016</t>
        </is>
      </c>
      <c r="E3572" s="2" t="inlineStr">
        <is>
          <t>Casual Shirt</t>
        </is>
      </c>
      <c r="F3572" s="2" t="inlineStr">
        <is>
          <t>Fashion</t>
        </is>
      </c>
      <c r="G3572" s="2" t="inlineStr">
        <is>
          <t>East</t>
        </is>
      </c>
      <c r="H3572" s="2" t="inlineStr">
        <is>
          <t>Odisha</t>
        </is>
      </c>
      <c r="I3572" s="2" t="inlineStr">
        <is>
          <t>Bhubaneswar</t>
        </is>
      </c>
      <c r="J3572" s="2" t="inlineStr">
        <is>
          <t>Online</t>
        </is>
      </c>
      <c r="K3572" s="2" t="n">
        <v>3</v>
      </c>
      <c r="L3572" s="3" t="n">
        <v>1329</v>
      </c>
      <c r="M3572" s="4" t="n">
        <v>0.1</v>
      </c>
      <c r="N3572" s="3" t="n">
        <v>2695</v>
      </c>
      <c r="O3572" s="3">
        <f>K3572*L3572*(1-M3572)</f>
        <v/>
      </c>
      <c r="P3572" s="3">
        <f>O3572-N3572</f>
        <v/>
      </c>
      <c r="Q3572" s="5">
        <f>IFERROR(P3572/O3572,0)</f>
        <v/>
      </c>
      <c r="R3572" s="2">
        <f>TEXT(DATEVALUE(B3572),"mmm")</f>
        <v/>
      </c>
      <c r="S3572" s="2">
        <f>TEXT(DATEVALUE(B3572),"yyyy-mm")</f>
        <v/>
      </c>
    </row>
    <row r="3573">
      <c r="A3573" s="2" t="inlineStr">
        <is>
          <t>O003414</t>
        </is>
      </c>
      <c r="B3573" s="2" t="inlineStr">
        <is>
          <t>2025-09-19</t>
        </is>
      </c>
      <c r="C3573" s="2" t="inlineStr">
        <is>
          <t>C0310</t>
        </is>
      </c>
      <c r="D3573" s="2" t="inlineStr">
        <is>
          <t>P0031</t>
        </is>
      </c>
      <c r="E3573" s="2" t="inlineStr">
        <is>
          <t>Cricket Bat</t>
        </is>
      </c>
      <c r="F3573" s="2" t="inlineStr">
        <is>
          <t>Sports</t>
        </is>
      </c>
      <c r="G3573" s="2" t="inlineStr">
        <is>
          <t>North</t>
        </is>
      </c>
      <c r="H3573" s="2" t="inlineStr">
        <is>
          <t>Haryana</t>
        </is>
      </c>
      <c r="I3573" s="2" t="inlineStr">
        <is>
          <t>Faridabad</t>
        </is>
      </c>
      <c r="J3573" s="2" t="inlineStr">
        <is>
          <t>Online</t>
        </is>
      </c>
      <c r="K3573" s="2" t="n">
        <v>4</v>
      </c>
      <c r="L3573" s="3" t="n">
        <v>1399.22</v>
      </c>
      <c r="M3573" s="4" t="n">
        <v>0</v>
      </c>
      <c r="N3573" s="3" t="n">
        <v>3759.29</v>
      </c>
      <c r="O3573" s="3">
        <f>K3573*L3573*(1-M3573)</f>
        <v/>
      </c>
      <c r="P3573" s="3">
        <f>O3573-N3573</f>
        <v/>
      </c>
      <c r="Q3573" s="5">
        <f>IFERROR(P3573/O3573,0)</f>
        <v/>
      </c>
      <c r="R3573" s="2">
        <f>TEXT(DATEVALUE(B3573),"mmm")</f>
        <v/>
      </c>
      <c r="S3573" s="2">
        <f>TEXT(DATEVALUE(B3573),"yyyy-mm")</f>
        <v/>
      </c>
    </row>
    <row r="3574">
      <c r="A3574" s="2" t="inlineStr">
        <is>
          <t>O003223</t>
        </is>
      </c>
      <c r="B3574" s="2" t="inlineStr">
        <is>
          <t>2025-09-19</t>
        </is>
      </c>
      <c r="C3574" s="2" t="inlineStr">
        <is>
          <t>C0733</t>
        </is>
      </c>
      <c r="D3574" s="2" t="inlineStr">
        <is>
          <t>P0018</t>
        </is>
      </c>
      <c r="E3574" s="2" t="inlineStr">
        <is>
          <t>Backpack</t>
        </is>
      </c>
      <c r="F3574" s="2" t="inlineStr">
        <is>
          <t>Fashion</t>
        </is>
      </c>
      <c r="G3574" s="2" t="inlineStr">
        <is>
          <t>South</t>
        </is>
      </c>
      <c r="H3574" s="2" t="inlineStr">
        <is>
          <t>Kerala</t>
        </is>
      </c>
      <c r="I3574" s="2" t="inlineStr">
        <is>
          <t>Thiruvananthapuram</t>
        </is>
      </c>
      <c r="J3574" s="2" t="inlineStr">
        <is>
          <t>Online</t>
        </is>
      </c>
      <c r="K3574" s="2" t="n">
        <v>5</v>
      </c>
      <c r="L3574" s="3" t="n">
        <v>1819.33</v>
      </c>
      <c r="M3574" s="4" t="n">
        <v>0</v>
      </c>
      <c r="N3574" s="3" t="n">
        <v>6774.39</v>
      </c>
      <c r="O3574" s="3">
        <f>K3574*L3574*(1-M3574)</f>
        <v/>
      </c>
      <c r="P3574" s="3">
        <f>O3574-N3574</f>
        <v/>
      </c>
      <c r="Q3574" s="5">
        <f>IFERROR(P3574/O3574,0)</f>
        <v/>
      </c>
      <c r="R3574" s="2">
        <f>TEXT(DATEVALUE(B3574),"mmm")</f>
        <v/>
      </c>
      <c r="S3574" s="2">
        <f>TEXT(DATEVALUE(B3574),"yyyy-mm")</f>
        <v/>
      </c>
    </row>
    <row r="3575">
      <c r="A3575" s="2" t="inlineStr">
        <is>
          <t>O003217</t>
        </is>
      </c>
      <c r="B3575" s="2" t="inlineStr">
        <is>
          <t>2025-09-19</t>
        </is>
      </c>
      <c r="C3575" s="2" t="inlineStr">
        <is>
          <t>C0096</t>
        </is>
      </c>
      <c r="D3575" s="2" t="inlineStr">
        <is>
          <t>P0032</t>
        </is>
      </c>
      <c r="E3575" s="2" t="inlineStr">
        <is>
          <t>Football</t>
        </is>
      </c>
      <c r="F3575" s="2" t="inlineStr">
        <is>
          <t>Sports</t>
        </is>
      </c>
      <c r="G3575" s="2" t="inlineStr">
        <is>
          <t>South</t>
        </is>
      </c>
      <c r="H3575" s="2" t="inlineStr">
        <is>
          <t>Telangana</t>
        </is>
      </c>
      <c r="I3575" s="2" t="inlineStr">
        <is>
          <t>Warangal</t>
        </is>
      </c>
      <c r="J3575" s="2" t="inlineStr">
        <is>
          <t>Online</t>
        </is>
      </c>
      <c r="K3575" s="2" t="n">
        <v>3</v>
      </c>
      <c r="L3575" s="3" t="n">
        <v>822.22</v>
      </c>
      <c r="M3575" s="4" t="n">
        <v>0.05</v>
      </c>
      <c r="N3575" s="3" t="n">
        <v>1592.6</v>
      </c>
      <c r="O3575" s="3">
        <f>K3575*L3575*(1-M3575)</f>
        <v/>
      </c>
      <c r="P3575" s="3">
        <f>O3575-N3575</f>
        <v/>
      </c>
      <c r="Q3575" s="5">
        <f>IFERROR(P3575/O3575,0)</f>
        <v/>
      </c>
      <c r="R3575" s="2">
        <f>TEXT(DATEVALUE(B3575),"mmm")</f>
        <v/>
      </c>
      <c r="S3575" s="2">
        <f>TEXT(DATEVALUE(B3575),"yyyy-mm")</f>
        <v/>
      </c>
    </row>
    <row r="3576">
      <c r="A3576" s="2" t="inlineStr">
        <is>
          <t>O002957</t>
        </is>
      </c>
      <c r="B3576" s="2" t="inlineStr">
        <is>
          <t>2025-09-19</t>
        </is>
      </c>
      <c r="C3576" s="2" t="inlineStr">
        <is>
          <t>C0012</t>
        </is>
      </c>
      <c r="D3576" s="2" t="inlineStr">
        <is>
          <t>P0011</t>
        </is>
      </c>
      <c r="E3576" s="2" t="inlineStr">
        <is>
          <t>Cookware Set</t>
        </is>
      </c>
      <c r="F3576" s="2" t="inlineStr">
        <is>
          <t>Home &amp; Kitchen</t>
        </is>
      </c>
      <c r="G3576" s="2" t="inlineStr">
        <is>
          <t>East</t>
        </is>
      </c>
      <c r="H3576" s="2" t="inlineStr">
        <is>
          <t>Bihar</t>
        </is>
      </c>
      <c r="I3576" s="2" t="inlineStr">
        <is>
          <t>Patna</t>
        </is>
      </c>
      <c r="J3576" s="2" t="inlineStr">
        <is>
          <t>Online</t>
        </is>
      </c>
      <c r="K3576" s="2" t="n">
        <v>3</v>
      </c>
      <c r="L3576" s="3" t="n">
        <v>694.76</v>
      </c>
      <c r="M3576" s="4" t="n">
        <v>0</v>
      </c>
      <c r="N3576" s="3" t="n">
        <v>1400.54</v>
      </c>
      <c r="O3576" s="3">
        <f>K3576*L3576*(1-M3576)</f>
        <v/>
      </c>
      <c r="P3576" s="3">
        <f>O3576-N3576</f>
        <v/>
      </c>
      <c r="Q3576" s="5">
        <f>IFERROR(P3576/O3576,0)</f>
        <v/>
      </c>
      <c r="R3576" s="2">
        <f>TEXT(DATEVALUE(B3576),"mmm")</f>
        <v/>
      </c>
      <c r="S3576" s="2">
        <f>TEXT(DATEVALUE(B3576),"yyyy-mm")</f>
        <v/>
      </c>
    </row>
    <row r="3577">
      <c r="A3577" s="2" t="inlineStr">
        <is>
          <t>O002363</t>
        </is>
      </c>
      <c r="B3577" s="2" t="inlineStr">
        <is>
          <t>2025-09-19</t>
        </is>
      </c>
      <c r="C3577" s="2" t="inlineStr">
        <is>
          <t>C0198</t>
        </is>
      </c>
      <c r="D3577" s="2" t="inlineStr">
        <is>
          <t>P0021</t>
        </is>
      </c>
      <c r="E3577" s="2" t="inlineStr">
        <is>
          <t>Wallet</t>
        </is>
      </c>
      <c r="F3577" s="2" t="inlineStr">
        <is>
          <t>Fashion</t>
        </is>
      </c>
      <c r="G3577" s="2" t="inlineStr">
        <is>
          <t>South</t>
        </is>
      </c>
      <c r="H3577" s="2" t="inlineStr">
        <is>
          <t>Tamil Nadu</t>
        </is>
      </c>
      <c r="I3577" s="2" t="inlineStr">
        <is>
          <t>Coimbatore</t>
        </is>
      </c>
      <c r="J3577" s="2" t="inlineStr">
        <is>
          <t>Store</t>
        </is>
      </c>
      <c r="K3577" s="2" t="n">
        <v>3</v>
      </c>
      <c r="L3577" s="3" t="n">
        <v>2073.16</v>
      </c>
      <c r="M3577" s="4" t="n">
        <v>0.1</v>
      </c>
      <c r="N3577" s="3" t="n">
        <v>3695.98</v>
      </c>
      <c r="O3577" s="3">
        <f>K3577*L3577*(1-M3577)</f>
        <v/>
      </c>
      <c r="P3577" s="3">
        <f>O3577-N3577</f>
        <v/>
      </c>
      <c r="Q3577" s="5">
        <f>IFERROR(P3577/O3577,0)</f>
        <v/>
      </c>
      <c r="R3577" s="2">
        <f>TEXT(DATEVALUE(B3577),"mmm")</f>
        <v/>
      </c>
      <c r="S3577" s="2">
        <f>TEXT(DATEVALUE(B3577),"yyyy-mm")</f>
        <v/>
      </c>
    </row>
    <row r="3578">
      <c r="A3578" s="2" t="inlineStr">
        <is>
          <t>O001845</t>
        </is>
      </c>
      <c r="B3578" s="2" t="inlineStr">
        <is>
          <t>2025-09-19</t>
        </is>
      </c>
      <c r="C3578" s="2" t="inlineStr">
        <is>
          <t>C0460</t>
        </is>
      </c>
      <c r="D3578" s="2" t="inlineStr">
        <is>
          <t>P0006</t>
        </is>
      </c>
      <c r="E3578" s="2" t="inlineStr">
        <is>
          <t>Mechanical Keyboard</t>
        </is>
      </c>
      <c r="F3578" s="2" t="inlineStr">
        <is>
          <t>Electronics</t>
        </is>
      </c>
      <c r="G3578" s="2" t="inlineStr">
        <is>
          <t>West</t>
        </is>
      </c>
      <c r="H3578" s="2" t="inlineStr">
        <is>
          <t>Goa</t>
        </is>
      </c>
      <c r="I3578" s="2" t="inlineStr">
        <is>
          <t>Panaji</t>
        </is>
      </c>
      <c r="J3578" s="2" t="inlineStr">
        <is>
          <t>Store</t>
        </is>
      </c>
      <c r="K3578" s="2" t="n">
        <v>2</v>
      </c>
      <c r="L3578" s="3" t="n">
        <v>2652.11</v>
      </c>
      <c r="M3578" s="4" t="n">
        <v>0</v>
      </c>
      <c r="N3578" s="3" t="n">
        <v>3027.39</v>
      </c>
      <c r="O3578" s="3">
        <f>K3578*L3578*(1-M3578)</f>
        <v/>
      </c>
      <c r="P3578" s="3">
        <f>O3578-N3578</f>
        <v/>
      </c>
      <c r="Q3578" s="5">
        <f>IFERROR(P3578/O3578,0)</f>
        <v/>
      </c>
      <c r="R3578" s="2">
        <f>TEXT(DATEVALUE(B3578),"mmm")</f>
        <v/>
      </c>
      <c r="S3578" s="2">
        <f>TEXT(DATEVALUE(B3578),"yyyy-mm")</f>
        <v/>
      </c>
    </row>
    <row r="3579">
      <c r="A3579" s="2" t="inlineStr">
        <is>
          <t>O001745</t>
        </is>
      </c>
      <c r="B3579" s="2" t="inlineStr">
        <is>
          <t>2025-09-19</t>
        </is>
      </c>
      <c r="C3579" s="2" t="inlineStr">
        <is>
          <t>C0440</t>
        </is>
      </c>
      <c r="D3579" s="2" t="inlineStr">
        <is>
          <t>P0006</t>
        </is>
      </c>
      <c r="E3579" s="2" t="inlineStr">
        <is>
          <t>Mechanical Keyboard</t>
        </is>
      </c>
      <c r="F3579" s="2" t="inlineStr">
        <is>
          <t>Electronics</t>
        </is>
      </c>
      <c r="G3579" s="2" t="inlineStr">
        <is>
          <t>East</t>
        </is>
      </c>
      <c r="H3579" s="2" t="inlineStr">
        <is>
          <t>Odisha</t>
        </is>
      </c>
      <c r="I3579" s="2" t="inlineStr">
        <is>
          <t>Cuttack</t>
        </is>
      </c>
      <c r="J3579" s="2" t="inlineStr">
        <is>
          <t>Online</t>
        </is>
      </c>
      <c r="K3579" s="2" t="n">
        <v>1</v>
      </c>
      <c r="L3579" s="3" t="n">
        <v>2826.22</v>
      </c>
      <c r="M3579" s="4" t="n">
        <v>0.15</v>
      </c>
      <c r="N3579" s="3" t="n">
        <v>1438.38</v>
      </c>
      <c r="O3579" s="3">
        <f>K3579*L3579*(1-M3579)</f>
        <v/>
      </c>
      <c r="P3579" s="3">
        <f>O3579-N3579</f>
        <v/>
      </c>
      <c r="Q3579" s="5">
        <f>IFERROR(P3579/O3579,0)</f>
        <v/>
      </c>
      <c r="R3579" s="2">
        <f>TEXT(DATEVALUE(B3579),"mmm")</f>
        <v/>
      </c>
      <c r="S3579" s="2">
        <f>TEXT(DATEVALUE(B3579),"yyyy-mm")</f>
        <v/>
      </c>
    </row>
    <row r="3580">
      <c r="A3580" s="2" t="inlineStr">
        <is>
          <t>O001630</t>
        </is>
      </c>
      <c r="B3580" s="2" t="inlineStr">
        <is>
          <t>2025-09-19</t>
        </is>
      </c>
      <c r="C3580" s="2" t="inlineStr">
        <is>
          <t>C0362</t>
        </is>
      </c>
      <c r="D3580" s="2" t="inlineStr">
        <is>
          <t>P0007</t>
        </is>
      </c>
      <c r="E3580" s="2" t="inlineStr">
        <is>
          <t>Wireless Mouse</t>
        </is>
      </c>
      <c r="F3580" s="2" t="inlineStr">
        <is>
          <t>Electronics</t>
        </is>
      </c>
      <c r="G3580" s="2" t="inlineStr">
        <is>
          <t>North</t>
        </is>
      </c>
      <c r="H3580" s="2" t="inlineStr">
        <is>
          <t>Haryana</t>
        </is>
      </c>
      <c r="I3580" s="2" t="inlineStr">
        <is>
          <t>Gurugram</t>
        </is>
      </c>
      <c r="J3580" s="2" t="inlineStr">
        <is>
          <t>Online</t>
        </is>
      </c>
      <c r="K3580" s="2" t="n">
        <v>3</v>
      </c>
      <c r="L3580" s="3" t="n">
        <v>951.29</v>
      </c>
      <c r="M3580" s="4" t="n">
        <v>0.1</v>
      </c>
      <c r="N3580" s="3" t="n">
        <v>1877.78</v>
      </c>
      <c r="O3580" s="3">
        <f>K3580*L3580*(1-M3580)</f>
        <v/>
      </c>
      <c r="P3580" s="3">
        <f>O3580-N3580</f>
        <v/>
      </c>
      <c r="Q3580" s="5">
        <f>IFERROR(P3580/O3580,0)</f>
        <v/>
      </c>
      <c r="R3580" s="2">
        <f>TEXT(DATEVALUE(B3580),"mmm")</f>
        <v/>
      </c>
      <c r="S3580" s="2">
        <f>TEXT(DATEVALUE(B3580),"yyyy-mm")</f>
        <v/>
      </c>
    </row>
    <row r="3581">
      <c r="A3581" s="2" t="inlineStr">
        <is>
          <t>O001561</t>
        </is>
      </c>
      <c r="B3581" s="2" t="inlineStr">
        <is>
          <t>2025-09-19</t>
        </is>
      </c>
      <c r="C3581" s="2" t="inlineStr">
        <is>
          <t>C0427</t>
        </is>
      </c>
      <c r="D3581" s="2" t="inlineStr">
        <is>
          <t>P0025</t>
        </is>
      </c>
      <c r="E3581" s="2" t="inlineStr">
        <is>
          <t>Perfume</t>
        </is>
      </c>
      <c r="F3581" s="2" t="inlineStr">
        <is>
          <t>Beauty</t>
        </is>
      </c>
      <c r="G3581" s="2" t="inlineStr">
        <is>
          <t>South</t>
        </is>
      </c>
      <c r="H3581" s="2" t="inlineStr">
        <is>
          <t>Tamil Nadu</t>
        </is>
      </c>
      <c r="I3581" s="2" t="inlineStr">
        <is>
          <t>Madurai</t>
        </is>
      </c>
      <c r="J3581" s="2" t="inlineStr">
        <is>
          <t>Online</t>
        </is>
      </c>
      <c r="K3581" s="2" t="n">
        <v>3</v>
      </c>
      <c r="L3581" s="3" t="n">
        <v>803.24</v>
      </c>
      <c r="M3581" s="4" t="n">
        <v>0.05</v>
      </c>
      <c r="N3581" s="3" t="n">
        <v>1852.85</v>
      </c>
      <c r="O3581" s="3">
        <f>K3581*L3581*(1-M3581)</f>
        <v/>
      </c>
      <c r="P3581" s="3">
        <f>O3581-N3581</f>
        <v/>
      </c>
      <c r="Q3581" s="5">
        <f>IFERROR(P3581/O3581,0)</f>
        <v/>
      </c>
      <c r="R3581" s="2">
        <f>TEXT(DATEVALUE(B3581),"mmm")</f>
        <v/>
      </c>
      <c r="S3581" s="2">
        <f>TEXT(DATEVALUE(B3581),"yyyy-mm")</f>
        <v/>
      </c>
    </row>
    <row r="3582">
      <c r="A3582" s="2" t="inlineStr">
        <is>
          <t>O000816</t>
        </is>
      </c>
      <c r="B3582" s="2" t="inlineStr">
        <is>
          <t>2025-09-19</t>
        </is>
      </c>
      <c r="C3582" s="2" t="inlineStr">
        <is>
          <t>C0668</t>
        </is>
      </c>
      <c r="D3582" s="2" t="inlineStr">
        <is>
          <t>P0016</t>
        </is>
      </c>
      <c r="E3582" s="2" t="inlineStr">
        <is>
          <t>Casual Shirt</t>
        </is>
      </c>
      <c r="F3582" s="2" t="inlineStr">
        <is>
          <t>Fashion</t>
        </is>
      </c>
      <c r="G3582" s="2" t="inlineStr">
        <is>
          <t>West</t>
        </is>
      </c>
      <c r="H3582" s="2" t="inlineStr">
        <is>
          <t>Maharashtra</t>
        </is>
      </c>
      <c r="I3582" s="2" t="inlineStr">
        <is>
          <t>Nashik</t>
        </is>
      </c>
      <c r="J3582" s="2" t="inlineStr">
        <is>
          <t>Online</t>
        </is>
      </c>
      <c r="K3582" s="2" t="n">
        <v>5</v>
      </c>
      <c r="L3582" s="3" t="n">
        <v>1336.18</v>
      </c>
      <c r="M3582" s="4" t="n">
        <v>0.1</v>
      </c>
      <c r="N3582" s="3" t="n">
        <v>4663.14</v>
      </c>
      <c r="O3582" s="3">
        <f>K3582*L3582*(1-M3582)</f>
        <v/>
      </c>
      <c r="P3582" s="3">
        <f>O3582-N3582</f>
        <v/>
      </c>
      <c r="Q3582" s="5">
        <f>IFERROR(P3582/O3582,0)</f>
        <v/>
      </c>
      <c r="R3582" s="2">
        <f>TEXT(DATEVALUE(B3582),"mmm")</f>
        <v/>
      </c>
      <c r="S3582" s="2">
        <f>TEXT(DATEVALUE(B3582),"yyyy-mm")</f>
        <v/>
      </c>
    </row>
    <row r="3583">
      <c r="A3583" s="2" t="inlineStr">
        <is>
          <t>O000419</t>
        </is>
      </c>
      <c r="B3583" s="2" t="inlineStr">
        <is>
          <t>2025-09-19</t>
        </is>
      </c>
      <c r="C3583" s="2" t="inlineStr">
        <is>
          <t>C0554</t>
        </is>
      </c>
      <c r="D3583" s="2" t="inlineStr">
        <is>
          <t>P0028</t>
        </is>
      </c>
      <c r="E3583" s="2" t="inlineStr">
        <is>
          <t>Trimmer</t>
        </is>
      </c>
      <c r="F3583" s="2" t="inlineStr">
        <is>
          <t>Beauty</t>
        </is>
      </c>
      <c r="G3583" s="2" t="inlineStr">
        <is>
          <t>North</t>
        </is>
      </c>
      <c r="H3583" s="2" t="inlineStr">
        <is>
          <t>Haryana</t>
        </is>
      </c>
      <c r="I3583" s="2" t="inlineStr">
        <is>
          <t>Gurugram</t>
        </is>
      </c>
      <c r="J3583" s="2" t="inlineStr">
        <is>
          <t>Store</t>
        </is>
      </c>
      <c r="K3583" s="2" t="n">
        <v>5</v>
      </c>
      <c r="L3583" s="3" t="n">
        <v>437.73</v>
      </c>
      <c r="M3583" s="4" t="n">
        <v>0.1</v>
      </c>
      <c r="N3583" s="3" t="n">
        <v>1287.18</v>
      </c>
      <c r="O3583" s="3">
        <f>K3583*L3583*(1-M3583)</f>
        <v/>
      </c>
      <c r="P3583" s="3">
        <f>O3583-N3583</f>
        <v/>
      </c>
      <c r="Q3583" s="5">
        <f>IFERROR(P3583/O3583,0)</f>
        <v/>
      </c>
      <c r="R3583" s="2">
        <f>TEXT(DATEVALUE(B3583),"mmm")</f>
        <v/>
      </c>
      <c r="S3583" s="2">
        <f>TEXT(DATEVALUE(B3583),"yyyy-mm")</f>
        <v/>
      </c>
    </row>
    <row r="3584">
      <c r="A3584" s="2" t="inlineStr">
        <is>
          <t>O001927</t>
        </is>
      </c>
      <c r="B3584" s="2" t="inlineStr">
        <is>
          <t>2025-09-19</t>
        </is>
      </c>
      <c r="C3584" s="2" t="inlineStr">
        <is>
          <t>C0500</t>
        </is>
      </c>
      <c r="D3584" s="2" t="inlineStr">
        <is>
          <t>P0026</t>
        </is>
      </c>
      <c r="E3584" s="2" t="inlineStr">
        <is>
          <t>Shampoo</t>
        </is>
      </c>
      <c r="F3584" s="2" t="inlineStr">
        <is>
          <t>Beauty</t>
        </is>
      </c>
      <c r="G3584" s="2" t="inlineStr">
        <is>
          <t>West</t>
        </is>
      </c>
      <c r="H3584" s="2" t="inlineStr">
        <is>
          <t>Goa</t>
        </is>
      </c>
      <c r="I3584" s="2" t="inlineStr">
        <is>
          <t>Panaji</t>
        </is>
      </c>
      <c r="J3584" s="2" t="inlineStr">
        <is>
          <t>Online</t>
        </is>
      </c>
      <c r="K3584" s="2" t="n">
        <v>2</v>
      </c>
      <c r="L3584" s="3" t="n">
        <v>906.45</v>
      </c>
      <c r="M3584" s="4" t="n">
        <v>0.1</v>
      </c>
      <c r="N3584" s="3" t="n">
        <v>1067.95</v>
      </c>
      <c r="O3584" s="3">
        <f>K3584*L3584*(1-M3584)</f>
        <v/>
      </c>
      <c r="P3584" s="3">
        <f>O3584-N3584</f>
        <v/>
      </c>
      <c r="Q3584" s="5">
        <f>IFERROR(P3584/O3584,0)</f>
        <v/>
      </c>
      <c r="R3584" s="2">
        <f>TEXT(DATEVALUE(B3584),"mmm")</f>
        <v/>
      </c>
      <c r="S3584" s="2">
        <f>TEXT(DATEVALUE(B3584),"yyyy-mm")</f>
        <v/>
      </c>
    </row>
    <row r="3585">
      <c r="A3585" s="2" t="inlineStr">
        <is>
          <t>O002446</t>
        </is>
      </c>
      <c r="B3585" s="2" t="inlineStr">
        <is>
          <t>2025-09-20</t>
        </is>
      </c>
      <c r="C3585" s="2" t="inlineStr">
        <is>
          <t>C0478</t>
        </is>
      </c>
      <c r="D3585" s="2" t="inlineStr">
        <is>
          <t>P0024</t>
        </is>
      </c>
      <c r="E3585" s="2" t="inlineStr">
        <is>
          <t>Hair Dryer</t>
        </is>
      </c>
      <c r="F3585" s="2" t="inlineStr">
        <is>
          <t>Beauty</t>
        </is>
      </c>
      <c r="G3585" s="2" t="inlineStr">
        <is>
          <t>South</t>
        </is>
      </c>
      <c r="H3585" s="2" t="inlineStr">
        <is>
          <t>Telangana</t>
        </is>
      </c>
      <c r="I3585" s="2" t="inlineStr">
        <is>
          <t>Warangal</t>
        </is>
      </c>
      <c r="J3585" s="2" t="inlineStr">
        <is>
          <t>Store</t>
        </is>
      </c>
      <c r="K3585" s="2" t="n">
        <v>1</v>
      </c>
      <c r="L3585" s="3" t="n">
        <v>992.3</v>
      </c>
      <c r="M3585" s="4" t="n">
        <v>0.05</v>
      </c>
      <c r="N3585" s="3" t="n">
        <v>749.09</v>
      </c>
      <c r="O3585" s="3">
        <f>K3585*L3585*(1-M3585)</f>
        <v/>
      </c>
      <c r="P3585" s="3">
        <f>O3585-N3585</f>
        <v/>
      </c>
      <c r="Q3585" s="5">
        <f>IFERROR(P3585/O3585,0)</f>
        <v/>
      </c>
      <c r="R3585" s="2">
        <f>TEXT(DATEVALUE(B3585),"mmm")</f>
        <v/>
      </c>
      <c r="S3585" s="2">
        <f>TEXT(DATEVALUE(B3585),"yyyy-mm")</f>
        <v/>
      </c>
    </row>
    <row r="3586">
      <c r="A3586" s="2" t="inlineStr">
        <is>
          <t>O002980</t>
        </is>
      </c>
      <c r="B3586" s="2" t="inlineStr">
        <is>
          <t>2025-09-20</t>
        </is>
      </c>
      <c r="C3586" s="2" t="inlineStr">
        <is>
          <t>C0738</t>
        </is>
      </c>
      <c r="D3586" s="2" t="inlineStr">
        <is>
          <t>P0007</t>
        </is>
      </c>
      <c r="E3586" s="2" t="inlineStr">
        <is>
          <t>Wireless Mouse</t>
        </is>
      </c>
      <c r="F3586" s="2" t="inlineStr">
        <is>
          <t>Electronics</t>
        </is>
      </c>
      <c r="G3586" s="2" t="inlineStr">
        <is>
          <t>West</t>
        </is>
      </c>
      <c r="H3586" s="2" t="inlineStr">
        <is>
          <t>Goa</t>
        </is>
      </c>
      <c r="I3586" s="2" t="inlineStr">
        <is>
          <t>Margao</t>
        </is>
      </c>
      <c r="J3586" s="2" t="inlineStr">
        <is>
          <t>Online</t>
        </is>
      </c>
      <c r="K3586" s="2" t="n">
        <v>2</v>
      </c>
      <c r="L3586" s="3" t="n">
        <v>960.52</v>
      </c>
      <c r="M3586" s="4" t="n">
        <v>0.1</v>
      </c>
      <c r="N3586" s="3" t="n">
        <v>1214.85</v>
      </c>
      <c r="O3586" s="3">
        <f>K3586*L3586*(1-M3586)</f>
        <v/>
      </c>
      <c r="P3586" s="3">
        <f>O3586-N3586</f>
        <v/>
      </c>
      <c r="Q3586" s="5">
        <f>IFERROR(P3586/O3586,0)</f>
        <v/>
      </c>
      <c r="R3586" s="2">
        <f>TEXT(DATEVALUE(B3586),"mmm")</f>
        <v/>
      </c>
      <c r="S3586" s="2">
        <f>TEXT(DATEVALUE(B3586),"yyyy-mm")</f>
        <v/>
      </c>
    </row>
    <row r="3587">
      <c r="A3587" s="2" t="inlineStr">
        <is>
          <t>O003767</t>
        </is>
      </c>
      <c r="B3587" s="2" t="inlineStr">
        <is>
          <t>2025-09-20</t>
        </is>
      </c>
      <c r="C3587" s="2" t="inlineStr">
        <is>
          <t>C0289</t>
        </is>
      </c>
      <c r="D3587" s="2" t="inlineStr">
        <is>
          <t>P0008</t>
        </is>
      </c>
      <c r="E3587" s="2" t="inlineStr">
        <is>
          <t>Air Fryer</t>
        </is>
      </c>
      <c r="F3587" s="2" t="inlineStr">
        <is>
          <t>Home &amp; Kitchen</t>
        </is>
      </c>
      <c r="G3587" s="2" t="inlineStr">
        <is>
          <t>West</t>
        </is>
      </c>
      <c r="H3587" s="2" t="inlineStr">
        <is>
          <t>Gujarat</t>
        </is>
      </c>
      <c r="I3587" s="2" t="inlineStr">
        <is>
          <t>Ahmedabad</t>
        </is>
      </c>
      <c r="J3587" s="2" t="inlineStr">
        <is>
          <t>Online</t>
        </is>
      </c>
      <c r="K3587" s="2" t="n">
        <v>2</v>
      </c>
      <c r="L3587" s="3" t="n">
        <v>1037.28</v>
      </c>
      <c r="M3587" s="4" t="n">
        <v>0.15</v>
      </c>
      <c r="N3587" s="3" t="n">
        <v>1324.44</v>
      </c>
      <c r="O3587" s="3">
        <f>K3587*L3587*(1-M3587)</f>
        <v/>
      </c>
      <c r="P3587" s="3">
        <f>O3587-N3587</f>
        <v/>
      </c>
      <c r="Q3587" s="5">
        <f>IFERROR(P3587/O3587,0)</f>
        <v/>
      </c>
      <c r="R3587" s="2">
        <f>TEXT(DATEVALUE(B3587),"mmm")</f>
        <v/>
      </c>
      <c r="S3587" s="2">
        <f>TEXT(DATEVALUE(B3587),"yyyy-mm")</f>
        <v/>
      </c>
    </row>
    <row r="3588">
      <c r="A3588" s="2" t="inlineStr">
        <is>
          <t>O002249</t>
        </is>
      </c>
      <c r="B3588" s="2" t="inlineStr">
        <is>
          <t>2025-09-20</t>
        </is>
      </c>
      <c r="C3588" s="2" t="inlineStr">
        <is>
          <t>C0055</t>
        </is>
      </c>
      <c r="D3588" s="2" t="inlineStr">
        <is>
          <t>P0015</t>
        </is>
      </c>
      <c r="E3588" s="2" t="inlineStr">
        <is>
          <t>Running Shoes</t>
        </is>
      </c>
      <c r="F3588" s="2" t="inlineStr">
        <is>
          <t>Fashion</t>
        </is>
      </c>
      <c r="G3588" s="2" t="inlineStr">
        <is>
          <t>South</t>
        </is>
      </c>
      <c r="H3588" s="2" t="inlineStr">
        <is>
          <t>Tamil Nadu</t>
        </is>
      </c>
      <c r="I3588" s="2" t="inlineStr">
        <is>
          <t>Chennai</t>
        </is>
      </c>
      <c r="J3588" s="2" t="inlineStr">
        <is>
          <t>Store</t>
        </is>
      </c>
      <c r="K3588" s="2" t="n">
        <v>2</v>
      </c>
      <c r="L3588" s="3" t="n">
        <v>611.5</v>
      </c>
      <c r="M3588" s="4" t="n">
        <v>0.05</v>
      </c>
      <c r="N3588" s="3" t="n">
        <v>725.65</v>
      </c>
      <c r="O3588" s="3">
        <f>K3588*L3588*(1-M3588)</f>
        <v/>
      </c>
      <c r="P3588" s="3">
        <f>O3588-N3588</f>
        <v/>
      </c>
      <c r="Q3588" s="5">
        <f>IFERROR(P3588/O3588,0)</f>
        <v/>
      </c>
      <c r="R3588" s="2">
        <f>TEXT(DATEVALUE(B3588),"mmm")</f>
        <v/>
      </c>
      <c r="S3588" s="2">
        <f>TEXT(DATEVALUE(B3588),"yyyy-mm")</f>
        <v/>
      </c>
    </row>
    <row r="3589">
      <c r="A3589" s="2" t="inlineStr">
        <is>
          <t>O001280</t>
        </is>
      </c>
      <c r="B3589" s="2" t="inlineStr">
        <is>
          <t>2025-09-20</t>
        </is>
      </c>
      <c r="C3589" s="2" t="inlineStr">
        <is>
          <t>C0049</t>
        </is>
      </c>
      <c r="D3589" s="2" t="inlineStr">
        <is>
          <t>P0009</t>
        </is>
      </c>
      <c r="E3589" s="2" t="inlineStr">
        <is>
          <t>Electric Kettle</t>
        </is>
      </c>
      <c r="F3589" s="2" t="inlineStr">
        <is>
          <t>Home &amp; Kitchen</t>
        </is>
      </c>
      <c r="G3589" s="2" t="inlineStr">
        <is>
          <t>West</t>
        </is>
      </c>
      <c r="H3589" s="2" t="inlineStr">
        <is>
          <t>Gujarat</t>
        </is>
      </c>
      <c r="I3589" s="2" t="inlineStr">
        <is>
          <t>Ahmedabad</t>
        </is>
      </c>
      <c r="J3589" s="2" t="inlineStr">
        <is>
          <t>Store</t>
        </is>
      </c>
      <c r="K3589" s="2" t="n">
        <v>1</v>
      </c>
      <c r="L3589" s="3" t="n">
        <v>2130.68</v>
      </c>
      <c r="M3589" s="4" t="n">
        <v>0.15</v>
      </c>
      <c r="N3589" s="3" t="n">
        <v>1103.75</v>
      </c>
      <c r="O3589" s="3">
        <f>K3589*L3589*(1-M3589)</f>
        <v/>
      </c>
      <c r="P3589" s="3">
        <f>O3589-N3589</f>
        <v/>
      </c>
      <c r="Q3589" s="5">
        <f>IFERROR(P3589/O3589,0)</f>
        <v/>
      </c>
      <c r="R3589" s="2">
        <f>TEXT(DATEVALUE(B3589),"mmm")</f>
        <v/>
      </c>
      <c r="S3589" s="2">
        <f>TEXT(DATEVALUE(B3589),"yyyy-mm")</f>
        <v/>
      </c>
    </row>
    <row r="3590">
      <c r="A3590" s="2" t="inlineStr">
        <is>
          <t>O002180</t>
        </is>
      </c>
      <c r="B3590" s="2" t="inlineStr">
        <is>
          <t>2025-09-20</t>
        </is>
      </c>
      <c r="C3590" s="2" t="inlineStr">
        <is>
          <t>C0253</t>
        </is>
      </c>
      <c r="D3590" s="2" t="inlineStr">
        <is>
          <t>P0011</t>
        </is>
      </c>
      <c r="E3590" s="2" t="inlineStr">
        <is>
          <t>Cookware Set</t>
        </is>
      </c>
      <c r="F3590" s="2" t="inlineStr">
        <is>
          <t>Home &amp; Kitchen</t>
        </is>
      </c>
      <c r="G3590" s="2" t="inlineStr">
        <is>
          <t>North</t>
        </is>
      </c>
      <c r="H3590" s="2" t="inlineStr">
        <is>
          <t>Uttar Pradesh</t>
        </is>
      </c>
      <c r="I3590" s="2" t="inlineStr">
        <is>
          <t>Noida</t>
        </is>
      </c>
      <c r="J3590" s="2" t="inlineStr">
        <is>
          <t>Store</t>
        </is>
      </c>
      <c r="K3590" s="2" t="n">
        <v>1</v>
      </c>
      <c r="L3590" s="3" t="n">
        <v>682.6</v>
      </c>
      <c r="M3590" s="4" t="n">
        <v>0.1</v>
      </c>
      <c r="N3590" s="3" t="n">
        <v>480.94</v>
      </c>
      <c r="O3590" s="3">
        <f>K3590*L3590*(1-M3590)</f>
        <v/>
      </c>
      <c r="P3590" s="3">
        <f>O3590-N3590</f>
        <v/>
      </c>
      <c r="Q3590" s="5">
        <f>IFERROR(P3590/O3590,0)</f>
        <v/>
      </c>
      <c r="R3590" s="2">
        <f>TEXT(DATEVALUE(B3590),"mmm")</f>
        <v/>
      </c>
      <c r="S3590" s="2">
        <f>TEXT(DATEVALUE(B3590),"yyyy-mm")</f>
        <v/>
      </c>
    </row>
    <row r="3591">
      <c r="A3591" s="2" t="inlineStr">
        <is>
          <t>O000258</t>
        </is>
      </c>
      <c r="B3591" s="2" t="inlineStr">
        <is>
          <t>2025-09-20</t>
        </is>
      </c>
      <c r="C3591" s="2" t="inlineStr">
        <is>
          <t>C0688</t>
        </is>
      </c>
      <c r="D3591" s="2" t="inlineStr">
        <is>
          <t>P0008</t>
        </is>
      </c>
      <c r="E3591" s="2" t="inlineStr">
        <is>
          <t>Air Fryer</t>
        </is>
      </c>
      <c r="F3591" s="2" t="inlineStr">
        <is>
          <t>Home &amp; Kitchen</t>
        </is>
      </c>
      <c r="G3591" s="2" t="inlineStr">
        <is>
          <t>South</t>
        </is>
      </c>
      <c r="H3591" s="2" t="inlineStr">
        <is>
          <t>Tamil Nadu</t>
        </is>
      </c>
      <c r="I3591" s="2" t="inlineStr">
        <is>
          <t>Coimbatore</t>
        </is>
      </c>
      <c r="J3591" s="2" t="inlineStr">
        <is>
          <t>Store</t>
        </is>
      </c>
      <c r="K3591" s="2" t="n">
        <v>3</v>
      </c>
      <c r="L3591" s="3" t="n">
        <v>1079.38</v>
      </c>
      <c r="M3591" s="4" t="n">
        <v>0.15</v>
      </c>
      <c r="N3591" s="3" t="n">
        <v>2000.39</v>
      </c>
      <c r="O3591" s="3">
        <f>K3591*L3591*(1-M3591)</f>
        <v/>
      </c>
      <c r="P3591" s="3">
        <f>O3591-N3591</f>
        <v/>
      </c>
      <c r="Q3591" s="5">
        <f>IFERROR(P3591/O3591,0)</f>
        <v/>
      </c>
      <c r="R3591" s="2">
        <f>TEXT(DATEVALUE(B3591),"mmm")</f>
        <v/>
      </c>
      <c r="S3591" s="2">
        <f>TEXT(DATEVALUE(B3591),"yyyy-mm")</f>
        <v/>
      </c>
    </row>
    <row r="3592">
      <c r="A3592" s="2" t="inlineStr">
        <is>
          <t>O002192</t>
        </is>
      </c>
      <c r="B3592" s="2" t="inlineStr">
        <is>
          <t>2025-09-20</t>
        </is>
      </c>
      <c r="C3592" s="2" t="inlineStr">
        <is>
          <t>C0733</t>
        </is>
      </c>
      <c r="D3592" s="2" t="inlineStr">
        <is>
          <t>P0013</t>
        </is>
      </c>
      <c r="E3592" s="2" t="inlineStr">
        <is>
          <t>Storage Organizer</t>
        </is>
      </c>
      <c r="F3592" s="2" t="inlineStr">
        <is>
          <t>Home &amp; Kitchen</t>
        </is>
      </c>
      <c r="G3592" s="2" t="inlineStr">
        <is>
          <t>East</t>
        </is>
      </c>
      <c r="H3592" s="2" t="inlineStr">
        <is>
          <t>West Bengal</t>
        </is>
      </c>
      <c r="I3592" s="2" t="inlineStr">
        <is>
          <t>Kolkata</t>
        </is>
      </c>
      <c r="J3592" s="2" t="inlineStr">
        <is>
          <t>Store</t>
        </is>
      </c>
      <c r="K3592" s="2" t="n">
        <v>3</v>
      </c>
      <c r="L3592" s="3" t="n">
        <v>593.8099999999999</v>
      </c>
      <c r="M3592" s="4" t="n">
        <v>0</v>
      </c>
      <c r="N3592" s="3" t="n">
        <v>1090.2</v>
      </c>
      <c r="O3592" s="3">
        <f>K3592*L3592*(1-M3592)</f>
        <v/>
      </c>
      <c r="P3592" s="3">
        <f>O3592-N3592</f>
        <v/>
      </c>
      <c r="Q3592" s="5">
        <f>IFERROR(P3592/O3592,0)</f>
        <v/>
      </c>
      <c r="R3592" s="2">
        <f>TEXT(DATEVALUE(B3592),"mmm")</f>
        <v/>
      </c>
      <c r="S3592" s="2">
        <f>TEXT(DATEVALUE(B3592),"yyyy-mm")</f>
        <v/>
      </c>
    </row>
    <row r="3593">
      <c r="A3593" s="2" t="inlineStr">
        <is>
          <t>O004963</t>
        </is>
      </c>
      <c r="B3593" s="2" t="inlineStr">
        <is>
          <t>2025-09-21</t>
        </is>
      </c>
      <c r="C3593" s="2" t="inlineStr">
        <is>
          <t>C0446</t>
        </is>
      </c>
      <c r="D3593" s="2" t="inlineStr">
        <is>
          <t>P0021</t>
        </is>
      </c>
      <c r="E3593" s="2" t="inlineStr">
        <is>
          <t>Wallet</t>
        </is>
      </c>
      <c r="F3593" s="2" t="inlineStr">
        <is>
          <t>Fashion</t>
        </is>
      </c>
      <c r="G3593" s="2" t="inlineStr">
        <is>
          <t>West</t>
        </is>
      </c>
      <c r="H3593" s="2" t="inlineStr">
        <is>
          <t>Gujarat</t>
        </is>
      </c>
      <c r="I3593" s="2" t="inlineStr">
        <is>
          <t>Surat</t>
        </is>
      </c>
      <c r="J3593" s="2" t="inlineStr">
        <is>
          <t>Online</t>
        </is>
      </c>
      <c r="K3593" s="2" t="n">
        <v>1</v>
      </c>
      <c r="L3593" s="3" t="n">
        <v>1982.48</v>
      </c>
      <c r="M3593" s="4" t="n">
        <v>0.05</v>
      </c>
      <c r="N3593" s="3" t="n">
        <v>1217.5</v>
      </c>
      <c r="O3593" s="3">
        <f>K3593*L3593*(1-M3593)</f>
        <v/>
      </c>
      <c r="P3593" s="3">
        <f>O3593-N3593</f>
        <v/>
      </c>
      <c r="Q3593" s="5">
        <f>IFERROR(P3593/O3593,0)</f>
        <v/>
      </c>
      <c r="R3593" s="2">
        <f>TEXT(DATEVALUE(B3593),"mmm")</f>
        <v/>
      </c>
      <c r="S3593" s="2">
        <f>TEXT(DATEVALUE(B3593),"yyyy-mm")</f>
        <v/>
      </c>
    </row>
    <row r="3594">
      <c r="A3594" s="2" t="inlineStr">
        <is>
          <t>O004813</t>
        </is>
      </c>
      <c r="B3594" s="2" t="inlineStr">
        <is>
          <t>2025-09-21</t>
        </is>
      </c>
      <c r="C3594" s="2" t="inlineStr">
        <is>
          <t>C0674</t>
        </is>
      </c>
      <c r="D3594" s="2" t="inlineStr">
        <is>
          <t>P0032</t>
        </is>
      </c>
      <c r="E3594" s="2" t="inlineStr">
        <is>
          <t>Football</t>
        </is>
      </c>
      <c r="F3594" s="2" t="inlineStr">
        <is>
          <t>Sports</t>
        </is>
      </c>
      <c r="G3594" s="2" t="inlineStr">
        <is>
          <t>East</t>
        </is>
      </c>
      <c r="H3594" s="2" t="inlineStr">
        <is>
          <t>Bihar</t>
        </is>
      </c>
      <c r="I3594" s="2" t="inlineStr">
        <is>
          <t>Gaya</t>
        </is>
      </c>
      <c r="J3594" s="2" t="inlineStr">
        <is>
          <t>Online</t>
        </is>
      </c>
      <c r="K3594" s="2" t="n">
        <v>1</v>
      </c>
      <c r="L3594" s="3" t="n">
        <v>810.76</v>
      </c>
      <c r="M3594" s="4" t="n">
        <v>0.1</v>
      </c>
      <c r="N3594" s="3" t="n">
        <v>519.9</v>
      </c>
      <c r="O3594" s="3">
        <f>K3594*L3594*(1-M3594)</f>
        <v/>
      </c>
      <c r="P3594" s="3">
        <f>O3594-N3594</f>
        <v/>
      </c>
      <c r="Q3594" s="5">
        <f>IFERROR(P3594/O3594,0)</f>
        <v/>
      </c>
      <c r="R3594" s="2">
        <f>TEXT(DATEVALUE(B3594),"mmm")</f>
        <v/>
      </c>
      <c r="S3594" s="2">
        <f>TEXT(DATEVALUE(B3594),"yyyy-mm")</f>
        <v/>
      </c>
    </row>
    <row r="3595">
      <c r="A3595" s="2" t="inlineStr">
        <is>
          <t>O004441</t>
        </is>
      </c>
      <c r="B3595" s="2" t="inlineStr">
        <is>
          <t>2025-09-21</t>
        </is>
      </c>
      <c r="C3595" s="2" t="inlineStr">
        <is>
          <t>C0143</t>
        </is>
      </c>
      <c r="D3595" s="2" t="inlineStr">
        <is>
          <t>P0032</t>
        </is>
      </c>
      <c r="E3595" s="2" t="inlineStr">
        <is>
          <t>Football</t>
        </is>
      </c>
      <c r="F3595" s="2" t="inlineStr">
        <is>
          <t>Sports</t>
        </is>
      </c>
      <c r="G3595" s="2" t="inlineStr">
        <is>
          <t>North</t>
        </is>
      </c>
      <c r="H3595" s="2" t="inlineStr">
        <is>
          <t>Uttar Pradesh</t>
        </is>
      </c>
      <c r="I3595" s="2" t="inlineStr">
        <is>
          <t>Lucknow</t>
        </is>
      </c>
      <c r="J3595" s="2" t="inlineStr">
        <is>
          <t>Online</t>
        </is>
      </c>
      <c r="K3595" s="2" t="n">
        <v>1</v>
      </c>
      <c r="L3595" s="3" t="n">
        <v>800.38</v>
      </c>
      <c r="M3595" s="4" t="n">
        <v>0.15</v>
      </c>
      <c r="N3595" s="3" t="n">
        <v>529.1799999999999</v>
      </c>
      <c r="O3595" s="3">
        <f>K3595*L3595*(1-M3595)</f>
        <v/>
      </c>
      <c r="P3595" s="3">
        <f>O3595-N3595</f>
        <v/>
      </c>
      <c r="Q3595" s="5">
        <f>IFERROR(P3595/O3595,0)</f>
        <v/>
      </c>
      <c r="R3595" s="2">
        <f>TEXT(DATEVALUE(B3595),"mmm")</f>
        <v/>
      </c>
      <c r="S3595" s="2">
        <f>TEXT(DATEVALUE(B3595),"yyyy-mm")</f>
        <v/>
      </c>
    </row>
    <row r="3596">
      <c r="A3596" s="2" t="inlineStr">
        <is>
          <t>O003851</t>
        </is>
      </c>
      <c r="B3596" s="2" t="inlineStr">
        <is>
          <t>2025-09-21</t>
        </is>
      </c>
      <c r="C3596" s="2" t="inlineStr">
        <is>
          <t>C0034</t>
        </is>
      </c>
      <c r="D3596" s="2" t="inlineStr">
        <is>
          <t>P0004</t>
        </is>
      </c>
      <c r="E3596" s="2" t="inlineStr">
        <is>
          <t>USB-C Hub</t>
        </is>
      </c>
      <c r="F3596" s="2" t="inlineStr">
        <is>
          <t>Electronics</t>
        </is>
      </c>
      <c r="G3596" s="2" t="inlineStr">
        <is>
          <t>South</t>
        </is>
      </c>
      <c r="H3596" s="2" t="inlineStr">
        <is>
          <t>Telangana</t>
        </is>
      </c>
      <c r="I3596" s="2" t="inlineStr">
        <is>
          <t>Hyderabad</t>
        </is>
      </c>
      <c r="J3596" s="2" t="inlineStr">
        <is>
          <t>Store</t>
        </is>
      </c>
      <c r="K3596" s="2" t="n">
        <v>1</v>
      </c>
      <c r="L3596" s="3" t="n">
        <v>1302.56</v>
      </c>
      <c r="M3596" s="4" t="n">
        <v>0.15</v>
      </c>
      <c r="N3596" s="3" t="n">
        <v>943.0599999999999</v>
      </c>
      <c r="O3596" s="3">
        <f>K3596*L3596*(1-M3596)</f>
        <v/>
      </c>
      <c r="P3596" s="3">
        <f>O3596-N3596</f>
        <v/>
      </c>
      <c r="Q3596" s="5">
        <f>IFERROR(P3596/O3596,0)</f>
        <v/>
      </c>
      <c r="R3596" s="2">
        <f>TEXT(DATEVALUE(B3596),"mmm")</f>
        <v/>
      </c>
      <c r="S3596" s="2">
        <f>TEXT(DATEVALUE(B3596),"yyyy-mm")</f>
        <v/>
      </c>
    </row>
    <row r="3597">
      <c r="A3597" s="2" t="inlineStr">
        <is>
          <t>O003766</t>
        </is>
      </c>
      <c r="B3597" s="2" t="inlineStr">
        <is>
          <t>2025-09-21</t>
        </is>
      </c>
      <c r="C3597" s="2" t="inlineStr">
        <is>
          <t>C0130</t>
        </is>
      </c>
      <c r="D3597" s="2" t="inlineStr">
        <is>
          <t>P0014</t>
        </is>
      </c>
      <c r="E3597" s="2" t="inlineStr">
        <is>
          <t>Coffee Maker</t>
        </is>
      </c>
      <c r="F3597" s="2" t="inlineStr">
        <is>
          <t>Home &amp; Kitchen</t>
        </is>
      </c>
      <c r="G3597" s="2" t="inlineStr">
        <is>
          <t>East</t>
        </is>
      </c>
      <c r="H3597" s="2" t="inlineStr">
        <is>
          <t>West Bengal</t>
        </is>
      </c>
      <c r="I3597" s="2" t="inlineStr">
        <is>
          <t>Kolkata</t>
        </is>
      </c>
      <c r="J3597" s="2" t="inlineStr">
        <is>
          <t>Store</t>
        </is>
      </c>
      <c r="K3597" s="2" t="n">
        <v>2</v>
      </c>
      <c r="L3597" s="3" t="n">
        <v>1091.25</v>
      </c>
      <c r="M3597" s="4" t="n">
        <v>0.05</v>
      </c>
      <c r="N3597" s="3" t="n">
        <v>1577.65</v>
      </c>
      <c r="O3597" s="3">
        <f>K3597*L3597*(1-M3597)</f>
        <v/>
      </c>
      <c r="P3597" s="3">
        <f>O3597-N3597</f>
        <v/>
      </c>
      <c r="Q3597" s="5">
        <f>IFERROR(P3597/O3597,0)</f>
        <v/>
      </c>
      <c r="R3597" s="2">
        <f>TEXT(DATEVALUE(B3597),"mmm")</f>
        <v/>
      </c>
      <c r="S3597" s="2">
        <f>TEXT(DATEVALUE(B3597),"yyyy-mm")</f>
        <v/>
      </c>
    </row>
    <row r="3598">
      <c r="A3598" s="2" t="inlineStr">
        <is>
          <t>O003691</t>
        </is>
      </c>
      <c r="B3598" s="2" t="inlineStr">
        <is>
          <t>2025-09-21</t>
        </is>
      </c>
      <c r="C3598" s="2" t="inlineStr">
        <is>
          <t>C0529</t>
        </is>
      </c>
      <c r="D3598" s="2" t="inlineStr">
        <is>
          <t>P0003</t>
        </is>
      </c>
      <c r="E3598" s="2" t="inlineStr">
        <is>
          <t>Smartwatch</t>
        </is>
      </c>
      <c r="F3598" s="2" t="inlineStr">
        <is>
          <t>Electronics</t>
        </is>
      </c>
      <c r="G3598" s="2" t="inlineStr">
        <is>
          <t>West</t>
        </is>
      </c>
      <c r="H3598" s="2" t="inlineStr">
        <is>
          <t>Gujarat</t>
        </is>
      </c>
      <c r="I3598" s="2" t="inlineStr">
        <is>
          <t>Ahmedabad</t>
        </is>
      </c>
      <c r="J3598" s="2" t="inlineStr">
        <is>
          <t>Online</t>
        </is>
      </c>
      <c r="K3598" s="2" t="n">
        <v>1</v>
      </c>
      <c r="L3598" s="3" t="n">
        <v>2225.39</v>
      </c>
      <c r="M3598" s="4" t="n">
        <v>0.05</v>
      </c>
      <c r="N3598" s="3" t="n">
        <v>1208.37</v>
      </c>
      <c r="O3598" s="3">
        <f>K3598*L3598*(1-M3598)</f>
        <v/>
      </c>
      <c r="P3598" s="3">
        <f>O3598-N3598</f>
        <v/>
      </c>
      <c r="Q3598" s="5">
        <f>IFERROR(P3598/O3598,0)</f>
        <v/>
      </c>
      <c r="R3598" s="2">
        <f>TEXT(DATEVALUE(B3598),"mmm")</f>
        <v/>
      </c>
      <c r="S3598" s="2">
        <f>TEXT(DATEVALUE(B3598),"yyyy-mm")</f>
        <v/>
      </c>
    </row>
    <row r="3599">
      <c r="A3599" s="2" t="inlineStr">
        <is>
          <t>O003667</t>
        </is>
      </c>
      <c r="B3599" s="2" t="inlineStr">
        <is>
          <t>2025-09-21</t>
        </is>
      </c>
      <c r="C3599" s="2" t="inlineStr">
        <is>
          <t>C0606</t>
        </is>
      </c>
      <c r="D3599" s="2" t="inlineStr">
        <is>
          <t>P0011</t>
        </is>
      </c>
      <c r="E3599" s="2" t="inlineStr">
        <is>
          <t>Cookware Set</t>
        </is>
      </c>
      <c r="F3599" s="2" t="inlineStr">
        <is>
          <t>Home &amp; Kitchen</t>
        </is>
      </c>
      <c r="G3599" s="2" t="inlineStr">
        <is>
          <t>North</t>
        </is>
      </c>
      <c r="H3599" s="2" t="inlineStr">
        <is>
          <t>Haryana</t>
        </is>
      </c>
      <c r="I3599" s="2" t="inlineStr">
        <is>
          <t>Gurugram</t>
        </is>
      </c>
      <c r="J3599" s="2" t="inlineStr">
        <is>
          <t>Online</t>
        </is>
      </c>
      <c r="K3599" s="2" t="n">
        <v>1</v>
      </c>
      <c r="L3599" s="3" t="n">
        <v>710.78</v>
      </c>
      <c r="M3599" s="4" t="n">
        <v>0.05</v>
      </c>
      <c r="N3599" s="3" t="n">
        <v>473.49</v>
      </c>
      <c r="O3599" s="3">
        <f>K3599*L3599*(1-M3599)</f>
        <v/>
      </c>
      <c r="P3599" s="3">
        <f>O3599-N3599</f>
        <v/>
      </c>
      <c r="Q3599" s="5">
        <f>IFERROR(P3599/O3599,0)</f>
        <v/>
      </c>
      <c r="R3599" s="2">
        <f>TEXT(DATEVALUE(B3599),"mmm")</f>
        <v/>
      </c>
      <c r="S3599" s="2">
        <f>TEXT(DATEVALUE(B3599),"yyyy-mm")</f>
        <v/>
      </c>
    </row>
    <row r="3600">
      <c r="A3600" s="2" t="inlineStr">
        <is>
          <t>O003570</t>
        </is>
      </c>
      <c r="B3600" s="2" t="inlineStr">
        <is>
          <t>2025-09-21</t>
        </is>
      </c>
      <c r="C3600" s="2" t="inlineStr">
        <is>
          <t>C0195</t>
        </is>
      </c>
      <c r="D3600" s="2" t="inlineStr">
        <is>
          <t>P0020</t>
        </is>
      </c>
      <c r="E3600" s="2" t="inlineStr">
        <is>
          <t>Sneakers</t>
        </is>
      </c>
      <c r="F3600" s="2" t="inlineStr">
        <is>
          <t>Fashion</t>
        </is>
      </c>
      <c r="G3600" s="2" t="inlineStr">
        <is>
          <t>North</t>
        </is>
      </c>
      <c r="H3600" s="2" t="inlineStr">
        <is>
          <t>Punjab</t>
        </is>
      </c>
      <c r="I3600" s="2" t="inlineStr">
        <is>
          <t>Amritsar</t>
        </is>
      </c>
      <c r="J3600" s="2" t="inlineStr">
        <is>
          <t>Online</t>
        </is>
      </c>
      <c r="K3600" s="2" t="n">
        <v>1</v>
      </c>
      <c r="L3600" s="3" t="n">
        <v>1939.27</v>
      </c>
      <c r="M3600" s="4" t="n">
        <v>0</v>
      </c>
      <c r="N3600" s="3" t="n">
        <v>1491.38</v>
      </c>
      <c r="O3600" s="3">
        <f>K3600*L3600*(1-M3600)</f>
        <v/>
      </c>
      <c r="P3600" s="3">
        <f>O3600-N3600</f>
        <v/>
      </c>
      <c r="Q3600" s="5">
        <f>IFERROR(P3600/O3600,0)</f>
        <v/>
      </c>
      <c r="R3600" s="2">
        <f>TEXT(DATEVALUE(B3600),"mmm")</f>
        <v/>
      </c>
      <c r="S3600" s="2">
        <f>TEXT(DATEVALUE(B3600),"yyyy-mm")</f>
        <v/>
      </c>
    </row>
    <row r="3601">
      <c r="A3601" s="2" t="inlineStr">
        <is>
          <t>O003152</t>
        </is>
      </c>
      <c r="B3601" s="2" t="inlineStr">
        <is>
          <t>2025-09-21</t>
        </is>
      </c>
      <c r="C3601" s="2" t="inlineStr">
        <is>
          <t>C0173</t>
        </is>
      </c>
      <c r="D3601" s="2" t="inlineStr">
        <is>
          <t>P0011</t>
        </is>
      </c>
      <c r="E3601" s="2" t="inlineStr">
        <is>
          <t>Cookware Set</t>
        </is>
      </c>
      <c r="F3601" s="2" t="inlineStr">
        <is>
          <t>Home &amp; Kitchen</t>
        </is>
      </c>
      <c r="G3601" s="2" t="inlineStr">
        <is>
          <t>North</t>
        </is>
      </c>
      <c r="H3601" s="2" t="inlineStr">
        <is>
          <t>Uttar Pradesh</t>
        </is>
      </c>
      <c r="I3601" s="2" t="inlineStr">
        <is>
          <t>Kanpur</t>
        </is>
      </c>
      <c r="J3601" s="2" t="inlineStr">
        <is>
          <t>Online</t>
        </is>
      </c>
      <c r="K3601" s="2" t="n">
        <v>1</v>
      </c>
      <c r="L3601" s="3" t="n">
        <v>676.35</v>
      </c>
      <c r="M3601" s="4" t="n">
        <v>0.05</v>
      </c>
      <c r="N3601" s="3" t="n">
        <v>469.57</v>
      </c>
      <c r="O3601" s="3">
        <f>K3601*L3601*(1-M3601)</f>
        <v/>
      </c>
      <c r="P3601" s="3">
        <f>O3601-N3601</f>
        <v/>
      </c>
      <c r="Q3601" s="5">
        <f>IFERROR(P3601/O3601,0)</f>
        <v/>
      </c>
      <c r="R3601" s="2">
        <f>TEXT(DATEVALUE(B3601),"mmm")</f>
        <v/>
      </c>
      <c r="S3601" s="2">
        <f>TEXT(DATEVALUE(B3601),"yyyy-mm")</f>
        <v/>
      </c>
    </row>
    <row r="3602">
      <c r="A3602" s="2" t="inlineStr">
        <is>
          <t>O002534</t>
        </is>
      </c>
      <c r="B3602" s="2" t="inlineStr">
        <is>
          <t>2025-09-21</t>
        </is>
      </c>
      <c r="C3602" s="2" t="inlineStr">
        <is>
          <t>C0073</t>
        </is>
      </c>
      <c r="D3602" s="2" t="inlineStr">
        <is>
          <t>P0011</t>
        </is>
      </c>
      <c r="E3602" s="2" t="inlineStr">
        <is>
          <t>Cookware Set</t>
        </is>
      </c>
      <c r="F3602" s="2" t="inlineStr">
        <is>
          <t>Home &amp; Kitchen</t>
        </is>
      </c>
      <c r="G3602" s="2" t="inlineStr">
        <is>
          <t>West</t>
        </is>
      </c>
      <c r="H3602" s="2" t="inlineStr">
        <is>
          <t>Gujarat</t>
        </is>
      </c>
      <c r="I3602" s="2" t="inlineStr">
        <is>
          <t>Vadodara</t>
        </is>
      </c>
      <c r="J3602" s="2" t="inlineStr">
        <is>
          <t>Online</t>
        </is>
      </c>
      <c r="K3602" s="2" t="n">
        <v>3</v>
      </c>
      <c r="L3602" s="3" t="n">
        <v>722.65</v>
      </c>
      <c r="M3602" s="4" t="n">
        <v>0.15</v>
      </c>
      <c r="N3602" s="3" t="n">
        <v>1465.26</v>
      </c>
      <c r="O3602" s="3">
        <f>K3602*L3602*(1-M3602)</f>
        <v/>
      </c>
      <c r="P3602" s="3">
        <f>O3602-N3602</f>
        <v/>
      </c>
      <c r="Q3602" s="5">
        <f>IFERROR(P3602/O3602,0)</f>
        <v/>
      </c>
      <c r="R3602" s="2">
        <f>TEXT(DATEVALUE(B3602),"mmm")</f>
        <v/>
      </c>
      <c r="S3602" s="2">
        <f>TEXT(DATEVALUE(B3602),"yyyy-mm")</f>
        <v/>
      </c>
    </row>
    <row r="3603">
      <c r="A3603" s="2" t="inlineStr">
        <is>
          <t>O002306</t>
        </is>
      </c>
      <c r="B3603" s="2" t="inlineStr">
        <is>
          <t>2025-09-21</t>
        </is>
      </c>
      <c r="C3603" s="2" t="inlineStr">
        <is>
          <t>C0004</t>
        </is>
      </c>
      <c r="D3603" s="2" t="inlineStr">
        <is>
          <t>P0006</t>
        </is>
      </c>
      <c r="E3603" s="2" t="inlineStr">
        <is>
          <t>Mechanical Keyboard</t>
        </is>
      </c>
      <c r="F3603" s="2" t="inlineStr">
        <is>
          <t>Electronics</t>
        </is>
      </c>
      <c r="G3603" s="2" t="inlineStr">
        <is>
          <t>South</t>
        </is>
      </c>
      <c r="H3603" s="2" t="inlineStr">
        <is>
          <t>Karnataka</t>
        </is>
      </c>
      <c r="I3603" s="2" t="inlineStr">
        <is>
          <t>Mangaluru</t>
        </is>
      </c>
      <c r="J3603" s="2" t="inlineStr">
        <is>
          <t>Store</t>
        </is>
      </c>
      <c r="K3603" s="2" t="n">
        <v>5</v>
      </c>
      <c r="L3603" s="3" t="n">
        <v>2654.05</v>
      </c>
      <c r="M3603" s="4" t="n">
        <v>0.15</v>
      </c>
      <c r="N3603" s="3" t="n">
        <v>7242.83</v>
      </c>
      <c r="O3603" s="3">
        <f>K3603*L3603*(1-M3603)</f>
        <v/>
      </c>
      <c r="P3603" s="3">
        <f>O3603-N3603</f>
        <v/>
      </c>
      <c r="Q3603" s="5">
        <f>IFERROR(P3603/O3603,0)</f>
        <v/>
      </c>
      <c r="R3603" s="2">
        <f>TEXT(DATEVALUE(B3603),"mmm")</f>
        <v/>
      </c>
      <c r="S3603" s="2">
        <f>TEXT(DATEVALUE(B3603),"yyyy-mm")</f>
        <v/>
      </c>
    </row>
    <row r="3604">
      <c r="A3604" s="2" t="inlineStr">
        <is>
          <t>O002286</t>
        </is>
      </c>
      <c r="B3604" s="2" t="inlineStr">
        <is>
          <t>2025-09-21</t>
        </is>
      </c>
      <c r="C3604" s="2" t="inlineStr">
        <is>
          <t>C0568</t>
        </is>
      </c>
      <c r="D3604" s="2" t="inlineStr">
        <is>
          <t>P0011</t>
        </is>
      </c>
      <c r="E3604" s="2" t="inlineStr">
        <is>
          <t>Cookware Set</t>
        </is>
      </c>
      <c r="F3604" s="2" t="inlineStr">
        <is>
          <t>Home &amp; Kitchen</t>
        </is>
      </c>
      <c r="G3604" s="2" t="inlineStr">
        <is>
          <t>North</t>
        </is>
      </c>
      <c r="H3604" s="2" t="inlineStr">
        <is>
          <t>Uttar Pradesh</t>
        </is>
      </c>
      <c r="I3604" s="2" t="inlineStr">
        <is>
          <t>Varanasi</t>
        </is>
      </c>
      <c r="J3604" s="2" t="inlineStr">
        <is>
          <t>Online</t>
        </is>
      </c>
      <c r="K3604" s="2" t="n">
        <v>5</v>
      </c>
      <c r="L3604" s="3" t="n">
        <v>727.77</v>
      </c>
      <c r="M3604" s="4" t="n">
        <v>0.05</v>
      </c>
      <c r="N3604" s="3" t="n">
        <v>2426.32</v>
      </c>
      <c r="O3604" s="3">
        <f>K3604*L3604*(1-M3604)</f>
        <v/>
      </c>
      <c r="P3604" s="3">
        <f>O3604-N3604</f>
        <v/>
      </c>
      <c r="Q3604" s="5">
        <f>IFERROR(P3604/O3604,0)</f>
        <v/>
      </c>
      <c r="R3604" s="2">
        <f>TEXT(DATEVALUE(B3604),"mmm")</f>
        <v/>
      </c>
      <c r="S3604" s="2">
        <f>TEXT(DATEVALUE(B3604),"yyyy-mm")</f>
        <v/>
      </c>
    </row>
    <row r="3605">
      <c r="A3605" s="2" t="inlineStr">
        <is>
          <t>O001986</t>
        </is>
      </c>
      <c r="B3605" s="2" t="inlineStr">
        <is>
          <t>2025-09-21</t>
        </is>
      </c>
      <c r="C3605" s="2" t="inlineStr">
        <is>
          <t>C0150</t>
        </is>
      </c>
      <c r="D3605" s="2" t="inlineStr">
        <is>
          <t>P0018</t>
        </is>
      </c>
      <c r="E3605" s="2" t="inlineStr">
        <is>
          <t>Backpack</t>
        </is>
      </c>
      <c r="F3605" s="2" t="inlineStr">
        <is>
          <t>Fashion</t>
        </is>
      </c>
      <c r="G3605" s="2" t="inlineStr">
        <is>
          <t>South</t>
        </is>
      </c>
      <c r="H3605" s="2" t="inlineStr">
        <is>
          <t>Karnataka</t>
        </is>
      </c>
      <c r="I3605" s="2" t="inlineStr">
        <is>
          <t>Mysuru</t>
        </is>
      </c>
      <c r="J3605" s="2" t="inlineStr">
        <is>
          <t>Online</t>
        </is>
      </c>
      <c r="K3605" s="2" t="n">
        <v>4</v>
      </c>
      <c r="L3605" s="3" t="n">
        <v>1813.55</v>
      </c>
      <c r="M3605" s="4" t="n">
        <v>0.05</v>
      </c>
      <c r="N3605" s="3" t="n">
        <v>5485.27</v>
      </c>
      <c r="O3605" s="3">
        <f>K3605*L3605*(1-M3605)</f>
        <v/>
      </c>
      <c r="P3605" s="3">
        <f>O3605-N3605</f>
        <v/>
      </c>
      <c r="Q3605" s="5">
        <f>IFERROR(P3605/O3605,0)</f>
        <v/>
      </c>
      <c r="R3605" s="2">
        <f>TEXT(DATEVALUE(B3605),"mmm")</f>
        <v/>
      </c>
      <c r="S3605" s="2">
        <f>TEXT(DATEVALUE(B3605),"yyyy-mm")</f>
        <v/>
      </c>
    </row>
    <row r="3606">
      <c r="A3606" s="2" t="inlineStr">
        <is>
          <t>O001851</t>
        </is>
      </c>
      <c r="B3606" s="2" t="inlineStr">
        <is>
          <t>2025-09-21</t>
        </is>
      </c>
      <c r="C3606" s="2" t="inlineStr">
        <is>
          <t>C0603</t>
        </is>
      </c>
      <c r="D3606" s="2" t="inlineStr">
        <is>
          <t>P0018</t>
        </is>
      </c>
      <c r="E3606" s="2" t="inlineStr">
        <is>
          <t>Backpack</t>
        </is>
      </c>
      <c r="F3606" s="2" t="inlineStr">
        <is>
          <t>Fashion</t>
        </is>
      </c>
      <c r="G3606" s="2" t="inlineStr">
        <is>
          <t>North</t>
        </is>
      </c>
      <c r="H3606" s="2" t="inlineStr">
        <is>
          <t>Uttar Pradesh</t>
        </is>
      </c>
      <c r="I3606" s="2" t="inlineStr">
        <is>
          <t>Kanpur</t>
        </is>
      </c>
      <c r="J3606" s="2" t="inlineStr">
        <is>
          <t>Online</t>
        </is>
      </c>
      <c r="K3606" s="2" t="n">
        <v>1</v>
      </c>
      <c r="L3606" s="3" t="n">
        <v>1832.09</v>
      </c>
      <c r="M3606" s="4" t="n">
        <v>0</v>
      </c>
      <c r="N3606" s="3" t="n">
        <v>1326.24</v>
      </c>
      <c r="O3606" s="3">
        <f>K3606*L3606*(1-M3606)</f>
        <v/>
      </c>
      <c r="P3606" s="3">
        <f>O3606-N3606</f>
        <v/>
      </c>
      <c r="Q3606" s="5">
        <f>IFERROR(P3606/O3606,0)</f>
        <v/>
      </c>
      <c r="R3606" s="2">
        <f>TEXT(DATEVALUE(B3606),"mmm")</f>
        <v/>
      </c>
      <c r="S3606" s="2">
        <f>TEXT(DATEVALUE(B3606),"yyyy-mm")</f>
        <v/>
      </c>
    </row>
    <row r="3607">
      <c r="A3607" s="2" t="inlineStr">
        <is>
          <t>O001439</t>
        </is>
      </c>
      <c r="B3607" s="2" t="inlineStr">
        <is>
          <t>2025-09-21</t>
        </is>
      </c>
      <c r="C3607" s="2" t="inlineStr">
        <is>
          <t>C0263</t>
        </is>
      </c>
      <c r="D3607" s="2" t="inlineStr">
        <is>
          <t>P0007</t>
        </is>
      </c>
      <c r="E3607" s="2" t="inlineStr">
        <is>
          <t>Wireless Mouse</t>
        </is>
      </c>
      <c r="F3607" s="2" t="inlineStr">
        <is>
          <t>Electronics</t>
        </is>
      </c>
      <c r="G3607" s="2" t="inlineStr">
        <is>
          <t>West</t>
        </is>
      </c>
      <c r="H3607" s="2" t="inlineStr">
        <is>
          <t>Goa</t>
        </is>
      </c>
      <c r="I3607" s="2" t="inlineStr">
        <is>
          <t>Panaji</t>
        </is>
      </c>
      <c r="J3607" s="2" t="inlineStr">
        <is>
          <t>Online</t>
        </is>
      </c>
      <c r="K3607" s="2" t="n">
        <v>1</v>
      </c>
      <c r="L3607" s="3" t="n">
        <v>964.4299999999999</v>
      </c>
      <c r="M3607" s="4" t="n">
        <v>0.05</v>
      </c>
      <c r="N3607" s="3" t="n">
        <v>619.1</v>
      </c>
      <c r="O3607" s="3">
        <f>K3607*L3607*(1-M3607)</f>
        <v/>
      </c>
      <c r="P3607" s="3">
        <f>O3607-N3607</f>
        <v/>
      </c>
      <c r="Q3607" s="5">
        <f>IFERROR(P3607/O3607,0)</f>
        <v/>
      </c>
      <c r="R3607" s="2">
        <f>TEXT(DATEVALUE(B3607),"mmm")</f>
        <v/>
      </c>
      <c r="S3607" s="2">
        <f>TEXT(DATEVALUE(B3607),"yyyy-mm")</f>
        <v/>
      </c>
    </row>
    <row r="3608">
      <c r="A3608" s="2" t="inlineStr">
        <is>
          <t>O001266</t>
        </is>
      </c>
      <c r="B3608" s="2" t="inlineStr">
        <is>
          <t>2025-09-21</t>
        </is>
      </c>
      <c r="C3608" s="2" t="inlineStr">
        <is>
          <t>C0456</t>
        </is>
      </c>
      <c r="D3608" s="2" t="inlineStr">
        <is>
          <t>P0017</t>
        </is>
      </c>
      <c r="E3608" s="2" t="inlineStr">
        <is>
          <t>Jeans</t>
        </is>
      </c>
      <c r="F3608" s="2" t="inlineStr">
        <is>
          <t>Fashion</t>
        </is>
      </c>
      <c r="G3608" s="2" t="inlineStr">
        <is>
          <t>East</t>
        </is>
      </c>
      <c r="H3608" s="2" t="inlineStr">
        <is>
          <t>Odisha</t>
        </is>
      </c>
      <c r="I3608" s="2" t="inlineStr">
        <is>
          <t>Cuttack</t>
        </is>
      </c>
      <c r="J3608" s="2" t="inlineStr">
        <is>
          <t>Store</t>
        </is>
      </c>
      <c r="K3608" s="2" t="n">
        <v>1</v>
      </c>
      <c r="L3608" s="3" t="n">
        <v>1443.77</v>
      </c>
      <c r="M3608" s="4" t="n">
        <v>0.2</v>
      </c>
      <c r="N3608" s="3" t="n">
        <v>1039.63</v>
      </c>
      <c r="O3608" s="3">
        <f>K3608*L3608*(1-M3608)</f>
        <v/>
      </c>
      <c r="P3608" s="3">
        <f>O3608-N3608</f>
        <v/>
      </c>
      <c r="Q3608" s="5">
        <f>IFERROR(P3608/O3608,0)</f>
        <v/>
      </c>
      <c r="R3608" s="2">
        <f>TEXT(DATEVALUE(B3608),"mmm")</f>
        <v/>
      </c>
      <c r="S3608" s="2">
        <f>TEXT(DATEVALUE(B3608),"yyyy-mm")</f>
        <v/>
      </c>
    </row>
    <row r="3609">
      <c r="A3609" s="2" t="inlineStr">
        <is>
          <t>O001239</t>
        </is>
      </c>
      <c r="B3609" s="2" t="inlineStr">
        <is>
          <t>2025-09-21</t>
        </is>
      </c>
      <c r="C3609" s="2" t="inlineStr">
        <is>
          <t>C0682</t>
        </is>
      </c>
      <c r="D3609" s="2" t="inlineStr">
        <is>
          <t>P0004</t>
        </is>
      </c>
      <c r="E3609" s="2" t="inlineStr">
        <is>
          <t>USB-C Hub</t>
        </is>
      </c>
      <c r="F3609" s="2" t="inlineStr">
        <is>
          <t>Electronics</t>
        </is>
      </c>
      <c r="G3609" s="2" t="inlineStr">
        <is>
          <t>West</t>
        </is>
      </c>
      <c r="H3609" s="2" t="inlineStr">
        <is>
          <t>Maharashtra</t>
        </is>
      </c>
      <c r="I3609" s="2" t="inlineStr">
        <is>
          <t>Pune</t>
        </is>
      </c>
      <c r="J3609" s="2" t="inlineStr">
        <is>
          <t>Online</t>
        </is>
      </c>
      <c r="K3609" s="2" t="n">
        <v>2</v>
      </c>
      <c r="L3609" s="3" t="n">
        <v>1274.05</v>
      </c>
      <c r="M3609" s="4" t="n">
        <v>0.25</v>
      </c>
      <c r="N3609" s="3" t="n">
        <v>1897.98</v>
      </c>
      <c r="O3609" s="3">
        <f>K3609*L3609*(1-M3609)</f>
        <v/>
      </c>
      <c r="P3609" s="3">
        <f>O3609-N3609</f>
        <v/>
      </c>
      <c r="Q3609" s="5">
        <f>IFERROR(P3609/O3609,0)</f>
        <v/>
      </c>
      <c r="R3609" s="2">
        <f>TEXT(DATEVALUE(B3609),"mmm")</f>
        <v/>
      </c>
      <c r="S3609" s="2">
        <f>TEXT(DATEVALUE(B3609),"yyyy-mm")</f>
        <v/>
      </c>
    </row>
    <row r="3610">
      <c r="A3610" s="2" t="inlineStr">
        <is>
          <t>O000930</t>
        </is>
      </c>
      <c r="B3610" s="2" t="inlineStr">
        <is>
          <t>2025-09-21</t>
        </is>
      </c>
      <c r="C3610" s="2" t="inlineStr">
        <is>
          <t>C0458</t>
        </is>
      </c>
      <c r="D3610" s="2" t="inlineStr">
        <is>
          <t>P0011</t>
        </is>
      </c>
      <c r="E3610" s="2" t="inlineStr">
        <is>
          <t>Cookware Set</t>
        </is>
      </c>
      <c r="F3610" s="2" t="inlineStr">
        <is>
          <t>Home &amp; Kitchen</t>
        </is>
      </c>
      <c r="G3610" s="2" t="inlineStr">
        <is>
          <t>West</t>
        </is>
      </c>
      <c r="H3610" s="2" t="inlineStr">
        <is>
          <t>Maharashtra</t>
        </is>
      </c>
      <c r="I3610" s="2" t="inlineStr">
        <is>
          <t>Nashik</t>
        </is>
      </c>
      <c r="J3610" s="2" t="inlineStr">
        <is>
          <t>Online</t>
        </is>
      </c>
      <c r="K3610" s="2" t="n">
        <v>2</v>
      </c>
      <c r="L3610" s="3" t="n">
        <v>724.78</v>
      </c>
      <c r="M3610" s="4" t="n">
        <v>0.15</v>
      </c>
      <c r="N3610" s="3" t="n">
        <v>912.65</v>
      </c>
      <c r="O3610" s="3">
        <f>K3610*L3610*(1-M3610)</f>
        <v/>
      </c>
      <c r="P3610" s="3">
        <f>O3610-N3610</f>
        <v/>
      </c>
      <c r="Q3610" s="5">
        <f>IFERROR(P3610/O3610,0)</f>
        <v/>
      </c>
      <c r="R3610" s="2">
        <f>TEXT(DATEVALUE(B3610),"mmm")</f>
        <v/>
      </c>
      <c r="S3610" s="2">
        <f>TEXT(DATEVALUE(B3610),"yyyy-mm")</f>
        <v/>
      </c>
    </row>
    <row r="3611">
      <c r="A3611" s="2" t="inlineStr">
        <is>
          <t>O000528</t>
        </is>
      </c>
      <c r="B3611" s="2" t="inlineStr">
        <is>
          <t>2025-09-21</t>
        </is>
      </c>
      <c r="C3611" s="2" t="inlineStr">
        <is>
          <t>C0617</t>
        </is>
      </c>
      <c r="D3611" s="2" t="inlineStr">
        <is>
          <t>P0017</t>
        </is>
      </c>
      <c r="E3611" s="2" t="inlineStr">
        <is>
          <t>Jeans</t>
        </is>
      </c>
      <c r="F3611" s="2" t="inlineStr">
        <is>
          <t>Fashion</t>
        </is>
      </c>
      <c r="G3611" s="2" t="inlineStr">
        <is>
          <t>West</t>
        </is>
      </c>
      <c r="H3611" s="2" t="inlineStr">
        <is>
          <t>Maharashtra</t>
        </is>
      </c>
      <c r="I3611" s="2" t="inlineStr">
        <is>
          <t>Nashik</t>
        </is>
      </c>
      <c r="J3611" s="2" t="inlineStr">
        <is>
          <t>Store</t>
        </is>
      </c>
      <c r="K3611" s="2" t="n">
        <v>2</v>
      </c>
      <c r="L3611" s="3" t="n">
        <v>1485.61</v>
      </c>
      <c r="M3611" s="4" t="n">
        <v>0.05</v>
      </c>
      <c r="N3611" s="3" t="n">
        <v>2100.11</v>
      </c>
      <c r="O3611" s="3">
        <f>K3611*L3611*(1-M3611)</f>
        <v/>
      </c>
      <c r="P3611" s="3">
        <f>O3611-N3611</f>
        <v/>
      </c>
      <c r="Q3611" s="5">
        <f>IFERROR(P3611/O3611,0)</f>
        <v/>
      </c>
      <c r="R3611" s="2">
        <f>TEXT(DATEVALUE(B3611),"mmm")</f>
        <v/>
      </c>
      <c r="S3611" s="2">
        <f>TEXT(DATEVALUE(B3611),"yyyy-mm")</f>
        <v/>
      </c>
    </row>
    <row r="3612">
      <c r="A3612" s="2" t="inlineStr">
        <is>
          <t>O000412</t>
        </is>
      </c>
      <c r="B3612" s="2" t="inlineStr">
        <is>
          <t>2025-09-21</t>
        </is>
      </c>
      <c r="C3612" s="2" t="inlineStr">
        <is>
          <t>C0522</t>
        </is>
      </c>
      <c r="D3612" s="2" t="inlineStr">
        <is>
          <t>P0002</t>
        </is>
      </c>
      <c r="E3612" s="2" t="inlineStr">
        <is>
          <t>Bluetooth Speaker</t>
        </is>
      </c>
      <c r="F3612" s="2" t="inlineStr">
        <is>
          <t>Electronics</t>
        </is>
      </c>
      <c r="G3612" s="2" t="inlineStr">
        <is>
          <t>West</t>
        </is>
      </c>
      <c r="H3612" s="2" t="inlineStr">
        <is>
          <t>Goa</t>
        </is>
      </c>
      <c r="I3612" s="2" t="inlineStr">
        <is>
          <t>Panaji</t>
        </is>
      </c>
      <c r="J3612" s="2" t="inlineStr">
        <is>
          <t>Store</t>
        </is>
      </c>
      <c r="K3612" s="2" t="n">
        <v>3</v>
      </c>
      <c r="L3612" s="3" t="n">
        <v>1311.96</v>
      </c>
      <c r="M3612" s="4" t="n">
        <v>0.2</v>
      </c>
      <c r="N3612" s="3" t="n">
        <v>2465.88</v>
      </c>
      <c r="O3612" s="3">
        <f>K3612*L3612*(1-M3612)</f>
        <v/>
      </c>
      <c r="P3612" s="3">
        <f>O3612-N3612</f>
        <v/>
      </c>
      <c r="Q3612" s="5">
        <f>IFERROR(P3612/O3612,0)</f>
        <v/>
      </c>
      <c r="R3612" s="2">
        <f>TEXT(DATEVALUE(B3612),"mmm")</f>
        <v/>
      </c>
      <c r="S3612" s="2">
        <f>TEXT(DATEVALUE(B3612),"yyyy-mm")</f>
        <v/>
      </c>
    </row>
    <row r="3613">
      <c r="A3613" s="2" t="inlineStr">
        <is>
          <t>O000386</t>
        </is>
      </c>
      <c r="B3613" s="2" t="inlineStr">
        <is>
          <t>2025-09-21</t>
        </is>
      </c>
      <c r="C3613" s="2" t="inlineStr">
        <is>
          <t>C0568</t>
        </is>
      </c>
      <c r="D3613" s="2" t="inlineStr">
        <is>
          <t>P0009</t>
        </is>
      </c>
      <c r="E3613" s="2" t="inlineStr">
        <is>
          <t>Electric Kettle</t>
        </is>
      </c>
      <c r="F3613" s="2" t="inlineStr">
        <is>
          <t>Home &amp; Kitchen</t>
        </is>
      </c>
      <c r="G3613" s="2" t="inlineStr">
        <is>
          <t>South</t>
        </is>
      </c>
      <c r="H3613" s="2" t="inlineStr">
        <is>
          <t>Tamil Nadu</t>
        </is>
      </c>
      <c r="I3613" s="2" t="inlineStr">
        <is>
          <t>Madurai</t>
        </is>
      </c>
      <c r="J3613" s="2" t="inlineStr">
        <is>
          <t>Online</t>
        </is>
      </c>
      <c r="K3613" s="2" t="n">
        <v>2</v>
      </c>
      <c r="L3613" s="3" t="n">
        <v>2179.16</v>
      </c>
      <c r="M3613" s="4" t="n">
        <v>0.05</v>
      </c>
      <c r="N3613" s="3" t="n">
        <v>2334.8</v>
      </c>
      <c r="O3613" s="3">
        <f>K3613*L3613*(1-M3613)</f>
        <v/>
      </c>
      <c r="P3613" s="3">
        <f>O3613-N3613</f>
        <v/>
      </c>
      <c r="Q3613" s="5">
        <f>IFERROR(P3613/O3613,0)</f>
        <v/>
      </c>
      <c r="R3613" s="2">
        <f>TEXT(DATEVALUE(B3613),"mmm")</f>
        <v/>
      </c>
      <c r="S3613" s="2">
        <f>TEXT(DATEVALUE(B3613),"yyyy-mm")</f>
        <v/>
      </c>
    </row>
    <row r="3614">
      <c r="A3614" s="2" t="inlineStr">
        <is>
          <t>O000315</t>
        </is>
      </c>
      <c r="B3614" s="2" t="inlineStr">
        <is>
          <t>2025-09-21</t>
        </is>
      </c>
      <c r="C3614" s="2" t="inlineStr">
        <is>
          <t>C0611</t>
        </is>
      </c>
      <c r="D3614" s="2" t="inlineStr">
        <is>
          <t>P0018</t>
        </is>
      </c>
      <c r="E3614" s="2" t="inlineStr">
        <is>
          <t>Backpack</t>
        </is>
      </c>
      <c r="F3614" s="2" t="inlineStr">
        <is>
          <t>Fashion</t>
        </is>
      </c>
      <c r="G3614" s="2" t="inlineStr">
        <is>
          <t>West</t>
        </is>
      </c>
      <c r="H3614" s="2" t="inlineStr">
        <is>
          <t>Gujarat</t>
        </is>
      </c>
      <c r="I3614" s="2" t="inlineStr">
        <is>
          <t>Ahmedabad</t>
        </is>
      </c>
      <c r="J3614" s="2" t="inlineStr">
        <is>
          <t>Online</t>
        </is>
      </c>
      <c r="K3614" s="2" t="n">
        <v>4</v>
      </c>
      <c r="L3614" s="3" t="n">
        <v>1788.5</v>
      </c>
      <c r="M3614" s="4" t="n">
        <v>0</v>
      </c>
      <c r="N3614" s="3" t="n">
        <v>5587.54</v>
      </c>
      <c r="O3614" s="3">
        <f>K3614*L3614*(1-M3614)</f>
        <v/>
      </c>
      <c r="P3614" s="3">
        <f>O3614-N3614</f>
        <v/>
      </c>
      <c r="Q3614" s="5">
        <f>IFERROR(P3614/O3614,0)</f>
        <v/>
      </c>
      <c r="R3614" s="2">
        <f>TEXT(DATEVALUE(B3614),"mmm")</f>
        <v/>
      </c>
      <c r="S3614" s="2">
        <f>TEXT(DATEVALUE(B3614),"yyyy-mm")</f>
        <v/>
      </c>
    </row>
    <row r="3615">
      <c r="A3615" s="2" t="inlineStr">
        <is>
          <t>O000058</t>
        </is>
      </c>
      <c r="B3615" s="2" t="inlineStr">
        <is>
          <t>2025-09-21</t>
        </is>
      </c>
      <c r="C3615" s="2" t="inlineStr">
        <is>
          <t>C0723</t>
        </is>
      </c>
      <c r="D3615" s="2" t="inlineStr">
        <is>
          <t>P0027</t>
        </is>
      </c>
      <c r="E3615" s="2" t="inlineStr">
        <is>
          <t>Moisturizer</t>
        </is>
      </c>
      <c r="F3615" s="2" t="inlineStr">
        <is>
          <t>Beauty</t>
        </is>
      </c>
      <c r="G3615" s="2" t="inlineStr">
        <is>
          <t>West</t>
        </is>
      </c>
      <c r="H3615" s="2" t="inlineStr">
        <is>
          <t>Maharashtra</t>
        </is>
      </c>
      <c r="I3615" s="2" t="inlineStr">
        <is>
          <t>Nagpur</t>
        </is>
      </c>
      <c r="J3615" s="2" t="inlineStr">
        <is>
          <t>Online</t>
        </is>
      </c>
      <c r="K3615" s="2" t="n">
        <v>3</v>
      </c>
      <c r="L3615" s="3" t="n">
        <v>923.41</v>
      </c>
      <c r="M3615" s="4" t="n">
        <v>0.1</v>
      </c>
      <c r="N3615" s="3" t="n">
        <v>2063.91</v>
      </c>
      <c r="O3615" s="3">
        <f>K3615*L3615*(1-M3615)</f>
        <v/>
      </c>
      <c r="P3615" s="3">
        <f>O3615-N3615</f>
        <v/>
      </c>
      <c r="Q3615" s="5">
        <f>IFERROR(P3615/O3615,0)</f>
        <v/>
      </c>
      <c r="R3615" s="2">
        <f>TEXT(DATEVALUE(B3615),"mmm")</f>
        <v/>
      </c>
      <c r="S3615" s="2">
        <f>TEXT(DATEVALUE(B3615),"yyyy-mm")</f>
        <v/>
      </c>
    </row>
    <row r="3616">
      <c r="A3616" s="2" t="inlineStr">
        <is>
          <t>O002048</t>
        </is>
      </c>
      <c r="B3616" s="2" t="inlineStr">
        <is>
          <t>2025-09-21</t>
        </is>
      </c>
      <c r="C3616" s="2" t="inlineStr">
        <is>
          <t>C0039</t>
        </is>
      </c>
      <c r="D3616" s="2" t="inlineStr">
        <is>
          <t>P0019</t>
        </is>
      </c>
      <c r="E3616" s="2" t="inlineStr">
        <is>
          <t>Jacket</t>
        </is>
      </c>
      <c r="F3616" s="2" t="inlineStr">
        <is>
          <t>Fashion</t>
        </is>
      </c>
      <c r="G3616" s="2" t="inlineStr">
        <is>
          <t>West</t>
        </is>
      </c>
      <c r="H3616" s="2" t="inlineStr">
        <is>
          <t>Gujarat</t>
        </is>
      </c>
      <c r="I3616" s="2" t="inlineStr">
        <is>
          <t>Surat</t>
        </is>
      </c>
      <c r="J3616" s="2" t="inlineStr">
        <is>
          <t>Online</t>
        </is>
      </c>
      <c r="K3616" s="2" t="n">
        <v>4</v>
      </c>
      <c r="L3616" s="3" t="n">
        <v>1046.1</v>
      </c>
      <c r="M3616" s="4" t="n">
        <v>0.1</v>
      </c>
      <c r="N3616" s="3" t="n">
        <v>2651.3</v>
      </c>
      <c r="O3616" s="3">
        <f>K3616*L3616*(1-M3616)</f>
        <v/>
      </c>
      <c r="P3616" s="3">
        <f>O3616-N3616</f>
        <v/>
      </c>
      <c r="Q3616" s="5">
        <f>IFERROR(P3616/O3616,0)</f>
        <v/>
      </c>
      <c r="R3616" s="2">
        <f>TEXT(DATEVALUE(B3616),"mmm")</f>
        <v/>
      </c>
      <c r="S3616" s="2">
        <f>TEXT(DATEVALUE(B3616),"yyyy-mm")</f>
        <v/>
      </c>
    </row>
    <row r="3617">
      <c r="A3617" s="2" t="inlineStr">
        <is>
          <t>O003256</t>
        </is>
      </c>
      <c r="B3617" s="2" t="inlineStr">
        <is>
          <t>2025-09-22</t>
        </is>
      </c>
      <c r="C3617" s="2" t="inlineStr">
        <is>
          <t>C0642</t>
        </is>
      </c>
      <c r="D3617" s="2" t="inlineStr">
        <is>
          <t>P0007</t>
        </is>
      </c>
      <c r="E3617" s="2" t="inlineStr">
        <is>
          <t>Wireless Mouse</t>
        </is>
      </c>
      <c r="F3617" s="2" t="inlineStr">
        <is>
          <t>Electronics</t>
        </is>
      </c>
      <c r="G3617" s="2" t="inlineStr">
        <is>
          <t>East</t>
        </is>
      </c>
      <c r="H3617" s="2" t="inlineStr">
        <is>
          <t>Bihar</t>
        </is>
      </c>
      <c r="I3617" s="2" t="inlineStr">
        <is>
          <t>Gaya</t>
        </is>
      </c>
      <c r="J3617" s="2" t="inlineStr">
        <is>
          <t>Store</t>
        </is>
      </c>
      <c r="K3617" s="2" t="n">
        <v>4</v>
      </c>
      <c r="L3617" s="3" t="n">
        <v>980.04</v>
      </c>
      <c r="M3617" s="4" t="n">
        <v>0.15</v>
      </c>
      <c r="N3617" s="3" t="n">
        <v>2493.77</v>
      </c>
      <c r="O3617" s="3">
        <f>K3617*L3617*(1-M3617)</f>
        <v/>
      </c>
      <c r="P3617" s="3">
        <f>O3617-N3617</f>
        <v/>
      </c>
      <c r="Q3617" s="5">
        <f>IFERROR(P3617/O3617,0)</f>
        <v/>
      </c>
      <c r="R3617" s="2">
        <f>TEXT(DATEVALUE(B3617),"mmm")</f>
        <v/>
      </c>
      <c r="S3617" s="2">
        <f>TEXT(DATEVALUE(B3617),"yyyy-mm")</f>
        <v/>
      </c>
    </row>
    <row r="3618">
      <c r="A3618" s="2" t="inlineStr">
        <is>
          <t>O004018</t>
        </is>
      </c>
      <c r="B3618" s="2" t="inlineStr">
        <is>
          <t>2025-09-22</t>
        </is>
      </c>
      <c r="C3618" s="2" t="inlineStr">
        <is>
          <t>C0290</t>
        </is>
      </c>
      <c r="D3618" s="2" t="inlineStr">
        <is>
          <t>P0016</t>
        </is>
      </c>
      <c r="E3618" s="2" t="inlineStr">
        <is>
          <t>Casual Shirt</t>
        </is>
      </c>
      <c r="F3618" s="2" t="inlineStr">
        <is>
          <t>Fashion</t>
        </is>
      </c>
      <c r="G3618" s="2" t="inlineStr">
        <is>
          <t>South</t>
        </is>
      </c>
      <c r="H3618" s="2" t="inlineStr">
        <is>
          <t>Karnataka</t>
        </is>
      </c>
      <c r="I3618" s="2" t="inlineStr">
        <is>
          <t>Mysuru</t>
        </is>
      </c>
      <c r="J3618" s="2" t="inlineStr">
        <is>
          <t>Online</t>
        </is>
      </c>
      <c r="K3618" s="2" t="n">
        <v>3</v>
      </c>
      <c r="L3618" s="3" t="n">
        <v>1304.38</v>
      </c>
      <c r="M3618" s="4" t="n">
        <v>0.25</v>
      </c>
      <c r="N3618" s="3" t="n">
        <v>2688.8</v>
      </c>
      <c r="O3618" s="3">
        <f>K3618*L3618*(1-M3618)</f>
        <v/>
      </c>
      <c r="P3618" s="3">
        <f>O3618-N3618</f>
        <v/>
      </c>
      <c r="Q3618" s="5">
        <f>IFERROR(P3618/O3618,0)</f>
        <v/>
      </c>
      <c r="R3618" s="2">
        <f>TEXT(DATEVALUE(B3618),"mmm")</f>
        <v/>
      </c>
      <c r="S3618" s="2">
        <f>TEXT(DATEVALUE(B3618),"yyyy-mm")</f>
        <v/>
      </c>
    </row>
    <row r="3619">
      <c r="A3619" s="2" t="inlineStr">
        <is>
          <t>O003597</t>
        </is>
      </c>
      <c r="B3619" s="2" t="inlineStr">
        <is>
          <t>2025-09-22</t>
        </is>
      </c>
      <c r="C3619" s="2" t="inlineStr">
        <is>
          <t>C0139</t>
        </is>
      </c>
      <c r="D3619" s="2" t="inlineStr">
        <is>
          <t>P0005</t>
        </is>
      </c>
      <c r="E3619" s="2" t="inlineStr">
        <is>
          <t>Power Bank</t>
        </is>
      </c>
      <c r="F3619" s="2" t="inlineStr">
        <is>
          <t>Electronics</t>
        </is>
      </c>
      <c r="G3619" s="2" t="inlineStr">
        <is>
          <t>East</t>
        </is>
      </c>
      <c r="H3619" s="2" t="inlineStr">
        <is>
          <t>West Bengal</t>
        </is>
      </c>
      <c r="I3619" s="2" t="inlineStr">
        <is>
          <t>Kolkata</t>
        </is>
      </c>
      <c r="J3619" s="2" t="inlineStr">
        <is>
          <t>Store</t>
        </is>
      </c>
      <c r="K3619" s="2" t="n">
        <v>1</v>
      </c>
      <c r="L3619" s="3" t="n">
        <v>1152.07</v>
      </c>
      <c r="M3619" s="4" t="n">
        <v>0.1</v>
      </c>
      <c r="N3619" s="3" t="n">
        <v>665.8200000000001</v>
      </c>
      <c r="O3619" s="3">
        <f>K3619*L3619*(1-M3619)</f>
        <v/>
      </c>
      <c r="P3619" s="3">
        <f>O3619-N3619</f>
        <v/>
      </c>
      <c r="Q3619" s="5">
        <f>IFERROR(P3619/O3619,0)</f>
        <v/>
      </c>
      <c r="R3619" s="2">
        <f>TEXT(DATEVALUE(B3619),"mmm")</f>
        <v/>
      </c>
      <c r="S3619" s="2">
        <f>TEXT(DATEVALUE(B3619),"yyyy-mm")</f>
        <v/>
      </c>
    </row>
    <row r="3620">
      <c r="A3620" s="2" t="inlineStr">
        <is>
          <t>O003138</t>
        </is>
      </c>
      <c r="B3620" s="2" t="inlineStr">
        <is>
          <t>2025-09-22</t>
        </is>
      </c>
      <c r="C3620" s="2" t="inlineStr">
        <is>
          <t>C0514</t>
        </is>
      </c>
      <c r="D3620" s="2" t="inlineStr">
        <is>
          <t>P0011</t>
        </is>
      </c>
      <c r="E3620" s="2" t="inlineStr">
        <is>
          <t>Cookware Set</t>
        </is>
      </c>
      <c r="F3620" s="2" t="inlineStr">
        <is>
          <t>Home &amp; Kitchen</t>
        </is>
      </c>
      <c r="G3620" s="2" t="inlineStr">
        <is>
          <t>South</t>
        </is>
      </c>
      <c r="H3620" s="2" t="inlineStr">
        <is>
          <t>Kerala</t>
        </is>
      </c>
      <c r="I3620" s="2" t="inlineStr">
        <is>
          <t>Thiruvananthapuram</t>
        </is>
      </c>
      <c r="J3620" s="2" t="inlineStr">
        <is>
          <t>Online</t>
        </is>
      </c>
      <c r="K3620" s="2" t="n">
        <v>1</v>
      </c>
      <c r="L3620" s="3" t="n">
        <v>672.89</v>
      </c>
      <c r="M3620" s="4" t="n">
        <v>0</v>
      </c>
      <c r="N3620" s="3" t="n">
        <v>476.14</v>
      </c>
      <c r="O3620" s="3">
        <f>K3620*L3620*(1-M3620)</f>
        <v/>
      </c>
      <c r="P3620" s="3">
        <f>O3620-N3620</f>
        <v/>
      </c>
      <c r="Q3620" s="5">
        <f>IFERROR(P3620/O3620,0)</f>
        <v/>
      </c>
      <c r="R3620" s="2">
        <f>TEXT(DATEVALUE(B3620),"mmm")</f>
        <v/>
      </c>
      <c r="S3620" s="2">
        <f>TEXT(DATEVALUE(B3620),"yyyy-mm")</f>
        <v/>
      </c>
    </row>
    <row r="3621">
      <c r="A3621" s="2" t="inlineStr">
        <is>
          <t>O004729</t>
        </is>
      </c>
      <c r="B3621" s="2" t="inlineStr">
        <is>
          <t>2025-09-22</t>
        </is>
      </c>
      <c r="C3621" s="2" t="inlineStr">
        <is>
          <t>C0432</t>
        </is>
      </c>
      <c r="D3621" s="2" t="inlineStr">
        <is>
          <t>P0018</t>
        </is>
      </c>
      <c r="E3621" s="2" t="inlineStr">
        <is>
          <t>Backpack</t>
        </is>
      </c>
      <c r="F3621" s="2" t="inlineStr">
        <is>
          <t>Fashion</t>
        </is>
      </c>
      <c r="G3621" s="2" t="inlineStr">
        <is>
          <t>North</t>
        </is>
      </c>
      <c r="H3621" s="2" t="inlineStr">
        <is>
          <t>Punjab</t>
        </is>
      </c>
      <c r="I3621" s="2" t="inlineStr">
        <is>
          <t>Jalandhar</t>
        </is>
      </c>
      <c r="J3621" s="2" t="inlineStr">
        <is>
          <t>Online</t>
        </is>
      </c>
      <c r="K3621" s="2" t="n">
        <v>2</v>
      </c>
      <c r="L3621" s="3" t="n">
        <v>1806.72</v>
      </c>
      <c r="M3621" s="4" t="n">
        <v>0.05</v>
      </c>
      <c r="N3621" s="3" t="n">
        <v>2625.78</v>
      </c>
      <c r="O3621" s="3">
        <f>K3621*L3621*(1-M3621)</f>
        <v/>
      </c>
      <c r="P3621" s="3">
        <f>O3621-N3621</f>
        <v/>
      </c>
      <c r="Q3621" s="5">
        <f>IFERROR(P3621/O3621,0)</f>
        <v/>
      </c>
      <c r="R3621" s="2">
        <f>TEXT(DATEVALUE(B3621),"mmm")</f>
        <v/>
      </c>
      <c r="S3621" s="2">
        <f>TEXT(DATEVALUE(B3621),"yyyy-mm")</f>
        <v/>
      </c>
    </row>
    <row r="3622">
      <c r="A3622" s="2" t="inlineStr">
        <is>
          <t>O002124</t>
        </is>
      </c>
      <c r="B3622" s="2" t="inlineStr">
        <is>
          <t>2025-09-22</t>
        </is>
      </c>
      <c r="C3622" s="2" t="inlineStr">
        <is>
          <t>C0647</t>
        </is>
      </c>
      <c r="D3622" s="2" t="inlineStr">
        <is>
          <t>P0031</t>
        </is>
      </c>
      <c r="E3622" s="2" t="inlineStr">
        <is>
          <t>Cricket Bat</t>
        </is>
      </c>
      <c r="F3622" s="2" t="inlineStr">
        <is>
          <t>Sports</t>
        </is>
      </c>
      <c r="G3622" s="2" t="inlineStr">
        <is>
          <t>South</t>
        </is>
      </c>
      <c r="H3622" s="2" t="inlineStr">
        <is>
          <t>Kerala</t>
        </is>
      </c>
      <c r="I3622" s="2" t="inlineStr">
        <is>
          <t>Thiruvananthapuram</t>
        </is>
      </c>
      <c r="J3622" s="2" t="inlineStr">
        <is>
          <t>Online</t>
        </is>
      </c>
      <c r="K3622" s="2" t="n">
        <v>4</v>
      </c>
      <c r="L3622" s="3" t="n">
        <v>1348.77</v>
      </c>
      <c r="M3622" s="4" t="n">
        <v>0.05</v>
      </c>
      <c r="N3622" s="3" t="n">
        <v>3779.74</v>
      </c>
      <c r="O3622" s="3">
        <f>K3622*L3622*(1-M3622)</f>
        <v/>
      </c>
      <c r="P3622" s="3">
        <f>O3622-N3622</f>
        <v/>
      </c>
      <c r="Q3622" s="5">
        <f>IFERROR(P3622/O3622,0)</f>
        <v/>
      </c>
      <c r="R3622" s="2">
        <f>TEXT(DATEVALUE(B3622),"mmm")</f>
        <v/>
      </c>
      <c r="S3622" s="2">
        <f>TEXT(DATEVALUE(B3622),"yyyy-mm")</f>
        <v/>
      </c>
    </row>
    <row r="3623">
      <c r="A3623" s="2" t="inlineStr">
        <is>
          <t>O001017</t>
        </is>
      </c>
      <c r="B3623" s="2" t="inlineStr">
        <is>
          <t>2025-09-22</t>
        </is>
      </c>
      <c r="C3623" s="2" t="inlineStr">
        <is>
          <t>C0694</t>
        </is>
      </c>
      <c r="D3623" s="2" t="inlineStr">
        <is>
          <t>P0014</t>
        </is>
      </c>
      <c r="E3623" s="2" t="inlineStr">
        <is>
          <t>Coffee Maker</t>
        </is>
      </c>
      <c r="F3623" s="2" t="inlineStr">
        <is>
          <t>Home &amp; Kitchen</t>
        </is>
      </c>
      <c r="G3623" s="2" t="inlineStr">
        <is>
          <t>West</t>
        </is>
      </c>
      <c r="H3623" s="2" t="inlineStr">
        <is>
          <t>Maharashtra</t>
        </is>
      </c>
      <c r="I3623" s="2" t="inlineStr">
        <is>
          <t>Pune</t>
        </is>
      </c>
      <c r="J3623" s="2" t="inlineStr">
        <is>
          <t>Store</t>
        </is>
      </c>
      <c r="K3623" s="2" t="n">
        <v>1</v>
      </c>
      <c r="L3623" s="3" t="n">
        <v>1056.52</v>
      </c>
      <c r="M3623" s="4" t="n">
        <v>0.1</v>
      </c>
      <c r="N3623" s="3" t="n">
        <v>746.1799999999999</v>
      </c>
      <c r="O3623" s="3">
        <f>K3623*L3623*(1-M3623)</f>
        <v/>
      </c>
      <c r="P3623" s="3">
        <f>O3623-N3623</f>
        <v/>
      </c>
      <c r="Q3623" s="5">
        <f>IFERROR(P3623/O3623,0)</f>
        <v/>
      </c>
      <c r="R3623" s="2">
        <f>TEXT(DATEVALUE(B3623),"mmm")</f>
        <v/>
      </c>
      <c r="S3623" s="2">
        <f>TEXT(DATEVALUE(B3623),"yyyy-mm")</f>
        <v/>
      </c>
    </row>
    <row r="3624">
      <c r="A3624" s="2" t="inlineStr">
        <is>
          <t>O000572</t>
        </is>
      </c>
      <c r="B3624" s="2" t="inlineStr">
        <is>
          <t>2025-09-22</t>
        </is>
      </c>
      <c r="C3624" s="2" t="inlineStr">
        <is>
          <t>C0439</t>
        </is>
      </c>
      <c r="D3624" s="2" t="inlineStr">
        <is>
          <t>P0016</t>
        </is>
      </c>
      <c r="E3624" s="2" t="inlineStr">
        <is>
          <t>Casual Shirt</t>
        </is>
      </c>
      <c r="F3624" s="2" t="inlineStr">
        <is>
          <t>Fashion</t>
        </is>
      </c>
      <c r="G3624" s="2" t="inlineStr">
        <is>
          <t>East</t>
        </is>
      </c>
      <c r="H3624" s="2" t="inlineStr">
        <is>
          <t>Odisha</t>
        </is>
      </c>
      <c r="I3624" s="2" t="inlineStr">
        <is>
          <t>Cuttack</t>
        </is>
      </c>
      <c r="J3624" s="2" t="inlineStr">
        <is>
          <t>Online</t>
        </is>
      </c>
      <c r="K3624" s="2" t="n">
        <v>1</v>
      </c>
      <c r="L3624" s="3" t="n">
        <v>1230.62</v>
      </c>
      <c r="M3624" s="4" t="n">
        <v>0.25</v>
      </c>
      <c r="N3624" s="3" t="n">
        <v>887.59</v>
      </c>
      <c r="O3624" s="3">
        <f>K3624*L3624*(1-M3624)</f>
        <v/>
      </c>
      <c r="P3624" s="3">
        <f>O3624-N3624</f>
        <v/>
      </c>
      <c r="Q3624" s="5">
        <f>IFERROR(P3624/O3624,0)</f>
        <v/>
      </c>
      <c r="R3624" s="2">
        <f>TEXT(DATEVALUE(B3624),"mmm")</f>
        <v/>
      </c>
      <c r="S3624" s="2">
        <f>TEXT(DATEVALUE(B3624),"yyyy-mm")</f>
        <v/>
      </c>
    </row>
    <row r="3625">
      <c r="A3625" s="2" t="inlineStr">
        <is>
          <t>O000053</t>
        </is>
      </c>
      <c r="B3625" s="2" t="inlineStr">
        <is>
          <t>2025-09-22</t>
        </is>
      </c>
      <c r="C3625" s="2" t="inlineStr">
        <is>
          <t>C0151</t>
        </is>
      </c>
      <c r="D3625" s="2" t="inlineStr">
        <is>
          <t>P0031</t>
        </is>
      </c>
      <c r="E3625" s="2" t="inlineStr">
        <is>
          <t>Cricket Bat</t>
        </is>
      </c>
      <c r="F3625" s="2" t="inlineStr">
        <is>
          <t>Sports</t>
        </is>
      </c>
      <c r="G3625" s="2" t="inlineStr">
        <is>
          <t>North</t>
        </is>
      </c>
      <c r="H3625" s="2" t="inlineStr">
        <is>
          <t>Delhi</t>
        </is>
      </c>
      <c r="I3625" s="2" t="inlineStr">
        <is>
          <t>New Delhi</t>
        </is>
      </c>
      <c r="J3625" s="2" t="inlineStr">
        <is>
          <t>Online</t>
        </is>
      </c>
      <c r="K3625" s="2" t="n">
        <v>2</v>
      </c>
      <c r="L3625" s="3" t="n">
        <v>1387.28</v>
      </c>
      <c r="M3625" s="4" t="n">
        <v>0.1</v>
      </c>
      <c r="N3625" s="3" t="n">
        <v>1950.74</v>
      </c>
      <c r="O3625" s="3">
        <f>K3625*L3625*(1-M3625)</f>
        <v/>
      </c>
      <c r="P3625" s="3">
        <f>O3625-N3625</f>
        <v/>
      </c>
      <c r="Q3625" s="5">
        <f>IFERROR(P3625/O3625,0)</f>
        <v/>
      </c>
      <c r="R3625" s="2">
        <f>TEXT(DATEVALUE(B3625),"mmm")</f>
        <v/>
      </c>
      <c r="S3625" s="2">
        <f>TEXT(DATEVALUE(B3625),"yyyy-mm")</f>
        <v/>
      </c>
    </row>
    <row r="3626">
      <c r="A3626" s="2" t="inlineStr">
        <is>
          <t>O003027</t>
        </is>
      </c>
      <c r="B3626" s="2" t="inlineStr">
        <is>
          <t>2025-09-22</t>
        </is>
      </c>
      <c r="C3626" s="2" t="inlineStr">
        <is>
          <t>C0590</t>
        </is>
      </c>
      <c r="D3626" s="2" t="inlineStr">
        <is>
          <t>P0008</t>
        </is>
      </c>
      <c r="E3626" s="2" t="inlineStr">
        <is>
          <t>Air Fryer</t>
        </is>
      </c>
      <c r="F3626" s="2" t="inlineStr">
        <is>
          <t>Home &amp; Kitchen</t>
        </is>
      </c>
      <c r="G3626" s="2" t="inlineStr">
        <is>
          <t>West</t>
        </is>
      </c>
      <c r="H3626" s="2" t="inlineStr">
        <is>
          <t>Goa</t>
        </is>
      </c>
      <c r="I3626" s="2" t="inlineStr">
        <is>
          <t>Panaji</t>
        </is>
      </c>
      <c r="J3626" s="2" t="inlineStr">
        <is>
          <t>Store</t>
        </is>
      </c>
      <c r="K3626" s="2" t="n">
        <v>2</v>
      </c>
      <c r="L3626" s="3" t="n">
        <v>1059.33</v>
      </c>
      <c r="M3626" s="4" t="n">
        <v>0</v>
      </c>
      <c r="N3626" s="3" t="n">
        <v>1402.75</v>
      </c>
      <c r="O3626" s="3">
        <f>K3626*L3626*(1-M3626)</f>
        <v/>
      </c>
      <c r="P3626" s="3">
        <f>O3626-N3626</f>
        <v/>
      </c>
      <c r="Q3626" s="5">
        <f>IFERROR(P3626/O3626,0)</f>
        <v/>
      </c>
      <c r="R3626" s="2">
        <f>TEXT(DATEVALUE(B3626),"mmm")</f>
        <v/>
      </c>
      <c r="S3626" s="2">
        <f>TEXT(DATEVALUE(B3626),"yyyy-mm")</f>
        <v/>
      </c>
    </row>
    <row r="3627">
      <c r="A3627" s="2" t="inlineStr">
        <is>
          <t>O004359</t>
        </is>
      </c>
      <c r="B3627" s="2" t="inlineStr">
        <is>
          <t>2025-09-23</t>
        </is>
      </c>
      <c r="C3627" s="2" t="inlineStr">
        <is>
          <t>C0745</t>
        </is>
      </c>
      <c r="D3627" s="2" t="inlineStr">
        <is>
          <t>P0018</t>
        </is>
      </c>
      <c r="E3627" s="2" t="inlineStr">
        <is>
          <t>Backpack</t>
        </is>
      </c>
      <c r="F3627" s="2" t="inlineStr">
        <is>
          <t>Fashion</t>
        </is>
      </c>
      <c r="G3627" s="2" t="inlineStr">
        <is>
          <t>West</t>
        </is>
      </c>
      <c r="H3627" s="2" t="inlineStr">
        <is>
          <t>Goa</t>
        </is>
      </c>
      <c r="I3627" s="2" t="inlineStr">
        <is>
          <t>Margao</t>
        </is>
      </c>
      <c r="J3627" s="2" t="inlineStr">
        <is>
          <t>Online</t>
        </is>
      </c>
      <c r="K3627" s="2" t="n">
        <v>2</v>
      </c>
      <c r="L3627" s="3" t="n">
        <v>1871.15</v>
      </c>
      <c r="M3627" s="4" t="n">
        <v>0.05</v>
      </c>
      <c r="N3627" s="3" t="n">
        <v>2777.25</v>
      </c>
      <c r="O3627" s="3">
        <f>K3627*L3627*(1-M3627)</f>
        <v/>
      </c>
      <c r="P3627" s="3">
        <f>O3627-N3627</f>
        <v/>
      </c>
      <c r="Q3627" s="5">
        <f>IFERROR(P3627/O3627,0)</f>
        <v/>
      </c>
      <c r="R3627" s="2">
        <f>TEXT(DATEVALUE(B3627),"mmm")</f>
        <v/>
      </c>
      <c r="S3627" s="2">
        <f>TEXT(DATEVALUE(B3627),"yyyy-mm")</f>
        <v/>
      </c>
    </row>
    <row r="3628">
      <c r="A3628" s="2" t="inlineStr">
        <is>
          <t>O004347</t>
        </is>
      </c>
      <c r="B3628" s="2" t="inlineStr">
        <is>
          <t>2025-09-23</t>
        </is>
      </c>
      <c r="C3628" s="2" t="inlineStr">
        <is>
          <t>C0186</t>
        </is>
      </c>
      <c r="D3628" s="2" t="inlineStr">
        <is>
          <t>P0010</t>
        </is>
      </c>
      <c r="E3628" s="2" t="inlineStr">
        <is>
          <t>Mixer Grinder</t>
        </is>
      </c>
      <c r="F3628" s="2" t="inlineStr">
        <is>
          <t>Home &amp; Kitchen</t>
        </is>
      </c>
      <c r="G3628" s="2" t="inlineStr">
        <is>
          <t>West</t>
        </is>
      </c>
      <c r="H3628" s="2" t="inlineStr">
        <is>
          <t>Goa</t>
        </is>
      </c>
      <c r="I3628" s="2" t="inlineStr">
        <is>
          <t>Panaji</t>
        </is>
      </c>
      <c r="J3628" s="2" t="inlineStr">
        <is>
          <t>Online</t>
        </is>
      </c>
      <c r="K3628" s="2" t="n">
        <v>5</v>
      </c>
      <c r="L3628" s="3" t="n">
        <v>1648.98</v>
      </c>
      <c r="M3628" s="4" t="n">
        <v>0.15</v>
      </c>
      <c r="N3628" s="3" t="n">
        <v>5117.46</v>
      </c>
      <c r="O3628" s="3">
        <f>K3628*L3628*(1-M3628)</f>
        <v/>
      </c>
      <c r="P3628" s="3">
        <f>O3628-N3628</f>
        <v/>
      </c>
      <c r="Q3628" s="5">
        <f>IFERROR(P3628/O3628,0)</f>
        <v/>
      </c>
      <c r="R3628" s="2">
        <f>TEXT(DATEVALUE(B3628),"mmm")</f>
        <v/>
      </c>
      <c r="S3628" s="2">
        <f>TEXT(DATEVALUE(B3628),"yyyy-mm")</f>
        <v/>
      </c>
    </row>
    <row r="3629">
      <c r="A3629" s="2" t="inlineStr">
        <is>
          <t>O004319</t>
        </is>
      </c>
      <c r="B3629" s="2" t="inlineStr">
        <is>
          <t>2025-09-23</t>
        </is>
      </c>
      <c r="C3629" s="2" t="inlineStr">
        <is>
          <t>C0337</t>
        </is>
      </c>
      <c r="D3629" s="2" t="inlineStr">
        <is>
          <t>P0019</t>
        </is>
      </c>
      <c r="E3629" s="2" t="inlineStr">
        <is>
          <t>Jacket</t>
        </is>
      </c>
      <c r="F3629" s="2" t="inlineStr">
        <is>
          <t>Fashion</t>
        </is>
      </c>
      <c r="G3629" s="2" t="inlineStr">
        <is>
          <t>West</t>
        </is>
      </c>
      <c r="H3629" s="2" t="inlineStr">
        <is>
          <t>Maharashtra</t>
        </is>
      </c>
      <c r="I3629" s="2" t="inlineStr">
        <is>
          <t>Mumbai</t>
        </is>
      </c>
      <c r="J3629" s="2" t="inlineStr">
        <is>
          <t>Store</t>
        </is>
      </c>
      <c r="K3629" s="2" t="n">
        <v>1</v>
      </c>
      <c r="L3629" s="3" t="n">
        <v>1022.93</v>
      </c>
      <c r="M3629" s="4" t="n">
        <v>0</v>
      </c>
      <c r="N3629" s="3" t="n">
        <v>677.99</v>
      </c>
      <c r="O3629" s="3">
        <f>K3629*L3629*(1-M3629)</f>
        <v/>
      </c>
      <c r="P3629" s="3">
        <f>O3629-N3629</f>
        <v/>
      </c>
      <c r="Q3629" s="5">
        <f>IFERROR(P3629/O3629,0)</f>
        <v/>
      </c>
      <c r="R3629" s="2">
        <f>TEXT(DATEVALUE(B3629),"mmm")</f>
        <v/>
      </c>
      <c r="S3629" s="2">
        <f>TEXT(DATEVALUE(B3629),"yyyy-mm")</f>
        <v/>
      </c>
    </row>
    <row r="3630">
      <c r="A3630" s="2" t="inlineStr">
        <is>
          <t>O004055</t>
        </is>
      </c>
      <c r="B3630" s="2" t="inlineStr">
        <is>
          <t>2025-09-23</t>
        </is>
      </c>
      <c r="C3630" s="2" t="inlineStr">
        <is>
          <t>C0427</t>
        </is>
      </c>
      <c r="D3630" s="2" t="inlineStr">
        <is>
          <t>P0035</t>
        </is>
      </c>
      <c r="E3630" s="2" t="inlineStr">
        <is>
          <t>Skipping Rope</t>
        </is>
      </c>
      <c r="F3630" s="2" t="inlineStr">
        <is>
          <t>Sports</t>
        </is>
      </c>
      <c r="G3630" s="2" t="inlineStr">
        <is>
          <t>North</t>
        </is>
      </c>
      <c r="H3630" s="2" t="inlineStr">
        <is>
          <t>Delhi</t>
        </is>
      </c>
      <c r="I3630" s="2" t="inlineStr">
        <is>
          <t>New Delhi</t>
        </is>
      </c>
      <c r="J3630" s="2" t="inlineStr">
        <is>
          <t>Online</t>
        </is>
      </c>
      <c r="K3630" s="2" t="n">
        <v>3</v>
      </c>
      <c r="L3630" s="3" t="n">
        <v>710.3</v>
      </c>
      <c r="M3630" s="4" t="n">
        <v>0.05</v>
      </c>
      <c r="N3630" s="3" t="n">
        <v>1267.38</v>
      </c>
      <c r="O3630" s="3">
        <f>K3630*L3630*(1-M3630)</f>
        <v/>
      </c>
      <c r="P3630" s="3">
        <f>O3630-N3630</f>
        <v/>
      </c>
      <c r="Q3630" s="5">
        <f>IFERROR(P3630/O3630,0)</f>
        <v/>
      </c>
      <c r="R3630" s="2">
        <f>TEXT(DATEVALUE(B3630),"mmm")</f>
        <v/>
      </c>
      <c r="S3630" s="2">
        <f>TEXT(DATEVALUE(B3630),"yyyy-mm")</f>
        <v/>
      </c>
    </row>
    <row r="3631">
      <c r="A3631" s="2" t="inlineStr">
        <is>
          <t>O003320</t>
        </is>
      </c>
      <c r="B3631" s="2" t="inlineStr">
        <is>
          <t>2025-09-23</t>
        </is>
      </c>
      <c r="C3631" s="2" t="inlineStr">
        <is>
          <t>C0680</t>
        </is>
      </c>
      <c r="D3631" s="2" t="inlineStr">
        <is>
          <t>P0005</t>
        </is>
      </c>
      <c r="E3631" s="2" t="inlineStr">
        <is>
          <t>Power Bank</t>
        </is>
      </c>
      <c r="F3631" s="2" t="inlineStr">
        <is>
          <t>Electronics</t>
        </is>
      </c>
      <c r="G3631" s="2" t="inlineStr">
        <is>
          <t>North</t>
        </is>
      </c>
      <c r="H3631" s="2" t="inlineStr">
        <is>
          <t>Delhi</t>
        </is>
      </c>
      <c r="I3631" s="2" t="inlineStr">
        <is>
          <t>New Delhi</t>
        </is>
      </c>
      <c r="J3631" s="2" t="inlineStr">
        <is>
          <t>Online</t>
        </is>
      </c>
      <c r="K3631" s="2" t="n">
        <v>1</v>
      </c>
      <c r="L3631" s="3" t="n">
        <v>1123.02</v>
      </c>
      <c r="M3631" s="4" t="n">
        <v>0</v>
      </c>
      <c r="N3631" s="3" t="n">
        <v>653.54</v>
      </c>
      <c r="O3631" s="3">
        <f>K3631*L3631*(1-M3631)</f>
        <v/>
      </c>
      <c r="P3631" s="3">
        <f>O3631-N3631</f>
        <v/>
      </c>
      <c r="Q3631" s="5">
        <f>IFERROR(P3631/O3631,0)</f>
        <v/>
      </c>
      <c r="R3631" s="2">
        <f>TEXT(DATEVALUE(B3631),"mmm")</f>
        <v/>
      </c>
      <c r="S3631" s="2">
        <f>TEXT(DATEVALUE(B3631),"yyyy-mm")</f>
        <v/>
      </c>
    </row>
    <row r="3632">
      <c r="A3632" s="2" t="inlineStr">
        <is>
          <t>O002588</t>
        </is>
      </c>
      <c r="B3632" s="2" t="inlineStr">
        <is>
          <t>2025-09-23</t>
        </is>
      </c>
      <c r="C3632" s="2" t="inlineStr">
        <is>
          <t>C0457</t>
        </is>
      </c>
      <c r="D3632" s="2" t="inlineStr">
        <is>
          <t>P0007</t>
        </is>
      </c>
      <c r="E3632" s="2" t="inlineStr">
        <is>
          <t>Wireless Mouse</t>
        </is>
      </c>
      <c r="F3632" s="2" t="inlineStr">
        <is>
          <t>Electronics</t>
        </is>
      </c>
      <c r="G3632" s="2" t="inlineStr">
        <is>
          <t>South</t>
        </is>
      </c>
      <c r="H3632" s="2" t="inlineStr">
        <is>
          <t>Karnataka</t>
        </is>
      </c>
      <c r="I3632" s="2" t="inlineStr">
        <is>
          <t>Mysuru</t>
        </is>
      </c>
      <c r="J3632" s="2" t="inlineStr">
        <is>
          <t>Online</t>
        </is>
      </c>
      <c r="K3632" s="2" t="n">
        <v>3</v>
      </c>
      <c r="L3632" s="3" t="n">
        <v>951.11</v>
      </c>
      <c r="M3632" s="4" t="n">
        <v>0.15</v>
      </c>
      <c r="N3632" s="3" t="n">
        <v>1907.72</v>
      </c>
      <c r="O3632" s="3">
        <f>K3632*L3632*(1-M3632)</f>
        <v/>
      </c>
      <c r="P3632" s="3">
        <f>O3632-N3632</f>
        <v/>
      </c>
      <c r="Q3632" s="5">
        <f>IFERROR(P3632/O3632,0)</f>
        <v/>
      </c>
      <c r="R3632" s="2">
        <f>TEXT(DATEVALUE(B3632),"mmm")</f>
        <v/>
      </c>
      <c r="S3632" s="2">
        <f>TEXT(DATEVALUE(B3632),"yyyy-mm")</f>
        <v/>
      </c>
    </row>
    <row r="3633">
      <c r="A3633" s="2" t="inlineStr">
        <is>
          <t>O002392</t>
        </is>
      </c>
      <c r="B3633" s="2" t="inlineStr">
        <is>
          <t>2025-09-23</t>
        </is>
      </c>
      <c r="C3633" s="2" t="inlineStr">
        <is>
          <t>C0460</t>
        </is>
      </c>
      <c r="D3633" s="2" t="inlineStr">
        <is>
          <t>P0029</t>
        </is>
      </c>
      <c r="E3633" s="2" t="inlineStr">
        <is>
          <t>Yoga Mat</t>
        </is>
      </c>
      <c r="F3633" s="2" t="inlineStr">
        <is>
          <t>Sports</t>
        </is>
      </c>
      <c r="G3633" s="2" t="inlineStr">
        <is>
          <t>West</t>
        </is>
      </c>
      <c r="H3633" s="2" t="inlineStr">
        <is>
          <t>Gujarat</t>
        </is>
      </c>
      <c r="I3633" s="2" t="inlineStr">
        <is>
          <t>Vadodara</t>
        </is>
      </c>
      <c r="J3633" s="2" t="inlineStr">
        <is>
          <t>Online</t>
        </is>
      </c>
      <c r="K3633" s="2" t="n">
        <v>4</v>
      </c>
      <c r="L3633" s="3" t="n">
        <v>2449.49</v>
      </c>
      <c r="M3633" s="4" t="n">
        <v>0.05</v>
      </c>
      <c r="N3633" s="3" t="n">
        <v>5211.51</v>
      </c>
      <c r="O3633" s="3">
        <f>K3633*L3633*(1-M3633)</f>
        <v/>
      </c>
      <c r="P3633" s="3">
        <f>O3633-N3633</f>
        <v/>
      </c>
      <c r="Q3633" s="5">
        <f>IFERROR(P3633/O3633,0)</f>
        <v/>
      </c>
      <c r="R3633" s="2">
        <f>TEXT(DATEVALUE(B3633),"mmm")</f>
        <v/>
      </c>
      <c r="S3633" s="2">
        <f>TEXT(DATEVALUE(B3633),"yyyy-mm")</f>
        <v/>
      </c>
    </row>
    <row r="3634">
      <c r="A3634" s="2" t="inlineStr">
        <is>
          <t>O001979</t>
        </is>
      </c>
      <c r="B3634" s="2" t="inlineStr">
        <is>
          <t>2025-09-23</t>
        </is>
      </c>
      <c r="C3634" s="2" t="inlineStr">
        <is>
          <t>C0199</t>
        </is>
      </c>
      <c r="D3634" s="2" t="inlineStr">
        <is>
          <t>P0003</t>
        </is>
      </c>
      <c r="E3634" s="2" t="inlineStr">
        <is>
          <t>Smartwatch</t>
        </is>
      </c>
      <c r="F3634" s="2" t="inlineStr">
        <is>
          <t>Electronics</t>
        </is>
      </c>
      <c r="G3634" s="2" t="inlineStr">
        <is>
          <t>East</t>
        </is>
      </c>
      <c r="H3634" s="2" t="inlineStr">
        <is>
          <t>Odisha</t>
        </is>
      </c>
      <c r="I3634" s="2" t="inlineStr">
        <is>
          <t>Bhubaneswar</t>
        </is>
      </c>
      <c r="J3634" s="2" t="inlineStr">
        <is>
          <t>Online</t>
        </is>
      </c>
      <c r="K3634" s="2" t="n">
        <v>5</v>
      </c>
      <c r="L3634" s="3" t="n">
        <v>2303.11</v>
      </c>
      <c r="M3634" s="4" t="n">
        <v>0.2</v>
      </c>
      <c r="N3634" s="3" t="n">
        <v>5871.93</v>
      </c>
      <c r="O3634" s="3">
        <f>K3634*L3634*(1-M3634)</f>
        <v/>
      </c>
      <c r="P3634" s="3">
        <f>O3634-N3634</f>
        <v/>
      </c>
      <c r="Q3634" s="5">
        <f>IFERROR(P3634/O3634,0)</f>
        <v/>
      </c>
      <c r="R3634" s="2">
        <f>TEXT(DATEVALUE(B3634),"mmm")</f>
        <v/>
      </c>
      <c r="S3634" s="2">
        <f>TEXT(DATEVALUE(B3634),"yyyy-mm")</f>
        <v/>
      </c>
    </row>
    <row r="3635">
      <c r="A3635" s="2" t="inlineStr">
        <is>
          <t>O001514</t>
        </is>
      </c>
      <c r="B3635" s="2" t="inlineStr">
        <is>
          <t>2025-09-23</t>
        </is>
      </c>
      <c r="C3635" s="2" t="inlineStr">
        <is>
          <t>C0515</t>
        </is>
      </c>
      <c r="D3635" s="2" t="inlineStr">
        <is>
          <t>P0007</t>
        </is>
      </c>
      <c r="E3635" s="2" t="inlineStr">
        <is>
          <t>Wireless Mouse</t>
        </is>
      </c>
      <c r="F3635" s="2" t="inlineStr">
        <is>
          <t>Electronics</t>
        </is>
      </c>
      <c r="G3635" s="2" t="inlineStr">
        <is>
          <t>South</t>
        </is>
      </c>
      <c r="H3635" s="2" t="inlineStr">
        <is>
          <t>Kerala</t>
        </is>
      </c>
      <c r="I3635" s="2" t="inlineStr">
        <is>
          <t>Thiruvananthapuram</t>
        </is>
      </c>
      <c r="J3635" s="2" t="inlineStr">
        <is>
          <t>Store</t>
        </is>
      </c>
      <c r="K3635" s="2" t="n">
        <v>2</v>
      </c>
      <c r="L3635" s="3" t="n">
        <v>981.58</v>
      </c>
      <c r="M3635" s="4" t="n">
        <v>0.15</v>
      </c>
      <c r="N3635" s="3" t="n">
        <v>1289.43</v>
      </c>
      <c r="O3635" s="3">
        <f>K3635*L3635*(1-M3635)</f>
        <v/>
      </c>
      <c r="P3635" s="3">
        <f>O3635-N3635</f>
        <v/>
      </c>
      <c r="Q3635" s="5">
        <f>IFERROR(P3635/O3635,0)</f>
        <v/>
      </c>
      <c r="R3635" s="2">
        <f>TEXT(DATEVALUE(B3635),"mmm")</f>
        <v/>
      </c>
      <c r="S3635" s="2">
        <f>TEXT(DATEVALUE(B3635),"yyyy-mm")</f>
        <v/>
      </c>
    </row>
    <row r="3636">
      <c r="A3636" s="2" t="inlineStr">
        <is>
          <t>O001454</t>
        </is>
      </c>
      <c r="B3636" s="2" t="inlineStr">
        <is>
          <t>2025-09-23</t>
        </is>
      </c>
      <c r="C3636" s="2" t="inlineStr">
        <is>
          <t>C0049</t>
        </is>
      </c>
      <c r="D3636" s="2" t="inlineStr">
        <is>
          <t>P0002</t>
        </is>
      </c>
      <c r="E3636" s="2" t="inlineStr">
        <is>
          <t>Bluetooth Speaker</t>
        </is>
      </c>
      <c r="F3636" s="2" t="inlineStr">
        <is>
          <t>Electronics</t>
        </is>
      </c>
      <c r="G3636" s="2" t="inlineStr">
        <is>
          <t>West</t>
        </is>
      </c>
      <c r="H3636" s="2" t="inlineStr">
        <is>
          <t>Maharashtra</t>
        </is>
      </c>
      <c r="I3636" s="2" t="inlineStr">
        <is>
          <t>Nashik</t>
        </is>
      </c>
      <c r="J3636" s="2" t="inlineStr">
        <is>
          <t>Store</t>
        </is>
      </c>
      <c r="K3636" s="2" t="n">
        <v>2</v>
      </c>
      <c r="L3636" s="3" t="n">
        <v>1414.39</v>
      </c>
      <c r="M3636" s="4" t="n">
        <v>0.05</v>
      </c>
      <c r="N3636" s="3" t="n">
        <v>1641.62</v>
      </c>
      <c r="O3636" s="3">
        <f>K3636*L3636*(1-M3636)</f>
        <v/>
      </c>
      <c r="P3636" s="3">
        <f>O3636-N3636</f>
        <v/>
      </c>
      <c r="Q3636" s="5">
        <f>IFERROR(P3636/O3636,0)</f>
        <v/>
      </c>
      <c r="R3636" s="2">
        <f>TEXT(DATEVALUE(B3636),"mmm")</f>
        <v/>
      </c>
      <c r="S3636" s="2">
        <f>TEXT(DATEVALUE(B3636),"yyyy-mm")</f>
        <v/>
      </c>
    </row>
    <row r="3637">
      <c r="A3637" s="2" t="inlineStr">
        <is>
          <t>O001244</t>
        </is>
      </c>
      <c r="B3637" s="2" t="inlineStr">
        <is>
          <t>2025-09-23</t>
        </is>
      </c>
      <c r="C3637" s="2" t="inlineStr">
        <is>
          <t>C0371</t>
        </is>
      </c>
      <c r="D3637" s="2" t="inlineStr">
        <is>
          <t>P0022</t>
        </is>
      </c>
      <c r="E3637" s="2" t="inlineStr">
        <is>
          <t>Face Wash</t>
        </is>
      </c>
      <c r="F3637" s="2" t="inlineStr">
        <is>
          <t>Beauty</t>
        </is>
      </c>
      <c r="G3637" s="2" t="inlineStr">
        <is>
          <t>West</t>
        </is>
      </c>
      <c r="H3637" s="2" t="inlineStr">
        <is>
          <t>Goa</t>
        </is>
      </c>
      <c r="I3637" s="2" t="inlineStr">
        <is>
          <t>Panaji</t>
        </is>
      </c>
      <c r="J3637" s="2" t="inlineStr">
        <is>
          <t>Store</t>
        </is>
      </c>
      <c r="K3637" s="2" t="n">
        <v>1</v>
      </c>
      <c r="L3637" s="3" t="n">
        <v>530.26</v>
      </c>
      <c r="M3637" s="4" t="n">
        <v>0</v>
      </c>
      <c r="N3637" s="3" t="n">
        <v>340.19</v>
      </c>
      <c r="O3637" s="3">
        <f>K3637*L3637*(1-M3637)</f>
        <v/>
      </c>
      <c r="P3637" s="3">
        <f>O3637-N3637</f>
        <v/>
      </c>
      <c r="Q3637" s="5">
        <f>IFERROR(P3637/O3637,0)</f>
        <v/>
      </c>
      <c r="R3637" s="2">
        <f>TEXT(DATEVALUE(B3637),"mmm")</f>
        <v/>
      </c>
      <c r="S3637" s="2">
        <f>TEXT(DATEVALUE(B3637),"yyyy-mm")</f>
        <v/>
      </c>
    </row>
    <row r="3638">
      <c r="A3638" s="2" t="inlineStr">
        <is>
          <t>O002433</t>
        </is>
      </c>
      <c r="B3638" s="2" t="inlineStr">
        <is>
          <t>2025-09-23</t>
        </is>
      </c>
      <c r="C3638" s="2" t="inlineStr">
        <is>
          <t>C0373</t>
        </is>
      </c>
      <c r="D3638" s="2" t="inlineStr">
        <is>
          <t>P0017</t>
        </is>
      </c>
      <c r="E3638" s="2" t="inlineStr">
        <is>
          <t>Jeans</t>
        </is>
      </c>
      <c r="F3638" s="2" t="inlineStr">
        <is>
          <t>Fashion</t>
        </is>
      </c>
      <c r="G3638" s="2" t="inlineStr">
        <is>
          <t>West</t>
        </is>
      </c>
      <c r="H3638" s="2" t="inlineStr">
        <is>
          <t>Maharashtra</t>
        </is>
      </c>
      <c r="I3638" s="2" t="inlineStr">
        <is>
          <t>Thane</t>
        </is>
      </c>
      <c r="J3638" s="2" t="inlineStr">
        <is>
          <t>Store</t>
        </is>
      </c>
      <c r="K3638" s="2" t="n">
        <v>2</v>
      </c>
      <c r="L3638" s="3" t="n">
        <v>1455.52</v>
      </c>
      <c r="M3638" s="4" t="n">
        <v>0.25</v>
      </c>
      <c r="N3638" s="3" t="n">
        <v>2065.87</v>
      </c>
      <c r="O3638" s="3">
        <f>K3638*L3638*(1-M3638)</f>
        <v/>
      </c>
      <c r="P3638" s="3">
        <f>O3638-N3638</f>
        <v/>
      </c>
      <c r="Q3638" s="5">
        <f>IFERROR(P3638/O3638,0)</f>
        <v/>
      </c>
      <c r="R3638" s="2">
        <f>TEXT(DATEVALUE(B3638),"mmm")</f>
        <v/>
      </c>
      <c r="S3638" s="2">
        <f>TEXT(DATEVALUE(B3638),"yyyy-mm")</f>
        <v/>
      </c>
    </row>
    <row r="3639">
      <c r="A3639" s="2" t="inlineStr">
        <is>
          <t>O002964</t>
        </is>
      </c>
      <c r="B3639" s="2" t="inlineStr">
        <is>
          <t>2025-09-24</t>
        </is>
      </c>
      <c r="C3639" s="2" t="inlineStr">
        <is>
          <t>C0096</t>
        </is>
      </c>
      <c r="D3639" s="2" t="inlineStr">
        <is>
          <t>P0011</t>
        </is>
      </c>
      <c r="E3639" s="2" t="inlineStr">
        <is>
          <t>Cookware Set</t>
        </is>
      </c>
      <c r="F3639" s="2" t="inlineStr">
        <is>
          <t>Home &amp; Kitchen</t>
        </is>
      </c>
      <c r="G3639" s="2" t="inlineStr">
        <is>
          <t>North</t>
        </is>
      </c>
      <c r="H3639" s="2" t="inlineStr">
        <is>
          <t>Uttar Pradesh</t>
        </is>
      </c>
      <c r="I3639" s="2" t="inlineStr">
        <is>
          <t>Lucknow</t>
        </is>
      </c>
      <c r="J3639" s="2" t="inlineStr">
        <is>
          <t>Store</t>
        </is>
      </c>
      <c r="K3639" s="2" t="n">
        <v>1</v>
      </c>
      <c r="L3639" s="3" t="n">
        <v>721.65</v>
      </c>
      <c r="M3639" s="4" t="n">
        <v>0.05</v>
      </c>
      <c r="N3639" s="3" t="n">
        <v>459.22</v>
      </c>
      <c r="O3639" s="3">
        <f>K3639*L3639*(1-M3639)</f>
        <v/>
      </c>
      <c r="P3639" s="3">
        <f>O3639-N3639</f>
        <v/>
      </c>
      <c r="Q3639" s="5">
        <f>IFERROR(P3639/O3639,0)</f>
        <v/>
      </c>
      <c r="R3639" s="2">
        <f>TEXT(DATEVALUE(B3639),"mmm")</f>
        <v/>
      </c>
      <c r="S3639" s="2">
        <f>TEXT(DATEVALUE(B3639),"yyyy-mm")</f>
        <v/>
      </c>
    </row>
    <row r="3640">
      <c r="A3640" s="2" t="inlineStr">
        <is>
          <t>O003889</t>
        </is>
      </c>
      <c r="B3640" s="2" t="inlineStr">
        <is>
          <t>2025-09-24</t>
        </is>
      </c>
      <c r="C3640" s="2" t="inlineStr">
        <is>
          <t>C0537</t>
        </is>
      </c>
      <c r="D3640" s="2" t="inlineStr">
        <is>
          <t>P0027</t>
        </is>
      </c>
      <c r="E3640" s="2" t="inlineStr">
        <is>
          <t>Moisturizer</t>
        </is>
      </c>
      <c r="F3640" s="2" t="inlineStr">
        <is>
          <t>Beauty</t>
        </is>
      </c>
      <c r="G3640" s="2" t="inlineStr">
        <is>
          <t>West</t>
        </is>
      </c>
      <c r="H3640" s="2" t="inlineStr">
        <is>
          <t>Goa</t>
        </is>
      </c>
      <c r="I3640" s="2" t="inlineStr">
        <is>
          <t>Panaji</t>
        </is>
      </c>
      <c r="J3640" s="2" t="inlineStr">
        <is>
          <t>Store</t>
        </is>
      </c>
      <c r="K3640" s="2" t="n">
        <v>2</v>
      </c>
      <c r="L3640" s="3" t="n">
        <v>918.86</v>
      </c>
      <c r="M3640" s="4" t="n">
        <v>0.1</v>
      </c>
      <c r="N3640" s="3" t="n">
        <v>1409.15</v>
      </c>
      <c r="O3640" s="3">
        <f>K3640*L3640*(1-M3640)</f>
        <v/>
      </c>
      <c r="P3640" s="3">
        <f>O3640-N3640</f>
        <v/>
      </c>
      <c r="Q3640" s="5">
        <f>IFERROR(P3640/O3640,0)</f>
        <v/>
      </c>
      <c r="R3640" s="2">
        <f>TEXT(DATEVALUE(B3640),"mmm")</f>
        <v/>
      </c>
      <c r="S3640" s="2">
        <f>TEXT(DATEVALUE(B3640),"yyyy-mm")</f>
        <v/>
      </c>
    </row>
    <row r="3641">
      <c r="A3641" s="2" t="inlineStr">
        <is>
          <t>O003487</t>
        </is>
      </c>
      <c r="B3641" s="2" t="inlineStr">
        <is>
          <t>2025-09-24</t>
        </is>
      </c>
      <c r="C3641" s="2" t="inlineStr">
        <is>
          <t>C0786</t>
        </is>
      </c>
      <c r="D3641" s="2" t="inlineStr">
        <is>
          <t>P0022</t>
        </is>
      </c>
      <c r="E3641" s="2" t="inlineStr">
        <is>
          <t>Face Wash</t>
        </is>
      </c>
      <c r="F3641" s="2" t="inlineStr">
        <is>
          <t>Beauty</t>
        </is>
      </c>
      <c r="G3641" s="2" t="inlineStr">
        <is>
          <t>West</t>
        </is>
      </c>
      <c r="H3641" s="2" t="inlineStr">
        <is>
          <t>Maharashtra</t>
        </is>
      </c>
      <c r="I3641" s="2" t="inlineStr">
        <is>
          <t>Thane</t>
        </is>
      </c>
      <c r="J3641" s="2" t="inlineStr">
        <is>
          <t>Online</t>
        </is>
      </c>
      <c r="K3641" s="2" t="n">
        <v>2</v>
      </c>
      <c r="L3641" s="3" t="n">
        <v>539.03</v>
      </c>
      <c r="M3641" s="4" t="n">
        <v>0.1</v>
      </c>
      <c r="N3641" s="3" t="n">
        <v>705.01</v>
      </c>
      <c r="O3641" s="3">
        <f>K3641*L3641*(1-M3641)</f>
        <v/>
      </c>
      <c r="P3641" s="3">
        <f>O3641-N3641</f>
        <v/>
      </c>
      <c r="Q3641" s="5">
        <f>IFERROR(P3641/O3641,0)</f>
        <v/>
      </c>
      <c r="R3641" s="2">
        <f>TEXT(DATEVALUE(B3641),"mmm")</f>
        <v/>
      </c>
      <c r="S3641" s="2">
        <f>TEXT(DATEVALUE(B3641),"yyyy-mm")</f>
        <v/>
      </c>
    </row>
    <row r="3642">
      <c r="A3642" s="2" t="inlineStr">
        <is>
          <t>O003270</t>
        </is>
      </c>
      <c r="B3642" s="2" t="inlineStr">
        <is>
          <t>2025-09-24</t>
        </is>
      </c>
      <c r="C3642" s="2" t="inlineStr">
        <is>
          <t>C0234</t>
        </is>
      </c>
      <c r="D3642" s="2" t="inlineStr">
        <is>
          <t>P0007</t>
        </is>
      </c>
      <c r="E3642" s="2" t="inlineStr">
        <is>
          <t>Wireless Mouse</t>
        </is>
      </c>
      <c r="F3642" s="2" t="inlineStr">
        <is>
          <t>Electronics</t>
        </is>
      </c>
      <c r="G3642" s="2" t="inlineStr">
        <is>
          <t>East</t>
        </is>
      </c>
      <c r="H3642" s="2" t="inlineStr">
        <is>
          <t>Odisha</t>
        </is>
      </c>
      <c r="I3642" s="2" t="inlineStr">
        <is>
          <t>Bhubaneswar</t>
        </is>
      </c>
      <c r="J3642" s="2" t="inlineStr">
        <is>
          <t>Online</t>
        </is>
      </c>
      <c r="K3642" s="2" t="n">
        <v>4</v>
      </c>
      <c r="L3642" s="3" t="n">
        <v>992.1</v>
      </c>
      <c r="M3642" s="4" t="n">
        <v>0</v>
      </c>
      <c r="N3642" s="3" t="n">
        <v>2531.51</v>
      </c>
      <c r="O3642" s="3">
        <f>K3642*L3642*(1-M3642)</f>
        <v/>
      </c>
      <c r="P3642" s="3">
        <f>O3642-N3642</f>
        <v/>
      </c>
      <c r="Q3642" s="5">
        <f>IFERROR(P3642/O3642,0)</f>
        <v/>
      </c>
      <c r="R3642" s="2">
        <f>TEXT(DATEVALUE(B3642),"mmm")</f>
        <v/>
      </c>
      <c r="S3642" s="2">
        <f>TEXT(DATEVALUE(B3642),"yyyy-mm")</f>
        <v/>
      </c>
    </row>
    <row r="3643">
      <c r="A3643" s="2" t="inlineStr">
        <is>
          <t>O004741</t>
        </is>
      </c>
      <c r="B3643" s="2" t="inlineStr">
        <is>
          <t>2025-09-24</t>
        </is>
      </c>
      <c r="C3643" s="2" t="inlineStr">
        <is>
          <t>C0745</t>
        </is>
      </c>
      <c r="D3643" s="2" t="inlineStr">
        <is>
          <t>P0034</t>
        </is>
      </c>
      <c r="E3643" s="2" t="inlineStr">
        <is>
          <t>Gym Gloves</t>
        </is>
      </c>
      <c r="F3643" s="2" t="inlineStr">
        <is>
          <t>Sports</t>
        </is>
      </c>
      <c r="G3643" s="2" t="inlineStr">
        <is>
          <t>South</t>
        </is>
      </c>
      <c r="H3643" s="2" t="inlineStr">
        <is>
          <t>Tamil Nadu</t>
        </is>
      </c>
      <c r="I3643" s="2" t="inlineStr">
        <is>
          <t>Chennai</t>
        </is>
      </c>
      <c r="J3643" s="2" t="inlineStr">
        <is>
          <t>Online</t>
        </is>
      </c>
      <c r="K3643" s="2" t="n">
        <v>5</v>
      </c>
      <c r="L3643" s="3" t="n">
        <v>592.42</v>
      </c>
      <c r="M3643" s="4" t="n">
        <v>0.1</v>
      </c>
      <c r="N3643" s="3" t="n">
        <v>1967.22</v>
      </c>
      <c r="O3643" s="3">
        <f>K3643*L3643*(1-M3643)</f>
        <v/>
      </c>
      <c r="P3643" s="3">
        <f>O3643-N3643</f>
        <v/>
      </c>
      <c r="Q3643" s="5">
        <f>IFERROR(P3643/O3643,0)</f>
        <v/>
      </c>
      <c r="R3643" s="2">
        <f>TEXT(DATEVALUE(B3643),"mmm")</f>
        <v/>
      </c>
      <c r="S3643" s="2">
        <f>TEXT(DATEVALUE(B3643),"yyyy-mm")</f>
        <v/>
      </c>
    </row>
    <row r="3644">
      <c r="A3644" s="2" t="inlineStr">
        <is>
          <t>O003167</t>
        </is>
      </c>
      <c r="B3644" s="2" t="inlineStr">
        <is>
          <t>2025-09-24</t>
        </is>
      </c>
      <c r="C3644" s="2" t="inlineStr">
        <is>
          <t>C0399</t>
        </is>
      </c>
      <c r="D3644" s="2" t="inlineStr">
        <is>
          <t>P0001</t>
        </is>
      </c>
      <c r="E3644" s="2" t="inlineStr">
        <is>
          <t>Wireless Headphones</t>
        </is>
      </c>
      <c r="F3644" s="2" t="inlineStr">
        <is>
          <t>Electronics</t>
        </is>
      </c>
      <c r="G3644" s="2" t="inlineStr">
        <is>
          <t>West</t>
        </is>
      </c>
      <c r="H3644" s="2" t="inlineStr">
        <is>
          <t>Gujarat</t>
        </is>
      </c>
      <c r="I3644" s="2" t="inlineStr">
        <is>
          <t>Ahmedabad</t>
        </is>
      </c>
      <c r="J3644" s="2" t="inlineStr">
        <is>
          <t>Online</t>
        </is>
      </c>
      <c r="K3644" s="2" t="n">
        <v>4</v>
      </c>
      <c r="L3644" s="3" t="n">
        <v>1321.85</v>
      </c>
      <c r="M3644" s="4" t="n">
        <v>0</v>
      </c>
      <c r="N3644" s="3" t="n">
        <v>2867.9</v>
      </c>
      <c r="O3644" s="3">
        <f>K3644*L3644*(1-M3644)</f>
        <v/>
      </c>
      <c r="P3644" s="3">
        <f>O3644-N3644</f>
        <v/>
      </c>
      <c r="Q3644" s="5">
        <f>IFERROR(P3644/O3644,0)</f>
        <v/>
      </c>
      <c r="R3644" s="2">
        <f>TEXT(DATEVALUE(B3644),"mmm")</f>
        <v/>
      </c>
      <c r="S3644" s="2">
        <f>TEXT(DATEVALUE(B3644),"yyyy-mm")</f>
        <v/>
      </c>
    </row>
    <row r="3645">
      <c r="A3645" s="2" t="inlineStr">
        <is>
          <t>O002436</t>
        </is>
      </c>
      <c r="B3645" s="2" t="inlineStr">
        <is>
          <t>2025-09-24</t>
        </is>
      </c>
      <c r="C3645" s="2" t="inlineStr">
        <is>
          <t>C0348</t>
        </is>
      </c>
      <c r="D3645" s="2" t="inlineStr">
        <is>
          <t>P0032</t>
        </is>
      </c>
      <c r="E3645" s="2" t="inlineStr">
        <is>
          <t>Football</t>
        </is>
      </c>
      <c r="F3645" s="2" t="inlineStr">
        <is>
          <t>Sports</t>
        </is>
      </c>
      <c r="G3645" s="2" t="inlineStr">
        <is>
          <t>West</t>
        </is>
      </c>
      <c r="H3645" s="2" t="inlineStr">
        <is>
          <t>Maharashtra</t>
        </is>
      </c>
      <c r="I3645" s="2" t="inlineStr">
        <is>
          <t>Pune</t>
        </is>
      </c>
      <c r="J3645" s="2" t="inlineStr">
        <is>
          <t>Store</t>
        </is>
      </c>
      <c r="K3645" s="2" t="n">
        <v>6</v>
      </c>
      <c r="L3645" s="3" t="n">
        <v>787.3</v>
      </c>
      <c r="M3645" s="4" t="n">
        <v>0.05</v>
      </c>
      <c r="N3645" s="3" t="n">
        <v>3143.07</v>
      </c>
      <c r="O3645" s="3">
        <f>K3645*L3645*(1-M3645)</f>
        <v/>
      </c>
      <c r="P3645" s="3">
        <f>O3645-N3645</f>
        <v/>
      </c>
      <c r="Q3645" s="5">
        <f>IFERROR(P3645/O3645,0)</f>
        <v/>
      </c>
      <c r="R3645" s="2">
        <f>TEXT(DATEVALUE(B3645),"mmm")</f>
        <v/>
      </c>
      <c r="S3645" s="2">
        <f>TEXT(DATEVALUE(B3645),"yyyy-mm")</f>
        <v/>
      </c>
    </row>
    <row r="3646">
      <c r="A3646" s="2" t="inlineStr">
        <is>
          <t>O001157</t>
        </is>
      </c>
      <c r="B3646" s="2" t="inlineStr">
        <is>
          <t>2025-09-24</t>
        </is>
      </c>
      <c r="C3646" s="2" t="inlineStr">
        <is>
          <t>C0733</t>
        </is>
      </c>
      <c r="D3646" s="2" t="inlineStr">
        <is>
          <t>P0031</t>
        </is>
      </c>
      <c r="E3646" s="2" t="inlineStr">
        <is>
          <t>Cricket Bat</t>
        </is>
      </c>
      <c r="F3646" s="2" t="inlineStr">
        <is>
          <t>Sports</t>
        </is>
      </c>
      <c r="G3646" s="2" t="inlineStr">
        <is>
          <t>West</t>
        </is>
      </c>
      <c r="H3646" s="2" t="inlineStr">
        <is>
          <t>Gujarat</t>
        </is>
      </c>
      <c r="I3646" s="2" t="inlineStr">
        <is>
          <t>Vadodara</t>
        </is>
      </c>
      <c r="J3646" s="2" t="inlineStr">
        <is>
          <t>Store</t>
        </is>
      </c>
      <c r="K3646" s="2" t="n">
        <v>1</v>
      </c>
      <c r="L3646" s="3" t="n">
        <v>1438.2</v>
      </c>
      <c r="M3646" s="4" t="n">
        <v>0.15</v>
      </c>
      <c r="N3646" s="3" t="n">
        <v>939.51</v>
      </c>
      <c r="O3646" s="3">
        <f>K3646*L3646*(1-M3646)</f>
        <v/>
      </c>
      <c r="P3646" s="3">
        <f>O3646-N3646</f>
        <v/>
      </c>
      <c r="Q3646" s="5">
        <f>IFERROR(P3646/O3646,0)</f>
        <v/>
      </c>
      <c r="R3646" s="2">
        <f>TEXT(DATEVALUE(B3646),"mmm")</f>
        <v/>
      </c>
      <c r="S3646" s="2">
        <f>TEXT(DATEVALUE(B3646),"yyyy-mm")</f>
        <v/>
      </c>
    </row>
    <row r="3647">
      <c r="A3647" s="2" t="inlineStr">
        <is>
          <t>O001807</t>
        </is>
      </c>
      <c r="B3647" s="2" t="inlineStr">
        <is>
          <t>2025-09-24</t>
        </is>
      </c>
      <c r="C3647" s="2" t="inlineStr">
        <is>
          <t>C0775</t>
        </is>
      </c>
      <c r="D3647" s="2" t="inlineStr">
        <is>
          <t>P0007</t>
        </is>
      </c>
      <c r="E3647" s="2" t="inlineStr">
        <is>
          <t>Wireless Mouse</t>
        </is>
      </c>
      <c r="F3647" s="2" t="inlineStr">
        <is>
          <t>Electronics</t>
        </is>
      </c>
      <c r="G3647" s="2" t="inlineStr">
        <is>
          <t>South</t>
        </is>
      </c>
      <c r="H3647" s="2" t="inlineStr">
        <is>
          <t>Telangana</t>
        </is>
      </c>
      <c r="I3647" s="2" t="inlineStr">
        <is>
          <t>Hyderabad</t>
        </is>
      </c>
      <c r="J3647" s="2" t="inlineStr">
        <is>
          <t>Online</t>
        </is>
      </c>
      <c r="K3647" s="2" t="n">
        <v>2</v>
      </c>
      <c r="L3647" s="3" t="n">
        <v>996.11</v>
      </c>
      <c r="M3647" s="4" t="n">
        <v>0.2</v>
      </c>
      <c r="N3647" s="3" t="n">
        <v>1247.58</v>
      </c>
      <c r="O3647" s="3">
        <f>K3647*L3647*(1-M3647)</f>
        <v/>
      </c>
      <c r="P3647" s="3">
        <f>O3647-N3647</f>
        <v/>
      </c>
      <c r="Q3647" s="5">
        <f>IFERROR(P3647/O3647,0)</f>
        <v/>
      </c>
      <c r="R3647" s="2">
        <f>TEXT(DATEVALUE(B3647),"mmm")</f>
        <v/>
      </c>
      <c r="S3647" s="2">
        <f>TEXT(DATEVALUE(B3647),"yyyy-mm")</f>
        <v/>
      </c>
    </row>
    <row r="3648">
      <c r="A3648" s="2" t="inlineStr">
        <is>
          <t>O001588</t>
        </is>
      </c>
      <c r="B3648" s="2" t="inlineStr">
        <is>
          <t>2025-09-24</t>
        </is>
      </c>
      <c r="C3648" s="2" t="inlineStr">
        <is>
          <t>C0482</t>
        </is>
      </c>
      <c r="D3648" s="2" t="inlineStr">
        <is>
          <t>P0013</t>
        </is>
      </c>
      <c r="E3648" s="2" t="inlineStr">
        <is>
          <t>Storage Organizer</t>
        </is>
      </c>
      <c r="F3648" s="2" t="inlineStr">
        <is>
          <t>Home &amp; Kitchen</t>
        </is>
      </c>
      <c r="G3648" s="2" t="inlineStr">
        <is>
          <t>North</t>
        </is>
      </c>
      <c r="H3648" s="2" t="inlineStr">
        <is>
          <t>Haryana</t>
        </is>
      </c>
      <c r="I3648" s="2" t="inlineStr">
        <is>
          <t>Faridabad</t>
        </is>
      </c>
      <c r="J3648" s="2" t="inlineStr">
        <is>
          <t>Online</t>
        </is>
      </c>
      <c r="K3648" s="2" t="n">
        <v>3</v>
      </c>
      <c r="L3648" s="3" t="n">
        <v>584.02</v>
      </c>
      <c r="M3648" s="4" t="n">
        <v>0.1</v>
      </c>
      <c r="N3648" s="3" t="n">
        <v>1106.49</v>
      </c>
      <c r="O3648" s="3">
        <f>K3648*L3648*(1-M3648)</f>
        <v/>
      </c>
      <c r="P3648" s="3">
        <f>O3648-N3648</f>
        <v/>
      </c>
      <c r="Q3648" s="5">
        <f>IFERROR(P3648/O3648,0)</f>
        <v/>
      </c>
      <c r="R3648" s="2">
        <f>TEXT(DATEVALUE(B3648),"mmm")</f>
        <v/>
      </c>
      <c r="S3648" s="2">
        <f>TEXT(DATEVALUE(B3648),"yyyy-mm")</f>
        <v/>
      </c>
    </row>
    <row r="3649">
      <c r="A3649" s="2" t="inlineStr">
        <is>
          <t>O001378</t>
        </is>
      </c>
      <c r="B3649" s="2" t="inlineStr">
        <is>
          <t>2025-09-24</t>
        </is>
      </c>
      <c r="C3649" s="2" t="inlineStr">
        <is>
          <t>C0798</t>
        </is>
      </c>
      <c r="D3649" s="2" t="inlineStr">
        <is>
          <t>P0022</t>
        </is>
      </c>
      <c r="E3649" s="2" t="inlineStr">
        <is>
          <t>Face Wash</t>
        </is>
      </c>
      <c r="F3649" s="2" t="inlineStr">
        <is>
          <t>Beauty</t>
        </is>
      </c>
      <c r="G3649" s="2" t="inlineStr">
        <is>
          <t>West</t>
        </is>
      </c>
      <c r="H3649" s="2" t="inlineStr">
        <is>
          <t>Maharashtra</t>
        </is>
      </c>
      <c r="I3649" s="2" t="inlineStr">
        <is>
          <t>Nashik</t>
        </is>
      </c>
      <c r="J3649" s="2" t="inlineStr">
        <is>
          <t>Store</t>
        </is>
      </c>
      <c r="K3649" s="2" t="n">
        <v>2</v>
      </c>
      <c r="L3649" s="3" t="n">
        <v>549.01</v>
      </c>
      <c r="M3649" s="4" t="n">
        <v>0.05</v>
      </c>
      <c r="N3649" s="3" t="n">
        <v>684.5</v>
      </c>
      <c r="O3649" s="3">
        <f>K3649*L3649*(1-M3649)</f>
        <v/>
      </c>
      <c r="P3649" s="3">
        <f>O3649-N3649</f>
        <v/>
      </c>
      <c r="Q3649" s="5">
        <f>IFERROR(P3649/O3649,0)</f>
        <v/>
      </c>
      <c r="R3649" s="2">
        <f>TEXT(DATEVALUE(B3649),"mmm")</f>
        <v/>
      </c>
      <c r="S3649" s="2">
        <f>TEXT(DATEVALUE(B3649),"yyyy-mm")</f>
        <v/>
      </c>
    </row>
    <row r="3650">
      <c r="A3650" s="2" t="inlineStr">
        <is>
          <t>O001036</t>
        </is>
      </c>
      <c r="B3650" s="2" t="inlineStr">
        <is>
          <t>2025-09-24</t>
        </is>
      </c>
      <c r="C3650" s="2" t="inlineStr">
        <is>
          <t>C0718</t>
        </is>
      </c>
      <c r="D3650" s="2" t="inlineStr">
        <is>
          <t>P0008</t>
        </is>
      </c>
      <c r="E3650" s="2" t="inlineStr">
        <is>
          <t>Air Fryer</t>
        </is>
      </c>
      <c r="F3650" s="2" t="inlineStr">
        <is>
          <t>Home &amp; Kitchen</t>
        </is>
      </c>
      <c r="G3650" s="2" t="inlineStr">
        <is>
          <t>West</t>
        </is>
      </c>
      <c r="H3650" s="2" t="inlineStr">
        <is>
          <t>Gujarat</t>
        </is>
      </c>
      <c r="I3650" s="2" t="inlineStr">
        <is>
          <t>Ahmedabad</t>
        </is>
      </c>
      <c r="J3650" s="2" t="inlineStr">
        <is>
          <t>Store</t>
        </is>
      </c>
      <c r="K3650" s="2" t="n">
        <v>3</v>
      </c>
      <c r="L3650" s="3" t="n">
        <v>1018.97</v>
      </c>
      <c r="M3650" s="4" t="n">
        <v>0.2</v>
      </c>
      <c r="N3650" s="3" t="n">
        <v>1999.99</v>
      </c>
      <c r="O3650" s="3">
        <f>K3650*L3650*(1-M3650)</f>
        <v/>
      </c>
      <c r="P3650" s="3">
        <f>O3650-N3650</f>
        <v/>
      </c>
      <c r="Q3650" s="5">
        <f>IFERROR(P3650/O3650,0)</f>
        <v/>
      </c>
      <c r="R3650" s="2">
        <f>TEXT(DATEVALUE(B3650),"mmm")</f>
        <v/>
      </c>
      <c r="S3650" s="2">
        <f>TEXT(DATEVALUE(B3650),"yyyy-mm")</f>
        <v/>
      </c>
    </row>
    <row r="3651">
      <c r="A3651" s="2" t="inlineStr">
        <is>
          <t>O000729</t>
        </is>
      </c>
      <c r="B3651" s="2" t="inlineStr">
        <is>
          <t>2025-09-24</t>
        </is>
      </c>
      <c r="C3651" s="2" t="inlineStr">
        <is>
          <t>C0279</t>
        </is>
      </c>
      <c r="D3651" s="2" t="inlineStr">
        <is>
          <t>P0016</t>
        </is>
      </c>
      <c r="E3651" s="2" t="inlineStr">
        <is>
          <t>Casual Shirt</t>
        </is>
      </c>
      <c r="F3651" s="2" t="inlineStr">
        <is>
          <t>Fashion</t>
        </is>
      </c>
      <c r="G3651" s="2" t="inlineStr">
        <is>
          <t>West</t>
        </is>
      </c>
      <c r="H3651" s="2" t="inlineStr">
        <is>
          <t>Maharashtra</t>
        </is>
      </c>
      <c r="I3651" s="2" t="inlineStr">
        <is>
          <t>Pune</t>
        </is>
      </c>
      <c r="J3651" s="2" t="inlineStr">
        <is>
          <t>Online</t>
        </is>
      </c>
      <c r="K3651" s="2" t="n">
        <v>3</v>
      </c>
      <c r="L3651" s="3" t="n">
        <v>1304.53</v>
      </c>
      <c r="M3651" s="4" t="n">
        <v>0.05</v>
      </c>
      <c r="N3651" s="3" t="n">
        <v>2764.57</v>
      </c>
      <c r="O3651" s="3">
        <f>K3651*L3651*(1-M3651)</f>
        <v/>
      </c>
      <c r="P3651" s="3">
        <f>O3651-N3651</f>
        <v/>
      </c>
      <c r="Q3651" s="5">
        <f>IFERROR(P3651/O3651,0)</f>
        <v/>
      </c>
      <c r="R3651" s="2">
        <f>TEXT(DATEVALUE(B3651),"mmm")</f>
        <v/>
      </c>
      <c r="S3651" s="2">
        <f>TEXT(DATEVALUE(B3651),"yyyy-mm")</f>
        <v/>
      </c>
    </row>
    <row r="3652">
      <c r="A3652" s="2" t="inlineStr">
        <is>
          <t>O000254</t>
        </is>
      </c>
      <c r="B3652" s="2" t="inlineStr">
        <is>
          <t>2025-09-24</t>
        </is>
      </c>
      <c r="C3652" s="2" t="inlineStr">
        <is>
          <t>C0296</t>
        </is>
      </c>
      <c r="D3652" s="2" t="inlineStr">
        <is>
          <t>P0027</t>
        </is>
      </c>
      <c r="E3652" s="2" t="inlineStr">
        <is>
          <t>Moisturizer</t>
        </is>
      </c>
      <c r="F3652" s="2" t="inlineStr">
        <is>
          <t>Beauty</t>
        </is>
      </c>
      <c r="G3652" s="2" t="inlineStr">
        <is>
          <t>East</t>
        </is>
      </c>
      <c r="H3652" s="2" t="inlineStr">
        <is>
          <t>Odisha</t>
        </is>
      </c>
      <c r="I3652" s="2" t="inlineStr">
        <is>
          <t>Bhubaneswar</t>
        </is>
      </c>
      <c r="J3652" s="2" t="inlineStr">
        <is>
          <t>Store</t>
        </is>
      </c>
      <c r="K3652" s="2" t="n">
        <v>3</v>
      </c>
      <c r="L3652" s="3" t="n">
        <v>972.42</v>
      </c>
      <c r="M3652" s="4" t="n">
        <v>0.05</v>
      </c>
      <c r="N3652" s="3" t="n">
        <v>1990.88</v>
      </c>
      <c r="O3652" s="3">
        <f>K3652*L3652*(1-M3652)</f>
        <v/>
      </c>
      <c r="P3652" s="3">
        <f>O3652-N3652</f>
        <v/>
      </c>
      <c r="Q3652" s="5">
        <f>IFERROR(P3652/O3652,0)</f>
        <v/>
      </c>
      <c r="R3652" s="2">
        <f>TEXT(DATEVALUE(B3652),"mmm")</f>
        <v/>
      </c>
      <c r="S3652" s="2">
        <f>TEXT(DATEVALUE(B3652),"yyyy-mm")</f>
        <v/>
      </c>
    </row>
    <row r="3653">
      <c r="A3653" s="2" t="inlineStr">
        <is>
          <t>O002120</t>
        </is>
      </c>
      <c r="B3653" s="2" t="inlineStr">
        <is>
          <t>2025-09-24</t>
        </is>
      </c>
      <c r="C3653" s="2" t="inlineStr">
        <is>
          <t>C0733</t>
        </is>
      </c>
      <c r="D3653" s="2" t="inlineStr">
        <is>
          <t>P0023</t>
        </is>
      </c>
      <c r="E3653" s="2" t="inlineStr">
        <is>
          <t>Skin Care Kit</t>
        </is>
      </c>
      <c r="F3653" s="2" t="inlineStr">
        <is>
          <t>Beauty</t>
        </is>
      </c>
      <c r="G3653" s="2" t="inlineStr">
        <is>
          <t>South</t>
        </is>
      </c>
      <c r="H3653" s="2" t="inlineStr">
        <is>
          <t>Telangana</t>
        </is>
      </c>
      <c r="I3653" s="2" t="inlineStr">
        <is>
          <t>Hyderabad</t>
        </is>
      </c>
      <c r="J3653" s="2" t="inlineStr">
        <is>
          <t>Store</t>
        </is>
      </c>
      <c r="K3653" s="2" t="n">
        <v>2</v>
      </c>
      <c r="L3653" s="3" t="n">
        <v>1348.2</v>
      </c>
      <c r="M3653" s="4" t="n">
        <v>0</v>
      </c>
      <c r="N3653" s="3" t="n">
        <v>1741.49</v>
      </c>
      <c r="O3653" s="3">
        <f>K3653*L3653*(1-M3653)</f>
        <v/>
      </c>
      <c r="P3653" s="3">
        <f>O3653-N3653</f>
        <v/>
      </c>
      <c r="Q3653" s="5">
        <f>IFERROR(P3653/O3653,0)</f>
        <v/>
      </c>
      <c r="R3653" s="2">
        <f>TEXT(DATEVALUE(B3653),"mmm")</f>
        <v/>
      </c>
      <c r="S3653" s="2">
        <f>TEXT(DATEVALUE(B3653),"yyyy-mm")</f>
        <v/>
      </c>
    </row>
    <row r="3654">
      <c r="A3654" s="2" t="inlineStr">
        <is>
          <t>O002979</t>
        </is>
      </c>
      <c r="B3654" s="2" t="inlineStr">
        <is>
          <t>2025-09-25</t>
        </is>
      </c>
      <c r="C3654" s="2" t="inlineStr">
        <is>
          <t>C0073</t>
        </is>
      </c>
      <c r="D3654" s="2" t="inlineStr">
        <is>
          <t>P0026</t>
        </is>
      </c>
      <c r="E3654" s="2" t="inlineStr">
        <is>
          <t>Shampoo</t>
        </is>
      </c>
      <c r="F3654" s="2" t="inlineStr">
        <is>
          <t>Beauty</t>
        </is>
      </c>
      <c r="G3654" s="2" t="inlineStr">
        <is>
          <t>West</t>
        </is>
      </c>
      <c r="H3654" s="2" t="inlineStr">
        <is>
          <t>Gujarat</t>
        </is>
      </c>
      <c r="I3654" s="2" t="inlineStr">
        <is>
          <t>Ahmedabad</t>
        </is>
      </c>
      <c r="J3654" s="2" t="inlineStr">
        <is>
          <t>Online</t>
        </is>
      </c>
      <c r="K3654" s="2" t="n">
        <v>1</v>
      </c>
      <c r="L3654" s="3" t="n">
        <v>869.8200000000001</v>
      </c>
      <c r="M3654" s="4" t="n">
        <v>0.2</v>
      </c>
      <c r="N3654" s="3" t="n">
        <v>505.88</v>
      </c>
      <c r="O3654" s="3">
        <f>K3654*L3654*(1-M3654)</f>
        <v/>
      </c>
      <c r="P3654" s="3">
        <f>O3654-N3654</f>
        <v/>
      </c>
      <c r="Q3654" s="5">
        <f>IFERROR(P3654/O3654,0)</f>
        <v/>
      </c>
      <c r="R3654" s="2">
        <f>TEXT(DATEVALUE(B3654),"mmm")</f>
        <v/>
      </c>
      <c r="S3654" s="2">
        <f>TEXT(DATEVALUE(B3654),"yyyy-mm")</f>
        <v/>
      </c>
    </row>
    <row r="3655">
      <c r="A3655" s="2" t="inlineStr">
        <is>
          <t>O004913</t>
        </is>
      </c>
      <c r="B3655" s="2" t="inlineStr">
        <is>
          <t>2025-09-25</t>
        </is>
      </c>
      <c r="C3655" s="2" t="inlineStr">
        <is>
          <t>C0152</t>
        </is>
      </c>
      <c r="D3655" s="2" t="inlineStr">
        <is>
          <t>P0024</t>
        </is>
      </c>
      <c r="E3655" s="2" t="inlineStr">
        <is>
          <t>Hair Dryer</t>
        </is>
      </c>
      <c r="F3655" s="2" t="inlineStr">
        <is>
          <t>Beauty</t>
        </is>
      </c>
      <c r="G3655" s="2" t="inlineStr">
        <is>
          <t>West</t>
        </is>
      </c>
      <c r="H3655" s="2" t="inlineStr">
        <is>
          <t>Goa</t>
        </is>
      </c>
      <c r="I3655" s="2" t="inlineStr">
        <is>
          <t>Margao</t>
        </is>
      </c>
      <c r="J3655" s="2" t="inlineStr">
        <is>
          <t>Store</t>
        </is>
      </c>
      <c r="K3655" s="2" t="n">
        <v>4</v>
      </c>
      <c r="L3655" s="3" t="n">
        <v>1001.38</v>
      </c>
      <c r="M3655" s="4" t="n">
        <v>0.05</v>
      </c>
      <c r="N3655" s="3" t="n">
        <v>2919.94</v>
      </c>
      <c r="O3655" s="3">
        <f>K3655*L3655*(1-M3655)</f>
        <v/>
      </c>
      <c r="P3655" s="3">
        <f>O3655-N3655</f>
        <v/>
      </c>
      <c r="Q3655" s="5">
        <f>IFERROR(P3655/O3655,0)</f>
        <v/>
      </c>
      <c r="R3655" s="2">
        <f>TEXT(DATEVALUE(B3655),"mmm")</f>
        <v/>
      </c>
      <c r="S3655" s="2">
        <f>TEXT(DATEVALUE(B3655),"yyyy-mm")</f>
        <v/>
      </c>
    </row>
    <row r="3656">
      <c r="A3656" s="2" t="inlineStr">
        <is>
          <t>O004875</t>
        </is>
      </c>
      <c r="B3656" s="2" t="inlineStr">
        <is>
          <t>2025-09-25</t>
        </is>
      </c>
      <c r="C3656" s="2" t="inlineStr">
        <is>
          <t>C0750</t>
        </is>
      </c>
      <c r="D3656" s="2" t="inlineStr">
        <is>
          <t>P0014</t>
        </is>
      </c>
      <c r="E3656" s="2" t="inlineStr">
        <is>
          <t>Coffee Maker</t>
        </is>
      </c>
      <c r="F3656" s="2" t="inlineStr">
        <is>
          <t>Home &amp; Kitchen</t>
        </is>
      </c>
      <c r="G3656" s="2" t="inlineStr">
        <is>
          <t>North</t>
        </is>
      </c>
      <c r="H3656" s="2" t="inlineStr">
        <is>
          <t>Delhi</t>
        </is>
      </c>
      <c r="I3656" s="2" t="inlineStr">
        <is>
          <t>New Delhi</t>
        </is>
      </c>
      <c r="J3656" s="2" t="inlineStr">
        <is>
          <t>Online</t>
        </is>
      </c>
      <c r="K3656" s="2" t="n">
        <v>2</v>
      </c>
      <c r="L3656" s="3" t="n">
        <v>1089.66</v>
      </c>
      <c r="M3656" s="4" t="n">
        <v>0.05</v>
      </c>
      <c r="N3656" s="3" t="n">
        <v>1485.23</v>
      </c>
      <c r="O3656" s="3">
        <f>K3656*L3656*(1-M3656)</f>
        <v/>
      </c>
      <c r="P3656" s="3">
        <f>O3656-N3656</f>
        <v/>
      </c>
      <c r="Q3656" s="5">
        <f>IFERROR(P3656/O3656,0)</f>
        <v/>
      </c>
      <c r="R3656" s="2">
        <f>TEXT(DATEVALUE(B3656),"mmm")</f>
        <v/>
      </c>
      <c r="S3656" s="2">
        <f>TEXT(DATEVALUE(B3656),"yyyy-mm")</f>
        <v/>
      </c>
    </row>
    <row r="3657">
      <c r="A3657" s="2" t="inlineStr">
        <is>
          <t>O003806</t>
        </is>
      </c>
      <c r="B3657" s="2" t="inlineStr">
        <is>
          <t>2025-09-25</t>
        </is>
      </c>
      <c r="C3657" s="2" t="inlineStr">
        <is>
          <t>C0394</t>
        </is>
      </c>
      <c r="D3657" s="2" t="inlineStr">
        <is>
          <t>P0014</t>
        </is>
      </c>
      <c r="E3657" s="2" t="inlineStr">
        <is>
          <t>Coffee Maker</t>
        </is>
      </c>
      <c r="F3657" s="2" t="inlineStr">
        <is>
          <t>Home &amp; Kitchen</t>
        </is>
      </c>
      <c r="G3657" s="2" t="inlineStr">
        <is>
          <t>South</t>
        </is>
      </c>
      <c r="H3657" s="2" t="inlineStr">
        <is>
          <t>Karnataka</t>
        </is>
      </c>
      <c r="I3657" s="2" t="inlineStr">
        <is>
          <t>Mysuru</t>
        </is>
      </c>
      <c r="J3657" s="2" t="inlineStr">
        <is>
          <t>Online</t>
        </is>
      </c>
      <c r="K3657" s="2" t="n">
        <v>1</v>
      </c>
      <c r="L3657" s="3" t="n">
        <v>1085.72</v>
      </c>
      <c r="M3657" s="4" t="n">
        <v>0.05</v>
      </c>
      <c r="N3657" s="3" t="n">
        <v>778.97</v>
      </c>
      <c r="O3657" s="3">
        <f>K3657*L3657*(1-M3657)</f>
        <v/>
      </c>
      <c r="P3657" s="3">
        <f>O3657-N3657</f>
        <v/>
      </c>
      <c r="Q3657" s="5">
        <f>IFERROR(P3657/O3657,0)</f>
        <v/>
      </c>
      <c r="R3657" s="2">
        <f>TEXT(DATEVALUE(B3657),"mmm")</f>
        <v/>
      </c>
      <c r="S3657" s="2">
        <f>TEXT(DATEVALUE(B3657),"yyyy-mm")</f>
        <v/>
      </c>
    </row>
    <row r="3658">
      <c r="A3658" s="2" t="inlineStr">
        <is>
          <t>O003338</t>
        </is>
      </c>
      <c r="B3658" s="2" t="inlineStr">
        <is>
          <t>2025-09-25</t>
        </is>
      </c>
      <c r="C3658" s="2" t="inlineStr">
        <is>
          <t>C0723</t>
        </is>
      </c>
      <c r="D3658" s="2" t="inlineStr">
        <is>
          <t>P0027</t>
        </is>
      </c>
      <c r="E3658" s="2" t="inlineStr">
        <is>
          <t>Moisturizer</t>
        </is>
      </c>
      <c r="F3658" s="2" t="inlineStr">
        <is>
          <t>Beauty</t>
        </is>
      </c>
      <c r="G3658" s="2" t="inlineStr">
        <is>
          <t>West</t>
        </is>
      </c>
      <c r="H3658" s="2" t="inlineStr">
        <is>
          <t>Goa</t>
        </is>
      </c>
      <c r="I3658" s="2" t="inlineStr">
        <is>
          <t>Margao</t>
        </is>
      </c>
      <c r="J3658" s="2" t="inlineStr">
        <is>
          <t>Online</t>
        </is>
      </c>
      <c r="K3658" s="2" t="n">
        <v>2</v>
      </c>
      <c r="L3658" s="3" t="n">
        <v>926.9299999999999</v>
      </c>
      <c r="M3658" s="4" t="n">
        <v>0.15</v>
      </c>
      <c r="N3658" s="3" t="n">
        <v>1359.37</v>
      </c>
      <c r="O3658" s="3">
        <f>K3658*L3658*(1-M3658)</f>
        <v/>
      </c>
      <c r="P3658" s="3">
        <f>O3658-N3658</f>
        <v/>
      </c>
      <c r="Q3658" s="5">
        <f>IFERROR(P3658/O3658,0)</f>
        <v/>
      </c>
      <c r="R3658" s="2">
        <f>TEXT(DATEVALUE(B3658),"mmm")</f>
        <v/>
      </c>
      <c r="S3658" s="2">
        <f>TEXT(DATEVALUE(B3658),"yyyy-mm")</f>
        <v/>
      </c>
    </row>
    <row r="3659">
      <c r="A3659" s="2" t="inlineStr">
        <is>
          <t>O003283</t>
        </is>
      </c>
      <c r="B3659" s="2" t="inlineStr">
        <is>
          <t>2025-09-25</t>
        </is>
      </c>
      <c r="C3659" s="2" t="inlineStr">
        <is>
          <t>C0377</t>
        </is>
      </c>
      <c r="D3659" s="2" t="inlineStr">
        <is>
          <t>P0022</t>
        </is>
      </c>
      <c r="E3659" s="2" t="inlineStr">
        <is>
          <t>Face Wash</t>
        </is>
      </c>
      <c r="F3659" s="2" t="inlineStr">
        <is>
          <t>Beauty</t>
        </is>
      </c>
      <c r="G3659" s="2" t="inlineStr">
        <is>
          <t>North</t>
        </is>
      </c>
      <c r="H3659" s="2" t="inlineStr">
        <is>
          <t>Haryana</t>
        </is>
      </c>
      <c r="I3659" s="2" t="inlineStr">
        <is>
          <t>Gurugram</t>
        </is>
      </c>
      <c r="J3659" s="2" t="inlineStr">
        <is>
          <t>Store</t>
        </is>
      </c>
      <c r="K3659" s="2" t="n">
        <v>2</v>
      </c>
      <c r="L3659" s="3" t="n">
        <v>571.9299999999999</v>
      </c>
      <c r="M3659" s="4" t="n">
        <v>0</v>
      </c>
      <c r="N3659" s="3" t="n">
        <v>720.62</v>
      </c>
      <c r="O3659" s="3">
        <f>K3659*L3659*(1-M3659)</f>
        <v/>
      </c>
      <c r="P3659" s="3">
        <f>O3659-N3659</f>
        <v/>
      </c>
      <c r="Q3659" s="5">
        <f>IFERROR(P3659/O3659,0)</f>
        <v/>
      </c>
      <c r="R3659" s="2">
        <f>TEXT(DATEVALUE(B3659),"mmm")</f>
        <v/>
      </c>
      <c r="S3659" s="2">
        <f>TEXT(DATEVALUE(B3659),"yyyy-mm")</f>
        <v/>
      </c>
    </row>
    <row r="3660">
      <c r="A3660" s="2" t="inlineStr">
        <is>
          <t>O003222</t>
        </is>
      </c>
      <c r="B3660" s="2" t="inlineStr">
        <is>
          <t>2025-09-25</t>
        </is>
      </c>
      <c r="C3660" s="2" t="inlineStr">
        <is>
          <t>C0330</t>
        </is>
      </c>
      <c r="D3660" s="2" t="inlineStr">
        <is>
          <t>P0007</t>
        </is>
      </c>
      <c r="E3660" s="2" t="inlineStr">
        <is>
          <t>Wireless Mouse</t>
        </is>
      </c>
      <c r="F3660" s="2" t="inlineStr">
        <is>
          <t>Electronics</t>
        </is>
      </c>
      <c r="G3660" s="2" t="inlineStr">
        <is>
          <t>West</t>
        </is>
      </c>
      <c r="H3660" s="2" t="inlineStr">
        <is>
          <t>Goa</t>
        </is>
      </c>
      <c r="I3660" s="2" t="inlineStr">
        <is>
          <t>Margao</t>
        </is>
      </c>
      <c r="J3660" s="2" t="inlineStr">
        <is>
          <t>Online</t>
        </is>
      </c>
      <c r="K3660" s="2" t="n">
        <v>2</v>
      </c>
      <c r="L3660" s="3" t="n">
        <v>991.25</v>
      </c>
      <c r="M3660" s="4" t="n">
        <v>0.15</v>
      </c>
      <c r="N3660" s="3" t="n">
        <v>1234.64</v>
      </c>
      <c r="O3660" s="3">
        <f>K3660*L3660*(1-M3660)</f>
        <v/>
      </c>
      <c r="P3660" s="3">
        <f>O3660-N3660</f>
        <v/>
      </c>
      <c r="Q3660" s="5">
        <f>IFERROR(P3660/O3660,0)</f>
        <v/>
      </c>
      <c r="R3660" s="2">
        <f>TEXT(DATEVALUE(B3660),"mmm")</f>
        <v/>
      </c>
      <c r="S3660" s="2">
        <f>TEXT(DATEVALUE(B3660),"yyyy-mm")</f>
        <v/>
      </c>
    </row>
    <row r="3661">
      <c r="A3661" s="2" t="inlineStr">
        <is>
          <t>O004971</t>
        </is>
      </c>
      <c r="B3661" s="2" t="inlineStr">
        <is>
          <t>2025-09-25</t>
        </is>
      </c>
      <c r="C3661" s="2" t="inlineStr">
        <is>
          <t>C0263</t>
        </is>
      </c>
      <c r="D3661" s="2" t="inlineStr">
        <is>
          <t>P0032</t>
        </is>
      </c>
      <c r="E3661" s="2" t="inlineStr">
        <is>
          <t>Football</t>
        </is>
      </c>
      <c r="F3661" s="2" t="inlineStr">
        <is>
          <t>Sports</t>
        </is>
      </c>
      <c r="G3661" s="2" t="inlineStr">
        <is>
          <t>West</t>
        </is>
      </c>
      <c r="H3661" s="2" t="inlineStr">
        <is>
          <t>Maharashtra</t>
        </is>
      </c>
      <c r="I3661" s="2" t="inlineStr">
        <is>
          <t>Thane</t>
        </is>
      </c>
      <c r="J3661" s="2" t="inlineStr">
        <is>
          <t>Online</t>
        </is>
      </c>
      <c r="K3661" s="2" t="n">
        <v>1</v>
      </c>
      <c r="L3661" s="3" t="n">
        <v>845.6900000000001</v>
      </c>
      <c r="M3661" s="4" t="n">
        <v>0.05</v>
      </c>
      <c r="N3661" s="3" t="n">
        <v>545.79</v>
      </c>
      <c r="O3661" s="3">
        <f>K3661*L3661*(1-M3661)</f>
        <v/>
      </c>
      <c r="P3661" s="3">
        <f>O3661-N3661</f>
        <v/>
      </c>
      <c r="Q3661" s="5">
        <f>IFERROR(P3661/O3661,0)</f>
        <v/>
      </c>
      <c r="R3661" s="2">
        <f>TEXT(DATEVALUE(B3661),"mmm")</f>
        <v/>
      </c>
      <c r="S3661" s="2">
        <f>TEXT(DATEVALUE(B3661),"yyyy-mm")</f>
        <v/>
      </c>
    </row>
    <row r="3662">
      <c r="A3662" s="2" t="inlineStr">
        <is>
          <t>O002965</t>
        </is>
      </c>
      <c r="B3662" s="2" t="inlineStr">
        <is>
          <t>2025-09-25</t>
        </is>
      </c>
      <c r="C3662" s="2" t="inlineStr">
        <is>
          <t>C0771</t>
        </is>
      </c>
      <c r="D3662" s="2" t="inlineStr">
        <is>
          <t>P0028</t>
        </is>
      </c>
      <c r="E3662" s="2" t="inlineStr">
        <is>
          <t>Trimmer</t>
        </is>
      </c>
      <c r="F3662" s="2" t="inlineStr">
        <is>
          <t>Beauty</t>
        </is>
      </c>
      <c r="G3662" s="2" t="inlineStr">
        <is>
          <t>East</t>
        </is>
      </c>
      <c r="H3662" s="2" t="inlineStr">
        <is>
          <t>Odisha</t>
        </is>
      </c>
      <c r="I3662" s="2" t="inlineStr">
        <is>
          <t>Cuttack</t>
        </is>
      </c>
      <c r="J3662" s="2" t="inlineStr">
        <is>
          <t>Online</t>
        </is>
      </c>
      <c r="K3662" s="2" t="n">
        <v>3</v>
      </c>
      <c r="L3662" s="3" t="n">
        <v>444.67</v>
      </c>
      <c r="M3662" s="4" t="n">
        <v>0</v>
      </c>
      <c r="N3662" s="3" t="n">
        <v>760.65</v>
      </c>
      <c r="O3662" s="3">
        <f>K3662*L3662*(1-M3662)</f>
        <v/>
      </c>
      <c r="P3662" s="3">
        <f>O3662-N3662</f>
        <v/>
      </c>
      <c r="Q3662" s="5">
        <f>IFERROR(P3662/O3662,0)</f>
        <v/>
      </c>
      <c r="R3662" s="2">
        <f>TEXT(DATEVALUE(B3662),"mmm")</f>
        <v/>
      </c>
      <c r="S3662" s="2">
        <f>TEXT(DATEVALUE(B3662),"yyyy-mm")</f>
        <v/>
      </c>
    </row>
    <row r="3663">
      <c r="A3663" s="2" t="inlineStr">
        <is>
          <t>O003165</t>
        </is>
      </c>
      <c r="B3663" s="2" t="inlineStr">
        <is>
          <t>2025-09-25</t>
        </is>
      </c>
      <c r="C3663" s="2" t="inlineStr">
        <is>
          <t>C0793</t>
        </is>
      </c>
      <c r="D3663" s="2" t="inlineStr">
        <is>
          <t>P0024</t>
        </is>
      </c>
      <c r="E3663" s="2" t="inlineStr">
        <is>
          <t>Hair Dryer</t>
        </is>
      </c>
      <c r="F3663" s="2" t="inlineStr">
        <is>
          <t>Beauty</t>
        </is>
      </c>
      <c r="G3663" s="2" t="inlineStr">
        <is>
          <t>East</t>
        </is>
      </c>
      <c r="H3663" s="2" t="inlineStr">
        <is>
          <t>Bihar</t>
        </is>
      </c>
      <c r="I3663" s="2" t="inlineStr">
        <is>
          <t>Gaya</t>
        </is>
      </c>
      <c r="J3663" s="2" t="inlineStr">
        <is>
          <t>Store</t>
        </is>
      </c>
      <c r="K3663" s="2" t="n">
        <v>4</v>
      </c>
      <c r="L3663" s="3" t="n">
        <v>965.47</v>
      </c>
      <c r="M3663" s="4" t="n">
        <v>0</v>
      </c>
      <c r="N3663" s="3" t="n">
        <v>2921.69</v>
      </c>
      <c r="O3663" s="3">
        <f>K3663*L3663*(1-M3663)</f>
        <v/>
      </c>
      <c r="P3663" s="3">
        <f>O3663-N3663</f>
        <v/>
      </c>
      <c r="Q3663" s="5">
        <f>IFERROR(P3663/O3663,0)</f>
        <v/>
      </c>
      <c r="R3663" s="2">
        <f>TEXT(DATEVALUE(B3663),"mmm")</f>
        <v/>
      </c>
      <c r="S3663" s="2">
        <f>TEXT(DATEVALUE(B3663),"yyyy-mm")</f>
        <v/>
      </c>
    </row>
    <row r="3664">
      <c r="A3664" s="2" t="inlineStr">
        <is>
          <t>O001933</t>
        </is>
      </c>
      <c r="B3664" s="2" t="inlineStr">
        <is>
          <t>2025-09-25</t>
        </is>
      </c>
      <c r="C3664" s="2" t="inlineStr">
        <is>
          <t>C0211</t>
        </is>
      </c>
      <c r="D3664" s="2" t="inlineStr">
        <is>
          <t>P0031</t>
        </is>
      </c>
      <c r="E3664" s="2" t="inlineStr">
        <is>
          <t>Cricket Bat</t>
        </is>
      </c>
      <c r="F3664" s="2" t="inlineStr">
        <is>
          <t>Sports</t>
        </is>
      </c>
      <c r="G3664" s="2" t="inlineStr">
        <is>
          <t>West</t>
        </is>
      </c>
      <c r="H3664" s="2" t="inlineStr">
        <is>
          <t>Maharashtra</t>
        </is>
      </c>
      <c r="I3664" s="2" t="inlineStr">
        <is>
          <t>Nagpur</t>
        </is>
      </c>
      <c r="J3664" s="2" t="inlineStr">
        <is>
          <t>Online</t>
        </is>
      </c>
      <c r="K3664" s="2" t="n">
        <v>1</v>
      </c>
      <c r="L3664" s="3" t="n">
        <v>1413.8</v>
      </c>
      <c r="M3664" s="4" t="n">
        <v>0.1</v>
      </c>
      <c r="N3664" s="3" t="n">
        <v>947.5700000000001</v>
      </c>
      <c r="O3664" s="3">
        <f>K3664*L3664*(1-M3664)</f>
        <v/>
      </c>
      <c r="P3664" s="3">
        <f>O3664-N3664</f>
        <v/>
      </c>
      <c r="Q3664" s="5">
        <f>IFERROR(P3664/O3664,0)</f>
        <v/>
      </c>
      <c r="R3664" s="2">
        <f>TEXT(DATEVALUE(B3664),"mmm")</f>
        <v/>
      </c>
      <c r="S3664" s="2">
        <f>TEXT(DATEVALUE(B3664),"yyyy-mm")</f>
        <v/>
      </c>
    </row>
    <row r="3665">
      <c r="A3665" s="2" t="inlineStr">
        <is>
          <t>O001447</t>
        </is>
      </c>
      <c r="B3665" s="2" t="inlineStr">
        <is>
          <t>2025-09-25</t>
        </is>
      </c>
      <c r="C3665" s="2" t="inlineStr">
        <is>
          <t>C0723</t>
        </is>
      </c>
      <c r="D3665" s="2" t="inlineStr">
        <is>
          <t>P0027</t>
        </is>
      </c>
      <c r="E3665" s="2" t="inlineStr">
        <is>
          <t>Moisturizer</t>
        </is>
      </c>
      <c r="F3665" s="2" t="inlineStr">
        <is>
          <t>Beauty</t>
        </is>
      </c>
      <c r="G3665" s="2" t="inlineStr">
        <is>
          <t>North</t>
        </is>
      </c>
      <c r="H3665" s="2" t="inlineStr">
        <is>
          <t>Delhi</t>
        </is>
      </c>
      <c r="I3665" s="2" t="inlineStr">
        <is>
          <t>New Delhi</t>
        </is>
      </c>
      <c r="J3665" s="2" t="inlineStr">
        <is>
          <t>Store</t>
        </is>
      </c>
      <c r="K3665" s="2" t="n">
        <v>1</v>
      </c>
      <c r="L3665" s="3" t="n">
        <v>919.79</v>
      </c>
      <c r="M3665" s="4" t="n">
        <v>0.05</v>
      </c>
      <c r="N3665" s="3" t="n">
        <v>672.61</v>
      </c>
      <c r="O3665" s="3">
        <f>K3665*L3665*(1-M3665)</f>
        <v/>
      </c>
      <c r="P3665" s="3">
        <f>O3665-N3665</f>
        <v/>
      </c>
      <c r="Q3665" s="5">
        <f>IFERROR(P3665/O3665,0)</f>
        <v/>
      </c>
      <c r="R3665" s="2">
        <f>TEXT(DATEVALUE(B3665),"mmm")</f>
        <v/>
      </c>
      <c r="S3665" s="2">
        <f>TEXT(DATEVALUE(B3665),"yyyy-mm")</f>
        <v/>
      </c>
    </row>
    <row r="3666">
      <c r="A3666" s="2" t="inlineStr">
        <is>
          <t>O001360</t>
        </is>
      </c>
      <c r="B3666" s="2" t="inlineStr">
        <is>
          <t>2025-09-25</t>
        </is>
      </c>
      <c r="C3666" s="2" t="inlineStr">
        <is>
          <t>C0342</t>
        </is>
      </c>
      <c r="D3666" s="2" t="inlineStr">
        <is>
          <t>P0004</t>
        </is>
      </c>
      <c r="E3666" s="2" t="inlineStr">
        <is>
          <t>USB-C Hub</t>
        </is>
      </c>
      <c r="F3666" s="2" t="inlineStr">
        <is>
          <t>Electronics</t>
        </is>
      </c>
      <c r="G3666" s="2" t="inlineStr">
        <is>
          <t>East</t>
        </is>
      </c>
      <c r="H3666" s="2" t="inlineStr">
        <is>
          <t>Bihar</t>
        </is>
      </c>
      <c r="I3666" s="2" t="inlineStr">
        <is>
          <t>Gaya</t>
        </is>
      </c>
      <c r="J3666" s="2" t="inlineStr">
        <is>
          <t>Store</t>
        </is>
      </c>
      <c r="K3666" s="2" t="n">
        <v>1</v>
      </c>
      <c r="L3666" s="3" t="n">
        <v>1314.92</v>
      </c>
      <c r="M3666" s="4" t="n">
        <v>0.05</v>
      </c>
      <c r="N3666" s="3" t="n">
        <v>920.15</v>
      </c>
      <c r="O3666" s="3">
        <f>K3666*L3666*(1-M3666)</f>
        <v/>
      </c>
      <c r="P3666" s="3">
        <f>O3666-N3666</f>
        <v/>
      </c>
      <c r="Q3666" s="5">
        <f>IFERROR(P3666/O3666,0)</f>
        <v/>
      </c>
      <c r="R3666" s="2">
        <f>TEXT(DATEVALUE(B3666),"mmm")</f>
        <v/>
      </c>
      <c r="S3666" s="2">
        <f>TEXT(DATEVALUE(B3666),"yyyy-mm")</f>
        <v/>
      </c>
    </row>
    <row r="3667">
      <c r="A3667" s="2" t="inlineStr">
        <is>
          <t>O000773</t>
        </is>
      </c>
      <c r="B3667" s="2" t="inlineStr">
        <is>
          <t>2025-09-25</t>
        </is>
      </c>
      <c r="C3667" s="2" t="inlineStr">
        <is>
          <t>C0793</t>
        </is>
      </c>
      <c r="D3667" s="2" t="inlineStr">
        <is>
          <t>P0011</t>
        </is>
      </c>
      <c r="E3667" s="2" t="inlineStr">
        <is>
          <t>Cookware Set</t>
        </is>
      </c>
      <c r="F3667" s="2" t="inlineStr">
        <is>
          <t>Home &amp; Kitchen</t>
        </is>
      </c>
      <c r="G3667" s="2" t="inlineStr">
        <is>
          <t>North</t>
        </is>
      </c>
      <c r="H3667" s="2" t="inlineStr">
        <is>
          <t>Delhi</t>
        </is>
      </c>
      <c r="I3667" s="2" t="inlineStr">
        <is>
          <t>New Delhi</t>
        </is>
      </c>
      <c r="J3667" s="2" t="inlineStr">
        <is>
          <t>Online</t>
        </is>
      </c>
      <c r="K3667" s="2" t="n">
        <v>2</v>
      </c>
      <c r="L3667" s="3" t="n">
        <v>709.01</v>
      </c>
      <c r="M3667" s="4" t="n">
        <v>0.05</v>
      </c>
      <c r="N3667" s="3" t="n">
        <v>919.58</v>
      </c>
      <c r="O3667" s="3">
        <f>K3667*L3667*(1-M3667)</f>
        <v/>
      </c>
      <c r="P3667" s="3">
        <f>O3667-N3667</f>
        <v/>
      </c>
      <c r="Q3667" s="5">
        <f>IFERROR(P3667/O3667,0)</f>
        <v/>
      </c>
      <c r="R3667" s="2">
        <f>TEXT(DATEVALUE(B3667),"mmm")</f>
        <v/>
      </c>
      <c r="S3667" s="2">
        <f>TEXT(DATEVALUE(B3667),"yyyy-mm")</f>
        <v/>
      </c>
    </row>
    <row r="3668">
      <c r="A3668" s="2" t="inlineStr">
        <is>
          <t>O000553</t>
        </is>
      </c>
      <c r="B3668" s="2" t="inlineStr">
        <is>
          <t>2025-09-25</t>
        </is>
      </c>
      <c r="C3668" s="2" t="inlineStr">
        <is>
          <t>C0740</t>
        </is>
      </c>
      <c r="D3668" s="2" t="inlineStr">
        <is>
          <t>P0014</t>
        </is>
      </c>
      <c r="E3668" s="2" t="inlineStr">
        <is>
          <t>Coffee Maker</t>
        </is>
      </c>
      <c r="F3668" s="2" t="inlineStr">
        <is>
          <t>Home &amp; Kitchen</t>
        </is>
      </c>
      <c r="G3668" s="2" t="inlineStr">
        <is>
          <t>South</t>
        </is>
      </c>
      <c r="H3668" s="2" t="inlineStr">
        <is>
          <t>Kerala</t>
        </is>
      </c>
      <c r="I3668" s="2" t="inlineStr">
        <is>
          <t>Kochi</t>
        </is>
      </c>
      <c r="J3668" s="2" t="inlineStr">
        <is>
          <t>Store</t>
        </is>
      </c>
      <c r="K3668" s="2" t="n">
        <v>3</v>
      </c>
      <c r="L3668" s="3" t="n">
        <v>1028.28</v>
      </c>
      <c r="M3668" s="4" t="n">
        <v>0</v>
      </c>
      <c r="N3668" s="3" t="n">
        <v>2212.14</v>
      </c>
      <c r="O3668" s="3">
        <f>K3668*L3668*(1-M3668)</f>
        <v/>
      </c>
      <c r="P3668" s="3">
        <f>O3668-N3668</f>
        <v/>
      </c>
      <c r="Q3668" s="5">
        <f>IFERROR(P3668/O3668,0)</f>
        <v/>
      </c>
      <c r="R3668" s="2">
        <f>TEXT(DATEVALUE(B3668),"mmm")</f>
        <v/>
      </c>
      <c r="S3668" s="2">
        <f>TEXT(DATEVALUE(B3668),"yyyy-mm")</f>
        <v/>
      </c>
    </row>
    <row r="3669">
      <c r="A3669" s="2" t="inlineStr">
        <is>
          <t>O000511</t>
        </is>
      </c>
      <c r="B3669" s="2" t="inlineStr">
        <is>
          <t>2025-09-25</t>
        </is>
      </c>
      <c r="C3669" s="2" t="inlineStr">
        <is>
          <t>C0783</t>
        </is>
      </c>
      <c r="D3669" s="2" t="inlineStr">
        <is>
          <t>P0017</t>
        </is>
      </c>
      <c r="E3669" s="2" t="inlineStr">
        <is>
          <t>Jeans</t>
        </is>
      </c>
      <c r="F3669" s="2" t="inlineStr">
        <is>
          <t>Fashion</t>
        </is>
      </c>
      <c r="G3669" s="2" t="inlineStr">
        <is>
          <t>East</t>
        </is>
      </c>
      <c r="H3669" s="2" t="inlineStr">
        <is>
          <t>Odisha</t>
        </is>
      </c>
      <c r="I3669" s="2" t="inlineStr">
        <is>
          <t>Bhubaneswar</t>
        </is>
      </c>
      <c r="J3669" s="2" t="inlineStr">
        <is>
          <t>Online</t>
        </is>
      </c>
      <c r="K3669" s="2" t="n">
        <v>1</v>
      </c>
      <c r="L3669" s="3" t="n">
        <v>1507.06</v>
      </c>
      <c r="M3669" s="4" t="n">
        <v>0.2</v>
      </c>
      <c r="N3669" s="3" t="n">
        <v>1019.02</v>
      </c>
      <c r="O3669" s="3">
        <f>K3669*L3669*(1-M3669)</f>
        <v/>
      </c>
      <c r="P3669" s="3">
        <f>O3669-N3669</f>
        <v/>
      </c>
      <c r="Q3669" s="5">
        <f>IFERROR(P3669/O3669,0)</f>
        <v/>
      </c>
      <c r="R3669" s="2">
        <f>TEXT(DATEVALUE(B3669),"mmm")</f>
        <v/>
      </c>
      <c r="S3669" s="2">
        <f>TEXT(DATEVALUE(B3669),"yyyy-mm")</f>
        <v/>
      </c>
    </row>
    <row r="3670">
      <c r="A3670" s="2" t="inlineStr">
        <is>
          <t>O000199</t>
        </is>
      </c>
      <c r="B3670" s="2" t="inlineStr">
        <is>
          <t>2025-09-25</t>
        </is>
      </c>
      <c r="C3670" s="2" t="inlineStr">
        <is>
          <t>C0568</t>
        </is>
      </c>
      <c r="D3670" s="2" t="inlineStr">
        <is>
          <t>P0006</t>
        </is>
      </c>
      <c r="E3670" s="2" t="inlineStr">
        <is>
          <t>Mechanical Keyboard</t>
        </is>
      </c>
      <c r="F3670" s="2" t="inlineStr">
        <is>
          <t>Electronics</t>
        </is>
      </c>
      <c r="G3670" s="2" t="inlineStr">
        <is>
          <t>West</t>
        </is>
      </c>
      <c r="H3670" s="2" t="inlineStr">
        <is>
          <t>Maharashtra</t>
        </is>
      </c>
      <c r="I3670" s="2" t="inlineStr">
        <is>
          <t>Nagpur</t>
        </is>
      </c>
      <c r="J3670" s="2" t="inlineStr">
        <is>
          <t>Online</t>
        </is>
      </c>
      <c r="K3670" s="2" t="n">
        <v>2</v>
      </c>
      <c r="L3670" s="3" t="n">
        <v>2659.08</v>
      </c>
      <c r="M3670" s="4" t="n">
        <v>0.1</v>
      </c>
      <c r="N3670" s="3" t="n">
        <v>3028.07</v>
      </c>
      <c r="O3670" s="3">
        <f>K3670*L3670*(1-M3670)</f>
        <v/>
      </c>
      <c r="P3670" s="3">
        <f>O3670-N3670</f>
        <v/>
      </c>
      <c r="Q3670" s="5">
        <f>IFERROR(P3670/O3670,0)</f>
        <v/>
      </c>
      <c r="R3670" s="2">
        <f>TEXT(DATEVALUE(B3670),"mmm")</f>
        <v/>
      </c>
      <c r="S3670" s="2">
        <f>TEXT(DATEVALUE(B3670),"yyyy-mm")</f>
        <v/>
      </c>
    </row>
    <row r="3671">
      <c r="A3671" s="2" t="inlineStr">
        <is>
          <t>O000114</t>
        </is>
      </c>
      <c r="B3671" s="2" t="inlineStr">
        <is>
          <t>2025-09-25</t>
        </is>
      </c>
      <c r="C3671" s="2" t="inlineStr">
        <is>
          <t>C0557</t>
        </is>
      </c>
      <c r="D3671" s="2" t="inlineStr">
        <is>
          <t>P0027</t>
        </is>
      </c>
      <c r="E3671" s="2" t="inlineStr">
        <is>
          <t>Moisturizer</t>
        </is>
      </c>
      <c r="F3671" s="2" t="inlineStr">
        <is>
          <t>Beauty</t>
        </is>
      </c>
      <c r="G3671" s="2" t="inlineStr">
        <is>
          <t>North</t>
        </is>
      </c>
      <c r="H3671" s="2" t="inlineStr">
        <is>
          <t>Delhi</t>
        </is>
      </c>
      <c r="I3671" s="2" t="inlineStr">
        <is>
          <t>New Delhi</t>
        </is>
      </c>
      <c r="J3671" s="2" t="inlineStr">
        <is>
          <t>Online</t>
        </is>
      </c>
      <c r="K3671" s="2" t="n">
        <v>1</v>
      </c>
      <c r="L3671" s="3" t="n">
        <v>915.2</v>
      </c>
      <c r="M3671" s="4" t="n">
        <v>0.05</v>
      </c>
      <c r="N3671" s="3" t="n">
        <v>669.15</v>
      </c>
      <c r="O3671" s="3">
        <f>K3671*L3671*(1-M3671)</f>
        <v/>
      </c>
      <c r="P3671" s="3">
        <f>O3671-N3671</f>
        <v/>
      </c>
      <c r="Q3671" s="5">
        <f>IFERROR(P3671/O3671,0)</f>
        <v/>
      </c>
      <c r="R3671" s="2">
        <f>TEXT(DATEVALUE(B3671),"mmm")</f>
        <v/>
      </c>
      <c r="S3671" s="2">
        <f>TEXT(DATEVALUE(B3671),"yyyy-mm")</f>
        <v/>
      </c>
    </row>
    <row r="3672">
      <c r="A3672" s="2" t="inlineStr">
        <is>
          <t>O002622</t>
        </is>
      </c>
      <c r="B3672" s="2" t="inlineStr">
        <is>
          <t>2025-09-25</t>
        </is>
      </c>
      <c r="C3672" s="2" t="inlineStr">
        <is>
          <t>C0456</t>
        </is>
      </c>
      <c r="D3672" s="2" t="inlineStr">
        <is>
          <t>P0004</t>
        </is>
      </c>
      <c r="E3672" s="2" t="inlineStr">
        <is>
          <t>USB-C Hub</t>
        </is>
      </c>
      <c r="F3672" s="2" t="inlineStr">
        <is>
          <t>Electronics</t>
        </is>
      </c>
      <c r="G3672" s="2" t="inlineStr">
        <is>
          <t>West</t>
        </is>
      </c>
      <c r="H3672" s="2" t="inlineStr">
        <is>
          <t>Goa</t>
        </is>
      </c>
      <c r="I3672" s="2" t="inlineStr">
        <is>
          <t>Panaji</t>
        </is>
      </c>
      <c r="J3672" s="2" t="inlineStr">
        <is>
          <t>Online</t>
        </is>
      </c>
      <c r="K3672" s="2" t="n">
        <v>3</v>
      </c>
      <c r="L3672" s="3" t="n">
        <v>1246.59</v>
      </c>
      <c r="M3672" s="4" t="n">
        <v>0.1</v>
      </c>
      <c r="N3672" s="3" t="n">
        <v>2786</v>
      </c>
      <c r="O3672" s="3">
        <f>K3672*L3672*(1-M3672)</f>
        <v/>
      </c>
      <c r="P3672" s="3">
        <f>O3672-N3672</f>
        <v/>
      </c>
      <c r="Q3672" s="5">
        <f>IFERROR(P3672/O3672,0)</f>
        <v/>
      </c>
      <c r="R3672" s="2">
        <f>TEXT(DATEVALUE(B3672),"mmm")</f>
        <v/>
      </c>
      <c r="S3672" s="2">
        <f>TEXT(DATEVALUE(B3672),"yyyy-mm")</f>
        <v/>
      </c>
    </row>
    <row r="3673">
      <c r="A3673" s="2" t="inlineStr">
        <is>
          <t>O004832</t>
        </is>
      </c>
      <c r="B3673" s="2" t="inlineStr">
        <is>
          <t>2025-09-26</t>
        </is>
      </c>
      <c r="C3673" s="2" t="inlineStr">
        <is>
          <t>C0239</t>
        </is>
      </c>
      <c r="D3673" s="2" t="inlineStr">
        <is>
          <t>P0021</t>
        </is>
      </c>
      <c r="E3673" s="2" t="inlineStr">
        <is>
          <t>Wallet</t>
        </is>
      </c>
      <c r="F3673" s="2" t="inlineStr">
        <is>
          <t>Fashion</t>
        </is>
      </c>
      <c r="G3673" s="2" t="inlineStr">
        <is>
          <t>South</t>
        </is>
      </c>
      <c r="H3673" s="2" t="inlineStr">
        <is>
          <t>Kerala</t>
        </is>
      </c>
      <c r="I3673" s="2" t="inlineStr">
        <is>
          <t>Kochi</t>
        </is>
      </c>
      <c r="J3673" s="2" t="inlineStr">
        <is>
          <t>Online</t>
        </is>
      </c>
      <c r="K3673" s="2" t="n">
        <v>2</v>
      </c>
      <c r="L3673" s="3" t="n">
        <v>1956.23</v>
      </c>
      <c r="M3673" s="4" t="n">
        <v>0</v>
      </c>
      <c r="N3673" s="3" t="n">
        <v>2473.6</v>
      </c>
      <c r="O3673" s="3">
        <f>K3673*L3673*(1-M3673)</f>
        <v/>
      </c>
      <c r="P3673" s="3">
        <f>O3673-N3673</f>
        <v/>
      </c>
      <c r="Q3673" s="5">
        <f>IFERROR(P3673/O3673,0)</f>
        <v/>
      </c>
      <c r="R3673" s="2">
        <f>TEXT(DATEVALUE(B3673),"mmm")</f>
        <v/>
      </c>
      <c r="S3673" s="2">
        <f>TEXT(DATEVALUE(B3673),"yyyy-mm")</f>
        <v/>
      </c>
    </row>
    <row r="3674">
      <c r="A3674" s="2" t="inlineStr">
        <is>
          <t>O004777</t>
        </is>
      </c>
      <c r="B3674" s="2" t="inlineStr">
        <is>
          <t>2025-09-26</t>
        </is>
      </c>
      <c r="C3674" s="2" t="inlineStr">
        <is>
          <t>C0071</t>
        </is>
      </c>
      <c r="D3674" s="2" t="inlineStr">
        <is>
          <t>P0007</t>
        </is>
      </c>
      <c r="E3674" s="2" t="inlineStr">
        <is>
          <t>Wireless Mouse</t>
        </is>
      </c>
      <c r="F3674" s="2" t="inlineStr">
        <is>
          <t>Electronics</t>
        </is>
      </c>
      <c r="G3674" s="2" t="inlineStr">
        <is>
          <t>South</t>
        </is>
      </c>
      <c r="H3674" s="2" t="inlineStr">
        <is>
          <t>Karnataka</t>
        </is>
      </c>
      <c r="I3674" s="2" t="inlineStr">
        <is>
          <t>Mysuru</t>
        </is>
      </c>
      <c r="J3674" s="2" t="inlineStr">
        <is>
          <t>Store</t>
        </is>
      </c>
      <c r="K3674" s="2" t="n">
        <v>2</v>
      </c>
      <c r="L3674" s="3" t="n">
        <v>951.47</v>
      </c>
      <c r="M3674" s="4" t="n">
        <v>0</v>
      </c>
      <c r="N3674" s="3" t="n">
        <v>1254.06</v>
      </c>
      <c r="O3674" s="3">
        <f>K3674*L3674*(1-M3674)</f>
        <v/>
      </c>
      <c r="P3674" s="3">
        <f>O3674-N3674</f>
        <v/>
      </c>
      <c r="Q3674" s="5">
        <f>IFERROR(P3674/O3674,0)</f>
        <v/>
      </c>
      <c r="R3674" s="2">
        <f>TEXT(DATEVALUE(B3674),"mmm")</f>
        <v/>
      </c>
      <c r="S3674" s="2">
        <f>TEXT(DATEVALUE(B3674),"yyyy-mm")</f>
        <v/>
      </c>
    </row>
    <row r="3675">
      <c r="A3675" s="2" t="inlineStr">
        <is>
          <t>O004613</t>
        </is>
      </c>
      <c r="B3675" s="2" t="inlineStr">
        <is>
          <t>2025-09-26</t>
        </is>
      </c>
      <c r="C3675" s="2" t="inlineStr">
        <is>
          <t>C0660</t>
        </is>
      </c>
      <c r="D3675" s="2" t="inlineStr">
        <is>
          <t>P0020</t>
        </is>
      </c>
      <c r="E3675" s="2" t="inlineStr">
        <is>
          <t>Sneakers</t>
        </is>
      </c>
      <c r="F3675" s="2" t="inlineStr">
        <is>
          <t>Fashion</t>
        </is>
      </c>
      <c r="G3675" s="2" t="inlineStr">
        <is>
          <t>West</t>
        </is>
      </c>
      <c r="H3675" s="2" t="inlineStr">
        <is>
          <t>Gujarat</t>
        </is>
      </c>
      <c r="I3675" s="2" t="inlineStr">
        <is>
          <t>Surat</t>
        </is>
      </c>
      <c r="J3675" s="2" t="inlineStr">
        <is>
          <t>Store</t>
        </is>
      </c>
      <c r="K3675" s="2" t="n">
        <v>2</v>
      </c>
      <c r="L3675" s="3" t="n">
        <v>1974.61</v>
      </c>
      <c r="M3675" s="4" t="n">
        <v>0.15</v>
      </c>
      <c r="N3675" s="3" t="n">
        <v>3107.61</v>
      </c>
      <c r="O3675" s="3">
        <f>K3675*L3675*(1-M3675)</f>
        <v/>
      </c>
      <c r="P3675" s="3">
        <f>O3675-N3675</f>
        <v/>
      </c>
      <c r="Q3675" s="5">
        <f>IFERROR(P3675/O3675,0)</f>
        <v/>
      </c>
      <c r="R3675" s="2">
        <f>TEXT(DATEVALUE(B3675),"mmm")</f>
        <v/>
      </c>
      <c r="S3675" s="2">
        <f>TEXT(DATEVALUE(B3675),"yyyy-mm")</f>
        <v/>
      </c>
    </row>
    <row r="3676">
      <c r="A3676" s="2" t="inlineStr">
        <is>
          <t>O003639</t>
        </is>
      </c>
      <c r="B3676" s="2" t="inlineStr">
        <is>
          <t>2025-09-26</t>
        </is>
      </c>
      <c r="C3676" s="2" t="inlineStr">
        <is>
          <t>C0568</t>
        </is>
      </c>
      <c r="D3676" s="2" t="inlineStr">
        <is>
          <t>P0007</t>
        </is>
      </c>
      <c r="E3676" s="2" t="inlineStr">
        <is>
          <t>Wireless Mouse</t>
        </is>
      </c>
      <c r="F3676" s="2" t="inlineStr">
        <is>
          <t>Electronics</t>
        </is>
      </c>
      <c r="G3676" s="2" t="inlineStr">
        <is>
          <t>West</t>
        </is>
      </c>
      <c r="H3676" s="2" t="inlineStr">
        <is>
          <t>Maharashtra</t>
        </is>
      </c>
      <c r="I3676" s="2" t="inlineStr">
        <is>
          <t>Pune</t>
        </is>
      </c>
      <c r="J3676" s="2" t="inlineStr">
        <is>
          <t>Online</t>
        </is>
      </c>
      <c r="K3676" s="2" t="n">
        <v>2</v>
      </c>
      <c r="L3676" s="3" t="n">
        <v>942.55</v>
      </c>
      <c r="M3676" s="4" t="n">
        <v>0.05</v>
      </c>
      <c r="N3676" s="3" t="n">
        <v>1273.31</v>
      </c>
      <c r="O3676" s="3">
        <f>K3676*L3676*(1-M3676)</f>
        <v/>
      </c>
      <c r="P3676" s="3">
        <f>O3676-N3676</f>
        <v/>
      </c>
      <c r="Q3676" s="5">
        <f>IFERROR(P3676/O3676,0)</f>
        <v/>
      </c>
      <c r="R3676" s="2">
        <f>TEXT(DATEVALUE(B3676),"mmm")</f>
        <v/>
      </c>
      <c r="S3676" s="2">
        <f>TEXT(DATEVALUE(B3676),"yyyy-mm")</f>
        <v/>
      </c>
    </row>
    <row r="3677">
      <c r="A3677" s="2" t="inlineStr">
        <is>
          <t>O003008</t>
        </is>
      </c>
      <c r="B3677" s="2" t="inlineStr">
        <is>
          <t>2025-09-26</t>
        </is>
      </c>
      <c r="C3677" s="2" t="inlineStr">
        <is>
          <t>C0694</t>
        </is>
      </c>
      <c r="D3677" s="2" t="inlineStr">
        <is>
          <t>P0007</t>
        </is>
      </c>
      <c r="E3677" s="2" t="inlineStr">
        <is>
          <t>Wireless Mouse</t>
        </is>
      </c>
      <c r="F3677" s="2" t="inlineStr">
        <is>
          <t>Electronics</t>
        </is>
      </c>
      <c r="G3677" s="2" t="inlineStr">
        <is>
          <t>West</t>
        </is>
      </c>
      <c r="H3677" s="2" t="inlineStr">
        <is>
          <t>Gujarat</t>
        </is>
      </c>
      <c r="I3677" s="2" t="inlineStr">
        <is>
          <t>Vadodara</t>
        </is>
      </c>
      <c r="J3677" s="2" t="inlineStr">
        <is>
          <t>Online</t>
        </is>
      </c>
      <c r="K3677" s="2" t="n">
        <v>1</v>
      </c>
      <c r="L3677" s="3" t="n">
        <v>992.2</v>
      </c>
      <c r="M3677" s="4" t="n">
        <v>0.05</v>
      </c>
      <c r="N3677" s="3" t="n">
        <v>604.8200000000001</v>
      </c>
      <c r="O3677" s="3">
        <f>K3677*L3677*(1-M3677)</f>
        <v/>
      </c>
      <c r="P3677" s="3">
        <f>O3677-N3677</f>
        <v/>
      </c>
      <c r="Q3677" s="5">
        <f>IFERROR(P3677/O3677,0)</f>
        <v/>
      </c>
      <c r="R3677" s="2">
        <f>TEXT(DATEVALUE(B3677),"mmm")</f>
        <v/>
      </c>
      <c r="S3677" s="2">
        <f>TEXT(DATEVALUE(B3677),"yyyy-mm")</f>
        <v/>
      </c>
    </row>
    <row r="3678">
      <c r="A3678" s="2" t="inlineStr">
        <is>
          <t>O002644</t>
        </is>
      </c>
      <c r="B3678" s="2" t="inlineStr">
        <is>
          <t>2025-09-26</t>
        </is>
      </c>
      <c r="C3678" s="2" t="inlineStr">
        <is>
          <t>C0022</t>
        </is>
      </c>
      <c r="D3678" s="2" t="inlineStr">
        <is>
          <t>P0014</t>
        </is>
      </c>
      <c r="E3678" s="2" t="inlineStr">
        <is>
          <t>Coffee Maker</t>
        </is>
      </c>
      <c r="F3678" s="2" t="inlineStr">
        <is>
          <t>Home &amp; Kitchen</t>
        </is>
      </c>
      <c r="G3678" s="2" t="inlineStr">
        <is>
          <t>South</t>
        </is>
      </c>
      <c r="H3678" s="2" t="inlineStr">
        <is>
          <t>Karnataka</t>
        </is>
      </c>
      <c r="I3678" s="2" t="inlineStr">
        <is>
          <t>Bengaluru</t>
        </is>
      </c>
      <c r="J3678" s="2" t="inlineStr">
        <is>
          <t>Online</t>
        </is>
      </c>
      <c r="K3678" s="2" t="n">
        <v>2</v>
      </c>
      <c r="L3678" s="3" t="n">
        <v>1079.51</v>
      </c>
      <c r="M3678" s="4" t="n">
        <v>0.05</v>
      </c>
      <c r="N3678" s="3" t="n">
        <v>1527.79</v>
      </c>
      <c r="O3678" s="3">
        <f>K3678*L3678*(1-M3678)</f>
        <v/>
      </c>
      <c r="P3678" s="3">
        <f>O3678-N3678</f>
        <v/>
      </c>
      <c r="Q3678" s="5">
        <f>IFERROR(P3678/O3678,0)</f>
        <v/>
      </c>
      <c r="R3678" s="2">
        <f>TEXT(DATEVALUE(B3678),"mmm")</f>
        <v/>
      </c>
      <c r="S3678" s="2">
        <f>TEXT(DATEVALUE(B3678),"yyyy-mm")</f>
        <v/>
      </c>
    </row>
    <row r="3679">
      <c r="A3679" s="2" t="inlineStr">
        <is>
          <t>O004740</t>
        </is>
      </c>
      <c r="B3679" s="2" t="inlineStr">
        <is>
          <t>2025-09-26</t>
        </is>
      </c>
      <c r="C3679" s="2" t="inlineStr">
        <is>
          <t>C0563</t>
        </is>
      </c>
      <c r="D3679" s="2" t="inlineStr">
        <is>
          <t>P0016</t>
        </is>
      </c>
      <c r="E3679" s="2" t="inlineStr">
        <is>
          <t>Casual Shirt</t>
        </is>
      </c>
      <c r="F3679" s="2" t="inlineStr">
        <is>
          <t>Fashion</t>
        </is>
      </c>
      <c r="G3679" s="2" t="inlineStr">
        <is>
          <t>West</t>
        </is>
      </c>
      <c r="H3679" s="2" t="inlineStr">
        <is>
          <t>Gujarat</t>
        </is>
      </c>
      <c r="I3679" s="2" t="inlineStr">
        <is>
          <t>Ahmedabad</t>
        </is>
      </c>
      <c r="J3679" s="2" t="inlineStr">
        <is>
          <t>Online</t>
        </is>
      </c>
      <c r="K3679" s="2" t="n">
        <v>1</v>
      </c>
      <c r="L3679" s="3" t="n">
        <v>1270.01</v>
      </c>
      <c r="M3679" s="4" t="n">
        <v>0.05</v>
      </c>
      <c r="N3679" s="3" t="n">
        <v>934.62</v>
      </c>
      <c r="O3679" s="3">
        <f>K3679*L3679*(1-M3679)</f>
        <v/>
      </c>
      <c r="P3679" s="3">
        <f>O3679-N3679</f>
        <v/>
      </c>
      <c r="Q3679" s="5">
        <f>IFERROR(P3679/O3679,0)</f>
        <v/>
      </c>
      <c r="R3679" s="2">
        <f>TEXT(DATEVALUE(B3679),"mmm")</f>
        <v/>
      </c>
      <c r="S3679" s="2">
        <f>TEXT(DATEVALUE(B3679),"yyyy-mm")</f>
        <v/>
      </c>
    </row>
    <row r="3680">
      <c r="A3680" s="2" t="inlineStr">
        <is>
          <t>O002278</t>
        </is>
      </c>
      <c r="B3680" s="2" t="inlineStr">
        <is>
          <t>2025-09-26</t>
        </is>
      </c>
      <c r="C3680" s="2" t="inlineStr">
        <is>
          <t>C0182</t>
        </is>
      </c>
      <c r="D3680" s="2" t="inlineStr">
        <is>
          <t>P0021</t>
        </is>
      </c>
      <c r="E3680" s="2" t="inlineStr">
        <is>
          <t>Wallet</t>
        </is>
      </c>
      <c r="F3680" s="2" t="inlineStr">
        <is>
          <t>Fashion</t>
        </is>
      </c>
      <c r="G3680" s="2" t="inlineStr">
        <is>
          <t>West</t>
        </is>
      </c>
      <c r="H3680" s="2" t="inlineStr">
        <is>
          <t>Maharashtra</t>
        </is>
      </c>
      <c r="I3680" s="2" t="inlineStr">
        <is>
          <t>Pune</t>
        </is>
      </c>
      <c r="J3680" s="2" t="inlineStr">
        <is>
          <t>Store</t>
        </is>
      </c>
      <c r="K3680" s="2" t="n">
        <v>3</v>
      </c>
      <c r="L3680" s="3" t="n">
        <v>1958.89</v>
      </c>
      <c r="M3680" s="4" t="n">
        <v>0.1</v>
      </c>
      <c r="N3680" s="3" t="n">
        <v>3698.26</v>
      </c>
      <c r="O3680" s="3">
        <f>K3680*L3680*(1-M3680)</f>
        <v/>
      </c>
      <c r="P3680" s="3">
        <f>O3680-N3680</f>
        <v/>
      </c>
      <c r="Q3680" s="5">
        <f>IFERROR(P3680/O3680,0)</f>
        <v/>
      </c>
      <c r="R3680" s="2">
        <f>TEXT(DATEVALUE(B3680),"mmm")</f>
        <v/>
      </c>
      <c r="S3680" s="2">
        <f>TEXT(DATEVALUE(B3680),"yyyy-mm")</f>
        <v/>
      </c>
    </row>
    <row r="3681">
      <c r="A3681" s="2" t="inlineStr">
        <is>
          <t>O002088</t>
        </is>
      </c>
      <c r="B3681" s="2" t="inlineStr">
        <is>
          <t>2025-09-26</t>
        </is>
      </c>
      <c r="C3681" s="2" t="inlineStr">
        <is>
          <t>C0216</t>
        </is>
      </c>
      <c r="D3681" s="2" t="inlineStr">
        <is>
          <t>P0017</t>
        </is>
      </c>
      <c r="E3681" s="2" t="inlineStr">
        <is>
          <t>Jeans</t>
        </is>
      </c>
      <c r="F3681" s="2" t="inlineStr">
        <is>
          <t>Fashion</t>
        </is>
      </c>
      <c r="G3681" s="2" t="inlineStr">
        <is>
          <t>South</t>
        </is>
      </c>
      <c r="H3681" s="2" t="inlineStr">
        <is>
          <t>Karnataka</t>
        </is>
      </c>
      <c r="I3681" s="2" t="inlineStr">
        <is>
          <t>Mangaluru</t>
        </is>
      </c>
      <c r="J3681" s="2" t="inlineStr">
        <is>
          <t>Online</t>
        </is>
      </c>
      <c r="K3681" s="2" t="n">
        <v>3</v>
      </c>
      <c r="L3681" s="3" t="n">
        <v>1453.44</v>
      </c>
      <c r="M3681" s="4" t="n">
        <v>0.05</v>
      </c>
      <c r="N3681" s="3" t="n">
        <v>2968.95</v>
      </c>
      <c r="O3681" s="3">
        <f>K3681*L3681*(1-M3681)</f>
        <v/>
      </c>
      <c r="P3681" s="3">
        <f>O3681-N3681</f>
        <v/>
      </c>
      <c r="Q3681" s="5">
        <f>IFERROR(P3681/O3681,0)</f>
        <v/>
      </c>
      <c r="R3681" s="2">
        <f>TEXT(DATEVALUE(B3681),"mmm")</f>
        <v/>
      </c>
      <c r="S3681" s="2">
        <f>TEXT(DATEVALUE(B3681),"yyyy-mm")</f>
        <v/>
      </c>
    </row>
    <row r="3682">
      <c r="A3682" s="2" t="inlineStr">
        <is>
          <t>O001641</t>
        </is>
      </c>
      <c r="B3682" s="2" t="inlineStr">
        <is>
          <t>2025-09-26</t>
        </is>
      </c>
      <c r="C3682" s="2" t="inlineStr">
        <is>
          <t>C0719</t>
        </is>
      </c>
      <c r="D3682" s="2" t="inlineStr">
        <is>
          <t>P0035</t>
        </is>
      </c>
      <c r="E3682" s="2" t="inlineStr">
        <is>
          <t>Skipping Rope</t>
        </is>
      </c>
      <c r="F3682" s="2" t="inlineStr">
        <is>
          <t>Sports</t>
        </is>
      </c>
      <c r="G3682" s="2" t="inlineStr">
        <is>
          <t>North</t>
        </is>
      </c>
      <c r="H3682" s="2" t="inlineStr">
        <is>
          <t>Haryana</t>
        </is>
      </c>
      <c r="I3682" s="2" t="inlineStr">
        <is>
          <t>Gurugram</t>
        </is>
      </c>
      <c r="J3682" s="2" t="inlineStr">
        <is>
          <t>Online</t>
        </is>
      </c>
      <c r="K3682" s="2" t="n">
        <v>1</v>
      </c>
      <c r="L3682" s="3" t="n">
        <v>734.92</v>
      </c>
      <c r="M3682" s="4" t="n">
        <v>0</v>
      </c>
      <c r="N3682" s="3" t="n">
        <v>417.05</v>
      </c>
      <c r="O3682" s="3">
        <f>K3682*L3682*(1-M3682)</f>
        <v/>
      </c>
      <c r="P3682" s="3">
        <f>O3682-N3682</f>
        <v/>
      </c>
      <c r="Q3682" s="5">
        <f>IFERROR(P3682/O3682,0)</f>
        <v/>
      </c>
      <c r="R3682" s="2">
        <f>TEXT(DATEVALUE(B3682),"mmm")</f>
        <v/>
      </c>
      <c r="S3682" s="2">
        <f>TEXT(DATEVALUE(B3682),"yyyy-mm")</f>
        <v/>
      </c>
    </row>
    <row r="3683">
      <c r="A3683" s="2" t="inlineStr">
        <is>
          <t>O001581</t>
        </is>
      </c>
      <c r="B3683" s="2" t="inlineStr">
        <is>
          <t>2025-09-26</t>
        </is>
      </c>
      <c r="C3683" s="2" t="inlineStr">
        <is>
          <t>C0385</t>
        </is>
      </c>
      <c r="D3683" s="2" t="inlineStr">
        <is>
          <t>P0018</t>
        </is>
      </c>
      <c r="E3683" s="2" t="inlineStr">
        <is>
          <t>Backpack</t>
        </is>
      </c>
      <c r="F3683" s="2" t="inlineStr">
        <is>
          <t>Fashion</t>
        </is>
      </c>
      <c r="G3683" s="2" t="inlineStr">
        <is>
          <t>South</t>
        </is>
      </c>
      <c r="H3683" s="2" t="inlineStr">
        <is>
          <t>Karnataka</t>
        </is>
      </c>
      <c r="I3683" s="2" t="inlineStr">
        <is>
          <t>Mysuru</t>
        </is>
      </c>
      <c r="J3683" s="2" t="inlineStr">
        <is>
          <t>Online</t>
        </is>
      </c>
      <c r="K3683" s="2" t="n">
        <v>1</v>
      </c>
      <c r="L3683" s="3" t="n">
        <v>1790.34</v>
      </c>
      <c r="M3683" s="4" t="n">
        <v>0.15</v>
      </c>
      <c r="N3683" s="3" t="n">
        <v>1372.56</v>
      </c>
      <c r="O3683" s="3">
        <f>K3683*L3683*(1-M3683)</f>
        <v/>
      </c>
      <c r="P3683" s="3">
        <f>O3683-N3683</f>
        <v/>
      </c>
      <c r="Q3683" s="5">
        <f>IFERROR(P3683/O3683,0)</f>
        <v/>
      </c>
      <c r="R3683" s="2">
        <f>TEXT(DATEVALUE(B3683),"mmm")</f>
        <v/>
      </c>
      <c r="S3683" s="2">
        <f>TEXT(DATEVALUE(B3683),"yyyy-mm")</f>
        <v/>
      </c>
    </row>
    <row r="3684">
      <c r="A3684" s="2" t="inlineStr">
        <is>
          <t>O001499</t>
        </is>
      </c>
      <c r="B3684" s="2" t="inlineStr">
        <is>
          <t>2025-09-26</t>
        </is>
      </c>
      <c r="C3684" s="2" t="inlineStr">
        <is>
          <t>C0471</t>
        </is>
      </c>
      <c r="D3684" s="2" t="inlineStr">
        <is>
          <t>P0013</t>
        </is>
      </c>
      <c r="E3684" s="2" t="inlineStr">
        <is>
          <t>Storage Organizer</t>
        </is>
      </c>
      <c r="F3684" s="2" t="inlineStr">
        <is>
          <t>Home &amp; Kitchen</t>
        </is>
      </c>
      <c r="G3684" s="2" t="inlineStr">
        <is>
          <t>South</t>
        </is>
      </c>
      <c r="H3684" s="2" t="inlineStr">
        <is>
          <t>Telangana</t>
        </is>
      </c>
      <c r="I3684" s="2" t="inlineStr">
        <is>
          <t>Hyderabad</t>
        </is>
      </c>
      <c r="J3684" s="2" t="inlineStr">
        <is>
          <t>Store</t>
        </is>
      </c>
      <c r="K3684" s="2" t="n">
        <v>2</v>
      </c>
      <c r="L3684" s="3" t="n">
        <v>593.17</v>
      </c>
      <c r="M3684" s="4" t="n">
        <v>0.1</v>
      </c>
      <c r="N3684" s="3" t="n">
        <v>726.08</v>
      </c>
      <c r="O3684" s="3">
        <f>K3684*L3684*(1-M3684)</f>
        <v/>
      </c>
      <c r="P3684" s="3">
        <f>O3684-N3684</f>
        <v/>
      </c>
      <c r="Q3684" s="5">
        <f>IFERROR(P3684/O3684,0)</f>
        <v/>
      </c>
      <c r="R3684" s="2">
        <f>TEXT(DATEVALUE(B3684),"mmm")</f>
        <v/>
      </c>
      <c r="S3684" s="2">
        <f>TEXT(DATEVALUE(B3684),"yyyy-mm")</f>
        <v/>
      </c>
    </row>
    <row r="3685">
      <c r="A3685" s="2" t="inlineStr">
        <is>
          <t>O000427</t>
        </is>
      </c>
      <c r="B3685" s="2" t="inlineStr">
        <is>
          <t>2025-09-26</t>
        </is>
      </c>
      <c r="C3685" s="2" t="inlineStr">
        <is>
          <t>C0061</t>
        </is>
      </c>
      <c r="D3685" s="2" t="inlineStr">
        <is>
          <t>P0019</t>
        </is>
      </c>
      <c r="E3685" s="2" t="inlineStr">
        <is>
          <t>Jacket</t>
        </is>
      </c>
      <c r="F3685" s="2" t="inlineStr">
        <is>
          <t>Fashion</t>
        </is>
      </c>
      <c r="G3685" s="2" t="inlineStr">
        <is>
          <t>North</t>
        </is>
      </c>
      <c r="H3685" s="2" t="inlineStr">
        <is>
          <t>Haryana</t>
        </is>
      </c>
      <c r="I3685" s="2" t="inlineStr">
        <is>
          <t>Faridabad</t>
        </is>
      </c>
      <c r="J3685" s="2" t="inlineStr">
        <is>
          <t>Online</t>
        </is>
      </c>
      <c r="K3685" s="2" t="n">
        <v>4</v>
      </c>
      <c r="L3685" s="3" t="n">
        <v>1081.17</v>
      </c>
      <c r="M3685" s="4" t="n">
        <v>0</v>
      </c>
      <c r="N3685" s="3" t="n">
        <v>2668.19</v>
      </c>
      <c r="O3685" s="3">
        <f>K3685*L3685*(1-M3685)</f>
        <v/>
      </c>
      <c r="P3685" s="3">
        <f>O3685-N3685</f>
        <v/>
      </c>
      <c r="Q3685" s="5">
        <f>IFERROR(P3685/O3685,0)</f>
        <v/>
      </c>
      <c r="R3685" s="2">
        <f>TEXT(DATEVALUE(B3685),"mmm")</f>
        <v/>
      </c>
      <c r="S3685" s="2">
        <f>TEXT(DATEVALUE(B3685),"yyyy-mm")</f>
        <v/>
      </c>
    </row>
    <row r="3686">
      <c r="A3686" s="2" t="inlineStr">
        <is>
          <t>O002594</t>
        </is>
      </c>
      <c r="B3686" s="2" t="inlineStr">
        <is>
          <t>2025-09-26</t>
        </is>
      </c>
      <c r="C3686" s="2" t="inlineStr">
        <is>
          <t>C0314</t>
        </is>
      </c>
      <c r="D3686" s="2" t="inlineStr">
        <is>
          <t>P0030</t>
        </is>
      </c>
      <c r="E3686" s="2" t="inlineStr">
        <is>
          <t>Dumbbells</t>
        </is>
      </c>
      <c r="F3686" s="2" t="inlineStr">
        <is>
          <t>Sports</t>
        </is>
      </c>
      <c r="G3686" s="2" t="inlineStr">
        <is>
          <t>West</t>
        </is>
      </c>
      <c r="H3686" s="2" t="inlineStr">
        <is>
          <t>Maharashtra</t>
        </is>
      </c>
      <c r="I3686" s="2" t="inlineStr">
        <is>
          <t>Mumbai</t>
        </is>
      </c>
      <c r="J3686" s="2" t="inlineStr">
        <is>
          <t>Online</t>
        </is>
      </c>
      <c r="K3686" s="2" t="n">
        <v>5</v>
      </c>
      <c r="L3686" s="3" t="n">
        <v>1606.04</v>
      </c>
      <c r="M3686" s="4" t="n">
        <v>0</v>
      </c>
      <c r="N3686" s="3" t="n">
        <v>5324.7</v>
      </c>
      <c r="O3686" s="3">
        <f>K3686*L3686*(1-M3686)</f>
        <v/>
      </c>
      <c r="P3686" s="3">
        <f>O3686-N3686</f>
        <v/>
      </c>
      <c r="Q3686" s="5">
        <f>IFERROR(P3686/O3686,0)</f>
        <v/>
      </c>
      <c r="R3686" s="2">
        <f>TEXT(DATEVALUE(B3686),"mmm")</f>
        <v/>
      </c>
      <c r="S3686" s="2">
        <f>TEXT(DATEVALUE(B3686),"yyyy-mm")</f>
        <v/>
      </c>
    </row>
    <row r="3687">
      <c r="A3687" s="2" t="inlineStr">
        <is>
          <t>O004227</t>
        </is>
      </c>
      <c r="B3687" s="2" t="inlineStr">
        <is>
          <t>2025-09-27</t>
        </is>
      </c>
      <c r="C3687" s="2" t="inlineStr">
        <is>
          <t>C0678</t>
        </is>
      </c>
      <c r="D3687" s="2" t="inlineStr">
        <is>
          <t>P0031</t>
        </is>
      </c>
      <c r="E3687" s="2" t="inlineStr">
        <is>
          <t>Cricket Bat</t>
        </is>
      </c>
      <c r="F3687" s="2" t="inlineStr">
        <is>
          <t>Sports</t>
        </is>
      </c>
      <c r="G3687" s="2" t="inlineStr">
        <is>
          <t>North</t>
        </is>
      </c>
      <c r="H3687" s="2" t="inlineStr">
        <is>
          <t>Uttar Pradesh</t>
        </is>
      </c>
      <c r="I3687" s="2" t="inlineStr">
        <is>
          <t>Noida</t>
        </is>
      </c>
      <c r="J3687" s="2" t="inlineStr">
        <is>
          <t>Online</t>
        </is>
      </c>
      <c r="K3687" s="2" t="n">
        <v>2</v>
      </c>
      <c r="L3687" s="3" t="n">
        <v>1401.04</v>
      </c>
      <c r="M3687" s="4" t="n">
        <v>0.25</v>
      </c>
      <c r="N3687" s="3" t="n">
        <v>1921.65</v>
      </c>
      <c r="O3687" s="3">
        <f>K3687*L3687*(1-M3687)</f>
        <v/>
      </c>
      <c r="P3687" s="3">
        <f>O3687-N3687</f>
        <v/>
      </c>
      <c r="Q3687" s="5">
        <f>IFERROR(P3687/O3687,0)</f>
        <v/>
      </c>
      <c r="R3687" s="2">
        <f>TEXT(DATEVALUE(B3687),"mmm")</f>
        <v/>
      </c>
      <c r="S3687" s="2">
        <f>TEXT(DATEVALUE(B3687),"yyyy-mm")</f>
        <v/>
      </c>
    </row>
    <row r="3688">
      <c r="A3688" s="2" t="inlineStr">
        <is>
          <t>O003115</t>
        </is>
      </c>
      <c r="B3688" s="2" t="inlineStr">
        <is>
          <t>2025-09-27</t>
        </is>
      </c>
      <c r="C3688" s="2" t="inlineStr">
        <is>
          <t>C0736</t>
        </is>
      </c>
      <c r="D3688" s="2" t="inlineStr">
        <is>
          <t>P0010</t>
        </is>
      </c>
      <c r="E3688" s="2" t="inlineStr">
        <is>
          <t>Mixer Grinder</t>
        </is>
      </c>
      <c r="F3688" s="2" t="inlineStr">
        <is>
          <t>Home &amp; Kitchen</t>
        </is>
      </c>
      <c r="G3688" s="2" t="inlineStr">
        <is>
          <t>South</t>
        </is>
      </c>
      <c r="H3688" s="2" t="inlineStr">
        <is>
          <t>Karnataka</t>
        </is>
      </c>
      <c r="I3688" s="2" t="inlineStr">
        <is>
          <t>Mysuru</t>
        </is>
      </c>
      <c r="J3688" s="2" t="inlineStr">
        <is>
          <t>Store</t>
        </is>
      </c>
      <c r="K3688" s="2" t="n">
        <v>4</v>
      </c>
      <c r="L3688" s="3" t="n">
        <v>1682.6</v>
      </c>
      <c r="M3688" s="4" t="n">
        <v>0.1</v>
      </c>
      <c r="N3688" s="3" t="n">
        <v>4066.89</v>
      </c>
      <c r="O3688" s="3">
        <f>K3688*L3688*(1-M3688)</f>
        <v/>
      </c>
      <c r="P3688" s="3">
        <f>O3688-N3688</f>
        <v/>
      </c>
      <c r="Q3688" s="5">
        <f>IFERROR(P3688/O3688,0)</f>
        <v/>
      </c>
      <c r="R3688" s="2">
        <f>TEXT(DATEVALUE(B3688),"mmm")</f>
        <v/>
      </c>
      <c r="S3688" s="2">
        <f>TEXT(DATEVALUE(B3688),"yyyy-mm")</f>
        <v/>
      </c>
    </row>
    <row r="3689">
      <c r="A3689" s="2" t="inlineStr">
        <is>
          <t>O002945</t>
        </is>
      </c>
      <c r="B3689" s="2" t="inlineStr">
        <is>
          <t>2025-09-27</t>
        </is>
      </c>
      <c r="C3689" s="2" t="inlineStr">
        <is>
          <t>C0411</t>
        </is>
      </c>
      <c r="D3689" s="2" t="inlineStr">
        <is>
          <t>P0014</t>
        </is>
      </c>
      <c r="E3689" s="2" t="inlineStr">
        <is>
          <t>Coffee Maker</t>
        </is>
      </c>
      <c r="F3689" s="2" t="inlineStr">
        <is>
          <t>Home &amp; Kitchen</t>
        </is>
      </c>
      <c r="G3689" s="2" t="inlineStr">
        <is>
          <t>North</t>
        </is>
      </c>
      <c r="H3689" s="2" t="inlineStr">
        <is>
          <t>Haryana</t>
        </is>
      </c>
      <c r="I3689" s="2" t="inlineStr">
        <is>
          <t>Gurugram</t>
        </is>
      </c>
      <c r="J3689" s="2" t="inlineStr">
        <is>
          <t>Store</t>
        </is>
      </c>
      <c r="K3689" s="2" t="n">
        <v>1</v>
      </c>
      <c r="L3689" s="3" t="n">
        <v>1040.49</v>
      </c>
      <c r="M3689" s="4" t="n">
        <v>0.1</v>
      </c>
      <c r="N3689" s="3" t="n">
        <v>772.27</v>
      </c>
      <c r="O3689" s="3">
        <f>K3689*L3689*(1-M3689)</f>
        <v/>
      </c>
      <c r="P3689" s="3">
        <f>O3689-N3689</f>
        <v/>
      </c>
      <c r="Q3689" s="5">
        <f>IFERROR(P3689/O3689,0)</f>
        <v/>
      </c>
      <c r="R3689" s="2">
        <f>TEXT(DATEVALUE(B3689),"mmm")</f>
        <v/>
      </c>
      <c r="S3689" s="2">
        <f>TEXT(DATEVALUE(B3689),"yyyy-mm")</f>
        <v/>
      </c>
    </row>
    <row r="3690">
      <c r="A3690" s="2" t="inlineStr">
        <is>
          <t>O002842</t>
        </is>
      </c>
      <c r="B3690" s="2" t="inlineStr">
        <is>
          <t>2025-09-27</t>
        </is>
      </c>
      <c r="C3690" s="2" t="inlineStr">
        <is>
          <t>C0498</t>
        </is>
      </c>
      <c r="D3690" s="2" t="inlineStr">
        <is>
          <t>P0012</t>
        </is>
      </c>
      <c r="E3690" s="2" t="inlineStr">
        <is>
          <t>Water Bottle</t>
        </is>
      </c>
      <c r="F3690" s="2" t="inlineStr">
        <is>
          <t>Home &amp; Kitchen</t>
        </is>
      </c>
      <c r="G3690" s="2" t="inlineStr">
        <is>
          <t>North</t>
        </is>
      </c>
      <c r="H3690" s="2" t="inlineStr">
        <is>
          <t>Uttar Pradesh</t>
        </is>
      </c>
      <c r="I3690" s="2" t="inlineStr">
        <is>
          <t>Varanasi</t>
        </is>
      </c>
      <c r="J3690" s="2" t="inlineStr">
        <is>
          <t>Online</t>
        </is>
      </c>
      <c r="K3690" s="2" t="n">
        <v>1</v>
      </c>
      <c r="L3690" s="3" t="n">
        <v>959.45</v>
      </c>
      <c r="M3690" s="4" t="n">
        <v>0.2</v>
      </c>
      <c r="N3690" s="3" t="n">
        <v>636.72</v>
      </c>
      <c r="O3690" s="3">
        <f>K3690*L3690*(1-M3690)</f>
        <v/>
      </c>
      <c r="P3690" s="3">
        <f>O3690-N3690</f>
        <v/>
      </c>
      <c r="Q3690" s="5">
        <f>IFERROR(P3690/O3690,0)</f>
        <v/>
      </c>
      <c r="R3690" s="2">
        <f>TEXT(DATEVALUE(B3690),"mmm")</f>
        <v/>
      </c>
      <c r="S3690" s="2">
        <f>TEXT(DATEVALUE(B3690),"yyyy-mm")</f>
        <v/>
      </c>
    </row>
    <row r="3691">
      <c r="A3691" s="2" t="inlineStr">
        <is>
          <t>O002400</t>
        </is>
      </c>
      <c r="B3691" s="2" t="inlineStr">
        <is>
          <t>2025-09-27</t>
        </is>
      </c>
      <c r="C3691" s="2" t="inlineStr">
        <is>
          <t>C0739</t>
        </is>
      </c>
      <c r="D3691" s="2" t="inlineStr">
        <is>
          <t>P0024</t>
        </is>
      </c>
      <c r="E3691" s="2" t="inlineStr">
        <is>
          <t>Hair Dryer</t>
        </is>
      </c>
      <c r="F3691" s="2" t="inlineStr">
        <is>
          <t>Beauty</t>
        </is>
      </c>
      <c r="G3691" s="2" t="inlineStr">
        <is>
          <t>South</t>
        </is>
      </c>
      <c r="H3691" s="2" t="inlineStr">
        <is>
          <t>Kerala</t>
        </is>
      </c>
      <c r="I3691" s="2" t="inlineStr">
        <is>
          <t>Thiruvananthapuram</t>
        </is>
      </c>
      <c r="J3691" s="2" t="inlineStr">
        <is>
          <t>Online</t>
        </is>
      </c>
      <c r="K3691" s="2" t="n">
        <v>1</v>
      </c>
      <c r="L3691" s="3" t="n">
        <v>987.6799999999999</v>
      </c>
      <c r="M3691" s="4" t="n">
        <v>0.1</v>
      </c>
      <c r="N3691" s="3" t="n">
        <v>709.61</v>
      </c>
      <c r="O3691" s="3">
        <f>K3691*L3691*(1-M3691)</f>
        <v/>
      </c>
      <c r="P3691" s="3">
        <f>O3691-N3691</f>
        <v/>
      </c>
      <c r="Q3691" s="5">
        <f>IFERROR(P3691/O3691,0)</f>
        <v/>
      </c>
      <c r="R3691" s="2">
        <f>TEXT(DATEVALUE(B3691),"mmm")</f>
        <v/>
      </c>
      <c r="S3691" s="2">
        <f>TEXT(DATEVALUE(B3691),"yyyy-mm")</f>
        <v/>
      </c>
    </row>
    <row r="3692">
      <c r="A3692" s="2" t="inlineStr">
        <is>
          <t>O001707</t>
        </is>
      </c>
      <c r="B3692" s="2" t="inlineStr">
        <is>
          <t>2025-09-27</t>
        </is>
      </c>
      <c r="C3692" s="2" t="inlineStr">
        <is>
          <t>C0032</t>
        </is>
      </c>
      <c r="D3692" s="2" t="inlineStr">
        <is>
          <t>P0010</t>
        </is>
      </c>
      <c r="E3692" s="2" t="inlineStr">
        <is>
          <t>Mixer Grinder</t>
        </is>
      </c>
      <c r="F3692" s="2" t="inlineStr">
        <is>
          <t>Home &amp; Kitchen</t>
        </is>
      </c>
      <c r="G3692" s="2" t="inlineStr">
        <is>
          <t>West</t>
        </is>
      </c>
      <c r="H3692" s="2" t="inlineStr">
        <is>
          <t>Goa</t>
        </is>
      </c>
      <c r="I3692" s="2" t="inlineStr">
        <is>
          <t>Panaji</t>
        </is>
      </c>
      <c r="J3692" s="2" t="inlineStr">
        <is>
          <t>Store</t>
        </is>
      </c>
      <c r="K3692" s="2" t="n">
        <v>4</v>
      </c>
      <c r="L3692" s="3" t="n">
        <v>1635.67</v>
      </c>
      <c r="M3692" s="4" t="n">
        <v>0.05</v>
      </c>
      <c r="N3692" s="3" t="n">
        <v>4038.57</v>
      </c>
      <c r="O3692" s="3">
        <f>K3692*L3692*(1-M3692)</f>
        <v/>
      </c>
      <c r="P3692" s="3">
        <f>O3692-N3692</f>
        <v/>
      </c>
      <c r="Q3692" s="5">
        <f>IFERROR(P3692/O3692,0)</f>
        <v/>
      </c>
      <c r="R3692" s="2">
        <f>TEXT(DATEVALUE(B3692),"mmm")</f>
        <v/>
      </c>
      <c r="S3692" s="2">
        <f>TEXT(DATEVALUE(B3692),"yyyy-mm")</f>
        <v/>
      </c>
    </row>
    <row r="3693">
      <c r="A3693" s="2" t="inlineStr">
        <is>
          <t>O001460</t>
        </is>
      </c>
      <c r="B3693" s="2" t="inlineStr">
        <is>
          <t>2025-09-27</t>
        </is>
      </c>
      <c r="C3693" s="2" t="inlineStr">
        <is>
          <t>C0102</t>
        </is>
      </c>
      <c r="D3693" s="2" t="inlineStr">
        <is>
          <t>P0004</t>
        </is>
      </c>
      <c r="E3693" s="2" t="inlineStr">
        <is>
          <t>USB-C Hub</t>
        </is>
      </c>
      <c r="F3693" s="2" t="inlineStr">
        <is>
          <t>Electronics</t>
        </is>
      </c>
      <c r="G3693" s="2" t="inlineStr">
        <is>
          <t>West</t>
        </is>
      </c>
      <c r="H3693" s="2" t="inlineStr">
        <is>
          <t>Goa</t>
        </is>
      </c>
      <c r="I3693" s="2" t="inlineStr">
        <is>
          <t>Margao</t>
        </is>
      </c>
      <c r="J3693" s="2" t="inlineStr">
        <is>
          <t>Store</t>
        </is>
      </c>
      <c r="K3693" s="2" t="n">
        <v>1</v>
      </c>
      <c r="L3693" s="3" t="n">
        <v>1230.34</v>
      </c>
      <c r="M3693" s="4" t="n">
        <v>0</v>
      </c>
      <c r="N3693" s="3" t="n">
        <v>906.53</v>
      </c>
      <c r="O3693" s="3">
        <f>K3693*L3693*(1-M3693)</f>
        <v/>
      </c>
      <c r="P3693" s="3">
        <f>O3693-N3693</f>
        <v/>
      </c>
      <c r="Q3693" s="5">
        <f>IFERROR(P3693/O3693,0)</f>
        <v/>
      </c>
      <c r="R3693" s="2">
        <f>TEXT(DATEVALUE(B3693),"mmm")</f>
        <v/>
      </c>
      <c r="S3693" s="2">
        <f>TEXT(DATEVALUE(B3693),"yyyy-mm")</f>
        <v/>
      </c>
    </row>
    <row r="3694">
      <c r="A3694" s="2" t="inlineStr">
        <is>
          <t>O001039</t>
        </is>
      </c>
      <c r="B3694" s="2" t="inlineStr">
        <is>
          <t>2025-09-27</t>
        </is>
      </c>
      <c r="C3694" s="2" t="inlineStr">
        <is>
          <t>C0314</t>
        </is>
      </c>
      <c r="D3694" s="2" t="inlineStr">
        <is>
          <t>P0024</t>
        </is>
      </c>
      <c r="E3694" s="2" t="inlineStr">
        <is>
          <t>Hair Dryer</t>
        </is>
      </c>
      <c r="F3694" s="2" t="inlineStr">
        <is>
          <t>Beauty</t>
        </is>
      </c>
      <c r="G3694" s="2" t="inlineStr">
        <is>
          <t>North</t>
        </is>
      </c>
      <c r="H3694" s="2" t="inlineStr">
        <is>
          <t>Haryana</t>
        </is>
      </c>
      <c r="I3694" s="2" t="inlineStr">
        <is>
          <t>Faridabad</t>
        </is>
      </c>
      <c r="J3694" s="2" t="inlineStr">
        <is>
          <t>Store</t>
        </is>
      </c>
      <c r="K3694" s="2" t="n">
        <v>3</v>
      </c>
      <c r="L3694" s="3" t="n">
        <v>1048.34</v>
      </c>
      <c r="M3694" s="4" t="n">
        <v>0.05</v>
      </c>
      <c r="N3694" s="3" t="n">
        <v>2201.58</v>
      </c>
      <c r="O3694" s="3">
        <f>K3694*L3694*(1-M3694)</f>
        <v/>
      </c>
      <c r="P3694" s="3">
        <f>O3694-N3694</f>
        <v/>
      </c>
      <c r="Q3694" s="5">
        <f>IFERROR(P3694/O3694,0)</f>
        <v/>
      </c>
      <c r="R3694" s="2">
        <f>TEXT(DATEVALUE(B3694),"mmm")</f>
        <v/>
      </c>
      <c r="S3694" s="2">
        <f>TEXT(DATEVALUE(B3694),"yyyy-mm")</f>
        <v/>
      </c>
    </row>
    <row r="3695">
      <c r="A3695" s="2" t="inlineStr">
        <is>
          <t>O000074</t>
        </is>
      </c>
      <c r="B3695" s="2" t="inlineStr">
        <is>
          <t>2025-09-27</t>
        </is>
      </c>
      <c r="C3695" s="2" t="inlineStr">
        <is>
          <t>C0454</t>
        </is>
      </c>
      <c r="D3695" s="2" t="inlineStr">
        <is>
          <t>P0009</t>
        </is>
      </c>
      <c r="E3695" s="2" t="inlineStr">
        <is>
          <t>Electric Kettle</t>
        </is>
      </c>
      <c r="F3695" s="2" t="inlineStr">
        <is>
          <t>Home &amp; Kitchen</t>
        </is>
      </c>
      <c r="G3695" s="2" t="inlineStr">
        <is>
          <t>North</t>
        </is>
      </c>
      <c r="H3695" s="2" t="inlineStr">
        <is>
          <t>Punjab</t>
        </is>
      </c>
      <c r="I3695" s="2" t="inlineStr">
        <is>
          <t>Amritsar</t>
        </is>
      </c>
      <c r="J3695" s="2" t="inlineStr">
        <is>
          <t>Online</t>
        </is>
      </c>
      <c r="K3695" s="2" t="n">
        <v>2</v>
      </c>
      <c r="L3695" s="3" t="n">
        <v>2153.36</v>
      </c>
      <c r="M3695" s="4" t="n">
        <v>0</v>
      </c>
      <c r="N3695" s="3" t="n">
        <v>2282.95</v>
      </c>
      <c r="O3695" s="3">
        <f>K3695*L3695*(1-M3695)</f>
        <v/>
      </c>
      <c r="P3695" s="3">
        <f>O3695-N3695</f>
        <v/>
      </c>
      <c r="Q3695" s="5">
        <f>IFERROR(P3695/O3695,0)</f>
        <v/>
      </c>
      <c r="R3695" s="2">
        <f>TEXT(DATEVALUE(B3695),"mmm")</f>
        <v/>
      </c>
      <c r="S3695" s="2">
        <f>TEXT(DATEVALUE(B3695),"yyyy-mm")</f>
        <v/>
      </c>
    </row>
    <row r="3696">
      <c r="A3696" s="2" t="inlineStr">
        <is>
          <t>O001976</t>
        </is>
      </c>
      <c r="B3696" s="2" t="inlineStr">
        <is>
          <t>2025-09-27</t>
        </is>
      </c>
      <c r="C3696" s="2" t="inlineStr">
        <is>
          <t>C0434</t>
        </is>
      </c>
      <c r="D3696" s="2" t="inlineStr">
        <is>
          <t>P0031</t>
        </is>
      </c>
      <c r="E3696" s="2" t="inlineStr">
        <is>
          <t>Cricket Bat</t>
        </is>
      </c>
      <c r="F3696" s="2" t="inlineStr">
        <is>
          <t>Sports</t>
        </is>
      </c>
      <c r="G3696" s="2" t="inlineStr">
        <is>
          <t>West</t>
        </is>
      </c>
      <c r="H3696" s="2" t="inlineStr">
        <is>
          <t>Gujarat</t>
        </is>
      </c>
      <c r="I3696" s="2" t="inlineStr">
        <is>
          <t>Ahmedabad</t>
        </is>
      </c>
      <c r="J3696" s="2" t="inlineStr">
        <is>
          <t>Online</t>
        </is>
      </c>
      <c r="K3696" s="2" t="n">
        <v>1</v>
      </c>
      <c r="L3696" s="3" t="n">
        <v>1390.76</v>
      </c>
      <c r="M3696" s="4" t="n">
        <v>0</v>
      </c>
      <c r="N3696" s="3" t="n">
        <v>940.6799999999999</v>
      </c>
      <c r="O3696" s="3">
        <f>K3696*L3696*(1-M3696)</f>
        <v/>
      </c>
      <c r="P3696" s="3">
        <f>O3696-N3696</f>
        <v/>
      </c>
      <c r="Q3696" s="5">
        <f>IFERROR(P3696/O3696,0)</f>
        <v/>
      </c>
      <c r="R3696" s="2">
        <f>TEXT(DATEVALUE(B3696),"mmm")</f>
        <v/>
      </c>
      <c r="S3696" s="2">
        <f>TEXT(DATEVALUE(B3696),"yyyy-mm")</f>
        <v/>
      </c>
    </row>
    <row r="3697">
      <c r="A3697" s="2" t="inlineStr">
        <is>
          <t>O003060</t>
        </is>
      </c>
      <c r="B3697" s="2" t="inlineStr">
        <is>
          <t>2025-09-28</t>
        </is>
      </c>
      <c r="C3697" s="2" t="inlineStr">
        <is>
          <t>C0272</t>
        </is>
      </c>
      <c r="D3697" s="2" t="inlineStr">
        <is>
          <t>P0026</t>
        </is>
      </c>
      <c r="E3697" s="2" t="inlineStr">
        <is>
          <t>Shampoo</t>
        </is>
      </c>
      <c r="F3697" s="2" t="inlineStr">
        <is>
          <t>Beauty</t>
        </is>
      </c>
      <c r="G3697" s="2" t="inlineStr">
        <is>
          <t>South</t>
        </is>
      </c>
      <c r="H3697" s="2" t="inlineStr">
        <is>
          <t>Karnataka</t>
        </is>
      </c>
      <c r="I3697" s="2" t="inlineStr">
        <is>
          <t>Mangaluru</t>
        </is>
      </c>
      <c r="J3697" s="2" t="inlineStr">
        <is>
          <t>Online</t>
        </is>
      </c>
      <c r="K3697" s="2" t="n">
        <v>4</v>
      </c>
      <c r="L3697" s="3" t="n">
        <v>923.6900000000001</v>
      </c>
      <c r="M3697" s="4" t="n">
        <v>0</v>
      </c>
      <c r="N3697" s="3" t="n">
        <v>2080.64</v>
      </c>
      <c r="O3697" s="3">
        <f>K3697*L3697*(1-M3697)</f>
        <v/>
      </c>
      <c r="P3697" s="3">
        <f>O3697-N3697</f>
        <v/>
      </c>
      <c r="Q3697" s="5">
        <f>IFERROR(P3697/O3697,0)</f>
        <v/>
      </c>
      <c r="R3697" s="2">
        <f>TEXT(DATEVALUE(B3697),"mmm")</f>
        <v/>
      </c>
      <c r="S3697" s="2">
        <f>TEXT(DATEVALUE(B3697),"yyyy-mm")</f>
        <v/>
      </c>
    </row>
    <row r="3698">
      <c r="A3698" s="2" t="inlineStr">
        <is>
          <t>O004652</t>
        </is>
      </c>
      <c r="B3698" s="2" t="inlineStr">
        <is>
          <t>2025-09-28</t>
        </is>
      </c>
      <c r="C3698" s="2" t="inlineStr">
        <is>
          <t>C0694</t>
        </is>
      </c>
      <c r="D3698" s="2" t="inlineStr">
        <is>
          <t>P0021</t>
        </is>
      </c>
      <c r="E3698" s="2" t="inlineStr">
        <is>
          <t>Wallet</t>
        </is>
      </c>
      <c r="F3698" s="2" t="inlineStr">
        <is>
          <t>Fashion</t>
        </is>
      </c>
      <c r="G3698" s="2" t="inlineStr">
        <is>
          <t>South</t>
        </is>
      </c>
      <c r="H3698" s="2" t="inlineStr">
        <is>
          <t>Telangana</t>
        </is>
      </c>
      <c r="I3698" s="2" t="inlineStr">
        <is>
          <t>Warangal</t>
        </is>
      </c>
      <c r="J3698" s="2" t="inlineStr">
        <is>
          <t>Online</t>
        </is>
      </c>
      <c r="K3698" s="2" t="n">
        <v>1</v>
      </c>
      <c r="L3698" s="3" t="n">
        <v>2023.2</v>
      </c>
      <c r="M3698" s="4" t="n">
        <v>0.05</v>
      </c>
      <c r="N3698" s="3" t="n">
        <v>1214.29</v>
      </c>
      <c r="O3698" s="3">
        <f>K3698*L3698*(1-M3698)</f>
        <v/>
      </c>
      <c r="P3698" s="3">
        <f>O3698-N3698</f>
        <v/>
      </c>
      <c r="Q3698" s="5">
        <f>IFERROR(P3698/O3698,0)</f>
        <v/>
      </c>
      <c r="R3698" s="2">
        <f>TEXT(DATEVALUE(B3698),"mmm")</f>
        <v/>
      </c>
      <c r="S3698" s="2">
        <f>TEXT(DATEVALUE(B3698),"yyyy-mm")</f>
        <v/>
      </c>
    </row>
    <row r="3699">
      <c r="A3699" s="2" t="inlineStr">
        <is>
          <t>O004395</t>
        </is>
      </c>
      <c r="B3699" s="2" t="inlineStr">
        <is>
          <t>2025-09-28</t>
        </is>
      </c>
      <c r="C3699" s="2" t="inlineStr">
        <is>
          <t>C0374</t>
        </is>
      </c>
      <c r="D3699" s="2" t="inlineStr">
        <is>
          <t>P0034</t>
        </is>
      </c>
      <c r="E3699" s="2" t="inlineStr">
        <is>
          <t>Gym Gloves</t>
        </is>
      </c>
      <c r="F3699" s="2" t="inlineStr">
        <is>
          <t>Sports</t>
        </is>
      </c>
      <c r="G3699" s="2" t="inlineStr">
        <is>
          <t>North</t>
        </is>
      </c>
      <c r="H3699" s="2" t="inlineStr">
        <is>
          <t>Haryana</t>
        </is>
      </c>
      <c r="I3699" s="2" t="inlineStr">
        <is>
          <t>Faridabad</t>
        </is>
      </c>
      <c r="J3699" s="2" t="inlineStr">
        <is>
          <t>Store</t>
        </is>
      </c>
      <c r="K3699" s="2" t="n">
        <v>2</v>
      </c>
      <c r="L3699" s="3" t="n">
        <v>618.11</v>
      </c>
      <c r="M3699" s="4" t="n">
        <v>0.1</v>
      </c>
      <c r="N3699" s="3" t="n">
        <v>823.1900000000001</v>
      </c>
      <c r="O3699" s="3">
        <f>K3699*L3699*(1-M3699)</f>
        <v/>
      </c>
      <c r="P3699" s="3">
        <f>O3699-N3699</f>
        <v/>
      </c>
      <c r="Q3699" s="5">
        <f>IFERROR(P3699/O3699,0)</f>
        <v/>
      </c>
      <c r="R3699" s="2">
        <f>TEXT(DATEVALUE(B3699),"mmm")</f>
        <v/>
      </c>
      <c r="S3699" s="2">
        <f>TEXT(DATEVALUE(B3699),"yyyy-mm")</f>
        <v/>
      </c>
    </row>
    <row r="3700">
      <c r="A3700" s="2" t="inlineStr">
        <is>
          <t>O004217</t>
        </is>
      </c>
      <c r="B3700" s="2" t="inlineStr">
        <is>
          <t>2025-09-28</t>
        </is>
      </c>
      <c r="C3700" s="2" t="inlineStr">
        <is>
          <t>C0523</t>
        </is>
      </c>
      <c r="D3700" s="2" t="inlineStr">
        <is>
          <t>P0001</t>
        </is>
      </c>
      <c r="E3700" s="2" t="inlineStr">
        <is>
          <t>Wireless Headphones</t>
        </is>
      </c>
      <c r="F3700" s="2" t="inlineStr">
        <is>
          <t>Electronics</t>
        </is>
      </c>
      <c r="G3700" s="2" t="inlineStr">
        <is>
          <t>North</t>
        </is>
      </c>
      <c r="H3700" s="2" t="inlineStr">
        <is>
          <t>Punjab</t>
        </is>
      </c>
      <c r="I3700" s="2" t="inlineStr">
        <is>
          <t>Jalandhar</t>
        </is>
      </c>
      <c r="J3700" s="2" t="inlineStr">
        <is>
          <t>Store</t>
        </is>
      </c>
      <c r="K3700" s="2" t="n">
        <v>2</v>
      </c>
      <c r="L3700" s="3" t="n">
        <v>1266.65</v>
      </c>
      <c r="M3700" s="4" t="n">
        <v>0.05</v>
      </c>
      <c r="N3700" s="3" t="n">
        <v>1411.27</v>
      </c>
      <c r="O3700" s="3">
        <f>K3700*L3700*(1-M3700)</f>
        <v/>
      </c>
      <c r="P3700" s="3">
        <f>O3700-N3700</f>
        <v/>
      </c>
      <c r="Q3700" s="5">
        <f>IFERROR(P3700/O3700,0)</f>
        <v/>
      </c>
      <c r="R3700" s="2">
        <f>TEXT(DATEVALUE(B3700),"mmm")</f>
        <v/>
      </c>
      <c r="S3700" s="2">
        <f>TEXT(DATEVALUE(B3700),"yyyy-mm")</f>
        <v/>
      </c>
    </row>
    <row r="3701">
      <c r="A3701" s="2" t="inlineStr">
        <is>
          <t>O004189</t>
        </is>
      </c>
      <c r="B3701" s="2" t="inlineStr">
        <is>
          <t>2025-09-28</t>
        </is>
      </c>
      <c r="C3701" s="2" t="inlineStr">
        <is>
          <t>C0085</t>
        </is>
      </c>
      <c r="D3701" s="2" t="inlineStr">
        <is>
          <t>P0006</t>
        </is>
      </c>
      <c r="E3701" s="2" t="inlineStr">
        <is>
          <t>Mechanical Keyboard</t>
        </is>
      </c>
      <c r="F3701" s="2" t="inlineStr">
        <is>
          <t>Electronics</t>
        </is>
      </c>
      <c r="G3701" s="2" t="inlineStr">
        <is>
          <t>West</t>
        </is>
      </c>
      <c r="H3701" s="2" t="inlineStr">
        <is>
          <t>Maharashtra</t>
        </is>
      </c>
      <c r="I3701" s="2" t="inlineStr">
        <is>
          <t>Nashik</t>
        </is>
      </c>
      <c r="J3701" s="2" t="inlineStr">
        <is>
          <t>Store</t>
        </is>
      </c>
      <c r="K3701" s="2" t="n">
        <v>1</v>
      </c>
      <c r="L3701" s="3" t="n">
        <v>2798.89</v>
      </c>
      <c r="M3701" s="4" t="n">
        <v>0.15</v>
      </c>
      <c r="N3701" s="3" t="n">
        <v>1474.54</v>
      </c>
      <c r="O3701" s="3">
        <f>K3701*L3701*(1-M3701)</f>
        <v/>
      </c>
      <c r="P3701" s="3">
        <f>O3701-N3701</f>
        <v/>
      </c>
      <c r="Q3701" s="5">
        <f>IFERROR(P3701/O3701,0)</f>
        <v/>
      </c>
      <c r="R3701" s="2">
        <f>TEXT(DATEVALUE(B3701),"mmm")</f>
        <v/>
      </c>
      <c r="S3701" s="2">
        <f>TEXT(DATEVALUE(B3701),"yyyy-mm")</f>
        <v/>
      </c>
    </row>
    <row r="3702">
      <c r="A3702" s="2" t="inlineStr">
        <is>
          <t>O004096</t>
        </is>
      </c>
      <c r="B3702" s="2" t="inlineStr">
        <is>
          <t>2025-09-28</t>
        </is>
      </c>
      <c r="C3702" s="2" t="inlineStr">
        <is>
          <t>C0599</t>
        </is>
      </c>
      <c r="D3702" s="2" t="inlineStr">
        <is>
          <t>P0007</t>
        </is>
      </c>
      <c r="E3702" s="2" t="inlineStr">
        <is>
          <t>Wireless Mouse</t>
        </is>
      </c>
      <c r="F3702" s="2" t="inlineStr">
        <is>
          <t>Electronics</t>
        </is>
      </c>
      <c r="G3702" s="2" t="inlineStr">
        <is>
          <t>South</t>
        </is>
      </c>
      <c r="H3702" s="2" t="inlineStr">
        <is>
          <t>Telangana</t>
        </is>
      </c>
      <c r="I3702" s="2" t="inlineStr">
        <is>
          <t>Hyderabad</t>
        </is>
      </c>
      <c r="J3702" s="2" t="inlineStr">
        <is>
          <t>Online</t>
        </is>
      </c>
      <c r="K3702" s="2" t="n">
        <v>1</v>
      </c>
      <c r="L3702" s="3" t="n">
        <v>977.75</v>
      </c>
      <c r="M3702" s="4" t="n">
        <v>0.15</v>
      </c>
      <c r="N3702" s="3" t="n">
        <v>628.24</v>
      </c>
      <c r="O3702" s="3">
        <f>K3702*L3702*(1-M3702)</f>
        <v/>
      </c>
      <c r="P3702" s="3">
        <f>O3702-N3702</f>
        <v/>
      </c>
      <c r="Q3702" s="5">
        <f>IFERROR(P3702/O3702,0)</f>
        <v/>
      </c>
      <c r="R3702" s="2">
        <f>TEXT(DATEVALUE(B3702),"mmm")</f>
        <v/>
      </c>
      <c r="S3702" s="2">
        <f>TEXT(DATEVALUE(B3702),"yyyy-mm")</f>
        <v/>
      </c>
    </row>
    <row r="3703">
      <c r="A3703" s="2" t="inlineStr">
        <is>
          <t>O004988</t>
        </is>
      </c>
      <c r="B3703" s="2" t="inlineStr">
        <is>
          <t>2025-09-28</t>
        </is>
      </c>
      <c r="C3703" s="2" t="inlineStr">
        <is>
          <t>C0113</t>
        </is>
      </c>
      <c r="D3703" s="2" t="inlineStr">
        <is>
          <t>P0013</t>
        </is>
      </c>
      <c r="E3703" s="2" t="inlineStr">
        <is>
          <t>Storage Organizer</t>
        </is>
      </c>
      <c r="F3703" s="2" t="inlineStr">
        <is>
          <t>Home &amp; Kitchen</t>
        </is>
      </c>
      <c r="G3703" s="2" t="inlineStr">
        <is>
          <t>South</t>
        </is>
      </c>
      <c r="H3703" s="2" t="inlineStr">
        <is>
          <t>Telangana</t>
        </is>
      </c>
      <c r="I3703" s="2" t="inlineStr">
        <is>
          <t>Hyderabad</t>
        </is>
      </c>
      <c r="J3703" s="2" t="inlineStr">
        <is>
          <t>Store</t>
        </is>
      </c>
      <c r="K3703" s="2" t="n">
        <v>3</v>
      </c>
      <c r="L3703" s="3" t="n">
        <v>596.48</v>
      </c>
      <c r="M3703" s="4" t="n">
        <v>0.25</v>
      </c>
      <c r="N3703" s="3" t="n">
        <v>1059.94</v>
      </c>
      <c r="O3703" s="3">
        <f>K3703*L3703*(1-M3703)</f>
        <v/>
      </c>
      <c r="P3703" s="3">
        <f>O3703-N3703</f>
        <v/>
      </c>
      <c r="Q3703" s="5">
        <f>IFERROR(P3703/O3703,0)</f>
        <v/>
      </c>
      <c r="R3703" s="2">
        <f>TEXT(DATEVALUE(B3703),"mmm")</f>
        <v/>
      </c>
      <c r="S3703" s="2">
        <f>TEXT(DATEVALUE(B3703),"yyyy-mm")</f>
        <v/>
      </c>
    </row>
    <row r="3704">
      <c r="A3704" s="2" t="inlineStr">
        <is>
          <t>O002603</t>
        </is>
      </c>
      <c r="B3704" s="2" t="inlineStr">
        <is>
          <t>2025-09-28</t>
        </is>
      </c>
      <c r="C3704" s="2" t="inlineStr">
        <is>
          <t>C0343</t>
        </is>
      </c>
      <c r="D3704" s="2" t="inlineStr">
        <is>
          <t>P0022</t>
        </is>
      </c>
      <c r="E3704" s="2" t="inlineStr">
        <is>
          <t>Face Wash</t>
        </is>
      </c>
      <c r="F3704" s="2" t="inlineStr">
        <is>
          <t>Beauty</t>
        </is>
      </c>
      <c r="G3704" s="2" t="inlineStr">
        <is>
          <t>North</t>
        </is>
      </c>
      <c r="H3704" s="2" t="inlineStr">
        <is>
          <t>Uttar Pradesh</t>
        </is>
      </c>
      <c r="I3704" s="2" t="inlineStr">
        <is>
          <t>Noida</t>
        </is>
      </c>
      <c r="J3704" s="2" t="inlineStr">
        <is>
          <t>Store</t>
        </is>
      </c>
      <c r="K3704" s="2" t="n">
        <v>4</v>
      </c>
      <c r="L3704" s="3" t="n">
        <v>545.61</v>
      </c>
      <c r="M3704" s="4" t="n">
        <v>0.15</v>
      </c>
      <c r="N3704" s="3" t="n">
        <v>1370.55</v>
      </c>
      <c r="O3704" s="3">
        <f>K3704*L3704*(1-M3704)</f>
        <v/>
      </c>
      <c r="P3704" s="3">
        <f>O3704-N3704</f>
        <v/>
      </c>
      <c r="Q3704" s="5">
        <f>IFERROR(P3704/O3704,0)</f>
        <v/>
      </c>
      <c r="R3704" s="2">
        <f>TEXT(DATEVALUE(B3704),"mmm")</f>
        <v/>
      </c>
      <c r="S3704" s="2">
        <f>TEXT(DATEVALUE(B3704),"yyyy-mm")</f>
        <v/>
      </c>
    </row>
    <row r="3705">
      <c r="A3705" s="2" t="inlineStr">
        <is>
          <t>O001757</t>
        </is>
      </c>
      <c r="B3705" s="2" t="inlineStr">
        <is>
          <t>2025-09-28</t>
        </is>
      </c>
      <c r="C3705" s="2" t="inlineStr">
        <is>
          <t>C0568</t>
        </is>
      </c>
      <c r="D3705" s="2" t="inlineStr">
        <is>
          <t>P0032</t>
        </is>
      </c>
      <c r="E3705" s="2" t="inlineStr">
        <is>
          <t>Football</t>
        </is>
      </c>
      <c r="F3705" s="2" t="inlineStr">
        <is>
          <t>Sports</t>
        </is>
      </c>
      <c r="G3705" s="2" t="inlineStr">
        <is>
          <t>West</t>
        </is>
      </c>
      <c r="H3705" s="2" t="inlineStr">
        <is>
          <t>Goa</t>
        </is>
      </c>
      <c r="I3705" s="2" t="inlineStr">
        <is>
          <t>Panaji</t>
        </is>
      </c>
      <c r="J3705" s="2" t="inlineStr">
        <is>
          <t>Online</t>
        </is>
      </c>
      <c r="K3705" s="2" t="n">
        <v>2</v>
      </c>
      <c r="L3705" s="3" t="n">
        <v>820.45</v>
      </c>
      <c r="M3705" s="4" t="n">
        <v>0.15</v>
      </c>
      <c r="N3705" s="3" t="n">
        <v>1045.45</v>
      </c>
      <c r="O3705" s="3">
        <f>K3705*L3705*(1-M3705)</f>
        <v/>
      </c>
      <c r="P3705" s="3">
        <f>O3705-N3705</f>
        <v/>
      </c>
      <c r="Q3705" s="5">
        <f>IFERROR(P3705/O3705,0)</f>
        <v/>
      </c>
      <c r="R3705" s="2">
        <f>TEXT(DATEVALUE(B3705),"mmm")</f>
        <v/>
      </c>
      <c r="S3705" s="2">
        <f>TEXT(DATEVALUE(B3705),"yyyy-mm")</f>
        <v/>
      </c>
    </row>
    <row r="3706">
      <c r="A3706" s="2" t="inlineStr">
        <is>
          <t>O002156</t>
        </is>
      </c>
      <c r="B3706" s="2" t="inlineStr">
        <is>
          <t>2025-09-28</t>
        </is>
      </c>
      <c r="C3706" s="2" t="inlineStr">
        <is>
          <t>C0118</t>
        </is>
      </c>
      <c r="D3706" s="2" t="inlineStr">
        <is>
          <t>P0004</t>
        </is>
      </c>
      <c r="E3706" s="2" t="inlineStr">
        <is>
          <t>USB-C Hub</t>
        </is>
      </c>
      <c r="F3706" s="2" t="inlineStr">
        <is>
          <t>Electronics</t>
        </is>
      </c>
      <c r="G3706" s="2" t="inlineStr">
        <is>
          <t>South</t>
        </is>
      </c>
      <c r="H3706" s="2" t="inlineStr">
        <is>
          <t>Kerala</t>
        </is>
      </c>
      <c r="I3706" s="2" t="inlineStr">
        <is>
          <t>Thiruvananthapuram</t>
        </is>
      </c>
      <c r="J3706" s="2" t="inlineStr">
        <is>
          <t>Store</t>
        </is>
      </c>
      <c r="K3706" s="2" t="n">
        <v>6</v>
      </c>
      <c r="L3706" s="3" t="n">
        <v>1296.64</v>
      </c>
      <c r="M3706" s="4" t="n">
        <v>0.05</v>
      </c>
      <c r="N3706" s="3" t="n">
        <v>5605.66</v>
      </c>
      <c r="O3706" s="3">
        <f>K3706*L3706*(1-M3706)</f>
        <v/>
      </c>
      <c r="P3706" s="3">
        <f>O3706-N3706</f>
        <v/>
      </c>
      <c r="Q3706" s="5">
        <f>IFERROR(P3706/O3706,0)</f>
        <v/>
      </c>
      <c r="R3706" s="2">
        <f>TEXT(DATEVALUE(B3706),"mmm")</f>
        <v/>
      </c>
      <c r="S3706" s="2">
        <f>TEXT(DATEVALUE(B3706),"yyyy-mm")</f>
        <v/>
      </c>
    </row>
    <row r="3707">
      <c r="A3707" s="2" t="inlineStr">
        <is>
          <t>O002140</t>
        </is>
      </c>
      <c r="B3707" s="2" t="inlineStr">
        <is>
          <t>2025-09-28</t>
        </is>
      </c>
      <c r="C3707" s="2" t="inlineStr">
        <is>
          <t>C0677</t>
        </is>
      </c>
      <c r="D3707" s="2" t="inlineStr">
        <is>
          <t>P0031</t>
        </is>
      </c>
      <c r="E3707" s="2" t="inlineStr">
        <is>
          <t>Cricket Bat</t>
        </is>
      </c>
      <c r="F3707" s="2" t="inlineStr">
        <is>
          <t>Sports</t>
        </is>
      </c>
      <c r="G3707" s="2" t="inlineStr">
        <is>
          <t>West</t>
        </is>
      </c>
      <c r="H3707" s="2" t="inlineStr">
        <is>
          <t>Goa</t>
        </is>
      </c>
      <c r="I3707" s="2" t="inlineStr">
        <is>
          <t>Margao</t>
        </is>
      </c>
      <c r="J3707" s="2" t="inlineStr">
        <is>
          <t>Online</t>
        </is>
      </c>
      <c r="K3707" s="2" t="n">
        <v>5</v>
      </c>
      <c r="L3707" s="3" t="n">
        <v>1405.59</v>
      </c>
      <c r="M3707" s="4" t="n">
        <v>0.1</v>
      </c>
      <c r="N3707" s="3" t="n">
        <v>4777.67</v>
      </c>
      <c r="O3707" s="3">
        <f>K3707*L3707*(1-M3707)</f>
        <v/>
      </c>
      <c r="P3707" s="3">
        <f>O3707-N3707</f>
        <v/>
      </c>
      <c r="Q3707" s="5">
        <f>IFERROR(P3707/O3707,0)</f>
        <v/>
      </c>
      <c r="R3707" s="2">
        <f>TEXT(DATEVALUE(B3707),"mmm")</f>
        <v/>
      </c>
      <c r="S3707" s="2">
        <f>TEXT(DATEVALUE(B3707),"yyyy-mm")</f>
        <v/>
      </c>
    </row>
    <row r="3708">
      <c r="A3708" s="2" t="inlineStr">
        <is>
          <t>O001727</t>
        </is>
      </c>
      <c r="B3708" s="2" t="inlineStr">
        <is>
          <t>2025-09-28</t>
        </is>
      </c>
      <c r="C3708" s="2" t="inlineStr">
        <is>
          <t>C0216</t>
        </is>
      </c>
      <c r="D3708" s="2" t="inlineStr">
        <is>
          <t>P0014</t>
        </is>
      </c>
      <c r="E3708" s="2" t="inlineStr">
        <is>
          <t>Coffee Maker</t>
        </is>
      </c>
      <c r="F3708" s="2" t="inlineStr">
        <is>
          <t>Home &amp; Kitchen</t>
        </is>
      </c>
      <c r="G3708" s="2" t="inlineStr">
        <is>
          <t>North</t>
        </is>
      </c>
      <c r="H3708" s="2" t="inlineStr">
        <is>
          <t>Uttar Pradesh</t>
        </is>
      </c>
      <c r="I3708" s="2" t="inlineStr">
        <is>
          <t>Noida</t>
        </is>
      </c>
      <c r="J3708" s="2" t="inlineStr">
        <is>
          <t>Online</t>
        </is>
      </c>
      <c r="K3708" s="2" t="n">
        <v>4</v>
      </c>
      <c r="L3708" s="3" t="n">
        <v>1014.86</v>
      </c>
      <c r="M3708" s="4" t="n">
        <v>0.1</v>
      </c>
      <c r="N3708" s="3" t="n">
        <v>3032.12</v>
      </c>
      <c r="O3708" s="3">
        <f>K3708*L3708*(1-M3708)</f>
        <v/>
      </c>
      <c r="P3708" s="3">
        <f>O3708-N3708</f>
        <v/>
      </c>
      <c r="Q3708" s="5">
        <f>IFERROR(P3708/O3708,0)</f>
        <v/>
      </c>
      <c r="R3708" s="2">
        <f>TEXT(DATEVALUE(B3708),"mmm")</f>
        <v/>
      </c>
      <c r="S3708" s="2">
        <f>TEXT(DATEVALUE(B3708),"yyyy-mm")</f>
        <v/>
      </c>
    </row>
    <row r="3709">
      <c r="A3709" s="2" t="inlineStr">
        <is>
          <t>O000409</t>
        </is>
      </c>
      <c r="B3709" s="2" t="inlineStr">
        <is>
          <t>2025-09-28</t>
        </is>
      </c>
      <c r="C3709" s="2" t="inlineStr">
        <is>
          <t>C0497</t>
        </is>
      </c>
      <c r="D3709" s="2" t="inlineStr">
        <is>
          <t>P0024</t>
        </is>
      </c>
      <c r="E3709" s="2" t="inlineStr">
        <is>
          <t>Hair Dryer</t>
        </is>
      </c>
      <c r="F3709" s="2" t="inlineStr">
        <is>
          <t>Beauty</t>
        </is>
      </c>
      <c r="G3709" s="2" t="inlineStr">
        <is>
          <t>South</t>
        </is>
      </c>
      <c r="H3709" s="2" t="inlineStr">
        <is>
          <t>Telangana</t>
        </is>
      </c>
      <c r="I3709" s="2" t="inlineStr">
        <is>
          <t>Warangal</t>
        </is>
      </c>
      <c r="J3709" s="2" t="inlineStr">
        <is>
          <t>Store</t>
        </is>
      </c>
      <c r="K3709" s="2" t="n">
        <v>2</v>
      </c>
      <c r="L3709" s="3" t="n">
        <v>1041.84</v>
      </c>
      <c r="M3709" s="4" t="n">
        <v>0.1</v>
      </c>
      <c r="N3709" s="3" t="n">
        <v>1463.49</v>
      </c>
      <c r="O3709" s="3">
        <f>K3709*L3709*(1-M3709)</f>
        <v/>
      </c>
      <c r="P3709" s="3">
        <f>O3709-N3709</f>
        <v/>
      </c>
      <c r="Q3709" s="5">
        <f>IFERROR(P3709/O3709,0)</f>
        <v/>
      </c>
      <c r="R3709" s="2">
        <f>TEXT(DATEVALUE(B3709),"mmm")</f>
        <v/>
      </c>
      <c r="S3709" s="2">
        <f>TEXT(DATEVALUE(B3709),"yyyy-mm")</f>
        <v/>
      </c>
    </row>
    <row r="3710">
      <c r="A3710" s="2" t="inlineStr">
        <is>
          <t>O000077</t>
        </is>
      </c>
      <c r="B3710" s="2" t="inlineStr">
        <is>
          <t>2025-09-28</t>
        </is>
      </c>
      <c r="C3710" s="2" t="inlineStr">
        <is>
          <t>C0439</t>
        </is>
      </c>
      <c r="D3710" s="2" t="inlineStr">
        <is>
          <t>P0031</t>
        </is>
      </c>
      <c r="E3710" s="2" t="inlineStr">
        <is>
          <t>Cricket Bat</t>
        </is>
      </c>
      <c r="F3710" s="2" t="inlineStr">
        <is>
          <t>Sports</t>
        </is>
      </c>
      <c r="G3710" s="2" t="inlineStr">
        <is>
          <t>West</t>
        </is>
      </c>
      <c r="H3710" s="2" t="inlineStr">
        <is>
          <t>Gujarat</t>
        </is>
      </c>
      <c r="I3710" s="2" t="inlineStr">
        <is>
          <t>Ahmedabad</t>
        </is>
      </c>
      <c r="J3710" s="2" t="inlineStr">
        <is>
          <t>Store</t>
        </is>
      </c>
      <c r="K3710" s="2" t="n">
        <v>1</v>
      </c>
      <c r="L3710" s="3" t="n">
        <v>1420.68</v>
      </c>
      <c r="M3710" s="4" t="n">
        <v>0.05</v>
      </c>
      <c r="N3710" s="3" t="n">
        <v>967.14</v>
      </c>
      <c r="O3710" s="3">
        <f>K3710*L3710*(1-M3710)</f>
        <v/>
      </c>
      <c r="P3710" s="3">
        <f>O3710-N3710</f>
        <v/>
      </c>
      <c r="Q3710" s="5">
        <f>IFERROR(P3710/O3710,0)</f>
        <v/>
      </c>
      <c r="R3710" s="2">
        <f>TEXT(DATEVALUE(B3710),"mmm")</f>
        <v/>
      </c>
      <c r="S3710" s="2">
        <f>TEXT(DATEVALUE(B3710),"yyyy-mm")</f>
        <v/>
      </c>
    </row>
    <row r="3711">
      <c r="A3711" s="2" t="inlineStr">
        <is>
          <t>O000034</t>
        </is>
      </c>
      <c r="B3711" s="2" t="inlineStr">
        <is>
          <t>2025-09-28</t>
        </is>
      </c>
      <c r="C3711" s="2" t="inlineStr">
        <is>
          <t>C0275</t>
        </is>
      </c>
      <c r="D3711" s="2" t="inlineStr">
        <is>
          <t>P0012</t>
        </is>
      </c>
      <c r="E3711" s="2" t="inlineStr">
        <is>
          <t>Water Bottle</t>
        </is>
      </c>
      <c r="F3711" s="2" t="inlineStr">
        <is>
          <t>Home &amp; Kitchen</t>
        </is>
      </c>
      <c r="G3711" s="2" t="inlineStr">
        <is>
          <t>West</t>
        </is>
      </c>
      <c r="H3711" s="2" t="inlineStr">
        <is>
          <t>Maharashtra</t>
        </is>
      </c>
      <c r="I3711" s="2" t="inlineStr">
        <is>
          <t>Pune</t>
        </is>
      </c>
      <c r="J3711" s="2" t="inlineStr">
        <is>
          <t>Online</t>
        </is>
      </c>
      <c r="K3711" s="2" t="n">
        <v>1</v>
      </c>
      <c r="L3711" s="3" t="n">
        <v>964.16</v>
      </c>
      <c r="M3711" s="4" t="n">
        <v>0.05</v>
      </c>
      <c r="N3711" s="3" t="n">
        <v>640.1</v>
      </c>
      <c r="O3711" s="3">
        <f>K3711*L3711*(1-M3711)</f>
        <v/>
      </c>
      <c r="P3711" s="3">
        <f>O3711-N3711</f>
        <v/>
      </c>
      <c r="Q3711" s="5">
        <f>IFERROR(P3711/O3711,0)</f>
        <v/>
      </c>
      <c r="R3711" s="2">
        <f>TEXT(DATEVALUE(B3711),"mmm")</f>
        <v/>
      </c>
      <c r="S3711" s="2">
        <f>TEXT(DATEVALUE(B3711),"yyyy-mm")</f>
        <v/>
      </c>
    </row>
    <row r="3712">
      <c r="A3712" s="2" t="inlineStr">
        <is>
          <t>O000003</t>
        </is>
      </c>
      <c r="B3712" s="2" t="inlineStr">
        <is>
          <t>2025-09-28</t>
        </is>
      </c>
      <c r="C3712" s="2" t="inlineStr">
        <is>
          <t>C0581</t>
        </is>
      </c>
      <c r="D3712" s="2" t="inlineStr">
        <is>
          <t>P0019</t>
        </is>
      </c>
      <c r="E3712" s="2" t="inlineStr">
        <is>
          <t>Jacket</t>
        </is>
      </c>
      <c r="F3712" s="2" t="inlineStr">
        <is>
          <t>Fashion</t>
        </is>
      </c>
      <c r="G3712" s="2" t="inlineStr">
        <is>
          <t>South</t>
        </is>
      </c>
      <c r="H3712" s="2" t="inlineStr">
        <is>
          <t>Telangana</t>
        </is>
      </c>
      <c r="I3712" s="2" t="inlineStr">
        <is>
          <t>Hyderabad</t>
        </is>
      </c>
      <c r="J3712" s="2" t="inlineStr">
        <is>
          <t>Online</t>
        </is>
      </c>
      <c r="K3712" s="2" t="n">
        <v>2</v>
      </c>
      <c r="L3712" s="3" t="n">
        <v>1035.62</v>
      </c>
      <c r="M3712" s="4" t="n">
        <v>0.15</v>
      </c>
      <c r="N3712" s="3" t="n">
        <v>1365.59</v>
      </c>
      <c r="O3712" s="3">
        <f>K3712*L3712*(1-M3712)</f>
        <v/>
      </c>
      <c r="P3712" s="3">
        <f>O3712-N3712</f>
        <v/>
      </c>
      <c r="Q3712" s="5">
        <f>IFERROR(P3712/O3712,0)</f>
        <v/>
      </c>
      <c r="R3712" s="2">
        <f>TEXT(DATEVALUE(B3712),"mmm")</f>
        <v/>
      </c>
      <c r="S3712" s="2">
        <f>TEXT(DATEVALUE(B3712),"yyyy-mm")</f>
        <v/>
      </c>
    </row>
    <row r="3713">
      <c r="A3713" s="2" t="inlineStr">
        <is>
          <t>O002205</t>
        </is>
      </c>
      <c r="B3713" s="2" t="inlineStr">
        <is>
          <t>2025-09-28</t>
        </is>
      </c>
      <c r="C3713" s="2" t="inlineStr">
        <is>
          <t>C0456</t>
        </is>
      </c>
      <c r="D3713" s="2" t="inlineStr">
        <is>
          <t>P0006</t>
        </is>
      </c>
      <c r="E3713" s="2" t="inlineStr">
        <is>
          <t>Mechanical Keyboard</t>
        </is>
      </c>
      <c r="F3713" s="2" t="inlineStr">
        <is>
          <t>Electronics</t>
        </is>
      </c>
      <c r="G3713" s="2" t="inlineStr">
        <is>
          <t>North</t>
        </is>
      </c>
      <c r="H3713" s="2" t="inlineStr">
        <is>
          <t>Haryana</t>
        </is>
      </c>
      <c r="I3713" s="2" t="inlineStr">
        <is>
          <t>Gurugram</t>
        </is>
      </c>
      <c r="J3713" s="2" t="inlineStr">
        <is>
          <t>Store</t>
        </is>
      </c>
      <c r="K3713" s="2" t="n">
        <v>1</v>
      </c>
      <c r="L3713" s="3" t="n">
        <v>2814.56</v>
      </c>
      <c r="M3713" s="4" t="n">
        <v>0.1</v>
      </c>
      <c r="N3713" s="3" t="n">
        <v>1508.49</v>
      </c>
      <c r="O3713" s="3">
        <f>K3713*L3713*(1-M3713)</f>
        <v/>
      </c>
      <c r="P3713" s="3">
        <f>O3713-N3713</f>
        <v/>
      </c>
      <c r="Q3713" s="5">
        <f>IFERROR(P3713/O3713,0)</f>
        <v/>
      </c>
      <c r="R3713" s="2">
        <f>TEXT(DATEVALUE(B3713),"mmm")</f>
        <v/>
      </c>
      <c r="S3713" s="2">
        <f>TEXT(DATEVALUE(B3713),"yyyy-mm")</f>
        <v/>
      </c>
    </row>
    <row r="3714">
      <c r="A3714" s="2" t="inlineStr">
        <is>
          <t>O004257</t>
        </is>
      </c>
      <c r="B3714" s="2" t="inlineStr">
        <is>
          <t>2025-09-29</t>
        </is>
      </c>
      <c r="C3714" s="2" t="inlineStr">
        <is>
          <t>C0582</t>
        </is>
      </c>
      <c r="D3714" s="2" t="inlineStr">
        <is>
          <t>P0009</t>
        </is>
      </c>
      <c r="E3714" s="2" t="inlineStr">
        <is>
          <t>Electric Kettle</t>
        </is>
      </c>
      <c r="F3714" s="2" t="inlineStr">
        <is>
          <t>Home &amp; Kitchen</t>
        </is>
      </c>
      <c r="G3714" s="2" t="inlineStr">
        <is>
          <t>West</t>
        </is>
      </c>
      <c r="H3714" s="2" t="inlineStr">
        <is>
          <t>Goa</t>
        </is>
      </c>
      <c r="I3714" s="2" t="inlineStr">
        <is>
          <t>Margao</t>
        </is>
      </c>
      <c r="J3714" s="2" t="inlineStr">
        <is>
          <t>Online</t>
        </is>
      </c>
      <c r="K3714" s="2" t="n">
        <v>2</v>
      </c>
      <c r="L3714" s="3" t="n">
        <v>2098.91</v>
      </c>
      <c r="M3714" s="4" t="n">
        <v>0.1</v>
      </c>
      <c r="N3714" s="3" t="n">
        <v>2228.09</v>
      </c>
      <c r="O3714" s="3">
        <f>K3714*L3714*(1-M3714)</f>
        <v/>
      </c>
      <c r="P3714" s="3">
        <f>O3714-N3714</f>
        <v/>
      </c>
      <c r="Q3714" s="5">
        <f>IFERROR(P3714/O3714,0)</f>
        <v/>
      </c>
      <c r="R3714" s="2">
        <f>TEXT(DATEVALUE(B3714),"mmm")</f>
        <v/>
      </c>
      <c r="S3714" s="2">
        <f>TEXT(DATEVALUE(B3714),"yyyy-mm")</f>
        <v/>
      </c>
    </row>
    <row r="3715">
      <c r="A3715" s="2" t="inlineStr">
        <is>
          <t>O004159</t>
        </is>
      </c>
      <c r="B3715" s="2" t="inlineStr">
        <is>
          <t>2025-09-29</t>
        </is>
      </c>
      <c r="C3715" s="2" t="inlineStr">
        <is>
          <t>C0766</t>
        </is>
      </c>
      <c r="D3715" s="2" t="inlineStr">
        <is>
          <t>P0005</t>
        </is>
      </c>
      <c r="E3715" s="2" t="inlineStr">
        <is>
          <t>Power Bank</t>
        </is>
      </c>
      <c r="F3715" s="2" t="inlineStr">
        <is>
          <t>Electronics</t>
        </is>
      </c>
      <c r="G3715" s="2" t="inlineStr">
        <is>
          <t>South</t>
        </is>
      </c>
      <c r="H3715" s="2" t="inlineStr">
        <is>
          <t>Karnataka</t>
        </is>
      </c>
      <c r="I3715" s="2" t="inlineStr">
        <is>
          <t>Mangaluru</t>
        </is>
      </c>
      <c r="J3715" s="2" t="inlineStr">
        <is>
          <t>Online</t>
        </is>
      </c>
      <c r="K3715" s="2" t="n">
        <v>3</v>
      </c>
      <c r="L3715" s="3" t="n">
        <v>1124.38</v>
      </c>
      <c r="M3715" s="4" t="n">
        <v>0.1</v>
      </c>
      <c r="N3715" s="3" t="n">
        <v>1967.43</v>
      </c>
      <c r="O3715" s="3">
        <f>K3715*L3715*(1-M3715)</f>
        <v/>
      </c>
      <c r="P3715" s="3">
        <f>O3715-N3715</f>
        <v/>
      </c>
      <c r="Q3715" s="5">
        <f>IFERROR(P3715/O3715,0)</f>
        <v/>
      </c>
      <c r="R3715" s="2">
        <f>TEXT(DATEVALUE(B3715),"mmm")</f>
        <v/>
      </c>
      <c r="S3715" s="2">
        <f>TEXT(DATEVALUE(B3715),"yyyy-mm")</f>
        <v/>
      </c>
    </row>
    <row r="3716">
      <c r="A3716" s="2" t="inlineStr">
        <is>
          <t>O003948</t>
        </is>
      </c>
      <c r="B3716" s="2" t="inlineStr">
        <is>
          <t>2025-09-29</t>
        </is>
      </c>
      <c r="C3716" s="2" t="inlineStr">
        <is>
          <t>C0196</t>
        </is>
      </c>
      <c r="D3716" s="2" t="inlineStr">
        <is>
          <t>P0030</t>
        </is>
      </c>
      <c r="E3716" s="2" t="inlineStr">
        <is>
          <t>Dumbbells</t>
        </is>
      </c>
      <c r="F3716" s="2" t="inlineStr">
        <is>
          <t>Sports</t>
        </is>
      </c>
      <c r="G3716" s="2" t="inlineStr">
        <is>
          <t>North</t>
        </is>
      </c>
      <c r="H3716" s="2" t="inlineStr">
        <is>
          <t>Punjab</t>
        </is>
      </c>
      <c r="I3716" s="2" t="inlineStr">
        <is>
          <t>Ludhiana</t>
        </is>
      </c>
      <c r="J3716" s="2" t="inlineStr">
        <is>
          <t>Online</t>
        </is>
      </c>
      <c r="K3716" s="2" t="n">
        <v>5</v>
      </c>
      <c r="L3716" s="3" t="n">
        <v>1534.48</v>
      </c>
      <c r="M3716" s="4" t="n">
        <v>0.1</v>
      </c>
      <c r="N3716" s="3" t="n">
        <v>5192.67</v>
      </c>
      <c r="O3716" s="3">
        <f>K3716*L3716*(1-M3716)</f>
        <v/>
      </c>
      <c r="P3716" s="3">
        <f>O3716-N3716</f>
        <v/>
      </c>
      <c r="Q3716" s="5">
        <f>IFERROR(P3716/O3716,0)</f>
        <v/>
      </c>
      <c r="R3716" s="2">
        <f>TEXT(DATEVALUE(B3716),"mmm")</f>
        <v/>
      </c>
      <c r="S3716" s="2">
        <f>TEXT(DATEVALUE(B3716),"yyyy-mm")</f>
        <v/>
      </c>
    </row>
    <row r="3717">
      <c r="A3717" s="2" t="inlineStr">
        <is>
          <t>O003819</t>
        </is>
      </c>
      <c r="B3717" s="2" t="inlineStr">
        <is>
          <t>2025-09-29</t>
        </is>
      </c>
      <c r="C3717" s="2" t="inlineStr">
        <is>
          <t>C0117</t>
        </is>
      </c>
      <c r="D3717" s="2" t="inlineStr">
        <is>
          <t>P0012</t>
        </is>
      </c>
      <c r="E3717" s="2" t="inlineStr">
        <is>
          <t>Water Bottle</t>
        </is>
      </c>
      <c r="F3717" s="2" t="inlineStr">
        <is>
          <t>Home &amp; Kitchen</t>
        </is>
      </c>
      <c r="G3717" s="2" t="inlineStr">
        <is>
          <t>West</t>
        </is>
      </c>
      <c r="H3717" s="2" t="inlineStr">
        <is>
          <t>Goa</t>
        </is>
      </c>
      <c r="I3717" s="2" t="inlineStr">
        <is>
          <t>Panaji</t>
        </is>
      </c>
      <c r="J3717" s="2" t="inlineStr">
        <is>
          <t>Online</t>
        </is>
      </c>
      <c r="K3717" s="2" t="n">
        <v>3</v>
      </c>
      <c r="L3717" s="3" t="n">
        <v>1001.14</v>
      </c>
      <c r="M3717" s="4" t="n">
        <v>0</v>
      </c>
      <c r="N3717" s="3" t="n">
        <v>1889.68</v>
      </c>
      <c r="O3717" s="3">
        <f>K3717*L3717*(1-M3717)</f>
        <v/>
      </c>
      <c r="P3717" s="3">
        <f>O3717-N3717</f>
        <v/>
      </c>
      <c r="Q3717" s="5">
        <f>IFERROR(P3717/O3717,0)</f>
        <v/>
      </c>
      <c r="R3717" s="2">
        <f>TEXT(DATEVALUE(B3717),"mmm")</f>
        <v/>
      </c>
      <c r="S3717" s="2">
        <f>TEXT(DATEVALUE(B3717),"yyyy-mm")</f>
        <v/>
      </c>
    </row>
    <row r="3718">
      <c r="A3718" s="2" t="inlineStr">
        <is>
          <t>O003064</t>
        </is>
      </c>
      <c r="B3718" s="2" t="inlineStr">
        <is>
          <t>2025-09-29</t>
        </is>
      </c>
      <c r="C3718" s="2" t="inlineStr">
        <is>
          <t>C0694</t>
        </is>
      </c>
      <c r="D3718" s="2" t="inlineStr">
        <is>
          <t>P0030</t>
        </is>
      </c>
      <c r="E3718" s="2" t="inlineStr">
        <is>
          <t>Dumbbells</t>
        </is>
      </c>
      <c r="F3718" s="2" t="inlineStr">
        <is>
          <t>Sports</t>
        </is>
      </c>
      <c r="G3718" s="2" t="inlineStr">
        <is>
          <t>South</t>
        </is>
      </c>
      <c r="H3718" s="2" t="inlineStr">
        <is>
          <t>Telangana</t>
        </is>
      </c>
      <c r="I3718" s="2" t="inlineStr">
        <is>
          <t>Warangal</t>
        </is>
      </c>
      <c r="J3718" s="2" t="inlineStr">
        <is>
          <t>Online</t>
        </is>
      </c>
      <c r="K3718" s="2" t="n">
        <v>2</v>
      </c>
      <c r="L3718" s="3" t="n">
        <v>1588.82</v>
      </c>
      <c r="M3718" s="4" t="n">
        <v>0.15</v>
      </c>
      <c r="N3718" s="3" t="n">
        <v>2054.92</v>
      </c>
      <c r="O3718" s="3">
        <f>K3718*L3718*(1-M3718)</f>
        <v/>
      </c>
      <c r="P3718" s="3">
        <f>O3718-N3718</f>
        <v/>
      </c>
      <c r="Q3718" s="5">
        <f>IFERROR(P3718/O3718,0)</f>
        <v/>
      </c>
      <c r="R3718" s="2">
        <f>TEXT(DATEVALUE(B3718),"mmm")</f>
        <v/>
      </c>
      <c r="S3718" s="2">
        <f>TEXT(DATEVALUE(B3718),"yyyy-mm")</f>
        <v/>
      </c>
    </row>
    <row r="3719">
      <c r="A3719" s="2" t="inlineStr">
        <is>
          <t>O002343</t>
        </is>
      </c>
      <c r="B3719" s="2" t="inlineStr">
        <is>
          <t>2025-09-29</t>
        </is>
      </c>
      <c r="C3719" s="2" t="inlineStr">
        <is>
          <t>C0397</t>
        </is>
      </c>
      <c r="D3719" s="2" t="inlineStr">
        <is>
          <t>P0021</t>
        </is>
      </c>
      <c r="E3719" s="2" t="inlineStr">
        <is>
          <t>Wallet</t>
        </is>
      </c>
      <c r="F3719" s="2" t="inlineStr">
        <is>
          <t>Fashion</t>
        </is>
      </c>
      <c r="G3719" s="2" t="inlineStr">
        <is>
          <t>East</t>
        </is>
      </c>
      <c r="H3719" s="2" t="inlineStr">
        <is>
          <t>West Bengal</t>
        </is>
      </c>
      <c r="I3719" s="2" t="inlineStr">
        <is>
          <t>Durgapur</t>
        </is>
      </c>
      <c r="J3719" s="2" t="inlineStr">
        <is>
          <t>Online</t>
        </is>
      </c>
      <c r="K3719" s="2" t="n">
        <v>2</v>
      </c>
      <c r="L3719" s="3" t="n">
        <v>1996</v>
      </c>
      <c r="M3719" s="4" t="n">
        <v>0.05</v>
      </c>
      <c r="N3719" s="3" t="n">
        <v>2428.39</v>
      </c>
      <c r="O3719" s="3">
        <f>K3719*L3719*(1-M3719)</f>
        <v/>
      </c>
      <c r="P3719" s="3">
        <f>O3719-N3719</f>
        <v/>
      </c>
      <c r="Q3719" s="5">
        <f>IFERROR(P3719/O3719,0)</f>
        <v/>
      </c>
      <c r="R3719" s="2">
        <f>TEXT(DATEVALUE(B3719),"mmm")</f>
        <v/>
      </c>
      <c r="S3719" s="2">
        <f>TEXT(DATEVALUE(B3719),"yyyy-mm")</f>
        <v/>
      </c>
    </row>
    <row r="3720">
      <c r="A3720" s="2" t="inlineStr">
        <is>
          <t>O001511</t>
        </is>
      </c>
      <c r="B3720" s="2" t="inlineStr">
        <is>
          <t>2025-09-29</t>
        </is>
      </c>
      <c r="C3720" s="2" t="inlineStr">
        <is>
          <t>C0465</t>
        </is>
      </c>
      <c r="D3720" s="2" t="inlineStr">
        <is>
          <t>P0007</t>
        </is>
      </c>
      <c r="E3720" s="2" t="inlineStr">
        <is>
          <t>Wireless Mouse</t>
        </is>
      </c>
      <c r="F3720" s="2" t="inlineStr">
        <is>
          <t>Electronics</t>
        </is>
      </c>
      <c r="G3720" s="2" t="inlineStr">
        <is>
          <t>West</t>
        </is>
      </c>
      <c r="H3720" s="2" t="inlineStr">
        <is>
          <t>Maharashtra</t>
        </is>
      </c>
      <c r="I3720" s="2" t="inlineStr">
        <is>
          <t>Thane</t>
        </is>
      </c>
      <c r="J3720" s="2" t="inlineStr">
        <is>
          <t>Online</t>
        </is>
      </c>
      <c r="K3720" s="2" t="n">
        <v>1</v>
      </c>
      <c r="L3720" s="3" t="n">
        <v>965.6</v>
      </c>
      <c r="M3720" s="4" t="n">
        <v>0.1</v>
      </c>
      <c r="N3720" s="3" t="n">
        <v>607.41</v>
      </c>
      <c r="O3720" s="3">
        <f>K3720*L3720*(1-M3720)</f>
        <v/>
      </c>
      <c r="P3720" s="3">
        <f>O3720-N3720</f>
        <v/>
      </c>
      <c r="Q3720" s="5">
        <f>IFERROR(P3720/O3720,0)</f>
        <v/>
      </c>
      <c r="R3720" s="2">
        <f>TEXT(DATEVALUE(B3720),"mmm")</f>
        <v/>
      </c>
      <c r="S3720" s="2">
        <f>TEXT(DATEVALUE(B3720),"yyyy-mm")</f>
        <v/>
      </c>
    </row>
    <row r="3721">
      <c r="A3721" s="2" t="inlineStr">
        <is>
          <t>O000685</t>
        </is>
      </c>
      <c r="B3721" s="2" t="inlineStr">
        <is>
          <t>2025-09-29</t>
        </is>
      </c>
      <c r="C3721" s="2" t="inlineStr">
        <is>
          <t>C0692</t>
        </is>
      </c>
      <c r="D3721" s="2" t="inlineStr">
        <is>
          <t>P0010</t>
        </is>
      </c>
      <c r="E3721" s="2" t="inlineStr">
        <is>
          <t>Mixer Grinder</t>
        </is>
      </c>
      <c r="F3721" s="2" t="inlineStr">
        <is>
          <t>Home &amp; Kitchen</t>
        </is>
      </c>
      <c r="G3721" s="2" t="inlineStr">
        <is>
          <t>South</t>
        </is>
      </c>
      <c r="H3721" s="2" t="inlineStr">
        <is>
          <t>Telangana</t>
        </is>
      </c>
      <c r="I3721" s="2" t="inlineStr">
        <is>
          <t>Hyderabad</t>
        </is>
      </c>
      <c r="J3721" s="2" t="inlineStr">
        <is>
          <t>Online</t>
        </is>
      </c>
      <c r="K3721" s="2" t="n">
        <v>1</v>
      </c>
      <c r="L3721" s="3" t="n">
        <v>1627.49</v>
      </c>
      <c r="M3721" s="4" t="n">
        <v>0.15</v>
      </c>
      <c r="N3721" s="3" t="n">
        <v>1078.9</v>
      </c>
      <c r="O3721" s="3">
        <f>K3721*L3721*(1-M3721)</f>
        <v/>
      </c>
      <c r="P3721" s="3">
        <f>O3721-N3721</f>
        <v/>
      </c>
      <c r="Q3721" s="5">
        <f>IFERROR(P3721/O3721,0)</f>
        <v/>
      </c>
      <c r="R3721" s="2">
        <f>TEXT(DATEVALUE(B3721),"mmm")</f>
        <v/>
      </c>
      <c r="S3721" s="2">
        <f>TEXT(DATEVALUE(B3721),"yyyy-mm")</f>
        <v/>
      </c>
    </row>
    <row r="3722">
      <c r="A3722" s="2" t="inlineStr">
        <is>
          <t>O000456</t>
        </is>
      </c>
      <c r="B3722" s="2" t="inlineStr">
        <is>
          <t>2025-09-29</t>
        </is>
      </c>
      <c r="C3722" s="2" t="inlineStr">
        <is>
          <t>C0100</t>
        </is>
      </c>
      <c r="D3722" s="2" t="inlineStr">
        <is>
          <t>P0014</t>
        </is>
      </c>
      <c r="E3722" s="2" t="inlineStr">
        <is>
          <t>Coffee Maker</t>
        </is>
      </c>
      <c r="F3722" s="2" t="inlineStr">
        <is>
          <t>Home &amp; Kitchen</t>
        </is>
      </c>
      <c r="G3722" s="2" t="inlineStr">
        <is>
          <t>South</t>
        </is>
      </c>
      <c r="H3722" s="2" t="inlineStr">
        <is>
          <t>Kerala</t>
        </is>
      </c>
      <c r="I3722" s="2" t="inlineStr">
        <is>
          <t>Thiruvananthapuram</t>
        </is>
      </c>
      <c r="J3722" s="2" t="inlineStr">
        <is>
          <t>Online</t>
        </is>
      </c>
      <c r="K3722" s="2" t="n">
        <v>1</v>
      </c>
      <c r="L3722" s="3" t="n">
        <v>1062.67</v>
      </c>
      <c r="M3722" s="4" t="n">
        <v>0</v>
      </c>
      <c r="N3722" s="3" t="n">
        <v>784.72</v>
      </c>
      <c r="O3722" s="3">
        <f>K3722*L3722*(1-M3722)</f>
        <v/>
      </c>
      <c r="P3722" s="3">
        <f>O3722-N3722</f>
        <v/>
      </c>
      <c r="Q3722" s="5">
        <f>IFERROR(P3722/O3722,0)</f>
        <v/>
      </c>
      <c r="R3722" s="2">
        <f>TEXT(DATEVALUE(B3722),"mmm")</f>
        <v/>
      </c>
      <c r="S3722" s="2">
        <f>TEXT(DATEVALUE(B3722),"yyyy-mm")</f>
        <v/>
      </c>
    </row>
    <row r="3723">
      <c r="A3723" s="2" t="inlineStr">
        <is>
          <t>O004401</t>
        </is>
      </c>
      <c r="B3723" s="2" t="inlineStr">
        <is>
          <t>2025-09-30</t>
        </is>
      </c>
      <c r="C3723" s="2" t="inlineStr">
        <is>
          <t>C0430</t>
        </is>
      </c>
      <c r="D3723" s="2" t="inlineStr">
        <is>
          <t>P0022</t>
        </is>
      </c>
      <c r="E3723" s="2" t="inlineStr">
        <is>
          <t>Face Wash</t>
        </is>
      </c>
      <c r="F3723" s="2" t="inlineStr">
        <is>
          <t>Beauty</t>
        </is>
      </c>
      <c r="G3723" s="2" t="inlineStr">
        <is>
          <t>West</t>
        </is>
      </c>
      <c r="H3723" s="2" t="inlineStr">
        <is>
          <t>Gujarat</t>
        </is>
      </c>
      <c r="I3723" s="2" t="inlineStr">
        <is>
          <t>Surat</t>
        </is>
      </c>
      <c r="J3723" s="2" t="inlineStr">
        <is>
          <t>Store</t>
        </is>
      </c>
      <c r="K3723" s="2" t="n">
        <v>4</v>
      </c>
      <c r="L3723" s="3" t="n">
        <v>535.97</v>
      </c>
      <c r="M3723" s="4" t="n">
        <v>0.05</v>
      </c>
      <c r="N3723" s="3" t="n">
        <v>1442.27</v>
      </c>
      <c r="O3723" s="3">
        <f>K3723*L3723*(1-M3723)</f>
        <v/>
      </c>
      <c r="P3723" s="3">
        <f>O3723-N3723</f>
        <v/>
      </c>
      <c r="Q3723" s="5">
        <f>IFERROR(P3723/O3723,0)</f>
        <v/>
      </c>
      <c r="R3723" s="2">
        <f>TEXT(DATEVALUE(B3723),"mmm")</f>
        <v/>
      </c>
      <c r="S3723" s="2">
        <f>TEXT(DATEVALUE(B3723),"yyyy-mm")</f>
        <v/>
      </c>
    </row>
    <row r="3724">
      <c r="A3724" s="2" t="inlineStr">
        <is>
          <t>O004171</t>
        </is>
      </c>
      <c r="B3724" s="2" t="inlineStr">
        <is>
          <t>2025-09-30</t>
        </is>
      </c>
      <c r="C3724" s="2" t="inlineStr">
        <is>
          <t>C0782</t>
        </is>
      </c>
      <c r="D3724" s="2" t="inlineStr">
        <is>
          <t>P0008</t>
        </is>
      </c>
      <c r="E3724" s="2" t="inlineStr">
        <is>
          <t>Air Fryer</t>
        </is>
      </c>
      <c r="F3724" s="2" t="inlineStr">
        <is>
          <t>Home &amp; Kitchen</t>
        </is>
      </c>
      <c r="G3724" s="2" t="inlineStr">
        <is>
          <t>South</t>
        </is>
      </c>
      <c r="H3724" s="2" t="inlineStr">
        <is>
          <t>Telangana</t>
        </is>
      </c>
      <c r="I3724" s="2" t="inlineStr">
        <is>
          <t>Warangal</t>
        </is>
      </c>
      <c r="J3724" s="2" t="inlineStr">
        <is>
          <t>Store</t>
        </is>
      </c>
      <c r="K3724" s="2" t="n">
        <v>2</v>
      </c>
      <c r="L3724" s="3" t="n">
        <v>1033.72</v>
      </c>
      <c r="M3724" s="4" t="n">
        <v>0.1</v>
      </c>
      <c r="N3724" s="3" t="n">
        <v>1361.83</v>
      </c>
      <c r="O3724" s="3">
        <f>K3724*L3724*(1-M3724)</f>
        <v/>
      </c>
      <c r="P3724" s="3">
        <f>O3724-N3724</f>
        <v/>
      </c>
      <c r="Q3724" s="5">
        <f>IFERROR(P3724/O3724,0)</f>
        <v/>
      </c>
      <c r="R3724" s="2">
        <f>TEXT(DATEVALUE(B3724),"mmm")</f>
        <v/>
      </c>
      <c r="S3724" s="2">
        <f>TEXT(DATEVALUE(B3724),"yyyy-mm")</f>
        <v/>
      </c>
    </row>
    <row r="3725">
      <c r="A3725" s="2" t="inlineStr">
        <is>
          <t>O003972</t>
        </is>
      </c>
      <c r="B3725" s="2" t="inlineStr">
        <is>
          <t>2025-09-30</t>
        </is>
      </c>
      <c r="C3725" s="2" t="inlineStr">
        <is>
          <t>C0232</t>
        </is>
      </c>
      <c r="D3725" s="2" t="inlineStr">
        <is>
          <t>P0023</t>
        </is>
      </c>
      <c r="E3725" s="2" t="inlineStr">
        <is>
          <t>Skin Care Kit</t>
        </is>
      </c>
      <c r="F3725" s="2" t="inlineStr">
        <is>
          <t>Beauty</t>
        </is>
      </c>
      <c r="G3725" s="2" t="inlineStr">
        <is>
          <t>West</t>
        </is>
      </c>
      <c r="H3725" s="2" t="inlineStr">
        <is>
          <t>Goa</t>
        </is>
      </c>
      <c r="I3725" s="2" t="inlineStr">
        <is>
          <t>Panaji</t>
        </is>
      </c>
      <c r="J3725" s="2" t="inlineStr">
        <is>
          <t>Online</t>
        </is>
      </c>
      <c r="K3725" s="2" t="n">
        <v>1</v>
      </c>
      <c r="L3725" s="3" t="n">
        <v>1465.23</v>
      </c>
      <c r="M3725" s="4" t="n">
        <v>0.1</v>
      </c>
      <c r="N3725" s="3" t="n">
        <v>916.41</v>
      </c>
      <c r="O3725" s="3">
        <f>K3725*L3725*(1-M3725)</f>
        <v/>
      </c>
      <c r="P3725" s="3">
        <f>O3725-N3725</f>
        <v/>
      </c>
      <c r="Q3725" s="5">
        <f>IFERROR(P3725/O3725,0)</f>
        <v/>
      </c>
      <c r="R3725" s="2">
        <f>TEXT(DATEVALUE(B3725),"mmm")</f>
        <v/>
      </c>
      <c r="S3725" s="2">
        <f>TEXT(DATEVALUE(B3725),"yyyy-mm")</f>
        <v/>
      </c>
    </row>
    <row r="3726">
      <c r="A3726" s="2" t="inlineStr">
        <is>
          <t>O003727</t>
        </is>
      </c>
      <c r="B3726" s="2" t="inlineStr">
        <is>
          <t>2025-09-30</t>
        </is>
      </c>
      <c r="C3726" s="2" t="inlineStr">
        <is>
          <t>C0719</t>
        </is>
      </c>
      <c r="D3726" s="2" t="inlineStr">
        <is>
          <t>P0004</t>
        </is>
      </c>
      <c r="E3726" s="2" t="inlineStr">
        <is>
          <t>USB-C Hub</t>
        </is>
      </c>
      <c r="F3726" s="2" t="inlineStr">
        <is>
          <t>Electronics</t>
        </is>
      </c>
      <c r="G3726" s="2" t="inlineStr">
        <is>
          <t>North</t>
        </is>
      </c>
      <c r="H3726" s="2" t="inlineStr">
        <is>
          <t>Uttar Pradesh</t>
        </is>
      </c>
      <c r="I3726" s="2" t="inlineStr">
        <is>
          <t>Lucknow</t>
        </is>
      </c>
      <c r="J3726" s="2" t="inlineStr">
        <is>
          <t>Online</t>
        </is>
      </c>
      <c r="K3726" s="2" t="n">
        <v>2</v>
      </c>
      <c r="L3726" s="3" t="n">
        <v>1302.67</v>
      </c>
      <c r="M3726" s="4" t="n">
        <v>0.2</v>
      </c>
      <c r="N3726" s="3" t="n">
        <v>1825.15</v>
      </c>
      <c r="O3726" s="3">
        <f>K3726*L3726*(1-M3726)</f>
        <v/>
      </c>
      <c r="P3726" s="3">
        <f>O3726-N3726</f>
        <v/>
      </c>
      <c r="Q3726" s="5">
        <f>IFERROR(P3726/O3726,0)</f>
        <v/>
      </c>
      <c r="R3726" s="2">
        <f>TEXT(DATEVALUE(B3726),"mmm")</f>
        <v/>
      </c>
      <c r="S3726" s="2">
        <f>TEXT(DATEVALUE(B3726),"yyyy-mm")</f>
        <v/>
      </c>
    </row>
    <row r="3727">
      <c r="A3727" s="2" t="inlineStr">
        <is>
          <t>O003464</t>
        </is>
      </c>
      <c r="B3727" s="2" t="inlineStr">
        <is>
          <t>2025-09-30</t>
        </is>
      </c>
      <c r="C3727" s="2" t="inlineStr">
        <is>
          <t>C0273</t>
        </is>
      </c>
      <c r="D3727" s="2" t="inlineStr">
        <is>
          <t>P0013</t>
        </is>
      </c>
      <c r="E3727" s="2" t="inlineStr">
        <is>
          <t>Storage Organizer</t>
        </is>
      </c>
      <c r="F3727" s="2" t="inlineStr">
        <is>
          <t>Home &amp; Kitchen</t>
        </is>
      </c>
      <c r="G3727" s="2" t="inlineStr">
        <is>
          <t>West</t>
        </is>
      </c>
      <c r="H3727" s="2" t="inlineStr">
        <is>
          <t>Goa</t>
        </is>
      </c>
      <c r="I3727" s="2" t="inlineStr">
        <is>
          <t>Margao</t>
        </is>
      </c>
      <c r="J3727" s="2" t="inlineStr">
        <is>
          <t>Online</t>
        </is>
      </c>
      <c r="K3727" s="2" t="n">
        <v>4</v>
      </c>
      <c r="L3727" s="3" t="n">
        <v>552.97</v>
      </c>
      <c r="M3727" s="4" t="n">
        <v>0</v>
      </c>
      <c r="N3727" s="3" t="n">
        <v>1411.53</v>
      </c>
      <c r="O3727" s="3">
        <f>K3727*L3727*(1-M3727)</f>
        <v/>
      </c>
      <c r="P3727" s="3">
        <f>O3727-N3727</f>
        <v/>
      </c>
      <c r="Q3727" s="5">
        <f>IFERROR(P3727/O3727,0)</f>
        <v/>
      </c>
      <c r="R3727" s="2">
        <f>TEXT(DATEVALUE(B3727),"mmm")</f>
        <v/>
      </c>
      <c r="S3727" s="2">
        <f>TEXT(DATEVALUE(B3727),"yyyy-mm")</f>
        <v/>
      </c>
    </row>
    <row r="3728">
      <c r="A3728" s="2" t="inlineStr">
        <is>
          <t>O003055</t>
        </is>
      </c>
      <c r="B3728" s="2" t="inlineStr">
        <is>
          <t>2025-09-30</t>
        </is>
      </c>
      <c r="C3728" s="2" t="inlineStr">
        <is>
          <t>C0546</t>
        </is>
      </c>
      <c r="D3728" s="2" t="inlineStr">
        <is>
          <t>P0018</t>
        </is>
      </c>
      <c r="E3728" s="2" t="inlineStr">
        <is>
          <t>Backpack</t>
        </is>
      </c>
      <c r="F3728" s="2" t="inlineStr">
        <is>
          <t>Fashion</t>
        </is>
      </c>
      <c r="G3728" s="2" t="inlineStr">
        <is>
          <t>West</t>
        </is>
      </c>
      <c r="H3728" s="2" t="inlineStr">
        <is>
          <t>Gujarat</t>
        </is>
      </c>
      <c r="I3728" s="2" t="inlineStr">
        <is>
          <t>Surat</t>
        </is>
      </c>
      <c r="J3728" s="2" t="inlineStr">
        <is>
          <t>Store</t>
        </is>
      </c>
      <c r="K3728" s="2" t="n">
        <v>3</v>
      </c>
      <c r="L3728" s="3" t="n">
        <v>1878.61</v>
      </c>
      <c r="M3728" s="4" t="n">
        <v>0.15</v>
      </c>
      <c r="N3728" s="3" t="n">
        <v>4067.1</v>
      </c>
      <c r="O3728" s="3">
        <f>K3728*L3728*(1-M3728)</f>
        <v/>
      </c>
      <c r="P3728" s="3">
        <f>O3728-N3728</f>
        <v/>
      </c>
      <c r="Q3728" s="5">
        <f>IFERROR(P3728/O3728,0)</f>
        <v/>
      </c>
      <c r="R3728" s="2">
        <f>TEXT(DATEVALUE(B3728),"mmm")</f>
        <v/>
      </c>
      <c r="S3728" s="2">
        <f>TEXT(DATEVALUE(B3728),"yyyy-mm")</f>
        <v/>
      </c>
    </row>
    <row r="3729">
      <c r="A3729" s="2" t="inlineStr">
        <is>
          <t>O002726</t>
        </is>
      </c>
      <c r="B3729" s="2" t="inlineStr">
        <is>
          <t>2025-09-30</t>
        </is>
      </c>
      <c r="C3729" s="2" t="inlineStr">
        <is>
          <t>C0555</t>
        </is>
      </c>
      <c r="D3729" s="2" t="inlineStr">
        <is>
          <t>P0011</t>
        </is>
      </c>
      <c r="E3729" s="2" t="inlineStr">
        <is>
          <t>Cookware Set</t>
        </is>
      </c>
      <c r="F3729" s="2" t="inlineStr">
        <is>
          <t>Home &amp; Kitchen</t>
        </is>
      </c>
      <c r="G3729" s="2" t="inlineStr">
        <is>
          <t>West</t>
        </is>
      </c>
      <c r="H3729" s="2" t="inlineStr">
        <is>
          <t>Gujarat</t>
        </is>
      </c>
      <c r="I3729" s="2" t="inlineStr">
        <is>
          <t>Vadodara</t>
        </is>
      </c>
      <c r="J3729" s="2" t="inlineStr">
        <is>
          <t>Store</t>
        </is>
      </c>
      <c r="K3729" s="2" t="n">
        <v>1</v>
      </c>
      <c r="L3729" s="3" t="n">
        <v>709.3099999999999</v>
      </c>
      <c r="M3729" s="4" t="n">
        <v>0.2</v>
      </c>
      <c r="N3729" s="3" t="n">
        <v>470.17</v>
      </c>
      <c r="O3729" s="3">
        <f>K3729*L3729*(1-M3729)</f>
        <v/>
      </c>
      <c r="P3729" s="3">
        <f>O3729-N3729</f>
        <v/>
      </c>
      <c r="Q3729" s="5">
        <f>IFERROR(P3729/O3729,0)</f>
        <v/>
      </c>
      <c r="R3729" s="2">
        <f>TEXT(DATEVALUE(B3729),"mmm")</f>
        <v/>
      </c>
      <c r="S3729" s="2">
        <f>TEXT(DATEVALUE(B3729),"yyyy-mm")</f>
        <v/>
      </c>
    </row>
    <row r="3730">
      <c r="A3730" s="2" t="inlineStr">
        <is>
          <t>O002604</t>
        </is>
      </c>
      <c r="B3730" s="2" t="inlineStr">
        <is>
          <t>2025-09-30</t>
        </is>
      </c>
      <c r="C3730" s="2" t="inlineStr">
        <is>
          <t>C0649</t>
        </is>
      </c>
      <c r="D3730" s="2" t="inlineStr">
        <is>
          <t>P0004</t>
        </is>
      </c>
      <c r="E3730" s="2" t="inlineStr">
        <is>
          <t>USB-C Hub</t>
        </is>
      </c>
      <c r="F3730" s="2" t="inlineStr">
        <is>
          <t>Electronics</t>
        </is>
      </c>
      <c r="G3730" s="2" t="inlineStr">
        <is>
          <t>East</t>
        </is>
      </c>
      <c r="H3730" s="2" t="inlineStr">
        <is>
          <t>West Bengal</t>
        </is>
      </c>
      <c r="I3730" s="2" t="inlineStr">
        <is>
          <t>Kolkata</t>
        </is>
      </c>
      <c r="J3730" s="2" t="inlineStr">
        <is>
          <t>Store</t>
        </is>
      </c>
      <c r="K3730" s="2" t="n">
        <v>2</v>
      </c>
      <c r="L3730" s="3" t="n">
        <v>1259.25</v>
      </c>
      <c r="M3730" s="4" t="n">
        <v>0.1</v>
      </c>
      <c r="N3730" s="3" t="n">
        <v>1787.02</v>
      </c>
      <c r="O3730" s="3">
        <f>K3730*L3730*(1-M3730)</f>
        <v/>
      </c>
      <c r="P3730" s="3">
        <f>O3730-N3730</f>
        <v/>
      </c>
      <c r="Q3730" s="5">
        <f>IFERROR(P3730/O3730,0)</f>
        <v/>
      </c>
      <c r="R3730" s="2">
        <f>TEXT(DATEVALUE(B3730),"mmm")</f>
        <v/>
      </c>
      <c r="S3730" s="2">
        <f>TEXT(DATEVALUE(B3730),"yyyy-mm")</f>
        <v/>
      </c>
    </row>
    <row r="3731">
      <c r="A3731" s="2" t="inlineStr">
        <is>
          <t>O000368</t>
        </is>
      </c>
      <c r="B3731" s="2" t="inlineStr">
        <is>
          <t>2025-09-30</t>
        </is>
      </c>
      <c r="C3731" s="2" t="inlineStr">
        <is>
          <t>C0389</t>
        </is>
      </c>
      <c r="D3731" s="2" t="inlineStr">
        <is>
          <t>P0007</t>
        </is>
      </c>
      <c r="E3731" s="2" t="inlineStr">
        <is>
          <t>Wireless Mouse</t>
        </is>
      </c>
      <c r="F3731" s="2" t="inlineStr">
        <is>
          <t>Electronics</t>
        </is>
      </c>
      <c r="G3731" s="2" t="inlineStr">
        <is>
          <t>West</t>
        </is>
      </c>
      <c r="H3731" s="2" t="inlineStr">
        <is>
          <t>Maharashtra</t>
        </is>
      </c>
      <c r="I3731" s="2" t="inlineStr">
        <is>
          <t>Thane</t>
        </is>
      </c>
      <c r="J3731" s="2" t="inlineStr">
        <is>
          <t>Store</t>
        </is>
      </c>
      <c r="K3731" s="2" t="n">
        <v>1</v>
      </c>
      <c r="L3731" s="3" t="n">
        <v>946.21</v>
      </c>
      <c r="M3731" s="4" t="n">
        <v>0.05</v>
      </c>
      <c r="N3731" s="3" t="n">
        <v>629.12</v>
      </c>
      <c r="O3731" s="3">
        <f>K3731*L3731*(1-M3731)</f>
        <v/>
      </c>
      <c r="P3731" s="3">
        <f>O3731-N3731</f>
        <v/>
      </c>
      <c r="Q3731" s="5">
        <f>IFERROR(P3731/O3731,0)</f>
        <v/>
      </c>
      <c r="R3731" s="2">
        <f>TEXT(DATEVALUE(B3731),"mmm")</f>
        <v/>
      </c>
      <c r="S3731" s="2">
        <f>TEXT(DATEVALUE(B3731),"yyyy-mm")</f>
        <v/>
      </c>
    </row>
    <row r="3732">
      <c r="A3732" s="2" t="inlineStr">
        <is>
          <t>O001780</t>
        </is>
      </c>
      <c r="B3732" s="2" t="inlineStr">
        <is>
          <t>2025-09-30</t>
        </is>
      </c>
      <c r="C3732" s="2" t="inlineStr">
        <is>
          <t>C0557</t>
        </is>
      </c>
      <c r="D3732" s="2" t="inlineStr">
        <is>
          <t>P0018</t>
        </is>
      </c>
      <c r="E3732" s="2" t="inlineStr">
        <is>
          <t>Backpack</t>
        </is>
      </c>
      <c r="F3732" s="2" t="inlineStr">
        <is>
          <t>Fashion</t>
        </is>
      </c>
      <c r="G3732" s="2" t="inlineStr">
        <is>
          <t>South</t>
        </is>
      </c>
      <c r="H3732" s="2" t="inlineStr">
        <is>
          <t>Telangana</t>
        </is>
      </c>
      <c r="I3732" s="2" t="inlineStr">
        <is>
          <t>Hyderabad</t>
        </is>
      </c>
      <c r="J3732" s="2" t="inlineStr">
        <is>
          <t>Online</t>
        </is>
      </c>
      <c r="K3732" s="2" t="n">
        <v>3</v>
      </c>
      <c r="L3732" s="3" t="n">
        <v>1825.12</v>
      </c>
      <c r="M3732" s="4" t="n">
        <v>0.1</v>
      </c>
      <c r="N3732" s="3" t="n">
        <v>4135.21</v>
      </c>
      <c r="O3732" s="3">
        <f>K3732*L3732*(1-M3732)</f>
        <v/>
      </c>
      <c r="P3732" s="3">
        <f>O3732-N3732</f>
        <v/>
      </c>
      <c r="Q3732" s="5">
        <f>IFERROR(P3732/O3732,0)</f>
        <v/>
      </c>
      <c r="R3732" s="2">
        <f>TEXT(DATEVALUE(B3732),"mmm")</f>
        <v/>
      </c>
      <c r="S3732" s="2">
        <f>TEXT(DATEVALUE(B3732),"yyyy-mm")</f>
        <v/>
      </c>
    </row>
    <row r="3733">
      <c r="A3733" s="2" t="inlineStr">
        <is>
          <t>O001472</t>
        </is>
      </c>
      <c r="B3733" s="2" t="inlineStr">
        <is>
          <t>2025-09-30</t>
        </is>
      </c>
      <c r="C3733" s="2" t="inlineStr">
        <is>
          <t>C0464</t>
        </is>
      </c>
      <c r="D3733" s="2" t="inlineStr">
        <is>
          <t>P0016</t>
        </is>
      </c>
      <c r="E3733" s="2" t="inlineStr">
        <is>
          <t>Casual Shirt</t>
        </is>
      </c>
      <c r="F3733" s="2" t="inlineStr">
        <is>
          <t>Fashion</t>
        </is>
      </c>
      <c r="G3733" s="2" t="inlineStr">
        <is>
          <t>South</t>
        </is>
      </c>
      <c r="H3733" s="2" t="inlineStr">
        <is>
          <t>Kerala</t>
        </is>
      </c>
      <c r="I3733" s="2" t="inlineStr">
        <is>
          <t>Kochi</t>
        </is>
      </c>
      <c r="J3733" s="2" t="inlineStr">
        <is>
          <t>Online</t>
        </is>
      </c>
      <c r="K3733" s="2" t="n">
        <v>5</v>
      </c>
      <c r="L3733" s="3" t="n">
        <v>1251.13</v>
      </c>
      <c r="M3733" s="4" t="n">
        <v>0.05</v>
      </c>
      <c r="N3733" s="3" t="n">
        <v>4584.78</v>
      </c>
      <c r="O3733" s="3">
        <f>K3733*L3733*(1-M3733)</f>
        <v/>
      </c>
      <c r="P3733" s="3">
        <f>O3733-N3733</f>
        <v/>
      </c>
      <c r="Q3733" s="5">
        <f>IFERROR(P3733/O3733,0)</f>
        <v/>
      </c>
      <c r="R3733" s="2">
        <f>TEXT(DATEVALUE(B3733),"mmm")</f>
        <v/>
      </c>
      <c r="S3733" s="2">
        <f>TEXT(DATEVALUE(B3733),"yyyy-mm")</f>
        <v/>
      </c>
    </row>
    <row r="3734">
      <c r="A3734" s="2" t="inlineStr">
        <is>
          <t>O001016</t>
        </is>
      </c>
      <c r="B3734" s="2" t="inlineStr">
        <is>
          <t>2025-09-30</t>
        </is>
      </c>
      <c r="C3734" s="2" t="inlineStr">
        <is>
          <t>C0440</t>
        </is>
      </c>
      <c r="D3734" s="2" t="inlineStr">
        <is>
          <t>P0019</t>
        </is>
      </c>
      <c r="E3734" s="2" t="inlineStr">
        <is>
          <t>Jacket</t>
        </is>
      </c>
      <c r="F3734" s="2" t="inlineStr">
        <is>
          <t>Fashion</t>
        </is>
      </c>
      <c r="G3734" s="2" t="inlineStr">
        <is>
          <t>West</t>
        </is>
      </c>
      <c r="H3734" s="2" t="inlineStr">
        <is>
          <t>Goa</t>
        </is>
      </c>
      <c r="I3734" s="2" t="inlineStr">
        <is>
          <t>Margao</t>
        </is>
      </c>
      <c r="J3734" s="2" t="inlineStr">
        <is>
          <t>Online</t>
        </is>
      </c>
      <c r="K3734" s="2" t="n">
        <v>1</v>
      </c>
      <c r="L3734" s="3" t="n">
        <v>990.37</v>
      </c>
      <c r="M3734" s="4" t="n">
        <v>0</v>
      </c>
      <c r="N3734" s="3" t="n">
        <v>665.92</v>
      </c>
      <c r="O3734" s="3">
        <f>K3734*L3734*(1-M3734)</f>
        <v/>
      </c>
      <c r="P3734" s="3">
        <f>O3734-N3734</f>
        <v/>
      </c>
      <c r="Q3734" s="5">
        <f>IFERROR(P3734/O3734,0)</f>
        <v/>
      </c>
      <c r="R3734" s="2">
        <f>TEXT(DATEVALUE(B3734),"mmm")</f>
        <v/>
      </c>
      <c r="S3734" s="2">
        <f>TEXT(DATEVALUE(B3734),"yyyy-mm")</f>
        <v/>
      </c>
    </row>
    <row r="3735">
      <c r="A3735" s="2" t="inlineStr">
        <is>
          <t>O000910</t>
        </is>
      </c>
      <c r="B3735" s="2" t="inlineStr">
        <is>
          <t>2025-09-30</t>
        </is>
      </c>
      <c r="C3735" s="2" t="inlineStr">
        <is>
          <t>C0024</t>
        </is>
      </c>
      <c r="D3735" s="2" t="inlineStr">
        <is>
          <t>P0017</t>
        </is>
      </c>
      <c r="E3735" s="2" t="inlineStr">
        <is>
          <t>Jeans</t>
        </is>
      </c>
      <c r="F3735" s="2" t="inlineStr">
        <is>
          <t>Fashion</t>
        </is>
      </c>
      <c r="G3735" s="2" t="inlineStr">
        <is>
          <t>South</t>
        </is>
      </c>
      <c r="H3735" s="2" t="inlineStr">
        <is>
          <t>Tamil Nadu</t>
        </is>
      </c>
      <c r="I3735" s="2" t="inlineStr">
        <is>
          <t>Madurai</t>
        </is>
      </c>
      <c r="J3735" s="2" t="inlineStr">
        <is>
          <t>Store</t>
        </is>
      </c>
      <c r="K3735" s="2" t="n">
        <v>2</v>
      </c>
      <c r="L3735" s="3" t="n">
        <v>1472.38</v>
      </c>
      <c r="M3735" s="4" t="n">
        <v>0.05</v>
      </c>
      <c r="N3735" s="3" t="n">
        <v>2084.9</v>
      </c>
      <c r="O3735" s="3">
        <f>K3735*L3735*(1-M3735)</f>
        <v/>
      </c>
      <c r="P3735" s="3">
        <f>O3735-N3735</f>
        <v/>
      </c>
      <c r="Q3735" s="5">
        <f>IFERROR(P3735/O3735,0)</f>
        <v/>
      </c>
      <c r="R3735" s="2">
        <f>TEXT(DATEVALUE(B3735),"mmm")</f>
        <v/>
      </c>
      <c r="S3735" s="2">
        <f>TEXT(DATEVALUE(B3735),"yyyy-mm")</f>
        <v/>
      </c>
    </row>
    <row r="3736">
      <c r="A3736" s="2" t="inlineStr">
        <is>
          <t>O000812</t>
        </is>
      </c>
      <c r="B3736" s="2" t="inlineStr">
        <is>
          <t>2025-09-30</t>
        </is>
      </c>
      <c r="C3736" s="2" t="inlineStr">
        <is>
          <t>C0178</t>
        </is>
      </c>
      <c r="D3736" s="2" t="inlineStr">
        <is>
          <t>P0006</t>
        </is>
      </c>
      <c r="E3736" s="2" t="inlineStr">
        <is>
          <t>Mechanical Keyboard</t>
        </is>
      </c>
      <c r="F3736" s="2" t="inlineStr">
        <is>
          <t>Electronics</t>
        </is>
      </c>
      <c r="G3736" s="2" t="inlineStr">
        <is>
          <t>East</t>
        </is>
      </c>
      <c r="H3736" s="2" t="inlineStr">
        <is>
          <t>West Bengal</t>
        </is>
      </c>
      <c r="I3736" s="2" t="inlineStr">
        <is>
          <t>Durgapur</t>
        </is>
      </c>
      <c r="J3736" s="2" t="inlineStr">
        <is>
          <t>Store</t>
        </is>
      </c>
      <c r="K3736" s="2" t="n">
        <v>1</v>
      </c>
      <c r="L3736" s="3" t="n">
        <v>2763.06</v>
      </c>
      <c r="M3736" s="4" t="n">
        <v>0</v>
      </c>
      <c r="N3736" s="3" t="n">
        <v>1517.22</v>
      </c>
      <c r="O3736" s="3">
        <f>K3736*L3736*(1-M3736)</f>
        <v/>
      </c>
      <c r="P3736" s="3">
        <f>O3736-N3736</f>
        <v/>
      </c>
      <c r="Q3736" s="5">
        <f>IFERROR(P3736/O3736,0)</f>
        <v/>
      </c>
      <c r="R3736" s="2">
        <f>TEXT(DATEVALUE(B3736),"mmm")</f>
        <v/>
      </c>
      <c r="S3736" s="2">
        <f>TEXT(DATEVALUE(B3736),"yyyy-mm")</f>
        <v/>
      </c>
    </row>
    <row r="3737">
      <c r="A3737" s="2" t="inlineStr">
        <is>
          <t>O000561</t>
        </is>
      </c>
      <c r="B3737" s="2" t="inlineStr">
        <is>
          <t>2025-09-30</t>
        </is>
      </c>
      <c r="C3737" s="2" t="inlineStr">
        <is>
          <t>C0795</t>
        </is>
      </c>
      <c r="D3737" s="2" t="inlineStr">
        <is>
          <t>P0018</t>
        </is>
      </c>
      <c r="E3737" s="2" t="inlineStr">
        <is>
          <t>Backpack</t>
        </is>
      </c>
      <c r="F3737" s="2" t="inlineStr">
        <is>
          <t>Fashion</t>
        </is>
      </c>
      <c r="G3737" s="2" t="inlineStr">
        <is>
          <t>North</t>
        </is>
      </c>
      <c r="H3737" s="2" t="inlineStr">
        <is>
          <t>Uttar Pradesh</t>
        </is>
      </c>
      <c r="I3737" s="2" t="inlineStr">
        <is>
          <t>Varanasi</t>
        </is>
      </c>
      <c r="J3737" s="2" t="inlineStr">
        <is>
          <t>Store</t>
        </is>
      </c>
      <c r="K3737" s="2" t="n">
        <v>1</v>
      </c>
      <c r="L3737" s="3" t="n">
        <v>1848.31</v>
      </c>
      <c r="M3737" s="4" t="n">
        <v>0.1</v>
      </c>
      <c r="N3737" s="3" t="n">
        <v>1360.94</v>
      </c>
      <c r="O3737" s="3">
        <f>K3737*L3737*(1-M3737)</f>
        <v/>
      </c>
      <c r="P3737" s="3">
        <f>O3737-N3737</f>
        <v/>
      </c>
      <c r="Q3737" s="5">
        <f>IFERROR(P3737/O3737,0)</f>
        <v/>
      </c>
      <c r="R3737" s="2">
        <f>TEXT(DATEVALUE(B3737),"mmm")</f>
        <v/>
      </c>
      <c r="S3737" s="2">
        <f>TEXT(DATEVALUE(B3737),"yyyy-mm")</f>
        <v/>
      </c>
    </row>
    <row r="3738">
      <c r="A3738" s="2" t="inlineStr">
        <is>
          <t>O002454</t>
        </is>
      </c>
      <c r="B3738" s="2" t="inlineStr">
        <is>
          <t>2025-09-30</t>
        </is>
      </c>
      <c r="C3738" s="2" t="inlineStr">
        <is>
          <t>C0218</t>
        </is>
      </c>
      <c r="D3738" s="2" t="inlineStr">
        <is>
          <t>P0029</t>
        </is>
      </c>
      <c r="E3738" s="2" t="inlineStr">
        <is>
          <t>Yoga Mat</t>
        </is>
      </c>
      <c r="F3738" s="2" t="inlineStr">
        <is>
          <t>Sports</t>
        </is>
      </c>
      <c r="G3738" s="2" t="inlineStr">
        <is>
          <t>East</t>
        </is>
      </c>
      <c r="H3738" s="2" t="inlineStr">
        <is>
          <t>Bihar</t>
        </is>
      </c>
      <c r="I3738" s="2" t="inlineStr">
        <is>
          <t>Patna</t>
        </is>
      </c>
      <c r="J3738" s="2" t="inlineStr">
        <is>
          <t>Online</t>
        </is>
      </c>
      <c r="K3738" s="2" t="n">
        <v>1</v>
      </c>
      <c r="L3738" s="3" t="n">
        <v>2329.64</v>
      </c>
      <c r="M3738" s="4" t="n">
        <v>0.05</v>
      </c>
      <c r="N3738" s="3" t="n">
        <v>1280.91</v>
      </c>
      <c r="O3738" s="3">
        <f>K3738*L3738*(1-M3738)</f>
        <v/>
      </c>
      <c r="P3738" s="3">
        <f>O3738-N3738</f>
        <v/>
      </c>
      <c r="Q3738" s="5">
        <f>IFERROR(P3738/O3738,0)</f>
        <v/>
      </c>
      <c r="R3738" s="2">
        <f>TEXT(DATEVALUE(B3738),"mmm")</f>
        <v/>
      </c>
      <c r="S3738" s="2">
        <f>TEXT(DATEVALUE(B3738),"yyyy-mm")</f>
        <v/>
      </c>
    </row>
    <row r="3739">
      <c r="A3739" s="2" t="inlineStr">
        <is>
          <t>O004972</t>
        </is>
      </c>
      <c r="B3739" s="2" t="inlineStr">
        <is>
          <t>2025-09-30</t>
        </is>
      </c>
      <c r="C3739" s="2" t="inlineStr">
        <is>
          <t>C0408</t>
        </is>
      </c>
      <c r="D3739" s="2" t="inlineStr">
        <is>
          <t>P0004</t>
        </is>
      </c>
      <c r="E3739" s="2" t="inlineStr">
        <is>
          <t>USB-C Hub</t>
        </is>
      </c>
      <c r="F3739" s="2" t="inlineStr">
        <is>
          <t>Electronics</t>
        </is>
      </c>
      <c r="G3739" s="2" t="inlineStr">
        <is>
          <t>North</t>
        </is>
      </c>
      <c r="H3739" s="2" t="inlineStr">
        <is>
          <t>Punjab</t>
        </is>
      </c>
      <c r="I3739" s="2" t="inlineStr">
        <is>
          <t>Ludhiana</t>
        </is>
      </c>
      <c r="J3739" s="2" t="inlineStr">
        <is>
          <t>Store</t>
        </is>
      </c>
      <c r="K3739" s="2" t="n">
        <v>1</v>
      </c>
      <c r="L3739" s="3" t="n">
        <v>1317.99</v>
      </c>
      <c r="M3739" s="4" t="n">
        <v>0.1</v>
      </c>
      <c r="N3739" s="3" t="n">
        <v>938.4299999999999</v>
      </c>
      <c r="O3739" s="3">
        <f>K3739*L3739*(1-M3739)</f>
        <v/>
      </c>
      <c r="P3739" s="3">
        <f>O3739-N3739</f>
        <v/>
      </c>
      <c r="Q3739" s="5">
        <f>IFERROR(P3739/O3739,0)</f>
        <v/>
      </c>
      <c r="R3739" s="2">
        <f>TEXT(DATEVALUE(B3739),"mmm")</f>
        <v/>
      </c>
      <c r="S3739" s="2">
        <f>TEXT(DATEVALUE(B3739),"yyyy-mm")</f>
        <v/>
      </c>
    </row>
    <row r="3740">
      <c r="A3740" s="2" t="inlineStr">
        <is>
          <t>O003769</t>
        </is>
      </c>
      <c r="B3740" s="2" t="inlineStr">
        <is>
          <t>2025-10-01</t>
        </is>
      </c>
      <c r="C3740" s="2" t="inlineStr">
        <is>
          <t>C0179</t>
        </is>
      </c>
      <c r="D3740" s="2" t="inlineStr">
        <is>
          <t>P0016</t>
        </is>
      </c>
      <c r="E3740" s="2" t="inlineStr">
        <is>
          <t>Casual Shirt</t>
        </is>
      </c>
      <c r="F3740" s="2" t="inlineStr">
        <is>
          <t>Fashion</t>
        </is>
      </c>
      <c r="G3740" s="2" t="inlineStr">
        <is>
          <t>West</t>
        </is>
      </c>
      <c r="H3740" s="2" t="inlineStr">
        <is>
          <t>Goa</t>
        </is>
      </c>
      <c r="I3740" s="2" t="inlineStr">
        <is>
          <t>Panaji</t>
        </is>
      </c>
      <c r="J3740" s="2" t="inlineStr">
        <is>
          <t>Store</t>
        </is>
      </c>
      <c r="K3740" s="2" t="n">
        <v>3</v>
      </c>
      <c r="L3740" s="3" t="n">
        <v>1247.57</v>
      </c>
      <c r="M3740" s="4" t="n">
        <v>0.1</v>
      </c>
      <c r="N3740" s="3" t="n">
        <v>2649.1</v>
      </c>
      <c r="O3740" s="3">
        <f>K3740*L3740*(1-M3740)</f>
        <v/>
      </c>
      <c r="P3740" s="3">
        <f>O3740-N3740</f>
        <v/>
      </c>
      <c r="Q3740" s="5">
        <f>IFERROR(P3740/O3740,0)</f>
        <v/>
      </c>
      <c r="R3740" s="2">
        <f>TEXT(DATEVALUE(B3740),"mmm")</f>
        <v/>
      </c>
      <c r="S3740" s="2">
        <f>TEXT(DATEVALUE(B3740),"yyyy-mm")</f>
        <v/>
      </c>
    </row>
    <row r="3741">
      <c r="A3741" s="2" t="inlineStr">
        <is>
          <t>O004040</t>
        </is>
      </c>
      <c r="B3741" s="2" t="inlineStr">
        <is>
          <t>2025-10-01</t>
        </is>
      </c>
      <c r="C3741" s="2" t="inlineStr">
        <is>
          <t>C0744</t>
        </is>
      </c>
      <c r="D3741" s="2" t="inlineStr">
        <is>
          <t>P0024</t>
        </is>
      </c>
      <c r="E3741" s="2" t="inlineStr">
        <is>
          <t>Hair Dryer</t>
        </is>
      </c>
      <c r="F3741" s="2" t="inlineStr">
        <is>
          <t>Beauty</t>
        </is>
      </c>
      <c r="G3741" s="2" t="inlineStr">
        <is>
          <t>East</t>
        </is>
      </c>
      <c r="H3741" s="2" t="inlineStr">
        <is>
          <t>Bihar</t>
        </is>
      </c>
      <c r="I3741" s="2" t="inlineStr">
        <is>
          <t>Gaya</t>
        </is>
      </c>
      <c r="J3741" s="2" t="inlineStr">
        <is>
          <t>Online</t>
        </is>
      </c>
      <c r="K3741" s="2" t="n">
        <v>1</v>
      </c>
      <c r="L3741" s="3" t="n">
        <v>1016.75</v>
      </c>
      <c r="M3741" s="4" t="n">
        <v>0</v>
      </c>
      <c r="N3741" s="3" t="n">
        <v>713.09</v>
      </c>
      <c r="O3741" s="3">
        <f>K3741*L3741*(1-M3741)</f>
        <v/>
      </c>
      <c r="P3741" s="3">
        <f>O3741-N3741</f>
        <v/>
      </c>
      <c r="Q3741" s="5">
        <f>IFERROR(P3741/O3741,0)</f>
        <v/>
      </c>
      <c r="R3741" s="2">
        <f>TEXT(DATEVALUE(B3741),"mmm")</f>
        <v/>
      </c>
      <c r="S3741" s="2">
        <f>TEXT(DATEVALUE(B3741),"yyyy-mm")</f>
        <v/>
      </c>
    </row>
    <row r="3742">
      <c r="A3742" s="2" t="inlineStr">
        <is>
          <t>O003683</t>
        </is>
      </c>
      <c r="B3742" s="2" t="inlineStr">
        <is>
          <t>2025-10-01</t>
        </is>
      </c>
      <c r="C3742" s="2" t="inlineStr">
        <is>
          <t>C0312</t>
        </is>
      </c>
      <c r="D3742" s="2" t="inlineStr">
        <is>
          <t>P0007</t>
        </is>
      </c>
      <c r="E3742" s="2" t="inlineStr">
        <is>
          <t>Wireless Mouse</t>
        </is>
      </c>
      <c r="F3742" s="2" t="inlineStr">
        <is>
          <t>Electronics</t>
        </is>
      </c>
      <c r="G3742" s="2" t="inlineStr">
        <is>
          <t>East</t>
        </is>
      </c>
      <c r="H3742" s="2" t="inlineStr">
        <is>
          <t>West Bengal</t>
        </is>
      </c>
      <c r="I3742" s="2" t="inlineStr">
        <is>
          <t>Durgapur</t>
        </is>
      </c>
      <c r="J3742" s="2" t="inlineStr">
        <is>
          <t>Online</t>
        </is>
      </c>
      <c r="K3742" s="2" t="n">
        <v>1</v>
      </c>
      <c r="L3742" s="3" t="n">
        <v>977.5599999999999</v>
      </c>
      <c r="M3742" s="4" t="n">
        <v>0.2</v>
      </c>
      <c r="N3742" s="3" t="n">
        <v>619.22</v>
      </c>
      <c r="O3742" s="3">
        <f>K3742*L3742*(1-M3742)</f>
        <v/>
      </c>
      <c r="P3742" s="3">
        <f>O3742-N3742</f>
        <v/>
      </c>
      <c r="Q3742" s="5">
        <f>IFERROR(P3742/O3742,0)</f>
        <v/>
      </c>
      <c r="R3742" s="2">
        <f>TEXT(DATEVALUE(B3742),"mmm")</f>
        <v/>
      </c>
      <c r="S3742" s="2">
        <f>TEXT(DATEVALUE(B3742),"yyyy-mm")</f>
        <v/>
      </c>
    </row>
    <row r="3743">
      <c r="A3743" s="2" t="inlineStr">
        <is>
          <t>O003961</t>
        </is>
      </c>
      <c r="B3743" s="2" t="inlineStr">
        <is>
          <t>2025-10-01</t>
        </is>
      </c>
      <c r="C3743" s="2" t="inlineStr">
        <is>
          <t>C0694</t>
        </is>
      </c>
      <c r="D3743" s="2" t="inlineStr">
        <is>
          <t>P0007</t>
        </is>
      </c>
      <c r="E3743" s="2" t="inlineStr">
        <is>
          <t>Wireless Mouse</t>
        </is>
      </c>
      <c r="F3743" s="2" t="inlineStr">
        <is>
          <t>Electronics</t>
        </is>
      </c>
      <c r="G3743" s="2" t="inlineStr">
        <is>
          <t>South</t>
        </is>
      </c>
      <c r="H3743" s="2" t="inlineStr">
        <is>
          <t>Telangana</t>
        </is>
      </c>
      <c r="I3743" s="2" t="inlineStr">
        <is>
          <t>Warangal</t>
        </is>
      </c>
      <c r="J3743" s="2" t="inlineStr">
        <is>
          <t>Online</t>
        </is>
      </c>
      <c r="K3743" s="2" t="n">
        <v>1</v>
      </c>
      <c r="L3743" s="3" t="n">
        <v>961.71</v>
      </c>
      <c r="M3743" s="4" t="n">
        <v>0.1</v>
      </c>
      <c r="N3743" s="3" t="n">
        <v>614.38</v>
      </c>
      <c r="O3743" s="3">
        <f>K3743*L3743*(1-M3743)</f>
        <v/>
      </c>
      <c r="P3743" s="3">
        <f>O3743-N3743</f>
        <v/>
      </c>
      <c r="Q3743" s="5">
        <f>IFERROR(P3743/O3743,0)</f>
        <v/>
      </c>
      <c r="R3743" s="2">
        <f>TEXT(DATEVALUE(B3743),"mmm")</f>
        <v/>
      </c>
      <c r="S3743" s="2">
        <f>TEXT(DATEVALUE(B3743),"yyyy-mm")</f>
        <v/>
      </c>
    </row>
    <row r="3744">
      <c r="A3744" s="2" t="inlineStr">
        <is>
          <t>O003429</t>
        </is>
      </c>
      <c r="B3744" s="2" t="inlineStr">
        <is>
          <t>2025-10-01</t>
        </is>
      </c>
      <c r="C3744" s="2" t="inlineStr">
        <is>
          <t>C0363</t>
        </is>
      </c>
      <c r="D3744" s="2" t="inlineStr">
        <is>
          <t>P0016</t>
        </is>
      </c>
      <c r="E3744" s="2" t="inlineStr">
        <is>
          <t>Casual Shirt</t>
        </is>
      </c>
      <c r="F3744" s="2" t="inlineStr">
        <is>
          <t>Fashion</t>
        </is>
      </c>
      <c r="G3744" s="2" t="inlineStr">
        <is>
          <t>North</t>
        </is>
      </c>
      <c r="H3744" s="2" t="inlineStr">
        <is>
          <t>Haryana</t>
        </is>
      </c>
      <c r="I3744" s="2" t="inlineStr">
        <is>
          <t>Gurugram</t>
        </is>
      </c>
      <c r="J3744" s="2" t="inlineStr">
        <is>
          <t>Online</t>
        </is>
      </c>
      <c r="K3744" s="2" t="n">
        <v>3</v>
      </c>
      <c r="L3744" s="3" t="n">
        <v>1239.38</v>
      </c>
      <c r="M3744" s="4" t="n">
        <v>0.05</v>
      </c>
      <c r="N3744" s="3" t="n">
        <v>2728.31</v>
      </c>
      <c r="O3744" s="3">
        <f>K3744*L3744*(1-M3744)</f>
        <v/>
      </c>
      <c r="P3744" s="3">
        <f>O3744-N3744</f>
        <v/>
      </c>
      <c r="Q3744" s="5">
        <f>IFERROR(P3744/O3744,0)</f>
        <v/>
      </c>
      <c r="R3744" s="2">
        <f>TEXT(DATEVALUE(B3744),"mmm")</f>
        <v/>
      </c>
      <c r="S3744" s="2">
        <f>TEXT(DATEVALUE(B3744),"yyyy-mm")</f>
        <v/>
      </c>
    </row>
    <row r="3745">
      <c r="A3745" s="2" t="inlineStr">
        <is>
          <t>O001756</t>
        </is>
      </c>
      <c r="B3745" s="2" t="inlineStr">
        <is>
          <t>2025-10-01</t>
        </is>
      </c>
      <c r="C3745" s="2" t="inlineStr">
        <is>
          <t>C0550</t>
        </is>
      </c>
      <c r="D3745" s="2" t="inlineStr">
        <is>
          <t>P0032</t>
        </is>
      </c>
      <c r="E3745" s="2" t="inlineStr">
        <is>
          <t>Football</t>
        </is>
      </c>
      <c r="F3745" s="2" t="inlineStr">
        <is>
          <t>Sports</t>
        </is>
      </c>
      <c r="G3745" s="2" t="inlineStr">
        <is>
          <t>West</t>
        </is>
      </c>
      <c r="H3745" s="2" t="inlineStr">
        <is>
          <t>Maharashtra</t>
        </is>
      </c>
      <c r="I3745" s="2" t="inlineStr">
        <is>
          <t>Nagpur</t>
        </is>
      </c>
      <c r="J3745" s="2" t="inlineStr">
        <is>
          <t>Online</t>
        </is>
      </c>
      <c r="K3745" s="2" t="n">
        <v>1</v>
      </c>
      <c r="L3745" s="3" t="n">
        <v>832.23</v>
      </c>
      <c r="M3745" s="4" t="n">
        <v>0.1</v>
      </c>
      <c r="N3745" s="3" t="n">
        <v>542.3099999999999</v>
      </c>
      <c r="O3745" s="3">
        <f>K3745*L3745*(1-M3745)</f>
        <v/>
      </c>
      <c r="P3745" s="3">
        <f>O3745-N3745</f>
        <v/>
      </c>
      <c r="Q3745" s="5">
        <f>IFERROR(P3745/O3745,0)</f>
        <v/>
      </c>
      <c r="R3745" s="2">
        <f>TEXT(DATEVALUE(B3745),"mmm")</f>
        <v/>
      </c>
      <c r="S3745" s="2">
        <f>TEXT(DATEVALUE(B3745),"yyyy-mm")</f>
        <v/>
      </c>
    </row>
    <row r="3746">
      <c r="A3746" s="2" t="inlineStr">
        <is>
          <t>O001796</t>
        </is>
      </c>
      <c r="B3746" s="2" t="inlineStr">
        <is>
          <t>2025-10-01</t>
        </is>
      </c>
      <c r="C3746" s="2" t="inlineStr">
        <is>
          <t>C0169</t>
        </is>
      </c>
      <c r="D3746" s="2" t="inlineStr">
        <is>
          <t>P0007</t>
        </is>
      </c>
      <c r="E3746" s="2" t="inlineStr">
        <is>
          <t>Wireless Mouse</t>
        </is>
      </c>
      <c r="F3746" s="2" t="inlineStr">
        <is>
          <t>Electronics</t>
        </is>
      </c>
      <c r="G3746" s="2" t="inlineStr">
        <is>
          <t>South</t>
        </is>
      </c>
      <c r="H3746" s="2" t="inlineStr">
        <is>
          <t>Tamil Nadu</t>
        </is>
      </c>
      <c r="I3746" s="2" t="inlineStr">
        <is>
          <t>Chennai</t>
        </is>
      </c>
      <c r="J3746" s="2" t="inlineStr">
        <is>
          <t>Online</t>
        </is>
      </c>
      <c r="K3746" s="2" t="n">
        <v>2</v>
      </c>
      <c r="L3746" s="3" t="n">
        <v>1003.74</v>
      </c>
      <c r="M3746" s="4" t="n">
        <v>0.05</v>
      </c>
      <c r="N3746" s="3" t="n">
        <v>1229.81</v>
      </c>
      <c r="O3746" s="3">
        <f>K3746*L3746*(1-M3746)</f>
        <v/>
      </c>
      <c r="P3746" s="3">
        <f>O3746-N3746</f>
        <v/>
      </c>
      <c r="Q3746" s="5">
        <f>IFERROR(P3746/O3746,0)</f>
        <v/>
      </c>
      <c r="R3746" s="2">
        <f>TEXT(DATEVALUE(B3746),"mmm")</f>
        <v/>
      </c>
      <c r="S3746" s="2">
        <f>TEXT(DATEVALUE(B3746),"yyyy-mm")</f>
        <v/>
      </c>
    </row>
    <row r="3747">
      <c r="A3747" s="2" t="inlineStr">
        <is>
          <t>O001501</t>
        </is>
      </c>
      <c r="B3747" s="2" t="inlineStr">
        <is>
          <t>2025-10-01</t>
        </is>
      </c>
      <c r="C3747" s="2" t="inlineStr">
        <is>
          <t>C0694</t>
        </is>
      </c>
      <c r="D3747" s="2" t="inlineStr">
        <is>
          <t>P0021</t>
        </is>
      </c>
      <c r="E3747" s="2" t="inlineStr">
        <is>
          <t>Wallet</t>
        </is>
      </c>
      <c r="F3747" s="2" t="inlineStr">
        <is>
          <t>Fashion</t>
        </is>
      </c>
      <c r="G3747" s="2" t="inlineStr">
        <is>
          <t>South</t>
        </is>
      </c>
      <c r="H3747" s="2" t="inlineStr">
        <is>
          <t>Tamil Nadu</t>
        </is>
      </c>
      <c r="I3747" s="2" t="inlineStr">
        <is>
          <t>Chennai</t>
        </is>
      </c>
      <c r="J3747" s="2" t="inlineStr">
        <is>
          <t>Online</t>
        </is>
      </c>
      <c r="K3747" s="2" t="n">
        <v>1</v>
      </c>
      <c r="L3747" s="3" t="n">
        <v>2062.26</v>
      </c>
      <c r="M3747" s="4" t="n">
        <v>0.1</v>
      </c>
      <c r="N3747" s="3" t="n">
        <v>1186.94</v>
      </c>
      <c r="O3747" s="3">
        <f>K3747*L3747*(1-M3747)</f>
        <v/>
      </c>
      <c r="P3747" s="3">
        <f>O3747-N3747</f>
        <v/>
      </c>
      <c r="Q3747" s="5">
        <f>IFERROR(P3747/O3747,0)</f>
        <v/>
      </c>
      <c r="R3747" s="2">
        <f>TEXT(DATEVALUE(B3747),"mmm")</f>
        <v/>
      </c>
      <c r="S3747" s="2">
        <f>TEXT(DATEVALUE(B3747),"yyyy-mm")</f>
        <v/>
      </c>
    </row>
    <row r="3748">
      <c r="A3748" s="2" t="inlineStr">
        <is>
          <t>O000901</t>
        </is>
      </c>
      <c r="B3748" s="2" t="inlineStr">
        <is>
          <t>2025-10-01</t>
        </is>
      </c>
      <c r="C3748" s="2" t="inlineStr">
        <is>
          <t>C0763</t>
        </is>
      </c>
      <c r="D3748" s="2" t="inlineStr">
        <is>
          <t>P0001</t>
        </is>
      </c>
      <c r="E3748" s="2" t="inlineStr">
        <is>
          <t>Wireless Headphones</t>
        </is>
      </c>
      <c r="F3748" s="2" t="inlineStr">
        <is>
          <t>Electronics</t>
        </is>
      </c>
      <c r="G3748" s="2" t="inlineStr">
        <is>
          <t>West</t>
        </is>
      </c>
      <c r="H3748" s="2" t="inlineStr">
        <is>
          <t>Gujarat</t>
        </is>
      </c>
      <c r="I3748" s="2" t="inlineStr">
        <is>
          <t>Ahmedabad</t>
        </is>
      </c>
      <c r="J3748" s="2" t="inlineStr">
        <is>
          <t>Online</t>
        </is>
      </c>
      <c r="K3748" s="2" t="n">
        <v>3</v>
      </c>
      <c r="L3748" s="3" t="n">
        <v>1331.86</v>
      </c>
      <c r="M3748" s="4" t="n">
        <v>0</v>
      </c>
      <c r="N3748" s="3" t="n">
        <v>2121.6</v>
      </c>
      <c r="O3748" s="3">
        <f>K3748*L3748*(1-M3748)</f>
        <v/>
      </c>
      <c r="P3748" s="3">
        <f>O3748-N3748</f>
        <v/>
      </c>
      <c r="Q3748" s="5">
        <f>IFERROR(P3748/O3748,0)</f>
        <v/>
      </c>
      <c r="R3748" s="2">
        <f>TEXT(DATEVALUE(B3748),"mmm")</f>
        <v/>
      </c>
      <c r="S3748" s="2">
        <f>TEXT(DATEVALUE(B3748),"yyyy-mm")</f>
        <v/>
      </c>
    </row>
    <row r="3749">
      <c r="A3749" s="2" t="inlineStr">
        <is>
          <t>O000048</t>
        </is>
      </c>
      <c r="B3749" s="2" t="inlineStr">
        <is>
          <t>2025-10-01</t>
        </is>
      </c>
      <c r="C3749" s="2" t="inlineStr">
        <is>
          <t>C0440</t>
        </is>
      </c>
      <c r="D3749" s="2" t="inlineStr">
        <is>
          <t>P0008</t>
        </is>
      </c>
      <c r="E3749" s="2" t="inlineStr">
        <is>
          <t>Air Fryer</t>
        </is>
      </c>
      <c r="F3749" s="2" t="inlineStr">
        <is>
          <t>Home &amp; Kitchen</t>
        </is>
      </c>
      <c r="G3749" s="2" t="inlineStr">
        <is>
          <t>West</t>
        </is>
      </c>
      <c r="H3749" s="2" t="inlineStr">
        <is>
          <t>Goa</t>
        </is>
      </c>
      <c r="I3749" s="2" t="inlineStr">
        <is>
          <t>Panaji</t>
        </is>
      </c>
      <c r="J3749" s="2" t="inlineStr">
        <is>
          <t>Online</t>
        </is>
      </c>
      <c r="K3749" s="2" t="n">
        <v>1</v>
      </c>
      <c r="L3749" s="3" t="n">
        <v>1044.15</v>
      </c>
      <c r="M3749" s="4" t="n">
        <v>0.15</v>
      </c>
      <c r="N3749" s="3" t="n">
        <v>669.77</v>
      </c>
      <c r="O3749" s="3">
        <f>K3749*L3749*(1-M3749)</f>
        <v/>
      </c>
      <c r="P3749" s="3">
        <f>O3749-N3749</f>
        <v/>
      </c>
      <c r="Q3749" s="5">
        <f>IFERROR(P3749/O3749,0)</f>
        <v/>
      </c>
      <c r="R3749" s="2">
        <f>TEXT(DATEVALUE(B3749),"mmm")</f>
        <v/>
      </c>
      <c r="S3749" s="2">
        <f>TEXT(DATEVALUE(B3749),"yyyy-mm")</f>
        <v/>
      </c>
    </row>
    <row r="3750">
      <c r="A3750" s="2" t="inlineStr">
        <is>
          <t>O004432</t>
        </is>
      </c>
      <c r="B3750" s="2" t="inlineStr">
        <is>
          <t>2025-10-02</t>
        </is>
      </c>
      <c r="C3750" s="2" t="inlineStr">
        <is>
          <t>C0334</t>
        </is>
      </c>
      <c r="D3750" s="2" t="inlineStr">
        <is>
          <t>P0018</t>
        </is>
      </c>
      <c r="E3750" s="2" t="inlineStr">
        <is>
          <t>Backpack</t>
        </is>
      </c>
      <c r="F3750" s="2" t="inlineStr">
        <is>
          <t>Fashion</t>
        </is>
      </c>
      <c r="G3750" s="2" t="inlineStr">
        <is>
          <t>South</t>
        </is>
      </c>
      <c r="H3750" s="2" t="inlineStr">
        <is>
          <t>Tamil Nadu</t>
        </is>
      </c>
      <c r="I3750" s="2" t="inlineStr">
        <is>
          <t>Madurai</t>
        </is>
      </c>
      <c r="J3750" s="2" t="inlineStr">
        <is>
          <t>Store</t>
        </is>
      </c>
      <c r="K3750" s="2" t="n">
        <v>1</v>
      </c>
      <c r="L3750" s="3" t="n">
        <v>1866.76</v>
      </c>
      <c r="M3750" s="4" t="n">
        <v>0.1</v>
      </c>
      <c r="N3750" s="3" t="n">
        <v>1357.95</v>
      </c>
      <c r="O3750" s="3">
        <f>K3750*L3750*(1-M3750)</f>
        <v/>
      </c>
      <c r="P3750" s="3">
        <f>O3750-N3750</f>
        <v/>
      </c>
      <c r="Q3750" s="5">
        <f>IFERROR(P3750/O3750,0)</f>
        <v/>
      </c>
      <c r="R3750" s="2">
        <f>TEXT(DATEVALUE(B3750),"mmm")</f>
        <v/>
      </c>
      <c r="S3750" s="2">
        <f>TEXT(DATEVALUE(B3750),"yyyy-mm")</f>
        <v/>
      </c>
    </row>
    <row r="3751">
      <c r="A3751" s="2" t="inlineStr">
        <is>
          <t>O003642</t>
        </is>
      </c>
      <c r="B3751" s="2" t="inlineStr">
        <is>
          <t>2025-10-02</t>
        </is>
      </c>
      <c r="C3751" s="2" t="inlineStr">
        <is>
          <t>C0568</t>
        </is>
      </c>
      <c r="D3751" s="2" t="inlineStr">
        <is>
          <t>P0010</t>
        </is>
      </c>
      <c r="E3751" s="2" t="inlineStr">
        <is>
          <t>Mixer Grinder</t>
        </is>
      </c>
      <c r="F3751" s="2" t="inlineStr">
        <is>
          <t>Home &amp; Kitchen</t>
        </is>
      </c>
      <c r="G3751" s="2" t="inlineStr">
        <is>
          <t>West</t>
        </is>
      </c>
      <c r="H3751" s="2" t="inlineStr">
        <is>
          <t>Gujarat</t>
        </is>
      </c>
      <c r="I3751" s="2" t="inlineStr">
        <is>
          <t>Ahmedabad</t>
        </is>
      </c>
      <c r="J3751" s="2" t="inlineStr">
        <is>
          <t>Online</t>
        </is>
      </c>
      <c r="K3751" s="2" t="n">
        <v>2</v>
      </c>
      <c r="L3751" s="3" t="n">
        <v>1668</v>
      </c>
      <c r="M3751" s="4" t="n">
        <v>0.25</v>
      </c>
      <c r="N3751" s="3" t="n">
        <v>2031.4</v>
      </c>
      <c r="O3751" s="3">
        <f>K3751*L3751*(1-M3751)</f>
        <v/>
      </c>
      <c r="P3751" s="3">
        <f>O3751-N3751</f>
        <v/>
      </c>
      <c r="Q3751" s="5">
        <f>IFERROR(P3751/O3751,0)</f>
        <v/>
      </c>
      <c r="R3751" s="2">
        <f>TEXT(DATEVALUE(B3751),"mmm")</f>
        <v/>
      </c>
      <c r="S3751" s="2">
        <f>TEXT(DATEVALUE(B3751),"yyyy-mm")</f>
        <v/>
      </c>
    </row>
    <row r="3752">
      <c r="A3752" s="2" t="inlineStr">
        <is>
          <t>O003473</t>
        </is>
      </c>
      <c r="B3752" s="2" t="inlineStr">
        <is>
          <t>2025-10-02</t>
        </is>
      </c>
      <c r="C3752" s="2" t="inlineStr">
        <is>
          <t>C0375</t>
        </is>
      </c>
      <c r="D3752" s="2" t="inlineStr">
        <is>
          <t>P0022</t>
        </is>
      </c>
      <c r="E3752" s="2" t="inlineStr">
        <is>
          <t>Face Wash</t>
        </is>
      </c>
      <c r="F3752" s="2" t="inlineStr">
        <is>
          <t>Beauty</t>
        </is>
      </c>
      <c r="G3752" s="2" t="inlineStr">
        <is>
          <t>South</t>
        </is>
      </c>
      <c r="H3752" s="2" t="inlineStr">
        <is>
          <t>Tamil Nadu</t>
        </is>
      </c>
      <c r="I3752" s="2" t="inlineStr">
        <is>
          <t>Coimbatore</t>
        </is>
      </c>
      <c r="J3752" s="2" t="inlineStr">
        <is>
          <t>Online</t>
        </is>
      </c>
      <c r="K3752" s="2" t="n">
        <v>2</v>
      </c>
      <c r="L3752" s="3" t="n">
        <v>533.0700000000001</v>
      </c>
      <c r="M3752" s="4" t="n">
        <v>0.05</v>
      </c>
      <c r="N3752" s="3" t="n">
        <v>719.34</v>
      </c>
      <c r="O3752" s="3">
        <f>K3752*L3752*(1-M3752)</f>
        <v/>
      </c>
      <c r="P3752" s="3">
        <f>O3752-N3752</f>
        <v/>
      </c>
      <c r="Q3752" s="5">
        <f>IFERROR(P3752/O3752,0)</f>
        <v/>
      </c>
      <c r="R3752" s="2">
        <f>TEXT(DATEVALUE(B3752),"mmm")</f>
        <v/>
      </c>
      <c r="S3752" s="2">
        <f>TEXT(DATEVALUE(B3752),"yyyy-mm")</f>
        <v/>
      </c>
    </row>
    <row r="3753">
      <c r="A3753" s="2" t="inlineStr">
        <is>
          <t>O003387</t>
        </is>
      </c>
      <c r="B3753" s="2" t="inlineStr">
        <is>
          <t>2025-10-02</t>
        </is>
      </c>
      <c r="C3753" s="2" t="inlineStr">
        <is>
          <t>C0183</t>
        </is>
      </c>
      <c r="D3753" s="2" t="inlineStr">
        <is>
          <t>P0018</t>
        </is>
      </c>
      <c r="E3753" s="2" t="inlineStr">
        <is>
          <t>Backpack</t>
        </is>
      </c>
      <c r="F3753" s="2" t="inlineStr">
        <is>
          <t>Fashion</t>
        </is>
      </c>
      <c r="G3753" s="2" t="inlineStr">
        <is>
          <t>South</t>
        </is>
      </c>
      <c r="H3753" s="2" t="inlineStr">
        <is>
          <t>Kerala</t>
        </is>
      </c>
      <c r="I3753" s="2" t="inlineStr">
        <is>
          <t>Thiruvananthapuram</t>
        </is>
      </c>
      <c r="J3753" s="2" t="inlineStr">
        <is>
          <t>Store</t>
        </is>
      </c>
      <c r="K3753" s="2" t="n">
        <v>2</v>
      </c>
      <c r="L3753" s="3" t="n">
        <v>1762.78</v>
      </c>
      <c r="M3753" s="4" t="n">
        <v>0</v>
      </c>
      <c r="N3753" s="3" t="n">
        <v>2673.71</v>
      </c>
      <c r="O3753" s="3">
        <f>K3753*L3753*(1-M3753)</f>
        <v/>
      </c>
      <c r="P3753" s="3">
        <f>O3753-N3753</f>
        <v/>
      </c>
      <c r="Q3753" s="5">
        <f>IFERROR(P3753/O3753,0)</f>
        <v/>
      </c>
      <c r="R3753" s="2">
        <f>TEXT(DATEVALUE(B3753),"mmm")</f>
        <v/>
      </c>
      <c r="S3753" s="2">
        <f>TEXT(DATEVALUE(B3753),"yyyy-mm")</f>
        <v/>
      </c>
    </row>
    <row r="3754">
      <c r="A3754" s="2" t="inlineStr">
        <is>
          <t>O003133</t>
        </is>
      </c>
      <c r="B3754" s="2" t="inlineStr">
        <is>
          <t>2025-10-02</t>
        </is>
      </c>
      <c r="C3754" s="2" t="inlineStr">
        <is>
          <t>C0057</t>
        </is>
      </c>
      <c r="D3754" s="2" t="inlineStr">
        <is>
          <t>P0035</t>
        </is>
      </c>
      <c r="E3754" s="2" t="inlineStr">
        <is>
          <t>Skipping Rope</t>
        </is>
      </c>
      <c r="F3754" s="2" t="inlineStr">
        <is>
          <t>Sports</t>
        </is>
      </c>
      <c r="G3754" s="2" t="inlineStr">
        <is>
          <t>East</t>
        </is>
      </c>
      <c r="H3754" s="2" t="inlineStr">
        <is>
          <t>West Bengal</t>
        </is>
      </c>
      <c r="I3754" s="2" t="inlineStr">
        <is>
          <t>Durgapur</t>
        </is>
      </c>
      <c r="J3754" s="2" t="inlineStr">
        <is>
          <t>Online</t>
        </is>
      </c>
      <c r="K3754" s="2" t="n">
        <v>1</v>
      </c>
      <c r="L3754" s="3" t="n">
        <v>742.8099999999999</v>
      </c>
      <c r="M3754" s="4" t="n">
        <v>0.15</v>
      </c>
      <c r="N3754" s="3" t="n">
        <v>403.52</v>
      </c>
      <c r="O3754" s="3">
        <f>K3754*L3754*(1-M3754)</f>
        <v/>
      </c>
      <c r="P3754" s="3">
        <f>O3754-N3754</f>
        <v/>
      </c>
      <c r="Q3754" s="5">
        <f>IFERROR(P3754/O3754,0)</f>
        <v/>
      </c>
      <c r="R3754" s="2">
        <f>TEXT(DATEVALUE(B3754),"mmm")</f>
        <v/>
      </c>
      <c r="S3754" s="2">
        <f>TEXT(DATEVALUE(B3754),"yyyy-mm")</f>
        <v/>
      </c>
    </row>
    <row r="3755">
      <c r="A3755" s="2" t="inlineStr">
        <is>
          <t>O003122</t>
        </is>
      </c>
      <c r="B3755" s="2" t="inlineStr">
        <is>
          <t>2025-10-02</t>
        </is>
      </c>
      <c r="C3755" s="2" t="inlineStr">
        <is>
          <t>C0764</t>
        </is>
      </c>
      <c r="D3755" s="2" t="inlineStr">
        <is>
          <t>P0007</t>
        </is>
      </c>
      <c r="E3755" s="2" t="inlineStr">
        <is>
          <t>Wireless Mouse</t>
        </is>
      </c>
      <c r="F3755" s="2" t="inlineStr">
        <is>
          <t>Electronics</t>
        </is>
      </c>
      <c r="G3755" s="2" t="inlineStr">
        <is>
          <t>West</t>
        </is>
      </c>
      <c r="H3755" s="2" t="inlineStr">
        <is>
          <t>Goa</t>
        </is>
      </c>
      <c r="I3755" s="2" t="inlineStr">
        <is>
          <t>Margao</t>
        </is>
      </c>
      <c r="J3755" s="2" t="inlineStr">
        <is>
          <t>Online</t>
        </is>
      </c>
      <c r="K3755" s="2" t="n">
        <v>3</v>
      </c>
      <c r="L3755" s="3" t="n">
        <v>966.1799999999999</v>
      </c>
      <c r="M3755" s="4" t="n">
        <v>0.15</v>
      </c>
      <c r="N3755" s="3" t="n">
        <v>1860.54</v>
      </c>
      <c r="O3755" s="3">
        <f>K3755*L3755*(1-M3755)</f>
        <v/>
      </c>
      <c r="P3755" s="3">
        <f>O3755-N3755</f>
        <v/>
      </c>
      <c r="Q3755" s="5">
        <f>IFERROR(P3755/O3755,0)</f>
        <v/>
      </c>
      <c r="R3755" s="2">
        <f>TEXT(DATEVALUE(B3755),"mmm")</f>
        <v/>
      </c>
      <c r="S3755" s="2">
        <f>TEXT(DATEVALUE(B3755),"yyyy-mm")</f>
        <v/>
      </c>
    </row>
    <row r="3756">
      <c r="A3756" s="2" t="inlineStr">
        <is>
          <t>O002997</t>
        </is>
      </c>
      <c r="B3756" s="2" t="inlineStr">
        <is>
          <t>2025-10-02</t>
        </is>
      </c>
      <c r="C3756" s="2" t="inlineStr">
        <is>
          <t>C0566</t>
        </is>
      </c>
      <c r="D3756" s="2" t="inlineStr">
        <is>
          <t>P0016</t>
        </is>
      </c>
      <c r="E3756" s="2" t="inlineStr">
        <is>
          <t>Casual Shirt</t>
        </is>
      </c>
      <c r="F3756" s="2" t="inlineStr">
        <is>
          <t>Fashion</t>
        </is>
      </c>
      <c r="G3756" s="2" t="inlineStr">
        <is>
          <t>North</t>
        </is>
      </c>
      <c r="H3756" s="2" t="inlineStr">
        <is>
          <t>Haryana</t>
        </is>
      </c>
      <c r="I3756" s="2" t="inlineStr">
        <is>
          <t>Faridabad</t>
        </is>
      </c>
      <c r="J3756" s="2" t="inlineStr">
        <is>
          <t>Online</t>
        </is>
      </c>
      <c r="K3756" s="2" t="n">
        <v>1</v>
      </c>
      <c r="L3756" s="3" t="n">
        <v>1339.5</v>
      </c>
      <c r="M3756" s="4" t="n">
        <v>0</v>
      </c>
      <c r="N3756" s="3" t="n">
        <v>885.95</v>
      </c>
      <c r="O3756" s="3">
        <f>K3756*L3756*(1-M3756)</f>
        <v/>
      </c>
      <c r="P3756" s="3">
        <f>O3756-N3756</f>
        <v/>
      </c>
      <c r="Q3756" s="5">
        <f>IFERROR(P3756/O3756,0)</f>
        <v/>
      </c>
      <c r="R3756" s="2">
        <f>TEXT(DATEVALUE(B3756),"mmm")</f>
        <v/>
      </c>
      <c r="S3756" s="2">
        <f>TEXT(DATEVALUE(B3756),"yyyy-mm")</f>
        <v/>
      </c>
    </row>
    <row r="3757">
      <c r="A3757" s="2" t="inlineStr">
        <is>
          <t>O002160</t>
        </is>
      </c>
      <c r="B3757" s="2" t="inlineStr">
        <is>
          <t>2025-10-02</t>
        </is>
      </c>
      <c r="C3757" s="2" t="inlineStr">
        <is>
          <t>C0694</t>
        </is>
      </c>
      <c r="D3757" s="2" t="inlineStr">
        <is>
          <t>P0004</t>
        </is>
      </c>
      <c r="E3757" s="2" t="inlineStr">
        <is>
          <t>USB-C Hub</t>
        </is>
      </c>
      <c r="F3757" s="2" t="inlineStr">
        <is>
          <t>Electronics</t>
        </is>
      </c>
      <c r="G3757" s="2" t="inlineStr">
        <is>
          <t>West</t>
        </is>
      </c>
      <c r="H3757" s="2" t="inlineStr">
        <is>
          <t>Maharashtra</t>
        </is>
      </c>
      <c r="I3757" s="2" t="inlineStr">
        <is>
          <t>Mumbai</t>
        </is>
      </c>
      <c r="J3757" s="2" t="inlineStr">
        <is>
          <t>Online</t>
        </is>
      </c>
      <c r="K3757" s="2" t="n">
        <v>2</v>
      </c>
      <c r="L3757" s="3" t="n">
        <v>1287.9</v>
      </c>
      <c r="M3757" s="4" t="n">
        <v>0.15</v>
      </c>
      <c r="N3757" s="3" t="n">
        <v>1883.72</v>
      </c>
      <c r="O3757" s="3">
        <f>K3757*L3757*(1-M3757)</f>
        <v/>
      </c>
      <c r="P3757" s="3">
        <f>O3757-N3757</f>
        <v/>
      </c>
      <c r="Q3757" s="5">
        <f>IFERROR(P3757/O3757,0)</f>
        <v/>
      </c>
      <c r="R3757" s="2">
        <f>TEXT(DATEVALUE(B3757),"mmm")</f>
        <v/>
      </c>
      <c r="S3757" s="2">
        <f>TEXT(DATEVALUE(B3757),"yyyy-mm")</f>
        <v/>
      </c>
    </row>
    <row r="3758">
      <c r="A3758" s="2" t="inlineStr">
        <is>
          <t>O001425</t>
        </is>
      </c>
      <c r="B3758" s="2" t="inlineStr">
        <is>
          <t>2025-10-02</t>
        </is>
      </c>
      <c r="C3758" s="2" t="inlineStr">
        <is>
          <t>C0636</t>
        </is>
      </c>
      <c r="D3758" s="2" t="inlineStr">
        <is>
          <t>P0017</t>
        </is>
      </c>
      <c r="E3758" s="2" t="inlineStr">
        <is>
          <t>Jeans</t>
        </is>
      </c>
      <c r="F3758" s="2" t="inlineStr">
        <is>
          <t>Fashion</t>
        </is>
      </c>
      <c r="G3758" s="2" t="inlineStr">
        <is>
          <t>East</t>
        </is>
      </c>
      <c r="H3758" s="2" t="inlineStr">
        <is>
          <t>Odisha</t>
        </is>
      </c>
      <c r="I3758" s="2" t="inlineStr">
        <is>
          <t>Bhubaneswar</t>
        </is>
      </c>
      <c r="J3758" s="2" t="inlineStr">
        <is>
          <t>Online</t>
        </is>
      </c>
      <c r="K3758" s="2" t="n">
        <v>1</v>
      </c>
      <c r="L3758" s="3" t="n">
        <v>1494.23</v>
      </c>
      <c r="M3758" s="4" t="n">
        <v>0.1</v>
      </c>
      <c r="N3758" s="3" t="n">
        <v>1016.46</v>
      </c>
      <c r="O3758" s="3">
        <f>K3758*L3758*(1-M3758)</f>
        <v/>
      </c>
      <c r="P3758" s="3">
        <f>O3758-N3758</f>
        <v/>
      </c>
      <c r="Q3758" s="5">
        <f>IFERROR(P3758/O3758,0)</f>
        <v/>
      </c>
      <c r="R3758" s="2">
        <f>TEXT(DATEVALUE(B3758),"mmm")</f>
        <v/>
      </c>
      <c r="S3758" s="2">
        <f>TEXT(DATEVALUE(B3758),"yyyy-mm")</f>
        <v/>
      </c>
    </row>
    <row r="3759">
      <c r="A3759" s="2" t="inlineStr">
        <is>
          <t>O000985</t>
        </is>
      </c>
      <c r="B3759" s="2" t="inlineStr">
        <is>
          <t>2025-10-02</t>
        </is>
      </c>
      <c r="C3759" s="2" t="inlineStr">
        <is>
          <t>C0568</t>
        </is>
      </c>
      <c r="D3759" s="2" t="inlineStr">
        <is>
          <t>P0005</t>
        </is>
      </c>
      <c r="E3759" s="2" t="inlineStr">
        <is>
          <t>Power Bank</t>
        </is>
      </c>
      <c r="F3759" s="2" t="inlineStr">
        <is>
          <t>Electronics</t>
        </is>
      </c>
      <c r="G3759" s="2" t="inlineStr">
        <is>
          <t>West</t>
        </is>
      </c>
      <c r="H3759" s="2" t="inlineStr">
        <is>
          <t>Goa</t>
        </is>
      </c>
      <c r="I3759" s="2" t="inlineStr">
        <is>
          <t>Margao</t>
        </is>
      </c>
      <c r="J3759" s="2" t="inlineStr">
        <is>
          <t>Store</t>
        </is>
      </c>
      <c r="K3759" s="2" t="n">
        <v>5</v>
      </c>
      <c r="L3759" s="3" t="n">
        <v>1083.14</v>
      </c>
      <c r="M3759" s="4" t="n">
        <v>0.25</v>
      </c>
      <c r="N3759" s="3" t="n">
        <v>3339.75</v>
      </c>
      <c r="O3759" s="3">
        <f>K3759*L3759*(1-M3759)</f>
        <v/>
      </c>
      <c r="P3759" s="3">
        <f>O3759-N3759</f>
        <v/>
      </c>
      <c r="Q3759" s="5">
        <f>IFERROR(P3759/O3759,0)</f>
        <v/>
      </c>
      <c r="R3759" s="2">
        <f>TEXT(DATEVALUE(B3759),"mmm")</f>
        <v/>
      </c>
      <c r="S3759" s="2">
        <f>TEXT(DATEVALUE(B3759),"yyyy-mm")</f>
        <v/>
      </c>
    </row>
    <row r="3760">
      <c r="A3760" s="2" t="inlineStr">
        <is>
          <t>O000630</t>
        </is>
      </c>
      <c r="B3760" s="2" t="inlineStr">
        <is>
          <t>2025-10-02</t>
        </is>
      </c>
      <c r="C3760" s="2" t="inlineStr">
        <is>
          <t>C0060</t>
        </is>
      </c>
      <c r="D3760" s="2" t="inlineStr">
        <is>
          <t>P0018</t>
        </is>
      </c>
      <c r="E3760" s="2" t="inlineStr">
        <is>
          <t>Backpack</t>
        </is>
      </c>
      <c r="F3760" s="2" t="inlineStr">
        <is>
          <t>Fashion</t>
        </is>
      </c>
      <c r="G3760" s="2" t="inlineStr">
        <is>
          <t>West</t>
        </is>
      </c>
      <c r="H3760" s="2" t="inlineStr">
        <is>
          <t>Goa</t>
        </is>
      </c>
      <c r="I3760" s="2" t="inlineStr">
        <is>
          <t>Margao</t>
        </is>
      </c>
      <c r="J3760" s="2" t="inlineStr">
        <is>
          <t>Online</t>
        </is>
      </c>
      <c r="K3760" s="2" t="n">
        <v>3</v>
      </c>
      <c r="L3760" s="3" t="n">
        <v>1843.58</v>
      </c>
      <c r="M3760" s="4" t="n">
        <v>0.1</v>
      </c>
      <c r="N3760" s="3" t="n">
        <v>4206.13</v>
      </c>
      <c r="O3760" s="3">
        <f>K3760*L3760*(1-M3760)</f>
        <v/>
      </c>
      <c r="P3760" s="3">
        <f>O3760-N3760</f>
        <v/>
      </c>
      <c r="Q3760" s="5">
        <f>IFERROR(P3760/O3760,0)</f>
        <v/>
      </c>
      <c r="R3760" s="2">
        <f>TEXT(DATEVALUE(B3760),"mmm")</f>
        <v/>
      </c>
      <c r="S3760" s="2">
        <f>TEXT(DATEVALUE(B3760),"yyyy-mm")</f>
        <v/>
      </c>
    </row>
    <row r="3761">
      <c r="A3761" s="2" t="inlineStr">
        <is>
          <t>O000435</t>
        </is>
      </c>
      <c r="B3761" s="2" t="inlineStr">
        <is>
          <t>2025-10-02</t>
        </is>
      </c>
      <c r="C3761" s="2" t="inlineStr">
        <is>
          <t>C0199</t>
        </is>
      </c>
      <c r="D3761" s="2" t="inlineStr">
        <is>
          <t>P0022</t>
        </is>
      </c>
      <c r="E3761" s="2" t="inlineStr">
        <is>
          <t>Face Wash</t>
        </is>
      </c>
      <c r="F3761" s="2" t="inlineStr">
        <is>
          <t>Beauty</t>
        </is>
      </c>
      <c r="G3761" s="2" t="inlineStr">
        <is>
          <t>West</t>
        </is>
      </c>
      <c r="H3761" s="2" t="inlineStr">
        <is>
          <t>Goa</t>
        </is>
      </c>
      <c r="I3761" s="2" t="inlineStr">
        <is>
          <t>Panaji</t>
        </is>
      </c>
      <c r="J3761" s="2" t="inlineStr">
        <is>
          <t>Online</t>
        </is>
      </c>
      <c r="K3761" s="2" t="n">
        <v>2</v>
      </c>
      <c r="L3761" s="3" t="n">
        <v>536.37</v>
      </c>
      <c r="M3761" s="4" t="n">
        <v>0</v>
      </c>
      <c r="N3761" s="3" t="n">
        <v>687.47</v>
      </c>
      <c r="O3761" s="3">
        <f>K3761*L3761*(1-M3761)</f>
        <v/>
      </c>
      <c r="P3761" s="3">
        <f>O3761-N3761</f>
        <v/>
      </c>
      <c r="Q3761" s="5">
        <f>IFERROR(P3761/O3761,0)</f>
        <v/>
      </c>
      <c r="R3761" s="2">
        <f>TEXT(DATEVALUE(B3761),"mmm")</f>
        <v/>
      </c>
      <c r="S3761" s="2">
        <f>TEXT(DATEVALUE(B3761),"yyyy-mm")</f>
        <v/>
      </c>
    </row>
    <row r="3762">
      <c r="A3762" s="2" t="inlineStr">
        <is>
          <t>O004983</t>
        </is>
      </c>
      <c r="B3762" s="2" t="inlineStr">
        <is>
          <t>2025-10-03</t>
        </is>
      </c>
      <c r="C3762" s="2" t="inlineStr">
        <is>
          <t>C0003</t>
        </is>
      </c>
      <c r="D3762" s="2" t="inlineStr">
        <is>
          <t>P0010</t>
        </is>
      </c>
      <c r="E3762" s="2" t="inlineStr">
        <is>
          <t>Mixer Grinder</t>
        </is>
      </c>
      <c r="F3762" s="2" t="inlineStr">
        <is>
          <t>Home &amp; Kitchen</t>
        </is>
      </c>
      <c r="G3762" s="2" t="inlineStr">
        <is>
          <t>East</t>
        </is>
      </c>
      <c r="H3762" s="2" t="inlineStr">
        <is>
          <t>Odisha</t>
        </is>
      </c>
      <c r="I3762" s="2" t="inlineStr">
        <is>
          <t>Cuttack</t>
        </is>
      </c>
      <c r="J3762" s="2" t="inlineStr">
        <is>
          <t>Online</t>
        </is>
      </c>
      <c r="K3762" s="2" t="n">
        <v>2</v>
      </c>
      <c r="L3762" s="3" t="n">
        <v>1651.52</v>
      </c>
      <c r="M3762" s="4" t="n">
        <v>0.15</v>
      </c>
      <c r="N3762" s="3" t="n">
        <v>2123.5</v>
      </c>
      <c r="O3762" s="3">
        <f>K3762*L3762*(1-M3762)</f>
        <v/>
      </c>
      <c r="P3762" s="3">
        <f>O3762-N3762</f>
        <v/>
      </c>
      <c r="Q3762" s="5">
        <f>IFERROR(P3762/O3762,0)</f>
        <v/>
      </c>
      <c r="R3762" s="2">
        <f>TEXT(DATEVALUE(B3762),"mmm")</f>
        <v/>
      </c>
      <c r="S3762" s="2">
        <f>TEXT(DATEVALUE(B3762),"yyyy-mm")</f>
        <v/>
      </c>
    </row>
    <row r="3763">
      <c r="A3763" s="2" t="inlineStr">
        <is>
          <t>O004967</t>
        </is>
      </c>
      <c r="B3763" s="2" t="inlineStr">
        <is>
          <t>2025-10-03</t>
        </is>
      </c>
      <c r="C3763" s="2" t="inlineStr">
        <is>
          <t>C0102</t>
        </is>
      </c>
      <c r="D3763" s="2" t="inlineStr">
        <is>
          <t>P0035</t>
        </is>
      </c>
      <c r="E3763" s="2" t="inlineStr">
        <is>
          <t>Skipping Rope</t>
        </is>
      </c>
      <c r="F3763" s="2" t="inlineStr">
        <is>
          <t>Sports</t>
        </is>
      </c>
      <c r="G3763" s="2" t="inlineStr">
        <is>
          <t>West</t>
        </is>
      </c>
      <c r="H3763" s="2" t="inlineStr">
        <is>
          <t>Maharashtra</t>
        </is>
      </c>
      <c r="I3763" s="2" t="inlineStr">
        <is>
          <t>Pune</t>
        </is>
      </c>
      <c r="J3763" s="2" t="inlineStr">
        <is>
          <t>Store</t>
        </is>
      </c>
      <c r="K3763" s="2" t="n">
        <v>3</v>
      </c>
      <c r="L3763" s="3" t="n">
        <v>710.96</v>
      </c>
      <c r="M3763" s="4" t="n">
        <v>0</v>
      </c>
      <c r="N3763" s="3" t="n">
        <v>1252.85</v>
      </c>
      <c r="O3763" s="3">
        <f>K3763*L3763*(1-M3763)</f>
        <v/>
      </c>
      <c r="P3763" s="3">
        <f>O3763-N3763</f>
        <v/>
      </c>
      <c r="Q3763" s="5">
        <f>IFERROR(P3763/O3763,0)</f>
        <v/>
      </c>
      <c r="R3763" s="2">
        <f>TEXT(DATEVALUE(B3763),"mmm")</f>
        <v/>
      </c>
      <c r="S3763" s="2">
        <f>TEXT(DATEVALUE(B3763),"yyyy-mm")</f>
        <v/>
      </c>
    </row>
    <row r="3764">
      <c r="A3764" s="2" t="inlineStr">
        <is>
          <t>O004862</t>
        </is>
      </c>
      <c r="B3764" s="2" t="inlineStr">
        <is>
          <t>2025-10-03</t>
        </is>
      </c>
      <c r="C3764" s="2" t="inlineStr">
        <is>
          <t>C0476</t>
        </is>
      </c>
      <c r="D3764" s="2" t="inlineStr">
        <is>
          <t>P0019</t>
        </is>
      </c>
      <c r="E3764" s="2" t="inlineStr">
        <is>
          <t>Jacket</t>
        </is>
      </c>
      <c r="F3764" s="2" t="inlineStr">
        <is>
          <t>Fashion</t>
        </is>
      </c>
      <c r="G3764" s="2" t="inlineStr">
        <is>
          <t>South</t>
        </is>
      </c>
      <c r="H3764" s="2" t="inlineStr">
        <is>
          <t>Karnataka</t>
        </is>
      </c>
      <c r="I3764" s="2" t="inlineStr">
        <is>
          <t>Mangaluru</t>
        </is>
      </c>
      <c r="J3764" s="2" t="inlineStr">
        <is>
          <t>Online</t>
        </is>
      </c>
      <c r="K3764" s="2" t="n">
        <v>3</v>
      </c>
      <c r="L3764" s="3" t="n">
        <v>992.05</v>
      </c>
      <c r="M3764" s="4" t="n">
        <v>0.05</v>
      </c>
      <c r="N3764" s="3" t="n">
        <v>1983.74</v>
      </c>
      <c r="O3764" s="3">
        <f>K3764*L3764*(1-M3764)</f>
        <v/>
      </c>
      <c r="P3764" s="3">
        <f>O3764-N3764</f>
        <v/>
      </c>
      <c r="Q3764" s="5">
        <f>IFERROR(P3764/O3764,0)</f>
        <v/>
      </c>
      <c r="R3764" s="2">
        <f>TEXT(DATEVALUE(B3764),"mmm")</f>
        <v/>
      </c>
      <c r="S3764" s="2">
        <f>TEXT(DATEVALUE(B3764),"yyyy-mm")</f>
        <v/>
      </c>
    </row>
    <row r="3765">
      <c r="A3765" s="2" t="inlineStr">
        <is>
          <t>O004820</t>
        </is>
      </c>
      <c r="B3765" s="2" t="inlineStr">
        <is>
          <t>2025-10-03</t>
        </is>
      </c>
      <c r="C3765" s="2" t="inlineStr">
        <is>
          <t>C0546</t>
        </is>
      </c>
      <c r="D3765" s="2" t="inlineStr">
        <is>
          <t>P0008</t>
        </is>
      </c>
      <c r="E3765" s="2" t="inlineStr">
        <is>
          <t>Air Fryer</t>
        </is>
      </c>
      <c r="F3765" s="2" t="inlineStr">
        <is>
          <t>Home &amp; Kitchen</t>
        </is>
      </c>
      <c r="G3765" s="2" t="inlineStr">
        <is>
          <t>South</t>
        </is>
      </c>
      <c r="H3765" s="2" t="inlineStr">
        <is>
          <t>Kerala</t>
        </is>
      </c>
      <c r="I3765" s="2" t="inlineStr">
        <is>
          <t>Thiruvananthapuram</t>
        </is>
      </c>
      <c r="J3765" s="2" t="inlineStr">
        <is>
          <t>Online</t>
        </is>
      </c>
      <c r="K3765" s="2" t="n">
        <v>3</v>
      </c>
      <c r="L3765" s="3" t="n">
        <v>1083.97</v>
      </c>
      <c r="M3765" s="4" t="n">
        <v>0</v>
      </c>
      <c r="N3765" s="3" t="n">
        <v>2007.17</v>
      </c>
      <c r="O3765" s="3">
        <f>K3765*L3765*(1-M3765)</f>
        <v/>
      </c>
      <c r="P3765" s="3">
        <f>O3765-N3765</f>
        <v/>
      </c>
      <c r="Q3765" s="5">
        <f>IFERROR(P3765/O3765,0)</f>
        <v/>
      </c>
      <c r="R3765" s="2">
        <f>TEXT(DATEVALUE(B3765),"mmm")</f>
        <v/>
      </c>
      <c r="S3765" s="2">
        <f>TEXT(DATEVALUE(B3765),"yyyy-mm")</f>
        <v/>
      </c>
    </row>
    <row r="3766">
      <c r="A3766" s="2" t="inlineStr">
        <is>
          <t>O001985</t>
        </is>
      </c>
      <c r="B3766" s="2" t="inlineStr">
        <is>
          <t>2025-10-03</t>
        </is>
      </c>
      <c r="C3766" s="2" t="inlineStr">
        <is>
          <t>C0208</t>
        </is>
      </c>
      <c r="D3766" s="2" t="inlineStr">
        <is>
          <t>P0024</t>
        </is>
      </c>
      <c r="E3766" s="2" t="inlineStr">
        <is>
          <t>Hair Dryer</t>
        </is>
      </c>
      <c r="F3766" s="2" t="inlineStr">
        <is>
          <t>Beauty</t>
        </is>
      </c>
      <c r="G3766" s="2" t="inlineStr">
        <is>
          <t>North</t>
        </is>
      </c>
      <c r="H3766" s="2" t="inlineStr">
        <is>
          <t>Delhi</t>
        </is>
      </c>
      <c r="I3766" s="2" t="inlineStr">
        <is>
          <t>New Delhi</t>
        </is>
      </c>
      <c r="J3766" s="2" t="inlineStr">
        <is>
          <t>Store</t>
        </is>
      </c>
      <c r="K3766" s="2" t="n">
        <v>1</v>
      </c>
      <c r="L3766" s="3" t="n">
        <v>984.37</v>
      </c>
      <c r="M3766" s="4" t="n">
        <v>0.05</v>
      </c>
      <c r="N3766" s="3" t="n">
        <v>725.91</v>
      </c>
      <c r="O3766" s="3">
        <f>K3766*L3766*(1-M3766)</f>
        <v/>
      </c>
      <c r="P3766" s="3">
        <f>O3766-N3766</f>
        <v/>
      </c>
      <c r="Q3766" s="5">
        <f>IFERROR(P3766/O3766,0)</f>
        <v/>
      </c>
      <c r="R3766" s="2">
        <f>TEXT(DATEVALUE(B3766),"mmm")</f>
        <v/>
      </c>
      <c r="S3766" s="2">
        <f>TEXT(DATEVALUE(B3766),"yyyy-mm")</f>
        <v/>
      </c>
    </row>
    <row r="3767">
      <c r="A3767" s="2" t="inlineStr">
        <is>
          <t>O003174</t>
        </is>
      </c>
      <c r="B3767" s="2" t="inlineStr">
        <is>
          <t>2025-10-03</t>
        </is>
      </c>
      <c r="C3767" s="2" t="inlineStr">
        <is>
          <t>C0394</t>
        </is>
      </c>
      <c r="D3767" s="2" t="inlineStr">
        <is>
          <t>P0022</t>
        </is>
      </c>
      <c r="E3767" s="2" t="inlineStr">
        <is>
          <t>Face Wash</t>
        </is>
      </c>
      <c r="F3767" s="2" t="inlineStr">
        <is>
          <t>Beauty</t>
        </is>
      </c>
      <c r="G3767" s="2" t="inlineStr">
        <is>
          <t>West</t>
        </is>
      </c>
      <c r="H3767" s="2" t="inlineStr">
        <is>
          <t>Goa</t>
        </is>
      </c>
      <c r="I3767" s="2" t="inlineStr">
        <is>
          <t>Panaji</t>
        </is>
      </c>
      <c r="J3767" s="2" t="inlineStr">
        <is>
          <t>Store</t>
        </is>
      </c>
      <c r="K3767" s="2" t="n">
        <v>2</v>
      </c>
      <c r="L3767" s="3" t="n">
        <v>566.48</v>
      </c>
      <c r="M3767" s="4" t="n">
        <v>0.15</v>
      </c>
      <c r="N3767" s="3" t="n">
        <v>715.25</v>
      </c>
      <c r="O3767" s="3">
        <f>K3767*L3767*(1-M3767)</f>
        <v/>
      </c>
      <c r="P3767" s="3">
        <f>O3767-N3767</f>
        <v/>
      </c>
      <c r="Q3767" s="5">
        <f>IFERROR(P3767/O3767,0)</f>
        <v/>
      </c>
      <c r="R3767" s="2">
        <f>TEXT(DATEVALUE(B3767),"mmm")</f>
        <v/>
      </c>
      <c r="S3767" s="2">
        <f>TEXT(DATEVALUE(B3767),"yyyy-mm")</f>
        <v/>
      </c>
    </row>
    <row r="3768">
      <c r="A3768" s="2" t="inlineStr">
        <is>
          <t>O002390</t>
        </is>
      </c>
      <c r="B3768" s="2" t="inlineStr">
        <is>
          <t>2025-10-03</t>
        </is>
      </c>
      <c r="C3768" s="2" t="inlineStr">
        <is>
          <t>C0694</t>
        </is>
      </c>
      <c r="D3768" s="2" t="inlineStr">
        <is>
          <t>P0008</t>
        </is>
      </c>
      <c r="E3768" s="2" t="inlineStr">
        <is>
          <t>Air Fryer</t>
        </is>
      </c>
      <c r="F3768" s="2" t="inlineStr">
        <is>
          <t>Home &amp; Kitchen</t>
        </is>
      </c>
      <c r="G3768" s="2" t="inlineStr">
        <is>
          <t>East</t>
        </is>
      </c>
      <c r="H3768" s="2" t="inlineStr">
        <is>
          <t>Odisha</t>
        </is>
      </c>
      <c r="I3768" s="2" t="inlineStr">
        <is>
          <t>Cuttack</t>
        </is>
      </c>
      <c r="J3768" s="2" t="inlineStr">
        <is>
          <t>Store</t>
        </is>
      </c>
      <c r="K3768" s="2" t="n">
        <v>1</v>
      </c>
      <c r="L3768" s="3" t="n">
        <v>1010.74</v>
      </c>
      <c r="M3768" s="4" t="n">
        <v>0.1</v>
      </c>
      <c r="N3768" s="3" t="n">
        <v>693.24</v>
      </c>
      <c r="O3768" s="3">
        <f>K3768*L3768*(1-M3768)</f>
        <v/>
      </c>
      <c r="P3768" s="3">
        <f>O3768-N3768</f>
        <v/>
      </c>
      <c r="Q3768" s="5">
        <f>IFERROR(P3768/O3768,0)</f>
        <v/>
      </c>
      <c r="R3768" s="2">
        <f>TEXT(DATEVALUE(B3768),"mmm")</f>
        <v/>
      </c>
      <c r="S3768" s="2">
        <f>TEXT(DATEVALUE(B3768),"yyyy-mm")</f>
        <v/>
      </c>
    </row>
    <row r="3769">
      <c r="A3769" s="2" t="inlineStr">
        <is>
          <t>O002022</t>
        </is>
      </c>
      <c r="B3769" s="2" t="inlineStr">
        <is>
          <t>2025-10-03</t>
        </is>
      </c>
      <c r="C3769" s="2" t="inlineStr">
        <is>
          <t>C0048</t>
        </is>
      </c>
      <c r="D3769" s="2" t="inlineStr">
        <is>
          <t>P0027</t>
        </is>
      </c>
      <c r="E3769" s="2" t="inlineStr">
        <is>
          <t>Moisturizer</t>
        </is>
      </c>
      <c r="F3769" s="2" t="inlineStr">
        <is>
          <t>Beauty</t>
        </is>
      </c>
      <c r="G3769" s="2" t="inlineStr">
        <is>
          <t>West</t>
        </is>
      </c>
      <c r="H3769" s="2" t="inlineStr">
        <is>
          <t>Goa</t>
        </is>
      </c>
      <c r="I3769" s="2" t="inlineStr">
        <is>
          <t>Margao</t>
        </is>
      </c>
      <c r="J3769" s="2" t="inlineStr">
        <is>
          <t>Online</t>
        </is>
      </c>
      <c r="K3769" s="2" t="n">
        <v>6</v>
      </c>
      <c r="L3769" s="3" t="n">
        <v>950.1</v>
      </c>
      <c r="M3769" s="4" t="n">
        <v>0</v>
      </c>
      <c r="N3769" s="3" t="n">
        <v>4229.38</v>
      </c>
      <c r="O3769" s="3">
        <f>K3769*L3769*(1-M3769)</f>
        <v/>
      </c>
      <c r="P3769" s="3">
        <f>O3769-N3769</f>
        <v/>
      </c>
      <c r="Q3769" s="5">
        <f>IFERROR(P3769/O3769,0)</f>
        <v/>
      </c>
      <c r="R3769" s="2">
        <f>TEXT(DATEVALUE(B3769),"mmm")</f>
        <v/>
      </c>
      <c r="S3769" s="2">
        <f>TEXT(DATEVALUE(B3769),"yyyy-mm")</f>
        <v/>
      </c>
    </row>
    <row r="3770">
      <c r="A3770" s="2" t="inlineStr">
        <is>
          <t>O003199</t>
        </is>
      </c>
      <c r="B3770" s="2" t="inlineStr">
        <is>
          <t>2025-10-03</t>
        </is>
      </c>
      <c r="C3770" s="2" t="inlineStr">
        <is>
          <t>C0418</t>
        </is>
      </c>
      <c r="D3770" s="2" t="inlineStr">
        <is>
          <t>P0031</t>
        </is>
      </c>
      <c r="E3770" s="2" t="inlineStr">
        <is>
          <t>Cricket Bat</t>
        </is>
      </c>
      <c r="F3770" s="2" t="inlineStr">
        <is>
          <t>Sports</t>
        </is>
      </c>
      <c r="G3770" s="2" t="inlineStr">
        <is>
          <t>East</t>
        </is>
      </c>
      <c r="H3770" s="2" t="inlineStr">
        <is>
          <t>Bihar</t>
        </is>
      </c>
      <c r="I3770" s="2" t="inlineStr">
        <is>
          <t>Gaya</t>
        </is>
      </c>
      <c r="J3770" s="2" t="inlineStr">
        <is>
          <t>Online</t>
        </is>
      </c>
      <c r="K3770" s="2" t="n">
        <v>3</v>
      </c>
      <c r="L3770" s="3" t="n">
        <v>1384.57</v>
      </c>
      <c r="M3770" s="4" t="n">
        <v>0</v>
      </c>
      <c r="N3770" s="3" t="n">
        <v>2876.14</v>
      </c>
      <c r="O3770" s="3">
        <f>K3770*L3770*(1-M3770)</f>
        <v/>
      </c>
      <c r="P3770" s="3">
        <f>O3770-N3770</f>
        <v/>
      </c>
      <c r="Q3770" s="5">
        <f>IFERROR(P3770/O3770,0)</f>
        <v/>
      </c>
      <c r="R3770" s="2">
        <f>TEXT(DATEVALUE(B3770),"mmm")</f>
        <v/>
      </c>
      <c r="S3770" s="2">
        <f>TEXT(DATEVALUE(B3770),"yyyy-mm")</f>
        <v/>
      </c>
    </row>
    <row r="3771">
      <c r="A3771" s="2" t="inlineStr">
        <is>
          <t>O003039</t>
        </is>
      </c>
      <c r="B3771" s="2" t="inlineStr">
        <is>
          <t>2025-10-04</t>
        </is>
      </c>
      <c r="C3771" s="2" t="inlineStr">
        <is>
          <t>C0217</t>
        </is>
      </c>
      <c r="D3771" s="2" t="inlineStr">
        <is>
          <t>P0022</t>
        </is>
      </c>
      <c r="E3771" s="2" t="inlineStr">
        <is>
          <t>Face Wash</t>
        </is>
      </c>
      <c r="F3771" s="2" t="inlineStr">
        <is>
          <t>Beauty</t>
        </is>
      </c>
      <c r="G3771" s="2" t="inlineStr">
        <is>
          <t>East</t>
        </is>
      </c>
      <c r="H3771" s="2" t="inlineStr">
        <is>
          <t>West Bengal</t>
        </is>
      </c>
      <c r="I3771" s="2" t="inlineStr">
        <is>
          <t>Durgapur</t>
        </is>
      </c>
      <c r="J3771" s="2" t="inlineStr">
        <is>
          <t>Online</t>
        </is>
      </c>
      <c r="K3771" s="2" t="n">
        <v>1</v>
      </c>
      <c r="L3771" s="3" t="n">
        <v>529.16</v>
      </c>
      <c r="M3771" s="4" t="n">
        <v>0</v>
      </c>
      <c r="N3771" s="3" t="n">
        <v>354.42</v>
      </c>
      <c r="O3771" s="3">
        <f>K3771*L3771*(1-M3771)</f>
        <v/>
      </c>
      <c r="P3771" s="3">
        <f>O3771-N3771</f>
        <v/>
      </c>
      <c r="Q3771" s="5">
        <f>IFERROR(P3771/O3771,0)</f>
        <v/>
      </c>
      <c r="R3771" s="2">
        <f>TEXT(DATEVALUE(B3771),"mmm")</f>
        <v/>
      </c>
      <c r="S3771" s="2">
        <f>TEXT(DATEVALUE(B3771),"yyyy-mm")</f>
        <v/>
      </c>
    </row>
    <row r="3772">
      <c r="A3772" s="2" t="inlineStr">
        <is>
          <t>O004890</t>
        </is>
      </c>
      <c r="B3772" s="2" t="inlineStr">
        <is>
          <t>2025-10-04</t>
        </is>
      </c>
      <c r="C3772" s="2" t="inlineStr">
        <is>
          <t>C0495</t>
        </is>
      </c>
      <c r="D3772" s="2" t="inlineStr">
        <is>
          <t>P0011</t>
        </is>
      </c>
      <c r="E3772" s="2" t="inlineStr">
        <is>
          <t>Cookware Set</t>
        </is>
      </c>
      <c r="F3772" s="2" t="inlineStr">
        <is>
          <t>Home &amp; Kitchen</t>
        </is>
      </c>
      <c r="G3772" s="2" t="inlineStr">
        <is>
          <t>West</t>
        </is>
      </c>
      <c r="H3772" s="2" t="inlineStr">
        <is>
          <t>Goa</t>
        </is>
      </c>
      <c r="I3772" s="2" t="inlineStr">
        <is>
          <t>Panaji</t>
        </is>
      </c>
      <c r="J3772" s="2" t="inlineStr">
        <is>
          <t>Online</t>
        </is>
      </c>
      <c r="K3772" s="2" t="n">
        <v>1</v>
      </c>
      <c r="L3772" s="3" t="n">
        <v>684.4299999999999</v>
      </c>
      <c r="M3772" s="4" t="n">
        <v>0</v>
      </c>
      <c r="N3772" s="3" t="n">
        <v>477.49</v>
      </c>
      <c r="O3772" s="3">
        <f>K3772*L3772*(1-M3772)</f>
        <v/>
      </c>
      <c r="P3772" s="3">
        <f>O3772-N3772</f>
        <v/>
      </c>
      <c r="Q3772" s="5">
        <f>IFERROR(P3772/O3772,0)</f>
        <v/>
      </c>
      <c r="R3772" s="2">
        <f>TEXT(DATEVALUE(B3772),"mmm")</f>
        <v/>
      </c>
      <c r="S3772" s="2">
        <f>TEXT(DATEVALUE(B3772),"yyyy-mm")</f>
        <v/>
      </c>
    </row>
    <row r="3773">
      <c r="A3773" s="2" t="inlineStr">
        <is>
          <t>O004732</t>
        </is>
      </c>
      <c r="B3773" s="2" t="inlineStr">
        <is>
          <t>2025-10-04</t>
        </is>
      </c>
      <c r="C3773" s="2" t="inlineStr">
        <is>
          <t>C0046</t>
        </is>
      </c>
      <c r="D3773" s="2" t="inlineStr">
        <is>
          <t>P0007</t>
        </is>
      </c>
      <c r="E3773" s="2" t="inlineStr">
        <is>
          <t>Wireless Mouse</t>
        </is>
      </c>
      <c r="F3773" s="2" t="inlineStr">
        <is>
          <t>Electronics</t>
        </is>
      </c>
      <c r="G3773" s="2" t="inlineStr">
        <is>
          <t>East</t>
        </is>
      </c>
      <c r="H3773" s="2" t="inlineStr">
        <is>
          <t>Bihar</t>
        </is>
      </c>
      <c r="I3773" s="2" t="inlineStr">
        <is>
          <t>Patna</t>
        </is>
      </c>
      <c r="J3773" s="2" t="inlineStr">
        <is>
          <t>Online</t>
        </is>
      </c>
      <c r="K3773" s="2" t="n">
        <v>1</v>
      </c>
      <c r="L3773" s="3" t="n">
        <v>1017.55</v>
      </c>
      <c r="M3773" s="4" t="n">
        <v>0.05</v>
      </c>
      <c r="N3773" s="3" t="n">
        <v>606.6799999999999</v>
      </c>
      <c r="O3773" s="3">
        <f>K3773*L3773*(1-M3773)</f>
        <v/>
      </c>
      <c r="P3773" s="3">
        <f>O3773-N3773</f>
        <v/>
      </c>
      <c r="Q3773" s="5">
        <f>IFERROR(P3773/O3773,0)</f>
        <v/>
      </c>
      <c r="R3773" s="2">
        <f>TEXT(DATEVALUE(B3773),"mmm")</f>
        <v/>
      </c>
      <c r="S3773" s="2">
        <f>TEXT(DATEVALUE(B3773),"yyyy-mm")</f>
        <v/>
      </c>
    </row>
    <row r="3774">
      <c r="A3774" s="2" t="inlineStr">
        <is>
          <t>O004515</t>
        </is>
      </c>
      <c r="B3774" s="2" t="inlineStr">
        <is>
          <t>2025-10-04</t>
        </is>
      </c>
      <c r="C3774" s="2" t="inlineStr">
        <is>
          <t>C0567</t>
        </is>
      </c>
      <c r="D3774" s="2" t="inlineStr">
        <is>
          <t>P0032</t>
        </is>
      </c>
      <c r="E3774" s="2" t="inlineStr">
        <is>
          <t>Football</t>
        </is>
      </c>
      <c r="F3774" s="2" t="inlineStr">
        <is>
          <t>Sports</t>
        </is>
      </c>
      <c r="G3774" s="2" t="inlineStr">
        <is>
          <t>North</t>
        </is>
      </c>
      <c r="H3774" s="2" t="inlineStr">
        <is>
          <t>Haryana</t>
        </is>
      </c>
      <c r="I3774" s="2" t="inlineStr">
        <is>
          <t>Faridabad</t>
        </is>
      </c>
      <c r="J3774" s="2" t="inlineStr">
        <is>
          <t>Online</t>
        </is>
      </c>
      <c r="K3774" s="2" t="n">
        <v>5</v>
      </c>
      <c r="L3774" s="3" t="n">
        <v>815.21</v>
      </c>
      <c r="M3774" s="4" t="n">
        <v>0.05</v>
      </c>
      <c r="N3774" s="3" t="n">
        <v>2711.12</v>
      </c>
      <c r="O3774" s="3">
        <f>K3774*L3774*(1-M3774)</f>
        <v/>
      </c>
      <c r="P3774" s="3">
        <f>O3774-N3774</f>
        <v/>
      </c>
      <c r="Q3774" s="5">
        <f>IFERROR(P3774/O3774,0)</f>
        <v/>
      </c>
      <c r="R3774" s="2">
        <f>TEXT(DATEVALUE(B3774),"mmm")</f>
        <v/>
      </c>
      <c r="S3774" s="2">
        <f>TEXT(DATEVALUE(B3774),"yyyy-mm")</f>
        <v/>
      </c>
    </row>
    <row r="3775">
      <c r="A3775" s="2" t="inlineStr">
        <is>
          <t>O003920</t>
        </is>
      </c>
      <c r="B3775" s="2" t="inlineStr">
        <is>
          <t>2025-10-04</t>
        </is>
      </c>
      <c r="C3775" s="2" t="inlineStr">
        <is>
          <t>C0249</t>
        </is>
      </c>
      <c r="D3775" s="2" t="inlineStr">
        <is>
          <t>P0030</t>
        </is>
      </c>
      <c r="E3775" s="2" t="inlineStr">
        <is>
          <t>Dumbbells</t>
        </is>
      </c>
      <c r="F3775" s="2" t="inlineStr">
        <is>
          <t>Sports</t>
        </is>
      </c>
      <c r="G3775" s="2" t="inlineStr">
        <is>
          <t>South</t>
        </is>
      </c>
      <c r="H3775" s="2" t="inlineStr">
        <is>
          <t>Karnataka</t>
        </is>
      </c>
      <c r="I3775" s="2" t="inlineStr">
        <is>
          <t>Mangaluru</t>
        </is>
      </c>
      <c r="J3775" s="2" t="inlineStr">
        <is>
          <t>Store</t>
        </is>
      </c>
      <c r="K3775" s="2" t="n">
        <v>1</v>
      </c>
      <c r="L3775" s="3" t="n">
        <v>1582.72</v>
      </c>
      <c r="M3775" s="4" t="n">
        <v>0.15</v>
      </c>
      <c r="N3775" s="3" t="n">
        <v>1062.47</v>
      </c>
      <c r="O3775" s="3">
        <f>K3775*L3775*(1-M3775)</f>
        <v/>
      </c>
      <c r="P3775" s="3">
        <f>O3775-N3775</f>
        <v/>
      </c>
      <c r="Q3775" s="5">
        <f>IFERROR(P3775/O3775,0)</f>
        <v/>
      </c>
      <c r="R3775" s="2">
        <f>TEXT(DATEVALUE(B3775),"mmm")</f>
        <v/>
      </c>
      <c r="S3775" s="2">
        <f>TEXT(DATEVALUE(B3775),"yyyy-mm")</f>
        <v/>
      </c>
    </row>
    <row r="3776">
      <c r="A3776" s="2" t="inlineStr">
        <is>
          <t>O003557</t>
        </is>
      </c>
      <c r="B3776" s="2" t="inlineStr">
        <is>
          <t>2025-10-04</t>
        </is>
      </c>
      <c r="C3776" s="2" t="inlineStr">
        <is>
          <t>C0267</t>
        </is>
      </c>
      <c r="D3776" s="2" t="inlineStr">
        <is>
          <t>P0016</t>
        </is>
      </c>
      <c r="E3776" s="2" t="inlineStr">
        <is>
          <t>Casual Shirt</t>
        </is>
      </c>
      <c r="F3776" s="2" t="inlineStr">
        <is>
          <t>Fashion</t>
        </is>
      </c>
      <c r="G3776" s="2" t="inlineStr">
        <is>
          <t>West</t>
        </is>
      </c>
      <c r="H3776" s="2" t="inlineStr">
        <is>
          <t>Goa</t>
        </is>
      </c>
      <c r="I3776" s="2" t="inlineStr">
        <is>
          <t>Panaji</t>
        </is>
      </c>
      <c r="J3776" s="2" t="inlineStr">
        <is>
          <t>Online</t>
        </is>
      </c>
      <c r="K3776" s="2" t="n">
        <v>2</v>
      </c>
      <c r="L3776" s="3" t="n">
        <v>1233.99</v>
      </c>
      <c r="M3776" s="4" t="n">
        <v>0.25</v>
      </c>
      <c r="N3776" s="3" t="n">
        <v>1857.14</v>
      </c>
      <c r="O3776" s="3">
        <f>K3776*L3776*(1-M3776)</f>
        <v/>
      </c>
      <c r="P3776" s="3">
        <f>O3776-N3776</f>
        <v/>
      </c>
      <c r="Q3776" s="5">
        <f>IFERROR(P3776/O3776,0)</f>
        <v/>
      </c>
      <c r="R3776" s="2">
        <f>TEXT(DATEVALUE(B3776),"mmm")</f>
        <v/>
      </c>
      <c r="S3776" s="2">
        <f>TEXT(DATEVALUE(B3776),"yyyy-mm")</f>
        <v/>
      </c>
    </row>
    <row r="3777">
      <c r="A3777" s="2" t="inlineStr">
        <is>
          <t>O003352</t>
        </is>
      </c>
      <c r="B3777" s="2" t="inlineStr">
        <is>
          <t>2025-10-04</t>
        </is>
      </c>
      <c r="C3777" s="2" t="inlineStr">
        <is>
          <t>C0512</t>
        </is>
      </c>
      <c r="D3777" s="2" t="inlineStr">
        <is>
          <t>P0031</t>
        </is>
      </c>
      <c r="E3777" s="2" t="inlineStr">
        <is>
          <t>Cricket Bat</t>
        </is>
      </c>
      <c r="F3777" s="2" t="inlineStr">
        <is>
          <t>Sports</t>
        </is>
      </c>
      <c r="G3777" s="2" t="inlineStr">
        <is>
          <t>West</t>
        </is>
      </c>
      <c r="H3777" s="2" t="inlineStr">
        <is>
          <t>Gujarat</t>
        </is>
      </c>
      <c r="I3777" s="2" t="inlineStr">
        <is>
          <t>Ahmedabad</t>
        </is>
      </c>
      <c r="J3777" s="2" t="inlineStr">
        <is>
          <t>Store</t>
        </is>
      </c>
      <c r="K3777" s="2" t="n">
        <v>1</v>
      </c>
      <c r="L3777" s="3" t="n">
        <v>1420.71</v>
      </c>
      <c r="M3777" s="4" t="n">
        <v>0.15</v>
      </c>
      <c r="N3777" s="3" t="n">
        <v>971.72</v>
      </c>
      <c r="O3777" s="3">
        <f>K3777*L3777*(1-M3777)</f>
        <v/>
      </c>
      <c r="P3777" s="3">
        <f>O3777-N3777</f>
        <v/>
      </c>
      <c r="Q3777" s="5">
        <f>IFERROR(P3777/O3777,0)</f>
        <v/>
      </c>
      <c r="R3777" s="2">
        <f>TEXT(DATEVALUE(B3777),"mmm")</f>
        <v/>
      </c>
      <c r="S3777" s="2">
        <f>TEXT(DATEVALUE(B3777),"yyyy-mm")</f>
        <v/>
      </c>
    </row>
    <row r="3778">
      <c r="A3778" s="2" t="inlineStr">
        <is>
          <t>O003263</t>
        </is>
      </c>
      <c r="B3778" s="2" t="inlineStr">
        <is>
          <t>2025-10-04</t>
        </is>
      </c>
      <c r="C3778" s="2" t="inlineStr">
        <is>
          <t>C0508</t>
        </is>
      </c>
      <c r="D3778" s="2" t="inlineStr">
        <is>
          <t>P0027</t>
        </is>
      </c>
      <c r="E3778" s="2" t="inlineStr">
        <is>
          <t>Moisturizer</t>
        </is>
      </c>
      <c r="F3778" s="2" t="inlineStr">
        <is>
          <t>Beauty</t>
        </is>
      </c>
      <c r="G3778" s="2" t="inlineStr">
        <is>
          <t>North</t>
        </is>
      </c>
      <c r="H3778" s="2" t="inlineStr">
        <is>
          <t>Delhi</t>
        </is>
      </c>
      <c r="I3778" s="2" t="inlineStr">
        <is>
          <t>New Delhi</t>
        </is>
      </c>
      <c r="J3778" s="2" t="inlineStr">
        <is>
          <t>Store</t>
        </is>
      </c>
      <c r="K3778" s="2" t="n">
        <v>1</v>
      </c>
      <c r="L3778" s="3" t="n">
        <v>985.9299999999999</v>
      </c>
      <c r="M3778" s="4" t="n">
        <v>0.1</v>
      </c>
      <c r="N3778" s="3" t="n">
        <v>706.21</v>
      </c>
      <c r="O3778" s="3">
        <f>K3778*L3778*(1-M3778)</f>
        <v/>
      </c>
      <c r="P3778" s="3">
        <f>O3778-N3778</f>
        <v/>
      </c>
      <c r="Q3778" s="5">
        <f>IFERROR(P3778/O3778,0)</f>
        <v/>
      </c>
      <c r="R3778" s="2">
        <f>TEXT(DATEVALUE(B3778),"mmm")</f>
        <v/>
      </c>
      <c r="S3778" s="2">
        <f>TEXT(DATEVALUE(B3778),"yyyy-mm")</f>
        <v/>
      </c>
    </row>
    <row r="3779">
      <c r="A3779" s="2" t="inlineStr">
        <is>
          <t>O002554</t>
        </is>
      </c>
      <c r="B3779" s="2" t="inlineStr">
        <is>
          <t>2025-10-04</t>
        </is>
      </c>
      <c r="C3779" s="2" t="inlineStr">
        <is>
          <t>C0616</t>
        </is>
      </c>
      <c r="D3779" s="2" t="inlineStr">
        <is>
          <t>P0004</t>
        </is>
      </c>
      <c r="E3779" s="2" t="inlineStr">
        <is>
          <t>USB-C Hub</t>
        </is>
      </c>
      <c r="F3779" s="2" t="inlineStr">
        <is>
          <t>Electronics</t>
        </is>
      </c>
      <c r="G3779" s="2" t="inlineStr">
        <is>
          <t>East</t>
        </is>
      </c>
      <c r="H3779" s="2" t="inlineStr">
        <is>
          <t>West Bengal</t>
        </is>
      </c>
      <c r="I3779" s="2" t="inlineStr">
        <is>
          <t>Durgapur</t>
        </is>
      </c>
      <c r="J3779" s="2" t="inlineStr">
        <is>
          <t>Online</t>
        </is>
      </c>
      <c r="K3779" s="2" t="n">
        <v>4</v>
      </c>
      <c r="L3779" s="3" t="n">
        <v>1319.47</v>
      </c>
      <c r="M3779" s="4" t="n">
        <v>0</v>
      </c>
      <c r="N3779" s="3" t="n">
        <v>3715.39</v>
      </c>
      <c r="O3779" s="3">
        <f>K3779*L3779*(1-M3779)</f>
        <v/>
      </c>
      <c r="P3779" s="3">
        <f>O3779-N3779</f>
        <v/>
      </c>
      <c r="Q3779" s="5">
        <f>IFERROR(P3779/O3779,0)</f>
        <v/>
      </c>
      <c r="R3779" s="2">
        <f>TEXT(DATEVALUE(B3779),"mmm")</f>
        <v/>
      </c>
      <c r="S3779" s="2">
        <f>TEXT(DATEVALUE(B3779),"yyyy-mm")</f>
        <v/>
      </c>
    </row>
    <row r="3780">
      <c r="A3780" s="2" t="inlineStr">
        <is>
          <t>O002933</t>
        </is>
      </c>
      <c r="B3780" s="2" t="inlineStr">
        <is>
          <t>2025-10-04</t>
        </is>
      </c>
      <c r="C3780" s="2" t="inlineStr">
        <is>
          <t>C0610</t>
        </is>
      </c>
      <c r="D3780" s="2" t="inlineStr">
        <is>
          <t>P0012</t>
        </is>
      </c>
      <c r="E3780" s="2" t="inlineStr">
        <is>
          <t>Water Bottle</t>
        </is>
      </c>
      <c r="F3780" s="2" t="inlineStr">
        <is>
          <t>Home &amp; Kitchen</t>
        </is>
      </c>
      <c r="G3780" s="2" t="inlineStr">
        <is>
          <t>South</t>
        </is>
      </c>
      <c r="H3780" s="2" t="inlineStr">
        <is>
          <t>Telangana</t>
        </is>
      </c>
      <c r="I3780" s="2" t="inlineStr">
        <is>
          <t>Hyderabad</t>
        </is>
      </c>
      <c r="J3780" s="2" t="inlineStr">
        <is>
          <t>Online</t>
        </is>
      </c>
      <c r="K3780" s="2" t="n">
        <v>3</v>
      </c>
      <c r="L3780" s="3" t="n">
        <v>1010.25</v>
      </c>
      <c r="M3780" s="4" t="n">
        <v>0.05</v>
      </c>
      <c r="N3780" s="3" t="n">
        <v>1913.43</v>
      </c>
      <c r="O3780" s="3">
        <f>K3780*L3780*(1-M3780)</f>
        <v/>
      </c>
      <c r="P3780" s="3">
        <f>O3780-N3780</f>
        <v/>
      </c>
      <c r="Q3780" s="5">
        <f>IFERROR(P3780/O3780,0)</f>
        <v/>
      </c>
      <c r="R3780" s="2">
        <f>TEXT(DATEVALUE(B3780),"mmm")</f>
        <v/>
      </c>
      <c r="S3780" s="2">
        <f>TEXT(DATEVALUE(B3780),"yyyy-mm")</f>
        <v/>
      </c>
    </row>
    <row r="3781">
      <c r="A3781" s="2" t="inlineStr">
        <is>
          <t>O002200</t>
        </is>
      </c>
      <c r="B3781" s="2" t="inlineStr">
        <is>
          <t>2025-10-04</t>
        </is>
      </c>
      <c r="C3781" s="2" t="inlineStr">
        <is>
          <t>C0227</t>
        </is>
      </c>
      <c r="D3781" s="2" t="inlineStr">
        <is>
          <t>P0008</t>
        </is>
      </c>
      <c r="E3781" s="2" t="inlineStr">
        <is>
          <t>Air Fryer</t>
        </is>
      </c>
      <c r="F3781" s="2" t="inlineStr">
        <is>
          <t>Home &amp; Kitchen</t>
        </is>
      </c>
      <c r="G3781" s="2" t="inlineStr">
        <is>
          <t>East</t>
        </is>
      </c>
      <c r="H3781" s="2" t="inlineStr">
        <is>
          <t>Odisha</t>
        </is>
      </c>
      <c r="I3781" s="2" t="inlineStr">
        <is>
          <t>Cuttack</t>
        </is>
      </c>
      <c r="J3781" s="2" t="inlineStr">
        <is>
          <t>Online</t>
        </is>
      </c>
      <c r="K3781" s="2" t="n">
        <v>1</v>
      </c>
      <c r="L3781" s="3" t="n">
        <v>1085.55</v>
      </c>
      <c r="M3781" s="4" t="n">
        <v>0.1</v>
      </c>
      <c r="N3781" s="3" t="n">
        <v>686.34</v>
      </c>
      <c r="O3781" s="3">
        <f>K3781*L3781*(1-M3781)</f>
        <v/>
      </c>
      <c r="P3781" s="3">
        <f>O3781-N3781</f>
        <v/>
      </c>
      <c r="Q3781" s="5">
        <f>IFERROR(P3781/O3781,0)</f>
        <v/>
      </c>
      <c r="R3781" s="2">
        <f>TEXT(DATEVALUE(B3781),"mmm")</f>
        <v/>
      </c>
      <c r="S3781" s="2">
        <f>TEXT(DATEVALUE(B3781),"yyyy-mm")</f>
        <v/>
      </c>
    </row>
    <row r="3782">
      <c r="A3782" s="2" t="inlineStr">
        <is>
          <t>O002158</t>
        </is>
      </c>
      <c r="B3782" s="2" t="inlineStr">
        <is>
          <t>2025-10-04</t>
        </is>
      </c>
      <c r="C3782" s="2" t="inlineStr">
        <is>
          <t>C0556</t>
        </is>
      </c>
      <c r="D3782" s="2" t="inlineStr">
        <is>
          <t>P0026</t>
        </is>
      </c>
      <c r="E3782" s="2" t="inlineStr">
        <is>
          <t>Shampoo</t>
        </is>
      </c>
      <c r="F3782" s="2" t="inlineStr">
        <is>
          <t>Beauty</t>
        </is>
      </c>
      <c r="G3782" s="2" t="inlineStr">
        <is>
          <t>East</t>
        </is>
      </c>
      <c r="H3782" s="2" t="inlineStr">
        <is>
          <t>Bihar</t>
        </is>
      </c>
      <c r="I3782" s="2" t="inlineStr">
        <is>
          <t>Gaya</t>
        </is>
      </c>
      <c r="J3782" s="2" t="inlineStr">
        <is>
          <t>Store</t>
        </is>
      </c>
      <c r="K3782" s="2" t="n">
        <v>2</v>
      </c>
      <c r="L3782" s="3" t="n">
        <v>892.72</v>
      </c>
      <c r="M3782" s="4" t="n">
        <v>0.05</v>
      </c>
      <c r="N3782" s="3" t="n">
        <v>1044.7</v>
      </c>
      <c r="O3782" s="3">
        <f>K3782*L3782*(1-M3782)</f>
        <v/>
      </c>
      <c r="P3782" s="3">
        <f>O3782-N3782</f>
        <v/>
      </c>
      <c r="Q3782" s="5">
        <f>IFERROR(P3782/O3782,0)</f>
        <v/>
      </c>
      <c r="R3782" s="2">
        <f>TEXT(DATEVALUE(B3782),"mmm")</f>
        <v/>
      </c>
      <c r="S3782" s="2">
        <f>TEXT(DATEVALUE(B3782),"yyyy-mm")</f>
        <v/>
      </c>
    </row>
    <row r="3783">
      <c r="A3783" s="2" t="inlineStr">
        <is>
          <t>O001795</t>
        </is>
      </c>
      <c r="B3783" s="2" t="inlineStr">
        <is>
          <t>2025-10-04</t>
        </is>
      </c>
      <c r="C3783" s="2" t="inlineStr">
        <is>
          <t>C0675</t>
        </is>
      </c>
      <c r="D3783" s="2" t="inlineStr">
        <is>
          <t>P0014</t>
        </is>
      </c>
      <c r="E3783" s="2" t="inlineStr">
        <is>
          <t>Coffee Maker</t>
        </is>
      </c>
      <c r="F3783" s="2" t="inlineStr">
        <is>
          <t>Home &amp; Kitchen</t>
        </is>
      </c>
      <c r="G3783" s="2" t="inlineStr">
        <is>
          <t>South</t>
        </is>
      </c>
      <c r="H3783" s="2" t="inlineStr">
        <is>
          <t>Karnataka</t>
        </is>
      </c>
      <c r="I3783" s="2" t="inlineStr">
        <is>
          <t>Mangaluru</t>
        </is>
      </c>
      <c r="J3783" s="2" t="inlineStr">
        <is>
          <t>Online</t>
        </is>
      </c>
      <c r="K3783" s="2" t="n">
        <v>2</v>
      </c>
      <c r="L3783" s="3" t="n">
        <v>1025.87</v>
      </c>
      <c r="M3783" s="4" t="n">
        <v>0.15</v>
      </c>
      <c r="N3783" s="3" t="n">
        <v>1564.56</v>
      </c>
      <c r="O3783" s="3">
        <f>K3783*L3783*(1-M3783)</f>
        <v/>
      </c>
      <c r="P3783" s="3">
        <f>O3783-N3783</f>
        <v/>
      </c>
      <c r="Q3783" s="5">
        <f>IFERROR(P3783/O3783,0)</f>
        <v/>
      </c>
      <c r="R3783" s="2">
        <f>TEXT(DATEVALUE(B3783),"mmm")</f>
        <v/>
      </c>
      <c r="S3783" s="2">
        <f>TEXT(DATEVALUE(B3783),"yyyy-mm")</f>
        <v/>
      </c>
    </row>
    <row r="3784">
      <c r="A3784" s="2" t="inlineStr">
        <is>
          <t>O000945</t>
        </is>
      </c>
      <c r="B3784" s="2" t="inlineStr">
        <is>
          <t>2025-10-04</t>
        </is>
      </c>
      <c r="C3784" s="2" t="inlineStr">
        <is>
          <t>C0394</t>
        </is>
      </c>
      <c r="D3784" s="2" t="inlineStr">
        <is>
          <t>P0018</t>
        </is>
      </c>
      <c r="E3784" s="2" t="inlineStr">
        <is>
          <t>Backpack</t>
        </is>
      </c>
      <c r="F3784" s="2" t="inlineStr">
        <is>
          <t>Fashion</t>
        </is>
      </c>
      <c r="G3784" s="2" t="inlineStr">
        <is>
          <t>North</t>
        </is>
      </c>
      <c r="H3784" s="2" t="inlineStr">
        <is>
          <t>Uttar Pradesh</t>
        </is>
      </c>
      <c r="I3784" s="2" t="inlineStr">
        <is>
          <t>Lucknow</t>
        </is>
      </c>
      <c r="J3784" s="2" t="inlineStr">
        <is>
          <t>Online</t>
        </is>
      </c>
      <c r="K3784" s="2" t="n">
        <v>1</v>
      </c>
      <c r="L3784" s="3" t="n">
        <v>1783.05</v>
      </c>
      <c r="M3784" s="4" t="n">
        <v>0</v>
      </c>
      <c r="N3784" s="3" t="n">
        <v>1340.47</v>
      </c>
      <c r="O3784" s="3">
        <f>K3784*L3784*(1-M3784)</f>
        <v/>
      </c>
      <c r="P3784" s="3">
        <f>O3784-N3784</f>
        <v/>
      </c>
      <c r="Q3784" s="5">
        <f>IFERROR(P3784/O3784,0)</f>
        <v/>
      </c>
      <c r="R3784" s="2">
        <f>TEXT(DATEVALUE(B3784),"mmm")</f>
        <v/>
      </c>
      <c r="S3784" s="2">
        <f>TEXT(DATEVALUE(B3784),"yyyy-mm")</f>
        <v/>
      </c>
    </row>
    <row r="3785">
      <c r="A3785" s="2" t="inlineStr">
        <is>
          <t>O000842</t>
        </is>
      </c>
      <c r="B3785" s="2" t="inlineStr">
        <is>
          <t>2025-10-04</t>
        </is>
      </c>
      <c r="C3785" s="2" t="inlineStr">
        <is>
          <t>C0793</t>
        </is>
      </c>
      <c r="D3785" s="2" t="inlineStr">
        <is>
          <t>P0011</t>
        </is>
      </c>
      <c r="E3785" s="2" t="inlineStr">
        <is>
          <t>Cookware Set</t>
        </is>
      </c>
      <c r="F3785" s="2" t="inlineStr">
        <is>
          <t>Home &amp; Kitchen</t>
        </is>
      </c>
      <c r="G3785" s="2" t="inlineStr">
        <is>
          <t>West</t>
        </is>
      </c>
      <c r="H3785" s="2" t="inlineStr">
        <is>
          <t>Maharashtra</t>
        </is>
      </c>
      <c r="I3785" s="2" t="inlineStr">
        <is>
          <t>Nashik</t>
        </is>
      </c>
      <c r="J3785" s="2" t="inlineStr">
        <is>
          <t>Online</t>
        </is>
      </c>
      <c r="K3785" s="2" t="n">
        <v>3</v>
      </c>
      <c r="L3785" s="3" t="n">
        <v>699.42</v>
      </c>
      <c r="M3785" s="4" t="n">
        <v>0.05</v>
      </c>
      <c r="N3785" s="3" t="n">
        <v>1425.67</v>
      </c>
      <c r="O3785" s="3">
        <f>K3785*L3785*(1-M3785)</f>
        <v/>
      </c>
      <c r="P3785" s="3">
        <f>O3785-N3785</f>
        <v/>
      </c>
      <c r="Q3785" s="5">
        <f>IFERROR(P3785/O3785,0)</f>
        <v/>
      </c>
      <c r="R3785" s="2">
        <f>TEXT(DATEVALUE(B3785),"mmm")</f>
        <v/>
      </c>
      <c r="S3785" s="2">
        <f>TEXT(DATEVALUE(B3785),"yyyy-mm")</f>
        <v/>
      </c>
    </row>
    <row r="3786">
      <c r="A3786" s="2" t="inlineStr">
        <is>
          <t>O000538</t>
        </is>
      </c>
      <c r="B3786" s="2" t="inlineStr">
        <is>
          <t>2025-10-04</t>
        </is>
      </c>
      <c r="C3786" s="2" t="inlineStr">
        <is>
          <t>C0089</t>
        </is>
      </c>
      <c r="D3786" s="2" t="inlineStr">
        <is>
          <t>P0011</t>
        </is>
      </c>
      <c r="E3786" s="2" t="inlineStr">
        <is>
          <t>Cookware Set</t>
        </is>
      </c>
      <c r="F3786" s="2" t="inlineStr">
        <is>
          <t>Home &amp; Kitchen</t>
        </is>
      </c>
      <c r="G3786" s="2" t="inlineStr">
        <is>
          <t>South</t>
        </is>
      </c>
      <c r="H3786" s="2" t="inlineStr">
        <is>
          <t>Telangana</t>
        </is>
      </c>
      <c r="I3786" s="2" t="inlineStr">
        <is>
          <t>Hyderabad</t>
        </is>
      </c>
      <c r="J3786" s="2" t="inlineStr">
        <is>
          <t>Online</t>
        </is>
      </c>
      <c r="K3786" s="2" t="n">
        <v>2</v>
      </c>
      <c r="L3786" s="3" t="n">
        <v>703.61</v>
      </c>
      <c r="M3786" s="4" t="n">
        <v>0.15</v>
      </c>
      <c r="N3786" s="3" t="n">
        <v>929.49</v>
      </c>
      <c r="O3786" s="3">
        <f>K3786*L3786*(1-M3786)</f>
        <v/>
      </c>
      <c r="P3786" s="3">
        <f>O3786-N3786</f>
        <v/>
      </c>
      <c r="Q3786" s="5">
        <f>IFERROR(P3786/O3786,0)</f>
        <v/>
      </c>
      <c r="R3786" s="2">
        <f>TEXT(DATEVALUE(B3786),"mmm")</f>
        <v/>
      </c>
      <c r="S3786" s="2">
        <f>TEXT(DATEVALUE(B3786),"yyyy-mm")</f>
        <v/>
      </c>
    </row>
    <row r="3787">
      <c r="A3787" s="2" t="inlineStr">
        <is>
          <t>O000319</t>
        </is>
      </c>
      <c r="B3787" s="2" t="inlineStr">
        <is>
          <t>2025-10-04</t>
        </is>
      </c>
      <c r="C3787" s="2" t="inlineStr">
        <is>
          <t>C0566</t>
        </is>
      </c>
      <c r="D3787" s="2" t="inlineStr">
        <is>
          <t>P0001</t>
        </is>
      </c>
      <c r="E3787" s="2" t="inlineStr">
        <is>
          <t>Wireless Headphones</t>
        </is>
      </c>
      <c r="F3787" s="2" t="inlineStr">
        <is>
          <t>Electronics</t>
        </is>
      </c>
      <c r="G3787" s="2" t="inlineStr">
        <is>
          <t>North</t>
        </is>
      </c>
      <c r="H3787" s="2" t="inlineStr">
        <is>
          <t>Haryana</t>
        </is>
      </c>
      <c r="I3787" s="2" t="inlineStr">
        <is>
          <t>Faridabad</t>
        </is>
      </c>
      <c r="J3787" s="2" t="inlineStr">
        <is>
          <t>Online</t>
        </is>
      </c>
      <c r="K3787" s="2" t="n">
        <v>2</v>
      </c>
      <c r="L3787" s="3" t="n">
        <v>1371.68</v>
      </c>
      <c r="M3787" s="4" t="n">
        <v>0.1</v>
      </c>
      <c r="N3787" s="3" t="n">
        <v>1400.56</v>
      </c>
      <c r="O3787" s="3">
        <f>K3787*L3787*(1-M3787)</f>
        <v/>
      </c>
      <c r="P3787" s="3">
        <f>O3787-N3787</f>
        <v/>
      </c>
      <c r="Q3787" s="5">
        <f>IFERROR(P3787/O3787,0)</f>
        <v/>
      </c>
      <c r="R3787" s="2">
        <f>TEXT(DATEVALUE(B3787),"mmm")</f>
        <v/>
      </c>
      <c r="S3787" s="2">
        <f>TEXT(DATEVALUE(B3787),"yyyy-mm")</f>
        <v/>
      </c>
    </row>
    <row r="3788">
      <c r="A3788" s="2" t="inlineStr">
        <is>
          <t>O000301</t>
        </is>
      </c>
      <c r="B3788" s="2" t="inlineStr">
        <is>
          <t>2025-10-04</t>
        </is>
      </c>
      <c r="C3788" s="2" t="inlineStr">
        <is>
          <t>C0231</t>
        </is>
      </c>
      <c r="D3788" s="2" t="inlineStr">
        <is>
          <t>P0021</t>
        </is>
      </c>
      <c r="E3788" s="2" t="inlineStr">
        <is>
          <t>Wallet</t>
        </is>
      </c>
      <c r="F3788" s="2" t="inlineStr">
        <is>
          <t>Fashion</t>
        </is>
      </c>
      <c r="G3788" s="2" t="inlineStr">
        <is>
          <t>South</t>
        </is>
      </c>
      <c r="H3788" s="2" t="inlineStr">
        <is>
          <t>Telangana</t>
        </is>
      </c>
      <c r="I3788" s="2" t="inlineStr">
        <is>
          <t>Hyderabad</t>
        </is>
      </c>
      <c r="J3788" s="2" t="inlineStr">
        <is>
          <t>Online</t>
        </is>
      </c>
      <c r="K3788" s="2" t="n">
        <v>4</v>
      </c>
      <c r="L3788" s="3" t="n">
        <v>1971.55</v>
      </c>
      <c r="M3788" s="4" t="n">
        <v>0.1</v>
      </c>
      <c r="N3788" s="3" t="n">
        <v>4887.67</v>
      </c>
      <c r="O3788" s="3">
        <f>K3788*L3788*(1-M3788)</f>
        <v/>
      </c>
      <c r="P3788" s="3">
        <f>O3788-N3788</f>
        <v/>
      </c>
      <c r="Q3788" s="5">
        <f>IFERROR(P3788/O3788,0)</f>
        <v/>
      </c>
      <c r="R3788" s="2">
        <f>TEXT(DATEVALUE(B3788),"mmm")</f>
        <v/>
      </c>
      <c r="S3788" s="2">
        <f>TEXT(DATEVALUE(B3788),"yyyy-mm")</f>
        <v/>
      </c>
    </row>
    <row r="3789">
      <c r="A3789" s="2" t="inlineStr">
        <is>
          <t>O000023</t>
        </is>
      </c>
      <c r="B3789" s="2" t="inlineStr">
        <is>
          <t>2025-10-04</t>
        </is>
      </c>
      <c r="C3789" s="2" t="inlineStr">
        <is>
          <t>C0456</t>
        </is>
      </c>
      <c r="D3789" s="2" t="inlineStr">
        <is>
          <t>P0002</t>
        </is>
      </c>
      <c r="E3789" s="2" t="inlineStr">
        <is>
          <t>Bluetooth Speaker</t>
        </is>
      </c>
      <c r="F3789" s="2" t="inlineStr">
        <is>
          <t>Electronics</t>
        </is>
      </c>
      <c r="G3789" s="2" t="inlineStr">
        <is>
          <t>West</t>
        </is>
      </c>
      <c r="H3789" s="2" t="inlineStr">
        <is>
          <t>Gujarat</t>
        </is>
      </c>
      <c r="I3789" s="2" t="inlineStr">
        <is>
          <t>Ahmedabad</t>
        </is>
      </c>
      <c r="J3789" s="2" t="inlineStr">
        <is>
          <t>Online</t>
        </is>
      </c>
      <c r="K3789" s="2" t="n">
        <v>1</v>
      </c>
      <c r="L3789" s="3" t="n">
        <v>1395.44</v>
      </c>
      <c r="M3789" s="4" t="n">
        <v>0.15</v>
      </c>
      <c r="N3789" s="3" t="n">
        <v>847.9</v>
      </c>
      <c r="O3789" s="3">
        <f>K3789*L3789*(1-M3789)</f>
        <v/>
      </c>
      <c r="P3789" s="3">
        <f>O3789-N3789</f>
        <v/>
      </c>
      <c r="Q3789" s="5">
        <f>IFERROR(P3789/O3789,0)</f>
        <v/>
      </c>
      <c r="R3789" s="2">
        <f>TEXT(DATEVALUE(B3789),"mmm")</f>
        <v/>
      </c>
      <c r="S3789" s="2">
        <f>TEXT(DATEVALUE(B3789),"yyyy-mm")</f>
        <v/>
      </c>
    </row>
    <row r="3790">
      <c r="A3790" s="2" t="inlineStr">
        <is>
          <t>O002529</t>
        </is>
      </c>
      <c r="B3790" s="2" t="inlineStr">
        <is>
          <t>2025-10-04</t>
        </is>
      </c>
      <c r="C3790" s="2" t="inlineStr">
        <is>
          <t>C0596</t>
        </is>
      </c>
      <c r="D3790" s="2" t="inlineStr">
        <is>
          <t>P0016</t>
        </is>
      </c>
      <c r="E3790" s="2" t="inlineStr">
        <is>
          <t>Casual Shirt</t>
        </is>
      </c>
      <c r="F3790" s="2" t="inlineStr">
        <is>
          <t>Fashion</t>
        </is>
      </c>
      <c r="G3790" s="2" t="inlineStr">
        <is>
          <t>East</t>
        </is>
      </c>
      <c r="H3790" s="2" t="inlineStr">
        <is>
          <t>Odisha</t>
        </is>
      </c>
      <c r="I3790" s="2" t="inlineStr">
        <is>
          <t>Bhubaneswar</t>
        </is>
      </c>
      <c r="J3790" s="2" t="inlineStr">
        <is>
          <t>Online</t>
        </is>
      </c>
      <c r="K3790" s="2" t="n">
        <v>2</v>
      </c>
      <c r="L3790" s="3" t="n">
        <v>1307.37</v>
      </c>
      <c r="M3790" s="4" t="n">
        <v>0.1</v>
      </c>
      <c r="N3790" s="3" t="n">
        <v>1832.15</v>
      </c>
      <c r="O3790" s="3">
        <f>K3790*L3790*(1-M3790)</f>
        <v/>
      </c>
      <c r="P3790" s="3">
        <f>O3790-N3790</f>
        <v/>
      </c>
      <c r="Q3790" s="5">
        <f>IFERROR(P3790/O3790,0)</f>
        <v/>
      </c>
      <c r="R3790" s="2">
        <f>TEXT(DATEVALUE(B3790),"mmm")</f>
        <v/>
      </c>
      <c r="S3790" s="2">
        <f>TEXT(DATEVALUE(B3790),"yyyy-mm")</f>
        <v/>
      </c>
    </row>
    <row r="3791">
      <c r="A3791" s="2" t="inlineStr">
        <is>
          <t>O004779</t>
        </is>
      </c>
      <c r="B3791" s="2" t="inlineStr">
        <is>
          <t>2025-10-05</t>
        </is>
      </c>
      <c r="C3791" s="2" t="inlineStr">
        <is>
          <t>C0225</t>
        </is>
      </c>
      <c r="D3791" s="2" t="inlineStr">
        <is>
          <t>P0006</t>
        </is>
      </c>
      <c r="E3791" s="2" t="inlineStr">
        <is>
          <t>Mechanical Keyboard</t>
        </is>
      </c>
      <c r="F3791" s="2" t="inlineStr">
        <is>
          <t>Electronics</t>
        </is>
      </c>
      <c r="G3791" s="2" t="inlineStr">
        <is>
          <t>East</t>
        </is>
      </c>
      <c r="H3791" s="2" t="inlineStr">
        <is>
          <t>West Bengal</t>
        </is>
      </c>
      <c r="I3791" s="2" t="inlineStr">
        <is>
          <t>Kolkata</t>
        </is>
      </c>
      <c r="J3791" s="2" t="inlineStr">
        <is>
          <t>Store</t>
        </is>
      </c>
      <c r="K3791" s="2" t="n">
        <v>1</v>
      </c>
      <c r="L3791" s="3" t="n">
        <v>2711.65</v>
      </c>
      <c r="M3791" s="4" t="n">
        <v>0.1</v>
      </c>
      <c r="N3791" s="3" t="n">
        <v>1473.88</v>
      </c>
      <c r="O3791" s="3">
        <f>K3791*L3791*(1-M3791)</f>
        <v/>
      </c>
      <c r="P3791" s="3">
        <f>O3791-N3791</f>
        <v/>
      </c>
      <c r="Q3791" s="5">
        <f>IFERROR(P3791/O3791,0)</f>
        <v/>
      </c>
      <c r="R3791" s="2">
        <f>TEXT(DATEVALUE(B3791),"mmm")</f>
        <v/>
      </c>
      <c r="S3791" s="2">
        <f>TEXT(DATEVALUE(B3791),"yyyy-mm")</f>
        <v/>
      </c>
    </row>
    <row r="3792">
      <c r="A3792" s="2" t="inlineStr">
        <is>
          <t>O004366</t>
        </is>
      </c>
      <c r="B3792" s="2" t="inlineStr">
        <is>
          <t>2025-10-05</t>
        </is>
      </c>
      <c r="C3792" s="2" t="inlineStr">
        <is>
          <t>C0121</t>
        </is>
      </c>
      <c r="D3792" s="2" t="inlineStr">
        <is>
          <t>P0014</t>
        </is>
      </c>
      <c r="E3792" s="2" t="inlineStr">
        <is>
          <t>Coffee Maker</t>
        </is>
      </c>
      <c r="F3792" s="2" t="inlineStr">
        <is>
          <t>Home &amp; Kitchen</t>
        </is>
      </c>
      <c r="G3792" s="2" t="inlineStr">
        <is>
          <t>South</t>
        </is>
      </c>
      <c r="H3792" s="2" t="inlineStr">
        <is>
          <t>Tamil Nadu</t>
        </is>
      </c>
      <c r="I3792" s="2" t="inlineStr">
        <is>
          <t>Chennai</t>
        </is>
      </c>
      <c r="J3792" s="2" t="inlineStr">
        <is>
          <t>Store</t>
        </is>
      </c>
      <c r="K3792" s="2" t="n">
        <v>1</v>
      </c>
      <c r="L3792" s="3" t="n">
        <v>1060.77</v>
      </c>
      <c r="M3792" s="4" t="n">
        <v>0.05</v>
      </c>
      <c r="N3792" s="3" t="n">
        <v>787.35</v>
      </c>
      <c r="O3792" s="3">
        <f>K3792*L3792*(1-M3792)</f>
        <v/>
      </c>
      <c r="P3792" s="3">
        <f>O3792-N3792</f>
        <v/>
      </c>
      <c r="Q3792" s="5">
        <f>IFERROR(P3792/O3792,0)</f>
        <v/>
      </c>
      <c r="R3792" s="2">
        <f>TEXT(DATEVALUE(B3792),"mmm")</f>
        <v/>
      </c>
      <c r="S3792" s="2">
        <f>TEXT(DATEVALUE(B3792),"yyyy-mm")</f>
        <v/>
      </c>
    </row>
    <row r="3793">
      <c r="A3793" s="2" t="inlineStr">
        <is>
          <t>O004009</t>
        </is>
      </c>
      <c r="B3793" s="2" t="inlineStr">
        <is>
          <t>2025-10-05</t>
        </is>
      </c>
      <c r="C3793" s="2" t="inlineStr">
        <is>
          <t>C0396</t>
        </is>
      </c>
      <c r="D3793" s="2" t="inlineStr">
        <is>
          <t>P0023</t>
        </is>
      </c>
      <c r="E3793" s="2" t="inlineStr">
        <is>
          <t>Skin Care Kit</t>
        </is>
      </c>
      <c r="F3793" s="2" t="inlineStr">
        <is>
          <t>Beauty</t>
        </is>
      </c>
      <c r="G3793" s="2" t="inlineStr">
        <is>
          <t>West</t>
        </is>
      </c>
      <c r="H3793" s="2" t="inlineStr">
        <is>
          <t>Maharashtra</t>
        </is>
      </c>
      <c r="I3793" s="2" t="inlineStr">
        <is>
          <t>Pune</t>
        </is>
      </c>
      <c r="J3793" s="2" t="inlineStr">
        <is>
          <t>Store</t>
        </is>
      </c>
      <c r="K3793" s="2" t="n">
        <v>1</v>
      </c>
      <c r="L3793" s="3" t="n">
        <v>1445.49</v>
      </c>
      <c r="M3793" s="4" t="n">
        <v>0.05</v>
      </c>
      <c r="N3793" s="3" t="n">
        <v>874.2</v>
      </c>
      <c r="O3793" s="3">
        <f>K3793*L3793*(1-M3793)</f>
        <v/>
      </c>
      <c r="P3793" s="3">
        <f>O3793-N3793</f>
        <v/>
      </c>
      <c r="Q3793" s="5">
        <f>IFERROR(P3793/O3793,0)</f>
        <v/>
      </c>
      <c r="R3793" s="2">
        <f>TEXT(DATEVALUE(B3793),"mmm")</f>
        <v/>
      </c>
      <c r="S3793" s="2">
        <f>TEXT(DATEVALUE(B3793),"yyyy-mm")</f>
        <v/>
      </c>
    </row>
    <row r="3794">
      <c r="A3794" s="2" t="inlineStr">
        <is>
          <t>O003878</t>
        </is>
      </c>
      <c r="B3794" s="2" t="inlineStr">
        <is>
          <t>2025-10-05</t>
        </is>
      </c>
      <c r="C3794" s="2" t="inlineStr">
        <is>
          <t>C0495</t>
        </is>
      </c>
      <c r="D3794" s="2" t="inlineStr">
        <is>
          <t>P0022</t>
        </is>
      </c>
      <c r="E3794" s="2" t="inlineStr">
        <is>
          <t>Face Wash</t>
        </is>
      </c>
      <c r="F3794" s="2" t="inlineStr">
        <is>
          <t>Beauty</t>
        </is>
      </c>
      <c r="G3794" s="2" t="inlineStr">
        <is>
          <t>North</t>
        </is>
      </c>
      <c r="H3794" s="2" t="inlineStr">
        <is>
          <t>Haryana</t>
        </is>
      </c>
      <c r="I3794" s="2" t="inlineStr">
        <is>
          <t>Gurugram</t>
        </is>
      </c>
      <c r="J3794" s="2" t="inlineStr">
        <is>
          <t>Online</t>
        </is>
      </c>
      <c r="K3794" s="2" t="n">
        <v>1</v>
      </c>
      <c r="L3794" s="3" t="n">
        <v>536.83</v>
      </c>
      <c r="M3794" s="4" t="n">
        <v>0.1</v>
      </c>
      <c r="N3794" s="3" t="n">
        <v>349.71</v>
      </c>
      <c r="O3794" s="3">
        <f>K3794*L3794*(1-M3794)</f>
        <v/>
      </c>
      <c r="P3794" s="3">
        <f>O3794-N3794</f>
        <v/>
      </c>
      <c r="Q3794" s="5">
        <f>IFERROR(P3794/O3794,0)</f>
        <v/>
      </c>
      <c r="R3794" s="2">
        <f>TEXT(DATEVALUE(B3794),"mmm")</f>
        <v/>
      </c>
      <c r="S3794" s="2">
        <f>TEXT(DATEVALUE(B3794),"yyyy-mm")</f>
        <v/>
      </c>
    </row>
    <row r="3795">
      <c r="A3795" s="2" t="inlineStr">
        <is>
          <t>O003437</t>
        </is>
      </c>
      <c r="B3795" s="2" t="inlineStr">
        <is>
          <t>2025-10-05</t>
        </is>
      </c>
      <c r="C3795" s="2" t="inlineStr">
        <is>
          <t>C0371</t>
        </is>
      </c>
      <c r="D3795" s="2" t="inlineStr">
        <is>
          <t>P0014</t>
        </is>
      </c>
      <c r="E3795" s="2" t="inlineStr">
        <is>
          <t>Coffee Maker</t>
        </is>
      </c>
      <c r="F3795" s="2" t="inlineStr">
        <is>
          <t>Home &amp; Kitchen</t>
        </is>
      </c>
      <c r="G3795" s="2" t="inlineStr">
        <is>
          <t>West</t>
        </is>
      </c>
      <c r="H3795" s="2" t="inlineStr">
        <is>
          <t>Gujarat</t>
        </is>
      </c>
      <c r="I3795" s="2" t="inlineStr">
        <is>
          <t>Vadodara</t>
        </is>
      </c>
      <c r="J3795" s="2" t="inlineStr">
        <is>
          <t>Online</t>
        </is>
      </c>
      <c r="K3795" s="2" t="n">
        <v>2</v>
      </c>
      <c r="L3795" s="3" t="n">
        <v>1071.92</v>
      </c>
      <c r="M3795" s="4" t="n">
        <v>0.05</v>
      </c>
      <c r="N3795" s="3" t="n">
        <v>1575.65</v>
      </c>
      <c r="O3795" s="3">
        <f>K3795*L3795*(1-M3795)</f>
        <v/>
      </c>
      <c r="P3795" s="3">
        <f>O3795-N3795</f>
        <v/>
      </c>
      <c r="Q3795" s="5">
        <f>IFERROR(P3795/O3795,0)</f>
        <v/>
      </c>
      <c r="R3795" s="2">
        <f>TEXT(DATEVALUE(B3795),"mmm")</f>
        <v/>
      </c>
      <c r="S3795" s="2">
        <f>TEXT(DATEVALUE(B3795),"yyyy-mm")</f>
        <v/>
      </c>
    </row>
    <row r="3796">
      <c r="A3796" s="2" t="inlineStr">
        <is>
          <t>O004061</t>
        </is>
      </c>
      <c r="B3796" s="2" t="inlineStr">
        <is>
          <t>2025-10-05</t>
        </is>
      </c>
      <c r="C3796" s="2" t="inlineStr">
        <is>
          <t>C0428</t>
        </is>
      </c>
      <c r="D3796" s="2" t="inlineStr">
        <is>
          <t>P0017</t>
        </is>
      </c>
      <c r="E3796" s="2" t="inlineStr">
        <is>
          <t>Jeans</t>
        </is>
      </c>
      <c r="F3796" s="2" t="inlineStr">
        <is>
          <t>Fashion</t>
        </is>
      </c>
      <c r="G3796" s="2" t="inlineStr">
        <is>
          <t>West</t>
        </is>
      </c>
      <c r="H3796" s="2" t="inlineStr">
        <is>
          <t>Gujarat</t>
        </is>
      </c>
      <c r="I3796" s="2" t="inlineStr">
        <is>
          <t>Ahmedabad</t>
        </is>
      </c>
      <c r="J3796" s="2" t="inlineStr">
        <is>
          <t>Online</t>
        </is>
      </c>
      <c r="K3796" s="2" t="n">
        <v>2</v>
      </c>
      <c r="L3796" s="3" t="n">
        <v>1543.47</v>
      </c>
      <c r="M3796" s="4" t="n">
        <v>0.05</v>
      </c>
      <c r="N3796" s="3" t="n">
        <v>2025.49</v>
      </c>
      <c r="O3796" s="3">
        <f>K3796*L3796*(1-M3796)</f>
        <v/>
      </c>
      <c r="P3796" s="3">
        <f>O3796-N3796</f>
        <v/>
      </c>
      <c r="Q3796" s="5">
        <f>IFERROR(P3796/O3796,0)</f>
        <v/>
      </c>
      <c r="R3796" s="2">
        <f>TEXT(DATEVALUE(B3796),"mmm")</f>
        <v/>
      </c>
      <c r="S3796" s="2">
        <f>TEXT(DATEVALUE(B3796),"yyyy-mm")</f>
        <v/>
      </c>
    </row>
    <row r="3797">
      <c r="A3797" s="2" t="inlineStr">
        <is>
          <t>O002611</t>
        </is>
      </c>
      <c r="B3797" s="2" t="inlineStr">
        <is>
          <t>2025-10-05</t>
        </is>
      </c>
      <c r="C3797" s="2" t="inlineStr">
        <is>
          <t>C0389</t>
        </is>
      </c>
      <c r="D3797" s="2" t="inlineStr">
        <is>
          <t>P0020</t>
        </is>
      </c>
      <c r="E3797" s="2" t="inlineStr">
        <is>
          <t>Sneakers</t>
        </is>
      </c>
      <c r="F3797" s="2" t="inlineStr">
        <is>
          <t>Fashion</t>
        </is>
      </c>
      <c r="G3797" s="2" t="inlineStr">
        <is>
          <t>West</t>
        </is>
      </c>
      <c r="H3797" s="2" t="inlineStr">
        <is>
          <t>Goa</t>
        </is>
      </c>
      <c r="I3797" s="2" t="inlineStr">
        <is>
          <t>Panaji</t>
        </is>
      </c>
      <c r="J3797" s="2" t="inlineStr">
        <is>
          <t>Store</t>
        </is>
      </c>
      <c r="K3797" s="2" t="n">
        <v>1</v>
      </c>
      <c r="L3797" s="3" t="n">
        <v>1918.31</v>
      </c>
      <c r="M3797" s="4" t="n">
        <v>0.1</v>
      </c>
      <c r="N3797" s="3" t="n">
        <v>1457.96</v>
      </c>
      <c r="O3797" s="3">
        <f>K3797*L3797*(1-M3797)</f>
        <v/>
      </c>
      <c r="P3797" s="3">
        <f>O3797-N3797</f>
        <v/>
      </c>
      <c r="Q3797" s="5">
        <f>IFERROR(P3797/O3797,0)</f>
        <v/>
      </c>
      <c r="R3797" s="2">
        <f>TEXT(DATEVALUE(B3797),"mmm")</f>
        <v/>
      </c>
      <c r="S3797" s="2">
        <f>TEXT(DATEVALUE(B3797),"yyyy-mm")</f>
        <v/>
      </c>
    </row>
    <row r="3798">
      <c r="A3798" s="2" t="inlineStr">
        <is>
          <t>O001693</t>
        </is>
      </c>
      <c r="B3798" s="2" t="inlineStr">
        <is>
          <t>2025-10-05</t>
        </is>
      </c>
      <c r="C3798" s="2" t="inlineStr">
        <is>
          <t>C0361</t>
        </is>
      </c>
      <c r="D3798" s="2" t="inlineStr">
        <is>
          <t>P0031</t>
        </is>
      </c>
      <c r="E3798" s="2" t="inlineStr">
        <is>
          <t>Cricket Bat</t>
        </is>
      </c>
      <c r="F3798" s="2" t="inlineStr">
        <is>
          <t>Sports</t>
        </is>
      </c>
      <c r="G3798" s="2" t="inlineStr">
        <is>
          <t>North</t>
        </is>
      </c>
      <c r="H3798" s="2" t="inlineStr">
        <is>
          <t>Haryana</t>
        </is>
      </c>
      <c r="I3798" s="2" t="inlineStr">
        <is>
          <t>Gurugram</t>
        </is>
      </c>
      <c r="J3798" s="2" t="inlineStr">
        <is>
          <t>Online</t>
        </is>
      </c>
      <c r="K3798" s="2" t="n">
        <v>1</v>
      </c>
      <c r="L3798" s="3" t="n">
        <v>1447.62</v>
      </c>
      <c r="M3798" s="4" t="n">
        <v>0.05</v>
      </c>
      <c r="N3798" s="3" t="n">
        <v>940.67</v>
      </c>
      <c r="O3798" s="3">
        <f>K3798*L3798*(1-M3798)</f>
        <v/>
      </c>
      <c r="P3798" s="3">
        <f>O3798-N3798</f>
        <v/>
      </c>
      <c r="Q3798" s="5">
        <f>IFERROR(P3798/O3798,0)</f>
        <v/>
      </c>
      <c r="R3798" s="2">
        <f>TEXT(DATEVALUE(B3798),"mmm")</f>
        <v/>
      </c>
      <c r="S3798" s="2">
        <f>TEXT(DATEVALUE(B3798),"yyyy-mm")</f>
        <v/>
      </c>
    </row>
    <row r="3799">
      <c r="A3799" s="2" t="inlineStr">
        <is>
          <t>O001327</t>
        </is>
      </c>
      <c r="B3799" s="2" t="inlineStr">
        <is>
          <t>2025-10-05</t>
        </is>
      </c>
      <c r="C3799" s="2" t="inlineStr">
        <is>
          <t>C0400</t>
        </is>
      </c>
      <c r="D3799" s="2" t="inlineStr">
        <is>
          <t>P0016</t>
        </is>
      </c>
      <c r="E3799" s="2" t="inlineStr">
        <is>
          <t>Casual Shirt</t>
        </is>
      </c>
      <c r="F3799" s="2" t="inlineStr">
        <is>
          <t>Fashion</t>
        </is>
      </c>
      <c r="G3799" s="2" t="inlineStr">
        <is>
          <t>East</t>
        </is>
      </c>
      <c r="H3799" s="2" t="inlineStr">
        <is>
          <t>West Bengal</t>
        </is>
      </c>
      <c r="I3799" s="2" t="inlineStr">
        <is>
          <t>Kolkata</t>
        </is>
      </c>
      <c r="J3799" s="2" t="inlineStr">
        <is>
          <t>Store</t>
        </is>
      </c>
      <c r="K3799" s="2" t="n">
        <v>5</v>
      </c>
      <c r="L3799" s="3" t="n">
        <v>1321.83</v>
      </c>
      <c r="M3799" s="4" t="n">
        <v>0</v>
      </c>
      <c r="N3799" s="3" t="n">
        <v>4536.26</v>
      </c>
      <c r="O3799" s="3">
        <f>K3799*L3799*(1-M3799)</f>
        <v/>
      </c>
      <c r="P3799" s="3">
        <f>O3799-N3799</f>
        <v/>
      </c>
      <c r="Q3799" s="5">
        <f>IFERROR(P3799/O3799,0)</f>
        <v/>
      </c>
      <c r="R3799" s="2">
        <f>TEXT(DATEVALUE(B3799),"mmm")</f>
        <v/>
      </c>
      <c r="S3799" s="2">
        <f>TEXT(DATEVALUE(B3799),"yyyy-mm")</f>
        <v/>
      </c>
    </row>
    <row r="3800">
      <c r="A3800" s="2" t="inlineStr">
        <is>
          <t>O000460</t>
        </is>
      </c>
      <c r="B3800" s="2" t="inlineStr">
        <is>
          <t>2025-10-05</t>
        </is>
      </c>
      <c r="C3800" s="2" t="inlineStr">
        <is>
          <t>C0678</t>
        </is>
      </c>
      <c r="D3800" s="2" t="inlineStr">
        <is>
          <t>P0021</t>
        </is>
      </c>
      <c r="E3800" s="2" t="inlineStr">
        <is>
          <t>Wallet</t>
        </is>
      </c>
      <c r="F3800" s="2" t="inlineStr">
        <is>
          <t>Fashion</t>
        </is>
      </c>
      <c r="G3800" s="2" t="inlineStr">
        <is>
          <t>West</t>
        </is>
      </c>
      <c r="H3800" s="2" t="inlineStr">
        <is>
          <t>Goa</t>
        </is>
      </c>
      <c r="I3800" s="2" t="inlineStr">
        <is>
          <t>Margao</t>
        </is>
      </c>
      <c r="J3800" s="2" t="inlineStr">
        <is>
          <t>Online</t>
        </is>
      </c>
      <c r="K3800" s="2" t="n">
        <v>1</v>
      </c>
      <c r="L3800" s="3" t="n">
        <v>2062.54</v>
      </c>
      <c r="M3800" s="4" t="n">
        <v>0.15</v>
      </c>
      <c r="N3800" s="3" t="n">
        <v>1242.97</v>
      </c>
      <c r="O3800" s="3">
        <f>K3800*L3800*(1-M3800)</f>
        <v/>
      </c>
      <c r="P3800" s="3">
        <f>O3800-N3800</f>
        <v/>
      </c>
      <c r="Q3800" s="5">
        <f>IFERROR(P3800/O3800,0)</f>
        <v/>
      </c>
      <c r="R3800" s="2">
        <f>TEXT(DATEVALUE(B3800),"mmm")</f>
        <v/>
      </c>
      <c r="S3800" s="2">
        <f>TEXT(DATEVALUE(B3800),"yyyy-mm")</f>
        <v/>
      </c>
    </row>
    <row r="3801">
      <c r="A3801" s="2" t="inlineStr">
        <is>
          <t>O002653</t>
        </is>
      </c>
      <c r="B3801" s="2" t="inlineStr">
        <is>
          <t>2025-10-05</t>
        </is>
      </c>
      <c r="C3801" s="2" t="inlineStr">
        <is>
          <t>C0161</t>
        </is>
      </c>
      <c r="D3801" s="2" t="inlineStr">
        <is>
          <t>P0022</t>
        </is>
      </c>
      <c r="E3801" s="2" t="inlineStr">
        <is>
          <t>Face Wash</t>
        </is>
      </c>
      <c r="F3801" s="2" t="inlineStr">
        <is>
          <t>Beauty</t>
        </is>
      </c>
      <c r="G3801" s="2" t="inlineStr">
        <is>
          <t>South</t>
        </is>
      </c>
      <c r="H3801" s="2" t="inlineStr">
        <is>
          <t>Kerala</t>
        </is>
      </c>
      <c r="I3801" s="2" t="inlineStr">
        <is>
          <t>Kochi</t>
        </is>
      </c>
      <c r="J3801" s="2" t="inlineStr">
        <is>
          <t>Online</t>
        </is>
      </c>
      <c r="K3801" s="2" t="n">
        <v>2</v>
      </c>
      <c r="L3801" s="3" t="n">
        <v>564.42</v>
      </c>
      <c r="M3801" s="4" t="n">
        <v>0.2</v>
      </c>
      <c r="N3801" s="3" t="n">
        <v>694.08</v>
      </c>
      <c r="O3801" s="3">
        <f>K3801*L3801*(1-M3801)</f>
        <v/>
      </c>
      <c r="P3801" s="3">
        <f>O3801-N3801</f>
        <v/>
      </c>
      <c r="Q3801" s="5">
        <f>IFERROR(P3801/O3801,0)</f>
        <v/>
      </c>
      <c r="R3801" s="2">
        <f>TEXT(DATEVALUE(B3801),"mmm")</f>
        <v/>
      </c>
      <c r="S3801" s="2">
        <f>TEXT(DATEVALUE(B3801),"yyyy-mm")</f>
        <v/>
      </c>
    </row>
    <row r="3802">
      <c r="A3802" s="2" t="inlineStr">
        <is>
          <t>O004782</t>
        </is>
      </c>
      <c r="B3802" s="2" t="inlineStr">
        <is>
          <t>2025-10-06</t>
        </is>
      </c>
      <c r="C3802" s="2" t="inlineStr">
        <is>
          <t>C0629</t>
        </is>
      </c>
      <c r="D3802" s="2" t="inlineStr">
        <is>
          <t>P0035</t>
        </is>
      </c>
      <c r="E3802" s="2" t="inlineStr">
        <is>
          <t>Skipping Rope</t>
        </is>
      </c>
      <c r="F3802" s="2" t="inlineStr">
        <is>
          <t>Sports</t>
        </is>
      </c>
      <c r="G3802" s="2" t="inlineStr">
        <is>
          <t>South</t>
        </is>
      </c>
      <c r="H3802" s="2" t="inlineStr">
        <is>
          <t>Tamil Nadu</t>
        </is>
      </c>
      <c r="I3802" s="2" t="inlineStr">
        <is>
          <t>Chennai</t>
        </is>
      </c>
      <c r="J3802" s="2" t="inlineStr">
        <is>
          <t>Store</t>
        </is>
      </c>
      <c r="K3802" s="2" t="n">
        <v>2</v>
      </c>
      <c r="L3802" s="3" t="n">
        <v>697.22</v>
      </c>
      <c r="M3802" s="4" t="n">
        <v>0</v>
      </c>
      <c r="N3802" s="3" t="n">
        <v>810.46</v>
      </c>
      <c r="O3802" s="3">
        <f>K3802*L3802*(1-M3802)</f>
        <v/>
      </c>
      <c r="P3802" s="3">
        <f>O3802-N3802</f>
        <v/>
      </c>
      <c r="Q3802" s="5">
        <f>IFERROR(P3802/O3802,0)</f>
        <v/>
      </c>
      <c r="R3802" s="2">
        <f>TEXT(DATEVALUE(B3802),"mmm")</f>
        <v/>
      </c>
      <c r="S3802" s="2">
        <f>TEXT(DATEVALUE(B3802),"yyyy-mm")</f>
        <v/>
      </c>
    </row>
    <row r="3803">
      <c r="A3803" s="2" t="inlineStr">
        <is>
          <t>O004762</t>
        </is>
      </c>
      <c r="B3803" s="2" t="inlineStr">
        <is>
          <t>2025-10-06</t>
        </is>
      </c>
      <c r="C3803" s="2" t="inlineStr">
        <is>
          <t>C0483</t>
        </is>
      </c>
      <c r="D3803" s="2" t="inlineStr">
        <is>
          <t>P0008</t>
        </is>
      </c>
      <c r="E3803" s="2" t="inlineStr">
        <is>
          <t>Air Fryer</t>
        </is>
      </c>
      <c r="F3803" s="2" t="inlineStr">
        <is>
          <t>Home &amp; Kitchen</t>
        </is>
      </c>
      <c r="G3803" s="2" t="inlineStr">
        <is>
          <t>East</t>
        </is>
      </c>
      <c r="H3803" s="2" t="inlineStr">
        <is>
          <t>Bihar</t>
        </is>
      </c>
      <c r="I3803" s="2" t="inlineStr">
        <is>
          <t>Gaya</t>
        </is>
      </c>
      <c r="J3803" s="2" t="inlineStr">
        <is>
          <t>Online</t>
        </is>
      </c>
      <c r="K3803" s="2" t="n">
        <v>1</v>
      </c>
      <c r="L3803" s="3" t="n">
        <v>1055.3</v>
      </c>
      <c r="M3803" s="4" t="n">
        <v>0.05</v>
      </c>
      <c r="N3803" s="3" t="n">
        <v>667.84</v>
      </c>
      <c r="O3803" s="3">
        <f>K3803*L3803*(1-M3803)</f>
        <v/>
      </c>
      <c r="P3803" s="3">
        <f>O3803-N3803</f>
        <v/>
      </c>
      <c r="Q3803" s="5">
        <f>IFERROR(P3803/O3803,0)</f>
        <v/>
      </c>
      <c r="R3803" s="2">
        <f>TEXT(DATEVALUE(B3803),"mmm")</f>
        <v/>
      </c>
      <c r="S3803" s="2">
        <f>TEXT(DATEVALUE(B3803),"yyyy-mm")</f>
        <v/>
      </c>
    </row>
    <row r="3804">
      <c r="A3804" s="2" t="inlineStr">
        <is>
          <t>O004111</t>
        </is>
      </c>
      <c r="B3804" s="2" t="inlineStr">
        <is>
          <t>2025-10-06</t>
        </is>
      </c>
      <c r="C3804" s="2" t="inlineStr">
        <is>
          <t>C0497</t>
        </is>
      </c>
      <c r="D3804" s="2" t="inlineStr">
        <is>
          <t>P0009</t>
        </is>
      </c>
      <c r="E3804" s="2" t="inlineStr">
        <is>
          <t>Electric Kettle</t>
        </is>
      </c>
      <c r="F3804" s="2" t="inlineStr">
        <is>
          <t>Home &amp; Kitchen</t>
        </is>
      </c>
      <c r="G3804" s="2" t="inlineStr">
        <is>
          <t>North</t>
        </is>
      </c>
      <c r="H3804" s="2" t="inlineStr">
        <is>
          <t>Uttar Pradesh</t>
        </is>
      </c>
      <c r="I3804" s="2" t="inlineStr">
        <is>
          <t>Lucknow</t>
        </is>
      </c>
      <c r="J3804" s="2" t="inlineStr">
        <is>
          <t>Online</t>
        </is>
      </c>
      <c r="K3804" s="2" t="n">
        <v>1</v>
      </c>
      <c r="L3804" s="3" t="n">
        <v>2065.55</v>
      </c>
      <c r="M3804" s="4" t="n">
        <v>0.05</v>
      </c>
      <c r="N3804" s="3" t="n">
        <v>1119.46</v>
      </c>
      <c r="O3804" s="3">
        <f>K3804*L3804*(1-M3804)</f>
        <v/>
      </c>
      <c r="P3804" s="3">
        <f>O3804-N3804</f>
        <v/>
      </c>
      <c r="Q3804" s="5">
        <f>IFERROR(P3804/O3804,0)</f>
        <v/>
      </c>
      <c r="R3804" s="2">
        <f>TEXT(DATEVALUE(B3804),"mmm")</f>
        <v/>
      </c>
      <c r="S3804" s="2">
        <f>TEXT(DATEVALUE(B3804),"yyyy-mm")</f>
        <v/>
      </c>
    </row>
    <row r="3805">
      <c r="A3805" s="2" t="inlineStr">
        <is>
          <t>O004083</t>
        </is>
      </c>
      <c r="B3805" s="2" t="inlineStr">
        <is>
          <t>2025-10-06</t>
        </is>
      </c>
      <c r="C3805" s="2" t="inlineStr">
        <is>
          <t>C0374</t>
        </is>
      </c>
      <c r="D3805" s="2" t="inlineStr">
        <is>
          <t>P0031</t>
        </is>
      </c>
      <c r="E3805" s="2" t="inlineStr">
        <is>
          <t>Cricket Bat</t>
        </is>
      </c>
      <c r="F3805" s="2" t="inlineStr">
        <is>
          <t>Sports</t>
        </is>
      </c>
      <c r="G3805" s="2" t="inlineStr">
        <is>
          <t>North</t>
        </is>
      </c>
      <c r="H3805" s="2" t="inlineStr">
        <is>
          <t>Delhi</t>
        </is>
      </c>
      <c r="I3805" s="2" t="inlineStr">
        <is>
          <t>New Delhi</t>
        </is>
      </c>
      <c r="J3805" s="2" t="inlineStr">
        <is>
          <t>Online</t>
        </is>
      </c>
      <c r="K3805" s="2" t="n">
        <v>6</v>
      </c>
      <c r="L3805" s="3" t="n">
        <v>1356.76</v>
      </c>
      <c r="M3805" s="4" t="n">
        <v>0.2</v>
      </c>
      <c r="N3805" s="3" t="n">
        <v>5564.44</v>
      </c>
      <c r="O3805" s="3">
        <f>K3805*L3805*(1-M3805)</f>
        <v/>
      </c>
      <c r="P3805" s="3">
        <f>O3805-N3805</f>
        <v/>
      </c>
      <c r="Q3805" s="5">
        <f>IFERROR(P3805/O3805,0)</f>
        <v/>
      </c>
      <c r="R3805" s="2">
        <f>TEXT(DATEVALUE(B3805),"mmm")</f>
        <v/>
      </c>
      <c r="S3805" s="2">
        <f>TEXT(DATEVALUE(B3805),"yyyy-mm")</f>
        <v/>
      </c>
    </row>
    <row r="3806">
      <c r="A3806" s="2" t="inlineStr">
        <is>
          <t>O003349</t>
        </is>
      </c>
      <c r="B3806" s="2" t="inlineStr">
        <is>
          <t>2025-10-06</t>
        </is>
      </c>
      <c r="C3806" s="2" t="inlineStr">
        <is>
          <t>C0692</t>
        </is>
      </c>
      <c r="D3806" s="2" t="inlineStr">
        <is>
          <t>P0031</t>
        </is>
      </c>
      <c r="E3806" s="2" t="inlineStr">
        <is>
          <t>Cricket Bat</t>
        </is>
      </c>
      <c r="F3806" s="2" t="inlineStr">
        <is>
          <t>Sports</t>
        </is>
      </c>
      <c r="G3806" s="2" t="inlineStr">
        <is>
          <t>East</t>
        </is>
      </c>
      <c r="H3806" s="2" t="inlineStr">
        <is>
          <t>West Bengal</t>
        </is>
      </c>
      <c r="I3806" s="2" t="inlineStr">
        <is>
          <t>Kolkata</t>
        </is>
      </c>
      <c r="J3806" s="2" t="inlineStr">
        <is>
          <t>Online</t>
        </is>
      </c>
      <c r="K3806" s="2" t="n">
        <v>1</v>
      </c>
      <c r="L3806" s="3" t="n">
        <v>1351.46</v>
      </c>
      <c r="M3806" s="4" t="n">
        <v>0.05</v>
      </c>
      <c r="N3806" s="3" t="n">
        <v>966.26</v>
      </c>
      <c r="O3806" s="3">
        <f>K3806*L3806*(1-M3806)</f>
        <v/>
      </c>
      <c r="P3806" s="3">
        <f>O3806-N3806</f>
        <v/>
      </c>
      <c r="Q3806" s="5">
        <f>IFERROR(P3806/O3806,0)</f>
        <v/>
      </c>
      <c r="R3806" s="2">
        <f>TEXT(DATEVALUE(B3806),"mmm")</f>
        <v/>
      </c>
      <c r="S3806" s="2">
        <f>TEXT(DATEVALUE(B3806),"yyyy-mm")</f>
        <v/>
      </c>
    </row>
    <row r="3807">
      <c r="A3807" s="2" t="inlineStr">
        <is>
          <t>O003052</t>
        </is>
      </c>
      <c r="B3807" s="2" t="inlineStr">
        <is>
          <t>2025-10-06</t>
        </is>
      </c>
      <c r="C3807" s="2" t="inlineStr">
        <is>
          <t>C0499</t>
        </is>
      </c>
      <c r="D3807" s="2" t="inlineStr">
        <is>
          <t>P0011</t>
        </is>
      </c>
      <c r="E3807" s="2" t="inlineStr">
        <is>
          <t>Cookware Set</t>
        </is>
      </c>
      <c r="F3807" s="2" t="inlineStr">
        <is>
          <t>Home &amp; Kitchen</t>
        </is>
      </c>
      <c r="G3807" s="2" t="inlineStr">
        <is>
          <t>East</t>
        </is>
      </c>
      <c r="H3807" s="2" t="inlineStr">
        <is>
          <t>Odisha</t>
        </is>
      </c>
      <c r="I3807" s="2" t="inlineStr">
        <is>
          <t>Cuttack</t>
        </is>
      </c>
      <c r="J3807" s="2" t="inlineStr">
        <is>
          <t>Store</t>
        </is>
      </c>
      <c r="K3807" s="2" t="n">
        <v>1</v>
      </c>
      <c r="L3807" s="3" t="n">
        <v>680.02</v>
      </c>
      <c r="M3807" s="4" t="n">
        <v>0.05</v>
      </c>
      <c r="N3807" s="3" t="n">
        <v>471.22</v>
      </c>
      <c r="O3807" s="3">
        <f>K3807*L3807*(1-M3807)</f>
        <v/>
      </c>
      <c r="P3807" s="3">
        <f>O3807-N3807</f>
        <v/>
      </c>
      <c r="Q3807" s="5">
        <f>IFERROR(P3807/O3807,0)</f>
        <v/>
      </c>
      <c r="R3807" s="2">
        <f>TEXT(DATEVALUE(B3807),"mmm")</f>
        <v/>
      </c>
      <c r="S3807" s="2">
        <f>TEXT(DATEVALUE(B3807),"yyyy-mm")</f>
        <v/>
      </c>
    </row>
    <row r="3808">
      <c r="A3808" s="2" t="inlineStr">
        <is>
          <t>O002326</t>
        </is>
      </c>
      <c r="B3808" s="2" t="inlineStr">
        <is>
          <t>2025-10-06</t>
        </is>
      </c>
      <c r="C3808" s="2" t="inlineStr">
        <is>
          <t>C0700</t>
        </is>
      </c>
      <c r="D3808" s="2" t="inlineStr">
        <is>
          <t>P0007</t>
        </is>
      </c>
      <c r="E3808" s="2" t="inlineStr">
        <is>
          <t>Wireless Mouse</t>
        </is>
      </c>
      <c r="F3808" s="2" t="inlineStr">
        <is>
          <t>Electronics</t>
        </is>
      </c>
      <c r="G3808" s="2" t="inlineStr">
        <is>
          <t>East</t>
        </is>
      </c>
      <c r="H3808" s="2" t="inlineStr">
        <is>
          <t>West Bengal</t>
        </is>
      </c>
      <c r="I3808" s="2" t="inlineStr">
        <is>
          <t>Durgapur</t>
        </is>
      </c>
      <c r="J3808" s="2" t="inlineStr">
        <is>
          <t>Online</t>
        </is>
      </c>
      <c r="K3808" s="2" t="n">
        <v>2</v>
      </c>
      <c r="L3808" s="3" t="n">
        <v>941.5599999999999</v>
      </c>
      <c r="M3808" s="4" t="n">
        <v>0</v>
      </c>
      <c r="N3808" s="3" t="n">
        <v>1223.33</v>
      </c>
      <c r="O3808" s="3">
        <f>K3808*L3808*(1-M3808)</f>
        <v/>
      </c>
      <c r="P3808" s="3">
        <f>O3808-N3808</f>
        <v/>
      </c>
      <c r="Q3808" s="5">
        <f>IFERROR(P3808/O3808,0)</f>
        <v/>
      </c>
      <c r="R3808" s="2">
        <f>TEXT(DATEVALUE(B3808),"mmm")</f>
        <v/>
      </c>
      <c r="S3808" s="2">
        <f>TEXT(DATEVALUE(B3808),"yyyy-mm")</f>
        <v/>
      </c>
    </row>
    <row r="3809">
      <c r="A3809" s="2" t="inlineStr">
        <is>
          <t>O002100</t>
        </is>
      </c>
      <c r="B3809" s="2" t="inlineStr">
        <is>
          <t>2025-10-06</t>
        </is>
      </c>
      <c r="C3809" s="2" t="inlineStr">
        <is>
          <t>C0279</t>
        </is>
      </c>
      <c r="D3809" s="2" t="inlineStr">
        <is>
          <t>P0022</t>
        </is>
      </c>
      <c r="E3809" s="2" t="inlineStr">
        <is>
          <t>Face Wash</t>
        </is>
      </c>
      <c r="F3809" s="2" t="inlineStr">
        <is>
          <t>Beauty</t>
        </is>
      </c>
      <c r="G3809" s="2" t="inlineStr">
        <is>
          <t>South</t>
        </is>
      </c>
      <c r="H3809" s="2" t="inlineStr">
        <is>
          <t>Telangana</t>
        </is>
      </c>
      <c r="I3809" s="2" t="inlineStr">
        <is>
          <t>Hyderabad</t>
        </is>
      </c>
      <c r="J3809" s="2" t="inlineStr">
        <is>
          <t>Online</t>
        </is>
      </c>
      <c r="K3809" s="2" t="n">
        <v>1</v>
      </c>
      <c r="L3809" s="3" t="n">
        <v>562</v>
      </c>
      <c r="M3809" s="4" t="n">
        <v>0.05</v>
      </c>
      <c r="N3809" s="3" t="n">
        <v>342.65</v>
      </c>
      <c r="O3809" s="3">
        <f>K3809*L3809*(1-M3809)</f>
        <v/>
      </c>
      <c r="P3809" s="3">
        <f>O3809-N3809</f>
        <v/>
      </c>
      <c r="Q3809" s="5">
        <f>IFERROR(P3809/O3809,0)</f>
        <v/>
      </c>
      <c r="R3809" s="2">
        <f>TEXT(DATEVALUE(B3809),"mmm")</f>
        <v/>
      </c>
      <c r="S3809" s="2">
        <f>TEXT(DATEVALUE(B3809),"yyyy-mm")</f>
        <v/>
      </c>
    </row>
    <row r="3810">
      <c r="A3810" s="2" t="inlineStr">
        <is>
          <t>O000556</t>
        </is>
      </c>
      <c r="B3810" s="2" t="inlineStr">
        <is>
          <t>2025-10-06</t>
        </is>
      </c>
      <c r="C3810" s="2" t="inlineStr">
        <is>
          <t>C0393</t>
        </is>
      </c>
      <c r="D3810" s="2" t="inlineStr">
        <is>
          <t>P0007</t>
        </is>
      </c>
      <c r="E3810" s="2" t="inlineStr">
        <is>
          <t>Wireless Mouse</t>
        </is>
      </c>
      <c r="F3810" s="2" t="inlineStr">
        <is>
          <t>Electronics</t>
        </is>
      </c>
      <c r="G3810" s="2" t="inlineStr">
        <is>
          <t>North</t>
        </is>
      </c>
      <c r="H3810" s="2" t="inlineStr">
        <is>
          <t>Uttar Pradesh</t>
        </is>
      </c>
      <c r="I3810" s="2" t="inlineStr">
        <is>
          <t>Lucknow</t>
        </is>
      </c>
      <c r="J3810" s="2" t="inlineStr">
        <is>
          <t>Online</t>
        </is>
      </c>
      <c r="K3810" s="2" t="n">
        <v>1</v>
      </c>
      <c r="L3810" s="3" t="n">
        <v>979.37</v>
      </c>
      <c r="M3810" s="4" t="n">
        <v>0.1</v>
      </c>
      <c r="N3810" s="3" t="n">
        <v>625.51</v>
      </c>
      <c r="O3810" s="3">
        <f>K3810*L3810*(1-M3810)</f>
        <v/>
      </c>
      <c r="P3810" s="3">
        <f>O3810-N3810</f>
        <v/>
      </c>
      <c r="Q3810" s="5">
        <f>IFERROR(P3810/O3810,0)</f>
        <v/>
      </c>
      <c r="R3810" s="2">
        <f>TEXT(DATEVALUE(B3810),"mmm")</f>
        <v/>
      </c>
      <c r="S3810" s="2">
        <f>TEXT(DATEVALUE(B3810),"yyyy-mm")</f>
        <v/>
      </c>
    </row>
    <row r="3811">
      <c r="A3811" s="2" t="inlineStr">
        <is>
          <t>O000442</t>
        </is>
      </c>
      <c r="B3811" s="2" t="inlineStr">
        <is>
          <t>2025-10-06</t>
        </is>
      </c>
      <c r="C3811" s="2" t="inlineStr">
        <is>
          <t>C0028</t>
        </is>
      </c>
      <c r="D3811" s="2" t="inlineStr">
        <is>
          <t>P0019</t>
        </is>
      </c>
      <c r="E3811" s="2" t="inlineStr">
        <is>
          <t>Jacket</t>
        </is>
      </c>
      <c r="F3811" s="2" t="inlineStr">
        <is>
          <t>Fashion</t>
        </is>
      </c>
      <c r="G3811" s="2" t="inlineStr">
        <is>
          <t>East</t>
        </is>
      </c>
      <c r="H3811" s="2" t="inlineStr">
        <is>
          <t>Bihar</t>
        </is>
      </c>
      <c r="I3811" s="2" t="inlineStr">
        <is>
          <t>Patna</t>
        </is>
      </c>
      <c r="J3811" s="2" t="inlineStr">
        <is>
          <t>Online</t>
        </is>
      </c>
      <c r="K3811" s="2" t="n">
        <v>5</v>
      </c>
      <c r="L3811" s="3" t="n">
        <v>1038.98</v>
      </c>
      <c r="M3811" s="4" t="n">
        <v>0.15</v>
      </c>
      <c r="N3811" s="3" t="n">
        <v>3269.21</v>
      </c>
      <c r="O3811" s="3">
        <f>K3811*L3811*(1-M3811)</f>
        <v/>
      </c>
      <c r="P3811" s="3">
        <f>O3811-N3811</f>
        <v/>
      </c>
      <c r="Q3811" s="5">
        <f>IFERROR(P3811/O3811,0)</f>
        <v/>
      </c>
      <c r="R3811" s="2">
        <f>TEXT(DATEVALUE(B3811),"mmm")</f>
        <v/>
      </c>
      <c r="S3811" s="2">
        <f>TEXT(DATEVALUE(B3811),"yyyy-mm")</f>
        <v/>
      </c>
    </row>
    <row r="3812">
      <c r="A3812" s="2" t="inlineStr">
        <is>
          <t>O002959</t>
        </is>
      </c>
      <c r="B3812" s="2" t="inlineStr">
        <is>
          <t>2025-10-06</t>
        </is>
      </c>
      <c r="C3812" s="2" t="inlineStr">
        <is>
          <t>C0416</t>
        </is>
      </c>
      <c r="D3812" s="2" t="inlineStr">
        <is>
          <t>P0016</t>
        </is>
      </c>
      <c r="E3812" s="2" t="inlineStr">
        <is>
          <t>Casual Shirt</t>
        </is>
      </c>
      <c r="F3812" s="2" t="inlineStr">
        <is>
          <t>Fashion</t>
        </is>
      </c>
      <c r="G3812" s="2" t="inlineStr">
        <is>
          <t>North</t>
        </is>
      </c>
      <c r="H3812" s="2" t="inlineStr">
        <is>
          <t>Punjab</t>
        </is>
      </c>
      <c r="I3812" s="2" t="inlineStr">
        <is>
          <t>Ludhiana</t>
        </is>
      </c>
      <c r="J3812" s="2" t="inlineStr">
        <is>
          <t>Store</t>
        </is>
      </c>
      <c r="K3812" s="2" t="n">
        <v>1</v>
      </c>
      <c r="L3812" s="3" t="n">
        <v>1254.26</v>
      </c>
      <c r="M3812" s="4" t="n">
        <v>0.15</v>
      </c>
      <c r="N3812" s="3" t="n">
        <v>918.49</v>
      </c>
      <c r="O3812" s="3">
        <f>K3812*L3812*(1-M3812)</f>
        <v/>
      </c>
      <c r="P3812" s="3">
        <f>O3812-N3812</f>
        <v/>
      </c>
      <c r="Q3812" s="5">
        <f>IFERROR(P3812/O3812,0)</f>
        <v/>
      </c>
      <c r="R3812" s="2">
        <f>TEXT(DATEVALUE(B3812),"mmm")</f>
        <v/>
      </c>
      <c r="S3812" s="2">
        <f>TEXT(DATEVALUE(B3812),"yyyy-mm")</f>
        <v/>
      </c>
    </row>
    <row r="3813">
      <c r="A3813" s="2" t="inlineStr">
        <is>
          <t>O002820</t>
        </is>
      </c>
      <c r="B3813" s="2" t="inlineStr">
        <is>
          <t>2025-10-07</t>
        </is>
      </c>
      <c r="C3813" s="2" t="inlineStr">
        <is>
          <t>C0754</t>
        </is>
      </c>
      <c r="D3813" s="2" t="inlineStr">
        <is>
          <t>P0003</t>
        </is>
      </c>
      <c r="E3813" s="2" t="inlineStr">
        <is>
          <t>Smartwatch</t>
        </is>
      </c>
      <c r="F3813" s="2" t="inlineStr">
        <is>
          <t>Electronics</t>
        </is>
      </c>
      <c r="G3813" s="2" t="inlineStr">
        <is>
          <t>West</t>
        </is>
      </c>
      <c r="H3813" s="2" t="inlineStr">
        <is>
          <t>Gujarat</t>
        </is>
      </c>
      <c r="I3813" s="2" t="inlineStr">
        <is>
          <t>Ahmedabad</t>
        </is>
      </c>
      <c r="J3813" s="2" t="inlineStr">
        <is>
          <t>Online</t>
        </is>
      </c>
      <c r="K3813" s="2" t="n">
        <v>1</v>
      </c>
      <c r="L3813" s="3" t="n">
        <v>2347.75</v>
      </c>
      <c r="M3813" s="4" t="n">
        <v>0.2</v>
      </c>
      <c r="N3813" s="3" t="n">
        <v>1187.25</v>
      </c>
      <c r="O3813" s="3">
        <f>K3813*L3813*(1-M3813)</f>
        <v/>
      </c>
      <c r="P3813" s="3">
        <f>O3813-N3813</f>
        <v/>
      </c>
      <c r="Q3813" s="5">
        <f>IFERROR(P3813/O3813,0)</f>
        <v/>
      </c>
      <c r="R3813" s="2">
        <f>TEXT(DATEVALUE(B3813),"mmm")</f>
        <v/>
      </c>
      <c r="S3813" s="2">
        <f>TEXT(DATEVALUE(B3813),"yyyy-mm")</f>
        <v/>
      </c>
    </row>
    <row r="3814">
      <c r="A3814" s="2" t="inlineStr">
        <is>
          <t>O004326</t>
        </is>
      </c>
      <c r="B3814" s="2" t="inlineStr">
        <is>
          <t>2025-10-07</t>
        </is>
      </c>
      <c r="C3814" s="2" t="inlineStr">
        <is>
          <t>C0389</t>
        </is>
      </c>
      <c r="D3814" s="2" t="inlineStr">
        <is>
          <t>P0021</t>
        </is>
      </c>
      <c r="E3814" s="2" t="inlineStr">
        <is>
          <t>Wallet</t>
        </is>
      </c>
      <c r="F3814" s="2" t="inlineStr">
        <is>
          <t>Fashion</t>
        </is>
      </c>
      <c r="G3814" s="2" t="inlineStr">
        <is>
          <t>East</t>
        </is>
      </c>
      <c r="H3814" s="2" t="inlineStr">
        <is>
          <t>West Bengal</t>
        </is>
      </c>
      <c r="I3814" s="2" t="inlineStr">
        <is>
          <t>Durgapur</t>
        </is>
      </c>
      <c r="J3814" s="2" t="inlineStr">
        <is>
          <t>Store</t>
        </is>
      </c>
      <c r="K3814" s="2" t="n">
        <v>2</v>
      </c>
      <c r="L3814" s="3" t="n">
        <v>1999.98</v>
      </c>
      <c r="M3814" s="4" t="n">
        <v>0.1</v>
      </c>
      <c r="N3814" s="3" t="n">
        <v>2401.29</v>
      </c>
      <c r="O3814" s="3">
        <f>K3814*L3814*(1-M3814)</f>
        <v/>
      </c>
      <c r="P3814" s="3">
        <f>O3814-N3814</f>
        <v/>
      </c>
      <c r="Q3814" s="5">
        <f>IFERROR(P3814/O3814,0)</f>
        <v/>
      </c>
      <c r="R3814" s="2">
        <f>TEXT(DATEVALUE(B3814),"mmm")</f>
        <v/>
      </c>
      <c r="S3814" s="2">
        <f>TEXT(DATEVALUE(B3814),"yyyy-mm")</f>
        <v/>
      </c>
    </row>
    <row r="3815">
      <c r="A3815" s="2" t="inlineStr">
        <is>
          <t>O004098</t>
        </is>
      </c>
      <c r="B3815" s="2" t="inlineStr">
        <is>
          <t>2025-10-07</t>
        </is>
      </c>
      <c r="C3815" s="2" t="inlineStr">
        <is>
          <t>C0637</t>
        </is>
      </c>
      <c r="D3815" s="2" t="inlineStr">
        <is>
          <t>P0011</t>
        </is>
      </c>
      <c r="E3815" s="2" t="inlineStr">
        <is>
          <t>Cookware Set</t>
        </is>
      </c>
      <c r="F3815" s="2" t="inlineStr">
        <is>
          <t>Home &amp; Kitchen</t>
        </is>
      </c>
      <c r="G3815" s="2" t="inlineStr">
        <is>
          <t>West</t>
        </is>
      </c>
      <c r="H3815" s="2" t="inlineStr">
        <is>
          <t>Gujarat</t>
        </is>
      </c>
      <c r="I3815" s="2" t="inlineStr">
        <is>
          <t>Surat</t>
        </is>
      </c>
      <c r="J3815" s="2" t="inlineStr">
        <is>
          <t>Store</t>
        </is>
      </c>
      <c r="K3815" s="2" t="n">
        <v>1</v>
      </c>
      <c r="L3815" s="3" t="n">
        <v>703.1</v>
      </c>
      <c r="M3815" s="4" t="n">
        <v>0.05</v>
      </c>
      <c r="N3815" s="3" t="n">
        <v>466.91</v>
      </c>
      <c r="O3815" s="3">
        <f>K3815*L3815*(1-M3815)</f>
        <v/>
      </c>
      <c r="P3815" s="3">
        <f>O3815-N3815</f>
        <v/>
      </c>
      <c r="Q3815" s="5">
        <f>IFERROR(P3815/O3815,0)</f>
        <v/>
      </c>
      <c r="R3815" s="2">
        <f>TEXT(DATEVALUE(B3815),"mmm")</f>
        <v/>
      </c>
      <c r="S3815" s="2">
        <f>TEXT(DATEVALUE(B3815),"yyyy-mm")</f>
        <v/>
      </c>
    </row>
    <row r="3816">
      <c r="A3816" s="2" t="inlineStr">
        <is>
          <t>O003797</t>
        </is>
      </c>
      <c r="B3816" s="2" t="inlineStr">
        <is>
          <t>2025-10-07</t>
        </is>
      </c>
      <c r="C3816" s="2" t="inlineStr">
        <is>
          <t>C0472</t>
        </is>
      </c>
      <c r="D3816" s="2" t="inlineStr">
        <is>
          <t>P0006</t>
        </is>
      </c>
      <c r="E3816" s="2" t="inlineStr">
        <is>
          <t>Mechanical Keyboard</t>
        </is>
      </c>
      <c r="F3816" s="2" t="inlineStr">
        <is>
          <t>Electronics</t>
        </is>
      </c>
      <c r="G3816" s="2" t="inlineStr">
        <is>
          <t>East</t>
        </is>
      </c>
      <c r="H3816" s="2" t="inlineStr">
        <is>
          <t>Odisha</t>
        </is>
      </c>
      <c r="I3816" s="2" t="inlineStr">
        <is>
          <t>Bhubaneswar</t>
        </is>
      </c>
      <c r="J3816" s="2" t="inlineStr">
        <is>
          <t>Online</t>
        </is>
      </c>
      <c r="K3816" s="2" t="n">
        <v>1</v>
      </c>
      <c r="L3816" s="3" t="n">
        <v>2640.2</v>
      </c>
      <c r="M3816" s="4" t="n">
        <v>0.05</v>
      </c>
      <c r="N3816" s="3" t="n">
        <v>1522.82</v>
      </c>
      <c r="O3816" s="3">
        <f>K3816*L3816*(1-M3816)</f>
        <v/>
      </c>
      <c r="P3816" s="3">
        <f>O3816-N3816</f>
        <v/>
      </c>
      <c r="Q3816" s="5">
        <f>IFERROR(P3816/O3816,0)</f>
        <v/>
      </c>
      <c r="R3816" s="2">
        <f>TEXT(DATEVALUE(B3816),"mmm")</f>
        <v/>
      </c>
      <c r="S3816" s="2">
        <f>TEXT(DATEVALUE(B3816),"yyyy-mm")</f>
        <v/>
      </c>
    </row>
    <row r="3817">
      <c r="A3817" s="2" t="inlineStr">
        <is>
          <t>O003459</t>
        </is>
      </c>
      <c r="B3817" s="2" t="inlineStr">
        <is>
          <t>2025-10-07</t>
        </is>
      </c>
      <c r="C3817" s="2" t="inlineStr">
        <is>
          <t>C0206</t>
        </is>
      </c>
      <c r="D3817" s="2" t="inlineStr">
        <is>
          <t>P0009</t>
        </is>
      </c>
      <c r="E3817" s="2" t="inlineStr">
        <is>
          <t>Electric Kettle</t>
        </is>
      </c>
      <c r="F3817" s="2" t="inlineStr">
        <is>
          <t>Home &amp; Kitchen</t>
        </is>
      </c>
      <c r="G3817" s="2" t="inlineStr">
        <is>
          <t>West</t>
        </is>
      </c>
      <c r="H3817" s="2" t="inlineStr">
        <is>
          <t>Maharashtra</t>
        </is>
      </c>
      <c r="I3817" s="2" t="inlineStr">
        <is>
          <t>Nashik</t>
        </is>
      </c>
      <c r="J3817" s="2" t="inlineStr">
        <is>
          <t>Store</t>
        </is>
      </c>
      <c r="K3817" s="2" t="n">
        <v>1</v>
      </c>
      <c r="L3817" s="3" t="n">
        <v>2070.02</v>
      </c>
      <c r="M3817" s="4" t="n">
        <v>0</v>
      </c>
      <c r="N3817" s="3" t="n">
        <v>1104.72</v>
      </c>
      <c r="O3817" s="3">
        <f>K3817*L3817*(1-M3817)</f>
        <v/>
      </c>
      <c r="P3817" s="3">
        <f>O3817-N3817</f>
        <v/>
      </c>
      <c r="Q3817" s="5">
        <f>IFERROR(P3817/O3817,0)</f>
        <v/>
      </c>
      <c r="R3817" s="2">
        <f>TEXT(DATEVALUE(B3817),"mmm")</f>
        <v/>
      </c>
      <c r="S3817" s="2">
        <f>TEXT(DATEVALUE(B3817),"yyyy-mm")</f>
        <v/>
      </c>
    </row>
    <row r="3818">
      <c r="A3818" s="2" t="inlineStr">
        <is>
          <t>O002257</t>
        </is>
      </c>
      <c r="B3818" s="2" t="inlineStr">
        <is>
          <t>2025-10-07</t>
        </is>
      </c>
      <c r="C3818" s="2" t="inlineStr">
        <is>
          <t>C0220</t>
        </is>
      </c>
      <c r="D3818" s="2" t="inlineStr">
        <is>
          <t>P0006</t>
        </is>
      </c>
      <c r="E3818" s="2" t="inlineStr">
        <is>
          <t>Mechanical Keyboard</t>
        </is>
      </c>
      <c r="F3818" s="2" t="inlineStr">
        <is>
          <t>Electronics</t>
        </is>
      </c>
      <c r="G3818" s="2" t="inlineStr">
        <is>
          <t>South</t>
        </is>
      </c>
      <c r="H3818" s="2" t="inlineStr">
        <is>
          <t>Kerala</t>
        </is>
      </c>
      <c r="I3818" s="2" t="inlineStr">
        <is>
          <t>Kochi</t>
        </is>
      </c>
      <c r="J3818" s="2" t="inlineStr">
        <is>
          <t>Store</t>
        </is>
      </c>
      <c r="K3818" s="2" t="n">
        <v>2</v>
      </c>
      <c r="L3818" s="3" t="n">
        <v>2729.66</v>
      </c>
      <c r="M3818" s="4" t="n">
        <v>0.15</v>
      </c>
      <c r="N3818" s="3" t="n">
        <v>3020.63</v>
      </c>
      <c r="O3818" s="3">
        <f>K3818*L3818*(1-M3818)</f>
        <v/>
      </c>
      <c r="P3818" s="3">
        <f>O3818-N3818</f>
        <v/>
      </c>
      <c r="Q3818" s="5">
        <f>IFERROR(P3818/O3818,0)</f>
        <v/>
      </c>
      <c r="R3818" s="2">
        <f>TEXT(DATEVALUE(B3818),"mmm")</f>
        <v/>
      </c>
      <c r="S3818" s="2">
        <f>TEXT(DATEVALUE(B3818),"yyyy-mm")</f>
        <v/>
      </c>
    </row>
    <row r="3819">
      <c r="A3819" s="2" t="inlineStr">
        <is>
          <t>O004297</t>
        </is>
      </c>
      <c r="B3819" s="2" t="inlineStr">
        <is>
          <t>2025-10-07</t>
        </is>
      </c>
      <c r="C3819" s="2" t="inlineStr">
        <is>
          <t>C0523</t>
        </is>
      </c>
      <c r="D3819" s="2" t="inlineStr">
        <is>
          <t>P0030</t>
        </is>
      </c>
      <c r="E3819" s="2" t="inlineStr">
        <is>
          <t>Dumbbells</t>
        </is>
      </c>
      <c r="F3819" s="2" t="inlineStr">
        <is>
          <t>Sports</t>
        </is>
      </c>
      <c r="G3819" s="2" t="inlineStr">
        <is>
          <t>West</t>
        </is>
      </c>
      <c r="H3819" s="2" t="inlineStr">
        <is>
          <t>Goa</t>
        </is>
      </c>
      <c r="I3819" s="2" t="inlineStr">
        <is>
          <t>Margao</t>
        </is>
      </c>
      <c r="J3819" s="2" t="inlineStr">
        <is>
          <t>Online</t>
        </is>
      </c>
      <c r="K3819" s="2" t="n">
        <v>1</v>
      </c>
      <c r="L3819" s="3" t="n">
        <v>1542.6</v>
      </c>
      <c r="M3819" s="4" t="n">
        <v>0</v>
      </c>
      <c r="N3819" s="3" t="n">
        <v>1054.28</v>
      </c>
      <c r="O3819" s="3">
        <f>K3819*L3819*(1-M3819)</f>
        <v/>
      </c>
      <c r="P3819" s="3">
        <f>O3819-N3819</f>
        <v/>
      </c>
      <c r="Q3819" s="5">
        <f>IFERROR(P3819/O3819,0)</f>
        <v/>
      </c>
      <c r="R3819" s="2">
        <f>TEXT(DATEVALUE(B3819),"mmm")</f>
        <v/>
      </c>
      <c r="S3819" s="2">
        <f>TEXT(DATEVALUE(B3819),"yyyy-mm")</f>
        <v/>
      </c>
    </row>
    <row r="3820">
      <c r="A3820" s="2" t="inlineStr">
        <is>
          <t>O001307</t>
        </is>
      </c>
      <c r="B3820" s="2" t="inlineStr">
        <is>
          <t>2025-10-07</t>
        </is>
      </c>
      <c r="C3820" s="2" t="inlineStr">
        <is>
          <t>C0783</t>
        </is>
      </c>
      <c r="D3820" s="2" t="inlineStr">
        <is>
          <t>P0013</t>
        </is>
      </c>
      <c r="E3820" s="2" t="inlineStr">
        <is>
          <t>Storage Organizer</t>
        </is>
      </c>
      <c r="F3820" s="2" t="inlineStr">
        <is>
          <t>Home &amp; Kitchen</t>
        </is>
      </c>
      <c r="G3820" s="2" t="inlineStr">
        <is>
          <t>North</t>
        </is>
      </c>
      <c r="H3820" s="2" t="inlineStr">
        <is>
          <t>Delhi</t>
        </is>
      </c>
      <c r="I3820" s="2" t="inlineStr">
        <is>
          <t>New Delhi</t>
        </is>
      </c>
      <c r="J3820" s="2" t="inlineStr">
        <is>
          <t>Online</t>
        </is>
      </c>
      <c r="K3820" s="2" t="n">
        <v>3</v>
      </c>
      <c r="L3820" s="3" t="n">
        <v>579.9299999999999</v>
      </c>
      <c r="M3820" s="4" t="n">
        <v>0.05</v>
      </c>
      <c r="N3820" s="3" t="n">
        <v>1078.26</v>
      </c>
      <c r="O3820" s="3">
        <f>K3820*L3820*(1-M3820)</f>
        <v/>
      </c>
      <c r="P3820" s="3">
        <f>O3820-N3820</f>
        <v/>
      </c>
      <c r="Q3820" s="5">
        <f>IFERROR(P3820/O3820,0)</f>
        <v/>
      </c>
      <c r="R3820" s="2">
        <f>TEXT(DATEVALUE(B3820),"mmm")</f>
        <v/>
      </c>
      <c r="S3820" s="2">
        <f>TEXT(DATEVALUE(B3820),"yyyy-mm")</f>
        <v/>
      </c>
    </row>
    <row r="3821">
      <c r="A3821" s="2" t="inlineStr">
        <is>
          <t>O000087</t>
        </is>
      </c>
      <c r="B3821" s="2" t="inlineStr">
        <is>
          <t>2025-10-07</t>
        </is>
      </c>
      <c r="C3821" s="2" t="inlineStr">
        <is>
          <t>C0393</t>
        </is>
      </c>
      <c r="D3821" s="2" t="inlineStr">
        <is>
          <t>P0014</t>
        </is>
      </c>
      <c r="E3821" s="2" t="inlineStr">
        <is>
          <t>Coffee Maker</t>
        </is>
      </c>
      <c r="F3821" s="2" t="inlineStr">
        <is>
          <t>Home &amp; Kitchen</t>
        </is>
      </c>
      <c r="G3821" s="2" t="inlineStr">
        <is>
          <t>West</t>
        </is>
      </c>
      <c r="H3821" s="2" t="inlineStr">
        <is>
          <t>Gujarat</t>
        </is>
      </c>
      <c r="I3821" s="2" t="inlineStr">
        <is>
          <t>Vadodara</t>
        </is>
      </c>
      <c r="J3821" s="2" t="inlineStr">
        <is>
          <t>Online</t>
        </is>
      </c>
      <c r="K3821" s="2" t="n">
        <v>1</v>
      </c>
      <c r="L3821" s="3" t="n">
        <v>1001.31</v>
      </c>
      <c r="M3821" s="4" t="n">
        <v>0</v>
      </c>
      <c r="N3821" s="3" t="n">
        <v>782.3</v>
      </c>
      <c r="O3821" s="3">
        <f>K3821*L3821*(1-M3821)</f>
        <v/>
      </c>
      <c r="P3821" s="3">
        <f>O3821-N3821</f>
        <v/>
      </c>
      <c r="Q3821" s="5">
        <f>IFERROR(P3821/O3821,0)</f>
        <v/>
      </c>
      <c r="R3821" s="2">
        <f>TEXT(DATEVALUE(B3821),"mmm")</f>
        <v/>
      </c>
      <c r="S3821" s="2">
        <f>TEXT(DATEVALUE(B3821),"yyyy-mm")</f>
        <v/>
      </c>
    </row>
    <row r="3822">
      <c r="A3822" s="2" t="inlineStr">
        <is>
          <t>O000228</t>
        </is>
      </c>
      <c r="B3822" s="2" t="inlineStr">
        <is>
          <t>2025-10-07</t>
        </is>
      </c>
      <c r="C3822" s="2" t="inlineStr">
        <is>
          <t>C0430</t>
        </is>
      </c>
      <c r="D3822" s="2" t="inlineStr">
        <is>
          <t>P0027</t>
        </is>
      </c>
      <c r="E3822" s="2" t="inlineStr">
        <is>
          <t>Moisturizer</t>
        </is>
      </c>
      <c r="F3822" s="2" t="inlineStr">
        <is>
          <t>Beauty</t>
        </is>
      </c>
      <c r="G3822" s="2" t="inlineStr">
        <is>
          <t>West</t>
        </is>
      </c>
      <c r="H3822" s="2" t="inlineStr">
        <is>
          <t>Maharashtra</t>
        </is>
      </c>
      <c r="I3822" s="2" t="inlineStr">
        <is>
          <t>Thane</t>
        </is>
      </c>
      <c r="J3822" s="2" t="inlineStr">
        <is>
          <t>Online</t>
        </is>
      </c>
      <c r="K3822" s="2" t="n">
        <v>3</v>
      </c>
      <c r="L3822" s="3" t="n">
        <v>925.88</v>
      </c>
      <c r="M3822" s="4" t="n">
        <v>0.05</v>
      </c>
      <c r="N3822" s="3" t="n">
        <v>2052.32</v>
      </c>
      <c r="O3822" s="3">
        <f>K3822*L3822*(1-M3822)</f>
        <v/>
      </c>
      <c r="P3822" s="3">
        <f>O3822-N3822</f>
        <v/>
      </c>
      <c r="Q3822" s="5">
        <f>IFERROR(P3822/O3822,0)</f>
        <v/>
      </c>
      <c r="R3822" s="2">
        <f>TEXT(DATEVALUE(B3822),"mmm")</f>
        <v/>
      </c>
      <c r="S3822" s="2">
        <f>TEXT(DATEVALUE(B3822),"yyyy-mm")</f>
        <v/>
      </c>
    </row>
    <row r="3823">
      <c r="A3823" s="2" t="inlineStr">
        <is>
          <t>O001754</t>
        </is>
      </c>
      <c r="B3823" s="2" t="inlineStr">
        <is>
          <t>2025-10-07</t>
        </is>
      </c>
      <c r="C3823" s="2" t="inlineStr">
        <is>
          <t>C0232</t>
        </is>
      </c>
      <c r="D3823" s="2" t="inlineStr">
        <is>
          <t>P0028</t>
        </is>
      </c>
      <c r="E3823" s="2" t="inlineStr">
        <is>
          <t>Trimmer</t>
        </is>
      </c>
      <c r="F3823" s="2" t="inlineStr">
        <is>
          <t>Beauty</t>
        </is>
      </c>
      <c r="G3823" s="2" t="inlineStr">
        <is>
          <t>North</t>
        </is>
      </c>
      <c r="H3823" s="2" t="inlineStr">
        <is>
          <t>Uttar Pradesh</t>
        </is>
      </c>
      <c r="I3823" s="2" t="inlineStr">
        <is>
          <t>Noida</t>
        </is>
      </c>
      <c r="J3823" s="2" t="inlineStr">
        <is>
          <t>Online</t>
        </is>
      </c>
      <c r="K3823" s="2" t="n">
        <v>1</v>
      </c>
      <c r="L3823" s="3" t="n">
        <v>467.41</v>
      </c>
      <c r="M3823" s="4" t="n">
        <v>0</v>
      </c>
      <c r="N3823" s="3" t="n">
        <v>259.12</v>
      </c>
      <c r="O3823" s="3">
        <f>K3823*L3823*(1-M3823)</f>
        <v/>
      </c>
      <c r="P3823" s="3">
        <f>O3823-N3823</f>
        <v/>
      </c>
      <c r="Q3823" s="5">
        <f>IFERROR(P3823/O3823,0)</f>
        <v/>
      </c>
      <c r="R3823" s="2">
        <f>TEXT(DATEVALUE(B3823),"mmm")</f>
        <v/>
      </c>
      <c r="S3823" s="2">
        <f>TEXT(DATEVALUE(B3823),"yyyy-mm")</f>
        <v/>
      </c>
    </row>
    <row r="3824">
      <c r="A3824" s="2" t="inlineStr">
        <is>
          <t>O000361</t>
        </is>
      </c>
      <c r="B3824" s="2" t="inlineStr">
        <is>
          <t>2025-10-07</t>
        </is>
      </c>
      <c r="C3824" s="2" t="inlineStr">
        <is>
          <t>C0449</t>
        </is>
      </c>
      <c r="D3824" s="2" t="inlineStr">
        <is>
          <t>P0011</t>
        </is>
      </c>
      <c r="E3824" s="2" t="inlineStr">
        <is>
          <t>Cookware Set</t>
        </is>
      </c>
      <c r="F3824" s="2" t="inlineStr">
        <is>
          <t>Home &amp; Kitchen</t>
        </is>
      </c>
      <c r="G3824" s="2" t="inlineStr">
        <is>
          <t>West</t>
        </is>
      </c>
      <c r="H3824" s="2" t="inlineStr">
        <is>
          <t>Goa</t>
        </is>
      </c>
      <c r="I3824" s="2" t="inlineStr">
        <is>
          <t>Margao</t>
        </is>
      </c>
      <c r="J3824" s="2" t="inlineStr">
        <is>
          <t>Online</t>
        </is>
      </c>
      <c r="K3824" s="2" t="n">
        <v>1</v>
      </c>
      <c r="L3824" s="3" t="n">
        <v>723.71</v>
      </c>
      <c r="M3824" s="4" t="n">
        <v>0.2</v>
      </c>
      <c r="N3824" s="3" t="n">
        <v>472.42</v>
      </c>
      <c r="O3824" s="3">
        <f>K3824*L3824*(1-M3824)</f>
        <v/>
      </c>
      <c r="P3824" s="3">
        <f>O3824-N3824</f>
        <v/>
      </c>
      <c r="Q3824" s="5">
        <f>IFERROR(P3824/O3824,0)</f>
        <v/>
      </c>
      <c r="R3824" s="2">
        <f>TEXT(DATEVALUE(B3824),"mmm")</f>
        <v/>
      </c>
      <c r="S3824" s="2">
        <f>TEXT(DATEVALUE(B3824),"yyyy-mm")</f>
        <v/>
      </c>
    </row>
    <row r="3825">
      <c r="A3825" s="2" t="inlineStr">
        <is>
          <t>O000339</t>
        </is>
      </c>
      <c r="B3825" s="2" t="inlineStr">
        <is>
          <t>2025-10-07</t>
        </is>
      </c>
      <c r="C3825" s="2" t="inlineStr">
        <is>
          <t>C0179</t>
        </is>
      </c>
      <c r="D3825" s="2" t="inlineStr">
        <is>
          <t>P0026</t>
        </is>
      </c>
      <c r="E3825" s="2" t="inlineStr">
        <is>
          <t>Shampoo</t>
        </is>
      </c>
      <c r="F3825" s="2" t="inlineStr">
        <is>
          <t>Beauty</t>
        </is>
      </c>
      <c r="G3825" s="2" t="inlineStr">
        <is>
          <t>West</t>
        </is>
      </c>
      <c r="H3825" s="2" t="inlineStr">
        <is>
          <t>Goa</t>
        </is>
      </c>
      <c r="I3825" s="2" t="inlineStr">
        <is>
          <t>Margao</t>
        </is>
      </c>
      <c r="J3825" s="2" t="inlineStr">
        <is>
          <t>Store</t>
        </is>
      </c>
      <c r="K3825" s="2" t="n">
        <v>2</v>
      </c>
      <c r="L3825" s="3" t="n">
        <v>889.38</v>
      </c>
      <c r="M3825" s="4" t="n">
        <v>0.15</v>
      </c>
      <c r="N3825" s="3" t="n">
        <v>1009.45</v>
      </c>
      <c r="O3825" s="3">
        <f>K3825*L3825*(1-M3825)</f>
        <v/>
      </c>
      <c r="P3825" s="3">
        <f>O3825-N3825</f>
        <v/>
      </c>
      <c r="Q3825" s="5">
        <f>IFERROR(P3825/O3825,0)</f>
        <v/>
      </c>
      <c r="R3825" s="2">
        <f>TEXT(DATEVALUE(B3825),"mmm")</f>
        <v/>
      </c>
      <c r="S3825" s="2">
        <f>TEXT(DATEVALUE(B3825),"yyyy-mm")</f>
        <v/>
      </c>
    </row>
    <row r="3826">
      <c r="A3826" s="2" t="inlineStr">
        <is>
          <t>O000499</t>
        </is>
      </c>
      <c r="B3826" s="2" t="inlineStr">
        <is>
          <t>2025-10-07</t>
        </is>
      </c>
      <c r="C3826" s="2" t="inlineStr">
        <is>
          <t>C0442</t>
        </is>
      </c>
      <c r="D3826" s="2" t="inlineStr">
        <is>
          <t>P0031</t>
        </is>
      </c>
      <c r="E3826" s="2" t="inlineStr">
        <is>
          <t>Cricket Bat</t>
        </is>
      </c>
      <c r="F3826" s="2" t="inlineStr">
        <is>
          <t>Sports</t>
        </is>
      </c>
      <c r="G3826" s="2" t="inlineStr">
        <is>
          <t>South</t>
        </is>
      </c>
      <c r="H3826" s="2" t="inlineStr">
        <is>
          <t>Kerala</t>
        </is>
      </c>
      <c r="I3826" s="2" t="inlineStr">
        <is>
          <t>Kochi</t>
        </is>
      </c>
      <c r="J3826" s="2" t="inlineStr">
        <is>
          <t>Online</t>
        </is>
      </c>
      <c r="K3826" s="2" t="n">
        <v>1</v>
      </c>
      <c r="L3826" s="3" t="n">
        <v>1354.8</v>
      </c>
      <c r="M3826" s="4" t="n">
        <v>0.05</v>
      </c>
      <c r="N3826" s="3" t="n">
        <v>928.35</v>
      </c>
      <c r="O3826" s="3">
        <f>K3826*L3826*(1-M3826)</f>
        <v/>
      </c>
      <c r="P3826" s="3">
        <f>O3826-N3826</f>
        <v/>
      </c>
      <c r="Q3826" s="5">
        <f>IFERROR(P3826/O3826,0)</f>
        <v/>
      </c>
      <c r="R3826" s="2">
        <f>TEXT(DATEVALUE(B3826),"mmm")</f>
        <v/>
      </c>
      <c r="S3826" s="2">
        <f>TEXT(DATEVALUE(B3826),"yyyy-mm")</f>
        <v/>
      </c>
    </row>
    <row r="3827">
      <c r="A3827" s="2" t="inlineStr">
        <is>
          <t>O003728</t>
        </is>
      </c>
      <c r="B3827" s="2" t="inlineStr">
        <is>
          <t>2025-10-08</t>
        </is>
      </c>
      <c r="C3827" s="2" t="inlineStr">
        <is>
          <t>C0690</t>
        </is>
      </c>
      <c r="D3827" s="2" t="inlineStr">
        <is>
          <t>P0019</t>
        </is>
      </c>
      <c r="E3827" s="2" t="inlineStr">
        <is>
          <t>Jacket</t>
        </is>
      </c>
      <c r="F3827" s="2" t="inlineStr">
        <is>
          <t>Fashion</t>
        </is>
      </c>
      <c r="G3827" s="2" t="inlineStr">
        <is>
          <t>West</t>
        </is>
      </c>
      <c r="H3827" s="2" t="inlineStr">
        <is>
          <t>Maharashtra</t>
        </is>
      </c>
      <c r="I3827" s="2" t="inlineStr">
        <is>
          <t>Pune</t>
        </is>
      </c>
      <c r="J3827" s="2" t="inlineStr">
        <is>
          <t>Store</t>
        </is>
      </c>
      <c r="K3827" s="2" t="n">
        <v>3</v>
      </c>
      <c r="L3827" s="3" t="n">
        <v>1040.85</v>
      </c>
      <c r="M3827" s="4" t="n">
        <v>0</v>
      </c>
      <c r="N3827" s="3" t="n">
        <v>2052.47</v>
      </c>
      <c r="O3827" s="3">
        <f>K3827*L3827*(1-M3827)</f>
        <v/>
      </c>
      <c r="P3827" s="3">
        <f>O3827-N3827</f>
        <v/>
      </c>
      <c r="Q3827" s="5">
        <f>IFERROR(P3827/O3827,0)</f>
        <v/>
      </c>
      <c r="R3827" s="2">
        <f>TEXT(DATEVALUE(B3827),"mmm")</f>
        <v/>
      </c>
      <c r="S3827" s="2">
        <f>TEXT(DATEVALUE(B3827),"yyyy-mm")</f>
        <v/>
      </c>
    </row>
    <row r="3828">
      <c r="A3828" s="2" t="inlineStr">
        <is>
          <t>O003644</t>
        </is>
      </c>
      <c r="B3828" s="2" t="inlineStr">
        <is>
          <t>2025-10-08</t>
        </is>
      </c>
      <c r="C3828" s="2" t="inlineStr">
        <is>
          <t>C0216</t>
        </is>
      </c>
      <c r="D3828" s="2" t="inlineStr">
        <is>
          <t>P0027</t>
        </is>
      </c>
      <c r="E3828" s="2" t="inlineStr">
        <is>
          <t>Moisturizer</t>
        </is>
      </c>
      <c r="F3828" s="2" t="inlineStr">
        <is>
          <t>Beauty</t>
        </is>
      </c>
      <c r="G3828" s="2" t="inlineStr">
        <is>
          <t>West</t>
        </is>
      </c>
      <c r="H3828" s="2" t="inlineStr">
        <is>
          <t>Gujarat</t>
        </is>
      </c>
      <c r="I3828" s="2" t="inlineStr">
        <is>
          <t>Ahmedabad</t>
        </is>
      </c>
      <c r="J3828" s="2" t="inlineStr">
        <is>
          <t>Online</t>
        </is>
      </c>
      <c r="K3828" s="2" t="n">
        <v>3</v>
      </c>
      <c r="L3828" s="3" t="n">
        <v>970.5599999999999</v>
      </c>
      <c r="M3828" s="4" t="n">
        <v>0</v>
      </c>
      <c r="N3828" s="3" t="n">
        <v>1987.32</v>
      </c>
      <c r="O3828" s="3">
        <f>K3828*L3828*(1-M3828)</f>
        <v/>
      </c>
      <c r="P3828" s="3">
        <f>O3828-N3828</f>
        <v/>
      </c>
      <c r="Q3828" s="5">
        <f>IFERROR(P3828/O3828,0)</f>
        <v/>
      </c>
      <c r="R3828" s="2">
        <f>TEXT(DATEVALUE(B3828),"mmm")</f>
        <v/>
      </c>
      <c r="S3828" s="2">
        <f>TEXT(DATEVALUE(B3828),"yyyy-mm")</f>
        <v/>
      </c>
    </row>
    <row r="3829">
      <c r="A3829" s="2" t="inlineStr">
        <is>
          <t>O003113</t>
        </is>
      </c>
      <c r="B3829" s="2" t="inlineStr">
        <is>
          <t>2025-10-08</t>
        </is>
      </c>
      <c r="C3829" s="2" t="inlineStr">
        <is>
          <t>C0344</t>
        </is>
      </c>
      <c r="D3829" s="2" t="inlineStr">
        <is>
          <t>P0035</t>
        </is>
      </c>
      <c r="E3829" s="2" t="inlineStr">
        <is>
          <t>Skipping Rope</t>
        </is>
      </c>
      <c r="F3829" s="2" t="inlineStr">
        <is>
          <t>Sports</t>
        </is>
      </c>
      <c r="G3829" s="2" t="inlineStr">
        <is>
          <t>East</t>
        </is>
      </c>
      <c r="H3829" s="2" t="inlineStr">
        <is>
          <t>Odisha</t>
        </is>
      </c>
      <c r="I3829" s="2" t="inlineStr">
        <is>
          <t>Cuttack</t>
        </is>
      </c>
      <c r="J3829" s="2" t="inlineStr">
        <is>
          <t>Online</t>
        </is>
      </c>
      <c r="K3829" s="2" t="n">
        <v>2</v>
      </c>
      <c r="L3829" s="3" t="n">
        <v>724.95</v>
      </c>
      <c r="M3829" s="4" t="n">
        <v>0</v>
      </c>
      <c r="N3829" s="3" t="n">
        <v>848.99</v>
      </c>
      <c r="O3829" s="3">
        <f>K3829*L3829*(1-M3829)</f>
        <v/>
      </c>
      <c r="P3829" s="3">
        <f>O3829-N3829</f>
        <v/>
      </c>
      <c r="Q3829" s="5">
        <f>IFERROR(P3829/O3829,0)</f>
        <v/>
      </c>
      <c r="R3829" s="2">
        <f>TEXT(DATEVALUE(B3829),"mmm")</f>
        <v/>
      </c>
      <c r="S3829" s="2">
        <f>TEXT(DATEVALUE(B3829),"yyyy-mm")</f>
        <v/>
      </c>
    </row>
    <row r="3830">
      <c r="A3830" s="2" t="inlineStr">
        <is>
          <t>O002666</t>
        </is>
      </c>
      <c r="B3830" s="2" t="inlineStr">
        <is>
          <t>2025-10-08</t>
        </is>
      </c>
      <c r="C3830" s="2" t="inlineStr">
        <is>
          <t>C0547</t>
        </is>
      </c>
      <c r="D3830" s="2" t="inlineStr">
        <is>
          <t>P0016</t>
        </is>
      </c>
      <c r="E3830" s="2" t="inlineStr">
        <is>
          <t>Casual Shirt</t>
        </is>
      </c>
      <c r="F3830" s="2" t="inlineStr">
        <is>
          <t>Fashion</t>
        </is>
      </c>
      <c r="G3830" s="2" t="inlineStr">
        <is>
          <t>North</t>
        </is>
      </c>
      <c r="H3830" s="2" t="inlineStr">
        <is>
          <t>Punjab</t>
        </is>
      </c>
      <c r="I3830" s="2" t="inlineStr">
        <is>
          <t>Ludhiana</t>
        </is>
      </c>
      <c r="J3830" s="2" t="inlineStr">
        <is>
          <t>Online</t>
        </is>
      </c>
      <c r="K3830" s="2" t="n">
        <v>1</v>
      </c>
      <c r="L3830" s="3" t="n">
        <v>1297.89</v>
      </c>
      <c r="M3830" s="4" t="n">
        <v>0.1</v>
      </c>
      <c r="N3830" s="3" t="n">
        <v>878.58</v>
      </c>
      <c r="O3830" s="3">
        <f>K3830*L3830*(1-M3830)</f>
        <v/>
      </c>
      <c r="P3830" s="3">
        <f>O3830-N3830</f>
        <v/>
      </c>
      <c r="Q3830" s="5">
        <f>IFERROR(P3830/O3830,0)</f>
        <v/>
      </c>
      <c r="R3830" s="2">
        <f>TEXT(DATEVALUE(B3830),"mmm")</f>
        <v/>
      </c>
      <c r="S3830" s="2">
        <f>TEXT(DATEVALUE(B3830),"yyyy-mm")</f>
        <v/>
      </c>
    </row>
    <row r="3831">
      <c r="A3831" s="2" t="inlineStr">
        <is>
          <t>O002394</t>
        </is>
      </c>
      <c r="B3831" s="2" t="inlineStr">
        <is>
          <t>2025-10-08</t>
        </is>
      </c>
      <c r="C3831" s="2" t="inlineStr">
        <is>
          <t>C0280</t>
        </is>
      </c>
      <c r="D3831" s="2" t="inlineStr">
        <is>
          <t>P0028</t>
        </is>
      </c>
      <c r="E3831" s="2" t="inlineStr">
        <is>
          <t>Trimmer</t>
        </is>
      </c>
      <c r="F3831" s="2" t="inlineStr">
        <is>
          <t>Beauty</t>
        </is>
      </c>
      <c r="G3831" s="2" t="inlineStr">
        <is>
          <t>South</t>
        </is>
      </c>
      <c r="H3831" s="2" t="inlineStr">
        <is>
          <t>Tamil Nadu</t>
        </is>
      </c>
      <c r="I3831" s="2" t="inlineStr">
        <is>
          <t>Coimbatore</t>
        </is>
      </c>
      <c r="J3831" s="2" t="inlineStr">
        <is>
          <t>Store</t>
        </is>
      </c>
      <c r="K3831" s="2" t="n">
        <v>1</v>
      </c>
      <c r="L3831" s="3" t="n">
        <v>462.7</v>
      </c>
      <c r="M3831" s="4" t="n">
        <v>0.1</v>
      </c>
      <c r="N3831" s="3" t="n">
        <v>254.48</v>
      </c>
      <c r="O3831" s="3">
        <f>K3831*L3831*(1-M3831)</f>
        <v/>
      </c>
      <c r="P3831" s="3">
        <f>O3831-N3831</f>
        <v/>
      </c>
      <c r="Q3831" s="5">
        <f>IFERROR(P3831/O3831,0)</f>
        <v/>
      </c>
      <c r="R3831" s="2">
        <f>TEXT(DATEVALUE(B3831),"mmm")</f>
        <v/>
      </c>
      <c r="S3831" s="2">
        <f>TEXT(DATEVALUE(B3831),"yyyy-mm")</f>
        <v/>
      </c>
    </row>
    <row r="3832">
      <c r="A3832" s="2" t="inlineStr">
        <is>
          <t>O003022</t>
        </is>
      </c>
      <c r="B3832" s="2" t="inlineStr">
        <is>
          <t>2025-10-08</t>
        </is>
      </c>
      <c r="C3832" s="2" t="inlineStr">
        <is>
          <t>C0102</t>
        </is>
      </c>
      <c r="D3832" s="2" t="inlineStr">
        <is>
          <t>P0023</t>
        </is>
      </c>
      <c r="E3832" s="2" t="inlineStr">
        <is>
          <t>Skin Care Kit</t>
        </is>
      </c>
      <c r="F3832" s="2" t="inlineStr">
        <is>
          <t>Beauty</t>
        </is>
      </c>
      <c r="G3832" s="2" t="inlineStr">
        <is>
          <t>South</t>
        </is>
      </c>
      <c r="H3832" s="2" t="inlineStr">
        <is>
          <t>Telangana</t>
        </is>
      </c>
      <c r="I3832" s="2" t="inlineStr">
        <is>
          <t>Hyderabad</t>
        </is>
      </c>
      <c r="J3832" s="2" t="inlineStr">
        <is>
          <t>Online</t>
        </is>
      </c>
      <c r="K3832" s="2" t="n">
        <v>3</v>
      </c>
      <c r="L3832" s="3" t="n">
        <v>1409.79</v>
      </c>
      <c r="M3832" s="4" t="n">
        <v>0.25</v>
      </c>
      <c r="N3832" s="3" t="n">
        <v>2747.27</v>
      </c>
      <c r="O3832" s="3">
        <f>K3832*L3832*(1-M3832)</f>
        <v/>
      </c>
      <c r="P3832" s="3">
        <f>O3832-N3832</f>
        <v/>
      </c>
      <c r="Q3832" s="5">
        <f>IFERROR(P3832/O3832,0)</f>
        <v/>
      </c>
      <c r="R3832" s="2">
        <f>TEXT(DATEVALUE(B3832),"mmm")</f>
        <v/>
      </c>
      <c r="S3832" s="2">
        <f>TEXT(DATEVALUE(B3832),"yyyy-mm")</f>
        <v/>
      </c>
    </row>
    <row r="3833">
      <c r="A3833" s="2" t="inlineStr">
        <is>
          <t>O001753</t>
        </is>
      </c>
      <c r="B3833" s="2" t="inlineStr">
        <is>
          <t>2025-10-08</t>
        </is>
      </c>
      <c r="C3833" s="2" t="inlineStr">
        <is>
          <t>C0666</t>
        </is>
      </c>
      <c r="D3833" s="2" t="inlineStr">
        <is>
          <t>P0012</t>
        </is>
      </c>
      <c r="E3833" s="2" t="inlineStr">
        <is>
          <t>Water Bottle</t>
        </is>
      </c>
      <c r="F3833" s="2" t="inlineStr">
        <is>
          <t>Home &amp; Kitchen</t>
        </is>
      </c>
      <c r="G3833" s="2" t="inlineStr">
        <is>
          <t>North</t>
        </is>
      </c>
      <c r="H3833" s="2" t="inlineStr">
        <is>
          <t>Delhi</t>
        </is>
      </c>
      <c r="I3833" s="2" t="inlineStr">
        <is>
          <t>New Delhi</t>
        </is>
      </c>
      <c r="J3833" s="2" t="inlineStr">
        <is>
          <t>Online</t>
        </is>
      </c>
      <c r="K3833" s="2" t="n">
        <v>2</v>
      </c>
      <c r="L3833" s="3" t="n">
        <v>967.4</v>
      </c>
      <c r="M3833" s="4" t="n">
        <v>0.05</v>
      </c>
      <c r="N3833" s="3" t="n">
        <v>1250.95</v>
      </c>
      <c r="O3833" s="3">
        <f>K3833*L3833*(1-M3833)</f>
        <v/>
      </c>
      <c r="P3833" s="3">
        <f>O3833-N3833</f>
        <v/>
      </c>
      <c r="Q3833" s="5">
        <f>IFERROR(P3833/O3833,0)</f>
        <v/>
      </c>
      <c r="R3833" s="2">
        <f>TEXT(DATEVALUE(B3833),"mmm")</f>
        <v/>
      </c>
      <c r="S3833" s="2">
        <f>TEXT(DATEVALUE(B3833),"yyyy-mm")</f>
        <v/>
      </c>
    </row>
    <row r="3834">
      <c r="A3834" s="2" t="inlineStr">
        <is>
          <t>O001323</t>
        </is>
      </c>
      <c r="B3834" s="2" t="inlineStr">
        <is>
          <t>2025-10-08</t>
        </is>
      </c>
      <c r="C3834" s="2" t="inlineStr">
        <is>
          <t>C0400</t>
        </is>
      </c>
      <c r="D3834" s="2" t="inlineStr">
        <is>
          <t>P0032</t>
        </is>
      </c>
      <c r="E3834" s="2" t="inlineStr">
        <is>
          <t>Football</t>
        </is>
      </c>
      <c r="F3834" s="2" t="inlineStr">
        <is>
          <t>Sports</t>
        </is>
      </c>
      <c r="G3834" s="2" t="inlineStr">
        <is>
          <t>South</t>
        </is>
      </c>
      <c r="H3834" s="2" t="inlineStr">
        <is>
          <t>Telangana</t>
        </is>
      </c>
      <c r="I3834" s="2" t="inlineStr">
        <is>
          <t>Warangal</t>
        </is>
      </c>
      <c r="J3834" s="2" t="inlineStr">
        <is>
          <t>Store</t>
        </is>
      </c>
      <c r="K3834" s="2" t="n">
        <v>3</v>
      </c>
      <c r="L3834" s="3" t="n">
        <v>777.92</v>
      </c>
      <c r="M3834" s="4" t="n">
        <v>0.1</v>
      </c>
      <c r="N3834" s="3" t="n">
        <v>1553.73</v>
      </c>
      <c r="O3834" s="3">
        <f>K3834*L3834*(1-M3834)</f>
        <v/>
      </c>
      <c r="P3834" s="3">
        <f>O3834-N3834</f>
        <v/>
      </c>
      <c r="Q3834" s="5">
        <f>IFERROR(P3834/O3834,0)</f>
        <v/>
      </c>
      <c r="R3834" s="2">
        <f>TEXT(DATEVALUE(B3834),"mmm")</f>
        <v/>
      </c>
      <c r="S3834" s="2">
        <f>TEXT(DATEVALUE(B3834),"yyyy-mm")</f>
        <v/>
      </c>
    </row>
    <row r="3835">
      <c r="A3835" s="2" t="inlineStr">
        <is>
          <t>O000832</t>
        </is>
      </c>
      <c r="B3835" s="2" t="inlineStr">
        <is>
          <t>2025-10-08</t>
        </is>
      </c>
      <c r="C3835" s="2" t="inlineStr">
        <is>
          <t>C0635</t>
        </is>
      </c>
      <c r="D3835" s="2" t="inlineStr">
        <is>
          <t>P0011</t>
        </is>
      </c>
      <c r="E3835" s="2" t="inlineStr">
        <is>
          <t>Cookware Set</t>
        </is>
      </c>
      <c r="F3835" s="2" t="inlineStr">
        <is>
          <t>Home &amp; Kitchen</t>
        </is>
      </c>
      <c r="G3835" s="2" t="inlineStr">
        <is>
          <t>East</t>
        </is>
      </c>
      <c r="H3835" s="2" t="inlineStr">
        <is>
          <t>Bihar</t>
        </is>
      </c>
      <c r="I3835" s="2" t="inlineStr">
        <is>
          <t>Gaya</t>
        </is>
      </c>
      <c r="J3835" s="2" t="inlineStr">
        <is>
          <t>Online</t>
        </is>
      </c>
      <c r="K3835" s="2" t="n">
        <v>2</v>
      </c>
      <c r="L3835" s="3" t="n">
        <v>713.55</v>
      </c>
      <c r="M3835" s="4" t="n">
        <v>0.05</v>
      </c>
      <c r="N3835" s="3" t="n">
        <v>941.6900000000001</v>
      </c>
      <c r="O3835" s="3">
        <f>K3835*L3835*(1-M3835)</f>
        <v/>
      </c>
      <c r="P3835" s="3">
        <f>O3835-N3835</f>
        <v/>
      </c>
      <c r="Q3835" s="5">
        <f>IFERROR(P3835/O3835,0)</f>
        <v/>
      </c>
      <c r="R3835" s="2">
        <f>TEXT(DATEVALUE(B3835),"mmm")</f>
        <v/>
      </c>
      <c r="S3835" s="2">
        <f>TEXT(DATEVALUE(B3835),"yyyy-mm")</f>
        <v/>
      </c>
    </row>
    <row r="3836">
      <c r="A3836" s="2" t="inlineStr">
        <is>
          <t>O000354</t>
        </is>
      </c>
      <c r="B3836" s="2" t="inlineStr">
        <is>
          <t>2025-10-08</t>
        </is>
      </c>
      <c r="C3836" s="2" t="inlineStr">
        <is>
          <t>C0740</t>
        </is>
      </c>
      <c r="D3836" s="2" t="inlineStr">
        <is>
          <t>P0006</t>
        </is>
      </c>
      <c r="E3836" s="2" t="inlineStr">
        <is>
          <t>Mechanical Keyboard</t>
        </is>
      </c>
      <c r="F3836" s="2" t="inlineStr">
        <is>
          <t>Electronics</t>
        </is>
      </c>
      <c r="G3836" s="2" t="inlineStr">
        <is>
          <t>East</t>
        </is>
      </c>
      <c r="H3836" s="2" t="inlineStr">
        <is>
          <t>West Bengal</t>
        </is>
      </c>
      <c r="I3836" s="2" t="inlineStr">
        <is>
          <t>Durgapur</t>
        </is>
      </c>
      <c r="J3836" s="2" t="inlineStr">
        <is>
          <t>Store</t>
        </is>
      </c>
      <c r="K3836" s="2" t="n">
        <v>1</v>
      </c>
      <c r="L3836" s="3" t="n">
        <v>2689.23</v>
      </c>
      <c r="M3836" s="4" t="n">
        <v>0.2</v>
      </c>
      <c r="N3836" s="3" t="n">
        <v>1487.09</v>
      </c>
      <c r="O3836" s="3">
        <f>K3836*L3836*(1-M3836)</f>
        <v/>
      </c>
      <c r="P3836" s="3">
        <f>O3836-N3836</f>
        <v/>
      </c>
      <c r="Q3836" s="5">
        <f>IFERROR(P3836/O3836,0)</f>
        <v/>
      </c>
      <c r="R3836" s="2">
        <f>TEXT(DATEVALUE(B3836),"mmm")</f>
        <v/>
      </c>
      <c r="S3836" s="2">
        <f>TEXT(DATEVALUE(B3836),"yyyy-mm")</f>
        <v/>
      </c>
    </row>
    <row r="3837">
      <c r="A3837" s="2" t="inlineStr">
        <is>
          <t>O002152</t>
        </is>
      </c>
      <c r="B3837" s="2" t="inlineStr">
        <is>
          <t>2025-10-08</t>
        </is>
      </c>
      <c r="C3837" s="2" t="inlineStr">
        <is>
          <t>C0021</t>
        </is>
      </c>
      <c r="D3837" s="2" t="inlineStr">
        <is>
          <t>P0034</t>
        </is>
      </c>
      <c r="E3837" s="2" t="inlineStr">
        <is>
          <t>Gym Gloves</t>
        </is>
      </c>
      <c r="F3837" s="2" t="inlineStr">
        <is>
          <t>Sports</t>
        </is>
      </c>
      <c r="G3837" s="2" t="inlineStr">
        <is>
          <t>North</t>
        </is>
      </c>
      <c r="H3837" s="2" t="inlineStr">
        <is>
          <t>Delhi</t>
        </is>
      </c>
      <c r="I3837" s="2" t="inlineStr">
        <is>
          <t>New Delhi</t>
        </is>
      </c>
      <c r="J3837" s="2" t="inlineStr">
        <is>
          <t>Online</t>
        </is>
      </c>
      <c r="K3837" s="2" t="n">
        <v>1</v>
      </c>
      <c r="L3837" s="3" t="n">
        <v>598.04</v>
      </c>
      <c r="M3837" s="4" t="n">
        <v>0.25</v>
      </c>
      <c r="N3837" s="3" t="n">
        <v>415.97</v>
      </c>
      <c r="O3837" s="3">
        <f>K3837*L3837*(1-M3837)</f>
        <v/>
      </c>
      <c r="P3837" s="3">
        <f>O3837-N3837</f>
        <v/>
      </c>
      <c r="Q3837" s="5">
        <f>IFERROR(P3837/O3837,0)</f>
        <v/>
      </c>
      <c r="R3837" s="2">
        <f>TEXT(DATEVALUE(B3837),"mmm")</f>
        <v/>
      </c>
      <c r="S3837" s="2">
        <f>TEXT(DATEVALUE(B3837),"yyyy-mm")</f>
        <v/>
      </c>
    </row>
    <row r="3838">
      <c r="A3838" s="2" t="inlineStr">
        <is>
          <t>O002500</t>
        </is>
      </c>
      <c r="B3838" s="2" t="inlineStr">
        <is>
          <t>2025-10-09</t>
        </is>
      </c>
      <c r="C3838" s="2" t="inlineStr">
        <is>
          <t>C0686</t>
        </is>
      </c>
      <c r="D3838" s="2" t="inlineStr">
        <is>
          <t>P0007</t>
        </is>
      </c>
      <c r="E3838" s="2" t="inlineStr">
        <is>
          <t>Wireless Mouse</t>
        </is>
      </c>
      <c r="F3838" s="2" t="inlineStr">
        <is>
          <t>Electronics</t>
        </is>
      </c>
      <c r="G3838" s="2" t="inlineStr">
        <is>
          <t>South</t>
        </is>
      </c>
      <c r="H3838" s="2" t="inlineStr">
        <is>
          <t>Tamil Nadu</t>
        </is>
      </c>
      <c r="I3838" s="2" t="inlineStr">
        <is>
          <t>Chennai</t>
        </is>
      </c>
      <c r="J3838" s="2" t="inlineStr">
        <is>
          <t>Store</t>
        </is>
      </c>
      <c r="K3838" s="2" t="n">
        <v>1</v>
      </c>
      <c r="L3838" s="3" t="n">
        <v>978.74</v>
      </c>
      <c r="M3838" s="4" t="n">
        <v>0.15</v>
      </c>
      <c r="N3838" s="3" t="n">
        <v>614.12</v>
      </c>
      <c r="O3838" s="3">
        <f>K3838*L3838*(1-M3838)</f>
        <v/>
      </c>
      <c r="P3838" s="3">
        <f>O3838-N3838</f>
        <v/>
      </c>
      <c r="Q3838" s="5">
        <f>IFERROR(P3838/O3838,0)</f>
        <v/>
      </c>
      <c r="R3838" s="2">
        <f>TEXT(DATEVALUE(B3838),"mmm")</f>
        <v/>
      </c>
      <c r="S3838" s="2">
        <f>TEXT(DATEVALUE(B3838),"yyyy-mm")</f>
        <v/>
      </c>
    </row>
    <row r="3839">
      <c r="A3839" s="2" t="inlineStr">
        <is>
          <t>O004615</t>
        </is>
      </c>
      <c r="B3839" s="2" t="inlineStr">
        <is>
          <t>2025-10-09</t>
        </is>
      </c>
      <c r="C3839" s="2" t="inlineStr">
        <is>
          <t>C0767</t>
        </is>
      </c>
      <c r="D3839" s="2" t="inlineStr">
        <is>
          <t>P0004</t>
        </is>
      </c>
      <c r="E3839" s="2" t="inlineStr">
        <is>
          <t>USB-C Hub</t>
        </is>
      </c>
      <c r="F3839" s="2" t="inlineStr">
        <is>
          <t>Electronics</t>
        </is>
      </c>
      <c r="G3839" s="2" t="inlineStr">
        <is>
          <t>South</t>
        </is>
      </c>
      <c r="H3839" s="2" t="inlineStr">
        <is>
          <t>Karnataka</t>
        </is>
      </c>
      <c r="I3839" s="2" t="inlineStr">
        <is>
          <t>Mangaluru</t>
        </is>
      </c>
      <c r="J3839" s="2" t="inlineStr">
        <is>
          <t>Online</t>
        </is>
      </c>
      <c r="K3839" s="2" t="n">
        <v>1</v>
      </c>
      <c r="L3839" s="3" t="n">
        <v>1213.87</v>
      </c>
      <c r="M3839" s="4" t="n">
        <v>0</v>
      </c>
      <c r="N3839" s="3" t="n">
        <v>921.8</v>
      </c>
      <c r="O3839" s="3">
        <f>K3839*L3839*(1-M3839)</f>
        <v/>
      </c>
      <c r="P3839" s="3">
        <f>O3839-N3839</f>
        <v/>
      </c>
      <c r="Q3839" s="5">
        <f>IFERROR(P3839/O3839,0)</f>
        <v/>
      </c>
      <c r="R3839" s="2">
        <f>TEXT(DATEVALUE(B3839),"mmm")</f>
        <v/>
      </c>
      <c r="S3839" s="2">
        <f>TEXT(DATEVALUE(B3839),"yyyy-mm")</f>
        <v/>
      </c>
    </row>
    <row r="3840">
      <c r="A3840" s="2" t="inlineStr">
        <is>
          <t>O004610</t>
        </is>
      </c>
      <c r="B3840" s="2" t="inlineStr">
        <is>
          <t>2025-10-09</t>
        </is>
      </c>
      <c r="C3840" s="2" t="inlineStr">
        <is>
          <t>C0589</t>
        </is>
      </c>
      <c r="D3840" s="2" t="inlineStr">
        <is>
          <t>P0028</t>
        </is>
      </c>
      <c r="E3840" s="2" t="inlineStr">
        <is>
          <t>Trimmer</t>
        </is>
      </c>
      <c r="F3840" s="2" t="inlineStr">
        <is>
          <t>Beauty</t>
        </is>
      </c>
      <c r="G3840" s="2" t="inlineStr">
        <is>
          <t>West</t>
        </is>
      </c>
      <c r="H3840" s="2" t="inlineStr">
        <is>
          <t>Goa</t>
        </is>
      </c>
      <c r="I3840" s="2" t="inlineStr">
        <is>
          <t>Panaji</t>
        </is>
      </c>
      <c r="J3840" s="2" t="inlineStr">
        <is>
          <t>Store</t>
        </is>
      </c>
      <c r="K3840" s="2" t="n">
        <v>2</v>
      </c>
      <c r="L3840" s="3" t="n">
        <v>464.18</v>
      </c>
      <c r="M3840" s="4" t="n">
        <v>0.1</v>
      </c>
      <c r="N3840" s="3" t="n">
        <v>485.26</v>
      </c>
      <c r="O3840" s="3">
        <f>K3840*L3840*(1-M3840)</f>
        <v/>
      </c>
      <c r="P3840" s="3">
        <f>O3840-N3840</f>
        <v/>
      </c>
      <c r="Q3840" s="5">
        <f>IFERROR(P3840/O3840,0)</f>
        <v/>
      </c>
      <c r="R3840" s="2">
        <f>TEXT(DATEVALUE(B3840),"mmm")</f>
        <v/>
      </c>
      <c r="S3840" s="2">
        <f>TEXT(DATEVALUE(B3840),"yyyy-mm")</f>
        <v/>
      </c>
    </row>
    <row r="3841">
      <c r="A3841" s="2" t="inlineStr">
        <is>
          <t>O004073</t>
        </is>
      </c>
      <c r="B3841" s="2" t="inlineStr">
        <is>
          <t>2025-10-09</t>
        </is>
      </c>
      <c r="C3841" s="2" t="inlineStr">
        <is>
          <t>C0261</t>
        </is>
      </c>
      <c r="D3841" s="2" t="inlineStr">
        <is>
          <t>P0014</t>
        </is>
      </c>
      <c r="E3841" s="2" t="inlineStr">
        <is>
          <t>Coffee Maker</t>
        </is>
      </c>
      <c r="F3841" s="2" t="inlineStr">
        <is>
          <t>Home &amp; Kitchen</t>
        </is>
      </c>
      <c r="G3841" s="2" t="inlineStr">
        <is>
          <t>South</t>
        </is>
      </c>
      <c r="H3841" s="2" t="inlineStr">
        <is>
          <t>Karnataka</t>
        </is>
      </c>
      <c r="I3841" s="2" t="inlineStr">
        <is>
          <t>Mangaluru</t>
        </is>
      </c>
      <c r="J3841" s="2" t="inlineStr">
        <is>
          <t>Online</t>
        </is>
      </c>
      <c r="K3841" s="2" t="n">
        <v>4</v>
      </c>
      <c r="L3841" s="3" t="n">
        <v>1074.96</v>
      </c>
      <c r="M3841" s="4" t="n">
        <v>0.25</v>
      </c>
      <c r="N3841" s="3" t="n">
        <v>3011.15</v>
      </c>
      <c r="O3841" s="3">
        <f>K3841*L3841*(1-M3841)</f>
        <v/>
      </c>
      <c r="P3841" s="3">
        <f>O3841-N3841</f>
        <v/>
      </c>
      <c r="Q3841" s="5">
        <f>IFERROR(P3841/O3841,0)</f>
        <v/>
      </c>
      <c r="R3841" s="2">
        <f>TEXT(DATEVALUE(B3841),"mmm")</f>
        <v/>
      </c>
      <c r="S3841" s="2">
        <f>TEXT(DATEVALUE(B3841),"yyyy-mm")</f>
        <v/>
      </c>
    </row>
    <row r="3842">
      <c r="A3842" s="2" t="inlineStr">
        <is>
          <t>O003906</t>
        </is>
      </c>
      <c r="B3842" s="2" t="inlineStr">
        <is>
          <t>2025-10-09</t>
        </is>
      </c>
      <c r="C3842" s="2" t="inlineStr">
        <is>
          <t>C0175</t>
        </is>
      </c>
      <c r="D3842" s="2" t="inlineStr">
        <is>
          <t>P0013</t>
        </is>
      </c>
      <c r="E3842" s="2" t="inlineStr">
        <is>
          <t>Storage Organizer</t>
        </is>
      </c>
      <c r="F3842" s="2" t="inlineStr">
        <is>
          <t>Home &amp; Kitchen</t>
        </is>
      </c>
      <c r="G3842" s="2" t="inlineStr">
        <is>
          <t>West</t>
        </is>
      </c>
      <c r="H3842" s="2" t="inlineStr">
        <is>
          <t>Goa</t>
        </is>
      </c>
      <c r="I3842" s="2" t="inlineStr">
        <is>
          <t>Margao</t>
        </is>
      </c>
      <c r="J3842" s="2" t="inlineStr">
        <is>
          <t>Online</t>
        </is>
      </c>
      <c r="K3842" s="2" t="n">
        <v>1</v>
      </c>
      <c r="L3842" s="3" t="n">
        <v>596.34</v>
      </c>
      <c r="M3842" s="4" t="n">
        <v>0.05</v>
      </c>
      <c r="N3842" s="3" t="n">
        <v>358.55</v>
      </c>
      <c r="O3842" s="3">
        <f>K3842*L3842*(1-M3842)</f>
        <v/>
      </c>
      <c r="P3842" s="3">
        <f>O3842-N3842</f>
        <v/>
      </c>
      <c r="Q3842" s="5">
        <f>IFERROR(P3842/O3842,0)</f>
        <v/>
      </c>
      <c r="R3842" s="2">
        <f>TEXT(DATEVALUE(B3842),"mmm")</f>
        <v/>
      </c>
      <c r="S3842" s="2">
        <f>TEXT(DATEVALUE(B3842),"yyyy-mm")</f>
        <v/>
      </c>
    </row>
    <row r="3843">
      <c r="A3843" s="2" t="inlineStr">
        <is>
          <t>O004633</t>
        </is>
      </c>
      <c r="B3843" s="2" t="inlineStr">
        <is>
          <t>2025-10-09</t>
        </is>
      </c>
      <c r="C3843" s="2" t="inlineStr">
        <is>
          <t>C0202</t>
        </is>
      </c>
      <c r="D3843" s="2" t="inlineStr">
        <is>
          <t>P0012</t>
        </is>
      </c>
      <c r="E3843" s="2" t="inlineStr">
        <is>
          <t>Water Bottle</t>
        </is>
      </c>
      <c r="F3843" s="2" t="inlineStr">
        <is>
          <t>Home &amp; Kitchen</t>
        </is>
      </c>
      <c r="G3843" s="2" t="inlineStr">
        <is>
          <t>North</t>
        </is>
      </c>
      <c r="H3843" s="2" t="inlineStr">
        <is>
          <t>Uttar Pradesh</t>
        </is>
      </c>
      <c r="I3843" s="2" t="inlineStr">
        <is>
          <t>Varanasi</t>
        </is>
      </c>
      <c r="J3843" s="2" t="inlineStr">
        <is>
          <t>Online</t>
        </is>
      </c>
      <c r="K3843" s="2" t="n">
        <v>2</v>
      </c>
      <c r="L3843" s="3" t="n">
        <v>947.23</v>
      </c>
      <c r="M3843" s="4" t="n">
        <v>0.1</v>
      </c>
      <c r="N3843" s="3" t="n">
        <v>1245.05</v>
      </c>
      <c r="O3843" s="3">
        <f>K3843*L3843*(1-M3843)</f>
        <v/>
      </c>
      <c r="P3843" s="3">
        <f>O3843-N3843</f>
        <v/>
      </c>
      <c r="Q3843" s="5">
        <f>IFERROR(P3843/O3843,0)</f>
        <v/>
      </c>
      <c r="R3843" s="2">
        <f>TEXT(DATEVALUE(B3843),"mmm")</f>
        <v/>
      </c>
      <c r="S3843" s="2">
        <f>TEXT(DATEVALUE(B3843),"yyyy-mm")</f>
        <v/>
      </c>
    </row>
    <row r="3844">
      <c r="A3844" s="2" t="inlineStr">
        <is>
          <t>O003571</t>
        </is>
      </c>
      <c r="B3844" s="2" t="inlineStr">
        <is>
          <t>2025-10-09</t>
        </is>
      </c>
      <c r="C3844" s="2" t="inlineStr">
        <is>
          <t>C0161</t>
        </is>
      </c>
      <c r="D3844" s="2" t="inlineStr">
        <is>
          <t>P0017</t>
        </is>
      </c>
      <c r="E3844" s="2" t="inlineStr">
        <is>
          <t>Jeans</t>
        </is>
      </c>
      <c r="F3844" s="2" t="inlineStr">
        <is>
          <t>Fashion</t>
        </is>
      </c>
      <c r="G3844" s="2" t="inlineStr">
        <is>
          <t>North</t>
        </is>
      </c>
      <c r="H3844" s="2" t="inlineStr">
        <is>
          <t>Uttar Pradesh</t>
        </is>
      </c>
      <c r="I3844" s="2" t="inlineStr">
        <is>
          <t>Lucknow</t>
        </is>
      </c>
      <c r="J3844" s="2" t="inlineStr">
        <is>
          <t>Online</t>
        </is>
      </c>
      <c r="K3844" s="2" t="n">
        <v>5</v>
      </c>
      <c r="L3844" s="3" t="n">
        <v>1476.07</v>
      </c>
      <c r="M3844" s="4" t="n">
        <v>0</v>
      </c>
      <c r="N3844" s="3" t="n">
        <v>5293.81</v>
      </c>
      <c r="O3844" s="3">
        <f>K3844*L3844*(1-M3844)</f>
        <v/>
      </c>
      <c r="P3844" s="3">
        <f>O3844-N3844</f>
        <v/>
      </c>
      <c r="Q3844" s="5">
        <f>IFERROR(P3844/O3844,0)</f>
        <v/>
      </c>
      <c r="R3844" s="2">
        <f>TEXT(DATEVALUE(B3844),"mmm")</f>
        <v/>
      </c>
      <c r="S3844" s="2">
        <f>TEXT(DATEVALUE(B3844),"yyyy-mm")</f>
        <v/>
      </c>
    </row>
    <row r="3845">
      <c r="A3845" s="2" t="inlineStr">
        <is>
          <t>O002127</t>
        </is>
      </c>
      <c r="B3845" s="2" t="inlineStr">
        <is>
          <t>2025-10-09</t>
        </is>
      </c>
      <c r="C3845" s="2" t="inlineStr">
        <is>
          <t>C0384</t>
        </is>
      </c>
      <c r="D3845" s="2" t="inlineStr">
        <is>
          <t>P0009</t>
        </is>
      </c>
      <c r="E3845" s="2" t="inlineStr">
        <is>
          <t>Electric Kettle</t>
        </is>
      </c>
      <c r="F3845" s="2" t="inlineStr">
        <is>
          <t>Home &amp; Kitchen</t>
        </is>
      </c>
      <c r="G3845" s="2" t="inlineStr">
        <is>
          <t>North</t>
        </is>
      </c>
      <c r="H3845" s="2" t="inlineStr">
        <is>
          <t>Haryana</t>
        </is>
      </c>
      <c r="I3845" s="2" t="inlineStr">
        <is>
          <t>Faridabad</t>
        </is>
      </c>
      <c r="J3845" s="2" t="inlineStr">
        <is>
          <t>Online</t>
        </is>
      </c>
      <c r="K3845" s="2" t="n">
        <v>1</v>
      </c>
      <c r="L3845" s="3" t="n">
        <v>2023.1</v>
      </c>
      <c r="M3845" s="4" t="n">
        <v>0</v>
      </c>
      <c r="N3845" s="3" t="n">
        <v>1166.33</v>
      </c>
      <c r="O3845" s="3">
        <f>K3845*L3845*(1-M3845)</f>
        <v/>
      </c>
      <c r="P3845" s="3">
        <f>O3845-N3845</f>
        <v/>
      </c>
      <c r="Q3845" s="5">
        <f>IFERROR(P3845/O3845,0)</f>
        <v/>
      </c>
      <c r="R3845" s="2">
        <f>TEXT(DATEVALUE(B3845),"mmm")</f>
        <v/>
      </c>
      <c r="S3845" s="2">
        <f>TEXT(DATEVALUE(B3845),"yyyy-mm")</f>
        <v/>
      </c>
    </row>
    <row r="3846">
      <c r="A3846" s="2" t="inlineStr">
        <is>
          <t>O001375</t>
        </is>
      </c>
      <c r="B3846" s="2" t="inlineStr">
        <is>
          <t>2025-10-09</t>
        </is>
      </c>
      <c r="C3846" s="2" t="inlineStr">
        <is>
          <t>C0690</t>
        </is>
      </c>
      <c r="D3846" s="2" t="inlineStr">
        <is>
          <t>P0022</t>
        </is>
      </c>
      <c r="E3846" s="2" t="inlineStr">
        <is>
          <t>Face Wash</t>
        </is>
      </c>
      <c r="F3846" s="2" t="inlineStr">
        <is>
          <t>Beauty</t>
        </is>
      </c>
      <c r="G3846" s="2" t="inlineStr">
        <is>
          <t>West</t>
        </is>
      </c>
      <c r="H3846" s="2" t="inlineStr">
        <is>
          <t>Gujarat</t>
        </is>
      </c>
      <c r="I3846" s="2" t="inlineStr">
        <is>
          <t>Surat</t>
        </is>
      </c>
      <c r="J3846" s="2" t="inlineStr">
        <is>
          <t>Online</t>
        </is>
      </c>
      <c r="K3846" s="2" t="n">
        <v>2</v>
      </c>
      <c r="L3846" s="3" t="n">
        <v>552.5599999999999</v>
      </c>
      <c r="M3846" s="4" t="n">
        <v>0.05</v>
      </c>
      <c r="N3846" s="3" t="n">
        <v>689.92</v>
      </c>
      <c r="O3846" s="3">
        <f>K3846*L3846*(1-M3846)</f>
        <v/>
      </c>
      <c r="P3846" s="3">
        <f>O3846-N3846</f>
        <v/>
      </c>
      <c r="Q3846" s="5">
        <f>IFERROR(P3846/O3846,0)</f>
        <v/>
      </c>
      <c r="R3846" s="2">
        <f>TEXT(DATEVALUE(B3846),"mmm")</f>
        <v/>
      </c>
      <c r="S3846" s="2">
        <f>TEXT(DATEVALUE(B3846),"yyyy-mm")</f>
        <v/>
      </c>
    </row>
    <row r="3847">
      <c r="A3847" s="2" t="inlineStr">
        <is>
          <t>O001941</t>
        </is>
      </c>
      <c r="B3847" s="2" t="inlineStr">
        <is>
          <t>2025-10-09</t>
        </is>
      </c>
      <c r="C3847" s="2" t="inlineStr">
        <is>
          <t>C0483</t>
        </is>
      </c>
      <c r="D3847" s="2" t="inlineStr">
        <is>
          <t>P0014</t>
        </is>
      </c>
      <c r="E3847" s="2" t="inlineStr">
        <is>
          <t>Coffee Maker</t>
        </is>
      </c>
      <c r="F3847" s="2" t="inlineStr">
        <is>
          <t>Home &amp; Kitchen</t>
        </is>
      </c>
      <c r="G3847" s="2" t="inlineStr">
        <is>
          <t>West</t>
        </is>
      </c>
      <c r="H3847" s="2" t="inlineStr">
        <is>
          <t>Goa</t>
        </is>
      </c>
      <c r="I3847" s="2" t="inlineStr">
        <is>
          <t>Margao</t>
        </is>
      </c>
      <c r="J3847" s="2" t="inlineStr">
        <is>
          <t>Online</t>
        </is>
      </c>
      <c r="K3847" s="2" t="n">
        <v>1</v>
      </c>
      <c r="L3847" s="3" t="n">
        <v>1022.91</v>
      </c>
      <c r="M3847" s="4" t="n">
        <v>0.15</v>
      </c>
      <c r="N3847" s="3" t="n">
        <v>790.22</v>
      </c>
      <c r="O3847" s="3">
        <f>K3847*L3847*(1-M3847)</f>
        <v/>
      </c>
      <c r="P3847" s="3">
        <f>O3847-N3847</f>
        <v/>
      </c>
      <c r="Q3847" s="5">
        <f>IFERROR(P3847/O3847,0)</f>
        <v/>
      </c>
      <c r="R3847" s="2">
        <f>TEXT(DATEVALUE(B3847),"mmm")</f>
        <v/>
      </c>
      <c r="S3847" s="2">
        <f>TEXT(DATEVALUE(B3847),"yyyy-mm")</f>
        <v/>
      </c>
    </row>
    <row r="3848">
      <c r="A3848" s="2" t="inlineStr">
        <is>
          <t>O001457</t>
        </is>
      </c>
      <c r="B3848" s="2" t="inlineStr">
        <is>
          <t>2025-10-09</t>
        </is>
      </c>
      <c r="C3848" s="2" t="inlineStr">
        <is>
          <t>C0375</t>
        </is>
      </c>
      <c r="D3848" s="2" t="inlineStr">
        <is>
          <t>P0018</t>
        </is>
      </c>
      <c r="E3848" s="2" t="inlineStr">
        <is>
          <t>Backpack</t>
        </is>
      </c>
      <c r="F3848" s="2" t="inlineStr">
        <is>
          <t>Fashion</t>
        </is>
      </c>
      <c r="G3848" s="2" t="inlineStr">
        <is>
          <t>East</t>
        </is>
      </c>
      <c r="H3848" s="2" t="inlineStr">
        <is>
          <t>West Bengal</t>
        </is>
      </c>
      <c r="I3848" s="2" t="inlineStr">
        <is>
          <t>Durgapur</t>
        </is>
      </c>
      <c r="J3848" s="2" t="inlineStr">
        <is>
          <t>Online</t>
        </is>
      </c>
      <c r="K3848" s="2" t="n">
        <v>6</v>
      </c>
      <c r="L3848" s="3" t="n">
        <v>1900.45</v>
      </c>
      <c r="M3848" s="4" t="n">
        <v>0.1</v>
      </c>
      <c r="N3848" s="3" t="n">
        <v>8227.51</v>
      </c>
      <c r="O3848" s="3">
        <f>K3848*L3848*(1-M3848)</f>
        <v/>
      </c>
      <c r="P3848" s="3">
        <f>O3848-N3848</f>
        <v/>
      </c>
      <c r="Q3848" s="5">
        <f>IFERROR(P3848/O3848,0)</f>
        <v/>
      </c>
      <c r="R3848" s="2">
        <f>TEXT(DATEVALUE(B3848),"mmm")</f>
        <v/>
      </c>
      <c r="S3848" s="2">
        <f>TEXT(DATEVALUE(B3848),"yyyy-mm")</f>
        <v/>
      </c>
    </row>
    <row r="3849">
      <c r="A3849" s="2" t="inlineStr">
        <is>
          <t>O001118</t>
        </is>
      </c>
      <c r="B3849" s="2" t="inlineStr">
        <is>
          <t>2025-10-09</t>
        </is>
      </c>
      <c r="C3849" s="2" t="inlineStr">
        <is>
          <t>C0713</t>
        </is>
      </c>
      <c r="D3849" s="2" t="inlineStr">
        <is>
          <t>P0008</t>
        </is>
      </c>
      <c r="E3849" s="2" t="inlineStr">
        <is>
          <t>Air Fryer</t>
        </is>
      </c>
      <c r="F3849" s="2" t="inlineStr">
        <is>
          <t>Home &amp; Kitchen</t>
        </is>
      </c>
      <c r="G3849" s="2" t="inlineStr">
        <is>
          <t>East</t>
        </is>
      </c>
      <c r="H3849" s="2" t="inlineStr">
        <is>
          <t>Bihar</t>
        </is>
      </c>
      <c r="I3849" s="2" t="inlineStr">
        <is>
          <t>Gaya</t>
        </is>
      </c>
      <c r="J3849" s="2" t="inlineStr">
        <is>
          <t>Store</t>
        </is>
      </c>
      <c r="K3849" s="2" t="n">
        <v>1</v>
      </c>
      <c r="L3849" s="3" t="n">
        <v>1083.32</v>
      </c>
      <c r="M3849" s="4" t="n">
        <v>0.05</v>
      </c>
      <c r="N3849" s="3" t="n">
        <v>695.6799999999999</v>
      </c>
      <c r="O3849" s="3">
        <f>K3849*L3849*(1-M3849)</f>
        <v/>
      </c>
      <c r="P3849" s="3">
        <f>O3849-N3849</f>
        <v/>
      </c>
      <c r="Q3849" s="5">
        <f>IFERROR(P3849/O3849,0)</f>
        <v/>
      </c>
      <c r="R3849" s="2">
        <f>TEXT(DATEVALUE(B3849),"mmm")</f>
        <v/>
      </c>
      <c r="S3849" s="2">
        <f>TEXT(DATEVALUE(B3849),"yyyy-mm")</f>
        <v/>
      </c>
    </row>
    <row r="3850">
      <c r="A3850" s="2" t="inlineStr">
        <is>
          <t>O000860</t>
        </is>
      </c>
      <c r="B3850" s="2" t="inlineStr">
        <is>
          <t>2025-10-09</t>
        </is>
      </c>
      <c r="C3850" s="2" t="inlineStr">
        <is>
          <t>C0498</t>
        </is>
      </c>
      <c r="D3850" s="2" t="inlineStr">
        <is>
          <t>P0010</t>
        </is>
      </c>
      <c r="E3850" s="2" t="inlineStr">
        <is>
          <t>Mixer Grinder</t>
        </is>
      </c>
      <c r="F3850" s="2" t="inlineStr">
        <is>
          <t>Home &amp; Kitchen</t>
        </is>
      </c>
      <c r="G3850" s="2" t="inlineStr">
        <is>
          <t>North</t>
        </is>
      </c>
      <c r="H3850" s="2" t="inlineStr">
        <is>
          <t>Delhi</t>
        </is>
      </c>
      <c r="I3850" s="2" t="inlineStr">
        <is>
          <t>New Delhi</t>
        </is>
      </c>
      <c r="J3850" s="2" t="inlineStr">
        <is>
          <t>Online</t>
        </is>
      </c>
      <c r="K3850" s="2" t="n">
        <v>3</v>
      </c>
      <c r="L3850" s="3" t="n">
        <v>1580.55</v>
      </c>
      <c r="M3850" s="4" t="n">
        <v>0.1</v>
      </c>
      <c r="N3850" s="3" t="n">
        <v>3067.92</v>
      </c>
      <c r="O3850" s="3">
        <f>K3850*L3850*(1-M3850)</f>
        <v/>
      </c>
      <c r="P3850" s="3">
        <f>O3850-N3850</f>
        <v/>
      </c>
      <c r="Q3850" s="5">
        <f>IFERROR(P3850/O3850,0)</f>
        <v/>
      </c>
      <c r="R3850" s="2">
        <f>TEXT(DATEVALUE(B3850),"mmm")</f>
        <v/>
      </c>
      <c r="S3850" s="2">
        <f>TEXT(DATEVALUE(B3850),"yyyy-mm")</f>
        <v/>
      </c>
    </row>
    <row r="3851">
      <c r="A3851" s="2" t="inlineStr">
        <is>
          <t>O000731</t>
        </is>
      </c>
      <c r="B3851" s="2" t="inlineStr">
        <is>
          <t>2025-10-09</t>
        </is>
      </c>
      <c r="C3851" s="2" t="inlineStr">
        <is>
          <t>C0599</t>
        </is>
      </c>
      <c r="D3851" s="2" t="inlineStr">
        <is>
          <t>P0012</t>
        </is>
      </c>
      <c r="E3851" s="2" t="inlineStr">
        <is>
          <t>Water Bottle</t>
        </is>
      </c>
      <c r="F3851" s="2" t="inlineStr">
        <is>
          <t>Home &amp; Kitchen</t>
        </is>
      </c>
      <c r="G3851" s="2" t="inlineStr">
        <is>
          <t>South</t>
        </is>
      </c>
      <c r="H3851" s="2" t="inlineStr">
        <is>
          <t>Tamil Nadu</t>
        </is>
      </c>
      <c r="I3851" s="2" t="inlineStr">
        <is>
          <t>Chennai</t>
        </is>
      </c>
      <c r="J3851" s="2" t="inlineStr">
        <is>
          <t>Online</t>
        </is>
      </c>
      <c r="K3851" s="2" t="n">
        <v>1</v>
      </c>
      <c r="L3851" s="3" t="n">
        <v>946.29</v>
      </c>
      <c r="M3851" s="4" t="n">
        <v>0</v>
      </c>
      <c r="N3851" s="3" t="n">
        <v>628.04</v>
      </c>
      <c r="O3851" s="3">
        <f>K3851*L3851*(1-M3851)</f>
        <v/>
      </c>
      <c r="P3851" s="3">
        <f>O3851-N3851</f>
        <v/>
      </c>
      <c r="Q3851" s="5">
        <f>IFERROR(P3851/O3851,0)</f>
        <v/>
      </c>
      <c r="R3851" s="2">
        <f>TEXT(DATEVALUE(B3851),"mmm")</f>
        <v/>
      </c>
      <c r="S3851" s="2">
        <f>TEXT(DATEVALUE(B3851),"yyyy-mm")</f>
        <v/>
      </c>
    </row>
    <row r="3852">
      <c r="A3852" s="2" t="inlineStr">
        <is>
          <t>O002009</t>
        </is>
      </c>
      <c r="B3852" s="2" t="inlineStr">
        <is>
          <t>2025-10-09</t>
        </is>
      </c>
      <c r="C3852" s="2" t="inlineStr">
        <is>
          <t>C0456</t>
        </is>
      </c>
      <c r="D3852" s="2" t="inlineStr">
        <is>
          <t>P0005</t>
        </is>
      </c>
      <c r="E3852" s="2" t="inlineStr">
        <is>
          <t>Power Bank</t>
        </is>
      </c>
      <c r="F3852" s="2" t="inlineStr">
        <is>
          <t>Electronics</t>
        </is>
      </c>
      <c r="G3852" s="2" t="inlineStr">
        <is>
          <t>North</t>
        </is>
      </c>
      <c r="H3852" s="2" t="inlineStr">
        <is>
          <t>Uttar Pradesh</t>
        </is>
      </c>
      <c r="I3852" s="2" t="inlineStr">
        <is>
          <t>Noida</t>
        </is>
      </c>
      <c r="J3852" s="2" t="inlineStr">
        <is>
          <t>Online</t>
        </is>
      </c>
      <c r="K3852" s="2" t="n">
        <v>2</v>
      </c>
      <c r="L3852" s="3" t="n">
        <v>1103.82</v>
      </c>
      <c r="M3852" s="4" t="n">
        <v>0.05</v>
      </c>
      <c r="N3852" s="3" t="n">
        <v>1312.56</v>
      </c>
      <c r="O3852" s="3">
        <f>K3852*L3852*(1-M3852)</f>
        <v/>
      </c>
      <c r="P3852" s="3">
        <f>O3852-N3852</f>
        <v/>
      </c>
      <c r="Q3852" s="5">
        <f>IFERROR(P3852/O3852,0)</f>
        <v/>
      </c>
      <c r="R3852" s="2">
        <f>TEXT(DATEVALUE(B3852),"mmm")</f>
        <v/>
      </c>
      <c r="S3852" s="2">
        <f>TEXT(DATEVALUE(B3852),"yyyy-mm")</f>
        <v/>
      </c>
    </row>
    <row r="3853">
      <c r="A3853" s="2" t="inlineStr">
        <is>
          <t>O000937</t>
        </is>
      </c>
      <c r="B3853" s="2" t="inlineStr">
        <is>
          <t>2025-10-09</t>
        </is>
      </c>
      <c r="C3853" s="2" t="inlineStr">
        <is>
          <t>C0456</t>
        </is>
      </c>
      <c r="D3853" s="2" t="inlineStr">
        <is>
          <t>P0024</t>
        </is>
      </c>
      <c r="E3853" s="2" t="inlineStr">
        <is>
          <t>Hair Dryer</t>
        </is>
      </c>
      <c r="F3853" s="2" t="inlineStr">
        <is>
          <t>Beauty</t>
        </is>
      </c>
      <c r="G3853" s="2" t="inlineStr">
        <is>
          <t>West</t>
        </is>
      </c>
      <c r="H3853" s="2" t="inlineStr">
        <is>
          <t>Gujarat</t>
        </is>
      </c>
      <c r="I3853" s="2" t="inlineStr">
        <is>
          <t>Ahmedabad</t>
        </is>
      </c>
      <c r="J3853" s="2" t="inlineStr">
        <is>
          <t>Store</t>
        </is>
      </c>
      <c r="K3853" s="2" t="n">
        <v>1</v>
      </c>
      <c r="L3853" s="3" t="n">
        <v>987.76</v>
      </c>
      <c r="M3853" s="4" t="n">
        <v>0</v>
      </c>
      <c r="N3853" s="3" t="n">
        <v>735.59</v>
      </c>
      <c r="O3853" s="3">
        <f>K3853*L3853*(1-M3853)</f>
        <v/>
      </c>
      <c r="P3853" s="3">
        <f>O3853-N3853</f>
        <v/>
      </c>
      <c r="Q3853" s="5">
        <f>IFERROR(P3853/O3853,0)</f>
        <v/>
      </c>
      <c r="R3853" s="2">
        <f>TEXT(DATEVALUE(B3853),"mmm")</f>
        <v/>
      </c>
      <c r="S3853" s="2">
        <f>TEXT(DATEVALUE(B3853),"yyyy-mm")</f>
        <v/>
      </c>
    </row>
    <row r="3854">
      <c r="A3854" s="2" t="inlineStr">
        <is>
          <t>O003225</t>
        </is>
      </c>
      <c r="B3854" s="2" t="inlineStr">
        <is>
          <t>2025-10-10</t>
        </is>
      </c>
      <c r="C3854" s="2" t="inlineStr">
        <is>
          <t>C0401</t>
        </is>
      </c>
      <c r="D3854" s="2" t="inlineStr">
        <is>
          <t>P0016</t>
        </is>
      </c>
      <c r="E3854" s="2" t="inlineStr">
        <is>
          <t>Casual Shirt</t>
        </is>
      </c>
      <c r="F3854" s="2" t="inlineStr">
        <is>
          <t>Fashion</t>
        </is>
      </c>
      <c r="G3854" s="2" t="inlineStr">
        <is>
          <t>East</t>
        </is>
      </c>
      <c r="H3854" s="2" t="inlineStr">
        <is>
          <t>Odisha</t>
        </is>
      </c>
      <c r="I3854" s="2" t="inlineStr">
        <is>
          <t>Cuttack</t>
        </is>
      </c>
      <c r="J3854" s="2" t="inlineStr">
        <is>
          <t>Store</t>
        </is>
      </c>
      <c r="K3854" s="2" t="n">
        <v>1</v>
      </c>
      <c r="L3854" s="3" t="n">
        <v>1244.2</v>
      </c>
      <c r="M3854" s="4" t="n">
        <v>0</v>
      </c>
      <c r="N3854" s="3" t="n">
        <v>896.21</v>
      </c>
      <c r="O3854" s="3">
        <f>K3854*L3854*(1-M3854)</f>
        <v/>
      </c>
      <c r="P3854" s="3">
        <f>O3854-N3854</f>
        <v/>
      </c>
      <c r="Q3854" s="5">
        <f>IFERROR(P3854/O3854,0)</f>
        <v/>
      </c>
      <c r="R3854" s="2">
        <f>TEXT(DATEVALUE(B3854),"mmm")</f>
        <v/>
      </c>
      <c r="S3854" s="2">
        <f>TEXT(DATEVALUE(B3854),"yyyy-mm")</f>
        <v/>
      </c>
    </row>
    <row r="3855">
      <c r="A3855" s="2" t="inlineStr">
        <is>
          <t>O004510</t>
        </is>
      </c>
      <c r="B3855" s="2" t="inlineStr">
        <is>
          <t>2025-10-10</t>
        </is>
      </c>
      <c r="C3855" s="2" t="inlineStr">
        <is>
          <t>C0561</t>
        </is>
      </c>
      <c r="D3855" s="2" t="inlineStr">
        <is>
          <t>P0007</t>
        </is>
      </c>
      <c r="E3855" s="2" t="inlineStr">
        <is>
          <t>Wireless Mouse</t>
        </is>
      </c>
      <c r="F3855" s="2" t="inlineStr">
        <is>
          <t>Electronics</t>
        </is>
      </c>
      <c r="G3855" s="2" t="inlineStr">
        <is>
          <t>West</t>
        </is>
      </c>
      <c r="H3855" s="2" t="inlineStr">
        <is>
          <t>Goa</t>
        </is>
      </c>
      <c r="I3855" s="2" t="inlineStr">
        <is>
          <t>Panaji</t>
        </is>
      </c>
      <c r="J3855" s="2" t="inlineStr">
        <is>
          <t>Store</t>
        </is>
      </c>
      <c r="K3855" s="2" t="n">
        <v>2</v>
      </c>
      <c r="L3855" s="3" t="n">
        <v>968.23</v>
      </c>
      <c r="M3855" s="4" t="n">
        <v>0</v>
      </c>
      <c r="N3855" s="3" t="n">
        <v>1277.12</v>
      </c>
      <c r="O3855" s="3">
        <f>K3855*L3855*(1-M3855)</f>
        <v/>
      </c>
      <c r="P3855" s="3">
        <f>O3855-N3855</f>
        <v/>
      </c>
      <c r="Q3855" s="5">
        <f>IFERROR(P3855/O3855,0)</f>
        <v/>
      </c>
      <c r="R3855" s="2">
        <f>TEXT(DATEVALUE(B3855),"mmm")</f>
        <v/>
      </c>
      <c r="S3855" s="2">
        <f>TEXT(DATEVALUE(B3855),"yyyy-mm")</f>
        <v/>
      </c>
    </row>
    <row r="3856">
      <c r="A3856" s="2" t="inlineStr">
        <is>
          <t>O004389</t>
        </is>
      </c>
      <c r="B3856" s="2" t="inlineStr">
        <is>
          <t>2025-10-10</t>
        </is>
      </c>
      <c r="C3856" s="2" t="inlineStr">
        <is>
          <t>C0358</t>
        </is>
      </c>
      <c r="D3856" s="2" t="inlineStr">
        <is>
          <t>P0024</t>
        </is>
      </c>
      <c r="E3856" s="2" t="inlineStr">
        <is>
          <t>Hair Dryer</t>
        </is>
      </c>
      <c r="F3856" s="2" t="inlineStr">
        <is>
          <t>Beauty</t>
        </is>
      </c>
      <c r="G3856" s="2" t="inlineStr">
        <is>
          <t>West</t>
        </is>
      </c>
      <c r="H3856" s="2" t="inlineStr">
        <is>
          <t>Goa</t>
        </is>
      </c>
      <c r="I3856" s="2" t="inlineStr">
        <is>
          <t>Panaji</t>
        </is>
      </c>
      <c r="J3856" s="2" t="inlineStr">
        <is>
          <t>Online</t>
        </is>
      </c>
      <c r="K3856" s="2" t="n">
        <v>5</v>
      </c>
      <c r="L3856" s="3" t="n">
        <v>983.1799999999999</v>
      </c>
      <c r="M3856" s="4" t="n">
        <v>0.1</v>
      </c>
      <c r="N3856" s="3" t="n">
        <v>3776.61</v>
      </c>
      <c r="O3856" s="3">
        <f>K3856*L3856*(1-M3856)</f>
        <v/>
      </c>
      <c r="P3856" s="3">
        <f>O3856-N3856</f>
        <v/>
      </c>
      <c r="Q3856" s="5">
        <f>IFERROR(P3856/O3856,0)</f>
        <v/>
      </c>
      <c r="R3856" s="2">
        <f>TEXT(DATEVALUE(B3856),"mmm")</f>
        <v/>
      </c>
      <c r="S3856" s="2">
        <f>TEXT(DATEVALUE(B3856),"yyyy-mm")</f>
        <v/>
      </c>
    </row>
    <row r="3857">
      <c r="A3857" s="2" t="inlineStr">
        <is>
          <t>O004346</t>
        </is>
      </c>
      <c r="B3857" s="2" t="inlineStr">
        <is>
          <t>2025-10-10</t>
        </is>
      </c>
      <c r="C3857" s="2" t="inlineStr">
        <is>
          <t>C0561</t>
        </is>
      </c>
      <c r="D3857" s="2" t="inlineStr">
        <is>
          <t>P0007</t>
        </is>
      </c>
      <c r="E3857" s="2" t="inlineStr">
        <is>
          <t>Wireless Mouse</t>
        </is>
      </c>
      <c r="F3857" s="2" t="inlineStr">
        <is>
          <t>Electronics</t>
        </is>
      </c>
      <c r="G3857" s="2" t="inlineStr">
        <is>
          <t>North</t>
        </is>
      </c>
      <c r="H3857" s="2" t="inlineStr">
        <is>
          <t>Haryana</t>
        </is>
      </c>
      <c r="I3857" s="2" t="inlineStr">
        <is>
          <t>Gurugram</t>
        </is>
      </c>
      <c r="J3857" s="2" t="inlineStr">
        <is>
          <t>Online</t>
        </is>
      </c>
      <c r="K3857" s="2" t="n">
        <v>2</v>
      </c>
      <c r="L3857" s="3" t="n">
        <v>994.1</v>
      </c>
      <c r="M3857" s="4" t="n">
        <v>0.05</v>
      </c>
      <c r="N3857" s="3" t="n">
        <v>1286.37</v>
      </c>
      <c r="O3857" s="3">
        <f>K3857*L3857*(1-M3857)</f>
        <v/>
      </c>
      <c r="P3857" s="3">
        <f>O3857-N3857</f>
        <v/>
      </c>
      <c r="Q3857" s="5">
        <f>IFERROR(P3857/O3857,0)</f>
        <v/>
      </c>
      <c r="R3857" s="2">
        <f>TEXT(DATEVALUE(B3857),"mmm")</f>
        <v/>
      </c>
      <c r="S3857" s="2">
        <f>TEXT(DATEVALUE(B3857),"yyyy-mm")</f>
        <v/>
      </c>
    </row>
    <row r="3858">
      <c r="A3858" s="2" t="inlineStr">
        <is>
          <t>O004268</t>
        </is>
      </c>
      <c r="B3858" s="2" t="inlineStr">
        <is>
          <t>2025-10-10</t>
        </is>
      </c>
      <c r="C3858" s="2" t="inlineStr">
        <is>
          <t>C0582</t>
        </is>
      </c>
      <c r="D3858" s="2" t="inlineStr">
        <is>
          <t>P0003</t>
        </is>
      </c>
      <c r="E3858" s="2" t="inlineStr">
        <is>
          <t>Smartwatch</t>
        </is>
      </c>
      <c r="F3858" s="2" t="inlineStr">
        <is>
          <t>Electronics</t>
        </is>
      </c>
      <c r="G3858" s="2" t="inlineStr">
        <is>
          <t>West</t>
        </is>
      </c>
      <c r="H3858" s="2" t="inlineStr">
        <is>
          <t>Gujarat</t>
        </is>
      </c>
      <c r="I3858" s="2" t="inlineStr">
        <is>
          <t>Surat</t>
        </is>
      </c>
      <c r="J3858" s="2" t="inlineStr">
        <is>
          <t>Online</t>
        </is>
      </c>
      <c r="K3858" s="2" t="n">
        <v>3</v>
      </c>
      <c r="L3858" s="3" t="n">
        <v>2298.76</v>
      </c>
      <c r="M3858" s="4" t="n">
        <v>0.05</v>
      </c>
      <c r="N3858" s="3" t="n">
        <v>3544.38</v>
      </c>
      <c r="O3858" s="3">
        <f>K3858*L3858*(1-M3858)</f>
        <v/>
      </c>
      <c r="P3858" s="3">
        <f>O3858-N3858</f>
        <v/>
      </c>
      <c r="Q3858" s="5">
        <f>IFERROR(P3858/O3858,0)</f>
        <v/>
      </c>
      <c r="R3858" s="2">
        <f>TEXT(DATEVALUE(B3858),"mmm")</f>
        <v/>
      </c>
      <c r="S3858" s="2">
        <f>TEXT(DATEVALUE(B3858),"yyyy-mm")</f>
        <v/>
      </c>
    </row>
    <row r="3859">
      <c r="A3859" s="2" t="inlineStr">
        <is>
          <t>O004237</t>
        </is>
      </c>
      <c r="B3859" s="2" t="inlineStr">
        <is>
          <t>2025-10-10</t>
        </is>
      </c>
      <c r="C3859" s="2" t="inlineStr">
        <is>
          <t>C0311</t>
        </is>
      </c>
      <c r="D3859" s="2" t="inlineStr">
        <is>
          <t>P0017</t>
        </is>
      </c>
      <c r="E3859" s="2" t="inlineStr">
        <is>
          <t>Jeans</t>
        </is>
      </c>
      <c r="F3859" s="2" t="inlineStr">
        <is>
          <t>Fashion</t>
        </is>
      </c>
      <c r="G3859" s="2" t="inlineStr">
        <is>
          <t>North</t>
        </is>
      </c>
      <c r="H3859" s="2" t="inlineStr">
        <is>
          <t>Punjab</t>
        </is>
      </c>
      <c r="I3859" s="2" t="inlineStr">
        <is>
          <t>Jalandhar</t>
        </is>
      </c>
      <c r="J3859" s="2" t="inlineStr">
        <is>
          <t>Store</t>
        </is>
      </c>
      <c r="K3859" s="2" t="n">
        <v>2</v>
      </c>
      <c r="L3859" s="3" t="n">
        <v>1485.96</v>
      </c>
      <c r="M3859" s="4" t="n">
        <v>0.05</v>
      </c>
      <c r="N3859" s="3" t="n">
        <v>2094.4</v>
      </c>
      <c r="O3859" s="3">
        <f>K3859*L3859*(1-M3859)</f>
        <v/>
      </c>
      <c r="P3859" s="3">
        <f>O3859-N3859</f>
        <v/>
      </c>
      <c r="Q3859" s="5">
        <f>IFERROR(P3859/O3859,0)</f>
        <v/>
      </c>
      <c r="R3859" s="2">
        <f>TEXT(DATEVALUE(B3859),"mmm")</f>
        <v/>
      </c>
      <c r="S3859" s="2">
        <f>TEXT(DATEVALUE(B3859),"yyyy-mm")</f>
        <v/>
      </c>
    </row>
    <row r="3860">
      <c r="A3860" s="2" t="inlineStr">
        <is>
          <t>O004099</t>
        </is>
      </c>
      <c r="B3860" s="2" t="inlineStr">
        <is>
          <t>2025-10-10</t>
        </is>
      </c>
      <c r="C3860" s="2" t="inlineStr">
        <is>
          <t>C0663</t>
        </is>
      </c>
      <c r="D3860" s="2" t="inlineStr">
        <is>
          <t>P0014</t>
        </is>
      </c>
      <c r="E3860" s="2" t="inlineStr">
        <is>
          <t>Coffee Maker</t>
        </is>
      </c>
      <c r="F3860" s="2" t="inlineStr">
        <is>
          <t>Home &amp; Kitchen</t>
        </is>
      </c>
      <c r="G3860" s="2" t="inlineStr">
        <is>
          <t>East</t>
        </is>
      </c>
      <c r="H3860" s="2" t="inlineStr">
        <is>
          <t>Bihar</t>
        </is>
      </c>
      <c r="I3860" s="2" t="inlineStr">
        <is>
          <t>Patna</t>
        </is>
      </c>
      <c r="J3860" s="2" t="inlineStr">
        <is>
          <t>Online</t>
        </is>
      </c>
      <c r="K3860" s="2" t="n">
        <v>2</v>
      </c>
      <c r="L3860" s="3" t="n">
        <v>1044.53</v>
      </c>
      <c r="M3860" s="4" t="n">
        <v>0.15</v>
      </c>
      <c r="N3860" s="3" t="n">
        <v>1547.69</v>
      </c>
      <c r="O3860" s="3">
        <f>K3860*L3860*(1-M3860)</f>
        <v/>
      </c>
      <c r="P3860" s="3">
        <f>O3860-N3860</f>
        <v/>
      </c>
      <c r="Q3860" s="5">
        <f>IFERROR(P3860/O3860,0)</f>
        <v/>
      </c>
      <c r="R3860" s="2">
        <f>TEXT(DATEVALUE(B3860),"mmm")</f>
        <v/>
      </c>
      <c r="S3860" s="2">
        <f>TEXT(DATEVALUE(B3860),"yyyy-mm")</f>
        <v/>
      </c>
    </row>
    <row r="3861">
      <c r="A3861" s="2" t="inlineStr">
        <is>
          <t>O003824</t>
        </is>
      </c>
      <c r="B3861" s="2" t="inlineStr">
        <is>
          <t>2025-10-10</t>
        </is>
      </c>
      <c r="C3861" s="2" t="inlineStr">
        <is>
          <t>C0353</t>
        </is>
      </c>
      <c r="D3861" s="2" t="inlineStr">
        <is>
          <t>P0011</t>
        </is>
      </c>
      <c r="E3861" s="2" t="inlineStr">
        <is>
          <t>Cookware Set</t>
        </is>
      </c>
      <c r="F3861" s="2" t="inlineStr">
        <is>
          <t>Home &amp; Kitchen</t>
        </is>
      </c>
      <c r="G3861" s="2" t="inlineStr">
        <is>
          <t>South</t>
        </is>
      </c>
      <c r="H3861" s="2" t="inlineStr">
        <is>
          <t>Tamil Nadu</t>
        </is>
      </c>
      <c r="I3861" s="2" t="inlineStr">
        <is>
          <t>Coimbatore</t>
        </is>
      </c>
      <c r="J3861" s="2" t="inlineStr">
        <is>
          <t>Online</t>
        </is>
      </c>
      <c r="K3861" s="2" t="n">
        <v>3</v>
      </c>
      <c r="L3861" s="3" t="n">
        <v>702.13</v>
      </c>
      <c r="M3861" s="4" t="n">
        <v>0.2</v>
      </c>
      <c r="N3861" s="3" t="n">
        <v>1398.13</v>
      </c>
      <c r="O3861" s="3">
        <f>K3861*L3861*(1-M3861)</f>
        <v/>
      </c>
      <c r="P3861" s="3">
        <f>O3861-N3861</f>
        <v/>
      </c>
      <c r="Q3861" s="5">
        <f>IFERROR(P3861/O3861,0)</f>
        <v/>
      </c>
      <c r="R3861" s="2">
        <f>TEXT(DATEVALUE(B3861),"mmm")</f>
        <v/>
      </c>
      <c r="S3861" s="2">
        <f>TEXT(DATEVALUE(B3861),"yyyy-mm")</f>
        <v/>
      </c>
    </row>
    <row r="3862">
      <c r="A3862" s="2" t="inlineStr">
        <is>
          <t>O003016</t>
        </is>
      </c>
      <c r="B3862" s="2" t="inlineStr">
        <is>
          <t>2025-10-10</t>
        </is>
      </c>
      <c r="C3862" s="2" t="inlineStr">
        <is>
          <t>C0499</t>
        </is>
      </c>
      <c r="D3862" s="2" t="inlineStr">
        <is>
          <t>P0014</t>
        </is>
      </c>
      <c r="E3862" s="2" t="inlineStr">
        <is>
          <t>Coffee Maker</t>
        </is>
      </c>
      <c r="F3862" s="2" t="inlineStr">
        <is>
          <t>Home &amp; Kitchen</t>
        </is>
      </c>
      <c r="G3862" s="2" t="inlineStr">
        <is>
          <t>East</t>
        </is>
      </c>
      <c r="H3862" s="2" t="inlineStr">
        <is>
          <t>West Bengal</t>
        </is>
      </c>
      <c r="I3862" s="2" t="inlineStr">
        <is>
          <t>Durgapur</t>
        </is>
      </c>
      <c r="J3862" s="2" t="inlineStr">
        <is>
          <t>Online</t>
        </is>
      </c>
      <c r="K3862" s="2" t="n">
        <v>4</v>
      </c>
      <c r="L3862" s="3" t="n">
        <v>1019.14</v>
      </c>
      <c r="M3862" s="4" t="n">
        <v>0</v>
      </c>
      <c r="N3862" s="3" t="n">
        <v>3007.92</v>
      </c>
      <c r="O3862" s="3">
        <f>K3862*L3862*(1-M3862)</f>
        <v/>
      </c>
      <c r="P3862" s="3">
        <f>O3862-N3862</f>
        <v/>
      </c>
      <c r="Q3862" s="5">
        <f>IFERROR(P3862/O3862,0)</f>
        <v/>
      </c>
      <c r="R3862" s="2">
        <f>TEXT(DATEVALUE(B3862),"mmm")</f>
        <v/>
      </c>
      <c r="S3862" s="2">
        <f>TEXT(DATEVALUE(B3862),"yyyy-mm")</f>
        <v/>
      </c>
    </row>
    <row r="3863">
      <c r="A3863" s="2" t="inlineStr">
        <is>
          <t>O002648</t>
        </is>
      </c>
      <c r="B3863" s="2" t="inlineStr">
        <is>
          <t>2025-10-10</t>
        </is>
      </c>
      <c r="C3863" s="2" t="inlineStr">
        <is>
          <t>C0240</t>
        </is>
      </c>
      <c r="D3863" s="2" t="inlineStr">
        <is>
          <t>P0011</t>
        </is>
      </c>
      <c r="E3863" s="2" t="inlineStr">
        <is>
          <t>Cookware Set</t>
        </is>
      </c>
      <c r="F3863" s="2" t="inlineStr">
        <is>
          <t>Home &amp; Kitchen</t>
        </is>
      </c>
      <c r="G3863" s="2" t="inlineStr">
        <is>
          <t>South</t>
        </is>
      </c>
      <c r="H3863" s="2" t="inlineStr">
        <is>
          <t>Telangana</t>
        </is>
      </c>
      <c r="I3863" s="2" t="inlineStr">
        <is>
          <t>Hyderabad</t>
        </is>
      </c>
      <c r="J3863" s="2" t="inlineStr">
        <is>
          <t>Online</t>
        </is>
      </c>
      <c r="K3863" s="2" t="n">
        <v>2</v>
      </c>
      <c r="L3863" s="3" t="n">
        <v>708.51</v>
      </c>
      <c r="M3863" s="4" t="n">
        <v>0.15</v>
      </c>
      <c r="N3863" s="3" t="n">
        <v>925.01</v>
      </c>
      <c r="O3863" s="3">
        <f>K3863*L3863*(1-M3863)</f>
        <v/>
      </c>
      <c r="P3863" s="3">
        <f>O3863-N3863</f>
        <v/>
      </c>
      <c r="Q3863" s="5">
        <f>IFERROR(P3863/O3863,0)</f>
        <v/>
      </c>
      <c r="R3863" s="2">
        <f>TEXT(DATEVALUE(B3863),"mmm")</f>
        <v/>
      </c>
      <c r="S3863" s="2">
        <f>TEXT(DATEVALUE(B3863),"yyyy-mm")</f>
        <v/>
      </c>
    </row>
    <row r="3864">
      <c r="A3864" s="2" t="inlineStr">
        <is>
          <t>O001120</t>
        </is>
      </c>
      <c r="B3864" s="2" t="inlineStr">
        <is>
          <t>2025-10-10</t>
        </is>
      </c>
      <c r="C3864" s="2" t="inlineStr">
        <is>
          <t>C0108</t>
        </is>
      </c>
      <c r="D3864" s="2" t="inlineStr">
        <is>
          <t>P0035</t>
        </is>
      </c>
      <c r="E3864" s="2" t="inlineStr">
        <is>
          <t>Skipping Rope</t>
        </is>
      </c>
      <c r="F3864" s="2" t="inlineStr">
        <is>
          <t>Sports</t>
        </is>
      </c>
      <c r="G3864" s="2" t="inlineStr">
        <is>
          <t>West</t>
        </is>
      </c>
      <c r="H3864" s="2" t="inlineStr">
        <is>
          <t>Goa</t>
        </is>
      </c>
      <c r="I3864" s="2" t="inlineStr">
        <is>
          <t>Panaji</t>
        </is>
      </c>
      <c r="J3864" s="2" t="inlineStr">
        <is>
          <t>Store</t>
        </is>
      </c>
      <c r="K3864" s="2" t="n">
        <v>2</v>
      </c>
      <c r="L3864" s="3" t="n">
        <v>699.65</v>
      </c>
      <c r="M3864" s="4" t="n">
        <v>0.15</v>
      </c>
      <c r="N3864" s="3" t="n">
        <v>817.6</v>
      </c>
      <c r="O3864" s="3">
        <f>K3864*L3864*(1-M3864)</f>
        <v/>
      </c>
      <c r="P3864" s="3">
        <f>O3864-N3864</f>
        <v/>
      </c>
      <c r="Q3864" s="5">
        <f>IFERROR(P3864/O3864,0)</f>
        <v/>
      </c>
      <c r="R3864" s="2">
        <f>TEXT(DATEVALUE(B3864),"mmm")</f>
        <v/>
      </c>
      <c r="S3864" s="2">
        <f>TEXT(DATEVALUE(B3864),"yyyy-mm")</f>
        <v/>
      </c>
    </row>
    <row r="3865">
      <c r="A3865" s="2" t="inlineStr">
        <is>
          <t>O000736</t>
        </is>
      </c>
      <c r="B3865" s="2" t="inlineStr">
        <is>
          <t>2025-10-10</t>
        </is>
      </c>
      <c r="C3865" s="2" t="inlineStr">
        <is>
          <t>C0607</t>
        </is>
      </c>
      <c r="D3865" s="2" t="inlineStr">
        <is>
          <t>P0004</t>
        </is>
      </c>
      <c r="E3865" s="2" t="inlineStr">
        <is>
          <t>USB-C Hub</t>
        </is>
      </c>
      <c r="F3865" s="2" t="inlineStr">
        <is>
          <t>Electronics</t>
        </is>
      </c>
      <c r="G3865" s="2" t="inlineStr">
        <is>
          <t>West</t>
        </is>
      </c>
      <c r="H3865" s="2" t="inlineStr">
        <is>
          <t>Goa</t>
        </is>
      </c>
      <c r="I3865" s="2" t="inlineStr">
        <is>
          <t>Panaji</t>
        </is>
      </c>
      <c r="J3865" s="2" t="inlineStr">
        <is>
          <t>Online</t>
        </is>
      </c>
      <c r="K3865" s="2" t="n">
        <v>1</v>
      </c>
      <c r="L3865" s="3" t="n">
        <v>1296.64</v>
      </c>
      <c r="M3865" s="4" t="n">
        <v>0.05</v>
      </c>
      <c r="N3865" s="3" t="n">
        <v>942.71</v>
      </c>
      <c r="O3865" s="3">
        <f>K3865*L3865*(1-M3865)</f>
        <v/>
      </c>
      <c r="P3865" s="3">
        <f>O3865-N3865</f>
        <v/>
      </c>
      <c r="Q3865" s="5">
        <f>IFERROR(P3865/O3865,0)</f>
        <v/>
      </c>
      <c r="R3865" s="2">
        <f>TEXT(DATEVALUE(B3865),"mmm")</f>
        <v/>
      </c>
      <c r="S3865" s="2">
        <f>TEXT(DATEVALUE(B3865),"yyyy-mm")</f>
        <v/>
      </c>
    </row>
    <row r="3866">
      <c r="A3866" s="2" t="inlineStr">
        <is>
          <t>O000611</t>
        </is>
      </c>
      <c r="B3866" s="2" t="inlineStr">
        <is>
          <t>2025-10-10</t>
        </is>
      </c>
      <c r="C3866" s="2" t="inlineStr">
        <is>
          <t>C0308</t>
        </is>
      </c>
      <c r="D3866" s="2" t="inlineStr">
        <is>
          <t>P0035</t>
        </is>
      </c>
      <c r="E3866" s="2" t="inlineStr">
        <is>
          <t>Skipping Rope</t>
        </is>
      </c>
      <c r="F3866" s="2" t="inlineStr">
        <is>
          <t>Sports</t>
        </is>
      </c>
      <c r="G3866" s="2" t="inlineStr">
        <is>
          <t>West</t>
        </is>
      </c>
      <c r="H3866" s="2" t="inlineStr">
        <is>
          <t>Maharashtra</t>
        </is>
      </c>
      <c r="I3866" s="2" t="inlineStr">
        <is>
          <t>Thane</t>
        </is>
      </c>
      <c r="J3866" s="2" t="inlineStr">
        <is>
          <t>Online</t>
        </is>
      </c>
      <c r="K3866" s="2" t="n">
        <v>3</v>
      </c>
      <c r="L3866" s="3" t="n">
        <v>683.91</v>
      </c>
      <c r="M3866" s="4" t="n">
        <v>0</v>
      </c>
      <c r="N3866" s="3" t="n">
        <v>1258.9</v>
      </c>
      <c r="O3866" s="3">
        <f>K3866*L3866*(1-M3866)</f>
        <v/>
      </c>
      <c r="P3866" s="3">
        <f>O3866-N3866</f>
        <v/>
      </c>
      <c r="Q3866" s="5">
        <f>IFERROR(P3866/O3866,0)</f>
        <v/>
      </c>
      <c r="R3866" s="2">
        <f>TEXT(DATEVALUE(B3866),"mmm")</f>
        <v/>
      </c>
      <c r="S3866" s="2">
        <f>TEXT(DATEVALUE(B3866),"yyyy-mm")</f>
        <v/>
      </c>
    </row>
    <row r="3867">
      <c r="A3867" s="2" t="inlineStr">
        <is>
          <t>O000316</t>
        </is>
      </c>
      <c r="B3867" s="2" t="inlineStr">
        <is>
          <t>2025-10-10</t>
        </is>
      </c>
      <c r="C3867" s="2" t="inlineStr">
        <is>
          <t>C0534</t>
        </is>
      </c>
      <c r="D3867" s="2" t="inlineStr">
        <is>
          <t>P0012</t>
        </is>
      </c>
      <c r="E3867" s="2" t="inlineStr">
        <is>
          <t>Water Bottle</t>
        </is>
      </c>
      <c r="F3867" s="2" t="inlineStr">
        <is>
          <t>Home &amp; Kitchen</t>
        </is>
      </c>
      <c r="G3867" s="2" t="inlineStr">
        <is>
          <t>North</t>
        </is>
      </c>
      <c r="H3867" s="2" t="inlineStr">
        <is>
          <t>Delhi</t>
        </is>
      </c>
      <c r="I3867" s="2" t="inlineStr">
        <is>
          <t>New Delhi</t>
        </is>
      </c>
      <c r="J3867" s="2" t="inlineStr">
        <is>
          <t>Store</t>
        </is>
      </c>
      <c r="K3867" s="2" t="n">
        <v>4</v>
      </c>
      <c r="L3867" s="3" t="n">
        <v>969.12</v>
      </c>
      <c r="M3867" s="4" t="n">
        <v>0.05</v>
      </c>
      <c r="N3867" s="3" t="n">
        <v>2536.5</v>
      </c>
      <c r="O3867" s="3">
        <f>K3867*L3867*(1-M3867)</f>
        <v/>
      </c>
      <c r="P3867" s="3">
        <f>O3867-N3867</f>
        <v/>
      </c>
      <c r="Q3867" s="5">
        <f>IFERROR(P3867/O3867,0)</f>
        <v/>
      </c>
      <c r="R3867" s="2">
        <f>TEXT(DATEVALUE(B3867),"mmm")</f>
        <v/>
      </c>
      <c r="S3867" s="2">
        <f>TEXT(DATEVALUE(B3867),"yyyy-mm")</f>
        <v/>
      </c>
    </row>
    <row r="3868">
      <c r="A3868" s="2" t="inlineStr">
        <is>
          <t>O000176</t>
        </is>
      </c>
      <c r="B3868" s="2" t="inlineStr">
        <is>
          <t>2025-10-10</t>
        </is>
      </c>
      <c r="C3868" s="2" t="inlineStr">
        <is>
          <t>C0696</t>
        </is>
      </c>
      <c r="D3868" s="2" t="inlineStr">
        <is>
          <t>P0011</t>
        </is>
      </c>
      <c r="E3868" s="2" t="inlineStr">
        <is>
          <t>Cookware Set</t>
        </is>
      </c>
      <c r="F3868" s="2" t="inlineStr">
        <is>
          <t>Home &amp; Kitchen</t>
        </is>
      </c>
      <c r="G3868" s="2" t="inlineStr">
        <is>
          <t>East</t>
        </is>
      </c>
      <c r="H3868" s="2" t="inlineStr">
        <is>
          <t>Bihar</t>
        </is>
      </c>
      <c r="I3868" s="2" t="inlineStr">
        <is>
          <t>Patna</t>
        </is>
      </c>
      <c r="J3868" s="2" t="inlineStr">
        <is>
          <t>Online</t>
        </is>
      </c>
      <c r="K3868" s="2" t="n">
        <v>3</v>
      </c>
      <c r="L3868" s="3" t="n">
        <v>694.76</v>
      </c>
      <c r="M3868" s="4" t="n">
        <v>0.05</v>
      </c>
      <c r="N3868" s="3" t="n">
        <v>1449.79</v>
      </c>
      <c r="O3868" s="3">
        <f>K3868*L3868*(1-M3868)</f>
        <v/>
      </c>
      <c r="P3868" s="3">
        <f>O3868-N3868</f>
        <v/>
      </c>
      <c r="Q3868" s="5">
        <f>IFERROR(P3868/O3868,0)</f>
        <v/>
      </c>
      <c r="R3868" s="2">
        <f>TEXT(DATEVALUE(B3868),"mmm")</f>
        <v/>
      </c>
      <c r="S3868" s="2">
        <f>TEXT(DATEVALUE(B3868),"yyyy-mm")</f>
        <v/>
      </c>
    </row>
    <row r="3869">
      <c r="A3869" s="2" t="inlineStr">
        <is>
          <t>O000133</t>
        </is>
      </c>
      <c r="B3869" s="2" t="inlineStr">
        <is>
          <t>2025-10-10</t>
        </is>
      </c>
      <c r="C3869" s="2" t="inlineStr">
        <is>
          <t>C0427</t>
        </is>
      </c>
      <c r="D3869" s="2" t="inlineStr">
        <is>
          <t>P0021</t>
        </is>
      </c>
      <c r="E3869" s="2" t="inlineStr">
        <is>
          <t>Wallet</t>
        </is>
      </c>
      <c r="F3869" s="2" t="inlineStr">
        <is>
          <t>Fashion</t>
        </is>
      </c>
      <c r="G3869" s="2" t="inlineStr">
        <is>
          <t>South</t>
        </is>
      </c>
      <c r="H3869" s="2" t="inlineStr">
        <is>
          <t>Telangana</t>
        </is>
      </c>
      <c r="I3869" s="2" t="inlineStr">
        <is>
          <t>Warangal</t>
        </is>
      </c>
      <c r="J3869" s="2" t="inlineStr">
        <is>
          <t>Store</t>
        </is>
      </c>
      <c r="K3869" s="2" t="n">
        <v>4</v>
      </c>
      <c r="L3869" s="3" t="n">
        <v>1982.94</v>
      </c>
      <c r="M3869" s="4" t="n">
        <v>0.05</v>
      </c>
      <c r="N3869" s="3" t="n">
        <v>4946.78</v>
      </c>
      <c r="O3869" s="3">
        <f>K3869*L3869*(1-M3869)</f>
        <v/>
      </c>
      <c r="P3869" s="3">
        <f>O3869-N3869</f>
        <v/>
      </c>
      <c r="Q3869" s="5">
        <f>IFERROR(P3869/O3869,0)</f>
        <v/>
      </c>
      <c r="R3869" s="2">
        <f>TEXT(DATEVALUE(B3869),"mmm")</f>
        <v/>
      </c>
      <c r="S3869" s="2">
        <f>TEXT(DATEVALUE(B3869),"yyyy-mm")</f>
        <v/>
      </c>
    </row>
    <row r="3870">
      <c r="A3870" s="2" t="inlineStr">
        <is>
          <t>O002984</t>
        </is>
      </c>
      <c r="B3870" s="2" t="inlineStr">
        <is>
          <t>2025-10-10</t>
        </is>
      </c>
      <c r="C3870" s="2" t="inlineStr">
        <is>
          <t>C0793</t>
        </is>
      </c>
      <c r="D3870" s="2" t="inlineStr">
        <is>
          <t>P0022</t>
        </is>
      </c>
      <c r="E3870" s="2" t="inlineStr">
        <is>
          <t>Face Wash</t>
        </is>
      </c>
      <c r="F3870" s="2" t="inlineStr">
        <is>
          <t>Beauty</t>
        </is>
      </c>
      <c r="G3870" s="2" t="inlineStr">
        <is>
          <t>North</t>
        </is>
      </c>
      <c r="H3870" s="2" t="inlineStr">
        <is>
          <t>Haryana</t>
        </is>
      </c>
      <c r="I3870" s="2" t="inlineStr">
        <is>
          <t>Gurugram</t>
        </is>
      </c>
      <c r="J3870" s="2" t="inlineStr">
        <is>
          <t>Online</t>
        </is>
      </c>
      <c r="K3870" s="2" t="n">
        <v>3</v>
      </c>
      <c r="L3870" s="3" t="n">
        <v>562.51</v>
      </c>
      <c r="M3870" s="4" t="n">
        <v>0</v>
      </c>
      <c r="N3870" s="3" t="n">
        <v>1023.19</v>
      </c>
      <c r="O3870" s="3">
        <f>K3870*L3870*(1-M3870)</f>
        <v/>
      </c>
      <c r="P3870" s="3">
        <f>O3870-N3870</f>
        <v/>
      </c>
      <c r="Q3870" s="5">
        <f>IFERROR(P3870/O3870,0)</f>
        <v/>
      </c>
      <c r="R3870" s="2">
        <f>TEXT(DATEVALUE(B3870),"mmm")</f>
        <v/>
      </c>
      <c r="S3870" s="2">
        <f>TEXT(DATEVALUE(B3870),"yyyy-mm")</f>
        <v/>
      </c>
    </row>
    <row r="3871">
      <c r="A3871" s="2" t="inlineStr">
        <is>
          <t>O004448</t>
        </is>
      </c>
      <c r="B3871" s="2" t="inlineStr">
        <is>
          <t>2025-10-11</t>
        </is>
      </c>
      <c r="C3871" s="2" t="inlineStr">
        <is>
          <t>C0389</t>
        </is>
      </c>
      <c r="D3871" s="2" t="inlineStr">
        <is>
          <t>P0034</t>
        </is>
      </c>
      <c r="E3871" s="2" t="inlineStr">
        <is>
          <t>Gym Gloves</t>
        </is>
      </c>
      <c r="F3871" s="2" t="inlineStr">
        <is>
          <t>Sports</t>
        </is>
      </c>
      <c r="G3871" s="2" t="inlineStr">
        <is>
          <t>West</t>
        </is>
      </c>
      <c r="H3871" s="2" t="inlineStr">
        <is>
          <t>Gujarat</t>
        </is>
      </c>
      <c r="I3871" s="2" t="inlineStr">
        <is>
          <t>Vadodara</t>
        </is>
      </c>
      <c r="J3871" s="2" t="inlineStr">
        <is>
          <t>Online</t>
        </is>
      </c>
      <c r="K3871" s="2" t="n">
        <v>1</v>
      </c>
      <c r="L3871" s="3" t="n">
        <v>625.14</v>
      </c>
      <c r="M3871" s="4" t="n">
        <v>0.05</v>
      </c>
      <c r="N3871" s="3" t="n">
        <v>411.41</v>
      </c>
      <c r="O3871" s="3">
        <f>K3871*L3871*(1-M3871)</f>
        <v/>
      </c>
      <c r="P3871" s="3">
        <f>O3871-N3871</f>
        <v/>
      </c>
      <c r="Q3871" s="5">
        <f>IFERROR(P3871/O3871,0)</f>
        <v/>
      </c>
      <c r="R3871" s="2">
        <f>TEXT(DATEVALUE(B3871),"mmm")</f>
        <v/>
      </c>
      <c r="S3871" s="2">
        <f>TEXT(DATEVALUE(B3871),"yyyy-mm")</f>
        <v/>
      </c>
    </row>
    <row r="3872">
      <c r="A3872" s="2" t="inlineStr">
        <is>
          <t>O004370</t>
        </is>
      </c>
      <c r="B3872" s="2" t="inlineStr">
        <is>
          <t>2025-10-11</t>
        </is>
      </c>
      <c r="C3872" s="2" t="inlineStr">
        <is>
          <t>C0279</t>
        </is>
      </c>
      <c r="D3872" s="2" t="inlineStr">
        <is>
          <t>P0024</t>
        </is>
      </c>
      <c r="E3872" s="2" t="inlineStr">
        <is>
          <t>Hair Dryer</t>
        </is>
      </c>
      <c r="F3872" s="2" t="inlineStr">
        <is>
          <t>Beauty</t>
        </is>
      </c>
      <c r="G3872" s="2" t="inlineStr">
        <is>
          <t>South</t>
        </is>
      </c>
      <c r="H3872" s="2" t="inlineStr">
        <is>
          <t>Karnataka</t>
        </is>
      </c>
      <c r="I3872" s="2" t="inlineStr">
        <is>
          <t>Bengaluru</t>
        </is>
      </c>
      <c r="J3872" s="2" t="inlineStr">
        <is>
          <t>Store</t>
        </is>
      </c>
      <c r="K3872" s="2" t="n">
        <v>1</v>
      </c>
      <c r="L3872" s="3" t="n">
        <v>1046.84</v>
      </c>
      <c r="M3872" s="4" t="n">
        <v>0</v>
      </c>
      <c r="N3872" s="3" t="n">
        <v>717.52</v>
      </c>
      <c r="O3872" s="3">
        <f>K3872*L3872*(1-M3872)</f>
        <v/>
      </c>
      <c r="P3872" s="3">
        <f>O3872-N3872</f>
        <v/>
      </c>
      <c r="Q3872" s="5">
        <f>IFERROR(P3872/O3872,0)</f>
        <v/>
      </c>
      <c r="R3872" s="2">
        <f>TEXT(DATEVALUE(B3872),"mmm")</f>
        <v/>
      </c>
      <c r="S3872" s="2">
        <f>TEXT(DATEVALUE(B3872),"yyyy-mm")</f>
        <v/>
      </c>
    </row>
    <row r="3873">
      <c r="A3873" s="2" t="inlineStr">
        <is>
          <t>O003477</t>
        </is>
      </c>
      <c r="B3873" s="2" t="inlineStr">
        <is>
          <t>2025-10-11</t>
        </is>
      </c>
      <c r="C3873" s="2" t="inlineStr">
        <is>
          <t>C0578</t>
        </is>
      </c>
      <c r="D3873" s="2" t="inlineStr">
        <is>
          <t>P0017</t>
        </is>
      </c>
      <c r="E3873" s="2" t="inlineStr">
        <is>
          <t>Jeans</t>
        </is>
      </c>
      <c r="F3873" s="2" t="inlineStr">
        <is>
          <t>Fashion</t>
        </is>
      </c>
      <c r="G3873" s="2" t="inlineStr">
        <is>
          <t>South</t>
        </is>
      </c>
      <c r="H3873" s="2" t="inlineStr">
        <is>
          <t>Karnataka</t>
        </is>
      </c>
      <c r="I3873" s="2" t="inlineStr">
        <is>
          <t>Mangaluru</t>
        </is>
      </c>
      <c r="J3873" s="2" t="inlineStr">
        <is>
          <t>Online</t>
        </is>
      </c>
      <c r="K3873" s="2" t="n">
        <v>2</v>
      </c>
      <c r="L3873" s="3" t="n">
        <v>1486.02</v>
      </c>
      <c r="M3873" s="4" t="n">
        <v>0</v>
      </c>
      <c r="N3873" s="3" t="n">
        <v>2026.64</v>
      </c>
      <c r="O3873" s="3">
        <f>K3873*L3873*(1-M3873)</f>
        <v/>
      </c>
      <c r="P3873" s="3">
        <f>O3873-N3873</f>
        <v/>
      </c>
      <c r="Q3873" s="5">
        <f>IFERROR(P3873/O3873,0)</f>
        <v/>
      </c>
      <c r="R3873" s="2">
        <f>TEXT(DATEVALUE(B3873),"mmm")</f>
        <v/>
      </c>
      <c r="S3873" s="2">
        <f>TEXT(DATEVALUE(B3873),"yyyy-mm")</f>
        <v/>
      </c>
    </row>
    <row r="3874">
      <c r="A3874" s="2" t="inlineStr">
        <is>
          <t>O003351</t>
        </is>
      </c>
      <c r="B3874" s="2" t="inlineStr">
        <is>
          <t>2025-10-11</t>
        </is>
      </c>
      <c r="C3874" s="2" t="inlineStr">
        <is>
          <t>C0432</t>
        </is>
      </c>
      <c r="D3874" s="2" t="inlineStr">
        <is>
          <t>P0022</t>
        </is>
      </c>
      <c r="E3874" s="2" t="inlineStr">
        <is>
          <t>Face Wash</t>
        </is>
      </c>
      <c r="F3874" s="2" t="inlineStr">
        <is>
          <t>Beauty</t>
        </is>
      </c>
      <c r="G3874" s="2" t="inlineStr">
        <is>
          <t>East</t>
        </is>
      </c>
      <c r="H3874" s="2" t="inlineStr">
        <is>
          <t>Odisha</t>
        </is>
      </c>
      <c r="I3874" s="2" t="inlineStr">
        <is>
          <t>Cuttack</t>
        </is>
      </c>
      <c r="J3874" s="2" t="inlineStr">
        <is>
          <t>Online</t>
        </is>
      </c>
      <c r="K3874" s="2" t="n">
        <v>1</v>
      </c>
      <c r="L3874" s="3" t="n">
        <v>562.76</v>
      </c>
      <c r="M3874" s="4" t="n">
        <v>0.25</v>
      </c>
      <c r="N3874" s="3" t="n">
        <v>348.97</v>
      </c>
      <c r="O3874" s="3">
        <f>K3874*L3874*(1-M3874)</f>
        <v/>
      </c>
      <c r="P3874" s="3">
        <f>O3874-N3874</f>
        <v/>
      </c>
      <c r="Q3874" s="5">
        <f>IFERROR(P3874/O3874,0)</f>
        <v/>
      </c>
      <c r="R3874" s="2">
        <f>TEXT(DATEVALUE(B3874),"mmm")</f>
        <v/>
      </c>
      <c r="S3874" s="2">
        <f>TEXT(DATEVALUE(B3874),"yyyy-mm")</f>
        <v/>
      </c>
    </row>
    <row r="3875">
      <c r="A3875" s="2" t="inlineStr">
        <is>
          <t>O003124</t>
        </is>
      </c>
      <c r="B3875" s="2" t="inlineStr">
        <is>
          <t>2025-10-11</t>
        </is>
      </c>
      <c r="C3875" s="2" t="inlineStr">
        <is>
          <t>C0206</t>
        </is>
      </c>
      <c r="D3875" s="2" t="inlineStr">
        <is>
          <t>P0011</t>
        </is>
      </c>
      <c r="E3875" s="2" t="inlineStr">
        <is>
          <t>Cookware Set</t>
        </is>
      </c>
      <c r="F3875" s="2" t="inlineStr">
        <is>
          <t>Home &amp; Kitchen</t>
        </is>
      </c>
      <c r="G3875" s="2" t="inlineStr">
        <is>
          <t>West</t>
        </is>
      </c>
      <c r="H3875" s="2" t="inlineStr">
        <is>
          <t>Maharashtra</t>
        </is>
      </c>
      <c r="I3875" s="2" t="inlineStr">
        <is>
          <t>Pune</t>
        </is>
      </c>
      <c r="J3875" s="2" t="inlineStr">
        <is>
          <t>Online</t>
        </is>
      </c>
      <c r="K3875" s="2" t="n">
        <v>3</v>
      </c>
      <c r="L3875" s="3" t="n">
        <v>693.86</v>
      </c>
      <c r="M3875" s="4" t="n">
        <v>0.05</v>
      </c>
      <c r="N3875" s="3" t="n">
        <v>1371.26</v>
      </c>
      <c r="O3875" s="3">
        <f>K3875*L3875*(1-M3875)</f>
        <v/>
      </c>
      <c r="P3875" s="3">
        <f>O3875-N3875</f>
        <v/>
      </c>
      <c r="Q3875" s="5">
        <f>IFERROR(P3875/O3875,0)</f>
        <v/>
      </c>
      <c r="R3875" s="2">
        <f>TEXT(DATEVALUE(B3875),"mmm")</f>
        <v/>
      </c>
      <c r="S3875" s="2">
        <f>TEXT(DATEVALUE(B3875),"yyyy-mm")</f>
        <v/>
      </c>
    </row>
    <row r="3876">
      <c r="A3876" s="2" t="inlineStr">
        <is>
          <t>O002948</t>
        </is>
      </c>
      <c r="B3876" s="2" t="inlineStr">
        <is>
          <t>2025-10-11</t>
        </is>
      </c>
      <c r="C3876" s="2" t="inlineStr">
        <is>
          <t>C0461</t>
        </is>
      </c>
      <c r="D3876" s="2" t="inlineStr">
        <is>
          <t>P0028</t>
        </is>
      </c>
      <c r="E3876" s="2" t="inlineStr">
        <is>
          <t>Trimmer</t>
        </is>
      </c>
      <c r="F3876" s="2" t="inlineStr">
        <is>
          <t>Beauty</t>
        </is>
      </c>
      <c r="G3876" s="2" t="inlineStr">
        <is>
          <t>West</t>
        </is>
      </c>
      <c r="H3876" s="2" t="inlineStr">
        <is>
          <t>Gujarat</t>
        </is>
      </c>
      <c r="I3876" s="2" t="inlineStr">
        <is>
          <t>Vadodara</t>
        </is>
      </c>
      <c r="J3876" s="2" t="inlineStr">
        <is>
          <t>Online</t>
        </is>
      </c>
      <c r="K3876" s="2" t="n">
        <v>1</v>
      </c>
      <c r="L3876" s="3" t="n">
        <v>447.4</v>
      </c>
      <c r="M3876" s="4" t="n">
        <v>0.1</v>
      </c>
      <c r="N3876" s="3" t="n">
        <v>250.62</v>
      </c>
      <c r="O3876" s="3">
        <f>K3876*L3876*(1-M3876)</f>
        <v/>
      </c>
      <c r="P3876" s="3">
        <f>O3876-N3876</f>
        <v/>
      </c>
      <c r="Q3876" s="5">
        <f>IFERROR(P3876/O3876,0)</f>
        <v/>
      </c>
      <c r="R3876" s="2">
        <f>TEXT(DATEVALUE(B3876),"mmm")</f>
        <v/>
      </c>
      <c r="S3876" s="2">
        <f>TEXT(DATEVALUE(B3876),"yyyy-mm")</f>
        <v/>
      </c>
    </row>
    <row r="3877">
      <c r="A3877" s="2" t="inlineStr">
        <is>
          <t>O002530</t>
        </is>
      </c>
      <c r="B3877" s="2" t="inlineStr">
        <is>
          <t>2025-10-11</t>
        </is>
      </c>
      <c r="C3877" s="2" t="inlineStr">
        <is>
          <t>C0686</t>
        </is>
      </c>
      <c r="D3877" s="2" t="inlineStr">
        <is>
          <t>P0017</t>
        </is>
      </c>
      <c r="E3877" s="2" t="inlineStr">
        <is>
          <t>Jeans</t>
        </is>
      </c>
      <c r="F3877" s="2" t="inlineStr">
        <is>
          <t>Fashion</t>
        </is>
      </c>
      <c r="G3877" s="2" t="inlineStr">
        <is>
          <t>North</t>
        </is>
      </c>
      <c r="H3877" s="2" t="inlineStr">
        <is>
          <t>Haryana</t>
        </is>
      </c>
      <c r="I3877" s="2" t="inlineStr">
        <is>
          <t>Faridabad</t>
        </is>
      </c>
      <c r="J3877" s="2" t="inlineStr">
        <is>
          <t>Online</t>
        </is>
      </c>
      <c r="K3877" s="2" t="n">
        <v>2</v>
      </c>
      <c r="L3877" s="3" t="n">
        <v>1434.89</v>
      </c>
      <c r="M3877" s="4" t="n">
        <v>0.1</v>
      </c>
      <c r="N3877" s="3" t="n">
        <v>2023.65</v>
      </c>
      <c r="O3877" s="3">
        <f>K3877*L3877*(1-M3877)</f>
        <v/>
      </c>
      <c r="P3877" s="3">
        <f>O3877-N3877</f>
        <v/>
      </c>
      <c r="Q3877" s="5">
        <f>IFERROR(P3877/O3877,0)</f>
        <v/>
      </c>
      <c r="R3877" s="2">
        <f>TEXT(DATEVALUE(B3877),"mmm")</f>
        <v/>
      </c>
      <c r="S3877" s="2">
        <f>TEXT(DATEVALUE(B3877),"yyyy-mm")</f>
        <v/>
      </c>
    </row>
    <row r="3878">
      <c r="A3878" s="2" t="inlineStr">
        <is>
          <t>O001991</t>
        </is>
      </c>
      <c r="B3878" s="2" t="inlineStr">
        <is>
          <t>2025-10-11</t>
        </is>
      </c>
      <c r="C3878" s="2" t="inlineStr">
        <is>
          <t>C0492</t>
        </is>
      </c>
      <c r="D3878" s="2" t="inlineStr">
        <is>
          <t>P0018</t>
        </is>
      </c>
      <c r="E3878" s="2" t="inlineStr">
        <is>
          <t>Backpack</t>
        </is>
      </c>
      <c r="F3878" s="2" t="inlineStr">
        <is>
          <t>Fashion</t>
        </is>
      </c>
      <c r="G3878" s="2" t="inlineStr">
        <is>
          <t>North</t>
        </is>
      </c>
      <c r="H3878" s="2" t="inlineStr">
        <is>
          <t>Delhi</t>
        </is>
      </c>
      <c r="I3878" s="2" t="inlineStr">
        <is>
          <t>New Delhi</t>
        </is>
      </c>
      <c r="J3878" s="2" t="inlineStr">
        <is>
          <t>Online</t>
        </is>
      </c>
      <c r="K3878" s="2" t="n">
        <v>2</v>
      </c>
      <c r="L3878" s="3" t="n">
        <v>1774.47</v>
      </c>
      <c r="M3878" s="4" t="n">
        <v>0</v>
      </c>
      <c r="N3878" s="3" t="n">
        <v>2713.32</v>
      </c>
      <c r="O3878" s="3">
        <f>K3878*L3878*(1-M3878)</f>
        <v/>
      </c>
      <c r="P3878" s="3">
        <f>O3878-N3878</f>
        <v/>
      </c>
      <c r="Q3878" s="5">
        <f>IFERROR(P3878/O3878,0)</f>
        <v/>
      </c>
      <c r="R3878" s="2">
        <f>TEXT(DATEVALUE(B3878),"mmm")</f>
        <v/>
      </c>
      <c r="S3878" s="2">
        <f>TEXT(DATEVALUE(B3878),"yyyy-mm")</f>
        <v/>
      </c>
    </row>
    <row r="3879">
      <c r="A3879" s="2" t="inlineStr">
        <is>
          <t>O001612</t>
        </is>
      </c>
      <c r="B3879" s="2" t="inlineStr">
        <is>
          <t>2025-10-11</t>
        </is>
      </c>
      <c r="C3879" s="2" t="inlineStr">
        <is>
          <t>C0179</t>
        </is>
      </c>
      <c r="D3879" s="2" t="inlineStr">
        <is>
          <t>P0017</t>
        </is>
      </c>
      <c r="E3879" s="2" t="inlineStr">
        <is>
          <t>Jeans</t>
        </is>
      </c>
      <c r="F3879" s="2" t="inlineStr">
        <is>
          <t>Fashion</t>
        </is>
      </c>
      <c r="G3879" s="2" t="inlineStr">
        <is>
          <t>North</t>
        </is>
      </c>
      <c r="H3879" s="2" t="inlineStr">
        <is>
          <t>Delhi</t>
        </is>
      </c>
      <c r="I3879" s="2" t="inlineStr">
        <is>
          <t>New Delhi</t>
        </is>
      </c>
      <c r="J3879" s="2" t="inlineStr">
        <is>
          <t>Store</t>
        </is>
      </c>
      <c r="K3879" s="2" t="n">
        <v>1</v>
      </c>
      <c r="L3879" s="3" t="n">
        <v>1538.37</v>
      </c>
      <c r="M3879" s="4" t="n">
        <v>0.05</v>
      </c>
      <c r="N3879" s="3" t="n">
        <v>1043.65</v>
      </c>
      <c r="O3879" s="3">
        <f>K3879*L3879*(1-M3879)</f>
        <v/>
      </c>
      <c r="P3879" s="3">
        <f>O3879-N3879</f>
        <v/>
      </c>
      <c r="Q3879" s="5">
        <f>IFERROR(P3879/O3879,0)</f>
        <v/>
      </c>
      <c r="R3879" s="2">
        <f>TEXT(DATEVALUE(B3879),"mmm")</f>
        <v/>
      </c>
      <c r="S3879" s="2">
        <f>TEXT(DATEVALUE(B3879),"yyyy-mm")</f>
        <v/>
      </c>
    </row>
    <row r="3880">
      <c r="A3880" s="2" t="inlineStr">
        <is>
          <t>O000573</t>
        </is>
      </c>
      <c r="B3880" s="2" t="inlineStr">
        <is>
          <t>2025-10-11</t>
        </is>
      </c>
      <c r="C3880" s="2" t="inlineStr">
        <is>
          <t>C0179</t>
        </is>
      </c>
      <c r="D3880" s="2" t="inlineStr">
        <is>
          <t>P0022</t>
        </is>
      </c>
      <c r="E3880" s="2" t="inlineStr">
        <is>
          <t>Face Wash</t>
        </is>
      </c>
      <c r="F3880" s="2" t="inlineStr">
        <is>
          <t>Beauty</t>
        </is>
      </c>
      <c r="G3880" s="2" t="inlineStr">
        <is>
          <t>South</t>
        </is>
      </c>
      <c r="H3880" s="2" t="inlineStr">
        <is>
          <t>Tamil Nadu</t>
        </is>
      </c>
      <c r="I3880" s="2" t="inlineStr">
        <is>
          <t>Coimbatore</t>
        </is>
      </c>
      <c r="J3880" s="2" t="inlineStr">
        <is>
          <t>Store</t>
        </is>
      </c>
      <c r="K3880" s="2" t="n">
        <v>3</v>
      </c>
      <c r="L3880" s="3" t="n">
        <v>531.3099999999999</v>
      </c>
      <c r="M3880" s="4" t="n">
        <v>0.05</v>
      </c>
      <c r="N3880" s="3" t="n">
        <v>1037.79</v>
      </c>
      <c r="O3880" s="3">
        <f>K3880*L3880*(1-M3880)</f>
        <v/>
      </c>
      <c r="P3880" s="3">
        <f>O3880-N3880</f>
        <v/>
      </c>
      <c r="Q3880" s="5">
        <f>IFERROR(P3880/O3880,0)</f>
        <v/>
      </c>
      <c r="R3880" s="2">
        <f>TEXT(DATEVALUE(B3880),"mmm")</f>
        <v/>
      </c>
      <c r="S3880" s="2">
        <f>TEXT(DATEVALUE(B3880),"yyyy-mm")</f>
        <v/>
      </c>
    </row>
    <row r="3881">
      <c r="A3881" s="2" t="inlineStr">
        <is>
          <t>O000322</t>
        </is>
      </c>
      <c r="B3881" s="2" t="inlineStr">
        <is>
          <t>2025-10-11</t>
        </is>
      </c>
      <c r="C3881" s="2" t="inlineStr">
        <is>
          <t>C0599</t>
        </is>
      </c>
      <c r="D3881" s="2" t="inlineStr">
        <is>
          <t>P0003</t>
        </is>
      </c>
      <c r="E3881" s="2" t="inlineStr">
        <is>
          <t>Smartwatch</t>
        </is>
      </c>
      <c r="F3881" s="2" t="inlineStr">
        <is>
          <t>Electronics</t>
        </is>
      </c>
      <c r="G3881" s="2" t="inlineStr">
        <is>
          <t>South</t>
        </is>
      </c>
      <c r="H3881" s="2" t="inlineStr">
        <is>
          <t>Telangana</t>
        </is>
      </c>
      <c r="I3881" s="2" t="inlineStr">
        <is>
          <t>Warangal</t>
        </is>
      </c>
      <c r="J3881" s="2" t="inlineStr">
        <is>
          <t>Online</t>
        </is>
      </c>
      <c r="K3881" s="2" t="n">
        <v>1</v>
      </c>
      <c r="L3881" s="3" t="n">
        <v>2196.78</v>
      </c>
      <c r="M3881" s="4" t="n">
        <v>0</v>
      </c>
      <c r="N3881" s="3" t="n">
        <v>1152.43</v>
      </c>
      <c r="O3881" s="3">
        <f>K3881*L3881*(1-M3881)</f>
        <v/>
      </c>
      <c r="P3881" s="3">
        <f>O3881-N3881</f>
        <v/>
      </c>
      <c r="Q3881" s="5">
        <f>IFERROR(P3881/O3881,0)</f>
        <v/>
      </c>
      <c r="R3881" s="2">
        <f>TEXT(DATEVALUE(B3881),"mmm")</f>
        <v/>
      </c>
      <c r="S3881" s="2">
        <f>TEXT(DATEVALUE(B3881),"yyyy-mm")</f>
        <v/>
      </c>
    </row>
    <row r="3882">
      <c r="A3882" s="2" t="inlineStr">
        <is>
          <t>O000164</t>
        </is>
      </c>
      <c r="B3882" s="2" t="inlineStr">
        <is>
          <t>2025-10-11</t>
        </is>
      </c>
      <c r="C3882" s="2" t="inlineStr">
        <is>
          <t>C0481</t>
        </is>
      </c>
      <c r="D3882" s="2" t="inlineStr">
        <is>
          <t>P0003</t>
        </is>
      </c>
      <c r="E3882" s="2" t="inlineStr">
        <is>
          <t>Smartwatch</t>
        </is>
      </c>
      <c r="F3882" s="2" t="inlineStr">
        <is>
          <t>Electronics</t>
        </is>
      </c>
      <c r="G3882" s="2" t="inlineStr">
        <is>
          <t>West</t>
        </is>
      </c>
      <c r="H3882" s="2" t="inlineStr">
        <is>
          <t>Maharashtra</t>
        </is>
      </c>
      <c r="I3882" s="2" t="inlineStr">
        <is>
          <t>Pune</t>
        </is>
      </c>
      <c r="J3882" s="2" t="inlineStr">
        <is>
          <t>Online</t>
        </is>
      </c>
      <c r="K3882" s="2" t="n">
        <v>4</v>
      </c>
      <c r="L3882" s="3" t="n">
        <v>2228.88</v>
      </c>
      <c r="M3882" s="4" t="n">
        <v>0.1</v>
      </c>
      <c r="N3882" s="3" t="n">
        <v>4601.83</v>
      </c>
      <c r="O3882" s="3">
        <f>K3882*L3882*(1-M3882)</f>
        <v/>
      </c>
      <c r="P3882" s="3">
        <f>O3882-N3882</f>
        <v/>
      </c>
      <c r="Q3882" s="5">
        <f>IFERROR(P3882/O3882,0)</f>
        <v/>
      </c>
      <c r="R3882" s="2">
        <f>TEXT(DATEVALUE(B3882),"mmm")</f>
        <v/>
      </c>
      <c r="S3882" s="2">
        <f>TEXT(DATEVALUE(B3882),"yyyy-mm")</f>
        <v/>
      </c>
    </row>
    <row r="3883">
      <c r="A3883" s="2" t="inlineStr">
        <is>
          <t>O000158</t>
        </is>
      </c>
      <c r="B3883" s="2" t="inlineStr">
        <is>
          <t>2025-10-11</t>
        </is>
      </c>
      <c r="C3883" s="2" t="inlineStr">
        <is>
          <t>C0615</t>
        </is>
      </c>
      <c r="D3883" s="2" t="inlineStr">
        <is>
          <t>P0035</t>
        </is>
      </c>
      <c r="E3883" s="2" t="inlineStr">
        <is>
          <t>Skipping Rope</t>
        </is>
      </c>
      <c r="F3883" s="2" t="inlineStr">
        <is>
          <t>Sports</t>
        </is>
      </c>
      <c r="G3883" s="2" t="inlineStr">
        <is>
          <t>East</t>
        </is>
      </c>
      <c r="H3883" s="2" t="inlineStr">
        <is>
          <t>Odisha</t>
        </is>
      </c>
      <c r="I3883" s="2" t="inlineStr">
        <is>
          <t>Cuttack</t>
        </is>
      </c>
      <c r="J3883" s="2" t="inlineStr">
        <is>
          <t>Online</t>
        </is>
      </c>
      <c r="K3883" s="2" t="n">
        <v>1</v>
      </c>
      <c r="L3883" s="3" t="n">
        <v>741.37</v>
      </c>
      <c r="M3883" s="4" t="n">
        <v>0.15</v>
      </c>
      <c r="N3883" s="3" t="n">
        <v>399.45</v>
      </c>
      <c r="O3883" s="3">
        <f>K3883*L3883*(1-M3883)</f>
        <v/>
      </c>
      <c r="P3883" s="3">
        <f>O3883-N3883</f>
        <v/>
      </c>
      <c r="Q3883" s="5">
        <f>IFERROR(P3883/O3883,0)</f>
        <v/>
      </c>
      <c r="R3883" s="2">
        <f>TEXT(DATEVALUE(B3883),"mmm")</f>
        <v/>
      </c>
      <c r="S3883" s="2">
        <f>TEXT(DATEVALUE(B3883),"yyyy-mm")</f>
        <v/>
      </c>
    </row>
    <row r="3884">
      <c r="A3884" s="2" t="inlineStr">
        <is>
          <t>O004549</t>
        </is>
      </c>
      <c r="B3884" s="2" t="inlineStr">
        <is>
          <t>2025-10-12</t>
        </is>
      </c>
      <c r="C3884" s="2" t="inlineStr">
        <is>
          <t>C0163</t>
        </is>
      </c>
      <c r="D3884" s="2" t="inlineStr">
        <is>
          <t>P0012</t>
        </is>
      </c>
      <c r="E3884" s="2" t="inlineStr">
        <is>
          <t>Water Bottle</t>
        </is>
      </c>
      <c r="F3884" s="2" t="inlineStr">
        <is>
          <t>Home &amp; Kitchen</t>
        </is>
      </c>
      <c r="G3884" s="2" t="inlineStr">
        <is>
          <t>North</t>
        </is>
      </c>
      <c r="H3884" s="2" t="inlineStr">
        <is>
          <t>Punjab</t>
        </is>
      </c>
      <c r="I3884" s="2" t="inlineStr">
        <is>
          <t>Jalandhar</t>
        </is>
      </c>
      <c r="J3884" s="2" t="inlineStr">
        <is>
          <t>Online</t>
        </is>
      </c>
      <c r="K3884" s="2" t="n">
        <v>1</v>
      </c>
      <c r="L3884" s="3" t="n">
        <v>941.23</v>
      </c>
      <c r="M3884" s="4" t="n">
        <v>0</v>
      </c>
      <c r="N3884" s="3" t="n">
        <v>631.3</v>
      </c>
      <c r="O3884" s="3">
        <f>K3884*L3884*(1-M3884)</f>
        <v/>
      </c>
      <c r="P3884" s="3">
        <f>O3884-N3884</f>
        <v/>
      </c>
      <c r="Q3884" s="5">
        <f>IFERROR(P3884/O3884,0)</f>
        <v/>
      </c>
      <c r="R3884" s="2">
        <f>TEXT(DATEVALUE(B3884),"mmm")</f>
        <v/>
      </c>
      <c r="S3884" s="2">
        <f>TEXT(DATEVALUE(B3884),"yyyy-mm")</f>
        <v/>
      </c>
    </row>
    <row r="3885">
      <c r="A3885" s="2" t="inlineStr">
        <is>
          <t>O003968</t>
        </is>
      </c>
      <c r="B3885" s="2" t="inlineStr">
        <is>
          <t>2025-10-12</t>
        </is>
      </c>
      <c r="C3885" s="2" t="inlineStr">
        <is>
          <t>C0432</t>
        </is>
      </c>
      <c r="D3885" s="2" t="inlineStr">
        <is>
          <t>P0012</t>
        </is>
      </c>
      <c r="E3885" s="2" t="inlineStr">
        <is>
          <t>Water Bottle</t>
        </is>
      </c>
      <c r="F3885" s="2" t="inlineStr">
        <is>
          <t>Home &amp; Kitchen</t>
        </is>
      </c>
      <c r="G3885" s="2" t="inlineStr">
        <is>
          <t>West</t>
        </is>
      </c>
      <c r="H3885" s="2" t="inlineStr">
        <is>
          <t>Maharashtra</t>
        </is>
      </c>
      <c r="I3885" s="2" t="inlineStr">
        <is>
          <t>Thane</t>
        </is>
      </c>
      <c r="J3885" s="2" t="inlineStr">
        <is>
          <t>Store</t>
        </is>
      </c>
      <c r="K3885" s="2" t="n">
        <v>1</v>
      </c>
      <c r="L3885" s="3" t="n">
        <v>1005</v>
      </c>
      <c r="M3885" s="4" t="n">
        <v>0.1</v>
      </c>
      <c r="N3885" s="3" t="n">
        <v>634.61</v>
      </c>
      <c r="O3885" s="3">
        <f>K3885*L3885*(1-M3885)</f>
        <v/>
      </c>
      <c r="P3885" s="3">
        <f>O3885-N3885</f>
        <v/>
      </c>
      <c r="Q3885" s="5">
        <f>IFERROR(P3885/O3885,0)</f>
        <v/>
      </c>
      <c r="R3885" s="2">
        <f>TEXT(DATEVALUE(B3885),"mmm")</f>
        <v/>
      </c>
      <c r="S3885" s="2">
        <f>TEXT(DATEVALUE(B3885),"yyyy-mm")</f>
        <v/>
      </c>
    </row>
    <row r="3886">
      <c r="A3886" s="2" t="inlineStr">
        <is>
          <t>O003431</t>
        </is>
      </c>
      <c r="B3886" s="2" t="inlineStr">
        <is>
          <t>2025-10-12</t>
        </is>
      </c>
      <c r="C3886" s="2" t="inlineStr">
        <is>
          <t>C0430</t>
        </is>
      </c>
      <c r="D3886" s="2" t="inlineStr">
        <is>
          <t>P0018</t>
        </is>
      </c>
      <c r="E3886" s="2" t="inlineStr">
        <is>
          <t>Backpack</t>
        </is>
      </c>
      <c r="F3886" s="2" t="inlineStr">
        <is>
          <t>Fashion</t>
        </is>
      </c>
      <c r="G3886" s="2" t="inlineStr">
        <is>
          <t>West</t>
        </is>
      </c>
      <c r="H3886" s="2" t="inlineStr">
        <is>
          <t>Goa</t>
        </is>
      </c>
      <c r="I3886" s="2" t="inlineStr">
        <is>
          <t>Panaji</t>
        </is>
      </c>
      <c r="J3886" s="2" t="inlineStr">
        <is>
          <t>Online</t>
        </is>
      </c>
      <c r="K3886" s="2" t="n">
        <v>1</v>
      </c>
      <c r="L3886" s="3" t="n">
        <v>1795.04</v>
      </c>
      <c r="M3886" s="4" t="n">
        <v>0.15</v>
      </c>
      <c r="N3886" s="3" t="n">
        <v>1403.08</v>
      </c>
      <c r="O3886" s="3">
        <f>K3886*L3886*(1-M3886)</f>
        <v/>
      </c>
      <c r="P3886" s="3">
        <f>O3886-N3886</f>
        <v/>
      </c>
      <c r="Q3886" s="5">
        <f>IFERROR(P3886/O3886,0)</f>
        <v/>
      </c>
      <c r="R3886" s="2">
        <f>TEXT(DATEVALUE(B3886),"mmm")</f>
        <v/>
      </c>
      <c r="S3886" s="2">
        <f>TEXT(DATEVALUE(B3886),"yyyy-mm")</f>
        <v/>
      </c>
    </row>
    <row r="3887">
      <c r="A3887" s="2" t="inlineStr">
        <is>
          <t>O003315</t>
        </is>
      </c>
      <c r="B3887" s="2" t="inlineStr">
        <is>
          <t>2025-10-12</t>
        </is>
      </c>
      <c r="C3887" s="2" t="inlineStr">
        <is>
          <t>C0585</t>
        </is>
      </c>
      <c r="D3887" s="2" t="inlineStr">
        <is>
          <t>P0017</t>
        </is>
      </c>
      <c r="E3887" s="2" t="inlineStr">
        <is>
          <t>Jeans</t>
        </is>
      </c>
      <c r="F3887" s="2" t="inlineStr">
        <is>
          <t>Fashion</t>
        </is>
      </c>
      <c r="G3887" s="2" t="inlineStr">
        <is>
          <t>East</t>
        </is>
      </c>
      <c r="H3887" s="2" t="inlineStr">
        <is>
          <t>West Bengal</t>
        </is>
      </c>
      <c r="I3887" s="2" t="inlineStr">
        <is>
          <t>Kolkata</t>
        </is>
      </c>
      <c r="J3887" s="2" t="inlineStr">
        <is>
          <t>Online</t>
        </is>
      </c>
      <c r="K3887" s="2" t="n">
        <v>1</v>
      </c>
      <c r="L3887" s="3" t="n">
        <v>1521.91</v>
      </c>
      <c r="M3887" s="4" t="n">
        <v>0.15</v>
      </c>
      <c r="N3887" s="3" t="n">
        <v>1016.56</v>
      </c>
      <c r="O3887" s="3">
        <f>K3887*L3887*(1-M3887)</f>
        <v/>
      </c>
      <c r="P3887" s="3">
        <f>O3887-N3887</f>
        <v/>
      </c>
      <c r="Q3887" s="5">
        <f>IFERROR(P3887/O3887,0)</f>
        <v/>
      </c>
      <c r="R3887" s="2">
        <f>TEXT(DATEVALUE(B3887),"mmm")</f>
        <v/>
      </c>
      <c r="S3887" s="2">
        <f>TEXT(DATEVALUE(B3887),"yyyy-mm")</f>
        <v/>
      </c>
    </row>
    <row r="3888">
      <c r="A3888" s="2" t="inlineStr">
        <is>
          <t>O002643</t>
        </is>
      </c>
      <c r="B3888" s="2" t="inlineStr">
        <is>
          <t>2025-10-12</t>
        </is>
      </c>
      <c r="C3888" s="2" t="inlineStr">
        <is>
          <t>C0506</t>
        </is>
      </c>
      <c r="D3888" s="2" t="inlineStr">
        <is>
          <t>P0032</t>
        </is>
      </c>
      <c r="E3888" s="2" t="inlineStr">
        <is>
          <t>Football</t>
        </is>
      </c>
      <c r="F3888" s="2" t="inlineStr">
        <is>
          <t>Sports</t>
        </is>
      </c>
      <c r="G3888" s="2" t="inlineStr">
        <is>
          <t>North</t>
        </is>
      </c>
      <c r="H3888" s="2" t="inlineStr">
        <is>
          <t>Delhi</t>
        </is>
      </c>
      <c r="I3888" s="2" t="inlineStr">
        <is>
          <t>New Delhi</t>
        </is>
      </c>
      <c r="J3888" s="2" t="inlineStr">
        <is>
          <t>Store</t>
        </is>
      </c>
      <c r="K3888" s="2" t="n">
        <v>1</v>
      </c>
      <c r="L3888" s="3" t="n">
        <v>798.98</v>
      </c>
      <c r="M3888" s="4" t="n">
        <v>0.2</v>
      </c>
      <c r="N3888" s="3" t="n">
        <v>536.11</v>
      </c>
      <c r="O3888" s="3">
        <f>K3888*L3888*(1-M3888)</f>
        <v/>
      </c>
      <c r="P3888" s="3">
        <f>O3888-N3888</f>
        <v/>
      </c>
      <c r="Q3888" s="5">
        <f>IFERROR(P3888/O3888,0)</f>
        <v/>
      </c>
      <c r="R3888" s="2">
        <f>TEXT(DATEVALUE(B3888),"mmm")</f>
        <v/>
      </c>
      <c r="S3888" s="2">
        <f>TEXT(DATEVALUE(B3888),"yyyy-mm")</f>
        <v/>
      </c>
    </row>
    <row r="3889">
      <c r="A3889" s="2" t="inlineStr">
        <is>
          <t>O002031</t>
        </is>
      </c>
      <c r="B3889" s="2" t="inlineStr">
        <is>
          <t>2025-10-12</t>
        </is>
      </c>
      <c r="C3889" s="2" t="inlineStr">
        <is>
          <t>C0597</t>
        </is>
      </c>
      <c r="D3889" s="2" t="inlineStr">
        <is>
          <t>P0018</t>
        </is>
      </c>
      <c r="E3889" s="2" t="inlineStr">
        <is>
          <t>Backpack</t>
        </is>
      </c>
      <c r="F3889" s="2" t="inlineStr">
        <is>
          <t>Fashion</t>
        </is>
      </c>
      <c r="G3889" s="2" t="inlineStr">
        <is>
          <t>East</t>
        </is>
      </c>
      <c r="H3889" s="2" t="inlineStr">
        <is>
          <t>Odisha</t>
        </is>
      </c>
      <c r="I3889" s="2" t="inlineStr">
        <is>
          <t>Bhubaneswar</t>
        </is>
      </c>
      <c r="J3889" s="2" t="inlineStr">
        <is>
          <t>Online</t>
        </is>
      </c>
      <c r="K3889" s="2" t="n">
        <v>3</v>
      </c>
      <c r="L3889" s="3" t="n">
        <v>1871.91</v>
      </c>
      <c r="M3889" s="4" t="n">
        <v>0.1</v>
      </c>
      <c r="N3889" s="3" t="n">
        <v>4099.37</v>
      </c>
      <c r="O3889" s="3">
        <f>K3889*L3889*(1-M3889)</f>
        <v/>
      </c>
      <c r="P3889" s="3">
        <f>O3889-N3889</f>
        <v/>
      </c>
      <c r="Q3889" s="5">
        <f>IFERROR(P3889/O3889,0)</f>
        <v/>
      </c>
      <c r="R3889" s="2">
        <f>TEXT(DATEVALUE(B3889),"mmm")</f>
        <v/>
      </c>
      <c r="S3889" s="2">
        <f>TEXT(DATEVALUE(B3889),"yyyy-mm")</f>
        <v/>
      </c>
    </row>
    <row r="3890">
      <c r="A3890" s="2" t="inlineStr">
        <is>
          <t>O002010</t>
        </is>
      </c>
      <c r="B3890" s="2" t="inlineStr">
        <is>
          <t>2025-10-12</t>
        </is>
      </c>
      <c r="C3890" s="2" t="inlineStr">
        <is>
          <t>C0418</t>
        </is>
      </c>
      <c r="D3890" s="2" t="inlineStr">
        <is>
          <t>P0006</t>
        </is>
      </c>
      <c r="E3890" s="2" t="inlineStr">
        <is>
          <t>Mechanical Keyboard</t>
        </is>
      </c>
      <c r="F3890" s="2" t="inlineStr">
        <is>
          <t>Electronics</t>
        </is>
      </c>
      <c r="G3890" s="2" t="inlineStr">
        <is>
          <t>East</t>
        </is>
      </c>
      <c r="H3890" s="2" t="inlineStr">
        <is>
          <t>Bihar</t>
        </is>
      </c>
      <c r="I3890" s="2" t="inlineStr">
        <is>
          <t>Patna</t>
        </is>
      </c>
      <c r="J3890" s="2" t="inlineStr">
        <is>
          <t>Store</t>
        </is>
      </c>
      <c r="K3890" s="2" t="n">
        <v>1</v>
      </c>
      <c r="L3890" s="3" t="n">
        <v>2770.64</v>
      </c>
      <c r="M3890" s="4" t="n">
        <v>0.15</v>
      </c>
      <c r="N3890" s="3" t="n">
        <v>1486.17</v>
      </c>
      <c r="O3890" s="3">
        <f>K3890*L3890*(1-M3890)</f>
        <v/>
      </c>
      <c r="P3890" s="3">
        <f>O3890-N3890</f>
        <v/>
      </c>
      <c r="Q3890" s="5">
        <f>IFERROR(P3890/O3890,0)</f>
        <v/>
      </c>
      <c r="R3890" s="2">
        <f>TEXT(DATEVALUE(B3890),"mmm")</f>
        <v/>
      </c>
      <c r="S3890" s="2">
        <f>TEXT(DATEVALUE(B3890),"yyyy-mm")</f>
        <v/>
      </c>
    </row>
    <row r="3891">
      <c r="A3891" s="2" t="inlineStr">
        <is>
          <t>O001728</t>
        </is>
      </c>
      <c r="B3891" s="2" t="inlineStr">
        <is>
          <t>2025-10-12</t>
        </is>
      </c>
      <c r="C3891" s="2" t="inlineStr">
        <is>
          <t>C0181</t>
        </is>
      </c>
      <c r="D3891" s="2" t="inlineStr">
        <is>
          <t>P0024</t>
        </is>
      </c>
      <c r="E3891" s="2" t="inlineStr">
        <is>
          <t>Hair Dryer</t>
        </is>
      </c>
      <c r="F3891" s="2" t="inlineStr">
        <is>
          <t>Beauty</t>
        </is>
      </c>
      <c r="G3891" s="2" t="inlineStr">
        <is>
          <t>North</t>
        </is>
      </c>
      <c r="H3891" s="2" t="inlineStr">
        <is>
          <t>Uttar Pradesh</t>
        </is>
      </c>
      <c r="I3891" s="2" t="inlineStr">
        <is>
          <t>Lucknow</t>
        </is>
      </c>
      <c r="J3891" s="2" t="inlineStr">
        <is>
          <t>Online</t>
        </is>
      </c>
      <c r="K3891" s="2" t="n">
        <v>3</v>
      </c>
      <c r="L3891" s="3" t="n">
        <v>995.49</v>
      </c>
      <c r="M3891" s="4" t="n">
        <v>0.1</v>
      </c>
      <c r="N3891" s="3" t="n">
        <v>2256.88</v>
      </c>
      <c r="O3891" s="3">
        <f>K3891*L3891*(1-M3891)</f>
        <v/>
      </c>
      <c r="P3891" s="3">
        <f>O3891-N3891</f>
        <v/>
      </c>
      <c r="Q3891" s="5">
        <f>IFERROR(P3891/O3891,0)</f>
        <v/>
      </c>
      <c r="R3891" s="2">
        <f>TEXT(DATEVALUE(B3891),"mmm")</f>
        <v/>
      </c>
      <c r="S3891" s="2">
        <f>TEXT(DATEVALUE(B3891),"yyyy-mm")</f>
        <v/>
      </c>
    </row>
    <row r="3892">
      <c r="A3892" s="2" t="inlineStr">
        <is>
          <t>O000468</t>
        </is>
      </c>
      <c r="B3892" s="2" t="inlineStr">
        <is>
          <t>2025-10-12</t>
        </is>
      </c>
      <c r="C3892" s="2" t="inlineStr">
        <is>
          <t>C0616</t>
        </is>
      </c>
      <c r="D3892" s="2" t="inlineStr">
        <is>
          <t>P0004</t>
        </is>
      </c>
      <c r="E3892" s="2" t="inlineStr">
        <is>
          <t>USB-C Hub</t>
        </is>
      </c>
      <c r="F3892" s="2" t="inlineStr">
        <is>
          <t>Electronics</t>
        </is>
      </c>
      <c r="G3892" s="2" t="inlineStr">
        <is>
          <t>North</t>
        </is>
      </c>
      <c r="H3892" s="2" t="inlineStr">
        <is>
          <t>Uttar Pradesh</t>
        </is>
      </c>
      <c r="I3892" s="2" t="inlineStr">
        <is>
          <t>Kanpur</t>
        </is>
      </c>
      <c r="J3892" s="2" t="inlineStr">
        <is>
          <t>Online</t>
        </is>
      </c>
      <c r="K3892" s="2" t="n">
        <v>1</v>
      </c>
      <c r="L3892" s="3" t="n">
        <v>1294.22</v>
      </c>
      <c r="M3892" s="4" t="n">
        <v>0.2</v>
      </c>
      <c r="N3892" s="3" t="n">
        <v>944.85</v>
      </c>
      <c r="O3892" s="3">
        <f>K3892*L3892*(1-M3892)</f>
        <v/>
      </c>
      <c r="P3892" s="3">
        <f>O3892-N3892</f>
        <v/>
      </c>
      <c r="Q3892" s="5">
        <f>IFERROR(P3892/O3892,0)</f>
        <v/>
      </c>
      <c r="R3892" s="2">
        <f>TEXT(DATEVALUE(B3892),"mmm")</f>
        <v/>
      </c>
      <c r="S3892" s="2">
        <f>TEXT(DATEVALUE(B3892),"yyyy-mm")</f>
        <v/>
      </c>
    </row>
    <row r="3893">
      <c r="A3893" s="2" t="inlineStr">
        <is>
          <t>O001710</t>
        </is>
      </c>
      <c r="B3893" s="2" t="inlineStr">
        <is>
          <t>2025-10-12</t>
        </is>
      </c>
      <c r="C3893" s="2" t="inlineStr">
        <is>
          <t>C0013</t>
        </is>
      </c>
      <c r="D3893" s="2" t="inlineStr">
        <is>
          <t>P0013</t>
        </is>
      </c>
      <c r="E3893" s="2" t="inlineStr">
        <is>
          <t>Storage Organizer</t>
        </is>
      </c>
      <c r="F3893" s="2" t="inlineStr">
        <is>
          <t>Home &amp; Kitchen</t>
        </is>
      </c>
      <c r="G3893" s="2" t="inlineStr">
        <is>
          <t>West</t>
        </is>
      </c>
      <c r="H3893" s="2" t="inlineStr">
        <is>
          <t>Goa</t>
        </is>
      </c>
      <c r="I3893" s="2" t="inlineStr">
        <is>
          <t>Panaji</t>
        </is>
      </c>
      <c r="J3893" s="2" t="inlineStr">
        <is>
          <t>Store</t>
        </is>
      </c>
      <c r="K3893" s="2" t="n">
        <v>1</v>
      </c>
      <c r="L3893" s="3" t="n">
        <v>562.6900000000001</v>
      </c>
      <c r="M3893" s="4" t="n">
        <v>0</v>
      </c>
      <c r="N3893" s="3" t="n">
        <v>353.09</v>
      </c>
      <c r="O3893" s="3">
        <f>K3893*L3893*(1-M3893)</f>
        <v/>
      </c>
      <c r="P3893" s="3">
        <f>O3893-N3893</f>
        <v/>
      </c>
      <c r="Q3893" s="5">
        <f>IFERROR(P3893/O3893,0)</f>
        <v/>
      </c>
      <c r="R3893" s="2">
        <f>TEXT(DATEVALUE(B3893),"mmm")</f>
        <v/>
      </c>
      <c r="S3893" s="2">
        <f>TEXT(DATEVALUE(B3893),"yyyy-mm")</f>
        <v/>
      </c>
    </row>
    <row r="3894">
      <c r="A3894" s="2" t="inlineStr">
        <is>
          <t>O001287</t>
        </is>
      </c>
      <c r="B3894" s="2" t="inlineStr">
        <is>
          <t>2025-10-12</t>
        </is>
      </c>
      <c r="C3894" s="2" t="inlineStr">
        <is>
          <t>C0456</t>
        </is>
      </c>
      <c r="D3894" s="2" t="inlineStr">
        <is>
          <t>P0032</t>
        </is>
      </c>
      <c r="E3894" s="2" t="inlineStr">
        <is>
          <t>Football</t>
        </is>
      </c>
      <c r="F3894" s="2" t="inlineStr">
        <is>
          <t>Sports</t>
        </is>
      </c>
      <c r="G3894" s="2" t="inlineStr">
        <is>
          <t>West</t>
        </is>
      </c>
      <c r="H3894" s="2" t="inlineStr">
        <is>
          <t>Goa</t>
        </is>
      </c>
      <c r="I3894" s="2" t="inlineStr">
        <is>
          <t>Panaji</t>
        </is>
      </c>
      <c r="J3894" s="2" t="inlineStr">
        <is>
          <t>Online</t>
        </is>
      </c>
      <c r="K3894" s="2" t="n">
        <v>3</v>
      </c>
      <c r="L3894" s="3" t="n">
        <v>839.72</v>
      </c>
      <c r="M3894" s="4" t="n">
        <v>0</v>
      </c>
      <c r="N3894" s="3" t="n">
        <v>1616.57</v>
      </c>
      <c r="O3894" s="3">
        <f>K3894*L3894*(1-M3894)</f>
        <v/>
      </c>
      <c r="P3894" s="3">
        <f>O3894-N3894</f>
        <v/>
      </c>
      <c r="Q3894" s="5">
        <f>IFERROR(P3894/O3894,0)</f>
        <v/>
      </c>
      <c r="R3894" s="2">
        <f>TEXT(DATEVALUE(B3894),"mmm")</f>
        <v/>
      </c>
      <c r="S3894" s="2">
        <f>TEXT(DATEVALUE(B3894),"yyyy-mm")</f>
        <v/>
      </c>
    </row>
    <row r="3895">
      <c r="A3895" s="2" t="inlineStr">
        <is>
          <t>O001223</t>
        </is>
      </c>
      <c r="B3895" s="2" t="inlineStr">
        <is>
          <t>2025-10-12</t>
        </is>
      </c>
      <c r="C3895" s="2" t="inlineStr">
        <is>
          <t>C0234</t>
        </is>
      </c>
      <c r="D3895" s="2" t="inlineStr">
        <is>
          <t>P0019</t>
        </is>
      </c>
      <c r="E3895" s="2" t="inlineStr">
        <is>
          <t>Jacket</t>
        </is>
      </c>
      <c r="F3895" s="2" t="inlineStr">
        <is>
          <t>Fashion</t>
        </is>
      </c>
      <c r="G3895" s="2" t="inlineStr">
        <is>
          <t>East</t>
        </is>
      </c>
      <c r="H3895" s="2" t="inlineStr">
        <is>
          <t>West Bengal</t>
        </is>
      </c>
      <c r="I3895" s="2" t="inlineStr">
        <is>
          <t>Durgapur</t>
        </is>
      </c>
      <c r="J3895" s="2" t="inlineStr">
        <is>
          <t>Online</t>
        </is>
      </c>
      <c r="K3895" s="2" t="n">
        <v>2</v>
      </c>
      <c r="L3895" s="3" t="n">
        <v>1034.57</v>
      </c>
      <c r="M3895" s="4" t="n">
        <v>0.15</v>
      </c>
      <c r="N3895" s="3" t="n">
        <v>1301.42</v>
      </c>
      <c r="O3895" s="3">
        <f>K3895*L3895*(1-M3895)</f>
        <v/>
      </c>
      <c r="P3895" s="3">
        <f>O3895-N3895</f>
        <v/>
      </c>
      <c r="Q3895" s="5">
        <f>IFERROR(P3895/O3895,0)</f>
        <v/>
      </c>
      <c r="R3895" s="2">
        <f>TEXT(DATEVALUE(B3895),"mmm")</f>
        <v/>
      </c>
      <c r="S3895" s="2">
        <f>TEXT(DATEVALUE(B3895),"yyyy-mm")</f>
        <v/>
      </c>
    </row>
    <row r="3896">
      <c r="A3896" s="2" t="inlineStr">
        <is>
          <t>O001197</t>
        </is>
      </c>
      <c r="B3896" s="2" t="inlineStr">
        <is>
          <t>2025-10-12</t>
        </is>
      </c>
      <c r="C3896" s="2" t="inlineStr">
        <is>
          <t>C0158</t>
        </is>
      </c>
      <c r="D3896" s="2" t="inlineStr">
        <is>
          <t>P0011</t>
        </is>
      </c>
      <c r="E3896" s="2" t="inlineStr">
        <is>
          <t>Cookware Set</t>
        </is>
      </c>
      <c r="F3896" s="2" t="inlineStr">
        <is>
          <t>Home &amp; Kitchen</t>
        </is>
      </c>
      <c r="G3896" s="2" t="inlineStr">
        <is>
          <t>West</t>
        </is>
      </c>
      <c r="H3896" s="2" t="inlineStr">
        <is>
          <t>Maharashtra</t>
        </is>
      </c>
      <c r="I3896" s="2" t="inlineStr">
        <is>
          <t>Thane</t>
        </is>
      </c>
      <c r="J3896" s="2" t="inlineStr">
        <is>
          <t>Online</t>
        </is>
      </c>
      <c r="K3896" s="2" t="n">
        <v>5</v>
      </c>
      <c r="L3896" s="3" t="n">
        <v>711.49</v>
      </c>
      <c r="M3896" s="4" t="n">
        <v>0.15</v>
      </c>
      <c r="N3896" s="3" t="n">
        <v>2305.06</v>
      </c>
      <c r="O3896" s="3">
        <f>K3896*L3896*(1-M3896)</f>
        <v/>
      </c>
      <c r="P3896" s="3">
        <f>O3896-N3896</f>
        <v/>
      </c>
      <c r="Q3896" s="5">
        <f>IFERROR(P3896/O3896,0)</f>
        <v/>
      </c>
      <c r="R3896" s="2">
        <f>TEXT(DATEVALUE(B3896),"mmm")</f>
        <v/>
      </c>
      <c r="S3896" s="2">
        <f>TEXT(DATEVALUE(B3896),"yyyy-mm")</f>
        <v/>
      </c>
    </row>
    <row r="3897">
      <c r="A3897" s="2" t="inlineStr">
        <is>
          <t>O000808</t>
        </is>
      </c>
      <c r="B3897" s="2" t="inlineStr">
        <is>
          <t>2025-10-12</t>
        </is>
      </c>
      <c r="C3897" s="2" t="inlineStr">
        <is>
          <t>C0067</t>
        </is>
      </c>
      <c r="D3897" s="2" t="inlineStr">
        <is>
          <t>P0025</t>
        </is>
      </c>
      <c r="E3897" s="2" t="inlineStr">
        <is>
          <t>Perfume</t>
        </is>
      </c>
      <c r="F3897" s="2" t="inlineStr">
        <is>
          <t>Beauty</t>
        </is>
      </c>
      <c r="G3897" s="2" t="inlineStr">
        <is>
          <t>West</t>
        </is>
      </c>
      <c r="H3897" s="2" t="inlineStr">
        <is>
          <t>Maharashtra</t>
        </is>
      </c>
      <c r="I3897" s="2" t="inlineStr">
        <is>
          <t>Thane</t>
        </is>
      </c>
      <c r="J3897" s="2" t="inlineStr">
        <is>
          <t>Store</t>
        </is>
      </c>
      <c r="K3897" s="2" t="n">
        <v>3</v>
      </c>
      <c r="L3897" s="3" t="n">
        <v>792.73</v>
      </c>
      <c r="M3897" s="4" t="n">
        <v>0.05</v>
      </c>
      <c r="N3897" s="3" t="n">
        <v>1796.66</v>
      </c>
      <c r="O3897" s="3">
        <f>K3897*L3897*(1-M3897)</f>
        <v/>
      </c>
      <c r="P3897" s="3">
        <f>O3897-N3897</f>
        <v/>
      </c>
      <c r="Q3897" s="5">
        <f>IFERROR(P3897/O3897,0)</f>
        <v/>
      </c>
      <c r="R3897" s="2">
        <f>TEXT(DATEVALUE(B3897),"mmm")</f>
        <v/>
      </c>
      <c r="S3897" s="2">
        <f>TEXT(DATEVALUE(B3897),"yyyy-mm")</f>
        <v/>
      </c>
    </row>
    <row r="3898">
      <c r="A3898" s="2" t="inlineStr">
        <is>
          <t>O000518</t>
        </is>
      </c>
      <c r="B3898" s="2" t="inlineStr">
        <is>
          <t>2025-10-12</t>
        </is>
      </c>
      <c r="C3898" s="2" t="inlineStr">
        <is>
          <t>C0738</t>
        </is>
      </c>
      <c r="D3898" s="2" t="inlineStr">
        <is>
          <t>P0012</t>
        </is>
      </c>
      <c r="E3898" s="2" t="inlineStr">
        <is>
          <t>Water Bottle</t>
        </is>
      </c>
      <c r="F3898" s="2" t="inlineStr">
        <is>
          <t>Home &amp; Kitchen</t>
        </is>
      </c>
      <c r="G3898" s="2" t="inlineStr">
        <is>
          <t>North</t>
        </is>
      </c>
      <c r="H3898" s="2" t="inlineStr">
        <is>
          <t>Haryana</t>
        </is>
      </c>
      <c r="I3898" s="2" t="inlineStr">
        <is>
          <t>Gurugram</t>
        </is>
      </c>
      <c r="J3898" s="2" t="inlineStr">
        <is>
          <t>Store</t>
        </is>
      </c>
      <c r="K3898" s="2" t="n">
        <v>1</v>
      </c>
      <c r="L3898" s="3" t="n">
        <v>983.47</v>
      </c>
      <c r="M3898" s="4" t="n">
        <v>0.05</v>
      </c>
      <c r="N3898" s="3" t="n">
        <v>615.4</v>
      </c>
      <c r="O3898" s="3">
        <f>K3898*L3898*(1-M3898)</f>
        <v/>
      </c>
      <c r="P3898" s="3">
        <f>O3898-N3898</f>
        <v/>
      </c>
      <c r="Q3898" s="5">
        <f>IFERROR(P3898/O3898,0)</f>
        <v/>
      </c>
      <c r="R3898" s="2">
        <f>TEXT(DATEVALUE(B3898),"mmm")</f>
        <v/>
      </c>
      <c r="S3898" s="2">
        <f>TEXT(DATEVALUE(B3898),"yyyy-mm")</f>
        <v/>
      </c>
    </row>
    <row r="3899">
      <c r="A3899" s="2" t="inlineStr">
        <is>
          <t>O001723</t>
        </is>
      </c>
      <c r="B3899" s="2" t="inlineStr">
        <is>
          <t>2025-10-12</t>
        </is>
      </c>
      <c r="C3899" s="2" t="inlineStr">
        <is>
          <t>C0374</t>
        </is>
      </c>
      <c r="D3899" s="2" t="inlineStr">
        <is>
          <t>P0024</t>
        </is>
      </c>
      <c r="E3899" s="2" t="inlineStr">
        <is>
          <t>Hair Dryer</t>
        </is>
      </c>
      <c r="F3899" s="2" t="inlineStr">
        <is>
          <t>Beauty</t>
        </is>
      </c>
      <c r="G3899" s="2" t="inlineStr">
        <is>
          <t>South</t>
        </is>
      </c>
      <c r="H3899" s="2" t="inlineStr">
        <is>
          <t>Tamil Nadu</t>
        </is>
      </c>
      <c r="I3899" s="2" t="inlineStr">
        <is>
          <t>Chennai</t>
        </is>
      </c>
      <c r="J3899" s="2" t="inlineStr">
        <is>
          <t>Store</t>
        </is>
      </c>
      <c r="K3899" s="2" t="n">
        <v>1</v>
      </c>
      <c r="L3899" s="3" t="n">
        <v>961.62</v>
      </c>
      <c r="M3899" s="4" t="n">
        <v>0.1</v>
      </c>
      <c r="N3899" s="3" t="n">
        <v>718.22</v>
      </c>
      <c r="O3899" s="3">
        <f>K3899*L3899*(1-M3899)</f>
        <v/>
      </c>
      <c r="P3899" s="3">
        <f>O3899-N3899</f>
        <v/>
      </c>
      <c r="Q3899" s="5">
        <f>IFERROR(P3899/O3899,0)</f>
        <v/>
      </c>
      <c r="R3899" s="2">
        <f>TEXT(DATEVALUE(B3899),"mmm")</f>
        <v/>
      </c>
      <c r="S3899" s="2">
        <f>TEXT(DATEVALUE(B3899),"yyyy-mm")</f>
        <v/>
      </c>
    </row>
    <row r="3900">
      <c r="A3900" s="2" t="inlineStr">
        <is>
          <t>O002304</t>
        </is>
      </c>
      <c r="B3900" s="2" t="inlineStr">
        <is>
          <t>2025-10-13</t>
        </is>
      </c>
      <c r="C3900" s="2" t="inlineStr">
        <is>
          <t>C0694</t>
        </is>
      </c>
      <c r="D3900" s="2" t="inlineStr">
        <is>
          <t>P0027</t>
        </is>
      </c>
      <c r="E3900" s="2" t="inlineStr">
        <is>
          <t>Moisturizer</t>
        </is>
      </c>
      <c r="F3900" s="2" t="inlineStr">
        <is>
          <t>Beauty</t>
        </is>
      </c>
      <c r="G3900" s="2" t="inlineStr">
        <is>
          <t>East</t>
        </is>
      </c>
      <c r="H3900" s="2" t="inlineStr">
        <is>
          <t>Bihar</t>
        </is>
      </c>
      <c r="I3900" s="2" t="inlineStr">
        <is>
          <t>Gaya</t>
        </is>
      </c>
      <c r="J3900" s="2" t="inlineStr">
        <is>
          <t>Store</t>
        </is>
      </c>
      <c r="K3900" s="2" t="n">
        <v>2</v>
      </c>
      <c r="L3900" s="3" t="n">
        <v>960.5700000000001</v>
      </c>
      <c r="M3900" s="4" t="n">
        <v>0.1</v>
      </c>
      <c r="N3900" s="3" t="n">
        <v>1398.31</v>
      </c>
      <c r="O3900" s="3">
        <f>K3900*L3900*(1-M3900)</f>
        <v/>
      </c>
      <c r="P3900" s="3">
        <f>O3900-N3900</f>
        <v/>
      </c>
      <c r="Q3900" s="5">
        <f>IFERROR(P3900/O3900,0)</f>
        <v/>
      </c>
      <c r="R3900" s="2">
        <f>TEXT(DATEVALUE(B3900),"mmm")</f>
        <v/>
      </c>
      <c r="S3900" s="2">
        <f>TEXT(DATEVALUE(B3900),"yyyy-mm")</f>
        <v/>
      </c>
    </row>
    <row r="3901">
      <c r="A3901" s="2" t="inlineStr">
        <is>
          <t>O003564</t>
        </is>
      </c>
      <c r="B3901" s="2" t="inlineStr">
        <is>
          <t>2025-10-13</t>
        </is>
      </c>
      <c r="C3901" s="2" t="inlineStr">
        <is>
          <t>C0088</t>
        </is>
      </c>
      <c r="D3901" s="2" t="inlineStr">
        <is>
          <t>P0024</t>
        </is>
      </c>
      <c r="E3901" s="2" t="inlineStr">
        <is>
          <t>Hair Dryer</t>
        </is>
      </c>
      <c r="F3901" s="2" t="inlineStr">
        <is>
          <t>Beauty</t>
        </is>
      </c>
      <c r="G3901" s="2" t="inlineStr">
        <is>
          <t>West</t>
        </is>
      </c>
      <c r="H3901" s="2" t="inlineStr">
        <is>
          <t>Goa</t>
        </is>
      </c>
      <c r="I3901" s="2" t="inlineStr">
        <is>
          <t>Margao</t>
        </is>
      </c>
      <c r="J3901" s="2" t="inlineStr">
        <is>
          <t>Online</t>
        </is>
      </c>
      <c r="K3901" s="2" t="n">
        <v>5</v>
      </c>
      <c r="L3901" s="3" t="n">
        <v>976.5700000000001</v>
      </c>
      <c r="M3901" s="4" t="n">
        <v>0.05</v>
      </c>
      <c r="N3901" s="3" t="n">
        <v>3558.95</v>
      </c>
      <c r="O3901" s="3">
        <f>K3901*L3901*(1-M3901)</f>
        <v/>
      </c>
      <c r="P3901" s="3">
        <f>O3901-N3901</f>
        <v/>
      </c>
      <c r="Q3901" s="5">
        <f>IFERROR(P3901/O3901,0)</f>
        <v/>
      </c>
      <c r="R3901" s="2">
        <f>TEXT(DATEVALUE(B3901),"mmm")</f>
        <v/>
      </c>
      <c r="S3901" s="2">
        <f>TEXT(DATEVALUE(B3901),"yyyy-mm")</f>
        <v/>
      </c>
    </row>
    <row r="3902">
      <c r="A3902" s="2" t="inlineStr">
        <is>
          <t>O003137</t>
        </is>
      </c>
      <c r="B3902" s="2" t="inlineStr">
        <is>
          <t>2025-10-13</t>
        </is>
      </c>
      <c r="C3902" s="2" t="inlineStr">
        <is>
          <t>C0399</t>
        </is>
      </c>
      <c r="D3902" s="2" t="inlineStr">
        <is>
          <t>P0016</t>
        </is>
      </c>
      <c r="E3902" s="2" t="inlineStr">
        <is>
          <t>Casual Shirt</t>
        </is>
      </c>
      <c r="F3902" s="2" t="inlineStr">
        <is>
          <t>Fashion</t>
        </is>
      </c>
      <c r="G3902" s="2" t="inlineStr">
        <is>
          <t>South</t>
        </is>
      </c>
      <c r="H3902" s="2" t="inlineStr">
        <is>
          <t>Kerala</t>
        </is>
      </c>
      <c r="I3902" s="2" t="inlineStr">
        <is>
          <t>Thiruvananthapuram</t>
        </is>
      </c>
      <c r="J3902" s="2" t="inlineStr">
        <is>
          <t>Online</t>
        </is>
      </c>
      <c r="K3902" s="2" t="n">
        <v>2</v>
      </c>
      <c r="L3902" s="3" t="n">
        <v>1309.11</v>
      </c>
      <c r="M3902" s="4" t="n">
        <v>0.05</v>
      </c>
      <c r="N3902" s="3" t="n">
        <v>1860.23</v>
      </c>
      <c r="O3902" s="3">
        <f>K3902*L3902*(1-M3902)</f>
        <v/>
      </c>
      <c r="P3902" s="3">
        <f>O3902-N3902</f>
        <v/>
      </c>
      <c r="Q3902" s="5">
        <f>IFERROR(P3902/O3902,0)</f>
        <v/>
      </c>
      <c r="R3902" s="2">
        <f>TEXT(DATEVALUE(B3902),"mmm")</f>
        <v/>
      </c>
      <c r="S3902" s="2">
        <f>TEXT(DATEVALUE(B3902),"yyyy-mm")</f>
        <v/>
      </c>
    </row>
    <row r="3903">
      <c r="A3903" s="2" t="inlineStr">
        <is>
          <t>O003038</t>
        </is>
      </c>
      <c r="B3903" s="2" t="inlineStr">
        <is>
          <t>2025-10-13</t>
        </is>
      </c>
      <c r="C3903" s="2" t="inlineStr">
        <is>
          <t>C0284</t>
        </is>
      </c>
      <c r="D3903" s="2" t="inlineStr">
        <is>
          <t>P0011</t>
        </is>
      </c>
      <c r="E3903" s="2" t="inlineStr">
        <is>
          <t>Cookware Set</t>
        </is>
      </c>
      <c r="F3903" s="2" t="inlineStr">
        <is>
          <t>Home &amp; Kitchen</t>
        </is>
      </c>
      <c r="G3903" s="2" t="inlineStr">
        <is>
          <t>West</t>
        </is>
      </c>
      <c r="H3903" s="2" t="inlineStr">
        <is>
          <t>Maharashtra</t>
        </is>
      </c>
      <c r="I3903" s="2" t="inlineStr">
        <is>
          <t>Thane</t>
        </is>
      </c>
      <c r="J3903" s="2" t="inlineStr">
        <is>
          <t>Store</t>
        </is>
      </c>
      <c r="K3903" s="2" t="n">
        <v>1</v>
      </c>
      <c r="L3903" s="3" t="n">
        <v>685.24</v>
      </c>
      <c r="M3903" s="4" t="n">
        <v>0</v>
      </c>
      <c r="N3903" s="3" t="n">
        <v>473.91</v>
      </c>
      <c r="O3903" s="3">
        <f>K3903*L3903*(1-M3903)</f>
        <v/>
      </c>
      <c r="P3903" s="3">
        <f>O3903-N3903</f>
        <v/>
      </c>
      <c r="Q3903" s="5">
        <f>IFERROR(P3903/O3903,0)</f>
        <v/>
      </c>
      <c r="R3903" s="2">
        <f>TEXT(DATEVALUE(B3903),"mmm")</f>
        <v/>
      </c>
      <c r="S3903" s="2">
        <f>TEXT(DATEVALUE(B3903),"yyyy-mm")</f>
        <v/>
      </c>
    </row>
    <row r="3904">
      <c r="A3904" s="2" t="inlineStr">
        <is>
          <t>O002337</t>
        </is>
      </c>
      <c r="B3904" s="2" t="inlineStr">
        <is>
          <t>2025-10-13</t>
        </is>
      </c>
      <c r="C3904" s="2" t="inlineStr">
        <is>
          <t>C0279</t>
        </is>
      </c>
      <c r="D3904" s="2" t="inlineStr">
        <is>
          <t>P0032</t>
        </is>
      </c>
      <c r="E3904" s="2" t="inlineStr">
        <is>
          <t>Football</t>
        </is>
      </c>
      <c r="F3904" s="2" t="inlineStr">
        <is>
          <t>Sports</t>
        </is>
      </c>
      <c r="G3904" s="2" t="inlineStr">
        <is>
          <t>East</t>
        </is>
      </c>
      <c r="H3904" s="2" t="inlineStr">
        <is>
          <t>West Bengal</t>
        </is>
      </c>
      <c r="I3904" s="2" t="inlineStr">
        <is>
          <t>Kolkata</t>
        </is>
      </c>
      <c r="J3904" s="2" t="inlineStr">
        <is>
          <t>Store</t>
        </is>
      </c>
      <c r="K3904" s="2" t="n">
        <v>3</v>
      </c>
      <c r="L3904" s="3" t="n">
        <v>821.89</v>
      </c>
      <c r="M3904" s="4" t="n">
        <v>0.1</v>
      </c>
      <c r="N3904" s="3" t="n">
        <v>1603.68</v>
      </c>
      <c r="O3904" s="3">
        <f>K3904*L3904*(1-M3904)</f>
        <v/>
      </c>
      <c r="P3904" s="3">
        <f>O3904-N3904</f>
        <v/>
      </c>
      <c r="Q3904" s="5">
        <f>IFERROR(P3904/O3904,0)</f>
        <v/>
      </c>
      <c r="R3904" s="2">
        <f>TEXT(DATEVALUE(B3904),"mmm")</f>
        <v/>
      </c>
      <c r="S3904" s="2">
        <f>TEXT(DATEVALUE(B3904),"yyyy-mm")</f>
        <v/>
      </c>
    </row>
    <row r="3905">
      <c r="A3905" s="2" t="inlineStr">
        <is>
          <t>O001225</t>
        </is>
      </c>
      <c r="B3905" s="2" t="inlineStr">
        <is>
          <t>2025-10-13</t>
        </is>
      </c>
      <c r="C3905" s="2" t="inlineStr">
        <is>
          <t>C0179</t>
        </is>
      </c>
      <c r="D3905" s="2" t="inlineStr">
        <is>
          <t>P0012</t>
        </is>
      </c>
      <c r="E3905" s="2" t="inlineStr">
        <is>
          <t>Water Bottle</t>
        </is>
      </c>
      <c r="F3905" s="2" t="inlineStr">
        <is>
          <t>Home &amp; Kitchen</t>
        </is>
      </c>
      <c r="G3905" s="2" t="inlineStr">
        <is>
          <t>West</t>
        </is>
      </c>
      <c r="H3905" s="2" t="inlineStr">
        <is>
          <t>Maharashtra</t>
        </is>
      </c>
      <c r="I3905" s="2" t="inlineStr">
        <is>
          <t>Nashik</t>
        </is>
      </c>
      <c r="J3905" s="2" t="inlineStr">
        <is>
          <t>Store</t>
        </is>
      </c>
      <c r="K3905" s="2" t="n">
        <v>4</v>
      </c>
      <c r="L3905" s="3" t="n">
        <v>1006.52</v>
      </c>
      <c r="M3905" s="4" t="n">
        <v>0.1</v>
      </c>
      <c r="N3905" s="3" t="n">
        <v>2406.04</v>
      </c>
      <c r="O3905" s="3">
        <f>K3905*L3905*(1-M3905)</f>
        <v/>
      </c>
      <c r="P3905" s="3">
        <f>O3905-N3905</f>
        <v/>
      </c>
      <c r="Q3905" s="5">
        <f>IFERROR(P3905/O3905,0)</f>
        <v/>
      </c>
      <c r="R3905" s="2">
        <f>TEXT(DATEVALUE(B3905),"mmm")</f>
        <v/>
      </c>
      <c r="S3905" s="2">
        <f>TEXT(DATEVALUE(B3905),"yyyy-mm")</f>
        <v/>
      </c>
    </row>
    <row r="3906">
      <c r="A3906" s="2" t="inlineStr">
        <is>
          <t>O000169</t>
        </is>
      </c>
      <c r="B3906" s="2" t="inlineStr">
        <is>
          <t>2025-10-13</t>
        </is>
      </c>
      <c r="C3906" s="2" t="inlineStr">
        <is>
          <t>C0497</t>
        </is>
      </c>
      <c r="D3906" s="2" t="inlineStr">
        <is>
          <t>P0008</t>
        </is>
      </c>
      <c r="E3906" s="2" t="inlineStr">
        <is>
          <t>Air Fryer</t>
        </is>
      </c>
      <c r="F3906" s="2" t="inlineStr">
        <is>
          <t>Home &amp; Kitchen</t>
        </is>
      </c>
      <c r="G3906" s="2" t="inlineStr">
        <is>
          <t>South</t>
        </is>
      </c>
      <c r="H3906" s="2" t="inlineStr">
        <is>
          <t>Tamil Nadu</t>
        </is>
      </c>
      <c r="I3906" s="2" t="inlineStr">
        <is>
          <t>Coimbatore</t>
        </is>
      </c>
      <c r="J3906" s="2" t="inlineStr">
        <is>
          <t>Online</t>
        </is>
      </c>
      <c r="K3906" s="2" t="n">
        <v>1</v>
      </c>
      <c r="L3906" s="3" t="n">
        <v>1022.24</v>
      </c>
      <c r="M3906" s="4" t="n">
        <v>0</v>
      </c>
      <c r="N3906" s="3" t="n">
        <v>692.0700000000001</v>
      </c>
      <c r="O3906" s="3">
        <f>K3906*L3906*(1-M3906)</f>
        <v/>
      </c>
      <c r="P3906" s="3">
        <f>O3906-N3906</f>
        <v/>
      </c>
      <c r="Q3906" s="5">
        <f>IFERROR(P3906/O3906,0)</f>
        <v/>
      </c>
      <c r="R3906" s="2">
        <f>TEXT(DATEVALUE(B3906),"mmm")</f>
        <v/>
      </c>
      <c r="S3906" s="2">
        <f>TEXT(DATEVALUE(B3906),"yyyy-mm")</f>
        <v/>
      </c>
    </row>
    <row r="3907">
      <c r="A3907" s="2" t="inlineStr">
        <is>
          <t>O000795</t>
        </is>
      </c>
      <c r="B3907" s="2" t="inlineStr">
        <is>
          <t>2025-10-13</t>
        </is>
      </c>
      <c r="C3907" s="2" t="inlineStr">
        <is>
          <t>C0433</t>
        </is>
      </c>
      <c r="D3907" s="2" t="inlineStr">
        <is>
          <t>P0029</t>
        </is>
      </c>
      <c r="E3907" s="2" t="inlineStr">
        <is>
          <t>Yoga Mat</t>
        </is>
      </c>
      <c r="F3907" s="2" t="inlineStr">
        <is>
          <t>Sports</t>
        </is>
      </c>
      <c r="G3907" s="2" t="inlineStr">
        <is>
          <t>West</t>
        </is>
      </c>
      <c r="H3907" s="2" t="inlineStr">
        <is>
          <t>Gujarat</t>
        </is>
      </c>
      <c r="I3907" s="2" t="inlineStr">
        <is>
          <t>Ahmedabad</t>
        </is>
      </c>
      <c r="J3907" s="2" t="inlineStr">
        <is>
          <t>Online</t>
        </is>
      </c>
      <c r="K3907" s="2" t="n">
        <v>2</v>
      </c>
      <c r="L3907" s="3" t="n">
        <v>2468.97</v>
      </c>
      <c r="M3907" s="4" t="n">
        <v>0.05</v>
      </c>
      <c r="N3907" s="3" t="n">
        <v>2678.52</v>
      </c>
      <c r="O3907" s="3">
        <f>K3907*L3907*(1-M3907)</f>
        <v/>
      </c>
      <c r="P3907" s="3">
        <f>O3907-N3907</f>
        <v/>
      </c>
      <c r="Q3907" s="5">
        <f>IFERROR(P3907/O3907,0)</f>
        <v/>
      </c>
      <c r="R3907" s="2">
        <f>TEXT(DATEVALUE(B3907),"mmm")</f>
        <v/>
      </c>
      <c r="S3907" s="2">
        <f>TEXT(DATEVALUE(B3907),"yyyy-mm")</f>
        <v/>
      </c>
    </row>
    <row r="3908">
      <c r="A3908" s="2" t="inlineStr">
        <is>
          <t>O000320</t>
        </is>
      </c>
      <c r="B3908" s="2" t="inlineStr">
        <is>
          <t>2025-10-13</t>
        </is>
      </c>
      <c r="C3908" s="2" t="inlineStr">
        <is>
          <t>C0225</t>
        </is>
      </c>
      <c r="D3908" s="2" t="inlineStr">
        <is>
          <t>P0024</t>
        </is>
      </c>
      <c r="E3908" s="2" t="inlineStr">
        <is>
          <t>Hair Dryer</t>
        </is>
      </c>
      <c r="F3908" s="2" t="inlineStr">
        <is>
          <t>Beauty</t>
        </is>
      </c>
      <c r="G3908" s="2" t="inlineStr">
        <is>
          <t>South</t>
        </is>
      </c>
      <c r="H3908" s="2" t="inlineStr">
        <is>
          <t>Tamil Nadu</t>
        </is>
      </c>
      <c r="I3908" s="2" t="inlineStr">
        <is>
          <t>Madurai</t>
        </is>
      </c>
      <c r="J3908" s="2" t="inlineStr">
        <is>
          <t>Online</t>
        </is>
      </c>
      <c r="K3908" s="2" t="n">
        <v>1</v>
      </c>
      <c r="L3908" s="3" t="n">
        <v>1041.42</v>
      </c>
      <c r="M3908" s="4" t="n">
        <v>0.2</v>
      </c>
      <c r="N3908" s="3" t="n">
        <v>733.01</v>
      </c>
      <c r="O3908" s="3">
        <f>K3908*L3908*(1-M3908)</f>
        <v/>
      </c>
      <c r="P3908" s="3">
        <f>O3908-N3908</f>
        <v/>
      </c>
      <c r="Q3908" s="5">
        <f>IFERROR(P3908/O3908,0)</f>
        <v/>
      </c>
      <c r="R3908" s="2">
        <f>TEXT(DATEVALUE(B3908),"mmm")</f>
        <v/>
      </c>
      <c r="S3908" s="2">
        <f>TEXT(DATEVALUE(B3908),"yyyy-mm")</f>
        <v/>
      </c>
    </row>
    <row r="3909">
      <c r="A3909" s="2" t="inlineStr">
        <is>
          <t>O001041</t>
        </is>
      </c>
      <c r="B3909" s="2" t="inlineStr">
        <is>
          <t>2025-10-13</t>
        </is>
      </c>
      <c r="C3909" s="2" t="inlineStr">
        <is>
          <t>C0350</t>
        </is>
      </c>
      <c r="D3909" s="2" t="inlineStr">
        <is>
          <t>P0006</t>
        </is>
      </c>
      <c r="E3909" s="2" t="inlineStr">
        <is>
          <t>Mechanical Keyboard</t>
        </is>
      </c>
      <c r="F3909" s="2" t="inlineStr">
        <is>
          <t>Electronics</t>
        </is>
      </c>
      <c r="G3909" s="2" t="inlineStr">
        <is>
          <t>West</t>
        </is>
      </c>
      <c r="H3909" s="2" t="inlineStr">
        <is>
          <t>Gujarat</t>
        </is>
      </c>
      <c r="I3909" s="2" t="inlineStr">
        <is>
          <t>Ahmedabad</t>
        </is>
      </c>
      <c r="J3909" s="2" t="inlineStr">
        <is>
          <t>Online</t>
        </is>
      </c>
      <c r="K3909" s="2" t="n">
        <v>4</v>
      </c>
      <c r="L3909" s="3" t="n">
        <v>2638.66</v>
      </c>
      <c r="M3909" s="4" t="n">
        <v>0</v>
      </c>
      <c r="N3909" s="3" t="n">
        <v>5734.67</v>
      </c>
      <c r="O3909" s="3">
        <f>K3909*L3909*(1-M3909)</f>
        <v/>
      </c>
      <c r="P3909" s="3">
        <f>O3909-N3909</f>
        <v/>
      </c>
      <c r="Q3909" s="5">
        <f>IFERROR(P3909/O3909,0)</f>
        <v/>
      </c>
      <c r="R3909" s="2">
        <f>TEXT(DATEVALUE(B3909),"mmm")</f>
        <v/>
      </c>
      <c r="S3909" s="2">
        <f>TEXT(DATEVALUE(B3909),"yyyy-mm")</f>
        <v/>
      </c>
    </row>
    <row r="3910">
      <c r="A3910" s="2" t="inlineStr">
        <is>
          <t>O000717</t>
        </is>
      </c>
      <c r="B3910" s="2" t="inlineStr">
        <is>
          <t>2025-10-13</t>
        </is>
      </c>
      <c r="C3910" s="2" t="inlineStr">
        <is>
          <t>C0316</t>
        </is>
      </c>
      <c r="D3910" s="2" t="inlineStr">
        <is>
          <t>P0024</t>
        </is>
      </c>
      <c r="E3910" s="2" t="inlineStr">
        <is>
          <t>Hair Dryer</t>
        </is>
      </c>
      <c r="F3910" s="2" t="inlineStr">
        <is>
          <t>Beauty</t>
        </is>
      </c>
      <c r="G3910" s="2" t="inlineStr">
        <is>
          <t>North</t>
        </is>
      </c>
      <c r="H3910" s="2" t="inlineStr">
        <is>
          <t>Uttar Pradesh</t>
        </is>
      </c>
      <c r="I3910" s="2" t="inlineStr">
        <is>
          <t>Noida</t>
        </is>
      </c>
      <c r="J3910" s="2" t="inlineStr">
        <is>
          <t>Store</t>
        </is>
      </c>
      <c r="K3910" s="2" t="n">
        <v>1</v>
      </c>
      <c r="L3910" s="3" t="n">
        <v>976.88</v>
      </c>
      <c r="M3910" s="4" t="n">
        <v>0.1</v>
      </c>
      <c r="N3910" s="3" t="n">
        <v>721.9</v>
      </c>
      <c r="O3910" s="3">
        <f>K3910*L3910*(1-M3910)</f>
        <v/>
      </c>
      <c r="P3910" s="3">
        <f>O3910-N3910</f>
        <v/>
      </c>
      <c r="Q3910" s="5">
        <f>IFERROR(P3910/O3910,0)</f>
        <v/>
      </c>
      <c r="R3910" s="2">
        <f>TEXT(DATEVALUE(B3910),"mmm")</f>
        <v/>
      </c>
      <c r="S3910" s="2">
        <f>TEXT(DATEVALUE(B3910),"yyyy-mm")</f>
        <v/>
      </c>
    </row>
    <row r="3911">
      <c r="A3911" s="2" t="inlineStr">
        <is>
          <t>O000560</t>
        </is>
      </c>
      <c r="B3911" s="2" t="inlineStr">
        <is>
          <t>2025-10-13</t>
        </is>
      </c>
      <c r="C3911" s="2" t="inlineStr">
        <is>
          <t>C0013</t>
        </is>
      </c>
      <c r="D3911" s="2" t="inlineStr">
        <is>
          <t>P0016</t>
        </is>
      </c>
      <c r="E3911" s="2" t="inlineStr">
        <is>
          <t>Casual Shirt</t>
        </is>
      </c>
      <c r="F3911" s="2" t="inlineStr">
        <is>
          <t>Fashion</t>
        </is>
      </c>
      <c r="G3911" s="2" t="inlineStr">
        <is>
          <t>West</t>
        </is>
      </c>
      <c r="H3911" s="2" t="inlineStr">
        <is>
          <t>Gujarat</t>
        </is>
      </c>
      <c r="I3911" s="2" t="inlineStr">
        <is>
          <t>Ahmedabad</t>
        </is>
      </c>
      <c r="J3911" s="2" t="inlineStr">
        <is>
          <t>Online</t>
        </is>
      </c>
      <c r="K3911" s="2" t="n">
        <v>1</v>
      </c>
      <c r="L3911" s="3" t="n">
        <v>1325.11</v>
      </c>
      <c r="M3911" s="4" t="n">
        <v>0.05</v>
      </c>
      <c r="N3911" s="3" t="n">
        <v>926.83</v>
      </c>
      <c r="O3911" s="3">
        <f>K3911*L3911*(1-M3911)</f>
        <v/>
      </c>
      <c r="P3911" s="3">
        <f>O3911-N3911</f>
        <v/>
      </c>
      <c r="Q3911" s="5">
        <f>IFERROR(P3911/O3911,0)</f>
        <v/>
      </c>
      <c r="R3911" s="2">
        <f>TEXT(DATEVALUE(B3911),"mmm")</f>
        <v/>
      </c>
      <c r="S3911" s="2">
        <f>TEXT(DATEVALUE(B3911),"yyyy-mm")</f>
        <v/>
      </c>
    </row>
    <row r="3912">
      <c r="A3912" s="2" t="inlineStr">
        <is>
          <t>O004161</t>
        </is>
      </c>
      <c r="B3912" s="2" t="inlineStr">
        <is>
          <t>2025-10-14</t>
        </is>
      </c>
      <c r="C3912" s="2" t="inlineStr">
        <is>
          <t>C0761</t>
        </is>
      </c>
      <c r="D3912" s="2" t="inlineStr">
        <is>
          <t>P0022</t>
        </is>
      </c>
      <c r="E3912" s="2" t="inlineStr">
        <is>
          <t>Face Wash</t>
        </is>
      </c>
      <c r="F3912" s="2" t="inlineStr">
        <is>
          <t>Beauty</t>
        </is>
      </c>
      <c r="G3912" s="2" t="inlineStr">
        <is>
          <t>West</t>
        </is>
      </c>
      <c r="H3912" s="2" t="inlineStr">
        <is>
          <t>Goa</t>
        </is>
      </c>
      <c r="I3912" s="2" t="inlineStr">
        <is>
          <t>Margao</t>
        </is>
      </c>
      <c r="J3912" s="2" t="inlineStr">
        <is>
          <t>Online</t>
        </is>
      </c>
      <c r="K3912" s="2" t="n">
        <v>4</v>
      </c>
      <c r="L3912" s="3" t="n">
        <v>545.16</v>
      </c>
      <c r="M3912" s="4" t="n">
        <v>0.05</v>
      </c>
      <c r="N3912" s="3" t="n">
        <v>1449.29</v>
      </c>
      <c r="O3912" s="3">
        <f>K3912*L3912*(1-M3912)</f>
        <v/>
      </c>
      <c r="P3912" s="3">
        <f>O3912-N3912</f>
        <v/>
      </c>
      <c r="Q3912" s="5">
        <f>IFERROR(P3912/O3912,0)</f>
        <v/>
      </c>
      <c r="R3912" s="2">
        <f>TEXT(DATEVALUE(B3912),"mmm")</f>
        <v/>
      </c>
      <c r="S3912" s="2">
        <f>TEXT(DATEVALUE(B3912),"yyyy-mm")</f>
        <v/>
      </c>
    </row>
    <row r="3913">
      <c r="A3913" s="2" t="inlineStr">
        <is>
          <t>O003545</t>
        </is>
      </c>
      <c r="B3913" s="2" t="inlineStr">
        <is>
          <t>2025-10-14</t>
        </is>
      </c>
      <c r="C3913" s="2" t="inlineStr">
        <is>
          <t>C0161</t>
        </is>
      </c>
      <c r="D3913" s="2" t="inlineStr">
        <is>
          <t>P0017</t>
        </is>
      </c>
      <c r="E3913" s="2" t="inlineStr">
        <is>
          <t>Jeans</t>
        </is>
      </c>
      <c r="F3913" s="2" t="inlineStr">
        <is>
          <t>Fashion</t>
        </is>
      </c>
      <c r="G3913" s="2" t="inlineStr">
        <is>
          <t>South</t>
        </is>
      </c>
      <c r="H3913" s="2" t="inlineStr">
        <is>
          <t>Tamil Nadu</t>
        </is>
      </c>
      <c r="I3913" s="2" t="inlineStr">
        <is>
          <t>Madurai</t>
        </is>
      </c>
      <c r="J3913" s="2" t="inlineStr">
        <is>
          <t>Online</t>
        </is>
      </c>
      <c r="K3913" s="2" t="n">
        <v>1</v>
      </c>
      <c r="L3913" s="3" t="n">
        <v>1530.34</v>
      </c>
      <c r="M3913" s="4" t="n">
        <v>0.05</v>
      </c>
      <c r="N3913" s="3" t="n">
        <v>1005.49</v>
      </c>
      <c r="O3913" s="3">
        <f>K3913*L3913*(1-M3913)</f>
        <v/>
      </c>
      <c r="P3913" s="3">
        <f>O3913-N3913</f>
        <v/>
      </c>
      <c r="Q3913" s="5">
        <f>IFERROR(P3913/O3913,0)</f>
        <v/>
      </c>
      <c r="R3913" s="2">
        <f>TEXT(DATEVALUE(B3913),"mmm")</f>
        <v/>
      </c>
      <c r="S3913" s="2">
        <f>TEXT(DATEVALUE(B3913),"yyyy-mm")</f>
        <v/>
      </c>
    </row>
    <row r="3914">
      <c r="A3914" s="2" t="inlineStr">
        <is>
          <t>O002431</t>
        </is>
      </c>
      <c r="B3914" s="2" t="inlineStr">
        <is>
          <t>2025-10-14</t>
        </is>
      </c>
      <c r="C3914" s="2" t="inlineStr">
        <is>
          <t>C0599</t>
        </is>
      </c>
      <c r="D3914" s="2" t="inlineStr">
        <is>
          <t>P0011</t>
        </is>
      </c>
      <c r="E3914" s="2" t="inlineStr">
        <is>
          <t>Cookware Set</t>
        </is>
      </c>
      <c r="F3914" s="2" t="inlineStr">
        <is>
          <t>Home &amp; Kitchen</t>
        </is>
      </c>
      <c r="G3914" s="2" t="inlineStr">
        <is>
          <t>North</t>
        </is>
      </c>
      <c r="H3914" s="2" t="inlineStr">
        <is>
          <t>Haryana</t>
        </is>
      </c>
      <c r="I3914" s="2" t="inlineStr">
        <is>
          <t>Faridabad</t>
        </is>
      </c>
      <c r="J3914" s="2" t="inlineStr">
        <is>
          <t>Online</t>
        </is>
      </c>
      <c r="K3914" s="2" t="n">
        <v>1</v>
      </c>
      <c r="L3914" s="3" t="n">
        <v>726.25</v>
      </c>
      <c r="M3914" s="4" t="n">
        <v>0.2</v>
      </c>
      <c r="N3914" s="3" t="n">
        <v>467.22</v>
      </c>
      <c r="O3914" s="3">
        <f>K3914*L3914*(1-M3914)</f>
        <v/>
      </c>
      <c r="P3914" s="3">
        <f>O3914-N3914</f>
        <v/>
      </c>
      <c r="Q3914" s="5">
        <f>IFERROR(P3914/O3914,0)</f>
        <v/>
      </c>
      <c r="R3914" s="2">
        <f>TEXT(DATEVALUE(B3914),"mmm")</f>
        <v/>
      </c>
      <c r="S3914" s="2">
        <f>TEXT(DATEVALUE(B3914),"yyyy-mm")</f>
        <v/>
      </c>
    </row>
    <row r="3915">
      <c r="A3915" s="2" t="inlineStr">
        <is>
          <t>O002311</t>
        </is>
      </c>
      <c r="B3915" s="2" t="inlineStr">
        <is>
          <t>2025-10-14</t>
        </is>
      </c>
      <c r="C3915" s="2" t="inlineStr">
        <is>
          <t>C0061</t>
        </is>
      </c>
      <c r="D3915" s="2" t="inlineStr">
        <is>
          <t>P0011</t>
        </is>
      </c>
      <c r="E3915" s="2" t="inlineStr">
        <is>
          <t>Cookware Set</t>
        </is>
      </c>
      <c r="F3915" s="2" t="inlineStr">
        <is>
          <t>Home &amp; Kitchen</t>
        </is>
      </c>
      <c r="G3915" s="2" t="inlineStr">
        <is>
          <t>North</t>
        </is>
      </c>
      <c r="H3915" s="2" t="inlineStr">
        <is>
          <t>Uttar Pradesh</t>
        </is>
      </c>
      <c r="I3915" s="2" t="inlineStr">
        <is>
          <t>Varanasi</t>
        </is>
      </c>
      <c r="J3915" s="2" t="inlineStr">
        <is>
          <t>Store</t>
        </is>
      </c>
      <c r="K3915" s="2" t="n">
        <v>2</v>
      </c>
      <c r="L3915" s="3" t="n">
        <v>717.4400000000001</v>
      </c>
      <c r="M3915" s="4" t="n">
        <v>0.1</v>
      </c>
      <c r="N3915" s="3" t="n">
        <v>920.34</v>
      </c>
      <c r="O3915" s="3">
        <f>K3915*L3915*(1-M3915)</f>
        <v/>
      </c>
      <c r="P3915" s="3">
        <f>O3915-N3915</f>
        <v/>
      </c>
      <c r="Q3915" s="5">
        <f>IFERROR(P3915/O3915,0)</f>
        <v/>
      </c>
      <c r="R3915" s="2">
        <f>TEXT(DATEVALUE(B3915),"mmm")</f>
        <v/>
      </c>
      <c r="S3915" s="2">
        <f>TEXT(DATEVALUE(B3915),"yyyy-mm")</f>
        <v/>
      </c>
    </row>
    <row r="3916">
      <c r="A3916" s="2" t="inlineStr">
        <is>
          <t>O004823</t>
        </is>
      </c>
      <c r="B3916" s="2" t="inlineStr">
        <is>
          <t>2025-10-14</t>
        </is>
      </c>
      <c r="C3916" s="2" t="inlineStr">
        <is>
          <t>C0519</t>
        </is>
      </c>
      <c r="D3916" s="2" t="inlineStr">
        <is>
          <t>P0010</t>
        </is>
      </c>
      <c r="E3916" s="2" t="inlineStr">
        <is>
          <t>Mixer Grinder</t>
        </is>
      </c>
      <c r="F3916" s="2" t="inlineStr">
        <is>
          <t>Home &amp; Kitchen</t>
        </is>
      </c>
      <c r="G3916" s="2" t="inlineStr">
        <is>
          <t>West</t>
        </is>
      </c>
      <c r="H3916" s="2" t="inlineStr">
        <is>
          <t>Goa</t>
        </is>
      </c>
      <c r="I3916" s="2" t="inlineStr">
        <is>
          <t>Panaji</t>
        </is>
      </c>
      <c r="J3916" s="2" t="inlineStr">
        <is>
          <t>Online</t>
        </is>
      </c>
      <c r="K3916" s="2" t="n">
        <v>2</v>
      </c>
      <c r="L3916" s="3" t="n">
        <v>1643.37</v>
      </c>
      <c r="M3916" s="4" t="n">
        <v>0.1</v>
      </c>
      <c r="N3916" s="3" t="n">
        <v>2149.38</v>
      </c>
      <c r="O3916" s="3">
        <f>K3916*L3916*(1-M3916)</f>
        <v/>
      </c>
      <c r="P3916" s="3">
        <f>O3916-N3916</f>
        <v/>
      </c>
      <c r="Q3916" s="5">
        <f>IFERROR(P3916/O3916,0)</f>
        <v/>
      </c>
      <c r="R3916" s="2">
        <f>TEXT(DATEVALUE(B3916),"mmm")</f>
        <v/>
      </c>
      <c r="S3916" s="2">
        <f>TEXT(DATEVALUE(B3916),"yyyy-mm")</f>
        <v/>
      </c>
    </row>
    <row r="3917">
      <c r="A3917" s="2" t="inlineStr">
        <is>
          <t>O001972</t>
        </is>
      </c>
      <c r="B3917" s="2" t="inlineStr">
        <is>
          <t>2025-10-14</t>
        </is>
      </c>
      <c r="C3917" s="2" t="inlineStr">
        <is>
          <t>C0014</t>
        </is>
      </c>
      <c r="D3917" s="2" t="inlineStr">
        <is>
          <t>P0008</t>
        </is>
      </c>
      <c r="E3917" s="2" t="inlineStr">
        <is>
          <t>Air Fryer</t>
        </is>
      </c>
      <c r="F3917" s="2" t="inlineStr">
        <is>
          <t>Home &amp; Kitchen</t>
        </is>
      </c>
      <c r="G3917" s="2" t="inlineStr">
        <is>
          <t>East</t>
        </is>
      </c>
      <c r="H3917" s="2" t="inlineStr">
        <is>
          <t>Bihar</t>
        </is>
      </c>
      <c r="I3917" s="2" t="inlineStr">
        <is>
          <t>Patna</t>
        </is>
      </c>
      <c r="J3917" s="2" t="inlineStr">
        <is>
          <t>Online</t>
        </is>
      </c>
      <c r="K3917" s="2" t="n">
        <v>2</v>
      </c>
      <c r="L3917" s="3" t="n">
        <v>1082.53</v>
      </c>
      <c r="M3917" s="4" t="n">
        <v>0.05</v>
      </c>
      <c r="N3917" s="3" t="n">
        <v>1385.74</v>
      </c>
      <c r="O3917" s="3">
        <f>K3917*L3917*(1-M3917)</f>
        <v/>
      </c>
      <c r="P3917" s="3">
        <f>O3917-N3917</f>
        <v/>
      </c>
      <c r="Q3917" s="5">
        <f>IFERROR(P3917/O3917,0)</f>
        <v/>
      </c>
      <c r="R3917" s="2">
        <f>TEXT(DATEVALUE(B3917),"mmm")</f>
        <v/>
      </c>
      <c r="S3917" s="2">
        <f>TEXT(DATEVALUE(B3917),"yyyy-mm")</f>
        <v/>
      </c>
    </row>
    <row r="3918">
      <c r="A3918" s="2" t="inlineStr">
        <is>
          <t>O001355</t>
        </is>
      </c>
      <c r="B3918" s="2" t="inlineStr">
        <is>
          <t>2025-10-14</t>
        </is>
      </c>
      <c r="C3918" s="2" t="inlineStr">
        <is>
          <t>C0603</t>
        </is>
      </c>
      <c r="D3918" s="2" t="inlineStr">
        <is>
          <t>P0012</t>
        </is>
      </c>
      <c r="E3918" s="2" t="inlineStr">
        <is>
          <t>Water Bottle</t>
        </is>
      </c>
      <c r="F3918" s="2" t="inlineStr">
        <is>
          <t>Home &amp; Kitchen</t>
        </is>
      </c>
      <c r="G3918" s="2" t="inlineStr">
        <is>
          <t>North</t>
        </is>
      </c>
      <c r="H3918" s="2" t="inlineStr">
        <is>
          <t>Haryana</t>
        </is>
      </c>
      <c r="I3918" s="2" t="inlineStr">
        <is>
          <t>Gurugram</t>
        </is>
      </c>
      <c r="J3918" s="2" t="inlineStr">
        <is>
          <t>Online</t>
        </is>
      </c>
      <c r="K3918" s="2" t="n">
        <v>1</v>
      </c>
      <c r="L3918" s="3" t="n">
        <v>951.71</v>
      </c>
      <c r="M3918" s="4" t="n">
        <v>0.05</v>
      </c>
      <c r="N3918" s="3" t="n">
        <v>627</v>
      </c>
      <c r="O3918" s="3">
        <f>K3918*L3918*(1-M3918)</f>
        <v/>
      </c>
      <c r="P3918" s="3">
        <f>O3918-N3918</f>
        <v/>
      </c>
      <c r="Q3918" s="5">
        <f>IFERROR(P3918/O3918,0)</f>
        <v/>
      </c>
      <c r="R3918" s="2">
        <f>TEXT(DATEVALUE(B3918),"mmm")</f>
        <v/>
      </c>
      <c r="S3918" s="2">
        <f>TEXT(DATEVALUE(B3918),"yyyy-mm")</f>
        <v/>
      </c>
    </row>
    <row r="3919">
      <c r="A3919" s="2" t="inlineStr">
        <is>
          <t>O001151</t>
        </is>
      </c>
      <c r="B3919" s="2" t="inlineStr">
        <is>
          <t>2025-10-14</t>
        </is>
      </c>
      <c r="C3919" s="2" t="inlineStr">
        <is>
          <t>C0587</t>
        </is>
      </c>
      <c r="D3919" s="2" t="inlineStr">
        <is>
          <t>P0007</t>
        </is>
      </c>
      <c r="E3919" s="2" t="inlineStr">
        <is>
          <t>Wireless Mouse</t>
        </is>
      </c>
      <c r="F3919" s="2" t="inlineStr">
        <is>
          <t>Electronics</t>
        </is>
      </c>
      <c r="G3919" s="2" t="inlineStr">
        <is>
          <t>East</t>
        </is>
      </c>
      <c r="H3919" s="2" t="inlineStr">
        <is>
          <t>West Bengal</t>
        </is>
      </c>
      <c r="I3919" s="2" t="inlineStr">
        <is>
          <t>Kolkata</t>
        </is>
      </c>
      <c r="J3919" s="2" t="inlineStr">
        <is>
          <t>Store</t>
        </is>
      </c>
      <c r="K3919" s="2" t="n">
        <v>4</v>
      </c>
      <c r="L3919" s="3" t="n">
        <v>1001.88</v>
      </c>
      <c r="M3919" s="4" t="n">
        <v>0.05</v>
      </c>
      <c r="N3919" s="3" t="n">
        <v>2457.55</v>
      </c>
      <c r="O3919" s="3">
        <f>K3919*L3919*(1-M3919)</f>
        <v/>
      </c>
      <c r="P3919" s="3">
        <f>O3919-N3919</f>
        <v/>
      </c>
      <c r="Q3919" s="5">
        <f>IFERROR(P3919/O3919,0)</f>
        <v/>
      </c>
      <c r="R3919" s="2">
        <f>TEXT(DATEVALUE(B3919),"mmm")</f>
        <v/>
      </c>
      <c r="S3919" s="2">
        <f>TEXT(DATEVALUE(B3919),"yyyy-mm")</f>
        <v/>
      </c>
    </row>
    <row r="3920">
      <c r="A3920" s="2" t="inlineStr">
        <is>
          <t>O002073</t>
        </is>
      </c>
      <c r="B3920" s="2" t="inlineStr">
        <is>
          <t>2025-10-14</t>
        </is>
      </c>
      <c r="C3920" s="2" t="inlineStr">
        <is>
          <t>C0179</t>
        </is>
      </c>
      <c r="D3920" s="2" t="inlineStr">
        <is>
          <t>P0004</t>
        </is>
      </c>
      <c r="E3920" s="2" t="inlineStr">
        <is>
          <t>USB-C Hub</t>
        </is>
      </c>
      <c r="F3920" s="2" t="inlineStr">
        <is>
          <t>Electronics</t>
        </is>
      </c>
      <c r="G3920" s="2" t="inlineStr">
        <is>
          <t>West</t>
        </is>
      </c>
      <c r="H3920" s="2" t="inlineStr">
        <is>
          <t>Gujarat</t>
        </is>
      </c>
      <c r="I3920" s="2" t="inlineStr">
        <is>
          <t>Ahmedabad</t>
        </is>
      </c>
      <c r="J3920" s="2" t="inlineStr">
        <is>
          <t>Online</t>
        </is>
      </c>
      <c r="K3920" s="2" t="n">
        <v>3</v>
      </c>
      <c r="L3920" s="3" t="n">
        <v>1244.89</v>
      </c>
      <c r="M3920" s="4" t="n">
        <v>0.05</v>
      </c>
      <c r="N3920" s="3" t="n">
        <v>2765.05</v>
      </c>
      <c r="O3920" s="3">
        <f>K3920*L3920*(1-M3920)</f>
        <v/>
      </c>
      <c r="P3920" s="3">
        <f>O3920-N3920</f>
        <v/>
      </c>
      <c r="Q3920" s="5">
        <f>IFERROR(P3920/O3920,0)</f>
        <v/>
      </c>
      <c r="R3920" s="2">
        <f>TEXT(DATEVALUE(B3920),"mmm")</f>
        <v/>
      </c>
      <c r="S3920" s="2">
        <f>TEXT(DATEVALUE(B3920),"yyyy-mm")</f>
        <v/>
      </c>
    </row>
    <row r="3921">
      <c r="A3921" s="2" t="inlineStr">
        <is>
          <t>O002341</t>
        </is>
      </c>
      <c r="B3921" s="2" t="inlineStr">
        <is>
          <t>2025-10-15</t>
        </is>
      </c>
      <c r="C3921" s="2" t="inlineStr">
        <is>
          <t>C0254</t>
        </is>
      </c>
      <c r="D3921" s="2" t="inlineStr">
        <is>
          <t>P0018</t>
        </is>
      </c>
      <c r="E3921" s="2" t="inlineStr">
        <is>
          <t>Backpack</t>
        </is>
      </c>
      <c r="F3921" s="2" t="inlineStr">
        <is>
          <t>Fashion</t>
        </is>
      </c>
      <c r="G3921" s="2" t="inlineStr">
        <is>
          <t>West</t>
        </is>
      </c>
      <c r="H3921" s="2" t="inlineStr">
        <is>
          <t>Maharashtra</t>
        </is>
      </c>
      <c r="I3921" s="2" t="inlineStr">
        <is>
          <t>Nagpur</t>
        </is>
      </c>
      <c r="J3921" s="2" t="inlineStr">
        <is>
          <t>Online</t>
        </is>
      </c>
      <c r="K3921" s="2" t="n">
        <v>3</v>
      </c>
      <c r="L3921" s="3" t="n">
        <v>1877.73</v>
      </c>
      <c r="M3921" s="4" t="n">
        <v>0.05</v>
      </c>
      <c r="N3921" s="3" t="n">
        <v>4036.79</v>
      </c>
      <c r="O3921" s="3">
        <f>K3921*L3921*(1-M3921)</f>
        <v/>
      </c>
      <c r="P3921" s="3">
        <f>O3921-N3921</f>
        <v/>
      </c>
      <c r="Q3921" s="5">
        <f>IFERROR(P3921/O3921,0)</f>
        <v/>
      </c>
      <c r="R3921" s="2">
        <f>TEXT(DATEVALUE(B3921),"mmm")</f>
        <v/>
      </c>
      <c r="S3921" s="2">
        <f>TEXT(DATEVALUE(B3921),"yyyy-mm")</f>
        <v/>
      </c>
    </row>
    <row r="3922">
      <c r="A3922" s="2" t="inlineStr">
        <is>
          <t>O004883</t>
        </is>
      </c>
      <c r="B3922" s="2" t="inlineStr">
        <is>
          <t>2025-10-15</t>
        </is>
      </c>
      <c r="C3922" s="2" t="inlineStr">
        <is>
          <t>C0136</t>
        </is>
      </c>
      <c r="D3922" s="2" t="inlineStr">
        <is>
          <t>P0022</t>
        </is>
      </c>
      <c r="E3922" s="2" t="inlineStr">
        <is>
          <t>Face Wash</t>
        </is>
      </c>
      <c r="F3922" s="2" t="inlineStr">
        <is>
          <t>Beauty</t>
        </is>
      </c>
      <c r="G3922" s="2" t="inlineStr">
        <is>
          <t>North</t>
        </is>
      </c>
      <c r="H3922" s="2" t="inlineStr">
        <is>
          <t>Uttar Pradesh</t>
        </is>
      </c>
      <c r="I3922" s="2" t="inlineStr">
        <is>
          <t>Kanpur</t>
        </is>
      </c>
      <c r="J3922" s="2" t="inlineStr">
        <is>
          <t>Store</t>
        </is>
      </c>
      <c r="K3922" s="2" t="n">
        <v>1</v>
      </c>
      <c r="L3922" s="3" t="n">
        <v>555.6900000000001</v>
      </c>
      <c r="M3922" s="4" t="n">
        <v>0.15</v>
      </c>
      <c r="N3922" s="3" t="n">
        <v>355.28</v>
      </c>
      <c r="O3922" s="3">
        <f>K3922*L3922*(1-M3922)</f>
        <v/>
      </c>
      <c r="P3922" s="3">
        <f>O3922-N3922</f>
        <v/>
      </c>
      <c r="Q3922" s="5">
        <f>IFERROR(P3922/O3922,0)</f>
        <v/>
      </c>
      <c r="R3922" s="2">
        <f>TEXT(DATEVALUE(B3922),"mmm")</f>
        <v/>
      </c>
      <c r="S3922" s="2">
        <f>TEXT(DATEVALUE(B3922),"yyyy-mm")</f>
        <v/>
      </c>
    </row>
    <row r="3923">
      <c r="A3923" s="2" t="inlineStr">
        <is>
          <t>O004383</t>
        </is>
      </c>
      <c r="B3923" s="2" t="inlineStr">
        <is>
          <t>2025-10-15</t>
        </is>
      </c>
      <c r="C3923" s="2" t="inlineStr">
        <is>
          <t>C0731</t>
        </is>
      </c>
      <c r="D3923" s="2" t="inlineStr">
        <is>
          <t>P0016</t>
        </is>
      </c>
      <c r="E3923" s="2" t="inlineStr">
        <is>
          <t>Casual Shirt</t>
        </is>
      </c>
      <c r="F3923" s="2" t="inlineStr">
        <is>
          <t>Fashion</t>
        </is>
      </c>
      <c r="G3923" s="2" t="inlineStr">
        <is>
          <t>West</t>
        </is>
      </c>
      <c r="H3923" s="2" t="inlineStr">
        <is>
          <t>Gujarat</t>
        </is>
      </c>
      <c r="I3923" s="2" t="inlineStr">
        <is>
          <t>Ahmedabad</t>
        </is>
      </c>
      <c r="J3923" s="2" t="inlineStr">
        <is>
          <t>Online</t>
        </is>
      </c>
      <c r="K3923" s="2" t="n">
        <v>2</v>
      </c>
      <c r="L3923" s="3" t="n">
        <v>1239.59</v>
      </c>
      <c r="M3923" s="4" t="n">
        <v>0.05</v>
      </c>
      <c r="N3923" s="3" t="n">
        <v>1828.47</v>
      </c>
      <c r="O3923" s="3">
        <f>K3923*L3923*(1-M3923)</f>
        <v/>
      </c>
      <c r="P3923" s="3">
        <f>O3923-N3923</f>
        <v/>
      </c>
      <c r="Q3923" s="5">
        <f>IFERROR(P3923/O3923,0)</f>
        <v/>
      </c>
      <c r="R3923" s="2">
        <f>TEXT(DATEVALUE(B3923),"mmm")</f>
        <v/>
      </c>
      <c r="S3923" s="2">
        <f>TEXT(DATEVALUE(B3923),"yyyy-mm")</f>
        <v/>
      </c>
    </row>
    <row r="3924">
      <c r="A3924" s="2" t="inlineStr">
        <is>
          <t>O003876</t>
        </is>
      </c>
      <c r="B3924" s="2" t="inlineStr">
        <is>
          <t>2025-10-15</t>
        </is>
      </c>
      <c r="C3924" s="2" t="inlineStr">
        <is>
          <t>C0796</t>
        </is>
      </c>
      <c r="D3924" s="2" t="inlineStr">
        <is>
          <t>P0016</t>
        </is>
      </c>
      <c r="E3924" s="2" t="inlineStr">
        <is>
          <t>Casual Shirt</t>
        </is>
      </c>
      <c r="F3924" s="2" t="inlineStr">
        <is>
          <t>Fashion</t>
        </is>
      </c>
      <c r="G3924" s="2" t="inlineStr">
        <is>
          <t>South</t>
        </is>
      </c>
      <c r="H3924" s="2" t="inlineStr">
        <is>
          <t>Karnataka</t>
        </is>
      </c>
      <c r="I3924" s="2" t="inlineStr">
        <is>
          <t>Mangaluru</t>
        </is>
      </c>
      <c r="J3924" s="2" t="inlineStr">
        <is>
          <t>Online</t>
        </is>
      </c>
      <c r="K3924" s="2" t="n">
        <v>2</v>
      </c>
      <c r="L3924" s="3" t="n">
        <v>1230.47</v>
      </c>
      <c r="M3924" s="4" t="n">
        <v>0.05</v>
      </c>
      <c r="N3924" s="3" t="n">
        <v>1851.58</v>
      </c>
      <c r="O3924" s="3">
        <f>K3924*L3924*(1-M3924)</f>
        <v/>
      </c>
      <c r="P3924" s="3">
        <f>O3924-N3924</f>
        <v/>
      </c>
      <c r="Q3924" s="5">
        <f>IFERROR(P3924/O3924,0)</f>
        <v/>
      </c>
      <c r="R3924" s="2">
        <f>TEXT(DATEVALUE(B3924),"mmm")</f>
        <v/>
      </c>
      <c r="S3924" s="2">
        <f>TEXT(DATEVALUE(B3924),"yyyy-mm")</f>
        <v/>
      </c>
    </row>
    <row r="3925">
      <c r="A3925" s="2" t="inlineStr">
        <is>
          <t>O003362</t>
        </is>
      </c>
      <c r="B3925" s="2" t="inlineStr">
        <is>
          <t>2025-10-15</t>
        </is>
      </c>
      <c r="C3925" s="2" t="inlineStr">
        <is>
          <t>C0715</t>
        </is>
      </c>
      <c r="D3925" s="2" t="inlineStr">
        <is>
          <t>P0001</t>
        </is>
      </c>
      <c r="E3925" s="2" t="inlineStr">
        <is>
          <t>Wireless Headphones</t>
        </is>
      </c>
      <c r="F3925" s="2" t="inlineStr">
        <is>
          <t>Electronics</t>
        </is>
      </c>
      <c r="G3925" s="2" t="inlineStr">
        <is>
          <t>East</t>
        </is>
      </c>
      <c r="H3925" s="2" t="inlineStr">
        <is>
          <t>West Bengal</t>
        </is>
      </c>
      <c r="I3925" s="2" t="inlineStr">
        <is>
          <t>Kolkata</t>
        </is>
      </c>
      <c r="J3925" s="2" t="inlineStr">
        <is>
          <t>Online</t>
        </is>
      </c>
      <c r="K3925" s="2" t="n">
        <v>1</v>
      </c>
      <c r="L3925" s="3" t="n">
        <v>1264.29</v>
      </c>
      <c r="M3925" s="4" t="n">
        <v>0.1</v>
      </c>
      <c r="N3925" s="3" t="n">
        <v>703.3</v>
      </c>
      <c r="O3925" s="3">
        <f>K3925*L3925*(1-M3925)</f>
        <v/>
      </c>
      <c r="P3925" s="3">
        <f>O3925-N3925</f>
        <v/>
      </c>
      <c r="Q3925" s="5">
        <f>IFERROR(P3925/O3925,0)</f>
        <v/>
      </c>
      <c r="R3925" s="2">
        <f>TEXT(DATEVALUE(B3925),"mmm")</f>
        <v/>
      </c>
      <c r="S3925" s="2">
        <f>TEXT(DATEVALUE(B3925),"yyyy-mm")</f>
        <v/>
      </c>
    </row>
    <row r="3926">
      <c r="A3926" s="2" t="inlineStr">
        <is>
          <t>O002614</t>
        </is>
      </c>
      <c r="B3926" s="2" t="inlineStr">
        <is>
          <t>2025-10-15</t>
        </is>
      </c>
      <c r="C3926" s="2" t="inlineStr">
        <is>
          <t>C0719</t>
        </is>
      </c>
      <c r="D3926" s="2" t="inlineStr">
        <is>
          <t>P0007</t>
        </is>
      </c>
      <c r="E3926" s="2" t="inlineStr">
        <is>
          <t>Wireless Mouse</t>
        </is>
      </c>
      <c r="F3926" s="2" t="inlineStr">
        <is>
          <t>Electronics</t>
        </is>
      </c>
      <c r="G3926" s="2" t="inlineStr">
        <is>
          <t>West</t>
        </is>
      </c>
      <c r="H3926" s="2" t="inlineStr">
        <is>
          <t>Goa</t>
        </is>
      </c>
      <c r="I3926" s="2" t="inlineStr">
        <is>
          <t>Panaji</t>
        </is>
      </c>
      <c r="J3926" s="2" t="inlineStr">
        <is>
          <t>Store</t>
        </is>
      </c>
      <c r="K3926" s="2" t="n">
        <v>1</v>
      </c>
      <c r="L3926" s="3" t="n">
        <v>996.41</v>
      </c>
      <c r="M3926" s="4" t="n">
        <v>0.1</v>
      </c>
      <c r="N3926" s="3" t="n">
        <v>634.51</v>
      </c>
      <c r="O3926" s="3">
        <f>K3926*L3926*(1-M3926)</f>
        <v/>
      </c>
      <c r="P3926" s="3">
        <f>O3926-N3926</f>
        <v/>
      </c>
      <c r="Q3926" s="5">
        <f>IFERROR(P3926/O3926,0)</f>
        <v/>
      </c>
      <c r="R3926" s="2">
        <f>TEXT(DATEVALUE(B3926),"mmm")</f>
        <v/>
      </c>
      <c r="S3926" s="2">
        <f>TEXT(DATEVALUE(B3926),"yyyy-mm")</f>
        <v/>
      </c>
    </row>
    <row r="3927">
      <c r="A3927" s="2" t="inlineStr">
        <is>
          <t>O002599</t>
        </is>
      </c>
      <c r="B3927" s="2" t="inlineStr">
        <is>
          <t>2025-10-15</t>
        </is>
      </c>
      <c r="C3927" s="2" t="inlineStr">
        <is>
          <t>C0107</t>
        </is>
      </c>
      <c r="D3927" s="2" t="inlineStr">
        <is>
          <t>P0024</t>
        </is>
      </c>
      <c r="E3927" s="2" t="inlineStr">
        <is>
          <t>Hair Dryer</t>
        </is>
      </c>
      <c r="F3927" s="2" t="inlineStr">
        <is>
          <t>Beauty</t>
        </is>
      </c>
      <c r="G3927" s="2" t="inlineStr">
        <is>
          <t>West</t>
        </is>
      </c>
      <c r="H3927" s="2" t="inlineStr">
        <is>
          <t>Gujarat</t>
        </is>
      </c>
      <c r="I3927" s="2" t="inlineStr">
        <is>
          <t>Vadodara</t>
        </is>
      </c>
      <c r="J3927" s="2" t="inlineStr">
        <is>
          <t>Online</t>
        </is>
      </c>
      <c r="K3927" s="2" t="n">
        <v>3</v>
      </c>
      <c r="L3927" s="3" t="n">
        <v>1012.23</v>
      </c>
      <c r="M3927" s="4" t="n">
        <v>0.2</v>
      </c>
      <c r="N3927" s="3" t="n">
        <v>2262.05</v>
      </c>
      <c r="O3927" s="3">
        <f>K3927*L3927*(1-M3927)</f>
        <v/>
      </c>
      <c r="P3927" s="3">
        <f>O3927-N3927</f>
        <v/>
      </c>
      <c r="Q3927" s="5">
        <f>IFERROR(P3927/O3927,0)</f>
        <v/>
      </c>
      <c r="R3927" s="2">
        <f>TEXT(DATEVALUE(B3927),"mmm")</f>
        <v/>
      </c>
      <c r="S3927" s="2">
        <f>TEXT(DATEVALUE(B3927),"yyyy-mm")</f>
        <v/>
      </c>
    </row>
    <row r="3928">
      <c r="A3928" s="2" t="inlineStr">
        <is>
          <t>O002598</t>
        </is>
      </c>
      <c r="B3928" s="2" t="inlineStr">
        <is>
          <t>2025-10-15</t>
        </is>
      </c>
      <c r="C3928" s="2" t="inlineStr">
        <is>
          <t>C0599</t>
        </is>
      </c>
      <c r="D3928" s="2" t="inlineStr">
        <is>
          <t>P0023</t>
        </is>
      </c>
      <c r="E3928" s="2" t="inlineStr">
        <is>
          <t>Skin Care Kit</t>
        </is>
      </c>
      <c r="F3928" s="2" t="inlineStr">
        <is>
          <t>Beauty</t>
        </is>
      </c>
      <c r="G3928" s="2" t="inlineStr">
        <is>
          <t>North</t>
        </is>
      </c>
      <c r="H3928" s="2" t="inlineStr">
        <is>
          <t>Uttar Pradesh</t>
        </is>
      </c>
      <c r="I3928" s="2" t="inlineStr">
        <is>
          <t>Kanpur</t>
        </is>
      </c>
      <c r="J3928" s="2" t="inlineStr">
        <is>
          <t>Online</t>
        </is>
      </c>
      <c r="K3928" s="2" t="n">
        <v>6</v>
      </c>
      <c r="L3928" s="3" t="n">
        <v>1347.26</v>
      </c>
      <c r="M3928" s="4" t="n">
        <v>0.05</v>
      </c>
      <c r="N3928" s="3" t="n">
        <v>5417.77</v>
      </c>
      <c r="O3928" s="3">
        <f>K3928*L3928*(1-M3928)</f>
        <v/>
      </c>
      <c r="P3928" s="3">
        <f>O3928-N3928</f>
        <v/>
      </c>
      <c r="Q3928" s="5">
        <f>IFERROR(P3928/O3928,0)</f>
        <v/>
      </c>
      <c r="R3928" s="2">
        <f>TEXT(DATEVALUE(B3928),"mmm")</f>
        <v/>
      </c>
      <c r="S3928" s="2">
        <f>TEXT(DATEVALUE(B3928),"yyyy-mm")</f>
        <v/>
      </c>
    </row>
    <row r="3929">
      <c r="A3929" s="2" t="inlineStr">
        <is>
          <t>O002414</t>
        </is>
      </c>
      <c r="B3929" s="2" t="inlineStr">
        <is>
          <t>2025-10-15</t>
        </is>
      </c>
      <c r="C3929" s="2" t="inlineStr">
        <is>
          <t>C0267</t>
        </is>
      </c>
      <c r="D3929" s="2" t="inlineStr">
        <is>
          <t>P0027</t>
        </is>
      </c>
      <c r="E3929" s="2" t="inlineStr">
        <is>
          <t>Moisturizer</t>
        </is>
      </c>
      <c r="F3929" s="2" t="inlineStr">
        <is>
          <t>Beauty</t>
        </is>
      </c>
      <c r="G3929" s="2" t="inlineStr">
        <is>
          <t>South</t>
        </is>
      </c>
      <c r="H3929" s="2" t="inlineStr">
        <is>
          <t>Kerala</t>
        </is>
      </c>
      <c r="I3929" s="2" t="inlineStr">
        <is>
          <t>Thiruvananthapuram</t>
        </is>
      </c>
      <c r="J3929" s="2" t="inlineStr">
        <is>
          <t>Store</t>
        </is>
      </c>
      <c r="K3929" s="2" t="n">
        <v>1</v>
      </c>
      <c r="L3929" s="3" t="n">
        <v>950.04</v>
      </c>
      <c r="M3929" s="4" t="n">
        <v>0.15</v>
      </c>
      <c r="N3929" s="3" t="n">
        <v>696.55</v>
      </c>
      <c r="O3929" s="3">
        <f>K3929*L3929*(1-M3929)</f>
        <v/>
      </c>
      <c r="P3929" s="3">
        <f>O3929-N3929</f>
        <v/>
      </c>
      <c r="Q3929" s="5">
        <f>IFERROR(P3929/O3929,0)</f>
        <v/>
      </c>
      <c r="R3929" s="2">
        <f>TEXT(DATEVALUE(B3929),"mmm")</f>
        <v/>
      </c>
      <c r="S3929" s="2">
        <f>TEXT(DATEVALUE(B3929),"yyyy-mm")</f>
        <v/>
      </c>
    </row>
    <row r="3930">
      <c r="A3930" s="2" t="inlineStr">
        <is>
          <t>O002265</t>
        </is>
      </c>
      <c r="B3930" s="2" t="inlineStr">
        <is>
          <t>2025-10-15</t>
        </is>
      </c>
      <c r="C3930" s="2" t="inlineStr">
        <is>
          <t>C0175</t>
        </is>
      </c>
      <c r="D3930" s="2" t="inlineStr">
        <is>
          <t>P0013</t>
        </is>
      </c>
      <c r="E3930" s="2" t="inlineStr">
        <is>
          <t>Storage Organizer</t>
        </is>
      </c>
      <c r="F3930" s="2" t="inlineStr">
        <is>
          <t>Home &amp; Kitchen</t>
        </is>
      </c>
      <c r="G3930" s="2" t="inlineStr">
        <is>
          <t>West</t>
        </is>
      </c>
      <c r="H3930" s="2" t="inlineStr">
        <is>
          <t>Maharashtra</t>
        </is>
      </c>
      <c r="I3930" s="2" t="inlineStr">
        <is>
          <t>Thane</t>
        </is>
      </c>
      <c r="J3930" s="2" t="inlineStr">
        <is>
          <t>Online</t>
        </is>
      </c>
      <c r="K3930" s="2" t="n">
        <v>3</v>
      </c>
      <c r="L3930" s="3" t="n">
        <v>549.42</v>
      </c>
      <c r="M3930" s="4" t="n">
        <v>0.05</v>
      </c>
      <c r="N3930" s="3" t="n">
        <v>1077.13</v>
      </c>
      <c r="O3930" s="3">
        <f>K3930*L3930*(1-M3930)</f>
        <v/>
      </c>
      <c r="P3930" s="3">
        <f>O3930-N3930</f>
        <v/>
      </c>
      <c r="Q3930" s="5">
        <f>IFERROR(P3930/O3930,0)</f>
        <v/>
      </c>
      <c r="R3930" s="2">
        <f>TEXT(DATEVALUE(B3930),"mmm")</f>
        <v/>
      </c>
      <c r="S3930" s="2">
        <f>TEXT(DATEVALUE(B3930),"yyyy-mm")</f>
        <v/>
      </c>
    </row>
    <row r="3931">
      <c r="A3931" s="2" t="inlineStr">
        <is>
          <t>O001731</t>
        </is>
      </c>
      <c r="B3931" s="2" t="inlineStr">
        <is>
          <t>2025-10-15</t>
        </is>
      </c>
      <c r="C3931" s="2" t="inlineStr">
        <is>
          <t>C0280</t>
        </is>
      </c>
      <c r="D3931" s="2" t="inlineStr">
        <is>
          <t>P0018</t>
        </is>
      </c>
      <c r="E3931" s="2" t="inlineStr">
        <is>
          <t>Backpack</t>
        </is>
      </c>
      <c r="F3931" s="2" t="inlineStr">
        <is>
          <t>Fashion</t>
        </is>
      </c>
      <c r="G3931" s="2" t="inlineStr">
        <is>
          <t>West</t>
        </is>
      </c>
      <c r="H3931" s="2" t="inlineStr">
        <is>
          <t>Goa</t>
        </is>
      </c>
      <c r="I3931" s="2" t="inlineStr">
        <is>
          <t>Margao</t>
        </is>
      </c>
      <c r="J3931" s="2" t="inlineStr">
        <is>
          <t>Store</t>
        </is>
      </c>
      <c r="K3931" s="2" t="n">
        <v>4</v>
      </c>
      <c r="L3931" s="3" t="n">
        <v>1825.45</v>
      </c>
      <c r="M3931" s="4" t="n">
        <v>0.1</v>
      </c>
      <c r="N3931" s="3" t="n">
        <v>5272.62</v>
      </c>
      <c r="O3931" s="3">
        <f>K3931*L3931*(1-M3931)</f>
        <v/>
      </c>
      <c r="P3931" s="3">
        <f>O3931-N3931</f>
        <v/>
      </c>
      <c r="Q3931" s="5">
        <f>IFERROR(P3931/O3931,0)</f>
        <v/>
      </c>
      <c r="R3931" s="2">
        <f>TEXT(DATEVALUE(B3931),"mmm")</f>
        <v/>
      </c>
      <c r="S3931" s="2">
        <f>TEXT(DATEVALUE(B3931),"yyyy-mm")</f>
        <v/>
      </c>
    </row>
    <row r="3932">
      <c r="A3932" s="2" t="inlineStr">
        <is>
          <t>O000363</t>
        </is>
      </c>
      <c r="B3932" s="2" t="inlineStr">
        <is>
          <t>2025-10-15</t>
        </is>
      </c>
      <c r="C3932" s="2" t="inlineStr">
        <is>
          <t>C0150</t>
        </is>
      </c>
      <c r="D3932" s="2" t="inlineStr">
        <is>
          <t>P0022</t>
        </is>
      </c>
      <c r="E3932" s="2" t="inlineStr">
        <is>
          <t>Face Wash</t>
        </is>
      </c>
      <c r="F3932" s="2" t="inlineStr">
        <is>
          <t>Beauty</t>
        </is>
      </c>
      <c r="G3932" s="2" t="inlineStr">
        <is>
          <t>North</t>
        </is>
      </c>
      <c r="H3932" s="2" t="inlineStr">
        <is>
          <t>Delhi</t>
        </is>
      </c>
      <c r="I3932" s="2" t="inlineStr">
        <is>
          <t>New Delhi</t>
        </is>
      </c>
      <c r="J3932" s="2" t="inlineStr">
        <is>
          <t>Online</t>
        </is>
      </c>
      <c r="K3932" s="2" t="n">
        <v>3</v>
      </c>
      <c r="L3932" s="3" t="n">
        <v>549.79</v>
      </c>
      <c r="M3932" s="4" t="n">
        <v>0.1</v>
      </c>
      <c r="N3932" s="3" t="n">
        <v>1067.6</v>
      </c>
      <c r="O3932" s="3">
        <f>K3932*L3932*(1-M3932)</f>
        <v/>
      </c>
      <c r="P3932" s="3">
        <f>O3932-N3932</f>
        <v/>
      </c>
      <c r="Q3932" s="5">
        <f>IFERROR(P3932/O3932,0)</f>
        <v/>
      </c>
      <c r="R3932" s="2">
        <f>TEXT(DATEVALUE(B3932),"mmm")</f>
        <v/>
      </c>
      <c r="S3932" s="2">
        <f>TEXT(DATEVALUE(B3932),"yyyy-mm")</f>
        <v/>
      </c>
    </row>
    <row r="3933">
      <c r="A3933" s="2" t="inlineStr">
        <is>
          <t>O001453</t>
        </is>
      </c>
      <c r="B3933" s="2" t="inlineStr">
        <is>
          <t>2025-10-15</t>
        </is>
      </c>
      <c r="C3933" s="2" t="inlineStr">
        <is>
          <t>C0734</t>
        </is>
      </c>
      <c r="D3933" s="2" t="inlineStr">
        <is>
          <t>P0014</t>
        </is>
      </c>
      <c r="E3933" s="2" t="inlineStr">
        <is>
          <t>Coffee Maker</t>
        </is>
      </c>
      <c r="F3933" s="2" t="inlineStr">
        <is>
          <t>Home &amp; Kitchen</t>
        </is>
      </c>
      <c r="G3933" s="2" t="inlineStr">
        <is>
          <t>West</t>
        </is>
      </c>
      <c r="H3933" s="2" t="inlineStr">
        <is>
          <t>Maharashtra</t>
        </is>
      </c>
      <c r="I3933" s="2" t="inlineStr">
        <is>
          <t>Nashik</t>
        </is>
      </c>
      <c r="J3933" s="2" t="inlineStr">
        <is>
          <t>Online</t>
        </is>
      </c>
      <c r="K3933" s="2" t="n">
        <v>2</v>
      </c>
      <c r="L3933" s="3" t="n">
        <v>1027.08</v>
      </c>
      <c r="M3933" s="4" t="n">
        <v>0.15</v>
      </c>
      <c r="N3933" s="3" t="n">
        <v>1528.19</v>
      </c>
      <c r="O3933" s="3">
        <f>K3933*L3933*(1-M3933)</f>
        <v/>
      </c>
      <c r="P3933" s="3">
        <f>O3933-N3933</f>
        <v/>
      </c>
      <c r="Q3933" s="5">
        <f>IFERROR(P3933/O3933,0)</f>
        <v/>
      </c>
      <c r="R3933" s="2">
        <f>TEXT(DATEVALUE(B3933),"mmm")</f>
        <v/>
      </c>
      <c r="S3933" s="2">
        <f>TEXT(DATEVALUE(B3933),"yyyy-mm")</f>
        <v/>
      </c>
    </row>
    <row r="3934">
      <c r="A3934" s="2" t="inlineStr">
        <is>
          <t>O001271</t>
        </is>
      </c>
      <c r="B3934" s="2" t="inlineStr">
        <is>
          <t>2025-10-15</t>
        </is>
      </c>
      <c r="C3934" s="2" t="inlineStr">
        <is>
          <t>C0766</t>
        </is>
      </c>
      <c r="D3934" s="2" t="inlineStr">
        <is>
          <t>P0011</t>
        </is>
      </c>
      <c r="E3934" s="2" t="inlineStr">
        <is>
          <t>Cookware Set</t>
        </is>
      </c>
      <c r="F3934" s="2" t="inlineStr">
        <is>
          <t>Home &amp; Kitchen</t>
        </is>
      </c>
      <c r="G3934" s="2" t="inlineStr">
        <is>
          <t>West</t>
        </is>
      </c>
      <c r="H3934" s="2" t="inlineStr">
        <is>
          <t>Goa</t>
        </is>
      </c>
      <c r="I3934" s="2" t="inlineStr">
        <is>
          <t>Margao</t>
        </is>
      </c>
      <c r="J3934" s="2" t="inlineStr">
        <is>
          <t>Online</t>
        </is>
      </c>
      <c r="K3934" s="2" t="n">
        <v>6</v>
      </c>
      <c r="L3934" s="3" t="n">
        <v>674.6</v>
      </c>
      <c r="M3934" s="4" t="n">
        <v>0.15</v>
      </c>
      <c r="N3934" s="3" t="n">
        <v>2868.9</v>
      </c>
      <c r="O3934" s="3">
        <f>K3934*L3934*(1-M3934)</f>
        <v/>
      </c>
      <c r="P3934" s="3">
        <f>O3934-N3934</f>
        <v/>
      </c>
      <c r="Q3934" s="5">
        <f>IFERROR(P3934/O3934,0)</f>
        <v/>
      </c>
      <c r="R3934" s="2">
        <f>TEXT(DATEVALUE(B3934),"mmm")</f>
        <v/>
      </c>
      <c r="S3934" s="2">
        <f>TEXT(DATEVALUE(B3934),"yyyy-mm")</f>
        <v/>
      </c>
    </row>
    <row r="3935">
      <c r="A3935" s="2" t="inlineStr">
        <is>
          <t>O001248</t>
        </is>
      </c>
      <c r="B3935" s="2" t="inlineStr">
        <is>
          <t>2025-10-15</t>
        </is>
      </c>
      <c r="C3935" s="2" t="inlineStr">
        <is>
          <t>C0696</t>
        </is>
      </c>
      <c r="D3935" s="2" t="inlineStr">
        <is>
          <t>P0008</t>
        </is>
      </c>
      <c r="E3935" s="2" t="inlineStr">
        <is>
          <t>Air Fryer</t>
        </is>
      </c>
      <c r="F3935" s="2" t="inlineStr">
        <is>
          <t>Home &amp; Kitchen</t>
        </is>
      </c>
      <c r="G3935" s="2" t="inlineStr">
        <is>
          <t>South</t>
        </is>
      </c>
      <c r="H3935" s="2" t="inlineStr">
        <is>
          <t>Karnataka</t>
        </is>
      </c>
      <c r="I3935" s="2" t="inlineStr">
        <is>
          <t>Mangaluru</t>
        </is>
      </c>
      <c r="J3935" s="2" t="inlineStr">
        <is>
          <t>Online</t>
        </is>
      </c>
      <c r="K3935" s="2" t="n">
        <v>1</v>
      </c>
      <c r="L3935" s="3" t="n">
        <v>1057.46</v>
      </c>
      <c r="M3935" s="4" t="n">
        <v>0.05</v>
      </c>
      <c r="N3935" s="3" t="n">
        <v>673.03</v>
      </c>
      <c r="O3935" s="3">
        <f>K3935*L3935*(1-M3935)</f>
        <v/>
      </c>
      <c r="P3935" s="3">
        <f>O3935-N3935</f>
        <v/>
      </c>
      <c r="Q3935" s="5">
        <f>IFERROR(P3935/O3935,0)</f>
        <v/>
      </c>
      <c r="R3935" s="2">
        <f>TEXT(DATEVALUE(B3935),"mmm")</f>
        <v/>
      </c>
      <c r="S3935" s="2">
        <f>TEXT(DATEVALUE(B3935),"yyyy-mm")</f>
        <v/>
      </c>
    </row>
    <row r="3936">
      <c r="A3936" s="2" t="inlineStr">
        <is>
          <t>O001243</t>
        </is>
      </c>
      <c r="B3936" s="2" t="inlineStr">
        <is>
          <t>2025-10-15</t>
        </is>
      </c>
      <c r="C3936" s="2" t="inlineStr">
        <is>
          <t>C0215</t>
        </is>
      </c>
      <c r="D3936" s="2" t="inlineStr">
        <is>
          <t>P0002</t>
        </is>
      </c>
      <c r="E3936" s="2" t="inlineStr">
        <is>
          <t>Bluetooth Speaker</t>
        </is>
      </c>
      <c r="F3936" s="2" t="inlineStr">
        <is>
          <t>Electronics</t>
        </is>
      </c>
      <c r="G3936" s="2" t="inlineStr">
        <is>
          <t>West</t>
        </is>
      </c>
      <c r="H3936" s="2" t="inlineStr">
        <is>
          <t>Gujarat</t>
        </is>
      </c>
      <c r="I3936" s="2" t="inlineStr">
        <is>
          <t>Vadodara</t>
        </is>
      </c>
      <c r="J3936" s="2" t="inlineStr">
        <is>
          <t>Online</t>
        </is>
      </c>
      <c r="K3936" s="2" t="n">
        <v>1</v>
      </c>
      <c r="L3936" s="3" t="n">
        <v>1359.94</v>
      </c>
      <c r="M3936" s="4" t="n">
        <v>0.05</v>
      </c>
      <c r="N3936" s="3" t="n">
        <v>825.25</v>
      </c>
      <c r="O3936" s="3">
        <f>K3936*L3936*(1-M3936)</f>
        <v/>
      </c>
      <c r="P3936" s="3">
        <f>O3936-N3936</f>
        <v/>
      </c>
      <c r="Q3936" s="5">
        <f>IFERROR(P3936/O3936,0)</f>
        <v/>
      </c>
      <c r="R3936" s="2">
        <f>TEXT(DATEVALUE(B3936),"mmm")</f>
        <v/>
      </c>
      <c r="S3936" s="2">
        <f>TEXT(DATEVALUE(B3936),"yyyy-mm")</f>
        <v/>
      </c>
    </row>
    <row r="3937">
      <c r="A3937" s="2" t="inlineStr">
        <is>
          <t>O001059</t>
        </is>
      </c>
      <c r="B3937" s="2" t="inlineStr">
        <is>
          <t>2025-10-15</t>
        </is>
      </c>
      <c r="C3937" s="2" t="inlineStr">
        <is>
          <t>C0298</t>
        </is>
      </c>
      <c r="D3937" s="2" t="inlineStr">
        <is>
          <t>P0013</t>
        </is>
      </c>
      <c r="E3937" s="2" t="inlineStr">
        <is>
          <t>Storage Organizer</t>
        </is>
      </c>
      <c r="F3937" s="2" t="inlineStr">
        <is>
          <t>Home &amp; Kitchen</t>
        </is>
      </c>
      <c r="G3937" s="2" t="inlineStr">
        <is>
          <t>North</t>
        </is>
      </c>
      <c r="H3937" s="2" t="inlineStr">
        <is>
          <t>Haryana</t>
        </is>
      </c>
      <c r="I3937" s="2" t="inlineStr">
        <is>
          <t>Faridabad</t>
        </is>
      </c>
      <c r="J3937" s="2" t="inlineStr">
        <is>
          <t>Online</t>
        </is>
      </c>
      <c r="K3937" s="2" t="n">
        <v>1</v>
      </c>
      <c r="L3937" s="3" t="n">
        <v>552.39</v>
      </c>
      <c r="M3937" s="4" t="n">
        <v>0.1</v>
      </c>
      <c r="N3937" s="3" t="n">
        <v>354.58</v>
      </c>
      <c r="O3937" s="3">
        <f>K3937*L3937*(1-M3937)</f>
        <v/>
      </c>
      <c r="P3937" s="3">
        <f>O3937-N3937</f>
        <v/>
      </c>
      <c r="Q3937" s="5">
        <f>IFERROR(P3937/O3937,0)</f>
        <v/>
      </c>
      <c r="R3937" s="2">
        <f>TEXT(DATEVALUE(B3937),"mmm")</f>
        <v/>
      </c>
      <c r="S3937" s="2">
        <f>TEXT(DATEVALUE(B3937),"yyyy-mm")</f>
        <v/>
      </c>
    </row>
    <row r="3938">
      <c r="A3938" s="2" t="inlineStr">
        <is>
          <t>O000761</t>
        </is>
      </c>
      <c r="B3938" s="2" t="inlineStr">
        <is>
          <t>2025-10-15</t>
        </is>
      </c>
      <c r="C3938" s="2" t="inlineStr">
        <is>
          <t>C0697</t>
        </is>
      </c>
      <c r="D3938" s="2" t="inlineStr">
        <is>
          <t>P0032</t>
        </is>
      </c>
      <c r="E3938" s="2" t="inlineStr">
        <is>
          <t>Football</t>
        </is>
      </c>
      <c r="F3938" s="2" t="inlineStr">
        <is>
          <t>Sports</t>
        </is>
      </c>
      <c r="G3938" s="2" t="inlineStr">
        <is>
          <t>West</t>
        </is>
      </c>
      <c r="H3938" s="2" t="inlineStr">
        <is>
          <t>Maharashtra</t>
        </is>
      </c>
      <c r="I3938" s="2" t="inlineStr">
        <is>
          <t>Pune</t>
        </is>
      </c>
      <c r="J3938" s="2" t="inlineStr">
        <is>
          <t>Store</t>
        </is>
      </c>
      <c r="K3938" s="2" t="n">
        <v>1</v>
      </c>
      <c r="L3938" s="3" t="n">
        <v>839.27</v>
      </c>
      <c r="M3938" s="4" t="n">
        <v>0.05</v>
      </c>
      <c r="N3938" s="3" t="n">
        <v>531.3200000000001</v>
      </c>
      <c r="O3938" s="3">
        <f>K3938*L3938*(1-M3938)</f>
        <v/>
      </c>
      <c r="P3938" s="3">
        <f>O3938-N3938</f>
        <v/>
      </c>
      <c r="Q3938" s="5">
        <f>IFERROR(P3938/O3938,0)</f>
        <v/>
      </c>
      <c r="R3938" s="2">
        <f>TEXT(DATEVALUE(B3938),"mmm")</f>
        <v/>
      </c>
      <c r="S3938" s="2">
        <f>TEXT(DATEVALUE(B3938),"yyyy-mm")</f>
        <v/>
      </c>
    </row>
    <row r="3939">
      <c r="A3939" s="2" t="inlineStr">
        <is>
          <t>O000392</t>
        </is>
      </c>
      <c r="B3939" s="2" t="inlineStr">
        <is>
          <t>2025-10-15</t>
        </is>
      </c>
      <c r="C3939" s="2" t="inlineStr">
        <is>
          <t>C0205</t>
        </is>
      </c>
      <c r="D3939" s="2" t="inlineStr">
        <is>
          <t>P0024</t>
        </is>
      </c>
      <c r="E3939" s="2" t="inlineStr">
        <is>
          <t>Hair Dryer</t>
        </is>
      </c>
      <c r="F3939" s="2" t="inlineStr">
        <is>
          <t>Beauty</t>
        </is>
      </c>
      <c r="G3939" s="2" t="inlineStr">
        <is>
          <t>South</t>
        </is>
      </c>
      <c r="H3939" s="2" t="inlineStr">
        <is>
          <t>Karnataka</t>
        </is>
      </c>
      <c r="I3939" s="2" t="inlineStr">
        <is>
          <t>Mysuru</t>
        </is>
      </c>
      <c r="J3939" s="2" t="inlineStr">
        <is>
          <t>Online</t>
        </is>
      </c>
      <c r="K3939" s="2" t="n">
        <v>1</v>
      </c>
      <c r="L3939" s="3" t="n">
        <v>1002.65</v>
      </c>
      <c r="M3939" s="4" t="n">
        <v>0</v>
      </c>
      <c r="N3939" s="3" t="n">
        <v>731.79</v>
      </c>
      <c r="O3939" s="3">
        <f>K3939*L3939*(1-M3939)</f>
        <v/>
      </c>
      <c r="P3939" s="3">
        <f>O3939-N3939</f>
        <v/>
      </c>
      <c r="Q3939" s="5">
        <f>IFERROR(P3939/O3939,0)</f>
        <v/>
      </c>
      <c r="R3939" s="2">
        <f>TEXT(DATEVALUE(B3939),"mmm")</f>
        <v/>
      </c>
      <c r="S3939" s="2">
        <f>TEXT(DATEVALUE(B3939),"yyyy-mm")</f>
        <v/>
      </c>
    </row>
    <row r="3940">
      <c r="A3940" s="2" t="inlineStr">
        <is>
          <t>O001887</t>
        </is>
      </c>
      <c r="B3940" s="2" t="inlineStr">
        <is>
          <t>2025-10-15</t>
        </is>
      </c>
      <c r="C3940" s="2" t="inlineStr">
        <is>
          <t>C0442</t>
        </is>
      </c>
      <c r="D3940" s="2" t="inlineStr">
        <is>
          <t>P0022</t>
        </is>
      </c>
      <c r="E3940" s="2" t="inlineStr">
        <is>
          <t>Face Wash</t>
        </is>
      </c>
      <c r="F3940" s="2" t="inlineStr">
        <is>
          <t>Beauty</t>
        </is>
      </c>
      <c r="G3940" s="2" t="inlineStr">
        <is>
          <t>East</t>
        </is>
      </c>
      <c r="H3940" s="2" t="inlineStr">
        <is>
          <t>West Bengal</t>
        </is>
      </c>
      <c r="I3940" s="2" t="inlineStr">
        <is>
          <t>Durgapur</t>
        </is>
      </c>
      <c r="J3940" s="2" t="inlineStr">
        <is>
          <t>Online</t>
        </is>
      </c>
      <c r="K3940" s="2" t="n">
        <v>2</v>
      </c>
      <c r="L3940" s="3" t="n">
        <v>528.76</v>
      </c>
      <c r="M3940" s="4" t="n">
        <v>0.15</v>
      </c>
      <c r="N3940" s="3" t="n">
        <v>710.25</v>
      </c>
      <c r="O3940" s="3">
        <f>K3940*L3940*(1-M3940)</f>
        <v/>
      </c>
      <c r="P3940" s="3">
        <f>O3940-N3940</f>
        <v/>
      </c>
      <c r="Q3940" s="5">
        <f>IFERROR(P3940/O3940,0)</f>
        <v/>
      </c>
      <c r="R3940" s="2">
        <f>TEXT(DATEVALUE(B3940),"mmm")</f>
        <v/>
      </c>
      <c r="S3940" s="2">
        <f>TEXT(DATEVALUE(B3940),"yyyy-mm")</f>
        <v/>
      </c>
    </row>
    <row r="3941">
      <c r="A3941" s="2" t="inlineStr">
        <is>
          <t>O002397</t>
        </is>
      </c>
      <c r="B3941" s="2" t="inlineStr">
        <is>
          <t>2025-10-16</t>
        </is>
      </c>
      <c r="C3941" s="2" t="inlineStr">
        <is>
          <t>C0131</t>
        </is>
      </c>
      <c r="D3941" s="2" t="inlineStr">
        <is>
          <t>P0014</t>
        </is>
      </c>
      <c r="E3941" s="2" t="inlineStr">
        <is>
          <t>Coffee Maker</t>
        </is>
      </c>
      <c r="F3941" s="2" t="inlineStr">
        <is>
          <t>Home &amp; Kitchen</t>
        </is>
      </c>
      <c r="G3941" s="2" t="inlineStr">
        <is>
          <t>East</t>
        </is>
      </c>
      <c r="H3941" s="2" t="inlineStr">
        <is>
          <t>West Bengal</t>
        </is>
      </c>
      <c r="I3941" s="2" t="inlineStr">
        <is>
          <t>Kolkata</t>
        </is>
      </c>
      <c r="J3941" s="2" t="inlineStr">
        <is>
          <t>Online</t>
        </is>
      </c>
      <c r="K3941" s="2" t="n">
        <v>2</v>
      </c>
      <c r="L3941" s="3" t="n">
        <v>1008.8</v>
      </c>
      <c r="M3941" s="4" t="n">
        <v>0.1</v>
      </c>
      <c r="N3941" s="3" t="n">
        <v>1546.75</v>
      </c>
      <c r="O3941" s="3">
        <f>K3941*L3941*(1-M3941)</f>
        <v/>
      </c>
      <c r="P3941" s="3">
        <f>O3941-N3941</f>
        <v/>
      </c>
      <c r="Q3941" s="5">
        <f>IFERROR(P3941/O3941,0)</f>
        <v/>
      </c>
      <c r="R3941" s="2">
        <f>TEXT(DATEVALUE(B3941),"mmm")</f>
        <v/>
      </c>
      <c r="S3941" s="2">
        <f>TEXT(DATEVALUE(B3941),"yyyy-mm")</f>
        <v/>
      </c>
    </row>
    <row r="3942">
      <c r="A3942" s="2" t="inlineStr">
        <is>
          <t>O002892</t>
        </is>
      </c>
      <c r="B3942" s="2" t="inlineStr">
        <is>
          <t>2025-10-16</t>
        </is>
      </c>
      <c r="C3942" s="2" t="inlineStr">
        <is>
          <t>C0793</t>
        </is>
      </c>
      <c r="D3942" s="2" t="inlineStr">
        <is>
          <t>P0030</t>
        </is>
      </c>
      <c r="E3942" s="2" t="inlineStr">
        <is>
          <t>Dumbbells</t>
        </is>
      </c>
      <c r="F3942" s="2" t="inlineStr">
        <is>
          <t>Sports</t>
        </is>
      </c>
      <c r="G3942" s="2" t="inlineStr">
        <is>
          <t>North</t>
        </is>
      </c>
      <c r="H3942" s="2" t="inlineStr">
        <is>
          <t>Uttar Pradesh</t>
        </is>
      </c>
      <c r="I3942" s="2" t="inlineStr">
        <is>
          <t>Varanasi</t>
        </is>
      </c>
      <c r="J3942" s="2" t="inlineStr">
        <is>
          <t>Store</t>
        </is>
      </c>
      <c r="K3942" s="2" t="n">
        <v>6</v>
      </c>
      <c r="L3942" s="3" t="n">
        <v>1588.26</v>
      </c>
      <c r="M3942" s="4" t="n">
        <v>0</v>
      </c>
      <c r="N3942" s="3" t="n">
        <v>6208.87</v>
      </c>
      <c r="O3942" s="3">
        <f>K3942*L3942*(1-M3942)</f>
        <v/>
      </c>
      <c r="P3942" s="3">
        <f>O3942-N3942</f>
        <v/>
      </c>
      <c r="Q3942" s="5">
        <f>IFERROR(P3942/O3942,0)</f>
        <v/>
      </c>
      <c r="R3942" s="2">
        <f>TEXT(DATEVALUE(B3942),"mmm")</f>
        <v/>
      </c>
      <c r="S3942" s="2">
        <f>TEXT(DATEVALUE(B3942),"yyyy-mm")</f>
        <v/>
      </c>
    </row>
    <row r="3943">
      <c r="A3943" s="2" t="inlineStr">
        <is>
          <t>O003062</t>
        </is>
      </c>
      <c r="B3943" s="2" t="inlineStr">
        <is>
          <t>2025-10-16</t>
        </is>
      </c>
      <c r="C3943" s="2" t="inlineStr">
        <is>
          <t>C0015</t>
        </is>
      </c>
      <c r="D3943" s="2" t="inlineStr">
        <is>
          <t>P0017</t>
        </is>
      </c>
      <c r="E3943" s="2" t="inlineStr">
        <is>
          <t>Jeans</t>
        </is>
      </c>
      <c r="F3943" s="2" t="inlineStr">
        <is>
          <t>Fashion</t>
        </is>
      </c>
      <c r="G3943" s="2" t="inlineStr">
        <is>
          <t>East</t>
        </is>
      </c>
      <c r="H3943" s="2" t="inlineStr">
        <is>
          <t>Odisha</t>
        </is>
      </c>
      <c r="I3943" s="2" t="inlineStr">
        <is>
          <t>Bhubaneswar</t>
        </is>
      </c>
      <c r="J3943" s="2" t="inlineStr">
        <is>
          <t>Online</t>
        </is>
      </c>
      <c r="K3943" s="2" t="n">
        <v>1</v>
      </c>
      <c r="L3943" s="3" t="n">
        <v>1537.99</v>
      </c>
      <c r="M3943" s="4" t="n">
        <v>0.1</v>
      </c>
      <c r="N3943" s="3" t="n">
        <v>1011.16</v>
      </c>
      <c r="O3943" s="3">
        <f>K3943*L3943*(1-M3943)</f>
        <v/>
      </c>
      <c r="P3943" s="3">
        <f>O3943-N3943</f>
        <v/>
      </c>
      <c r="Q3943" s="5">
        <f>IFERROR(P3943/O3943,0)</f>
        <v/>
      </c>
      <c r="R3943" s="2">
        <f>TEXT(DATEVALUE(B3943),"mmm")</f>
        <v/>
      </c>
      <c r="S3943" s="2">
        <f>TEXT(DATEVALUE(B3943),"yyyy-mm")</f>
        <v/>
      </c>
    </row>
    <row r="3944">
      <c r="A3944" s="2" t="inlineStr">
        <is>
          <t>O002070</t>
        </is>
      </c>
      <c r="B3944" s="2" t="inlineStr">
        <is>
          <t>2025-10-16</t>
        </is>
      </c>
      <c r="C3944" s="2" t="inlineStr">
        <is>
          <t>C0172</t>
        </is>
      </c>
      <c r="D3944" s="2" t="inlineStr">
        <is>
          <t>P0011</t>
        </is>
      </c>
      <c r="E3944" s="2" t="inlineStr">
        <is>
          <t>Cookware Set</t>
        </is>
      </c>
      <c r="F3944" s="2" t="inlineStr">
        <is>
          <t>Home &amp; Kitchen</t>
        </is>
      </c>
      <c r="G3944" s="2" t="inlineStr">
        <is>
          <t>West</t>
        </is>
      </c>
      <c r="H3944" s="2" t="inlineStr">
        <is>
          <t>Goa</t>
        </is>
      </c>
      <c r="I3944" s="2" t="inlineStr">
        <is>
          <t>Margao</t>
        </is>
      </c>
      <c r="J3944" s="2" t="inlineStr">
        <is>
          <t>Store</t>
        </is>
      </c>
      <c r="K3944" s="2" t="n">
        <v>1</v>
      </c>
      <c r="L3944" s="3" t="n">
        <v>734.3099999999999</v>
      </c>
      <c r="M3944" s="4" t="n">
        <v>0</v>
      </c>
      <c r="N3944" s="3" t="n">
        <v>468.41</v>
      </c>
      <c r="O3944" s="3">
        <f>K3944*L3944*(1-M3944)</f>
        <v/>
      </c>
      <c r="P3944" s="3">
        <f>O3944-N3944</f>
        <v/>
      </c>
      <c r="Q3944" s="5">
        <f>IFERROR(P3944/O3944,0)</f>
        <v/>
      </c>
      <c r="R3944" s="2">
        <f>TEXT(DATEVALUE(B3944),"mmm")</f>
        <v/>
      </c>
      <c r="S3944" s="2">
        <f>TEXT(DATEVALUE(B3944),"yyyy-mm")</f>
        <v/>
      </c>
    </row>
    <row r="3945">
      <c r="A3945" s="2" t="inlineStr">
        <is>
          <t>O004226</t>
        </is>
      </c>
      <c r="B3945" s="2" t="inlineStr">
        <is>
          <t>2025-10-16</t>
        </is>
      </c>
      <c r="C3945" s="2" t="inlineStr">
        <is>
          <t>C0384</t>
        </is>
      </c>
      <c r="D3945" s="2" t="inlineStr">
        <is>
          <t>P0002</t>
        </is>
      </c>
      <c r="E3945" s="2" t="inlineStr">
        <is>
          <t>Bluetooth Speaker</t>
        </is>
      </c>
      <c r="F3945" s="2" t="inlineStr">
        <is>
          <t>Electronics</t>
        </is>
      </c>
      <c r="G3945" s="2" t="inlineStr">
        <is>
          <t>East</t>
        </is>
      </c>
      <c r="H3945" s="2" t="inlineStr">
        <is>
          <t>West Bengal</t>
        </is>
      </c>
      <c r="I3945" s="2" t="inlineStr">
        <is>
          <t>Kolkata</t>
        </is>
      </c>
      <c r="J3945" s="2" t="inlineStr">
        <is>
          <t>Online</t>
        </is>
      </c>
      <c r="K3945" s="2" t="n">
        <v>1</v>
      </c>
      <c r="L3945" s="3" t="n">
        <v>1386.34</v>
      </c>
      <c r="M3945" s="4" t="n">
        <v>0.1</v>
      </c>
      <c r="N3945" s="3" t="n">
        <v>831.91</v>
      </c>
      <c r="O3945" s="3">
        <f>K3945*L3945*(1-M3945)</f>
        <v/>
      </c>
      <c r="P3945" s="3">
        <f>O3945-N3945</f>
        <v/>
      </c>
      <c r="Q3945" s="5">
        <f>IFERROR(P3945/O3945,0)</f>
        <v/>
      </c>
      <c r="R3945" s="2">
        <f>TEXT(DATEVALUE(B3945),"mmm")</f>
        <v/>
      </c>
      <c r="S3945" s="2">
        <f>TEXT(DATEVALUE(B3945),"yyyy-mm")</f>
        <v/>
      </c>
    </row>
    <row r="3946">
      <c r="A3946" s="2" t="inlineStr">
        <is>
          <t>O004285</t>
        </is>
      </c>
      <c r="B3946" s="2" t="inlineStr">
        <is>
          <t>2025-10-16</t>
        </is>
      </c>
      <c r="C3946" s="2" t="inlineStr">
        <is>
          <t>C0359</t>
        </is>
      </c>
      <c r="D3946" s="2" t="inlineStr">
        <is>
          <t>P0026</t>
        </is>
      </c>
      <c r="E3946" s="2" t="inlineStr">
        <is>
          <t>Shampoo</t>
        </is>
      </c>
      <c r="F3946" s="2" t="inlineStr">
        <is>
          <t>Beauty</t>
        </is>
      </c>
      <c r="G3946" s="2" t="inlineStr">
        <is>
          <t>North</t>
        </is>
      </c>
      <c r="H3946" s="2" t="inlineStr">
        <is>
          <t>Haryana</t>
        </is>
      </c>
      <c r="I3946" s="2" t="inlineStr">
        <is>
          <t>Gurugram</t>
        </is>
      </c>
      <c r="J3946" s="2" t="inlineStr">
        <is>
          <t>Store</t>
        </is>
      </c>
      <c r="K3946" s="2" t="n">
        <v>4</v>
      </c>
      <c r="L3946" s="3" t="n">
        <v>889.77</v>
      </c>
      <c r="M3946" s="4" t="n">
        <v>0.05</v>
      </c>
      <c r="N3946" s="3" t="n">
        <v>2159.94</v>
      </c>
      <c r="O3946" s="3">
        <f>K3946*L3946*(1-M3946)</f>
        <v/>
      </c>
      <c r="P3946" s="3">
        <f>O3946-N3946</f>
        <v/>
      </c>
      <c r="Q3946" s="5">
        <f>IFERROR(P3946/O3946,0)</f>
        <v/>
      </c>
      <c r="R3946" s="2">
        <f>TEXT(DATEVALUE(B3946),"mmm")</f>
        <v/>
      </c>
      <c r="S3946" s="2">
        <f>TEXT(DATEVALUE(B3946),"yyyy-mm")</f>
        <v/>
      </c>
    </row>
    <row r="3947">
      <c r="A3947" s="2" t="inlineStr">
        <is>
          <t>O004567</t>
        </is>
      </c>
      <c r="B3947" s="2" t="inlineStr">
        <is>
          <t>2025-10-16</t>
        </is>
      </c>
      <c r="C3947" s="2" t="inlineStr">
        <is>
          <t>C0694</t>
        </is>
      </c>
      <c r="D3947" s="2" t="inlineStr">
        <is>
          <t>P0001</t>
        </is>
      </c>
      <c r="E3947" s="2" t="inlineStr">
        <is>
          <t>Wireless Headphones</t>
        </is>
      </c>
      <c r="F3947" s="2" t="inlineStr">
        <is>
          <t>Electronics</t>
        </is>
      </c>
      <c r="G3947" s="2" t="inlineStr">
        <is>
          <t>West</t>
        </is>
      </c>
      <c r="H3947" s="2" t="inlineStr">
        <is>
          <t>Goa</t>
        </is>
      </c>
      <c r="I3947" s="2" t="inlineStr">
        <is>
          <t>Margao</t>
        </is>
      </c>
      <c r="J3947" s="2" t="inlineStr">
        <is>
          <t>Store</t>
        </is>
      </c>
      <c r="K3947" s="2" t="n">
        <v>2</v>
      </c>
      <c r="L3947" s="3" t="n">
        <v>1321.66</v>
      </c>
      <c r="M3947" s="4" t="n">
        <v>0.1</v>
      </c>
      <c r="N3947" s="3" t="n">
        <v>1395.37</v>
      </c>
      <c r="O3947" s="3">
        <f>K3947*L3947*(1-M3947)</f>
        <v/>
      </c>
      <c r="P3947" s="3">
        <f>O3947-N3947</f>
        <v/>
      </c>
      <c r="Q3947" s="5">
        <f>IFERROR(P3947/O3947,0)</f>
        <v/>
      </c>
      <c r="R3947" s="2">
        <f>TEXT(DATEVALUE(B3947),"mmm")</f>
        <v/>
      </c>
      <c r="S3947" s="2">
        <f>TEXT(DATEVALUE(B3947),"yyyy-mm")</f>
        <v/>
      </c>
    </row>
    <row r="3948">
      <c r="A3948" s="2" t="inlineStr">
        <is>
          <t>O004592</t>
        </is>
      </c>
      <c r="B3948" s="2" t="inlineStr">
        <is>
          <t>2025-10-16</t>
        </is>
      </c>
      <c r="C3948" s="2" t="inlineStr">
        <is>
          <t>C0794</t>
        </is>
      </c>
      <c r="D3948" s="2" t="inlineStr">
        <is>
          <t>P0024</t>
        </is>
      </c>
      <c r="E3948" s="2" t="inlineStr">
        <is>
          <t>Hair Dryer</t>
        </is>
      </c>
      <c r="F3948" s="2" t="inlineStr">
        <is>
          <t>Beauty</t>
        </is>
      </c>
      <c r="G3948" s="2" t="inlineStr">
        <is>
          <t>South</t>
        </is>
      </c>
      <c r="H3948" s="2" t="inlineStr">
        <is>
          <t>Karnataka</t>
        </is>
      </c>
      <c r="I3948" s="2" t="inlineStr">
        <is>
          <t>Mangaluru</t>
        </is>
      </c>
      <c r="J3948" s="2" t="inlineStr">
        <is>
          <t>Online</t>
        </is>
      </c>
      <c r="K3948" s="2" t="n">
        <v>1</v>
      </c>
      <c r="L3948" s="3" t="n">
        <v>968.79</v>
      </c>
      <c r="M3948" s="4" t="n">
        <v>0.05</v>
      </c>
      <c r="N3948" s="3" t="n">
        <v>757.91</v>
      </c>
      <c r="O3948" s="3">
        <f>K3948*L3948*(1-M3948)</f>
        <v/>
      </c>
      <c r="P3948" s="3">
        <f>O3948-N3948</f>
        <v/>
      </c>
      <c r="Q3948" s="5">
        <f>IFERROR(P3948/O3948,0)</f>
        <v/>
      </c>
      <c r="R3948" s="2">
        <f>TEXT(DATEVALUE(B3948),"mmm")</f>
        <v/>
      </c>
      <c r="S3948" s="2">
        <f>TEXT(DATEVALUE(B3948),"yyyy-mm")</f>
        <v/>
      </c>
    </row>
    <row r="3949">
      <c r="A3949" s="2" t="inlineStr">
        <is>
          <t>O001826</t>
        </is>
      </c>
      <c r="B3949" s="2" t="inlineStr">
        <is>
          <t>2025-10-16</t>
        </is>
      </c>
      <c r="C3949" s="2" t="inlineStr">
        <is>
          <t>C0319</t>
        </is>
      </c>
      <c r="D3949" s="2" t="inlineStr">
        <is>
          <t>P0011</t>
        </is>
      </c>
      <c r="E3949" s="2" t="inlineStr">
        <is>
          <t>Cookware Set</t>
        </is>
      </c>
      <c r="F3949" s="2" t="inlineStr">
        <is>
          <t>Home &amp; Kitchen</t>
        </is>
      </c>
      <c r="G3949" s="2" t="inlineStr">
        <is>
          <t>East</t>
        </is>
      </c>
      <c r="H3949" s="2" t="inlineStr">
        <is>
          <t>West Bengal</t>
        </is>
      </c>
      <c r="I3949" s="2" t="inlineStr">
        <is>
          <t>Kolkata</t>
        </is>
      </c>
      <c r="J3949" s="2" t="inlineStr">
        <is>
          <t>Store</t>
        </is>
      </c>
      <c r="K3949" s="2" t="n">
        <v>1</v>
      </c>
      <c r="L3949" s="3" t="n">
        <v>682.85</v>
      </c>
      <c r="M3949" s="4" t="n">
        <v>0</v>
      </c>
      <c r="N3949" s="3" t="n">
        <v>472.14</v>
      </c>
      <c r="O3949" s="3">
        <f>K3949*L3949*(1-M3949)</f>
        <v/>
      </c>
      <c r="P3949" s="3">
        <f>O3949-N3949</f>
        <v/>
      </c>
      <c r="Q3949" s="5">
        <f>IFERROR(P3949/O3949,0)</f>
        <v/>
      </c>
      <c r="R3949" s="2">
        <f>TEXT(DATEVALUE(B3949),"mmm")</f>
        <v/>
      </c>
      <c r="S3949" s="2">
        <f>TEXT(DATEVALUE(B3949),"yyyy-mm")</f>
        <v/>
      </c>
    </row>
    <row r="3950">
      <c r="A3950" s="2" t="inlineStr">
        <is>
          <t>O000723</t>
        </is>
      </c>
      <c r="B3950" s="2" t="inlineStr">
        <is>
          <t>2025-10-16</t>
        </is>
      </c>
      <c r="C3950" s="2" t="inlineStr">
        <is>
          <t>C0694</t>
        </is>
      </c>
      <c r="D3950" s="2" t="inlineStr">
        <is>
          <t>P0007</t>
        </is>
      </c>
      <c r="E3950" s="2" t="inlineStr">
        <is>
          <t>Wireless Mouse</t>
        </is>
      </c>
      <c r="F3950" s="2" t="inlineStr">
        <is>
          <t>Electronics</t>
        </is>
      </c>
      <c r="G3950" s="2" t="inlineStr">
        <is>
          <t>South</t>
        </is>
      </c>
      <c r="H3950" s="2" t="inlineStr">
        <is>
          <t>Telangana</t>
        </is>
      </c>
      <c r="I3950" s="2" t="inlineStr">
        <is>
          <t>Warangal</t>
        </is>
      </c>
      <c r="J3950" s="2" t="inlineStr">
        <is>
          <t>Online</t>
        </is>
      </c>
      <c r="K3950" s="2" t="n">
        <v>5</v>
      </c>
      <c r="L3950" s="3" t="n">
        <v>952.87</v>
      </c>
      <c r="M3950" s="4" t="n">
        <v>0</v>
      </c>
      <c r="N3950" s="3" t="n">
        <v>3220.79</v>
      </c>
      <c r="O3950" s="3">
        <f>K3950*L3950*(1-M3950)</f>
        <v/>
      </c>
      <c r="P3950" s="3">
        <f>O3950-N3950</f>
        <v/>
      </c>
      <c r="Q3950" s="5">
        <f>IFERROR(P3950/O3950,0)</f>
        <v/>
      </c>
      <c r="R3950" s="2">
        <f>TEXT(DATEVALUE(B3950),"mmm")</f>
        <v/>
      </c>
      <c r="S3950" s="2">
        <f>TEXT(DATEVALUE(B3950),"yyyy-mm")</f>
        <v/>
      </c>
    </row>
    <row r="3951">
      <c r="A3951" s="2" t="inlineStr">
        <is>
          <t>O001629</t>
        </is>
      </c>
      <c r="B3951" s="2" t="inlineStr">
        <is>
          <t>2025-10-16</t>
        </is>
      </c>
      <c r="C3951" s="2" t="inlineStr">
        <is>
          <t>C0319</t>
        </is>
      </c>
      <c r="D3951" s="2" t="inlineStr">
        <is>
          <t>P0015</t>
        </is>
      </c>
      <c r="E3951" s="2" t="inlineStr">
        <is>
          <t>Running Shoes</t>
        </is>
      </c>
      <c r="F3951" s="2" t="inlineStr">
        <is>
          <t>Fashion</t>
        </is>
      </c>
      <c r="G3951" s="2" t="inlineStr">
        <is>
          <t>East</t>
        </is>
      </c>
      <c r="H3951" s="2" t="inlineStr">
        <is>
          <t>Bihar</t>
        </is>
      </c>
      <c r="I3951" s="2" t="inlineStr">
        <is>
          <t>Patna</t>
        </is>
      </c>
      <c r="J3951" s="2" t="inlineStr">
        <is>
          <t>Online</t>
        </is>
      </c>
      <c r="K3951" s="2" t="n">
        <v>5</v>
      </c>
      <c r="L3951" s="3" t="n">
        <v>587.96</v>
      </c>
      <c r="M3951" s="4" t="n">
        <v>0.05</v>
      </c>
      <c r="N3951" s="3" t="n">
        <v>1879.12</v>
      </c>
      <c r="O3951" s="3">
        <f>K3951*L3951*(1-M3951)</f>
        <v/>
      </c>
      <c r="P3951" s="3">
        <f>O3951-N3951</f>
        <v/>
      </c>
      <c r="Q3951" s="5">
        <f>IFERROR(P3951/O3951,0)</f>
        <v/>
      </c>
      <c r="R3951" s="2">
        <f>TEXT(DATEVALUE(B3951),"mmm")</f>
        <v/>
      </c>
      <c r="S3951" s="2">
        <f>TEXT(DATEVALUE(B3951),"yyyy-mm")</f>
        <v/>
      </c>
    </row>
    <row r="3952">
      <c r="A3952" s="2" t="inlineStr">
        <is>
          <t>O001805</t>
        </is>
      </c>
      <c r="B3952" s="2" t="inlineStr">
        <is>
          <t>2025-10-16</t>
        </is>
      </c>
      <c r="C3952" s="2" t="inlineStr">
        <is>
          <t>C0333</t>
        </is>
      </c>
      <c r="D3952" s="2" t="inlineStr">
        <is>
          <t>P0010</t>
        </is>
      </c>
      <c r="E3952" s="2" t="inlineStr">
        <is>
          <t>Mixer Grinder</t>
        </is>
      </c>
      <c r="F3952" s="2" t="inlineStr">
        <is>
          <t>Home &amp; Kitchen</t>
        </is>
      </c>
      <c r="G3952" s="2" t="inlineStr">
        <is>
          <t>South</t>
        </is>
      </c>
      <c r="H3952" s="2" t="inlineStr">
        <is>
          <t>Telangana</t>
        </is>
      </c>
      <c r="I3952" s="2" t="inlineStr">
        <is>
          <t>Hyderabad</t>
        </is>
      </c>
      <c r="J3952" s="2" t="inlineStr">
        <is>
          <t>Online</t>
        </is>
      </c>
      <c r="K3952" s="2" t="n">
        <v>4</v>
      </c>
      <c r="L3952" s="3" t="n">
        <v>1669.38</v>
      </c>
      <c r="M3952" s="4" t="n">
        <v>0.1</v>
      </c>
      <c r="N3952" s="3" t="n">
        <v>4090.71</v>
      </c>
      <c r="O3952" s="3">
        <f>K3952*L3952*(1-M3952)</f>
        <v/>
      </c>
      <c r="P3952" s="3">
        <f>O3952-N3952</f>
        <v/>
      </c>
      <c r="Q3952" s="5">
        <f>IFERROR(P3952/O3952,0)</f>
        <v/>
      </c>
      <c r="R3952" s="2">
        <f>TEXT(DATEVALUE(B3952),"mmm")</f>
        <v/>
      </c>
      <c r="S3952" s="2">
        <f>TEXT(DATEVALUE(B3952),"yyyy-mm")</f>
        <v/>
      </c>
    </row>
    <row r="3953">
      <c r="A3953" s="2" t="inlineStr">
        <is>
          <t>O000106</t>
        </is>
      </c>
      <c r="B3953" s="2" t="inlineStr">
        <is>
          <t>2025-10-16</t>
        </is>
      </c>
      <c r="C3953" s="2" t="inlineStr">
        <is>
          <t>C0632</t>
        </is>
      </c>
      <c r="D3953" s="2" t="inlineStr">
        <is>
          <t>P0031</t>
        </is>
      </c>
      <c r="E3953" s="2" t="inlineStr">
        <is>
          <t>Cricket Bat</t>
        </is>
      </c>
      <c r="F3953" s="2" t="inlineStr">
        <is>
          <t>Sports</t>
        </is>
      </c>
      <c r="G3953" s="2" t="inlineStr">
        <is>
          <t>West</t>
        </is>
      </c>
      <c r="H3953" s="2" t="inlineStr">
        <is>
          <t>Goa</t>
        </is>
      </c>
      <c r="I3953" s="2" t="inlineStr">
        <is>
          <t>Margao</t>
        </is>
      </c>
      <c r="J3953" s="2" t="inlineStr">
        <is>
          <t>Online</t>
        </is>
      </c>
      <c r="K3953" s="2" t="n">
        <v>2</v>
      </c>
      <c r="L3953" s="3" t="n">
        <v>1389.98</v>
      </c>
      <c r="M3953" s="4" t="n">
        <v>0.05</v>
      </c>
      <c r="N3953" s="3" t="n">
        <v>1857.37</v>
      </c>
      <c r="O3953" s="3">
        <f>K3953*L3953*(1-M3953)</f>
        <v/>
      </c>
      <c r="P3953" s="3">
        <f>O3953-N3953</f>
        <v/>
      </c>
      <c r="Q3953" s="5">
        <f>IFERROR(P3953/O3953,0)</f>
        <v/>
      </c>
      <c r="R3953" s="2">
        <f>TEXT(DATEVALUE(B3953),"mmm")</f>
        <v/>
      </c>
      <c r="S3953" s="2">
        <f>TEXT(DATEVALUE(B3953),"yyyy-mm")</f>
        <v/>
      </c>
    </row>
    <row r="3954">
      <c r="A3954" s="2" t="inlineStr">
        <is>
          <t>O000300</t>
        </is>
      </c>
      <c r="B3954" s="2" t="inlineStr">
        <is>
          <t>2025-10-16</t>
        </is>
      </c>
      <c r="C3954" s="2" t="inlineStr">
        <is>
          <t>C0597</t>
        </is>
      </c>
      <c r="D3954" s="2" t="inlineStr">
        <is>
          <t>P0001</t>
        </is>
      </c>
      <c r="E3954" s="2" t="inlineStr">
        <is>
          <t>Wireless Headphones</t>
        </is>
      </c>
      <c r="F3954" s="2" t="inlineStr">
        <is>
          <t>Electronics</t>
        </is>
      </c>
      <c r="G3954" s="2" t="inlineStr">
        <is>
          <t>East</t>
        </is>
      </c>
      <c r="H3954" s="2" t="inlineStr">
        <is>
          <t>West Bengal</t>
        </is>
      </c>
      <c r="I3954" s="2" t="inlineStr">
        <is>
          <t>Durgapur</t>
        </is>
      </c>
      <c r="J3954" s="2" t="inlineStr">
        <is>
          <t>Store</t>
        </is>
      </c>
      <c r="K3954" s="2" t="n">
        <v>2</v>
      </c>
      <c r="L3954" s="3" t="n">
        <v>1373.54</v>
      </c>
      <c r="M3954" s="4" t="n">
        <v>0.1</v>
      </c>
      <c r="N3954" s="3" t="n">
        <v>1361.9</v>
      </c>
      <c r="O3954" s="3">
        <f>K3954*L3954*(1-M3954)</f>
        <v/>
      </c>
      <c r="P3954" s="3">
        <f>O3954-N3954</f>
        <v/>
      </c>
      <c r="Q3954" s="5">
        <f>IFERROR(P3954/O3954,0)</f>
        <v/>
      </c>
      <c r="R3954" s="2">
        <f>TEXT(DATEVALUE(B3954),"mmm")</f>
        <v/>
      </c>
      <c r="S3954" s="2">
        <f>TEXT(DATEVALUE(B3954),"yyyy-mm")</f>
        <v/>
      </c>
    </row>
    <row r="3955">
      <c r="A3955" s="2" t="inlineStr">
        <is>
          <t>O000479</t>
        </is>
      </c>
      <c r="B3955" s="2" t="inlineStr">
        <is>
          <t>2025-10-16</t>
        </is>
      </c>
      <c r="C3955" s="2" t="inlineStr">
        <is>
          <t>C0229</t>
        </is>
      </c>
      <c r="D3955" s="2" t="inlineStr">
        <is>
          <t>P0024</t>
        </is>
      </c>
      <c r="E3955" s="2" t="inlineStr">
        <is>
          <t>Hair Dryer</t>
        </is>
      </c>
      <c r="F3955" s="2" t="inlineStr">
        <is>
          <t>Beauty</t>
        </is>
      </c>
      <c r="G3955" s="2" t="inlineStr">
        <is>
          <t>North</t>
        </is>
      </c>
      <c r="H3955" s="2" t="inlineStr">
        <is>
          <t>Delhi</t>
        </is>
      </c>
      <c r="I3955" s="2" t="inlineStr">
        <is>
          <t>New Delhi</t>
        </is>
      </c>
      <c r="J3955" s="2" t="inlineStr">
        <is>
          <t>Online</t>
        </is>
      </c>
      <c r="K3955" s="2" t="n">
        <v>1</v>
      </c>
      <c r="L3955" s="3" t="n">
        <v>1006.04</v>
      </c>
      <c r="M3955" s="4" t="n">
        <v>0.2</v>
      </c>
      <c r="N3955" s="3" t="n">
        <v>723.85</v>
      </c>
      <c r="O3955" s="3">
        <f>K3955*L3955*(1-M3955)</f>
        <v/>
      </c>
      <c r="P3955" s="3">
        <f>O3955-N3955</f>
        <v/>
      </c>
      <c r="Q3955" s="5">
        <f>IFERROR(P3955/O3955,0)</f>
        <v/>
      </c>
      <c r="R3955" s="2">
        <f>TEXT(DATEVALUE(B3955),"mmm")</f>
        <v/>
      </c>
      <c r="S3955" s="2">
        <f>TEXT(DATEVALUE(B3955),"yyyy-mm")</f>
        <v/>
      </c>
    </row>
    <row r="3956">
      <c r="A3956" s="2" t="inlineStr">
        <is>
          <t>O001081</t>
        </is>
      </c>
      <c r="B3956" s="2" t="inlineStr">
        <is>
          <t>2025-10-16</t>
        </is>
      </c>
      <c r="C3956" s="2" t="inlineStr">
        <is>
          <t>C0099</t>
        </is>
      </c>
      <c r="D3956" s="2" t="inlineStr">
        <is>
          <t>P0031</t>
        </is>
      </c>
      <c r="E3956" s="2" t="inlineStr">
        <is>
          <t>Cricket Bat</t>
        </is>
      </c>
      <c r="F3956" s="2" t="inlineStr">
        <is>
          <t>Sports</t>
        </is>
      </c>
      <c r="G3956" s="2" t="inlineStr">
        <is>
          <t>South</t>
        </is>
      </c>
      <c r="H3956" s="2" t="inlineStr">
        <is>
          <t>Telangana</t>
        </is>
      </c>
      <c r="I3956" s="2" t="inlineStr">
        <is>
          <t>Warangal</t>
        </is>
      </c>
      <c r="J3956" s="2" t="inlineStr">
        <is>
          <t>Store</t>
        </is>
      </c>
      <c r="K3956" s="2" t="n">
        <v>1</v>
      </c>
      <c r="L3956" s="3" t="n">
        <v>1375.41</v>
      </c>
      <c r="M3956" s="4" t="n">
        <v>0.15</v>
      </c>
      <c r="N3956" s="3" t="n">
        <v>950.72</v>
      </c>
      <c r="O3956" s="3">
        <f>K3956*L3956*(1-M3956)</f>
        <v/>
      </c>
      <c r="P3956" s="3">
        <f>O3956-N3956</f>
        <v/>
      </c>
      <c r="Q3956" s="5">
        <f>IFERROR(P3956/O3956,0)</f>
        <v/>
      </c>
      <c r="R3956" s="2">
        <f>TEXT(DATEVALUE(B3956),"mmm")</f>
        <v/>
      </c>
      <c r="S3956" s="2">
        <f>TEXT(DATEVALUE(B3956),"yyyy-mm")</f>
        <v/>
      </c>
    </row>
    <row r="3957">
      <c r="A3957" s="2" t="inlineStr">
        <is>
          <t>O001086</t>
        </is>
      </c>
      <c r="B3957" s="2" t="inlineStr">
        <is>
          <t>2025-10-16</t>
        </is>
      </c>
      <c r="C3957" s="2" t="inlineStr">
        <is>
          <t>C0171</t>
        </is>
      </c>
      <c r="D3957" s="2" t="inlineStr">
        <is>
          <t>P0004</t>
        </is>
      </c>
      <c r="E3957" s="2" t="inlineStr">
        <is>
          <t>USB-C Hub</t>
        </is>
      </c>
      <c r="F3957" s="2" t="inlineStr">
        <is>
          <t>Electronics</t>
        </is>
      </c>
      <c r="G3957" s="2" t="inlineStr">
        <is>
          <t>South</t>
        </is>
      </c>
      <c r="H3957" s="2" t="inlineStr">
        <is>
          <t>Karnataka</t>
        </is>
      </c>
      <c r="I3957" s="2" t="inlineStr">
        <is>
          <t>Mangaluru</t>
        </is>
      </c>
      <c r="J3957" s="2" t="inlineStr">
        <is>
          <t>Store</t>
        </is>
      </c>
      <c r="K3957" s="2" t="n">
        <v>1</v>
      </c>
      <c r="L3957" s="3" t="n">
        <v>1319.31</v>
      </c>
      <c r="M3957" s="4" t="n">
        <v>0.05</v>
      </c>
      <c r="N3957" s="3" t="n">
        <v>923.9299999999999</v>
      </c>
      <c r="O3957" s="3">
        <f>K3957*L3957*(1-M3957)</f>
        <v/>
      </c>
      <c r="P3957" s="3">
        <f>O3957-N3957</f>
        <v/>
      </c>
      <c r="Q3957" s="5">
        <f>IFERROR(P3957/O3957,0)</f>
        <v/>
      </c>
      <c r="R3957" s="2">
        <f>TEXT(DATEVALUE(B3957),"mmm")</f>
        <v/>
      </c>
      <c r="S3957" s="2">
        <f>TEXT(DATEVALUE(B3957),"yyyy-mm")</f>
        <v/>
      </c>
    </row>
    <row r="3958">
      <c r="A3958" s="2" t="inlineStr">
        <is>
          <t>O001395</t>
        </is>
      </c>
      <c r="B3958" s="2" t="inlineStr">
        <is>
          <t>2025-10-16</t>
        </is>
      </c>
      <c r="C3958" s="2" t="inlineStr">
        <is>
          <t>C0707</t>
        </is>
      </c>
      <c r="D3958" s="2" t="inlineStr">
        <is>
          <t>P0024</t>
        </is>
      </c>
      <c r="E3958" s="2" t="inlineStr">
        <is>
          <t>Hair Dryer</t>
        </is>
      </c>
      <c r="F3958" s="2" t="inlineStr">
        <is>
          <t>Beauty</t>
        </is>
      </c>
      <c r="G3958" s="2" t="inlineStr">
        <is>
          <t>East</t>
        </is>
      </c>
      <c r="H3958" s="2" t="inlineStr">
        <is>
          <t>Odisha</t>
        </is>
      </c>
      <c r="I3958" s="2" t="inlineStr">
        <is>
          <t>Cuttack</t>
        </is>
      </c>
      <c r="J3958" s="2" t="inlineStr">
        <is>
          <t>Online</t>
        </is>
      </c>
      <c r="K3958" s="2" t="n">
        <v>1</v>
      </c>
      <c r="L3958" s="3" t="n">
        <v>997.66</v>
      </c>
      <c r="M3958" s="4" t="n">
        <v>0.25</v>
      </c>
      <c r="N3958" s="3" t="n">
        <v>737.71</v>
      </c>
      <c r="O3958" s="3">
        <f>K3958*L3958*(1-M3958)</f>
        <v/>
      </c>
      <c r="P3958" s="3">
        <f>O3958-N3958</f>
        <v/>
      </c>
      <c r="Q3958" s="5">
        <f>IFERROR(P3958/O3958,0)</f>
        <v/>
      </c>
      <c r="R3958" s="2">
        <f>TEXT(DATEVALUE(B3958),"mmm")</f>
        <v/>
      </c>
      <c r="S3958" s="2">
        <f>TEXT(DATEVALUE(B3958),"yyyy-mm")</f>
        <v/>
      </c>
    </row>
    <row r="3959">
      <c r="A3959" s="2" t="inlineStr">
        <is>
          <t>O000943</t>
        </is>
      </c>
      <c r="B3959" s="2" t="inlineStr">
        <is>
          <t>2025-10-16</t>
        </is>
      </c>
      <c r="C3959" s="2" t="inlineStr">
        <is>
          <t>C0665</t>
        </is>
      </c>
      <c r="D3959" s="2" t="inlineStr">
        <is>
          <t>P0022</t>
        </is>
      </c>
      <c r="E3959" s="2" t="inlineStr">
        <is>
          <t>Face Wash</t>
        </is>
      </c>
      <c r="F3959" s="2" t="inlineStr">
        <is>
          <t>Beauty</t>
        </is>
      </c>
      <c r="G3959" s="2" t="inlineStr">
        <is>
          <t>North</t>
        </is>
      </c>
      <c r="H3959" s="2" t="inlineStr">
        <is>
          <t>Uttar Pradesh</t>
        </is>
      </c>
      <c r="I3959" s="2" t="inlineStr">
        <is>
          <t>Varanasi</t>
        </is>
      </c>
      <c r="J3959" s="2" t="inlineStr">
        <is>
          <t>Store</t>
        </is>
      </c>
      <c r="K3959" s="2" t="n">
        <v>2</v>
      </c>
      <c r="L3959" s="3" t="n">
        <v>553.17</v>
      </c>
      <c r="M3959" s="4" t="n">
        <v>0.05</v>
      </c>
      <c r="N3959" s="3" t="n">
        <v>699.8200000000001</v>
      </c>
      <c r="O3959" s="3">
        <f>K3959*L3959*(1-M3959)</f>
        <v/>
      </c>
      <c r="P3959" s="3">
        <f>O3959-N3959</f>
        <v/>
      </c>
      <c r="Q3959" s="5">
        <f>IFERROR(P3959/O3959,0)</f>
        <v/>
      </c>
      <c r="R3959" s="2">
        <f>TEXT(DATEVALUE(B3959),"mmm")</f>
        <v/>
      </c>
      <c r="S3959" s="2">
        <f>TEXT(DATEVALUE(B3959),"yyyy-mm")</f>
        <v/>
      </c>
    </row>
    <row r="3960">
      <c r="A3960" s="2" t="inlineStr">
        <is>
          <t>O003607</t>
        </is>
      </c>
      <c r="B3960" s="2" t="inlineStr">
        <is>
          <t>2025-10-17</t>
        </is>
      </c>
      <c r="C3960" s="2" t="inlineStr">
        <is>
          <t>C0038</t>
        </is>
      </c>
      <c r="D3960" s="2" t="inlineStr">
        <is>
          <t>P0009</t>
        </is>
      </c>
      <c r="E3960" s="2" t="inlineStr">
        <is>
          <t>Electric Kettle</t>
        </is>
      </c>
      <c r="F3960" s="2" t="inlineStr">
        <is>
          <t>Home &amp; Kitchen</t>
        </is>
      </c>
      <c r="G3960" s="2" t="inlineStr">
        <is>
          <t>South</t>
        </is>
      </c>
      <c r="H3960" s="2" t="inlineStr">
        <is>
          <t>Telangana</t>
        </is>
      </c>
      <c r="I3960" s="2" t="inlineStr">
        <is>
          <t>Hyderabad</t>
        </is>
      </c>
      <c r="J3960" s="2" t="inlineStr">
        <is>
          <t>Store</t>
        </is>
      </c>
      <c r="K3960" s="2" t="n">
        <v>1</v>
      </c>
      <c r="L3960" s="3" t="n">
        <v>2072.55</v>
      </c>
      <c r="M3960" s="4" t="n">
        <v>0.1</v>
      </c>
      <c r="N3960" s="3" t="n">
        <v>1146.4</v>
      </c>
      <c r="O3960" s="3">
        <f>K3960*L3960*(1-M3960)</f>
        <v/>
      </c>
      <c r="P3960" s="3">
        <f>O3960-N3960</f>
        <v/>
      </c>
      <c r="Q3960" s="5">
        <f>IFERROR(P3960/O3960,0)</f>
        <v/>
      </c>
      <c r="R3960" s="2">
        <f>TEXT(DATEVALUE(B3960),"mmm")</f>
        <v/>
      </c>
      <c r="S3960" s="2">
        <f>TEXT(DATEVALUE(B3960),"yyyy-mm")</f>
        <v/>
      </c>
    </row>
    <row r="3961">
      <c r="A3961" s="2" t="inlineStr">
        <is>
          <t>O004981</t>
        </is>
      </c>
      <c r="B3961" s="2" t="inlineStr">
        <is>
          <t>2025-10-17</t>
        </is>
      </c>
      <c r="C3961" s="2" t="inlineStr">
        <is>
          <t>C0780</t>
        </is>
      </c>
      <c r="D3961" s="2" t="inlineStr">
        <is>
          <t>P0010</t>
        </is>
      </c>
      <c r="E3961" s="2" t="inlineStr">
        <is>
          <t>Mixer Grinder</t>
        </is>
      </c>
      <c r="F3961" s="2" t="inlineStr">
        <is>
          <t>Home &amp; Kitchen</t>
        </is>
      </c>
      <c r="G3961" s="2" t="inlineStr">
        <is>
          <t>North</t>
        </is>
      </c>
      <c r="H3961" s="2" t="inlineStr">
        <is>
          <t>Delhi</t>
        </is>
      </c>
      <c r="I3961" s="2" t="inlineStr">
        <is>
          <t>New Delhi</t>
        </is>
      </c>
      <c r="J3961" s="2" t="inlineStr">
        <is>
          <t>Store</t>
        </is>
      </c>
      <c r="K3961" s="2" t="n">
        <v>2</v>
      </c>
      <c r="L3961" s="3" t="n">
        <v>1694.19</v>
      </c>
      <c r="M3961" s="4" t="n">
        <v>0</v>
      </c>
      <c r="N3961" s="3" t="n">
        <v>2039.46</v>
      </c>
      <c r="O3961" s="3">
        <f>K3961*L3961*(1-M3961)</f>
        <v/>
      </c>
      <c r="P3961" s="3">
        <f>O3961-N3961</f>
        <v/>
      </c>
      <c r="Q3961" s="5">
        <f>IFERROR(P3961/O3961,0)</f>
        <v/>
      </c>
      <c r="R3961" s="2">
        <f>TEXT(DATEVALUE(B3961),"mmm")</f>
        <v/>
      </c>
      <c r="S3961" s="2">
        <f>TEXT(DATEVALUE(B3961),"yyyy-mm")</f>
        <v/>
      </c>
    </row>
    <row r="3962">
      <c r="A3962" s="2" t="inlineStr">
        <is>
          <t>O004416</t>
        </is>
      </c>
      <c r="B3962" s="2" t="inlineStr">
        <is>
          <t>2025-10-17</t>
        </is>
      </c>
      <c r="C3962" s="2" t="inlineStr">
        <is>
          <t>C0234</t>
        </is>
      </c>
      <c r="D3962" s="2" t="inlineStr">
        <is>
          <t>P0009</t>
        </is>
      </c>
      <c r="E3962" s="2" t="inlineStr">
        <is>
          <t>Electric Kettle</t>
        </is>
      </c>
      <c r="F3962" s="2" t="inlineStr">
        <is>
          <t>Home &amp; Kitchen</t>
        </is>
      </c>
      <c r="G3962" s="2" t="inlineStr">
        <is>
          <t>West</t>
        </is>
      </c>
      <c r="H3962" s="2" t="inlineStr">
        <is>
          <t>Gujarat</t>
        </is>
      </c>
      <c r="I3962" s="2" t="inlineStr">
        <is>
          <t>Ahmedabad</t>
        </is>
      </c>
      <c r="J3962" s="2" t="inlineStr">
        <is>
          <t>Online</t>
        </is>
      </c>
      <c r="K3962" s="2" t="n">
        <v>3</v>
      </c>
      <c r="L3962" s="3" t="n">
        <v>2132.88</v>
      </c>
      <c r="M3962" s="4" t="n">
        <v>0</v>
      </c>
      <c r="N3962" s="3" t="n">
        <v>3508.88</v>
      </c>
      <c r="O3962" s="3">
        <f>K3962*L3962*(1-M3962)</f>
        <v/>
      </c>
      <c r="P3962" s="3">
        <f>O3962-N3962</f>
        <v/>
      </c>
      <c r="Q3962" s="5">
        <f>IFERROR(P3962/O3962,0)</f>
        <v/>
      </c>
      <c r="R3962" s="2">
        <f>TEXT(DATEVALUE(B3962),"mmm")</f>
        <v/>
      </c>
      <c r="S3962" s="2">
        <f>TEXT(DATEVALUE(B3962),"yyyy-mm")</f>
        <v/>
      </c>
    </row>
    <row r="3963">
      <c r="A3963" s="2" t="inlineStr">
        <is>
          <t>O004342</t>
        </is>
      </c>
      <c r="B3963" s="2" t="inlineStr">
        <is>
          <t>2025-10-17</t>
        </is>
      </c>
      <c r="C3963" s="2" t="inlineStr">
        <is>
          <t>C0729</t>
        </is>
      </c>
      <c r="D3963" s="2" t="inlineStr">
        <is>
          <t>P0014</t>
        </is>
      </c>
      <c r="E3963" s="2" t="inlineStr">
        <is>
          <t>Coffee Maker</t>
        </is>
      </c>
      <c r="F3963" s="2" t="inlineStr">
        <is>
          <t>Home &amp; Kitchen</t>
        </is>
      </c>
      <c r="G3963" s="2" t="inlineStr">
        <is>
          <t>West</t>
        </is>
      </c>
      <c r="H3963" s="2" t="inlineStr">
        <is>
          <t>Gujarat</t>
        </is>
      </c>
      <c r="I3963" s="2" t="inlineStr">
        <is>
          <t>Ahmedabad</t>
        </is>
      </c>
      <c r="J3963" s="2" t="inlineStr">
        <is>
          <t>Online</t>
        </is>
      </c>
      <c r="K3963" s="2" t="n">
        <v>1</v>
      </c>
      <c r="L3963" s="3" t="n">
        <v>1081.54</v>
      </c>
      <c r="M3963" s="4" t="n">
        <v>0.05</v>
      </c>
      <c r="N3963" s="3" t="n">
        <v>785.37</v>
      </c>
      <c r="O3963" s="3">
        <f>K3963*L3963*(1-M3963)</f>
        <v/>
      </c>
      <c r="P3963" s="3">
        <f>O3963-N3963</f>
        <v/>
      </c>
      <c r="Q3963" s="5">
        <f>IFERROR(P3963/O3963,0)</f>
        <v/>
      </c>
      <c r="R3963" s="2">
        <f>TEXT(DATEVALUE(B3963),"mmm")</f>
        <v/>
      </c>
      <c r="S3963" s="2">
        <f>TEXT(DATEVALUE(B3963),"yyyy-mm")</f>
        <v/>
      </c>
    </row>
    <row r="3964">
      <c r="A3964" s="2" t="inlineStr">
        <is>
          <t>O004107</t>
        </is>
      </c>
      <c r="B3964" s="2" t="inlineStr">
        <is>
          <t>2025-10-17</t>
        </is>
      </c>
      <c r="C3964" s="2" t="inlineStr">
        <is>
          <t>C0133</t>
        </is>
      </c>
      <c r="D3964" s="2" t="inlineStr">
        <is>
          <t>P0006</t>
        </is>
      </c>
      <c r="E3964" s="2" t="inlineStr">
        <is>
          <t>Mechanical Keyboard</t>
        </is>
      </c>
      <c r="F3964" s="2" t="inlineStr">
        <is>
          <t>Electronics</t>
        </is>
      </c>
      <c r="G3964" s="2" t="inlineStr">
        <is>
          <t>West</t>
        </is>
      </c>
      <c r="H3964" s="2" t="inlineStr">
        <is>
          <t>Gujarat</t>
        </is>
      </c>
      <c r="I3964" s="2" t="inlineStr">
        <is>
          <t>Ahmedabad</t>
        </is>
      </c>
      <c r="J3964" s="2" t="inlineStr">
        <is>
          <t>Store</t>
        </is>
      </c>
      <c r="K3964" s="2" t="n">
        <v>2</v>
      </c>
      <c r="L3964" s="3" t="n">
        <v>2811.62</v>
      </c>
      <c r="M3964" s="4" t="n">
        <v>0.1</v>
      </c>
      <c r="N3964" s="3" t="n">
        <v>2918.86</v>
      </c>
      <c r="O3964" s="3">
        <f>K3964*L3964*(1-M3964)</f>
        <v/>
      </c>
      <c r="P3964" s="3">
        <f>O3964-N3964</f>
        <v/>
      </c>
      <c r="Q3964" s="5">
        <f>IFERROR(P3964/O3964,0)</f>
        <v/>
      </c>
      <c r="R3964" s="2">
        <f>TEXT(DATEVALUE(B3964),"mmm")</f>
        <v/>
      </c>
      <c r="S3964" s="2">
        <f>TEXT(DATEVALUE(B3964),"yyyy-mm")</f>
        <v/>
      </c>
    </row>
    <row r="3965">
      <c r="A3965" s="2" t="inlineStr">
        <is>
          <t>O003670</t>
        </is>
      </c>
      <c r="B3965" s="2" t="inlineStr">
        <is>
          <t>2025-10-17</t>
        </is>
      </c>
      <c r="C3965" s="2" t="inlineStr">
        <is>
          <t>C0235</t>
        </is>
      </c>
      <c r="D3965" s="2" t="inlineStr">
        <is>
          <t>P0035</t>
        </is>
      </c>
      <c r="E3965" s="2" t="inlineStr">
        <is>
          <t>Skipping Rope</t>
        </is>
      </c>
      <c r="F3965" s="2" t="inlineStr">
        <is>
          <t>Sports</t>
        </is>
      </c>
      <c r="G3965" s="2" t="inlineStr">
        <is>
          <t>West</t>
        </is>
      </c>
      <c r="H3965" s="2" t="inlineStr">
        <is>
          <t>Goa</t>
        </is>
      </c>
      <c r="I3965" s="2" t="inlineStr">
        <is>
          <t>Panaji</t>
        </is>
      </c>
      <c r="J3965" s="2" t="inlineStr">
        <is>
          <t>Online</t>
        </is>
      </c>
      <c r="K3965" s="2" t="n">
        <v>2</v>
      </c>
      <c r="L3965" s="3" t="n">
        <v>687.9</v>
      </c>
      <c r="M3965" s="4" t="n">
        <v>0.05</v>
      </c>
      <c r="N3965" s="3" t="n">
        <v>807.47</v>
      </c>
      <c r="O3965" s="3">
        <f>K3965*L3965*(1-M3965)</f>
        <v/>
      </c>
      <c r="P3965" s="3">
        <f>O3965-N3965</f>
        <v/>
      </c>
      <c r="Q3965" s="5">
        <f>IFERROR(P3965/O3965,0)</f>
        <v/>
      </c>
      <c r="R3965" s="2">
        <f>TEXT(DATEVALUE(B3965),"mmm")</f>
        <v/>
      </c>
      <c r="S3965" s="2">
        <f>TEXT(DATEVALUE(B3965),"yyyy-mm")</f>
        <v/>
      </c>
    </row>
    <row r="3966">
      <c r="A3966" s="2" t="inlineStr">
        <is>
          <t>O003625</t>
        </is>
      </c>
      <c r="B3966" s="2" t="inlineStr">
        <is>
          <t>2025-10-17</t>
        </is>
      </c>
      <c r="C3966" s="2" t="inlineStr">
        <is>
          <t>C0366</t>
        </is>
      </c>
      <c r="D3966" s="2" t="inlineStr">
        <is>
          <t>P0011</t>
        </is>
      </c>
      <c r="E3966" s="2" t="inlineStr">
        <is>
          <t>Cookware Set</t>
        </is>
      </c>
      <c r="F3966" s="2" t="inlineStr">
        <is>
          <t>Home &amp; Kitchen</t>
        </is>
      </c>
      <c r="G3966" s="2" t="inlineStr">
        <is>
          <t>East</t>
        </is>
      </c>
      <c r="H3966" s="2" t="inlineStr">
        <is>
          <t>West Bengal</t>
        </is>
      </c>
      <c r="I3966" s="2" t="inlineStr">
        <is>
          <t>Durgapur</t>
        </is>
      </c>
      <c r="J3966" s="2" t="inlineStr">
        <is>
          <t>Online</t>
        </is>
      </c>
      <c r="K3966" s="2" t="n">
        <v>2</v>
      </c>
      <c r="L3966" s="3" t="n">
        <v>703.4</v>
      </c>
      <c r="M3966" s="4" t="n">
        <v>0.15</v>
      </c>
      <c r="N3966" s="3" t="n">
        <v>976.97</v>
      </c>
      <c r="O3966" s="3">
        <f>K3966*L3966*(1-M3966)</f>
        <v/>
      </c>
      <c r="P3966" s="3">
        <f>O3966-N3966</f>
        <v/>
      </c>
      <c r="Q3966" s="5">
        <f>IFERROR(P3966/O3966,0)</f>
        <v/>
      </c>
      <c r="R3966" s="2">
        <f>TEXT(DATEVALUE(B3966),"mmm")</f>
        <v/>
      </c>
      <c r="S3966" s="2">
        <f>TEXT(DATEVALUE(B3966),"yyyy-mm")</f>
        <v/>
      </c>
    </row>
    <row r="3967">
      <c r="A3967" s="2" t="inlineStr">
        <is>
          <t>O003378</t>
        </is>
      </c>
      <c r="B3967" s="2" t="inlineStr">
        <is>
          <t>2025-10-17</t>
        </is>
      </c>
      <c r="C3967" s="2" t="inlineStr">
        <is>
          <t>C0373</t>
        </is>
      </c>
      <c r="D3967" s="2" t="inlineStr">
        <is>
          <t>P0024</t>
        </is>
      </c>
      <c r="E3967" s="2" t="inlineStr">
        <is>
          <t>Hair Dryer</t>
        </is>
      </c>
      <c r="F3967" s="2" t="inlineStr">
        <is>
          <t>Beauty</t>
        </is>
      </c>
      <c r="G3967" s="2" t="inlineStr">
        <is>
          <t>East</t>
        </is>
      </c>
      <c r="H3967" s="2" t="inlineStr">
        <is>
          <t>West Bengal</t>
        </is>
      </c>
      <c r="I3967" s="2" t="inlineStr">
        <is>
          <t>Durgapur</t>
        </is>
      </c>
      <c r="J3967" s="2" t="inlineStr">
        <is>
          <t>Online</t>
        </is>
      </c>
      <c r="K3967" s="2" t="n">
        <v>2</v>
      </c>
      <c r="L3967" s="3" t="n">
        <v>961.86</v>
      </c>
      <c r="M3967" s="4" t="n">
        <v>0.15</v>
      </c>
      <c r="N3967" s="3" t="n">
        <v>1505.1</v>
      </c>
      <c r="O3967" s="3">
        <f>K3967*L3967*(1-M3967)</f>
        <v/>
      </c>
      <c r="P3967" s="3">
        <f>O3967-N3967</f>
        <v/>
      </c>
      <c r="Q3967" s="5">
        <f>IFERROR(P3967/O3967,0)</f>
        <v/>
      </c>
      <c r="R3967" s="2">
        <f>TEXT(DATEVALUE(B3967),"mmm")</f>
        <v/>
      </c>
      <c r="S3967" s="2">
        <f>TEXT(DATEVALUE(B3967),"yyyy-mm")</f>
        <v/>
      </c>
    </row>
    <row r="3968">
      <c r="A3968" s="2" t="inlineStr">
        <is>
          <t>O002533</t>
        </is>
      </c>
      <c r="B3968" s="2" t="inlineStr">
        <is>
          <t>2025-10-17</t>
        </is>
      </c>
      <c r="C3968" s="2" t="inlineStr">
        <is>
          <t>C0510</t>
        </is>
      </c>
      <c r="D3968" s="2" t="inlineStr">
        <is>
          <t>P0007</t>
        </is>
      </c>
      <c r="E3968" s="2" t="inlineStr">
        <is>
          <t>Wireless Mouse</t>
        </is>
      </c>
      <c r="F3968" s="2" t="inlineStr">
        <is>
          <t>Electronics</t>
        </is>
      </c>
      <c r="G3968" s="2" t="inlineStr">
        <is>
          <t>South</t>
        </is>
      </c>
      <c r="H3968" s="2" t="inlineStr">
        <is>
          <t>Telangana</t>
        </is>
      </c>
      <c r="I3968" s="2" t="inlineStr">
        <is>
          <t>Warangal</t>
        </is>
      </c>
      <c r="J3968" s="2" t="inlineStr">
        <is>
          <t>Online</t>
        </is>
      </c>
      <c r="K3968" s="2" t="n">
        <v>1</v>
      </c>
      <c r="L3968" s="3" t="n">
        <v>961.63</v>
      </c>
      <c r="M3968" s="4" t="n">
        <v>0.05</v>
      </c>
      <c r="N3968" s="3" t="n">
        <v>631.63</v>
      </c>
      <c r="O3968" s="3">
        <f>K3968*L3968*(1-M3968)</f>
        <v/>
      </c>
      <c r="P3968" s="3">
        <f>O3968-N3968</f>
        <v/>
      </c>
      <c r="Q3968" s="5">
        <f>IFERROR(P3968/O3968,0)</f>
        <v/>
      </c>
      <c r="R3968" s="2">
        <f>TEXT(DATEVALUE(B3968),"mmm")</f>
        <v/>
      </c>
      <c r="S3968" s="2">
        <f>TEXT(DATEVALUE(B3968),"yyyy-mm")</f>
        <v/>
      </c>
    </row>
    <row r="3969">
      <c r="A3969" s="2" t="inlineStr">
        <is>
          <t>O002161</t>
        </is>
      </c>
      <c r="B3969" s="2" t="inlineStr">
        <is>
          <t>2025-10-17</t>
        </is>
      </c>
      <c r="C3969" s="2" t="inlineStr">
        <is>
          <t>C0734</t>
        </is>
      </c>
      <c r="D3969" s="2" t="inlineStr">
        <is>
          <t>P0011</t>
        </is>
      </c>
      <c r="E3969" s="2" t="inlineStr">
        <is>
          <t>Cookware Set</t>
        </is>
      </c>
      <c r="F3969" s="2" t="inlineStr">
        <is>
          <t>Home &amp; Kitchen</t>
        </is>
      </c>
      <c r="G3969" s="2" t="inlineStr">
        <is>
          <t>West</t>
        </is>
      </c>
      <c r="H3969" s="2" t="inlineStr">
        <is>
          <t>Goa</t>
        </is>
      </c>
      <c r="I3969" s="2" t="inlineStr">
        <is>
          <t>Margao</t>
        </is>
      </c>
      <c r="J3969" s="2" t="inlineStr">
        <is>
          <t>Online</t>
        </is>
      </c>
      <c r="K3969" s="2" t="n">
        <v>2</v>
      </c>
      <c r="L3969" s="3" t="n">
        <v>729.26</v>
      </c>
      <c r="M3969" s="4" t="n">
        <v>0.05</v>
      </c>
      <c r="N3969" s="3" t="n">
        <v>972.3</v>
      </c>
      <c r="O3969" s="3">
        <f>K3969*L3969*(1-M3969)</f>
        <v/>
      </c>
      <c r="P3969" s="3">
        <f>O3969-N3969</f>
        <v/>
      </c>
      <c r="Q3969" s="5">
        <f>IFERROR(P3969/O3969,0)</f>
        <v/>
      </c>
      <c r="R3969" s="2">
        <f>TEXT(DATEVALUE(B3969),"mmm")</f>
        <v/>
      </c>
      <c r="S3969" s="2">
        <f>TEXT(DATEVALUE(B3969),"yyyy-mm")</f>
        <v/>
      </c>
    </row>
    <row r="3970">
      <c r="A3970" s="2" t="inlineStr">
        <is>
          <t>O002055</t>
        </is>
      </c>
      <c r="B3970" s="2" t="inlineStr">
        <is>
          <t>2025-10-17</t>
        </is>
      </c>
      <c r="C3970" s="2" t="inlineStr">
        <is>
          <t>C0694</t>
        </is>
      </c>
      <c r="D3970" s="2" t="inlineStr">
        <is>
          <t>P0010</t>
        </is>
      </c>
      <c r="E3970" s="2" t="inlineStr">
        <is>
          <t>Mixer Grinder</t>
        </is>
      </c>
      <c r="F3970" s="2" t="inlineStr">
        <is>
          <t>Home &amp; Kitchen</t>
        </is>
      </c>
      <c r="G3970" s="2" t="inlineStr">
        <is>
          <t>West</t>
        </is>
      </c>
      <c r="H3970" s="2" t="inlineStr">
        <is>
          <t>Goa</t>
        </is>
      </c>
      <c r="I3970" s="2" t="inlineStr">
        <is>
          <t>Margao</t>
        </is>
      </c>
      <c r="J3970" s="2" t="inlineStr">
        <is>
          <t>Store</t>
        </is>
      </c>
      <c r="K3970" s="2" t="n">
        <v>2</v>
      </c>
      <c r="L3970" s="3" t="n">
        <v>1672.5</v>
      </c>
      <c r="M3970" s="4" t="n">
        <v>0.1</v>
      </c>
      <c r="N3970" s="3" t="n">
        <v>2091.73</v>
      </c>
      <c r="O3970" s="3">
        <f>K3970*L3970*(1-M3970)</f>
        <v/>
      </c>
      <c r="P3970" s="3">
        <f>O3970-N3970</f>
        <v/>
      </c>
      <c r="Q3970" s="5">
        <f>IFERROR(P3970/O3970,0)</f>
        <v/>
      </c>
      <c r="R3970" s="2">
        <f>TEXT(DATEVALUE(B3970),"mmm")</f>
        <v/>
      </c>
      <c r="S3970" s="2">
        <f>TEXT(DATEVALUE(B3970),"yyyy-mm")</f>
        <v/>
      </c>
    </row>
    <row r="3971">
      <c r="A3971" s="2" t="inlineStr">
        <is>
          <t>O000489</t>
        </is>
      </c>
      <c r="B3971" s="2" t="inlineStr">
        <is>
          <t>2025-10-17</t>
        </is>
      </c>
      <c r="C3971" s="2" t="inlineStr">
        <is>
          <t>C0483</t>
        </is>
      </c>
      <c r="D3971" s="2" t="inlineStr">
        <is>
          <t>P0019</t>
        </is>
      </c>
      <c r="E3971" s="2" t="inlineStr">
        <is>
          <t>Jacket</t>
        </is>
      </c>
      <c r="F3971" s="2" t="inlineStr">
        <is>
          <t>Fashion</t>
        </is>
      </c>
      <c r="G3971" s="2" t="inlineStr">
        <is>
          <t>South</t>
        </is>
      </c>
      <c r="H3971" s="2" t="inlineStr">
        <is>
          <t>Karnataka</t>
        </is>
      </c>
      <c r="I3971" s="2" t="inlineStr">
        <is>
          <t>Mangaluru</t>
        </is>
      </c>
      <c r="J3971" s="2" t="inlineStr">
        <is>
          <t>Store</t>
        </is>
      </c>
      <c r="K3971" s="2" t="n">
        <v>2</v>
      </c>
      <c r="L3971" s="3" t="n">
        <v>1046.33</v>
      </c>
      <c r="M3971" s="4" t="n">
        <v>0.2</v>
      </c>
      <c r="N3971" s="3" t="n">
        <v>1322.2</v>
      </c>
      <c r="O3971" s="3">
        <f>K3971*L3971*(1-M3971)</f>
        <v/>
      </c>
      <c r="P3971" s="3">
        <f>O3971-N3971</f>
        <v/>
      </c>
      <c r="Q3971" s="5">
        <f>IFERROR(P3971/O3971,0)</f>
        <v/>
      </c>
      <c r="R3971" s="2">
        <f>TEXT(DATEVALUE(B3971),"mmm")</f>
        <v/>
      </c>
      <c r="S3971" s="2">
        <f>TEXT(DATEVALUE(B3971),"yyyy-mm")</f>
        <v/>
      </c>
    </row>
    <row r="3972">
      <c r="A3972" s="2" t="inlineStr">
        <is>
          <t>O000449</t>
        </is>
      </c>
      <c r="B3972" s="2" t="inlineStr">
        <is>
          <t>2025-10-17</t>
        </is>
      </c>
      <c r="C3972" s="2" t="inlineStr">
        <is>
          <t>C0694</t>
        </is>
      </c>
      <c r="D3972" s="2" t="inlineStr">
        <is>
          <t>P0011</t>
        </is>
      </c>
      <c r="E3972" s="2" t="inlineStr">
        <is>
          <t>Cookware Set</t>
        </is>
      </c>
      <c r="F3972" s="2" t="inlineStr">
        <is>
          <t>Home &amp; Kitchen</t>
        </is>
      </c>
      <c r="G3972" s="2" t="inlineStr">
        <is>
          <t>North</t>
        </is>
      </c>
      <c r="H3972" s="2" t="inlineStr">
        <is>
          <t>Uttar Pradesh</t>
        </is>
      </c>
      <c r="I3972" s="2" t="inlineStr">
        <is>
          <t>Lucknow</t>
        </is>
      </c>
      <c r="J3972" s="2" t="inlineStr">
        <is>
          <t>Store</t>
        </is>
      </c>
      <c r="K3972" s="2" t="n">
        <v>1</v>
      </c>
      <c r="L3972" s="3" t="n">
        <v>711.5700000000001</v>
      </c>
      <c r="M3972" s="4" t="n">
        <v>0.05</v>
      </c>
      <c r="N3972" s="3" t="n">
        <v>487.75</v>
      </c>
      <c r="O3972" s="3">
        <f>K3972*L3972*(1-M3972)</f>
        <v/>
      </c>
      <c r="P3972" s="3">
        <f>O3972-N3972</f>
        <v/>
      </c>
      <c r="Q3972" s="5">
        <f>IFERROR(P3972/O3972,0)</f>
        <v/>
      </c>
      <c r="R3972" s="2">
        <f>TEXT(DATEVALUE(B3972),"mmm")</f>
        <v/>
      </c>
      <c r="S3972" s="2">
        <f>TEXT(DATEVALUE(B3972),"yyyy-mm")</f>
        <v/>
      </c>
    </row>
    <row r="3973">
      <c r="A3973" s="2" t="inlineStr">
        <is>
          <t>O003598</t>
        </is>
      </c>
      <c r="B3973" s="2" t="inlineStr">
        <is>
          <t>2025-10-17</t>
        </is>
      </c>
      <c r="C3973" s="2" t="inlineStr">
        <is>
          <t>C0304</t>
        </is>
      </c>
      <c r="D3973" s="2" t="inlineStr">
        <is>
          <t>P0017</t>
        </is>
      </c>
      <c r="E3973" s="2" t="inlineStr">
        <is>
          <t>Jeans</t>
        </is>
      </c>
      <c r="F3973" s="2" t="inlineStr">
        <is>
          <t>Fashion</t>
        </is>
      </c>
      <c r="G3973" s="2" t="inlineStr">
        <is>
          <t>East</t>
        </is>
      </c>
      <c r="H3973" s="2" t="inlineStr">
        <is>
          <t>West Bengal</t>
        </is>
      </c>
      <c r="I3973" s="2" t="inlineStr">
        <is>
          <t>Kolkata</t>
        </is>
      </c>
      <c r="J3973" s="2" t="inlineStr">
        <is>
          <t>Store</t>
        </is>
      </c>
      <c r="K3973" s="2" t="n">
        <v>3</v>
      </c>
      <c r="L3973" s="3" t="n">
        <v>1524.3</v>
      </c>
      <c r="M3973" s="4" t="n">
        <v>0.1</v>
      </c>
      <c r="N3973" s="3" t="n">
        <v>3038.81</v>
      </c>
      <c r="O3973" s="3">
        <f>K3973*L3973*(1-M3973)</f>
        <v/>
      </c>
      <c r="P3973" s="3">
        <f>O3973-N3973</f>
        <v/>
      </c>
      <c r="Q3973" s="5">
        <f>IFERROR(P3973/O3973,0)</f>
        <v/>
      </c>
      <c r="R3973" s="2">
        <f>TEXT(DATEVALUE(B3973),"mmm")</f>
        <v/>
      </c>
      <c r="S3973" s="2">
        <f>TEXT(DATEVALUE(B3973),"yyyy-mm")</f>
        <v/>
      </c>
    </row>
    <row r="3974">
      <c r="A3974" s="2" t="inlineStr">
        <is>
          <t>O004836</t>
        </is>
      </c>
      <c r="B3974" s="2" t="inlineStr">
        <is>
          <t>2025-10-18</t>
        </is>
      </c>
      <c r="C3974" s="2" t="inlineStr">
        <is>
          <t>C0566</t>
        </is>
      </c>
      <c r="D3974" s="2" t="inlineStr">
        <is>
          <t>P0008</t>
        </is>
      </c>
      <c r="E3974" s="2" t="inlineStr">
        <is>
          <t>Air Fryer</t>
        </is>
      </c>
      <c r="F3974" s="2" t="inlineStr">
        <is>
          <t>Home &amp; Kitchen</t>
        </is>
      </c>
      <c r="G3974" s="2" t="inlineStr">
        <is>
          <t>West</t>
        </is>
      </c>
      <c r="H3974" s="2" t="inlineStr">
        <is>
          <t>Goa</t>
        </is>
      </c>
      <c r="I3974" s="2" t="inlineStr">
        <is>
          <t>Margao</t>
        </is>
      </c>
      <c r="J3974" s="2" t="inlineStr">
        <is>
          <t>Store</t>
        </is>
      </c>
      <c r="K3974" s="2" t="n">
        <v>1</v>
      </c>
      <c r="L3974" s="3" t="n">
        <v>1016.35</v>
      </c>
      <c r="M3974" s="4" t="n">
        <v>0.15</v>
      </c>
      <c r="N3974" s="3" t="n">
        <v>686.59</v>
      </c>
      <c r="O3974" s="3">
        <f>K3974*L3974*(1-M3974)</f>
        <v/>
      </c>
      <c r="P3974" s="3">
        <f>O3974-N3974</f>
        <v/>
      </c>
      <c r="Q3974" s="5">
        <f>IFERROR(P3974/O3974,0)</f>
        <v/>
      </c>
      <c r="R3974" s="2">
        <f>TEXT(DATEVALUE(B3974),"mmm")</f>
        <v/>
      </c>
      <c r="S3974" s="2">
        <f>TEXT(DATEVALUE(B3974),"yyyy-mm")</f>
        <v/>
      </c>
    </row>
    <row r="3975">
      <c r="A3975" s="2" t="inlineStr">
        <is>
          <t>O004833</t>
        </is>
      </c>
      <c r="B3975" s="2" t="inlineStr">
        <is>
          <t>2025-10-18</t>
        </is>
      </c>
      <c r="C3975" s="2" t="inlineStr">
        <is>
          <t>C0800</t>
        </is>
      </c>
      <c r="D3975" s="2" t="inlineStr">
        <is>
          <t>P0021</t>
        </is>
      </c>
      <c r="E3975" s="2" t="inlineStr">
        <is>
          <t>Wallet</t>
        </is>
      </c>
      <c r="F3975" s="2" t="inlineStr">
        <is>
          <t>Fashion</t>
        </is>
      </c>
      <c r="G3975" s="2" t="inlineStr">
        <is>
          <t>North</t>
        </is>
      </c>
      <c r="H3975" s="2" t="inlineStr">
        <is>
          <t>Punjab</t>
        </is>
      </c>
      <c r="I3975" s="2" t="inlineStr">
        <is>
          <t>Amritsar</t>
        </is>
      </c>
      <c r="J3975" s="2" t="inlineStr">
        <is>
          <t>Store</t>
        </is>
      </c>
      <c r="K3975" s="2" t="n">
        <v>1</v>
      </c>
      <c r="L3975" s="3" t="n">
        <v>2050.26</v>
      </c>
      <c r="M3975" s="4" t="n">
        <v>0.2</v>
      </c>
      <c r="N3975" s="3" t="n">
        <v>1197.12</v>
      </c>
      <c r="O3975" s="3">
        <f>K3975*L3975*(1-M3975)</f>
        <v/>
      </c>
      <c r="P3975" s="3">
        <f>O3975-N3975</f>
        <v/>
      </c>
      <c r="Q3975" s="5">
        <f>IFERROR(P3975/O3975,0)</f>
        <v/>
      </c>
      <c r="R3975" s="2">
        <f>TEXT(DATEVALUE(B3975),"mmm")</f>
        <v/>
      </c>
      <c r="S3975" s="2">
        <f>TEXT(DATEVALUE(B3975),"yyyy-mm")</f>
        <v/>
      </c>
    </row>
    <row r="3976">
      <c r="A3976" s="2" t="inlineStr">
        <is>
          <t>O004505</t>
        </is>
      </c>
      <c r="B3976" s="2" t="inlineStr">
        <is>
          <t>2025-10-18</t>
        </is>
      </c>
      <c r="C3976" s="2" t="inlineStr">
        <is>
          <t>C0740</t>
        </is>
      </c>
      <c r="D3976" s="2" t="inlineStr">
        <is>
          <t>P0017</t>
        </is>
      </c>
      <c r="E3976" s="2" t="inlineStr">
        <is>
          <t>Jeans</t>
        </is>
      </c>
      <c r="F3976" s="2" t="inlineStr">
        <is>
          <t>Fashion</t>
        </is>
      </c>
      <c r="G3976" s="2" t="inlineStr">
        <is>
          <t>West</t>
        </is>
      </c>
      <c r="H3976" s="2" t="inlineStr">
        <is>
          <t>Maharashtra</t>
        </is>
      </c>
      <c r="I3976" s="2" t="inlineStr">
        <is>
          <t>Nashik</t>
        </is>
      </c>
      <c r="J3976" s="2" t="inlineStr">
        <is>
          <t>Online</t>
        </is>
      </c>
      <c r="K3976" s="2" t="n">
        <v>1</v>
      </c>
      <c r="L3976" s="3" t="n">
        <v>1443.25</v>
      </c>
      <c r="M3976" s="4" t="n">
        <v>0</v>
      </c>
      <c r="N3976" s="3" t="n">
        <v>991.58</v>
      </c>
      <c r="O3976" s="3">
        <f>K3976*L3976*(1-M3976)</f>
        <v/>
      </c>
      <c r="P3976" s="3">
        <f>O3976-N3976</f>
        <v/>
      </c>
      <c r="Q3976" s="5">
        <f>IFERROR(P3976/O3976,0)</f>
        <v/>
      </c>
      <c r="R3976" s="2">
        <f>TEXT(DATEVALUE(B3976),"mmm")</f>
        <v/>
      </c>
      <c r="S3976" s="2">
        <f>TEXT(DATEVALUE(B3976),"yyyy-mm")</f>
        <v/>
      </c>
    </row>
    <row r="3977">
      <c r="A3977" s="2" t="inlineStr">
        <is>
          <t>O004322</t>
        </is>
      </c>
      <c r="B3977" s="2" t="inlineStr">
        <is>
          <t>2025-10-18</t>
        </is>
      </c>
      <c r="C3977" s="2" t="inlineStr">
        <is>
          <t>C0185</t>
        </is>
      </c>
      <c r="D3977" s="2" t="inlineStr">
        <is>
          <t>P0002</t>
        </is>
      </c>
      <c r="E3977" s="2" t="inlineStr">
        <is>
          <t>Bluetooth Speaker</t>
        </is>
      </c>
      <c r="F3977" s="2" t="inlineStr">
        <is>
          <t>Electronics</t>
        </is>
      </c>
      <c r="G3977" s="2" t="inlineStr">
        <is>
          <t>South</t>
        </is>
      </c>
      <c r="H3977" s="2" t="inlineStr">
        <is>
          <t>Karnataka</t>
        </is>
      </c>
      <c r="I3977" s="2" t="inlineStr">
        <is>
          <t>Mysuru</t>
        </is>
      </c>
      <c r="J3977" s="2" t="inlineStr">
        <is>
          <t>Online</t>
        </is>
      </c>
      <c r="K3977" s="2" t="n">
        <v>2</v>
      </c>
      <c r="L3977" s="3" t="n">
        <v>1321.63</v>
      </c>
      <c r="M3977" s="4" t="n">
        <v>0</v>
      </c>
      <c r="N3977" s="3" t="n">
        <v>1692.7</v>
      </c>
      <c r="O3977" s="3">
        <f>K3977*L3977*(1-M3977)</f>
        <v/>
      </c>
      <c r="P3977" s="3">
        <f>O3977-N3977</f>
        <v/>
      </c>
      <c r="Q3977" s="5">
        <f>IFERROR(P3977/O3977,0)</f>
        <v/>
      </c>
      <c r="R3977" s="2">
        <f>TEXT(DATEVALUE(B3977),"mmm")</f>
        <v/>
      </c>
      <c r="S3977" s="2">
        <f>TEXT(DATEVALUE(B3977),"yyyy-mm")</f>
        <v/>
      </c>
    </row>
    <row r="3978">
      <c r="A3978" s="2" t="inlineStr">
        <is>
          <t>O003233</t>
        </is>
      </c>
      <c r="B3978" s="2" t="inlineStr">
        <is>
          <t>2025-10-18</t>
        </is>
      </c>
      <c r="C3978" s="2" t="inlineStr">
        <is>
          <t>C0504</t>
        </is>
      </c>
      <c r="D3978" s="2" t="inlineStr">
        <is>
          <t>P0024</t>
        </is>
      </c>
      <c r="E3978" s="2" t="inlineStr">
        <is>
          <t>Hair Dryer</t>
        </is>
      </c>
      <c r="F3978" s="2" t="inlineStr">
        <is>
          <t>Beauty</t>
        </is>
      </c>
      <c r="G3978" s="2" t="inlineStr">
        <is>
          <t>South</t>
        </is>
      </c>
      <c r="H3978" s="2" t="inlineStr">
        <is>
          <t>Karnataka</t>
        </is>
      </c>
      <c r="I3978" s="2" t="inlineStr">
        <is>
          <t>Mangaluru</t>
        </is>
      </c>
      <c r="J3978" s="2" t="inlineStr">
        <is>
          <t>Online</t>
        </is>
      </c>
      <c r="K3978" s="2" t="n">
        <v>3</v>
      </c>
      <c r="L3978" s="3" t="n">
        <v>1012.63</v>
      </c>
      <c r="M3978" s="4" t="n">
        <v>0.1</v>
      </c>
      <c r="N3978" s="3" t="n">
        <v>2251.69</v>
      </c>
      <c r="O3978" s="3">
        <f>K3978*L3978*(1-M3978)</f>
        <v/>
      </c>
      <c r="P3978" s="3">
        <f>O3978-N3978</f>
        <v/>
      </c>
      <c r="Q3978" s="5">
        <f>IFERROR(P3978/O3978,0)</f>
        <v/>
      </c>
      <c r="R3978" s="2">
        <f>TEXT(DATEVALUE(B3978),"mmm")</f>
        <v/>
      </c>
      <c r="S3978" s="2">
        <f>TEXT(DATEVALUE(B3978),"yyyy-mm")</f>
        <v/>
      </c>
    </row>
    <row r="3979">
      <c r="A3979" s="2" t="inlineStr">
        <is>
          <t>O002375</t>
        </is>
      </c>
      <c r="B3979" s="2" t="inlineStr">
        <is>
          <t>2025-10-18</t>
        </is>
      </c>
      <c r="C3979" s="2" t="inlineStr">
        <is>
          <t>C0436</t>
        </is>
      </c>
      <c r="D3979" s="2" t="inlineStr">
        <is>
          <t>P0013</t>
        </is>
      </c>
      <c r="E3979" s="2" t="inlineStr">
        <is>
          <t>Storage Organizer</t>
        </is>
      </c>
      <c r="F3979" s="2" t="inlineStr">
        <is>
          <t>Home &amp; Kitchen</t>
        </is>
      </c>
      <c r="G3979" s="2" t="inlineStr">
        <is>
          <t>South</t>
        </is>
      </c>
      <c r="H3979" s="2" t="inlineStr">
        <is>
          <t>Tamil Nadu</t>
        </is>
      </c>
      <c r="I3979" s="2" t="inlineStr">
        <is>
          <t>Coimbatore</t>
        </is>
      </c>
      <c r="J3979" s="2" t="inlineStr">
        <is>
          <t>Online</t>
        </is>
      </c>
      <c r="K3979" s="2" t="n">
        <v>2</v>
      </c>
      <c r="L3979" s="3" t="n">
        <v>589.54</v>
      </c>
      <c r="M3979" s="4" t="n">
        <v>0.15</v>
      </c>
      <c r="N3979" s="3" t="n">
        <v>710.15</v>
      </c>
      <c r="O3979" s="3">
        <f>K3979*L3979*(1-M3979)</f>
        <v/>
      </c>
      <c r="P3979" s="3">
        <f>O3979-N3979</f>
        <v/>
      </c>
      <c r="Q3979" s="5">
        <f>IFERROR(P3979/O3979,0)</f>
        <v/>
      </c>
      <c r="R3979" s="2">
        <f>TEXT(DATEVALUE(B3979),"mmm")</f>
        <v/>
      </c>
      <c r="S3979" s="2">
        <f>TEXT(DATEVALUE(B3979),"yyyy-mm")</f>
        <v/>
      </c>
    </row>
    <row r="3980">
      <c r="A3980" s="2" t="inlineStr">
        <is>
          <t>O002302</t>
        </is>
      </c>
      <c r="B3980" s="2" t="inlineStr">
        <is>
          <t>2025-10-18</t>
        </is>
      </c>
      <c r="C3980" s="2" t="inlineStr">
        <is>
          <t>C0311</t>
        </is>
      </c>
      <c r="D3980" s="2" t="inlineStr">
        <is>
          <t>P0001</t>
        </is>
      </c>
      <c r="E3980" s="2" t="inlineStr">
        <is>
          <t>Wireless Headphones</t>
        </is>
      </c>
      <c r="F3980" s="2" t="inlineStr">
        <is>
          <t>Electronics</t>
        </is>
      </c>
      <c r="G3980" s="2" t="inlineStr">
        <is>
          <t>East</t>
        </is>
      </c>
      <c r="H3980" s="2" t="inlineStr">
        <is>
          <t>Odisha</t>
        </is>
      </c>
      <c r="I3980" s="2" t="inlineStr">
        <is>
          <t>Cuttack</t>
        </is>
      </c>
      <c r="J3980" s="2" t="inlineStr">
        <is>
          <t>Online</t>
        </is>
      </c>
      <c r="K3980" s="2" t="n">
        <v>2</v>
      </c>
      <c r="L3980" s="3" t="n">
        <v>1375.41</v>
      </c>
      <c r="M3980" s="4" t="n">
        <v>0.05</v>
      </c>
      <c r="N3980" s="3" t="n">
        <v>1438.01</v>
      </c>
      <c r="O3980" s="3">
        <f>K3980*L3980*(1-M3980)</f>
        <v/>
      </c>
      <c r="P3980" s="3">
        <f>O3980-N3980</f>
        <v/>
      </c>
      <c r="Q3980" s="5">
        <f>IFERROR(P3980/O3980,0)</f>
        <v/>
      </c>
      <c r="R3980" s="2">
        <f>TEXT(DATEVALUE(B3980),"mmm")</f>
        <v/>
      </c>
      <c r="S3980" s="2">
        <f>TEXT(DATEVALUE(B3980),"yyyy-mm")</f>
        <v/>
      </c>
    </row>
    <row r="3981">
      <c r="A3981" s="2" t="inlineStr">
        <is>
          <t>O002168</t>
        </is>
      </c>
      <c r="B3981" s="2" t="inlineStr">
        <is>
          <t>2025-10-18</t>
        </is>
      </c>
      <c r="C3981" s="2" t="inlineStr">
        <is>
          <t>C0551</t>
        </is>
      </c>
      <c r="D3981" s="2" t="inlineStr">
        <is>
          <t>P0010</t>
        </is>
      </c>
      <c r="E3981" s="2" t="inlineStr">
        <is>
          <t>Mixer Grinder</t>
        </is>
      </c>
      <c r="F3981" s="2" t="inlineStr">
        <is>
          <t>Home &amp; Kitchen</t>
        </is>
      </c>
      <c r="G3981" s="2" t="inlineStr">
        <is>
          <t>South</t>
        </is>
      </c>
      <c r="H3981" s="2" t="inlineStr">
        <is>
          <t>Telangana</t>
        </is>
      </c>
      <c r="I3981" s="2" t="inlineStr">
        <is>
          <t>Hyderabad</t>
        </is>
      </c>
      <c r="J3981" s="2" t="inlineStr">
        <is>
          <t>Store</t>
        </is>
      </c>
      <c r="K3981" s="2" t="n">
        <v>2</v>
      </c>
      <c r="L3981" s="3" t="n">
        <v>1561.55</v>
      </c>
      <c r="M3981" s="4" t="n">
        <v>0.2</v>
      </c>
      <c r="N3981" s="3" t="n">
        <v>2131.15</v>
      </c>
      <c r="O3981" s="3">
        <f>K3981*L3981*(1-M3981)</f>
        <v/>
      </c>
      <c r="P3981" s="3">
        <f>O3981-N3981</f>
        <v/>
      </c>
      <c r="Q3981" s="5">
        <f>IFERROR(P3981/O3981,0)</f>
        <v/>
      </c>
      <c r="R3981" s="2">
        <f>TEXT(DATEVALUE(B3981),"mmm")</f>
        <v/>
      </c>
      <c r="S3981" s="2">
        <f>TEXT(DATEVALUE(B3981),"yyyy-mm")</f>
        <v/>
      </c>
    </row>
    <row r="3982">
      <c r="A3982" s="2" t="inlineStr">
        <is>
          <t>O002118</t>
        </is>
      </c>
      <c r="B3982" s="2" t="inlineStr">
        <is>
          <t>2025-10-18</t>
        </is>
      </c>
      <c r="C3982" s="2" t="inlineStr">
        <is>
          <t>C0158</t>
        </is>
      </c>
      <c r="D3982" s="2" t="inlineStr">
        <is>
          <t>P0007</t>
        </is>
      </c>
      <c r="E3982" s="2" t="inlineStr">
        <is>
          <t>Wireless Mouse</t>
        </is>
      </c>
      <c r="F3982" s="2" t="inlineStr">
        <is>
          <t>Electronics</t>
        </is>
      </c>
      <c r="G3982" s="2" t="inlineStr">
        <is>
          <t>West</t>
        </is>
      </c>
      <c r="H3982" s="2" t="inlineStr">
        <is>
          <t>Gujarat</t>
        </is>
      </c>
      <c r="I3982" s="2" t="inlineStr">
        <is>
          <t>Ahmedabad</t>
        </is>
      </c>
      <c r="J3982" s="2" t="inlineStr">
        <is>
          <t>Online</t>
        </is>
      </c>
      <c r="K3982" s="2" t="n">
        <v>5</v>
      </c>
      <c r="L3982" s="3" t="n">
        <v>986.5599999999999</v>
      </c>
      <c r="M3982" s="4" t="n">
        <v>0</v>
      </c>
      <c r="N3982" s="3" t="n">
        <v>3191.01</v>
      </c>
      <c r="O3982" s="3">
        <f>K3982*L3982*(1-M3982)</f>
        <v/>
      </c>
      <c r="P3982" s="3">
        <f>O3982-N3982</f>
        <v/>
      </c>
      <c r="Q3982" s="5">
        <f>IFERROR(P3982/O3982,0)</f>
        <v/>
      </c>
      <c r="R3982" s="2">
        <f>TEXT(DATEVALUE(B3982),"mmm")</f>
        <v/>
      </c>
      <c r="S3982" s="2">
        <f>TEXT(DATEVALUE(B3982),"yyyy-mm")</f>
        <v/>
      </c>
    </row>
    <row r="3983">
      <c r="A3983" s="2" t="inlineStr">
        <is>
          <t>O001417</t>
        </is>
      </c>
      <c r="B3983" s="2" t="inlineStr">
        <is>
          <t>2025-10-18</t>
        </is>
      </c>
      <c r="C3983" s="2" t="inlineStr">
        <is>
          <t>C0420</t>
        </is>
      </c>
      <c r="D3983" s="2" t="inlineStr">
        <is>
          <t>P0016</t>
        </is>
      </c>
      <c r="E3983" s="2" t="inlineStr">
        <is>
          <t>Casual Shirt</t>
        </is>
      </c>
      <c r="F3983" s="2" t="inlineStr">
        <is>
          <t>Fashion</t>
        </is>
      </c>
      <c r="G3983" s="2" t="inlineStr">
        <is>
          <t>South</t>
        </is>
      </c>
      <c r="H3983" s="2" t="inlineStr">
        <is>
          <t>Karnataka</t>
        </is>
      </c>
      <c r="I3983" s="2" t="inlineStr">
        <is>
          <t>Bengaluru</t>
        </is>
      </c>
      <c r="J3983" s="2" t="inlineStr">
        <is>
          <t>Store</t>
        </is>
      </c>
      <c r="K3983" s="2" t="n">
        <v>3</v>
      </c>
      <c r="L3983" s="3" t="n">
        <v>1263.38</v>
      </c>
      <c r="M3983" s="4" t="n">
        <v>0.1</v>
      </c>
      <c r="N3983" s="3" t="n">
        <v>2787.46</v>
      </c>
      <c r="O3983" s="3">
        <f>K3983*L3983*(1-M3983)</f>
        <v/>
      </c>
      <c r="P3983" s="3">
        <f>O3983-N3983</f>
        <v/>
      </c>
      <c r="Q3983" s="5">
        <f>IFERROR(P3983/O3983,0)</f>
        <v/>
      </c>
      <c r="R3983" s="2">
        <f>TEXT(DATEVALUE(B3983),"mmm")</f>
        <v/>
      </c>
      <c r="S3983" s="2">
        <f>TEXT(DATEVALUE(B3983),"yyyy-mm")</f>
        <v/>
      </c>
    </row>
    <row r="3984">
      <c r="A3984" s="2" t="inlineStr">
        <is>
          <t>O001267</t>
        </is>
      </c>
      <c r="B3984" s="2" t="inlineStr">
        <is>
          <t>2025-10-18</t>
        </is>
      </c>
      <c r="C3984" s="2" t="inlineStr">
        <is>
          <t>C0215</t>
        </is>
      </c>
      <c r="D3984" s="2" t="inlineStr">
        <is>
          <t>P0017</t>
        </is>
      </c>
      <c r="E3984" s="2" t="inlineStr">
        <is>
          <t>Jeans</t>
        </is>
      </c>
      <c r="F3984" s="2" t="inlineStr">
        <is>
          <t>Fashion</t>
        </is>
      </c>
      <c r="G3984" s="2" t="inlineStr">
        <is>
          <t>West</t>
        </is>
      </c>
      <c r="H3984" s="2" t="inlineStr">
        <is>
          <t>Goa</t>
        </is>
      </c>
      <c r="I3984" s="2" t="inlineStr">
        <is>
          <t>Panaji</t>
        </is>
      </c>
      <c r="J3984" s="2" t="inlineStr">
        <is>
          <t>Online</t>
        </is>
      </c>
      <c r="K3984" s="2" t="n">
        <v>6</v>
      </c>
      <c r="L3984" s="3" t="n">
        <v>1517.5</v>
      </c>
      <c r="M3984" s="4" t="n">
        <v>0.15</v>
      </c>
      <c r="N3984" s="3" t="n">
        <v>6313.65</v>
      </c>
      <c r="O3984" s="3">
        <f>K3984*L3984*(1-M3984)</f>
        <v/>
      </c>
      <c r="P3984" s="3">
        <f>O3984-N3984</f>
        <v/>
      </c>
      <c r="Q3984" s="5">
        <f>IFERROR(P3984/O3984,0)</f>
        <v/>
      </c>
      <c r="R3984" s="2">
        <f>TEXT(DATEVALUE(B3984),"mmm")</f>
        <v/>
      </c>
      <c r="S3984" s="2">
        <f>TEXT(DATEVALUE(B3984),"yyyy-mm")</f>
        <v/>
      </c>
    </row>
    <row r="3985">
      <c r="A3985" s="2" t="inlineStr">
        <is>
          <t>O001175</t>
        </is>
      </c>
      <c r="B3985" s="2" t="inlineStr">
        <is>
          <t>2025-10-18</t>
        </is>
      </c>
      <c r="C3985" s="2" t="inlineStr">
        <is>
          <t>C0208</t>
        </is>
      </c>
      <c r="D3985" s="2" t="inlineStr">
        <is>
          <t>P0010</t>
        </is>
      </c>
      <c r="E3985" s="2" t="inlineStr">
        <is>
          <t>Mixer Grinder</t>
        </is>
      </c>
      <c r="F3985" s="2" t="inlineStr">
        <is>
          <t>Home &amp; Kitchen</t>
        </is>
      </c>
      <c r="G3985" s="2" t="inlineStr">
        <is>
          <t>South</t>
        </is>
      </c>
      <c r="H3985" s="2" t="inlineStr">
        <is>
          <t>Tamil Nadu</t>
        </is>
      </c>
      <c r="I3985" s="2" t="inlineStr">
        <is>
          <t>Madurai</t>
        </is>
      </c>
      <c r="J3985" s="2" t="inlineStr">
        <is>
          <t>Store</t>
        </is>
      </c>
      <c r="K3985" s="2" t="n">
        <v>4</v>
      </c>
      <c r="L3985" s="3" t="n">
        <v>1693.1</v>
      </c>
      <c r="M3985" s="4" t="n">
        <v>0.05</v>
      </c>
      <c r="N3985" s="3" t="n">
        <v>4095.57</v>
      </c>
      <c r="O3985" s="3">
        <f>K3985*L3985*(1-M3985)</f>
        <v/>
      </c>
      <c r="P3985" s="3">
        <f>O3985-N3985</f>
        <v/>
      </c>
      <c r="Q3985" s="5">
        <f>IFERROR(P3985/O3985,0)</f>
        <v/>
      </c>
      <c r="R3985" s="2">
        <f>TEXT(DATEVALUE(B3985),"mmm")</f>
        <v/>
      </c>
      <c r="S3985" s="2">
        <f>TEXT(DATEVALUE(B3985),"yyyy-mm")</f>
        <v/>
      </c>
    </row>
    <row r="3986">
      <c r="A3986" s="2" t="inlineStr">
        <is>
          <t>O001042</t>
        </is>
      </c>
      <c r="B3986" s="2" t="inlineStr">
        <is>
          <t>2025-10-18</t>
        </is>
      </c>
      <c r="C3986" s="2" t="inlineStr">
        <is>
          <t>C0062</t>
        </is>
      </c>
      <c r="D3986" s="2" t="inlineStr">
        <is>
          <t>P0001</t>
        </is>
      </c>
      <c r="E3986" s="2" t="inlineStr">
        <is>
          <t>Wireless Headphones</t>
        </is>
      </c>
      <c r="F3986" s="2" t="inlineStr">
        <is>
          <t>Electronics</t>
        </is>
      </c>
      <c r="G3986" s="2" t="inlineStr">
        <is>
          <t>West</t>
        </is>
      </c>
      <c r="H3986" s="2" t="inlineStr">
        <is>
          <t>Maharashtra</t>
        </is>
      </c>
      <c r="I3986" s="2" t="inlineStr">
        <is>
          <t>Thane</t>
        </is>
      </c>
      <c r="J3986" s="2" t="inlineStr">
        <is>
          <t>Online</t>
        </is>
      </c>
      <c r="K3986" s="2" t="n">
        <v>1</v>
      </c>
      <c r="L3986" s="3" t="n">
        <v>1358.85</v>
      </c>
      <c r="M3986" s="4" t="n">
        <v>0</v>
      </c>
      <c r="N3986" s="3" t="n">
        <v>705.27</v>
      </c>
      <c r="O3986" s="3">
        <f>K3986*L3986*(1-M3986)</f>
        <v/>
      </c>
      <c r="P3986" s="3">
        <f>O3986-N3986</f>
        <v/>
      </c>
      <c r="Q3986" s="5">
        <f>IFERROR(P3986/O3986,0)</f>
        <v/>
      </c>
      <c r="R3986" s="2">
        <f>TEXT(DATEVALUE(B3986),"mmm")</f>
        <v/>
      </c>
      <c r="S3986" s="2">
        <f>TEXT(DATEVALUE(B3986),"yyyy-mm")</f>
        <v/>
      </c>
    </row>
    <row r="3987">
      <c r="A3987" s="2" t="inlineStr">
        <is>
          <t>O002248</t>
        </is>
      </c>
      <c r="B3987" s="2" t="inlineStr">
        <is>
          <t>2025-10-18</t>
        </is>
      </c>
      <c r="C3987" s="2" t="inlineStr">
        <is>
          <t>C0237</t>
        </is>
      </c>
      <c r="D3987" s="2" t="inlineStr">
        <is>
          <t>P0007</t>
        </is>
      </c>
      <c r="E3987" s="2" t="inlineStr">
        <is>
          <t>Wireless Mouse</t>
        </is>
      </c>
      <c r="F3987" s="2" t="inlineStr">
        <is>
          <t>Electronics</t>
        </is>
      </c>
      <c r="G3987" s="2" t="inlineStr">
        <is>
          <t>North</t>
        </is>
      </c>
      <c r="H3987" s="2" t="inlineStr">
        <is>
          <t>Haryana</t>
        </is>
      </c>
      <c r="I3987" s="2" t="inlineStr">
        <is>
          <t>Gurugram</t>
        </is>
      </c>
      <c r="J3987" s="2" t="inlineStr">
        <is>
          <t>Store</t>
        </is>
      </c>
      <c r="K3987" s="2" t="n">
        <v>4</v>
      </c>
      <c r="L3987" s="3" t="n">
        <v>984.36</v>
      </c>
      <c r="M3987" s="4" t="n">
        <v>0</v>
      </c>
      <c r="N3987" s="3" t="n">
        <v>2519.35</v>
      </c>
      <c r="O3987" s="3">
        <f>K3987*L3987*(1-M3987)</f>
        <v/>
      </c>
      <c r="P3987" s="3">
        <f>O3987-N3987</f>
        <v/>
      </c>
      <c r="Q3987" s="5">
        <f>IFERROR(P3987/O3987,0)</f>
        <v/>
      </c>
      <c r="R3987" s="2">
        <f>TEXT(DATEVALUE(B3987),"mmm")</f>
        <v/>
      </c>
      <c r="S3987" s="2">
        <f>TEXT(DATEVALUE(B3987),"yyyy-mm")</f>
        <v/>
      </c>
    </row>
    <row r="3988">
      <c r="A3988" s="2" t="inlineStr">
        <is>
          <t>O004929</t>
        </is>
      </c>
      <c r="B3988" s="2" t="inlineStr">
        <is>
          <t>2025-10-19</t>
        </is>
      </c>
      <c r="C3988" s="2" t="inlineStr">
        <is>
          <t>C0568</t>
        </is>
      </c>
      <c r="D3988" s="2" t="inlineStr">
        <is>
          <t>P0028</t>
        </is>
      </c>
      <c r="E3988" s="2" t="inlineStr">
        <is>
          <t>Trimmer</t>
        </is>
      </c>
      <c r="F3988" s="2" t="inlineStr">
        <is>
          <t>Beauty</t>
        </is>
      </c>
      <c r="G3988" s="2" t="inlineStr">
        <is>
          <t>North</t>
        </is>
      </c>
      <c r="H3988" s="2" t="inlineStr">
        <is>
          <t>Uttar Pradesh</t>
        </is>
      </c>
      <c r="I3988" s="2" t="inlineStr">
        <is>
          <t>Noida</t>
        </is>
      </c>
      <c r="J3988" s="2" t="inlineStr">
        <is>
          <t>Store</t>
        </is>
      </c>
      <c r="K3988" s="2" t="n">
        <v>2</v>
      </c>
      <c r="L3988" s="3" t="n">
        <v>470.82</v>
      </c>
      <c r="M3988" s="4" t="n">
        <v>0.1</v>
      </c>
      <c r="N3988" s="3" t="n">
        <v>515.28</v>
      </c>
      <c r="O3988" s="3">
        <f>K3988*L3988*(1-M3988)</f>
        <v/>
      </c>
      <c r="P3988" s="3">
        <f>O3988-N3988</f>
        <v/>
      </c>
      <c r="Q3988" s="5">
        <f>IFERROR(P3988/O3988,0)</f>
        <v/>
      </c>
      <c r="R3988" s="2">
        <f>TEXT(DATEVALUE(B3988),"mmm")</f>
        <v/>
      </c>
      <c r="S3988" s="2">
        <f>TEXT(DATEVALUE(B3988),"yyyy-mm")</f>
        <v/>
      </c>
    </row>
    <row r="3989">
      <c r="A3989" s="2" t="inlineStr">
        <is>
          <t>O004735</t>
        </is>
      </c>
      <c r="B3989" s="2" t="inlineStr">
        <is>
          <t>2025-10-19</t>
        </is>
      </c>
      <c r="C3989" s="2" t="inlineStr">
        <is>
          <t>C0449</t>
        </is>
      </c>
      <c r="D3989" s="2" t="inlineStr">
        <is>
          <t>P0016</t>
        </is>
      </c>
      <c r="E3989" s="2" t="inlineStr">
        <is>
          <t>Casual Shirt</t>
        </is>
      </c>
      <c r="F3989" s="2" t="inlineStr">
        <is>
          <t>Fashion</t>
        </is>
      </c>
      <c r="G3989" s="2" t="inlineStr">
        <is>
          <t>West</t>
        </is>
      </c>
      <c r="H3989" s="2" t="inlineStr">
        <is>
          <t>Goa</t>
        </is>
      </c>
      <c r="I3989" s="2" t="inlineStr">
        <is>
          <t>Margao</t>
        </is>
      </c>
      <c r="J3989" s="2" t="inlineStr">
        <is>
          <t>Online</t>
        </is>
      </c>
      <c r="K3989" s="2" t="n">
        <v>3</v>
      </c>
      <c r="L3989" s="3" t="n">
        <v>1264.65</v>
      </c>
      <c r="M3989" s="4" t="n">
        <v>0.1</v>
      </c>
      <c r="N3989" s="3" t="n">
        <v>2763.56</v>
      </c>
      <c r="O3989" s="3">
        <f>K3989*L3989*(1-M3989)</f>
        <v/>
      </c>
      <c r="P3989" s="3">
        <f>O3989-N3989</f>
        <v/>
      </c>
      <c r="Q3989" s="5">
        <f>IFERROR(P3989/O3989,0)</f>
        <v/>
      </c>
      <c r="R3989" s="2">
        <f>TEXT(DATEVALUE(B3989),"mmm")</f>
        <v/>
      </c>
      <c r="S3989" s="2">
        <f>TEXT(DATEVALUE(B3989),"yyyy-mm")</f>
        <v/>
      </c>
    </row>
    <row r="3990">
      <c r="A3990" s="2" t="inlineStr">
        <is>
          <t>O004669</t>
        </is>
      </c>
      <c r="B3990" s="2" t="inlineStr">
        <is>
          <t>2025-10-19</t>
        </is>
      </c>
      <c r="C3990" s="2" t="inlineStr">
        <is>
          <t>C0561</t>
        </is>
      </c>
      <c r="D3990" s="2" t="inlineStr">
        <is>
          <t>P0012</t>
        </is>
      </c>
      <c r="E3990" s="2" t="inlineStr">
        <is>
          <t>Water Bottle</t>
        </is>
      </c>
      <c r="F3990" s="2" t="inlineStr">
        <is>
          <t>Home &amp; Kitchen</t>
        </is>
      </c>
      <c r="G3990" s="2" t="inlineStr">
        <is>
          <t>North</t>
        </is>
      </c>
      <c r="H3990" s="2" t="inlineStr">
        <is>
          <t>Delhi</t>
        </is>
      </c>
      <c r="I3990" s="2" t="inlineStr">
        <is>
          <t>New Delhi</t>
        </is>
      </c>
      <c r="J3990" s="2" t="inlineStr">
        <is>
          <t>Online</t>
        </is>
      </c>
      <c r="K3990" s="2" t="n">
        <v>2</v>
      </c>
      <c r="L3990" s="3" t="n">
        <v>992.9400000000001</v>
      </c>
      <c r="M3990" s="4" t="n">
        <v>0.1</v>
      </c>
      <c r="N3990" s="3" t="n">
        <v>1210.07</v>
      </c>
      <c r="O3990" s="3">
        <f>K3990*L3990*(1-M3990)</f>
        <v/>
      </c>
      <c r="P3990" s="3">
        <f>O3990-N3990</f>
        <v/>
      </c>
      <c r="Q3990" s="5">
        <f>IFERROR(P3990/O3990,0)</f>
        <v/>
      </c>
      <c r="R3990" s="2">
        <f>TEXT(DATEVALUE(B3990),"mmm")</f>
        <v/>
      </c>
      <c r="S3990" s="2">
        <f>TEXT(DATEVALUE(B3990),"yyyy-mm")</f>
        <v/>
      </c>
    </row>
    <row r="3991">
      <c r="A3991" s="2" t="inlineStr">
        <is>
          <t>O004184</t>
        </is>
      </c>
      <c r="B3991" s="2" t="inlineStr">
        <is>
          <t>2025-10-19</t>
        </is>
      </c>
      <c r="C3991" s="2" t="inlineStr">
        <is>
          <t>C0140</t>
        </is>
      </c>
      <c r="D3991" s="2" t="inlineStr">
        <is>
          <t>P0004</t>
        </is>
      </c>
      <c r="E3991" s="2" t="inlineStr">
        <is>
          <t>USB-C Hub</t>
        </is>
      </c>
      <c r="F3991" s="2" t="inlineStr">
        <is>
          <t>Electronics</t>
        </is>
      </c>
      <c r="G3991" s="2" t="inlineStr">
        <is>
          <t>West</t>
        </is>
      </c>
      <c r="H3991" s="2" t="inlineStr">
        <is>
          <t>Gujarat</t>
        </is>
      </c>
      <c r="I3991" s="2" t="inlineStr">
        <is>
          <t>Ahmedabad</t>
        </is>
      </c>
      <c r="J3991" s="2" t="inlineStr">
        <is>
          <t>Store</t>
        </is>
      </c>
      <c r="K3991" s="2" t="n">
        <v>1</v>
      </c>
      <c r="L3991" s="3" t="n">
        <v>1222.6</v>
      </c>
      <c r="M3991" s="4" t="n">
        <v>0.05</v>
      </c>
      <c r="N3991" s="3" t="n">
        <v>947.5700000000001</v>
      </c>
      <c r="O3991" s="3">
        <f>K3991*L3991*(1-M3991)</f>
        <v/>
      </c>
      <c r="P3991" s="3">
        <f>O3991-N3991</f>
        <v/>
      </c>
      <c r="Q3991" s="5">
        <f>IFERROR(P3991/O3991,0)</f>
        <v/>
      </c>
      <c r="R3991" s="2">
        <f>TEXT(DATEVALUE(B3991),"mmm")</f>
        <v/>
      </c>
      <c r="S3991" s="2">
        <f>TEXT(DATEVALUE(B3991),"yyyy-mm")</f>
        <v/>
      </c>
    </row>
    <row r="3992">
      <c r="A3992" s="2" t="inlineStr">
        <is>
          <t>O003768</t>
        </is>
      </c>
      <c r="B3992" s="2" t="inlineStr">
        <is>
          <t>2025-10-19</t>
        </is>
      </c>
      <c r="C3992" s="2" t="inlineStr">
        <is>
          <t>C0386</t>
        </is>
      </c>
      <c r="D3992" s="2" t="inlineStr">
        <is>
          <t>P0027</t>
        </is>
      </c>
      <c r="E3992" s="2" t="inlineStr">
        <is>
          <t>Moisturizer</t>
        </is>
      </c>
      <c r="F3992" s="2" t="inlineStr">
        <is>
          <t>Beauty</t>
        </is>
      </c>
      <c r="G3992" s="2" t="inlineStr">
        <is>
          <t>East</t>
        </is>
      </c>
      <c r="H3992" s="2" t="inlineStr">
        <is>
          <t>Bihar</t>
        </is>
      </c>
      <c r="I3992" s="2" t="inlineStr">
        <is>
          <t>Gaya</t>
        </is>
      </c>
      <c r="J3992" s="2" t="inlineStr">
        <is>
          <t>Online</t>
        </is>
      </c>
      <c r="K3992" s="2" t="n">
        <v>2</v>
      </c>
      <c r="L3992" s="3" t="n">
        <v>991.3200000000001</v>
      </c>
      <c r="M3992" s="4" t="n">
        <v>0.2</v>
      </c>
      <c r="N3992" s="3" t="n">
        <v>1409.25</v>
      </c>
      <c r="O3992" s="3">
        <f>K3992*L3992*(1-M3992)</f>
        <v/>
      </c>
      <c r="P3992" s="3">
        <f>O3992-N3992</f>
        <v/>
      </c>
      <c r="Q3992" s="5">
        <f>IFERROR(P3992/O3992,0)</f>
        <v/>
      </c>
      <c r="R3992" s="2">
        <f>TEXT(DATEVALUE(B3992),"mmm")</f>
        <v/>
      </c>
      <c r="S3992" s="2">
        <f>TEXT(DATEVALUE(B3992),"yyyy-mm")</f>
        <v/>
      </c>
    </row>
    <row r="3993">
      <c r="A3993" s="2" t="inlineStr">
        <is>
          <t>O002579</t>
        </is>
      </c>
      <c r="B3993" s="2" t="inlineStr">
        <is>
          <t>2025-10-19</t>
        </is>
      </c>
      <c r="C3993" s="2" t="inlineStr">
        <is>
          <t>C0668</t>
        </is>
      </c>
      <c r="D3993" s="2" t="inlineStr">
        <is>
          <t>P0004</t>
        </is>
      </c>
      <c r="E3993" s="2" t="inlineStr">
        <is>
          <t>USB-C Hub</t>
        </is>
      </c>
      <c r="F3993" s="2" t="inlineStr">
        <is>
          <t>Electronics</t>
        </is>
      </c>
      <c r="G3993" s="2" t="inlineStr">
        <is>
          <t>North</t>
        </is>
      </c>
      <c r="H3993" s="2" t="inlineStr">
        <is>
          <t>Haryana</t>
        </is>
      </c>
      <c r="I3993" s="2" t="inlineStr">
        <is>
          <t>Faridabad</t>
        </is>
      </c>
      <c r="J3993" s="2" t="inlineStr">
        <is>
          <t>Online</t>
        </is>
      </c>
      <c r="K3993" s="2" t="n">
        <v>1</v>
      </c>
      <c r="L3993" s="3" t="n">
        <v>1262.72</v>
      </c>
      <c r="M3993" s="4" t="n">
        <v>0.1</v>
      </c>
      <c r="N3993" s="3" t="n">
        <v>941.9</v>
      </c>
      <c r="O3993" s="3">
        <f>K3993*L3993*(1-M3993)</f>
        <v/>
      </c>
      <c r="P3993" s="3">
        <f>O3993-N3993</f>
        <v/>
      </c>
      <c r="Q3993" s="5">
        <f>IFERROR(P3993/O3993,0)</f>
        <v/>
      </c>
      <c r="R3993" s="2">
        <f>TEXT(DATEVALUE(B3993),"mmm")</f>
        <v/>
      </c>
      <c r="S3993" s="2">
        <f>TEXT(DATEVALUE(B3993),"yyyy-mm")</f>
        <v/>
      </c>
    </row>
    <row r="3994">
      <c r="A3994" s="2" t="inlineStr">
        <is>
          <t>O003578</t>
        </is>
      </c>
      <c r="B3994" s="2" t="inlineStr">
        <is>
          <t>2025-10-19</t>
        </is>
      </c>
      <c r="C3994" s="2" t="inlineStr">
        <is>
          <t>C0274</t>
        </is>
      </c>
      <c r="D3994" s="2" t="inlineStr">
        <is>
          <t>P0011</t>
        </is>
      </c>
      <c r="E3994" s="2" t="inlineStr">
        <is>
          <t>Cookware Set</t>
        </is>
      </c>
      <c r="F3994" s="2" t="inlineStr">
        <is>
          <t>Home &amp; Kitchen</t>
        </is>
      </c>
      <c r="G3994" s="2" t="inlineStr">
        <is>
          <t>North</t>
        </is>
      </c>
      <c r="H3994" s="2" t="inlineStr">
        <is>
          <t>Delhi</t>
        </is>
      </c>
      <c r="I3994" s="2" t="inlineStr">
        <is>
          <t>New Delhi</t>
        </is>
      </c>
      <c r="J3994" s="2" t="inlineStr">
        <is>
          <t>Online</t>
        </is>
      </c>
      <c r="K3994" s="2" t="n">
        <v>1</v>
      </c>
      <c r="L3994" s="3" t="n">
        <v>689.72</v>
      </c>
      <c r="M3994" s="4" t="n">
        <v>0.05</v>
      </c>
      <c r="N3994" s="3" t="n">
        <v>483.09</v>
      </c>
      <c r="O3994" s="3">
        <f>K3994*L3994*(1-M3994)</f>
        <v/>
      </c>
      <c r="P3994" s="3">
        <f>O3994-N3994</f>
        <v/>
      </c>
      <c r="Q3994" s="5">
        <f>IFERROR(P3994/O3994,0)</f>
        <v/>
      </c>
      <c r="R3994" s="2">
        <f>TEXT(DATEVALUE(B3994),"mmm")</f>
        <v/>
      </c>
      <c r="S3994" s="2">
        <f>TEXT(DATEVALUE(B3994),"yyyy-mm")</f>
        <v/>
      </c>
    </row>
    <row r="3995">
      <c r="A3995" s="2" t="inlineStr">
        <is>
          <t>O002153</t>
        </is>
      </c>
      <c r="B3995" s="2" t="inlineStr">
        <is>
          <t>2025-10-19</t>
        </is>
      </c>
      <c r="C3995" s="2" t="inlineStr">
        <is>
          <t>C0478</t>
        </is>
      </c>
      <c r="D3995" s="2" t="inlineStr">
        <is>
          <t>P0032</t>
        </is>
      </c>
      <c r="E3995" s="2" t="inlineStr">
        <is>
          <t>Football</t>
        </is>
      </c>
      <c r="F3995" s="2" t="inlineStr">
        <is>
          <t>Sports</t>
        </is>
      </c>
      <c r="G3995" s="2" t="inlineStr">
        <is>
          <t>South</t>
        </is>
      </c>
      <c r="H3995" s="2" t="inlineStr">
        <is>
          <t>Karnataka</t>
        </is>
      </c>
      <c r="I3995" s="2" t="inlineStr">
        <is>
          <t>Bengaluru</t>
        </is>
      </c>
      <c r="J3995" s="2" t="inlineStr">
        <is>
          <t>Store</t>
        </is>
      </c>
      <c r="K3995" s="2" t="n">
        <v>1</v>
      </c>
      <c r="L3995" s="3" t="n">
        <v>789.49</v>
      </c>
      <c r="M3995" s="4" t="n">
        <v>0.05</v>
      </c>
      <c r="N3995" s="3" t="n">
        <v>547.46</v>
      </c>
      <c r="O3995" s="3">
        <f>K3995*L3995*(1-M3995)</f>
        <v/>
      </c>
      <c r="P3995" s="3">
        <f>O3995-N3995</f>
        <v/>
      </c>
      <c r="Q3995" s="5">
        <f>IFERROR(P3995/O3995,0)</f>
        <v/>
      </c>
      <c r="R3995" s="2">
        <f>TEXT(DATEVALUE(B3995),"mmm")</f>
        <v/>
      </c>
      <c r="S3995" s="2">
        <f>TEXT(DATEVALUE(B3995),"yyyy-mm")</f>
        <v/>
      </c>
    </row>
    <row r="3996">
      <c r="A3996" s="2" t="inlineStr">
        <is>
          <t>O001374</t>
        </is>
      </c>
      <c r="B3996" s="2" t="inlineStr">
        <is>
          <t>2025-10-19</t>
        </is>
      </c>
      <c r="C3996" s="2" t="inlineStr">
        <is>
          <t>C0610</t>
        </is>
      </c>
      <c r="D3996" s="2" t="inlineStr">
        <is>
          <t>P0028</t>
        </is>
      </c>
      <c r="E3996" s="2" t="inlineStr">
        <is>
          <t>Trimmer</t>
        </is>
      </c>
      <c r="F3996" s="2" t="inlineStr">
        <is>
          <t>Beauty</t>
        </is>
      </c>
      <c r="G3996" s="2" t="inlineStr">
        <is>
          <t>West</t>
        </is>
      </c>
      <c r="H3996" s="2" t="inlineStr">
        <is>
          <t>Goa</t>
        </is>
      </c>
      <c r="I3996" s="2" t="inlineStr">
        <is>
          <t>Panaji</t>
        </is>
      </c>
      <c r="J3996" s="2" t="inlineStr">
        <is>
          <t>Online</t>
        </is>
      </c>
      <c r="K3996" s="2" t="n">
        <v>2</v>
      </c>
      <c r="L3996" s="3" t="n">
        <v>446.74</v>
      </c>
      <c r="M3996" s="4" t="n">
        <v>0</v>
      </c>
      <c r="N3996" s="3" t="n">
        <v>506.33</v>
      </c>
      <c r="O3996" s="3">
        <f>K3996*L3996*(1-M3996)</f>
        <v/>
      </c>
      <c r="P3996" s="3">
        <f>O3996-N3996</f>
        <v/>
      </c>
      <c r="Q3996" s="5">
        <f>IFERROR(P3996/O3996,0)</f>
        <v/>
      </c>
      <c r="R3996" s="2">
        <f>TEXT(DATEVALUE(B3996),"mmm")</f>
        <v/>
      </c>
      <c r="S3996" s="2">
        <f>TEXT(DATEVALUE(B3996),"yyyy-mm")</f>
        <v/>
      </c>
    </row>
    <row r="3997">
      <c r="A3997" s="2" t="inlineStr">
        <is>
          <t>O001117</t>
        </is>
      </c>
      <c r="B3997" s="2" t="inlineStr">
        <is>
          <t>2025-10-19</t>
        </is>
      </c>
      <c r="C3997" s="2" t="inlineStr">
        <is>
          <t>C0317</t>
        </is>
      </c>
      <c r="D3997" s="2" t="inlineStr">
        <is>
          <t>P0023</t>
        </is>
      </c>
      <c r="E3997" s="2" t="inlineStr">
        <is>
          <t>Skin Care Kit</t>
        </is>
      </c>
      <c r="F3997" s="2" t="inlineStr">
        <is>
          <t>Beauty</t>
        </is>
      </c>
      <c r="G3997" s="2" t="inlineStr">
        <is>
          <t>East</t>
        </is>
      </c>
      <c r="H3997" s="2" t="inlineStr">
        <is>
          <t>West Bengal</t>
        </is>
      </c>
      <c r="I3997" s="2" t="inlineStr">
        <is>
          <t>Durgapur</t>
        </is>
      </c>
      <c r="J3997" s="2" t="inlineStr">
        <is>
          <t>Online</t>
        </is>
      </c>
      <c r="K3997" s="2" t="n">
        <v>5</v>
      </c>
      <c r="L3997" s="3" t="n">
        <v>1447.7</v>
      </c>
      <c r="M3997" s="4" t="n">
        <v>0.15</v>
      </c>
      <c r="N3997" s="3" t="n">
        <v>4363.17</v>
      </c>
      <c r="O3997" s="3">
        <f>K3997*L3997*(1-M3997)</f>
        <v/>
      </c>
      <c r="P3997" s="3">
        <f>O3997-N3997</f>
        <v/>
      </c>
      <c r="Q3997" s="5">
        <f>IFERROR(P3997/O3997,0)</f>
        <v/>
      </c>
      <c r="R3997" s="2">
        <f>TEXT(DATEVALUE(B3997),"mmm")</f>
        <v/>
      </c>
      <c r="S3997" s="2">
        <f>TEXT(DATEVALUE(B3997),"yyyy-mm")</f>
        <v/>
      </c>
    </row>
    <row r="3998">
      <c r="A3998" s="2" t="inlineStr">
        <is>
          <t>O000874</t>
        </is>
      </c>
      <c r="B3998" s="2" t="inlineStr">
        <is>
          <t>2025-10-19</t>
        </is>
      </c>
      <c r="C3998" s="2" t="inlineStr">
        <is>
          <t>C0054</t>
        </is>
      </c>
      <c r="D3998" s="2" t="inlineStr">
        <is>
          <t>P0002</t>
        </is>
      </c>
      <c r="E3998" s="2" t="inlineStr">
        <is>
          <t>Bluetooth Speaker</t>
        </is>
      </c>
      <c r="F3998" s="2" t="inlineStr">
        <is>
          <t>Electronics</t>
        </is>
      </c>
      <c r="G3998" s="2" t="inlineStr">
        <is>
          <t>North</t>
        </is>
      </c>
      <c r="H3998" s="2" t="inlineStr">
        <is>
          <t>Uttar Pradesh</t>
        </is>
      </c>
      <c r="I3998" s="2" t="inlineStr">
        <is>
          <t>Lucknow</t>
        </is>
      </c>
      <c r="J3998" s="2" t="inlineStr">
        <is>
          <t>Store</t>
        </is>
      </c>
      <c r="K3998" s="2" t="n">
        <v>2</v>
      </c>
      <c r="L3998" s="3" t="n">
        <v>1377.11</v>
      </c>
      <c r="M3998" s="4" t="n">
        <v>0.2</v>
      </c>
      <c r="N3998" s="3" t="n">
        <v>1637.88</v>
      </c>
      <c r="O3998" s="3">
        <f>K3998*L3998*(1-M3998)</f>
        <v/>
      </c>
      <c r="P3998" s="3">
        <f>O3998-N3998</f>
        <v/>
      </c>
      <c r="Q3998" s="5">
        <f>IFERROR(P3998/O3998,0)</f>
        <v/>
      </c>
      <c r="R3998" s="2">
        <f>TEXT(DATEVALUE(B3998),"mmm")</f>
        <v/>
      </c>
      <c r="S3998" s="2">
        <f>TEXT(DATEVALUE(B3998),"yyyy-mm")</f>
        <v/>
      </c>
    </row>
    <row r="3999">
      <c r="A3999" s="2" t="inlineStr">
        <is>
          <t>O000627</t>
        </is>
      </c>
      <c r="B3999" s="2" t="inlineStr">
        <is>
          <t>2025-10-19</t>
        </is>
      </c>
      <c r="C3999" s="2" t="inlineStr">
        <is>
          <t>C0500</t>
        </is>
      </c>
      <c r="D3999" s="2" t="inlineStr">
        <is>
          <t>P0006</t>
        </is>
      </c>
      <c r="E3999" s="2" t="inlineStr">
        <is>
          <t>Mechanical Keyboard</t>
        </is>
      </c>
      <c r="F3999" s="2" t="inlineStr">
        <is>
          <t>Electronics</t>
        </is>
      </c>
      <c r="G3999" s="2" t="inlineStr">
        <is>
          <t>South</t>
        </is>
      </c>
      <c r="H3999" s="2" t="inlineStr">
        <is>
          <t>Karnataka</t>
        </is>
      </c>
      <c r="I3999" s="2" t="inlineStr">
        <is>
          <t>Mangaluru</t>
        </is>
      </c>
      <c r="J3999" s="2" t="inlineStr">
        <is>
          <t>Online</t>
        </is>
      </c>
      <c r="K3999" s="2" t="n">
        <v>1</v>
      </c>
      <c r="L3999" s="3" t="n">
        <v>2832.38</v>
      </c>
      <c r="M3999" s="4" t="n">
        <v>0.1</v>
      </c>
      <c r="N3999" s="3" t="n">
        <v>1472.39</v>
      </c>
      <c r="O3999" s="3">
        <f>K3999*L3999*(1-M3999)</f>
        <v/>
      </c>
      <c r="P3999" s="3">
        <f>O3999-N3999</f>
        <v/>
      </c>
      <c r="Q3999" s="5">
        <f>IFERROR(P3999/O3999,0)</f>
        <v/>
      </c>
      <c r="R3999" s="2">
        <f>TEXT(DATEVALUE(B3999),"mmm")</f>
        <v/>
      </c>
      <c r="S3999" s="2">
        <f>TEXT(DATEVALUE(B3999),"yyyy-mm")</f>
        <v/>
      </c>
    </row>
    <row r="4000">
      <c r="A4000" s="2" t="inlineStr">
        <is>
          <t>O002347</t>
        </is>
      </c>
      <c r="B4000" s="2" t="inlineStr">
        <is>
          <t>2025-10-19</t>
        </is>
      </c>
      <c r="C4000" s="2" t="inlineStr">
        <is>
          <t>C0694</t>
        </is>
      </c>
      <c r="D4000" s="2" t="inlineStr">
        <is>
          <t>P0014</t>
        </is>
      </c>
      <c r="E4000" s="2" t="inlineStr">
        <is>
          <t>Coffee Maker</t>
        </is>
      </c>
      <c r="F4000" s="2" t="inlineStr">
        <is>
          <t>Home &amp; Kitchen</t>
        </is>
      </c>
      <c r="G4000" s="2" t="inlineStr">
        <is>
          <t>South</t>
        </is>
      </c>
      <c r="H4000" s="2" t="inlineStr">
        <is>
          <t>Karnataka</t>
        </is>
      </c>
      <c r="I4000" s="2" t="inlineStr">
        <is>
          <t>Bengaluru</t>
        </is>
      </c>
      <c r="J4000" s="2" t="inlineStr">
        <is>
          <t>Online</t>
        </is>
      </c>
      <c r="K4000" s="2" t="n">
        <v>2</v>
      </c>
      <c r="L4000" s="3" t="n">
        <v>1032.68</v>
      </c>
      <c r="M4000" s="4" t="n">
        <v>0.15</v>
      </c>
      <c r="N4000" s="3" t="n">
        <v>1514.8</v>
      </c>
      <c r="O4000" s="3">
        <f>K4000*L4000*(1-M4000)</f>
        <v/>
      </c>
      <c r="P4000" s="3">
        <f>O4000-N4000</f>
        <v/>
      </c>
      <c r="Q4000" s="5">
        <f>IFERROR(P4000/O4000,0)</f>
        <v/>
      </c>
      <c r="R4000" s="2">
        <f>TEXT(DATEVALUE(B4000),"mmm")</f>
        <v/>
      </c>
      <c r="S4000" s="2">
        <f>TEXT(DATEVALUE(B4000),"yyyy-mm")</f>
        <v/>
      </c>
    </row>
    <row r="4001">
      <c r="A4001" s="2" t="inlineStr">
        <is>
          <t>O002007</t>
        </is>
      </c>
      <c r="B4001" s="2" t="inlineStr">
        <is>
          <t>2025-10-20</t>
        </is>
      </c>
      <c r="C4001" s="2" t="inlineStr">
        <is>
          <t>C0263</t>
        </is>
      </c>
      <c r="D4001" s="2" t="inlineStr">
        <is>
          <t>P0007</t>
        </is>
      </c>
      <c r="E4001" s="2" t="inlineStr">
        <is>
          <t>Wireless Mouse</t>
        </is>
      </c>
      <c r="F4001" s="2" t="inlineStr">
        <is>
          <t>Electronics</t>
        </is>
      </c>
      <c r="G4001" s="2" t="inlineStr">
        <is>
          <t>South</t>
        </is>
      </c>
      <c r="H4001" s="2" t="inlineStr">
        <is>
          <t>Karnataka</t>
        </is>
      </c>
      <c r="I4001" s="2" t="inlineStr">
        <is>
          <t>Bengaluru</t>
        </is>
      </c>
      <c r="J4001" s="2" t="inlineStr">
        <is>
          <t>Online</t>
        </is>
      </c>
      <c r="K4001" s="2" t="n">
        <v>1</v>
      </c>
      <c r="L4001" s="3" t="n">
        <v>992</v>
      </c>
      <c r="M4001" s="4" t="n">
        <v>0.25</v>
      </c>
      <c r="N4001" s="3" t="n">
        <v>639.9400000000001</v>
      </c>
      <c r="O4001" s="3">
        <f>K4001*L4001*(1-M4001)</f>
        <v/>
      </c>
      <c r="P4001" s="3">
        <f>O4001-N4001</f>
        <v/>
      </c>
      <c r="Q4001" s="5">
        <f>IFERROR(P4001/O4001,0)</f>
        <v/>
      </c>
      <c r="R4001" s="2">
        <f>TEXT(DATEVALUE(B4001),"mmm")</f>
        <v/>
      </c>
      <c r="S4001" s="2">
        <f>TEXT(DATEVALUE(B4001),"yyyy-mm")</f>
        <v/>
      </c>
    </row>
    <row r="4002">
      <c r="A4002" s="2" t="inlineStr">
        <is>
          <t>O004990</t>
        </is>
      </c>
      <c r="B4002" s="2" t="inlineStr">
        <is>
          <t>2025-10-20</t>
        </is>
      </c>
      <c r="C4002" s="2" t="inlineStr">
        <is>
          <t>C0694</t>
        </is>
      </c>
      <c r="D4002" s="2" t="inlineStr">
        <is>
          <t>P0026</t>
        </is>
      </c>
      <c r="E4002" s="2" t="inlineStr">
        <is>
          <t>Shampoo</t>
        </is>
      </c>
      <c r="F4002" s="2" t="inlineStr">
        <is>
          <t>Beauty</t>
        </is>
      </c>
      <c r="G4002" s="2" t="inlineStr">
        <is>
          <t>South</t>
        </is>
      </c>
      <c r="H4002" s="2" t="inlineStr">
        <is>
          <t>Tamil Nadu</t>
        </is>
      </c>
      <c r="I4002" s="2" t="inlineStr">
        <is>
          <t>Coimbatore</t>
        </is>
      </c>
      <c r="J4002" s="2" t="inlineStr">
        <is>
          <t>Store</t>
        </is>
      </c>
      <c r="K4002" s="2" t="n">
        <v>4</v>
      </c>
      <c r="L4002" s="3" t="n">
        <v>859.7</v>
      </c>
      <c r="M4002" s="4" t="n">
        <v>0.05</v>
      </c>
      <c r="N4002" s="3" t="n">
        <v>2153.33</v>
      </c>
      <c r="O4002" s="3">
        <f>K4002*L4002*(1-M4002)</f>
        <v/>
      </c>
      <c r="P4002" s="3">
        <f>O4002-N4002</f>
        <v/>
      </c>
      <c r="Q4002" s="5">
        <f>IFERROR(P4002/O4002,0)</f>
        <v/>
      </c>
      <c r="R4002" s="2">
        <f>TEXT(DATEVALUE(B4002),"mmm")</f>
        <v/>
      </c>
      <c r="S4002" s="2">
        <f>TEXT(DATEVALUE(B4002),"yyyy-mm")</f>
        <v/>
      </c>
    </row>
    <row r="4003">
      <c r="A4003" s="2" t="inlineStr">
        <is>
          <t>O004926</t>
        </is>
      </c>
      <c r="B4003" s="2" t="inlineStr">
        <is>
          <t>2025-10-20</t>
        </is>
      </c>
      <c r="C4003" s="2" t="inlineStr">
        <is>
          <t>C0312</t>
        </is>
      </c>
      <c r="D4003" s="2" t="inlineStr">
        <is>
          <t>P0012</t>
        </is>
      </c>
      <c r="E4003" s="2" t="inlineStr">
        <is>
          <t>Water Bottle</t>
        </is>
      </c>
      <c r="F4003" s="2" t="inlineStr">
        <is>
          <t>Home &amp; Kitchen</t>
        </is>
      </c>
      <c r="G4003" s="2" t="inlineStr">
        <is>
          <t>West</t>
        </is>
      </c>
      <c r="H4003" s="2" t="inlineStr">
        <is>
          <t>Maharashtra</t>
        </is>
      </c>
      <c r="I4003" s="2" t="inlineStr">
        <is>
          <t>Nashik</t>
        </is>
      </c>
      <c r="J4003" s="2" t="inlineStr">
        <is>
          <t>Online</t>
        </is>
      </c>
      <c r="K4003" s="2" t="n">
        <v>2</v>
      </c>
      <c r="L4003" s="3" t="n">
        <v>984.33</v>
      </c>
      <c r="M4003" s="4" t="n">
        <v>0.15</v>
      </c>
      <c r="N4003" s="3" t="n">
        <v>1260.54</v>
      </c>
      <c r="O4003" s="3">
        <f>K4003*L4003*(1-M4003)</f>
        <v/>
      </c>
      <c r="P4003" s="3">
        <f>O4003-N4003</f>
        <v/>
      </c>
      <c r="Q4003" s="5">
        <f>IFERROR(P4003/O4003,0)</f>
        <v/>
      </c>
      <c r="R4003" s="2">
        <f>TEXT(DATEVALUE(B4003),"mmm")</f>
        <v/>
      </c>
      <c r="S4003" s="2">
        <f>TEXT(DATEVALUE(B4003),"yyyy-mm")</f>
        <v/>
      </c>
    </row>
    <row r="4004">
      <c r="A4004" s="2" t="inlineStr">
        <is>
          <t>O003735</t>
        </is>
      </c>
      <c r="B4004" s="2" t="inlineStr">
        <is>
          <t>2025-10-20</t>
        </is>
      </c>
      <c r="C4004" s="2" t="inlineStr">
        <is>
          <t>C0700</t>
        </is>
      </c>
      <c r="D4004" s="2" t="inlineStr">
        <is>
          <t>P0014</t>
        </is>
      </c>
      <c r="E4004" s="2" t="inlineStr">
        <is>
          <t>Coffee Maker</t>
        </is>
      </c>
      <c r="F4004" s="2" t="inlineStr">
        <is>
          <t>Home &amp; Kitchen</t>
        </is>
      </c>
      <c r="G4004" s="2" t="inlineStr">
        <is>
          <t>West</t>
        </is>
      </c>
      <c r="H4004" s="2" t="inlineStr">
        <is>
          <t>Gujarat</t>
        </is>
      </c>
      <c r="I4004" s="2" t="inlineStr">
        <is>
          <t>Vadodara</t>
        </is>
      </c>
      <c r="J4004" s="2" t="inlineStr">
        <is>
          <t>Online</t>
        </is>
      </c>
      <c r="K4004" s="2" t="n">
        <v>2</v>
      </c>
      <c r="L4004" s="3" t="n">
        <v>999.7</v>
      </c>
      <c r="M4004" s="4" t="n">
        <v>0.05</v>
      </c>
      <c r="N4004" s="3" t="n">
        <v>1506.84</v>
      </c>
      <c r="O4004" s="3">
        <f>K4004*L4004*(1-M4004)</f>
        <v/>
      </c>
      <c r="P4004" s="3">
        <f>O4004-N4004</f>
        <v/>
      </c>
      <c r="Q4004" s="5">
        <f>IFERROR(P4004/O4004,0)</f>
        <v/>
      </c>
      <c r="R4004" s="2">
        <f>TEXT(DATEVALUE(B4004),"mmm")</f>
        <v/>
      </c>
      <c r="S4004" s="2">
        <f>TEXT(DATEVALUE(B4004),"yyyy-mm")</f>
        <v/>
      </c>
    </row>
    <row r="4005">
      <c r="A4005" s="2" t="inlineStr">
        <is>
          <t>O002716</t>
        </is>
      </c>
      <c r="B4005" s="2" t="inlineStr">
        <is>
          <t>2025-10-20</t>
        </is>
      </c>
      <c r="C4005" s="2" t="inlineStr">
        <is>
          <t>C0785</t>
        </is>
      </c>
      <c r="D4005" s="2" t="inlineStr">
        <is>
          <t>P0015</t>
        </is>
      </c>
      <c r="E4005" s="2" t="inlineStr">
        <is>
          <t>Running Shoes</t>
        </is>
      </c>
      <c r="F4005" s="2" t="inlineStr">
        <is>
          <t>Fashion</t>
        </is>
      </c>
      <c r="G4005" s="2" t="inlineStr">
        <is>
          <t>North</t>
        </is>
      </c>
      <c r="H4005" s="2" t="inlineStr">
        <is>
          <t>Punjab</t>
        </is>
      </c>
      <c r="I4005" s="2" t="inlineStr">
        <is>
          <t>Ludhiana</t>
        </is>
      </c>
      <c r="J4005" s="2" t="inlineStr">
        <is>
          <t>Online</t>
        </is>
      </c>
      <c r="K4005" s="2" t="n">
        <v>2</v>
      </c>
      <c r="L4005" s="3" t="n">
        <v>603.38</v>
      </c>
      <c r="M4005" s="4" t="n">
        <v>0.05</v>
      </c>
      <c r="N4005" s="3" t="n">
        <v>759.52</v>
      </c>
      <c r="O4005" s="3">
        <f>K4005*L4005*(1-M4005)</f>
        <v/>
      </c>
      <c r="P4005" s="3">
        <f>O4005-N4005</f>
        <v/>
      </c>
      <c r="Q4005" s="5">
        <f>IFERROR(P4005/O4005,0)</f>
        <v/>
      </c>
      <c r="R4005" s="2">
        <f>TEXT(DATEVALUE(B4005),"mmm")</f>
        <v/>
      </c>
      <c r="S4005" s="2">
        <f>TEXT(DATEVALUE(B4005),"yyyy-mm")</f>
        <v/>
      </c>
    </row>
    <row r="4006">
      <c r="A4006" s="2" t="inlineStr">
        <is>
          <t>O002238</t>
        </is>
      </c>
      <c r="B4006" s="2" t="inlineStr">
        <is>
          <t>2025-10-20</t>
        </is>
      </c>
      <c r="C4006" s="2" t="inlineStr">
        <is>
          <t>C0291</t>
        </is>
      </c>
      <c r="D4006" s="2" t="inlineStr">
        <is>
          <t>P0035</t>
        </is>
      </c>
      <c r="E4006" s="2" t="inlineStr">
        <is>
          <t>Skipping Rope</t>
        </is>
      </c>
      <c r="F4006" s="2" t="inlineStr">
        <is>
          <t>Sports</t>
        </is>
      </c>
      <c r="G4006" s="2" t="inlineStr">
        <is>
          <t>South</t>
        </is>
      </c>
      <c r="H4006" s="2" t="inlineStr">
        <is>
          <t>Kerala</t>
        </is>
      </c>
      <c r="I4006" s="2" t="inlineStr">
        <is>
          <t>Thiruvananthapuram</t>
        </is>
      </c>
      <c r="J4006" s="2" t="inlineStr">
        <is>
          <t>Online</t>
        </is>
      </c>
      <c r="K4006" s="2" t="n">
        <v>5</v>
      </c>
      <c r="L4006" s="3" t="n">
        <v>706.63</v>
      </c>
      <c r="M4006" s="4" t="n">
        <v>0</v>
      </c>
      <c r="N4006" s="3" t="n">
        <v>2025.04</v>
      </c>
      <c r="O4006" s="3">
        <f>K4006*L4006*(1-M4006)</f>
        <v/>
      </c>
      <c r="P4006" s="3">
        <f>O4006-N4006</f>
        <v/>
      </c>
      <c r="Q4006" s="5">
        <f>IFERROR(P4006/O4006,0)</f>
        <v/>
      </c>
      <c r="R4006" s="2">
        <f>TEXT(DATEVALUE(B4006),"mmm")</f>
        <v/>
      </c>
      <c r="S4006" s="2">
        <f>TEXT(DATEVALUE(B4006),"yyyy-mm")</f>
        <v/>
      </c>
    </row>
    <row r="4007">
      <c r="A4007" s="2" t="inlineStr">
        <is>
          <t>O002216</t>
        </is>
      </c>
      <c r="B4007" s="2" t="inlineStr">
        <is>
          <t>2025-10-20</t>
        </is>
      </c>
      <c r="C4007" s="2" t="inlineStr">
        <is>
          <t>C0550</t>
        </is>
      </c>
      <c r="D4007" s="2" t="inlineStr">
        <is>
          <t>P0016</t>
        </is>
      </c>
      <c r="E4007" s="2" t="inlineStr">
        <is>
          <t>Casual Shirt</t>
        </is>
      </c>
      <c r="F4007" s="2" t="inlineStr">
        <is>
          <t>Fashion</t>
        </is>
      </c>
      <c r="G4007" s="2" t="inlineStr">
        <is>
          <t>West</t>
        </is>
      </c>
      <c r="H4007" s="2" t="inlineStr">
        <is>
          <t>Goa</t>
        </is>
      </c>
      <c r="I4007" s="2" t="inlineStr">
        <is>
          <t>Panaji</t>
        </is>
      </c>
      <c r="J4007" s="2" t="inlineStr">
        <is>
          <t>Online</t>
        </is>
      </c>
      <c r="K4007" s="2" t="n">
        <v>3</v>
      </c>
      <c r="L4007" s="3" t="n">
        <v>1301.94</v>
      </c>
      <c r="M4007" s="4" t="n">
        <v>0</v>
      </c>
      <c r="N4007" s="3" t="n">
        <v>2674.93</v>
      </c>
      <c r="O4007" s="3">
        <f>K4007*L4007*(1-M4007)</f>
        <v/>
      </c>
      <c r="P4007" s="3">
        <f>O4007-N4007</f>
        <v/>
      </c>
      <c r="Q4007" s="5">
        <f>IFERROR(P4007/O4007,0)</f>
        <v/>
      </c>
      <c r="R4007" s="2">
        <f>TEXT(DATEVALUE(B4007),"mmm")</f>
        <v/>
      </c>
      <c r="S4007" s="2">
        <f>TEXT(DATEVALUE(B4007),"yyyy-mm")</f>
        <v/>
      </c>
    </row>
    <row r="4008">
      <c r="A4008" s="2" t="inlineStr">
        <is>
          <t>O002137</t>
        </is>
      </c>
      <c r="B4008" s="2" t="inlineStr">
        <is>
          <t>2025-10-20</t>
        </is>
      </c>
      <c r="C4008" s="2" t="inlineStr">
        <is>
          <t>C0293</t>
        </is>
      </c>
      <c r="D4008" s="2" t="inlineStr">
        <is>
          <t>P0019</t>
        </is>
      </c>
      <c r="E4008" s="2" t="inlineStr">
        <is>
          <t>Jacket</t>
        </is>
      </c>
      <c r="F4008" s="2" t="inlineStr">
        <is>
          <t>Fashion</t>
        </is>
      </c>
      <c r="G4008" s="2" t="inlineStr">
        <is>
          <t>East</t>
        </is>
      </c>
      <c r="H4008" s="2" t="inlineStr">
        <is>
          <t>West Bengal</t>
        </is>
      </c>
      <c r="I4008" s="2" t="inlineStr">
        <is>
          <t>Kolkata</t>
        </is>
      </c>
      <c r="J4008" s="2" t="inlineStr">
        <is>
          <t>Store</t>
        </is>
      </c>
      <c r="K4008" s="2" t="n">
        <v>1</v>
      </c>
      <c r="L4008" s="3" t="n">
        <v>1025.8</v>
      </c>
      <c r="M4008" s="4" t="n">
        <v>0.1</v>
      </c>
      <c r="N4008" s="3" t="n">
        <v>694.83</v>
      </c>
      <c r="O4008" s="3">
        <f>K4008*L4008*(1-M4008)</f>
        <v/>
      </c>
      <c r="P4008" s="3">
        <f>O4008-N4008</f>
        <v/>
      </c>
      <c r="Q4008" s="5">
        <f>IFERROR(P4008/O4008,0)</f>
        <v/>
      </c>
      <c r="R4008" s="2">
        <f>TEXT(DATEVALUE(B4008),"mmm")</f>
        <v/>
      </c>
      <c r="S4008" s="2">
        <f>TEXT(DATEVALUE(B4008),"yyyy-mm")</f>
        <v/>
      </c>
    </row>
    <row r="4009">
      <c r="A4009" s="2" t="inlineStr">
        <is>
          <t>O001950</t>
        </is>
      </c>
      <c r="B4009" s="2" t="inlineStr">
        <is>
          <t>2025-10-20</t>
        </is>
      </c>
      <c r="C4009" s="2" t="inlineStr">
        <is>
          <t>C0242</t>
        </is>
      </c>
      <c r="D4009" s="2" t="inlineStr">
        <is>
          <t>P0016</t>
        </is>
      </c>
      <c r="E4009" s="2" t="inlineStr">
        <is>
          <t>Casual Shirt</t>
        </is>
      </c>
      <c r="F4009" s="2" t="inlineStr">
        <is>
          <t>Fashion</t>
        </is>
      </c>
      <c r="G4009" s="2" t="inlineStr">
        <is>
          <t>South</t>
        </is>
      </c>
      <c r="H4009" s="2" t="inlineStr">
        <is>
          <t>Karnataka</t>
        </is>
      </c>
      <c r="I4009" s="2" t="inlineStr">
        <is>
          <t>Mangaluru</t>
        </is>
      </c>
      <c r="J4009" s="2" t="inlineStr">
        <is>
          <t>Store</t>
        </is>
      </c>
      <c r="K4009" s="2" t="n">
        <v>4</v>
      </c>
      <c r="L4009" s="3" t="n">
        <v>1309.5</v>
      </c>
      <c r="M4009" s="4" t="n">
        <v>0</v>
      </c>
      <c r="N4009" s="3" t="n">
        <v>3590.55</v>
      </c>
      <c r="O4009" s="3">
        <f>K4009*L4009*(1-M4009)</f>
        <v/>
      </c>
      <c r="P4009" s="3">
        <f>O4009-N4009</f>
        <v/>
      </c>
      <c r="Q4009" s="5">
        <f>IFERROR(P4009/O4009,0)</f>
        <v/>
      </c>
      <c r="R4009" s="2">
        <f>TEXT(DATEVALUE(B4009),"mmm")</f>
        <v/>
      </c>
      <c r="S4009" s="2">
        <f>TEXT(DATEVALUE(B4009),"yyyy-mm")</f>
        <v/>
      </c>
    </row>
    <row r="4010">
      <c r="A4010" s="2" t="inlineStr">
        <is>
          <t>O004957</t>
        </is>
      </c>
      <c r="B4010" s="2" t="inlineStr">
        <is>
          <t>2025-10-20</t>
        </is>
      </c>
      <c r="C4010" s="2" t="inlineStr">
        <is>
          <t>C0179</t>
        </is>
      </c>
      <c r="D4010" s="2" t="inlineStr">
        <is>
          <t>P0028</t>
        </is>
      </c>
      <c r="E4010" s="2" t="inlineStr">
        <is>
          <t>Trimmer</t>
        </is>
      </c>
      <c r="F4010" s="2" t="inlineStr">
        <is>
          <t>Beauty</t>
        </is>
      </c>
      <c r="G4010" s="2" t="inlineStr">
        <is>
          <t>North</t>
        </is>
      </c>
      <c r="H4010" s="2" t="inlineStr">
        <is>
          <t>Haryana</t>
        </is>
      </c>
      <c r="I4010" s="2" t="inlineStr">
        <is>
          <t>Gurugram</t>
        </is>
      </c>
      <c r="J4010" s="2" t="inlineStr">
        <is>
          <t>Online</t>
        </is>
      </c>
      <c r="K4010" s="2" t="n">
        <v>1</v>
      </c>
      <c r="L4010" s="3" t="n">
        <v>444.23</v>
      </c>
      <c r="M4010" s="4" t="n">
        <v>0.05</v>
      </c>
      <c r="N4010" s="3" t="n">
        <v>256.63</v>
      </c>
      <c r="O4010" s="3">
        <f>K4010*L4010*(1-M4010)</f>
        <v/>
      </c>
      <c r="P4010" s="3">
        <f>O4010-N4010</f>
        <v/>
      </c>
      <c r="Q4010" s="5">
        <f>IFERROR(P4010/O4010,0)</f>
        <v/>
      </c>
      <c r="R4010" s="2">
        <f>TEXT(DATEVALUE(B4010),"mmm")</f>
        <v/>
      </c>
      <c r="S4010" s="2">
        <f>TEXT(DATEVALUE(B4010),"yyyy-mm")</f>
        <v/>
      </c>
    </row>
    <row r="4011">
      <c r="A4011" s="2" t="inlineStr">
        <is>
          <t>O001532</t>
        </is>
      </c>
      <c r="B4011" s="2" t="inlineStr">
        <is>
          <t>2025-10-20</t>
        </is>
      </c>
      <c r="C4011" s="2" t="inlineStr">
        <is>
          <t>C0095</t>
        </is>
      </c>
      <c r="D4011" s="2" t="inlineStr">
        <is>
          <t>P0004</t>
        </is>
      </c>
      <c r="E4011" s="2" t="inlineStr">
        <is>
          <t>USB-C Hub</t>
        </is>
      </c>
      <c r="F4011" s="2" t="inlineStr">
        <is>
          <t>Electronics</t>
        </is>
      </c>
      <c r="G4011" s="2" t="inlineStr">
        <is>
          <t>North</t>
        </is>
      </c>
      <c r="H4011" s="2" t="inlineStr">
        <is>
          <t>Haryana</t>
        </is>
      </c>
      <c r="I4011" s="2" t="inlineStr">
        <is>
          <t>Gurugram</t>
        </is>
      </c>
      <c r="J4011" s="2" t="inlineStr">
        <is>
          <t>Online</t>
        </is>
      </c>
      <c r="K4011" s="2" t="n">
        <v>2</v>
      </c>
      <c r="L4011" s="3" t="n">
        <v>1249.93</v>
      </c>
      <c r="M4011" s="4" t="n">
        <v>0.05</v>
      </c>
      <c r="N4011" s="3" t="n">
        <v>1820.66</v>
      </c>
      <c r="O4011" s="3">
        <f>K4011*L4011*(1-M4011)</f>
        <v/>
      </c>
      <c r="P4011" s="3">
        <f>O4011-N4011</f>
        <v/>
      </c>
      <c r="Q4011" s="5">
        <f>IFERROR(P4011/O4011,0)</f>
        <v/>
      </c>
      <c r="R4011" s="2">
        <f>TEXT(DATEVALUE(B4011),"mmm")</f>
        <v/>
      </c>
      <c r="S4011" s="2">
        <f>TEXT(DATEVALUE(B4011),"yyyy-mm")</f>
        <v/>
      </c>
    </row>
    <row r="4012">
      <c r="A4012" s="2" t="inlineStr">
        <is>
          <t>O001524</t>
        </is>
      </c>
      <c r="B4012" s="2" t="inlineStr">
        <is>
          <t>2025-10-20</t>
        </is>
      </c>
      <c r="C4012" s="2" t="inlineStr">
        <is>
          <t>C0782</t>
        </is>
      </c>
      <c r="D4012" s="2" t="inlineStr">
        <is>
          <t>P0024</t>
        </is>
      </c>
      <c r="E4012" s="2" t="inlineStr">
        <is>
          <t>Hair Dryer</t>
        </is>
      </c>
      <c r="F4012" s="2" t="inlineStr">
        <is>
          <t>Beauty</t>
        </is>
      </c>
      <c r="G4012" s="2" t="inlineStr">
        <is>
          <t>North</t>
        </is>
      </c>
      <c r="H4012" s="2" t="inlineStr">
        <is>
          <t>Delhi</t>
        </is>
      </c>
      <c r="I4012" s="2" t="inlineStr">
        <is>
          <t>New Delhi</t>
        </is>
      </c>
      <c r="J4012" s="2" t="inlineStr">
        <is>
          <t>Store</t>
        </is>
      </c>
      <c r="K4012" s="2" t="n">
        <v>2</v>
      </c>
      <c r="L4012" s="3" t="n">
        <v>1045.91</v>
      </c>
      <c r="M4012" s="4" t="n">
        <v>0.05</v>
      </c>
      <c r="N4012" s="3" t="n">
        <v>1421.72</v>
      </c>
      <c r="O4012" s="3">
        <f>K4012*L4012*(1-M4012)</f>
        <v/>
      </c>
      <c r="P4012" s="3">
        <f>O4012-N4012</f>
        <v/>
      </c>
      <c r="Q4012" s="5">
        <f>IFERROR(P4012/O4012,0)</f>
        <v/>
      </c>
      <c r="R4012" s="2">
        <f>TEXT(DATEVALUE(B4012),"mmm")</f>
        <v/>
      </c>
      <c r="S4012" s="2">
        <f>TEXT(DATEVALUE(B4012),"yyyy-mm")</f>
        <v/>
      </c>
    </row>
    <row r="4013">
      <c r="A4013" s="2" t="inlineStr">
        <is>
          <t>O001481</t>
        </is>
      </c>
      <c r="B4013" s="2" t="inlineStr">
        <is>
          <t>2025-10-20</t>
        </is>
      </c>
      <c r="C4013" s="2" t="inlineStr">
        <is>
          <t>C0456</t>
        </is>
      </c>
      <c r="D4013" s="2" t="inlineStr">
        <is>
          <t>P0017</t>
        </is>
      </c>
      <c r="E4013" s="2" t="inlineStr">
        <is>
          <t>Jeans</t>
        </is>
      </c>
      <c r="F4013" s="2" t="inlineStr">
        <is>
          <t>Fashion</t>
        </is>
      </c>
      <c r="G4013" s="2" t="inlineStr">
        <is>
          <t>North</t>
        </is>
      </c>
      <c r="H4013" s="2" t="inlineStr">
        <is>
          <t>Haryana</t>
        </is>
      </c>
      <c r="I4013" s="2" t="inlineStr">
        <is>
          <t>Faridabad</t>
        </is>
      </c>
      <c r="J4013" s="2" t="inlineStr">
        <is>
          <t>Online</t>
        </is>
      </c>
      <c r="K4013" s="2" t="n">
        <v>1</v>
      </c>
      <c r="L4013" s="3" t="n">
        <v>1552.43</v>
      </c>
      <c r="M4013" s="4" t="n">
        <v>0.1</v>
      </c>
      <c r="N4013" s="3" t="n">
        <v>1040.68</v>
      </c>
      <c r="O4013" s="3">
        <f>K4013*L4013*(1-M4013)</f>
        <v/>
      </c>
      <c r="P4013" s="3">
        <f>O4013-N4013</f>
        <v/>
      </c>
      <c r="Q4013" s="5">
        <f>IFERROR(P4013/O4013,0)</f>
        <v/>
      </c>
      <c r="R4013" s="2">
        <f>TEXT(DATEVALUE(B4013),"mmm")</f>
        <v/>
      </c>
      <c r="S4013" s="2">
        <f>TEXT(DATEVALUE(B4013),"yyyy-mm")</f>
        <v/>
      </c>
    </row>
    <row r="4014">
      <c r="A4014" s="2" t="inlineStr">
        <is>
          <t>O001335</t>
        </is>
      </c>
      <c r="B4014" s="2" t="inlineStr">
        <is>
          <t>2025-10-20</t>
        </is>
      </c>
      <c r="C4014" s="2" t="inlineStr">
        <is>
          <t>C0189</t>
        </is>
      </c>
      <c r="D4014" s="2" t="inlineStr">
        <is>
          <t>P0034</t>
        </is>
      </c>
      <c r="E4014" s="2" t="inlineStr">
        <is>
          <t>Gym Gloves</t>
        </is>
      </c>
      <c r="F4014" s="2" t="inlineStr">
        <is>
          <t>Sports</t>
        </is>
      </c>
      <c r="G4014" s="2" t="inlineStr">
        <is>
          <t>North</t>
        </is>
      </c>
      <c r="H4014" s="2" t="inlineStr">
        <is>
          <t>Haryana</t>
        </is>
      </c>
      <c r="I4014" s="2" t="inlineStr">
        <is>
          <t>Gurugram</t>
        </is>
      </c>
      <c r="J4014" s="2" t="inlineStr">
        <is>
          <t>Online</t>
        </is>
      </c>
      <c r="K4014" s="2" t="n">
        <v>1</v>
      </c>
      <c r="L4014" s="3" t="n">
        <v>635.23</v>
      </c>
      <c r="M4014" s="4" t="n">
        <v>0.1</v>
      </c>
      <c r="N4014" s="3" t="n">
        <v>397.45</v>
      </c>
      <c r="O4014" s="3">
        <f>K4014*L4014*(1-M4014)</f>
        <v/>
      </c>
      <c r="P4014" s="3">
        <f>O4014-N4014</f>
        <v/>
      </c>
      <c r="Q4014" s="5">
        <f>IFERROR(P4014/O4014,0)</f>
        <v/>
      </c>
      <c r="R4014" s="2">
        <f>TEXT(DATEVALUE(B4014),"mmm")</f>
        <v/>
      </c>
      <c r="S4014" s="2">
        <f>TEXT(DATEVALUE(B4014),"yyyy-mm")</f>
        <v/>
      </c>
    </row>
    <row r="4015">
      <c r="A4015" s="2" t="inlineStr">
        <is>
          <t>O001299</t>
        </is>
      </c>
      <c r="B4015" s="2" t="inlineStr">
        <is>
          <t>2025-10-20</t>
        </is>
      </c>
      <c r="C4015" s="2" t="inlineStr">
        <is>
          <t>C0166</t>
        </is>
      </c>
      <c r="D4015" s="2" t="inlineStr">
        <is>
          <t>P0024</t>
        </is>
      </c>
      <c r="E4015" s="2" t="inlineStr">
        <is>
          <t>Hair Dryer</t>
        </is>
      </c>
      <c r="F4015" s="2" t="inlineStr">
        <is>
          <t>Beauty</t>
        </is>
      </c>
      <c r="G4015" s="2" t="inlineStr">
        <is>
          <t>West</t>
        </is>
      </c>
      <c r="H4015" s="2" t="inlineStr">
        <is>
          <t>Maharashtra</t>
        </is>
      </c>
      <c r="I4015" s="2" t="inlineStr">
        <is>
          <t>Nagpur</t>
        </is>
      </c>
      <c r="J4015" s="2" t="inlineStr">
        <is>
          <t>Online</t>
        </is>
      </c>
      <c r="K4015" s="2" t="n">
        <v>1</v>
      </c>
      <c r="L4015" s="3" t="n">
        <v>1044.89</v>
      </c>
      <c r="M4015" s="4" t="n">
        <v>0.15</v>
      </c>
      <c r="N4015" s="3" t="n">
        <v>708.42</v>
      </c>
      <c r="O4015" s="3">
        <f>K4015*L4015*(1-M4015)</f>
        <v/>
      </c>
      <c r="P4015" s="3">
        <f>O4015-N4015</f>
        <v/>
      </c>
      <c r="Q4015" s="5">
        <f>IFERROR(P4015/O4015,0)</f>
        <v/>
      </c>
      <c r="R4015" s="2">
        <f>TEXT(DATEVALUE(B4015),"mmm")</f>
        <v/>
      </c>
      <c r="S4015" s="2">
        <f>TEXT(DATEVALUE(B4015),"yyyy-mm")</f>
        <v/>
      </c>
    </row>
    <row r="4016">
      <c r="A4016" s="2" t="inlineStr">
        <is>
          <t>O001146</t>
        </is>
      </c>
      <c r="B4016" s="2" t="inlineStr">
        <is>
          <t>2025-10-20</t>
        </is>
      </c>
      <c r="C4016" s="2" t="inlineStr">
        <is>
          <t>C0244</t>
        </is>
      </c>
      <c r="D4016" s="2" t="inlineStr">
        <is>
          <t>P0032</t>
        </is>
      </c>
      <c r="E4016" s="2" t="inlineStr">
        <is>
          <t>Football</t>
        </is>
      </c>
      <c r="F4016" s="2" t="inlineStr">
        <is>
          <t>Sports</t>
        </is>
      </c>
      <c r="G4016" s="2" t="inlineStr">
        <is>
          <t>North</t>
        </is>
      </c>
      <c r="H4016" s="2" t="inlineStr">
        <is>
          <t>Haryana</t>
        </is>
      </c>
      <c r="I4016" s="2" t="inlineStr">
        <is>
          <t>Gurugram</t>
        </is>
      </c>
      <c r="J4016" s="2" t="inlineStr">
        <is>
          <t>Online</t>
        </is>
      </c>
      <c r="K4016" s="2" t="n">
        <v>1</v>
      </c>
      <c r="L4016" s="3" t="n">
        <v>845.4</v>
      </c>
      <c r="M4016" s="4" t="n">
        <v>0.1</v>
      </c>
      <c r="N4016" s="3" t="n">
        <v>516.4299999999999</v>
      </c>
      <c r="O4016" s="3">
        <f>K4016*L4016*(1-M4016)</f>
        <v/>
      </c>
      <c r="P4016" s="3">
        <f>O4016-N4016</f>
        <v/>
      </c>
      <c r="Q4016" s="5">
        <f>IFERROR(P4016/O4016,0)</f>
        <v/>
      </c>
      <c r="R4016" s="2">
        <f>TEXT(DATEVALUE(B4016),"mmm")</f>
        <v/>
      </c>
      <c r="S4016" s="2">
        <f>TEXT(DATEVALUE(B4016),"yyyy-mm")</f>
        <v/>
      </c>
    </row>
    <row r="4017">
      <c r="A4017" s="2" t="inlineStr">
        <is>
          <t>O000997</t>
        </is>
      </c>
      <c r="B4017" s="2" t="inlineStr">
        <is>
          <t>2025-10-20</t>
        </is>
      </c>
      <c r="C4017" s="2" t="inlineStr">
        <is>
          <t>C0273</t>
        </is>
      </c>
      <c r="D4017" s="2" t="inlineStr">
        <is>
          <t>P0028</t>
        </is>
      </c>
      <c r="E4017" s="2" t="inlineStr">
        <is>
          <t>Trimmer</t>
        </is>
      </c>
      <c r="F4017" s="2" t="inlineStr">
        <is>
          <t>Beauty</t>
        </is>
      </c>
      <c r="G4017" s="2" t="inlineStr">
        <is>
          <t>West</t>
        </is>
      </c>
      <c r="H4017" s="2" t="inlineStr">
        <is>
          <t>Maharashtra</t>
        </is>
      </c>
      <c r="I4017" s="2" t="inlineStr">
        <is>
          <t>Nashik</t>
        </is>
      </c>
      <c r="J4017" s="2" t="inlineStr">
        <is>
          <t>Store</t>
        </is>
      </c>
      <c r="K4017" s="2" t="n">
        <v>1</v>
      </c>
      <c r="L4017" s="3" t="n">
        <v>446.1</v>
      </c>
      <c r="M4017" s="4" t="n">
        <v>0.05</v>
      </c>
      <c r="N4017" s="3" t="n">
        <v>252.38</v>
      </c>
      <c r="O4017" s="3">
        <f>K4017*L4017*(1-M4017)</f>
        <v/>
      </c>
      <c r="P4017" s="3">
        <f>O4017-N4017</f>
        <v/>
      </c>
      <c r="Q4017" s="5">
        <f>IFERROR(P4017/O4017,0)</f>
        <v/>
      </c>
      <c r="R4017" s="2">
        <f>TEXT(DATEVALUE(B4017),"mmm")</f>
        <v/>
      </c>
      <c r="S4017" s="2">
        <f>TEXT(DATEVALUE(B4017),"yyyy-mm")</f>
        <v/>
      </c>
    </row>
    <row r="4018">
      <c r="A4018" s="2" t="inlineStr">
        <is>
          <t>O000119</t>
        </is>
      </c>
      <c r="B4018" s="2" t="inlineStr">
        <is>
          <t>2025-10-20</t>
        </is>
      </c>
      <c r="C4018" s="2" t="inlineStr">
        <is>
          <t>C0354</t>
        </is>
      </c>
      <c r="D4018" s="2" t="inlineStr">
        <is>
          <t>P0016</t>
        </is>
      </c>
      <c r="E4018" s="2" t="inlineStr">
        <is>
          <t>Casual Shirt</t>
        </is>
      </c>
      <c r="F4018" s="2" t="inlineStr">
        <is>
          <t>Fashion</t>
        </is>
      </c>
      <c r="G4018" s="2" t="inlineStr">
        <is>
          <t>West</t>
        </is>
      </c>
      <c r="H4018" s="2" t="inlineStr">
        <is>
          <t>Gujarat</t>
        </is>
      </c>
      <c r="I4018" s="2" t="inlineStr">
        <is>
          <t>Ahmedabad</t>
        </is>
      </c>
      <c r="J4018" s="2" t="inlineStr">
        <is>
          <t>Store</t>
        </is>
      </c>
      <c r="K4018" s="2" t="n">
        <v>4</v>
      </c>
      <c r="L4018" s="3" t="n">
        <v>1333.78</v>
      </c>
      <c r="M4018" s="4" t="n">
        <v>0.1</v>
      </c>
      <c r="N4018" s="3" t="n">
        <v>3707.72</v>
      </c>
      <c r="O4018" s="3">
        <f>K4018*L4018*(1-M4018)</f>
        <v/>
      </c>
      <c r="P4018" s="3">
        <f>O4018-N4018</f>
        <v/>
      </c>
      <c r="Q4018" s="5">
        <f>IFERROR(P4018/O4018,0)</f>
        <v/>
      </c>
      <c r="R4018" s="2">
        <f>TEXT(DATEVALUE(B4018),"mmm")</f>
        <v/>
      </c>
      <c r="S4018" s="2">
        <f>TEXT(DATEVALUE(B4018),"yyyy-mm")</f>
        <v/>
      </c>
    </row>
    <row r="4019">
      <c r="A4019" s="2" t="inlineStr">
        <is>
          <t>O001911</t>
        </is>
      </c>
      <c r="B4019" s="2" t="inlineStr">
        <is>
          <t>2025-10-20</t>
        </is>
      </c>
      <c r="C4019" s="2" t="inlineStr">
        <is>
          <t>C0329</t>
        </is>
      </c>
      <c r="D4019" s="2" t="inlineStr">
        <is>
          <t>P0004</t>
        </is>
      </c>
      <c r="E4019" s="2" t="inlineStr">
        <is>
          <t>USB-C Hub</t>
        </is>
      </c>
      <c r="F4019" s="2" t="inlineStr">
        <is>
          <t>Electronics</t>
        </is>
      </c>
      <c r="G4019" s="2" t="inlineStr">
        <is>
          <t>West</t>
        </is>
      </c>
      <c r="H4019" s="2" t="inlineStr">
        <is>
          <t>Maharashtra</t>
        </is>
      </c>
      <c r="I4019" s="2" t="inlineStr">
        <is>
          <t>Nagpur</t>
        </is>
      </c>
      <c r="J4019" s="2" t="inlineStr">
        <is>
          <t>Store</t>
        </is>
      </c>
      <c r="K4019" s="2" t="n">
        <v>2</v>
      </c>
      <c r="L4019" s="3" t="n">
        <v>1259.99</v>
      </c>
      <c r="M4019" s="4" t="n">
        <v>0.2</v>
      </c>
      <c r="N4019" s="3" t="n">
        <v>1788.48</v>
      </c>
      <c r="O4019" s="3">
        <f>K4019*L4019*(1-M4019)</f>
        <v/>
      </c>
      <c r="P4019" s="3">
        <f>O4019-N4019</f>
        <v/>
      </c>
      <c r="Q4019" s="5">
        <f>IFERROR(P4019/O4019,0)</f>
        <v/>
      </c>
      <c r="R4019" s="2">
        <f>TEXT(DATEVALUE(B4019),"mmm")</f>
        <v/>
      </c>
      <c r="S4019" s="2">
        <f>TEXT(DATEVALUE(B4019),"yyyy-mm")</f>
        <v/>
      </c>
    </row>
    <row r="4020">
      <c r="A4020" s="2" t="inlineStr">
        <is>
          <t>O004767</t>
        </is>
      </c>
      <c r="B4020" s="2" t="inlineStr">
        <is>
          <t>2025-10-21</t>
        </is>
      </c>
      <c r="C4020" s="2" t="inlineStr">
        <is>
          <t>C0748</t>
        </is>
      </c>
      <c r="D4020" s="2" t="inlineStr">
        <is>
          <t>P0011</t>
        </is>
      </c>
      <c r="E4020" s="2" t="inlineStr">
        <is>
          <t>Cookware Set</t>
        </is>
      </c>
      <c r="F4020" s="2" t="inlineStr">
        <is>
          <t>Home &amp; Kitchen</t>
        </is>
      </c>
      <c r="G4020" s="2" t="inlineStr">
        <is>
          <t>West</t>
        </is>
      </c>
      <c r="H4020" s="2" t="inlineStr">
        <is>
          <t>Gujarat</t>
        </is>
      </c>
      <c r="I4020" s="2" t="inlineStr">
        <is>
          <t>Vadodara</t>
        </is>
      </c>
      <c r="J4020" s="2" t="inlineStr">
        <is>
          <t>Store</t>
        </is>
      </c>
      <c r="K4020" s="2" t="n">
        <v>2</v>
      </c>
      <c r="L4020" s="3" t="n">
        <v>726.51</v>
      </c>
      <c r="M4020" s="4" t="n">
        <v>0.2</v>
      </c>
      <c r="N4020" s="3" t="n">
        <v>935.48</v>
      </c>
      <c r="O4020" s="3">
        <f>K4020*L4020*(1-M4020)</f>
        <v/>
      </c>
      <c r="P4020" s="3">
        <f>O4020-N4020</f>
        <v/>
      </c>
      <c r="Q4020" s="5">
        <f>IFERROR(P4020/O4020,0)</f>
        <v/>
      </c>
      <c r="R4020" s="2">
        <f>TEXT(DATEVALUE(B4020),"mmm")</f>
        <v/>
      </c>
      <c r="S4020" s="2">
        <f>TEXT(DATEVALUE(B4020),"yyyy-mm")</f>
        <v/>
      </c>
    </row>
    <row r="4021">
      <c r="A4021" s="2" t="inlineStr">
        <is>
          <t>O003686</t>
        </is>
      </c>
      <c r="B4021" s="2" t="inlineStr">
        <is>
          <t>2025-10-21</t>
        </is>
      </c>
      <c r="C4021" s="2" t="inlineStr">
        <is>
          <t>C0160</t>
        </is>
      </c>
      <c r="D4021" s="2" t="inlineStr">
        <is>
          <t>P0028</t>
        </is>
      </c>
      <c r="E4021" s="2" t="inlineStr">
        <is>
          <t>Trimmer</t>
        </is>
      </c>
      <c r="F4021" s="2" t="inlineStr">
        <is>
          <t>Beauty</t>
        </is>
      </c>
      <c r="G4021" s="2" t="inlineStr">
        <is>
          <t>East</t>
        </is>
      </c>
      <c r="H4021" s="2" t="inlineStr">
        <is>
          <t>Bihar</t>
        </is>
      </c>
      <c r="I4021" s="2" t="inlineStr">
        <is>
          <t>Patna</t>
        </is>
      </c>
      <c r="J4021" s="2" t="inlineStr">
        <is>
          <t>Online</t>
        </is>
      </c>
      <c r="K4021" s="2" t="n">
        <v>2</v>
      </c>
      <c r="L4021" s="3" t="n">
        <v>449.66</v>
      </c>
      <c r="M4021" s="4" t="n">
        <v>0.1</v>
      </c>
      <c r="N4021" s="3" t="n">
        <v>494.39</v>
      </c>
      <c r="O4021" s="3">
        <f>K4021*L4021*(1-M4021)</f>
        <v/>
      </c>
      <c r="P4021" s="3">
        <f>O4021-N4021</f>
        <v/>
      </c>
      <c r="Q4021" s="5">
        <f>IFERROR(P4021/O4021,0)</f>
        <v/>
      </c>
      <c r="R4021" s="2">
        <f>TEXT(DATEVALUE(B4021),"mmm")</f>
        <v/>
      </c>
      <c r="S4021" s="2">
        <f>TEXT(DATEVALUE(B4021),"yyyy-mm")</f>
        <v/>
      </c>
    </row>
    <row r="4022">
      <c r="A4022" s="2" t="inlineStr">
        <is>
          <t>O003540</t>
        </is>
      </c>
      <c r="B4022" s="2" t="inlineStr">
        <is>
          <t>2025-10-21</t>
        </is>
      </c>
      <c r="C4022" s="2" t="inlineStr">
        <is>
          <t>C0568</t>
        </is>
      </c>
      <c r="D4022" s="2" t="inlineStr">
        <is>
          <t>P0031</t>
        </is>
      </c>
      <c r="E4022" s="2" t="inlineStr">
        <is>
          <t>Cricket Bat</t>
        </is>
      </c>
      <c r="F4022" s="2" t="inlineStr">
        <is>
          <t>Sports</t>
        </is>
      </c>
      <c r="G4022" s="2" t="inlineStr">
        <is>
          <t>South</t>
        </is>
      </c>
      <c r="H4022" s="2" t="inlineStr">
        <is>
          <t>Karnataka</t>
        </is>
      </c>
      <c r="I4022" s="2" t="inlineStr">
        <is>
          <t>Mangaluru</t>
        </is>
      </c>
      <c r="J4022" s="2" t="inlineStr">
        <is>
          <t>Store</t>
        </is>
      </c>
      <c r="K4022" s="2" t="n">
        <v>2</v>
      </c>
      <c r="L4022" s="3" t="n">
        <v>1400.39</v>
      </c>
      <c r="M4022" s="4" t="n">
        <v>0.05</v>
      </c>
      <c r="N4022" s="3" t="n">
        <v>1923.44</v>
      </c>
      <c r="O4022" s="3">
        <f>K4022*L4022*(1-M4022)</f>
        <v/>
      </c>
      <c r="P4022" s="3">
        <f>O4022-N4022</f>
        <v/>
      </c>
      <c r="Q4022" s="5">
        <f>IFERROR(P4022/O4022,0)</f>
        <v/>
      </c>
      <c r="R4022" s="2">
        <f>TEXT(DATEVALUE(B4022),"mmm")</f>
        <v/>
      </c>
      <c r="S4022" s="2">
        <f>TEXT(DATEVALUE(B4022),"yyyy-mm")</f>
        <v/>
      </c>
    </row>
    <row r="4023">
      <c r="A4023" s="2" t="inlineStr">
        <is>
          <t>O003392</t>
        </is>
      </c>
      <c r="B4023" s="2" t="inlineStr">
        <is>
          <t>2025-10-21</t>
        </is>
      </c>
      <c r="C4023" s="2" t="inlineStr">
        <is>
          <t>C0758</t>
        </is>
      </c>
      <c r="D4023" s="2" t="inlineStr">
        <is>
          <t>P0014</t>
        </is>
      </c>
      <c r="E4023" s="2" t="inlineStr">
        <is>
          <t>Coffee Maker</t>
        </is>
      </c>
      <c r="F4023" s="2" t="inlineStr">
        <is>
          <t>Home &amp; Kitchen</t>
        </is>
      </c>
      <c r="G4023" s="2" t="inlineStr">
        <is>
          <t>East</t>
        </is>
      </c>
      <c r="H4023" s="2" t="inlineStr">
        <is>
          <t>Odisha</t>
        </is>
      </c>
      <c r="I4023" s="2" t="inlineStr">
        <is>
          <t>Bhubaneswar</t>
        </is>
      </c>
      <c r="J4023" s="2" t="inlineStr">
        <is>
          <t>Online</t>
        </is>
      </c>
      <c r="K4023" s="2" t="n">
        <v>1</v>
      </c>
      <c r="L4023" s="3" t="n">
        <v>1019.21</v>
      </c>
      <c r="M4023" s="4" t="n">
        <v>0.15</v>
      </c>
      <c r="N4023" s="3" t="n">
        <v>777.12</v>
      </c>
      <c r="O4023" s="3">
        <f>K4023*L4023*(1-M4023)</f>
        <v/>
      </c>
      <c r="P4023" s="3">
        <f>O4023-N4023</f>
        <v/>
      </c>
      <c r="Q4023" s="5">
        <f>IFERROR(P4023/O4023,0)</f>
        <v/>
      </c>
      <c r="R4023" s="2">
        <f>TEXT(DATEVALUE(B4023),"mmm")</f>
        <v/>
      </c>
      <c r="S4023" s="2">
        <f>TEXT(DATEVALUE(B4023),"yyyy-mm")</f>
        <v/>
      </c>
    </row>
    <row r="4024">
      <c r="A4024" s="2" t="inlineStr">
        <is>
          <t>O003350</t>
        </is>
      </c>
      <c r="B4024" s="2" t="inlineStr">
        <is>
          <t>2025-10-21</t>
        </is>
      </c>
      <c r="C4024" s="2" t="inlineStr">
        <is>
          <t>C0577</t>
        </is>
      </c>
      <c r="D4024" s="2" t="inlineStr">
        <is>
          <t>P0018</t>
        </is>
      </c>
      <c r="E4024" s="2" t="inlineStr">
        <is>
          <t>Backpack</t>
        </is>
      </c>
      <c r="F4024" s="2" t="inlineStr">
        <is>
          <t>Fashion</t>
        </is>
      </c>
      <c r="G4024" s="2" t="inlineStr">
        <is>
          <t>West</t>
        </is>
      </c>
      <c r="H4024" s="2" t="inlineStr">
        <is>
          <t>Goa</t>
        </is>
      </c>
      <c r="I4024" s="2" t="inlineStr">
        <is>
          <t>Panaji</t>
        </is>
      </c>
      <c r="J4024" s="2" t="inlineStr">
        <is>
          <t>Store</t>
        </is>
      </c>
      <c r="K4024" s="2" t="n">
        <v>1</v>
      </c>
      <c r="L4024" s="3" t="n">
        <v>1880.59</v>
      </c>
      <c r="M4024" s="4" t="n">
        <v>0.2</v>
      </c>
      <c r="N4024" s="3" t="n">
        <v>1383.21</v>
      </c>
      <c r="O4024" s="3">
        <f>K4024*L4024*(1-M4024)</f>
        <v/>
      </c>
      <c r="P4024" s="3">
        <f>O4024-N4024</f>
        <v/>
      </c>
      <c r="Q4024" s="5">
        <f>IFERROR(P4024/O4024,0)</f>
        <v/>
      </c>
      <c r="R4024" s="2">
        <f>TEXT(DATEVALUE(B4024),"mmm")</f>
        <v/>
      </c>
      <c r="S4024" s="2">
        <f>TEXT(DATEVALUE(B4024),"yyyy-mm")</f>
        <v/>
      </c>
    </row>
    <row r="4025">
      <c r="A4025" s="2" t="inlineStr">
        <is>
          <t>O003080</t>
        </is>
      </c>
      <c r="B4025" s="2" t="inlineStr">
        <is>
          <t>2025-10-21</t>
        </is>
      </c>
      <c r="C4025" s="2" t="inlineStr">
        <is>
          <t>C0152</t>
        </is>
      </c>
      <c r="D4025" s="2" t="inlineStr">
        <is>
          <t>P0004</t>
        </is>
      </c>
      <c r="E4025" s="2" t="inlineStr">
        <is>
          <t>USB-C Hub</t>
        </is>
      </c>
      <c r="F4025" s="2" t="inlineStr">
        <is>
          <t>Electronics</t>
        </is>
      </c>
      <c r="G4025" s="2" t="inlineStr">
        <is>
          <t>North</t>
        </is>
      </c>
      <c r="H4025" s="2" t="inlineStr">
        <is>
          <t>Punjab</t>
        </is>
      </c>
      <c r="I4025" s="2" t="inlineStr">
        <is>
          <t>Jalandhar</t>
        </is>
      </c>
      <c r="J4025" s="2" t="inlineStr">
        <is>
          <t>Store</t>
        </is>
      </c>
      <c r="K4025" s="2" t="n">
        <v>2</v>
      </c>
      <c r="L4025" s="3" t="n">
        <v>1261.86</v>
      </c>
      <c r="M4025" s="4" t="n">
        <v>0.1</v>
      </c>
      <c r="N4025" s="3" t="n">
        <v>1813.48</v>
      </c>
      <c r="O4025" s="3">
        <f>K4025*L4025*(1-M4025)</f>
        <v/>
      </c>
      <c r="P4025" s="3">
        <f>O4025-N4025</f>
        <v/>
      </c>
      <c r="Q4025" s="5">
        <f>IFERROR(P4025/O4025,0)</f>
        <v/>
      </c>
      <c r="R4025" s="2">
        <f>TEXT(DATEVALUE(B4025),"mmm")</f>
        <v/>
      </c>
      <c r="S4025" s="2">
        <f>TEXT(DATEVALUE(B4025),"yyyy-mm")</f>
        <v/>
      </c>
    </row>
    <row r="4026">
      <c r="A4026" s="2" t="inlineStr">
        <is>
          <t>O002924</t>
        </is>
      </c>
      <c r="B4026" s="2" t="inlineStr">
        <is>
          <t>2025-10-21</t>
        </is>
      </c>
      <c r="C4026" s="2" t="inlineStr">
        <is>
          <t>C0430</t>
        </is>
      </c>
      <c r="D4026" s="2" t="inlineStr">
        <is>
          <t>P0013</t>
        </is>
      </c>
      <c r="E4026" s="2" t="inlineStr">
        <is>
          <t>Storage Organizer</t>
        </is>
      </c>
      <c r="F4026" s="2" t="inlineStr">
        <is>
          <t>Home &amp; Kitchen</t>
        </is>
      </c>
      <c r="G4026" s="2" t="inlineStr">
        <is>
          <t>South</t>
        </is>
      </c>
      <c r="H4026" s="2" t="inlineStr">
        <is>
          <t>Karnataka</t>
        </is>
      </c>
      <c r="I4026" s="2" t="inlineStr">
        <is>
          <t>Mysuru</t>
        </is>
      </c>
      <c r="J4026" s="2" t="inlineStr">
        <is>
          <t>Online</t>
        </is>
      </c>
      <c r="K4026" s="2" t="n">
        <v>3</v>
      </c>
      <c r="L4026" s="3" t="n">
        <v>597.97</v>
      </c>
      <c r="M4026" s="4" t="n">
        <v>0.1</v>
      </c>
      <c r="N4026" s="3" t="n">
        <v>1070.64</v>
      </c>
      <c r="O4026" s="3">
        <f>K4026*L4026*(1-M4026)</f>
        <v/>
      </c>
      <c r="P4026" s="3">
        <f>O4026-N4026</f>
        <v/>
      </c>
      <c r="Q4026" s="5">
        <f>IFERROR(P4026/O4026,0)</f>
        <v/>
      </c>
      <c r="R4026" s="2">
        <f>TEXT(DATEVALUE(B4026),"mmm")</f>
        <v/>
      </c>
      <c r="S4026" s="2">
        <f>TEXT(DATEVALUE(B4026),"yyyy-mm")</f>
        <v/>
      </c>
    </row>
    <row r="4027">
      <c r="A4027" s="2" t="inlineStr">
        <is>
          <t>O003922</t>
        </is>
      </c>
      <c r="B4027" s="2" t="inlineStr">
        <is>
          <t>2025-10-21</t>
        </is>
      </c>
      <c r="C4027" s="2" t="inlineStr">
        <is>
          <t>C0456</t>
        </is>
      </c>
      <c r="D4027" s="2" t="inlineStr">
        <is>
          <t>P0003</t>
        </is>
      </c>
      <c r="E4027" s="2" t="inlineStr">
        <is>
          <t>Smartwatch</t>
        </is>
      </c>
      <c r="F4027" s="2" t="inlineStr">
        <is>
          <t>Electronics</t>
        </is>
      </c>
      <c r="G4027" s="2" t="inlineStr">
        <is>
          <t>West</t>
        </is>
      </c>
      <c r="H4027" s="2" t="inlineStr">
        <is>
          <t>Goa</t>
        </is>
      </c>
      <c r="I4027" s="2" t="inlineStr">
        <is>
          <t>Panaji</t>
        </is>
      </c>
      <c r="J4027" s="2" t="inlineStr">
        <is>
          <t>Store</t>
        </is>
      </c>
      <c r="K4027" s="2" t="n">
        <v>1</v>
      </c>
      <c r="L4027" s="3" t="n">
        <v>2228.26</v>
      </c>
      <c r="M4027" s="4" t="n">
        <v>0</v>
      </c>
      <c r="N4027" s="3" t="n">
        <v>1170.19</v>
      </c>
      <c r="O4027" s="3">
        <f>K4027*L4027*(1-M4027)</f>
        <v/>
      </c>
      <c r="P4027" s="3">
        <f>O4027-N4027</f>
        <v/>
      </c>
      <c r="Q4027" s="5">
        <f>IFERROR(P4027/O4027,0)</f>
        <v/>
      </c>
      <c r="R4027" s="2">
        <f>TEXT(DATEVALUE(B4027),"mmm")</f>
        <v/>
      </c>
      <c r="S4027" s="2">
        <f>TEXT(DATEVALUE(B4027),"yyyy-mm")</f>
        <v/>
      </c>
    </row>
    <row r="4028">
      <c r="A4028" s="2" t="inlineStr">
        <is>
          <t>O001181</t>
        </is>
      </c>
      <c r="B4028" s="2" t="inlineStr">
        <is>
          <t>2025-10-21</t>
        </is>
      </c>
      <c r="C4028" s="2" t="inlineStr">
        <is>
          <t>C0076</t>
        </is>
      </c>
      <c r="D4028" s="2" t="inlineStr">
        <is>
          <t>P0022</t>
        </is>
      </c>
      <c r="E4028" s="2" t="inlineStr">
        <is>
          <t>Face Wash</t>
        </is>
      </c>
      <c r="F4028" s="2" t="inlineStr">
        <is>
          <t>Beauty</t>
        </is>
      </c>
      <c r="G4028" s="2" t="inlineStr">
        <is>
          <t>North</t>
        </is>
      </c>
      <c r="H4028" s="2" t="inlineStr">
        <is>
          <t>Delhi</t>
        </is>
      </c>
      <c r="I4028" s="2" t="inlineStr">
        <is>
          <t>New Delhi</t>
        </is>
      </c>
      <c r="J4028" s="2" t="inlineStr">
        <is>
          <t>Online</t>
        </is>
      </c>
      <c r="K4028" s="2" t="n">
        <v>1</v>
      </c>
      <c r="L4028" s="3" t="n">
        <v>536.34</v>
      </c>
      <c r="M4028" s="4" t="n">
        <v>0.05</v>
      </c>
      <c r="N4028" s="3" t="n">
        <v>339.59</v>
      </c>
      <c r="O4028" s="3">
        <f>K4028*L4028*(1-M4028)</f>
        <v/>
      </c>
      <c r="P4028" s="3">
        <f>O4028-N4028</f>
        <v/>
      </c>
      <c r="Q4028" s="5">
        <f>IFERROR(P4028/O4028,0)</f>
        <v/>
      </c>
      <c r="R4028" s="2">
        <f>TEXT(DATEVALUE(B4028),"mmm")</f>
        <v/>
      </c>
      <c r="S4028" s="2">
        <f>TEXT(DATEVALUE(B4028),"yyyy-mm")</f>
        <v/>
      </c>
    </row>
    <row r="4029">
      <c r="A4029" s="2" t="inlineStr">
        <is>
          <t>O001097</t>
        </is>
      </c>
      <c r="B4029" s="2" t="inlineStr">
        <is>
          <t>2025-10-21</t>
        </is>
      </c>
      <c r="C4029" s="2" t="inlineStr">
        <is>
          <t>C0739</t>
        </is>
      </c>
      <c r="D4029" s="2" t="inlineStr">
        <is>
          <t>P0002</t>
        </is>
      </c>
      <c r="E4029" s="2" t="inlineStr">
        <is>
          <t>Bluetooth Speaker</t>
        </is>
      </c>
      <c r="F4029" s="2" t="inlineStr">
        <is>
          <t>Electronics</t>
        </is>
      </c>
      <c r="G4029" s="2" t="inlineStr">
        <is>
          <t>East</t>
        </is>
      </c>
      <c r="H4029" s="2" t="inlineStr">
        <is>
          <t>West Bengal</t>
        </is>
      </c>
      <c r="I4029" s="2" t="inlineStr">
        <is>
          <t>Durgapur</t>
        </is>
      </c>
      <c r="J4029" s="2" t="inlineStr">
        <is>
          <t>Online</t>
        </is>
      </c>
      <c r="K4029" s="2" t="n">
        <v>1</v>
      </c>
      <c r="L4029" s="3" t="n">
        <v>1393.92</v>
      </c>
      <c r="M4029" s="4" t="n">
        <v>0.15</v>
      </c>
      <c r="N4029" s="3" t="n">
        <v>819.5599999999999</v>
      </c>
      <c r="O4029" s="3">
        <f>K4029*L4029*(1-M4029)</f>
        <v/>
      </c>
      <c r="P4029" s="3">
        <f>O4029-N4029</f>
        <v/>
      </c>
      <c r="Q4029" s="5">
        <f>IFERROR(P4029/O4029,0)</f>
        <v/>
      </c>
      <c r="R4029" s="2">
        <f>TEXT(DATEVALUE(B4029),"mmm")</f>
        <v/>
      </c>
      <c r="S4029" s="2">
        <f>TEXT(DATEVALUE(B4029),"yyyy-mm")</f>
        <v/>
      </c>
    </row>
    <row r="4030">
      <c r="A4030" s="2" t="inlineStr">
        <is>
          <t>O000902</t>
        </is>
      </c>
      <c r="B4030" s="2" t="inlineStr">
        <is>
          <t>2025-10-21</t>
        </is>
      </c>
      <c r="C4030" s="2" t="inlineStr">
        <is>
          <t>C0348</t>
        </is>
      </c>
      <c r="D4030" s="2" t="inlineStr">
        <is>
          <t>P0021</t>
        </is>
      </c>
      <c r="E4030" s="2" t="inlineStr">
        <is>
          <t>Wallet</t>
        </is>
      </c>
      <c r="F4030" s="2" t="inlineStr">
        <is>
          <t>Fashion</t>
        </is>
      </c>
      <c r="G4030" s="2" t="inlineStr">
        <is>
          <t>West</t>
        </is>
      </c>
      <c r="H4030" s="2" t="inlineStr">
        <is>
          <t>Maharashtra</t>
        </is>
      </c>
      <c r="I4030" s="2" t="inlineStr">
        <is>
          <t>Nashik</t>
        </is>
      </c>
      <c r="J4030" s="2" t="inlineStr">
        <is>
          <t>Store</t>
        </is>
      </c>
      <c r="K4030" s="2" t="n">
        <v>1</v>
      </c>
      <c r="L4030" s="3" t="n">
        <v>1964.67</v>
      </c>
      <c r="M4030" s="4" t="n">
        <v>0.15</v>
      </c>
      <c r="N4030" s="3" t="n">
        <v>1211.85</v>
      </c>
      <c r="O4030" s="3">
        <f>K4030*L4030*(1-M4030)</f>
        <v/>
      </c>
      <c r="P4030" s="3">
        <f>O4030-N4030</f>
        <v/>
      </c>
      <c r="Q4030" s="5">
        <f>IFERROR(P4030/O4030,0)</f>
        <v/>
      </c>
      <c r="R4030" s="2">
        <f>TEXT(DATEVALUE(B4030),"mmm")</f>
        <v/>
      </c>
      <c r="S4030" s="2">
        <f>TEXT(DATEVALUE(B4030),"yyyy-mm")</f>
        <v/>
      </c>
    </row>
    <row r="4031">
      <c r="A4031" s="2" t="inlineStr">
        <is>
          <t>O000791</t>
        </is>
      </c>
      <c r="B4031" s="2" t="inlineStr">
        <is>
          <t>2025-10-21</t>
        </is>
      </c>
      <c r="C4031" s="2" t="inlineStr">
        <is>
          <t>C0047</t>
        </is>
      </c>
      <c r="D4031" s="2" t="inlineStr">
        <is>
          <t>P0011</t>
        </is>
      </c>
      <c r="E4031" s="2" t="inlineStr">
        <is>
          <t>Cookware Set</t>
        </is>
      </c>
      <c r="F4031" s="2" t="inlineStr">
        <is>
          <t>Home &amp; Kitchen</t>
        </is>
      </c>
      <c r="G4031" s="2" t="inlineStr">
        <is>
          <t>South</t>
        </is>
      </c>
      <c r="H4031" s="2" t="inlineStr">
        <is>
          <t>Tamil Nadu</t>
        </is>
      </c>
      <c r="I4031" s="2" t="inlineStr">
        <is>
          <t>Coimbatore</t>
        </is>
      </c>
      <c r="J4031" s="2" t="inlineStr">
        <is>
          <t>Online</t>
        </is>
      </c>
      <c r="K4031" s="2" t="n">
        <v>1</v>
      </c>
      <c r="L4031" s="3" t="n">
        <v>718.77</v>
      </c>
      <c r="M4031" s="4" t="n">
        <v>0</v>
      </c>
      <c r="N4031" s="3" t="n">
        <v>485.13</v>
      </c>
      <c r="O4031" s="3">
        <f>K4031*L4031*(1-M4031)</f>
        <v/>
      </c>
      <c r="P4031" s="3">
        <f>O4031-N4031</f>
        <v/>
      </c>
      <c r="Q4031" s="5">
        <f>IFERROR(P4031/O4031,0)</f>
        <v/>
      </c>
      <c r="R4031" s="2">
        <f>TEXT(DATEVALUE(B4031),"mmm")</f>
        <v/>
      </c>
      <c r="S4031" s="2">
        <f>TEXT(DATEVALUE(B4031),"yyyy-mm")</f>
        <v/>
      </c>
    </row>
    <row r="4032">
      <c r="A4032" s="2" t="inlineStr">
        <is>
          <t>O000227</t>
        </is>
      </c>
      <c r="B4032" s="2" t="inlineStr">
        <is>
          <t>2025-10-21</t>
        </is>
      </c>
      <c r="C4032" s="2" t="inlineStr">
        <is>
          <t>C0393</t>
        </is>
      </c>
      <c r="D4032" s="2" t="inlineStr">
        <is>
          <t>P0006</t>
        </is>
      </c>
      <c r="E4032" s="2" t="inlineStr">
        <is>
          <t>Mechanical Keyboard</t>
        </is>
      </c>
      <c r="F4032" s="2" t="inlineStr">
        <is>
          <t>Electronics</t>
        </is>
      </c>
      <c r="G4032" s="2" t="inlineStr">
        <is>
          <t>South</t>
        </is>
      </c>
      <c r="H4032" s="2" t="inlineStr">
        <is>
          <t>Karnataka</t>
        </is>
      </c>
      <c r="I4032" s="2" t="inlineStr">
        <is>
          <t>Bengaluru</t>
        </is>
      </c>
      <c r="J4032" s="2" t="inlineStr">
        <is>
          <t>Online</t>
        </is>
      </c>
      <c r="K4032" s="2" t="n">
        <v>1</v>
      </c>
      <c r="L4032" s="3" t="n">
        <v>2788.96</v>
      </c>
      <c r="M4032" s="4" t="n">
        <v>0.25</v>
      </c>
      <c r="N4032" s="3" t="n">
        <v>1494.61</v>
      </c>
      <c r="O4032" s="3">
        <f>K4032*L4032*(1-M4032)</f>
        <v/>
      </c>
      <c r="P4032" s="3">
        <f>O4032-N4032</f>
        <v/>
      </c>
      <c r="Q4032" s="5">
        <f>IFERROR(P4032/O4032,0)</f>
        <v/>
      </c>
      <c r="R4032" s="2">
        <f>TEXT(DATEVALUE(B4032),"mmm")</f>
        <v/>
      </c>
      <c r="S4032" s="2">
        <f>TEXT(DATEVALUE(B4032),"yyyy-mm")</f>
        <v/>
      </c>
    </row>
    <row r="4033">
      <c r="A4033" s="2" t="inlineStr">
        <is>
          <t>O000021</t>
        </is>
      </c>
      <c r="B4033" s="2" t="inlineStr">
        <is>
          <t>2025-10-21</t>
        </is>
      </c>
      <c r="C4033" s="2" t="inlineStr">
        <is>
          <t>C0796</t>
        </is>
      </c>
      <c r="D4033" s="2" t="inlineStr">
        <is>
          <t>P0027</t>
        </is>
      </c>
      <c r="E4033" s="2" t="inlineStr">
        <is>
          <t>Moisturizer</t>
        </is>
      </c>
      <c r="F4033" s="2" t="inlineStr">
        <is>
          <t>Beauty</t>
        </is>
      </c>
      <c r="G4033" s="2" t="inlineStr">
        <is>
          <t>South</t>
        </is>
      </c>
      <c r="H4033" s="2" t="inlineStr">
        <is>
          <t>Kerala</t>
        </is>
      </c>
      <c r="I4033" s="2" t="inlineStr">
        <is>
          <t>Thiruvananthapuram</t>
        </is>
      </c>
      <c r="J4033" s="2" t="inlineStr">
        <is>
          <t>Online</t>
        </is>
      </c>
      <c r="K4033" s="2" t="n">
        <v>3</v>
      </c>
      <c r="L4033" s="3" t="n">
        <v>912.58</v>
      </c>
      <c r="M4033" s="4" t="n">
        <v>0.15</v>
      </c>
      <c r="N4033" s="3" t="n">
        <v>2088.46</v>
      </c>
      <c r="O4033" s="3">
        <f>K4033*L4033*(1-M4033)</f>
        <v/>
      </c>
      <c r="P4033" s="3">
        <f>O4033-N4033</f>
        <v/>
      </c>
      <c r="Q4033" s="5">
        <f>IFERROR(P4033/O4033,0)</f>
        <v/>
      </c>
      <c r="R4033" s="2">
        <f>TEXT(DATEVALUE(B4033),"mmm")</f>
        <v/>
      </c>
      <c r="S4033" s="2">
        <f>TEXT(DATEVALUE(B4033),"yyyy-mm")</f>
        <v/>
      </c>
    </row>
    <row r="4034">
      <c r="A4034" s="2" t="inlineStr">
        <is>
          <t>O002037</t>
        </is>
      </c>
      <c r="B4034" s="2" t="inlineStr">
        <is>
          <t>2025-10-21</t>
        </is>
      </c>
      <c r="C4034" s="2" t="inlineStr">
        <is>
          <t>C0233</t>
        </is>
      </c>
      <c r="D4034" s="2" t="inlineStr">
        <is>
          <t>P0031</t>
        </is>
      </c>
      <c r="E4034" s="2" t="inlineStr">
        <is>
          <t>Cricket Bat</t>
        </is>
      </c>
      <c r="F4034" s="2" t="inlineStr">
        <is>
          <t>Sports</t>
        </is>
      </c>
      <c r="G4034" s="2" t="inlineStr">
        <is>
          <t>West</t>
        </is>
      </c>
      <c r="H4034" s="2" t="inlineStr">
        <is>
          <t>Goa</t>
        </is>
      </c>
      <c r="I4034" s="2" t="inlineStr">
        <is>
          <t>Panaji</t>
        </is>
      </c>
      <c r="J4034" s="2" t="inlineStr">
        <is>
          <t>Online</t>
        </is>
      </c>
      <c r="K4034" s="2" t="n">
        <v>1</v>
      </c>
      <c r="L4034" s="3" t="n">
        <v>1432.78</v>
      </c>
      <c r="M4034" s="4" t="n">
        <v>0</v>
      </c>
      <c r="N4034" s="3" t="n">
        <v>924.97</v>
      </c>
      <c r="O4034" s="3">
        <f>K4034*L4034*(1-M4034)</f>
        <v/>
      </c>
      <c r="P4034" s="3">
        <f>O4034-N4034</f>
        <v/>
      </c>
      <c r="Q4034" s="5">
        <f>IFERROR(P4034/O4034,0)</f>
        <v/>
      </c>
      <c r="R4034" s="2">
        <f>TEXT(DATEVALUE(B4034),"mmm")</f>
        <v/>
      </c>
      <c r="S4034" s="2">
        <f>TEXT(DATEVALUE(B4034),"yyyy-mm")</f>
        <v/>
      </c>
    </row>
    <row r="4035">
      <c r="A4035" s="2" t="inlineStr">
        <is>
          <t>O004718</t>
        </is>
      </c>
      <c r="B4035" s="2" t="inlineStr">
        <is>
          <t>2025-10-22</t>
        </is>
      </c>
      <c r="C4035" s="2" t="inlineStr">
        <is>
          <t>C0622</t>
        </is>
      </c>
      <c r="D4035" s="2" t="inlineStr">
        <is>
          <t>P0014</t>
        </is>
      </c>
      <c r="E4035" s="2" t="inlineStr">
        <is>
          <t>Coffee Maker</t>
        </is>
      </c>
      <c r="F4035" s="2" t="inlineStr">
        <is>
          <t>Home &amp; Kitchen</t>
        </is>
      </c>
      <c r="G4035" s="2" t="inlineStr">
        <is>
          <t>North</t>
        </is>
      </c>
      <c r="H4035" s="2" t="inlineStr">
        <is>
          <t>Delhi</t>
        </is>
      </c>
      <c r="I4035" s="2" t="inlineStr">
        <is>
          <t>New Delhi</t>
        </is>
      </c>
      <c r="J4035" s="2" t="inlineStr">
        <is>
          <t>Store</t>
        </is>
      </c>
      <c r="K4035" s="2" t="n">
        <v>2</v>
      </c>
      <c r="L4035" s="3" t="n">
        <v>1065.49</v>
      </c>
      <c r="M4035" s="4" t="n">
        <v>0</v>
      </c>
      <c r="N4035" s="3" t="n">
        <v>1490.24</v>
      </c>
      <c r="O4035" s="3">
        <f>K4035*L4035*(1-M4035)</f>
        <v/>
      </c>
      <c r="P4035" s="3">
        <f>O4035-N4035</f>
        <v/>
      </c>
      <c r="Q4035" s="5">
        <f>IFERROR(P4035/O4035,0)</f>
        <v/>
      </c>
      <c r="R4035" s="2">
        <f>TEXT(DATEVALUE(B4035),"mmm")</f>
        <v/>
      </c>
      <c r="S4035" s="2">
        <f>TEXT(DATEVALUE(B4035),"yyyy-mm")</f>
        <v/>
      </c>
    </row>
    <row r="4036">
      <c r="A4036" s="2" t="inlineStr">
        <is>
          <t>O004607</t>
        </is>
      </c>
      <c r="B4036" s="2" t="inlineStr">
        <is>
          <t>2025-10-22</t>
        </is>
      </c>
      <c r="C4036" s="2" t="inlineStr">
        <is>
          <t>C0520</t>
        </is>
      </c>
      <c r="D4036" s="2" t="inlineStr">
        <is>
          <t>P0001</t>
        </is>
      </c>
      <c r="E4036" s="2" t="inlineStr">
        <is>
          <t>Wireless Headphones</t>
        </is>
      </c>
      <c r="F4036" s="2" t="inlineStr">
        <is>
          <t>Electronics</t>
        </is>
      </c>
      <c r="G4036" s="2" t="inlineStr">
        <is>
          <t>West</t>
        </is>
      </c>
      <c r="H4036" s="2" t="inlineStr">
        <is>
          <t>Gujarat</t>
        </is>
      </c>
      <c r="I4036" s="2" t="inlineStr">
        <is>
          <t>Ahmedabad</t>
        </is>
      </c>
      <c r="J4036" s="2" t="inlineStr">
        <is>
          <t>Store</t>
        </is>
      </c>
      <c r="K4036" s="2" t="n">
        <v>1</v>
      </c>
      <c r="L4036" s="3" t="n">
        <v>1330.57</v>
      </c>
      <c r="M4036" s="4" t="n">
        <v>0.15</v>
      </c>
      <c r="N4036" s="3" t="n">
        <v>717.66</v>
      </c>
      <c r="O4036" s="3">
        <f>K4036*L4036*(1-M4036)</f>
        <v/>
      </c>
      <c r="P4036" s="3">
        <f>O4036-N4036</f>
        <v/>
      </c>
      <c r="Q4036" s="5">
        <f>IFERROR(P4036/O4036,0)</f>
        <v/>
      </c>
      <c r="R4036" s="2">
        <f>TEXT(DATEVALUE(B4036),"mmm")</f>
        <v/>
      </c>
      <c r="S4036" s="2">
        <f>TEXT(DATEVALUE(B4036),"yyyy-mm")</f>
        <v/>
      </c>
    </row>
    <row r="4037">
      <c r="A4037" s="2" t="inlineStr">
        <is>
          <t>O004532</t>
        </is>
      </c>
      <c r="B4037" s="2" t="inlineStr">
        <is>
          <t>2025-10-22</t>
        </is>
      </c>
      <c r="C4037" s="2" t="inlineStr">
        <is>
          <t>C0599</t>
        </is>
      </c>
      <c r="D4037" s="2" t="inlineStr">
        <is>
          <t>P0022</t>
        </is>
      </c>
      <c r="E4037" s="2" t="inlineStr">
        <is>
          <t>Face Wash</t>
        </is>
      </c>
      <c r="F4037" s="2" t="inlineStr">
        <is>
          <t>Beauty</t>
        </is>
      </c>
      <c r="G4037" s="2" t="inlineStr">
        <is>
          <t>North</t>
        </is>
      </c>
      <c r="H4037" s="2" t="inlineStr">
        <is>
          <t>Haryana</t>
        </is>
      </c>
      <c r="I4037" s="2" t="inlineStr">
        <is>
          <t>Faridabad</t>
        </is>
      </c>
      <c r="J4037" s="2" t="inlineStr">
        <is>
          <t>Online</t>
        </is>
      </c>
      <c r="K4037" s="2" t="n">
        <v>4</v>
      </c>
      <c r="L4037" s="3" t="n">
        <v>545.46</v>
      </c>
      <c r="M4037" s="4" t="n">
        <v>0.2</v>
      </c>
      <c r="N4037" s="3" t="n">
        <v>1382.4</v>
      </c>
      <c r="O4037" s="3">
        <f>K4037*L4037*(1-M4037)</f>
        <v/>
      </c>
      <c r="P4037" s="3">
        <f>O4037-N4037</f>
        <v/>
      </c>
      <c r="Q4037" s="5">
        <f>IFERROR(P4037/O4037,0)</f>
        <v/>
      </c>
      <c r="R4037" s="2">
        <f>TEXT(DATEVALUE(B4037),"mmm")</f>
        <v/>
      </c>
      <c r="S4037" s="2">
        <f>TEXT(DATEVALUE(B4037),"yyyy-mm")</f>
        <v/>
      </c>
    </row>
    <row r="4038">
      <c r="A4038" s="2" t="inlineStr">
        <is>
          <t>O004447</t>
        </is>
      </c>
      <c r="B4038" s="2" t="inlineStr">
        <is>
          <t>2025-10-22</t>
        </is>
      </c>
      <c r="C4038" s="2" t="inlineStr">
        <is>
          <t>C0748</t>
        </is>
      </c>
      <c r="D4038" s="2" t="inlineStr">
        <is>
          <t>P0018</t>
        </is>
      </c>
      <c r="E4038" s="2" t="inlineStr">
        <is>
          <t>Backpack</t>
        </is>
      </c>
      <c r="F4038" s="2" t="inlineStr">
        <is>
          <t>Fashion</t>
        </is>
      </c>
      <c r="G4038" s="2" t="inlineStr">
        <is>
          <t>West</t>
        </is>
      </c>
      <c r="H4038" s="2" t="inlineStr">
        <is>
          <t>Goa</t>
        </is>
      </c>
      <c r="I4038" s="2" t="inlineStr">
        <is>
          <t>Margao</t>
        </is>
      </c>
      <c r="J4038" s="2" t="inlineStr">
        <is>
          <t>Store</t>
        </is>
      </c>
      <c r="K4038" s="2" t="n">
        <v>2</v>
      </c>
      <c r="L4038" s="3" t="n">
        <v>1765.64</v>
      </c>
      <c r="M4038" s="4" t="n">
        <v>0.05</v>
      </c>
      <c r="N4038" s="3" t="n">
        <v>2796.62</v>
      </c>
      <c r="O4038" s="3">
        <f>K4038*L4038*(1-M4038)</f>
        <v/>
      </c>
      <c r="P4038" s="3">
        <f>O4038-N4038</f>
        <v/>
      </c>
      <c r="Q4038" s="5">
        <f>IFERROR(P4038/O4038,0)</f>
        <v/>
      </c>
      <c r="R4038" s="2">
        <f>TEXT(DATEVALUE(B4038),"mmm")</f>
        <v/>
      </c>
      <c r="S4038" s="2">
        <f>TEXT(DATEVALUE(B4038),"yyyy-mm")</f>
        <v/>
      </c>
    </row>
    <row r="4039">
      <c r="A4039" s="2" t="inlineStr">
        <is>
          <t>O004331</t>
        </is>
      </c>
      <c r="B4039" s="2" t="inlineStr">
        <is>
          <t>2025-10-22</t>
        </is>
      </c>
      <c r="C4039" s="2" t="inlineStr">
        <is>
          <t>C0608</t>
        </is>
      </c>
      <c r="D4039" s="2" t="inlineStr">
        <is>
          <t>P0031</t>
        </is>
      </c>
      <c r="E4039" s="2" t="inlineStr">
        <is>
          <t>Cricket Bat</t>
        </is>
      </c>
      <c r="F4039" s="2" t="inlineStr">
        <is>
          <t>Sports</t>
        </is>
      </c>
      <c r="G4039" s="2" t="inlineStr">
        <is>
          <t>West</t>
        </is>
      </c>
      <c r="H4039" s="2" t="inlineStr">
        <is>
          <t>Gujarat</t>
        </is>
      </c>
      <c r="I4039" s="2" t="inlineStr">
        <is>
          <t>Vadodara</t>
        </is>
      </c>
      <c r="J4039" s="2" t="inlineStr">
        <is>
          <t>Online</t>
        </is>
      </c>
      <c r="K4039" s="2" t="n">
        <v>2</v>
      </c>
      <c r="L4039" s="3" t="n">
        <v>1377.64</v>
      </c>
      <c r="M4039" s="4" t="n">
        <v>0.25</v>
      </c>
      <c r="N4039" s="3" t="n">
        <v>1874.19</v>
      </c>
      <c r="O4039" s="3">
        <f>K4039*L4039*(1-M4039)</f>
        <v/>
      </c>
      <c r="P4039" s="3">
        <f>O4039-N4039</f>
        <v/>
      </c>
      <c r="Q4039" s="5">
        <f>IFERROR(P4039/O4039,0)</f>
        <v/>
      </c>
      <c r="R4039" s="2">
        <f>TEXT(DATEVALUE(B4039),"mmm")</f>
        <v/>
      </c>
      <c r="S4039" s="2">
        <f>TEXT(DATEVALUE(B4039),"yyyy-mm")</f>
        <v/>
      </c>
    </row>
    <row r="4040">
      <c r="A4040" s="2" t="inlineStr">
        <is>
          <t>O003635</t>
        </is>
      </c>
      <c r="B4040" s="2" t="inlineStr">
        <is>
          <t>2025-10-22</t>
        </is>
      </c>
      <c r="C4040" s="2" t="inlineStr">
        <is>
          <t>C0755</t>
        </is>
      </c>
      <c r="D4040" s="2" t="inlineStr">
        <is>
          <t>P0018</t>
        </is>
      </c>
      <c r="E4040" s="2" t="inlineStr">
        <is>
          <t>Backpack</t>
        </is>
      </c>
      <c r="F4040" s="2" t="inlineStr">
        <is>
          <t>Fashion</t>
        </is>
      </c>
      <c r="G4040" s="2" t="inlineStr">
        <is>
          <t>North</t>
        </is>
      </c>
      <c r="H4040" s="2" t="inlineStr">
        <is>
          <t>Haryana</t>
        </is>
      </c>
      <c r="I4040" s="2" t="inlineStr">
        <is>
          <t>Faridabad</t>
        </is>
      </c>
      <c r="J4040" s="2" t="inlineStr">
        <is>
          <t>Online</t>
        </is>
      </c>
      <c r="K4040" s="2" t="n">
        <v>1</v>
      </c>
      <c r="L4040" s="3" t="n">
        <v>1766.46</v>
      </c>
      <c r="M4040" s="4" t="n">
        <v>0.15</v>
      </c>
      <c r="N4040" s="3" t="n">
        <v>1345.02</v>
      </c>
      <c r="O4040" s="3">
        <f>K4040*L4040*(1-M4040)</f>
        <v/>
      </c>
      <c r="P4040" s="3">
        <f>O4040-N4040</f>
        <v/>
      </c>
      <c r="Q4040" s="5">
        <f>IFERROR(P4040/O4040,0)</f>
        <v/>
      </c>
      <c r="R4040" s="2">
        <f>TEXT(DATEVALUE(B4040),"mmm")</f>
        <v/>
      </c>
      <c r="S4040" s="2">
        <f>TEXT(DATEVALUE(B4040),"yyyy-mm")</f>
        <v/>
      </c>
    </row>
    <row r="4041">
      <c r="A4041" s="2" t="inlineStr">
        <is>
          <t>O003626</t>
        </is>
      </c>
      <c r="B4041" s="2" t="inlineStr">
        <is>
          <t>2025-10-22</t>
        </is>
      </c>
      <c r="C4041" s="2" t="inlineStr">
        <is>
          <t>C0542</t>
        </is>
      </c>
      <c r="D4041" s="2" t="inlineStr">
        <is>
          <t>P0032</t>
        </is>
      </c>
      <c r="E4041" s="2" t="inlineStr">
        <is>
          <t>Football</t>
        </is>
      </c>
      <c r="F4041" s="2" t="inlineStr">
        <is>
          <t>Sports</t>
        </is>
      </c>
      <c r="G4041" s="2" t="inlineStr">
        <is>
          <t>West</t>
        </is>
      </c>
      <c r="H4041" s="2" t="inlineStr">
        <is>
          <t>Goa</t>
        </is>
      </c>
      <c r="I4041" s="2" t="inlineStr">
        <is>
          <t>Margao</t>
        </is>
      </c>
      <c r="J4041" s="2" t="inlineStr">
        <is>
          <t>Store</t>
        </is>
      </c>
      <c r="K4041" s="2" t="n">
        <v>2</v>
      </c>
      <c r="L4041" s="3" t="n">
        <v>812.47</v>
      </c>
      <c r="M4041" s="4" t="n">
        <v>0.2</v>
      </c>
      <c r="N4041" s="3" t="n">
        <v>1034.04</v>
      </c>
      <c r="O4041" s="3">
        <f>K4041*L4041*(1-M4041)</f>
        <v/>
      </c>
      <c r="P4041" s="3">
        <f>O4041-N4041</f>
        <v/>
      </c>
      <c r="Q4041" s="5">
        <f>IFERROR(P4041/O4041,0)</f>
        <v/>
      </c>
      <c r="R4041" s="2">
        <f>TEXT(DATEVALUE(B4041),"mmm")</f>
        <v/>
      </c>
      <c r="S4041" s="2">
        <f>TEXT(DATEVALUE(B4041),"yyyy-mm")</f>
        <v/>
      </c>
    </row>
    <row r="4042">
      <c r="A4042" s="2" t="inlineStr">
        <is>
          <t>O003247</t>
        </is>
      </c>
      <c r="B4042" s="2" t="inlineStr">
        <is>
          <t>2025-10-22</t>
        </is>
      </c>
      <c r="C4042" s="2" t="inlineStr">
        <is>
          <t>C0155</t>
        </is>
      </c>
      <c r="D4042" s="2" t="inlineStr">
        <is>
          <t>P0031</t>
        </is>
      </c>
      <c r="E4042" s="2" t="inlineStr">
        <is>
          <t>Cricket Bat</t>
        </is>
      </c>
      <c r="F4042" s="2" t="inlineStr">
        <is>
          <t>Sports</t>
        </is>
      </c>
      <c r="G4042" s="2" t="inlineStr">
        <is>
          <t>West</t>
        </is>
      </c>
      <c r="H4042" s="2" t="inlineStr">
        <is>
          <t>Gujarat</t>
        </is>
      </c>
      <c r="I4042" s="2" t="inlineStr">
        <is>
          <t>Vadodara</t>
        </is>
      </c>
      <c r="J4042" s="2" t="inlineStr">
        <is>
          <t>Store</t>
        </is>
      </c>
      <c r="K4042" s="2" t="n">
        <v>1</v>
      </c>
      <c r="L4042" s="3" t="n">
        <v>1376.33</v>
      </c>
      <c r="M4042" s="4" t="n">
        <v>0.05</v>
      </c>
      <c r="N4042" s="3" t="n">
        <v>966.13</v>
      </c>
      <c r="O4042" s="3">
        <f>K4042*L4042*(1-M4042)</f>
        <v/>
      </c>
      <c r="P4042" s="3">
        <f>O4042-N4042</f>
        <v/>
      </c>
      <c r="Q4042" s="5">
        <f>IFERROR(P4042/O4042,0)</f>
        <v/>
      </c>
      <c r="R4042" s="2">
        <f>TEXT(DATEVALUE(B4042),"mmm")</f>
        <v/>
      </c>
      <c r="S4042" s="2">
        <f>TEXT(DATEVALUE(B4042),"yyyy-mm")</f>
        <v/>
      </c>
    </row>
    <row r="4043">
      <c r="A4043" s="2" t="inlineStr">
        <is>
          <t>O002664</t>
        </is>
      </c>
      <c r="B4043" s="2" t="inlineStr">
        <is>
          <t>2025-10-22</t>
        </is>
      </c>
      <c r="C4043" s="2" t="inlineStr">
        <is>
          <t>C0228</t>
        </is>
      </c>
      <c r="D4043" s="2" t="inlineStr">
        <is>
          <t>P0026</t>
        </is>
      </c>
      <c r="E4043" s="2" t="inlineStr">
        <is>
          <t>Shampoo</t>
        </is>
      </c>
      <c r="F4043" s="2" t="inlineStr">
        <is>
          <t>Beauty</t>
        </is>
      </c>
      <c r="G4043" s="2" t="inlineStr">
        <is>
          <t>West</t>
        </is>
      </c>
      <c r="H4043" s="2" t="inlineStr">
        <is>
          <t>Gujarat</t>
        </is>
      </c>
      <c r="I4043" s="2" t="inlineStr">
        <is>
          <t>Surat</t>
        </is>
      </c>
      <c r="J4043" s="2" t="inlineStr">
        <is>
          <t>Online</t>
        </is>
      </c>
      <c r="K4043" s="2" t="n">
        <v>2</v>
      </c>
      <c r="L4043" s="3" t="n">
        <v>896.71</v>
      </c>
      <c r="M4043" s="4" t="n">
        <v>0.2</v>
      </c>
      <c r="N4043" s="3" t="n">
        <v>1050.27</v>
      </c>
      <c r="O4043" s="3">
        <f>K4043*L4043*(1-M4043)</f>
        <v/>
      </c>
      <c r="P4043" s="3">
        <f>O4043-N4043</f>
        <v/>
      </c>
      <c r="Q4043" s="5">
        <f>IFERROR(P4043/O4043,0)</f>
        <v/>
      </c>
      <c r="R4043" s="2">
        <f>TEXT(DATEVALUE(B4043),"mmm")</f>
        <v/>
      </c>
      <c r="S4043" s="2">
        <f>TEXT(DATEVALUE(B4043),"yyyy-mm")</f>
        <v/>
      </c>
    </row>
    <row r="4044">
      <c r="A4044" s="2" t="inlineStr">
        <is>
          <t>O001928</t>
        </is>
      </c>
      <c r="B4044" s="2" t="inlineStr">
        <is>
          <t>2025-10-22</t>
        </is>
      </c>
      <c r="C4044" s="2" t="inlineStr">
        <is>
          <t>C0800</t>
        </is>
      </c>
      <c r="D4044" s="2" t="inlineStr">
        <is>
          <t>P0021</t>
        </is>
      </c>
      <c r="E4044" s="2" t="inlineStr">
        <is>
          <t>Wallet</t>
        </is>
      </c>
      <c r="F4044" s="2" t="inlineStr">
        <is>
          <t>Fashion</t>
        </is>
      </c>
      <c r="G4044" s="2" t="inlineStr">
        <is>
          <t>North</t>
        </is>
      </c>
      <c r="H4044" s="2" t="inlineStr">
        <is>
          <t>Uttar Pradesh</t>
        </is>
      </c>
      <c r="I4044" s="2" t="inlineStr">
        <is>
          <t>Kanpur</t>
        </is>
      </c>
      <c r="J4044" s="2" t="inlineStr">
        <is>
          <t>Online</t>
        </is>
      </c>
      <c r="K4044" s="2" t="n">
        <v>3</v>
      </c>
      <c r="L4044" s="3" t="n">
        <v>1942.89</v>
      </c>
      <c r="M4044" s="4" t="n">
        <v>0</v>
      </c>
      <c r="N4044" s="3" t="n">
        <v>3622.11</v>
      </c>
      <c r="O4044" s="3">
        <f>K4044*L4044*(1-M4044)</f>
        <v/>
      </c>
      <c r="P4044" s="3">
        <f>O4044-N4044</f>
        <v/>
      </c>
      <c r="Q4044" s="5">
        <f>IFERROR(P4044/O4044,0)</f>
        <v/>
      </c>
      <c r="R4044" s="2">
        <f>TEXT(DATEVALUE(B4044),"mmm")</f>
        <v/>
      </c>
      <c r="S4044" s="2">
        <f>TEXT(DATEVALUE(B4044),"yyyy-mm")</f>
        <v/>
      </c>
    </row>
    <row r="4045">
      <c r="A4045" s="2" t="inlineStr">
        <is>
          <t>O001669</t>
        </is>
      </c>
      <c r="B4045" s="2" t="inlineStr">
        <is>
          <t>2025-10-22</t>
        </is>
      </c>
      <c r="C4045" s="2" t="inlineStr">
        <is>
          <t>C0469</t>
        </is>
      </c>
      <c r="D4045" s="2" t="inlineStr">
        <is>
          <t>P0016</t>
        </is>
      </c>
      <c r="E4045" s="2" t="inlineStr">
        <is>
          <t>Casual Shirt</t>
        </is>
      </c>
      <c r="F4045" s="2" t="inlineStr">
        <is>
          <t>Fashion</t>
        </is>
      </c>
      <c r="G4045" s="2" t="inlineStr">
        <is>
          <t>South</t>
        </is>
      </c>
      <c r="H4045" s="2" t="inlineStr">
        <is>
          <t>Kerala</t>
        </is>
      </c>
      <c r="I4045" s="2" t="inlineStr">
        <is>
          <t>Kochi</t>
        </is>
      </c>
      <c r="J4045" s="2" t="inlineStr">
        <is>
          <t>Online</t>
        </is>
      </c>
      <c r="K4045" s="2" t="n">
        <v>3</v>
      </c>
      <c r="L4045" s="3" t="n">
        <v>1247.6</v>
      </c>
      <c r="M4045" s="4" t="n">
        <v>0.2</v>
      </c>
      <c r="N4045" s="3" t="n">
        <v>2776.78</v>
      </c>
      <c r="O4045" s="3">
        <f>K4045*L4045*(1-M4045)</f>
        <v/>
      </c>
      <c r="P4045" s="3">
        <f>O4045-N4045</f>
        <v/>
      </c>
      <c r="Q4045" s="5">
        <f>IFERROR(P4045/O4045,0)</f>
        <v/>
      </c>
      <c r="R4045" s="2">
        <f>TEXT(DATEVALUE(B4045),"mmm")</f>
        <v/>
      </c>
      <c r="S4045" s="2">
        <f>TEXT(DATEVALUE(B4045),"yyyy-mm")</f>
        <v/>
      </c>
    </row>
    <row r="4046">
      <c r="A4046" s="2" t="inlineStr">
        <is>
          <t>O001535</t>
        </is>
      </c>
      <c r="B4046" s="2" t="inlineStr">
        <is>
          <t>2025-10-22</t>
        </is>
      </c>
      <c r="C4046" s="2" t="inlineStr">
        <is>
          <t>C0284</t>
        </is>
      </c>
      <c r="D4046" s="2" t="inlineStr">
        <is>
          <t>P0012</t>
        </is>
      </c>
      <c r="E4046" s="2" t="inlineStr">
        <is>
          <t>Water Bottle</t>
        </is>
      </c>
      <c r="F4046" s="2" t="inlineStr">
        <is>
          <t>Home &amp; Kitchen</t>
        </is>
      </c>
      <c r="G4046" s="2" t="inlineStr">
        <is>
          <t>South</t>
        </is>
      </c>
      <c r="H4046" s="2" t="inlineStr">
        <is>
          <t>Telangana</t>
        </is>
      </c>
      <c r="I4046" s="2" t="inlineStr">
        <is>
          <t>Hyderabad</t>
        </is>
      </c>
      <c r="J4046" s="2" t="inlineStr">
        <is>
          <t>Online</t>
        </is>
      </c>
      <c r="K4046" s="2" t="n">
        <v>2</v>
      </c>
      <c r="L4046" s="3" t="n">
        <v>964.89</v>
      </c>
      <c r="M4046" s="4" t="n">
        <v>0.15</v>
      </c>
      <c r="N4046" s="3" t="n">
        <v>1236.58</v>
      </c>
      <c r="O4046" s="3">
        <f>K4046*L4046*(1-M4046)</f>
        <v/>
      </c>
      <c r="P4046" s="3">
        <f>O4046-N4046</f>
        <v/>
      </c>
      <c r="Q4046" s="5">
        <f>IFERROR(P4046/O4046,0)</f>
        <v/>
      </c>
      <c r="R4046" s="2">
        <f>TEXT(DATEVALUE(B4046),"mmm")</f>
        <v/>
      </c>
      <c r="S4046" s="2">
        <f>TEXT(DATEVALUE(B4046),"yyyy-mm")</f>
        <v/>
      </c>
    </row>
    <row r="4047">
      <c r="A4047" s="2" t="inlineStr">
        <is>
          <t>O001384</t>
        </is>
      </c>
      <c r="B4047" s="2" t="inlineStr">
        <is>
          <t>2025-10-22</t>
        </is>
      </c>
      <c r="C4047" s="2" t="inlineStr">
        <is>
          <t>C0252</t>
        </is>
      </c>
      <c r="D4047" s="2" t="inlineStr">
        <is>
          <t>P0005</t>
        </is>
      </c>
      <c r="E4047" s="2" t="inlineStr">
        <is>
          <t>Power Bank</t>
        </is>
      </c>
      <c r="F4047" s="2" t="inlineStr">
        <is>
          <t>Electronics</t>
        </is>
      </c>
      <c r="G4047" s="2" t="inlineStr">
        <is>
          <t>South</t>
        </is>
      </c>
      <c r="H4047" s="2" t="inlineStr">
        <is>
          <t>Kerala</t>
        </is>
      </c>
      <c r="I4047" s="2" t="inlineStr">
        <is>
          <t>Thiruvananthapuram</t>
        </is>
      </c>
      <c r="J4047" s="2" t="inlineStr">
        <is>
          <t>Online</t>
        </is>
      </c>
      <c r="K4047" s="2" t="n">
        <v>1</v>
      </c>
      <c r="L4047" s="3" t="n">
        <v>1086.81</v>
      </c>
      <c r="M4047" s="4" t="n">
        <v>0.2</v>
      </c>
      <c r="N4047" s="3" t="n">
        <v>651.67</v>
      </c>
      <c r="O4047" s="3">
        <f>K4047*L4047*(1-M4047)</f>
        <v/>
      </c>
      <c r="P4047" s="3">
        <f>O4047-N4047</f>
        <v/>
      </c>
      <c r="Q4047" s="5">
        <f>IFERROR(P4047/O4047,0)</f>
        <v/>
      </c>
      <c r="R4047" s="2">
        <f>TEXT(DATEVALUE(B4047),"mmm")</f>
        <v/>
      </c>
      <c r="S4047" s="2">
        <f>TEXT(DATEVALUE(B4047),"yyyy-mm")</f>
        <v/>
      </c>
    </row>
    <row r="4048">
      <c r="A4048" s="2" t="inlineStr">
        <is>
          <t>O001056</t>
        </is>
      </c>
      <c r="B4048" s="2" t="inlineStr">
        <is>
          <t>2025-10-22</t>
        </is>
      </c>
      <c r="C4048" s="2" t="inlineStr">
        <is>
          <t>C0314</t>
        </is>
      </c>
      <c r="D4048" s="2" t="inlineStr">
        <is>
          <t>P0004</t>
        </is>
      </c>
      <c r="E4048" s="2" t="inlineStr">
        <is>
          <t>USB-C Hub</t>
        </is>
      </c>
      <c r="F4048" s="2" t="inlineStr">
        <is>
          <t>Electronics</t>
        </is>
      </c>
      <c r="G4048" s="2" t="inlineStr">
        <is>
          <t>West</t>
        </is>
      </c>
      <c r="H4048" s="2" t="inlineStr">
        <is>
          <t>Gujarat</t>
        </is>
      </c>
      <c r="I4048" s="2" t="inlineStr">
        <is>
          <t>Ahmedabad</t>
        </is>
      </c>
      <c r="J4048" s="2" t="inlineStr">
        <is>
          <t>Store</t>
        </is>
      </c>
      <c r="K4048" s="2" t="n">
        <v>2</v>
      </c>
      <c r="L4048" s="3" t="n">
        <v>1249.04</v>
      </c>
      <c r="M4048" s="4" t="n">
        <v>0.05</v>
      </c>
      <c r="N4048" s="3" t="n">
        <v>1878.13</v>
      </c>
      <c r="O4048" s="3">
        <f>K4048*L4048*(1-M4048)</f>
        <v/>
      </c>
      <c r="P4048" s="3">
        <f>O4048-N4048</f>
        <v/>
      </c>
      <c r="Q4048" s="5">
        <f>IFERROR(P4048/O4048,0)</f>
        <v/>
      </c>
      <c r="R4048" s="2">
        <f>TEXT(DATEVALUE(B4048),"mmm")</f>
        <v/>
      </c>
      <c r="S4048" s="2">
        <f>TEXT(DATEVALUE(B4048),"yyyy-mm")</f>
        <v/>
      </c>
    </row>
    <row r="4049">
      <c r="A4049" s="2" t="inlineStr">
        <is>
          <t>O000200</t>
        </is>
      </c>
      <c r="B4049" s="2" t="inlineStr">
        <is>
          <t>2025-10-22</t>
        </is>
      </c>
      <c r="C4049" s="2" t="inlineStr">
        <is>
          <t>C0026</t>
        </is>
      </c>
      <c r="D4049" s="2" t="inlineStr">
        <is>
          <t>P0021</t>
        </is>
      </c>
      <c r="E4049" s="2" t="inlineStr">
        <is>
          <t>Wallet</t>
        </is>
      </c>
      <c r="F4049" s="2" t="inlineStr">
        <is>
          <t>Fashion</t>
        </is>
      </c>
      <c r="G4049" s="2" t="inlineStr">
        <is>
          <t>South</t>
        </is>
      </c>
      <c r="H4049" s="2" t="inlineStr">
        <is>
          <t>Tamil Nadu</t>
        </is>
      </c>
      <c r="I4049" s="2" t="inlineStr">
        <is>
          <t>Chennai</t>
        </is>
      </c>
      <c r="J4049" s="2" t="inlineStr">
        <is>
          <t>Online</t>
        </is>
      </c>
      <c r="K4049" s="2" t="n">
        <v>1</v>
      </c>
      <c r="L4049" s="3" t="n">
        <v>1969.39</v>
      </c>
      <c r="M4049" s="4" t="n">
        <v>0</v>
      </c>
      <c r="N4049" s="3" t="n">
        <v>1252.81</v>
      </c>
      <c r="O4049" s="3">
        <f>K4049*L4049*(1-M4049)</f>
        <v/>
      </c>
      <c r="P4049" s="3">
        <f>O4049-N4049</f>
        <v/>
      </c>
      <c r="Q4049" s="5">
        <f>IFERROR(P4049/O4049,0)</f>
        <v/>
      </c>
      <c r="R4049" s="2">
        <f>TEXT(DATEVALUE(B4049),"mmm")</f>
        <v/>
      </c>
      <c r="S4049" s="2">
        <f>TEXT(DATEVALUE(B4049),"yyyy-mm")</f>
        <v/>
      </c>
    </row>
    <row r="4050">
      <c r="A4050" s="2" t="inlineStr">
        <is>
          <t>O002818</t>
        </is>
      </c>
      <c r="B4050" s="2" t="inlineStr">
        <is>
          <t>2025-10-22</t>
        </is>
      </c>
      <c r="C4050" s="2" t="inlineStr">
        <is>
          <t>C0500</t>
        </is>
      </c>
      <c r="D4050" s="2" t="inlineStr">
        <is>
          <t>P0009</t>
        </is>
      </c>
      <c r="E4050" s="2" t="inlineStr">
        <is>
          <t>Electric Kettle</t>
        </is>
      </c>
      <c r="F4050" s="2" t="inlineStr">
        <is>
          <t>Home &amp; Kitchen</t>
        </is>
      </c>
      <c r="G4050" s="2" t="inlineStr">
        <is>
          <t>West</t>
        </is>
      </c>
      <c r="H4050" s="2" t="inlineStr">
        <is>
          <t>Goa</t>
        </is>
      </c>
      <c r="I4050" s="2" t="inlineStr">
        <is>
          <t>Panaji</t>
        </is>
      </c>
      <c r="J4050" s="2" t="inlineStr">
        <is>
          <t>Online</t>
        </is>
      </c>
      <c r="K4050" s="2" t="n">
        <v>6</v>
      </c>
      <c r="L4050" s="3" t="n">
        <v>2075.9</v>
      </c>
      <c r="M4050" s="4" t="n">
        <v>0.05</v>
      </c>
      <c r="N4050" s="3" t="n">
        <v>6577.65</v>
      </c>
      <c r="O4050" s="3">
        <f>K4050*L4050*(1-M4050)</f>
        <v/>
      </c>
      <c r="P4050" s="3">
        <f>O4050-N4050</f>
        <v/>
      </c>
      <c r="Q4050" s="5">
        <f>IFERROR(P4050/O4050,0)</f>
        <v/>
      </c>
      <c r="R4050" s="2">
        <f>TEXT(DATEVALUE(B4050),"mmm")</f>
        <v/>
      </c>
      <c r="S4050" s="2">
        <f>TEXT(DATEVALUE(B4050),"yyyy-mm")</f>
        <v/>
      </c>
    </row>
    <row r="4051">
      <c r="A4051" s="2" t="inlineStr">
        <is>
          <t>O004914</t>
        </is>
      </c>
      <c r="B4051" s="2" t="inlineStr">
        <is>
          <t>2025-10-23</t>
        </is>
      </c>
      <c r="C4051" s="2" t="inlineStr">
        <is>
          <t>C0062</t>
        </is>
      </c>
      <c r="D4051" s="2" t="inlineStr">
        <is>
          <t>P0027</t>
        </is>
      </c>
      <c r="E4051" s="2" t="inlineStr">
        <is>
          <t>Moisturizer</t>
        </is>
      </c>
      <c r="F4051" s="2" t="inlineStr">
        <is>
          <t>Beauty</t>
        </is>
      </c>
      <c r="G4051" s="2" t="inlineStr">
        <is>
          <t>North</t>
        </is>
      </c>
      <c r="H4051" s="2" t="inlineStr">
        <is>
          <t>Delhi</t>
        </is>
      </c>
      <c r="I4051" s="2" t="inlineStr">
        <is>
          <t>New Delhi</t>
        </is>
      </c>
      <c r="J4051" s="2" t="inlineStr">
        <is>
          <t>Store</t>
        </is>
      </c>
      <c r="K4051" s="2" t="n">
        <v>3</v>
      </c>
      <c r="L4051" s="3" t="n">
        <v>966.28</v>
      </c>
      <c r="M4051" s="4" t="n">
        <v>0.15</v>
      </c>
      <c r="N4051" s="3" t="n">
        <v>2037.17</v>
      </c>
      <c r="O4051" s="3">
        <f>K4051*L4051*(1-M4051)</f>
        <v/>
      </c>
      <c r="P4051" s="3">
        <f>O4051-N4051</f>
        <v/>
      </c>
      <c r="Q4051" s="5">
        <f>IFERROR(P4051/O4051,0)</f>
        <v/>
      </c>
      <c r="R4051" s="2">
        <f>TEXT(DATEVALUE(B4051),"mmm")</f>
        <v/>
      </c>
      <c r="S4051" s="2">
        <f>TEXT(DATEVALUE(B4051),"yyyy-mm")</f>
        <v/>
      </c>
    </row>
    <row r="4052">
      <c r="A4052" s="2" t="inlineStr">
        <is>
          <t>O004994</t>
        </is>
      </c>
      <c r="B4052" s="2" t="inlineStr">
        <is>
          <t>2025-10-23</t>
        </is>
      </c>
      <c r="C4052" s="2" t="inlineStr">
        <is>
          <t>C0498</t>
        </is>
      </c>
      <c r="D4052" s="2" t="inlineStr">
        <is>
          <t>P0019</t>
        </is>
      </c>
      <c r="E4052" s="2" t="inlineStr">
        <is>
          <t>Jacket</t>
        </is>
      </c>
      <c r="F4052" s="2" t="inlineStr">
        <is>
          <t>Fashion</t>
        </is>
      </c>
      <c r="G4052" s="2" t="inlineStr">
        <is>
          <t>South</t>
        </is>
      </c>
      <c r="H4052" s="2" t="inlineStr">
        <is>
          <t>Tamil Nadu</t>
        </is>
      </c>
      <c r="I4052" s="2" t="inlineStr">
        <is>
          <t>Madurai</t>
        </is>
      </c>
      <c r="J4052" s="2" t="inlineStr">
        <is>
          <t>Online</t>
        </is>
      </c>
      <c r="K4052" s="2" t="n">
        <v>2</v>
      </c>
      <c r="L4052" s="3" t="n">
        <v>996.6</v>
      </c>
      <c r="M4052" s="4" t="n">
        <v>0.15</v>
      </c>
      <c r="N4052" s="3" t="n">
        <v>1380.44</v>
      </c>
      <c r="O4052" s="3">
        <f>K4052*L4052*(1-M4052)</f>
        <v/>
      </c>
      <c r="P4052" s="3">
        <f>O4052-N4052</f>
        <v/>
      </c>
      <c r="Q4052" s="5">
        <f>IFERROR(P4052/O4052,0)</f>
        <v/>
      </c>
      <c r="R4052" s="2">
        <f>TEXT(DATEVALUE(B4052),"mmm")</f>
        <v/>
      </c>
      <c r="S4052" s="2">
        <f>TEXT(DATEVALUE(B4052),"yyyy-mm")</f>
        <v/>
      </c>
    </row>
    <row r="4053">
      <c r="A4053" s="2" t="inlineStr">
        <is>
          <t>O004992</t>
        </is>
      </c>
      <c r="B4053" s="2" t="inlineStr">
        <is>
          <t>2025-10-23</t>
        </is>
      </c>
      <c r="C4053" s="2" t="inlineStr">
        <is>
          <t>C0557</t>
        </is>
      </c>
      <c r="D4053" s="2" t="inlineStr">
        <is>
          <t>P0014</t>
        </is>
      </c>
      <c r="E4053" s="2" t="inlineStr">
        <is>
          <t>Coffee Maker</t>
        </is>
      </c>
      <c r="F4053" s="2" t="inlineStr">
        <is>
          <t>Home &amp; Kitchen</t>
        </is>
      </c>
      <c r="G4053" s="2" t="inlineStr">
        <is>
          <t>North</t>
        </is>
      </c>
      <c r="H4053" s="2" t="inlineStr">
        <is>
          <t>Uttar Pradesh</t>
        </is>
      </c>
      <c r="I4053" s="2" t="inlineStr">
        <is>
          <t>Noida</t>
        </is>
      </c>
      <c r="J4053" s="2" t="inlineStr">
        <is>
          <t>Online</t>
        </is>
      </c>
      <c r="K4053" s="2" t="n">
        <v>2</v>
      </c>
      <c r="L4053" s="3" t="n">
        <v>1016.5</v>
      </c>
      <c r="M4053" s="4" t="n">
        <v>0.2</v>
      </c>
      <c r="N4053" s="3" t="n">
        <v>1506.93</v>
      </c>
      <c r="O4053" s="3">
        <f>K4053*L4053*(1-M4053)</f>
        <v/>
      </c>
      <c r="P4053" s="3">
        <f>O4053-N4053</f>
        <v/>
      </c>
      <c r="Q4053" s="5">
        <f>IFERROR(P4053/O4053,0)</f>
        <v/>
      </c>
      <c r="R4053" s="2">
        <f>TEXT(DATEVALUE(B4053),"mmm")</f>
        <v/>
      </c>
      <c r="S4053" s="2">
        <f>TEXT(DATEVALUE(B4053),"yyyy-mm")</f>
        <v/>
      </c>
    </row>
    <row r="4054">
      <c r="A4054" s="2" t="inlineStr">
        <is>
          <t>O004938</t>
        </is>
      </c>
      <c r="B4054" s="2" t="inlineStr">
        <is>
          <t>2025-10-23</t>
        </is>
      </c>
      <c r="C4054" s="2" t="inlineStr">
        <is>
          <t>C0255</t>
        </is>
      </c>
      <c r="D4054" s="2" t="inlineStr">
        <is>
          <t>P0007</t>
        </is>
      </c>
      <c r="E4054" s="2" t="inlineStr">
        <is>
          <t>Wireless Mouse</t>
        </is>
      </c>
      <c r="F4054" s="2" t="inlineStr">
        <is>
          <t>Electronics</t>
        </is>
      </c>
      <c r="G4054" s="2" t="inlineStr">
        <is>
          <t>South</t>
        </is>
      </c>
      <c r="H4054" s="2" t="inlineStr">
        <is>
          <t>Tamil Nadu</t>
        </is>
      </c>
      <c r="I4054" s="2" t="inlineStr">
        <is>
          <t>Coimbatore</t>
        </is>
      </c>
      <c r="J4054" s="2" t="inlineStr">
        <is>
          <t>Online</t>
        </is>
      </c>
      <c r="K4054" s="2" t="n">
        <v>1</v>
      </c>
      <c r="L4054" s="3" t="n">
        <v>1014.26</v>
      </c>
      <c r="M4054" s="4" t="n">
        <v>0.1</v>
      </c>
      <c r="N4054" s="3" t="n">
        <v>611.04</v>
      </c>
      <c r="O4054" s="3">
        <f>K4054*L4054*(1-M4054)</f>
        <v/>
      </c>
      <c r="P4054" s="3">
        <f>O4054-N4054</f>
        <v/>
      </c>
      <c r="Q4054" s="5">
        <f>IFERROR(P4054/O4054,0)</f>
        <v/>
      </c>
      <c r="R4054" s="2">
        <f>TEXT(DATEVALUE(B4054),"mmm")</f>
        <v/>
      </c>
      <c r="S4054" s="2">
        <f>TEXT(DATEVALUE(B4054),"yyyy-mm")</f>
        <v/>
      </c>
    </row>
    <row r="4055">
      <c r="A4055" s="2" t="inlineStr">
        <is>
          <t>O004417</t>
        </is>
      </c>
      <c r="B4055" s="2" t="inlineStr">
        <is>
          <t>2025-10-23</t>
        </is>
      </c>
      <c r="C4055" s="2" t="inlineStr">
        <is>
          <t>C0550</t>
        </is>
      </c>
      <c r="D4055" s="2" t="inlineStr">
        <is>
          <t>P0032</t>
        </is>
      </c>
      <c r="E4055" s="2" t="inlineStr">
        <is>
          <t>Football</t>
        </is>
      </c>
      <c r="F4055" s="2" t="inlineStr">
        <is>
          <t>Sports</t>
        </is>
      </c>
      <c r="G4055" s="2" t="inlineStr">
        <is>
          <t>West</t>
        </is>
      </c>
      <c r="H4055" s="2" t="inlineStr">
        <is>
          <t>Maharashtra</t>
        </is>
      </c>
      <c r="I4055" s="2" t="inlineStr">
        <is>
          <t>Thane</t>
        </is>
      </c>
      <c r="J4055" s="2" t="inlineStr">
        <is>
          <t>Store</t>
        </is>
      </c>
      <c r="K4055" s="2" t="n">
        <v>2</v>
      </c>
      <c r="L4055" s="3" t="n">
        <v>846.87</v>
      </c>
      <c r="M4055" s="4" t="n">
        <v>0.2</v>
      </c>
      <c r="N4055" s="3" t="n">
        <v>1044.01</v>
      </c>
      <c r="O4055" s="3">
        <f>K4055*L4055*(1-M4055)</f>
        <v/>
      </c>
      <c r="P4055" s="3">
        <f>O4055-N4055</f>
        <v/>
      </c>
      <c r="Q4055" s="5">
        <f>IFERROR(P4055/O4055,0)</f>
        <v/>
      </c>
      <c r="R4055" s="2">
        <f>TEXT(DATEVALUE(B4055),"mmm")</f>
        <v/>
      </c>
      <c r="S4055" s="2">
        <f>TEXT(DATEVALUE(B4055),"yyyy-mm")</f>
        <v/>
      </c>
    </row>
    <row r="4056">
      <c r="A4056" s="2" t="inlineStr">
        <is>
          <t>O003335</t>
        </is>
      </c>
      <c r="B4056" s="2" t="inlineStr">
        <is>
          <t>2025-10-23</t>
        </is>
      </c>
      <c r="C4056" s="2" t="inlineStr">
        <is>
          <t>C0189</t>
        </is>
      </c>
      <c r="D4056" s="2" t="inlineStr">
        <is>
          <t>P0007</t>
        </is>
      </c>
      <c r="E4056" s="2" t="inlineStr">
        <is>
          <t>Wireless Mouse</t>
        </is>
      </c>
      <c r="F4056" s="2" t="inlineStr">
        <is>
          <t>Electronics</t>
        </is>
      </c>
      <c r="G4056" s="2" t="inlineStr">
        <is>
          <t>West</t>
        </is>
      </c>
      <c r="H4056" s="2" t="inlineStr">
        <is>
          <t>Maharashtra</t>
        </is>
      </c>
      <c r="I4056" s="2" t="inlineStr">
        <is>
          <t>Thane</t>
        </is>
      </c>
      <c r="J4056" s="2" t="inlineStr">
        <is>
          <t>Online</t>
        </is>
      </c>
      <c r="K4056" s="2" t="n">
        <v>1</v>
      </c>
      <c r="L4056" s="3" t="n">
        <v>1001.77</v>
      </c>
      <c r="M4056" s="4" t="n">
        <v>0.2</v>
      </c>
      <c r="N4056" s="3" t="n">
        <v>630.39</v>
      </c>
      <c r="O4056" s="3">
        <f>K4056*L4056*(1-M4056)</f>
        <v/>
      </c>
      <c r="P4056" s="3">
        <f>O4056-N4056</f>
        <v/>
      </c>
      <c r="Q4056" s="5">
        <f>IFERROR(P4056/O4056,0)</f>
        <v/>
      </c>
      <c r="R4056" s="2">
        <f>TEXT(DATEVALUE(B4056),"mmm")</f>
        <v/>
      </c>
      <c r="S4056" s="2">
        <f>TEXT(DATEVALUE(B4056),"yyyy-mm")</f>
        <v/>
      </c>
    </row>
    <row r="4057">
      <c r="A4057" s="2" t="inlineStr">
        <is>
          <t>O001379</t>
        </is>
      </c>
      <c r="B4057" s="2" t="inlineStr">
        <is>
          <t>2025-10-23</t>
        </is>
      </c>
      <c r="C4057" s="2" t="inlineStr">
        <is>
          <t>C0377</t>
        </is>
      </c>
      <c r="D4057" s="2" t="inlineStr">
        <is>
          <t>P0031</t>
        </is>
      </c>
      <c r="E4057" s="2" t="inlineStr">
        <is>
          <t>Cricket Bat</t>
        </is>
      </c>
      <c r="F4057" s="2" t="inlineStr">
        <is>
          <t>Sports</t>
        </is>
      </c>
      <c r="G4057" s="2" t="inlineStr">
        <is>
          <t>South</t>
        </is>
      </c>
      <c r="H4057" s="2" t="inlineStr">
        <is>
          <t>Karnataka</t>
        </is>
      </c>
      <c r="I4057" s="2" t="inlineStr">
        <is>
          <t>Mysuru</t>
        </is>
      </c>
      <c r="J4057" s="2" t="inlineStr">
        <is>
          <t>Online</t>
        </is>
      </c>
      <c r="K4057" s="2" t="n">
        <v>4</v>
      </c>
      <c r="L4057" s="3" t="n">
        <v>1392.32</v>
      </c>
      <c r="M4057" s="4" t="n">
        <v>0.25</v>
      </c>
      <c r="N4057" s="3" t="n">
        <v>3888.41</v>
      </c>
      <c r="O4057" s="3">
        <f>K4057*L4057*(1-M4057)</f>
        <v/>
      </c>
      <c r="P4057" s="3">
        <f>O4057-N4057</f>
        <v/>
      </c>
      <c r="Q4057" s="5">
        <f>IFERROR(P4057/O4057,0)</f>
        <v/>
      </c>
      <c r="R4057" s="2">
        <f>TEXT(DATEVALUE(B4057),"mmm")</f>
        <v/>
      </c>
      <c r="S4057" s="2">
        <f>TEXT(DATEVALUE(B4057),"yyyy-mm")</f>
        <v/>
      </c>
    </row>
    <row r="4058">
      <c r="A4058" s="2" t="inlineStr">
        <is>
          <t>O000081</t>
        </is>
      </c>
      <c r="B4058" s="2" t="inlineStr">
        <is>
          <t>2025-10-23</t>
        </is>
      </c>
      <c r="C4058" s="2" t="inlineStr">
        <is>
          <t>C0475</t>
        </is>
      </c>
      <c r="D4058" s="2" t="inlineStr">
        <is>
          <t>P0004</t>
        </is>
      </c>
      <c r="E4058" s="2" t="inlineStr">
        <is>
          <t>USB-C Hub</t>
        </is>
      </c>
      <c r="F4058" s="2" t="inlineStr">
        <is>
          <t>Electronics</t>
        </is>
      </c>
      <c r="G4058" s="2" t="inlineStr">
        <is>
          <t>North</t>
        </is>
      </c>
      <c r="H4058" s="2" t="inlineStr">
        <is>
          <t>Haryana</t>
        </is>
      </c>
      <c r="I4058" s="2" t="inlineStr">
        <is>
          <t>Gurugram</t>
        </is>
      </c>
      <c r="J4058" s="2" t="inlineStr">
        <is>
          <t>Store</t>
        </is>
      </c>
      <c r="K4058" s="2" t="n">
        <v>3</v>
      </c>
      <c r="L4058" s="3" t="n">
        <v>1238.95</v>
      </c>
      <c r="M4058" s="4" t="n">
        <v>0.05</v>
      </c>
      <c r="N4058" s="3" t="n">
        <v>2678.69</v>
      </c>
      <c r="O4058" s="3">
        <f>K4058*L4058*(1-M4058)</f>
        <v/>
      </c>
      <c r="P4058" s="3">
        <f>O4058-N4058</f>
        <v/>
      </c>
      <c r="Q4058" s="5">
        <f>IFERROR(P4058/O4058,0)</f>
        <v/>
      </c>
      <c r="R4058" s="2">
        <f>TEXT(DATEVALUE(B4058),"mmm")</f>
        <v/>
      </c>
      <c r="S4058" s="2">
        <f>TEXT(DATEVALUE(B4058),"yyyy-mm")</f>
        <v/>
      </c>
    </row>
    <row r="4059">
      <c r="A4059" s="2" t="inlineStr">
        <is>
          <t>O001030</t>
        </is>
      </c>
      <c r="B4059" s="2" t="inlineStr">
        <is>
          <t>2025-10-23</t>
        </is>
      </c>
      <c r="C4059" s="2" t="inlineStr">
        <is>
          <t>C0457</t>
        </is>
      </c>
      <c r="D4059" s="2" t="inlineStr">
        <is>
          <t>P0030</t>
        </is>
      </c>
      <c r="E4059" s="2" t="inlineStr">
        <is>
          <t>Dumbbells</t>
        </is>
      </c>
      <c r="F4059" s="2" t="inlineStr">
        <is>
          <t>Sports</t>
        </is>
      </c>
      <c r="G4059" s="2" t="inlineStr">
        <is>
          <t>South</t>
        </is>
      </c>
      <c r="H4059" s="2" t="inlineStr">
        <is>
          <t>Kerala</t>
        </is>
      </c>
      <c r="I4059" s="2" t="inlineStr">
        <is>
          <t>Thiruvananthapuram</t>
        </is>
      </c>
      <c r="J4059" s="2" t="inlineStr">
        <is>
          <t>Online</t>
        </is>
      </c>
      <c r="K4059" s="2" t="n">
        <v>4</v>
      </c>
      <c r="L4059" s="3" t="n">
        <v>1521.26</v>
      </c>
      <c r="M4059" s="4" t="n">
        <v>0.05</v>
      </c>
      <c r="N4059" s="3" t="n">
        <v>4222.31</v>
      </c>
      <c r="O4059" s="3">
        <f>K4059*L4059*(1-M4059)</f>
        <v/>
      </c>
      <c r="P4059" s="3">
        <f>O4059-N4059</f>
        <v/>
      </c>
      <c r="Q4059" s="5">
        <f>IFERROR(P4059/O4059,0)</f>
        <v/>
      </c>
      <c r="R4059" s="2">
        <f>TEXT(DATEVALUE(B4059),"mmm")</f>
        <v/>
      </c>
      <c r="S4059" s="2">
        <f>TEXT(DATEVALUE(B4059),"yyyy-mm")</f>
        <v/>
      </c>
    </row>
    <row r="4060">
      <c r="A4060" s="2" t="inlineStr">
        <is>
          <t>O001408</t>
        </is>
      </c>
      <c r="B4060" s="2" t="inlineStr">
        <is>
          <t>2025-10-23</t>
        </is>
      </c>
      <c r="C4060" s="2" t="inlineStr">
        <is>
          <t>C0705</t>
        </is>
      </c>
      <c r="D4060" s="2" t="inlineStr">
        <is>
          <t>P0004</t>
        </is>
      </c>
      <c r="E4060" s="2" t="inlineStr">
        <is>
          <t>USB-C Hub</t>
        </is>
      </c>
      <c r="F4060" s="2" t="inlineStr">
        <is>
          <t>Electronics</t>
        </is>
      </c>
      <c r="G4060" s="2" t="inlineStr">
        <is>
          <t>North</t>
        </is>
      </c>
      <c r="H4060" s="2" t="inlineStr">
        <is>
          <t>Uttar Pradesh</t>
        </is>
      </c>
      <c r="I4060" s="2" t="inlineStr">
        <is>
          <t>Lucknow</t>
        </is>
      </c>
      <c r="J4060" s="2" t="inlineStr">
        <is>
          <t>Online</t>
        </is>
      </c>
      <c r="K4060" s="2" t="n">
        <v>4</v>
      </c>
      <c r="L4060" s="3" t="n">
        <v>1211.03</v>
      </c>
      <c r="M4060" s="4" t="n">
        <v>0.15</v>
      </c>
      <c r="N4060" s="3" t="n">
        <v>3580.28</v>
      </c>
      <c r="O4060" s="3">
        <f>K4060*L4060*(1-M4060)</f>
        <v/>
      </c>
      <c r="P4060" s="3">
        <f>O4060-N4060</f>
        <v/>
      </c>
      <c r="Q4060" s="5">
        <f>IFERROR(P4060/O4060,0)</f>
        <v/>
      </c>
      <c r="R4060" s="2">
        <f>TEXT(DATEVALUE(B4060),"mmm")</f>
        <v/>
      </c>
      <c r="S4060" s="2">
        <f>TEXT(DATEVALUE(B4060),"yyyy-mm")</f>
        <v/>
      </c>
    </row>
    <row r="4061">
      <c r="A4061" s="2" t="inlineStr">
        <is>
          <t>O001154</t>
        </is>
      </c>
      <c r="B4061" s="2" t="inlineStr">
        <is>
          <t>2025-10-23</t>
        </is>
      </c>
      <c r="C4061" s="2" t="inlineStr">
        <is>
          <t>C0115</t>
        </is>
      </c>
      <c r="D4061" s="2" t="inlineStr">
        <is>
          <t>P0021</t>
        </is>
      </c>
      <c r="E4061" s="2" t="inlineStr">
        <is>
          <t>Wallet</t>
        </is>
      </c>
      <c r="F4061" s="2" t="inlineStr">
        <is>
          <t>Fashion</t>
        </is>
      </c>
      <c r="G4061" s="2" t="inlineStr">
        <is>
          <t>East</t>
        </is>
      </c>
      <c r="H4061" s="2" t="inlineStr">
        <is>
          <t>Bihar</t>
        </is>
      </c>
      <c r="I4061" s="2" t="inlineStr">
        <is>
          <t>Gaya</t>
        </is>
      </c>
      <c r="J4061" s="2" t="inlineStr">
        <is>
          <t>Online</t>
        </is>
      </c>
      <c r="K4061" s="2" t="n">
        <v>3</v>
      </c>
      <c r="L4061" s="3" t="n">
        <v>1937.02</v>
      </c>
      <c r="M4061" s="4" t="n">
        <v>0</v>
      </c>
      <c r="N4061" s="3" t="n">
        <v>3603.99</v>
      </c>
      <c r="O4061" s="3">
        <f>K4061*L4061*(1-M4061)</f>
        <v/>
      </c>
      <c r="P4061" s="3">
        <f>O4061-N4061</f>
        <v/>
      </c>
      <c r="Q4061" s="5">
        <f>IFERROR(P4061/O4061,0)</f>
        <v/>
      </c>
      <c r="R4061" s="2">
        <f>TEXT(DATEVALUE(B4061),"mmm")</f>
        <v/>
      </c>
      <c r="S4061" s="2">
        <f>TEXT(DATEVALUE(B4061),"yyyy-mm")</f>
        <v/>
      </c>
    </row>
    <row r="4062">
      <c r="A4062" s="2" t="inlineStr">
        <is>
          <t>O001054</t>
        </is>
      </c>
      <c r="B4062" s="2" t="inlineStr">
        <is>
          <t>2025-10-23</t>
        </is>
      </c>
      <c r="C4062" s="2" t="inlineStr">
        <is>
          <t>C0325</t>
        </is>
      </c>
      <c r="D4062" s="2" t="inlineStr">
        <is>
          <t>P0035</t>
        </is>
      </c>
      <c r="E4062" s="2" t="inlineStr">
        <is>
          <t>Skipping Rope</t>
        </is>
      </c>
      <c r="F4062" s="2" t="inlineStr">
        <is>
          <t>Sports</t>
        </is>
      </c>
      <c r="G4062" s="2" t="inlineStr">
        <is>
          <t>South</t>
        </is>
      </c>
      <c r="H4062" s="2" t="inlineStr">
        <is>
          <t>Tamil Nadu</t>
        </is>
      </c>
      <c r="I4062" s="2" t="inlineStr">
        <is>
          <t>Coimbatore</t>
        </is>
      </c>
      <c r="J4062" s="2" t="inlineStr">
        <is>
          <t>Online</t>
        </is>
      </c>
      <c r="K4062" s="2" t="n">
        <v>2</v>
      </c>
      <c r="L4062" s="3" t="n">
        <v>726.65</v>
      </c>
      <c r="M4062" s="4" t="n">
        <v>0.1</v>
      </c>
      <c r="N4062" s="3" t="n">
        <v>797.97</v>
      </c>
      <c r="O4062" s="3">
        <f>K4062*L4062*(1-M4062)</f>
        <v/>
      </c>
      <c r="P4062" s="3">
        <f>O4062-N4062</f>
        <v/>
      </c>
      <c r="Q4062" s="5">
        <f>IFERROR(P4062/O4062,0)</f>
        <v/>
      </c>
      <c r="R4062" s="2">
        <f>TEXT(DATEVALUE(B4062),"mmm")</f>
        <v/>
      </c>
      <c r="S4062" s="2">
        <f>TEXT(DATEVALUE(B4062),"yyyy-mm")</f>
        <v/>
      </c>
    </row>
    <row r="4063">
      <c r="A4063" s="2" t="inlineStr">
        <is>
          <t>O001155</t>
        </is>
      </c>
      <c r="B4063" s="2" t="inlineStr">
        <is>
          <t>2025-10-24</t>
        </is>
      </c>
      <c r="C4063" s="2" t="inlineStr">
        <is>
          <t>C0660</t>
        </is>
      </c>
      <c r="D4063" s="2" t="inlineStr">
        <is>
          <t>P0005</t>
        </is>
      </c>
      <c r="E4063" s="2" t="inlineStr">
        <is>
          <t>Power Bank</t>
        </is>
      </c>
      <c r="F4063" s="2" t="inlineStr">
        <is>
          <t>Electronics</t>
        </is>
      </c>
      <c r="G4063" s="2" t="inlineStr">
        <is>
          <t>South</t>
        </is>
      </c>
      <c r="H4063" s="2" t="inlineStr">
        <is>
          <t>Karnataka</t>
        </is>
      </c>
      <c r="I4063" s="2" t="inlineStr">
        <is>
          <t>Mysuru</t>
        </is>
      </c>
      <c r="J4063" s="2" t="inlineStr">
        <is>
          <t>Store</t>
        </is>
      </c>
      <c r="K4063" s="2" t="n">
        <v>1</v>
      </c>
      <c r="L4063" s="3" t="n">
        <v>1168.81</v>
      </c>
      <c r="M4063" s="4" t="n">
        <v>0.05</v>
      </c>
      <c r="N4063" s="3" t="n">
        <v>659.52</v>
      </c>
      <c r="O4063" s="3">
        <f>K4063*L4063*(1-M4063)</f>
        <v/>
      </c>
      <c r="P4063" s="3">
        <f>O4063-N4063</f>
        <v/>
      </c>
      <c r="Q4063" s="5">
        <f>IFERROR(P4063/O4063,0)</f>
        <v/>
      </c>
      <c r="R4063" s="2">
        <f>TEXT(DATEVALUE(B4063),"mmm")</f>
        <v/>
      </c>
      <c r="S4063" s="2">
        <f>TEXT(DATEVALUE(B4063),"yyyy-mm")</f>
        <v/>
      </c>
    </row>
    <row r="4064">
      <c r="A4064" s="2" t="inlineStr">
        <is>
          <t>O001867</t>
        </is>
      </c>
      <c r="B4064" s="2" t="inlineStr">
        <is>
          <t>2025-10-24</t>
        </is>
      </c>
      <c r="C4064" s="2" t="inlineStr">
        <is>
          <t>C0794</t>
        </is>
      </c>
      <c r="D4064" s="2" t="inlineStr">
        <is>
          <t>P0028</t>
        </is>
      </c>
      <c r="E4064" s="2" t="inlineStr">
        <is>
          <t>Trimmer</t>
        </is>
      </c>
      <c r="F4064" s="2" t="inlineStr">
        <is>
          <t>Beauty</t>
        </is>
      </c>
      <c r="G4064" s="2" t="inlineStr">
        <is>
          <t>West</t>
        </is>
      </c>
      <c r="H4064" s="2" t="inlineStr">
        <is>
          <t>Goa</t>
        </is>
      </c>
      <c r="I4064" s="2" t="inlineStr">
        <is>
          <t>Panaji</t>
        </is>
      </c>
      <c r="J4064" s="2" t="inlineStr">
        <is>
          <t>Online</t>
        </is>
      </c>
      <c r="K4064" s="2" t="n">
        <v>3</v>
      </c>
      <c r="L4064" s="3" t="n">
        <v>466.64</v>
      </c>
      <c r="M4064" s="4" t="n">
        <v>0.2</v>
      </c>
      <c r="N4064" s="3" t="n">
        <v>756.84</v>
      </c>
      <c r="O4064" s="3">
        <f>K4064*L4064*(1-M4064)</f>
        <v/>
      </c>
      <c r="P4064" s="3">
        <f>O4064-N4064</f>
        <v/>
      </c>
      <c r="Q4064" s="5">
        <f>IFERROR(P4064/O4064,0)</f>
        <v/>
      </c>
      <c r="R4064" s="2">
        <f>TEXT(DATEVALUE(B4064),"mmm")</f>
        <v/>
      </c>
      <c r="S4064" s="2">
        <f>TEXT(DATEVALUE(B4064),"yyyy-mm")</f>
        <v/>
      </c>
    </row>
    <row r="4065">
      <c r="A4065" s="2" t="inlineStr">
        <is>
          <t>O002824</t>
        </is>
      </c>
      <c r="B4065" s="2" t="inlineStr">
        <is>
          <t>2025-10-24</t>
        </is>
      </c>
      <c r="C4065" s="2" t="inlineStr">
        <is>
          <t>C0066</t>
        </is>
      </c>
      <c r="D4065" s="2" t="inlineStr">
        <is>
          <t>P0024</t>
        </is>
      </c>
      <c r="E4065" s="2" t="inlineStr">
        <is>
          <t>Hair Dryer</t>
        </is>
      </c>
      <c r="F4065" s="2" t="inlineStr">
        <is>
          <t>Beauty</t>
        </is>
      </c>
      <c r="G4065" s="2" t="inlineStr">
        <is>
          <t>East</t>
        </is>
      </c>
      <c r="H4065" s="2" t="inlineStr">
        <is>
          <t>West Bengal</t>
        </is>
      </c>
      <c r="I4065" s="2" t="inlineStr">
        <is>
          <t>Kolkata</t>
        </is>
      </c>
      <c r="J4065" s="2" t="inlineStr">
        <is>
          <t>Online</t>
        </is>
      </c>
      <c r="K4065" s="2" t="n">
        <v>4</v>
      </c>
      <c r="L4065" s="3" t="n">
        <v>1008.59</v>
      </c>
      <c r="M4065" s="4" t="n">
        <v>0.05</v>
      </c>
      <c r="N4065" s="3" t="n">
        <v>3010.47</v>
      </c>
      <c r="O4065" s="3">
        <f>K4065*L4065*(1-M4065)</f>
        <v/>
      </c>
      <c r="P4065" s="3">
        <f>O4065-N4065</f>
        <v/>
      </c>
      <c r="Q4065" s="5">
        <f>IFERROR(P4065/O4065,0)</f>
        <v/>
      </c>
      <c r="R4065" s="2">
        <f>TEXT(DATEVALUE(B4065),"mmm")</f>
        <v/>
      </c>
      <c r="S4065" s="2">
        <f>TEXT(DATEVALUE(B4065),"yyyy-mm")</f>
        <v/>
      </c>
    </row>
    <row r="4066">
      <c r="A4066" s="2" t="inlineStr">
        <is>
          <t>O002968</t>
        </is>
      </c>
      <c r="B4066" s="2" t="inlineStr">
        <is>
          <t>2025-10-24</t>
        </is>
      </c>
      <c r="C4066" s="2" t="inlineStr">
        <is>
          <t>C0582</t>
        </is>
      </c>
      <c r="D4066" s="2" t="inlineStr">
        <is>
          <t>P0002</t>
        </is>
      </c>
      <c r="E4066" s="2" t="inlineStr">
        <is>
          <t>Bluetooth Speaker</t>
        </is>
      </c>
      <c r="F4066" s="2" t="inlineStr">
        <is>
          <t>Electronics</t>
        </is>
      </c>
      <c r="G4066" s="2" t="inlineStr">
        <is>
          <t>East</t>
        </is>
      </c>
      <c r="H4066" s="2" t="inlineStr">
        <is>
          <t>Bihar</t>
        </is>
      </c>
      <c r="I4066" s="2" t="inlineStr">
        <is>
          <t>Patna</t>
        </is>
      </c>
      <c r="J4066" s="2" t="inlineStr">
        <is>
          <t>Online</t>
        </is>
      </c>
      <c r="K4066" s="2" t="n">
        <v>1</v>
      </c>
      <c r="L4066" s="3" t="n">
        <v>1419.98</v>
      </c>
      <c r="M4066" s="4" t="n">
        <v>0</v>
      </c>
      <c r="N4066" s="3" t="n">
        <v>849.12</v>
      </c>
      <c r="O4066" s="3">
        <f>K4066*L4066*(1-M4066)</f>
        <v/>
      </c>
      <c r="P4066" s="3">
        <f>O4066-N4066</f>
        <v/>
      </c>
      <c r="Q4066" s="5">
        <f>IFERROR(P4066/O4066,0)</f>
        <v/>
      </c>
      <c r="R4066" s="2">
        <f>TEXT(DATEVALUE(B4066),"mmm")</f>
        <v/>
      </c>
      <c r="S4066" s="2">
        <f>TEXT(DATEVALUE(B4066),"yyyy-mm")</f>
        <v/>
      </c>
    </row>
    <row r="4067">
      <c r="A4067" s="2" t="inlineStr">
        <is>
          <t>O000256</t>
        </is>
      </c>
      <c r="B4067" s="2" t="inlineStr">
        <is>
          <t>2025-10-25</t>
        </is>
      </c>
      <c r="C4067" s="2" t="inlineStr">
        <is>
          <t>C0764</t>
        </is>
      </c>
      <c r="D4067" s="2" t="inlineStr">
        <is>
          <t>P0012</t>
        </is>
      </c>
      <c r="E4067" s="2" t="inlineStr">
        <is>
          <t>Water Bottle</t>
        </is>
      </c>
      <c r="F4067" s="2" t="inlineStr">
        <is>
          <t>Home &amp; Kitchen</t>
        </is>
      </c>
      <c r="G4067" s="2" t="inlineStr">
        <is>
          <t>East</t>
        </is>
      </c>
      <c r="H4067" s="2" t="inlineStr">
        <is>
          <t>Odisha</t>
        </is>
      </c>
      <c r="I4067" s="2" t="inlineStr">
        <is>
          <t>Cuttack</t>
        </is>
      </c>
      <c r="J4067" s="2" t="inlineStr">
        <is>
          <t>Online</t>
        </is>
      </c>
      <c r="K4067" s="2" t="n">
        <v>1</v>
      </c>
      <c r="L4067" s="3" t="n">
        <v>957.41</v>
      </c>
      <c r="M4067" s="4" t="n">
        <v>0.15</v>
      </c>
      <c r="N4067" s="3" t="n">
        <v>622.6</v>
      </c>
      <c r="O4067" s="3">
        <f>K4067*L4067*(1-M4067)</f>
        <v/>
      </c>
      <c r="P4067" s="3">
        <f>O4067-N4067</f>
        <v/>
      </c>
      <c r="Q4067" s="5">
        <f>IFERROR(P4067/O4067,0)</f>
        <v/>
      </c>
      <c r="R4067" s="2">
        <f>TEXT(DATEVALUE(B4067),"mmm")</f>
        <v/>
      </c>
      <c r="S4067" s="2">
        <f>TEXT(DATEVALUE(B4067),"yyyy-mm")</f>
        <v/>
      </c>
    </row>
    <row r="4068">
      <c r="A4068" s="2" t="inlineStr">
        <is>
          <t>O001946</t>
        </is>
      </c>
      <c r="B4068" s="2" t="inlineStr">
        <is>
          <t>2025-10-25</t>
        </is>
      </c>
      <c r="C4068" s="2" t="inlineStr">
        <is>
          <t>C0478</t>
        </is>
      </c>
      <c r="D4068" s="2" t="inlineStr">
        <is>
          <t>P0016</t>
        </is>
      </c>
      <c r="E4068" s="2" t="inlineStr">
        <is>
          <t>Casual Shirt</t>
        </is>
      </c>
      <c r="F4068" s="2" t="inlineStr">
        <is>
          <t>Fashion</t>
        </is>
      </c>
      <c r="G4068" s="2" t="inlineStr">
        <is>
          <t>South</t>
        </is>
      </c>
      <c r="H4068" s="2" t="inlineStr">
        <is>
          <t>Telangana</t>
        </is>
      </c>
      <c r="I4068" s="2" t="inlineStr">
        <is>
          <t>Warangal</t>
        </is>
      </c>
      <c r="J4068" s="2" t="inlineStr">
        <is>
          <t>Online</t>
        </is>
      </c>
      <c r="K4068" s="2" t="n">
        <v>1</v>
      </c>
      <c r="L4068" s="3" t="n">
        <v>1240.67</v>
      </c>
      <c r="M4068" s="4" t="n">
        <v>0</v>
      </c>
      <c r="N4068" s="3" t="n">
        <v>887.53</v>
      </c>
      <c r="O4068" s="3">
        <f>K4068*L4068*(1-M4068)</f>
        <v/>
      </c>
      <c r="P4068" s="3">
        <f>O4068-N4068</f>
        <v/>
      </c>
      <c r="Q4068" s="5">
        <f>IFERROR(P4068/O4068,0)</f>
        <v/>
      </c>
      <c r="R4068" s="2">
        <f>TEXT(DATEVALUE(B4068),"mmm")</f>
        <v/>
      </c>
      <c r="S4068" s="2">
        <f>TEXT(DATEVALUE(B4068),"yyyy-mm")</f>
        <v/>
      </c>
    </row>
    <row r="4069">
      <c r="A4069" s="2" t="inlineStr">
        <is>
          <t>O002189</t>
        </is>
      </c>
      <c r="B4069" s="2" t="inlineStr">
        <is>
          <t>2025-10-25</t>
        </is>
      </c>
      <c r="C4069" s="2" t="inlineStr">
        <is>
          <t>C0197</t>
        </is>
      </c>
      <c r="D4069" s="2" t="inlineStr">
        <is>
          <t>P0024</t>
        </is>
      </c>
      <c r="E4069" s="2" t="inlineStr">
        <is>
          <t>Hair Dryer</t>
        </is>
      </c>
      <c r="F4069" s="2" t="inlineStr">
        <is>
          <t>Beauty</t>
        </is>
      </c>
      <c r="G4069" s="2" t="inlineStr">
        <is>
          <t>North</t>
        </is>
      </c>
      <c r="H4069" s="2" t="inlineStr">
        <is>
          <t>Haryana</t>
        </is>
      </c>
      <c r="I4069" s="2" t="inlineStr">
        <is>
          <t>Gurugram</t>
        </is>
      </c>
      <c r="J4069" s="2" t="inlineStr">
        <is>
          <t>Online</t>
        </is>
      </c>
      <c r="K4069" s="2" t="n">
        <v>2</v>
      </c>
      <c r="L4069" s="3" t="n">
        <v>970.1799999999999</v>
      </c>
      <c r="M4069" s="4" t="n">
        <v>0.1</v>
      </c>
      <c r="N4069" s="3" t="n">
        <v>1445.49</v>
      </c>
      <c r="O4069" s="3">
        <f>K4069*L4069*(1-M4069)</f>
        <v/>
      </c>
      <c r="P4069" s="3">
        <f>O4069-N4069</f>
        <v/>
      </c>
      <c r="Q4069" s="5">
        <f>IFERROR(P4069/O4069,0)</f>
        <v/>
      </c>
      <c r="R4069" s="2">
        <f>TEXT(DATEVALUE(B4069),"mmm")</f>
        <v/>
      </c>
      <c r="S4069" s="2">
        <f>TEXT(DATEVALUE(B4069),"yyyy-mm")</f>
        <v/>
      </c>
    </row>
    <row r="4070">
      <c r="A4070" s="2" t="inlineStr">
        <is>
          <t>O003554</t>
        </is>
      </c>
      <c r="B4070" s="2" t="inlineStr">
        <is>
          <t>2025-10-25</t>
        </is>
      </c>
      <c r="C4070" s="2" t="inlineStr">
        <is>
          <t>C0279</t>
        </is>
      </c>
      <c r="D4070" s="2" t="inlineStr">
        <is>
          <t>P0032</t>
        </is>
      </c>
      <c r="E4070" s="2" t="inlineStr">
        <is>
          <t>Football</t>
        </is>
      </c>
      <c r="F4070" s="2" t="inlineStr">
        <is>
          <t>Sports</t>
        </is>
      </c>
      <c r="G4070" s="2" t="inlineStr">
        <is>
          <t>South</t>
        </is>
      </c>
      <c r="H4070" s="2" t="inlineStr">
        <is>
          <t>Karnataka</t>
        </is>
      </c>
      <c r="I4070" s="2" t="inlineStr">
        <is>
          <t>Bengaluru</t>
        </is>
      </c>
      <c r="J4070" s="2" t="inlineStr">
        <is>
          <t>Store</t>
        </is>
      </c>
      <c r="K4070" s="2" t="n">
        <v>1</v>
      </c>
      <c r="L4070" s="3" t="n">
        <v>849.37</v>
      </c>
      <c r="M4070" s="4" t="n">
        <v>0.05</v>
      </c>
      <c r="N4070" s="3" t="n">
        <v>547.3</v>
      </c>
      <c r="O4070" s="3">
        <f>K4070*L4070*(1-M4070)</f>
        <v/>
      </c>
      <c r="P4070" s="3">
        <f>O4070-N4070</f>
        <v/>
      </c>
      <c r="Q4070" s="5">
        <f>IFERROR(P4070/O4070,0)</f>
        <v/>
      </c>
      <c r="R4070" s="2">
        <f>TEXT(DATEVALUE(B4070),"mmm")</f>
        <v/>
      </c>
      <c r="S4070" s="2">
        <f>TEXT(DATEVALUE(B4070),"yyyy-mm")</f>
        <v/>
      </c>
    </row>
    <row r="4071">
      <c r="A4071" s="2" t="inlineStr">
        <is>
          <t>O003736</t>
        </is>
      </c>
      <c r="B4071" s="2" t="inlineStr">
        <is>
          <t>2025-10-25</t>
        </is>
      </c>
      <c r="C4071" s="2" t="inlineStr">
        <is>
          <t>C0736</t>
        </is>
      </c>
      <c r="D4071" s="2" t="inlineStr">
        <is>
          <t>P0007</t>
        </is>
      </c>
      <c r="E4071" s="2" t="inlineStr">
        <is>
          <t>Wireless Mouse</t>
        </is>
      </c>
      <c r="F4071" s="2" t="inlineStr">
        <is>
          <t>Electronics</t>
        </is>
      </c>
      <c r="G4071" s="2" t="inlineStr">
        <is>
          <t>South</t>
        </is>
      </c>
      <c r="H4071" s="2" t="inlineStr">
        <is>
          <t>Telangana</t>
        </is>
      </c>
      <c r="I4071" s="2" t="inlineStr">
        <is>
          <t>Hyderabad</t>
        </is>
      </c>
      <c r="J4071" s="2" t="inlineStr">
        <is>
          <t>Online</t>
        </is>
      </c>
      <c r="K4071" s="2" t="n">
        <v>3</v>
      </c>
      <c r="L4071" s="3" t="n">
        <v>995.6</v>
      </c>
      <c r="M4071" s="4" t="n">
        <v>0.05</v>
      </c>
      <c r="N4071" s="3" t="n">
        <v>1841.9</v>
      </c>
      <c r="O4071" s="3">
        <f>K4071*L4071*(1-M4071)</f>
        <v/>
      </c>
      <c r="P4071" s="3">
        <f>O4071-N4071</f>
        <v/>
      </c>
      <c r="Q4071" s="5">
        <f>IFERROR(P4071/O4071,0)</f>
        <v/>
      </c>
      <c r="R4071" s="2">
        <f>TEXT(DATEVALUE(B4071),"mmm")</f>
        <v/>
      </c>
      <c r="S4071" s="2">
        <f>TEXT(DATEVALUE(B4071),"yyyy-mm")</f>
        <v/>
      </c>
    </row>
    <row r="4072">
      <c r="A4072" s="2" t="inlineStr">
        <is>
          <t>O004974</t>
        </is>
      </c>
      <c r="B4072" s="2" t="inlineStr">
        <is>
          <t>2025-10-25</t>
        </is>
      </c>
      <c r="C4072" s="2" t="inlineStr">
        <is>
          <t>C0217</t>
        </is>
      </c>
      <c r="D4072" s="2" t="inlineStr">
        <is>
          <t>P0006</t>
        </is>
      </c>
      <c r="E4072" s="2" t="inlineStr">
        <is>
          <t>Mechanical Keyboard</t>
        </is>
      </c>
      <c r="F4072" s="2" t="inlineStr">
        <is>
          <t>Electronics</t>
        </is>
      </c>
      <c r="G4072" s="2" t="inlineStr">
        <is>
          <t>West</t>
        </is>
      </c>
      <c r="H4072" s="2" t="inlineStr">
        <is>
          <t>Gujarat</t>
        </is>
      </c>
      <c r="I4072" s="2" t="inlineStr">
        <is>
          <t>Surat</t>
        </is>
      </c>
      <c r="J4072" s="2" t="inlineStr">
        <is>
          <t>Online</t>
        </is>
      </c>
      <c r="K4072" s="2" t="n">
        <v>2</v>
      </c>
      <c r="L4072" s="3" t="n">
        <v>2609.42</v>
      </c>
      <c r="M4072" s="4" t="n">
        <v>0</v>
      </c>
      <c r="N4072" s="3" t="n">
        <v>2892.89</v>
      </c>
      <c r="O4072" s="3">
        <f>K4072*L4072*(1-M4072)</f>
        <v/>
      </c>
      <c r="P4072" s="3">
        <f>O4072-N4072</f>
        <v/>
      </c>
      <c r="Q4072" s="5">
        <f>IFERROR(P4072/O4072,0)</f>
        <v/>
      </c>
      <c r="R4072" s="2">
        <f>TEXT(DATEVALUE(B4072),"mmm")</f>
        <v/>
      </c>
      <c r="S4072" s="2">
        <f>TEXT(DATEVALUE(B4072),"yyyy-mm")</f>
        <v/>
      </c>
    </row>
    <row r="4073">
      <c r="A4073" s="2" t="inlineStr">
        <is>
          <t>O004933</t>
        </is>
      </c>
      <c r="B4073" s="2" t="inlineStr">
        <is>
          <t>2025-10-26</t>
        </is>
      </c>
      <c r="C4073" s="2" t="inlineStr">
        <is>
          <t>C0014</t>
        </is>
      </c>
      <c r="D4073" s="2" t="inlineStr">
        <is>
          <t>P0011</t>
        </is>
      </c>
      <c r="E4073" s="2" t="inlineStr">
        <is>
          <t>Cookware Set</t>
        </is>
      </c>
      <c r="F4073" s="2" t="inlineStr">
        <is>
          <t>Home &amp; Kitchen</t>
        </is>
      </c>
      <c r="G4073" s="2" t="inlineStr">
        <is>
          <t>East</t>
        </is>
      </c>
      <c r="H4073" s="2" t="inlineStr">
        <is>
          <t>Odisha</t>
        </is>
      </c>
      <c r="I4073" s="2" t="inlineStr">
        <is>
          <t>Bhubaneswar</t>
        </is>
      </c>
      <c r="J4073" s="2" t="inlineStr">
        <is>
          <t>Store</t>
        </is>
      </c>
      <c r="K4073" s="2" t="n">
        <v>2</v>
      </c>
      <c r="L4073" s="3" t="n">
        <v>700.8099999999999</v>
      </c>
      <c r="M4073" s="4" t="n">
        <v>0.1</v>
      </c>
      <c r="N4073" s="3" t="n">
        <v>918.65</v>
      </c>
      <c r="O4073" s="3">
        <f>K4073*L4073*(1-M4073)</f>
        <v/>
      </c>
      <c r="P4073" s="3">
        <f>O4073-N4073</f>
        <v/>
      </c>
      <c r="Q4073" s="5">
        <f>IFERROR(P4073/O4073,0)</f>
        <v/>
      </c>
      <c r="R4073" s="2">
        <f>TEXT(DATEVALUE(B4073),"mmm")</f>
        <v/>
      </c>
      <c r="S4073" s="2">
        <f>TEXT(DATEVALUE(B4073),"yyyy-mm")</f>
        <v/>
      </c>
    </row>
    <row r="4074">
      <c r="A4074" s="2" t="inlineStr">
        <is>
          <t>O004415</t>
        </is>
      </c>
      <c r="B4074" s="2" t="inlineStr">
        <is>
          <t>2025-10-26</t>
        </is>
      </c>
      <c r="C4074" s="2" t="inlineStr">
        <is>
          <t>C0480</t>
        </is>
      </c>
      <c r="D4074" s="2" t="inlineStr">
        <is>
          <t>P0021</t>
        </is>
      </c>
      <c r="E4074" s="2" t="inlineStr">
        <is>
          <t>Wallet</t>
        </is>
      </c>
      <c r="F4074" s="2" t="inlineStr">
        <is>
          <t>Fashion</t>
        </is>
      </c>
      <c r="G4074" s="2" t="inlineStr">
        <is>
          <t>South</t>
        </is>
      </c>
      <c r="H4074" s="2" t="inlineStr">
        <is>
          <t>Telangana</t>
        </is>
      </c>
      <c r="I4074" s="2" t="inlineStr">
        <is>
          <t>Hyderabad</t>
        </is>
      </c>
      <c r="J4074" s="2" t="inlineStr">
        <is>
          <t>Store</t>
        </is>
      </c>
      <c r="K4074" s="2" t="n">
        <v>3</v>
      </c>
      <c r="L4074" s="3" t="n">
        <v>1992.94</v>
      </c>
      <c r="M4074" s="4" t="n">
        <v>0</v>
      </c>
      <c r="N4074" s="3" t="n">
        <v>3548.53</v>
      </c>
      <c r="O4074" s="3">
        <f>K4074*L4074*(1-M4074)</f>
        <v/>
      </c>
      <c r="P4074" s="3">
        <f>O4074-N4074</f>
        <v/>
      </c>
      <c r="Q4074" s="5">
        <f>IFERROR(P4074/O4074,0)</f>
        <v/>
      </c>
      <c r="R4074" s="2">
        <f>TEXT(DATEVALUE(B4074),"mmm")</f>
        <v/>
      </c>
      <c r="S4074" s="2">
        <f>TEXT(DATEVALUE(B4074),"yyyy-mm")</f>
        <v/>
      </c>
    </row>
    <row r="4075">
      <c r="A4075" s="2" t="inlineStr">
        <is>
          <t>O004822</t>
        </is>
      </c>
      <c r="B4075" s="2" t="inlineStr">
        <is>
          <t>2025-10-26</t>
        </is>
      </c>
      <c r="C4075" s="2" t="inlineStr">
        <is>
          <t>C0379</t>
        </is>
      </c>
      <c r="D4075" s="2" t="inlineStr">
        <is>
          <t>P0016</t>
        </is>
      </c>
      <c r="E4075" s="2" t="inlineStr">
        <is>
          <t>Casual Shirt</t>
        </is>
      </c>
      <c r="F4075" s="2" t="inlineStr">
        <is>
          <t>Fashion</t>
        </is>
      </c>
      <c r="G4075" s="2" t="inlineStr">
        <is>
          <t>South</t>
        </is>
      </c>
      <c r="H4075" s="2" t="inlineStr">
        <is>
          <t>Telangana</t>
        </is>
      </c>
      <c r="I4075" s="2" t="inlineStr">
        <is>
          <t>Hyderabad</t>
        </is>
      </c>
      <c r="J4075" s="2" t="inlineStr">
        <is>
          <t>Online</t>
        </is>
      </c>
      <c r="K4075" s="2" t="n">
        <v>4</v>
      </c>
      <c r="L4075" s="3" t="n">
        <v>1301.49</v>
      </c>
      <c r="M4075" s="4" t="n">
        <v>0</v>
      </c>
      <c r="N4075" s="3" t="n">
        <v>3579.54</v>
      </c>
      <c r="O4075" s="3">
        <f>K4075*L4075*(1-M4075)</f>
        <v/>
      </c>
      <c r="P4075" s="3">
        <f>O4075-N4075</f>
        <v/>
      </c>
      <c r="Q4075" s="5">
        <f>IFERROR(P4075/O4075,0)</f>
        <v/>
      </c>
      <c r="R4075" s="2">
        <f>TEXT(DATEVALUE(B4075),"mmm")</f>
        <v/>
      </c>
      <c r="S4075" s="2">
        <f>TEXT(DATEVALUE(B4075),"yyyy-mm")</f>
        <v/>
      </c>
    </row>
    <row r="4076">
      <c r="A4076" s="2" t="inlineStr">
        <is>
          <t>O003974</t>
        </is>
      </c>
      <c r="B4076" s="2" t="inlineStr">
        <is>
          <t>2025-10-26</t>
        </is>
      </c>
      <c r="C4076" s="2" t="inlineStr">
        <is>
          <t>C0635</t>
        </is>
      </c>
      <c r="D4076" s="2" t="inlineStr">
        <is>
          <t>P0014</t>
        </is>
      </c>
      <c r="E4076" s="2" t="inlineStr">
        <is>
          <t>Coffee Maker</t>
        </is>
      </c>
      <c r="F4076" s="2" t="inlineStr">
        <is>
          <t>Home &amp; Kitchen</t>
        </is>
      </c>
      <c r="G4076" s="2" t="inlineStr">
        <is>
          <t>South</t>
        </is>
      </c>
      <c r="H4076" s="2" t="inlineStr">
        <is>
          <t>Telangana</t>
        </is>
      </c>
      <c r="I4076" s="2" t="inlineStr">
        <is>
          <t>Warangal</t>
        </is>
      </c>
      <c r="J4076" s="2" t="inlineStr">
        <is>
          <t>Store</t>
        </is>
      </c>
      <c r="K4076" s="2" t="n">
        <v>2</v>
      </c>
      <c r="L4076" s="3" t="n">
        <v>1088.23</v>
      </c>
      <c r="M4076" s="4" t="n">
        <v>0.1</v>
      </c>
      <c r="N4076" s="3" t="n">
        <v>1578.92</v>
      </c>
      <c r="O4076" s="3">
        <f>K4076*L4076*(1-M4076)</f>
        <v/>
      </c>
      <c r="P4076" s="3">
        <f>O4076-N4076</f>
        <v/>
      </c>
      <c r="Q4076" s="5">
        <f>IFERROR(P4076/O4076,0)</f>
        <v/>
      </c>
      <c r="R4076" s="2">
        <f>TEXT(DATEVALUE(B4076),"mmm")</f>
        <v/>
      </c>
      <c r="S4076" s="2">
        <f>TEXT(DATEVALUE(B4076),"yyyy-mm")</f>
        <v/>
      </c>
    </row>
    <row r="4077">
      <c r="A4077" s="2" t="inlineStr">
        <is>
          <t>O001119</t>
        </is>
      </c>
      <c r="B4077" s="2" t="inlineStr">
        <is>
          <t>2025-10-26</t>
        </is>
      </c>
      <c r="C4077" s="2" t="inlineStr">
        <is>
          <t>C0118</t>
        </is>
      </c>
      <c r="D4077" s="2" t="inlineStr">
        <is>
          <t>P0017</t>
        </is>
      </c>
      <c r="E4077" s="2" t="inlineStr">
        <is>
          <t>Jeans</t>
        </is>
      </c>
      <c r="F4077" s="2" t="inlineStr">
        <is>
          <t>Fashion</t>
        </is>
      </c>
      <c r="G4077" s="2" t="inlineStr">
        <is>
          <t>East</t>
        </is>
      </c>
      <c r="H4077" s="2" t="inlineStr">
        <is>
          <t>Odisha</t>
        </is>
      </c>
      <c r="I4077" s="2" t="inlineStr">
        <is>
          <t>Cuttack</t>
        </is>
      </c>
      <c r="J4077" s="2" t="inlineStr">
        <is>
          <t>Online</t>
        </is>
      </c>
      <c r="K4077" s="2" t="n">
        <v>3</v>
      </c>
      <c r="L4077" s="3" t="n">
        <v>1520.16</v>
      </c>
      <c r="M4077" s="4" t="n">
        <v>0.05</v>
      </c>
      <c r="N4077" s="3" t="n">
        <v>3089.82</v>
      </c>
      <c r="O4077" s="3">
        <f>K4077*L4077*(1-M4077)</f>
        <v/>
      </c>
      <c r="P4077" s="3">
        <f>O4077-N4077</f>
        <v/>
      </c>
      <c r="Q4077" s="5">
        <f>IFERROR(P4077/O4077,0)</f>
        <v/>
      </c>
      <c r="R4077" s="2">
        <f>TEXT(DATEVALUE(B4077),"mmm")</f>
        <v/>
      </c>
      <c r="S4077" s="2">
        <f>TEXT(DATEVALUE(B4077),"yyyy-mm")</f>
        <v/>
      </c>
    </row>
    <row r="4078">
      <c r="A4078" s="2" t="inlineStr">
        <is>
          <t>O000370</t>
        </is>
      </c>
      <c r="B4078" s="2" t="inlineStr">
        <is>
          <t>2025-10-26</t>
        </is>
      </c>
      <c r="C4078" s="2" t="inlineStr">
        <is>
          <t>C0423</t>
        </is>
      </c>
      <c r="D4078" s="2" t="inlineStr">
        <is>
          <t>P0009</t>
        </is>
      </c>
      <c r="E4078" s="2" t="inlineStr">
        <is>
          <t>Electric Kettle</t>
        </is>
      </c>
      <c r="F4078" s="2" t="inlineStr">
        <is>
          <t>Home &amp; Kitchen</t>
        </is>
      </c>
      <c r="G4078" s="2" t="inlineStr">
        <is>
          <t>West</t>
        </is>
      </c>
      <c r="H4078" s="2" t="inlineStr">
        <is>
          <t>Gujarat</t>
        </is>
      </c>
      <c r="I4078" s="2" t="inlineStr">
        <is>
          <t>Surat</t>
        </is>
      </c>
      <c r="J4078" s="2" t="inlineStr">
        <is>
          <t>Store</t>
        </is>
      </c>
      <c r="K4078" s="2" t="n">
        <v>4</v>
      </c>
      <c r="L4078" s="3" t="n">
        <v>2081.16</v>
      </c>
      <c r="M4078" s="4" t="n">
        <v>0.1</v>
      </c>
      <c r="N4078" s="3" t="n">
        <v>4479.41</v>
      </c>
      <c r="O4078" s="3">
        <f>K4078*L4078*(1-M4078)</f>
        <v/>
      </c>
      <c r="P4078" s="3">
        <f>O4078-N4078</f>
        <v/>
      </c>
      <c r="Q4078" s="5">
        <f>IFERROR(P4078/O4078,0)</f>
        <v/>
      </c>
      <c r="R4078" s="2">
        <f>TEXT(DATEVALUE(B4078),"mmm")</f>
        <v/>
      </c>
      <c r="S4078" s="2">
        <f>TEXT(DATEVALUE(B4078),"yyyy-mm")</f>
        <v/>
      </c>
    </row>
    <row r="4079">
      <c r="A4079" s="2" t="inlineStr">
        <is>
          <t>O002027</t>
        </is>
      </c>
      <c r="B4079" s="2" t="inlineStr">
        <is>
          <t>2025-10-26</t>
        </is>
      </c>
      <c r="C4079" s="2" t="inlineStr">
        <is>
          <t>C0742</t>
        </is>
      </c>
      <c r="D4079" s="2" t="inlineStr">
        <is>
          <t>P0021</t>
        </is>
      </c>
      <c r="E4079" s="2" t="inlineStr">
        <is>
          <t>Wallet</t>
        </is>
      </c>
      <c r="F4079" s="2" t="inlineStr">
        <is>
          <t>Fashion</t>
        </is>
      </c>
      <c r="G4079" s="2" t="inlineStr">
        <is>
          <t>West</t>
        </is>
      </c>
      <c r="H4079" s="2" t="inlineStr">
        <is>
          <t>Maharashtra</t>
        </is>
      </c>
      <c r="I4079" s="2" t="inlineStr">
        <is>
          <t>Pune</t>
        </is>
      </c>
      <c r="J4079" s="2" t="inlineStr">
        <is>
          <t>Online</t>
        </is>
      </c>
      <c r="K4079" s="2" t="n">
        <v>4</v>
      </c>
      <c r="L4079" s="3" t="n">
        <v>2013.63</v>
      </c>
      <c r="M4079" s="4" t="n">
        <v>0.05</v>
      </c>
      <c r="N4079" s="3" t="n">
        <v>4966.61</v>
      </c>
      <c r="O4079" s="3">
        <f>K4079*L4079*(1-M4079)</f>
        <v/>
      </c>
      <c r="P4079" s="3">
        <f>O4079-N4079</f>
        <v/>
      </c>
      <c r="Q4079" s="5">
        <f>IFERROR(P4079/O4079,0)</f>
        <v/>
      </c>
      <c r="R4079" s="2">
        <f>TEXT(DATEVALUE(B4079),"mmm")</f>
        <v/>
      </c>
      <c r="S4079" s="2">
        <f>TEXT(DATEVALUE(B4079),"yyyy-mm")</f>
        <v/>
      </c>
    </row>
    <row r="4080">
      <c r="A4080" s="2" t="inlineStr">
        <is>
          <t>O004754</t>
        </is>
      </c>
      <c r="B4080" s="2" t="inlineStr">
        <is>
          <t>2025-10-27</t>
        </is>
      </c>
      <c r="C4080" s="2" t="inlineStr">
        <is>
          <t>C0388</t>
        </is>
      </c>
      <c r="D4080" s="2" t="inlineStr">
        <is>
          <t>P0032</t>
        </is>
      </c>
      <c r="E4080" s="2" t="inlineStr">
        <is>
          <t>Football</t>
        </is>
      </c>
      <c r="F4080" s="2" t="inlineStr">
        <is>
          <t>Sports</t>
        </is>
      </c>
      <c r="G4080" s="2" t="inlineStr">
        <is>
          <t>West</t>
        </is>
      </c>
      <c r="H4080" s="2" t="inlineStr">
        <is>
          <t>Goa</t>
        </is>
      </c>
      <c r="I4080" s="2" t="inlineStr">
        <is>
          <t>Margao</t>
        </is>
      </c>
      <c r="J4080" s="2" t="inlineStr">
        <is>
          <t>Online</t>
        </is>
      </c>
      <c r="K4080" s="2" t="n">
        <v>2</v>
      </c>
      <c r="L4080" s="3" t="n">
        <v>798.66</v>
      </c>
      <c r="M4080" s="4" t="n">
        <v>0.2</v>
      </c>
      <c r="N4080" s="3" t="n">
        <v>1093.72</v>
      </c>
      <c r="O4080" s="3">
        <f>K4080*L4080*(1-M4080)</f>
        <v/>
      </c>
      <c r="P4080" s="3">
        <f>O4080-N4080</f>
        <v/>
      </c>
      <c r="Q4080" s="5">
        <f>IFERROR(P4080/O4080,0)</f>
        <v/>
      </c>
      <c r="R4080" s="2">
        <f>TEXT(DATEVALUE(B4080),"mmm")</f>
        <v/>
      </c>
      <c r="S4080" s="2">
        <f>TEXT(DATEVALUE(B4080),"yyyy-mm")</f>
        <v/>
      </c>
    </row>
    <row r="4081">
      <c r="A4081" s="2" t="inlineStr">
        <is>
          <t>O002308</t>
        </is>
      </c>
      <c r="B4081" s="2" t="inlineStr">
        <is>
          <t>2025-10-27</t>
        </is>
      </c>
      <c r="C4081" s="2" t="inlineStr">
        <is>
          <t>C0251</t>
        </is>
      </c>
      <c r="D4081" s="2" t="inlineStr">
        <is>
          <t>P0020</t>
        </is>
      </c>
      <c r="E4081" s="2" t="inlineStr">
        <is>
          <t>Sneakers</t>
        </is>
      </c>
      <c r="F4081" s="2" t="inlineStr">
        <is>
          <t>Fashion</t>
        </is>
      </c>
      <c r="G4081" s="2" t="inlineStr">
        <is>
          <t>West</t>
        </is>
      </c>
      <c r="H4081" s="2" t="inlineStr">
        <is>
          <t>Gujarat</t>
        </is>
      </c>
      <c r="I4081" s="2" t="inlineStr">
        <is>
          <t>Ahmedabad</t>
        </is>
      </c>
      <c r="J4081" s="2" t="inlineStr">
        <is>
          <t>Store</t>
        </is>
      </c>
      <c r="K4081" s="2" t="n">
        <v>1</v>
      </c>
      <c r="L4081" s="3" t="n">
        <v>1960.35</v>
      </c>
      <c r="M4081" s="4" t="n">
        <v>0</v>
      </c>
      <c r="N4081" s="3" t="n">
        <v>1536.37</v>
      </c>
      <c r="O4081" s="3">
        <f>K4081*L4081*(1-M4081)</f>
        <v/>
      </c>
      <c r="P4081" s="3">
        <f>O4081-N4081</f>
        <v/>
      </c>
      <c r="Q4081" s="5">
        <f>IFERROR(P4081/O4081,0)</f>
        <v/>
      </c>
      <c r="R4081" s="2">
        <f>TEXT(DATEVALUE(B4081),"mmm")</f>
        <v/>
      </c>
      <c r="S4081" s="2">
        <f>TEXT(DATEVALUE(B4081),"yyyy-mm")</f>
        <v/>
      </c>
    </row>
    <row r="4082">
      <c r="A4082" s="2" t="inlineStr">
        <is>
          <t>O002291</t>
        </is>
      </c>
      <c r="B4082" s="2" t="inlineStr">
        <is>
          <t>2025-10-27</t>
        </is>
      </c>
      <c r="C4082" s="2" t="inlineStr">
        <is>
          <t>C0261</t>
        </is>
      </c>
      <c r="D4082" s="2" t="inlineStr">
        <is>
          <t>P0022</t>
        </is>
      </c>
      <c r="E4082" s="2" t="inlineStr">
        <is>
          <t>Face Wash</t>
        </is>
      </c>
      <c r="F4082" s="2" t="inlineStr">
        <is>
          <t>Beauty</t>
        </is>
      </c>
      <c r="G4082" s="2" t="inlineStr">
        <is>
          <t>East</t>
        </is>
      </c>
      <c r="H4082" s="2" t="inlineStr">
        <is>
          <t>Odisha</t>
        </is>
      </c>
      <c r="I4082" s="2" t="inlineStr">
        <is>
          <t>Cuttack</t>
        </is>
      </c>
      <c r="J4082" s="2" t="inlineStr">
        <is>
          <t>Store</t>
        </is>
      </c>
      <c r="K4082" s="2" t="n">
        <v>1</v>
      </c>
      <c r="L4082" s="3" t="n">
        <v>539.23</v>
      </c>
      <c r="M4082" s="4" t="n">
        <v>0.15</v>
      </c>
      <c r="N4082" s="3" t="n">
        <v>343.84</v>
      </c>
      <c r="O4082" s="3">
        <f>K4082*L4082*(1-M4082)</f>
        <v/>
      </c>
      <c r="P4082" s="3">
        <f>O4082-N4082</f>
        <v/>
      </c>
      <c r="Q4082" s="5">
        <f>IFERROR(P4082/O4082,0)</f>
        <v/>
      </c>
      <c r="R4082" s="2">
        <f>TEXT(DATEVALUE(B4082),"mmm")</f>
        <v/>
      </c>
      <c r="S4082" s="2">
        <f>TEXT(DATEVALUE(B4082),"yyyy-mm")</f>
        <v/>
      </c>
    </row>
    <row r="4083">
      <c r="A4083" s="2" t="inlineStr">
        <is>
          <t>O003454</t>
        </is>
      </c>
      <c r="B4083" s="2" t="inlineStr">
        <is>
          <t>2025-10-27</t>
        </is>
      </c>
      <c r="C4083" s="2" t="inlineStr">
        <is>
          <t>C0429</t>
        </is>
      </c>
      <c r="D4083" s="2" t="inlineStr">
        <is>
          <t>P0030</t>
        </is>
      </c>
      <c r="E4083" s="2" t="inlineStr">
        <is>
          <t>Dumbbells</t>
        </is>
      </c>
      <c r="F4083" s="2" t="inlineStr">
        <is>
          <t>Sports</t>
        </is>
      </c>
      <c r="G4083" s="2" t="inlineStr">
        <is>
          <t>South</t>
        </is>
      </c>
      <c r="H4083" s="2" t="inlineStr">
        <is>
          <t>Tamil Nadu</t>
        </is>
      </c>
      <c r="I4083" s="2" t="inlineStr">
        <is>
          <t>Madurai</t>
        </is>
      </c>
      <c r="J4083" s="2" t="inlineStr">
        <is>
          <t>Online</t>
        </is>
      </c>
      <c r="K4083" s="2" t="n">
        <v>1</v>
      </c>
      <c r="L4083" s="3" t="n">
        <v>1575.04</v>
      </c>
      <c r="M4083" s="4" t="n">
        <v>0.25</v>
      </c>
      <c r="N4083" s="3" t="n">
        <v>1011.6</v>
      </c>
      <c r="O4083" s="3">
        <f>K4083*L4083*(1-M4083)</f>
        <v/>
      </c>
      <c r="P4083" s="3">
        <f>O4083-N4083</f>
        <v/>
      </c>
      <c r="Q4083" s="5">
        <f>IFERROR(P4083/O4083,0)</f>
        <v/>
      </c>
      <c r="R4083" s="2">
        <f>TEXT(DATEVALUE(B4083),"mmm")</f>
        <v/>
      </c>
      <c r="S4083" s="2">
        <f>TEXT(DATEVALUE(B4083),"yyyy-mm")</f>
        <v/>
      </c>
    </row>
    <row r="4084">
      <c r="A4084" s="2" t="inlineStr">
        <is>
          <t>O001889</t>
        </is>
      </c>
      <c r="B4084" s="2" t="inlineStr">
        <is>
          <t>2025-10-27</t>
        </is>
      </c>
      <c r="C4084" s="2" t="inlineStr">
        <is>
          <t>C0798</t>
        </is>
      </c>
      <c r="D4084" s="2" t="inlineStr">
        <is>
          <t>P0007</t>
        </is>
      </c>
      <c r="E4084" s="2" t="inlineStr">
        <is>
          <t>Wireless Mouse</t>
        </is>
      </c>
      <c r="F4084" s="2" t="inlineStr">
        <is>
          <t>Electronics</t>
        </is>
      </c>
      <c r="G4084" s="2" t="inlineStr">
        <is>
          <t>South</t>
        </is>
      </c>
      <c r="H4084" s="2" t="inlineStr">
        <is>
          <t>Tamil Nadu</t>
        </is>
      </c>
      <c r="I4084" s="2" t="inlineStr">
        <is>
          <t>Madurai</t>
        </is>
      </c>
      <c r="J4084" s="2" t="inlineStr">
        <is>
          <t>Store</t>
        </is>
      </c>
      <c r="K4084" s="2" t="n">
        <v>2</v>
      </c>
      <c r="L4084" s="3" t="n">
        <v>1022.01</v>
      </c>
      <c r="M4084" s="4" t="n">
        <v>0.1</v>
      </c>
      <c r="N4084" s="3" t="n">
        <v>1282.73</v>
      </c>
      <c r="O4084" s="3">
        <f>K4084*L4084*(1-M4084)</f>
        <v/>
      </c>
      <c r="P4084" s="3">
        <f>O4084-N4084</f>
        <v/>
      </c>
      <c r="Q4084" s="5">
        <f>IFERROR(P4084/O4084,0)</f>
        <v/>
      </c>
      <c r="R4084" s="2">
        <f>TEXT(DATEVALUE(B4084),"mmm")</f>
        <v/>
      </c>
      <c r="S4084" s="2">
        <f>TEXT(DATEVALUE(B4084),"yyyy-mm")</f>
        <v/>
      </c>
    </row>
    <row r="4085">
      <c r="A4085" s="2" t="inlineStr">
        <is>
          <t>O000980</t>
        </is>
      </c>
      <c r="B4085" s="2" t="inlineStr">
        <is>
          <t>2025-10-27</t>
        </is>
      </c>
      <c r="C4085" s="2" t="inlineStr">
        <is>
          <t>C0325</t>
        </is>
      </c>
      <c r="D4085" s="2" t="inlineStr">
        <is>
          <t>P0022</t>
        </is>
      </c>
      <c r="E4085" s="2" t="inlineStr">
        <is>
          <t>Face Wash</t>
        </is>
      </c>
      <c r="F4085" s="2" t="inlineStr">
        <is>
          <t>Beauty</t>
        </is>
      </c>
      <c r="G4085" s="2" t="inlineStr">
        <is>
          <t>West</t>
        </is>
      </c>
      <c r="H4085" s="2" t="inlineStr">
        <is>
          <t>Goa</t>
        </is>
      </c>
      <c r="I4085" s="2" t="inlineStr">
        <is>
          <t>Margao</t>
        </is>
      </c>
      <c r="J4085" s="2" t="inlineStr">
        <is>
          <t>Online</t>
        </is>
      </c>
      <c r="K4085" s="2" t="n">
        <v>1</v>
      </c>
      <c r="L4085" s="3" t="n">
        <v>543.37</v>
      </c>
      <c r="M4085" s="4" t="n">
        <v>0</v>
      </c>
      <c r="N4085" s="3" t="n">
        <v>349.81</v>
      </c>
      <c r="O4085" s="3">
        <f>K4085*L4085*(1-M4085)</f>
        <v/>
      </c>
      <c r="P4085" s="3">
        <f>O4085-N4085</f>
        <v/>
      </c>
      <c r="Q4085" s="5">
        <f>IFERROR(P4085/O4085,0)</f>
        <v/>
      </c>
      <c r="R4085" s="2">
        <f>TEXT(DATEVALUE(B4085),"mmm")</f>
        <v/>
      </c>
      <c r="S4085" s="2">
        <f>TEXT(DATEVALUE(B4085),"yyyy-mm")</f>
        <v/>
      </c>
    </row>
    <row r="4086">
      <c r="A4086" s="2" t="inlineStr">
        <is>
          <t>O000914</t>
        </is>
      </c>
      <c r="B4086" s="2" t="inlineStr">
        <is>
          <t>2025-10-27</t>
        </is>
      </c>
      <c r="C4086" s="2" t="inlineStr">
        <is>
          <t>C0548</t>
        </is>
      </c>
      <c r="D4086" s="2" t="inlineStr">
        <is>
          <t>P0035</t>
        </is>
      </c>
      <c r="E4086" s="2" t="inlineStr">
        <is>
          <t>Skipping Rope</t>
        </is>
      </c>
      <c r="F4086" s="2" t="inlineStr">
        <is>
          <t>Sports</t>
        </is>
      </c>
      <c r="G4086" s="2" t="inlineStr">
        <is>
          <t>South</t>
        </is>
      </c>
      <c r="H4086" s="2" t="inlineStr">
        <is>
          <t>Kerala</t>
        </is>
      </c>
      <c r="I4086" s="2" t="inlineStr">
        <is>
          <t>Kochi</t>
        </is>
      </c>
      <c r="J4086" s="2" t="inlineStr">
        <is>
          <t>Store</t>
        </is>
      </c>
      <c r="K4086" s="2" t="n">
        <v>3</v>
      </c>
      <c r="L4086" s="3" t="n">
        <v>706.58</v>
      </c>
      <c r="M4086" s="4" t="n">
        <v>0.1</v>
      </c>
      <c r="N4086" s="3" t="n">
        <v>1244.28</v>
      </c>
      <c r="O4086" s="3">
        <f>K4086*L4086*(1-M4086)</f>
        <v/>
      </c>
      <c r="P4086" s="3">
        <f>O4086-N4086</f>
        <v/>
      </c>
      <c r="Q4086" s="5">
        <f>IFERROR(P4086/O4086,0)</f>
        <v/>
      </c>
      <c r="R4086" s="2">
        <f>TEXT(DATEVALUE(B4086),"mmm")</f>
        <v/>
      </c>
      <c r="S4086" s="2">
        <f>TEXT(DATEVALUE(B4086),"yyyy-mm")</f>
        <v/>
      </c>
    </row>
    <row r="4087">
      <c r="A4087" s="2" t="inlineStr">
        <is>
          <t>O002138</t>
        </is>
      </c>
      <c r="B4087" s="2" t="inlineStr">
        <is>
          <t>2025-10-27</t>
        </is>
      </c>
      <c r="C4087" s="2" t="inlineStr">
        <is>
          <t>C0053</t>
        </is>
      </c>
      <c r="D4087" s="2" t="inlineStr">
        <is>
          <t>P0004</t>
        </is>
      </c>
      <c r="E4087" s="2" t="inlineStr">
        <is>
          <t>USB-C Hub</t>
        </is>
      </c>
      <c r="F4087" s="2" t="inlineStr">
        <is>
          <t>Electronics</t>
        </is>
      </c>
      <c r="G4087" s="2" t="inlineStr">
        <is>
          <t>South</t>
        </is>
      </c>
      <c r="H4087" s="2" t="inlineStr">
        <is>
          <t>Tamil Nadu</t>
        </is>
      </c>
      <c r="I4087" s="2" t="inlineStr">
        <is>
          <t>Madurai</t>
        </is>
      </c>
      <c r="J4087" s="2" t="inlineStr">
        <is>
          <t>Store</t>
        </is>
      </c>
      <c r="K4087" s="2" t="n">
        <v>2</v>
      </c>
      <c r="L4087" s="3" t="n">
        <v>1237.96</v>
      </c>
      <c r="M4087" s="4" t="n">
        <v>0</v>
      </c>
      <c r="N4087" s="3" t="n">
        <v>1846.29</v>
      </c>
      <c r="O4087" s="3">
        <f>K4087*L4087*(1-M4087)</f>
        <v/>
      </c>
      <c r="P4087" s="3">
        <f>O4087-N4087</f>
        <v/>
      </c>
      <c r="Q4087" s="5">
        <f>IFERROR(P4087/O4087,0)</f>
        <v/>
      </c>
      <c r="R4087" s="2">
        <f>TEXT(DATEVALUE(B4087),"mmm")</f>
        <v/>
      </c>
      <c r="S4087" s="2">
        <f>TEXT(DATEVALUE(B4087),"yyyy-mm")</f>
        <v/>
      </c>
    </row>
    <row r="4088">
      <c r="A4088" s="2" t="inlineStr">
        <is>
          <t>O004371</t>
        </is>
      </c>
      <c r="B4088" s="2" t="inlineStr">
        <is>
          <t>2025-10-28</t>
        </is>
      </c>
      <c r="C4088" s="2" t="inlineStr">
        <is>
          <t>C0138</t>
        </is>
      </c>
      <c r="D4088" s="2" t="inlineStr">
        <is>
          <t>P0015</t>
        </is>
      </c>
      <c r="E4088" s="2" t="inlineStr">
        <is>
          <t>Running Shoes</t>
        </is>
      </c>
      <c r="F4088" s="2" t="inlineStr">
        <is>
          <t>Fashion</t>
        </is>
      </c>
      <c r="G4088" s="2" t="inlineStr">
        <is>
          <t>South</t>
        </is>
      </c>
      <c r="H4088" s="2" t="inlineStr">
        <is>
          <t>Telangana</t>
        </is>
      </c>
      <c r="I4088" s="2" t="inlineStr">
        <is>
          <t>Hyderabad</t>
        </is>
      </c>
      <c r="J4088" s="2" t="inlineStr">
        <is>
          <t>Online</t>
        </is>
      </c>
      <c r="K4088" s="2" t="n">
        <v>1</v>
      </c>
      <c r="L4088" s="3" t="n">
        <v>601.39</v>
      </c>
      <c r="M4088" s="4" t="n">
        <v>0</v>
      </c>
      <c r="N4088" s="3" t="n">
        <v>364.5</v>
      </c>
      <c r="O4088" s="3">
        <f>K4088*L4088*(1-M4088)</f>
        <v/>
      </c>
      <c r="P4088" s="3">
        <f>O4088-N4088</f>
        <v/>
      </c>
      <c r="Q4088" s="5">
        <f>IFERROR(P4088/O4088,0)</f>
        <v/>
      </c>
      <c r="R4088" s="2">
        <f>TEXT(DATEVALUE(B4088),"mmm")</f>
        <v/>
      </c>
      <c r="S4088" s="2">
        <f>TEXT(DATEVALUE(B4088),"yyyy-mm")</f>
        <v/>
      </c>
    </row>
    <row r="4089">
      <c r="A4089" s="2" t="inlineStr">
        <is>
          <t>O003887</t>
        </is>
      </c>
      <c r="B4089" s="2" t="inlineStr">
        <is>
          <t>2025-10-28</t>
        </is>
      </c>
      <c r="C4089" s="2" t="inlineStr">
        <is>
          <t>C0602</t>
        </is>
      </c>
      <c r="D4089" s="2" t="inlineStr">
        <is>
          <t>P0007</t>
        </is>
      </c>
      <c r="E4089" s="2" t="inlineStr">
        <is>
          <t>Wireless Mouse</t>
        </is>
      </c>
      <c r="F4089" s="2" t="inlineStr">
        <is>
          <t>Electronics</t>
        </is>
      </c>
      <c r="G4089" s="2" t="inlineStr">
        <is>
          <t>West</t>
        </is>
      </c>
      <c r="H4089" s="2" t="inlineStr">
        <is>
          <t>Maharashtra</t>
        </is>
      </c>
      <c r="I4089" s="2" t="inlineStr">
        <is>
          <t>Nashik</t>
        </is>
      </c>
      <c r="J4089" s="2" t="inlineStr">
        <is>
          <t>Store</t>
        </is>
      </c>
      <c r="K4089" s="2" t="n">
        <v>5</v>
      </c>
      <c r="L4089" s="3" t="n">
        <v>995.5</v>
      </c>
      <c r="M4089" s="4" t="n">
        <v>0.15</v>
      </c>
      <c r="N4089" s="3" t="n">
        <v>3148.46</v>
      </c>
      <c r="O4089" s="3">
        <f>K4089*L4089*(1-M4089)</f>
        <v/>
      </c>
      <c r="P4089" s="3">
        <f>O4089-N4089</f>
        <v/>
      </c>
      <c r="Q4089" s="5">
        <f>IFERROR(P4089/O4089,0)</f>
        <v/>
      </c>
      <c r="R4089" s="2">
        <f>TEXT(DATEVALUE(B4089),"mmm")</f>
        <v/>
      </c>
      <c r="S4089" s="2">
        <f>TEXT(DATEVALUE(B4089),"yyyy-mm")</f>
        <v/>
      </c>
    </row>
    <row r="4090">
      <c r="A4090" s="2" t="inlineStr">
        <is>
          <t>O003342</t>
        </is>
      </c>
      <c r="B4090" s="2" t="inlineStr">
        <is>
          <t>2025-10-28</t>
        </is>
      </c>
      <c r="C4090" s="2" t="inlineStr">
        <is>
          <t>C0240</t>
        </is>
      </c>
      <c r="D4090" s="2" t="inlineStr">
        <is>
          <t>P0015</t>
        </is>
      </c>
      <c r="E4090" s="2" t="inlineStr">
        <is>
          <t>Running Shoes</t>
        </is>
      </c>
      <c r="F4090" s="2" t="inlineStr">
        <is>
          <t>Fashion</t>
        </is>
      </c>
      <c r="G4090" s="2" t="inlineStr">
        <is>
          <t>West</t>
        </is>
      </c>
      <c r="H4090" s="2" t="inlineStr">
        <is>
          <t>Maharashtra</t>
        </is>
      </c>
      <c r="I4090" s="2" t="inlineStr">
        <is>
          <t>Nashik</t>
        </is>
      </c>
      <c r="J4090" s="2" t="inlineStr">
        <is>
          <t>Online</t>
        </is>
      </c>
      <c r="K4090" s="2" t="n">
        <v>1</v>
      </c>
      <c r="L4090" s="3" t="n">
        <v>601.05</v>
      </c>
      <c r="M4090" s="4" t="n">
        <v>0.2</v>
      </c>
      <c r="N4090" s="3" t="n">
        <v>360.84</v>
      </c>
      <c r="O4090" s="3">
        <f>K4090*L4090*(1-M4090)</f>
        <v/>
      </c>
      <c r="P4090" s="3">
        <f>O4090-N4090</f>
        <v/>
      </c>
      <c r="Q4090" s="5">
        <f>IFERROR(P4090/O4090,0)</f>
        <v/>
      </c>
      <c r="R4090" s="2">
        <f>TEXT(DATEVALUE(B4090),"mmm")</f>
        <v/>
      </c>
      <c r="S4090" s="2">
        <f>TEXT(DATEVALUE(B4090),"yyyy-mm")</f>
        <v/>
      </c>
    </row>
    <row r="4091">
      <c r="A4091" s="2" t="inlineStr">
        <is>
          <t>O003285</t>
        </is>
      </c>
      <c r="B4091" s="2" t="inlineStr">
        <is>
          <t>2025-10-28</t>
        </is>
      </c>
      <c r="C4091" s="2" t="inlineStr">
        <is>
          <t>C0456</t>
        </is>
      </c>
      <c r="D4091" s="2" t="inlineStr">
        <is>
          <t>P0011</t>
        </is>
      </c>
      <c r="E4091" s="2" t="inlineStr">
        <is>
          <t>Cookware Set</t>
        </is>
      </c>
      <c r="F4091" s="2" t="inlineStr">
        <is>
          <t>Home &amp; Kitchen</t>
        </is>
      </c>
      <c r="G4091" s="2" t="inlineStr">
        <is>
          <t>South</t>
        </is>
      </c>
      <c r="H4091" s="2" t="inlineStr">
        <is>
          <t>Karnataka</t>
        </is>
      </c>
      <c r="I4091" s="2" t="inlineStr">
        <is>
          <t>Mangaluru</t>
        </is>
      </c>
      <c r="J4091" s="2" t="inlineStr">
        <is>
          <t>Store</t>
        </is>
      </c>
      <c r="K4091" s="2" t="n">
        <v>1</v>
      </c>
      <c r="L4091" s="3" t="n">
        <v>692.47</v>
      </c>
      <c r="M4091" s="4" t="n">
        <v>0.05</v>
      </c>
      <c r="N4091" s="3" t="n">
        <v>468.53</v>
      </c>
      <c r="O4091" s="3">
        <f>K4091*L4091*(1-M4091)</f>
        <v/>
      </c>
      <c r="P4091" s="3">
        <f>O4091-N4091</f>
        <v/>
      </c>
      <c r="Q4091" s="5">
        <f>IFERROR(P4091/O4091,0)</f>
        <v/>
      </c>
      <c r="R4091" s="2">
        <f>TEXT(DATEVALUE(B4091),"mmm")</f>
        <v/>
      </c>
      <c r="S4091" s="2">
        <f>TEXT(DATEVALUE(B4091),"yyyy-mm")</f>
        <v/>
      </c>
    </row>
    <row r="4092">
      <c r="A4092" s="2" t="inlineStr">
        <is>
          <t>O003183</t>
        </is>
      </c>
      <c r="B4092" s="2" t="inlineStr">
        <is>
          <t>2025-10-28</t>
        </is>
      </c>
      <c r="C4092" s="2" t="inlineStr">
        <is>
          <t>C0258</t>
        </is>
      </c>
      <c r="D4092" s="2" t="inlineStr">
        <is>
          <t>P0022</t>
        </is>
      </c>
      <c r="E4092" s="2" t="inlineStr">
        <is>
          <t>Face Wash</t>
        </is>
      </c>
      <c r="F4092" s="2" t="inlineStr">
        <is>
          <t>Beauty</t>
        </is>
      </c>
      <c r="G4092" s="2" t="inlineStr">
        <is>
          <t>West</t>
        </is>
      </c>
      <c r="H4092" s="2" t="inlineStr">
        <is>
          <t>Goa</t>
        </is>
      </c>
      <c r="I4092" s="2" t="inlineStr">
        <is>
          <t>Margao</t>
        </is>
      </c>
      <c r="J4092" s="2" t="inlineStr">
        <is>
          <t>Online</t>
        </is>
      </c>
      <c r="K4092" s="2" t="n">
        <v>1</v>
      </c>
      <c r="L4092" s="3" t="n">
        <v>559.75</v>
      </c>
      <c r="M4092" s="4" t="n">
        <v>0.15</v>
      </c>
      <c r="N4092" s="3" t="n">
        <v>357.61</v>
      </c>
      <c r="O4092" s="3">
        <f>K4092*L4092*(1-M4092)</f>
        <v/>
      </c>
      <c r="P4092" s="3">
        <f>O4092-N4092</f>
        <v/>
      </c>
      <c r="Q4092" s="5">
        <f>IFERROR(P4092/O4092,0)</f>
        <v/>
      </c>
      <c r="R4092" s="2">
        <f>TEXT(DATEVALUE(B4092),"mmm")</f>
        <v/>
      </c>
      <c r="S4092" s="2">
        <f>TEXT(DATEVALUE(B4092),"yyyy-mm")</f>
        <v/>
      </c>
    </row>
    <row r="4093">
      <c r="A4093" s="2" t="inlineStr">
        <is>
          <t>O002852</t>
        </is>
      </c>
      <c r="B4093" s="2" t="inlineStr">
        <is>
          <t>2025-10-28</t>
        </is>
      </c>
      <c r="C4093" s="2" t="inlineStr">
        <is>
          <t>C0346</t>
        </is>
      </c>
      <c r="D4093" s="2" t="inlineStr">
        <is>
          <t>P0002</t>
        </is>
      </c>
      <c r="E4093" s="2" t="inlineStr">
        <is>
          <t>Bluetooth Speaker</t>
        </is>
      </c>
      <c r="F4093" s="2" t="inlineStr">
        <is>
          <t>Electronics</t>
        </is>
      </c>
      <c r="G4093" s="2" t="inlineStr">
        <is>
          <t>North</t>
        </is>
      </c>
      <c r="H4093" s="2" t="inlineStr">
        <is>
          <t>Punjab</t>
        </is>
      </c>
      <c r="I4093" s="2" t="inlineStr">
        <is>
          <t>Ludhiana</t>
        </is>
      </c>
      <c r="J4093" s="2" t="inlineStr">
        <is>
          <t>Online</t>
        </is>
      </c>
      <c r="K4093" s="2" t="n">
        <v>2</v>
      </c>
      <c r="L4093" s="3" t="n">
        <v>1348.04</v>
      </c>
      <c r="M4093" s="4" t="n">
        <v>0.1</v>
      </c>
      <c r="N4093" s="3" t="n">
        <v>1704.32</v>
      </c>
      <c r="O4093" s="3">
        <f>K4093*L4093*(1-M4093)</f>
        <v/>
      </c>
      <c r="P4093" s="3">
        <f>O4093-N4093</f>
        <v/>
      </c>
      <c r="Q4093" s="5">
        <f>IFERROR(P4093/O4093,0)</f>
        <v/>
      </c>
      <c r="R4093" s="2">
        <f>TEXT(DATEVALUE(B4093),"mmm")</f>
        <v/>
      </c>
      <c r="S4093" s="2">
        <f>TEXT(DATEVALUE(B4093),"yyyy-mm")</f>
        <v/>
      </c>
    </row>
    <row r="4094">
      <c r="A4094" s="2" t="inlineStr">
        <is>
          <t>O002773</t>
        </is>
      </c>
      <c r="B4094" s="2" t="inlineStr">
        <is>
          <t>2025-10-28</t>
        </is>
      </c>
      <c r="C4094" s="2" t="inlineStr">
        <is>
          <t>C0456</t>
        </is>
      </c>
      <c r="D4094" s="2" t="inlineStr">
        <is>
          <t>P0024</t>
        </is>
      </c>
      <c r="E4094" s="2" t="inlineStr">
        <is>
          <t>Hair Dryer</t>
        </is>
      </c>
      <c r="F4094" s="2" t="inlineStr">
        <is>
          <t>Beauty</t>
        </is>
      </c>
      <c r="G4094" s="2" t="inlineStr">
        <is>
          <t>South</t>
        </is>
      </c>
      <c r="H4094" s="2" t="inlineStr">
        <is>
          <t>Karnataka</t>
        </is>
      </c>
      <c r="I4094" s="2" t="inlineStr">
        <is>
          <t>Mysuru</t>
        </is>
      </c>
      <c r="J4094" s="2" t="inlineStr">
        <is>
          <t>Online</t>
        </is>
      </c>
      <c r="K4094" s="2" t="n">
        <v>1</v>
      </c>
      <c r="L4094" s="3" t="n">
        <v>1032.21</v>
      </c>
      <c r="M4094" s="4" t="n">
        <v>0.15</v>
      </c>
      <c r="N4094" s="3" t="n">
        <v>710.51</v>
      </c>
      <c r="O4094" s="3">
        <f>K4094*L4094*(1-M4094)</f>
        <v/>
      </c>
      <c r="P4094" s="3">
        <f>O4094-N4094</f>
        <v/>
      </c>
      <c r="Q4094" s="5">
        <f>IFERROR(P4094/O4094,0)</f>
        <v/>
      </c>
      <c r="R4094" s="2">
        <f>TEXT(DATEVALUE(B4094),"mmm")</f>
        <v/>
      </c>
      <c r="S4094" s="2">
        <f>TEXT(DATEVALUE(B4094),"yyyy-mm")</f>
        <v/>
      </c>
    </row>
    <row r="4095">
      <c r="A4095" s="2" t="inlineStr">
        <is>
          <t>O002041</t>
        </is>
      </c>
      <c r="B4095" s="2" t="inlineStr">
        <is>
          <t>2025-10-28</t>
        </is>
      </c>
      <c r="C4095" s="2" t="inlineStr">
        <is>
          <t>C0279</t>
        </is>
      </c>
      <c r="D4095" s="2" t="inlineStr">
        <is>
          <t>P0016</t>
        </is>
      </c>
      <c r="E4095" s="2" t="inlineStr">
        <is>
          <t>Casual Shirt</t>
        </is>
      </c>
      <c r="F4095" s="2" t="inlineStr">
        <is>
          <t>Fashion</t>
        </is>
      </c>
      <c r="G4095" s="2" t="inlineStr">
        <is>
          <t>North</t>
        </is>
      </c>
      <c r="H4095" s="2" t="inlineStr">
        <is>
          <t>Haryana</t>
        </is>
      </c>
      <c r="I4095" s="2" t="inlineStr">
        <is>
          <t>Faridabad</t>
        </is>
      </c>
      <c r="J4095" s="2" t="inlineStr">
        <is>
          <t>Online</t>
        </is>
      </c>
      <c r="K4095" s="2" t="n">
        <v>2</v>
      </c>
      <c r="L4095" s="3" t="n">
        <v>1308.69</v>
      </c>
      <c r="M4095" s="4" t="n">
        <v>0.2</v>
      </c>
      <c r="N4095" s="3" t="n">
        <v>1797.38</v>
      </c>
      <c r="O4095" s="3">
        <f>K4095*L4095*(1-M4095)</f>
        <v/>
      </c>
      <c r="P4095" s="3">
        <f>O4095-N4095</f>
        <v/>
      </c>
      <c r="Q4095" s="5">
        <f>IFERROR(P4095/O4095,0)</f>
        <v/>
      </c>
      <c r="R4095" s="2">
        <f>TEXT(DATEVALUE(B4095),"mmm")</f>
        <v/>
      </c>
      <c r="S4095" s="2">
        <f>TEXT(DATEVALUE(B4095),"yyyy-mm")</f>
        <v/>
      </c>
    </row>
    <row r="4096">
      <c r="A4096" s="2" t="inlineStr">
        <is>
          <t>O001875</t>
        </is>
      </c>
      <c r="B4096" s="2" t="inlineStr">
        <is>
          <t>2025-10-28</t>
        </is>
      </c>
      <c r="C4096" s="2" t="inlineStr">
        <is>
          <t>C0765</t>
        </is>
      </c>
      <c r="D4096" s="2" t="inlineStr">
        <is>
          <t>P0027</t>
        </is>
      </c>
      <c r="E4096" s="2" t="inlineStr">
        <is>
          <t>Moisturizer</t>
        </is>
      </c>
      <c r="F4096" s="2" t="inlineStr">
        <is>
          <t>Beauty</t>
        </is>
      </c>
      <c r="G4096" s="2" t="inlineStr">
        <is>
          <t>North</t>
        </is>
      </c>
      <c r="H4096" s="2" t="inlineStr">
        <is>
          <t>Uttar Pradesh</t>
        </is>
      </c>
      <c r="I4096" s="2" t="inlineStr">
        <is>
          <t>Noida</t>
        </is>
      </c>
      <c r="J4096" s="2" t="inlineStr">
        <is>
          <t>Online</t>
        </is>
      </c>
      <c r="K4096" s="2" t="n">
        <v>2</v>
      </c>
      <c r="L4096" s="3" t="n">
        <v>931.29</v>
      </c>
      <c r="M4096" s="4" t="n">
        <v>0.1</v>
      </c>
      <c r="N4096" s="3" t="n">
        <v>1332.84</v>
      </c>
      <c r="O4096" s="3">
        <f>K4096*L4096*(1-M4096)</f>
        <v/>
      </c>
      <c r="P4096" s="3">
        <f>O4096-N4096</f>
        <v/>
      </c>
      <c r="Q4096" s="5">
        <f>IFERROR(P4096/O4096,0)</f>
        <v/>
      </c>
      <c r="R4096" s="2">
        <f>TEXT(DATEVALUE(B4096),"mmm")</f>
        <v/>
      </c>
      <c r="S4096" s="2">
        <f>TEXT(DATEVALUE(B4096),"yyyy-mm")</f>
        <v/>
      </c>
    </row>
    <row r="4097">
      <c r="A4097" s="2" t="inlineStr">
        <is>
          <t>O001803</t>
        </is>
      </c>
      <c r="B4097" s="2" t="inlineStr">
        <is>
          <t>2025-10-28</t>
        </is>
      </c>
      <c r="C4097" s="2" t="inlineStr">
        <is>
          <t>C0031</t>
        </is>
      </c>
      <c r="D4097" s="2" t="inlineStr">
        <is>
          <t>P0017</t>
        </is>
      </c>
      <c r="E4097" s="2" t="inlineStr">
        <is>
          <t>Jeans</t>
        </is>
      </c>
      <c r="F4097" s="2" t="inlineStr">
        <is>
          <t>Fashion</t>
        </is>
      </c>
      <c r="G4097" s="2" t="inlineStr">
        <is>
          <t>North</t>
        </is>
      </c>
      <c r="H4097" s="2" t="inlineStr">
        <is>
          <t>Punjab</t>
        </is>
      </c>
      <c r="I4097" s="2" t="inlineStr">
        <is>
          <t>Amritsar</t>
        </is>
      </c>
      <c r="J4097" s="2" t="inlineStr">
        <is>
          <t>Store</t>
        </is>
      </c>
      <c r="K4097" s="2" t="n">
        <v>1</v>
      </c>
      <c r="L4097" s="3" t="n">
        <v>1492.77</v>
      </c>
      <c r="M4097" s="4" t="n">
        <v>0</v>
      </c>
      <c r="N4097" s="3" t="n">
        <v>990.28</v>
      </c>
      <c r="O4097" s="3">
        <f>K4097*L4097*(1-M4097)</f>
        <v/>
      </c>
      <c r="P4097" s="3">
        <f>O4097-N4097</f>
        <v/>
      </c>
      <c r="Q4097" s="5">
        <f>IFERROR(P4097/O4097,0)</f>
        <v/>
      </c>
      <c r="R4097" s="2">
        <f>TEXT(DATEVALUE(B4097),"mmm")</f>
        <v/>
      </c>
      <c r="S4097" s="2">
        <f>TEXT(DATEVALUE(B4097),"yyyy-mm")</f>
        <v/>
      </c>
    </row>
    <row r="4098">
      <c r="A4098" s="2" t="inlineStr">
        <is>
          <t>O001616</t>
        </is>
      </c>
      <c r="B4098" s="2" t="inlineStr">
        <is>
          <t>2025-10-28</t>
        </is>
      </c>
      <c r="C4098" s="2" t="inlineStr">
        <is>
          <t>C0284</t>
        </is>
      </c>
      <c r="D4098" s="2" t="inlineStr">
        <is>
          <t>P0027</t>
        </is>
      </c>
      <c r="E4098" s="2" t="inlineStr">
        <is>
          <t>Moisturizer</t>
        </is>
      </c>
      <c r="F4098" s="2" t="inlineStr">
        <is>
          <t>Beauty</t>
        </is>
      </c>
      <c r="G4098" s="2" t="inlineStr">
        <is>
          <t>South</t>
        </is>
      </c>
      <c r="H4098" s="2" t="inlineStr">
        <is>
          <t>Telangana</t>
        </is>
      </c>
      <c r="I4098" s="2" t="inlineStr">
        <is>
          <t>Warangal</t>
        </is>
      </c>
      <c r="J4098" s="2" t="inlineStr">
        <is>
          <t>Online</t>
        </is>
      </c>
      <c r="K4098" s="2" t="n">
        <v>1</v>
      </c>
      <c r="L4098" s="3" t="n">
        <v>992.8200000000001</v>
      </c>
      <c r="M4098" s="4" t="n">
        <v>0.1</v>
      </c>
      <c r="N4098" s="3" t="n">
        <v>697.01</v>
      </c>
      <c r="O4098" s="3">
        <f>K4098*L4098*(1-M4098)</f>
        <v/>
      </c>
      <c r="P4098" s="3">
        <f>O4098-N4098</f>
        <v/>
      </c>
      <c r="Q4098" s="5">
        <f>IFERROR(P4098/O4098,0)</f>
        <v/>
      </c>
      <c r="R4098" s="2">
        <f>TEXT(DATEVALUE(B4098),"mmm")</f>
        <v/>
      </c>
      <c r="S4098" s="2">
        <f>TEXT(DATEVALUE(B4098),"yyyy-mm")</f>
        <v/>
      </c>
    </row>
    <row r="4099">
      <c r="A4099" s="2" t="inlineStr">
        <is>
          <t>O001478</t>
        </is>
      </c>
      <c r="B4099" s="2" t="inlineStr">
        <is>
          <t>2025-10-28</t>
        </is>
      </c>
      <c r="C4099" s="2" t="inlineStr">
        <is>
          <t>C0060</t>
        </is>
      </c>
      <c r="D4099" s="2" t="inlineStr">
        <is>
          <t>P0016</t>
        </is>
      </c>
      <c r="E4099" s="2" t="inlineStr">
        <is>
          <t>Casual Shirt</t>
        </is>
      </c>
      <c r="F4099" s="2" t="inlineStr">
        <is>
          <t>Fashion</t>
        </is>
      </c>
      <c r="G4099" s="2" t="inlineStr">
        <is>
          <t>South</t>
        </is>
      </c>
      <c r="H4099" s="2" t="inlineStr">
        <is>
          <t>Telangana</t>
        </is>
      </c>
      <c r="I4099" s="2" t="inlineStr">
        <is>
          <t>Hyderabad</t>
        </is>
      </c>
      <c r="J4099" s="2" t="inlineStr">
        <is>
          <t>Online</t>
        </is>
      </c>
      <c r="K4099" s="2" t="n">
        <v>3</v>
      </c>
      <c r="L4099" s="3" t="n">
        <v>1288.23</v>
      </c>
      <c r="M4099" s="4" t="n">
        <v>0</v>
      </c>
      <c r="N4099" s="3" t="n">
        <v>2678.76</v>
      </c>
      <c r="O4099" s="3">
        <f>K4099*L4099*(1-M4099)</f>
        <v/>
      </c>
      <c r="P4099" s="3">
        <f>O4099-N4099</f>
        <v/>
      </c>
      <c r="Q4099" s="5">
        <f>IFERROR(P4099/O4099,0)</f>
        <v/>
      </c>
      <c r="R4099" s="2">
        <f>TEXT(DATEVALUE(B4099),"mmm")</f>
        <v/>
      </c>
      <c r="S4099" s="2">
        <f>TEXT(DATEVALUE(B4099),"yyyy-mm")</f>
        <v/>
      </c>
    </row>
    <row r="4100">
      <c r="A4100" s="2" t="inlineStr">
        <is>
          <t>O000858</t>
        </is>
      </c>
      <c r="B4100" s="2" t="inlineStr">
        <is>
          <t>2025-10-28</t>
        </is>
      </c>
      <c r="C4100" s="2" t="inlineStr">
        <is>
          <t>C0540</t>
        </is>
      </c>
      <c r="D4100" s="2" t="inlineStr">
        <is>
          <t>P0001</t>
        </is>
      </c>
      <c r="E4100" s="2" t="inlineStr">
        <is>
          <t>Wireless Headphones</t>
        </is>
      </c>
      <c r="F4100" s="2" t="inlineStr">
        <is>
          <t>Electronics</t>
        </is>
      </c>
      <c r="G4100" s="2" t="inlineStr">
        <is>
          <t>East</t>
        </is>
      </c>
      <c r="H4100" s="2" t="inlineStr">
        <is>
          <t>Odisha</t>
        </is>
      </c>
      <c r="I4100" s="2" t="inlineStr">
        <is>
          <t>Bhubaneswar</t>
        </is>
      </c>
      <c r="J4100" s="2" t="inlineStr">
        <is>
          <t>Online</t>
        </is>
      </c>
      <c r="K4100" s="2" t="n">
        <v>1</v>
      </c>
      <c r="L4100" s="3" t="n">
        <v>1295.25</v>
      </c>
      <c r="M4100" s="4" t="n">
        <v>0.1</v>
      </c>
      <c r="N4100" s="3" t="n">
        <v>680.7</v>
      </c>
      <c r="O4100" s="3">
        <f>K4100*L4100*(1-M4100)</f>
        <v/>
      </c>
      <c r="P4100" s="3">
        <f>O4100-N4100</f>
        <v/>
      </c>
      <c r="Q4100" s="5">
        <f>IFERROR(P4100/O4100,0)</f>
        <v/>
      </c>
      <c r="R4100" s="2">
        <f>TEXT(DATEVALUE(B4100),"mmm")</f>
        <v/>
      </c>
      <c r="S4100" s="2">
        <f>TEXT(DATEVALUE(B4100),"yyyy-mm")</f>
        <v/>
      </c>
    </row>
    <row r="4101">
      <c r="A4101" s="2" t="inlineStr">
        <is>
          <t>O000625</t>
        </is>
      </c>
      <c r="B4101" s="2" t="inlineStr">
        <is>
          <t>2025-10-28</t>
        </is>
      </c>
      <c r="C4101" s="2" t="inlineStr">
        <is>
          <t>C0540</t>
        </is>
      </c>
      <c r="D4101" s="2" t="inlineStr">
        <is>
          <t>P0021</t>
        </is>
      </c>
      <c r="E4101" s="2" t="inlineStr">
        <is>
          <t>Wallet</t>
        </is>
      </c>
      <c r="F4101" s="2" t="inlineStr">
        <is>
          <t>Fashion</t>
        </is>
      </c>
      <c r="G4101" s="2" t="inlineStr">
        <is>
          <t>West</t>
        </is>
      </c>
      <c r="H4101" s="2" t="inlineStr">
        <is>
          <t>Maharashtra</t>
        </is>
      </c>
      <c r="I4101" s="2" t="inlineStr">
        <is>
          <t>Nagpur</t>
        </is>
      </c>
      <c r="J4101" s="2" t="inlineStr">
        <is>
          <t>Store</t>
        </is>
      </c>
      <c r="K4101" s="2" t="n">
        <v>2</v>
      </c>
      <c r="L4101" s="3" t="n">
        <v>1967.27</v>
      </c>
      <c r="M4101" s="4" t="n">
        <v>0.15</v>
      </c>
      <c r="N4101" s="3" t="n">
        <v>2401.94</v>
      </c>
      <c r="O4101" s="3">
        <f>K4101*L4101*(1-M4101)</f>
        <v/>
      </c>
      <c r="P4101" s="3">
        <f>O4101-N4101</f>
        <v/>
      </c>
      <c r="Q4101" s="5">
        <f>IFERROR(P4101/O4101,0)</f>
        <v/>
      </c>
      <c r="R4101" s="2">
        <f>TEXT(DATEVALUE(B4101),"mmm")</f>
        <v/>
      </c>
      <c r="S4101" s="2">
        <f>TEXT(DATEVALUE(B4101),"yyyy-mm")</f>
        <v/>
      </c>
    </row>
    <row r="4102">
      <c r="A4102" s="2" t="inlineStr">
        <is>
          <t>O000094</t>
        </is>
      </c>
      <c r="B4102" s="2" t="inlineStr">
        <is>
          <t>2025-10-28</t>
        </is>
      </c>
      <c r="C4102" s="2" t="inlineStr">
        <is>
          <t>C0437</t>
        </is>
      </c>
      <c r="D4102" s="2" t="inlineStr">
        <is>
          <t>P0018</t>
        </is>
      </c>
      <c r="E4102" s="2" t="inlineStr">
        <is>
          <t>Backpack</t>
        </is>
      </c>
      <c r="F4102" s="2" t="inlineStr">
        <is>
          <t>Fashion</t>
        </is>
      </c>
      <c r="G4102" s="2" t="inlineStr">
        <is>
          <t>South</t>
        </is>
      </c>
      <c r="H4102" s="2" t="inlineStr">
        <is>
          <t>Kerala</t>
        </is>
      </c>
      <c r="I4102" s="2" t="inlineStr">
        <is>
          <t>Kochi</t>
        </is>
      </c>
      <c r="J4102" s="2" t="inlineStr">
        <is>
          <t>Online</t>
        </is>
      </c>
      <c r="K4102" s="2" t="n">
        <v>6</v>
      </c>
      <c r="L4102" s="3" t="n">
        <v>1809.88</v>
      </c>
      <c r="M4102" s="4" t="n">
        <v>0</v>
      </c>
      <c r="N4102" s="3" t="n">
        <v>8079.55</v>
      </c>
      <c r="O4102" s="3">
        <f>K4102*L4102*(1-M4102)</f>
        <v/>
      </c>
      <c r="P4102" s="3">
        <f>O4102-N4102</f>
        <v/>
      </c>
      <c r="Q4102" s="5">
        <f>IFERROR(P4102/O4102,0)</f>
        <v/>
      </c>
      <c r="R4102" s="2">
        <f>TEXT(DATEVALUE(B4102),"mmm")</f>
        <v/>
      </c>
      <c r="S4102" s="2">
        <f>TEXT(DATEVALUE(B4102),"yyyy-mm")</f>
        <v/>
      </c>
    </row>
    <row r="4103">
      <c r="A4103" s="2" t="inlineStr">
        <is>
          <t>O001970</t>
        </is>
      </c>
      <c r="B4103" s="2" t="inlineStr">
        <is>
          <t>2025-10-28</t>
        </is>
      </c>
      <c r="C4103" s="2" t="inlineStr">
        <is>
          <t>C0284</t>
        </is>
      </c>
      <c r="D4103" s="2" t="inlineStr">
        <is>
          <t>P0027</t>
        </is>
      </c>
      <c r="E4103" s="2" t="inlineStr">
        <is>
          <t>Moisturizer</t>
        </is>
      </c>
      <c r="F4103" s="2" t="inlineStr">
        <is>
          <t>Beauty</t>
        </is>
      </c>
      <c r="G4103" s="2" t="inlineStr">
        <is>
          <t>North</t>
        </is>
      </c>
      <c r="H4103" s="2" t="inlineStr">
        <is>
          <t>Punjab</t>
        </is>
      </c>
      <c r="I4103" s="2" t="inlineStr">
        <is>
          <t>Jalandhar</t>
        </is>
      </c>
      <c r="J4103" s="2" t="inlineStr">
        <is>
          <t>Store</t>
        </is>
      </c>
      <c r="K4103" s="2" t="n">
        <v>3</v>
      </c>
      <c r="L4103" s="3" t="n">
        <v>914.41</v>
      </c>
      <c r="M4103" s="4" t="n">
        <v>0.15</v>
      </c>
      <c r="N4103" s="3" t="n">
        <v>2001.71</v>
      </c>
      <c r="O4103" s="3">
        <f>K4103*L4103*(1-M4103)</f>
        <v/>
      </c>
      <c r="P4103" s="3">
        <f>O4103-N4103</f>
        <v/>
      </c>
      <c r="Q4103" s="5">
        <f>IFERROR(P4103/O4103,0)</f>
        <v/>
      </c>
      <c r="R4103" s="2">
        <f>TEXT(DATEVALUE(B4103),"mmm")</f>
        <v/>
      </c>
      <c r="S4103" s="2">
        <f>TEXT(DATEVALUE(B4103),"yyyy-mm")</f>
        <v/>
      </c>
    </row>
    <row r="4104">
      <c r="A4104" s="2" t="inlineStr">
        <is>
          <t>O004801</t>
        </is>
      </c>
      <c r="B4104" s="2" t="inlineStr">
        <is>
          <t>2025-10-29</t>
        </is>
      </c>
      <c r="C4104" s="2" t="inlineStr">
        <is>
          <t>C0298</t>
        </is>
      </c>
      <c r="D4104" s="2" t="inlineStr">
        <is>
          <t>P0017</t>
        </is>
      </c>
      <c r="E4104" s="2" t="inlineStr">
        <is>
          <t>Jeans</t>
        </is>
      </c>
      <c r="F4104" s="2" t="inlineStr">
        <is>
          <t>Fashion</t>
        </is>
      </c>
      <c r="G4104" s="2" t="inlineStr">
        <is>
          <t>North</t>
        </is>
      </c>
      <c r="H4104" s="2" t="inlineStr">
        <is>
          <t>Uttar Pradesh</t>
        </is>
      </c>
      <c r="I4104" s="2" t="inlineStr">
        <is>
          <t>Lucknow</t>
        </is>
      </c>
      <c r="J4104" s="2" t="inlineStr">
        <is>
          <t>Online</t>
        </is>
      </c>
      <c r="K4104" s="2" t="n">
        <v>4</v>
      </c>
      <c r="L4104" s="3" t="n">
        <v>1524.35</v>
      </c>
      <c r="M4104" s="4" t="n">
        <v>0.05</v>
      </c>
      <c r="N4104" s="3" t="n">
        <v>3983.2</v>
      </c>
      <c r="O4104" s="3">
        <f>K4104*L4104*(1-M4104)</f>
        <v/>
      </c>
      <c r="P4104" s="3">
        <f>O4104-N4104</f>
        <v/>
      </c>
      <c r="Q4104" s="5">
        <f>IFERROR(P4104/O4104,0)</f>
        <v/>
      </c>
      <c r="R4104" s="2">
        <f>TEXT(DATEVALUE(B4104),"mmm")</f>
        <v/>
      </c>
      <c r="S4104" s="2">
        <f>TEXT(DATEVALUE(B4104),"yyyy-mm")</f>
        <v/>
      </c>
    </row>
    <row r="4105">
      <c r="A4105" s="2" t="inlineStr">
        <is>
          <t>O004523</t>
        </is>
      </c>
      <c r="B4105" s="2" t="inlineStr">
        <is>
          <t>2025-10-29</t>
        </is>
      </c>
      <c r="C4105" s="2" t="inlineStr">
        <is>
          <t>C0700</t>
        </is>
      </c>
      <c r="D4105" s="2" t="inlineStr">
        <is>
          <t>P0014</t>
        </is>
      </c>
      <c r="E4105" s="2" t="inlineStr">
        <is>
          <t>Coffee Maker</t>
        </is>
      </c>
      <c r="F4105" s="2" t="inlineStr">
        <is>
          <t>Home &amp; Kitchen</t>
        </is>
      </c>
      <c r="G4105" s="2" t="inlineStr">
        <is>
          <t>North</t>
        </is>
      </c>
      <c r="H4105" s="2" t="inlineStr">
        <is>
          <t>Punjab</t>
        </is>
      </c>
      <c r="I4105" s="2" t="inlineStr">
        <is>
          <t>Amritsar</t>
        </is>
      </c>
      <c r="J4105" s="2" t="inlineStr">
        <is>
          <t>Store</t>
        </is>
      </c>
      <c r="K4105" s="2" t="n">
        <v>6</v>
      </c>
      <c r="L4105" s="3" t="n">
        <v>1020.16</v>
      </c>
      <c r="M4105" s="4" t="n">
        <v>0</v>
      </c>
      <c r="N4105" s="3" t="n">
        <v>4430.55</v>
      </c>
      <c r="O4105" s="3">
        <f>K4105*L4105*(1-M4105)</f>
        <v/>
      </c>
      <c r="P4105" s="3">
        <f>O4105-N4105</f>
        <v/>
      </c>
      <c r="Q4105" s="5">
        <f>IFERROR(P4105/O4105,0)</f>
        <v/>
      </c>
      <c r="R4105" s="2">
        <f>TEXT(DATEVALUE(B4105),"mmm")</f>
        <v/>
      </c>
      <c r="S4105" s="2">
        <f>TEXT(DATEVALUE(B4105),"yyyy-mm")</f>
        <v/>
      </c>
    </row>
    <row r="4106">
      <c r="A4106" s="2" t="inlineStr">
        <is>
          <t>O003928</t>
        </is>
      </c>
      <c r="B4106" s="2" t="inlineStr">
        <is>
          <t>2025-10-29</t>
        </is>
      </c>
      <c r="C4106" s="2" t="inlineStr">
        <is>
          <t>C0161</t>
        </is>
      </c>
      <c r="D4106" s="2" t="inlineStr">
        <is>
          <t>P0023</t>
        </is>
      </c>
      <c r="E4106" s="2" t="inlineStr">
        <is>
          <t>Skin Care Kit</t>
        </is>
      </c>
      <c r="F4106" s="2" t="inlineStr">
        <is>
          <t>Beauty</t>
        </is>
      </c>
      <c r="G4106" s="2" t="inlineStr">
        <is>
          <t>West</t>
        </is>
      </c>
      <c r="H4106" s="2" t="inlineStr">
        <is>
          <t>Maharashtra</t>
        </is>
      </c>
      <c r="I4106" s="2" t="inlineStr">
        <is>
          <t>Thane</t>
        </is>
      </c>
      <c r="J4106" s="2" t="inlineStr">
        <is>
          <t>Store</t>
        </is>
      </c>
      <c r="K4106" s="2" t="n">
        <v>2</v>
      </c>
      <c r="L4106" s="3" t="n">
        <v>1382.45</v>
      </c>
      <c r="M4106" s="4" t="n">
        <v>0.15</v>
      </c>
      <c r="N4106" s="3" t="n">
        <v>1730.65</v>
      </c>
      <c r="O4106" s="3">
        <f>K4106*L4106*(1-M4106)</f>
        <v/>
      </c>
      <c r="P4106" s="3">
        <f>O4106-N4106</f>
        <v/>
      </c>
      <c r="Q4106" s="5">
        <f>IFERROR(P4106/O4106,0)</f>
        <v/>
      </c>
      <c r="R4106" s="2">
        <f>TEXT(DATEVALUE(B4106),"mmm")</f>
        <v/>
      </c>
      <c r="S4106" s="2">
        <f>TEXT(DATEVALUE(B4106),"yyyy-mm")</f>
        <v/>
      </c>
    </row>
    <row r="4107">
      <c r="A4107" s="2" t="inlineStr">
        <is>
          <t>O003241</t>
        </is>
      </c>
      <c r="B4107" s="2" t="inlineStr">
        <is>
          <t>2025-10-29</t>
        </is>
      </c>
      <c r="C4107" s="2" t="inlineStr">
        <is>
          <t>C0048</t>
        </is>
      </c>
      <c r="D4107" s="2" t="inlineStr">
        <is>
          <t>P0007</t>
        </is>
      </c>
      <c r="E4107" s="2" t="inlineStr">
        <is>
          <t>Wireless Mouse</t>
        </is>
      </c>
      <c r="F4107" s="2" t="inlineStr">
        <is>
          <t>Electronics</t>
        </is>
      </c>
      <c r="G4107" s="2" t="inlineStr">
        <is>
          <t>West</t>
        </is>
      </c>
      <c r="H4107" s="2" t="inlineStr">
        <is>
          <t>Gujarat</t>
        </is>
      </c>
      <c r="I4107" s="2" t="inlineStr">
        <is>
          <t>Surat</t>
        </is>
      </c>
      <c r="J4107" s="2" t="inlineStr">
        <is>
          <t>Store</t>
        </is>
      </c>
      <c r="K4107" s="2" t="n">
        <v>3</v>
      </c>
      <c r="L4107" s="3" t="n">
        <v>950.84</v>
      </c>
      <c r="M4107" s="4" t="n">
        <v>0.05</v>
      </c>
      <c r="N4107" s="3" t="n">
        <v>1845.4</v>
      </c>
      <c r="O4107" s="3">
        <f>K4107*L4107*(1-M4107)</f>
        <v/>
      </c>
      <c r="P4107" s="3">
        <f>O4107-N4107</f>
        <v/>
      </c>
      <c r="Q4107" s="5">
        <f>IFERROR(P4107/O4107,0)</f>
        <v/>
      </c>
      <c r="R4107" s="2">
        <f>TEXT(DATEVALUE(B4107),"mmm")</f>
        <v/>
      </c>
      <c r="S4107" s="2">
        <f>TEXT(DATEVALUE(B4107),"yyyy-mm")</f>
        <v/>
      </c>
    </row>
    <row r="4108">
      <c r="A4108" s="2" t="inlineStr">
        <is>
          <t>O003087</t>
        </is>
      </c>
      <c r="B4108" s="2" t="inlineStr">
        <is>
          <t>2025-10-29</t>
        </is>
      </c>
      <c r="C4108" s="2" t="inlineStr">
        <is>
          <t>C0014</t>
        </is>
      </c>
      <c r="D4108" s="2" t="inlineStr">
        <is>
          <t>P0031</t>
        </is>
      </c>
      <c r="E4108" s="2" t="inlineStr">
        <is>
          <t>Cricket Bat</t>
        </is>
      </c>
      <c r="F4108" s="2" t="inlineStr">
        <is>
          <t>Sports</t>
        </is>
      </c>
      <c r="G4108" s="2" t="inlineStr">
        <is>
          <t>West</t>
        </is>
      </c>
      <c r="H4108" s="2" t="inlineStr">
        <is>
          <t>Gujarat</t>
        </is>
      </c>
      <c r="I4108" s="2" t="inlineStr">
        <is>
          <t>Ahmedabad</t>
        </is>
      </c>
      <c r="J4108" s="2" t="inlineStr">
        <is>
          <t>Store</t>
        </is>
      </c>
      <c r="K4108" s="2" t="n">
        <v>1</v>
      </c>
      <c r="L4108" s="3" t="n">
        <v>1445.05</v>
      </c>
      <c r="M4108" s="4" t="n">
        <v>0.05</v>
      </c>
      <c r="N4108" s="3" t="n">
        <v>958.22</v>
      </c>
      <c r="O4108" s="3">
        <f>K4108*L4108*(1-M4108)</f>
        <v/>
      </c>
      <c r="P4108" s="3">
        <f>O4108-N4108</f>
        <v/>
      </c>
      <c r="Q4108" s="5">
        <f>IFERROR(P4108/O4108,0)</f>
        <v/>
      </c>
      <c r="R4108" s="2">
        <f>TEXT(DATEVALUE(B4108),"mmm")</f>
        <v/>
      </c>
      <c r="S4108" s="2">
        <f>TEXT(DATEVALUE(B4108),"yyyy-mm")</f>
        <v/>
      </c>
    </row>
    <row r="4109">
      <c r="A4109" s="2" t="inlineStr">
        <is>
          <t>O003001</t>
        </is>
      </c>
      <c r="B4109" s="2" t="inlineStr">
        <is>
          <t>2025-10-29</t>
        </is>
      </c>
      <c r="C4109" s="2" t="inlineStr">
        <is>
          <t>C0430</t>
        </is>
      </c>
      <c r="D4109" s="2" t="inlineStr">
        <is>
          <t>P0030</t>
        </is>
      </c>
      <c r="E4109" s="2" t="inlineStr">
        <is>
          <t>Dumbbells</t>
        </is>
      </c>
      <c r="F4109" s="2" t="inlineStr">
        <is>
          <t>Sports</t>
        </is>
      </c>
      <c r="G4109" s="2" t="inlineStr">
        <is>
          <t>North</t>
        </is>
      </c>
      <c r="H4109" s="2" t="inlineStr">
        <is>
          <t>Punjab</t>
        </is>
      </c>
      <c r="I4109" s="2" t="inlineStr">
        <is>
          <t>Amritsar</t>
        </is>
      </c>
      <c r="J4109" s="2" t="inlineStr">
        <is>
          <t>Store</t>
        </is>
      </c>
      <c r="K4109" s="2" t="n">
        <v>4</v>
      </c>
      <c r="L4109" s="3" t="n">
        <v>1617.64</v>
      </c>
      <c r="M4109" s="4" t="n">
        <v>0.05</v>
      </c>
      <c r="N4109" s="3" t="n">
        <v>4053.48</v>
      </c>
      <c r="O4109" s="3">
        <f>K4109*L4109*(1-M4109)</f>
        <v/>
      </c>
      <c r="P4109" s="3">
        <f>O4109-N4109</f>
        <v/>
      </c>
      <c r="Q4109" s="5">
        <f>IFERROR(P4109/O4109,0)</f>
        <v/>
      </c>
      <c r="R4109" s="2">
        <f>TEXT(DATEVALUE(B4109),"mmm")</f>
        <v/>
      </c>
      <c r="S4109" s="2">
        <f>TEXT(DATEVALUE(B4109),"yyyy-mm")</f>
        <v/>
      </c>
    </row>
    <row r="4110">
      <c r="A4110" s="2" t="inlineStr">
        <is>
          <t>O002804</t>
        </is>
      </c>
      <c r="B4110" s="2" t="inlineStr">
        <is>
          <t>2025-10-29</t>
        </is>
      </c>
      <c r="C4110" s="2" t="inlineStr">
        <is>
          <t>C0138</t>
        </is>
      </c>
      <c r="D4110" s="2" t="inlineStr">
        <is>
          <t>P0017</t>
        </is>
      </c>
      <c r="E4110" s="2" t="inlineStr">
        <is>
          <t>Jeans</t>
        </is>
      </c>
      <c r="F4110" s="2" t="inlineStr">
        <is>
          <t>Fashion</t>
        </is>
      </c>
      <c r="G4110" s="2" t="inlineStr">
        <is>
          <t>East</t>
        </is>
      </c>
      <c r="H4110" s="2" t="inlineStr">
        <is>
          <t>West Bengal</t>
        </is>
      </c>
      <c r="I4110" s="2" t="inlineStr">
        <is>
          <t>Kolkata</t>
        </is>
      </c>
      <c r="J4110" s="2" t="inlineStr">
        <is>
          <t>Store</t>
        </is>
      </c>
      <c r="K4110" s="2" t="n">
        <v>1</v>
      </c>
      <c r="L4110" s="3" t="n">
        <v>1520.13</v>
      </c>
      <c r="M4110" s="4" t="n">
        <v>0.1</v>
      </c>
      <c r="N4110" s="3" t="n">
        <v>1021.76</v>
      </c>
      <c r="O4110" s="3">
        <f>K4110*L4110*(1-M4110)</f>
        <v/>
      </c>
      <c r="P4110" s="3">
        <f>O4110-N4110</f>
        <v/>
      </c>
      <c r="Q4110" s="5">
        <f>IFERROR(P4110/O4110,0)</f>
        <v/>
      </c>
      <c r="R4110" s="2">
        <f>TEXT(DATEVALUE(B4110),"mmm")</f>
        <v/>
      </c>
      <c r="S4110" s="2">
        <f>TEXT(DATEVALUE(B4110),"yyyy-mm")</f>
        <v/>
      </c>
    </row>
    <row r="4111">
      <c r="A4111" s="2" t="inlineStr">
        <is>
          <t>O002685</t>
        </is>
      </c>
      <c r="B4111" s="2" t="inlineStr">
        <is>
          <t>2025-10-29</t>
        </is>
      </c>
      <c r="C4111" s="2" t="inlineStr">
        <is>
          <t>C0650</t>
        </is>
      </c>
      <c r="D4111" s="2" t="inlineStr">
        <is>
          <t>P0002</t>
        </is>
      </c>
      <c r="E4111" s="2" t="inlineStr">
        <is>
          <t>Bluetooth Speaker</t>
        </is>
      </c>
      <c r="F4111" s="2" t="inlineStr">
        <is>
          <t>Electronics</t>
        </is>
      </c>
      <c r="G4111" s="2" t="inlineStr">
        <is>
          <t>South</t>
        </is>
      </c>
      <c r="H4111" s="2" t="inlineStr">
        <is>
          <t>Telangana</t>
        </is>
      </c>
      <c r="I4111" s="2" t="inlineStr">
        <is>
          <t>Hyderabad</t>
        </is>
      </c>
      <c r="J4111" s="2" t="inlineStr">
        <is>
          <t>Online</t>
        </is>
      </c>
      <c r="K4111" s="2" t="n">
        <v>2</v>
      </c>
      <c r="L4111" s="3" t="n">
        <v>1419.14</v>
      </c>
      <c r="M4111" s="4" t="n">
        <v>0.2</v>
      </c>
      <c r="N4111" s="3" t="n">
        <v>1591.44</v>
      </c>
      <c r="O4111" s="3">
        <f>K4111*L4111*(1-M4111)</f>
        <v/>
      </c>
      <c r="P4111" s="3">
        <f>O4111-N4111</f>
        <v/>
      </c>
      <c r="Q4111" s="5">
        <f>IFERROR(P4111/O4111,0)</f>
        <v/>
      </c>
      <c r="R4111" s="2">
        <f>TEXT(DATEVALUE(B4111),"mmm")</f>
        <v/>
      </c>
      <c r="S4111" s="2">
        <f>TEXT(DATEVALUE(B4111),"yyyy-mm")</f>
        <v/>
      </c>
    </row>
    <row r="4112">
      <c r="A4112" s="2" t="inlineStr">
        <is>
          <t>O002259</t>
        </is>
      </c>
      <c r="B4112" s="2" t="inlineStr">
        <is>
          <t>2025-10-29</t>
        </is>
      </c>
      <c r="C4112" s="2" t="inlineStr">
        <is>
          <t>C0707</t>
        </is>
      </c>
      <c r="D4112" s="2" t="inlineStr">
        <is>
          <t>P0004</t>
        </is>
      </c>
      <c r="E4112" s="2" t="inlineStr">
        <is>
          <t>USB-C Hub</t>
        </is>
      </c>
      <c r="F4112" s="2" t="inlineStr">
        <is>
          <t>Electronics</t>
        </is>
      </c>
      <c r="G4112" s="2" t="inlineStr">
        <is>
          <t>South</t>
        </is>
      </c>
      <c r="H4112" s="2" t="inlineStr">
        <is>
          <t>Tamil Nadu</t>
        </is>
      </c>
      <c r="I4112" s="2" t="inlineStr">
        <is>
          <t>Madurai</t>
        </is>
      </c>
      <c r="J4112" s="2" t="inlineStr">
        <is>
          <t>Online</t>
        </is>
      </c>
      <c r="K4112" s="2" t="n">
        <v>3</v>
      </c>
      <c r="L4112" s="3" t="n">
        <v>1279.91</v>
      </c>
      <c r="M4112" s="4" t="n">
        <v>0.05</v>
      </c>
      <c r="N4112" s="3" t="n">
        <v>2749.79</v>
      </c>
      <c r="O4112" s="3">
        <f>K4112*L4112*(1-M4112)</f>
        <v/>
      </c>
      <c r="P4112" s="3">
        <f>O4112-N4112</f>
        <v/>
      </c>
      <c r="Q4112" s="5">
        <f>IFERROR(P4112/O4112,0)</f>
        <v/>
      </c>
      <c r="R4112" s="2">
        <f>TEXT(DATEVALUE(B4112),"mmm")</f>
        <v/>
      </c>
      <c r="S4112" s="2">
        <f>TEXT(DATEVALUE(B4112),"yyyy-mm")</f>
        <v/>
      </c>
    </row>
    <row r="4113">
      <c r="A4113" s="2" t="inlineStr">
        <is>
          <t>O002628</t>
        </is>
      </c>
      <c r="B4113" s="2" t="inlineStr">
        <is>
          <t>2025-10-29</t>
        </is>
      </c>
      <c r="C4113" s="2" t="inlineStr">
        <is>
          <t>C0651</t>
        </is>
      </c>
      <c r="D4113" s="2" t="inlineStr">
        <is>
          <t>P0017</t>
        </is>
      </c>
      <c r="E4113" s="2" t="inlineStr">
        <is>
          <t>Jeans</t>
        </is>
      </c>
      <c r="F4113" s="2" t="inlineStr">
        <is>
          <t>Fashion</t>
        </is>
      </c>
      <c r="G4113" s="2" t="inlineStr">
        <is>
          <t>West</t>
        </is>
      </c>
      <c r="H4113" s="2" t="inlineStr">
        <is>
          <t>Gujarat</t>
        </is>
      </c>
      <c r="I4113" s="2" t="inlineStr">
        <is>
          <t>Ahmedabad</t>
        </is>
      </c>
      <c r="J4113" s="2" t="inlineStr">
        <is>
          <t>Store</t>
        </is>
      </c>
      <c r="K4113" s="2" t="n">
        <v>1</v>
      </c>
      <c r="L4113" s="3" t="n">
        <v>1470.65</v>
      </c>
      <c r="M4113" s="4" t="n">
        <v>0.2</v>
      </c>
      <c r="N4113" s="3" t="n">
        <v>1020.18</v>
      </c>
      <c r="O4113" s="3">
        <f>K4113*L4113*(1-M4113)</f>
        <v/>
      </c>
      <c r="P4113" s="3">
        <f>O4113-N4113</f>
        <v/>
      </c>
      <c r="Q4113" s="5">
        <f>IFERROR(P4113/O4113,0)</f>
        <v/>
      </c>
      <c r="R4113" s="2">
        <f>TEXT(DATEVALUE(B4113),"mmm")</f>
        <v/>
      </c>
      <c r="S4113" s="2">
        <f>TEXT(DATEVALUE(B4113),"yyyy-mm")</f>
        <v/>
      </c>
    </row>
    <row r="4114">
      <c r="A4114" s="2" t="inlineStr">
        <is>
          <t>O002069</t>
        </is>
      </c>
      <c r="B4114" s="2" t="inlineStr">
        <is>
          <t>2025-10-29</t>
        </is>
      </c>
      <c r="C4114" s="2" t="inlineStr">
        <is>
          <t>C0650</t>
        </is>
      </c>
      <c r="D4114" s="2" t="inlineStr">
        <is>
          <t>P0022</t>
        </is>
      </c>
      <c r="E4114" s="2" t="inlineStr">
        <is>
          <t>Face Wash</t>
        </is>
      </c>
      <c r="F4114" s="2" t="inlineStr">
        <is>
          <t>Beauty</t>
        </is>
      </c>
      <c r="G4114" s="2" t="inlineStr">
        <is>
          <t>East</t>
        </is>
      </c>
      <c r="H4114" s="2" t="inlineStr">
        <is>
          <t>Bihar</t>
        </is>
      </c>
      <c r="I4114" s="2" t="inlineStr">
        <is>
          <t>Gaya</t>
        </is>
      </c>
      <c r="J4114" s="2" t="inlineStr">
        <is>
          <t>Store</t>
        </is>
      </c>
      <c r="K4114" s="2" t="n">
        <v>1</v>
      </c>
      <c r="L4114" s="3" t="n">
        <v>558.49</v>
      </c>
      <c r="M4114" s="4" t="n">
        <v>0.05</v>
      </c>
      <c r="N4114" s="3" t="n">
        <v>339.68</v>
      </c>
      <c r="O4114" s="3">
        <f>K4114*L4114*(1-M4114)</f>
        <v/>
      </c>
      <c r="P4114" s="3">
        <f>O4114-N4114</f>
        <v/>
      </c>
      <c r="Q4114" s="5">
        <f>IFERROR(P4114/O4114,0)</f>
        <v/>
      </c>
      <c r="R4114" s="2">
        <f>TEXT(DATEVALUE(B4114),"mmm")</f>
        <v/>
      </c>
      <c r="S4114" s="2">
        <f>TEXT(DATEVALUE(B4114),"yyyy-mm")</f>
        <v/>
      </c>
    </row>
    <row r="4115">
      <c r="A4115" s="2" t="inlineStr">
        <is>
          <t>O001537</t>
        </is>
      </c>
      <c r="B4115" s="2" t="inlineStr">
        <is>
          <t>2025-10-29</t>
        </is>
      </c>
      <c r="C4115" s="2" t="inlineStr">
        <is>
          <t>C0118</t>
        </is>
      </c>
      <c r="D4115" s="2" t="inlineStr">
        <is>
          <t>P0006</t>
        </is>
      </c>
      <c r="E4115" s="2" t="inlineStr">
        <is>
          <t>Mechanical Keyboard</t>
        </is>
      </c>
      <c r="F4115" s="2" t="inlineStr">
        <is>
          <t>Electronics</t>
        </is>
      </c>
      <c r="G4115" s="2" t="inlineStr">
        <is>
          <t>North</t>
        </is>
      </c>
      <c r="H4115" s="2" t="inlineStr">
        <is>
          <t>Uttar Pradesh</t>
        </is>
      </c>
      <c r="I4115" s="2" t="inlineStr">
        <is>
          <t>Varanasi</t>
        </is>
      </c>
      <c r="J4115" s="2" t="inlineStr">
        <is>
          <t>Online</t>
        </is>
      </c>
      <c r="K4115" s="2" t="n">
        <v>3</v>
      </c>
      <c r="L4115" s="3" t="n">
        <v>2810.63</v>
      </c>
      <c r="M4115" s="4" t="n">
        <v>0.05</v>
      </c>
      <c r="N4115" s="3" t="n">
        <v>4278.39</v>
      </c>
      <c r="O4115" s="3">
        <f>K4115*L4115*(1-M4115)</f>
        <v/>
      </c>
      <c r="P4115" s="3">
        <f>O4115-N4115</f>
        <v/>
      </c>
      <c r="Q4115" s="5">
        <f>IFERROR(P4115/O4115,0)</f>
        <v/>
      </c>
      <c r="R4115" s="2">
        <f>TEXT(DATEVALUE(B4115),"mmm")</f>
        <v/>
      </c>
      <c r="S4115" s="2">
        <f>TEXT(DATEVALUE(B4115),"yyyy-mm")</f>
        <v/>
      </c>
    </row>
    <row r="4116">
      <c r="A4116" s="2" t="inlineStr">
        <is>
          <t>O001505</t>
        </is>
      </c>
      <c r="B4116" s="2" t="inlineStr">
        <is>
          <t>2025-10-29</t>
        </is>
      </c>
      <c r="C4116" s="2" t="inlineStr">
        <is>
          <t>C0125</t>
        </is>
      </c>
      <c r="D4116" s="2" t="inlineStr">
        <is>
          <t>P0011</t>
        </is>
      </c>
      <c r="E4116" s="2" t="inlineStr">
        <is>
          <t>Cookware Set</t>
        </is>
      </c>
      <c r="F4116" s="2" t="inlineStr">
        <is>
          <t>Home &amp; Kitchen</t>
        </is>
      </c>
      <c r="G4116" s="2" t="inlineStr">
        <is>
          <t>East</t>
        </is>
      </c>
      <c r="H4116" s="2" t="inlineStr">
        <is>
          <t>Odisha</t>
        </is>
      </c>
      <c r="I4116" s="2" t="inlineStr">
        <is>
          <t>Cuttack</t>
        </is>
      </c>
      <c r="J4116" s="2" t="inlineStr">
        <is>
          <t>Store</t>
        </is>
      </c>
      <c r="K4116" s="2" t="n">
        <v>1</v>
      </c>
      <c r="L4116" s="3" t="n">
        <v>723.1799999999999</v>
      </c>
      <c r="M4116" s="4" t="n">
        <v>0.15</v>
      </c>
      <c r="N4116" s="3" t="n">
        <v>457.31</v>
      </c>
      <c r="O4116" s="3">
        <f>K4116*L4116*(1-M4116)</f>
        <v/>
      </c>
      <c r="P4116" s="3">
        <f>O4116-N4116</f>
        <v/>
      </c>
      <c r="Q4116" s="5">
        <f>IFERROR(P4116/O4116,0)</f>
        <v/>
      </c>
      <c r="R4116" s="2">
        <f>TEXT(DATEVALUE(B4116),"mmm")</f>
        <v/>
      </c>
      <c r="S4116" s="2">
        <f>TEXT(DATEVALUE(B4116),"yyyy-mm")</f>
        <v/>
      </c>
    </row>
    <row r="4117">
      <c r="A4117" s="2" t="inlineStr">
        <is>
          <t>O001273</t>
        </is>
      </c>
      <c r="B4117" s="2" t="inlineStr">
        <is>
          <t>2025-10-29</t>
        </is>
      </c>
      <c r="C4117" s="2" t="inlineStr">
        <is>
          <t>C0294</t>
        </is>
      </c>
      <c r="D4117" s="2" t="inlineStr">
        <is>
          <t>P0024</t>
        </is>
      </c>
      <c r="E4117" s="2" t="inlineStr">
        <is>
          <t>Hair Dryer</t>
        </is>
      </c>
      <c r="F4117" s="2" t="inlineStr">
        <is>
          <t>Beauty</t>
        </is>
      </c>
      <c r="G4117" s="2" t="inlineStr">
        <is>
          <t>West</t>
        </is>
      </c>
      <c r="H4117" s="2" t="inlineStr">
        <is>
          <t>Gujarat</t>
        </is>
      </c>
      <c r="I4117" s="2" t="inlineStr">
        <is>
          <t>Vadodara</t>
        </is>
      </c>
      <c r="J4117" s="2" t="inlineStr">
        <is>
          <t>Online</t>
        </is>
      </c>
      <c r="K4117" s="2" t="n">
        <v>3</v>
      </c>
      <c r="L4117" s="3" t="n">
        <v>1048.29</v>
      </c>
      <c r="M4117" s="4" t="n">
        <v>0</v>
      </c>
      <c r="N4117" s="3" t="n">
        <v>2228.96</v>
      </c>
      <c r="O4117" s="3">
        <f>K4117*L4117*(1-M4117)</f>
        <v/>
      </c>
      <c r="P4117" s="3">
        <f>O4117-N4117</f>
        <v/>
      </c>
      <c r="Q4117" s="5">
        <f>IFERROR(P4117/O4117,0)</f>
        <v/>
      </c>
      <c r="R4117" s="2">
        <f>TEXT(DATEVALUE(B4117),"mmm")</f>
        <v/>
      </c>
      <c r="S4117" s="2">
        <f>TEXT(DATEVALUE(B4117),"yyyy-mm")</f>
        <v/>
      </c>
    </row>
    <row r="4118">
      <c r="A4118" s="2" t="inlineStr">
        <is>
          <t>O001159</t>
        </is>
      </c>
      <c r="B4118" s="2" t="inlineStr">
        <is>
          <t>2025-10-29</t>
        </is>
      </c>
      <c r="C4118" s="2" t="inlineStr">
        <is>
          <t>C0761</t>
        </is>
      </c>
      <c r="D4118" s="2" t="inlineStr">
        <is>
          <t>P0026</t>
        </is>
      </c>
      <c r="E4118" s="2" t="inlineStr">
        <is>
          <t>Shampoo</t>
        </is>
      </c>
      <c r="F4118" s="2" t="inlineStr">
        <is>
          <t>Beauty</t>
        </is>
      </c>
      <c r="G4118" s="2" t="inlineStr">
        <is>
          <t>North</t>
        </is>
      </c>
      <c r="H4118" s="2" t="inlineStr">
        <is>
          <t>Uttar Pradesh</t>
        </is>
      </c>
      <c r="I4118" s="2" t="inlineStr">
        <is>
          <t>Noida</t>
        </is>
      </c>
      <c r="J4118" s="2" t="inlineStr">
        <is>
          <t>Online</t>
        </is>
      </c>
      <c r="K4118" s="2" t="n">
        <v>3</v>
      </c>
      <c r="L4118" s="3" t="n">
        <v>903.72</v>
      </c>
      <c r="M4118" s="4" t="n">
        <v>0.1</v>
      </c>
      <c r="N4118" s="3" t="n">
        <v>1573.14</v>
      </c>
      <c r="O4118" s="3">
        <f>K4118*L4118*(1-M4118)</f>
        <v/>
      </c>
      <c r="P4118" s="3">
        <f>O4118-N4118</f>
        <v/>
      </c>
      <c r="Q4118" s="5">
        <f>IFERROR(P4118/O4118,0)</f>
        <v/>
      </c>
      <c r="R4118" s="2">
        <f>TEXT(DATEVALUE(B4118),"mmm")</f>
        <v/>
      </c>
      <c r="S4118" s="2">
        <f>TEXT(DATEVALUE(B4118),"yyyy-mm")</f>
        <v/>
      </c>
    </row>
    <row r="4119">
      <c r="A4119" s="2" t="inlineStr">
        <is>
          <t>O001133</t>
        </is>
      </c>
      <c r="B4119" s="2" t="inlineStr">
        <is>
          <t>2025-10-29</t>
        </is>
      </c>
      <c r="C4119" s="2" t="inlineStr">
        <is>
          <t>C0504</t>
        </is>
      </c>
      <c r="D4119" s="2" t="inlineStr">
        <is>
          <t>P0008</t>
        </is>
      </c>
      <c r="E4119" s="2" t="inlineStr">
        <is>
          <t>Air Fryer</t>
        </is>
      </c>
      <c r="F4119" s="2" t="inlineStr">
        <is>
          <t>Home &amp; Kitchen</t>
        </is>
      </c>
      <c r="G4119" s="2" t="inlineStr">
        <is>
          <t>North</t>
        </is>
      </c>
      <c r="H4119" s="2" t="inlineStr">
        <is>
          <t>Uttar Pradesh</t>
        </is>
      </c>
      <c r="I4119" s="2" t="inlineStr">
        <is>
          <t>Kanpur</t>
        </is>
      </c>
      <c r="J4119" s="2" t="inlineStr">
        <is>
          <t>Online</t>
        </is>
      </c>
      <c r="K4119" s="2" t="n">
        <v>1</v>
      </c>
      <c r="L4119" s="3" t="n">
        <v>1049.47</v>
      </c>
      <c r="M4119" s="4" t="n">
        <v>0.05</v>
      </c>
      <c r="N4119" s="3" t="n">
        <v>674.97</v>
      </c>
      <c r="O4119" s="3">
        <f>K4119*L4119*(1-M4119)</f>
        <v/>
      </c>
      <c r="P4119" s="3">
        <f>O4119-N4119</f>
        <v/>
      </c>
      <c r="Q4119" s="5">
        <f>IFERROR(P4119/O4119,0)</f>
        <v/>
      </c>
      <c r="R4119" s="2">
        <f>TEXT(DATEVALUE(B4119),"mmm")</f>
        <v/>
      </c>
      <c r="S4119" s="2">
        <f>TEXT(DATEVALUE(B4119),"yyyy-mm")</f>
        <v/>
      </c>
    </row>
    <row r="4120">
      <c r="A4120" s="2" t="inlineStr">
        <is>
          <t>O000521</t>
        </is>
      </c>
      <c r="B4120" s="2" t="inlineStr">
        <is>
          <t>2025-10-29</t>
        </is>
      </c>
      <c r="C4120" s="2" t="inlineStr">
        <is>
          <t>C0521</t>
        </is>
      </c>
      <c r="D4120" s="2" t="inlineStr">
        <is>
          <t>P0008</t>
        </is>
      </c>
      <c r="E4120" s="2" t="inlineStr">
        <is>
          <t>Air Fryer</t>
        </is>
      </c>
      <c r="F4120" s="2" t="inlineStr">
        <is>
          <t>Home &amp; Kitchen</t>
        </is>
      </c>
      <c r="G4120" s="2" t="inlineStr">
        <is>
          <t>East</t>
        </is>
      </c>
      <c r="H4120" s="2" t="inlineStr">
        <is>
          <t>Bihar</t>
        </is>
      </c>
      <c r="I4120" s="2" t="inlineStr">
        <is>
          <t>Gaya</t>
        </is>
      </c>
      <c r="J4120" s="2" t="inlineStr">
        <is>
          <t>Store</t>
        </is>
      </c>
      <c r="K4120" s="2" t="n">
        <v>1</v>
      </c>
      <c r="L4120" s="3" t="n">
        <v>1074.66</v>
      </c>
      <c r="M4120" s="4" t="n">
        <v>0.1</v>
      </c>
      <c r="N4120" s="3" t="n">
        <v>697.11</v>
      </c>
      <c r="O4120" s="3">
        <f>K4120*L4120*(1-M4120)</f>
        <v/>
      </c>
      <c r="P4120" s="3">
        <f>O4120-N4120</f>
        <v/>
      </c>
      <c r="Q4120" s="5">
        <f>IFERROR(P4120/O4120,0)</f>
        <v/>
      </c>
      <c r="R4120" s="2">
        <f>TEXT(DATEVALUE(B4120),"mmm")</f>
        <v/>
      </c>
      <c r="S4120" s="2">
        <f>TEXT(DATEVALUE(B4120),"yyyy-mm")</f>
        <v/>
      </c>
    </row>
    <row r="4121">
      <c r="A4121" s="2" t="inlineStr">
        <is>
          <t>O000341</t>
        </is>
      </c>
      <c r="B4121" s="2" t="inlineStr">
        <is>
          <t>2025-10-29</t>
        </is>
      </c>
      <c r="C4121" s="2" t="inlineStr">
        <is>
          <t>C0244</t>
        </is>
      </c>
      <c r="D4121" s="2" t="inlineStr">
        <is>
          <t>P0004</t>
        </is>
      </c>
      <c r="E4121" s="2" t="inlineStr">
        <is>
          <t>USB-C Hub</t>
        </is>
      </c>
      <c r="F4121" s="2" t="inlineStr">
        <is>
          <t>Electronics</t>
        </is>
      </c>
      <c r="G4121" s="2" t="inlineStr">
        <is>
          <t>North</t>
        </is>
      </c>
      <c r="H4121" s="2" t="inlineStr">
        <is>
          <t>Uttar Pradesh</t>
        </is>
      </c>
      <c r="I4121" s="2" t="inlineStr">
        <is>
          <t>Varanasi</t>
        </is>
      </c>
      <c r="J4121" s="2" t="inlineStr">
        <is>
          <t>Store</t>
        </is>
      </c>
      <c r="K4121" s="2" t="n">
        <v>1</v>
      </c>
      <c r="L4121" s="3" t="n">
        <v>1274.19</v>
      </c>
      <c r="M4121" s="4" t="n">
        <v>0</v>
      </c>
      <c r="N4121" s="3" t="n">
        <v>899.58</v>
      </c>
      <c r="O4121" s="3">
        <f>K4121*L4121*(1-M4121)</f>
        <v/>
      </c>
      <c r="P4121" s="3">
        <f>O4121-N4121</f>
        <v/>
      </c>
      <c r="Q4121" s="5">
        <f>IFERROR(P4121/O4121,0)</f>
        <v/>
      </c>
      <c r="R4121" s="2">
        <f>TEXT(DATEVALUE(B4121),"mmm")</f>
        <v/>
      </c>
      <c r="S4121" s="2">
        <f>TEXT(DATEVALUE(B4121),"yyyy-mm")</f>
        <v/>
      </c>
    </row>
    <row r="4122">
      <c r="A4122" s="2" t="inlineStr">
        <is>
          <t>O002144</t>
        </is>
      </c>
      <c r="B4122" s="2" t="inlineStr">
        <is>
          <t>2025-10-29</t>
        </is>
      </c>
      <c r="C4122" s="2" t="inlineStr">
        <is>
          <t>C0107</t>
        </is>
      </c>
      <c r="D4122" s="2" t="inlineStr">
        <is>
          <t>P0007</t>
        </is>
      </c>
      <c r="E4122" s="2" t="inlineStr">
        <is>
          <t>Wireless Mouse</t>
        </is>
      </c>
      <c r="F4122" s="2" t="inlineStr">
        <is>
          <t>Electronics</t>
        </is>
      </c>
      <c r="G4122" s="2" t="inlineStr">
        <is>
          <t>North</t>
        </is>
      </c>
      <c r="H4122" s="2" t="inlineStr">
        <is>
          <t>Delhi</t>
        </is>
      </c>
      <c r="I4122" s="2" t="inlineStr">
        <is>
          <t>New Delhi</t>
        </is>
      </c>
      <c r="J4122" s="2" t="inlineStr">
        <is>
          <t>Store</t>
        </is>
      </c>
      <c r="K4122" s="2" t="n">
        <v>1</v>
      </c>
      <c r="L4122" s="3" t="n">
        <v>999.52</v>
      </c>
      <c r="M4122" s="4" t="n">
        <v>0</v>
      </c>
      <c r="N4122" s="3" t="n">
        <v>640.01</v>
      </c>
      <c r="O4122" s="3">
        <f>K4122*L4122*(1-M4122)</f>
        <v/>
      </c>
      <c r="P4122" s="3">
        <f>O4122-N4122</f>
        <v/>
      </c>
      <c r="Q4122" s="5">
        <f>IFERROR(P4122/O4122,0)</f>
        <v/>
      </c>
      <c r="R4122" s="2">
        <f>TEXT(DATEVALUE(B4122),"mmm")</f>
        <v/>
      </c>
      <c r="S4122" s="2">
        <f>TEXT(DATEVALUE(B4122),"yyyy-mm")</f>
        <v/>
      </c>
    </row>
    <row r="4123">
      <c r="A4123" s="2" t="inlineStr">
        <is>
          <t>O002312</t>
        </is>
      </c>
      <c r="B4123" s="2" t="inlineStr">
        <is>
          <t>2025-10-30</t>
        </is>
      </c>
      <c r="C4123" s="2" t="inlineStr">
        <is>
          <t>C0399</t>
        </is>
      </c>
      <c r="D4123" s="2" t="inlineStr">
        <is>
          <t>P0012</t>
        </is>
      </c>
      <c r="E4123" s="2" t="inlineStr">
        <is>
          <t>Water Bottle</t>
        </is>
      </c>
      <c r="F4123" s="2" t="inlineStr">
        <is>
          <t>Home &amp; Kitchen</t>
        </is>
      </c>
      <c r="G4123" s="2" t="inlineStr">
        <is>
          <t>South</t>
        </is>
      </c>
      <c r="H4123" s="2" t="inlineStr">
        <is>
          <t>Tamil Nadu</t>
        </is>
      </c>
      <c r="I4123" s="2" t="inlineStr">
        <is>
          <t>Coimbatore</t>
        </is>
      </c>
      <c r="J4123" s="2" t="inlineStr">
        <is>
          <t>Online</t>
        </is>
      </c>
      <c r="K4123" s="2" t="n">
        <v>1</v>
      </c>
      <c r="L4123" s="3" t="n">
        <v>957.1900000000001</v>
      </c>
      <c r="M4123" s="4" t="n">
        <v>0</v>
      </c>
      <c r="N4123" s="3" t="n">
        <v>628.15</v>
      </c>
      <c r="O4123" s="3">
        <f>K4123*L4123*(1-M4123)</f>
        <v/>
      </c>
      <c r="P4123" s="3">
        <f>O4123-N4123</f>
        <v/>
      </c>
      <c r="Q4123" s="5">
        <f>IFERROR(P4123/O4123,0)</f>
        <v/>
      </c>
      <c r="R4123" s="2">
        <f>TEXT(DATEVALUE(B4123),"mmm")</f>
        <v/>
      </c>
      <c r="S4123" s="2">
        <f>TEXT(DATEVALUE(B4123),"yyyy-mm")</f>
        <v/>
      </c>
    </row>
    <row r="4124">
      <c r="A4124" s="2" t="inlineStr">
        <is>
          <t>O002770</t>
        </is>
      </c>
      <c r="B4124" s="2" t="inlineStr">
        <is>
          <t>2025-10-30</t>
        </is>
      </c>
      <c r="C4124" s="2" t="inlineStr">
        <is>
          <t>C0371</t>
        </is>
      </c>
      <c r="D4124" s="2" t="inlineStr">
        <is>
          <t>P0014</t>
        </is>
      </c>
      <c r="E4124" s="2" t="inlineStr">
        <is>
          <t>Coffee Maker</t>
        </is>
      </c>
      <c r="F4124" s="2" t="inlineStr">
        <is>
          <t>Home &amp; Kitchen</t>
        </is>
      </c>
      <c r="G4124" s="2" t="inlineStr">
        <is>
          <t>West</t>
        </is>
      </c>
      <c r="H4124" s="2" t="inlineStr">
        <is>
          <t>Gujarat</t>
        </is>
      </c>
      <c r="I4124" s="2" t="inlineStr">
        <is>
          <t>Ahmedabad</t>
        </is>
      </c>
      <c r="J4124" s="2" t="inlineStr">
        <is>
          <t>Store</t>
        </is>
      </c>
      <c r="K4124" s="2" t="n">
        <v>3</v>
      </c>
      <c r="L4124" s="3" t="n">
        <v>1005.36</v>
      </c>
      <c r="M4124" s="4" t="n">
        <v>0</v>
      </c>
      <c r="N4124" s="3" t="n">
        <v>2343.56</v>
      </c>
      <c r="O4124" s="3">
        <f>K4124*L4124*(1-M4124)</f>
        <v/>
      </c>
      <c r="P4124" s="3">
        <f>O4124-N4124</f>
        <v/>
      </c>
      <c r="Q4124" s="5">
        <f>IFERROR(P4124/O4124,0)</f>
        <v/>
      </c>
      <c r="R4124" s="2">
        <f>TEXT(DATEVALUE(B4124),"mmm")</f>
        <v/>
      </c>
      <c r="S4124" s="2">
        <f>TEXT(DATEVALUE(B4124),"yyyy-mm")</f>
        <v/>
      </c>
    </row>
    <row r="4125">
      <c r="A4125" s="2" t="inlineStr">
        <is>
          <t>O003079</t>
        </is>
      </c>
      <c r="B4125" s="2" t="inlineStr">
        <is>
          <t>2025-10-30</t>
        </is>
      </c>
      <c r="C4125" s="2" t="inlineStr">
        <is>
          <t>C0106</t>
        </is>
      </c>
      <c r="D4125" s="2" t="inlineStr">
        <is>
          <t>P0019</t>
        </is>
      </c>
      <c r="E4125" s="2" t="inlineStr">
        <is>
          <t>Jacket</t>
        </is>
      </c>
      <c r="F4125" s="2" t="inlineStr">
        <is>
          <t>Fashion</t>
        </is>
      </c>
      <c r="G4125" s="2" t="inlineStr">
        <is>
          <t>North</t>
        </is>
      </c>
      <c r="H4125" s="2" t="inlineStr">
        <is>
          <t>Uttar Pradesh</t>
        </is>
      </c>
      <c r="I4125" s="2" t="inlineStr">
        <is>
          <t>Varanasi</t>
        </is>
      </c>
      <c r="J4125" s="2" t="inlineStr">
        <is>
          <t>Store</t>
        </is>
      </c>
      <c r="K4125" s="2" t="n">
        <v>1</v>
      </c>
      <c r="L4125" s="3" t="n">
        <v>1029.66</v>
      </c>
      <c r="M4125" s="4" t="n">
        <v>0.15</v>
      </c>
      <c r="N4125" s="3" t="n">
        <v>661.3</v>
      </c>
      <c r="O4125" s="3">
        <f>K4125*L4125*(1-M4125)</f>
        <v/>
      </c>
      <c r="P4125" s="3">
        <f>O4125-N4125</f>
        <v/>
      </c>
      <c r="Q4125" s="5">
        <f>IFERROR(P4125/O4125,0)</f>
        <v/>
      </c>
      <c r="R4125" s="2">
        <f>TEXT(DATEVALUE(B4125),"mmm")</f>
        <v/>
      </c>
      <c r="S4125" s="2">
        <f>TEXT(DATEVALUE(B4125),"yyyy-mm")</f>
        <v/>
      </c>
    </row>
    <row r="4126">
      <c r="A4126" s="2" t="inlineStr">
        <is>
          <t>O003567</t>
        </is>
      </c>
      <c r="B4126" s="2" t="inlineStr">
        <is>
          <t>2025-10-30</t>
        </is>
      </c>
      <c r="C4126" s="2" t="inlineStr">
        <is>
          <t>C0091</t>
        </is>
      </c>
      <c r="D4126" s="2" t="inlineStr">
        <is>
          <t>P0009</t>
        </is>
      </c>
      <c r="E4126" s="2" t="inlineStr">
        <is>
          <t>Electric Kettle</t>
        </is>
      </c>
      <c r="F4126" s="2" t="inlineStr">
        <is>
          <t>Home &amp; Kitchen</t>
        </is>
      </c>
      <c r="G4126" s="2" t="inlineStr">
        <is>
          <t>East</t>
        </is>
      </c>
      <c r="H4126" s="2" t="inlineStr">
        <is>
          <t>Odisha</t>
        </is>
      </c>
      <c r="I4126" s="2" t="inlineStr">
        <is>
          <t>Bhubaneswar</t>
        </is>
      </c>
      <c r="J4126" s="2" t="inlineStr">
        <is>
          <t>Store</t>
        </is>
      </c>
      <c r="K4126" s="2" t="n">
        <v>1</v>
      </c>
      <c r="L4126" s="3" t="n">
        <v>2152.56</v>
      </c>
      <c r="M4126" s="4" t="n">
        <v>0</v>
      </c>
      <c r="N4126" s="3" t="n">
        <v>1126.68</v>
      </c>
      <c r="O4126" s="3">
        <f>K4126*L4126*(1-M4126)</f>
        <v/>
      </c>
      <c r="P4126" s="3">
        <f>O4126-N4126</f>
        <v/>
      </c>
      <c r="Q4126" s="5">
        <f>IFERROR(P4126/O4126,0)</f>
        <v/>
      </c>
      <c r="R4126" s="2">
        <f>TEXT(DATEVALUE(B4126),"mmm")</f>
        <v/>
      </c>
      <c r="S4126" s="2">
        <f>TEXT(DATEVALUE(B4126),"yyyy-mm")</f>
        <v/>
      </c>
    </row>
    <row r="4127">
      <c r="A4127" s="2" t="inlineStr">
        <is>
          <t>O004135</t>
        </is>
      </c>
      <c r="B4127" s="2" t="inlineStr">
        <is>
          <t>2025-10-30</t>
        </is>
      </c>
      <c r="C4127" s="2" t="inlineStr">
        <is>
          <t>C0418</t>
        </is>
      </c>
      <c r="D4127" s="2" t="inlineStr">
        <is>
          <t>P0014</t>
        </is>
      </c>
      <c r="E4127" s="2" t="inlineStr">
        <is>
          <t>Coffee Maker</t>
        </is>
      </c>
      <c r="F4127" s="2" t="inlineStr">
        <is>
          <t>Home &amp; Kitchen</t>
        </is>
      </c>
      <c r="G4127" s="2" t="inlineStr">
        <is>
          <t>South</t>
        </is>
      </c>
      <c r="H4127" s="2" t="inlineStr">
        <is>
          <t>Kerala</t>
        </is>
      </c>
      <c r="I4127" s="2" t="inlineStr">
        <is>
          <t>Kochi</t>
        </is>
      </c>
      <c r="J4127" s="2" t="inlineStr">
        <is>
          <t>Store</t>
        </is>
      </c>
      <c r="K4127" s="2" t="n">
        <v>1</v>
      </c>
      <c r="L4127" s="3" t="n">
        <v>1022.44</v>
      </c>
      <c r="M4127" s="4" t="n">
        <v>0.15</v>
      </c>
      <c r="N4127" s="3" t="n">
        <v>779.49</v>
      </c>
      <c r="O4127" s="3">
        <f>K4127*L4127*(1-M4127)</f>
        <v/>
      </c>
      <c r="P4127" s="3">
        <f>O4127-N4127</f>
        <v/>
      </c>
      <c r="Q4127" s="5">
        <f>IFERROR(P4127/O4127,0)</f>
        <v/>
      </c>
      <c r="R4127" s="2">
        <f>TEXT(DATEVALUE(B4127),"mmm")</f>
        <v/>
      </c>
      <c r="S4127" s="2">
        <f>TEXT(DATEVALUE(B4127),"yyyy-mm")</f>
        <v/>
      </c>
    </row>
    <row r="4128">
      <c r="A4128" s="2" t="inlineStr">
        <is>
          <t>O003790</t>
        </is>
      </c>
      <c r="B4128" s="2" t="inlineStr">
        <is>
          <t>2025-10-30</t>
        </is>
      </c>
      <c r="C4128" s="2" t="inlineStr">
        <is>
          <t>C0217</t>
        </is>
      </c>
      <c r="D4128" s="2" t="inlineStr">
        <is>
          <t>P0030</t>
        </is>
      </c>
      <c r="E4128" s="2" t="inlineStr">
        <is>
          <t>Dumbbells</t>
        </is>
      </c>
      <c r="F4128" s="2" t="inlineStr">
        <is>
          <t>Sports</t>
        </is>
      </c>
      <c r="G4128" s="2" t="inlineStr">
        <is>
          <t>East</t>
        </is>
      </c>
      <c r="H4128" s="2" t="inlineStr">
        <is>
          <t>West Bengal</t>
        </is>
      </c>
      <c r="I4128" s="2" t="inlineStr">
        <is>
          <t>Durgapur</t>
        </is>
      </c>
      <c r="J4128" s="2" t="inlineStr">
        <is>
          <t>Online</t>
        </is>
      </c>
      <c r="K4128" s="2" t="n">
        <v>1</v>
      </c>
      <c r="L4128" s="3" t="n">
        <v>1572.52</v>
      </c>
      <c r="M4128" s="4" t="n">
        <v>0</v>
      </c>
      <c r="N4128" s="3" t="n">
        <v>1008.67</v>
      </c>
      <c r="O4128" s="3">
        <f>K4128*L4128*(1-M4128)</f>
        <v/>
      </c>
      <c r="P4128" s="3">
        <f>O4128-N4128</f>
        <v/>
      </c>
      <c r="Q4128" s="5">
        <f>IFERROR(P4128/O4128,0)</f>
        <v/>
      </c>
      <c r="R4128" s="2">
        <f>TEXT(DATEVALUE(B4128),"mmm")</f>
        <v/>
      </c>
      <c r="S4128" s="2">
        <f>TEXT(DATEVALUE(B4128),"yyyy-mm")</f>
        <v/>
      </c>
    </row>
    <row r="4129">
      <c r="A4129" s="2" t="inlineStr">
        <is>
          <t>O004077</t>
        </is>
      </c>
      <c r="B4129" s="2" t="inlineStr">
        <is>
          <t>2025-10-30</t>
        </is>
      </c>
      <c r="C4129" s="2" t="inlineStr">
        <is>
          <t>C0203</t>
        </is>
      </c>
      <c r="D4129" s="2" t="inlineStr">
        <is>
          <t>P0001</t>
        </is>
      </c>
      <c r="E4129" s="2" t="inlineStr">
        <is>
          <t>Wireless Headphones</t>
        </is>
      </c>
      <c r="F4129" s="2" t="inlineStr">
        <is>
          <t>Electronics</t>
        </is>
      </c>
      <c r="G4129" s="2" t="inlineStr">
        <is>
          <t>East</t>
        </is>
      </c>
      <c r="H4129" s="2" t="inlineStr">
        <is>
          <t>Odisha</t>
        </is>
      </c>
      <c r="I4129" s="2" t="inlineStr">
        <is>
          <t>Bhubaneswar</t>
        </is>
      </c>
      <c r="J4129" s="2" t="inlineStr">
        <is>
          <t>Store</t>
        </is>
      </c>
      <c r="K4129" s="2" t="n">
        <v>1</v>
      </c>
      <c r="L4129" s="3" t="n">
        <v>1339.03</v>
      </c>
      <c r="M4129" s="4" t="n">
        <v>0.05</v>
      </c>
      <c r="N4129" s="3" t="n">
        <v>727.9299999999999</v>
      </c>
      <c r="O4129" s="3">
        <f>K4129*L4129*(1-M4129)</f>
        <v/>
      </c>
      <c r="P4129" s="3">
        <f>O4129-N4129</f>
        <v/>
      </c>
      <c r="Q4129" s="5">
        <f>IFERROR(P4129/O4129,0)</f>
        <v/>
      </c>
      <c r="R4129" s="2">
        <f>TEXT(DATEVALUE(B4129),"mmm")</f>
        <v/>
      </c>
      <c r="S4129" s="2">
        <f>TEXT(DATEVALUE(B4129),"yyyy-mm")</f>
        <v/>
      </c>
    </row>
    <row r="4130">
      <c r="A4130" s="2" t="inlineStr">
        <is>
          <t>O004502</t>
        </is>
      </c>
      <c r="B4130" s="2" t="inlineStr">
        <is>
          <t>2025-10-30</t>
        </is>
      </c>
      <c r="C4130" s="2" t="inlineStr">
        <is>
          <t>C0242</t>
        </is>
      </c>
      <c r="D4130" s="2" t="inlineStr">
        <is>
          <t>P0031</t>
        </is>
      </c>
      <c r="E4130" s="2" t="inlineStr">
        <is>
          <t>Cricket Bat</t>
        </is>
      </c>
      <c r="F4130" s="2" t="inlineStr">
        <is>
          <t>Sports</t>
        </is>
      </c>
      <c r="G4130" s="2" t="inlineStr">
        <is>
          <t>South</t>
        </is>
      </c>
      <c r="H4130" s="2" t="inlineStr">
        <is>
          <t>Telangana</t>
        </is>
      </c>
      <c r="I4130" s="2" t="inlineStr">
        <is>
          <t>Hyderabad</t>
        </is>
      </c>
      <c r="J4130" s="2" t="inlineStr">
        <is>
          <t>Online</t>
        </is>
      </c>
      <c r="K4130" s="2" t="n">
        <v>2</v>
      </c>
      <c r="L4130" s="3" t="n">
        <v>1325</v>
      </c>
      <c r="M4130" s="4" t="n">
        <v>0.2</v>
      </c>
      <c r="N4130" s="3" t="n">
        <v>1829.64</v>
      </c>
      <c r="O4130" s="3">
        <f>K4130*L4130*(1-M4130)</f>
        <v/>
      </c>
      <c r="P4130" s="3">
        <f>O4130-N4130</f>
        <v/>
      </c>
      <c r="Q4130" s="5">
        <f>IFERROR(P4130/O4130,0)</f>
        <v/>
      </c>
      <c r="R4130" s="2">
        <f>TEXT(DATEVALUE(B4130),"mmm")</f>
        <v/>
      </c>
      <c r="S4130" s="2">
        <f>TEXT(DATEVALUE(B4130),"yyyy-mm")</f>
        <v/>
      </c>
    </row>
    <row r="4131">
      <c r="A4131" s="2" t="inlineStr">
        <is>
          <t>O003743</t>
        </is>
      </c>
      <c r="B4131" s="2" t="inlineStr">
        <is>
          <t>2025-10-30</t>
        </is>
      </c>
      <c r="C4131" s="2" t="inlineStr">
        <is>
          <t>C0498</t>
        </is>
      </c>
      <c r="D4131" s="2" t="inlineStr">
        <is>
          <t>P0010</t>
        </is>
      </c>
      <c r="E4131" s="2" t="inlineStr">
        <is>
          <t>Mixer Grinder</t>
        </is>
      </c>
      <c r="F4131" s="2" t="inlineStr">
        <is>
          <t>Home &amp; Kitchen</t>
        </is>
      </c>
      <c r="G4131" s="2" t="inlineStr">
        <is>
          <t>East</t>
        </is>
      </c>
      <c r="H4131" s="2" t="inlineStr">
        <is>
          <t>Odisha</t>
        </is>
      </c>
      <c r="I4131" s="2" t="inlineStr">
        <is>
          <t>Cuttack</t>
        </is>
      </c>
      <c r="J4131" s="2" t="inlineStr">
        <is>
          <t>Store</t>
        </is>
      </c>
      <c r="K4131" s="2" t="n">
        <v>2</v>
      </c>
      <c r="L4131" s="3" t="n">
        <v>1606.21</v>
      </c>
      <c r="M4131" s="4" t="n">
        <v>0.05</v>
      </c>
      <c r="N4131" s="3" t="n">
        <v>2050.56</v>
      </c>
      <c r="O4131" s="3">
        <f>K4131*L4131*(1-M4131)</f>
        <v/>
      </c>
      <c r="P4131" s="3">
        <f>O4131-N4131</f>
        <v/>
      </c>
      <c r="Q4131" s="5">
        <f>IFERROR(P4131/O4131,0)</f>
        <v/>
      </c>
      <c r="R4131" s="2">
        <f>TEXT(DATEVALUE(B4131),"mmm")</f>
        <v/>
      </c>
      <c r="S4131" s="2">
        <f>TEXT(DATEVALUE(B4131),"yyyy-mm")</f>
        <v/>
      </c>
    </row>
    <row r="4132">
      <c r="A4132" s="2" t="inlineStr">
        <is>
          <t>O002064</t>
        </is>
      </c>
      <c r="B4132" s="2" t="inlineStr">
        <is>
          <t>2025-10-30</t>
        </is>
      </c>
      <c r="C4132" s="2" t="inlineStr">
        <is>
          <t>C0735</t>
        </is>
      </c>
      <c r="D4132" s="2" t="inlineStr">
        <is>
          <t>P0031</t>
        </is>
      </c>
      <c r="E4132" s="2" t="inlineStr">
        <is>
          <t>Cricket Bat</t>
        </is>
      </c>
      <c r="F4132" s="2" t="inlineStr">
        <is>
          <t>Sports</t>
        </is>
      </c>
      <c r="G4132" s="2" t="inlineStr">
        <is>
          <t>West</t>
        </is>
      </c>
      <c r="H4132" s="2" t="inlineStr">
        <is>
          <t>Goa</t>
        </is>
      </c>
      <c r="I4132" s="2" t="inlineStr">
        <is>
          <t>Panaji</t>
        </is>
      </c>
      <c r="J4132" s="2" t="inlineStr">
        <is>
          <t>Store</t>
        </is>
      </c>
      <c r="K4132" s="2" t="n">
        <v>2</v>
      </c>
      <c r="L4132" s="3" t="n">
        <v>1363.82</v>
      </c>
      <c r="M4132" s="4" t="n">
        <v>0.15</v>
      </c>
      <c r="N4132" s="3" t="n">
        <v>1839.54</v>
      </c>
      <c r="O4132" s="3">
        <f>K4132*L4132*(1-M4132)</f>
        <v/>
      </c>
      <c r="P4132" s="3">
        <f>O4132-N4132</f>
        <v/>
      </c>
      <c r="Q4132" s="5">
        <f>IFERROR(P4132/O4132,0)</f>
        <v/>
      </c>
      <c r="R4132" s="2">
        <f>TEXT(DATEVALUE(B4132),"mmm")</f>
        <v/>
      </c>
      <c r="S4132" s="2">
        <f>TEXT(DATEVALUE(B4132),"yyyy-mm")</f>
        <v/>
      </c>
    </row>
    <row r="4133">
      <c r="A4133" s="2" t="inlineStr">
        <is>
          <t>O002149</t>
        </is>
      </c>
      <c r="B4133" s="2" t="inlineStr">
        <is>
          <t>2025-10-30</t>
        </is>
      </c>
      <c r="C4133" s="2" t="inlineStr">
        <is>
          <t>C0099</t>
        </is>
      </c>
      <c r="D4133" s="2" t="inlineStr">
        <is>
          <t>P0016</t>
        </is>
      </c>
      <c r="E4133" s="2" t="inlineStr">
        <is>
          <t>Casual Shirt</t>
        </is>
      </c>
      <c r="F4133" s="2" t="inlineStr">
        <is>
          <t>Fashion</t>
        </is>
      </c>
      <c r="G4133" s="2" t="inlineStr">
        <is>
          <t>West</t>
        </is>
      </c>
      <c r="H4133" s="2" t="inlineStr">
        <is>
          <t>Goa</t>
        </is>
      </c>
      <c r="I4133" s="2" t="inlineStr">
        <is>
          <t>Margao</t>
        </is>
      </c>
      <c r="J4133" s="2" t="inlineStr">
        <is>
          <t>Online</t>
        </is>
      </c>
      <c r="K4133" s="2" t="n">
        <v>3</v>
      </c>
      <c r="L4133" s="3" t="n">
        <v>1276.69</v>
      </c>
      <c r="M4133" s="4" t="n">
        <v>0.25</v>
      </c>
      <c r="N4133" s="3" t="n">
        <v>2728.85</v>
      </c>
      <c r="O4133" s="3">
        <f>K4133*L4133*(1-M4133)</f>
        <v/>
      </c>
      <c r="P4133" s="3">
        <f>O4133-N4133</f>
        <v/>
      </c>
      <c r="Q4133" s="5">
        <f>IFERROR(P4133/O4133,0)</f>
        <v/>
      </c>
      <c r="R4133" s="2">
        <f>TEXT(DATEVALUE(B4133),"mmm")</f>
        <v/>
      </c>
      <c r="S4133" s="2">
        <f>TEXT(DATEVALUE(B4133),"yyyy-mm")</f>
        <v/>
      </c>
    </row>
    <row r="4134">
      <c r="A4134" s="2" t="inlineStr">
        <is>
          <t>O001742</t>
        </is>
      </c>
      <c r="B4134" s="2" t="inlineStr">
        <is>
          <t>2025-10-30</t>
        </is>
      </c>
      <c r="C4134" s="2" t="inlineStr">
        <is>
          <t>C0230</t>
        </is>
      </c>
      <c r="D4134" s="2" t="inlineStr">
        <is>
          <t>P0032</t>
        </is>
      </c>
      <c r="E4134" s="2" t="inlineStr">
        <is>
          <t>Football</t>
        </is>
      </c>
      <c r="F4134" s="2" t="inlineStr">
        <is>
          <t>Sports</t>
        </is>
      </c>
      <c r="G4134" s="2" t="inlineStr">
        <is>
          <t>East</t>
        </is>
      </c>
      <c r="H4134" s="2" t="inlineStr">
        <is>
          <t>Bihar</t>
        </is>
      </c>
      <c r="I4134" s="2" t="inlineStr">
        <is>
          <t>Gaya</t>
        </is>
      </c>
      <c r="J4134" s="2" t="inlineStr">
        <is>
          <t>Store</t>
        </is>
      </c>
      <c r="K4134" s="2" t="n">
        <v>1</v>
      </c>
      <c r="L4134" s="3" t="n">
        <v>825.6900000000001</v>
      </c>
      <c r="M4134" s="4" t="n">
        <v>0.05</v>
      </c>
      <c r="N4134" s="3" t="n">
        <v>524.46</v>
      </c>
      <c r="O4134" s="3">
        <f>K4134*L4134*(1-M4134)</f>
        <v/>
      </c>
      <c r="P4134" s="3">
        <f>O4134-N4134</f>
        <v/>
      </c>
      <c r="Q4134" s="5">
        <f>IFERROR(P4134/O4134,0)</f>
        <v/>
      </c>
      <c r="R4134" s="2">
        <f>TEXT(DATEVALUE(B4134),"mmm")</f>
        <v/>
      </c>
      <c r="S4134" s="2">
        <f>TEXT(DATEVALUE(B4134),"yyyy-mm")</f>
        <v/>
      </c>
    </row>
    <row r="4135">
      <c r="A4135" s="2" t="inlineStr">
        <is>
          <t>O001433</t>
        </is>
      </c>
      <c r="B4135" s="2" t="inlineStr">
        <is>
          <t>2025-10-30</t>
        </is>
      </c>
      <c r="C4135" s="2" t="inlineStr">
        <is>
          <t>C0296</t>
        </is>
      </c>
      <c r="D4135" s="2" t="inlineStr">
        <is>
          <t>P0016</t>
        </is>
      </c>
      <c r="E4135" s="2" t="inlineStr">
        <is>
          <t>Casual Shirt</t>
        </is>
      </c>
      <c r="F4135" s="2" t="inlineStr">
        <is>
          <t>Fashion</t>
        </is>
      </c>
      <c r="G4135" s="2" t="inlineStr">
        <is>
          <t>West</t>
        </is>
      </c>
      <c r="H4135" s="2" t="inlineStr">
        <is>
          <t>Maharashtra</t>
        </is>
      </c>
      <c r="I4135" s="2" t="inlineStr">
        <is>
          <t>Nagpur</t>
        </is>
      </c>
      <c r="J4135" s="2" t="inlineStr">
        <is>
          <t>Online</t>
        </is>
      </c>
      <c r="K4135" s="2" t="n">
        <v>2</v>
      </c>
      <c r="L4135" s="3" t="n">
        <v>1303.01</v>
      </c>
      <c r="M4135" s="4" t="n">
        <v>0.05</v>
      </c>
      <c r="N4135" s="3" t="n">
        <v>1801.33</v>
      </c>
      <c r="O4135" s="3">
        <f>K4135*L4135*(1-M4135)</f>
        <v/>
      </c>
      <c r="P4135" s="3">
        <f>O4135-N4135</f>
        <v/>
      </c>
      <c r="Q4135" s="5">
        <f>IFERROR(P4135/O4135,0)</f>
        <v/>
      </c>
      <c r="R4135" s="2">
        <f>TEXT(DATEVALUE(B4135),"mmm")</f>
        <v/>
      </c>
      <c r="S4135" s="2">
        <f>TEXT(DATEVALUE(B4135),"yyyy-mm")</f>
        <v/>
      </c>
    </row>
    <row r="4136">
      <c r="A4136" s="2" t="inlineStr">
        <is>
          <t>O001291</t>
        </is>
      </c>
      <c r="B4136" s="2" t="inlineStr">
        <is>
          <t>2025-10-30</t>
        </is>
      </c>
      <c r="C4136" s="2" t="inlineStr">
        <is>
          <t>C0719</t>
        </is>
      </c>
      <c r="D4136" s="2" t="inlineStr">
        <is>
          <t>P0031</t>
        </is>
      </c>
      <c r="E4136" s="2" t="inlineStr">
        <is>
          <t>Cricket Bat</t>
        </is>
      </c>
      <c r="F4136" s="2" t="inlineStr">
        <is>
          <t>Sports</t>
        </is>
      </c>
      <c r="G4136" s="2" t="inlineStr">
        <is>
          <t>North</t>
        </is>
      </c>
      <c r="H4136" s="2" t="inlineStr">
        <is>
          <t>Haryana</t>
        </is>
      </c>
      <c r="I4136" s="2" t="inlineStr">
        <is>
          <t>Gurugram</t>
        </is>
      </c>
      <c r="J4136" s="2" t="inlineStr">
        <is>
          <t>Store</t>
        </is>
      </c>
      <c r="K4136" s="2" t="n">
        <v>5</v>
      </c>
      <c r="L4136" s="3" t="n">
        <v>1326.71</v>
      </c>
      <c r="M4136" s="4" t="n">
        <v>0.05</v>
      </c>
      <c r="N4136" s="3" t="n">
        <v>4713.64</v>
      </c>
      <c r="O4136" s="3">
        <f>K4136*L4136*(1-M4136)</f>
        <v/>
      </c>
      <c r="P4136" s="3">
        <f>O4136-N4136</f>
        <v/>
      </c>
      <c r="Q4136" s="5">
        <f>IFERROR(P4136/O4136,0)</f>
        <v/>
      </c>
      <c r="R4136" s="2">
        <f>TEXT(DATEVALUE(B4136),"mmm")</f>
        <v/>
      </c>
      <c r="S4136" s="2">
        <f>TEXT(DATEVALUE(B4136),"yyyy-mm")</f>
        <v/>
      </c>
    </row>
    <row r="4137">
      <c r="A4137" s="2" t="inlineStr">
        <is>
          <t>O001131</t>
        </is>
      </c>
      <c r="B4137" s="2" t="inlineStr">
        <is>
          <t>2025-10-30</t>
        </is>
      </c>
      <c r="C4137" s="2" t="inlineStr">
        <is>
          <t>C0103</t>
        </is>
      </c>
      <c r="D4137" s="2" t="inlineStr">
        <is>
          <t>P0001</t>
        </is>
      </c>
      <c r="E4137" s="2" t="inlineStr">
        <is>
          <t>Wireless Headphones</t>
        </is>
      </c>
      <c r="F4137" s="2" t="inlineStr">
        <is>
          <t>Electronics</t>
        </is>
      </c>
      <c r="G4137" s="2" t="inlineStr">
        <is>
          <t>North</t>
        </is>
      </c>
      <c r="H4137" s="2" t="inlineStr">
        <is>
          <t>Punjab</t>
        </is>
      </c>
      <c r="I4137" s="2" t="inlineStr">
        <is>
          <t>Amritsar</t>
        </is>
      </c>
      <c r="J4137" s="2" t="inlineStr">
        <is>
          <t>Store</t>
        </is>
      </c>
      <c r="K4137" s="2" t="n">
        <v>2</v>
      </c>
      <c r="L4137" s="3" t="n">
        <v>1282.89</v>
      </c>
      <c r="M4137" s="4" t="n">
        <v>0.1</v>
      </c>
      <c r="N4137" s="3" t="n">
        <v>1376.71</v>
      </c>
      <c r="O4137" s="3">
        <f>K4137*L4137*(1-M4137)</f>
        <v/>
      </c>
      <c r="P4137" s="3">
        <f>O4137-N4137</f>
        <v/>
      </c>
      <c r="Q4137" s="5">
        <f>IFERROR(P4137/O4137,0)</f>
        <v/>
      </c>
      <c r="R4137" s="2">
        <f>TEXT(DATEVALUE(B4137),"mmm")</f>
        <v/>
      </c>
      <c r="S4137" s="2">
        <f>TEXT(DATEVALUE(B4137),"yyyy-mm")</f>
        <v/>
      </c>
    </row>
    <row r="4138">
      <c r="A4138" s="2" t="inlineStr">
        <is>
          <t>O001099</t>
        </is>
      </c>
      <c r="B4138" s="2" t="inlineStr">
        <is>
          <t>2025-10-30</t>
        </is>
      </c>
      <c r="C4138" s="2" t="inlineStr">
        <is>
          <t>C0024</t>
        </is>
      </c>
      <c r="D4138" s="2" t="inlineStr">
        <is>
          <t>P0007</t>
        </is>
      </c>
      <c r="E4138" s="2" t="inlineStr">
        <is>
          <t>Wireless Mouse</t>
        </is>
      </c>
      <c r="F4138" s="2" t="inlineStr">
        <is>
          <t>Electronics</t>
        </is>
      </c>
      <c r="G4138" s="2" t="inlineStr">
        <is>
          <t>West</t>
        </is>
      </c>
      <c r="H4138" s="2" t="inlineStr">
        <is>
          <t>Goa</t>
        </is>
      </c>
      <c r="I4138" s="2" t="inlineStr">
        <is>
          <t>Margao</t>
        </is>
      </c>
      <c r="J4138" s="2" t="inlineStr">
        <is>
          <t>Store</t>
        </is>
      </c>
      <c r="K4138" s="2" t="n">
        <v>3</v>
      </c>
      <c r="L4138" s="3" t="n">
        <v>1007.88</v>
      </c>
      <c r="M4138" s="4" t="n">
        <v>0.1</v>
      </c>
      <c r="N4138" s="3" t="n">
        <v>1908.86</v>
      </c>
      <c r="O4138" s="3">
        <f>K4138*L4138*(1-M4138)</f>
        <v/>
      </c>
      <c r="P4138" s="3">
        <f>O4138-N4138</f>
        <v/>
      </c>
      <c r="Q4138" s="5">
        <f>IFERROR(P4138/O4138,0)</f>
        <v/>
      </c>
      <c r="R4138" s="2">
        <f>TEXT(DATEVALUE(B4138),"mmm")</f>
        <v/>
      </c>
      <c r="S4138" s="2">
        <f>TEXT(DATEVALUE(B4138),"yyyy-mm")</f>
        <v/>
      </c>
    </row>
    <row r="4139">
      <c r="A4139" s="2" t="inlineStr">
        <is>
          <t>O000882</t>
        </is>
      </c>
      <c r="B4139" s="2" t="inlineStr">
        <is>
          <t>2025-10-30</t>
        </is>
      </c>
      <c r="C4139" s="2" t="inlineStr">
        <is>
          <t>C0202</t>
        </is>
      </c>
      <c r="D4139" s="2" t="inlineStr">
        <is>
          <t>P0031</t>
        </is>
      </c>
      <c r="E4139" s="2" t="inlineStr">
        <is>
          <t>Cricket Bat</t>
        </is>
      </c>
      <c r="F4139" s="2" t="inlineStr">
        <is>
          <t>Sports</t>
        </is>
      </c>
      <c r="G4139" s="2" t="inlineStr">
        <is>
          <t>West</t>
        </is>
      </c>
      <c r="H4139" s="2" t="inlineStr">
        <is>
          <t>Gujarat</t>
        </is>
      </c>
      <c r="I4139" s="2" t="inlineStr">
        <is>
          <t>Vadodara</t>
        </is>
      </c>
      <c r="J4139" s="2" t="inlineStr">
        <is>
          <t>Online</t>
        </is>
      </c>
      <c r="K4139" s="2" t="n">
        <v>1</v>
      </c>
      <c r="L4139" s="3" t="n">
        <v>1329.5</v>
      </c>
      <c r="M4139" s="4" t="n">
        <v>0</v>
      </c>
      <c r="N4139" s="3" t="n">
        <v>940.61</v>
      </c>
      <c r="O4139" s="3">
        <f>K4139*L4139*(1-M4139)</f>
        <v/>
      </c>
      <c r="P4139" s="3">
        <f>O4139-N4139</f>
        <v/>
      </c>
      <c r="Q4139" s="5">
        <f>IFERROR(P4139/O4139,0)</f>
        <v/>
      </c>
      <c r="R4139" s="2">
        <f>TEXT(DATEVALUE(B4139),"mmm")</f>
        <v/>
      </c>
      <c r="S4139" s="2">
        <f>TEXT(DATEVALUE(B4139),"yyyy-mm")</f>
        <v/>
      </c>
    </row>
    <row r="4140">
      <c r="A4140" s="2" t="inlineStr">
        <is>
          <t>O000781</t>
        </is>
      </c>
      <c r="B4140" s="2" t="inlineStr">
        <is>
          <t>2025-10-30</t>
        </is>
      </c>
      <c r="C4140" s="2" t="inlineStr">
        <is>
          <t>C0161</t>
        </is>
      </c>
      <c r="D4140" s="2" t="inlineStr">
        <is>
          <t>P0008</t>
        </is>
      </c>
      <c r="E4140" s="2" t="inlineStr">
        <is>
          <t>Air Fryer</t>
        </is>
      </c>
      <c r="F4140" s="2" t="inlineStr">
        <is>
          <t>Home &amp; Kitchen</t>
        </is>
      </c>
      <c r="G4140" s="2" t="inlineStr">
        <is>
          <t>West</t>
        </is>
      </c>
      <c r="H4140" s="2" t="inlineStr">
        <is>
          <t>Goa</t>
        </is>
      </c>
      <c r="I4140" s="2" t="inlineStr">
        <is>
          <t>Panaji</t>
        </is>
      </c>
      <c r="J4140" s="2" t="inlineStr">
        <is>
          <t>Online</t>
        </is>
      </c>
      <c r="K4140" s="2" t="n">
        <v>2</v>
      </c>
      <c r="L4140" s="3" t="n">
        <v>1030.9</v>
      </c>
      <c r="M4140" s="4" t="n">
        <v>0.15</v>
      </c>
      <c r="N4140" s="3" t="n">
        <v>1389.61</v>
      </c>
      <c r="O4140" s="3">
        <f>K4140*L4140*(1-M4140)</f>
        <v/>
      </c>
      <c r="P4140" s="3">
        <f>O4140-N4140</f>
        <v/>
      </c>
      <c r="Q4140" s="5">
        <f>IFERROR(P4140/O4140,0)</f>
        <v/>
      </c>
      <c r="R4140" s="2">
        <f>TEXT(DATEVALUE(B4140),"mmm")</f>
        <v/>
      </c>
      <c r="S4140" s="2">
        <f>TEXT(DATEVALUE(B4140),"yyyy-mm")</f>
        <v/>
      </c>
    </row>
    <row r="4141">
      <c r="A4141" s="2" t="inlineStr">
        <is>
          <t>O000714</t>
        </is>
      </c>
      <c r="B4141" s="2" t="inlineStr">
        <is>
          <t>2025-10-30</t>
        </is>
      </c>
      <c r="C4141" s="2" t="inlineStr">
        <is>
          <t>C0667</t>
        </is>
      </c>
      <c r="D4141" s="2" t="inlineStr">
        <is>
          <t>P0007</t>
        </is>
      </c>
      <c r="E4141" s="2" t="inlineStr">
        <is>
          <t>Wireless Mouse</t>
        </is>
      </c>
      <c r="F4141" s="2" t="inlineStr">
        <is>
          <t>Electronics</t>
        </is>
      </c>
      <c r="G4141" s="2" t="inlineStr">
        <is>
          <t>South</t>
        </is>
      </c>
      <c r="H4141" s="2" t="inlineStr">
        <is>
          <t>Tamil Nadu</t>
        </is>
      </c>
      <c r="I4141" s="2" t="inlineStr">
        <is>
          <t>Coimbatore</t>
        </is>
      </c>
      <c r="J4141" s="2" t="inlineStr">
        <is>
          <t>Store</t>
        </is>
      </c>
      <c r="K4141" s="2" t="n">
        <v>4</v>
      </c>
      <c r="L4141" s="3" t="n">
        <v>943.63</v>
      </c>
      <c r="M4141" s="4" t="n">
        <v>0.25</v>
      </c>
      <c r="N4141" s="3" t="n">
        <v>2533.47</v>
      </c>
      <c r="O4141" s="3">
        <f>K4141*L4141*(1-M4141)</f>
        <v/>
      </c>
      <c r="P4141" s="3">
        <f>O4141-N4141</f>
        <v/>
      </c>
      <c r="Q4141" s="5">
        <f>IFERROR(P4141/O4141,0)</f>
        <v/>
      </c>
      <c r="R4141" s="2">
        <f>TEXT(DATEVALUE(B4141),"mmm")</f>
        <v/>
      </c>
      <c r="S4141" s="2">
        <f>TEXT(DATEVALUE(B4141),"yyyy-mm")</f>
        <v/>
      </c>
    </row>
    <row r="4142">
      <c r="A4142" s="2" t="inlineStr">
        <is>
          <t>O000662</t>
        </is>
      </c>
      <c r="B4142" s="2" t="inlineStr">
        <is>
          <t>2025-10-30</t>
        </is>
      </c>
      <c r="C4142" s="2" t="inlineStr">
        <is>
          <t>C0345</t>
        </is>
      </c>
      <c r="D4142" s="2" t="inlineStr">
        <is>
          <t>P0021</t>
        </is>
      </c>
      <c r="E4142" s="2" t="inlineStr">
        <is>
          <t>Wallet</t>
        </is>
      </c>
      <c r="F4142" s="2" t="inlineStr">
        <is>
          <t>Fashion</t>
        </is>
      </c>
      <c r="G4142" s="2" t="inlineStr">
        <is>
          <t>South</t>
        </is>
      </c>
      <c r="H4142" s="2" t="inlineStr">
        <is>
          <t>Telangana</t>
        </is>
      </c>
      <c r="I4142" s="2" t="inlineStr">
        <is>
          <t>Warangal</t>
        </is>
      </c>
      <c r="J4142" s="2" t="inlineStr">
        <is>
          <t>Store</t>
        </is>
      </c>
      <c r="K4142" s="2" t="n">
        <v>1</v>
      </c>
      <c r="L4142" s="3" t="n">
        <v>2109.32</v>
      </c>
      <c r="M4142" s="4" t="n">
        <v>0.15</v>
      </c>
      <c r="N4142" s="3" t="n">
        <v>1209.62</v>
      </c>
      <c r="O4142" s="3">
        <f>K4142*L4142*(1-M4142)</f>
        <v/>
      </c>
      <c r="P4142" s="3">
        <f>O4142-N4142</f>
        <v/>
      </c>
      <c r="Q4142" s="5">
        <f>IFERROR(P4142/O4142,0)</f>
        <v/>
      </c>
      <c r="R4142" s="2">
        <f>TEXT(DATEVALUE(B4142),"mmm")</f>
        <v/>
      </c>
      <c r="S4142" s="2">
        <f>TEXT(DATEVALUE(B4142),"yyyy-mm")</f>
        <v/>
      </c>
    </row>
    <row r="4143">
      <c r="A4143" s="2" t="inlineStr">
        <is>
          <t>O001971</t>
        </is>
      </c>
      <c r="B4143" s="2" t="inlineStr">
        <is>
          <t>2025-10-30</t>
        </is>
      </c>
      <c r="C4143" s="2" t="inlineStr">
        <is>
          <t>C0023</t>
        </is>
      </c>
      <c r="D4143" s="2" t="inlineStr">
        <is>
          <t>P0029</t>
        </is>
      </c>
      <c r="E4143" s="2" t="inlineStr">
        <is>
          <t>Yoga Mat</t>
        </is>
      </c>
      <c r="F4143" s="2" t="inlineStr">
        <is>
          <t>Sports</t>
        </is>
      </c>
      <c r="G4143" s="2" t="inlineStr">
        <is>
          <t>East</t>
        </is>
      </c>
      <c r="H4143" s="2" t="inlineStr">
        <is>
          <t>Odisha</t>
        </is>
      </c>
      <c r="I4143" s="2" t="inlineStr">
        <is>
          <t>Bhubaneswar</t>
        </is>
      </c>
      <c r="J4143" s="2" t="inlineStr">
        <is>
          <t>Store</t>
        </is>
      </c>
      <c r="K4143" s="2" t="n">
        <v>1</v>
      </c>
      <c r="L4143" s="3" t="n">
        <v>2396.05</v>
      </c>
      <c r="M4143" s="4" t="n">
        <v>0.1</v>
      </c>
      <c r="N4143" s="3" t="n">
        <v>1314.86</v>
      </c>
      <c r="O4143" s="3">
        <f>K4143*L4143*(1-M4143)</f>
        <v/>
      </c>
      <c r="P4143" s="3">
        <f>O4143-N4143</f>
        <v/>
      </c>
      <c r="Q4143" s="5">
        <f>IFERROR(P4143/O4143,0)</f>
        <v/>
      </c>
      <c r="R4143" s="2">
        <f>TEXT(DATEVALUE(B4143),"mmm")</f>
        <v/>
      </c>
      <c r="S4143" s="2">
        <f>TEXT(DATEVALUE(B4143),"yyyy-mm")</f>
        <v/>
      </c>
    </row>
    <row r="4144">
      <c r="A4144" s="2" t="inlineStr">
        <is>
          <t>O004835</t>
        </is>
      </c>
      <c r="B4144" s="2" t="inlineStr">
        <is>
          <t>2025-10-31</t>
        </is>
      </c>
      <c r="C4144" s="2" t="inlineStr">
        <is>
          <t>C0563</t>
        </is>
      </c>
      <c r="D4144" s="2" t="inlineStr">
        <is>
          <t>P0001</t>
        </is>
      </c>
      <c r="E4144" s="2" t="inlineStr">
        <is>
          <t>Wireless Headphones</t>
        </is>
      </c>
      <c r="F4144" s="2" t="inlineStr">
        <is>
          <t>Electronics</t>
        </is>
      </c>
      <c r="G4144" s="2" t="inlineStr">
        <is>
          <t>South</t>
        </is>
      </c>
      <c r="H4144" s="2" t="inlineStr">
        <is>
          <t>Tamil Nadu</t>
        </is>
      </c>
      <c r="I4144" s="2" t="inlineStr">
        <is>
          <t>Coimbatore</t>
        </is>
      </c>
      <c r="J4144" s="2" t="inlineStr">
        <is>
          <t>Store</t>
        </is>
      </c>
      <c r="K4144" s="2" t="n">
        <v>2</v>
      </c>
      <c r="L4144" s="3" t="n">
        <v>1346.29</v>
      </c>
      <c r="M4144" s="4" t="n">
        <v>0.1</v>
      </c>
      <c r="N4144" s="3" t="n">
        <v>1381.26</v>
      </c>
      <c r="O4144" s="3">
        <f>K4144*L4144*(1-M4144)</f>
        <v/>
      </c>
      <c r="P4144" s="3">
        <f>O4144-N4144</f>
        <v/>
      </c>
      <c r="Q4144" s="5">
        <f>IFERROR(P4144/O4144,0)</f>
        <v/>
      </c>
      <c r="R4144" s="2">
        <f>TEXT(DATEVALUE(B4144),"mmm")</f>
        <v/>
      </c>
      <c r="S4144" s="2">
        <f>TEXT(DATEVALUE(B4144),"yyyy-mm")</f>
        <v/>
      </c>
    </row>
    <row r="4145">
      <c r="A4145" s="2" t="inlineStr">
        <is>
          <t>O004427</t>
        </is>
      </c>
      <c r="B4145" s="2" t="inlineStr">
        <is>
          <t>2025-10-31</t>
        </is>
      </c>
      <c r="C4145" s="2" t="inlineStr">
        <is>
          <t>C0310</t>
        </is>
      </c>
      <c r="D4145" s="2" t="inlineStr">
        <is>
          <t>P0022</t>
        </is>
      </c>
      <c r="E4145" s="2" t="inlineStr">
        <is>
          <t>Face Wash</t>
        </is>
      </c>
      <c r="F4145" s="2" t="inlineStr">
        <is>
          <t>Beauty</t>
        </is>
      </c>
      <c r="G4145" s="2" t="inlineStr">
        <is>
          <t>West</t>
        </is>
      </c>
      <c r="H4145" s="2" t="inlineStr">
        <is>
          <t>Gujarat</t>
        </is>
      </c>
      <c r="I4145" s="2" t="inlineStr">
        <is>
          <t>Surat</t>
        </is>
      </c>
      <c r="J4145" s="2" t="inlineStr">
        <is>
          <t>Store</t>
        </is>
      </c>
      <c r="K4145" s="2" t="n">
        <v>3</v>
      </c>
      <c r="L4145" s="3" t="n">
        <v>554.1799999999999</v>
      </c>
      <c r="M4145" s="4" t="n">
        <v>0.1</v>
      </c>
      <c r="N4145" s="3" t="n">
        <v>1077.48</v>
      </c>
      <c r="O4145" s="3">
        <f>K4145*L4145*(1-M4145)</f>
        <v/>
      </c>
      <c r="P4145" s="3">
        <f>O4145-N4145</f>
        <v/>
      </c>
      <c r="Q4145" s="5">
        <f>IFERROR(P4145/O4145,0)</f>
        <v/>
      </c>
      <c r="R4145" s="2">
        <f>TEXT(DATEVALUE(B4145),"mmm")</f>
        <v/>
      </c>
      <c r="S4145" s="2">
        <f>TEXT(DATEVALUE(B4145),"yyyy-mm")</f>
        <v/>
      </c>
    </row>
    <row r="4146">
      <c r="A4146" s="2" t="inlineStr">
        <is>
          <t>O003738</t>
        </is>
      </c>
      <c r="B4146" s="2" t="inlineStr">
        <is>
          <t>2025-10-31</t>
        </is>
      </c>
      <c r="C4146" s="2" t="inlineStr">
        <is>
          <t>C0685</t>
        </is>
      </c>
      <c r="D4146" s="2" t="inlineStr">
        <is>
          <t>P0017</t>
        </is>
      </c>
      <c r="E4146" s="2" t="inlineStr">
        <is>
          <t>Jeans</t>
        </is>
      </c>
      <c r="F4146" s="2" t="inlineStr">
        <is>
          <t>Fashion</t>
        </is>
      </c>
      <c r="G4146" s="2" t="inlineStr">
        <is>
          <t>North</t>
        </is>
      </c>
      <c r="H4146" s="2" t="inlineStr">
        <is>
          <t>Delhi</t>
        </is>
      </c>
      <c r="I4146" s="2" t="inlineStr">
        <is>
          <t>New Delhi</t>
        </is>
      </c>
      <c r="J4146" s="2" t="inlineStr">
        <is>
          <t>Store</t>
        </is>
      </c>
      <c r="K4146" s="2" t="n">
        <v>5</v>
      </c>
      <c r="L4146" s="3" t="n">
        <v>1441.86</v>
      </c>
      <c r="M4146" s="4" t="n">
        <v>0</v>
      </c>
      <c r="N4146" s="3" t="n">
        <v>5249.1</v>
      </c>
      <c r="O4146" s="3">
        <f>K4146*L4146*(1-M4146)</f>
        <v/>
      </c>
      <c r="P4146" s="3">
        <f>O4146-N4146</f>
        <v/>
      </c>
      <c r="Q4146" s="5">
        <f>IFERROR(P4146/O4146,0)</f>
        <v/>
      </c>
      <c r="R4146" s="2">
        <f>TEXT(DATEVALUE(B4146),"mmm")</f>
        <v/>
      </c>
      <c r="S4146" s="2">
        <f>TEXT(DATEVALUE(B4146),"yyyy-mm")</f>
        <v/>
      </c>
    </row>
    <row r="4147">
      <c r="A4147" s="2" t="inlineStr">
        <is>
          <t>O003504</t>
        </is>
      </c>
      <c r="B4147" s="2" t="inlineStr">
        <is>
          <t>2025-10-31</t>
        </is>
      </c>
      <c r="C4147" s="2" t="inlineStr">
        <is>
          <t>C0192</t>
        </is>
      </c>
      <c r="D4147" s="2" t="inlineStr">
        <is>
          <t>P0020</t>
        </is>
      </c>
      <c r="E4147" s="2" t="inlineStr">
        <is>
          <t>Sneakers</t>
        </is>
      </c>
      <c r="F4147" s="2" t="inlineStr">
        <is>
          <t>Fashion</t>
        </is>
      </c>
      <c r="G4147" s="2" t="inlineStr">
        <is>
          <t>West</t>
        </is>
      </c>
      <c r="H4147" s="2" t="inlineStr">
        <is>
          <t>Gujarat</t>
        </is>
      </c>
      <c r="I4147" s="2" t="inlineStr">
        <is>
          <t>Surat</t>
        </is>
      </c>
      <c r="J4147" s="2" t="inlineStr">
        <is>
          <t>Online</t>
        </is>
      </c>
      <c r="K4147" s="2" t="n">
        <v>1</v>
      </c>
      <c r="L4147" s="3" t="n">
        <v>1919.82</v>
      </c>
      <c r="M4147" s="4" t="n">
        <v>0</v>
      </c>
      <c r="N4147" s="3" t="n">
        <v>1533.64</v>
      </c>
      <c r="O4147" s="3">
        <f>K4147*L4147*(1-M4147)</f>
        <v/>
      </c>
      <c r="P4147" s="3">
        <f>O4147-N4147</f>
        <v/>
      </c>
      <c r="Q4147" s="5">
        <f>IFERROR(P4147/O4147,0)</f>
        <v/>
      </c>
      <c r="R4147" s="2">
        <f>TEXT(DATEVALUE(B4147),"mmm")</f>
        <v/>
      </c>
      <c r="S4147" s="2">
        <f>TEXT(DATEVALUE(B4147),"yyyy-mm")</f>
        <v/>
      </c>
    </row>
    <row r="4148">
      <c r="A4148" s="2" t="inlineStr">
        <is>
          <t>O002136</t>
        </is>
      </c>
      <c r="B4148" s="2" t="inlineStr">
        <is>
          <t>2025-10-31</t>
        </is>
      </c>
      <c r="C4148" s="2" t="inlineStr">
        <is>
          <t>C0005</t>
        </is>
      </c>
      <c r="D4148" s="2" t="inlineStr">
        <is>
          <t>P0013</t>
        </is>
      </c>
      <c r="E4148" s="2" t="inlineStr">
        <is>
          <t>Storage Organizer</t>
        </is>
      </c>
      <c r="F4148" s="2" t="inlineStr">
        <is>
          <t>Home &amp; Kitchen</t>
        </is>
      </c>
      <c r="G4148" s="2" t="inlineStr">
        <is>
          <t>North</t>
        </is>
      </c>
      <c r="H4148" s="2" t="inlineStr">
        <is>
          <t>Uttar Pradesh</t>
        </is>
      </c>
      <c r="I4148" s="2" t="inlineStr">
        <is>
          <t>Noida</t>
        </is>
      </c>
      <c r="J4148" s="2" t="inlineStr">
        <is>
          <t>Online</t>
        </is>
      </c>
      <c r="K4148" s="2" t="n">
        <v>2</v>
      </c>
      <c r="L4148" s="3" t="n">
        <v>559.75</v>
      </c>
      <c r="M4148" s="4" t="n">
        <v>0</v>
      </c>
      <c r="N4148" s="3" t="n">
        <v>742.05</v>
      </c>
      <c r="O4148" s="3">
        <f>K4148*L4148*(1-M4148)</f>
        <v/>
      </c>
      <c r="P4148" s="3">
        <f>O4148-N4148</f>
        <v/>
      </c>
      <c r="Q4148" s="5">
        <f>IFERROR(P4148/O4148,0)</f>
        <v/>
      </c>
      <c r="R4148" s="2">
        <f>TEXT(DATEVALUE(B4148),"mmm")</f>
        <v/>
      </c>
      <c r="S4148" s="2">
        <f>TEXT(DATEVALUE(B4148),"yyyy-mm")</f>
        <v/>
      </c>
    </row>
    <row r="4149">
      <c r="A4149" s="2" t="inlineStr">
        <is>
          <t>O002129</t>
        </is>
      </c>
      <c r="B4149" s="2" t="inlineStr">
        <is>
          <t>2025-10-31</t>
        </is>
      </c>
      <c r="C4149" s="2" t="inlineStr">
        <is>
          <t>C0583</t>
        </is>
      </c>
      <c r="D4149" s="2" t="inlineStr">
        <is>
          <t>P0002</t>
        </is>
      </c>
      <c r="E4149" s="2" t="inlineStr">
        <is>
          <t>Bluetooth Speaker</t>
        </is>
      </c>
      <c r="F4149" s="2" t="inlineStr">
        <is>
          <t>Electronics</t>
        </is>
      </c>
      <c r="G4149" s="2" t="inlineStr">
        <is>
          <t>West</t>
        </is>
      </c>
      <c r="H4149" s="2" t="inlineStr">
        <is>
          <t>Gujarat</t>
        </is>
      </c>
      <c r="I4149" s="2" t="inlineStr">
        <is>
          <t>Vadodara</t>
        </is>
      </c>
      <c r="J4149" s="2" t="inlineStr">
        <is>
          <t>Online</t>
        </is>
      </c>
      <c r="K4149" s="2" t="n">
        <v>1</v>
      </c>
      <c r="L4149" s="3" t="n">
        <v>1399.5</v>
      </c>
      <c r="M4149" s="4" t="n">
        <v>0</v>
      </c>
      <c r="N4149" s="3" t="n">
        <v>830.9400000000001</v>
      </c>
      <c r="O4149" s="3">
        <f>K4149*L4149*(1-M4149)</f>
        <v/>
      </c>
      <c r="P4149" s="3">
        <f>O4149-N4149</f>
        <v/>
      </c>
      <c r="Q4149" s="5">
        <f>IFERROR(P4149/O4149,0)</f>
        <v/>
      </c>
      <c r="R4149" s="2">
        <f>TEXT(DATEVALUE(B4149),"mmm")</f>
        <v/>
      </c>
      <c r="S4149" s="2">
        <f>TEXT(DATEVALUE(B4149),"yyyy-mm")</f>
        <v/>
      </c>
    </row>
    <row r="4150">
      <c r="A4150" s="2" t="inlineStr">
        <is>
          <t>O001639</t>
        </is>
      </c>
      <c r="B4150" s="2" t="inlineStr">
        <is>
          <t>2025-10-31</t>
        </is>
      </c>
      <c r="C4150" s="2" t="inlineStr">
        <is>
          <t>C0217</t>
        </is>
      </c>
      <c r="D4150" s="2" t="inlineStr">
        <is>
          <t>P0014</t>
        </is>
      </c>
      <c r="E4150" s="2" t="inlineStr">
        <is>
          <t>Coffee Maker</t>
        </is>
      </c>
      <c r="F4150" s="2" t="inlineStr">
        <is>
          <t>Home &amp; Kitchen</t>
        </is>
      </c>
      <c r="G4150" s="2" t="inlineStr">
        <is>
          <t>West</t>
        </is>
      </c>
      <c r="H4150" s="2" t="inlineStr">
        <is>
          <t>Goa</t>
        </is>
      </c>
      <c r="I4150" s="2" t="inlineStr">
        <is>
          <t>Panaji</t>
        </is>
      </c>
      <c r="J4150" s="2" t="inlineStr">
        <is>
          <t>Online</t>
        </is>
      </c>
      <c r="K4150" s="2" t="n">
        <v>3</v>
      </c>
      <c r="L4150" s="3" t="n">
        <v>1011.71</v>
      </c>
      <c r="M4150" s="4" t="n">
        <v>0.1</v>
      </c>
      <c r="N4150" s="3" t="n">
        <v>2290.85</v>
      </c>
      <c r="O4150" s="3">
        <f>K4150*L4150*(1-M4150)</f>
        <v/>
      </c>
      <c r="P4150" s="3">
        <f>O4150-N4150</f>
        <v/>
      </c>
      <c r="Q4150" s="5">
        <f>IFERROR(P4150/O4150,0)</f>
        <v/>
      </c>
      <c r="R4150" s="2">
        <f>TEXT(DATEVALUE(B4150),"mmm")</f>
        <v/>
      </c>
      <c r="S4150" s="2">
        <f>TEXT(DATEVALUE(B4150),"yyyy-mm")</f>
        <v/>
      </c>
    </row>
    <row r="4151">
      <c r="A4151" s="2" t="inlineStr">
        <is>
          <t>O000324</t>
        </is>
      </c>
      <c r="B4151" s="2" t="inlineStr">
        <is>
          <t>2025-10-31</t>
        </is>
      </c>
      <c r="C4151" s="2" t="inlineStr">
        <is>
          <t>C0076</t>
        </is>
      </c>
      <c r="D4151" s="2" t="inlineStr">
        <is>
          <t>P0012</t>
        </is>
      </c>
      <c r="E4151" s="2" t="inlineStr">
        <is>
          <t>Water Bottle</t>
        </is>
      </c>
      <c r="F4151" s="2" t="inlineStr">
        <is>
          <t>Home &amp; Kitchen</t>
        </is>
      </c>
      <c r="G4151" s="2" t="inlineStr">
        <is>
          <t>West</t>
        </is>
      </c>
      <c r="H4151" s="2" t="inlineStr">
        <is>
          <t>Goa</t>
        </is>
      </c>
      <c r="I4151" s="2" t="inlineStr">
        <is>
          <t>Panaji</t>
        </is>
      </c>
      <c r="J4151" s="2" t="inlineStr">
        <is>
          <t>Online</t>
        </is>
      </c>
      <c r="K4151" s="2" t="n">
        <v>2</v>
      </c>
      <c r="L4151" s="3" t="n">
        <v>939.03</v>
      </c>
      <c r="M4151" s="4" t="n">
        <v>0.25</v>
      </c>
      <c r="N4151" s="3" t="n">
        <v>1218.48</v>
      </c>
      <c r="O4151" s="3">
        <f>K4151*L4151*(1-M4151)</f>
        <v/>
      </c>
      <c r="P4151" s="3">
        <f>O4151-N4151</f>
        <v/>
      </c>
      <c r="Q4151" s="5">
        <f>IFERROR(P4151/O4151,0)</f>
        <v/>
      </c>
      <c r="R4151" s="2">
        <f>TEXT(DATEVALUE(B4151),"mmm")</f>
        <v/>
      </c>
      <c r="S4151" s="2">
        <f>TEXT(DATEVALUE(B4151),"yyyy-mm")</f>
        <v/>
      </c>
    </row>
    <row r="4152">
      <c r="A4152" s="2" t="inlineStr">
        <is>
          <t>O000302</t>
        </is>
      </c>
      <c r="B4152" s="2" t="inlineStr">
        <is>
          <t>2025-10-31</t>
        </is>
      </c>
      <c r="C4152" s="2" t="inlineStr">
        <is>
          <t>C0300</t>
        </is>
      </c>
      <c r="D4152" s="2" t="inlineStr">
        <is>
          <t>P0019</t>
        </is>
      </c>
      <c r="E4152" s="2" t="inlineStr">
        <is>
          <t>Jacket</t>
        </is>
      </c>
      <c r="F4152" s="2" t="inlineStr">
        <is>
          <t>Fashion</t>
        </is>
      </c>
      <c r="G4152" s="2" t="inlineStr">
        <is>
          <t>East</t>
        </is>
      </c>
      <c r="H4152" s="2" t="inlineStr">
        <is>
          <t>Odisha</t>
        </is>
      </c>
      <c r="I4152" s="2" t="inlineStr">
        <is>
          <t>Cuttack</t>
        </is>
      </c>
      <c r="J4152" s="2" t="inlineStr">
        <is>
          <t>Online</t>
        </is>
      </c>
      <c r="K4152" s="2" t="n">
        <v>2</v>
      </c>
      <c r="L4152" s="3" t="n">
        <v>1009.38</v>
      </c>
      <c r="M4152" s="4" t="n">
        <v>0.05</v>
      </c>
      <c r="N4152" s="3" t="n">
        <v>1309.68</v>
      </c>
      <c r="O4152" s="3">
        <f>K4152*L4152*(1-M4152)</f>
        <v/>
      </c>
      <c r="P4152" s="3">
        <f>O4152-N4152</f>
        <v/>
      </c>
      <c r="Q4152" s="5">
        <f>IFERROR(P4152/O4152,0)</f>
        <v/>
      </c>
      <c r="R4152" s="2">
        <f>TEXT(DATEVALUE(B4152),"mmm")</f>
        <v/>
      </c>
      <c r="S4152" s="2">
        <f>TEXT(DATEVALUE(B4152),"yyyy-mm")</f>
        <v/>
      </c>
    </row>
    <row r="4153">
      <c r="A4153" s="2" t="inlineStr">
        <is>
          <t>O000274</t>
        </is>
      </c>
      <c r="B4153" s="2" t="inlineStr">
        <is>
          <t>2025-10-31</t>
        </is>
      </c>
      <c r="C4153" s="2" t="inlineStr">
        <is>
          <t>C0293</t>
        </is>
      </c>
      <c r="D4153" s="2" t="inlineStr">
        <is>
          <t>P0026</t>
        </is>
      </c>
      <c r="E4153" s="2" t="inlineStr">
        <is>
          <t>Shampoo</t>
        </is>
      </c>
      <c r="F4153" s="2" t="inlineStr">
        <is>
          <t>Beauty</t>
        </is>
      </c>
      <c r="G4153" s="2" t="inlineStr">
        <is>
          <t>South</t>
        </is>
      </c>
      <c r="H4153" s="2" t="inlineStr">
        <is>
          <t>Karnataka</t>
        </is>
      </c>
      <c r="I4153" s="2" t="inlineStr">
        <is>
          <t>Mysuru</t>
        </is>
      </c>
      <c r="J4153" s="2" t="inlineStr">
        <is>
          <t>Store</t>
        </is>
      </c>
      <c r="K4153" s="2" t="n">
        <v>2</v>
      </c>
      <c r="L4153" s="3" t="n">
        <v>903.15</v>
      </c>
      <c r="M4153" s="4" t="n">
        <v>0.05</v>
      </c>
      <c r="N4153" s="3" t="n">
        <v>1033.26</v>
      </c>
      <c r="O4153" s="3">
        <f>K4153*L4153*(1-M4153)</f>
        <v/>
      </c>
      <c r="P4153" s="3">
        <f>O4153-N4153</f>
        <v/>
      </c>
      <c r="Q4153" s="5">
        <f>IFERROR(P4153/O4153,0)</f>
        <v/>
      </c>
      <c r="R4153" s="2">
        <f>TEXT(DATEVALUE(B4153),"mmm")</f>
        <v/>
      </c>
      <c r="S4153" s="2">
        <f>TEXT(DATEVALUE(B4153),"yyyy-mm")</f>
        <v/>
      </c>
    </row>
    <row r="4154">
      <c r="A4154" s="2" t="inlineStr">
        <is>
          <t>O000265</t>
        </is>
      </c>
      <c r="B4154" s="2" t="inlineStr">
        <is>
          <t>2025-10-31</t>
        </is>
      </c>
      <c r="C4154" s="2" t="inlineStr">
        <is>
          <t>C0122</t>
        </is>
      </c>
      <c r="D4154" s="2" t="inlineStr">
        <is>
          <t>P0002</t>
        </is>
      </c>
      <c r="E4154" s="2" t="inlineStr">
        <is>
          <t>Bluetooth Speaker</t>
        </is>
      </c>
      <c r="F4154" s="2" t="inlineStr">
        <is>
          <t>Electronics</t>
        </is>
      </c>
      <c r="G4154" s="2" t="inlineStr">
        <is>
          <t>South</t>
        </is>
      </c>
      <c r="H4154" s="2" t="inlineStr">
        <is>
          <t>Kerala</t>
        </is>
      </c>
      <c r="I4154" s="2" t="inlineStr">
        <is>
          <t>Kochi</t>
        </is>
      </c>
      <c r="J4154" s="2" t="inlineStr">
        <is>
          <t>Store</t>
        </is>
      </c>
      <c r="K4154" s="2" t="n">
        <v>2</v>
      </c>
      <c r="L4154" s="3" t="n">
        <v>1386.16</v>
      </c>
      <c r="M4154" s="4" t="n">
        <v>0.05</v>
      </c>
      <c r="N4154" s="3" t="n">
        <v>1612.04</v>
      </c>
      <c r="O4154" s="3">
        <f>K4154*L4154*(1-M4154)</f>
        <v/>
      </c>
      <c r="P4154" s="3">
        <f>O4154-N4154</f>
        <v/>
      </c>
      <c r="Q4154" s="5">
        <f>IFERROR(P4154/O4154,0)</f>
        <v/>
      </c>
      <c r="R4154" s="2">
        <f>TEXT(DATEVALUE(B4154),"mmm")</f>
        <v/>
      </c>
      <c r="S4154" s="2">
        <f>TEXT(DATEVALUE(B4154),"yyyy-mm")</f>
        <v/>
      </c>
    </row>
    <row r="4155">
      <c r="A4155" s="2" t="inlineStr">
        <is>
          <t>O000076</t>
        </is>
      </c>
      <c r="B4155" s="2" t="inlineStr">
        <is>
          <t>2025-10-31</t>
        </is>
      </c>
      <c r="C4155" s="2" t="inlineStr">
        <is>
          <t>C0628</t>
        </is>
      </c>
      <c r="D4155" s="2" t="inlineStr">
        <is>
          <t>P0027</t>
        </is>
      </c>
      <c r="E4155" s="2" t="inlineStr">
        <is>
          <t>Moisturizer</t>
        </is>
      </c>
      <c r="F4155" s="2" t="inlineStr">
        <is>
          <t>Beauty</t>
        </is>
      </c>
      <c r="G4155" s="2" t="inlineStr">
        <is>
          <t>South</t>
        </is>
      </c>
      <c r="H4155" s="2" t="inlineStr">
        <is>
          <t>Kerala</t>
        </is>
      </c>
      <c r="I4155" s="2" t="inlineStr">
        <is>
          <t>Thiruvananthapuram</t>
        </is>
      </c>
      <c r="J4155" s="2" t="inlineStr">
        <is>
          <t>Online</t>
        </is>
      </c>
      <c r="K4155" s="2" t="n">
        <v>2</v>
      </c>
      <c r="L4155" s="3" t="n">
        <v>968.1900000000001</v>
      </c>
      <c r="M4155" s="4" t="n">
        <v>0.1</v>
      </c>
      <c r="N4155" s="3" t="n">
        <v>1343.69</v>
      </c>
      <c r="O4155" s="3">
        <f>K4155*L4155*(1-M4155)</f>
        <v/>
      </c>
      <c r="P4155" s="3">
        <f>O4155-N4155</f>
        <v/>
      </c>
      <c r="Q4155" s="5">
        <f>IFERROR(P4155/O4155,0)</f>
        <v/>
      </c>
      <c r="R4155" s="2">
        <f>TEXT(DATEVALUE(B4155),"mmm")</f>
        <v/>
      </c>
      <c r="S4155" s="2">
        <f>TEXT(DATEVALUE(B4155),"yyyy-mm")</f>
        <v/>
      </c>
    </row>
    <row r="4156">
      <c r="A4156" s="2" t="inlineStr">
        <is>
          <t>O002076</t>
        </is>
      </c>
      <c r="B4156" s="2" t="inlineStr">
        <is>
          <t>2025-10-31</t>
        </is>
      </c>
      <c r="C4156" s="2" t="inlineStr">
        <is>
          <t>C0519</t>
        </is>
      </c>
      <c r="D4156" s="2" t="inlineStr">
        <is>
          <t>P0014</t>
        </is>
      </c>
      <c r="E4156" s="2" t="inlineStr">
        <is>
          <t>Coffee Maker</t>
        </is>
      </c>
      <c r="F4156" s="2" t="inlineStr">
        <is>
          <t>Home &amp; Kitchen</t>
        </is>
      </c>
      <c r="G4156" s="2" t="inlineStr">
        <is>
          <t>West</t>
        </is>
      </c>
      <c r="H4156" s="2" t="inlineStr">
        <is>
          <t>Maharashtra</t>
        </is>
      </c>
      <c r="I4156" s="2" t="inlineStr">
        <is>
          <t>Thane</t>
        </is>
      </c>
      <c r="J4156" s="2" t="inlineStr">
        <is>
          <t>Online</t>
        </is>
      </c>
      <c r="K4156" s="2" t="n">
        <v>1</v>
      </c>
      <c r="L4156" s="3" t="n">
        <v>1031.48</v>
      </c>
      <c r="M4156" s="4" t="n">
        <v>0.05</v>
      </c>
      <c r="N4156" s="3" t="n">
        <v>743.39</v>
      </c>
      <c r="O4156" s="3">
        <f>K4156*L4156*(1-M4156)</f>
        <v/>
      </c>
      <c r="P4156" s="3">
        <f>O4156-N4156</f>
        <v/>
      </c>
      <c r="Q4156" s="5">
        <f>IFERROR(P4156/O4156,0)</f>
        <v/>
      </c>
      <c r="R4156" s="2">
        <f>TEXT(DATEVALUE(B4156),"mmm")</f>
        <v/>
      </c>
      <c r="S4156" s="2">
        <f>TEXT(DATEVALUE(B4156),"yyyy-mm")</f>
        <v/>
      </c>
    </row>
    <row r="4157">
      <c r="A4157" s="2" t="inlineStr">
        <is>
          <t>O002746</t>
        </is>
      </c>
      <c r="B4157" s="2" t="inlineStr">
        <is>
          <t>2025-11-01</t>
        </is>
      </c>
      <c r="C4157" s="2" t="inlineStr">
        <is>
          <t>C0015</t>
        </is>
      </c>
      <c r="D4157" s="2" t="inlineStr">
        <is>
          <t>P0013</t>
        </is>
      </c>
      <c r="E4157" s="2" t="inlineStr">
        <is>
          <t>Storage Organizer</t>
        </is>
      </c>
      <c r="F4157" s="2" t="inlineStr">
        <is>
          <t>Home &amp; Kitchen</t>
        </is>
      </c>
      <c r="G4157" s="2" t="inlineStr">
        <is>
          <t>West</t>
        </is>
      </c>
      <c r="H4157" s="2" t="inlineStr">
        <is>
          <t>Maharashtra</t>
        </is>
      </c>
      <c r="I4157" s="2" t="inlineStr">
        <is>
          <t>Nashik</t>
        </is>
      </c>
      <c r="J4157" s="2" t="inlineStr">
        <is>
          <t>Store</t>
        </is>
      </c>
      <c r="K4157" s="2" t="n">
        <v>1</v>
      </c>
      <c r="L4157" s="3" t="n">
        <v>594.4299999999999</v>
      </c>
      <c r="M4157" s="4" t="n">
        <v>0</v>
      </c>
      <c r="N4157" s="3" t="n">
        <v>361.33</v>
      </c>
      <c r="O4157" s="3">
        <f>K4157*L4157*(1-M4157)</f>
        <v/>
      </c>
      <c r="P4157" s="3">
        <f>O4157-N4157</f>
        <v/>
      </c>
      <c r="Q4157" s="5">
        <f>IFERROR(P4157/O4157,0)</f>
        <v/>
      </c>
      <c r="R4157" s="2">
        <f>TEXT(DATEVALUE(B4157),"mmm")</f>
        <v/>
      </c>
      <c r="S4157" s="2">
        <f>TEXT(DATEVALUE(B4157),"yyyy-mm")</f>
        <v/>
      </c>
    </row>
    <row r="4158">
      <c r="A4158" s="2" t="inlineStr">
        <is>
          <t>O004616</t>
        </is>
      </c>
      <c r="B4158" s="2" t="inlineStr">
        <is>
          <t>2025-11-01</t>
        </is>
      </c>
      <c r="C4158" s="2" t="inlineStr">
        <is>
          <t>C0141</t>
        </is>
      </c>
      <c r="D4158" s="2" t="inlineStr">
        <is>
          <t>P0007</t>
        </is>
      </c>
      <c r="E4158" s="2" t="inlineStr">
        <is>
          <t>Wireless Mouse</t>
        </is>
      </c>
      <c r="F4158" s="2" t="inlineStr">
        <is>
          <t>Electronics</t>
        </is>
      </c>
      <c r="G4158" s="2" t="inlineStr">
        <is>
          <t>West</t>
        </is>
      </c>
      <c r="H4158" s="2" t="inlineStr">
        <is>
          <t>Gujarat</t>
        </is>
      </c>
      <c r="I4158" s="2" t="inlineStr">
        <is>
          <t>Ahmedabad</t>
        </is>
      </c>
      <c r="J4158" s="2" t="inlineStr">
        <is>
          <t>Store</t>
        </is>
      </c>
      <c r="K4158" s="2" t="n">
        <v>3</v>
      </c>
      <c r="L4158" s="3" t="n">
        <v>985.64</v>
      </c>
      <c r="M4158" s="4" t="n">
        <v>0.1</v>
      </c>
      <c r="N4158" s="3" t="n">
        <v>1821.14</v>
      </c>
      <c r="O4158" s="3">
        <f>K4158*L4158*(1-M4158)</f>
        <v/>
      </c>
      <c r="P4158" s="3">
        <f>O4158-N4158</f>
        <v/>
      </c>
      <c r="Q4158" s="5">
        <f>IFERROR(P4158/O4158,0)</f>
        <v/>
      </c>
      <c r="R4158" s="2">
        <f>TEXT(DATEVALUE(B4158),"mmm")</f>
        <v/>
      </c>
      <c r="S4158" s="2">
        <f>TEXT(DATEVALUE(B4158),"yyyy-mm")</f>
        <v/>
      </c>
    </row>
    <row r="4159">
      <c r="A4159" s="2" t="inlineStr">
        <is>
          <t>O004619</t>
        </is>
      </c>
      <c r="B4159" s="2" t="inlineStr">
        <is>
          <t>2025-11-01</t>
        </is>
      </c>
      <c r="C4159" s="2" t="inlineStr">
        <is>
          <t>C0289</t>
        </is>
      </c>
      <c r="D4159" s="2" t="inlineStr">
        <is>
          <t>P0026</t>
        </is>
      </c>
      <c r="E4159" s="2" t="inlineStr">
        <is>
          <t>Shampoo</t>
        </is>
      </c>
      <c r="F4159" s="2" t="inlineStr">
        <is>
          <t>Beauty</t>
        </is>
      </c>
      <c r="G4159" s="2" t="inlineStr">
        <is>
          <t>South</t>
        </is>
      </c>
      <c r="H4159" s="2" t="inlineStr">
        <is>
          <t>Tamil Nadu</t>
        </is>
      </c>
      <c r="I4159" s="2" t="inlineStr">
        <is>
          <t>Coimbatore</t>
        </is>
      </c>
      <c r="J4159" s="2" t="inlineStr">
        <is>
          <t>Online</t>
        </is>
      </c>
      <c r="K4159" s="2" t="n">
        <v>2</v>
      </c>
      <c r="L4159" s="3" t="n">
        <v>913.36</v>
      </c>
      <c r="M4159" s="4" t="n">
        <v>0.1</v>
      </c>
      <c r="N4159" s="3" t="n">
        <v>1065.47</v>
      </c>
      <c r="O4159" s="3">
        <f>K4159*L4159*(1-M4159)</f>
        <v/>
      </c>
      <c r="P4159" s="3">
        <f>O4159-N4159</f>
        <v/>
      </c>
      <c r="Q4159" s="5">
        <f>IFERROR(P4159/O4159,0)</f>
        <v/>
      </c>
      <c r="R4159" s="2">
        <f>TEXT(DATEVALUE(B4159),"mmm")</f>
        <v/>
      </c>
      <c r="S4159" s="2">
        <f>TEXT(DATEVALUE(B4159),"yyyy-mm")</f>
        <v/>
      </c>
    </row>
    <row r="4160">
      <c r="A4160" s="2" t="inlineStr">
        <is>
          <t>O003441</t>
        </is>
      </c>
      <c r="B4160" s="2" t="inlineStr">
        <is>
          <t>2025-11-01</t>
        </is>
      </c>
      <c r="C4160" s="2" t="inlineStr">
        <is>
          <t>C0705</t>
        </is>
      </c>
      <c r="D4160" s="2" t="inlineStr">
        <is>
          <t>P0021</t>
        </is>
      </c>
      <c r="E4160" s="2" t="inlineStr">
        <is>
          <t>Wallet</t>
        </is>
      </c>
      <c r="F4160" s="2" t="inlineStr">
        <is>
          <t>Fashion</t>
        </is>
      </c>
      <c r="G4160" s="2" t="inlineStr">
        <is>
          <t>South</t>
        </is>
      </c>
      <c r="H4160" s="2" t="inlineStr">
        <is>
          <t>Telangana</t>
        </is>
      </c>
      <c r="I4160" s="2" t="inlineStr">
        <is>
          <t>Warangal</t>
        </is>
      </c>
      <c r="J4160" s="2" t="inlineStr">
        <is>
          <t>Store</t>
        </is>
      </c>
      <c r="K4160" s="2" t="n">
        <v>3</v>
      </c>
      <c r="L4160" s="3" t="n">
        <v>2037.25</v>
      </c>
      <c r="M4160" s="4" t="n">
        <v>0.05</v>
      </c>
      <c r="N4160" s="3" t="n">
        <v>3559.8</v>
      </c>
      <c r="O4160" s="3">
        <f>K4160*L4160*(1-M4160)</f>
        <v/>
      </c>
      <c r="P4160" s="3">
        <f>O4160-N4160</f>
        <v/>
      </c>
      <c r="Q4160" s="5">
        <f>IFERROR(P4160/O4160,0)</f>
        <v/>
      </c>
      <c r="R4160" s="2">
        <f>TEXT(DATEVALUE(B4160),"mmm")</f>
        <v/>
      </c>
      <c r="S4160" s="2">
        <f>TEXT(DATEVALUE(B4160),"yyyy-mm")</f>
        <v/>
      </c>
    </row>
    <row r="4161">
      <c r="A4161" s="2" t="inlineStr">
        <is>
          <t>O003391</t>
        </is>
      </c>
      <c r="B4161" s="2" t="inlineStr">
        <is>
          <t>2025-11-01</t>
        </is>
      </c>
      <c r="C4161" s="2" t="inlineStr">
        <is>
          <t>C0685</t>
        </is>
      </c>
      <c r="D4161" s="2" t="inlineStr">
        <is>
          <t>P0009</t>
        </is>
      </c>
      <c r="E4161" s="2" t="inlineStr">
        <is>
          <t>Electric Kettle</t>
        </is>
      </c>
      <c r="F4161" s="2" t="inlineStr">
        <is>
          <t>Home &amp; Kitchen</t>
        </is>
      </c>
      <c r="G4161" s="2" t="inlineStr">
        <is>
          <t>West</t>
        </is>
      </c>
      <c r="H4161" s="2" t="inlineStr">
        <is>
          <t>Goa</t>
        </is>
      </c>
      <c r="I4161" s="2" t="inlineStr">
        <is>
          <t>Margao</t>
        </is>
      </c>
      <c r="J4161" s="2" t="inlineStr">
        <is>
          <t>Online</t>
        </is>
      </c>
      <c r="K4161" s="2" t="n">
        <v>2</v>
      </c>
      <c r="L4161" s="3" t="n">
        <v>2102.13</v>
      </c>
      <c r="M4161" s="4" t="n">
        <v>0.05</v>
      </c>
      <c r="N4161" s="3" t="n">
        <v>2224.71</v>
      </c>
      <c r="O4161" s="3">
        <f>K4161*L4161*(1-M4161)</f>
        <v/>
      </c>
      <c r="P4161" s="3">
        <f>O4161-N4161</f>
        <v/>
      </c>
      <c r="Q4161" s="5">
        <f>IFERROR(P4161/O4161,0)</f>
        <v/>
      </c>
      <c r="R4161" s="2">
        <f>TEXT(DATEVALUE(B4161),"mmm")</f>
        <v/>
      </c>
      <c r="S4161" s="2">
        <f>TEXT(DATEVALUE(B4161),"yyyy-mm")</f>
        <v/>
      </c>
    </row>
    <row r="4162">
      <c r="A4162" s="2" t="inlineStr">
        <is>
          <t>O003259</t>
        </is>
      </c>
      <c r="B4162" s="2" t="inlineStr">
        <is>
          <t>2025-11-01</t>
        </is>
      </c>
      <c r="C4162" s="2" t="inlineStr">
        <is>
          <t>C0775</t>
        </is>
      </c>
      <c r="D4162" s="2" t="inlineStr">
        <is>
          <t>P0009</t>
        </is>
      </c>
      <c r="E4162" s="2" t="inlineStr">
        <is>
          <t>Electric Kettle</t>
        </is>
      </c>
      <c r="F4162" s="2" t="inlineStr">
        <is>
          <t>Home &amp; Kitchen</t>
        </is>
      </c>
      <c r="G4162" s="2" t="inlineStr">
        <is>
          <t>South</t>
        </is>
      </c>
      <c r="H4162" s="2" t="inlineStr">
        <is>
          <t>Tamil Nadu</t>
        </is>
      </c>
      <c r="I4162" s="2" t="inlineStr">
        <is>
          <t>Chennai</t>
        </is>
      </c>
      <c r="J4162" s="2" t="inlineStr">
        <is>
          <t>Store</t>
        </is>
      </c>
      <c r="K4162" s="2" t="n">
        <v>1</v>
      </c>
      <c r="L4162" s="3" t="n">
        <v>2036.4</v>
      </c>
      <c r="M4162" s="4" t="n">
        <v>0.15</v>
      </c>
      <c r="N4162" s="3" t="n">
        <v>1144.13</v>
      </c>
      <c r="O4162" s="3">
        <f>K4162*L4162*(1-M4162)</f>
        <v/>
      </c>
      <c r="P4162" s="3">
        <f>O4162-N4162</f>
        <v/>
      </c>
      <c r="Q4162" s="5">
        <f>IFERROR(P4162/O4162,0)</f>
        <v/>
      </c>
      <c r="R4162" s="2">
        <f>TEXT(DATEVALUE(B4162),"mmm")</f>
        <v/>
      </c>
      <c r="S4162" s="2">
        <f>TEXT(DATEVALUE(B4162),"yyyy-mm")</f>
        <v/>
      </c>
    </row>
    <row r="4163">
      <c r="A4163" s="2" t="inlineStr">
        <is>
          <t>O002883</t>
        </is>
      </c>
      <c r="B4163" s="2" t="inlineStr">
        <is>
          <t>2025-11-01</t>
        </is>
      </c>
      <c r="C4163" s="2" t="inlineStr">
        <is>
          <t>C0459</t>
        </is>
      </c>
      <c r="D4163" s="2" t="inlineStr">
        <is>
          <t>P0011</t>
        </is>
      </c>
      <c r="E4163" s="2" t="inlineStr">
        <is>
          <t>Cookware Set</t>
        </is>
      </c>
      <c r="F4163" s="2" t="inlineStr">
        <is>
          <t>Home &amp; Kitchen</t>
        </is>
      </c>
      <c r="G4163" s="2" t="inlineStr">
        <is>
          <t>North</t>
        </is>
      </c>
      <c r="H4163" s="2" t="inlineStr">
        <is>
          <t>Punjab</t>
        </is>
      </c>
      <c r="I4163" s="2" t="inlineStr">
        <is>
          <t>Amritsar</t>
        </is>
      </c>
      <c r="J4163" s="2" t="inlineStr">
        <is>
          <t>Store</t>
        </is>
      </c>
      <c r="K4163" s="2" t="n">
        <v>4</v>
      </c>
      <c r="L4163" s="3" t="n">
        <v>712.27</v>
      </c>
      <c r="M4163" s="4" t="n">
        <v>0.1</v>
      </c>
      <c r="N4163" s="3" t="n">
        <v>1839.67</v>
      </c>
      <c r="O4163" s="3">
        <f>K4163*L4163*(1-M4163)</f>
        <v/>
      </c>
      <c r="P4163" s="3">
        <f>O4163-N4163</f>
        <v/>
      </c>
      <c r="Q4163" s="5">
        <f>IFERROR(P4163/O4163,0)</f>
        <v/>
      </c>
      <c r="R4163" s="2">
        <f>TEXT(DATEVALUE(B4163),"mmm")</f>
        <v/>
      </c>
      <c r="S4163" s="2">
        <f>TEXT(DATEVALUE(B4163),"yyyy-mm")</f>
        <v/>
      </c>
    </row>
    <row r="4164">
      <c r="A4164" s="2" t="inlineStr">
        <is>
          <t>O002116</t>
        </is>
      </c>
      <c r="B4164" s="2" t="inlineStr">
        <is>
          <t>2025-11-01</t>
        </is>
      </c>
      <c r="C4164" s="2" t="inlineStr">
        <is>
          <t>C0137</t>
        </is>
      </c>
      <c r="D4164" s="2" t="inlineStr">
        <is>
          <t>P0031</t>
        </is>
      </c>
      <c r="E4164" s="2" t="inlineStr">
        <is>
          <t>Cricket Bat</t>
        </is>
      </c>
      <c r="F4164" s="2" t="inlineStr">
        <is>
          <t>Sports</t>
        </is>
      </c>
      <c r="G4164" s="2" t="inlineStr">
        <is>
          <t>North</t>
        </is>
      </c>
      <c r="H4164" s="2" t="inlineStr">
        <is>
          <t>Uttar Pradesh</t>
        </is>
      </c>
      <c r="I4164" s="2" t="inlineStr">
        <is>
          <t>Varanasi</t>
        </is>
      </c>
      <c r="J4164" s="2" t="inlineStr">
        <is>
          <t>Store</t>
        </is>
      </c>
      <c r="K4164" s="2" t="n">
        <v>2</v>
      </c>
      <c r="L4164" s="3" t="n">
        <v>1434.25</v>
      </c>
      <c r="M4164" s="4" t="n">
        <v>0.05</v>
      </c>
      <c r="N4164" s="3" t="n">
        <v>1922.21</v>
      </c>
      <c r="O4164" s="3">
        <f>K4164*L4164*(1-M4164)</f>
        <v/>
      </c>
      <c r="P4164" s="3">
        <f>O4164-N4164</f>
        <v/>
      </c>
      <c r="Q4164" s="5">
        <f>IFERROR(P4164/O4164,0)</f>
        <v/>
      </c>
      <c r="R4164" s="2">
        <f>TEXT(DATEVALUE(B4164),"mmm")</f>
        <v/>
      </c>
      <c r="S4164" s="2">
        <f>TEXT(DATEVALUE(B4164),"yyyy-mm")</f>
        <v/>
      </c>
    </row>
    <row r="4165">
      <c r="A4165" s="2" t="inlineStr">
        <is>
          <t>O004374</t>
        </is>
      </c>
      <c r="B4165" s="2" t="inlineStr">
        <is>
          <t>2025-11-01</t>
        </is>
      </c>
      <c r="C4165" s="2" t="inlineStr">
        <is>
          <t>C0764</t>
        </is>
      </c>
      <c r="D4165" s="2" t="inlineStr">
        <is>
          <t>P0030</t>
        </is>
      </c>
      <c r="E4165" s="2" t="inlineStr">
        <is>
          <t>Dumbbells</t>
        </is>
      </c>
      <c r="F4165" s="2" t="inlineStr">
        <is>
          <t>Sports</t>
        </is>
      </c>
      <c r="G4165" s="2" t="inlineStr">
        <is>
          <t>East</t>
        </is>
      </c>
      <c r="H4165" s="2" t="inlineStr">
        <is>
          <t>West Bengal</t>
        </is>
      </c>
      <c r="I4165" s="2" t="inlineStr">
        <is>
          <t>Durgapur</t>
        </is>
      </c>
      <c r="J4165" s="2" t="inlineStr">
        <is>
          <t>Store</t>
        </is>
      </c>
      <c r="K4165" s="2" t="n">
        <v>1</v>
      </c>
      <c r="L4165" s="3" t="n">
        <v>1589.62</v>
      </c>
      <c r="M4165" s="4" t="n">
        <v>0.15</v>
      </c>
      <c r="N4165" s="3" t="n">
        <v>1051.09</v>
      </c>
      <c r="O4165" s="3">
        <f>K4165*L4165*(1-M4165)</f>
        <v/>
      </c>
      <c r="P4165" s="3">
        <f>O4165-N4165</f>
        <v/>
      </c>
      <c r="Q4165" s="5">
        <f>IFERROR(P4165/O4165,0)</f>
        <v/>
      </c>
      <c r="R4165" s="2">
        <f>TEXT(DATEVALUE(B4165),"mmm")</f>
        <v/>
      </c>
      <c r="S4165" s="2">
        <f>TEXT(DATEVALUE(B4165),"yyyy-mm")</f>
        <v/>
      </c>
    </row>
    <row r="4166">
      <c r="A4166" s="2" t="inlineStr">
        <is>
          <t>O001906</t>
        </is>
      </c>
      <c r="B4166" s="2" t="inlineStr">
        <is>
          <t>2025-11-01</t>
        </is>
      </c>
      <c r="C4166" s="2" t="inlineStr">
        <is>
          <t>C0694</t>
        </is>
      </c>
      <c r="D4166" s="2" t="inlineStr">
        <is>
          <t>P0012</t>
        </is>
      </c>
      <c r="E4166" s="2" t="inlineStr">
        <is>
          <t>Water Bottle</t>
        </is>
      </c>
      <c r="F4166" s="2" t="inlineStr">
        <is>
          <t>Home &amp; Kitchen</t>
        </is>
      </c>
      <c r="G4166" s="2" t="inlineStr">
        <is>
          <t>North</t>
        </is>
      </c>
      <c r="H4166" s="2" t="inlineStr">
        <is>
          <t>Punjab</t>
        </is>
      </c>
      <c r="I4166" s="2" t="inlineStr">
        <is>
          <t>Amritsar</t>
        </is>
      </c>
      <c r="J4166" s="2" t="inlineStr">
        <is>
          <t>Online</t>
        </is>
      </c>
      <c r="K4166" s="2" t="n">
        <v>1</v>
      </c>
      <c r="L4166" s="3" t="n">
        <v>936.33</v>
      </c>
      <c r="M4166" s="4" t="n">
        <v>0.05</v>
      </c>
      <c r="N4166" s="3" t="n">
        <v>609.1799999999999</v>
      </c>
      <c r="O4166" s="3">
        <f>K4166*L4166*(1-M4166)</f>
        <v/>
      </c>
      <c r="P4166" s="3">
        <f>O4166-N4166</f>
        <v/>
      </c>
      <c r="Q4166" s="5">
        <f>IFERROR(P4166/O4166,0)</f>
        <v/>
      </c>
      <c r="R4166" s="2">
        <f>TEXT(DATEVALUE(B4166),"mmm")</f>
        <v/>
      </c>
      <c r="S4166" s="2">
        <f>TEXT(DATEVALUE(B4166),"yyyy-mm")</f>
        <v/>
      </c>
    </row>
    <row r="4167">
      <c r="A4167" s="2" t="inlineStr">
        <is>
          <t>O000405</t>
        </is>
      </c>
      <c r="B4167" s="2" t="inlineStr">
        <is>
          <t>2025-11-01</t>
        </is>
      </c>
      <c r="C4167" s="2" t="inlineStr">
        <is>
          <t>C0219</t>
        </is>
      </c>
      <c r="D4167" s="2" t="inlineStr">
        <is>
          <t>P0031</t>
        </is>
      </c>
      <c r="E4167" s="2" t="inlineStr">
        <is>
          <t>Cricket Bat</t>
        </is>
      </c>
      <c r="F4167" s="2" t="inlineStr">
        <is>
          <t>Sports</t>
        </is>
      </c>
      <c r="G4167" s="2" t="inlineStr">
        <is>
          <t>South</t>
        </is>
      </c>
      <c r="H4167" s="2" t="inlineStr">
        <is>
          <t>Kerala</t>
        </is>
      </c>
      <c r="I4167" s="2" t="inlineStr">
        <is>
          <t>Kochi</t>
        </is>
      </c>
      <c r="J4167" s="2" t="inlineStr">
        <is>
          <t>Online</t>
        </is>
      </c>
      <c r="K4167" s="2" t="n">
        <v>1</v>
      </c>
      <c r="L4167" s="3" t="n">
        <v>1340.24</v>
      </c>
      <c r="M4167" s="4" t="n">
        <v>0.1</v>
      </c>
      <c r="N4167" s="3" t="n">
        <v>970.5599999999999</v>
      </c>
      <c r="O4167" s="3">
        <f>K4167*L4167*(1-M4167)</f>
        <v/>
      </c>
      <c r="P4167" s="3">
        <f>O4167-N4167</f>
        <v/>
      </c>
      <c r="Q4167" s="5">
        <f>IFERROR(P4167/O4167,0)</f>
        <v/>
      </c>
      <c r="R4167" s="2">
        <f>TEXT(DATEVALUE(B4167),"mmm")</f>
        <v/>
      </c>
      <c r="S4167" s="2">
        <f>TEXT(DATEVALUE(B4167),"yyyy-mm")</f>
        <v/>
      </c>
    </row>
    <row r="4168">
      <c r="A4168" s="2" t="inlineStr">
        <is>
          <t>O000675</t>
        </is>
      </c>
      <c r="B4168" s="2" t="inlineStr">
        <is>
          <t>2025-11-01</t>
        </is>
      </c>
      <c r="C4168" s="2" t="inlineStr">
        <is>
          <t>C0331</t>
        </is>
      </c>
      <c r="D4168" s="2" t="inlineStr">
        <is>
          <t>P0018</t>
        </is>
      </c>
      <c r="E4168" s="2" t="inlineStr">
        <is>
          <t>Backpack</t>
        </is>
      </c>
      <c r="F4168" s="2" t="inlineStr">
        <is>
          <t>Fashion</t>
        </is>
      </c>
      <c r="G4168" s="2" t="inlineStr">
        <is>
          <t>West</t>
        </is>
      </c>
      <c r="H4168" s="2" t="inlineStr">
        <is>
          <t>Gujarat</t>
        </is>
      </c>
      <c r="I4168" s="2" t="inlineStr">
        <is>
          <t>Surat</t>
        </is>
      </c>
      <c r="J4168" s="2" t="inlineStr">
        <is>
          <t>Online</t>
        </is>
      </c>
      <c r="K4168" s="2" t="n">
        <v>5</v>
      </c>
      <c r="L4168" s="3" t="n">
        <v>1886.48</v>
      </c>
      <c r="M4168" s="4" t="n">
        <v>0.1</v>
      </c>
      <c r="N4168" s="3" t="n">
        <v>6868.45</v>
      </c>
      <c r="O4168" s="3">
        <f>K4168*L4168*(1-M4168)</f>
        <v/>
      </c>
      <c r="P4168" s="3">
        <f>O4168-N4168</f>
        <v/>
      </c>
      <c r="Q4168" s="5">
        <f>IFERROR(P4168/O4168,0)</f>
        <v/>
      </c>
      <c r="R4168" s="2">
        <f>TEXT(DATEVALUE(B4168),"mmm")</f>
        <v/>
      </c>
      <c r="S4168" s="2">
        <f>TEXT(DATEVALUE(B4168),"yyyy-mm")</f>
        <v/>
      </c>
    </row>
    <row r="4169">
      <c r="A4169" s="2" t="inlineStr">
        <is>
          <t>O001021</t>
        </is>
      </c>
      <c r="B4169" s="2" t="inlineStr">
        <is>
          <t>2025-11-01</t>
        </is>
      </c>
      <c r="C4169" s="2" t="inlineStr">
        <is>
          <t>C0266</t>
        </is>
      </c>
      <c r="D4169" s="2" t="inlineStr">
        <is>
          <t>P0004</t>
        </is>
      </c>
      <c r="E4169" s="2" t="inlineStr">
        <is>
          <t>USB-C Hub</t>
        </is>
      </c>
      <c r="F4169" s="2" t="inlineStr">
        <is>
          <t>Electronics</t>
        </is>
      </c>
      <c r="G4169" s="2" t="inlineStr">
        <is>
          <t>West</t>
        </is>
      </c>
      <c r="H4169" s="2" t="inlineStr">
        <is>
          <t>Goa</t>
        </is>
      </c>
      <c r="I4169" s="2" t="inlineStr">
        <is>
          <t>Panaji</t>
        </is>
      </c>
      <c r="J4169" s="2" t="inlineStr">
        <is>
          <t>Store</t>
        </is>
      </c>
      <c r="K4169" s="2" t="n">
        <v>4</v>
      </c>
      <c r="L4169" s="3" t="n">
        <v>1225.37</v>
      </c>
      <c r="M4169" s="4" t="n">
        <v>0.1</v>
      </c>
      <c r="N4169" s="3" t="n">
        <v>3800.09</v>
      </c>
      <c r="O4169" s="3">
        <f>K4169*L4169*(1-M4169)</f>
        <v/>
      </c>
      <c r="P4169" s="3">
        <f>O4169-N4169</f>
        <v/>
      </c>
      <c r="Q4169" s="5">
        <f>IFERROR(P4169/O4169,0)</f>
        <v/>
      </c>
      <c r="R4169" s="2">
        <f>TEXT(DATEVALUE(B4169),"mmm")</f>
        <v/>
      </c>
      <c r="S4169" s="2">
        <f>TEXT(DATEVALUE(B4169),"yyyy-mm")</f>
        <v/>
      </c>
    </row>
    <row r="4170">
      <c r="A4170" s="2" t="inlineStr">
        <is>
          <t>O001997</t>
        </is>
      </c>
      <c r="B4170" s="2" t="inlineStr">
        <is>
          <t>2025-11-01</t>
        </is>
      </c>
      <c r="C4170" s="2" t="inlineStr">
        <is>
          <t>C0508</t>
        </is>
      </c>
      <c r="D4170" s="2" t="inlineStr">
        <is>
          <t>P0011</t>
        </is>
      </c>
      <c r="E4170" s="2" t="inlineStr">
        <is>
          <t>Cookware Set</t>
        </is>
      </c>
      <c r="F4170" s="2" t="inlineStr">
        <is>
          <t>Home &amp; Kitchen</t>
        </is>
      </c>
      <c r="G4170" s="2" t="inlineStr">
        <is>
          <t>North</t>
        </is>
      </c>
      <c r="H4170" s="2" t="inlineStr">
        <is>
          <t>Haryana</t>
        </is>
      </c>
      <c r="I4170" s="2" t="inlineStr">
        <is>
          <t>Faridabad</t>
        </is>
      </c>
      <c r="J4170" s="2" t="inlineStr">
        <is>
          <t>Online</t>
        </is>
      </c>
      <c r="K4170" s="2" t="n">
        <v>1</v>
      </c>
      <c r="L4170" s="3" t="n">
        <v>672.38</v>
      </c>
      <c r="M4170" s="4" t="n">
        <v>0.1</v>
      </c>
      <c r="N4170" s="3" t="n">
        <v>483.54</v>
      </c>
      <c r="O4170" s="3">
        <f>K4170*L4170*(1-M4170)</f>
        <v/>
      </c>
      <c r="P4170" s="3">
        <f>O4170-N4170</f>
        <v/>
      </c>
      <c r="Q4170" s="5">
        <f>IFERROR(P4170/O4170,0)</f>
        <v/>
      </c>
      <c r="R4170" s="2">
        <f>TEXT(DATEVALUE(B4170),"mmm")</f>
        <v/>
      </c>
      <c r="S4170" s="2">
        <f>TEXT(DATEVALUE(B4170),"yyyy-mm")</f>
        <v/>
      </c>
    </row>
    <row r="4171">
      <c r="A4171" s="2" t="inlineStr">
        <is>
          <t>O001428</t>
        </is>
      </c>
      <c r="B4171" s="2" t="inlineStr">
        <is>
          <t>2025-11-01</t>
        </is>
      </c>
      <c r="C4171" s="2" t="inlineStr">
        <is>
          <t>C0654</t>
        </is>
      </c>
      <c r="D4171" s="2" t="inlineStr">
        <is>
          <t>P0004</t>
        </is>
      </c>
      <c r="E4171" s="2" t="inlineStr">
        <is>
          <t>USB-C Hub</t>
        </is>
      </c>
      <c r="F4171" s="2" t="inlineStr">
        <is>
          <t>Electronics</t>
        </is>
      </c>
      <c r="G4171" s="2" t="inlineStr">
        <is>
          <t>West</t>
        </is>
      </c>
      <c r="H4171" s="2" t="inlineStr">
        <is>
          <t>Maharashtra</t>
        </is>
      </c>
      <c r="I4171" s="2" t="inlineStr">
        <is>
          <t>Nagpur</t>
        </is>
      </c>
      <c r="J4171" s="2" t="inlineStr">
        <is>
          <t>Online</t>
        </is>
      </c>
      <c r="K4171" s="2" t="n">
        <v>2</v>
      </c>
      <c r="L4171" s="3" t="n">
        <v>1239.86</v>
      </c>
      <c r="M4171" s="4" t="n">
        <v>0.05</v>
      </c>
      <c r="N4171" s="3" t="n">
        <v>1819.05</v>
      </c>
      <c r="O4171" s="3">
        <f>K4171*L4171*(1-M4171)</f>
        <v/>
      </c>
      <c r="P4171" s="3">
        <f>O4171-N4171</f>
        <v/>
      </c>
      <c r="Q4171" s="5">
        <f>IFERROR(P4171/O4171,0)</f>
        <v/>
      </c>
      <c r="R4171" s="2">
        <f>TEXT(DATEVALUE(B4171),"mmm")</f>
        <v/>
      </c>
      <c r="S4171" s="2">
        <f>TEXT(DATEVALUE(B4171),"yyyy-mm")</f>
        <v/>
      </c>
    </row>
    <row r="4172">
      <c r="A4172" s="2" t="inlineStr">
        <is>
          <t>O001528</t>
        </is>
      </c>
      <c r="B4172" s="2" t="inlineStr">
        <is>
          <t>2025-11-01</t>
        </is>
      </c>
      <c r="C4172" s="2" t="inlineStr">
        <is>
          <t>C0255</t>
        </is>
      </c>
      <c r="D4172" s="2" t="inlineStr">
        <is>
          <t>P0002</t>
        </is>
      </c>
      <c r="E4172" s="2" t="inlineStr">
        <is>
          <t>Bluetooth Speaker</t>
        </is>
      </c>
      <c r="F4172" s="2" t="inlineStr">
        <is>
          <t>Electronics</t>
        </is>
      </c>
      <c r="G4172" s="2" t="inlineStr">
        <is>
          <t>West</t>
        </is>
      </c>
      <c r="H4172" s="2" t="inlineStr">
        <is>
          <t>Gujarat</t>
        </is>
      </c>
      <c r="I4172" s="2" t="inlineStr">
        <is>
          <t>Vadodara</t>
        </is>
      </c>
      <c r="J4172" s="2" t="inlineStr">
        <is>
          <t>Online</t>
        </is>
      </c>
      <c r="K4172" s="2" t="n">
        <v>3</v>
      </c>
      <c r="L4172" s="3" t="n">
        <v>1335.65</v>
      </c>
      <c r="M4172" s="4" t="n">
        <v>0.15</v>
      </c>
      <c r="N4172" s="3" t="n">
        <v>2523.62</v>
      </c>
      <c r="O4172" s="3">
        <f>K4172*L4172*(1-M4172)</f>
        <v/>
      </c>
      <c r="P4172" s="3">
        <f>O4172-N4172</f>
        <v/>
      </c>
      <c r="Q4172" s="5">
        <f>IFERROR(P4172/O4172,0)</f>
        <v/>
      </c>
      <c r="R4172" s="2">
        <f>TEXT(DATEVALUE(B4172),"mmm")</f>
        <v/>
      </c>
      <c r="S4172" s="2">
        <f>TEXT(DATEVALUE(B4172),"yyyy-mm")</f>
        <v/>
      </c>
    </row>
    <row r="4173">
      <c r="A4173" s="2" t="inlineStr">
        <is>
          <t>O001840</t>
        </is>
      </c>
      <c r="B4173" s="2" t="inlineStr">
        <is>
          <t>2025-11-01</t>
        </is>
      </c>
      <c r="C4173" s="2" t="inlineStr">
        <is>
          <t>C0101</t>
        </is>
      </c>
      <c r="D4173" s="2" t="inlineStr">
        <is>
          <t>P0035</t>
        </is>
      </c>
      <c r="E4173" s="2" t="inlineStr">
        <is>
          <t>Skipping Rope</t>
        </is>
      </c>
      <c r="F4173" s="2" t="inlineStr">
        <is>
          <t>Sports</t>
        </is>
      </c>
      <c r="G4173" s="2" t="inlineStr">
        <is>
          <t>South</t>
        </is>
      </c>
      <c r="H4173" s="2" t="inlineStr">
        <is>
          <t>Telangana</t>
        </is>
      </c>
      <c r="I4173" s="2" t="inlineStr">
        <is>
          <t>Warangal</t>
        </is>
      </c>
      <c r="J4173" s="2" t="inlineStr">
        <is>
          <t>Online</t>
        </is>
      </c>
      <c r="K4173" s="2" t="n">
        <v>4</v>
      </c>
      <c r="L4173" s="3" t="n">
        <v>689.22</v>
      </c>
      <c r="M4173" s="4" t="n">
        <v>0.05</v>
      </c>
      <c r="N4173" s="3" t="n">
        <v>1659.16</v>
      </c>
      <c r="O4173" s="3">
        <f>K4173*L4173*(1-M4173)</f>
        <v/>
      </c>
      <c r="P4173" s="3">
        <f>O4173-N4173</f>
        <v/>
      </c>
      <c r="Q4173" s="5">
        <f>IFERROR(P4173/O4173,0)</f>
        <v/>
      </c>
      <c r="R4173" s="2">
        <f>TEXT(DATEVALUE(B4173),"mmm")</f>
        <v/>
      </c>
      <c r="S4173" s="2">
        <f>TEXT(DATEVALUE(B4173),"yyyy-mm")</f>
        <v/>
      </c>
    </row>
    <row r="4174">
      <c r="A4174" s="2" t="inlineStr">
        <is>
          <t>O001224</t>
        </is>
      </c>
      <c r="B4174" s="2" t="inlineStr">
        <is>
          <t>2025-11-01</t>
        </is>
      </c>
      <c r="C4174" s="2" t="inlineStr">
        <is>
          <t>C0202</t>
        </is>
      </c>
      <c r="D4174" s="2" t="inlineStr">
        <is>
          <t>P0026</t>
        </is>
      </c>
      <c r="E4174" s="2" t="inlineStr">
        <is>
          <t>Shampoo</t>
        </is>
      </c>
      <c r="F4174" s="2" t="inlineStr">
        <is>
          <t>Beauty</t>
        </is>
      </c>
      <c r="G4174" s="2" t="inlineStr">
        <is>
          <t>West</t>
        </is>
      </c>
      <c r="H4174" s="2" t="inlineStr">
        <is>
          <t>Goa</t>
        </is>
      </c>
      <c r="I4174" s="2" t="inlineStr">
        <is>
          <t>Margao</t>
        </is>
      </c>
      <c r="J4174" s="2" t="inlineStr">
        <is>
          <t>Store</t>
        </is>
      </c>
      <c r="K4174" s="2" t="n">
        <v>3</v>
      </c>
      <c r="L4174" s="3" t="n">
        <v>844.87</v>
      </c>
      <c r="M4174" s="4" t="n">
        <v>0</v>
      </c>
      <c r="N4174" s="3" t="n">
        <v>1534.63</v>
      </c>
      <c r="O4174" s="3">
        <f>K4174*L4174*(1-M4174)</f>
        <v/>
      </c>
      <c r="P4174" s="3">
        <f>O4174-N4174</f>
        <v/>
      </c>
      <c r="Q4174" s="5">
        <f>IFERROR(P4174/O4174,0)</f>
        <v/>
      </c>
      <c r="R4174" s="2">
        <f>TEXT(DATEVALUE(B4174),"mmm")</f>
        <v/>
      </c>
      <c r="S4174" s="2">
        <f>TEXT(DATEVALUE(B4174),"yyyy-mm")</f>
        <v/>
      </c>
    </row>
    <row r="4175">
      <c r="A4175" s="2" t="inlineStr">
        <is>
          <t>O004142</t>
        </is>
      </c>
      <c r="B4175" s="2" t="inlineStr">
        <is>
          <t>2025-11-02</t>
        </is>
      </c>
      <c r="C4175" s="2" t="inlineStr">
        <is>
          <t>C0249</t>
        </is>
      </c>
      <c r="D4175" s="2" t="inlineStr">
        <is>
          <t>P0031</t>
        </is>
      </c>
      <c r="E4175" s="2" t="inlineStr">
        <is>
          <t>Cricket Bat</t>
        </is>
      </c>
      <c r="F4175" s="2" t="inlineStr">
        <is>
          <t>Sports</t>
        </is>
      </c>
      <c r="G4175" s="2" t="inlineStr">
        <is>
          <t>East</t>
        </is>
      </c>
      <c r="H4175" s="2" t="inlineStr">
        <is>
          <t>Bihar</t>
        </is>
      </c>
      <c r="I4175" s="2" t="inlineStr">
        <is>
          <t>Patna</t>
        </is>
      </c>
      <c r="J4175" s="2" t="inlineStr">
        <is>
          <t>Store</t>
        </is>
      </c>
      <c r="K4175" s="2" t="n">
        <v>3</v>
      </c>
      <c r="L4175" s="3" t="n">
        <v>1372.42</v>
      </c>
      <c r="M4175" s="4" t="n">
        <v>0.2</v>
      </c>
      <c r="N4175" s="3" t="n">
        <v>2810.23</v>
      </c>
      <c r="O4175" s="3">
        <f>K4175*L4175*(1-M4175)</f>
        <v/>
      </c>
      <c r="P4175" s="3">
        <f>O4175-N4175</f>
        <v/>
      </c>
      <c r="Q4175" s="5">
        <f>IFERROR(P4175/O4175,0)</f>
        <v/>
      </c>
      <c r="R4175" s="2">
        <f>TEXT(DATEVALUE(B4175),"mmm")</f>
        <v/>
      </c>
      <c r="S4175" s="2">
        <f>TEXT(DATEVALUE(B4175),"yyyy-mm")</f>
        <v/>
      </c>
    </row>
    <row r="4176">
      <c r="A4176" s="2" t="inlineStr">
        <is>
          <t>O003690</t>
        </is>
      </c>
      <c r="B4176" s="2" t="inlineStr">
        <is>
          <t>2025-11-02</t>
        </is>
      </c>
      <c r="C4176" s="2" t="inlineStr">
        <is>
          <t>C0689</t>
        </is>
      </c>
      <c r="D4176" s="2" t="inlineStr">
        <is>
          <t>P0008</t>
        </is>
      </c>
      <c r="E4176" s="2" t="inlineStr">
        <is>
          <t>Air Fryer</t>
        </is>
      </c>
      <c r="F4176" s="2" t="inlineStr">
        <is>
          <t>Home &amp; Kitchen</t>
        </is>
      </c>
      <c r="G4176" s="2" t="inlineStr">
        <is>
          <t>West</t>
        </is>
      </c>
      <c r="H4176" s="2" t="inlineStr">
        <is>
          <t>Goa</t>
        </is>
      </c>
      <c r="I4176" s="2" t="inlineStr">
        <is>
          <t>Panaji</t>
        </is>
      </c>
      <c r="J4176" s="2" t="inlineStr">
        <is>
          <t>Online</t>
        </is>
      </c>
      <c r="K4176" s="2" t="n">
        <v>2</v>
      </c>
      <c r="L4176" s="3" t="n">
        <v>1013.17</v>
      </c>
      <c r="M4176" s="4" t="n">
        <v>0.05</v>
      </c>
      <c r="N4176" s="3" t="n">
        <v>1369.24</v>
      </c>
      <c r="O4176" s="3">
        <f>K4176*L4176*(1-M4176)</f>
        <v/>
      </c>
      <c r="P4176" s="3">
        <f>O4176-N4176</f>
        <v/>
      </c>
      <c r="Q4176" s="5">
        <f>IFERROR(P4176/O4176,0)</f>
        <v/>
      </c>
      <c r="R4176" s="2">
        <f>TEXT(DATEVALUE(B4176),"mmm")</f>
        <v/>
      </c>
      <c r="S4176" s="2">
        <f>TEXT(DATEVALUE(B4176),"yyyy-mm")</f>
        <v/>
      </c>
    </row>
    <row r="4177">
      <c r="A4177" s="2" t="inlineStr">
        <is>
          <t>O003413</t>
        </is>
      </c>
      <c r="B4177" s="2" t="inlineStr">
        <is>
          <t>2025-11-02</t>
        </is>
      </c>
      <c r="C4177" s="2" t="inlineStr">
        <is>
          <t>C0115</t>
        </is>
      </c>
      <c r="D4177" s="2" t="inlineStr">
        <is>
          <t>P0030</t>
        </is>
      </c>
      <c r="E4177" s="2" t="inlineStr">
        <is>
          <t>Dumbbells</t>
        </is>
      </c>
      <c r="F4177" s="2" t="inlineStr">
        <is>
          <t>Sports</t>
        </is>
      </c>
      <c r="G4177" s="2" t="inlineStr">
        <is>
          <t>West</t>
        </is>
      </c>
      <c r="H4177" s="2" t="inlineStr">
        <is>
          <t>Maharashtra</t>
        </is>
      </c>
      <c r="I4177" s="2" t="inlineStr">
        <is>
          <t>Mumbai</t>
        </is>
      </c>
      <c r="J4177" s="2" t="inlineStr">
        <is>
          <t>Online</t>
        </is>
      </c>
      <c r="K4177" s="2" t="n">
        <v>2</v>
      </c>
      <c r="L4177" s="3" t="n">
        <v>1563.57</v>
      </c>
      <c r="M4177" s="4" t="n">
        <v>0.15</v>
      </c>
      <c r="N4177" s="3" t="n">
        <v>2059.54</v>
      </c>
      <c r="O4177" s="3">
        <f>K4177*L4177*(1-M4177)</f>
        <v/>
      </c>
      <c r="P4177" s="3">
        <f>O4177-N4177</f>
        <v/>
      </c>
      <c r="Q4177" s="5">
        <f>IFERROR(P4177/O4177,0)</f>
        <v/>
      </c>
      <c r="R4177" s="2">
        <f>TEXT(DATEVALUE(B4177),"mmm")</f>
        <v/>
      </c>
      <c r="S4177" s="2">
        <f>TEXT(DATEVALUE(B4177),"yyyy-mm")</f>
        <v/>
      </c>
    </row>
    <row r="4178">
      <c r="A4178" s="2" t="inlineStr">
        <is>
          <t>O002030</t>
        </is>
      </c>
      <c r="B4178" s="2" t="inlineStr">
        <is>
          <t>2025-11-02</t>
        </is>
      </c>
      <c r="C4178" s="2" t="inlineStr">
        <is>
          <t>C0407</t>
        </is>
      </c>
      <c r="D4178" s="2" t="inlineStr">
        <is>
          <t>P0002</t>
        </is>
      </c>
      <c r="E4178" s="2" t="inlineStr">
        <is>
          <t>Bluetooth Speaker</t>
        </is>
      </c>
      <c r="F4178" s="2" t="inlineStr">
        <is>
          <t>Electronics</t>
        </is>
      </c>
      <c r="G4178" s="2" t="inlineStr">
        <is>
          <t>South</t>
        </is>
      </c>
      <c r="H4178" s="2" t="inlineStr">
        <is>
          <t>Telangana</t>
        </is>
      </c>
      <c r="I4178" s="2" t="inlineStr">
        <is>
          <t>Warangal</t>
        </is>
      </c>
      <c r="J4178" s="2" t="inlineStr">
        <is>
          <t>Online</t>
        </is>
      </c>
      <c r="K4178" s="2" t="n">
        <v>4</v>
      </c>
      <c r="L4178" s="3" t="n">
        <v>1350.5</v>
      </c>
      <c r="M4178" s="4" t="n">
        <v>0.1</v>
      </c>
      <c r="N4178" s="3" t="n">
        <v>3291.87</v>
      </c>
      <c r="O4178" s="3">
        <f>K4178*L4178*(1-M4178)</f>
        <v/>
      </c>
      <c r="P4178" s="3">
        <f>O4178-N4178</f>
        <v/>
      </c>
      <c r="Q4178" s="5">
        <f>IFERROR(P4178/O4178,0)</f>
        <v/>
      </c>
      <c r="R4178" s="2">
        <f>TEXT(DATEVALUE(B4178),"mmm")</f>
        <v/>
      </c>
      <c r="S4178" s="2">
        <f>TEXT(DATEVALUE(B4178),"yyyy-mm")</f>
        <v/>
      </c>
    </row>
    <row r="4179">
      <c r="A4179" s="2" t="inlineStr">
        <is>
          <t>O000792</t>
        </is>
      </c>
      <c r="B4179" s="2" t="inlineStr">
        <is>
          <t>2025-11-02</t>
        </is>
      </c>
      <c r="C4179" s="2" t="inlineStr">
        <is>
          <t>C0634</t>
        </is>
      </c>
      <c r="D4179" s="2" t="inlineStr">
        <is>
          <t>P0024</t>
        </is>
      </c>
      <c r="E4179" s="2" t="inlineStr">
        <is>
          <t>Hair Dryer</t>
        </is>
      </c>
      <c r="F4179" s="2" t="inlineStr">
        <is>
          <t>Beauty</t>
        </is>
      </c>
      <c r="G4179" s="2" t="inlineStr">
        <is>
          <t>West</t>
        </is>
      </c>
      <c r="H4179" s="2" t="inlineStr">
        <is>
          <t>Goa</t>
        </is>
      </c>
      <c r="I4179" s="2" t="inlineStr">
        <is>
          <t>Margao</t>
        </is>
      </c>
      <c r="J4179" s="2" t="inlineStr">
        <is>
          <t>Online</t>
        </is>
      </c>
      <c r="K4179" s="2" t="n">
        <v>1</v>
      </c>
      <c r="L4179" s="3" t="n">
        <v>996.8099999999999</v>
      </c>
      <c r="M4179" s="4" t="n">
        <v>0.1</v>
      </c>
      <c r="N4179" s="3" t="n">
        <v>755.67</v>
      </c>
      <c r="O4179" s="3">
        <f>K4179*L4179*(1-M4179)</f>
        <v/>
      </c>
      <c r="P4179" s="3">
        <f>O4179-N4179</f>
        <v/>
      </c>
      <c r="Q4179" s="5">
        <f>IFERROR(P4179/O4179,0)</f>
        <v/>
      </c>
      <c r="R4179" s="2">
        <f>TEXT(DATEVALUE(B4179),"mmm")</f>
        <v/>
      </c>
      <c r="S4179" s="2">
        <f>TEXT(DATEVALUE(B4179),"yyyy-mm")</f>
        <v/>
      </c>
    </row>
    <row r="4180">
      <c r="A4180" s="2" t="inlineStr">
        <is>
          <t>O000378</t>
        </is>
      </c>
      <c r="B4180" s="2" t="inlineStr">
        <is>
          <t>2025-11-02</t>
        </is>
      </c>
      <c r="C4180" s="2" t="inlineStr">
        <is>
          <t>C0555</t>
        </is>
      </c>
      <c r="D4180" s="2" t="inlineStr">
        <is>
          <t>P0027</t>
        </is>
      </c>
      <c r="E4180" s="2" t="inlineStr">
        <is>
          <t>Moisturizer</t>
        </is>
      </c>
      <c r="F4180" s="2" t="inlineStr">
        <is>
          <t>Beauty</t>
        </is>
      </c>
      <c r="G4180" s="2" t="inlineStr">
        <is>
          <t>West</t>
        </is>
      </c>
      <c r="H4180" s="2" t="inlineStr">
        <is>
          <t>Gujarat</t>
        </is>
      </c>
      <c r="I4180" s="2" t="inlineStr">
        <is>
          <t>Vadodara</t>
        </is>
      </c>
      <c r="J4180" s="2" t="inlineStr">
        <is>
          <t>Online</t>
        </is>
      </c>
      <c r="K4180" s="2" t="n">
        <v>1</v>
      </c>
      <c r="L4180" s="3" t="n">
        <v>919.09</v>
      </c>
      <c r="M4180" s="4" t="n">
        <v>0.05</v>
      </c>
      <c r="N4180" s="3" t="n">
        <v>665.37</v>
      </c>
      <c r="O4180" s="3">
        <f>K4180*L4180*(1-M4180)</f>
        <v/>
      </c>
      <c r="P4180" s="3">
        <f>O4180-N4180</f>
        <v/>
      </c>
      <c r="Q4180" s="5">
        <f>IFERROR(P4180/O4180,0)</f>
        <v/>
      </c>
      <c r="R4180" s="2">
        <f>TEXT(DATEVALUE(B4180),"mmm")</f>
        <v/>
      </c>
      <c r="S4180" s="2">
        <f>TEXT(DATEVALUE(B4180),"yyyy-mm")</f>
        <v/>
      </c>
    </row>
    <row r="4181">
      <c r="A4181" s="2" t="inlineStr">
        <is>
          <t>O001706</t>
        </is>
      </c>
      <c r="B4181" s="2" t="inlineStr">
        <is>
          <t>2025-11-02</t>
        </is>
      </c>
      <c r="C4181" s="2" t="inlineStr">
        <is>
          <t>C0187</t>
        </is>
      </c>
      <c r="D4181" s="2" t="inlineStr">
        <is>
          <t>P0035</t>
        </is>
      </c>
      <c r="E4181" s="2" t="inlineStr">
        <is>
          <t>Skipping Rope</t>
        </is>
      </c>
      <c r="F4181" s="2" t="inlineStr">
        <is>
          <t>Sports</t>
        </is>
      </c>
      <c r="G4181" s="2" t="inlineStr">
        <is>
          <t>South</t>
        </is>
      </c>
      <c r="H4181" s="2" t="inlineStr">
        <is>
          <t>Telangana</t>
        </is>
      </c>
      <c r="I4181" s="2" t="inlineStr">
        <is>
          <t>Warangal</t>
        </is>
      </c>
      <c r="J4181" s="2" t="inlineStr">
        <is>
          <t>Store</t>
        </is>
      </c>
      <c r="K4181" s="2" t="n">
        <v>1</v>
      </c>
      <c r="L4181" s="3" t="n">
        <v>695.9400000000001</v>
      </c>
      <c r="M4181" s="4" t="n">
        <v>0.05</v>
      </c>
      <c r="N4181" s="3" t="n">
        <v>424.36</v>
      </c>
      <c r="O4181" s="3">
        <f>K4181*L4181*(1-M4181)</f>
        <v/>
      </c>
      <c r="P4181" s="3">
        <f>O4181-N4181</f>
        <v/>
      </c>
      <c r="Q4181" s="5">
        <f>IFERROR(P4181/O4181,0)</f>
        <v/>
      </c>
      <c r="R4181" s="2">
        <f>TEXT(DATEVALUE(B4181),"mmm")</f>
        <v/>
      </c>
      <c r="S4181" s="2">
        <f>TEXT(DATEVALUE(B4181),"yyyy-mm")</f>
        <v/>
      </c>
    </row>
    <row r="4182">
      <c r="A4182" s="2" t="inlineStr">
        <is>
          <t>O000772</t>
        </is>
      </c>
      <c r="B4182" s="2" t="inlineStr">
        <is>
          <t>2025-11-02</t>
        </is>
      </c>
      <c r="C4182" s="2" t="inlineStr">
        <is>
          <t>C0215</t>
        </is>
      </c>
      <c r="D4182" s="2" t="inlineStr">
        <is>
          <t>P0002</t>
        </is>
      </c>
      <c r="E4182" s="2" t="inlineStr">
        <is>
          <t>Bluetooth Speaker</t>
        </is>
      </c>
      <c r="F4182" s="2" t="inlineStr">
        <is>
          <t>Electronics</t>
        </is>
      </c>
      <c r="G4182" s="2" t="inlineStr">
        <is>
          <t>West</t>
        </is>
      </c>
      <c r="H4182" s="2" t="inlineStr">
        <is>
          <t>Gujarat</t>
        </is>
      </c>
      <c r="I4182" s="2" t="inlineStr">
        <is>
          <t>Ahmedabad</t>
        </is>
      </c>
      <c r="J4182" s="2" t="inlineStr">
        <is>
          <t>Store</t>
        </is>
      </c>
      <c r="K4182" s="2" t="n">
        <v>5</v>
      </c>
      <c r="L4182" s="3" t="n">
        <v>1393.63</v>
      </c>
      <c r="M4182" s="4" t="n">
        <v>0.1</v>
      </c>
      <c r="N4182" s="3" t="n">
        <v>4237.34</v>
      </c>
      <c r="O4182" s="3">
        <f>K4182*L4182*(1-M4182)</f>
        <v/>
      </c>
      <c r="P4182" s="3">
        <f>O4182-N4182</f>
        <v/>
      </c>
      <c r="Q4182" s="5">
        <f>IFERROR(P4182/O4182,0)</f>
        <v/>
      </c>
      <c r="R4182" s="2">
        <f>TEXT(DATEVALUE(B4182),"mmm")</f>
        <v/>
      </c>
      <c r="S4182" s="2">
        <f>TEXT(DATEVALUE(B4182),"yyyy-mm")</f>
        <v/>
      </c>
    </row>
    <row r="4183">
      <c r="A4183" s="2" t="inlineStr">
        <is>
          <t>O003197</t>
        </is>
      </c>
      <c r="B4183" s="2" t="inlineStr">
        <is>
          <t>2025-11-03</t>
        </is>
      </c>
      <c r="C4183" s="2" t="inlineStr">
        <is>
          <t>C0215</t>
        </is>
      </c>
      <c r="D4183" s="2" t="inlineStr">
        <is>
          <t>P0005</t>
        </is>
      </c>
      <c r="E4183" s="2" t="inlineStr">
        <is>
          <t>Power Bank</t>
        </is>
      </c>
      <c r="F4183" s="2" t="inlineStr">
        <is>
          <t>Electronics</t>
        </is>
      </c>
      <c r="G4183" s="2" t="inlineStr">
        <is>
          <t>East</t>
        </is>
      </c>
      <c r="H4183" s="2" t="inlineStr">
        <is>
          <t>Odisha</t>
        </is>
      </c>
      <c r="I4183" s="2" t="inlineStr">
        <is>
          <t>Cuttack</t>
        </is>
      </c>
      <c r="J4183" s="2" t="inlineStr">
        <is>
          <t>Store</t>
        </is>
      </c>
      <c r="K4183" s="2" t="n">
        <v>1</v>
      </c>
      <c r="L4183" s="3" t="n">
        <v>1077.36</v>
      </c>
      <c r="M4183" s="4" t="n">
        <v>0.25</v>
      </c>
      <c r="N4183" s="3" t="n">
        <v>655.89</v>
      </c>
      <c r="O4183" s="3">
        <f>K4183*L4183*(1-M4183)</f>
        <v/>
      </c>
      <c r="P4183" s="3">
        <f>O4183-N4183</f>
        <v/>
      </c>
      <c r="Q4183" s="5">
        <f>IFERROR(P4183/O4183,0)</f>
        <v/>
      </c>
      <c r="R4183" s="2">
        <f>TEXT(DATEVALUE(B4183),"mmm")</f>
        <v/>
      </c>
      <c r="S4183" s="2">
        <f>TEXT(DATEVALUE(B4183),"yyyy-mm")</f>
        <v/>
      </c>
    </row>
    <row r="4184">
      <c r="A4184" s="2" t="inlineStr">
        <is>
          <t>O003848</t>
        </is>
      </c>
      <c r="B4184" s="2" t="inlineStr">
        <is>
          <t>2025-11-03</t>
        </is>
      </c>
      <c r="C4184" s="2" t="inlineStr">
        <is>
          <t>C0178</t>
        </is>
      </c>
      <c r="D4184" s="2" t="inlineStr">
        <is>
          <t>P0018</t>
        </is>
      </c>
      <c r="E4184" s="2" t="inlineStr">
        <is>
          <t>Backpack</t>
        </is>
      </c>
      <c r="F4184" s="2" t="inlineStr">
        <is>
          <t>Fashion</t>
        </is>
      </c>
      <c r="G4184" s="2" t="inlineStr">
        <is>
          <t>West</t>
        </is>
      </c>
      <c r="H4184" s="2" t="inlineStr">
        <is>
          <t>Maharashtra</t>
        </is>
      </c>
      <c r="I4184" s="2" t="inlineStr">
        <is>
          <t>Mumbai</t>
        </is>
      </c>
      <c r="J4184" s="2" t="inlineStr">
        <is>
          <t>Store</t>
        </is>
      </c>
      <c r="K4184" s="2" t="n">
        <v>2</v>
      </c>
      <c r="L4184" s="3" t="n">
        <v>1896.15</v>
      </c>
      <c r="M4184" s="4" t="n">
        <v>0</v>
      </c>
      <c r="N4184" s="3" t="n">
        <v>2723.5</v>
      </c>
      <c r="O4184" s="3">
        <f>K4184*L4184*(1-M4184)</f>
        <v/>
      </c>
      <c r="P4184" s="3">
        <f>O4184-N4184</f>
        <v/>
      </c>
      <c r="Q4184" s="5">
        <f>IFERROR(P4184/O4184,0)</f>
        <v/>
      </c>
      <c r="R4184" s="2">
        <f>TEXT(DATEVALUE(B4184),"mmm")</f>
        <v/>
      </c>
      <c r="S4184" s="2">
        <f>TEXT(DATEVALUE(B4184),"yyyy-mm")</f>
        <v/>
      </c>
    </row>
    <row r="4185">
      <c r="A4185" s="2" t="inlineStr">
        <is>
          <t>O003705</t>
        </is>
      </c>
      <c r="B4185" s="2" t="inlineStr">
        <is>
          <t>2025-11-03</t>
        </is>
      </c>
      <c r="C4185" s="2" t="inlineStr">
        <is>
          <t>C0328</t>
        </is>
      </c>
      <c r="D4185" s="2" t="inlineStr">
        <is>
          <t>P0011</t>
        </is>
      </c>
      <c r="E4185" s="2" t="inlineStr">
        <is>
          <t>Cookware Set</t>
        </is>
      </c>
      <c r="F4185" s="2" t="inlineStr">
        <is>
          <t>Home &amp; Kitchen</t>
        </is>
      </c>
      <c r="G4185" s="2" t="inlineStr">
        <is>
          <t>South</t>
        </is>
      </c>
      <c r="H4185" s="2" t="inlineStr">
        <is>
          <t>Tamil Nadu</t>
        </is>
      </c>
      <c r="I4185" s="2" t="inlineStr">
        <is>
          <t>Madurai</t>
        </is>
      </c>
      <c r="J4185" s="2" t="inlineStr">
        <is>
          <t>Online</t>
        </is>
      </c>
      <c r="K4185" s="2" t="n">
        <v>5</v>
      </c>
      <c r="L4185" s="3" t="n">
        <v>688.4299999999999</v>
      </c>
      <c r="M4185" s="4" t="n">
        <v>0.1</v>
      </c>
      <c r="N4185" s="3" t="n">
        <v>2332.14</v>
      </c>
      <c r="O4185" s="3">
        <f>K4185*L4185*(1-M4185)</f>
        <v/>
      </c>
      <c r="P4185" s="3">
        <f>O4185-N4185</f>
        <v/>
      </c>
      <c r="Q4185" s="5">
        <f>IFERROR(P4185/O4185,0)</f>
        <v/>
      </c>
      <c r="R4185" s="2">
        <f>TEXT(DATEVALUE(B4185),"mmm")</f>
        <v/>
      </c>
      <c r="S4185" s="2">
        <f>TEXT(DATEVALUE(B4185),"yyyy-mm")</f>
        <v/>
      </c>
    </row>
    <row r="4186">
      <c r="A4186" s="2" t="inlineStr">
        <is>
          <t>O003318</t>
        </is>
      </c>
      <c r="B4186" s="2" t="inlineStr">
        <is>
          <t>2025-11-03</t>
        </is>
      </c>
      <c r="C4186" s="2" t="inlineStr">
        <is>
          <t>C0584</t>
        </is>
      </c>
      <c r="D4186" s="2" t="inlineStr">
        <is>
          <t>P0021</t>
        </is>
      </c>
      <c r="E4186" s="2" t="inlineStr">
        <is>
          <t>Wallet</t>
        </is>
      </c>
      <c r="F4186" s="2" t="inlineStr">
        <is>
          <t>Fashion</t>
        </is>
      </c>
      <c r="G4186" s="2" t="inlineStr">
        <is>
          <t>West</t>
        </is>
      </c>
      <c r="H4186" s="2" t="inlineStr">
        <is>
          <t>Maharashtra</t>
        </is>
      </c>
      <c r="I4186" s="2" t="inlineStr">
        <is>
          <t>Mumbai</t>
        </is>
      </c>
      <c r="J4186" s="2" t="inlineStr">
        <is>
          <t>Online</t>
        </is>
      </c>
      <c r="K4186" s="2" t="n">
        <v>4</v>
      </c>
      <c r="L4186" s="3" t="n">
        <v>2039.82</v>
      </c>
      <c r="M4186" s="4" t="n">
        <v>0.05</v>
      </c>
      <c r="N4186" s="3" t="n">
        <v>4833.94</v>
      </c>
      <c r="O4186" s="3">
        <f>K4186*L4186*(1-M4186)</f>
        <v/>
      </c>
      <c r="P4186" s="3">
        <f>O4186-N4186</f>
        <v/>
      </c>
      <c r="Q4186" s="5">
        <f>IFERROR(P4186/O4186,0)</f>
        <v/>
      </c>
      <c r="R4186" s="2">
        <f>TEXT(DATEVALUE(B4186),"mmm")</f>
        <v/>
      </c>
      <c r="S4186" s="2">
        <f>TEXT(DATEVALUE(B4186),"yyyy-mm")</f>
        <v/>
      </c>
    </row>
    <row r="4187">
      <c r="A4187" s="2" t="inlineStr">
        <is>
          <t>O003264</t>
        </is>
      </c>
      <c r="B4187" s="2" t="inlineStr">
        <is>
          <t>2025-11-03</t>
        </is>
      </c>
      <c r="C4187" s="2" t="inlineStr">
        <is>
          <t>C0478</t>
        </is>
      </c>
      <c r="D4187" s="2" t="inlineStr">
        <is>
          <t>P0016</t>
        </is>
      </c>
      <c r="E4187" s="2" t="inlineStr">
        <is>
          <t>Casual Shirt</t>
        </is>
      </c>
      <c r="F4187" s="2" t="inlineStr">
        <is>
          <t>Fashion</t>
        </is>
      </c>
      <c r="G4187" s="2" t="inlineStr">
        <is>
          <t>West</t>
        </is>
      </c>
      <c r="H4187" s="2" t="inlineStr">
        <is>
          <t>Maharashtra</t>
        </is>
      </c>
      <c r="I4187" s="2" t="inlineStr">
        <is>
          <t>Thane</t>
        </is>
      </c>
      <c r="J4187" s="2" t="inlineStr">
        <is>
          <t>Store</t>
        </is>
      </c>
      <c r="K4187" s="2" t="n">
        <v>2</v>
      </c>
      <c r="L4187" s="3" t="n">
        <v>1254.29</v>
      </c>
      <c r="M4187" s="4" t="n">
        <v>0.05</v>
      </c>
      <c r="N4187" s="3" t="n">
        <v>1867.63</v>
      </c>
      <c r="O4187" s="3">
        <f>K4187*L4187*(1-M4187)</f>
        <v/>
      </c>
      <c r="P4187" s="3">
        <f>O4187-N4187</f>
        <v/>
      </c>
      <c r="Q4187" s="5">
        <f>IFERROR(P4187/O4187,0)</f>
        <v/>
      </c>
      <c r="R4187" s="2">
        <f>TEXT(DATEVALUE(B4187),"mmm")</f>
        <v/>
      </c>
      <c r="S4187" s="2">
        <f>TEXT(DATEVALUE(B4187),"yyyy-mm")</f>
        <v/>
      </c>
    </row>
    <row r="4188">
      <c r="A4188" s="2" t="inlineStr">
        <is>
          <t>O003048</t>
        </is>
      </c>
      <c r="B4188" s="2" t="inlineStr">
        <is>
          <t>2025-11-03</t>
        </is>
      </c>
      <c r="C4188" s="2" t="inlineStr">
        <is>
          <t>C0133</t>
        </is>
      </c>
      <c r="D4188" s="2" t="inlineStr">
        <is>
          <t>P0025</t>
        </is>
      </c>
      <c r="E4188" s="2" t="inlineStr">
        <is>
          <t>Perfume</t>
        </is>
      </c>
      <c r="F4188" s="2" t="inlineStr">
        <is>
          <t>Beauty</t>
        </is>
      </c>
      <c r="G4188" s="2" t="inlineStr">
        <is>
          <t>East</t>
        </is>
      </c>
      <c r="H4188" s="2" t="inlineStr">
        <is>
          <t>West Bengal</t>
        </is>
      </c>
      <c r="I4188" s="2" t="inlineStr">
        <is>
          <t>Kolkata</t>
        </is>
      </c>
      <c r="J4188" s="2" t="inlineStr">
        <is>
          <t>Online</t>
        </is>
      </c>
      <c r="K4188" s="2" t="n">
        <v>1</v>
      </c>
      <c r="L4188" s="3" t="n">
        <v>790.14</v>
      </c>
      <c r="M4188" s="4" t="n">
        <v>0</v>
      </c>
      <c r="N4188" s="3" t="n">
        <v>582.87</v>
      </c>
      <c r="O4188" s="3">
        <f>K4188*L4188*(1-M4188)</f>
        <v/>
      </c>
      <c r="P4188" s="3">
        <f>O4188-N4188</f>
        <v/>
      </c>
      <c r="Q4188" s="5">
        <f>IFERROR(P4188/O4188,0)</f>
        <v/>
      </c>
      <c r="R4188" s="2">
        <f>TEXT(DATEVALUE(B4188),"mmm")</f>
        <v/>
      </c>
      <c r="S4188" s="2">
        <f>TEXT(DATEVALUE(B4188),"yyyy-mm")</f>
        <v/>
      </c>
    </row>
    <row r="4189">
      <c r="A4189" s="2" t="inlineStr">
        <is>
          <t>O001888</t>
        </is>
      </c>
      <c r="B4189" s="2" t="inlineStr">
        <is>
          <t>2025-11-03</t>
        </is>
      </c>
      <c r="C4189" s="2" t="inlineStr">
        <is>
          <t>C0503</t>
        </is>
      </c>
      <c r="D4189" s="2" t="inlineStr">
        <is>
          <t>P0024</t>
        </is>
      </c>
      <c r="E4189" s="2" t="inlineStr">
        <is>
          <t>Hair Dryer</t>
        </is>
      </c>
      <c r="F4189" s="2" t="inlineStr">
        <is>
          <t>Beauty</t>
        </is>
      </c>
      <c r="G4189" s="2" t="inlineStr">
        <is>
          <t>West</t>
        </is>
      </c>
      <c r="H4189" s="2" t="inlineStr">
        <is>
          <t>Gujarat</t>
        </is>
      </c>
      <c r="I4189" s="2" t="inlineStr">
        <is>
          <t>Surat</t>
        </is>
      </c>
      <c r="J4189" s="2" t="inlineStr">
        <is>
          <t>Store</t>
        </is>
      </c>
      <c r="K4189" s="2" t="n">
        <v>1</v>
      </c>
      <c r="L4189" s="3" t="n">
        <v>1040.27</v>
      </c>
      <c r="M4189" s="4" t="n">
        <v>0.05</v>
      </c>
      <c r="N4189" s="3" t="n">
        <v>744.05</v>
      </c>
      <c r="O4189" s="3">
        <f>K4189*L4189*(1-M4189)</f>
        <v/>
      </c>
      <c r="P4189" s="3">
        <f>O4189-N4189</f>
        <v/>
      </c>
      <c r="Q4189" s="5">
        <f>IFERROR(P4189/O4189,0)</f>
        <v/>
      </c>
      <c r="R4189" s="2">
        <f>TEXT(DATEVALUE(B4189),"mmm")</f>
        <v/>
      </c>
      <c r="S4189" s="2">
        <f>TEXT(DATEVALUE(B4189),"yyyy-mm")</f>
        <v/>
      </c>
    </row>
    <row r="4190">
      <c r="A4190" s="2" t="inlineStr">
        <is>
          <t>O001372</t>
        </is>
      </c>
      <c r="B4190" s="2" t="inlineStr">
        <is>
          <t>2025-11-03</t>
        </is>
      </c>
      <c r="C4190" s="2" t="inlineStr">
        <is>
          <t>C0443</t>
        </is>
      </c>
      <c r="D4190" s="2" t="inlineStr">
        <is>
          <t>P0011</t>
        </is>
      </c>
      <c r="E4190" s="2" t="inlineStr">
        <is>
          <t>Cookware Set</t>
        </is>
      </c>
      <c r="F4190" s="2" t="inlineStr">
        <is>
          <t>Home &amp; Kitchen</t>
        </is>
      </c>
      <c r="G4190" s="2" t="inlineStr">
        <is>
          <t>West</t>
        </is>
      </c>
      <c r="H4190" s="2" t="inlineStr">
        <is>
          <t>Gujarat</t>
        </is>
      </c>
      <c r="I4190" s="2" t="inlineStr">
        <is>
          <t>Vadodara</t>
        </is>
      </c>
      <c r="J4190" s="2" t="inlineStr">
        <is>
          <t>Online</t>
        </is>
      </c>
      <c r="K4190" s="2" t="n">
        <v>1</v>
      </c>
      <c r="L4190" s="3" t="n">
        <v>708.87</v>
      </c>
      <c r="M4190" s="4" t="n">
        <v>0.05</v>
      </c>
      <c r="N4190" s="3" t="n">
        <v>459.39</v>
      </c>
      <c r="O4190" s="3">
        <f>K4190*L4190*(1-M4190)</f>
        <v/>
      </c>
      <c r="P4190" s="3">
        <f>O4190-N4190</f>
        <v/>
      </c>
      <c r="Q4190" s="5">
        <f>IFERROR(P4190/O4190,0)</f>
        <v/>
      </c>
      <c r="R4190" s="2">
        <f>TEXT(DATEVALUE(B4190),"mmm")</f>
        <v/>
      </c>
      <c r="S4190" s="2">
        <f>TEXT(DATEVALUE(B4190),"yyyy-mm")</f>
        <v/>
      </c>
    </row>
    <row r="4191">
      <c r="A4191" s="2" t="inlineStr">
        <is>
          <t>O000187</t>
        </is>
      </c>
      <c r="B4191" s="2" t="inlineStr">
        <is>
          <t>2025-11-03</t>
        </is>
      </c>
      <c r="C4191" s="2" t="inlineStr">
        <is>
          <t>C0560</t>
        </is>
      </c>
      <c r="D4191" s="2" t="inlineStr">
        <is>
          <t>P0026</t>
        </is>
      </c>
      <c r="E4191" s="2" t="inlineStr">
        <is>
          <t>Shampoo</t>
        </is>
      </c>
      <c r="F4191" s="2" t="inlineStr">
        <is>
          <t>Beauty</t>
        </is>
      </c>
      <c r="G4191" s="2" t="inlineStr">
        <is>
          <t>South</t>
        </is>
      </c>
      <c r="H4191" s="2" t="inlineStr">
        <is>
          <t>Tamil Nadu</t>
        </is>
      </c>
      <c r="I4191" s="2" t="inlineStr">
        <is>
          <t>Coimbatore</t>
        </is>
      </c>
      <c r="J4191" s="2" t="inlineStr">
        <is>
          <t>Online</t>
        </is>
      </c>
      <c r="K4191" s="2" t="n">
        <v>1</v>
      </c>
      <c r="L4191" s="3" t="n">
        <v>868.8</v>
      </c>
      <c r="M4191" s="4" t="n">
        <v>0.1</v>
      </c>
      <c r="N4191" s="3" t="n">
        <v>533.7</v>
      </c>
      <c r="O4191" s="3">
        <f>K4191*L4191*(1-M4191)</f>
        <v/>
      </c>
      <c r="P4191" s="3">
        <f>O4191-N4191</f>
        <v/>
      </c>
      <c r="Q4191" s="5">
        <f>IFERROR(P4191/O4191,0)</f>
        <v/>
      </c>
      <c r="R4191" s="2">
        <f>TEXT(DATEVALUE(B4191),"mmm")</f>
        <v/>
      </c>
      <c r="S4191" s="2">
        <f>TEXT(DATEVALUE(B4191),"yyyy-mm")</f>
        <v/>
      </c>
    </row>
    <row r="4192">
      <c r="A4192" s="2" t="inlineStr">
        <is>
          <t>O000043</t>
        </is>
      </c>
      <c r="B4192" s="2" t="inlineStr">
        <is>
          <t>2025-11-03</t>
        </is>
      </c>
      <c r="C4192" s="2" t="inlineStr">
        <is>
          <t>C0311</t>
        </is>
      </c>
      <c r="D4192" s="2" t="inlineStr">
        <is>
          <t>P0004</t>
        </is>
      </c>
      <c r="E4192" s="2" t="inlineStr">
        <is>
          <t>USB-C Hub</t>
        </is>
      </c>
      <c r="F4192" s="2" t="inlineStr">
        <is>
          <t>Electronics</t>
        </is>
      </c>
      <c r="G4192" s="2" t="inlineStr">
        <is>
          <t>West</t>
        </is>
      </c>
      <c r="H4192" s="2" t="inlineStr">
        <is>
          <t>Gujarat</t>
        </is>
      </c>
      <c r="I4192" s="2" t="inlineStr">
        <is>
          <t>Surat</t>
        </is>
      </c>
      <c r="J4192" s="2" t="inlineStr">
        <is>
          <t>Online</t>
        </is>
      </c>
      <c r="K4192" s="2" t="n">
        <v>2</v>
      </c>
      <c r="L4192" s="3" t="n">
        <v>1280.25</v>
      </c>
      <c r="M4192" s="4" t="n">
        <v>0.05</v>
      </c>
      <c r="N4192" s="3" t="n">
        <v>1819.13</v>
      </c>
      <c r="O4192" s="3">
        <f>K4192*L4192*(1-M4192)</f>
        <v/>
      </c>
      <c r="P4192" s="3">
        <f>O4192-N4192</f>
        <v/>
      </c>
      <c r="Q4192" s="5">
        <f>IFERROR(P4192/O4192,0)</f>
        <v/>
      </c>
      <c r="R4192" s="2">
        <f>TEXT(DATEVALUE(B4192),"mmm")</f>
        <v/>
      </c>
      <c r="S4192" s="2">
        <f>TEXT(DATEVALUE(B4192),"yyyy-mm")</f>
        <v/>
      </c>
    </row>
    <row r="4193">
      <c r="A4193" s="2" t="inlineStr">
        <is>
          <t>O002963</t>
        </is>
      </c>
      <c r="B4193" s="2" t="inlineStr">
        <is>
          <t>2025-11-03</t>
        </is>
      </c>
      <c r="C4193" s="2" t="inlineStr">
        <is>
          <t>C0302</t>
        </is>
      </c>
      <c r="D4193" s="2" t="inlineStr">
        <is>
          <t>P0031</t>
        </is>
      </c>
      <c r="E4193" s="2" t="inlineStr">
        <is>
          <t>Cricket Bat</t>
        </is>
      </c>
      <c r="F4193" s="2" t="inlineStr">
        <is>
          <t>Sports</t>
        </is>
      </c>
      <c r="G4193" s="2" t="inlineStr">
        <is>
          <t>West</t>
        </is>
      </c>
      <c r="H4193" s="2" t="inlineStr">
        <is>
          <t>Goa</t>
        </is>
      </c>
      <c r="I4193" s="2" t="inlineStr">
        <is>
          <t>Margao</t>
        </is>
      </c>
      <c r="J4193" s="2" t="inlineStr">
        <is>
          <t>Store</t>
        </is>
      </c>
      <c r="K4193" s="2" t="n">
        <v>1</v>
      </c>
      <c r="L4193" s="3" t="n">
        <v>1386.76</v>
      </c>
      <c r="M4193" s="4" t="n">
        <v>0.15</v>
      </c>
      <c r="N4193" s="3" t="n">
        <v>966.76</v>
      </c>
      <c r="O4193" s="3">
        <f>K4193*L4193*(1-M4193)</f>
        <v/>
      </c>
      <c r="P4193" s="3">
        <f>O4193-N4193</f>
        <v/>
      </c>
      <c r="Q4193" s="5">
        <f>IFERROR(P4193/O4193,0)</f>
        <v/>
      </c>
      <c r="R4193" s="2">
        <f>TEXT(DATEVALUE(B4193),"mmm")</f>
        <v/>
      </c>
      <c r="S4193" s="2">
        <f>TEXT(DATEVALUE(B4193),"yyyy-mm")</f>
        <v/>
      </c>
    </row>
    <row r="4194">
      <c r="A4194" s="2" t="inlineStr">
        <is>
          <t>O004204</t>
        </is>
      </c>
      <c r="B4194" s="2" t="inlineStr">
        <is>
          <t>2025-11-04</t>
        </is>
      </c>
      <c r="C4194" s="2" t="inlineStr">
        <is>
          <t>C0293</t>
        </is>
      </c>
      <c r="D4194" s="2" t="inlineStr">
        <is>
          <t>P0001</t>
        </is>
      </c>
      <c r="E4194" s="2" t="inlineStr">
        <is>
          <t>Wireless Headphones</t>
        </is>
      </c>
      <c r="F4194" s="2" t="inlineStr">
        <is>
          <t>Electronics</t>
        </is>
      </c>
      <c r="G4194" s="2" t="inlineStr">
        <is>
          <t>North</t>
        </is>
      </c>
      <c r="H4194" s="2" t="inlineStr">
        <is>
          <t>Haryana</t>
        </is>
      </c>
      <c r="I4194" s="2" t="inlineStr">
        <is>
          <t>Faridabad</t>
        </is>
      </c>
      <c r="J4194" s="2" t="inlineStr">
        <is>
          <t>Online</t>
        </is>
      </c>
      <c r="K4194" s="2" t="n">
        <v>4</v>
      </c>
      <c r="L4194" s="3" t="n">
        <v>1262.35</v>
      </c>
      <c r="M4194" s="4" t="n">
        <v>0.15</v>
      </c>
      <c r="N4194" s="3" t="n">
        <v>2842.33</v>
      </c>
      <c r="O4194" s="3">
        <f>K4194*L4194*(1-M4194)</f>
        <v/>
      </c>
      <c r="P4194" s="3">
        <f>O4194-N4194</f>
        <v/>
      </c>
      <c r="Q4194" s="5">
        <f>IFERROR(P4194/O4194,0)</f>
        <v/>
      </c>
      <c r="R4194" s="2">
        <f>TEXT(DATEVALUE(B4194),"mmm")</f>
        <v/>
      </c>
      <c r="S4194" s="2">
        <f>TEXT(DATEVALUE(B4194),"yyyy-mm")</f>
        <v/>
      </c>
    </row>
    <row r="4195">
      <c r="A4195" s="2" t="inlineStr">
        <is>
          <t>O003910</t>
        </is>
      </c>
      <c r="B4195" s="2" t="inlineStr">
        <is>
          <t>2025-11-04</t>
        </is>
      </c>
      <c r="C4195" s="2" t="inlineStr">
        <is>
          <t>C0177</t>
        </is>
      </c>
      <c r="D4195" s="2" t="inlineStr">
        <is>
          <t>P0014</t>
        </is>
      </c>
      <c r="E4195" s="2" t="inlineStr">
        <is>
          <t>Coffee Maker</t>
        </is>
      </c>
      <c r="F4195" s="2" t="inlineStr">
        <is>
          <t>Home &amp; Kitchen</t>
        </is>
      </c>
      <c r="G4195" s="2" t="inlineStr">
        <is>
          <t>North</t>
        </is>
      </c>
      <c r="H4195" s="2" t="inlineStr">
        <is>
          <t>Haryana</t>
        </is>
      </c>
      <c r="I4195" s="2" t="inlineStr">
        <is>
          <t>Gurugram</t>
        </is>
      </c>
      <c r="J4195" s="2" t="inlineStr">
        <is>
          <t>Online</t>
        </is>
      </c>
      <c r="K4195" s="2" t="n">
        <v>1</v>
      </c>
      <c r="L4195" s="3" t="n">
        <v>1000.32</v>
      </c>
      <c r="M4195" s="4" t="n">
        <v>0.05</v>
      </c>
      <c r="N4195" s="3" t="n">
        <v>753.24</v>
      </c>
      <c r="O4195" s="3">
        <f>K4195*L4195*(1-M4195)</f>
        <v/>
      </c>
      <c r="P4195" s="3">
        <f>O4195-N4195</f>
        <v/>
      </c>
      <c r="Q4195" s="5">
        <f>IFERROR(P4195/O4195,0)</f>
        <v/>
      </c>
      <c r="R4195" s="2">
        <f>TEXT(DATEVALUE(B4195),"mmm")</f>
        <v/>
      </c>
      <c r="S4195" s="2">
        <f>TEXT(DATEVALUE(B4195),"yyyy-mm")</f>
        <v/>
      </c>
    </row>
    <row r="4196">
      <c r="A4196" s="2" t="inlineStr">
        <is>
          <t>O003507</t>
        </is>
      </c>
      <c r="B4196" s="2" t="inlineStr">
        <is>
          <t>2025-11-04</t>
        </is>
      </c>
      <c r="C4196" s="2" t="inlineStr">
        <is>
          <t>C0058</t>
        </is>
      </c>
      <c r="D4196" s="2" t="inlineStr">
        <is>
          <t>P0032</t>
        </is>
      </c>
      <c r="E4196" s="2" t="inlineStr">
        <is>
          <t>Football</t>
        </is>
      </c>
      <c r="F4196" s="2" t="inlineStr">
        <is>
          <t>Sports</t>
        </is>
      </c>
      <c r="G4196" s="2" t="inlineStr">
        <is>
          <t>West</t>
        </is>
      </c>
      <c r="H4196" s="2" t="inlineStr">
        <is>
          <t>Maharashtra</t>
        </is>
      </c>
      <c r="I4196" s="2" t="inlineStr">
        <is>
          <t>Nagpur</t>
        </is>
      </c>
      <c r="J4196" s="2" t="inlineStr">
        <is>
          <t>Online</t>
        </is>
      </c>
      <c r="K4196" s="2" t="n">
        <v>4</v>
      </c>
      <c r="L4196" s="3" t="n">
        <v>789.2</v>
      </c>
      <c r="M4196" s="4" t="n">
        <v>0.15</v>
      </c>
      <c r="N4196" s="3" t="n">
        <v>2148.54</v>
      </c>
      <c r="O4196" s="3">
        <f>K4196*L4196*(1-M4196)</f>
        <v/>
      </c>
      <c r="P4196" s="3">
        <f>O4196-N4196</f>
        <v/>
      </c>
      <c r="Q4196" s="5">
        <f>IFERROR(P4196/O4196,0)</f>
        <v/>
      </c>
      <c r="R4196" s="2">
        <f>TEXT(DATEVALUE(B4196),"mmm")</f>
        <v/>
      </c>
      <c r="S4196" s="2">
        <f>TEXT(DATEVALUE(B4196),"yyyy-mm")</f>
        <v/>
      </c>
    </row>
    <row r="4197">
      <c r="A4197" s="2" t="inlineStr">
        <is>
          <t>O003193</t>
        </is>
      </c>
      <c r="B4197" s="2" t="inlineStr">
        <is>
          <t>2025-11-04</t>
        </is>
      </c>
      <c r="C4197" s="2" t="inlineStr">
        <is>
          <t>C0768</t>
        </is>
      </c>
      <c r="D4197" s="2" t="inlineStr">
        <is>
          <t>P0006</t>
        </is>
      </c>
      <c r="E4197" s="2" t="inlineStr">
        <is>
          <t>Mechanical Keyboard</t>
        </is>
      </c>
      <c r="F4197" s="2" t="inlineStr">
        <is>
          <t>Electronics</t>
        </is>
      </c>
      <c r="G4197" s="2" t="inlineStr">
        <is>
          <t>West</t>
        </is>
      </c>
      <c r="H4197" s="2" t="inlineStr">
        <is>
          <t>Goa</t>
        </is>
      </c>
      <c r="I4197" s="2" t="inlineStr">
        <is>
          <t>Panaji</t>
        </is>
      </c>
      <c r="J4197" s="2" t="inlineStr">
        <is>
          <t>Online</t>
        </is>
      </c>
      <c r="K4197" s="2" t="n">
        <v>2</v>
      </c>
      <c r="L4197" s="3" t="n">
        <v>2751.27</v>
      </c>
      <c r="M4197" s="4" t="n">
        <v>0.05</v>
      </c>
      <c r="N4197" s="3" t="n">
        <v>2968.31</v>
      </c>
      <c r="O4197" s="3">
        <f>K4197*L4197*(1-M4197)</f>
        <v/>
      </c>
      <c r="P4197" s="3">
        <f>O4197-N4197</f>
        <v/>
      </c>
      <c r="Q4197" s="5">
        <f>IFERROR(P4197/O4197,0)</f>
        <v/>
      </c>
      <c r="R4197" s="2">
        <f>TEXT(DATEVALUE(B4197),"mmm")</f>
        <v/>
      </c>
      <c r="S4197" s="2">
        <f>TEXT(DATEVALUE(B4197),"yyyy-mm")</f>
        <v/>
      </c>
    </row>
    <row r="4198">
      <c r="A4198" s="2" t="inlineStr">
        <is>
          <t>O003141</t>
        </is>
      </c>
      <c r="B4198" s="2" t="inlineStr">
        <is>
          <t>2025-11-04</t>
        </is>
      </c>
      <c r="C4198" s="2" t="inlineStr">
        <is>
          <t>C0677</t>
        </is>
      </c>
      <c r="D4198" s="2" t="inlineStr">
        <is>
          <t>P0031</t>
        </is>
      </c>
      <c r="E4198" s="2" t="inlineStr">
        <is>
          <t>Cricket Bat</t>
        </is>
      </c>
      <c r="F4198" s="2" t="inlineStr">
        <is>
          <t>Sports</t>
        </is>
      </c>
      <c r="G4198" s="2" t="inlineStr">
        <is>
          <t>East</t>
        </is>
      </c>
      <c r="H4198" s="2" t="inlineStr">
        <is>
          <t>Bihar</t>
        </is>
      </c>
      <c r="I4198" s="2" t="inlineStr">
        <is>
          <t>Patna</t>
        </is>
      </c>
      <c r="J4198" s="2" t="inlineStr">
        <is>
          <t>Online</t>
        </is>
      </c>
      <c r="K4198" s="2" t="n">
        <v>1</v>
      </c>
      <c r="L4198" s="3" t="n">
        <v>1326.3</v>
      </c>
      <c r="M4198" s="4" t="n">
        <v>0.15</v>
      </c>
      <c r="N4198" s="3" t="n">
        <v>962.12</v>
      </c>
      <c r="O4198" s="3">
        <f>K4198*L4198*(1-M4198)</f>
        <v/>
      </c>
      <c r="P4198" s="3">
        <f>O4198-N4198</f>
        <v/>
      </c>
      <c r="Q4198" s="5">
        <f>IFERROR(P4198/O4198,0)</f>
        <v/>
      </c>
      <c r="R4198" s="2">
        <f>TEXT(DATEVALUE(B4198),"mmm")</f>
        <v/>
      </c>
      <c r="S4198" s="2">
        <f>TEXT(DATEVALUE(B4198),"yyyy-mm")</f>
        <v/>
      </c>
    </row>
    <row r="4199">
      <c r="A4199" s="2" t="inlineStr">
        <is>
          <t>O002496</t>
        </is>
      </c>
      <c r="B4199" s="2" t="inlineStr">
        <is>
          <t>2025-11-04</t>
        </is>
      </c>
      <c r="C4199" s="2" t="inlineStr">
        <is>
          <t>C0582</t>
        </is>
      </c>
      <c r="D4199" s="2" t="inlineStr">
        <is>
          <t>P0011</t>
        </is>
      </c>
      <c r="E4199" s="2" t="inlineStr">
        <is>
          <t>Cookware Set</t>
        </is>
      </c>
      <c r="F4199" s="2" t="inlineStr">
        <is>
          <t>Home &amp; Kitchen</t>
        </is>
      </c>
      <c r="G4199" s="2" t="inlineStr">
        <is>
          <t>East</t>
        </is>
      </c>
      <c r="H4199" s="2" t="inlineStr">
        <is>
          <t>West Bengal</t>
        </is>
      </c>
      <c r="I4199" s="2" t="inlineStr">
        <is>
          <t>Kolkata</t>
        </is>
      </c>
      <c r="J4199" s="2" t="inlineStr">
        <is>
          <t>Online</t>
        </is>
      </c>
      <c r="K4199" s="2" t="n">
        <v>2</v>
      </c>
      <c r="L4199" s="3" t="n">
        <v>687.8200000000001</v>
      </c>
      <c r="M4199" s="4" t="n">
        <v>0.1</v>
      </c>
      <c r="N4199" s="3" t="n">
        <v>943.13</v>
      </c>
      <c r="O4199" s="3">
        <f>K4199*L4199*(1-M4199)</f>
        <v/>
      </c>
      <c r="P4199" s="3">
        <f>O4199-N4199</f>
        <v/>
      </c>
      <c r="Q4199" s="5">
        <f>IFERROR(P4199/O4199,0)</f>
        <v/>
      </c>
      <c r="R4199" s="2">
        <f>TEXT(DATEVALUE(B4199),"mmm")</f>
        <v/>
      </c>
      <c r="S4199" s="2">
        <f>TEXT(DATEVALUE(B4199),"yyyy-mm")</f>
        <v/>
      </c>
    </row>
    <row r="4200">
      <c r="A4200" s="2" t="inlineStr">
        <is>
          <t>O002457</t>
        </is>
      </c>
      <c r="B4200" s="2" t="inlineStr">
        <is>
          <t>2025-11-04</t>
        </is>
      </c>
      <c r="C4200" s="2" t="inlineStr">
        <is>
          <t>C0470</t>
        </is>
      </c>
      <c r="D4200" s="2" t="inlineStr">
        <is>
          <t>P0011</t>
        </is>
      </c>
      <c r="E4200" s="2" t="inlineStr">
        <is>
          <t>Cookware Set</t>
        </is>
      </c>
      <c r="F4200" s="2" t="inlineStr">
        <is>
          <t>Home &amp; Kitchen</t>
        </is>
      </c>
      <c r="G4200" s="2" t="inlineStr">
        <is>
          <t>South</t>
        </is>
      </c>
      <c r="H4200" s="2" t="inlineStr">
        <is>
          <t>Tamil Nadu</t>
        </is>
      </c>
      <c r="I4200" s="2" t="inlineStr">
        <is>
          <t>Madurai</t>
        </is>
      </c>
      <c r="J4200" s="2" t="inlineStr">
        <is>
          <t>Online</t>
        </is>
      </c>
      <c r="K4200" s="2" t="n">
        <v>1</v>
      </c>
      <c r="L4200" s="3" t="n">
        <v>705.74</v>
      </c>
      <c r="M4200" s="4" t="n">
        <v>0.1</v>
      </c>
      <c r="N4200" s="3" t="n">
        <v>471.55</v>
      </c>
      <c r="O4200" s="3">
        <f>K4200*L4200*(1-M4200)</f>
        <v/>
      </c>
      <c r="P4200" s="3">
        <f>O4200-N4200</f>
        <v/>
      </c>
      <c r="Q4200" s="5">
        <f>IFERROR(P4200/O4200,0)</f>
        <v/>
      </c>
      <c r="R4200" s="2">
        <f>TEXT(DATEVALUE(B4200),"mmm")</f>
        <v/>
      </c>
      <c r="S4200" s="2">
        <f>TEXT(DATEVALUE(B4200),"yyyy-mm")</f>
        <v/>
      </c>
    </row>
    <row r="4201">
      <c r="A4201" s="2" t="inlineStr">
        <is>
          <t>O002042</t>
        </is>
      </c>
      <c r="B4201" s="2" t="inlineStr">
        <is>
          <t>2025-11-04</t>
        </is>
      </c>
      <c r="C4201" s="2" t="inlineStr">
        <is>
          <t>C0323</t>
        </is>
      </c>
      <c r="D4201" s="2" t="inlineStr">
        <is>
          <t>P0031</t>
        </is>
      </c>
      <c r="E4201" s="2" t="inlineStr">
        <is>
          <t>Cricket Bat</t>
        </is>
      </c>
      <c r="F4201" s="2" t="inlineStr">
        <is>
          <t>Sports</t>
        </is>
      </c>
      <c r="G4201" s="2" t="inlineStr">
        <is>
          <t>West</t>
        </is>
      </c>
      <c r="H4201" s="2" t="inlineStr">
        <is>
          <t>Goa</t>
        </is>
      </c>
      <c r="I4201" s="2" t="inlineStr">
        <is>
          <t>Margao</t>
        </is>
      </c>
      <c r="J4201" s="2" t="inlineStr">
        <is>
          <t>Store</t>
        </is>
      </c>
      <c r="K4201" s="2" t="n">
        <v>1</v>
      </c>
      <c r="L4201" s="3" t="n">
        <v>1366.56</v>
      </c>
      <c r="M4201" s="4" t="n">
        <v>0.2</v>
      </c>
      <c r="N4201" s="3" t="n">
        <v>968.8</v>
      </c>
      <c r="O4201" s="3">
        <f>K4201*L4201*(1-M4201)</f>
        <v/>
      </c>
      <c r="P4201" s="3">
        <f>O4201-N4201</f>
        <v/>
      </c>
      <c r="Q4201" s="5">
        <f>IFERROR(P4201/O4201,0)</f>
        <v/>
      </c>
      <c r="R4201" s="2">
        <f>TEXT(DATEVALUE(B4201),"mmm")</f>
        <v/>
      </c>
      <c r="S4201" s="2">
        <f>TEXT(DATEVALUE(B4201),"yyyy-mm")</f>
        <v/>
      </c>
    </row>
    <row r="4202">
      <c r="A4202" s="2" t="inlineStr">
        <is>
          <t>O000798</t>
        </is>
      </c>
      <c r="B4202" s="2" t="inlineStr">
        <is>
          <t>2025-11-04</t>
        </is>
      </c>
      <c r="C4202" s="2" t="inlineStr">
        <is>
          <t>C0456</t>
        </is>
      </c>
      <c r="D4202" s="2" t="inlineStr">
        <is>
          <t>P0012</t>
        </is>
      </c>
      <c r="E4202" s="2" t="inlineStr">
        <is>
          <t>Water Bottle</t>
        </is>
      </c>
      <c r="F4202" s="2" t="inlineStr">
        <is>
          <t>Home &amp; Kitchen</t>
        </is>
      </c>
      <c r="G4202" s="2" t="inlineStr">
        <is>
          <t>North</t>
        </is>
      </c>
      <c r="H4202" s="2" t="inlineStr">
        <is>
          <t>Uttar Pradesh</t>
        </is>
      </c>
      <c r="I4202" s="2" t="inlineStr">
        <is>
          <t>Lucknow</t>
        </is>
      </c>
      <c r="J4202" s="2" t="inlineStr">
        <is>
          <t>Online</t>
        </is>
      </c>
      <c r="K4202" s="2" t="n">
        <v>2</v>
      </c>
      <c r="L4202" s="3" t="n">
        <v>1012.33</v>
      </c>
      <c r="M4202" s="4" t="n">
        <v>0.15</v>
      </c>
      <c r="N4202" s="3" t="n">
        <v>1283.07</v>
      </c>
      <c r="O4202" s="3">
        <f>K4202*L4202*(1-M4202)</f>
        <v/>
      </c>
      <c r="P4202" s="3">
        <f>O4202-N4202</f>
        <v/>
      </c>
      <c r="Q4202" s="5">
        <f>IFERROR(P4202/O4202,0)</f>
        <v/>
      </c>
      <c r="R4202" s="2">
        <f>TEXT(DATEVALUE(B4202),"mmm")</f>
        <v/>
      </c>
      <c r="S4202" s="2">
        <f>TEXT(DATEVALUE(B4202),"yyyy-mm")</f>
        <v/>
      </c>
    </row>
    <row r="4203">
      <c r="A4203" s="2" t="inlineStr">
        <is>
          <t>O000425</t>
        </is>
      </c>
      <c r="B4203" s="2" t="inlineStr">
        <is>
          <t>2025-11-04</t>
        </is>
      </c>
      <c r="C4203" s="2" t="inlineStr">
        <is>
          <t>C0700</t>
        </is>
      </c>
      <c r="D4203" s="2" t="inlineStr">
        <is>
          <t>P0011</t>
        </is>
      </c>
      <c r="E4203" s="2" t="inlineStr">
        <is>
          <t>Cookware Set</t>
        </is>
      </c>
      <c r="F4203" s="2" t="inlineStr">
        <is>
          <t>Home &amp; Kitchen</t>
        </is>
      </c>
      <c r="G4203" s="2" t="inlineStr">
        <is>
          <t>East</t>
        </is>
      </c>
      <c r="H4203" s="2" t="inlineStr">
        <is>
          <t>Bihar</t>
        </is>
      </c>
      <c r="I4203" s="2" t="inlineStr">
        <is>
          <t>Gaya</t>
        </is>
      </c>
      <c r="J4203" s="2" t="inlineStr">
        <is>
          <t>Store</t>
        </is>
      </c>
      <c r="K4203" s="2" t="n">
        <v>2</v>
      </c>
      <c r="L4203" s="3" t="n">
        <v>726.52</v>
      </c>
      <c r="M4203" s="4" t="n">
        <v>0.1</v>
      </c>
      <c r="N4203" s="3" t="n">
        <v>961.96</v>
      </c>
      <c r="O4203" s="3">
        <f>K4203*L4203*(1-M4203)</f>
        <v/>
      </c>
      <c r="P4203" s="3">
        <f>O4203-N4203</f>
        <v/>
      </c>
      <c r="Q4203" s="5">
        <f>IFERROR(P4203/O4203,0)</f>
        <v/>
      </c>
      <c r="R4203" s="2">
        <f>TEXT(DATEVALUE(B4203),"mmm")</f>
        <v/>
      </c>
      <c r="S4203" s="2">
        <f>TEXT(DATEVALUE(B4203),"yyyy-mm")</f>
        <v/>
      </c>
    </row>
    <row r="4204">
      <c r="A4204" s="2" t="inlineStr">
        <is>
          <t>O000248</t>
        </is>
      </c>
      <c r="B4204" s="2" t="inlineStr">
        <is>
          <t>2025-11-04</t>
        </is>
      </c>
      <c r="C4204" s="2" t="inlineStr">
        <is>
          <t>C0393</t>
        </is>
      </c>
      <c r="D4204" s="2" t="inlineStr">
        <is>
          <t>P0014</t>
        </is>
      </c>
      <c r="E4204" s="2" t="inlineStr">
        <is>
          <t>Coffee Maker</t>
        </is>
      </c>
      <c r="F4204" s="2" t="inlineStr">
        <is>
          <t>Home &amp; Kitchen</t>
        </is>
      </c>
      <c r="G4204" s="2" t="inlineStr">
        <is>
          <t>North</t>
        </is>
      </c>
      <c r="H4204" s="2" t="inlineStr">
        <is>
          <t>Delhi</t>
        </is>
      </c>
      <c r="I4204" s="2" t="inlineStr">
        <is>
          <t>New Delhi</t>
        </is>
      </c>
      <c r="J4204" s="2" t="inlineStr">
        <is>
          <t>Store</t>
        </is>
      </c>
      <c r="K4204" s="2" t="n">
        <v>1</v>
      </c>
      <c r="L4204" s="3" t="n">
        <v>1044.57</v>
      </c>
      <c r="M4204" s="4" t="n">
        <v>0.1</v>
      </c>
      <c r="N4204" s="3" t="n">
        <v>750.4299999999999</v>
      </c>
      <c r="O4204" s="3">
        <f>K4204*L4204*(1-M4204)</f>
        <v/>
      </c>
      <c r="P4204" s="3">
        <f>O4204-N4204</f>
        <v/>
      </c>
      <c r="Q4204" s="5">
        <f>IFERROR(P4204/O4204,0)</f>
        <v/>
      </c>
      <c r="R4204" s="2">
        <f>TEXT(DATEVALUE(B4204),"mmm")</f>
        <v/>
      </c>
      <c r="S4204" s="2">
        <f>TEXT(DATEVALUE(B4204),"yyyy-mm")</f>
        <v/>
      </c>
    </row>
    <row r="4205">
      <c r="A4205" s="2" t="inlineStr">
        <is>
          <t>O002459</t>
        </is>
      </c>
      <c r="B4205" s="2" t="inlineStr">
        <is>
          <t>2025-11-04</t>
        </is>
      </c>
      <c r="C4205" s="2" t="inlineStr">
        <is>
          <t>C0659</t>
        </is>
      </c>
      <c r="D4205" s="2" t="inlineStr">
        <is>
          <t>P0005</t>
        </is>
      </c>
      <c r="E4205" s="2" t="inlineStr">
        <is>
          <t>Power Bank</t>
        </is>
      </c>
      <c r="F4205" s="2" t="inlineStr">
        <is>
          <t>Electronics</t>
        </is>
      </c>
      <c r="G4205" s="2" t="inlineStr">
        <is>
          <t>South</t>
        </is>
      </c>
      <c r="H4205" s="2" t="inlineStr">
        <is>
          <t>Telangana</t>
        </is>
      </c>
      <c r="I4205" s="2" t="inlineStr">
        <is>
          <t>Warangal</t>
        </is>
      </c>
      <c r="J4205" s="2" t="inlineStr">
        <is>
          <t>Store</t>
        </is>
      </c>
      <c r="K4205" s="2" t="n">
        <v>2</v>
      </c>
      <c r="L4205" s="3" t="n">
        <v>1131.14</v>
      </c>
      <c r="M4205" s="4" t="n">
        <v>0.05</v>
      </c>
      <c r="N4205" s="3" t="n">
        <v>1392.94</v>
      </c>
      <c r="O4205" s="3">
        <f>K4205*L4205*(1-M4205)</f>
        <v/>
      </c>
      <c r="P4205" s="3">
        <f>O4205-N4205</f>
        <v/>
      </c>
      <c r="Q4205" s="5">
        <f>IFERROR(P4205/O4205,0)</f>
        <v/>
      </c>
      <c r="R4205" s="2">
        <f>TEXT(DATEVALUE(B4205),"mmm")</f>
        <v/>
      </c>
      <c r="S4205" s="2">
        <f>TEXT(DATEVALUE(B4205),"yyyy-mm")</f>
        <v/>
      </c>
    </row>
    <row r="4206">
      <c r="A4206" s="2" t="inlineStr">
        <is>
          <t>O004969</t>
        </is>
      </c>
      <c r="B4206" s="2" t="inlineStr">
        <is>
          <t>2025-11-05</t>
        </is>
      </c>
      <c r="C4206" s="2" t="inlineStr">
        <is>
          <t>C0485</t>
        </is>
      </c>
      <c r="D4206" s="2" t="inlineStr">
        <is>
          <t>P0007</t>
        </is>
      </c>
      <c r="E4206" s="2" t="inlineStr">
        <is>
          <t>Wireless Mouse</t>
        </is>
      </c>
      <c r="F4206" s="2" t="inlineStr">
        <is>
          <t>Electronics</t>
        </is>
      </c>
      <c r="G4206" s="2" t="inlineStr">
        <is>
          <t>North</t>
        </is>
      </c>
      <c r="H4206" s="2" t="inlineStr">
        <is>
          <t>Punjab</t>
        </is>
      </c>
      <c r="I4206" s="2" t="inlineStr">
        <is>
          <t>Ludhiana</t>
        </is>
      </c>
      <c r="J4206" s="2" t="inlineStr">
        <is>
          <t>Store</t>
        </is>
      </c>
      <c r="K4206" s="2" t="n">
        <v>2</v>
      </c>
      <c r="L4206" s="3" t="n">
        <v>993.35</v>
      </c>
      <c r="M4206" s="4" t="n">
        <v>0.1</v>
      </c>
      <c r="N4206" s="3" t="n">
        <v>1253.88</v>
      </c>
      <c r="O4206" s="3">
        <f>K4206*L4206*(1-M4206)</f>
        <v/>
      </c>
      <c r="P4206" s="3">
        <f>O4206-N4206</f>
        <v/>
      </c>
      <c r="Q4206" s="5">
        <f>IFERROR(P4206/O4206,0)</f>
        <v/>
      </c>
      <c r="R4206" s="2">
        <f>TEXT(DATEVALUE(B4206),"mmm")</f>
        <v/>
      </c>
      <c r="S4206" s="2">
        <f>TEXT(DATEVALUE(B4206),"yyyy-mm")</f>
        <v/>
      </c>
    </row>
    <row r="4207">
      <c r="A4207" s="2" t="inlineStr">
        <is>
          <t>O004621</t>
        </is>
      </c>
      <c r="B4207" s="2" t="inlineStr">
        <is>
          <t>2025-11-05</t>
        </is>
      </c>
      <c r="C4207" s="2" t="inlineStr">
        <is>
          <t>C0616</t>
        </is>
      </c>
      <c r="D4207" s="2" t="inlineStr">
        <is>
          <t>P0021</t>
        </is>
      </c>
      <c r="E4207" s="2" t="inlineStr">
        <is>
          <t>Wallet</t>
        </is>
      </c>
      <c r="F4207" s="2" t="inlineStr">
        <is>
          <t>Fashion</t>
        </is>
      </c>
      <c r="G4207" s="2" t="inlineStr">
        <is>
          <t>West</t>
        </is>
      </c>
      <c r="H4207" s="2" t="inlineStr">
        <is>
          <t>Goa</t>
        </is>
      </c>
      <c r="I4207" s="2" t="inlineStr">
        <is>
          <t>Panaji</t>
        </is>
      </c>
      <c r="J4207" s="2" t="inlineStr">
        <is>
          <t>Store</t>
        </is>
      </c>
      <c r="K4207" s="2" t="n">
        <v>6</v>
      </c>
      <c r="L4207" s="3" t="n">
        <v>2010.91</v>
      </c>
      <c r="M4207" s="4" t="n">
        <v>0.05</v>
      </c>
      <c r="N4207" s="3" t="n">
        <v>7204.23</v>
      </c>
      <c r="O4207" s="3">
        <f>K4207*L4207*(1-M4207)</f>
        <v/>
      </c>
      <c r="P4207" s="3">
        <f>O4207-N4207</f>
        <v/>
      </c>
      <c r="Q4207" s="5">
        <f>IFERROR(P4207/O4207,0)</f>
        <v/>
      </c>
      <c r="R4207" s="2">
        <f>TEXT(DATEVALUE(B4207),"mmm")</f>
        <v/>
      </c>
      <c r="S4207" s="2">
        <f>TEXT(DATEVALUE(B4207),"yyyy-mm")</f>
        <v/>
      </c>
    </row>
    <row r="4208">
      <c r="A4208" s="2" t="inlineStr">
        <is>
          <t>O004360</t>
        </is>
      </c>
      <c r="B4208" s="2" t="inlineStr">
        <is>
          <t>2025-11-05</t>
        </is>
      </c>
      <c r="C4208" s="2" t="inlineStr">
        <is>
          <t>C0016</t>
        </is>
      </c>
      <c r="D4208" s="2" t="inlineStr">
        <is>
          <t>P0011</t>
        </is>
      </c>
      <c r="E4208" s="2" t="inlineStr">
        <is>
          <t>Cookware Set</t>
        </is>
      </c>
      <c r="F4208" s="2" t="inlineStr">
        <is>
          <t>Home &amp; Kitchen</t>
        </is>
      </c>
      <c r="G4208" s="2" t="inlineStr">
        <is>
          <t>South</t>
        </is>
      </c>
      <c r="H4208" s="2" t="inlineStr">
        <is>
          <t>Karnataka</t>
        </is>
      </c>
      <c r="I4208" s="2" t="inlineStr">
        <is>
          <t>Bengaluru</t>
        </is>
      </c>
      <c r="J4208" s="2" t="inlineStr">
        <is>
          <t>Online</t>
        </is>
      </c>
      <c r="K4208" s="2" t="n">
        <v>5</v>
      </c>
      <c r="L4208" s="3" t="n">
        <v>720.41</v>
      </c>
      <c r="M4208" s="4" t="n">
        <v>0.1</v>
      </c>
      <c r="N4208" s="3" t="n">
        <v>2304.24</v>
      </c>
      <c r="O4208" s="3">
        <f>K4208*L4208*(1-M4208)</f>
        <v/>
      </c>
      <c r="P4208" s="3">
        <f>O4208-N4208</f>
        <v/>
      </c>
      <c r="Q4208" s="5">
        <f>IFERROR(P4208/O4208,0)</f>
        <v/>
      </c>
      <c r="R4208" s="2">
        <f>TEXT(DATEVALUE(B4208),"mmm")</f>
        <v/>
      </c>
      <c r="S4208" s="2">
        <f>TEXT(DATEVALUE(B4208),"yyyy-mm")</f>
        <v/>
      </c>
    </row>
    <row r="4209">
      <c r="A4209" s="2" t="inlineStr">
        <is>
          <t>O004341</t>
        </is>
      </c>
      <c r="B4209" s="2" t="inlineStr">
        <is>
          <t>2025-11-05</t>
        </is>
      </c>
      <c r="C4209" s="2" t="inlineStr">
        <is>
          <t>C0095</t>
        </is>
      </c>
      <c r="D4209" s="2" t="inlineStr">
        <is>
          <t>P0024</t>
        </is>
      </c>
      <c r="E4209" s="2" t="inlineStr">
        <is>
          <t>Hair Dryer</t>
        </is>
      </c>
      <c r="F4209" s="2" t="inlineStr">
        <is>
          <t>Beauty</t>
        </is>
      </c>
      <c r="G4209" s="2" t="inlineStr">
        <is>
          <t>East</t>
        </is>
      </c>
      <c r="H4209" s="2" t="inlineStr">
        <is>
          <t>Bihar</t>
        </is>
      </c>
      <c r="I4209" s="2" t="inlineStr">
        <is>
          <t>Patna</t>
        </is>
      </c>
      <c r="J4209" s="2" t="inlineStr">
        <is>
          <t>Store</t>
        </is>
      </c>
      <c r="K4209" s="2" t="n">
        <v>1</v>
      </c>
      <c r="L4209" s="3" t="n">
        <v>987.72</v>
      </c>
      <c r="M4209" s="4" t="n">
        <v>0.15</v>
      </c>
      <c r="N4209" s="3" t="n">
        <v>727.01</v>
      </c>
      <c r="O4209" s="3">
        <f>K4209*L4209*(1-M4209)</f>
        <v/>
      </c>
      <c r="P4209" s="3">
        <f>O4209-N4209</f>
        <v/>
      </c>
      <c r="Q4209" s="5">
        <f>IFERROR(P4209/O4209,0)</f>
        <v/>
      </c>
      <c r="R4209" s="2">
        <f>TEXT(DATEVALUE(B4209),"mmm")</f>
        <v/>
      </c>
      <c r="S4209" s="2">
        <f>TEXT(DATEVALUE(B4209),"yyyy-mm")</f>
        <v/>
      </c>
    </row>
    <row r="4210">
      <c r="A4210" s="2" t="inlineStr">
        <is>
          <t>O003445</t>
        </is>
      </c>
      <c r="B4210" s="2" t="inlineStr">
        <is>
          <t>2025-11-05</t>
        </is>
      </c>
      <c r="C4210" s="2" t="inlineStr">
        <is>
          <t>C0317</t>
        </is>
      </c>
      <c r="D4210" s="2" t="inlineStr">
        <is>
          <t>P0004</t>
        </is>
      </c>
      <c r="E4210" s="2" t="inlineStr">
        <is>
          <t>USB-C Hub</t>
        </is>
      </c>
      <c r="F4210" s="2" t="inlineStr">
        <is>
          <t>Electronics</t>
        </is>
      </c>
      <c r="G4210" s="2" t="inlineStr">
        <is>
          <t>West</t>
        </is>
      </c>
      <c r="H4210" s="2" t="inlineStr">
        <is>
          <t>Goa</t>
        </is>
      </c>
      <c r="I4210" s="2" t="inlineStr">
        <is>
          <t>Margao</t>
        </is>
      </c>
      <c r="J4210" s="2" t="inlineStr">
        <is>
          <t>Online</t>
        </is>
      </c>
      <c r="K4210" s="2" t="n">
        <v>1</v>
      </c>
      <c r="L4210" s="3" t="n">
        <v>1260.24</v>
      </c>
      <c r="M4210" s="4" t="n">
        <v>0.1</v>
      </c>
      <c r="N4210" s="3" t="n">
        <v>920.6900000000001</v>
      </c>
      <c r="O4210" s="3">
        <f>K4210*L4210*(1-M4210)</f>
        <v/>
      </c>
      <c r="P4210" s="3">
        <f>O4210-N4210</f>
        <v/>
      </c>
      <c r="Q4210" s="5">
        <f>IFERROR(P4210/O4210,0)</f>
        <v/>
      </c>
      <c r="R4210" s="2">
        <f>TEXT(DATEVALUE(B4210),"mmm")</f>
        <v/>
      </c>
      <c r="S4210" s="2">
        <f>TEXT(DATEVALUE(B4210),"yyyy-mm")</f>
        <v/>
      </c>
    </row>
    <row r="4211">
      <c r="A4211" s="2" t="inlineStr">
        <is>
          <t>O003145</t>
        </is>
      </c>
      <c r="B4211" s="2" t="inlineStr">
        <is>
          <t>2025-11-05</t>
        </is>
      </c>
      <c r="C4211" s="2" t="inlineStr">
        <is>
          <t>C0103</t>
        </is>
      </c>
      <c r="D4211" s="2" t="inlineStr">
        <is>
          <t>P0027</t>
        </is>
      </c>
      <c r="E4211" s="2" t="inlineStr">
        <is>
          <t>Moisturizer</t>
        </is>
      </c>
      <c r="F4211" s="2" t="inlineStr">
        <is>
          <t>Beauty</t>
        </is>
      </c>
      <c r="G4211" s="2" t="inlineStr">
        <is>
          <t>South</t>
        </is>
      </c>
      <c r="H4211" s="2" t="inlineStr">
        <is>
          <t>Telangana</t>
        </is>
      </c>
      <c r="I4211" s="2" t="inlineStr">
        <is>
          <t>Hyderabad</t>
        </is>
      </c>
      <c r="J4211" s="2" t="inlineStr">
        <is>
          <t>Store</t>
        </is>
      </c>
      <c r="K4211" s="2" t="n">
        <v>1</v>
      </c>
      <c r="L4211" s="3" t="n">
        <v>920.58</v>
      </c>
      <c r="M4211" s="4" t="n">
        <v>0.1</v>
      </c>
      <c r="N4211" s="3" t="n">
        <v>662.53</v>
      </c>
      <c r="O4211" s="3">
        <f>K4211*L4211*(1-M4211)</f>
        <v/>
      </c>
      <c r="P4211" s="3">
        <f>O4211-N4211</f>
        <v/>
      </c>
      <c r="Q4211" s="5">
        <f>IFERROR(P4211/O4211,0)</f>
        <v/>
      </c>
      <c r="R4211" s="2">
        <f>TEXT(DATEVALUE(B4211),"mmm")</f>
        <v/>
      </c>
      <c r="S4211" s="2">
        <f>TEXT(DATEVALUE(B4211),"yyyy-mm")</f>
        <v/>
      </c>
    </row>
    <row r="4212">
      <c r="A4212" s="2" t="inlineStr">
        <is>
          <t>O001764</t>
        </is>
      </c>
      <c r="B4212" s="2" t="inlineStr">
        <is>
          <t>2025-11-05</t>
        </is>
      </c>
      <c r="C4212" s="2" t="inlineStr">
        <is>
          <t>C0568</t>
        </is>
      </c>
      <c r="D4212" s="2" t="inlineStr">
        <is>
          <t>P0017</t>
        </is>
      </c>
      <c r="E4212" s="2" t="inlineStr">
        <is>
          <t>Jeans</t>
        </is>
      </c>
      <c r="F4212" s="2" t="inlineStr">
        <is>
          <t>Fashion</t>
        </is>
      </c>
      <c r="G4212" s="2" t="inlineStr">
        <is>
          <t>West</t>
        </is>
      </c>
      <c r="H4212" s="2" t="inlineStr">
        <is>
          <t>Gujarat</t>
        </is>
      </c>
      <c r="I4212" s="2" t="inlineStr">
        <is>
          <t>Vadodara</t>
        </is>
      </c>
      <c r="J4212" s="2" t="inlineStr">
        <is>
          <t>Store</t>
        </is>
      </c>
      <c r="K4212" s="2" t="n">
        <v>2</v>
      </c>
      <c r="L4212" s="3" t="n">
        <v>1444.6</v>
      </c>
      <c r="M4212" s="4" t="n">
        <v>0.1</v>
      </c>
      <c r="N4212" s="3" t="n">
        <v>2032.07</v>
      </c>
      <c r="O4212" s="3">
        <f>K4212*L4212*(1-M4212)</f>
        <v/>
      </c>
      <c r="P4212" s="3">
        <f>O4212-N4212</f>
        <v/>
      </c>
      <c r="Q4212" s="5">
        <f>IFERROR(P4212/O4212,0)</f>
        <v/>
      </c>
      <c r="R4212" s="2">
        <f>TEXT(DATEVALUE(B4212),"mmm")</f>
        <v/>
      </c>
      <c r="S4212" s="2">
        <f>TEXT(DATEVALUE(B4212),"yyyy-mm")</f>
        <v/>
      </c>
    </row>
    <row r="4213">
      <c r="A4213" s="2" t="inlineStr">
        <is>
          <t>O001362</t>
        </is>
      </c>
      <c r="B4213" s="2" t="inlineStr">
        <is>
          <t>2025-11-05</t>
        </is>
      </c>
      <c r="C4213" s="2" t="inlineStr">
        <is>
          <t>C0728</t>
        </is>
      </c>
      <c r="D4213" s="2" t="inlineStr">
        <is>
          <t>P0027</t>
        </is>
      </c>
      <c r="E4213" s="2" t="inlineStr">
        <is>
          <t>Moisturizer</t>
        </is>
      </c>
      <c r="F4213" s="2" t="inlineStr">
        <is>
          <t>Beauty</t>
        </is>
      </c>
      <c r="G4213" s="2" t="inlineStr">
        <is>
          <t>South</t>
        </is>
      </c>
      <c r="H4213" s="2" t="inlineStr">
        <is>
          <t>Karnataka</t>
        </is>
      </c>
      <c r="I4213" s="2" t="inlineStr">
        <is>
          <t>Mangaluru</t>
        </is>
      </c>
      <c r="J4213" s="2" t="inlineStr">
        <is>
          <t>Online</t>
        </is>
      </c>
      <c r="K4213" s="2" t="n">
        <v>2</v>
      </c>
      <c r="L4213" s="3" t="n">
        <v>955.87</v>
      </c>
      <c r="M4213" s="4" t="n">
        <v>0</v>
      </c>
      <c r="N4213" s="3" t="n">
        <v>1411.72</v>
      </c>
      <c r="O4213" s="3">
        <f>K4213*L4213*(1-M4213)</f>
        <v/>
      </c>
      <c r="P4213" s="3">
        <f>O4213-N4213</f>
        <v/>
      </c>
      <c r="Q4213" s="5">
        <f>IFERROR(P4213/O4213,0)</f>
        <v/>
      </c>
      <c r="R4213" s="2">
        <f>TEXT(DATEVALUE(B4213),"mmm")</f>
        <v/>
      </c>
      <c r="S4213" s="2">
        <f>TEXT(DATEVALUE(B4213),"yyyy-mm")</f>
        <v/>
      </c>
    </row>
    <row r="4214">
      <c r="A4214" s="2" t="inlineStr">
        <is>
          <t>O001169</t>
        </is>
      </c>
      <c r="B4214" s="2" t="inlineStr">
        <is>
          <t>2025-11-05</t>
        </is>
      </c>
      <c r="C4214" s="2" t="inlineStr">
        <is>
          <t>C0140</t>
        </is>
      </c>
      <c r="D4214" s="2" t="inlineStr">
        <is>
          <t>P0024</t>
        </is>
      </c>
      <c r="E4214" s="2" t="inlineStr">
        <is>
          <t>Hair Dryer</t>
        </is>
      </c>
      <c r="F4214" s="2" t="inlineStr">
        <is>
          <t>Beauty</t>
        </is>
      </c>
      <c r="G4214" s="2" t="inlineStr">
        <is>
          <t>East</t>
        </is>
      </c>
      <c r="H4214" s="2" t="inlineStr">
        <is>
          <t>Bihar</t>
        </is>
      </c>
      <c r="I4214" s="2" t="inlineStr">
        <is>
          <t>Patna</t>
        </is>
      </c>
      <c r="J4214" s="2" t="inlineStr">
        <is>
          <t>Online</t>
        </is>
      </c>
      <c r="K4214" s="2" t="n">
        <v>2</v>
      </c>
      <c r="L4214" s="3" t="n">
        <v>983.41</v>
      </c>
      <c r="M4214" s="4" t="n">
        <v>0.25</v>
      </c>
      <c r="N4214" s="3" t="n">
        <v>1493.39</v>
      </c>
      <c r="O4214" s="3">
        <f>K4214*L4214*(1-M4214)</f>
        <v/>
      </c>
      <c r="P4214" s="3">
        <f>O4214-N4214</f>
        <v/>
      </c>
      <c r="Q4214" s="5">
        <f>IFERROR(P4214/O4214,0)</f>
        <v/>
      </c>
      <c r="R4214" s="2">
        <f>TEXT(DATEVALUE(B4214),"mmm")</f>
        <v/>
      </c>
      <c r="S4214" s="2">
        <f>TEXT(DATEVALUE(B4214),"yyyy-mm")</f>
        <v/>
      </c>
    </row>
    <row r="4215">
      <c r="A4215" s="2" t="inlineStr">
        <is>
          <t>O001069</t>
        </is>
      </c>
      <c r="B4215" s="2" t="inlineStr">
        <is>
          <t>2025-11-05</t>
        </is>
      </c>
      <c r="C4215" s="2" t="inlineStr">
        <is>
          <t>C0088</t>
        </is>
      </c>
      <c r="D4215" s="2" t="inlineStr">
        <is>
          <t>P0016</t>
        </is>
      </c>
      <c r="E4215" s="2" t="inlineStr">
        <is>
          <t>Casual Shirt</t>
        </is>
      </c>
      <c r="F4215" s="2" t="inlineStr">
        <is>
          <t>Fashion</t>
        </is>
      </c>
      <c r="G4215" s="2" t="inlineStr">
        <is>
          <t>North</t>
        </is>
      </c>
      <c r="H4215" s="2" t="inlineStr">
        <is>
          <t>Haryana</t>
        </is>
      </c>
      <c r="I4215" s="2" t="inlineStr">
        <is>
          <t>Gurugram</t>
        </is>
      </c>
      <c r="J4215" s="2" t="inlineStr">
        <is>
          <t>Store</t>
        </is>
      </c>
      <c r="K4215" s="2" t="n">
        <v>2</v>
      </c>
      <c r="L4215" s="3" t="n">
        <v>1252.4</v>
      </c>
      <c r="M4215" s="4" t="n">
        <v>0.25</v>
      </c>
      <c r="N4215" s="3" t="n">
        <v>1772.84</v>
      </c>
      <c r="O4215" s="3">
        <f>K4215*L4215*(1-M4215)</f>
        <v/>
      </c>
      <c r="P4215" s="3">
        <f>O4215-N4215</f>
        <v/>
      </c>
      <c r="Q4215" s="5">
        <f>IFERROR(P4215/O4215,0)</f>
        <v/>
      </c>
      <c r="R4215" s="2">
        <f>TEXT(DATEVALUE(B4215),"mmm")</f>
        <v/>
      </c>
      <c r="S4215" s="2">
        <f>TEXT(DATEVALUE(B4215),"yyyy-mm")</f>
        <v/>
      </c>
    </row>
    <row r="4216">
      <c r="A4216" s="2" t="inlineStr">
        <is>
          <t>O000018</t>
        </is>
      </c>
      <c r="B4216" s="2" t="inlineStr">
        <is>
          <t>2025-11-05</t>
        </is>
      </c>
      <c r="C4216" s="2" t="inlineStr">
        <is>
          <t>C0333</t>
        </is>
      </c>
      <c r="D4216" s="2" t="inlineStr">
        <is>
          <t>P0002</t>
        </is>
      </c>
      <c r="E4216" s="2" t="inlineStr">
        <is>
          <t>Bluetooth Speaker</t>
        </is>
      </c>
      <c r="F4216" s="2" t="inlineStr">
        <is>
          <t>Electronics</t>
        </is>
      </c>
      <c r="G4216" s="2" t="inlineStr">
        <is>
          <t>North</t>
        </is>
      </c>
      <c r="H4216" s="2" t="inlineStr">
        <is>
          <t>Punjab</t>
        </is>
      </c>
      <c r="I4216" s="2" t="inlineStr">
        <is>
          <t>Amritsar</t>
        </is>
      </c>
      <c r="J4216" s="2" t="inlineStr">
        <is>
          <t>Online</t>
        </is>
      </c>
      <c r="K4216" s="2" t="n">
        <v>3</v>
      </c>
      <c r="L4216" s="3" t="n">
        <v>1383.22</v>
      </c>
      <c r="M4216" s="4" t="n">
        <v>0.1</v>
      </c>
      <c r="N4216" s="3" t="n">
        <v>2407.14</v>
      </c>
      <c r="O4216" s="3">
        <f>K4216*L4216*(1-M4216)</f>
        <v/>
      </c>
      <c r="P4216" s="3">
        <f>O4216-N4216</f>
        <v/>
      </c>
      <c r="Q4216" s="5">
        <f>IFERROR(P4216/O4216,0)</f>
        <v/>
      </c>
      <c r="R4216" s="2">
        <f>TEXT(DATEVALUE(B4216),"mmm")</f>
        <v/>
      </c>
      <c r="S4216" s="2">
        <f>TEXT(DATEVALUE(B4216),"yyyy-mm")</f>
        <v/>
      </c>
    </row>
    <row r="4217">
      <c r="A4217" s="2" t="inlineStr">
        <is>
          <t>O001885</t>
        </is>
      </c>
      <c r="B4217" s="2" t="inlineStr">
        <is>
          <t>2025-11-05</t>
        </is>
      </c>
      <c r="C4217" s="2" t="inlineStr">
        <is>
          <t>C0733</t>
        </is>
      </c>
      <c r="D4217" s="2" t="inlineStr">
        <is>
          <t>P0017</t>
        </is>
      </c>
      <c r="E4217" s="2" t="inlineStr">
        <is>
          <t>Jeans</t>
        </is>
      </c>
      <c r="F4217" s="2" t="inlineStr">
        <is>
          <t>Fashion</t>
        </is>
      </c>
      <c r="G4217" s="2" t="inlineStr">
        <is>
          <t>South</t>
        </is>
      </c>
      <c r="H4217" s="2" t="inlineStr">
        <is>
          <t>Telangana</t>
        </is>
      </c>
      <c r="I4217" s="2" t="inlineStr">
        <is>
          <t>Hyderabad</t>
        </is>
      </c>
      <c r="J4217" s="2" t="inlineStr">
        <is>
          <t>Store</t>
        </is>
      </c>
      <c r="K4217" s="2" t="n">
        <v>1</v>
      </c>
      <c r="L4217" s="3" t="n">
        <v>1433.78</v>
      </c>
      <c r="M4217" s="4" t="n">
        <v>0.05</v>
      </c>
      <c r="N4217" s="3" t="n">
        <v>1054.81</v>
      </c>
      <c r="O4217" s="3">
        <f>K4217*L4217*(1-M4217)</f>
        <v/>
      </c>
      <c r="P4217" s="3">
        <f>O4217-N4217</f>
        <v/>
      </c>
      <c r="Q4217" s="5">
        <f>IFERROR(P4217/O4217,0)</f>
        <v/>
      </c>
      <c r="R4217" s="2">
        <f>TEXT(DATEVALUE(B4217),"mmm")</f>
        <v/>
      </c>
      <c r="S4217" s="2">
        <f>TEXT(DATEVALUE(B4217),"yyyy-mm")</f>
        <v/>
      </c>
    </row>
    <row r="4218">
      <c r="A4218" s="2" t="inlineStr">
        <is>
          <t>O004636</t>
        </is>
      </c>
      <c r="B4218" s="2" t="inlineStr">
        <is>
          <t>2025-11-06</t>
        </is>
      </c>
      <c r="C4218" s="2" t="inlineStr">
        <is>
          <t>C0780</t>
        </is>
      </c>
      <c r="D4218" s="2" t="inlineStr">
        <is>
          <t>P0034</t>
        </is>
      </c>
      <c r="E4218" s="2" t="inlineStr">
        <is>
          <t>Gym Gloves</t>
        </is>
      </c>
      <c r="F4218" s="2" t="inlineStr">
        <is>
          <t>Sports</t>
        </is>
      </c>
      <c r="G4218" s="2" t="inlineStr">
        <is>
          <t>West</t>
        </is>
      </c>
      <c r="H4218" s="2" t="inlineStr">
        <is>
          <t>Gujarat</t>
        </is>
      </c>
      <c r="I4218" s="2" t="inlineStr">
        <is>
          <t>Ahmedabad</t>
        </is>
      </c>
      <c r="J4218" s="2" t="inlineStr">
        <is>
          <t>Online</t>
        </is>
      </c>
      <c r="K4218" s="2" t="n">
        <v>1</v>
      </c>
      <c r="L4218" s="3" t="n">
        <v>621.4299999999999</v>
      </c>
      <c r="M4218" s="4" t="n">
        <v>0</v>
      </c>
      <c r="N4218" s="3" t="n">
        <v>391.54</v>
      </c>
      <c r="O4218" s="3">
        <f>K4218*L4218*(1-M4218)</f>
        <v/>
      </c>
      <c r="P4218" s="3">
        <f>O4218-N4218</f>
        <v/>
      </c>
      <c r="Q4218" s="5">
        <f>IFERROR(P4218/O4218,0)</f>
        <v/>
      </c>
      <c r="R4218" s="2">
        <f>TEXT(DATEVALUE(B4218),"mmm")</f>
        <v/>
      </c>
      <c r="S4218" s="2">
        <f>TEXT(DATEVALUE(B4218),"yyyy-mm")</f>
        <v/>
      </c>
    </row>
    <row r="4219">
      <c r="A4219" s="2" t="inlineStr">
        <is>
          <t>O004484</t>
        </is>
      </c>
      <c r="B4219" s="2" t="inlineStr">
        <is>
          <t>2025-11-06</t>
        </is>
      </c>
      <c r="C4219" s="2" t="inlineStr">
        <is>
          <t>C0109</t>
        </is>
      </c>
      <c r="D4219" s="2" t="inlineStr">
        <is>
          <t>P0008</t>
        </is>
      </c>
      <c r="E4219" s="2" t="inlineStr">
        <is>
          <t>Air Fryer</t>
        </is>
      </c>
      <c r="F4219" s="2" t="inlineStr">
        <is>
          <t>Home &amp; Kitchen</t>
        </is>
      </c>
      <c r="G4219" s="2" t="inlineStr">
        <is>
          <t>West</t>
        </is>
      </c>
      <c r="H4219" s="2" t="inlineStr">
        <is>
          <t>Gujarat</t>
        </is>
      </c>
      <c r="I4219" s="2" t="inlineStr">
        <is>
          <t>Ahmedabad</t>
        </is>
      </c>
      <c r="J4219" s="2" t="inlineStr">
        <is>
          <t>Online</t>
        </is>
      </c>
      <c r="K4219" s="2" t="n">
        <v>1</v>
      </c>
      <c r="L4219" s="3" t="n">
        <v>1004.41</v>
      </c>
      <c r="M4219" s="4" t="n">
        <v>0.1</v>
      </c>
      <c r="N4219" s="3" t="n">
        <v>678.75</v>
      </c>
      <c r="O4219" s="3">
        <f>K4219*L4219*(1-M4219)</f>
        <v/>
      </c>
      <c r="P4219" s="3">
        <f>O4219-N4219</f>
        <v/>
      </c>
      <c r="Q4219" s="5">
        <f>IFERROR(P4219/O4219,0)</f>
        <v/>
      </c>
      <c r="R4219" s="2">
        <f>TEXT(DATEVALUE(B4219),"mmm")</f>
        <v/>
      </c>
      <c r="S4219" s="2">
        <f>TEXT(DATEVALUE(B4219),"yyyy-mm")</f>
        <v/>
      </c>
    </row>
    <row r="4220">
      <c r="A4220" s="2" t="inlineStr">
        <is>
          <t>O004156</t>
        </is>
      </c>
      <c r="B4220" s="2" t="inlineStr">
        <is>
          <t>2025-11-06</t>
        </is>
      </c>
      <c r="C4220" s="2" t="inlineStr">
        <is>
          <t>C0734</t>
        </is>
      </c>
      <c r="D4220" s="2" t="inlineStr">
        <is>
          <t>P0005</t>
        </is>
      </c>
      <c r="E4220" s="2" t="inlineStr">
        <is>
          <t>Power Bank</t>
        </is>
      </c>
      <c r="F4220" s="2" t="inlineStr">
        <is>
          <t>Electronics</t>
        </is>
      </c>
      <c r="G4220" s="2" t="inlineStr">
        <is>
          <t>West</t>
        </is>
      </c>
      <c r="H4220" s="2" t="inlineStr">
        <is>
          <t>Goa</t>
        </is>
      </c>
      <c r="I4220" s="2" t="inlineStr">
        <is>
          <t>Panaji</t>
        </is>
      </c>
      <c r="J4220" s="2" t="inlineStr">
        <is>
          <t>Online</t>
        </is>
      </c>
      <c r="K4220" s="2" t="n">
        <v>2</v>
      </c>
      <c r="L4220" s="3" t="n">
        <v>1159.71</v>
      </c>
      <c r="M4220" s="4" t="n">
        <v>0</v>
      </c>
      <c r="N4220" s="3" t="n">
        <v>1343.14</v>
      </c>
      <c r="O4220" s="3">
        <f>K4220*L4220*(1-M4220)</f>
        <v/>
      </c>
      <c r="P4220" s="3">
        <f>O4220-N4220</f>
        <v/>
      </c>
      <c r="Q4220" s="5">
        <f>IFERROR(P4220/O4220,0)</f>
        <v/>
      </c>
      <c r="R4220" s="2">
        <f>TEXT(DATEVALUE(B4220),"mmm")</f>
        <v/>
      </c>
      <c r="S4220" s="2">
        <f>TEXT(DATEVALUE(B4220),"yyyy-mm")</f>
        <v/>
      </c>
    </row>
    <row r="4221">
      <c r="A4221" s="2" t="inlineStr">
        <is>
          <t>O003775</t>
        </is>
      </c>
      <c r="B4221" s="2" t="inlineStr">
        <is>
          <t>2025-11-06</t>
        </is>
      </c>
      <c r="C4221" s="2" t="inlineStr">
        <is>
          <t>C0705</t>
        </is>
      </c>
      <c r="D4221" s="2" t="inlineStr">
        <is>
          <t>P0007</t>
        </is>
      </c>
      <c r="E4221" s="2" t="inlineStr">
        <is>
          <t>Wireless Mouse</t>
        </is>
      </c>
      <c r="F4221" s="2" t="inlineStr">
        <is>
          <t>Electronics</t>
        </is>
      </c>
      <c r="G4221" s="2" t="inlineStr">
        <is>
          <t>East</t>
        </is>
      </c>
      <c r="H4221" s="2" t="inlineStr">
        <is>
          <t>West Bengal</t>
        </is>
      </c>
      <c r="I4221" s="2" t="inlineStr">
        <is>
          <t>Kolkata</t>
        </is>
      </c>
      <c r="J4221" s="2" t="inlineStr">
        <is>
          <t>Online</t>
        </is>
      </c>
      <c r="K4221" s="2" t="n">
        <v>3</v>
      </c>
      <c r="L4221" s="3" t="n">
        <v>1012.38</v>
      </c>
      <c r="M4221" s="4" t="n">
        <v>0.05</v>
      </c>
      <c r="N4221" s="3" t="n">
        <v>1901.72</v>
      </c>
      <c r="O4221" s="3">
        <f>K4221*L4221*(1-M4221)</f>
        <v/>
      </c>
      <c r="P4221" s="3">
        <f>O4221-N4221</f>
        <v/>
      </c>
      <c r="Q4221" s="5">
        <f>IFERROR(P4221/O4221,0)</f>
        <v/>
      </c>
      <c r="R4221" s="2">
        <f>TEXT(DATEVALUE(B4221),"mmm")</f>
        <v/>
      </c>
      <c r="S4221" s="2">
        <f>TEXT(DATEVALUE(B4221),"yyyy-mm")</f>
        <v/>
      </c>
    </row>
    <row r="4222">
      <c r="A4222" s="2" t="inlineStr">
        <is>
          <t>O003758</t>
        </is>
      </c>
      <c r="B4222" s="2" t="inlineStr">
        <is>
          <t>2025-11-06</t>
        </is>
      </c>
      <c r="C4222" s="2" t="inlineStr">
        <is>
          <t>C0503</t>
        </is>
      </c>
      <c r="D4222" s="2" t="inlineStr">
        <is>
          <t>P0013</t>
        </is>
      </c>
      <c r="E4222" s="2" t="inlineStr">
        <is>
          <t>Storage Organizer</t>
        </is>
      </c>
      <c r="F4222" s="2" t="inlineStr">
        <is>
          <t>Home &amp; Kitchen</t>
        </is>
      </c>
      <c r="G4222" s="2" t="inlineStr">
        <is>
          <t>West</t>
        </is>
      </c>
      <c r="H4222" s="2" t="inlineStr">
        <is>
          <t>Maharashtra</t>
        </is>
      </c>
      <c r="I4222" s="2" t="inlineStr">
        <is>
          <t>Nagpur</t>
        </is>
      </c>
      <c r="J4222" s="2" t="inlineStr">
        <is>
          <t>Store</t>
        </is>
      </c>
      <c r="K4222" s="2" t="n">
        <v>1</v>
      </c>
      <c r="L4222" s="3" t="n">
        <v>572.97</v>
      </c>
      <c r="M4222" s="4" t="n">
        <v>0.05</v>
      </c>
      <c r="N4222" s="3" t="n">
        <v>371.96</v>
      </c>
      <c r="O4222" s="3">
        <f>K4222*L4222*(1-M4222)</f>
        <v/>
      </c>
      <c r="P4222" s="3">
        <f>O4222-N4222</f>
        <v/>
      </c>
      <c r="Q4222" s="5">
        <f>IFERROR(P4222/O4222,0)</f>
        <v/>
      </c>
      <c r="R4222" s="2">
        <f>TEXT(DATEVALUE(B4222),"mmm")</f>
        <v/>
      </c>
      <c r="S4222" s="2">
        <f>TEXT(DATEVALUE(B4222),"yyyy-mm")</f>
        <v/>
      </c>
    </row>
    <row r="4223">
      <c r="A4223" s="2" t="inlineStr">
        <is>
          <t>O003488</t>
        </is>
      </c>
      <c r="B4223" s="2" t="inlineStr">
        <is>
          <t>2025-11-06</t>
        </is>
      </c>
      <c r="C4223" s="2" t="inlineStr">
        <is>
          <t>C0474</t>
        </is>
      </c>
      <c r="D4223" s="2" t="inlineStr">
        <is>
          <t>P0006</t>
        </is>
      </c>
      <c r="E4223" s="2" t="inlineStr">
        <is>
          <t>Mechanical Keyboard</t>
        </is>
      </c>
      <c r="F4223" s="2" t="inlineStr">
        <is>
          <t>Electronics</t>
        </is>
      </c>
      <c r="G4223" s="2" t="inlineStr">
        <is>
          <t>West</t>
        </is>
      </c>
      <c r="H4223" s="2" t="inlineStr">
        <is>
          <t>Maharashtra</t>
        </is>
      </c>
      <c r="I4223" s="2" t="inlineStr">
        <is>
          <t>Thane</t>
        </is>
      </c>
      <c r="J4223" s="2" t="inlineStr">
        <is>
          <t>Store</t>
        </is>
      </c>
      <c r="K4223" s="2" t="n">
        <v>4</v>
      </c>
      <c r="L4223" s="3" t="n">
        <v>2721.04</v>
      </c>
      <c r="M4223" s="4" t="n">
        <v>0.2</v>
      </c>
      <c r="N4223" s="3" t="n">
        <v>5909.98</v>
      </c>
      <c r="O4223" s="3">
        <f>K4223*L4223*(1-M4223)</f>
        <v/>
      </c>
      <c r="P4223" s="3">
        <f>O4223-N4223</f>
        <v/>
      </c>
      <c r="Q4223" s="5">
        <f>IFERROR(P4223/O4223,0)</f>
        <v/>
      </c>
      <c r="R4223" s="2">
        <f>TEXT(DATEVALUE(B4223),"mmm")</f>
        <v/>
      </c>
      <c r="S4223" s="2">
        <f>TEXT(DATEVALUE(B4223),"yyyy-mm")</f>
        <v/>
      </c>
    </row>
    <row r="4224">
      <c r="A4224" s="2" t="inlineStr">
        <is>
          <t>O003254</t>
        </is>
      </c>
      <c r="B4224" s="2" t="inlineStr">
        <is>
          <t>2025-11-06</t>
        </is>
      </c>
      <c r="C4224" s="2" t="inlineStr">
        <is>
          <t>C0116</t>
        </is>
      </c>
      <c r="D4224" s="2" t="inlineStr">
        <is>
          <t>P0014</t>
        </is>
      </c>
      <c r="E4224" s="2" t="inlineStr">
        <is>
          <t>Coffee Maker</t>
        </is>
      </c>
      <c r="F4224" s="2" t="inlineStr">
        <is>
          <t>Home &amp; Kitchen</t>
        </is>
      </c>
      <c r="G4224" s="2" t="inlineStr">
        <is>
          <t>West</t>
        </is>
      </c>
      <c r="H4224" s="2" t="inlineStr">
        <is>
          <t>Gujarat</t>
        </is>
      </c>
      <c r="I4224" s="2" t="inlineStr">
        <is>
          <t>Surat</t>
        </is>
      </c>
      <c r="J4224" s="2" t="inlineStr">
        <is>
          <t>Store</t>
        </is>
      </c>
      <c r="K4224" s="2" t="n">
        <v>5</v>
      </c>
      <c r="L4224" s="3" t="n">
        <v>1042.51</v>
      </c>
      <c r="M4224" s="4" t="n">
        <v>0.15</v>
      </c>
      <c r="N4224" s="3" t="n">
        <v>3740.9</v>
      </c>
      <c r="O4224" s="3">
        <f>K4224*L4224*(1-M4224)</f>
        <v/>
      </c>
      <c r="P4224" s="3">
        <f>O4224-N4224</f>
        <v/>
      </c>
      <c r="Q4224" s="5">
        <f>IFERROR(P4224/O4224,0)</f>
        <v/>
      </c>
      <c r="R4224" s="2">
        <f>TEXT(DATEVALUE(B4224),"mmm")</f>
        <v/>
      </c>
      <c r="S4224" s="2">
        <f>TEXT(DATEVALUE(B4224),"yyyy-mm")</f>
        <v/>
      </c>
    </row>
    <row r="4225">
      <c r="A4225" s="2" t="inlineStr">
        <is>
          <t>O002718</t>
        </is>
      </c>
      <c r="B4225" s="2" t="inlineStr">
        <is>
          <t>2025-11-06</t>
        </is>
      </c>
      <c r="C4225" s="2" t="inlineStr">
        <is>
          <t>C0522</t>
        </is>
      </c>
      <c r="D4225" s="2" t="inlineStr">
        <is>
          <t>P0015</t>
        </is>
      </c>
      <c r="E4225" s="2" t="inlineStr">
        <is>
          <t>Running Shoes</t>
        </is>
      </c>
      <c r="F4225" s="2" t="inlineStr">
        <is>
          <t>Fashion</t>
        </is>
      </c>
      <c r="G4225" s="2" t="inlineStr">
        <is>
          <t>North</t>
        </is>
      </c>
      <c r="H4225" s="2" t="inlineStr">
        <is>
          <t>Delhi</t>
        </is>
      </c>
      <c r="I4225" s="2" t="inlineStr">
        <is>
          <t>New Delhi</t>
        </is>
      </c>
      <c r="J4225" s="2" t="inlineStr">
        <is>
          <t>Online</t>
        </is>
      </c>
      <c r="K4225" s="2" t="n">
        <v>1</v>
      </c>
      <c r="L4225" s="3" t="n">
        <v>626.27</v>
      </c>
      <c r="M4225" s="4" t="n">
        <v>0.2</v>
      </c>
      <c r="N4225" s="3" t="n">
        <v>363.31</v>
      </c>
      <c r="O4225" s="3">
        <f>K4225*L4225*(1-M4225)</f>
        <v/>
      </c>
      <c r="P4225" s="3">
        <f>O4225-N4225</f>
        <v/>
      </c>
      <c r="Q4225" s="5">
        <f>IFERROR(P4225/O4225,0)</f>
        <v/>
      </c>
      <c r="R4225" s="2">
        <f>TEXT(DATEVALUE(B4225),"mmm")</f>
        <v/>
      </c>
      <c r="S4225" s="2">
        <f>TEXT(DATEVALUE(B4225),"yyyy-mm")</f>
        <v/>
      </c>
    </row>
    <row r="4226">
      <c r="A4226" s="2" t="inlineStr">
        <is>
          <t>O002404</t>
        </is>
      </c>
      <c r="B4226" s="2" t="inlineStr">
        <is>
          <t>2025-11-06</t>
        </is>
      </c>
      <c r="C4226" s="2" t="inlineStr">
        <is>
          <t>C0734</t>
        </is>
      </c>
      <c r="D4226" s="2" t="inlineStr">
        <is>
          <t>P0031</t>
        </is>
      </c>
      <c r="E4226" s="2" t="inlineStr">
        <is>
          <t>Cricket Bat</t>
        </is>
      </c>
      <c r="F4226" s="2" t="inlineStr">
        <is>
          <t>Sports</t>
        </is>
      </c>
      <c r="G4226" s="2" t="inlineStr">
        <is>
          <t>West</t>
        </is>
      </c>
      <c r="H4226" s="2" t="inlineStr">
        <is>
          <t>Goa</t>
        </is>
      </c>
      <c r="I4226" s="2" t="inlineStr">
        <is>
          <t>Margao</t>
        </is>
      </c>
      <c r="J4226" s="2" t="inlineStr">
        <is>
          <t>Online</t>
        </is>
      </c>
      <c r="K4226" s="2" t="n">
        <v>1</v>
      </c>
      <c r="L4226" s="3" t="n">
        <v>1417.58</v>
      </c>
      <c r="M4226" s="4" t="n">
        <v>0.1</v>
      </c>
      <c r="N4226" s="3" t="n">
        <v>964.2</v>
      </c>
      <c r="O4226" s="3">
        <f>K4226*L4226*(1-M4226)</f>
        <v/>
      </c>
      <c r="P4226" s="3">
        <f>O4226-N4226</f>
        <v/>
      </c>
      <c r="Q4226" s="5">
        <f>IFERROR(P4226/O4226,0)</f>
        <v/>
      </c>
      <c r="R4226" s="2">
        <f>TEXT(DATEVALUE(B4226),"mmm")</f>
        <v/>
      </c>
      <c r="S4226" s="2">
        <f>TEXT(DATEVALUE(B4226),"yyyy-mm")</f>
        <v/>
      </c>
    </row>
    <row r="4227">
      <c r="A4227" s="2" t="inlineStr">
        <is>
          <t>O004294</t>
        </is>
      </c>
      <c r="B4227" s="2" t="inlineStr">
        <is>
          <t>2025-11-06</t>
        </is>
      </c>
      <c r="C4227" s="2" t="inlineStr">
        <is>
          <t>C0570</t>
        </is>
      </c>
      <c r="D4227" s="2" t="inlineStr">
        <is>
          <t>P0015</t>
        </is>
      </c>
      <c r="E4227" s="2" t="inlineStr">
        <is>
          <t>Running Shoes</t>
        </is>
      </c>
      <c r="F4227" s="2" t="inlineStr">
        <is>
          <t>Fashion</t>
        </is>
      </c>
      <c r="G4227" s="2" t="inlineStr">
        <is>
          <t>West</t>
        </is>
      </c>
      <c r="H4227" s="2" t="inlineStr">
        <is>
          <t>Goa</t>
        </is>
      </c>
      <c r="I4227" s="2" t="inlineStr">
        <is>
          <t>Margao</t>
        </is>
      </c>
      <c r="J4227" s="2" t="inlineStr">
        <is>
          <t>Online</t>
        </is>
      </c>
      <c r="K4227" s="2" t="n">
        <v>2</v>
      </c>
      <c r="L4227" s="3" t="n">
        <v>627.05</v>
      </c>
      <c r="M4227" s="4" t="n">
        <v>0.15</v>
      </c>
      <c r="N4227" s="3" t="n">
        <v>743.72</v>
      </c>
      <c r="O4227" s="3">
        <f>K4227*L4227*(1-M4227)</f>
        <v/>
      </c>
      <c r="P4227" s="3">
        <f>O4227-N4227</f>
        <v/>
      </c>
      <c r="Q4227" s="5">
        <f>IFERROR(P4227/O4227,0)</f>
        <v/>
      </c>
      <c r="R4227" s="2">
        <f>TEXT(DATEVALUE(B4227),"mmm")</f>
        <v/>
      </c>
      <c r="S4227" s="2">
        <f>TEXT(DATEVALUE(B4227),"yyyy-mm")</f>
        <v/>
      </c>
    </row>
    <row r="4228">
      <c r="A4228" s="2" t="inlineStr">
        <is>
          <t>O002193</t>
        </is>
      </c>
      <c r="B4228" s="2" t="inlineStr">
        <is>
          <t>2025-11-06</t>
        </is>
      </c>
      <c r="C4228" s="2" t="inlineStr">
        <is>
          <t>C0010</t>
        </is>
      </c>
      <c r="D4228" s="2" t="inlineStr">
        <is>
          <t>P0019</t>
        </is>
      </c>
      <c r="E4228" s="2" t="inlineStr">
        <is>
          <t>Jacket</t>
        </is>
      </c>
      <c r="F4228" s="2" t="inlineStr">
        <is>
          <t>Fashion</t>
        </is>
      </c>
      <c r="G4228" s="2" t="inlineStr">
        <is>
          <t>South</t>
        </is>
      </c>
      <c r="H4228" s="2" t="inlineStr">
        <is>
          <t>Kerala</t>
        </is>
      </c>
      <c r="I4228" s="2" t="inlineStr">
        <is>
          <t>Thiruvananthapuram</t>
        </is>
      </c>
      <c r="J4228" s="2" t="inlineStr">
        <is>
          <t>Store</t>
        </is>
      </c>
      <c r="K4228" s="2" t="n">
        <v>2</v>
      </c>
      <c r="L4228" s="3" t="n">
        <v>1011.94</v>
      </c>
      <c r="M4228" s="4" t="n">
        <v>0.1</v>
      </c>
      <c r="N4228" s="3" t="n">
        <v>1304.04</v>
      </c>
      <c r="O4228" s="3">
        <f>K4228*L4228*(1-M4228)</f>
        <v/>
      </c>
      <c r="P4228" s="3">
        <f>O4228-N4228</f>
        <v/>
      </c>
      <c r="Q4228" s="5">
        <f>IFERROR(P4228/O4228,0)</f>
        <v/>
      </c>
      <c r="R4228" s="2">
        <f>TEXT(DATEVALUE(B4228),"mmm")</f>
        <v/>
      </c>
      <c r="S4228" s="2">
        <f>TEXT(DATEVALUE(B4228),"yyyy-mm")</f>
        <v/>
      </c>
    </row>
    <row r="4229">
      <c r="A4229" s="2" t="inlineStr">
        <is>
          <t>O002106</t>
        </is>
      </c>
      <c r="B4229" s="2" t="inlineStr">
        <is>
          <t>2025-11-06</t>
        </is>
      </c>
      <c r="C4229" s="2" t="inlineStr">
        <is>
          <t>C0493</t>
        </is>
      </c>
      <c r="D4229" s="2" t="inlineStr">
        <is>
          <t>P0025</t>
        </is>
      </c>
      <c r="E4229" s="2" t="inlineStr">
        <is>
          <t>Perfume</t>
        </is>
      </c>
      <c r="F4229" s="2" t="inlineStr">
        <is>
          <t>Beauty</t>
        </is>
      </c>
      <c r="G4229" s="2" t="inlineStr">
        <is>
          <t>South</t>
        </is>
      </c>
      <c r="H4229" s="2" t="inlineStr">
        <is>
          <t>Tamil Nadu</t>
        </is>
      </c>
      <c r="I4229" s="2" t="inlineStr">
        <is>
          <t>Coimbatore</t>
        </is>
      </c>
      <c r="J4229" s="2" t="inlineStr">
        <is>
          <t>Store</t>
        </is>
      </c>
      <c r="K4229" s="2" t="n">
        <v>2</v>
      </c>
      <c r="L4229" s="3" t="n">
        <v>791.8</v>
      </c>
      <c r="M4229" s="4" t="n">
        <v>0</v>
      </c>
      <c r="N4229" s="3" t="n">
        <v>1186.11</v>
      </c>
      <c r="O4229" s="3">
        <f>K4229*L4229*(1-M4229)</f>
        <v/>
      </c>
      <c r="P4229" s="3">
        <f>O4229-N4229</f>
        <v/>
      </c>
      <c r="Q4229" s="5">
        <f>IFERROR(P4229/O4229,0)</f>
        <v/>
      </c>
      <c r="R4229" s="2">
        <f>TEXT(DATEVALUE(B4229),"mmm")</f>
        <v/>
      </c>
      <c r="S4229" s="2">
        <f>TEXT(DATEVALUE(B4229),"yyyy-mm")</f>
        <v/>
      </c>
    </row>
    <row r="4230">
      <c r="A4230" s="2" t="inlineStr">
        <is>
          <t>O001816</t>
        </is>
      </c>
      <c r="B4230" s="2" t="inlineStr">
        <is>
          <t>2025-11-06</t>
        </is>
      </c>
      <c r="C4230" s="2" t="inlineStr">
        <is>
          <t>C0375</t>
        </is>
      </c>
      <c r="D4230" s="2" t="inlineStr">
        <is>
          <t>P0008</t>
        </is>
      </c>
      <c r="E4230" s="2" t="inlineStr">
        <is>
          <t>Air Fryer</t>
        </is>
      </c>
      <c r="F4230" s="2" t="inlineStr">
        <is>
          <t>Home &amp; Kitchen</t>
        </is>
      </c>
      <c r="G4230" s="2" t="inlineStr">
        <is>
          <t>North</t>
        </is>
      </c>
      <c r="H4230" s="2" t="inlineStr">
        <is>
          <t>Uttar Pradesh</t>
        </is>
      </c>
      <c r="I4230" s="2" t="inlineStr">
        <is>
          <t>Kanpur</t>
        </is>
      </c>
      <c r="J4230" s="2" t="inlineStr">
        <is>
          <t>Store</t>
        </is>
      </c>
      <c r="K4230" s="2" t="n">
        <v>3</v>
      </c>
      <c r="L4230" s="3" t="n">
        <v>1019.78</v>
      </c>
      <c r="M4230" s="4" t="n">
        <v>0.1</v>
      </c>
      <c r="N4230" s="3" t="n">
        <v>2045.66</v>
      </c>
      <c r="O4230" s="3">
        <f>K4230*L4230*(1-M4230)</f>
        <v/>
      </c>
      <c r="P4230" s="3">
        <f>O4230-N4230</f>
        <v/>
      </c>
      <c r="Q4230" s="5">
        <f>IFERROR(P4230/O4230,0)</f>
        <v/>
      </c>
      <c r="R4230" s="2">
        <f>TEXT(DATEVALUE(B4230),"mmm")</f>
        <v/>
      </c>
      <c r="S4230" s="2">
        <f>TEXT(DATEVALUE(B4230),"yyyy-mm")</f>
        <v/>
      </c>
    </row>
    <row r="4231">
      <c r="A4231" s="2" t="inlineStr">
        <is>
          <t>O001552</t>
        </is>
      </c>
      <c r="B4231" s="2" t="inlineStr">
        <is>
          <t>2025-11-06</t>
        </is>
      </c>
      <c r="C4231" s="2" t="inlineStr">
        <is>
          <t>C0029</t>
        </is>
      </c>
      <c r="D4231" s="2" t="inlineStr">
        <is>
          <t>P0004</t>
        </is>
      </c>
      <c r="E4231" s="2" t="inlineStr">
        <is>
          <t>USB-C Hub</t>
        </is>
      </c>
      <c r="F4231" s="2" t="inlineStr">
        <is>
          <t>Electronics</t>
        </is>
      </c>
      <c r="G4231" s="2" t="inlineStr">
        <is>
          <t>South</t>
        </is>
      </c>
      <c r="H4231" s="2" t="inlineStr">
        <is>
          <t>Telangana</t>
        </is>
      </c>
      <c r="I4231" s="2" t="inlineStr">
        <is>
          <t>Warangal</t>
        </is>
      </c>
      <c r="J4231" s="2" t="inlineStr">
        <is>
          <t>Online</t>
        </is>
      </c>
      <c r="K4231" s="2" t="n">
        <v>1</v>
      </c>
      <c r="L4231" s="3" t="n">
        <v>1313.7</v>
      </c>
      <c r="M4231" s="4" t="n">
        <v>0.1</v>
      </c>
      <c r="N4231" s="3" t="n">
        <v>916.4400000000001</v>
      </c>
      <c r="O4231" s="3">
        <f>K4231*L4231*(1-M4231)</f>
        <v/>
      </c>
      <c r="P4231" s="3">
        <f>O4231-N4231</f>
        <v/>
      </c>
      <c r="Q4231" s="5">
        <f>IFERROR(P4231/O4231,0)</f>
        <v/>
      </c>
      <c r="R4231" s="2">
        <f>TEXT(DATEVALUE(B4231),"mmm")</f>
        <v/>
      </c>
      <c r="S4231" s="2">
        <f>TEXT(DATEVALUE(B4231),"yyyy-mm")</f>
        <v/>
      </c>
    </row>
    <row r="4232">
      <c r="A4232" s="2" t="inlineStr">
        <is>
          <t>O001387</t>
        </is>
      </c>
      <c r="B4232" s="2" t="inlineStr">
        <is>
          <t>2025-11-06</t>
        </is>
      </c>
      <c r="C4232" s="2" t="inlineStr">
        <is>
          <t>C0064</t>
        </is>
      </c>
      <c r="D4232" s="2" t="inlineStr">
        <is>
          <t>P0017</t>
        </is>
      </c>
      <c r="E4232" s="2" t="inlineStr">
        <is>
          <t>Jeans</t>
        </is>
      </c>
      <c r="F4232" s="2" t="inlineStr">
        <is>
          <t>Fashion</t>
        </is>
      </c>
      <c r="G4232" s="2" t="inlineStr">
        <is>
          <t>East</t>
        </is>
      </c>
      <c r="H4232" s="2" t="inlineStr">
        <is>
          <t>Odisha</t>
        </is>
      </c>
      <c r="I4232" s="2" t="inlineStr">
        <is>
          <t>Bhubaneswar</t>
        </is>
      </c>
      <c r="J4232" s="2" t="inlineStr">
        <is>
          <t>Online</t>
        </is>
      </c>
      <c r="K4232" s="2" t="n">
        <v>2</v>
      </c>
      <c r="L4232" s="3" t="n">
        <v>1468.97</v>
      </c>
      <c r="M4232" s="4" t="n">
        <v>0.2</v>
      </c>
      <c r="N4232" s="3" t="n">
        <v>2028.62</v>
      </c>
      <c r="O4232" s="3">
        <f>K4232*L4232*(1-M4232)</f>
        <v/>
      </c>
      <c r="P4232" s="3">
        <f>O4232-N4232</f>
        <v/>
      </c>
      <c r="Q4232" s="5">
        <f>IFERROR(P4232/O4232,0)</f>
        <v/>
      </c>
      <c r="R4232" s="2">
        <f>TEXT(DATEVALUE(B4232),"mmm")</f>
        <v/>
      </c>
      <c r="S4232" s="2">
        <f>TEXT(DATEVALUE(B4232),"yyyy-mm")</f>
        <v/>
      </c>
    </row>
    <row r="4233">
      <c r="A4233" s="2" t="inlineStr">
        <is>
          <t>O001369</t>
        </is>
      </c>
      <c r="B4233" s="2" t="inlineStr">
        <is>
          <t>2025-11-06</t>
        </is>
      </c>
      <c r="C4233" s="2" t="inlineStr">
        <is>
          <t>C0473</t>
        </is>
      </c>
      <c r="D4233" s="2" t="inlineStr">
        <is>
          <t>P0007</t>
        </is>
      </c>
      <c r="E4233" s="2" t="inlineStr">
        <is>
          <t>Wireless Mouse</t>
        </is>
      </c>
      <c r="F4233" s="2" t="inlineStr">
        <is>
          <t>Electronics</t>
        </is>
      </c>
      <c r="G4233" s="2" t="inlineStr">
        <is>
          <t>North</t>
        </is>
      </c>
      <c r="H4233" s="2" t="inlineStr">
        <is>
          <t>Haryana</t>
        </is>
      </c>
      <c r="I4233" s="2" t="inlineStr">
        <is>
          <t>Faridabad</t>
        </is>
      </c>
      <c r="J4233" s="2" t="inlineStr">
        <is>
          <t>Online</t>
        </is>
      </c>
      <c r="K4233" s="2" t="n">
        <v>5</v>
      </c>
      <c r="L4233" s="3" t="n">
        <v>980.95</v>
      </c>
      <c r="M4233" s="4" t="n">
        <v>0.05</v>
      </c>
      <c r="N4233" s="3" t="n">
        <v>3220.64</v>
      </c>
      <c r="O4233" s="3">
        <f>K4233*L4233*(1-M4233)</f>
        <v/>
      </c>
      <c r="P4233" s="3">
        <f>O4233-N4233</f>
        <v/>
      </c>
      <c r="Q4233" s="5">
        <f>IFERROR(P4233/O4233,0)</f>
        <v/>
      </c>
      <c r="R4233" s="2">
        <f>TEXT(DATEVALUE(B4233),"mmm")</f>
        <v/>
      </c>
      <c r="S4233" s="2">
        <f>TEXT(DATEVALUE(B4233),"yyyy-mm")</f>
        <v/>
      </c>
    </row>
    <row r="4234">
      <c r="A4234" s="2" t="inlineStr">
        <is>
          <t>O000294</t>
        </is>
      </c>
      <c r="B4234" s="2" t="inlineStr">
        <is>
          <t>2025-11-06</t>
        </is>
      </c>
      <c r="C4234" s="2" t="inlineStr">
        <is>
          <t>C0152</t>
        </is>
      </c>
      <c r="D4234" s="2" t="inlineStr">
        <is>
          <t>P0013</t>
        </is>
      </c>
      <c r="E4234" s="2" t="inlineStr">
        <is>
          <t>Storage Organizer</t>
        </is>
      </c>
      <c r="F4234" s="2" t="inlineStr">
        <is>
          <t>Home &amp; Kitchen</t>
        </is>
      </c>
      <c r="G4234" s="2" t="inlineStr">
        <is>
          <t>West</t>
        </is>
      </c>
      <c r="H4234" s="2" t="inlineStr">
        <is>
          <t>Gujarat</t>
        </is>
      </c>
      <c r="I4234" s="2" t="inlineStr">
        <is>
          <t>Ahmedabad</t>
        </is>
      </c>
      <c r="J4234" s="2" t="inlineStr">
        <is>
          <t>Store</t>
        </is>
      </c>
      <c r="K4234" s="2" t="n">
        <v>4</v>
      </c>
      <c r="L4234" s="3" t="n">
        <v>570.8200000000001</v>
      </c>
      <c r="M4234" s="4" t="n">
        <v>0</v>
      </c>
      <c r="N4234" s="3" t="n">
        <v>1462.64</v>
      </c>
      <c r="O4234" s="3">
        <f>K4234*L4234*(1-M4234)</f>
        <v/>
      </c>
      <c r="P4234" s="3">
        <f>O4234-N4234</f>
        <v/>
      </c>
      <c r="Q4234" s="5">
        <f>IFERROR(P4234/O4234,0)</f>
        <v/>
      </c>
      <c r="R4234" s="2">
        <f>TEXT(DATEVALUE(B4234),"mmm")</f>
        <v/>
      </c>
      <c r="S4234" s="2">
        <f>TEXT(DATEVALUE(B4234),"yyyy-mm")</f>
        <v/>
      </c>
    </row>
    <row r="4235">
      <c r="A4235" s="2" t="inlineStr">
        <is>
          <t>O000068</t>
        </is>
      </c>
      <c r="B4235" s="2" t="inlineStr">
        <is>
          <t>2025-11-06</t>
        </is>
      </c>
      <c r="C4235" s="2" t="inlineStr">
        <is>
          <t>C0457</t>
        </is>
      </c>
      <c r="D4235" s="2" t="inlineStr">
        <is>
          <t>P0020</t>
        </is>
      </c>
      <c r="E4235" s="2" t="inlineStr">
        <is>
          <t>Sneakers</t>
        </is>
      </c>
      <c r="F4235" s="2" t="inlineStr">
        <is>
          <t>Fashion</t>
        </is>
      </c>
      <c r="G4235" s="2" t="inlineStr">
        <is>
          <t>North</t>
        </is>
      </c>
      <c r="H4235" s="2" t="inlineStr">
        <is>
          <t>Punjab</t>
        </is>
      </c>
      <c r="I4235" s="2" t="inlineStr">
        <is>
          <t>Amritsar</t>
        </is>
      </c>
      <c r="J4235" s="2" t="inlineStr">
        <is>
          <t>Online</t>
        </is>
      </c>
      <c r="K4235" s="2" t="n">
        <v>3</v>
      </c>
      <c r="L4235" s="3" t="n">
        <v>1911.35</v>
      </c>
      <c r="M4235" s="4" t="n">
        <v>0.15</v>
      </c>
      <c r="N4235" s="3" t="n">
        <v>4513.58</v>
      </c>
      <c r="O4235" s="3">
        <f>K4235*L4235*(1-M4235)</f>
        <v/>
      </c>
      <c r="P4235" s="3">
        <f>O4235-N4235</f>
        <v/>
      </c>
      <c r="Q4235" s="5">
        <f>IFERROR(P4235/O4235,0)</f>
        <v/>
      </c>
      <c r="R4235" s="2">
        <f>TEXT(DATEVALUE(B4235),"mmm")</f>
        <v/>
      </c>
      <c r="S4235" s="2">
        <f>TEXT(DATEVALUE(B4235),"yyyy-mm")</f>
        <v/>
      </c>
    </row>
    <row r="4236">
      <c r="A4236" s="2" t="inlineStr">
        <is>
          <t>O002396</t>
        </is>
      </c>
      <c r="B4236" s="2" t="inlineStr">
        <is>
          <t>2025-11-06</t>
        </is>
      </c>
      <c r="C4236" s="2" t="inlineStr">
        <is>
          <t>C0214</t>
        </is>
      </c>
      <c r="D4236" s="2" t="inlineStr">
        <is>
          <t>P0005</t>
        </is>
      </c>
      <c r="E4236" s="2" t="inlineStr">
        <is>
          <t>Power Bank</t>
        </is>
      </c>
      <c r="F4236" s="2" t="inlineStr">
        <is>
          <t>Electronics</t>
        </is>
      </c>
      <c r="G4236" s="2" t="inlineStr">
        <is>
          <t>South</t>
        </is>
      </c>
      <c r="H4236" s="2" t="inlineStr">
        <is>
          <t>Tamil Nadu</t>
        </is>
      </c>
      <c r="I4236" s="2" t="inlineStr">
        <is>
          <t>Madurai</t>
        </is>
      </c>
      <c r="J4236" s="2" t="inlineStr">
        <is>
          <t>Online</t>
        </is>
      </c>
      <c r="K4236" s="2" t="n">
        <v>1</v>
      </c>
      <c r="L4236" s="3" t="n">
        <v>1131.2</v>
      </c>
      <c r="M4236" s="4" t="n">
        <v>0.05</v>
      </c>
      <c r="N4236" s="3" t="n">
        <v>661.05</v>
      </c>
      <c r="O4236" s="3">
        <f>K4236*L4236*(1-M4236)</f>
        <v/>
      </c>
      <c r="P4236" s="3">
        <f>O4236-N4236</f>
        <v/>
      </c>
      <c r="Q4236" s="5">
        <f>IFERROR(P4236/O4236,0)</f>
        <v/>
      </c>
      <c r="R4236" s="2">
        <f>TEXT(DATEVALUE(B4236),"mmm")</f>
        <v/>
      </c>
      <c r="S4236" s="2">
        <f>TEXT(DATEVALUE(B4236),"yyyy-mm")</f>
        <v/>
      </c>
    </row>
    <row r="4237">
      <c r="A4237" s="2" t="inlineStr">
        <is>
          <t>O004522</t>
        </is>
      </c>
      <c r="B4237" s="2" t="inlineStr">
        <is>
          <t>2025-11-07</t>
        </is>
      </c>
      <c r="C4237" s="2" t="inlineStr">
        <is>
          <t>C0295</t>
        </is>
      </c>
      <c r="D4237" s="2" t="inlineStr">
        <is>
          <t>P0022</t>
        </is>
      </c>
      <c r="E4237" s="2" t="inlineStr">
        <is>
          <t>Face Wash</t>
        </is>
      </c>
      <c r="F4237" s="2" t="inlineStr">
        <is>
          <t>Beauty</t>
        </is>
      </c>
      <c r="G4237" s="2" t="inlineStr">
        <is>
          <t>West</t>
        </is>
      </c>
      <c r="H4237" s="2" t="inlineStr">
        <is>
          <t>Maharashtra</t>
        </is>
      </c>
      <c r="I4237" s="2" t="inlineStr">
        <is>
          <t>Nagpur</t>
        </is>
      </c>
      <c r="J4237" s="2" t="inlineStr">
        <is>
          <t>Online</t>
        </is>
      </c>
      <c r="K4237" s="2" t="n">
        <v>1</v>
      </c>
      <c r="L4237" s="3" t="n">
        <v>568.97</v>
      </c>
      <c r="M4237" s="4" t="n">
        <v>0.15</v>
      </c>
      <c r="N4237" s="3" t="n">
        <v>360.37</v>
      </c>
      <c r="O4237" s="3">
        <f>K4237*L4237*(1-M4237)</f>
        <v/>
      </c>
      <c r="P4237" s="3">
        <f>O4237-N4237</f>
        <v/>
      </c>
      <c r="Q4237" s="5">
        <f>IFERROR(P4237/O4237,0)</f>
        <v/>
      </c>
      <c r="R4237" s="2">
        <f>TEXT(DATEVALUE(B4237),"mmm")</f>
        <v/>
      </c>
      <c r="S4237" s="2">
        <f>TEXT(DATEVALUE(B4237),"yyyy-mm")</f>
        <v/>
      </c>
    </row>
    <row r="4238">
      <c r="A4238" s="2" t="inlineStr">
        <is>
          <t>O004489</t>
        </is>
      </c>
      <c r="B4238" s="2" t="inlineStr">
        <is>
          <t>2025-11-07</t>
        </is>
      </c>
      <c r="C4238" s="2" t="inlineStr">
        <is>
          <t>C0060</t>
        </is>
      </c>
      <c r="D4238" s="2" t="inlineStr">
        <is>
          <t>P0022</t>
        </is>
      </c>
      <c r="E4238" s="2" t="inlineStr">
        <is>
          <t>Face Wash</t>
        </is>
      </c>
      <c r="F4238" s="2" t="inlineStr">
        <is>
          <t>Beauty</t>
        </is>
      </c>
      <c r="G4238" s="2" t="inlineStr">
        <is>
          <t>South</t>
        </is>
      </c>
      <c r="H4238" s="2" t="inlineStr">
        <is>
          <t>Kerala</t>
        </is>
      </c>
      <c r="I4238" s="2" t="inlineStr">
        <is>
          <t>Thiruvananthapuram</t>
        </is>
      </c>
      <c r="J4238" s="2" t="inlineStr">
        <is>
          <t>Store</t>
        </is>
      </c>
      <c r="K4238" s="2" t="n">
        <v>6</v>
      </c>
      <c r="L4238" s="3" t="n">
        <v>569.11</v>
      </c>
      <c r="M4238" s="4" t="n">
        <v>0.05</v>
      </c>
      <c r="N4238" s="3" t="n">
        <v>2158.1</v>
      </c>
      <c r="O4238" s="3">
        <f>K4238*L4238*(1-M4238)</f>
        <v/>
      </c>
      <c r="P4238" s="3">
        <f>O4238-N4238</f>
        <v/>
      </c>
      <c r="Q4238" s="5">
        <f>IFERROR(P4238/O4238,0)</f>
        <v/>
      </c>
      <c r="R4238" s="2">
        <f>TEXT(DATEVALUE(B4238),"mmm")</f>
        <v/>
      </c>
      <c r="S4238" s="2">
        <f>TEXT(DATEVALUE(B4238),"yyyy-mm")</f>
        <v/>
      </c>
    </row>
    <row r="4239">
      <c r="A4239" s="2" t="inlineStr">
        <is>
          <t>O003963</t>
        </is>
      </c>
      <c r="B4239" s="2" t="inlineStr">
        <is>
          <t>2025-11-07</t>
        </is>
      </c>
      <c r="C4239" s="2" t="inlineStr">
        <is>
          <t>C0416</t>
        </is>
      </c>
      <c r="D4239" s="2" t="inlineStr">
        <is>
          <t>P0011</t>
        </is>
      </c>
      <c r="E4239" s="2" t="inlineStr">
        <is>
          <t>Cookware Set</t>
        </is>
      </c>
      <c r="F4239" s="2" t="inlineStr">
        <is>
          <t>Home &amp; Kitchen</t>
        </is>
      </c>
      <c r="G4239" s="2" t="inlineStr">
        <is>
          <t>East</t>
        </is>
      </c>
      <c r="H4239" s="2" t="inlineStr">
        <is>
          <t>Odisha</t>
        </is>
      </c>
      <c r="I4239" s="2" t="inlineStr">
        <is>
          <t>Bhubaneswar</t>
        </is>
      </c>
      <c r="J4239" s="2" t="inlineStr">
        <is>
          <t>Online</t>
        </is>
      </c>
      <c r="K4239" s="2" t="n">
        <v>1</v>
      </c>
      <c r="L4239" s="3" t="n">
        <v>703.95</v>
      </c>
      <c r="M4239" s="4" t="n">
        <v>0.15</v>
      </c>
      <c r="N4239" s="3" t="n">
        <v>457.17</v>
      </c>
      <c r="O4239" s="3">
        <f>K4239*L4239*(1-M4239)</f>
        <v/>
      </c>
      <c r="P4239" s="3">
        <f>O4239-N4239</f>
        <v/>
      </c>
      <c r="Q4239" s="5">
        <f>IFERROR(P4239/O4239,0)</f>
        <v/>
      </c>
      <c r="R4239" s="2">
        <f>TEXT(DATEVALUE(B4239),"mmm")</f>
        <v/>
      </c>
      <c r="S4239" s="2">
        <f>TEXT(DATEVALUE(B4239),"yyyy-mm")</f>
        <v/>
      </c>
    </row>
    <row r="4240">
      <c r="A4240" s="2" t="inlineStr">
        <is>
          <t>O003341</t>
        </is>
      </c>
      <c r="B4240" s="2" t="inlineStr">
        <is>
          <t>2025-11-07</t>
        </is>
      </c>
      <c r="C4240" s="2" t="inlineStr">
        <is>
          <t>C0404</t>
        </is>
      </c>
      <c r="D4240" s="2" t="inlineStr">
        <is>
          <t>P0014</t>
        </is>
      </c>
      <c r="E4240" s="2" t="inlineStr">
        <is>
          <t>Coffee Maker</t>
        </is>
      </c>
      <c r="F4240" s="2" t="inlineStr">
        <is>
          <t>Home &amp; Kitchen</t>
        </is>
      </c>
      <c r="G4240" s="2" t="inlineStr">
        <is>
          <t>West</t>
        </is>
      </c>
      <c r="H4240" s="2" t="inlineStr">
        <is>
          <t>Gujarat</t>
        </is>
      </c>
      <c r="I4240" s="2" t="inlineStr">
        <is>
          <t>Surat</t>
        </is>
      </c>
      <c r="J4240" s="2" t="inlineStr">
        <is>
          <t>Store</t>
        </is>
      </c>
      <c r="K4240" s="2" t="n">
        <v>3</v>
      </c>
      <c r="L4240" s="3" t="n">
        <v>1023.58</v>
      </c>
      <c r="M4240" s="4" t="n">
        <v>0.05</v>
      </c>
      <c r="N4240" s="3" t="n">
        <v>2231.26</v>
      </c>
      <c r="O4240" s="3">
        <f>K4240*L4240*(1-M4240)</f>
        <v/>
      </c>
      <c r="P4240" s="3">
        <f>O4240-N4240</f>
        <v/>
      </c>
      <c r="Q4240" s="5">
        <f>IFERROR(P4240/O4240,0)</f>
        <v/>
      </c>
      <c r="R4240" s="2">
        <f>TEXT(DATEVALUE(B4240),"mmm")</f>
        <v/>
      </c>
      <c r="S4240" s="2">
        <f>TEXT(DATEVALUE(B4240),"yyyy-mm")</f>
        <v/>
      </c>
    </row>
    <row r="4241">
      <c r="A4241" s="2" t="inlineStr">
        <is>
          <t>O003203</t>
        </is>
      </c>
      <c r="B4241" s="2" t="inlineStr">
        <is>
          <t>2025-11-07</t>
        </is>
      </c>
      <c r="C4241" s="2" t="inlineStr">
        <is>
          <t>C0407</t>
        </is>
      </c>
      <c r="D4241" s="2" t="inlineStr">
        <is>
          <t>P0019</t>
        </is>
      </c>
      <c r="E4241" s="2" t="inlineStr">
        <is>
          <t>Jacket</t>
        </is>
      </c>
      <c r="F4241" s="2" t="inlineStr">
        <is>
          <t>Fashion</t>
        </is>
      </c>
      <c r="G4241" s="2" t="inlineStr">
        <is>
          <t>West</t>
        </is>
      </c>
      <c r="H4241" s="2" t="inlineStr">
        <is>
          <t>Goa</t>
        </is>
      </c>
      <c r="I4241" s="2" t="inlineStr">
        <is>
          <t>Margao</t>
        </is>
      </c>
      <c r="J4241" s="2" t="inlineStr">
        <is>
          <t>Store</t>
        </is>
      </c>
      <c r="K4241" s="2" t="n">
        <v>2</v>
      </c>
      <c r="L4241" s="3" t="n">
        <v>1031.64</v>
      </c>
      <c r="M4241" s="4" t="n">
        <v>0.2</v>
      </c>
      <c r="N4241" s="3" t="n">
        <v>1341.16</v>
      </c>
      <c r="O4241" s="3">
        <f>K4241*L4241*(1-M4241)</f>
        <v/>
      </c>
      <c r="P4241" s="3">
        <f>O4241-N4241</f>
        <v/>
      </c>
      <c r="Q4241" s="5">
        <f>IFERROR(P4241/O4241,0)</f>
        <v/>
      </c>
      <c r="R4241" s="2">
        <f>TEXT(DATEVALUE(B4241),"mmm")</f>
        <v/>
      </c>
      <c r="S4241" s="2">
        <f>TEXT(DATEVALUE(B4241),"yyyy-mm")</f>
        <v/>
      </c>
    </row>
    <row r="4242">
      <c r="A4242" s="2" t="inlineStr">
        <is>
          <t>O002362</t>
        </is>
      </c>
      <c r="B4242" s="2" t="inlineStr">
        <is>
          <t>2025-11-07</t>
        </is>
      </c>
      <c r="C4242" s="2" t="inlineStr">
        <is>
          <t>C0442</t>
        </is>
      </c>
      <c r="D4242" s="2" t="inlineStr">
        <is>
          <t>P0004</t>
        </is>
      </c>
      <c r="E4242" s="2" t="inlineStr">
        <is>
          <t>USB-C Hub</t>
        </is>
      </c>
      <c r="F4242" s="2" t="inlineStr">
        <is>
          <t>Electronics</t>
        </is>
      </c>
      <c r="G4242" s="2" t="inlineStr">
        <is>
          <t>East</t>
        </is>
      </c>
      <c r="H4242" s="2" t="inlineStr">
        <is>
          <t>West Bengal</t>
        </is>
      </c>
      <c r="I4242" s="2" t="inlineStr">
        <is>
          <t>Durgapur</t>
        </is>
      </c>
      <c r="J4242" s="2" t="inlineStr">
        <is>
          <t>Store</t>
        </is>
      </c>
      <c r="K4242" s="2" t="n">
        <v>2</v>
      </c>
      <c r="L4242" s="3" t="n">
        <v>1315.95</v>
      </c>
      <c r="M4242" s="4" t="n">
        <v>0.05</v>
      </c>
      <c r="N4242" s="3" t="n">
        <v>1900.56</v>
      </c>
      <c r="O4242" s="3">
        <f>K4242*L4242*(1-M4242)</f>
        <v/>
      </c>
      <c r="P4242" s="3">
        <f>O4242-N4242</f>
        <v/>
      </c>
      <c r="Q4242" s="5">
        <f>IFERROR(P4242/O4242,0)</f>
        <v/>
      </c>
      <c r="R4242" s="2">
        <f>TEXT(DATEVALUE(B4242),"mmm")</f>
        <v/>
      </c>
      <c r="S4242" s="2">
        <f>TEXT(DATEVALUE(B4242),"yyyy-mm")</f>
        <v/>
      </c>
    </row>
    <row r="4243">
      <c r="A4243" s="2" t="inlineStr">
        <is>
          <t>O002313</t>
        </is>
      </c>
      <c r="B4243" s="2" t="inlineStr">
        <is>
          <t>2025-11-07</t>
        </is>
      </c>
      <c r="C4243" s="2" t="inlineStr">
        <is>
          <t>C0456</t>
        </is>
      </c>
      <c r="D4243" s="2" t="inlineStr">
        <is>
          <t>P0024</t>
        </is>
      </c>
      <c r="E4243" s="2" t="inlineStr">
        <is>
          <t>Hair Dryer</t>
        </is>
      </c>
      <c r="F4243" s="2" t="inlineStr">
        <is>
          <t>Beauty</t>
        </is>
      </c>
      <c r="G4243" s="2" t="inlineStr">
        <is>
          <t>North</t>
        </is>
      </c>
      <c r="H4243" s="2" t="inlineStr">
        <is>
          <t>Punjab</t>
        </is>
      </c>
      <c r="I4243" s="2" t="inlineStr">
        <is>
          <t>Amritsar</t>
        </is>
      </c>
      <c r="J4243" s="2" t="inlineStr">
        <is>
          <t>Store</t>
        </is>
      </c>
      <c r="K4243" s="2" t="n">
        <v>2</v>
      </c>
      <c r="L4243" s="3" t="n">
        <v>1039.16</v>
      </c>
      <c r="M4243" s="4" t="n">
        <v>0.15</v>
      </c>
      <c r="N4243" s="3" t="n">
        <v>1486.94</v>
      </c>
      <c r="O4243" s="3">
        <f>K4243*L4243*(1-M4243)</f>
        <v/>
      </c>
      <c r="P4243" s="3">
        <f>O4243-N4243</f>
        <v/>
      </c>
      <c r="Q4243" s="5">
        <f>IFERROR(P4243/O4243,0)</f>
        <v/>
      </c>
      <c r="R4243" s="2">
        <f>TEXT(DATEVALUE(B4243),"mmm")</f>
        <v/>
      </c>
      <c r="S4243" s="2">
        <f>TEXT(DATEVALUE(B4243),"yyyy-mm")</f>
        <v/>
      </c>
    </row>
    <row r="4244">
      <c r="A4244" s="2" t="inlineStr">
        <is>
          <t>O001493</t>
        </is>
      </c>
      <c r="B4244" s="2" t="inlineStr">
        <is>
          <t>2025-11-07</t>
        </is>
      </c>
      <c r="C4244" s="2" t="inlineStr">
        <is>
          <t>C0694</t>
        </is>
      </c>
      <c r="D4244" s="2" t="inlineStr">
        <is>
          <t>P0022</t>
        </is>
      </c>
      <c r="E4244" s="2" t="inlineStr">
        <is>
          <t>Face Wash</t>
        </is>
      </c>
      <c r="F4244" s="2" t="inlineStr">
        <is>
          <t>Beauty</t>
        </is>
      </c>
      <c r="G4244" s="2" t="inlineStr">
        <is>
          <t>North</t>
        </is>
      </c>
      <c r="H4244" s="2" t="inlineStr">
        <is>
          <t>Uttar Pradesh</t>
        </is>
      </c>
      <c r="I4244" s="2" t="inlineStr">
        <is>
          <t>Lucknow</t>
        </is>
      </c>
      <c r="J4244" s="2" t="inlineStr">
        <is>
          <t>Store</t>
        </is>
      </c>
      <c r="K4244" s="2" t="n">
        <v>1</v>
      </c>
      <c r="L4244" s="3" t="n">
        <v>576.6799999999999</v>
      </c>
      <c r="M4244" s="4" t="n">
        <v>0</v>
      </c>
      <c r="N4244" s="3" t="n">
        <v>344.68</v>
      </c>
      <c r="O4244" s="3">
        <f>K4244*L4244*(1-M4244)</f>
        <v/>
      </c>
      <c r="P4244" s="3">
        <f>O4244-N4244</f>
        <v/>
      </c>
      <c r="Q4244" s="5">
        <f>IFERROR(P4244/O4244,0)</f>
        <v/>
      </c>
      <c r="R4244" s="2">
        <f>TEXT(DATEVALUE(B4244),"mmm")</f>
        <v/>
      </c>
      <c r="S4244" s="2">
        <f>TEXT(DATEVALUE(B4244),"yyyy-mm")</f>
        <v/>
      </c>
    </row>
    <row r="4245">
      <c r="A4245" s="2" t="inlineStr">
        <is>
          <t>O001432</t>
        </is>
      </c>
      <c r="B4245" s="2" t="inlineStr">
        <is>
          <t>2025-11-07</t>
        </is>
      </c>
      <c r="C4245" s="2" t="inlineStr">
        <is>
          <t>C0208</t>
        </is>
      </c>
      <c r="D4245" s="2" t="inlineStr">
        <is>
          <t>P0008</t>
        </is>
      </c>
      <c r="E4245" s="2" t="inlineStr">
        <is>
          <t>Air Fryer</t>
        </is>
      </c>
      <c r="F4245" s="2" t="inlineStr">
        <is>
          <t>Home &amp; Kitchen</t>
        </is>
      </c>
      <c r="G4245" s="2" t="inlineStr">
        <is>
          <t>North</t>
        </is>
      </c>
      <c r="H4245" s="2" t="inlineStr">
        <is>
          <t>Haryana</t>
        </is>
      </c>
      <c r="I4245" s="2" t="inlineStr">
        <is>
          <t>Gurugram</t>
        </is>
      </c>
      <c r="J4245" s="2" t="inlineStr">
        <is>
          <t>Store</t>
        </is>
      </c>
      <c r="K4245" s="2" t="n">
        <v>1</v>
      </c>
      <c r="L4245" s="3" t="n">
        <v>1083.92</v>
      </c>
      <c r="M4245" s="4" t="n">
        <v>0.2</v>
      </c>
      <c r="N4245" s="3" t="n">
        <v>671.99</v>
      </c>
      <c r="O4245" s="3">
        <f>K4245*L4245*(1-M4245)</f>
        <v/>
      </c>
      <c r="P4245" s="3">
        <f>O4245-N4245</f>
        <v/>
      </c>
      <c r="Q4245" s="5">
        <f>IFERROR(P4245/O4245,0)</f>
        <v/>
      </c>
      <c r="R4245" s="2">
        <f>TEXT(DATEVALUE(B4245),"mmm")</f>
        <v/>
      </c>
      <c r="S4245" s="2">
        <f>TEXT(DATEVALUE(B4245),"yyyy-mm")</f>
        <v/>
      </c>
    </row>
    <row r="4246">
      <c r="A4246" s="2" t="inlineStr">
        <is>
          <t>O001277</t>
        </is>
      </c>
      <c r="B4246" s="2" t="inlineStr">
        <is>
          <t>2025-11-07</t>
        </is>
      </c>
      <c r="C4246" s="2" t="inlineStr">
        <is>
          <t>C0615</t>
        </is>
      </c>
      <c r="D4246" s="2" t="inlineStr">
        <is>
          <t>P0019</t>
        </is>
      </c>
      <c r="E4246" s="2" t="inlineStr">
        <is>
          <t>Jacket</t>
        </is>
      </c>
      <c r="F4246" s="2" t="inlineStr">
        <is>
          <t>Fashion</t>
        </is>
      </c>
      <c r="G4246" s="2" t="inlineStr">
        <is>
          <t>South</t>
        </is>
      </c>
      <c r="H4246" s="2" t="inlineStr">
        <is>
          <t>Karnataka</t>
        </is>
      </c>
      <c r="I4246" s="2" t="inlineStr">
        <is>
          <t>Mangaluru</t>
        </is>
      </c>
      <c r="J4246" s="2" t="inlineStr">
        <is>
          <t>Online</t>
        </is>
      </c>
      <c r="K4246" s="2" t="n">
        <v>3</v>
      </c>
      <c r="L4246" s="3" t="n">
        <v>999.73</v>
      </c>
      <c r="M4246" s="4" t="n">
        <v>0.05</v>
      </c>
      <c r="N4246" s="3" t="n">
        <v>1960.17</v>
      </c>
      <c r="O4246" s="3">
        <f>K4246*L4246*(1-M4246)</f>
        <v/>
      </c>
      <c r="P4246" s="3">
        <f>O4246-N4246</f>
        <v/>
      </c>
      <c r="Q4246" s="5">
        <f>IFERROR(P4246/O4246,0)</f>
        <v/>
      </c>
      <c r="R4246" s="2">
        <f>TEXT(DATEVALUE(B4246),"mmm")</f>
        <v/>
      </c>
      <c r="S4246" s="2">
        <f>TEXT(DATEVALUE(B4246),"yyyy-mm")</f>
        <v/>
      </c>
    </row>
    <row r="4247">
      <c r="A4247" s="2" t="inlineStr">
        <is>
          <t>O000956</t>
        </is>
      </c>
      <c r="B4247" s="2" t="inlineStr">
        <is>
          <t>2025-11-07</t>
        </is>
      </c>
      <c r="C4247" s="2" t="inlineStr">
        <is>
          <t>C0016</t>
        </is>
      </c>
      <c r="D4247" s="2" t="inlineStr">
        <is>
          <t>P0024</t>
        </is>
      </c>
      <c r="E4247" s="2" t="inlineStr">
        <is>
          <t>Hair Dryer</t>
        </is>
      </c>
      <c r="F4247" s="2" t="inlineStr">
        <is>
          <t>Beauty</t>
        </is>
      </c>
      <c r="G4247" s="2" t="inlineStr">
        <is>
          <t>South</t>
        </is>
      </c>
      <c r="H4247" s="2" t="inlineStr">
        <is>
          <t>Telangana</t>
        </is>
      </c>
      <c r="I4247" s="2" t="inlineStr">
        <is>
          <t>Warangal</t>
        </is>
      </c>
      <c r="J4247" s="2" t="inlineStr">
        <is>
          <t>Store</t>
        </is>
      </c>
      <c r="K4247" s="2" t="n">
        <v>1</v>
      </c>
      <c r="L4247" s="3" t="n">
        <v>1032.68</v>
      </c>
      <c r="M4247" s="4" t="n">
        <v>0.25</v>
      </c>
      <c r="N4247" s="3" t="n">
        <v>724.85</v>
      </c>
      <c r="O4247" s="3">
        <f>K4247*L4247*(1-M4247)</f>
        <v/>
      </c>
      <c r="P4247" s="3">
        <f>O4247-N4247</f>
        <v/>
      </c>
      <c r="Q4247" s="5">
        <f>IFERROR(P4247/O4247,0)</f>
        <v/>
      </c>
      <c r="R4247" s="2">
        <f>TEXT(DATEVALUE(B4247),"mmm")</f>
        <v/>
      </c>
      <c r="S4247" s="2">
        <f>TEXT(DATEVALUE(B4247),"yyyy-mm")</f>
        <v/>
      </c>
    </row>
    <row r="4248">
      <c r="A4248" s="2" t="inlineStr">
        <is>
          <t>O000741</t>
        </is>
      </c>
      <c r="B4248" s="2" t="inlineStr">
        <is>
          <t>2025-11-07</t>
        </is>
      </c>
      <c r="C4248" s="2" t="inlineStr">
        <is>
          <t>C0280</t>
        </is>
      </c>
      <c r="D4248" s="2" t="inlineStr">
        <is>
          <t>P0032</t>
        </is>
      </c>
      <c r="E4248" s="2" t="inlineStr">
        <is>
          <t>Football</t>
        </is>
      </c>
      <c r="F4248" s="2" t="inlineStr">
        <is>
          <t>Sports</t>
        </is>
      </c>
      <c r="G4248" s="2" t="inlineStr">
        <is>
          <t>East</t>
        </is>
      </c>
      <c r="H4248" s="2" t="inlineStr">
        <is>
          <t>Odisha</t>
        </is>
      </c>
      <c r="I4248" s="2" t="inlineStr">
        <is>
          <t>Cuttack</t>
        </is>
      </c>
      <c r="J4248" s="2" t="inlineStr">
        <is>
          <t>Store</t>
        </is>
      </c>
      <c r="K4248" s="2" t="n">
        <v>2</v>
      </c>
      <c r="L4248" s="3" t="n">
        <v>837.8200000000001</v>
      </c>
      <c r="M4248" s="4" t="n">
        <v>0.2</v>
      </c>
      <c r="N4248" s="3" t="n">
        <v>1085.45</v>
      </c>
      <c r="O4248" s="3">
        <f>K4248*L4248*(1-M4248)</f>
        <v/>
      </c>
      <c r="P4248" s="3">
        <f>O4248-N4248</f>
        <v/>
      </c>
      <c r="Q4248" s="5">
        <f>IFERROR(P4248/O4248,0)</f>
        <v/>
      </c>
      <c r="R4248" s="2">
        <f>TEXT(DATEVALUE(B4248),"mmm")</f>
        <v/>
      </c>
      <c r="S4248" s="2">
        <f>TEXT(DATEVALUE(B4248),"yyyy-mm")</f>
        <v/>
      </c>
    </row>
    <row r="4249">
      <c r="A4249" s="2" t="inlineStr">
        <is>
          <t>O000424</t>
        </is>
      </c>
      <c r="B4249" s="2" t="inlineStr">
        <is>
          <t>2025-11-07</t>
        </is>
      </c>
      <c r="C4249" s="2" t="inlineStr">
        <is>
          <t>C0467</t>
        </is>
      </c>
      <c r="D4249" s="2" t="inlineStr">
        <is>
          <t>P0027</t>
        </is>
      </c>
      <c r="E4249" s="2" t="inlineStr">
        <is>
          <t>Moisturizer</t>
        </is>
      </c>
      <c r="F4249" s="2" t="inlineStr">
        <is>
          <t>Beauty</t>
        </is>
      </c>
      <c r="G4249" s="2" t="inlineStr">
        <is>
          <t>West</t>
        </is>
      </c>
      <c r="H4249" s="2" t="inlineStr">
        <is>
          <t>Maharashtra</t>
        </is>
      </c>
      <c r="I4249" s="2" t="inlineStr">
        <is>
          <t>Nashik</t>
        </is>
      </c>
      <c r="J4249" s="2" t="inlineStr">
        <is>
          <t>Online</t>
        </is>
      </c>
      <c r="K4249" s="2" t="n">
        <v>1</v>
      </c>
      <c r="L4249" s="3" t="n">
        <v>940.58</v>
      </c>
      <c r="M4249" s="4" t="n">
        <v>0</v>
      </c>
      <c r="N4249" s="3" t="n">
        <v>694.39</v>
      </c>
      <c r="O4249" s="3">
        <f>K4249*L4249*(1-M4249)</f>
        <v/>
      </c>
      <c r="P4249" s="3">
        <f>O4249-N4249</f>
        <v/>
      </c>
      <c r="Q4249" s="5">
        <f>IFERROR(P4249/O4249,0)</f>
        <v/>
      </c>
      <c r="R4249" s="2">
        <f>TEXT(DATEVALUE(B4249),"mmm")</f>
        <v/>
      </c>
      <c r="S4249" s="2">
        <f>TEXT(DATEVALUE(B4249),"yyyy-mm")</f>
        <v/>
      </c>
    </row>
    <row r="4250">
      <c r="A4250" s="2" t="inlineStr">
        <is>
          <t>O002057</t>
        </is>
      </c>
      <c r="B4250" s="2" t="inlineStr">
        <is>
          <t>2025-11-07</t>
        </is>
      </c>
      <c r="C4250" s="2" t="inlineStr">
        <is>
          <t>C0427</t>
        </is>
      </c>
      <c r="D4250" s="2" t="inlineStr">
        <is>
          <t>P0017</t>
        </is>
      </c>
      <c r="E4250" s="2" t="inlineStr">
        <is>
          <t>Jeans</t>
        </is>
      </c>
      <c r="F4250" s="2" t="inlineStr">
        <is>
          <t>Fashion</t>
        </is>
      </c>
      <c r="G4250" s="2" t="inlineStr">
        <is>
          <t>West</t>
        </is>
      </c>
      <c r="H4250" s="2" t="inlineStr">
        <is>
          <t>Goa</t>
        </is>
      </c>
      <c r="I4250" s="2" t="inlineStr">
        <is>
          <t>Margao</t>
        </is>
      </c>
      <c r="J4250" s="2" t="inlineStr">
        <is>
          <t>Store</t>
        </is>
      </c>
      <c r="K4250" s="2" t="n">
        <v>1</v>
      </c>
      <c r="L4250" s="3" t="n">
        <v>1430.04</v>
      </c>
      <c r="M4250" s="4" t="n">
        <v>0.25</v>
      </c>
      <c r="N4250" s="3" t="n">
        <v>1041.97</v>
      </c>
      <c r="O4250" s="3">
        <f>K4250*L4250*(1-M4250)</f>
        <v/>
      </c>
      <c r="P4250" s="3">
        <f>O4250-N4250</f>
        <v/>
      </c>
      <c r="Q4250" s="5">
        <f>IFERROR(P4250/O4250,0)</f>
        <v/>
      </c>
      <c r="R4250" s="2">
        <f>TEXT(DATEVALUE(B4250),"mmm")</f>
        <v/>
      </c>
      <c r="S4250" s="2">
        <f>TEXT(DATEVALUE(B4250),"yyyy-mm")</f>
        <v/>
      </c>
    </row>
    <row r="4251">
      <c r="A4251" s="2" t="inlineStr">
        <is>
          <t>O003236</t>
        </is>
      </c>
      <c r="B4251" s="2" t="inlineStr">
        <is>
          <t>2025-11-08</t>
        </is>
      </c>
      <c r="C4251" s="2" t="inlineStr">
        <is>
          <t>C0194</t>
        </is>
      </c>
      <c r="D4251" s="2" t="inlineStr">
        <is>
          <t>P0007</t>
        </is>
      </c>
      <c r="E4251" s="2" t="inlineStr">
        <is>
          <t>Wireless Mouse</t>
        </is>
      </c>
      <c r="F4251" s="2" t="inlineStr">
        <is>
          <t>Electronics</t>
        </is>
      </c>
      <c r="G4251" s="2" t="inlineStr">
        <is>
          <t>West</t>
        </is>
      </c>
      <c r="H4251" s="2" t="inlineStr">
        <is>
          <t>Goa</t>
        </is>
      </c>
      <c r="I4251" s="2" t="inlineStr">
        <is>
          <t>Margao</t>
        </is>
      </c>
      <c r="J4251" s="2" t="inlineStr">
        <is>
          <t>Online</t>
        </is>
      </c>
      <c r="K4251" s="2" t="n">
        <v>2</v>
      </c>
      <c r="L4251" s="3" t="n">
        <v>988.66</v>
      </c>
      <c r="M4251" s="4" t="n">
        <v>0.15</v>
      </c>
      <c r="N4251" s="3" t="n">
        <v>1256.11</v>
      </c>
      <c r="O4251" s="3">
        <f>K4251*L4251*(1-M4251)</f>
        <v/>
      </c>
      <c r="P4251" s="3">
        <f>O4251-N4251</f>
        <v/>
      </c>
      <c r="Q4251" s="5">
        <f>IFERROR(P4251/O4251,0)</f>
        <v/>
      </c>
      <c r="R4251" s="2">
        <f>TEXT(DATEVALUE(B4251),"mmm")</f>
        <v/>
      </c>
      <c r="S4251" s="2">
        <f>TEXT(DATEVALUE(B4251),"yyyy-mm")</f>
        <v/>
      </c>
    </row>
    <row r="4252">
      <c r="A4252" s="2" t="inlineStr">
        <is>
          <t>O004640</t>
        </is>
      </c>
      <c r="B4252" s="2" t="inlineStr">
        <is>
          <t>2025-11-08</t>
        </is>
      </c>
      <c r="C4252" s="2" t="inlineStr">
        <is>
          <t>C0798</t>
        </is>
      </c>
      <c r="D4252" s="2" t="inlineStr">
        <is>
          <t>P0027</t>
        </is>
      </c>
      <c r="E4252" s="2" t="inlineStr">
        <is>
          <t>Moisturizer</t>
        </is>
      </c>
      <c r="F4252" s="2" t="inlineStr">
        <is>
          <t>Beauty</t>
        </is>
      </c>
      <c r="G4252" s="2" t="inlineStr">
        <is>
          <t>East</t>
        </is>
      </c>
      <c r="H4252" s="2" t="inlineStr">
        <is>
          <t>Bihar</t>
        </is>
      </c>
      <c r="I4252" s="2" t="inlineStr">
        <is>
          <t>Patna</t>
        </is>
      </c>
      <c r="J4252" s="2" t="inlineStr">
        <is>
          <t>Online</t>
        </is>
      </c>
      <c r="K4252" s="2" t="n">
        <v>2</v>
      </c>
      <c r="L4252" s="3" t="n">
        <v>944.66</v>
      </c>
      <c r="M4252" s="4" t="n">
        <v>0.1</v>
      </c>
      <c r="N4252" s="3" t="n">
        <v>1409.46</v>
      </c>
      <c r="O4252" s="3">
        <f>K4252*L4252*(1-M4252)</f>
        <v/>
      </c>
      <c r="P4252" s="3">
        <f>O4252-N4252</f>
        <v/>
      </c>
      <c r="Q4252" s="5">
        <f>IFERROR(P4252/O4252,0)</f>
        <v/>
      </c>
      <c r="R4252" s="2">
        <f>TEXT(DATEVALUE(B4252),"mmm")</f>
        <v/>
      </c>
      <c r="S4252" s="2">
        <f>TEXT(DATEVALUE(B4252),"yyyy-mm")</f>
        <v/>
      </c>
    </row>
    <row r="4253">
      <c r="A4253" s="2" t="inlineStr">
        <is>
          <t>O004511</t>
        </is>
      </c>
      <c r="B4253" s="2" t="inlineStr">
        <is>
          <t>2025-11-08</t>
        </is>
      </c>
      <c r="C4253" s="2" t="inlineStr">
        <is>
          <t>C0578</t>
        </is>
      </c>
      <c r="D4253" s="2" t="inlineStr">
        <is>
          <t>P0022</t>
        </is>
      </c>
      <c r="E4253" s="2" t="inlineStr">
        <is>
          <t>Face Wash</t>
        </is>
      </c>
      <c r="F4253" s="2" t="inlineStr">
        <is>
          <t>Beauty</t>
        </is>
      </c>
      <c r="G4253" s="2" t="inlineStr">
        <is>
          <t>West</t>
        </is>
      </c>
      <c r="H4253" s="2" t="inlineStr">
        <is>
          <t>Maharashtra</t>
        </is>
      </c>
      <c r="I4253" s="2" t="inlineStr">
        <is>
          <t>Pune</t>
        </is>
      </c>
      <c r="J4253" s="2" t="inlineStr">
        <is>
          <t>Store</t>
        </is>
      </c>
      <c r="K4253" s="2" t="n">
        <v>2</v>
      </c>
      <c r="L4253" s="3" t="n">
        <v>569.38</v>
      </c>
      <c r="M4253" s="4" t="n">
        <v>0.1</v>
      </c>
      <c r="N4253" s="3" t="n">
        <v>688.9299999999999</v>
      </c>
      <c r="O4253" s="3">
        <f>K4253*L4253*(1-M4253)</f>
        <v/>
      </c>
      <c r="P4253" s="3">
        <f>O4253-N4253</f>
        <v/>
      </c>
      <c r="Q4253" s="5">
        <f>IFERROR(P4253/O4253,0)</f>
        <v/>
      </c>
      <c r="R4253" s="2">
        <f>TEXT(DATEVALUE(B4253),"mmm")</f>
        <v/>
      </c>
      <c r="S4253" s="2">
        <f>TEXT(DATEVALUE(B4253),"yyyy-mm")</f>
        <v/>
      </c>
    </row>
    <row r="4254">
      <c r="A4254" s="2" t="inlineStr">
        <is>
          <t>O004069</t>
        </is>
      </c>
      <c r="B4254" s="2" t="inlineStr">
        <is>
          <t>2025-11-08</t>
        </is>
      </c>
      <c r="C4254" s="2" t="inlineStr">
        <is>
          <t>C0159</t>
        </is>
      </c>
      <c r="D4254" s="2" t="inlineStr">
        <is>
          <t>P0004</t>
        </is>
      </c>
      <c r="E4254" s="2" t="inlineStr">
        <is>
          <t>USB-C Hub</t>
        </is>
      </c>
      <c r="F4254" s="2" t="inlineStr">
        <is>
          <t>Electronics</t>
        </is>
      </c>
      <c r="G4254" s="2" t="inlineStr">
        <is>
          <t>West</t>
        </is>
      </c>
      <c r="H4254" s="2" t="inlineStr">
        <is>
          <t>Maharashtra</t>
        </is>
      </c>
      <c r="I4254" s="2" t="inlineStr">
        <is>
          <t>Pune</t>
        </is>
      </c>
      <c r="J4254" s="2" t="inlineStr">
        <is>
          <t>Online</t>
        </is>
      </c>
      <c r="K4254" s="2" t="n">
        <v>5</v>
      </c>
      <c r="L4254" s="3" t="n">
        <v>1270.3</v>
      </c>
      <c r="M4254" s="4" t="n">
        <v>0</v>
      </c>
      <c r="N4254" s="3" t="n">
        <v>4763.67</v>
      </c>
      <c r="O4254" s="3">
        <f>K4254*L4254*(1-M4254)</f>
        <v/>
      </c>
      <c r="P4254" s="3">
        <f>O4254-N4254</f>
        <v/>
      </c>
      <c r="Q4254" s="5">
        <f>IFERROR(P4254/O4254,0)</f>
        <v/>
      </c>
      <c r="R4254" s="2">
        <f>TEXT(DATEVALUE(B4254),"mmm")</f>
        <v/>
      </c>
      <c r="S4254" s="2">
        <f>TEXT(DATEVALUE(B4254),"yyyy-mm")</f>
        <v/>
      </c>
    </row>
    <row r="4255">
      <c r="A4255" s="2" t="inlineStr">
        <is>
          <t>O003872</t>
        </is>
      </c>
      <c r="B4255" s="2" t="inlineStr">
        <is>
          <t>2025-11-08</t>
        </is>
      </c>
      <c r="C4255" s="2" t="inlineStr">
        <is>
          <t>C0694</t>
        </is>
      </c>
      <c r="D4255" s="2" t="inlineStr">
        <is>
          <t>P0008</t>
        </is>
      </c>
      <c r="E4255" s="2" t="inlineStr">
        <is>
          <t>Air Fryer</t>
        </is>
      </c>
      <c r="F4255" s="2" t="inlineStr">
        <is>
          <t>Home &amp; Kitchen</t>
        </is>
      </c>
      <c r="G4255" s="2" t="inlineStr">
        <is>
          <t>East</t>
        </is>
      </c>
      <c r="H4255" s="2" t="inlineStr">
        <is>
          <t>Odisha</t>
        </is>
      </c>
      <c r="I4255" s="2" t="inlineStr">
        <is>
          <t>Bhubaneswar</t>
        </is>
      </c>
      <c r="J4255" s="2" t="inlineStr">
        <is>
          <t>Online</t>
        </is>
      </c>
      <c r="K4255" s="2" t="n">
        <v>1</v>
      </c>
      <c r="L4255" s="3" t="n">
        <v>1004.14</v>
      </c>
      <c r="M4255" s="4" t="n">
        <v>0.1</v>
      </c>
      <c r="N4255" s="3" t="n">
        <v>679.65</v>
      </c>
      <c r="O4255" s="3">
        <f>K4255*L4255*(1-M4255)</f>
        <v/>
      </c>
      <c r="P4255" s="3">
        <f>O4255-N4255</f>
        <v/>
      </c>
      <c r="Q4255" s="5">
        <f>IFERROR(P4255/O4255,0)</f>
        <v/>
      </c>
      <c r="R4255" s="2">
        <f>TEXT(DATEVALUE(B4255),"mmm")</f>
        <v/>
      </c>
      <c r="S4255" s="2">
        <f>TEXT(DATEVALUE(B4255),"yyyy-mm")</f>
        <v/>
      </c>
    </row>
    <row r="4256">
      <c r="A4256" s="2" t="inlineStr">
        <is>
          <t>O002705</t>
        </is>
      </c>
      <c r="B4256" s="2" t="inlineStr">
        <is>
          <t>2025-11-08</t>
        </is>
      </c>
      <c r="C4256" s="2" t="inlineStr">
        <is>
          <t>C0309</t>
        </is>
      </c>
      <c r="D4256" s="2" t="inlineStr">
        <is>
          <t>P0001</t>
        </is>
      </c>
      <c r="E4256" s="2" t="inlineStr">
        <is>
          <t>Wireless Headphones</t>
        </is>
      </c>
      <c r="F4256" s="2" t="inlineStr">
        <is>
          <t>Electronics</t>
        </is>
      </c>
      <c r="G4256" s="2" t="inlineStr">
        <is>
          <t>North</t>
        </is>
      </c>
      <c r="H4256" s="2" t="inlineStr">
        <is>
          <t>Haryana</t>
        </is>
      </c>
      <c r="I4256" s="2" t="inlineStr">
        <is>
          <t>Faridabad</t>
        </is>
      </c>
      <c r="J4256" s="2" t="inlineStr">
        <is>
          <t>Store</t>
        </is>
      </c>
      <c r="K4256" s="2" t="n">
        <v>1</v>
      </c>
      <c r="L4256" s="3" t="n">
        <v>1332.74</v>
      </c>
      <c r="M4256" s="4" t="n">
        <v>0.2</v>
      </c>
      <c r="N4256" s="3" t="n">
        <v>693.85</v>
      </c>
      <c r="O4256" s="3">
        <f>K4256*L4256*(1-M4256)</f>
        <v/>
      </c>
      <c r="P4256" s="3">
        <f>O4256-N4256</f>
        <v/>
      </c>
      <c r="Q4256" s="5">
        <f>IFERROR(P4256/O4256,0)</f>
        <v/>
      </c>
      <c r="R4256" s="2">
        <f>TEXT(DATEVALUE(B4256),"mmm")</f>
        <v/>
      </c>
      <c r="S4256" s="2">
        <f>TEXT(DATEVALUE(B4256),"yyyy-mm")</f>
        <v/>
      </c>
    </row>
    <row r="4257">
      <c r="A4257" s="2" t="inlineStr">
        <is>
          <t>O001394</t>
        </is>
      </c>
      <c r="B4257" s="2" t="inlineStr">
        <is>
          <t>2025-11-08</t>
        </is>
      </c>
      <c r="C4257" s="2" t="inlineStr">
        <is>
          <t>C0707</t>
        </is>
      </c>
      <c r="D4257" s="2" t="inlineStr">
        <is>
          <t>P0031</t>
        </is>
      </c>
      <c r="E4257" s="2" t="inlineStr">
        <is>
          <t>Cricket Bat</t>
        </is>
      </c>
      <c r="F4257" s="2" t="inlineStr">
        <is>
          <t>Sports</t>
        </is>
      </c>
      <c r="G4257" s="2" t="inlineStr">
        <is>
          <t>West</t>
        </is>
      </c>
      <c r="H4257" s="2" t="inlineStr">
        <is>
          <t>Maharashtra</t>
        </is>
      </c>
      <c r="I4257" s="2" t="inlineStr">
        <is>
          <t>Thane</t>
        </is>
      </c>
      <c r="J4257" s="2" t="inlineStr">
        <is>
          <t>Online</t>
        </is>
      </c>
      <c r="K4257" s="2" t="n">
        <v>1</v>
      </c>
      <c r="L4257" s="3" t="n">
        <v>1399.62</v>
      </c>
      <c r="M4257" s="4" t="n">
        <v>0.05</v>
      </c>
      <c r="N4257" s="3" t="n">
        <v>948.5</v>
      </c>
      <c r="O4257" s="3">
        <f>K4257*L4257*(1-M4257)</f>
        <v/>
      </c>
      <c r="P4257" s="3">
        <f>O4257-N4257</f>
        <v/>
      </c>
      <c r="Q4257" s="5">
        <f>IFERROR(P4257/O4257,0)</f>
        <v/>
      </c>
      <c r="R4257" s="2">
        <f>TEXT(DATEVALUE(B4257),"mmm")</f>
        <v/>
      </c>
      <c r="S4257" s="2">
        <f>TEXT(DATEVALUE(B4257),"yyyy-mm")</f>
        <v/>
      </c>
    </row>
    <row r="4258">
      <c r="A4258" s="2" t="inlineStr">
        <is>
          <t>O002000</t>
        </is>
      </c>
      <c r="B4258" s="2" t="inlineStr">
        <is>
          <t>2025-11-08</t>
        </is>
      </c>
      <c r="C4258" s="2" t="inlineStr">
        <is>
          <t>C0346</t>
        </is>
      </c>
      <c r="D4258" s="2" t="inlineStr">
        <is>
          <t>P0010</t>
        </is>
      </c>
      <c r="E4258" s="2" t="inlineStr">
        <is>
          <t>Mixer Grinder</t>
        </is>
      </c>
      <c r="F4258" s="2" t="inlineStr">
        <is>
          <t>Home &amp; Kitchen</t>
        </is>
      </c>
      <c r="G4258" s="2" t="inlineStr">
        <is>
          <t>West</t>
        </is>
      </c>
      <c r="H4258" s="2" t="inlineStr">
        <is>
          <t>Maharashtra</t>
        </is>
      </c>
      <c r="I4258" s="2" t="inlineStr">
        <is>
          <t>Nashik</t>
        </is>
      </c>
      <c r="J4258" s="2" t="inlineStr">
        <is>
          <t>Store</t>
        </is>
      </c>
      <c r="K4258" s="2" t="n">
        <v>1</v>
      </c>
      <c r="L4258" s="3" t="n">
        <v>1648.86</v>
      </c>
      <c r="M4258" s="4" t="n">
        <v>0.05</v>
      </c>
      <c r="N4258" s="3" t="n">
        <v>1031.33</v>
      </c>
      <c r="O4258" s="3">
        <f>K4258*L4258*(1-M4258)</f>
        <v/>
      </c>
      <c r="P4258" s="3">
        <f>O4258-N4258</f>
        <v/>
      </c>
      <c r="Q4258" s="5">
        <f>IFERROR(P4258/O4258,0)</f>
        <v/>
      </c>
      <c r="R4258" s="2">
        <f>TEXT(DATEVALUE(B4258),"mmm")</f>
        <v/>
      </c>
      <c r="S4258" s="2">
        <f>TEXT(DATEVALUE(B4258),"yyyy-mm")</f>
        <v/>
      </c>
    </row>
    <row r="4259">
      <c r="A4259" s="2" t="inlineStr">
        <is>
          <t>O001895</t>
        </is>
      </c>
      <c r="B4259" s="2" t="inlineStr">
        <is>
          <t>2025-11-08</t>
        </is>
      </c>
      <c r="C4259" s="2" t="inlineStr">
        <is>
          <t>C0097</t>
        </is>
      </c>
      <c r="D4259" s="2" t="inlineStr">
        <is>
          <t>P0004</t>
        </is>
      </c>
      <c r="E4259" s="2" t="inlineStr">
        <is>
          <t>USB-C Hub</t>
        </is>
      </c>
      <c r="F4259" s="2" t="inlineStr">
        <is>
          <t>Electronics</t>
        </is>
      </c>
      <c r="G4259" s="2" t="inlineStr">
        <is>
          <t>West</t>
        </is>
      </c>
      <c r="H4259" s="2" t="inlineStr">
        <is>
          <t>Maharashtra</t>
        </is>
      </c>
      <c r="I4259" s="2" t="inlineStr">
        <is>
          <t>Thane</t>
        </is>
      </c>
      <c r="J4259" s="2" t="inlineStr">
        <is>
          <t>Store</t>
        </is>
      </c>
      <c r="K4259" s="2" t="n">
        <v>6</v>
      </c>
      <c r="L4259" s="3" t="n">
        <v>1227.58</v>
      </c>
      <c r="M4259" s="4" t="n">
        <v>0.25</v>
      </c>
      <c r="N4259" s="3" t="n">
        <v>5470.71</v>
      </c>
      <c r="O4259" s="3">
        <f>K4259*L4259*(1-M4259)</f>
        <v/>
      </c>
      <c r="P4259" s="3">
        <f>O4259-N4259</f>
        <v/>
      </c>
      <c r="Q4259" s="5">
        <f>IFERROR(P4259/O4259,0)</f>
        <v/>
      </c>
      <c r="R4259" s="2">
        <f>TEXT(DATEVALUE(B4259),"mmm")</f>
        <v/>
      </c>
      <c r="S4259" s="2">
        <f>TEXT(DATEVALUE(B4259),"yyyy-mm")</f>
        <v/>
      </c>
    </row>
    <row r="4260">
      <c r="A4260" s="2" t="inlineStr">
        <is>
          <t>O000894</t>
        </is>
      </c>
      <c r="B4260" s="2" t="inlineStr">
        <is>
          <t>2025-11-08</t>
        </is>
      </c>
      <c r="C4260" s="2" t="inlineStr">
        <is>
          <t>C0179</t>
        </is>
      </c>
      <c r="D4260" s="2" t="inlineStr">
        <is>
          <t>P0004</t>
        </is>
      </c>
      <c r="E4260" s="2" t="inlineStr">
        <is>
          <t>USB-C Hub</t>
        </is>
      </c>
      <c r="F4260" s="2" t="inlineStr">
        <is>
          <t>Electronics</t>
        </is>
      </c>
      <c r="G4260" s="2" t="inlineStr">
        <is>
          <t>South</t>
        </is>
      </c>
      <c r="H4260" s="2" t="inlineStr">
        <is>
          <t>Kerala</t>
        </is>
      </c>
      <c r="I4260" s="2" t="inlineStr">
        <is>
          <t>Thiruvananthapuram</t>
        </is>
      </c>
      <c r="J4260" s="2" t="inlineStr">
        <is>
          <t>Online</t>
        </is>
      </c>
      <c r="K4260" s="2" t="n">
        <v>2</v>
      </c>
      <c r="L4260" s="3" t="n">
        <v>1269.22</v>
      </c>
      <c r="M4260" s="4" t="n">
        <v>0.05</v>
      </c>
      <c r="N4260" s="3" t="n">
        <v>1811.66</v>
      </c>
      <c r="O4260" s="3">
        <f>K4260*L4260*(1-M4260)</f>
        <v/>
      </c>
      <c r="P4260" s="3">
        <f>O4260-N4260</f>
        <v/>
      </c>
      <c r="Q4260" s="5">
        <f>IFERROR(P4260/O4260,0)</f>
        <v/>
      </c>
      <c r="R4260" s="2">
        <f>TEXT(DATEVALUE(B4260),"mmm")</f>
        <v/>
      </c>
      <c r="S4260" s="2">
        <f>TEXT(DATEVALUE(B4260),"yyyy-mm")</f>
        <v/>
      </c>
    </row>
    <row r="4261">
      <c r="A4261" s="2" t="inlineStr">
        <is>
          <t>O000716</t>
        </is>
      </c>
      <c r="B4261" s="2" t="inlineStr">
        <is>
          <t>2025-11-08</t>
        </is>
      </c>
      <c r="C4261" s="2" t="inlineStr">
        <is>
          <t>C0373</t>
        </is>
      </c>
      <c r="D4261" s="2" t="inlineStr">
        <is>
          <t>P0019</t>
        </is>
      </c>
      <c r="E4261" s="2" t="inlineStr">
        <is>
          <t>Jacket</t>
        </is>
      </c>
      <c r="F4261" s="2" t="inlineStr">
        <is>
          <t>Fashion</t>
        </is>
      </c>
      <c r="G4261" s="2" t="inlineStr">
        <is>
          <t>South</t>
        </is>
      </c>
      <c r="H4261" s="2" t="inlineStr">
        <is>
          <t>Telangana</t>
        </is>
      </c>
      <c r="I4261" s="2" t="inlineStr">
        <is>
          <t>Hyderabad</t>
        </is>
      </c>
      <c r="J4261" s="2" t="inlineStr">
        <is>
          <t>Store</t>
        </is>
      </c>
      <c r="K4261" s="2" t="n">
        <v>2</v>
      </c>
      <c r="L4261" s="3" t="n">
        <v>1009.74</v>
      </c>
      <c r="M4261" s="4" t="n">
        <v>0.05</v>
      </c>
      <c r="N4261" s="3" t="n">
        <v>1380.63</v>
      </c>
      <c r="O4261" s="3">
        <f>K4261*L4261*(1-M4261)</f>
        <v/>
      </c>
      <c r="P4261" s="3">
        <f>O4261-N4261</f>
        <v/>
      </c>
      <c r="Q4261" s="5">
        <f>IFERROR(P4261/O4261,0)</f>
        <v/>
      </c>
      <c r="R4261" s="2">
        <f>TEXT(DATEVALUE(B4261),"mmm")</f>
        <v/>
      </c>
      <c r="S4261" s="2">
        <f>TEXT(DATEVALUE(B4261),"yyyy-mm")</f>
        <v/>
      </c>
    </row>
    <row r="4262">
      <c r="A4262" s="2" t="inlineStr">
        <is>
          <t>O000653</t>
        </is>
      </c>
      <c r="B4262" s="2" t="inlineStr">
        <is>
          <t>2025-11-08</t>
        </is>
      </c>
      <c r="C4262" s="2" t="inlineStr">
        <is>
          <t>C0489</t>
        </is>
      </c>
      <c r="D4262" s="2" t="inlineStr">
        <is>
          <t>P0014</t>
        </is>
      </c>
      <c r="E4262" s="2" t="inlineStr">
        <is>
          <t>Coffee Maker</t>
        </is>
      </c>
      <c r="F4262" s="2" t="inlineStr">
        <is>
          <t>Home &amp; Kitchen</t>
        </is>
      </c>
      <c r="G4262" s="2" t="inlineStr">
        <is>
          <t>East</t>
        </is>
      </c>
      <c r="H4262" s="2" t="inlineStr">
        <is>
          <t>Bihar</t>
        </is>
      </c>
      <c r="I4262" s="2" t="inlineStr">
        <is>
          <t>Gaya</t>
        </is>
      </c>
      <c r="J4262" s="2" t="inlineStr">
        <is>
          <t>Online</t>
        </is>
      </c>
      <c r="K4262" s="2" t="n">
        <v>3</v>
      </c>
      <c r="L4262" s="3" t="n">
        <v>1008.91</v>
      </c>
      <c r="M4262" s="4" t="n">
        <v>0.05</v>
      </c>
      <c r="N4262" s="3" t="n">
        <v>2368.83</v>
      </c>
      <c r="O4262" s="3">
        <f>K4262*L4262*(1-M4262)</f>
        <v/>
      </c>
      <c r="P4262" s="3">
        <f>O4262-N4262</f>
        <v/>
      </c>
      <c r="Q4262" s="5">
        <f>IFERROR(P4262/O4262,0)</f>
        <v/>
      </c>
      <c r="R4262" s="2">
        <f>TEXT(DATEVALUE(B4262),"mmm")</f>
        <v/>
      </c>
      <c r="S4262" s="2">
        <f>TEXT(DATEVALUE(B4262),"yyyy-mm")</f>
        <v/>
      </c>
    </row>
    <row r="4263">
      <c r="A4263" s="2" t="inlineStr">
        <is>
          <t>O002187</t>
        </is>
      </c>
      <c r="B4263" s="2" t="inlineStr">
        <is>
          <t>2025-11-08</t>
        </is>
      </c>
      <c r="C4263" s="2" t="inlineStr">
        <is>
          <t>C0672</t>
        </is>
      </c>
      <c r="D4263" s="2" t="inlineStr">
        <is>
          <t>P0026</t>
        </is>
      </c>
      <c r="E4263" s="2" t="inlineStr">
        <is>
          <t>Shampoo</t>
        </is>
      </c>
      <c r="F4263" s="2" t="inlineStr">
        <is>
          <t>Beauty</t>
        </is>
      </c>
      <c r="G4263" s="2" t="inlineStr">
        <is>
          <t>North</t>
        </is>
      </c>
      <c r="H4263" s="2" t="inlineStr">
        <is>
          <t>Delhi</t>
        </is>
      </c>
      <c r="I4263" s="2" t="inlineStr">
        <is>
          <t>New Delhi</t>
        </is>
      </c>
      <c r="J4263" s="2" t="inlineStr">
        <is>
          <t>Online</t>
        </is>
      </c>
      <c r="K4263" s="2" t="n">
        <v>2</v>
      </c>
      <c r="L4263" s="3" t="n">
        <v>906.1799999999999</v>
      </c>
      <c r="M4263" s="4" t="n">
        <v>0.1</v>
      </c>
      <c r="N4263" s="3" t="n">
        <v>1057.04</v>
      </c>
      <c r="O4263" s="3">
        <f>K4263*L4263*(1-M4263)</f>
        <v/>
      </c>
      <c r="P4263" s="3">
        <f>O4263-N4263</f>
        <v/>
      </c>
      <c r="Q4263" s="5">
        <f>IFERROR(P4263/O4263,0)</f>
        <v/>
      </c>
      <c r="R4263" s="2">
        <f>TEXT(DATEVALUE(B4263),"mmm")</f>
        <v/>
      </c>
      <c r="S4263" s="2">
        <f>TEXT(DATEVALUE(B4263),"yyyy-mm")</f>
        <v/>
      </c>
    </row>
    <row r="4264">
      <c r="A4264" s="2" t="inlineStr">
        <is>
          <t>O003783</t>
        </is>
      </c>
      <c r="B4264" s="2" t="inlineStr">
        <is>
          <t>2025-11-09</t>
        </is>
      </c>
      <c r="C4264" s="2" t="inlineStr">
        <is>
          <t>C0507</t>
        </is>
      </c>
      <c r="D4264" s="2" t="inlineStr">
        <is>
          <t>P0021</t>
        </is>
      </c>
      <c r="E4264" s="2" t="inlineStr">
        <is>
          <t>Wallet</t>
        </is>
      </c>
      <c r="F4264" s="2" t="inlineStr">
        <is>
          <t>Fashion</t>
        </is>
      </c>
      <c r="G4264" s="2" t="inlineStr">
        <is>
          <t>West</t>
        </is>
      </c>
      <c r="H4264" s="2" t="inlineStr">
        <is>
          <t>Gujarat</t>
        </is>
      </c>
      <c r="I4264" s="2" t="inlineStr">
        <is>
          <t>Vadodara</t>
        </is>
      </c>
      <c r="J4264" s="2" t="inlineStr">
        <is>
          <t>Store</t>
        </is>
      </c>
      <c r="K4264" s="2" t="n">
        <v>1</v>
      </c>
      <c r="L4264" s="3" t="n">
        <v>2040.69</v>
      </c>
      <c r="M4264" s="4" t="n">
        <v>0</v>
      </c>
      <c r="N4264" s="3" t="n">
        <v>1252.5</v>
      </c>
      <c r="O4264" s="3">
        <f>K4264*L4264*(1-M4264)</f>
        <v/>
      </c>
      <c r="P4264" s="3">
        <f>O4264-N4264</f>
        <v/>
      </c>
      <c r="Q4264" s="5">
        <f>IFERROR(P4264/O4264,0)</f>
        <v/>
      </c>
      <c r="R4264" s="2">
        <f>TEXT(DATEVALUE(B4264),"mmm")</f>
        <v/>
      </c>
      <c r="S4264" s="2">
        <f>TEXT(DATEVALUE(B4264),"yyyy-mm")</f>
        <v/>
      </c>
    </row>
    <row r="4265">
      <c r="A4265" s="2" t="inlineStr">
        <is>
          <t>O003839</t>
        </is>
      </c>
      <c r="B4265" s="2" t="inlineStr">
        <is>
          <t>2025-11-09</t>
        </is>
      </c>
      <c r="C4265" s="2" t="inlineStr">
        <is>
          <t>C0211</t>
        </is>
      </c>
      <c r="D4265" s="2" t="inlineStr">
        <is>
          <t>P0013</t>
        </is>
      </c>
      <c r="E4265" s="2" t="inlineStr">
        <is>
          <t>Storage Organizer</t>
        </is>
      </c>
      <c r="F4265" s="2" t="inlineStr">
        <is>
          <t>Home &amp; Kitchen</t>
        </is>
      </c>
      <c r="G4265" s="2" t="inlineStr">
        <is>
          <t>South</t>
        </is>
      </c>
      <c r="H4265" s="2" t="inlineStr">
        <is>
          <t>Kerala</t>
        </is>
      </c>
      <c r="I4265" s="2" t="inlineStr">
        <is>
          <t>Kochi</t>
        </is>
      </c>
      <c r="J4265" s="2" t="inlineStr">
        <is>
          <t>Online</t>
        </is>
      </c>
      <c r="K4265" s="2" t="n">
        <v>2</v>
      </c>
      <c r="L4265" s="3" t="n">
        <v>575.73</v>
      </c>
      <c r="M4265" s="4" t="n">
        <v>0.05</v>
      </c>
      <c r="N4265" s="3" t="n">
        <v>720.42</v>
      </c>
      <c r="O4265" s="3">
        <f>K4265*L4265*(1-M4265)</f>
        <v/>
      </c>
      <c r="P4265" s="3">
        <f>O4265-N4265</f>
        <v/>
      </c>
      <c r="Q4265" s="5">
        <f>IFERROR(P4265/O4265,0)</f>
        <v/>
      </c>
      <c r="R4265" s="2">
        <f>TEXT(DATEVALUE(B4265),"mmm")</f>
        <v/>
      </c>
      <c r="S4265" s="2">
        <f>TEXT(DATEVALUE(B4265),"yyyy-mm")</f>
        <v/>
      </c>
    </row>
    <row r="4266">
      <c r="A4266" s="2" t="inlineStr">
        <is>
          <t>O004119</t>
        </is>
      </c>
      <c r="B4266" s="2" t="inlineStr">
        <is>
          <t>2025-11-09</t>
        </is>
      </c>
      <c r="C4266" s="2" t="inlineStr">
        <is>
          <t>C0706</t>
        </is>
      </c>
      <c r="D4266" s="2" t="inlineStr">
        <is>
          <t>P0021</t>
        </is>
      </c>
      <c r="E4266" s="2" t="inlineStr">
        <is>
          <t>Wallet</t>
        </is>
      </c>
      <c r="F4266" s="2" t="inlineStr">
        <is>
          <t>Fashion</t>
        </is>
      </c>
      <c r="G4266" s="2" t="inlineStr">
        <is>
          <t>South</t>
        </is>
      </c>
      <c r="H4266" s="2" t="inlineStr">
        <is>
          <t>Karnataka</t>
        </is>
      </c>
      <c r="I4266" s="2" t="inlineStr">
        <is>
          <t>Mysuru</t>
        </is>
      </c>
      <c r="J4266" s="2" t="inlineStr">
        <is>
          <t>Online</t>
        </is>
      </c>
      <c r="K4266" s="2" t="n">
        <v>3</v>
      </c>
      <c r="L4266" s="3" t="n">
        <v>2082.91</v>
      </c>
      <c r="M4266" s="4" t="n">
        <v>0</v>
      </c>
      <c r="N4266" s="3" t="n">
        <v>3602.86</v>
      </c>
      <c r="O4266" s="3">
        <f>K4266*L4266*(1-M4266)</f>
        <v/>
      </c>
      <c r="P4266" s="3">
        <f>O4266-N4266</f>
        <v/>
      </c>
      <c r="Q4266" s="5">
        <f>IFERROR(P4266/O4266,0)</f>
        <v/>
      </c>
      <c r="R4266" s="2">
        <f>TEXT(DATEVALUE(B4266),"mmm")</f>
        <v/>
      </c>
      <c r="S4266" s="2">
        <f>TEXT(DATEVALUE(B4266),"yyyy-mm")</f>
        <v/>
      </c>
    </row>
    <row r="4267">
      <c r="A4267" s="2" t="inlineStr">
        <is>
          <t>O004125</t>
        </is>
      </c>
      <c r="B4267" s="2" t="inlineStr">
        <is>
          <t>2025-11-09</t>
        </is>
      </c>
      <c r="C4267" s="2" t="inlineStr">
        <is>
          <t>C0227</t>
        </is>
      </c>
      <c r="D4267" s="2" t="inlineStr">
        <is>
          <t>P0016</t>
        </is>
      </c>
      <c r="E4267" s="2" t="inlineStr">
        <is>
          <t>Casual Shirt</t>
        </is>
      </c>
      <c r="F4267" s="2" t="inlineStr">
        <is>
          <t>Fashion</t>
        </is>
      </c>
      <c r="G4267" s="2" t="inlineStr">
        <is>
          <t>South</t>
        </is>
      </c>
      <c r="H4267" s="2" t="inlineStr">
        <is>
          <t>Kerala</t>
        </is>
      </c>
      <c r="I4267" s="2" t="inlineStr">
        <is>
          <t>Kochi</t>
        </is>
      </c>
      <c r="J4267" s="2" t="inlineStr">
        <is>
          <t>Online</t>
        </is>
      </c>
      <c r="K4267" s="2" t="n">
        <v>1</v>
      </c>
      <c r="L4267" s="3" t="n">
        <v>1297.96</v>
      </c>
      <c r="M4267" s="4" t="n">
        <v>0.2</v>
      </c>
      <c r="N4267" s="3" t="n">
        <v>886.29</v>
      </c>
      <c r="O4267" s="3">
        <f>K4267*L4267*(1-M4267)</f>
        <v/>
      </c>
      <c r="P4267" s="3">
        <f>O4267-N4267</f>
        <v/>
      </c>
      <c r="Q4267" s="5">
        <f>IFERROR(P4267/O4267,0)</f>
        <v/>
      </c>
      <c r="R4267" s="2">
        <f>TEXT(DATEVALUE(B4267),"mmm")</f>
        <v/>
      </c>
      <c r="S4267" s="2">
        <f>TEXT(DATEVALUE(B4267),"yyyy-mm")</f>
        <v/>
      </c>
    </row>
    <row r="4268">
      <c r="A4268" s="2" t="inlineStr">
        <is>
          <t>O004547</t>
        </is>
      </c>
      <c r="B4268" s="2" t="inlineStr">
        <is>
          <t>2025-11-09</t>
        </is>
      </c>
      <c r="C4268" s="2" t="inlineStr">
        <is>
          <t>C0428</t>
        </is>
      </c>
      <c r="D4268" s="2" t="inlineStr">
        <is>
          <t>P0011</t>
        </is>
      </c>
      <c r="E4268" s="2" t="inlineStr">
        <is>
          <t>Cookware Set</t>
        </is>
      </c>
      <c r="F4268" s="2" t="inlineStr">
        <is>
          <t>Home &amp; Kitchen</t>
        </is>
      </c>
      <c r="G4268" s="2" t="inlineStr">
        <is>
          <t>West</t>
        </is>
      </c>
      <c r="H4268" s="2" t="inlineStr">
        <is>
          <t>Gujarat</t>
        </is>
      </c>
      <c r="I4268" s="2" t="inlineStr">
        <is>
          <t>Surat</t>
        </is>
      </c>
      <c r="J4268" s="2" t="inlineStr">
        <is>
          <t>Store</t>
        </is>
      </c>
      <c r="K4268" s="2" t="n">
        <v>2</v>
      </c>
      <c r="L4268" s="3" t="n">
        <v>672.58</v>
      </c>
      <c r="M4268" s="4" t="n">
        <v>0.1</v>
      </c>
      <c r="N4268" s="3" t="n">
        <v>948.1900000000001</v>
      </c>
      <c r="O4268" s="3">
        <f>K4268*L4268*(1-M4268)</f>
        <v/>
      </c>
      <c r="P4268" s="3">
        <f>O4268-N4268</f>
        <v/>
      </c>
      <c r="Q4268" s="5">
        <f>IFERROR(P4268/O4268,0)</f>
        <v/>
      </c>
      <c r="R4268" s="2">
        <f>TEXT(DATEVALUE(B4268),"mmm")</f>
        <v/>
      </c>
      <c r="S4268" s="2">
        <f>TEXT(DATEVALUE(B4268),"yyyy-mm")</f>
        <v/>
      </c>
    </row>
    <row r="4269">
      <c r="A4269" s="2" t="inlineStr">
        <is>
          <t>O004252</t>
        </is>
      </c>
      <c r="B4269" s="2" t="inlineStr">
        <is>
          <t>2025-11-09</t>
        </is>
      </c>
      <c r="C4269" s="2" t="inlineStr">
        <is>
          <t>C0744</t>
        </is>
      </c>
      <c r="D4269" s="2" t="inlineStr">
        <is>
          <t>P0016</t>
        </is>
      </c>
      <c r="E4269" s="2" t="inlineStr">
        <is>
          <t>Casual Shirt</t>
        </is>
      </c>
      <c r="F4269" s="2" t="inlineStr">
        <is>
          <t>Fashion</t>
        </is>
      </c>
      <c r="G4269" s="2" t="inlineStr">
        <is>
          <t>East</t>
        </is>
      </c>
      <c r="H4269" s="2" t="inlineStr">
        <is>
          <t>Bihar</t>
        </is>
      </c>
      <c r="I4269" s="2" t="inlineStr">
        <is>
          <t>Gaya</t>
        </is>
      </c>
      <c r="J4269" s="2" t="inlineStr">
        <is>
          <t>Online</t>
        </is>
      </c>
      <c r="K4269" s="2" t="n">
        <v>1</v>
      </c>
      <c r="L4269" s="3" t="n">
        <v>1330.93</v>
      </c>
      <c r="M4269" s="4" t="n">
        <v>0.05</v>
      </c>
      <c r="N4269" s="3" t="n">
        <v>912.96</v>
      </c>
      <c r="O4269" s="3">
        <f>K4269*L4269*(1-M4269)</f>
        <v/>
      </c>
      <c r="P4269" s="3">
        <f>O4269-N4269</f>
        <v/>
      </c>
      <c r="Q4269" s="5">
        <f>IFERROR(P4269/O4269,0)</f>
        <v/>
      </c>
      <c r="R4269" s="2">
        <f>TEXT(DATEVALUE(B4269),"mmm")</f>
        <v/>
      </c>
      <c r="S4269" s="2">
        <f>TEXT(DATEVALUE(B4269),"yyyy-mm")</f>
        <v/>
      </c>
    </row>
    <row r="4270">
      <c r="A4270" s="2" t="inlineStr">
        <is>
          <t>O004673</t>
        </is>
      </c>
      <c r="B4270" s="2" t="inlineStr">
        <is>
          <t>2025-11-09</t>
        </is>
      </c>
      <c r="C4270" s="2" t="inlineStr">
        <is>
          <t>C0066</t>
        </is>
      </c>
      <c r="D4270" s="2" t="inlineStr">
        <is>
          <t>P0028</t>
        </is>
      </c>
      <c r="E4270" s="2" t="inlineStr">
        <is>
          <t>Trimmer</t>
        </is>
      </c>
      <c r="F4270" s="2" t="inlineStr">
        <is>
          <t>Beauty</t>
        </is>
      </c>
      <c r="G4270" s="2" t="inlineStr">
        <is>
          <t>East</t>
        </is>
      </c>
      <c r="H4270" s="2" t="inlineStr">
        <is>
          <t>West Bengal</t>
        </is>
      </c>
      <c r="I4270" s="2" t="inlineStr">
        <is>
          <t>Durgapur</t>
        </is>
      </c>
      <c r="J4270" s="2" t="inlineStr">
        <is>
          <t>Store</t>
        </is>
      </c>
      <c r="K4270" s="2" t="n">
        <v>3</v>
      </c>
      <c r="L4270" s="3" t="n">
        <v>451.27</v>
      </c>
      <c r="M4270" s="4" t="n">
        <v>0.05</v>
      </c>
      <c r="N4270" s="3" t="n">
        <v>770.36</v>
      </c>
      <c r="O4270" s="3">
        <f>K4270*L4270*(1-M4270)</f>
        <v/>
      </c>
      <c r="P4270" s="3">
        <f>O4270-N4270</f>
        <v/>
      </c>
      <c r="Q4270" s="5">
        <f>IFERROR(P4270/O4270,0)</f>
        <v/>
      </c>
      <c r="R4270" s="2">
        <f>TEXT(DATEVALUE(B4270),"mmm")</f>
        <v/>
      </c>
      <c r="S4270" s="2">
        <f>TEXT(DATEVALUE(B4270),"yyyy-mm")</f>
        <v/>
      </c>
    </row>
    <row r="4271">
      <c r="A4271" s="2" t="inlineStr">
        <is>
          <t>O004747</t>
        </is>
      </c>
      <c r="B4271" s="2" t="inlineStr">
        <is>
          <t>2025-11-09</t>
        </is>
      </c>
      <c r="C4271" s="2" t="inlineStr">
        <is>
          <t>C0004</t>
        </is>
      </c>
      <c r="D4271" s="2" t="inlineStr">
        <is>
          <t>P0032</t>
        </is>
      </c>
      <c r="E4271" s="2" t="inlineStr">
        <is>
          <t>Football</t>
        </is>
      </c>
      <c r="F4271" s="2" t="inlineStr">
        <is>
          <t>Sports</t>
        </is>
      </c>
      <c r="G4271" s="2" t="inlineStr">
        <is>
          <t>West</t>
        </is>
      </c>
      <c r="H4271" s="2" t="inlineStr">
        <is>
          <t>Goa</t>
        </is>
      </c>
      <c r="I4271" s="2" t="inlineStr">
        <is>
          <t>Panaji</t>
        </is>
      </c>
      <c r="J4271" s="2" t="inlineStr">
        <is>
          <t>Online</t>
        </is>
      </c>
      <c r="K4271" s="2" t="n">
        <v>1</v>
      </c>
      <c r="L4271" s="3" t="n">
        <v>781.01</v>
      </c>
      <c r="M4271" s="4" t="n">
        <v>0</v>
      </c>
      <c r="N4271" s="3" t="n">
        <v>536.4400000000001</v>
      </c>
      <c r="O4271" s="3">
        <f>K4271*L4271*(1-M4271)</f>
        <v/>
      </c>
      <c r="P4271" s="3">
        <f>O4271-N4271</f>
        <v/>
      </c>
      <c r="Q4271" s="5">
        <f>IFERROR(P4271/O4271,0)</f>
        <v/>
      </c>
      <c r="R4271" s="2">
        <f>TEXT(DATEVALUE(B4271),"mmm")</f>
        <v/>
      </c>
      <c r="S4271" s="2">
        <f>TEXT(DATEVALUE(B4271),"yyyy-mm")</f>
        <v/>
      </c>
    </row>
    <row r="4272">
      <c r="A4272" s="2" t="inlineStr">
        <is>
          <t>O004962</t>
        </is>
      </c>
      <c r="B4272" s="2" t="inlineStr">
        <is>
          <t>2025-11-09</t>
        </is>
      </c>
      <c r="C4272" s="2" t="inlineStr">
        <is>
          <t>C0724</t>
        </is>
      </c>
      <c r="D4272" s="2" t="inlineStr">
        <is>
          <t>P0008</t>
        </is>
      </c>
      <c r="E4272" s="2" t="inlineStr">
        <is>
          <t>Air Fryer</t>
        </is>
      </c>
      <c r="F4272" s="2" t="inlineStr">
        <is>
          <t>Home &amp; Kitchen</t>
        </is>
      </c>
      <c r="G4272" s="2" t="inlineStr">
        <is>
          <t>South</t>
        </is>
      </c>
      <c r="H4272" s="2" t="inlineStr">
        <is>
          <t>Tamil Nadu</t>
        </is>
      </c>
      <c r="I4272" s="2" t="inlineStr">
        <is>
          <t>Coimbatore</t>
        </is>
      </c>
      <c r="J4272" s="2" t="inlineStr">
        <is>
          <t>Store</t>
        </is>
      </c>
      <c r="K4272" s="2" t="n">
        <v>1</v>
      </c>
      <c r="L4272" s="3" t="n">
        <v>1000.93</v>
      </c>
      <c r="M4272" s="4" t="n">
        <v>0.2</v>
      </c>
      <c r="N4272" s="3" t="n">
        <v>670.2</v>
      </c>
      <c r="O4272" s="3">
        <f>K4272*L4272*(1-M4272)</f>
        <v/>
      </c>
      <c r="P4272" s="3">
        <f>O4272-N4272</f>
        <v/>
      </c>
      <c r="Q4272" s="5">
        <f>IFERROR(P4272/O4272,0)</f>
        <v/>
      </c>
      <c r="R4272" s="2">
        <f>TEXT(DATEVALUE(B4272),"mmm")</f>
        <v/>
      </c>
      <c r="S4272" s="2">
        <f>TEXT(DATEVALUE(B4272),"yyyy-mm")</f>
        <v/>
      </c>
    </row>
    <row r="4273">
      <c r="A4273" s="2" t="inlineStr">
        <is>
          <t>O004195</t>
        </is>
      </c>
      <c r="B4273" s="2" t="inlineStr">
        <is>
          <t>2025-11-09</t>
        </is>
      </c>
      <c r="C4273" s="2" t="inlineStr">
        <is>
          <t>C0723</t>
        </is>
      </c>
      <c r="D4273" s="2" t="inlineStr">
        <is>
          <t>P0018</t>
        </is>
      </c>
      <c r="E4273" s="2" t="inlineStr">
        <is>
          <t>Backpack</t>
        </is>
      </c>
      <c r="F4273" s="2" t="inlineStr">
        <is>
          <t>Fashion</t>
        </is>
      </c>
      <c r="G4273" s="2" t="inlineStr">
        <is>
          <t>East</t>
        </is>
      </c>
      <c r="H4273" s="2" t="inlineStr">
        <is>
          <t>West Bengal</t>
        </is>
      </c>
      <c r="I4273" s="2" t="inlineStr">
        <is>
          <t>Kolkata</t>
        </is>
      </c>
      <c r="J4273" s="2" t="inlineStr">
        <is>
          <t>Online</t>
        </is>
      </c>
      <c r="K4273" s="2" t="n">
        <v>3</v>
      </c>
      <c r="L4273" s="3" t="n">
        <v>1759.63</v>
      </c>
      <c r="M4273" s="4" t="n">
        <v>0.1</v>
      </c>
      <c r="N4273" s="3" t="n">
        <v>3997.72</v>
      </c>
      <c r="O4273" s="3">
        <f>K4273*L4273*(1-M4273)</f>
        <v/>
      </c>
      <c r="P4273" s="3">
        <f>O4273-N4273</f>
        <v/>
      </c>
      <c r="Q4273" s="5">
        <f>IFERROR(P4273/O4273,0)</f>
        <v/>
      </c>
      <c r="R4273" s="2">
        <f>TEXT(DATEVALUE(B4273),"mmm")</f>
        <v/>
      </c>
      <c r="S4273" s="2">
        <f>TEXT(DATEVALUE(B4273),"yyyy-mm")</f>
        <v/>
      </c>
    </row>
    <row r="4274">
      <c r="A4274" s="2" t="inlineStr">
        <is>
          <t>O003374</t>
        </is>
      </c>
      <c r="B4274" s="2" t="inlineStr">
        <is>
          <t>2025-11-09</t>
        </is>
      </c>
      <c r="C4274" s="2" t="inlineStr">
        <is>
          <t>C0576</t>
        </is>
      </c>
      <c r="D4274" s="2" t="inlineStr">
        <is>
          <t>P0023</t>
        </is>
      </c>
      <c r="E4274" s="2" t="inlineStr">
        <is>
          <t>Skin Care Kit</t>
        </is>
      </c>
      <c r="F4274" s="2" t="inlineStr">
        <is>
          <t>Beauty</t>
        </is>
      </c>
      <c r="G4274" s="2" t="inlineStr">
        <is>
          <t>West</t>
        </is>
      </c>
      <c r="H4274" s="2" t="inlineStr">
        <is>
          <t>Goa</t>
        </is>
      </c>
      <c r="I4274" s="2" t="inlineStr">
        <is>
          <t>Panaji</t>
        </is>
      </c>
      <c r="J4274" s="2" t="inlineStr">
        <is>
          <t>Online</t>
        </is>
      </c>
      <c r="K4274" s="2" t="n">
        <v>3</v>
      </c>
      <c r="L4274" s="3" t="n">
        <v>1349.29</v>
      </c>
      <c r="M4274" s="4" t="n">
        <v>0.1</v>
      </c>
      <c r="N4274" s="3" t="n">
        <v>2592.93</v>
      </c>
      <c r="O4274" s="3">
        <f>K4274*L4274*(1-M4274)</f>
        <v/>
      </c>
      <c r="P4274" s="3">
        <f>O4274-N4274</f>
        <v/>
      </c>
      <c r="Q4274" s="5">
        <f>IFERROR(P4274/O4274,0)</f>
        <v/>
      </c>
      <c r="R4274" s="2">
        <f>TEXT(DATEVALUE(B4274),"mmm")</f>
        <v/>
      </c>
      <c r="S4274" s="2">
        <f>TEXT(DATEVALUE(B4274),"yyyy-mm")</f>
        <v/>
      </c>
    </row>
    <row r="4275">
      <c r="A4275" s="2" t="inlineStr">
        <is>
          <t>O003643</t>
        </is>
      </c>
      <c r="B4275" s="2" t="inlineStr">
        <is>
          <t>2025-11-09</t>
        </is>
      </c>
      <c r="C4275" s="2" t="inlineStr">
        <is>
          <t>C0637</t>
        </is>
      </c>
      <c r="D4275" s="2" t="inlineStr">
        <is>
          <t>P0032</t>
        </is>
      </c>
      <c r="E4275" s="2" t="inlineStr">
        <is>
          <t>Football</t>
        </is>
      </c>
      <c r="F4275" s="2" t="inlineStr">
        <is>
          <t>Sports</t>
        </is>
      </c>
      <c r="G4275" s="2" t="inlineStr">
        <is>
          <t>West</t>
        </is>
      </c>
      <c r="H4275" s="2" t="inlineStr">
        <is>
          <t>Maharashtra</t>
        </is>
      </c>
      <c r="I4275" s="2" t="inlineStr">
        <is>
          <t>Mumbai</t>
        </is>
      </c>
      <c r="J4275" s="2" t="inlineStr">
        <is>
          <t>Online</t>
        </is>
      </c>
      <c r="K4275" s="2" t="n">
        <v>1</v>
      </c>
      <c r="L4275" s="3" t="n">
        <v>838.1</v>
      </c>
      <c r="M4275" s="4" t="n">
        <v>0.05</v>
      </c>
      <c r="N4275" s="3" t="n">
        <v>541.54</v>
      </c>
      <c r="O4275" s="3">
        <f>K4275*L4275*(1-M4275)</f>
        <v/>
      </c>
      <c r="P4275" s="3">
        <f>O4275-N4275</f>
        <v/>
      </c>
      <c r="Q4275" s="5">
        <f>IFERROR(P4275/O4275,0)</f>
        <v/>
      </c>
      <c r="R4275" s="2">
        <f>TEXT(DATEVALUE(B4275),"mmm")</f>
        <v/>
      </c>
      <c r="S4275" s="2">
        <f>TEXT(DATEVALUE(B4275),"yyyy-mm")</f>
        <v/>
      </c>
    </row>
    <row r="4276">
      <c r="A4276" s="2" t="inlineStr">
        <is>
          <t>O002874</t>
        </is>
      </c>
      <c r="B4276" s="2" t="inlineStr">
        <is>
          <t>2025-11-09</t>
        </is>
      </c>
      <c r="C4276" s="2" t="inlineStr">
        <is>
          <t>C0590</t>
        </is>
      </c>
      <c r="D4276" s="2" t="inlineStr">
        <is>
          <t>P0006</t>
        </is>
      </c>
      <c r="E4276" s="2" t="inlineStr">
        <is>
          <t>Mechanical Keyboard</t>
        </is>
      </c>
      <c r="F4276" s="2" t="inlineStr">
        <is>
          <t>Electronics</t>
        </is>
      </c>
      <c r="G4276" s="2" t="inlineStr">
        <is>
          <t>East</t>
        </is>
      </c>
      <c r="H4276" s="2" t="inlineStr">
        <is>
          <t>West Bengal</t>
        </is>
      </c>
      <c r="I4276" s="2" t="inlineStr">
        <is>
          <t>Durgapur</t>
        </is>
      </c>
      <c r="J4276" s="2" t="inlineStr">
        <is>
          <t>Online</t>
        </is>
      </c>
      <c r="K4276" s="2" t="n">
        <v>2</v>
      </c>
      <c r="L4276" s="3" t="n">
        <v>2777.49</v>
      </c>
      <c r="M4276" s="4" t="n">
        <v>0</v>
      </c>
      <c r="N4276" s="3" t="n">
        <v>2883.87</v>
      </c>
      <c r="O4276" s="3">
        <f>K4276*L4276*(1-M4276)</f>
        <v/>
      </c>
      <c r="P4276" s="3">
        <f>O4276-N4276</f>
        <v/>
      </c>
      <c r="Q4276" s="5">
        <f>IFERROR(P4276/O4276,0)</f>
        <v/>
      </c>
      <c r="R4276" s="2">
        <f>TEXT(DATEVALUE(B4276),"mmm")</f>
        <v/>
      </c>
      <c r="S4276" s="2">
        <f>TEXT(DATEVALUE(B4276),"yyyy-mm")</f>
        <v/>
      </c>
    </row>
    <row r="4277">
      <c r="A4277" s="2" t="inlineStr">
        <is>
          <t>O003085</t>
        </is>
      </c>
      <c r="B4277" s="2" t="inlineStr">
        <is>
          <t>2025-11-09</t>
        </is>
      </c>
      <c r="C4277" s="2" t="inlineStr">
        <is>
          <t>C0161</t>
        </is>
      </c>
      <c r="D4277" s="2" t="inlineStr">
        <is>
          <t>P0014</t>
        </is>
      </c>
      <c r="E4277" s="2" t="inlineStr">
        <is>
          <t>Coffee Maker</t>
        </is>
      </c>
      <c r="F4277" s="2" t="inlineStr">
        <is>
          <t>Home &amp; Kitchen</t>
        </is>
      </c>
      <c r="G4277" s="2" t="inlineStr">
        <is>
          <t>South</t>
        </is>
      </c>
      <c r="H4277" s="2" t="inlineStr">
        <is>
          <t>Kerala</t>
        </is>
      </c>
      <c r="I4277" s="2" t="inlineStr">
        <is>
          <t>Thiruvananthapuram</t>
        </is>
      </c>
      <c r="J4277" s="2" t="inlineStr">
        <is>
          <t>Online</t>
        </is>
      </c>
      <c r="K4277" s="2" t="n">
        <v>5</v>
      </c>
      <c r="L4277" s="3" t="n">
        <v>1060.73</v>
      </c>
      <c r="M4277" s="4" t="n">
        <v>0.15</v>
      </c>
      <c r="N4277" s="3" t="n">
        <v>3734.53</v>
      </c>
      <c r="O4277" s="3">
        <f>K4277*L4277*(1-M4277)</f>
        <v/>
      </c>
      <c r="P4277" s="3">
        <f>O4277-N4277</f>
        <v/>
      </c>
      <c r="Q4277" s="5">
        <f>IFERROR(P4277/O4277,0)</f>
        <v/>
      </c>
      <c r="R4277" s="2">
        <f>TEXT(DATEVALUE(B4277),"mmm")</f>
        <v/>
      </c>
      <c r="S4277" s="2">
        <f>TEXT(DATEVALUE(B4277),"yyyy-mm")</f>
        <v/>
      </c>
    </row>
    <row r="4278">
      <c r="A4278" s="2" t="inlineStr">
        <is>
          <t>O000778</t>
        </is>
      </c>
      <c r="B4278" s="2" t="inlineStr">
        <is>
          <t>2025-11-09</t>
        </is>
      </c>
      <c r="C4278" s="2" t="inlineStr">
        <is>
          <t>C0014</t>
        </is>
      </c>
      <c r="D4278" s="2" t="inlineStr">
        <is>
          <t>P0022</t>
        </is>
      </c>
      <c r="E4278" s="2" t="inlineStr">
        <is>
          <t>Face Wash</t>
        </is>
      </c>
      <c r="F4278" s="2" t="inlineStr">
        <is>
          <t>Beauty</t>
        </is>
      </c>
      <c r="G4278" s="2" t="inlineStr">
        <is>
          <t>North</t>
        </is>
      </c>
      <c r="H4278" s="2" t="inlineStr">
        <is>
          <t>Delhi</t>
        </is>
      </c>
      <c r="I4278" s="2" t="inlineStr">
        <is>
          <t>New Delhi</t>
        </is>
      </c>
      <c r="J4278" s="2" t="inlineStr">
        <is>
          <t>Online</t>
        </is>
      </c>
      <c r="K4278" s="2" t="n">
        <v>2</v>
      </c>
      <c r="L4278" s="3" t="n">
        <v>557.02</v>
      </c>
      <c r="M4278" s="4" t="n">
        <v>0.2</v>
      </c>
      <c r="N4278" s="3" t="n">
        <v>682.36</v>
      </c>
      <c r="O4278" s="3">
        <f>K4278*L4278*(1-M4278)</f>
        <v/>
      </c>
      <c r="P4278" s="3">
        <f>O4278-N4278</f>
        <v/>
      </c>
      <c r="Q4278" s="5">
        <f>IFERROR(P4278/O4278,0)</f>
        <v/>
      </c>
      <c r="R4278" s="2">
        <f>TEXT(DATEVALUE(B4278),"mmm")</f>
        <v/>
      </c>
      <c r="S4278" s="2">
        <f>TEXT(DATEVALUE(B4278),"yyyy-mm")</f>
        <v/>
      </c>
    </row>
    <row r="4279">
      <c r="A4279" s="2" t="inlineStr">
        <is>
          <t>O001164</t>
        </is>
      </c>
      <c r="B4279" s="2" t="inlineStr">
        <is>
          <t>2025-11-09</t>
        </is>
      </c>
      <c r="C4279" s="2" t="inlineStr">
        <is>
          <t>C0317</t>
        </is>
      </c>
      <c r="D4279" s="2" t="inlineStr">
        <is>
          <t>P0028</t>
        </is>
      </c>
      <c r="E4279" s="2" t="inlineStr">
        <is>
          <t>Trimmer</t>
        </is>
      </c>
      <c r="F4279" s="2" t="inlineStr">
        <is>
          <t>Beauty</t>
        </is>
      </c>
      <c r="G4279" s="2" t="inlineStr">
        <is>
          <t>North</t>
        </is>
      </c>
      <c r="H4279" s="2" t="inlineStr">
        <is>
          <t>Haryana</t>
        </is>
      </c>
      <c r="I4279" s="2" t="inlineStr">
        <is>
          <t>Gurugram</t>
        </is>
      </c>
      <c r="J4279" s="2" t="inlineStr">
        <is>
          <t>Online</t>
        </is>
      </c>
      <c r="K4279" s="2" t="n">
        <v>6</v>
      </c>
      <c r="L4279" s="3" t="n">
        <v>433.07</v>
      </c>
      <c r="M4279" s="4" t="n">
        <v>0</v>
      </c>
      <c r="N4279" s="3" t="n">
        <v>1475.46</v>
      </c>
      <c r="O4279" s="3">
        <f>K4279*L4279*(1-M4279)</f>
        <v/>
      </c>
      <c r="P4279" s="3">
        <f>O4279-N4279</f>
        <v/>
      </c>
      <c r="Q4279" s="5">
        <f>IFERROR(P4279/O4279,0)</f>
        <v/>
      </c>
      <c r="R4279" s="2">
        <f>TEXT(DATEVALUE(B4279),"mmm")</f>
        <v/>
      </c>
      <c r="S4279" s="2">
        <f>TEXT(DATEVALUE(B4279),"yyyy-mm")</f>
        <v/>
      </c>
    </row>
    <row r="4280">
      <c r="A4280" s="2" t="inlineStr">
        <is>
          <t>O001172</t>
        </is>
      </c>
      <c r="B4280" s="2" t="inlineStr">
        <is>
          <t>2025-11-09</t>
        </is>
      </c>
      <c r="C4280" s="2" t="inlineStr">
        <is>
          <t>C0551</t>
        </is>
      </c>
      <c r="D4280" s="2" t="inlineStr">
        <is>
          <t>P0026</t>
        </is>
      </c>
      <c r="E4280" s="2" t="inlineStr">
        <is>
          <t>Shampoo</t>
        </is>
      </c>
      <c r="F4280" s="2" t="inlineStr">
        <is>
          <t>Beauty</t>
        </is>
      </c>
      <c r="G4280" s="2" t="inlineStr">
        <is>
          <t>North</t>
        </is>
      </c>
      <c r="H4280" s="2" t="inlineStr">
        <is>
          <t>Uttar Pradesh</t>
        </is>
      </c>
      <c r="I4280" s="2" t="inlineStr">
        <is>
          <t>Kanpur</t>
        </is>
      </c>
      <c r="J4280" s="2" t="inlineStr">
        <is>
          <t>Online</t>
        </is>
      </c>
      <c r="K4280" s="2" t="n">
        <v>2</v>
      </c>
      <c r="L4280" s="3" t="n">
        <v>902.74</v>
      </c>
      <c r="M4280" s="4" t="n">
        <v>0.1</v>
      </c>
      <c r="N4280" s="3" t="n">
        <v>1030.75</v>
      </c>
      <c r="O4280" s="3">
        <f>K4280*L4280*(1-M4280)</f>
        <v/>
      </c>
      <c r="P4280" s="3">
        <f>O4280-N4280</f>
        <v/>
      </c>
      <c r="Q4280" s="5">
        <f>IFERROR(P4280/O4280,0)</f>
        <v/>
      </c>
      <c r="R4280" s="2">
        <f>TEXT(DATEVALUE(B4280),"mmm")</f>
        <v/>
      </c>
      <c r="S4280" s="2">
        <f>TEXT(DATEVALUE(B4280),"yyyy-mm")</f>
        <v/>
      </c>
    </row>
    <row r="4281">
      <c r="A4281" s="2" t="inlineStr">
        <is>
          <t>O001253</t>
        </is>
      </c>
      <c r="B4281" s="2" t="inlineStr">
        <is>
          <t>2025-11-09</t>
        </is>
      </c>
      <c r="C4281" s="2" t="inlineStr">
        <is>
          <t>C0723</t>
        </is>
      </c>
      <c r="D4281" s="2" t="inlineStr">
        <is>
          <t>P0004</t>
        </is>
      </c>
      <c r="E4281" s="2" t="inlineStr">
        <is>
          <t>USB-C Hub</t>
        </is>
      </c>
      <c r="F4281" s="2" t="inlineStr">
        <is>
          <t>Electronics</t>
        </is>
      </c>
      <c r="G4281" s="2" t="inlineStr">
        <is>
          <t>South</t>
        </is>
      </c>
      <c r="H4281" s="2" t="inlineStr">
        <is>
          <t>Kerala</t>
        </is>
      </c>
      <c r="I4281" s="2" t="inlineStr">
        <is>
          <t>Thiruvananthapuram</t>
        </is>
      </c>
      <c r="J4281" s="2" t="inlineStr">
        <is>
          <t>Store</t>
        </is>
      </c>
      <c r="K4281" s="2" t="n">
        <v>2</v>
      </c>
      <c r="L4281" s="3" t="n">
        <v>1282.62</v>
      </c>
      <c r="M4281" s="4" t="n">
        <v>0</v>
      </c>
      <c r="N4281" s="3" t="n">
        <v>1900.02</v>
      </c>
      <c r="O4281" s="3">
        <f>K4281*L4281*(1-M4281)</f>
        <v/>
      </c>
      <c r="P4281" s="3">
        <f>O4281-N4281</f>
        <v/>
      </c>
      <c r="Q4281" s="5">
        <f>IFERROR(P4281/O4281,0)</f>
        <v/>
      </c>
      <c r="R4281" s="2">
        <f>TEXT(DATEVALUE(B4281),"mmm")</f>
        <v/>
      </c>
      <c r="S4281" s="2">
        <f>TEXT(DATEVALUE(B4281),"yyyy-mm")</f>
        <v/>
      </c>
    </row>
    <row r="4282">
      <c r="A4282" s="2" t="inlineStr">
        <is>
          <t>O000381</t>
        </is>
      </c>
      <c r="B4282" s="2" t="inlineStr">
        <is>
          <t>2025-11-09</t>
        </is>
      </c>
      <c r="C4282" s="2" t="inlineStr">
        <is>
          <t>C0013</t>
        </is>
      </c>
      <c r="D4282" s="2" t="inlineStr">
        <is>
          <t>P0012</t>
        </is>
      </c>
      <c r="E4282" s="2" t="inlineStr">
        <is>
          <t>Water Bottle</t>
        </is>
      </c>
      <c r="F4282" s="2" t="inlineStr">
        <is>
          <t>Home &amp; Kitchen</t>
        </is>
      </c>
      <c r="G4282" s="2" t="inlineStr">
        <is>
          <t>North</t>
        </is>
      </c>
      <c r="H4282" s="2" t="inlineStr">
        <is>
          <t>Punjab</t>
        </is>
      </c>
      <c r="I4282" s="2" t="inlineStr">
        <is>
          <t>Ludhiana</t>
        </is>
      </c>
      <c r="J4282" s="2" t="inlineStr">
        <is>
          <t>Online</t>
        </is>
      </c>
      <c r="K4282" s="2" t="n">
        <v>2</v>
      </c>
      <c r="L4282" s="3" t="n">
        <v>956.63</v>
      </c>
      <c r="M4282" s="4" t="n">
        <v>0</v>
      </c>
      <c r="N4282" s="3" t="n">
        <v>1229.88</v>
      </c>
      <c r="O4282" s="3">
        <f>K4282*L4282*(1-M4282)</f>
        <v/>
      </c>
      <c r="P4282" s="3">
        <f>O4282-N4282</f>
        <v/>
      </c>
      <c r="Q4282" s="5">
        <f>IFERROR(P4282/O4282,0)</f>
        <v/>
      </c>
      <c r="R4282" s="2">
        <f>TEXT(DATEVALUE(B4282),"mmm")</f>
        <v/>
      </c>
      <c r="S4282" s="2">
        <f>TEXT(DATEVALUE(B4282),"yyyy-mm")</f>
        <v/>
      </c>
    </row>
    <row r="4283">
      <c r="A4283" s="2" t="inlineStr">
        <is>
          <t>O001557</t>
        </is>
      </c>
      <c r="B4283" s="2" t="inlineStr">
        <is>
          <t>2025-11-09</t>
        </is>
      </c>
      <c r="C4283" s="2" t="inlineStr">
        <is>
          <t>C0100</t>
        </is>
      </c>
      <c r="D4283" s="2" t="inlineStr">
        <is>
          <t>P0021</t>
        </is>
      </c>
      <c r="E4283" s="2" t="inlineStr">
        <is>
          <t>Wallet</t>
        </is>
      </c>
      <c r="F4283" s="2" t="inlineStr">
        <is>
          <t>Fashion</t>
        </is>
      </c>
      <c r="G4283" s="2" t="inlineStr">
        <is>
          <t>West</t>
        </is>
      </c>
      <c r="H4283" s="2" t="inlineStr">
        <is>
          <t>Gujarat</t>
        </is>
      </c>
      <c r="I4283" s="2" t="inlineStr">
        <is>
          <t>Vadodara</t>
        </is>
      </c>
      <c r="J4283" s="2" t="inlineStr">
        <is>
          <t>Online</t>
        </is>
      </c>
      <c r="K4283" s="2" t="n">
        <v>3</v>
      </c>
      <c r="L4283" s="3" t="n">
        <v>1998.74</v>
      </c>
      <c r="M4283" s="4" t="n">
        <v>0</v>
      </c>
      <c r="N4283" s="3" t="n">
        <v>3573.54</v>
      </c>
      <c r="O4283" s="3">
        <f>K4283*L4283*(1-M4283)</f>
        <v/>
      </c>
      <c r="P4283" s="3">
        <f>O4283-N4283</f>
        <v/>
      </c>
      <c r="Q4283" s="5">
        <f>IFERROR(P4283/O4283,0)</f>
        <v/>
      </c>
      <c r="R4283" s="2">
        <f>TEXT(DATEVALUE(B4283),"mmm")</f>
        <v/>
      </c>
      <c r="S4283" s="2">
        <f>TEXT(DATEVALUE(B4283),"yyyy-mm")</f>
        <v/>
      </c>
    </row>
    <row r="4284">
      <c r="A4284" s="2" t="inlineStr">
        <is>
          <t>O001989</t>
        </is>
      </c>
      <c r="B4284" s="2" t="inlineStr">
        <is>
          <t>2025-11-09</t>
        </is>
      </c>
      <c r="C4284" s="2" t="inlineStr">
        <is>
          <t>C0582</t>
        </is>
      </c>
      <c r="D4284" s="2" t="inlineStr">
        <is>
          <t>P0007</t>
        </is>
      </c>
      <c r="E4284" s="2" t="inlineStr">
        <is>
          <t>Wireless Mouse</t>
        </is>
      </c>
      <c r="F4284" s="2" t="inlineStr">
        <is>
          <t>Electronics</t>
        </is>
      </c>
      <c r="G4284" s="2" t="inlineStr">
        <is>
          <t>North</t>
        </is>
      </c>
      <c r="H4284" s="2" t="inlineStr">
        <is>
          <t>Uttar Pradesh</t>
        </is>
      </c>
      <c r="I4284" s="2" t="inlineStr">
        <is>
          <t>Kanpur</t>
        </is>
      </c>
      <c r="J4284" s="2" t="inlineStr">
        <is>
          <t>Online</t>
        </is>
      </c>
      <c r="K4284" s="2" t="n">
        <v>1</v>
      </c>
      <c r="L4284" s="3" t="n">
        <v>1017.42</v>
      </c>
      <c r="M4284" s="4" t="n">
        <v>0.1</v>
      </c>
      <c r="N4284" s="3" t="n">
        <v>617.47</v>
      </c>
      <c r="O4284" s="3">
        <f>K4284*L4284*(1-M4284)</f>
        <v/>
      </c>
      <c r="P4284" s="3">
        <f>O4284-N4284</f>
        <v/>
      </c>
      <c r="Q4284" s="5">
        <f>IFERROR(P4284/O4284,0)</f>
        <v/>
      </c>
      <c r="R4284" s="2">
        <f>TEXT(DATEVALUE(B4284),"mmm")</f>
        <v/>
      </c>
      <c r="S4284" s="2">
        <f>TEXT(DATEVALUE(B4284),"yyyy-mm")</f>
        <v/>
      </c>
    </row>
    <row r="4285">
      <c r="A4285" s="2" t="inlineStr">
        <is>
          <t>O002771</t>
        </is>
      </c>
      <c r="B4285" s="2" t="inlineStr">
        <is>
          <t>2025-11-09</t>
        </is>
      </c>
      <c r="C4285" s="2" t="inlineStr">
        <is>
          <t>C0785</t>
        </is>
      </c>
      <c r="D4285" s="2" t="inlineStr">
        <is>
          <t>P0012</t>
        </is>
      </c>
      <c r="E4285" s="2" t="inlineStr">
        <is>
          <t>Water Bottle</t>
        </is>
      </c>
      <c r="F4285" s="2" t="inlineStr">
        <is>
          <t>Home &amp; Kitchen</t>
        </is>
      </c>
      <c r="G4285" s="2" t="inlineStr">
        <is>
          <t>East</t>
        </is>
      </c>
      <c r="H4285" s="2" t="inlineStr">
        <is>
          <t>West Bengal</t>
        </is>
      </c>
      <c r="I4285" s="2" t="inlineStr">
        <is>
          <t>Kolkata</t>
        </is>
      </c>
      <c r="J4285" s="2" t="inlineStr">
        <is>
          <t>Store</t>
        </is>
      </c>
      <c r="K4285" s="2" t="n">
        <v>1</v>
      </c>
      <c r="L4285" s="3" t="n">
        <v>996.1900000000001</v>
      </c>
      <c r="M4285" s="4" t="n">
        <v>0</v>
      </c>
      <c r="N4285" s="3" t="n">
        <v>604.0700000000001</v>
      </c>
      <c r="O4285" s="3">
        <f>K4285*L4285*(1-M4285)</f>
        <v/>
      </c>
      <c r="P4285" s="3">
        <f>O4285-N4285</f>
        <v/>
      </c>
      <c r="Q4285" s="5">
        <f>IFERROR(P4285/O4285,0)</f>
        <v/>
      </c>
      <c r="R4285" s="2">
        <f>TEXT(DATEVALUE(B4285),"mmm")</f>
        <v/>
      </c>
      <c r="S4285" s="2">
        <f>TEXT(DATEVALUE(B4285),"yyyy-mm")</f>
        <v/>
      </c>
    </row>
    <row r="4286">
      <c r="A4286" s="2" t="inlineStr">
        <is>
          <t>O002821</t>
        </is>
      </c>
      <c r="B4286" s="2" t="inlineStr">
        <is>
          <t>2025-11-09</t>
        </is>
      </c>
      <c r="C4286" s="2" t="inlineStr">
        <is>
          <t>C0216</t>
        </is>
      </c>
      <c r="D4286" s="2" t="inlineStr">
        <is>
          <t>P0017</t>
        </is>
      </c>
      <c r="E4286" s="2" t="inlineStr">
        <is>
          <t>Jeans</t>
        </is>
      </c>
      <c r="F4286" s="2" t="inlineStr">
        <is>
          <t>Fashion</t>
        </is>
      </c>
      <c r="G4286" s="2" t="inlineStr">
        <is>
          <t>West</t>
        </is>
      </c>
      <c r="H4286" s="2" t="inlineStr">
        <is>
          <t>Goa</t>
        </is>
      </c>
      <c r="I4286" s="2" t="inlineStr">
        <is>
          <t>Margao</t>
        </is>
      </c>
      <c r="J4286" s="2" t="inlineStr">
        <is>
          <t>Online</t>
        </is>
      </c>
      <c r="K4286" s="2" t="n">
        <v>2</v>
      </c>
      <c r="L4286" s="3" t="n">
        <v>1487.79</v>
      </c>
      <c r="M4286" s="4" t="n">
        <v>0.25</v>
      </c>
      <c r="N4286" s="3" t="n">
        <v>1988.64</v>
      </c>
      <c r="O4286" s="3">
        <f>K4286*L4286*(1-M4286)</f>
        <v/>
      </c>
      <c r="P4286" s="3">
        <f>O4286-N4286</f>
        <v/>
      </c>
      <c r="Q4286" s="5">
        <f>IFERROR(P4286/O4286,0)</f>
        <v/>
      </c>
      <c r="R4286" s="2">
        <f>TEXT(DATEVALUE(B4286),"mmm")</f>
        <v/>
      </c>
      <c r="S4286" s="2">
        <f>TEXT(DATEVALUE(B4286),"yyyy-mm")</f>
        <v/>
      </c>
    </row>
    <row r="4287">
      <c r="A4287" s="2" t="inlineStr">
        <is>
          <t>O001354</t>
        </is>
      </c>
      <c r="B4287" s="2" t="inlineStr">
        <is>
          <t>2025-11-09</t>
        </is>
      </c>
      <c r="C4287" s="2" t="inlineStr">
        <is>
          <t>C0363</t>
        </is>
      </c>
      <c r="D4287" s="2" t="inlineStr">
        <is>
          <t>P0019</t>
        </is>
      </c>
      <c r="E4287" s="2" t="inlineStr">
        <is>
          <t>Jacket</t>
        </is>
      </c>
      <c r="F4287" s="2" t="inlineStr">
        <is>
          <t>Fashion</t>
        </is>
      </c>
      <c r="G4287" s="2" t="inlineStr">
        <is>
          <t>West</t>
        </is>
      </c>
      <c r="H4287" s="2" t="inlineStr">
        <is>
          <t>Gujarat</t>
        </is>
      </c>
      <c r="I4287" s="2" t="inlineStr">
        <is>
          <t>Surat</t>
        </is>
      </c>
      <c r="J4287" s="2" t="inlineStr">
        <is>
          <t>Store</t>
        </is>
      </c>
      <c r="K4287" s="2" t="n">
        <v>1</v>
      </c>
      <c r="L4287" s="3" t="n">
        <v>1075.3</v>
      </c>
      <c r="M4287" s="4" t="n">
        <v>0</v>
      </c>
      <c r="N4287" s="3" t="n">
        <v>693.75</v>
      </c>
      <c r="O4287" s="3">
        <f>K4287*L4287*(1-M4287)</f>
        <v/>
      </c>
      <c r="P4287" s="3">
        <f>O4287-N4287</f>
        <v/>
      </c>
      <c r="Q4287" s="5">
        <f>IFERROR(P4287/O4287,0)</f>
        <v/>
      </c>
      <c r="R4287" s="2">
        <f>TEXT(DATEVALUE(B4287),"mmm")</f>
        <v/>
      </c>
      <c r="S4287" s="2">
        <f>TEXT(DATEVALUE(B4287),"yyyy-mm")</f>
        <v/>
      </c>
    </row>
    <row r="4288">
      <c r="A4288" s="2" t="inlineStr">
        <is>
          <t>O003050</t>
        </is>
      </c>
      <c r="B4288" s="2" t="inlineStr">
        <is>
          <t>2025-11-10</t>
        </is>
      </c>
      <c r="C4288" s="2" t="inlineStr">
        <is>
          <t>C0506</t>
        </is>
      </c>
      <c r="D4288" s="2" t="inlineStr">
        <is>
          <t>P0023</t>
        </is>
      </c>
      <c r="E4288" s="2" t="inlineStr">
        <is>
          <t>Skin Care Kit</t>
        </is>
      </c>
      <c r="F4288" s="2" t="inlineStr">
        <is>
          <t>Beauty</t>
        </is>
      </c>
      <c r="G4288" s="2" t="inlineStr">
        <is>
          <t>West</t>
        </is>
      </c>
      <c r="H4288" s="2" t="inlineStr">
        <is>
          <t>Gujarat</t>
        </is>
      </c>
      <c r="I4288" s="2" t="inlineStr">
        <is>
          <t>Vadodara</t>
        </is>
      </c>
      <c r="J4288" s="2" t="inlineStr">
        <is>
          <t>Online</t>
        </is>
      </c>
      <c r="K4288" s="2" t="n">
        <v>1</v>
      </c>
      <c r="L4288" s="3" t="n">
        <v>1468.6</v>
      </c>
      <c r="M4288" s="4" t="n">
        <v>0.05</v>
      </c>
      <c r="N4288" s="3" t="n">
        <v>884.84</v>
      </c>
      <c r="O4288" s="3">
        <f>K4288*L4288*(1-M4288)</f>
        <v/>
      </c>
      <c r="P4288" s="3">
        <f>O4288-N4288</f>
        <v/>
      </c>
      <c r="Q4288" s="5">
        <f>IFERROR(P4288/O4288,0)</f>
        <v/>
      </c>
      <c r="R4288" s="2">
        <f>TEXT(DATEVALUE(B4288),"mmm")</f>
        <v/>
      </c>
      <c r="S4288" s="2">
        <f>TEXT(DATEVALUE(B4288),"yyyy-mm")</f>
        <v/>
      </c>
    </row>
    <row r="4289">
      <c r="A4289" s="2" t="inlineStr">
        <is>
          <t>O004719</t>
        </is>
      </c>
      <c r="B4289" s="2" t="inlineStr">
        <is>
          <t>2025-11-10</t>
        </is>
      </c>
      <c r="C4289" s="2" t="inlineStr">
        <is>
          <t>C0309</t>
        </is>
      </c>
      <c r="D4289" s="2" t="inlineStr">
        <is>
          <t>P0016</t>
        </is>
      </c>
      <c r="E4289" s="2" t="inlineStr">
        <is>
          <t>Casual Shirt</t>
        </is>
      </c>
      <c r="F4289" s="2" t="inlineStr">
        <is>
          <t>Fashion</t>
        </is>
      </c>
      <c r="G4289" s="2" t="inlineStr">
        <is>
          <t>West</t>
        </is>
      </c>
      <c r="H4289" s="2" t="inlineStr">
        <is>
          <t>Maharashtra</t>
        </is>
      </c>
      <c r="I4289" s="2" t="inlineStr">
        <is>
          <t>Nagpur</t>
        </is>
      </c>
      <c r="J4289" s="2" t="inlineStr">
        <is>
          <t>Online</t>
        </is>
      </c>
      <c r="K4289" s="2" t="n">
        <v>1</v>
      </c>
      <c r="L4289" s="3" t="n">
        <v>1310.34</v>
      </c>
      <c r="M4289" s="4" t="n">
        <v>0.05</v>
      </c>
      <c r="N4289" s="3" t="n">
        <v>908.9400000000001</v>
      </c>
      <c r="O4289" s="3">
        <f>K4289*L4289*(1-M4289)</f>
        <v/>
      </c>
      <c r="P4289" s="3">
        <f>O4289-N4289</f>
        <v/>
      </c>
      <c r="Q4289" s="5">
        <f>IFERROR(P4289/O4289,0)</f>
        <v/>
      </c>
      <c r="R4289" s="2">
        <f>TEXT(DATEVALUE(B4289),"mmm")</f>
        <v/>
      </c>
      <c r="S4289" s="2">
        <f>TEXT(DATEVALUE(B4289),"yyyy-mm")</f>
        <v/>
      </c>
    </row>
    <row r="4290">
      <c r="A4290" s="2" t="inlineStr">
        <is>
          <t>O004715</t>
        </is>
      </c>
      <c r="B4290" s="2" t="inlineStr">
        <is>
          <t>2025-11-10</t>
        </is>
      </c>
      <c r="C4290" s="2" t="inlineStr">
        <is>
          <t>C0798</t>
        </is>
      </c>
      <c r="D4290" s="2" t="inlineStr">
        <is>
          <t>P0026</t>
        </is>
      </c>
      <c r="E4290" s="2" t="inlineStr">
        <is>
          <t>Shampoo</t>
        </is>
      </c>
      <c r="F4290" s="2" t="inlineStr">
        <is>
          <t>Beauty</t>
        </is>
      </c>
      <c r="G4290" s="2" t="inlineStr">
        <is>
          <t>West</t>
        </is>
      </c>
      <c r="H4290" s="2" t="inlineStr">
        <is>
          <t>Goa</t>
        </is>
      </c>
      <c r="I4290" s="2" t="inlineStr">
        <is>
          <t>Margao</t>
        </is>
      </c>
      <c r="J4290" s="2" t="inlineStr">
        <is>
          <t>Online</t>
        </is>
      </c>
      <c r="K4290" s="2" t="n">
        <v>1</v>
      </c>
      <c r="L4290" s="3" t="n">
        <v>894.61</v>
      </c>
      <c r="M4290" s="4" t="n">
        <v>0</v>
      </c>
      <c r="N4290" s="3" t="n">
        <v>514.9299999999999</v>
      </c>
      <c r="O4290" s="3">
        <f>K4290*L4290*(1-M4290)</f>
        <v/>
      </c>
      <c r="P4290" s="3">
        <f>O4290-N4290</f>
        <v/>
      </c>
      <c r="Q4290" s="5">
        <f>IFERROR(P4290/O4290,0)</f>
        <v/>
      </c>
      <c r="R4290" s="2">
        <f>TEXT(DATEVALUE(B4290),"mmm")</f>
        <v/>
      </c>
      <c r="S4290" s="2">
        <f>TEXT(DATEVALUE(B4290),"yyyy-mm")</f>
        <v/>
      </c>
    </row>
    <row r="4291">
      <c r="A4291" s="2" t="inlineStr">
        <is>
          <t>O004618</t>
        </is>
      </c>
      <c r="B4291" s="2" t="inlineStr">
        <is>
          <t>2025-11-10</t>
        </is>
      </c>
      <c r="C4291" s="2" t="inlineStr">
        <is>
          <t>C0483</t>
        </is>
      </c>
      <c r="D4291" s="2" t="inlineStr">
        <is>
          <t>P0002</t>
        </is>
      </c>
      <c r="E4291" s="2" t="inlineStr">
        <is>
          <t>Bluetooth Speaker</t>
        </is>
      </c>
      <c r="F4291" s="2" t="inlineStr">
        <is>
          <t>Electronics</t>
        </is>
      </c>
      <c r="G4291" s="2" t="inlineStr">
        <is>
          <t>South</t>
        </is>
      </c>
      <c r="H4291" s="2" t="inlineStr">
        <is>
          <t>Karnataka</t>
        </is>
      </c>
      <c r="I4291" s="2" t="inlineStr">
        <is>
          <t>Mangaluru</t>
        </is>
      </c>
      <c r="J4291" s="2" t="inlineStr">
        <is>
          <t>Store</t>
        </is>
      </c>
      <c r="K4291" s="2" t="n">
        <v>2</v>
      </c>
      <c r="L4291" s="3" t="n">
        <v>1398.99</v>
      </c>
      <c r="M4291" s="4" t="n">
        <v>0</v>
      </c>
      <c r="N4291" s="3" t="n">
        <v>1641.44</v>
      </c>
      <c r="O4291" s="3">
        <f>K4291*L4291*(1-M4291)</f>
        <v/>
      </c>
      <c r="P4291" s="3">
        <f>O4291-N4291</f>
        <v/>
      </c>
      <c r="Q4291" s="5">
        <f>IFERROR(P4291/O4291,0)</f>
        <v/>
      </c>
      <c r="R4291" s="2">
        <f>TEXT(DATEVALUE(B4291),"mmm")</f>
        <v/>
      </c>
      <c r="S4291" s="2">
        <f>TEXT(DATEVALUE(B4291),"yyyy-mm")</f>
        <v/>
      </c>
    </row>
    <row r="4292">
      <c r="A4292" s="2" t="inlineStr">
        <is>
          <t>O004531</t>
        </is>
      </c>
      <c r="B4292" s="2" t="inlineStr">
        <is>
          <t>2025-11-10</t>
        </is>
      </c>
      <c r="C4292" s="2" t="inlineStr">
        <is>
          <t>C0028</t>
        </is>
      </c>
      <c r="D4292" s="2" t="inlineStr">
        <is>
          <t>P0008</t>
        </is>
      </c>
      <c r="E4292" s="2" t="inlineStr">
        <is>
          <t>Air Fryer</t>
        </is>
      </c>
      <c r="F4292" s="2" t="inlineStr">
        <is>
          <t>Home &amp; Kitchen</t>
        </is>
      </c>
      <c r="G4292" s="2" t="inlineStr">
        <is>
          <t>South</t>
        </is>
      </c>
      <c r="H4292" s="2" t="inlineStr">
        <is>
          <t>Karnataka</t>
        </is>
      </c>
      <c r="I4292" s="2" t="inlineStr">
        <is>
          <t>Bengaluru</t>
        </is>
      </c>
      <c r="J4292" s="2" t="inlineStr">
        <is>
          <t>Online</t>
        </is>
      </c>
      <c r="K4292" s="2" t="n">
        <v>2</v>
      </c>
      <c r="L4292" s="3" t="n">
        <v>1063.11</v>
      </c>
      <c r="M4292" s="4" t="n">
        <v>0.05</v>
      </c>
      <c r="N4292" s="3" t="n">
        <v>1411.99</v>
      </c>
      <c r="O4292" s="3">
        <f>K4292*L4292*(1-M4292)</f>
        <v/>
      </c>
      <c r="P4292" s="3">
        <f>O4292-N4292</f>
        <v/>
      </c>
      <c r="Q4292" s="5">
        <f>IFERROR(P4292/O4292,0)</f>
        <v/>
      </c>
      <c r="R4292" s="2">
        <f>TEXT(DATEVALUE(B4292),"mmm")</f>
        <v/>
      </c>
      <c r="S4292" s="2">
        <f>TEXT(DATEVALUE(B4292),"yyyy-mm")</f>
        <v/>
      </c>
    </row>
    <row r="4293">
      <c r="A4293" s="2" t="inlineStr">
        <is>
          <t>O004421</t>
        </is>
      </c>
      <c r="B4293" s="2" t="inlineStr">
        <is>
          <t>2025-11-10</t>
        </is>
      </c>
      <c r="C4293" s="2" t="inlineStr">
        <is>
          <t>C0745</t>
        </is>
      </c>
      <c r="D4293" s="2" t="inlineStr">
        <is>
          <t>P0016</t>
        </is>
      </c>
      <c r="E4293" s="2" t="inlineStr">
        <is>
          <t>Casual Shirt</t>
        </is>
      </c>
      <c r="F4293" s="2" t="inlineStr">
        <is>
          <t>Fashion</t>
        </is>
      </c>
      <c r="G4293" s="2" t="inlineStr">
        <is>
          <t>South</t>
        </is>
      </c>
      <c r="H4293" s="2" t="inlineStr">
        <is>
          <t>Karnataka</t>
        </is>
      </c>
      <c r="I4293" s="2" t="inlineStr">
        <is>
          <t>Bengaluru</t>
        </is>
      </c>
      <c r="J4293" s="2" t="inlineStr">
        <is>
          <t>Online</t>
        </is>
      </c>
      <c r="K4293" s="2" t="n">
        <v>2</v>
      </c>
      <c r="L4293" s="3" t="n">
        <v>1272.59</v>
      </c>
      <c r="M4293" s="4" t="n">
        <v>0.15</v>
      </c>
      <c r="N4293" s="3" t="n">
        <v>1845.68</v>
      </c>
      <c r="O4293" s="3">
        <f>K4293*L4293*(1-M4293)</f>
        <v/>
      </c>
      <c r="P4293" s="3">
        <f>O4293-N4293</f>
        <v/>
      </c>
      <c r="Q4293" s="5">
        <f>IFERROR(P4293/O4293,0)</f>
        <v/>
      </c>
      <c r="R4293" s="2">
        <f>TEXT(DATEVALUE(B4293),"mmm")</f>
        <v/>
      </c>
      <c r="S4293" s="2">
        <f>TEXT(DATEVALUE(B4293),"yyyy-mm")</f>
        <v/>
      </c>
    </row>
    <row r="4294">
      <c r="A4294" s="2" t="inlineStr">
        <is>
          <t>O004225</t>
        </is>
      </c>
      <c r="B4294" s="2" t="inlineStr">
        <is>
          <t>2025-11-10</t>
        </is>
      </c>
      <c r="C4294" s="2" t="inlineStr">
        <is>
          <t>C0008</t>
        </is>
      </c>
      <c r="D4294" s="2" t="inlineStr">
        <is>
          <t>P0027</t>
        </is>
      </c>
      <c r="E4294" s="2" t="inlineStr">
        <is>
          <t>Moisturizer</t>
        </is>
      </c>
      <c r="F4294" s="2" t="inlineStr">
        <is>
          <t>Beauty</t>
        </is>
      </c>
      <c r="G4294" s="2" t="inlineStr">
        <is>
          <t>South</t>
        </is>
      </c>
      <c r="H4294" s="2" t="inlineStr">
        <is>
          <t>Karnataka</t>
        </is>
      </c>
      <c r="I4294" s="2" t="inlineStr">
        <is>
          <t>Bengaluru</t>
        </is>
      </c>
      <c r="J4294" s="2" t="inlineStr">
        <is>
          <t>Store</t>
        </is>
      </c>
      <c r="K4294" s="2" t="n">
        <v>1</v>
      </c>
      <c r="L4294" s="3" t="n">
        <v>964.46</v>
      </c>
      <c r="M4294" s="4" t="n">
        <v>0.1</v>
      </c>
      <c r="N4294" s="3" t="n">
        <v>666.33</v>
      </c>
      <c r="O4294" s="3">
        <f>K4294*L4294*(1-M4294)</f>
        <v/>
      </c>
      <c r="P4294" s="3">
        <f>O4294-N4294</f>
        <v/>
      </c>
      <c r="Q4294" s="5">
        <f>IFERROR(P4294/O4294,0)</f>
        <v/>
      </c>
      <c r="R4294" s="2">
        <f>TEXT(DATEVALUE(B4294),"mmm")</f>
        <v/>
      </c>
      <c r="S4294" s="2">
        <f>TEXT(DATEVALUE(B4294),"yyyy-mm")</f>
        <v/>
      </c>
    </row>
    <row r="4295">
      <c r="A4295" s="2" t="inlineStr">
        <is>
          <t>O004141</t>
        </is>
      </c>
      <c r="B4295" s="2" t="inlineStr">
        <is>
          <t>2025-11-10</t>
        </is>
      </c>
      <c r="C4295" s="2" t="inlineStr">
        <is>
          <t>C0769</t>
        </is>
      </c>
      <c r="D4295" s="2" t="inlineStr">
        <is>
          <t>P0011</t>
        </is>
      </c>
      <c r="E4295" s="2" t="inlineStr">
        <is>
          <t>Cookware Set</t>
        </is>
      </c>
      <c r="F4295" s="2" t="inlineStr">
        <is>
          <t>Home &amp; Kitchen</t>
        </is>
      </c>
      <c r="G4295" s="2" t="inlineStr">
        <is>
          <t>West</t>
        </is>
      </c>
      <c r="H4295" s="2" t="inlineStr">
        <is>
          <t>Gujarat</t>
        </is>
      </c>
      <c r="I4295" s="2" t="inlineStr">
        <is>
          <t>Surat</t>
        </is>
      </c>
      <c r="J4295" s="2" t="inlineStr">
        <is>
          <t>Store</t>
        </is>
      </c>
      <c r="K4295" s="2" t="n">
        <v>1</v>
      </c>
      <c r="L4295" s="3" t="n">
        <v>716.99</v>
      </c>
      <c r="M4295" s="4" t="n">
        <v>0.05</v>
      </c>
      <c r="N4295" s="3" t="n">
        <v>474.18</v>
      </c>
      <c r="O4295" s="3">
        <f>K4295*L4295*(1-M4295)</f>
        <v/>
      </c>
      <c r="P4295" s="3">
        <f>O4295-N4295</f>
        <v/>
      </c>
      <c r="Q4295" s="5">
        <f>IFERROR(P4295/O4295,0)</f>
        <v/>
      </c>
      <c r="R4295" s="2">
        <f>TEXT(DATEVALUE(B4295),"mmm")</f>
        <v/>
      </c>
      <c r="S4295" s="2">
        <f>TEXT(DATEVALUE(B4295),"yyyy-mm")</f>
        <v/>
      </c>
    </row>
    <row r="4296">
      <c r="A4296" s="2" t="inlineStr">
        <is>
          <t>O002876</t>
        </is>
      </c>
      <c r="B4296" s="2" t="inlineStr">
        <is>
          <t>2025-11-10</t>
        </is>
      </c>
      <c r="C4296" s="2" t="inlineStr">
        <is>
          <t>C0226</t>
        </is>
      </c>
      <c r="D4296" s="2" t="inlineStr">
        <is>
          <t>P0007</t>
        </is>
      </c>
      <c r="E4296" s="2" t="inlineStr">
        <is>
          <t>Wireless Mouse</t>
        </is>
      </c>
      <c r="F4296" s="2" t="inlineStr">
        <is>
          <t>Electronics</t>
        </is>
      </c>
      <c r="G4296" s="2" t="inlineStr">
        <is>
          <t>West</t>
        </is>
      </c>
      <c r="H4296" s="2" t="inlineStr">
        <is>
          <t>Gujarat</t>
        </is>
      </c>
      <c r="I4296" s="2" t="inlineStr">
        <is>
          <t>Ahmedabad</t>
        </is>
      </c>
      <c r="J4296" s="2" t="inlineStr">
        <is>
          <t>Store</t>
        </is>
      </c>
      <c r="K4296" s="2" t="n">
        <v>3</v>
      </c>
      <c r="L4296" s="3" t="n">
        <v>977.21</v>
      </c>
      <c r="M4296" s="4" t="n">
        <v>0</v>
      </c>
      <c r="N4296" s="3" t="n">
        <v>1895.72</v>
      </c>
      <c r="O4296" s="3">
        <f>K4296*L4296*(1-M4296)</f>
        <v/>
      </c>
      <c r="P4296" s="3">
        <f>O4296-N4296</f>
        <v/>
      </c>
      <c r="Q4296" s="5">
        <f>IFERROR(P4296/O4296,0)</f>
        <v/>
      </c>
      <c r="R4296" s="2">
        <f>TEXT(DATEVALUE(B4296),"mmm")</f>
        <v/>
      </c>
      <c r="S4296" s="2">
        <f>TEXT(DATEVALUE(B4296),"yyyy-mm")</f>
        <v/>
      </c>
    </row>
    <row r="4297">
      <c r="A4297" s="2" t="inlineStr">
        <is>
          <t>O000025</t>
        </is>
      </c>
      <c r="B4297" s="2" t="inlineStr">
        <is>
          <t>2025-11-10</t>
        </is>
      </c>
      <c r="C4297" s="2" t="inlineStr">
        <is>
          <t>C0738</t>
        </is>
      </c>
      <c r="D4297" s="2" t="inlineStr">
        <is>
          <t>P0008</t>
        </is>
      </c>
      <c r="E4297" s="2" t="inlineStr">
        <is>
          <t>Air Fryer</t>
        </is>
      </c>
      <c r="F4297" s="2" t="inlineStr">
        <is>
          <t>Home &amp; Kitchen</t>
        </is>
      </c>
      <c r="G4297" s="2" t="inlineStr">
        <is>
          <t>East</t>
        </is>
      </c>
      <c r="H4297" s="2" t="inlineStr">
        <is>
          <t>West Bengal</t>
        </is>
      </c>
      <c r="I4297" s="2" t="inlineStr">
        <is>
          <t>Durgapur</t>
        </is>
      </c>
      <c r="J4297" s="2" t="inlineStr">
        <is>
          <t>Online</t>
        </is>
      </c>
      <c r="K4297" s="2" t="n">
        <v>6</v>
      </c>
      <c r="L4297" s="3" t="n">
        <v>1004.23</v>
      </c>
      <c r="M4297" s="4" t="n">
        <v>0.1</v>
      </c>
      <c r="N4297" s="3" t="n">
        <v>4206.08</v>
      </c>
      <c r="O4297" s="3">
        <f>K4297*L4297*(1-M4297)</f>
        <v/>
      </c>
      <c r="P4297" s="3">
        <f>O4297-N4297</f>
        <v/>
      </c>
      <c r="Q4297" s="5">
        <f>IFERROR(P4297/O4297,0)</f>
        <v/>
      </c>
      <c r="R4297" s="2">
        <f>TEXT(DATEVALUE(B4297),"mmm")</f>
        <v/>
      </c>
      <c r="S4297" s="2">
        <f>TEXT(DATEVALUE(B4297),"yyyy-mm")</f>
        <v/>
      </c>
    </row>
    <row r="4298">
      <c r="A4298" s="2" t="inlineStr">
        <is>
          <t>O002694</t>
        </is>
      </c>
      <c r="B4298" s="2" t="inlineStr">
        <is>
          <t>2025-11-10</t>
        </is>
      </c>
      <c r="C4298" s="2" t="inlineStr">
        <is>
          <t>C0564</t>
        </is>
      </c>
      <c r="D4298" s="2" t="inlineStr">
        <is>
          <t>P0010</t>
        </is>
      </c>
      <c r="E4298" s="2" t="inlineStr">
        <is>
          <t>Mixer Grinder</t>
        </is>
      </c>
      <c r="F4298" s="2" t="inlineStr">
        <is>
          <t>Home &amp; Kitchen</t>
        </is>
      </c>
      <c r="G4298" s="2" t="inlineStr">
        <is>
          <t>North</t>
        </is>
      </c>
      <c r="H4298" s="2" t="inlineStr">
        <is>
          <t>Uttar Pradesh</t>
        </is>
      </c>
      <c r="I4298" s="2" t="inlineStr">
        <is>
          <t>Lucknow</t>
        </is>
      </c>
      <c r="J4298" s="2" t="inlineStr">
        <is>
          <t>Store</t>
        </is>
      </c>
      <c r="K4298" s="2" t="n">
        <v>4</v>
      </c>
      <c r="L4298" s="3" t="n">
        <v>1697.99</v>
      </c>
      <c r="M4298" s="4" t="n">
        <v>0.05</v>
      </c>
      <c r="N4298" s="3" t="n">
        <v>4076.25</v>
      </c>
      <c r="O4298" s="3">
        <f>K4298*L4298*(1-M4298)</f>
        <v/>
      </c>
      <c r="P4298" s="3">
        <f>O4298-N4298</f>
        <v/>
      </c>
      <c r="Q4298" s="5">
        <f>IFERROR(P4298/O4298,0)</f>
        <v/>
      </c>
      <c r="R4298" s="2">
        <f>TEXT(DATEVALUE(B4298),"mmm")</f>
        <v/>
      </c>
      <c r="S4298" s="2">
        <f>TEXT(DATEVALUE(B4298),"yyyy-mm")</f>
        <v/>
      </c>
    </row>
    <row r="4299">
      <c r="A4299" s="2" t="inlineStr">
        <is>
          <t>O002556</t>
        </is>
      </c>
      <c r="B4299" s="2" t="inlineStr">
        <is>
          <t>2025-11-10</t>
        </is>
      </c>
      <c r="C4299" s="2" t="inlineStr">
        <is>
          <t>C0551</t>
        </is>
      </c>
      <c r="D4299" s="2" t="inlineStr">
        <is>
          <t>P0013</t>
        </is>
      </c>
      <c r="E4299" s="2" t="inlineStr">
        <is>
          <t>Storage Organizer</t>
        </is>
      </c>
      <c r="F4299" s="2" t="inlineStr">
        <is>
          <t>Home &amp; Kitchen</t>
        </is>
      </c>
      <c r="G4299" s="2" t="inlineStr">
        <is>
          <t>North</t>
        </is>
      </c>
      <c r="H4299" s="2" t="inlineStr">
        <is>
          <t>Uttar Pradesh</t>
        </is>
      </c>
      <c r="I4299" s="2" t="inlineStr">
        <is>
          <t>Lucknow</t>
        </is>
      </c>
      <c r="J4299" s="2" t="inlineStr">
        <is>
          <t>Online</t>
        </is>
      </c>
      <c r="K4299" s="2" t="n">
        <v>2</v>
      </c>
      <c r="L4299" s="3" t="n">
        <v>566.75</v>
      </c>
      <c r="M4299" s="4" t="n">
        <v>0.05</v>
      </c>
      <c r="N4299" s="3" t="n">
        <v>733.15</v>
      </c>
      <c r="O4299" s="3">
        <f>K4299*L4299*(1-M4299)</f>
        <v/>
      </c>
      <c r="P4299" s="3">
        <f>O4299-N4299</f>
        <v/>
      </c>
      <c r="Q4299" s="5">
        <f>IFERROR(P4299/O4299,0)</f>
        <v/>
      </c>
      <c r="R4299" s="2">
        <f>TEXT(DATEVALUE(B4299),"mmm")</f>
        <v/>
      </c>
      <c r="S4299" s="2">
        <f>TEXT(DATEVALUE(B4299),"yyyy-mm")</f>
        <v/>
      </c>
    </row>
    <row r="4300">
      <c r="A4300" s="2" t="inlineStr">
        <is>
          <t>O002527</t>
        </is>
      </c>
      <c r="B4300" s="2" t="inlineStr">
        <is>
          <t>2025-11-10</t>
        </is>
      </c>
      <c r="C4300" s="2" t="inlineStr">
        <is>
          <t>C0438</t>
        </is>
      </c>
      <c r="D4300" s="2" t="inlineStr">
        <is>
          <t>P0003</t>
        </is>
      </c>
      <c r="E4300" s="2" t="inlineStr">
        <is>
          <t>Smartwatch</t>
        </is>
      </c>
      <c r="F4300" s="2" t="inlineStr">
        <is>
          <t>Electronics</t>
        </is>
      </c>
      <c r="G4300" s="2" t="inlineStr">
        <is>
          <t>East</t>
        </is>
      </c>
      <c r="H4300" s="2" t="inlineStr">
        <is>
          <t>West Bengal</t>
        </is>
      </c>
      <c r="I4300" s="2" t="inlineStr">
        <is>
          <t>Durgapur</t>
        </is>
      </c>
      <c r="J4300" s="2" t="inlineStr">
        <is>
          <t>Store</t>
        </is>
      </c>
      <c r="K4300" s="2" t="n">
        <v>1</v>
      </c>
      <c r="L4300" s="3" t="n">
        <v>2334.03</v>
      </c>
      <c r="M4300" s="4" t="n">
        <v>0.2</v>
      </c>
      <c r="N4300" s="3" t="n">
        <v>1162.82</v>
      </c>
      <c r="O4300" s="3">
        <f>K4300*L4300*(1-M4300)</f>
        <v/>
      </c>
      <c r="P4300" s="3">
        <f>O4300-N4300</f>
        <v/>
      </c>
      <c r="Q4300" s="5">
        <f>IFERROR(P4300/O4300,0)</f>
        <v/>
      </c>
      <c r="R4300" s="2">
        <f>TEXT(DATEVALUE(B4300),"mmm")</f>
        <v/>
      </c>
      <c r="S4300" s="2">
        <f>TEXT(DATEVALUE(B4300),"yyyy-mm")</f>
        <v/>
      </c>
    </row>
    <row r="4301">
      <c r="A4301" s="2" t="inlineStr">
        <is>
          <t>O002483</t>
        </is>
      </c>
      <c r="B4301" s="2" t="inlineStr">
        <is>
          <t>2025-11-10</t>
        </is>
      </c>
      <c r="C4301" s="2" t="inlineStr">
        <is>
          <t>C0494</t>
        </is>
      </c>
      <c r="D4301" s="2" t="inlineStr">
        <is>
          <t>P0006</t>
        </is>
      </c>
      <c r="E4301" s="2" t="inlineStr">
        <is>
          <t>Mechanical Keyboard</t>
        </is>
      </c>
      <c r="F4301" s="2" t="inlineStr">
        <is>
          <t>Electronics</t>
        </is>
      </c>
      <c r="G4301" s="2" t="inlineStr">
        <is>
          <t>North</t>
        </is>
      </c>
      <c r="H4301" s="2" t="inlineStr">
        <is>
          <t>Haryana</t>
        </is>
      </c>
      <c r="I4301" s="2" t="inlineStr">
        <is>
          <t>Gurugram</t>
        </is>
      </c>
      <c r="J4301" s="2" t="inlineStr">
        <is>
          <t>Online</t>
        </is>
      </c>
      <c r="K4301" s="2" t="n">
        <v>2</v>
      </c>
      <c r="L4301" s="3" t="n">
        <v>2787.29</v>
      </c>
      <c r="M4301" s="4" t="n">
        <v>0.05</v>
      </c>
      <c r="N4301" s="3" t="n">
        <v>3054.91</v>
      </c>
      <c r="O4301" s="3">
        <f>K4301*L4301*(1-M4301)</f>
        <v/>
      </c>
      <c r="P4301" s="3">
        <f>O4301-N4301</f>
        <v/>
      </c>
      <c r="Q4301" s="5">
        <f>IFERROR(P4301/O4301,0)</f>
        <v/>
      </c>
      <c r="R4301" s="2">
        <f>TEXT(DATEVALUE(B4301),"mmm")</f>
        <v/>
      </c>
      <c r="S4301" s="2">
        <f>TEXT(DATEVALUE(B4301),"yyyy-mm")</f>
        <v/>
      </c>
    </row>
    <row r="4302">
      <c r="A4302" s="2" t="inlineStr">
        <is>
          <t>O001863</t>
        </is>
      </c>
      <c r="B4302" s="2" t="inlineStr">
        <is>
          <t>2025-11-10</t>
        </is>
      </c>
      <c r="C4302" s="2" t="inlineStr">
        <is>
          <t>C0611</t>
        </is>
      </c>
      <c r="D4302" s="2" t="inlineStr">
        <is>
          <t>P0009</t>
        </is>
      </c>
      <c r="E4302" s="2" t="inlineStr">
        <is>
          <t>Electric Kettle</t>
        </is>
      </c>
      <c r="F4302" s="2" t="inlineStr">
        <is>
          <t>Home &amp; Kitchen</t>
        </is>
      </c>
      <c r="G4302" s="2" t="inlineStr">
        <is>
          <t>South</t>
        </is>
      </c>
      <c r="H4302" s="2" t="inlineStr">
        <is>
          <t>Kerala</t>
        </is>
      </c>
      <c r="I4302" s="2" t="inlineStr">
        <is>
          <t>Kochi</t>
        </is>
      </c>
      <c r="J4302" s="2" t="inlineStr">
        <is>
          <t>Online</t>
        </is>
      </c>
      <c r="K4302" s="2" t="n">
        <v>4</v>
      </c>
      <c r="L4302" s="3" t="n">
        <v>2149.23</v>
      </c>
      <c r="M4302" s="4" t="n">
        <v>0.2</v>
      </c>
      <c r="N4302" s="3" t="n">
        <v>4632.58</v>
      </c>
      <c r="O4302" s="3">
        <f>K4302*L4302*(1-M4302)</f>
        <v/>
      </c>
      <c r="P4302" s="3">
        <f>O4302-N4302</f>
        <v/>
      </c>
      <c r="Q4302" s="5">
        <f>IFERROR(P4302/O4302,0)</f>
        <v/>
      </c>
      <c r="R4302" s="2">
        <f>TEXT(DATEVALUE(B4302),"mmm")</f>
        <v/>
      </c>
      <c r="S4302" s="2">
        <f>TEXT(DATEVALUE(B4302),"yyyy-mm")</f>
        <v/>
      </c>
    </row>
    <row r="4303">
      <c r="A4303" s="2" t="inlineStr">
        <is>
          <t>O001655</t>
        </is>
      </c>
      <c r="B4303" s="2" t="inlineStr">
        <is>
          <t>2025-11-10</t>
        </is>
      </c>
      <c r="C4303" s="2" t="inlineStr">
        <is>
          <t>C0528</t>
        </is>
      </c>
      <c r="D4303" s="2" t="inlineStr">
        <is>
          <t>P0024</t>
        </is>
      </c>
      <c r="E4303" s="2" t="inlineStr">
        <is>
          <t>Hair Dryer</t>
        </is>
      </c>
      <c r="F4303" s="2" t="inlineStr">
        <is>
          <t>Beauty</t>
        </is>
      </c>
      <c r="G4303" s="2" t="inlineStr">
        <is>
          <t>East</t>
        </is>
      </c>
      <c r="H4303" s="2" t="inlineStr">
        <is>
          <t>Odisha</t>
        </is>
      </c>
      <c r="I4303" s="2" t="inlineStr">
        <is>
          <t>Bhubaneswar</t>
        </is>
      </c>
      <c r="J4303" s="2" t="inlineStr">
        <is>
          <t>Store</t>
        </is>
      </c>
      <c r="K4303" s="2" t="n">
        <v>2</v>
      </c>
      <c r="L4303" s="3" t="n">
        <v>982.79</v>
      </c>
      <c r="M4303" s="4" t="n">
        <v>0.1</v>
      </c>
      <c r="N4303" s="3" t="n">
        <v>1517.51</v>
      </c>
      <c r="O4303" s="3">
        <f>K4303*L4303*(1-M4303)</f>
        <v/>
      </c>
      <c r="P4303" s="3">
        <f>O4303-N4303</f>
        <v/>
      </c>
      <c r="Q4303" s="5">
        <f>IFERROR(P4303/O4303,0)</f>
        <v/>
      </c>
      <c r="R4303" s="2">
        <f>TEXT(DATEVALUE(B4303),"mmm")</f>
        <v/>
      </c>
      <c r="S4303" s="2">
        <f>TEXT(DATEVALUE(B4303),"yyyy-mm")</f>
        <v/>
      </c>
    </row>
    <row r="4304">
      <c r="A4304" s="2" t="inlineStr">
        <is>
          <t>O000534</t>
        </is>
      </c>
      <c r="B4304" s="2" t="inlineStr">
        <is>
          <t>2025-11-10</t>
        </is>
      </c>
      <c r="C4304" s="2" t="inlineStr">
        <is>
          <t>C0049</t>
        </is>
      </c>
      <c r="D4304" s="2" t="inlineStr">
        <is>
          <t>P0011</t>
        </is>
      </c>
      <c r="E4304" s="2" t="inlineStr">
        <is>
          <t>Cookware Set</t>
        </is>
      </c>
      <c r="F4304" s="2" t="inlineStr">
        <is>
          <t>Home &amp; Kitchen</t>
        </is>
      </c>
      <c r="G4304" s="2" t="inlineStr">
        <is>
          <t>West</t>
        </is>
      </c>
      <c r="H4304" s="2" t="inlineStr">
        <is>
          <t>Gujarat</t>
        </is>
      </c>
      <c r="I4304" s="2" t="inlineStr">
        <is>
          <t>Vadodara</t>
        </is>
      </c>
      <c r="J4304" s="2" t="inlineStr">
        <is>
          <t>Online</t>
        </is>
      </c>
      <c r="K4304" s="2" t="n">
        <v>1</v>
      </c>
      <c r="L4304" s="3" t="n">
        <v>683.9</v>
      </c>
      <c r="M4304" s="4" t="n">
        <v>0.1</v>
      </c>
      <c r="N4304" s="3" t="n">
        <v>463.73</v>
      </c>
      <c r="O4304" s="3">
        <f>K4304*L4304*(1-M4304)</f>
        <v/>
      </c>
      <c r="P4304" s="3">
        <f>O4304-N4304</f>
        <v/>
      </c>
      <c r="Q4304" s="5">
        <f>IFERROR(P4304/O4304,0)</f>
        <v/>
      </c>
      <c r="R4304" s="2">
        <f>TEXT(DATEVALUE(B4304),"mmm")</f>
        <v/>
      </c>
      <c r="S4304" s="2">
        <f>TEXT(DATEVALUE(B4304),"yyyy-mm")</f>
        <v/>
      </c>
    </row>
    <row r="4305">
      <c r="A4305" s="2" t="inlineStr">
        <is>
          <t>O000402</t>
        </is>
      </c>
      <c r="B4305" s="2" t="inlineStr">
        <is>
          <t>2025-11-10</t>
        </is>
      </c>
      <c r="C4305" s="2" t="inlineStr">
        <is>
          <t>C0397</t>
        </is>
      </c>
      <c r="D4305" s="2" t="inlineStr">
        <is>
          <t>P0017</t>
        </is>
      </c>
      <c r="E4305" s="2" t="inlineStr">
        <is>
          <t>Jeans</t>
        </is>
      </c>
      <c r="F4305" s="2" t="inlineStr">
        <is>
          <t>Fashion</t>
        </is>
      </c>
      <c r="G4305" s="2" t="inlineStr">
        <is>
          <t>South</t>
        </is>
      </c>
      <c r="H4305" s="2" t="inlineStr">
        <is>
          <t>Tamil Nadu</t>
        </is>
      </c>
      <c r="I4305" s="2" t="inlineStr">
        <is>
          <t>Chennai</t>
        </is>
      </c>
      <c r="J4305" s="2" t="inlineStr">
        <is>
          <t>Store</t>
        </is>
      </c>
      <c r="K4305" s="2" t="n">
        <v>2</v>
      </c>
      <c r="L4305" s="3" t="n">
        <v>1446.79</v>
      </c>
      <c r="M4305" s="4" t="n">
        <v>0.25</v>
      </c>
      <c r="N4305" s="3" t="n">
        <v>2041.62</v>
      </c>
      <c r="O4305" s="3">
        <f>K4305*L4305*(1-M4305)</f>
        <v/>
      </c>
      <c r="P4305" s="3">
        <f>O4305-N4305</f>
        <v/>
      </c>
      <c r="Q4305" s="5">
        <f>IFERROR(P4305/O4305,0)</f>
        <v/>
      </c>
      <c r="R4305" s="2">
        <f>TEXT(DATEVALUE(B4305),"mmm")</f>
        <v/>
      </c>
      <c r="S4305" s="2">
        <f>TEXT(DATEVALUE(B4305),"yyyy-mm")</f>
        <v/>
      </c>
    </row>
    <row r="4306">
      <c r="A4306" s="2" t="inlineStr">
        <is>
          <t>O002753</t>
        </is>
      </c>
      <c r="B4306" s="2" t="inlineStr">
        <is>
          <t>2025-11-10</t>
        </is>
      </c>
      <c r="C4306" s="2" t="inlineStr">
        <is>
          <t>C0499</t>
        </is>
      </c>
      <c r="D4306" s="2" t="inlineStr">
        <is>
          <t>P0014</t>
        </is>
      </c>
      <c r="E4306" s="2" t="inlineStr">
        <is>
          <t>Coffee Maker</t>
        </is>
      </c>
      <c r="F4306" s="2" t="inlineStr">
        <is>
          <t>Home &amp; Kitchen</t>
        </is>
      </c>
      <c r="G4306" s="2" t="inlineStr">
        <is>
          <t>West</t>
        </is>
      </c>
      <c r="H4306" s="2" t="inlineStr">
        <is>
          <t>Goa</t>
        </is>
      </c>
      <c r="I4306" s="2" t="inlineStr">
        <is>
          <t>Margao</t>
        </is>
      </c>
      <c r="J4306" s="2" t="inlineStr">
        <is>
          <t>Store</t>
        </is>
      </c>
      <c r="K4306" s="2" t="n">
        <v>1</v>
      </c>
      <c r="L4306" s="3" t="n">
        <v>1024.72</v>
      </c>
      <c r="M4306" s="4" t="n">
        <v>0</v>
      </c>
      <c r="N4306" s="3" t="n">
        <v>751.37</v>
      </c>
      <c r="O4306" s="3">
        <f>K4306*L4306*(1-M4306)</f>
        <v/>
      </c>
      <c r="P4306" s="3">
        <f>O4306-N4306</f>
        <v/>
      </c>
      <c r="Q4306" s="5">
        <f>IFERROR(P4306/O4306,0)</f>
        <v/>
      </c>
      <c r="R4306" s="2">
        <f>TEXT(DATEVALUE(B4306),"mmm")</f>
        <v/>
      </c>
      <c r="S4306" s="2">
        <f>TEXT(DATEVALUE(B4306),"yyyy-mm")</f>
        <v/>
      </c>
    </row>
    <row r="4307">
      <c r="A4307" s="2" t="inlineStr">
        <is>
          <t>O004872</t>
        </is>
      </c>
      <c r="B4307" s="2" t="inlineStr">
        <is>
          <t>2025-11-11</t>
        </is>
      </c>
      <c r="C4307" s="2" t="inlineStr">
        <is>
          <t>C0004</t>
        </is>
      </c>
      <c r="D4307" s="2" t="inlineStr">
        <is>
          <t>P0031</t>
        </is>
      </c>
      <c r="E4307" s="2" t="inlineStr">
        <is>
          <t>Cricket Bat</t>
        </is>
      </c>
      <c r="F4307" s="2" t="inlineStr">
        <is>
          <t>Sports</t>
        </is>
      </c>
      <c r="G4307" s="2" t="inlineStr">
        <is>
          <t>East</t>
        </is>
      </c>
      <c r="H4307" s="2" t="inlineStr">
        <is>
          <t>Bihar</t>
        </is>
      </c>
      <c r="I4307" s="2" t="inlineStr">
        <is>
          <t>Gaya</t>
        </is>
      </c>
      <c r="J4307" s="2" t="inlineStr">
        <is>
          <t>Store</t>
        </is>
      </c>
      <c r="K4307" s="2" t="n">
        <v>3</v>
      </c>
      <c r="L4307" s="3" t="n">
        <v>1404.63</v>
      </c>
      <c r="M4307" s="4" t="n">
        <v>0.1</v>
      </c>
      <c r="N4307" s="3" t="n">
        <v>2903.43</v>
      </c>
      <c r="O4307" s="3">
        <f>K4307*L4307*(1-M4307)</f>
        <v/>
      </c>
      <c r="P4307" s="3">
        <f>O4307-N4307</f>
        <v/>
      </c>
      <c r="Q4307" s="5">
        <f>IFERROR(P4307/O4307,0)</f>
        <v/>
      </c>
      <c r="R4307" s="2">
        <f>TEXT(DATEVALUE(B4307),"mmm")</f>
        <v/>
      </c>
      <c r="S4307" s="2">
        <f>TEXT(DATEVALUE(B4307),"yyyy-mm")</f>
        <v/>
      </c>
    </row>
    <row r="4308">
      <c r="A4308" s="2" t="inlineStr">
        <is>
          <t>O004362</t>
        </is>
      </c>
      <c r="B4308" s="2" t="inlineStr">
        <is>
          <t>2025-11-11</t>
        </is>
      </c>
      <c r="C4308" s="2" t="inlineStr">
        <is>
          <t>C0289</t>
        </is>
      </c>
      <c r="D4308" s="2" t="inlineStr">
        <is>
          <t>P0009</t>
        </is>
      </c>
      <c r="E4308" s="2" t="inlineStr">
        <is>
          <t>Electric Kettle</t>
        </is>
      </c>
      <c r="F4308" s="2" t="inlineStr">
        <is>
          <t>Home &amp; Kitchen</t>
        </is>
      </c>
      <c r="G4308" s="2" t="inlineStr">
        <is>
          <t>East</t>
        </is>
      </c>
      <c r="H4308" s="2" t="inlineStr">
        <is>
          <t>West Bengal</t>
        </is>
      </c>
      <c r="I4308" s="2" t="inlineStr">
        <is>
          <t>Kolkata</t>
        </is>
      </c>
      <c r="J4308" s="2" t="inlineStr">
        <is>
          <t>Store</t>
        </is>
      </c>
      <c r="K4308" s="2" t="n">
        <v>1</v>
      </c>
      <c r="L4308" s="3" t="n">
        <v>2186.17</v>
      </c>
      <c r="M4308" s="4" t="n">
        <v>0.1</v>
      </c>
      <c r="N4308" s="3" t="n">
        <v>1116.75</v>
      </c>
      <c r="O4308" s="3">
        <f>K4308*L4308*(1-M4308)</f>
        <v/>
      </c>
      <c r="P4308" s="3">
        <f>O4308-N4308</f>
        <v/>
      </c>
      <c r="Q4308" s="5">
        <f>IFERROR(P4308/O4308,0)</f>
        <v/>
      </c>
      <c r="R4308" s="2">
        <f>TEXT(DATEVALUE(B4308),"mmm")</f>
        <v/>
      </c>
      <c r="S4308" s="2">
        <f>TEXT(DATEVALUE(B4308),"yyyy-mm")</f>
        <v/>
      </c>
    </row>
    <row r="4309">
      <c r="A4309" s="2" t="inlineStr">
        <is>
          <t>O004232</t>
        </is>
      </c>
      <c r="B4309" s="2" t="inlineStr">
        <is>
          <t>2025-11-11</t>
        </is>
      </c>
      <c r="C4309" s="2" t="inlineStr">
        <is>
          <t>C0471</t>
        </is>
      </c>
      <c r="D4309" s="2" t="inlineStr">
        <is>
          <t>P0012</t>
        </is>
      </c>
      <c r="E4309" s="2" t="inlineStr">
        <is>
          <t>Water Bottle</t>
        </is>
      </c>
      <c r="F4309" s="2" t="inlineStr">
        <is>
          <t>Home &amp; Kitchen</t>
        </is>
      </c>
      <c r="G4309" s="2" t="inlineStr">
        <is>
          <t>South</t>
        </is>
      </c>
      <c r="H4309" s="2" t="inlineStr">
        <is>
          <t>Telangana</t>
        </is>
      </c>
      <c r="I4309" s="2" t="inlineStr">
        <is>
          <t>Hyderabad</t>
        </is>
      </c>
      <c r="J4309" s="2" t="inlineStr">
        <is>
          <t>Online</t>
        </is>
      </c>
      <c r="K4309" s="2" t="n">
        <v>4</v>
      </c>
      <c r="L4309" s="3" t="n">
        <v>968.34</v>
      </c>
      <c r="M4309" s="4" t="n">
        <v>0</v>
      </c>
      <c r="N4309" s="3" t="n">
        <v>2529.36</v>
      </c>
      <c r="O4309" s="3">
        <f>K4309*L4309*(1-M4309)</f>
        <v/>
      </c>
      <c r="P4309" s="3">
        <f>O4309-N4309</f>
        <v/>
      </c>
      <c r="Q4309" s="5">
        <f>IFERROR(P4309/O4309,0)</f>
        <v/>
      </c>
      <c r="R4309" s="2">
        <f>TEXT(DATEVALUE(B4309),"mmm")</f>
        <v/>
      </c>
      <c r="S4309" s="2">
        <f>TEXT(DATEVALUE(B4309),"yyyy-mm")</f>
        <v/>
      </c>
    </row>
    <row r="4310">
      <c r="A4310" s="2" t="inlineStr">
        <is>
          <t>O004056</t>
        </is>
      </c>
      <c r="B4310" s="2" t="inlineStr">
        <is>
          <t>2025-11-11</t>
        </is>
      </c>
      <c r="C4310" s="2" t="inlineStr">
        <is>
          <t>C0723</t>
        </is>
      </c>
      <c r="D4310" s="2" t="inlineStr">
        <is>
          <t>P0023</t>
        </is>
      </c>
      <c r="E4310" s="2" t="inlineStr">
        <is>
          <t>Skin Care Kit</t>
        </is>
      </c>
      <c r="F4310" s="2" t="inlineStr">
        <is>
          <t>Beauty</t>
        </is>
      </c>
      <c r="G4310" s="2" t="inlineStr">
        <is>
          <t>West</t>
        </is>
      </c>
      <c r="H4310" s="2" t="inlineStr">
        <is>
          <t>Goa</t>
        </is>
      </c>
      <c r="I4310" s="2" t="inlineStr">
        <is>
          <t>Panaji</t>
        </is>
      </c>
      <c r="J4310" s="2" t="inlineStr">
        <is>
          <t>Online</t>
        </is>
      </c>
      <c r="K4310" s="2" t="n">
        <v>3</v>
      </c>
      <c r="L4310" s="3" t="n">
        <v>1448.27</v>
      </c>
      <c r="M4310" s="4" t="n">
        <v>0.05</v>
      </c>
      <c r="N4310" s="3" t="n">
        <v>2650.34</v>
      </c>
      <c r="O4310" s="3">
        <f>K4310*L4310*(1-M4310)</f>
        <v/>
      </c>
      <c r="P4310" s="3">
        <f>O4310-N4310</f>
        <v/>
      </c>
      <c r="Q4310" s="5">
        <f>IFERROR(P4310/O4310,0)</f>
        <v/>
      </c>
      <c r="R4310" s="2">
        <f>TEXT(DATEVALUE(B4310),"mmm")</f>
        <v/>
      </c>
      <c r="S4310" s="2">
        <f>TEXT(DATEVALUE(B4310),"yyyy-mm")</f>
        <v/>
      </c>
    </row>
    <row r="4311">
      <c r="A4311" s="2" t="inlineStr">
        <is>
          <t>O003415</t>
        </is>
      </c>
      <c r="B4311" s="2" t="inlineStr">
        <is>
          <t>2025-11-11</t>
        </is>
      </c>
      <c r="C4311" s="2" t="inlineStr">
        <is>
          <t>C0456</t>
        </is>
      </c>
      <c r="D4311" s="2" t="inlineStr">
        <is>
          <t>P0032</t>
        </is>
      </c>
      <c r="E4311" s="2" t="inlineStr">
        <is>
          <t>Football</t>
        </is>
      </c>
      <c r="F4311" s="2" t="inlineStr">
        <is>
          <t>Sports</t>
        </is>
      </c>
      <c r="G4311" s="2" t="inlineStr">
        <is>
          <t>East</t>
        </is>
      </c>
      <c r="H4311" s="2" t="inlineStr">
        <is>
          <t>Odisha</t>
        </is>
      </c>
      <c r="I4311" s="2" t="inlineStr">
        <is>
          <t>Cuttack</t>
        </is>
      </c>
      <c r="J4311" s="2" t="inlineStr">
        <is>
          <t>Online</t>
        </is>
      </c>
      <c r="K4311" s="2" t="n">
        <v>1</v>
      </c>
      <c r="L4311" s="3" t="n">
        <v>810.05</v>
      </c>
      <c r="M4311" s="4" t="n">
        <v>0</v>
      </c>
      <c r="N4311" s="3" t="n">
        <v>548.84</v>
      </c>
      <c r="O4311" s="3">
        <f>K4311*L4311*(1-M4311)</f>
        <v/>
      </c>
      <c r="P4311" s="3">
        <f>O4311-N4311</f>
        <v/>
      </c>
      <c r="Q4311" s="5">
        <f>IFERROR(P4311/O4311,0)</f>
        <v/>
      </c>
      <c r="R4311" s="2">
        <f>TEXT(DATEVALUE(B4311),"mmm")</f>
        <v/>
      </c>
      <c r="S4311" s="2">
        <f>TEXT(DATEVALUE(B4311),"yyyy-mm")</f>
        <v/>
      </c>
    </row>
    <row r="4312">
      <c r="A4312" s="2" t="inlineStr">
        <is>
          <t>O001467</t>
        </is>
      </c>
      <c r="B4312" s="2" t="inlineStr">
        <is>
          <t>2025-11-11</t>
        </is>
      </c>
      <c r="C4312" s="2" t="inlineStr">
        <is>
          <t>C0639</t>
        </is>
      </c>
      <c r="D4312" s="2" t="inlineStr">
        <is>
          <t>P0019</t>
        </is>
      </c>
      <c r="E4312" s="2" t="inlineStr">
        <is>
          <t>Jacket</t>
        </is>
      </c>
      <c r="F4312" s="2" t="inlineStr">
        <is>
          <t>Fashion</t>
        </is>
      </c>
      <c r="G4312" s="2" t="inlineStr">
        <is>
          <t>South</t>
        </is>
      </c>
      <c r="H4312" s="2" t="inlineStr">
        <is>
          <t>Kerala</t>
        </is>
      </c>
      <c r="I4312" s="2" t="inlineStr">
        <is>
          <t>Thiruvananthapuram</t>
        </is>
      </c>
      <c r="J4312" s="2" t="inlineStr">
        <is>
          <t>Store</t>
        </is>
      </c>
      <c r="K4312" s="2" t="n">
        <v>1</v>
      </c>
      <c r="L4312" s="3" t="n">
        <v>1029.99</v>
      </c>
      <c r="M4312" s="4" t="n">
        <v>0.05</v>
      </c>
      <c r="N4312" s="3" t="n">
        <v>673.62</v>
      </c>
      <c r="O4312" s="3">
        <f>K4312*L4312*(1-M4312)</f>
        <v/>
      </c>
      <c r="P4312" s="3">
        <f>O4312-N4312</f>
        <v/>
      </c>
      <c r="Q4312" s="5">
        <f>IFERROR(P4312/O4312,0)</f>
        <v/>
      </c>
      <c r="R4312" s="2">
        <f>TEXT(DATEVALUE(B4312),"mmm")</f>
        <v/>
      </c>
      <c r="S4312" s="2">
        <f>TEXT(DATEVALUE(B4312),"yyyy-mm")</f>
        <v/>
      </c>
    </row>
    <row r="4313">
      <c r="A4313" s="2" t="inlineStr">
        <is>
          <t>O000940</t>
        </is>
      </c>
      <c r="B4313" s="2" t="inlineStr">
        <is>
          <t>2025-11-11</t>
        </is>
      </c>
      <c r="C4313" s="2" t="inlineStr">
        <is>
          <t>C0379</t>
        </is>
      </c>
      <c r="D4313" s="2" t="inlineStr">
        <is>
          <t>P0032</t>
        </is>
      </c>
      <c r="E4313" s="2" t="inlineStr">
        <is>
          <t>Football</t>
        </is>
      </c>
      <c r="F4313" s="2" t="inlineStr">
        <is>
          <t>Sports</t>
        </is>
      </c>
      <c r="G4313" s="2" t="inlineStr">
        <is>
          <t>South</t>
        </is>
      </c>
      <c r="H4313" s="2" t="inlineStr">
        <is>
          <t>Telangana</t>
        </is>
      </c>
      <c r="I4313" s="2" t="inlineStr">
        <is>
          <t>Hyderabad</t>
        </is>
      </c>
      <c r="J4313" s="2" t="inlineStr">
        <is>
          <t>Online</t>
        </is>
      </c>
      <c r="K4313" s="2" t="n">
        <v>2</v>
      </c>
      <c r="L4313" s="3" t="n">
        <v>777.73</v>
      </c>
      <c r="M4313" s="4" t="n">
        <v>0.15</v>
      </c>
      <c r="N4313" s="3" t="n">
        <v>1032.8</v>
      </c>
      <c r="O4313" s="3">
        <f>K4313*L4313*(1-M4313)</f>
        <v/>
      </c>
      <c r="P4313" s="3">
        <f>O4313-N4313</f>
        <v/>
      </c>
      <c r="Q4313" s="5">
        <f>IFERROR(P4313/O4313,0)</f>
        <v/>
      </c>
      <c r="R4313" s="2">
        <f>TEXT(DATEVALUE(B4313),"mmm")</f>
        <v/>
      </c>
      <c r="S4313" s="2">
        <f>TEXT(DATEVALUE(B4313),"yyyy-mm")</f>
        <v/>
      </c>
    </row>
    <row r="4314">
      <c r="A4314" s="2" t="inlineStr">
        <is>
          <t>O000735</t>
        </is>
      </c>
      <c r="B4314" s="2" t="inlineStr">
        <is>
          <t>2025-11-11</t>
        </is>
      </c>
      <c r="C4314" s="2" t="inlineStr">
        <is>
          <t>C0568</t>
        </is>
      </c>
      <c r="D4314" s="2" t="inlineStr">
        <is>
          <t>P0004</t>
        </is>
      </c>
      <c r="E4314" s="2" t="inlineStr">
        <is>
          <t>USB-C Hub</t>
        </is>
      </c>
      <c r="F4314" s="2" t="inlineStr">
        <is>
          <t>Electronics</t>
        </is>
      </c>
      <c r="G4314" s="2" t="inlineStr">
        <is>
          <t>West</t>
        </is>
      </c>
      <c r="H4314" s="2" t="inlineStr">
        <is>
          <t>Goa</t>
        </is>
      </c>
      <c r="I4314" s="2" t="inlineStr">
        <is>
          <t>Margao</t>
        </is>
      </c>
      <c r="J4314" s="2" t="inlineStr">
        <is>
          <t>Online</t>
        </is>
      </c>
      <c r="K4314" s="2" t="n">
        <v>2</v>
      </c>
      <c r="L4314" s="3" t="n">
        <v>1239.76</v>
      </c>
      <c r="M4314" s="4" t="n">
        <v>0.1</v>
      </c>
      <c r="N4314" s="3" t="n">
        <v>1857.91</v>
      </c>
      <c r="O4314" s="3">
        <f>K4314*L4314*(1-M4314)</f>
        <v/>
      </c>
      <c r="P4314" s="3">
        <f>O4314-N4314</f>
        <v/>
      </c>
      <c r="Q4314" s="5">
        <f>IFERROR(P4314/O4314,0)</f>
        <v/>
      </c>
      <c r="R4314" s="2">
        <f>TEXT(DATEVALUE(B4314),"mmm")</f>
        <v/>
      </c>
      <c r="S4314" s="2">
        <f>TEXT(DATEVALUE(B4314),"yyyy-mm")</f>
        <v/>
      </c>
    </row>
    <row r="4315">
      <c r="A4315" s="2" t="inlineStr">
        <is>
          <t>O000191</t>
        </is>
      </c>
      <c r="B4315" s="2" t="inlineStr">
        <is>
          <t>2025-11-11</t>
        </is>
      </c>
      <c r="C4315" s="2" t="inlineStr">
        <is>
          <t>C0179</t>
        </is>
      </c>
      <c r="D4315" s="2" t="inlineStr">
        <is>
          <t>P0031</t>
        </is>
      </c>
      <c r="E4315" s="2" t="inlineStr">
        <is>
          <t>Cricket Bat</t>
        </is>
      </c>
      <c r="F4315" s="2" t="inlineStr">
        <is>
          <t>Sports</t>
        </is>
      </c>
      <c r="G4315" s="2" t="inlineStr">
        <is>
          <t>North</t>
        </is>
      </c>
      <c r="H4315" s="2" t="inlineStr">
        <is>
          <t>Delhi</t>
        </is>
      </c>
      <c r="I4315" s="2" t="inlineStr">
        <is>
          <t>New Delhi</t>
        </is>
      </c>
      <c r="J4315" s="2" t="inlineStr">
        <is>
          <t>Store</t>
        </is>
      </c>
      <c r="K4315" s="2" t="n">
        <v>3</v>
      </c>
      <c r="L4315" s="3" t="n">
        <v>1372.54</v>
      </c>
      <c r="M4315" s="4" t="n">
        <v>0.1</v>
      </c>
      <c r="N4315" s="3" t="n">
        <v>2779.13</v>
      </c>
      <c r="O4315" s="3">
        <f>K4315*L4315*(1-M4315)</f>
        <v/>
      </c>
      <c r="P4315" s="3">
        <f>O4315-N4315</f>
        <v/>
      </c>
      <c r="Q4315" s="5">
        <f>IFERROR(P4315/O4315,0)</f>
        <v/>
      </c>
      <c r="R4315" s="2">
        <f>TEXT(DATEVALUE(B4315),"mmm")</f>
        <v/>
      </c>
      <c r="S4315" s="2">
        <f>TEXT(DATEVALUE(B4315),"yyyy-mm")</f>
        <v/>
      </c>
    </row>
    <row r="4316">
      <c r="A4316" s="2" t="inlineStr">
        <is>
          <t>O002607</t>
        </is>
      </c>
      <c r="B4316" s="2" t="inlineStr">
        <is>
          <t>2025-11-11</t>
        </is>
      </c>
      <c r="C4316" s="2" t="inlineStr">
        <is>
          <t>C0510</t>
        </is>
      </c>
      <c r="D4316" s="2" t="inlineStr">
        <is>
          <t>P0011</t>
        </is>
      </c>
      <c r="E4316" s="2" t="inlineStr">
        <is>
          <t>Cookware Set</t>
        </is>
      </c>
      <c r="F4316" s="2" t="inlineStr">
        <is>
          <t>Home &amp; Kitchen</t>
        </is>
      </c>
      <c r="G4316" s="2" t="inlineStr">
        <is>
          <t>East</t>
        </is>
      </c>
      <c r="H4316" s="2" t="inlineStr">
        <is>
          <t>Odisha</t>
        </is>
      </c>
      <c r="I4316" s="2" t="inlineStr">
        <is>
          <t>Cuttack</t>
        </is>
      </c>
      <c r="J4316" s="2" t="inlineStr">
        <is>
          <t>Online</t>
        </is>
      </c>
      <c r="K4316" s="2" t="n">
        <v>3</v>
      </c>
      <c r="L4316" s="3" t="n">
        <v>728.12</v>
      </c>
      <c r="M4316" s="4" t="n">
        <v>0</v>
      </c>
      <c r="N4316" s="3" t="n">
        <v>1422.42</v>
      </c>
      <c r="O4316" s="3">
        <f>K4316*L4316*(1-M4316)</f>
        <v/>
      </c>
      <c r="P4316" s="3">
        <f>O4316-N4316</f>
        <v/>
      </c>
      <c r="Q4316" s="5">
        <f>IFERROR(P4316/O4316,0)</f>
        <v/>
      </c>
      <c r="R4316" s="2">
        <f>TEXT(DATEVALUE(B4316),"mmm")</f>
        <v/>
      </c>
      <c r="S4316" s="2">
        <f>TEXT(DATEVALUE(B4316),"yyyy-mm")</f>
        <v/>
      </c>
    </row>
    <row r="4317">
      <c r="A4317" s="2" t="inlineStr">
        <is>
          <t>O002280</t>
        </is>
      </c>
      <c r="B4317" s="2" t="inlineStr">
        <is>
          <t>2025-11-12</t>
        </is>
      </c>
      <c r="C4317" s="2" t="inlineStr">
        <is>
          <t>C0736</t>
        </is>
      </c>
      <c r="D4317" s="2" t="inlineStr">
        <is>
          <t>P0022</t>
        </is>
      </c>
      <c r="E4317" s="2" t="inlineStr">
        <is>
          <t>Face Wash</t>
        </is>
      </c>
      <c r="F4317" s="2" t="inlineStr">
        <is>
          <t>Beauty</t>
        </is>
      </c>
      <c r="G4317" s="2" t="inlineStr">
        <is>
          <t>West</t>
        </is>
      </c>
      <c r="H4317" s="2" t="inlineStr">
        <is>
          <t>Maharashtra</t>
        </is>
      </c>
      <c r="I4317" s="2" t="inlineStr">
        <is>
          <t>Mumbai</t>
        </is>
      </c>
      <c r="J4317" s="2" t="inlineStr">
        <is>
          <t>Online</t>
        </is>
      </c>
      <c r="K4317" s="2" t="n">
        <v>6</v>
      </c>
      <c r="L4317" s="3" t="n">
        <v>565.14</v>
      </c>
      <c r="M4317" s="4" t="n">
        <v>0.05</v>
      </c>
      <c r="N4317" s="3" t="n">
        <v>2104.54</v>
      </c>
      <c r="O4317" s="3">
        <f>K4317*L4317*(1-M4317)</f>
        <v/>
      </c>
      <c r="P4317" s="3">
        <f>O4317-N4317</f>
        <v/>
      </c>
      <c r="Q4317" s="5">
        <f>IFERROR(P4317/O4317,0)</f>
        <v/>
      </c>
      <c r="R4317" s="2">
        <f>TEXT(DATEVALUE(B4317),"mmm")</f>
        <v/>
      </c>
      <c r="S4317" s="2">
        <f>TEXT(DATEVALUE(B4317),"yyyy-mm")</f>
        <v/>
      </c>
    </row>
    <row r="4318">
      <c r="A4318" s="2" t="inlineStr">
        <is>
          <t>O004799</t>
        </is>
      </c>
      <c r="B4318" s="2" t="inlineStr">
        <is>
          <t>2025-11-12</t>
        </is>
      </c>
      <c r="C4318" s="2" t="inlineStr">
        <is>
          <t>C0259</t>
        </is>
      </c>
      <c r="D4318" s="2" t="inlineStr">
        <is>
          <t>P0007</t>
        </is>
      </c>
      <c r="E4318" s="2" t="inlineStr">
        <is>
          <t>Wireless Mouse</t>
        </is>
      </c>
      <c r="F4318" s="2" t="inlineStr">
        <is>
          <t>Electronics</t>
        </is>
      </c>
      <c r="G4318" s="2" t="inlineStr">
        <is>
          <t>West</t>
        </is>
      </c>
      <c r="H4318" s="2" t="inlineStr">
        <is>
          <t>Goa</t>
        </is>
      </c>
      <c r="I4318" s="2" t="inlineStr">
        <is>
          <t>Margao</t>
        </is>
      </c>
      <c r="J4318" s="2" t="inlineStr">
        <is>
          <t>Online</t>
        </is>
      </c>
      <c r="K4318" s="2" t="n">
        <v>2</v>
      </c>
      <c r="L4318" s="3" t="n">
        <v>998.8099999999999</v>
      </c>
      <c r="M4318" s="4" t="n">
        <v>0.05</v>
      </c>
      <c r="N4318" s="3" t="n">
        <v>1246.98</v>
      </c>
      <c r="O4318" s="3">
        <f>K4318*L4318*(1-M4318)</f>
        <v/>
      </c>
      <c r="P4318" s="3">
        <f>O4318-N4318</f>
        <v/>
      </c>
      <c r="Q4318" s="5">
        <f>IFERROR(P4318/O4318,0)</f>
        <v/>
      </c>
      <c r="R4318" s="2">
        <f>TEXT(DATEVALUE(B4318),"mmm")</f>
        <v/>
      </c>
      <c r="S4318" s="2">
        <f>TEXT(DATEVALUE(B4318),"yyyy-mm")</f>
        <v/>
      </c>
    </row>
    <row r="4319">
      <c r="A4319" s="2" t="inlineStr">
        <is>
          <t>O002978</t>
        </is>
      </c>
      <c r="B4319" s="2" t="inlineStr">
        <is>
          <t>2025-11-12</t>
        </is>
      </c>
      <c r="C4319" s="2" t="inlineStr">
        <is>
          <t>C0740</t>
        </is>
      </c>
      <c r="D4319" s="2" t="inlineStr">
        <is>
          <t>P0017</t>
        </is>
      </c>
      <c r="E4319" s="2" t="inlineStr">
        <is>
          <t>Jeans</t>
        </is>
      </c>
      <c r="F4319" s="2" t="inlineStr">
        <is>
          <t>Fashion</t>
        </is>
      </c>
      <c r="G4319" s="2" t="inlineStr">
        <is>
          <t>West</t>
        </is>
      </c>
      <c r="H4319" s="2" t="inlineStr">
        <is>
          <t>Goa</t>
        </is>
      </c>
      <c r="I4319" s="2" t="inlineStr">
        <is>
          <t>Margao</t>
        </is>
      </c>
      <c r="J4319" s="2" t="inlineStr">
        <is>
          <t>Online</t>
        </is>
      </c>
      <c r="K4319" s="2" t="n">
        <v>1</v>
      </c>
      <c r="L4319" s="3" t="n">
        <v>1526.55</v>
      </c>
      <c r="M4319" s="4" t="n">
        <v>0</v>
      </c>
      <c r="N4319" s="3" t="n">
        <v>1004.26</v>
      </c>
      <c r="O4319" s="3">
        <f>K4319*L4319*(1-M4319)</f>
        <v/>
      </c>
      <c r="P4319" s="3">
        <f>O4319-N4319</f>
        <v/>
      </c>
      <c r="Q4319" s="5">
        <f>IFERROR(P4319/O4319,0)</f>
        <v/>
      </c>
      <c r="R4319" s="2">
        <f>TEXT(DATEVALUE(B4319),"mmm")</f>
        <v/>
      </c>
      <c r="S4319" s="2">
        <f>TEXT(DATEVALUE(B4319),"yyyy-mm")</f>
        <v/>
      </c>
    </row>
    <row r="4320">
      <c r="A4320" s="2" t="inlineStr">
        <is>
          <t>O002827</t>
        </is>
      </c>
      <c r="B4320" s="2" t="inlineStr">
        <is>
          <t>2025-11-12</t>
        </is>
      </c>
      <c r="C4320" s="2" t="inlineStr">
        <is>
          <t>C0430</t>
        </is>
      </c>
      <c r="D4320" s="2" t="inlineStr">
        <is>
          <t>P0021</t>
        </is>
      </c>
      <c r="E4320" s="2" t="inlineStr">
        <is>
          <t>Wallet</t>
        </is>
      </c>
      <c r="F4320" s="2" t="inlineStr">
        <is>
          <t>Fashion</t>
        </is>
      </c>
      <c r="G4320" s="2" t="inlineStr">
        <is>
          <t>East</t>
        </is>
      </c>
      <c r="H4320" s="2" t="inlineStr">
        <is>
          <t>West Bengal</t>
        </is>
      </c>
      <c r="I4320" s="2" t="inlineStr">
        <is>
          <t>Durgapur</t>
        </is>
      </c>
      <c r="J4320" s="2" t="inlineStr">
        <is>
          <t>Online</t>
        </is>
      </c>
      <c r="K4320" s="2" t="n">
        <v>2</v>
      </c>
      <c r="L4320" s="3" t="n">
        <v>2066.59</v>
      </c>
      <c r="M4320" s="4" t="n">
        <v>0.1</v>
      </c>
      <c r="N4320" s="3" t="n">
        <v>2411.64</v>
      </c>
      <c r="O4320" s="3">
        <f>K4320*L4320*(1-M4320)</f>
        <v/>
      </c>
      <c r="P4320" s="3">
        <f>O4320-N4320</f>
        <v/>
      </c>
      <c r="Q4320" s="5">
        <f>IFERROR(P4320/O4320,0)</f>
        <v/>
      </c>
      <c r="R4320" s="2">
        <f>TEXT(DATEVALUE(B4320),"mmm")</f>
        <v/>
      </c>
      <c r="S4320" s="2">
        <f>TEXT(DATEVALUE(B4320),"yyyy-mm")</f>
        <v/>
      </c>
    </row>
    <row r="4321">
      <c r="A4321" s="2" t="inlineStr">
        <is>
          <t>O002423</t>
        </is>
      </c>
      <c r="B4321" s="2" t="inlineStr">
        <is>
          <t>2025-11-12</t>
        </is>
      </c>
      <c r="C4321" s="2" t="inlineStr">
        <is>
          <t>C0519</t>
        </is>
      </c>
      <c r="D4321" s="2" t="inlineStr">
        <is>
          <t>P0004</t>
        </is>
      </c>
      <c r="E4321" s="2" t="inlineStr">
        <is>
          <t>USB-C Hub</t>
        </is>
      </c>
      <c r="F4321" s="2" t="inlineStr">
        <is>
          <t>Electronics</t>
        </is>
      </c>
      <c r="G4321" s="2" t="inlineStr">
        <is>
          <t>North</t>
        </is>
      </c>
      <c r="H4321" s="2" t="inlineStr">
        <is>
          <t>Delhi</t>
        </is>
      </c>
      <c r="I4321" s="2" t="inlineStr">
        <is>
          <t>New Delhi</t>
        </is>
      </c>
      <c r="J4321" s="2" t="inlineStr">
        <is>
          <t>Online</t>
        </is>
      </c>
      <c r="K4321" s="2" t="n">
        <v>1</v>
      </c>
      <c r="L4321" s="3" t="n">
        <v>1311.56</v>
      </c>
      <c r="M4321" s="4" t="n">
        <v>0.05</v>
      </c>
      <c r="N4321" s="3" t="n">
        <v>919.02</v>
      </c>
      <c r="O4321" s="3">
        <f>K4321*L4321*(1-M4321)</f>
        <v/>
      </c>
      <c r="P4321" s="3">
        <f>O4321-N4321</f>
        <v/>
      </c>
      <c r="Q4321" s="5">
        <f>IFERROR(P4321/O4321,0)</f>
        <v/>
      </c>
      <c r="R4321" s="2">
        <f>TEXT(DATEVALUE(B4321),"mmm")</f>
        <v/>
      </c>
      <c r="S4321" s="2">
        <f>TEXT(DATEVALUE(B4321),"yyyy-mm")</f>
        <v/>
      </c>
    </row>
    <row r="4322">
      <c r="A4322" s="2" t="inlineStr">
        <is>
          <t>O002366</t>
        </is>
      </c>
      <c r="B4322" s="2" t="inlineStr">
        <is>
          <t>2025-11-12</t>
        </is>
      </c>
      <c r="C4322" s="2" t="inlineStr">
        <is>
          <t>C0478</t>
        </is>
      </c>
      <c r="D4322" s="2" t="inlineStr">
        <is>
          <t>P0026</t>
        </is>
      </c>
      <c r="E4322" s="2" t="inlineStr">
        <is>
          <t>Shampoo</t>
        </is>
      </c>
      <c r="F4322" s="2" t="inlineStr">
        <is>
          <t>Beauty</t>
        </is>
      </c>
      <c r="G4322" s="2" t="inlineStr">
        <is>
          <t>South</t>
        </is>
      </c>
      <c r="H4322" s="2" t="inlineStr">
        <is>
          <t>Telangana</t>
        </is>
      </c>
      <c r="I4322" s="2" t="inlineStr">
        <is>
          <t>Hyderabad</t>
        </is>
      </c>
      <c r="J4322" s="2" t="inlineStr">
        <is>
          <t>Online</t>
        </is>
      </c>
      <c r="K4322" s="2" t="n">
        <v>1</v>
      </c>
      <c r="L4322" s="3" t="n">
        <v>870.08</v>
      </c>
      <c r="M4322" s="4" t="n">
        <v>0.15</v>
      </c>
      <c r="N4322" s="3" t="n">
        <v>537.58</v>
      </c>
      <c r="O4322" s="3">
        <f>K4322*L4322*(1-M4322)</f>
        <v/>
      </c>
      <c r="P4322" s="3">
        <f>O4322-N4322</f>
        <v/>
      </c>
      <c r="Q4322" s="5">
        <f>IFERROR(P4322/O4322,0)</f>
        <v/>
      </c>
      <c r="R4322" s="2">
        <f>TEXT(DATEVALUE(B4322),"mmm")</f>
        <v/>
      </c>
      <c r="S4322" s="2">
        <f>TEXT(DATEVALUE(B4322),"yyyy-mm")</f>
        <v/>
      </c>
    </row>
    <row r="4323">
      <c r="A4323" s="2" t="inlineStr">
        <is>
          <t>O002114</t>
        </is>
      </c>
      <c r="B4323" s="2" t="inlineStr">
        <is>
          <t>2025-11-12</t>
        </is>
      </c>
      <c r="C4323" s="2" t="inlineStr">
        <is>
          <t>C0573</t>
        </is>
      </c>
      <c r="D4323" s="2" t="inlineStr">
        <is>
          <t>P0011</t>
        </is>
      </c>
      <c r="E4323" s="2" t="inlineStr">
        <is>
          <t>Cookware Set</t>
        </is>
      </c>
      <c r="F4323" s="2" t="inlineStr">
        <is>
          <t>Home &amp; Kitchen</t>
        </is>
      </c>
      <c r="G4323" s="2" t="inlineStr">
        <is>
          <t>South</t>
        </is>
      </c>
      <c r="H4323" s="2" t="inlineStr">
        <is>
          <t>Tamil Nadu</t>
        </is>
      </c>
      <c r="I4323" s="2" t="inlineStr">
        <is>
          <t>Madurai</t>
        </is>
      </c>
      <c r="J4323" s="2" t="inlineStr">
        <is>
          <t>Online</t>
        </is>
      </c>
      <c r="K4323" s="2" t="n">
        <v>3</v>
      </c>
      <c r="L4323" s="3" t="n">
        <v>691.77</v>
      </c>
      <c r="M4323" s="4" t="n">
        <v>0.1</v>
      </c>
      <c r="N4323" s="3" t="n">
        <v>1461.05</v>
      </c>
      <c r="O4323" s="3">
        <f>K4323*L4323*(1-M4323)</f>
        <v/>
      </c>
      <c r="P4323" s="3">
        <f>O4323-N4323</f>
        <v/>
      </c>
      <c r="Q4323" s="5">
        <f>IFERROR(P4323/O4323,0)</f>
        <v/>
      </c>
      <c r="R4323" s="2">
        <f>TEXT(DATEVALUE(B4323),"mmm")</f>
        <v/>
      </c>
      <c r="S4323" s="2">
        <f>TEXT(DATEVALUE(B4323),"yyyy-mm")</f>
        <v/>
      </c>
    </row>
    <row r="4324">
      <c r="A4324" s="2" t="inlineStr">
        <is>
          <t>O003715</t>
        </is>
      </c>
      <c r="B4324" s="2" t="inlineStr">
        <is>
          <t>2025-11-12</t>
        </is>
      </c>
      <c r="C4324" s="2" t="inlineStr">
        <is>
          <t>C0103</t>
        </is>
      </c>
      <c r="D4324" s="2" t="inlineStr">
        <is>
          <t>P0022</t>
        </is>
      </c>
      <c r="E4324" s="2" t="inlineStr">
        <is>
          <t>Face Wash</t>
        </is>
      </c>
      <c r="F4324" s="2" t="inlineStr">
        <is>
          <t>Beauty</t>
        </is>
      </c>
      <c r="G4324" s="2" t="inlineStr">
        <is>
          <t>South</t>
        </is>
      </c>
      <c r="H4324" s="2" t="inlineStr">
        <is>
          <t>Kerala</t>
        </is>
      </c>
      <c r="I4324" s="2" t="inlineStr">
        <is>
          <t>Kochi</t>
        </is>
      </c>
      <c r="J4324" s="2" t="inlineStr">
        <is>
          <t>Online</t>
        </is>
      </c>
      <c r="K4324" s="2" t="n">
        <v>3</v>
      </c>
      <c r="L4324" s="3" t="n">
        <v>531.12</v>
      </c>
      <c r="M4324" s="4" t="n">
        <v>0</v>
      </c>
      <c r="N4324" s="3" t="n">
        <v>1071.55</v>
      </c>
      <c r="O4324" s="3">
        <f>K4324*L4324*(1-M4324)</f>
        <v/>
      </c>
      <c r="P4324" s="3">
        <f>O4324-N4324</f>
        <v/>
      </c>
      <c r="Q4324" s="5">
        <f>IFERROR(P4324/O4324,0)</f>
        <v/>
      </c>
      <c r="R4324" s="2">
        <f>TEXT(DATEVALUE(B4324),"mmm")</f>
        <v/>
      </c>
      <c r="S4324" s="2">
        <f>TEXT(DATEVALUE(B4324),"yyyy-mm")</f>
        <v/>
      </c>
    </row>
    <row r="4325">
      <c r="A4325" s="2" t="inlineStr">
        <is>
          <t>O001774</t>
        </is>
      </c>
      <c r="B4325" s="2" t="inlineStr">
        <is>
          <t>2025-11-12</t>
        </is>
      </c>
      <c r="C4325" s="2" t="inlineStr">
        <is>
          <t>C0639</t>
        </is>
      </c>
      <c r="D4325" s="2" t="inlineStr">
        <is>
          <t>P0011</t>
        </is>
      </c>
      <c r="E4325" s="2" t="inlineStr">
        <is>
          <t>Cookware Set</t>
        </is>
      </c>
      <c r="F4325" s="2" t="inlineStr">
        <is>
          <t>Home &amp; Kitchen</t>
        </is>
      </c>
      <c r="G4325" s="2" t="inlineStr">
        <is>
          <t>North</t>
        </is>
      </c>
      <c r="H4325" s="2" t="inlineStr">
        <is>
          <t>Uttar Pradesh</t>
        </is>
      </c>
      <c r="I4325" s="2" t="inlineStr">
        <is>
          <t>Varanasi</t>
        </is>
      </c>
      <c r="J4325" s="2" t="inlineStr">
        <is>
          <t>Online</t>
        </is>
      </c>
      <c r="K4325" s="2" t="n">
        <v>3</v>
      </c>
      <c r="L4325" s="3" t="n">
        <v>716.63</v>
      </c>
      <c r="M4325" s="4" t="n">
        <v>0</v>
      </c>
      <c r="N4325" s="3" t="n">
        <v>1463.52</v>
      </c>
      <c r="O4325" s="3">
        <f>K4325*L4325*(1-M4325)</f>
        <v/>
      </c>
      <c r="P4325" s="3">
        <f>O4325-N4325</f>
        <v/>
      </c>
      <c r="Q4325" s="5">
        <f>IFERROR(P4325/O4325,0)</f>
        <v/>
      </c>
      <c r="R4325" s="2">
        <f>TEXT(DATEVALUE(B4325),"mmm")</f>
        <v/>
      </c>
      <c r="S4325" s="2">
        <f>TEXT(DATEVALUE(B4325),"yyyy-mm")</f>
        <v/>
      </c>
    </row>
    <row r="4326">
      <c r="A4326" s="2" t="inlineStr">
        <is>
          <t>O001610</t>
        </is>
      </c>
      <c r="B4326" s="2" t="inlineStr">
        <is>
          <t>2025-11-12</t>
        </is>
      </c>
      <c r="C4326" s="2" t="inlineStr">
        <is>
          <t>C0013</t>
        </is>
      </c>
      <c r="D4326" s="2" t="inlineStr">
        <is>
          <t>P0016</t>
        </is>
      </c>
      <c r="E4326" s="2" t="inlineStr">
        <is>
          <t>Casual Shirt</t>
        </is>
      </c>
      <c r="F4326" s="2" t="inlineStr">
        <is>
          <t>Fashion</t>
        </is>
      </c>
      <c r="G4326" s="2" t="inlineStr">
        <is>
          <t>West</t>
        </is>
      </c>
      <c r="H4326" s="2" t="inlineStr">
        <is>
          <t>Goa</t>
        </is>
      </c>
      <c r="I4326" s="2" t="inlineStr">
        <is>
          <t>Panaji</t>
        </is>
      </c>
      <c r="J4326" s="2" t="inlineStr">
        <is>
          <t>Online</t>
        </is>
      </c>
      <c r="K4326" s="2" t="n">
        <v>1</v>
      </c>
      <c r="L4326" s="3" t="n">
        <v>1322.38</v>
      </c>
      <c r="M4326" s="4" t="n">
        <v>0.15</v>
      </c>
      <c r="N4326" s="3" t="n">
        <v>931.53</v>
      </c>
      <c r="O4326" s="3">
        <f>K4326*L4326*(1-M4326)</f>
        <v/>
      </c>
      <c r="P4326" s="3">
        <f>O4326-N4326</f>
        <v/>
      </c>
      <c r="Q4326" s="5">
        <f>IFERROR(P4326/O4326,0)</f>
        <v/>
      </c>
      <c r="R4326" s="2">
        <f>TEXT(DATEVALUE(B4326),"mmm")</f>
        <v/>
      </c>
      <c r="S4326" s="2">
        <f>TEXT(DATEVALUE(B4326),"yyyy-mm")</f>
        <v/>
      </c>
    </row>
    <row r="4327">
      <c r="A4327" s="2" t="inlineStr">
        <is>
          <t>O001141</t>
        </is>
      </c>
      <c r="B4327" s="2" t="inlineStr">
        <is>
          <t>2025-11-12</t>
        </is>
      </c>
      <c r="C4327" s="2" t="inlineStr">
        <is>
          <t>C0060</t>
        </is>
      </c>
      <c r="D4327" s="2" t="inlineStr">
        <is>
          <t>P0029</t>
        </is>
      </c>
      <c r="E4327" s="2" t="inlineStr">
        <is>
          <t>Yoga Mat</t>
        </is>
      </c>
      <c r="F4327" s="2" t="inlineStr">
        <is>
          <t>Sports</t>
        </is>
      </c>
      <c r="G4327" s="2" t="inlineStr">
        <is>
          <t>West</t>
        </is>
      </c>
      <c r="H4327" s="2" t="inlineStr">
        <is>
          <t>Gujarat</t>
        </is>
      </c>
      <c r="I4327" s="2" t="inlineStr">
        <is>
          <t>Surat</t>
        </is>
      </c>
      <c r="J4327" s="2" t="inlineStr">
        <is>
          <t>Online</t>
        </is>
      </c>
      <c r="K4327" s="2" t="n">
        <v>5</v>
      </c>
      <c r="L4327" s="3" t="n">
        <v>2395.75</v>
      </c>
      <c r="M4327" s="4" t="n">
        <v>0.05</v>
      </c>
      <c r="N4327" s="3" t="n">
        <v>6354.35</v>
      </c>
      <c r="O4327" s="3">
        <f>K4327*L4327*(1-M4327)</f>
        <v/>
      </c>
      <c r="P4327" s="3">
        <f>O4327-N4327</f>
        <v/>
      </c>
      <c r="Q4327" s="5">
        <f>IFERROR(P4327/O4327,0)</f>
        <v/>
      </c>
      <c r="R4327" s="2">
        <f>TEXT(DATEVALUE(B4327),"mmm")</f>
        <v/>
      </c>
      <c r="S4327" s="2">
        <f>TEXT(DATEVALUE(B4327),"yyyy-mm")</f>
        <v/>
      </c>
    </row>
    <row r="4328">
      <c r="A4328" s="2" t="inlineStr">
        <is>
          <t>O001040</t>
        </is>
      </c>
      <c r="B4328" s="2" t="inlineStr">
        <is>
          <t>2025-11-12</t>
        </is>
      </c>
      <c r="C4328" s="2" t="inlineStr">
        <is>
          <t>C0594</t>
        </is>
      </c>
      <c r="D4328" s="2" t="inlineStr">
        <is>
          <t>P0012</t>
        </is>
      </c>
      <c r="E4328" s="2" t="inlineStr">
        <is>
          <t>Water Bottle</t>
        </is>
      </c>
      <c r="F4328" s="2" t="inlineStr">
        <is>
          <t>Home &amp; Kitchen</t>
        </is>
      </c>
      <c r="G4328" s="2" t="inlineStr">
        <is>
          <t>North</t>
        </is>
      </c>
      <c r="H4328" s="2" t="inlineStr">
        <is>
          <t>Haryana</t>
        </is>
      </c>
      <c r="I4328" s="2" t="inlineStr">
        <is>
          <t>Gurugram</t>
        </is>
      </c>
      <c r="J4328" s="2" t="inlineStr">
        <is>
          <t>Store</t>
        </is>
      </c>
      <c r="K4328" s="2" t="n">
        <v>2</v>
      </c>
      <c r="L4328" s="3" t="n">
        <v>978.39</v>
      </c>
      <c r="M4328" s="4" t="n">
        <v>0.15</v>
      </c>
      <c r="N4328" s="3" t="n">
        <v>1236.3</v>
      </c>
      <c r="O4328" s="3">
        <f>K4328*L4328*(1-M4328)</f>
        <v/>
      </c>
      <c r="P4328" s="3">
        <f>O4328-N4328</f>
        <v/>
      </c>
      <c r="Q4328" s="5">
        <f>IFERROR(P4328/O4328,0)</f>
        <v/>
      </c>
      <c r="R4328" s="2">
        <f>TEXT(DATEVALUE(B4328),"mmm")</f>
        <v/>
      </c>
      <c r="S4328" s="2">
        <f>TEXT(DATEVALUE(B4328),"yyyy-mm")</f>
        <v/>
      </c>
    </row>
    <row r="4329">
      <c r="A4329" s="2" t="inlineStr">
        <is>
          <t>O000695</t>
        </is>
      </c>
      <c r="B4329" s="2" t="inlineStr">
        <is>
          <t>2025-11-12</t>
        </is>
      </c>
      <c r="C4329" s="2" t="inlineStr">
        <is>
          <t>C0032</t>
        </is>
      </c>
      <c r="D4329" s="2" t="inlineStr">
        <is>
          <t>P0014</t>
        </is>
      </c>
      <c r="E4329" s="2" t="inlineStr">
        <is>
          <t>Coffee Maker</t>
        </is>
      </c>
      <c r="F4329" s="2" t="inlineStr">
        <is>
          <t>Home &amp; Kitchen</t>
        </is>
      </c>
      <c r="G4329" s="2" t="inlineStr">
        <is>
          <t>South</t>
        </is>
      </c>
      <c r="H4329" s="2" t="inlineStr">
        <is>
          <t>Telangana</t>
        </is>
      </c>
      <c r="I4329" s="2" t="inlineStr">
        <is>
          <t>Hyderabad</t>
        </is>
      </c>
      <c r="J4329" s="2" t="inlineStr">
        <is>
          <t>Online</t>
        </is>
      </c>
      <c r="K4329" s="2" t="n">
        <v>2</v>
      </c>
      <c r="L4329" s="3" t="n">
        <v>1018.7</v>
      </c>
      <c r="M4329" s="4" t="n">
        <v>0</v>
      </c>
      <c r="N4329" s="3" t="n">
        <v>1503.53</v>
      </c>
      <c r="O4329" s="3">
        <f>K4329*L4329*(1-M4329)</f>
        <v/>
      </c>
      <c r="P4329" s="3">
        <f>O4329-N4329</f>
        <v/>
      </c>
      <c r="Q4329" s="5">
        <f>IFERROR(P4329/O4329,0)</f>
        <v/>
      </c>
      <c r="R4329" s="2">
        <f>TEXT(DATEVALUE(B4329),"mmm")</f>
        <v/>
      </c>
      <c r="S4329" s="2">
        <f>TEXT(DATEVALUE(B4329),"yyyy-mm")</f>
        <v/>
      </c>
    </row>
    <row r="4330">
      <c r="A4330" s="2" t="inlineStr">
        <is>
          <t>O000380</t>
        </is>
      </c>
      <c r="B4330" s="2" t="inlineStr">
        <is>
          <t>2025-11-12</t>
        </is>
      </c>
      <c r="C4330" s="2" t="inlineStr">
        <is>
          <t>C0382</t>
        </is>
      </c>
      <c r="D4330" s="2" t="inlineStr">
        <is>
          <t>P0026</t>
        </is>
      </c>
      <c r="E4330" s="2" t="inlineStr">
        <is>
          <t>Shampoo</t>
        </is>
      </c>
      <c r="F4330" s="2" t="inlineStr">
        <is>
          <t>Beauty</t>
        </is>
      </c>
      <c r="G4330" s="2" t="inlineStr">
        <is>
          <t>North</t>
        </is>
      </c>
      <c r="H4330" s="2" t="inlineStr">
        <is>
          <t>Punjab</t>
        </is>
      </c>
      <c r="I4330" s="2" t="inlineStr">
        <is>
          <t>Jalandhar</t>
        </is>
      </c>
      <c r="J4330" s="2" t="inlineStr">
        <is>
          <t>Store</t>
        </is>
      </c>
      <c r="K4330" s="2" t="n">
        <v>2</v>
      </c>
      <c r="L4330" s="3" t="n">
        <v>890.85</v>
      </c>
      <c r="M4330" s="4" t="n">
        <v>0</v>
      </c>
      <c r="N4330" s="3" t="n">
        <v>1030.62</v>
      </c>
      <c r="O4330" s="3">
        <f>K4330*L4330*(1-M4330)</f>
        <v/>
      </c>
      <c r="P4330" s="3">
        <f>O4330-N4330</f>
        <v/>
      </c>
      <c r="Q4330" s="5">
        <f>IFERROR(P4330/O4330,0)</f>
        <v/>
      </c>
      <c r="R4330" s="2">
        <f>TEXT(DATEVALUE(B4330),"mmm")</f>
        <v/>
      </c>
      <c r="S4330" s="2">
        <f>TEXT(DATEVALUE(B4330),"yyyy-mm")</f>
        <v/>
      </c>
    </row>
    <row r="4331">
      <c r="A4331" s="2" t="inlineStr">
        <is>
          <t>O000050</t>
        </is>
      </c>
      <c r="B4331" s="2" t="inlineStr">
        <is>
          <t>2025-11-12</t>
        </is>
      </c>
      <c r="C4331" s="2" t="inlineStr">
        <is>
          <t>C0750</t>
        </is>
      </c>
      <c r="D4331" s="2" t="inlineStr">
        <is>
          <t>P0002</t>
        </is>
      </c>
      <c r="E4331" s="2" t="inlineStr">
        <is>
          <t>Bluetooth Speaker</t>
        </is>
      </c>
      <c r="F4331" s="2" t="inlineStr">
        <is>
          <t>Electronics</t>
        </is>
      </c>
      <c r="G4331" s="2" t="inlineStr">
        <is>
          <t>South</t>
        </is>
      </c>
      <c r="H4331" s="2" t="inlineStr">
        <is>
          <t>Telangana</t>
        </is>
      </c>
      <c r="I4331" s="2" t="inlineStr">
        <is>
          <t>Warangal</t>
        </is>
      </c>
      <c r="J4331" s="2" t="inlineStr">
        <is>
          <t>Online</t>
        </is>
      </c>
      <c r="K4331" s="2" t="n">
        <v>2</v>
      </c>
      <c r="L4331" s="3" t="n">
        <v>1316.25</v>
      </c>
      <c r="M4331" s="4" t="n">
        <v>0</v>
      </c>
      <c r="N4331" s="3" t="n">
        <v>1632.6</v>
      </c>
      <c r="O4331" s="3">
        <f>K4331*L4331*(1-M4331)</f>
        <v/>
      </c>
      <c r="P4331" s="3">
        <f>O4331-N4331</f>
        <v/>
      </c>
      <c r="Q4331" s="5">
        <f>IFERROR(P4331/O4331,0)</f>
        <v/>
      </c>
      <c r="R4331" s="2">
        <f>TEXT(DATEVALUE(B4331),"mmm")</f>
        <v/>
      </c>
      <c r="S4331" s="2">
        <f>TEXT(DATEVALUE(B4331),"yyyy-mm")</f>
        <v/>
      </c>
    </row>
    <row r="4332">
      <c r="A4332" s="2" t="inlineStr">
        <is>
          <t>O001954</t>
        </is>
      </c>
      <c r="B4332" s="2" t="inlineStr">
        <is>
          <t>2025-11-12</t>
        </is>
      </c>
      <c r="C4332" s="2" t="inlineStr">
        <is>
          <t>C0088</t>
        </is>
      </c>
      <c r="D4332" s="2" t="inlineStr">
        <is>
          <t>P0022</t>
        </is>
      </c>
      <c r="E4332" s="2" t="inlineStr">
        <is>
          <t>Face Wash</t>
        </is>
      </c>
      <c r="F4332" s="2" t="inlineStr">
        <is>
          <t>Beauty</t>
        </is>
      </c>
      <c r="G4332" s="2" t="inlineStr">
        <is>
          <t>North</t>
        </is>
      </c>
      <c r="H4332" s="2" t="inlineStr">
        <is>
          <t>Delhi</t>
        </is>
      </c>
      <c r="I4332" s="2" t="inlineStr">
        <is>
          <t>New Delhi</t>
        </is>
      </c>
      <c r="J4332" s="2" t="inlineStr">
        <is>
          <t>Store</t>
        </is>
      </c>
      <c r="K4332" s="2" t="n">
        <v>1</v>
      </c>
      <c r="L4332" s="3" t="n">
        <v>562.52</v>
      </c>
      <c r="M4332" s="4" t="n">
        <v>0.1</v>
      </c>
      <c r="N4332" s="3" t="n">
        <v>359.35</v>
      </c>
      <c r="O4332" s="3">
        <f>K4332*L4332*(1-M4332)</f>
        <v/>
      </c>
      <c r="P4332" s="3">
        <f>O4332-N4332</f>
        <v/>
      </c>
      <c r="Q4332" s="5">
        <f>IFERROR(P4332/O4332,0)</f>
        <v/>
      </c>
      <c r="R4332" s="2">
        <f>TEXT(DATEVALUE(B4332),"mmm")</f>
        <v/>
      </c>
      <c r="S4332" s="2">
        <f>TEXT(DATEVALUE(B4332),"yyyy-mm")</f>
        <v/>
      </c>
    </row>
    <row r="4333">
      <c r="A4333" s="2" t="inlineStr">
        <is>
          <t>O004709</t>
        </is>
      </c>
      <c r="B4333" s="2" t="inlineStr">
        <is>
          <t>2025-11-13</t>
        </is>
      </c>
      <c r="C4333" s="2" t="inlineStr">
        <is>
          <t>C0362</t>
        </is>
      </c>
      <c r="D4333" s="2" t="inlineStr">
        <is>
          <t>P0007</t>
        </is>
      </c>
      <c r="E4333" s="2" t="inlineStr">
        <is>
          <t>Wireless Mouse</t>
        </is>
      </c>
      <c r="F4333" s="2" t="inlineStr">
        <is>
          <t>Electronics</t>
        </is>
      </c>
      <c r="G4333" s="2" t="inlineStr">
        <is>
          <t>West</t>
        </is>
      </c>
      <c r="H4333" s="2" t="inlineStr">
        <is>
          <t>Maharashtra</t>
        </is>
      </c>
      <c r="I4333" s="2" t="inlineStr">
        <is>
          <t>Nagpur</t>
        </is>
      </c>
      <c r="J4333" s="2" t="inlineStr">
        <is>
          <t>Online</t>
        </is>
      </c>
      <c r="K4333" s="2" t="n">
        <v>6</v>
      </c>
      <c r="L4333" s="3" t="n">
        <v>1004.89</v>
      </c>
      <c r="M4333" s="4" t="n">
        <v>0.1</v>
      </c>
      <c r="N4333" s="3" t="n">
        <v>3801.22</v>
      </c>
      <c r="O4333" s="3">
        <f>K4333*L4333*(1-M4333)</f>
        <v/>
      </c>
      <c r="P4333" s="3">
        <f>O4333-N4333</f>
        <v/>
      </c>
      <c r="Q4333" s="5">
        <f>IFERROR(P4333/O4333,0)</f>
        <v/>
      </c>
      <c r="R4333" s="2">
        <f>TEXT(DATEVALUE(B4333),"mmm")</f>
        <v/>
      </c>
      <c r="S4333" s="2">
        <f>TEXT(DATEVALUE(B4333),"yyyy-mm")</f>
        <v/>
      </c>
    </row>
    <row r="4334">
      <c r="A4334" s="2" t="inlineStr">
        <is>
          <t>O004606</t>
        </is>
      </c>
      <c r="B4334" s="2" t="inlineStr">
        <is>
          <t>2025-11-13</t>
        </is>
      </c>
      <c r="C4334" s="2" t="inlineStr">
        <is>
          <t>C0625</t>
        </is>
      </c>
      <c r="D4334" s="2" t="inlineStr">
        <is>
          <t>P0034</t>
        </is>
      </c>
      <c r="E4334" s="2" t="inlineStr">
        <is>
          <t>Gym Gloves</t>
        </is>
      </c>
      <c r="F4334" s="2" t="inlineStr">
        <is>
          <t>Sports</t>
        </is>
      </c>
      <c r="G4334" s="2" t="inlineStr">
        <is>
          <t>North</t>
        </is>
      </c>
      <c r="H4334" s="2" t="inlineStr">
        <is>
          <t>Haryana</t>
        </is>
      </c>
      <c r="I4334" s="2" t="inlineStr">
        <is>
          <t>Faridabad</t>
        </is>
      </c>
      <c r="J4334" s="2" t="inlineStr">
        <is>
          <t>Online</t>
        </is>
      </c>
      <c r="K4334" s="2" t="n">
        <v>2</v>
      </c>
      <c r="L4334" s="3" t="n">
        <v>588.38</v>
      </c>
      <c r="M4334" s="4" t="n">
        <v>0.1</v>
      </c>
      <c r="N4334" s="3" t="n">
        <v>804.0599999999999</v>
      </c>
      <c r="O4334" s="3">
        <f>K4334*L4334*(1-M4334)</f>
        <v/>
      </c>
      <c r="P4334" s="3">
        <f>O4334-N4334</f>
        <v/>
      </c>
      <c r="Q4334" s="5">
        <f>IFERROR(P4334/O4334,0)</f>
        <v/>
      </c>
      <c r="R4334" s="2">
        <f>TEXT(DATEVALUE(B4334),"mmm")</f>
        <v/>
      </c>
      <c r="S4334" s="2">
        <f>TEXT(DATEVALUE(B4334),"yyyy-mm")</f>
        <v/>
      </c>
    </row>
    <row r="4335">
      <c r="A4335" s="2" t="inlineStr">
        <is>
          <t>O004536</t>
        </is>
      </c>
      <c r="B4335" s="2" t="inlineStr">
        <is>
          <t>2025-11-13</t>
        </is>
      </c>
      <c r="C4335" s="2" t="inlineStr">
        <is>
          <t>C0116</t>
        </is>
      </c>
      <c r="D4335" s="2" t="inlineStr">
        <is>
          <t>P0006</t>
        </is>
      </c>
      <c r="E4335" s="2" t="inlineStr">
        <is>
          <t>Mechanical Keyboard</t>
        </is>
      </c>
      <c r="F4335" s="2" t="inlineStr">
        <is>
          <t>Electronics</t>
        </is>
      </c>
      <c r="G4335" s="2" t="inlineStr">
        <is>
          <t>West</t>
        </is>
      </c>
      <c r="H4335" s="2" t="inlineStr">
        <is>
          <t>Maharashtra</t>
        </is>
      </c>
      <c r="I4335" s="2" t="inlineStr">
        <is>
          <t>Thane</t>
        </is>
      </c>
      <c r="J4335" s="2" t="inlineStr">
        <is>
          <t>Store</t>
        </is>
      </c>
      <c r="K4335" s="2" t="n">
        <v>2</v>
      </c>
      <c r="L4335" s="3" t="n">
        <v>2668.33</v>
      </c>
      <c r="M4335" s="4" t="n">
        <v>0</v>
      </c>
      <c r="N4335" s="3" t="n">
        <v>3008.56</v>
      </c>
      <c r="O4335" s="3">
        <f>K4335*L4335*(1-M4335)</f>
        <v/>
      </c>
      <c r="P4335" s="3">
        <f>O4335-N4335</f>
        <v/>
      </c>
      <c r="Q4335" s="5">
        <f>IFERROR(P4335/O4335,0)</f>
        <v/>
      </c>
      <c r="R4335" s="2">
        <f>TEXT(DATEVALUE(B4335),"mmm")</f>
        <v/>
      </c>
      <c r="S4335" s="2">
        <f>TEXT(DATEVALUE(B4335),"yyyy-mm")</f>
        <v/>
      </c>
    </row>
    <row r="4336">
      <c r="A4336" s="2" t="inlineStr">
        <is>
          <t>O004130</t>
        </is>
      </c>
      <c r="B4336" s="2" t="inlineStr">
        <is>
          <t>2025-11-13</t>
        </is>
      </c>
      <c r="C4336" s="2" t="inlineStr">
        <is>
          <t>C0675</t>
        </is>
      </c>
      <c r="D4336" s="2" t="inlineStr">
        <is>
          <t>P0002</t>
        </is>
      </c>
      <c r="E4336" s="2" t="inlineStr">
        <is>
          <t>Bluetooth Speaker</t>
        </is>
      </c>
      <c r="F4336" s="2" t="inlineStr">
        <is>
          <t>Electronics</t>
        </is>
      </c>
      <c r="G4336" s="2" t="inlineStr">
        <is>
          <t>North</t>
        </is>
      </c>
      <c r="H4336" s="2" t="inlineStr">
        <is>
          <t>Delhi</t>
        </is>
      </c>
      <c r="I4336" s="2" t="inlineStr">
        <is>
          <t>New Delhi</t>
        </is>
      </c>
      <c r="J4336" s="2" t="inlineStr">
        <is>
          <t>Online</t>
        </is>
      </c>
      <c r="K4336" s="2" t="n">
        <v>1</v>
      </c>
      <c r="L4336" s="3" t="n">
        <v>1363.56</v>
      </c>
      <c r="M4336" s="4" t="n">
        <v>0.25</v>
      </c>
      <c r="N4336" s="3" t="n">
        <v>821.33</v>
      </c>
      <c r="O4336" s="3">
        <f>K4336*L4336*(1-M4336)</f>
        <v/>
      </c>
      <c r="P4336" s="3">
        <f>O4336-N4336</f>
        <v/>
      </c>
      <c r="Q4336" s="5">
        <f>IFERROR(P4336/O4336,0)</f>
        <v/>
      </c>
      <c r="R4336" s="2">
        <f>TEXT(DATEVALUE(B4336),"mmm")</f>
        <v/>
      </c>
      <c r="S4336" s="2">
        <f>TEXT(DATEVALUE(B4336),"yyyy-mm")</f>
        <v/>
      </c>
    </row>
    <row r="4337">
      <c r="A4337" s="2" t="inlineStr">
        <is>
          <t>O003135</t>
        </is>
      </c>
      <c r="B4337" s="2" t="inlineStr">
        <is>
          <t>2025-11-13</t>
        </is>
      </c>
      <c r="C4337" s="2" t="inlineStr">
        <is>
          <t>C0503</t>
        </is>
      </c>
      <c r="D4337" s="2" t="inlineStr">
        <is>
          <t>P0011</t>
        </is>
      </c>
      <c r="E4337" s="2" t="inlineStr">
        <is>
          <t>Cookware Set</t>
        </is>
      </c>
      <c r="F4337" s="2" t="inlineStr">
        <is>
          <t>Home &amp; Kitchen</t>
        </is>
      </c>
      <c r="G4337" s="2" t="inlineStr">
        <is>
          <t>West</t>
        </is>
      </c>
      <c r="H4337" s="2" t="inlineStr">
        <is>
          <t>Gujarat</t>
        </is>
      </c>
      <c r="I4337" s="2" t="inlineStr">
        <is>
          <t>Surat</t>
        </is>
      </c>
      <c r="J4337" s="2" t="inlineStr">
        <is>
          <t>Store</t>
        </is>
      </c>
      <c r="K4337" s="2" t="n">
        <v>2</v>
      </c>
      <c r="L4337" s="3" t="n">
        <v>717.27</v>
      </c>
      <c r="M4337" s="4" t="n">
        <v>0.05</v>
      </c>
      <c r="N4337" s="3" t="n">
        <v>956.95</v>
      </c>
      <c r="O4337" s="3">
        <f>K4337*L4337*(1-M4337)</f>
        <v/>
      </c>
      <c r="P4337" s="3">
        <f>O4337-N4337</f>
        <v/>
      </c>
      <c r="Q4337" s="5">
        <f>IFERROR(P4337/O4337,0)</f>
        <v/>
      </c>
      <c r="R4337" s="2">
        <f>TEXT(DATEVALUE(B4337),"mmm")</f>
        <v/>
      </c>
      <c r="S4337" s="2">
        <f>TEXT(DATEVALUE(B4337),"yyyy-mm")</f>
        <v/>
      </c>
    </row>
    <row r="4338">
      <c r="A4338" s="2" t="inlineStr">
        <is>
          <t>O000846</t>
        </is>
      </c>
      <c r="B4338" s="2" t="inlineStr">
        <is>
          <t>2025-11-13</t>
        </is>
      </c>
      <c r="C4338" s="2" t="inlineStr">
        <is>
          <t>C0118</t>
        </is>
      </c>
      <c r="D4338" s="2" t="inlineStr">
        <is>
          <t>P0022</t>
        </is>
      </c>
      <c r="E4338" s="2" t="inlineStr">
        <is>
          <t>Face Wash</t>
        </is>
      </c>
      <c r="F4338" s="2" t="inlineStr">
        <is>
          <t>Beauty</t>
        </is>
      </c>
      <c r="G4338" s="2" t="inlineStr">
        <is>
          <t>West</t>
        </is>
      </c>
      <c r="H4338" s="2" t="inlineStr">
        <is>
          <t>Maharashtra</t>
        </is>
      </c>
      <c r="I4338" s="2" t="inlineStr">
        <is>
          <t>Thane</t>
        </is>
      </c>
      <c r="J4338" s="2" t="inlineStr">
        <is>
          <t>Online</t>
        </is>
      </c>
      <c r="K4338" s="2" t="n">
        <v>1</v>
      </c>
      <c r="L4338" s="3" t="n">
        <v>563.95</v>
      </c>
      <c r="M4338" s="4" t="n">
        <v>0</v>
      </c>
      <c r="N4338" s="3" t="n">
        <v>363.82</v>
      </c>
      <c r="O4338" s="3">
        <f>K4338*L4338*(1-M4338)</f>
        <v/>
      </c>
      <c r="P4338" s="3">
        <f>O4338-N4338</f>
        <v/>
      </c>
      <c r="Q4338" s="5">
        <f>IFERROR(P4338/O4338,0)</f>
        <v/>
      </c>
      <c r="R4338" s="2">
        <f>TEXT(DATEVALUE(B4338),"mmm")</f>
        <v/>
      </c>
      <c r="S4338" s="2">
        <f>TEXT(DATEVALUE(B4338),"yyyy-mm")</f>
        <v/>
      </c>
    </row>
    <row r="4339">
      <c r="A4339" s="2" t="inlineStr">
        <is>
          <t>O000661</t>
        </is>
      </c>
      <c r="B4339" s="2" t="inlineStr">
        <is>
          <t>2025-11-13</t>
        </is>
      </c>
      <c r="C4339" s="2" t="inlineStr">
        <is>
          <t>C0573</t>
        </is>
      </c>
      <c r="D4339" s="2" t="inlineStr">
        <is>
          <t>P0015</t>
        </is>
      </c>
      <c r="E4339" s="2" t="inlineStr">
        <is>
          <t>Running Shoes</t>
        </is>
      </c>
      <c r="F4339" s="2" t="inlineStr">
        <is>
          <t>Fashion</t>
        </is>
      </c>
      <c r="G4339" s="2" t="inlineStr">
        <is>
          <t>West</t>
        </is>
      </c>
      <c r="H4339" s="2" t="inlineStr">
        <is>
          <t>Gujarat</t>
        </is>
      </c>
      <c r="I4339" s="2" t="inlineStr">
        <is>
          <t>Vadodara</t>
        </is>
      </c>
      <c r="J4339" s="2" t="inlineStr">
        <is>
          <t>Online</t>
        </is>
      </c>
      <c r="K4339" s="2" t="n">
        <v>6</v>
      </c>
      <c r="L4339" s="3" t="n">
        <v>578.33</v>
      </c>
      <c r="M4339" s="4" t="n">
        <v>0.05</v>
      </c>
      <c r="N4339" s="3" t="n">
        <v>2307.54</v>
      </c>
      <c r="O4339" s="3">
        <f>K4339*L4339*(1-M4339)</f>
        <v/>
      </c>
      <c r="P4339" s="3">
        <f>O4339-N4339</f>
        <v/>
      </c>
      <c r="Q4339" s="5">
        <f>IFERROR(P4339/O4339,0)</f>
        <v/>
      </c>
      <c r="R4339" s="2">
        <f>TEXT(DATEVALUE(B4339),"mmm")</f>
        <v/>
      </c>
      <c r="S4339" s="2">
        <f>TEXT(DATEVALUE(B4339),"yyyy-mm")</f>
        <v/>
      </c>
    </row>
    <row r="4340">
      <c r="A4340" s="2" t="inlineStr">
        <is>
          <t>O000647</t>
        </is>
      </c>
      <c r="B4340" s="2" t="inlineStr">
        <is>
          <t>2025-11-13</t>
        </is>
      </c>
      <c r="C4340" s="2" t="inlineStr">
        <is>
          <t>C0523</t>
        </is>
      </c>
      <c r="D4340" s="2" t="inlineStr">
        <is>
          <t>P0018</t>
        </is>
      </c>
      <c r="E4340" s="2" t="inlineStr">
        <is>
          <t>Backpack</t>
        </is>
      </c>
      <c r="F4340" s="2" t="inlineStr">
        <is>
          <t>Fashion</t>
        </is>
      </c>
      <c r="G4340" s="2" t="inlineStr">
        <is>
          <t>North</t>
        </is>
      </c>
      <c r="H4340" s="2" t="inlineStr">
        <is>
          <t>Haryana</t>
        </is>
      </c>
      <c r="I4340" s="2" t="inlineStr">
        <is>
          <t>Faridabad</t>
        </is>
      </c>
      <c r="J4340" s="2" t="inlineStr">
        <is>
          <t>Store</t>
        </is>
      </c>
      <c r="K4340" s="2" t="n">
        <v>1</v>
      </c>
      <c r="L4340" s="3" t="n">
        <v>1779.12</v>
      </c>
      <c r="M4340" s="4" t="n">
        <v>0</v>
      </c>
      <c r="N4340" s="3" t="n">
        <v>1386.07</v>
      </c>
      <c r="O4340" s="3">
        <f>K4340*L4340*(1-M4340)</f>
        <v/>
      </c>
      <c r="P4340" s="3">
        <f>O4340-N4340</f>
        <v/>
      </c>
      <c r="Q4340" s="5">
        <f>IFERROR(P4340/O4340,0)</f>
        <v/>
      </c>
      <c r="R4340" s="2">
        <f>TEXT(DATEVALUE(B4340),"mmm")</f>
        <v/>
      </c>
      <c r="S4340" s="2">
        <f>TEXT(DATEVALUE(B4340),"yyyy-mm")</f>
        <v/>
      </c>
    </row>
    <row r="4341">
      <c r="A4341" s="2" t="inlineStr">
        <is>
          <t>O000323</t>
        </is>
      </c>
      <c r="B4341" s="2" t="inlineStr">
        <is>
          <t>2025-11-13</t>
        </is>
      </c>
      <c r="C4341" s="2" t="inlineStr">
        <is>
          <t>C0469</t>
        </is>
      </c>
      <c r="D4341" s="2" t="inlineStr">
        <is>
          <t>P0018</t>
        </is>
      </c>
      <c r="E4341" s="2" t="inlineStr">
        <is>
          <t>Backpack</t>
        </is>
      </c>
      <c r="F4341" s="2" t="inlineStr">
        <is>
          <t>Fashion</t>
        </is>
      </c>
      <c r="G4341" s="2" t="inlineStr">
        <is>
          <t>South</t>
        </is>
      </c>
      <c r="H4341" s="2" t="inlineStr">
        <is>
          <t>Karnataka</t>
        </is>
      </c>
      <c r="I4341" s="2" t="inlineStr">
        <is>
          <t>Bengaluru</t>
        </is>
      </c>
      <c r="J4341" s="2" t="inlineStr">
        <is>
          <t>Store</t>
        </is>
      </c>
      <c r="K4341" s="2" t="n">
        <v>1</v>
      </c>
      <c r="L4341" s="3" t="n">
        <v>1847.49</v>
      </c>
      <c r="M4341" s="4" t="n">
        <v>0.1</v>
      </c>
      <c r="N4341" s="3" t="n">
        <v>1321.44</v>
      </c>
      <c r="O4341" s="3">
        <f>K4341*L4341*(1-M4341)</f>
        <v/>
      </c>
      <c r="P4341" s="3">
        <f>O4341-N4341</f>
        <v/>
      </c>
      <c r="Q4341" s="5">
        <f>IFERROR(P4341/O4341,0)</f>
        <v/>
      </c>
      <c r="R4341" s="2">
        <f>TEXT(DATEVALUE(B4341),"mmm")</f>
        <v/>
      </c>
      <c r="S4341" s="2">
        <f>TEXT(DATEVALUE(B4341),"yyyy-mm")</f>
        <v/>
      </c>
    </row>
    <row r="4342">
      <c r="A4342" s="2" t="inlineStr">
        <is>
          <t>O001842</t>
        </is>
      </c>
      <c r="B4342" s="2" t="inlineStr">
        <is>
          <t>2025-11-13</t>
        </is>
      </c>
      <c r="C4342" s="2" t="inlineStr">
        <is>
          <t>C0642</t>
        </is>
      </c>
      <c r="D4342" s="2" t="inlineStr">
        <is>
          <t>P0021</t>
        </is>
      </c>
      <c r="E4342" s="2" t="inlineStr">
        <is>
          <t>Wallet</t>
        </is>
      </c>
      <c r="F4342" s="2" t="inlineStr">
        <is>
          <t>Fashion</t>
        </is>
      </c>
      <c r="G4342" s="2" t="inlineStr">
        <is>
          <t>East</t>
        </is>
      </c>
      <c r="H4342" s="2" t="inlineStr">
        <is>
          <t>West Bengal</t>
        </is>
      </c>
      <c r="I4342" s="2" t="inlineStr">
        <is>
          <t>Durgapur</t>
        </is>
      </c>
      <c r="J4342" s="2" t="inlineStr">
        <is>
          <t>Online</t>
        </is>
      </c>
      <c r="K4342" s="2" t="n">
        <v>6</v>
      </c>
      <c r="L4342" s="3" t="n">
        <v>1935.41</v>
      </c>
      <c r="M4342" s="4" t="n">
        <v>0.1</v>
      </c>
      <c r="N4342" s="3" t="n">
        <v>7419.36</v>
      </c>
      <c r="O4342" s="3">
        <f>K4342*L4342*(1-M4342)</f>
        <v/>
      </c>
      <c r="P4342" s="3">
        <f>O4342-N4342</f>
        <v/>
      </c>
      <c r="Q4342" s="5">
        <f>IFERROR(P4342/O4342,0)</f>
        <v/>
      </c>
      <c r="R4342" s="2">
        <f>TEXT(DATEVALUE(B4342),"mmm")</f>
        <v/>
      </c>
      <c r="S4342" s="2">
        <f>TEXT(DATEVALUE(B4342),"yyyy-mm")</f>
        <v/>
      </c>
    </row>
    <row r="4343">
      <c r="A4343" s="2" t="inlineStr">
        <is>
          <t>O001953</t>
        </is>
      </c>
      <c r="B4343" s="2" t="inlineStr">
        <is>
          <t>2025-11-14</t>
        </is>
      </c>
      <c r="C4343" s="2" t="inlineStr">
        <is>
          <t>C0416</t>
        </is>
      </c>
      <c r="D4343" s="2" t="inlineStr">
        <is>
          <t>P0021</t>
        </is>
      </c>
      <c r="E4343" s="2" t="inlineStr">
        <is>
          <t>Wallet</t>
        </is>
      </c>
      <c r="F4343" s="2" t="inlineStr">
        <is>
          <t>Fashion</t>
        </is>
      </c>
      <c r="G4343" s="2" t="inlineStr">
        <is>
          <t>West</t>
        </is>
      </c>
      <c r="H4343" s="2" t="inlineStr">
        <is>
          <t>Gujarat</t>
        </is>
      </c>
      <c r="I4343" s="2" t="inlineStr">
        <is>
          <t>Vadodara</t>
        </is>
      </c>
      <c r="J4343" s="2" t="inlineStr">
        <is>
          <t>Online</t>
        </is>
      </c>
      <c r="K4343" s="2" t="n">
        <v>3</v>
      </c>
      <c r="L4343" s="3" t="n">
        <v>2087.73</v>
      </c>
      <c r="M4343" s="4" t="n">
        <v>0.1</v>
      </c>
      <c r="N4343" s="3" t="n">
        <v>3567.71</v>
      </c>
      <c r="O4343" s="3">
        <f>K4343*L4343*(1-M4343)</f>
        <v/>
      </c>
      <c r="P4343" s="3">
        <f>O4343-N4343</f>
        <v/>
      </c>
      <c r="Q4343" s="5">
        <f>IFERROR(P4343/O4343,0)</f>
        <v/>
      </c>
      <c r="R4343" s="2">
        <f>TEXT(DATEVALUE(B4343),"mmm")</f>
        <v/>
      </c>
      <c r="S4343" s="2">
        <f>TEXT(DATEVALUE(B4343),"yyyy-mm")</f>
        <v/>
      </c>
    </row>
    <row r="4344">
      <c r="A4344" s="2" t="inlineStr">
        <is>
          <t>O004764</t>
        </is>
      </c>
      <c r="B4344" s="2" t="inlineStr">
        <is>
          <t>2025-11-14</t>
        </is>
      </c>
      <c r="C4344" s="2" t="inlineStr">
        <is>
          <t>C0202</t>
        </is>
      </c>
      <c r="D4344" s="2" t="inlineStr">
        <is>
          <t>P0012</t>
        </is>
      </c>
      <c r="E4344" s="2" t="inlineStr">
        <is>
          <t>Water Bottle</t>
        </is>
      </c>
      <c r="F4344" s="2" t="inlineStr">
        <is>
          <t>Home &amp; Kitchen</t>
        </is>
      </c>
      <c r="G4344" s="2" t="inlineStr">
        <is>
          <t>South</t>
        </is>
      </c>
      <c r="H4344" s="2" t="inlineStr">
        <is>
          <t>Kerala</t>
        </is>
      </c>
      <c r="I4344" s="2" t="inlineStr">
        <is>
          <t>Kochi</t>
        </is>
      </c>
      <c r="J4344" s="2" t="inlineStr">
        <is>
          <t>Store</t>
        </is>
      </c>
      <c r="K4344" s="2" t="n">
        <v>1</v>
      </c>
      <c r="L4344" s="3" t="n">
        <v>970.37</v>
      </c>
      <c r="M4344" s="4" t="n">
        <v>0.1</v>
      </c>
      <c r="N4344" s="3" t="n">
        <v>609.86</v>
      </c>
      <c r="O4344" s="3">
        <f>K4344*L4344*(1-M4344)</f>
        <v/>
      </c>
      <c r="P4344" s="3">
        <f>O4344-N4344</f>
        <v/>
      </c>
      <c r="Q4344" s="5">
        <f>IFERROR(P4344/O4344,0)</f>
        <v/>
      </c>
      <c r="R4344" s="2">
        <f>TEXT(DATEVALUE(B4344),"mmm")</f>
        <v/>
      </c>
      <c r="S4344" s="2">
        <f>TEXT(DATEVALUE(B4344),"yyyy-mm")</f>
        <v/>
      </c>
    </row>
    <row r="4345">
      <c r="A4345" s="2" t="inlineStr">
        <is>
          <t>O004944</t>
        </is>
      </c>
      <c r="B4345" s="2" t="inlineStr">
        <is>
          <t>2025-11-14</t>
        </is>
      </c>
      <c r="C4345" s="2" t="inlineStr">
        <is>
          <t>C0668</t>
        </is>
      </c>
      <c r="D4345" s="2" t="inlineStr">
        <is>
          <t>P0022</t>
        </is>
      </c>
      <c r="E4345" s="2" t="inlineStr">
        <is>
          <t>Face Wash</t>
        </is>
      </c>
      <c r="F4345" s="2" t="inlineStr">
        <is>
          <t>Beauty</t>
        </is>
      </c>
      <c r="G4345" s="2" t="inlineStr">
        <is>
          <t>West</t>
        </is>
      </c>
      <c r="H4345" s="2" t="inlineStr">
        <is>
          <t>Maharashtra</t>
        </is>
      </c>
      <c r="I4345" s="2" t="inlineStr">
        <is>
          <t>Pune</t>
        </is>
      </c>
      <c r="J4345" s="2" t="inlineStr">
        <is>
          <t>Store</t>
        </is>
      </c>
      <c r="K4345" s="2" t="n">
        <v>4</v>
      </c>
      <c r="L4345" s="3" t="n">
        <v>569.98</v>
      </c>
      <c r="M4345" s="4" t="n">
        <v>0.1</v>
      </c>
      <c r="N4345" s="3" t="n">
        <v>1399.15</v>
      </c>
      <c r="O4345" s="3">
        <f>K4345*L4345*(1-M4345)</f>
        <v/>
      </c>
      <c r="P4345" s="3">
        <f>O4345-N4345</f>
        <v/>
      </c>
      <c r="Q4345" s="5">
        <f>IFERROR(P4345/O4345,0)</f>
        <v/>
      </c>
      <c r="R4345" s="2">
        <f>TEXT(DATEVALUE(B4345),"mmm")</f>
        <v/>
      </c>
      <c r="S4345" s="2">
        <f>TEXT(DATEVALUE(B4345),"yyyy-mm")</f>
        <v/>
      </c>
    </row>
    <row r="4346">
      <c r="A4346" s="2" t="inlineStr">
        <is>
          <t>O004717</t>
        </is>
      </c>
      <c r="B4346" s="2" t="inlineStr">
        <is>
          <t>2025-11-14</t>
        </is>
      </c>
      <c r="C4346" s="2" t="inlineStr">
        <is>
          <t>C0639</t>
        </is>
      </c>
      <c r="D4346" s="2" t="inlineStr">
        <is>
          <t>P0007</t>
        </is>
      </c>
      <c r="E4346" s="2" t="inlineStr">
        <is>
          <t>Wireless Mouse</t>
        </is>
      </c>
      <c r="F4346" s="2" t="inlineStr">
        <is>
          <t>Electronics</t>
        </is>
      </c>
      <c r="G4346" s="2" t="inlineStr">
        <is>
          <t>North</t>
        </is>
      </c>
      <c r="H4346" s="2" t="inlineStr">
        <is>
          <t>Haryana</t>
        </is>
      </c>
      <c r="I4346" s="2" t="inlineStr">
        <is>
          <t>Gurugram</t>
        </is>
      </c>
      <c r="J4346" s="2" t="inlineStr">
        <is>
          <t>Store</t>
        </is>
      </c>
      <c r="K4346" s="2" t="n">
        <v>1</v>
      </c>
      <c r="L4346" s="3" t="n">
        <v>959.83</v>
      </c>
      <c r="M4346" s="4" t="n">
        <v>0.05</v>
      </c>
      <c r="N4346" s="3" t="n">
        <v>642.88</v>
      </c>
      <c r="O4346" s="3">
        <f>K4346*L4346*(1-M4346)</f>
        <v/>
      </c>
      <c r="P4346" s="3">
        <f>O4346-N4346</f>
        <v/>
      </c>
      <c r="Q4346" s="5">
        <f>IFERROR(P4346/O4346,0)</f>
        <v/>
      </c>
      <c r="R4346" s="2">
        <f>TEXT(DATEVALUE(B4346),"mmm")</f>
        <v/>
      </c>
      <c r="S4346" s="2">
        <f>TEXT(DATEVALUE(B4346),"yyyy-mm")</f>
        <v/>
      </c>
    </row>
    <row r="4347">
      <c r="A4347" s="2" t="inlineStr">
        <is>
          <t>O004420</t>
        </is>
      </c>
      <c r="B4347" s="2" t="inlineStr">
        <is>
          <t>2025-11-14</t>
        </is>
      </c>
      <c r="C4347" s="2" t="inlineStr">
        <is>
          <t>C0545</t>
        </is>
      </c>
      <c r="D4347" s="2" t="inlineStr">
        <is>
          <t>P0001</t>
        </is>
      </c>
      <c r="E4347" s="2" t="inlineStr">
        <is>
          <t>Wireless Headphones</t>
        </is>
      </c>
      <c r="F4347" s="2" t="inlineStr">
        <is>
          <t>Electronics</t>
        </is>
      </c>
      <c r="G4347" s="2" t="inlineStr">
        <is>
          <t>South</t>
        </is>
      </c>
      <c r="H4347" s="2" t="inlineStr">
        <is>
          <t>Telangana</t>
        </is>
      </c>
      <c r="I4347" s="2" t="inlineStr">
        <is>
          <t>Hyderabad</t>
        </is>
      </c>
      <c r="J4347" s="2" t="inlineStr">
        <is>
          <t>Online</t>
        </is>
      </c>
      <c r="K4347" s="2" t="n">
        <v>1</v>
      </c>
      <c r="L4347" s="3" t="n">
        <v>1281.59</v>
      </c>
      <c r="M4347" s="4" t="n">
        <v>0.1</v>
      </c>
      <c r="N4347" s="3" t="n">
        <v>726.05</v>
      </c>
      <c r="O4347" s="3">
        <f>K4347*L4347*(1-M4347)</f>
        <v/>
      </c>
      <c r="P4347" s="3">
        <f>O4347-N4347</f>
        <v/>
      </c>
      <c r="Q4347" s="5">
        <f>IFERROR(P4347/O4347,0)</f>
        <v/>
      </c>
      <c r="R4347" s="2">
        <f>TEXT(DATEVALUE(B4347),"mmm")</f>
        <v/>
      </c>
      <c r="S4347" s="2">
        <f>TEXT(DATEVALUE(B4347),"yyyy-mm")</f>
        <v/>
      </c>
    </row>
    <row r="4348">
      <c r="A4348" s="2" t="inlineStr">
        <is>
          <t>O004312</t>
        </is>
      </c>
      <c r="B4348" s="2" t="inlineStr">
        <is>
          <t>2025-11-14</t>
        </is>
      </c>
      <c r="C4348" s="2" t="inlineStr">
        <is>
          <t>C0009</t>
        </is>
      </c>
      <c r="D4348" s="2" t="inlineStr">
        <is>
          <t>P0027</t>
        </is>
      </c>
      <c r="E4348" s="2" t="inlineStr">
        <is>
          <t>Moisturizer</t>
        </is>
      </c>
      <c r="F4348" s="2" t="inlineStr">
        <is>
          <t>Beauty</t>
        </is>
      </c>
      <c r="G4348" s="2" t="inlineStr">
        <is>
          <t>East</t>
        </is>
      </c>
      <c r="H4348" s="2" t="inlineStr">
        <is>
          <t>Odisha</t>
        </is>
      </c>
      <c r="I4348" s="2" t="inlineStr">
        <is>
          <t>Cuttack</t>
        </is>
      </c>
      <c r="J4348" s="2" t="inlineStr">
        <is>
          <t>Online</t>
        </is>
      </c>
      <c r="K4348" s="2" t="n">
        <v>2</v>
      </c>
      <c r="L4348" s="3" t="n">
        <v>974.42</v>
      </c>
      <c r="M4348" s="4" t="n">
        <v>0.25</v>
      </c>
      <c r="N4348" s="3" t="n">
        <v>1364.67</v>
      </c>
      <c r="O4348" s="3">
        <f>K4348*L4348*(1-M4348)</f>
        <v/>
      </c>
      <c r="P4348" s="3">
        <f>O4348-N4348</f>
        <v/>
      </c>
      <c r="Q4348" s="5">
        <f>IFERROR(P4348/O4348,0)</f>
        <v/>
      </c>
      <c r="R4348" s="2">
        <f>TEXT(DATEVALUE(B4348),"mmm")</f>
        <v/>
      </c>
      <c r="S4348" s="2">
        <f>TEXT(DATEVALUE(B4348),"yyyy-mm")</f>
        <v/>
      </c>
    </row>
    <row r="4349">
      <c r="A4349" s="2" t="inlineStr">
        <is>
          <t>O004278</t>
        </is>
      </c>
      <c r="B4349" s="2" t="inlineStr">
        <is>
          <t>2025-11-14</t>
        </is>
      </c>
      <c r="C4349" s="2" t="inlineStr">
        <is>
          <t>C0673</t>
        </is>
      </c>
      <c r="D4349" s="2" t="inlineStr">
        <is>
          <t>P0004</t>
        </is>
      </c>
      <c r="E4349" s="2" t="inlineStr">
        <is>
          <t>USB-C Hub</t>
        </is>
      </c>
      <c r="F4349" s="2" t="inlineStr">
        <is>
          <t>Electronics</t>
        </is>
      </c>
      <c r="G4349" s="2" t="inlineStr">
        <is>
          <t>East</t>
        </is>
      </c>
      <c r="H4349" s="2" t="inlineStr">
        <is>
          <t>Bihar</t>
        </is>
      </c>
      <c r="I4349" s="2" t="inlineStr">
        <is>
          <t>Gaya</t>
        </is>
      </c>
      <c r="J4349" s="2" t="inlineStr">
        <is>
          <t>Online</t>
        </is>
      </c>
      <c r="K4349" s="2" t="n">
        <v>1</v>
      </c>
      <c r="L4349" s="3" t="n">
        <v>1308.4</v>
      </c>
      <c r="M4349" s="4" t="n">
        <v>0.05</v>
      </c>
      <c r="N4349" s="3" t="n">
        <v>932.17</v>
      </c>
      <c r="O4349" s="3">
        <f>K4349*L4349*(1-M4349)</f>
        <v/>
      </c>
      <c r="P4349" s="3">
        <f>O4349-N4349</f>
        <v/>
      </c>
      <c r="Q4349" s="5">
        <f>IFERROR(P4349/O4349,0)</f>
        <v/>
      </c>
      <c r="R4349" s="2">
        <f>TEXT(DATEVALUE(B4349),"mmm")</f>
        <v/>
      </c>
      <c r="S4349" s="2">
        <f>TEXT(DATEVALUE(B4349),"yyyy-mm")</f>
        <v/>
      </c>
    </row>
    <row r="4350">
      <c r="A4350" s="2" t="inlineStr">
        <is>
          <t>O004117</t>
        </is>
      </c>
      <c r="B4350" s="2" t="inlineStr">
        <is>
          <t>2025-11-14</t>
        </is>
      </c>
      <c r="C4350" s="2" t="inlineStr">
        <is>
          <t>C0568</t>
        </is>
      </c>
      <c r="D4350" s="2" t="inlineStr">
        <is>
          <t>P0012</t>
        </is>
      </c>
      <c r="E4350" s="2" t="inlineStr">
        <is>
          <t>Water Bottle</t>
        </is>
      </c>
      <c r="F4350" s="2" t="inlineStr">
        <is>
          <t>Home &amp; Kitchen</t>
        </is>
      </c>
      <c r="G4350" s="2" t="inlineStr">
        <is>
          <t>North</t>
        </is>
      </c>
      <c r="H4350" s="2" t="inlineStr">
        <is>
          <t>Delhi</t>
        </is>
      </c>
      <c r="I4350" s="2" t="inlineStr">
        <is>
          <t>New Delhi</t>
        </is>
      </c>
      <c r="J4350" s="2" t="inlineStr">
        <is>
          <t>Online</t>
        </is>
      </c>
      <c r="K4350" s="2" t="n">
        <v>1</v>
      </c>
      <c r="L4350" s="3" t="n">
        <v>953.14</v>
      </c>
      <c r="M4350" s="4" t="n">
        <v>0</v>
      </c>
      <c r="N4350" s="3" t="n">
        <v>607.75</v>
      </c>
      <c r="O4350" s="3">
        <f>K4350*L4350*(1-M4350)</f>
        <v/>
      </c>
      <c r="P4350" s="3">
        <f>O4350-N4350</f>
        <v/>
      </c>
      <c r="Q4350" s="5">
        <f>IFERROR(P4350/O4350,0)</f>
        <v/>
      </c>
      <c r="R4350" s="2">
        <f>TEXT(DATEVALUE(B4350),"mmm")</f>
        <v/>
      </c>
      <c r="S4350" s="2">
        <f>TEXT(DATEVALUE(B4350),"yyyy-mm")</f>
        <v/>
      </c>
    </row>
    <row r="4351">
      <c r="A4351" s="2" t="inlineStr">
        <is>
          <t>O003251</t>
        </is>
      </c>
      <c r="B4351" s="2" t="inlineStr">
        <is>
          <t>2025-11-14</t>
        </is>
      </c>
      <c r="C4351" s="2" t="inlineStr">
        <is>
          <t>C0608</t>
        </is>
      </c>
      <c r="D4351" s="2" t="inlineStr">
        <is>
          <t>P0026</t>
        </is>
      </c>
      <c r="E4351" s="2" t="inlineStr">
        <is>
          <t>Shampoo</t>
        </is>
      </c>
      <c r="F4351" s="2" t="inlineStr">
        <is>
          <t>Beauty</t>
        </is>
      </c>
      <c r="G4351" s="2" t="inlineStr">
        <is>
          <t>West</t>
        </is>
      </c>
      <c r="H4351" s="2" t="inlineStr">
        <is>
          <t>Gujarat</t>
        </is>
      </c>
      <c r="I4351" s="2" t="inlineStr">
        <is>
          <t>Ahmedabad</t>
        </is>
      </c>
      <c r="J4351" s="2" t="inlineStr">
        <is>
          <t>Store</t>
        </is>
      </c>
      <c r="K4351" s="2" t="n">
        <v>2</v>
      </c>
      <c r="L4351" s="3" t="n">
        <v>858.64</v>
      </c>
      <c r="M4351" s="4" t="n">
        <v>0.05</v>
      </c>
      <c r="N4351" s="3" t="n">
        <v>1063.53</v>
      </c>
      <c r="O4351" s="3">
        <f>K4351*L4351*(1-M4351)</f>
        <v/>
      </c>
      <c r="P4351" s="3">
        <f>O4351-N4351</f>
        <v/>
      </c>
      <c r="Q4351" s="5">
        <f>IFERROR(P4351/O4351,0)</f>
        <v/>
      </c>
      <c r="R4351" s="2">
        <f>TEXT(DATEVALUE(B4351),"mmm")</f>
        <v/>
      </c>
      <c r="S4351" s="2">
        <f>TEXT(DATEVALUE(B4351),"yyyy-mm")</f>
        <v/>
      </c>
    </row>
    <row r="4352">
      <c r="A4352" s="2" t="inlineStr">
        <is>
          <t>O001857</t>
        </is>
      </c>
      <c r="B4352" s="2" t="inlineStr">
        <is>
          <t>2025-11-14</t>
        </is>
      </c>
      <c r="C4352" s="2" t="inlineStr">
        <is>
          <t>C0519</t>
        </is>
      </c>
      <c r="D4352" s="2" t="inlineStr">
        <is>
          <t>P0007</t>
        </is>
      </c>
      <c r="E4352" s="2" t="inlineStr">
        <is>
          <t>Wireless Mouse</t>
        </is>
      </c>
      <c r="F4352" s="2" t="inlineStr">
        <is>
          <t>Electronics</t>
        </is>
      </c>
      <c r="G4352" s="2" t="inlineStr">
        <is>
          <t>South</t>
        </is>
      </c>
      <c r="H4352" s="2" t="inlineStr">
        <is>
          <t>Kerala</t>
        </is>
      </c>
      <c r="I4352" s="2" t="inlineStr">
        <is>
          <t>Kochi</t>
        </is>
      </c>
      <c r="J4352" s="2" t="inlineStr">
        <is>
          <t>Online</t>
        </is>
      </c>
      <c r="K4352" s="2" t="n">
        <v>2</v>
      </c>
      <c r="L4352" s="3" t="n">
        <v>984.99</v>
      </c>
      <c r="M4352" s="4" t="n">
        <v>0.05</v>
      </c>
      <c r="N4352" s="3" t="n">
        <v>1272.63</v>
      </c>
      <c r="O4352" s="3">
        <f>K4352*L4352*(1-M4352)</f>
        <v/>
      </c>
      <c r="P4352" s="3">
        <f>O4352-N4352</f>
        <v/>
      </c>
      <c r="Q4352" s="5">
        <f>IFERROR(P4352/O4352,0)</f>
        <v/>
      </c>
      <c r="R4352" s="2">
        <f>TEXT(DATEVALUE(B4352),"mmm")</f>
        <v/>
      </c>
      <c r="S4352" s="2">
        <f>TEXT(DATEVALUE(B4352),"yyyy-mm")</f>
        <v/>
      </c>
    </row>
    <row r="4353">
      <c r="A4353" s="2" t="inlineStr">
        <is>
          <t>O000197</t>
        </is>
      </c>
      <c r="B4353" s="2" t="inlineStr">
        <is>
          <t>2025-11-14</t>
        </is>
      </c>
      <c r="C4353" s="2" t="inlineStr">
        <is>
          <t>C0015</t>
        </is>
      </c>
      <c r="D4353" s="2" t="inlineStr">
        <is>
          <t>P0015</t>
        </is>
      </c>
      <c r="E4353" s="2" t="inlineStr">
        <is>
          <t>Running Shoes</t>
        </is>
      </c>
      <c r="F4353" s="2" t="inlineStr">
        <is>
          <t>Fashion</t>
        </is>
      </c>
      <c r="G4353" s="2" t="inlineStr">
        <is>
          <t>West</t>
        </is>
      </c>
      <c r="H4353" s="2" t="inlineStr">
        <is>
          <t>Goa</t>
        </is>
      </c>
      <c r="I4353" s="2" t="inlineStr">
        <is>
          <t>Margao</t>
        </is>
      </c>
      <c r="J4353" s="2" t="inlineStr">
        <is>
          <t>Store</t>
        </is>
      </c>
      <c r="K4353" s="2" t="n">
        <v>1</v>
      </c>
      <c r="L4353" s="3" t="n">
        <v>579.08</v>
      </c>
      <c r="M4353" s="4" t="n">
        <v>0.25</v>
      </c>
      <c r="N4353" s="3" t="n">
        <v>359.03</v>
      </c>
      <c r="O4353" s="3">
        <f>K4353*L4353*(1-M4353)</f>
        <v/>
      </c>
      <c r="P4353" s="3">
        <f>O4353-N4353</f>
        <v/>
      </c>
      <c r="Q4353" s="5">
        <f>IFERROR(P4353/O4353,0)</f>
        <v/>
      </c>
      <c r="R4353" s="2">
        <f>TEXT(DATEVALUE(B4353),"mmm")</f>
        <v/>
      </c>
      <c r="S4353" s="2">
        <f>TEXT(DATEVALUE(B4353),"yyyy-mm")</f>
        <v/>
      </c>
    </row>
    <row r="4354">
      <c r="A4354" s="2" t="inlineStr">
        <is>
          <t>O001618</t>
        </is>
      </c>
      <c r="B4354" s="2" t="inlineStr">
        <is>
          <t>2025-11-14</t>
        </is>
      </c>
      <c r="C4354" s="2" t="inlineStr">
        <is>
          <t>C0735</t>
        </is>
      </c>
      <c r="D4354" s="2" t="inlineStr">
        <is>
          <t>P0003</t>
        </is>
      </c>
      <c r="E4354" s="2" t="inlineStr">
        <is>
          <t>Smartwatch</t>
        </is>
      </c>
      <c r="F4354" s="2" t="inlineStr">
        <is>
          <t>Electronics</t>
        </is>
      </c>
      <c r="G4354" s="2" t="inlineStr">
        <is>
          <t>East</t>
        </is>
      </c>
      <c r="H4354" s="2" t="inlineStr">
        <is>
          <t>Bihar</t>
        </is>
      </c>
      <c r="I4354" s="2" t="inlineStr">
        <is>
          <t>Patna</t>
        </is>
      </c>
      <c r="J4354" s="2" t="inlineStr">
        <is>
          <t>Online</t>
        </is>
      </c>
      <c r="K4354" s="2" t="n">
        <v>2</v>
      </c>
      <c r="L4354" s="3" t="n">
        <v>2323.87</v>
      </c>
      <c r="M4354" s="4" t="n">
        <v>0</v>
      </c>
      <c r="N4354" s="3" t="n">
        <v>2299.98</v>
      </c>
      <c r="O4354" s="3">
        <f>K4354*L4354*(1-M4354)</f>
        <v/>
      </c>
      <c r="P4354" s="3">
        <f>O4354-N4354</f>
        <v/>
      </c>
      <c r="Q4354" s="5">
        <f>IFERROR(P4354/O4354,0)</f>
        <v/>
      </c>
      <c r="R4354" s="2">
        <f>TEXT(DATEVALUE(B4354),"mmm")</f>
        <v/>
      </c>
      <c r="S4354" s="2">
        <f>TEXT(DATEVALUE(B4354),"yyyy-mm")</f>
        <v/>
      </c>
    </row>
    <row r="4355">
      <c r="A4355" s="2" t="inlineStr">
        <is>
          <t>O001507</t>
        </is>
      </c>
      <c r="B4355" s="2" t="inlineStr">
        <is>
          <t>2025-11-14</t>
        </is>
      </c>
      <c r="C4355" s="2" t="inlineStr">
        <is>
          <t>C0277</t>
        </is>
      </c>
      <c r="D4355" s="2" t="inlineStr">
        <is>
          <t>P0031</t>
        </is>
      </c>
      <c r="E4355" s="2" t="inlineStr">
        <is>
          <t>Cricket Bat</t>
        </is>
      </c>
      <c r="F4355" s="2" t="inlineStr">
        <is>
          <t>Sports</t>
        </is>
      </c>
      <c r="G4355" s="2" t="inlineStr">
        <is>
          <t>West</t>
        </is>
      </c>
      <c r="H4355" s="2" t="inlineStr">
        <is>
          <t>Maharashtra</t>
        </is>
      </c>
      <c r="I4355" s="2" t="inlineStr">
        <is>
          <t>Thane</t>
        </is>
      </c>
      <c r="J4355" s="2" t="inlineStr">
        <is>
          <t>Store</t>
        </is>
      </c>
      <c r="K4355" s="2" t="n">
        <v>2</v>
      </c>
      <c r="L4355" s="3" t="n">
        <v>1446.2</v>
      </c>
      <c r="M4355" s="4" t="n">
        <v>0.1</v>
      </c>
      <c r="N4355" s="3" t="n">
        <v>1830.31</v>
      </c>
      <c r="O4355" s="3">
        <f>K4355*L4355*(1-M4355)</f>
        <v/>
      </c>
      <c r="P4355" s="3">
        <f>O4355-N4355</f>
        <v/>
      </c>
      <c r="Q4355" s="5">
        <f>IFERROR(P4355/O4355,0)</f>
        <v/>
      </c>
      <c r="R4355" s="2">
        <f>TEXT(DATEVALUE(B4355),"mmm")</f>
        <v/>
      </c>
      <c r="S4355" s="2">
        <f>TEXT(DATEVALUE(B4355),"yyyy-mm")</f>
        <v/>
      </c>
    </row>
    <row r="4356">
      <c r="A4356" s="2" t="inlineStr">
        <is>
          <t>O001435</t>
        </is>
      </c>
      <c r="B4356" s="2" t="inlineStr">
        <is>
          <t>2025-11-14</t>
        </is>
      </c>
      <c r="C4356" s="2" t="inlineStr">
        <is>
          <t>C0684</t>
        </is>
      </c>
      <c r="D4356" s="2" t="inlineStr">
        <is>
          <t>P0004</t>
        </is>
      </c>
      <c r="E4356" s="2" t="inlineStr">
        <is>
          <t>USB-C Hub</t>
        </is>
      </c>
      <c r="F4356" s="2" t="inlineStr">
        <is>
          <t>Electronics</t>
        </is>
      </c>
      <c r="G4356" s="2" t="inlineStr">
        <is>
          <t>South</t>
        </is>
      </c>
      <c r="H4356" s="2" t="inlineStr">
        <is>
          <t>Karnataka</t>
        </is>
      </c>
      <c r="I4356" s="2" t="inlineStr">
        <is>
          <t>Mysuru</t>
        </is>
      </c>
      <c r="J4356" s="2" t="inlineStr">
        <is>
          <t>Online</t>
        </is>
      </c>
      <c r="K4356" s="2" t="n">
        <v>1</v>
      </c>
      <c r="L4356" s="3" t="n">
        <v>1217.59</v>
      </c>
      <c r="M4356" s="4" t="n">
        <v>0</v>
      </c>
      <c r="N4356" s="3" t="n">
        <v>913.5</v>
      </c>
      <c r="O4356" s="3">
        <f>K4356*L4356*(1-M4356)</f>
        <v/>
      </c>
      <c r="P4356" s="3">
        <f>O4356-N4356</f>
        <v/>
      </c>
      <c r="Q4356" s="5">
        <f>IFERROR(P4356/O4356,0)</f>
        <v/>
      </c>
      <c r="R4356" s="2">
        <f>TEXT(DATEVALUE(B4356),"mmm")</f>
        <v/>
      </c>
      <c r="S4356" s="2">
        <f>TEXT(DATEVALUE(B4356),"yyyy-mm")</f>
        <v/>
      </c>
    </row>
    <row r="4357">
      <c r="A4357" s="2" t="inlineStr">
        <is>
          <t>O001220</t>
        </is>
      </c>
      <c r="B4357" s="2" t="inlineStr">
        <is>
          <t>2025-11-14</t>
        </is>
      </c>
      <c r="C4357" s="2" t="inlineStr">
        <is>
          <t>C0063</t>
        </is>
      </c>
      <c r="D4357" s="2" t="inlineStr">
        <is>
          <t>P0021</t>
        </is>
      </c>
      <c r="E4357" s="2" t="inlineStr">
        <is>
          <t>Wallet</t>
        </is>
      </c>
      <c r="F4357" s="2" t="inlineStr">
        <is>
          <t>Fashion</t>
        </is>
      </c>
      <c r="G4357" s="2" t="inlineStr">
        <is>
          <t>West</t>
        </is>
      </c>
      <c r="H4357" s="2" t="inlineStr">
        <is>
          <t>Goa</t>
        </is>
      </c>
      <c r="I4357" s="2" t="inlineStr">
        <is>
          <t>Margao</t>
        </is>
      </c>
      <c r="J4357" s="2" t="inlineStr">
        <is>
          <t>Store</t>
        </is>
      </c>
      <c r="K4357" s="2" t="n">
        <v>2</v>
      </c>
      <c r="L4357" s="3" t="n">
        <v>2065.13</v>
      </c>
      <c r="M4357" s="4" t="n">
        <v>0</v>
      </c>
      <c r="N4357" s="3" t="n">
        <v>2421.14</v>
      </c>
      <c r="O4357" s="3">
        <f>K4357*L4357*(1-M4357)</f>
        <v/>
      </c>
      <c r="P4357" s="3">
        <f>O4357-N4357</f>
        <v/>
      </c>
      <c r="Q4357" s="5">
        <f>IFERROR(P4357/O4357,0)</f>
        <v/>
      </c>
      <c r="R4357" s="2">
        <f>TEXT(DATEVALUE(B4357),"mmm")</f>
        <v/>
      </c>
      <c r="S4357" s="2">
        <f>TEXT(DATEVALUE(B4357),"yyyy-mm")</f>
        <v/>
      </c>
    </row>
    <row r="4358">
      <c r="A4358" s="2" t="inlineStr">
        <is>
          <t>O001023</t>
        </is>
      </c>
      <c r="B4358" s="2" t="inlineStr">
        <is>
          <t>2025-11-14</t>
        </is>
      </c>
      <c r="C4358" s="2" t="inlineStr">
        <is>
          <t>C0355</t>
        </is>
      </c>
      <c r="D4358" s="2" t="inlineStr">
        <is>
          <t>P0022</t>
        </is>
      </c>
      <c r="E4358" s="2" t="inlineStr">
        <is>
          <t>Face Wash</t>
        </is>
      </c>
      <c r="F4358" s="2" t="inlineStr">
        <is>
          <t>Beauty</t>
        </is>
      </c>
      <c r="G4358" s="2" t="inlineStr">
        <is>
          <t>South</t>
        </is>
      </c>
      <c r="H4358" s="2" t="inlineStr">
        <is>
          <t>Telangana</t>
        </is>
      </c>
      <c r="I4358" s="2" t="inlineStr">
        <is>
          <t>Warangal</t>
        </is>
      </c>
      <c r="J4358" s="2" t="inlineStr">
        <is>
          <t>Store</t>
        </is>
      </c>
      <c r="K4358" s="2" t="n">
        <v>2</v>
      </c>
      <c r="L4358" s="3" t="n">
        <v>554.6900000000001</v>
      </c>
      <c r="M4358" s="4" t="n">
        <v>0.15</v>
      </c>
      <c r="N4358" s="3" t="n">
        <v>724.71</v>
      </c>
      <c r="O4358" s="3">
        <f>K4358*L4358*(1-M4358)</f>
        <v/>
      </c>
      <c r="P4358" s="3">
        <f>O4358-N4358</f>
        <v/>
      </c>
      <c r="Q4358" s="5">
        <f>IFERROR(P4358/O4358,0)</f>
        <v/>
      </c>
      <c r="R4358" s="2">
        <f>TEXT(DATEVALUE(B4358),"mmm")</f>
        <v/>
      </c>
      <c r="S4358" s="2">
        <f>TEXT(DATEVALUE(B4358),"yyyy-mm")</f>
        <v/>
      </c>
    </row>
    <row r="4359">
      <c r="A4359" s="2" t="inlineStr">
        <is>
          <t>O000952</t>
        </is>
      </c>
      <c r="B4359" s="2" t="inlineStr">
        <is>
          <t>2025-11-14</t>
        </is>
      </c>
      <c r="C4359" s="2" t="inlineStr">
        <is>
          <t>C0394</t>
        </is>
      </c>
      <c r="D4359" s="2" t="inlineStr">
        <is>
          <t>P0007</t>
        </is>
      </c>
      <c r="E4359" s="2" t="inlineStr">
        <is>
          <t>Wireless Mouse</t>
        </is>
      </c>
      <c r="F4359" s="2" t="inlineStr">
        <is>
          <t>Electronics</t>
        </is>
      </c>
      <c r="G4359" s="2" t="inlineStr">
        <is>
          <t>North</t>
        </is>
      </c>
      <c r="H4359" s="2" t="inlineStr">
        <is>
          <t>Haryana</t>
        </is>
      </c>
      <c r="I4359" s="2" t="inlineStr">
        <is>
          <t>Faridabad</t>
        </is>
      </c>
      <c r="J4359" s="2" t="inlineStr">
        <is>
          <t>Store</t>
        </is>
      </c>
      <c r="K4359" s="2" t="n">
        <v>3</v>
      </c>
      <c r="L4359" s="3" t="n">
        <v>961.3099999999999</v>
      </c>
      <c r="M4359" s="4" t="n">
        <v>0.1</v>
      </c>
      <c r="N4359" s="3" t="n">
        <v>1814.62</v>
      </c>
      <c r="O4359" s="3">
        <f>K4359*L4359*(1-M4359)</f>
        <v/>
      </c>
      <c r="P4359" s="3">
        <f>O4359-N4359</f>
        <v/>
      </c>
      <c r="Q4359" s="5">
        <f>IFERROR(P4359/O4359,0)</f>
        <v/>
      </c>
      <c r="R4359" s="2">
        <f>TEXT(DATEVALUE(B4359),"mmm")</f>
        <v/>
      </c>
      <c r="S4359" s="2">
        <f>TEXT(DATEVALUE(B4359),"yyyy-mm")</f>
        <v/>
      </c>
    </row>
    <row r="4360">
      <c r="A4360" s="2" t="inlineStr">
        <is>
          <t>O000441</t>
        </is>
      </c>
      <c r="B4360" s="2" t="inlineStr">
        <is>
          <t>2025-11-14</t>
        </is>
      </c>
      <c r="C4360" s="2" t="inlineStr">
        <is>
          <t>C0474</t>
        </is>
      </c>
      <c r="D4360" s="2" t="inlineStr">
        <is>
          <t>P0006</t>
        </is>
      </c>
      <c r="E4360" s="2" t="inlineStr">
        <is>
          <t>Mechanical Keyboard</t>
        </is>
      </c>
      <c r="F4360" s="2" t="inlineStr">
        <is>
          <t>Electronics</t>
        </is>
      </c>
      <c r="G4360" s="2" t="inlineStr">
        <is>
          <t>North</t>
        </is>
      </c>
      <c r="H4360" s="2" t="inlineStr">
        <is>
          <t>Delhi</t>
        </is>
      </c>
      <c r="I4360" s="2" t="inlineStr">
        <is>
          <t>New Delhi</t>
        </is>
      </c>
      <c r="J4360" s="2" t="inlineStr">
        <is>
          <t>Online</t>
        </is>
      </c>
      <c r="K4360" s="2" t="n">
        <v>3</v>
      </c>
      <c r="L4360" s="3" t="n">
        <v>2757.39</v>
      </c>
      <c r="M4360" s="4" t="n">
        <v>0.05</v>
      </c>
      <c r="N4360" s="3" t="n">
        <v>4506.2</v>
      </c>
      <c r="O4360" s="3">
        <f>K4360*L4360*(1-M4360)</f>
        <v/>
      </c>
      <c r="P4360" s="3">
        <f>O4360-N4360</f>
        <v/>
      </c>
      <c r="Q4360" s="5">
        <f>IFERROR(P4360/O4360,0)</f>
        <v/>
      </c>
      <c r="R4360" s="2">
        <f>TEXT(DATEVALUE(B4360),"mmm")</f>
        <v/>
      </c>
      <c r="S4360" s="2">
        <f>TEXT(DATEVALUE(B4360),"yyyy-mm")</f>
        <v/>
      </c>
    </row>
    <row r="4361">
      <c r="A4361" s="2" t="inlineStr">
        <is>
          <t>O000184</t>
        </is>
      </c>
      <c r="B4361" s="2" t="inlineStr">
        <is>
          <t>2025-11-14</t>
        </is>
      </c>
      <c r="C4361" s="2" t="inlineStr">
        <is>
          <t>C0568</t>
        </is>
      </c>
      <c r="D4361" s="2" t="inlineStr">
        <is>
          <t>P0007</t>
        </is>
      </c>
      <c r="E4361" s="2" t="inlineStr">
        <is>
          <t>Wireless Mouse</t>
        </is>
      </c>
      <c r="F4361" s="2" t="inlineStr">
        <is>
          <t>Electronics</t>
        </is>
      </c>
      <c r="G4361" s="2" t="inlineStr">
        <is>
          <t>West</t>
        </is>
      </c>
      <c r="H4361" s="2" t="inlineStr">
        <is>
          <t>Gujarat</t>
        </is>
      </c>
      <c r="I4361" s="2" t="inlineStr">
        <is>
          <t>Ahmedabad</t>
        </is>
      </c>
      <c r="J4361" s="2" t="inlineStr">
        <is>
          <t>Online</t>
        </is>
      </c>
      <c r="K4361" s="2" t="n">
        <v>6</v>
      </c>
      <c r="L4361" s="3" t="n">
        <v>971.84</v>
      </c>
      <c r="M4361" s="4" t="n">
        <v>0.15</v>
      </c>
      <c r="N4361" s="3" t="n">
        <v>3655.38</v>
      </c>
      <c r="O4361" s="3">
        <f>K4361*L4361*(1-M4361)</f>
        <v/>
      </c>
      <c r="P4361" s="3">
        <f>O4361-N4361</f>
        <v/>
      </c>
      <c r="Q4361" s="5">
        <f>IFERROR(P4361/O4361,0)</f>
        <v/>
      </c>
      <c r="R4361" s="2">
        <f>TEXT(DATEVALUE(B4361),"mmm")</f>
        <v/>
      </c>
      <c r="S4361" s="2">
        <f>TEXT(DATEVALUE(B4361),"yyyy-mm")</f>
        <v/>
      </c>
    </row>
    <row r="4362">
      <c r="A4362" s="2" t="inlineStr">
        <is>
          <t>O001855</t>
        </is>
      </c>
      <c r="B4362" s="2" t="inlineStr">
        <is>
          <t>2025-11-14</t>
        </is>
      </c>
      <c r="C4362" s="2" t="inlineStr">
        <is>
          <t>C0355</t>
        </is>
      </c>
      <c r="D4362" s="2" t="inlineStr">
        <is>
          <t>P0016</t>
        </is>
      </c>
      <c r="E4362" s="2" t="inlineStr">
        <is>
          <t>Casual Shirt</t>
        </is>
      </c>
      <c r="F4362" s="2" t="inlineStr">
        <is>
          <t>Fashion</t>
        </is>
      </c>
      <c r="G4362" s="2" t="inlineStr">
        <is>
          <t>West</t>
        </is>
      </c>
      <c r="H4362" s="2" t="inlineStr">
        <is>
          <t>Goa</t>
        </is>
      </c>
      <c r="I4362" s="2" t="inlineStr">
        <is>
          <t>Panaji</t>
        </is>
      </c>
      <c r="J4362" s="2" t="inlineStr">
        <is>
          <t>Store</t>
        </is>
      </c>
      <c r="K4362" s="2" t="n">
        <v>1</v>
      </c>
      <c r="L4362" s="3" t="n">
        <v>1287.11</v>
      </c>
      <c r="M4362" s="4" t="n">
        <v>0.1</v>
      </c>
      <c r="N4362" s="3" t="n">
        <v>893.4400000000001</v>
      </c>
      <c r="O4362" s="3">
        <f>K4362*L4362*(1-M4362)</f>
        <v/>
      </c>
      <c r="P4362" s="3">
        <f>O4362-N4362</f>
        <v/>
      </c>
      <c r="Q4362" s="5">
        <f>IFERROR(P4362/O4362,0)</f>
        <v/>
      </c>
      <c r="R4362" s="2">
        <f>TEXT(DATEVALUE(B4362),"mmm")</f>
        <v/>
      </c>
      <c r="S4362" s="2">
        <f>TEXT(DATEVALUE(B4362),"yyyy-mm")</f>
        <v/>
      </c>
    </row>
    <row r="4363">
      <c r="A4363" s="2" t="inlineStr">
        <is>
          <t>O004299</t>
        </is>
      </c>
      <c r="B4363" s="2" t="inlineStr">
        <is>
          <t>2025-11-15</t>
        </is>
      </c>
      <c r="C4363" s="2" t="inlineStr">
        <is>
          <t>C0249</t>
        </is>
      </c>
      <c r="D4363" s="2" t="inlineStr">
        <is>
          <t>P0012</t>
        </is>
      </c>
      <c r="E4363" s="2" t="inlineStr">
        <is>
          <t>Water Bottle</t>
        </is>
      </c>
      <c r="F4363" s="2" t="inlineStr">
        <is>
          <t>Home &amp; Kitchen</t>
        </is>
      </c>
      <c r="G4363" s="2" t="inlineStr">
        <is>
          <t>West</t>
        </is>
      </c>
      <c r="H4363" s="2" t="inlineStr">
        <is>
          <t>Gujarat</t>
        </is>
      </c>
      <c r="I4363" s="2" t="inlineStr">
        <is>
          <t>Vadodara</t>
        </is>
      </c>
      <c r="J4363" s="2" t="inlineStr">
        <is>
          <t>Online</t>
        </is>
      </c>
      <c r="K4363" s="2" t="n">
        <v>2</v>
      </c>
      <c r="L4363" s="3" t="n">
        <v>1010.37</v>
      </c>
      <c r="M4363" s="4" t="n">
        <v>0.1</v>
      </c>
      <c r="N4363" s="3" t="n">
        <v>1247.7</v>
      </c>
      <c r="O4363" s="3">
        <f>K4363*L4363*(1-M4363)</f>
        <v/>
      </c>
      <c r="P4363" s="3">
        <f>O4363-N4363</f>
        <v/>
      </c>
      <c r="Q4363" s="5">
        <f>IFERROR(P4363/O4363,0)</f>
        <v/>
      </c>
      <c r="R4363" s="2">
        <f>TEXT(DATEVALUE(B4363),"mmm")</f>
        <v/>
      </c>
      <c r="S4363" s="2">
        <f>TEXT(DATEVALUE(B4363),"yyyy-mm")</f>
        <v/>
      </c>
    </row>
    <row r="4364">
      <c r="A4364" s="2" t="inlineStr">
        <is>
          <t>O002930</t>
        </is>
      </c>
      <c r="B4364" s="2" t="inlineStr">
        <is>
          <t>2025-11-15</t>
        </is>
      </c>
      <c r="C4364" s="2" t="inlineStr">
        <is>
          <t>C0388</t>
        </is>
      </c>
      <c r="D4364" s="2" t="inlineStr">
        <is>
          <t>P0022</t>
        </is>
      </c>
      <c r="E4364" s="2" t="inlineStr">
        <is>
          <t>Face Wash</t>
        </is>
      </c>
      <c r="F4364" s="2" t="inlineStr">
        <is>
          <t>Beauty</t>
        </is>
      </c>
      <c r="G4364" s="2" t="inlineStr">
        <is>
          <t>West</t>
        </is>
      </c>
      <c r="H4364" s="2" t="inlineStr">
        <is>
          <t>Maharashtra</t>
        </is>
      </c>
      <c r="I4364" s="2" t="inlineStr">
        <is>
          <t>Nashik</t>
        </is>
      </c>
      <c r="J4364" s="2" t="inlineStr">
        <is>
          <t>Store</t>
        </is>
      </c>
      <c r="K4364" s="2" t="n">
        <v>1</v>
      </c>
      <c r="L4364" s="3" t="n">
        <v>571.8</v>
      </c>
      <c r="M4364" s="4" t="n">
        <v>0.1</v>
      </c>
      <c r="N4364" s="3" t="n">
        <v>348.72</v>
      </c>
      <c r="O4364" s="3">
        <f>K4364*L4364*(1-M4364)</f>
        <v/>
      </c>
      <c r="P4364" s="3">
        <f>O4364-N4364</f>
        <v/>
      </c>
      <c r="Q4364" s="5">
        <f>IFERROR(P4364/O4364,0)</f>
        <v/>
      </c>
      <c r="R4364" s="2">
        <f>TEXT(DATEVALUE(B4364),"mmm")</f>
        <v/>
      </c>
      <c r="S4364" s="2">
        <f>TEXT(DATEVALUE(B4364),"yyyy-mm")</f>
        <v/>
      </c>
    </row>
    <row r="4365">
      <c r="A4365" s="2" t="inlineStr">
        <is>
          <t>O001013</t>
        </is>
      </c>
      <c r="B4365" s="2" t="inlineStr">
        <is>
          <t>2025-11-15</t>
        </is>
      </c>
      <c r="C4365" s="2" t="inlineStr">
        <is>
          <t>C0446</t>
        </is>
      </c>
      <c r="D4365" s="2" t="inlineStr">
        <is>
          <t>P0007</t>
        </is>
      </c>
      <c r="E4365" s="2" t="inlineStr">
        <is>
          <t>Wireless Mouse</t>
        </is>
      </c>
      <c r="F4365" s="2" t="inlineStr">
        <is>
          <t>Electronics</t>
        </is>
      </c>
      <c r="G4365" s="2" t="inlineStr">
        <is>
          <t>South</t>
        </is>
      </c>
      <c r="H4365" s="2" t="inlineStr">
        <is>
          <t>Kerala</t>
        </is>
      </c>
      <c r="I4365" s="2" t="inlineStr">
        <is>
          <t>Thiruvananthapuram</t>
        </is>
      </c>
      <c r="J4365" s="2" t="inlineStr">
        <is>
          <t>Online</t>
        </is>
      </c>
      <c r="K4365" s="2" t="n">
        <v>4</v>
      </c>
      <c r="L4365" s="3" t="n">
        <v>996.58</v>
      </c>
      <c r="M4365" s="4" t="n">
        <v>0.25</v>
      </c>
      <c r="N4365" s="3" t="n">
        <v>2516.46</v>
      </c>
      <c r="O4365" s="3">
        <f>K4365*L4365*(1-M4365)</f>
        <v/>
      </c>
      <c r="P4365" s="3">
        <f>O4365-N4365</f>
        <v/>
      </c>
      <c r="Q4365" s="5">
        <f>IFERROR(P4365/O4365,0)</f>
        <v/>
      </c>
      <c r="R4365" s="2">
        <f>TEXT(DATEVALUE(B4365),"mmm")</f>
        <v/>
      </c>
      <c r="S4365" s="2">
        <f>TEXT(DATEVALUE(B4365),"yyyy-mm")</f>
        <v/>
      </c>
    </row>
    <row r="4366">
      <c r="A4366" s="2" t="inlineStr">
        <is>
          <t>O004517</t>
        </is>
      </c>
      <c r="B4366" s="2" t="inlineStr">
        <is>
          <t>2025-11-15</t>
        </is>
      </c>
      <c r="C4366" s="2" t="inlineStr">
        <is>
          <t>C0166</t>
        </is>
      </c>
      <c r="D4366" s="2" t="inlineStr">
        <is>
          <t>P0013</t>
        </is>
      </c>
      <c r="E4366" s="2" t="inlineStr">
        <is>
          <t>Storage Organizer</t>
        </is>
      </c>
      <c r="F4366" s="2" t="inlineStr">
        <is>
          <t>Home &amp; Kitchen</t>
        </is>
      </c>
      <c r="G4366" s="2" t="inlineStr">
        <is>
          <t>North</t>
        </is>
      </c>
      <c r="H4366" s="2" t="inlineStr">
        <is>
          <t>Uttar Pradesh</t>
        </is>
      </c>
      <c r="I4366" s="2" t="inlineStr">
        <is>
          <t>Lucknow</t>
        </is>
      </c>
      <c r="J4366" s="2" t="inlineStr">
        <is>
          <t>Online</t>
        </is>
      </c>
      <c r="K4366" s="2" t="n">
        <v>2</v>
      </c>
      <c r="L4366" s="3" t="n">
        <v>550.34</v>
      </c>
      <c r="M4366" s="4" t="n">
        <v>0.15</v>
      </c>
      <c r="N4366" s="3" t="n">
        <v>700.62</v>
      </c>
      <c r="O4366" s="3">
        <f>K4366*L4366*(1-M4366)</f>
        <v/>
      </c>
      <c r="P4366" s="3">
        <f>O4366-N4366</f>
        <v/>
      </c>
      <c r="Q4366" s="5">
        <f>IFERROR(P4366/O4366,0)</f>
        <v/>
      </c>
      <c r="R4366" s="2">
        <f>TEXT(DATEVALUE(B4366),"mmm")</f>
        <v/>
      </c>
      <c r="S4366" s="2">
        <f>TEXT(DATEVALUE(B4366),"yyyy-mm")</f>
        <v/>
      </c>
    </row>
    <row r="4367">
      <c r="A4367" s="2" t="inlineStr">
        <is>
          <t>O002765</t>
        </is>
      </c>
      <c r="B4367" s="2" t="inlineStr">
        <is>
          <t>2025-11-15</t>
        </is>
      </c>
      <c r="C4367" s="2" t="inlineStr">
        <is>
          <t>C0208</t>
        </is>
      </c>
      <c r="D4367" s="2" t="inlineStr">
        <is>
          <t>P0003</t>
        </is>
      </c>
      <c r="E4367" s="2" t="inlineStr">
        <is>
          <t>Smartwatch</t>
        </is>
      </c>
      <c r="F4367" s="2" t="inlineStr">
        <is>
          <t>Electronics</t>
        </is>
      </c>
      <c r="G4367" s="2" t="inlineStr">
        <is>
          <t>West</t>
        </is>
      </c>
      <c r="H4367" s="2" t="inlineStr">
        <is>
          <t>Gujarat</t>
        </is>
      </c>
      <c r="I4367" s="2" t="inlineStr">
        <is>
          <t>Vadodara</t>
        </is>
      </c>
      <c r="J4367" s="2" t="inlineStr">
        <is>
          <t>Store</t>
        </is>
      </c>
      <c r="K4367" s="2" t="n">
        <v>4</v>
      </c>
      <c r="L4367" s="3" t="n">
        <v>2297.27</v>
      </c>
      <c r="M4367" s="4" t="n">
        <v>0.1</v>
      </c>
      <c r="N4367" s="3" t="n">
        <v>4612.35</v>
      </c>
      <c r="O4367" s="3">
        <f>K4367*L4367*(1-M4367)</f>
        <v/>
      </c>
      <c r="P4367" s="3">
        <f>O4367-N4367</f>
        <v/>
      </c>
      <c r="Q4367" s="5">
        <f>IFERROR(P4367/O4367,0)</f>
        <v/>
      </c>
      <c r="R4367" s="2">
        <f>TEXT(DATEVALUE(B4367),"mmm")</f>
        <v/>
      </c>
      <c r="S4367" s="2">
        <f>TEXT(DATEVALUE(B4367),"yyyy-mm")</f>
        <v/>
      </c>
    </row>
    <row r="4368">
      <c r="A4368" s="2" t="inlineStr">
        <is>
          <t>O004434</t>
        </is>
      </c>
      <c r="B4368" s="2" t="inlineStr">
        <is>
          <t>2025-11-15</t>
        </is>
      </c>
      <c r="C4368" s="2" t="inlineStr">
        <is>
          <t>C0330</t>
        </is>
      </c>
      <c r="D4368" s="2" t="inlineStr">
        <is>
          <t>P0016</t>
        </is>
      </c>
      <c r="E4368" s="2" t="inlineStr">
        <is>
          <t>Casual Shirt</t>
        </is>
      </c>
      <c r="F4368" s="2" t="inlineStr">
        <is>
          <t>Fashion</t>
        </is>
      </c>
      <c r="G4368" s="2" t="inlineStr">
        <is>
          <t>East</t>
        </is>
      </c>
      <c r="H4368" s="2" t="inlineStr">
        <is>
          <t>Bihar</t>
        </is>
      </c>
      <c r="I4368" s="2" t="inlineStr">
        <is>
          <t>Gaya</t>
        </is>
      </c>
      <c r="J4368" s="2" t="inlineStr">
        <is>
          <t>Online</t>
        </is>
      </c>
      <c r="K4368" s="2" t="n">
        <v>5</v>
      </c>
      <c r="L4368" s="3" t="n">
        <v>1239.25</v>
      </c>
      <c r="M4368" s="4" t="n">
        <v>0</v>
      </c>
      <c r="N4368" s="3" t="n">
        <v>4482.81</v>
      </c>
      <c r="O4368" s="3">
        <f>K4368*L4368*(1-M4368)</f>
        <v/>
      </c>
      <c r="P4368" s="3">
        <f>O4368-N4368</f>
        <v/>
      </c>
      <c r="Q4368" s="5">
        <f>IFERROR(P4368/O4368,0)</f>
        <v/>
      </c>
      <c r="R4368" s="2">
        <f>TEXT(DATEVALUE(B4368),"mmm")</f>
        <v/>
      </c>
      <c r="S4368" s="2">
        <f>TEXT(DATEVALUE(B4368),"yyyy-mm")</f>
        <v/>
      </c>
    </row>
    <row r="4369">
      <c r="A4369" s="2" t="inlineStr">
        <is>
          <t>O002747</t>
        </is>
      </c>
      <c r="B4369" s="2" t="inlineStr">
        <is>
          <t>2025-11-15</t>
        </is>
      </c>
      <c r="C4369" s="2" t="inlineStr">
        <is>
          <t>C0137</t>
        </is>
      </c>
      <c r="D4369" s="2" t="inlineStr">
        <is>
          <t>P0023</t>
        </is>
      </c>
      <c r="E4369" s="2" t="inlineStr">
        <is>
          <t>Skin Care Kit</t>
        </is>
      </c>
      <c r="F4369" s="2" t="inlineStr">
        <is>
          <t>Beauty</t>
        </is>
      </c>
      <c r="G4369" s="2" t="inlineStr">
        <is>
          <t>South</t>
        </is>
      </c>
      <c r="H4369" s="2" t="inlineStr">
        <is>
          <t>Telangana</t>
        </is>
      </c>
      <c r="I4369" s="2" t="inlineStr">
        <is>
          <t>Warangal</t>
        </is>
      </c>
      <c r="J4369" s="2" t="inlineStr">
        <is>
          <t>Store</t>
        </is>
      </c>
      <c r="K4369" s="2" t="n">
        <v>2</v>
      </c>
      <c r="L4369" s="3" t="n">
        <v>1407.04</v>
      </c>
      <c r="M4369" s="4" t="n">
        <v>0.1</v>
      </c>
      <c r="N4369" s="3" t="n">
        <v>1808.88</v>
      </c>
      <c r="O4369" s="3">
        <f>K4369*L4369*(1-M4369)</f>
        <v/>
      </c>
      <c r="P4369" s="3">
        <f>O4369-N4369</f>
        <v/>
      </c>
      <c r="Q4369" s="5">
        <f>IFERROR(P4369/O4369,0)</f>
        <v/>
      </c>
      <c r="R4369" s="2">
        <f>TEXT(DATEVALUE(B4369),"mmm")</f>
        <v/>
      </c>
      <c r="S4369" s="2">
        <f>TEXT(DATEVALUE(B4369),"yyyy-mm")</f>
        <v/>
      </c>
    </row>
    <row r="4370">
      <c r="A4370" s="2" t="inlineStr">
        <is>
          <t>O000434</t>
        </is>
      </c>
      <c r="B4370" s="2" t="inlineStr">
        <is>
          <t>2025-11-15</t>
        </is>
      </c>
      <c r="C4370" s="2" t="inlineStr">
        <is>
          <t>C0004</t>
        </is>
      </c>
      <c r="D4370" s="2" t="inlineStr">
        <is>
          <t>P0007</t>
        </is>
      </c>
      <c r="E4370" s="2" t="inlineStr">
        <is>
          <t>Wireless Mouse</t>
        </is>
      </c>
      <c r="F4370" s="2" t="inlineStr">
        <is>
          <t>Electronics</t>
        </is>
      </c>
      <c r="G4370" s="2" t="inlineStr">
        <is>
          <t>West</t>
        </is>
      </c>
      <c r="H4370" s="2" t="inlineStr">
        <is>
          <t>Maharashtra</t>
        </is>
      </c>
      <c r="I4370" s="2" t="inlineStr">
        <is>
          <t>Mumbai</t>
        </is>
      </c>
      <c r="J4370" s="2" t="inlineStr">
        <is>
          <t>Online</t>
        </is>
      </c>
      <c r="K4370" s="2" t="n">
        <v>3</v>
      </c>
      <c r="L4370" s="3" t="n">
        <v>1004.15</v>
      </c>
      <c r="M4370" s="4" t="n">
        <v>0.1</v>
      </c>
      <c r="N4370" s="3" t="n">
        <v>1891.52</v>
      </c>
      <c r="O4370" s="3">
        <f>K4370*L4370*(1-M4370)</f>
        <v/>
      </c>
      <c r="P4370" s="3">
        <f>O4370-N4370</f>
        <v/>
      </c>
      <c r="Q4370" s="5">
        <f>IFERROR(P4370/O4370,0)</f>
        <v/>
      </c>
      <c r="R4370" s="2">
        <f>TEXT(DATEVALUE(B4370),"mmm")</f>
        <v/>
      </c>
      <c r="S4370" s="2">
        <f>TEXT(DATEVALUE(B4370),"yyyy-mm")</f>
        <v/>
      </c>
    </row>
    <row r="4371">
      <c r="A4371" s="2" t="inlineStr">
        <is>
          <t>O001688</t>
        </is>
      </c>
      <c r="B4371" s="2" t="inlineStr">
        <is>
          <t>2025-11-15</t>
        </is>
      </c>
      <c r="C4371" s="2" t="inlineStr">
        <is>
          <t>C0227</t>
        </is>
      </c>
      <c r="D4371" s="2" t="inlineStr">
        <is>
          <t>P0011</t>
        </is>
      </c>
      <c r="E4371" s="2" t="inlineStr">
        <is>
          <t>Cookware Set</t>
        </is>
      </c>
      <c r="F4371" s="2" t="inlineStr">
        <is>
          <t>Home &amp; Kitchen</t>
        </is>
      </c>
      <c r="G4371" s="2" t="inlineStr">
        <is>
          <t>South</t>
        </is>
      </c>
      <c r="H4371" s="2" t="inlineStr">
        <is>
          <t>Karnataka</t>
        </is>
      </c>
      <c r="I4371" s="2" t="inlineStr">
        <is>
          <t>Mangaluru</t>
        </is>
      </c>
      <c r="J4371" s="2" t="inlineStr">
        <is>
          <t>Store</t>
        </is>
      </c>
      <c r="K4371" s="2" t="n">
        <v>3</v>
      </c>
      <c r="L4371" s="3" t="n">
        <v>709.23</v>
      </c>
      <c r="M4371" s="4" t="n">
        <v>0.05</v>
      </c>
      <c r="N4371" s="3" t="n">
        <v>1404.18</v>
      </c>
      <c r="O4371" s="3">
        <f>K4371*L4371*(1-M4371)</f>
        <v/>
      </c>
      <c r="P4371" s="3">
        <f>O4371-N4371</f>
        <v/>
      </c>
      <c r="Q4371" s="5">
        <f>IFERROR(P4371/O4371,0)</f>
        <v/>
      </c>
      <c r="R4371" s="2">
        <f>TEXT(DATEVALUE(B4371),"mmm")</f>
        <v/>
      </c>
      <c r="S4371" s="2">
        <f>TEXT(DATEVALUE(B4371),"yyyy-mm")</f>
        <v/>
      </c>
    </row>
    <row r="4372">
      <c r="A4372" s="2" t="inlineStr">
        <is>
          <t>O001536</t>
        </is>
      </c>
      <c r="B4372" s="2" t="inlineStr">
        <is>
          <t>2025-11-15</t>
        </is>
      </c>
      <c r="C4372" s="2" t="inlineStr">
        <is>
          <t>C0525</t>
        </is>
      </c>
      <c r="D4372" s="2" t="inlineStr">
        <is>
          <t>P0027</t>
        </is>
      </c>
      <c r="E4372" s="2" t="inlineStr">
        <is>
          <t>Moisturizer</t>
        </is>
      </c>
      <c r="F4372" s="2" t="inlineStr">
        <is>
          <t>Beauty</t>
        </is>
      </c>
      <c r="G4372" s="2" t="inlineStr">
        <is>
          <t>North</t>
        </is>
      </c>
      <c r="H4372" s="2" t="inlineStr">
        <is>
          <t>Haryana</t>
        </is>
      </c>
      <c r="I4372" s="2" t="inlineStr">
        <is>
          <t>Faridabad</t>
        </is>
      </c>
      <c r="J4372" s="2" t="inlineStr">
        <is>
          <t>Online</t>
        </is>
      </c>
      <c r="K4372" s="2" t="n">
        <v>1</v>
      </c>
      <c r="L4372" s="3" t="n">
        <v>995.95</v>
      </c>
      <c r="M4372" s="4" t="n">
        <v>0.05</v>
      </c>
      <c r="N4372" s="3" t="n">
        <v>666.1900000000001</v>
      </c>
      <c r="O4372" s="3">
        <f>K4372*L4372*(1-M4372)</f>
        <v/>
      </c>
      <c r="P4372" s="3">
        <f>O4372-N4372</f>
        <v/>
      </c>
      <c r="Q4372" s="5">
        <f>IFERROR(P4372/O4372,0)</f>
        <v/>
      </c>
      <c r="R4372" s="2">
        <f>TEXT(DATEVALUE(B4372),"mmm")</f>
        <v/>
      </c>
      <c r="S4372" s="2">
        <f>TEXT(DATEVALUE(B4372),"yyyy-mm")</f>
        <v/>
      </c>
    </row>
    <row r="4373">
      <c r="A4373" s="2" t="inlineStr">
        <is>
          <t>O001237</t>
        </is>
      </c>
      <c r="B4373" s="2" t="inlineStr">
        <is>
          <t>2025-11-15</t>
        </is>
      </c>
      <c r="C4373" s="2" t="inlineStr">
        <is>
          <t>C0233</t>
        </is>
      </c>
      <c r="D4373" s="2" t="inlineStr">
        <is>
          <t>P0025</t>
        </is>
      </c>
      <c r="E4373" s="2" t="inlineStr">
        <is>
          <t>Perfume</t>
        </is>
      </c>
      <c r="F4373" s="2" t="inlineStr">
        <is>
          <t>Beauty</t>
        </is>
      </c>
      <c r="G4373" s="2" t="inlineStr">
        <is>
          <t>North</t>
        </is>
      </c>
      <c r="H4373" s="2" t="inlineStr">
        <is>
          <t>Uttar Pradesh</t>
        </is>
      </c>
      <c r="I4373" s="2" t="inlineStr">
        <is>
          <t>Noida</t>
        </is>
      </c>
      <c r="J4373" s="2" t="inlineStr">
        <is>
          <t>Store</t>
        </is>
      </c>
      <c r="K4373" s="2" t="n">
        <v>3</v>
      </c>
      <c r="L4373" s="3" t="n">
        <v>786.02</v>
      </c>
      <c r="M4373" s="4" t="n">
        <v>0.1</v>
      </c>
      <c r="N4373" s="3" t="n">
        <v>1852.06</v>
      </c>
      <c r="O4373" s="3">
        <f>K4373*L4373*(1-M4373)</f>
        <v/>
      </c>
      <c r="P4373" s="3">
        <f>O4373-N4373</f>
        <v/>
      </c>
      <c r="Q4373" s="5">
        <f>IFERROR(P4373/O4373,0)</f>
        <v/>
      </c>
      <c r="R4373" s="2">
        <f>TEXT(DATEVALUE(B4373),"mmm")</f>
        <v/>
      </c>
      <c r="S4373" s="2">
        <f>TEXT(DATEVALUE(B4373),"yyyy-mm")</f>
        <v/>
      </c>
    </row>
    <row r="4374">
      <c r="A4374" s="2" t="inlineStr">
        <is>
          <t>O001166</t>
        </is>
      </c>
      <c r="B4374" s="2" t="inlineStr">
        <is>
          <t>2025-11-15</t>
        </is>
      </c>
      <c r="C4374" s="2" t="inlineStr">
        <is>
          <t>C0494</t>
        </is>
      </c>
      <c r="D4374" s="2" t="inlineStr">
        <is>
          <t>P0027</t>
        </is>
      </c>
      <c r="E4374" s="2" t="inlineStr">
        <is>
          <t>Moisturizer</t>
        </is>
      </c>
      <c r="F4374" s="2" t="inlineStr">
        <is>
          <t>Beauty</t>
        </is>
      </c>
      <c r="G4374" s="2" t="inlineStr">
        <is>
          <t>South</t>
        </is>
      </c>
      <c r="H4374" s="2" t="inlineStr">
        <is>
          <t>Karnataka</t>
        </is>
      </c>
      <c r="I4374" s="2" t="inlineStr">
        <is>
          <t>Mangaluru</t>
        </is>
      </c>
      <c r="J4374" s="2" t="inlineStr">
        <is>
          <t>Online</t>
        </is>
      </c>
      <c r="K4374" s="2" t="n">
        <v>5</v>
      </c>
      <c r="L4374" s="3" t="n">
        <v>963.66</v>
      </c>
      <c r="M4374" s="4" t="n">
        <v>0.15</v>
      </c>
      <c r="N4374" s="3" t="n">
        <v>3339.28</v>
      </c>
      <c r="O4374" s="3">
        <f>K4374*L4374*(1-M4374)</f>
        <v/>
      </c>
      <c r="P4374" s="3">
        <f>O4374-N4374</f>
        <v/>
      </c>
      <c r="Q4374" s="5">
        <f>IFERROR(P4374/O4374,0)</f>
        <v/>
      </c>
      <c r="R4374" s="2">
        <f>TEXT(DATEVALUE(B4374),"mmm")</f>
        <v/>
      </c>
      <c r="S4374" s="2">
        <f>TEXT(DATEVALUE(B4374),"yyyy-mm")</f>
        <v/>
      </c>
    </row>
    <row r="4375">
      <c r="A4375" s="2" t="inlineStr">
        <is>
          <t>O000869</t>
        </is>
      </c>
      <c r="B4375" s="2" t="inlineStr">
        <is>
          <t>2025-11-15</t>
        </is>
      </c>
      <c r="C4375" s="2" t="inlineStr">
        <is>
          <t>C0015</t>
        </is>
      </c>
      <c r="D4375" s="2" t="inlineStr">
        <is>
          <t>P0017</t>
        </is>
      </c>
      <c r="E4375" s="2" t="inlineStr">
        <is>
          <t>Jeans</t>
        </is>
      </c>
      <c r="F4375" s="2" t="inlineStr">
        <is>
          <t>Fashion</t>
        </is>
      </c>
      <c r="G4375" s="2" t="inlineStr">
        <is>
          <t>South</t>
        </is>
      </c>
      <c r="H4375" s="2" t="inlineStr">
        <is>
          <t>Telangana</t>
        </is>
      </c>
      <c r="I4375" s="2" t="inlineStr">
        <is>
          <t>Hyderabad</t>
        </is>
      </c>
      <c r="J4375" s="2" t="inlineStr">
        <is>
          <t>Online</t>
        </is>
      </c>
      <c r="K4375" s="2" t="n">
        <v>4</v>
      </c>
      <c r="L4375" s="3" t="n">
        <v>1544.36</v>
      </c>
      <c r="M4375" s="4" t="n">
        <v>0.15</v>
      </c>
      <c r="N4375" s="3" t="n">
        <v>4236.62</v>
      </c>
      <c r="O4375" s="3">
        <f>K4375*L4375*(1-M4375)</f>
        <v/>
      </c>
      <c r="P4375" s="3">
        <f>O4375-N4375</f>
        <v/>
      </c>
      <c r="Q4375" s="5">
        <f>IFERROR(P4375/O4375,0)</f>
        <v/>
      </c>
      <c r="R4375" s="2">
        <f>TEXT(DATEVALUE(B4375),"mmm")</f>
        <v/>
      </c>
      <c r="S4375" s="2">
        <f>TEXT(DATEVALUE(B4375),"yyyy-mm")</f>
        <v/>
      </c>
    </row>
    <row r="4376">
      <c r="A4376" s="2" t="inlineStr">
        <is>
          <t>O001786</t>
        </is>
      </c>
      <c r="B4376" s="2" t="inlineStr">
        <is>
          <t>2025-11-15</t>
        </is>
      </c>
      <c r="C4376" s="2" t="inlineStr">
        <is>
          <t>C0060</t>
        </is>
      </c>
      <c r="D4376" s="2" t="inlineStr">
        <is>
          <t>P0004</t>
        </is>
      </c>
      <c r="E4376" s="2" t="inlineStr">
        <is>
          <t>USB-C Hub</t>
        </is>
      </c>
      <c r="F4376" s="2" t="inlineStr">
        <is>
          <t>Electronics</t>
        </is>
      </c>
      <c r="G4376" s="2" t="inlineStr">
        <is>
          <t>West</t>
        </is>
      </c>
      <c r="H4376" s="2" t="inlineStr">
        <is>
          <t>Goa</t>
        </is>
      </c>
      <c r="I4376" s="2" t="inlineStr">
        <is>
          <t>Panaji</t>
        </is>
      </c>
      <c r="J4376" s="2" t="inlineStr">
        <is>
          <t>Online</t>
        </is>
      </c>
      <c r="K4376" s="2" t="n">
        <v>4</v>
      </c>
      <c r="L4376" s="3" t="n">
        <v>1239.48</v>
      </c>
      <c r="M4376" s="4" t="n">
        <v>0.05</v>
      </c>
      <c r="N4376" s="3" t="n">
        <v>3792.53</v>
      </c>
      <c r="O4376" s="3">
        <f>K4376*L4376*(1-M4376)</f>
        <v/>
      </c>
      <c r="P4376" s="3">
        <f>O4376-N4376</f>
        <v/>
      </c>
      <c r="Q4376" s="5">
        <f>IFERROR(P4376/O4376,0)</f>
        <v/>
      </c>
      <c r="R4376" s="2">
        <f>TEXT(DATEVALUE(B4376),"mmm")</f>
        <v/>
      </c>
      <c r="S4376" s="2">
        <f>TEXT(DATEVALUE(B4376),"yyyy-mm")</f>
        <v/>
      </c>
    </row>
    <row r="4377">
      <c r="A4377" s="2" t="inlineStr">
        <is>
          <t>O004691</t>
        </is>
      </c>
      <c r="B4377" s="2" t="inlineStr">
        <is>
          <t>2025-11-16</t>
        </is>
      </c>
      <c r="C4377" s="2" t="inlineStr">
        <is>
          <t>C0031</t>
        </is>
      </c>
      <c r="D4377" s="2" t="inlineStr">
        <is>
          <t>P0031</t>
        </is>
      </c>
      <c r="E4377" s="2" t="inlineStr">
        <is>
          <t>Cricket Bat</t>
        </is>
      </c>
      <c r="F4377" s="2" t="inlineStr">
        <is>
          <t>Sports</t>
        </is>
      </c>
      <c r="G4377" s="2" t="inlineStr">
        <is>
          <t>East</t>
        </is>
      </c>
      <c r="H4377" s="2" t="inlineStr">
        <is>
          <t>Odisha</t>
        </is>
      </c>
      <c r="I4377" s="2" t="inlineStr">
        <is>
          <t>Bhubaneswar</t>
        </is>
      </c>
      <c r="J4377" s="2" t="inlineStr">
        <is>
          <t>Online</t>
        </is>
      </c>
      <c r="K4377" s="2" t="n">
        <v>4</v>
      </c>
      <c r="L4377" s="3" t="n">
        <v>1439.13</v>
      </c>
      <c r="M4377" s="4" t="n">
        <v>0.2</v>
      </c>
      <c r="N4377" s="3" t="n">
        <v>3808.71</v>
      </c>
      <c r="O4377" s="3">
        <f>K4377*L4377*(1-M4377)</f>
        <v/>
      </c>
      <c r="P4377" s="3">
        <f>O4377-N4377</f>
        <v/>
      </c>
      <c r="Q4377" s="5">
        <f>IFERROR(P4377/O4377,0)</f>
        <v/>
      </c>
      <c r="R4377" s="2">
        <f>TEXT(DATEVALUE(B4377),"mmm")</f>
        <v/>
      </c>
      <c r="S4377" s="2">
        <f>TEXT(DATEVALUE(B4377),"yyyy-mm")</f>
        <v/>
      </c>
    </row>
    <row r="4378">
      <c r="A4378" s="2" t="inlineStr">
        <is>
          <t>O004605</t>
        </is>
      </c>
      <c r="B4378" s="2" t="inlineStr">
        <is>
          <t>2025-11-16</t>
        </is>
      </c>
      <c r="C4378" s="2" t="inlineStr">
        <is>
          <t>C0578</t>
        </is>
      </c>
      <c r="D4378" s="2" t="inlineStr">
        <is>
          <t>P0031</t>
        </is>
      </c>
      <c r="E4378" s="2" t="inlineStr">
        <is>
          <t>Cricket Bat</t>
        </is>
      </c>
      <c r="F4378" s="2" t="inlineStr">
        <is>
          <t>Sports</t>
        </is>
      </c>
      <c r="G4378" s="2" t="inlineStr">
        <is>
          <t>South</t>
        </is>
      </c>
      <c r="H4378" s="2" t="inlineStr">
        <is>
          <t>Tamil Nadu</t>
        </is>
      </c>
      <c r="I4378" s="2" t="inlineStr">
        <is>
          <t>Madurai</t>
        </is>
      </c>
      <c r="J4378" s="2" t="inlineStr">
        <is>
          <t>Store</t>
        </is>
      </c>
      <c r="K4378" s="2" t="n">
        <v>2</v>
      </c>
      <c r="L4378" s="3" t="n">
        <v>1377.25</v>
      </c>
      <c r="M4378" s="4" t="n">
        <v>0</v>
      </c>
      <c r="N4378" s="3" t="n">
        <v>1924.76</v>
      </c>
      <c r="O4378" s="3">
        <f>K4378*L4378*(1-M4378)</f>
        <v/>
      </c>
      <c r="P4378" s="3">
        <f>O4378-N4378</f>
        <v/>
      </c>
      <c r="Q4378" s="5">
        <f>IFERROR(P4378/O4378,0)</f>
        <v/>
      </c>
      <c r="R4378" s="2">
        <f>TEXT(DATEVALUE(B4378),"mmm")</f>
        <v/>
      </c>
      <c r="S4378" s="2">
        <f>TEXT(DATEVALUE(B4378),"yyyy-mm")</f>
        <v/>
      </c>
    </row>
    <row r="4379">
      <c r="A4379" s="2" t="inlineStr">
        <is>
          <t>O004241</t>
        </is>
      </c>
      <c r="B4379" s="2" t="inlineStr">
        <is>
          <t>2025-11-16</t>
        </is>
      </c>
      <c r="C4379" s="2" t="inlineStr">
        <is>
          <t>C0393</t>
        </is>
      </c>
      <c r="D4379" s="2" t="inlineStr">
        <is>
          <t>P0007</t>
        </is>
      </c>
      <c r="E4379" s="2" t="inlineStr">
        <is>
          <t>Wireless Mouse</t>
        </is>
      </c>
      <c r="F4379" s="2" t="inlineStr">
        <is>
          <t>Electronics</t>
        </is>
      </c>
      <c r="G4379" s="2" t="inlineStr">
        <is>
          <t>West</t>
        </is>
      </c>
      <c r="H4379" s="2" t="inlineStr">
        <is>
          <t>Gujarat</t>
        </is>
      </c>
      <c r="I4379" s="2" t="inlineStr">
        <is>
          <t>Vadodara</t>
        </is>
      </c>
      <c r="J4379" s="2" t="inlineStr">
        <is>
          <t>Store</t>
        </is>
      </c>
      <c r="K4379" s="2" t="n">
        <v>3</v>
      </c>
      <c r="L4379" s="3" t="n">
        <v>970.28</v>
      </c>
      <c r="M4379" s="4" t="n">
        <v>0.05</v>
      </c>
      <c r="N4379" s="3" t="n">
        <v>1813.5</v>
      </c>
      <c r="O4379" s="3">
        <f>K4379*L4379*(1-M4379)</f>
        <v/>
      </c>
      <c r="P4379" s="3">
        <f>O4379-N4379</f>
        <v/>
      </c>
      <c r="Q4379" s="5">
        <f>IFERROR(P4379/O4379,0)</f>
        <v/>
      </c>
      <c r="R4379" s="2">
        <f>TEXT(DATEVALUE(B4379),"mmm")</f>
        <v/>
      </c>
      <c r="S4379" s="2">
        <f>TEXT(DATEVALUE(B4379),"yyyy-mm")</f>
        <v/>
      </c>
    </row>
    <row r="4380">
      <c r="A4380" s="2" t="inlineStr">
        <is>
          <t>O003954</t>
        </is>
      </c>
      <c r="B4380" s="2" t="inlineStr">
        <is>
          <t>2025-11-16</t>
        </is>
      </c>
      <c r="C4380" s="2" t="inlineStr">
        <is>
          <t>C0578</t>
        </is>
      </c>
      <c r="D4380" s="2" t="inlineStr">
        <is>
          <t>P0010</t>
        </is>
      </c>
      <c r="E4380" s="2" t="inlineStr">
        <is>
          <t>Mixer Grinder</t>
        </is>
      </c>
      <c r="F4380" s="2" t="inlineStr">
        <is>
          <t>Home &amp; Kitchen</t>
        </is>
      </c>
      <c r="G4380" s="2" t="inlineStr">
        <is>
          <t>North</t>
        </is>
      </c>
      <c r="H4380" s="2" t="inlineStr">
        <is>
          <t>Uttar Pradesh</t>
        </is>
      </c>
      <c r="I4380" s="2" t="inlineStr">
        <is>
          <t>Kanpur</t>
        </is>
      </c>
      <c r="J4380" s="2" t="inlineStr">
        <is>
          <t>Store</t>
        </is>
      </c>
      <c r="K4380" s="2" t="n">
        <v>2</v>
      </c>
      <c r="L4380" s="3" t="n">
        <v>1676.3</v>
      </c>
      <c r="M4380" s="4" t="n">
        <v>0</v>
      </c>
      <c r="N4380" s="3" t="n">
        <v>2103.68</v>
      </c>
      <c r="O4380" s="3">
        <f>K4380*L4380*(1-M4380)</f>
        <v/>
      </c>
      <c r="P4380" s="3">
        <f>O4380-N4380</f>
        <v/>
      </c>
      <c r="Q4380" s="5">
        <f>IFERROR(P4380/O4380,0)</f>
        <v/>
      </c>
      <c r="R4380" s="2">
        <f>TEXT(DATEVALUE(B4380),"mmm")</f>
        <v/>
      </c>
      <c r="S4380" s="2">
        <f>TEXT(DATEVALUE(B4380),"yyyy-mm")</f>
        <v/>
      </c>
    </row>
    <row r="4381">
      <c r="A4381" s="2" t="inlineStr">
        <is>
          <t>O003693</t>
        </is>
      </c>
      <c r="B4381" s="2" t="inlineStr">
        <is>
          <t>2025-11-16</t>
        </is>
      </c>
      <c r="C4381" s="2" t="inlineStr">
        <is>
          <t>C0520</t>
        </is>
      </c>
      <c r="D4381" s="2" t="inlineStr">
        <is>
          <t>P0021</t>
        </is>
      </c>
      <c r="E4381" s="2" t="inlineStr">
        <is>
          <t>Wallet</t>
        </is>
      </c>
      <c r="F4381" s="2" t="inlineStr">
        <is>
          <t>Fashion</t>
        </is>
      </c>
      <c r="G4381" s="2" t="inlineStr">
        <is>
          <t>South</t>
        </is>
      </c>
      <c r="H4381" s="2" t="inlineStr">
        <is>
          <t>Karnataka</t>
        </is>
      </c>
      <c r="I4381" s="2" t="inlineStr">
        <is>
          <t>Mangaluru</t>
        </is>
      </c>
      <c r="J4381" s="2" t="inlineStr">
        <is>
          <t>Store</t>
        </is>
      </c>
      <c r="K4381" s="2" t="n">
        <v>1</v>
      </c>
      <c r="L4381" s="3" t="n">
        <v>1971.95</v>
      </c>
      <c r="M4381" s="4" t="n">
        <v>0.05</v>
      </c>
      <c r="N4381" s="3" t="n">
        <v>1241.39</v>
      </c>
      <c r="O4381" s="3">
        <f>K4381*L4381*(1-M4381)</f>
        <v/>
      </c>
      <c r="P4381" s="3">
        <f>O4381-N4381</f>
        <v/>
      </c>
      <c r="Q4381" s="5">
        <f>IFERROR(P4381/O4381,0)</f>
        <v/>
      </c>
      <c r="R4381" s="2">
        <f>TEXT(DATEVALUE(B4381),"mmm")</f>
        <v/>
      </c>
      <c r="S4381" s="2">
        <f>TEXT(DATEVALUE(B4381),"yyyy-mm")</f>
        <v/>
      </c>
    </row>
    <row r="4382">
      <c r="A4382" s="2" t="inlineStr">
        <is>
          <t>O003555</t>
        </is>
      </c>
      <c r="B4382" s="2" t="inlineStr">
        <is>
          <t>2025-11-16</t>
        </is>
      </c>
      <c r="C4382" s="2" t="inlineStr">
        <is>
          <t>C0096</t>
        </is>
      </c>
      <c r="D4382" s="2" t="inlineStr">
        <is>
          <t>P0012</t>
        </is>
      </c>
      <c r="E4382" s="2" t="inlineStr">
        <is>
          <t>Water Bottle</t>
        </is>
      </c>
      <c r="F4382" s="2" t="inlineStr">
        <is>
          <t>Home &amp; Kitchen</t>
        </is>
      </c>
      <c r="G4382" s="2" t="inlineStr">
        <is>
          <t>West</t>
        </is>
      </c>
      <c r="H4382" s="2" t="inlineStr">
        <is>
          <t>Gujarat</t>
        </is>
      </c>
      <c r="I4382" s="2" t="inlineStr">
        <is>
          <t>Surat</t>
        </is>
      </c>
      <c r="J4382" s="2" t="inlineStr">
        <is>
          <t>Online</t>
        </is>
      </c>
      <c r="K4382" s="2" t="n">
        <v>3</v>
      </c>
      <c r="L4382" s="3" t="n">
        <v>940.3200000000001</v>
      </c>
      <c r="M4382" s="4" t="n">
        <v>0.15</v>
      </c>
      <c r="N4382" s="3" t="n">
        <v>1867.65</v>
      </c>
      <c r="O4382" s="3">
        <f>K4382*L4382*(1-M4382)</f>
        <v/>
      </c>
      <c r="P4382" s="3">
        <f>O4382-N4382</f>
        <v/>
      </c>
      <c r="Q4382" s="5">
        <f>IFERROR(P4382/O4382,0)</f>
        <v/>
      </c>
      <c r="R4382" s="2">
        <f>TEXT(DATEVALUE(B4382),"mmm")</f>
        <v/>
      </c>
      <c r="S4382" s="2">
        <f>TEXT(DATEVALUE(B4382),"yyyy-mm")</f>
        <v/>
      </c>
    </row>
    <row r="4383">
      <c r="A4383" s="2" t="inlineStr">
        <is>
          <t>O003139</t>
        </is>
      </c>
      <c r="B4383" s="2" t="inlineStr">
        <is>
          <t>2025-11-16</t>
        </is>
      </c>
      <c r="C4383" s="2" t="inlineStr">
        <is>
          <t>C0694</t>
        </is>
      </c>
      <c r="D4383" s="2" t="inlineStr">
        <is>
          <t>P0022</t>
        </is>
      </c>
      <c r="E4383" s="2" t="inlineStr">
        <is>
          <t>Face Wash</t>
        </is>
      </c>
      <c r="F4383" s="2" t="inlineStr">
        <is>
          <t>Beauty</t>
        </is>
      </c>
      <c r="G4383" s="2" t="inlineStr">
        <is>
          <t>South</t>
        </is>
      </c>
      <c r="H4383" s="2" t="inlineStr">
        <is>
          <t>Kerala</t>
        </is>
      </c>
      <c r="I4383" s="2" t="inlineStr">
        <is>
          <t>Kochi</t>
        </is>
      </c>
      <c r="J4383" s="2" t="inlineStr">
        <is>
          <t>Store</t>
        </is>
      </c>
      <c r="K4383" s="2" t="n">
        <v>2</v>
      </c>
      <c r="L4383" s="3" t="n">
        <v>534.25</v>
      </c>
      <c r="M4383" s="4" t="n">
        <v>0.1</v>
      </c>
      <c r="N4383" s="3" t="n">
        <v>686.53</v>
      </c>
      <c r="O4383" s="3">
        <f>K4383*L4383*(1-M4383)</f>
        <v/>
      </c>
      <c r="P4383" s="3">
        <f>O4383-N4383</f>
        <v/>
      </c>
      <c r="Q4383" s="5">
        <f>IFERROR(P4383/O4383,0)</f>
        <v/>
      </c>
      <c r="R4383" s="2">
        <f>TEXT(DATEVALUE(B4383),"mmm")</f>
        <v/>
      </c>
      <c r="S4383" s="2">
        <f>TEXT(DATEVALUE(B4383),"yyyy-mm")</f>
        <v/>
      </c>
    </row>
    <row r="4384">
      <c r="A4384" s="2" t="inlineStr">
        <is>
          <t>O002807</t>
        </is>
      </c>
      <c r="B4384" s="2" t="inlineStr">
        <is>
          <t>2025-11-16</t>
        </is>
      </c>
      <c r="C4384" s="2" t="inlineStr">
        <is>
          <t>C0393</t>
        </is>
      </c>
      <c r="D4384" s="2" t="inlineStr">
        <is>
          <t>P0014</t>
        </is>
      </c>
      <c r="E4384" s="2" t="inlineStr">
        <is>
          <t>Coffee Maker</t>
        </is>
      </c>
      <c r="F4384" s="2" t="inlineStr">
        <is>
          <t>Home &amp; Kitchen</t>
        </is>
      </c>
      <c r="G4384" s="2" t="inlineStr">
        <is>
          <t>West</t>
        </is>
      </c>
      <c r="H4384" s="2" t="inlineStr">
        <is>
          <t>Gujarat</t>
        </is>
      </c>
      <c r="I4384" s="2" t="inlineStr">
        <is>
          <t>Surat</t>
        </is>
      </c>
      <c r="J4384" s="2" t="inlineStr">
        <is>
          <t>Online</t>
        </is>
      </c>
      <c r="K4384" s="2" t="n">
        <v>5</v>
      </c>
      <c r="L4384" s="3" t="n">
        <v>1011.03</v>
      </c>
      <c r="M4384" s="4" t="n">
        <v>0.1</v>
      </c>
      <c r="N4384" s="3" t="n">
        <v>3941.77</v>
      </c>
      <c r="O4384" s="3">
        <f>K4384*L4384*(1-M4384)</f>
        <v/>
      </c>
      <c r="P4384" s="3">
        <f>O4384-N4384</f>
        <v/>
      </c>
      <c r="Q4384" s="5">
        <f>IFERROR(P4384/O4384,0)</f>
        <v/>
      </c>
      <c r="R4384" s="2">
        <f>TEXT(DATEVALUE(B4384),"mmm")</f>
        <v/>
      </c>
      <c r="S4384" s="2">
        <f>TEXT(DATEVALUE(B4384),"yyyy-mm")</f>
        <v/>
      </c>
    </row>
    <row r="4385">
      <c r="A4385" s="2" t="inlineStr">
        <is>
          <t>O002681</t>
        </is>
      </c>
      <c r="B4385" s="2" t="inlineStr">
        <is>
          <t>2025-11-16</t>
        </is>
      </c>
      <c r="C4385" s="2" t="inlineStr">
        <is>
          <t>C0471</t>
        </is>
      </c>
      <c r="D4385" s="2" t="inlineStr">
        <is>
          <t>P0032</t>
        </is>
      </c>
      <c r="E4385" s="2" t="inlineStr">
        <is>
          <t>Football</t>
        </is>
      </c>
      <c r="F4385" s="2" t="inlineStr">
        <is>
          <t>Sports</t>
        </is>
      </c>
      <c r="G4385" s="2" t="inlineStr">
        <is>
          <t>North</t>
        </is>
      </c>
      <c r="H4385" s="2" t="inlineStr">
        <is>
          <t>Punjab</t>
        </is>
      </c>
      <c r="I4385" s="2" t="inlineStr">
        <is>
          <t>Jalandhar</t>
        </is>
      </c>
      <c r="J4385" s="2" t="inlineStr">
        <is>
          <t>Store</t>
        </is>
      </c>
      <c r="K4385" s="2" t="n">
        <v>2</v>
      </c>
      <c r="L4385" s="3" t="n">
        <v>797.79</v>
      </c>
      <c r="M4385" s="4" t="n">
        <v>0.05</v>
      </c>
      <c r="N4385" s="3" t="n">
        <v>1073.2</v>
      </c>
      <c r="O4385" s="3">
        <f>K4385*L4385*(1-M4385)</f>
        <v/>
      </c>
      <c r="P4385" s="3">
        <f>O4385-N4385</f>
        <v/>
      </c>
      <c r="Q4385" s="5">
        <f>IFERROR(P4385/O4385,0)</f>
        <v/>
      </c>
      <c r="R4385" s="2">
        <f>TEXT(DATEVALUE(B4385),"mmm")</f>
        <v/>
      </c>
      <c r="S4385" s="2">
        <f>TEXT(DATEVALUE(B4385),"yyyy-mm")</f>
        <v/>
      </c>
    </row>
    <row r="4386">
      <c r="A4386" s="2" t="inlineStr">
        <is>
          <t>O000041</t>
        </is>
      </c>
      <c r="B4386" s="2" t="inlineStr">
        <is>
          <t>2025-11-16</t>
        </is>
      </c>
      <c r="C4386" s="2" t="inlineStr">
        <is>
          <t>C0506</t>
        </is>
      </c>
      <c r="D4386" s="2" t="inlineStr">
        <is>
          <t>P0031</t>
        </is>
      </c>
      <c r="E4386" s="2" t="inlineStr">
        <is>
          <t>Cricket Bat</t>
        </is>
      </c>
      <c r="F4386" s="2" t="inlineStr">
        <is>
          <t>Sports</t>
        </is>
      </c>
      <c r="G4386" s="2" t="inlineStr">
        <is>
          <t>West</t>
        </is>
      </c>
      <c r="H4386" s="2" t="inlineStr">
        <is>
          <t>Maharashtra</t>
        </is>
      </c>
      <c r="I4386" s="2" t="inlineStr">
        <is>
          <t>Pune</t>
        </is>
      </c>
      <c r="J4386" s="2" t="inlineStr">
        <is>
          <t>Online</t>
        </is>
      </c>
      <c r="K4386" s="2" t="n">
        <v>2</v>
      </c>
      <c r="L4386" s="3" t="n">
        <v>1389.91</v>
      </c>
      <c r="M4386" s="4" t="n">
        <v>0.05</v>
      </c>
      <c r="N4386" s="3" t="n">
        <v>1823.69</v>
      </c>
      <c r="O4386" s="3">
        <f>K4386*L4386*(1-M4386)</f>
        <v/>
      </c>
      <c r="P4386" s="3">
        <f>O4386-N4386</f>
        <v/>
      </c>
      <c r="Q4386" s="5">
        <f>IFERROR(P4386/O4386,0)</f>
        <v/>
      </c>
      <c r="R4386" s="2">
        <f>TEXT(DATEVALUE(B4386),"mmm")</f>
        <v/>
      </c>
      <c r="S4386" s="2">
        <f>TEXT(DATEVALUE(B4386),"yyyy-mm")</f>
        <v/>
      </c>
    </row>
    <row r="4387">
      <c r="A4387" s="2" t="inlineStr">
        <is>
          <t>O002247</t>
        </is>
      </c>
      <c r="B4387" s="2" t="inlineStr">
        <is>
          <t>2025-11-16</t>
        </is>
      </c>
      <c r="C4387" s="2" t="inlineStr">
        <is>
          <t>C0156</t>
        </is>
      </c>
      <c r="D4387" s="2" t="inlineStr">
        <is>
          <t>P0016</t>
        </is>
      </c>
      <c r="E4387" s="2" t="inlineStr">
        <is>
          <t>Casual Shirt</t>
        </is>
      </c>
      <c r="F4387" s="2" t="inlineStr">
        <is>
          <t>Fashion</t>
        </is>
      </c>
      <c r="G4387" s="2" t="inlineStr">
        <is>
          <t>South</t>
        </is>
      </c>
      <c r="H4387" s="2" t="inlineStr">
        <is>
          <t>Telangana</t>
        </is>
      </c>
      <c r="I4387" s="2" t="inlineStr">
        <is>
          <t>Hyderabad</t>
        </is>
      </c>
      <c r="J4387" s="2" t="inlineStr">
        <is>
          <t>Store</t>
        </is>
      </c>
      <c r="K4387" s="2" t="n">
        <v>1</v>
      </c>
      <c r="L4387" s="3" t="n">
        <v>1340.62</v>
      </c>
      <c r="M4387" s="4" t="n">
        <v>0.05</v>
      </c>
      <c r="N4387" s="3" t="n">
        <v>877.97</v>
      </c>
      <c r="O4387" s="3">
        <f>K4387*L4387*(1-M4387)</f>
        <v/>
      </c>
      <c r="P4387" s="3">
        <f>O4387-N4387</f>
        <v/>
      </c>
      <c r="Q4387" s="5">
        <f>IFERROR(P4387/O4387,0)</f>
        <v/>
      </c>
      <c r="R4387" s="2">
        <f>TEXT(DATEVALUE(B4387),"mmm")</f>
        <v/>
      </c>
      <c r="S4387" s="2">
        <f>TEXT(DATEVALUE(B4387),"yyyy-mm")</f>
        <v/>
      </c>
    </row>
    <row r="4388">
      <c r="A4388" s="2" t="inlineStr">
        <is>
          <t>O001797</t>
        </is>
      </c>
      <c r="B4388" s="2" t="inlineStr">
        <is>
          <t>2025-11-16</t>
        </is>
      </c>
      <c r="C4388" s="2" t="inlineStr">
        <is>
          <t>C0075</t>
        </is>
      </c>
      <c r="D4388" s="2" t="inlineStr">
        <is>
          <t>P0006</t>
        </is>
      </c>
      <c r="E4388" s="2" t="inlineStr">
        <is>
          <t>Mechanical Keyboard</t>
        </is>
      </c>
      <c r="F4388" s="2" t="inlineStr">
        <is>
          <t>Electronics</t>
        </is>
      </c>
      <c r="G4388" s="2" t="inlineStr">
        <is>
          <t>East</t>
        </is>
      </c>
      <c r="H4388" s="2" t="inlineStr">
        <is>
          <t>Bihar</t>
        </is>
      </c>
      <c r="I4388" s="2" t="inlineStr">
        <is>
          <t>Gaya</t>
        </is>
      </c>
      <c r="J4388" s="2" t="inlineStr">
        <is>
          <t>Store</t>
        </is>
      </c>
      <c r="K4388" s="2" t="n">
        <v>1</v>
      </c>
      <c r="L4388" s="3" t="n">
        <v>2675.74</v>
      </c>
      <c r="M4388" s="4" t="n">
        <v>0.1</v>
      </c>
      <c r="N4388" s="3" t="n">
        <v>1516.87</v>
      </c>
      <c r="O4388" s="3">
        <f>K4388*L4388*(1-M4388)</f>
        <v/>
      </c>
      <c r="P4388" s="3">
        <f>O4388-N4388</f>
        <v/>
      </c>
      <c r="Q4388" s="5">
        <f>IFERROR(P4388/O4388,0)</f>
        <v/>
      </c>
      <c r="R4388" s="2">
        <f>TEXT(DATEVALUE(B4388),"mmm")</f>
        <v/>
      </c>
      <c r="S4388" s="2">
        <f>TEXT(DATEVALUE(B4388),"yyyy-mm")</f>
        <v/>
      </c>
    </row>
    <row r="4389">
      <c r="A4389" s="2" t="inlineStr">
        <is>
          <t>O001752</t>
        </is>
      </c>
      <c r="B4389" s="2" t="inlineStr">
        <is>
          <t>2025-11-16</t>
        </is>
      </c>
      <c r="C4389" s="2" t="inlineStr">
        <is>
          <t>C0579</t>
        </is>
      </c>
      <c r="D4389" s="2" t="inlineStr">
        <is>
          <t>P0014</t>
        </is>
      </c>
      <c r="E4389" s="2" t="inlineStr">
        <is>
          <t>Coffee Maker</t>
        </is>
      </c>
      <c r="F4389" s="2" t="inlineStr">
        <is>
          <t>Home &amp; Kitchen</t>
        </is>
      </c>
      <c r="G4389" s="2" t="inlineStr">
        <is>
          <t>South</t>
        </is>
      </c>
      <c r="H4389" s="2" t="inlineStr">
        <is>
          <t>Kerala</t>
        </is>
      </c>
      <c r="I4389" s="2" t="inlineStr">
        <is>
          <t>Thiruvananthapuram</t>
        </is>
      </c>
      <c r="J4389" s="2" t="inlineStr">
        <is>
          <t>Online</t>
        </is>
      </c>
      <c r="K4389" s="2" t="n">
        <v>4</v>
      </c>
      <c r="L4389" s="3" t="n">
        <v>1058.27</v>
      </c>
      <c r="M4389" s="4" t="n">
        <v>0</v>
      </c>
      <c r="N4389" s="3" t="n">
        <v>3059.67</v>
      </c>
      <c r="O4389" s="3">
        <f>K4389*L4389*(1-M4389)</f>
        <v/>
      </c>
      <c r="P4389" s="3">
        <f>O4389-N4389</f>
        <v/>
      </c>
      <c r="Q4389" s="5">
        <f>IFERROR(P4389/O4389,0)</f>
        <v/>
      </c>
      <c r="R4389" s="2">
        <f>TEXT(DATEVALUE(B4389),"mmm")</f>
        <v/>
      </c>
      <c r="S4389" s="2">
        <f>TEXT(DATEVALUE(B4389),"yyyy-mm")</f>
        <v/>
      </c>
    </row>
    <row r="4390">
      <c r="A4390" s="2" t="inlineStr">
        <is>
          <t>O001033</t>
        </is>
      </c>
      <c r="B4390" s="2" t="inlineStr">
        <is>
          <t>2025-11-16</t>
        </is>
      </c>
      <c r="C4390" s="2" t="inlineStr">
        <is>
          <t>C0092</t>
        </is>
      </c>
      <c r="D4390" s="2" t="inlineStr">
        <is>
          <t>P0022</t>
        </is>
      </c>
      <c r="E4390" s="2" t="inlineStr">
        <is>
          <t>Face Wash</t>
        </is>
      </c>
      <c r="F4390" s="2" t="inlineStr">
        <is>
          <t>Beauty</t>
        </is>
      </c>
      <c r="G4390" s="2" t="inlineStr">
        <is>
          <t>North</t>
        </is>
      </c>
      <c r="H4390" s="2" t="inlineStr">
        <is>
          <t>Haryana</t>
        </is>
      </c>
      <c r="I4390" s="2" t="inlineStr">
        <is>
          <t>Gurugram</t>
        </is>
      </c>
      <c r="J4390" s="2" t="inlineStr">
        <is>
          <t>Store</t>
        </is>
      </c>
      <c r="K4390" s="2" t="n">
        <v>2</v>
      </c>
      <c r="L4390" s="3" t="n">
        <v>567.91</v>
      </c>
      <c r="M4390" s="4" t="n">
        <v>0</v>
      </c>
      <c r="N4390" s="3" t="n">
        <v>684.09</v>
      </c>
      <c r="O4390" s="3">
        <f>K4390*L4390*(1-M4390)</f>
        <v/>
      </c>
      <c r="P4390" s="3">
        <f>O4390-N4390</f>
        <v/>
      </c>
      <c r="Q4390" s="5">
        <f>IFERROR(P4390/O4390,0)</f>
        <v/>
      </c>
      <c r="R4390" s="2">
        <f>TEXT(DATEVALUE(B4390),"mmm")</f>
        <v/>
      </c>
      <c r="S4390" s="2">
        <f>TEXT(DATEVALUE(B4390),"yyyy-mm")</f>
        <v/>
      </c>
    </row>
    <row r="4391">
      <c r="A4391" s="2" t="inlineStr">
        <is>
          <t>O001031</t>
        </is>
      </c>
      <c r="B4391" s="2" t="inlineStr">
        <is>
          <t>2025-11-16</t>
        </is>
      </c>
      <c r="C4391" s="2" t="inlineStr">
        <is>
          <t>C0069</t>
        </is>
      </c>
      <c r="D4391" s="2" t="inlineStr">
        <is>
          <t>P0003</t>
        </is>
      </c>
      <c r="E4391" s="2" t="inlineStr">
        <is>
          <t>Smartwatch</t>
        </is>
      </c>
      <c r="F4391" s="2" t="inlineStr">
        <is>
          <t>Electronics</t>
        </is>
      </c>
      <c r="G4391" s="2" t="inlineStr">
        <is>
          <t>East</t>
        </is>
      </c>
      <c r="H4391" s="2" t="inlineStr">
        <is>
          <t>West Bengal</t>
        </is>
      </c>
      <c r="I4391" s="2" t="inlineStr">
        <is>
          <t>Durgapur</t>
        </is>
      </c>
      <c r="J4391" s="2" t="inlineStr">
        <is>
          <t>Store</t>
        </is>
      </c>
      <c r="K4391" s="2" t="n">
        <v>2</v>
      </c>
      <c r="L4391" s="3" t="n">
        <v>2215.36</v>
      </c>
      <c r="M4391" s="4" t="n">
        <v>0.05</v>
      </c>
      <c r="N4391" s="3" t="n">
        <v>2340.9</v>
      </c>
      <c r="O4391" s="3">
        <f>K4391*L4391*(1-M4391)</f>
        <v/>
      </c>
      <c r="P4391" s="3">
        <f>O4391-N4391</f>
        <v/>
      </c>
      <c r="Q4391" s="5">
        <f>IFERROR(P4391/O4391,0)</f>
        <v/>
      </c>
      <c r="R4391" s="2">
        <f>TEXT(DATEVALUE(B4391),"mmm")</f>
        <v/>
      </c>
      <c r="S4391" s="2">
        <f>TEXT(DATEVALUE(B4391),"yyyy-mm")</f>
        <v/>
      </c>
    </row>
    <row r="4392">
      <c r="A4392" s="2" t="inlineStr">
        <is>
          <t>O000995</t>
        </is>
      </c>
      <c r="B4392" s="2" t="inlineStr">
        <is>
          <t>2025-11-16</t>
        </is>
      </c>
      <c r="C4392" s="2" t="inlineStr">
        <is>
          <t>C0736</t>
        </is>
      </c>
      <c r="D4392" s="2" t="inlineStr">
        <is>
          <t>P0032</t>
        </is>
      </c>
      <c r="E4392" s="2" t="inlineStr">
        <is>
          <t>Football</t>
        </is>
      </c>
      <c r="F4392" s="2" t="inlineStr">
        <is>
          <t>Sports</t>
        </is>
      </c>
      <c r="G4392" s="2" t="inlineStr">
        <is>
          <t>North</t>
        </is>
      </c>
      <c r="H4392" s="2" t="inlineStr">
        <is>
          <t>Delhi</t>
        </is>
      </c>
      <c r="I4392" s="2" t="inlineStr">
        <is>
          <t>New Delhi</t>
        </is>
      </c>
      <c r="J4392" s="2" t="inlineStr">
        <is>
          <t>Online</t>
        </is>
      </c>
      <c r="K4392" s="2" t="n">
        <v>4</v>
      </c>
      <c r="L4392" s="3" t="n">
        <v>791.11</v>
      </c>
      <c r="M4392" s="4" t="n">
        <v>0.15</v>
      </c>
      <c r="N4392" s="3" t="n">
        <v>2154.27</v>
      </c>
      <c r="O4392" s="3">
        <f>K4392*L4392*(1-M4392)</f>
        <v/>
      </c>
      <c r="P4392" s="3">
        <f>O4392-N4392</f>
        <v/>
      </c>
      <c r="Q4392" s="5">
        <f>IFERROR(P4392/O4392,0)</f>
        <v/>
      </c>
      <c r="R4392" s="2">
        <f>TEXT(DATEVALUE(B4392),"mmm")</f>
        <v/>
      </c>
      <c r="S4392" s="2">
        <f>TEXT(DATEVALUE(B4392),"yyyy-mm")</f>
        <v/>
      </c>
    </row>
    <row r="4393">
      <c r="A4393" s="2" t="inlineStr">
        <is>
          <t>O000938</t>
        </is>
      </c>
      <c r="B4393" s="2" t="inlineStr">
        <is>
          <t>2025-11-16</t>
        </is>
      </c>
      <c r="C4393" s="2" t="inlineStr">
        <is>
          <t>C0569</t>
        </is>
      </c>
      <c r="D4393" s="2" t="inlineStr">
        <is>
          <t>P0024</t>
        </is>
      </c>
      <c r="E4393" s="2" t="inlineStr">
        <is>
          <t>Hair Dryer</t>
        </is>
      </c>
      <c r="F4393" s="2" t="inlineStr">
        <is>
          <t>Beauty</t>
        </is>
      </c>
      <c r="G4393" s="2" t="inlineStr">
        <is>
          <t>West</t>
        </is>
      </c>
      <c r="H4393" s="2" t="inlineStr">
        <is>
          <t>Goa</t>
        </is>
      </c>
      <c r="I4393" s="2" t="inlineStr">
        <is>
          <t>Panaji</t>
        </is>
      </c>
      <c r="J4393" s="2" t="inlineStr">
        <is>
          <t>Online</t>
        </is>
      </c>
      <c r="K4393" s="2" t="n">
        <v>6</v>
      </c>
      <c r="L4393" s="3" t="n">
        <v>982.23</v>
      </c>
      <c r="M4393" s="4" t="n">
        <v>0</v>
      </c>
      <c r="N4393" s="3" t="n">
        <v>4470.54</v>
      </c>
      <c r="O4393" s="3">
        <f>K4393*L4393*(1-M4393)</f>
        <v/>
      </c>
      <c r="P4393" s="3">
        <f>O4393-N4393</f>
        <v/>
      </c>
      <c r="Q4393" s="5">
        <f>IFERROR(P4393/O4393,0)</f>
        <v/>
      </c>
      <c r="R4393" s="2">
        <f>TEXT(DATEVALUE(B4393),"mmm")</f>
        <v/>
      </c>
      <c r="S4393" s="2">
        <f>TEXT(DATEVALUE(B4393),"yyyy-mm")</f>
        <v/>
      </c>
    </row>
    <row r="4394">
      <c r="A4394" s="2" t="inlineStr">
        <is>
          <t>O002567</t>
        </is>
      </c>
      <c r="B4394" s="2" t="inlineStr">
        <is>
          <t>2025-11-16</t>
        </is>
      </c>
      <c r="C4394" s="2" t="inlineStr">
        <is>
          <t>C0004</t>
        </is>
      </c>
      <c r="D4394" s="2" t="inlineStr">
        <is>
          <t>P0013</t>
        </is>
      </c>
      <c r="E4394" s="2" t="inlineStr">
        <is>
          <t>Storage Organizer</t>
        </is>
      </c>
      <c r="F4394" s="2" t="inlineStr">
        <is>
          <t>Home &amp; Kitchen</t>
        </is>
      </c>
      <c r="G4394" s="2" t="inlineStr">
        <is>
          <t>South</t>
        </is>
      </c>
      <c r="H4394" s="2" t="inlineStr">
        <is>
          <t>Karnataka</t>
        </is>
      </c>
      <c r="I4394" s="2" t="inlineStr">
        <is>
          <t>Bengaluru</t>
        </is>
      </c>
      <c r="J4394" s="2" t="inlineStr">
        <is>
          <t>Store</t>
        </is>
      </c>
      <c r="K4394" s="2" t="n">
        <v>2</v>
      </c>
      <c r="L4394" s="3" t="n">
        <v>580.21</v>
      </c>
      <c r="M4394" s="4" t="n">
        <v>0.25</v>
      </c>
      <c r="N4394" s="3" t="n">
        <v>727.53</v>
      </c>
      <c r="O4394" s="3">
        <f>K4394*L4394*(1-M4394)</f>
        <v/>
      </c>
      <c r="P4394" s="3">
        <f>O4394-N4394</f>
        <v/>
      </c>
      <c r="Q4394" s="5">
        <f>IFERROR(P4394/O4394,0)</f>
        <v/>
      </c>
      <c r="R4394" s="2">
        <f>TEXT(DATEVALUE(B4394),"mmm")</f>
        <v/>
      </c>
      <c r="S4394" s="2">
        <f>TEXT(DATEVALUE(B4394),"yyyy-mm")</f>
        <v/>
      </c>
    </row>
    <row r="4395">
      <c r="A4395" s="2" t="inlineStr">
        <is>
          <t>O003815</t>
        </is>
      </c>
      <c r="B4395" s="2" t="inlineStr">
        <is>
          <t>2025-11-17</t>
        </is>
      </c>
      <c r="C4395" s="2" t="inlineStr">
        <is>
          <t>C0439</t>
        </is>
      </c>
      <c r="D4395" s="2" t="inlineStr">
        <is>
          <t>P0016</t>
        </is>
      </c>
      <c r="E4395" s="2" t="inlineStr">
        <is>
          <t>Casual Shirt</t>
        </is>
      </c>
      <c r="F4395" s="2" t="inlineStr">
        <is>
          <t>Fashion</t>
        </is>
      </c>
      <c r="G4395" s="2" t="inlineStr">
        <is>
          <t>West</t>
        </is>
      </c>
      <c r="H4395" s="2" t="inlineStr">
        <is>
          <t>Maharashtra</t>
        </is>
      </c>
      <c r="I4395" s="2" t="inlineStr">
        <is>
          <t>Mumbai</t>
        </is>
      </c>
      <c r="J4395" s="2" t="inlineStr">
        <is>
          <t>Online</t>
        </is>
      </c>
      <c r="K4395" s="2" t="n">
        <v>6</v>
      </c>
      <c r="L4395" s="3" t="n">
        <v>1323.79</v>
      </c>
      <c r="M4395" s="4" t="n">
        <v>0.05</v>
      </c>
      <c r="N4395" s="3" t="n">
        <v>5501.62</v>
      </c>
      <c r="O4395" s="3">
        <f>K4395*L4395*(1-M4395)</f>
        <v/>
      </c>
      <c r="P4395" s="3">
        <f>O4395-N4395</f>
        <v/>
      </c>
      <c r="Q4395" s="5">
        <f>IFERROR(P4395/O4395,0)</f>
        <v/>
      </c>
      <c r="R4395" s="2">
        <f>TEXT(DATEVALUE(B4395),"mmm")</f>
        <v/>
      </c>
      <c r="S4395" s="2">
        <f>TEXT(DATEVALUE(B4395),"yyyy-mm")</f>
        <v/>
      </c>
    </row>
    <row r="4396">
      <c r="A4396" s="2" t="inlineStr">
        <is>
          <t>O003984</t>
        </is>
      </c>
      <c r="B4396" s="2" t="inlineStr">
        <is>
          <t>2025-11-17</t>
        </is>
      </c>
      <c r="C4396" s="2" t="inlineStr">
        <is>
          <t>C0445</t>
        </is>
      </c>
      <c r="D4396" s="2" t="inlineStr">
        <is>
          <t>P0023</t>
        </is>
      </c>
      <c r="E4396" s="2" t="inlineStr">
        <is>
          <t>Skin Care Kit</t>
        </is>
      </c>
      <c r="F4396" s="2" t="inlineStr">
        <is>
          <t>Beauty</t>
        </is>
      </c>
      <c r="G4396" s="2" t="inlineStr">
        <is>
          <t>South</t>
        </is>
      </c>
      <c r="H4396" s="2" t="inlineStr">
        <is>
          <t>Telangana</t>
        </is>
      </c>
      <c r="I4396" s="2" t="inlineStr">
        <is>
          <t>Warangal</t>
        </is>
      </c>
      <c r="J4396" s="2" t="inlineStr">
        <is>
          <t>Store</t>
        </is>
      </c>
      <c r="K4396" s="2" t="n">
        <v>6</v>
      </c>
      <c r="L4396" s="3" t="n">
        <v>1398.58</v>
      </c>
      <c r="M4396" s="4" t="n">
        <v>0.15</v>
      </c>
      <c r="N4396" s="3" t="n">
        <v>5495.39</v>
      </c>
      <c r="O4396" s="3">
        <f>K4396*L4396*(1-M4396)</f>
        <v/>
      </c>
      <c r="P4396" s="3">
        <f>O4396-N4396</f>
        <v/>
      </c>
      <c r="Q4396" s="5">
        <f>IFERROR(P4396/O4396,0)</f>
        <v/>
      </c>
      <c r="R4396" s="2">
        <f>TEXT(DATEVALUE(B4396),"mmm")</f>
        <v/>
      </c>
      <c r="S4396" s="2">
        <f>TEXT(DATEVALUE(B4396),"yyyy-mm")</f>
        <v/>
      </c>
    </row>
    <row r="4397">
      <c r="A4397" s="2" t="inlineStr">
        <is>
          <t>O004180</t>
        </is>
      </c>
      <c r="B4397" s="2" t="inlineStr">
        <is>
          <t>2025-11-17</t>
        </is>
      </c>
      <c r="C4397" s="2" t="inlineStr">
        <is>
          <t>C0374</t>
        </is>
      </c>
      <c r="D4397" s="2" t="inlineStr">
        <is>
          <t>P0028</t>
        </is>
      </c>
      <c r="E4397" s="2" t="inlineStr">
        <is>
          <t>Trimmer</t>
        </is>
      </c>
      <c r="F4397" s="2" t="inlineStr">
        <is>
          <t>Beauty</t>
        </is>
      </c>
      <c r="G4397" s="2" t="inlineStr">
        <is>
          <t>West</t>
        </is>
      </c>
      <c r="H4397" s="2" t="inlineStr">
        <is>
          <t>Goa</t>
        </is>
      </c>
      <c r="I4397" s="2" t="inlineStr">
        <is>
          <t>Panaji</t>
        </is>
      </c>
      <c r="J4397" s="2" t="inlineStr">
        <is>
          <t>Store</t>
        </is>
      </c>
      <c r="K4397" s="2" t="n">
        <v>1</v>
      </c>
      <c r="L4397" s="3" t="n">
        <v>435.84</v>
      </c>
      <c r="M4397" s="4" t="n">
        <v>0.05</v>
      </c>
      <c r="N4397" s="3" t="n">
        <v>244.53</v>
      </c>
      <c r="O4397" s="3">
        <f>K4397*L4397*(1-M4397)</f>
        <v/>
      </c>
      <c r="P4397" s="3">
        <f>O4397-N4397</f>
        <v/>
      </c>
      <c r="Q4397" s="5">
        <f>IFERROR(P4397/O4397,0)</f>
        <v/>
      </c>
      <c r="R4397" s="2">
        <f>TEXT(DATEVALUE(B4397),"mmm")</f>
        <v/>
      </c>
      <c r="S4397" s="2">
        <f>TEXT(DATEVALUE(B4397),"yyyy-mm")</f>
        <v/>
      </c>
    </row>
    <row r="4398">
      <c r="A4398" s="2" t="inlineStr">
        <is>
          <t>O003636</t>
        </is>
      </c>
      <c r="B4398" s="2" t="inlineStr">
        <is>
          <t>2025-11-17</t>
        </is>
      </c>
      <c r="C4398" s="2" t="inlineStr">
        <is>
          <t>C0651</t>
        </is>
      </c>
      <c r="D4398" s="2" t="inlineStr">
        <is>
          <t>P0003</t>
        </is>
      </c>
      <c r="E4398" s="2" t="inlineStr">
        <is>
          <t>Smartwatch</t>
        </is>
      </c>
      <c r="F4398" s="2" t="inlineStr">
        <is>
          <t>Electronics</t>
        </is>
      </c>
      <c r="G4398" s="2" t="inlineStr">
        <is>
          <t>East</t>
        </is>
      </c>
      <c r="H4398" s="2" t="inlineStr">
        <is>
          <t>West Bengal</t>
        </is>
      </c>
      <c r="I4398" s="2" t="inlineStr">
        <is>
          <t>Durgapur</t>
        </is>
      </c>
      <c r="J4398" s="2" t="inlineStr">
        <is>
          <t>Online</t>
        </is>
      </c>
      <c r="K4398" s="2" t="n">
        <v>5</v>
      </c>
      <c r="L4398" s="3" t="n">
        <v>2201.86</v>
      </c>
      <c r="M4398" s="4" t="n">
        <v>0.05</v>
      </c>
      <c r="N4398" s="3" t="n">
        <v>6065.45</v>
      </c>
      <c r="O4398" s="3">
        <f>K4398*L4398*(1-M4398)</f>
        <v/>
      </c>
      <c r="P4398" s="3">
        <f>O4398-N4398</f>
        <v/>
      </c>
      <c r="Q4398" s="5">
        <f>IFERROR(P4398/O4398,0)</f>
        <v/>
      </c>
      <c r="R4398" s="2">
        <f>TEXT(DATEVALUE(B4398),"mmm")</f>
        <v/>
      </c>
      <c r="S4398" s="2">
        <f>TEXT(DATEVALUE(B4398),"yyyy-mm")</f>
        <v/>
      </c>
    </row>
    <row r="4399">
      <c r="A4399" s="2" t="inlineStr">
        <is>
          <t>O004641</t>
        </is>
      </c>
      <c r="B4399" s="2" t="inlineStr">
        <is>
          <t>2025-11-17</t>
        </is>
      </c>
      <c r="C4399" s="2" t="inlineStr">
        <is>
          <t>C0404</t>
        </is>
      </c>
      <c r="D4399" s="2" t="inlineStr">
        <is>
          <t>P0014</t>
        </is>
      </c>
      <c r="E4399" s="2" t="inlineStr">
        <is>
          <t>Coffee Maker</t>
        </is>
      </c>
      <c r="F4399" s="2" t="inlineStr">
        <is>
          <t>Home &amp; Kitchen</t>
        </is>
      </c>
      <c r="G4399" s="2" t="inlineStr">
        <is>
          <t>East</t>
        </is>
      </c>
      <c r="H4399" s="2" t="inlineStr">
        <is>
          <t>West Bengal</t>
        </is>
      </c>
      <c r="I4399" s="2" t="inlineStr">
        <is>
          <t>Kolkata</t>
        </is>
      </c>
      <c r="J4399" s="2" t="inlineStr">
        <is>
          <t>Store</t>
        </is>
      </c>
      <c r="K4399" s="2" t="n">
        <v>2</v>
      </c>
      <c r="L4399" s="3" t="n">
        <v>1045.02</v>
      </c>
      <c r="M4399" s="4" t="n">
        <v>0.1</v>
      </c>
      <c r="N4399" s="3" t="n">
        <v>1560.6</v>
      </c>
      <c r="O4399" s="3">
        <f>K4399*L4399*(1-M4399)</f>
        <v/>
      </c>
      <c r="P4399" s="3">
        <f>O4399-N4399</f>
        <v/>
      </c>
      <c r="Q4399" s="5">
        <f>IFERROR(P4399/O4399,0)</f>
        <v/>
      </c>
      <c r="R4399" s="2">
        <f>TEXT(DATEVALUE(B4399),"mmm")</f>
        <v/>
      </c>
      <c r="S4399" s="2">
        <f>TEXT(DATEVALUE(B4399),"yyyy-mm")</f>
        <v/>
      </c>
    </row>
    <row r="4400">
      <c r="A4400" s="2" t="inlineStr">
        <is>
          <t>O004897</t>
        </is>
      </c>
      <c r="B4400" s="2" t="inlineStr">
        <is>
          <t>2025-11-17</t>
        </is>
      </c>
      <c r="C4400" s="2" t="inlineStr">
        <is>
          <t>C0469</t>
        </is>
      </c>
      <c r="D4400" s="2" t="inlineStr">
        <is>
          <t>P0025</t>
        </is>
      </c>
      <c r="E4400" s="2" t="inlineStr">
        <is>
          <t>Perfume</t>
        </is>
      </c>
      <c r="F4400" s="2" t="inlineStr">
        <is>
          <t>Beauty</t>
        </is>
      </c>
      <c r="G4400" s="2" t="inlineStr">
        <is>
          <t>West</t>
        </is>
      </c>
      <c r="H4400" s="2" t="inlineStr">
        <is>
          <t>Goa</t>
        </is>
      </c>
      <c r="I4400" s="2" t="inlineStr">
        <is>
          <t>Margao</t>
        </is>
      </c>
      <c r="J4400" s="2" t="inlineStr">
        <is>
          <t>Online</t>
        </is>
      </c>
      <c r="K4400" s="2" t="n">
        <v>1</v>
      </c>
      <c r="L4400" s="3" t="n">
        <v>813.73</v>
      </c>
      <c r="M4400" s="4" t="n">
        <v>0.2</v>
      </c>
      <c r="N4400" s="3" t="n">
        <v>599.96</v>
      </c>
      <c r="O4400" s="3">
        <f>K4400*L4400*(1-M4400)</f>
        <v/>
      </c>
      <c r="P4400" s="3">
        <f>O4400-N4400</f>
        <v/>
      </c>
      <c r="Q4400" s="5">
        <f>IFERROR(P4400/O4400,0)</f>
        <v/>
      </c>
      <c r="R4400" s="2">
        <f>TEXT(DATEVALUE(B4400),"mmm")</f>
        <v/>
      </c>
      <c r="S4400" s="2">
        <f>TEXT(DATEVALUE(B4400),"yyyy-mm")</f>
        <v/>
      </c>
    </row>
    <row r="4401">
      <c r="A4401" s="2" t="inlineStr">
        <is>
          <t>O004438</t>
        </is>
      </c>
      <c r="B4401" s="2" t="inlineStr">
        <is>
          <t>2025-11-17</t>
        </is>
      </c>
      <c r="C4401" s="2" t="inlineStr">
        <is>
          <t>C0169</t>
        </is>
      </c>
      <c r="D4401" s="2" t="inlineStr">
        <is>
          <t>P0004</t>
        </is>
      </c>
      <c r="E4401" s="2" t="inlineStr">
        <is>
          <t>USB-C Hub</t>
        </is>
      </c>
      <c r="F4401" s="2" t="inlineStr">
        <is>
          <t>Electronics</t>
        </is>
      </c>
      <c r="G4401" s="2" t="inlineStr">
        <is>
          <t>South</t>
        </is>
      </c>
      <c r="H4401" s="2" t="inlineStr">
        <is>
          <t>Kerala</t>
        </is>
      </c>
      <c r="I4401" s="2" t="inlineStr">
        <is>
          <t>Thiruvananthapuram</t>
        </is>
      </c>
      <c r="J4401" s="2" t="inlineStr">
        <is>
          <t>Online</t>
        </is>
      </c>
      <c r="K4401" s="2" t="n">
        <v>2</v>
      </c>
      <c r="L4401" s="3" t="n">
        <v>1232.59</v>
      </c>
      <c r="M4401" s="4" t="n">
        <v>0.05</v>
      </c>
      <c r="N4401" s="3" t="n">
        <v>1846.5</v>
      </c>
      <c r="O4401" s="3">
        <f>K4401*L4401*(1-M4401)</f>
        <v/>
      </c>
      <c r="P4401" s="3">
        <f>O4401-N4401</f>
        <v/>
      </c>
      <c r="Q4401" s="5">
        <f>IFERROR(P4401/O4401,0)</f>
        <v/>
      </c>
      <c r="R4401" s="2">
        <f>TEXT(DATEVALUE(B4401),"mmm")</f>
        <v/>
      </c>
      <c r="S4401" s="2">
        <f>TEXT(DATEVALUE(B4401),"yyyy-mm")</f>
        <v/>
      </c>
    </row>
    <row r="4402">
      <c r="A4402" s="2" t="inlineStr">
        <is>
          <t>O003398</t>
        </is>
      </c>
      <c r="B4402" s="2" t="inlineStr">
        <is>
          <t>2025-11-17</t>
        </is>
      </c>
      <c r="C4402" s="2" t="inlineStr">
        <is>
          <t>C0330</t>
        </is>
      </c>
      <c r="D4402" s="2" t="inlineStr">
        <is>
          <t>P0006</t>
        </is>
      </c>
      <c r="E4402" s="2" t="inlineStr">
        <is>
          <t>Mechanical Keyboard</t>
        </is>
      </c>
      <c r="F4402" s="2" t="inlineStr">
        <is>
          <t>Electronics</t>
        </is>
      </c>
      <c r="G4402" s="2" t="inlineStr">
        <is>
          <t>North</t>
        </is>
      </c>
      <c r="H4402" s="2" t="inlineStr">
        <is>
          <t>Haryana</t>
        </is>
      </c>
      <c r="I4402" s="2" t="inlineStr">
        <is>
          <t>Gurugram</t>
        </is>
      </c>
      <c r="J4402" s="2" t="inlineStr">
        <is>
          <t>Online</t>
        </is>
      </c>
      <c r="K4402" s="2" t="n">
        <v>2</v>
      </c>
      <c r="L4402" s="3" t="n">
        <v>2752.43</v>
      </c>
      <c r="M4402" s="4" t="n">
        <v>0.05</v>
      </c>
      <c r="N4402" s="3" t="n">
        <v>2862.43</v>
      </c>
      <c r="O4402" s="3">
        <f>K4402*L4402*(1-M4402)</f>
        <v/>
      </c>
      <c r="P4402" s="3">
        <f>O4402-N4402</f>
        <v/>
      </c>
      <c r="Q4402" s="5">
        <f>IFERROR(P4402/O4402,0)</f>
        <v/>
      </c>
      <c r="R4402" s="2">
        <f>TEXT(DATEVALUE(B4402),"mmm")</f>
        <v/>
      </c>
      <c r="S4402" s="2">
        <f>TEXT(DATEVALUE(B4402),"yyyy-mm")</f>
        <v/>
      </c>
    </row>
    <row r="4403">
      <c r="A4403" s="2" t="inlineStr">
        <is>
          <t>O003894</t>
        </is>
      </c>
      <c r="B4403" s="2" t="inlineStr">
        <is>
          <t>2025-11-17</t>
        </is>
      </c>
      <c r="C4403" s="2" t="inlineStr">
        <is>
          <t>C0584</t>
        </is>
      </c>
      <c r="D4403" s="2" t="inlineStr">
        <is>
          <t>P0012</t>
        </is>
      </c>
      <c r="E4403" s="2" t="inlineStr">
        <is>
          <t>Water Bottle</t>
        </is>
      </c>
      <c r="F4403" s="2" t="inlineStr">
        <is>
          <t>Home &amp; Kitchen</t>
        </is>
      </c>
      <c r="G4403" s="2" t="inlineStr">
        <is>
          <t>West</t>
        </is>
      </c>
      <c r="H4403" s="2" t="inlineStr">
        <is>
          <t>Maharashtra</t>
        </is>
      </c>
      <c r="I4403" s="2" t="inlineStr">
        <is>
          <t>Thane</t>
        </is>
      </c>
      <c r="J4403" s="2" t="inlineStr">
        <is>
          <t>Online</t>
        </is>
      </c>
      <c r="K4403" s="2" t="n">
        <v>2</v>
      </c>
      <c r="L4403" s="3" t="n">
        <v>942.5700000000001</v>
      </c>
      <c r="M4403" s="4" t="n">
        <v>0.1</v>
      </c>
      <c r="N4403" s="3" t="n">
        <v>1236.76</v>
      </c>
      <c r="O4403" s="3">
        <f>K4403*L4403*(1-M4403)</f>
        <v/>
      </c>
      <c r="P4403" s="3">
        <f>O4403-N4403</f>
        <v/>
      </c>
      <c r="Q4403" s="5">
        <f>IFERROR(P4403/O4403,0)</f>
        <v/>
      </c>
      <c r="R4403" s="2">
        <f>TEXT(DATEVALUE(B4403),"mmm")</f>
        <v/>
      </c>
      <c r="S4403" s="2">
        <f>TEXT(DATEVALUE(B4403),"yyyy-mm")</f>
        <v/>
      </c>
    </row>
    <row r="4404">
      <c r="A4404" s="2" t="inlineStr">
        <is>
          <t>O003340</t>
        </is>
      </c>
      <c r="B4404" s="2" t="inlineStr">
        <is>
          <t>2025-11-17</t>
        </is>
      </c>
      <c r="C4404" s="2" t="inlineStr">
        <is>
          <t>C0053</t>
        </is>
      </c>
      <c r="D4404" s="2" t="inlineStr">
        <is>
          <t>P0011</t>
        </is>
      </c>
      <c r="E4404" s="2" t="inlineStr">
        <is>
          <t>Cookware Set</t>
        </is>
      </c>
      <c r="F4404" s="2" t="inlineStr">
        <is>
          <t>Home &amp; Kitchen</t>
        </is>
      </c>
      <c r="G4404" s="2" t="inlineStr">
        <is>
          <t>South</t>
        </is>
      </c>
      <c r="H4404" s="2" t="inlineStr">
        <is>
          <t>Tamil Nadu</t>
        </is>
      </c>
      <c r="I4404" s="2" t="inlineStr">
        <is>
          <t>Madurai</t>
        </is>
      </c>
      <c r="J4404" s="2" t="inlineStr">
        <is>
          <t>Online</t>
        </is>
      </c>
      <c r="K4404" s="2" t="n">
        <v>2</v>
      </c>
      <c r="L4404" s="3" t="n">
        <v>712.15</v>
      </c>
      <c r="M4404" s="4" t="n">
        <v>0.05</v>
      </c>
      <c r="N4404" s="3" t="n">
        <v>912.53</v>
      </c>
      <c r="O4404" s="3">
        <f>K4404*L4404*(1-M4404)</f>
        <v/>
      </c>
      <c r="P4404" s="3">
        <f>O4404-N4404</f>
        <v/>
      </c>
      <c r="Q4404" s="5">
        <f>IFERROR(P4404/O4404,0)</f>
        <v/>
      </c>
      <c r="R4404" s="2">
        <f>TEXT(DATEVALUE(B4404),"mmm")</f>
        <v/>
      </c>
      <c r="S4404" s="2">
        <f>TEXT(DATEVALUE(B4404),"yyyy-mm")</f>
        <v/>
      </c>
    </row>
    <row r="4405">
      <c r="A4405" s="2" t="inlineStr">
        <is>
          <t>O002401</t>
        </is>
      </c>
      <c r="B4405" s="2" t="inlineStr">
        <is>
          <t>2025-11-17</t>
        </is>
      </c>
      <c r="C4405" s="2" t="inlineStr">
        <is>
          <t>C0393</t>
        </is>
      </c>
      <c r="D4405" s="2" t="inlineStr">
        <is>
          <t>P0004</t>
        </is>
      </c>
      <c r="E4405" s="2" t="inlineStr">
        <is>
          <t>USB-C Hub</t>
        </is>
      </c>
      <c r="F4405" s="2" t="inlineStr">
        <is>
          <t>Electronics</t>
        </is>
      </c>
      <c r="G4405" s="2" t="inlineStr">
        <is>
          <t>West</t>
        </is>
      </c>
      <c r="H4405" s="2" t="inlineStr">
        <is>
          <t>Maharashtra</t>
        </is>
      </c>
      <c r="I4405" s="2" t="inlineStr">
        <is>
          <t>Pune</t>
        </is>
      </c>
      <c r="J4405" s="2" t="inlineStr">
        <is>
          <t>Store</t>
        </is>
      </c>
      <c r="K4405" s="2" t="n">
        <v>4</v>
      </c>
      <c r="L4405" s="3" t="n">
        <v>1246.86</v>
      </c>
      <c r="M4405" s="4" t="n">
        <v>0.25</v>
      </c>
      <c r="N4405" s="3" t="n">
        <v>3618.63</v>
      </c>
      <c r="O4405" s="3">
        <f>K4405*L4405*(1-M4405)</f>
        <v/>
      </c>
      <c r="P4405" s="3">
        <f>O4405-N4405</f>
        <v/>
      </c>
      <c r="Q4405" s="5">
        <f>IFERROR(P4405/O4405,0)</f>
        <v/>
      </c>
      <c r="R4405" s="2">
        <f>TEXT(DATEVALUE(B4405),"mmm")</f>
        <v/>
      </c>
      <c r="S4405" s="2">
        <f>TEXT(DATEVALUE(B4405),"yyyy-mm")</f>
        <v/>
      </c>
    </row>
    <row r="4406">
      <c r="A4406" s="2" t="inlineStr">
        <is>
          <t>O003383</t>
        </is>
      </c>
      <c r="B4406" s="2" t="inlineStr">
        <is>
          <t>2025-11-17</t>
        </is>
      </c>
      <c r="C4406" s="2" t="inlineStr">
        <is>
          <t>C0703</t>
        </is>
      </c>
      <c r="D4406" s="2" t="inlineStr">
        <is>
          <t>P0012</t>
        </is>
      </c>
      <c r="E4406" s="2" t="inlineStr">
        <is>
          <t>Water Bottle</t>
        </is>
      </c>
      <c r="F4406" s="2" t="inlineStr">
        <is>
          <t>Home &amp; Kitchen</t>
        </is>
      </c>
      <c r="G4406" s="2" t="inlineStr">
        <is>
          <t>North</t>
        </is>
      </c>
      <c r="H4406" s="2" t="inlineStr">
        <is>
          <t>Delhi</t>
        </is>
      </c>
      <c r="I4406" s="2" t="inlineStr">
        <is>
          <t>New Delhi</t>
        </is>
      </c>
      <c r="J4406" s="2" t="inlineStr">
        <is>
          <t>Store</t>
        </is>
      </c>
      <c r="K4406" s="2" t="n">
        <v>1</v>
      </c>
      <c r="L4406" s="3" t="n">
        <v>972.01</v>
      </c>
      <c r="M4406" s="4" t="n">
        <v>0.1</v>
      </c>
      <c r="N4406" s="3" t="n">
        <v>605.35</v>
      </c>
      <c r="O4406" s="3">
        <f>K4406*L4406*(1-M4406)</f>
        <v/>
      </c>
      <c r="P4406" s="3">
        <f>O4406-N4406</f>
        <v/>
      </c>
      <c r="Q4406" s="5">
        <f>IFERROR(P4406/O4406,0)</f>
        <v/>
      </c>
      <c r="R4406" s="2">
        <f>TEXT(DATEVALUE(B4406),"mmm")</f>
        <v/>
      </c>
      <c r="S4406" s="2">
        <f>TEXT(DATEVALUE(B4406),"yyyy-mm")</f>
        <v/>
      </c>
    </row>
    <row r="4407">
      <c r="A4407" s="2" t="inlineStr">
        <is>
          <t>O002335</t>
        </is>
      </c>
      <c r="B4407" s="2" t="inlineStr">
        <is>
          <t>2025-11-17</t>
        </is>
      </c>
      <c r="C4407" s="2" t="inlineStr">
        <is>
          <t>C0258</t>
        </is>
      </c>
      <c r="D4407" s="2" t="inlineStr">
        <is>
          <t>P0021</t>
        </is>
      </c>
      <c r="E4407" s="2" t="inlineStr">
        <is>
          <t>Wallet</t>
        </is>
      </c>
      <c r="F4407" s="2" t="inlineStr">
        <is>
          <t>Fashion</t>
        </is>
      </c>
      <c r="G4407" s="2" t="inlineStr">
        <is>
          <t>South</t>
        </is>
      </c>
      <c r="H4407" s="2" t="inlineStr">
        <is>
          <t>Kerala</t>
        </is>
      </c>
      <c r="I4407" s="2" t="inlineStr">
        <is>
          <t>Thiruvananthapuram</t>
        </is>
      </c>
      <c r="J4407" s="2" t="inlineStr">
        <is>
          <t>Store</t>
        </is>
      </c>
      <c r="K4407" s="2" t="n">
        <v>1</v>
      </c>
      <c r="L4407" s="3" t="n">
        <v>2009.13</v>
      </c>
      <c r="M4407" s="4" t="n">
        <v>0.2</v>
      </c>
      <c r="N4407" s="3" t="n">
        <v>1251.65</v>
      </c>
      <c r="O4407" s="3">
        <f>K4407*L4407*(1-M4407)</f>
        <v/>
      </c>
      <c r="P4407" s="3">
        <f>O4407-N4407</f>
        <v/>
      </c>
      <c r="Q4407" s="5">
        <f>IFERROR(P4407/O4407,0)</f>
        <v/>
      </c>
      <c r="R4407" s="2">
        <f>TEXT(DATEVALUE(B4407),"mmm")</f>
        <v/>
      </c>
      <c r="S4407" s="2">
        <f>TEXT(DATEVALUE(B4407),"yyyy-mm")</f>
        <v/>
      </c>
    </row>
    <row r="4408">
      <c r="A4408" s="2" t="inlineStr">
        <is>
          <t>O001252</t>
        </is>
      </c>
      <c r="B4408" s="2" t="inlineStr">
        <is>
          <t>2025-11-17</t>
        </is>
      </c>
      <c r="C4408" s="2" t="inlineStr">
        <is>
          <t>C0284</t>
        </is>
      </c>
      <c r="D4408" s="2" t="inlineStr">
        <is>
          <t>P0010</t>
        </is>
      </c>
      <c r="E4408" s="2" t="inlineStr">
        <is>
          <t>Mixer Grinder</t>
        </is>
      </c>
      <c r="F4408" s="2" t="inlineStr">
        <is>
          <t>Home &amp; Kitchen</t>
        </is>
      </c>
      <c r="G4408" s="2" t="inlineStr">
        <is>
          <t>South</t>
        </is>
      </c>
      <c r="H4408" s="2" t="inlineStr">
        <is>
          <t>Karnataka</t>
        </is>
      </c>
      <c r="I4408" s="2" t="inlineStr">
        <is>
          <t>Bengaluru</t>
        </is>
      </c>
      <c r="J4408" s="2" t="inlineStr">
        <is>
          <t>Online</t>
        </is>
      </c>
      <c r="K4408" s="2" t="n">
        <v>2</v>
      </c>
      <c r="L4408" s="3" t="n">
        <v>1561.52</v>
      </c>
      <c r="M4408" s="4" t="n">
        <v>0.05</v>
      </c>
      <c r="N4408" s="3" t="n">
        <v>2069.24</v>
      </c>
      <c r="O4408" s="3">
        <f>K4408*L4408*(1-M4408)</f>
        <v/>
      </c>
      <c r="P4408" s="3">
        <f>O4408-N4408</f>
        <v/>
      </c>
      <c r="Q4408" s="5">
        <f>IFERROR(P4408/O4408,0)</f>
        <v/>
      </c>
      <c r="R4408" s="2">
        <f>TEXT(DATEVALUE(B4408),"mmm")</f>
        <v/>
      </c>
      <c r="S4408" s="2">
        <f>TEXT(DATEVALUE(B4408),"yyyy-mm")</f>
        <v/>
      </c>
    </row>
    <row r="4409">
      <c r="A4409" s="2" t="inlineStr">
        <is>
          <t>O001012</t>
        </is>
      </c>
      <c r="B4409" s="2" t="inlineStr">
        <is>
          <t>2025-11-17</t>
        </is>
      </c>
      <c r="C4409" s="2" t="inlineStr">
        <is>
          <t>C0565</t>
        </is>
      </c>
      <c r="D4409" s="2" t="inlineStr">
        <is>
          <t>P0017</t>
        </is>
      </c>
      <c r="E4409" s="2" t="inlineStr">
        <is>
          <t>Jeans</t>
        </is>
      </c>
      <c r="F4409" s="2" t="inlineStr">
        <is>
          <t>Fashion</t>
        </is>
      </c>
      <c r="G4409" s="2" t="inlineStr">
        <is>
          <t>West</t>
        </is>
      </c>
      <c r="H4409" s="2" t="inlineStr">
        <is>
          <t>Goa</t>
        </is>
      </c>
      <c r="I4409" s="2" t="inlineStr">
        <is>
          <t>Margao</t>
        </is>
      </c>
      <c r="J4409" s="2" t="inlineStr">
        <is>
          <t>Online</t>
        </is>
      </c>
      <c r="K4409" s="2" t="n">
        <v>5</v>
      </c>
      <c r="L4409" s="3" t="n">
        <v>1477.09</v>
      </c>
      <c r="M4409" s="4" t="n">
        <v>0.1</v>
      </c>
      <c r="N4409" s="3" t="n">
        <v>4954.08</v>
      </c>
      <c r="O4409" s="3">
        <f>K4409*L4409*(1-M4409)</f>
        <v/>
      </c>
      <c r="P4409" s="3">
        <f>O4409-N4409</f>
        <v/>
      </c>
      <c r="Q4409" s="5">
        <f>IFERROR(P4409/O4409,0)</f>
        <v/>
      </c>
      <c r="R4409" s="2">
        <f>TEXT(DATEVALUE(B4409),"mmm")</f>
        <v/>
      </c>
      <c r="S4409" s="2">
        <f>TEXT(DATEVALUE(B4409),"yyyy-mm")</f>
        <v/>
      </c>
    </row>
    <row r="4410">
      <c r="A4410" s="2" t="inlineStr">
        <is>
          <t>O000620</t>
        </is>
      </c>
      <c r="B4410" s="2" t="inlineStr">
        <is>
          <t>2025-11-17</t>
        </is>
      </c>
      <c r="C4410" s="2" t="inlineStr">
        <is>
          <t>C0344</t>
        </is>
      </c>
      <c r="D4410" s="2" t="inlineStr">
        <is>
          <t>P0014</t>
        </is>
      </c>
      <c r="E4410" s="2" t="inlineStr">
        <is>
          <t>Coffee Maker</t>
        </is>
      </c>
      <c r="F4410" s="2" t="inlineStr">
        <is>
          <t>Home &amp; Kitchen</t>
        </is>
      </c>
      <c r="G4410" s="2" t="inlineStr">
        <is>
          <t>West</t>
        </is>
      </c>
      <c r="H4410" s="2" t="inlineStr">
        <is>
          <t>Maharashtra</t>
        </is>
      </c>
      <c r="I4410" s="2" t="inlineStr">
        <is>
          <t>Pune</t>
        </is>
      </c>
      <c r="J4410" s="2" t="inlineStr">
        <is>
          <t>Online</t>
        </is>
      </c>
      <c r="K4410" s="2" t="n">
        <v>1</v>
      </c>
      <c r="L4410" s="3" t="n">
        <v>1034.02</v>
      </c>
      <c r="M4410" s="4" t="n">
        <v>0.1</v>
      </c>
      <c r="N4410" s="3" t="n">
        <v>744.16</v>
      </c>
      <c r="O4410" s="3">
        <f>K4410*L4410*(1-M4410)</f>
        <v/>
      </c>
      <c r="P4410" s="3">
        <f>O4410-N4410</f>
        <v/>
      </c>
      <c r="Q4410" s="5">
        <f>IFERROR(P4410/O4410,0)</f>
        <v/>
      </c>
      <c r="R4410" s="2">
        <f>TEXT(DATEVALUE(B4410),"mmm")</f>
        <v/>
      </c>
      <c r="S4410" s="2">
        <f>TEXT(DATEVALUE(B4410),"yyyy-mm")</f>
        <v/>
      </c>
    </row>
    <row r="4411">
      <c r="A4411" s="2" t="inlineStr">
        <is>
          <t>O000385</t>
        </is>
      </c>
      <c r="B4411" s="2" t="inlineStr">
        <is>
          <t>2025-11-17</t>
        </is>
      </c>
      <c r="C4411" s="2" t="inlineStr">
        <is>
          <t>C0093</t>
        </is>
      </c>
      <c r="D4411" s="2" t="inlineStr">
        <is>
          <t>P0022</t>
        </is>
      </c>
      <c r="E4411" s="2" t="inlineStr">
        <is>
          <t>Face Wash</t>
        </is>
      </c>
      <c r="F4411" s="2" t="inlineStr">
        <is>
          <t>Beauty</t>
        </is>
      </c>
      <c r="G4411" s="2" t="inlineStr">
        <is>
          <t>North</t>
        </is>
      </c>
      <c r="H4411" s="2" t="inlineStr">
        <is>
          <t>Delhi</t>
        </is>
      </c>
      <c r="I4411" s="2" t="inlineStr">
        <is>
          <t>New Delhi</t>
        </is>
      </c>
      <c r="J4411" s="2" t="inlineStr">
        <is>
          <t>Store</t>
        </is>
      </c>
      <c r="K4411" s="2" t="n">
        <v>4</v>
      </c>
      <c r="L4411" s="3" t="n">
        <v>532.78</v>
      </c>
      <c r="M4411" s="4" t="n">
        <v>0.1</v>
      </c>
      <c r="N4411" s="3" t="n">
        <v>1437.42</v>
      </c>
      <c r="O4411" s="3">
        <f>K4411*L4411*(1-M4411)</f>
        <v/>
      </c>
      <c r="P4411" s="3">
        <f>O4411-N4411</f>
        <v/>
      </c>
      <c r="Q4411" s="5">
        <f>IFERROR(P4411/O4411,0)</f>
        <v/>
      </c>
      <c r="R4411" s="2">
        <f>TEXT(DATEVALUE(B4411),"mmm")</f>
        <v/>
      </c>
      <c r="S4411" s="2">
        <f>TEXT(DATEVALUE(B4411),"yyyy-mm")</f>
        <v/>
      </c>
    </row>
    <row r="4412">
      <c r="A4412" s="2" t="inlineStr">
        <is>
          <t>O004928</t>
        </is>
      </c>
      <c r="B4412" s="2" t="inlineStr">
        <is>
          <t>2025-11-18</t>
        </is>
      </c>
      <c r="C4412" s="2" t="inlineStr">
        <is>
          <t>C0333</t>
        </is>
      </c>
      <c r="D4412" s="2" t="inlineStr">
        <is>
          <t>P0009</t>
        </is>
      </c>
      <c r="E4412" s="2" t="inlineStr">
        <is>
          <t>Electric Kettle</t>
        </is>
      </c>
      <c r="F4412" s="2" t="inlineStr">
        <is>
          <t>Home &amp; Kitchen</t>
        </is>
      </c>
      <c r="G4412" s="2" t="inlineStr">
        <is>
          <t>North</t>
        </is>
      </c>
      <c r="H4412" s="2" t="inlineStr">
        <is>
          <t>Uttar Pradesh</t>
        </is>
      </c>
      <c r="I4412" s="2" t="inlineStr">
        <is>
          <t>Lucknow</t>
        </is>
      </c>
      <c r="J4412" s="2" t="inlineStr">
        <is>
          <t>Store</t>
        </is>
      </c>
      <c r="K4412" s="2" t="n">
        <v>2</v>
      </c>
      <c r="L4412" s="3" t="n">
        <v>2183.35</v>
      </c>
      <c r="M4412" s="4" t="n">
        <v>0.1</v>
      </c>
      <c r="N4412" s="3" t="n">
        <v>2287.39</v>
      </c>
      <c r="O4412" s="3">
        <f>K4412*L4412*(1-M4412)</f>
        <v/>
      </c>
      <c r="P4412" s="3">
        <f>O4412-N4412</f>
        <v/>
      </c>
      <c r="Q4412" s="5">
        <f>IFERROR(P4412/O4412,0)</f>
        <v/>
      </c>
      <c r="R4412" s="2">
        <f>TEXT(DATEVALUE(B4412),"mmm")</f>
        <v/>
      </c>
      <c r="S4412" s="2">
        <f>TEXT(DATEVALUE(B4412),"yyyy-mm")</f>
        <v/>
      </c>
    </row>
    <row r="4413">
      <c r="A4413" s="2" t="inlineStr">
        <is>
          <t>O004925</t>
        </is>
      </c>
      <c r="B4413" s="2" t="inlineStr">
        <is>
          <t>2025-11-18</t>
        </is>
      </c>
      <c r="C4413" s="2" t="inlineStr">
        <is>
          <t>C0800</t>
        </is>
      </c>
      <c r="D4413" s="2" t="inlineStr">
        <is>
          <t>P0012</t>
        </is>
      </c>
      <c r="E4413" s="2" t="inlineStr">
        <is>
          <t>Water Bottle</t>
        </is>
      </c>
      <c r="F4413" s="2" t="inlineStr">
        <is>
          <t>Home &amp; Kitchen</t>
        </is>
      </c>
      <c r="G4413" s="2" t="inlineStr">
        <is>
          <t>West</t>
        </is>
      </c>
      <c r="H4413" s="2" t="inlineStr">
        <is>
          <t>Gujarat</t>
        </is>
      </c>
      <c r="I4413" s="2" t="inlineStr">
        <is>
          <t>Surat</t>
        </is>
      </c>
      <c r="J4413" s="2" t="inlineStr">
        <is>
          <t>Online</t>
        </is>
      </c>
      <c r="K4413" s="2" t="n">
        <v>4</v>
      </c>
      <c r="L4413" s="3" t="n">
        <v>957.9</v>
      </c>
      <c r="M4413" s="4" t="n">
        <v>0.15</v>
      </c>
      <c r="N4413" s="3" t="n">
        <v>2496</v>
      </c>
      <c r="O4413" s="3">
        <f>K4413*L4413*(1-M4413)</f>
        <v/>
      </c>
      <c r="P4413" s="3">
        <f>O4413-N4413</f>
        <v/>
      </c>
      <c r="Q4413" s="5">
        <f>IFERROR(P4413/O4413,0)</f>
        <v/>
      </c>
      <c r="R4413" s="2">
        <f>TEXT(DATEVALUE(B4413),"mmm")</f>
        <v/>
      </c>
      <c r="S4413" s="2">
        <f>TEXT(DATEVALUE(B4413),"yyyy-mm")</f>
        <v/>
      </c>
    </row>
    <row r="4414">
      <c r="A4414" s="2" t="inlineStr">
        <is>
          <t>O004677</t>
        </is>
      </c>
      <c r="B4414" s="2" t="inlineStr">
        <is>
          <t>2025-11-18</t>
        </is>
      </c>
      <c r="C4414" s="2" t="inlineStr">
        <is>
          <t>C0592</t>
        </is>
      </c>
      <c r="D4414" s="2" t="inlineStr">
        <is>
          <t>P0007</t>
        </is>
      </c>
      <c r="E4414" s="2" t="inlineStr">
        <is>
          <t>Wireless Mouse</t>
        </is>
      </c>
      <c r="F4414" s="2" t="inlineStr">
        <is>
          <t>Electronics</t>
        </is>
      </c>
      <c r="G4414" s="2" t="inlineStr">
        <is>
          <t>South</t>
        </is>
      </c>
      <c r="H4414" s="2" t="inlineStr">
        <is>
          <t>Telangana</t>
        </is>
      </c>
      <c r="I4414" s="2" t="inlineStr">
        <is>
          <t>Hyderabad</t>
        </is>
      </c>
      <c r="J4414" s="2" t="inlineStr">
        <is>
          <t>Store</t>
        </is>
      </c>
      <c r="K4414" s="2" t="n">
        <v>3</v>
      </c>
      <c r="L4414" s="3" t="n">
        <v>979.08</v>
      </c>
      <c r="M4414" s="4" t="n">
        <v>0.05</v>
      </c>
      <c r="N4414" s="3" t="n">
        <v>1932.87</v>
      </c>
      <c r="O4414" s="3">
        <f>K4414*L4414*(1-M4414)</f>
        <v/>
      </c>
      <c r="P4414" s="3">
        <f>O4414-N4414</f>
        <v/>
      </c>
      <c r="Q4414" s="5">
        <f>IFERROR(P4414/O4414,0)</f>
        <v/>
      </c>
      <c r="R4414" s="2">
        <f>TEXT(DATEVALUE(B4414),"mmm")</f>
        <v/>
      </c>
      <c r="S4414" s="2">
        <f>TEXT(DATEVALUE(B4414),"yyyy-mm")</f>
        <v/>
      </c>
    </row>
    <row r="4415">
      <c r="A4415" s="2" t="inlineStr">
        <is>
          <t>O004340</t>
        </is>
      </c>
      <c r="B4415" s="2" t="inlineStr">
        <is>
          <t>2025-11-18</t>
        </is>
      </c>
      <c r="C4415" s="2" t="inlineStr">
        <is>
          <t>C0107</t>
        </is>
      </c>
      <c r="D4415" s="2" t="inlineStr">
        <is>
          <t>P0024</t>
        </is>
      </c>
      <c r="E4415" s="2" t="inlineStr">
        <is>
          <t>Hair Dryer</t>
        </is>
      </c>
      <c r="F4415" s="2" t="inlineStr">
        <is>
          <t>Beauty</t>
        </is>
      </c>
      <c r="G4415" s="2" t="inlineStr">
        <is>
          <t>East</t>
        </is>
      </c>
      <c r="H4415" s="2" t="inlineStr">
        <is>
          <t>West Bengal</t>
        </is>
      </c>
      <c r="I4415" s="2" t="inlineStr">
        <is>
          <t>Kolkata</t>
        </is>
      </c>
      <c r="J4415" s="2" t="inlineStr">
        <is>
          <t>Store</t>
        </is>
      </c>
      <c r="K4415" s="2" t="n">
        <v>1</v>
      </c>
      <c r="L4415" s="3" t="n">
        <v>1025.08</v>
      </c>
      <c r="M4415" s="4" t="n">
        <v>0</v>
      </c>
      <c r="N4415" s="3" t="n">
        <v>709.26</v>
      </c>
      <c r="O4415" s="3">
        <f>K4415*L4415*(1-M4415)</f>
        <v/>
      </c>
      <c r="P4415" s="3">
        <f>O4415-N4415</f>
        <v/>
      </c>
      <c r="Q4415" s="5">
        <f>IFERROR(P4415/O4415,0)</f>
        <v/>
      </c>
      <c r="R4415" s="2">
        <f>TEXT(DATEVALUE(B4415),"mmm")</f>
        <v/>
      </c>
      <c r="S4415" s="2">
        <f>TEXT(DATEVALUE(B4415),"yyyy-mm")</f>
        <v/>
      </c>
    </row>
    <row r="4416">
      <c r="A4416" s="2" t="inlineStr">
        <is>
          <t>O004308</t>
        </is>
      </c>
      <c r="B4416" s="2" t="inlineStr">
        <is>
          <t>2025-11-18</t>
        </is>
      </c>
      <c r="C4416" s="2" t="inlineStr">
        <is>
          <t>C0125</t>
        </is>
      </c>
      <c r="D4416" s="2" t="inlineStr">
        <is>
          <t>P0003</t>
        </is>
      </c>
      <c r="E4416" s="2" t="inlineStr">
        <is>
          <t>Smartwatch</t>
        </is>
      </c>
      <c r="F4416" s="2" t="inlineStr">
        <is>
          <t>Electronics</t>
        </is>
      </c>
      <c r="G4416" s="2" t="inlineStr">
        <is>
          <t>West</t>
        </is>
      </c>
      <c r="H4416" s="2" t="inlineStr">
        <is>
          <t>Gujarat</t>
        </is>
      </c>
      <c r="I4416" s="2" t="inlineStr">
        <is>
          <t>Ahmedabad</t>
        </is>
      </c>
      <c r="J4416" s="2" t="inlineStr">
        <is>
          <t>Store</t>
        </is>
      </c>
      <c r="K4416" s="2" t="n">
        <v>2</v>
      </c>
      <c r="L4416" s="3" t="n">
        <v>2252.01</v>
      </c>
      <c r="M4416" s="4" t="n">
        <v>0.05</v>
      </c>
      <c r="N4416" s="3" t="n">
        <v>2328</v>
      </c>
      <c r="O4416" s="3">
        <f>K4416*L4416*(1-M4416)</f>
        <v/>
      </c>
      <c r="P4416" s="3">
        <f>O4416-N4416</f>
        <v/>
      </c>
      <c r="Q4416" s="5">
        <f>IFERROR(P4416/O4416,0)</f>
        <v/>
      </c>
      <c r="R4416" s="2">
        <f>TEXT(DATEVALUE(B4416),"mmm")</f>
        <v/>
      </c>
      <c r="S4416" s="2">
        <f>TEXT(DATEVALUE(B4416),"yyyy-mm")</f>
        <v/>
      </c>
    </row>
    <row r="4417">
      <c r="A4417" s="2" t="inlineStr">
        <is>
          <t>O004006</t>
        </is>
      </c>
      <c r="B4417" s="2" t="inlineStr">
        <is>
          <t>2025-11-18</t>
        </is>
      </c>
      <c r="C4417" s="2" t="inlineStr">
        <is>
          <t>C0100</t>
        </is>
      </c>
      <c r="D4417" s="2" t="inlineStr">
        <is>
          <t>P0006</t>
        </is>
      </c>
      <c r="E4417" s="2" t="inlineStr">
        <is>
          <t>Mechanical Keyboard</t>
        </is>
      </c>
      <c r="F4417" s="2" t="inlineStr">
        <is>
          <t>Electronics</t>
        </is>
      </c>
      <c r="G4417" s="2" t="inlineStr">
        <is>
          <t>West</t>
        </is>
      </c>
      <c r="H4417" s="2" t="inlineStr">
        <is>
          <t>Goa</t>
        </is>
      </c>
      <c r="I4417" s="2" t="inlineStr">
        <is>
          <t>Margao</t>
        </is>
      </c>
      <c r="J4417" s="2" t="inlineStr">
        <is>
          <t>Store</t>
        </is>
      </c>
      <c r="K4417" s="2" t="n">
        <v>1</v>
      </c>
      <c r="L4417" s="3" t="n">
        <v>2641.62</v>
      </c>
      <c r="M4417" s="4" t="n">
        <v>0</v>
      </c>
      <c r="N4417" s="3" t="n">
        <v>1510.24</v>
      </c>
      <c r="O4417" s="3">
        <f>K4417*L4417*(1-M4417)</f>
        <v/>
      </c>
      <c r="P4417" s="3">
        <f>O4417-N4417</f>
        <v/>
      </c>
      <c r="Q4417" s="5">
        <f>IFERROR(P4417/O4417,0)</f>
        <v/>
      </c>
      <c r="R4417" s="2">
        <f>TEXT(DATEVALUE(B4417),"mmm")</f>
        <v/>
      </c>
      <c r="S4417" s="2">
        <f>TEXT(DATEVALUE(B4417),"yyyy-mm")</f>
        <v/>
      </c>
    </row>
    <row r="4418">
      <c r="A4418" s="2" t="inlineStr">
        <is>
          <t>O003621</t>
        </is>
      </c>
      <c r="B4418" s="2" t="inlineStr">
        <is>
          <t>2025-11-18</t>
        </is>
      </c>
      <c r="C4418" s="2" t="inlineStr">
        <is>
          <t>C0521</t>
        </is>
      </c>
      <c r="D4418" s="2" t="inlineStr">
        <is>
          <t>P0007</t>
        </is>
      </c>
      <c r="E4418" s="2" t="inlineStr">
        <is>
          <t>Wireless Mouse</t>
        </is>
      </c>
      <c r="F4418" s="2" t="inlineStr">
        <is>
          <t>Electronics</t>
        </is>
      </c>
      <c r="G4418" s="2" t="inlineStr">
        <is>
          <t>West</t>
        </is>
      </c>
      <c r="H4418" s="2" t="inlineStr">
        <is>
          <t>Maharashtra</t>
        </is>
      </c>
      <c r="I4418" s="2" t="inlineStr">
        <is>
          <t>Nashik</t>
        </is>
      </c>
      <c r="J4418" s="2" t="inlineStr">
        <is>
          <t>Online</t>
        </is>
      </c>
      <c r="K4418" s="2" t="n">
        <v>1</v>
      </c>
      <c r="L4418" s="3" t="n">
        <v>1015.38</v>
      </c>
      <c r="M4418" s="4" t="n">
        <v>0.1</v>
      </c>
      <c r="N4418" s="3" t="n">
        <v>621.04</v>
      </c>
      <c r="O4418" s="3">
        <f>K4418*L4418*(1-M4418)</f>
        <v/>
      </c>
      <c r="P4418" s="3">
        <f>O4418-N4418</f>
        <v/>
      </c>
      <c r="Q4418" s="5">
        <f>IFERROR(P4418/O4418,0)</f>
        <v/>
      </c>
      <c r="R4418" s="2">
        <f>TEXT(DATEVALUE(B4418),"mmm")</f>
        <v/>
      </c>
      <c r="S4418" s="2">
        <f>TEXT(DATEVALUE(B4418),"yyyy-mm")</f>
        <v/>
      </c>
    </row>
    <row r="4419">
      <c r="A4419" s="2" t="inlineStr">
        <is>
          <t>O001090</t>
        </is>
      </c>
      <c r="B4419" s="2" t="inlineStr">
        <is>
          <t>2025-11-18</t>
        </is>
      </c>
      <c r="C4419" s="2" t="inlineStr">
        <is>
          <t>C0225</t>
        </is>
      </c>
      <c r="D4419" s="2" t="inlineStr">
        <is>
          <t>P0005</t>
        </is>
      </c>
      <c r="E4419" s="2" t="inlineStr">
        <is>
          <t>Power Bank</t>
        </is>
      </c>
      <c r="F4419" s="2" t="inlineStr">
        <is>
          <t>Electronics</t>
        </is>
      </c>
      <c r="G4419" s="2" t="inlineStr">
        <is>
          <t>South</t>
        </is>
      </c>
      <c r="H4419" s="2" t="inlineStr">
        <is>
          <t>Karnataka</t>
        </is>
      </c>
      <c r="I4419" s="2" t="inlineStr">
        <is>
          <t>Bengaluru</t>
        </is>
      </c>
      <c r="J4419" s="2" t="inlineStr">
        <is>
          <t>Online</t>
        </is>
      </c>
      <c r="K4419" s="2" t="n">
        <v>1</v>
      </c>
      <c r="L4419" s="3" t="n">
        <v>1146.9</v>
      </c>
      <c r="M4419" s="4" t="n">
        <v>0.05</v>
      </c>
      <c r="N4419" s="3" t="n">
        <v>667.04</v>
      </c>
      <c r="O4419" s="3">
        <f>K4419*L4419*(1-M4419)</f>
        <v/>
      </c>
      <c r="P4419" s="3">
        <f>O4419-N4419</f>
        <v/>
      </c>
      <c r="Q4419" s="5">
        <f>IFERROR(P4419/O4419,0)</f>
        <v/>
      </c>
      <c r="R4419" s="2">
        <f>TEXT(DATEVALUE(B4419),"mmm")</f>
        <v/>
      </c>
      <c r="S4419" s="2">
        <f>TEXT(DATEVALUE(B4419),"yyyy-mm")</f>
        <v/>
      </c>
    </row>
    <row r="4420">
      <c r="A4420" s="2" t="inlineStr">
        <is>
          <t>O000966</t>
        </is>
      </c>
      <c r="B4420" s="2" t="inlineStr">
        <is>
          <t>2025-11-18</t>
        </is>
      </c>
      <c r="C4420" s="2" t="inlineStr">
        <is>
          <t>C0758</t>
        </is>
      </c>
      <c r="D4420" s="2" t="inlineStr">
        <is>
          <t>P0004</t>
        </is>
      </c>
      <c r="E4420" s="2" t="inlineStr">
        <is>
          <t>USB-C Hub</t>
        </is>
      </c>
      <c r="F4420" s="2" t="inlineStr">
        <is>
          <t>Electronics</t>
        </is>
      </c>
      <c r="G4420" s="2" t="inlineStr">
        <is>
          <t>West</t>
        </is>
      </c>
      <c r="H4420" s="2" t="inlineStr">
        <is>
          <t>Gujarat</t>
        </is>
      </c>
      <c r="I4420" s="2" t="inlineStr">
        <is>
          <t>Ahmedabad</t>
        </is>
      </c>
      <c r="J4420" s="2" t="inlineStr">
        <is>
          <t>Online</t>
        </is>
      </c>
      <c r="K4420" s="2" t="n">
        <v>3</v>
      </c>
      <c r="L4420" s="3" t="n">
        <v>1240.39</v>
      </c>
      <c r="M4420" s="4" t="n">
        <v>0.2</v>
      </c>
      <c r="N4420" s="3" t="n">
        <v>2802.1</v>
      </c>
      <c r="O4420" s="3">
        <f>K4420*L4420*(1-M4420)</f>
        <v/>
      </c>
      <c r="P4420" s="3">
        <f>O4420-N4420</f>
        <v/>
      </c>
      <c r="Q4420" s="5">
        <f>IFERROR(P4420/O4420,0)</f>
        <v/>
      </c>
      <c r="R4420" s="2">
        <f>TEXT(DATEVALUE(B4420),"mmm")</f>
        <v/>
      </c>
      <c r="S4420" s="2">
        <f>TEXT(DATEVALUE(B4420),"yyyy-mm")</f>
        <v/>
      </c>
    </row>
    <row r="4421">
      <c r="A4421" s="2" t="inlineStr">
        <is>
          <t>O000391</t>
        </is>
      </c>
      <c r="B4421" s="2" t="inlineStr">
        <is>
          <t>2025-11-18</t>
        </is>
      </c>
      <c r="C4421" s="2" t="inlineStr">
        <is>
          <t>C0750</t>
        </is>
      </c>
      <c r="D4421" s="2" t="inlineStr">
        <is>
          <t>P0034</t>
        </is>
      </c>
      <c r="E4421" s="2" t="inlineStr">
        <is>
          <t>Gym Gloves</t>
        </is>
      </c>
      <c r="F4421" s="2" t="inlineStr">
        <is>
          <t>Sports</t>
        </is>
      </c>
      <c r="G4421" s="2" t="inlineStr">
        <is>
          <t>West</t>
        </is>
      </c>
      <c r="H4421" s="2" t="inlineStr">
        <is>
          <t>Maharashtra</t>
        </is>
      </c>
      <c r="I4421" s="2" t="inlineStr">
        <is>
          <t>Thane</t>
        </is>
      </c>
      <c r="J4421" s="2" t="inlineStr">
        <is>
          <t>Online</t>
        </is>
      </c>
      <c r="K4421" s="2" t="n">
        <v>2</v>
      </c>
      <c r="L4421" s="3" t="n">
        <v>620.48</v>
      </c>
      <c r="M4421" s="4" t="n">
        <v>0.05</v>
      </c>
      <c r="N4421" s="3" t="n">
        <v>825.35</v>
      </c>
      <c r="O4421" s="3">
        <f>K4421*L4421*(1-M4421)</f>
        <v/>
      </c>
      <c r="P4421" s="3">
        <f>O4421-N4421</f>
        <v/>
      </c>
      <c r="Q4421" s="5">
        <f>IFERROR(P4421/O4421,0)</f>
        <v/>
      </c>
      <c r="R4421" s="2">
        <f>TEXT(DATEVALUE(B4421),"mmm")</f>
        <v/>
      </c>
      <c r="S4421" s="2">
        <f>TEXT(DATEVALUE(B4421),"yyyy-mm")</f>
        <v/>
      </c>
    </row>
    <row r="4422">
      <c r="A4422" s="2" t="inlineStr">
        <is>
          <t>O004343</t>
        </is>
      </c>
      <c r="B4422" s="2" t="inlineStr">
        <is>
          <t>2025-11-19</t>
        </is>
      </c>
      <c r="C4422" s="2" t="inlineStr">
        <is>
          <t>C0488</t>
        </is>
      </c>
      <c r="D4422" s="2" t="inlineStr">
        <is>
          <t>P0024</t>
        </is>
      </c>
      <c r="E4422" s="2" t="inlineStr">
        <is>
          <t>Hair Dryer</t>
        </is>
      </c>
      <c r="F4422" s="2" t="inlineStr">
        <is>
          <t>Beauty</t>
        </is>
      </c>
      <c r="G4422" s="2" t="inlineStr">
        <is>
          <t>North</t>
        </is>
      </c>
      <c r="H4422" s="2" t="inlineStr">
        <is>
          <t>Punjab</t>
        </is>
      </c>
      <c r="I4422" s="2" t="inlineStr">
        <is>
          <t>Jalandhar</t>
        </is>
      </c>
      <c r="J4422" s="2" t="inlineStr">
        <is>
          <t>Online</t>
        </is>
      </c>
      <c r="K4422" s="2" t="n">
        <v>4</v>
      </c>
      <c r="L4422" s="3" t="n">
        <v>1045.23</v>
      </c>
      <c r="M4422" s="4" t="n">
        <v>0.05</v>
      </c>
      <c r="N4422" s="3" t="n">
        <v>2936.9</v>
      </c>
      <c r="O4422" s="3">
        <f>K4422*L4422*(1-M4422)</f>
        <v/>
      </c>
      <c r="P4422" s="3">
        <f>O4422-N4422</f>
        <v/>
      </c>
      <c r="Q4422" s="5">
        <f>IFERROR(P4422/O4422,0)</f>
        <v/>
      </c>
      <c r="R4422" s="2">
        <f>TEXT(DATEVALUE(B4422),"mmm")</f>
        <v/>
      </c>
      <c r="S4422" s="2">
        <f>TEXT(DATEVALUE(B4422),"yyyy-mm")</f>
        <v/>
      </c>
    </row>
    <row r="4423">
      <c r="A4423" s="2" t="inlineStr">
        <is>
          <t>O004686</t>
        </is>
      </c>
      <c r="B4423" s="2" t="inlineStr">
        <is>
          <t>2025-11-19</t>
        </is>
      </c>
      <c r="C4423" s="2" t="inlineStr">
        <is>
          <t>C0329</t>
        </is>
      </c>
      <c r="D4423" s="2" t="inlineStr">
        <is>
          <t>P0020</t>
        </is>
      </c>
      <c r="E4423" s="2" t="inlineStr">
        <is>
          <t>Sneakers</t>
        </is>
      </c>
      <c r="F4423" s="2" t="inlineStr">
        <is>
          <t>Fashion</t>
        </is>
      </c>
      <c r="G4423" s="2" t="inlineStr">
        <is>
          <t>West</t>
        </is>
      </c>
      <c r="H4423" s="2" t="inlineStr">
        <is>
          <t>Goa</t>
        </is>
      </c>
      <c r="I4423" s="2" t="inlineStr">
        <is>
          <t>Panaji</t>
        </is>
      </c>
      <c r="J4423" s="2" t="inlineStr">
        <is>
          <t>Online</t>
        </is>
      </c>
      <c r="K4423" s="2" t="n">
        <v>1</v>
      </c>
      <c r="L4423" s="3" t="n">
        <v>1955.42</v>
      </c>
      <c r="M4423" s="4" t="n">
        <v>0</v>
      </c>
      <c r="N4423" s="3" t="n">
        <v>1543.6</v>
      </c>
      <c r="O4423" s="3">
        <f>K4423*L4423*(1-M4423)</f>
        <v/>
      </c>
      <c r="P4423" s="3">
        <f>O4423-N4423</f>
        <v/>
      </c>
      <c r="Q4423" s="5">
        <f>IFERROR(P4423/O4423,0)</f>
        <v/>
      </c>
      <c r="R4423" s="2">
        <f>TEXT(DATEVALUE(B4423),"mmm")</f>
        <v/>
      </c>
      <c r="S4423" s="2">
        <f>TEXT(DATEVALUE(B4423),"yyyy-mm")</f>
        <v/>
      </c>
    </row>
    <row r="4424">
      <c r="A4424" s="2" t="inlineStr">
        <is>
          <t>O004106</t>
        </is>
      </c>
      <c r="B4424" s="2" t="inlineStr">
        <is>
          <t>2025-11-19</t>
        </is>
      </c>
      <c r="C4424" s="2" t="inlineStr">
        <is>
          <t>C0534</t>
        </is>
      </c>
      <c r="D4424" s="2" t="inlineStr">
        <is>
          <t>P0022</t>
        </is>
      </c>
      <c r="E4424" s="2" t="inlineStr">
        <is>
          <t>Face Wash</t>
        </is>
      </c>
      <c r="F4424" s="2" t="inlineStr">
        <is>
          <t>Beauty</t>
        </is>
      </c>
      <c r="G4424" s="2" t="inlineStr">
        <is>
          <t>West</t>
        </is>
      </c>
      <c r="H4424" s="2" t="inlineStr">
        <is>
          <t>Maharashtra</t>
        </is>
      </c>
      <c r="I4424" s="2" t="inlineStr">
        <is>
          <t>Nashik</t>
        </is>
      </c>
      <c r="J4424" s="2" t="inlineStr">
        <is>
          <t>Store</t>
        </is>
      </c>
      <c r="K4424" s="2" t="n">
        <v>6</v>
      </c>
      <c r="L4424" s="3" t="n">
        <v>549.5</v>
      </c>
      <c r="M4424" s="4" t="n">
        <v>0.05</v>
      </c>
      <c r="N4424" s="3" t="n">
        <v>2155.96</v>
      </c>
      <c r="O4424" s="3">
        <f>K4424*L4424*(1-M4424)</f>
        <v/>
      </c>
      <c r="P4424" s="3">
        <f>O4424-N4424</f>
        <v/>
      </c>
      <c r="Q4424" s="5">
        <f>IFERROR(P4424/O4424,0)</f>
        <v/>
      </c>
      <c r="R4424" s="2">
        <f>TEXT(DATEVALUE(B4424),"mmm")</f>
        <v/>
      </c>
      <c r="S4424" s="2">
        <f>TEXT(DATEVALUE(B4424),"yyyy-mm")</f>
        <v/>
      </c>
    </row>
    <row r="4425">
      <c r="A4425" s="2" t="inlineStr">
        <is>
          <t>O004029</t>
        </is>
      </c>
      <c r="B4425" s="2" t="inlineStr">
        <is>
          <t>2025-11-19</t>
        </is>
      </c>
      <c r="C4425" s="2" t="inlineStr">
        <is>
          <t>C0776</t>
        </is>
      </c>
      <c r="D4425" s="2" t="inlineStr">
        <is>
          <t>P0016</t>
        </is>
      </c>
      <c r="E4425" s="2" t="inlineStr">
        <is>
          <t>Casual Shirt</t>
        </is>
      </c>
      <c r="F4425" s="2" t="inlineStr">
        <is>
          <t>Fashion</t>
        </is>
      </c>
      <c r="G4425" s="2" t="inlineStr">
        <is>
          <t>West</t>
        </is>
      </c>
      <c r="H4425" s="2" t="inlineStr">
        <is>
          <t>Maharashtra</t>
        </is>
      </c>
      <c r="I4425" s="2" t="inlineStr">
        <is>
          <t>Nagpur</t>
        </is>
      </c>
      <c r="J4425" s="2" t="inlineStr">
        <is>
          <t>Store</t>
        </is>
      </c>
      <c r="K4425" s="2" t="n">
        <v>1</v>
      </c>
      <c r="L4425" s="3" t="n">
        <v>1334.45</v>
      </c>
      <c r="M4425" s="4" t="n">
        <v>0.15</v>
      </c>
      <c r="N4425" s="3" t="n">
        <v>926.5700000000001</v>
      </c>
      <c r="O4425" s="3">
        <f>K4425*L4425*(1-M4425)</f>
        <v/>
      </c>
      <c r="P4425" s="3">
        <f>O4425-N4425</f>
        <v/>
      </c>
      <c r="Q4425" s="5">
        <f>IFERROR(P4425/O4425,0)</f>
        <v/>
      </c>
      <c r="R4425" s="2">
        <f>TEXT(DATEVALUE(B4425),"mmm")</f>
        <v/>
      </c>
      <c r="S4425" s="2">
        <f>TEXT(DATEVALUE(B4425),"yyyy-mm")</f>
        <v/>
      </c>
    </row>
    <row r="4426">
      <c r="A4426" s="2" t="inlineStr">
        <is>
          <t>O003552</t>
        </is>
      </c>
      <c r="B4426" s="2" t="inlineStr">
        <is>
          <t>2025-11-19</t>
        </is>
      </c>
      <c r="C4426" s="2" t="inlineStr">
        <is>
          <t>C0495</t>
        </is>
      </c>
      <c r="D4426" s="2" t="inlineStr">
        <is>
          <t>P0024</t>
        </is>
      </c>
      <c r="E4426" s="2" t="inlineStr">
        <is>
          <t>Hair Dryer</t>
        </is>
      </c>
      <c r="F4426" s="2" t="inlineStr">
        <is>
          <t>Beauty</t>
        </is>
      </c>
      <c r="G4426" s="2" t="inlineStr">
        <is>
          <t>West</t>
        </is>
      </c>
      <c r="H4426" s="2" t="inlineStr">
        <is>
          <t>Goa</t>
        </is>
      </c>
      <c r="I4426" s="2" t="inlineStr">
        <is>
          <t>Panaji</t>
        </is>
      </c>
      <c r="J4426" s="2" t="inlineStr">
        <is>
          <t>Store</t>
        </is>
      </c>
      <c r="K4426" s="2" t="n">
        <v>1</v>
      </c>
      <c r="L4426" s="3" t="n">
        <v>1011.6</v>
      </c>
      <c r="M4426" s="4" t="n">
        <v>0.1</v>
      </c>
      <c r="N4426" s="3" t="n">
        <v>744.1900000000001</v>
      </c>
      <c r="O4426" s="3">
        <f>K4426*L4426*(1-M4426)</f>
        <v/>
      </c>
      <c r="P4426" s="3">
        <f>O4426-N4426</f>
        <v/>
      </c>
      <c r="Q4426" s="5">
        <f>IFERROR(P4426/O4426,0)</f>
        <v/>
      </c>
      <c r="R4426" s="2">
        <f>TEXT(DATEVALUE(B4426),"mmm")</f>
        <v/>
      </c>
      <c r="S4426" s="2">
        <f>TEXT(DATEVALUE(B4426),"yyyy-mm")</f>
        <v/>
      </c>
    </row>
    <row r="4427">
      <c r="A4427" s="2" t="inlineStr">
        <is>
          <t>O003541</t>
        </is>
      </c>
      <c r="B4427" s="2" t="inlineStr">
        <is>
          <t>2025-11-19</t>
        </is>
      </c>
      <c r="C4427" s="2" t="inlineStr">
        <is>
          <t>C0319</t>
        </is>
      </c>
      <c r="D4427" s="2" t="inlineStr">
        <is>
          <t>P0019</t>
        </is>
      </c>
      <c r="E4427" s="2" t="inlineStr">
        <is>
          <t>Jacket</t>
        </is>
      </c>
      <c r="F4427" s="2" t="inlineStr">
        <is>
          <t>Fashion</t>
        </is>
      </c>
      <c r="G4427" s="2" t="inlineStr">
        <is>
          <t>South</t>
        </is>
      </c>
      <c r="H4427" s="2" t="inlineStr">
        <is>
          <t>Telangana</t>
        </is>
      </c>
      <c r="I4427" s="2" t="inlineStr">
        <is>
          <t>Warangal</t>
        </is>
      </c>
      <c r="J4427" s="2" t="inlineStr">
        <is>
          <t>Online</t>
        </is>
      </c>
      <c r="K4427" s="2" t="n">
        <v>2</v>
      </c>
      <c r="L4427" s="3" t="n">
        <v>1021.59</v>
      </c>
      <c r="M4427" s="4" t="n">
        <v>0.1</v>
      </c>
      <c r="N4427" s="3" t="n">
        <v>1343.99</v>
      </c>
      <c r="O4427" s="3">
        <f>K4427*L4427*(1-M4427)</f>
        <v/>
      </c>
      <c r="P4427" s="3">
        <f>O4427-N4427</f>
        <v/>
      </c>
      <c r="Q4427" s="5">
        <f>IFERROR(P4427/O4427,0)</f>
        <v/>
      </c>
      <c r="R4427" s="2">
        <f>TEXT(DATEVALUE(B4427),"mmm")</f>
        <v/>
      </c>
      <c r="S4427" s="2">
        <f>TEXT(DATEVALUE(B4427),"yyyy-mm")</f>
        <v/>
      </c>
    </row>
    <row r="4428">
      <c r="A4428" s="2" t="inlineStr">
        <is>
          <t>O002357</t>
        </is>
      </c>
      <c r="B4428" s="2" t="inlineStr">
        <is>
          <t>2025-11-19</t>
        </is>
      </c>
      <c r="C4428" s="2" t="inlineStr">
        <is>
          <t>C0096</t>
        </is>
      </c>
      <c r="D4428" s="2" t="inlineStr">
        <is>
          <t>P0029</t>
        </is>
      </c>
      <c r="E4428" s="2" t="inlineStr">
        <is>
          <t>Yoga Mat</t>
        </is>
      </c>
      <c r="F4428" s="2" t="inlineStr">
        <is>
          <t>Sports</t>
        </is>
      </c>
      <c r="G4428" s="2" t="inlineStr">
        <is>
          <t>South</t>
        </is>
      </c>
      <c r="H4428" s="2" t="inlineStr">
        <is>
          <t>Karnataka</t>
        </is>
      </c>
      <c r="I4428" s="2" t="inlineStr">
        <is>
          <t>Mysuru</t>
        </is>
      </c>
      <c r="J4428" s="2" t="inlineStr">
        <is>
          <t>Online</t>
        </is>
      </c>
      <c r="K4428" s="2" t="n">
        <v>2</v>
      </c>
      <c r="L4428" s="3" t="n">
        <v>2431.78</v>
      </c>
      <c r="M4428" s="4" t="n">
        <v>0.05</v>
      </c>
      <c r="N4428" s="3" t="n">
        <v>2576.41</v>
      </c>
      <c r="O4428" s="3">
        <f>K4428*L4428*(1-M4428)</f>
        <v/>
      </c>
      <c r="P4428" s="3">
        <f>O4428-N4428</f>
        <v/>
      </c>
      <c r="Q4428" s="5">
        <f>IFERROR(P4428/O4428,0)</f>
        <v/>
      </c>
      <c r="R4428" s="2">
        <f>TEXT(DATEVALUE(B4428),"mmm")</f>
        <v/>
      </c>
      <c r="S4428" s="2">
        <f>TEXT(DATEVALUE(B4428),"yyyy-mm")</f>
        <v/>
      </c>
    </row>
    <row r="4429">
      <c r="A4429" s="2" t="inlineStr">
        <is>
          <t>O000358</t>
        </is>
      </c>
      <c r="B4429" s="2" t="inlineStr">
        <is>
          <t>2025-11-19</t>
        </is>
      </c>
      <c r="C4429" s="2" t="inlineStr">
        <is>
          <t>C0400</t>
        </is>
      </c>
      <c r="D4429" s="2" t="inlineStr">
        <is>
          <t>P0006</t>
        </is>
      </c>
      <c r="E4429" s="2" t="inlineStr">
        <is>
          <t>Mechanical Keyboard</t>
        </is>
      </c>
      <c r="F4429" s="2" t="inlineStr">
        <is>
          <t>Electronics</t>
        </is>
      </c>
      <c r="G4429" s="2" t="inlineStr">
        <is>
          <t>North</t>
        </is>
      </c>
      <c r="H4429" s="2" t="inlineStr">
        <is>
          <t>Delhi</t>
        </is>
      </c>
      <c r="I4429" s="2" t="inlineStr">
        <is>
          <t>New Delhi</t>
        </is>
      </c>
      <c r="J4429" s="2" t="inlineStr">
        <is>
          <t>Online</t>
        </is>
      </c>
      <c r="K4429" s="2" t="n">
        <v>1</v>
      </c>
      <c r="L4429" s="3" t="n">
        <v>2710.87</v>
      </c>
      <c r="M4429" s="4" t="n">
        <v>0.05</v>
      </c>
      <c r="N4429" s="3" t="n">
        <v>1522.92</v>
      </c>
      <c r="O4429" s="3">
        <f>K4429*L4429*(1-M4429)</f>
        <v/>
      </c>
      <c r="P4429" s="3">
        <f>O4429-N4429</f>
        <v/>
      </c>
      <c r="Q4429" s="5">
        <f>IFERROR(P4429/O4429,0)</f>
        <v/>
      </c>
      <c r="R4429" s="2">
        <f>TEXT(DATEVALUE(B4429),"mmm")</f>
        <v/>
      </c>
      <c r="S4429" s="2">
        <f>TEXT(DATEVALUE(B4429),"yyyy-mm")</f>
        <v/>
      </c>
    </row>
    <row r="4430">
      <c r="A4430" s="2" t="inlineStr">
        <is>
          <t>O001622</t>
        </is>
      </c>
      <c r="B4430" s="2" t="inlineStr">
        <is>
          <t>2025-11-19</t>
        </is>
      </c>
      <c r="C4430" s="2" t="inlineStr">
        <is>
          <t>C0519</t>
        </is>
      </c>
      <c r="D4430" s="2" t="inlineStr">
        <is>
          <t>P0015</t>
        </is>
      </c>
      <c r="E4430" s="2" t="inlineStr">
        <is>
          <t>Running Shoes</t>
        </is>
      </c>
      <c r="F4430" s="2" t="inlineStr">
        <is>
          <t>Fashion</t>
        </is>
      </c>
      <c r="G4430" s="2" t="inlineStr">
        <is>
          <t>North</t>
        </is>
      </c>
      <c r="H4430" s="2" t="inlineStr">
        <is>
          <t>Punjab</t>
        </is>
      </c>
      <c r="I4430" s="2" t="inlineStr">
        <is>
          <t>Ludhiana</t>
        </is>
      </c>
      <c r="J4430" s="2" t="inlineStr">
        <is>
          <t>Store</t>
        </is>
      </c>
      <c r="K4430" s="2" t="n">
        <v>3</v>
      </c>
      <c r="L4430" s="3" t="n">
        <v>626.23</v>
      </c>
      <c r="M4430" s="4" t="n">
        <v>0.15</v>
      </c>
      <c r="N4430" s="3" t="n">
        <v>1118.38</v>
      </c>
      <c r="O4430" s="3">
        <f>K4430*L4430*(1-M4430)</f>
        <v/>
      </c>
      <c r="P4430" s="3">
        <f>O4430-N4430</f>
        <v/>
      </c>
      <c r="Q4430" s="5">
        <f>IFERROR(P4430/O4430,0)</f>
        <v/>
      </c>
      <c r="R4430" s="2">
        <f>TEXT(DATEVALUE(B4430),"mmm")</f>
        <v/>
      </c>
      <c r="S4430" s="2">
        <f>TEXT(DATEVALUE(B4430),"yyyy-mm")</f>
        <v/>
      </c>
    </row>
    <row r="4431">
      <c r="A4431" s="2" t="inlineStr">
        <is>
          <t>O001590</t>
        </is>
      </c>
      <c r="B4431" s="2" t="inlineStr">
        <is>
          <t>2025-11-19</t>
        </is>
      </c>
      <c r="C4431" s="2" t="inlineStr">
        <is>
          <t>C0296</t>
        </is>
      </c>
      <c r="D4431" s="2" t="inlineStr">
        <is>
          <t>P0001</t>
        </is>
      </c>
      <c r="E4431" s="2" t="inlineStr">
        <is>
          <t>Wireless Headphones</t>
        </is>
      </c>
      <c r="F4431" s="2" t="inlineStr">
        <is>
          <t>Electronics</t>
        </is>
      </c>
      <c r="G4431" s="2" t="inlineStr">
        <is>
          <t>South</t>
        </is>
      </c>
      <c r="H4431" s="2" t="inlineStr">
        <is>
          <t>Tamil Nadu</t>
        </is>
      </c>
      <c r="I4431" s="2" t="inlineStr">
        <is>
          <t>Madurai</t>
        </is>
      </c>
      <c r="J4431" s="2" t="inlineStr">
        <is>
          <t>Online</t>
        </is>
      </c>
      <c r="K4431" s="2" t="n">
        <v>2</v>
      </c>
      <c r="L4431" s="3" t="n">
        <v>1323.29</v>
      </c>
      <c r="M4431" s="4" t="n">
        <v>0.15</v>
      </c>
      <c r="N4431" s="3" t="n">
        <v>1371.02</v>
      </c>
      <c r="O4431" s="3">
        <f>K4431*L4431*(1-M4431)</f>
        <v/>
      </c>
      <c r="P4431" s="3">
        <f>O4431-N4431</f>
        <v/>
      </c>
      <c r="Q4431" s="5">
        <f>IFERROR(P4431/O4431,0)</f>
        <v/>
      </c>
      <c r="R4431" s="2">
        <f>TEXT(DATEVALUE(B4431),"mmm")</f>
        <v/>
      </c>
      <c r="S4431" s="2">
        <f>TEXT(DATEVALUE(B4431),"yyyy-mm")</f>
        <v/>
      </c>
    </row>
    <row r="4432">
      <c r="A4432" s="2" t="inlineStr">
        <is>
          <t>O001255</t>
        </is>
      </c>
      <c r="B4432" s="2" t="inlineStr">
        <is>
          <t>2025-11-19</t>
        </is>
      </c>
      <c r="C4432" s="2" t="inlineStr">
        <is>
          <t>C0354</t>
        </is>
      </c>
      <c r="D4432" s="2" t="inlineStr">
        <is>
          <t>P0001</t>
        </is>
      </c>
      <c r="E4432" s="2" t="inlineStr">
        <is>
          <t>Wireless Headphones</t>
        </is>
      </c>
      <c r="F4432" s="2" t="inlineStr">
        <is>
          <t>Electronics</t>
        </is>
      </c>
      <c r="G4432" s="2" t="inlineStr">
        <is>
          <t>West</t>
        </is>
      </c>
      <c r="H4432" s="2" t="inlineStr">
        <is>
          <t>Gujarat</t>
        </is>
      </c>
      <c r="I4432" s="2" t="inlineStr">
        <is>
          <t>Vadodara</t>
        </is>
      </c>
      <c r="J4432" s="2" t="inlineStr">
        <is>
          <t>Online</t>
        </is>
      </c>
      <c r="K4432" s="2" t="n">
        <v>1</v>
      </c>
      <c r="L4432" s="3" t="n">
        <v>1284.63</v>
      </c>
      <c r="M4432" s="4" t="n">
        <v>0.1</v>
      </c>
      <c r="N4432" s="3" t="n">
        <v>712.4299999999999</v>
      </c>
      <c r="O4432" s="3">
        <f>K4432*L4432*(1-M4432)</f>
        <v/>
      </c>
      <c r="P4432" s="3">
        <f>O4432-N4432</f>
        <v/>
      </c>
      <c r="Q4432" s="5">
        <f>IFERROR(P4432/O4432,0)</f>
        <v/>
      </c>
      <c r="R4432" s="2">
        <f>TEXT(DATEVALUE(B4432),"mmm")</f>
        <v/>
      </c>
      <c r="S4432" s="2">
        <f>TEXT(DATEVALUE(B4432),"yyyy-mm")</f>
        <v/>
      </c>
    </row>
    <row r="4433">
      <c r="A4433" s="2" t="inlineStr">
        <is>
          <t>O000512</t>
        </is>
      </c>
      <c r="B4433" s="2" t="inlineStr">
        <is>
          <t>2025-11-19</t>
        </is>
      </c>
      <c r="C4433" s="2" t="inlineStr">
        <is>
          <t>C0064</t>
        </is>
      </c>
      <c r="D4433" s="2" t="inlineStr">
        <is>
          <t>P0027</t>
        </is>
      </c>
      <c r="E4433" s="2" t="inlineStr">
        <is>
          <t>Moisturizer</t>
        </is>
      </c>
      <c r="F4433" s="2" t="inlineStr">
        <is>
          <t>Beauty</t>
        </is>
      </c>
      <c r="G4433" s="2" t="inlineStr">
        <is>
          <t>South</t>
        </is>
      </c>
      <c r="H4433" s="2" t="inlineStr">
        <is>
          <t>Karnataka</t>
        </is>
      </c>
      <c r="I4433" s="2" t="inlineStr">
        <is>
          <t>Mangaluru</t>
        </is>
      </c>
      <c r="J4433" s="2" t="inlineStr">
        <is>
          <t>Online</t>
        </is>
      </c>
      <c r="K4433" s="2" t="n">
        <v>2</v>
      </c>
      <c r="L4433" s="3" t="n">
        <v>934.59</v>
      </c>
      <c r="M4433" s="4" t="n">
        <v>0.25</v>
      </c>
      <c r="N4433" s="3" t="n">
        <v>1336.12</v>
      </c>
      <c r="O4433" s="3">
        <f>K4433*L4433*(1-M4433)</f>
        <v/>
      </c>
      <c r="P4433" s="3">
        <f>O4433-N4433</f>
        <v/>
      </c>
      <c r="Q4433" s="5">
        <f>IFERROR(P4433/O4433,0)</f>
        <v/>
      </c>
      <c r="R4433" s="2">
        <f>TEXT(DATEVALUE(B4433),"mmm")</f>
        <v/>
      </c>
      <c r="S4433" s="2">
        <f>TEXT(DATEVALUE(B4433),"yyyy-mm")</f>
        <v/>
      </c>
    </row>
    <row r="4434">
      <c r="A4434" s="2" t="inlineStr">
        <is>
          <t>O000351</t>
        </is>
      </c>
      <c r="B4434" s="2" t="inlineStr">
        <is>
          <t>2025-11-19</t>
        </is>
      </c>
      <c r="C4434" s="2" t="inlineStr">
        <is>
          <t>C0525</t>
        </is>
      </c>
      <c r="D4434" s="2" t="inlineStr">
        <is>
          <t>P0011</t>
        </is>
      </c>
      <c r="E4434" s="2" t="inlineStr">
        <is>
          <t>Cookware Set</t>
        </is>
      </c>
      <c r="F4434" s="2" t="inlineStr">
        <is>
          <t>Home &amp; Kitchen</t>
        </is>
      </c>
      <c r="G4434" s="2" t="inlineStr">
        <is>
          <t>West</t>
        </is>
      </c>
      <c r="H4434" s="2" t="inlineStr">
        <is>
          <t>Maharashtra</t>
        </is>
      </c>
      <c r="I4434" s="2" t="inlineStr">
        <is>
          <t>Nashik</t>
        </is>
      </c>
      <c r="J4434" s="2" t="inlineStr">
        <is>
          <t>Store</t>
        </is>
      </c>
      <c r="K4434" s="2" t="n">
        <v>3</v>
      </c>
      <c r="L4434" s="3" t="n">
        <v>723.97</v>
      </c>
      <c r="M4434" s="4" t="n">
        <v>0.1</v>
      </c>
      <c r="N4434" s="3" t="n">
        <v>1412.19</v>
      </c>
      <c r="O4434" s="3">
        <f>K4434*L4434*(1-M4434)</f>
        <v/>
      </c>
      <c r="P4434" s="3">
        <f>O4434-N4434</f>
        <v/>
      </c>
      <c r="Q4434" s="5">
        <f>IFERROR(P4434/O4434,0)</f>
        <v/>
      </c>
      <c r="R4434" s="2">
        <f>TEXT(DATEVALUE(B4434),"mmm")</f>
        <v/>
      </c>
      <c r="S4434" s="2">
        <f>TEXT(DATEVALUE(B4434),"yyyy-mm")</f>
        <v/>
      </c>
    </row>
    <row r="4435">
      <c r="A4435" s="2" t="inlineStr">
        <is>
          <t>O002252</t>
        </is>
      </c>
      <c r="B4435" s="2" t="inlineStr">
        <is>
          <t>2025-11-19</t>
        </is>
      </c>
      <c r="C4435" s="2" t="inlineStr">
        <is>
          <t>C0279</t>
        </is>
      </c>
      <c r="D4435" s="2" t="inlineStr">
        <is>
          <t>P0011</t>
        </is>
      </c>
      <c r="E4435" s="2" t="inlineStr">
        <is>
          <t>Cookware Set</t>
        </is>
      </c>
      <c r="F4435" s="2" t="inlineStr">
        <is>
          <t>Home &amp; Kitchen</t>
        </is>
      </c>
      <c r="G4435" s="2" t="inlineStr">
        <is>
          <t>West</t>
        </is>
      </c>
      <c r="H4435" s="2" t="inlineStr">
        <is>
          <t>Gujarat</t>
        </is>
      </c>
      <c r="I4435" s="2" t="inlineStr">
        <is>
          <t>Surat</t>
        </is>
      </c>
      <c r="J4435" s="2" t="inlineStr">
        <is>
          <t>Store</t>
        </is>
      </c>
      <c r="K4435" s="2" t="n">
        <v>4</v>
      </c>
      <c r="L4435" s="3" t="n">
        <v>727.99</v>
      </c>
      <c r="M4435" s="4" t="n">
        <v>0</v>
      </c>
      <c r="N4435" s="3" t="n">
        <v>1885.08</v>
      </c>
      <c r="O4435" s="3">
        <f>K4435*L4435*(1-M4435)</f>
        <v/>
      </c>
      <c r="P4435" s="3">
        <f>O4435-N4435</f>
        <v/>
      </c>
      <c r="Q4435" s="5">
        <f>IFERROR(P4435/O4435,0)</f>
        <v/>
      </c>
      <c r="R4435" s="2">
        <f>TEXT(DATEVALUE(B4435),"mmm")</f>
        <v/>
      </c>
      <c r="S4435" s="2">
        <f>TEXT(DATEVALUE(B4435),"yyyy-mm")</f>
        <v/>
      </c>
    </row>
    <row r="4436">
      <c r="A4436" s="2" t="inlineStr">
        <is>
          <t>O003301</t>
        </is>
      </c>
      <c r="B4436" s="2" t="inlineStr">
        <is>
          <t>2025-11-20</t>
        </is>
      </c>
      <c r="C4436" s="2" t="inlineStr">
        <is>
          <t>C0394</t>
        </is>
      </c>
      <c r="D4436" s="2" t="inlineStr">
        <is>
          <t>P0006</t>
        </is>
      </c>
      <c r="E4436" s="2" t="inlineStr">
        <is>
          <t>Mechanical Keyboard</t>
        </is>
      </c>
      <c r="F4436" s="2" t="inlineStr">
        <is>
          <t>Electronics</t>
        </is>
      </c>
      <c r="G4436" s="2" t="inlineStr">
        <is>
          <t>West</t>
        </is>
      </c>
      <c r="H4436" s="2" t="inlineStr">
        <is>
          <t>Gujarat</t>
        </is>
      </c>
      <c r="I4436" s="2" t="inlineStr">
        <is>
          <t>Ahmedabad</t>
        </is>
      </c>
      <c r="J4436" s="2" t="inlineStr">
        <is>
          <t>Online</t>
        </is>
      </c>
      <c r="K4436" s="2" t="n">
        <v>3</v>
      </c>
      <c r="L4436" s="3" t="n">
        <v>2690.7</v>
      </c>
      <c r="M4436" s="4" t="n">
        <v>0.1</v>
      </c>
      <c r="N4436" s="3" t="n">
        <v>4454.84</v>
      </c>
      <c r="O4436" s="3">
        <f>K4436*L4436*(1-M4436)</f>
        <v/>
      </c>
      <c r="P4436" s="3">
        <f>O4436-N4436</f>
        <v/>
      </c>
      <c r="Q4436" s="5">
        <f>IFERROR(P4436/O4436,0)</f>
        <v/>
      </c>
      <c r="R4436" s="2">
        <f>TEXT(DATEVALUE(B4436),"mmm")</f>
        <v/>
      </c>
      <c r="S4436" s="2">
        <f>TEXT(DATEVALUE(B4436),"yyyy-mm")</f>
        <v/>
      </c>
    </row>
    <row r="4437">
      <c r="A4437" s="2" t="inlineStr">
        <is>
          <t>O004486</t>
        </is>
      </c>
      <c r="B4437" s="2" t="inlineStr">
        <is>
          <t>2025-11-20</t>
        </is>
      </c>
      <c r="C4437" s="2" t="inlineStr">
        <is>
          <t>C0639</t>
        </is>
      </c>
      <c r="D4437" s="2" t="inlineStr">
        <is>
          <t>P0020</t>
        </is>
      </c>
      <c r="E4437" s="2" t="inlineStr">
        <is>
          <t>Sneakers</t>
        </is>
      </c>
      <c r="F4437" s="2" t="inlineStr">
        <is>
          <t>Fashion</t>
        </is>
      </c>
      <c r="G4437" s="2" t="inlineStr">
        <is>
          <t>West</t>
        </is>
      </c>
      <c r="H4437" s="2" t="inlineStr">
        <is>
          <t>Gujarat</t>
        </is>
      </c>
      <c r="I4437" s="2" t="inlineStr">
        <is>
          <t>Ahmedabad</t>
        </is>
      </c>
      <c r="J4437" s="2" t="inlineStr">
        <is>
          <t>Online</t>
        </is>
      </c>
      <c r="K4437" s="2" t="n">
        <v>1</v>
      </c>
      <c r="L4437" s="3" t="n">
        <v>1956.17</v>
      </c>
      <c r="M4437" s="4" t="n">
        <v>0.05</v>
      </c>
      <c r="N4437" s="3" t="n">
        <v>1498.39</v>
      </c>
      <c r="O4437" s="3">
        <f>K4437*L4437*(1-M4437)</f>
        <v/>
      </c>
      <c r="P4437" s="3">
        <f>O4437-N4437</f>
        <v/>
      </c>
      <c r="Q4437" s="5">
        <f>IFERROR(P4437/O4437,0)</f>
        <v/>
      </c>
      <c r="R4437" s="2">
        <f>TEXT(DATEVALUE(B4437),"mmm")</f>
        <v/>
      </c>
      <c r="S4437" s="2">
        <f>TEXT(DATEVALUE(B4437),"yyyy-mm")</f>
        <v/>
      </c>
    </row>
    <row r="4438">
      <c r="A4438" s="2" t="inlineStr">
        <is>
          <t>O004172</t>
        </is>
      </c>
      <c r="B4438" s="2" t="inlineStr">
        <is>
          <t>2025-11-20</t>
        </is>
      </c>
      <c r="C4438" s="2" t="inlineStr">
        <is>
          <t>C0049</t>
        </is>
      </c>
      <c r="D4438" s="2" t="inlineStr">
        <is>
          <t>P0031</t>
        </is>
      </c>
      <c r="E4438" s="2" t="inlineStr">
        <is>
          <t>Cricket Bat</t>
        </is>
      </c>
      <c r="F4438" s="2" t="inlineStr">
        <is>
          <t>Sports</t>
        </is>
      </c>
      <c r="G4438" s="2" t="inlineStr">
        <is>
          <t>East</t>
        </is>
      </c>
      <c r="H4438" s="2" t="inlineStr">
        <is>
          <t>West Bengal</t>
        </is>
      </c>
      <c r="I4438" s="2" t="inlineStr">
        <is>
          <t>Durgapur</t>
        </is>
      </c>
      <c r="J4438" s="2" t="inlineStr">
        <is>
          <t>Store</t>
        </is>
      </c>
      <c r="K4438" s="2" t="n">
        <v>1</v>
      </c>
      <c r="L4438" s="3" t="n">
        <v>1358.24</v>
      </c>
      <c r="M4438" s="4" t="n">
        <v>0.05</v>
      </c>
      <c r="N4438" s="3" t="n">
        <v>913.29</v>
      </c>
      <c r="O4438" s="3">
        <f>K4438*L4438*(1-M4438)</f>
        <v/>
      </c>
      <c r="P4438" s="3">
        <f>O4438-N4438</f>
        <v/>
      </c>
      <c r="Q4438" s="5">
        <f>IFERROR(P4438/O4438,0)</f>
        <v/>
      </c>
      <c r="R4438" s="2">
        <f>TEXT(DATEVALUE(B4438),"mmm")</f>
        <v/>
      </c>
      <c r="S4438" s="2">
        <f>TEXT(DATEVALUE(B4438),"yyyy-mm")</f>
        <v/>
      </c>
    </row>
    <row r="4439">
      <c r="A4439" s="2" t="inlineStr">
        <is>
          <t>O004095</t>
        </is>
      </c>
      <c r="B4439" s="2" t="inlineStr">
        <is>
          <t>2025-11-20</t>
        </is>
      </c>
      <c r="C4439" s="2" t="inlineStr">
        <is>
          <t>C0277</t>
        </is>
      </c>
      <c r="D4439" s="2" t="inlineStr">
        <is>
          <t>P0019</t>
        </is>
      </c>
      <c r="E4439" s="2" t="inlineStr">
        <is>
          <t>Jacket</t>
        </is>
      </c>
      <c r="F4439" s="2" t="inlineStr">
        <is>
          <t>Fashion</t>
        </is>
      </c>
      <c r="G4439" s="2" t="inlineStr">
        <is>
          <t>South</t>
        </is>
      </c>
      <c r="H4439" s="2" t="inlineStr">
        <is>
          <t>Tamil Nadu</t>
        </is>
      </c>
      <c r="I4439" s="2" t="inlineStr">
        <is>
          <t>Chennai</t>
        </is>
      </c>
      <c r="J4439" s="2" t="inlineStr">
        <is>
          <t>Online</t>
        </is>
      </c>
      <c r="K4439" s="2" t="n">
        <v>2</v>
      </c>
      <c r="L4439" s="3" t="n">
        <v>1019.12</v>
      </c>
      <c r="M4439" s="4" t="n">
        <v>0.05</v>
      </c>
      <c r="N4439" s="3" t="n">
        <v>1330.36</v>
      </c>
      <c r="O4439" s="3">
        <f>K4439*L4439*(1-M4439)</f>
        <v/>
      </c>
      <c r="P4439" s="3">
        <f>O4439-N4439</f>
        <v/>
      </c>
      <c r="Q4439" s="5">
        <f>IFERROR(P4439/O4439,0)</f>
        <v/>
      </c>
      <c r="R4439" s="2">
        <f>TEXT(DATEVALUE(B4439),"mmm")</f>
        <v/>
      </c>
      <c r="S4439" s="2">
        <f>TEXT(DATEVALUE(B4439),"yyyy-mm")</f>
        <v/>
      </c>
    </row>
    <row r="4440">
      <c r="A4440" s="2" t="inlineStr">
        <is>
          <t>O004047</t>
        </is>
      </c>
      <c r="B4440" s="2" t="inlineStr">
        <is>
          <t>2025-11-20</t>
        </is>
      </c>
      <c r="C4440" s="2" t="inlineStr">
        <is>
          <t>C0023</t>
        </is>
      </c>
      <c r="D4440" s="2" t="inlineStr">
        <is>
          <t>P0009</t>
        </is>
      </c>
      <c r="E4440" s="2" t="inlineStr">
        <is>
          <t>Electric Kettle</t>
        </is>
      </c>
      <c r="F4440" s="2" t="inlineStr">
        <is>
          <t>Home &amp; Kitchen</t>
        </is>
      </c>
      <c r="G4440" s="2" t="inlineStr">
        <is>
          <t>North</t>
        </is>
      </c>
      <c r="H4440" s="2" t="inlineStr">
        <is>
          <t>Punjab</t>
        </is>
      </c>
      <c r="I4440" s="2" t="inlineStr">
        <is>
          <t>Ludhiana</t>
        </is>
      </c>
      <c r="J4440" s="2" t="inlineStr">
        <is>
          <t>Online</t>
        </is>
      </c>
      <c r="K4440" s="2" t="n">
        <v>1</v>
      </c>
      <c r="L4440" s="3" t="n">
        <v>2015.28</v>
      </c>
      <c r="M4440" s="4" t="n">
        <v>0.1</v>
      </c>
      <c r="N4440" s="3" t="n">
        <v>1161.31</v>
      </c>
      <c r="O4440" s="3">
        <f>K4440*L4440*(1-M4440)</f>
        <v/>
      </c>
      <c r="P4440" s="3">
        <f>O4440-N4440</f>
        <v/>
      </c>
      <c r="Q4440" s="5">
        <f>IFERROR(P4440/O4440,0)</f>
        <v/>
      </c>
      <c r="R4440" s="2">
        <f>TEXT(DATEVALUE(B4440),"mmm")</f>
        <v/>
      </c>
      <c r="S4440" s="2">
        <f>TEXT(DATEVALUE(B4440),"yyyy-mm")</f>
        <v/>
      </c>
    </row>
    <row r="4441">
      <c r="A4441" s="2" t="inlineStr">
        <is>
          <t>O003457</t>
        </is>
      </c>
      <c r="B4441" s="2" t="inlineStr">
        <is>
          <t>2025-11-20</t>
        </is>
      </c>
      <c r="C4441" s="2" t="inlineStr">
        <is>
          <t>C0706</t>
        </is>
      </c>
      <c r="D4441" s="2" t="inlineStr">
        <is>
          <t>P0032</t>
        </is>
      </c>
      <c r="E4441" s="2" t="inlineStr">
        <is>
          <t>Football</t>
        </is>
      </c>
      <c r="F4441" s="2" t="inlineStr">
        <is>
          <t>Sports</t>
        </is>
      </c>
      <c r="G4441" s="2" t="inlineStr">
        <is>
          <t>East</t>
        </is>
      </c>
      <c r="H4441" s="2" t="inlineStr">
        <is>
          <t>West Bengal</t>
        </is>
      </c>
      <c r="I4441" s="2" t="inlineStr">
        <is>
          <t>Kolkata</t>
        </is>
      </c>
      <c r="J4441" s="2" t="inlineStr">
        <is>
          <t>Online</t>
        </is>
      </c>
      <c r="K4441" s="2" t="n">
        <v>1</v>
      </c>
      <c r="L4441" s="3" t="n">
        <v>810.4299999999999</v>
      </c>
      <c r="M4441" s="4" t="n">
        <v>0.1</v>
      </c>
      <c r="N4441" s="3" t="n">
        <v>547.85</v>
      </c>
      <c r="O4441" s="3">
        <f>K4441*L4441*(1-M4441)</f>
        <v/>
      </c>
      <c r="P4441" s="3">
        <f>O4441-N4441</f>
        <v/>
      </c>
      <c r="Q4441" s="5">
        <f>IFERROR(P4441/O4441,0)</f>
        <v/>
      </c>
      <c r="R4441" s="2">
        <f>TEXT(DATEVALUE(B4441),"mmm")</f>
        <v/>
      </c>
      <c r="S4441" s="2">
        <f>TEXT(DATEVALUE(B4441),"yyyy-mm")</f>
        <v/>
      </c>
    </row>
    <row r="4442">
      <c r="A4442" s="2" t="inlineStr">
        <is>
          <t>O002580</t>
        </is>
      </c>
      <c r="B4442" s="2" t="inlineStr">
        <is>
          <t>2025-11-20</t>
        </is>
      </c>
      <c r="C4442" s="2" t="inlineStr">
        <is>
          <t>C0606</t>
        </is>
      </c>
      <c r="D4442" s="2" t="inlineStr">
        <is>
          <t>P0021</t>
        </is>
      </c>
      <c r="E4442" s="2" t="inlineStr">
        <is>
          <t>Wallet</t>
        </is>
      </c>
      <c r="F4442" s="2" t="inlineStr">
        <is>
          <t>Fashion</t>
        </is>
      </c>
      <c r="G4442" s="2" t="inlineStr">
        <is>
          <t>North</t>
        </is>
      </c>
      <c r="H4442" s="2" t="inlineStr">
        <is>
          <t>Punjab</t>
        </is>
      </c>
      <c r="I4442" s="2" t="inlineStr">
        <is>
          <t>Ludhiana</t>
        </is>
      </c>
      <c r="J4442" s="2" t="inlineStr">
        <is>
          <t>Store</t>
        </is>
      </c>
      <c r="K4442" s="2" t="n">
        <v>3</v>
      </c>
      <c r="L4442" s="3" t="n">
        <v>2018.34</v>
      </c>
      <c r="M4442" s="4" t="n">
        <v>0.05</v>
      </c>
      <c r="N4442" s="3" t="n">
        <v>3683.36</v>
      </c>
      <c r="O4442" s="3">
        <f>K4442*L4442*(1-M4442)</f>
        <v/>
      </c>
      <c r="P4442" s="3">
        <f>O4442-N4442</f>
        <v/>
      </c>
      <c r="Q4442" s="5">
        <f>IFERROR(P4442/O4442,0)</f>
        <v/>
      </c>
      <c r="R4442" s="2">
        <f>TEXT(DATEVALUE(B4442),"mmm")</f>
        <v/>
      </c>
      <c r="S4442" s="2">
        <f>TEXT(DATEVALUE(B4442),"yyyy-mm")</f>
        <v/>
      </c>
    </row>
    <row r="4443">
      <c r="A4443" s="2" t="inlineStr">
        <is>
          <t>O003178</t>
        </is>
      </c>
      <c r="B4443" s="2" t="inlineStr">
        <is>
          <t>2025-11-20</t>
        </is>
      </c>
      <c r="C4443" s="2" t="inlineStr">
        <is>
          <t>C0568</t>
        </is>
      </c>
      <c r="D4443" s="2" t="inlineStr">
        <is>
          <t>P0032</t>
        </is>
      </c>
      <c r="E4443" s="2" t="inlineStr">
        <is>
          <t>Football</t>
        </is>
      </c>
      <c r="F4443" s="2" t="inlineStr">
        <is>
          <t>Sports</t>
        </is>
      </c>
      <c r="G4443" s="2" t="inlineStr">
        <is>
          <t>South</t>
        </is>
      </c>
      <c r="H4443" s="2" t="inlineStr">
        <is>
          <t>Telangana</t>
        </is>
      </c>
      <c r="I4443" s="2" t="inlineStr">
        <is>
          <t>Warangal</t>
        </is>
      </c>
      <c r="J4443" s="2" t="inlineStr">
        <is>
          <t>Online</t>
        </is>
      </c>
      <c r="K4443" s="2" t="n">
        <v>1</v>
      </c>
      <c r="L4443" s="3" t="n">
        <v>831.1</v>
      </c>
      <c r="M4443" s="4" t="n">
        <v>0.1</v>
      </c>
      <c r="N4443" s="3" t="n">
        <v>528.37</v>
      </c>
      <c r="O4443" s="3">
        <f>K4443*L4443*(1-M4443)</f>
        <v/>
      </c>
      <c r="P4443" s="3">
        <f>O4443-N4443</f>
        <v/>
      </c>
      <c r="Q4443" s="5">
        <f>IFERROR(P4443/O4443,0)</f>
        <v/>
      </c>
      <c r="R4443" s="2">
        <f>TEXT(DATEVALUE(B4443),"mmm")</f>
        <v/>
      </c>
      <c r="S4443" s="2">
        <f>TEXT(DATEVALUE(B4443),"yyyy-mm")</f>
        <v/>
      </c>
    </row>
    <row r="4444">
      <c r="A4444" s="2" t="inlineStr">
        <is>
          <t>O002093</t>
        </is>
      </c>
      <c r="B4444" s="2" t="inlineStr">
        <is>
          <t>2025-11-20</t>
        </is>
      </c>
      <c r="C4444" s="2" t="inlineStr">
        <is>
          <t>C0530</t>
        </is>
      </c>
      <c r="D4444" s="2" t="inlineStr">
        <is>
          <t>P0002</t>
        </is>
      </c>
      <c r="E4444" s="2" t="inlineStr">
        <is>
          <t>Bluetooth Speaker</t>
        </is>
      </c>
      <c r="F4444" s="2" t="inlineStr">
        <is>
          <t>Electronics</t>
        </is>
      </c>
      <c r="G4444" s="2" t="inlineStr">
        <is>
          <t>West</t>
        </is>
      </c>
      <c r="H4444" s="2" t="inlineStr">
        <is>
          <t>Goa</t>
        </is>
      </c>
      <c r="I4444" s="2" t="inlineStr">
        <is>
          <t>Margao</t>
        </is>
      </c>
      <c r="J4444" s="2" t="inlineStr">
        <is>
          <t>Store</t>
        </is>
      </c>
      <c r="K4444" s="2" t="n">
        <v>3</v>
      </c>
      <c r="L4444" s="3" t="n">
        <v>1351.85</v>
      </c>
      <c r="M4444" s="4" t="n">
        <v>0.2</v>
      </c>
      <c r="N4444" s="3" t="n">
        <v>2467.2</v>
      </c>
      <c r="O4444" s="3">
        <f>K4444*L4444*(1-M4444)</f>
        <v/>
      </c>
      <c r="P4444" s="3">
        <f>O4444-N4444</f>
        <v/>
      </c>
      <c r="Q4444" s="5">
        <f>IFERROR(P4444/O4444,0)</f>
        <v/>
      </c>
      <c r="R4444" s="2">
        <f>TEXT(DATEVALUE(B4444),"mmm")</f>
        <v/>
      </c>
      <c r="S4444" s="2">
        <f>TEXT(DATEVALUE(B4444),"yyyy-mm")</f>
        <v/>
      </c>
    </row>
    <row r="4445">
      <c r="A4445" s="2" t="inlineStr">
        <is>
          <t>O002157</t>
        </is>
      </c>
      <c r="B4445" s="2" t="inlineStr">
        <is>
          <t>2025-11-20</t>
        </is>
      </c>
      <c r="C4445" s="2" t="inlineStr">
        <is>
          <t>C0495</t>
        </is>
      </c>
      <c r="D4445" s="2" t="inlineStr">
        <is>
          <t>P0009</t>
        </is>
      </c>
      <c r="E4445" s="2" t="inlineStr">
        <is>
          <t>Electric Kettle</t>
        </is>
      </c>
      <c r="F4445" s="2" t="inlineStr">
        <is>
          <t>Home &amp; Kitchen</t>
        </is>
      </c>
      <c r="G4445" s="2" t="inlineStr">
        <is>
          <t>West</t>
        </is>
      </c>
      <c r="H4445" s="2" t="inlineStr">
        <is>
          <t>Maharashtra</t>
        </is>
      </c>
      <c r="I4445" s="2" t="inlineStr">
        <is>
          <t>Mumbai</t>
        </is>
      </c>
      <c r="J4445" s="2" t="inlineStr">
        <is>
          <t>Online</t>
        </is>
      </c>
      <c r="K4445" s="2" t="n">
        <v>3</v>
      </c>
      <c r="L4445" s="3" t="n">
        <v>2187.58</v>
      </c>
      <c r="M4445" s="4" t="n">
        <v>0</v>
      </c>
      <c r="N4445" s="3" t="n">
        <v>3490.86</v>
      </c>
      <c r="O4445" s="3">
        <f>K4445*L4445*(1-M4445)</f>
        <v/>
      </c>
      <c r="P4445" s="3">
        <f>O4445-N4445</f>
        <v/>
      </c>
      <c r="Q4445" s="5">
        <f>IFERROR(P4445/O4445,0)</f>
        <v/>
      </c>
      <c r="R4445" s="2">
        <f>TEXT(DATEVALUE(B4445),"mmm")</f>
        <v/>
      </c>
      <c r="S4445" s="2">
        <f>TEXT(DATEVALUE(B4445),"yyyy-mm")</f>
        <v/>
      </c>
    </row>
    <row r="4446">
      <c r="A4446" s="2" t="inlineStr">
        <is>
          <t>O001697</t>
        </is>
      </c>
      <c r="B4446" s="2" t="inlineStr">
        <is>
          <t>2025-11-20</t>
        </is>
      </c>
      <c r="C4446" s="2" t="inlineStr">
        <is>
          <t>C0146</t>
        </is>
      </c>
      <c r="D4446" s="2" t="inlineStr">
        <is>
          <t>P0004</t>
        </is>
      </c>
      <c r="E4446" s="2" t="inlineStr">
        <is>
          <t>USB-C Hub</t>
        </is>
      </c>
      <c r="F4446" s="2" t="inlineStr">
        <is>
          <t>Electronics</t>
        </is>
      </c>
      <c r="G4446" s="2" t="inlineStr">
        <is>
          <t>West</t>
        </is>
      </c>
      <c r="H4446" s="2" t="inlineStr">
        <is>
          <t>Gujarat</t>
        </is>
      </c>
      <c r="I4446" s="2" t="inlineStr">
        <is>
          <t>Ahmedabad</t>
        </is>
      </c>
      <c r="J4446" s="2" t="inlineStr">
        <is>
          <t>Store</t>
        </is>
      </c>
      <c r="K4446" s="2" t="n">
        <v>1</v>
      </c>
      <c r="L4446" s="3" t="n">
        <v>1276.98</v>
      </c>
      <c r="M4446" s="4" t="n">
        <v>0.15</v>
      </c>
      <c r="N4446" s="3" t="n">
        <v>911.87</v>
      </c>
      <c r="O4446" s="3">
        <f>K4446*L4446*(1-M4446)</f>
        <v/>
      </c>
      <c r="P4446" s="3">
        <f>O4446-N4446</f>
        <v/>
      </c>
      <c r="Q4446" s="5">
        <f>IFERROR(P4446/O4446,0)</f>
        <v/>
      </c>
      <c r="R4446" s="2">
        <f>TEXT(DATEVALUE(B4446),"mmm")</f>
        <v/>
      </c>
      <c r="S4446" s="2">
        <f>TEXT(DATEVALUE(B4446),"yyyy-mm")</f>
        <v/>
      </c>
    </row>
    <row r="4447">
      <c r="A4447" s="2" t="inlineStr">
        <is>
          <t>O001522</t>
        </is>
      </c>
      <c r="B4447" s="2" t="inlineStr">
        <is>
          <t>2025-11-20</t>
        </is>
      </c>
      <c r="C4447" s="2" t="inlineStr">
        <is>
          <t>C0625</t>
        </is>
      </c>
      <c r="D4447" s="2" t="inlineStr">
        <is>
          <t>P0006</t>
        </is>
      </c>
      <c r="E4447" s="2" t="inlineStr">
        <is>
          <t>Mechanical Keyboard</t>
        </is>
      </c>
      <c r="F4447" s="2" t="inlineStr">
        <is>
          <t>Electronics</t>
        </is>
      </c>
      <c r="G4447" s="2" t="inlineStr">
        <is>
          <t>North</t>
        </is>
      </c>
      <c r="H4447" s="2" t="inlineStr">
        <is>
          <t>Delhi</t>
        </is>
      </c>
      <c r="I4447" s="2" t="inlineStr">
        <is>
          <t>New Delhi</t>
        </is>
      </c>
      <c r="J4447" s="2" t="inlineStr">
        <is>
          <t>Online</t>
        </is>
      </c>
      <c r="K4447" s="2" t="n">
        <v>2</v>
      </c>
      <c r="L4447" s="3" t="n">
        <v>2774.43</v>
      </c>
      <c r="M4447" s="4" t="n">
        <v>0.1</v>
      </c>
      <c r="N4447" s="3" t="n">
        <v>2949.57</v>
      </c>
      <c r="O4447" s="3">
        <f>K4447*L4447*(1-M4447)</f>
        <v/>
      </c>
      <c r="P4447" s="3">
        <f>O4447-N4447</f>
        <v/>
      </c>
      <c r="Q4447" s="5">
        <f>IFERROR(P4447/O4447,0)</f>
        <v/>
      </c>
      <c r="R4447" s="2">
        <f>TEXT(DATEVALUE(B4447),"mmm")</f>
        <v/>
      </c>
      <c r="S4447" s="2">
        <f>TEXT(DATEVALUE(B4447),"yyyy-mm")</f>
        <v/>
      </c>
    </row>
    <row r="4448">
      <c r="A4448" s="2" t="inlineStr">
        <is>
          <t>O001144</t>
        </is>
      </c>
      <c r="B4448" s="2" t="inlineStr">
        <is>
          <t>2025-11-20</t>
        </is>
      </c>
      <c r="C4448" s="2" t="inlineStr">
        <is>
          <t>C0478</t>
        </is>
      </c>
      <c r="D4448" s="2" t="inlineStr">
        <is>
          <t>P0011</t>
        </is>
      </c>
      <c r="E4448" s="2" t="inlineStr">
        <is>
          <t>Cookware Set</t>
        </is>
      </c>
      <c r="F4448" s="2" t="inlineStr">
        <is>
          <t>Home &amp; Kitchen</t>
        </is>
      </c>
      <c r="G4448" s="2" t="inlineStr">
        <is>
          <t>West</t>
        </is>
      </c>
      <c r="H4448" s="2" t="inlineStr">
        <is>
          <t>Goa</t>
        </is>
      </c>
      <c r="I4448" s="2" t="inlineStr">
        <is>
          <t>Margao</t>
        </is>
      </c>
      <c r="J4448" s="2" t="inlineStr">
        <is>
          <t>Store</t>
        </is>
      </c>
      <c r="K4448" s="2" t="n">
        <v>2</v>
      </c>
      <c r="L4448" s="3" t="n">
        <v>707.76</v>
      </c>
      <c r="M4448" s="4" t="n">
        <v>0</v>
      </c>
      <c r="N4448" s="3" t="n">
        <v>940.75</v>
      </c>
      <c r="O4448" s="3">
        <f>K4448*L4448*(1-M4448)</f>
        <v/>
      </c>
      <c r="P4448" s="3">
        <f>O4448-N4448</f>
        <v/>
      </c>
      <c r="Q4448" s="5">
        <f>IFERROR(P4448/O4448,0)</f>
        <v/>
      </c>
      <c r="R4448" s="2">
        <f>TEXT(DATEVALUE(B4448),"mmm")</f>
        <v/>
      </c>
      <c r="S4448" s="2">
        <f>TEXT(DATEVALUE(B4448),"yyyy-mm")</f>
        <v/>
      </c>
    </row>
    <row r="4449">
      <c r="A4449" s="2" t="inlineStr">
        <is>
          <t>O001110</t>
        </is>
      </c>
      <c r="B4449" s="2" t="inlineStr">
        <is>
          <t>2025-11-20</t>
        </is>
      </c>
      <c r="C4449" s="2" t="inlineStr">
        <is>
          <t>C0771</t>
        </is>
      </c>
      <c r="D4449" s="2" t="inlineStr">
        <is>
          <t>P0028</t>
        </is>
      </c>
      <c r="E4449" s="2" t="inlineStr">
        <is>
          <t>Trimmer</t>
        </is>
      </c>
      <c r="F4449" s="2" t="inlineStr">
        <is>
          <t>Beauty</t>
        </is>
      </c>
      <c r="G4449" s="2" t="inlineStr">
        <is>
          <t>West</t>
        </is>
      </c>
      <c r="H4449" s="2" t="inlineStr">
        <is>
          <t>Maharashtra</t>
        </is>
      </c>
      <c r="I4449" s="2" t="inlineStr">
        <is>
          <t>Thane</t>
        </is>
      </c>
      <c r="J4449" s="2" t="inlineStr">
        <is>
          <t>Store</t>
        </is>
      </c>
      <c r="K4449" s="2" t="n">
        <v>4</v>
      </c>
      <c r="L4449" s="3" t="n">
        <v>437.32</v>
      </c>
      <c r="M4449" s="4" t="n">
        <v>0.05</v>
      </c>
      <c r="N4449" s="3" t="n">
        <v>1005.86</v>
      </c>
      <c r="O4449" s="3">
        <f>K4449*L4449*(1-M4449)</f>
        <v/>
      </c>
      <c r="P4449" s="3">
        <f>O4449-N4449</f>
        <v/>
      </c>
      <c r="Q4449" s="5">
        <f>IFERROR(P4449/O4449,0)</f>
        <v/>
      </c>
      <c r="R4449" s="2">
        <f>TEXT(DATEVALUE(B4449),"mmm")</f>
        <v/>
      </c>
      <c r="S4449" s="2">
        <f>TEXT(DATEVALUE(B4449),"yyyy-mm")</f>
        <v/>
      </c>
    </row>
    <row r="4450">
      <c r="A4450" s="2" t="inlineStr">
        <is>
          <t>O000984</t>
        </is>
      </c>
      <c r="B4450" s="2" t="inlineStr">
        <is>
          <t>2025-11-20</t>
        </is>
      </c>
      <c r="C4450" s="2" t="inlineStr">
        <is>
          <t>C0328</t>
        </is>
      </c>
      <c r="D4450" s="2" t="inlineStr">
        <is>
          <t>P0016</t>
        </is>
      </c>
      <c r="E4450" s="2" t="inlineStr">
        <is>
          <t>Casual Shirt</t>
        </is>
      </c>
      <c r="F4450" s="2" t="inlineStr">
        <is>
          <t>Fashion</t>
        </is>
      </c>
      <c r="G4450" s="2" t="inlineStr">
        <is>
          <t>North</t>
        </is>
      </c>
      <c r="H4450" s="2" t="inlineStr">
        <is>
          <t>Uttar Pradesh</t>
        </is>
      </c>
      <c r="I4450" s="2" t="inlineStr">
        <is>
          <t>Kanpur</t>
        </is>
      </c>
      <c r="J4450" s="2" t="inlineStr">
        <is>
          <t>Store</t>
        </is>
      </c>
      <c r="K4450" s="2" t="n">
        <v>1</v>
      </c>
      <c r="L4450" s="3" t="n">
        <v>1291.42</v>
      </c>
      <c r="M4450" s="4" t="n">
        <v>0.05</v>
      </c>
      <c r="N4450" s="3" t="n">
        <v>891.04</v>
      </c>
      <c r="O4450" s="3">
        <f>K4450*L4450*(1-M4450)</f>
        <v/>
      </c>
      <c r="P4450" s="3">
        <f>O4450-N4450</f>
        <v/>
      </c>
      <c r="Q4450" s="5">
        <f>IFERROR(P4450/O4450,0)</f>
        <v/>
      </c>
      <c r="R4450" s="2">
        <f>TEXT(DATEVALUE(B4450),"mmm")</f>
        <v/>
      </c>
      <c r="S4450" s="2">
        <f>TEXT(DATEVALUE(B4450),"yyyy-mm")</f>
        <v/>
      </c>
    </row>
    <row r="4451">
      <c r="A4451" s="2" t="inlineStr">
        <is>
          <t>O000222</t>
        </is>
      </c>
      <c r="B4451" s="2" t="inlineStr">
        <is>
          <t>2025-11-20</t>
        </is>
      </c>
      <c r="C4451" s="2" t="inlineStr">
        <is>
          <t>C0151</t>
        </is>
      </c>
      <c r="D4451" s="2" t="inlineStr">
        <is>
          <t>P0022</t>
        </is>
      </c>
      <c r="E4451" s="2" t="inlineStr">
        <is>
          <t>Face Wash</t>
        </is>
      </c>
      <c r="F4451" s="2" t="inlineStr">
        <is>
          <t>Beauty</t>
        </is>
      </c>
      <c r="G4451" s="2" t="inlineStr">
        <is>
          <t>North</t>
        </is>
      </c>
      <c r="H4451" s="2" t="inlineStr">
        <is>
          <t>Uttar Pradesh</t>
        </is>
      </c>
      <c r="I4451" s="2" t="inlineStr">
        <is>
          <t>Kanpur</t>
        </is>
      </c>
      <c r="J4451" s="2" t="inlineStr">
        <is>
          <t>Store</t>
        </is>
      </c>
      <c r="K4451" s="2" t="n">
        <v>1</v>
      </c>
      <c r="L4451" s="3" t="n">
        <v>561.1799999999999</v>
      </c>
      <c r="M4451" s="4" t="n">
        <v>0.1</v>
      </c>
      <c r="N4451" s="3" t="n">
        <v>355.46</v>
      </c>
      <c r="O4451" s="3">
        <f>K4451*L4451*(1-M4451)</f>
        <v/>
      </c>
      <c r="P4451" s="3">
        <f>O4451-N4451</f>
        <v/>
      </c>
      <c r="Q4451" s="5">
        <f>IFERROR(P4451/O4451,0)</f>
        <v/>
      </c>
      <c r="R4451" s="2">
        <f>TEXT(DATEVALUE(B4451),"mmm")</f>
        <v/>
      </c>
      <c r="S4451" s="2">
        <f>TEXT(DATEVALUE(B4451),"yyyy-mm")</f>
        <v/>
      </c>
    </row>
    <row r="4452">
      <c r="A4452" s="2" t="inlineStr">
        <is>
          <t>O004614</t>
        </is>
      </c>
      <c r="B4452" s="2" t="inlineStr">
        <is>
          <t>2025-11-21</t>
        </is>
      </c>
      <c r="C4452" s="2" t="inlineStr">
        <is>
          <t>C0684</t>
        </is>
      </c>
      <c r="D4452" s="2" t="inlineStr">
        <is>
          <t>P0024</t>
        </is>
      </c>
      <c r="E4452" s="2" t="inlineStr">
        <is>
          <t>Hair Dryer</t>
        </is>
      </c>
      <c r="F4452" s="2" t="inlineStr">
        <is>
          <t>Beauty</t>
        </is>
      </c>
      <c r="G4452" s="2" t="inlineStr">
        <is>
          <t>West</t>
        </is>
      </c>
      <c r="H4452" s="2" t="inlineStr">
        <is>
          <t>Goa</t>
        </is>
      </c>
      <c r="I4452" s="2" t="inlineStr">
        <is>
          <t>Panaji</t>
        </is>
      </c>
      <c r="J4452" s="2" t="inlineStr">
        <is>
          <t>Store</t>
        </is>
      </c>
      <c r="K4452" s="2" t="n">
        <v>2</v>
      </c>
      <c r="L4452" s="3" t="n">
        <v>986.03</v>
      </c>
      <c r="M4452" s="4" t="n">
        <v>0.25</v>
      </c>
      <c r="N4452" s="3" t="n">
        <v>1485.67</v>
      </c>
      <c r="O4452" s="3">
        <f>K4452*L4452*(1-M4452)</f>
        <v/>
      </c>
      <c r="P4452" s="3">
        <f>O4452-N4452</f>
        <v/>
      </c>
      <c r="Q4452" s="5">
        <f>IFERROR(P4452/O4452,0)</f>
        <v/>
      </c>
      <c r="R4452" s="2">
        <f>TEXT(DATEVALUE(B4452),"mmm")</f>
        <v/>
      </c>
      <c r="S4452" s="2">
        <f>TEXT(DATEVALUE(B4452),"yyyy-mm")</f>
        <v/>
      </c>
    </row>
    <row r="4453">
      <c r="A4453" s="2" t="inlineStr">
        <is>
          <t>O004311</t>
        </is>
      </c>
      <c r="B4453" s="2" t="inlineStr">
        <is>
          <t>2025-11-21</t>
        </is>
      </c>
      <c r="C4453" s="2" t="inlineStr">
        <is>
          <t>C0341</t>
        </is>
      </c>
      <c r="D4453" s="2" t="inlineStr">
        <is>
          <t>P0022</t>
        </is>
      </c>
      <c r="E4453" s="2" t="inlineStr">
        <is>
          <t>Face Wash</t>
        </is>
      </c>
      <c r="F4453" s="2" t="inlineStr">
        <is>
          <t>Beauty</t>
        </is>
      </c>
      <c r="G4453" s="2" t="inlineStr">
        <is>
          <t>East</t>
        </is>
      </c>
      <c r="H4453" s="2" t="inlineStr">
        <is>
          <t>Bihar</t>
        </is>
      </c>
      <c r="I4453" s="2" t="inlineStr">
        <is>
          <t>Patna</t>
        </is>
      </c>
      <c r="J4453" s="2" t="inlineStr">
        <is>
          <t>Online</t>
        </is>
      </c>
      <c r="K4453" s="2" t="n">
        <v>1</v>
      </c>
      <c r="L4453" s="3" t="n">
        <v>539.14</v>
      </c>
      <c r="M4453" s="4" t="n">
        <v>0.1</v>
      </c>
      <c r="N4453" s="3" t="n">
        <v>350.73</v>
      </c>
      <c r="O4453" s="3">
        <f>K4453*L4453*(1-M4453)</f>
        <v/>
      </c>
      <c r="P4453" s="3">
        <f>O4453-N4453</f>
        <v/>
      </c>
      <c r="Q4453" s="5">
        <f>IFERROR(P4453/O4453,0)</f>
        <v/>
      </c>
      <c r="R4453" s="2">
        <f>TEXT(DATEVALUE(B4453),"mmm")</f>
        <v/>
      </c>
      <c r="S4453" s="2">
        <f>TEXT(DATEVALUE(B4453),"yyyy-mm")</f>
        <v/>
      </c>
    </row>
    <row r="4454">
      <c r="A4454" s="2" t="inlineStr">
        <is>
          <t>O003542</t>
        </is>
      </c>
      <c r="B4454" s="2" t="inlineStr">
        <is>
          <t>2025-11-21</t>
        </is>
      </c>
      <c r="C4454" s="2" t="inlineStr">
        <is>
          <t>C0555</t>
        </is>
      </c>
      <c r="D4454" s="2" t="inlineStr">
        <is>
          <t>P0012</t>
        </is>
      </c>
      <c r="E4454" s="2" t="inlineStr">
        <is>
          <t>Water Bottle</t>
        </is>
      </c>
      <c r="F4454" s="2" t="inlineStr">
        <is>
          <t>Home &amp; Kitchen</t>
        </is>
      </c>
      <c r="G4454" s="2" t="inlineStr">
        <is>
          <t>South</t>
        </is>
      </c>
      <c r="H4454" s="2" t="inlineStr">
        <is>
          <t>Kerala</t>
        </is>
      </c>
      <c r="I4454" s="2" t="inlineStr">
        <is>
          <t>Thiruvananthapuram</t>
        </is>
      </c>
      <c r="J4454" s="2" t="inlineStr">
        <is>
          <t>Store</t>
        </is>
      </c>
      <c r="K4454" s="2" t="n">
        <v>1</v>
      </c>
      <c r="L4454" s="3" t="n">
        <v>983.08</v>
      </c>
      <c r="M4454" s="4" t="n">
        <v>0</v>
      </c>
      <c r="N4454" s="3" t="n">
        <v>613.4299999999999</v>
      </c>
      <c r="O4454" s="3">
        <f>K4454*L4454*(1-M4454)</f>
        <v/>
      </c>
      <c r="P4454" s="3">
        <f>O4454-N4454</f>
        <v/>
      </c>
      <c r="Q4454" s="5">
        <f>IFERROR(P4454/O4454,0)</f>
        <v/>
      </c>
      <c r="R4454" s="2">
        <f>TEXT(DATEVALUE(B4454),"mmm")</f>
        <v/>
      </c>
      <c r="S4454" s="2">
        <f>TEXT(DATEVALUE(B4454),"yyyy-mm")</f>
        <v/>
      </c>
    </row>
    <row r="4455">
      <c r="A4455" s="2" t="inlineStr">
        <is>
          <t>O003402</t>
        </is>
      </c>
      <c r="B4455" s="2" t="inlineStr">
        <is>
          <t>2025-11-21</t>
        </is>
      </c>
      <c r="C4455" s="2" t="inlineStr">
        <is>
          <t>C0396</t>
        </is>
      </c>
      <c r="D4455" s="2" t="inlineStr">
        <is>
          <t>P0002</t>
        </is>
      </c>
      <c r="E4455" s="2" t="inlineStr">
        <is>
          <t>Bluetooth Speaker</t>
        </is>
      </c>
      <c r="F4455" s="2" t="inlineStr">
        <is>
          <t>Electronics</t>
        </is>
      </c>
      <c r="G4455" s="2" t="inlineStr">
        <is>
          <t>East</t>
        </is>
      </c>
      <c r="H4455" s="2" t="inlineStr">
        <is>
          <t>Odisha</t>
        </is>
      </c>
      <c r="I4455" s="2" t="inlineStr">
        <is>
          <t>Cuttack</t>
        </is>
      </c>
      <c r="J4455" s="2" t="inlineStr">
        <is>
          <t>Store</t>
        </is>
      </c>
      <c r="K4455" s="2" t="n">
        <v>1</v>
      </c>
      <c r="L4455" s="3" t="n">
        <v>1358.23</v>
      </c>
      <c r="M4455" s="4" t="n">
        <v>0.1</v>
      </c>
      <c r="N4455" s="3" t="n">
        <v>2498.33</v>
      </c>
      <c r="O4455" s="3">
        <f>K4455*L4455*(1-M4455)</f>
        <v/>
      </c>
      <c r="P4455" s="3">
        <f>O4455-N4455</f>
        <v/>
      </c>
      <c r="Q4455" s="5">
        <f>IFERROR(P4455/O4455,0)</f>
        <v/>
      </c>
      <c r="R4455" s="2">
        <f>TEXT(DATEVALUE(B4455),"mmm")</f>
        <v/>
      </c>
      <c r="S4455" s="2">
        <f>TEXT(DATEVALUE(B4455),"yyyy-mm")</f>
        <v/>
      </c>
    </row>
    <row r="4456">
      <c r="A4456" s="2" t="inlineStr">
        <is>
          <t>O003394</t>
        </is>
      </c>
      <c r="B4456" s="2" t="inlineStr">
        <is>
          <t>2025-11-21</t>
        </is>
      </c>
      <c r="C4456" s="2" t="inlineStr">
        <is>
          <t>C0703</t>
        </is>
      </c>
      <c r="D4456" s="2" t="inlineStr">
        <is>
          <t>P0021</t>
        </is>
      </c>
      <c r="E4456" s="2" t="inlineStr">
        <is>
          <t>Wallet</t>
        </is>
      </c>
      <c r="F4456" s="2" t="inlineStr">
        <is>
          <t>Fashion</t>
        </is>
      </c>
      <c r="G4456" s="2" t="inlineStr">
        <is>
          <t>West</t>
        </is>
      </c>
      <c r="H4456" s="2" t="inlineStr">
        <is>
          <t>Maharashtra</t>
        </is>
      </c>
      <c r="I4456" s="2" t="inlineStr">
        <is>
          <t>Thane</t>
        </is>
      </c>
      <c r="J4456" s="2" t="inlineStr">
        <is>
          <t>Online</t>
        </is>
      </c>
      <c r="K4456" s="2" t="n">
        <v>3</v>
      </c>
      <c r="L4456" s="3" t="n">
        <v>1942.08</v>
      </c>
      <c r="M4456" s="4" t="n">
        <v>0.1</v>
      </c>
      <c r="N4456" s="3" t="n">
        <v>3654</v>
      </c>
      <c r="O4456" s="3">
        <f>K4456*L4456*(1-M4456)</f>
        <v/>
      </c>
      <c r="P4456" s="3">
        <f>O4456-N4456</f>
        <v/>
      </c>
      <c r="Q4456" s="5">
        <f>IFERROR(P4456/O4456,0)</f>
        <v/>
      </c>
      <c r="R4456" s="2">
        <f>TEXT(DATEVALUE(B4456),"mmm")</f>
        <v/>
      </c>
      <c r="S4456" s="2">
        <f>TEXT(DATEVALUE(B4456),"yyyy-mm")</f>
        <v/>
      </c>
    </row>
    <row r="4457">
      <c r="A4457" s="2" t="inlineStr">
        <is>
          <t>O003172</t>
        </is>
      </c>
      <c r="B4457" s="2" t="inlineStr">
        <is>
          <t>2025-11-21</t>
        </is>
      </c>
      <c r="C4457" s="2" t="inlineStr">
        <is>
          <t>C0794</t>
        </is>
      </c>
      <c r="D4457" s="2" t="inlineStr">
        <is>
          <t>P0031</t>
        </is>
      </c>
      <c r="E4457" s="2" t="inlineStr">
        <is>
          <t>Cricket Bat</t>
        </is>
      </c>
      <c r="F4457" s="2" t="inlineStr">
        <is>
          <t>Sports</t>
        </is>
      </c>
      <c r="G4457" s="2" t="inlineStr">
        <is>
          <t>West</t>
        </is>
      </c>
      <c r="H4457" s="2" t="inlineStr">
        <is>
          <t>Maharashtra</t>
        </is>
      </c>
      <c r="I4457" s="2" t="inlineStr">
        <is>
          <t>Nashik</t>
        </is>
      </c>
      <c r="J4457" s="2" t="inlineStr">
        <is>
          <t>Online</t>
        </is>
      </c>
      <c r="K4457" s="2" t="n">
        <v>1</v>
      </c>
      <c r="L4457" s="3" t="n">
        <v>1359.75</v>
      </c>
      <c r="M4457" s="4" t="n">
        <v>0.05</v>
      </c>
      <c r="N4457" s="3" t="n">
        <v>929.78</v>
      </c>
      <c r="O4457" s="3">
        <f>K4457*L4457*(1-M4457)</f>
        <v/>
      </c>
      <c r="P4457" s="3">
        <f>O4457-N4457</f>
        <v/>
      </c>
      <c r="Q4457" s="5">
        <f>IFERROR(P4457/O4457,0)</f>
        <v/>
      </c>
      <c r="R4457" s="2">
        <f>TEXT(DATEVALUE(B4457),"mmm")</f>
        <v/>
      </c>
      <c r="S4457" s="2">
        <f>TEXT(DATEVALUE(B4457),"yyyy-mm")</f>
        <v/>
      </c>
    </row>
    <row r="4458">
      <c r="A4458" s="2" t="inlineStr">
        <is>
          <t>O003056</t>
        </is>
      </c>
      <c r="B4458" s="2" t="inlineStr">
        <is>
          <t>2025-11-21</t>
        </is>
      </c>
      <c r="C4458" s="2" t="inlineStr">
        <is>
          <t>C0375</t>
        </is>
      </c>
      <c r="D4458" s="2" t="inlineStr">
        <is>
          <t>P0023</t>
        </is>
      </c>
      <c r="E4458" s="2" t="inlineStr">
        <is>
          <t>Skin Care Kit</t>
        </is>
      </c>
      <c r="F4458" s="2" t="inlineStr">
        <is>
          <t>Beauty</t>
        </is>
      </c>
      <c r="G4458" s="2" t="inlineStr">
        <is>
          <t>North</t>
        </is>
      </c>
      <c r="H4458" s="2" t="inlineStr">
        <is>
          <t>Delhi</t>
        </is>
      </c>
      <c r="I4458" s="2" t="inlineStr">
        <is>
          <t>New Delhi</t>
        </is>
      </c>
      <c r="J4458" s="2" t="inlineStr">
        <is>
          <t>Store</t>
        </is>
      </c>
      <c r="K4458" s="2" t="n">
        <v>1</v>
      </c>
      <c r="L4458" s="3" t="n">
        <v>1459.44</v>
      </c>
      <c r="M4458" s="4" t="n">
        <v>0.1</v>
      </c>
      <c r="N4458" s="3" t="n">
        <v>895</v>
      </c>
      <c r="O4458" s="3">
        <f>K4458*L4458*(1-M4458)</f>
        <v/>
      </c>
      <c r="P4458" s="3">
        <f>O4458-N4458</f>
        <v/>
      </c>
      <c r="Q4458" s="5">
        <f>IFERROR(P4458/O4458,0)</f>
        <v/>
      </c>
      <c r="R4458" s="2">
        <f>TEXT(DATEVALUE(B4458),"mmm")</f>
        <v/>
      </c>
      <c r="S4458" s="2">
        <f>TEXT(DATEVALUE(B4458),"yyyy-mm")</f>
        <v/>
      </c>
    </row>
    <row r="4459">
      <c r="A4459" s="2" t="inlineStr">
        <is>
          <t>O003692</t>
        </is>
      </c>
      <c r="B4459" s="2" t="inlineStr">
        <is>
          <t>2025-11-21</t>
        </is>
      </c>
      <c r="C4459" s="2" t="inlineStr">
        <is>
          <t>C0577</t>
        </is>
      </c>
      <c r="D4459" s="2" t="inlineStr">
        <is>
          <t>P0009</t>
        </is>
      </c>
      <c r="E4459" s="2" t="inlineStr">
        <is>
          <t>Electric Kettle</t>
        </is>
      </c>
      <c r="F4459" s="2" t="inlineStr">
        <is>
          <t>Home &amp; Kitchen</t>
        </is>
      </c>
      <c r="G4459" s="2" t="inlineStr">
        <is>
          <t>North</t>
        </is>
      </c>
      <c r="H4459" s="2" t="inlineStr">
        <is>
          <t>Haryana</t>
        </is>
      </c>
      <c r="I4459" s="2" t="inlineStr">
        <is>
          <t>Faridabad</t>
        </is>
      </c>
      <c r="J4459" s="2" t="inlineStr">
        <is>
          <t>Store</t>
        </is>
      </c>
      <c r="K4459" s="2" t="n">
        <v>6</v>
      </c>
      <c r="L4459" s="3" t="n">
        <v>2092.2</v>
      </c>
      <c r="M4459" s="4" t="n">
        <v>0.05</v>
      </c>
      <c r="N4459" s="3" t="n">
        <v>6601</v>
      </c>
      <c r="O4459" s="3">
        <f>K4459*L4459*(1-M4459)</f>
        <v/>
      </c>
      <c r="P4459" s="3">
        <f>O4459-N4459</f>
        <v/>
      </c>
      <c r="Q4459" s="5">
        <f>IFERROR(P4459/O4459,0)</f>
        <v/>
      </c>
      <c r="R4459" s="2">
        <f>TEXT(DATEVALUE(B4459),"mmm")</f>
        <v/>
      </c>
      <c r="S4459" s="2">
        <f>TEXT(DATEVALUE(B4459),"yyyy-mm")</f>
        <v/>
      </c>
    </row>
    <row r="4460">
      <c r="A4460" s="2" t="inlineStr">
        <is>
          <t>O002788</t>
        </is>
      </c>
      <c r="B4460" s="2" t="inlineStr">
        <is>
          <t>2025-11-21</t>
        </is>
      </c>
      <c r="C4460" s="2" t="inlineStr">
        <is>
          <t>C0014</t>
        </is>
      </c>
      <c r="D4460" s="2" t="inlineStr">
        <is>
          <t>P0016</t>
        </is>
      </c>
      <c r="E4460" s="2" t="inlineStr">
        <is>
          <t>Casual Shirt</t>
        </is>
      </c>
      <c r="F4460" s="2" t="inlineStr">
        <is>
          <t>Fashion</t>
        </is>
      </c>
      <c r="G4460" s="2" t="inlineStr">
        <is>
          <t>North</t>
        </is>
      </c>
      <c r="H4460" s="2" t="inlineStr">
        <is>
          <t>Uttar Pradesh</t>
        </is>
      </c>
      <c r="I4460" s="2" t="inlineStr">
        <is>
          <t>Noida</t>
        </is>
      </c>
      <c r="J4460" s="2" t="inlineStr">
        <is>
          <t>Online</t>
        </is>
      </c>
      <c r="K4460" s="2" t="n">
        <v>5</v>
      </c>
      <c r="L4460" s="3" t="n">
        <v>1272.47</v>
      </c>
      <c r="M4460" s="4" t="n">
        <v>0.1</v>
      </c>
      <c r="N4460" s="3" t="n">
        <v>4627.6</v>
      </c>
      <c r="O4460" s="3">
        <f>K4460*L4460*(1-M4460)</f>
        <v/>
      </c>
      <c r="P4460" s="3">
        <f>O4460-N4460</f>
        <v/>
      </c>
      <c r="Q4460" s="5">
        <f>IFERROR(P4460/O4460,0)</f>
        <v/>
      </c>
      <c r="R4460" s="2">
        <f>TEXT(DATEVALUE(B4460),"mmm")</f>
        <v/>
      </c>
      <c r="S4460" s="2">
        <f>TEXT(DATEVALUE(B4460),"yyyy-mm")</f>
        <v/>
      </c>
    </row>
    <row r="4461">
      <c r="A4461" s="2" t="inlineStr">
        <is>
          <t>O002017</t>
        </is>
      </c>
      <c r="B4461" s="2" t="inlineStr">
        <is>
          <t>2025-11-21</t>
        </is>
      </c>
      <c r="C4461" s="2" t="inlineStr">
        <is>
          <t>C0566</t>
        </is>
      </c>
      <c r="D4461" s="2" t="inlineStr">
        <is>
          <t>P0026</t>
        </is>
      </c>
      <c r="E4461" s="2" t="inlineStr">
        <is>
          <t>Shampoo</t>
        </is>
      </c>
      <c r="F4461" s="2" t="inlineStr">
        <is>
          <t>Beauty</t>
        </is>
      </c>
      <c r="G4461" s="2" t="inlineStr">
        <is>
          <t>East</t>
        </is>
      </c>
      <c r="H4461" s="2" t="inlineStr">
        <is>
          <t>Odisha</t>
        </is>
      </c>
      <c r="I4461" s="2" t="inlineStr">
        <is>
          <t>Cuttack</t>
        </is>
      </c>
      <c r="J4461" s="2" t="inlineStr">
        <is>
          <t>Online</t>
        </is>
      </c>
      <c r="K4461" s="2" t="n">
        <v>2</v>
      </c>
      <c r="L4461" s="3" t="n">
        <v>848.16</v>
      </c>
      <c r="M4461" s="4" t="n">
        <v>0</v>
      </c>
      <c r="N4461" s="3" t="n">
        <v>1030.2</v>
      </c>
      <c r="O4461" s="3">
        <f>K4461*L4461*(1-M4461)</f>
        <v/>
      </c>
      <c r="P4461" s="3">
        <f>O4461-N4461</f>
        <v/>
      </c>
      <c r="Q4461" s="5">
        <f>IFERROR(P4461/O4461,0)</f>
        <v/>
      </c>
      <c r="R4461" s="2">
        <f>TEXT(DATEVALUE(B4461),"mmm")</f>
        <v/>
      </c>
      <c r="S4461" s="2">
        <f>TEXT(DATEVALUE(B4461),"yyyy-mm")</f>
        <v/>
      </c>
    </row>
    <row r="4462">
      <c r="A4462" s="2" t="inlineStr">
        <is>
          <t>O001951</t>
        </is>
      </c>
      <c r="B4462" s="2" t="inlineStr">
        <is>
          <t>2025-11-21</t>
        </is>
      </c>
      <c r="C4462" s="2" t="inlineStr">
        <is>
          <t>C0133</t>
        </is>
      </c>
      <c r="D4462" s="2" t="inlineStr">
        <is>
          <t>P0011</t>
        </is>
      </c>
      <c r="E4462" s="2" t="inlineStr">
        <is>
          <t>Cookware Set</t>
        </is>
      </c>
      <c r="F4462" s="2" t="inlineStr">
        <is>
          <t>Home &amp; Kitchen</t>
        </is>
      </c>
      <c r="G4462" s="2" t="inlineStr">
        <is>
          <t>North</t>
        </is>
      </c>
      <c r="H4462" s="2" t="inlineStr">
        <is>
          <t>Haryana</t>
        </is>
      </c>
      <c r="I4462" s="2" t="inlineStr">
        <is>
          <t>Faridabad</t>
        </is>
      </c>
      <c r="J4462" s="2" t="inlineStr">
        <is>
          <t>Online</t>
        </is>
      </c>
      <c r="K4462" s="2" t="n">
        <v>4</v>
      </c>
      <c r="L4462" s="3" t="n">
        <v>677.5700000000001</v>
      </c>
      <c r="M4462" s="4" t="n">
        <v>0.05</v>
      </c>
      <c r="N4462" s="3" t="n">
        <v>1907.73</v>
      </c>
      <c r="O4462" s="3">
        <f>K4462*L4462*(1-M4462)</f>
        <v/>
      </c>
      <c r="P4462" s="3">
        <f>O4462-N4462</f>
        <v/>
      </c>
      <c r="Q4462" s="5">
        <f>IFERROR(P4462/O4462,0)</f>
        <v/>
      </c>
      <c r="R4462" s="2">
        <f>TEXT(DATEVALUE(B4462),"mmm")</f>
        <v/>
      </c>
      <c r="S4462" s="2">
        <f>TEXT(DATEVALUE(B4462),"yyyy-mm")</f>
        <v/>
      </c>
    </row>
    <row r="4463">
      <c r="A4463" s="2" t="inlineStr">
        <is>
          <t>O000496</t>
        </is>
      </c>
      <c r="B4463" s="2" t="inlineStr">
        <is>
          <t>2025-11-21</t>
        </is>
      </c>
      <c r="C4463" s="2" t="inlineStr">
        <is>
          <t>C0578</t>
        </is>
      </c>
      <c r="D4463" s="2" t="inlineStr">
        <is>
          <t>P0006</t>
        </is>
      </c>
      <c r="E4463" s="2" t="inlineStr">
        <is>
          <t>Mechanical Keyboard</t>
        </is>
      </c>
      <c r="F4463" s="2" t="inlineStr">
        <is>
          <t>Electronics</t>
        </is>
      </c>
      <c r="G4463" s="2" t="inlineStr">
        <is>
          <t>West</t>
        </is>
      </c>
      <c r="H4463" s="2" t="inlineStr">
        <is>
          <t>Goa</t>
        </is>
      </c>
      <c r="I4463" s="2" t="inlineStr">
        <is>
          <t>Panaji</t>
        </is>
      </c>
      <c r="J4463" s="2" t="inlineStr">
        <is>
          <t>Online</t>
        </is>
      </c>
      <c r="K4463" s="2" t="n">
        <v>1</v>
      </c>
      <c r="L4463" s="3" t="n">
        <v>2735.4</v>
      </c>
      <c r="M4463" s="4" t="n">
        <v>0.2</v>
      </c>
      <c r="N4463" s="3" t="n">
        <v>1513.4</v>
      </c>
      <c r="O4463" s="3">
        <f>K4463*L4463*(1-M4463)</f>
        <v/>
      </c>
      <c r="P4463" s="3">
        <f>O4463-N4463</f>
        <v/>
      </c>
      <c r="Q4463" s="5">
        <f>IFERROR(P4463/O4463,0)</f>
        <v/>
      </c>
      <c r="R4463" s="2">
        <f>TEXT(DATEVALUE(B4463),"mmm")</f>
        <v/>
      </c>
      <c r="S4463" s="2">
        <f>TEXT(DATEVALUE(B4463),"yyyy-mm")</f>
        <v/>
      </c>
    </row>
    <row r="4464">
      <c r="A4464" s="2" t="inlineStr">
        <is>
          <t>O000487</t>
        </is>
      </c>
      <c r="B4464" s="2" t="inlineStr">
        <is>
          <t>2025-11-21</t>
        </is>
      </c>
      <c r="C4464" s="2" t="inlineStr">
        <is>
          <t>C0039</t>
        </is>
      </c>
      <c r="D4464" s="2" t="inlineStr">
        <is>
          <t>P0021</t>
        </is>
      </c>
      <c r="E4464" s="2" t="inlineStr">
        <is>
          <t>Wallet</t>
        </is>
      </c>
      <c r="F4464" s="2" t="inlineStr">
        <is>
          <t>Fashion</t>
        </is>
      </c>
      <c r="G4464" s="2" t="inlineStr">
        <is>
          <t>North</t>
        </is>
      </c>
      <c r="H4464" s="2" t="inlineStr">
        <is>
          <t>Punjab</t>
        </is>
      </c>
      <c r="I4464" s="2" t="inlineStr">
        <is>
          <t>Amritsar</t>
        </is>
      </c>
      <c r="J4464" s="2" t="inlineStr">
        <is>
          <t>Store</t>
        </is>
      </c>
      <c r="K4464" s="2" t="n">
        <v>2</v>
      </c>
      <c r="L4464" s="3" t="n">
        <v>1971.63</v>
      </c>
      <c r="M4464" s="4" t="n">
        <v>0.1</v>
      </c>
      <c r="N4464" s="3" t="n">
        <v>2457.2</v>
      </c>
      <c r="O4464" s="3">
        <f>K4464*L4464*(1-M4464)</f>
        <v/>
      </c>
      <c r="P4464" s="3">
        <f>O4464-N4464</f>
        <v/>
      </c>
      <c r="Q4464" s="5">
        <f>IFERROR(P4464/O4464,0)</f>
        <v/>
      </c>
      <c r="R4464" s="2">
        <f>TEXT(DATEVALUE(B4464),"mmm")</f>
        <v/>
      </c>
      <c r="S4464" s="2">
        <f>TEXT(DATEVALUE(B4464),"yyyy-mm")</f>
        <v/>
      </c>
    </row>
    <row r="4465">
      <c r="A4465" s="2" t="inlineStr">
        <is>
          <t>O000229</t>
        </is>
      </c>
      <c r="B4465" s="2" t="inlineStr">
        <is>
          <t>2025-11-21</t>
        </is>
      </c>
      <c r="C4465" s="2" t="inlineStr">
        <is>
          <t>C0024</t>
        </is>
      </c>
      <c r="D4465" s="2" t="inlineStr">
        <is>
          <t>P0003</t>
        </is>
      </c>
      <c r="E4465" s="2" t="inlineStr">
        <is>
          <t>Smartwatch</t>
        </is>
      </c>
      <c r="F4465" s="2" t="inlineStr">
        <is>
          <t>Electronics</t>
        </is>
      </c>
      <c r="G4465" s="2" t="inlineStr">
        <is>
          <t>East</t>
        </is>
      </c>
      <c r="H4465" s="2" t="inlineStr">
        <is>
          <t>Odisha</t>
        </is>
      </c>
      <c r="I4465" s="2" t="inlineStr">
        <is>
          <t>Bhubaneswar</t>
        </is>
      </c>
      <c r="J4465" s="2" t="inlineStr">
        <is>
          <t>Online</t>
        </is>
      </c>
      <c r="K4465" s="2" t="n">
        <v>4</v>
      </c>
      <c r="L4465" s="3" t="n">
        <v>2282.59</v>
      </c>
      <c r="M4465" s="4" t="n">
        <v>0.1</v>
      </c>
      <c r="N4465" s="3" t="n">
        <v>4803.19</v>
      </c>
      <c r="O4465" s="3">
        <f>K4465*L4465*(1-M4465)</f>
        <v/>
      </c>
      <c r="P4465" s="3">
        <f>O4465-N4465</f>
        <v/>
      </c>
      <c r="Q4465" s="5">
        <f>IFERROR(P4465/O4465,0)</f>
        <v/>
      </c>
      <c r="R4465" s="2">
        <f>TEXT(DATEVALUE(B4465),"mmm")</f>
        <v/>
      </c>
      <c r="S4465" s="2">
        <f>TEXT(DATEVALUE(B4465),"yyyy-mm")</f>
        <v/>
      </c>
    </row>
    <row r="4466">
      <c r="A4466" s="2" t="inlineStr">
        <is>
          <t>O003017</t>
        </is>
      </c>
      <c r="B4466" s="2" t="inlineStr">
        <is>
          <t>2025-11-21</t>
        </is>
      </c>
      <c r="C4466" s="2" t="inlineStr">
        <is>
          <t>C0113</t>
        </is>
      </c>
      <c r="D4466" s="2" t="inlineStr">
        <is>
          <t>P0011</t>
        </is>
      </c>
      <c r="E4466" s="2" t="inlineStr">
        <is>
          <t>Cookware Set</t>
        </is>
      </c>
      <c r="F4466" s="2" t="inlineStr">
        <is>
          <t>Home &amp; Kitchen</t>
        </is>
      </c>
      <c r="G4466" s="2" t="inlineStr">
        <is>
          <t>South</t>
        </is>
      </c>
      <c r="H4466" s="2" t="inlineStr">
        <is>
          <t>Tamil Nadu</t>
        </is>
      </c>
      <c r="I4466" s="2" t="inlineStr">
        <is>
          <t>Coimbatore</t>
        </is>
      </c>
      <c r="J4466" s="2" t="inlineStr">
        <is>
          <t>Online</t>
        </is>
      </c>
      <c r="K4466" s="2" t="n">
        <v>1</v>
      </c>
      <c r="L4466" s="3" t="n">
        <v>722.3200000000001</v>
      </c>
      <c r="M4466" s="4" t="n">
        <v>0.2</v>
      </c>
      <c r="N4466" s="3" t="n">
        <v>478.55</v>
      </c>
      <c r="O4466" s="3">
        <f>K4466*L4466*(1-M4466)</f>
        <v/>
      </c>
      <c r="P4466" s="3">
        <f>O4466-N4466</f>
        <v/>
      </c>
      <c r="Q4466" s="5">
        <f>IFERROR(P4466/O4466,0)</f>
        <v/>
      </c>
      <c r="R4466" s="2">
        <f>TEXT(DATEVALUE(B4466),"mmm")</f>
        <v/>
      </c>
      <c r="S4466" s="2">
        <f>TEXT(DATEVALUE(B4466),"yyyy-mm")</f>
        <v/>
      </c>
    </row>
    <row r="4467">
      <c r="A4467" s="2" t="inlineStr">
        <is>
          <t>O004783</t>
        </is>
      </c>
      <c r="B4467" s="2" t="inlineStr">
        <is>
          <t>2025-11-22</t>
        </is>
      </c>
      <c r="C4467" s="2" t="inlineStr">
        <is>
          <t>C0581</t>
        </is>
      </c>
      <c r="D4467" s="2" t="inlineStr">
        <is>
          <t>P0011</t>
        </is>
      </c>
      <c r="E4467" s="2" t="inlineStr">
        <is>
          <t>Cookware Set</t>
        </is>
      </c>
      <c r="F4467" s="2" t="inlineStr">
        <is>
          <t>Home &amp; Kitchen</t>
        </is>
      </c>
      <c r="G4467" s="2" t="inlineStr">
        <is>
          <t>West</t>
        </is>
      </c>
      <c r="H4467" s="2" t="inlineStr">
        <is>
          <t>Maharashtra</t>
        </is>
      </c>
      <c r="I4467" s="2" t="inlineStr">
        <is>
          <t>Nagpur</t>
        </is>
      </c>
      <c r="J4467" s="2" t="inlineStr">
        <is>
          <t>Online</t>
        </is>
      </c>
      <c r="K4467" s="2" t="n">
        <v>1</v>
      </c>
      <c r="L4467" s="3" t="n">
        <v>674.8099999999999</v>
      </c>
      <c r="M4467" s="4" t="n">
        <v>0.05</v>
      </c>
      <c r="N4467" s="3" t="n">
        <v>471.44</v>
      </c>
      <c r="O4467" s="3">
        <f>K4467*L4467*(1-M4467)</f>
        <v/>
      </c>
      <c r="P4467" s="3">
        <f>O4467-N4467</f>
        <v/>
      </c>
      <c r="Q4467" s="5">
        <f>IFERROR(P4467/O4467,0)</f>
        <v/>
      </c>
      <c r="R4467" s="2">
        <f>TEXT(DATEVALUE(B4467),"mmm")</f>
        <v/>
      </c>
      <c r="S4467" s="2">
        <f>TEXT(DATEVALUE(B4467),"yyyy-mm")</f>
        <v/>
      </c>
    </row>
    <row r="4468">
      <c r="A4468" s="2" t="inlineStr">
        <is>
          <t>O004351</t>
        </is>
      </c>
      <c r="B4468" s="2" t="inlineStr">
        <is>
          <t>2025-11-22</t>
        </is>
      </c>
      <c r="C4468" s="2" t="inlineStr">
        <is>
          <t>C0750</t>
        </is>
      </c>
      <c r="D4468" s="2" t="inlineStr">
        <is>
          <t>P0007</t>
        </is>
      </c>
      <c r="E4468" s="2" t="inlineStr">
        <is>
          <t>Wireless Mouse</t>
        </is>
      </c>
      <c r="F4468" s="2" t="inlineStr">
        <is>
          <t>Electronics</t>
        </is>
      </c>
      <c r="G4468" s="2" t="inlineStr">
        <is>
          <t>South</t>
        </is>
      </c>
      <c r="H4468" s="2" t="inlineStr">
        <is>
          <t>Tamil Nadu</t>
        </is>
      </c>
      <c r="I4468" s="2" t="inlineStr">
        <is>
          <t>Coimbatore</t>
        </is>
      </c>
      <c r="J4468" s="2" t="inlineStr">
        <is>
          <t>Online</t>
        </is>
      </c>
      <c r="K4468" s="2" t="n">
        <v>5</v>
      </c>
      <c r="L4468" s="3" t="n">
        <v>959.91</v>
      </c>
      <c r="M4468" s="4" t="n">
        <v>0.1</v>
      </c>
      <c r="N4468" s="3" t="n">
        <v>3186.09</v>
      </c>
      <c r="O4468" s="3">
        <f>K4468*L4468*(1-M4468)</f>
        <v/>
      </c>
      <c r="P4468" s="3">
        <f>O4468-N4468</f>
        <v/>
      </c>
      <c r="Q4468" s="5">
        <f>IFERROR(P4468/O4468,0)</f>
        <v/>
      </c>
      <c r="R4468" s="2">
        <f>TEXT(DATEVALUE(B4468),"mmm")</f>
        <v/>
      </c>
      <c r="S4468" s="2">
        <f>TEXT(DATEVALUE(B4468),"yyyy-mm")</f>
        <v/>
      </c>
    </row>
    <row r="4469">
      <c r="A4469" s="2" t="inlineStr">
        <is>
          <t>O004123</t>
        </is>
      </c>
      <c r="B4469" s="2" t="inlineStr">
        <is>
          <t>2025-11-22</t>
        </is>
      </c>
      <c r="C4469" s="2" t="inlineStr">
        <is>
          <t>C0373</t>
        </is>
      </c>
      <c r="D4469" s="2" t="inlineStr">
        <is>
          <t>P0004</t>
        </is>
      </c>
      <c r="E4469" s="2" t="inlineStr">
        <is>
          <t>USB-C Hub</t>
        </is>
      </c>
      <c r="F4469" s="2" t="inlineStr">
        <is>
          <t>Electronics</t>
        </is>
      </c>
      <c r="G4469" s="2" t="inlineStr">
        <is>
          <t>West</t>
        </is>
      </c>
      <c r="H4469" s="2" t="inlineStr">
        <is>
          <t>Goa</t>
        </is>
      </c>
      <c r="I4469" s="2" t="inlineStr">
        <is>
          <t>Margao</t>
        </is>
      </c>
      <c r="J4469" s="2" t="inlineStr">
        <is>
          <t>Online</t>
        </is>
      </c>
      <c r="K4469" s="2" t="n">
        <v>1</v>
      </c>
      <c r="L4469" s="3" t="n">
        <v>1277.12</v>
      </c>
      <c r="M4469" s="4" t="n">
        <v>0.15</v>
      </c>
      <c r="N4469" s="3" t="n">
        <v>929.6900000000001</v>
      </c>
      <c r="O4469" s="3">
        <f>K4469*L4469*(1-M4469)</f>
        <v/>
      </c>
      <c r="P4469" s="3">
        <f>O4469-N4469</f>
        <v/>
      </c>
      <c r="Q4469" s="5">
        <f>IFERROR(P4469/O4469,0)</f>
        <v/>
      </c>
      <c r="R4469" s="2">
        <f>TEXT(DATEVALUE(B4469),"mmm")</f>
        <v/>
      </c>
      <c r="S4469" s="2">
        <f>TEXT(DATEVALUE(B4469),"yyyy-mm")</f>
        <v/>
      </c>
    </row>
    <row r="4470">
      <c r="A4470" s="2" t="inlineStr">
        <is>
          <t>O003772</t>
        </is>
      </c>
      <c r="B4470" s="2" t="inlineStr">
        <is>
          <t>2025-11-22</t>
        </is>
      </c>
      <c r="C4470" s="2" t="inlineStr">
        <is>
          <t>C0465</t>
        </is>
      </c>
      <c r="D4470" s="2" t="inlineStr">
        <is>
          <t>P0007</t>
        </is>
      </c>
      <c r="E4470" s="2" t="inlineStr">
        <is>
          <t>Wireless Mouse</t>
        </is>
      </c>
      <c r="F4470" s="2" t="inlineStr">
        <is>
          <t>Electronics</t>
        </is>
      </c>
      <c r="G4470" s="2" t="inlineStr">
        <is>
          <t>South</t>
        </is>
      </c>
      <c r="H4470" s="2" t="inlineStr">
        <is>
          <t>Karnataka</t>
        </is>
      </c>
      <c r="I4470" s="2" t="inlineStr">
        <is>
          <t>Mysuru</t>
        </is>
      </c>
      <c r="J4470" s="2" t="inlineStr">
        <is>
          <t>Store</t>
        </is>
      </c>
      <c r="K4470" s="2" t="n">
        <v>5</v>
      </c>
      <c r="L4470" s="3" t="n">
        <v>971.63</v>
      </c>
      <c r="M4470" s="4" t="n">
        <v>0</v>
      </c>
      <c r="N4470" s="3" t="n">
        <v>3165.63</v>
      </c>
      <c r="O4470" s="3">
        <f>K4470*L4470*(1-M4470)</f>
        <v/>
      </c>
      <c r="P4470" s="3">
        <f>O4470-N4470</f>
        <v/>
      </c>
      <c r="Q4470" s="5">
        <f>IFERROR(P4470/O4470,0)</f>
        <v/>
      </c>
      <c r="R4470" s="2">
        <f>TEXT(DATEVALUE(B4470),"mmm")</f>
        <v/>
      </c>
      <c r="S4470" s="2">
        <f>TEXT(DATEVALUE(B4470),"yyyy-mm")</f>
        <v/>
      </c>
    </row>
    <row r="4471">
      <c r="A4471" s="2" t="inlineStr">
        <is>
          <t>O002823</t>
        </is>
      </c>
      <c r="B4471" s="2" t="inlineStr">
        <is>
          <t>2025-11-22</t>
        </is>
      </c>
      <c r="C4471" s="2" t="inlineStr">
        <is>
          <t>C0742</t>
        </is>
      </c>
      <c r="D4471" s="2" t="inlineStr">
        <is>
          <t>P0031</t>
        </is>
      </c>
      <c r="E4471" s="2" t="inlineStr">
        <is>
          <t>Cricket Bat</t>
        </is>
      </c>
      <c r="F4471" s="2" t="inlineStr">
        <is>
          <t>Sports</t>
        </is>
      </c>
      <c r="G4471" s="2" t="inlineStr">
        <is>
          <t>West</t>
        </is>
      </c>
      <c r="H4471" s="2" t="inlineStr">
        <is>
          <t>Gujarat</t>
        </is>
      </c>
      <c r="I4471" s="2" t="inlineStr">
        <is>
          <t>Surat</t>
        </is>
      </c>
      <c r="J4471" s="2" t="inlineStr">
        <is>
          <t>Store</t>
        </is>
      </c>
      <c r="K4471" s="2" t="n">
        <v>1</v>
      </c>
      <c r="L4471" s="3" t="n">
        <v>1362.3</v>
      </c>
      <c r="M4471" s="4" t="n">
        <v>0.2</v>
      </c>
      <c r="N4471" s="3" t="n">
        <v>977.1799999999999</v>
      </c>
      <c r="O4471" s="3">
        <f>K4471*L4471*(1-M4471)</f>
        <v/>
      </c>
      <c r="P4471" s="3">
        <f>O4471-N4471</f>
        <v/>
      </c>
      <c r="Q4471" s="5">
        <f>IFERROR(P4471/O4471,0)</f>
        <v/>
      </c>
      <c r="R4471" s="2">
        <f>TEXT(DATEVALUE(B4471),"mmm")</f>
        <v/>
      </c>
      <c r="S4471" s="2">
        <f>TEXT(DATEVALUE(B4471),"yyyy-mm")</f>
        <v/>
      </c>
    </row>
    <row r="4472">
      <c r="A4472" s="2" t="inlineStr">
        <is>
          <t>O002295</t>
        </is>
      </c>
      <c r="B4472" s="2" t="inlineStr">
        <is>
          <t>2025-11-22</t>
        </is>
      </c>
      <c r="C4472" s="2" t="inlineStr">
        <is>
          <t>C0153</t>
        </is>
      </c>
      <c r="D4472" s="2" t="inlineStr">
        <is>
          <t>P0013</t>
        </is>
      </c>
      <c r="E4472" s="2" t="inlineStr">
        <is>
          <t>Storage Organizer</t>
        </is>
      </c>
      <c r="F4472" s="2" t="inlineStr">
        <is>
          <t>Home &amp; Kitchen</t>
        </is>
      </c>
      <c r="G4472" s="2" t="inlineStr">
        <is>
          <t>South</t>
        </is>
      </c>
      <c r="H4472" s="2" t="inlineStr">
        <is>
          <t>Telangana</t>
        </is>
      </c>
      <c r="I4472" s="2" t="inlineStr">
        <is>
          <t>Warangal</t>
        </is>
      </c>
      <c r="J4472" s="2" t="inlineStr">
        <is>
          <t>Store</t>
        </is>
      </c>
      <c r="K4472" s="2" t="n">
        <v>2</v>
      </c>
      <c r="L4472" s="3" t="n">
        <v>597.99</v>
      </c>
      <c r="M4472" s="4" t="n">
        <v>0.1</v>
      </c>
      <c r="N4472" s="3" t="n">
        <v>706.6900000000001</v>
      </c>
      <c r="O4472" s="3">
        <f>K4472*L4472*(1-M4472)</f>
        <v/>
      </c>
      <c r="P4472" s="3">
        <f>O4472-N4472</f>
        <v/>
      </c>
      <c r="Q4472" s="5">
        <f>IFERROR(P4472/O4472,0)</f>
        <v/>
      </c>
      <c r="R4472" s="2">
        <f>TEXT(DATEVALUE(B4472),"mmm")</f>
        <v/>
      </c>
      <c r="S4472" s="2">
        <f>TEXT(DATEVALUE(B4472),"yyyy-mm")</f>
        <v/>
      </c>
    </row>
    <row r="4473">
      <c r="A4473" s="2" t="inlineStr">
        <is>
          <t>O002143</t>
        </is>
      </c>
      <c r="B4473" s="2" t="inlineStr">
        <is>
          <t>2025-11-22</t>
        </is>
      </c>
      <c r="C4473" s="2" t="inlineStr">
        <is>
          <t>C0185</t>
        </is>
      </c>
      <c r="D4473" s="2" t="inlineStr">
        <is>
          <t>P0035</t>
        </is>
      </c>
      <c r="E4473" s="2" t="inlineStr">
        <is>
          <t>Skipping Rope</t>
        </is>
      </c>
      <c r="F4473" s="2" t="inlineStr">
        <is>
          <t>Sports</t>
        </is>
      </c>
      <c r="G4473" s="2" t="inlineStr">
        <is>
          <t>South</t>
        </is>
      </c>
      <c r="H4473" s="2" t="inlineStr">
        <is>
          <t>Tamil Nadu</t>
        </is>
      </c>
      <c r="I4473" s="2" t="inlineStr">
        <is>
          <t>Chennai</t>
        </is>
      </c>
      <c r="J4473" s="2" t="inlineStr">
        <is>
          <t>Online</t>
        </is>
      </c>
      <c r="K4473" s="2" t="n">
        <v>1</v>
      </c>
      <c r="L4473" s="3" t="n">
        <v>727.76</v>
      </c>
      <c r="M4473" s="4" t="n">
        <v>0.2</v>
      </c>
      <c r="N4473" s="3" t="n">
        <v>398.8</v>
      </c>
      <c r="O4473" s="3">
        <f>K4473*L4473*(1-M4473)</f>
        <v/>
      </c>
      <c r="P4473" s="3">
        <f>O4473-N4473</f>
        <v/>
      </c>
      <c r="Q4473" s="5">
        <f>IFERROR(P4473/O4473,0)</f>
        <v/>
      </c>
      <c r="R4473" s="2">
        <f>TEXT(DATEVALUE(B4473),"mmm")</f>
        <v/>
      </c>
      <c r="S4473" s="2">
        <f>TEXT(DATEVALUE(B4473),"yyyy-mm")</f>
        <v/>
      </c>
    </row>
    <row r="4474">
      <c r="A4474" s="2" t="inlineStr">
        <is>
          <t>O001684</t>
        </is>
      </c>
      <c r="B4474" s="2" t="inlineStr">
        <is>
          <t>2025-11-22</t>
        </is>
      </c>
      <c r="C4474" s="2" t="inlineStr">
        <is>
          <t>C0324</t>
        </is>
      </c>
      <c r="D4474" s="2" t="inlineStr">
        <is>
          <t>P0016</t>
        </is>
      </c>
      <c r="E4474" s="2" t="inlineStr">
        <is>
          <t>Casual Shirt</t>
        </is>
      </c>
      <c r="F4474" s="2" t="inlineStr">
        <is>
          <t>Fashion</t>
        </is>
      </c>
      <c r="G4474" s="2" t="inlineStr">
        <is>
          <t>East</t>
        </is>
      </c>
      <c r="H4474" s="2" t="inlineStr">
        <is>
          <t>West Bengal</t>
        </is>
      </c>
      <c r="I4474" s="2" t="inlineStr">
        <is>
          <t>Kolkata</t>
        </is>
      </c>
      <c r="J4474" s="2" t="inlineStr">
        <is>
          <t>Store</t>
        </is>
      </c>
      <c r="K4474" s="2" t="n">
        <v>1</v>
      </c>
      <c r="L4474" s="3" t="n">
        <v>1258.36</v>
      </c>
      <c r="M4474" s="4" t="n">
        <v>0.05</v>
      </c>
      <c r="N4474" s="3" t="n">
        <v>891.61</v>
      </c>
      <c r="O4474" s="3">
        <f>K4474*L4474*(1-M4474)</f>
        <v/>
      </c>
      <c r="P4474" s="3">
        <f>O4474-N4474</f>
        <v/>
      </c>
      <c r="Q4474" s="5">
        <f>IFERROR(P4474/O4474,0)</f>
        <v/>
      </c>
      <c r="R4474" s="2">
        <f>TEXT(DATEVALUE(B4474),"mmm")</f>
        <v/>
      </c>
      <c r="S4474" s="2">
        <f>TEXT(DATEVALUE(B4474),"yyyy-mm")</f>
        <v/>
      </c>
    </row>
    <row r="4475">
      <c r="A4475" s="2" t="inlineStr">
        <is>
          <t>O001337</t>
        </is>
      </c>
      <c r="B4475" s="2" t="inlineStr">
        <is>
          <t>2025-11-22</t>
        </is>
      </c>
      <c r="C4475" s="2" t="inlineStr">
        <is>
          <t>C0793</t>
        </is>
      </c>
      <c r="D4475" s="2" t="inlineStr">
        <is>
          <t>P0021</t>
        </is>
      </c>
      <c r="E4475" s="2" t="inlineStr">
        <is>
          <t>Wallet</t>
        </is>
      </c>
      <c r="F4475" s="2" t="inlineStr">
        <is>
          <t>Fashion</t>
        </is>
      </c>
      <c r="G4475" s="2" t="inlineStr">
        <is>
          <t>West</t>
        </is>
      </c>
      <c r="H4475" s="2" t="inlineStr">
        <is>
          <t>Gujarat</t>
        </is>
      </c>
      <c r="I4475" s="2" t="inlineStr">
        <is>
          <t>Vadodara</t>
        </is>
      </c>
      <c r="J4475" s="2" t="inlineStr">
        <is>
          <t>Online</t>
        </is>
      </c>
      <c r="K4475" s="2" t="n">
        <v>2</v>
      </c>
      <c r="L4475" s="3" t="n">
        <v>2104.17</v>
      </c>
      <c r="M4475" s="4" t="n">
        <v>0.1</v>
      </c>
      <c r="N4475" s="3" t="n">
        <v>2477</v>
      </c>
      <c r="O4475" s="3">
        <f>K4475*L4475*(1-M4475)</f>
        <v/>
      </c>
      <c r="P4475" s="3">
        <f>O4475-N4475</f>
        <v/>
      </c>
      <c r="Q4475" s="5">
        <f>IFERROR(P4475/O4475,0)</f>
        <v/>
      </c>
      <c r="R4475" s="2">
        <f>TEXT(DATEVALUE(B4475),"mmm")</f>
        <v/>
      </c>
      <c r="S4475" s="2">
        <f>TEXT(DATEVALUE(B4475),"yyyy-mm")</f>
        <v/>
      </c>
    </row>
    <row r="4476">
      <c r="A4476" s="2" t="inlineStr">
        <is>
          <t>O000982</t>
        </is>
      </c>
      <c r="B4476" s="2" t="inlineStr">
        <is>
          <t>2025-11-22</t>
        </is>
      </c>
      <c r="C4476" s="2" t="inlineStr">
        <is>
          <t>C0100</t>
        </is>
      </c>
      <c r="D4476" s="2" t="inlineStr">
        <is>
          <t>P0016</t>
        </is>
      </c>
      <c r="E4476" s="2" t="inlineStr">
        <is>
          <t>Casual Shirt</t>
        </is>
      </c>
      <c r="F4476" s="2" t="inlineStr">
        <is>
          <t>Fashion</t>
        </is>
      </c>
      <c r="G4476" s="2" t="inlineStr">
        <is>
          <t>East</t>
        </is>
      </c>
      <c r="H4476" s="2" t="inlineStr">
        <is>
          <t>Bihar</t>
        </is>
      </c>
      <c r="I4476" s="2" t="inlineStr">
        <is>
          <t>Patna</t>
        </is>
      </c>
      <c r="J4476" s="2" t="inlineStr">
        <is>
          <t>Online</t>
        </is>
      </c>
      <c r="K4476" s="2" t="n">
        <v>2</v>
      </c>
      <c r="L4476" s="3" t="n">
        <v>1267.23</v>
      </c>
      <c r="M4476" s="4" t="n">
        <v>0</v>
      </c>
      <c r="N4476" s="3" t="n">
        <v>1764.96</v>
      </c>
      <c r="O4476" s="3">
        <f>K4476*L4476*(1-M4476)</f>
        <v/>
      </c>
      <c r="P4476" s="3">
        <f>O4476-N4476</f>
        <v/>
      </c>
      <c r="Q4476" s="5">
        <f>IFERROR(P4476/O4476,0)</f>
        <v/>
      </c>
      <c r="R4476" s="2">
        <f>TEXT(DATEVALUE(B4476),"mmm")</f>
        <v/>
      </c>
      <c r="S4476" s="2">
        <f>TEXT(DATEVALUE(B4476),"yyyy-mm")</f>
        <v/>
      </c>
    </row>
    <row r="4477">
      <c r="A4477" s="2" t="inlineStr">
        <is>
          <t>O000848</t>
        </is>
      </c>
      <c r="B4477" s="2" t="inlineStr">
        <is>
          <t>2025-11-22</t>
        </is>
      </c>
      <c r="C4477" s="2" t="inlineStr">
        <is>
          <t>C0577</t>
        </is>
      </c>
      <c r="D4477" s="2" t="inlineStr">
        <is>
          <t>P0024</t>
        </is>
      </c>
      <c r="E4477" s="2" t="inlineStr">
        <is>
          <t>Hair Dryer</t>
        </is>
      </c>
      <c r="F4477" s="2" t="inlineStr">
        <is>
          <t>Beauty</t>
        </is>
      </c>
      <c r="G4477" s="2" t="inlineStr">
        <is>
          <t>West</t>
        </is>
      </c>
      <c r="H4477" s="2" t="inlineStr">
        <is>
          <t>Gujarat</t>
        </is>
      </c>
      <c r="I4477" s="2" t="inlineStr">
        <is>
          <t>Ahmedabad</t>
        </is>
      </c>
      <c r="J4477" s="2" t="inlineStr">
        <is>
          <t>Online</t>
        </is>
      </c>
      <c r="K4477" s="2" t="n">
        <v>6</v>
      </c>
      <c r="L4477" s="3" t="n">
        <v>1013.23</v>
      </c>
      <c r="M4477" s="4" t="n">
        <v>0.2</v>
      </c>
      <c r="N4477" s="3" t="n">
        <v>4351.08</v>
      </c>
      <c r="O4477" s="3">
        <f>K4477*L4477*(1-M4477)</f>
        <v/>
      </c>
      <c r="P4477" s="3">
        <f>O4477-N4477</f>
        <v/>
      </c>
      <c r="Q4477" s="5">
        <f>IFERROR(P4477/O4477,0)</f>
        <v/>
      </c>
      <c r="R4477" s="2">
        <f>TEXT(DATEVALUE(B4477),"mmm")</f>
        <v/>
      </c>
      <c r="S4477" s="2">
        <f>TEXT(DATEVALUE(B4477),"yyyy-mm")</f>
        <v/>
      </c>
    </row>
    <row r="4478">
      <c r="A4478" s="2" t="inlineStr">
        <is>
          <t>O000408</t>
        </is>
      </c>
      <c r="B4478" s="2" t="inlineStr">
        <is>
          <t>2025-11-22</t>
        </is>
      </c>
      <c r="C4478" s="2" t="inlineStr">
        <is>
          <t>C0120</t>
        </is>
      </c>
      <c r="D4478" s="2" t="inlineStr">
        <is>
          <t>P0017</t>
        </is>
      </c>
      <c r="E4478" s="2" t="inlineStr">
        <is>
          <t>Jeans</t>
        </is>
      </c>
      <c r="F4478" s="2" t="inlineStr">
        <is>
          <t>Fashion</t>
        </is>
      </c>
      <c r="G4478" s="2" t="inlineStr">
        <is>
          <t>West</t>
        </is>
      </c>
      <c r="H4478" s="2" t="inlineStr">
        <is>
          <t>Maharashtra</t>
        </is>
      </c>
      <c r="I4478" s="2" t="inlineStr">
        <is>
          <t>Nagpur</t>
        </is>
      </c>
      <c r="J4478" s="2" t="inlineStr">
        <is>
          <t>Online</t>
        </is>
      </c>
      <c r="K4478" s="2" t="n">
        <v>1</v>
      </c>
      <c r="L4478" s="3" t="n">
        <v>1446.48</v>
      </c>
      <c r="M4478" s="4" t="n">
        <v>0.1</v>
      </c>
      <c r="N4478" s="3" t="n">
        <v>991.66</v>
      </c>
      <c r="O4478" s="3">
        <f>K4478*L4478*(1-M4478)</f>
        <v/>
      </c>
      <c r="P4478" s="3">
        <f>O4478-N4478</f>
        <v/>
      </c>
      <c r="Q4478" s="5">
        <f>IFERROR(P4478/O4478,0)</f>
        <v/>
      </c>
      <c r="R4478" s="2">
        <f>TEXT(DATEVALUE(B4478),"mmm")</f>
        <v/>
      </c>
      <c r="S4478" s="2">
        <f>TEXT(DATEVALUE(B4478),"yyyy-mm")</f>
        <v/>
      </c>
    </row>
    <row r="4479">
      <c r="A4479" s="2" t="inlineStr">
        <is>
          <t>O000238</t>
        </is>
      </c>
      <c r="B4479" s="2" t="inlineStr">
        <is>
          <t>2025-11-22</t>
        </is>
      </c>
      <c r="C4479" s="2" t="inlineStr">
        <is>
          <t>C0315</t>
        </is>
      </c>
      <c r="D4479" s="2" t="inlineStr">
        <is>
          <t>P0007</t>
        </is>
      </c>
      <c r="E4479" s="2" t="inlineStr">
        <is>
          <t>Wireless Mouse</t>
        </is>
      </c>
      <c r="F4479" s="2" t="inlineStr">
        <is>
          <t>Electronics</t>
        </is>
      </c>
      <c r="G4479" s="2" t="inlineStr">
        <is>
          <t>West</t>
        </is>
      </c>
      <c r="H4479" s="2" t="inlineStr">
        <is>
          <t>Gujarat</t>
        </is>
      </c>
      <c r="I4479" s="2" t="inlineStr">
        <is>
          <t>Ahmedabad</t>
        </is>
      </c>
      <c r="J4479" s="2" t="inlineStr">
        <is>
          <t>Online</t>
        </is>
      </c>
      <c r="K4479" s="2" t="n">
        <v>1</v>
      </c>
      <c r="L4479" s="3" t="n">
        <v>989.46</v>
      </c>
      <c r="M4479" s="4" t="n">
        <v>0.15</v>
      </c>
      <c r="N4479" s="3" t="n">
        <v>627.64</v>
      </c>
      <c r="O4479" s="3">
        <f>K4479*L4479*(1-M4479)</f>
        <v/>
      </c>
      <c r="P4479" s="3">
        <f>O4479-N4479</f>
        <v/>
      </c>
      <c r="Q4479" s="5">
        <f>IFERROR(P4479/O4479,0)</f>
        <v/>
      </c>
      <c r="R4479" s="2">
        <f>TEXT(DATEVALUE(B4479),"mmm")</f>
        <v/>
      </c>
      <c r="S4479" s="2">
        <f>TEXT(DATEVALUE(B4479),"yyyy-mm")</f>
        <v/>
      </c>
    </row>
    <row r="4480">
      <c r="A4480" s="2" t="inlineStr">
        <is>
          <t>O001961</t>
        </is>
      </c>
      <c r="B4480" s="2" t="inlineStr">
        <is>
          <t>2025-11-22</t>
        </is>
      </c>
      <c r="C4480" s="2" t="inlineStr">
        <is>
          <t>C0530</t>
        </is>
      </c>
      <c r="D4480" s="2" t="inlineStr">
        <is>
          <t>P0028</t>
        </is>
      </c>
      <c r="E4480" s="2" t="inlineStr">
        <is>
          <t>Trimmer</t>
        </is>
      </c>
      <c r="F4480" s="2" t="inlineStr">
        <is>
          <t>Beauty</t>
        </is>
      </c>
      <c r="G4480" s="2" t="inlineStr">
        <is>
          <t>South</t>
        </is>
      </c>
      <c r="H4480" s="2" t="inlineStr">
        <is>
          <t>Telangana</t>
        </is>
      </c>
      <c r="I4480" s="2" t="inlineStr">
        <is>
          <t>Hyderabad</t>
        </is>
      </c>
      <c r="J4480" s="2" t="inlineStr">
        <is>
          <t>Store</t>
        </is>
      </c>
      <c r="K4480" s="2" t="n">
        <v>6</v>
      </c>
      <c r="L4480" s="3" t="n">
        <v>465.06</v>
      </c>
      <c r="M4480" s="4" t="n">
        <v>0.1</v>
      </c>
      <c r="N4480" s="3" t="n">
        <v>1487.14</v>
      </c>
      <c r="O4480" s="3">
        <f>K4480*L4480*(1-M4480)</f>
        <v/>
      </c>
      <c r="P4480" s="3">
        <f>O4480-N4480</f>
        <v/>
      </c>
      <c r="Q4480" s="5">
        <f>IFERROR(P4480/O4480,0)</f>
        <v/>
      </c>
      <c r="R4480" s="2">
        <f>TEXT(DATEVALUE(B4480),"mmm")</f>
        <v/>
      </c>
      <c r="S4480" s="2">
        <f>TEXT(DATEVALUE(B4480),"yyyy-mm")</f>
        <v/>
      </c>
    </row>
    <row r="4481">
      <c r="A4481" s="2" t="inlineStr">
        <is>
          <t>O003573</t>
        </is>
      </c>
      <c r="B4481" s="2" t="inlineStr">
        <is>
          <t>2025-11-23</t>
        </is>
      </c>
      <c r="C4481" s="2" t="inlineStr">
        <is>
          <t>C0555</t>
        </is>
      </c>
      <c r="D4481" s="2" t="inlineStr">
        <is>
          <t>P0031</t>
        </is>
      </c>
      <c r="E4481" s="2" t="inlineStr">
        <is>
          <t>Cricket Bat</t>
        </is>
      </c>
      <c r="F4481" s="2" t="inlineStr">
        <is>
          <t>Sports</t>
        </is>
      </c>
      <c r="G4481" s="2" t="inlineStr">
        <is>
          <t>West</t>
        </is>
      </c>
      <c r="H4481" s="2" t="inlineStr">
        <is>
          <t>Maharashtra</t>
        </is>
      </c>
      <c r="I4481" s="2" t="inlineStr">
        <is>
          <t>Thane</t>
        </is>
      </c>
      <c r="J4481" s="2" t="inlineStr">
        <is>
          <t>Online</t>
        </is>
      </c>
      <c r="K4481" s="2" t="n">
        <v>4</v>
      </c>
      <c r="L4481" s="3" t="n">
        <v>1400.71</v>
      </c>
      <c r="M4481" s="4" t="n">
        <v>0.05</v>
      </c>
      <c r="N4481" s="3" t="n">
        <v>3734.45</v>
      </c>
      <c r="O4481" s="3">
        <f>K4481*L4481*(1-M4481)</f>
        <v/>
      </c>
      <c r="P4481" s="3">
        <f>O4481-N4481</f>
        <v/>
      </c>
      <c r="Q4481" s="5">
        <f>IFERROR(P4481/O4481,0)</f>
        <v/>
      </c>
      <c r="R4481" s="2">
        <f>TEXT(DATEVALUE(B4481),"mmm")</f>
        <v/>
      </c>
      <c r="S4481" s="2">
        <f>TEXT(DATEVALUE(B4481),"yyyy-mm")</f>
        <v/>
      </c>
    </row>
    <row r="4482">
      <c r="A4482" s="2" t="inlineStr">
        <is>
          <t>O004899</t>
        </is>
      </c>
      <c r="B4482" s="2" t="inlineStr">
        <is>
          <t>2025-11-23</t>
        </is>
      </c>
      <c r="C4482" s="2" t="inlineStr">
        <is>
          <t>C0307</t>
        </is>
      </c>
      <c r="D4482" s="2" t="inlineStr">
        <is>
          <t>P0012</t>
        </is>
      </c>
      <c r="E4482" s="2" t="inlineStr">
        <is>
          <t>Water Bottle</t>
        </is>
      </c>
      <c r="F4482" s="2" t="inlineStr">
        <is>
          <t>Home &amp; Kitchen</t>
        </is>
      </c>
      <c r="G4482" s="2" t="inlineStr">
        <is>
          <t>West</t>
        </is>
      </c>
      <c r="H4482" s="2" t="inlineStr">
        <is>
          <t>Gujarat</t>
        </is>
      </c>
      <c r="I4482" s="2" t="inlineStr">
        <is>
          <t>Surat</t>
        </is>
      </c>
      <c r="J4482" s="2" t="inlineStr">
        <is>
          <t>Online</t>
        </is>
      </c>
      <c r="K4482" s="2" t="n">
        <v>1</v>
      </c>
      <c r="L4482" s="3" t="n">
        <v>933.23</v>
      </c>
      <c r="M4482" s="4" t="n">
        <v>0</v>
      </c>
      <c r="N4482" s="3" t="n">
        <v>643.9400000000001</v>
      </c>
      <c r="O4482" s="3">
        <f>K4482*L4482*(1-M4482)</f>
        <v/>
      </c>
      <c r="P4482" s="3">
        <f>O4482-N4482</f>
        <v/>
      </c>
      <c r="Q4482" s="5">
        <f>IFERROR(P4482/O4482,0)</f>
        <v/>
      </c>
      <c r="R4482" s="2">
        <f>TEXT(DATEVALUE(B4482),"mmm")</f>
        <v/>
      </c>
      <c r="S4482" s="2">
        <f>TEXT(DATEVALUE(B4482),"yyyy-mm")</f>
        <v/>
      </c>
    </row>
    <row r="4483">
      <c r="A4483" s="2" t="inlineStr">
        <is>
          <t>O004078</t>
        </is>
      </c>
      <c r="B4483" s="2" t="inlineStr">
        <is>
          <t>2025-11-23</t>
        </is>
      </c>
      <c r="C4483" s="2" t="inlineStr">
        <is>
          <t>C0245</t>
        </is>
      </c>
      <c r="D4483" s="2" t="inlineStr">
        <is>
          <t>P0023</t>
        </is>
      </c>
      <c r="E4483" s="2" t="inlineStr">
        <is>
          <t>Skin Care Kit</t>
        </is>
      </c>
      <c r="F4483" s="2" t="inlineStr">
        <is>
          <t>Beauty</t>
        </is>
      </c>
      <c r="G4483" s="2" t="inlineStr">
        <is>
          <t>East</t>
        </is>
      </c>
      <c r="H4483" s="2" t="inlineStr">
        <is>
          <t>Odisha</t>
        </is>
      </c>
      <c r="I4483" s="2" t="inlineStr">
        <is>
          <t>Cuttack</t>
        </is>
      </c>
      <c r="J4483" s="2" t="inlineStr">
        <is>
          <t>Online</t>
        </is>
      </c>
      <c r="K4483" s="2" t="n">
        <v>1</v>
      </c>
      <c r="L4483" s="3" t="n">
        <v>1426.81</v>
      </c>
      <c r="M4483" s="4" t="n">
        <v>0.1</v>
      </c>
      <c r="N4483" s="3" t="n">
        <v>885.62</v>
      </c>
      <c r="O4483" s="3">
        <f>K4483*L4483*(1-M4483)</f>
        <v/>
      </c>
      <c r="P4483" s="3">
        <f>O4483-N4483</f>
        <v/>
      </c>
      <c r="Q4483" s="5">
        <f>IFERROR(P4483/O4483,0)</f>
        <v/>
      </c>
      <c r="R4483" s="2">
        <f>TEXT(DATEVALUE(B4483),"mmm")</f>
        <v/>
      </c>
      <c r="S4483" s="2">
        <f>TEXT(DATEVALUE(B4483),"yyyy-mm")</f>
        <v/>
      </c>
    </row>
    <row r="4484">
      <c r="A4484" s="2" t="inlineStr">
        <is>
          <t>O004027</t>
        </is>
      </c>
      <c r="B4484" s="2" t="inlineStr">
        <is>
          <t>2025-11-23</t>
        </is>
      </c>
      <c r="C4484" s="2" t="inlineStr">
        <is>
          <t>C0299</t>
        </is>
      </c>
      <c r="D4484" s="2" t="inlineStr">
        <is>
          <t>P0029</t>
        </is>
      </c>
      <c r="E4484" s="2" t="inlineStr">
        <is>
          <t>Yoga Mat</t>
        </is>
      </c>
      <c r="F4484" s="2" t="inlineStr">
        <is>
          <t>Sports</t>
        </is>
      </c>
      <c r="G4484" s="2" t="inlineStr">
        <is>
          <t>South</t>
        </is>
      </c>
      <c r="H4484" s="2" t="inlineStr">
        <is>
          <t>Kerala</t>
        </is>
      </c>
      <c r="I4484" s="2" t="inlineStr">
        <is>
          <t>Kochi</t>
        </is>
      </c>
      <c r="J4484" s="2" t="inlineStr">
        <is>
          <t>Online</t>
        </is>
      </c>
      <c r="K4484" s="2" t="n">
        <v>1</v>
      </c>
      <c r="L4484" s="3" t="n">
        <v>2417.95</v>
      </c>
      <c r="M4484" s="4" t="n">
        <v>0</v>
      </c>
      <c r="N4484" s="3" t="n">
        <v>1271.24</v>
      </c>
      <c r="O4484" s="3">
        <f>K4484*L4484*(1-M4484)</f>
        <v/>
      </c>
      <c r="P4484" s="3">
        <f>O4484-N4484</f>
        <v/>
      </c>
      <c r="Q4484" s="5">
        <f>IFERROR(P4484/O4484,0)</f>
        <v/>
      </c>
      <c r="R4484" s="2">
        <f>TEXT(DATEVALUE(B4484),"mmm")</f>
        <v/>
      </c>
      <c r="S4484" s="2">
        <f>TEXT(DATEVALUE(B4484),"yyyy-mm")</f>
        <v/>
      </c>
    </row>
    <row r="4485">
      <c r="A4485" s="2" t="inlineStr">
        <is>
          <t>O003126</t>
        </is>
      </c>
      <c r="B4485" s="2" t="inlineStr">
        <is>
          <t>2025-11-23</t>
        </is>
      </c>
      <c r="C4485" s="2" t="inlineStr">
        <is>
          <t>C0393</t>
        </is>
      </c>
      <c r="D4485" s="2" t="inlineStr">
        <is>
          <t>P0029</t>
        </is>
      </c>
      <c r="E4485" s="2" t="inlineStr">
        <is>
          <t>Yoga Mat</t>
        </is>
      </c>
      <c r="F4485" s="2" t="inlineStr">
        <is>
          <t>Sports</t>
        </is>
      </c>
      <c r="G4485" s="2" t="inlineStr">
        <is>
          <t>West</t>
        </is>
      </c>
      <c r="H4485" s="2" t="inlineStr">
        <is>
          <t>Maharashtra</t>
        </is>
      </c>
      <c r="I4485" s="2" t="inlineStr">
        <is>
          <t>Mumbai</t>
        </is>
      </c>
      <c r="J4485" s="2" t="inlineStr">
        <is>
          <t>Online</t>
        </is>
      </c>
      <c r="K4485" s="2" t="n">
        <v>2</v>
      </c>
      <c r="L4485" s="3" t="n">
        <v>2295.78</v>
      </c>
      <c r="M4485" s="4" t="n">
        <v>0.05</v>
      </c>
      <c r="N4485" s="3" t="n">
        <v>2629.39</v>
      </c>
      <c r="O4485" s="3">
        <f>K4485*L4485*(1-M4485)</f>
        <v/>
      </c>
      <c r="P4485" s="3">
        <f>O4485-N4485</f>
        <v/>
      </c>
      <c r="Q4485" s="5">
        <f>IFERROR(P4485/O4485,0)</f>
        <v/>
      </c>
      <c r="R4485" s="2">
        <f>TEXT(DATEVALUE(B4485),"mmm")</f>
        <v/>
      </c>
      <c r="S4485" s="2">
        <f>TEXT(DATEVALUE(B4485),"yyyy-mm")</f>
        <v/>
      </c>
    </row>
    <row r="4486">
      <c r="A4486" s="2" t="inlineStr">
        <is>
          <t>O000097</t>
        </is>
      </c>
      <c r="B4486" s="2" t="inlineStr">
        <is>
          <t>2025-11-23</t>
        </is>
      </c>
      <c r="C4486" s="2" t="inlineStr">
        <is>
          <t>C0234</t>
        </is>
      </c>
      <c r="D4486" s="2" t="inlineStr">
        <is>
          <t>P0024</t>
        </is>
      </c>
      <c r="E4486" s="2" t="inlineStr">
        <is>
          <t>Hair Dryer</t>
        </is>
      </c>
      <c r="F4486" s="2" t="inlineStr">
        <is>
          <t>Beauty</t>
        </is>
      </c>
      <c r="G4486" s="2" t="inlineStr">
        <is>
          <t>North</t>
        </is>
      </c>
      <c r="H4486" s="2" t="inlineStr">
        <is>
          <t>Punjab</t>
        </is>
      </c>
      <c r="I4486" s="2" t="inlineStr">
        <is>
          <t>Jalandhar</t>
        </is>
      </c>
      <c r="J4486" s="2" t="inlineStr">
        <is>
          <t>Online</t>
        </is>
      </c>
      <c r="K4486" s="2" t="n">
        <v>1</v>
      </c>
      <c r="L4486" s="3" t="n">
        <v>985.6</v>
      </c>
      <c r="M4486" s="4" t="n">
        <v>0.15</v>
      </c>
      <c r="N4486" s="3" t="n">
        <v>715.9299999999999</v>
      </c>
      <c r="O4486" s="3">
        <f>K4486*L4486*(1-M4486)</f>
        <v/>
      </c>
      <c r="P4486" s="3">
        <f>O4486-N4486</f>
        <v/>
      </c>
      <c r="Q4486" s="5">
        <f>IFERROR(P4486/O4486,0)</f>
        <v/>
      </c>
      <c r="R4486" s="2">
        <f>TEXT(DATEVALUE(B4486),"mmm")</f>
        <v/>
      </c>
      <c r="S4486" s="2">
        <f>TEXT(DATEVALUE(B4486),"yyyy-mm")</f>
        <v/>
      </c>
    </row>
    <row r="4487">
      <c r="A4487" s="2" t="inlineStr">
        <is>
          <t>O001214</t>
        </is>
      </c>
      <c r="B4487" s="2" t="inlineStr">
        <is>
          <t>2025-11-23</t>
        </is>
      </c>
      <c r="C4487" s="2" t="inlineStr">
        <is>
          <t>C0492</t>
        </is>
      </c>
      <c r="D4487" s="2" t="inlineStr">
        <is>
          <t>P0030</t>
        </is>
      </c>
      <c r="E4487" s="2" t="inlineStr">
        <is>
          <t>Dumbbells</t>
        </is>
      </c>
      <c r="F4487" s="2" t="inlineStr">
        <is>
          <t>Sports</t>
        </is>
      </c>
      <c r="G4487" s="2" t="inlineStr">
        <is>
          <t>West</t>
        </is>
      </c>
      <c r="H4487" s="2" t="inlineStr">
        <is>
          <t>Gujarat</t>
        </is>
      </c>
      <c r="I4487" s="2" t="inlineStr">
        <is>
          <t>Surat</t>
        </is>
      </c>
      <c r="J4487" s="2" t="inlineStr">
        <is>
          <t>Online</t>
        </is>
      </c>
      <c r="K4487" s="2" t="n">
        <v>4</v>
      </c>
      <c r="L4487" s="3" t="n">
        <v>1493.69</v>
      </c>
      <c r="M4487" s="4" t="n">
        <v>0.15</v>
      </c>
      <c r="N4487" s="3" t="n">
        <v>4076.53</v>
      </c>
      <c r="O4487" s="3">
        <f>K4487*L4487*(1-M4487)</f>
        <v/>
      </c>
      <c r="P4487" s="3">
        <f>O4487-N4487</f>
        <v/>
      </c>
      <c r="Q4487" s="5">
        <f>IFERROR(P4487/O4487,0)</f>
        <v/>
      </c>
      <c r="R4487" s="2">
        <f>TEXT(DATEVALUE(B4487),"mmm")</f>
        <v/>
      </c>
      <c r="S4487" s="2">
        <f>TEXT(DATEVALUE(B4487),"yyyy-mm")</f>
        <v/>
      </c>
    </row>
    <row r="4488">
      <c r="A4488" s="2" t="inlineStr">
        <is>
          <t>O000623</t>
        </is>
      </c>
      <c r="B4488" s="2" t="inlineStr">
        <is>
          <t>2025-11-23</t>
        </is>
      </c>
      <c r="C4488" s="2" t="inlineStr">
        <is>
          <t>C0207</t>
        </is>
      </c>
      <c r="D4488" s="2" t="inlineStr">
        <is>
          <t>P0026</t>
        </is>
      </c>
      <c r="E4488" s="2" t="inlineStr">
        <is>
          <t>Shampoo</t>
        </is>
      </c>
      <c r="F4488" s="2" t="inlineStr">
        <is>
          <t>Beauty</t>
        </is>
      </c>
      <c r="G4488" s="2" t="inlineStr">
        <is>
          <t>West</t>
        </is>
      </c>
      <c r="H4488" s="2" t="inlineStr">
        <is>
          <t>Maharashtra</t>
        </is>
      </c>
      <c r="I4488" s="2" t="inlineStr">
        <is>
          <t>Nagpur</t>
        </is>
      </c>
      <c r="J4488" s="2" t="inlineStr">
        <is>
          <t>Online</t>
        </is>
      </c>
      <c r="K4488" s="2" t="n">
        <v>2</v>
      </c>
      <c r="L4488" s="3" t="n">
        <v>884.73</v>
      </c>
      <c r="M4488" s="4" t="n">
        <v>0.2</v>
      </c>
      <c r="N4488" s="3" t="n">
        <v>1053.5</v>
      </c>
      <c r="O4488" s="3">
        <f>K4488*L4488*(1-M4488)</f>
        <v/>
      </c>
      <c r="P4488" s="3">
        <f>O4488-N4488</f>
        <v/>
      </c>
      <c r="Q4488" s="5">
        <f>IFERROR(P4488/O4488,0)</f>
        <v/>
      </c>
      <c r="R4488" s="2">
        <f>TEXT(DATEVALUE(B4488),"mmm")</f>
        <v/>
      </c>
      <c r="S4488" s="2">
        <f>TEXT(DATEVALUE(B4488),"yyyy-mm")</f>
        <v/>
      </c>
    </row>
    <row r="4489">
      <c r="A4489" s="2" t="inlineStr">
        <is>
          <t>O000154</t>
        </is>
      </c>
      <c r="B4489" s="2" t="inlineStr">
        <is>
          <t>2025-11-23</t>
        </is>
      </c>
      <c r="C4489" s="2" t="inlineStr">
        <is>
          <t>C0373</t>
        </is>
      </c>
      <c r="D4489" s="2" t="inlineStr">
        <is>
          <t>P0018</t>
        </is>
      </c>
      <c r="E4489" s="2" t="inlineStr">
        <is>
          <t>Backpack</t>
        </is>
      </c>
      <c r="F4489" s="2" t="inlineStr">
        <is>
          <t>Fashion</t>
        </is>
      </c>
      <c r="G4489" s="2" t="inlineStr">
        <is>
          <t>North</t>
        </is>
      </c>
      <c r="H4489" s="2" t="inlineStr">
        <is>
          <t>Haryana</t>
        </is>
      </c>
      <c r="I4489" s="2" t="inlineStr">
        <is>
          <t>Gurugram</t>
        </is>
      </c>
      <c r="J4489" s="2" t="inlineStr">
        <is>
          <t>Online</t>
        </is>
      </c>
      <c r="K4489" s="2" t="n">
        <v>6</v>
      </c>
      <c r="L4489" s="3" t="n">
        <v>1840.21</v>
      </c>
      <c r="M4489" s="4" t="n">
        <v>0.15</v>
      </c>
      <c r="N4489" s="3" t="n">
        <v>7993.7</v>
      </c>
      <c r="O4489" s="3">
        <f>K4489*L4489*(1-M4489)</f>
        <v/>
      </c>
      <c r="P4489" s="3">
        <f>O4489-N4489</f>
        <v/>
      </c>
      <c r="Q4489" s="5">
        <f>IFERROR(P4489/O4489,0)</f>
        <v/>
      </c>
      <c r="R4489" s="2">
        <f>TEXT(DATEVALUE(B4489),"mmm")</f>
        <v/>
      </c>
      <c r="S4489" s="2">
        <f>TEXT(DATEVALUE(B4489),"yyyy-mm")</f>
        <v/>
      </c>
    </row>
    <row r="4490">
      <c r="A4490" s="2" t="inlineStr">
        <is>
          <t>O002890</t>
        </is>
      </c>
      <c r="B4490" s="2" t="inlineStr">
        <is>
          <t>2025-11-23</t>
        </is>
      </c>
      <c r="C4490" s="2" t="inlineStr">
        <is>
          <t>C0637</t>
        </is>
      </c>
      <c r="D4490" s="2" t="inlineStr">
        <is>
          <t>P0008</t>
        </is>
      </c>
      <c r="E4490" s="2" t="inlineStr">
        <is>
          <t>Air Fryer</t>
        </is>
      </c>
      <c r="F4490" s="2" t="inlineStr">
        <is>
          <t>Home &amp; Kitchen</t>
        </is>
      </c>
      <c r="G4490" s="2" t="inlineStr">
        <is>
          <t>East</t>
        </is>
      </c>
      <c r="H4490" s="2" t="inlineStr">
        <is>
          <t>Odisha</t>
        </is>
      </c>
      <c r="I4490" s="2" t="inlineStr">
        <is>
          <t>Bhubaneswar</t>
        </is>
      </c>
      <c r="J4490" s="2" t="inlineStr">
        <is>
          <t>Store</t>
        </is>
      </c>
      <c r="K4490" s="2" t="n">
        <v>2</v>
      </c>
      <c r="L4490" s="3" t="n">
        <v>1078.94</v>
      </c>
      <c r="M4490" s="4" t="n">
        <v>0.15</v>
      </c>
      <c r="N4490" s="3" t="n">
        <v>1408.54</v>
      </c>
      <c r="O4490" s="3">
        <f>K4490*L4490*(1-M4490)</f>
        <v/>
      </c>
      <c r="P4490" s="3">
        <f>O4490-N4490</f>
        <v/>
      </c>
      <c r="Q4490" s="5">
        <f>IFERROR(P4490/O4490,0)</f>
        <v/>
      </c>
      <c r="R4490" s="2">
        <f>TEXT(DATEVALUE(B4490),"mmm")</f>
        <v/>
      </c>
      <c r="S4490" s="2">
        <f>TEXT(DATEVALUE(B4490),"yyyy-mm")</f>
        <v/>
      </c>
    </row>
    <row r="4491">
      <c r="A4491" s="2" t="inlineStr">
        <is>
          <t>O004261</t>
        </is>
      </c>
      <c r="B4491" s="2" t="inlineStr">
        <is>
          <t>2025-11-24</t>
        </is>
      </c>
      <c r="C4491" s="2" t="inlineStr">
        <is>
          <t>C0562</t>
        </is>
      </c>
      <c r="D4491" s="2" t="inlineStr">
        <is>
          <t>P0006</t>
        </is>
      </c>
      <c r="E4491" s="2" t="inlineStr">
        <is>
          <t>Mechanical Keyboard</t>
        </is>
      </c>
      <c r="F4491" s="2" t="inlineStr">
        <is>
          <t>Electronics</t>
        </is>
      </c>
      <c r="G4491" s="2" t="inlineStr">
        <is>
          <t>South</t>
        </is>
      </c>
      <c r="H4491" s="2" t="inlineStr">
        <is>
          <t>Tamil Nadu</t>
        </is>
      </c>
      <c r="I4491" s="2" t="inlineStr">
        <is>
          <t>Coimbatore</t>
        </is>
      </c>
      <c r="J4491" s="2" t="inlineStr">
        <is>
          <t>Online</t>
        </is>
      </c>
      <c r="K4491" s="2" t="n">
        <v>3</v>
      </c>
      <c r="L4491" s="3" t="n">
        <v>2781.68</v>
      </c>
      <c r="M4491" s="4" t="n">
        <v>0</v>
      </c>
      <c r="N4491" s="3" t="n">
        <v>4411.76</v>
      </c>
      <c r="O4491" s="3">
        <f>K4491*L4491*(1-M4491)</f>
        <v/>
      </c>
      <c r="P4491" s="3">
        <f>O4491-N4491</f>
        <v/>
      </c>
      <c r="Q4491" s="5">
        <f>IFERROR(P4491/O4491,0)</f>
        <v/>
      </c>
      <c r="R4491" s="2">
        <f>TEXT(DATEVALUE(B4491),"mmm")</f>
        <v/>
      </c>
      <c r="S4491" s="2">
        <f>TEXT(DATEVALUE(B4491),"yyyy-mm")</f>
        <v/>
      </c>
    </row>
    <row r="4492">
      <c r="A4492" s="2" t="inlineStr">
        <is>
          <t>O004253</t>
        </is>
      </c>
      <c r="B4492" s="2" t="inlineStr">
        <is>
          <t>2025-11-24</t>
        </is>
      </c>
      <c r="C4492" s="2" t="inlineStr">
        <is>
          <t>C0427</t>
        </is>
      </c>
      <c r="D4492" s="2" t="inlineStr">
        <is>
          <t>P0009</t>
        </is>
      </c>
      <c r="E4492" s="2" t="inlineStr">
        <is>
          <t>Electric Kettle</t>
        </is>
      </c>
      <c r="F4492" s="2" t="inlineStr">
        <is>
          <t>Home &amp; Kitchen</t>
        </is>
      </c>
      <c r="G4492" s="2" t="inlineStr">
        <is>
          <t>East</t>
        </is>
      </c>
      <c r="H4492" s="2" t="inlineStr">
        <is>
          <t>Bihar</t>
        </is>
      </c>
      <c r="I4492" s="2" t="inlineStr">
        <is>
          <t>Gaya</t>
        </is>
      </c>
      <c r="J4492" s="2" t="inlineStr">
        <is>
          <t>Store</t>
        </is>
      </c>
      <c r="K4492" s="2" t="n">
        <v>1</v>
      </c>
      <c r="L4492" s="3" t="n">
        <v>2022.35</v>
      </c>
      <c r="M4492" s="4" t="n">
        <v>0.1</v>
      </c>
      <c r="N4492" s="3" t="n">
        <v>1099.68</v>
      </c>
      <c r="O4492" s="3">
        <f>K4492*L4492*(1-M4492)</f>
        <v/>
      </c>
      <c r="P4492" s="3">
        <f>O4492-N4492</f>
        <v/>
      </c>
      <c r="Q4492" s="5">
        <f>IFERROR(P4492/O4492,0)</f>
        <v/>
      </c>
      <c r="R4492" s="2">
        <f>TEXT(DATEVALUE(B4492),"mmm")</f>
        <v/>
      </c>
      <c r="S4492" s="2">
        <f>TEXT(DATEVALUE(B4492),"yyyy-mm")</f>
        <v/>
      </c>
    </row>
    <row r="4493">
      <c r="A4493" s="2" t="inlineStr">
        <is>
          <t>O003531</t>
        </is>
      </c>
      <c r="B4493" s="2" t="inlineStr">
        <is>
          <t>2025-11-24</t>
        </is>
      </c>
      <c r="C4493" s="2" t="inlineStr">
        <is>
          <t>C0252</t>
        </is>
      </c>
      <c r="D4493" s="2" t="inlineStr">
        <is>
          <t>P0035</t>
        </is>
      </c>
      <c r="E4493" s="2" t="inlineStr">
        <is>
          <t>Skipping Rope</t>
        </is>
      </c>
      <c r="F4493" s="2" t="inlineStr">
        <is>
          <t>Sports</t>
        </is>
      </c>
      <c r="G4493" s="2" t="inlineStr">
        <is>
          <t>West</t>
        </is>
      </c>
      <c r="H4493" s="2" t="inlineStr">
        <is>
          <t>Gujarat</t>
        </is>
      </c>
      <c r="I4493" s="2" t="inlineStr">
        <is>
          <t>Surat</t>
        </is>
      </c>
      <c r="J4493" s="2" t="inlineStr">
        <is>
          <t>Online</t>
        </is>
      </c>
      <c r="K4493" s="2" t="n">
        <v>1</v>
      </c>
      <c r="L4493" s="3" t="n">
        <v>736.08</v>
      </c>
      <c r="M4493" s="4" t="n">
        <v>0.05</v>
      </c>
      <c r="N4493" s="3" t="n">
        <v>425.49</v>
      </c>
      <c r="O4493" s="3">
        <f>K4493*L4493*(1-M4493)</f>
        <v/>
      </c>
      <c r="P4493" s="3">
        <f>O4493-N4493</f>
        <v/>
      </c>
      <c r="Q4493" s="5">
        <f>IFERROR(P4493/O4493,0)</f>
        <v/>
      </c>
      <c r="R4493" s="2">
        <f>TEXT(DATEVALUE(B4493),"mmm")</f>
        <v/>
      </c>
      <c r="S4493" s="2">
        <f>TEXT(DATEVALUE(B4493),"yyyy-mm")</f>
        <v/>
      </c>
    </row>
    <row r="4494">
      <c r="A4494" s="2" t="inlineStr">
        <is>
          <t>O003106</t>
        </is>
      </c>
      <c r="B4494" s="2" t="inlineStr">
        <is>
          <t>2025-11-24</t>
        </is>
      </c>
      <c r="C4494" s="2" t="inlineStr">
        <is>
          <t>C0253</t>
        </is>
      </c>
      <c r="D4494" s="2" t="inlineStr">
        <is>
          <t>P0017</t>
        </is>
      </c>
      <c r="E4494" s="2" t="inlineStr">
        <is>
          <t>Jeans</t>
        </is>
      </c>
      <c r="F4494" s="2" t="inlineStr">
        <is>
          <t>Fashion</t>
        </is>
      </c>
      <c r="G4494" s="2" t="inlineStr">
        <is>
          <t>East</t>
        </is>
      </c>
      <c r="H4494" s="2" t="inlineStr">
        <is>
          <t>Odisha</t>
        </is>
      </c>
      <c r="I4494" s="2" t="inlineStr">
        <is>
          <t>Bhubaneswar</t>
        </is>
      </c>
      <c r="J4494" s="2" t="inlineStr">
        <is>
          <t>Store</t>
        </is>
      </c>
      <c r="K4494" s="2" t="n">
        <v>1</v>
      </c>
      <c r="L4494" s="3" t="n">
        <v>1426.8</v>
      </c>
      <c r="M4494" s="4" t="n">
        <v>0.15</v>
      </c>
      <c r="N4494" s="3" t="n">
        <v>1048.4</v>
      </c>
      <c r="O4494" s="3">
        <f>K4494*L4494*(1-M4494)</f>
        <v/>
      </c>
      <c r="P4494" s="3">
        <f>O4494-N4494</f>
        <v/>
      </c>
      <c r="Q4494" s="5">
        <f>IFERROR(P4494/O4494,0)</f>
        <v/>
      </c>
      <c r="R4494" s="2">
        <f>TEXT(DATEVALUE(B4494),"mmm")</f>
        <v/>
      </c>
      <c r="S4494" s="2">
        <f>TEXT(DATEVALUE(B4494),"yyyy-mm")</f>
        <v/>
      </c>
    </row>
    <row r="4495">
      <c r="A4495" s="2" t="inlineStr">
        <is>
          <t>O002128</t>
        </is>
      </c>
      <c r="B4495" s="2" t="inlineStr">
        <is>
          <t>2025-11-24</t>
        </is>
      </c>
      <c r="C4495" s="2" t="inlineStr">
        <is>
          <t>C0766</t>
        </is>
      </c>
      <c r="D4495" s="2" t="inlineStr">
        <is>
          <t>P0022</t>
        </is>
      </c>
      <c r="E4495" s="2" t="inlineStr">
        <is>
          <t>Face Wash</t>
        </is>
      </c>
      <c r="F4495" s="2" t="inlineStr">
        <is>
          <t>Beauty</t>
        </is>
      </c>
      <c r="G4495" s="2" t="inlineStr">
        <is>
          <t>West</t>
        </is>
      </c>
      <c r="H4495" s="2" t="inlineStr">
        <is>
          <t>Maharashtra</t>
        </is>
      </c>
      <c r="I4495" s="2" t="inlineStr">
        <is>
          <t>Nagpur</t>
        </is>
      </c>
      <c r="J4495" s="2" t="inlineStr">
        <is>
          <t>Store</t>
        </is>
      </c>
      <c r="K4495" s="2" t="n">
        <v>1</v>
      </c>
      <c r="L4495" s="3" t="n">
        <v>559.7</v>
      </c>
      <c r="M4495" s="4" t="n">
        <v>0.05</v>
      </c>
      <c r="N4495" s="3" t="n">
        <v>347.57</v>
      </c>
      <c r="O4495" s="3">
        <f>K4495*L4495*(1-M4495)</f>
        <v/>
      </c>
      <c r="P4495" s="3">
        <f>O4495-N4495</f>
        <v/>
      </c>
      <c r="Q4495" s="5">
        <f>IFERROR(P4495/O4495,0)</f>
        <v/>
      </c>
      <c r="R4495" s="2">
        <f>TEXT(DATEVALUE(B4495),"mmm")</f>
        <v/>
      </c>
      <c r="S4495" s="2">
        <f>TEXT(DATEVALUE(B4495),"yyyy-mm")</f>
        <v/>
      </c>
    </row>
    <row r="4496">
      <c r="A4496" s="2" t="inlineStr">
        <is>
          <t>O002067</t>
        </is>
      </c>
      <c r="B4496" s="2" t="inlineStr">
        <is>
          <t>2025-11-24</t>
        </is>
      </c>
      <c r="C4496" s="2" t="inlineStr">
        <is>
          <t>C0691</t>
        </is>
      </c>
      <c r="D4496" s="2" t="inlineStr">
        <is>
          <t>P0014</t>
        </is>
      </c>
      <c r="E4496" s="2" t="inlineStr">
        <is>
          <t>Coffee Maker</t>
        </is>
      </c>
      <c r="F4496" s="2" t="inlineStr">
        <is>
          <t>Home &amp; Kitchen</t>
        </is>
      </c>
      <c r="G4496" s="2" t="inlineStr">
        <is>
          <t>East</t>
        </is>
      </c>
      <c r="H4496" s="2" t="inlineStr">
        <is>
          <t>Odisha</t>
        </is>
      </c>
      <c r="I4496" s="2" t="inlineStr">
        <is>
          <t>Bhubaneswar</t>
        </is>
      </c>
      <c r="J4496" s="2" t="inlineStr">
        <is>
          <t>Online</t>
        </is>
      </c>
      <c r="K4496" s="2" t="n">
        <v>1</v>
      </c>
      <c r="L4496" s="3" t="n">
        <v>1016.97</v>
      </c>
      <c r="M4496" s="4" t="n">
        <v>0.05</v>
      </c>
      <c r="N4496" s="3" t="n">
        <v>788.3099999999999</v>
      </c>
      <c r="O4496" s="3">
        <f>K4496*L4496*(1-M4496)</f>
        <v/>
      </c>
      <c r="P4496" s="3">
        <f>O4496-N4496</f>
        <v/>
      </c>
      <c r="Q4496" s="5">
        <f>IFERROR(P4496/O4496,0)</f>
        <v/>
      </c>
      <c r="R4496" s="2">
        <f>TEXT(DATEVALUE(B4496),"mmm")</f>
        <v/>
      </c>
      <c r="S4496" s="2">
        <f>TEXT(DATEVALUE(B4496),"yyyy-mm")</f>
        <v/>
      </c>
    </row>
    <row r="4497">
      <c r="A4497" s="2" t="inlineStr">
        <is>
          <t>O001852</t>
        </is>
      </c>
      <c r="B4497" s="2" t="inlineStr">
        <is>
          <t>2025-11-24</t>
        </is>
      </c>
      <c r="C4497" s="2" t="inlineStr">
        <is>
          <t>C0519</t>
        </is>
      </c>
      <c r="D4497" s="2" t="inlineStr">
        <is>
          <t>P0030</t>
        </is>
      </c>
      <c r="E4497" s="2" t="inlineStr">
        <is>
          <t>Dumbbells</t>
        </is>
      </c>
      <c r="F4497" s="2" t="inlineStr">
        <is>
          <t>Sports</t>
        </is>
      </c>
      <c r="G4497" s="2" t="inlineStr">
        <is>
          <t>South</t>
        </is>
      </c>
      <c r="H4497" s="2" t="inlineStr">
        <is>
          <t>Karnataka</t>
        </is>
      </c>
      <c r="I4497" s="2" t="inlineStr">
        <is>
          <t>Mangaluru</t>
        </is>
      </c>
      <c r="J4497" s="2" t="inlineStr">
        <is>
          <t>Online</t>
        </is>
      </c>
      <c r="K4497" s="2" t="n">
        <v>1</v>
      </c>
      <c r="L4497" s="3" t="n">
        <v>1512.65</v>
      </c>
      <c r="M4497" s="4" t="n">
        <v>0.05</v>
      </c>
      <c r="N4497" s="3" t="n">
        <v>1047.28</v>
      </c>
      <c r="O4497" s="3">
        <f>K4497*L4497*(1-M4497)</f>
        <v/>
      </c>
      <c r="P4497" s="3">
        <f>O4497-N4497</f>
        <v/>
      </c>
      <c r="Q4497" s="5">
        <f>IFERROR(P4497/O4497,0)</f>
        <v/>
      </c>
      <c r="R4497" s="2">
        <f>TEXT(DATEVALUE(B4497),"mmm")</f>
        <v/>
      </c>
      <c r="S4497" s="2">
        <f>TEXT(DATEVALUE(B4497),"yyyy-mm")</f>
        <v/>
      </c>
    </row>
    <row r="4498">
      <c r="A4498" s="2" t="inlineStr">
        <is>
          <t>O003537</t>
        </is>
      </c>
      <c r="B4498" s="2" t="inlineStr">
        <is>
          <t>2025-11-24</t>
        </is>
      </c>
      <c r="C4498" s="2" t="inlineStr">
        <is>
          <t>C0506</t>
        </is>
      </c>
      <c r="D4498" s="2" t="inlineStr">
        <is>
          <t>P0024</t>
        </is>
      </c>
      <c r="E4498" s="2" t="inlineStr">
        <is>
          <t>Hair Dryer</t>
        </is>
      </c>
      <c r="F4498" s="2" t="inlineStr">
        <is>
          <t>Beauty</t>
        </is>
      </c>
      <c r="G4498" s="2" t="inlineStr">
        <is>
          <t>North</t>
        </is>
      </c>
      <c r="H4498" s="2" t="inlineStr">
        <is>
          <t>Haryana</t>
        </is>
      </c>
      <c r="I4498" s="2" t="inlineStr">
        <is>
          <t>Faridabad</t>
        </is>
      </c>
      <c r="J4498" s="2" t="inlineStr">
        <is>
          <t>Online</t>
        </is>
      </c>
      <c r="K4498" s="2" t="n">
        <v>2</v>
      </c>
      <c r="L4498" s="3" t="n">
        <v>1032.69</v>
      </c>
      <c r="M4498" s="4" t="n">
        <v>0.05</v>
      </c>
      <c r="N4498" s="3" t="n">
        <v>1425.33</v>
      </c>
      <c r="O4498" s="3">
        <f>K4498*L4498*(1-M4498)</f>
        <v/>
      </c>
      <c r="P4498" s="3">
        <f>O4498-N4498</f>
        <v/>
      </c>
      <c r="Q4498" s="5">
        <f>IFERROR(P4498/O4498,0)</f>
        <v/>
      </c>
      <c r="R4498" s="2">
        <f>TEXT(DATEVALUE(B4498),"mmm")</f>
        <v/>
      </c>
      <c r="S4498" s="2">
        <f>TEXT(DATEVALUE(B4498),"yyyy-mm")</f>
        <v/>
      </c>
    </row>
    <row r="4499">
      <c r="A4499" s="2" t="inlineStr">
        <is>
          <t>O001466</t>
        </is>
      </c>
      <c r="B4499" s="2" t="inlineStr">
        <is>
          <t>2025-11-24</t>
        </is>
      </c>
      <c r="C4499" s="2" t="inlineStr">
        <is>
          <t>C0095</t>
        </is>
      </c>
      <c r="D4499" s="2" t="inlineStr">
        <is>
          <t>P0028</t>
        </is>
      </c>
      <c r="E4499" s="2" t="inlineStr">
        <is>
          <t>Trimmer</t>
        </is>
      </c>
      <c r="F4499" s="2" t="inlineStr">
        <is>
          <t>Beauty</t>
        </is>
      </c>
      <c r="G4499" s="2" t="inlineStr">
        <is>
          <t>West</t>
        </is>
      </c>
      <c r="H4499" s="2" t="inlineStr">
        <is>
          <t>Goa</t>
        </is>
      </c>
      <c r="I4499" s="2" t="inlineStr">
        <is>
          <t>Panaji</t>
        </is>
      </c>
      <c r="J4499" s="2" t="inlineStr">
        <is>
          <t>Online</t>
        </is>
      </c>
      <c r="K4499" s="2" t="n">
        <v>3</v>
      </c>
      <c r="L4499" s="3" t="n">
        <v>465.63</v>
      </c>
      <c r="M4499" s="4" t="n">
        <v>0</v>
      </c>
      <c r="N4499" s="3" t="n">
        <v>741.4299999999999</v>
      </c>
      <c r="O4499" s="3">
        <f>K4499*L4499*(1-M4499)</f>
        <v/>
      </c>
      <c r="P4499" s="3">
        <f>O4499-N4499</f>
        <v/>
      </c>
      <c r="Q4499" s="5">
        <f>IFERROR(P4499/O4499,0)</f>
        <v/>
      </c>
      <c r="R4499" s="2">
        <f>TEXT(DATEVALUE(B4499),"mmm")</f>
        <v/>
      </c>
      <c r="S4499" s="2">
        <f>TEXT(DATEVALUE(B4499),"yyyy-mm")</f>
        <v/>
      </c>
    </row>
    <row r="4500">
      <c r="A4500" s="2" t="inlineStr">
        <is>
          <t>O001257</t>
        </is>
      </c>
      <c r="B4500" s="2" t="inlineStr">
        <is>
          <t>2025-11-24</t>
        </is>
      </c>
      <c r="C4500" s="2" t="inlineStr">
        <is>
          <t>C0320</t>
        </is>
      </c>
      <c r="D4500" s="2" t="inlineStr">
        <is>
          <t>P0005</t>
        </is>
      </c>
      <c r="E4500" s="2" t="inlineStr">
        <is>
          <t>Power Bank</t>
        </is>
      </c>
      <c r="F4500" s="2" t="inlineStr">
        <is>
          <t>Electronics</t>
        </is>
      </c>
      <c r="G4500" s="2" t="inlineStr">
        <is>
          <t>West</t>
        </is>
      </c>
      <c r="H4500" s="2" t="inlineStr">
        <is>
          <t>Gujarat</t>
        </is>
      </c>
      <c r="I4500" s="2" t="inlineStr">
        <is>
          <t>Vadodara</t>
        </is>
      </c>
      <c r="J4500" s="2" t="inlineStr">
        <is>
          <t>Online</t>
        </is>
      </c>
      <c r="K4500" s="2" t="n">
        <v>1</v>
      </c>
      <c r="L4500" s="3" t="n">
        <v>1149.34</v>
      </c>
      <c r="M4500" s="4" t="n">
        <v>0.05</v>
      </c>
      <c r="N4500" s="3" t="n">
        <v>686.64</v>
      </c>
      <c r="O4500" s="3">
        <f>K4500*L4500*(1-M4500)</f>
        <v/>
      </c>
      <c r="P4500" s="3">
        <f>O4500-N4500</f>
        <v/>
      </c>
      <c r="Q4500" s="5">
        <f>IFERROR(P4500/O4500,0)</f>
        <v/>
      </c>
      <c r="R4500" s="2">
        <f>TEXT(DATEVALUE(B4500),"mmm")</f>
        <v/>
      </c>
      <c r="S4500" s="2">
        <f>TEXT(DATEVALUE(B4500),"yyyy-mm")</f>
        <v/>
      </c>
    </row>
    <row r="4501">
      <c r="A4501" s="2" t="inlineStr">
        <is>
          <t>O001147</t>
        </is>
      </c>
      <c r="B4501" s="2" t="inlineStr">
        <is>
          <t>2025-11-24</t>
        </is>
      </c>
      <c r="C4501" s="2" t="inlineStr">
        <is>
          <t>C0263</t>
        </is>
      </c>
      <c r="D4501" s="2" t="inlineStr">
        <is>
          <t>P0003</t>
        </is>
      </c>
      <c r="E4501" s="2" t="inlineStr">
        <is>
          <t>Smartwatch</t>
        </is>
      </c>
      <c r="F4501" s="2" t="inlineStr">
        <is>
          <t>Electronics</t>
        </is>
      </c>
      <c r="G4501" s="2" t="inlineStr">
        <is>
          <t>West</t>
        </is>
      </c>
      <c r="H4501" s="2" t="inlineStr">
        <is>
          <t>Maharashtra</t>
        </is>
      </c>
      <c r="I4501" s="2" t="inlineStr">
        <is>
          <t>Nagpur</t>
        </is>
      </c>
      <c r="J4501" s="2" t="inlineStr">
        <is>
          <t>Online</t>
        </is>
      </c>
      <c r="K4501" s="2" t="n">
        <v>5</v>
      </c>
      <c r="L4501" s="3" t="n">
        <v>2244.5</v>
      </c>
      <c r="M4501" s="4" t="n">
        <v>0.05</v>
      </c>
      <c r="N4501" s="3" t="n">
        <v>5874.44</v>
      </c>
      <c r="O4501" s="3">
        <f>K4501*L4501*(1-M4501)</f>
        <v/>
      </c>
      <c r="P4501" s="3">
        <f>O4501-N4501</f>
        <v/>
      </c>
      <c r="Q4501" s="5">
        <f>IFERROR(P4501/O4501,0)</f>
        <v/>
      </c>
      <c r="R4501" s="2">
        <f>TEXT(DATEVALUE(B4501),"mmm")</f>
        <v/>
      </c>
      <c r="S4501" s="2">
        <f>TEXT(DATEVALUE(B4501),"yyyy-mm")</f>
        <v/>
      </c>
    </row>
    <row r="4502">
      <c r="A4502" s="2" t="inlineStr">
        <is>
          <t>O001055</t>
        </is>
      </c>
      <c r="B4502" s="2" t="inlineStr">
        <is>
          <t>2025-11-24</t>
        </is>
      </c>
      <c r="C4502" s="2" t="inlineStr">
        <is>
          <t>C0430</t>
        </is>
      </c>
      <c r="D4502" s="2" t="inlineStr">
        <is>
          <t>P0008</t>
        </is>
      </c>
      <c r="E4502" s="2" t="inlineStr">
        <is>
          <t>Air Fryer</t>
        </is>
      </c>
      <c r="F4502" s="2" t="inlineStr">
        <is>
          <t>Home &amp; Kitchen</t>
        </is>
      </c>
      <c r="G4502" s="2" t="inlineStr">
        <is>
          <t>South</t>
        </is>
      </c>
      <c r="H4502" s="2" t="inlineStr">
        <is>
          <t>Tamil Nadu</t>
        </is>
      </c>
      <c r="I4502" s="2" t="inlineStr">
        <is>
          <t>Chennai</t>
        </is>
      </c>
      <c r="J4502" s="2" t="inlineStr">
        <is>
          <t>Store</t>
        </is>
      </c>
      <c r="K4502" s="2" t="n">
        <v>1</v>
      </c>
      <c r="L4502" s="3" t="n">
        <v>1074.49</v>
      </c>
      <c r="M4502" s="4" t="n">
        <v>0.05</v>
      </c>
      <c r="N4502" s="3" t="n">
        <v>687.63</v>
      </c>
      <c r="O4502" s="3">
        <f>K4502*L4502*(1-M4502)</f>
        <v/>
      </c>
      <c r="P4502" s="3">
        <f>O4502-N4502</f>
        <v/>
      </c>
      <c r="Q4502" s="5">
        <f>IFERROR(P4502/O4502,0)</f>
        <v/>
      </c>
      <c r="R4502" s="2">
        <f>TEXT(DATEVALUE(B4502),"mmm")</f>
        <v/>
      </c>
      <c r="S4502" s="2">
        <f>TEXT(DATEVALUE(B4502),"yyyy-mm")</f>
        <v/>
      </c>
    </row>
    <row r="4503">
      <c r="A4503" s="2" t="inlineStr">
        <is>
          <t>O001035</t>
        </is>
      </c>
      <c r="B4503" s="2" t="inlineStr">
        <is>
          <t>2025-11-24</t>
        </is>
      </c>
      <c r="C4503" s="2" t="inlineStr">
        <is>
          <t>C0001</t>
        </is>
      </c>
      <c r="D4503" s="2" t="inlineStr">
        <is>
          <t>P0009</t>
        </is>
      </c>
      <c r="E4503" s="2" t="inlineStr">
        <is>
          <t>Electric Kettle</t>
        </is>
      </c>
      <c r="F4503" s="2" t="inlineStr">
        <is>
          <t>Home &amp; Kitchen</t>
        </is>
      </c>
      <c r="G4503" s="2" t="inlineStr">
        <is>
          <t>North</t>
        </is>
      </c>
      <c r="H4503" s="2" t="inlineStr">
        <is>
          <t>Delhi</t>
        </is>
      </c>
      <c r="I4503" s="2" t="inlineStr">
        <is>
          <t>New Delhi</t>
        </is>
      </c>
      <c r="J4503" s="2" t="inlineStr">
        <is>
          <t>Online</t>
        </is>
      </c>
      <c r="K4503" s="2" t="n">
        <v>1</v>
      </c>
      <c r="L4503" s="3" t="n">
        <v>2030.76</v>
      </c>
      <c r="M4503" s="4" t="n">
        <v>0.05</v>
      </c>
      <c r="N4503" s="3" t="n">
        <v>1115.47</v>
      </c>
      <c r="O4503" s="3">
        <f>K4503*L4503*(1-M4503)</f>
        <v/>
      </c>
      <c r="P4503" s="3">
        <f>O4503-N4503</f>
        <v/>
      </c>
      <c r="Q4503" s="5">
        <f>IFERROR(P4503/O4503,0)</f>
        <v/>
      </c>
      <c r="R4503" s="2">
        <f>TEXT(DATEVALUE(B4503),"mmm")</f>
        <v/>
      </c>
      <c r="S4503" s="2">
        <f>TEXT(DATEVALUE(B4503),"yyyy-mm")</f>
        <v/>
      </c>
    </row>
    <row r="4504">
      <c r="A4504" s="2" t="inlineStr">
        <is>
          <t>O000113</t>
        </is>
      </c>
      <c r="B4504" s="2" t="inlineStr">
        <is>
          <t>2025-11-24</t>
        </is>
      </c>
      <c r="C4504" s="2" t="inlineStr">
        <is>
          <t>C0519</t>
        </is>
      </c>
      <c r="D4504" s="2" t="inlineStr">
        <is>
          <t>P0014</t>
        </is>
      </c>
      <c r="E4504" s="2" t="inlineStr">
        <is>
          <t>Coffee Maker</t>
        </is>
      </c>
      <c r="F4504" s="2" t="inlineStr">
        <is>
          <t>Home &amp; Kitchen</t>
        </is>
      </c>
      <c r="G4504" s="2" t="inlineStr">
        <is>
          <t>West</t>
        </is>
      </c>
      <c r="H4504" s="2" t="inlineStr">
        <is>
          <t>Maharashtra</t>
        </is>
      </c>
      <c r="I4504" s="2" t="inlineStr">
        <is>
          <t>Nashik</t>
        </is>
      </c>
      <c r="J4504" s="2" t="inlineStr">
        <is>
          <t>Store</t>
        </is>
      </c>
      <c r="K4504" s="2" t="n">
        <v>2</v>
      </c>
      <c r="L4504" s="3" t="n">
        <v>1062.86</v>
      </c>
      <c r="M4504" s="4" t="n">
        <v>0.15</v>
      </c>
      <c r="N4504" s="3" t="n">
        <v>1475.59</v>
      </c>
      <c r="O4504" s="3">
        <f>K4504*L4504*(1-M4504)</f>
        <v/>
      </c>
      <c r="P4504" s="3">
        <f>O4504-N4504</f>
        <v/>
      </c>
      <c r="Q4504" s="5">
        <f>IFERROR(P4504/O4504,0)</f>
        <v/>
      </c>
      <c r="R4504" s="2">
        <f>TEXT(DATEVALUE(B4504),"mmm")</f>
        <v/>
      </c>
      <c r="S4504" s="2">
        <f>TEXT(DATEVALUE(B4504),"yyyy-mm")</f>
        <v/>
      </c>
    </row>
    <row r="4505">
      <c r="A4505" s="2" t="inlineStr">
        <is>
          <t>O001605</t>
        </is>
      </c>
      <c r="B4505" s="2" t="inlineStr">
        <is>
          <t>2025-11-24</t>
        </is>
      </c>
      <c r="C4505" s="2" t="inlineStr">
        <is>
          <t>C0170</t>
        </is>
      </c>
      <c r="D4505" s="2" t="inlineStr">
        <is>
          <t>P0012</t>
        </is>
      </c>
      <c r="E4505" s="2" t="inlineStr">
        <is>
          <t>Water Bottle</t>
        </is>
      </c>
      <c r="F4505" s="2" t="inlineStr">
        <is>
          <t>Home &amp; Kitchen</t>
        </is>
      </c>
      <c r="G4505" s="2" t="inlineStr">
        <is>
          <t>South</t>
        </is>
      </c>
      <c r="H4505" s="2" t="inlineStr">
        <is>
          <t>Tamil Nadu</t>
        </is>
      </c>
      <c r="I4505" s="2" t="inlineStr">
        <is>
          <t>Madurai</t>
        </is>
      </c>
      <c r="J4505" s="2" t="inlineStr">
        <is>
          <t>Store</t>
        </is>
      </c>
      <c r="K4505" s="2" t="n">
        <v>1</v>
      </c>
      <c r="L4505" s="3" t="n">
        <v>989.58</v>
      </c>
      <c r="M4505" s="4" t="n">
        <v>0.05</v>
      </c>
      <c r="N4505" s="3" t="n">
        <v>641.72</v>
      </c>
      <c r="O4505" s="3">
        <f>K4505*L4505*(1-M4505)</f>
        <v/>
      </c>
      <c r="P4505" s="3">
        <f>O4505-N4505</f>
        <v/>
      </c>
      <c r="Q4505" s="5">
        <f>IFERROR(P4505/O4505,0)</f>
        <v/>
      </c>
      <c r="R4505" s="2">
        <f>TEXT(DATEVALUE(B4505),"mmm")</f>
        <v/>
      </c>
      <c r="S4505" s="2">
        <f>TEXT(DATEVALUE(B4505),"yyyy-mm")</f>
        <v/>
      </c>
    </row>
    <row r="4506">
      <c r="A4506" s="2" t="inlineStr">
        <is>
          <t>O003756</t>
        </is>
      </c>
      <c r="B4506" s="2" t="inlineStr">
        <is>
          <t>2025-11-25</t>
        </is>
      </c>
      <c r="C4506" s="2" t="inlineStr">
        <is>
          <t>C0004</t>
        </is>
      </c>
      <c r="D4506" s="2" t="inlineStr">
        <is>
          <t>P0022</t>
        </is>
      </c>
      <c r="E4506" s="2" t="inlineStr">
        <is>
          <t>Face Wash</t>
        </is>
      </c>
      <c r="F4506" s="2" t="inlineStr">
        <is>
          <t>Beauty</t>
        </is>
      </c>
      <c r="G4506" s="2" t="inlineStr">
        <is>
          <t>North</t>
        </is>
      </c>
      <c r="H4506" s="2" t="inlineStr">
        <is>
          <t>Punjab</t>
        </is>
      </c>
      <c r="I4506" s="2" t="inlineStr">
        <is>
          <t>Amritsar</t>
        </is>
      </c>
      <c r="J4506" s="2" t="inlineStr">
        <is>
          <t>Store</t>
        </is>
      </c>
      <c r="K4506" s="2" t="n">
        <v>2</v>
      </c>
      <c r="L4506" s="3" t="n">
        <v>564.96</v>
      </c>
      <c r="M4506" s="4" t="n">
        <v>0.25</v>
      </c>
      <c r="N4506" s="3" t="n">
        <v>719.9299999999999</v>
      </c>
      <c r="O4506" s="3">
        <f>K4506*L4506*(1-M4506)</f>
        <v/>
      </c>
      <c r="P4506" s="3">
        <f>O4506-N4506</f>
        <v/>
      </c>
      <c r="Q4506" s="5">
        <f>IFERROR(P4506/O4506,0)</f>
        <v/>
      </c>
      <c r="R4506" s="2">
        <f>TEXT(DATEVALUE(B4506),"mmm")</f>
        <v/>
      </c>
      <c r="S4506" s="2">
        <f>TEXT(DATEVALUE(B4506),"yyyy-mm")</f>
        <v/>
      </c>
    </row>
    <row r="4507">
      <c r="A4507" s="2" t="inlineStr">
        <is>
          <t>O003530</t>
        </is>
      </c>
      <c r="B4507" s="2" t="inlineStr">
        <is>
          <t>2025-11-25</t>
        </is>
      </c>
      <c r="C4507" s="2" t="inlineStr">
        <is>
          <t>C0639</t>
        </is>
      </c>
      <c r="D4507" s="2" t="inlineStr">
        <is>
          <t>P0015</t>
        </is>
      </c>
      <c r="E4507" s="2" t="inlineStr">
        <is>
          <t>Running Shoes</t>
        </is>
      </c>
      <c r="F4507" s="2" t="inlineStr">
        <is>
          <t>Fashion</t>
        </is>
      </c>
      <c r="G4507" s="2" t="inlineStr">
        <is>
          <t>South</t>
        </is>
      </c>
      <c r="H4507" s="2" t="inlineStr">
        <is>
          <t>Karnataka</t>
        </is>
      </c>
      <c r="I4507" s="2" t="inlineStr">
        <is>
          <t>Mangaluru</t>
        </is>
      </c>
      <c r="J4507" s="2" t="inlineStr">
        <is>
          <t>Store</t>
        </is>
      </c>
      <c r="K4507" s="2" t="n">
        <v>2</v>
      </c>
      <c r="L4507" s="3" t="n">
        <v>595.4400000000001</v>
      </c>
      <c r="M4507" s="4" t="n">
        <v>0.25</v>
      </c>
      <c r="N4507" s="3" t="n">
        <v>764.26</v>
      </c>
      <c r="O4507" s="3">
        <f>K4507*L4507*(1-M4507)</f>
        <v/>
      </c>
      <c r="P4507" s="3">
        <f>O4507-N4507</f>
        <v/>
      </c>
      <c r="Q4507" s="5">
        <f>IFERROR(P4507/O4507,0)</f>
        <v/>
      </c>
      <c r="R4507" s="2">
        <f>TEXT(DATEVALUE(B4507),"mmm")</f>
        <v/>
      </c>
      <c r="S4507" s="2">
        <f>TEXT(DATEVALUE(B4507),"yyyy-mm")</f>
        <v/>
      </c>
    </row>
    <row r="4508">
      <c r="A4508" s="2" t="inlineStr">
        <is>
          <t>O002851</t>
        </is>
      </c>
      <c r="B4508" s="2" t="inlineStr">
        <is>
          <t>2025-11-25</t>
        </is>
      </c>
      <c r="C4508" s="2" t="inlineStr">
        <is>
          <t>C0523</t>
        </is>
      </c>
      <c r="D4508" s="2" t="inlineStr">
        <is>
          <t>P0012</t>
        </is>
      </c>
      <c r="E4508" s="2" t="inlineStr">
        <is>
          <t>Water Bottle</t>
        </is>
      </c>
      <c r="F4508" s="2" t="inlineStr">
        <is>
          <t>Home &amp; Kitchen</t>
        </is>
      </c>
      <c r="G4508" s="2" t="inlineStr">
        <is>
          <t>West</t>
        </is>
      </c>
      <c r="H4508" s="2" t="inlineStr">
        <is>
          <t>Goa</t>
        </is>
      </c>
      <c r="I4508" s="2" t="inlineStr">
        <is>
          <t>Margao</t>
        </is>
      </c>
      <c r="J4508" s="2" t="inlineStr">
        <is>
          <t>Store</t>
        </is>
      </c>
      <c r="K4508" s="2" t="n">
        <v>1</v>
      </c>
      <c r="L4508" s="3" t="n">
        <v>941.0700000000001</v>
      </c>
      <c r="M4508" s="4" t="n">
        <v>0.05</v>
      </c>
      <c r="N4508" s="3" t="n">
        <v>606.12</v>
      </c>
      <c r="O4508" s="3">
        <f>K4508*L4508*(1-M4508)</f>
        <v/>
      </c>
      <c r="P4508" s="3">
        <f>O4508-N4508</f>
        <v/>
      </c>
      <c r="Q4508" s="5">
        <f>IFERROR(P4508/O4508,0)</f>
        <v/>
      </c>
      <c r="R4508" s="2">
        <f>TEXT(DATEVALUE(B4508),"mmm")</f>
        <v/>
      </c>
      <c r="S4508" s="2">
        <f>TEXT(DATEVALUE(B4508),"yyyy-mm")</f>
        <v/>
      </c>
    </row>
    <row r="4509">
      <c r="A4509" s="2" t="inlineStr">
        <is>
          <t>O002577</t>
        </is>
      </c>
      <c r="B4509" s="2" t="inlineStr">
        <is>
          <t>2025-11-25</t>
        </is>
      </c>
      <c r="C4509" s="2" t="inlineStr">
        <is>
          <t>C0015</t>
        </is>
      </c>
      <c r="D4509" s="2" t="inlineStr">
        <is>
          <t>P0007</t>
        </is>
      </c>
      <c r="E4509" s="2" t="inlineStr">
        <is>
          <t>Wireless Mouse</t>
        </is>
      </c>
      <c r="F4509" s="2" t="inlineStr">
        <is>
          <t>Electronics</t>
        </is>
      </c>
      <c r="G4509" s="2" t="inlineStr">
        <is>
          <t>South</t>
        </is>
      </c>
      <c r="H4509" s="2" t="inlineStr">
        <is>
          <t>Kerala</t>
        </is>
      </c>
      <c r="I4509" s="2" t="inlineStr">
        <is>
          <t>Thiruvananthapuram</t>
        </is>
      </c>
      <c r="J4509" s="2" t="inlineStr">
        <is>
          <t>Store</t>
        </is>
      </c>
      <c r="K4509" s="2" t="n">
        <v>3</v>
      </c>
      <c r="L4509" s="3" t="n">
        <v>946.76</v>
      </c>
      <c r="M4509" s="4" t="n">
        <v>0</v>
      </c>
      <c r="N4509" s="3" t="n">
        <v>1890.46</v>
      </c>
      <c r="O4509" s="3">
        <f>K4509*L4509*(1-M4509)</f>
        <v/>
      </c>
      <c r="P4509" s="3">
        <f>O4509-N4509</f>
        <v/>
      </c>
      <c r="Q4509" s="5">
        <f>IFERROR(P4509/O4509,0)</f>
        <v/>
      </c>
      <c r="R4509" s="2">
        <f>TEXT(DATEVALUE(B4509),"mmm")</f>
        <v/>
      </c>
      <c r="S4509" s="2">
        <f>TEXT(DATEVALUE(B4509),"yyyy-mm")</f>
        <v/>
      </c>
    </row>
    <row r="4510">
      <c r="A4510" s="2" t="inlineStr">
        <is>
          <t>O002443</t>
        </is>
      </c>
      <c r="B4510" s="2" t="inlineStr">
        <is>
          <t>2025-11-25</t>
        </is>
      </c>
      <c r="C4510" s="2" t="inlineStr">
        <is>
          <t>C0161</t>
        </is>
      </c>
      <c r="D4510" s="2" t="inlineStr">
        <is>
          <t>P0022</t>
        </is>
      </c>
      <c r="E4510" s="2" t="inlineStr">
        <is>
          <t>Face Wash</t>
        </is>
      </c>
      <c r="F4510" s="2" t="inlineStr">
        <is>
          <t>Beauty</t>
        </is>
      </c>
      <c r="G4510" s="2" t="inlineStr">
        <is>
          <t>North</t>
        </is>
      </c>
      <c r="H4510" s="2" t="inlineStr">
        <is>
          <t>Haryana</t>
        </is>
      </c>
      <c r="I4510" s="2" t="inlineStr">
        <is>
          <t>Gurugram</t>
        </is>
      </c>
      <c r="J4510" s="2" t="inlineStr">
        <is>
          <t>Online</t>
        </is>
      </c>
      <c r="K4510" s="2" t="n">
        <v>5</v>
      </c>
      <c r="L4510" s="3" t="n">
        <v>571.62</v>
      </c>
      <c r="M4510" s="4" t="n">
        <v>0.05</v>
      </c>
      <c r="N4510" s="3" t="n">
        <v>1708.03</v>
      </c>
      <c r="O4510" s="3">
        <f>K4510*L4510*(1-M4510)</f>
        <v/>
      </c>
      <c r="P4510" s="3">
        <f>O4510-N4510</f>
        <v/>
      </c>
      <c r="Q4510" s="5">
        <f>IFERROR(P4510/O4510,0)</f>
        <v/>
      </c>
      <c r="R4510" s="2">
        <f>TEXT(DATEVALUE(B4510),"mmm")</f>
        <v/>
      </c>
      <c r="S4510" s="2">
        <f>TEXT(DATEVALUE(B4510),"yyyy-mm")</f>
        <v/>
      </c>
    </row>
    <row r="4511">
      <c r="A4511" s="2" t="inlineStr">
        <is>
          <t>O001015</t>
        </is>
      </c>
      <c r="B4511" s="2" t="inlineStr">
        <is>
          <t>2025-11-25</t>
        </is>
      </c>
      <c r="C4511" s="2" t="inlineStr">
        <is>
          <t>C0254</t>
        </is>
      </c>
      <c r="D4511" s="2" t="inlineStr">
        <is>
          <t>P0016</t>
        </is>
      </c>
      <c r="E4511" s="2" t="inlineStr">
        <is>
          <t>Casual Shirt</t>
        </is>
      </c>
      <c r="F4511" s="2" t="inlineStr">
        <is>
          <t>Fashion</t>
        </is>
      </c>
      <c r="G4511" s="2" t="inlineStr">
        <is>
          <t>North</t>
        </is>
      </c>
      <c r="H4511" s="2" t="inlineStr">
        <is>
          <t>Uttar Pradesh</t>
        </is>
      </c>
      <c r="I4511" s="2" t="inlineStr">
        <is>
          <t>Noida</t>
        </is>
      </c>
      <c r="J4511" s="2" t="inlineStr">
        <is>
          <t>Store</t>
        </is>
      </c>
      <c r="K4511" s="2" t="n">
        <v>3</v>
      </c>
      <c r="L4511" s="3" t="n">
        <v>1277.43</v>
      </c>
      <c r="M4511" s="4" t="n">
        <v>0.05</v>
      </c>
      <c r="N4511" s="3" t="n">
        <v>2652.32</v>
      </c>
      <c r="O4511" s="3">
        <f>K4511*L4511*(1-M4511)</f>
        <v/>
      </c>
      <c r="P4511" s="3">
        <f>O4511-N4511</f>
        <v/>
      </c>
      <c r="Q4511" s="5">
        <f>IFERROR(P4511/O4511,0)</f>
        <v/>
      </c>
      <c r="R4511" s="2">
        <f>TEXT(DATEVALUE(B4511),"mmm")</f>
        <v/>
      </c>
      <c r="S4511" s="2">
        <f>TEXT(DATEVALUE(B4511),"yyyy-mm")</f>
        <v/>
      </c>
    </row>
    <row r="4512">
      <c r="A4512" s="2" t="inlineStr">
        <is>
          <t>O000046</t>
        </is>
      </c>
      <c r="B4512" s="2" t="inlineStr">
        <is>
          <t>2025-11-25</t>
        </is>
      </c>
      <c r="C4512" s="2" t="inlineStr">
        <is>
          <t>C0694</t>
        </is>
      </c>
      <c r="D4512" s="2" t="inlineStr">
        <is>
          <t>P0016</t>
        </is>
      </c>
      <c r="E4512" s="2" t="inlineStr">
        <is>
          <t>Casual Shirt</t>
        </is>
      </c>
      <c r="F4512" s="2" t="inlineStr">
        <is>
          <t>Fashion</t>
        </is>
      </c>
      <c r="G4512" s="2" t="inlineStr">
        <is>
          <t>South</t>
        </is>
      </c>
      <c r="H4512" s="2" t="inlineStr">
        <is>
          <t>Kerala</t>
        </is>
      </c>
      <c r="I4512" s="2" t="inlineStr">
        <is>
          <t>Kochi</t>
        </is>
      </c>
      <c r="J4512" s="2" t="inlineStr">
        <is>
          <t>Store</t>
        </is>
      </c>
      <c r="K4512" s="2" t="n">
        <v>3</v>
      </c>
      <c r="L4512" s="3" t="n">
        <v>1308.36</v>
      </c>
      <c r="M4512" s="4" t="n">
        <v>0</v>
      </c>
      <c r="N4512" s="3" t="n">
        <v>2801.73</v>
      </c>
      <c r="O4512" s="3">
        <f>K4512*L4512*(1-M4512)</f>
        <v/>
      </c>
      <c r="P4512" s="3">
        <f>O4512-N4512</f>
        <v/>
      </c>
      <c r="Q4512" s="5">
        <f>IFERROR(P4512/O4512,0)</f>
        <v/>
      </c>
      <c r="R4512" s="2">
        <f>TEXT(DATEVALUE(B4512),"mmm")</f>
        <v/>
      </c>
      <c r="S4512" s="2">
        <f>TEXT(DATEVALUE(B4512),"yyyy-mm")</f>
        <v/>
      </c>
    </row>
    <row r="4513">
      <c r="A4513" s="2" t="inlineStr">
        <is>
          <t>O001584</t>
        </is>
      </c>
      <c r="B4513" s="2" t="inlineStr">
        <is>
          <t>2025-11-25</t>
        </is>
      </c>
      <c r="C4513" s="2" t="inlineStr">
        <is>
          <t>C0499</t>
        </is>
      </c>
      <c r="D4513" s="2" t="inlineStr">
        <is>
          <t>P0019</t>
        </is>
      </c>
      <c r="E4513" s="2" t="inlineStr">
        <is>
          <t>Jacket</t>
        </is>
      </c>
      <c r="F4513" s="2" t="inlineStr">
        <is>
          <t>Fashion</t>
        </is>
      </c>
      <c r="G4513" s="2" t="inlineStr">
        <is>
          <t>West</t>
        </is>
      </c>
      <c r="H4513" s="2" t="inlineStr">
        <is>
          <t>Goa</t>
        </is>
      </c>
      <c r="I4513" s="2" t="inlineStr">
        <is>
          <t>Panaji</t>
        </is>
      </c>
      <c r="J4513" s="2" t="inlineStr">
        <is>
          <t>Store</t>
        </is>
      </c>
      <c r="K4513" s="2" t="n">
        <v>4</v>
      </c>
      <c r="L4513" s="3" t="n">
        <v>1066.12</v>
      </c>
      <c r="M4513" s="4" t="n">
        <v>0.1</v>
      </c>
      <c r="N4513" s="3" t="n">
        <v>2655.22</v>
      </c>
      <c r="O4513" s="3">
        <f>K4513*L4513*(1-M4513)</f>
        <v/>
      </c>
      <c r="P4513" s="3">
        <f>O4513-N4513</f>
        <v/>
      </c>
      <c r="Q4513" s="5">
        <f>IFERROR(P4513/O4513,0)</f>
        <v/>
      </c>
      <c r="R4513" s="2">
        <f>TEXT(DATEVALUE(B4513),"mmm")</f>
        <v/>
      </c>
      <c r="S4513" s="2">
        <f>TEXT(DATEVALUE(B4513),"yyyy-mm")</f>
        <v/>
      </c>
    </row>
    <row r="4514">
      <c r="A4514" s="2" t="inlineStr">
        <is>
          <t>O001554</t>
        </is>
      </c>
      <c r="B4514" s="2" t="inlineStr">
        <is>
          <t>2025-11-26</t>
        </is>
      </c>
      <c r="C4514" s="2" t="inlineStr">
        <is>
          <t>C0250</t>
        </is>
      </c>
      <c r="D4514" s="2" t="inlineStr">
        <is>
          <t>P0010</t>
        </is>
      </c>
      <c r="E4514" s="2" t="inlineStr">
        <is>
          <t>Mixer Grinder</t>
        </is>
      </c>
      <c r="F4514" s="2" t="inlineStr">
        <is>
          <t>Home &amp; Kitchen</t>
        </is>
      </c>
      <c r="G4514" s="2" t="inlineStr">
        <is>
          <t>West</t>
        </is>
      </c>
      <c r="H4514" s="2" t="inlineStr">
        <is>
          <t>Maharashtra</t>
        </is>
      </c>
      <c r="I4514" s="2" t="inlineStr">
        <is>
          <t>Nagpur</t>
        </is>
      </c>
      <c r="J4514" s="2" t="inlineStr">
        <is>
          <t>Store</t>
        </is>
      </c>
      <c r="K4514" s="2" t="n">
        <v>3</v>
      </c>
      <c r="L4514" s="3" t="n">
        <v>1571.63</v>
      </c>
      <c r="M4514" s="4" t="n">
        <v>0.25</v>
      </c>
      <c r="N4514" s="3" t="n">
        <v>3154.74</v>
      </c>
      <c r="O4514" s="3">
        <f>K4514*L4514*(1-M4514)</f>
        <v/>
      </c>
      <c r="P4514" s="3">
        <f>O4514-N4514</f>
        <v/>
      </c>
      <c r="Q4514" s="5">
        <f>IFERROR(P4514/O4514,0)</f>
        <v/>
      </c>
      <c r="R4514" s="2">
        <f>TEXT(DATEVALUE(B4514),"mmm")</f>
        <v/>
      </c>
      <c r="S4514" s="2">
        <f>TEXT(DATEVALUE(B4514),"yyyy-mm")</f>
        <v/>
      </c>
    </row>
    <row r="4515">
      <c r="A4515" s="2" t="inlineStr">
        <is>
          <t>O004388</t>
        </is>
      </c>
      <c r="B4515" s="2" t="inlineStr">
        <is>
          <t>2025-11-26</t>
        </is>
      </c>
      <c r="C4515" s="2" t="inlineStr">
        <is>
          <t>C0176</t>
        </is>
      </c>
      <c r="D4515" s="2" t="inlineStr">
        <is>
          <t>P0004</t>
        </is>
      </c>
      <c r="E4515" s="2" t="inlineStr">
        <is>
          <t>USB-C Hub</t>
        </is>
      </c>
      <c r="F4515" s="2" t="inlineStr">
        <is>
          <t>Electronics</t>
        </is>
      </c>
      <c r="G4515" s="2" t="inlineStr">
        <is>
          <t>West</t>
        </is>
      </c>
      <c r="H4515" s="2" t="inlineStr">
        <is>
          <t>Maharashtra</t>
        </is>
      </c>
      <c r="I4515" s="2" t="inlineStr">
        <is>
          <t>Nagpur</t>
        </is>
      </c>
      <c r="J4515" s="2" t="inlineStr">
        <is>
          <t>Store</t>
        </is>
      </c>
      <c r="K4515" s="2" t="n">
        <v>1</v>
      </c>
      <c r="L4515" s="3" t="n">
        <v>1322.83</v>
      </c>
      <c r="M4515" s="4" t="n">
        <v>0.2</v>
      </c>
      <c r="N4515" s="3" t="n">
        <v>897.12</v>
      </c>
      <c r="O4515" s="3">
        <f>K4515*L4515*(1-M4515)</f>
        <v/>
      </c>
      <c r="P4515" s="3">
        <f>O4515-N4515</f>
        <v/>
      </c>
      <c r="Q4515" s="5">
        <f>IFERROR(P4515/O4515,0)</f>
        <v/>
      </c>
      <c r="R4515" s="2">
        <f>TEXT(DATEVALUE(B4515),"mmm")</f>
        <v/>
      </c>
      <c r="S4515" s="2">
        <f>TEXT(DATEVALUE(B4515),"yyyy-mm")</f>
        <v/>
      </c>
    </row>
    <row r="4516">
      <c r="A4516" s="2" t="inlineStr">
        <is>
          <t>O002916</t>
        </is>
      </c>
      <c r="B4516" s="2" t="inlineStr">
        <is>
          <t>2025-11-26</t>
        </is>
      </c>
      <c r="C4516" s="2" t="inlineStr">
        <is>
          <t>C0575</t>
        </is>
      </c>
      <c r="D4516" s="2" t="inlineStr">
        <is>
          <t>P0011</t>
        </is>
      </c>
      <c r="E4516" s="2" t="inlineStr">
        <is>
          <t>Cookware Set</t>
        </is>
      </c>
      <c r="F4516" s="2" t="inlineStr">
        <is>
          <t>Home &amp; Kitchen</t>
        </is>
      </c>
      <c r="G4516" s="2" t="inlineStr">
        <is>
          <t>West</t>
        </is>
      </c>
      <c r="H4516" s="2" t="inlineStr">
        <is>
          <t>Goa</t>
        </is>
      </c>
      <c r="I4516" s="2" t="inlineStr">
        <is>
          <t>Panaji</t>
        </is>
      </c>
      <c r="J4516" s="2" t="inlineStr">
        <is>
          <t>Store</t>
        </is>
      </c>
      <c r="K4516" s="2" t="n">
        <v>1</v>
      </c>
      <c r="L4516" s="3" t="n">
        <v>690.67</v>
      </c>
      <c r="M4516" s="4" t="n">
        <v>0.1</v>
      </c>
      <c r="N4516" s="3" t="n">
        <v>477.76</v>
      </c>
      <c r="O4516" s="3">
        <f>K4516*L4516*(1-M4516)</f>
        <v/>
      </c>
      <c r="P4516" s="3">
        <f>O4516-N4516</f>
        <v/>
      </c>
      <c r="Q4516" s="5">
        <f>IFERROR(P4516/O4516,0)</f>
        <v/>
      </c>
      <c r="R4516" s="2">
        <f>TEXT(DATEVALUE(B4516),"mmm")</f>
        <v/>
      </c>
      <c r="S4516" s="2">
        <f>TEXT(DATEVALUE(B4516),"yyyy-mm")</f>
        <v/>
      </c>
    </row>
    <row r="4517">
      <c r="A4517" s="2" t="inlineStr">
        <is>
          <t>O004595</t>
        </is>
      </c>
      <c r="B4517" s="2" t="inlineStr">
        <is>
          <t>2025-11-26</t>
        </is>
      </c>
      <c r="C4517" s="2" t="inlineStr">
        <is>
          <t>C0348</t>
        </is>
      </c>
      <c r="D4517" s="2" t="inlineStr">
        <is>
          <t>P0022</t>
        </is>
      </c>
      <c r="E4517" s="2" t="inlineStr">
        <is>
          <t>Face Wash</t>
        </is>
      </c>
      <c r="F4517" s="2" t="inlineStr">
        <is>
          <t>Beauty</t>
        </is>
      </c>
      <c r="G4517" s="2" t="inlineStr">
        <is>
          <t>West</t>
        </is>
      </c>
      <c r="H4517" s="2" t="inlineStr">
        <is>
          <t>Maharashtra</t>
        </is>
      </c>
      <c r="I4517" s="2" t="inlineStr">
        <is>
          <t>Nashik</t>
        </is>
      </c>
      <c r="J4517" s="2" t="inlineStr">
        <is>
          <t>Online</t>
        </is>
      </c>
      <c r="K4517" s="2" t="n">
        <v>2</v>
      </c>
      <c r="L4517" s="3" t="n">
        <v>536.02</v>
      </c>
      <c r="M4517" s="4" t="n">
        <v>0</v>
      </c>
      <c r="N4517" s="3" t="n">
        <v>687.87</v>
      </c>
      <c r="O4517" s="3">
        <f>K4517*L4517*(1-M4517)</f>
        <v/>
      </c>
      <c r="P4517" s="3">
        <f>O4517-N4517</f>
        <v/>
      </c>
      <c r="Q4517" s="5">
        <f>IFERROR(P4517/O4517,0)</f>
        <v/>
      </c>
      <c r="R4517" s="2">
        <f>TEXT(DATEVALUE(B4517),"mmm")</f>
        <v/>
      </c>
      <c r="S4517" s="2">
        <f>TEXT(DATEVALUE(B4517),"yyyy-mm")</f>
        <v/>
      </c>
    </row>
    <row r="4518">
      <c r="A4518" s="2" t="inlineStr">
        <is>
          <t>O002123</t>
        </is>
      </c>
      <c r="B4518" s="2" t="inlineStr">
        <is>
          <t>2025-11-26</t>
        </is>
      </c>
      <c r="C4518" s="2" t="inlineStr">
        <is>
          <t>C0684</t>
        </is>
      </c>
      <c r="D4518" s="2" t="inlineStr">
        <is>
          <t>P0009</t>
        </is>
      </c>
      <c r="E4518" s="2" t="inlineStr">
        <is>
          <t>Electric Kettle</t>
        </is>
      </c>
      <c r="F4518" s="2" t="inlineStr">
        <is>
          <t>Home &amp; Kitchen</t>
        </is>
      </c>
      <c r="G4518" s="2" t="inlineStr">
        <is>
          <t>North</t>
        </is>
      </c>
      <c r="H4518" s="2" t="inlineStr">
        <is>
          <t>Uttar Pradesh</t>
        </is>
      </c>
      <c r="I4518" s="2" t="inlineStr">
        <is>
          <t>Kanpur</t>
        </is>
      </c>
      <c r="J4518" s="2" t="inlineStr">
        <is>
          <t>Online</t>
        </is>
      </c>
      <c r="K4518" s="2" t="n">
        <v>2</v>
      </c>
      <c r="L4518" s="3" t="n">
        <v>2097.85</v>
      </c>
      <c r="M4518" s="4" t="n">
        <v>0.25</v>
      </c>
      <c r="N4518" s="3" t="n">
        <v>2266.91</v>
      </c>
      <c r="O4518" s="3">
        <f>K4518*L4518*(1-M4518)</f>
        <v/>
      </c>
      <c r="P4518" s="3">
        <f>O4518-N4518</f>
        <v/>
      </c>
      <c r="Q4518" s="5">
        <f>IFERROR(P4518/O4518,0)</f>
        <v/>
      </c>
      <c r="R4518" s="2">
        <f>TEXT(DATEVALUE(B4518),"mmm")</f>
        <v/>
      </c>
      <c r="S4518" s="2">
        <f>TEXT(DATEVALUE(B4518),"yyyy-mm")</f>
        <v/>
      </c>
    </row>
    <row r="4519">
      <c r="A4519" s="2" t="inlineStr">
        <is>
          <t>O001430</t>
        </is>
      </c>
      <c r="B4519" s="2" t="inlineStr">
        <is>
          <t>2025-11-26</t>
        </is>
      </c>
      <c r="C4519" s="2" t="inlineStr">
        <is>
          <t>C0150</t>
        </is>
      </c>
      <c r="D4519" s="2" t="inlineStr">
        <is>
          <t>P0016</t>
        </is>
      </c>
      <c r="E4519" s="2" t="inlineStr">
        <is>
          <t>Casual Shirt</t>
        </is>
      </c>
      <c r="F4519" s="2" t="inlineStr">
        <is>
          <t>Fashion</t>
        </is>
      </c>
      <c r="G4519" s="2" t="inlineStr">
        <is>
          <t>West</t>
        </is>
      </c>
      <c r="H4519" s="2" t="inlineStr">
        <is>
          <t>Gujarat</t>
        </is>
      </c>
      <c r="I4519" s="2" t="inlineStr">
        <is>
          <t>Vadodara</t>
        </is>
      </c>
      <c r="J4519" s="2" t="inlineStr">
        <is>
          <t>Store</t>
        </is>
      </c>
      <c r="K4519" s="2" t="n">
        <v>2</v>
      </c>
      <c r="L4519" s="3" t="n">
        <v>1315.67</v>
      </c>
      <c r="M4519" s="4" t="n">
        <v>0.1</v>
      </c>
      <c r="N4519" s="3" t="n">
        <v>1859.33</v>
      </c>
      <c r="O4519" s="3">
        <f>K4519*L4519*(1-M4519)</f>
        <v/>
      </c>
      <c r="P4519" s="3">
        <f>O4519-N4519</f>
        <v/>
      </c>
      <c r="Q4519" s="5">
        <f>IFERROR(P4519/O4519,0)</f>
        <v/>
      </c>
      <c r="R4519" s="2">
        <f>TEXT(DATEVALUE(B4519),"mmm")</f>
        <v/>
      </c>
      <c r="S4519" s="2">
        <f>TEXT(DATEVALUE(B4519),"yyyy-mm")</f>
        <v/>
      </c>
    </row>
    <row r="4520">
      <c r="A4520" s="2" t="inlineStr">
        <is>
          <t>O002908</t>
        </is>
      </c>
      <c r="B4520" s="2" t="inlineStr">
        <is>
          <t>2025-11-26</t>
        </is>
      </c>
      <c r="C4520" s="2" t="inlineStr">
        <is>
          <t>C0465</t>
        </is>
      </c>
      <c r="D4520" s="2" t="inlineStr">
        <is>
          <t>P0001</t>
        </is>
      </c>
      <c r="E4520" s="2" t="inlineStr">
        <is>
          <t>Wireless Headphones</t>
        </is>
      </c>
      <c r="F4520" s="2" t="inlineStr">
        <is>
          <t>Electronics</t>
        </is>
      </c>
      <c r="G4520" s="2" t="inlineStr">
        <is>
          <t>South</t>
        </is>
      </c>
      <c r="H4520" s="2" t="inlineStr">
        <is>
          <t>Kerala</t>
        </is>
      </c>
      <c r="I4520" s="2" t="inlineStr">
        <is>
          <t>Kochi</t>
        </is>
      </c>
      <c r="J4520" s="2" t="inlineStr">
        <is>
          <t>Store</t>
        </is>
      </c>
      <c r="K4520" s="2" t="n">
        <v>2</v>
      </c>
      <c r="L4520" s="3" t="n">
        <v>1347.87</v>
      </c>
      <c r="M4520" s="4" t="n">
        <v>0.15</v>
      </c>
      <c r="N4520" s="3" t="n">
        <v>1382.81</v>
      </c>
      <c r="O4520" s="3">
        <f>K4520*L4520*(1-M4520)</f>
        <v/>
      </c>
      <c r="P4520" s="3">
        <f>O4520-N4520</f>
        <v/>
      </c>
      <c r="Q4520" s="5">
        <f>IFERROR(P4520/O4520,0)</f>
        <v/>
      </c>
      <c r="R4520" s="2">
        <f>TEXT(DATEVALUE(B4520),"mmm")</f>
        <v/>
      </c>
      <c r="S4520" s="2">
        <f>TEXT(DATEVALUE(B4520),"yyyy-mm")</f>
        <v/>
      </c>
    </row>
    <row r="4521">
      <c r="A4521" s="2" t="inlineStr">
        <is>
          <t>O001125</t>
        </is>
      </c>
      <c r="B4521" s="2" t="inlineStr">
        <is>
          <t>2025-11-26</t>
        </is>
      </c>
      <c r="C4521" s="2" t="inlineStr">
        <is>
          <t>C0379</t>
        </is>
      </c>
      <c r="D4521" s="2" t="inlineStr">
        <is>
          <t>P0001</t>
        </is>
      </c>
      <c r="E4521" s="2" t="inlineStr">
        <is>
          <t>Wireless Headphones</t>
        </is>
      </c>
      <c r="F4521" s="2" t="inlineStr">
        <is>
          <t>Electronics</t>
        </is>
      </c>
      <c r="G4521" s="2" t="inlineStr">
        <is>
          <t>South</t>
        </is>
      </c>
      <c r="H4521" s="2" t="inlineStr">
        <is>
          <t>Telangana</t>
        </is>
      </c>
      <c r="I4521" s="2" t="inlineStr">
        <is>
          <t>Hyderabad</t>
        </is>
      </c>
      <c r="J4521" s="2" t="inlineStr">
        <is>
          <t>Store</t>
        </is>
      </c>
      <c r="K4521" s="2" t="n">
        <v>2</v>
      </c>
      <c r="L4521" s="3" t="n">
        <v>1357.95</v>
      </c>
      <c r="M4521" s="4" t="n">
        <v>0.1</v>
      </c>
      <c r="N4521" s="3" t="n">
        <v>1407.24</v>
      </c>
      <c r="O4521" s="3">
        <f>K4521*L4521*(1-M4521)</f>
        <v/>
      </c>
      <c r="P4521" s="3">
        <f>O4521-N4521</f>
        <v/>
      </c>
      <c r="Q4521" s="5">
        <f>IFERROR(P4521/O4521,0)</f>
        <v/>
      </c>
      <c r="R4521" s="2">
        <f>TEXT(DATEVALUE(B4521),"mmm")</f>
        <v/>
      </c>
      <c r="S4521" s="2">
        <f>TEXT(DATEVALUE(B4521),"yyyy-mm")</f>
        <v/>
      </c>
    </row>
    <row r="4522">
      <c r="A4522" s="2" t="inlineStr">
        <is>
          <t>O001094</t>
        </is>
      </c>
      <c r="B4522" s="2" t="inlineStr">
        <is>
          <t>2025-11-26</t>
        </is>
      </c>
      <c r="C4522" s="2" t="inlineStr">
        <is>
          <t>C0730</t>
        </is>
      </c>
      <c r="D4522" s="2" t="inlineStr">
        <is>
          <t>P0020</t>
        </is>
      </c>
      <c r="E4522" s="2" t="inlineStr">
        <is>
          <t>Sneakers</t>
        </is>
      </c>
      <c r="F4522" s="2" t="inlineStr">
        <is>
          <t>Fashion</t>
        </is>
      </c>
      <c r="G4522" s="2" t="inlineStr">
        <is>
          <t>South</t>
        </is>
      </c>
      <c r="H4522" s="2" t="inlineStr">
        <is>
          <t>Telangana</t>
        </is>
      </c>
      <c r="I4522" s="2" t="inlineStr">
        <is>
          <t>Hyderabad</t>
        </is>
      </c>
      <c r="J4522" s="2" t="inlineStr">
        <is>
          <t>Online</t>
        </is>
      </c>
      <c r="K4522" s="2" t="n">
        <v>1</v>
      </c>
      <c r="L4522" s="3" t="n">
        <v>1867.17</v>
      </c>
      <c r="M4522" s="4" t="n">
        <v>0.1</v>
      </c>
      <c r="N4522" s="3" t="n">
        <v>1464.25</v>
      </c>
      <c r="O4522" s="3">
        <f>K4522*L4522*(1-M4522)</f>
        <v/>
      </c>
      <c r="P4522" s="3">
        <f>O4522-N4522</f>
        <v/>
      </c>
      <c r="Q4522" s="5">
        <f>IFERROR(P4522/O4522,0)</f>
        <v/>
      </c>
      <c r="R4522" s="2">
        <f>TEXT(DATEVALUE(B4522),"mmm")</f>
        <v/>
      </c>
      <c r="S4522" s="2">
        <f>TEXT(DATEVALUE(B4522),"yyyy-mm")</f>
        <v/>
      </c>
    </row>
    <row r="4523">
      <c r="A4523" s="2" t="inlineStr">
        <is>
          <t>O000811</t>
        </is>
      </c>
      <c r="B4523" s="2" t="inlineStr">
        <is>
          <t>2025-11-26</t>
        </is>
      </c>
      <c r="C4523" s="2" t="inlineStr">
        <is>
          <t>C0427</t>
        </is>
      </c>
      <c r="D4523" s="2" t="inlineStr">
        <is>
          <t>P0022</t>
        </is>
      </c>
      <c r="E4523" s="2" t="inlineStr">
        <is>
          <t>Face Wash</t>
        </is>
      </c>
      <c r="F4523" s="2" t="inlineStr">
        <is>
          <t>Beauty</t>
        </is>
      </c>
      <c r="G4523" s="2" t="inlineStr">
        <is>
          <t>North</t>
        </is>
      </c>
      <c r="H4523" s="2" t="inlineStr">
        <is>
          <t>Delhi</t>
        </is>
      </c>
      <c r="I4523" s="2" t="inlineStr">
        <is>
          <t>New Delhi</t>
        </is>
      </c>
      <c r="J4523" s="2" t="inlineStr">
        <is>
          <t>Online</t>
        </is>
      </c>
      <c r="K4523" s="2" t="n">
        <v>6</v>
      </c>
      <c r="L4523" s="3" t="n">
        <v>571.96</v>
      </c>
      <c r="M4523" s="4" t="n">
        <v>0.05</v>
      </c>
      <c r="N4523" s="3" t="n">
        <v>2071.66</v>
      </c>
      <c r="O4523" s="3">
        <f>K4523*L4523*(1-M4523)</f>
        <v/>
      </c>
      <c r="P4523" s="3">
        <f>O4523-N4523</f>
        <v/>
      </c>
      <c r="Q4523" s="5">
        <f>IFERROR(P4523/O4523,0)</f>
        <v/>
      </c>
      <c r="R4523" s="2">
        <f>TEXT(DATEVALUE(B4523),"mmm")</f>
        <v/>
      </c>
      <c r="S4523" s="2">
        <f>TEXT(DATEVALUE(B4523),"yyyy-mm")</f>
        <v/>
      </c>
    </row>
    <row r="4524">
      <c r="A4524" s="2" t="inlineStr">
        <is>
          <t>O000683</t>
        </is>
      </c>
      <c r="B4524" s="2" t="inlineStr">
        <is>
          <t>2025-11-26</t>
        </is>
      </c>
      <c r="C4524" s="2" t="inlineStr">
        <is>
          <t>C0121</t>
        </is>
      </c>
      <c r="D4524" s="2" t="inlineStr">
        <is>
          <t>P0004</t>
        </is>
      </c>
      <c r="E4524" s="2" t="inlineStr">
        <is>
          <t>USB-C Hub</t>
        </is>
      </c>
      <c r="F4524" s="2" t="inlineStr">
        <is>
          <t>Electronics</t>
        </is>
      </c>
      <c r="G4524" s="2" t="inlineStr">
        <is>
          <t>West</t>
        </is>
      </c>
      <c r="H4524" s="2" t="inlineStr">
        <is>
          <t>Goa</t>
        </is>
      </c>
      <c r="I4524" s="2" t="inlineStr">
        <is>
          <t>Margao</t>
        </is>
      </c>
      <c r="J4524" s="2" t="inlineStr">
        <is>
          <t>Online</t>
        </is>
      </c>
      <c r="K4524" s="2" t="n">
        <v>1</v>
      </c>
      <c r="L4524" s="3" t="n">
        <v>1259.5</v>
      </c>
      <c r="M4524" s="4" t="n">
        <v>0.05</v>
      </c>
      <c r="N4524" s="3" t="n">
        <v>912.01</v>
      </c>
      <c r="O4524" s="3">
        <f>K4524*L4524*(1-M4524)</f>
        <v/>
      </c>
      <c r="P4524" s="3">
        <f>O4524-N4524</f>
        <v/>
      </c>
      <c r="Q4524" s="5">
        <f>IFERROR(P4524/O4524,0)</f>
        <v/>
      </c>
      <c r="R4524" s="2">
        <f>TEXT(DATEVALUE(B4524),"mmm")</f>
        <v/>
      </c>
      <c r="S4524" s="2">
        <f>TEXT(DATEVALUE(B4524),"yyyy-mm")</f>
        <v/>
      </c>
    </row>
    <row r="4525">
      <c r="A4525" s="2" t="inlineStr">
        <is>
          <t>O000515</t>
        </is>
      </c>
      <c r="B4525" s="2" t="inlineStr">
        <is>
          <t>2025-11-26</t>
        </is>
      </c>
      <c r="C4525" s="2" t="inlineStr">
        <is>
          <t>C0221</t>
        </is>
      </c>
      <c r="D4525" s="2" t="inlineStr">
        <is>
          <t>P0016</t>
        </is>
      </c>
      <c r="E4525" s="2" t="inlineStr">
        <is>
          <t>Casual Shirt</t>
        </is>
      </c>
      <c r="F4525" s="2" t="inlineStr">
        <is>
          <t>Fashion</t>
        </is>
      </c>
      <c r="G4525" s="2" t="inlineStr">
        <is>
          <t>East</t>
        </is>
      </c>
      <c r="H4525" s="2" t="inlineStr">
        <is>
          <t>Odisha</t>
        </is>
      </c>
      <c r="I4525" s="2" t="inlineStr">
        <is>
          <t>Bhubaneswar</t>
        </is>
      </c>
      <c r="J4525" s="2" t="inlineStr">
        <is>
          <t>Store</t>
        </is>
      </c>
      <c r="K4525" s="2" t="n">
        <v>1</v>
      </c>
      <c r="L4525" s="3" t="n">
        <v>1256.67</v>
      </c>
      <c r="M4525" s="4" t="n">
        <v>0.1</v>
      </c>
      <c r="N4525" s="3" t="n">
        <v>935.74</v>
      </c>
      <c r="O4525" s="3">
        <f>K4525*L4525*(1-M4525)</f>
        <v/>
      </c>
      <c r="P4525" s="3">
        <f>O4525-N4525</f>
        <v/>
      </c>
      <c r="Q4525" s="5">
        <f>IFERROR(P4525/O4525,0)</f>
        <v/>
      </c>
      <c r="R4525" s="2">
        <f>TEXT(DATEVALUE(B4525),"mmm")</f>
        <v/>
      </c>
      <c r="S4525" s="2">
        <f>TEXT(DATEVALUE(B4525),"yyyy-mm")</f>
        <v/>
      </c>
    </row>
    <row r="4526">
      <c r="A4526" s="2" t="inlineStr">
        <is>
          <t>O001279</t>
        </is>
      </c>
      <c r="B4526" s="2" t="inlineStr">
        <is>
          <t>2025-11-26</t>
        </is>
      </c>
      <c r="C4526" s="2" t="inlineStr">
        <is>
          <t>C0454</t>
        </is>
      </c>
      <c r="D4526" s="2" t="inlineStr">
        <is>
          <t>P0003</t>
        </is>
      </c>
      <c r="E4526" s="2" t="inlineStr">
        <is>
          <t>Smartwatch</t>
        </is>
      </c>
      <c r="F4526" s="2" t="inlineStr">
        <is>
          <t>Electronics</t>
        </is>
      </c>
      <c r="G4526" s="2" t="inlineStr">
        <is>
          <t>North</t>
        </is>
      </c>
      <c r="H4526" s="2" t="inlineStr">
        <is>
          <t>Uttar Pradesh</t>
        </is>
      </c>
      <c r="I4526" s="2" t="inlineStr">
        <is>
          <t>Kanpur</t>
        </is>
      </c>
      <c r="J4526" s="2" t="inlineStr">
        <is>
          <t>Store</t>
        </is>
      </c>
      <c r="K4526" s="2" t="n">
        <v>1</v>
      </c>
      <c r="L4526" s="3" t="n">
        <v>2389.46</v>
      </c>
      <c r="M4526" s="4" t="n">
        <v>0.15</v>
      </c>
      <c r="N4526" s="3" t="n">
        <v>1174.23</v>
      </c>
      <c r="O4526" s="3">
        <f>K4526*L4526*(1-M4526)</f>
        <v/>
      </c>
      <c r="P4526" s="3">
        <f>O4526-N4526</f>
        <v/>
      </c>
      <c r="Q4526" s="5">
        <f>IFERROR(P4526/O4526,0)</f>
        <v/>
      </c>
      <c r="R4526" s="2">
        <f>TEXT(DATEVALUE(B4526),"mmm")</f>
        <v/>
      </c>
      <c r="S4526" s="2">
        <f>TEXT(DATEVALUE(B4526),"yyyy-mm")</f>
        <v/>
      </c>
    </row>
    <row r="4527">
      <c r="A4527" s="2" t="inlineStr">
        <is>
          <t>O004814</t>
        </is>
      </c>
      <c r="B4527" s="2" t="inlineStr">
        <is>
          <t>2025-11-27</t>
        </is>
      </c>
      <c r="C4527" s="2" t="inlineStr">
        <is>
          <t>C0279</t>
        </is>
      </c>
      <c r="D4527" s="2" t="inlineStr">
        <is>
          <t>P0011</t>
        </is>
      </c>
      <c r="E4527" s="2" t="inlineStr">
        <is>
          <t>Cookware Set</t>
        </is>
      </c>
      <c r="F4527" s="2" t="inlineStr">
        <is>
          <t>Home &amp; Kitchen</t>
        </is>
      </c>
      <c r="G4527" s="2" t="inlineStr">
        <is>
          <t>West</t>
        </is>
      </c>
      <c r="H4527" s="2" t="inlineStr">
        <is>
          <t>Gujarat</t>
        </is>
      </c>
      <c r="I4527" s="2" t="inlineStr">
        <is>
          <t>Surat</t>
        </is>
      </c>
      <c r="J4527" s="2" t="inlineStr">
        <is>
          <t>Online</t>
        </is>
      </c>
      <c r="K4527" s="2" t="n">
        <v>1</v>
      </c>
      <c r="L4527" s="3" t="n">
        <v>726.48</v>
      </c>
      <c r="M4527" s="4" t="n">
        <v>0.05</v>
      </c>
      <c r="N4527" s="3" t="n">
        <v>461.64</v>
      </c>
      <c r="O4527" s="3">
        <f>K4527*L4527*(1-M4527)</f>
        <v/>
      </c>
      <c r="P4527" s="3">
        <f>O4527-N4527</f>
        <v/>
      </c>
      <c r="Q4527" s="5">
        <f>IFERROR(P4527/O4527,0)</f>
        <v/>
      </c>
      <c r="R4527" s="2">
        <f>TEXT(DATEVALUE(B4527),"mmm")</f>
        <v/>
      </c>
      <c r="S4527" s="2">
        <f>TEXT(DATEVALUE(B4527),"yyyy-mm")</f>
        <v/>
      </c>
    </row>
    <row r="4528">
      <c r="A4528" s="2" t="inlineStr">
        <is>
          <t>O004697</t>
        </is>
      </c>
      <c r="B4528" s="2" t="inlineStr">
        <is>
          <t>2025-11-27</t>
        </is>
      </c>
      <c r="C4528" s="2" t="inlineStr">
        <is>
          <t>C0635</t>
        </is>
      </c>
      <c r="D4528" s="2" t="inlineStr">
        <is>
          <t>P0007</t>
        </is>
      </c>
      <c r="E4528" s="2" t="inlineStr">
        <is>
          <t>Wireless Mouse</t>
        </is>
      </c>
      <c r="F4528" s="2" t="inlineStr">
        <is>
          <t>Electronics</t>
        </is>
      </c>
      <c r="G4528" s="2" t="inlineStr">
        <is>
          <t>West</t>
        </is>
      </c>
      <c r="H4528" s="2" t="inlineStr">
        <is>
          <t>Maharashtra</t>
        </is>
      </c>
      <c r="I4528" s="2" t="inlineStr">
        <is>
          <t>Pune</t>
        </is>
      </c>
      <c r="J4528" s="2" t="inlineStr">
        <is>
          <t>Online</t>
        </is>
      </c>
      <c r="K4528" s="2" t="n">
        <v>2</v>
      </c>
      <c r="L4528" s="3" t="n">
        <v>976.24</v>
      </c>
      <c r="M4528" s="4" t="n">
        <v>0.05</v>
      </c>
      <c r="N4528" s="3" t="n">
        <v>1205.94</v>
      </c>
      <c r="O4528" s="3">
        <f>K4528*L4528*(1-M4528)</f>
        <v/>
      </c>
      <c r="P4528" s="3">
        <f>O4528-N4528</f>
        <v/>
      </c>
      <c r="Q4528" s="5">
        <f>IFERROR(P4528/O4528,0)</f>
        <v/>
      </c>
      <c r="R4528" s="2">
        <f>TEXT(DATEVALUE(B4528),"mmm")</f>
        <v/>
      </c>
      <c r="S4528" s="2">
        <f>TEXT(DATEVALUE(B4528),"yyyy-mm")</f>
        <v/>
      </c>
    </row>
    <row r="4529">
      <c r="A4529" s="2" t="inlineStr">
        <is>
          <t>O004423</t>
        </is>
      </c>
      <c r="B4529" s="2" t="inlineStr">
        <is>
          <t>2025-11-27</t>
        </is>
      </c>
      <c r="C4529" s="2" t="inlineStr">
        <is>
          <t>C0498</t>
        </is>
      </c>
      <c r="D4529" s="2" t="inlineStr">
        <is>
          <t>P0014</t>
        </is>
      </c>
      <c r="E4529" s="2" t="inlineStr">
        <is>
          <t>Coffee Maker</t>
        </is>
      </c>
      <c r="F4529" s="2" t="inlineStr">
        <is>
          <t>Home &amp; Kitchen</t>
        </is>
      </c>
      <c r="G4529" s="2" t="inlineStr">
        <is>
          <t>East</t>
        </is>
      </c>
      <c r="H4529" s="2" t="inlineStr">
        <is>
          <t>Bihar</t>
        </is>
      </c>
      <c r="I4529" s="2" t="inlineStr">
        <is>
          <t>Gaya</t>
        </is>
      </c>
      <c r="J4529" s="2" t="inlineStr">
        <is>
          <t>Store</t>
        </is>
      </c>
      <c r="K4529" s="2" t="n">
        <v>1</v>
      </c>
      <c r="L4529" s="3" t="n">
        <v>1049.49</v>
      </c>
      <c r="M4529" s="4" t="n">
        <v>0.15</v>
      </c>
      <c r="N4529" s="3" t="n">
        <v>787.79</v>
      </c>
      <c r="O4529" s="3">
        <f>K4529*L4529*(1-M4529)</f>
        <v/>
      </c>
      <c r="P4529" s="3">
        <f>O4529-N4529</f>
        <v/>
      </c>
      <c r="Q4529" s="5">
        <f>IFERROR(P4529/O4529,0)</f>
        <v/>
      </c>
      <c r="R4529" s="2">
        <f>TEXT(DATEVALUE(B4529),"mmm")</f>
        <v/>
      </c>
      <c r="S4529" s="2">
        <f>TEXT(DATEVALUE(B4529),"yyyy-mm")</f>
        <v/>
      </c>
    </row>
    <row r="4530">
      <c r="A4530" s="2" t="inlineStr">
        <is>
          <t>O004267</t>
        </is>
      </c>
      <c r="B4530" s="2" t="inlineStr">
        <is>
          <t>2025-11-27</t>
        </is>
      </c>
      <c r="C4530" s="2" t="inlineStr">
        <is>
          <t>C0049</t>
        </is>
      </c>
      <c r="D4530" s="2" t="inlineStr">
        <is>
          <t>P0017</t>
        </is>
      </c>
      <c r="E4530" s="2" t="inlineStr">
        <is>
          <t>Jeans</t>
        </is>
      </c>
      <c r="F4530" s="2" t="inlineStr">
        <is>
          <t>Fashion</t>
        </is>
      </c>
      <c r="G4530" s="2" t="inlineStr">
        <is>
          <t>East</t>
        </is>
      </c>
      <c r="H4530" s="2" t="inlineStr">
        <is>
          <t>Odisha</t>
        </is>
      </c>
      <c r="I4530" s="2" t="inlineStr">
        <is>
          <t>Bhubaneswar</t>
        </is>
      </c>
      <c r="J4530" s="2" t="inlineStr">
        <is>
          <t>Online</t>
        </is>
      </c>
      <c r="K4530" s="2" t="n">
        <v>2</v>
      </c>
      <c r="L4530" s="3" t="n">
        <v>1428.36</v>
      </c>
      <c r="M4530" s="4" t="n">
        <v>0.1</v>
      </c>
      <c r="N4530" s="3" t="n">
        <v>2082.08</v>
      </c>
      <c r="O4530" s="3">
        <f>K4530*L4530*(1-M4530)</f>
        <v/>
      </c>
      <c r="P4530" s="3">
        <f>O4530-N4530</f>
        <v/>
      </c>
      <c r="Q4530" s="5">
        <f>IFERROR(P4530/O4530,0)</f>
        <v/>
      </c>
      <c r="R4530" s="2">
        <f>TEXT(DATEVALUE(B4530),"mmm")</f>
        <v/>
      </c>
      <c r="S4530" s="2">
        <f>TEXT(DATEVALUE(B4530),"yyyy-mm")</f>
        <v/>
      </c>
    </row>
    <row r="4531">
      <c r="A4531" s="2" t="inlineStr">
        <is>
          <t>O003940</t>
        </is>
      </c>
      <c r="B4531" s="2" t="inlineStr">
        <is>
          <t>2025-11-27</t>
        </is>
      </c>
      <c r="C4531" s="2" t="inlineStr">
        <is>
          <t>C0202</t>
        </is>
      </c>
      <c r="D4531" s="2" t="inlineStr">
        <is>
          <t>P0022</t>
        </is>
      </c>
      <c r="E4531" s="2" t="inlineStr">
        <is>
          <t>Face Wash</t>
        </is>
      </c>
      <c r="F4531" s="2" t="inlineStr">
        <is>
          <t>Beauty</t>
        </is>
      </c>
      <c r="G4531" s="2" t="inlineStr">
        <is>
          <t>West</t>
        </is>
      </c>
      <c r="H4531" s="2" t="inlineStr">
        <is>
          <t>Maharashtra</t>
        </is>
      </c>
      <c r="I4531" s="2" t="inlineStr">
        <is>
          <t>Mumbai</t>
        </is>
      </c>
      <c r="J4531" s="2" t="inlineStr">
        <is>
          <t>Online</t>
        </is>
      </c>
      <c r="K4531" s="2" t="n">
        <v>3</v>
      </c>
      <c r="L4531" s="3" t="n">
        <v>551.7</v>
      </c>
      <c r="M4531" s="4" t="n">
        <v>0.15</v>
      </c>
      <c r="N4531" s="3" t="n">
        <v>1052.38</v>
      </c>
      <c r="O4531" s="3">
        <f>K4531*L4531*(1-M4531)</f>
        <v/>
      </c>
      <c r="P4531" s="3">
        <f>O4531-N4531</f>
        <v/>
      </c>
      <c r="Q4531" s="5">
        <f>IFERROR(P4531/O4531,0)</f>
        <v/>
      </c>
      <c r="R4531" s="2">
        <f>TEXT(DATEVALUE(B4531),"mmm")</f>
        <v/>
      </c>
      <c r="S4531" s="2">
        <f>TEXT(DATEVALUE(B4531),"yyyy-mm")</f>
        <v/>
      </c>
    </row>
    <row r="4532">
      <c r="A4532" s="2" t="inlineStr">
        <is>
          <t>O003874</t>
        </is>
      </c>
      <c r="B4532" s="2" t="inlineStr">
        <is>
          <t>2025-11-27</t>
        </is>
      </c>
      <c r="C4532" s="2" t="inlineStr">
        <is>
          <t>C0417</t>
        </is>
      </c>
      <c r="D4532" s="2" t="inlineStr">
        <is>
          <t>P0003</t>
        </is>
      </c>
      <c r="E4532" s="2" t="inlineStr">
        <is>
          <t>Smartwatch</t>
        </is>
      </c>
      <c r="F4532" s="2" t="inlineStr">
        <is>
          <t>Electronics</t>
        </is>
      </c>
      <c r="G4532" s="2" t="inlineStr">
        <is>
          <t>South</t>
        </is>
      </c>
      <c r="H4532" s="2" t="inlineStr">
        <is>
          <t>Kerala</t>
        </is>
      </c>
      <c r="I4532" s="2" t="inlineStr">
        <is>
          <t>Kochi</t>
        </is>
      </c>
      <c r="J4532" s="2" t="inlineStr">
        <is>
          <t>Online</t>
        </is>
      </c>
      <c r="K4532" s="2" t="n">
        <v>1</v>
      </c>
      <c r="L4532" s="3" t="n">
        <v>2206.62</v>
      </c>
      <c r="M4532" s="4" t="n">
        <v>0</v>
      </c>
      <c r="N4532" s="3" t="n">
        <v>1206.95</v>
      </c>
      <c r="O4532" s="3">
        <f>K4532*L4532*(1-M4532)</f>
        <v/>
      </c>
      <c r="P4532" s="3">
        <f>O4532-N4532</f>
        <v/>
      </c>
      <c r="Q4532" s="5">
        <f>IFERROR(P4532/O4532,0)</f>
        <v/>
      </c>
      <c r="R4532" s="2">
        <f>TEXT(DATEVALUE(B4532),"mmm")</f>
        <v/>
      </c>
      <c r="S4532" s="2">
        <f>TEXT(DATEVALUE(B4532),"yyyy-mm")</f>
        <v/>
      </c>
    </row>
    <row r="4533">
      <c r="A4533" s="2" t="inlineStr">
        <is>
          <t>O003850</t>
        </is>
      </c>
      <c r="B4533" s="2" t="inlineStr">
        <is>
          <t>2025-11-27</t>
        </is>
      </c>
      <c r="C4533" s="2" t="inlineStr">
        <is>
          <t>C0556</t>
        </is>
      </c>
      <c r="D4533" s="2" t="inlineStr">
        <is>
          <t>P0004</t>
        </is>
      </c>
      <c r="E4533" s="2" t="inlineStr">
        <is>
          <t>USB-C Hub</t>
        </is>
      </c>
      <c r="F4533" s="2" t="inlineStr">
        <is>
          <t>Electronics</t>
        </is>
      </c>
      <c r="G4533" s="2" t="inlineStr">
        <is>
          <t>East</t>
        </is>
      </c>
      <c r="H4533" s="2" t="inlineStr">
        <is>
          <t>West Bengal</t>
        </is>
      </c>
      <c r="I4533" s="2" t="inlineStr">
        <is>
          <t>Kolkata</t>
        </is>
      </c>
      <c r="J4533" s="2" t="inlineStr">
        <is>
          <t>Store</t>
        </is>
      </c>
      <c r="K4533" s="2" t="n">
        <v>2</v>
      </c>
      <c r="L4533" s="3" t="n">
        <v>1247.69</v>
      </c>
      <c r="M4533" s="4" t="n">
        <v>0.05</v>
      </c>
      <c r="N4533" s="3" t="n">
        <v>1799.73</v>
      </c>
      <c r="O4533" s="3">
        <f>K4533*L4533*(1-M4533)</f>
        <v/>
      </c>
      <c r="P4533" s="3">
        <f>O4533-N4533</f>
        <v/>
      </c>
      <c r="Q4533" s="5">
        <f>IFERROR(P4533/O4533,0)</f>
        <v/>
      </c>
      <c r="R4533" s="2">
        <f>TEXT(DATEVALUE(B4533),"mmm")</f>
        <v/>
      </c>
      <c r="S4533" s="2">
        <f>TEXT(DATEVALUE(B4533),"yyyy-mm")</f>
        <v/>
      </c>
    </row>
    <row r="4534">
      <c r="A4534" s="2" t="inlineStr">
        <is>
          <t>O003319</t>
        </is>
      </c>
      <c r="B4534" s="2" t="inlineStr">
        <is>
          <t>2025-11-27</t>
        </is>
      </c>
      <c r="C4534" s="2" t="inlineStr">
        <is>
          <t>C0568</t>
        </is>
      </c>
      <c r="D4534" s="2" t="inlineStr">
        <is>
          <t>P0011</t>
        </is>
      </c>
      <c r="E4534" s="2" t="inlineStr">
        <is>
          <t>Cookware Set</t>
        </is>
      </c>
      <c r="F4534" s="2" t="inlineStr">
        <is>
          <t>Home &amp; Kitchen</t>
        </is>
      </c>
      <c r="G4534" s="2" t="inlineStr">
        <is>
          <t>North</t>
        </is>
      </c>
      <c r="H4534" s="2" t="inlineStr">
        <is>
          <t>Punjab</t>
        </is>
      </c>
      <c r="I4534" s="2" t="inlineStr">
        <is>
          <t>Jalandhar</t>
        </is>
      </c>
      <c r="J4534" s="2" t="inlineStr">
        <is>
          <t>Store</t>
        </is>
      </c>
      <c r="K4534" s="2" t="n">
        <v>3</v>
      </c>
      <c r="L4534" s="3" t="n">
        <v>716.9400000000001</v>
      </c>
      <c r="M4534" s="4" t="n">
        <v>0</v>
      </c>
      <c r="N4534" s="3" t="n">
        <v>1398.79</v>
      </c>
      <c r="O4534" s="3">
        <f>K4534*L4534*(1-M4534)</f>
        <v/>
      </c>
      <c r="P4534" s="3">
        <f>O4534-N4534</f>
        <v/>
      </c>
      <c r="Q4534" s="5">
        <f>IFERROR(P4534/O4534,0)</f>
        <v/>
      </c>
      <c r="R4534" s="2">
        <f>TEXT(DATEVALUE(B4534),"mmm")</f>
        <v/>
      </c>
      <c r="S4534" s="2">
        <f>TEXT(DATEVALUE(B4534),"yyyy-mm")</f>
        <v/>
      </c>
    </row>
    <row r="4535">
      <c r="A4535" s="2" t="inlineStr">
        <is>
          <t>O002356</t>
        </is>
      </c>
      <c r="B4535" s="2" t="inlineStr">
        <is>
          <t>2025-11-27</t>
        </is>
      </c>
      <c r="C4535" s="2" t="inlineStr">
        <is>
          <t>C0686</t>
        </is>
      </c>
      <c r="D4535" s="2" t="inlineStr">
        <is>
          <t>P0007</t>
        </is>
      </c>
      <c r="E4535" s="2" t="inlineStr">
        <is>
          <t>Wireless Mouse</t>
        </is>
      </c>
      <c r="F4535" s="2" t="inlineStr">
        <is>
          <t>Electronics</t>
        </is>
      </c>
      <c r="G4535" s="2" t="inlineStr">
        <is>
          <t>West</t>
        </is>
      </c>
      <c r="H4535" s="2" t="inlineStr">
        <is>
          <t>Goa</t>
        </is>
      </c>
      <c r="I4535" s="2" t="inlineStr">
        <is>
          <t>Margao</t>
        </is>
      </c>
      <c r="J4535" s="2" t="inlineStr">
        <is>
          <t>Online</t>
        </is>
      </c>
      <c r="K4535" s="2" t="n">
        <v>3</v>
      </c>
      <c r="L4535" s="3" t="n">
        <v>1000.43</v>
      </c>
      <c r="M4535" s="4" t="n">
        <v>0.1</v>
      </c>
      <c r="N4535" s="3" t="n">
        <v>1929.92</v>
      </c>
      <c r="O4535" s="3">
        <f>K4535*L4535*(1-M4535)</f>
        <v/>
      </c>
      <c r="P4535" s="3">
        <f>O4535-N4535</f>
        <v/>
      </c>
      <c r="Q4535" s="5">
        <f>IFERROR(P4535/O4535,0)</f>
        <v/>
      </c>
      <c r="R4535" s="2">
        <f>TEXT(DATEVALUE(B4535),"mmm")</f>
        <v/>
      </c>
      <c r="S4535" s="2">
        <f>TEXT(DATEVALUE(B4535),"yyyy-mm")</f>
        <v/>
      </c>
    </row>
    <row r="4536">
      <c r="A4536" s="2" t="inlineStr">
        <is>
          <t>O002103</t>
        </is>
      </c>
      <c r="B4536" s="2" t="inlineStr">
        <is>
          <t>2025-11-27</t>
        </is>
      </c>
      <c r="C4536" s="2" t="inlineStr">
        <is>
          <t>C0064</t>
        </is>
      </c>
      <c r="D4536" s="2" t="inlineStr">
        <is>
          <t>P0035</t>
        </is>
      </c>
      <c r="E4536" s="2" t="inlineStr">
        <is>
          <t>Skipping Rope</t>
        </is>
      </c>
      <c r="F4536" s="2" t="inlineStr">
        <is>
          <t>Sports</t>
        </is>
      </c>
      <c r="G4536" s="2" t="inlineStr">
        <is>
          <t>North</t>
        </is>
      </c>
      <c r="H4536" s="2" t="inlineStr">
        <is>
          <t>Haryana</t>
        </is>
      </c>
      <c r="I4536" s="2" t="inlineStr">
        <is>
          <t>Faridabad</t>
        </is>
      </c>
      <c r="J4536" s="2" t="inlineStr">
        <is>
          <t>Store</t>
        </is>
      </c>
      <c r="K4536" s="2" t="n">
        <v>6</v>
      </c>
      <c r="L4536" s="3" t="n">
        <v>720.76</v>
      </c>
      <c r="M4536" s="4" t="n">
        <v>0.1</v>
      </c>
      <c r="N4536" s="3" t="n">
        <v>2470.46</v>
      </c>
      <c r="O4536" s="3">
        <f>K4536*L4536*(1-M4536)</f>
        <v/>
      </c>
      <c r="P4536" s="3">
        <f>O4536-N4536</f>
        <v/>
      </c>
      <c r="Q4536" s="5">
        <f>IFERROR(P4536/O4536,0)</f>
        <v/>
      </c>
      <c r="R4536" s="2">
        <f>TEXT(DATEVALUE(B4536),"mmm")</f>
        <v/>
      </c>
      <c r="S4536" s="2">
        <f>TEXT(DATEVALUE(B4536),"yyyy-mm")</f>
        <v/>
      </c>
    </row>
    <row r="4537">
      <c r="A4537" s="2" t="inlineStr">
        <is>
          <t>O000951</t>
        </is>
      </c>
      <c r="B4537" s="2" t="inlineStr">
        <is>
          <t>2025-11-27</t>
        </is>
      </c>
      <c r="C4537" s="2" t="inlineStr">
        <is>
          <t>C0373</t>
        </is>
      </c>
      <c r="D4537" s="2" t="inlineStr">
        <is>
          <t>P0023</t>
        </is>
      </c>
      <c r="E4537" s="2" t="inlineStr">
        <is>
          <t>Skin Care Kit</t>
        </is>
      </c>
      <c r="F4537" s="2" t="inlineStr">
        <is>
          <t>Beauty</t>
        </is>
      </c>
      <c r="G4537" s="2" t="inlineStr">
        <is>
          <t>North</t>
        </is>
      </c>
      <c r="H4537" s="2" t="inlineStr">
        <is>
          <t>Delhi</t>
        </is>
      </c>
      <c r="I4537" s="2" t="inlineStr">
        <is>
          <t>New Delhi</t>
        </is>
      </c>
      <c r="J4537" s="2" t="inlineStr">
        <is>
          <t>Store</t>
        </is>
      </c>
      <c r="K4537" s="2" t="n">
        <v>3</v>
      </c>
      <c r="L4537" s="3" t="n">
        <v>1404.18</v>
      </c>
      <c r="M4537" s="4" t="n">
        <v>0</v>
      </c>
      <c r="N4537" s="3" t="n">
        <v>2751.32</v>
      </c>
      <c r="O4537" s="3">
        <f>K4537*L4537*(1-M4537)</f>
        <v/>
      </c>
      <c r="P4537" s="3">
        <f>O4537-N4537</f>
        <v/>
      </c>
      <c r="Q4537" s="5">
        <f>IFERROR(P4537/O4537,0)</f>
        <v/>
      </c>
      <c r="R4537" s="2">
        <f>TEXT(DATEVALUE(B4537),"mmm")</f>
        <v/>
      </c>
      <c r="S4537" s="2">
        <f>TEXT(DATEVALUE(B4537),"yyyy-mm")</f>
        <v/>
      </c>
    </row>
    <row r="4538">
      <c r="A4538" s="2" t="inlineStr">
        <is>
          <t>O000598</t>
        </is>
      </c>
      <c r="B4538" s="2" t="inlineStr">
        <is>
          <t>2025-11-27</t>
        </is>
      </c>
      <c r="C4538" s="2" t="inlineStr">
        <is>
          <t>C0534</t>
        </is>
      </c>
      <c r="D4538" s="2" t="inlineStr">
        <is>
          <t>P0014</t>
        </is>
      </c>
      <c r="E4538" s="2" t="inlineStr">
        <is>
          <t>Coffee Maker</t>
        </is>
      </c>
      <c r="F4538" s="2" t="inlineStr">
        <is>
          <t>Home &amp; Kitchen</t>
        </is>
      </c>
      <c r="G4538" s="2" t="inlineStr">
        <is>
          <t>South</t>
        </is>
      </c>
      <c r="H4538" s="2" t="inlineStr">
        <is>
          <t>Telangana</t>
        </is>
      </c>
      <c r="I4538" s="2" t="inlineStr">
        <is>
          <t>Warangal</t>
        </is>
      </c>
      <c r="J4538" s="2" t="inlineStr">
        <is>
          <t>Store</t>
        </is>
      </c>
      <c r="K4538" s="2" t="n">
        <v>1</v>
      </c>
      <c r="L4538" s="3" t="n">
        <v>1084.49</v>
      </c>
      <c r="M4538" s="4" t="n">
        <v>0.15</v>
      </c>
      <c r="N4538" s="3" t="n">
        <v>757.3200000000001</v>
      </c>
      <c r="O4538" s="3">
        <f>K4538*L4538*(1-M4538)</f>
        <v/>
      </c>
      <c r="P4538" s="3">
        <f>O4538-N4538</f>
        <v/>
      </c>
      <c r="Q4538" s="5">
        <f>IFERROR(P4538/O4538,0)</f>
        <v/>
      </c>
      <c r="R4538" s="2">
        <f>TEXT(DATEVALUE(B4538),"mmm")</f>
        <v/>
      </c>
      <c r="S4538" s="2">
        <f>TEXT(DATEVALUE(B4538),"yyyy-mm")</f>
        <v/>
      </c>
    </row>
    <row r="4539">
      <c r="A4539" s="2" t="inlineStr">
        <is>
          <t>O000170</t>
        </is>
      </c>
      <c r="B4539" s="2" t="inlineStr">
        <is>
          <t>2025-11-27</t>
        </is>
      </c>
      <c r="C4539" s="2" t="inlineStr">
        <is>
          <t>C0349</t>
        </is>
      </c>
      <c r="D4539" s="2" t="inlineStr">
        <is>
          <t>P0018</t>
        </is>
      </c>
      <c r="E4539" s="2" t="inlineStr">
        <is>
          <t>Backpack</t>
        </is>
      </c>
      <c r="F4539" s="2" t="inlineStr">
        <is>
          <t>Fashion</t>
        </is>
      </c>
      <c r="G4539" s="2" t="inlineStr">
        <is>
          <t>South</t>
        </is>
      </c>
      <c r="H4539" s="2" t="inlineStr">
        <is>
          <t>Kerala</t>
        </is>
      </c>
      <c r="I4539" s="2" t="inlineStr">
        <is>
          <t>Thiruvananthapuram</t>
        </is>
      </c>
      <c r="J4539" s="2" t="inlineStr">
        <is>
          <t>Online</t>
        </is>
      </c>
      <c r="K4539" s="2" t="n">
        <v>1</v>
      </c>
      <c r="L4539" s="3" t="n">
        <v>1870.01</v>
      </c>
      <c r="M4539" s="4" t="n">
        <v>0.05</v>
      </c>
      <c r="N4539" s="3" t="n">
        <v>1331.83</v>
      </c>
      <c r="O4539" s="3">
        <f>K4539*L4539*(1-M4539)</f>
        <v/>
      </c>
      <c r="P4539" s="3">
        <f>O4539-N4539</f>
        <v/>
      </c>
      <c r="Q4539" s="5">
        <f>IFERROR(P4539/O4539,0)</f>
        <v/>
      </c>
      <c r="R4539" s="2">
        <f>TEXT(DATEVALUE(B4539),"mmm")</f>
        <v/>
      </c>
      <c r="S4539" s="2">
        <f>TEXT(DATEVALUE(B4539),"yyyy-mm")</f>
        <v/>
      </c>
    </row>
    <row r="4540">
      <c r="A4540" s="2" t="inlineStr">
        <is>
          <t>O000011</t>
        </is>
      </c>
      <c r="B4540" s="2" t="inlineStr">
        <is>
          <t>2025-11-27</t>
        </is>
      </c>
      <c r="C4540" s="2" t="inlineStr">
        <is>
          <t>C0684</t>
        </is>
      </c>
      <c r="D4540" s="2" t="inlineStr">
        <is>
          <t>P0011</t>
        </is>
      </c>
      <c r="E4540" s="2" t="inlineStr">
        <is>
          <t>Cookware Set</t>
        </is>
      </c>
      <c r="F4540" s="2" t="inlineStr">
        <is>
          <t>Home &amp; Kitchen</t>
        </is>
      </c>
      <c r="G4540" s="2" t="inlineStr">
        <is>
          <t>North</t>
        </is>
      </c>
      <c r="H4540" s="2" t="inlineStr">
        <is>
          <t>Delhi</t>
        </is>
      </c>
      <c r="I4540" s="2" t="inlineStr">
        <is>
          <t>New Delhi</t>
        </is>
      </c>
      <c r="J4540" s="2" t="inlineStr">
        <is>
          <t>Store</t>
        </is>
      </c>
      <c r="K4540" s="2" t="n">
        <v>1</v>
      </c>
      <c r="L4540" s="3" t="n">
        <v>680.9299999999999</v>
      </c>
      <c r="M4540" s="4" t="n">
        <v>0.05</v>
      </c>
      <c r="N4540" s="3" t="n">
        <v>467.23</v>
      </c>
      <c r="O4540" s="3">
        <f>K4540*L4540*(1-M4540)</f>
        <v/>
      </c>
      <c r="P4540" s="3">
        <f>O4540-N4540</f>
        <v/>
      </c>
      <c r="Q4540" s="5">
        <f>IFERROR(P4540/O4540,0)</f>
        <v/>
      </c>
      <c r="R4540" s="2">
        <f>TEXT(DATEVALUE(B4540),"mmm")</f>
        <v/>
      </c>
      <c r="S4540" s="2">
        <f>TEXT(DATEVALUE(B4540),"yyyy-mm")</f>
        <v/>
      </c>
    </row>
    <row r="4541">
      <c r="A4541" s="2" t="inlineStr">
        <is>
          <t>O004738</t>
        </is>
      </c>
      <c r="B4541" s="2" t="inlineStr">
        <is>
          <t>2025-11-28</t>
        </is>
      </c>
      <c r="C4541" s="2" t="inlineStr">
        <is>
          <t>C0734</t>
        </is>
      </c>
      <c r="D4541" s="2" t="inlineStr">
        <is>
          <t>P0027</t>
        </is>
      </c>
      <c r="E4541" s="2" t="inlineStr">
        <is>
          <t>Moisturizer</t>
        </is>
      </c>
      <c r="F4541" s="2" t="inlineStr">
        <is>
          <t>Beauty</t>
        </is>
      </c>
      <c r="G4541" s="2" t="inlineStr">
        <is>
          <t>North</t>
        </is>
      </c>
      <c r="H4541" s="2" t="inlineStr">
        <is>
          <t>Punjab</t>
        </is>
      </c>
      <c r="I4541" s="2" t="inlineStr">
        <is>
          <t>Ludhiana</t>
        </is>
      </c>
      <c r="J4541" s="2" t="inlineStr">
        <is>
          <t>Online</t>
        </is>
      </c>
      <c r="K4541" s="2" t="n">
        <v>2</v>
      </c>
      <c r="L4541" s="3" t="n">
        <v>912.37</v>
      </c>
      <c r="M4541" s="4" t="n">
        <v>0.15</v>
      </c>
      <c r="N4541" s="3" t="n">
        <v>1377.18</v>
      </c>
      <c r="O4541" s="3">
        <f>K4541*L4541*(1-M4541)</f>
        <v/>
      </c>
      <c r="P4541" s="3">
        <f>O4541-N4541</f>
        <v/>
      </c>
      <c r="Q4541" s="5">
        <f>IFERROR(P4541/O4541,0)</f>
        <v/>
      </c>
      <c r="R4541" s="2">
        <f>TEXT(DATEVALUE(B4541),"mmm")</f>
        <v/>
      </c>
      <c r="S4541" s="2">
        <f>TEXT(DATEVALUE(B4541),"yyyy-mm")</f>
        <v/>
      </c>
    </row>
    <row r="4542">
      <c r="A4542" s="2" t="inlineStr">
        <is>
          <t>O004136</t>
        </is>
      </c>
      <c r="B4542" s="2" t="inlineStr">
        <is>
          <t>2025-11-28</t>
        </is>
      </c>
      <c r="C4542" s="2" t="inlineStr">
        <is>
          <t>C0077</t>
        </is>
      </c>
      <c r="D4542" s="2" t="inlineStr">
        <is>
          <t>P0002</t>
        </is>
      </c>
      <c r="E4542" s="2" t="inlineStr">
        <is>
          <t>Bluetooth Speaker</t>
        </is>
      </c>
      <c r="F4542" s="2" t="inlineStr">
        <is>
          <t>Electronics</t>
        </is>
      </c>
      <c r="G4542" s="2" t="inlineStr">
        <is>
          <t>East</t>
        </is>
      </c>
      <c r="H4542" s="2" t="inlineStr">
        <is>
          <t>West Bengal</t>
        </is>
      </c>
      <c r="I4542" s="2" t="inlineStr">
        <is>
          <t>Kolkata</t>
        </is>
      </c>
      <c r="J4542" s="2" t="inlineStr">
        <is>
          <t>Online</t>
        </is>
      </c>
      <c r="K4542" s="2" t="n">
        <v>5</v>
      </c>
      <c r="L4542" s="3" t="n">
        <v>1410.49</v>
      </c>
      <c r="M4542" s="4" t="n">
        <v>0.15</v>
      </c>
      <c r="N4542" s="3" t="n">
        <v>4261.95</v>
      </c>
      <c r="O4542" s="3">
        <f>K4542*L4542*(1-M4542)</f>
        <v/>
      </c>
      <c r="P4542" s="3">
        <f>O4542-N4542</f>
        <v/>
      </c>
      <c r="Q4542" s="5">
        <f>IFERROR(P4542/O4542,0)</f>
        <v/>
      </c>
      <c r="R4542" s="2">
        <f>TEXT(DATEVALUE(B4542),"mmm")</f>
        <v/>
      </c>
      <c r="S4542" s="2">
        <f>TEXT(DATEVALUE(B4542),"yyyy-mm")</f>
        <v/>
      </c>
    </row>
    <row r="4543">
      <c r="A4543" s="2" t="inlineStr">
        <is>
          <t>O003957</t>
        </is>
      </c>
      <c r="B4543" s="2" t="inlineStr">
        <is>
          <t>2025-11-28</t>
        </is>
      </c>
      <c r="C4543" s="2" t="inlineStr">
        <is>
          <t>C0514</t>
        </is>
      </c>
      <c r="D4543" s="2" t="inlineStr">
        <is>
          <t>P0018</t>
        </is>
      </c>
      <c r="E4543" s="2" t="inlineStr">
        <is>
          <t>Backpack</t>
        </is>
      </c>
      <c r="F4543" s="2" t="inlineStr">
        <is>
          <t>Fashion</t>
        </is>
      </c>
      <c r="G4543" s="2" t="inlineStr">
        <is>
          <t>North</t>
        </is>
      </c>
      <c r="H4543" s="2" t="inlineStr">
        <is>
          <t>Uttar Pradesh</t>
        </is>
      </c>
      <c r="I4543" s="2" t="inlineStr">
        <is>
          <t>Noida</t>
        </is>
      </c>
      <c r="J4543" s="2" t="inlineStr">
        <is>
          <t>Online</t>
        </is>
      </c>
      <c r="K4543" s="2" t="n">
        <v>6</v>
      </c>
      <c r="L4543" s="3" t="n">
        <v>1824.84</v>
      </c>
      <c r="M4543" s="4" t="n">
        <v>0.15</v>
      </c>
      <c r="N4543" s="3" t="n">
        <v>8412.76</v>
      </c>
      <c r="O4543" s="3">
        <f>K4543*L4543*(1-M4543)</f>
        <v/>
      </c>
      <c r="P4543" s="3">
        <f>O4543-N4543</f>
        <v/>
      </c>
      <c r="Q4543" s="5">
        <f>IFERROR(P4543/O4543,0)</f>
        <v/>
      </c>
      <c r="R4543" s="2">
        <f>TEXT(DATEVALUE(B4543),"mmm")</f>
        <v/>
      </c>
      <c r="S4543" s="2">
        <f>TEXT(DATEVALUE(B4543),"yyyy-mm")</f>
        <v/>
      </c>
    </row>
    <row r="4544">
      <c r="A4544" s="2" t="inlineStr">
        <is>
          <t>O003310</t>
        </is>
      </c>
      <c r="B4544" s="2" t="inlineStr">
        <is>
          <t>2025-11-28</t>
        </is>
      </c>
      <c r="C4544" s="2" t="inlineStr">
        <is>
          <t>C0024</t>
        </is>
      </c>
      <c r="D4544" s="2" t="inlineStr">
        <is>
          <t>P0011</t>
        </is>
      </c>
      <c r="E4544" s="2" t="inlineStr">
        <is>
          <t>Cookware Set</t>
        </is>
      </c>
      <c r="F4544" s="2" t="inlineStr">
        <is>
          <t>Home &amp; Kitchen</t>
        </is>
      </c>
      <c r="G4544" s="2" t="inlineStr">
        <is>
          <t>South</t>
        </is>
      </c>
      <c r="H4544" s="2" t="inlineStr">
        <is>
          <t>Telangana</t>
        </is>
      </c>
      <c r="I4544" s="2" t="inlineStr">
        <is>
          <t>Hyderabad</t>
        </is>
      </c>
      <c r="J4544" s="2" t="inlineStr">
        <is>
          <t>Online</t>
        </is>
      </c>
      <c r="K4544" s="2" t="n">
        <v>3</v>
      </c>
      <c r="L4544" s="3" t="n">
        <v>688.5599999999999</v>
      </c>
      <c r="M4544" s="4" t="n">
        <v>0.15</v>
      </c>
      <c r="N4544" s="3" t="n">
        <v>1393.21</v>
      </c>
      <c r="O4544" s="3">
        <f>K4544*L4544*(1-M4544)</f>
        <v/>
      </c>
      <c r="P4544" s="3">
        <f>O4544-N4544</f>
        <v/>
      </c>
      <c r="Q4544" s="5">
        <f>IFERROR(P4544/O4544,0)</f>
        <v/>
      </c>
      <c r="R4544" s="2">
        <f>TEXT(DATEVALUE(B4544),"mmm")</f>
        <v/>
      </c>
      <c r="S4544" s="2">
        <f>TEXT(DATEVALUE(B4544),"yyyy-mm")</f>
        <v/>
      </c>
    </row>
    <row r="4545">
      <c r="A4545" s="2" t="inlineStr">
        <is>
          <t>O003280</t>
        </is>
      </c>
      <c r="B4545" s="2" t="inlineStr">
        <is>
          <t>2025-11-28</t>
        </is>
      </c>
      <c r="C4545" s="2" t="inlineStr">
        <is>
          <t>C0773</t>
        </is>
      </c>
      <c r="D4545" s="2" t="inlineStr">
        <is>
          <t>P0002</t>
        </is>
      </c>
      <c r="E4545" s="2" t="inlineStr">
        <is>
          <t>Bluetooth Speaker</t>
        </is>
      </c>
      <c r="F4545" s="2" t="inlineStr">
        <is>
          <t>Electronics</t>
        </is>
      </c>
      <c r="G4545" s="2" t="inlineStr">
        <is>
          <t>East</t>
        </is>
      </c>
      <c r="H4545" s="2" t="inlineStr">
        <is>
          <t>Odisha</t>
        </is>
      </c>
      <c r="I4545" s="2" t="inlineStr">
        <is>
          <t>Cuttack</t>
        </is>
      </c>
      <c r="J4545" s="2" t="inlineStr">
        <is>
          <t>Store</t>
        </is>
      </c>
      <c r="K4545" s="2" t="n">
        <v>1</v>
      </c>
      <c r="L4545" s="3" t="n">
        <v>1403.42</v>
      </c>
      <c r="M4545" s="4" t="n">
        <v>0.05</v>
      </c>
      <c r="N4545" s="3" t="n">
        <v>848.28</v>
      </c>
      <c r="O4545" s="3">
        <f>K4545*L4545*(1-M4545)</f>
        <v/>
      </c>
      <c r="P4545" s="3">
        <f>O4545-N4545</f>
        <v/>
      </c>
      <c r="Q4545" s="5">
        <f>IFERROR(P4545/O4545,0)</f>
        <v/>
      </c>
      <c r="R4545" s="2">
        <f>TEXT(DATEVALUE(B4545),"mmm")</f>
        <v/>
      </c>
      <c r="S4545" s="2">
        <f>TEXT(DATEVALUE(B4545),"yyyy-mm")</f>
        <v/>
      </c>
    </row>
    <row r="4546">
      <c r="A4546" s="2" t="inlineStr">
        <is>
          <t>O001111</t>
        </is>
      </c>
      <c r="B4546" s="2" t="inlineStr">
        <is>
          <t>2025-11-28</t>
        </is>
      </c>
      <c r="C4546" s="2" t="inlineStr">
        <is>
          <t>C0654</t>
        </is>
      </c>
      <c r="D4546" s="2" t="inlineStr">
        <is>
          <t>P0001</t>
        </is>
      </c>
      <c r="E4546" s="2" t="inlineStr">
        <is>
          <t>Wireless Headphones</t>
        </is>
      </c>
      <c r="F4546" s="2" t="inlineStr">
        <is>
          <t>Electronics</t>
        </is>
      </c>
      <c r="G4546" s="2" t="inlineStr">
        <is>
          <t>West</t>
        </is>
      </c>
      <c r="H4546" s="2" t="inlineStr">
        <is>
          <t>Maharashtra</t>
        </is>
      </c>
      <c r="I4546" s="2" t="inlineStr">
        <is>
          <t>Nashik</t>
        </is>
      </c>
      <c r="J4546" s="2" t="inlineStr">
        <is>
          <t>Online</t>
        </is>
      </c>
      <c r="K4546" s="2" t="n">
        <v>1</v>
      </c>
      <c r="L4546" s="3" t="n">
        <v>1315.26</v>
      </c>
      <c r="M4546" s="4" t="n">
        <v>0.15</v>
      </c>
      <c r="N4546" s="3" t="n">
        <v>707.11</v>
      </c>
      <c r="O4546" s="3">
        <f>K4546*L4546*(1-M4546)</f>
        <v/>
      </c>
      <c r="P4546" s="3">
        <f>O4546-N4546</f>
        <v/>
      </c>
      <c r="Q4546" s="5">
        <f>IFERROR(P4546/O4546,0)</f>
        <v/>
      </c>
      <c r="R4546" s="2">
        <f>TEXT(DATEVALUE(B4546),"mmm")</f>
        <v/>
      </c>
      <c r="S4546" s="2">
        <f>TEXT(DATEVALUE(B4546),"yyyy-mm")</f>
        <v/>
      </c>
    </row>
    <row r="4547">
      <c r="A4547" s="2" t="inlineStr">
        <is>
          <t>O001980</t>
        </is>
      </c>
      <c r="B4547" s="2" t="inlineStr">
        <is>
          <t>2025-11-28</t>
        </is>
      </c>
      <c r="C4547" s="2" t="inlineStr">
        <is>
          <t>C0016</t>
        </is>
      </c>
      <c r="D4547" s="2" t="inlineStr">
        <is>
          <t>P0027</t>
        </is>
      </c>
      <c r="E4547" s="2" t="inlineStr">
        <is>
          <t>Moisturizer</t>
        </is>
      </c>
      <c r="F4547" s="2" t="inlineStr">
        <is>
          <t>Beauty</t>
        </is>
      </c>
      <c r="G4547" s="2" t="inlineStr">
        <is>
          <t>South</t>
        </is>
      </c>
      <c r="H4547" s="2" t="inlineStr">
        <is>
          <t>Kerala</t>
        </is>
      </c>
      <c r="I4547" s="2" t="inlineStr">
        <is>
          <t>Thiruvananthapuram</t>
        </is>
      </c>
      <c r="J4547" s="2" t="inlineStr">
        <is>
          <t>Online</t>
        </is>
      </c>
      <c r="K4547" s="2" t="n">
        <v>3</v>
      </c>
      <c r="L4547" s="3" t="n">
        <v>915.09</v>
      </c>
      <c r="M4547" s="4" t="n">
        <v>0.05</v>
      </c>
      <c r="N4547" s="3" t="n">
        <v>2093.65</v>
      </c>
      <c r="O4547" s="3">
        <f>K4547*L4547*(1-M4547)</f>
        <v/>
      </c>
      <c r="P4547" s="3">
        <f>O4547-N4547</f>
        <v/>
      </c>
      <c r="Q4547" s="5">
        <f>IFERROR(P4547/O4547,0)</f>
        <v/>
      </c>
      <c r="R4547" s="2">
        <f>TEXT(DATEVALUE(B4547),"mmm")</f>
        <v/>
      </c>
      <c r="S4547" s="2">
        <f>TEXT(DATEVALUE(B4547),"yyyy-mm")</f>
        <v/>
      </c>
    </row>
    <row r="4548">
      <c r="A4548" s="2" t="inlineStr">
        <is>
          <t>O001905</t>
        </is>
      </c>
      <c r="B4548" s="2" t="inlineStr">
        <is>
          <t>2025-11-28</t>
        </is>
      </c>
      <c r="C4548" s="2" t="inlineStr">
        <is>
          <t>C0323</t>
        </is>
      </c>
      <c r="D4548" s="2" t="inlineStr">
        <is>
          <t>P0009</t>
        </is>
      </c>
      <c r="E4548" s="2" t="inlineStr">
        <is>
          <t>Electric Kettle</t>
        </is>
      </c>
      <c r="F4548" s="2" t="inlineStr">
        <is>
          <t>Home &amp; Kitchen</t>
        </is>
      </c>
      <c r="G4548" s="2" t="inlineStr">
        <is>
          <t>North</t>
        </is>
      </c>
      <c r="H4548" s="2" t="inlineStr">
        <is>
          <t>Punjab</t>
        </is>
      </c>
      <c r="I4548" s="2" t="inlineStr">
        <is>
          <t>Ludhiana</t>
        </is>
      </c>
      <c r="J4548" s="2" t="inlineStr">
        <is>
          <t>Store</t>
        </is>
      </c>
      <c r="K4548" s="2" t="n">
        <v>1</v>
      </c>
      <c r="L4548" s="3" t="n">
        <v>2168.84</v>
      </c>
      <c r="M4548" s="4" t="n">
        <v>0.15</v>
      </c>
      <c r="N4548" s="3" t="n">
        <v>1122</v>
      </c>
      <c r="O4548" s="3">
        <f>K4548*L4548*(1-M4548)</f>
        <v/>
      </c>
      <c r="P4548" s="3">
        <f>O4548-N4548</f>
        <v/>
      </c>
      <c r="Q4548" s="5">
        <f>IFERROR(P4548/O4548,0)</f>
        <v/>
      </c>
      <c r="R4548" s="2">
        <f>TEXT(DATEVALUE(B4548),"mmm")</f>
        <v/>
      </c>
      <c r="S4548" s="2">
        <f>TEXT(DATEVALUE(B4548),"yyyy-mm")</f>
        <v/>
      </c>
    </row>
    <row r="4549">
      <c r="A4549" s="2" t="inlineStr">
        <is>
          <t>O001596</t>
        </is>
      </c>
      <c r="B4549" s="2" t="inlineStr">
        <is>
          <t>2025-11-28</t>
        </is>
      </c>
      <c r="C4549" s="2" t="inlineStr">
        <is>
          <t>C0161</t>
        </is>
      </c>
      <c r="D4549" s="2" t="inlineStr">
        <is>
          <t>P0013</t>
        </is>
      </c>
      <c r="E4549" s="2" t="inlineStr">
        <is>
          <t>Storage Organizer</t>
        </is>
      </c>
      <c r="F4549" s="2" t="inlineStr">
        <is>
          <t>Home &amp; Kitchen</t>
        </is>
      </c>
      <c r="G4549" s="2" t="inlineStr">
        <is>
          <t>West</t>
        </is>
      </c>
      <c r="H4549" s="2" t="inlineStr">
        <is>
          <t>Goa</t>
        </is>
      </c>
      <c r="I4549" s="2" t="inlineStr">
        <is>
          <t>Panaji</t>
        </is>
      </c>
      <c r="J4549" s="2" t="inlineStr">
        <is>
          <t>Store</t>
        </is>
      </c>
      <c r="K4549" s="2" t="n">
        <v>1</v>
      </c>
      <c r="L4549" s="3" t="n">
        <v>591.97</v>
      </c>
      <c r="M4549" s="4" t="n">
        <v>0.05</v>
      </c>
      <c r="N4549" s="3" t="n">
        <v>370.55</v>
      </c>
      <c r="O4549" s="3">
        <f>K4549*L4549*(1-M4549)</f>
        <v/>
      </c>
      <c r="P4549" s="3">
        <f>O4549-N4549</f>
        <v/>
      </c>
      <c r="Q4549" s="5">
        <f>IFERROR(P4549/O4549,0)</f>
        <v/>
      </c>
      <c r="R4549" s="2">
        <f>TEXT(DATEVALUE(B4549),"mmm")</f>
        <v/>
      </c>
      <c r="S4549" s="2">
        <f>TEXT(DATEVALUE(B4549),"yyyy-mm")</f>
        <v/>
      </c>
    </row>
    <row r="4550">
      <c r="A4550" s="2" t="inlineStr">
        <is>
          <t>O003185</t>
        </is>
      </c>
      <c r="B4550" s="2" t="inlineStr">
        <is>
          <t>2025-11-28</t>
        </is>
      </c>
      <c r="C4550" s="2" t="inlineStr">
        <is>
          <t>C0648</t>
        </is>
      </c>
      <c r="D4550" s="2" t="inlineStr">
        <is>
          <t>P0031</t>
        </is>
      </c>
      <c r="E4550" s="2" t="inlineStr">
        <is>
          <t>Cricket Bat</t>
        </is>
      </c>
      <c r="F4550" s="2" t="inlineStr">
        <is>
          <t>Sports</t>
        </is>
      </c>
      <c r="G4550" s="2" t="inlineStr">
        <is>
          <t>North</t>
        </is>
      </c>
      <c r="H4550" s="2" t="inlineStr">
        <is>
          <t>Delhi</t>
        </is>
      </c>
      <c r="I4550" s="2" t="inlineStr">
        <is>
          <t>New Delhi</t>
        </is>
      </c>
      <c r="J4550" s="2" t="inlineStr">
        <is>
          <t>Online</t>
        </is>
      </c>
      <c r="K4550" s="2" t="n">
        <v>1</v>
      </c>
      <c r="L4550" s="3" t="n">
        <v>1329.81</v>
      </c>
      <c r="M4550" s="4" t="n">
        <v>0.05</v>
      </c>
      <c r="N4550" s="3" t="n">
        <v>961.02</v>
      </c>
      <c r="O4550" s="3">
        <f>K4550*L4550*(1-M4550)</f>
        <v/>
      </c>
      <c r="P4550" s="3">
        <f>O4550-N4550</f>
        <v/>
      </c>
      <c r="Q4550" s="5">
        <f>IFERROR(P4550/O4550,0)</f>
        <v/>
      </c>
      <c r="R4550" s="2">
        <f>TEXT(DATEVALUE(B4550),"mmm")</f>
        <v/>
      </c>
      <c r="S4550" s="2">
        <f>TEXT(DATEVALUE(B4550),"yyyy-mm")</f>
        <v/>
      </c>
    </row>
    <row r="4551">
      <c r="A4551" s="2" t="inlineStr">
        <is>
          <t>O001000</t>
        </is>
      </c>
      <c r="B4551" s="2" t="inlineStr">
        <is>
          <t>2025-11-29</t>
        </is>
      </c>
      <c r="C4551" s="2" t="inlineStr">
        <is>
          <t>C0280</t>
        </is>
      </c>
      <c r="D4551" s="2" t="inlineStr">
        <is>
          <t>P0023</t>
        </is>
      </c>
      <c r="E4551" s="2" t="inlineStr">
        <is>
          <t>Skin Care Kit</t>
        </is>
      </c>
      <c r="F4551" s="2" t="inlineStr">
        <is>
          <t>Beauty</t>
        </is>
      </c>
      <c r="G4551" s="2" t="inlineStr">
        <is>
          <t>South</t>
        </is>
      </c>
      <c r="H4551" s="2" t="inlineStr">
        <is>
          <t>Kerala</t>
        </is>
      </c>
      <c r="I4551" s="2" t="inlineStr">
        <is>
          <t>Thiruvananthapuram</t>
        </is>
      </c>
      <c r="J4551" s="2" t="inlineStr">
        <is>
          <t>Online</t>
        </is>
      </c>
      <c r="K4551" s="2" t="n">
        <v>1</v>
      </c>
      <c r="L4551" s="3" t="n">
        <v>1365.92</v>
      </c>
      <c r="M4551" s="4" t="n">
        <v>0.25</v>
      </c>
      <c r="N4551" s="3" t="n">
        <v>868.7</v>
      </c>
      <c r="O4551" s="3">
        <f>K4551*L4551*(1-M4551)</f>
        <v/>
      </c>
      <c r="P4551" s="3">
        <f>O4551-N4551</f>
        <v/>
      </c>
      <c r="Q4551" s="5">
        <f>IFERROR(P4551/O4551,0)</f>
        <v/>
      </c>
      <c r="R4551" s="2">
        <f>TEXT(DATEVALUE(B4551),"mmm")</f>
        <v/>
      </c>
      <c r="S4551" s="2">
        <f>TEXT(DATEVALUE(B4551),"yyyy-mm")</f>
        <v/>
      </c>
    </row>
    <row r="4552">
      <c r="A4552" s="2" t="inlineStr">
        <is>
          <t>O001541</t>
        </is>
      </c>
      <c r="B4552" s="2" t="inlineStr">
        <is>
          <t>2025-11-29</t>
        </is>
      </c>
      <c r="C4552" s="2" t="inlineStr">
        <is>
          <t>C0694</t>
        </is>
      </c>
      <c r="D4552" s="2" t="inlineStr">
        <is>
          <t>P0022</t>
        </is>
      </c>
      <c r="E4552" s="2" t="inlineStr">
        <is>
          <t>Face Wash</t>
        </is>
      </c>
      <c r="F4552" s="2" t="inlineStr">
        <is>
          <t>Beauty</t>
        </is>
      </c>
      <c r="G4552" s="2" t="inlineStr">
        <is>
          <t>South</t>
        </is>
      </c>
      <c r="H4552" s="2" t="inlineStr">
        <is>
          <t>Kerala</t>
        </is>
      </c>
      <c r="I4552" s="2" t="inlineStr">
        <is>
          <t>Thiruvananthapuram</t>
        </is>
      </c>
      <c r="J4552" s="2" t="inlineStr">
        <is>
          <t>Online</t>
        </is>
      </c>
      <c r="K4552" s="2" t="n">
        <v>1</v>
      </c>
      <c r="L4552" s="3" t="n">
        <v>568.54</v>
      </c>
      <c r="M4552" s="4" t="n">
        <v>0.15</v>
      </c>
      <c r="N4552" s="3" t="n">
        <v>358.16</v>
      </c>
      <c r="O4552" s="3">
        <f>K4552*L4552*(1-M4552)</f>
        <v/>
      </c>
      <c r="P4552" s="3">
        <f>O4552-N4552</f>
        <v/>
      </c>
      <c r="Q4552" s="5">
        <f>IFERROR(P4552/O4552,0)</f>
        <v/>
      </c>
      <c r="R4552" s="2">
        <f>TEXT(DATEVALUE(B4552),"mmm")</f>
        <v/>
      </c>
      <c r="S4552" s="2">
        <f>TEXT(DATEVALUE(B4552),"yyyy-mm")</f>
        <v/>
      </c>
    </row>
    <row r="4553">
      <c r="A4553" s="2" t="inlineStr">
        <is>
          <t>O002310</t>
        </is>
      </c>
      <c r="B4553" s="2" t="inlineStr">
        <is>
          <t>2025-11-29</t>
        </is>
      </c>
      <c r="C4553" s="2" t="inlineStr">
        <is>
          <t>C0776</t>
        </is>
      </c>
      <c r="D4553" s="2" t="inlineStr">
        <is>
          <t>P0020</t>
        </is>
      </c>
      <c r="E4553" s="2" t="inlineStr">
        <is>
          <t>Sneakers</t>
        </is>
      </c>
      <c r="F4553" s="2" t="inlineStr">
        <is>
          <t>Fashion</t>
        </is>
      </c>
      <c r="G4553" s="2" t="inlineStr">
        <is>
          <t>East</t>
        </is>
      </c>
      <c r="H4553" s="2" t="inlineStr">
        <is>
          <t>Odisha</t>
        </is>
      </c>
      <c r="I4553" s="2" t="inlineStr">
        <is>
          <t>Bhubaneswar</t>
        </is>
      </c>
      <c r="J4553" s="2" t="inlineStr">
        <is>
          <t>Online</t>
        </is>
      </c>
      <c r="K4553" s="2" t="n">
        <v>3</v>
      </c>
      <c r="L4553" s="3" t="n">
        <v>1919.51</v>
      </c>
      <c r="M4553" s="4" t="n">
        <v>0.15</v>
      </c>
      <c r="N4553" s="3" t="n">
        <v>4645.06</v>
      </c>
      <c r="O4553" s="3">
        <f>K4553*L4553*(1-M4553)</f>
        <v/>
      </c>
      <c r="P4553" s="3">
        <f>O4553-N4553</f>
        <v/>
      </c>
      <c r="Q4553" s="5">
        <f>IFERROR(P4553/O4553,0)</f>
        <v/>
      </c>
      <c r="R4553" s="2">
        <f>TEXT(DATEVALUE(B4553),"mmm")</f>
        <v/>
      </c>
      <c r="S4553" s="2">
        <f>TEXT(DATEVALUE(B4553),"yyyy-mm")</f>
        <v/>
      </c>
    </row>
    <row r="4554">
      <c r="A4554" s="2" t="inlineStr">
        <is>
          <t>O002545</t>
        </is>
      </c>
      <c r="B4554" s="2" t="inlineStr">
        <is>
          <t>2025-11-29</t>
        </is>
      </c>
      <c r="C4554" s="2" t="inlineStr">
        <is>
          <t>C0780</t>
        </is>
      </c>
      <c r="D4554" s="2" t="inlineStr">
        <is>
          <t>P0022</t>
        </is>
      </c>
      <c r="E4554" s="2" t="inlineStr">
        <is>
          <t>Face Wash</t>
        </is>
      </c>
      <c r="F4554" s="2" t="inlineStr">
        <is>
          <t>Beauty</t>
        </is>
      </c>
      <c r="G4554" s="2" t="inlineStr">
        <is>
          <t>South</t>
        </is>
      </c>
      <c r="H4554" s="2" t="inlineStr">
        <is>
          <t>Kerala</t>
        </is>
      </c>
      <c r="I4554" s="2" t="inlineStr">
        <is>
          <t>Kochi</t>
        </is>
      </c>
      <c r="J4554" s="2" t="inlineStr">
        <is>
          <t>Online</t>
        </is>
      </c>
      <c r="K4554" s="2" t="n">
        <v>1</v>
      </c>
      <c r="L4554" s="3" t="n">
        <v>536.1799999999999</v>
      </c>
      <c r="M4554" s="4" t="n">
        <v>0</v>
      </c>
      <c r="N4554" s="3" t="n">
        <v>352.33</v>
      </c>
      <c r="O4554" s="3">
        <f>K4554*L4554*(1-M4554)</f>
        <v/>
      </c>
      <c r="P4554" s="3">
        <f>O4554-N4554</f>
        <v/>
      </c>
      <c r="Q4554" s="5">
        <f>IFERROR(P4554/O4554,0)</f>
        <v/>
      </c>
      <c r="R4554" s="2">
        <f>TEXT(DATEVALUE(B4554),"mmm")</f>
        <v/>
      </c>
      <c r="S4554" s="2">
        <f>TEXT(DATEVALUE(B4554),"yyyy-mm")</f>
        <v/>
      </c>
    </row>
    <row r="4555">
      <c r="A4555" s="2" t="inlineStr">
        <is>
          <t>O003092</t>
        </is>
      </c>
      <c r="B4555" s="2" t="inlineStr">
        <is>
          <t>2025-11-29</t>
        </is>
      </c>
      <c r="C4555" s="2" t="inlineStr">
        <is>
          <t>C0684</t>
        </is>
      </c>
      <c r="D4555" s="2" t="inlineStr">
        <is>
          <t>P0001</t>
        </is>
      </c>
      <c r="E4555" s="2" t="inlineStr">
        <is>
          <t>Wireless Headphones</t>
        </is>
      </c>
      <c r="F4555" s="2" t="inlineStr">
        <is>
          <t>Electronics</t>
        </is>
      </c>
      <c r="G4555" s="2" t="inlineStr">
        <is>
          <t>South</t>
        </is>
      </c>
      <c r="H4555" s="2" t="inlineStr">
        <is>
          <t>Karnataka</t>
        </is>
      </c>
      <c r="I4555" s="2" t="inlineStr">
        <is>
          <t>Bengaluru</t>
        </is>
      </c>
      <c r="J4555" s="2" t="inlineStr">
        <is>
          <t>Store</t>
        </is>
      </c>
      <c r="K4555" s="2" t="n">
        <v>2</v>
      </c>
      <c r="L4555" s="3" t="n">
        <v>1288.69</v>
      </c>
      <c r="M4555" s="4" t="n">
        <v>0.1</v>
      </c>
      <c r="N4555" s="3" t="n">
        <v>1418.58</v>
      </c>
      <c r="O4555" s="3">
        <f>K4555*L4555*(1-M4555)</f>
        <v/>
      </c>
      <c r="P4555" s="3">
        <f>O4555-N4555</f>
        <v/>
      </c>
      <c r="Q4555" s="5">
        <f>IFERROR(P4555/O4555,0)</f>
        <v/>
      </c>
      <c r="R4555" s="2">
        <f>TEXT(DATEVALUE(B4555),"mmm")</f>
        <v/>
      </c>
      <c r="S4555" s="2">
        <f>TEXT(DATEVALUE(B4555),"yyyy-mm")</f>
        <v/>
      </c>
    </row>
    <row r="4556">
      <c r="A4556" s="2" t="inlineStr">
        <is>
          <t>O003272</t>
        </is>
      </c>
      <c r="B4556" s="2" t="inlineStr">
        <is>
          <t>2025-11-29</t>
        </is>
      </c>
      <c r="C4556" s="2" t="inlineStr">
        <is>
          <t>C0446</t>
        </is>
      </c>
      <c r="D4556" s="2" t="inlineStr">
        <is>
          <t>P0031</t>
        </is>
      </c>
      <c r="E4556" s="2" t="inlineStr">
        <is>
          <t>Cricket Bat</t>
        </is>
      </c>
      <c r="F4556" s="2" t="inlineStr">
        <is>
          <t>Sports</t>
        </is>
      </c>
      <c r="G4556" s="2" t="inlineStr">
        <is>
          <t>East</t>
        </is>
      </c>
      <c r="H4556" s="2" t="inlineStr">
        <is>
          <t>Bihar</t>
        </is>
      </c>
      <c r="I4556" s="2" t="inlineStr">
        <is>
          <t>Patna</t>
        </is>
      </c>
      <c r="J4556" s="2" t="inlineStr">
        <is>
          <t>Store</t>
        </is>
      </c>
      <c r="K4556" s="2" t="n">
        <v>2</v>
      </c>
      <c r="L4556" s="3" t="n">
        <v>1329.94</v>
      </c>
      <c r="M4556" s="4" t="n">
        <v>0.1</v>
      </c>
      <c r="N4556" s="3" t="n">
        <v>1861.69</v>
      </c>
      <c r="O4556" s="3">
        <f>K4556*L4556*(1-M4556)</f>
        <v/>
      </c>
      <c r="P4556" s="3">
        <f>O4556-N4556</f>
        <v/>
      </c>
      <c r="Q4556" s="5">
        <f>IFERROR(P4556/O4556,0)</f>
        <v/>
      </c>
      <c r="R4556" s="2">
        <f>TEXT(DATEVALUE(B4556),"mmm")</f>
        <v/>
      </c>
      <c r="S4556" s="2">
        <f>TEXT(DATEVALUE(B4556),"yyyy-mm")</f>
        <v/>
      </c>
    </row>
    <row r="4557">
      <c r="A4557" s="2" t="inlineStr">
        <is>
          <t>O003941</t>
        </is>
      </c>
      <c r="B4557" s="2" t="inlineStr">
        <is>
          <t>2025-11-29</t>
        </is>
      </c>
      <c r="C4557" s="2" t="inlineStr">
        <is>
          <t>C0503</t>
        </is>
      </c>
      <c r="D4557" s="2" t="inlineStr">
        <is>
          <t>P0013</t>
        </is>
      </c>
      <c r="E4557" s="2" t="inlineStr">
        <is>
          <t>Storage Organizer</t>
        </is>
      </c>
      <c r="F4557" s="2" t="inlineStr">
        <is>
          <t>Home &amp; Kitchen</t>
        </is>
      </c>
      <c r="G4557" s="2" t="inlineStr">
        <is>
          <t>West</t>
        </is>
      </c>
      <c r="H4557" s="2" t="inlineStr">
        <is>
          <t>Gujarat</t>
        </is>
      </c>
      <c r="I4557" s="2" t="inlineStr">
        <is>
          <t>Surat</t>
        </is>
      </c>
      <c r="J4557" s="2" t="inlineStr">
        <is>
          <t>Online</t>
        </is>
      </c>
      <c r="K4557" s="2" t="n">
        <v>3</v>
      </c>
      <c r="L4557" s="3" t="n">
        <v>585.02</v>
      </c>
      <c r="M4557" s="4" t="n">
        <v>0.1</v>
      </c>
      <c r="N4557" s="3" t="n">
        <v>1090.74</v>
      </c>
      <c r="O4557" s="3">
        <f>K4557*L4557*(1-M4557)</f>
        <v/>
      </c>
      <c r="P4557" s="3">
        <f>O4557-N4557</f>
        <v/>
      </c>
      <c r="Q4557" s="5">
        <f>IFERROR(P4557/O4557,0)</f>
        <v/>
      </c>
      <c r="R4557" s="2">
        <f>TEXT(DATEVALUE(B4557),"mmm")</f>
        <v/>
      </c>
      <c r="S4557" s="2">
        <f>TEXT(DATEVALUE(B4557),"yyyy-mm")</f>
        <v/>
      </c>
    </row>
    <row r="4558">
      <c r="A4558" s="2" t="inlineStr">
        <is>
          <t>O004678</t>
        </is>
      </c>
      <c r="B4558" s="2" t="inlineStr">
        <is>
          <t>2025-11-29</t>
        </is>
      </c>
      <c r="C4558" s="2" t="inlineStr">
        <is>
          <t>C0730</t>
        </is>
      </c>
      <c r="D4558" s="2" t="inlineStr">
        <is>
          <t>P0014</t>
        </is>
      </c>
      <c r="E4558" s="2" t="inlineStr">
        <is>
          <t>Coffee Maker</t>
        </is>
      </c>
      <c r="F4558" s="2" t="inlineStr">
        <is>
          <t>Home &amp; Kitchen</t>
        </is>
      </c>
      <c r="G4558" s="2" t="inlineStr">
        <is>
          <t>North</t>
        </is>
      </c>
      <c r="H4558" s="2" t="inlineStr">
        <is>
          <t>Punjab</t>
        </is>
      </c>
      <c r="I4558" s="2" t="inlineStr">
        <is>
          <t>Amritsar</t>
        </is>
      </c>
      <c r="J4558" s="2" t="inlineStr">
        <is>
          <t>Store</t>
        </is>
      </c>
      <c r="K4558" s="2" t="n">
        <v>1</v>
      </c>
      <c r="L4558" s="3" t="n">
        <v>1033.3</v>
      </c>
      <c r="M4558" s="4" t="n">
        <v>0</v>
      </c>
      <c r="N4558" s="3" t="n">
        <v>763.27</v>
      </c>
      <c r="O4558" s="3">
        <f>K4558*L4558*(1-M4558)</f>
        <v/>
      </c>
      <c r="P4558" s="3">
        <f>O4558-N4558</f>
        <v/>
      </c>
      <c r="Q4558" s="5">
        <f>IFERROR(P4558/O4558,0)</f>
        <v/>
      </c>
      <c r="R4558" s="2">
        <f>TEXT(DATEVALUE(B4558),"mmm")</f>
        <v/>
      </c>
      <c r="S4558" s="2">
        <f>TEXT(DATEVALUE(B4558),"yyyy-mm")</f>
        <v/>
      </c>
    </row>
    <row r="4559">
      <c r="A4559" s="2" t="inlineStr">
        <is>
          <t>O003111</t>
        </is>
      </c>
      <c r="B4559" s="2" t="inlineStr">
        <is>
          <t>2025-11-30</t>
        </is>
      </c>
      <c r="C4559" s="2" t="inlineStr">
        <is>
          <t>C0731</t>
        </is>
      </c>
      <c r="D4559" s="2" t="inlineStr">
        <is>
          <t>P0027</t>
        </is>
      </c>
      <c r="E4559" s="2" t="inlineStr">
        <is>
          <t>Moisturizer</t>
        </is>
      </c>
      <c r="F4559" s="2" t="inlineStr">
        <is>
          <t>Beauty</t>
        </is>
      </c>
      <c r="G4559" s="2" t="inlineStr">
        <is>
          <t>South</t>
        </is>
      </c>
      <c r="H4559" s="2" t="inlineStr">
        <is>
          <t>Karnataka</t>
        </is>
      </c>
      <c r="I4559" s="2" t="inlineStr">
        <is>
          <t>Mysuru</t>
        </is>
      </c>
      <c r="J4559" s="2" t="inlineStr">
        <is>
          <t>Online</t>
        </is>
      </c>
      <c r="K4559" s="2" t="n">
        <v>3</v>
      </c>
      <c r="L4559" s="3" t="n">
        <v>974.62</v>
      </c>
      <c r="M4559" s="4" t="n">
        <v>0.1</v>
      </c>
      <c r="N4559" s="3" t="n">
        <v>2028.03</v>
      </c>
      <c r="O4559" s="3">
        <f>K4559*L4559*(1-M4559)</f>
        <v/>
      </c>
      <c r="P4559" s="3">
        <f>O4559-N4559</f>
        <v/>
      </c>
      <c r="Q4559" s="5">
        <f>IFERROR(P4559/O4559,0)</f>
        <v/>
      </c>
      <c r="R4559" s="2">
        <f>TEXT(DATEVALUE(B4559),"mmm")</f>
        <v/>
      </c>
      <c r="S4559" s="2">
        <f>TEXT(DATEVALUE(B4559),"yyyy-mm")</f>
        <v/>
      </c>
    </row>
    <row r="4560">
      <c r="A4560" s="2" t="inlineStr">
        <is>
          <t>O004273</t>
        </is>
      </c>
      <c r="B4560" s="2" t="inlineStr">
        <is>
          <t>2025-11-30</t>
        </is>
      </c>
      <c r="C4560" s="2" t="inlineStr">
        <is>
          <t>C0728</t>
        </is>
      </c>
      <c r="D4560" s="2" t="inlineStr">
        <is>
          <t>P0004</t>
        </is>
      </c>
      <c r="E4560" s="2" t="inlineStr">
        <is>
          <t>USB-C Hub</t>
        </is>
      </c>
      <c r="F4560" s="2" t="inlineStr">
        <is>
          <t>Electronics</t>
        </is>
      </c>
      <c r="G4560" s="2" t="inlineStr">
        <is>
          <t>West</t>
        </is>
      </c>
      <c r="H4560" s="2" t="inlineStr">
        <is>
          <t>Gujarat</t>
        </is>
      </c>
      <c r="I4560" s="2" t="inlineStr">
        <is>
          <t>Vadodara</t>
        </is>
      </c>
      <c r="J4560" s="2" t="inlineStr">
        <is>
          <t>Store</t>
        </is>
      </c>
      <c r="K4560" s="2" t="n">
        <v>2</v>
      </c>
      <c r="L4560" s="3" t="n">
        <v>1303.74</v>
      </c>
      <c r="M4560" s="4" t="n">
        <v>0.05</v>
      </c>
      <c r="N4560" s="3" t="n">
        <v>1843.14</v>
      </c>
      <c r="O4560" s="3">
        <f>K4560*L4560*(1-M4560)</f>
        <v/>
      </c>
      <c r="P4560" s="3">
        <f>O4560-N4560</f>
        <v/>
      </c>
      <c r="Q4560" s="5">
        <f>IFERROR(P4560/O4560,0)</f>
        <v/>
      </c>
      <c r="R4560" s="2">
        <f>TEXT(DATEVALUE(B4560),"mmm")</f>
        <v/>
      </c>
      <c r="S4560" s="2">
        <f>TEXT(DATEVALUE(B4560),"yyyy-mm")</f>
        <v/>
      </c>
    </row>
    <row r="4561">
      <c r="A4561" s="2" t="inlineStr">
        <is>
          <t>O003147</t>
        </is>
      </c>
      <c r="B4561" s="2" t="inlineStr">
        <is>
          <t>2025-11-30</t>
        </is>
      </c>
      <c r="C4561" s="2" t="inlineStr">
        <is>
          <t>C0200</t>
        </is>
      </c>
      <c r="D4561" s="2" t="inlineStr">
        <is>
          <t>P0012</t>
        </is>
      </c>
      <c r="E4561" s="2" t="inlineStr">
        <is>
          <t>Water Bottle</t>
        </is>
      </c>
      <c r="F4561" s="2" t="inlineStr">
        <is>
          <t>Home &amp; Kitchen</t>
        </is>
      </c>
      <c r="G4561" s="2" t="inlineStr">
        <is>
          <t>East</t>
        </is>
      </c>
      <c r="H4561" s="2" t="inlineStr">
        <is>
          <t>Bihar</t>
        </is>
      </c>
      <c r="I4561" s="2" t="inlineStr">
        <is>
          <t>Gaya</t>
        </is>
      </c>
      <c r="J4561" s="2" t="inlineStr">
        <is>
          <t>Online</t>
        </is>
      </c>
      <c r="K4561" s="2" t="n">
        <v>2</v>
      </c>
      <c r="L4561" s="3" t="n">
        <v>984.74</v>
      </c>
      <c r="M4561" s="4" t="n">
        <v>0.15</v>
      </c>
      <c r="N4561" s="3" t="n">
        <v>1259.2</v>
      </c>
      <c r="O4561" s="3">
        <f>K4561*L4561*(1-M4561)</f>
        <v/>
      </c>
      <c r="P4561" s="3">
        <f>O4561-N4561</f>
        <v/>
      </c>
      <c r="Q4561" s="5">
        <f>IFERROR(P4561/O4561,0)</f>
        <v/>
      </c>
      <c r="R4561" s="2">
        <f>TEXT(DATEVALUE(B4561),"mmm")</f>
        <v/>
      </c>
      <c r="S4561" s="2">
        <f>TEXT(DATEVALUE(B4561),"yyyy-mm")</f>
        <v/>
      </c>
    </row>
    <row r="4562">
      <c r="A4562" s="2" t="inlineStr">
        <is>
          <t>O002608</t>
        </is>
      </c>
      <c r="B4562" s="2" t="inlineStr">
        <is>
          <t>2025-11-30</t>
        </is>
      </c>
      <c r="C4562" s="2" t="inlineStr">
        <is>
          <t>C0211</t>
        </is>
      </c>
      <c r="D4562" s="2" t="inlineStr">
        <is>
          <t>P0001</t>
        </is>
      </c>
      <c r="E4562" s="2" t="inlineStr">
        <is>
          <t>Wireless Headphones</t>
        </is>
      </c>
      <c r="F4562" s="2" t="inlineStr">
        <is>
          <t>Electronics</t>
        </is>
      </c>
      <c r="G4562" s="2" t="inlineStr">
        <is>
          <t>East</t>
        </is>
      </c>
      <c r="H4562" s="2" t="inlineStr">
        <is>
          <t>West Bengal</t>
        </is>
      </c>
      <c r="I4562" s="2" t="inlineStr">
        <is>
          <t>Durgapur</t>
        </is>
      </c>
      <c r="J4562" s="2" t="inlineStr">
        <is>
          <t>Store</t>
        </is>
      </c>
      <c r="K4562" s="2" t="n">
        <v>3</v>
      </c>
      <c r="L4562" s="3" t="n">
        <v>1336.25</v>
      </c>
      <c r="M4562" s="4" t="n">
        <v>0.1</v>
      </c>
      <c r="N4562" s="3" t="n">
        <v>2156.56</v>
      </c>
      <c r="O4562" s="3">
        <f>K4562*L4562*(1-M4562)</f>
        <v/>
      </c>
      <c r="P4562" s="3">
        <f>O4562-N4562</f>
        <v/>
      </c>
      <c r="Q4562" s="5">
        <f>IFERROR(P4562/O4562,0)</f>
        <v/>
      </c>
      <c r="R4562" s="2">
        <f>TEXT(DATEVALUE(B4562),"mmm")</f>
        <v/>
      </c>
      <c r="S4562" s="2">
        <f>TEXT(DATEVALUE(B4562),"yyyy-mm")</f>
        <v/>
      </c>
    </row>
    <row r="4563">
      <c r="A4563" s="2" t="inlineStr">
        <is>
          <t>O001948</t>
        </is>
      </c>
      <c r="B4563" s="2" t="inlineStr">
        <is>
          <t>2025-11-30</t>
        </is>
      </c>
      <c r="C4563" s="2" t="inlineStr">
        <is>
          <t>C0590</t>
        </is>
      </c>
      <c r="D4563" s="2" t="inlineStr">
        <is>
          <t>P0033</t>
        </is>
      </c>
      <c r="E4563" s="2" t="inlineStr">
        <is>
          <t>Resistance Bands</t>
        </is>
      </c>
      <c r="F4563" s="2" t="inlineStr">
        <is>
          <t>Sports</t>
        </is>
      </c>
      <c r="G4563" s="2" t="inlineStr">
        <is>
          <t>West</t>
        </is>
      </c>
      <c r="H4563" s="2" t="inlineStr">
        <is>
          <t>Maharashtra</t>
        </is>
      </c>
      <c r="I4563" s="2" t="inlineStr">
        <is>
          <t>Thane</t>
        </is>
      </c>
      <c r="J4563" s="2" t="inlineStr">
        <is>
          <t>Online</t>
        </is>
      </c>
      <c r="K4563" s="2" t="n">
        <v>4</v>
      </c>
      <c r="L4563" s="3" t="n">
        <v>1091.44</v>
      </c>
      <c r="M4563" s="4" t="n">
        <v>0.1</v>
      </c>
      <c r="N4563" s="3" t="n">
        <v>3043.16</v>
      </c>
      <c r="O4563" s="3">
        <f>K4563*L4563*(1-M4563)</f>
        <v/>
      </c>
      <c r="P4563" s="3">
        <f>O4563-N4563</f>
        <v/>
      </c>
      <c r="Q4563" s="5">
        <f>IFERROR(P4563/O4563,0)</f>
        <v/>
      </c>
      <c r="R4563" s="2">
        <f>TEXT(DATEVALUE(B4563),"mmm")</f>
        <v/>
      </c>
      <c r="S4563" s="2">
        <f>TEXT(DATEVALUE(B4563),"yyyy-mm")</f>
        <v/>
      </c>
    </row>
    <row r="4564">
      <c r="A4564" s="2" t="inlineStr">
        <is>
          <t>O002162</t>
        </is>
      </c>
      <c r="B4564" s="2" t="inlineStr">
        <is>
          <t>2025-11-30</t>
        </is>
      </c>
      <c r="C4564" s="2" t="inlineStr">
        <is>
          <t>C0694</t>
        </is>
      </c>
      <c r="D4564" s="2" t="inlineStr">
        <is>
          <t>P0035</t>
        </is>
      </c>
      <c r="E4564" s="2" t="inlineStr">
        <is>
          <t>Skipping Rope</t>
        </is>
      </c>
      <c r="F4564" s="2" t="inlineStr">
        <is>
          <t>Sports</t>
        </is>
      </c>
      <c r="G4564" s="2" t="inlineStr">
        <is>
          <t>North</t>
        </is>
      </c>
      <c r="H4564" s="2" t="inlineStr">
        <is>
          <t>Punjab</t>
        </is>
      </c>
      <c r="I4564" s="2" t="inlineStr">
        <is>
          <t>Jalandhar</t>
        </is>
      </c>
      <c r="J4564" s="2" t="inlineStr">
        <is>
          <t>Store</t>
        </is>
      </c>
      <c r="K4564" s="2" t="n">
        <v>3</v>
      </c>
      <c r="L4564" s="3" t="n">
        <v>691.9299999999999</v>
      </c>
      <c r="M4564" s="4" t="n">
        <v>0</v>
      </c>
      <c r="N4564" s="3" t="n">
        <v>1222.49</v>
      </c>
      <c r="O4564" s="3">
        <f>K4564*L4564*(1-M4564)</f>
        <v/>
      </c>
      <c r="P4564" s="3">
        <f>O4564-N4564</f>
        <v/>
      </c>
      <c r="Q4564" s="5">
        <f>IFERROR(P4564/O4564,0)</f>
        <v/>
      </c>
      <c r="R4564" s="2">
        <f>TEXT(DATEVALUE(B4564),"mmm")</f>
        <v/>
      </c>
      <c r="S4564" s="2">
        <f>TEXT(DATEVALUE(B4564),"yyyy-mm")</f>
        <v/>
      </c>
    </row>
    <row r="4565">
      <c r="A4565" s="2" t="inlineStr">
        <is>
          <t>O002005</t>
        </is>
      </c>
      <c r="B4565" s="2" t="inlineStr">
        <is>
          <t>2025-11-30</t>
        </is>
      </c>
      <c r="C4565" s="2" t="inlineStr">
        <is>
          <t>C0239</t>
        </is>
      </c>
      <c r="D4565" s="2" t="inlineStr">
        <is>
          <t>P0023</t>
        </is>
      </c>
      <c r="E4565" s="2" t="inlineStr">
        <is>
          <t>Skin Care Kit</t>
        </is>
      </c>
      <c r="F4565" s="2" t="inlineStr">
        <is>
          <t>Beauty</t>
        </is>
      </c>
      <c r="G4565" s="2" t="inlineStr">
        <is>
          <t>East</t>
        </is>
      </c>
      <c r="H4565" s="2" t="inlineStr">
        <is>
          <t>Odisha</t>
        </is>
      </c>
      <c r="I4565" s="2" t="inlineStr">
        <is>
          <t>Cuttack</t>
        </is>
      </c>
      <c r="J4565" s="2" t="inlineStr">
        <is>
          <t>Online</t>
        </is>
      </c>
      <c r="K4565" s="2" t="n">
        <v>1</v>
      </c>
      <c r="L4565" s="3" t="n">
        <v>1373.63</v>
      </c>
      <c r="M4565" s="4" t="n">
        <v>0.1</v>
      </c>
      <c r="N4565" s="3" t="n">
        <v>874.63</v>
      </c>
      <c r="O4565" s="3">
        <f>K4565*L4565*(1-M4565)</f>
        <v/>
      </c>
      <c r="P4565" s="3">
        <f>O4565-N4565</f>
        <v/>
      </c>
      <c r="Q4565" s="5">
        <f>IFERROR(P4565/O4565,0)</f>
        <v/>
      </c>
      <c r="R4565" s="2">
        <f>TEXT(DATEVALUE(B4565),"mmm")</f>
        <v/>
      </c>
      <c r="S4565" s="2">
        <f>TEXT(DATEVALUE(B4565),"yyyy-mm")</f>
        <v/>
      </c>
    </row>
    <row r="4566">
      <c r="A4566" s="2" t="inlineStr">
        <is>
          <t>O002420</t>
        </is>
      </c>
      <c r="B4566" s="2" t="inlineStr">
        <is>
          <t>2025-11-30</t>
        </is>
      </c>
      <c r="C4566" s="2" t="inlineStr">
        <is>
          <t>C0029</t>
        </is>
      </c>
      <c r="D4566" s="2" t="inlineStr">
        <is>
          <t>P0024</t>
        </is>
      </c>
      <c r="E4566" s="2" t="inlineStr">
        <is>
          <t>Hair Dryer</t>
        </is>
      </c>
      <c r="F4566" s="2" t="inlineStr">
        <is>
          <t>Beauty</t>
        </is>
      </c>
      <c r="G4566" s="2" t="inlineStr">
        <is>
          <t>West</t>
        </is>
      </c>
      <c r="H4566" s="2" t="inlineStr">
        <is>
          <t>Gujarat</t>
        </is>
      </c>
      <c r="I4566" s="2" t="inlineStr">
        <is>
          <t>Ahmedabad</t>
        </is>
      </c>
      <c r="J4566" s="2" t="inlineStr">
        <is>
          <t>Online</t>
        </is>
      </c>
      <c r="K4566" s="2" t="n">
        <v>1</v>
      </c>
      <c r="L4566" s="3" t="n">
        <v>1042.59</v>
      </c>
      <c r="M4566" s="4" t="n">
        <v>0.05</v>
      </c>
      <c r="N4566" s="3" t="n">
        <v>748.23</v>
      </c>
      <c r="O4566" s="3">
        <f>K4566*L4566*(1-M4566)</f>
        <v/>
      </c>
      <c r="P4566" s="3">
        <f>O4566-N4566</f>
        <v/>
      </c>
      <c r="Q4566" s="5">
        <f>IFERROR(P4566/O4566,0)</f>
        <v/>
      </c>
      <c r="R4566" s="2">
        <f>TEXT(DATEVALUE(B4566),"mmm")</f>
        <v/>
      </c>
      <c r="S4566" s="2">
        <f>TEXT(DATEVALUE(B4566),"yyyy-mm")</f>
        <v/>
      </c>
    </row>
    <row r="4567">
      <c r="A4567" s="2" t="inlineStr">
        <is>
          <t>O001025</t>
        </is>
      </c>
      <c r="B4567" s="2" t="inlineStr">
        <is>
          <t>2025-11-30</t>
        </is>
      </c>
      <c r="C4567" s="2" t="inlineStr">
        <is>
          <t>C0194</t>
        </is>
      </c>
      <c r="D4567" s="2" t="inlineStr">
        <is>
          <t>P0011</t>
        </is>
      </c>
      <c r="E4567" s="2" t="inlineStr">
        <is>
          <t>Cookware Set</t>
        </is>
      </c>
      <c r="F4567" s="2" t="inlineStr">
        <is>
          <t>Home &amp; Kitchen</t>
        </is>
      </c>
      <c r="G4567" s="2" t="inlineStr">
        <is>
          <t>North</t>
        </is>
      </c>
      <c r="H4567" s="2" t="inlineStr">
        <is>
          <t>Delhi</t>
        </is>
      </c>
      <c r="I4567" s="2" t="inlineStr">
        <is>
          <t>New Delhi</t>
        </is>
      </c>
      <c r="J4567" s="2" t="inlineStr">
        <is>
          <t>Store</t>
        </is>
      </c>
      <c r="K4567" s="2" t="n">
        <v>3</v>
      </c>
      <c r="L4567" s="3" t="n">
        <v>674.1799999999999</v>
      </c>
      <c r="M4567" s="4" t="n">
        <v>0.05</v>
      </c>
      <c r="N4567" s="3" t="n">
        <v>1413.26</v>
      </c>
      <c r="O4567" s="3">
        <f>K4567*L4567*(1-M4567)</f>
        <v/>
      </c>
      <c r="P4567" s="3">
        <f>O4567-N4567</f>
        <v/>
      </c>
      <c r="Q4567" s="5">
        <f>IFERROR(P4567/O4567,0)</f>
        <v/>
      </c>
      <c r="R4567" s="2">
        <f>TEXT(DATEVALUE(B4567),"mmm")</f>
        <v/>
      </c>
      <c r="S4567" s="2">
        <f>TEXT(DATEVALUE(B4567),"yyyy-mm")</f>
        <v/>
      </c>
    </row>
    <row r="4568">
      <c r="A4568" s="2" t="inlineStr">
        <is>
          <t>O004680</t>
        </is>
      </c>
      <c r="B4568" s="2" t="inlineStr">
        <is>
          <t>2025-12-01</t>
        </is>
      </c>
      <c r="C4568" s="2" t="inlineStr">
        <is>
          <t>C0078</t>
        </is>
      </c>
      <c r="D4568" s="2" t="inlineStr">
        <is>
          <t>P0027</t>
        </is>
      </c>
      <c r="E4568" s="2" t="inlineStr">
        <is>
          <t>Moisturizer</t>
        </is>
      </c>
      <c r="F4568" s="2" t="inlineStr">
        <is>
          <t>Beauty</t>
        </is>
      </c>
      <c r="G4568" s="2" t="inlineStr">
        <is>
          <t>West</t>
        </is>
      </c>
      <c r="H4568" s="2" t="inlineStr">
        <is>
          <t>Maharashtra</t>
        </is>
      </c>
      <c r="I4568" s="2" t="inlineStr">
        <is>
          <t>Nashik</t>
        </is>
      </c>
      <c r="J4568" s="2" t="inlineStr">
        <is>
          <t>Online</t>
        </is>
      </c>
      <c r="K4568" s="2" t="n">
        <v>2</v>
      </c>
      <c r="L4568" s="3" t="n">
        <v>943.1900000000001</v>
      </c>
      <c r="M4568" s="4" t="n">
        <v>0.15</v>
      </c>
      <c r="N4568" s="3" t="n">
        <v>1413.98</v>
      </c>
      <c r="O4568" s="3">
        <f>K4568*L4568*(1-M4568)</f>
        <v/>
      </c>
      <c r="P4568" s="3">
        <f>O4568-N4568</f>
        <v/>
      </c>
      <c r="Q4568" s="5">
        <f>IFERROR(P4568/O4568,0)</f>
        <v/>
      </c>
      <c r="R4568" s="2">
        <f>TEXT(DATEVALUE(B4568),"mmm")</f>
        <v/>
      </c>
      <c r="S4568" s="2">
        <f>TEXT(DATEVALUE(B4568),"yyyy-mm")</f>
        <v/>
      </c>
    </row>
    <row r="4569">
      <c r="A4569" s="2" t="inlineStr">
        <is>
          <t>O004670</t>
        </is>
      </c>
      <c r="B4569" s="2" t="inlineStr">
        <is>
          <t>2025-12-01</t>
        </is>
      </c>
      <c r="C4569" s="2" t="inlineStr">
        <is>
          <t>C0798</t>
        </is>
      </c>
      <c r="D4569" s="2" t="inlineStr">
        <is>
          <t>P0011</t>
        </is>
      </c>
      <c r="E4569" s="2" t="inlineStr">
        <is>
          <t>Cookware Set</t>
        </is>
      </c>
      <c r="F4569" s="2" t="inlineStr">
        <is>
          <t>Home &amp; Kitchen</t>
        </is>
      </c>
      <c r="G4569" s="2" t="inlineStr">
        <is>
          <t>West</t>
        </is>
      </c>
      <c r="H4569" s="2" t="inlineStr">
        <is>
          <t>Goa</t>
        </is>
      </c>
      <c r="I4569" s="2" t="inlineStr">
        <is>
          <t>Panaji</t>
        </is>
      </c>
      <c r="J4569" s="2" t="inlineStr">
        <is>
          <t>Online</t>
        </is>
      </c>
      <c r="K4569" s="2" t="n">
        <v>2</v>
      </c>
      <c r="L4569" s="3" t="n">
        <v>723.47</v>
      </c>
      <c r="M4569" s="4" t="n">
        <v>0.1</v>
      </c>
      <c r="N4569" s="3" t="n">
        <v>929.8</v>
      </c>
      <c r="O4569" s="3">
        <f>K4569*L4569*(1-M4569)</f>
        <v/>
      </c>
      <c r="P4569" s="3">
        <f>O4569-N4569</f>
        <v/>
      </c>
      <c r="Q4569" s="5">
        <f>IFERROR(P4569/O4569,0)</f>
        <v/>
      </c>
      <c r="R4569" s="2">
        <f>TEXT(DATEVALUE(B4569),"mmm")</f>
        <v/>
      </c>
      <c r="S4569" s="2">
        <f>TEXT(DATEVALUE(B4569),"yyyy-mm")</f>
        <v/>
      </c>
    </row>
    <row r="4570">
      <c r="A4570" s="2" t="inlineStr">
        <is>
          <t>O004468</t>
        </is>
      </c>
      <c r="B4570" s="2" t="inlineStr">
        <is>
          <t>2025-12-01</t>
        </is>
      </c>
      <c r="C4570" s="2" t="inlineStr">
        <is>
          <t>C0723</t>
        </is>
      </c>
      <c r="D4570" s="2" t="inlineStr">
        <is>
          <t>P0021</t>
        </is>
      </c>
      <c r="E4570" s="2" t="inlineStr">
        <is>
          <t>Wallet</t>
        </is>
      </c>
      <c r="F4570" s="2" t="inlineStr">
        <is>
          <t>Fashion</t>
        </is>
      </c>
      <c r="G4570" s="2" t="inlineStr">
        <is>
          <t>North</t>
        </is>
      </c>
      <c r="H4570" s="2" t="inlineStr">
        <is>
          <t>Uttar Pradesh</t>
        </is>
      </c>
      <c r="I4570" s="2" t="inlineStr">
        <is>
          <t>Kanpur</t>
        </is>
      </c>
      <c r="J4570" s="2" t="inlineStr">
        <is>
          <t>Store</t>
        </is>
      </c>
      <c r="K4570" s="2" t="n">
        <v>1</v>
      </c>
      <c r="L4570" s="3" t="n">
        <v>2041.27</v>
      </c>
      <c r="M4570" s="4" t="n">
        <v>0.2</v>
      </c>
      <c r="N4570" s="3" t="n">
        <v>1236.18</v>
      </c>
      <c r="O4570" s="3">
        <f>K4570*L4570*(1-M4570)</f>
        <v/>
      </c>
      <c r="P4570" s="3">
        <f>O4570-N4570</f>
        <v/>
      </c>
      <c r="Q4570" s="5">
        <f>IFERROR(P4570/O4570,0)</f>
        <v/>
      </c>
      <c r="R4570" s="2">
        <f>TEXT(DATEVALUE(B4570),"mmm")</f>
        <v/>
      </c>
      <c r="S4570" s="2">
        <f>TEXT(DATEVALUE(B4570),"yyyy-mm")</f>
        <v/>
      </c>
    </row>
    <row r="4571">
      <c r="A4571" s="2" t="inlineStr">
        <is>
          <t>O003660</t>
        </is>
      </c>
      <c r="B4571" s="2" t="inlineStr">
        <is>
          <t>2025-12-01</t>
        </is>
      </c>
      <c r="C4571" s="2" t="inlineStr">
        <is>
          <t>C0456</t>
        </is>
      </c>
      <c r="D4571" s="2" t="inlineStr">
        <is>
          <t>P0031</t>
        </is>
      </c>
      <c r="E4571" s="2" t="inlineStr">
        <is>
          <t>Cricket Bat</t>
        </is>
      </c>
      <c r="F4571" s="2" t="inlineStr">
        <is>
          <t>Sports</t>
        </is>
      </c>
      <c r="G4571" s="2" t="inlineStr">
        <is>
          <t>West</t>
        </is>
      </c>
      <c r="H4571" s="2" t="inlineStr">
        <is>
          <t>Maharashtra</t>
        </is>
      </c>
      <c r="I4571" s="2" t="inlineStr">
        <is>
          <t>Mumbai</t>
        </is>
      </c>
      <c r="J4571" s="2" t="inlineStr">
        <is>
          <t>Online</t>
        </is>
      </c>
      <c r="K4571" s="2" t="n">
        <v>2</v>
      </c>
      <c r="L4571" s="3" t="n">
        <v>1385.55</v>
      </c>
      <c r="M4571" s="4" t="n">
        <v>0.05</v>
      </c>
      <c r="N4571" s="3" t="n">
        <v>1921.87</v>
      </c>
      <c r="O4571" s="3">
        <f>K4571*L4571*(1-M4571)</f>
        <v/>
      </c>
      <c r="P4571" s="3">
        <f>O4571-N4571</f>
        <v/>
      </c>
      <c r="Q4571" s="5">
        <f>IFERROR(P4571/O4571,0)</f>
        <v/>
      </c>
      <c r="R4571" s="2">
        <f>TEXT(DATEVALUE(B4571),"mmm")</f>
        <v/>
      </c>
      <c r="S4571" s="2">
        <f>TEXT(DATEVALUE(B4571),"yyyy-mm")</f>
        <v/>
      </c>
    </row>
    <row r="4572">
      <c r="A4572" s="2" t="inlineStr">
        <is>
          <t>O001926</t>
        </is>
      </c>
      <c r="B4572" s="2" t="inlineStr">
        <is>
          <t>2025-12-01</t>
        </is>
      </c>
      <c r="C4572" s="2" t="inlineStr">
        <is>
          <t>C0457</t>
        </is>
      </c>
      <c r="D4572" s="2" t="inlineStr">
        <is>
          <t>P0004</t>
        </is>
      </c>
      <c r="E4572" s="2" t="inlineStr">
        <is>
          <t>USB-C Hub</t>
        </is>
      </c>
      <c r="F4572" s="2" t="inlineStr">
        <is>
          <t>Electronics</t>
        </is>
      </c>
      <c r="G4572" s="2" t="inlineStr">
        <is>
          <t>South</t>
        </is>
      </c>
      <c r="H4572" s="2" t="inlineStr">
        <is>
          <t>Tamil Nadu</t>
        </is>
      </c>
      <c r="I4572" s="2" t="inlineStr">
        <is>
          <t>Chennai</t>
        </is>
      </c>
      <c r="J4572" s="2" t="inlineStr">
        <is>
          <t>Store</t>
        </is>
      </c>
      <c r="K4572" s="2" t="n">
        <v>3</v>
      </c>
      <c r="L4572" s="3" t="n">
        <v>1284.34</v>
      </c>
      <c r="M4572" s="4" t="n">
        <v>0</v>
      </c>
      <c r="N4572" s="3" t="n">
        <v>2828.99</v>
      </c>
      <c r="O4572" s="3">
        <f>K4572*L4572*(1-M4572)</f>
        <v/>
      </c>
      <c r="P4572" s="3">
        <f>O4572-N4572</f>
        <v/>
      </c>
      <c r="Q4572" s="5">
        <f>IFERROR(P4572/O4572,0)</f>
        <v/>
      </c>
      <c r="R4572" s="2">
        <f>TEXT(DATEVALUE(B4572),"mmm")</f>
        <v/>
      </c>
      <c r="S4572" s="2">
        <f>TEXT(DATEVALUE(B4572),"yyyy-mm")</f>
        <v/>
      </c>
    </row>
    <row r="4573">
      <c r="A4573" s="2" t="inlineStr">
        <is>
          <t>O003366</t>
        </is>
      </c>
      <c r="B4573" s="2" t="inlineStr">
        <is>
          <t>2025-12-01</t>
        </is>
      </c>
      <c r="C4573" s="2" t="inlineStr">
        <is>
          <t>C0557</t>
        </is>
      </c>
      <c r="D4573" s="2" t="inlineStr">
        <is>
          <t>P0026</t>
        </is>
      </c>
      <c r="E4573" s="2" t="inlineStr">
        <is>
          <t>Shampoo</t>
        </is>
      </c>
      <c r="F4573" s="2" t="inlineStr">
        <is>
          <t>Beauty</t>
        </is>
      </c>
      <c r="G4573" s="2" t="inlineStr">
        <is>
          <t>West</t>
        </is>
      </c>
      <c r="H4573" s="2" t="inlineStr">
        <is>
          <t>Maharashtra</t>
        </is>
      </c>
      <c r="I4573" s="2" t="inlineStr">
        <is>
          <t>Thane</t>
        </is>
      </c>
      <c r="J4573" s="2" t="inlineStr">
        <is>
          <t>Online</t>
        </is>
      </c>
      <c r="K4573" s="2" t="n">
        <v>1</v>
      </c>
      <c r="L4573" s="3" t="n">
        <v>885.72</v>
      </c>
      <c r="M4573" s="4" t="n">
        <v>0</v>
      </c>
      <c r="N4573" s="3" t="n">
        <v>521.0700000000001</v>
      </c>
      <c r="O4573" s="3">
        <f>K4573*L4573*(1-M4573)</f>
        <v/>
      </c>
      <c r="P4573" s="3">
        <f>O4573-N4573</f>
        <v/>
      </c>
      <c r="Q4573" s="5">
        <f>IFERROR(P4573/O4573,0)</f>
        <v/>
      </c>
      <c r="R4573" s="2">
        <f>TEXT(DATEVALUE(B4573),"mmm")</f>
        <v/>
      </c>
      <c r="S4573" s="2">
        <f>TEXT(DATEVALUE(B4573),"yyyy-mm")</f>
        <v/>
      </c>
    </row>
    <row r="4574">
      <c r="A4574" s="2" t="inlineStr">
        <is>
          <t>O001461</t>
        </is>
      </c>
      <c r="B4574" s="2" t="inlineStr">
        <is>
          <t>2025-12-01</t>
        </is>
      </c>
      <c r="C4574" s="2" t="inlineStr">
        <is>
          <t>C0390</t>
        </is>
      </c>
      <c r="D4574" s="2" t="inlineStr">
        <is>
          <t>P0012</t>
        </is>
      </c>
      <c r="E4574" s="2" t="inlineStr">
        <is>
          <t>Water Bottle</t>
        </is>
      </c>
      <c r="F4574" s="2" t="inlineStr">
        <is>
          <t>Home &amp; Kitchen</t>
        </is>
      </c>
      <c r="G4574" s="2" t="inlineStr">
        <is>
          <t>West</t>
        </is>
      </c>
      <c r="H4574" s="2" t="inlineStr">
        <is>
          <t>Maharashtra</t>
        </is>
      </c>
      <c r="I4574" s="2" t="inlineStr">
        <is>
          <t>Mumbai</t>
        </is>
      </c>
      <c r="J4574" s="2" t="inlineStr">
        <is>
          <t>Online</t>
        </is>
      </c>
      <c r="K4574" s="2" t="n">
        <v>3</v>
      </c>
      <c r="L4574" s="3" t="n">
        <v>949.58</v>
      </c>
      <c r="M4574" s="4" t="n">
        <v>0.05</v>
      </c>
      <c r="N4574" s="3" t="n">
        <v>1835.41</v>
      </c>
      <c r="O4574" s="3">
        <f>K4574*L4574*(1-M4574)</f>
        <v/>
      </c>
      <c r="P4574" s="3">
        <f>O4574-N4574</f>
        <v/>
      </c>
      <c r="Q4574" s="5">
        <f>IFERROR(P4574/O4574,0)</f>
        <v/>
      </c>
      <c r="R4574" s="2">
        <f>TEXT(DATEVALUE(B4574),"mmm")</f>
        <v/>
      </c>
      <c r="S4574" s="2">
        <f>TEXT(DATEVALUE(B4574),"yyyy-mm")</f>
        <v/>
      </c>
    </row>
    <row r="4575">
      <c r="A4575" s="2" t="inlineStr">
        <is>
          <t>O000976</t>
        </is>
      </c>
      <c r="B4575" s="2" t="inlineStr">
        <is>
          <t>2025-12-01</t>
        </is>
      </c>
      <c r="C4575" s="2" t="inlineStr">
        <is>
          <t>C0226</t>
        </is>
      </c>
      <c r="D4575" s="2" t="inlineStr">
        <is>
          <t>P0024</t>
        </is>
      </c>
      <c r="E4575" s="2" t="inlineStr">
        <is>
          <t>Hair Dryer</t>
        </is>
      </c>
      <c r="F4575" s="2" t="inlineStr">
        <is>
          <t>Beauty</t>
        </is>
      </c>
      <c r="G4575" s="2" t="inlineStr">
        <is>
          <t>West</t>
        </is>
      </c>
      <c r="H4575" s="2" t="inlineStr">
        <is>
          <t>Maharashtra</t>
        </is>
      </c>
      <c r="I4575" s="2" t="inlineStr">
        <is>
          <t>Pune</t>
        </is>
      </c>
      <c r="J4575" s="2" t="inlineStr">
        <is>
          <t>Online</t>
        </is>
      </c>
      <c r="K4575" s="2" t="n">
        <v>3</v>
      </c>
      <c r="L4575" s="3" t="n">
        <v>1041.37</v>
      </c>
      <c r="M4575" s="4" t="n">
        <v>0.15</v>
      </c>
      <c r="N4575" s="3" t="n">
        <v>2254.98</v>
      </c>
      <c r="O4575" s="3">
        <f>K4575*L4575*(1-M4575)</f>
        <v/>
      </c>
      <c r="P4575" s="3">
        <f>O4575-N4575</f>
        <v/>
      </c>
      <c r="Q4575" s="5">
        <f>IFERROR(P4575/O4575,0)</f>
        <v/>
      </c>
      <c r="R4575" s="2">
        <f>TEXT(DATEVALUE(B4575),"mmm")</f>
        <v/>
      </c>
      <c r="S4575" s="2">
        <f>TEXT(DATEVALUE(B4575),"yyyy-mm")</f>
        <v/>
      </c>
    </row>
    <row r="4576">
      <c r="A4576" s="2" t="inlineStr">
        <is>
          <t>O000970</t>
        </is>
      </c>
      <c r="B4576" s="2" t="inlineStr">
        <is>
          <t>2025-12-01</t>
        </is>
      </c>
      <c r="C4576" s="2" t="inlineStr">
        <is>
          <t>C0130</t>
        </is>
      </c>
      <c r="D4576" s="2" t="inlineStr">
        <is>
          <t>P0011</t>
        </is>
      </c>
      <c r="E4576" s="2" t="inlineStr">
        <is>
          <t>Cookware Set</t>
        </is>
      </c>
      <c r="F4576" s="2" t="inlineStr">
        <is>
          <t>Home &amp; Kitchen</t>
        </is>
      </c>
      <c r="G4576" s="2" t="inlineStr">
        <is>
          <t>East</t>
        </is>
      </c>
      <c r="H4576" s="2" t="inlineStr">
        <is>
          <t>Odisha</t>
        </is>
      </c>
      <c r="I4576" s="2" t="inlineStr">
        <is>
          <t>Cuttack</t>
        </is>
      </c>
      <c r="J4576" s="2" t="inlineStr">
        <is>
          <t>Online</t>
        </is>
      </c>
      <c r="K4576" s="2" t="n">
        <v>3</v>
      </c>
      <c r="L4576" s="3" t="n">
        <v>690.61</v>
      </c>
      <c r="M4576" s="4" t="n">
        <v>0.1</v>
      </c>
      <c r="N4576" s="3" t="n">
        <v>1437.46</v>
      </c>
      <c r="O4576" s="3">
        <f>K4576*L4576*(1-M4576)</f>
        <v/>
      </c>
      <c r="P4576" s="3">
        <f>O4576-N4576</f>
        <v/>
      </c>
      <c r="Q4576" s="5">
        <f>IFERROR(P4576/O4576,0)</f>
        <v/>
      </c>
      <c r="R4576" s="2">
        <f>TEXT(DATEVALUE(B4576),"mmm")</f>
        <v/>
      </c>
      <c r="S4576" s="2">
        <f>TEXT(DATEVALUE(B4576),"yyyy-mm")</f>
        <v/>
      </c>
    </row>
    <row r="4577">
      <c r="A4577" s="2" t="inlineStr">
        <is>
          <t>O000801</t>
        </is>
      </c>
      <c r="B4577" s="2" t="inlineStr">
        <is>
          <t>2025-12-01</t>
        </is>
      </c>
      <c r="C4577" s="2" t="inlineStr">
        <is>
          <t>C0502</t>
        </is>
      </c>
      <c r="D4577" s="2" t="inlineStr">
        <is>
          <t>P0007</t>
        </is>
      </c>
      <c r="E4577" s="2" t="inlineStr">
        <is>
          <t>Wireless Mouse</t>
        </is>
      </c>
      <c r="F4577" s="2" t="inlineStr">
        <is>
          <t>Electronics</t>
        </is>
      </c>
      <c r="G4577" s="2" t="inlineStr">
        <is>
          <t>East</t>
        </is>
      </c>
      <c r="H4577" s="2" t="inlineStr">
        <is>
          <t>Bihar</t>
        </is>
      </c>
      <c r="I4577" s="2" t="inlineStr">
        <is>
          <t>Gaya</t>
        </is>
      </c>
      <c r="J4577" s="2" t="inlineStr">
        <is>
          <t>Store</t>
        </is>
      </c>
      <c r="K4577" s="2" t="n">
        <v>4</v>
      </c>
      <c r="L4577" s="3" t="n">
        <v>953.46</v>
      </c>
      <c r="M4577" s="4" t="n">
        <v>0.05</v>
      </c>
      <c r="N4577" s="3" t="n">
        <v>2407.26</v>
      </c>
      <c r="O4577" s="3">
        <f>K4577*L4577*(1-M4577)</f>
        <v/>
      </c>
      <c r="P4577" s="3">
        <f>O4577-N4577</f>
        <v/>
      </c>
      <c r="Q4577" s="5">
        <f>IFERROR(P4577/O4577,0)</f>
        <v/>
      </c>
      <c r="R4577" s="2">
        <f>TEXT(DATEVALUE(B4577),"mmm")</f>
        <v/>
      </c>
      <c r="S4577" s="2">
        <f>TEXT(DATEVALUE(B4577),"yyyy-mm")</f>
        <v/>
      </c>
    </row>
    <row r="4578">
      <c r="A4578" s="2" t="inlineStr">
        <is>
          <t>O000796</t>
        </is>
      </c>
      <c r="B4578" s="2" t="inlineStr">
        <is>
          <t>2025-12-01</t>
        </is>
      </c>
      <c r="C4578" s="2" t="inlineStr">
        <is>
          <t>C0076</t>
        </is>
      </c>
      <c r="D4578" s="2" t="inlineStr">
        <is>
          <t>P0027</t>
        </is>
      </c>
      <c r="E4578" s="2" t="inlineStr">
        <is>
          <t>Moisturizer</t>
        </is>
      </c>
      <c r="F4578" s="2" t="inlineStr">
        <is>
          <t>Beauty</t>
        </is>
      </c>
      <c r="G4578" s="2" t="inlineStr">
        <is>
          <t>West</t>
        </is>
      </c>
      <c r="H4578" s="2" t="inlineStr">
        <is>
          <t>Gujarat</t>
        </is>
      </c>
      <c r="I4578" s="2" t="inlineStr">
        <is>
          <t>Surat</t>
        </is>
      </c>
      <c r="J4578" s="2" t="inlineStr">
        <is>
          <t>Store</t>
        </is>
      </c>
      <c r="K4578" s="2" t="n">
        <v>3</v>
      </c>
      <c r="L4578" s="3" t="n">
        <v>934.11</v>
      </c>
      <c r="M4578" s="4" t="n">
        <v>0.15</v>
      </c>
      <c r="N4578" s="3" t="n">
        <v>2095.12</v>
      </c>
      <c r="O4578" s="3">
        <f>K4578*L4578*(1-M4578)</f>
        <v/>
      </c>
      <c r="P4578" s="3">
        <f>O4578-N4578</f>
        <v/>
      </c>
      <c r="Q4578" s="5">
        <f>IFERROR(P4578/O4578,0)</f>
        <v/>
      </c>
      <c r="R4578" s="2">
        <f>TEXT(DATEVALUE(B4578),"mmm")</f>
        <v/>
      </c>
      <c r="S4578" s="2">
        <f>TEXT(DATEVALUE(B4578),"yyyy-mm")</f>
        <v/>
      </c>
    </row>
    <row r="4579">
      <c r="A4579" s="2" t="inlineStr">
        <is>
          <t>O001690</t>
        </is>
      </c>
      <c r="B4579" s="2" t="inlineStr">
        <is>
          <t>2025-12-01</t>
        </is>
      </c>
      <c r="C4579" s="2" t="inlineStr">
        <is>
          <t>C0049</t>
        </is>
      </c>
      <c r="D4579" s="2" t="inlineStr">
        <is>
          <t>P0032</t>
        </is>
      </c>
      <c r="E4579" s="2" t="inlineStr">
        <is>
          <t>Football</t>
        </is>
      </c>
      <c r="F4579" s="2" t="inlineStr">
        <is>
          <t>Sports</t>
        </is>
      </c>
      <c r="G4579" s="2" t="inlineStr">
        <is>
          <t>South</t>
        </is>
      </c>
      <c r="H4579" s="2" t="inlineStr">
        <is>
          <t>Kerala</t>
        </is>
      </c>
      <c r="I4579" s="2" t="inlineStr">
        <is>
          <t>Thiruvananthapuram</t>
        </is>
      </c>
      <c r="J4579" s="2" t="inlineStr">
        <is>
          <t>Online</t>
        </is>
      </c>
      <c r="K4579" s="2" t="n">
        <v>1</v>
      </c>
      <c r="L4579" s="3" t="n">
        <v>790.64</v>
      </c>
      <c r="M4579" s="4" t="n">
        <v>0.15</v>
      </c>
      <c r="N4579" s="3" t="n">
        <v>515.61</v>
      </c>
      <c r="O4579" s="3">
        <f>K4579*L4579*(1-M4579)</f>
        <v/>
      </c>
      <c r="P4579" s="3">
        <f>O4579-N4579</f>
        <v/>
      </c>
      <c r="Q4579" s="5">
        <f>IFERROR(P4579/O4579,0)</f>
        <v/>
      </c>
      <c r="R4579" s="2">
        <f>TEXT(DATEVALUE(B4579),"mmm")</f>
        <v/>
      </c>
      <c r="S4579" s="2">
        <f>TEXT(DATEVALUE(B4579),"yyyy-mm")</f>
        <v/>
      </c>
    </row>
    <row r="4580">
      <c r="A4580" s="2" t="inlineStr">
        <is>
          <t>O002981</t>
        </is>
      </c>
      <c r="B4580" s="2" t="inlineStr">
        <is>
          <t>2025-12-02</t>
        </is>
      </c>
      <c r="C4580" s="2" t="inlineStr">
        <is>
          <t>C0417</t>
        </is>
      </c>
      <c r="D4580" s="2" t="inlineStr">
        <is>
          <t>P0026</t>
        </is>
      </c>
      <c r="E4580" s="2" t="inlineStr">
        <is>
          <t>Shampoo</t>
        </is>
      </c>
      <c r="F4580" s="2" t="inlineStr">
        <is>
          <t>Beauty</t>
        </is>
      </c>
      <c r="G4580" s="2" t="inlineStr">
        <is>
          <t>South</t>
        </is>
      </c>
      <c r="H4580" s="2" t="inlineStr">
        <is>
          <t>Telangana</t>
        </is>
      </c>
      <c r="I4580" s="2" t="inlineStr">
        <is>
          <t>Warangal</t>
        </is>
      </c>
      <c r="J4580" s="2" t="inlineStr">
        <is>
          <t>Store</t>
        </is>
      </c>
      <c r="K4580" s="2" t="n">
        <v>6</v>
      </c>
      <c r="L4580" s="3" t="n">
        <v>921.6</v>
      </c>
      <c r="M4580" s="4" t="n">
        <v>0.05</v>
      </c>
      <c r="N4580" s="3" t="n">
        <v>3085.73</v>
      </c>
      <c r="O4580" s="3">
        <f>K4580*L4580*(1-M4580)</f>
        <v/>
      </c>
      <c r="P4580" s="3">
        <f>O4580-N4580</f>
        <v/>
      </c>
      <c r="Q4580" s="5">
        <f>IFERROR(P4580/O4580,0)</f>
        <v/>
      </c>
      <c r="R4580" s="2">
        <f>TEXT(DATEVALUE(B4580),"mmm")</f>
        <v/>
      </c>
      <c r="S4580" s="2">
        <f>TEXT(DATEVALUE(B4580),"yyyy-mm")</f>
        <v/>
      </c>
    </row>
    <row r="4581">
      <c r="A4581" s="2" t="inlineStr">
        <is>
          <t>O004644</t>
        </is>
      </c>
      <c r="B4581" s="2" t="inlineStr">
        <is>
          <t>2025-12-02</t>
        </is>
      </c>
      <c r="C4581" s="2" t="inlineStr">
        <is>
          <t>C0016</t>
        </is>
      </c>
      <c r="D4581" s="2" t="inlineStr">
        <is>
          <t>P0016</t>
        </is>
      </c>
      <c r="E4581" s="2" t="inlineStr">
        <is>
          <t>Casual Shirt</t>
        </is>
      </c>
      <c r="F4581" s="2" t="inlineStr">
        <is>
          <t>Fashion</t>
        </is>
      </c>
      <c r="G4581" s="2" t="inlineStr">
        <is>
          <t>West</t>
        </is>
      </c>
      <c r="H4581" s="2" t="inlineStr">
        <is>
          <t>Gujarat</t>
        </is>
      </c>
      <c r="I4581" s="2" t="inlineStr">
        <is>
          <t>Surat</t>
        </is>
      </c>
      <c r="J4581" s="2" t="inlineStr">
        <is>
          <t>Store</t>
        </is>
      </c>
      <c r="K4581" s="2" t="n">
        <v>2</v>
      </c>
      <c r="L4581" s="3" t="n">
        <v>1301.46</v>
      </c>
      <c r="M4581" s="4" t="n">
        <v>0.25</v>
      </c>
      <c r="N4581" s="3" t="n">
        <v>1752</v>
      </c>
      <c r="O4581" s="3">
        <f>K4581*L4581*(1-M4581)</f>
        <v/>
      </c>
      <c r="P4581" s="3">
        <f>O4581-N4581</f>
        <v/>
      </c>
      <c r="Q4581" s="5">
        <f>IFERROR(P4581/O4581,0)</f>
        <v/>
      </c>
      <c r="R4581" s="2">
        <f>TEXT(DATEVALUE(B4581),"mmm")</f>
        <v/>
      </c>
      <c r="S4581" s="2">
        <f>TEXT(DATEVALUE(B4581),"yyyy-mm")</f>
        <v/>
      </c>
    </row>
    <row r="4582">
      <c r="A4582" s="2" t="inlineStr">
        <is>
          <t>O004533</t>
        </is>
      </c>
      <c r="B4582" s="2" t="inlineStr">
        <is>
          <t>2025-12-02</t>
        </is>
      </c>
      <c r="C4582" s="2" t="inlineStr">
        <is>
          <t>C0523</t>
        </is>
      </c>
      <c r="D4582" s="2" t="inlineStr">
        <is>
          <t>P0003</t>
        </is>
      </c>
      <c r="E4582" s="2" t="inlineStr">
        <is>
          <t>Smartwatch</t>
        </is>
      </c>
      <c r="F4582" s="2" t="inlineStr">
        <is>
          <t>Electronics</t>
        </is>
      </c>
      <c r="G4582" s="2" t="inlineStr">
        <is>
          <t>West</t>
        </is>
      </c>
      <c r="H4582" s="2" t="inlineStr">
        <is>
          <t>Goa</t>
        </is>
      </c>
      <c r="I4582" s="2" t="inlineStr">
        <is>
          <t>Panaji</t>
        </is>
      </c>
      <c r="J4582" s="2" t="inlineStr">
        <is>
          <t>Store</t>
        </is>
      </c>
      <c r="K4582" s="2" t="n">
        <v>3</v>
      </c>
      <c r="L4582" s="3" t="n">
        <v>2321.59</v>
      </c>
      <c r="M4582" s="4" t="n">
        <v>0.2</v>
      </c>
      <c r="N4582" s="3" t="n">
        <v>3459.16</v>
      </c>
      <c r="O4582" s="3">
        <f>K4582*L4582*(1-M4582)</f>
        <v/>
      </c>
      <c r="P4582" s="3">
        <f>O4582-N4582</f>
        <v/>
      </c>
      <c r="Q4582" s="5">
        <f>IFERROR(P4582/O4582,0)</f>
        <v/>
      </c>
      <c r="R4582" s="2">
        <f>TEXT(DATEVALUE(B4582),"mmm")</f>
        <v/>
      </c>
      <c r="S4582" s="2">
        <f>TEXT(DATEVALUE(B4582),"yyyy-mm")</f>
        <v/>
      </c>
    </row>
    <row r="4583">
      <c r="A4583" s="2" t="inlineStr">
        <is>
          <t>O004756</t>
        </is>
      </c>
      <c r="B4583" s="2" t="inlineStr">
        <is>
          <t>2025-12-02</t>
        </is>
      </c>
      <c r="C4583" s="2" t="inlineStr">
        <is>
          <t>C0632</t>
        </is>
      </c>
      <c r="D4583" s="2" t="inlineStr">
        <is>
          <t>P0031</t>
        </is>
      </c>
      <c r="E4583" s="2" t="inlineStr">
        <is>
          <t>Cricket Bat</t>
        </is>
      </c>
      <c r="F4583" s="2" t="inlineStr">
        <is>
          <t>Sports</t>
        </is>
      </c>
      <c r="G4583" s="2" t="inlineStr">
        <is>
          <t>South</t>
        </is>
      </c>
      <c r="H4583" s="2" t="inlineStr">
        <is>
          <t>Karnataka</t>
        </is>
      </c>
      <c r="I4583" s="2" t="inlineStr">
        <is>
          <t>Mysuru</t>
        </is>
      </c>
      <c r="J4583" s="2" t="inlineStr">
        <is>
          <t>Store</t>
        </is>
      </c>
      <c r="K4583" s="2" t="n">
        <v>1</v>
      </c>
      <c r="L4583" s="3" t="n">
        <v>1325.28</v>
      </c>
      <c r="M4583" s="4" t="n">
        <v>0.2</v>
      </c>
      <c r="N4583" s="3" t="n">
        <v>962.72</v>
      </c>
      <c r="O4583" s="3">
        <f>K4583*L4583*(1-M4583)</f>
        <v/>
      </c>
      <c r="P4583" s="3">
        <f>O4583-N4583</f>
        <v/>
      </c>
      <c r="Q4583" s="5">
        <f>IFERROR(P4583/O4583,0)</f>
        <v/>
      </c>
      <c r="R4583" s="2">
        <f>TEXT(DATEVALUE(B4583),"mmm")</f>
        <v/>
      </c>
      <c r="S4583" s="2">
        <f>TEXT(DATEVALUE(B4583),"yyyy-mm")</f>
        <v/>
      </c>
    </row>
    <row r="4584">
      <c r="A4584" s="2" t="inlineStr">
        <is>
          <t>O004238</t>
        </is>
      </c>
      <c r="B4584" s="2" t="inlineStr">
        <is>
          <t>2025-12-02</t>
        </is>
      </c>
      <c r="C4584" s="2" t="inlineStr">
        <is>
          <t>C0672</t>
        </is>
      </c>
      <c r="D4584" s="2" t="inlineStr">
        <is>
          <t>P0030</t>
        </is>
      </c>
      <c r="E4584" s="2" t="inlineStr">
        <is>
          <t>Dumbbells</t>
        </is>
      </c>
      <c r="F4584" s="2" t="inlineStr">
        <is>
          <t>Sports</t>
        </is>
      </c>
      <c r="G4584" s="2" t="inlineStr">
        <is>
          <t>North</t>
        </is>
      </c>
      <c r="H4584" s="2" t="inlineStr">
        <is>
          <t>Uttar Pradesh</t>
        </is>
      </c>
      <c r="I4584" s="2" t="inlineStr">
        <is>
          <t>Varanasi</t>
        </is>
      </c>
      <c r="J4584" s="2" t="inlineStr">
        <is>
          <t>Online</t>
        </is>
      </c>
      <c r="K4584" s="2" t="n">
        <v>2</v>
      </c>
      <c r="L4584" s="3" t="n">
        <v>1540.56</v>
      </c>
      <c r="M4584" s="4" t="n">
        <v>0.05</v>
      </c>
      <c r="N4584" s="3" t="n">
        <v>2065.89</v>
      </c>
      <c r="O4584" s="3">
        <f>K4584*L4584*(1-M4584)</f>
        <v/>
      </c>
      <c r="P4584" s="3">
        <f>O4584-N4584</f>
        <v/>
      </c>
      <c r="Q4584" s="5">
        <f>IFERROR(P4584/O4584,0)</f>
        <v/>
      </c>
      <c r="R4584" s="2">
        <f>TEXT(DATEVALUE(B4584),"mmm")</f>
        <v/>
      </c>
      <c r="S4584" s="2">
        <f>TEXT(DATEVALUE(B4584),"yyyy-mm")</f>
        <v/>
      </c>
    </row>
    <row r="4585">
      <c r="A4585" s="2" t="inlineStr">
        <is>
          <t>O003976</t>
        </is>
      </c>
      <c r="B4585" s="2" t="inlineStr">
        <is>
          <t>2025-12-02</t>
        </is>
      </c>
      <c r="C4585" s="2" t="inlineStr">
        <is>
          <t>C0510</t>
        </is>
      </c>
      <c r="D4585" s="2" t="inlineStr">
        <is>
          <t>P0018</t>
        </is>
      </c>
      <c r="E4585" s="2" t="inlineStr">
        <is>
          <t>Backpack</t>
        </is>
      </c>
      <c r="F4585" s="2" t="inlineStr">
        <is>
          <t>Fashion</t>
        </is>
      </c>
      <c r="G4585" s="2" t="inlineStr">
        <is>
          <t>East</t>
        </is>
      </c>
      <c r="H4585" s="2" t="inlineStr">
        <is>
          <t>West Bengal</t>
        </is>
      </c>
      <c r="I4585" s="2" t="inlineStr">
        <is>
          <t>Kolkata</t>
        </is>
      </c>
      <c r="J4585" s="2" t="inlineStr">
        <is>
          <t>Store</t>
        </is>
      </c>
      <c r="K4585" s="2" t="n">
        <v>3</v>
      </c>
      <c r="L4585" s="3" t="n">
        <v>1864.88</v>
      </c>
      <c r="M4585" s="4" t="n">
        <v>0.15</v>
      </c>
      <c r="N4585" s="3" t="n">
        <v>3981.23</v>
      </c>
      <c r="O4585" s="3">
        <f>K4585*L4585*(1-M4585)</f>
        <v/>
      </c>
      <c r="P4585" s="3">
        <f>O4585-N4585</f>
        <v/>
      </c>
      <c r="Q4585" s="5">
        <f>IFERROR(P4585/O4585,0)</f>
        <v/>
      </c>
      <c r="R4585" s="2">
        <f>TEXT(DATEVALUE(B4585),"mmm")</f>
        <v/>
      </c>
      <c r="S4585" s="2">
        <f>TEXT(DATEVALUE(B4585),"yyyy-mm")</f>
        <v/>
      </c>
    </row>
    <row r="4586">
      <c r="A4586" s="2" t="inlineStr">
        <is>
          <t>O002844</t>
        </is>
      </c>
      <c r="B4586" s="2" t="inlineStr">
        <is>
          <t>2025-12-02</t>
        </is>
      </c>
      <c r="C4586" s="2" t="inlineStr">
        <is>
          <t>C0687</t>
        </is>
      </c>
      <c r="D4586" s="2" t="inlineStr">
        <is>
          <t>P0022</t>
        </is>
      </c>
      <c r="E4586" s="2" t="inlineStr">
        <is>
          <t>Face Wash</t>
        </is>
      </c>
      <c r="F4586" s="2" t="inlineStr">
        <is>
          <t>Beauty</t>
        </is>
      </c>
      <c r="G4586" s="2" t="inlineStr">
        <is>
          <t>North</t>
        </is>
      </c>
      <c r="H4586" s="2" t="inlineStr">
        <is>
          <t>Delhi</t>
        </is>
      </c>
      <c r="I4586" s="2" t="inlineStr">
        <is>
          <t>New Delhi</t>
        </is>
      </c>
      <c r="J4586" s="2" t="inlineStr">
        <is>
          <t>Store</t>
        </is>
      </c>
      <c r="K4586" s="2" t="n">
        <v>2</v>
      </c>
      <c r="L4586" s="3" t="n">
        <v>567.48</v>
      </c>
      <c r="M4586" s="4" t="n">
        <v>0.1</v>
      </c>
      <c r="N4586" s="3" t="n">
        <v>702.1900000000001</v>
      </c>
      <c r="O4586" s="3">
        <f>K4586*L4586*(1-M4586)</f>
        <v/>
      </c>
      <c r="P4586" s="3">
        <f>O4586-N4586</f>
        <v/>
      </c>
      <c r="Q4586" s="5">
        <f>IFERROR(P4586/O4586,0)</f>
        <v/>
      </c>
      <c r="R4586" s="2">
        <f>TEXT(DATEVALUE(B4586),"mmm")</f>
        <v/>
      </c>
      <c r="S4586" s="2">
        <f>TEXT(DATEVALUE(B4586),"yyyy-mm")</f>
        <v/>
      </c>
    </row>
    <row r="4587">
      <c r="A4587" s="2" t="inlineStr">
        <is>
          <t>O001633</t>
        </is>
      </c>
      <c r="B4587" s="2" t="inlineStr">
        <is>
          <t>2025-12-02</t>
        </is>
      </c>
      <c r="C4587" s="2" t="inlineStr">
        <is>
          <t>C0029</t>
        </is>
      </c>
      <c r="D4587" s="2" t="inlineStr">
        <is>
          <t>P0031</t>
        </is>
      </c>
      <c r="E4587" s="2" t="inlineStr">
        <is>
          <t>Cricket Bat</t>
        </is>
      </c>
      <c r="F4587" s="2" t="inlineStr">
        <is>
          <t>Sports</t>
        </is>
      </c>
      <c r="G4587" s="2" t="inlineStr">
        <is>
          <t>North</t>
        </is>
      </c>
      <c r="H4587" s="2" t="inlineStr">
        <is>
          <t>Delhi</t>
        </is>
      </c>
      <c r="I4587" s="2" t="inlineStr">
        <is>
          <t>New Delhi</t>
        </is>
      </c>
      <c r="J4587" s="2" t="inlineStr">
        <is>
          <t>Online</t>
        </is>
      </c>
      <c r="K4587" s="2" t="n">
        <v>6</v>
      </c>
      <c r="L4587" s="3" t="n">
        <v>1408.86</v>
      </c>
      <c r="M4587" s="4" t="n">
        <v>0.25</v>
      </c>
      <c r="N4587" s="3" t="n">
        <v>5619.65</v>
      </c>
      <c r="O4587" s="3">
        <f>K4587*L4587*(1-M4587)</f>
        <v/>
      </c>
      <c r="P4587" s="3">
        <f>O4587-N4587</f>
        <v/>
      </c>
      <c r="Q4587" s="5">
        <f>IFERROR(P4587/O4587,0)</f>
        <v/>
      </c>
      <c r="R4587" s="2">
        <f>TEXT(DATEVALUE(B4587),"mmm")</f>
        <v/>
      </c>
      <c r="S4587" s="2">
        <f>TEXT(DATEVALUE(B4587),"yyyy-mm")</f>
        <v/>
      </c>
    </row>
    <row r="4588">
      <c r="A4588" s="2" t="inlineStr">
        <is>
          <t>O002403</t>
        </is>
      </c>
      <c r="B4588" s="2" t="inlineStr">
        <is>
          <t>2025-12-02</t>
        </is>
      </c>
      <c r="C4588" s="2" t="inlineStr">
        <is>
          <t>C0095</t>
        </is>
      </c>
      <c r="D4588" s="2" t="inlineStr">
        <is>
          <t>P0026</t>
        </is>
      </c>
      <c r="E4588" s="2" t="inlineStr">
        <is>
          <t>Shampoo</t>
        </is>
      </c>
      <c r="F4588" s="2" t="inlineStr">
        <is>
          <t>Beauty</t>
        </is>
      </c>
      <c r="G4588" s="2" t="inlineStr">
        <is>
          <t>North</t>
        </is>
      </c>
      <c r="H4588" s="2" t="inlineStr">
        <is>
          <t>Uttar Pradesh</t>
        </is>
      </c>
      <c r="I4588" s="2" t="inlineStr">
        <is>
          <t>Kanpur</t>
        </is>
      </c>
      <c r="J4588" s="2" t="inlineStr">
        <is>
          <t>Store</t>
        </is>
      </c>
      <c r="K4588" s="2" t="n">
        <v>2</v>
      </c>
      <c r="L4588" s="3" t="n">
        <v>909.26</v>
      </c>
      <c r="M4588" s="4" t="n">
        <v>0.05</v>
      </c>
      <c r="N4588" s="3" t="n">
        <v>1076.16</v>
      </c>
      <c r="O4588" s="3">
        <f>K4588*L4588*(1-M4588)</f>
        <v/>
      </c>
      <c r="P4588" s="3">
        <f>O4588-N4588</f>
        <v/>
      </c>
      <c r="Q4588" s="5">
        <f>IFERROR(P4588/O4588,0)</f>
        <v/>
      </c>
      <c r="R4588" s="2">
        <f>TEXT(DATEVALUE(B4588),"mmm")</f>
        <v/>
      </c>
      <c r="S4588" s="2">
        <f>TEXT(DATEVALUE(B4588),"yyyy-mm")</f>
        <v/>
      </c>
    </row>
    <row r="4589">
      <c r="A4589" s="2" t="inlineStr">
        <is>
          <t>O002381</t>
        </is>
      </c>
      <c r="B4589" s="2" t="inlineStr">
        <is>
          <t>2025-12-02</t>
        </is>
      </c>
      <c r="C4589" s="2" t="inlineStr">
        <is>
          <t>C0203</t>
        </is>
      </c>
      <c r="D4589" s="2" t="inlineStr">
        <is>
          <t>P0029</t>
        </is>
      </c>
      <c r="E4589" s="2" t="inlineStr">
        <is>
          <t>Yoga Mat</t>
        </is>
      </c>
      <c r="F4589" s="2" t="inlineStr">
        <is>
          <t>Sports</t>
        </is>
      </c>
      <c r="G4589" s="2" t="inlineStr">
        <is>
          <t>West</t>
        </is>
      </c>
      <c r="H4589" s="2" t="inlineStr">
        <is>
          <t>Goa</t>
        </is>
      </c>
      <c r="I4589" s="2" t="inlineStr">
        <is>
          <t>Margao</t>
        </is>
      </c>
      <c r="J4589" s="2" t="inlineStr">
        <is>
          <t>Online</t>
        </is>
      </c>
      <c r="K4589" s="2" t="n">
        <v>2</v>
      </c>
      <c r="L4589" s="3" t="n">
        <v>2468.45</v>
      </c>
      <c r="M4589" s="4" t="n">
        <v>0.05</v>
      </c>
      <c r="N4589" s="3" t="n">
        <v>2716.35</v>
      </c>
      <c r="O4589" s="3">
        <f>K4589*L4589*(1-M4589)</f>
        <v/>
      </c>
      <c r="P4589" s="3">
        <f>O4589-N4589</f>
        <v/>
      </c>
      <c r="Q4589" s="5">
        <f>IFERROR(P4589/O4589,0)</f>
        <v/>
      </c>
      <c r="R4589" s="2">
        <f>TEXT(DATEVALUE(B4589),"mmm")</f>
        <v/>
      </c>
      <c r="S4589" s="2">
        <f>TEXT(DATEVALUE(B4589),"yyyy-mm")</f>
        <v/>
      </c>
    </row>
    <row r="4590">
      <c r="A4590" s="2" t="inlineStr">
        <is>
          <t>O002148</t>
        </is>
      </c>
      <c r="B4590" s="2" t="inlineStr">
        <is>
          <t>2025-12-02</t>
        </is>
      </c>
      <c r="C4590" s="2" t="inlineStr">
        <is>
          <t>C0023</t>
        </is>
      </c>
      <c r="D4590" s="2" t="inlineStr">
        <is>
          <t>P0031</t>
        </is>
      </c>
      <c r="E4590" s="2" t="inlineStr">
        <is>
          <t>Cricket Bat</t>
        </is>
      </c>
      <c r="F4590" s="2" t="inlineStr">
        <is>
          <t>Sports</t>
        </is>
      </c>
      <c r="G4590" s="2" t="inlineStr">
        <is>
          <t>West</t>
        </is>
      </c>
      <c r="H4590" s="2" t="inlineStr">
        <is>
          <t>Goa</t>
        </is>
      </c>
      <c r="I4590" s="2" t="inlineStr">
        <is>
          <t>Panaji</t>
        </is>
      </c>
      <c r="J4590" s="2" t="inlineStr">
        <is>
          <t>Online</t>
        </is>
      </c>
      <c r="K4590" s="2" t="n">
        <v>2</v>
      </c>
      <c r="L4590" s="3" t="n">
        <v>1334.05</v>
      </c>
      <c r="M4590" s="4" t="n">
        <v>0</v>
      </c>
      <c r="N4590" s="3" t="n">
        <v>1922.73</v>
      </c>
      <c r="O4590" s="3">
        <f>K4590*L4590*(1-M4590)</f>
        <v/>
      </c>
      <c r="P4590" s="3">
        <f>O4590-N4590</f>
        <v/>
      </c>
      <c r="Q4590" s="5">
        <f>IFERROR(P4590/O4590,0)</f>
        <v/>
      </c>
      <c r="R4590" s="2">
        <f>TEXT(DATEVALUE(B4590),"mmm")</f>
        <v/>
      </c>
      <c r="S4590" s="2">
        <f>TEXT(DATEVALUE(B4590),"yyyy-mm")</f>
        <v/>
      </c>
    </row>
    <row r="4591">
      <c r="A4591" s="2" t="inlineStr">
        <is>
          <t>O002043</t>
        </is>
      </c>
      <c r="B4591" s="2" t="inlineStr">
        <is>
          <t>2025-12-02</t>
        </is>
      </c>
      <c r="C4591" s="2" t="inlineStr">
        <is>
          <t>C0510</t>
        </is>
      </c>
      <c r="D4591" s="2" t="inlineStr">
        <is>
          <t>P0006</t>
        </is>
      </c>
      <c r="E4591" s="2" t="inlineStr">
        <is>
          <t>Mechanical Keyboard</t>
        </is>
      </c>
      <c r="F4591" s="2" t="inlineStr">
        <is>
          <t>Electronics</t>
        </is>
      </c>
      <c r="G4591" s="2" t="inlineStr">
        <is>
          <t>South</t>
        </is>
      </c>
      <c r="H4591" s="2" t="inlineStr">
        <is>
          <t>Telangana</t>
        </is>
      </c>
      <c r="I4591" s="2" t="inlineStr">
        <is>
          <t>Warangal</t>
        </is>
      </c>
      <c r="J4591" s="2" t="inlineStr">
        <is>
          <t>Online</t>
        </is>
      </c>
      <c r="K4591" s="2" t="n">
        <v>1</v>
      </c>
      <c r="L4591" s="3" t="n">
        <v>2743.99</v>
      </c>
      <c r="M4591" s="4" t="n">
        <v>0</v>
      </c>
      <c r="N4591" s="3" t="n">
        <v>1503.88</v>
      </c>
      <c r="O4591" s="3">
        <f>K4591*L4591*(1-M4591)</f>
        <v/>
      </c>
      <c r="P4591" s="3">
        <f>O4591-N4591</f>
        <v/>
      </c>
      <c r="Q4591" s="5">
        <f>IFERROR(P4591/O4591,0)</f>
        <v/>
      </c>
      <c r="R4591" s="2">
        <f>TEXT(DATEVALUE(B4591),"mmm")</f>
        <v/>
      </c>
      <c r="S4591" s="2">
        <f>TEXT(DATEVALUE(B4591),"yyyy-mm")</f>
        <v/>
      </c>
    </row>
    <row r="4592">
      <c r="A4592" s="2" t="inlineStr">
        <is>
          <t>O000827</t>
        </is>
      </c>
      <c r="B4592" s="2" t="inlineStr">
        <is>
          <t>2025-12-02</t>
        </is>
      </c>
      <c r="C4592" s="2" t="inlineStr">
        <is>
          <t>C0619</t>
        </is>
      </c>
      <c r="D4592" s="2" t="inlineStr">
        <is>
          <t>P0007</t>
        </is>
      </c>
      <c r="E4592" s="2" t="inlineStr">
        <is>
          <t>Wireless Mouse</t>
        </is>
      </c>
      <c r="F4592" s="2" t="inlineStr">
        <is>
          <t>Electronics</t>
        </is>
      </c>
      <c r="G4592" s="2" t="inlineStr">
        <is>
          <t>East</t>
        </is>
      </c>
      <c r="H4592" s="2" t="inlineStr">
        <is>
          <t>Bihar</t>
        </is>
      </c>
      <c r="I4592" s="2" t="inlineStr">
        <is>
          <t>Patna</t>
        </is>
      </c>
      <c r="J4592" s="2" t="inlineStr">
        <is>
          <t>Online</t>
        </is>
      </c>
      <c r="K4592" s="2" t="n">
        <v>2</v>
      </c>
      <c r="L4592" s="3" t="n">
        <v>1013.27</v>
      </c>
      <c r="M4592" s="4" t="n">
        <v>0.15</v>
      </c>
      <c r="N4592" s="3" t="n">
        <v>1233.85</v>
      </c>
      <c r="O4592" s="3">
        <f>K4592*L4592*(1-M4592)</f>
        <v/>
      </c>
      <c r="P4592" s="3">
        <f>O4592-N4592</f>
        <v/>
      </c>
      <c r="Q4592" s="5">
        <f>IFERROR(P4592/O4592,0)</f>
        <v/>
      </c>
      <c r="R4592" s="2">
        <f>TEXT(DATEVALUE(B4592),"mmm")</f>
        <v/>
      </c>
      <c r="S4592" s="2">
        <f>TEXT(DATEVALUE(B4592),"yyyy-mm")</f>
        <v/>
      </c>
    </row>
    <row r="4593">
      <c r="A4593" s="2" t="inlineStr">
        <is>
          <t>O000500</t>
        </is>
      </c>
      <c r="B4593" s="2" t="inlineStr">
        <is>
          <t>2025-12-02</t>
        </is>
      </c>
      <c r="C4593" s="2" t="inlineStr">
        <is>
          <t>C0071</t>
        </is>
      </c>
      <c r="D4593" s="2" t="inlineStr">
        <is>
          <t>P0021</t>
        </is>
      </c>
      <c r="E4593" s="2" t="inlineStr">
        <is>
          <t>Wallet</t>
        </is>
      </c>
      <c r="F4593" s="2" t="inlineStr">
        <is>
          <t>Fashion</t>
        </is>
      </c>
      <c r="G4593" s="2" t="inlineStr">
        <is>
          <t>North</t>
        </is>
      </c>
      <c r="H4593" s="2" t="inlineStr">
        <is>
          <t>Uttar Pradesh</t>
        </is>
      </c>
      <c r="I4593" s="2" t="inlineStr">
        <is>
          <t>Noida</t>
        </is>
      </c>
      <c r="J4593" s="2" t="inlineStr">
        <is>
          <t>Online</t>
        </is>
      </c>
      <c r="K4593" s="2" t="n">
        <v>1</v>
      </c>
      <c r="L4593" s="3" t="n">
        <v>2085.85</v>
      </c>
      <c r="M4593" s="4" t="n">
        <v>0.1</v>
      </c>
      <c r="N4593" s="3" t="n">
        <v>1195.37</v>
      </c>
      <c r="O4593" s="3">
        <f>K4593*L4593*(1-M4593)</f>
        <v/>
      </c>
      <c r="P4593" s="3">
        <f>O4593-N4593</f>
        <v/>
      </c>
      <c r="Q4593" s="5">
        <f>IFERROR(P4593/O4593,0)</f>
        <v/>
      </c>
      <c r="R4593" s="2">
        <f>TEXT(DATEVALUE(B4593),"mmm")</f>
        <v/>
      </c>
      <c r="S4593" s="2">
        <f>TEXT(DATEVALUE(B4593),"yyyy-mm")</f>
        <v/>
      </c>
    </row>
    <row r="4594">
      <c r="A4594" s="2" t="inlineStr">
        <is>
          <t>O002735</t>
        </is>
      </c>
      <c r="B4594" s="2" t="inlineStr">
        <is>
          <t>2025-12-02</t>
        </is>
      </c>
      <c r="C4594" s="2" t="inlineStr">
        <is>
          <t>C0066</t>
        </is>
      </c>
      <c r="D4594" s="2" t="inlineStr">
        <is>
          <t>P0019</t>
        </is>
      </c>
      <c r="E4594" s="2" t="inlineStr">
        <is>
          <t>Jacket</t>
        </is>
      </c>
      <c r="F4594" s="2" t="inlineStr">
        <is>
          <t>Fashion</t>
        </is>
      </c>
      <c r="G4594" s="2" t="inlineStr">
        <is>
          <t>North</t>
        </is>
      </c>
      <c r="H4594" s="2" t="inlineStr">
        <is>
          <t>Uttar Pradesh</t>
        </is>
      </c>
      <c r="I4594" s="2" t="inlineStr">
        <is>
          <t>Varanasi</t>
        </is>
      </c>
      <c r="J4594" s="2" t="inlineStr">
        <is>
          <t>Store</t>
        </is>
      </c>
      <c r="K4594" s="2" t="n">
        <v>5</v>
      </c>
      <c r="L4594" s="3" t="n">
        <v>1026.86</v>
      </c>
      <c r="M4594" s="4" t="n">
        <v>0.15</v>
      </c>
      <c r="N4594" s="3" t="n">
        <v>3464.84</v>
      </c>
      <c r="O4594" s="3">
        <f>K4594*L4594*(1-M4594)</f>
        <v/>
      </c>
      <c r="P4594" s="3">
        <f>O4594-N4594</f>
        <v/>
      </c>
      <c r="Q4594" s="5">
        <f>IFERROR(P4594/O4594,0)</f>
        <v/>
      </c>
      <c r="R4594" s="2">
        <f>TEXT(DATEVALUE(B4594),"mmm")</f>
        <v/>
      </c>
      <c r="S4594" s="2">
        <f>TEXT(DATEVALUE(B4594),"yyyy-mm")</f>
        <v/>
      </c>
    </row>
    <row r="4595">
      <c r="A4595" s="2" t="inlineStr">
        <is>
          <t>O003534</t>
        </is>
      </c>
      <c r="B4595" s="2" t="inlineStr">
        <is>
          <t>2025-12-03</t>
        </is>
      </c>
      <c r="C4595" s="2" t="inlineStr">
        <is>
          <t>C0478</t>
        </is>
      </c>
      <c r="D4595" s="2" t="inlineStr">
        <is>
          <t>P0016</t>
        </is>
      </c>
      <c r="E4595" s="2" t="inlineStr">
        <is>
          <t>Casual Shirt</t>
        </is>
      </c>
      <c r="F4595" s="2" t="inlineStr">
        <is>
          <t>Fashion</t>
        </is>
      </c>
      <c r="G4595" s="2" t="inlineStr">
        <is>
          <t>West</t>
        </is>
      </c>
      <c r="H4595" s="2" t="inlineStr">
        <is>
          <t>Goa</t>
        </is>
      </c>
      <c r="I4595" s="2" t="inlineStr">
        <is>
          <t>Panaji</t>
        </is>
      </c>
      <c r="J4595" s="2" t="inlineStr">
        <is>
          <t>Store</t>
        </is>
      </c>
      <c r="K4595" s="2" t="n">
        <v>1</v>
      </c>
      <c r="L4595" s="3" t="n">
        <v>1303.55</v>
      </c>
      <c r="M4595" s="4" t="n">
        <v>0.05</v>
      </c>
      <c r="N4595" s="3" t="n">
        <v>914.79</v>
      </c>
      <c r="O4595" s="3">
        <f>K4595*L4595*(1-M4595)</f>
        <v/>
      </c>
      <c r="P4595" s="3">
        <f>O4595-N4595</f>
        <v/>
      </c>
      <c r="Q4595" s="5">
        <f>IFERROR(P4595/O4595,0)</f>
        <v/>
      </c>
      <c r="R4595" s="2">
        <f>TEXT(DATEVALUE(B4595),"mmm")</f>
        <v/>
      </c>
      <c r="S4595" s="2">
        <f>TEXT(DATEVALUE(B4595),"yyyy-mm")</f>
        <v/>
      </c>
    </row>
    <row r="4596">
      <c r="A4596" s="2" t="inlineStr">
        <is>
          <t>O004207</t>
        </is>
      </c>
      <c r="B4596" s="2" t="inlineStr">
        <is>
          <t>2025-12-03</t>
        </is>
      </c>
      <c r="C4596" s="2" t="inlineStr">
        <is>
          <t>C0309</t>
        </is>
      </c>
      <c r="D4596" s="2" t="inlineStr">
        <is>
          <t>P0024</t>
        </is>
      </c>
      <c r="E4596" s="2" t="inlineStr">
        <is>
          <t>Hair Dryer</t>
        </is>
      </c>
      <c r="F4596" s="2" t="inlineStr">
        <is>
          <t>Beauty</t>
        </is>
      </c>
      <c r="G4596" s="2" t="inlineStr">
        <is>
          <t>East</t>
        </is>
      </c>
      <c r="H4596" s="2" t="inlineStr">
        <is>
          <t>Odisha</t>
        </is>
      </c>
      <c r="I4596" s="2" t="inlineStr">
        <is>
          <t>Bhubaneswar</t>
        </is>
      </c>
      <c r="J4596" s="2" t="inlineStr">
        <is>
          <t>Online</t>
        </is>
      </c>
      <c r="K4596" s="2" t="n">
        <v>1</v>
      </c>
      <c r="L4596" s="3" t="n">
        <v>1049.75</v>
      </c>
      <c r="M4596" s="4" t="n">
        <v>0.2</v>
      </c>
      <c r="N4596" s="3" t="n">
        <v>745.33</v>
      </c>
      <c r="O4596" s="3">
        <f>K4596*L4596*(1-M4596)</f>
        <v/>
      </c>
      <c r="P4596" s="3">
        <f>O4596-N4596</f>
        <v/>
      </c>
      <c r="Q4596" s="5">
        <f>IFERROR(P4596/O4596,0)</f>
        <v/>
      </c>
      <c r="R4596" s="2">
        <f>TEXT(DATEVALUE(B4596),"mmm")</f>
        <v/>
      </c>
      <c r="S4596" s="2">
        <f>TEXT(DATEVALUE(B4596),"yyyy-mm")</f>
        <v/>
      </c>
    </row>
    <row r="4597">
      <c r="A4597" s="2" t="inlineStr">
        <is>
          <t>O003799</t>
        </is>
      </c>
      <c r="B4597" s="2" t="inlineStr">
        <is>
          <t>2025-12-03</t>
        </is>
      </c>
      <c r="C4597" s="2" t="inlineStr">
        <is>
          <t>C0503</t>
        </is>
      </c>
      <c r="D4597" s="2" t="inlineStr">
        <is>
          <t>P0011</t>
        </is>
      </c>
      <c r="E4597" s="2" t="inlineStr">
        <is>
          <t>Cookware Set</t>
        </is>
      </c>
      <c r="F4597" s="2" t="inlineStr">
        <is>
          <t>Home &amp; Kitchen</t>
        </is>
      </c>
      <c r="G4597" s="2" t="inlineStr">
        <is>
          <t>West</t>
        </is>
      </c>
      <c r="H4597" s="2" t="inlineStr">
        <is>
          <t>Goa</t>
        </is>
      </c>
      <c r="I4597" s="2" t="inlineStr">
        <is>
          <t>Panaji</t>
        </is>
      </c>
      <c r="J4597" s="2" t="inlineStr">
        <is>
          <t>Online</t>
        </is>
      </c>
      <c r="K4597" s="2" t="n">
        <v>2</v>
      </c>
      <c r="L4597" s="3" t="n">
        <v>704.5599999999999</v>
      </c>
      <c r="M4597" s="4" t="n">
        <v>0.1</v>
      </c>
      <c r="N4597" s="3" t="n">
        <v>937.36</v>
      </c>
      <c r="O4597" s="3">
        <f>K4597*L4597*(1-M4597)</f>
        <v/>
      </c>
      <c r="P4597" s="3">
        <f>O4597-N4597</f>
        <v/>
      </c>
      <c r="Q4597" s="5">
        <f>IFERROR(P4597/O4597,0)</f>
        <v/>
      </c>
      <c r="R4597" s="2">
        <f>TEXT(DATEVALUE(B4597),"mmm")</f>
        <v/>
      </c>
      <c r="S4597" s="2">
        <f>TEXT(DATEVALUE(B4597),"yyyy-mm")</f>
        <v/>
      </c>
    </row>
    <row r="4598">
      <c r="A4598" s="2" t="inlineStr">
        <is>
          <t>O003647</t>
        </is>
      </c>
      <c r="B4598" s="2" t="inlineStr">
        <is>
          <t>2025-12-03</t>
        </is>
      </c>
      <c r="C4598" s="2" t="inlineStr">
        <is>
          <t>C0499</t>
        </is>
      </c>
      <c r="D4598" s="2" t="inlineStr">
        <is>
          <t>P0004</t>
        </is>
      </c>
      <c r="E4598" s="2" t="inlineStr">
        <is>
          <t>USB-C Hub</t>
        </is>
      </c>
      <c r="F4598" s="2" t="inlineStr">
        <is>
          <t>Electronics</t>
        </is>
      </c>
      <c r="G4598" s="2" t="inlineStr">
        <is>
          <t>East</t>
        </is>
      </c>
      <c r="H4598" s="2" t="inlineStr">
        <is>
          <t>Odisha</t>
        </is>
      </c>
      <c r="I4598" s="2" t="inlineStr">
        <is>
          <t>Cuttack</t>
        </is>
      </c>
      <c r="J4598" s="2" t="inlineStr">
        <is>
          <t>Store</t>
        </is>
      </c>
      <c r="K4598" s="2" t="n">
        <v>3</v>
      </c>
      <c r="L4598" s="3" t="n">
        <v>1305.66</v>
      </c>
      <c r="M4598" s="4" t="n">
        <v>0.2</v>
      </c>
      <c r="N4598" s="3" t="n">
        <v>2779.74</v>
      </c>
      <c r="O4598" s="3">
        <f>K4598*L4598*(1-M4598)</f>
        <v/>
      </c>
      <c r="P4598" s="3">
        <f>O4598-N4598</f>
        <v/>
      </c>
      <c r="Q4598" s="5">
        <f>IFERROR(P4598/O4598,0)</f>
        <v/>
      </c>
      <c r="R4598" s="2">
        <f>TEXT(DATEVALUE(B4598),"mmm")</f>
        <v/>
      </c>
      <c r="S4598" s="2">
        <f>TEXT(DATEVALUE(B4598),"yyyy-mm")</f>
        <v/>
      </c>
    </row>
    <row r="4599">
      <c r="A4599" s="2" t="inlineStr">
        <is>
          <t>O004216</t>
        </is>
      </c>
      <c r="B4599" s="2" t="inlineStr">
        <is>
          <t>2025-12-03</t>
        </is>
      </c>
      <c r="C4599" s="2" t="inlineStr">
        <is>
          <t>C0553</t>
        </is>
      </c>
      <c r="D4599" s="2" t="inlineStr">
        <is>
          <t>P0007</t>
        </is>
      </c>
      <c r="E4599" s="2" t="inlineStr">
        <is>
          <t>Wireless Mouse</t>
        </is>
      </c>
      <c r="F4599" s="2" t="inlineStr">
        <is>
          <t>Electronics</t>
        </is>
      </c>
      <c r="G4599" s="2" t="inlineStr">
        <is>
          <t>East</t>
        </is>
      </c>
      <c r="H4599" s="2" t="inlineStr">
        <is>
          <t>Bihar</t>
        </is>
      </c>
      <c r="I4599" s="2" t="inlineStr">
        <is>
          <t>Gaya</t>
        </is>
      </c>
      <c r="J4599" s="2" t="inlineStr">
        <is>
          <t>Online</t>
        </is>
      </c>
      <c r="K4599" s="2" t="n">
        <v>1</v>
      </c>
      <c r="L4599" s="3" t="n">
        <v>981.2</v>
      </c>
      <c r="M4599" s="4" t="n">
        <v>0.1</v>
      </c>
      <c r="N4599" s="3" t="n">
        <v>606.6</v>
      </c>
      <c r="O4599" s="3">
        <f>K4599*L4599*(1-M4599)</f>
        <v/>
      </c>
      <c r="P4599" s="3">
        <f>O4599-N4599</f>
        <v/>
      </c>
      <c r="Q4599" s="5">
        <f>IFERROR(P4599/O4599,0)</f>
        <v/>
      </c>
      <c r="R4599" s="2">
        <f>TEXT(DATEVALUE(B4599),"mmm")</f>
        <v/>
      </c>
      <c r="S4599" s="2">
        <f>TEXT(DATEVALUE(B4599),"yyyy-mm")</f>
        <v/>
      </c>
    </row>
    <row r="4600">
      <c r="A4600" s="2" t="inlineStr">
        <is>
          <t>O003533</t>
        </is>
      </c>
      <c r="B4600" s="2" t="inlineStr">
        <is>
          <t>2025-12-03</t>
        </is>
      </c>
      <c r="C4600" s="2" t="inlineStr">
        <is>
          <t>C0047</t>
        </is>
      </c>
      <c r="D4600" s="2" t="inlineStr">
        <is>
          <t>P0007</t>
        </is>
      </c>
      <c r="E4600" s="2" t="inlineStr">
        <is>
          <t>Wireless Mouse</t>
        </is>
      </c>
      <c r="F4600" s="2" t="inlineStr">
        <is>
          <t>Electronics</t>
        </is>
      </c>
      <c r="G4600" s="2" t="inlineStr">
        <is>
          <t>North</t>
        </is>
      </c>
      <c r="H4600" s="2" t="inlineStr">
        <is>
          <t>Haryana</t>
        </is>
      </c>
      <c r="I4600" s="2" t="inlineStr">
        <is>
          <t>Faridabad</t>
        </is>
      </c>
      <c r="J4600" s="2" t="inlineStr">
        <is>
          <t>Store</t>
        </is>
      </c>
      <c r="K4600" s="2" t="n">
        <v>2</v>
      </c>
      <c r="L4600" s="3" t="n">
        <v>999.26</v>
      </c>
      <c r="M4600" s="4" t="n">
        <v>0</v>
      </c>
      <c r="N4600" s="3" t="n">
        <v>1208.89</v>
      </c>
      <c r="O4600" s="3">
        <f>K4600*L4600*(1-M4600)</f>
        <v/>
      </c>
      <c r="P4600" s="3">
        <f>O4600-N4600</f>
        <v/>
      </c>
      <c r="Q4600" s="5">
        <f>IFERROR(P4600/O4600,0)</f>
        <v/>
      </c>
      <c r="R4600" s="2">
        <f>TEXT(DATEVALUE(B4600),"mmm")</f>
        <v/>
      </c>
      <c r="S4600" s="2">
        <f>TEXT(DATEVALUE(B4600),"yyyy-mm")</f>
        <v/>
      </c>
    </row>
    <row r="4601">
      <c r="A4601" s="2" t="inlineStr">
        <is>
          <t>O001402</t>
        </is>
      </c>
      <c r="B4601" s="2" t="inlineStr">
        <is>
          <t>2025-12-03</t>
        </is>
      </c>
      <c r="C4601" s="2" t="inlineStr">
        <is>
          <t>C0221</t>
        </is>
      </c>
      <c r="D4601" s="2" t="inlineStr">
        <is>
          <t>P0017</t>
        </is>
      </c>
      <c r="E4601" s="2" t="inlineStr">
        <is>
          <t>Jeans</t>
        </is>
      </c>
      <c r="F4601" s="2" t="inlineStr">
        <is>
          <t>Fashion</t>
        </is>
      </c>
      <c r="G4601" s="2" t="inlineStr">
        <is>
          <t>West</t>
        </is>
      </c>
      <c r="H4601" s="2" t="inlineStr">
        <is>
          <t>Maharashtra</t>
        </is>
      </c>
      <c r="I4601" s="2" t="inlineStr">
        <is>
          <t>Nagpur</t>
        </is>
      </c>
      <c r="J4601" s="2" t="inlineStr">
        <is>
          <t>Online</t>
        </is>
      </c>
      <c r="K4601" s="2" t="n">
        <v>3</v>
      </c>
      <c r="L4601" s="3" t="n">
        <v>1515.24</v>
      </c>
      <c r="M4601" s="4" t="n">
        <v>0</v>
      </c>
      <c r="N4601" s="3" t="n">
        <v>2984.66</v>
      </c>
      <c r="O4601" s="3">
        <f>K4601*L4601*(1-M4601)</f>
        <v/>
      </c>
      <c r="P4601" s="3">
        <f>O4601-N4601</f>
        <v/>
      </c>
      <c r="Q4601" s="5">
        <f>IFERROR(P4601/O4601,0)</f>
        <v/>
      </c>
      <c r="R4601" s="2">
        <f>TEXT(DATEVALUE(B4601),"mmm")</f>
        <v/>
      </c>
      <c r="S4601" s="2">
        <f>TEXT(DATEVALUE(B4601),"yyyy-mm")</f>
        <v/>
      </c>
    </row>
    <row r="4602">
      <c r="A4602" s="2" t="inlineStr">
        <is>
          <t>O002572</t>
        </is>
      </c>
      <c r="B4602" s="2" t="inlineStr">
        <is>
          <t>2025-12-03</t>
        </is>
      </c>
      <c r="C4602" s="2" t="inlineStr">
        <is>
          <t>C0497</t>
        </is>
      </c>
      <c r="D4602" s="2" t="inlineStr">
        <is>
          <t>P0011</t>
        </is>
      </c>
      <c r="E4602" s="2" t="inlineStr">
        <is>
          <t>Cookware Set</t>
        </is>
      </c>
      <c r="F4602" s="2" t="inlineStr">
        <is>
          <t>Home &amp; Kitchen</t>
        </is>
      </c>
      <c r="G4602" s="2" t="inlineStr">
        <is>
          <t>South</t>
        </is>
      </c>
      <c r="H4602" s="2" t="inlineStr">
        <is>
          <t>Tamil Nadu</t>
        </is>
      </c>
      <c r="I4602" s="2" t="inlineStr">
        <is>
          <t>Chennai</t>
        </is>
      </c>
      <c r="J4602" s="2" t="inlineStr">
        <is>
          <t>Online</t>
        </is>
      </c>
      <c r="K4602" s="2" t="n">
        <v>1</v>
      </c>
      <c r="L4602" s="3" t="n">
        <v>730.4400000000001</v>
      </c>
      <c r="M4602" s="4" t="n">
        <v>0.1</v>
      </c>
      <c r="N4602" s="3" t="n">
        <v>474.56</v>
      </c>
      <c r="O4602" s="3">
        <f>K4602*L4602*(1-M4602)</f>
        <v/>
      </c>
      <c r="P4602" s="3">
        <f>O4602-N4602</f>
        <v/>
      </c>
      <c r="Q4602" s="5">
        <f>IFERROR(P4602/O4602,0)</f>
        <v/>
      </c>
      <c r="R4602" s="2">
        <f>TEXT(DATEVALUE(B4602),"mmm")</f>
        <v/>
      </c>
      <c r="S4602" s="2">
        <f>TEXT(DATEVALUE(B4602),"yyyy-mm")</f>
        <v/>
      </c>
    </row>
    <row r="4603">
      <c r="A4603" s="2" t="inlineStr">
        <is>
          <t>O001738</t>
        </is>
      </c>
      <c r="B4603" s="2" t="inlineStr">
        <is>
          <t>2025-12-03</t>
        </is>
      </c>
      <c r="C4603" s="2" t="inlineStr">
        <is>
          <t>C0505</t>
        </is>
      </c>
      <c r="D4603" s="2" t="inlineStr">
        <is>
          <t>P0001</t>
        </is>
      </c>
      <c r="E4603" s="2" t="inlineStr">
        <is>
          <t>Wireless Headphones</t>
        </is>
      </c>
      <c r="F4603" s="2" t="inlineStr">
        <is>
          <t>Electronics</t>
        </is>
      </c>
      <c r="G4603" s="2" t="inlineStr">
        <is>
          <t>East</t>
        </is>
      </c>
      <c r="H4603" s="2" t="inlineStr">
        <is>
          <t>West Bengal</t>
        </is>
      </c>
      <c r="I4603" s="2" t="inlineStr">
        <is>
          <t>Kolkata</t>
        </is>
      </c>
      <c r="J4603" s="2" t="inlineStr">
        <is>
          <t>Store</t>
        </is>
      </c>
      <c r="K4603" s="2" t="n">
        <v>6</v>
      </c>
      <c r="L4603" s="3" t="n">
        <v>1365.28</v>
      </c>
      <c r="M4603" s="4" t="n">
        <v>0.15</v>
      </c>
      <c r="N4603" s="3" t="n">
        <v>4077.03</v>
      </c>
      <c r="O4603" s="3">
        <f>K4603*L4603*(1-M4603)</f>
        <v/>
      </c>
      <c r="P4603" s="3">
        <f>O4603-N4603</f>
        <v/>
      </c>
      <c r="Q4603" s="5">
        <f>IFERROR(P4603/O4603,0)</f>
        <v/>
      </c>
      <c r="R4603" s="2">
        <f>TEXT(DATEVALUE(B4603),"mmm")</f>
        <v/>
      </c>
      <c r="S4603" s="2">
        <f>TEXT(DATEVALUE(B4603),"yyyy-mm")</f>
        <v/>
      </c>
    </row>
    <row r="4604">
      <c r="A4604" s="2" t="inlineStr">
        <is>
          <t>O001203</t>
        </is>
      </c>
      <c r="B4604" s="2" t="inlineStr">
        <is>
          <t>2025-12-03</t>
        </is>
      </c>
      <c r="C4604" s="2" t="inlineStr">
        <is>
          <t>C0279</t>
        </is>
      </c>
      <c r="D4604" s="2" t="inlineStr">
        <is>
          <t>P0024</t>
        </is>
      </c>
      <c r="E4604" s="2" t="inlineStr">
        <is>
          <t>Hair Dryer</t>
        </is>
      </c>
      <c r="F4604" s="2" t="inlineStr">
        <is>
          <t>Beauty</t>
        </is>
      </c>
      <c r="G4604" s="2" t="inlineStr">
        <is>
          <t>South</t>
        </is>
      </c>
      <c r="H4604" s="2" t="inlineStr">
        <is>
          <t>Karnataka</t>
        </is>
      </c>
      <c r="I4604" s="2" t="inlineStr">
        <is>
          <t>Bengaluru</t>
        </is>
      </c>
      <c r="J4604" s="2" t="inlineStr">
        <is>
          <t>Online</t>
        </is>
      </c>
      <c r="K4604" s="2" t="n">
        <v>3</v>
      </c>
      <c r="L4604" s="3" t="n">
        <v>1005.4</v>
      </c>
      <c r="M4604" s="4" t="n">
        <v>0.1</v>
      </c>
      <c r="N4604" s="3" t="n">
        <v>2173.57</v>
      </c>
      <c r="O4604" s="3">
        <f>K4604*L4604*(1-M4604)</f>
        <v/>
      </c>
      <c r="P4604" s="3">
        <f>O4604-N4604</f>
        <v/>
      </c>
      <c r="Q4604" s="5">
        <f>IFERROR(P4604/O4604,0)</f>
        <v/>
      </c>
      <c r="R4604" s="2">
        <f>TEXT(DATEVALUE(B4604),"mmm")</f>
        <v/>
      </c>
      <c r="S4604" s="2">
        <f>TEXT(DATEVALUE(B4604),"yyyy-mm")</f>
        <v/>
      </c>
    </row>
    <row r="4605">
      <c r="A4605" s="2" t="inlineStr">
        <is>
          <t>O000872</t>
        </is>
      </c>
      <c r="B4605" s="2" t="inlineStr">
        <is>
          <t>2025-12-03</t>
        </is>
      </c>
      <c r="C4605" s="2" t="inlineStr">
        <is>
          <t>C0274</t>
        </is>
      </c>
      <c r="D4605" s="2" t="inlineStr">
        <is>
          <t>P0030</t>
        </is>
      </c>
      <c r="E4605" s="2" t="inlineStr">
        <is>
          <t>Dumbbells</t>
        </is>
      </c>
      <c r="F4605" s="2" t="inlineStr">
        <is>
          <t>Sports</t>
        </is>
      </c>
      <c r="G4605" s="2" t="inlineStr">
        <is>
          <t>South</t>
        </is>
      </c>
      <c r="H4605" s="2" t="inlineStr">
        <is>
          <t>Tamil Nadu</t>
        </is>
      </c>
      <c r="I4605" s="2" t="inlineStr">
        <is>
          <t>Madurai</t>
        </is>
      </c>
      <c r="J4605" s="2" t="inlineStr">
        <is>
          <t>Store</t>
        </is>
      </c>
      <c r="K4605" s="2" t="n">
        <v>2</v>
      </c>
      <c r="L4605" s="3" t="n">
        <v>1543.28</v>
      </c>
      <c r="M4605" s="4" t="n">
        <v>0</v>
      </c>
      <c r="N4605" s="3" t="n">
        <v>2069.68</v>
      </c>
      <c r="O4605" s="3">
        <f>K4605*L4605*(1-M4605)</f>
        <v/>
      </c>
      <c r="P4605" s="3">
        <f>O4605-N4605</f>
        <v/>
      </c>
      <c r="Q4605" s="5">
        <f>IFERROR(P4605/O4605,0)</f>
        <v/>
      </c>
      <c r="R4605" s="2">
        <f>TEXT(DATEVALUE(B4605),"mmm")</f>
        <v/>
      </c>
      <c r="S4605" s="2">
        <f>TEXT(DATEVALUE(B4605),"yyyy-mm")</f>
        <v/>
      </c>
    </row>
    <row r="4606">
      <c r="A4606" s="2" t="inlineStr">
        <is>
          <t>O000526</t>
        </is>
      </c>
      <c r="B4606" s="2" t="inlineStr">
        <is>
          <t>2025-12-03</t>
        </is>
      </c>
      <c r="C4606" s="2" t="inlineStr">
        <is>
          <t>C0350</t>
        </is>
      </c>
      <c r="D4606" s="2" t="inlineStr">
        <is>
          <t>P0035</t>
        </is>
      </c>
      <c r="E4606" s="2" t="inlineStr">
        <is>
          <t>Skipping Rope</t>
        </is>
      </c>
      <c r="F4606" s="2" t="inlineStr">
        <is>
          <t>Sports</t>
        </is>
      </c>
      <c r="G4606" s="2" t="inlineStr">
        <is>
          <t>East</t>
        </is>
      </c>
      <c r="H4606" s="2" t="inlineStr">
        <is>
          <t>Odisha</t>
        </is>
      </c>
      <c r="I4606" s="2" t="inlineStr">
        <is>
          <t>Bhubaneswar</t>
        </is>
      </c>
      <c r="J4606" s="2" t="inlineStr">
        <is>
          <t>Online</t>
        </is>
      </c>
      <c r="K4606" s="2" t="n">
        <v>1</v>
      </c>
      <c r="L4606" s="3" t="n">
        <v>689.28</v>
      </c>
      <c r="M4606" s="4" t="n">
        <v>0</v>
      </c>
      <c r="N4606" s="3" t="n">
        <v>399.75</v>
      </c>
      <c r="O4606" s="3">
        <f>K4606*L4606*(1-M4606)</f>
        <v/>
      </c>
      <c r="P4606" s="3">
        <f>O4606-N4606</f>
        <v/>
      </c>
      <c r="Q4606" s="5">
        <f>IFERROR(P4606/O4606,0)</f>
        <v/>
      </c>
      <c r="R4606" s="2">
        <f>TEXT(DATEVALUE(B4606),"mmm")</f>
        <v/>
      </c>
      <c r="S4606" s="2">
        <f>TEXT(DATEVALUE(B4606),"yyyy-mm")</f>
        <v/>
      </c>
    </row>
    <row r="4607">
      <c r="A4607" s="2" t="inlineStr">
        <is>
          <t>O002799</t>
        </is>
      </c>
      <c r="B4607" s="2" t="inlineStr">
        <is>
          <t>2025-12-03</t>
        </is>
      </c>
      <c r="C4607" s="2" t="inlineStr">
        <is>
          <t>C0568</t>
        </is>
      </c>
      <c r="D4607" s="2" t="inlineStr">
        <is>
          <t>P0019</t>
        </is>
      </c>
      <c r="E4607" s="2" t="inlineStr">
        <is>
          <t>Jacket</t>
        </is>
      </c>
      <c r="F4607" s="2" t="inlineStr">
        <is>
          <t>Fashion</t>
        </is>
      </c>
      <c r="G4607" s="2" t="inlineStr">
        <is>
          <t>North</t>
        </is>
      </c>
      <c r="H4607" s="2" t="inlineStr">
        <is>
          <t>Punjab</t>
        </is>
      </c>
      <c r="I4607" s="2" t="inlineStr">
        <is>
          <t>Jalandhar</t>
        </is>
      </c>
      <c r="J4607" s="2" t="inlineStr">
        <is>
          <t>Store</t>
        </is>
      </c>
      <c r="K4607" s="2" t="n">
        <v>2</v>
      </c>
      <c r="L4607" s="3" t="n">
        <v>1026.5</v>
      </c>
      <c r="M4607" s="4" t="n">
        <v>0.15</v>
      </c>
      <c r="N4607" s="3" t="n">
        <v>1309.01</v>
      </c>
      <c r="O4607" s="3">
        <f>K4607*L4607*(1-M4607)</f>
        <v/>
      </c>
      <c r="P4607" s="3">
        <f>O4607-N4607</f>
        <v/>
      </c>
      <c r="Q4607" s="5">
        <f>IFERROR(P4607/O4607,0)</f>
        <v/>
      </c>
      <c r="R4607" s="2">
        <f>TEXT(DATEVALUE(B4607),"mmm")</f>
        <v/>
      </c>
      <c r="S4607" s="2">
        <f>TEXT(DATEVALUE(B4607),"yyyy-mm")</f>
        <v/>
      </c>
    </row>
    <row r="4608">
      <c r="A4608" s="2" t="inlineStr">
        <is>
          <t>O004453</t>
        </is>
      </c>
      <c r="B4608" s="2" t="inlineStr">
        <is>
          <t>2025-12-04</t>
        </is>
      </c>
      <c r="C4608" s="2" t="inlineStr">
        <is>
          <t>C0328</t>
        </is>
      </c>
      <c r="D4608" s="2" t="inlineStr">
        <is>
          <t>P0014</t>
        </is>
      </c>
      <c r="E4608" s="2" t="inlineStr">
        <is>
          <t>Coffee Maker</t>
        </is>
      </c>
      <c r="F4608" s="2" t="inlineStr">
        <is>
          <t>Home &amp; Kitchen</t>
        </is>
      </c>
      <c r="G4608" s="2" t="inlineStr">
        <is>
          <t>West</t>
        </is>
      </c>
      <c r="H4608" s="2" t="inlineStr">
        <is>
          <t>Maharashtra</t>
        </is>
      </c>
      <c r="I4608" s="2" t="inlineStr">
        <is>
          <t>Nagpur</t>
        </is>
      </c>
      <c r="J4608" s="2" t="inlineStr">
        <is>
          <t>Online</t>
        </is>
      </c>
      <c r="K4608" s="2" t="n">
        <v>1</v>
      </c>
      <c r="L4608" s="3" t="n">
        <v>1043.32</v>
      </c>
      <c r="M4608" s="4" t="n">
        <v>0.2</v>
      </c>
      <c r="N4608" s="3" t="n">
        <v>752.1799999999999</v>
      </c>
      <c r="O4608" s="3">
        <f>K4608*L4608*(1-M4608)</f>
        <v/>
      </c>
      <c r="P4608" s="3">
        <f>O4608-N4608</f>
        <v/>
      </c>
      <c r="Q4608" s="5">
        <f>IFERROR(P4608/O4608,0)</f>
        <v/>
      </c>
      <c r="R4608" s="2">
        <f>TEXT(DATEVALUE(B4608),"mmm")</f>
        <v/>
      </c>
      <c r="S4608" s="2">
        <f>TEXT(DATEVALUE(B4608),"yyyy-mm")</f>
        <v/>
      </c>
    </row>
    <row r="4609">
      <c r="A4609" s="2" t="inlineStr">
        <is>
          <t>O004425</t>
        </is>
      </c>
      <c r="B4609" s="2" t="inlineStr">
        <is>
          <t>2025-12-04</t>
        </is>
      </c>
      <c r="C4609" s="2" t="inlineStr">
        <is>
          <t>C0393</t>
        </is>
      </c>
      <c r="D4609" s="2" t="inlineStr">
        <is>
          <t>P0014</t>
        </is>
      </c>
      <c r="E4609" s="2" t="inlineStr">
        <is>
          <t>Coffee Maker</t>
        </is>
      </c>
      <c r="F4609" s="2" t="inlineStr">
        <is>
          <t>Home &amp; Kitchen</t>
        </is>
      </c>
      <c r="G4609" s="2" t="inlineStr">
        <is>
          <t>North</t>
        </is>
      </c>
      <c r="H4609" s="2" t="inlineStr">
        <is>
          <t>Uttar Pradesh</t>
        </is>
      </c>
      <c r="I4609" s="2" t="inlineStr">
        <is>
          <t>Varanasi</t>
        </is>
      </c>
      <c r="J4609" s="2" t="inlineStr">
        <is>
          <t>Online</t>
        </is>
      </c>
      <c r="K4609" s="2" t="n">
        <v>1</v>
      </c>
      <c r="L4609" s="3" t="n">
        <v>1045.95</v>
      </c>
      <c r="M4609" s="4" t="n">
        <v>0.15</v>
      </c>
      <c r="N4609" s="3" t="n">
        <v>760.26</v>
      </c>
      <c r="O4609" s="3">
        <f>K4609*L4609*(1-M4609)</f>
        <v/>
      </c>
      <c r="P4609" s="3">
        <f>O4609-N4609</f>
        <v/>
      </c>
      <c r="Q4609" s="5">
        <f>IFERROR(P4609/O4609,0)</f>
        <v/>
      </c>
      <c r="R4609" s="2">
        <f>TEXT(DATEVALUE(B4609),"mmm")</f>
        <v/>
      </c>
      <c r="S4609" s="2">
        <f>TEXT(DATEVALUE(B4609),"yyyy-mm")</f>
        <v/>
      </c>
    </row>
    <row r="4610">
      <c r="A4610" s="2" t="inlineStr">
        <is>
          <t>O004298</t>
        </is>
      </c>
      <c r="B4610" s="2" t="inlineStr">
        <is>
          <t>2025-12-04</t>
        </is>
      </c>
      <c r="C4610" s="2" t="inlineStr">
        <is>
          <t>C0578</t>
        </is>
      </c>
      <c r="D4610" s="2" t="inlineStr">
        <is>
          <t>P0007</t>
        </is>
      </c>
      <c r="E4610" s="2" t="inlineStr">
        <is>
          <t>Wireless Mouse</t>
        </is>
      </c>
      <c r="F4610" s="2" t="inlineStr">
        <is>
          <t>Electronics</t>
        </is>
      </c>
      <c r="G4610" s="2" t="inlineStr">
        <is>
          <t>South</t>
        </is>
      </c>
      <c r="H4610" s="2" t="inlineStr">
        <is>
          <t>Telangana</t>
        </is>
      </c>
      <c r="I4610" s="2" t="inlineStr">
        <is>
          <t>Warangal</t>
        </is>
      </c>
      <c r="J4610" s="2" t="inlineStr">
        <is>
          <t>Online</t>
        </is>
      </c>
      <c r="K4610" s="2" t="n">
        <v>6</v>
      </c>
      <c r="L4610" s="3" t="n">
        <v>1007.78</v>
      </c>
      <c r="M4610" s="4" t="n">
        <v>0.1</v>
      </c>
      <c r="N4610" s="3" t="n">
        <v>3613.61</v>
      </c>
      <c r="O4610" s="3">
        <f>K4610*L4610*(1-M4610)</f>
        <v/>
      </c>
      <c r="P4610" s="3">
        <f>O4610-N4610</f>
        <v/>
      </c>
      <c r="Q4610" s="5">
        <f>IFERROR(P4610/O4610,0)</f>
        <v/>
      </c>
      <c r="R4610" s="2">
        <f>TEXT(DATEVALUE(B4610),"mmm")</f>
        <v/>
      </c>
      <c r="S4610" s="2">
        <f>TEXT(DATEVALUE(B4610),"yyyy-mm")</f>
        <v/>
      </c>
    </row>
    <row r="4611">
      <c r="A4611" s="2" t="inlineStr">
        <is>
          <t>O003704</t>
        </is>
      </c>
      <c r="B4611" s="2" t="inlineStr">
        <is>
          <t>2025-12-04</t>
        </is>
      </c>
      <c r="C4611" s="2" t="inlineStr">
        <is>
          <t>C0449</t>
        </is>
      </c>
      <c r="D4611" s="2" t="inlineStr">
        <is>
          <t>P0031</t>
        </is>
      </c>
      <c r="E4611" s="2" t="inlineStr">
        <is>
          <t>Cricket Bat</t>
        </is>
      </c>
      <c r="F4611" s="2" t="inlineStr">
        <is>
          <t>Sports</t>
        </is>
      </c>
      <c r="G4611" s="2" t="inlineStr">
        <is>
          <t>West</t>
        </is>
      </c>
      <c r="H4611" s="2" t="inlineStr">
        <is>
          <t>Gujarat</t>
        </is>
      </c>
      <c r="I4611" s="2" t="inlineStr">
        <is>
          <t>Ahmedabad</t>
        </is>
      </c>
      <c r="J4611" s="2" t="inlineStr">
        <is>
          <t>Store</t>
        </is>
      </c>
      <c r="K4611" s="2" t="n">
        <v>4</v>
      </c>
      <c r="L4611" s="3" t="n">
        <v>1384.97</v>
      </c>
      <c r="M4611" s="4" t="n">
        <v>0.2</v>
      </c>
      <c r="N4611" s="3" t="n">
        <v>3686.54</v>
      </c>
      <c r="O4611" s="3">
        <f>K4611*L4611*(1-M4611)</f>
        <v/>
      </c>
      <c r="P4611" s="3">
        <f>O4611-N4611</f>
        <v/>
      </c>
      <c r="Q4611" s="5">
        <f>IFERROR(P4611/O4611,0)</f>
        <v/>
      </c>
      <c r="R4611" s="2">
        <f>TEXT(DATEVALUE(B4611),"mmm")</f>
        <v/>
      </c>
      <c r="S4611" s="2">
        <f>TEXT(DATEVALUE(B4611),"yyyy-mm")</f>
        <v/>
      </c>
    </row>
    <row r="4612">
      <c r="A4612" s="2" t="inlineStr">
        <is>
          <t>O003671</t>
        </is>
      </c>
      <c r="B4612" s="2" t="inlineStr">
        <is>
          <t>2025-12-04</t>
        </is>
      </c>
      <c r="C4612" s="2" t="inlineStr">
        <is>
          <t>C0238</t>
        </is>
      </c>
      <c r="D4612" s="2" t="inlineStr">
        <is>
          <t>P0002</t>
        </is>
      </c>
      <c r="E4612" s="2" t="inlineStr">
        <is>
          <t>Bluetooth Speaker</t>
        </is>
      </c>
      <c r="F4612" s="2" t="inlineStr">
        <is>
          <t>Electronics</t>
        </is>
      </c>
      <c r="G4612" s="2" t="inlineStr">
        <is>
          <t>North</t>
        </is>
      </c>
      <c r="H4612" s="2" t="inlineStr">
        <is>
          <t>Delhi</t>
        </is>
      </c>
      <c r="I4612" s="2" t="inlineStr">
        <is>
          <t>New Delhi</t>
        </is>
      </c>
      <c r="J4612" s="2" t="inlineStr">
        <is>
          <t>Online</t>
        </is>
      </c>
      <c r="K4612" s="2" t="n">
        <v>1</v>
      </c>
      <c r="L4612" s="3" t="n">
        <v>1314.78</v>
      </c>
      <c r="M4612" s="4" t="n">
        <v>0.2</v>
      </c>
      <c r="N4612" s="3" t="n">
        <v>841</v>
      </c>
      <c r="O4612" s="3">
        <f>K4612*L4612*(1-M4612)</f>
        <v/>
      </c>
      <c r="P4612" s="3">
        <f>O4612-N4612</f>
        <v/>
      </c>
      <c r="Q4612" s="5">
        <f>IFERROR(P4612/O4612,0)</f>
        <v/>
      </c>
      <c r="R4612" s="2">
        <f>TEXT(DATEVALUE(B4612),"mmm")</f>
        <v/>
      </c>
      <c r="S4612" s="2">
        <f>TEXT(DATEVALUE(B4612),"yyyy-mm")</f>
        <v/>
      </c>
    </row>
    <row r="4613">
      <c r="A4613" s="2" t="inlineStr">
        <is>
          <t>O003467</t>
        </is>
      </c>
      <c r="B4613" s="2" t="inlineStr">
        <is>
          <t>2025-12-04</t>
        </is>
      </c>
      <c r="C4613" s="2" t="inlineStr">
        <is>
          <t>C0583</t>
        </is>
      </c>
      <c r="D4613" s="2" t="inlineStr">
        <is>
          <t>P0013</t>
        </is>
      </c>
      <c r="E4613" s="2" t="inlineStr">
        <is>
          <t>Storage Organizer</t>
        </is>
      </c>
      <c r="F4613" s="2" t="inlineStr">
        <is>
          <t>Home &amp; Kitchen</t>
        </is>
      </c>
      <c r="G4613" s="2" t="inlineStr">
        <is>
          <t>West</t>
        </is>
      </c>
      <c r="H4613" s="2" t="inlineStr">
        <is>
          <t>Goa</t>
        </is>
      </c>
      <c r="I4613" s="2" t="inlineStr">
        <is>
          <t>Panaji</t>
        </is>
      </c>
      <c r="J4613" s="2" t="inlineStr">
        <is>
          <t>Online</t>
        </is>
      </c>
      <c r="K4613" s="2" t="n">
        <v>1</v>
      </c>
      <c r="L4613" s="3" t="n">
        <v>596.34</v>
      </c>
      <c r="M4613" s="4" t="n">
        <v>0.2</v>
      </c>
      <c r="N4613" s="3" t="n">
        <v>356.19</v>
      </c>
      <c r="O4613" s="3">
        <f>K4613*L4613*(1-M4613)</f>
        <v/>
      </c>
      <c r="P4613" s="3">
        <f>O4613-N4613</f>
        <v/>
      </c>
      <c r="Q4613" s="5">
        <f>IFERROR(P4613/O4613,0)</f>
        <v/>
      </c>
      <c r="R4613" s="2">
        <f>TEXT(DATEVALUE(B4613),"mmm")</f>
        <v/>
      </c>
      <c r="S4613" s="2">
        <f>TEXT(DATEVALUE(B4613),"yyyy-mm")</f>
        <v/>
      </c>
    </row>
    <row r="4614">
      <c r="A4614" s="2" t="inlineStr">
        <is>
          <t>O003299</t>
        </is>
      </c>
      <c r="B4614" s="2" t="inlineStr">
        <is>
          <t>2025-12-04</t>
        </is>
      </c>
      <c r="C4614" s="2" t="inlineStr">
        <is>
          <t>C0383</t>
        </is>
      </c>
      <c r="D4614" s="2" t="inlineStr">
        <is>
          <t>P0018</t>
        </is>
      </c>
      <c r="E4614" s="2" t="inlineStr">
        <is>
          <t>Backpack</t>
        </is>
      </c>
      <c r="F4614" s="2" t="inlineStr">
        <is>
          <t>Fashion</t>
        </is>
      </c>
      <c r="G4614" s="2" t="inlineStr">
        <is>
          <t>East</t>
        </is>
      </c>
      <c r="H4614" s="2" t="inlineStr">
        <is>
          <t>Bihar</t>
        </is>
      </c>
      <c r="I4614" s="2" t="inlineStr">
        <is>
          <t>Gaya</t>
        </is>
      </c>
      <c r="J4614" s="2" t="inlineStr">
        <is>
          <t>Online</t>
        </is>
      </c>
      <c r="K4614" s="2" t="n">
        <v>3</v>
      </c>
      <c r="L4614" s="3" t="n">
        <v>1822.37</v>
      </c>
      <c r="M4614" s="4" t="n">
        <v>0.05</v>
      </c>
      <c r="N4614" s="3" t="n">
        <v>4049.61</v>
      </c>
      <c r="O4614" s="3">
        <f>K4614*L4614*(1-M4614)</f>
        <v/>
      </c>
      <c r="P4614" s="3">
        <f>O4614-N4614</f>
        <v/>
      </c>
      <c r="Q4614" s="5">
        <f>IFERROR(P4614/O4614,0)</f>
        <v/>
      </c>
      <c r="R4614" s="2">
        <f>TEXT(DATEVALUE(B4614),"mmm")</f>
        <v/>
      </c>
      <c r="S4614" s="2">
        <f>TEXT(DATEVALUE(B4614),"yyyy-mm")</f>
        <v/>
      </c>
    </row>
    <row r="4615">
      <c r="A4615" s="2" t="inlineStr">
        <is>
          <t>O003049</t>
        </is>
      </c>
      <c r="B4615" s="2" t="inlineStr">
        <is>
          <t>2025-12-04</t>
        </is>
      </c>
      <c r="C4615" s="2" t="inlineStr">
        <is>
          <t>C0456</t>
        </is>
      </c>
      <c r="D4615" s="2" t="inlineStr">
        <is>
          <t>P0017</t>
        </is>
      </c>
      <c r="E4615" s="2" t="inlineStr">
        <is>
          <t>Jeans</t>
        </is>
      </c>
      <c r="F4615" s="2" t="inlineStr">
        <is>
          <t>Fashion</t>
        </is>
      </c>
      <c r="G4615" s="2" t="inlineStr">
        <is>
          <t>West</t>
        </is>
      </c>
      <c r="H4615" s="2" t="inlineStr">
        <is>
          <t>Goa</t>
        </is>
      </c>
      <c r="I4615" s="2" t="inlineStr">
        <is>
          <t>Panaji</t>
        </is>
      </c>
      <c r="J4615" s="2" t="inlineStr">
        <is>
          <t>Online</t>
        </is>
      </c>
      <c r="K4615" s="2" t="n">
        <v>1</v>
      </c>
      <c r="L4615" s="3" t="n">
        <v>1483.7</v>
      </c>
      <c r="M4615" s="4" t="n">
        <v>0</v>
      </c>
      <c r="N4615" s="3" t="n">
        <v>1054.58</v>
      </c>
      <c r="O4615" s="3">
        <f>K4615*L4615*(1-M4615)</f>
        <v/>
      </c>
      <c r="P4615" s="3">
        <f>O4615-N4615</f>
        <v/>
      </c>
      <c r="Q4615" s="5">
        <f>IFERROR(P4615/O4615,0)</f>
        <v/>
      </c>
      <c r="R4615" s="2">
        <f>TEXT(DATEVALUE(B4615),"mmm")</f>
        <v/>
      </c>
      <c r="S4615" s="2">
        <f>TEXT(DATEVALUE(B4615),"yyyy-mm")</f>
        <v/>
      </c>
    </row>
    <row r="4616">
      <c r="A4616" s="2" t="inlineStr">
        <is>
          <t>O004429</t>
        </is>
      </c>
      <c r="B4616" s="2" t="inlineStr">
        <is>
          <t>2025-12-04</t>
        </is>
      </c>
      <c r="C4616" s="2" t="inlineStr">
        <is>
          <t>C0785</t>
        </is>
      </c>
      <c r="D4616" s="2" t="inlineStr">
        <is>
          <t>P0027</t>
        </is>
      </c>
      <c r="E4616" s="2" t="inlineStr">
        <is>
          <t>Moisturizer</t>
        </is>
      </c>
      <c r="F4616" s="2" t="inlineStr">
        <is>
          <t>Beauty</t>
        </is>
      </c>
      <c r="G4616" s="2" t="inlineStr">
        <is>
          <t>East</t>
        </is>
      </c>
      <c r="H4616" s="2" t="inlineStr">
        <is>
          <t>Odisha</t>
        </is>
      </c>
      <c r="I4616" s="2" t="inlineStr">
        <is>
          <t>Cuttack</t>
        </is>
      </c>
      <c r="J4616" s="2" t="inlineStr">
        <is>
          <t>Online</t>
        </is>
      </c>
      <c r="K4616" s="2" t="n">
        <v>1</v>
      </c>
      <c r="L4616" s="3" t="n">
        <v>950.05</v>
      </c>
      <c r="M4616" s="4" t="n">
        <v>0.05</v>
      </c>
      <c r="N4616" s="3" t="n">
        <v>703.14</v>
      </c>
      <c r="O4616" s="3">
        <f>K4616*L4616*(1-M4616)</f>
        <v/>
      </c>
      <c r="P4616" s="3">
        <f>O4616-N4616</f>
        <v/>
      </c>
      <c r="Q4616" s="5">
        <f>IFERROR(P4616/O4616,0)</f>
        <v/>
      </c>
      <c r="R4616" s="2">
        <f>TEXT(DATEVALUE(B4616),"mmm")</f>
        <v/>
      </c>
      <c r="S4616" s="2">
        <f>TEXT(DATEVALUE(B4616),"yyyy-mm")</f>
        <v/>
      </c>
    </row>
    <row r="4617">
      <c r="A4617" s="2" t="inlineStr">
        <is>
          <t>O002490</t>
        </is>
      </c>
      <c r="B4617" s="2" t="inlineStr">
        <is>
          <t>2025-12-04</t>
        </is>
      </c>
      <c r="C4617" s="2" t="inlineStr">
        <is>
          <t>C0241</t>
        </is>
      </c>
      <c r="D4617" s="2" t="inlineStr">
        <is>
          <t>P0004</t>
        </is>
      </c>
      <c r="E4617" s="2" t="inlineStr">
        <is>
          <t>USB-C Hub</t>
        </is>
      </c>
      <c r="F4617" s="2" t="inlineStr">
        <is>
          <t>Electronics</t>
        </is>
      </c>
      <c r="G4617" s="2" t="inlineStr">
        <is>
          <t>West</t>
        </is>
      </c>
      <c r="H4617" s="2" t="inlineStr">
        <is>
          <t>Goa</t>
        </is>
      </c>
      <c r="I4617" s="2" t="inlineStr">
        <is>
          <t>Margao</t>
        </is>
      </c>
      <c r="J4617" s="2" t="inlineStr">
        <is>
          <t>Store</t>
        </is>
      </c>
      <c r="K4617" s="2" t="n">
        <v>2</v>
      </c>
      <c r="L4617" s="3" t="n">
        <v>1221.09</v>
      </c>
      <c r="M4617" s="4" t="n">
        <v>0.1</v>
      </c>
      <c r="N4617" s="3" t="n">
        <v>1843.12</v>
      </c>
      <c r="O4617" s="3">
        <f>K4617*L4617*(1-M4617)</f>
        <v/>
      </c>
      <c r="P4617" s="3">
        <f>O4617-N4617</f>
        <v/>
      </c>
      <c r="Q4617" s="5">
        <f>IFERROR(P4617/O4617,0)</f>
        <v/>
      </c>
      <c r="R4617" s="2">
        <f>TEXT(DATEVALUE(B4617),"mmm")</f>
        <v/>
      </c>
      <c r="S4617" s="2">
        <f>TEXT(DATEVALUE(B4617),"yyyy-mm")</f>
        <v/>
      </c>
    </row>
    <row r="4618">
      <c r="A4618" s="2" t="inlineStr">
        <is>
          <t>O001798</t>
        </is>
      </c>
      <c r="B4618" s="2" t="inlineStr">
        <is>
          <t>2025-12-04</t>
        </is>
      </c>
      <c r="C4618" s="2" t="inlineStr">
        <is>
          <t>C0287</t>
        </is>
      </c>
      <c r="D4618" s="2" t="inlineStr">
        <is>
          <t>P0032</t>
        </is>
      </c>
      <c r="E4618" s="2" t="inlineStr">
        <is>
          <t>Football</t>
        </is>
      </c>
      <c r="F4618" s="2" t="inlineStr">
        <is>
          <t>Sports</t>
        </is>
      </c>
      <c r="G4618" s="2" t="inlineStr">
        <is>
          <t>East</t>
        </is>
      </c>
      <c r="H4618" s="2" t="inlineStr">
        <is>
          <t>Odisha</t>
        </is>
      </c>
      <c r="I4618" s="2" t="inlineStr">
        <is>
          <t>Cuttack</t>
        </is>
      </c>
      <c r="J4618" s="2" t="inlineStr">
        <is>
          <t>Online</t>
        </is>
      </c>
      <c r="K4618" s="2" t="n">
        <v>1</v>
      </c>
      <c r="L4618" s="3" t="n">
        <v>820.36</v>
      </c>
      <c r="M4618" s="4" t="n">
        <v>0.2</v>
      </c>
      <c r="N4618" s="3" t="n">
        <v>529.0700000000001</v>
      </c>
      <c r="O4618" s="3">
        <f>K4618*L4618*(1-M4618)</f>
        <v/>
      </c>
      <c r="P4618" s="3">
        <f>O4618-N4618</f>
        <v/>
      </c>
      <c r="Q4618" s="5">
        <f>IFERROR(P4618/O4618,0)</f>
        <v/>
      </c>
      <c r="R4618" s="2">
        <f>TEXT(DATEVALUE(B4618),"mmm")</f>
        <v/>
      </c>
      <c r="S4618" s="2">
        <f>TEXT(DATEVALUE(B4618),"yyyy-mm")</f>
        <v/>
      </c>
    </row>
    <row r="4619">
      <c r="A4619" s="2" t="inlineStr">
        <is>
          <t>O001574</t>
        </is>
      </c>
      <c r="B4619" s="2" t="inlineStr">
        <is>
          <t>2025-12-04</t>
        </is>
      </c>
      <c r="C4619" s="2" t="inlineStr">
        <is>
          <t>C0214</t>
        </is>
      </c>
      <c r="D4619" s="2" t="inlineStr">
        <is>
          <t>P0003</t>
        </is>
      </c>
      <c r="E4619" s="2" t="inlineStr">
        <is>
          <t>Smartwatch</t>
        </is>
      </c>
      <c r="F4619" s="2" t="inlineStr">
        <is>
          <t>Electronics</t>
        </is>
      </c>
      <c r="G4619" s="2" t="inlineStr">
        <is>
          <t>West</t>
        </is>
      </c>
      <c r="H4619" s="2" t="inlineStr">
        <is>
          <t>Maharashtra</t>
        </is>
      </c>
      <c r="I4619" s="2" t="inlineStr">
        <is>
          <t>Mumbai</t>
        </is>
      </c>
      <c r="J4619" s="2" t="inlineStr">
        <is>
          <t>Online</t>
        </is>
      </c>
      <c r="K4619" s="2" t="n">
        <v>2</v>
      </c>
      <c r="L4619" s="3" t="n">
        <v>2375.99</v>
      </c>
      <c r="M4619" s="4" t="n">
        <v>0.1</v>
      </c>
      <c r="N4619" s="3" t="n">
        <v>2403.34</v>
      </c>
      <c r="O4619" s="3">
        <f>K4619*L4619*(1-M4619)</f>
        <v/>
      </c>
      <c r="P4619" s="3">
        <f>O4619-N4619</f>
        <v/>
      </c>
      <c r="Q4619" s="5">
        <f>IFERROR(P4619/O4619,0)</f>
        <v/>
      </c>
      <c r="R4619" s="2">
        <f>TEXT(DATEVALUE(B4619),"mmm")</f>
        <v/>
      </c>
      <c r="S4619" s="2">
        <f>TEXT(DATEVALUE(B4619),"yyyy-mm")</f>
        <v/>
      </c>
    </row>
    <row r="4620">
      <c r="A4620" s="2" t="inlineStr">
        <is>
          <t>O000794</t>
        </is>
      </c>
      <c r="B4620" s="2" t="inlineStr">
        <is>
          <t>2025-12-04</t>
        </is>
      </c>
      <c r="C4620" s="2" t="inlineStr">
        <is>
          <t>C0060</t>
        </is>
      </c>
      <c r="D4620" s="2" t="inlineStr">
        <is>
          <t>P0008</t>
        </is>
      </c>
      <c r="E4620" s="2" t="inlineStr">
        <is>
          <t>Air Fryer</t>
        </is>
      </c>
      <c r="F4620" s="2" t="inlineStr">
        <is>
          <t>Home &amp; Kitchen</t>
        </is>
      </c>
      <c r="G4620" s="2" t="inlineStr">
        <is>
          <t>South</t>
        </is>
      </c>
      <c r="H4620" s="2" t="inlineStr">
        <is>
          <t>Kerala</t>
        </is>
      </c>
      <c r="I4620" s="2" t="inlineStr">
        <is>
          <t>Thiruvananthapuram</t>
        </is>
      </c>
      <c r="J4620" s="2" t="inlineStr">
        <is>
          <t>Online</t>
        </is>
      </c>
      <c r="K4620" s="2" t="n">
        <v>1</v>
      </c>
      <c r="L4620" s="3" t="n">
        <v>1014.6</v>
      </c>
      <c r="M4620" s="4" t="n">
        <v>0.05</v>
      </c>
      <c r="N4620" s="3" t="n">
        <v>666.59</v>
      </c>
      <c r="O4620" s="3">
        <f>K4620*L4620*(1-M4620)</f>
        <v/>
      </c>
      <c r="P4620" s="3">
        <f>O4620-N4620</f>
        <v/>
      </c>
      <c r="Q4620" s="5">
        <f>IFERROR(P4620/O4620,0)</f>
        <v/>
      </c>
      <c r="R4620" s="2">
        <f>TEXT(DATEVALUE(B4620),"mmm")</f>
        <v/>
      </c>
      <c r="S4620" s="2">
        <f>TEXT(DATEVALUE(B4620),"yyyy-mm")</f>
        <v/>
      </c>
    </row>
    <row r="4621">
      <c r="A4621" s="2" t="inlineStr">
        <is>
          <t>O000292</t>
        </is>
      </c>
      <c r="B4621" s="2" t="inlineStr">
        <is>
          <t>2025-12-04</t>
        </is>
      </c>
      <c r="C4621" s="2" t="inlineStr">
        <is>
          <t>C0419</t>
        </is>
      </c>
      <c r="D4621" s="2" t="inlineStr">
        <is>
          <t>P0006</t>
        </is>
      </c>
      <c r="E4621" s="2" t="inlineStr">
        <is>
          <t>Mechanical Keyboard</t>
        </is>
      </c>
      <c r="F4621" s="2" t="inlineStr">
        <is>
          <t>Electronics</t>
        </is>
      </c>
      <c r="G4621" s="2" t="inlineStr">
        <is>
          <t>East</t>
        </is>
      </c>
      <c r="H4621" s="2" t="inlineStr">
        <is>
          <t>Bihar</t>
        </is>
      </c>
      <c r="I4621" s="2" t="inlineStr">
        <is>
          <t>Gaya</t>
        </is>
      </c>
      <c r="J4621" s="2" t="inlineStr">
        <is>
          <t>Store</t>
        </is>
      </c>
      <c r="K4621" s="2" t="n">
        <v>3</v>
      </c>
      <c r="L4621" s="3" t="n">
        <v>2700.31</v>
      </c>
      <c r="M4621" s="4" t="n">
        <v>0</v>
      </c>
      <c r="N4621" s="3" t="n">
        <v>4298.98</v>
      </c>
      <c r="O4621" s="3">
        <f>K4621*L4621*(1-M4621)</f>
        <v/>
      </c>
      <c r="P4621" s="3">
        <f>O4621-N4621</f>
        <v/>
      </c>
      <c r="Q4621" s="5">
        <f>IFERROR(P4621/O4621,0)</f>
        <v/>
      </c>
      <c r="R4621" s="2">
        <f>TEXT(DATEVALUE(B4621),"mmm")</f>
        <v/>
      </c>
      <c r="S4621" s="2">
        <f>TEXT(DATEVALUE(B4621),"yyyy-mm")</f>
        <v/>
      </c>
    </row>
    <row r="4622">
      <c r="A4622" s="2" t="inlineStr">
        <is>
          <t>O000251</t>
        </is>
      </c>
      <c r="B4622" s="2" t="inlineStr">
        <is>
          <t>2025-12-04</t>
        </is>
      </c>
      <c r="C4622" s="2" t="inlineStr">
        <is>
          <t>C0114</t>
        </is>
      </c>
      <c r="D4622" s="2" t="inlineStr">
        <is>
          <t>P0006</t>
        </is>
      </c>
      <c r="E4622" s="2" t="inlineStr">
        <is>
          <t>Mechanical Keyboard</t>
        </is>
      </c>
      <c r="F4622" s="2" t="inlineStr">
        <is>
          <t>Electronics</t>
        </is>
      </c>
      <c r="G4622" s="2" t="inlineStr">
        <is>
          <t>West</t>
        </is>
      </c>
      <c r="H4622" s="2" t="inlineStr">
        <is>
          <t>Maharashtra</t>
        </is>
      </c>
      <c r="I4622" s="2" t="inlineStr">
        <is>
          <t>Pune</t>
        </is>
      </c>
      <c r="J4622" s="2" t="inlineStr">
        <is>
          <t>Online</t>
        </is>
      </c>
      <c r="K4622" s="2" t="n">
        <v>1</v>
      </c>
      <c r="L4622" s="3" t="n">
        <v>2768.98</v>
      </c>
      <c r="M4622" s="4" t="n">
        <v>0.1</v>
      </c>
      <c r="N4622" s="3" t="n">
        <v>1440.64</v>
      </c>
      <c r="O4622" s="3">
        <f>K4622*L4622*(1-M4622)</f>
        <v/>
      </c>
      <c r="P4622" s="3">
        <f>O4622-N4622</f>
        <v/>
      </c>
      <c r="Q4622" s="5">
        <f>IFERROR(P4622/O4622,0)</f>
        <v/>
      </c>
      <c r="R4622" s="2">
        <f>TEXT(DATEVALUE(B4622),"mmm")</f>
        <v/>
      </c>
      <c r="S4622" s="2">
        <f>TEXT(DATEVALUE(B4622),"yyyy-mm")</f>
        <v/>
      </c>
    </row>
    <row r="4623">
      <c r="A4623" s="2" t="inlineStr">
        <is>
          <t>O000085</t>
        </is>
      </c>
      <c r="B4623" s="2" t="inlineStr">
        <is>
          <t>2025-12-04</t>
        </is>
      </c>
      <c r="C4623" s="2" t="inlineStr">
        <is>
          <t>C0747</t>
        </is>
      </c>
      <c r="D4623" s="2" t="inlineStr">
        <is>
          <t>P0006</t>
        </is>
      </c>
      <c r="E4623" s="2" t="inlineStr">
        <is>
          <t>Mechanical Keyboard</t>
        </is>
      </c>
      <c r="F4623" s="2" t="inlineStr">
        <is>
          <t>Electronics</t>
        </is>
      </c>
      <c r="G4623" s="2" t="inlineStr">
        <is>
          <t>West</t>
        </is>
      </c>
      <c r="H4623" s="2" t="inlineStr">
        <is>
          <t>Gujarat</t>
        </is>
      </c>
      <c r="I4623" s="2" t="inlineStr">
        <is>
          <t>Vadodara</t>
        </is>
      </c>
      <c r="J4623" s="2" t="inlineStr">
        <is>
          <t>Store</t>
        </is>
      </c>
      <c r="K4623" s="2" t="n">
        <v>1</v>
      </c>
      <c r="L4623" s="3" t="n">
        <v>2615.27</v>
      </c>
      <c r="M4623" s="4" t="n">
        <v>0.1</v>
      </c>
      <c r="N4623" s="3" t="n">
        <v>1510.46</v>
      </c>
      <c r="O4623" s="3">
        <f>K4623*L4623*(1-M4623)</f>
        <v/>
      </c>
      <c r="P4623" s="3">
        <f>O4623-N4623</f>
        <v/>
      </c>
      <c r="Q4623" s="5">
        <f>IFERROR(P4623/O4623,0)</f>
        <v/>
      </c>
      <c r="R4623" s="2">
        <f>TEXT(DATEVALUE(B4623),"mmm")</f>
        <v/>
      </c>
      <c r="S4623" s="2">
        <f>TEXT(DATEVALUE(B4623),"yyyy-mm")</f>
        <v/>
      </c>
    </row>
    <row r="4624">
      <c r="A4624" s="2" t="inlineStr">
        <is>
          <t>O002857</t>
        </is>
      </c>
      <c r="B4624" s="2" t="inlineStr">
        <is>
          <t>2025-12-04</t>
        </is>
      </c>
      <c r="C4624" s="2" t="inlineStr">
        <is>
          <t>C0123</t>
        </is>
      </c>
      <c r="D4624" s="2" t="inlineStr">
        <is>
          <t>P0015</t>
        </is>
      </c>
      <c r="E4624" s="2" t="inlineStr">
        <is>
          <t>Running Shoes</t>
        </is>
      </c>
      <c r="F4624" s="2" t="inlineStr">
        <is>
          <t>Fashion</t>
        </is>
      </c>
      <c r="G4624" s="2" t="inlineStr">
        <is>
          <t>South</t>
        </is>
      </c>
      <c r="H4624" s="2" t="inlineStr">
        <is>
          <t>Karnataka</t>
        </is>
      </c>
      <c r="I4624" s="2" t="inlineStr">
        <is>
          <t>Mangaluru</t>
        </is>
      </c>
      <c r="J4624" s="2" t="inlineStr">
        <is>
          <t>Online</t>
        </is>
      </c>
      <c r="K4624" s="2" t="n">
        <v>1</v>
      </c>
      <c r="L4624" s="3" t="n">
        <v>608.59</v>
      </c>
      <c r="M4624" s="4" t="n">
        <v>0.2</v>
      </c>
      <c r="N4624" s="3" t="n">
        <v>364.18</v>
      </c>
      <c r="O4624" s="3">
        <f>K4624*L4624*(1-M4624)</f>
        <v/>
      </c>
      <c r="P4624" s="3">
        <f>O4624-N4624</f>
        <v/>
      </c>
      <c r="Q4624" s="5">
        <f>IFERROR(P4624/O4624,0)</f>
        <v/>
      </c>
      <c r="R4624" s="2">
        <f>TEXT(DATEVALUE(B4624),"mmm")</f>
        <v/>
      </c>
      <c r="S4624" s="2">
        <f>TEXT(DATEVALUE(B4624),"yyyy-mm")</f>
        <v/>
      </c>
    </row>
    <row r="4625">
      <c r="A4625" s="2" t="inlineStr">
        <is>
          <t>O004896</t>
        </is>
      </c>
      <c r="B4625" s="2" t="inlineStr">
        <is>
          <t>2025-12-05</t>
        </is>
      </c>
      <c r="C4625" s="2" t="inlineStr">
        <is>
          <t>C0179</t>
        </is>
      </c>
      <c r="D4625" s="2" t="inlineStr">
        <is>
          <t>P0022</t>
        </is>
      </c>
      <c r="E4625" s="2" t="inlineStr">
        <is>
          <t>Face Wash</t>
        </is>
      </c>
      <c r="F4625" s="2" t="inlineStr">
        <is>
          <t>Beauty</t>
        </is>
      </c>
      <c r="G4625" s="2" t="inlineStr">
        <is>
          <t>East</t>
        </is>
      </c>
      <c r="H4625" s="2" t="inlineStr">
        <is>
          <t>Bihar</t>
        </is>
      </c>
      <c r="I4625" s="2" t="inlineStr">
        <is>
          <t>Gaya</t>
        </is>
      </c>
      <c r="J4625" s="2" t="inlineStr">
        <is>
          <t>Store</t>
        </is>
      </c>
      <c r="K4625" s="2" t="n">
        <v>4</v>
      </c>
      <c r="L4625" s="3" t="n">
        <v>543.5700000000001</v>
      </c>
      <c r="M4625" s="4" t="n">
        <v>0.1</v>
      </c>
      <c r="N4625" s="3" t="n">
        <v>1373.06</v>
      </c>
      <c r="O4625" s="3">
        <f>K4625*L4625*(1-M4625)</f>
        <v/>
      </c>
      <c r="P4625" s="3">
        <f>O4625-N4625</f>
        <v/>
      </c>
      <c r="Q4625" s="5">
        <f>IFERROR(P4625/O4625,0)</f>
        <v/>
      </c>
      <c r="R4625" s="2">
        <f>TEXT(DATEVALUE(B4625),"mmm")</f>
        <v/>
      </c>
      <c r="S4625" s="2">
        <f>TEXT(DATEVALUE(B4625),"yyyy-mm")</f>
        <v/>
      </c>
    </row>
    <row r="4626">
      <c r="A4626" s="2" t="inlineStr">
        <is>
          <t>O004852</t>
        </is>
      </c>
      <c r="B4626" s="2" t="inlineStr">
        <is>
          <t>2025-12-05</t>
        </is>
      </c>
      <c r="C4626" s="2" t="inlineStr">
        <is>
          <t>C0198</t>
        </is>
      </c>
      <c r="D4626" s="2" t="inlineStr">
        <is>
          <t>P0017</t>
        </is>
      </c>
      <c r="E4626" s="2" t="inlineStr">
        <is>
          <t>Jeans</t>
        </is>
      </c>
      <c r="F4626" s="2" t="inlineStr">
        <is>
          <t>Fashion</t>
        </is>
      </c>
      <c r="G4626" s="2" t="inlineStr">
        <is>
          <t>West</t>
        </is>
      </c>
      <c r="H4626" s="2" t="inlineStr">
        <is>
          <t>Gujarat</t>
        </is>
      </c>
      <c r="I4626" s="2" t="inlineStr">
        <is>
          <t>Ahmedabad</t>
        </is>
      </c>
      <c r="J4626" s="2" t="inlineStr">
        <is>
          <t>Online</t>
        </is>
      </c>
      <c r="K4626" s="2" t="n">
        <v>4</v>
      </c>
      <c r="L4626" s="3" t="n">
        <v>1488.21</v>
      </c>
      <c r="M4626" s="4" t="n">
        <v>0.05</v>
      </c>
      <c r="N4626" s="3" t="n">
        <v>3964.14</v>
      </c>
      <c r="O4626" s="3">
        <f>K4626*L4626*(1-M4626)</f>
        <v/>
      </c>
      <c r="P4626" s="3">
        <f>O4626-N4626</f>
        <v/>
      </c>
      <c r="Q4626" s="5">
        <f>IFERROR(P4626/O4626,0)</f>
        <v/>
      </c>
      <c r="R4626" s="2">
        <f>TEXT(DATEVALUE(B4626),"mmm")</f>
        <v/>
      </c>
      <c r="S4626" s="2">
        <f>TEXT(DATEVALUE(B4626),"yyyy-mm")</f>
        <v/>
      </c>
    </row>
    <row r="4627">
      <c r="A4627" s="2" t="inlineStr">
        <is>
          <t>O004687</t>
        </is>
      </c>
      <c r="B4627" s="2" t="inlineStr">
        <is>
          <t>2025-12-05</t>
        </is>
      </c>
      <c r="C4627" s="2" t="inlineStr">
        <is>
          <t>C0771</t>
        </is>
      </c>
      <c r="D4627" s="2" t="inlineStr">
        <is>
          <t>P0025</t>
        </is>
      </c>
      <c r="E4627" s="2" t="inlineStr">
        <is>
          <t>Perfume</t>
        </is>
      </c>
      <c r="F4627" s="2" t="inlineStr">
        <is>
          <t>Beauty</t>
        </is>
      </c>
      <c r="G4627" s="2" t="inlineStr">
        <is>
          <t>North</t>
        </is>
      </c>
      <c r="H4627" s="2" t="inlineStr">
        <is>
          <t>Punjab</t>
        </is>
      </c>
      <c r="I4627" s="2" t="inlineStr">
        <is>
          <t>Jalandhar</t>
        </is>
      </c>
      <c r="J4627" s="2" t="inlineStr">
        <is>
          <t>Online</t>
        </is>
      </c>
      <c r="K4627" s="2" t="n">
        <v>1</v>
      </c>
      <c r="L4627" s="3" t="n">
        <v>844.01</v>
      </c>
      <c r="M4627" s="4" t="n">
        <v>0</v>
      </c>
      <c r="N4627" s="3" t="n">
        <v>595.02</v>
      </c>
      <c r="O4627" s="3">
        <f>K4627*L4627*(1-M4627)</f>
        <v/>
      </c>
      <c r="P4627" s="3">
        <f>O4627-N4627</f>
        <v/>
      </c>
      <c r="Q4627" s="5">
        <f>IFERROR(P4627/O4627,0)</f>
        <v/>
      </c>
      <c r="R4627" s="2">
        <f>TEXT(DATEVALUE(B4627),"mmm")</f>
        <v/>
      </c>
      <c r="S4627" s="2">
        <f>TEXT(DATEVALUE(B4627),"yyyy-mm")</f>
        <v/>
      </c>
    </row>
    <row r="4628">
      <c r="A4628" s="2" t="inlineStr">
        <is>
          <t>O004650</t>
        </is>
      </c>
      <c r="B4628" s="2" t="inlineStr">
        <is>
          <t>2025-12-05</t>
        </is>
      </c>
      <c r="C4628" s="2" t="inlineStr">
        <is>
          <t>C0255</t>
        </is>
      </c>
      <c r="D4628" s="2" t="inlineStr">
        <is>
          <t>P0027</t>
        </is>
      </c>
      <c r="E4628" s="2" t="inlineStr">
        <is>
          <t>Moisturizer</t>
        </is>
      </c>
      <c r="F4628" s="2" t="inlineStr">
        <is>
          <t>Beauty</t>
        </is>
      </c>
      <c r="G4628" s="2" t="inlineStr">
        <is>
          <t>West</t>
        </is>
      </c>
      <c r="H4628" s="2" t="inlineStr">
        <is>
          <t>Maharashtra</t>
        </is>
      </c>
      <c r="I4628" s="2" t="inlineStr">
        <is>
          <t>Pune</t>
        </is>
      </c>
      <c r="J4628" s="2" t="inlineStr">
        <is>
          <t>Online</t>
        </is>
      </c>
      <c r="K4628" s="2" t="n">
        <v>1</v>
      </c>
      <c r="L4628" s="3" t="n">
        <v>993</v>
      </c>
      <c r="M4628" s="4" t="n">
        <v>0.1</v>
      </c>
      <c r="N4628" s="3" t="n">
        <v>686.72</v>
      </c>
      <c r="O4628" s="3">
        <f>K4628*L4628*(1-M4628)</f>
        <v/>
      </c>
      <c r="P4628" s="3">
        <f>O4628-N4628</f>
        <v/>
      </c>
      <c r="Q4628" s="5">
        <f>IFERROR(P4628/O4628,0)</f>
        <v/>
      </c>
      <c r="R4628" s="2">
        <f>TEXT(DATEVALUE(B4628),"mmm")</f>
        <v/>
      </c>
      <c r="S4628" s="2">
        <f>TEXT(DATEVALUE(B4628),"yyyy-mm")</f>
        <v/>
      </c>
    </row>
    <row r="4629">
      <c r="A4629" s="2" t="inlineStr">
        <is>
          <t>O004235</t>
        </is>
      </c>
      <c r="B4629" s="2" t="inlineStr">
        <is>
          <t>2025-12-05</t>
        </is>
      </c>
      <c r="C4629" s="2" t="inlineStr">
        <is>
          <t>C0568</t>
        </is>
      </c>
      <c r="D4629" s="2" t="inlineStr">
        <is>
          <t>P0003</t>
        </is>
      </c>
      <c r="E4629" s="2" t="inlineStr">
        <is>
          <t>Smartwatch</t>
        </is>
      </c>
      <c r="F4629" s="2" t="inlineStr">
        <is>
          <t>Electronics</t>
        </is>
      </c>
      <c r="G4629" s="2" t="inlineStr">
        <is>
          <t>South</t>
        </is>
      </c>
      <c r="H4629" s="2" t="inlineStr">
        <is>
          <t>Karnataka</t>
        </is>
      </c>
      <c r="I4629" s="2" t="inlineStr">
        <is>
          <t>Bengaluru</t>
        </is>
      </c>
      <c r="J4629" s="2" t="inlineStr">
        <is>
          <t>Online</t>
        </is>
      </c>
      <c r="K4629" s="2" t="n">
        <v>1</v>
      </c>
      <c r="L4629" s="3" t="n">
        <v>2189.94</v>
      </c>
      <c r="M4629" s="4" t="n">
        <v>0.05</v>
      </c>
      <c r="N4629" s="3" t="n">
        <v>1160.62</v>
      </c>
      <c r="O4629" s="3">
        <f>K4629*L4629*(1-M4629)</f>
        <v/>
      </c>
      <c r="P4629" s="3">
        <f>O4629-N4629</f>
        <v/>
      </c>
      <c r="Q4629" s="5">
        <f>IFERROR(P4629/O4629,0)</f>
        <v/>
      </c>
      <c r="R4629" s="2">
        <f>TEXT(DATEVALUE(B4629),"mmm")</f>
        <v/>
      </c>
      <c r="S4629" s="2">
        <f>TEXT(DATEVALUE(B4629),"yyyy-mm")</f>
        <v/>
      </c>
    </row>
    <row r="4630">
      <c r="A4630" s="2" t="inlineStr">
        <is>
          <t>O004233</t>
        </is>
      </c>
      <c r="B4630" s="2" t="inlineStr">
        <is>
          <t>2025-12-05</t>
        </is>
      </c>
      <c r="C4630" s="2" t="inlineStr">
        <is>
          <t>C0800</t>
        </is>
      </c>
      <c r="D4630" s="2" t="inlineStr">
        <is>
          <t>P0021</t>
        </is>
      </c>
      <c r="E4630" s="2" t="inlineStr">
        <is>
          <t>Wallet</t>
        </is>
      </c>
      <c r="F4630" s="2" t="inlineStr">
        <is>
          <t>Fashion</t>
        </is>
      </c>
      <c r="G4630" s="2" t="inlineStr">
        <is>
          <t>North</t>
        </is>
      </c>
      <c r="H4630" s="2" t="inlineStr">
        <is>
          <t>Punjab</t>
        </is>
      </c>
      <c r="I4630" s="2" t="inlineStr">
        <is>
          <t>Ludhiana</t>
        </is>
      </c>
      <c r="J4630" s="2" t="inlineStr">
        <is>
          <t>Online</t>
        </is>
      </c>
      <c r="K4630" s="2" t="n">
        <v>1</v>
      </c>
      <c r="L4630" s="3" t="n">
        <v>2003.07</v>
      </c>
      <c r="M4630" s="4" t="n">
        <v>0.05</v>
      </c>
      <c r="N4630" s="3" t="n">
        <v>1204.61</v>
      </c>
      <c r="O4630" s="3">
        <f>K4630*L4630*(1-M4630)</f>
        <v/>
      </c>
      <c r="P4630" s="3">
        <f>O4630-N4630</f>
        <v/>
      </c>
      <c r="Q4630" s="5">
        <f>IFERROR(P4630/O4630,0)</f>
        <v/>
      </c>
      <c r="R4630" s="2">
        <f>TEXT(DATEVALUE(B4630),"mmm")</f>
        <v/>
      </c>
      <c r="S4630" s="2">
        <f>TEXT(DATEVALUE(B4630),"yyyy-mm")</f>
        <v/>
      </c>
    </row>
    <row r="4631">
      <c r="A4631" s="2" t="inlineStr">
        <is>
          <t>O004222</t>
        </is>
      </c>
      <c r="B4631" s="2" t="inlineStr">
        <is>
          <t>2025-12-05</t>
        </is>
      </c>
      <c r="C4631" s="2" t="inlineStr">
        <is>
          <t>C0417</t>
        </is>
      </c>
      <c r="D4631" s="2" t="inlineStr">
        <is>
          <t>P0011</t>
        </is>
      </c>
      <c r="E4631" s="2" t="inlineStr">
        <is>
          <t>Cookware Set</t>
        </is>
      </c>
      <c r="F4631" s="2" t="inlineStr">
        <is>
          <t>Home &amp; Kitchen</t>
        </is>
      </c>
      <c r="G4631" s="2" t="inlineStr">
        <is>
          <t>West</t>
        </is>
      </c>
      <c r="H4631" s="2" t="inlineStr">
        <is>
          <t>Goa</t>
        </is>
      </c>
      <c r="I4631" s="2" t="inlineStr">
        <is>
          <t>Panaji</t>
        </is>
      </c>
      <c r="J4631" s="2" t="inlineStr">
        <is>
          <t>Store</t>
        </is>
      </c>
      <c r="K4631" s="2" t="n">
        <v>5</v>
      </c>
      <c r="L4631" s="3" t="n">
        <v>703.84</v>
      </c>
      <c r="M4631" s="4" t="n">
        <v>0.1</v>
      </c>
      <c r="N4631" s="3" t="n">
        <v>2285.07</v>
      </c>
      <c r="O4631" s="3">
        <f>K4631*L4631*(1-M4631)</f>
        <v/>
      </c>
      <c r="P4631" s="3">
        <f>O4631-N4631</f>
        <v/>
      </c>
      <c r="Q4631" s="5">
        <f>IFERROR(P4631/O4631,0)</f>
        <v/>
      </c>
      <c r="R4631" s="2">
        <f>TEXT(DATEVALUE(B4631),"mmm")</f>
        <v/>
      </c>
      <c r="S4631" s="2">
        <f>TEXT(DATEVALUE(B4631),"yyyy-mm")</f>
        <v/>
      </c>
    </row>
    <row r="4632">
      <c r="A4632" s="2" t="inlineStr">
        <is>
          <t>O002101</t>
        </is>
      </c>
      <c r="B4632" s="2" t="inlineStr">
        <is>
          <t>2025-12-05</t>
        </is>
      </c>
      <c r="C4632" s="2" t="inlineStr">
        <is>
          <t>C0341</t>
        </is>
      </c>
      <c r="D4632" s="2" t="inlineStr">
        <is>
          <t>P0022</t>
        </is>
      </c>
      <c r="E4632" s="2" t="inlineStr">
        <is>
          <t>Face Wash</t>
        </is>
      </c>
      <c r="F4632" s="2" t="inlineStr">
        <is>
          <t>Beauty</t>
        </is>
      </c>
      <c r="G4632" s="2" t="inlineStr">
        <is>
          <t>East</t>
        </is>
      </c>
      <c r="H4632" s="2" t="inlineStr">
        <is>
          <t>Bihar</t>
        </is>
      </c>
      <c r="I4632" s="2" t="inlineStr">
        <is>
          <t>Patna</t>
        </is>
      </c>
      <c r="J4632" s="2" t="inlineStr">
        <is>
          <t>Store</t>
        </is>
      </c>
      <c r="K4632" s="2" t="n">
        <v>1</v>
      </c>
      <c r="L4632" s="3" t="n">
        <v>534.6799999999999</v>
      </c>
      <c r="M4632" s="4" t="n">
        <v>0.1</v>
      </c>
      <c r="N4632" s="3" t="n">
        <v>341.47</v>
      </c>
      <c r="O4632" s="3">
        <f>K4632*L4632*(1-M4632)</f>
        <v/>
      </c>
      <c r="P4632" s="3">
        <f>O4632-N4632</f>
        <v/>
      </c>
      <c r="Q4632" s="5">
        <f>IFERROR(P4632/O4632,0)</f>
        <v/>
      </c>
      <c r="R4632" s="2">
        <f>TEXT(DATEVALUE(B4632),"mmm")</f>
        <v/>
      </c>
      <c r="S4632" s="2">
        <f>TEXT(DATEVALUE(B4632),"yyyy-mm")</f>
        <v/>
      </c>
    </row>
    <row r="4633">
      <c r="A4633" s="2" t="inlineStr">
        <is>
          <t>O001438</t>
        </is>
      </c>
      <c r="B4633" s="2" t="inlineStr">
        <is>
          <t>2025-12-05</t>
        </is>
      </c>
      <c r="C4633" s="2" t="inlineStr">
        <is>
          <t>C0298</t>
        </is>
      </c>
      <c r="D4633" s="2" t="inlineStr">
        <is>
          <t>P0008</t>
        </is>
      </c>
      <c r="E4633" s="2" t="inlineStr">
        <is>
          <t>Air Fryer</t>
        </is>
      </c>
      <c r="F4633" s="2" t="inlineStr">
        <is>
          <t>Home &amp; Kitchen</t>
        </is>
      </c>
      <c r="G4633" s="2" t="inlineStr">
        <is>
          <t>North</t>
        </is>
      </c>
      <c r="H4633" s="2" t="inlineStr">
        <is>
          <t>Uttar Pradesh</t>
        </is>
      </c>
      <c r="I4633" s="2" t="inlineStr">
        <is>
          <t>Lucknow</t>
        </is>
      </c>
      <c r="J4633" s="2" t="inlineStr">
        <is>
          <t>Store</t>
        </is>
      </c>
      <c r="K4633" s="2" t="n">
        <v>3</v>
      </c>
      <c r="L4633" s="3" t="n">
        <v>1058.31</v>
      </c>
      <c r="M4633" s="4" t="n">
        <v>0.05</v>
      </c>
      <c r="N4633" s="3" t="n">
        <v>2060.81</v>
      </c>
      <c r="O4633" s="3">
        <f>K4633*L4633*(1-M4633)</f>
        <v/>
      </c>
      <c r="P4633" s="3">
        <f>O4633-N4633</f>
        <v/>
      </c>
      <c r="Q4633" s="5">
        <f>IFERROR(P4633/O4633,0)</f>
        <v/>
      </c>
      <c r="R4633" s="2">
        <f>TEXT(DATEVALUE(B4633),"mmm")</f>
        <v/>
      </c>
      <c r="S4633" s="2">
        <f>TEXT(DATEVALUE(B4633),"yyyy-mm")</f>
        <v/>
      </c>
    </row>
    <row r="4634">
      <c r="A4634" s="2" t="inlineStr">
        <is>
          <t>O001046</t>
        </is>
      </c>
      <c r="B4634" s="2" t="inlineStr">
        <is>
          <t>2025-12-05</t>
        </is>
      </c>
      <c r="C4634" s="2" t="inlineStr">
        <is>
          <t>C0043</t>
        </is>
      </c>
      <c r="D4634" s="2" t="inlineStr">
        <is>
          <t>P0011</t>
        </is>
      </c>
      <c r="E4634" s="2" t="inlineStr">
        <is>
          <t>Cookware Set</t>
        </is>
      </c>
      <c r="F4634" s="2" t="inlineStr">
        <is>
          <t>Home &amp; Kitchen</t>
        </is>
      </c>
      <c r="G4634" s="2" t="inlineStr">
        <is>
          <t>North</t>
        </is>
      </c>
      <c r="H4634" s="2" t="inlineStr">
        <is>
          <t>Punjab</t>
        </is>
      </c>
      <c r="I4634" s="2" t="inlineStr">
        <is>
          <t>Amritsar</t>
        </is>
      </c>
      <c r="J4634" s="2" t="inlineStr">
        <is>
          <t>Online</t>
        </is>
      </c>
      <c r="K4634" s="2" t="n">
        <v>4</v>
      </c>
      <c r="L4634" s="3" t="n">
        <v>720.4</v>
      </c>
      <c r="M4634" s="4" t="n">
        <v>0</v>
      </c>
      <c r="N4634" s="3" t="n">
        <v>1836.65</v>
      </c>
      <c r="O4634" s="3">
        <f>K4634*L4634*(1-M4634)</f>
        <v/>
      </c>
      <c r="P4634" s="3">
        <f>O4634-N4634</f>
        <v/>
      </c>
      <c r="Q4634" s="5">
        <f>IFERROR(P4634/O4634,0)</f>
        <v/>
      </c>
      <c r="R4634" s="2">
        <f>TEXT(DATEVALUE(B4634),"mmm")</f>
        <v/>
      </c>
      <c r="S4634" s="2">
        <f>TEXT(DATEVALUE(B4634),"yyyy-mm")</f>
        <v/>
      </c>
    </row>
    <row r="4635">
      <c r="A4635" s="2" t="inlineStr">
        <is>
          <t>O000617</t>
        </is>
      </c>
      <c r="B4635" s="2" t="inlineStr">
        <is>
          <t>2025-12-05</t>
        </is>
      </c>
      <c r="C4635" s="2" t="inlineStr">
        <is>
          <t>C0732</t>
        </is>
      </c>
      <c r="D4635" s="2" t="inlineStr">
        <is>
          <t>P0013</t>
        </is>
      </c>
      <c r="E4635" s="2" t="inlineStr">
        <is>
          <t>Storage Organizer</t>
        </is>
      </c>
      <c r="F4635" s="2" t="inlineStr">
        <is>
          <t>Home &amp; Kitchen</t>
        </is>
      </c>
      <c r="G4635" s="2" t="inlineStr">
        <is>
          <t>South</t>
        </is>
      </c>
      <c r="H4635" s="2" t="inlineStr">
        <is>
          <t>Karnataka</t>
        </is>
      </c>
      <c r="I4635" s="2" t="inlineStr">
        <is>
          <t>Mangaluru</t>
        </is>
      </c>
      <c r="J4635" s="2" t="inlineStr">
        <is>
          <t>Online</t>
        </is>
      </c>
      <c r="K4635" s="2" t="n">
        <v>3</v>
      </c>
      <c r="L4635" s="3" t="n">
        <v>593.6</v>
      </c>
      <c r="M4635" s="4" t="n">
        <v>0.15</v>
      </c>
      <c r="N4635" s="3" t="n">
        <v>1071.13</v>
      </c>
      <c r="O4635" s="3">
        <f>K4635*L4635*(1-M4635)</f>
        <v/>
      </c>
      <c r="P4635" s="3">
        <f>O4635-N4635</f>
        <v/>
      </c>
      <c r="Q4635" s="5">
        <f>IFERROR(P4635/O4635,0)</f>
        <v/>
      </c>
      <c r="R4635" s="2">
        <f>TEXT(DATEVALUE(B4635),"mmm")</f>
        <v/>
      </c>
      <c r="S4635" s="2">
        <f>TEXT(DATEVALUE(B4635),"yyyy-mm")</f>
        <v/>
      </c>
    </row>
    <row r="4636">
      <c r="A4636" s="2" t="inlineStr">
        <is>
          <t>O000577</t>
        </is>
      </c>
      <c r="B4636" s="2" t="inlineStr">
        <is>
          <t>2025-12-05</t>
        </is>
      </c>
      <c r="C4636" s="2" t="inlineStr">
        <is>
          <t>C0639</t>
        </is>
      </c>
      <c r="D4636" s="2" t="inlineStr">
        <is>
          <t>P0030</t>
        </is>
      </c>
      <c r="E4636" s="2" t="inlineStr">
        <is>
          <t>Dumbbells</t>
        </is>
      </c>
      <c r="F4636" s="2" t="inlineStr">
        <is>
          <t>Sports</t>
        </is>
      </c>
      <c r="G4636" s="2" t="inlineStr">
        <is>
          <t>North</t>
        </is>
      </c>
      <c r="H4636" s="2" t="inlineStr">
        <is>
          <t>Delhi</t>
        </is>
      </c>
      <c r="I4636" s="2" t="inlineStr">
        <is>
          <t>New Delhi</t>
        </is>
      </c>
      <c r="J4636" s="2" t="inlineStr">
        <is>
          <t>Online</t>
        </is>
      </c>
      <c r="K4636" s="2" t="n">
        <v>1</v>
      </c>
      <c r="L4636" s="3" t="n">
        <v>1576.43</v>
      </c>
      <c r="M4636" s="4" t="n">
        <v>0.1</v>
      </c>
      <c r="N4636" s="3" t="n">
        <v>1012.6</v>
      </c>
      <c r="O4636" s="3">
        <f>K4636*L4636*(1-M4636)</f>
        <v/>
      </c>
      <c r="P4636" s="3">
        <f>O4636-N4636</f>
        <v/>
      </c>
      <c r="Q4636" s="5">
        <f>IFERROR(P4636/O4636,0)</f>
        <v/>
      </c>
      <c r="R4636" s="2">
        <f>TEXT(DATEVALUE(B4636),"mmm")</f>
        <v/>
      </c>
      <c r="S4636" s="2">
        <f>TEXT(DATEVALUE(B4636),"yyyy-mm")</f>
        <v/>
      </c>
    </row>
    <row r="4637">
      <c r="A4637" s="2" t="inlineStr">
        <is>
          <t>O003888</t>
        </is>
      </c>
      <c r="B4637" s="2" t="inlineStr">
        <is>
          <t>2025-12-05</t>
        </is>
      </c>
      <c r="C4637" s="2" t="inlineStr">
        <is>
          <t>C0610</t>
        </is>
      </c>
      <c r="D4637" s="2" t="inlineStr">
        <is>
          <t>P0016</t>
        </is>
      </c>
      <c r="E4637" s="2" t="inlineStr">
        <is>
          <t>Casual Shirt</t>
        </is>
      </c>
      <c r="F4637" s="2" t="inlineStr">
        <is>
          <t>Fashion</t>
        </is>
      </c>
      <c r="G4637" s="2" t="inlineStr">
        <is>
          <t>West</t>
        </is>
      </c>
      <c r="H4637" s="2" t="inlineStr">
        <is>
          <t>Goa</t>
        </is>
      </c>
      <c r="I4637" s="2" t="inlineStr">
        <is>
          <t>Margao</t>
        </is>
      </c>
      <c r="J4637" s="2" t="inlineStr">
        <is>
          <t>Online</t>
        </is>
      </c>
      <c r="K4637" s="2" t="n">
        <v>1</v>
      </c>
      <c r="L4637" s="3" t="n">
        <v>1231.63</v>
      </c>
      <c r="M4637" s="4" t="n">
        <v>0.05</v>
      </c>
      <c r="N4637" s="3" t="n">
        <v>874</v>
      </c>
      <c r="O4637" s="3">
        <f>K4637*L4637*(1-M4637)</f>
        <v/>
      </c>
      <c r="P4637" s="3">
        <f>O4637-N4637</f>
        <v/>
      </c>
      <c r="Q4637" s="5">
        <f>IFERROR(P4637/O4637,0)</f>
        <v/>
      </c>
      <c r="R4637" s="2">
        <f>TEXT(DATEVALUE(B4637),"mmm")</f>
        <v/>
      </c>
      <c r="S4637" s="2">
        <f>TEXT(DATEVALUE(B4637),"yyyy-mm")</f>
        <v/>
      </c>
    </row>
    <row r="4638">
      <c r="A4638" s="2" t="inlineStr">
        <is>
          <t>O003298</t>
        </is>
      </c>
      <c r="B4638" s="2" t="inlineStr">
        <is>
          <t>2025-12-06</t>
        </is>
      </c>
      <c r="C4638" s="2" t="inlineStr">
        <is>
          <t>C0172</t>
        </is>
      </c>
      <c r="D4638" s="2" t="inlineStr">
        <is>
          <t>P0003</t>
        </is>
      </c>
      <c r="E4638" s="2" t="inlineStr">
        <is>
          <t>Smartwatch</t>
        </is>
      </c>
      <c r="F4638" s="2" t="inlineStr">
        <is>
          <t>Electronics</t>
        </is>
      </c>
      <c r="G4638" s="2" t="inlineStr">
        <is>
          <t>East</t>
        </is>
      </c>
      <c r="H4638" s="2" t="inlineStr">
        <is>
          <t>Bihar</t>
        </is>
      </c>
      <c r="I4638" s="2" t="inlineStr">
        <is>
          <t>Gaya</t>
        </is>
      </c>
      <c r="J4638" s="2" t="inlineStr">
        <is>
          <t>Store</t>
        </is>
      </c>
      <c r="K4638" s="2" t="n">
        <v>1</v>
      </c>
      <c r="L4638" s="3" t="n">
        <v>2319.32</v>
      </c>
      <c r="M4638" s="4" t="n">
        <v>0.05</v>
      </c>
      <c r="N4638" s="3" t="n">
        <v>1156.43</v>
      </c>
      <c r="O4638" s="3">
        <f>K4638*L4638*(1-M4638)</f>
        <v/>
      </c>
      <c r="P4638" s="3">
        <f>O4638-N4638</f>
        <v/>
      </c>
      <c r="Q4638" s="5">
        <f>IFERROR(P4638/O4638,0)</f>
        <v/>
      </c>
      <c r="R4638" s="2">
        <f>TEXT(DATEVALUE(B4638),"mmm")</f>
        <v/>
      </c>
      <c r="S4638" s="2">
        <f>TEXT(DATEVALUE(B4638),"yyyy-mm")</f>
        <v/>
      </c>
    </row>
    <row r="4639">
      <c r="A4639" s="2" t="inlineStr">
        <is>
          <t>O004786</t>
        </is>
      </c>
      <c r="B4639" s="2" t="inlineStr">
        <is>
          <t>2025-12-06</t>
        </is>
      </c>
      <c r="C4639" s="2" t="inlineStr">
        <is>
          <t>C0252</t>
        </is>
      </c>
      <c r="D4639" s="2" t="inlineStr">
        <is>
          <t>P0018</t>
        </is>
      </c>
      <c r="E4639" s="2" t="inlineStr">
        <is>
          <t>Backpack</t>
        </is>
      </c>
      <c r="F4639" s="2" t="inlineStr">
        <is>
          <t>Fashion</t>
        </is>
      </c>
      <c r="G4639" s="2" t="inlineStr">
        <is>
          <t>East</t>
        </is>
      </c>
      <c r="H4639" s="2" t="inlineStr">
        <is>
          <t>Bihar</t>
        </is>
      </c>
      <c r="I4639" s="2" t="inlineStr">
        <is>
          <t>Patna</t>
        </is>
      </c>
      <c r="J4639" s="2" t="inlineStr">
        <is>
          <t>Store</t>
        </is>
      </c>
      <c r="K4639" s="2" t="n">
        <v>3</v>
      </c>
      <c r="L4639" s="3" t="n">
        <v>1908.44</v>
      </c>
      <c r="M4639" s="4" t="n">
        <v>0.05</v>
      </c>
      <c r="N4639" s="3" t="n">
        <v>4184.62</v>
      </c>
      <c r="O4639" s="3">
        <f>K4639*L4639*(1-M4639)</f>
        <v/>
      </c>
      <c r="P4639" s="3">
        <f>O4639-N4639</f>
        <v/>
      </c>
      <c r="Q4639" s="5">
        <f>IFERROR(P4639/O4639,0)</f>
        <v/>
      </c>
      <c r="R4639" s="2">
        <f>TEXT(DATEVALUE(B4639),"mmm")</f>
        <v/>
      </c>
      <c r="S4639" s="2">
        <f>TEXT(DATEVALUE(B4639),"yyyy-mm")</f>
        <v/>
      </c>
    </row>
    <row r="4640">
      <c r="A4640" s="2" t="inlineStr">
        <is>
          <t>O004941</t>
        </is>
      </c>
      <c r="B4640" s="2" t="inlineStr">
        <is>
          <t>2025-12-06</t>
        </is>
      </c>
      <c r="C4640" s="2" t="inlineStr">
        <is>
          <t>C0633</t>
        </is>
      </c>
      <c r="D4640" s="2" t="inlineStr">
        <is>
          <t>P0029</t>
        </is>
      </c>
      <c r="E4640" s="2" t="inlineStr">
        <is>
          <t>Yoga Mat</t>
        </is>
      </c>
      <c r="F4640" s="2" t="inlineStr">
        <is>
          <t>Sports</t>
        </is>
      </c>
      <c r="G4640" s="2" t="inlineStr">
        <is>
          <t>East</t>
        </is>
      </c>
      <c r="H4640" s="2" t="inlineStr">
        <is>
          <t>Odisha</t>
        </is>
      </c>
      <c r="I4640" s="2" t="inlineStr">
        <is>
          <t>Cuttack</t>
        </is>
      </c>
      <c r="J4640" s="2" t="inlineStr">
        <is>
          <t>Online</t>
        </is>
      </c>
      <c r="K4640" s="2" t="n">
        <v>1</v>
      </c>
      <c r="L4640" s="3" t="n">
        <v>2434.65</v>
      </c>
      <c r="M4640" s="4" t="n">
        <v>0.05</v>
      </c>
      <c r="N4640" s="3" t="n">
        <v>1329.88</v>
      </c>
      <c r="O4640" s="3">
        <f>K4640*L4640*(1-M4640)</f>
        <v/>
      </c>
      <c r="P4640" s="3">
        <f>O4640-N4640</f>
        <v/>
      </c>
      <c r="Q4640" s="5">
        <f>IFERROR(P4640/O4640,0)</f>
        <v/>
      </c>
      <c r="R4640" s="2">
        <f>TEXT(DATEVALUE(B4640),"mmm")</f>
        <v/>
      </c>
      <c r="S4640" s="2">
        <f>TEXT(DATEVALUE(B4640),"yyyy-mm")</f>
        <v/>
      </c>
    </row>
    <row r="4641">
      <c r="A4641" s="2" t="inlineStr">
        <is>
          <t>O004784</t>
        </is>
      </c>
      <c r="B4641" s="2" t="inlineStr">
        <is>
          <t>2025-12-06</t>
        </is>
      </c>
      <c r="C4641" s="2" t="inlineStr">
        <is>
          <t>C0505</t>
        </is>
      </c>
      <c r="D4641" s="2" t="inlineStr">
        <is>
          <t>P0006</t>
        </is>
      </c>
      <c r="E4641" s="2" t="inlineStr">
        <is>
          <t>Mechanical Keyboard</t>
        </is>
      </c>
      <c r="F4641" s="2" t="inlineStr">
        <is>
          <t>Electronics</t>
        </is>
      </c>
      <c r="G4641" s="2" t="inlineStr">
        <is>
          <t>West</t>
        </is>
      </c>
      <c r="H4641" s="2" t="inlineStr">
        <is>
          <t>Gujarat</t>
        </is>
      </c>
      <c r="I4641" s="2" t="inlineStr">
        <is>
          <t>Ahmedabad</t>
        </is>
      </c>
      <c r="J4641" s="2" t="inlineStr">
        <is>
          <t>Online</t>
        </is>
      </c>
      <c r="K4641" s="2" t="n">
        <v>2</v>
      </c>
      <c r="L4641" s="3" t="n">
        <v>2743.14</v>
      </c>
      <c r="M4641" s="4" t="n">
        <v>0</v>
      </c>
      <c r="N4641" s="3" t="n">
        <v>2943.7</v>
      </c>
      <c r="O4641" s="3">
        <f>K4641*L4641*(1-M4641)</f>
        <v/>
      </c>
      <c r="P4641" s="3">
        <f>O4641-N4641</f>
        <v/>
      </c>
      <c r="Q4641" s="5">
        <f>IFERROR(P4641/O4641,0)</f>
        <v/>
      </c>
      <c r="R4641" s="2">
        <f>TEXT(DATEVALUE(B4641),"mmm")</f>
        <v/>
      </c>
      <c r="S4641" s="2">
        <f>TEXT(DATEVALUE(B4641),"yyyy-mm")</f>
        <v/>
      </c>
    </row>
    <row r="4642">
      <c r="A4642" s="2" t="inlineStr">
        <is>
          <t>O004203</t>
        </is>
      </c>
      <c r="B4642" s="2" t="inlineStr">
        <is>
          <t>2025-12-06</t>
        </is>
      </c>
      <c r="C4642" s="2" t="inlineStr">
        <is>
          <t>C0519</t>
        </is>
      </c>
      <c r="D4642" s="2" t="inlineStr">
        <is>
          <t>P0005</t>
        </is>
      </c>
      <c r="E4642" s="2" t="inlineStr">
        <is>
          <t>Power Bank</t>
        </is>
      </c>
      <c r="F4642" s="2" t="inlineStr">
        <is>
          <t>Electronics</t>
        </is>
      </c>
      <c r="G4642" s="2" t="inlineStr">
        <is>
          <t>West</t>
        </is>
      </c>
      <c r="H4642" s="2" t="inlineStr">
        <is>
          <t>Gujarat</t>
        </is>
      </c>
      <c r="I4642" s="2" t="inlineStr">
        <is>
          <t>Vadodara</t>
        </is>
      </c>
      <c r="J4642" s="2" t="inlineStr">
        <is>
          <t>Online</t>
        </is>
      </c>
      <c r="K4642" s="2" t="n">
        <v>1</v>
      </c>
      <c r="L4642" s="3" t="n">
        <v>1154.76</v>
      </c>
      <c r="M4642" s="4" t="n">
        <v>0.15</v>
      </c>
      <c r="N4642" s="3" t="n">
        <v>666.51</v>
      </c>
      <c r="O4642" s="3">
        <f>K4642*L4642*(1-M4642)</f>
        <v/>
      </c>
      <c r="P4642" s="3">
        <f>O4642-N4642</f>
        <v/>
      </c>
      <c r="Q4642" s="5">
        <f>IFERROR(P4642/O4642,0)</f>
        <v/>
      </c>
      <c r="R4642" s="2">
        <f>TEXT(DATEVALUE(B4642),"mmm")</f>
        <v/>
      </c>
      <c r="S4642" s="2">
        <f>TEXT(DATEVALUE(B4642),"yyyy-mm")</f>
        <v/>
      </c>
    </row>
    <row r="4643">
      <c r="A4643" s="2" t="inlineStr">
        <is>
          <t>O003816</t>
        </is>
      </c>
      <c r="B4643" s="2" t="inlineStr">
        <is>
          <t>2025-12-06</t>
        </is>
      </c>
      <c r="C4643" s="2" t="inlineStr">
        <is>
          <t>C0723</t>
        </is>
      </c>
      <c r="D4643" s="2" t="inlineStr">
        <is>
          <t>P0012</t>
        </is>
      </c>
      <c r="E4643" s="2" t="inlineStr">
        <is>
          <t>Water Bottle</t>
        </is>
      </c>
      <c r="F4643" s="2" t="inlineStr">
        <is>
          <t>Home &amp; Kitchen</t>
        </is>
      </c>
      <c r="G4643" s="2" t="inlineStr">
        <is>
          <t>South</t>
        </is>
      </c>
      <c r="H4643" s="2" t="inlineStr">
        <is>
          <t>Tamil Nadu</t>
        </is>
      </c>
      <c r="I4643" s="2" t="inlineStr">
        <is>
          <t>Coimbatore</t>
        </is>
      </c>
      <c r="J4643" s="2" t="inlineStr">
        <is>
          <t>Online</t>
        </is>
      </c>
      <c r="K4643" s="2" t="n">
        <v>1</v>
      </c>
      <c r="L4643" s="3" t="n">
        <v>994.67</v>
      </c>
      <c r="M4643" s="4" t="n">
        <v>0.15</v>
      </c>
      <c r="N4643" s="3" t="n">
        <v>602.89</v>
      </c>
      <c r="O4643" s="3">
        <f>K4643*L4643*(1-M4643)</f>
        <v/>
      </c>
      <c r="P4643" s="3">
        <f>O4643-N4643</f>
        <v/>
      </c>
      <c r="Q4643" s="5">
        <f>IFERROR(P4643/O4643,0)</f>
        <v/>
      </c>
      <c r="R4643" s="2">
        <f>TEXT(DATEVALUE(B4643),"mmm")</f>
        <v/>
      </c>
      <c r="S4643" s="2">
        <f>TEXT(DATEVALUE(B4643),"yyyy-mm")</f>
        <v/>
      </c>
    </row>
    <row r="4644">
      <c r="A4644" s="2" t="inlineStr">
        <is>
          <t>O003732</t>
        </is>
      </c>
      <c r="B4644" s="2" t="inlineStr">
        <is>
          <t>2025-12-06</t>
        </is>
      </c>
      <c r="C4644" s="2" t="inlineStr">
        <is>
          <t>C0776</t>
        </is>
      </c>
      <c r="D4644" s="2" t="inlineStr">
        <is>
          <t>P0013</t>
        </is>
      </c>
      <c r="E4644" s="2" t="inlineStr">
        <is>
          <t>Storage Organizer</t>
        </is>
      </c>
      <c r="F4644" s="2" t="inlineStr">
        <is>
          <t>Home &amp; Kitchen</t>
        </is>
      </c>
      <c r="G4644" s="2" t="inlineStr">
        <is>
          <t>South</t>
        </is>
      </c>
      <c r="H4644" s="2" t="inlineStr">
        <is>
          <t>Tamil Nadu</t>
        </is>
      </c>
      <c r="I4644" s="2" t="inlineStr">
        <is>
          <t>Madurai</t>
        </is>
      </c>
      <c r="J4644" s="2" t="inlineStr">
        <is>
          <t>Store</t>
        </is>
      </c>
      <c r="K4644" s="2" t="n">
        <v>1</v>
      </c>
      <c r="L4644" s="3" t="n">
        <v>547.47</v>
      </c>
      <c r="M4644" s="4" t="n">
        <v>0</v>
      </c>
      <c r="N4644" s="3" t="n">
        <v>373.53</v>
      </c>
      <c r="O4644" s="3">
        <f>K4644*L4644*(1-M4644)</f>
        <v/>
      </c>
      <c r="P4644" s="3">
        <f>O4644-N4644</f>
        <v/>
      </c>
      <c r="Q4644" s="5">
        <f>IFERROR(P4644/O4644,0)</f>
        <v/>
      </c>
      <c r="R4644" s="2">
        <f>TEXT(DATEVALUE(B4644),"mmm")</f>
        <v/>
      </c>
      <c r="S4644" s="2">
        <f>TEXT(DATEVALUE(B4644),"yyyy-mm")</f>
        <v/>
      </c>
    </row>
    <row r="4645">
      <c r="A4645" s="2" t="inlineStr">
        <is>
          <t>O003235</t>
        </is>
      </c>
      <c r="B4645" s="2" t="inlineStr">
        <is>
          <t>2025-12-06</t>
        </is>
      </c>
      <c r="C4645" s="2" t="inlineStr">
        <is>
          <t>C0099</t>
        </is>
      </c>
      <c r="D4645" s="2" t="inlineStr">
        <is>
          <t>P0024</t>
        </is>
      </c>
      <c r="E4645" s="2" t="inlineStr">
        <is>
          <t>Hair Dryer</t>
        </is>
      </c>
      <c r="F4645" s="2" t="inlineStr">
        <is>
          <t>Beauty</t>
        </is>
      </c>
      <c r="G4645" s="2" t="inlineStr">
        <is>
          <t>North</t>
        </is>
      </c>
      <c r="H4645" s="2" t="inlineStr">
        <is>
          <t>Punjab</t>
        </is>
      </c>
      <c r="I4645" s="2" t="inlineStr">
        <is>
          <t>Amritsar</t>
        </is>
      </c>
      <c r="J4645" s="2" t="inlineStr">
        <is>
          <t>Online</t>
        </is>
      </c>
      <c r="K4645" s="2" t="n">
        <v>3</v>
      </c>
      <c r="L4645" s="3" t="n">
        <v>1020</v>
      </c>
      <c r="M4645" s="4" t="n">
        <v>0.15</v>
      </c>
      <c r="N4645" s="3" t="n">
        <v>2148.68</v>
      </c>
      <c r="O4645" s="3">
        <f>K4645*L4645*(1-M4645)</f>
        <v/>
      </c>
      <c r="P4645" s="3">
        <f>O4645-N4645</f>
        <v/>
      </c>
      <c r="Q4645" s="5">
        <f>IFERROR(P4645/O4645,0)</f>
        <v/>
      </c>
      <c r="R4645" s="2">
        <f>TEXT(DATEVALUE(B4645),"mmm")</f>
        <v/>
      </c>
      <c r="S4645" s="2">
        <f>TEXT(DATEVALUE(B4645),"yyyy-mm")</f>
        <v/>
      </c>
    </row>
    <row r="4646">
      <c r="A4646" s="2" t="inlineStr">
        <is>
          <t>O000168</t>
        </is>
      </c>
      <c r="B4646" s="2" t="inlineStr">
        <is>
          <t>2025-12-06</t>
        </is>
      </c>
      <c r="C4646" s="2" t="inlineStr">
        <is>
          <t>C0793</t>
        </is>
      </c>
      <c r="D4646" s="2" t="inlineStr">
        <is>
          <t>P0020</t>
        </is>
      </c>
      <c r="E4646" s="2" t="inlineStr">
        <is>
          <t>Sneakers</t>
        </is>
      </c>
      <c r="F4646" s="2" t="inlineStr">
        <is>
          <t>Fashion</t>
        </is>
      </c>
      <c r="G4646" s="2" t="inlineStr">
        <is>
          <t>North</t>
        </is>
      </c>
      <c r="H4646" s="2" t="inlineStr">
        <is>
          <t>Punjab</t>
        </is>
      </c>
      <c r="I4646" s="2" t="inlineStr">
        <is>
          <t>Jalandhar</t>
        </is>
      </c>
      <c r="J4646" s="2" t="inlineStr">
        <is>
          <t>Online</t>
        </is>
      </c>
      <c r="K4646" s="2" t="n">
        <v>1</v>
      </c>
      <c r="L4646" s="3" t="n">
        <v>1996.17</v>
      </c>
      <c r="M4646" s="4" t="n">
        <v>0</v>
      </c>
      <c r="N4646" s="3" t="n">
        <v>1494.93</v>
      </c>
      <c r="O4646" s="3">
        <f>K4646*L4646*(1-M4646)</f>
        <v/>
      </c>
      <c r="P4646" s="3">
        <f>O4646-N4646</f>
        <v/>
      </c>
      <c r="Q4646" s="5">
        <f>IFERROR(P4646/O4646,0)</f>
        <v/>
      </c>
      <c r="R4646" s="2">
        <f>TEXT(DATEVALUE(B4646),"mmm")</f>
        <v/>
      </c>
      <c r="S4646" s="2">
        <f>TEXT(DATEVALUE(B4646),"yyyy-mm")</f>
        <v/>
      </c>
    </row>
    <row r="4647">
      <c r="A4647" s="2" t="inlineStr">
        <is>
          <t>O001782</t>
        </is>
      </c>
      <c r="B4647" s="2" t="inlineStr">
        <is>
          <t>2025-12-06</t>
        </is>
      </c>
      <c r="C4647" s="2" t="inlineStr">
        <is>
          <t>C0687</t>
        </is>
      </c>
      <c r="D4647" s="2" t="inlineStr">
        <is>
          <t>P0008</t>
        </is>
      </c>
      <c r="E4647" s="2" t="inlineStr">
        <is>
          <t>Air Fryer</t>
        </is>
      </c>
      <c r="F4647" s="2" t="inlineStr">
        <is>
          <t>Home &amp; Kitchen</t>
        </is>
      </c>
      <c r="G4647" s="2" t="inlineStr">
        <is>
          <t>South</t>
        </is>
      </c>
      <c r="H4647" s="2" t="inlineStr">
        <is>
          <t>Tamil Nadu</t>
        </is>
      </c>
      <c r="I4647" s="2" t="inlineStr">
        <is>
          <t>Coimbatore</t>
        </is>
      </c>
      <c r="J4647" s="2" t="inlineStr">
        <is>
          <t>Online</t>
        </is>
      </c>
      <c r="K4647" s="2" t="n">
        <v>2</v>
      </c>
      <c r="L4647" s="3" t="n">
        <v>1008.77</v>
      </c>
      <c r="M4647" s="4" t="n">
        <v>0</v>
      </c>
      <c r="N4647" s="3" t="n">
        <v>1345.82</v>
      </c>
      <c r="O4647" s="3">
        <f>K4647*L4647*(1-M4647)</f>
        <v/>
      </c>
      <c r="P4647" s="3">
        <f>O4647-N4647</f>
        <v/>
      </c>
      <c r="Q4647" s="5">
        <f>IFERROR(P4647/O4647,0)</f>
        <v/>
      </c>
      <c r="R4647" s="2">
        <f>TEXT(DATEVALUE(B4647),"mmm")</f>
        <v/>
      </c>
      <c r="S4647" s="2">
        <f>TEXT(DATEVALUE(B4647),"yyyy-mm")</f>
        <v/>
      </c>
    </row>
    <row r="4648">
      <c r="A4648" s="2" t="inlineStr">
        <is>
          <t>O001516</t>
        </is>
      </c>
      <c r="B4648" s="2" t="inlineStr">
        <is>
          <t>2025-12-06</t>
        </is>
      </c>
      <c r="C4648" s="2" t="inlineStr">
        <is>
          <t>C0454</t>
        </is>
      </c>
      <c r="D4648" s="2" t="inlineStr">
        <is>
          <t>P0003</t>
        </is>
      </c>
      <c r="E4648" s="2" t="inlineStr">
        <is>
          <t>Smartwatch</t>
        </is>
      </c>
      <c r="F4648" s="2" t="inlineStr">
        <is>
          <t>Electronics</t>
        </is>
      </c>
      <c r="G4648" s="2" t="inlineStr">
        <is>
          <t>South</t>
        </is>
      </c>
      <c r="H4648" s="2" t="inlineStr">
        <is>
          <t>Telangana</t>
        </is>
      </c>
      <c r="I4648" s="2" t="inlineStr">
        <is>
          <t>Hyderabad</t>
        </is>
      </c>
      <c r="J4648" s="2" t="inlineStr">
        <is>
          <t>Store</t>
        </is>
      </c>
      <c r="K4648" s="2" t="n">
        <v>1</v>
      </c>
      <c r="L4648" s="3" t="n">
        <v>2194.35</v>
      </c>
      <c r="M4648" s="4" t="n">
        <v>0.15</v>
      </c>
      <c r="N4648" s="3" t="n">
        <v>1179.91</v>
      </c>
      <c r="O4648" s="3">
        <f>K4648*L4648*(1-M4648)</f>
        <v/>
      </c>
      <c r="P4648" s="3">
        <f>O4648-N4648</f>
        <v/>
      </c>
      <c r="Q4648" s="5">
        <f>IFERROR(P4648/O4648,0)</f>
        <v/>
      </c>
      <c r="R4648" s="2">
        <f>TEXT(DATEVALUE(B4648),"mmm")</f>
        <v/>
      </c>
      <c r="S4648" s="2">
        <f>TEXT(DATEVALUE(B4648),"yyyy-mm")</f>
        <v/>
      </c>
    </row>
    <row r="4649">
      <c r="A4649" s="2" t="inlineStr">
        <is>
          <t>O000813</t>
        </is>
      </c>
      <c r="B4649" s="2" t="inlineStr">
        <is>
          <t>2025-12-06</t>
        </is>
      </c>
      <c r="C4649" s="2" t="inlineStr">
        <is>
          <t>C0458</t>
        </is>
      </c>
      <c r="D4649" s="2" t="inlineStr">
        <is>
          <t>P0013</t>
        </is>
      </c>
      <c r="E4649" s="2" t="inlineStr">
        <is>
          <t>Storage Organizer</t>
        </is>
      </c>
      <c r="F4649" s="2" t="inlineStr">
        <is>
          <t>Home &amp; Kitchen</t>
        </is>
      </c>
      <c r="G4649" s="2" t="inlineStr">
        <is>
          <t>South</t>
        </is>
      </c>
      <c r="H4649" s="2" t="inlineStr">
        <is>
          <t>Tamil Nadu</t>
        </is>
      </c>
      <c r="I4649" s="2" t="inlineStr">
        <is>
          <t>Madurai</t>
        </is>
      </c>
      <c r="J4649" s="2" t="inlineStr">
        <is>
          <t>Online</t>
        </is>
      </c>
      <c r="K4649" s="2" t="n">
        <v>1</v>
      </c>
      <c r="L4649" s="3" t="n">
        <v>550.95</v>
      </c>
      <c r="M4649" s="4" t="n">
        <v>0.2</v>
      </c>
      <c r="N4649" s="3" t="n">
        <v>352.47</v>
      </c>
      <c r="O4649" s="3">
        <f>K4649*L4649*(1-M4649)</f>
        <v/>
      </c>
      <c r="P4649" s="3">
        <f>O4649-N4649</f>
        <v/>
      </c>
      <c r="Q4649" s="5">
        <f>IFERROR(P4649/O4649,0)</f>
        <v/>
      </c>
      <c r="R4649" s="2">
        <f>TEXT(DATEVALUE(B4649),"mmm")</f>
        <v/>
      </c>
      <c r="S4649" s="2">
        <f>TEXT(DATEVALUE(B4649),"yyyy-mm")</f>
        <v/>
      </c>
    </row>
    <row r="4650">
      <c r="A4650" s="2" t="inlineStr">
        <is>
          <t>O000504</t>
        </is>
      </c>
      <c r="B4650" s="2" t="inlineStr">
        <is>
          <t>2025-12-06</t>
        </is>
      </c>
      <c r="C4650" s="2" t="inlineStr">
        <is>
          <t>C0437</t>
        </is>
      </c>
      <c r="D4650" s="2" t="inlineStr">
        <is>
          <t>P0024</t>
        </is>
      </c>
      <c r="E4650" s="2" t="inlineStr">
        <is>
          <t>Hair Dryer</t>
        </is>
      </c>
      <c r="F4650" s="2" t="inlineStr">
        <is>
          <t>Beauty</t>
        </is>
      </c>
      <c r="G4650" s="2" t="inlineStr">
        <is>
          <t>North</t>
        </is>
      </c>
      <c r="H4650" s="2" t="inlineStr">
        <is>
          <t>Delhi</t>
        </is>
      </c>
      <c r="I4650" s="2" t="inlineStr">
        <is>
          <t>New Delhi</t>
        </is>
      </c>
      <c r="J4650" s="2" t="inlineStr">
        <is>
          <t>Online</t>
        </is>
      </c>
      <c r="K4650" s="2" t="n">
        <v>6</v>
      </c>
      <c r="L4650" s="3" t="n">
        <v>1031.1</v>
      </c>
      <c r="M4650" s="4" t="n">
        <v>0.1</v>
      </c>
      <c r="N4650" s="3" t="n">
        <v>4373.93</v>
      </c>
      <c r="O4650" s="3">
        <f>K4650*L4650*(1-M4650)</f>
        <v/>
      </c>
      <c r="P4650" s="3">
        <f>O4650-N4650</f>
        <v/>
      </c>
      <c r="Q4650" s="5">
        <f>IFERROR(P4650/O4650,0)</f>
        <v/>
      </c>
      <c r="R4650" s="2">
        <f>TEXT(DATEVALUE(B4650),"mmm")</f>
        <v/>
      </c>
      <c r="S4650" s="2">
        <f>TEXT(DATEVALUE(B4650),"yyyy-mm")</f>
        <v/>
      </c>
    </row>
    <row r="4651">
      <c r="A4651" s="2" t="inlineStr">
        <is>
          <t>O000285</t>
        </is>
      </c>
      <c r="B4651" s="2" t="inlineStr">
        <is>
          <t>2025-12-06</t>
        </is>
      </c>
      <c r="C4651" s="2" t="inlineStr">
        <is>
          <t>C0336</t>
        </is>
      </c>
      <c r="D4651" s="2" t="inlineStr">
        <is>
          <t>P0031</t>
        </is>
      </c>
      <c r="E4651" s="2" t="inlineStr">
        <is>
          <t>Cricket Bat</t>
        </is>
      </c>
      <c r="F4651" s="2" t="inlineStr">
        <is>
          <t>Sports</t>
        </is>
      </c>
      <c r="G4651" s="2" t="inlineStr">
        <is>
          <t>North</t>
        </is>
      </c>
      <c r="H4651" s="2" t="inlineStr">
        <is>
          <t>Punjab</t>
        </is>
      </c>
      <c r="I4651" s="2" t="inlineStr">
        <is>
          <t>Jalandhar</t>
        </is>
      </c>
      <c r="J4651" s="2" t="inlineStr">
        <is>
          <t>Store</t>
        </is>
      </c>
      <c r="K4651" s="2" t="n">
        <v>1</v>
      </c>
      <c r="L4651" s="3" t="n">
        <v>1448.91</v>
      </c>
      <c r="M4651" s="4" t="n">
        <v>0.05</v>
      </c>
      <c r="N4651" s="3" t="n">
        <v>962.3200000000001</v>
      </c>
      <c r="O4651" s="3">
        <f>K4651*L4651*(1-M4651)</f>
        <v/>
      </c>
      <c r="P4651" s="3">
        <f>O4651-N4651</f>
        <v/>
      </c>
      <c r="Q4651" s="5">
        <f>IFERROR(P4651/O4651,0)</f>
        <v/>
      </c>
      <c r="R4651" s="2">
        <f>TEXT(DATEVALUE(B4651),"mmm")</f>
        <v/>
      </c>
      <c r="S4651" s="2">
        <f>TEXT(DATEVALUE(B4651),"yyyy-mm")</f>
        <v/>
      </c>
    </row>
    <row r="4652">
      <c r="A4652" s="2" t="inlineStr">
        <is>
          <t>O000056</t>
        </is>
      </c>
      <c r="B4652" s="2" t="inlineStr">
        <is>
          <t>2025-12-06</t>
        </is>
      </c>
      <c r="C4652" s="2" t="inlineStr">
        <is>
          <t>C0013</t>
        </is>
      </c>
      <c r="D4652" s="2" t="inlineStr">
        <is>
          <t>P0022</t>
        </is>
      </c>
      <c r="E4652" s="2" t="inlineStr">
        <is>
          <t>Face Wash</t>
        </is>
      </c>
      <c r="F4652" s="2" t="inlineStr">
        <is>
          <t>Beauty</t>
        </is>
      </c>
      <c r="G4652" s="2" t="inlineStr">
        <is>
          <t>South</t>
        </is>
      </c>
      <c r="H4652" s="2" t="inlineStr">
        <is>
          <t>Tamil Nadu</t>
        </is>
      </c>
      <c r="I4652" s="2" t="inlineStr">
        <is>
          <t>Coimbatore</t>
        </is>
      </c>
      <c r="J4652" s="2" t="inlineStr">
        <is>
          <t>Store</t>
        </is>
      </c>
      <c r="K4652" s="2" t="n">
        <v>2</v>
      </c>
      <c r="L4652" s="3" t="n">
        <v>548.99</v>
      </c>
      <c r="M4652" s="4" t="n">
        <v>0</v>
      </c>
      <c r="N4652" s="3" t="n">
        <v>685.97</v>
      </c>
      <c r="O4652" s="3">
        <f>K4652*L4652*(1-M4652)</f>
        <v/>
      </c>
      <c r="P4652" s="3">
        <f>O4652-N4652</f>
        <v/>
      </c>
      <c r="Q4652" s="5">
        <f>IFERROR(P4652/O4652,0)</f>
        <v/>
      </c>
      <c r="R4652" s="2">
        <f>TEXT(DATEVALUE(B4652),"mmm")</f>
        <v/>
      </c>
      <c r="S4652" s="2">
        <f>TEXT(DATEVALUE(B4652),"yyyy-mm")</f>
        <v/>
      </c>
    </row>
    <row r="4653">
      <c r="A4653" s="2" t="inlineStr">
        <is>
          <t>O002038</t>
        </is>
      </c>
      <c r="B4653" s="2" t="inlineStr">
        <is>
          <t>2025-12-06</t>
        </is>
      </c>
      <c r="C4653" s="2" t="inlineStr">
        <is>
          <t>C0211</t>
        </is>
      </c>
      <c r="D4653" s="2" t="inlineStr">
        <is>
          <t>P0007</t>
        </is>
      </c>
      <c r="E4653" s="2" t="inlineStr">
        <is>
          <t>Wireless Mouse</t>
        </is>
      </c>
      <c r="F4653" s="2" t="inlineStr">
        <is>
          <t>Electronics</t>
        </is>
      </c>
      <c r="G4653" s="2" t="inlineStr">
        <is>
          <t>South</t>
        </is>
      </c>
      <c r="H4653" s="2" t="inlineStr">
        <is>
          <t>Telangana</t>
        </is>
      </c>
      <c r="I4653" s="2" t="inlineStr">
        <is>
          <t>Hyderabad</t>
        </is>
      </c>
      <c r="J4653" s="2" t="inlineStr">
        <is>
          <t>Online</t>
        </is>
      </c>
      <c r="K4653" s="2" t="n">
        <v>2</v>
      </c>
      <c r="L4653" s="3" t="n">
        <v>1026.2</v>
      </c>
      <c r="M4653" s="4" t="n">
        <v>0.1</v>
      </c>
      <c r="N4653" s="3" t="n">
        <v>1275.38</v>
      </c>
      <c r="O4653" s="3">
        <f>K4653*L4653*(1-M4653)</f>
        <v/>
      </c>
      <c r="P4653" s="3">
        <f>O4653-N4653</f>
        <v/>
      </c>
      <c r="Q4653" s="5">
        <f>IFERROR(P4653/O4653,0)</f>
        <v/>
      </c>
      <c r="R4653" s="2">
        <f>TEXT(DATEVALUE(B4653),"mmm")</f>
        <v/>
      </c>
      <c r="S4653" s="2">
        <f>TEXT(DATEVALUE(B4653),"yyyy-mm")</f>
        <v/>
      </c>
    </row>
    <row r="4654">
      <c r="A4654" s="2" t="inlineStr">
        <is>
          <t>O004849</t>
        </is>
      </c>
      <c r="B4654" s="2" t="inlineStr">
        <is>
          <t>2025-12-07</t>
        </is>
      </c>
      <c r="C4654" s="2" t="inlineStr">
        <is>
          <t>C0745</t>
        </is>
      </c>
      <c r="D4654" s="2" t="inlineStr">
        <is>
          <t>P0007</t>
        </is>
      </c>
      <c r="E4654" s="2" t="inlineStr">
        <is>
          <t>Wireless Mouse</t>
        </is>
      </c>
      <c r="F4654" s="2" t="inlineStr">
        <is>
          <t>Electronics</t>
        </is>
      </c>
      <c r="G4654" s="2" t="inlineStr">
        <is>
          <t>South</t>
        </is>
      </c>
      <c r="H4654" s="2" t="inlineStr">
        <is>
          <t>Karnataka</t>
        </is>
      </c>
      <c r="I4654" s="2" t="inlineStr">
        <is>
          <t>Bengaluru</t>
        </is>
      </c>
      <c r="J4654" s="2" t="inlineStr">
        <is>
          <t>Online</t>
        </is>
      </c>
      <c r="K4654" s="2" t="n">
        <v>1</v>
      </c>
      <c r="L4654" s="3" t="n">
        <v>950.66</v>
      </c>
      <c r="M4654" s="4" t="n">
        <v>0.2</v>
      </c>
      <c r="N4654" s="3" t="n">
        <v>619.83</v>
      </c>
      <c r="O4654" s="3">
        <f>K4654*L4654*(1-M4654)</f>
        <v/>
      </c>
      <c r="P4654" s="3">
        <f>O4654-N4654</f>
        <v/>
      </c>
      <c r="Q4654" s="5">
        <f>IFERROR(P4654/O4654,0)</f>
        <v/>
      </c>
      <c r="R4654" s="2">
        <f>TEXT(DATEVALUE(B4654),"mmm")</f>
        <v/>
      </c>
      <c r="S4654" s="2">
        <f>TEXT(DATEVALUE(B4654),"yyyy-mm")</f>
        <v/>
      </c>
    </row>
    <row r="4655">
      <c r="A4655" s="2" t="inlineStr">
        <is>
          <t>O004495</t>
        </is>
      </c>
      <c r="B4655" s="2" t="inlineStr">
        <is>
          <t>2025-12-07</t>
        </is>
      </c>
      <c r="C4655" s="2" t="inlineStr">
        <is>
          <t>C0174</t>
        </is>
      </c>
      <c r="D4655" s="2" t="inlineStr">
        <is>
          <t>P0005</t>
        </is>
      </c>
      <c r="E4655" s="2" t="inlineStr">
        <is>
          <t>Power Bank</t>
        </is>
      </c>
      <c r="F4655" s="2" t="inlineStr">
        <is>
          <t>Electronics</t>
        </is>
      </c>
      <c r="G4655" s="2" t="inlineStr">
        <is>
          <t>East</t>
        </is>
      </c>
      <c r="H4655" s="2" t="inlineStr">
        <is>
          <t>Odisha</t>
        </is>
      </c>
      <c r="I4655" s="2" t="inlineStr">
        <is>
          <t>Bhubaneswar</t>
        </is>
      </c>
      <c r="J4655" s="2" t="inlineStr">
        <is>
          <t>Online</t>
        </is>
      </c>
      <c r="K4655" s="2" t="n">
        <v>2</v>
      </c>
      <c r="L4655" s="3" t="n">
        <v>1124.08</v>
      </c>
      <c r="M4655" s="4" t="n">
        <v>0.05</v>
      </c>
      <c r="N4655" s="3" t="n">
        <v>1351.09</v>
      </c>
      <c r="O4655" s="3">
        <f>K4655*L4655*(1-M4655)</f>
        <v/>
      </c>
      <c r="P4655" s="3">
        <f>O4655-N4655</f>
        <v/>
      </c>
      <c r="Q4655" s="5">
        <f>IFERROR(P4655/O4655,0)</f>
        <v/>
      </c>
      <c r="R4655" s="2">
        <f>TEXT(DATEVALUE(B4655),"mmm")</f>
        <v/>
      </c>
      <c r="S4655" s="2">
        <f>TEXT(DATEVALUE(B4655),"yyyy-mm")</f>
        <v/>
      </c>
    </row>
    <row r="4656">
      <c r="A4656" s="2" t="inlineStr">
        <is>
          <t>O004456</t>
        </is>
      </c>
      <c r="B4656" s="2" t="inlineStr">
        <is>
          <t>2025-12-07</t>
        </is>
      </c>
      <c r="C4656" s="2" t="inlineStr">
        <is>
          <t>C0508</t>
        </is>
      </c>
      <c r="D4656" s="2" t="inlineStr">
        <is>
          <t>P0035</t>
        </is>
      </c>
      <c r="E4656" s="2" t="inlineStr">
        <is>
          <t>Skipping Rope</t>
        </is>
      </c>
      <c r="F4656" s="2" t="inlineStr">
        <is>
          <t>Sports</t>
        </is>
      </c>
      <c r="G4656" s="2" t="inlineStr">
        <is>
          <t>West</t>
        </is>
      </c>
      <c r="H4656" s="2" t="inlineStr">
        <is>
          <t>Maharashtra</t>
        </is>
      </c>
      <c r="I4656" s="2" t="inlineStr">
        <is>
          <t>Thane</t>
        </is>
      </c>
      <c r="J4656" s="2" t="inlineStr">
        <is>
          <t>Online</t>
        </is>
      </c>
      <c r="K4656" s="2" t="n">
        <v>1</v>
      </c>
      <c r="L4656" s="3" t="n">
        <v>694.7</v>
      </c>
      <c r="M4656" s="4" t="n">
        <v>0.1</v>
      </c>
      <c r="N4656" s="3" t="n">
        <v>416.1</v>
      </c>
      <c r="O4656" s="3">
        <f>K4656*L4656*(1-M4656)</f>
        <v/>
      </c>
      <c r="P4656" s="3">
        <f>O4656-N4656</f>
        <v/>
      </c>
      <c r="Q4656" s="5">
        <f>IFERROR(P4656/O4656,0)</f>
        <v/>
      </c>
      <c r="R4656" s="2">
        <f>TEXT(DATEVALUE(B4656),"mmm")</f>
        <v/>
      </c>
      <c r="S4656" s="2">
        <f>TEXT(DATEVALUE(B4656),"yyyy-mm")</f>
        <v/>
      </c>
    </row>
    <row r="4657">
      <c r="A4657" s="2" t="inlineStr">
        <is>
          <t>O004393</t>
        </is>
      </c>
      <c r="B4657" s="2" t="inlineStr">
        <is>
          <t>2025-12-07</t>
        </is>
      </c>
      <c r="C4657" s="2" t="inlineStr">
        <is>
          <t>C0298</t>
        </is>
      </c>
      <c r="D4657" s="2" t="inlineStr">
        <is>
          <t>P0011</t>
        </is>
      </c>
      <c r="E4657" s="2" t="inlineStr">
        <is>
          <t>Cookware Set</t>
        </is>
      </c>
      <c r="F4657" s="2" t="inlineStr">
        <is>
          <t>Home &amp; Kitchen</t>
        </is>
      </c>
      <c r="G4657" s="2" t="inlineStr">
        <is>
          <t>South</t>
        </is>
      </c>
      <c r="H4657" s="2" t="inlineStr">
        <is>
          <t>Kerala</t>
        </is>
      </c>
      <c r="I4657" s="2" t="inlineStr">
        <is>
          <t>Kochi</t>
        </is>
      </c>
      <c r="J4657" s="2" t="inlineStr">
        <is>
          <t>Online</t>
        </is>
      </c>
      <c r="K4657" s="2" t="n">
        <v>2</v>
      </c>
      <c r="L4657" s="3" t="n">
        <v>683.25</v>
      </c>
      <c r="M4657" s="4" t="n">
        <v>0.1</v>
      </c>
      <c r="N4657" s="3" t="n">
        <v>946.46</v>
      </c>
      <c r="O4657" s="3">
        <f>K4657*L4657*(1-M4657)</f>
        <v/>
      </c>
      <c r="P4657" s="3">
        <f>O4657-N4657</f>
        <v/>
      </c>
      <c r="Q4657" s="5">
        <f>IFERROR(P4657/O4657,0)</f>
        <v/>
      </c>
      <c r="R4657" s="2">
        <f>TEXT(DATEVALUE(B4657),"mmm")</f>
        <v/>
      </c>
      <c r="S4657" s="2">
        <f>TEXT(DATEVALUE(B4657),"yyyy-mm")</f>
        <v/>
      </c>
    </row>
    <row r="4658">
      <c r="A4658" s="2" t="inlineStr">
        <is>
          <t>O003475</t>
        </is>
      </c>
      <c r="B4658" s="2" t="inlineStr">
        <is>
          <t>2025-12-07</t>
        </is>
      </c>
      <c r="C4658" s="2" t="inlineStr">
        <is>
          <t>C0279</t>
        </is>
      </c>
      <c r="D4658" s="2" t="inlineStr">
        <is>
          <t>P0031</t>
        </is>
      </c>
      <c r="E4658" s="2" t="inlineStr">
        <is>
          <t>Cricket Bat</t>
        </is>
      </c>
      <c r="F4658" s="2" t="inlineStr">
        <is>
          <t>Sports</t>
        </is>
      </c>
      <c r="G4658" s="2" t="inlineStr">
        <is>
          <t>North</t>
        </is>
      </c>
      <c r="H4658" s="2" t="inlineStr">
        <is>
          <t>Delhi</t>
        </is>
      </c>
      <c r="I4658" s="2" t="inlineStr">
        <is>
          <t>New Delhi</t>
        </is>
      </c>
      <c r="J4658" s="2" t="inlineStr">
        <is>
          <t>Store</t>
        </is>
      </c>
      <c r="K4658" s="2" t="n">
        <v>3</v>
      </c>
      <c r="L4658" s="3" t="n">
        <v>1325.61</v>
      </c>
      <c r="M4658" s="4" t="n">
        <v>0.1</v>
      </c>
      <c r="N4658" s="3" t="n">
        <v>2870.94</v>
      </c>
      <c r="O4658" s="3">
        <f>K4658*L4658*(1-M4658)</f>
        <v/>
      </c>
      <c r="P4658" s="3">
        <f>O4658-N4658</f>
        <v/>
      </c>
      <c r="Q4658" s="5">
        <f>IFERROR(P4658/O4658,0)</f>
        <v/>
      </c>
      <c r="R4658" s="2">
        <f>TEXT(DATEVALUE(B4658),"mmm")</f>
        <v/>
      </c>
      <c r="S4658" s="2">
        <f>TEXT(DATEVALUE(B4658),"yyyy-mm")</f>
        <v/>
      </c>
    </row>
    <row r="4659">
      <c r="A4659" s="2" t="inlineStr">
        <is>
          <t>O003452</t>
        </is>
      </c>
      <c r="B4659" s="2" t="inlineStr">
        <is>
          <t>2025-12-07</t>
        </is>
      </c>
      <c r="C4659" s="2" t="inlineStr">
        <is>
          <t>C0375</t>
        </is>
      </c>
      <c r="D4659" s="2" t="inlineStr">
        <is>
          <t>P0003</t>
        </is>
      </c>
      <c r="E4659" s="2" t="inlineStr">
        <is>
          <t>Smartwatch</t>
        </is>
      </c>
      <c r="F4659" s="2" t="inlineStr">
        <is>
          <t>Electronics</t>
        </is>
      </c>
      <c r="G4659" s="2" t="inlineStr">
        <is>
          <t>East</t>
        </is>
      </c>
      <c r="H4659" s="2" t="inlineStr">
        <is>
          <t>Odisha</t>
        </is>
      </c>
      <c r="I4659" s="2" t="inlineStr">
        <is>
          <t>Cuttack</t>
        </is>
      </c>
      <c r="J4659" s="2" t="inlineStr">
        <is>
          <t>Store</t>
        </is>
      </c>
      <c r="K4659" s="2" t="n">
        <v>1</v>
      </c>
      <c r="L4659" s="3" t="n">
        <v>2249.36</v>
      </c>
      <c r="M4659" s="4" t="n">
        <v>0.05</v>
      </c>
      <c r="N4659" s="3" t="n">
        <v>1150.71</v>
      </c>
      <c r="O4659" s="3">
        <f>K4659*L4659*(1-M4659)</f>
        <v/>
      </c>
      <c r="P4659" s="3">
        <f>O4659-N4659</f>
        <v/>
      </c>
      <c r="Q4659" s="5">
        <f>IFERROR(P4659/O4659,0)</f>
        <v/>
      </c>
      <c r="R4659" s="2">
        <f>TEXT(DATEVALUE(B4659),"mmm")</f>
        <v/>
      </c>
      <c r="S4659" s="2">
        <f>TEXT(DATEVALUE(B4659),"yyyy-mm")</f>
        <v/>
      </c>
    </row>
    <row r="4660">
      <c r="A4660" s="2" t="inlineStr">
        <is>
          <t>O003248</t>
        </is>
      </c>
      <c r="B4660" s="2" t="inlineStr">
        <is>
          <t>2025-12-07</t>
        </is>
      </c>
      <c r="C4660" s="2" t="inlineStr">
        <is>
          <t>C0041</t>
        </is>
      </c>
      <c r="D4660" s="2" t="inlineStr">
        <is>
          <t>P0012</t>
        </is>
      </c>
      <c r="E4660" s="2" t="inlineStr">
        <is>
          <t>Water Bottle</t>
        </is>
      </c>
      <c r="F4660" s="2" t="inlineStr">
        <is>
          <t>Home &amp; Kitchen</t>
        </is>
      </c>
      <c r="G4660" s="2" t="inlineStr">
        <is>
          <t>North</t>
        </is>
      </c>
      <c r="H4660" s="2" t="inlineStr">
        <is>
          <t>Punjab</t>
        </is>
      </c>
      <c r="I4660" s="2" t="inlineStr">
        <is>
          <t>Amritsar</t>
        </is>
      </c>
      <c r="J4660" s="2" t="inlineStr">
        <is>
          <t>Online</t>
        </is>
      </c>
      <c r="K4660" s="2" t="n">
        <v>2</v>
      </c>
      <c r="L4660" s="3" t="n">
        <v>931.72</v>
      </c>
      <c r="M4660" s="4" t="n">
        <v>0.05</v>
      </c>
      <c r="N4660" s="3" t="n">
        <v>1237.45</v>
      </c>
      <c r="O4660" s="3">
        <f>K4660*L4660*(1-M4660)</f>
        <v/>
      </c>
      <c r="P4660" s="3">
        <f>O4660-N4660</f>
        <v/>
      </c>
      <c r="Q4660" s="5">
        <f>IFERROR(P4660/O4660,0)</f>
        <v/>
      </c>
      <c r="R4660" s="2">
        <f>TEXT(DATEVALUE(B4660),"mmm")</f>
        <v/>
      </c>
      <c r="S4660" s="2">
        <f>TEXT(DATEVALUE(B4660),"yyyy-mm")</f>
        <v/>
      </c>
    </row>
    <row r="4661">
      <c r="A4661" s="2" t="inlineStr">
        <is>
          <t>O002909</t>
        </is>
      </c>
      <c r="B4661" s="2" t="inlineStr">
        <is>
          <t>2025-12-07</t>
        </is>
      </c>
      <c r="C4661" s="2" t="inlineStr">
        <is>
          <t>C0314</t>
        </is>
      </c>
      <c r="D4661" s="2" t="inlineStr">
        <is>
          <t>P0024</t>
        </is>
      </c>
      <c r="E4661" s="2" t="inlineStr">
        <is>
          <t>Hair Dryer</t>
        </is>
      </c>
      <c r="F4661" s="2" t="inlineStr">
        <is>
          <t>Beauty</t>
        </is>
      </c>
      <c r="G4661" s="2" t="inlineStr">
        <is>
          <t>South</t>
        </is>
      </c>
      <c r="H4661" s="2" t="inlineStr">
        <is>
          <t>Karnataka</t>
        </is>
      </c>
      <c r="I4661" s="2" t="inlineStr">
        <is>
          <t>Bengaluru</t>
        </is>
      </c>
      <c r="J4661" s="2" t="inlineStr">
        <is>
          <t>Store</t>
        </is>
      </c>
      <c r="K4661" s="2" t="n">
        <v>1</v>
      </c>
      <c r="L4661" s="3" t="n">
        <v>1040.28</v>
      </c>
      <c r="M4661" s="4" t="n">
        <v>0.2</v>
      </c>
      <c r="N4661" s="3" t="n">
        <v>736.91</v>
      </c>
      <c r="O4661" s="3">
        <f>K4661*L4661*(1-M4661)</f>
        <v/>
      </c>
      <c r="P4661" s="3">
        <f>O4661-N4661</f>
        <v/>
      </c>
      <c r="Q4661" s="5">
        <f>IFERROR(P4661/O4661,0)</f>
        <v/>
      </c>
      <c r="R4661" s="2">
        <f>TEXT(DATEVALUE(B4661),"mmm")</f>
        <v/>
      </c>
      <c r="S4661" s="2">
        <f>TEXT(DATEVALUE(B4661),"yyyy-mm")</f>
        <v/>
      </c>
    </row>
    <row r="4662">
      <c r="A4662" s="2" t="inlineStr">
        <is>
          <t>O002353</t>
        </is>
      </c>
      <c r="B4662" s="2" t="inlineStr">
        <is>
          <t>2025-12-07</t>
        </is>
      </c>
      <c r="C4662" s="2" t="inlineStr">
        <is>
          <t>C0297</t>
        </is>
      </c>
      <c r="D4662" s="2" t="inlineStr">
        <is>
          <t>P0016</t>
        </is>
      </c>
      <c r="E4662" s="2" t="inlineStr">
        <is>
          <t>Casual Shirt</t>
        </is>
      </c>
      <c r="F4662" s="2" t="inlineStr">
        <is>
          <t>Fashion</t>
        </is>
      </c>
      <c r="G4662" s="2" t="inlineStr">
        <is>
          <t>West</t>
        </is>
      </c>
      <c r="H4662" s="2" t="inlineStr">
        <is>
          <t>Gujarat</t>
        </is>
      </c>
      <c r="I4662" s="2" t="inlineStr">
        <is>
          <t>Vadodara</t>
        </is>
      </c>
      <c r="J4662" s="2" t="inlineStr">
        <is>
          <t>Store</t>
        </is>
      </c>
      <c r="K4662" s="2" t="n">
        <v>3</v>
      </c>
      <c r="L4662" s="3" t="n">
        <v>1328.48</v>
      </c>
      <c r="M4662" s="4" t="n">
        <v>0.05</v>
      </c>
      <c r="N4662" s="3" t="n">
        <v>2697.12</v>
      </c>
      <c r="O4662" s="3">
        <f>K4662*L4662*(1-M4662)</f>
        <v/>
      </c>
      <c r="P4662" s="3">
        <f>O4662-N4662</f>
        <v/>
      </c>
      <c r="Q4662" s="5">
        <f>IFERROR(P4662/O4662,0)</f>
        <v/>
      </c>
      <c r="R4662" s="2">
        <f>TEXT(DATEVALUE(B4662),"mmm")</f>
        <v/>
      </c>
      <c r="S4662" s="2">
        <f>TEXT(DATEVALUE(B4662),"yyyy-mm")</f>
        <v/>
      </c>
    </row>
    <row r="4663">
      <c r="A4663" s="2" t="inlineStr">
        <is>
          <t>O002046</t>
        </is>
      </c>
      <c r="B4663" s="2" t="inlineStr">
        <is>
          <t>2025-12-07</t>
        </is>
      </c>
      <c r="C4663" s="2" t="inlineStr">
        <is>
          <t>C0673</t>
        </is>
      </c>
      <c r="D4663" s="2" t="inlineStr">
        <is>
          <t>P0006</t>
        </is>
      </c>
      <c r="E4663" s="2" t="inlineStr">
        <is>
          <t>Mechanical Keyboard</t>
        </is>
      </c>
      <c r="F4663" s="2" t="inlineStr">
        <is>
          <t>Electronics</t>
        </is>
      </c>
      <c r="G4663" s="2" t="inlineStr">
        <is>
          <t>West</t>
        </is>
      </c>
      <c r="H4663" s="2" t="inlineStr">
        <is>
          <t>Goa</t>
        </is>
      </c>
      <c r="I4663" s="2" t="inlineStr">
        <is>
          <t>Margao</t>
        </is>
      </c>
      <c r="J4663" s="2" t="inlineStr">
        <is>
          <t>Store</t>
        </is>
      </c>
      <c r="K4663" s="2" t="n">
        <v>2</v>
      </c>
      <c r="L4663" s="3" t="n">
        <v>2610.28</v>
      </c>
      <c r="M4663" s="4" t="n">
        <v>0.1</v>
      </c>
      <c r="N4663" s="3" t="n">
        <v>2965.24</v>
      </c>
      <c r="O4663" s="3">
        <f>K4663*L4663*(1-M4663)</f>
        <v/>
      </c>
      <c r="P4663" s="3">
        <f>O4663-N4663</f>
        <v/>
      </c>
      <c r="Q4663" s="5">
        <f>IFERROR(P4663/O4663,0)</f>
        <v/>
      </c>
      <c r="R4663" s="2">
        <f>TEXT(DATEVALUE(B4663),"mmm")</f>
        <v/>
      </c>
      <c r="S4663" s="2">
        <f>TEXT(DATEVALUE(B4663),"yyyy-mm")</f>
        <v/>
      </c>
    </row>
    <row r="4664">
      <c r="A4664" s="2" t="inlineStr">
        <is>
          <t>O001340</t>
        </is>
      </c>
      <c r="B4664" s="2" t="inlineStr">
        <is>
          <t>2025-12-07</t>
        </is>
      </c>
      <c r="C4664" s="2" t="inlineStr">
        <is>
          <t>C0778</t>
        </is>
      </c>
      <c r="D4664" s="2" t="inlineStr">
        <is>
          <t>P0006</t>
        </is>
      </c>
      <c r="E4664" s="2" t="inlineStr">
        <is>
          <t>Mechanical Keyboard</t>
        </is>
      </c>
      <c r="F4664" s="2" t="inlineStr">
        <is>
          <t>Electronics</t>
        </is>
      </c>
      <c r="G4664" s="2" t="inlineStr">
        <is>
          <t>North</t>
        </is>
      </c>
      <c r="H4664" s="2" t="inlineStr">
        <is>
          <t>Punjab</t>
        </is>
      </c>
      <c r="I4664" s="2" t="inlineStr">
        <is>
          <t>Amritsar</t>
        </is>
      </c>
      <c r="J4664" s="2" t="inlineStr">
        <is>
          <t>Store</t>
        </is>
      </c>
      <c r="K4664" s="2" t="n">
        <v>5</v>
      </c>
      <c r="L4664" s="3" t="n">
        <v>2617.25</v>
      </c>
      <c r="M4664" s="4" t="n">
        <v>0</v>
      </c>
      <c r="N4664" s="3" t="n">
        <v>7178.79</v>
      </c>
      <c r="O4664" s="3">
        <f>K4664*L4664*(1-M4664)</f>
        <v/>
      </c>
      <c r="P4664" s="3">
        <f>O4664-N4664</f>
        <v/>
      </c>
      <c r="Q4664" s="5">
        <f>IFERROR(P4664/O4664,0)</f>
        <v/>
      </c>
      <c r="R4664" s="2">
        <f>TEXT(DATEVALUE(B4664),"mmm")</f>
        <v/>
      </c>
      <c r="S4664" s="2">
        <f>TEXT(DATEVALUE(B4664),"yyyy-mm")</f>
        <v/>
      </c>
    </row>
    <row r="4665">
      <c r="A4665" s="2" t="inlineStr">
        <is>
          <t>O000784</t>
        </is>
      </c>
      <c r="B4665" s="2" t="inlineStr">
        <is>
          <t>2025-12-07</t>
        </is>
      </c>
      <c r="C4665" s="2" t="inlineStr">
        <is>
          <t>C0260</t>
        </is>
      </c>
      <c r="D4665" s="2" t="inlineStr">
        <is>
          <t>P0024</t>
        </is>
      </c>
      <c r="E4665" s="2" t="inlineStr">
        <is>
          <t>Hair Dryer</t>
        </is>
      </c>
      <c r="F4665" s="2" t="inlineStr">
        <is>
          <t>Beauty</t>
        </is>
      </c>
      <c r="G4665" s="2" t="inlineStr">
        <is>
          <t>South</t>
        </is>
      </c>
      <c r="H4665" s="2" t="inlineStr">
        <is>
          <t>Tamil Nadu</t>
        </is>
      </c>
      <c r="I4665" s="2" t="inlineStr">
        <is>
          <t>Madurai</t>
        </is>
      </c>
      <c r="J4665" s="2" t="inlineStr">
        <is>
          <t>Online</t>
        </is>
      </c>
      <c r="K4665" s="2" t="n">
        <v>1</v>
      </c>
      <c r="L4665" s="3" t="n">
        <v>1028.72</v>
      </c>
      <c r="M4665" s="4" t="n">
        <v>0.05</v>
      </c>
      <c r="N4665" s="3" t="n">
        <v>749.9400000000001</v>
      </c>
      <c r="O4665" s="3">
        <f>K4665*L4665*(1-M4665)</f>
        <v/>
      </c>
      <c r="P4665" s="3">
        <f>O4665-N4665</f>
        <v/>
      </c>
      <c r="Q4665" s="5">
        <f>IFERROR(P4665/O4665,0)</f>
        <v/>
      </c>
      <c r="R4665" s="2">
        <f>TEXT(DATEVALUE(B4665),"mmm")</f>
        <v/>
      </c>
      <c r="S4665" s="2">
        <f>TEXT(DATEVALUE(B4665),"yyyy-mm")</f>
        <v/>
      </c>
    </row>
    <row r="4666">
      <c r="A4666" s="2" t="inlineStr">
        <is>
          <t>O000730</t>
        </is>
      </c>
      <c r="B4666" s="2" t="inlineStr">
        <is>
          <t>2025-12-07</t>
        </is>
      </c>
      <c r="C4666" s="2" t="inlineStr">
        <is>
          <t>C0276</t>
        </is>
      </c>
      <c r="D4666" s="2" t="inlineStr">
        <is>
          <t>P0016</t>
        </is>
      </c>
      <c r="E4666" s="2" t="inlineStr">
        <is>
          <t>Casual Shirt</t>
        </is>
      </c>
      <c r="F4666" s="2" t="inlineStr">
        <is>
          <t>Fashion</t>
        </is>
      </c>
      <c r="G4666" s="2" t="inlineStr">
        <is>
          <t>West</t>
        </is>
      </c>
      <c r="H4666" s="2" t="inlineStr">
        <is>
          <t>Goa</t>
        </is>
      </c>
      <c r="I4666" s="2" t="inlineStr">
        <is>
          <t>Panaji</t>
        </is>
      </c>
      <c r="J4666" s="2" t="inlineStr">
        <is>
          <t>Online</t>
        </is>
      </c>
      <c r="K4666" s="2" t="n">
        <v>2</v>
      </c>
      <c r="L4666" s="3" t="n">
        <v>1262.24</v>
      </c>
      <c r="M4666" s="4" t="n">
        <v>0.1</v>
      </c>
      <c r="N4666" s="3" t="n">
        <v>1790.3</v>
      </c>
      <c r="O4666" s="3">
        <f>K4666*L4666*(1-M4666)</f>
        <v/>
      </c>
      <c r="P4666" s="3">
        <f>O4666-N4666</f>
        <v/>
      </c>
      <c r="Q4666" s="5">
        <f>IFERROR(P4666/O4666,0)</f>
        <v/>
      </c>
      <c r="R4666" s="2">
        <f>TEXT(DATEVALUE(B4666),"mmm")</f>
        <v/>
      </c>
      <c r="S4666" s="2">
        <f>TEXT(DATEVALUE(B4666),"yyyy-mm")</f>
        <v/>
      </c>
    </row>
    <row r="4667">
      <c r="A4667" s="2" t="inlineStr">
        <is>
          <t>O000476</t>
        </is>
      </c>
      <c r="B4667" s="2" t="inlineStr">
        <is>
          <t>2025-12-07</t>
        </is>
      </c>
      <c r="C4667" s="2" t="inlineStr">
        <is>
          <t>C0563</t>
        </is>
      </c>
      <c r="D4667" s="2" t="inlineStr">
        <is>
          <t>P0016</t>
        </is>
      </c>
      <c r="E4667" s="2" t="inlineStr">
        <is>
          <t>Casual Shirt</t>
        </is>
      </c>
      <c r="F4667" s="2" t="inlineStr">
        <is>
          <t>Fashion</t>
        </is>
      </c>
      <c r="G4667" s="2" t="inlineStr">
        <is>
          <t>North</t>
        </is>
      </c>
      <c r="H4667" s="2" t="inlineStr">
        <is>
          <t>Uttar Pradesh</t>
        </is>
      </c>
      <c r="I4667" s="2" t="inlineStr">
        <is>
          <t>Lucknow</t>
        </is>
      </c>
      <c r="J4667" s="2" t="inlineStr">
        <is>
          <t>Store</t>
        </is>
      </c>
      <c r="K4667" s="2" t="n">
        <v>1</v>
      </c>
      <c r="L4667" s="3" t="n">
        <v>1327.04</v>
      </c>
      <c r="M4667" s="4" t="n">
        <v>0.2</v>
      </c>
      <c r="N4667" s="3" t="n">
        <v>893.22</v>
      </c>
      <c r="O4667" s="3">
        <f>K4667*L4667*(1-M4667)</f>
        <v/>
      </c>
      <c r="P4667" s="3">
        <f>O4667-N4667</f>
        <v/>
      </c>
      <c r="Q4667" s="5">
        <f>IFERROR(P4667/O4667,0)</f>
        <v/>
      </c>
      <c r="R4667" s="2">
        <f>TEXT(DATEVALUE(B4667),"mmm")</f>
        <v/>
      </c>
      <c r="S4667" s="2">
        <f>TEXT(DATEVALUE(B4667),"yyyy-mm")</f>
        <v/>
      </c>
    </row>
    <row r="4668">
      <c r="A4668" s="2" t="inlineStr">
        <is>
          <t>O002885</t>
        </is>
      </c>
      <c r="B4668" s="2" t="inlineStr">
        <is>
          <t>2025-12-07</t>
        </is>
      </c>
      <c r="C4668" s="2" t="inlineStr">
        <is>
          <t>C0586</t>
        </is>
      </c>
      <c r="D4668" s="2" t="inlineStr">
        <is>
          <t>P0017</t>
        </is>
      </c>
      <c r="E4668" s="2" t="inlineStr">
        <is>
          <t>Jeans</t>
        </is>
      </c>
      <c r="F4668" s="2" t="inlineStr">
        <is>
          <t>Fashion</t>
        </is>
      </c>
      <c r="G4668" s="2" t="inlineStr">
        <is>
          <t>East</t>
        </is>
      </c>
      <c r="H4668" s="2" t="inlineStr">
        <is>
          <t>Odisha</t>
        </is>
      </c>
      <c r="I4668" s="2" t="inlineStr">
        <is>
          <t>Cuttack</t>
        </is>
      </c>
      <c r="J4668" s="2" t="inlineStr">
        <is>
          <t>Store</t>
        </is>
      </c>
      <c r="K4668" s="2" t="n">
        <v>2</v>
      </c>
      <c r="L4668" s="3" t="n">
        <v>1536.52</v>
      </c>
      <c r="M4668" s="4" t="n">
        <v>0.05</v>
      </c>
      <c r="N4668" s="3" t="n">
        <v>2015.8</v>
      </c>
      <c r="O4668" s="3">
        <f>K4668*L4668*(1-M4668)</f>
        <v/>
      </c>
      <c r="P4668" s="3">
        <f>O4668-N4668</f>
        <v/>
      </c>
      <c r="Q4668" s="5">
        <f>IFERROR(P4668/O4668,0)</f>
        <v/>
      </c>
      <c r="R4668" s="2">
        <f>TEXT(DATEVALUE(B4668),"mmm")</f>
        <v/>
      </c>
      <c r="S4668" s="2">
        <f>TEXT(DATEVALUE(B4668),"yyyy-mm")</f>
        <v/>
      </c>
    </row>
    <row r="4669">
      <c r="A4669" s="2" t="inlineStr">
        <is>
          <t>O004134</t>
        </is>
      </c>
      <c r="B4669" s="2" t="inlineStr">
        <is>
          <t>2025-12-08</t>
        </is>
      </c>
      <c r="C4669" s="2" t="inlineStr">
        <is>
          <t>C0062</t>
        </is>
      </c>
      <c r="D4669" s="2" t="inlineStr">
        <is>
          <t>P0016</t>
        </is>
      </c>
      <c r="E4669" s="2" t="inlineStr">
        <is>
          <t>Casual Shirt</t>
        </is>
      </c>
      <c r="F4669" s="2" t="inlineStr">
        <is>
          <t>Fashion</t>
        </is>
      </c>
      <c r="G4669" s="2" t="inlineStr">
        <is>
          <t>North</t>
        </is>
      </c>
      <c r="H4669" s="2" t="inlineStr">
        <is>
          <t>Uttar Pradesh</t>
        </is>
      </c>
      <c r="I4669" s="2" t="inlineStr">
        <is>
          <t>Kanpur</t>
        </is>
      </c>
      <c r="J4669" s="2" t="inlineStr">
        <is>
          <t>Store</t>
        </is>
      </c>
      <c r="K4669" s="2" t="n">
        <v>3</v>
      </c>
      <c r="L4669" s="3" t="n">
        <v>1287.07</v>
      </c>
      <c r="M4669" s="4" t="n">
        <v>0.15</v>
      </c>
      <c r="N4669" s="3" t="n">
        <v>2781.65</v>
      </c>
      <c r="O4669" s="3">
        <f>K4669*L4669*(1-M4669)</f>
        <v/>
      </c>
      <c r="P4669" s="3">
        <f>O4669-N4669</f>
        <v/>
      </c>
      <c r="Q4669" s="5">
        <f>IFERROR(P4669/O4669,0)</f>
        <v/>
      </c>
      <c r="R4669" s="2">
        <f>TEXT(DATEVALUE(B4669),"mmm")</f>
        <v/>
      </c>
      <c r="S4669" s="2">
        <f>TEXT(DATEVALUE(B4669),"yyyy-mm")</f>
        <v/>
      </c>
    </row>
    <row r="4670">
      <c r="A4670" s="2" t="inlineStr">
        <is>
          <t>O003991</t>
        </is>
      </c>
      <c r="B4670" s="2" t="inlineStr">
        <is>
          <t>2025-12-08</t>
        </is>
      </c>
      <c r="C4670" s="2" t="inlineStr">
        <is>
          <t>C0308</t>
        </is>
      </c>
      <c r="D4670" s="2" t="inlineStr">
        <is>
          <t>P0011</t>
        </is>
      </c>
      <c r="E4670" s="2" t="inlineStr">
        <is>
          <t>Cookware Set</t>
        </is>
      </c>
      <c r="F4670" s="2" t="inlineStr">
        <is>
          <t>Home &amp; Kitchen</t>
        </is>
      </c>
      <c r="G4670" s="2" t="inlineStr">
        <is>
          <t>South</t>
        </is>
      </c>
      <c r="H4670" s="2" t="inlineStr">
        <is>
          <t>Tamil Nadu</t>
        </is>
      </c>
      <c r="I4670" s="2" t="inlineStr">
        <is>
          <t>Madurai</t>
        </is>
      </c>
      <c r="J4670" s="2" t="inlineStr">
        <is>
          <t>Online</t>
        </is>
      </c>
      <c r="K4670" s="2" t="n">
        <v>2</v>
      </c>
      <c r="L4670" s="3" t="n">
        <v>709.91</v>
      </c>
      <c r="M4670" s="4" t="n">
        <v>0</v>
      </c>
      <c r="N4670" s="3" t="n">
        <v>943.14</v>
      </c>
      <c r="O4670" s="3">
        <f>K4670*L4670*(1-M4670)</f>
        <v/>
      </c>
      <c r="P4670" s="3">
        <f>O4670-N4670</f>
        <v/>
      </c>
      <c r="Q4670" s="5">
        <f>IFERROR(P4670/O4670,0)</f>
        <v/>
      </c>
      <c r="R4670" s="2">
        <f>TEXT(DATEVALUE(B4670),"mmm")</f>
        <v/>
      </c>
      <c r="S4670" s="2">
        <f>TEXT(DATEVALUE(B4670),"yyyy-mm")</f>
        <v/>
      </c>
    </row>
    <row r="4671">
      <c r="A4671" s="2" t="inlineStr">
        <is>
          <t>O003444</t>
        </is>
      </c>
      <c r="B4671" s="2" t="inlineStr">
        <is>
          <t>2025-12-08</t>
        </is>
      </c>
      <c r="C4671" s="2" t="inlineStr">
        <is>
          <t>C0504</t>
        </is>
      </c>
      <c r="D4671" s="2" t="inlineStr">
        <is>
          <t>P0004</t>
        </is>
      </c>
      <c r="E4671" s="2" t="inlineStr">
        <is>
          <t>USB-C Hub</t>
        </is>
      </c>
      <c r="F4671" s="2" t="inlineStr">
        <is>
          <t>Electronics</t>
        </is>
      </c>
      <c r="G4671" s="2" t="inlineStr">
        <is>
          <t>North</t>
        </is>
      </c>
      <c r="H4671" s="2" t="inlineStr">
        <is>
          <t>Haryana</t>
        </is>
      </c>
      <c r="I4671" s="2" t="inlineStr">
        <is>
          <t>Faridabad</t>
        </is>
      </c>
      <c r="J4671" s="2" t="inlineStr">
        <is>
          <t>Online</t>
        </is>
      </c>
      <c r="K4671" s="2" t="n">
        <v>1</v>
      </c>
      <c r="L4671" s="3" t="n">
        <v>1294.95</v>
      </c>
      <c r="M4671" s="4" t="n">
        <v>0.05</v>
      </c>
      <c r="N4671" s="3" t="n">
        <v>909.4</v>
      </c>
      <c r="O4671" s="3">
        <f>K4671*L4671*(1-M4671)</f>
        <v/>
      </c>
      <c r="P4671" s="3">
        <f>O4671-N4671</f>
        <v/>
      </c>
      <c r="Q4671" s="5">
        <f>IFERROR(P4671/O4671,0)</f>
        <v/>
      </c>
      <c r="R4671" s="2">
        <f>TEXT(DATEVALUE(B4671),"mmm")</f>
        <v/>
      </c>
      <c r="S4671" s="2">
        <f>TEXT(DATEVALUE(B4671),"yyyy-mm")</f>
        <v/>
      </c>
    </row>
    <row r="4672">
      <c r="A4672" s="2" t="inlineStr">
        <is>
          <t>O003209</t>
        </is>
      </c>
      <c r="B4672" s="2" t="inlineStr">
        <is>
          <t>2025-12-08</t>
        </is>
      </c>
      <c r="C4672" s="2" t="inlineStr">
        <is>
          <t>C0637</t>
        </is>
      </c>
      <c r="D4672" s="2" t="inlineStr">
        <is>
          <t>P0001</t>
        </is>
      </c>
      <c r="E4672" s="2" t="inlineStr">
        <is>
          <t>Wireless Headphones</t>
        </is>
      </c>
      <c r="F4672" s="2" t="inlineStr">
        <is>
          <t>Electronics</t>
        </is>
      </c>
      <c r="G4672" s="2" t="inlineStr">
        <is>
          <t>North</t>
        </is>
      </c>
      <c r="H4672" s="2" t="inlineStr">
        <is>
          <t>Delhi</t>
        </is>
      </c>
      <c r="I4672" s="2" t="inlineStr">
        <is>
          <t>New Delhi</t>
        </is>
      </c>
      <c r="J4672" s="2" t="inlineStr">
        <is>
          <t>Online</t>
        </is>
      </c>
      <c r="K4672" s="2" t="n">
        <v>3</v>
      </c>
      <c r="L4672" s="3" t="n">
        <v>1283.56</v>
      </c>
      <c r="M4672" s="4" t="n">
        <v>0</v>
      </c>
      <c r="N4672" s="3" t="n">
        <v>2047.43</v>
      </c>
      <c r="O4672" s="3">
        <f>K4672*L4672*(1-M4672)</f>
        <v/>
      </c>
      <c r="P4672" s="3">
        <f>O4672-N4672</f>
        <v/>
      </c>
      <c r="Q4672" s="5">
        <f>IFERROR(P4672/O4672,0)</f>
        <v/>
      </c>
      <c r="R4672" s="2">
        <f>TEXT(DATEVALUE(B4672),"mmm")</f>
        <v/>
      </c>
      <c r="S4672" s="2">
        <f>TEXT(DATEVALUE(B4672),"yyyy-mm")</f>
        <v/>
      </c>
    </row>
    <row r="4673">
      <c r="A4673" s="2" t="inlineStr">
        <is>
          <t>O002838</t>
        </is>
      </c>
      <c r="B4673" s="2" t="inlineStr">
        <is>
          <t>2025-12-08</t>
        </is>
      </c>
      <c r="C4673" s="2" t="inlineStr">
        <is>
          <t>C0456</t>
        </is>
      </c>
      <c r="D4673" s="2" t="inlineStr">
        <is>
          <t>P0001</t>
        </is>
      </c>
      <c r="E4673" s="2" t="inlineStr">
        <is>
          <t>Wireless Headphones</t>
        </is>
      </c>
      <c r="F4673" s="2" t="inlineStr">
        <is>
          <t>Electronics</t>
        </is>
      </c>
      <c r="G4673" s="2" t="inlineStr">
        <is>
          <t>South</t>
        </is>
      </c>
      <c r="H4673" s="2" t="inlineStr">
        <is>
          <t>Telangana</t>
        </is>
      </c>
      <c r="I4673" s="2" t="inlineStr">
        <is>
          <t>Hyderabad</t>
        </is>
      </c>
      <c r="J4673" s="2" t="inlineStr">
        <is>
          <t>Store</t>
        </is>
      </c>
      <c r="K4673" s="2" t="n">
        <v>3</v>
      </c>
      <c r="L4673" s="3" t="n">
        <v>1331.6</v>
      </c>
      <c r="M4673" s="4" t="n">
        <v>0.2</v>
      </c>
      <c r="N4673" s="3" t="n">
        <v>2039.24</v>
      </c>
      <c r="O4673" s="3">
        <f>K4673*L4673*(1-M4673)</f>
        <v/>
      </c>
      <c r="P4673" s="3">
        <f>O4673-N4673</f>
        <v/>
      </c>
      <c r="Q4673" s="5">
        <f>IFERROR(P4673/O4673,0)</f>
        <v/>
      </c>
      <c r="R4673" s="2">
        <f>TEXT(DATEVALUE(B4673),"mmm")</f>
        <v/>
      </c>
      <c r="S4673" s="2">
        <f>TEXT(DATEVALUE(B4673),"yyyy-mm")</f>
        <v/>
      </c>
    </row>
    <row r="4674">
      <c r="A4674" s="2" t="inlineStr">
        <is>
          <t>O002365</t>
        </is>
      </c>
      <c r="B4674" s="2" t="inlineStr">
        <is>
          <t>2025-12-08</t>
        </is>
      </c>
      <c r="C4674" s="2" t="inlineStr">
        <is>
          <t>C0076</t>
        </is>
      </c>
      <c r="D4674" s="2" t="inlineStr">
        <is>
          <t>P0025</t>
        </is>
      </c>
      <c r="E4674" s="2" t="inlineStr">
        <is>
          <t>Perfume</t>
        </is>
      </c>
      <c r="F4674" s="2" t="inlineStr">
        <is>
          <t>Beauty</t>
        </is>
      </c>
      <c r="G4674" s="2" t="inlineStr">
        <is>
          <t>North</t>
        </is>
      </c>
      <c r="H4674" s="2" t="inlineStr">
        <is>
          <t>Punjab</t>
        </is>
      </c>
      <c r="I4674" s="2" t="inlineStr">
        <is>
          <t>Jalandhar</t>
        </is>
      </c>
      <c r="J4674" s="2" t="inlineStr">
        <is>
          <t>Store</t>
        </is>
      </c>
      <c r="K4674" s="2" t="n">
        <v>3</v>
      </c>
      <c r="L4674" s="3" t="n">
        <v>792.4</v>
      </c>
      <c r="M4674" s="4" t="n">
        <v>0.1</v>
      </c>
      <c r="N4674" s="3" t="n">
        <v>1760.63</v>
      </c>
      <c r="O4674" s="3">
        <f>K4674*L4674*(1-M4674)</f>
        <v/>
      </c>
      <c r="P4674" s="3">
        <f>O4674-N4674</f>
        <v/>
      </c>
      <c r="Q4674" s="5">
        <f>IFERROR(P4674/O4674,0)</f>
        <v/>
      </c>
      <c r="R4674" s="2">
        <f>TEXT(DATEVALUE(B4674),"mmm")</f>
        <v/>
      </c>
      <c r="S4674" s="2">
        <f>TEXT(DATEVALUE(B4674),"yyyy-mm")</f>
        <v/>
      </c>
    </row>
    <row r="4675">
      <c r="A4675" s="2" t="inlineStr">
        <is>
          <t>O002294</t>
        </is>
      </c>
      <c r="B4675" s="2" t="inlineStr">
        <is>
          <t>2025-12-08</t>
        </is>
      </c>
      <c r="C4675" s="2" t="inlineStr">
        <is>
          <t>C0757</t>
        </is>
      </c>
      <c r="D4675" s="2" t="inlineStr">
        <is>
          <t>P0010</t>
        </is>
      </c>
      <c r="E4675" s="2" t="inlineStr">
        <is>
          <t>Mixer Grinder</t>
        </is>
      </c>
      <c r="F4675" s="2" t="inlineStr">
        <is>
          <t>Home &amp; Kitchen</t>
        </is>
      </c>
      <c r="G4675" s="2" t="inlineStr">
        <is>
          <t>West</t>
        </is>
      </c>
      <c r="H4675" s="2" t="inlineStr">
        <is>
          <t>Gujarat</t>
        </is>
      </c>
      <c r="I4675" s="2" t="inlineStr">
        <is>
          <t>Vadodara</t>
        </is>
      </c>
      <c r="J4675" s="2" t="inlineStr">
        <is>
          <t>Online</t>
        </is>
      </c>
      <c r="K4675" s="2" t="n">
        <v>6</v>
      </c>
      <c r="L4675" s="3" t="n">
        <v>1641.85</v>
      </c>
      <c r="M4675" s="4" t="n">
        <v>0.1</v>
      </c>
      <c r="N4675" s="3" t="n">
        <v>6460.75</v>
      </c>
      <c r="O4675" s="3">
        <f>K4675*L4675*(1-M4675)</f>
        <v/>
      </c>
      <c r="P4675" s="3">
        <f>O4675-N4675</f>
        <v/>
      </c>
      <c r="Q4675" s="5">
        <f>IFERROR(P4675/O4675,0)</f>
        <v/>
      </c>
      <c r="R4675" s="2">
        <f>TEXT(DATEVALUE(B4675),"mmm")</f>
        <v/>
      </c>
      <c r="S4675" s="2">
        <f>TEXT(DATEVALUE(B4675),"yyyy-mm")</f>
        <v/>
      </c>
    </row>
    <row r="4676">
      <c r="A4676" s="2" t="inlineStr">
        <is>
          <t>O001352</t>
        </is>
      </c>
      <c r="B4676" s="2" t="inlineStr">
        <is>
          <t>2025-12-08</t>
        </is>
      </c>
      <c r="C4676" s="2" t="inlineStr">
        <is>
          <t>C0194</t>
        </is>
      </c>
      <c r="D4676" s="2" t="inlineStr">
        <is>
          <t>P0011</t>
        </is>
      </c>
      <c r="E4676" s="2" t="inlineStr">
        <is>
          <t>Cookware Set</t>
        </is>
      </c>
      <c r="F4676" s="2" t="inlineStr">
        <is>
          <t>Home &amp; Kitchen</t>
        </is>
      </c>
      <c r="G4676" s="2" t="inlineStr">
        <is>
          <t>East</t>
        </is>
      </c>
      <c r="H4676" s="2" t="inlineStr">
        <is>
          <t>Odisha</t>
        </is>
      </c>
      <c r="I4676" s="2" t="inlineStr">
        <is>
          <t>Cuttack</t>
        </is>
      </c>
      <c r="J4676" s="2" t="inlineStr">
        <is>
          <t>Store</t>
        </is>
      </c>
      <c r="K4676" s="2" t="n">
        <v>4</v>
      </c>
      <c r="L4676" s="3" t="n">
        <v>707.61</v>
      </c>
      <c r="M4676" s="4" t="n">
        <v>0.15</v>
      </c>
      <c r="N4676" s="3" t="n">
        <v>1871.23</v>
      </c>
      <c r="O4676" s="3">
        <f>K4676*L4676*(1-M4676)</f>
        <v/>
      </c>
      <c r="P4676" s="3">
        <f>O4676-N4676</f>
        <v/>
      </c>
      <c r="Q4676" s="5">
        <f>IFERROR(P4676/O4676,0)</f>
        <v/>
      </c>
      <c r="R4676" s="2">
        <f>TEXT(DATEVALUE(B4676),"mmm")</f>
        <v/>
      </c>
      <c r="S4676" s="2">
        <f>TEXT(DATEVALUE(B4676),"yyyy-mm")</f>
        <v/>
      </c>
    </row>
    <row r="4677">
      <c r="A4677" s="2" t="inlineStr">
        <is>
          <t>O001209</t>
        </is>
      </c>
      <c r="B4677" s="2" t="inlineStr">
        <is>
          <t>2025-12-08</t>
        </is>
      </c>
      <c r="C4677" s="2" t="inlineStr">
        <is>
          <t>C0435</t>
        </is>
      </c>
      <c r="D4677" s="2" t="inlineStr">
        <is>
          <t>P0021</t>
        </is>
      </c>
      <c r="E4677" s="2" t="inlineStr">
        <is>
          <t>Wallet</t>
        </is>
      </c>
      <c r="F4677" s="2" t="inlineStr">
        <is>
          <t>Fashion</t>
        </is>
      </c>
      <c r="G4677" s="2" t="inlineStr">
        <is>
          <t>East</t>
        </is>
      </c>
      <c r="H4677" s="2" t="inlineStr">
        <is>
          <t>West Bengal</t>
        </is>
      </c>
      <c r="I4677" s="2" t="inlineStr">
        <is>
          <t>Kolkata</t>
        </is>
      </c>
      <c r="J4677" s="2" t="inlineStr">
        <is>
          <t>Online</t>
        </is>
      </c>
      <c r="K4677" s="2" t="n">
        <v>4</v>
      </c>
      <c r="L4677" s="3" t="n">
        <v>2014.16</v>
      </c>
      <c r="M4677" s="4" t="n">
        <v>0</v>
      </c>
      <c r="N4677" s="3" t="n">
        <v>4918.45</v>
      </c>
      <c r="O4677" s="3">
        <f>K4677*L4677*(1-M4677)</f>
        <v/>
      </c>
      <c r="P4677" s="3">
        <f>O4677-N4677</f>
        <v/>
      </c>
      <c r="Q4677" s="5">
        <f>IFERROR(P4677/O4677,0)</f>
        <v/>
      </c>
      <c r="R4677" s="2">
        <f>TEXT(DATEVALUE(B4677),"mmm")</f>
        <v/>
      </c>
      <c r="S4677" s="2">
        <f>TEXT(DATEVALUE(B4677),"yyyy-mm")</f>
        <v/>
      </c>
    </row>
    <row r="4678">
      <c r="A4678" s="2" t="inlineStr">
        <is>
          <t>O000734</t>
        </is>
      </c>
      <c r="B4678" s="2" t="inlineStr">
        <is>
          <t>2025-12-08</t>
        </is>
      </c>
      <c r="C4678" s="2" t="inlineStr">
        <is>
          <t>C0275</t>
        </is>
      </c>
      <c r="D4678" s="2" t="inlineStr">
        <is>
          <t>P0016</t>
        </is>
      </c>
      <c r="E4678" s="2" t="inlineStr">
        <is>
          <t>Casual Shirt</t>
        </is>
      </c>
      <c r="F4678" s="2" t="inlineStr">
        <is>
          <t>Fashion</t>
        </is>
      </c>
      <c r="G4678" s="2" t="inlineStr">
        <is>
          <t>West</t>
        </is>
      </c>
      <c r="H4678" s="2" t="inlineStr">
        <is>
          <t>Goa</t>
        </is>
      </c>
      <c r="I4678" s="2" t="inlineStr">
        <is>
          <t>Panaji</t>
        </is>
      </c>
      <c r="J4678" s="2" t="inlineStr">
        <is>
          <t>Store</t>
        </is>
      </c>
      <c r="K4678" s="2" t="n">
        <v>2</v>
      </c>
      <c r="L4678" s="3" t="n">
        <v>1298.07</v>
      </c>
      <c r="M4678" s="4" t="n">
        <v>0.05</v>
      </c>
      <c r="N4678" s="3" t="n">
        <v>1859.42</v>
      </c>
      <c r="O4678" s="3">
        <f>K4678*L4678*(1-M4678)</f>
        <v/>
      </c>
      <c r="P4678" s="3">
        <f>O4678-N4678</f>
        <v/>
      </c>
      <c r="Q4678" s="5">
        <f>IFERROR(P4678/O4678,0)</f>
        <v/>
      </c>
      <c r="R4678" s="2">
        <f>TEXT(DATEVALUE(B4678),"mmm")</f>
        <v/>
      </c>
      <c r="S4678" s="2">
        <f>TEXT(DATEVALUE(B4678),"yyyy-mm")</f>
        <v/>
      </c>
    </row>
    <row r="4679">
      <c r="A4679" s="2" t="inlineStr">
        <is>
          <t>O000621</t>
        </is>
      </c>
      <c r="B4679" s="2" t="inlineStr">
        <is>
          <t>2025-12-08</t>
        </is>
      </c>
      <c r="C4679" s="2" t="inlineStr">
        <is>
          <t>C0793</t>
        </is>
      </c>
      <c r="D4679" s="2" t="inlineStr">
        <is>
          <t>P0021</t>
        </is>
      </c>
      <c r="E4679" s="2" t="inlineStr">
        <is>
          <t>Wallet</t>
        </is>
      </c>
      <c r="F4679" s="2" t="inlineStr">
        <is>
          <t>Fashion</t>
        </is>
      </c>
      <c r="G4679" s="2" t="inlineStr">
        <is>
          <t>West</t>
        </is>
      </c>
      <c r="H4679" s="2" t="inlineStr">
        <is>
          <t>Maharashtra</t>
        </is>
      </c>
      <c r="I4679" s="2" t="inlineStr">
        <is>
          <t>Nagpur</t>
        </is>
      </c>
      <c r="J4679" s="2" t="inlineStr">
        <is>
          <t>Store</t>
        </is>
      </c>
      <c r="K4679" s="2" t="n">
        <v>4</v>
      </c>
      <c r="L4679" s="3" t="n">
        <v>1953.95</v>
      </c>
      <c r="M4679" s="4" t="n">
        <v>0.1</v>
      </c>
      <c r="N4679" s="3" t="n">
        <v>4769</v>
      </c>
      <c r="O4679" s="3">
        <f>K4679*L4679*(1-M4679)</f>
        <v/>
      </c>
      <c r="P4679" s="3">
        <f>O4679-N4679</f>
        <v/>
      </c>
      <c r="Q4679" s="5">
        <f>IFERROR(P4679/O4679,0)</f>
        <v/>
      </c>
      <c r="R4679" s="2">
        <f>TEXT(DATEVALUE(B4679),"mmm")</f>
        <v/>
      </c>
      <c r="S4679" s="2">
        <f>TEXT(DATEVALUE(B4679),"yyyy-mm")</f>
        <v/>
      </c>
    </row>
    <row r="4680">
      <c r="A4680" s="2" t="inlineStr">
        <is>
          <t>O000565</t>
        </is>
      </c>
      <c r="B4680" s="2" t="inlineStr">
        <is>
          <t>2025-12-08</t>
        </is>
      </c>
      <c r="C4680" s="2" t="inlineStr">
        <is>
          <t>C0148</t>
        </is>
      </c>
      <c r="D4680" s="2" t="inlineStr">
        <is>
          <t>P0004</t>
        </is>
      </c>
      <c r="E4680" s="2" t="inlineStr">
        <is>
          <t>USB-C Hub</t>
        </is>
      </c>
      <c r="F4680" s="2" t="inlineStr">
        <is>
          <t>Electronics</t>
        </is>
      </c>
      <c r="G4680" s="2" t="inlineStr">
        <is>
          <t>East</t>
        </is>
      </c>
      <c r="H4680" s="2" t="inlineStr">
        <is>
          <t>West Bengal</t>
        </is>
      </c>
      <c r="I4680" s="2" t="inlineStr">
        <is>
          <t>Durgapur</t>
        </is>
      </c>
      <c r="J4680" s="2" t="inlineStr">
        <is>
          <t>Store</t>
        </is>
      </c>
      <c r="K4680" s="2" t="n">
        <v>2</v>
      </c>
      <c r="L4680" s="3" t="n">
        <v>1247.49</v>
      </c>
      <c r="M4680" s="4" t="n">
        <v>0</v>
      </c>
      <c r="N4680" s="3" t="n">
        <v>1897.61</v>
      </c>
      <c r="O4680" s="3">
        <f>K4680*L4680*(1-M4680)</f>
        <v/>
      </c>
      <c r="P4680" s="3">
        <f>O4680-N4680</f>
        <v/>
      </c>
      <c r="Q4680" s="5">
        <f>IFERROR(P4680/O4680,0)</f>
        <v/>
      </c>
      <c r="R4680" s="2">
        <f>TEXT(DATEVALUE(B4680),"mmm")</f>
        <v/>
      </c>
      <c r="S4680" s="2">
        <f>TEXT(DATEVALUE(B4680),"yyyy-mm")</f>
        <v/>
      </c>
    </row>
    <row r="4681">
      <c r="A4681" s="2" t="inlineStr">
        <is>
          <t>O000404</t>
        </is>
      </c>
      <c r="B4681" s="2" t="inlineStr">
        <is>
          <t>2025-12-08</t>
        </is>
      </c>
      <c r="C4681" s="2" t="inlineStr">
        <is>
          <t>C0106</t>
        </is>
      </c>
      <c r="D4681" s="2" t="inlineStr">
        <is>
          <t>P0007</t>
        </is>
      </c>
      <c r="E4681" s="2" t="inlineStr">
        <is>
          <t>Wireless Mouse</t>
        </is>
      </c>
      <c r="F4681" s="2" t="inlineStr">
        <is>
          <t>Electronics</t>
        </is>
      </c>
      <c r="G4681" s="2" t="inlineStr">
        <is>
          <t>North</t>
        </is>
      </c>
      <c r="H4681" s="2" t="inlineStr">
        <is>
          <t>Punjab</t>
        </is>
      </c>
      <c r="I4681" s="2" t="inlineStr">
        <is>
          <t>Amritsar</t>
        </is>
      </c>
      <c r="J4681" s="2" t="inlineStr">
        <is>
          <t>Online</t>
        </is>
      </c>
      <c r="K4681" s="2" t="n">
        <v>3</v>
      </c>
      <c r="L4681" s="3" t="n">
        <v>1008.99</v>
      </c>
      <c r="M4681" s="4" t="n">
        <v>0.15</v>
      </c>
      <c r="N4681" s="3" t="n">
        <v>1890.77</v>
      </c>
      <c r="O4681" s="3">
        <f>K4681*L4681*(1-M4681)</f>
        <v/>
      </c>
      <c r="P4681" s="3">
        <f>O4681-N4681</f>
        <v/>
      </c>
      <c r="Q4681" s="5">
        <f>IFERROR(P4681/O4681,0)</f>
        <v/>
      </c>
      <c r="R4681" s="2">
        <f>TEXT(DATEVALUE(B4681),"mmm")</f>
        <v/>
      </c>
      <c r="S4681" s="2">
        <f>TEXT(DATEVALUE(B4681),"yyyy-mm")</f>
        <v/>
      </c>
    </row>
    <row r="4682">
      <c r="A4682" s="2" t="inlineStr">
        <is>
          <t>O000394</t>
        </is>
      </c>
      <c r="B4682" s="2" t="inlineStr">
        <is>
          <t>2025-12-08</t>
        </is>
      </c>
      <c r="C4682" s="2" t="inlineStr">
        <is>
          <t>C0019</t>
        </is>
      </c>
      <c r="D4682" s="2" t="inlineStr">
        <is>
          <t>P0018</t>
        </is>
      </c>
      <c r="E4682" s="2" t="inlineStr">
        <is>
          <t>Backpack</t>
        </is>
      </c>
      <c r="F4682" s="2" t="inlineStr">
        <is>
          <t>Fashion</t>
        </is>
      </c>
      <c r="G4682" s="2" t="inlineStr">
        <is>
          <t>West</t>
        </is>
      </c>
      <c r="H4682" s="2" t="inlineStr">
        <is>
          <t>Maharashtra</t>
        </is>
      </c>
      <c r="I4682" s="2" t="inlineStr">
        <is>
          <t>Mumbai</t>
        </is>
      </c>
      <c r="J4682" s="2" t="inlineStr">
        <is>
          <t>Store</t>
        </is>
      </c>
      <c r="K4682" s="2" t="n">
        <v>3</v>
      </c>
      <c r="L4682" s="3" t="n">
        <v>1867.74</v>
      </c>
      <c r="M4682" s="4" t="n">
        <v>0.05</v>
      </c>
      <c r="N4682" s="3" t="n">
        <v>4161.81</v>
      </c>
      <c r="O4682" s="3">
        <f>K4682*L4682*(1-M4682)</f>
        <v/>
      </c>
      <c r="P4682" s="3">
        <f>O4682-N4682</f>
        <v/>
      </c>
      <c r="Q4682" s="5">
        <f>IFERROR(P4682/O4682,0)</f>
        <v/>
      </c>
      <c r="R4682" s="2">
        <f>TEXT(DATEVALUE(B4682),"mmm")</f>
        <v/>
      </c>
      <c r="S4682" s="2">
        <f>TEXT(DATEVALUE(B4682),"yyyy-mm")</f>
        <v/>
      </c>
    </row>
    <row r="4683">
      <c r="A4683" s="2" t="inlineStr">
        <is>
          <t>O000364</t>
        </is>
      </c>
      <c r="B4683" s="2" t="inlineStr">
        <is>
          <t>2025-12-08</t>
        </is>
      </c>
      <c r="C4683" s="2" t="inlineStr">
        <is>
          <t>C0523</t>
        </is>
      </c>
      <c r="D4683" s="2" t="inlineStr">
        <is>
          <t>P0003</t>
        </is>
      </c>
      <c r="E4683" s="2" t="inlineStr">
        <is>
          <t>Smartwatch</t>
        </is>
      </c>
      <c r="F4683" s="2" t="inlineStr">
        <is>
          <t>Electronics</t>
        </is>
      </c>
      <c r="G4683" s="2" t="inlineStr">
        <is>
          <t>South</t>
        </is>
      </c>
      <c r="H4683" s="2" t="inlineStr">
        <is>
          <t>Telangana</t>
        </is>
      </c>
      <c r="I4683" s="2" t="inlineStr">
        <is>
          <t>Hyderabad</t>
        </is>
      </c>
      <c r="J4683" s="2" t="inlineStr">
        <is>
          <t>Online</t>
        </is>
      </c>
      <c r="K4683" s="2" t="n">
        <v>1</v>
      </c>
      <c r="L4683" s="3" t="n">
        <v>2369.05</v>
      </c>
      <c r="M4683" s="4" t="n">
        <v>0</v>
      </c>
      <c r="N4683" s="3" t="n">
        <v>1163.01</v>
      </c>
      <c r="O4683" s="3">
        <f>K4683*L4683*(1-M4683)</f>
        <v/>
      </c>
      <c r="P4683" s="3">
        <f>O4683-N4683</f>
        <v/>
      </c>
      <c r="Q4683" s="5">
        <f>IFERROR(P4683/O4683,0)</f>
        <v/>
      </c>
      <c r="R4683" s="2">
        <f>TEXT(DATEVALUE(B4683),"mmm")</f>
        <v/>
      </c>
      <c r="S4683" s="2">
        <f>TEXT(DATEVALUE(B4683),"yyyy-mm")</f>
        <v/>
      </c>
    </row>
    <row r="4684">
      <c r="A4684" s="2" t="inlineStr">
        <is>
          <t>O001305</t>
        </is>
      </c>
      <c r="B4684" s="2" t="inlineStr">
        <is>
          <t>2025-12-08</t>
        </is>
      </c>
      <c r="C4684" s="2" t="inlineStr">
        <is>
          <t>C0443</t>
        </is>
      </c>
      <c r="D4684" s="2" t="inlineStr">
        <is>
          <t>P0012</t>
        </is>
      </c>
      <c r="E4684" s="2" t="inlineStr">
        <is>
          <t>Water Bottle</t>
        </is>
      </c>
      <c r="F4684" s="2" t="inlineStr">
        <is>
          <t>Home &amp; Kitchen</t>
        </is>
      </c>
      <c r="G4684" s="2" t="inlineStr">
        <is>
          <t>North</t>
        </is>
      </c>
      <c r="H4684" s="2" t="inlineStr">
        <is>
          <t>Delhi</t>
        </is>
      </c>
      <c r="I4684" s="2" t="inlineStr">
        <is>
          <t>New Delhi</t>
        </is>
      </c>
      <c r="J4684" s="2" t="inlineStr">
        <is>
          <t>Online</t>
        </is>
      </c>
      <c r="K4684" s="2" t="n">
        <v>4</v>
      </c>
      <c r="L4684" s="3" t="n">
        <v>997.71</v>
      </c>
      <c r="M4684" s="4" t="n">
        <v>0.2</v>
      </c>
      <c r="N4684" s="3" t="n">
        <v>2419.01</v>
      </c>
      <c r="O4684" s="3">
        <f>K4684*L4684*(1-M4684)</f>
        <v/>
      </c>
      <c r="P4684" s="3">
        <f>O4684-N4684</f>
        <v/>
      </c>
      <c r="Q4684" s="5">
        <f>IFERROR(P4684/O4684,0)</f>
        <v/>
      </c>
      <c r="R4684" s="2">
        <f>TEXT(DATEVALUE(B4684),"mmm")</f>
        <v/>
      </c>
      <c r="S4684" s="2">
        <f>TEXT(DATEVALUE(B4684),"yyyy-mm")</f>
        <v/>
      </c>
    </row>
    <row r="4685">
      <c r="A4685" s="2" t="inlineStr">
        <is>
          <t>O004892</t>
        </is>
      </c>
      <c r="B4685" s="2" t="inlineStr">
        <is>
          <t>2025-12-09</t>
        </is>
      </c>
      <c r="C4685" s="2" t="inlineStr">
        <is>
          <t>C0783</t>
        </is>
      </c>
      <c r="D4685" s="2" t="inlineStr">
        <is>
          <t>P0030</t>
        </is>
      </c>
      <c r="E4685" s="2" t="inlineStr">
        <is>
          <t>Dumbbells</t>
        </is>
      </c>
      <c r="F4685" s="2" t="inlineStr">
        <is>
          <t>Sports</t>
        </is>
      </c>
      <c r="G4685" s="2" t="inlineStr">
        <is>
          <t>South</t>
        </is>
      </c>
      <c r="H4685" s="2" t="inlineStr">
        <is>
          <t>Karnataka</t>
        </is>
      </c>
      <c r="I4685" s="2" t="inlineStr">
        <is>
          <t>Mangaluru</t>
        </is>
      </c>
      <c r="J4685" s="2" t="inlineStr">
        <is>
          <t>Online</t>
        </is>
      </c>
      <c r="K4685" s="2" t="n">
        <v>1</v>
      </c>
      <c r="L4685" s="3" t="n">
        <v>1579.06</v>
      </c>
      <c r="M4685" s="4" t="n">
        <v>0.25</v>
      </c>
      <c r="N4685" s="3" t="n">
        <v>1011.51</v>
      </c>
      <c r="O4685" s="3">
        <f>K4685*L4685*(1-M4685)</f>
        <v/>
      </c>
      <c r="P4685" s="3">
        <f>O4685-N4685</f>
        <v/>
      </c>
      <c r="Q4685" s="5">
        <f>IFERROR(P4685/O4685,0)</f>
        <v/>
      </c>
      <c r="R4685" s="2">
        <f>TEXT(DATEVALUE(B4685),"mmm")</f>
        <v/>
      </c>
      <c r="S4685" s="2">
        <f>TEXT(DATEVALUE(B4685),"yyyy-mm")</f>
        <v/>
      </c>
    </row>
    <row r="4686">
      <c r="A4686" s="2" t="inlineStr">
        <is>
          <t>O004140</t>
        </is>
      </c>
      <c r="B4686" s="2" t="inlineStr">
        <is>
          <t>2025-12-09</t>
        </is>
      </c>
      <c r="C4686" s="2" t="inlineStr">
        <is>
          <t>C0098</t>
        </is>
      </c>
      <c r="D4686" s="2" t="inlineStr">
        <is>
          <t>P0016</t>
        </is>
      </c>
      <c r="E4686" s="2" t="inlineStr">
        <is>
          <t>Casual Shirt</t>
        </is>
      </c>
      <c r="F4686" s="2" t="inlineStr">
        <is>
          <t>Fashion</t>
        </is>
      </c>
      <c r="G4686" s="2" t="inlineStr">
        <is>
          <t>South</t>
        </is>
      </c>
      <c r="H4686" s="2" t="inlineStr">
        <is>
          <t>Karnataka</t>
        </is>
      </c>
      <c r="I4686" s="2" t="inlineStr">
        <is>
          <t>Bengaluru</t>
        </is>
      </c>
      <c r="J4686" s="2" t="inlineStr">
        <is>
          <t>Online</t>
        </is>
      </c>
      <c r="K4686" s="2" t="n">
        <v>3</v>
      </c>
      <c r="L4686" s="3" t="n">
        <v>1302.19</v>
      </c>
      <c r="M4686" s="4" t="n">
        <v>0.05</v>
      </c>
      <c r="N4686" s="3" t="n">
        <v>2694.52</v>
      </c>
      <c r="O4686" s="3">
        <f>K4686*L4686*(1-M4686)</f>
        <v/>
      </c>
      <c r="P4686" s="3">
        <f>O4686-N4686</f>
        <v/>
      </c>
      <c r="Q4686" s="5">
        <f>IFERROR(P4686/O4686,0)</f>
        <v/>
      </c>
      <c r="R4686" s="2">
        <f>TEXT(DATEVALUE(B4686),"mmm")</f>
        <v/>
      </c>
      <c r="S4686" s="2">
        <f>TEXT(DATEVALUE(B4686),"yyyy-mm")</f>
        <v/>
      </c>
    </row>
    <row r="4687">
      <c r="A4687" s="2" t="inlineStr">
        <is>
          <t>O004054</t>
        </is>
      </c>
      <c r="B4687" s="2" t="inlineStr">
        <is>
          <t>2025-12-09</t>
        </is>
      </c>
      <c r="C4687" s="2" t="inlineStr">
        <is>
          <t>C0748</t>
        </is>
      </c>
      <c r="D4687" s="2" t="inlineStr">
        <is>
          <t>P0010</t>
        </is>
      </c>
      <c r="E4687" s="2" t="inlineStr">
        <is>
          <t>Mixer Grinder</t>
        </is>
      </c>
      <c r="F4687" s="2" t="inlineStr">
        <is>
          <t>Home &amp; Kitchen</t>
        </is>
      </c>
      <c r="G4687" s="2" t="inlineStr">
        <is>
          <t>West</t>
        </is>
      </c>
      <c r="H4687" s="2" t="inlineStr">
        <is>
          <t>Maharashtra</t>
        </is>
      </c>
      <c r="I4687" s="2" t="inlineStr">
        <is>
          <t>Nashik</t>
        </is>
      </c>
      <c r="J4687" s="2" t="inlineStr">
        <is>
          <t>Store</t>
        </is>
      </c>
      <c r="K4687" s="2" t="n">
        <v>3</v>
      </c>
      <c r="L4687" s="3" t="n">
        <v>1647.19</v>
      </c>
      <c r="M4687" s="4" t="n">
        <v>0.05</v>
      </c>
      <c r="N4687" s="3" t="n">
        <v>3170.95</v>
      </c>
      <c r="O4687" s="3">
        <f>K4687*L4687*(1-M4687)</f>
        <v/>
      </c>
      <c r="P4687" s="3">
        <f>O4687-N4687</f>
        <v/>
      </c>
      <c r="Q4687" s="5">
        <f>IFERROR(P4687/O4687,0)</f>
        <v/>
      </c>
      <c r="R4687" s="2">
        <f>TEXT(DATEVALUE(B4687),"mmm")</f>
        <v/>
      </c>
      <c r="S4687" s="2">
        <f>TEXT(DATEVALUE(B4687),"yyyy-mm")</f>
        <v/>
      </c>
    </row>
    <row r="4688">
      <c r="A4688" s="2" t="inlineStr">
        <is>
          <t>O003761</t>
        </is>
      </c>
      <c r="B4688" s="2" t="inlineStr">
        <is>
          <t>2025-12-09</t>
        </is>
      </c>
      <c r="C4688" s="2" t="inlineStr">
        <is>
          <t>C0372</t>
        </is>
      </c>
      <c r="D4688" s="2" t="inlineStr">
        <is>
          <t>P0022</t>
        </is>
      </c>
      <c r="E4688" s="2" t="inlineStr">
        <is>
          <t>Face Wash</t>
        </is>
      </c>
      <c r="F4688" s="2" t="inlineStr">
        <is>
          <t>Beauty</t>
        </is>
      </c>
      <c r="G4688" s="2" t="inlineStr">
        <is>
          <t>West</t>
        </is>
      </c>
      <c r="H4688" s="2" t="inlineStr">
        <is>
          <t>Gujarat</t>
        </is>
      </c>
      <c r="I4688" s="2" t="inlineStr">
        <is>
          <t>Ahmedabad</t>
        </is>
      </c>
      <c r="J4688" s="2" t="inlineStr">
        <is>
          <t>Store</t>
        </is>
      </c>
      <c r="K4688" s="2" t="n">
        <v>6</v>
      </c>
      <c r="L4688" s="3" t="n">
        <v>561.6799999999999</v>
      </c>
      <c r="M4688" s="4" t="n">
        <v>0.15</v>
      </c>
      <c r="N4688" s="3" t="n">
        <v>2120.84</v>
      </c>
      <c r="O4688" s="3">
        <f>K4688*L4688*(1-M4688)</f>
        <v/>
      </c>
      <c r="P4688" s="3">
        <f>O4688-N4688</f>
        <v/>
      </c>
      <c r="Q4688" s="5">
        <f>IFERROR(P4688/O4688,0)</f>
        <v/>
      </c>
      <c r="R4688" s="2">
        <f>TEXT(DATEVALUE(B4688),"mmm")</f>
        <v/>
      </c>
      <c r="S4688" s="2">
        <f>TEXT(DATEVALUE(B4688),"yyyy-mm")</f>
        <v/>
      </c>
    </row>
    <row r="4689">
      <c r="A4689" s="2" t="inlineStr">
        <is>
          <t>O003688</t>
        </is>
      </c>
      <c r="B4689" s="2" t="inlineStr">
        <is>
          <t>2025-12-09</t>
        </is>
      </c>
      <c r="C4689" s="2" t="inlineStr">
        <is>
          <t>C0280</t>
        </is>
      </c>
      <c r="D4689" s="2" t="inlineStr">
        <is>
          <t>P0016</t>
        </is>
      </c>
      <c r="E4689" s="2" t="inlineStr">
        <is>
          <t>Casual Shirt</t>
        </is>
      </c>
      <c r="F4689" s="2" t="inlineStr">
        <is>
          <t>Fashion</t>
        </is>
      </c>
      <c r="G4689" s="2" t="inlineStr">
        <is>
          <t>East</t>
        </is>
      </c>
      <c r="H4689" s="2" t="inlineStr">
        <is>
          <t>West Bengal</t>
        </is>
      </c>
      <c r="I4689" s="2" t="inlineStr">
        <is>
          <t>Durgapur</t>
        </is>
      </c>
      <c r="J4689" s="2" t="inlineStr">
        <is>
          <t>Store</t>
        </is>
      </c>
      <c r="K4689" s="2" t="n">
        <v>1</v>
      </c>
      <c r="L4689" s="3" t="n">
        <v>1262.88</v>
      </c>
      <c r="M4689" s="4" t="n">
        <v>0.05</v>
      </c>
      <c r="N4689" s="3" t="n">
        <v>907.02</v>
      </c>
      <c r="O4689" s="3">
        <f>K4689*L4689*(1-M4689)</f>
        <v/>
      </c>
      <c r="P4689" s="3">
        <f>O4689-N4689</f>
        <v/>
      </c>
      <c r="Q4689" s="5">
        <f>IFERROR(P4689/O4689,0)</f>
        <v/>
      </c>
      <c r="R4689" s="2">
        <f>TEXT(DATEVALUE(B4689),"mmm")</f>
        <v/>
      </c>
      <c r="S4689" s="2">
        <f>TEXT(DATEVALUE(B4689),"yyyy-mm")</f>
        <v/>
      </c>
    </row>
    <row r="4690">
      <c r="A4690" s="2" t="inlineStr">
        <is>
          <t>O003446</t>
        </is>
      </c>
      <c r="B4690" s="2" t="inlineStr">
        <is>
          <t>2025-12-09</t>
        </is>
      </c>
      <c r="C4690" s="2" t="inlineStr">
        <is>
          <t>C0172</t>
        </is>
      </c>
      <c r="D4690" s="2" t="inlineStr">
        <is>
          <t>P0031</t>
        </is>
      </c>
      <c r="E4690" s="2" t="inlineStr">
        <is>
          <t>Cricket Bat</t>
        </is>
      </c>
      <c r="F4690" s="2" t="inlineStr">
        <is>
          <t>Sports</t>
        </is>
      </c>
      <c r="G4690" s="2" t="inlineStr">
        <is>
          <t>West</t>
        </is>
      </c>
      <c r="H4690" s="2" t="inlineStr">
        <is>
          <t>Maharashtra</t>
        </is>
      </c>
      <c r="I4690" s="2" t="inlineStr">
        <is>
          <t>Pune</t>
        </is>
      </c>
      <c r="J4690" s="2" t="inlineStr">
        <is>
          <t>Online</t>
        </is>
      </c>
      <c r="K4690" s="2" t="n">
        <v>1</v>
      </c>
      <c r="L4690" s="3" t="n">
        <v>1375.16</v>
      </c>
      <c r="M4690" s="4" t="n">
        <v>0.05</v>
      </c>
      <c r="N4690" s="3" t="n">
        <v>951.54</v>
      </c>
      <c r="O4690" s="3">
        <f>K4690*L4690*(1-M4690)</f>
        <v/>
      </c>
      <c r="P4690" s="3">
        <f>O4690-N4690</f>
        <v/>
      </c>
      <c r="Q4690" s="5">
        <f>IFERROR(P4690/O4690,0)</f>
        <v/>
      </c>
      <c r="R4690" s="2">
        <f>TEXT(DATEVALUE(B4690),"mmm")</f>
        <v/>
      </c>
      <c r="S4690" s="2">
        <f>TEXT(DATEVALUE(B4690),"yyyy-mm")</f>
        <v/>
      </c>
    </row>
    <row r="4691">
      <c r="A4691" s="2" t="inlineStr">
        <is>
          <t>O003184</t>
        </is>
      </c>
      <c r="B4691" s="2" t="inlineStr">
        <is>
          <t>2025-12-09</t>
        </is>
      </c>
      <c r="C4691" s="2" t="inlineStr">
        <is>
          <t>C0143</t>
        </is>
      </c>
      <c r="D4691" s="2" t="inlineStr">
        <is>
          <t>P0013</t>
        </is>
      </c>
      <c r="E4691" s="2" t="inlineStr">
        <is>
          <t>Storage Organizer</t>
        </is>
      </c>
      <c r="F4691" s="2" t="inlineStr">
        <is>
          <t>Home &amp; Kitchen</t>
        </is>
      </c>
      <c r="G4691" s="2" t="inlineStr">
        <is>
          <t>West</t>
        </is>
      </c>
      <c r="H4691" s="2" t="inlineStr">
        <is>
          <t>Gujarat</t>
        </is>
      </c>
      <c r="I4691" s="2" t="inlineStr">
        <is>
          <t>Surat</t>
        </is>
      </c>
      <c r="J4691" s="2" t="inlineStr">
        <is>
          <t>Online</t>
        </is>
      </c>
      <c r="K4691" s="2" t="n">
        <v>1</v>
      </c>
      <c r="L4691" s="3" t="n">
        <v>575.54</v>
      </c>
      <c r="M4691" s="4" t="n">
        <v>0.1</v>
      </c>
      <c r="N4691" s="3" t="n">
        <v>364.98</v>
      </c>
      <c r="O4691" s="3">
        <f>K4691*L4691*(1-M4691)</f>
        <v/>
      </c>
      <c r="P4691" s="3">
        <f>O4691-N4691</f>
        <v/>
      </c>
      <c r="Q4691" s="5">
        <f>IFERROR(P4691/O4691,0)</f>
        <v/>
      </c>
      <c r="R4691" s="2">
        <f>TEXT(DATEVALUE(B4691),"mmm")</f>
        <v/>
      </c>
      <c r="S4691" s="2">
        <f>TEXT(DATEVALUE(B4691),"yyyy-mm")</f>
        <v/>
      </c>
    </row>
    <row r="4692">
      <c r="A4692" s="2" t="inlineStr">
        <is>
          <t>O003074</t>
        </is>
      </c>
      <c r="B4692" s="2" t="inlineStr">
        <is>
          <t>2025-12-09</t>
        </is>
      </c>
      <c r="C4692" s="2" t="inlineStr">
        <is>
          <t>C0362</t>
        </is>
      </c>
      <c r="D4692" s="2" t="inlineStr">
        <is>
          <t>P0010</t>
        </is>
      </c>
      <c r="E4692" s="2" t="inlineStr">
        <is>
          <t>Mixer Grinder</t>
        </is>
      </c>
      <c r="F4692" s="2" t="inlineStr">
        <is>
          <t>Home &amp; Kitchen</t>
        </is>
      </c>
      <c r="G4692" s="2" t="inlineStr">
        <is>
          <t>West</t>
        </is>
      </c>
      <c r="H4692" s="2" t="inlineStr">
        <is>
          <t>Gujarat</t>
        </is>
      </c>
      <c r="I4692" s="2" t="inlineStr">
        <is>
          <t>Ahmedabad</t>
        </is>
      </c>
      <c r="J4692" s="2" t="inlineStr">
        <is>
          <t>Store</t>
        </is>
      </c>
      <c r="K4692" s="2" t="n">
        <v>3</v>
      </c>
      <c r="L4692" s="3" t="n">
        <v>1635.39</v>
      </c>
      <c r="M4692" s="4" t="n">
        <v>0.2</v>
      </c>
      <c r="N4692" s="3" t="n">
        <v>3150.91</v>
      </c>
      <c r="O4692" s="3">
        <f>K4692*L4692*(1-M4692)</f>
        <v/>
      </c>
      <c r="P4692" s="3">
        <f>O4692-N4692</f>
        <v/>
      </c>
      <c r="Q4692" s="5">
        <f>IFERROR(P4692/O4692,0)</f>
        <v/>
      </c>
      <c r="R4692" s="2">
        <f>TEXT(DATEVALUE(B4692),"mmm")</f>
        <v/>
      </c>
      <c r="S4692" s="2">
        <f>TEXT(DATEVALUE(B4692),"yyyy-mm")</f>
        <v/>
      </c>
    </row>
    <row r="4693">
      <c r="A4693" s="2" t="inlineStr">
        <is>
          <t>O002538</t>
        </is>
      </c>
      <c r="B4693" s="2" t="inlineStr">
        <is>
          <t>2025-12-09</t>
        </is>
      </c>
      <c r="C4693" s="2" t="inlineStr">
        <is>
          <t>C0697</t>
        </is>
      </c>
      <c r="D4693" s="2" t="inlineStr">
        <is>
          <t>P0033</t>
        </is>
      </c>
      <c r="E4693" s="2" t="inlineStr">
        <is>
          <t>Resistance Bands</t>
        </is>
      </c>
      <c r="F4693" s="2" t="inlineStr">
        <is>
          <t>Sports</t>
        </is>
      </c>
      <c r="G4693" s="2" t="inlineStr">
        <is>
          <t>South</t>
        </is>
      </c>
      <c r="H4693" s="2" t="inlineStr">
        <is>
          <t>Tamil Nadu</t>
        </is>
      </c>
      <c r="I4693" s="2" t="inlineStr">
        <is>
          <t>Chennai</t>
        </is>
      </c>
      <c r="J4693" s="2" t="inlineStr">
        <is>
          <t>Store</t>
        </is>
      </c>
      <c r="K4693" s="2" t="n">
        <v>3</v>
      </c>
      <c r="L4693" s="3" t="n">
        <v>1129.49</v>
      </c>
      <c r="M4693" s="4" t="n">
        <v>0.05</v>
      </c>
      <c r="N4693" s="3" t="n">
        <v>2365.27</v>
      </c>
      <c r="O4693" s="3">
        <f>K4693*L4693*(1-M4693)</f>
        <v/>
      </c>
      <c r="P4693" s="3">
        <f>O4693-N4693</f>
        <v/>
      </c>
      <c r="Q4693" s="5">
        <f>IFERROR(P4693/O4693,0)</f>
        <v/>
      </c>
      <c r="R4693" s="2">
        <f>TEXT(DATEVALUE(B4693),"mmm")</f>
        <v/>
      </c>
      <c r="S4693" s="2">
        <f>TEXT(DATEVALUE(B4693),"yyyy-mm")</f>
        <v/>
      </c>
    </row>
    <row r="4694">
      <c r="A4694" s="2" t="inlineStr">
        <is>
          <t>O002142</t>
        </is>
      </c>
      <c r="B4694" s="2" t="inlineStr">
        <is>
          <t>2025-12-09</t>
        </is>
      </c>
      <c r="C4694" s="2" t="inlineStr">
        <is>
          <t>C0445</t>
        </is>
      </c>
      <c r="D4694" s="2" t="inlineStr">
        <is>
          <t>P0026</t>
        </is>
      </c>
      <c r="E4694" s="2" t="inlineStr">
        <is>
          <t>Shampoo</t>
        </is>
      </c>
      <c r="F4694" s="2" t="inlineStr">
        <is>
          <t>Beauty</t>
        </is>
      </c>
      <c r="G4694" s="2" t="inlineStr">
        <is>
          <t>West</t>
        </is>
      </c>
      <c r="H4694" s="2" t="inlineStr">
        <is>
          <t>Gujarat</t>
        </is>
      </c>
      <c r="I4694" s="2" t="inlineStr">
        <is>
          <t>Ahmedabad</t>
        </is>
      </c>
      <c r="J4694" s="2" t="inlineStr">
        <is>
          <t>Store</t>
        </is>
      </c>
      <c r="K4694" s="2" t="n">
        <v>3</v>
      </c>
      <c r="L4694" s="3" t="n">
        <v>861.46</v>
      </c>
      <c r="M4694" s="4" t="n">
        <v>0.1</v>
      </c>
      <c r="N4694" s="3" t="n">
        <v>1540.75</v>
      </c>
      <c r="O4694" s="3">
        <f>K4694*L4694*(1-M4694)</f>
        <v/>
      </c>
      <c r="P4694" s="3">
        <f>O4694-N4694</f>
        <v/>
      </c>
      <c r="Q4694" s="5">
        <f>IFERROR(P4694/O4694,0)</f>
        <v/>
      </c>
      <c r="R4694" s="2">
        <f>TEXT(DATEVALUE(B4694),"mmm")</f>
        <v/>
      </c>
      <c r="S4694" s="2">
        <f>TEXT(DATEVALUE(B4694),"yyyy-mm")</f>
        <v/>
      </c>
    </row>
    <row r="4695">
      <c r="A4695" s="2" t="inlineStr">
        <is>
          <t>O000211</t>
        </is>
      </c>
      <c r="B4695" s="2" t="inlineStr">
        <is>
          <t>2025-12-09</t>
        </is>
      </c>
      <c r="C4695" s="2" t="inlineStr">
        <is>
          <t>C0568</t>
        </is>
      </c>
      <c r="D4695" s="2" t="inlineStr">
        <is>
          <t>P0011</t>
        </is>
      </c>
      <c r="E4695" s="2" t="inlineStr">
        <is>
          <t>Cookware Set</t>
        </is>
      </c>
      <c r="F4695" s="2" t="inlineStr">
        <is>
          <t>Home &amp; Kitchen</t>
        </is>
      </c>
      <c r="G4695" s="2" t="inlineStr">
        <is>
          <t>West</t>
        </is>
      </c>
      <c r="H4695" s="2" t="inlineStr">
        <is>
          <t>Maharashtra</t>
        </is>
      </c>
      <c r="I4695" s="2" t="inlineStr">
        <is>
          <t>Nashik</t>
        </is>
      </c>
      <c r="J4695" s="2" t="inlineStr">
        <is>
          <t>Store</t>
        </is>
      </c>
      <c r="K4695" s="2" t="n">
        <v>1</v>
      </c>
      <c r="L4695" s="3" t="n">
        <v>708.78</v>
      </c>
      <c r="M4695" s="4" t="n">
        <v>0.1</v>
      </c>
      <c r="N4695" s="3" t="n">
        <v>484.7</v>
      </c>
      <c r="O4695" s="3">
        <f>K4695*L4695*(1-M4695)</f>
        <v/>
      </c>
      <c r="P4695" s="3">
        <f>O4695-N4695</f>
        <v/>
      </c>
      <c r="Q4695" s="5">
        <f>IFERROR(P4695/O4695,0)</f>
        <v/>
      </c>
      <c r="R4695" s="2">
        <f>TEXT(DATEVALUE(B4695),"mmm")</f>
        <v/>
      </c>
      <c r="S4695" s="2">
        <f>TEXT(DATEVALUE(B4695),"yyyy-mm")</f>
        <v/>
      </c>
    </row>
    <row r="4696">
      <c r="A4696" s="2" t="inlineStr">
        <is>
          <t>O003293</t>
        </is>
      </c>
      <c r="B4696" s="2" t="inlineStr">
        <is>
          <t>2025-12-09</t>
        </is>
      </c>
      <c r="C4696" s="2" t="inlineStr">
        <is>
          <t>C0057</t>
        </is>
      </c>
      <c r="D4696" s="2" t="inlineStr">
        <is>
          <t>P0016</t>
        </is>
      </c>
      <c r="E4696" s="2" t="inlineStr">
        <is>
          <t>Casual Shirt</t>
        </is>
      </c>
      <c r="F4696" s="2" t="inlineStr">
        <is>
          <t>Fashion</t>
        </is>
      </c>
      <c r="G4696" s="2" t="inlineStr">
        <is>
          <t>West</t>
        </is>
      </c>
      <c r="H4696" s="2" t="inlineStr">
        <is>
          <t>Goa</t>
        </is>
      </c>
      <c r="I4696" s="2" t="inlineStr">
        <is>
          <t>Panaji</t>
        </is>
      </c>
      <c r="J4696" s="2" t="inlineStr">
        <is>
          <t>Online</t>
        </is>
      </c>
      <c r="K4696" s="2" t="n">
        <v>1</v>
      </c>
      <c r="L4696" s="3" t="n">
        <v>1318.81</v>
      </c>
      <c r="M4696" s="4" t="n">
        <v>0.15</v>
      </c>
      <c r="N4696" s="3" t="n">
        <v>875.23</v>
      </c>
      <c r="O4696" s="3">
        <f>K4696*L4696*(1-M4696)</f>
        <v/>
      </c>
      <c r="P4696" s="3">
        <f>O4696-N4696</f>
        <v/>
      </c>
      <c r="Q4696" s="5">
        <f>IFERROR(P4696/O4696,0)</f>
        <v/>
      </c>
      <c r="R4696" s="2">
        <f>TEXT(DATEVALUE(B4696),"mmm")</f>
        <v/>
      </c>
      <c r="S4696" s="2">
        <f>TEXT(DATEVALUE(B4696),"yyyy-mm")</f>
        <v/>
      </c>
    </row>
    <row r="4697">
      <c r="A4697" s="2" t="inlineStr">
        <is>
          <t>O002923</t>
        </is>
      </c>
      <c r="B4697" s="2" t="inlineStr">
        <is>
          <t>2025-12-10</t>
        </is>
      </c>
      <c r="C4697" s="2" t="inlineStr">
        <is>
          <t>C0113</t>
        </is>
      </c>
      <c r="D4697" s="2" t="inlineStr">
        <is>
          <t>P0012</t>
        </is>
      </c>
      <c r="E4697" s="2" t="inlineStr">
        <is>
          <t>Water Bottle</t>
        </is>
      </c>
      <c r="F4697" s="2" t="inlineStr">
        <is>
          <t>Home &amp; Kitchen</t>
        </is>
      </c>
      <c r="G4697" s="2" t="inlineStr">
        <is>
          <t>West</t>
        </is>
      </c>
      <c r="H4697" s="2" t="inlineStr">
        <is>
          <t>Gujarat</t>
        </is>
      </c>
      <c r="I4697" s="2" t="inlineStr">
        <is>
          <t>Vadodara</t>
        </is>
      </c>
      <c r="J4697" s="2" t="inlineStr">
        <is>
          <t>Online</t>
        </is>
      </c>
      <c r="K4697" s="2" t="n">
        <v>1</v>
      </c>
      <c r="L4697" s="3" t="n">
        <v>983.03</v>
      </c>
      <c r="M4697" s="4" t="n">
        <v>0.05</v>
      </c>
      <c r="N4697" s="3" t="n">
        <v>644.2</v>
      </c>
      <c r="O4697" s="3">
        <f>K4697*L4697*(1-M4697)</f>
        <v/>
      </c>
      <c r="P4697" s="3">
        <f>O4697-N4697</f>
        <v/>
      </c>
      <c r="Q4697" s="5">
        <f>IFERROR(P4697/O4697,0)</f>
        <v/>
      </c>
      <c r="R4697" s="2">
        <f>TEXT(DATEVALUE(B4697),"mmm")</f>
        <v/>
      </c>
      <c r="S4697" s="2">
        <f>TEXT(DATEVALUE(B4697),"yyyy-mm")</f>
        <v/>
      </c>
    </row>
    <row r="4698">
      <c r="A4698" s="2" t="inlineStr">
        <is>
          <t>O004609</t>
        </is>
      </c>
      <c r="B4698" s="2" t="inlineStr">
        <is>
          <t>2025-12-10</t>
        </is>
      </c>
      <c r="C4698" s="2" t="inlineStr">
        <is>
          <t>C0706</t>
        </is>
      </c>
      <c r="D4698" s="2" t="inlineStr">
        <is>
          <t>P0013</t>
        </is>
      </c>
      <c r="E4698" s="2" t="inlineStr">
        <is>
          <t>Storage Organizer</t>
        </is>
      </c>
      <c r="F4698" s="2" t="inlineStr">
        <is>
          <t>Home &amp; Kitchen</t>
        </is>
      </c>
      <c r="G4698" s="2" t="inlineStr">
        <is>
          <t>West</t>
        </is>
      </c>
      <c r="H4698" s="2" t="inlineStr">
        <is>
          <t>Goa</t>
        </is>
      </c>
      <c r="I4698" s="2" t="inlineStr">
        <is>
          <t>Margao</t>
        </is>
      </c>
      <c r="J4698" s="2" t="inlineStr">
        <is>
          <t>Online</t>
        </is>
      </c>
      <c r="K4698" s="2" t="n">
        <v>1</v>
      </c>
      <c r="L4698" s="3" t="n">
        <v>595.25</v>
      </c>
      <c r="M4698" s="4" t="n">
        <v>0.1</v>
      </c>
      <c r="N4698" s="3" t="n">
        <v>370.74</v>
      </c>
      <c r="O4698" s="3">
        <f>K4698*L4698*(1-M4698)</f>
        <v/>
      </c>
      <c r="P4698" s="3">
        <f>O4698-N4698</f>
        <v/>
      </c>
      <c r="Q4698" s="5">
        <f>IFERROR(P4698/O4698,0)</f>
        <v/>
      </c>
      <c r="R4698" s="2">
        <f>TEXT(DATEVALUE(B4698),"mmm")</f>
        <v/>
      </c>
      <c r="S4698" s="2">
        <f>TEXT(DATEVALUE(B4698),"yyyy-mm")</f>
        <v/>
      </c>
    </row>
    <row r="4699">
      <c r="A4699" s="2" t="inlineStr">
        <is>
          <t>O004519</t>
        </is>
      </c>
      <c r="B4699" s="2" t="inlineStr">
        <is>
          <t>2025-12-10</t>
        </is>
      </c>
      <c r="C4699" s="2" t="inlineStr">
        <is>
          <t>C0456</t>
        </is>
      </c>
      <c r="D4699" s="2" t="inlineStr">
        <is>
          <t>P0012</t>
        </is>
      </c>
      <c r="E4699" s="2" t="inlineStr">
        <is>
          <t>Water Bottle</t>
        </is>
      </c>
      <c r="F4699" s="2" t="inlineStr">
        <is>
          <t>Home &amp; Kitchen</t>
        </is>
      </c>
      <c r="G4699" s="2" t="inlineStr">
        <is>
          <t>West</t>
        </is>
      </c>
      <c r="H4699" s="2" t="inlineStr">
        <is>
          <t>Goa</t>
        </is>
      </c>
      <c r="I4699" s="2" t="inlineStr">
        <is>
          <t>Margao</t>
        </is>
      </c>
      <c r="J4699" s="2" t="inlineStr">
        <is>
          <t>Online</t>
        </is>
      </c>
      <c r="K4699" s="2" t="n">
        <v>1</v>
      </c>
      <c r="L4699" s="3" t="n">
        <v>956.58</v>
      </c>
      <c r="M4699" s="4" t="n">
        <v>0.05</v>
      </c>
      <c r="N4699" s="3" t="n">
        <v>626.37</v>
      </c>
      <c r="O4699" s="3">
        <f>K4699*L4699*(1-M4699)</f>
        <v/>
      </c>
      <c r="P4699" s="3">
        <f>O4699-N4699</f>
        <v/>
      </c>
      <c r="Q4699" s="5">
        <f>IFERROR(P4699/O4699,0)</f>
        <v/>
      </c>
      <c r="R4699" s="2">
        <f>TEXT(DATEVALUE(B4699),"mmm")</f>
        <v/>
      </c>
      <c r="S4699" s="2">
        <f>TEXT(DATEVALUE(B4699),"yyyy-mm")</f>
        <v/>
      </c>
    </row>
    <row r="4700">
      <c r="A4700" s="2" t="inlineStr">
        <is>
          <t>O003403</t>
        </is>
      </c>
      <c r="B4700" s="2" t="inlineStr">
        <is>
          <t>2025-12-10</t>
        </is>
      </c>
      <c r="C4700" s="2" t="inlineStr">
        <is>
          <t>C0564</t>
        </is>
      </c>
      <c r="D4700" s="2" t="inlineStr">
        <is>
          <t>P0007</t>
        </is>
      </c>
      <c r="E4700" s="2" t="inlineStr">
        <is>
          <t>Wireless Mouse</t>
        </is>
      </c>
      <c r="F4700" s="2" t="inlineStr">
        <is>
          <t>Electronics</t>
        </is>
      </c>
      <c r="G4700" s="2" t="inlineStr">
        <is>
          <t>South</t>
        </is>
      </c>
      <c r="H4700" s="2" t="inlineStr">
        <is>
          <t>Kerala</t>
        </is>
      </c>
      <c r="I4700" s="2" t="inlineStr">
        <is>
          <t>Kochi</t>
        </is>
      </c>
      <c r="J4700" s="2" t="inlineStr">
        <is>
          <t>Online</t>
        </is>
      </c>
      <c r="K4700" s="2" t="n">
        <v>5</v>
      </c>
      <c r="L4700" s="3" t="n">
        <v>1017.94</v>
      </c>
      <c r="M4700" s="4" t="n">
        <v>0.05</v>
      </c>
      <c r="N4700" s="3" t="n">
        <v>3051.77</v>
      </c>
      <c r="O4700" s="3">
        <f>K4700*L4700*(1-M4700)</f>
        <v/>
      </c>
      <c r="P4700" s="3">
        <f>O4700-N4700</f>
        <v/>
      </c>
      <c r="Q4700" s="5">
        <f>IFERROR(P4700/O4700,0)</f>
        <v/>
      </c>
      <c r="R4700" s="2">
        <f>TEXT(DATEVALUE(B4700),"mmm")</f>
        <v/>
      </c>
      <c r="S4700" s="2">
        <f>TEXT(DATEVALUE(B4700),"yyyy-mm")</f>
        <v/>
      </c>
    </row>
    <row r="4701">
      <c r="A4701" s="2" t="inlineStr">
        <is>
          <t>O003262</t>
        </is>
      </c>
      <c r="B4701" s="2" t="inlineStr">
        <is>
          <t>2025-12-10</t>
        </is>
      </c>
      <c r="C4701" s="2" t="inlineStr">
        <is>
          <t>C0321</t>
        </is>
      </c>
      <c r="D4701" s="2" t="inlineStr">
        <is>
          <t>P0025</t>
        </is>
      </c>
      <c r="E4701" s="2" t="inlineStr">
        <is>
          <t>Perfume</t>
        </is>
      </c>
      <c r="F4701" s="2" t="inlineStr">
        <is>
          <t>Beauty</t>
        </is>
      </c>
      <c r="G4701" s="2" t="inlineStr">
        <is>
          <t>North</t>
        </is>
      </c>
      <c r="H4701" s="2" t="inlineStr">
        <is>
          <t>Uttar Pradesh</t>
        </is>
      </c>
      <c r="I4701" s="2" t="inlineStr">
        <is>
          <t>Varanasi</t>
        </is>
      </c>
      <c r="J4701" s="2" t="inlineStr">
        <is>
          <t>Online</t>
        </is>
      </c>
      <c r="K4701" s="2" t="n">
        <v>2</v>
      </c>
      <c r="L4701" s="3" t="n">
        <v>819.85</v>
      </c>
      <c r="M4701" s="4" t="n">
        <v>0.1</v>
      </c>
      <c r="N4701" s="3" t="n">
        <v>1196.86</v>
      </c>
      <c r="O4701" s="3">
        <f>K4701*L4701*(1-M4701)</f>
        <v/>
      </c>
      <c r="P4701" s="3">
        <f>O4701-N4701</f>
        <v/>
      </c>
      <c r="Q4701" s="5">
        <f>IFERROR(P4701/O4701,0)</f>
        <v/>
      </c>
      <c r="R4701" s="2">
        <f>TEXT(DATEVALUE(B4701),"mmm")</f>
        <v/>
      </c>
      <c r="S4701" s="2">
        <f>TEXT(DATEVALUE(B4701),"yyyy-mm")</f>
        <v/>
      </c>
    </row>
    <row r="4702">
      <c r="A4702" s="2" t="inlineStr">
        <is>
          <t>O003257</t>
        </is>
      </c>
      <c r="B4702" s="2" t="inlineStr">
        <is>
          <t>2025-12-10</t>
        </is>
      </c>
      <c r="C4702" s="2" t="inlineStr">
        <is>
          <t>C0546</t>
        </is>
      </c>
      <c r="D4702" s="2" t="inlineStr">
        <is>
          <t>P0002</t>
        </is>
      </c>
      <c r="E4702" s="2" t="inlineStr">
        <is>
          <t>Bluetooth Speaker</t>
        </is>
      </c>
      <c r="F4702" s="2" t="inlineStr">
        <is>
          <t>Electronics</t>
        </is>
      </c>
      <c r="G4702" s="2" t="inlineStr">
        <is>
          <t>South</t>
        </is>
      </c>
      <c r="H4702" s="2" t="inlineStr">
        <is>
          <t>Kerala</t>
        </is>
      </c>
      <c r="I4702" s="2" t="inlineStr">
        <is>
          <t>Thiruvananthapuram</t>
        </is>
      </c>
      <c r="J4702" s="2" t="inlineStr">
        <is>
          <t>Online</t>
        </is>
      </c>
      <c r="K4702" s="2" t="n">
        <v>1</v>
      </c>
      <c r="L4702" s="3" t="n">
        <v>1374.64</v>
      </c>
      <c r="M4702" s="4" t="n">
        <v>0.2</v>
      </c>
      <c r="N4702" s="3" t="n">
        <v>797.12</v>
      </c>
      <c r="O4702" s="3">
        <f>K4702*L4702*(1-M4702)</f>
        <v/>
      </c>
      <c r="P4702" s="3">
        <f>O4702-N4702</f>
        <v/>
      </c>
      <c r="Q4702" s="5">
        <f>IFERROR(P4702/O4702,0)</f>
        <v/>
      </c>
      <c r="R4702" s="2">
        <f>TEXT(DATEVALUE(B4702),"mmm")</f>
        <v/>
      </c>
      <c r="S4702" s="2">
        <f>TEXT(DATEVALUE(B4702),"yyyy-mm")</f>
        <v/>
      </c>
    </row>
    <row r="4703">
      <c r="A4703" s="2" t="inlineStr">
        <is>
          <t>O003114</t>
        </is>
      </c>
      <c r="B4703" s="2" t="inlineStr">
        <is>
          <t>2025-12-10</t>
        </is>
      </c>
      <c r="C4703" s="2" t="inlineStr">
        <is>
          <t>C0583</t>
        </is>
      </c>
      <c r="D4703" s="2" t="inlineStr">
        <is>
          <t>P0010</t>
        </is>
      </c>
      <c r="E4703" s="2" t="inlineStr">
        <is>
          <t>Mixer Grinder</t>
        </is>
      </c>
      <c r="F4703" s="2" t="inlineStr">
        <is>
          <t>Home &amp; Kitchen</t>
        </is>
      </c>
      <c r="G4703" s="2" t="inlineStr">
        <is>
          <t>North</t>
        </is>
      </c>
      <c r="H4703" s="2" t="inlineStr">
        <is>
          <t>Delhi</t>
        </is>
      </c>
      <c r="I4703" s="2" t="inlineStr">
        <is>
          <t>New Delhi</t>
        </is>
      </c>
      <c r="J4703" s="2" t="inlineStr">
        <is>
          <t>Store</t>
        </is>
      </c>
      <c r="K4703" s="2" t="n">
        <v>1</v>
      </c>
      <c r="L4703" s="3" t="n">
        <v>1681.41</v>
      </c>
      <c r="M4703" s="4" t="n">
        <v>0</v>
      </c>
      <c r="N4703" s="3" t="n">
        <v>1014.86</v>
      </c>
      <c r="O4703" s="3">
        <f>K4703*L4703*(1-M4703)</f>
        <v/>
      </c>
      <c r="P4703" s="3">
        <f>O4703-N4703</f>
        <v/>
      </c>
      <c r="Q4703" s="5">
        <f>IFERROR(P4703/O4703,0)</f>
        <v/>
      </c>
      <c r="R4703" s="2">
        <f>TEXT(DATEVALUE(B4703),"mmm")</f>
        <v/>
      </c>
      <c r="S4703" s="2">
        <f>TEXT(DATEVALUE(B4703),"yyyy-mm")</f>
        <v/>
      </c>
    </row>
    <row r="4704">
      <c r="A4704" s="2" t="inlineStr">
        <is>
          <t>O002539</t>
        </is>
      </c>
      <c r="B4704" s="2" t="inlineStr">
        <is>
          <t>2025-12-10</t>
        </is>
      </c>
      <c r="C4704" s="2" t="inlineStr">
        <is>
          <t>C0506</t>
        </is>
      </c>
      <c r="D4704" s="2" t="inlineStr">
        <is>
          <t>P0002</t>
        </is>
      </c>
      <c r="E4704" s="2" t="inlineStr">
        <is>
          <t>Bluetooth Speaker</t>
        </is>
      </c>
      <c r="F4704" s="2" t="inlineStr">
        <is>
          <t>Electronics</t>
        </is>
      </c>
      <c r="G4704" s="2" t="inlineStr">
        <is>
          <t>South</t>
        </is>
      </c>
      <c r="H4704" s="2" t="inlineStr">
        <is>
          <t>Telangana</t>
        </is>
      </c>
      <c r="I4704" s="2" t="inlineStr">
        <is>
          <t>Warangal</t>
        </is>
      </c>
      <c r="J4704" s="2" t="inlineStr">
        <is>
          <t>Store</t>
        </is>
      </c>
      <c r="K4704" s="2" t="n">
        <v>3</v>
      </c>
      <c r="L4704" s="3" t="n">
        <v>1321.1</v>
      </c>
      <c r="M4704" s="4" t="n">
        <v>0.1</v>
      </c>
      <c r="N4704" s="3" t="n">
        <v>2479.57</v>
      </c>
      <c r="O4704" s="3">
        <f>K4704*L4704*(1-M4704)</f>
        <v/>
      </c>
      <c r="P4704" s="3">
        <f>O4704-N4704</f>
        <v/>
      </c>
      <c r="Q4704" s="5">
        <f>IFERROR(P4704/O4704,0)</f>
        <v/>
      </c>
      <c r="R4704" s="2">
        <f>TEXT(DATEVALUE(B4704),"mmm")</f>
        <v/>
      </c>
      <c r="S4704" s="2">
        <f>TEXT(DATEVALUE(B4704),"yyyy-mm")</f>
        <v/>
      </c>
    </row>
    <row r="4705">
      <c r="A4705" s="2" t="inlineStr">
        <is>
          <t>O000099</t>
        </is>
      </c>
      <c r="B4705" s="2" t="inlineStr">
        <is>
          <t>2025-12-10</t>
        </is>
      </c>
      <c r="C4705" s="2" t="inlineStr">
        <is>
          <t>C0406</t>
        </is>
      </c>
      <c r="D4705" s="2" t="inlineStr">
        <is>
          <t>P0001</t>
        </is>
      </c>
      <c r="E4705" s="2" t="inlineStr">
        <is>
          <t>Wireless Headphones</t>
        </is>
      </c>
      <c r="F4705" s="2" t="inlineStr">
        <is>
          <t>Electronics</t>
        </is>
      </c>
      <c r="G4705" s="2" t="inlineStr">
        <is>
          <t>North</t>
        </is>
      </c>
      <c r="H4705" s="2" t="inlineStr">
        <is>
          <t>Punjab</t>
        </is>
      </c>
      <c r="I4705" s="2" t="inlineStr">
        <is>
          <t>Jalandhar</t>
        </is>
      </c>
      <c r="J4705" s="2" t="inlineStr">
        <is>
          <t>Online</t>
        </is>
      </c>
      <c r="K4705" s="2" t="n">
        <v>1</v>
      </c>
      <c r="L4705" s="3" t="n">
        <v>1283.54</v>
      </c>
      <c r="M4705" s="4" t="n">
        <v>0.1</v>
      </c>
      <c r="N4705" s="3" t="n">
        <v>701.65</v>
      </c>
      <c r="O4705" s="3">
        <f>K4705*L4705*(1-M4705)</f>
        <v/>
      </c>
      <c r="P4705" s="3">
        <f>O4705-N4705</f>
        <v/>
      </c>
      <c r="Q4705" s="5">
        <f>IFERROR(P4705/O4705,0)</f>
        <v/>
      </c>
      <c r="R4705" s="2">
        <f>TEXT(DATEVALUE(B4705),"mmm")</f>
        <v/>
      </c>
      <c r="S4705" s="2">
        <f>TEXT(DATEVALUE(B4705),"yyyy-mm")</f>
        <v/>
      </c>
    </row>
    <row r="4706">
      <c r="A4706" s="2" t="inlineStr">
        <is>
          <t>O001789</t>
        </is>
      </c>
      <c r="B4706" s="2" t="inlineStr">
        <is>
          <t>2025-12-10</t>
        </is>
      </c>
      <c r="C4706" s="2" t="inlineStr">
        <is>
          <t>C0586</t>
        </is>
      </c>
      <c r="D4706" s="2" t="inlineStr">
        <is>
          <t>P0019</t>
        </is>
      </c>
      <c r="E4706" s="2" t="inlineStr">
        <is>
          <t>Jacket</t>
        </is>
      </c>
      <c r="F4706" s="2" t="inlineStr">
        <is>
          <t>Fashion</t>
        </is>
      </c>
      <c r="G4706" s="2" t="inlineStr">
        <is>
          <t>East</t>
        </is>
      </c>
      <c r="H4706" s="2" t="inlineStr">
        <is>
          <t>West Bengal</t>
        </is>
      </c>
      <c r="I4706" s="2" t="inlineStr">
        <is>
          <t>Kolkata</t>
        </is>
      </c>
      <c r="J4706" s="2" t="inlineStr">
        <is>
          <t>Online</t>
        </is>
      </c>
      <c r="K4706" s="2" t="n">
        <v>3</v>
      </c>
      <c r="L4706" s="3" t="n">
        <v>1056.97</v>
      </c>
      <c r="M4706" s="4" t="n">
        <v>0.05</v>
      </c>
      <c r="N4706" s="3" t="n">
        <v>2015.25</v>
      </c>
      <c r="O4706" s="3">
        <f>K4706*L4706*(1-M4706)</f>
        <v/>
      </c>
      <c r="P4706" s="3">
        <f>O4706-N4706</f>
        <v/>
      </c>
      <c r="Q4706" s="5">
        <f>IFERROR(P4706/O4706,0)</f>
        <v/>
      </c>
      <c r="R4706" s="2">
        <f>TEXT(DATEVALUE(B4706),"mmm")</f>
        <v/>
      </c>
      <c r="S4706" s="2">
        <f>TEXT(DATEVALUE(B4706),"yyyy-mm")</f>
        <v/>
      </c>
    </row>
    <row r="4707">
      <c r="A4707" s="2" t="inlineStr">
        <is>
          <t>O001681</t>
        </is>
      </c>
      <c r="B4707" s="2" t="inlineStr">
        <is>
          <t>2025-12-10</t>
        </is>
      </c>
      <c r="C4707" s="2" t="inlineStr">
        <is>
          <t>C0314</t>
        </is>
      </c>
      <c r="D4707" s="2" t="inlineStr">
        <is>
          <t>P0004</t>
        </is>
      </c>
      <c r="E4707" s="2" t="inlineStr">
        <is>
          <t>USB-C Hub</t>
        </is>
      </c>
      <c r="F4707" s="2" t="inlineStr">
        <is>
          <t>Electronics</t>
        </is>
      </c>
      <c r="G4707" s="2" t="inlineStr">
        <is>
          <t>North</t>
        </is>
      </c>
      <c r="H4707" s="2" t="inlineStr">
        <is>
          <t>Haryana</t>
        </is>
      </c>
      <c r="I4707" s="2" t="inlineStr">
        <is>
          <t>Gurugram</t>
        </is>
      </c>
      <c r="J4707" s="2" t="inlineStr">
        <is>
          <t>Store</t>
        </is>
      </c>
      <c r="K4707" s="2" t="n">
        <v>2</v>
      </c>
      <c r="L4707" s="3" t="n">
        <v>1284.98</v>
      </c>
      <c r="M4707" s="4" t="n">
        <v>0.05</v>
      </c>
      <c r="N4707" s="3" t="n">
        <v>1798.87</v>
      </c>
      <c r="O4707" s="3">
        <f>K4707*L4707*(1-M4707)</f>
        <v/>
      </c>
      <c r="P4707" s="3">
        <f>O4707-N4707</f>
        <v/>
      </c>
      <c r="Q4707" s="5">
        <f>IFERROR(P4707/O4707,0)</f>
        <v/>
      </c>
      <c r="R4707" s="2">
        <f>TEXT(DATEVALUE(B4707),"mmm")</f>
        <v/>
      </c>
      <c r="S4707" s="2">
        <f>TEXT(DATEVALUE(B4707),"yyyy-mm")</f>
        <v/>
      </c>
    </row>
    <row r="4708">
      <c r="A4708" s="2" t="inlineStr">
        <is>
          <t>O001538</t>
        </is>
      </c>
      <c r="B4708" s="2" t="inlineStr">
        <is>
          <t>2025-12-10</t>
        </is>
      </c>
      <c r="C4708" s="2" t="inlineStr">
        <is>
          <t>C0581</t>
        </is>
      </c>
      <c r="D4708" s="2" t="inlineStr">
        <is>
          <t>P0031</t>
        </is>
      </c>
      <c r="E4708" s="2" t="inlineStr">
        <is>
          <t>Cricket Bat</t>
        </is>
      </c>
      <c r="F4708" s="2" t="inlineStr">
        <is>
          <t>Sports</t>
        </is>
      </c>
      <c r="G4708" s="2" t="inlineStr">
        <is>
          <t>North</t>
        </is>
      </c>
      <c r="H4708" s="2" t="inlineStr">
        <is>
          <t>Punjab</t>
        </is>
      </c>
      <c r="I4708" s="2" t="inlineStr">
        <is>
          <t>Ludhiana</t>
        </is>
      </c>
      <c r="J4708" s="2" t="inlineStr">
        <is>
          <t>Online</t>
        </is>
      </c>
      <c r="K4708" s="2" t="n">
        <v>6</v>
      </c>
      <c r="L4708" s="3" t="n">
        <v>1349</v>
      </c>
      <c r="M4708" s="4" t="n">
        <v>0.05</v>
      </c>
      <c r="N4708" s="3" t="n">
        <v>5573.55</v>
      </c>
      <c r="O4708" s="3">
        <f>K4708*L4708*(1-M4708)</f>
        <v/>
      </c>
      <c r="P4708" s="3">
        <f>O4708-N4708</f>
        <v/>
      </c>
      <c r="Q4708" s="5">
        <f>IFERROR(P4708/O4708,0)</f>
        <v/>
      </c>
      <c r="R4708" s="2">
        <f>TEXT(DATEVALUE(B4708),"mmm")</f>
        <v/>
      </c>
      <c r="S4708" s="2">
        <f>TEXT(DATEVALUE(B4708),"yyyy-mm")</f>
        <v/>
      </c>
    </row>
    <row r="4709">
      <c r="A4709" s="2" t="inlineStr">
        <is>
          <t>O001529</t>
        </is>
      </c>
      <c r="B4709" s="2" t="inlineStr">
        <is>
          <t>2025-12-10</t>
        </is>
      </c>
      <c r="C4709" s="2" t="inlineStr">
        <is>
          <t>C0568</t>
        </is>
      </c>
      <c r="D4709" s="2" t="inlineStr">
        <is>
          <t>P0014</t>
        </is>
      </c>
      <c r="E4709" s="2" t="inlineStr">
        <is>
          <t>Coffee Maker</t>
        </is>
      </c>
      <c r="F4709" s="2" t="inlineStr">
        <is>
          <t>Home &amp; Kitchen</t>
        </is>
      </c>
      <c r="G4709" s="2" t="inlineStr">
        <is>
          <t>West</t>
        </is>
      </c>
      <c r="H4709" s="2" t="inlineStr">
        <is>
          <t>Gujarat</t>
        </is>
      </c>
      <c r="I4709" s="2" t="inlineStr">
        <is>
          <t>Surat</t>
        </is>
      </c>
      <c r="J4709" s="2" t="inlineStr">
        <is>
          <t>Online</t>
        </is>
      </c>
      <c r="K4709" s="2" t="n">
        <v>1</v>
      </c>
      <c r="L4709" s="3" t="n">
        <v>1045.05</v>
      </c>
      <c r="M4709" s="4" t="n">
        <v>0</v>
      </c>
      <c r="N4709" s="3" t="n">
        <v>765.9299999999999</v>
      </c>
      <c r="O4709" s="3">
        <f>K4709*L4709*(1-M4709)</f>
        <v/>
      </c>
      <c r="P4709" s="3">
        <f>O4709-N4709</f>
        <v/>
      </c>
      <c r="Q4709" s="5">
        <f>IFERROR(P4709/O4709,0)</f>
        <v/>
      </c>
      <c r="R4709" s="2">
        <f>TEXT(DATEVALUE(B4709),"mmm")</f>
        <v/>
      </c>
      <c r="S4709" s="2">
        <f>TEXT(DATEVALUE(B4709),"yyyy-mm")</f>
        <v/>
      </c>
    </row>
    <row r="4710">
      <c r="A4710" s="2" t="inlineStr">
        <is>
          <t>O001194</t>
        </is>
      </c>
      <c r="B4710" s="2" t="inlineStr">
        <is>
          <t>2025-12-10</t>
        </is>
      </c>
      <c r="C4710" s="2" t="inlineStr">
        <is>
          <t>C0449</t>
        </is>
      </c>
      <c r="D4710" s="2" t="inlineStr">
        <is>
          <t>P0010</t>
        </is>
      </c>
      <c r="E4710" s="2" t="inlineStr">
        <is>
          <t>Mixer Grinder</t>
        </is>
      </c>
      <c r="F4710" s="2" t="inlineStr">
        <is>
          <t>Home &amp; Kitchen</t>
        </is>
      </c>
      <c r="G4710" s="2" t="inlineStr">
        <is>
          <t>South</t>
        </is>
      </c>
      <c r="H4710" s="2" t="inlineStr">
        <is>
          <t>Karnataka</t>
        </is>
      </c>
      <c r="I4710" s="2" t="inlineStr">
        <is>
          <t>Bengaluru</t>
        </is>
      </c>
      <c r="J4710" s="2" t="inlineStr">
        <is>
          <t>Store</t>
        </is>
      </c>
      <c r="K4710" s="2" t="n">
        <v>2</v>
      </c>
      <c r="L4710" s="3" t="n">
        <v>1604.93</v>
      </c>
      <c r="M4710" s="4" t="n">
        <v>0.15</v>
      </c>
      <c r="N4710" s="3" t="n">
        <v>2026.78</v>
      </c>
      <c r="O4710" s="3">
        <f>K4710*L4710*(1-M4710)</f>
        <v/>
      </c>
      <c r="P4710" s="3">
        <f>O4710-N4710</f>
        <v/>
      </c>
      <c r="Q4710" s="5">
        <f>IFERROR(P4710/O4710,0)</f>
        <v/>
      </c>
      <c r="R4710" s="2">
        <f>TEXT(DATEVALUE(B4710),"mmm")</f>
        <v/>
      </c>
      <c r="S4710" s="2">
        <f>TEXT(DATEVALUE(B4710),"yyyy-mm")</f>
        <v/>
      </c>
    </row>
    <row r="4711">
      <c r="A4711" s="2" t="inlineStr">
        <is>
          <t>O000020</t>
        </is>
      </c>
      <c r="B4711" s="2" t="inlineStr">
        <is>
          <t>2025-12-10</t>
        </is>
      </c>
      <c r="C4711" s="2" t="inlineStr">
        <is>
          <t>C0523</t>
        </is>
      </c>
      <c r="D4711" s="2" t="inlineStr">
        <is>
          <t>P0014</t>
        </is>
      </c>
      <c r="E4711" s="2" t="inlineStr">
        <is>
          <t>Coffee Maker</t>
        </is>
      </c>
      <c r="F4711" s="2" t="inlineStr">
        <is>
          <t>Home &amp; Kitchen</t>
        </is>
      </c>
      <c r="G4711" s="2" t="inlineStr">
        <is>
          <t>North</t>
        </is>
      </c>
      <c r="H4711" s="2" t="inlineStr">
        <is>
          <t>Punjab</t>
        </is>
      </c>
      <c r="I4711" s="2" t="inlineStr">
        <is>
          <t>Jalandhar</t>
        </is>
      </c>
      <c r="J4711" s="2" t="inlineStr">
        <is>
          <t>Store</t>
        </is>
      </c>
      <c r="K4711" s="2" t="n">
        <v>2</v>
      </c>
      <c r="L4711" s="3" t="n">
        <v>1088.6</v>
      </c>
      <c r="M4711" s="4" t="n">
        <v>0</v>
      </c>
      <c r="N4711" s="3" t="n">
        <v>1548.21</v>
      </c>
      <c r="O4711" s="3">
        <f>K4711*L4711*(1-M4711)</f>
        <v/>
      </c>
      <c r="P4711" s="3">
        <f>O4711-N4711</f>
        <v/>
      </c>
      <c r="Q4711" s="5">
        <f>IFERROR(P4711/O4711,0)</f>
        <v/>
      </c>
      <c r="R4711" s="2">
        <f>TEXT(DATEVALUE(B4711),"mmm")</f>
        <v/>
      </c>
      <c r="S4711" s="2">
        <f>TEXT(DATEVALUE(B4711),"yyyy-mm")</f>
        <v/>
      </c>
    </row>
    <row r="4712">
      <c r="A4712" s="2" t="inlineStr">
        <is>
          <t>O002105</t>
        </is>
      </c>
      <c r="B4712" s="2" t="inlineStr">
        <is>
          <t>2025-12-10</t>
        </is>
      </c>
      <c r="C4712" s="2" t="inlineStr">
        <is>
          <t>C0421</t>
        </is>
      </c>
      <c r="D4712" s="2" t="inlineStr">
        <is>
          <t>P0008</t>
        </is>
      </c>
      <c r="E4712" s="2" t="inlineStr">
        <is>
          <t>Air Fryer</t>
        </is>
      </c>
      <c r="F4712" s="2" t="inlineStr">
        <is>
          <t>Home &amp; Kitchen</t>
        </is>
      </c>
      <c r="G4712" s="2" t="inlineStr">
        <is>
          <t>North</t>
        </is>
      </c>
      <c r="H4712" s="2" t="inlineStr">
        <is>
          <t>Uttar Pradesh</t>
        </is>
      </c>
      <c r="I4712" s="2" t="inlineStr">
        <is>
          <t>Varanasi</t>
        </is>
      </c>
      <c r="J4712" s="2" t="inlineStr">
        <is>
          <t>Online</t>
        </is>
      </c>
      <c r="K4712" s="2" t="n">
        <v>3</v>
      </c>
      <c r="L4712" s="3" t="n">
        <v>1005.56</v>
      </c>
      <c r="M4712" s="4" t="n">
        <v>0.1</v>
      </c>
      <c r="N4712" s="3" t="n">
        <v>2060.19</v>
      </c>
      <c r="O4712" s="3">
        <f>K4712*L4712*(1-M4712)</f>
        <v/>
      </c>
      <c r="P4712" s="3">
        <f>O4712-N4712</f>
        <v/>
      </c>
      <c r="Q4712" s="5">
        <f>IFERROR(P4712/O4712,0)</f>
        <v/>
      </c>
      <c r="R4712" s="2">
        <f>TEXT(DATEVALUE(B4712),"mmm")</f>
        <v/>
      </c>
      <c r="S4712" s="2">
        <f>TEXT(DATEVALUE(B4712),"yyyy-mm")</f>
        <v/>
      </c>
    </row>
    <row r="4713">
      <c r="A4713" s="2" t="inlineStr">
        <is>
          <t>O002640</t>
        </is>
      </c>
      <c r="B4713" s="2" t="inlineStr">
        <is>
          <t>2025-12-11</t>
        </is>
      </c>
      <c r="C4713" s="2" t="inlineStr">
        <is>
          <t>C0350</t>
        </is>
      </c>
      <c r="D4713" s="2" t="inlineStr">
        <is>
          <t>P0018</t>
        </is>
      </c>
      <c r="E4713" s="2" t="inlineStr">
        <is>
          <t>Backpack</t>
        </is>
      </c>
      <c r="F4713" s="2" t="inlineStr">
        <is>
          <t>Fashion</t>
        </is>
      </c>
      <c r="G4713" s="2" t="inlineStr">
        <is>
          <t>West</t>
        </is>
      </c>
      <c r="H4713" s="2" t="inlineStr">
        <is>
          <t>Gujarat</t>
        </is>
      </c>
      <c r="I4713" s="2" t="inlineStr">
        <is>
          <t>Ahmedabad</t>
        </is>
      </c>
      <c r="J4713" s="2" t="inlineStr">
        <is>
          <t>Online</t>
        </is>
      </c>
      <c r="K4713" s="2" t="n">
        <v>1</v>
      </c>
      <c r="L4713" s="3" t="n">
        <v>1871.48</v>
      </c>
      <c r="M4713" s="4" t="n">
        <v>0.15</v>
      </c>
      <c r="N4713" s="3" t="n">
        <v>1346.09</v>
      </c>
      <c r="O4713" s="3">
        <f>K4713*L4713*(1-M4713)</f>
        <v/>
      </c>
      <c r="P4713" s="3">
        <f>O4713-N4713</f>
        <v/>
      </c>
      <c r="Q4713" s="5">
        <f>IFERROR(P4713/O4713,0)</f>
        <v/>
      </c>
      <c r="R4713" s="2">
        <f>TEXT(DATEVALUE(B4713),"mmm")</f>
        <v/>
      </c>
      <c r="S4713" s="2">
        <f>TEXT(DATEVALUE(B4713),"yyyy-mm")</f>
        <v/>
      </c>
    </row>
    <row r="4714">
      <c r="A4714" s="2" t="inlineStr">
        <is>
          <t>O004894</t>
        </is>
      </c>
      <c r="B4714" s="2" t="inlineStr">
        <is>
          <t>2025-12-11</t>
        </is>
      </c>
      <c r="C4714" s="2" t="inlineStr">
        <is>
          <t>C0393</t>
        </is>
      </c>
      <c r="D4714" s="2" t="inlineStr">
        <is>
          <t>P0029</t>
        </is>
      </c>
      <c r="E4714" s="2" t="inlineStr">
        <is>
          <t>Yoga Mat</t>
        </is>
      </c>
      <c r="F4714" s="2" t="inlineStr">
        <is>
          <t>Sports</t>
        </is>
      </c>
      <c r="G4714" s="2" t="inlineStr">
        <is>
          <t>West</t>
        </is>
      </c>
      <c r="H4714" s="2" t="inlineStr">
        <is>
          <t>Goa</t>
        </is>
      </c>
      <c r="I4714" s="2" t="inlineStr">
        <is>
          <t>Panaji</t>
        </is>
      </c>
      <c r="J4714" s="2" t="inlineStr">
        <is>
          <t>Store</t>
        </is>
      </c>
      <c r="K4714" s="2" t="n">
        <v>2</v>
      </c>
      <c r="L4714" s="3" t="n">
        <v>2473.37</v>
      </c>
      <c r="M4714" s="4" t="n">
        <v>0.1</v>
      </c>
      <c r="N4714" s="3" t="n">
        <v>2689.89</v>
      </c>
      <c r="O4714" s="3">
        <f>K4714*L4714*(1-M4714)</f>
        <v/>
      </c>
      <c r="P4714" s="3">
        <f>O4714-N4714</f>
        <v/>
      </c>
      <c r="Q4714" s="5">
        <f>IFERROR(P4714/O4714,0)</f>
        <v/>
      </c>
      <c r="R4714" s="2">
        <f>TEXT(DATEVALUE(B4714),"mmm")</f>
        <v/>
      </c>
      <c r="S4714" s="2">
        <f>TEXT(DATEVALUE(B4714),"yyyy-mm")</f>
        <v/>
      </c>
    </row>
    <row r="4715">
      <c r="A4715" s="2" t="inlineStr">
        <is>
          <t>O004446</t>
        </is>
      </c>
      <c r="B4715" s="2" t="inlineStr">
        <is>
          <t>2025-12-11</t>
        </is>
      </c>
      <c r="C4715" s="2" t="inlineStr">
        <is>
          <t>C0498</t>
        </is>
      </c>
      <c r="D4715" s="2" t="inlineStr">
        <is>
          <t>P0014</t>
        </is>
      </c>
      <c r="E4715" s="2" t="inlineStr">
        <is>
          <t>Coffee Maker</t>
        </is>
      </c>
      <c r="F4715" s="2" t="inlineStr">
        <is>
          <t>Home &amp; Kitchen</t>
        </is>
      </c>
      <c r="G4715" s="2" t="inlineStr">
        <is>
          <t>North</t>
        </is>
      </c>
      <c r="H4715" s="2" t="inlineStr">
        <is>
          <t>Uttar Pradesh</t>
        </is>
      </c>
      <c r="I4715" s="2" t="inlineStr">
        <is>
          <t>Varanasi</t>
        </is>
      </c>
      <c r="J4715" s="2" t="inlineStr">
        <is>
          <t>Online</t>
        </is>
      </c>
      <c r="K4715" s="2" t="n">
        <v>2</v>
      </c>
      <c r="L4715" s="3" t="n">
        <v>1000.47</v>
      </c>
      <c r="M4715" s="4" t="n">
        <v>0.2</v>
      </c>
      <c r="N4715" s="3" t="n">
        <v>1579.73</v>
      </c>
      <c r="O4715" s="3">
        <f>K4715*L4715*(1-M4715)</f>
        <v/>
      </c>
      <c r="P4715" s="3">
        <f>O4715-N4715</f>
        <v/>
      </c>
      <c r="Q4715" s="5">
        <f>IFERROR(P4715/O4715,0)</f>
        <v/>
      </c>
      <c r="R4715" s="2">
        <f>TEXT(DATEVALUE(B4715),"mmm")</f>
        <v/>
      </c>
      <c r="S4715" s="2">
        <f>TEXT(DATEVALUE(B4715),"yyyy-mm")</f>
        <v/>
      </c>
    </row>
    <row r="4716">
      <c r="A4716" s="2" t="inlineStr">
        <is>
          <t>O004321</t>
        </is>
      </c>
      <c r="B4716" s="2" t="inlineStr">
        <is>
          <t>2025-12-11</t>
        </is>
      </c>
      <c r="C4716" s="2" t="inlineStr">
        <is>
          <t>C0337</t>
        </is>
      </c>
      <c r="D4716" s="2" t="inlineStr">
        <is>
          <t>P0010</t>
        </is>
      </c>
      <c r="E4716" s="2" t="inlineStr">
        <is>
          <t>Mixer Grinder</t>
        </is>
      </c>
      <c r="F4716" s="2" t="inlineStr">
        <is>
          <t>Home &amp; Kitchen</t>
        </is>
      </c>
      <c r="G4716" s="2" t="inlineStr">
        <is>
          <t>North</t>
        </is>
      </c>
      <c r="H4716" s="2" t="inlineStr">
        <is>
          <t>Uttar Pradesh</t>
        </is>
      </c>
      <c r="I4716" s="2" t="inlineStr">
        <is>
          <t>Varanasi</t>
        </is>
      </c>
      <c r="J4716" s="2" t="inlineStr">
        <is>
          <t>Online</t>
        </is>
      </c>
      <c r="K4716" s="2" t="n">
        <v>3</v>
      </c>
      <c r="L4716" s="3" t="n">
        <v>1574.62</v>
      </c>
      <c r="M4716" s="4" t="n">
        <v>0.05</v>
      </c>
      <c r="N4716" s="3" t="n">
        <v>3153.79</v>
      </c>
      <c r="O4716" s="3">
        <f>K4716*L4716*(1-M4716)</f>
        <v/>
      </c>
      <c r="P4716" s="3">
        <f>O4716-N4716</f>
        <v/>
      </c>
      <c r="Q4716" s="5">
        <f>IFERROR(P4716/O4716,0)</f>
        <v/>
      </c>
      <c r="R4716" s="2">
        <f>TEXT(DATEVALUE(B4716),"mmm")</f>
        <v/>
      </c>
      <c r="S4716" s="2">
        <f>TEXT(DATEVALUE(B4716),"yyyy-mm")</f>
        <v/>
      </c>
    </row>
    <row r="4717">
      <c r="A4717" s="2" t="inlineStr">
        <is>
          <t>O002884</t>
        </is>
      </c>
      <c r="B4717" s="2" t="inlineStr">
        <is>
          <t>2025-12-11</t>
        </is>
      </c>
      <c r="C4717" s="2" t="inlineStr">
        <is>
          <t>C0078</t>
        </is>
      </c>
      <c r="D4717" s="2" t="inlineStr">
        <is>
          <t>P0027</t>
        </is>
      </c>
      <c r="E4717" s="2" t="inlineStr">
        <is>
          <t>Moisturizer</t>
        </is>
      </c>
      <c r="F4717" s="2" t="inlineStr">
        <is>
          <t>Beauty</t>
        </is>
      </c>
      <c r="G4717" s="2" t="inlineStr">
        <is>
          <t>South</t>
        </is>
      </c>
      <c r="H4717" s="2" t="inlineStr">
        <is>
          <t>Tamil Nadu</t>
        </is>
      </c>
      <c r="I4717" s="2" t="inlineStr">
        <is>
          <t>Chennai</t>
        </is>
      </c>
      <c r="J4717" s="2" t="inlineStr">
        <is>
          <t>Store</t>
        </is>
      </c>
      <c r="K4717" s="2" t="n">
        <v>3</v>
      </c>
      <c r="L4717" s="3" t="n">
        <v>961.53</v>
      </c>
      <c r="M4717" s="4" t="n">
        <v>0.15</v>
      </c>
      <c r="N4717" s="3" t="n">
        <v>2021.1</v>
      </c>
      <c r="O4717" s="3">
        <f>K4717*L4717*(1-M4717)</f>
        <v/>
      </c>
      <c r="P4717" s="3">
        <f>O4717-N4717</f>
        <v/>
      </c>
      <c r="Q4717" s="5">
        <f>IFERROR(P4717/O4717,0)</f>
        <v/>
      </c>
      <c r="R4717" s="2">
        <f>TEXT(DATEVALUE(B4717),"mmm")</f>
        <v/>
      </c>
      <c r="S4717" s="2">
        <f>TEXT(DATEVALUE(B4717),"yyyy-mm")</f>
        <v/>
      </c>
    </row>
    <row r="4718">
      <c r="A4718" s="2" t="inlineStr">
        <is>
          <t>O002434</t>
        </is>
      </c>
      <c r="B4718" s="2" t="inlineStr">
        <is>
          <t>2025-12-11</t>
        </is>
      </c>
      <c r="C4718" s="2" t="inlineStr">
        <is>
          <t>C0733</t>
        </is>
      </c>
      <c r="D4718" s="2" t="inlineStr">
        <is>
          <t>P0011</t>
        </is>
      </c>
      <c r="E4718" s="2" t="inlineStr">
        <is>
          <t>Cookware Set</t>
        </is>
      </c>
      <c r="F4718" s="2" t="inlineStr">
        <is>
          <t>Home &amp; Kitchen</t>
        </is>
      </c>
      <c r="G4718" s="2" t="inlineStr">
        <is>
          <t>South</t>
        </is>
      </c>
      <c r="H4718" s="2" t="inlineStr">
        <is>
          <t>Tamil Nadu</t>
        </is>
      </c>
      <c r="I4718" s="2" t="inlineStr">
        <is>
          <t>Coimbatore</t>
        </is>
      </c>
      <c r="J4718" s="2" t="inlineStr">
        <is>
          <t>Online</t>
        </is>
      </c>
      <c r="K4718" s="2" t="n">
        <v>3</v>
      </c>
      <c r="L4718" s="3" t="n">
        <v>733.3099999999999</v>
      </c>
      <c r="M4718" s="4" t="n">
        <v>0.1</v>
      </c>
      <c r="N4718" s="3" t="n">
        <v>1374.57</v>
      </c>
      <c r="O4718" s="3">
        <f>K4718*L4718*(1-M4718)</f>
        <v/>
      </c>
      <c r="P4718" s="3">
        <f>O4718-N4718</f>
        <v/>
      </c>
      <c r="Q4718" s="5">
        <f>IFERROR(P4718/O4718,0)</f>
        <v/>
      </c>
      <c r="R4718" s="2">
        <f>TEXT(DATEVALUE(B4718),"mmm")</f>
        <v/>
      </c>
      <c r="S4718" s="2">
        <f>TEXT(DATEVALUE(B4718),"yyyy-mm")</f>
        <v/>
      </c>
    </row>
    <row r="4719">
      <c r="A4719" s="2" t="inlineStr">
        <is>
          <t>O001963</t>
        </is>
      </c>
      <c r="B4719" s="2" t="inlineStr">
        <is>
          <t>2025-12-11</t>
        </is>
      </c>
      <c r="C4719" s="2" t="inlineStr">
        <is>
          <t>C0694</t>
        </is>
      </c>
      <c r="D4719" s="2" t="inlineStr">
        <is>
          <t>P0014</t>
        </is>
      </c>
      <c r="E4719" s="2" t="inlineStr">
        <is>
          <t>Coffee Maker</t>
        </is>
      </c>
      <c r="F4719" s="2" t="inlineStr">
        <is>
          <t>Home &amp; Kitchen</t>
        </is>
      </c>
      <c r="G4719" s="2" t="inlineStr">
        <is>
          <t>South</t>
        </is>
      </c>
      <c r="H4719" s="2" t="inlineStr">
        <is>
          <t>Kerala</t>
        </is>
      </c>
      <c r="I4719" s="2" t="inlineStr">
        <is>
          <t>Kochi</t>
        </is>
      </c>
      <c r="J4719" s="2" t="inlineStr">
        <is>
          <t>Online</t>
        </is>
      </c>
      <c r="K4719" s="2" t="n">
        <v>1</v>
      </c>
      <c r="L4719" s="3" t="n">
        <v>1068.48</v>
      </c>
      <c r="M4719" s="4" t="n">
        <v>0.25</v>
      </c>
      <c r="N4719" s="3" t="n">
        <v>771.0599999999999</v>
      </c>
      <c r="O4719" s="3">
        <f>K4719*L4719*(1-M4719)</f>
        <v/>
      </c>
      <c r="P4719" s="3">
        <f>O4719-N4719</f>
        <v/>
      </c>
      <c r="Q4719" s="5">
        <f>IFERROR(P4719/O4719,0)</f>
        <v/>
      </c>
      <c r="R4719" s="2">
        <f>TEXT(DATEVALUE(B4719),"mmm")</f>
        <v/>
      </c>
      <c r="S4719" s="2">
        <f>TEXT(DATEVALUE(B4719),"yyyy-mm")</f>
        <v/>
      </c>
    </row>
    <row r="4720">
      <c r="A4720" s="2" t="inlineStr">
        <is>
          <t>O002178</t>
        </is>
      </c>
      <c r="B4720" s="2" t="inlineStr">
        <is>
          <t>2025-12-11</t>
        </is>
      </c>
      <c r="C4720" s="2" t="inlineStr">
        <is>
          <t>C0027</t>
        </is>
      </c>
      <c r="D4720" s="2" t="inlineStr">
        <is>
          <t>P0022</t>
        </is>
      </c>
      <c r="E4720" s="2" t="inlineStr">
        <is>
          <t>Face Wash</t>
        </is>
      </c>
      <c r="F4720" s="2" t="inlineStr">
        <is>
          <t>Beauty</t>
        </is>
      </c>
      <c r="G4720" s="2" t="inlineStr">
        <is>
          <t>West</t>
        </is>
      </c>
      <c r="H4720" s="2" t="inlineStr">
        <is>
          <t>Maharashtra</t>
        </is>
      </c>
      <c r="I4720" s="2" t="inlineStr">
        <is>
          <t>Thane</t>
        </is>
      </c>
      <c r="J4720" s="2" t="inlineStr">
        <is>
          <t>Store</t>
        </is>
      </c>
      <c r="K4720" s="2" t="n">
        <v>3</v>
      </c>
      <c r="L4720" s="3" t="n">
        <v>551.38</v>
      </c>
      <c r="M4720" s="4" t="n">
        <v>0.1</v>
      </c>
      <c r="N4720" s="3" t="n">
        <v>1042.22</v>
      </c>
      <c r="O4720" s="3">
        <f>K4720*L4720*(1-M4720)</f>
        <v/>
      </c>
      <c r="P4720" s="3">
        <f>O4720-N4720</f>
        <v/>
      </c>
      <c r="Q4720" s="5">
        <f>IFERROR(P4720/O4720,0)</f>
        <v/>
      </c>
      <c r="R4720" s="2">
        <f>TEXT(DATEVALUE(B4720),"mmm")</f>
        <v/>
      </c>
      <c r="S4720" s="2">
        <f>TEXT(DATEVALUE(B4720),"yyyy-mm")</f>
        <v/>
      </c>
    </row>
    <row r="4721">
      <c r="A4721" s="2" t="inlineStr">
        <is>
          <t>O002068</t>
        </is>
      </c>
      <c r="B4721" s="2" t="inlineStr">
        <is>
          <t>2025-12-11</t>
        </is>
      </c>
      <c r="C4721" s="2" t="inlineStr">
        <is>
          <t>C0101</t>
        </is>
      </c>
      <c r="D4721" s="2" t="inlineStr">
        <is>
          <t>P0032</t>
        </is>
      </c>
      <c r="E4721" s="2" t="inlineStr">
        <is>
          <t>Football</t>
        </is>
      </c>
      <c r="F4721" s="2" t="inlineStr">
        <is>
          <t>Sports</t>
        </is>
      </c>
      <c r="G4721" s="2" t="inlineStr">
        <is>
          <t>South</t>
        </is>
      </c>
      <c r="H4721" s="2" t="inlineStr">
        <is>
          <t>Tamil Nadu</t>
        </is>
      </c>
      <c r="I4721" s="2" t="inlineStr">
        <is>
          <t>Chennai</t>
        </is>
      </c>
      <c r="J4721" s="2" t="inlineStr">
        <is>
          <t>Online</t>
        </is>
      </c>
      <c r="K4721" s="2" t="n">
        <v>2</v>
      </c>
      <c r="L4721" s="3" t="n">
        <v>840.4299999999999</v>
      </c>
      <c r="M4721" s="4" t="n">
        <v>0.25</v>
      </c>
      <c r="N4721" s="3" t="n">
        <v>1066.21</v>
      </c>
      <c r="O4721" s="3">
        <f>K4721*L4721*(1-M4721)</f>
        <v/>
      </c>
      <c r="P4721" s="3">
        <f>O4721-N4721</f>
        <v/>
      </c>
      <c r="Q4721" s="5">
        <f>IFERROR(P4721/O4721,0)</f>
        <v/>
      </c>
      <c r="R4721" s="2">
        <f>TEXT(DATEVALUE(B4721),"mmm")</f>
        <v/>
      </c>
      <c r="S4721" s="2">
        <f>TEXT(DATEVALUE(B4721),"yyyy-mm")</f>
        <v/>
      </c>
    </row>
    <row r="4722">
      <c r="A4722" s="2" t="inlineStr">
        <is>
          <t>O001644</t>
        </is>
      </c>
      <c r="B4722" s="2" t="inlineStr">
        <is>
          <t>2025-12-11</t>
        </is>
      </c>
      <c r="C4722" s="2" t="inlineStr">
        <is>
          <t>C0629</t>
        </is>
      </c>
      <c r="D4722" s="2" t="inlineStr">
        <is>
          <t>P0022</t>
        </is>
      </c>
      <c r="E4722" s="2" t="inlineStr">
        <is>
          <t>Face Wash</t>
        </is>
      </c>
      <c r="F4722" s="2" t="inlineStr">
        <is>
          <t>Beauty</t>
        </is>
      </c>
      <c r="G4722" s="2" t="inlineStr">
        <is>
          <t>West</t>
        </is>
      </c>
      <c r="H4722" s="2" t="inlineStr">
        <is>
          <t>Maharashtra</t>
        </is>
      </c>
      <c r="I4722" s="2" t="inlineStr">
        <is>
          <t>Nashik</t>
        </is>
      </c>
      <c r="J4722" s="2" t="inlineStr">
        <is>
          <t>Online</t>
        </is>
      </c>
      <c r="K4722" s="2" t="n">
        <v>5</v>
      </c>
      <c r="L4722" s="3" t="n">
        <v>568.75</v>
      </c>
      <c r="M4722" s="4" t="n">
        <v>0.05</v>
      </c>
      <c r="N4722" s="3" t="n">
        <v>1761.05</v>
      </c>
      <c r="O4722" s="3">
        <f>K4722*L4722*(1-M4722)</f>
        <v/>
      </c>
      <c r="P4722" s="3">
        <f>O4722-N4722</f>
        <v/>
      </c>
      <c r="Q4722" s="5">
        <f>IFERROR(P4722/O4722,0)</f>
        <v/>
      </c>
      <c r="R4722" s="2">
        <f>TEXT(DATEVALUE(B4722),"mmm")</f>
        <v/>
      </c>
      <c r="S4722" s="2">
        <f>TEXT(DATEVALUE(B4722),"yyyy-mm")</f>
        <v/>
      </c>
    </row>
    <row r="4723">
      <c r="A4723" s="2" t="inlineStr">
        <is>
          <t>O000096</t>
        </is>
      </c>
      <c r="B4723" s="2" t="inlineStr">
        <is>
          <t>2025-12-11</t>
        </is>
      </c>
      <c r="C4723" s="2" t="inlineStr">
        <is>
          <t>C0594</t>
        </is>
      </c>
      <c r="D4723" s="2" t="inlineStr">
        <is>
          <t>P0026</t>
        </is>
      </c>
      <c r="E4723" s="2" t="inlineStr">
        <is>
          <t>Shampoo</t>
        </is>
      </c>
      <c r="F4723" s="2" t="inlineStr">
        <is>
          <t>Beauty</t>
        </is>
      </c>
      <c r="G4723" s="2" t="inlineStr">
        <is>
          <t>North</t>
        </is>
      </c>
      <c r="H4723" s="2" t="inlineStr">
        <is>
          <t>Uttar Pradesh</t>
        </is>
      </c>
      <c r="I4723" s="2" t="inlineStr">
        <is>
          <t>Varanasi</t>
        </is>
      </c>
      <c r="J4723" s="2" t="inlineStr">
        <is>
          <t>Store</t>
        </is>
      </c>
      <c r="K4723" s="2" t="n">
        <v>2</v>
      </c>
      <c r="L4723" s="3" t="n">
        <v>923.54</v>
      </c>
      <c r="M4723" s="4" t="n">
        <v>0.1</v>
      </c>
      <c r="N4723" s="3" t="n">
        <v>1012.47</v>
      </c>
      <c r="O4723" s="3">
        <f>K4723*L4723*(1-M4723)</f>
        <v/>
      </c>
      <c r="P4723" s="3">
        <f>O4723-N4723</f>
        <v/>
      </c>
      <c r="Q4723" s="5">
        <f>IFERROR(P4723/O4723,0)</f>
        <v/>
      </c>
      <c r="R4723" s="2">
        <f>TEXT(DATEVALUE(B4723),"mmm")</f>
        <v/>
      </c>
      <c r="S4723" s="2">
        <f>TEXT(DATEVALUE(B4723),"yyyy-mm")</f>
        <v/>
      </c>
    </row>
    <row r="4724">
      <c r="A4724" s="2" t="inlineStr">
        <is>
          <t>O000029</t>
        </is>
      </c>
      <c r="B4724" s="2" t="inlineStr">
        <is>
          <t>2025-12-11</t>
        </is>
      </c>
      <c r="C4724" s="2" t="inlineStr">
        <is>
          <t>C0239</t>
        </is>
      </c>
      <c r="D4724" s="2" t="inlineStr">
        <is>
          <t>P0020</t>
        </is>
      </c>
      <c r="E4724" s="2" t="inlineStr">
        <is>
          <t>Sneakers</t>
        </is>
      </c>
      <c r="F4724" s="2" t="inlineStr">
        <is>
          <t>Fashion</t>
        </is>
      </c>
      <c r="G4724" s="2" t="inlineStr">
        <is>
          <t>West</t>
        </is>
      </c>
      <c r="H4724" s="2" t="inlineStr">
        <is>
          <t>Gujarat</t>
        </is>
      </c>
      <c r="I4724" s="2" t="inlineStr">
        <is>
          <t>Surat</t>
        </is>
      </c>
      <c r="J4724" s="2" t="inlineStr">
        <is>
          <t>Store</t>
        </is>
      </c>
      <c r="K4724" s="2" t="n">
        <v>1</v>
      </c>
      <c r="L4724" s="3" t="n">
        <v>1937.76</v>
      </c>
      <c r="M4724" s="4" t="n">
        <v>0.1</v>
      </c>
      <c r="N4724" s="3" t="n">
        <v>1474.05</v>
      </c>
      <c r="O4724" s="3">
        <f>K4724*L4724*(1-M4724)</f>
        <v/>
      </c>
      <c r="P4724" s="3">
        <f>O4724-N4724</f>
        <v/>
      </c>
      <c r="Q4724" s="5">
        <f>IFERROR(P4724/O4724,0)</f>
        <v/>
      </c>
      <c r="R4724" s="2">
        <f>TEXT(DATEVALUE(B4724),"mmm")</f>
        <v/>
      </c>
      <c r="S4724" s="2">
        <f>TEXT(DATEVALUE(B4724),"yyyy-mm")</f>
        <v/>
      </c>
    </row>
    <row r="4725">
      <c r="A4725" s="2" t="inlineStr">
        <is>
          <t>O002225</t>
        </is>
      </c>
      <c r="B4725" s="2" t="inlineStr">
        <is>
          <t>2025-12-11</t>
        </is>
      </c>
      <c r="C4725" s="2" t="inlineStr">
        <is>
          <t>C0565</t>
        </is>
      </c>
      <c r="D4725" s="2" t="inlineStr">
        <is>
          <t>P0007</t>
        </is>
      </c>
      <c r="E4725" s="2" t="inlineStr">
        <is>
          <t>Wireless Mouse</t>
        </is>
      </c>
      <c r="F4725" s="2" t="inlineStr">
        <is>
          <t>Electronics</t>
        </is>
      </c>
      <c r="G4725" s="2" t="inlineStr">
        <is>
          <t>West</t>
        </is>
      </c>
      <c r="H4725" s="2" t="inlineStr">
        <is>
          <t>Gujarat</t>
        </is>
      </c>
      <c r="I4725" s="2" t="inlineStr">
        <is>
          <t>Ahmedabad</t>
        </is>
      </c>
      <c r="J4725" s="2" t="inlineStr">
        <is>
          <t>Online</t>
        </is>
      </c>
      <c r="K4725" s="2" t="n">
        <v>3</v>
      </c>
      <c r="L4725" s="3" t="n">
        <v>1026.59</v>
      </c>
      <c r="M4725" s="4" t="n">
        <v>0.05</v>
      </c>
      <c r="N4725" s="3" t="n">
        <v>1884.66</v>
      </c>
      <c r="O4725" s="3">
        <f>K4725*L4725*(1-M4725)</f>
        <v/>
      </c>
      <c r="P4725" s="3">
        <f>O4725-N4725</f>
        <v/>
      </c>
      <c r="Q4725" s="5">
        <f>IFERROR(P4725/O4725,0)</f>
        <v/>
      </c>
      <c r="R4725" s="2">
        <f>TEXT(DATEVALUE(B4725),"mmm")</f>
        <v/>
      </c>
      <c r="S4725" s="2">
        <f>TEXT(DATEVALUE(B4725),"yyyy-mm")</f>
        <v/>
      </c>
    </row>
    <row r="4726">
      <c r="A4726" s="2" t="inlineStr">
        <is>
          <t>O004761</t>
        </is>
      </c>
      <c r="B4726" s="2" t="inlineStr">
        <is>
          <t>2025-12-12</t>
        </is>
      </c>
      <c r="C4726" s="2" t="inlineStr">
        <is>
          <t>C0437</t>
        </is>
      </c>
      <c r="D4726" s="2" t="inlineStr">
        <is>
          <t>P0001</t>
        </is>
      </c>
      <c r="E4726" s="2" t="inlineStr">
        <is>
          <t>Wireless Headphones</t>
        </is>
      </c>
      <c r="F4726" s="2" t="inlineStr">
        <is>
          <t>Electronics</t>
        </is>
      </c>
      <c r="G4726" s="2" t="inlineStr">
        <is>
          <t>South</t>
        </is>
      </c>
      <c r="H4726" s="2" t="inlineStr">
        <is>
          <t>Karnataka</t>
        </is>
      </c>
      <c r="I4726" s="2" t="inlineStr">
        <is>
          <t>Mysuru</t>
        </is>
      </c>
      <c r="J4726" s="2" t="inlineStr">
        <is>
          <t>Online</t>
        </is>
      </c>
      <c r="K4726" s="2" t="n">
        <v>1</v>
      </c>
      <c r="L4726" s="3" t="n">
        <v>1351.63</v>
      </c>
      <c r="M4726" s="4" t="n">
        <v>0.05</v>
      </c>
      <c r="N4726" s="3" t="n">
        <v>702.28</v>
      </c>
      <c r="O4726" s="3">
        <f>K4726*L4726*(1-M4726)</f>
        <v/>
      </c>
      <c r="P4726" s="3">
        <f>O4726-N4726</f>
        <v/>
      </c>
      <c r="Q4726" s="5">
        <f>IFERROR(P4726/O4726,0)</f>
        <v/>
      </c>
      <c r="R4726" s="2">
        <f>TEXT(DATEVALUE(B4726),"mmm")</f>
        <v/>
      </c>
      <c r="S4726" s="2">
        <f>TEXT(DATEVALUE(B4726),"yyyy-mm")</f>
        <v/>
      </c>
    </row>
    <row r="4727">
      <c r="A4727" s="2" t="inlineStr">
        <is>
          <t>O004037</t>
        </is>
      </c>
      <c r="B4727" s="2" t="inlineStr">
        <is>
          <t>2025-12-12</t>
        </is>
      </c>
      <c r="C4727" s="2" t="inlineStr">
        <is>
          <t>C0451</t>
        </is>
      </c>
      <c r="D4727" s="2" t="inlineStr">
        <is>
          <t>P0020</t>
        </is>
      </c>
      <c r="E4727" s="2" t="inlineStr">
        <is>
          <t>Sneakers</t>
        </is>
      </c>
      <c r="F4727" s="2" t="inlineStr">
        <is>
          <t>Fashion</t>
        </is>
      </c>
      <c r="G4727" s="2" t="inlineStr">
        <is>
          <t>North</t>
        </is>
      </c>
      <c r="H4727" s="2" t="inlineStr">
        <is>
          <t>Punjab</t>
        </is>
      </c>
      <c r="I4727" s="2" t="inlineStr">
        <is>
          <t>Amritsar</t>
        </is>
      </c>
      <c r="J4727" s="2" t="inlineStr">
        <is>
          <t>Store</t>
        </is>
      </c>
      <c r="K4727" s="2" t="n">
        <v>3</v>
      </c>
      <c r="L4727" s="3" t="n">
        <v>1941.9</v>
      </c>
      <c r="M4727" s="4" t="n">
        <v>0.1</v>
      </c>
      <c r="N4727" s="3" t="n">
        <v>4392.89</v>
      </c>
      <c r="O4727" s="3">
        <f>K4727*L4727*(1-M4727)</f>
        <v/>
      </c>
      <c r="P4727" s="3">
        <f>O4727-N4727</f>
        <v/>
      </c>
      <c r="Q4727" s="5">
        <f>IFERROR(P4727/O4727,0)</f>
        <v/>
      </c>
      <c r="R4727" s="2">
        <f>TEXT(DATEVALUE(B4727),"mmm")</f>
        <v/>
      </c>
      <c r="S4727" s="2">
        <f>TEXT(DATEVALUE(B4727),"yyyy-mm")</f>
        <v/>
      </c>
    </row>
    <row r="4728">
      <c r="A4728" s="2" t="inlineStr">
        <is>
          <t>O003813</t>
        </is>
      </c>
      <c r="B4728" s="2" t="inlineStr">
        <is>
          <t>2025-12-12</t>
        </is>
      </c>
      <c r="C4728" s="2" t="inlineStr">
        <is>
          <t>C0433</t>
        </is>
      </c>
      <c r="D4728" s="2" t="inlineStr">
        <is>
          <t>P0007</t>
        </is>
      </c>
      <c r="E4728" s="2" t="inlineStr">
        <is>
          <t>Wireless Mouse</t>
        </is>
      </c>
      <c r="F4728" s="2" t="inlineStr">
        <is>
          <t>Electronics</t>
        </is>
      </c>
      <c r="G4728" s="2" t="inlineStr">
        <is>
          <t>North</t>
        </is>
      </c>
      <c r="H4728" s="2" t="inlineStr">
        <is>
          <t>Punjab</t>
        </is>
      </c>
      <c r="I4728" s="2" t="inlineStr">
        <is>
          <t>Ludhiana</t>
        </is>
      </c>
      <c r="J4728" s="2" t="inlineStr">
        <is>
          <t>Online</t>
        </is>
      </c>
      <c r="K4728" s="2" t="n">
        <v>5</v>
      </c>
      <c r="L4728" s="3" t="n">
        <v>1002.92</v>
      </c>
      <c r="M4728" s="4" t="n">
        <v>0.1</v>
      </c>
      <c r="N4728" s="3" t="n">
        <v>3195.6</v>
      </c>
      <c r="O4728" s="3">
        <f>K4728*L4728*(1-M4728)</f>
        <v/>
      </c>
      <c r="P4728" s="3">
        <f>O4728-N4728</f>
        <v/>
      </c>
      <c r="Q4728" s="5">
        <f>IFERROR(P4728/O4728,0)</f>
        <v/>
      </c>
      <c r="R4728" s="2">
        <f>TEXT(DATEVALUE(B4728),"mmm")</f>
        <v/>
      </c>
      <c r="S4728" s="2">
        <f>TEXT(DATEVALUE(B4728),"yyyy-mm")</f>
        <v/>
      </c>
    </row>
    <row r="4729">
      <c r="A4729" s="2" t="inlineStr">
        <is>
          <t>O001161</t>
        </is>
      </c>
      <c r="B4729" s="2" t="inlineStr">
        <is>
          <t>2025-12-12</t>
        </is>
      </c>
      <c r="C4729" s="2" t="inlineStr">
        <is>
          <t>C0479</t>
        </is>
      </c>
      <c r="D4729" s="2" t="inlineStr">
        <is>
          <t>P0004</t>
        </is>
      </c>
      <c r="E4729" s="2" t="inlineStr">
        <is>
          <t>USB-C Hub</t>
        </is>
      </c>
      <c r="F4729" s="2" t="inlineStr">
        <is>
          <t>Electronics</t>
        </is>
      </c>
      <c r="G4729" s="2" t="inlineStr">
        <is>
          <t>South</t>
        </is>
      </c>
      <c r="H4729" s="2" t="inlineStr">
        <is>
          <t>Tamil Nadu</t>
        </is>
      </c>
      <c r="I4729" s="2" t="inlineStr">
        <is>
          <t>Madurai</t>
        </is>
      </c>
      <c r="J4729" s="2" t="inlineStr">
        <is>
          <t>Store</t>
        </is>
      </c>
      <c r="K4729" s="2" t="n">
        <v>1</v>
      </c>
      <c r="L4729" s="3" t="n">
        <v>1250.22</v>
      </c>
      <c r="M4729" s="4" t="n">
        <v>0.15</v>
      </c>
      <c r="N4729" s="3" t="n">
        <v>930.4299999999999</v>
      </c>
      <c r="O4729" s="3">
        <f>K4729*L4729*(1-M4729)</f>
        <v/>
      </c>
      <c r="P4729" s="3">
        <f>O4729-N4729</f>
        <v/>
      </c>
      <c r="Q4729" s="5">
        <f>IFERROR(P4729/O4729,0)</f>
        <v/>
      </c>
      <c r="R4729" s="2">
        <f>TEXT(DATEVALUE(B4729),"mmm")</f>
        <v/>
      </c>
      <c r="S4729" s="2">
        <f>TEXT(DATEVALUE(B4729),"yyyy-mm")</f>
        <v/>
      </c>
    </row>
    <row r="4730">
      <c r="A4730" s="2" t="inlineStr">
        <is>
          <t>O001132</t>
        </is>
      </c>
      <c r="B4730" s="2" t="inlineStr">
        <is>
          <t>2025-12-12</t>
        </is>
      </c>
      <c r="C4730" s="2" t="inlineStr">
        <is>
          <t>C0046</t>
        </is>
      </c>
      <c r="D4730" s="2" t="inlineStr">
        <is>
          <t>P0011</t>
        </is>
      </c>
      <c r="E4730" s="2" t="inlineStr">
        <is>
          <t>Cookware Set</t>
        </is>
      </c>
      <c r="F4730" s="2" t="inlineStr">
        <is>
          <t>Home &amp; Kitchen</t>
        </is>
      </c>
      <c r="G4730" s="2" t="inlineStr">
        <is>
          <t>East</t>
        </is>
      </c>
      <c r="H4730" s="2" t="inlineStr">
        <is>
          <t>West Bengal</t>
        </is>
      </c>
      <c r="I4730" s="2" t="inlineStr">
        <is>
          <t>Kolkata</t>
        </is>
      </c>
      <c r="J4730" s="2" t="inlineStr">
        <is>
          <t>Store</t>
        </is>
      </c>
      <c r="K4730" s="2" t="n">
        <v>2</v>
      </c>
      <c r="L4730" s="3" t="n">
        <v>679.34</v>
      </c>
      <c r="M4730" s="4" t="n">
        <v>0.2</v>
      </c>
      <c r="N4730" s="3" t="n">
        <v>961.3099999999999</v>
      </c>
      <c r="O4730" s="3">
        <f>K4730*L4730*(1-M4730)</f>
        <v/>
      </c>
      <c r="P4730" s="3">
        <f>O4730-N4730</f>
        <v/>
      </c>
      <c r="Q4730" s="5">
        <f>IFERROR(P4730/O4730,0)</f>
        <v/>
      </c>
      <c r="R4730" s="2">
        <f>TEXT(DATEVALUE(B4730),"mmm")</f>
        <v/>
      </c>
      <c r="S4730" s="2">
        <f>TEXT(DATEVALUE(B4730),"yyyy-mm")</f>
        <v/>
      </c>
    </row>
    <row r="4731">
      <c r="A4731" s="2" t="inlineStr">
        <is>
          <t>O000853</t>
        </is>
      </c>
      <c r="B4731" s="2" t="inlineStr">
        <is>
          <t>2025-12-12</t>
        </is>
      </c>
      <c r="C4731" s="2" t="inlineStr">
        <is>
          <t>C0736</t>
        </is>
      </c>
      <c r="D4731" s="2" t="inlineStr">
        <is>
          <t>P0009</t>
        </is>
      </c>
      <c r="E4731" s="2" t="inlineStr">
        <is>
          <t>Electric Kettle</t>
        </is>
      </c>
      <c r="F4731" s="2" t="inlineStr">
        <is>
          <t>Home &amp; Kitchen</t>
        </is>
      </c>
      <c r="G4731" s="2" t="inlineStr">
        <is>
          <t>East</t>
        </is>
      </c>
      <c r="H4731" s="2" t="inlineStr">
        <is>
          <t>Bihar</t>
        </is>
      </c>
      <c r="I4731" s="2" t="inlineStr">
        <is>
          <t>Gaya</t>
        </is>
      </c>
      <c r="J4731" s="2" t="inlineStr">
        <is>
          <t>Online</t>
        </is>
      </c>
      <c r="K4731" s="2" t="n">
        <v>2</v>
      </c>
      <c r="L4731" s="3" t="n">
        <v>2156.69</v>
      </c>
      <c r="M4731" s="4" t="n">
        <v>0.05</v>
      </c>
      <c r="N4731" s="3" t="n">
        <v>2213.59</v>
      </c>
      <c r="O4731" s="3">
        <f>K4731*L4731*(1-M4731)</f>
        <v/>
      </c>
      <c r="P4731" s="3">
        <f>O4731-N4731</f>
        <v/>
      </c>
      <c r="Q4731" s="5">
        <f>IFERROR(P4731/O4731,0)</f>
        <v/>
      </c>
      <c r="R4731" s="2">
        <f>TEXT(DATEVALUE(B4731),"mmm")</f>
        <v/>
      </c>
      <c r="S4731" s="2">
        <f>TEXT(DATEVALUE(B4731),"yyyy-mm")</f>
        <v/>
      </c>
    </row>
    <row r="4732">
      <c r="A4732" s="2" t="inlineStr">
        <is>
          <t>O004734</t>
        </is>
      </c>
      <c r="B4732" s="2" t="inlineStr">
        <is>
          <t>2025-12-12</t>
        </is>
      </c>
      <c r="C4732" s="2" t="inlineStr">
        <is>
          <t>C0319</t>
        </is>
      </c>
      <c r="D4732" s="2" t="inlineStr">
        <is>
          <t>P0014</t>
        </is>
      </c>
      <c r="E4732" s="2" t="inlineStr">
        <is>
          <t>Coffee Maker</t>
        </is>
      </c>
      <c r="F4732" s="2" t="inlineStr">
        <is>
          <t>Home &amp; Kitchen</t>
        </is>
      </c>
      <c r="G4732" s="2" t="inlineStr">
        <is>
          <t>South</t>
        </is>
      </c>
      <c r="H4732" s="2" t="inlineStr">
        <is>
          <t>Kerala</t>
        </is>
      </c>
      <c r="I4732" s="2" t="inlineStr">
        <is>
          <t>Thiruvananthapuram</t>
        </is>
      </c>
      <c r="J4732" s="2" t="inlineStr">
        <is>
          <t>Store</t>
        </is>
      </c>
      <c r="K4732" s="2" t="n">
        <v>2</v>
      </c>
      <c r="L4732" s="3" t="n">
        <v>1026.05</v>
      </c>
      <c r="M4732" s="4" t="n">
        <v>0.15</v>
      </c>
      <c r="N4732" s="3" t="n">
        <v>1562.76</v>
      </c>
      <c r="O4732" s="3">
        <f>K4732*L4732*(1-M4732)</f>
        <v/>
      </c>
      <c r="P4732" s="3">
        <f>O4732-N4732</f>
        <v/>
      </c>
      <c r="Q4732" s="5">
        <f>IFERROR(P4732/O4732,0)</f>
        <v/>
      </c>
      <c r="R4732" s="2">
        <f>TEXT(DATEVALUE(B4732),"mmm")</f>
        <v/>
      </c>
      <c r="S4732" s="2">
        <f>TEXT(DATEVALUE(B4732),"yyyy-mm")</f>
        <v/>
      </c>
    </row>
    <row r="4733">
      <c r="A4733" s="2" t="inlineStr">
        <is>
          <t>O000438</t>
        </is>
      </c>
      <c r="B4733" s="2" t="inlineStr">
        <is>
          <t>2025-12-12</t>
        </is>
      </c>
      <c r="C4733" s="2" t="inlineStr">
        <is>
          <t>C0726</t>
        </is>
      </c>
      <c r="D4733" s="2" t="inlineStr">
        <is>
          <t>P0023</t>
        </is>
      </c>
      <c r="E4733" s="2" t="inlineStr">
        <is>
          <t>Skin Care Kit</t>
        </is>
      </c>
      <c r="F4733" s="2" t="inlineStr">
        <is>
          <t>Beauty</t>
        </is>
      </c>
      <c r="G4733" s="2" t="inlineStr">
        <is>
          <t>South</t>
        </is>
      </c>
      <c r="H4733" s="2" t="inlineStr">
        <is>
          <t>Tamil Nadu</t>
        </is>
      </c>
      <c r="I4733" s="2" t="inlineStr">
        <is>
          <t>Chennai</t>
        </is>
      </c>
      <c r="J4733" s="2" t="inlineStr">
        <is>
          <t>Online</t>
        </is>
      </c>
      <c r="K4733" s="2" t="n">
        <v>2</v>
      </c>
      <c r="L4733" s="3" t="n">
        <v>1373.02</v>
      </c>
      <c r="M4733" s="4" t="n">
        <v>0.05</v>
      </c>
      <c r="N4733" s="3" t="n">
        <v>1846.67</v>
      </c>
      <c r="O4733" s="3">
        <f>K4733*L4733*(1-M4733)</f>
        <v/>
      </c>
      <c r="P4733" s="3">
        <f>O4733-N4733</f>
        <v/>
      </c>
      <c r="Q4733" s="5">
        <f>IFERROR(P4733/O4733,0)</f>
        <v/>
      </c>
      <c r="R4733" s="2">
        <f>TEXT(DATEVALUE(B4733),"mmm")</f>
        <v/>
      </c>
      <c r="S4733" s="2">
        <f>TEXT(DATEVALUE(B4733),"yyyy-mm")</f>
        <v/>
      </c>
    </row>
    <row r="4734">
      <c r="A4734" s="2" t="inlineStr">
        <is>
          <t>O000261</t>
        </is>
      </c>
      <c r="B4734" s="2" t="inlineStr">
        <is>
          <t>2025-12-12</t>
        </is>
      </c>
      <c r="C4734" s="2" t="inlineStr">
        <is>
          <t>C0412</t>
        </is>
      </c>
      <c r="D4734" s="2" t="inlineStr">
        <is>
          <t>P0016</t>
        </is>
      </c>
      <c r="E4734" s="2" t="inlineStr">
        <is>
          <t>Casual Shirt</t>
        </is>
      </c>
      <c r="F4734" s="2" t="inlineStr">
        <is>
          <t>Fashion</t>
        </is>
      </c>
      <c r="G4734" s="2" t="inlineStr">
        <is>
          <t>South</t>
        </is>
      </c>
      <c r="H4734" s="2" t="inlineStr">
        <is>
          <t>Kerala</t>
        </is>
      </c>
      <c r="I4734" s="2" t="inlineStr">
        <is>
          <t>Kochi</t>
        </is>
      </c>
      <c r="J4734" s="2" t="inlineStr">
        <is>
          <t>Store</t>
        </is>
      </c>
      <c r="K4734" s="2" t="n">
        <v>1</v>
      </c>
      <c r="L4734" s="3" t="n">
        <v>1311.49</v>
      </c>
      <c r="M4734" s="4" t="n">
        <v>0</v>
      </c>
      <c r="N4734" s="3" t="n">
        <v>929.5599999999999</v>
      </c>
      <c r="O4734" s="3">
        <f>K4734*L4734*(1-M4734)</f>
        <v/>
      </c>
      <c r="P4734" s="3">
        <f>O4734-N4734</f>
        <v/>
      </c>
      <c r="Q4734" s="5">
        <f>IFERROR(P4734/O4734,0)</f>
        <v/>
      </c>
      <c r="R4734" s="2">
        <f>TEXT(DATEVALUE(B4734),"mmm")</f>
        <v/>
      </c>
      <c r="S4734" s="2">
        <f>TEXT(DATEVALUE(B4734),"yyyy-mm")</f>
        <v/>
      </c>
    </row>
    <row r="4735">
      <c r="A4735" s="2" t="inlineStr">
        <is>
          <t>O000243</t>
        </is>
      </c>
      <c r="B4735" s="2" t="inlineStr">
        <is>
          <t>2025-12-12</t>
        </is>
      </c>
      <c r="C4735" s="2" t="inlineStr">
        <is>
          <t>C0743</t>
        </is>
      </c>
      <c r="D4735" s="2" t="inlineStr">
        <is>
          <t>P0021</t>
        </is>
      </c>
      <c r="E4735" s="2" t="inlineStr">
        <is>
          <t>Wallet</t>
        </is>
      </c>
      <c r="F4735" s="2" t="inlineStr">
        <is>
          <t>Fashion</t>
        </is>
      </c>
      <c r="G4735" s="2" t="inlineStr">
        <is>
          <t>West</t>
        </is>
      </c>
      <c r="H4735" s="2" t="inlineStr">
        <is>
          <t>Maharashtra</t>
        </is>
      </c>
      <c r="I4735" s="2" t="inlineStr">
        <is>
          <t>Mumbai</t>
        </is>
      </c>
      <c r="J4735" s="2" t="inlineStr">
        <is>
          <t>Store</t>
        </is>
      </c>
      <c r="K4735" s="2" t="n">
        <v>2</v>
      </c>
      <c r="L4735" s="3" t="n">
        <v>2053.03</v>
      </c>
      <c r="M4735" s="4" t="n">
        <v>0</v>
      </c>
      <c r="N4735" s="3" t="n">
        <v>2429.91</v>
      </c>
      <c r="O4735" s="3">
        <f>K4735*L4735*(1-M4735)</f>
        <v/>
      </c>
      <c r="P4735" s="3">
        <f>O4735-N4735</f>
        <v/>
      </c>
      <c r="Q4735" s="5">
        <f>IFERROR(P4735/O4735,0)</f>
        <v/>
      </c>
      <c r="R4735" s="2">
        <f>TEXT(DATEVALUE(B4735),"mmm")</f>
        <v/>
      </c>
      <c r="S4735" s="2">
        <f>TEXT(DATEVALUE(B4735),"yyyy-mm")</f>
        <v/>
      </c>
    </row>
    <row r="4736">
      <c r="A4736" s="2" t="inlineStr">
        <is>
          <t>O000136</t>
        </is>
      </c>
      <c r="B4736" s="2" t="inlineStr">
        <is>
          <t>2025-12-12</t>
        </is>
      </c>
      <c r="C4736" s="2" t="inlineStr">
        <is>
          <t>C0388</t>
        </is>
      </c>
      <c r="D4736" s="2" t="inlineStr">
        <is>
          <t>P0011</t>
        </is>
      </c>
      <c r="E4736" s="2" t="inlineStr">
        <is>
          <t>Cookware Set</t>
        </is>
      </c>
      <c r="F4736" s="2" t="inlineStr">
        <is>
          <t>Home &amp; Kitchen</t>
        </is>
      </c>
      <c r="G4736" s="2" t="inlineStr">
        <is>
          <t>East</t>
        </is>
      </c>
      <c r="H4736" s="2" t="inlineStr">
        <is>
          <t>Odisha</t>
        </is>
      </c>
      <c r="I4736" s="2" t="inlineStr">
        <is>
          <t>Bhubaneswar</t>
        </is>
      </c>
      <c r="J4736" s="2" t="inlineStr">
        <is>
          <t>Store</t>
        </is>
      </c>
      <c r="K4736" s="2" t="n">
        <v>1</v>
      </c>
      <c r="L4736" s="3" t="n">
        <v>696.49</v>
      </c>
      <c r="M4736" s="4" t="n">
        <v>0.15</v>
      </c>
      <c r="N4736" s="3" t="n">
        <v>484.7</v>
      </c>
      <c r="O4736" s="3">
        <f>K4736*L4736*(1-M4736)</f>
        <v/>
      </c>
      <c r="P4736" s="3">
        <f>O4736-N4736</f>
        <v/>
      </c>
      <c r="Q4736" s="5">
        <f>IFERROR(P4736/O4736,0)</f>
        <v/>
      </c>
      <c r="R4736" s="2">
        <f>TEXT(DATEVALUE(B4736),"mmm")</f>
        <v/>
      </c>
      <c r="S4736" s="2">
        <f>TEXT(DATEVALUE(B4736),"yyyy-mm")</f>
        <v/>
      </c>
    </row>
    <row r="4737">
      <c r="A4737" s="2" t="inlineStr">
        <is>
          <t>O000054</t>
        </is>
      </c>
      <c r="B4737" s="2" t="inlineStr">
        <is>
          <t>2025-12-12</t>
        </is>
      </c>
      <c r="C4737" s="2" t="inlineStr">
        <is>
          <t>C0561</t>
        </is>
      </c>
      <c r="D4737" s="2" t="inlineStr">
        <is>
          <t>P0009</t>
        </is>
      </c>
      <c r="E4737" s="2" t="inlineStr">
        <is>
          <t>Electric Kettle</t>
        </is>
      </c>
      <c r="F4737" s="2" t="inlineStr">
        <is>
          <t>Home &amp; Kitchen</t>
        </is>
      </c>
      <c r="G4737" s="2" t="inlineStr">
        <is>
          <t>South</t>
        </is>
      </c>
      <c r="H4737" s="2" t="inlineStr">
        <is>
          <t>Karnataka</t>
        </is>
      </c>
      <c r="I4737" s="2" t="inlineStr">
        <is>
          <t>Mysuru</t>
        </is>
      </c>
      <c r="J4737" s="2" t="inlineStr">
        <is>
          <t>Online</t>
        </is>
      </c>
      <c r="K4737" s="2" t="n">
        <v>2</v>
      </c>
      <c r="L4737" s="3" t="n">
        <v>2183.32</v>
      </c>
      <c r="M4737" s="4" t="n">
        <v>0</v>
      </c>
      <c r="N4737" s="3" t="n">
        <v>2311.03</v>
      </c>
      <c r="O4737" s="3">
        <f>K4737*L4737*(1-M4737)</f>
        <v/>
      </c>
      <c r="P4737" s="3">
        <f>O4737-N4737</f>
        <v/>
      </c>
      <c r="Q4737" s="5">
        <f>IFERROR(P4737/O4737,0)</f>
        <v/>
      </c>
      <c r="R4737" s="2">
        <f>TEXT(DATEVALUE(B4737),"mmm")</f>
        <v/>
      </c>
      <c r="S4737" s="2">
        <f>TEXT(DATEVALUE(B4737),"yyyy-mm")</f>
        <v/>
      </c>
    </row>
    <row r="4738">
      <c r="A4738" s="2" t="inlineStr">
        <is>
          <t>O000636</t>
        </is>
      </c>
      <c r="B4738" s="2" t="inlineStr">
        <is>
          <t>2025-12-12</t>
        </is>
      </c>
      <c r="C4738" s="2" t="inlineStr">
        <is>
          <t>C0687</t>
        </is>
      </c>
      <c r="D4738" s="2" t="inlineStr">
        <is>
          <t>P0022</t>
        </is>
      </c>
      <c r="E4738" s="2" t="inlineStr">
        <is>
          <t>Face Wash</t>
        </is>
      </c>
      <c r="F4738" s="2" t="inlineStr">
        <is>
          <t>Beauty</t>
        </is>
      </c>
      <c r="G4738" s="2" t="inlineStr">
        <is>
          <t>East</t>
        </is>
      </c>
      <c r="H4738" s="2" t="inlineStr">
        <is>
          <t>West Bengal</t>
        </is>
      </c>
      <c r="I4738" s="2" t="inlineStr">
        <is>
          <t>Durgapur</t>
        </is>
      </c>
      <c r="J4738" s="2" t="inlineStr">
        <is>
          <t>Online</t>
        </is>
      </c>
      <c r="K4738" s="2" t="n">
        <v>1</v>
      </c>
      <c r="L4738" s="3" t="n">
        <v>546.5</v>
      </c>
      <c r="M4738" s="4" t="n">
        <v>0</v>
      </c>
      <c r="N4738" s="3" t="n">
        <v>353.19</v>
      </c>
      <c r="O4738" s="3">
        <f>K4738*L4738*(1-M4738)</f>
        <v/>
      </c>
      <c r="P4738" s="3">
        <f>O4738-N4738</f>
        <v/>
      </c>
      <c r="Q4738" s="5">
        <f>IFERROR(P4738/O4738,0)</f>
        <v/>
      </c>
      <c r="R4738" s="2">
        <f>TEXT(DATEVALUE(B4738),"mmm")</f>
        <v/>
      </c>
      <c r="S4738" s="2">
        <f>TEXT(DATEVALUE(B4738),"yyyy-mm")</f>
        <v/>
      </c>
    </row>
    <row r="4739">
      <c r="A4739" s="2" t="inlineStr">
        <is>
          <t>O004827</t>
        </is>
      </c>
      <c r="B4739" s="2" t="inlineStr">
        <is>
          <t>2025-12-13</t>
        </is>
      </c>
      <c r="C4739" s="2" t="inlineStr">
        <is>
          <t>C0662</t>
        </is>
      </c>
      <c r="D4739" s="2" t="inlineStr">
        <is>
          <t>P0014</t>
        </is>
      </c>
      <c r="E4739" s="2" t="inlineStr">
        <is>
          <t>Coffee Maker</t>
        </is>
      </c>
      <c r="F4739" s="2" t="inlineStr">
        <is>
          <t>Home &amp; Kitchen</t>
        </is>
      </c>
      <c r="G4739" s="2" t="inlineStr">
        <is>
          <t>West</t>
        </is>
      </c>
      <c r="H4739" s="2" t="inlineStr">
        <is>
          <t>Goa</t>
        </is>
      </c>
      <c r="I4739" s="2" t="inlineStr">
        <is>
          <t>Panaji</t>
        </is>
      </c>
      <c r="J4739" s="2" t="inlineStr">
        <is>
          <t>Store</t>
        </is>
      </c>
      <c r="K4739" s="2" t="n">
        <v>1</v>
      </c>
      <c r="L4739" s="3" t="n">
        <v>1060.11</v>
      </c>
      <c r="M4739" s="4" t="n">
        <v>0.05</v>
      </c>
      <c r="N4739" s="3" t="n">
        <v>750.7</v>
      </c>
      <c r="O4739" s="3">
        <f>K4739*L4739*(1-M4739)</f>
        <v/>
      </c>
      <c r="P4739" s="3">
        <f>O4739-N4739</f>
        <v/>
      </c>
      <c r="Q4739" s="5">
        <f>IFERROR(P4739/O4739,0)</f>
        <v/>
      </c>
      <c r="R4739" s="2">
        <f>TEXT(DATEVALUE(B4739),"mmm")</f>
        <v/>
      </c>
      <c r="S4739" s="2">
        <f>TEXT(DATEVALUE(B4739),"yyyy-mm")</f>
        <v/>
      </c>
    </row>
    <row r="4740">
      <c r="A4740" s="2" t="inlineStr">
        <is>
          <t>O004701</t>
        </is>
      </c>
      <c r="B4740" s="2" t="inlineStr">
        <is>
          <t>2025-12-13</t>
        </is>
      </c>
      <c r="C4740" s="2" t="inlineStr">
        <is>
          <t>C0494</t>
        </is>
      </c>
      <c r="D4740" s="2" t="inlineStr">
        <is>
          <t>P0026</t>
        </is>
      </c>
      <c r="E4740" s="2" t="inlineStr">
        <is>
          <t>Shampoo</t>
        </is>
      </c>
      <c r="F4740" s="2" t="inlineStr">
        <is>
          <t>Beauty</t>
        </is>
      </c>
      <c r="G4740" s="2" t="inlineStr">
        <is>
          <t>North</t>
        </is>
      </c>
      <c r="H4740" s="2" t="inlineStr">
        <is>
          <t>Delhi</t>
        </is>
      </c>
      <c r="I4740" s="2" t="inlineStr">
        <is>
          <t>New Delhi</t>
        </is>
      </c>
      <c r="J4740" s="2" t="inlineStr">
        <is>
          <t>Store</t>
        </is>
      </c>
      <c r="K4740" s="2" t="n">
        <v>1</v>
      </c>
      <c r="L4740" s="3" t="n">
        <v>872.76</v>
      </c>
      <c r="M4740" s="4" t="n">
        <v>0.1</v>
      </c>
      <c r="N4740" s="3" t="n">
        <v>527.37</v>
      </c>
      <c r="O4740" s="3">
        <f>K4740*L4740*(1-M4740)</f>
        <v/>
      </c>
      <c r="P4740" s="3">
        <f>O4740-N4740</f>
        <v/>
      </c>
      <c r="Q4740" s="5">
        <f>IFERROR(P4740/O4740,0)</f>
        <v/>
      </c>
      <c r="R4740" s="2">
        <f>TEXT(DATEVALUE(B4740),"mmm")</f>
        <v/>
      </c>
      <c r="S4740" s="2">
        <f>TEXT(DATEVALUE(B4740),"yyyy-mm")</f>
        <v/>
      </c>
    </row>
    <row r="4741">
      <c r="A4741" s="2" t="inlineStr">
        <is>
          <t>O003291</t>
        </is>
      </c>
      <c r="B4741" s="2" t="inlineStr">
        <is>
          <t>2025-12-13</t>
        </is>
      </c>
      <c r="C4741" s="2" t="inlineStr">
        <is>
          <t>C0039</t>
        </is>
      </c>
      <c r="D4741" s="2" t="inlineStr">
        <is>
          <t>P0011</t>
        </is>
      </c>
      <c r="E4741" s="2" t="inlineStr">
        <is>
          <t>Cookware Set</t>
        </is>
      </c>
      <c r="F4741" s="2" t="inlineStr">
        <is>
          <t>Home &amp; Kitchen</t>
        </is>
      </c>
      <c r="G4741" s="2" t="inlineStr">
        <is>
          <t>South</t>
        </is>
      </c>
      <c r="H4741" s="2" t="inlineStr">
        <is>
          <t>Karnataka</t>
        </is>
      </c>
      <c r="I4741" s="2" t="inlineStr">
        <is>
          <t>Mangaluru</t>
        </is>
      </c>
      <c r="J4741" s="2" t="inlineStr">
        <is>
          <t>Online</t>
        </is>
      </c>
      <c r="K4741" s="2" t="n">
        <v>2</v>
      </c>
      <c r="L4741" s="3" t="n">
        <v>684.5599999999999</v>
      </c>
      <c r="M4741" s="4" t="n">
        <v>0.1</v>
      </c>
      <c r="N4741" s="3" t="n">
        <v>920.51</v>
      </c>
      <c r="O4741" s="3">
        <f>K4741*L4741*(1-M4741)</f>
        <v/>
      </c>
      <c r="P4741" s="3">
        <f>O4741-N4741</f>
        <v/>
      </c>
      <c r="Q4741" s="5">
        <f>IFERROR(P4741/O4741,0)</f>
        <v/>
      </c>
      <c r="R4741" s="2">
        <f>TEXT(DATEVALUE(B4741),"mmm")</f>
        <v/>
      </c>
      <c r="S4741" s="2">
        <f>TEXT(DATEVALUE(B4741),"yyyy-mm")</f>
        <v/>
      </c>
    </row>
    <row r="4742">
      <c r="A4742" s="2" t="inlineStr">
        <is>
          <t>O003212</t>
        </is>
      </c>
      <c r="B4742" s="2" t="inlineStr">
        <is>
          <t>2025-12-13</t>
        </is>
      </c>
      <c r="C4742" s="2" t="inlineStr">
        <is>
          <t>C0568</t>
        </is>
      </c>
      <c r="D4742" s="2" t="inlineStr">
        <is>
          <t>P0010</t>
        </is>
      </c>
      <c r="E4742" s="2" t="inlineStr">
        <is>
          <t>Mixer Grinder</t>
        </is>
      </c>
      <c r="F4742" s="2" t="inlineStr">
        <is>
          <t>Home &amp; Kitchen</t>
        </is>
      </c>
      <c r="G4742" s="2" t="inlineStr">
        <is>
          <t>North</t>
        </is>
      </c>
      <c r="H4742" s="2" t="inlineStr">
        <is>
          <t>Delhi</t>
        </is>
      </c>
      <c r="I4742" s="2" t="inlineStr">
        <is>
          <t>New Delhi</t>
        </is>
      </c>
      <c r="J4742" s="2" t="inlineStr">
        <is>
          <t>Online</t>
        </is>
      </c>
      <c r="K4742" s="2" t="n">
        <v>1</v>
      </c>
      <c r="L4742" s="3" t="n">
        <v>1571.34</v>
      </c>
      <c r="M4742" s="4" t="n">
        <v>0.15</v>
      </c>
      <c r="N4742" s="3" t="n">
        <v>1066.04</v>
      </c>
      <c r="O4742" s="3">
        <f>K4742*L4742*(1-M4742)</f>
        <v/>
      </c>
      <c r="P4742" s="3">
        <f>O4742-N4742</f>
        <v/>
      </c>
      <c r="Q4742" s="5">
        <f>IFERROR(P4742/O4742,0)</f>
        <v/>
      </c>
      <c r="R4742" s="2">
        <f>TEXT(DATEVALUE(B4742),"mmm")</f>
        <v/>
      </c>
      <c r="S4742" s="2">
        <f>TEXT(DATEVALUE(B4742),"yyyy-mm")</f>
        <v/>
      </c>
    </row>
    <row r="4743">
      <c r="A4743" s="2" t="inlineStr">
        <is>
          <t>O003061</t>
        </is>
      </c>
      <c r="B4743" s="2" t="inlineStr">
        <is>
          <t>2025-12-13</t>
        </is>
      </c>
      <c r="C4743" s="2" t="inlineStr">
        <is>
          <t>C0358</t>
        </is>
      </c>
      <c r="D4743" s="2" t="inlineStr">
        <is>
          <t>P0031</t>
        </is>
      </c>
      <c r="E4743" s="2" t="inlineStr">
        <is>
          <t>Cricket Bat</t>
        </is>
      </c>
      <c r="F4743" s="2" t="inlineStr">
        <is>
          <t>Sports</t>
        </is>
      </c>
      <c r="G4743" s="2" t="inlineStr">
        <is>
          <t>East</t>
        </is>
      </c>
      <c r="H4743" s="2" t="inlineStr">
        <is>
          <t>West Bengal</t>
        </is>
      </c>
      <c r="I4743" s="2" t="inlineStr">
        <is>
          <t>Kolkata</t>
        </is>
      </c>
      <c r="J4743" s="2" t="inlineStr">
        <is>
          <t>Online</t>
        </is>
      </c>
      <c r="K4743" s="2" t="n">
        <v>2</v>
      </c>
      <c r="L4743" s="3" t="n">
        <v>1394.26</v>
      </c>
      <c r="M4743" s="4" t="n">
        <v>0.2</v>
      </c>
      <c r="N4743" s="3" t="n">
        <v>1908.29</v>
      </c>
      <c r="O4743" s="3">
        <f>K4743*L4743*(1-M4743)</f>
        <v/>
      </c>
      <c r="P4743" s="3">
        <f>O4743-N4743</f>
        <v/>
      </c>
      <c r="Q4743" s="5">
        <f>IFERROR(P4743/O4743,0)</f>
        <v/>
      </c>
      <c r="R4743" s="2">
        <f>TEXT(DATEVALUE(B4743),"mmm")</f>
        <v/>
      </c>
      <c r="S4743" s="2">
        <f>TEXT(DATEVALUE(B4743),"yyyy-mm")</f>
        <v/>
      </c>
    </row>
    <row r="4744">
      <c r="A4744" s="2" t="inlineStr">
        <is>
          <t>O002387</t>
        </is>
      </c>
      <c r="B4744" s="2" t="inlineStr">
        <is>
          <t>2025-12-13</t>
        </is>
      </c>
      <c r="C4744" s="2" t="inlineStr">
        <is>
          <t>C0456</t>
        </is>
      </c>
      <c r="D4744" s="2" t="inlineStr">
        <is>
          <t>P0024</t>
        </is>
      </c>
      <c r="E4744" s="2" t="inlineStr">
        <is>
          <t>Hair Dryer</t>
        </is>
      </c>
      <c r="F4744" s="2" t="inlineStr">
        <is>
          <t>Beauty</t>
        </is>
      </c>
      <c r="G4744" s="2" t="inlineStr">
        <is>
          <t>North</t>
        </is>
      </c>
      <c r="H4744" s="2" t="inlineStr">
        <is>
          <t>Uttar Pradesh</t>
        </is>
      </c>
      <c r="I4744" s="2" t="inlineStr">
        <is>
          <t>Lucknow</t>
        </is>
      </c>
      <c r="J4744" s="2" t="inlineStr">
        <is>
          <t>Store</t>
        </is>
      </c>
      <c r="K4744" s="2" t="n">
        <v>3</v>
      </c>
      <c r="L4744" s="3" t="n">
        <v>975.78</v>
      </c>
      <c r="M4744" s="4" t="n">
        <v>0.1</v>
      </c>
      <c r="N4744" s="3" t="n">
        <v>2254.35</v>
      </c>
      <c r="O4744" s="3">
        <f>K4744*L4744*(1-M4744)</f>
        <v/>
      </c>
      <c r="P4744" s="3">
        <f>O4744-N4744</f>
        <v/>
      </c>
      <c r="Q4744" s="5">
        <f>IFERROR(P4744/O4744,0)</f>
        <v/>
      </c>
      <c r="R4744" s="2">
        <f>TEXT(DATEVALUE(B4744),"mmm")</f>
        <v/>
      </c>
      <c r="S4744" s="2">
        <f>TEXT(DATEVALUE(B4744),"yyyy-mm")</f>
        <v/>
      </c>
    </row>
    <row r="4745">
      <c r="A4745" s="2" t="inlineStr">
        <is>
          <t>O002215</t>
        </is>
      </c>
      <c r="B4745" s="2" t="inlineStr">
        <is>
          <t>2025-12-13</t>
        </is>
      </c>
      <c r="C4745" s="2" t="inlineStr">
        <is>
          <t>C0570</t>
        </is>
      </c>
      <c r="D4745" s="2" t="inlineStr">
        <is>
          <t>P0014</t>
        </is>
      </c>
      <c r="E4745" s="2" t="inlineStr">
        <is>
          <t>Coffee Maker</t>
        </is>
      </c>
      <c r="F4745" s="2" t="inlineStr">
        <is>
          <t>Home &amp; Kitchen</t>
        </is>
      </c>
      <c r="G4745" s="2" t="inlineStr">
        <is>
          <t>East</t>
        </is>
      </c>
      <c r="H4745" s="2" t="inlineStr">
        <is>
          <t>Odisha</t>
        </is>
      </c>
      <c r="I4745" s="2" t="inlineStr">
        <is>
          <t>Bhubaneswar</t>
        </is>
      </c>
      <c r="J4745" s="2" t="inlineStr">
        <is>
          <t>Store</t>
        </is>
      </c>
      <c r="K4745" s="2" t="n">
        <v>2</v>
      </c>
      <c r="L4745" s="3" t="n">
        <v>1036.55</v>
      </c>
      <c r="M4745" s="4" t="n">
        <v>0</v>
      </c>
      <c r="N4745" s="3" t="n">
        <v>1567.92</v>
      </c>
      <c r="O4745" s="3">
        <f>K4745*L4745*(1-M4745)</f>
        <v/>
      </c>
      <c r="P4745" s="3">
        <f>O4745-N4745</f>
        <v/>
      </c>
      <c r="Q4745" s="5">
        <f>IFERROR(P4745/O4745,0)</f>
        <v/>
      </c>
      <c r="R4745" s="2">
        <f>TEXT(DATEVALUE(B4745),"mmm")</f>
        <v/>
      </c>
      <c r="S4745" s="2">
        <f>TEXT(DATEVALUE(B4745),"yyyy-mm")</f>
        <v/>
      </c>
    </row>
    <row r="4746">
      <c r="A4746" s="2" t="inlineStr">
        <is>
          <t>O001627</t>
        </is>
      </c>
      <c r="B4746" s="2" t="inlineStr">
        <is>
          <t>2025-12-13</t>
        </is>
      </c>
      <c r="C4746" s="2" t="inlineStr">
        <is>
          <t>C0260</t>
        </is>
      </c>
      <c r="D4746" s="2" t="inlineStr">
        <is>
          <t>P0010</t>
        </is>
      </c>
      <c r="E4746" s="2" t="inlineStr">
        <is>
          <t>Mixer Grinder</t>
        </is>
      </c>
      <c r="F4746" s="2" t="inlineStr">
        <is>
          <t>Home &amp; Kitchen</t>
        </is>
      </c>
      <c r="G4746" s="2" t="inlineStr">
        <is>
          <t>East</t>
        </is>
      </c>
      <c r="H4746" s="2" t="inlineStr">
        <is>
          <t>West Bengal</t>
        </is>
      </c>
      <c r="I4746" s="2" t="inlineStr">
        <is>
          <t>Durgapur</t>
        </is>
      </c>
      <c r="J4746" s="2" t="inlineStr">
        <is>
          <t>Online</t>
        </is>
      </c>
      <c r="K4746" s="2" t="n">
        <v>1</v>
      </c>
      <c r="L4746" s="3" t="n">
        <v>1613.4</v>
      </c>
      <c r="M4746" s="4" t="n">
        <v>0.05</v>
      </c>
      <c r="N4746" s="3" t="n">
        <v>1070.65</v>
      </c>
      <c r="O4746" s="3">
        <f>K4746*L4746*(1-M4746)</f>
        <v/>
      </c>
      <c r="P4746" s="3">
        <f>O4746-N4746</f>
        <v/>
      </c>
      <c r="Q4746" s="5">
        <f>IFERROR(P4746/O4746,0)</f>
        <v/>
      </c>
      <c r="R4746" s="2">
        <f>TEXT(DATEVALUE(B4746),"mmm")</f>
        <v/>
      </c>
      <c r="S4746" s="2">
        <f>TEXT(DATEVALUE(B4746),"yyyy-mm")</f>
        <v/>
      </c>
    </row>
    <row r="4747">
      <c r="A4747" s="2" t="inlineStr">
        <is>
          <t>O001183</t>
        </is>
      </c>
      <c r="B4747" s="2" t="inlineStr">
        <is>
          <t>2025-12-13</t>
        </is>
      </c>
      <c r="C4747" s="2" t="inlineStr">
        <is>
          <t>C0492</t>
        </is>
      </c>
      <c r="D4747" s="2" t="inlineStr">
        <is>
          <t>P0011</t>
        </is>
      </c>
      <c r="E4747" s="2" t="inlineStr">
        <is>
          <t>Cookware Set</t>
        </is>
      </c>
      <c r="F4747" s="2" t="inlineStr">
        <is>
          <t>Home &amp; Kitchen</t>
        </is>
      </c>
      <c r="G4747" s="2" t="inlineStr">
        <is>
          <t>South</t>
        </is>
      </c>
      <c r="H4747" s="2" t="inlineStr">
        <is>
          <t>Tamil Nadu</t>
        </is>
      </c>
      <c r="I4747" s="2" t="inlineStr">
        <is>
          <t>Chennai</t>
        </is>
      </c>
      <c r="J4747" s="2" t="inlineStr">
        <is>
          <t>Online</t>
        </is>
      </c>
      <c r="K4747" s="2" t="n">
        <v>2</v>
      </c>
      <c r="L4747" s="3" t="n">
        <v>685.51</v>
      </c>
      <c r="M4747" s="4" t="n">
        <v>0.2</v>
      </c>
      <c r="N4747" s="3" t="n">
        <v>930.91</v>
      </c>
      <c r="O4747" s="3">
        <f>K4747*L4747*(1-M4747)</f>
        <v/>
      </c>
      <c r="P4747" s="3">
        <f>O4747-N4747</f>
        <v/>
      </c>
      <c r="Q4747" s="5">
        <f>IFERROR(P4747/O4747,0)</f>
        <v/>
      </c>
      <c r="R4747" s="2">
        <f>TEXT(DATEVALUE(B4747),"mmm")</f>
        <v/>
      </c>
      <c r="S4747" s="2">
        <f>TEXT(DATEVALUE(B4747),"yyyy-mm")</f>
        <v/>
      </c>
    </row>
    <row r="4748">
      <c r="A4748" s="2" t="inlineStr">
        <is>
          <t>O000797</t>
        </is>
      </c>
      <c r="B4748" s="2" t="inlineStr">
        <is>
          <t>2025-12-13</t>
        </is>
      </c>
      <c r="C4748" s="2" t="inlineStr">
        <is>
          <t>C0590</t>
        </is>
      </c>
      <c r="D4748" s="2" t="inlineStr">
        <is>
          <t>P0007</t>
        </is>
      </c>
      <c r="E4748" s="2" t="inlineStr">
        <is>
          <t>Wireless Mouse</t>
        </is>
      </c>
      <c r="F4748" s="2" t="inlineStr">
        <is>
          <t>Electronics</t>
        </is>
      </c>
      <c r="G4748" s="2" t="inlineStr">
        <is>
          <t>West</t>
        </is>
      </c>
      <c r="H4748" s="2" t="inlineStr">
        <is>
          <t>Goa</t>
        </is>
      </c>
      <c r="I4748" s="2" t="inlineStr">
        <is>
          <t>Margao</t>
        </is>
      </c>
      <c r="J4748" s="2" t="inlineStr">
        <is>
          <t>Store</t>
        </is>
      </c>
      <c r="K4748" s="2" t="n">
        <v>2</v>
      </c>
      <c r="L4748" s="3" t="n">
        <v>964.12</v>
      </c>
      <c r="M4748" s="4" t="n">
        <v>0</v>
      </c>
      <c r="N4748" s="3" t="n">
        <v>1279</v>
      </c>
      <c r="O4748" s="3">
        <f>K4748*L4748*(1-M4748)</f>
        <v/>
      </c>
      <c r="P4748" s="3">
        <f>O4748-N4748</f>
        <v/>
      </c>
      <c r="Q4748" s="5">
        <f>IFERROR(P4748/O4748,0)</f>
        <v/>
      </c>
      <c r="R4748" s="2">
        <f>TEXT(DATEVALUE(B4748),"mmm")</f>
        <v/>
      </c>
      <c r="S4748" s="2">
        <f>TEXT(DATEVALUE(B4748),"yyyy-mm")</f>
        <v/>
      </c>
    </row>
    <row r="4749">
      <c r="A4749" s="2" t="inlineStr">
        <is>
          <t>O002592</t>
        </is>
      </c>
      <c r="B4749" s="2" t="inlineStr">
        <is>
          <t>2025-12-13</t>
        </is>
      </c>
      <c r="C4749" s="2" t="inlineStr">
        <is>
          <t>C0694</t>
        </is>
      </c>
      <c r="D4749" s="2" t="inlineStr">
        <is>
          <t>P0021</t>
        </is>
      </c>
      <c r="E4749" s="2" t="inlineStr">
        <is>
          <t>Wallet</t>
        </is>
      </c>
      <c r="F4749" s="2" t="inlineStr">
        <is>
          <t>Fashion</t>
        </is>
      </c>
      <c r="G4749" s="2" t="inlineStr">
        <is>
          <t>East</t>
        </is>
      </c>
      <c r="H4749" s="2" t="inlineStr">
        <is>
          <t>West Bengal</t>
        </is>
      </c>
      <c r="I4749" s="2" t="inlineStr">
        <is>
          <t>Durgapur</t>
        </is>
      </c>
      <c r="J4749" s="2" t="inlineStr">
        <is>
          <t>Online</t>
        </is>
      </c>
      <c r="K4749" s="2" t="n">
        <v>2</v>
      </c>
      <c r="L4749" s="3" t="n">
        <v>1952.56</v>
      </c>
      <c r="M4749" s="4" t="n">
        <v>0.1</v>
      </c>
      <c r="N4749" s="3" t="n">
        <v>2448.43</v>
      </c>
      <c r="O4749" s="3">
        <f>K4749*L4749*(1-M4749)</f>
        <v/>
      </c>
      <c r="P4749" s="3">
        <f>O4749-N4749</f>
        <v/>
      </c>
      <c r="Q4749" s="5">
        <f>IFERROR(P4749/O4749,0)</f>
        <v/>
      </c>
      <c r="R4749" s="2">
        <f>TEXT(DATEVALUE(B4749),"mmm")</f>
        <v/>
      </c>
      <c r="S4749" s="2">
        <f>TEXT(DATEVALUE(B4749),"yyyy-mm")</f>
        <v/>
      </c>
    </row>
    <row r="4750">
      <c r="A4750" s="2" t="inlineStr">
        <is>
          <t>O003204</t>
        </is>
      </c>
      <c r="B4750" s="2" t="inlineStr">
        <is>
          <t>2025-12-14</t>
        </is>
      </c>
      <c r="C4750" s="2" t="inlineStr">
        <is>
          <t>C0542</t>
        </is>
      </c>
      <c r="D4750" s="2" t="inlineStr">
        <is>
          <t>P0004</t>
        </is>
      </c>
      <c r="E4750" s="2" t="inlineStr">
        <is>
          <t>USB-C Hub</t>
        </is>
      </c>
      <c r="F4750" s="2" t="inlineStr">
        <is>
          <t>Electronics</t>
        </is>
      </c>
      <c r="G4750" s="2" t="inlineStr">
        <is>
          <t>East</t>
        </is>
      </c>
      <c r="H4750" s="2" t="inlineStr">
        <is>
          <t>West Bengal</t>
        </is>
      </c>
      <c r="I4750" s="2" t="inlineStr">
        <is>
          <t>Durgapur</t>
        </is>
      </c>
      <c r="J4750" s="2" t="inlineStr">
        <is>
          <t>Online</t>
        </is>
      </c>
      <c r="K4750" s="2" t="n">
        <v>4</v>
      </c>
      <c r="L4750" s="3" t="n">
        <v>1236.59</v>
      </c>
      <c r="M4750" s="4" t="n">
        <v>0.15</v>
      </c>
      <c r="N4750" s="3" t="n">
        <v>3654.96</v>
      </c>
      <c r="O4750" s="3">
        <f>K4750*L4750*(1-M4750)</f>
        <v/>
      </c>
      <c r="P4750" s="3">
        <f>O4750-N4750</f>
        <v/>
      </c>
      <c r="Q4750" s="5">
        <f>IFERROR(P4750/O4750,0)</f>
        <v/>
      </c>
      <c r="R4750" s="2">
        <f>TEXT(DATEVALUE(B4750),"mmm")</f>
        <v/>
      </c>
      <c r="S4750" s="2">
        <f>TEXT(DATEVALUE(B4750),"yyyy-mm")</f>
        <v/>
      </c>
    </row>
    <row r="4751">
      <c r="A4751" s="2" t="inlineStr">
        <is>
          <t>O004706</t>
        </is>
      </c>
      <c r="B4751" s="2" t="inlineStr">
        <is>
          <t>2025-12-14</t>
        </is>
      </c>
      <c r="C4751" s="2" t="inlineStr">
        <is>
          <t>C0719</t>
        </is>
      </c>
      <c r="D4751" s="2" t="inlineStr">
        <is>
          <t>P0003</t>
        </is>
      </c>
      <c r="E4751" s="2" t="inlineStr">
        <is>
          <t>Smartwatch</t>
        </is>
      </c>
      <c r="F4751" s="2" t="inlineStr">
        <is>
          <t>Electronics</t>
        </is>
      </c>
      <c r="G4751" s="2" t="inlineStr">
        <is>
          <t>West</t>
        </is>
      </c>
      <c r="H4751" s="2" t="inlineStr">
        <is>
          <t>Goa</t>
        </is>
      </c>
      <c r="I4751" s="2" t="inlineStr">
        <is>
          <t>Panaji</t>
        </is>
      </c>
      <c r="J4751" s="2" t="inlineStr">
        <is>
          <t>Online</t>
        </is>
      </c>
      <c r="K4751" s="2" t="n">
        <v>3</v>
      </c>
      <c r="L4751" s="3" t="n">
        <v>2288.48</v>
      </c>
      <c r="M4751" s="4" t="n">
        <v>0.1</v>
      </c>
      <c r="N4751" s="3" t="n">
        <v>3469.93</v>
      </c>
      <c r="O4751" s="3">
        <f>K4751*L4751*(1-M4751)</f>
        <v/>
      </c>
      <c r="P4751" s="3">
        <f>O4751-N4751</f>
        <v/>
      </c>
      <c r="Q4751" s="5">
        <f>IFERROR(P4751/O4751,0)</f>
        <v/>
      </c>
      <c r="R4751" s="2">
        <f>TEXT(DATEVALUE(B4751),"mmm")</f>
        <v/>
      </c>
      <c r="S4751" s="2">
        <f>TEXT(DATEVALUE(B4751),"yyyy-mm")</f>
        <v/>
      </c>
    </row>
    <row r="4752">
      <c r="A4752" s="2" t="inlineStr">
        <is>
          <t>O004498</t>
        </is>
      </c>
      <c r="B4752" s="2" t="inlineStr">
        <is>
          <t>2025-12-14</t>
        </is>
      </c>
      <c r="C4752" s="2" t="inlineStr">
        <is>
          <t>C0046</t>
        </is>
      </c>
      <c r="D4752" s="2" t="inlineStr">
        <is>
          <t>P0012</t>
        </is>
      </c>
      <c r="E4752" s="2" t="inlineStr">
        <is>
          <t>Water Bottle</t>
        </is>
      </c>
      <c r="F4752" s="2" t="inlineStr">
        <is>
          <t>Home &amp; Kitchen</t>
        </is>
      </c>
      <c r="G4752" s="2" t="inlineStr">
        <is>
          <t>West</t>
        </is>
      </c>
      <c r="H4752" s="2" t="inlineStr">
        <is>
          <t>Goa</t>
        </is>
      </c>
      <c r="I4752" s="2" t="inlineStr">
        <is>
          <t>Panaji</t>
        </is>
      </c>
      <c r="J4752" s="2" t="inlineStr">
        <is>
          <t>Online</t>
        </is>
      </c>
      <c r="K4752" s="2" t="n">
        <v>4</v>
      </c>
      <c r="L4752" s="3" t="n">
        <v>959.02</v>
      </c>
      <c r="M4752" s="4" t="n">
        <v>0</v>
      </c>
      <c r="N4752" s="3" t="n">
        <v>2502.12</v>
      </c>
      <c r="O4752" s="3">
        <f>K4752*L4752*(1-M4752)</f>
        <v/>
      </c>
      <c r="P4752" s="3">
        <f>O4752-N4752</f>
        <v/>
      </c>
      <c r="Q4752" s="5">
        <f>IFERROR(P4752/O4752,0)</f>
        <v/>
      </c>
      <c r="R4752" s="2">
        <f>TEXT(DATEVALUE(B4752),"mmm")</f>
        <v/>
      </c>
      <c r="S4752" s="2">
        <f>TEXT(DATEVALUE(B4752),"yyyy-mm")</f>
        <v/>
      </c>
    </row>
    <row r="4753">
      <c r="A4753" s="2" t="inlineStr">
        <is>
          <t>O004400</t>
        </is>
      </c>
      <c r="B4753" s="2" t="inlineStr">
        <is>
          <t>2025-12-14</t>
        </is>
      </c>
      <c r="C4753" s="2" t="inlineStr">
        <is>
          <t>C0694</t>
        </is>
      </c>
      <c r="D4753" s="2" t="inlineStr">
        <is>
          <t>P0004</t>
        </is>
      </c>
      <c r="E4753" s="2" t="inlineStr">
        <is>
          <t>USB-C Hub</t>
        </is>
      </c>
      <c r="F4753" s="2" t="inlineStr">
        <is>
          <t>Electronics</t>
        </is>
      </c>
      <c r="G4753" s="2" t="inlineStr">
        <is>
          <t>South</t>
        </is>
      </c>
      <c r="H4753" s="2" t="inlineStr">
        <is>
          <t>Telangana</t>
        </is>
      </c>
      <c r="I4753" s="2" t="inlineStr">
        <is>
          <t>Hyderabad</t>
        </is>
      </c>
      <c r="J4753" s="2" t="inlineStr">
        <is>
          <t>Online</t>
        </is>
      </c>
      <c r="K4753" s="2" t="n">
        <v>1</v>
      </c>
      <c r="L4753" s="3" t="n">
        <v>1308.49</v>
      </c>
      <c r="M4753" s="4" t="n">
        <v>0.25</v>
      </c>
      <c r="N4753" s="3" t="n">
        <v>894.09</v>
      </c>
      <c r="O4753" s="3">
        <f>K4753*L4753*(1-M4753)</f>
        <v/>
      </c>
      <c r="P4753" s="3">
        <f>O4753-N4753</f>
        <v/>
      </c>
      <c r="Q4753" s="5">
        <f>IFERROR(P4753/O4753,0)</f>
        <v/>
      </c>
      <c r="R4753" s="2">
        <f>TEXT(DATEVALUE(B4753),"mmm")</f>
        <v/>
      </c>
      <c r="S4753" s="2">
        <f>TEXT(DATEVALUE(B4753),"yyyy-mm")</f>
        <v/>
      </c>
    </row>
    <row r="4754">
      <c r="A4754" s="2" t="inlineStr">
        <is>
          <t>O002642</t>
        </is>
      </c>
      <c r="B4754" s="2" t="inlineStr">
        <is>
          <t>2025-12-14</t>
        </is>
      </c>
      <c r="C4754" s="2" t="inlineStr">
        <is>
          <t>C0003</t>
        </is>
      </c>
      <c r="D4754" s="2" t="inlineStr">
        <is>
          <t>P0014</t>
        </is>
      </c>
      <c r="E4754" s="2" t="inlineStr">
        <is>
          <t>Coffee Maker</t>
        </is>
      </c>
      <c r="F4754" s="2" t="inlineStr">
        <is>
          <t>Home &amp; Kitchen</t>
        </is>
      </c>
      <c r="G4754" s="2" t="inlineStr">
        <is>
          <t>North</t>
        </is>
      </c>
      <c r="H4754" s="2" t="inlineStr">
        <is>
          <t>Uttar Pradesh</t>
        </is>
      </c>
      <c r="I4754" s="2" t="inlineStr">
        <is>
          <t>Varanasi</t>
        </is>
      </c>
      <c r="J4754" s="2" t="inlineStr">
        <is>
          <t>Online</t>
        </is>
      </c>
      <c r="K4754" s="2" t="n">
        <v>6</v>
      </c>
      <c r="L4754" s="3" t="n">
        <v>1072.42</v>
      </c>
      <c r="M4754" s="4" t="n">
        <v>0</v>
      </c>
      <c r="N4754" s="3" t="n">
        <v>4564.46</v>
      </c>
      <c r="O4754" s="3">
        <f>K4754*L4754*(1-M4754)</f>
        <v/>
      </c>
      <c r="P4754" s="3">
        <f>O4754-N4754</f>
        <v/>
      </c>
      <c r="Q4754" s="5">
        <f>IFERROR(P4754/O4754,0)</f>
        <v/>
      </c>
      <c r="R4754" s="2">
        <f>TEXT(DATEVALUE(B4754),"mmm")</f>
        <v/>
      </c>
      <c r="S4754" s="2">
        <f>TEXT(DATEVALUE(B4754),"yyyy-mm")</f>
        <v/>
      </c>
    </row>
    <row r="4755">
      <c r="A4755" s="2" t="inlineStr">
        <is>
          <t>O001854</t>
        </is>
      </c>
      <c r="B4755" s="2" t="inlineStr">
        <is>
          <t>2025-12-14</t>
        </is>
      </c>
      <c r="C4755" s="2" t="inlineStr">
        <is>
          <t>C0152</t>
        </is>
      </c>
      <c r="D4755" s="2" t="inlineStr">
        <is>
          <t>P0021</t>
        </is>
      </c>
      <c r="E4755" s="2" t="inlineStr">
        <is>
          <t>Wallet</t>
        </is>
      </c>
      <c r="F4755" s="2" t="inlineStr">
        <is>
          <t>Fashion</t>
        </is>
      </c>
      <c r="G4755" s="2" t="inlineStr">
        <is>
          <t>West</t>
        </is>
      </c>
      <c r="H4755" s="2" t="inlineStr">
        <is>
          <t>Goa</t>
        </is>
      </c>
      <c r="I4755" s="2" t="inlineStr">
        <is>
          <t>Panaji</t>
        </is>
      </c>
      <c r="J4755" s="2" t="inlineStr">
        <is>
          <t>Store</t>
        </is>
      </c>
      <c r="K4755" s="2" t="n">
        <v>4</v>
      </c>
      <c r="L4755" s="3" t="n">
        <v>1996.13</v>
      </c>
      <c r="M4755" s="4" t="n">
        <v>0.15</v>
      </c>
      <c r="N4755" s="3" t="n">
        <v>4783.1</v>
      </c>
      <c r="O4755" s="3">
        <f>K4755*L4755*(1-M4755)</f>
        <v/>
      </c>
      <c r="P4755" s="3">
        <f>O4755-N4755</f>
        <v/>
      </c>
      <c r="Q4755" s="5">
        <f>IFERROR(P4755/O4755,0)</f>
        <v/>
      </c>
      <c r="R4755" s="2">
        <f>TEXT(DATEVALUE(B4755),"mmm")</f>
        <v/>
      </c>
      <c r="S4755" s="2">
        <f>TEXT(DATEVALUE(B4755),"yyyy-mm")</f>
        <v/>
      </c>
    </row>
    <row r="4756">
      <c r="A4756" s="2" t="inlineStr">
        <is>
          <t>O000763</t>
        </is>
      </c>
      <c r="B4756" s="2" t="inlineStr">
        <is>
          <t>2025-12-14</t>
        </is>
      </c>
      <c r="C4756" s="2" t="inlineStr">
        <is>
          <t>C0437</t>
        </is>
      </c>
      <c r="D4756" s="2" t="inlineStr">
        <is>
          <t>P0012</t>
        </is>
      </c>
      <c r="E4756" s="2" t="inlineStr">
        <is>
          <t>Water Bottle</t>
        </is>
      </c>
      <c r="F4756" s="2" t="inlineStr">
        <is>
          <t>Home &amp; Kitchen</t>
        </is>
      </c>
      <c r="G4756" s="2" t="inlineStr">
        <is>
          <t>West</t>
        </is>
      </c>
      <c r="H4756" s="2" t="inlineStr">
        <is>
          <t>Goa</t>
        </is>
      </c>
      <c r="I4756" s="2" t="inlineStr">
        <is>
          <t>Panaji</t>
        </is>
      </c>
      <c r="J4756" s="2" t="inlineStr">
        <is>
          <t>Online</t>
        </is>
      </c>
      <c r="K4756" s="2" t="n">
        <v>1</v>
      </c>
      <c r="L4756" s="3" t="n">
        <v>988.14</v>
      </c>
      <c r="M4756" s="4" t="n">
        <v>0.05</v>
      </c>
      <c r="N4756" s="3" t="n">
        <v>638.13</v>
      </c>
      <c r="O4756" s="3">
        <f>K4756*L4756*(1-M4756)</f>
        <v/>
      </c>
      <c r="P4756" s="3">
        <f>O4756-N4756</f>
        <v/>
      </c>
      <c r="Q4756" s="5">
        <f>IFERROR(P4756/O4756,0)</f>
        <v/>
      </c>
      <c r="R4756" s="2">
        <f>TEXT(DATEVALUE(B4756),"mmm")</f>
        <v/>
      </c>
      <c r="S4756" s="2">
        <f>TEXT(DATEVALUE(B4756),"yyyy-mm")</f>
        <v/>
      </c>
    </row>
    <row r="4757">
      <c r="A4757" s="2" t="inlineStr">
        <is>
          <t>O000690</t>
        </is>
      </c>
      <c r="B4757" s="2" t="inlineStr">
        <is>
          <t>2025-12-14</t>
        </is>
      </c>
      <c r="C4757" s="2" t="inlineStr">
        <is>
          <t>C0350</t>
        </is>
      </c>
      <c r="D4757" s="2" t="inlineStr">
        <is>
          <t>P0003</t>
        </is>
      </c>
      <c r="E4757" s="2" t="inlineStr">
        <is>
          <t>Smartwatch</t>
        </is>
      </c>
      <c r="F4757" s="2" t="inlineStr">
        <is>
          <t>Electronics</t>
        </is>
      </c>
      <c r="G4757" s="2" t="inlineStr">
        <is>
          <t>West</t>
        </is>
      </c>
      <c r="H4757" s="2" t="inlineStr">
        <is>
          <t>Gujarat</t>
        </is>
      </c>
      <c r="I4757" s="2" t="inlineStr">
        <is>
          <t>Vadodara</t>
        </is>
      </c>
      <c r="J4757" s="2" t="inlineStr">
        <is>
          <t>Store</t>
        </is>
      </c>
      <c r="K4757" s="2" t="n">
        <v>1</v>
      </c>
      <c r="L4757" s="3" t="n">
        <v>2372.17</v>
      </c>
      <c r="M4757" s="4" t="n">
        <v>0.15</v>
      </c>
      <c r="N4757" s="3" t="n">
        <v>1144.89</v>
      </c>
      <c r="O4757" s="3">
        <f>K4757*L4757*(1-M4757)</f>
        <v/>
      </c>
      <c r="P4757" s="3">
        <f>O4757-N4757</f>
        <v/>
      </c>
      <c r="Q4757" s="5">
        <f>IFERROR(P4757/O4757,0)</f>
        <v/>
      </c>
      <c r="R4757" s="2">
        <f>TEXT(DATEVALUE(B4757),"mmm")</f>
        <v/>
      </c>
      <c r="S4757" s="2">
        <f>TEXT(DATEVALUE(B4757),"yyyy-mm")</f>
        <v/>
      </c>
    </row>
    <row r="4758">
      <c r="A4758" s="2" t="inlineStr">
        <is>
          <t>O000650</t>
        </is>
      </c>
      <c r="B4758" s="2" t="inlineStr">
        <is>
          <t>2025-12-14</t>
        </is>
      </c>
      <c r="C4758" s="2" t="inlineStr">
        <is>
          <t>C0416</t>
        </is>
      </c>
      <c r="D4758" s="2" t="inlineStr">
        <is>
          <t>P0010</t>
        </is>
      </c>
      <c r="E4758" s="2" t="inlineStr">
        <is>
          <t>Mixer Grinder</t>
        </is>
      </c>
      <c r="F4758" s="2" t="inlineStr">
        <is>
          <t>Home &amp; Kitchen</t>
        </is>
      </c>
      <c r="G4758" s="2" t="inlineStr">
        <is>
          <t>East</t>
        </is>
      </c>
      <c r="H4758" s="2" t="inlineStr">
        <is>
          <t>West Bengal</t>
        </is>
      </c>
      <c r="I4758" s="2" t="inlineStr">
        <is>
          <t>Durgapur</t>
        </is>
      </c>
      <c r="J4758" s="2" t="inlineStr">
        <is>
          <t>Online</t>
        </is>
      </c>
      <c r="K4758" s="2" t="n">
        <v>2</v>
      </c>
      <c r="L4758" s="3" t="n">
        <v>1670.41</v>
      </c>
      <c r="M4758" s="4" t="n">
        <v>0.05</v>
      </c>
      <c r="N4758" s="3" t="n">
        <v>2098.39</v>
      </c>
      <c r="O4758" s="3">
        <f>K4758*L4758*(1-M4758)</f>
        <v/>
      </c>
      <c r="P4758" s="3">
        <f>O4758-N4758</f>
        <v/>
      </c>
      <c r="Q4758" s="5">
        <f>IFERROR(P4758/O4758,0)</f>
        <v/>
      </c>
      <c r="R4758" s="2">
        <f>TEXT(DATEVALUE(B4758),"mmm")</f>
        <v/>
      </c>
      <c r="S4758" s="2">
        <f>TEXT(DATEVALUE(B4758),"yyyy-mm")</f>
        <v/>
      </c>
    </row>
    <row r="4759">
      <c r="A4759" s="2" t="inlineStr">
        <is>
          <t>O000172</t>
        </is>
      </c>
      <c r="B4759" s="2" t="inlineStr">
        <is>
          <t>2025-12-14</t>
        </is>
      </c>
      <c r="C4759" s="2" t="inlineStr">
        <is>
          <t>C0586</t>
        </is>
      </c>
      <c r="D4759" s="2" t="inlineStr">
        <is>
          <t>P0026</t>
        </is>
      </c>
      <c r="E4759" s="2" t="inlineStr">
        <is>
          <t>Shampoo</t>
        </is>
      </c>
      <c r="F4759" s="2" t="inlineStr">
        <is>
          <t>Beauty</t>
        </is>
      </c>
      <c r="G4759" s="2" t="inlineStr">
        <is>
          <t>North</t>
        </is>
      </c>
      <c r="H4759" s="2" t="inlineStr">
        <is>
          <t>Haryana</t>
        </is>
      </c>
      <c r="I4759" s="2" t="inlineStr">
        <is>
          <t>Faridabad</t>
        </is>
      </c>
      <c r="J4759" s="2" t="inlineStr">
        <is>
          <t>Online</t>
        </is>
      </c>
      <c r="K4759" s="2" t="n">
        <v>1</v>
      </c>
      <c r="L4759" s="3" t="n">
        <v>887.99</v>
      </c>
      <c r="M4759" s="4" t="n">
        <v>0.2</v>
      </c>
      <c r="N4759" s="3" t="n">
        <v>521.08</v>
      </c>
      <c r="O4759" s="3">
        <f>K4759*L4759*(1-M4759)</f>
        <v/>
      </c>
      <c r="P4759" s="3">
        <f>O4759-N4759</f>
        <v/>
      </c>
      <c r="Q4759" s="5">
        <f>IFERROR(P4759/O4759,0)</f>
        <v/>
      </c>
      <c r="R4759" s="2">
        <f>TEXT(DATEVALUE(B4759),"mmm")</f>
        <v/>
      </c>
      <c r="S4759" s="2">
        <f>TEXT(DATEVALUE(B4759),"yyyy-mm")</f>
        <v/>
      </c>
    </row>
    <row r="4760">
      <c r="A4760" s="2" t="inlineStr">
        <is>
          <t>O002327</t>
        </is>
      </c>
      <c r="B4760" s="2" t="inlineStr">
        <is>
          <t>2025-12-14</t>
        </is>
      </c>
      <c r="C4760" s="2" t="inlineStr">
        <is>
          <t>C0382</t>
        </is>
      </c>
      <c r="D4760" s="2" t="inlineStr">
        <is>
          <t>P0026</t>
        </is>
      </c>
      <c r="E4760" s="2" t="inlineStr">
        <is>
          <t>Shampoo</t>
        </is>
      </c>
      <c r="F4760" s="2" t="inlineStr">
        <is>
          <t>Beauty</t>
        </is>
      </c>
      <c r="G4760" s="2" t="inlineStr">
        <is>
          <t>West</t>
        </is>
      </c>
      <c r="H4760" s="2" t="inlineStr">
        <is>
          <t>Maharashtra</t>
        </is>
      </c>
      <c r="I4760" s="2" t="inlineStr">
        <is>
          <t>Pune</t>
        </is>
      </c>
      <c r="J4760" s="2" t="inlineStr">
        <is>
          <t>Online</t>
        </is>
      </c>
      <c r="K4760" s="2" t="n">
        <v>2</v>
      </c>
      <c r="L4760" s="3" t="n">
        <v>896.4299999999999</v>
      </c>
      <c r="M4760" s="4" t="n">
        <v>0.2</v>
      </c>
      <c r="N4760" s="3" t="n">
        <v>1078.21</v>
      </c>
      <c r="O4760" s="3">
        <f>K4760*L4760*(1-M4760)</f>
        <v/>
      </c>
      <c r="P4760" s="3">
        <f>O4760-N4760</f>
        <v/>
      </c>
      <c r="Q4760" s="5">
        <f>IFERROR(P4760/O4760,0)</f>
        <v/>
      </c>
      <c r="R4760" s="2">
        <f>TEXT(DATEVALUE(B4760),"mmm")</f>
        <v/>
      </c>
      <c r="S4760" s="2">
        <f>TEXT(DATEVALUE(B4760),"yyyy-mm")</f>
        <v/>
      </c>
    </row>
    <row r="4761">
      <c r="A4761" s="2" t="inlineStr">
        <is>
          <t>O003681</t>
        </is>
      </c>
      <c r="B4761" s="2" t="inlineStr">
        <is>
          <t>2025-12-15</t>
        </is>
      </c>
      <c r="C4761" s="2" t="inlineStr">
        <is>
          <t>C0005</t>
        </is>
      </c>
      <c r="D4761" s="2" t="inlineStr">
        <is>
          <t>P0007</t>
        </is>
      </c>
      <c r="E4761" s="2" t="inlineStr">
        <is>
          <t>Wireless Mouse</t>
        </is>
      </c>
      <c r="F4761" s="2" t="inlineStr">
        <is>
          <t>Electronics</t>
        </is>
      </c>
      <c r="G4761" s="2" t="inlineStr">
        <is>
          <t>South</t>
        </is>
      </c>
      <c r="H4761" s="2" t="inlineStr">
        <is>
          <t>Tamil Nadu</t>
        </is>
      </c>
      <c r="I4761" s="2" t="inlineStr">
        <is>
          <t>Coimbatore</t>
        </is>
      </c>
      <c r="J4761" s="2" t="inlineStr">
        <is>
          <t>Online</t>
        </is>
      </c>
      <c r="K4761" s="2" t="n">
        <v>3</v>
      </c>
      <c r="L4761" s="3" t="n">
        <v>949.22</v>
      </c>
      <c r="M4761" s="4" t="n">
        <v>0.1</v>
      </c>
      <c r="N4761" s="3" t="n">
        <v>1922.56</v>
      </c>
      <c r="O4761" s="3">
        <f>K4761*L4761*(1-M4761)</f>
        <v/>
      </c>
      <c r="P4761" s="3">
        <f>O4761-N4761</f>
        <v/>
      </c>
      <c r="Q4761" s="5">
        <f>IFERROR(P4761/O4761,0)</f>
        <v/>
      </c>
      <c r="R4761" s="2">
        <f>TEXT(DATEVALUE(B4761),"mmm")</f>
        <v/>
      </c>
      <c r="S4761" s="2">
        <f>TEXT(DATEVALUE(B4761),"yyyy-mm")</f>
        <v/>
      </c>
    </row>
    <row r="4762">
      <c r="A4762" s="2" t="inlineStr">
        <is>
          <t>O004043</t>
        </is>
      </c>
      <c r="B4762" s="2" t="inlineStr">
        <is>
          <t>2025-12-15</t>
        </is>
      </c>
      <c r="C4762" s="2" t="inlineStr">
        <is>
          <t>C0785</t>
        </is>
      </c>
      <c r="D4762" s="2" t="inlineStr">
        <is>
          <t>P0011</t>
        </is>
      </c>
      <c r="E4762" s="2" t="inlineStr">
        <is>
          <t>Cookware Set</t>
        </is>
      </c>
      <c r="F4762" s="2" t="inlineStr">
        <is>
          <t>Home &amp; Kitchen</t>
        </is>
      </c>
      <c r="G4762" s="2" t="inlineStr">
        <is>
          <t>South</t>
        </is>
      </c>
      <c r="H4762" s="2" t="inlineStr">
        <is>
          <t>Karnataka</t>
        </is>
      </c>
      <c r="I4762" s="2" t="inlineStr">
        <is>
          <t>Mangaluru</t>
        </is>
      </c>
      <c r="J4762" s="2" t="inlineStr">
        <is>
          <t>Online</t>
        </is>
      </c>
      <c r="K4762" s="2" t="n">
        <v>1</v>
      </c>
      <c r="L4762" s="3" t="n">
        <v>679.51</v>
      </c>
      <c r="M4762" s="4" t="n">
        <v>0.05</v>
      </c>
      <c r="N4762" s="3" t="n">
        <v>476.61</v>
      </c>
      <c r="O4762" s="3">
        <f>K4762*L4762*(1-M4762)</f>
        <v/>
      </c>
      <c r="P4762" s="3">
        <f>O4762-N4762</f>
        <v/>
      </c>
      <c r="Q4762" s="5">
        <f>IFERROR(P4762/O4762,0)</f>
        <v/>
      </c>
      <c r="R4762" s="2">
        <f>TEXT(DATEVALUE(B4762),"mmm")</f>
        <v/>
      </c>
      <c r="S4762" s="2">
        <f>TEXT(DATEVALUE(B4762),"yyyy-mm")</f>
        <v/>
      </c>
    </row>
    <row r="4763">
      <c r="A4763" s="2" t="inlineStr">
        <is>
          <t>O004012</t>
        </is>
      </c>
      <c r="B4763" s="2" t="inlineStr">
        <is>
          <t>2025-12-15</t>
        </is>
      </c>
      <c r="C4763" s="2" t="inlineStr">
        <is>
          <t>C0573</t>
        </is>
      </c>
      <c r="D4763" s="2" t="inlineStr">
        <is>
          <t>P0022</t>
        </is>
      </c>
      <c r="E4763" s="2" t="inlineStr">
        <is>
          <t>Face Wash</t>
        </is>
      </c>
      <c r="F4763" s="2" t="inlineStr">
        <is>
          <t>Beauty</t>
        </is>
      </c>
      <c r="G4763" s="2" t="inlineStr">
        <is>
          <t>West</t>
        </is>
      </c>
      <c r="H4763" s="2" t="inlineStr">
        <is>
          <t>Gujarat</t>
        </is>
      </c>
      <c r="I4763" s="2" t="inlineStr">
        <is>
          <t>Ahmedabad</t>
        </is>
      </c>
      <c r="J4763" s="2" t="inlineStr">
        <is>
          <t>Store</t>
        </is>
      </c>
      <c r="K4763" s="2" t="n">
        <v>1</v>
      </c>
      <c r="L4763" s="3" t="n">
        <v>555.46</v>
      </c>
      <c r="M4763" s="4" t="n">
        <v>0.05</v>
      </c>
      <c r="N4763" s="3" t="n">
        <v>361.66</v>
      </c>
      <c r="O4763" s="3">
        <f>K4763*L4763*(1-M4763)</f>
        <v/>
      </c>
      <c r="P4763" s="3">
        <f>O4763-N4763</f>
        <v/>
      </c>
      <c r="Q4763" s="5">
        <f>IFERROR(P4763/O4763,0)</f>
        <v/>
      </c>
      <c r="R4763" s="2">
        <f>TEXT(DATEVALUE(B4763),"mmm")</f>
        <v/>
      </c>
      <c r="S4763" s="2">
        <f>TEXT(DATEVALUE(B4763),"yyyy-mm")</f>
        <v/>
      </c>
    </row>
    <row r="4764">
      <c r="A4764" s="2" t="inlineStr">
        <is>
          <t>O003549</t>
        </is>
      </c>
      <c r="B4764" s="2" t="inlineStr">
        <is>
          <t>2025-12-15</t>
        </is>
      </c>
      <c r="C4764" s="2" t="inlineStr">
        <is>
          <t>C0639</t>
        </is>
      </c>
      <c r="D4764" s="2" t="inlineStr">
        <is>
          <t>P0026</t>
        </is>
      </c>
      <c r="E4764" s="2" t="inlineStr">
        <is>
          <t>Shampoo</t>
        </is>
      </c>
      <c r="F4764" s="2" t="inlineStr">
        <is>
          <t>Beauty</t>
        </is>
      </c>
      <c r="G4764" s="2" t="inlineStr">
        <is>
          <t>West</t>
        </is>
      </c>
      <c r="H4764" s="2" t="inlineStr">
        <is>
          <t>Gujarat</t>
        </is>
      </c>
      <c r="I4764" s="2" t="inlineStr">
        <is>
          <t>Surat</t>
        </is>
      </c>
      <c r="J4764" s="2" t="inlineStr">
        <is>
          <t>Online</t>
        </is>
      </c>
      <c r="K4764" s="2" t="n">
        <v>1</v>
      </c>
      <c r="L4764" s="3" t="n">
        <v>912.95</v>
      </c>
      <c r="M4764" s="4" t="n">
        <v>0</v>
      </c>
      <c r="N4764" s="3" t="n">
        <v>531.61</v>
      </c>
      <c r="O4764" s="3">
        <f>K4764*L4764*(1-M4764)</f>
        <v/>
      </c>
      <c r="P4764" s="3">
        <f>O4764-N4764</f>
        <v/>
      </c>
      <c r="Q4764" s="5">
        <f>IFERROR(P4764/O4764,0)</f>
        <v/>
      </c>
      <c r="R4764" s="2">
        <f>TEXT(DATEVALUE(B4764),"mmm")</f>
        <v/>
      </c>
      <c r="S4764" s="2">
        <f>TEXT(DATEVALUE(B4764),"yyyy-mm")</f>
        <v/>
      </c>
    </row>
    <row r="4765">
      <c r="A4765" s="2" t="inlineStr">
        <is>
          <t>O002806</t>
        </is>
      </c>
      <c r="B4765" s="2" t="inlineStr">
        <is>
          <t>2025-12-15</t>
        </is>
      </c>
      <c r="C4765" s="2" t="inlineStr">
        <is>
          <t>C0268</t>
        </is>
      </c>
      <c r="D4765" s="2" t="inlineStr">
        <is>
          <t>P0035</t>
        </is>
      </c>
      <c r="E4765" s="2" t="inlineStr">
        <is>
          <t>Skipping Rope</t>
        </is>
      </c>
      <c r="F4765" s="2" t="inlineStr">
        <is>
          <t>Sports</t>
        </is>
      </c>
      <c r="G4765" s="2" t="inlineStr">
        <is>
          <t>South</t>
        </is>
      </c>
      <c r="H4765" s="2" t="inlineStr">
        <is>
          <t>Kerala</t>
        </is>
      </c>
      <c r="I4765" s="2" t="inlineStr">
        <is>
          <t>Thiruvananthapuram</t>
        </is>
      </c>
      <c r="J4765" s="2" t="inlineStr">
        <is>
          <t>Store</t>
        </is>
      </c>
      <c r="K4765" s="2" t="n">
        <v>2</v>
      </c>
      <c r="L4765" s="3" t="n">
        <v>712.3</v>
      </c>
      <c r="M4765" s="4" t="n">
        <v>0.1</v>
      </c>
      <c r="N4765" s="3" t="n">
        <v>847.54</v>
      </c>
      <c r="O4765" s="3">
        <f>K4765*L4765*(1-M4765)</f>
        <v/>
      </c>
      <c r="P4765" s="3">
        <f>O4765-N4765</f>
        <v/>
      </c>
      <c r="Q4765" s="5">
        <f>IFERROR(P4765/O4765,0)</f>
        <v/>
      </c>
      <c r="R4765" s="2">
        <f>TEXT(DATEVALUE(B4765),"mmm")</f>
        <v/>
      </c>
      <c r="S4765" s="2">
        <f>TEXT(DATEVALUE(B4765),"yyyy-mm")</f>
        <v/>
      </c>
    </row>
    <row r="4766">
      <c r="A4766" s="2" t="inlineStr">
        <is>
          <t>O002425</t>
        </is>
      </c>
      <c r="B4766" s="2" t="inlineStr">
        <is>
          <t>2025-12-15</t>
        </is>
      </c>
      <c r="C4766" s="2" t="inlineStr">
        <is>
          <t>C0066</t>
        </is>
      </c>
      <c r="D4766" s="2" t="inlineStr">
        <is>
          <t>P0032</t>
        </is>
      </c>
      <c r="E4766" s="2" t="inlineStr">
        <is>
          <t>Football</t>
        </is>
      </c>
      <c r="F4766" s="2" t="inlineStr">
        <is>
          <t>Sports</t>
        </is>
      </c>
      <c r="G4766" s="2" t="inlineStr">
        <is>
          <t>West</t>
        </is>
      </c>
      <c r="H4766" s="2" t="inlineStr">
        <is>
          <t>Maharashtra</t>
        </is>
      </c>
      <c r="I4766" s="2" t="inlineStr">
        <is>
          <t>Nagpur</t>
        </is>
      </c>
      <c r="J4766" s="2" t="inlineStr">
        <is>
          <t>Online</t>
        </is>
      </c>
      <c r="K4766" s="2" t="n">
        <v>1</v>
      </c>
      <c r="L4766" s="3" t="n">
        <v>781.3099999999999</v>
      </c>
      <c r="M4766" s="4" t="n">
        <v>0.1</v>
      </c>
      <c r="N4766" s="3" t="n">
        <v>514.5</v>
      </c>
      <c r="O4766" s="3">
        <f>K4766*L4766*(1-M4766)</f>
        <v/>
      </c>
      <c r="P4766" s="3">
        <f>O4766-N4766</f>
        <v/>
      </c>
      <c r="Q4766" s="5">
        <f>IFERROR(P4766/O4766,0)</f>
        <v/>
      </c>
      <c r="R4766" s="2">
        <f>TEXT(DATEVALUE(B4766),"mmm")</f>
        <v/>
      </c>
      <c r="S4766" s="2">
        <f>TEXT(DATEVALUE(B4766),"yyyy-mm")</f>
        <v/>
      </c>
    </row>
    <row r="4767">
      <c r="A4767" s="2" t="inlineStr">
        <is>
          <t>O001771</t>
        </is>
      </c>
      <c r="B4767" s="2" t="inlineStr">
        <is>
          <t>2025-12-15</t>
        </is>
      </c>
      <c r="C4767" s="2" t="inlineStr">
        <is>
          <t>C0694</t>
        </is>
      </c>
      <c r="D4767" s="2" t="inlineStr">
        <is>
          <t>P0011</t>
        </is>
      </c>
      <c r="E4767" s="2" t="inlineStr">
        <is>
          <t>Cookware Set</t>
        </is>
      </c>
      <c r="F4767" s="2" t="inlineStr">
        <is>
          <t>Home &amp; Kitchen</t>
        </is>
      </c>
      <c r="G4767" s="2" t="inlineStr">
        <is>
          <t>South</t>
        </is>
      </c>
      <c r="H4767" s="2" t="inlineStr">
        <is>
          <t>Kerala</t>
        </is>
      </c>
      <c r="I4767" s="2" t="inlineStr">
        <is>
          <t>Kochi</t>
        </is>
      </c>
      <c r="J4767" s="2" t="inlineStr">
        <is>
          <t>Online</t>
        </is>
      </c>
      <c r="K4767" s="2" t="n">
        <v>4</v>
      </c>
      <c r="L4767" s="3" t="n">
        <v>712.4</v>
      </c>
      <c r="M4767" s="4" t="n">
        <v>0.05</v>
      </c>
      <c r="N4767" s="3" t="n">
        <v>1858.15</v>
      </c>
      <c r="O4767" s="3">
        <f>K4767*L4767*(1-M4767)</f>
        <v/>
      </c>
      <c r="P4767" s="3">
        <f>O4767-N4767</f>
        <v/>
      </c>
      <c r="Q4767" s="5">
        <f>IFERROR(P4767/O4767,0)</f>
        <v/>
      </c>
      <c r="R4767" s="2">
        <f>TEXT(DATEVALUE(B4767),"mmm")</f>
        <v/>
      </c>
      <c r="S4767" s="2">
        <f>TEXT(DATEVALUE(B4767),"yyyy-mm")</f>
        <v/>
      </c>
    </row>
    <row r="4768">
      <c r="A4768" s="2" t="inlineStr">
        <is>
          <t>O001619</t>
        </is>
      </c>
      <c r="B4768" s="2" t="inlineStr">
        <is>
          <t>2025-12-15</t>
        </is>
      </c>
      <c r="C4768" s="2" t="inlineStr">
        <is>
          <t>C0427</t>
        </is>
      </c>
      <c r="D4768" s="2" t="inlineStr">
        <is>
          <t>P0033</t>
        </is>
      </c>
      <c r="E4768" s="2" t="inlineStr">
        <is>
          <t>Resistance Bands</t>
        </is>
      </c>
      <c r="F4768" s="2" t="inlineStr">
        <is>
          <t>Sports</t>
        </is>
      </c>
      <c r="G4768" s="2" t="inlineStr">
        <is>
          <t>South</t>
        </is>
      </c>
      <c r="H4768" s="2" t="inlineStr">
        <is>
          <t>Tamil Nadu</t>
        </is>
      </c>
      <c r="I4768" s="2" t="inlineStr">
        <is>
          <t>Coimbatore</t>
        </is>
      </c>
      <c r="J4768" s="2" t="inlineStr">
        <is>
          <t>Online</t>
        </is>
      </c>
      <c r="K4768" s="2" t="n">
        <v>2</v>
      </c>
      <c r="L4768" s="3" t="n">
        <v>1134.54</v>
      </c>
      <c r="M4768" s="4" t="n">
        <v>0.1</v>
      </c>
      <c r="N4768" s="3" t="n">
        <v>1498.06</v>
      </c>
      <c r="O4768" s="3">
        <f>K4768*L4768*(1-M4768)</f>
        <v/>
      </c>
      <c r="P4768" s="3">
        <f>O4768-N4768</f>
        <v/>
      </c>
      <c r="Q4768" s="5">
        <f>IFERROR(P4768/O4768,0)</f>
        <v/>
      </c>
      <c r="R4768" s="2">
        <f>TEXT(DATEVALUE(B4768),"mmm")</f>
        <v/>
      </c>
      <c r="S4768" s="2">
        <f>TEXT(DATEVALUE(B4768),"yyyy-mm")</f>
        <v/>
      </c>
    </row>
    <row r="4769">
      <c r="A4769" s="2" t="inlineStr">
        <is>
          <t>O001550</t>
        </is>
      </c>
      <c r="B4769" s="2" t="inlineStr">
        <is>
          <t>2025-12-15</t>
        </is>
      </c>
      <c r="C4769" s="2" t="inlineStr">
        <is>
          <t>C0684</t>
        </is>
      </c>
      <c r="D4769" s="2" t="inlineStr">
        <is>
          <t>P0025</t>
        </is>
      </c>
      <c r="E4769" s="2" t="inlineStr">
        <is>
          <t>Perfume</t>
        </is>
      </c>
      <c r="F4769" s="2" t="inlineStr">
        <is>
          <t>Beauty</t>
        </is>
      </c>
      <c r="G4769" s="2" t="inlineStr">
        <is>
          <t>East</t>
        </is>
      </c>
      <c r="H4769" s="2" t="inlineStr">
        <is>
          <t>Odisha</t>
        </is>
      </c>
      <c r="I4769" s="2" t="inlineStr">
        <is>
          <t>Bhubaneswar</t>
        </is>
      </c>
      <c r="J4769" s="2" t="inlineStr">
        <is>
          <t>Online</t>
        </is>
      </c>
      <c r="K4769" s="2" t="n">
        <v>2</v>
      </c>
      <c r="L4769" s="3" t="n">
        <v>780.8099999999999</v>
      </c>
      <c r="M4769" s="4" t="n">
        <v>0</v>
      </c>
      <c r="N4769" s="3" t="n">
        <v>1217.61</v>
      </c>
      <c r="O4769" s="3">
        <f>K4769*L4769*(1-M4769)</f>
        <v/>
      </c>
      <c r="P4769" s="3">
        <f>O4769-N4769</f>
        <v/>
      </c>
      <c r="Q4769" s="5">
        <f>IFERROR(P4769/O4769,0)</f>
        <v/>
      </c>
      <c r="R4769" s="2">
        <f>TEXT(DATEVALUE(B4769),"mmm")</f>
        <v/>
      </c>
      <c r="S4769" s="2">
        <f>TEXT(DATEVALUE(B4769),"yyyy-mm")</f>
        <v/>
      </c>
    </row>
    <row r="4770">
      <c r="A4770" s="2" t="inlineStr">
        <is>
          <t>O001488</t>
        </is>
      </c>
      <c r="B4770" s="2" t="inlineStr">
        <is>
          <t>2025-12-15</t>
        </is>
      </c>
      <c r="C4770" s="2" t="inlineStr">
        <is>
          <t>C0793</t>
        </is>
      </c>
      <c r="D4770" s="2" t="inlineStr">
        <is>
          <t>P0001</t>
        </is>
      </c>
      <c r="E4770" s="2" t="inlineStr">
        <is>
          <t>Wireless Headphones</t>
        </is>
      </c>
      <c r="F4770" s="2" t="inlineStr">
        <is>
          <t>Electronics</t>
        </is>
      </c>
      <c r="G4770" s="2" t="inlineStr">
        <is>
          <t>North</t>
        </is>
      </c>
      <c r="H4770" s="2" t="inlineStr">
        <is>
          <t>Haryana</t>
        </is>
      </c>
      <c r="I4770" s="2" t="inlineStr">
        <is>
          <t>Faridabad</t>
        </is>
      </c>
      <c r="J4770" s="2" t="inlineStr">
        <is>
          <t>Online</t>
        </is>
      </c>
      <c r="K4770" s="2" t="n">
        <v>1</v>
      </c>
      <c r="L4770" s="3" t="n">
        <v>1262.17</v>
      </c>
      <c r="M4770" s="4" t="n">
        <v>0.05</v>
      </c>
      <c r="N4770" s="3" t="n">
        <v>691.55</v>
      </c>
      <c r="O4770" s="3">
        <f>K4770*L4770*(1-M4770)</f>
        <v/>
      </c>
      <c r="P4770" s="3">
        <f>O4770-N4770</f>
        <v/>
      </c>
      <c r="Q4770" s="5">
        <f>IFERROR(P4770/O4770,0)</f>
        <v/>
      </c>
      <c r="R4770" s="2">
        <f>TEXT(DATEVALUE(B4770),"mmm")</f>
        <v/>
      </c>
      <c r="S4770" s="2">
        <f>TEXT(DATEVALUE(B4770),"yyyy-mm")</f>
        <v/>
      </c>
    </row>
    <row r="4771">
      <c r="A4771" s="2" t="inlineStr">
        <is>
          <t>O001250</t>
        </is>
      </c>
      <c r="B4771" s="2" t="inlineStr">
        <is>
          <t>2025-12-15</t>
        </is>
      </c>
      <c r="C4771" s="2" t="inlineStr">
        <is>
          <t>C0319</t>
        </is>
      </c>
      <c r="D4771" s="2" t="inlineStr">
        <is>
          <t>P0004</t>
        </is>
      </c>
      <c r="E4771" s="2" t="inlineStr">
        <is>
          <t>USB-C Hub</t>
        </is>
      </c>
      <c r="F4771" s="2" t="inlineStr">
        <is>
          <t>Electronics</t>
        </is>
      </c>
      <c r="G4771" s="2" t="inlineStr">
        <is>
          <t>West</t>
        </is>
      </c>
      <c r="H4771" s="2" t="inlineStr">
        <is>
          <t>Gujarat</t>
        </is>
      </c>
      <c r="I4771" s="2" t="inlineStr">
        <is>
          <t>Ahmedabad</t>
        </is>
      </c>
      <c r="J4771" s="2" t="inlineStr">
        <is>
          <t>Store</t>
        </is>
      </c>
      <c r="K4771" s="2" t="n">
        <v>1</v>
      </c>
      <c r="L4771" s="3" t="n">
        <v>1245.03</v>
      </c>
      <c r="M4771" s="4" t="n">
        <v>0.25</v>
      </c>
      <c r="N4771" s="3" t="n">
        <v>907.71</v>
      </c>
      <c r="O4771" s="3">
        <f>K4771*L4771*(1-M4771)</f>
        <v/>
      </c>
      <c r="P4771" s="3">
        <f>O4771-N4771</f>
        <v/>
      </c>
      <c r="Q4771" s="5">
        <f>IFERROR(P4771/O4771,0)</f>
        <v/>
      </c>
      <c r="R4771" s="2">
        <f>TEXT(DATEVALUE(B4771),"mmm")</f>
        <v/>
      </c>
      <c r="S4771" s="2">
        <f>TEXT(DATEVALUE(B4771),"yyyy-mm")</f>
        <v/>
      </c>
    </row>
    <row r="4772">
      <c r="A4772" s="2" t="inlineStr">
        <is>
          <t>O001034</t>
        </is>
      </c>
      <c r="B4772" s="2" t="inlineStr">
        <is>
          <t>2025-12-15</t>
        </is>
      </c>
      <c r="C4772" s="2" t="inlineStr">
        <is>
          <t>C0694</t>
        </is>
      </c>
      <c r="D4772" s="2" t="inlineStr">
        <is>
          <t>P0021</t>
        </is>
      </c>
      <c r="E4772" s="2" t="inlineStr">
        <is>
          <t>Wallet</t>
        </is>
      </c>
      <c r="F4772" s="2" t="inlineStr">
        <is>
          <t>Fashion</t>
        </is>
      </c>
      <c r="G4772" s="2" t="inlineStr">
        <is>
          <t>West</t>
        </is>
      </c>
      <c r="H4772" s="2" t="inlineStr">
        <is>
          <t>Maharashtra</t>
        </is>
      </c>
      <c r="I4772" s="2" t="inlineStr">
        <is>
          <t>Mumbai</t>
        </is>
      </c>
      <c r="J4772" s="2" t="inlineStr">
        <is>
          <t>Online</t>
        </is>
      </c>
      <c r="K4772" s="2" t="n">
        <v>2</v>
      </c>
      <c r="L4772" s="3" t="n">
        <v>2058.92</v>
      </c>
      <c r="M4772" s="4" t="n">
        <v>0</v>
      </c>
      <c r="N4772" s="3" t="n">
        <v>2442.25</v>
      </c>
      <c r="O4772" s="3">
        <f>K4772*L4772*(1-M4772)</f>
        <v/>
      </c>
      <c r="P4772" s="3">
        <f>O4772-N4772</f>
        <v/>
      </c>
      <c r="Q4772" s="5">
        <f>IFERROR(P4772/O4772,0)</f>
        <v/>
      </c>
      <c r="R4772" s="2">
        <f>TEXT(DATEVALUE(B4772),"mmm")</f>
        <v/>
      </c>
      <c r="S4772" s="2">
        <f>TEXT(DATEVALUE(B4772),"yyyy-mm")</f>
        <v/>
      </c>
    </row>
    <row r="4773">
      <c r="A4773" s="2" t="inlineStr">
        <is>
          <t>O000461</t>
        </is>
      </c>
      <c r="B4773" s="2" t="inlineStr">
        <is>
          <t>2025-12-15</t>
        </is>
      </c>
      <c r="C4773" s="2" t="inlineStr">
        <is>
          <t>C0577</t>
        </is>
      </c>
      <c r="D4773" s="2" t="inlineStr">
        <is>
          <t>P0032</t>
        </is>
      </c>
      <c r="E4773" s="2" t="inlineStr">
        <is>
          <t>Football</t>
        </is>
      </c>
      <c r="F4773" s="2" t="inlineStr">
        <is>
          <t>Sports</t>
        </is>
      </c>
      <c r="G4773" s="2" t="inlineStr">
        <is>
          <t>West</t>
        </is>
      </c>
      <c r="H4773" s="2" t="inlineStr">
        <is>
          <t>Maharashtra</t>
        </is>
      </c>
      <c r="I4773" s="2" t="inlineStr">
        <is>
          <t>Nashik</t>
        </is>
      </c>
      <c r="J4773" s="2" t="inlineStr">
        <is>
          <t>Store</t>
        </is>
      </c>
      <c r="K4773" s="2" t="n">
        <v>3</v>
      </c>
      <c r="L4773" s="3" t="n">
        <v>778.11</v>
      </c>
      <c r="M4773" s="4" t="n">
        <v>0</v>
      </c>
      <c r="N4773" s="3" t="n">
        <v>1609.25</v>
      </c>
      <c r="O4773" s="3">
        <f>K4773*L4773*(1-M4773)</f>
        <v/>
      </c>
      <c r="P4773" s="3">
        <f>O4773-N4773</f>
        <v/>
      </c>
      <c r="Q4773" s="5">
        <f>IFERROR(P4773/O4773,0)</f>
        <v/>
      </c>
      <c r="R4773" s="2">
        <f>TEXT(DATEVALUE(B4773),"mmm")</f>
        <v/>
      </c>
      <c r="S4773" s="2">
        <f>TEXT(DATEVALUE(B4773),"yyyy-mm")</f>
        <v/>
      </c>
    </row>
    <row r="4774">
      <c r="A4774" s="2" t="inlineStr">
        <is>
          <t>O000340</t>
        </is>
      </c>
      <c r="B4774" s="2" t="inlineStr">
        <is>
          <t>2025-12-15</t>
        </is>
      </c>
      <c r="C4774" s="2" t="inlineStr">
        <is>
          <t>C0568</t>
        </is>
      </c>
      <c r="D4774" s="2" t="inlineStr">
        <is>
          <t>P0031</t>
        </is>
      </c>
      <c r="E4774" s="2" t="inlineStr">
        <is>
          <t>Cricket Bat</t>
        </is>
      </c>
      <c r="F4774" s="2" t="inlineStr">
        <is>
          <t>Sports</t>
        </is>
      </c>
      <c r="G4774" s="2" t="inlineStr">
        <is>
          <t>South</t>
        </is>
      </c>
      <c r="H4774" s="2" t="inlineStr">
        <is>
          <t>Telangana</t>
        </is>
      </c>
      <c r="I4774" s="2" t="inlineStr">
        <is>
          <t>Warangal</t>
        </is>
      </c>
      <c r="J4774" s="2" t="inlineStr">
        <is>
          <t>Online</t>
        </is>
      </c>
      <c r="K4774" s="2" t="n">
        <v>1</v>
      </c>
      <c r="L4774" s="3" t="n">
        <v>1408.2</v>
      </c>
      <c r="M4774" s="4" t="n">
        <v>0.15</v>
      </c>
      <c r="N4774" s="3" t="n">
        <v>965.49</v>
      </c>
      <c r="O4774" s="3">
        <f>K4774*L4774*(1-M4774)</f>
        <v/>
      </c>
      <c r="P4774" s="3">
        <f>O4774-N4774</f>
        <v/>
      </c>
      <c r="Q4774" s="5">
        <f>IFERROR(P4774/O4774,0)</f>
        <v/>
      </c>
      <c r="R4774" s="2">
        <f>TEXT(DATEVALUE(B4774),"mmm")</f>
        <v/>
      </c>
      <c r="S4774" s="2">
        <f>TEXT(DATEVALUE(B4774),"yyyy-mm")</f>
        <v/>
      </c>
    </row>
    <row r="4775">
      <c r="A4775" s="2" t="inlineStr">
        <is>
          <t>O000291</t>
        </is>
      </c>
      <c r="B4775" s="2" t="inlineStr">
        <is>
          <t>2025-12-15</t>
        </is>
      </c>
      <c r="C4775" s="2" t="inlineStr">
        <is>
          <t>C0800</t>
        </is>
      </c>
      <c r="D4775" s="2" t="inlineStr">
        <is>
          <t>P0013</t>
        </is>
      </c>
      <c r="E4775" s="2" t="inlineStr">
        <is>
          <t>Storage Organizer</t>
        </is>
      </c>
      <c r="F4775" s="2" t="inlineStr">
        <is>
          <t>Home &amp; Kitchen</t>
        </is>
      </c>
      <c r="G4775" s="2" t="inlineStr">
        <is>
          <t>West</t>
        </is>
      </c>
      <c r="H4775" s="2" t="inlineStr">
        <is>
          <t>Gujarat</t>
        </is>
      </c>
      <c r="I4775" s="2" t="inlineStr">
        <is>
          <t>Surat</t>
        </is>
      </c>
      <c r="J4775" s="2" t="inlineStr">
        <is>
          <t>Online</t>
        </is>
      </c>
      <c r="K4775" s="2" t="n">
        <v>1</v>
      </c>
      <c r="L4775" s="3" t="n">
        <v>596.03</v>
      </c>
      <c r="M4775" s="4" t="n">
        <v>0.05</v>
      </c>
      <c r="N4775" s="3" t="n">
        <v>371.28</v>
      </c>
      <c r="O4775" s="3">
        <f>K4775*L4775*(1-M4775)</f>
        <v/>
      </c>
      <c r="P4775" s="3">
        <f>O4775-N4775</f>
        <v/>
      </c>
      <c r="Q4775" s="5">
        <f>IFERROR(P4775/O4775,0)</f>
        <v/>
      </c>
      <c r="R4775" s="2">
        <f>TEXT(DATEVALUE(B4775),"mmm")</f>
        <v/>
      </c>
      <c r="S4775" s="2">
        <f>TEXT(DATEVALUE(B4775),"yyyy-mm")</f>
        <v/>
      </c>
    </row>
    <row r="4776">
      <c r="A4776" s="2" t="inlineStr">
        <is>
          <t>O000239</t>
        </is>
      </c>
      <c r="B4776" s="2" t="inlineStr">
        <is>
          <t>2025-12-15</t>
        </is>
      </c>
      <c r="C4776" s="2" t="inlineStr">
        <is>
          <t>C0590</t>
        </is>
      </c>
      <c r="D4776" s="2" t="inlineStr">
        <is>
          <t>P0030</t>
        </is>
      </c>
      <c r="E4776" s="2" t="inlineStr">
        <is>
          <t>Dumbbells</t>
        </is>
      </c>
      <c r="F4776" s="2" t="inlineStr">
        <is>
          <t>Sports</t>
        </is>
      </c>
      <c r="G4776" s="2" t="inlineStr">
        <is>
          <t>South</t>
        </is>
      </c>
      <c r="H4776" s="2" t="inlineStr">
        <is>
          <t>Tamil Nadu</t>
        </is>
      </c>
      <c r="I4776" s="2" t="inlineStr">
        <is>
          <t>Chennai</t>
        </is>
      </c>
      <c r="J4776" s="2" t="inlineStr">
        <is>
          <t>Online</t>
        </is>
      </c>
      <c r="K4776" s="2" t="n">
        <v>4</v>
      </c>
      <c r="L4776" s="3" t="n">
        <v>1556.33</v>
      </c>
      <c r="M4776" s="4" t="n">
        <v>0.15</v>
      </c>
      <c r="N4776" s="3" t="n">
        <v>4100.79</v>
      </c>
      <c r="O4776" s="3">
        <f>K4776*L4776*(1-M4776)</f>
        <v/>
      </c>
      <c r="P4776" s="3">
        <f>O4776-N4776</f>
        <v/>
      </c>
      <c r="Q4776" s="5">
        <f>IFERROR(P4776/O4776,0)</f>
        <v/>
      </c>
      <c r="R4776" s="2">
        <f>TEXT(DATEVALUE(B4776),"mmm")</f>
        <v/>
      </c>
      <c r="S4776" s="2">
        <f>TEXT(DATEVALUE(B4776),"yyyy-mm")</f>
        <v/>
      </c>
    </row>
    <row r="4777">
      <c r="A4777" s="2" t="inlineStr">
        <is>
          <t>O000002</t>
        </is>
      </c>
      <c r="B4777" s="2" t="inlineStr">
        <is>
          <t>2025-12-15</t>
        </is>
      </c>
      <c r="C4777" s="2" t="inlineStr">
        <is>
          <t>C0015</t>
        </is>
      </c>
      <c r="D4777" s="2" t="inlineStr">
        <is>
          <t>P0014</t>
        </is>
      </c>
      <c r="E4777" s="2" t="inlineStr">
        <is>
          <t>Coffee Maker</t>
        </is>
      </c>
      <c r="F4777" s="2" t="inlineStr">
        <is>
          <t>Home &amp; Kitchen</t>
        </is>
      </c>
      <c r="G4777" s="2" t="inlineStr">
        <is>
          <t>West</t>
        </is>
      </c>
      <c r="H4777" s="2" t="inlineStr">
        <is>
          <t>Maharashtra</t>
        </is>
      </c>
      <c r="I4777" s="2" t="inlineStr">
        <is>
          <t>Nashik</t>
        </is>
      </c>
      <c r="J4777" s="2" t="inlineStr">
        <is>
          <t>Online</t>
        </is>
      </c>
      <c r="K4777" s="2" t="n">
        <v>1</v>
      </c>
      <c r="L4777" s="3" t="n">
        <v>1006.22</v>
      </c>
      <c r="M4777" s="4" t="n">
        <v>0.25</v>
      </c>
      <c r="N4777" s="3" t="n">
        <v>740.55</v>
      </c>
      <c r="O4777" s="3">
        <f>K4777*L4777*(1-M4777)</f>
        <v/>
      </c>
      <c r="P4777" s="3">
        <f>O4777-N4777</f>
        <v/>
      </c>
      <c r="Q4777" s="5">
        <f>IFERROR(P4777/O4777,0)</f>
        <v/>
      </c>
      <c r="R4777" s="2">
        <f>TEXT(DATEVALUE(B4777),"mmm")</f>
        <v/>
      </c>
      <c r="S4777" s="2">
        <f>TEXT(DATEVALUE(B4777),"yyyy-mm")</f>
        <v/>
      </c>
    </row>
    <row r="4778">
      <c r="A4778" s="2" t="inlineStr">
        <is>
          <t>O003334</t>
        </is>
      </c>
      <c r="B4778" s="2" t="inlineStr">
        <is>
          <t>2025-12-16</t>
        </is>
      </c>
      <c r="C4778" s="2" t="inlineStr">
        <is>
          <t>C0599</t>
        </is>
      </c>
      <c r="D4778" s="2" t="inlineStr">
        <is>
          <t>P0002</t>
        </is>
      </c>
      <c r="E4778" s="2" t="inlineStr">
        <is>
          <t>Bluetooth Speaker</t>
        </is>
      </c>
      <c r="F4778" s="2" t="inlineStr">
        <is>
          <t>Electronics</t>
        </is>
      </c>
      <c r="G4778" s="2" t="inlineStr">
        <is>
          <t>West</t>
        </is>
      </c>
      <c r="H4778" s="2" t="inlineStr">
        <is>
          <t>Maharashtra</t>
        </is>
      </c>
      <c r="I4778" s="2" t="inlineStr">
        <is>
          <t>Mumbai</t>
        </is>
      </c>
      <c r="J4778" s="2" t="inlineStr">
        <is>
          <t>Store</t>
        </is>
      </c>
      <c r="K4778" s="2" t="n">
        <v>3</v>
      </c>
      <c r="L4778" s="3" t="n">
        <v>1312.7</v>
      </c>
      <c r="M4778" s="4" t="n">
        <v>0.2</v>
      </c>
      <c r="N4778" s="3" t="n">
        <v>2518.06</v>
      </c>
      <c r="O4778" s="3">
        <f>K4778*L4778*(1-M4778)</f>
        <v/>
      </c>
      <c r="P4778" s="3">
        <f>O4778-N4778</f>
        <v/>
      </c>
      <c r="Q4778" s="5">
        <f>IFERROR(P4778/O4778,0)</f>
        <v/>
      </c>
      <c r="R4778" s="2">
        <f>TEXT(DATEVALUE(B4778),"mmm")</f>
        <v/>
      </c>
      <c r="S4778" s="2">
        <f>TEXT(DATEVALUE(B4778),"yyyy-mm")</f>
        <v/>
      </c>
    </row>
    <row r="4779">
      <c r="A4779" s="2" t="inlineStr">
        <is>
          <t>O003059</t>
        </is>
      </c>
      <c r="B4779" s="2" t="inlineStr">
        <is>
          <t>2025-12-16</t>
        </is>
      </c>
      <c r="C4779" s="2" t="inlineStr">
        <is>
          <t>C0293</t>
        </is>
      </c>
      <c r="D4779" s="2" t="inlineStr">
        <is>
          <t>P0014</t>
        </is>
      </c>
      <c r="E4779" s="2" t="inlineStr">
        <is>
          <t>Coffee Maker</t>
        </is>
      </c>
      <c r="F4779" s="2" t="inlineStr">
        <is>
          <t>Home &amp; Kitchen</t>
        </is>
      </c>
      <c r="G4779" s="2" t="inlineStr">
        <is>
          <t>West</t>
        </is>
      </c>
      <c r="H4779" s="2" t="inlineStr">
        <is>
          <t>Maharashtra</t>
        </is>
      </c>
      <c r="I4779" s="2" t="inlineStr">
        <is>
          <t>Pune</t>
        </is>
      </c>
      <c r="J4779" s="2" t="inlineStr">
        <is>
          <t>Store</t>
        </is>
      </c>
      <c r="K4779" s="2" t="n">
        <v>1</v>
      </c>
      <c r="L4779" s="3" t="n">
        <v>1026.33</v>
      </c>
      <c r="M4779" s="4" t="n">
        <v>0.05</v>
      </c>
      <c r="N4779" s="3" t="n">
        <v>772.75</v>
      </c>
      <c r="O4779" s="3">
        <f>K4779*L4779*(1-M4779)</f>
        <v/>
      </c>
      <c r="P4779" s="3">
        <f>O4779-N4779</f>
        <v/>
      </c>
      <c r="Q4779" s="5">
        <f>IFERROR(P4779/O4779,0)</f>
        <v/>
      </c>
      <c r="R4779" s="2">
        <f>TEXT(DATEVALUE(B4779),"mmm")</f>
        <v/>
      </c>
      <c r="S4779" s="2">
        <f>TEXT(DATEVALUE(B4779),"yyyy-mm")</f>
        <v/>
      </c>
    </row>
    <row r="4780">
      <c r="A4780" s="2" t="inlineStr">
        <is>
          <t>O002795</t>
        </is>
      </c>
      <c r="B4780" s="2" t="inlineStr">
        <is>
          <t>2025-12-16</t>
        </is>
      </c>
      <c r="C4780" s="2" t="inlineStr">
        <is>
          <t>C0298</t>
        </is>
      </c>
      <c r="D4780" s="2" t="inlineStr">
        <is>
          <t>P0009</t>
        </is>
      </c>
      <c r="E4780" s="2" t="inlineStr">
        <is>
          <t>Electric Kettle</t>
        </is>
      </c>
      <c r="F4780" s="2" t="inlineStr">
        <is>
          <t>Home &amp; Kitchen</t>
        </is>
      </c>
      <c r="G4780" s="2" t="inlineStr">
        <is>
          <t>West</t>
        </is>
      </c>
      <c r="H4780" s="2" t="inlineStr">
        <is>
          <t>Maharashtra</t>
        </is>
      </c>
      <c r="I4780" s="2" t="inlineStr">
        <is>
          <t>Thane</t>
        </is>
      </c>
      <c r="J4780" s="2" t="inlineStr">
        <is>
          <t>Store</t>
        </is>
      </c>
      <c r="K4780" s="2" t="n">
        <v>3</v>
      </c>
      <c r="L4780" s="3" t="n">
        <v>2106.24</v>
      </c>
      <c r="M4780" s="4" t="n">
        <v>0</v>
      </c>
      <c r="N4780" s="3" t="n">
        <v>3375.41</v>
      </c>
      <c r="O4780" s="3">
        <f>K4780*L4780*(1-M4780)</f>
        <v/>
      </c>
      <c r="P4780" s="3">
        <f>O4780-N4780</f>
        <v/>
      </c>
      <c r="Q4780" s="5">
        <f>IFERROR(P4780/O4780,0)</f>
        <v/>
      </c>
      <c r="R4780" s="2">
        <f>TEXT(DATEVALUE(B4780),"mmm")</f>
        <v/>
      </c>
      <c r="S4780" s="2">
        <f>TEXT(DATEVALUE(B4780),"yyyy-mm")</f>
        <v/>
      </c>
    </row>
    <row r="4781">
      <c r="A4781" s="2" t="inlineStr">
        <is>
          <t>O002760</t>
        </is>
      </c>
      <c r="B4781" s="2" t="inlineStr">
        <is>
          <t>2025-12-16</t>
        </is>
      </c>
      <c r="C4781" s="2" t="inlineStr">
        <is>
          <t>C0753</t>
        </is>
      </c>
      <c r="D4781" s="2" t="inlineStr">
        <is>
          <t>P0030</t>
        </is>
      </c>
      <c r="E4781" s="2" t="inlineStr">
        <is>
          <t>Dumbbells</t>
        </is>
      </c>
      <c r="F4781" s="2" t="inlineStr">
        <is>
          <t>Sports</t>
        </is>
      </c>
      <c r="G4781" s="2" t="inlineStr">
        <is>
          <t>South</t>
        </is>
      </c>
      <c r="H4781" s="2" t="inlineStr">
        <is>
          <t>Karnataka</t>
        </is>
      </c>
      <c r="I4781" s="2" t="inlineStr">
        <is>
          <t>Bengaluru</t>
        </is>
      </c>
      <c r="J4781" s="2" t="inlineStr">
        <is>
          <t>Online</t>
        </is>
      </c>
      <c r="K4781" s="2" t="n">
        <v>4</v>
      </c>
      <c r="L4781" s="3" t="n">
        <v>1561.43</v>
      </c>
      <c r="M4781" s="4" t="n">
        <v>0.15</v>
      </c>
      <c r="N4781" s="3" t="n">
        <v>4024.16</v>
      </c>
      <c r="O4781" s="3">
        <f>K4781*L4781*(1-M4781)</f>
        <v/>
      </c>
      <c r="P4781" s="3">
        <f>O4781-N4781</f>
        <v/>
      </c>
      <c r="Q4781" s="5">
        <f>IFERROR(P4781/O4781,0)</f>
        <v/>
      </c>
      <c r="R4781" s="2">
        <f>TEXT(DATEVALUE(B4781),"mmm")</f>
        <v/>
      </c>
      <c r="S4781" s="2">
        <f>TEXT(DATEVALUE(B4781),"yyyy-mm")</f>
        <v/>
      </c>
    </row>
    <row r="4782">
      <c r="A4782" s="2" t="inlineStr">
        <is>
          <t>O002564</t>
        </is>
      </c>
      <c r="B4782" s="2" t="inlineStr">
        <is>
          <t>2025-12-16</t>
        </is>
      </c>
      <c r="C4782" s="2" t="inlineStr">
        <is>
          <t>C0205</t>
        </is>
      </c>
      <c r="D4782" s="2" t="inlineStr">
        <is>
          <t>P0003</t>
        </is>
      </c>
      <c r="E4782" s="2" t="inlineStr">
        <is>
          <t>Smartwatch</t>
        </is>
      </c>
      <c r="F4782" s="2" t="inlineStr">
        <is>
          <t>Electronics</t>
        </is>
      </c>
      <c r="G4782" s="2" t="inlineStr">
        <is>
          <t>North</t>
        </is>
      </c>
      <c r="H4782" s="2" t="inlineStr">
        <is>
          <t>Uttar Pradesh</t>
        </is>
      </c>
      <c r="I4782" s="2" t="inlineStr">
        <is>
          <t>Lucknow</t>
        </is>
      </c>
      <c r="J4782" s="2" t="inlineStr">
        <is>
          <t>Store</t>
        </is>
      </c>
      <c r="K4782" s="2" t="n">
        <v>3</v>
      </c>
      <c r="L4782" s="3" t="n">
        <v>2341.74</v>
      </c>
      <c r="M4782" s="4" t="n">
        <v>0.25</v>
      </c>
      <c r="N4782" s="3" t="n">
        <v>3607.53</v>
      </c>
      <c r="O4782" s="3">
        <f>K4782*L4782*(1-M4782)</f>
        <v/>
      </c>
      <c r="P4782" s="3">
        <f>O4782-N4782</f>
        <v/>
      </c>
      <c r="Q4782" s="5">
        <f>IFERROR(P4782/O4782,0)</f>
        <v/>
      </c>
      <c r="R4782" s="2">
        <f>TEXT(DATEVALUE(B4782),"mmm")</f>
        <v/>
      </c>
      <c r="S4782" s="2">
        <f>TEXT(DATEVALUE(B4782),"yyyy-mm")</f>
        <v/>
      </c>
    </row>
    <row r="4783">
      <c r="A4783" s="2" t="inlineStr">
        <is>
          <t>O002179</t>
        </is>
      </c>
      <c r="B4783" s="2" t="inlineStr">
        <is>
          <t>2025-12-16</t>
        </is>
      </c>
      <c r="C4783" s="2" t="inlineStr">
        <is>
          <t>C0684</t>
        </is>
      </c>
      <c r="D4783" s="2" t="inlineStr">
        <is>
          <t>P0007</t>
        </is>
      </c>
      <c r="E4783" s="2" t="inlineStr">
        <is>
          <t>Wireless Mouse</t>
        </is>
      </c>
      <c r="F4783" s="2" t="inlineStr">
        <is>
          <t>Electronics</t>
        </is>
      </c>
      <c r="G4783" s="2" t="inlineStr">
        <is>
          <t>South</t>
        </is>
      </c>
      <c r="H4783" s="2" t="inlineStr">
        <is>
          <t>Kerala</t>
        </is>
      </c>
      <c r="I4783" s="2" t="inlineStr">
        <is>
          <t>Kochi</t>
        </is>
      </c>
      <c r="J4783" s="2" t="inlineStr">
        <is>
          <t>Online</t>
        </is>
      </c>
      <c r="K4783" s="2" t="n">
        <v>2</v>
      </c>
      <c r="L4783" s="3" t="n">
        <v>974.96</v>
      </c>
      <c r="M4783" s="4" t="n">
        <v>0.05</v>
      </c>
      <c r="N4783" s="3" t="n">
        <v>1236.03</v>
      </c>
      <c r="O4783" s="3">
        <f>K4783*L4783*(1-M4783)</f>
        <v/>
      </c>
      <c r="P4783" s="3">
        <f>O4783-N4783</f>
        <v/>
      </c>
      <c r="Q4783" s="5">
        <f>IFERROR(P4783/O4783,0)</f>
        <v/>
      </c>
      <c r="R4783" s="2">
        <f>TEXT(DATEVALUE(B4783),"mmm")</f>
        <v/>
      </c>
      <c r="S4783" s="2">
        <f>TEXT(DATEVALUE(B4783),"yyyy-mm")</f>
        <v/>
      </c>
    </row>
    <row r="4784">
      <c r="A4784" s="2" t="inlineStr">
        <is>
          <t>O004975</t>
        </is>
      </c>
      <c r="B4784" s="2" t="inlineStr">
        <is>
          <t>2025-12-16</t>
        </is>
      </c>
      <c r="C4784" s="2" t="inlineStr">
        <is>
          <t>C0449</t>
        </is>
      </c>
      <c r="D4784" s="2" t="inlineStr">
        <is>
          <t>P0035</t>
        </is>
      </c>
      <c r="E4784" s="2" t="inlineStr">
        <is>
          <t>Skipping Rope</t>
        </is>
      </c>
      <c r="F4784" s="2" t="inlineStr">
        <is>
          <t>Sports</t>
        </is>
      </c>
      <c r="G4784" s="2" t="inlineStr">
        <is>
          <t>North</t>
        </is>
      </c>
      <c r="H4784" s="2" t="inlineStr">
        <is>
          <t>Punjab</t>
        </is>
      </c>
      <c r="I4784" s="2" t="inlineStr">
        <is>
          <t>Jalandhar</t>
        </is>
      </c>
      <c r="J4784" s="2" t="inlineStr">
        <is>
          <t>Online</t>
        </is>
      </c>
      <c r="K4784" s="2" t="n">
        <v>2</v>
      </c>
      <c r="L4784" s="3" t="n">
        <v>712.98</v>
      </c>
      <c r="M4784" s="4" t="n">
        <v>0.1</v>
      </c>
      <c r="N4784" s="3" t="n">
        <v>797.38</v>
      </c>
      <c r="O4784" s="3">
        <f>K4784*L4784*(1-M4784)</f>
        <v/>
      </c>
      <c r="P4784" s="3">
        <f>O4784-N4784</f>
        <v/>
      </c>
      <c r="Q4784" s="5">
        <f>IFERROR(P4784/O4784,0)</f>
        <v/>
      </c>
      <c r="R4784" s="2">
        <f>TEXT(DATEVALUE(B4784),"mmm")</f>
        <v/>
      </c>
      <c r="S4784" s="2">
        <f>TEXT(DATEVALUE(B4784),"yyyy-mm")</f>
        <v/>
      </c>
    </row>
    <row r="4785">
      <c r="A4785" s="2" t="inlineStr">
        <is>
          <t>O001907</t>
        </is>
      </c>
      <c r="B4785" s="2" t="inlineStr">
        <is>
          <t>2025-12-16</t>
        </is>
      </c>
      <c r="C4785" s="2" t="inlineStr">
        <is>
          <t>C0152</t>
        </is>
      </c>
      <c r="D4785" s="2" t="inlineStr">
        <is>
          <t>P0032</t>
        </is>
      </c>
      <c r="E4785" s="2" t="inlineStr">
        <is>
          <t>Football</t>
        </is>
      </c>
      <c r="F4785" s="2" t="inlineStr">
        <is>
          <t>Sports</t>
        </is>
      </c>
      <c r="G4785" s="2" t="inlineStr">
        <is>
          <t>South</t>
        </is>
      </c>
      <c r="H4785" s="2" t="inlineStr">
        <is>
          <t>Telangana</t>
        </is>
      </c>
      <c r="I4785" s="2" t="inlineStr">
        <is>
          <t>Warangal</t>
        </is>
      </c>
      <c r="J4785" s="2" t="inlineStr">
        <is>
          <t>Online</t>
        </is>
      </c>
      <c r="K4785" s="2" t="n">
        <v>2</v>
      </c>
      <c r="L4785" s="3" t="n">
        <v>847.08</v>
      </c>
      <c r="M4785" s="4" t="n">
        <v>0.1</v>
      </c>
      <c r="N4785" s="3" t="n">
        <v>1074.09</v>
      </c>
      <c r="O4785" s="3">
        <f>K4785*L4785*(1-M4785)</f>
        <v/>
      </c>
      <c r="P4785" s="3">
        <f>O4785-N4785</f>
        <v/>
      </c>
      <c r="Q4785" s="5">
        <f>IFERROR(P4785/O4785,0)</f>
        <v/>
      </c>
      <c r="R4785" s="2">
        <f>TEXT(DATEVALUE(B4785),"mmm")</f>
        <v/>
      </c>
      <c r="S4785" s="2">
        <f>TEXT(DATEVALUE(B4785),"yyyy-mm")</f>
        <v/>
      </c>
    </row>
    <row r="4786">
      <c r="A4786" s="2" t="inlineStr">
        <is>
          <t>O000953</t>
        </is>
      </c>
      <c r="B4786" s="2" t="inlineStr">
        <is>
          <t>2025-12-16</t>
        </is>
      </c>
      <c r="C4786" s="2" t="inlineStr">
        <is>
          <t>C0782</t>
        </is>
      </c>
      <c r="D4786" s="2" t="inlineStr">
        <is>
          <t>P0013</t>
        </is>
      </c>
      <c r="E4786" s="2" t="inlineStr">
        <is>
          <t>Storage Organizer</t>
        </is>
      </c>
      <c r="F4786" s="2" t="inlineStr">
        <is>
          <t>Home &amp; Kitchen</t>
        </is>
      </c>
      <c r="G4786" s="2" t="inlineStr">
        <is>
          <t>West</t>
        </is>
      </c>
      <c r="H4786" s="2" t="inlineStr">
        <is>
          <t>Gujarat</t>
        </is>
      </c>
      <c r="I4786" s="2" t="inlineStr">
        <is>
          <t>Surat</t>
        </is>
      </c>
      <c r="J4786" s="2" t="inlineStr">
        <is>
          <t>Online</t>
        </is>
      </c>
      <c r="K4786" s="2" t="n">
        <v>4</v>
      </c>
      <c r="L4786" s="3" t="n">
        <v>577.96</v>
      </c>
      <c r="M4786" s="4" t="n">
        <v>0.05</v>
      </c>
      <c r="N4786" s="3" t="n">
        <v>1412.04</v>
      </c>
      <c r="O4786" s="3">
        <f>K4786*L4786*(1-M4786)</f>
        <v/>
      </c>
      <c r="P4786" s="3">
        <f>O4786-N4786</f>
        <v/>
      </c>
      <c r="Q4786" s="5">
        <f>IFERROR(P4786/O4786,0)</f>
        <v/>
      </c>
      <c r="R4786" s="2">
        <f>TEXT(DATEVALUE(B4786),"mmm")</f>
        <v/>
      </c>
      <c r="S4786" s="2">
        <f>TEXT(DATEVALUE(B4786),"yyyy-mm")</f>
        <v/>
      </c>
    </row>
    <row r="4787">
      <c r="A4787" s="2" t="inlineStr">
        <is>
          <t>O000950</t>
        </is>
      </c>
      <c r="B4787" s="2" t="inlineStr">
        <is>
          <t>2025-12-16</t>
        </is>
      </c>
      <c r="C4787" s="2" t="inlineStr">
        <is>
          <t>C0100</t>
        </is>
      </c>
      <c r="D4787" s="2" t="inlineStr">
        <is>
          <t>P0021</t>
        </is>
      </c>
      <c r="E4787" s="2" t="inlineStr">
        <is>
          <t>Wallet</t>
        </is>
      </c>
      <c r="F4787" s="2" t="inlineStr">
        <is>
          <t>Fashion</t>
        </is>
      </c>
      <c r="G4787" s="2" t="inlineStr">
        <is>
          <t>North</t>
        </is>
      </c>
      <c r="H4787" s="2" t="inlineStr">
        <is>
          <t>Punjab</t>
        </is>
      </c>
      <c r="I4787" s="2" t="inlineStr">
        <is>
          <t>Jalandhar</t>
        </is>
      </c>
      <c r="J4787" s="2" t="inlineStr">
        <is>
          <t>Online</t>
        </is>
      </c>
      <c r="K4787" s="2" t="n">
        <v>5</v>
      </c>
      <c r="L4787" s="3" t="n">
        <v>2081.21</v>
      </c>
      <c r="M4787" s="4" t="n">
        <v>0.1</v>
      </c>
      <c r="N4787" s="3" t="n">
        <v>6220.76</v>
      </c>
      <c r="O4787" s="3">
        <f>K4787*L4787*(1-M4787)</f>
        <v/>
      </c>
      <c r="P4787" s="3">
        <f>O4787-N4787</f>
        <v/>
      </c>
      <c r="Q4787" s="5">
        <f>IFERROR(P4787/O4787,0)</f>
        <v/>
      </c>
      <c r="R4787" s="2">
        <f>TEXT(DATEVALUE(B4787),"mmm")</f>
        <v/>
      </c>
      <c r="S4787" s="2">
        <f>TEXT(DATEVALUE(B4787),"yyyy-mm")</f>
        <v/>
      </c>
    </row>
    <row r="4788">
      <c r="A4788" s="2" t="inlineStr">
        <is>
          <t>O000867</t>
        </is>
      </c>
      <c r="B4788" s="2" t="inlineStr">
        <is>
          <t>2025-12-16</t>
        </is>
      </c>
      <c r="C4788" s="2" t="inlineStr">
        <is>
          <t>C0523</t>
        </is>
      </c>
      <c r="D4788" s="2" t="inlineStr">
        <is>
          <t>P0004</t>
        </is>
      </c>
      <c r="E4788" s="2" t="inlineStr">
        <is>
          <t>USB-C Hub</t>
        </is>
      </c>
      <c r="F4788" s="2" t="inlineStr">
        <is>
          <t>Electronics</t>
        </is>
      </c>
      <c r="G4788" s="2" t="inlineStr">
        <is>
          <t>West</t>
        </is>
      </c>
      <c r="H4788" s="2" t="inlineStr">
        <is>
          <t>Maharashtra</t>
        </is>
      </c>
      <c r="I4788" s="2" t="inlineStr">
        <is>
          <t>Nagpur</t>
        </is>
      </c>
      <c r="J4788" s="2" t="inlineStr">
        <is>
          <t>Online</t>
        </is>
      </c>
      <c r="K4788" s="2" t="n">
        <v>3</v>
      </c>
      <c r="L4788" s="3" t="n">
        <v>1319.21</v>
      </c>
      <c r="M4788" s="4" t="n">
        <v>0.05</v>
      </c>
      <c r="N4788" s="3" t="n">
        <v>2734.34</v>
      </c>
      <c r="O4788" s="3">
        <f>K4788*L4788*(1-M4788)</f>
        <v/>
      </c>
      <c r="P4788" s="3">
        <f>O4788-N4788</f>
        <v/>
      </c>
      <c r="Q4788" s="5">
        <f>IFERROR(P4788/O4788,0)</f>
        <v/>
      </c>
      <c r="R4788" s="2">
        <f>TEXT(DATEVALUE(B4788),"mmm")</f>
        <v/>
      </c>
      <c r="S4788" s="2">
        <f>TEXT(DATEVALUE(B4788),"yyyy-mm")</f>
        <v/>
      </c>
    </row>
    <row r="4789">
      <c r="A4789" s="2" t="inlineStr">
        <is>
          <t>O000421</t>
        </is>
      </c>
      <c r="B4789" s="2" t="inlineStr">
        <is>
          <t>2025-12-16</t>
        </is>
      </c>
      <c r="C4789" s="2" t="inlineStr">
        <is>
          <t>C0394</t>
        </is>
      </c>
      <c r="D4789" s="2" t="inlineStr">
        <is>
          <t>P0005</t>
        </is>
      </c>
      <c r="E4789" s="2" t="inlineStr">
        <is>
          <t>Power Bank</t>
        </is>
      </c>
      <c r="F4789" s="2" t="inlineStr">
        <is>
          <t>Electronics</t>
        </is>
      </c>
      <c r="G4789" s="2" t="inlineStr">
        <is>
          <t>West</t>
        </is>
      </c>
      <c r="H4789" s="2" t="inlineStr">
        <is>
          <t>Goa</t>
        </is>
      </c>
      <c r="I4789" s="2" t="inlineStr">
        <is>
          <t>Panaji</t>
        </is>
      </c>
      <c r="J4789" s="2" t="inlineStr">
        <is>
          <t>Online</t>
        </is>
      </c>
      <c r="K4789" s="2" t="n">
        <v>4</v>
      </c>
      <c r="L4789" s="3" t="n">
        <v>1162.59</v>
      </c>
      <c r="M4789" s="4" t="n">
        <v>0</v>
      </c>
      <c r="N4789" s="3" t="n">
        <v>2712.03</v>
      </c>
      <c r="O4789" s="3">
        <f>K4789*L4789*(1-M4789)</f>
        <v/>
      </c>
      <c r="P4789" s="3">
        <f>O4789-N4789</f>
        <v/>
      </c>
      <c r="Q4789" s="5">
        <f>IFERROR(P4789/O4789,0)</f>
        <v/>
      </c>
      <c r="R4789" s="2">
        <f>TEXT(DATEVALUE(B4789),"mmm")</f>
        <v/>
      </c>
      <c r="S4789" s="2">
        <f>TEXT(DATEVALUE(B4789),"yyyy-mm")</f>
        <v/>
      </c>
    </row>
    <row r="4790">
      <c r="A4790" s="2" t="inlineStr">
        <is>
          <t>O001981</t>
        </is>
      </c>
      <c r="B4790" s="2" t="inlineStr">
        <is>
          <t>2025-12-16</t>
        </is>
      </c>
      <c r="C4790" s="2" t="inlineStr">
        <is>
          <t>C0608</t>
        </is>
      </c>
      <c r="D4790" s="2" t="inlineStr">
        <is>
          <t>P0014</t>
        </is>
      </c>
      <c r="E4790" s="2" t="inlineStr">
        <is>
          <t>Coffee Maker</t>
        </is>
      </c>
      <c r="F4790" s="2" t="inlineStr">
        <is>
          <t>Home &amp; Kitchen</t>
        </is>
      </c>
      <c r="G4790" s="2" t="inlineStr">
        <is>
          <t>South</t>
        </is>
      </c>
      <c r="H4790" s="2" t="inlineStr">
        <is>
          <t>Tamil Nadu</t>
        </is>
      </c>
      <c r="I4790" s="2" t="inlineStr">
        <is>
          <t>Chennai</t>
        </is>
      </c>
      <c r="J4790" s="2" t="inlineStr">
        <is>
          <t>Online</t>
        </is>
      </c>
      <c r="K4790" s="2" t="n">
        <v>1</v>
      </c>
      <c r="L4790" s="3" t="n">
        <v>1020.23</v>
      </c>
      <c r="M4790" s="4" t="n">
        <v>0.25</v>
      </c>
      <c r="N4790" s="3" t="n">
        <v>776.47</v>
      </c>
      <c r="O4790" s="3">
        <f>K4790*L4790*(1-M4790)</f>
        <v/>
      </c>
      <c r="P4790" s="3">
        <f>O4790-N4790</f>
        <v/>
      </c>
      <c r="Q4790" s="5">
        <f>IFERROR(P4790/O4790,0)</f>
        <v/>
      </c>
      <c r="R4790" s="2">
        <f>TEXT(DATEVALUE(B4790),"mmm")</f>
        <v/>
      </c>
      <c r="S4790" s="2">
        <f>TEXT(DATEVALUE(B4790),"yyyy-mm")</f>
        <v/>
      </c>
    </row>
    <row r="4791">
      <c r="A4791" s="2" t="inlineStr">
        <is>
          <t>O004829</t>
        </is>
      </c>
      <c r="B4791" s="2" t="inlineStr">
        <is>
          <t>2025-12-17</t>
        </is>
      </c>
      <c r="C4791" s="2" t="inlineStr">
        <is>
          <t>C0778</t>
        </is>
      </c>
      <c r="D4791" s="2" t="inlineStr">
        <is>
          <t>P0029</t>
        </is>
      </c>
      <c r="E4791" s="2" t="inlineStr">
        <is>
          <t>Yoga Mat</t>
        </is>
      </c>
      <c r="F4791" s="2" t="inlineStr">
        <is>
          <t>Sports</t>
        </is>
      </c>
      <c r="G4791" s="2" t="inlineStr">
        <is>
          <t>North</t>
        </is>
      </c>
      <c r="H4791" s="2" t="inlineStr">
        <is>
          <t>Delhi</t>
        </is>
      </c>
      <c r="I4791" s="2" t="inlineStr">
        <is>
          <t>New Delhi</t>
        </is>
      </c>
      <c r="J4791" s="2" t="inlineStr">
        <is>
          <t>Store</t>
        </is>
      </c>
      <c r="K4791" s="2" t="n">
        <v>4</v>
      </c>
      <c r="L4791" s="3" t="n">
        <v>2319.25</v>
      </c>
      <c r="M4791" s="4" t="n">
        <v>0.25</v>
      </c>
      <c r="N4791" s="3" t="n">
        <v>5291.83</v>
      </c>
      <c r="O4791" s="3">
        <f>K4791*L4791*(1-M4791)</f>
        <v/>
      </c>
      <c r="P4791" s="3">
        <f>O4791-N4791</f>
        <v/>
      </c>
      <c r="Q4791" s="5">
        <f>IFERROR(P4791/O4791,0)</f>
        <v/>
      </c>
      <c r="R4791" s="2">
        <f>TEXT(DATEVALUE(B4791),"mmm")</f>
        <v/>
      </c>
      <c r="S4791" s="2">
        <f>TEXT(DATEVALUE(B4791),"yyyy-mm")</f>
        <v/>
      </c>
    </row>
    <row r="4792">
      <c r="A4792" s="2" t="inlineStr">
        <is>
          <t>O004114</t>
        </is>
      </c>
      <c r="B4792" s="2" t="inlineStr">
        <is>
          <t>2025-12-17</t>
        </is>
      </c>
      <c r="C4792" s="2" t="inlineStr">
        <is>
          <t>C0777</t>
        </is>
      </c>
      <c r="D4792" s="2" t="inlineStr">
        <is>
          <t>P0007</t>
        </is>
      </c>
      <c r="E4792" s="2" t="inlineStr">
        <is>
          <t>Wireless Mouse</t>
        </is>
      </c>
      <c r="F4792" s="2" t="inlineStr">
        <is>
          <t>Electronics</t>
        </is>
      </c>
      <c r="G4792" s="2" t="inlineStr">
        <is>
          <t>West</t>
        </is>
      </c>
      <c r="H4792" s="2" t="inlineStr">
        <is>
          <t>Gujarat</t>
        </is>
      </c>
      <c r="I4792" s="2" t="inlineStr">
        <is>
          <t>Vadodara</t>
        </is>
      </c>
      <c r="J4792" s="2" t="inlineStr">
        <is>
          <t>Online</t>
        </is>
      </c>
      <c r="K4792" s="2" t="n">
        <v>3</v>
      </c>
      <c r="L4792" s="3" t="n">
        <v>984.5599999999999</v>
      </c>
      <c r="M4792" s="4" t="n">
        <v>0.1</v>
      </c>
      <c r="N4792" s="3" t="n">
        <v>1850.2</v>
      </c>
      <c r="O4792" s="3">
        <f>K4792*L4792*(1-M4792)</f>
        <v/>
      </c>
      <c r="P4792" s="3">
        <f>O4792-N4792</f>
        <v/>
      </c>
      <c r="Q4792" s="5">
        <f>IFERROR(P4792/O4792,0)</f>
        <v/>
      </c>
      <c r="R4792" s="2">
        <f>TEXT(DATEVALUE(B4792),"mmm")</f>
        <v/>
      </c>
      <c r="S4792" s="2">
        <f>TEXT(DATEVALUE(B4792),"yyyy-mm")</f>
        <v/>
      </c>
    </row>
    <row r="4793">
      <c r="A4793" s="2" t="inlineStr">
        <is>
          <t>O003944</t>
        </is>
      </c>
      <c r="B4793" s="2" t="inlineStr">
        <is>
          <t>2025-12-17</t>
        </is>
      </c>
      <c r="C4793" s="2" t="inlineStr">
        <is>
          <t>C0414</t>
        </is>
      </c>
      <c r="D4793" s="2" t="inlineStr">
        <is>
          <t>P0004</t>
        </is>
      </c>
      <c r="E4793" s="2" t="inlineStr">
        <is>
          <t>USB-C Hub</t>
        </is>
      </c>
      <c r="F4793" s="2" t="inlineStr">
        <is>
          <t>Electronics</t>
        </is>
      </c>
      <c r="G4793" s="2" t="inlineStr">
        <is>
          <t>South</t>
        </is>
      </c>
      <c r="H4793" s="2" t="inlineStr">
        <is>
          <t>Kerala</t>
        </is>
      </c>
      <c r="I4793" s="2" t="inlineStr">
        <is>
          <t>Kochi</t>
        </is>
      </c>
      <c r="J4793" s="2" t="inlineStr">
        <is>
          <t>Online</t>
        </is>
      </c>
      <c r="K4793" s="2" t="n">
        <v>1</v>
      </c>
      <c r="L4793" s="3" t="n">
        <v>1246.54</v>
      </c>
      <c r="M4793" s="4" t="n">
        <v>0.05</v>
      </c>
      <c r="N4793" s="3" t="n">
        <v>916.3</v>
      </c>
      <c r="O4793" s="3">
        <f>K4793*L4793*(1-M4793)</f>
        <v/>
      </c>
      <c r="P4793" s="3">
        <f>O4793-N4793</f>
        <v/>
      </c>
      <c r="Q4793" s="5">
        <f>IFERROR(P4793/O4793,0)</f>
        <v/>
      </c>
      <c r="R4793" s="2">
        <f>TEXT(DATEVALUE(B4793),"mmm")</f>
        <v/>
      </c>
      <c r="S4793" s="2">
        <f>TEXT(DATEVALUE(B4793),"yyyy-mm")</f>
        <v/>
      </c>
    </row>
    <row r="4794">
      <c r="A4794" s="2" t="inlineStr">
        <is>
          <t>O003893</t>
        </is>
      </c>
      <c r="B4794" s="2" t="inlineStr">
        <is>
          <t>2025-12-17</t>
        </is>
      </c>
      <c r="C4794" s="2" t="inlineStr">
        <is>
          <t>C0121</t>
        </is>
      </c>
      <c r="D4794" s="2" t="inlineStr">
        <is>
          <t>P0013</t>
        </is>
      </c>
      <c r="E4794" s="2" t="inlineStr">
        <is>
          <t>Storage Organizer</t>
        </is>
      </c>
      <c r="F4794" s="2" t="inlineStr">
        <is>
          <t>Home &amp; Kitchen</t>
        </is>
      </c>
      <c r="G4794" s="2" t="inlineStr">
        <is>
          <t>West</t>
        </is>
      </c>
      <c r="H4794" s="2" t="inlineStr">
        <is>
          <t>Gujarat</t>
        </is>
      </c>
      <c r="I4794" s="2" t="inlineStr">
        <is>
          <t>Ahmedabad</t>
        </is>
      </c>
      <c r="J4794" s="2" t="inlineStr">
        <is>
          <t>Store</t>
        </is>
      </c>
      <c r="K4794" s="2" t="n">
        <v>6</v>
      </c>
      <c r="L4794" s="3" t="n">
        <v>562.46</v>
      </c>
      <c r="M4794" s="4" t="n">
        <v>0.1</v>
      </c>
      <c r="N4794" s="3" t="n">
        <v>2128.52</v>
      </c>
      <c r="O4794" s="3">
        <f>K4794*L4794*(1-M4794)</f>
        <v/>
      </c>
      <c r="P4794" s="3">
        <f>O4794-N4794</f>
        <v/>
      </c>
      <c r="Q4794" s="5">
        <f>IFERROR(P4794/O4794,0)</f>
        <v/>
      </c>
      <c r="R4794" s="2">
        <f>TEXT(DATEVALUE(B4794),"mmm")</f>
        <v/>
      </c>
      <c r="S4794" s="2">
        <f>TEXT(DATEVALUE(B4794),"yyyy-mm")</f>
        <v/>
      </c>
    </row>
    <row r="4795">
      <c r="A4795" s="2" t="inlineStr">
        <is>
          <t>O002181</t>
        </is>
      </c>
      <c r="B4795" s="2" t="inlineStr">
        <is>
          <t>2025-12-17</t>
        </is>
      </c>
      <c r="C4795" s="2" t="inlineStr">
        <is>
          <t>C0389</t>
        </is>
      </c>
      <c r="D4795" s="2" t="inlineStr">
        <is>
          <t>P0021</t>
        </is>
      </c>
      <c r="E4795" s="2" t="inlineStr">
        <is>
          <t>Wallet</t>
        </is>
      </c>
      <c r="F4795" s="2" t="inlineStr">
        <is>
          <t>Fashion</t>
        </is>
      </c>
      <c r="G4795" s="2" t="inlineStr">
        <is>
          <t>West</t>
        </is>
      </c>
      <c r="H4795" s="2" t="inlineStr">
        <is>
          <t>Maharashtra</t>
        </is>
      </c>
      <c r="I4795" s="2" t="inlineStr">
        <is>
          <t>Nagpur</t>
        </is>
      </c>
      <c r="J4795" s="2" t="inlineStr">
        <is>
          <t>Online</t>
        </is>
      </c>
      <c r="K4795" s="2" t="n">
        <v>2</v>
      </c>
      <c r="L4795" s="3" t="n">
        <v>2009.53</v>
      </c>
      <c r="M4795" s="4" t="n">
        <v>0.15</v>
      </c>
      <c r="N4795" s="3" t="n">
        <v>2355.46</v>
      </c>
      <c r="O4795" s="3">
        <f>K4795*L4795*(1-M4795)</f>
        <v/>
      </c>
      <c r="P4795" s="3">
        <f>O4795-N4795</f>
        <v/>
      </c>
      <c r="Q4795" s="5">
        <f>IFERROR(P4795/O4795,0)</f>
        <v/>
      </c>
      <c r="R4795" s="2">
        <f>TEXT(DATEVALUE(B4795),"mmm")</f>
        <v/>
      </c>
      <c r="S4795" s="2">
        <f>TEXT(DATEVALUE(B4795),"yyyy-mm")</f>
        <v/>
      </c>
    </row>
    <row r="4796">
      <c r="A4796" s="2" t="inlineStr">
        <is>
          <t>O000744</t>
        </is>
      </c>
      <c r="B4796" s="2" t="inlineStr">
        <is>
          <t>2025-12-17</t>
        </is>
      </c>
      <c r="C4796" s="2" t="inlineStr">
        <is>
          <t>C0577</t>
        </is>
      </c>
      <c r="D4796" s="2" t="inlineStr">
        <is>
          <t>P0003</t>
        </is>
      </c>
      <c r="E4796" s="2" t="inlineStr">
        <is>
          <t>Smartwatch</t>
        </is>
      </c>
      <c r="F4796" s="2" t="inlineStr">
        <is>
          <t>Electronics</t>
        </is>
      </c>
      <c r="G4796" s="2" t="inlineStr">
        <is>
          <t>North</t>
        </is>
      </c>
      <c r="H4796" s="2" t="inlineStr">
        <is>
          <t>Delhi</t>
        </is>
      </c>
      <c r="I4796" s="2" t="inlineStr">
        <is>
          <t>New Delhi</t>
        </is>
      </c>
      <c r="J4796" s="2" t="inlineStr">
        <is>
          <t>Online</t>
        </is>
      </c>
      <c r="K4796" s="2" t="n">
        <v>2</v>
      </c>
      <c r="L4796" s="3" t="n">
        <v>2290.94</v>
      </c>
      <c r="M4796" s="4" t="n">
        <v>0</v>
      </c>
      <c r="N4796" s="3" t="n">
        <v>2355.77</v>
      </c>
      <c r="O4796" s="3">
        <f>K4796*L4796*(1-M4796)</f>
        <v/>
      </c>
      <c r="P4796" s="3">
        <f>O4796-N4796</f>
        <v/>
      </c>
      <c r="Q4796" s="5">
        <f>IFERROR(P4796/O4796,0)</f>
        <v/>
      </c>
      <c r="R4796" s="2">
        <f>TEXT(DATEVALUE(B4796),"mmm")</f>
        <v/>
      </c>
      <c r="S4796" s="2">
        <f>TEXT(DATEVALUE(B4796),"yyyy-mm")</f>
        <v/>
      </c>
    </row>
    <row r="4797">
      <c r="A4797" s="2" t="inlineStr">
        <is>
          <t>O000075</t>
        </is>
      </c>
      <c r="B4797" s="2" t="inlineStr">
        <is>
          <t>2025-12-17</t>
        </is>
      </c>
      <c r="C4797" s="2" t="inlineStr">
        <is>
          <t>C0385</t>
        </is>
      </c>
      <c r="D4797" s="2" t="inlineStr">
        <is>
          <t>P0011</t>
        </is>
      </c>
      <c r="E4797" s="2" t="inlineStr">
        <is>
          <t>Cookware Set</t>
        </is>
      </c>
      <c r="F4797" s="2" t="inlineStr">
        <is>
          <t>Home &amp; Kitchen</t>
        </is>
      </c>
      <c r="G4797" s="2" t="inlineStr">
        <is>
          <t>West</t>
        </is>
      </c>
      <c r="H4797" s="2" t="inlineStr">
        <is>
          <t>Maharashtra</t>
        </is>
      </c>
      <c r="I4797" s="2" t="inlineStr">
        <is>
          <t>Mumbai</t>
        </is>
      </c>
      <c r="J4797" s="2" t="inlineStr">
        <is>
          <t>Store</t>
        </is>
      </c>
      <c r="K4797" s="2" t="n">
        <v>6</v>
      </c>
      <c r="L4797" s="3" t="n">
        <v>704.29</v>
      </c>
      <c r="M4797" s="4" t="n">
        <v>0.1</v>
      </c>
      <c r="N4797" s="3" t="n">
        <v>2763.81</v>
      </c>
      <c r="O4797" s="3">
        <f>K4797*L4797*(1-M4797)</f>
        <v/>
      </c>
      <c r="P4797" s="3">
        <f>O4797-N4797</f>
        <v/>
      </c>
      <c r="Q4797" s="5">
        <f>IFERROR(P4797/O4797,0)</f>
        <v/>
      </c>
      <c r="R4797" s="2">
        <f>TEXT(DATEVALUE(B4797),"mmm")</f>
        <v/>
      </c>
      <c r="S4797" s="2">
        <f>TEXT(DATEVALUE(B4797),"yyyy-mm")</f>
        <v/>
      </c>
    </row>
    <row r="4798">
      <c r="A4798" s="2" t="inlineStr">
        <is>
          <t>O002597</t>
        </is>
      </c>
      <c r="B4798" s="2" t="inlineStr">
        <is>
          <t>2025-12-17</t>
        </is>
      </c>
      <c r="C4798" s="2" t="inlineStr">
        <is>
          <t>C0439</t>
        </is>
      </c>
      <c r="D4798" s="2" t="inlineStr">
        <is>
          <t>P0017</t>
        </is>
      </c>
      <c r="E4798" s="2" t="inlineStr">
        <is>
          <t>Jeans</t>
        </is>
      </c>
      <c r="F4798" s="2" t="inlineStr">
        <is>
          <t>Fashion</t>
        </is>
      </c>
      <c r="G4798" s="2" t="inlineStr">
        <is>
          <t>West</t>
        </is>
      </c>
      <c r="H4798" s="2" t="inlineStr">
        <is>
          <t>Goa</t>
        </is>
      </c>
      <c r="I4798" s="2" t="inlineStr">
        <is>
          <t>Margao</t>
        </is>
      </c>
      <c r="J4798" s="2" t="inlineStr">
        <is>
          <t>Store</t>
        </is>
      </c>
      <c r="K4798" s="2" t="n">
        <v>1</v>
      </c>
      <c r="L4798" s="3" t="n">
        <v>1545.54</v>
      </c>
      <c r="M4798" s="4" t="n">
        <v>0.05</v>
      </c>
      <c r="N4798" s="3" t="n">
        <v>1026.49</v>
      </c>
      <c r="O4798" s="3">
        <f>K4798*L4798*(1-M4798)</f>
        <v/>
      </c>
      <c r="P4798" s="3">
        <f>O4798-N4798</f>
        <v/>
      </c>
      <c r="Q4798" s="5">
        <f>IFERROR(P4798/O4798,0)</f>
        <v/>
      </c>
      <c r="R4798" s="2">
        <f>TEXT(DATEVALUE(B4798),"mmm")</f>
        <v/>
      </c>
      <c r="S4798" s="2">
        <f>TEXT(DATEVALUE(B4798),"yyyy-mm")</f>
        <v/>
      </c>
    </row>
    <row r="4799">
      <c r="A4799" s="2" t="inlineStr">
        <is>
          <t>O004526</t>
        </is>
      </c>
      <c r="B4799" s="2" t="inlineStr">
        <is>
          <t>2025-12-18</t>
        </is>
      </c>
      <c r="C4799" s="2" t="inlineStr">
        <is>
          <t>C0616</t>
        </is>
      </c>
      <c r="D4799" s="2" t="inlineStr">
        <is>
          <t>P0025</t>
        </is>
      </c>
      <c r="E4799" s="2" t="inlineStr">
        <is>
          <t>Perfume</t>
        </is>
      </c>
      <c r="F4799" s="2" t="inlineStr">
        <is>
          <t>Beauty</t>
        </is>
      </c>
      <c r="G4799" s="2" t="inlineStr">
        <is>
          <t>North</t>
        </is>
      </c>
      <c r="H4799" s="2" t="inlineStr">
        <is>
          <t>Delhi</t>
        </is>
      </c>
      <c r="I4799" s="2" t="inlineStr">
        <is>
          <t>New Delhi</t>
        </is>
      </c>
      <c r="J4799" s="2" t="inlineStr">
        <is>
          <t>Online</t>
        </is>
      </c>
      <c r="K4799" s="2" t="n">
        <v>2</v>
      </c>
      <c r="L4799" s="3" t="n">
        <v>805.8099999999999</v>
      </c>
      <c r="M4799" s="4" t="n">
        <v>0.1</v>
      </c>
      <c r="N4799" s="3" t="n">
        <v>1219.94</v>
      </c>
      <c r="O4799" s="3">
        <f>K4799*L4799*(1-M4799)</f>
        <v/>
      </c>
      <c r="P4799" s="3">
        <f>O4799-N4799</f>
        <v/>
      </c>
      <c r="Q4799" s="5">
        <f>IFERROR(P4799/O4799,0)</f>
        <v/>
      </c>
      <c r="R4799" s="2">
        <f>TEXT(DATEVALUE(B4799),"mmm")</f>
        <v/>
      </c>
      <c r="S4799" s="2">
        <f>TEXT(DATEVALUE(B4799),"yyyy-mm")</f>
        <v/>
      </c>
    </row>
    <row r="4800">
      <c r="A4800" s="2" t="inlineStr">
        <is>
          <t>O004220</t>
        </is>
      </c>
      <c r="B4800" s="2" t="inlineStr">
        <is>
          <t>2025-12-18</t>
        </is>
      </c>
      <c r="C4800" s="2" t="inlineStr">
        <is>
          <t>C0404</t>
        </is>
      </c>
      <c r="D4800" s="2" t="inlineStr">
        <is>
          <t>P0033</t>
        </is>
      </c>
      <c r="E4800" s="2" t="inlineStr">
        <is>
          <t>Resistance Bands</t>
        </is>
      </c>
      <c r="F4800" s="2" t="inlineStr">
        <is>
          <t>Sports</t>
        </is>
      </c>
      <c r="G4800" s="2" t="inlineStr">
        <is>
          <t>South</t>
        </is>
      </c>
      <c r="H4800" s="2" t="inlineStr">
        <is>
          <t>Telangana</t>
        </is>
      </c>
      <c r="I4800" s="2" t="inlineStr">
        <is>
          <t>Warangal</t>
        </is>
      </c>
      <c r="J4800" s="2" t="inlineStr">
        <is>
          <t>Online</t>
        </is>
      </c>
      <c r="K4800" s="2" t="n">
        <v>6</v>
      </c>
      <c r="L4800" s="3" t="n">
        <v>1124.53</v>
      </c>
      <c r="M4800" s="4" t="n">
        <v>0.1</v>
      </c>
      <c r="N4800" s="3" t="n">
        <v>4706.98</v>
      </c>
      <c r="O4800" s="3">
        <f>K4800*L4800*(1-M4800)</f>
        <v/>
      </c>
      <c r="P4800" s="3">
        <f>O4800-N4800</f>
        <v/>
      </c>
      <c r="Q4800" s="5">
        <f>IFERROR(P4800/O4800,0)</f>
        <v/>
      </c>
      <c r="R4800" s="2">
        <f>TEXT(DATEVALUE(B4800),"mmm")</f>
        <v/>
      </c>
      <c r="S4800" s="2">
        <f>TEXT(DATEVALUE(B4800),"yyyy-mm")</f>
        <v/>
      </c>
    </row>
    <row r="4801">
      <c r="A4801" s="2" t="inlineStr">
        <is>
          <t>O003982</t>
        </is>
      </c>
      <c r="B4801" s="2" t="inlineStr">
        <is>
          <t>2025-12-18</t>
        </is>
      </c>
      <c r="C4801" s="2" t="inlineStr">
        <is>
          <t>C0764</t>
        </is>
      </c>
      <c r="D4801" s="2" t="inlineStr">
        <is>
          <t>P0014</t>
        </is>
      </c>
      <c r="E4801" s="2" t="inlineStr">
        <is>
          <t>Coffee Maker</t>
        </is>
      </c>
      <c r="F4801" s="2" t="inlineStr">
        <is>
          <t>Home &amp; Kitchen</t>
        </is>
      </c>
      <c r="G4801" s="2" t="inlineStr">
        <is>
          <t>East</t>
        </is>
      </c>
      <c r="H4801" s="2" t="inlineStr">
        <is>
          <t>West Bengal</t>
        </is>
      </c>
      <c r="I4801" s="2" t="inlineStr">
        <is>
          <t>Durgapur</t>
        </is>
      </c>
      <c r="J4801" s="2" t="inlineStr">
        <is>
          <t>Online</t>
        </is>
      </c>
      <c r="K4801" s="2" t="n">
        <v>1</v>
      </c>
      <c r="L4801" s="3" t="n">
        <v>1072.75</v>
      </c>
      <c r="M4801" s="4" t="n">
        <v>0</v>
      </c>
      <c r="N4801" s="3" t="n">
        <v>744.09</v>
      </c>
      <c r="O4801" s="3">
        <f>K4801*L4801*(1-M4801)</f>
        <v/>
      </c>
      <c r="P4801" s="3">
        <f>O4801-N4801</f>
        <v/>
      </c>
      <c r="Q4801" s="5">
        <f>IFERROR(P4801/O4801,0)</f>
        <v/>
      </c>
      <c r="R4801" s="2">
        <f>TEXT(DATEVALUE(B4801),"mmm")</f>
        <v/>
      </c>
      <c r="S4801" s="2">
        <f>TEXT(DATEVALUE(B4801),"yyyy-mm")</f>
        <v/>
      </c>
    </row>
    <row r="4802">
      <c r="A4802" s="2" t="inlineStr">
        <is>
          <t>O003536</t>
        </is>
      </c>
      <c r="B4802" s="2" t="inlineStr">
        <is>
          <t>2025-12-18</t>
        </is>
      </c>
      <c r="C4802" s="2" t="inlineStr">
        <is>
          <t>C0284</t>
        </is>
      </c>
      <c r="D4802" s="2" t="inlineStr">
        <is>
          <t>P0013</t>
        </is>
      </c>
      <c r="E4802" s="2" t="inlineStr">
        <is>
          <t>Storage Organizer</t>
        </is>
      </c>
      <c r="F4802" s="2" t="inlineStr">
        <is>
          <t>Home &amp; Kitchen</t>
        </is>
      </c>
      <c r="G4802" s="2" t="inlineStr">
        <is>
          <t>East</t>
        </is>
      </c>
      <c r="H4802" s="2" t="inlineStr">
        <is>
          <t>West Bengal</t>
        </is>
      </c>
      <c r="I4802" s="2" t="inlineStr">
        <is>
          <t>Durgapur</t>
        </is>
      </c>
      <c r="J4802" s="2" t="inlineStr">
        <is>
          <t>Store</t>
        </is>
      </c>
      <c r="K4802" s="2" t="n">
        <v>1</v>
      </c>
      <c r="L4802" s="3" t="n">
        <v>551.1</v>
      </c>
      <c r="M4802" s="4" t="n">
        <v>0.1</v>
      </c>
      <c r="N4802" s="3" t="n">
        <v>374.05</v>
      </c>
      <c r="O4802" s="3">
        <f>K4802*L4802*(1-M4802)</f>
        <v/>
      </c>
      <c r="P4802" s="3">
        <f>O4802-N4802</f>
        <v/>
      </c>
      <c r="Q4802" s="5">
        <f>IFERROR(P4802/O4802,0)</f>
        <v/>
      </c>
      <c r="R4802" s="2">
        <f>TEXT(DATEVALUE(B4802),"mmm")</f>
        <v/>
      </c>
      <c r="S4802" s="2">
        <f>TEXT(DATEVALUE(B4802),"yyyy-mm")</f>
        <v/>
      </c>
    </row>
    <row r="4803">
      <c r="A4803" s="2" t="inlineStr">
        <is>
          <t>O003508</t>
        </is>
      </c>
      <c r="B4803" s="2" t="inlineStr">
        <is>
          <t>2025-12-18</t>
        </is>
      </c>
      <c r="C4803" s="2" t="inlineStr">
        <is>
          <t>C0609</t>
        </is>
      </c>
      <c r="D4803" s="2" t="inlineStr">
        <is>
          <t>P0030</t>
        </is>
      </c>
      <c r="E4803" s="2" t="inlineStr">
        <is>
          <t>Dumbbells</t>
        </is>
      </c>
      <c r="F4803" s="2" t="inlineStr">
        <is>
          <t>Sports</t>
        </is>
      </c>
      <c r="G4803" s="2" t="inlineStr">
        <is>
          <t>South</t>
        </is>
      </c>
      <c r="H4803" s="2" t="inlineStr">
        <is>
          <t>Kerala</t>
        </is>
      </c>
      <c r="I4803" s="2" t="inlineStr">
        <is>
          <t>Thiruvananthapuram</t>
        </is>
      </c>
      <c r="J4803" s="2" t="inlineStr">
        <is>
          <t>Online</t>
        </is>
      </c>
      <c r="K4803" s="2" t="n">
        <v>1</v>
      </c>
      <c r="L4803" s="3" t="n">
        <v>1588.93</v>
      </c>
      <c r="M4803" s="4" t="n">
        <v>0.1</v>
      </c>
      <c r="N4803" s="3" t="n">
        <v>1059.53</v>
      </c>
      <c r="O4803" s="3">
        <f>K4803*L4803*(1-M4803)</f>
        <v/>
      </c>
      <c r="P4803" s="3">
        <f>O4803-N4803</f>
        <v/>
      </c>
      <c r="Q4803" s="5">
        <f>IFERROR(P4803/O4803,0)</f>
        <v/>
      </c>
      <c r="R4803" s="2">
        <f>TEXT(DATEVALUE(B4803),"mmm")</f>
        <v/>
      </c>
      <c r="S4803" s="2">
        <f>TEXT(DATEVALUE(B4803),"yyyy-mm")</f>
        <v/>
      </c>
    </row>
    <row r="4804">
      <c r="A4804" s="2" t="inlineStr">
        <is>
          <t>O002565</t>
        </is>
      </c>
      <c r="B4804" s="2" t="inlineStr">
        <is>
          <t>2025-12-18</t>
        </is>
      </c>
      <c r="C4804" s="2" t="inlineStr">
        <is>
          <t>C0430</t>
        </is>
      </c>
      <c r="D4804" s="2" t="inlineStr">
        <is>
          <t>P0016</t>
        </is>
      </c>
      <c r="E4804" s="2" t="inlineStr">
        <is>
          <t>Casual Shirt</t>
        </is>
      </c>
      <c r="F4804" s="2" t="inlineStr">
        <is>
          <t>Fashion</t>
        </is>
      </c>
      <c r="G4804" s="2" t="inlineStr">
        <is>
          <t>West</t>
        </is>
      </c>
      <c r="H4804" s="2" t="inlineStr">
        <is>
          <t>Gujarat</t>
        </is>
      </c>
      <c r="I4804" s="2" t="inlineStr">
        <is>
          <t>Ahmedabad</t>
        </is>
      </c>
      <c r="J4804" s="2" t="inlineStr">
        <is>
          <t>Online</t>
        </is>
      </c>
      <c r="K4804" s="2" t="n">
        <v>3</v>
      </c>
      <c r="L4804" s="3" t="n">
        <v>1268.73</v>
      </c>
      <c r="M4804" s="4" t="n">
        <v>0</v>
      </c>
      <c r="N4804" s="3" t="n">
        <v>2659.2</v>
      </c>
      <c r="O4804" s="3">
        <f>K4804*L4804*(1-M4804)</f>
        <v/>
      </c>
      <c r="P4804" s="3">
        <f>O4804-N4804</f>
        <v/>
      </c>
      <c r="Q4804" s="5">
        <f>IFERROR(P4804/O4804,0)</f>
        <v/>
      </c>
      <c r="R4804" s="2">
        <f>TEXT(DATEVALUE(B4804),"mmm")</f>
        <v/>
      </c>
      <c r="S4804" s="2">
        <f>TEXT(DATEVALUE(B4804),"yyyy-mm")</f>
        <v/>
      </c>
    </row>
    <row r="4805">
      <c r="A4805" s="2" t="inlineStr">
        <is>
          <t>O004349</t>
        </is>
      </c>
      <c r="B4805" s="2" t="inlineStr">
        <is>
          <t>2025-12-18</t>
        </is>
      </c>
      <c r="C4805" s="2" t="inlineStr">
        <is>
          <t>C0116</t>
        </is>
      </c>
      <c r="D4805" s="2" t="inlineStr">
        <is>
          <t>P0005</t>
        </is>
      </c>
      <c r="E4805" s="2" t="inlineStr">
        <is>
          <t>Power Bank</t>
        </is>
      </c>
      <c r="F4805" s="2" t="inlineStr">
        <is>
          <t>Electronics</t>
        </is>
      </c>
      <c r="G4805" s="2" t="inlineStr">
        <is>
          <t>North</t>
        </is>
      </c>
      <c r="H4805" s="2" t="inlineStr">
        <is>
          <t>Punjab</t>
        </is>
      </c>
      <c r="I4805" s="2" t="inlineStr">
        <is>
          <t>Ludhiana</t>
        </is>
      </c>
      <c r="J4805" s="2" t="inlineStr">
        <is>
          <t>Store</t>
        </is>
      </c>
      <c r="K4805" s="2" t="n">
        <v>1</v>
      </c>
      <c r="L4805" s="3" t="n">
        <v>1175.24</v>
      </c>
      <c r="M4805" s="4" t="n">
        <v>0.05</v>
      </c>
      <c r="N4805" s="3" t="n">
        <v>682.73</v>
      </c>
      <c r="O4805" s="3">
        <f>K4805*L4805*(1-M4805)</f>
        <v/>
      </c>
      <c r="P4805" s="3">
        <f>O4805-N4805</f>
        <v/>
      </c>
      <c r="Q4805" s="5">
        <f>IFERROR(P4805/O4805,0)</f>
        <v/>
      </c>
      <c r="R4805" s="2">
        <f>TEXT(DATEVALUE(B4805),"mmm")</f>
        <v/>
      </c>
      <c r="S4805" s="2">
        <f>TEXT(DATEVALUE(B4805),"yyyy-mm")</f>
        <v/>
      </c>
    </row>
    <row r="4806">
      <c r="A4806" s="2" t="inlineStr">
        <is>
          <t>O001894</t>
        </is>
      </c>
      <c r="B4806" s="2" t="inlineStr">
        <is>
          <t>2025-12-18</t>
        </is>
      </c>
      <c r="C4806" s="2" t="inlineStr">
        <is>
          <t>C0597</t>
        </is>
      </c>
      <c r="D4806" s="2" t="inlineStr">
        <is>
          <t>P0015</t>
        </is>
      </c>
      <c r="E4806" s="2" t="inlineStr">
        <is>
          <t>Running Shoes</t>
        </is>
      </c>
      <c r="F4806" s="2" t="inlineStr">
        <is>
          <t>Fashion</t>
        </is>
      </c>
      <c r="G4806" s="2" t="inlineStr">
        <is>
          <t>North</t>
        </is>
      </c>
      <c r="H4806" s="2" t="inlineStr">
        <is>
          <t>Haryana</t>
        </is>
      </c>
      <c r="I4806" s="2" t="inlineStr">
        <is>
          <t>Faridabad</t>
        </is>
      </c>
      <c r="J4806" s="2" t="inlineStr">
        <is>
          <t>Online</t>
        </is>
      </c>
      <c r="K4806" s="2" t="n">
        <v>1</v>
      </c>
      <c r="L4806" s="3" t="n">
        <v>626.3200000000001</v>
      </c>
      <c r="M4806" s="4" t="n">
        <v>0.05</v>
      </c>
      <c r="N4806" s="3" t="n">
        <v>371.08</v>
      </c>
      <c r="O4806" s="3">
        <f>K4806*L4806*(1-M4806)</f>
        <v/>
      </c>
      <c r="P4806" s="3">
        <f>O4806-N4806</f>
        <v/>
      </c>
      <c r="Q4806" s="5">
        <f>IFERROR(P4806/O4806,0)</f>
        <v/>
      </c>
      <c r="R4806" s="2">
        <f>TEXT(DATEVALUE(B4806),"mmm")</f>
        <v/>
      </c>
      <c r="S4806" s="2">
        <f>TEXT(DATEVALUE(B4806),"yyyy-mm")</f>
        <v/>
      </c>
    </row>
    <row r="4807">
      <c r="A4807" s="2" t="inlineStr">
        <is>
          <t>O001695</t>
        </is>
      </c>
      <c r="B4807" s="2" t="inlineStr">
        <is>
          <t>2025-12-18</t>
        </is>
      </c>
      <c r="C4807" s="2" t="inlineStr">
        <is>
          <t>C0078</t>
        </is>
      </c>
      <c r="D4807" s="2" t="inlineStr">
        <is>
          <t>P0026</t>
        </is>
      </c>
      <c r="E4807" s="2" t="inlineStr">
        <is>
          <t>Shampoo</t>
        </is>
      </c>
      <c r="F4807" s="2" t="inlineStr">
        <is>
          <t>Beauty</t>
        </is>
      </c>
      <c r="G4807" s="2" t="inlineStr">
        <is>
          <t>West</t>
        </is>
      </c>
      <c r="H4807" s="2" t="inlineStr">
        <is>
          <t>Goa</t>
        </is>
      </c>
      <c r="I4807" s="2" t="inlineStr">
        <is>
          <t>Margao</t>
        </is>
      </c>
      <c r="J4807" s="2" t="inlineStr">
        <is>
          <t>Online</t>
        </is>
      </c>
      <c r="K4807" s="2" t="n">
        <v>2</v>
      </c>
      <c r="L4807" s="3" t="n">
        <v>894.9299999999999</v>
      </c>
      <c r="M4807" s="4" t="n">
        <v>0</v>
      </c>
      <c r="N4807" s="3" t="n">
        <v>1030.99</v>
      </c>
      <c r="O4807" s="3">
        <f>K4807*L4807*(1-M4807)</f>
        <v/>
      </c>
      <c r="P4807" s="3">
        <f>O4807-N4807</f>
        <v/>
      </c>
      <c r="Q4807" s="5">
        <f>IFERROR(P4807/O4807,0)</f>
        <v/>
      </c>
      <c r="R4807" s="2">
        <f>TEXT(DATEVALUE(B4807),"mmm")</f>
        <v/>
      </c>
      <c r="S4807" s="2">
        <f>TEXT(DATEVALUE(B4807),"yyyy-mm")</f>
        <v/>
      </c>
    </row>
    <row r="4808">
      <c r="A4808" s="2" t="inlineStr">
        <is>
          <t>O000834</t>
        </is>
      </c>
      <c r="B4808" s="2" t="inlineStr">
        <is>
          <t>2025-12-18</t>
        </is>
      </c>
      <c r="C4808" s="2" t="inlineStr">
        <is>
          <t>C0584</t>
        </is>
      </c>
      <c r="D4808" s="2" t="inlineStr">
        <is>
          <t>P0018</t>
        </is>
      </c>
      <c r="E4808" s="2" t="inlineStr">
        <is>
          <t>Backpack</t>
        </is>
      </c>
      <c r="F4808" s="2" t="inlineStr">
        <is>
          <t>Fashion</t>
        </is>
      </c>
      <c r="G4808" s="2" t="inlineStr">
        <is>
          <t>West</t>
        </is>
      </c>
      <c r="H4808" s="2" t="inlineStr">
        <is>
          <t>Gujarat</t>
        </is>
      </c>
      <c r="I4808" s="2" t="inlineStr">
        <is>
          <t>Ahmedabad</t>
        </is>
      </c>
      <c r="J4808" s="2" t="inlineStr">
        <is>
          <t>Online</t>
        </is>
      </c>
      <c r="K4808" s="2" t="n">
        <v>2</v>
      </c>
      <c r="L4808" s="3" t="n">
        <v>1855.77</v>
      </c>
      <c r="M4808" s="4" t="n">
        <v>0.1</v>
      </c>
      <c r="N4808" s="3" t="n">
        <v>2703.47</v>
      </c>
      <c r="O4808" s="3">
        <f>K4808*L4808*(1-M4808)</f>
        <v/>
      </c>
      <c r="P4808" s="3">
        <f>O4808-N4808</f>
        <v/>
      </c>
      <c r="Q4808" s="5">
        <f>IFERROR(P4808/O4808,0)</f>
        <v/>
      </c>
      <c r="R4808" s="2">
        <f>TEXT(DATEVALUE(B4808),"mmm")</f>
        <v/>
      </c>
      <c r="S4808" s="2">
        <f>TEXT(DATEVALUE(B4808),"yyyy-mm")</f>
        <v/>
      </c>
    </row>
    <row r="4809">
      <c r="A4809" s="2" t="inlineStr">
        <is>
          <t>O000246</t>
        </is>
      </c>
      <c r="B4809" s="2" t="inlineStr">
        <is>
          <t>2025-12-18</t>
        </is>
      </c>
      <c r="C4809" s="2" t="inlineStr">
        <is>
          <t>C0234</t>
        </is>
      </c>
      <c r="D4809" s="2" t="inlineStr">
        <is>
          <t>P0017</t>
        </is>
      </c>
      <c r="E4809" s="2" t="inlineStr">
        <is>
          <t>Jeans</t>
        </is>
      </c>
      <c r="F4809" s="2" t="inlineStr">
        <is>
          <t>Fashion</t>
        </is>
      </c>
      <c r="G4809" s="2" t="inlineStr">
        <is>
          <t>South</t>
        </is>
      </c>
      <c r="H4809" s="2" t="inlineStr">
        <is>
          <t>Karnataka</t>
        </is>
      </c>
      <c r="I4809" s="2" t="inlineStr">
        <is>
          <t>Bengaluru</t>
        </is>
      </c>
      <c r="J4809" s="2" t="inlineStr">
        <is>
          <t>Online</t>
        </is>
      </c>
      <c r="K4809" s="2" t="n">
        <v>2</v>
      </c>
      <c r="L4809" s="3" t="n">
        <v>1527.58</v>
      </c>
      <c r="M4809" s="4" t="n">
        <v>0.1</v>
      </c>
      <c r="N4809" s="3" t="n">
        <v>1994.38</v>
      </c>
      <c r="O4809" s="3">
        <f>K4809*L4809*(1-M4809)</f>
        <v/>
      </c>
      <c r="P4809" s="3">
        <f>O4809-N4809</f>
        <v/>
      </c>
      <c r="Q4809" s="5">
        <f>IFERROR(P4809/O4809,0)</f>
        <v/>
      </c>
      <c r="R4809" s="2">
        <f>TEXT(DATEVALUE(B4809),"mmm")</f>
        <v/>
      </c>
      <c r="S4809" s="2">
        <f>TEXT(DATEVALUE(B4809),"yyyy-mm")</f>
        <v/>
      </c>
    </row>
    <row r="4810">
      <c r="A4810" s="2" t="inlineStr">
        <is>
          <t>O000140</t>
        </is>
      </c>
      <c r="B4810" s="2" t="inlineStr">
        <is>
          <t>2025-12-18</t>
        </is>
      </c>
      <c r="C4810" s="2" t="inlineStr">
        <is>
          <t>C0441</t>
        </is>
      </c>
      <c r="D4810" s="2" t="inlineStr">
        <is>
          <t>P0004</t>
        </is>
      </c>
      <c r="E4810" s="2" t="inlineStr">
        <is>
          <t>USB-C Hub</t>
        </is>
      </c>
      <c r="F4810" s="2" t="inlineStr">
        <is>
          <t>Electronics</t>
        </is>
      </c>
      <c r="G4810" s="2" t="inlineStr">
        <is>
          <t>North</t>
        </is>
      </c>
      <c r="H4810" s="2" t="inlineStr">
        <is>
          <t>Haryana</t>
        </is>
      </c>
      <c r="I4810" s="2" t="inlineStr">
        <is>
          <t>Faridabad</t>
        </is>
      </c>
      <c r="J4810" s="2" t="inlineStr">
        <is>
          <t>Online</t>
        </is>
      </c>
      <c r="K4810" s="2" t="n">
        <v>3</v>
      </c>
      <c r="L4810" s="3" t="n">
        <v>1239.81</v>
      </c>
      <c r="M4810" s="4" t="n">
        <v>0.05</v>
      </c>
      <c r="N4810" s="3" t="n">
        <v>2694.8</v>
      </c>
      <c r="O4810" s="3">
        <f>K4810*L4810*(1-M4810)</f>
        <v/>
      </c>
      <c r="P4810" s="3">
        <f>O4810-N4810</f>
        <v/>
      </c>
      <c r="Q4810" s="5">
        <f>IFERROR(P4810/O4810,0)</f>
        <v/>
      </c>
      <c r="R4810" s="2">
        <f>TEXT(DATEVALUE(B4810),"mmm")</f>
        <v/>
      </c>
      <c r="S4810" s="2">
        <f>TEXT(DATEVALUE(B4810),"yyyy-mm")</f>
        <v/>
      </c>
    </row>
    <row r="4811">
      <c r="A4811" s="2" t="inlineStr">
        <is>
          <t>O002050</t>
        </is>
      </c>
      <c r="B4811" s="2" t="inlineStr">
        <is>
          <t>2025-12-18</t>
        </is>
      </c>
      <c r="C4811" s="2" t="inlineStr">
        <is>
          <t>C0448</t>
        </is>
      </c>
      <c r="D4811" s="2" t="inlineStr">
        <is>
          <t>P0011</t>
        </is>
      </c>
      <c r="E4811" s="2" t="inlineStr">
        <is>
          <t>Cookware Set</t>
        </is>
      </c>
      <c r="F4811" s="2" t="inlineStr">
        <is>
          <t>Home &amp; Kitchen</t>
        </is>
      </c>
      <c r="G4811" s="2" t="inlineStr">
        <is>
          <t>South</t>
        </is>
      </c>
      <c r="H4811" s="2" t="inlineStr">
        <is>
          <t>Karnataka</t>
        </is>
      </c>
      <c r="I4811" s="2" t="inlineStr">
        <is>
          <t>Bengaluru</t>
        </is>
      </c>
      <c r="J4811" s="2" t="inlineStr">
        <is>
          <t>Online</t>
        </is>
      </c>
      <c r="K4811" s="2" t="n">
        <v>1</v>
      </c>
      <c r="L4811" s="3" t="n">
        <v>723.05</v>
      </c>
      <c r="M4811" s="4" t="n">
        <v>0.25</v>
      </c>
      <c r="N4811" s="3" t="n">
        <v>460.13</v>
      </c>
      <c r="O4811" s="3">
        <f>K4811*L4811*(1-M4811)</f>
        <v/>
      </c>
      <c r="P4811" s="3">
        <f>O4811-N4811</f>
        <v/>
      </c>
      <c r="Q4811" s="5">
        <f>IFERROR(P4811/O4811,0)</f>
        <v/>
      </c>
      <c r="R4811" s="2">
        <f>TEXT(DATEVALUE(B4811),"mmm")</f>
        <v/>
      </c>
      <c r="S4811" s="2">
        <f>TEXT(DATEVALUE(B4811),"yyyy-mm")</f>
        <v/>
      </c>
    </row>
    <row r="4812">
      <c r="A4812" s="2" t="inlineStr">
        <is>
          <t>O004449</t>
        </is>
      </c>
      <c r="B4812" s="2" t="inlineStr">
        <is>
          <t>2025-12-19</t>
        </is>
      </c>
      <c r="C4812" s="2" t="inlineStr">
        <is>
          <t>C0786</t>
        </is>
      </c>
      <c r="D4812" s="2" t="inlineStr">
        <is>
          <t>P0017</t>
        </is>
      </c>
      <c r="E4812" s="2" t="inlineStr">
        <is>
          <t>Jeans</t>
        </is>
      </c>
      <c r="F4812" s="2" t="inlineStr">
        <is>
          <t>Fashion</t>
        </is>
      </c>
      <c r="G4812" s="2" t="inlineStr">
        <is>
          <t>East</t>
        </is>
      </c>
      <c r="H4812" s="2" t="inlineStr">
        <is>
          <t>West Bengal</t>
        </is>
      </c>
      <c r="I4812" s="2" t="inlineStr">
        <is>
          <t>Kolkata</t>
        </is>
      </c>
      <c r="J4812" s="2" t="inlineStr">
        <is>
          <t>Online</t>
        </is>
      </c>
      <c r="K4812" s="2" t="n">
        <v>2</v>
      </c>
      <c r="L4812" s="3" t="n">
        <v>1499.86</v>
      </c>
      <c r="M4812" s="4" t="n">
        <v>0.05</v>
      </c>
      <c r="N4812" s="3" t="n">
        <v>2068.65</v>
      </c>
      <c r="O4812" s="3">
        <f>K4812*L4812*(1-M4812)</f>
        <v/>
      </c>
      <c r="P4812" s="3">
        <f>O4812-N4812</f>
        <v/>
      </c>
      <c r="Q4812" s="5">
        <f>IFERROR(P4812/O4812,0)</f>
        <v/>
      </c>
      <c r="R4812" s="2">
        <f>TEXT(DATEVALUE(B4812),"mmm")</f>
        <v/>
      </c>
      <c r="S4812" s="2">
        <f>TEXT(DATEVALUE(B4812),"yyyy-mm")</f>
        <v/>
      </c>
    </row>
    <row r="4813">
      <c r="A4813" s="2" t="inlineStr">
        <is>
          <t>O003245</t>
        </is>
      </c>
      <c r="B4813" s="2" t="inlineStr">
        <is>
          <t>2025-12-19</t>
        </is>
      </c>
      <c r="C4813" s="2" t="inlineStr">
        <is>
          <t>C0319</t>
        </is>
      </c>
      <c r="D4813" s="2" t="inlineStr">
        <is>
          <t>P0014</t>
        </is>
      </c>
      <c r="E4813" s="2" t="inlineStr">
        <is>
          <t>Coffee Maker</t>
        </is>
      </c>
      <c r="F4813" s="2" t="inlineStr">
        <is>
          <t>Home &amp; Kitchen</t>
        </is>
      </c>
      <c r="G4813" s="2" t="inlineStr">
        <is>
          <t>South</t>
        </is>
      </c>
      <c r="H4813" s="2" t="inlineStr">
        <is>
          <t>Kerala</t>
        </is>
      </c>
      <c r="I4813" s="2" t="inlineStr">
        <is>
          <t>Kochi</t>
        </is>
      </c>
      <c r="J4813" s="2" t="inlineStr">
        <is>
          <t>Online</t>
        </is>
      </c>
      <c r="K4813" s="2" t="n">
        <v>1</v>
      </c>
      <c r="L4813" s="3" t="n">
        <v>1085.99</v>
      </c>
      <c r="M4813" s="4" t="n">
        <v>0.25</v>
      </c>
      <c r="N4813" s="3" t="n">
        <v>738.8</v>
      </c>
      <c r="O4813" s="3">
        <f>K4813*L4813*(1-M4813)</f>
        <v/>
      </c>
      <c r="P4813" s="3">
        <f>O4813-N4813</f>
        <v/>
      </c>
      <c r="Q4813" s="5">
        <f>IFERROR(P4813/O4813,0)</f>
        <v/>
      </c>
      <c r="R4813" s="2">
        <f>TEXT(DATEVALUE(B4813),"mmm")</f>
        <v/>
      </c>
      <c r="S4813" s="2">
        <f>TEXT(DATEVALUE(B4813),"yyyy-mm")</f>
        <v/>
      </c>
    </row>
    <row r="4814">
      <c r="A4814" s="2" t="inlineStr">
        <is>
          <t>O003020</t>
        </is>
      </c>
      <c r="B4814" s="2" t="inlineStr">
        <is>
          <t>2025-12-19</t>
        </is>
      </c>
      <c r="C4814" s="2" t="inlineStr">
        <is>
          <t>C0706</t>
        </is>
      </c>
      <c r="D4814" s="2" t="inlineStr">
        <is>
          <t>P0024</t>
        </is>
      </c>
      <c r="E4814" s="2" t="inlineStr">
        <is>
          <t>Hair Dryer</t>
        </is>
      </c>
      <c r="F4814" s="2" t="inlineStr">
        <is>
          <t>Beauty</t>
        </is>
      </c>
      <c r="G4814" s="2" t="inlineStr">
        <is>
          <t>North</t>
        </is>
      </c>
      <c r="H4814" s="2" t="inlineStr">
        <is>
          <t>Haryana</t>
        </is>
      </c>
      <c r="I4814" s="2" t="inlineStr">
        <is>
          <t>Gurugram</t>
        </is>
      </c>
      <c r="J4814" s="2" t="inlineStr">
        <is>
          <t>Online</t>
        </is>
      </c>
      <c r="K4814" s="2" t="n">
        <v>5</v>
      </c>
      <c r="L4814" s="3" t="n">
        <v>1048.08</v>
      </c>
      <c r="M4814" s="4" t="n">
        <v>0.1</v>
      </c>
      <c r="N4814" s="3" t="n">
        <v>3557.8</v>
      </c>
      <c r="O4814" s="3">
        <f>K4814*L4814*(1-M4814)</f>
        <v/>
      </c>
      <c r="P4814" s="3">
        <f>O4814-N4814</f>
        <v/>
      </c>
      <c r="Q4814" s="5">
        <f>IFERROR(P4814/O4814,0)</f>
        <v/>
      </c>
      <c r="R4814" s="2">
        <f>TEXT(DATEVALUE(B4814),"mmm")</f>
        <v/>
      </c>
      <c r="S4814" s="2">
        <f>TEXT(DATEVALUE(B4814),"yyyy-mm")</f>
        <v/>
      </c>
    </row>
    <row r="4815">
      <c r="A4815" s="2" t="inlineStr">
        <is>
          <t>O002656</t>
        </is>
      </c>
      <c r="B4815" s="2" t="inlineStr">
        <is>
          <t>2025-12-19</t>
        </is>
      </c>
      <c r="C4815" s="2" t="inlineStr">
        <is>
          <t>C0793</t>
        </is>
      </c>
      <c r="D4815" s="2" t="inlineStr">
        <is>
          <t>P0014</t>
        </is>
      </c>
      <c r="E4815" s="2" t="inlineStr">
        <is>
          <t>Coffee Maker</t>
        </is>
      </c>
      <c r="F4815" s="2" t="inlineStr">
        <is>
          <t>Home &amp; Kitchen</t>
        </is>
      </c>
      <c r="G4815" s="2" t="inlineStr">
        <is>
          <t>West</t>
        </is>
      </c>
      <c r="H4815" s="2" t="inlineStr">
        <is>
          <t>Goa</t>
        </is>
      </c>
      <c r="I4815" s="2" t="inlineStr">
        <is>
          <t>Panaji</t>
        </is>
      </c>
      <c r="J4815" s="2" t="inlineStr">
        <is>
          <t>Store</t>
        </is>
      </c>
      <c r="K4815" s="2" t="n">
        <v>5</v>
      </c>
      <c r="L4815" s="3" t="n">
        <v>1032.81</v>
      </c>
      <c r="M4815" s="4" t="n">
        <v>0</v>
      </c>
      <c r="N4815" s="3" t="n">
        <v>3698.47</v>
      </c>
      <c r="O4815" s="3">
        <f>K4815*L4815*(1-M4815)</f>
        <v/>
      </c>
      <c r="P4815" s="3">
        <f>O4815-N4815</f>
        <v/>
      </c>
      <c r="Q4815" s="5">
        <f>IFERROR(P4815/O4815,0)</f>
        <v/>
      </c>
      <c r="R4815" s="2">
        <f>TEXT(DATEVALUE(B4815),"mmm")</f>
        <v/>
      </c>
      <c r="S4815" s="2">
        <f>TEXT(DATEVALUE(B4815),"yyyy-mm")</f>
        <v/>
      </c>
    </row>
    <row r="4816">
      <c r="A4816" s="2" t="inlineStr">
        <is>
          <t>O002275</t>
        </is>
      </c>
      <c r="B4816" s="2" t="inlineStr">
        <is>
          <t>2025-12-19</t>
        </is>
      </c>
      <c r="C4816" s="2" t="inlineStr">
        <is>
          <t>C0783</t>
        </is>
      </c>
      <c r="D4816" s="2" t="inlineStr">
        <is>
          <t>P0004</t>
        </is>
      </c>
      <c r="E4816" s="2" t="inlineStr">
        <is>
          <t>USB-C Hub</t>
        </is>
      </c>
      <c r="F4816" s="2" t="inlineStr">
        <is>
          <t>Electronics</t>
        </is>
      </c>
      <c r="G4816" s="2" t="inlineStr">
        <is>
          <t>South</t>
        </is>
      </c>
      <c r="H4816" s="2" t="inlineStr">
        <is>
          <t>Kerala</t>
        </is>
      </c>
      <c r="I4816" s="2" t="inlineStr">
        <is>
          <t>Thiruvananthapuram</t>
        </is>
      </c>
      <c r="J4816" s="2" t="inlineStr">
        <is>
          <t>Online</t>
        </is>
      </c>
      <c r="K4816" s="2" t="n">
        <v>2</v>
      </c>
      <c r="L4816" s="3" t="n">
        <v>1219.64</v>
      </c>
      <c r="M4816" s="4" t="n">
        <v>0.05</v>
      </c>
      <c r="N4816" s="3" t="n">
        <v>1898.71</v>
      </c>
      <c r="O4816" s="3">
        <f>K4816*L4816*(1-M4816)</f>
        <v/>
      </c>
      <c r="P4816" s="3">
        <f>O4816-N4816</f>
        <v/>
      </c>
      <c r="Q4816" s="5">
        <f>IFERROR(P4816/O4816,0)</f>
        <v/>
      </c>
      <c r="R4816" s="2">
        <f>TEXT(DATEVALUE(B4816),"mmm")</f>
        <v/>
      </c>
      <c r="S4816" s="2">
        <f>TEXT(DATEVALUE(B4816),"yyyy-mm")</f>
        <v/>
      </c>
    </row>
    <row r="4817">
      <c r="A4817" s="2" t="inlineStr">
        <is>
          <t>O001823</t>
        </is>
      </c>
      <c r="B4817" s="2" t="inlineStr">
        <is>
          <t>2025-12-19</t>
        </is>
      </c>
      <c r="C4817" s="2" t="inlineStr">
        <is>
          <t>C0506</t>
        </is>
      </c>
      <c r="D4817" s="2" t="inlineStr">
        <is>
          <t>P0027</t>
        </is>
      </c>
      <c r="E4817" s="2" t="inlineStr">
        <is>
          <t>Moisturizer</t>
        </is>
      </c>
      <c r="F4817" s="2" t="inlineStr">
        <is>
          <t>Beauty</t>
        </is>
      </c>
      <c r="G4817" s="2" t="inlineStr">
        <is>
          <t>South</t>
        </is>
      </c>
      <c r="H4817" s="2" t="inlineStr">
        <is>
          <t>Telangana</t>
        </is>
      </c>
      <c r="I4817" s="2" t="inlineStr">
        <is>
          <t>Warangal</t>
        </is>
      </c>
      <c r="J4817" s="2" t="inlineStr">
        <is>
          <t>Online</t>
        </is>
      </c>
      <c r="K4817" s="2" t="n">
        <v>3</v>
      </c>
      <c r="L4817" s="3" t="n">
        <v>961.39</v>
      </c>
      <c r="M4817" s="4" t="n">
        <v>0.05</v>
      </c>
      <c r="N4817" s="3" t="n">
        <v>2013.88</v>
      </c>
      <c r="O4817" s="3">
        <f>K4817*L4817*(1-M4817)</f>
        <v/>
      </c>
      <c r="P4817" s="3">
        <f>O4817-N4817</f>
        <v/>
      </c>
      <c r="Q4817" s="5">
        <f>IFERROR(P4817/O4817,0)</f>
        <v/>
      </c>
      <c r="R4817" s="2">
        <f>TEXT(DATEVALUE(B4817),"mmm")</f>
        <v/>
      </c>
      <c r="S4817" s="2">
        <f>TEXT(DATEVALUE(B4817),"yyyy-mm")</f>
        <v/>
      </c>
    </row>
    <row r="4818">
      <c r="A4818" s="2" t="inlineStr">
        <is>
          <t>O001904</t>
        </is>
      </c>
      <c r="B4818" s="2" t="inlineStr">
        <is>
          <t>2025-12-19</t>
        </is>
      </c>
      <c r="C4818" s="2" t="inlineStr">
        <is>
          <t>C0677</t>
        </is>
      </c>
      <c r="D4818" s="2" t="inlineStr">
        <is>
          <t>P0006</t>
        </is>
      </c>
      <c r="E4818" s="2" t="inlineStr">
        <is>
          <t>Mechanical Keyboard</t>
        </is>
      </c>
      <c r="F4818" s="2" t="inlineStr">
        <is>
          <t>Electronics</t>
        </is>
      </c>
      <c r="G4818" s="2" t="inlineStr">
        <is>
          <t>West</t>
        </is>
      </c>
      <c r="H4818" s="2" t="inlineStr">
        <is>
          <t>Goa</t>
        </is>
      </c>
      <c r="I4818" s="2" t="inlineStr">
        <is>
          <t>Panaji</t>
        </is>
      </c>
      <c r="J4818" s="2" t="inlineStr">
        <is>
          <t>Store</t>
        </is>
      </c>
      <c r="K4818" s="2" t="n">
        <v>2</v>
      </c>
      <c r="L4818" s="3" t="n">
        <v>2707.68</v>
      </c>
      <c r="M4818" s="4" t="n">
        <v>0</v>
      </c>
      <c r="N4818" s="3" t="n">
        <v>2997.32</v>
      </c>
      <c r="O4818" s="3">
        <f>K4818*L4818*(1-M4818)</f>
        <v/>
      </c>
      <c r="P4818" s="3">
        <f>O4818-N4818</f>
        <v/>
      </c>
      <c r="Q4818" s="5">
        <f>IFERROR(P4818/O4818,0)</f>
        <v/>
      </c>
      <c r="R4818" s="2">
        <f>TEXT(DATEVALUE(B4818),"mmm")</f>
        <v/>
      </c>
      <c r="S4818" s="2">
        <f>TEXT(DATEVALUE(B4818),"yyyy-mm")</f>
        <v/>
      </c>
    </row>
    <row r="4819">
      <c r="A4819" s="2" t="inlineStr">
        <is>
          <t>O001636</t>
        </is>
      </c>
      <c r="B4819" s="2" t="inlineStr">
        <is>
          <t>2025-12-19</t>
        </is>
      </c>
      <c r="C4819" s="2" t="inlineStr">
        <is>
          <t>C0427</t>
        </is>
      </c>
      <c r="D4819" s="2" t="inlineStr">
        <is>
          <t>P0016</t>
        </is>
      </c>
      <c r="E4819" s="2" t="inlineStr">
        <is>
          <t>Casual Shirt</t>
        </is>
      </c>
      <c r="F4819" s="2" t="inlineStr">
        <is>
          <t>Fashion</t>
        </is>
      </c>
      <c r="G4819" s="2" t="inlineStr">
        <is>
          <t>North</t>
        </is>
      </c>
      <c r="H4819" s="2" t="inlineStr">
        <is>
          <t>Delhi</t>
        </is>
      </c>
      <c r="I4819" s="2" t="inlineStr">
        <is>
          <t>New Delhi</t>
        </is>
      </c>
      <c r="J4819" s="2" t="inlineStr">
        <is>
          <t>Store</t>
        </is>
      </c>
      <c r="K4819" s="2" t="n">
        <v>3</v>
      </c>
      <c r="L4819" s="3" t="n">
        <v>1265.65</v>
      </c>
      <c r="M4819" s="4" t="n">
        <v>0.25</v>
      </c>
      <c r="N4819" s="3" t="n">
        <v>2738.49</v>
      </c>
      <c r="O4819" s="3">
        <f>K4819*L4819*(1-M4819)</f>
        <v/>
      </c>
      <c r="P4819" s="3">
        <f>O4819-N4819</f>
        <v/>
      </c>
      <c r="Q4819" s="5">
        <f>IFERROR(P4819/O4819,0)</f>
        <v/>
      </c>
      <c r="R4819" s="2">
        <f>TEXT(DATEVALUE(B4819),"mmm")</f>
        <v/>
      </c>
      <c r="S4819" s="2">
        <f>TEXT(DATEVALUE(B4819),"yyyy-mm")</f>
        <v/>
      </c>
    </row>
    <row r="4820">
      <c r="A4820" s="2" t="inlineStr">
        <is>
          <t>O001095</t>
        </is>
      </c>
      <c r="B4820" s="2" t="inlineStr">
        <is>
          <t>2025-12-19</t>
        </is>
      </c>
      <c r="C4820" s="2" t="inlineStr">
        <is>
          <t>C0783</t>
        </is>
      </c>
      <c r="D4820" s="2" t="inlineStr">
        <is>
          <t>P0022</t>
        </is>
      </c>
      <c r="E4820" s="2" t="inlineStr">
        <is>
          <t>Face Wash</t>
        </is>
      </c>
      <c r="F4820" s="2" t="inlineStr">
        <is>
          <t>Beauty</t>
        </is>
      </c>
      <c r="G4820" s="2" t="inlineStr">
        <is>
          <t>West</t>
        </is>
      </c>
      <c r="H4820" s="2" t="inlineStr">
        <is>
          <t>Maharashtra</t>
        </is>
      </c>
      <c r="I4820" s="2" t="inlineStr">
        <is>
          <t>Nagpur</t>
        </is>
      </c>
      <c r="J4820" s="2" t="inlineStr">
        <is>
          <t>Online</t>
        </is>
      </c>
      <c r="K4820" s="2" t="n">
        <v>4</v>
      </c>
      <c r="L4820" s="3" t="n">
        <v>573.3</v>
      </c>
      <c r="M4820" s="4" t="n">
        <v>0.2</v>
      </c>
      <c r="N4820" s="3" t="n">
        <v>1414.83</v>
      </c>
      <c r="O4820" s="3">
        <f>K4820*L4820*(1-M4820)</f>
        <v/>
      </c>
      <c r="P4820" s="3">
        <f>O4820-N4820</f>
        <v/>
      </c>
      <c r="Q4820" s="5">
        <f>IFERROR(P4820/O4820,0)</f>
        <v/>
      </c>
      <c r="R4820" s="2">
        <f>TEXT(DATEVALUE(B4820),"mmm")</f>
        <v/>
      </c>
      <c r="S4820" s="2">
        <f>TEXT(DATEVALUE(B4820),"yyyy-mm")</f>
        <v/>
      </c>
    </row>
    <row r="4821">
      <c r="A4821" s="2" t="inlineStr">
        <is>
          <t>O001062</t>
        </is>
      </c>
      <c r="B4821" s="2" t="inlineStr">
        <is>
          <t>2025-12-19</t>
        </is>
      </c>
      <c r="C4821" s="2" t="inlineStr">
        <is>
          <t>C0578</t>
        </is>
      </c>
      <c r="D4821" s="2" t="inlineStr">
        <is>
          <t>P0007</t>
        </is>
      </c>
      <c r="E4821" s="2" t="inlineStr">
        <is>
          <t>Wireless Mouse</t>
        </is>
      </c>
      <c r="F4821" s="2" t="inlineStr">
        <is>
          <t>Electronics</t>
        </is>
      </c>
      <c r="G4821" s="2" t="inlineStr">
        <is>
          <t>North</t>
        </is>
      </c>
      <c r="H4821" s="2" t="inlineStr">
        <is>
          <t>Uttar Pradesh</t>
        </is>
      </c>
      <c r="I4821" s="2" t="inlineStr">
        <is>
          <t>Kanpur</t>
        </is>
      </c>
      <c r="J4821" s="2" t="inlineStr">
        <is>
          <t>Store</t>
        </is>
      </c>
      <c r="K4821" s="2" t="n">
        <v>2</v>
      </c>
      <c r="L4821" s="3" t="n">
        <v>993.9400000000001</v>
      </c>
      <c r="M4821" s="4" t="n">
        <v>0.2</v>
      </c>
      <c r="N4821" s="3" t="n">
        <v>1217.27</v>
      </c>
      <c r="O4821" s="3">
        <f>K4821*L4821*(1-M4821)</f>
        <v/>
      </c>
      <c r="P4821" s="3">
        <f>O4821-N4821</f>
        <v/>
      </c>
      <c r="Q4821" s="5">
        <f>IFERROR(P4821/O4821,0)</f>
        <v/>
      </c>
      <c r="R4821" s="2">
        <f>TEXT(DATEVALUE(B4821),"mmm")</f>
        <v/>
      </c>
      <c r="S4821" s="2">
        <f>TEXT(DATEVALUE(B4821),"yyyy-mm")</f>
        <v/>
      </c>
    </row>
    <row r="4822">
      <c r="A4822" s="2" t="inlineStr">
        <is>
          <t>O002271</t>
        </is>
      </c>
      <c r="B4822" s="2" t="inlineStr">
        <is>
          <t>2025-12-19</t>
        </is>
      </c>
      <c r="C4822" s="2" t="inlineStr">
        <is>
          <t>C0771</t>
        </is>
      </c>
      <c r="D4822" s="2" t="inlineStr">
        <is>
          <t>P0035</t>
        </is>
      </c>
      <c r="E4822" s="2" t="inlineStr">
        <is>
          <t>Skipping Rope</t>
        </is>
      </c>
      <c r="F4822" s="2" t="inlineStr">
        <is>
          <t>Sports</t>
        </is>
      </c>
      <c r="G4822" s="2" t="inlineStr">
        <is>
          <t>West</t>
        </is>
      </c>
      <c r="H4822" s="2" t="inlineStr">
        <is>
          <t>Goa</t>
        </is>
      </c>
      <c r="I4822" s="2" t="inlineStr">
        <is>
          <t>Margao</t>
        </is>
      </c>
      <c r="J4822" s="2" t="inlineStr">
        <is>
          <t>Online</t>
        </is>
      </c>
      <c r="K4822" s="2" t="n">
        <v>2</v>
      </c>
      <c r="L4822" s="3" t="n">
        <v>729.59</v>
      </c>
      <c r="M4822" s="4" t="n">
        <v>0</v>
      </c>
      <c r="N4822" s="3" t="n">
        <v>832.72</v>
      </c>
      <c r="O4822" s="3">
        <f>K4822*L4822*(1-M4822)</f>
        <v/>
      </c>
      <c r="P4822" s="3">
        <f>O4822-N4822</f>
        <v/>
      </c>
      <c r="Q4822" s="5">
        <f>IFERROR(P4822/O4822,0)</f>
        <v/>
      </c>
      <c r="R4822" s="2">
        <f>TEXT(DATEVALUE(B4822),"mmm")</f>
        <v/>
      </c>
      <c r="S4822" s="2">
        <f>TEXT(DATEVALUE(B4822),"yyyy-mm")</f>
        <v/>
      </c>
    </row>
    <row r="4823">
      <c r="A4823" s="2" t="inlineStr">
        <is>
          <t>O003462</t>
        </is>
      </c>
      <c r="B4823" s="2" t="inlineStr">
        <is>
          <t>2025-12-20</t>
        </is>
      </c>
      <c r="C4823" s="2" t="inlineStr">
        <is>
          <t>C0276</t>
        </is>
      </c>
      <c r="D4823" s="2" t="inlineStr">
        <is>
          <t>P0008</t>
        </is>
      </c>
      <c r="E4823" s="2" t="inlineStr">
        <is>
          <t>Air Fryer</t>
        </is>
      </c>
      <c r="F4823" s="2" t="inlineStr">
        <is>
          <t>Home &amp; Kitchen</t>
        </is>
      </c>
      <c r="G4823" s="2" t="inlineStr">
        <is>
          <t>West</t>
        </is>
      </c>
      <c r="H4823" s="2" t="inlineStr">
        <is>
          <t>Goa</t>
        </is>
      </c>
      <c r="I4823" s="2" t="inlineStr">
        <is>
          <t>Panaji</t>
        </is>
      </c>
      <c r="J4823" s="2" t="inlineStr">
        <is>
          <t>Online</t>
        </is>
      </c>
      <c r="K4823" s="2" t="n">
        <v>1</v>
      </c>
      <c r="L4823" s="3" t="n">
        <v>1012.65</v>
      </c>
      <c r="M4823" s="4" t="n">
        <v>0.05</v>
      </c>
      <c r="N4823" s="3" t="n">
        <v>670.67</v>
      </c>
      <c r="O4823" s="3">
        <f>K4823*L4823*(1-M4823)</f>
        <v/>
      </c>
      <c r="P4823" s="3">
        <f>O4823-N4823</f>
        <v/>
      </c>
      <c r="Q4823" s="5">
        <f>IFERROR(P4823/O4823,0)</f>
        <v/>
      </c>
      <c r="R4823" s="2">
        <f>TEXT(DATEVALUE(B4823),"mmm")</f>
        <v/>
      </c>
      <c r="S4823" s="2">
        <f>TEXT(DATEVALUE(B4823),"yyyy-mm")</f>
        <v/>
      </c>
    </row>
    <row r="4824">
      <c r="A4824" s="2" t="inlineStr">
        <is>
          <t>O004597</t>
        </is>
      </c>
      <c r="B4824" s="2" t="inlineStr">
        <is>
          <t>2025-12-20</t>
        </is>
      </c>
      <c r="C4824" s="2" t="inlineStr">
        <is>
          <t>C0744</t>
        </is>
      </c>
      <c r="D4824" s="2" t="inlineStr">
        <is>
          <t>P0002</t>
        </is>
      </c>
      <c r="E4824" s="2" t="inlineStr">
        <is>
          <t>Bluetooth Speaker</t>
        </is>
      </c>
      <c r="F4824" s="2" t="inlineStr">
        <is>
          <t>Electronics</t>
        </is>
      </c>
      <c r="G4824" s="2" t="inlineStr">
        <is>
          <t>West</t>
        </is>
      </c>
      <c r="H4824" s="2" t="inlineStr">
        <is>
          <t>Goa</t>
        </is>
      </c>
      <c r="I4824" s="2" t="inlineStr">
        <is>
          <t>Margao</t>
        </is>
      </c>
      <c r="J4824" s="2" t="inlineStr">
        <is>
          <t>Online</t>
        </is>
      </c>
      <c r="K4824" s="2" t="n">
        <v>2</v>
      </c>
      <c r="L4824" s="3" t="n">
        <v>1396.03</v>
      </c>
      <c r="M4824" s="4" t="n">
        <v>0.05</v>
      </c>
      <c r="N4824" s="3" t="n">
        <v>1634.39</v>
      </c>
      <c r="O4824" s="3">
        <f>K4824*L4824*(1-M4824)</f>
        <v/>
      </c>
      <c r="P4824" s="3">
        <f>O4824-N4824</f>
        <v/>
      </c>
      <c r="Q4824" s="5">
        <f>IFERROR(P4824/O4824,0)</f>
        <v/>
      </c>
      <c r="R4824" s="2">
        <f>TEXT(DATEVALUE(B4824),"mmm")</f>
        <v/>
      </c>
      <c r="S4824" s="2">
        <f>TEXT(DATEVALUE(B4824),"yyyy-mm")</f>
        <v/>
      </c>
    </row>
    <row r="4825">
      <c r="A4825" s="2" t="inlineStr">
        <is>
          <t>O003486</t>
        </is>
      </c>
      <c r="B4825" s="2" t="inlineStr">
        <is>
          <t>2025-12-20</t>
        </is>
      </c>
      <c r="C4825" s="2" t="inlineStr">
        <is>
          <t>C0385</t>
        </is>
      </c>
      <c r="D4825" s="2" t="inlineStr">
        <is>
          <t>P0014</t>
        </is>
      </c>
      <c r="E4825" s="2" t="inlineStr">
        <is>
          <t>Coffee Maker</t>
        </is>
      </c>
      <c r="F4825" s="2" t="inlineStr">
        <is>
          <t>Home &amp; Kitchen</t>
        </is>
      </c>
      <c r="G4825" s="2" t="inlineStr">
        <is>
          <t>West</t>
        </is>
      </c>
      <c r="H4825" s="2" t="inlineStr">
        <is>
          <t>Goa</t>
        </is>
      </c>
      <c r="I4825" s="2" t="inlineStr">
        <is>
          <t>Panaji</t>
        </is>
      </c>
      <c r="J4825" s="2" t="inlineStr">
        <is>
          <t>Online</t>
        </is>
      </c>
      <c r="K4825" s="2" t="n">
        <v>5</v>
      </c>
      <c r="L4825" s="3" t="n">
        <v>1071.36</v>
      </c>
      <c r="M4825" s="4" t="n">
        <v>0</v>
      </c>
      <c r="N4825" s="3" t="n">
        <v>3875.37</v>
      </c>
      <c r="O4825" s="3">
        <f>K4825*L4825*(1-M4825)</f>
        <v/>
      </c>
      <c r="P4825" s="3">
        <f>O4825-N4825</f>
        <v/>
      </c>
      <c r="Q4825" s="5">
        <f>IFERROR(P4825/O4825,0)</f>
        <v/>
      </c>
      <c r="R4825" s="2">
        <f>TEXT(DATEVALUE(B4825),"mmm")</f>
        <v/>
      </c>
      <c r="S4825" s="2">
        <f>TEXT(DATEVALUE(B4825),"yyyy-mm")</f>
        <v/>
      </c>
    </row>
    <row r="4826">
      <c r="A4826" s="2" t="inlineStr">
        <is>
          <t>O003448</t>
        </is>
      </c>
      <c r="B4826" s="2" t="inlineStr">
        <is>
          <t>2025-12-20</t>
        </is>
      </c>
      <c r="C4826" s="2" t="inlineStr">
        <is>
          <t>C0796</t>
        </is>
      </c>
      <c r="D4826" s="2" t="inlineStr">
        <is>
          <t>P0005</t>
        </is>
      </c>
      <c r="E4826" s="2" t="inlineStr">
        <is>
          <t>Power Bank</t>
        </is>
      </c>
      <c r="F4826" s="2" t="inlineStr">
        <is>
          <t>Electronics</t>
        </is>
      </c>
      <c r="G4826" s="2" t="inlineStr">
        <is>
          <t>South</t>
        </is>
      </c>
      <c r="H4826" s="2" t="inlineStr">
        <is>
          <t>Karnataka</t>
        </is>
      </c>
      <c r="I4826" s="2" t="inlineStr">
        <is>
          <t>Mysuru</t>
        </is>
      </c>
      <c r="J4826" s="2" t="inlineStr">
        <is>
          <t>Online</t>
        </is>
      </c>
      <c r="K4826" s="2" t="n">
        <v>1</v>
      </c>
      <c r="L4826" s="3" t="n">
        <v>1091.06</v>
      </c>
      <c r="M4826" s="4" t="n">
        <v>0.15</v>
      </c>
      <c r="N4826" s="3" t="n">
        <v>652.55</v>
      </c>
      <c r="O4826" s="3">
        <f>K4826*L4826*(1-M4826)</f>
        <v/>
      </c>
      <c r="P4826" s="3">
        <f>O4826-N4826</f>
        <v/>
      </c>
      <c r="Q4826" s="5">
        <f>IFERROR(P4826/O4826,0)</f>
        <v/>
      </c>
      <c r="R4826" s="2">
        <f>TEXT(DATEVALUE(B4826),"mmm")</f>
        <v/>
      </c>
      <c r="S4826" s="2">
        <f>TEXT(DATEVALUE(B4826),"yyyy-mm")</f>
        <v/>
      </c>
    </row>
    <row r="4827">
      <c r="A4827" s="2" t="inlineStr">
        <is>
          <t>O003971</t>
        </is>
      </c>
      <c r="B4827" s="2" t="inlineStr">
        <is>
          <t>2025-12-20</t>
        </is>
      </c>
      <c r="C4827" s="2" t="inlineStr">
        <is>
          <t>C0294</t>
        </is>
      </c>
      <c r="D4827" s="2" t="inlineStr">
        <is>
          <t>P0011</t>
        </is>
      </c>
      <c r="E4827" s="2" t="inlineStr">
        <is>
          <t>Cookware Set</t>
        </is>
      </c>
      <c r="F4827" s="2" t="inlineStr">
        <is>
          <t>Home &amp; Kitchen</t>
        </is>
      </c>
      <c r="G4827" s="2" t="inlineStr">
        <is>
          <t>West</t>
        </is>
      </c>
      <c r="H4827" s="2" t="inlineStr">
        <is>
          <t>Maharashtra</t>
        </is>
      </c>
      <c r="I4827" s="2" t="inlineStr">
        <is>
          <t>Nashik</t>
        </is>
      </c>
      <c r="J4827" s="2" t="inlineStr">
        <is>
          <t>Online</t>
        </is>
      </c>
      <c r="K4827" s="2" t="n">
        <v>4</v>
      </c>
      <c r="L4827" s="3" t="n">
        <v>694.6900000000001</v>
      </c>
      <c r="M4827" s="4" t="n">
        <v>0.1</v>
      </c>
      <c r="N4827" s="3" t="n">
        <v>1854.08</v>
      </c>
      <c r="O4827" s="3">
        <f>K4827*L4827*(1-M4827)</f>
        <v/>
      </c>
      <c r="P4827" s="3">
        <f>O4827-N4827</f>
        <v/>
      </c>
      <c r="Q4827" s="5">
        <f>IFERROR(P4827/O4827,0)</f>
        <v/>
      </c>
      <c r="R4827" s="2">
        <f>TEXT(DATEVALUE(B4827),"mmm")</f>
        <v/>
      </c>
      <c r="S4827" s="2">
        <f>TEXT(DATEVALUE(B4827),"yyyy-mm")</f>
        <v/>
      </c>
    </row>
    <row r="4828">
      <c r="A4828" s="2" t="inlineStr">
        <is>
          <t>O004062</t>
        </is>
      </c>
      <c r="B4828" s="2" t="inlineStr">
        <is>
          <t>2025-12-20</t>
        </is>
      </c>
      <c r="C4828" s="2" t="inlineStr">
        <is>
          <t>C0288</t>
        </is>
      </c>
      <c r="D4828" s="2" t="inlineStr">
        <is>
          <t>P0024</t>
        </is>
      </c>
      <c r="E4828" s="2" t="inlineStr">
        <is>
          <t>Hair Dryer</t>
        </is>
      </c>
      <c r="F4828" s="2" t="inlineStr">
        <is>
          <t>Beauty</t>
        </is>
      </c>
      <c r="G4828" s="2" t="inlineStr">
        <is>
          <t>South</t>
        </is>
      </c>
      <c r="H4828" s="2" t="inlineStr">
        <is>
          <t>Tamil Nadu</t>
        </is>
      </c>
      <c r="I4828" s="2" t="inlineStr">
        <is>
          <t>Coimbatore</t>
        </is>
      </c>
      <c r="J4828" s="2" t="inlineStr">
        <is>
          <t>Store</t>
        </is>
      </c>
      <c r="K4828" s="2" t="n">
        <v>1</v>
      </c>
      <c r="L4828" s="3" t="n">
        <v>986.34</v>
      </c>
      <c r="M4828" s="4" t="n">
        <v>0.1</v>
      </c>
      <c r="N4828" s="3" t="n">
        <v>723.4</v>
      </c>
      <c r="O4828" s="3">
        <f>K4828*L4828*(1-M4828)</f>
        <v/>
      </c>
      <c r="P4828" s="3">
        <f>O4828-N4828</f>
        <v/>
      </c>
      <c r="Q4828" s="5">
        <f>IFERROR(P4828/O4828,0)</f>
        <v/>
      </c>
      <c r="R4828" s="2">
        <f>TEXT(DATEVALUE(B4828),"mmm")</f>
        <v/>
      </c>
      <c r="S4828" s="2">
        <f>TEXT(DATEVALUE(B4828),"yyyy-mm")</f>
        <v/>
      </c>
    </row>
    <row r="4829">
      <c r="A4829" s="2" t="inlineStr">
        <is>
          <t>O004471</t>
        </is>
      </c>
      <c r="B4829" s="2" t="inlineStr">
        <is>
          <t>2025-12-20</t>
        </is>
      </c>
      <c r="C4829" s="2" t="inlineStr">
        <is>
          <t>C0442</t>
        </is>
      </c>
      <c r="D4829" s="2" t="inlineStr">
        <is>
          <t>P0022</t>
        </is>
      </c>
      <c r="E4829" s="2" t="inlineStr">
        <is>
          <t>Face Wash</t>
        </is>
      </c>
      <c r="F4829" s="2" t="inlineStr">
        <is>
          <t>Beauty</t>
        </is>
      </c>
      <c r="G4829" s="2" t="inlineStr">
        <is>
          <t>West</t>
        </is>
      </c>
      <c r="H4829" s="2" t="inlineStr">
        <is>
          <t>Goa</t>
        </is>
      </c>
      <c r="I4829" s="2" t="inlineStr">
        <is>
          <t>Panaji</t>
        </is>
      </c>
      <c r="J4829" s="2" t="inlineStr">
        <is>
          <t>Store</t>
        </is>
      </c>
      <c r="K4829" s="2" t="n">
        <v>2</v>
      </c>
      <c r="L4829" s="3" t="n">
        <v>529.21</v>
      </c>
      <c r="M4829" s="4" t="n">
        <v>0.15</v>
      </c>
      <c r="N4829" s="3" t="n">
        <v>700.34</v>
      </c>
      <c r="O4829" s="3">
        <f>K4829*L4829*(1-M4829)</f>
        <v/>
      </c>
      <c r="P4829" s="3">
        <f>O4829-N4829</f>
        <v/>
      </c>
      <c r="Q4829" s="5">
        <f>IFERROR(P4829/O4829,0)</f>
        <v/>
      </c>
      <c r="R4829" s="2">
        <f>TEXT(DATEVALUE(B4829),"mmm")</f>
        <v/>
      </c>
      <c r="S4829" s="2">
        <f>TEXT(DATEVALUE(B4829),"yyyy-mm")</f>
        <v/>
      </c>
    </row>
    <row r="4830">
      <c r="A4830" s="2" t="inlineStr">
        <is>
          <t>O003673</t>
        </is>
      </c>
      <c r="B4830" s="2" t="inlineStr">
        <is>
          <t>2025-12-20</t>
        </is>
      </c>
      <c r="C4830" s="2" t="inlineStr">
        <is>
          <t>C0628</t>
        </is>
      </c>
      <c r="D4830" s="2" t="inlineStr">
        <is>
          <t>P0014</t>
        </is>
      </c>
      <c r="E4830" s="2" t="inlineStr">
        <is>
          <t>Coffee Maker</t>
        </is>
      </c>
      <c r="F4830" s="2" t="inlineStr">
        <is>
          <t>Home &amp; Kitchen</t>
        </is>
      </c>
      <c r="G4830" s="2" t="inlineStr">
        <is>
          <t>West</t>
        </is>
      </c>
      <c r="H4830" s="2" t="inlineStr">
        <is>
          <t>Goa</t>
        </is>
      </c>
      <c r="I4830" s="2" t="inlineStr">
        <is>
          <t>Margao</t>
        </is>
      </c>
      <c r="J4830" s="2" t="inlineStr">
        <is>
          <t>Store</t>
        </is>
      </c>
      <c r="K4830" s="2" t="n">
        <v>2</v>
      </c>
      <c r="L4830" s="3" t="n">
        <v>1046.32</v>
      </c>
      <c r="M4830" s="4" t="n">
        <v>0.1</v>
      </c>
      <c r="N4830" s="3" t="n">
        <v>1525.25</v>
      </c>
      <c r="O4830" s="3">
        <f>K4830*L4830*(1-M4830)</f>
        <v/>
      </c>
      <c r="P4830" s="3">
        <f>O4830-N4830</f>
        <v/>
      </c>
      <c r="Q4830" s="5">
        <f>IFERROR(P4830/O4830,0)</f>
        <v/>
      </c>
      <c r="R4830" s="2">
        <f>TEXT(DATEVALUE(B4830),"mmm")</f>
        <v/>
      </c>
      <c r="S4830" s="2">
        <f>TEXT(DATEVALUE(B4830),"yyyy-mm")</f>
        <v/>
      </c>
    </row>
    <row r="4831">
      <c r="A4831" s="2" t="inlineStr">
        <is>
          <t>O003361</t>
        </is>
      </c>
      <c r="B4831" s="2" t="inlineStr">
        <is>
          <t>2025-12-20</t>
        </is>
      </c>
      <c r="C4831" s="2" t="inlineStr">
        <is>
          <t>C0456</t>
        </is>
      </c>
      <c r="D4831" s="2" t="inlineStr">
        <is>
          <t>P0017</t>
        </is>
      </c>
      <c r="E4831" s="2" t="inlineStr">
        <is>
          <t>Jeans</t>
        </is>
      </c>
      <c r="F4831" s="2" t="inlineStr">
        <is>
          <t>Fashion</t>
        </is>
      </c>
      <c r="G4831" s="2" t="inlineStr">
        <is>
          <t>North</t>
        </is>
      </c>
      <c r="H4831" s="2" t="inlineStr">
        <is>
          <t>Delhi</t>
        </is>
      </c>
      <c r="I4831" s="2" t="inlineStr">
        <is>
          <t>New Delhi</t>
        </is>
      </c>
      <c r="J4831" s="2" t="inlineStr">
        <is>
          <t>Store</t>
        </is>
      </c>
      <c r="K4831" s="2" t="n">
        <v>5</v>
      </c>
      <c r="L4831" s="3" t="n">
        <v>1540.56</v>
      </c>
      <c r="M4831" s="4" t="n">
        <v>0</v>
      </c>
      <c r="N4831" s="3" t="n">
        <v>5031.64</v>
      </c>
      <c r="O4831" s="3">
        <f>K4831*L4831*(1-M4831)</f>
        <v/>
      </c>
      <c r="P4831" s="3">
        <f>O4831-N4831</f>
        <v/>
      </c>
      <c r="Q4831" s="5">
        <f>IFERROR(P4831/O4831,0)</f>
        <v/>
      </c>
      <c r="R4831" s="2">
        <f>TEXT(DATEVALUE(B4831),"mmm")</f>
        <v/>
      </c>
      <c r="S4831" s="2">
        <f>TEXT(DATEVALUE(B4831),"yyyy-mm")</f>
        <v/>
      </c>
    </row>
    <row r="4832">
      <c r="A4832" s="2" t="inlineStr">
        <is>
          <t>O002683</t>
        </is>
      </c>
      <c r="B4832" s="2" t="inlineStr">
        <is>
          <t>2025-12-20</t>
        </is>
      </c>
      <c r="C4832" s="2" t="inlineStr">
        <is>
          <t>C0740</t>
        </is>
      </c>
      <c r="D4832" s="2" t="inlineStr">
        <is>
          <t>P0015</t>
        </is>
      </c>
      <c r="E4832" s="2" t="inlineStr">
        <is>
          <t>Running Shoes</t>
        </is>
      </c>
      <c r="F4832" s="2" t="inlineStr">
        <is>
          <t>Fashion</t>
        </is>
      </c>
      <c r="G4832" s="2" t="inlineStr">
        <is>
          <t>South</t>
        </is>
      </c>
      <c r="H4832" s="2" t="inlineStr">
        <is>
          <t>Karnataka</t>
        </is>
      </c>
      <c r="I4832" s="2" t="inlineStr">
        <is>
          <t>Bengaluru</t>
        </is>
      </c>
      <c r="J4832" s="2" t="inlineStr">
        <is>
          <t>Online</t>
        </is>
      </c>
      <c r="K4832" s="2" t="n">
        <v>5</v>
      </c>
      <c r="L4832" s="3" t="n">
        <v>621.55</v>
      </c>
      <c r="M4832" s="4" t="n">
        <v>0</v>
      </c>
      <c r="N4832" s="3" t="n">
        <v>1901.12</v>
      </c>
      <c r="O4832" s="3">
        <f>K4832*L4832*(1-M4832)</f>
        <v/>
      </c>
      <c r="P4832" s="3">
        <f>O4832-N4832</f>
        <v/>
      </c>
      <c r="Q4832" s="5">
        <f>IFERROR(P4832/O4832,0)</f>
        <v/>
      </c>
      <c r="R4832" s="2">
        <f>TEXT(DATEVALUE(B4832),"mmm")</f>
        <v/>
      </c>
      <c r="S4832" s="2">
        <f>TEXT(DATEVALUE(B4832),"yyyy-mm")</f>
        <v/>
      </c>
    </row>
    <row r="4833">
      <c r="A4833" s="2" t="inlineStr">
        <is>
          <t>O002897</t>
        </is>
      </c>
      <c r="B4833" s="2" t="inlineStr">
        <is>
          <t>2025-12-20</t>
        </is>
      </c>
      <c r="C4833" s="2" t="inlineStr">
        <is>
          <t>C0019</t>
        </is>
      </c>
      <c r="D4833" s="2" t="inlineStr">
        <is>
          <t>P0032</t>
        </is>
      </c>
      <c r="E4833" s="2" t="inlineStr">
        <is>
          <t>Football</t>
        </is>
      </c>
      <c r="F4833" s="2" t="inlineStr">
        <is>
          <t>Sports</t>
        </is>
      </c>
      <c r="G4833" s="2" t="inlineStr">
        <is>
          <t>South</t>
        </is>
      </c>
      <c r="H4833" s="2" t="inlineStr">
        <is>
          <t>Karnataka</t>
        </is>
      </c>
      <c r="I4833" s="2" t="inlineStr">
        <is>
          <t>Bengaluru</t>
        </is>
      </c>
      <c r="J4833" s="2" t="inlineStr">
        <is>
          <t>Online</t>
        </is>
      </c>
      <c r="K4833" s="2" t="n">
        <v>1</v>
      </c>
      <c r="L4833" s="3" t="n">
        <v>838.6799999999999</v>
      </c>
      <c r="M4833" s="4" t="n">
        <v>0.25</v>
      </c>
      <c r="N4833" s="3" t="n">
        <v>541</v>
      </c>
      <c r="O4833" s="3">
        <f>K4833*L4833*(1-M4833)</f>
        <v/>
      </c>
      <c r="P4833" s="3">
        <f>O4833-N4833</f>
        <v/>
      </c>
      <c r="Q4833" s="5">
        <f>IFERROR(P4833/O4833,0)</f>
        <v/>
      </c>
      <c r="R4833" s="2">
        <f>TEXT(DATEVALUE(B4833),"mmm")</f>
        <v/>
      </c>
      <c r="S4833" s="2">
        <f>TEXT(DATEVALUE(B4833),"yyyy-mm")</f>
        <v/>
      </c>
    </row>
    <row r="4834">
      <c r="A4834" s="2" t="inlineStr">
        <is>
          <t>O002303</t>
        </is>
      </c>
      <c r="B4834" s="2" t="inlineStr">
        <is>
          <t>2025-12-20</t>
        </is>
      </c>
      <c r="C4834" s="2" t="inlineStr">
        <is>
          <t>C0769</t>
        </is>
      </c>
      <c r="D4834" s="2" t="inlineStr">
        <is>
          <t>P0022</t>
        </is>
      </c>
      <c r="E4834" s="2" t="inlineStr">
        <is>
          <t>Face Wash</t>
        </is>
      </c>
      <c r="F4834" s="2" t="inlineStr">
        <is>
          <t>Beauty</t>
        </is>
      </c>
      <c r="G4834" s="2" t="inlineStr">
        <is>
          <t>West</t>
        </is>
      </c>
      <c r="H4834" s="2" t="inlineStr">
        <is>
          <t>Gujarat</t>
        </is>
      </c>
      <c r="I4834" s="2" t="inlineStr">
        <is>
          <t>Vadodara</t>
        </is>
      </c>
      <c r="J4834" s="2" t="inlineStr">
        <is>
          <t>Store</t>
        </is>
      </c>
      <c r="K4834" s="2" t="n">
        <v>2</v>
      </c>
      <c r="L4834" s="3" t="n">
        <v>532.17</v>
      </c>
      <c r="M4834" s="4" t="n">
        <v>0</v>
      </c>
      <c r="N4834" s="3" t="n">
        <v>689.7</v>
      </c>
      <c r="O4834" s="3">
        <f>K4834*L4834*(1-M4834)</f>
        <v/>
      </c>
      <c r="P4834" s="3">
        <f>O4834-N4834</f>
        <v/>
      </c>
      <c r="Q4834" s="5">
        <f>IFERROR(P4834/O4834,0)</f>
        <v/>
      </c>
      <c r="R4834" s="2">
        <f>TEXT(DATEVALUE(B4834),"mmm")</f>
        <v/>
      </c>
      <c r="S4834" s="2">
        <f>TEXT(DATEVALUE(B4834),"yyyy-mm")</f>
        <v/>
      </c>
    </row>
    <row r="4835">
      <c r="A4835" s="2" t="inlineStr">
        <is>
          <t>O001923</t>
        </is>
      </c>
      <c r="B4835" s="2" t="inlineStr">
        <is>
          <t>2025-12-20</t>
        </is>
      </c>
      <c r="C4835" s="2" t="inlineStr">
        <is>
          <t>C0568</t>
        </is>
      </c>
      <c r="D4835" s="2" t="inlineStr">
        <is>
          <t>P0027</t>
        </is>
      </c>
      <c r="E4835" s="2" t="inlineStr">
        <is>
          <t>Moisturizer</t>
        </is>
      </c>
      <c r="F4835" s="2" t="inlineStr">
        <is>
          <t>Beauty</t>
        </is>
      </c>
      <c r="G4835" s="2" t="inlineStr">
        <is>
          <t>East</t>
        </is>
      </c>
      <c r="H4835" s="2" t="inlineStr">
        <is>
          <t>Bihar</t>
        </is>
      </c>
      <c r="I4835" s="2" t="inlineStr">
        <is>
          <t>Gaya</t>
        </is>
      </c>
      <c r="J4835" s="2" t="inlineStr">
        <is>
          <t>Online</t>
        </is>
      </c>
      <c r="K4835" s="2" t="n">
        <v>3</v>
      </c>
      <c r="L4835" s="3" t="n">
        <v>928.71</v>
      </c>
      <c r="M4835" s="4" t="n">
        <v>0.25</v>
      </c>
      <c r="N4835" s="3" t="n">
        <v>1980.4</v>
      </c>
      <c r="O4835" s="3">
        <f>K4835*L4835*(1-M4835)</f>
        <v/>
      </c>
      <c r="P4835" s="3">
        <f>O4835-N4835</f>
        <v/>
      </c>
      <c r="Q4835" s="5">
        <f>IFERROR(P4835/O4835,0)</f>
        <v/>
      </c>
      <c r="R4835" s="2">
        <f>TEXT(DATEVALUE(B4835),"mmm")</f>
        <v/>
      </c>
      <c r="S4835" s="2">
        <f>TEXT(DATEVALUE(B4835),"yyyy-mm")</f>
        <v/>
      </c>
    </row>
    <row r="4836">
      <c r="A4836" s="2" t="inlineStr">
        <is>
          <t>O001679</t>
        </is>
      </c>
      <c r="B4836" s="2" t="inlineStr">
        <is>
          <t>2025-12-20</t>
        </is>
      </c>
      <c r="C4836" s="2" t="inlineStr">
        <is>
          <t>C0309</t>
        </is>
      </c>
      <c r="D4836" s="2" t="inlineStr">
        <is>
          <t>P0003</t>
        </is>
      </c>
      <c r="E4836" s="2" t="inlineStr">
        <is>
          <t>Smartwatch</t>
        </is>
      </c>
      <c r="F4836" s="2" t="inlineStr">
        <is>
          <t>Electronics</t>
        </is>
      </c>
      <c r="G4836" s="2" t="inlineStr">
        <is>
          <t>West</t>
        </is>
      </c>
      <c r="H4836" s="2" t="inlineStr">
        <is>
          <t>Gujarat</t>
        </is>
      </c>
      <c r="I4836" s="2" t="inlineStr">
        <is>
          <t>Ahmedabad</t>
        </is>
      </c>
      <c r="J4836" s="2" t="inlineStr">
        <is>
          <t>Store</t>
        </is>
      </c>
      <c r="K4836" s="2" t="n">
        <v>1</v>
      </c>
      <c r="L4836" s="3" t="n">
        <v>2228.41</v>
      </c>
      <c r="M4836" s="4" t="n">
        <v>0.05</v>
      </c>
      <c r="N4836" s="3" t="n">
        <v>1164.36</v>
      </c>
      <c r="O4836" s="3">
        <f>K4836*L4836*(1-M4836)</f>
        <v/>
      </c>
      <c r="P4836" s="3">
        <f>O4836-N4836</f>
        <v/>
      </c>
      <c r="Q4836" s="5">
        <f>IFERROR(P4836/O4836,0)</f>
        <v/>
      </c>
      <c r="R4836" s="2">
        <f>TEXT(DATEVALUE(B4836),"mmm")</f>
        <v/>
      </c>
      <c r="S4836" s="2">
        <f>TEXT(DATEVALUE(B4836),"yyyy-mm")</f>
        <v/>
      </c>
    </row>
    <row r="4837">
      <c r="A4837" s="2" t="inlineStr">
        <is>
          <t>O001625</t>
        </is>
      </c>
      <c r="B4837" s="2" t="inlineStr">
        <is>
          <t>2025-12-20</t>
        </is>
      </c>
      <c r="C4837" s="2" t="inlineStr">
        <is>
          <t>C0520</t>
        </is>
      </c>
      <c r="D4837" s="2" t="inlineStr">
        <is>
          <t>P0007</t>
        </is>
      </c>
      <c r="E4837" s="2" t="inlineStr">
        <is>
          <t>Wireless Mouse</t>
        </is>
      </c>
      <c r="F4837" s="2" t="inlineStr">
        <is>
          <t>Electronics</t>
        </is>
      </c>
      <c r="G4837" s="2" t="inlineStr">
        <is>
          <t>North</t>
        </is>
      </c>
      <c r="H4837" s="2" t="inlineStr">
        <is>
          <t>Delhi</t>
        </is>
      </c>
      <c r="I4837" s="2" t="inlineStr">
        <is>
          <t>New Delhi</t>
        </is>
      </c>
      <c r="J4837" s="2" t="inlineStr">
        <is>
          <t>Online</t>
        </is>
      </c>
      <c r="K4837" s="2" t="n">
        <v>1</v>
      </c>
      <c r="L4837" s="3" t="n">
        <v>1025.89</v>
      </c>
      <c r="M4837" s="4" t="n">
        <v>0</v>
      </c>
      <c r="N4837" s="3" t="n">
        <v>614.16</v>
      </c>
      <c r="O4837" s="3">
        <f>K4837*L4837*(1-M4837)</f>
        <v/>
      </c>
      <c r="P4837" s="3">
        <f>O4837-N4837</f>
        <v/>
      </c>
      <c r="Q4837" s="5">
        <f>IFERROR(P4837/O4837,0)</f>
        <v/>
      </c>
      <c r="R4837" s="2">
        <f>TEXT(DATEVALUE(B4837),"mmm")</f>
        <v/>
      </c>
      <c r="S4837" s="2">
        <f>TEXT(DATEVALUE(B4837),"yyyy-mm")</f>
        <v/>
      </c>
    </row>
    <row r="4838">
      <c r="A4838" s="2" t="inlineStr">
        <is>
          <t>O001423</t>
        </is>
      </c>
      <c r="B4838" s="2" t="inlineStr">
        <is>
          <t>2025-12-20</t>
        </is>
      </c>
      <c r="C4838" s="2" t="inlineStr">
        <is>
          <t>C0456</t>
        </is>
      </c>
      <c r="D4838" s="2" t="inlineStr">
        <is>
          <t>P0031</t>
        </is>
      </c>
      <c r="E4838" s="2" t="inlineStr">
        <is>
          <t>Cricket Bat</t>
        </is>
      </c>
      <c r="F4838" s="2" t="inlineStr">
        <is>
          <t>Sports</t>
        </is>
      </c>
      <c r="G4838" s="2" t="inlineStr">
        <is>
          <t>North</t>
        </is>
      </c>
      <c r="H4838" s="2" t="inlineStr">
        <is>
          <t>Haryana</t>
        </is>
      </c>
      <c r="I4838" s="2" t="inlineStr">
        <is>
          <t>Gurugram</t>
        </is>
      </c>
      <c r="J4838" s="2" t="inlineStr">
        <is>
          <t>Online</t>
        </is>
      </c>
      <c r="K4838" s="2" t="n">
        <v>2</v>
      </c>
      <c r="L4838" s="3" t="n">
        <v>1448.45</v>
      </c>
      <c r="M4838" s="4" t="n">
        <v>0.1</v>
      </c>
      <c r="N4838" s="3" t="n">
        <v>1864.6</v>
      </c>
      <c r="O4838" s="3">
        <f>K4838*L4838*(1-M4838)</f>
        <v/>
      </c>
      <c r="P4838" s="3">
        <f>O4838-N4838</f>
        <v/>
      </c>
      <c r="Q4838" s="5">
        <f>IFERROR(P4838/O4838,0)</f>
        <v/>
      </c>
      <c r="R4838" s="2">
        <f>TEXT(DATEVALUE(B4838),"mmm")</f>
        <v/>
      </c>
      <c r="S4838" s="2">
        <f>TEXT(DATEVALUE(B4838),"yyyy-mm")</f>
        <v/>
      </c>
    </row>
    <row r="4839">
      <c r="A4839" s="2" t="inlineStr">
        <is>
          <t>O000390</t>
        </is>
      </c>
      <c r="B4839" s="2" t="inlineStr">
        <is>
          <t>2025-12-20</t>
        </is>
      </c>
      <c r="C4839" s="2" t="inlineStr">
        <is>
          <t>C0765</t>
        </is>
      </c>
      <c r="D4839" s="2" t="inlineStr">
        <is>
          <t>P0035</t>
        </is>
      </c>
      <c r="E4839" s="2" t="inlineStr">
        <is>
          <t>Skipping Rope</t>
        </is>
      </c>
      <c r="F4839" s="2" t="inlineStr">
        <is>
          <t>Sports</t>
        </is>
      </c>
      <c r="G4839" s="2" t="inlineStr">
        <is>
          <t>South</t>
        </is>
      </c>
      <c r="H4839" s="2" t="inlineStr">
        <is>
          <t>Telangana</t>
        </is>
      </c>
      <c r="I4839" s="2" t="inlineStr">
        <is>
          <t>Warangal</t>
        </is>
      </c>
      <c r="J4839" s="2" t="inlineStr">
        <is>
          <t>Store</t>
        </is>
      </c>
      <c r="K4839" s="2" t="n">
        <v>2</v>
      </c>
      <c r="L4839" s="3" t="n">
        <v>707.48</v>
      </c>
      <c r="M4839" s="4" t="n">
        <v>0.1</v>
      </c>
      <c r="N4839" s="3" t="n">
        <v>851.0599999999999</v>
      </c>
      <c r="O4839" s="3">
        <f>K4839*L4839*(1-M4839)</f>
        <v/>
      </c>
      <c r="P4839" s="3">
        <f>O4839-N4839</f>
        <v/>
      </c>
      <c r="Q4839" s="5">
        <f>IFERROR(P4839/O4839,0)</f>
        <v/>
      </c>
      <c r="R4839" s="2">
        <f>TEXT(DATEVALUE(B4839),"mmm")</f>
        <v/>
      </c>
      <c r="S4839" s="2">
        <f>TEXT(DATEVALUE(B4839),"yyyy-mm")</f>
        <v/>
      </c>
    </row>
    <row r="4840">
      <c r="A4840" s="2" t="inlineStr">
        <is>
          <t>O003101</t>
        </is>
      </c>
      <c r="B4840" s="2" t="inlineStr">
        <is>
          <t>2025-12-20</t>
        </is>
      </c>
      <c r="C4840" s="2" t="inlineStr">
        <is>
          <t>C0068</t>
        </is>
      </c>
      <c r="D4840" s="2" t="inlineStr">
        <is>
          <t>P0022</t>
        </is>
      </c>
      <c r="E4840" s="2" t="inlineStr">
        <is>
          <t>Face Wash</t>
        </is>
      </c>
      <c r="F4840" s="2" t="inlineStr">
        <is>
          <t>Beauty</t>
        </is>
      </c>
      <c r="G4840" s="2" t="inlineStr">
        <is>
          <t>West</t>
        </is>
      </c>
      <c r="H4840" s="2" t="inlineStr">
        <is>
          <t>Goa</t>
        </is>
      </c>
      <c r="I4840" s="2" t="inlineStr">
        <is>
          <t>Margao</t>
        </is>
      </c>
      <c r="J4840" s="2" t="inlineStr">
        <is>
          <t>Online</t>
        </is>
      </c>
      <c r="K4840" s="2" t="n">
        <v>1</v>
      </c>
      <c r="L4840" s="3" t="n">
        <v>532.16</v>
      </c>
      <c r="M4840" s="4" t="n">
        <v>0.1</v>
      </c>
      <c r="N4840" s="3" t="n">
        <v>360.98</v>
      </c>
      <c r="O4840" s="3">
        <f>K4840*L4840*(1-M4840)</f>
        <v/>
      </c>
      <c r="P4840" s="3">
        <f>O4840-N4840</f>
        <v/>
      </c>
      <c r="Q4840" s="5">
        <f>IFERROR(P4840/O4840,0)</f>
        <v/>
      </c>
      <c r="R4840" s="2">
        <f>TEXT(DATEVALUE(B4840),"mmm")</f>
        <v/>
      </c>
      <c r="S4840" s="2">
        <f>TEXT(DATEVALUE(B4840),"yyyy-mm")</f>
        <v/>
      </c>
    </row>
    <row r="4841">
      <c r="A4841" s="2" t="inlineStr">
        <is>
          <t>O004845</t>
        </is>
      </c>
      <c r="B4841" s="2" t="inlineStr">
        <is>
          <t>2025-12-21</t>
        </is>
      </c>
      <c r="C4841" s="2" t="inlineStr">
        <is>
          <t>C0593</t>
        </is>
      </c>
      <c r="D4841" s="2" t="inlineStr">
        <is>
          <t>P0026</t>
        </is>
      </c>
      <c r="E4841" s="2" t="inlineStr">
        <is>
          <t>Shampoo</t>
        </is>
      </c>
      <c r="F4841" s="2" t="inlineStr">
        <is>
          <t>Beauty</t>
        </is>
      </c>
      <c r="G4841" s="2" t="inlineStr">
        <is>
          <t>East</t>
        </is>
      </c>
      <c r="H4841" s="2" t="inlineStr">
        <is>
          <t>Odisha</t>
        </is>
      </c>
      <c r="I4841" s="2" t="inlineStr">
        <is>
          <t>Cuttack</t>
        </is>
      </c>
      <c r="J4841" s="2" t="inlineStr">
        <is>
          <t>Store</t>
        </is>
      </c>
      <c r="K4841" s="2" t="n">
        <v>5</v>
      </c>
      <c r="L4841" s="3" t="n">
        <v>920.35</v>
      </c>
      <c r="M4841" s="4" t="n">
        <v>0.05</v>
      </c>
      <c r="N4841" s="3" t="n">
        <v>2541.69</v>
      </c>
      <c r="O4841" s="3">
        <f>K4841*L4841*(1-M4841)</f>
        <v/>
      </c>
      <c r="P4841" s="3">
        <f>O4841-N4841</f>
        <v/>
      </c>
      <c r="Q4841" s="5">
        <f>IFERROR(P4841/O4841,0)</f>
        <v/>
      </c>
      <c r="R4841" s="2">
        <f>TEXT(DATEVALUE(B4841),"mmm")</f>
        <v/>
      </c>
      <c r="S4841" s="2">
        <f>TEXT(DATEVALUE(B4841),"yyyy-mm")</f>
        <v/>
      </c>
    </row>
    <row r="4842">
      <c r="A4842" s="2" t="inlineStr">
        <is>
          <t>O003950</t>
        </is>
      </c>
      <c r="B4842" s="2" t="inlineStr">
        <is>
          <t>2025-12-21</t>
        </is>
      </c>
      <c r="C4842" s="2" t="inlineStr">
        <is>
          <t>C0585</t>
        </is>
      </c>
      <c r="D4842" s="2" t="inlineStr">
        <is>
          <t>P0035</t>
        </is>
      </c>
      <c r="E4842" s="2" t="inlineStr">
        <is>
          <t>Skipping Rope</t>
        </is>
      </c>
      <c r="F4842" s="2" t="inlineStr">
        <is>
          <t>Sports</t>
        </is>
      </c>
      <c r="G4842" s="2" t="inlineStr">
        <is>
          <t>West</t>
        </is>
      </c>
      <c r="H4842" s="2" t="inlineStr">
        <is>
          <t>Maharashtra</t>
        </is>
      </c>
      <c r="I4842" s="2" t="inlineStr">
        <is>
          <t>Mumbai</t>
        </is>
      </c>
      <c r="J4842" s="2" t="inlineStr">
        <is>
          <t>Online</t>
        </is>
      </c>
      <c r="K4842" s="2" t="n">
        <v>2</v>
      </c>
      <c r="L4842" s="3" t="n">
        <v>710.16</v>
      </c>
      <c r="M4842" s="4" t="n">
        <v>0.05</v>
      </c>
      <c r="N4842" s="3" t="n">
        <v>842.62</v>
      </c>
      <c r="O4842" s="3">
        <f>K4842*L4842*(1-M4842)</f>
        <v/>
      </c>
      <c r="P4842" s="3">
        <f>O4842-N4842</f>
        <v/>
      </c>
      <c r="Q4842" s="5">
        <f>IFERROR(P4842/O4842,0)</f>
        <v/>
      </c>
      <c r="R4842" s="2">
        <f>TEXT(DATEVALUE(B4842),"mmm")</f>
        <v/>
      </c>
      <c r="S4842" s="2">
        <f>TEXT(DATEVALUE(B4842),"yyyy-mm")</f>
        <v/>
      </c>
    </row>
    <row r="4843">
      <c r="A4843" s="2" t="inlineStr">
        <is>
          <t>O003742</t>
        </is>
      </c>
      <c r="B4843" s="2" t="inlineStr">
        <is>
          <t>2025-12-21</t>
        </is>
      </c>
      <c r="C4843" s="2" t="inlineStr">
        <is>
          <t>C0076</t>
        </is>
      </c>
      <c r="D4843" s="2" t="inlineStr">
        <is>
          <t>P0034</t>
        </is>
      </c>
      <c r="E4843" s="2" t="inlineStr">
        <is>
          <t>Gym Gloves</t>
        </is>
      </c>
      <c r="F4843" s="2" t="inlineStr">
        <is>
          <t>Sports</t>
        </is>
      </c>
      <c r="G4843" s="2" t="inlineStr">
        <is>
          <t>North</t>
        </is>
      </c>
      <c r="H4843" s="2" t="inlineStr">
        <is>
          <t>Haryana</t>
        </is>
      </c>
      <c r="I4843" s="2" t="inlineStr">
        <is>
          <t>Faridabad</t>
        </is>
      </c>
      <c r="J4843" s="2" t="inlineStr">
        <is>
          <t>Online</t>
        </is>
      </c>
      <c r="K4843" s="2" t="n">
        <v>1</v>
      </c>
      <c r="L4843" s="3" t="n">
        <v>608.15</v>
      </c>
      <c r="M4843" s="4" t="n">
        <v>0.05</v>
      </c>
      <c r="N4843" s="3" t="n">
        <v>408.27</v>
      </c>
      <c r="O4843" s="3">
        <f>K4843*L4843*(1-M4843)</f>
        <v/>
      </c>
      <c r="P4843" s="3">
        <f>O4843-N4843</f>
        <v/>
      </c>
      <c r="Q4843" s="5">
        <f>IFERROR(P4843/O4843,0)</f>
        <v/>
      </c>
      <c r="R4843" s="2">
        <f>TEXT(DATEVALUE(B4843),"mmm")</f>
        <v/>
      </c>
      <c r="S4843" s="2">
        <f>TEXT(DATEVALUE(B4843),"yyyy-mm")</f>
        <v/>
      </c>
    </row>
    <row r="4844">
      <c r="A4844" s="2" t="inlineStr">
        <is>
          <t>O003602</t>
        </is>
      </c>
      <c r="B4844" s="2" t="inlineStr">
        <is>
          <t>2025-12-21</t>
        </is>
      </c>
      <c r="C4844" s="2" t="inlineStr">
        <is>
          <t>C0234</t>
        </is>
      </c>
      <c r="D4844" s="2" t="inlineStr">
        <is>
          <t>P0028</t>
        </is>
      </c>
      <c r="E4844" s="2" t="inlineStr">
        <is>
          <t>Trimmer</t>
        </is>
      </c>
      <c r="F4844" s="2" t="inlineStr">
        <is>
          <t>Beauty</t>
        </is>
      </c>
      <c r="G4844" s="2" t="inlineStr">
        <is>
          <t>West</t>
        </is>
      </c>
      <c r="H4844" s="2" t="inlineStr">
        <is>
          <t>Maharashtra</t>
        </is>
      </c>
      <c r="I4844" s="2" t="inlineStr">
        <is>
          <t>Thane</t>
        </is>
      </c>
      <c r="J4844" s="2" t="inlineStr">
        <is>
          <t>Store</t>
        </is>
      </c>
      <c r="K4844" s="2" t="n">
        <v>1</v>
      </c>
      <c r="L4844" s="3" t="n">
        <v>469.92</v>
      </c>
      <c r="M4844" s="4" t="n">
        <v>0.05</v>
      </c>
      <c r="N4844" s="3" t="n">
        <v>257.24</v>
      </c>
      <c r="O4844" s="3">
        <f>K4844*L4844*(1-M4844)</f>
        <v/>
      </c>
      <c r="P4844" s="3">
        <f>O4844-N4844</f>
        <v/>
      </c>
      <c r="Q4844" s="5">
        <f>IFERROR(P4844/O4844,0)</f>
        <v/>
      </c>
      <c r="R4844" s="2">
        <f>TEXT(DATEVALUE(B4844),"mmm")</f>
        <v/>
      </c>
      <c r="S4844" s="2">
        <f>TEXT(DATEVALUE(B4844),"yyyy-mm")</f>
        <v/>
      </c>
    </row>
    <row r="4845">
      <c r="A4845" s="2" t="inlineStr">
        <is>
          <t>O003231</t>
        </is>
      </c>
      <c r="B4845" s="2" t="inlineStr">
        <is>
          <t>2025-12-21</t>
        </is>
      </c>
      <c r="C4845" s="2" t="inlineStr">
        <is>
          <t>C0159</t>
        </is>
      </c>
      <c r="D4845" s="2" t="inlineStr">
        <is>
          <t>P0007</t>
        </is>
      </c>
      <c r="E4845" s="2" t="inlineStr">
        <is>
          <t>Wireless Mouse</t>
        </is>
      </c>
      <c r="F4845" s="2" t="inlineStr">
        <is>
          <t>Electronics</t>
        </is>
      </c>
      <c r="G4845" s="2" t="inlineStr">
        <is>
          <t>South</t>
        </is>
      </c>
      <c r="H4845" s="2" t="inlineStr">
        <is>
          <t>Telangana</t>
        </is>
      </c>
      <c r="I4845" s="2" t="inlineStr">
        <is>
          <t>Hyderabad</t>
        </is>
      </c>
      <c r="J4845" s="2" t="inlineStr">
        <is>
          <t>Online</t>
        </is>
      </c>
      <c r="K4845" s="2" t="n">
        <v>2</v>
      </c>
      <c r="L4845" s="3" t="n">
        <v>976.85</v>
      </c>
      <c r="M4845" s="4" t="n">
        <v>0.15</v>
      </c>
      <c r="N4845" s="3" t="n">
        <v>1275.21</v>
      </c>
      <c r="O4845" s="3">
        <f>K4845*L4845*(1-M4845)</f>
        <v/>
      </c>
      <c r="P4845" s="3">
        <f>O4845-N4845</f>
        <v/>
      </c>
      <c r="Q4845" s="5">
        <f>IFERROR(P4845/O4845,0)</f>
        <v/>
      </c>
      <c r="R4845" s="2">
        <f>TEXT(DATEVALUE(B4845),"mmm")</f>
        <v/>
      </c>
      <c r="S4845" s="2">
        <f>TEXT(DATEVALUE(B4845),"yyyy-mm")</f>
        <v/>
      </c>
    </row>
    <row r="4846">
      <c r="A4846" s="2" t="inlineStr">
        <is>
          <t>O003090</t>
        </is>
      </c>
      <c r="B4846" s="2" t="inlineStr">
        <is>
          <t>2025-12-21</t>
        </is>
      </c>
      <c r="C4846" s="2" t="inlineStr">
        <is>
          <t>C0675</t>
        </is>
      </c>
      <c r="D4846" s="2" t="inlineStr">
        <is>
          <t>P0017</t>
        </is>
      </c>
      <c r="E4846" s="2" t="inlineStr">
        <is>
          <t>Jeans</t>
        </is>
      </c>
      <c r="F4846" s="2" t="inlineStr">
        <is>
          <t>Fashion</t>
        </is>
      </c>
      <c r="G4846" s="2" t="inlineStr">
        <is>
          <t>South</t>
        </is>
      </c>
      <c r="H4846" s="2" t="inlineStr">
        <is>
          <t>Tamil Nadu</t>
        </is>
      </c>
      <c r="I4846" s="2" t="inlineStr">
        <is>
          <t>Coimbatore</t>
        </is>
      </c>
      <c r="J4846" s="2" t="inlineStr">
        <is>
          <t>Store</t>
        </is>
      </c>
      <c r="K4846" s="2" t="n">
        <v>2</v>
      </c>
      <c r="L4846" s="3" t="n">
        <v>1486.26</v>
      </c>
      <c r="M4846" s="4" t="n">
        <v>0</v>
      </c>
      <c r="N4846" s="3" t="n">
        <v>2097.72</v>
      </c>
      <c r="O4846" s="3">
        <f>K4846*L4846*(1-M4846)</f>
        <v/>
      </c>
      <c r="P4846" s="3">
        <f>O4846-N4846</f>
        <v/>
      </c>
      <c r="Q4846" s="5">
        <f>IFERROR(P4846/O4846,0)</f>
        <v/>
      </c>
      <c r="R4846" s="2">
        <f>TEXT(DATEVALUE(B4846),"mmm")</f>
        <v/>
      </c>
      <c r="S4846" s="2">
        <f>TEXT(DATEVALUE(B4846),"yyyy-mm")</f>
        <v/>
      </c>
    </row>
    <row r="4847">
      <c r="A4847" s="2" t="inlineStr">
        <is>
          <t>O004721</t>
        </is>
      </c>
      <c r="B4847" s="2" t="inlineStr">
        <is>
          <t>2025-12-21</t>
        </is>
      </c>
      <c r="C4847" s="2" t="inlineStr">
        <is>
          <t>C0583</t>
        </is>
      </c>
      <c r="D4847" s="2" t="inlineStr">
        <is>
          <t>P0014</t>
        </is>
      </c>
      <c r="E4847" s="2" t="inlineStr">
        <is>
          <t>Coffee Maker</t>
        </is>
      </c>
      <c r="F4847" s="2" t="inlineStr">
        <is>
          <t>Home &amp; Kitchen</t>
        </is>
      </c>
      <c r="G4847" s="2" t="inlineStr">
        <is>
          <t>West</t>
        </is>
      </c>
      <c r="H4847" s="2" t="inlineStr">
        <is>
          <t>Goa</t>
        </is>
      </c>
      <c r="I4847" s="2" t="inlineStr">
        <is>
          <t>Margao</t>
        </is>
      </c>
      <c r="J4847" s="2" t="inlineStr">
        <is>
          <t>Online</t>
        </is>
      </c>
      <c r="K4847" s="2" t="n">
        <v>3</v>
      </c>
      <c r="L4847" s="3" t="n">
        <v>1055.9</v>
      </c>
      <c r="M4847" s="4" t="n">
        <v>0</v>
      </c>
      <c r="N4847" s="3" t="n">
        <v>2239.77</v>
      </c>
      <c r="O4847" s="3">
        <f>K4847*L4847*(1-M4847)</f>
        <v/>
      </c>
      <c r="P4847" s="3">
        <f>O4847-N4847</f>
        <v/>
      </c>
      <c r="Q4847" s="5">
        <f>IFERROR(P4847/O4847,0)</f>
        <v/>
      </c>
      <c r="R4847" s="2">
        <f>TEXT(DATEVALUE(B4847),"mmm")</f>
        <v/>
      </c>
      <c r="S4847" s="2">
        <f>TEXT(DATEVALUE(B4847),"yyyy-mm")</f>
        <v/>
      </c>
    </row>
    <row r="4848">
      <c r="A4848" s="2" t="inlineStr">
        <is>
          <t>O001940</t>
        </is>
      </c>
      <c r="B4848" s="2" t="inlineStr">
        <is>
          <t>2025-12-21</t>
        </is>
      </c>
      <c r="C4848" s="2" t="inlineStr">
        <is>
          <t>C0766</t>
        </is>
      </c>
      <c r="D4848" s="2" t="inlineStr">
        <is>
          <t>P0003</t>
        </is>
      </c>
      <c r="E4848" s="2" t="inlineStr">
        <is>
          <t>Smartwatch</t>
        </is>
      </c>
      <c r="F4848" s="2" t="inlineStr">
        <is>
          <t>Electronics</t>
        </is>
      </c>
      <c r="G4848" s="2" t="inlineStr">
        <is>
          <t>West</t>
        </is>
      </c>
      <c r="H4848" s="2" t="inlineStr">
        <is>
          <t>Gujarat</t>
        </is>
      </c>
      <c r="I4848" s="2" t="inlineStr">
        <is>
          <t>Ahmedabad</t>
        </is>
      </c>
      <c r="J4848" s="2" t="inlineStr">
        <is>
          <t>Online</t>
        </is>
      </c>
      <c r="K4848" s="2" t="n">
        <v>2</v>
      </c>
      <c r="L4848" s="3" t="n">
        <v>2242.5</v>
      </c>
      <c r="M4848" s="4" t="n">
        <v>0.1</v>
      </c>
      <c r="N4848" s="3" t="n">
        <v>2356.96</v>
      </c>
      <c r="O4848" s="3">
        <f>K4848*L4848*(1-M4848)</f>
        <v/>
      </c>
      <c r="P4848" s="3">
        <f>O4848-N4848</f>
        <v/>
      </c>
      <c r="Q4848" s="5">
        <f>IFERROR(P4848/O4848,0)</f>
        <v/>
      </c>
      <c r="R4848" s="2">
        <f>TEXT(DATEVALUE(B4848),"mmm")</f>
        <v/>
      </c>
      <c r="S4848" s="2">
        <f>TEXT(DATEVALUE(B4848),"yyyy-mm")</f>
        <v/>
      </c>
    </row>
    <row r="4849">
      <c r="A4849" s="2" t="inlineStr">
        <is>
          <t>O001304</t>
        </is>
      </c>
      <c r="B4849" s="2" t="inlineStr">
        <is>
          <t>2025-12-21</t>
        </is>
      </c>
      <c r="C4849" s="2" t="inlineStr">
        <is>
          <t>C0523</t>
        </is>
      </c>
      <c r="D4849" s="2" t="inlineStr">
        <is>
          <t>P0027</t>
        </is>
      </c>
      <c r="E4849" s="2" t="inlineStr">
        <is>
          <t>Moisturizer</t>
        </is>
      </c>
      <c r="F4849" s="2" t="inlineStr">
        <is>
          <t>Beauty</t>
        </is>
      </c>
      <c r="G4849" s="2" t="inlineStr">
        <is>
          <t>North</t>
        </is>
      </c>
      <c r="H4849" s="2" t="inlineStr">
        <is>
          <t>Punjab</t>
        </is>
      </c>
      <c r="I4849" s="2" t="inlineStr">
        <is>
          <t>Jalandhar</t>
        </is>
      </c>
      <c r="J4849" s="2" t="inlineStr">
        <is>
          <t>Online</t>
        </is>
      </c>
      <c r="K4849" s="2" t="n">
        <v>3</v>
      </c>
      <c r="L4849" s="3" t="n">
        <v>941.21</v>
      </c>
      <c r="M4849" s="4" t="n">
        <v>0.25</v>
      </c>
      <c r="N4849" s="3" t="n">
        <v>2032.98</v>
      </c>
      <c r="O4849" s="3">
        <f>K4849*L4849*(1-M4849)</f>
        <v/>
      </c>
      <c r="P4849" s="3">
        <f>O4849-N4849</f>
        <v/>
      </c>
      <c r="Q4849" s="5">
        <f>IFERROR(P4849/O4849,0)</f>
        <v/>
      </c>
      <c r="R4849" s="2">
        <f>TEXT(DATEVALUE(B4849),"mmm")</f>
        <v/>
      </c>
      <c r="S4849" s="2">
        <f>TEXT(DATEVALUE(B4849),"yyyy-mm")</f>
        <v/>
      </c>
    </row>
    <row r="4850">
      <c r="A4850" s="2" t="inlineStr">
        <is>
          <t>O000878</t>
        </is>
      </c>
      <c r="B4850" s="2" t="inlineStr">
        <is>
          <t>2025-12-21</t>
        </is>
      </c>
      <c r="C4850" s="2" t="inlineStr">
        <is>
          <t>C0730</t>
        </is>
      </c>
      <c r="D4850" s="2" t="inlineStr">
        <is>
          <t>P0019</t>
        </is>
      </c>
      <c r="E4850" s="2" t="inlineStr">
        <is>
          <t>Jacket</t>
        </is>
      </c>
      <c r="F4850" s="2" t="inlineStr">
        <is>
          <t>Fashion</t>
        </is>
      </c>
      <c r="G4850" s="2" t="inlineStr">
        <is>
          <t>South</t>
        </is>
      </c>
      <c r="H4850" s="2" t="inlineStr">
        <is>
          <t>Kerala</t>
        </is>
      </c>
      <c r="I4850" s="2" t="inlineStr">
        <is>
          <t>Thiruvananthapuram</t>
        </is>
      </c>
      <c r="J4850" s="2" t="inlineStr">
        <is>
          <t>Store</t>
        </is>
      </c>
      <c r="K4850" s="2" t="n">
        <v>3</v>
      </c>
      <c r="L4850" s="3" t="n">
        <v>989.45</v>
      </c>
      <c r="M4850" s="4" t="n">
        <v>0.05</v>
      </c>
      <c r="N4850" s="3" t="n">
        <v>2029.96</v>
      </c>
      <c r="O4850" s="3">
        <f>K4850*L4850*(1-M4850)</f>
        <v/>
      </c>
      <c r="P4850" s="3">
        <f>O4850-N4850</f>
        <v/>
      </c>
      <c r="Q4850" s="5">
        <f>IFERROR(P4850/O4850,0)</f>
        <v/>
      </c>
      <c r="R4850" s="2">
        <f>TEXT(DATEVALUE(B4850),"mmm")</f>
        <v/>
      </c>
      <c r="S4850" s="2">
        <f>TEXT(DATEVALUE(B4850),"yyyy-mm")</f>
        <v/>
      </c>
    </row>
    <row r="4851">
      <c r="A4851" s="2" t="inlineStr">
        <is>
          <t>O000558</t>
        </is>
      </c>
      <c r="B4851" s="2" t="inlineStr">
        <is>
          <t>2025-12-21</t>
        </is>
      </c>
      <c r="C4851" s="2" t="inlineStr">
        <is>
          <t>C0480</t>
        </is>
      </c>
      <c r="D4851" s="2" t="inlineStr">
        <is>
          <t>P0032</t>
        </is>
      </c>
      <c r="E4851" s="2" t="inlineStr">
        <is>
          <t>Football</t>
        </is>
      </c>
      <c r="F4851" s="2" t="inlineStr">
        <is>
          <t>Sports</t>
        </is>
      </c>
      <c r="G4851" s="2" t="inlineStr">
        <is>
          <t>North</t>
        </is>
      </c>
      <c r="H4851" s="2" t="inlineStr">
        <is>
          <t>Delhi</t>
        </is>
      </c>
      <c r="I4851" s="2" t="inlineStr">
        <is>
          <t>New Delhi</t>
        </is>
      </c>
      <c r="J4851" s="2" t="inlineStr">
        <is>
          <t>Online</t>
        </is>
      </c>
      <c r="K4851" s="2" t="n">
        <v>4</v>
      </c>
      <c r="L4851" s="3" t="n">
        <v>789.5700000000001</v>
      </c>
      <c r="M4851" s="4" t="n">
        <v>0.1</v>
      </c>
      <c r="N4851" s="3" t="n">
        <v>2191.61</v>
      </c>
      <c r="O4851" s="3">
        <f>K4851*L4851*(1-M4851)</f>
        <v/>
      </c>
      <c r="P4851" s="3">
        <f>O4851-N4851</f>
        <v/>
      </c>
      <c r="Q4851" s="5">
        <f>IFERROR(P4851/O4851,0)</f>
        <v/>
      </c>
      <c r="R4851" s="2">
        <f>TEXT(DATEVALUE(B4851),"mmm")</f>
        <v/>
      </c>
      <c r="S4851" s="2">
        <f>TEXT(DATEVALUE(B4851),"yyyy-mm")</f>
        <v/>
      </c>
    </row>
    <row r="4852">
      <c r="A4852" s="2" t="inlineStr">
        <is>
          <t>O000423</t>
        </is>
      </c>
      <c r="B4852" s="2" t="inlineStr">
        <is>
          <t>2025-12-21</t>
        </is>
      </c>
      <c r="C4852" s="2" t="inlineStr">
        <is>
          <t>C0175</t>
        </is>
      </c>
      <c r="D4852" s="2" t="inlineStr">
        <is>
          <t>P0022</t>
        </is>
      </c>
      <c r="E4852" s="2" t="inlineStr">
        <is>
          <t>Face Wash</t>
        </is>
      </c>
      <c r="F4852" s="2" t="inlineStr">
        <is>
          <t>Beauty</t>
        </is>
      </c>
      <c r="G4852" s="2" t="inlineStr">
        <is>
          <t>West</t>
        </is>
      </c>
      <c r="H4852" s="2" t="inlineStr">
        <is>
          <t>Maharashtra</t>
        </is>
      </c>
      <c r="I4852" s="2" t="inlineStr">
        <is>
          <t>Nagpur</t>
        </is>
      </c>
      <c r="J4852" s="2" t="inlineStr">
        <is>
          <t>Online</t>
        </is>
      </c>
      <c r="K4852" s="2" t="n">
        <v>1</v>
      </c>
      <c r="L4852" s="3" t="n">
        <v>547.04</v>
      </c>
      <c r="M4852" s="4" t="n">
        <v>0.1</v>
      </c>
      <c r="N4852" s="3" t="n">
        <v>355.55</v>
      </c>
      <c r="O4852" s="3">
        <f>K4852*L4852*(1-M4852)</f>
        <v/>
      </c>
      <c r="P4852" s="3">
        <f>O4852-N4852</f>
        <v/>
      </c>
      <c r="Q4852" s="5">
        <f>IFERROR(P4852/O4852,0)</f>
        <v/>
      </c>
      <c r="R4852" s="2">
        <f>TEXT(DATEVALUE(B4852),"mmm")</f>
        <v/>
      </c>
      <c r="S4852" s="2">
        <f>TEXT(DATEVALUE(B4852),"yyyy-mm")</f>
        <v/>
      </c>
    </row>
    <row r="4853">
      <c r="A4853" s="2" t="inlineStr">
        <is>
          <t>O000377</t>
        </is>
      </c>
      <c r="B4853" s="2" t="inlineStr">
        <is>
          <t>2025-12-21</t>
        </is>
      </c>
      <c r="C4853" s="2" t="inlineStr">
        <is>
          <t>C0125</t>
        </is>
      </c>
      <c r="D4853" s="2" t="inlineStr">
        <is>
          <t>P0022</t>
        </is>
      </c>
      <c r="E4853" s="2" t="inlineStr">
        <is>
          <t>Face Wash</t>
        </is>
      </c>
      <c r="F4853" s="2" t="inlineStr">
        <is>
          <t>Beauty</t>
        </is>
      </c>
      <c r="G4853" s="2" t="inlineStr">
        <is>
          <t>North</t>
        </is>
      </c>
      <c r="H4853" s="2" t="inlineStr">
        <is>
          <t>Delhi</t>
        </is>
      </c>
      <c r="I4853" s="2" t="inlineStr">
        <is>
          <t>New Delhi</t>
        </is>
      </c>
      <c r="J4853" s="2" t="inlineStr">
        <is>
          <t>Store</t>
        </is>
      </c>
      <c r="K4853" s="2" t="n">
        <v>1</v>
      </c>
      <c r="L4853" s="3" t="n">
        <v>538.4</v>
      </c>
      <c r="M4853" s="4" t="n">
        <v>0.2</v>
      </c>
      <c r="N4853" s="3" t="n">
        <v>358.87</v>
      </c>
      <c r="O4853" s="3">
        <f>K4853*L4853*(1-M4853)</f>
        <v/>
      </c>
      <c r="P4853" s="3">
        <f>O4853-N4853</f>
        <v/>
      </c>
      <c r="Q4853" s="5">
        <f>IFERROR(P4853/O4853,0)</f>
        <v/>
      </c>
      <c r="R4853" s="2">
        <f>TEXT(DATEVALUE(B4853),"mmm")</f>
        <v/>
      </c>
      <c r="S4853" s="2">
        <f>TEXT(DATEVALUE(B4853),"yyyy-mm")</f>
        <v/>
      </c>
    </row>
    <row r="4854">
      <c r="A4854" s="2" t="inlineStr">
        <is>
          <t>O002121</t>
        </is>
      </c>
      <c r="B4854" s="2" t="inlineStr">
        <is>
          <t>2025-12-21</t>
        </is>
      </c>
      <c r="C4854" s="2" t="inlineStr">
        <is>
          <t>C0456</t>
        </is>
      </c>
      <c r="D4854" s="2" t="inlineStr">
        <is>
          <t>P0008</t>
        </is>
      </c>
      <c r="E4854" s="2" t="inlineStr">
        <is>
          <t>Air Fryer</t>
        </is>
      </c>
      <c r="F4854" s="2" t="inlineStr">
        <is>
          <t>Home &amp; Kitchen</t>
        </is>
      </c>
      <c r="G4854" s="2" t="inlineStr">
        <is>
          <t>South</t>
        </is>
      </c>
      <c r="H4854" s="2" t="inlineStr">
        <is>
          <t>Telangana</t>
        </is>
      </c>
      <c r="I4854" s="2" t="inlineStr">
        <is>
          <t>Hyderabad</t>
        </is>
      </c>
      <c r="J4854" s="2" t="inlineStr">
        <is>
          <t>Online</t>
        </is>
      </c>
      <c r="K4854" s="2" t="n">
        <v>2</v>
      </c>
      <c r="L4854" s="3" t="n">
        <v>1006.24</v>
      </c>
      <c r="M4854" s="4" t="n">
        <v>0.15</v>
      </c>
      <c r="N4854" s="3" t="n">
        <v>1349.39</v>
      </c>
      <c r="O4854" s="3">
        <f>K4854*L4854*(1-M4854)</f>
        <v/>
      </c>
      <c r="P4854" s="3">
        <f>O4854-N4854</f>
        <v/>
      </c>
      <c r="Q4854" s="5">
        <f>IFERROR(P4854/O4854,0)</f>
        <v/>
      </c>
      <c r="R4854" s="2">
        <f>TEXT(DATEVALUE(B4854),"mmm")</f>
        <v/>
      </c>
      <c r="S4854" s="2">
        <f>TEXT(DATEVALUE(B4854),"yyyy-mm")</f>
        <v/>
      </c>
    </row>
    <row r="4855">
      <c r="A4855" s="2" t="inlineStr">
        <is>
          <t>O004840</t>
        </is>
      </c>
      <c r="B4855" s="2" t="inlineStr">
        <is>
          <t>2025-12-22</t>
        </is>
      </c>
      <c r="C4855" s="2" t="inlineStr">
        <is>
          <t>C0553</t>
        </is>
      </c>
      <c r="D4855" s="2" t="inlineStr">
        <is>
          <t>P0024</t>
        </is>
      </c>
      <c r="E4855" s="2" t="inlineStr">
        <is>
          <t>Hair Dryer</t>
        </is>
      </c>
      <c r="F4855" s="2" t="inlineStr">
        <is>
          <t>Beauty</t>
        </is>
      </c>
      <c r="G4855" s="2" t="inlineStr">
        <is>
          <t>East</t>
        </is>
      </c>
      <c r="H4855" s="2" t="inlineStr">
        <is>
          <t>West Bengal</t>
        </is>
      </c>
      <c r="I4855" s="2" t="inlineStr">
        <is>
          <t>Kolkata</t>
        </is>
      </c>
      <c r="J4855" s="2" t="inlineStr">
        <is>
          <t>Online</t>
        </is>
      </c>
      <c r="K4855" s="2" t="n">
        <v>5</v>
      </c>
      <c r="L4855" s="3" t="n">
        <v>1042.96</v>
      </c>
      <c r="M4855" s="4" t="n">
        <v>0.1</v>
      </c>
      <c r="N4855" s="3" t="n">
        <v>3583.78</v>
      </c>
      <c r="O4855" s="3">
        <f>K4855*L4855*(1-M4855)</f>
        <v/>
      </c>
      <c r="P4855" s="3">
        <f>O4855-N4855</f>
        <v/>
      </c>
      <c r="Q4855" s="5">
        <f>IFERROR(P4855/O4855,0)</f>
        <v/>
      </c>
      <c r="R4855" s="2">
        <f>TEXT(DATEVALUE(B4855),"mmm")</f>
        <v/>
      </c>
      <c r="S4855" s="2">
        <f>TEXT(DATEVALUE(B4855),"yyyy-mm")</f>
        <v/>
      </c>
    </row>
    <row r="4856">
      <c r="A4856" s="2" t="inlineStr">
        <is>
          <t>O004778</t>
        </is>
      </c>
      <c r="B4856" s="2" t="inlineStr">
        <is>
          <t>2025-12-22</t>
        </is>
      </c>
      <c r="C4856" s="2" t="inlineStr">
        <is>
          <t>C0016</t>
        </is>
      </c>
      <c r="D4856" s="2" t="inlineStr">
        <is>
          <t>P0001</t>
        </is>
      </c>
      <c r="E4856" s="2" t="inlineStr">
        <is>
          <t>Wireless Headphones</t>
        </is>
      </c>
      <c r="F4856" s="2" t="inlineStr">
        <is>
          <t>Electronics</t>
        </is>
      </c>
      <c r="G4856" s="2" t="inlineStr">
        <is>
          <t>South</t>
        </is>
      </c>
      <c r="H4856" s="2" t="inlineStr">
        <is>
          <t>Kerala</t>
        </is>
      </c>
      <c r="I4856" s="2" t="inlineStr">
        <is>
          <t>Kochi</t>
        </is>
      </c>
      <c r="J4856" s="2" t="inlineStr">
        <is>
          <t>Online</t>
        </is>
      </c>
      <c r="K4856" s="2" t="n">
        <v>1</v>
      </c>
      <c r="L4856" s="3" t="n">
        <v>1288.73</v>
      </c>
      <c r="M4856" s="4" t="n">
        <v>0.2</v>
      </c>
      <c r="N4856" s="3" t="n">
        <v>688.0700000000001</v>
      </c>
      <c r="O4856" s="3">
        <f>K4856*L4856*(1-M4856)</f>
        <v/>
      </c>
      <c r="P4856" s="3">
        <f>O4856-N4856</f>
        <v/>
      </c>
      <c r="Q4856" s="5">
        <f>IFERROR(P4856/O4856,0)</f>
        <v/>
      </c>
      <c r="R4856" s="2">
        <f>TEXT(DATEVALUE(B4856),"mmm")</f>
        <v/>
      </c>
      <c r="S4856" s="2">
        <f>TEXT(DATEVALUE(B4856),"yyyy-mm")</f>
        <v/>
      </c>
    </row>
    <row r="4857">
      <c r="A4857" s="2" t="inlineStr">
        <is>
          <t>O004367</t>
        </is>
      </c>
      <c r="B4857" s="2" t="inlineStr">
        <is>
          <t>2025-12-22</t>
        </is>
      </c>
      <c r="C4857" s="2" t="inlineStr">
        <is>
          <t>C0182</t>
        </is>
      </c>
      <c r="D4857" s="2" t="inlineStr">
        <is>
          <t>P0021</t>
        </is>
      </c>
      <c r="E4857" s="2" t="inlineStr">
        <is>
          <t>Wallet</t>
        </is>
      </c>
      <c r="F4857" s="2" t="inlineStr">
        <is>
          <t>Fashion</t>
        </is>
      </c>
      <c r="G4857" s="2" t="inlineStr">
        <is>
          <t>South</t>
        </is>
      </c>
      <c r="H4857" s="2" t="inlineStr">
        <is>
          <t>Tamil Nadu</t>
        </is>
      </c>
      <c r="I4857" s="2" t="inlineStr">
        <is>
          <t>Chennai</t>
        </is>
      </c>
      <c r="J4857" s="2" t="inlineStr">
        <is>
          <t>Online</t>
        </is>
      </c>
      <c r="K4857" s="2" t="n">
        <v>1</v>
      </c>
      <c r="L4857" s="3" t="n">
        <v>2007.72</v>
      </c>
      <c r="M4857" s="4" t="n">
        <v>0.05</v>
      </c>
      <c r="N4857" s="3" t="n">
        <v>1209.28</v>
      </c>
      <c r="O4857" s="3">
        <f>K4857*L4857*(1-M4857)</f>
        <v/>
      </c>
      <c r="P4857" s="3">
        <f>O4857-N4857</f>
        <v/>
      </c>
      <c r="Q4857" s="5">
        <f>IFERROR(P4857/O4857,0)</f>
        <v/>
      </c>
      <c r="R4857" s="2">
        <f>TEXT(DATEVALUE(B4857),"mmm")</f>
        <v/>
      </c>
      <c r="S4857" s="2">
        <f>TEXT(DATEVALUE(B4857),"yyyy-mm")</f>
        <v/>
      </c>
    </row>
    <row r="4858">
      <c r="A4858" s="2" t="inlineStr">
        <is>
          <t>O003800</t>
        </is>
      </c>
      <c r="B4858" s="2" t="inlineStr">
        <is>
          <t>2025-12-22</t>
        </is>
      </c>
      <c r="C4858" s="2" t="inlineStr">
        <is>
          <t>C0479</t>
        </is>
      </c>
      <c r="D4858" s="2" t="inlineStr">
        <is>
          <t>P0022</t>
        </is>
      </c>
      <c r="E4858" s="2" t="inlineStr">
        <is>
          <t>Face Wash</t>
        </is>
      </c>
      <c r="F4858" s="2" t="inlineStr">
        <is>
          <t>Beauty</t>
        </is>
      </c>
      <c r="G4858" s="2" t="inlineStr">
        <is>
          <t>West</t>
        </is>
      </c>
      <c r="H4858" s="2" t="inlineStr">
        <is>
          <t>Gujarat</t>
        </is>
      </c>
      <c r="I4858" s="2" t="inlineStr">
        <is>
          <t>Ahmedabad</t>
        </is>
      </c>
      <c r="J4858" s="2" t="inlineStr">
        <is>
          <t>Store</t>
        </is>
      </c>
      <c r="K4858" s="2" t="n">
        <v>3</v>
      </c>
      <c r="L4858" s="3" t="n">
        <v>556.29</v>
      </c>
      <c r="M4858" s="4" t="n">
        <v>0</v>
      </c>
      <c r="N4858" s="3" t="n">
        <v>1037.4</v>
      </c>
      <c r="O4858" s="3">
        <f>K4858*L4858*(1-M4858)</f>
        <v/>
      </c>
      <c r="P4858" s="3">
        <f>O4858-N4858</f>
        <v/>
      </c>
      <c r="Q4858" s="5">
        <f>IFERROR(P4858/O4858,0)</f>
        <v/>
      </c>
      <c r="R4858" s="2">
        <f>TEXT(DATEVALUE(B4858),"mmm")</f>
        <v/>
      </c>
      <c r="S4858" s="2">
        <f>TEXT(DATEVALUE(B4858),"yyyy-mm")</f>
        <v/>
      </c>
    </row>
    <row r="4859">
      <c r="A4859" s="2" t="inlineStr">
        <is>
          <t>O003777</t>
        </is>
      </c>
      <c r="B4859" s="2" t="inlineStr">
        <is>
          <t>2025-12-22</t>
        </is>
      </c>
      <c r="C4859" s="2" t="inlineStr">
        <is>
          <t>C0205</t>
        </is>
      </c>
      <c r="D4859" s="2" t="inlineStr">
        <is>
          <t>P0012</t>
        </is>
      </c>
      <c r="E4859" s="2" t="inlineStr">
        <is>
          <t>Water Bottle</t>
        </is>
      </c>
      <c r="F4859" s="2" t="inlineStr">
        <is>
          <t>Home &amp; Kitchen</t>
        </is>
      </c>
      <c r="G4859" s="2" t="inlineStr">
        <is>
          <t>West</t>
        </is>
      </c>
      <c r="H4859" s="2" t="inlineStr">
        <is>
          <t>Maharashtra</t>
        </is>
      </c>
      <c r="I4859" s="2" t="inlineStr">
        <is>
          <t>Nagpur</t>
        </is>
      </c>
      <c r="J4859" s="2" t="inlineStr">
        <is>
          <t>Online</t>
        </is>
      </c>
      <c r="K4859" s="2" t="n">
        <v>3</v>
      </c>
      <c r="L4859" s="3" t="n">
        <v>981.17</v>
      </c>
      <c r="M4859" s="4" t="n">
        <v>0</v>
      </c>
      <c r="N4859" s="3" t="n">
        <v>1818.06</v>
      </c>
      <c r="O4859" s="3">
        <f>K4859*L4859*(1-M4859)</f>
        <v/>
      </c>
      <c r="P4859" s="3">
        <f>O4859-N4859</f>
        <v/>
      </c>
      <c r="Q4859" s="5">
        <f>IFERROR(P4859/O4859,0)</f>
        <v/>
      </c>
      <c r="R4859" s="2">
        <f>TEXT(DATEVALUE(B4859),"mmm")</f>
        <v/>
      </c>
      <c r="S4859" s="2">
        <f>TEXT(DATEVALUE(B4859),"yyyy-mm")</f>
        <v/>
      </c>
    </row>
    <row r="4860">
      <c r="A4860" s="2" t="inlineStr">
        <is>
          <t>O002812</t>
        </is>
      </c>
      <c r="B4860" s="2" t="inlineStr">
        <is>
          <t>2025-12-22</t>
        </is>
      </c>
      <c r="C4860" s="2" t="inlineStr">
        <is>
          <t>C0004</t>
        </is>
      </c>
      <c r="D4860" s="2" t="inlineStr">
        <is>
          <t>P0013</t>
        </is>
      </c>
      <c r="E4860" s="2" t="inlineStr">
        <is>
          <t>Storage Organizer</t>
        </is>
      </c>
      <c r="F4860" s="2" t="inlineStr">
        <is>
          <t>Home &amp; Kitchen</t>
        </is>
      </c>
      <c r="G4860" s="2" t="inlineStr">
        <is>
          <t>West</t>
        </is>
      </c>
      <c r="H4860" s="2" t="inlineStr">
        <is>
          <t>Maharashtra</t>
        </is>
      </c>
      <c r="I4860" s="2" t="inlineStr">
        <is>
          <t>Nashik</t>
        </is>
      </c>
      <c r="J4860" s="2" t="inlineStr">
        <is>
          <t>Store</t>
        </is>
      </c>
      <c r="K4860" s="2" t="n">
        <v>1</v>
      </c>
      <c r="L4860" s="3" t="n">
        <v>581.62</v>
      </c>
      <c r="M4860" s="4" t="n">
        <v>0.2</v>
      </c>
      <c r="N4860" s="3" t="n">
        <v>357.91</v>
      </c>
      <c r="O4860" s="3">
        <f>K4860*L4860*(1-M4860)</f>
        <v/>
      </c>
      <c r="P4860" s="3">
        <f>O4860-N4860</f>
        <v/>
      </c>
      <c r="Q4860" s="5">
        <f>IFERROR(P4860/O4860,0)</f>
        <v/>
      </c>
      <c r="R4860" s="2">
        <f>TEXT(DATEVALUE(B4860),"mmm")</f>
        <v/>
      </c>
      <c r="S4860" s="2">
        <f>TEXT(DATEVALUE(B4860),"yyyy-mm")</f>
        <v/>
      </c>
    </row>
    <row r="4861">
      <c r="A4861" s="2" t="inlineStr">
        <is>
          <t>O002755</t>
        </is>
      </c>
      <c r="B4861" s="2" t="inlineStr">
        <is>
          <t>2025-12-22</t>
        </is>
      </c>
      <c r="C4861" s="2" t="inlineStr">
        <is>
          <t>C0074</t>
        </is>
      </c>
      <c r="D4861" s="2" t="inlineStr">
        <is>
          <t>P0022</t>
        </is>
      </c>
      <c r="E4861" s="2" t="inlineStr">
        <is>
          <t>Face Wash</t>
        </is>
      </c>
      <c r="F4861" s="2" t="inlineStr">
        <is>
          <t>Beauty</t>
        </is>
      </c>
      <c r="G4861" s="2" t="inlineStr">
        <is>
          <t>West</t>
        </is>
      </c>
      <c r="H4861" s="2" t="inlineStr">
        <is>
          <t>Goa</t>
        </is>
      </c>
      <c r="I4861" s="2" t="inlineStr">
        <is>
          <t>Margao</t>
        </is>
      </c>
      <c r="J4861" s="2" t="inlineStr">
        <is>
          <t>Online</t>
        </is>
      </c>
      <c r="K4861" s="2" t="n">
        <v>1</v>
      </c>
      <c r="L4861" s="3" t="n">
        <v>553</v>
      </c>
      <c r="M4861" s="4" t="n">
        <v>0</v>
      </c>
      <c r="N4861" s="3" t="n">
        <v>344.02</v>
      </c>
      <c r="O4861" s="3">
        <f>K4861*L4861*(1-M4861)</f>
        <v/>
      </c>
      <c r="P4861" s="3">
        <f>O4861-N4861</f>
        <v/>
      </c>
      <c r="Q4861" s="5">
        <f>IFERROR(P4861/O4861,0)</f>
        <v/>
      </c>
      <c r="R4861" s="2">
        <f>TEXT(DATEVALUE(B4861),"mmm")</f>
        <v/>
      </c>
      <c r="S4861" s="2">
        <f>TEXT(DATEVALUE(B4861),"yyyy-mm")</f>
        <v/>
      </c>
    </row>
    <row r="4862">
      <c r="A4862" s="2" t="inlineStr">
        <is>
          <t>O001664</t>
        </is>
      </c>
      <c r="B4862" s="2" t="inlineStr">
        <is>
          <t>2025-12-22</t>
        </is>
      </c>
      <c r="C4862" s="2" t="inlineStr">
        <is>
          <t>C0599</t>
        </is>
      </c>
      <c r="D4862" s="2" t="inlineStr">
        <is>
          <t>P0030</t>
        </is>
      </c>
      <c r="E4862" s="2" t="inlineStr">
        <is>
          <t>Dumbbells</t>
        </is>
      </c>
      <c r="F4862" s="2" t="inlineStr">
        <is>
          <t>Sports</t>
        </is>
      </c>
      <c r="G4862" s="2" t="inlineStr">
        <is>
          <t>West</t>
        </is>
      </c>
      <c r="H4862" s="2" t="inlineStr">
        <is>
          <t>Gujarat</t>
        </is>
      </c>
      <c r="I4862" s="2" t="inlineStr">
        <is>
          <t>Ahmedabad</t>
        </is>
      </c>
      <c r="J4862" s="2" t="inlineStr">
        <is>
          <t>Store</t>
        </is>
      </c>
      <c r="K4862" s="2" t="n">
        <v>2</v>
      </c>
      <c r="L4862" s="3" t="n">
        <v>1570.18</v>
      </c>
      <c r="M4862" s="4" t="n">
        <v>0.05</v>
      </c>
      <c r="N4862" s="3" t="n">
        <v>2038.72</v>
      </c>
      <c r="O4862" s="3">
        <f>K4862*L4862*(1-M4862)</f>
        <v/>
      </c>
      <c r="P4862" s="3">
        <f>O4862-N4862</f>
        <v/>
      </c>
      <c r="Q4862" s="5">
        <f>IFERROR(P4862/O4862,0)</f>
        <v/>
      </c>
      <c r="R4862" s="2">
        <f>TEXT(DATEVALUE(B4862),"mmm")</f>
        <v/>
      </c>
      <c r="S4862" s="2">
        <f>TEXT(DATEVALUE(B4862),"yyyy-mm")</f>
        <v/>
      </c>
    </row>
    <row r="4863">
      <c r="A4863" s="2" t="inlineStr">
        <is>
          <t>O001647</t>
        </is>
      </c>
      <c r="B4863" s="2" t="inlineStr">
        <is>
          <t>2025-12-22</t>
        </is>
      </c>
      <c r="C4863" s="2" t="inlineStr">
        <is>
          <t>C0179</t>
        </is>
      </c>
      <c r="D4863" s="2" t="inlineStr">
        <is>
          <t>P0002</t>
        </is>
      </c>
      <c r="E4863" s="2" t="inlineStr">
        <is>
          <t>Bluetooth Speaker</t>
        </is>
      </c>
      <c r="F4863" s="2" t="inlineStr">
        <is>
          <t>Electronics</t>
        </is>
      </c>
      <c r="G4863" s="2" t="inlineStr">
        <is>
          <t>West</t>
        </is>
      </c>
      <c r="H4863" s="2" t="inlineStr">
        <is>
          <t>Goa</t>
        </is>
      </c>
      <c r="I4863" s="2" t="inlineStr">
        <is>
          <t>Panaji</t>
        </is>
      </c>
      <c r="J4863" s="2" t="inlineStr">
        <is>
          <t>Online</t>
        </is>
      </c>
      <c r="K4863" s="2" t="n">
        <v>5</v>
      </c>
      <c r="L4863" s="3" t="n">
        <v>1319.07</v>
      </c>
      <c r="M4863" s="4" t="n">
        <v>0.05</v>
      </c>
      <c r="N4863" s="3" t="n">
        <v>4143.93</v>
      </c>
      <c r="O4863" s="3">
        <f>K4863*L4863*(1-M4863)</f>
        <v/>
      </c>
      <c r="P4863" s="3">
        <f>O4863-N4863</f>
        <v/>
      </c>
      <c r="Q4863" s="5">
        <f>IFERROR(P4863/O4863,0)</f>
        <v/>
      </c>
      <c r="R4863" s="2">
        <f>TEXT(DATEVALUE(B4863),"mmm")</f>
        <v/>
      </c>
      <c r="S4863" s="2">
        <f>TEXT(DATEVALUE(B4863),"yyyy-mm")</f>
        <v/>
      </c>
    </row>
    <row r="4864">
      <c r="A4864" s="2" t="inlineStr">
        <is>
          <t>O001342</t>
        </is>
      </c>
      <c r="B4864" s="2" t="inlineStr">
        <is>
          <t>2025-12-22</t>
        </is>
      </c>
      <c r="C4864" s="2" t="inlineStr">
        <is>
          <t>C0568</t>
        </is>
      </c>
      <c r="D4864" s="2" t="inlineStr">
        <is>
          <t>P0019</t>
        </is>
      </c>
      <c r="E4864" s="2" t="inlineStr">
        <is>
          <t>Jacket</t>
        </is>
      </c>
      <c r="F4864" s="2" t="inlineStr">
        <is>
          <t>Fashion</t>
        </is>
      </c>
      <c r="G4864" s="2" t="inlineStr">
        <is>
          <t>West</t>
        </is>
      </c>
      <c r="H4864" s="2" t="inlineStr">
        <is>
          <t>Goa</t>
        </is>
      </c>
      <c r="I4864" s="2" t="inlineStr">
        <is>
          <t>Margao</t>
        </is>
      </c>
      <c r="J4864" s="2" t="inlineStr">
        <is>
          <t>Online</t>
        </is>
      </c>
      <c r="K4864" s="2" t="n">
        <v>3</v>
      </c>
      <c r="L4864" s="3" t="n">
        <v>1018.56</v>
      </c>
      <c r="M4864" s="4" t="n">
        <v>0.1</v>
      </c>
      <c r="N4864" s="3" t="n">
        <v>2082.52</v>
      </c>
      <c r="O4864" s="3">
        <f>K4864*L4864*(1-M4864)</f>
        <v/>
      </c>
      <c r="P4864" s="3">
        <f>O4864-N4864</f>
        <v/>
      </c>
      <c r="Q4864" s="5">
        <f>IFERROR(P4864/O4864,0)</f>
        <v/>
      </c>
      <c r="R4864" s="2">
        <f>TEXT(DATEVALUE(B4864),"mmm")</f>
        <v/>
      </c>
      <c r="S4864" s="2">
        <f>TEXT(DATEVALUE(B4864),"yyyy-mm")</f>
        <v/>
      </c>
    </row>
    <row r="4865">
      <c r="A4865" s="2" t="inlineStr">
        <is>
          <t>O001143</t>
        </is>
      </c>
      <c r="B4865" s="2" t="inlineStr">
        <is>
          <t>2025-12-22</t>
        </is>
      </c>
      <c r="C4865" s="2" t="inlineStr">
        <is>
          <t>C0648</t>
        </is>
      </c>
      <c r="D4865" s="2" t="inlineStr">
        <is>
          <t>P0016</t>
        </is>
      </c>
      <c r="E4865" s="2" t="inlineStr">
        <is>
          <t>Casual Shirt</t>
        </is>
      </c>
      <c r="F4865" s="2" t="inlineStr">
        <is>
          <t>Fashion</t>
        </is>
      </c>
      <c r="G4865" s="2" t="inlineStr">
        <is>
          <t>North</t>
        </is>
      </c>
      <c r="H4865" s="2" t="inlineStr">
        <is>
          <t>Haryana</t>
        </is>
      </c>
      <c r="I4865" s="2" t="inlineStr">
        <is>
          <t>Faridabad</t>
        </is>
      </c>
      <c r="J4865" s="2" t="inlineStr">
        <is>
          <t>Online</t>
        </is>
      </c>
      <c r="K4865" s="2" t="n">
        <v>4</v>
      </c>
      <c r="L4865" s="3" t="n">
        <v>1258.78</v>
      </c>
      <c r="M4865" s="4" t="n">
        <v>0.1</v>
      </c>
      <c r="N4865" s="3" t="n">
        <v>3616.19</v>
      </c>
      <c r="O4865" s="3">
        <f>K4865*L4865*(1-M4865)</f>
        <v/>
      </c>
      <c r="P4865" s="3">
        <f>O4865-N4865</f>
        <v/>
      </c>
      <c r="Q4865" s="5">
        <f>IFERROR(P4865/O4865,0)</f>
        <v/>
      </c>
      <c r="R4865" s="2">
        <f>TEXT(DATEVALUE(B4865),"mmm")</f>
        <v/>
      </c>
      <c r="S4865" s="2">
        <f>TEXT(DATEVALUE(B4865),"yyyy-mm")</f>
        <v/>
      </c>
    </row>
    <row r="4866">
      <c r="A4866" s="2" t="inlineStr">
        <is>
          <t>O000999</t>
        </is>
      </c>
      <c r="B4866" s="2" t="inlineStr">
        <is>
          <t>2025-12-22</t>
        </is>
      </c>
      <c r="C4866" s="2" t="inlineStr">
        <is>
          <t>C0738</t>
        </is>
      </c>
      <c r="D4866" s="2" t="inlineStr">
        <is>
          <t>P0022</t>
        </is>
      </c>
      <c r="E4866" s="2" t="inlineStr">
        <is>
          <t>Face Wash</t>
        </is>
      </c>
      <c r="F4866" s="2" t="inlineStr">
        <is>
          <t>Beauty</t>
        </is>
      </c>
      <c r="G4866" s="2" t="inlineStr">
        <is>
          <t>North</t>
        </is>
      </c>
      <c r="H4866" s="2" t="inlineStr">
        <is>
          <t>Punjab</t>
        </is>
      </c>
      <c r="I4866" s="2" t="inlineStr">
        <is>
          <t>Jalandhar</t>
        </is>
      </c>
      <c r="J4866" s="2" t="inlineStr">
        <is>
          <t>Online</t>
        </is>
      </c>
      <c r="K4866" s="2" t="n">
        <v>2</v>
      </c>
      <c r="L4866" s="3" t="n">
        <v>528.6</v>
      </c>
      <c r="M4866" s="4" t="n">
        <v>0.1</v>
      </c>
      <c r="N4866" s="3" t="n">
        <v>699.0599999999999</v>
      </c>
      <c r="O4866" s="3">
        <f>K4866*L4866*(1-M4866)</f>
        <v/>
      </c>
      <c r="P4866" s="3">
        <f>O4866-N4866</f>
        <v/>
      </c>
      <c r="Q4866" s="5">
        <f>IFERROR(P4866/O4866,0)</f>
        <v/>
      </c>
      <c r="R4866" s="2">
        <f>TEXT(DATEVALUE(B4866),"mmm")</f>
        <v/>
      </c>
      <c r="S4866" s="2">
        <f>TEXT(DATEVALUE(B4866),"yyyy-mm")</f>
        <v/>
      </c>
    </row>
    <row r="4867">
      <c r="A4867" s="2" t="inlineStr">
        <is>
          <t>O001881</t>
        </is>
      </c>
      <c r="B4867" s="2" t="inlineStr">
        <is>
          <t>2025-12-22</t>
        </is>
      </c>
      <c r="C4867" s="2" t="inlineStr">
        <is>
          <t>C0001</t>
        </is>
      </c>
      <c r="D4867" s="2" t="inlineStr">
        <is>
          <t>P0021</t>
        </is>
      </c>
      <c r="E4867" s="2" t="inlineStr">
        <is>
          <t>Wallet</t>
        </is>
      </c>
      <c r="F4867" s="2" t="inlineStr">
        <is>
          <t>Fashion</t>
        </is>
      </c>
      <c r="G4867" s="2" t="inlineStr">
        <is>
          <t>South</t>
        </is>
      </c>
      <c r="H4867" s="2" t="inlineStr">
        <is>
          <t>Karnataka</t>
        </is>
      </c>
      <c r="I4867" s="2" t="inlineStr">
        <is>
          <t>Mysuru</t>
        </is>
      </c>
      <c r="J4867" s="2" t="inlineStr">
        <is>
          <t>Online</t>
        </is>
      </c>
      <c r="K4867" s="2" t="n">
        <v>3</v>
      </c>
      <c r="L4867" s="3" t="n">
        <v>1975.86</v>
      </c>
      <c r="M4867" s="4" t="n">
        <v>0</v>
      </c>
      <c r="N4867" s="3" t="n">
        <v>3534.93</v>
      </c>
      <c r="O4867" s="3">
        <f>K4867*L4867*(1-M4867)</f>
        <v/>
      </c>
      <c r="P4867" s="3">
        <f>O4867-N4867</f>
        <v/>
      </c>
      <c r="Q4867" s="5">
        <f>IFERROR(P4867/O4867,0)</f>
        <v/>
      </c>
      <c r="R4867" s="2">
        <f>TEXT(DATEVALUE(B4867),"mmm")</f>
        <v/>
      </c>
      <c r="S4867" s="2">
        <f>TEXT(DATEVALUE(B4867),"yyyy-mm")</f>
        <v/>
      </c>
    </row>
    <row r="4868">
      <c r="A4868" s="2" t="inlineStr">
        <is>
          <t>O003959</t>
        </is>
      </c>
      <c r="B4868" s="2" t="inlineStr">
        <is>
          <t>2025-12-23</t>
        </is>
      </c>
      <c r="C4868" s="2" t="inlineStr">
        <is>
          <t>C0684</t>
        </is>
      </c>
      <c r="D4868" s="2" t="inlineStr">
        <is>
          <t>P0011</t>
        </is>
      </c>
      <c r="E4868" s="2" t="inlineStr">
        <is>
          <t>Cookware Set</t>
        </is>
      </c>
      <c r="F4868" s="2" t="inlineStr">
        <is>
          <t>Home &amp; Kitchen</t>
        </is>
      </c>
      <c r="G4868" s="2" t="inlineStr">
        <is>
          <t>South</t>
        </is>
      </c>
      <c r="H4868" s="2" t="inlineStr">
        <is>
          <t>Karnataka</t>
        </is>
      </c>
      <c r="I4868" s="2" t="inlineStr">
        <is>
          <t>Bengaluru</t>
        </is>
      </c>
      <c r="J4868" s="2" t="inlineStr">
        <is>
          <t>Online</t>
        </is>
      </c>
      <c r="K4868" s="2" t="n">
        <v>1</v>
      </c>
      <c r="L4868" s="3" t="n">
        <v>694.34</v>
      </c>
      <c r="M4868" s="4" t="n">
        <v>0.15</v>
      </c>
      <c r="N4868" s="3" t="n">
        <v>478.46</v>
      </c>
      <c r="O4868" s="3">
        <f>K4868*L4868*(1-M4868)</f>
        <v/>
      </c>
      <c r="P4868" s="3">
        <f>O4868-N4868</f>
        <v/>
      </c>
      <c r="Q4868" s="5">
        <f>IFERROR(P4868/O4868,0)</f>
        <v/>
      </c>
      <c r="R4868" s="2">
        <f>TEXT(DATEVALUE(B4868),"mmm")</f>
        <v/>
      </c>
      <c r="S4868" s="2">
        <f>TEXT(DATEVALUE(B4868),"yyyy-mm")</f>
        <v/>
      </c>
    </row>
    <row r="4869">
      <c r="A4869" s="2" t="inlineStr">
        <is>
          <t>O004785</t>
        </is>
      </c>
      <c r="B4869" s="2" t="inlineStr">
        <is>
          <t>2025-12-23</t>
        </is>
      </c>
      <c r="C4869" s="2" t="inlineStr">
        <is>
          <t>C0694</t>
        </is>
      </c>
      <c r="D4869" s="2" t="inlineStr">
        <is>
          <t>P0007</t>
        </is>
      </c>
      <c r="E4869" s="2" t="inlineStr">
        <is>
          <t>Wireless Mouse</t>
        </is>
      </c>
      <c r="F4869" s="2" t="inlineStr">
        <is>
          <t>Electronics</t>
        </is>
      </c>
      <c r="G4869" s="2" t="inlineStr">
        <is>
          <t>West</t>
        </is>
      </c>
      <c r="H4869" s="2" t="inlineStr">
        <is>
          <t>Goa</t>
        </is>
      </c>
      <c r="I4869" s="2" t="inlineStr">
        <is>
          <t>Margao</t>
        </is>
      </c>
      <c r="J4869" s="2" t="inlineStr">
        <is>
          <t>Store</t>
        </is>
      </c>
      <c r="K4869" s="2" t="n">
        <v>1</v>
      </c>
      <c r="L4869" s="3" t="n">
        <v>977.86</v>
      </c>
      <c r="M4869" s="4" t="n">
        <v>0</v>
      </c>
      <c r="N4869" s="3" t="n">
        <v>610.49</v>
      </c>
      <c r="O4869" s="3">
        <f>K4869*L4869*(1-M4869)</f>
        <v/>
      </c>
      <c r="P4869" s="3">
        <f>O4869-N4869</f>
        <v/>
      </c>
      <c r="Q4869" s="5">
        <f>IFERROR(P4869/O4869,0)</f>
        <v/>
      </c>
      <c r="R4869" s="2">
        <f>TEXT(DATEVALUE(B4869),"mmm")</f>
        <v/>
      </c>
      <c r="S4869" s="2">
        <f>TEXT(DATEVALUE(B4869),"yyyy-mm")</f>
        <v/>
      </c>
    </row>
    <row r="4870">
      <c r="A4870" s="2" t="inlineStr">
        <is>
          <t>O004716</t>
        </is>
      </c>
      <c r="B4870" s="2" t="inlineStr">
        <is>
          <t>2025-12-23</t>
        </is>
      </c>
      <c r="C4870" s="2" t="inlineStr">
        <is>
          <t>C0497</t>
        </is>
      </c>
      <c r="D4870" s="2" t="inlineStr">
        <is>
          <t>P0006</t>
        </is>
      </c>
      <c r="E4870" s="2" t="inlineStr">
        <is>
          <t>Mechanical Keyboard</t>
        </is>
      </c>
      <c r="F4870" s="2" t="inlineStr">
        <is>
          <t>Electronics</t>
        </is>
      </c>
      <c r="G4870" s="2" t="inlineStr">
        <is>
          <t>North</t>
        </is>
      </c>
      <c r="H4870" s="2" t="inlineStr">
        <is>
          <t>Delhi</t>
        </is>
      </c>
      <c r="I4870" s="2" t="inlineStr">
        <is>
          <t>New Delhi</t>
        </is>
      </c>
      <c r="J4870" s="2" t="inlineStr">
        <is>
          <t>Store</t>
        </is>
      </c>
      <c r="K4870" s="2" t="n">
        <v>1</v>
      </c>
      <c r="L4870" s="3" t="n">
        <v>2662.94</v>
      </c>
      <c r="M4870" s="4" t="n">
        <v>0.05</v>
      </c>
      <c r="N4870" s="3" t="n">
        <v>1493.98</v>
      </c>
      <c r="O4870" s="3">
        <f>K4870*L4870*(1-M4870)</f>
        <v/>
      </c>
      <c r="P4870" s="3">
        <f>O4870-N4870</f>
        <v/>
      </c>
      <c r="Q4870" s="5">
        <f>IFERROR(P4870/O4870,0)</f>
        <v/>
      </c>
      <c r="R4870" s="2">
        <f>TEXT(DATEVALUE(B4870),"mmm")</f>
        <v/>
      </c>
      <c r="S4870" s="2">
        <f>TEXT(DATEVALUE(B4870),"yyyy-mm")</f>
        <v/>
      </c>
    </row>
    <row r="4871">
      <c r="A4871" s="2" t="inlineStr">
        <is>
          <t>O004177</t>
        </is>
      </c>
      <c r="B4871" s="2" t="inlineStr">
        <is>
          <t>2025-12-23</t>
        </is>
      </c>
      <c r="C4871" s="2" t="inlineStr">
        <is>
          <t>C0151</t>
        </is>
      </c>
      <c r="D4871" s="2" t="inlineStr">
        <is>
          <t>P0013</t>
        </is>
      </c>
      <c r="E4871" s="2" t="inlineStr">
        <is>
          <t>Storage Organizer</t>
        </is>
      </c>
      <c r="F4871" s="2" t="inlineStr">
        <is>
          <t>Home &amp; Kitchen</t>
        </is>
      </c>
      <c r="G4871" s="2" t="inlineStr">
        <is>
          <t>West</t>
        </is>
      </c>
      <c r="H4871" s="2" t="inlineStr">
        <is>
          <t>Maharashtra</t>
        </is>
      </c>
      <c r="I4871" s="2" t="inlineStr">
        <is>
          <t>Mumbai</t>
        </is>
      </c>
      <c r="J4871" s="2" t="inlineStr">
        <is>
          <t>Store</t>
        </is>
      </c>
      <c r="K4871" s="2" t="n">
        <v>3</v>
      </c>
      <c r="L4871" s="3" t="n">
        <v>581.52</v>
      </c>
      <c r="M4871" s="4" t="n">
        <v>0.1</v>
      </c>
      <c r="N4871" s="3" t="n">
        <v>1079.97</v>
      </c>
      <c r="O4871" s="3">
        <f>K4871*L4871*(1-M4871)</f>
        <v/>
      </c>
      <c r="P4871" s="3">
        <f>O4871-N4871</f>
        <v/>
      </c>
      <c r="Q4871" s="5">
        <f>IFERROR(P4871/O4871,0)</f>
        <v/>
      </c>
      <c r="R4871" s="2">
        <f>TEXT(DATEVALUE(B4871),"mmm")</f>
        <v/>
      </c>
      <c r="S4871" s="2">
        <f>TEXT(DATEVALUE(B4871),"yyyy-mm")</f>
        <v/>
      </c>
    </row>
    <row r="4872">
      <c r="A4872" s="2" t="inlineStr">
        <is>
          <t>O004145</t>
        </is>
      </c>
      <c r="B4872" s="2" t="inlineStr">
        <is>
          <t>2025-12-23</t>
        </is>
      </c>
      <c r="C4872" s="2" t="inlineStr">
        <is>
          <t>C0561</t>
        </is>
      </c>
      <c r="D4872" s="2" t="inlineStr">
        <is>
          <t>P0017</t>
        </is>
      </c>
      <c r="E4872" s="2" t="inlineStr">
        <is>
          <t>Jeans</t>
        </is>
      </c>
      <c r="F4872" s="2" t="inlineStr">
        <is>
          <t>Fashion</t>
        </is>
      </c>
      <c r="G4872" s="2" t="inlineStr">
        <is>
          <t>West</t>
        </is>
      </c>
      <c r="H4872" s="2" t="inlineStr">
        <is>
          <t>Goa</t>
        </is>
      </c>
      <c r="I4872" s="2" t="inlineStr">
        <is>
          <t>Panaji</t>
        </is>
      </c>
      <c r="J4872" s="2" t="inlineStr">
        <is>
          <t>Online</t>
        </is>
      </c>
      <c r="K4872" s="2" t="n">
        <v>1</v>
      </c>
      <c r="L4872" s="3" t="n">
        <v>1500.04</v>
      </c>
      <c r="M4872" s="4" t="n">
        <v>0.05</v>
      </c>
      <c r="N4872" s="3" t="n">
        <v>1045.36</v>
      </c>
      <c r="O4872" s="3">
        <f>K4872*L4872*(1-M4872)</f>
        <v/>
      </c>
      <c r="P4872" s="3">
        <f>O4872-N4872</f>
        <v/>
      </c>
      <c r="Q4872" s="5">
        <f>IFERROR(P4872/O4872,0)</f>
        <v/>
      </c>
      <c r="R4872" s="2">
        <f>TEXT(DATEVALUE(B4872),"mmm")</f>
        <v/>
      </c>
      <c r="S4872" s="2">
        <f>TEXT(DATEVALUE(B4872),"yyyy-mm")</f>
        <v/>
      </c>
    </row>
    <row r="4873">
      <c r="A4873" s="2" t="inlineStr">
        <is>
          <t>O004124</t>
        </is>
      </c>
      <c r="B4873" s="2" t="inlineStr">
        <is>
          <t>2025-12-23</t>
        </is>
      </c>
      <c r="C4873" s="2" t="inlineStr">
        <is>
          <t>C0371</t>
        </is>
      </c>
      <c r="D4873" s="2" t="inlineStr">
        <is>
          <t>P0022</t>
        </is>
      </c>
      <c r="E4873" s="2" t="inlineStr">
        <is>
          <t>Face Wash</t>
        </is>
      </c>
      <c r="F4873" s="2" t="inlineStr">
        <is>
          <t>Beauty</t>
        </is>
      </c>
      <c r="G4873" s="2" t="inlineStr">
        <is>
          <t>North</t>
        </is>
      </c>
      <c r="H4873" s="2" t="inlineStr">
        <is>
          <t>Uttar Pradesh</t>
        </is>
      </c>
      <c r="I4873" s="2" t="inlineStr">
        <is>
          <t>Noida</t>
        </is>
      </c>
      <c r="J4873" s="2" t="inlineStr">
        <is>
          <t>Online</t>
        </is>
      </c>
      <c r="K4873" s="2" t="n">
        <v>2</v>
      </c>
      <c r="L4873" s="3" t="n">
        <v>572.86</v>
      </c>
      <c r="M4873" s="4" t="n">
        <v>0.15</v>
      </c>
      <c r="N4873" s="3" t="n">
        <v>686.1</v>
      </c>
      <c r="O4873" s="3">
        <f>K4873*L4873*(1-M4873)</f>
        <v/>
      </c>
      <c r="P4873" s="3">
        <f>O4873-N4873</f>
        <v/>
      </c>
      <c r="Q4873" s="5">
        <f>IFERROR(P4873/O4873,0)</f>
        <v/>
      </c>
      <c r="R4873" s="2">
        <f>TEXT(DATEVALUE(B4873),"mmm")</f>
        <v/>
      </c>
      <c r="S4873" s="2">
        <f>TEXT(DATEVALUE(B4873),"yyyy-mm")</f>
        <v/>
      </c>
    </row>
    <row r="4874">
      <c r="A4874" s="2" t="inlineStr">
        <is>
          <t>O003424</t>
        </is>
      </c>
      <c r="B4874" s="2" t="inlineStr">
        <is>
          <t>2025-12-23</t>
        </is>
      </c>
      <c r="C4874" s="2" t="inlineStr">
        <is>
          <t>C0033</t>
        </is>
      </c>
      <c r="D4874" s="2" t="inlineStr">
        <is>
          <t>P0007</t>
        </is>
      </c>
      <c r="E4874" s="2" t="inlineStr">
        <is>
          <t>Wireless Mouse</t>
        </is>
      </c>
      <c r="F4874" s="2" t="inlineStr">
        <is>
          <t>Electronics</t>
        </is>
      </c>
      <c r="G4874" s="2" t="inlineStr">
        <is>
          <t>West</t>
        </is>
      </c>
      <c r="H4874" s="2" t="inlineStr">
        <is>
          <t>Gujarat</t>
        </is>
      </c>
      <c r="I4874" s="2" t="inlineStr">
        <is>
          <t>Surat</t>
        </is>
      </c>
      <c r="J4874" s="2" t="inlineStr">
        <is>
          <t>Store</t>
        </is>
      </c>
      <c r="K4874" s="2" t="n">
        <v>1</v>
      </c>
      <c r="L4874" s="3" t="n">
        <v>960.61</v>
      </c>
      <c r="M4874" s="4" t="n">
        <v>0.15</v>
      </c>
      <c r="N4874" s="3" t="n">
        <v>641.28</v>
      </c>
      <c r="O4874" s="3">
        <f>K4874*L4874*(1-M4874)</f>
        <v/>
      </c>
      <c r="P4874" s="3">
        <f>O4874-N4874</f>
        <v/>
      </c>
      <c r="Q4874" s="5">
        <f>IFERROR(P4874/O4874,0)</f>
        <v/>
      </c>
      <c r="R4874" s="2">
        <f>TEXT(DATEVALUE(B4874),"mmm")</f>
        <v/>
      </c>
      <c r="S4874" s="2">
        <f>TEXT(DATEVALUE(B4874),"yyyy-mm")</f>
        <v/>
      </c>
    </row>
    <row r="4875">
      <c r="A4875" s="2" t="inlineStr">
        <is>
          <t>O001743</t>
        </is>
      </c>
      <c r="B4875" s="2" t="inlineStr">
        <is>
          <t>2025-12-23</t>
        </is>
      </c>
      <c r="C4875" s="2" t="inlineStr">
        <is>
          <t>C0219</t>
        </is>
      </c>
      <c r="D4875" s="2" t="inlineStr">
        <is>
          <t>P0018</t>
        </is>
      </c>
      <c r="E4875" s="2" t="inlineStr">
        <is>
          <t>Backpack</t>
        </is>
      </c>
      <c r="F4875" s="2" t="inlineStr">
        <is>
          <t>Fashion</t>
        </is>
      </c>
      <c r="G4875" s="2" t="inlineStr">
        <is>
          <t>East</t>
        </is>
      </c>
      <c r="H4875" s="2" t="inlineStr">
        <is>
          <t>Odisha</t>
        </is>
      </c>
      <c r="I4875" s="2" t="inlineStr">
        <is>
          <t>Bhubaneswar</t>
        </is>
      </c>
      <c r="J4875" s="2" t="inlineStr">
        <is>
          <t>Online</t>
        </is>
      </c>
      <c r="K4875" s="2" t="n">
        <v>2</v>
      </c>
      <c r="L4875" s="3" t="n">
        <v>1805.42</v>
      </c>
      <c r="M4875" s="4" t="n">
        <v>0.05</v>
      </c>
      <c r="N4875" s="3" t="n">
        <v>2646.21</v>
      </c>
      <c r="O4875" s="3">
        <f>K4875*L4875*(1-M4875)</f>
        <v/>
      </c>
      <c r="P4875" s="3">
        <f>O4875-N4875</f>
        <v/>
      </c>
      <c r="Q4875" s="5">
        <f>IFERROR(P4875/O4875,0)</f>
        <v/>
      </c>
      <c r="R4875" s="2">
        <f>TEXT(DATEVALUE(B4875),"mmm")</f>
        <v/>
      </c>
      <c r="S4875" s="2">
        <f>TEXT(DATEVALUE(B4875),"yyyy-mm")</f>
        <v/>
      </c>
    </row>
    <row r="4876">
      <c r="A4876" s="2" t="inlineStr">
        <is>
          <t>O003175</t>
        </is>
      </c>
      <c r="B4876" s="2" t="inlineStr">
        <is>
          <t>2025-12-23</t>
        </is>
      </c>
      <c r="C4876" s="2" t="inlineStr">
        <is>
          <t>C0081</t>
        </is>
      </c>
      <c r="D4876" s="2" t="inlineStr">
        <is>
          <t>P0016</t>
        </is>
      </c>
      <c r="E4876" s="2" t="inlineStr">
        <is>
          <t>Casual Shirt</t>
        </is>
      </c>
      <c r="F4876" s="2" t="inlineStr">
        <is>
          <t>Fashion</t>
        </is>
      </c>
      <c r="G4876" s="2" t="inlineStr">
        <is>
          <t>East</t>
        </is>
      </c>
      <c r="H4876" s="2" t="inlineStr">
        <is>
          <t>West Bengal</t>
        </is>
      </c>
      <c r="I4876" s="2" t="inlineStr">
        <is>
          <t>Kolkata</t>
        </is>
      </c>
      <c r="J4876" s="2" t="inlineStr">
        <is>
          <t>Store</t>
        </is>
      </c>
      <c r="K4876" s="2" t="n">
        <v>1</v>
      </c>
      <c r="L4876" s="3" t="n">
        <v>1285.34</v>
      </c>
      <c r="M4876" s="4" t="n">
        <v>0.25</v>
      </c>
      <c r="N4876" s="3" t="n">
        <v>881.8200000000001</v>
      </c>
      <c r="O4876" s="3">
        <f>K4876*L4876*(1-M4876)</f>
        <v/>
      </c>
      <c r="P4876" s="3">
        <f>O4876-N4876</f>
        <v/>
      </c>
      <c r="Q4876" s="5">
        <f>IFERROR(P4876/O4876,0)</f>
        <v/>
      </c>
      <c r="R4876" s="2">
        <f>TEXT(DATEVALUE(B4876),"mmm")</f>
        <v/>
      </c>
      <c r="S4876" s="2">
        <f>TEXT(DATEVALUE(B4876),"yyyy-mm")</f>
        <v/>
      </c>
    </row>
    <row r="4877">
      <c r="A4877" s="2" t="inlineStr">
        <is>
          <t>O003343</t>
        </is>
      </c>
      <c r="B4877" s="2" t="inlineStr">
        <is>
          <t>2025-12-23</t>
        </is>
      </c>
      <c r="C4877" s="2" t="inlineStr">
        <is>
          <t>C0579</t>
        </is>
      </c>
      <c r="D4877" s="2" t="inlineStr">
        <is>
          <t>P0006</t>
        </is>
      </c>
      <c r="E4877" s="2" t="inlineStr">
        <is>
          <t>Mechanical Keyboard</t>
        </is>
      </c>
      <c r="F4877" s="2" t="inlineStr">
        <is>
          <t>Electronics</t>
        </is>
      </c>
      <c r="G4877" s="2" t="inlineStr">
        <is>
          <t>South</t>
        </is>
      </c>
      <c r="H4877" s="2" t="inlineStr">
        <is>
          <t>Karnataka</t>
        </is>
      </c>
      <c r="I4877" s="2" t="inlineStr">
        <is>
          <t>Mysuru</t>
        </is>
      </c>
      <c r="J4877" s="2" t="inlineStr">
        <is>
          <t>Store</t>
        </is>
      </c>
      <c r="K4877" s="2" t="n">
        <v>1</v>
      </c>
      <c r="L4877" s="3" t="n">
        <v>2685.88</v>
      </c>
      <c r="M4877" s="4" t="n">
        <v>0.05</v>
      </c>
      <c r="N4877" s="3" t="n">
        <v>1464.32</v>
      </c>
      <c r="O4877" s="3">
        <f>K4877*L4877*(1-M4877)</f>
        <v/>
      </c>
      <c r="P4877" s="3">
        <f>O4877-N4877</f>
        <v/>
      </c>
      <c r="Q4877" s="5">
        <f>IFERROR(P4877/O4877,0)</f>
        <v/>
      </c>
      <c r="R4877" s="2">
        <f>TEXT(DATEVALUE(B4877),"mmm")</f>
        <v/>
      </c>
      <c r="S4877" s="2">
        <f>TEXT(DATEVALUE(B4877),"yyyy-mm")</f>
        <v/>
      </c>
    </row>
    <row r="4878">
      <c r="A4878" s="2" t="inlineStr">
        <is>
          <t>O001586</t>
        </is>
      </c>
      <c r="B4878" s="2" t="inlineStr">
        <is>
          <t>2025-12-23</t>
        </is>
      </c>
      <c r="C4878" s="2" t="inlineStr">
        <is>
          <t>C0638</t>
        </is>
      </c>
      <c r="D4878" s="2" t="inlineStr">
        <is>
          <t>P0013</t>
        </is>
      </c>
      <c r="E4878" s="2" t="inlineStr">
        <is>
          <t>Storage Organizer</t>
        </is>
      </c>
      <c r="F4878" s="2" t="inlineStr">
        <is>
          <t>Home &amp; Kitchen</t>
        </is>
      </c>
      <c r="G4878" s="2" t="inlineStr">
        <is>
          <t>West</t>
        </is>
      </c>
      <c r="H4878" s="2" t="inlineStr">
        <is>
          <t>Gujarat</t>
        </is>
      </c>
      <c r="I4878" s="2" t="inlineStr">
        <is>
          <t>Surat</t>
        </is>
      </c>
      <c r="J4878" s="2" t="inlineStr">
        <is>
          <t>Store</t>
        </is>
      </c>
      <c r="K4878" s="2" t="n">
        <v>3</v>
      </c>
      <c r="L4878" s="3" t="n">
        <v>558.04</v>
      </c>
      <c r="M4878" s="4" t="n">
        <v>0.05</v>
      </c>
      <c r="N4878" s="3" t="n">
        <v>1089.28</v>
      </c>
      <c r="O4878" s="3">
        <f>K4878*L4878*(1-M4878)</f>
        <v/>
      </c>
      <c r="P4878" s="3">
        <f>O4878-N4878</f>
        <v/>
      </c>
      <c r="Q4878" s="5">
        <f>IFERROR(P4878/O4878,0)</f>
        <v/>
      </c>
      <c r="R4878" s="2">
        <f>TEXT(DATEVALUE(B4878),"mmm")</f>
        <v/>
      </c>
      <c r="S4878" s="2">
        <f>TEXT(DATEVALUE(B4878),"yyyy-mm")</f>
        <v/>
      </c>
    </row>
    <row r="4879">
      <c r="A4879" s="2" t="inlineStr">
        <is>
          <t>O000699</t>
        </is>
      </c>
      <c r="B4879" s="2" t="inlineStr">
        <is>
          <t>2025-12-23</t>
        </is>
      </c>
      <c r="C4879" s="2" t="inlineStr">
        <is>
          <t>C0684</t>
        </is>
      </c>
      <c r="D4879" s="2" t="inlineStr">
        <is>
          <t>P0018</t>
        </is>
      </c>
      <c r="E4879" s="2" t="inlineStr">
        <is>
          <t>Backpack</t>
        </is>
      </c>
      <c r="F4879" s="2" t="inlineStr">
        <is>
          <t>Fashion</t>
        </is>
      </c>
      <c r="G4879" s="2" t="inlineStr">
        <is>
          <t>West</t>
        </is>
      </c>
      <c r="H4879" s="2" t="inlineStr">
        <is>
          <t>Maharashtra</t>
        </is>
      </c>
      <c r="I4879" s="2" t="inlineStr">
        <is>
          <t>Thane</t>
        </is>
      </c>
      <c r="J4879" s="2" t="inlineStr">
        <is>
          <t>Online</t>
        </is>
      </c>
      <c r="K4879" s="2" t="n">
        <v>1</v>
      </c>
      <c r="L4879" s="3" t="n">
        <v>1910.36</v>
      </c>
      <c r="M4879" s="4" t="n">
        <v>0.1</v>
      </c>
      <c r="N4879" s="3" t="n">
        <v>1349.44</v>
      </c>
      <c r="O4879" s="3">
        <f>K4879*L4879*(1-M4879)</f>
        <v/>
      </c>
      <c r="P4879" s="3">
        <f>O4879-N4879</f>
        <v/>
      </c>
      <c r="Q4879" s="5">
        <f>IFERROR(P4879/O4879,0)</f>
        <v/>
      </c>
      <c r="R4879" s="2">
        <f>TEXT(DATEVALUE(B4879),"mmm")</f>
        <v/>
      </c>
      <c r="S4879" s="2">
        <f>TEXT(DATEVALUE(B4879),"yyyy-mm")</f>
        <v/>
      </c>
    </row>
    <row r="4880">
      <c r="A4880" s="2" t="inlineStr">
        <is>
          <t>O000541</t>
        </is>
      </c>
      <c r="B4880" s="2" t="inlineStr">
        <is>
          <t>2025-12-23</t>
        </is>
      </c>
      <c r="C4880" s="2" t="inlineStr">
        <is>
          <t>C0700</t>
        </is>
      </c>
      <c r="D4880" s="2" t="inlineStr">
        <is>
          <t>P0006</t>
        </is>
      </c>
      <c r="E4880" s="2" t="inlineStr">
        <is>
          <t>Mechanical Keyboard</t>
        </is>
      </c>
      <c r="F4880" s="2" t="inlineStr">
        <is>
          <t>Electronics</t>
        </is>
      </c>
      <c r="G4880" s="2" t="inlineStr">
        <is>
          <t>South</t>
        </is>
      </c>
      <c r="H4880" s="2" t="inlineStr">
        <is>
          <t>Telangana</t>
        </is>
      </c>
      <c r="I4880" s="2" t="inlineStr">
        <is>
          <t>Warangal</t>
        </is>
      </c>
      <c r="J4880" s="2" t="inlineStr">
        <is>
          <t>Store</t>
        </is>
      </c>
      <c r="K4880" s="2" t="n">
        <v>1</v>
      </c>
      <c r="L4880" s="3" t="n">
        <v>2796.47</v>
      </c>
      <c r="M4880" s="4" t="n">
        <v>0.2</v>
      </c>
      <c r="N4880" s="3" t="n">
        <v>1434.26</v>
      </c>
      <c r="O4880" s="3">
        <f>K4880*L4880*(1-M4880)</f>
        <v/>
      </c>
      <c r="P4880" s="3">
        <f>O4880-N4880</f>
        <v/>
      </c>
      <c r="Q4880" s="5">
        <f>IFERROR(P4880/O4880,0)</f>
        <v/>
      </c>
      <c r="R4880" s="2">
        <f>TEXT(DATEVALUE(B4880),"mmm")</f>
        <v/>
      </c>
      <c r="S4880" s="2">
        <f>TEXT(DATEVALUE(B4880),"yyyy-mm")</f>
        <v/>
      </c>
    </row>
    <row r="4881">
      <c r="A4881" s="2" t="inlineStr">
        <is>
          <t>O000482</t>
        </is>
      </c>
      <c r="B4881" s="2" t="inlineStr">
        <is>
          <t>2025-12-23</t>
        </is>
      </c>
      <c r="C4881" s="2" t="inlineStr">
        <is>
          <t>C0445</t>
        </is>
      </c>
      <c r="D4881" s="2" t="inlineStr">
        <is>
          <t>P0032</t>
        </is>
      </c>
      <c r="E4881" s="2" t="inlineStr">
        <is>
          <t>Football</t>
        </is>
      </c>
      <c r="F4881" s="2" t="inlineStr">
        <is>
          <t>Sports</t>
        </is>
      </c>
      <c r="G4881" s="2" t="inlineStr">
        <is>
          <t>South</t>
        </is>
      </c>
      <c r="H4881" s="2" t="inlineStr">
        <is>
          <t>Karnataka</t>
        </is>
      </c>
      <c r="I4881" s="2" t="inlineStr">
        <is>
          <t>Bengaluru</t>
        </is>
      </c>
      <c r="J4881" s="2" t="inlineStr">
        <is>
          <t>Online</t>
        </is>
      </c>
      <c r="K4881" s="2" t="n">
        <v>5</v>
      </c>
      <c r="L4881" s="3" t="n">
        <v>831.71</v>
      </c>
      <c r="M4881" s="4" t="n">
        <v>0.1</v>
      </c>
      <c r="N4881" s="3" t="n">
        <v>2740.01</v>
      </c>
      <c r="O4881" s="3">
        <f>K4881*L4881*(1-M4881)</f>
        <v/>
      </c>
      <c r="P4881" s="3">
        <f>O4881-N4881</f>
        <v/>
      </c>
      <c r="Q4881" s="5">
        <f>IFERROR(P4881/O4881,0)</f>
        <v/>
      </c>
      <c r="R4881" s="2">
        <f>TEXT(DATEVALUE(B4881),"mmm")</f>
        <v/>
      </c>
      <c r="S4881" s="2">
        <f>TEXT(DATEVALUE(B4881),"yyyy-mm")</f>
        <v/>
      </c>
    </row>
    <row r="4882">
      <c r="A4882" s="2" t="inlineStr">
        <is>
          <t>O004985</t>
        </is>
      </c>
      <c r="B4882" s="2" t="inlineStr">
        <is>
          <t>2025-12-24</t>
        </is>
      </c>
      <c r="C4882" s="2" t="inlineStr">
        <is>
          <t>C0500</t>
        </is>
      </c>
      <c r="D4882" s="2" t="inlineStr">
        <is>
          <t>P0022</t>
        </is>
      </c>
      <c r="E4882" s="2" t="inlineStr">
        <is>
          <t>Face Wash</t>
        </is>
      </c>
      <c r="F4882" s="2" t="inlineStr">
        <is>
          <t>Beauty</t>
        </is>
      </c>
      <c r="G4882" s="2" t="inlineStr">
        <is>
          <t>West</t>
        </is>
      </c>
      <c r="H4882" s="2" t="inlineStr">
        <is>
          <t>Gujarat</t>
        </is>
      </c>
      <c r="I4882" s="2" t="inlineStr">
        <is>
          <t>Ahmedabad</t>
        </is>
      </c>
      <c r="J4882" s="2" t="inlineStr">
        <is>
          <t>Online</t>
        </is>
      </c>
      <c r="K4882" s="2" t="n">
        <v>2</v>
      </c>
      <c r="L4882" s="3" t="n">
        <v>540.27</v>
      </c>
      <c r="M4882" s="4" t="n">
        <v>0.05</v>
      </c>
      <c r="N4882" s="3" t="n">
        <v>723.28</v>
      </c>
      <c r="O4882" s="3">
        <f>K4882*L4882*(1-M4882)</f>
        <v/>
      </c>
      <c r="P4882" s="3">
        <f>O4882-N4882</f>
        <v/>
      </c>
      <c r="Q4882" s="5">
        <f>IFERROR(P4882/O4882,0)</f>
        <v/>
      </c>
      <c r="R4882" s="2">
        <f>TEXT(DATEVALUE(B4882),"mmm")</f>
        <v/>
      </c>
      <c r="S4882" s="2">
        <f>TEXT(DATEVALUE(B4882),"yyyy-mm")</f>
        <v/>
      </c>
    </row>
    <row r="4883">
      <c r="A4883" s="2" t="inlineStr">
        <is>
          <t>O004437</t>
        </is>
      </c>
      <c r="B4883" s="2" t="inlineStr">
        <is>
          <t>2025-12-24</t>
        </is>
      </c>
      <c r="C4883" s="2" t="inlineStr">
        <is>
          <t>C0246</t>
        </is>
      </c>
      <c r="D4883" s="2" t="inlineStr">
        <is>
          <t>P0007</t>
        </is>
      </c>
      <c r="E4883" s="2" t="inlineStr">
        <is>
          <t>Wireless Mouse</t>
        </is>
      </c>
      <c r="F4883" s="2" t="inlineStr">
        <is>
          <t>Electronics</t>
        </is>
      </c>
      <c r="G4883" s="2" t="inlineStr">
        <is>
          <t>North</t>
        </is>
      </c>
      <c r="H4883" s="2" t="inlineStr">
        <is>
          <t>Punjab</t>
        </is>
      </c>
      <c r="I4883" s="2" t="inlineStr">
        <is>
          <t>Jalandhar</t>
        </is>
      </c>
      <c r="J4883" s="2" t="inlineStr">
        <is>
          <t>Store</t>
        </is>
      </c>
      <c r="K4883" s="2" t="n">
        <v>1</v>
      </c>
      <c r="L4883" s="3" t="n">
        <v>953.0700000000001</v>
      </c>
      <c r="M4883" s="4" t="n">
        <v>0.15</v>
      </c>
      <c r="N4883" s="3" t="n">
        <v>619.92</v>
      </c>
      <c r="O4883" s="3">
        <f>K4883*L4883*(1-M4883)</f>
        <v/>
      </c>
      <c r="P4883" s="3">
        <f>O4883-N4883</f>
        <v/>
      </c>
      <c r="Q4883" s="5">
        <f>IFERROR(P4883/O4883,0)</f>
        <v/>
      </c>
      <c r="R4883" s="2">
        <f>TEXT(DATEVALUE(B4883),"mmm")</f>
        <v/>
      </c>
      <c r="S4883" s="2">
        <f>TEXT(DATEVALUE(B4883),"yyyy-mm")</f>
        <v/>
      </c>
    </row>
    <row r="4884">
      <c r="A4884" s="2" t="inlineStr">
        <is>
          <t>O003964</t>
        </is>
      </c>
      <c r="B4884" s="2" t="inlineStr">
        <is>
          <t>2025-12-24</t>
        </is>
      </c>
      <c r="C4884" s="2" t="inlineStr">
        <is>
          <t>C0331</t>
        </is>
      </c>
      <c r="D4884" s="2" t="inlineStr">
        <is>
          <t>P0007</t>
        </is>
      </c>
      <c r="E4884" s="2" t="inlineStr">
        <is>
          <t>Wireless Mouse</t>
        </is>
      </c>
      <c r="F4884" s="2" t="inlineStr">
        <is>
          <t>Electronics</t>
        </is>
      </c>
      <c r="G4884" s="2" t="inlineStr">
        <is>
          <t>East</t>
        </is>
      </c>
      <c r="H4884" s="2" t="inlineStr">
        <is>
          <t>Bihar</t>
        </is>
      </c>
      <c r="I4884" s="2" t="inlineStr">
        <is>
          <t>Gaya</t>
        </is>
      </c>
      <c r="J4884" s="2" t="inlineStr">
        <is>
          <t>Store</t>
        </is>
      </c>
      <c r="K4884" s="2" t="n">
        <v>2</v>
      </c>
      <c r="L4884" s="3" t="n">
        <v>988.16</v>
      </c>
      <c r="M4884" s="4" t="n">
        <v>0.05</v>
      </c>
      <c r="N4884" s="3" t="n">
        <v>1227.52</v>
      </c>
      <c r="O4884" s="3">
        <f>K4884*L4884*(1-M4884)</f>
        <v/>
      </c>
      <c r="P4884" s="3">
        <f>O4884-N4884</f>
        <v/>
      </c>
      <c r="Q4884" s="5">
        <f>IFERROR(P4884/O4884,0)</f>
        <v/>
      </c>
      <c r="R4884" s="2">
        <f>TEXT(DATEVALUE(B4884),"mmm")</f>
        <v/>
      </c>
      <c r="S4884" s="2">
        <f>TEXT(DATEVALUE(B4884),"yyyy-mm")</f>
        <v/>
      </c>
    </row>
    <row r="4885">
      <c r="A4885" s="2" t="inlineStr">
        <is>
          <t>O003619</t>
        </is>
      </c>
      <c r="B4885" s="2" t="inlineStr">
        <is>
          <t>2025-12-24</t>
        </is>
      </c>
      <c r="C4885" s="2" t="inlineStr">
        <is>
          <t>C0137</t>
        </is>
      </c>
      <c r="D4885" s="2" t="inlineStr">
        <is>
          <t>P0026</t>
        </is>
      </c>
      <c r="E4885" s="2" t="inlineStr">
        <is>
          <t>Shampoo</t>
        </is>
      </c>
      <c r="F4885" s="2" t="inlineStr">
        <is>
          <t>Beauty</t>
        </is>
      </c>
      <c r="G4885" s="2" t="inlineStr">
        <is>
          <t>South</t>
        </is>
      </c>
      <c r="H4885" s="2" t="inlineStr">
        <is>
          <t>Telangana</t>
        </is>
      </c>
      <c r="I4885" s="2" t="inlineStr">
        <is>
          <t>Warangal</t>
        </is>
      </c>
      <c r="J4885" s="2" t="inlineStr">
        <is>
          <t>Store</t>
        </is>
      </c>
      <c r="K4885" s="2" t="n">
        <v>1</v>
      </c>
      <c r="L4885" s="3" t="n">
        <v>912.75</v>
      </c>
      <c r="M4885" s="4" t="n">
        <v>0</v>
      </c>
      <c r="N4885" s="3" t="n">
        <v>505.51</v>
      </c>
      <c r="O4885" s="3">
        <f>K4885*L4885*(1-M4885)</f>
        <v/>
      </c>
      <c r="P4885" s="3">
        <f>O4885-N4885</f>
        <v/>
      </c>
      <c r="Q4885" s="5">
        <f>IFERROR(P4885/O4885,0)</f>
        <v/>
      </c>
      <c r="R4885" s="2">
        <f>TEXT(DATEVALUE(B4885),"mmm")</f>
        <v/>
      </c>
      <c r="S4885" s="2">
        <f>TEXT(DATEVALUE(B4885),"yyyy-mm")</f>
        <v/>
      </c>
    </row>
    <row r="4886">
      <c r="A4886" s="2" t="inlineStr">
        <is>
          <t>O003612</t>
        </is>
      </c>
      <c r="B4886" s="2" t="inlineStr">
        <is>
          <t>2025-12-24</t>
        </is>
      </c>
      <c r="C4886" s="2" t="inlineStr">
        <is>
          <t>C0390</t>
        </is>
      </c>
      <c r="D4886" s="2" t="inlineStr">
        <is>
          <t>P0003</t>
        </is>
      </c>
      <c r="E4886" s="2" t="inlineStr">
        <is>
          <t>Smartwatch</t>
        </is>
      </c>
      <c r="F4886" s="2" t="inlineStr">
        <is>
          <t>Electronics</t>
        </is>
      </c>
      <c r="G4886" s="2" t="inlineStr">
        <is>
          <t>North</t>
        </is>
      </c>
      <c r="H4886" s="2" t="inlineStr">
        <is>
          <t>Uttar Pradesh</t>
        </is>
      </c>
      <c r="I4886" s="2" t="inlineStr">
        <is>
          <t>Varanasi</t>
        </is>
      </c>
      <c r="J4886" s="2" t="inlineStr">
        <is>
          <t>Store</t>
        </is>
      </c>
      <c r="K4886" s="2" t="n">
        <v>1</v>
      </c>
      <c r="L4886" s="3" t="n">
        <v>2302.5</v>
      </c>
      <c r="M4886" s="4" t="n">
        <v>0.05</v>
      </c>
      <c r="N4886" s="3" t="n">
        <v>1204.07</v>
      </c>
      <c r="O4886" s="3">
        <f>K4886*L4886*(1-M4886)</f>
        <v/>
      </c>
      <c r="P4886" s="3">
        <f>O4886-N4886</f>
        <v/>
      </c>
      <c r="Q4886" s="5">
        <f>IFERROR(P4886/O4886,0)</f>
        <v/>
      </c>
      <c r="R4886" s="2">
        <f>TEXT(DATEVALUE(B4886),"mmm")</f>
        <v/>
      </c>
      <c r="S4886" s="2">
        <f>TEXT(DATEVALUE(B4886),"yyyy-mm")</f>
        <v/>
      </c>
    </row>
    <row r="4887">
      <c r="A4887" s="2" t="inlineStr">
        <is>
          <t>O003600</t>
        </is>
      </c>
      <c r="B4887" s="2" t="inlineStr">
        <is>
          <t>2025-12-24</t>
        </is>
      </c>
      <c r="C4887" s="2" t="inlineStr">
        <is>
          <t>C0582</t>
        </is>
      </c>
      <c r="D4887" s="2" t="inlineStr">
        <is>
          <t>P0003</t>
        </is>
      </c>
      <c r="E4887" s="2" t="inlineStr">
        <is>
          <t>Smartwatch</t>
        </is>
      </c>
      <c r="F4887" s="2" t="inlineStr">
        <is>
          <t>Electronics</t>
        </is>
      </c>
      <c r="G4887" s="2" t="inlineStr">
        <is>
          <t>West</t>
        </is>
      </c>
      <c r="H4887" s="2" t="inlineStr">
        <is>
          <t>Gujarat</t>
        </is>
      </c>
      <c r="I4887" s="2" t="inlineStr">
        <is>
          <t>Surat</t>
        </is>
      </c>
      <c r="J4887" s="2" t="inlineStr">
        <is>
          <t>Online</t>
        </is>
      </c>
      <c r="K4887" s="2" t="n">
        <v>2</v>
      </c>
      <c r="L4887" s="3" t="n">
        <v>2196.83</v>
      </c>
      <c r="M4887" s="4" t="n">
        <v>0.1</v>
      </c>
      <c r="N4887" s="3" t="n">
        <v>2332.04</v>
      </c>
      <c r="O4887" s="3">
        <f>K4887*L4887*(1-M4887)</f>
        <v/>
      </c>
      <c r="P4887" s="3">
        <f>O4887-N4887</f>
        <v/>
      </c>
      <c r="Q4887" s="5">
        <f>IFERROR(P4887/O4887,0)</f>
        <v/>
      </c>
      <c r="R4887" s="2">
        <f>TEXT(DATEVALUE(B4887),"mmm")</f>
        <v/>
      </c>
      <c r="S4887" s="2">
        <f>TEXT(DATEVALUE(B4887),"yyyy-mm")</f>
        <v/>
      </c>
    </row>
    <row r="4888">
      <c r="A4888" s="2" t="inlineStr">
        <is>
          <t>O002051</t>
        </is>
      </c>
      <c r="B4888" s="2" t="inlineStr">
        <is>
          <t>2025-12-24</t>
        </is>
      </c>
      <c r="C4888" s="2" t="inlineStr">
        <is>
          <t>C0480</t>
        </is>
      </c>
      <c r="D4888" s="2" t="inlineStr">
        <is>
          <t>P0014</t>
        </is>
      </c>
      <c r="E4888" s="2" t="inlineStr">
        <is>
          <t>Coffee Maker</t>
        </is>
      </c>
      <c r="F4888" s="2" t="inlineStr">
        <is>
          <t>Home &amp; Kitchen</t>
        </is>
      </c>
      <c r="G4888" s="2" t="inlineStr">
        <is>
          <t>East</t>
        </is>
      </c>
      <c r="H4888" s="2" t="inlineStr">
        <is>
          <t>Odisha</t>
        </is>
      </c>
      <c r="I4888" s="2" t="inlineStr">
        <is>
          <t>Bhubaneswar</t>
        </is>
      </c>
      <c r="J4888" s="2" t="inlineStr">
        <is>
          <t>Online</t>
        </is>
      </c>
      <c r="K4888" s="2" t="n">
        <v>3</v>
      </c>
      <c r="L4888" s="3" t="n">
        <v>1091.29</v>
      </c>
      <c r="M4888" s="4" t="n">
        <v>0.1</v>
      </c>
      <c r="N4888" s="3" t="n">
        <v>2367.06</v>
      </c>
      <c r="O4888" s="3">
        <f>K4888*L4888*(1-M4888)</f>
        <v/>
      </c>
      <c r="P4888" s="3">
        <f>O4888-N4888</f>
        <v/>
      </c>
      <c r="Q4888" s="5">
        <f>IFERROR(P4888/O4888,0)</f>
        <v/>
      </c>
      <c r="R4888" s="2">
        <f>TEXT(DATEVALUE(B4888),"mmm")</f>
        <v/>
      </c>
      <c r="S4888" s="2">
        <f>TEXT(DATEVALUE(B4888),"yyyy-mm")</f>
        <v/>
      </c>
    </row>
    <row r="4889">
      <c r="A4889" s="2" t="inlineStr">
        <is>
          <t>O000746</t>
        </is>
      </c>
      <c r="B4889" s="2" t="inlineStr">
        <is>
          <t>2025-12-24</t>
        </is>
      </c>
      <c r="C4889" s="2" t="inlineStr">
        <is>
          <t>C0471</t>
        </is>
      </c>
      <c r="D4889" s="2" t="inlineStr">
        <is>
          <t>P0017</t>
        </is>
      </c>
      <c r="E4889" s="2" t="inlineStr">
        <is>
          <t>Jeans</t>
        </is>
      </c>
      <c r="F4889" s="2" t="inlineStr">
        <is>
          <t>Fashion</t>
        </is>
      </c>
      <c r="G4889" s="2" t="inlineStr">
        <is>
          <t>East</t>
        </is>
      </c>
      <c r="H4889" s="2" t="inlineStr">
        <is>
          <t>Odisha</t>
        </is>
      </c>
      <c r="I4889" s="2" t="inlineStr">
        <is>
          <t>Cuttack</t>
        </is>
      </c>
      <c r="J4889" s="2" t="inlineStr">
        <is>
          <t>Online</t>
        </is>
      </c>
      <c r="K4889" s="2" t="n">
        <v>2</v>
      </c>
      <c r="L4889" s="3" t="n">
        <v>1513.23</v>
      </c>
      <c r="M4889" s="4" t="n">
        <v>0</v>
      </c>
      <c r="N4889" s="3" t="n">
        <v>1994.1</v>
      </c>
      <c r="O4889" s="3">
        <f>K4889*L4889*(1-M4889)</f>
        <v/>
      </c>
      <c r="P4889" s="3">
        <f>O4889-N4889</f>
        <v/>
      </c>
      <c r="Q4889" s="5">
        <f>IFERROR(P4889/O4889,0)</f>
        <v/>
      </c>
      <c r="R4889" s="2">
        <f>TEXT(DATEVALUE(B4889),"mmm")</f>
        <v/>
      </c>
      <c r="S4889" s="2">
        <f>TEXT(DATEVALUE(B4889),"yyyy-mm")</f>
        <v/>
      </c>
    </row>
    <row r="4890">
      <c r="A4890" s="2" t="inlineStr">
        <is>
          <t>O000686</t>
        </is>
      </c>
      <c r="B4890" s="2" t="inlineStr">
        <is>
          <t>2025-12-24</t>
        </is>
      </c>
      <c r="C4890" s="2" t="inlineStr">
        <is>
          <t>C0004</t>
        </is>
      </c>
      <c r="D4890" s="2" t="inlineStr">
        <is>
          <t>P0006</t>
        </is>
      </c>
      <c r="E4890" s="2" t="inlineStr">
        <is>
          <t>Mechanical Keyboard</t>
        </is>
      </c>
      <c r="F4890" s="2" t="inlineStr">
        <is>
          <t>Electronics</t>
        </is>
      </c>
      <c r="G4890" s="2" t="inlineStr">
        <is>
          <t>South</t>
        </is>
      </c>
      <c r="H4890" s="2" t="inlineStr">
        <is>
          <t>Karnataka</t>
        </is>
      </c>
      <c r="I4890" s="2" t="inlineStr">
        <is>
          <t>Mysuru</t>
        </is>
      </c>
      <c r="J4890" s="2" t="inlineStr">
        <is>
          <t>Online</t>
        </is>
      </c>
      <c r="K4890" s="2" t="n">
        <v>3</v>
      </c>
      <c r="L4890" s="3" t="n">
        <v>2617.96</v>
      </c>
      <c r="M4890" s="4" t="n">
        <v>0.15</v>
      </c>
      <c r="N4890" s="3" t="n">
        <v>4512.43</v>
      </c>
      <c r="O4890" s="3">
        <f>K4890*L4890*(1-M4890)</f>
        <v/>
      </c>
      <c r="P4890" s="3">
        <f>O4890-N4890</f>
        <v/>
      </c>
      <c r="Q4890" s="5">
        <f>IFERROR(P4890/O4890,0)</f>
        <v/>
      </c>
      <c r="R4890" s="2">
        <f>TEXT(DATEVALUE(B4890),"mmm")</f>
        <v/>
      </c>
      <c r="S4890" s="2">
        <f>TEXT(DATEVALUE(B4890),"yyyy-mm")</f>
        <v/>
      </c>
    </row>
    <row r="4891">
      <c r="A4891" s="2" t="inlineStr">
        <is>
          <t>O003739</t>
        </is>
      </c>
      <c r="B4891" s="2" t="inlineStr">
        <is>
          <t>2025-12-25</t>
        </is>
      </c>
      <c r="C4891" s="2" t="inlineStr">
        <is>
          <t>C0577</t>
        </is>
      </c>
      <c r="D4891" s="2" t="inlineStr">
        <is>
          <t>P0022</t>
        </is>
      </c>
      <c r="E4891" s="2" t="inlineStr">
        <is>
          <t>Face Wash</t>
        </is>
      </c>
      <c r="F4891" s="2" t="inlineStr">
        <is>
          <t>Beauty</t>
        </is>
      </c>
      <c r="G4891" s="2" t="inlineStr">
        <is>
          <t>North</t>
        </is>
      </c>
      <c r="H4891" s="2" t="inlineStr">
        <is>
          <t>Haryana</t>
        </is>
      </c>
      <c r="I4891" s="2" t="inlineStr">
        <is>
          <t>Faridabad</t>
        </is>
      </c>
      <c r="J4891" s="2" t="inlineStr">
        <is>
          <t>Online</t>
        </is>
      </c>
      <c r="K4891" s="2" t="n">
        <v>2</v>
      </c>
      <c r="L4891" s="3" t="n">
        <v>549.34</v>
      </c>
      <c r="M4891" s="4" t="n">
        <v>0.05</v>
      </c>
      <c r="N4891" s="3" t="n">
        <v>724.8</v>
      </c>
      <c r="O4891" s="3">
        <f>K4891*L4891*(1-M4891)</f>
        <v/>
      </c>
      <c r="P4891" s="3">
        <f>O4891-N4891</f>
        <v/>
      </c>
      <c r="Q4891" s="5">
        <f>IFERROR(P4891/O4891,0)</f>
        <v/>
      </c>
      <c r="R4891" s="2">
        <f>TEXT(DATEVALUE(B4891),"mmm")</f>
        <v/>
      </c>
      <c r="S4891" s="2">
        <f>TEXT(DATEVALUE(B4891),"yyyy-mm")</f>
        <v/>
      </c>
    </row>
    <row r="4892">
      <c r="A4892" s="2" t="inlineStr">
        <is>
          <t>O003456</t>
        </is>
      </c>
      <c r="B4892" s="2" t="inlineStr">
        <is>
          <t>2025-12-25</t>
        </is>
      </c>
      <c r="C4892" s="2" t="inlineStr">
        <is>
          <t>C0602</t>
        </is>
      </c>
      <c r="D4892" s="2" t="inlineStr">
        <is>
          <t>P0007</t>
        </is>
      </c>
      <c r="E4892" s="2" t="inlineStr">
        <is>
          <t>Wireless Mouse</t>
        </is>
      </c>
      <c r="F4892" s="2" t="inlineStr">
        <is>
          <t>Electronics</t>
        </is>
      </c>
      <c r="G4892" s="2" t="inlineStr">
        <is>
          <t>West</t>
        </is>
      </c>
      <c r="H4892" s="2" t="inlineStr">
        <is>
          <t>Gujarat</t>
        </is>
      </c>
      <c r="I4892" s="2" t="inlineStr">
        <is>
          <t>Vadodara</t>
        </is>
      </c>
      <c r="J4892" s="2" t="inlineStr">
        <is>
          <t>Store</t>
        </is>
      </c>
      <c r="K4892" s="2" t="n">
        <v>2</v>
      </c>
      <c r="L4892" s="3" t="n">
        <v>941.09</v>
      </c>
      <c r="M4892" s="4" t="n">
        <v>0</v>
      </c>
      <c r="N4892" s="3" t="n">
        <v>1260.24</v>
      </c>
      <c r="O4892" s="3">
        <f>K4892*L4892*(1-M4892)</f>
        <v/>
      </c>
      <c r="P4892" s="3">
        <f>O4892-N4892</f>
        <v/>
      </c>
      <c r="Q4892" s="5">
        <f>IFERROR(P4892/O4892,0)</f>
        <v/>
      </c>
      <c r="R4892" s="2">
        <f>TEXT(DATEVALUE(B4892),"mmm")</f>
        <v/>
      </c>
      <c r="S4892" s="2">
        <f>TEXT(DATEVALUE(B4892),"yyyy-mm")</f>
        <v/>
      </c>
    </row>
    <row r="4893">
      <c r="A4893" s="2" t="inlineStr">
        <is>
          <t>O002785</t>
        </is>
      </c>
      <c r="B4893" s="2" t="inlineStr">
        <is>
          <t>2025-12-25</t>
        </is>
      </c>
      <c r="C4893" s="2" t="inlineStr">
        <is>
          <t>C0394</t>
        </is>
      </c>
      <c r="D4893" s="2" t="inlineStr">
        <is>
          <t>P0022</t>
        </is>
      </c>
      <c r="E4893" s="2" t="inlineStr">
        <is>
          <t>Face Wash</t>
        </is>
      </c>
      <c r="F4893" s="2" t="inlineStr">
        <is>
          <t>Beauty</t>
        </is>
      </c>
      <c r="G4893" s="2" t="inlineStr">
        <is>
          <t>West</t>
        </is>
      </c>
      <c r="H4893" s="2" t="inlineStr">
        <is>
          <t>Gujarat</t>
        </is>
      </c>
      <c r="I4893" s="2" t="inlineStr">
        <is>
          <t>Vadodara</t>
        </is>
      </c>
      <c r="J4893" s="2" t="inlineStr">
        <is>
          <t>Online</t>
        </is>
      </c>
      <c r="K4893" s="2" t="n">
        <v>5</v>
      </c>
      <c r="L4893" s="3" t="n">
        <v>535.6</v>
      </c>
      <c r="M4893" s="4" t="n">
        <v>0.1</v>
      </c>
      <c r="N4893" s="3" t="n">
        <v>1793.77</v>
      </c>
      <c r="O4893" s="3">
        <f>K4893*L4893*(1-M4893)</f>
        <v/>
      </c>
      <c r="P4893" s="3">
        <f>O4893-N4893</f>
        <v/>
      </c>
      <c r="Q4893" s="5">
        <f>IFERROR(P4893/O4893,0)</f>
        <v/>
      </c>
      <c r="R4893" s="2">
        <f>TEXT(DATEVALUE(B4893),"mmm")</f>
        <v/>
      </c>
      <c r="S4893" s="2">
        <f>TEXT(DATEVALUE(B4893),"yyyy-mm")</f>
        <v/>
      </c>
    </row>
    <row r="4894">
      <c r="A4894" s="2" t="inlineStr">
        <is>
          <t>O004035</t>
        </is>
      </c>
      <c r="B4894" s="2" t="inlineStr">
        <is>
          <t>2025-12-25</t>
        </is>
      </c>
      <c r="C4894" s="2" t="inlineStr">
        <is>
          <t>C0067</t>
        </is>
      </c>
      <c r="D4894" s="2" t="inlineStr">
        <is>
          <t>P0031</t>
        </is>
      </c>
      <c r="E4894" s="2" t="inlineStr">
        <is>
          <t>Cricket Bat</t>
        </is>
      </c>
      <c r="F4894" s="2" t="inlineStr">
        <is>
          <t>Sports</t>
        </is>
      </c>
      <c r="G4894" s="2" t="inlineStr">
        <is>
          <t>South</t>
        </is>
      </c>
      <c r="H4894" s="2" t="inlineStr">
        <is>
          <t>Karnataka</t>
        </is>
      </c>
      <c r="I4894" s="2" t="inlineStr">
        <is>
          <t>Bengaluru</t>
        </is>
      </c>
      <c r="J4894" s="2" t="inlineStr">
        <is>
          <t>Online</t>
        </is>
      </c>
      <c r="K4894" s="2" t="n">
        <v>3</v>
      </c>
      <c r="L4894" s="3" t="n">
        <v>1380.65</v>
      </c>
      <c r="M4894" s="4" t="n">
        <v>0.1</v>
      </c>
      <c r="N4894" s="3" t="n">
        <v>2880.8</v>
      </c>
      <c r="O4894" s="3">
        <f>K4894*L4894*(1-M4894)</f>
        <v/>
      </c>
      <c r="P4894" s="3">
        <f>O4894-N4894</f>
        <v/>
      </c>
      <c r="Q4894" s="5">
        <f>IFERROR(P4894/O4894,0)</f>
        <v/>
      </c>
      <c r="R4894" s="2">
        <f>TEXT(DATEVALUE(B4894),"mmm")</f>
        <v/>
      </c>
      <c r="S4894" s="2">
        <f>TEXT(DATEVALUE(B4894),"yyyy-mm")</f>
        <v/>
      </c>
    </row>
    <row r="4895">
      <c r="A4895" s="2" t="inlineStr">
        <is>
          <t>O002719</t>
        </is>
      </c>
      <c r="B4895" s="2" t="inlineStr">
        <is>
          <t>2025-12-25</t>
        </is>
      </c>
      <c r="C4895" s="2" t="inlineStr">
        <is>
          <t>C0152</t>
        </is>
      </c>
      <c r="D4895" s="2" t="inlineStr">
        <is>
          <t>P0014</t>
        </is>
      </c>
      <c r="E4895" s="2" t="inlineStr">
        <is>
          <t>Coffee Maker</t>
        </is>
      </c>
      <c r="F4895" s="2" t="inlineStr">
        <is>
          <t>Home &amp; Kitchen</t>
        </is>
      </c>
      <c r="G4895" s="2" t="inlineStr">
        <is>
          <t>West</t>
        </is>
      </c>
      <c r="H4895" s="2" t="inlineStr">
        <is>
          <t>Goa</t>
        </is>
      </c>
      <c r="I4895" s="2" t="inlineStr">
        <is>
          <t>Panaji</t>
        </is>
      </c>
      <c r="J4895" s="2" t="inlineStr">
        <is>
          <t>Online</t>
        </is>
      </c>
      <c r="K4895" s="2" t="n">
        <v>6</v>
      </c>
      <c r="L4895" s="3" t="n">
        <v>1006.78</v>
      </c>
      <c r="M4895" s="4" t="n">
        <v>0.05</v>
      </c>
      <c r="N4895" s="3" t="n">
        <v>4519.33</v>
      </c>
      <c r="O4895" s="3">
        <f>K4895*L4895*(1-M4895)</f>
        <v/>
      </c>
      <c r="P4895" s="3">
        <f>O4895-N4895</f>
        <v/>
      </c>
      <c r="Q4895" s="5">
        <f>IFERROR(P4895/O4895,0)</f>
        <v/>
      </c>
      <c r="R4895" s="2">
        <f>TEXT(DATEVALUE(B4895),"mmm")</f>
        <v/>
      </c>
      <c r="S4895" s="2">
        <f>TEXT(DATEVALUE(B4895),"yyyy-mm")</f>
        <v/>
      </c>
    </row>
    <row r="4896">
      <c r="A4896" s="2" t="inlineStr">
        <is>
          <t>O002456</t>
        </is>
      </c>
      <c r="B4896" s="2" t="inlineStr">
        <is>
          <t>2025-12-25</t>
        </is>
      </c>
      <c r="C4896" s="2" t="inlineStr">
        <is>
          <t>C0767</t>
        </is>
      </c>
      <c r="D4896" s="2" t="inlineStr">
        <is>
          <t>P0022</t>
        </is>
      </c>
      <c r="E4896" s="2" t="inlineStr">
        <is>
          <t>Face Wash</t>
        </is>
      </c>
      <c r="F4896" s="2" t="inlineStr">
        <is>
          <t>Beauty</t>
        </is>
      </c>
      <c r="G4896" s="2" t="inlineStr">
        <is>
          <t>East</t>
        </is>
      </c>
      <c r="H4896" s="2" t="inlineStr">
        <is>
          <t>Odisha</t>
        </is>
      </c>
      <c r="I4896" s="2" t="inlineStr">
        <is>
          <t>Bhubaneswar</t>
        </is>
      </c>
      <c r="J4896" s="2" t="inlineStr">
        <is>
          <t>Online</t>
        </is>
      </c>
      <c r="K4896" s="2" t="n">
        <v>1</v>
      </c>
      <c r="L4896" s="3" t="n">
        <v>570.95</v>
      </c>
      <c r="M4896" s="4" t="n">
        <v>0.2</v>
      </c>
      <c r="N4896" s="3" t="n">
        <v>344.81</v>
      </c>
      <c r="O4896" s="3">
        <f>K4896*L4896*(1-M4896)</f>
        <v/>
      </c>
      <c r="P4896" s="3">
        <f>O4896-N4896</f>
        <v/>
      </c>
      <c r="Q4896" s="5">
        <f>IFERROR(P4896/O4896,0)</f>
        <v/>
      </c>
      <c r="R4896" s="2">
        <f>TEXT(DATEVALUE(B4896),"mmm")</f>
        <v/>
      </c>
      <c r="S4896" s="2">
        <f>TEXT(DATEVALUE(B4896),"yyyy-mm")</f>
        <v/>
      </c>
    </row>
    <row r="4897">
      <c r="A4897" s="2" t="inlineStr">
        <is>
          <t>O001324</t>
        </is>
      </c>
      <c r="B4897" s="2" t="inlineStr">
        <is>
          <t>2025-12-25</t>
        </is>
      </c>
      <c r="C4897" s="2" t="inlineStr">
        <is>
          <t>C0021</t>
        </is>
      </c>
      <c r="D4897" s="2" t="inlineStr">
        <is>
          <t>P0014</t>
        </is>
      </c>
      <c r="E4897" s="2" t="inlineStr">
        <is>
          <t>Coffee Maker</t>
        </is>
      </c>
      <c r="F4897" s="2" t="inlineStr">
        <is>
          <t>Home &amp; Kitchen</t>
        </is>
      </c>
      <c r="G4897" s="2" t="inlineStr">
        <is>
          <t>West</t>
        </is>
      </c>
      <c r="H4897" s="2" t="inlineStr">
        <is>
          <t>Maharashtra</t>
        </is>
      </c>
      <c r="I4897" s="2" t="inlineStr">
        <is>
          <t>Nashik</t>
        </is>
      </c>
      <c r="J4897" s="2" t="inlineStr">
        <is>
          <t>Online</t>
        </is>
      </c>
      <c r="K4897" s="2" t="n">
        <v>1</v>
      </c>
      <c r="L4897" s="3" t="n">
        <v>1028.08</v>
      </c>
      <c r="M4897" s="4" t="n">
        <v>0.05</v>
      </c>
      <c r="N4897" s="3" t="n">
        <v>778.53</v>
      </c>
      <c r="O4897" s="3">
        <f>K4897*L4897*(1-M4897)</f>
        <v/>
      </c>
      <c r="P4897" s="3">
        <f>O4897-N4897</f>
        <v/>
      </c>
      <c r="Q4897" s="5">
        <f>IFERROR(P4897/O4897,0)</f>
        <v/>
      </c>
      <c r="R4897" s="2">
        <f>TEXT(DATEVALUE(B4897),"mmm")</f>
        <v/>
      </c>
      <c r="S4897" s="2">
        <f>TEXT(DATEVALUE(B4897),"yyyy-mm")</f>
        <v/>
      </c>
    </row>
    <row r="4898">
      <c r="A4898" s="2" t="inlineStr">
        <is>
          <t>O001834</t>
        </is>
      </c>
      <c r="B4898" s="2" t="inlineStr">
        <is>
          <t>2025-12-25</t>
        </is>
      </c>
      <c r="C4898" s="2" t="inlineStr">
        <is>
          <t>C0417</t>
        </is>
      </c>
      <c r="D4898" s="2" t="inlineStr">
        <is>
          <t>P0011</t>
        </is>
      </c>
      <c r="E4898" s="2" t="inlineStr">
        <is>
          <t>Cookware Set</t>
        </is>
      </c>
      <c r="F4898" s="2" t="inlineStr">
        <is>
          <t>Home &amp; Kitchen</t>
        </is>
      </c>
      <c r="G4898" s="2" t="inlineStr">
        <is>
          <t>North</t>
        </is>
      </c>
      <c r="H4898" s="2" t="inlineStr">
        <is>
          <t>Haryana</t>
        </is>
      </c>
      <c r="I4898" s="2" t="inlineStr">
        <is>
          <t>Faridabad</t>
        </is>
      </c>
      <c r="J4898" s="2" t="inlineStr">
        <is>
          <t>Store</t>
        </is>
      </c>
      <c r="K4898" s="2" t="n">
        <v>1</v>
      </c>
      <c r="L4898" s="3" t="n">
        <v>686.87</v>
      </c>
      <c r="M4898" s="4" t="n">
        <v>0.1</v>
      </c>
      <c r="N4898" s="3" t="n">
        <v>476.3</v>
      </c>
      <c r="O4898" s="3">
        <f>K4898*L4898*(1-M4898)</f>
        <v/>
      </c>
      <c r="P4898" s="3">
        <f>O4898-N4898</f>
        <v/>
      </c>
      <c r="Q4898" s="5">
        <f>IFERROR(P4898/O4898,0)</f>
        <v/>
      </c>
      <c r="R4898" s="2">
        <f>TEXT(DATEVALUE(B4898),"mmm")</f>
        <v/>
      </c>
      <c r="S4898" s="2">
        <f>TEXT(DATEVALUE(B4898),"yyyy-mm")</f>
        <v/>
      </c>
    </row>
    <row r="4899">
      <c r="A4899" s="2" t="inlineStr">
        <is>
          <t>O001515</t>
        </is>
      </c>
      <c r="B4899" s="2" t="inlineStr">
        <is>
          <t>2025-12-25</t>
        </is>
      </c>
      <c r="C4899" s="2" t="inlineStr">
        <is>
          <t>C0795</t>
        </is>
      </c>
      <c r="D4899" s="2" t="inlineStr">
        <is>
          <t>P0020</t>
        </is>
      </c>
      <c r="E4899" s="2" t="inlineStr">
        <is>
          <t>Sneakers</t>
        </is>
      </c>
      <c r="F4899" s="2" t="inlineStr">
        <is>
          <t>Fashion</t>
        </is>
      </c>
      <c r="G4899" s="2" t="inlineStr">
        <is>
          <t>North</t>
        </is>
      </c>
      <c r="H4899" s="2" t="inlineStr">
        <is>
          <t>Punjab</t>
        </is>
      </c>
      <c r="I4899" s="2" t="inlineStr">
        <is>
          <t>Amritsar</t>
        </is>
      </c>
      <c r="J4899" s="2" t="inlineStr">
        <is>
          <t>Store</t>
        </is>
      </c>
      <c r="K4899" s="2" t="n">
        <v>3</v>
      </c>
      <c r="L4899" s="3" t="n">
        <v>2000</v>
      </c>
      <c r="M4899" s="4" t="n">
        <v>0</v>
      </c>
      <c r="N4899" s="3" t="n">
        <v>4477.15</v>
      </c>
      <c r="O4899" s="3">
        <f>K4899*L4899*(1-M4899)</f>
        <v/>
      </c>
      <c r="P4899" s="3">
        <f>O4899-N4899</f>
        <v/>
      </c>
      <c r="Q4899" s="5">
        <f>IFERROR(P4899/O4899,0)</f>
        <v/>
      </c>
      <c r="R4899" s="2">
        <f>TEXT(DATEVALUE(B4899),"mmm")</f>
        <v/>
      </c>
      <c r="S4899" s="2">
        <f>TEXT(DATEVALUE(B4899),"yyyy-mm")</f>
        <v/>
      </c>
    </row>
    <row r="4900">
      <c r="A4900" s="2" t="inlineStr">
        <is>
          <t>O001241</t>
        </is>
      </c>
      <c r="B4900" s="2" t="inlineStr">
        <is>
          <t>2025-12-25</t>
        </is>
      </c>
      <c r="C4900" s="2" t="inlineStr">
        <is>
          <t>C0723</t>
        </is>
      </c>
      <c r="D4900" s="2" t="inlineStr">
        <is>
          <t>P0011</t>
        </is>
      </c>
      <c r="E4900" s="2" t="inlineStr">
        <is>
          <t>Cookware Set</t>
        </is>
      </c>
      <c r="F4900" s="2" t="inlineStr">
        <is>
          <t>Home &amp; Kitchen</t>
        </is>
      </c>
      <c r="G4900" s="2" t="inlineStr">
        <is>
          <t>East</t>
        </is>
      </c>
      <c r="H4900" s="2" t="inlineStr">
        <is>
          <t>Odisha</t>
        </is>
      </c>
      <c r="I4900" s="2" t="inlineStr">
        <is>
          <t>Bhubaneswar</t>
        </is>
      </c>
      <c r="J4900" s="2" t="inlineStr">
        <is>
          <t>Online</t>
        </is>
      </c>
      <c r="K4900" s="2" t="n">
        <v>5</v>
      </c>
      <c r="L4900" s="3" t="n">
        <v>684.73</v>
      </c>
      <c r="M4900" s="4" t="n">
        <v>0.05</v>
      </c>
      <c r="N4900" s="3" t="n">
        <v>2303.2</v>
      </c>
      <c r="O4900" s="3">
        <f>K4900*L4900*(1-M4900)</f>
        <v/>
      </c>
      <c r="P4900" s="3">
        <f>O4900-N4900</f>
        <v/>
      </c>
      <c r="Q4900" s="5">
        <f>IFERROR(P4900/O4900,0)</f>
        <v/>
      </c>
      <c r="R4900" s="2">
        <f>TEXT(DATEVALUE(B4900),"mmm")</f>
        <v/>
      </c>
      <c r="S4900" s="2">
        <f>TEXT(DATEVALUE(B4900),"yyyy-mm")</f>
        <v/>
      </c>
    </row>
    <row r="4901">
      <c r="A4901" s="2" t="inlineStr">
        <is>
          <t>O000181</t>
        </is>
      </c>
      <c r="B4901" s="2" t="inlineStr">
        <is>
          <t>2025-12-25</t>
        </is>
      </c>
      <c r="C4901" s="2" t="inlineStr">
        <is>
          <t>C0253</t>
        </is>
      </c>
      <c r="D4901" s="2" t="inlineStr">
        <is>
          <t>P0015</t>
        </is>
      </c>
      <c r="E4901" s="2" t="inlineStr">
        <is>
          <t>Running Shoes</t>
        </is>
      </c>
      <c r="F4901" s="2" t="inlineStr">
        <is>
          <t>Fashion</t>
        </is>
      </c>
      <c r="G4901" s="2" t="inlineStr">
        <is>
          <t>South</t>
        </is>
      </c>
      <c r="H4901" s="2" t="inlineStr">
        <is>
          <t>Kerala</t>
        </is>
      </c>
      <c r="I4901" s="2" t="inlineStr">
        <is>
          <t>Thiruvananthapuram</t>
        </is>
      </c>
      <c r="J4901" s="2" t="inlineStr">
        <is>
          <t>Online</t>
        </is>
      </c>
      <c r="K4901" s="2" t="n">
        <v>3</v>
      </c>
      <c r="L4901" s="3" t="n">
        <v>626.97</v>
      </c>
      <c r="M4901" s="4" t="n">
        <v>0</v>
      </c>
      <c r="N4901" s="3" t="n">
        <v>1111.02</v>
      </c>
      <c r="O4901" s="3">
        <f>K4901*L4901*(1-M4901)</f>
        <v/>
      </c>
      <c r="P4901" s="3">
        <f>O4901-N4901</f>
        <v/>
      </c>
      <c r="Q4901" s="5">
        <f>IFERROR(P4901/O4901,0)</f>
        <v/>
      </c>
      <c r="R4901" s="2">
        <f>TEXT(DATEVALUE(B4901),"mmm")</f>
        <v/>
      </c>
      <c r="S4901" s="2">
        <f>TEXT(DATEVALUE(B4901),"yyyy-mm")</f>
        <v/>
      </c>
    </row>
    <row r="4902">
      <c r="A4902" s="2" t="inlineStr">
        <is>
          <t>O000132</t>
        </is>
      </c>
      <c r="B4902" s="2" t="inlineStr">
        <is>
          <t>2025-12-25</t>
        </is>
      </c>
      <c r="C4902" s="2" t="inlineStr">
        <is>
          <t>C0412</t>
        </is>
      </c>
      <c r="D4902" s="2" t="inlineStr">
        <is>
          <t>P0018</t>
        </is>
      </c>
      <c r="E4902" s="2" t="inlineStr">
        <is>
          <t>Backpack</t>
        </is>
      </c>
      <c r="F4902" s="2" t="inlineStr">
        <is>
          <t>Fashion</t>
        </is>
      </c>
      <c r="G4902" s="2" t="inlineStr">
        <is>
          <t>West</t>
        </is>
      </c>
      <c r="H4902" s="2" t="inlineStr">
        <is>
          <t>Goa</t>
        </is>
      </c>
      <c r="I4902" s="2" t="inlineStr">
        <is>
          <t>Panaji</t>
        </is>
      </c>
      <c r="J4902" s="2" t="inlineStr">
        <is>
          <t>Online</t>
        </is>
      </c>
      <c r="K4902" s="2" t="n">
        <v>6</v>
      </c>
      <c r="L4902" s="3" t="n">
        <v>1809.05</v>
      </c>
      <c r="M4902" s="4" t="n">
        <v>0.1</v>
      </c>
      <c r="N4902" s="3" t="n">
        <v>8403.48</v>
      </c>
      <c r="O4902" s="3">
        <f>K4902*L4902*(1-M4902)</f>
        <v/>
      </c>
      <c r="P4902" s="3">
        <f>O4902-N4902</f>
        <v/>
      </c>
      <c r="Q4902" s="5">
        <f>IFERROR(P4902/O4902,0)</f>
        <v/>
      </c>
      <c r="R4902" s="2">
        <f>TEXT(DATEVALUE(B4902),"mmm")</f>
        <v/>
      </c>
      <c r="S4902" s="2">
        <f>TEXT(DATEVALUE(B4902),"yyyy-mm")</f>
        <v/>
      </c>
    </row>
    <row r="4903">
      <c r="A4903" s="2" t="inlineStr">
        <is>
          <t>O001847</t>
        </is>
      </c>
      <c r="B4903" s="2" t="inlineStr">
        <is>
          <t>2025-12-25</t>
        </is>
      </c>
      <c r="C4903" s="2" t="inlineStr">
        <is>
          <t>C0385</t>
        </is>
      </c>
      <c r="D4903" s="2" t="inlineStr">
        <is>
          <t>P0018</t>
        </is>
      </c>
      <c r="E4903" s="2" t="inlineStr">
        <is>
          <t>Backpack</t>
        </is>
      </c>
      <c r="F4903" s="2" t="inlineStr">
        <is>
          <t>Fashion</t>
        </is>
      </c>
      <c r="G4903" s="2" t="inlineStr">
        <is>
          <t>West</t>
        </is>
      </c>
      <c r="H4903" s="2" t="inlineStr">
        <is>
          <t>Maharashtra</t>
        </is>
      </c>
      <c r="I4903" s="2" t="inlineStr">
        <is>
          <t>Nagpur</t>
        </is>
      </c>
      <c r="J4903" s="2" t="inlineStr">
        <is>
          <t>Store</t>
        </is>
      </c>
      <c r="K4903" s="2" t="n">
        <v>2</v>
      </c>
      <c r="L4903" s="3" t="n">
        <v>1768.97</v>
      </c>
      <c r="M4903" s="4" t="n">
        <v>0.2</v>
      </c>
      <c r="N4903" s="3" t="n">
        <v>2652.13</v>
      </c>
      <c r="O4903" s="3">
        <f>K4903*L4903*(1-M4903)</f>
        <v/>
      </c>
      <c r="P4903" s="3">
        <f>O4903-N4903</f>
        <v/>
      </c>
      <c r="Q4903" s="5">
        <f>IFERROR(P4903/O4903,0)</f>
        <v/>
      </c>
      <c r="R4903" s="2">
        <f>TEXT(DATEVALUE(B4903),"mmm")</f>
        <v/>
      </c>
      <c r="S4903" s="2">
        <f>TEXT(DATEVALUE(B4903),"yyyy-mm")</f>
        <v/>
      </c>
    </row>
    <row r="4904">
      <c r="A4904" s="2" t="inlineStr">
        <is>
          <t>O002332</t>
        </is>
      </c>
      <c r="B4904" s="2" t="inlineStr">
        <is>
          <t>2025-12-26</t>
        </is>
      </c>
      <c r="C4904" s="2" t="inlineStr">
        <is>
          <t>C0651</t>
        </is>
      </c>
      <c r="D4904" s="2" t="inlineStr">
        <is>
          <t>P0006</t>
        </is>
      </c>
      <c r="E4904" s="2" t="inlineStr">
        <is>
          <t>Mechanical Keyboard</t>
        </is>
      </c>
      <c r="F4904" s="2" t="inlineStr">
        <is>
          <t>Electronics</t>
        </is>
      </c>
      <c r="G4904" s="2" t="inlineStr">
        <is>
          <t>South</t>
        </is>
      </c>
      <c r="H4904" s="2" t="inlineStr">
        <is>
          <t>Karnataka</t>
        </is>
      </c>
      <c r="I4904" s="2" t="inlineStr">
        <is>
          <t>Bengaluru</t>
        </is>
      </c>
      <c r="J4904" s="2" t="inlineStr">
        <is>
          <t>Online</t>
        </is>
      </c>
      <c r="K4904" s="2" t="n">
        <v>3</v>
      </c>
      <c r="L4904" s="3" t="n">
        <v>2675.56</v>
      </c>
      <c r="M4904" s="4" t="n">
        <v>0.05</v>
      </c>
      <c r="N4904" s="3" t="n">
        <v>4534.88</v>
      </c>
      <c r="O4904" s="3">
        <f>K4904*L4904*(1-M4904)</f>
        <v/>
      </c>
      <c r="P4904" s="3">
        <f>O4904-N4904</f>
        <v/>
      </c>
      <c r="Q4904" s="5">
        <f>IFERROR(P4904/O4904,0)</f>
        <v/>
      </c>
      <c r="R4904" s="2">
        <f>TEXT(DATEVALUE(B4904),"mmm")</f>
        <v/>
      </c>
      <c r="S4904" s="2">
        <f>TEXT(DATEVALUE(B4904),"yyyy-mm")</f>
        <v/>
      </c>
    </row>
    <row r="4905">
      <c r="A4905" s="2" t="inlineStr">
        <is>
          <t>O004668</t>
        </is>
      </c>
      <c r="B4905" s="2" t="inlineStr">
        <is>
          <t>2025-12-26</t>
        </is>
      </c>
      <c r="C4905" s="2" t="inlineStr">
        <is>
          <t>C0485</t>
        </is>
      </c>
      <c r="D4905" s="2" t="inlineStr">
        <is>
          <t>P0019</t>
        </is>
      </c>
      <c r="E4905" s="2" t="inlineStr">
        <is>
          <t>Jacket</t>
        </is>
      </c>
      <c r="F4905" s="2" t="inlineStr">
        <is>
          <t>Fashion</t>
        </is>
      </c>
      <c r="G4905" s="2" t="inlineStr">
        <is>
          <t>South</t>
        </is>
      </c>
      <c r="H4905" s="2" t="inlineStr">
        <is>
          <t>Kerala</t>
        </is>
      </c>
      <c r="I4905" s="2" t="inlineStr">
        <is>
          <t>Kochi</t>
        </is>
      </c>
      <c r="J4905" s="2" t="inlineStr">
        <is>
          <t>Store</t>
        </is>
      </c>
      <c r="K4905" s="2" t="n">
        <v>1</v>
      </c>
      <c r="L4905" s="3" t="n">
        <v>1023.17</v>
      </c>
      <c r="M4905" s="4" t="n">
        <v>0.1</v>
      </c>
      <c r="N4905" s="3" t="n">
        <v>653.16</v>
      </c>
      <c r="O4905" s="3">
        <f>K4905*L4905*(1-M4905)</f>
        <v/>
      </c>
      <c r="P4905" s="3">
        <f>O4905-N4905</f>
        <v/>
      </c>
      <c r="Q4905" s="5">
        <f>IFERROR(P4905/O4905,0)</f>
        <v/>
      </c>
      <c r="R4905" s="2">
        <f>TEXT(DATEVALUE(B4905),"mmm")</f>
        <v/>
      </c>
      <c r="S4905" s="2">
        <f>TEXT(DATEVALUE(B4905),"yyyy-mm")</f>
        <v/>
      </c>
    </row>
    <row r="4906">
      <c r="A4906" s="2" t="inlineStr">
        <is>
          <t>O004005</t>
        </is>
      </c>
      <c r="B4906" s="2" t="inlineStr">
        <is>
          <t>2025-12-26</t>
        </is>
      </c>
      <c r="C4906" s="2" t="inlineStr">
        <is>
          <t>C0102</t>
        </is>
      </c>
      <c r="D4906" s="2" t="inlineStr">
        <is>
          <t>P0004</t>
        </is>
      </c>
      <c r="E4906" s="2" t="inlineStr">
        <is>
          <t>USB-C Hub</t>
        </is>
      </c>
      <c r="F4906" s="2" t="inlineStr">
        <is>
          <t>Electronics</t>
        </is>
      </c>
      <c r="G4906" s="2" t="inlineStr">
        <is>
          <t>North</t>
        </is>
      </c>
      <c r="H4906" s="2" t="inlineStr">
        <is>
          <t>Delhi</t>
        </is>
      </c>
      <c r="I4906" s="2" t="inlineStr">
        <is>
          <t>New Delhi</t>
        </is>
      </c>
      <c r="J4906" s="2" t="inlineStr">
        <is>
          <t>Store</t>
        </is>
      </c>
      <c r="K4906" s="2" t="n">
        <v>1</v>
      </c>
      <c r="L4906" s="3" t="n">
        <v>1263.47</v>
      </c>
      <c r="M4906" s="4" t="n">
        <v>0.1</v>
      </c>
      <c r="N4906" s="3" t="n">
        <v>954.16</v>
      </c>
      <c r="O4906" s="3">
        <f>K4906*L4906*(1-M4906)</f>
        <v/>
      </c>
      <c r="P4906" s="3">
        <f>O4906-N4906</f>
        <v/>
      </c>
      <c r="Q4906" s="5">
        <f>IFERROR(P4906/O4906,0)</f>
        <v/>
      </c>
      <c r="R4906" s="2">
        <f>TEXT(DATEVALUE(B4906),"mmm")</f>
        <v/>
      </c>
      <c r="S4906" s="2">
        <f>TEXT(DATEVALUE(B4906),"yyyy-mm")</f>
        <v/>
      </c>
    </row>
    <row r="4907">
      <c r="A4907" s="2" t="inlineStr">
        <is>
          <t>O004997</t>
        </is>
      </c>
      <c r="B4907" s="2" t="inlineStr">
        <is>
          <t>2025-12-26</t>
        </is>
      </c>
      <c r="C4907" s="2" t="inlineStr">
        <is>
          <t>C0568</t>
        </is>
      </c>
      <c r="D4907" s="2" t="inlineStr">
        <is>
          <t>P0010</t>
        </is>
      </c>
      <c r="E4907" s="2" t="inlineStr">
        <is>
          <t>Mixer Grinder</t>
        </is>
      </c>
      <c r="F4907" s="2" t="inlineStr">
        <is>
          <t>Home &amp; Kitchen</t>
        </is>
      </c>
      <c r="G4907" s="2" t="inlineStr">
        <is>
          <t>South</t>
        </is>
      </c>
      <c r="H4907" s="2" t="inlineStr">
        <is>
          <t>Kerala</t>
        </is>
      </c>
      <c r="I4907" s="2" t="inlineStr">
        <is>
          <t>Kochi</t>
        </is>
      </c>
      <c r="J4907" s="2" t="inlineStr">
        <is>
          <t>Online</t>
        </is>
      </c>
      <c r="K4907" s="2" t="n">
        <v>2</v>
      </c>
      <c r="L4907" s="3" t="n">
        <v>1620.7</v>
      </c>
      <c r="M4907" s="4" t="n">
        <v>0</v>
      </c>
      <c r="N4907" s="3" t="n">
        <v>2034.71</v>
      </c>
      <c r="O4907" s="3">
        <f>K4907*L4907*(1-M4907)</f>
        <v/>
      </c>
      <c r="P4907" s="3">
        <f>O4907-N4907</f>
        <v/>
      </c>
      <c r="Q4907" s="5">
        <f>IFERROR(P4907/O4907,0)</f>
        <v/>
      </c>
      <c r="R4907" s="2">
        <f>TEXT(DATEVALUE(B4907),"mmm")</f>
        <v/>
      </c>
      <c r="S4907" s="2">
        <f>TEXT(DATEVALUE(B4907),"yyyy-mm")</f>
        <v/>
      </c>
    </row>
    <row r="4908">
      <c r="A4908" s="2" t="inlineStr">
        <is>
          <t>O003891</t>
        </is>
      </c>
      <c r="B4908" s="2" t="inlineStr">
        <is>
          <t>2025-12-26</t>
        </is>
      </c>
      <c r="C4908" s="2" t="inlineStr">
        <is>
          <t>C0140</t>
        </is>
      </c>
      <c r="D4908" s="2" t="inlineStr">
        <is>
          <t>P0024</t>
        </is>
      </c>
      <c r="E4908" s="2" t="inlineStr">
        <is>
          <t>Hair Dryer</t>
        </is>
      </c>
      <c r="F4908" s="2" t="inlineStr">
        <is>
          <t>Beauty</t>
        </is>
      </c>
      <c r="G4908" s="2" t="inlineStr">
        <is>
          <t>South</t>
        </is>
      </c>
      <c r="H4908" s="2" t="inlineStr">
        <is>
          <t>Telangana</t>
        </is>
      </c>
      <c r="I4908" s="2" t="inlineStr">
        <is>
          <t>Warangal</t>
        </is>
      </c>
      <c r="J4908" s="2" t="inlineStr">
        <is>
          <t>Store</t>
        </is>
      </c>
      <c r="K4908" s="2" t="n">
        <v>1</v>
      </c>
      <c r="L4908" s="3" t="n">
        <v>992.8</v>
      </c>
      <c r="M4908" s="4" t="n">
        <v>0.05</v>
      </c>
      <c r="N4908" s="3" t="n">
        <v>755.36</v>
      </c>
      <c r="O4908" s="3">
        <f>K4908*L4908*(1-M4908)</f>
        <v/>
      </c>
      <c r="P4908" s="3">
        <f>O4908-N4908</f>
        <v/>
      </c>
      <c r="Q4908" s="5">
        <f>IFERROR(P4908/O4908,0)</f>
        <v/>
      </c>
      <c r="R4908" s="2">
        <f>TEXT(DATEVALUE(B4908),"mmm")</f>
        <v/>
      </c>
      <c r="S4908" s="2">
        <f>TEXT(DATEVALUE(B4908),"yyyy-mm")</f>
        <v/>
      </c>
    </row>
    <row r="4909">
      <c r="A4909" s="2" t="inlineStr">
        <is>
          <t>O003370</t>
        </is>
      </c>
      <c r="B4909" s="2" t="inlineStr">
        <is>
          <t>2025-12-26</t>
        </is>
      </c>
      <c r="C4909" s="2" t="inlineStr">
        <is>
          <t>C0754</t>
        </is>
      </c>
      <c r="D4909" s="2" t="inlineStr">
        <is>
          <t>P0028</t>
        </is>
      </c>
      <c r="E4909" s="2" t="inlineStr">
        <is>
          <t>Trimmer</t>
        </is>
      </c>
      <c r="F4909" s="2" t="inlineStr">
        <is>
          <t>Beauty</t>
        </is>
      </c>
      <c r="G4909" s="2" t="inlineStr">
        <is>
          <t>South</t>
        </is>
      </c>
      <c r="H4909" s="2" t="inlineStr">
        <is>
          <t>Telangana</t>
        </is>
      </c>
      <c r="I4909" s="2" t="inlineStr">
        <is>
          <t>Warangal</t>
        </is>
      </c>
      <c r="J4909" s="2" t="inlineStr">
        <is>
          <t>Online</t>
        </is>
      </c>
      <c r="K4909" s="2" t="n">
        <v>5</v>
      </c>
      <c r="L4909" s="3" t="n">
        <v>451.61</v>
      </c>
      <c r="M4909" s="4" t="n">
        <v>0.1</v>
      </c>
      <c r="N4909" s="3" t="n">
        <v>1241.92</v>
      </c>
      <c r="O4909" s="3">
        <f>K4909*L4909*(1-M4909)</f>
        <v/>
      </c>
      <c r="P4909" s="3">
        <f>O4909-N4909</f>
        <v/>
      </c>
      <c r="Q4909" s="5">
        <f>IFERROR(P4909/O4909,0)</f>
        <v/>
      </c>
      <c r="R4909" s="2">
        <f>TEXT(DATEVALUE(B4909),"mmm")</f>
        <v/>
      </c>
      <c r="S4909" s="2">
        <f>TEXT(DATEVALUE(B4909),"yyyy-mm")</f>
        <v/>
      </c>
    </row>
    <row r="4910">
      <c r="A4910" s="2" t="inlineStr">
        <is>
          <t>O002629</t>
        </is>
      </c>
      <c r="B4910" s="2" t="inlineStr">
        <is>
          <t>2025-12-26</t>
        </is>
      </c>
      <c r="C4910" s="2" t="inlineStr">
        <is>
          <t>C0001</t>
        </is>
      </c>
      <c r="D4910" s="2" t="inlineStr">
        <is>
          <t>P0019</t>
        </is>
      </c>
      <c r="E4910" s="2" t="inlineStr">
        <is>
          <t>Jacket</t>
        </is>
      </c>
      <c r="F4910" s="2" t="inlineStr">
        <is>
          <t>Fashion</t>
        </is>
      </c>
      <c r="G4910" s="2" t="inlineStr">
        <is>
          <t>West</t>
        </is>
      </c>
      <c r="H4910" s="2" t="inlineStr">
        <is>
          <t>Maharashtra</t>
        </is>
      </c>
      <c r="I4910" s="2" t="inlineStr">
        <is>
          <t>Thane</t>
        </is>
      </c>
      <c r="J4910" s="2" t="inlineStr">
        <is>
          <t>Online</t>
        </is>
      </c>
      <c r="K4910" s="2" t="n">
        <v>6</v>
      </c>
      <c r="L4910" s="3" t="n">
        <v>1057.06</v>
      </c>
      <c r="M4910" s="4" t="n">
        <v>0.2</v>
      </c>
      <c r="N4910" s="3" t="n">
        <v>3949.23</v>
      </c>
      <c r="O4910" s="3">
        <f>K4910*L4910*(1-M4910)</f>
        <v/>
      </c>
      <c r="P4910" s="3">
        <f>O4910-N4910</f>
        <v/>
      </c>
      <c r="Q4910" s="5">
        <f>IFERROR(P4910/O4910,0)</f>
        <v/>
      </c>
      <c r="R4910" s="2">
        <f>TEXT(DATEVALUE(B4910),"mmm")</f>
        <v/>
      </c>
      <c r="S4910" s="2">
        <f>TEXT(DATEVALUE(B4910),"yyyy-mm")</f>
        <v/>
      </c>
    </row>
    <row r="4911">
      <c r="A4911" s="2" t="inlineStr">
        <is>
          <t>O002576</t>
        </is>
      </c>
      <c r="B4911" s="2" t="inlineStr">
        <is>
          <t>2025-12-26</t>
        </is>
      </c>
      <c r="C4911" s="2" t="inlineStr">
        <is>
          <t>C0638</t>
        </is>
      </c>
      <c r="D4911" s="2" t="inlineStr">
        <is>
          <t>P0022</t>
        </is>
      </c>
      <c r="E4911" s="2" t="inlineStr">
        <is>
          <t>Face Wash</t>
        </is>
      </c>
      <c r="F4911" s="2" t="inlineStr">
        <is>
          <t>Beauty</t>
        </is>
      </c>
      <c r="G4911" s="2" t="inlineStr">
        <is>
          <t>North</t>
        </is>
      </c>
      <c r="H4911" s="2" t="inlineStr">
        <is>
          <t>Punjab</t>
        </is>
      </c>
      <c r="I4911" s="2" t="inlineStr">
        <is>
          <t>Amritsar</t>
        </is>
      </c>
      <c r="J4911" s="2" t="inlineStr">
        <is>
          <t>Store</t>
        </is>
      </c>
      <c r="K4911" s="2" t="n">
        <v>1</v>
      </c>
      <c r="L4911" s="3" t="n">
        <v>573.5</v>
      </c>
      <c r="M4911" s="4" t="n">
        <v>0.2</v>
      </c>
      <c r="N4911" s="3" t="n">
        <v>358.09</v>
      </c>
      <c r="O4911" s="3">
        <f>K4911*L4911*(1-M4911)</f>
        <v/>
      </c>
      <c r="P4911" s="3">
        <f>O4911-N4911</f>
        <v/>
      </c>
      <c r="Q4911" s="5">
        <f>IFERROR(P4911/O4911,0)</f>
        <v/>
      </c>
      <c r="R4911" s="2">
        <f>TEXT(DATEVALUE(B4911),"mmm")</f>
        <v/>
      </c>
      <c r="S4911" s="2">
        <f>TEXT(DATEVALUE(B4911),"yyyy-mm")</f>
        <v/>
      </c>
    </row>
    <row r="4912">
      <c r="A4912" s="2" t="inlineStr">
        <is>
          <t>O001841</t>
        </is>
      </c>
      <c r="B4912" s="2" t="inlineStr">
        <is>
          <t>2025-12-26</t>
        </is>
      </c>
      <c r="C4912" s="2" t="inlineStr">
        <is>
          <t>C0166</t>
        </is>
      </c>
      <c r="D4912" s="2" t="inlineStr">
        <is>
          <t>P0007</t>
        </is>
      </c>
      <c r="E4912" s="2" t="inlineStr">
        <is>
          <t>Wireless Mouse</t>
        </is>
      </c>
      <c r="F4912" s="2" t="inlineStr">
        <is>
          <t>Electronics</t>
        </is>
      </c>
      <c r="G4912" s="2" t="inlineStr">
        <is>
          <t>West</t>
        </is>
      </c>
      <c r="H4912" s="2" t="inlineStr">
        <is>
          <t>Gujarat</t>
        </is>
      </c>
      <c r="I4912" s="2" t="inlineStr">
        <is>
          <t>Surat</t>
        </is>
      </c>
      <c r="J4912" s="2" t="inlineStr">
        <is>
          <t>Store</t>
        </is>
      </c>
      <c r="K4912" s="2" t="n">
        <v>1</v>
      </c>
      <c r="L4912" s="3" t="n">
        <v>1016.26</v>
      </c>
      <c r="M4912" s="4" t="n">
        <v>0</v>
      </c>
      <c r="N4912" s="3" t="n">
        <v>641.33</v>
      </c>
      <c r="O4912" s="3">
        <f>K4912*L4912*(1-M4912)</f>
        <v/>
      </c>
      <c r="P4912" s="3">
        <f>O4912-N4912</f>
        <v/>
      </c>
      <c r="Q4912" s="5">
        <f>IFERROR(P4912/O4912,0)</f>
        <v/>
      </c>
      <c r="R4912" s="2">
        <f>TEXT(DATEVALUE(B4912),"mmm")</f>
        <v/>
      </c>
      <c r="S4912" s="2">
        <f>TEXT(DATEVALUE(B4912),"yyyy-mm")</f>
        <v/>
      </c>
    </row>
    <row r="4913">
      <c r="A4913" s="2" t="inlineStr">
        <is>
          <t>O000122</t>
        </is>
      </c>
      <c r="B4913" s="2" t="inlineStr">
        <is>
          <t>2025-12-26</t>
        </is>
      </c>
      <c r="C4913" s="2" t="inlineStr">
        <is>
          <t>C0668</t>
        </is>
      </c>
      <c r="D4913" s="2" t="inlineStr">
        <is>
          <t>P0014</t>
        </is>
      </c>
      <c r="E4913" s="2" t="inlineStr">
        <is>
          <t>Coffee Maker</t>
        </is>
      </c>
      <c r="F4913" s="2" t="inlineStr">
        <is>
          <t>Home &amp; Kitchen</t>
        </is>
      </c>
      <c r="G4913" s="2" t="inlineStr">
        <is>
          <t>West</t>
        </is>
      </c>
      <c r="H4913" s="2" t="inlineStr">
        <is>
          <t>Gujarat</t>
        </is>
      </c>
      <c r="I4913" s="2" t="inlineStr">
        <is>
          <t>Ahmedabad</t>
        </is>
      </c>
      <c r="J4913" s="2" t="inlineStr">
        <is>
          <t>Online</t>
        </is>
      </c>
      <c r="K4913" s="2" t="n">
        <v>1</v>
      </c>
      <c r="L4913" s="3" t="n">
        <v>1061.04</v>
      </c>
      <c r="M4913" s="4" t="n">
        <v>0.2</v>
      </c>
      <c r="N4913" s="3" t="n">
        <v>769.5700000000001</v>
      </c>
      <c r="O4913" s="3">
        <f>K4913*L4913*(1-M4913)</f>
        <v/>
      </c>
      <c r="P4913" s="3">
        <f>O4913-N4913</f>
        <v/>
      </c>
      <c r="Q4913" s="5">
        <f>IFERROR(P4913/O4913,0)</f>
        <v/>
      </c>
      <c r="R4913" s="2">
        <f>TEXT(DATEVALUE(B4913),"mmm")</f>
        <v/>
      </c>
      <c r="S4913" s="2">
        <f>TEXT(DATEVALUE(B4913),"yyyy-mm")</f>
        <v/>
      </c>
    </row>
    <row r="4914">
      <c r="A4914" s="2" t="inlineStr">
        <is>
          <t>O001212</t>
        </is>
      </c>
      <c r="B4914" s="2" t="inlineStr">
        <is>
          <t>2025-12-26</t>
        </is>
      </c>
      <c r="C4914" s="2" t="inlineStr">
        <is>
          <t>C0427</t>
        </is>
      </c>
      <c r="D4914" s="2" t="inlineStr">
        <is>
          <t>P0031</t>
        </is>
      </c>
      <c r="E4914" s="2" t="inlineStr">
        <is>
          <t>Cricket Bat</t>
        </is>
      </c>
      <c r="F4914" s="2" t="inlineStr">
        <is>
          <t>Sports</t>
        </is>
      </c>
      <c r="G4914" s="2" t="inlineStr">
        <is>
          <t>North</t>
        </is>
      </c>
      <c r="H4914" s="2" t="inlineStr">
        <is>
          <t>Punjab</t>
        </is>
      </c>
      <c r="I4914" s="2" t="inlineStr">
        <is>
          <t>Ludhiana</t>
        </is>
      </c>
      <c r="J4914" s="2" t="inlineStr">
        <is>
          <t>Store</t>
        </is>
      </c>
      <c r="K4914" s="2" t="n">
        <v>2</v>
      </c>
      <c r="L4914" s="3" t="n">
        <v>1402.45</v>
      </c>
      <c r="M4914" s="4" t="n">
        <v>0.05</v>
      </c>
      <c r="N4914" s="3" t="n">
        <v>1949.56</v>
      </c>
      <c r="O4914" s="3">
        <f>K4914*L4914*(1-M4914)</f>
        <v/>
      </c>
      <c r="P4914" s="3">
        <f>O4914-N4914</f>
        <v/>
      </c>
      <c r="Q4914" s="5">
        <f>IFERROR(P4914/O4914,0)</f>
        <v/>
      </c>
      <c r="R4914" s="2">
        <f>TEXT(DATEVALUE(B4914),"mmm")</f>
        <v/>
      </c>
      <c r="S4914" s="2">
        <f>TEXT(DATEVALUE(B4914),"yyyy-mm")</f>
        <v/>
      </c>
    </row>
    <row r="4915">
      <c r="A4915" s="2" t="inlineStr">
        <is>
          <t>O001126</t>
        </is>
      </c>
      <c r="B4915" s="2" t="inlineStr">
        <is>
          <t>2025-12-26</t>
        </is>
      </c>
      <c r="C4915" s="2" t="inlineStr">
        <is>
          <t>C0102</t>
        </is>
      </c>
      <c r="D4915" s="2" t="inlineStr">
        <is>
          <t>P0013</t>
        </is>
      </c>
      <c r="E4915" s="2" t="inlineStr">
        <is>
          <t>Storage Organizer</t>
        </is>
      </c>
      <c r="F4915" s="2" t="inlineStr">
        <is>
          <t>Home &amp; Kitchen</t>
        </is>
      </c>
      <c r="G4915" s="2" t="inlineStr">
        <is>
          <t>West</t>
        </is>
      </c>
      <c r="H4915" s="2" t="inlineStr">
        <is>
          <t>Goa</t>
        </is>
      </c>
      <c r="I4915" s="2" t="inlineStr">
        <is>
          <t>Panaji</t>
        </is>
      </c>
      <c r="J4915" s="2" t="inlineStr">
        <is>
          <t>Online</t>
        </is>
      </c>
      <c r="K4915" s="2" t="n">
        <v>1</v>
      </c>
      <c r="L4915" s="3" t="n">
        <v>550.65</v>
      </c>
      <c r="M4915" s="4" t="n">
        <v>0.05</v>
      </c>
      <c r="N4915" s="3" t="n">
        <v>371.8</v>
      </c>
      <c r="O4915" s="3">
        <f>K4915*L4915*(1-M4915)</f>
        <v/>
      </c>
      <c r="P4915" s="3">
        <f>O4915-N4915</f>
        <v/>
      </c>
      <c r="Q4915" s="5">
        <f>IFERROR(P4915/O4915,0)</f>
        <v/>
      </c>
      <c r="R4915" s="2">
        <f>TEXT(DATEVALUE(B4915),"mmm")</f>
        <v/>
      </c>
      <c r="S4915" s="2">
        <f>TEXT(DATEVALUE(B4915),"yyyy-mm")</f>
        <v/>
      </c>
    </row>
    <row r="4916">
      <c r="A4916" s="2" t="inlineStr">
        <is>
          <t>O000830</t>
        </is>
      </c>
      <c r="B4916" s="2" t="inlineStr">
        <is>
          <t>2025-12-26</t>
        </is>
      </c>
      <c r="C4916" s="2" t="inlineStr">
        <is>
          <t>C0175</t>
        </is>
      </c>
      <c r="D4916" s="2" t="inlineStr">
        <is>
          <t>P0016</t>
        </is>
      </c>
      <c r="E4916" s="2" t="inlineStr">
        <is>
          <t>Casual Shirt</t>
        </is>
      </c>
      <c r="F4916" s="2" t="inlineStr">
        <is>
          <t>Fashion</t>
        </is>
      </c>
      <c r="G4916" s="2" t="inlineStr">
        <is>
          <t>South</t>
        </is>
      </c>
      <c r="H4916" s="2" t="inlineStr">
        <is>
          <t>Kerala</t>
        </is>
      </c>
      <c r="I4916" s="2" t="inlineStr">
        <is>
          <t>Kochi</t>
        </is>
      </c>
      <c r="J4916" s="2" t="inlineStr">
        <is>
          <t>Online</t>
        </is>
      </c>
      <c r="K4916" s="2" t="n">
        <v>1</v>
      </c>
      <c r="L4916" s="3" t="n">
        <v>1239.19</v>
      </c>
      <c r="M4916" s="4" t="n">
        <v>0.15</v>
      </c>
      <c r="N4916" s="3" t="n">
        <v>875.96</v>
      </c>
      <c r="O4916" s="3">
        <f>K4916*L4916*(1-M4916)</f>
        <v/>
      </c>
      <c r="P4916" s="3">
        <f>O4916-N4916</f>
        <v/>
      </c>
      <c r="Q4916" s="5">
        <f>IFERROR(P4916/O4916,0)</f>
        <v/>
      </c>
      <c r="R4916" s="2">
        <f>TEXT(DATEVALUE(B4916),"mmm")</f>
        <v/>
      </c>
      <c r="S4916" s="2">
        <f>TEXT(DATEVALUE(B4916),"yyyy-mm")</f>
        <v/>
      </c>
    </row>
    <row r="4917">
      <c r="A4917" s="2" t="inlineStr">
        <is>
          <t>O000359</t>
        </is>
      </c>
      <c r="B4917" s="2" t="inlineStr">
        <is>
          <t>2025-12-26</t>
        </is>
      </c>
      <c r="C4917" s="2" t="inlineStr">
        <is>
          <t>C0703</t>
        </is>
      </c>
      <c r="D4917" s="2" t="inlineStr">
        <is>
          <t>P0006</t>
        </is>
      </c>
      <c r="E4917" s="2" t="inlineStr">
        <is>
          <t>Mechanical Keyboard</t>
        </is>
      </c>
      <c r="F4917" s="2" t="inlineStr">
        <is>
          <t>Electronics</t>
        </is>
      </c>
      <c r="G4917" s="2" t="inlineStr">
        <is>
          <t>South</t>
        </is>
      </c>
      <c r="H4917" s="2" t="inlineStr">
        <is>
          <t>Karnataka</t>
        </is>
      </c>
      <c r="I4917" s="2" t="inlineStr">
        <is>
          <t>Mangaluru</t>
        </is>
      </c>
      <c r="J4917" s="2" t="inlineStr">
        <is>
          <t>Online</t>
        </is>
      </c>
      <c r="K4917" s="2" t="n">
        <v>4</v>
      </c>
      <c r="L4917" s="3" t="n">
        <v>2630.31</v>
      </c>
      <c r="M4917" s="4" t="n">
        <v>0.1</v>
      </c>
      <c r="N4917" s="3" t="n">
        <v>5895.13</v>
      </c>
      <c r="O4917" s="3">
        <f>K4917*L4917*(1-M4917)</f>
        <v/>
      </c>
      <c r="P4917" s="3">
        <f>O4917-N4917</f>
        <v/>
      </c>
      <c r="Q4917" s="5">
        <f>IFERROR(P4917/O4917,0)</f>
        <v/>
      </c>
      <c r="R4917" s="2">
        <f>TEXT(DATEVALUE(B4917),"mmm")</f>
        <v/>
      </c>
      <c r="S4917" s="2">
        <f>TEXT(DATEVALUE(B4917),"yyyy-mm")</f>
        <v/>
      </c>
    </row>
    <row r="4918">
      <c r="A4918" s="2" t="inlineStr">
        <is>
          <t>O000252</t>
        </is>
      </c>
      <c r="B4918" s="2" t="inlineStr">
        <is>
          <t>2025-12-26</t>
        </is>
      </c>
      <c r="C4918" s="2" t="inlineStr">
        <is>
          <t>C0427</t>
        </is>
      </c>
      <c r="D4918" s="2" t="inlineStr">
        <is>
          <t>P0027</t>
        </is>
      </c>
      <c r="E4918" s="2" t="inlineStr">
        <is>
          <t>Moisturizer</t>
        </is>
      </c>
      <c r="F4918" s="2" t="inlineStr">
        <is>
          <t>Beauty</t>
        </is>
      </c>
      <c r="G4918" s="2" t="inlineStr">
        <is>
          <t>South</t>
        </is>
      </c>
      <c r="H4918" s="2" t="inlineStr">
        <is>
          <t>Kerala</t>
        </is>
      </c>
      <c r="I4918" s="2" t="inlineStr">
        <is>
          <t>Kochi</t>
        </is>
      </c>
      <c r="J4918" s="2" t="inlineStr">
        <is>
          <t>Store</t>
        </is>
      </c>
      <c r="K4918" s="2" t="n">
        <v>3</v>
      </c>
      <c r="L4918" s="3" t="n">
        <v>986.04</v>
      </c>
      <c r="M4918" s="4" t="n">
        <v>0.15</v>
      </c>
      <c r="N4918" s="3" t="n">
        <v>2115.66</v>
      </c>
      <c r="O4918" s="3">
        <f>K4918*L4918*(1-M4918)</f>
        <v/>
      </c>
      <c r="P4918" s="3">
        <f>O4918-N4918</f>
        <v/>
      </c>
      <c r="Q4918" s="5">
        <f>IFERROR(P4918/O4918,0)</f>
        <v/>
      </c>
      <c r="R4918" s="2">
        <f>TEXT(DATEVALUE(B4918),"mmm")</f>
        <v/>
      </c>
      <c r="S4918" s="2">
        <f>TEXT(DATEVALUE(B4918),"yyyy-mm")</f>
        <v/>
      </c>
    </row>
    <row r="4919">
      <c r="A4919" s="2" t="inlineStr">
        <is>
          <t>O000063</t>
        </is>
      </c>
      <c r="B4919" s="2" t="inlineStr">
        <is>
          <t>2025-12-26</t>
        </is>
      </c>
      <c r="C4919" s="2" t="inlineStr">
        <is>
          <t>C0666</t>
        </is>
      </c>
      <c r="D4919" s="2" t="inlineStr">
        <is>
          <t>P0010</t>
        </is>
      </c>
      <c r="E4919" s="2" t="inlineStr">
        <is>
          <t>Mixer Grinder</t>
        </is>
      </c>
      <c r="F4919" s="2" t="inlineStr">
        <is>
          <t>Home &amp; Kitchen</t>
        </is>
      </c>
      <c r="G4919" s="2" t="inlineStr">
        <is>
          <t>West</t>
        </is>
      </c>
      <c r="H4919" s="2" t="inlineStr">
        <is>
          <t>Gujarat</t>
        </is>
      </c>
      <c r="I4919" s="2" t="inlineStr">
        <is>
          <t>Ahmedabad</t>
        </is>
      </c>
      <c r="J4919" s="2" t="inlineStr">
        <is>
          <t>Store</t>
        </is>
      </c>
      <c r="K4919" s="2" t="n">
        <v>2</v>
      </c>
      <c r="L4919" s="3" t="n">
        <v>1603.68</v>
      </c>
      <c r="M4919" s="4" t="n">
        <v>0</v>
      </c>
      <c r="N4919" s="3" t="n">
        <v>2079.29</v>
      </c>
      <c r="O4919" s="3">
        <f>K4919*L4919*(1-M4919)</f>
        <v/>
      </c>
      <c r="P4919" s="3">
        <f>O4919-N4919</f>
        <v/>
      </c>
      <c r="Q4919" s="5">
        <f>IFERROR(P4919/O4919,0)</f>
        <v/>
      </c>
      <c r="R4919" s="2">
        <f>TEXT(DATEVALUE(B4919),"mmm")</f>
        <v/>
      </c>
      <c r="S4919" s="2">
        <f>TEXT(DATEVALUE(B4919),"yyyy-mm")</f>
        <v/>
      </c>
    </row>
    <row r="4920">
      <c r="A4920" s="2" t="inlineStr">
        <is>
          <t>O000014</t>
        </is>
      </c>
      <c r="B4920" s="2" t="inlineStr">
        <is>
          <t>2025-12-26</t>
        </is>
      </c>
      <c r="C4920" s="2" t="inlineStr">
        <is>
          <t>C0546</t>
        </is>
      </c>
      <c r="D4920" s="2" t="inlineStr">
        <is>
          <t>P0031</t>
        </is>
      </c>
      <c r="E4920" s="2" t="inlineStr">
        <is>
          <t>Cricket Bat</t>
        </is>
      </c>
      <c r="F4920" s="2" t="inlineStr">
        <is>
          <t>Sports</t>
        </is>
      </c>
      <c r="G4920" s="2" t="inlineStr">
        <is>
          <t>East</t>
        </is>
      </c>
      <c r="H4920" s="2" t="inlineStr">
        <is>
          <t>West Bengal</t>
        </is>
      </c>
      <c r="I4920" s="2" t="inlineStr">
        <is>
          <t>Durgapur</t>
        </is>
      </c>
      <c r="J4920" s="2" t="inlineStr">
        <is>
          <t>Store</t>
        </is>
      </c>
      <c r="K4920" s="2" t="n">
        <v>2</v>
      </c>
      <c r="L4920" s="3" t="n">
        <v>1424.21</v>
      </c>
      <c r="M4920" s="4" t="n">
        <v>0</v>
      </c>
      <c r="N4920" s="3" t="n">
        <v>1915.84</v>
      </c>
      <c r="O4920" s="3">
        <f>K4920*L4920*(1-M4920)</f>
        <v/>
      </c>
      <c r="P4920" s="3">
        <f>O4920-N4920</f>
        <v/>
      </c>
      <c r="Q4920" s="5">
        <f>IFERROR(P4920/O4920,0)</f>
        <v/>
      </c>
      <c r="R4920" s="2">
        <f>TEXT(DATEVALUE(B4920),"mmm")</f>
        <v/>
      </c>
      <c r="S4920" s="2">
        <f>TEXT(DATEVALUE(B4920),"yyyy-mm")</f>
        <v/>
      </c>
    </row>
    <row r="4921">
      <c r="A4921" s="2" t="inlineStr">
        <is>
          <t>O001677</t>
        </is>
      </c>
      <c r="B4921" s="2" t="inlineStr">
        <is>
          <t>2025-12-26</t>
        </is>
      </c>
      <c r="C4921" s="2" t="inlineStr">
        <is>
          <t>C0049</t>
        </is>
      </c>
      <c r="D4921" s="2" t="inlineStr">
        <is>
          <t>P0013</t>
        </is>
      </c>
      <c r="E4921" s="2" t="inlineStr">
        <is>
          <t>Storage Organizer</t>
        </is>
      </c>
      <c r="F4921" s="2" t="inlineStr">
        <is>
          <t>Home &amp; Kitchen</t>
        </is>
      </c>
      <c r="G4921" s="2" t="inlineStr">
        <is>
          <t>East</t>
        </is>
      </c>
      <c r="H4921" s="2" t="inlineStr">
        <is>
          <t>West Bengal</t>
        </is>
      </c>
      <c r="I4921" s="2" t="inlineStr">
        <is>
          <t>Kolkata</t>
        </is>
      </c>
      <c r="J4921" s="2" t="inlineStr">
        <is>
          <t>Online</t>
        </is>
      </c>
      <c r="K4921" s="2" t="n">
        <v>3</v>
      </c>
      <c r="L4921" s="3" t="n">
        <v>570.51</v>
      </c>
      <c r="M4921" s="4" t="n">
        <v>0</v>
      </c>
      <c r="N4921" s="3" t="n">
        <v>1076.08</v>
      </c>
      <c r="O4921" s="3">
        <f>K4921*L4921*(1-M4921)</f>
        <v/>
      </c>
      <c r="P4921" s="3">
        <f>O4921-N4921</f>
        <v/>
      </c>
      <c r="Q4921" s="5">
        <f>IFERROR(P4921/O4921,0)</f>
        <v/>
      </c>
      <c r="R4921" s="2">
        <f>TEXT(DATEVALUE(B4921),"mmm")</f>
        <v/>
      </c>
      <c r="S4921" s="2">
        <f>TEXT(DATEVALUE(B4921),"yyyy-mm")</f>
        <v/>
      </c>
    </row>
    <row r="4922">
      <c r="A4922" s="2" t="inlineStr">
        <is>
          <t>O004301</t>
        </is>
      </c>
      <c r="B4922" s="2" t="inlineStr">
        <is>
          <t>2025-12-27</t>
        </is>
      </c>
      <c r="C4922" s="2" t="inlineStr">
        <is>
          <t>C0700</t>
        </is>
      </c>
      <c r="D4922" s="2" t="inlineStr">
        <is>
          <t>P0021</t>
        </is>
      </c>
      <c r="E4922" s="2" t="inlineStr">
        <is>
          <t>Wallet</t>
        </is>
      </c>
      <c r="F4922" s="2" t="inlineStr">
        <is>
          <t>Fashion</t>
        </is>
      </c>
      <c r="G4922" s="2" t="inlineStr">
        <is>
          <t>North</t>
        </is>
      </c>
      <c r="H4922" s="2" t="inlineStr">
        <is>
          <t>Delhi</t>
        </is>
      </c>
      <c r="I4922" s="2" t="inlineStr">
        <is>
          <t>New Delhi</t>
        </is>
      </c>
      <c r="J4922" s="2" t="inlineStr">
        <is>
          <t>Store</t>
        </is>
      </c>
      <c r="K4922" s="2" t="n">
        <v>1</v>
      </c>
      <c r="L4922" s="3" t="n">
        <v>2022.14</v>
      </c>
      <c r="M4922" s="4" t="n">
        <v>0.05</v>
      </c>
      <c r="N4922" s="3" t="n">
        <v>1238.18</v>
      </c>
      <c r="O4922" s="3">
        <f>K4922*L4922*(1-M4922)</f>
        <v/>
      </c>
      <c r="P4922" s="3">
        <f>O4922-N4922</f>
        <v/>
      </c>
      <c r="Q4922" s="5">
        <f>IFERROR(P4922/O4922,0)</f>
        <v/>
      </c>
      <c r="R4922" s="2">
        <f>TEXT(DATEVALUE(B4922),"mmm")</f>
        <v/>
      </c>
      <c r="S4922" s="2">
        <f>TEXT(DATEVALUE(B4922),"yyyy-mm")</f>
        <v/>
      </c>
    </row>
    <row r="4923">
      <c r="A4923" s="2" t="inlineStr">
        <is>
          <t>O003911</t>
        </is>
      </c>
      <c r="B4923" s="2" t="inlineStr">
        <is>
          <t>2025-12-27</t>
        </is>
      </c>
      <c r="C4923" s="2" t="inlineStr">
        <is>
          <t>C0150</t>
        </is>
      </c>
      <c r="D4923" s="2" t="inlineStr">
        <is>
          <t>P0007</t>
        </is>
      </c>
      <c r="E4923" s="2" t="inlineStr">
        <is>
          <t>Wireless Mouse</t>
        </is>
      </c>
      <c r="F4923" s="2" t="inlineStr">
        <is>
          <t>Electronics</t>
        </is>
      </c>
      <c r="G4923" s="2" t="inlineStr">
        <is>
          <t>South</t>
        </is>
      </c>
      <c r="H4923" s="2" t="inlineStr">
        <is>
          <t>Telangana</t>
        </is>
      </c>
      <c r="I4923" s="2" t="inlineStr">
        <is>
          <t>Hyderabad</t>
        </is>
      </c>
      <c r="J4923" s="2" t="inlineStr">
        <is>
          <t>Online</t>
        </is>
      </c>
      <c r="K4923" s="2" t="n">
        <v>2</v>
      </c>
      <c r="L4923" s="3" t="n">
        <v>964.6</v>
      </c>
      <c r="M4923" s="4" t="n">
        <v>0.15</v>
      </c>
      <c r="N4923" s="3" t="n">
        <v>1204.35</v>
      </c>
      <c r="O4923" s="3">
        <f>K4923*L4923*(1-M4923)</f>
        <v/>
      </c>
      <c r="P4923" s="3">
        <f>O4923-N4923</f>
        <v/>
      </c>
      <c r="Q4923" s="5">
        <f>IFERROR(P4923/O4923,0)</f>
        <v/>
      </c>
      <c r="R4923" s="2">
        <f>TEXT(DATEVALUE(B4923),"mmm")</f>
        <v/>
      </c>
      <c r="S4923" s="2">
        <f>TEXT(DATEVALUE(B4923),"yyyy-mm")</f>
        <v/>
      </c>
    </row>
    <row r="4924">
      <c r="A4924" s="2" t="inlineStr">
        <is>
          <t>O003748</t>
        </is>
      </c>
      <c r="B4924" s="2" t="inlineStr">
        <is>
          <t>2025-12-27</t>
        </is>
      </c>
      <c r="C4924" s="2" t="inlineStr">
        <is>
          <t>C0323</t>
        </is>
      </c>
      <c r="D4924" s="2" t="inlineStr">
        <is>
          <t>P0017</t>
        </is>
      </c>
      <c r="E4924" s="2" t="inlineStr">
        <is>
          <t>Jeans</t>
        </is>
      </c>
      <c r="F4924" s="2" t="inlineStr">
        <is>
          <t>Fashion</t>
        </is>
      </c>
      <c r="G4924" s="2" t="inlineStr">
        <is>
          <t>East</t>
        </is>
      </c>
      <c r="H4924" s="2" t="inlineStr">
        <is>
          <t>Odisha</t>
        </is>
      </c>
      <c r="I4924" s="2" t="inlineStr">
        <is>
          <t>Bhubaneswar</t>
        </is>
      </c>
      <c r="J4924" s="2" t="inlineStr">
        <is>
          <t>Online</t>
        </is>
      </c>
      <c r="K4924" s="2" t="n">
        <v>2</v>
      </c>
      <c r="L4924" s="3" t="n">
        <v>1548.49</v>
      </c>
      <c r="M4924" s="4" t="n">
        <v>0.1</v>
      </c>
      <c r="N4924" s="3" t="n">
        <v>2104.11</v>
      </c>
      <c r="O4924" s="3">
        <f>K4924*L4924*(1-M4924)</f>
        <v/>
      </c>
      <c r="P4924" s="3">
        <f>O4924-N4924</f>
        <v/>
      </c>
      <c r="Q4924" s="5">
        <f>IFERROR(P4924/O4924,0)</f>
        <v/>
      </c>
      <c r="R4924" s="2">
        <f>TEXT(DATEVALUE(B4924),"mmm")</f>
        <v/>
      </c>
      <c r="S4924" s="2">
        <f>TEXT(DATEVALUE(B4924),"yyyy-mm")</f>
        <v/>
      </c>
    </row>
    <row r="4925">
      <c r="A4925" s="2" t="inlineStr">
        <is>
          <t>O003213</t>
        </is>
      </c>
      <c r="B4925" s="2" t="inlineStr">
        <is>
          <t>2025-12-27</t>
        </is>
      </c>
      <c r="C4925" s="2" t="inlineStr">
        <is>
          <t>C0761</t>
        </is>
      </c>
      <c r="D4925" s="2" t="inlineStr">
        <is>
          <t>P0031</t>
        </is>
      </c>
      <c r="E4925" s="2" t="inlineStr">
        <is>
          <t>Cricket Bat</t>
        </is>
      </c>
      <c r="F4925" s="2" t="inlineStr">
        <is>
          <t>Sports</t>
        </is>
      </c>
      <c r="G4925" s="2" t="inlineStr">
        <is>
          <t>South</t>
        </is>
      </c>
      <c r="H4925" s="2" t="inlineStr">
        <is>
          <t>Karnataka</t>
        </is>
      </c>
      <c r="I4925" s="2" t="inlineStr">
        <is>
          <t>Bengaluru</t>
        </is>
      </c>
      <c r="J4925" s="2" t="inlineStr">
        <is>
          <t>Store</t>
        </is>
      </c>
      <c r="K4925" s="2" t="n">
        <v>2</v>
      </c>
      <c r="L4925" s="3" t="n">
        <v>1442.68</v>
      </c>
      <c r="M4925" s="4" t="n">
        <v>0</v>
      </c>
      <c r="N4925" s="3" t="n">
        <v>1918.3</v>
      </c>
      <c r="O4925" s="3">
        <f>K4925*L4925*(1-M4925)</f>
        <v/>
      </c>
      <c r="P4925" s="3">
        <f>O4925-N4925</f>
        <v/>
      </c>
      <c r="Q4925" s="5">
        <f>IFERROR(P4925/O4925,0)</f>
        <v/>
      </c>
      <c r="R4925" s="2">
        <f>TEXT(DATEVALUE(B4925),"mmm")</f>
        <v/>
      </c>
      <c r="S4925" s="2">
        <f>TEXT(DATEVALUE(B4925),"yyyy-mm")</f>
        <v/>
      </c>
    </row>
    <row r="4926">
      <c r="A4926" s="2" t="inlineStr">
        <is>
          <t>O003190</t>
        </is>
      </c>
      <c r="B4926" s="2" t="inlineStr">
        <is>
          <t>2025-12-27</t>
        </is>
      </c>
      <c r="C4926" s="2" t="inlineStr">
        <is>
          <t>C0354</t>
        </is>
      </c>
      <c r="D4926" s="2" t="inlineStr">
        <is>
          <t>P0006</t>
        </is>
      </c>
      <c r="E4926" s="2" t="inlineStr">
        <is>
          <t>Mechanical Keyboard</t>
        </is>
      </c>
      <c r="F4926" s="2" t="inlineStr">
        <is>
          <t>Electronics</t>
        </is>
      </c>
      <c r="G4926" s="2" t="inlineStr">
        <is>
          <t>West</t>
        </is>
      </c>
      <c r="H4926" s="2" t="inlineStr">
        <is>
          <t>Goa</t>
        </is>
      </c>
      <c r="I4926" s="2" t="inlineStr">
        <is>
          <t>Margao</t>
        </is>
      </c>
      <c r="J4926" s="2" t="inlineStr">
        <is>
          <t>Store</t>
        </is>
      </c>
      <c r="K4926" s="2" t="n">
        <v>1</v>
      </c>
      <c r="L4926" s="3" t="n">
        <v>2701.98</v>
      </c>
      <c r="M4926" s="4" t="n">
        <v>0.2</v>
      </c>
      <c r="N4926" s="3" t="n">
        <v>1474.86</v>
      </c>
      <c r="O4926" s="3">
        <f>K4926*L4926*(1-M4926)</f>
        <v/>
      </c>
      <c r="P4926" s="3">
        <f>O4926-N4926</f>
        <v/>
      </c>
      <c r="Q4926" s="5">
        <f>IFERROR(P4926/O4926,0)</f>
        <v/>
      </c>
      <c r="R4926" s="2">
        <f>TEXT(DATEVALUE(B4926),"mmm")</f>
        <v/>
      </c>
      <c r="S4926" s="2">
        <f>TEXT(DATEVALUE(B4926),"yyyy-mm")</f>
        <v/>
      </c>
    </row>
    <row r="4927">
      <c r="A4927" s="2" t="inlineStr">
        <is>
          <t>O003154</t>
        </is>
      </c>
      <c r="B4927" s="2" t="inlineStr">
        <is>
          <t>2025-12-27</t>
        </is>
      </c>
      <c r="C4927" s="2" t="inlineStr">
        <is>
          <t>C0400</t>
        </is>
      </c>
      <c r="D4927" s="2" t="inlineStr">
        <is>
          <t>P0017</t>
        </is>
      </c>
      <c r="E4927" s="2" t="inlineStr">
        <is>
          <t>Jeans</t>
        </is>
      </c>
      <c r="F4927" s="2" t="inlineStr">
        <is>
          <t>Fashion</t>
        </is>
      </c>
      <c r="G4927" s="2" t="inlineStr">
        <is>
          <t>North</t>
        </is>
      </c>
      <c r="H4927" s="2" t="inlineStr">
        <is>
          <t>Delhi</t>
        </is>
      </c>
      <c r="I4927" s="2" t="inlineStr">
        <is>
          <t>New Delhi</t>
        </is>
      </c>
      <c r="J4927" s="2" t="inlineStr">
        <is>
          <t>Store</t>
        </is>
      </c>
      <c r="K4927" s="2" t="n">
        <v>2</v>
      </c>
      <c r="L4927" s="3" t="n">
        <v>1464.29</v>
      </c>
      <c r="M4927" s="4" t="n">
        <v>0.2</v>
      </c>
      <c r="N4927" s="3" t="n">
        <v>1999.31</v>
      </c>
      <c r="O4927" s="3">
        <f>K4927*L4927*(1-M4927)</f>
        <v/>
      </c>
      <c r="P4927" s="3">
        <f>O4927-N4927</f>
        <v/>
      </c>
      <c r="Q4927" s="5">
        <f>IFERROR(P4927/O4927,0)</f>
        <v/>
      </c>
      <c r="R4927" s="2">
        <f>TEXT(DATEVALUE(B4927),"mmm")</f>
        <v/>
      </c>
      <c r="S4927" s="2">
        <f>TEXT(DATEVALUE(B4927),"yyyy-mm")</f>
        <v/>
      </c>
    </row>
    <row r="4928">
      <c r="A4928" s="2" t="inlineStr">
        <is>
          <t>O002352</t>
        </is>
      </c>
      <c r="B4928" s="2" t="inlineStr">
        <is>
          <t>2025-12-27</t>
        </is>
      </c>
      <c r="C4928" s="2" t="inlineStr">
        <is>
          <t>C0389</t>
        </is>
      </c>
      <c r="D4928" s="2" t="inlineStr">
        <is>
          <t>P0024</t>
        </is>
      </c>
      <c r="E4928" s="2" t="inlineStr">
        <is>
          <t>Hair Dryer</t>
        </is>
      </c>
      <c r="F4928" s="2" t="inlineStr">
        <is>
          <t>Beauty</t>
        </is>
      </c>
      <c r="G4928" s="2" t="inlineStr">
        <is>
          <t>South</t>
        </is>
      </c>
      <c r="H4928" s="2" t="inlineStr">
        <is>
          <t>Karnataka</t>
        </is>
      </c>
      <c r="I4928" s="2" t="inlineStr">
        <is>
          <t>Mysuru</t>
        </is>
      </c>
      <c r="J4928" s="2" t="inlineStr">
        <is>
          <t>Store</t>
        </is>
      </c>
      <c r="K4928" s="2" t="n">
        <v>2</v>
      </c>
      <c r="L4928" s="3" t="n">
        <v>1003.18</v>
      </c>
      <c r="M4928" s="4" t="n">
        <v>0</v>
      </c>
      <c r="N4928" s="3" t="n">
        <v>1436.91</v>
      </c>
      <c r="O4928" s="3">
        <f>K4928*L4928*(1-M4928)</f>
        <v/>
      </c>
      <c r="P4928" s="3">
        <f>O4928-N4928</f>
        <v/>
      </c>
      <c r="Q4928" s="5">
        <f>IFERROR(P4928/O4928,0)</f>
        <v/>
      </c>
      <c r="R4928" s="2">
        <f>TEXT(DATEVALUE(B4928),"mmm")</f>
        <v/>
      </c>
      <c r="S4928" s="2">
        <f>TEXT(DATEVALUE(B4928),"yyyy-mm")</f>
        <v/>
      </c>
    </row>
    <row r="4929">
      <c r="A4929" s="2" t="inlineStr">
        <is>
          <t>O003676</t>
        </is>
      </c>
      <c r="B4929" s="2" t="inlineStr">
        <is>
          <t>2025-12-27</t>
        </is>
      </c>
      <c r="C4929" s="2" t="inlineStr">
        <is>
          <t>C0515</t>
        </is>
      </c>
      <c r="D4929" s="2" t="inlineStr">
        <is>
          <t>P0017</t>
        </is>
      </c>
      <c r="E4929" s="2" t="inlineStr">
        <is>
          <t>Jeans</t>
        </is>
      </c>
      <c r="F4929" s="2" t="inlineStr">
        <is>
          <t>Fashion</t>
        </is>
      </c>
      <c r="G4929" s="2" t="inlineStr">
        <is>
          <t>East</t>
        </is>
      </c>
      <c r="H4929" s="2" t="inlineStr">
        <is>
          <t>West Bengal</t>
        </is>
      </c>
      <c r="I4929" s="2" t="inlineStr">
        <is>
          <t>Durgapur</t>
        </is>
      </c>
      <c r="J4929" s="2" t="inlineStr">
        <is>
          <t>Store</t>
        </is>
      </c>
      <c r="K4929" s="2" t="n">
        <v>4</v>
      </c>
      <c r="L4929" s="3" t="n">
        <v>1430.48</v>
      </c>
      <c r="M4929" s="4" t="n">
        <v>0.05</v>
      </c>
      <c r="N4929" s="3" t="n">
        <v>4180.9</v>
      </c>
      <c r="O4929" s="3">
        <f>K4929*L4929*(1-M4929)</f>
        <v/>
      </c>
      <c r="P4929" s="3">
        <f>O4929-N4929</f>
        <v/>
      </c>
      <c r="Q4929" s="5">
        <f>IFERROR(P4929/O4929,0)</f>
        <v/>
      </c>
      <c r="R4929" s="2">
        <f>TEXT(DATEVALUE(B4929),"mmm")</f>
        <v/>
      </c>
      <c r="S4929" s="2">
        <f>TEXT(DATEVALUE(B4929),"yyyy-mm")</f>
        <v/>
      </c>
    </row>
    <row r="4930">
      <c r="A4930" s="2" t="inlineStr">
        <is>
          <t>O001982</t>
        </is>
      </c>
      <c r="B4930" s="2" t="inlineStr">
        <is>
          <t>2025-12-27</t>
        </is>
      </c>
      <c r="C4930" s="2" t="inlineStr">
        <is>
          <t>C0134</t>
        </is>
      </c>
      <c r="D4930" s="2" t="inlineStr">
        <is>
          <t>P0011</t>
        </is>
      </c>
      <c r="E4930" s="2" t="inlineStr">
        <is>
          <t>Cookware Set</t>
        </is>
      </c>
      <c r="F4930" s="2" t="inlineStr">
        <is>
          <t>Home &amp; Kitchen</t>
        </is>
      </c>
      <c r="G4930" s="2" t="inlineStr">
        <is>
          <t>North</t>
        </is>
      </c>
      <c r="H4930" s="2" t="inlineStr">
        <is>
          <t>Punjab</t>
        </is>
      </c>
      <c r="I4930" s="2" t="inlineStr">
        <is>
          <t>Amritsar</t>
        </is>
      </c>
      <c r="J4930" s="2" t="inlineStr">
        <is>
          <t>Online</t>
        </is>
      </c>
      <c r="K4930" s="2" t="n">
        <v>1</v>
      </c>
      <c r="L4930" s="3" t="n">
        <v>716.4</v>
      </c>
      <c r="M4930" s="4" t="n">
        <v>0</v>
      </c>
      <c r="N4930" s="3" t="n">
        <v>481.95</v>
      </c>
      <c r="O4930" s="3">
        <f>K4930*L4930*(1-M4930)</f>
        <v/>
      </c>
      <c r="P4930" s="3">
        <f>O4930-N4930</f>
        <v/>
      </c>
      <c r="Q4930" s="5">
        <f>IFERROR(P4930/O4930,0)</f>
        <v/>
      </c>
      <c r="R4930" s="2">
        <f>TEXT(DATEVALUE(B4930),"mmm")</f>
        <v/>
      </c>
      <c r="S4930" s="2">
        <f>TEXT(DATEVALUE(B4930),"yyyy-mm")</f>
        <v/>
      </c>
    </row>
    <row r="4931">
      <c r="A4931" s="2" t="inlineStr">
        <is>
          <t>O001896</t>
        </is>
      </c>
      <c r="B4931" s="2" t="inlineStr">
        <is>
          <t>2025-12-27</t>
        </is>
      </c>
      <c r="C4931" s="2" t="inlineStr">
        <is>
          <t>C0785</t>
        </is>
      </c>
      <c r="D4931" s="2" t="inlineStr">
        <is>
          <t>P0021</t>
        </is>
      </c>
      <c r="E4931" s="2" t="inlineStr">
        <is>
          <t>Wallet</t>
        </is>
      </c>
      <c r="F4931" s="2" t="inlineStr">
        <is>
          <t>Fashion</t>
        </is>
      </c>
      <c r="G4931" s="2" t="inlineStr">
        <is>
          <t>South</t>
        </is>
      </c>
      <c r="H4931" s="2" t="inlineStr">
        <is>
          <t>Telangana</t>
        </is>
      </c>
      <c r="I4931" s="2" t="inlineStr">
        <is>
          <t>Hyderabad</t>
        </is>
      </c>
      <c r="J4931" s="2" t="inlineStr">
        <is>
          <t>Online</t>
        </is>
      </c>
      <c r="K4931" s="2" t="n">
        <v>2</v>
      </c>
      <c r="L4931" s="3" t="n">
        <v>2013.87</v>
      </c>
      <c r="M4931" s="4" t="n">
        <v>0</v>
      </c>
      <c r="N4931" s="3" t="n">
        <v>2420.58</v>
      </c>
      <c r="O4931" s="3">
        <f>K4931*L4931*(1-M4931)</f>
        <v/>
      </c>
      <c r="P4931" s="3">
        <f>O4931-N4931</f>
        <v/>
      </c>
      <c r="Q4931" s="5">
        <f>IFERROR(P4931/O4931,0)</f>
        <v/>
      </c>
      <c r="R4931" s="2">
        <f>TEXT(DATEVALUE(B4931),"mmm")</f>
        <v/>
      </c>
      <c r="S4931" s="2">
        <f>TEXT(DATEVALUE(B4931),"yyyy-mm")</f>
        <v/>
      </c>
    </row>
    <row r="4932">
      <c r="A4932" s="2" t="inlineStr">
        <is>
          <t>O001205</t>
        </is>
      </c>
      <c r="B4932" s="2" t="inlineStr">
        <is>
          <t>2025-12-27</t>
        </is>
      </c>
      <c r="C4932" s="2" t="inlineStr">
        <is>
          <t>C0603</t>
        </is>
      </c>
      <c r="D4932" s="2" t="inlineStr">
        <is>
          <t>P0035</t>
        </is>
      </c>
      <c r="E4932" s="2" t="inlineStr">
        <is>
          <t>Skipping Rope</t>
        </is>
      </c>
      <c r="F4932" s="2" t="inlineStr">
        <is>
          <t>Sports</t>
        </is>
      </c>
      <c r="G4932" s="2" t="inlineStr">
        <is>
          <t>South</t>
        </is>
      </c>
      <c r="H4932" s="2" t="inlineStr">
        <is>
          <t>Tamil Nadu</t>
        </is>
      </c>
      <c r="I4932" s="2" t="inlineStr">
        <is>
          <t>Madurai</t>
        </is>
      </c>
      <c r="J4932" s="2" t="inlineStr">
        <is>
          <t>Online</t>
        </is>
      </c>
      <c r="K4932" s="2" t="n">
        <v>4</v>
      </c>
      <c r="L4932" s="3" t="n">
        <v>744.02</v>
      </c>
      <c r="M4932" s="4" t="n">
        <v>0.05</v>
      </c>
      <c r="N4932" s="3" t="n">
        <v>1635.86</v>
      </c>
      <c r="O4932" s="3">
        <f>K4932*L4932*(1-M4932)</f>
        <v/>
      </c>
      <c r="P4932" s="3">
        <f>O4932-N4932</f>
        <v/>
      </c>
      <c r="Q4932" s="5">
        <f>IFERROR(P4932/O4932,0)</f>
        <v/>
      </c>
      <c r="R4932" s="2">
        <f>TEXT(DATEVALUE(B4932),"mmm")</f>
        <v/>
      </c>
      <c r="S4932" s="2">
        <f>TEXT(DATEVALUE(B4932),"yyyy-mm")</f>
        <v/>
      </c>
    </row>
    <row r="4933">
      <c r="A4933" s="2" t="inlineStr">
        <is>
          <t>O001037</t>
        </is>
      </c>
      <c r="B4933" s="2" t="inlineStr">
        <is>
          <t>2025-12-27</t>
        </is>
      </c>
      <c r="C4933" s="2" t="inlineStr">
        <is>
          <t>C0014</t>
        </is>
      </c>
      <c r="D4933" s="2" t="inlineStr">
        <is>
          <t>P0032</t>
        </is>
      </c>
      <c r="E4933" s="2" t="inlineStr">
        <is>
          <t>Football</t>
        </is>
      </c>
      <c r="F4933" s="2" t="inlineStr">
        <is>
          <t>Sports</t>
        </is>
      </c>
      <c r="G4933" s="2" t="inlineStr">
        <is>
          <t>West</t>
        </is>
      </c>
      <c r="H4933" s="2" t="inlineStr">
        <is>
          <t>Maharashtra</t>
        </is>
      </c>
      <c r="I4933" s="2" t="inlineStr">
        <is>
          <t>Mumbai</t>
        </is>
      </c>
      <c r="J4933" s="2" t="inlineStr">
        <is>
          <t>Online</t>
        </is>
      </c>
      <c r="K4933" s="2" t="n">
        <v>1</v>
      </c>
      <c r="L4933" s="3" t="n">
        <v>832.08</v>
      </c>
      <c r="M4933" s="4" t="n">
        <v>0.05</v>
      </c>
      <c r="N4933" s="3" t="n">
        <v>522.51</v>
      </c>
      <c r="O4933" s="3">
        <f>K4933*L4933*(1-M4933)</f>
        <v/>
      </c>
      <c r="P4933" s="3">
        <f>O4933-N4933</f>
        <v/>
      </c>
      <c r="Q4933" s="5">
        <f>IFERROR(P4933/O4933,0)</f>
        <v/>
      </c>
      <c r="R4933" s="2">
        <f>TEXT(DATEVALUE(B4933),"mmm")</f>
        <v/>
      </c>
      <c r="S4933" s="2">
        <f>TEXT(DATEVALUE(B4933),"yyyy-mm")</f>
        <v/>
      </c>
    </row>
    <row r="4934">
      <c r="A4934" s="2" t="inlineStr">
        <is>
          <t>O000648</t>
        </is>
      </c>
      <c r="B4934" s="2" t="inlineStr">
        <is>
          <t>2025-12-27</t>
        </is>
      </c>
      <c r="C4934" s="2" t="inlineStr">
        <is>
          <t>C0159</t>
        </is>
      </c>
      <c r="D4934" s="2" t="inlineStr">
        <is>
          <t>P0031</t>
        </is>
      </c>
      <c r="E4934" s="2" t="inlineStr">
        <is>
          <t>Cricket Bat</t>
        </is>
      </c>
      <c r="F4934" s="2" t="inlineStr">
        <is>
          <t>Sports</t>
        </is>
      </c>
      <c r="G4934" s="2" t="inlineStr">
        <is>
          <t>North</t>
        </is>
      </c>
      <c r="H4934" s="2" t="inlineStr">
        <is>
          <t>Delhi</t>
        </is>
      </c>
      <c r="I4934" s="2" t="inlineStr">
        <is>
          <t>New Delhi</t>
        </is>
      </c>
      <c r="J4934" s="2" t="inlineStr">
        <is>
          <t>Store</t>
        </is>
      </c>
      <c r="K4934" s="2" t="n">
        <v>3</v>
      </c>
      <c r="L4934" s="3" t="n">
        <v>1436.31</v>
      </c>
      <c r="M4934" s="4" t="n">
        <v>0</v>
      </c>
      <c r="N4934" s="3" t="n">
        <v>2919.35</v>
      </c>
      <c r="O4934" s="3">
        <f>K4934*L4934*(1-M4934)</f>
        <v/>
      </c>
      <c r="P4934" s="3">
        <f>O4934-N4934</f>
        <v/>
      </c>
      <c r="Q4934" s="5">
        <f>IFERROR(P4934/O4934,0)</f>
        <v/>
      </c>
      <c r="R4934" s="2">
        <f>TEXT(DATEVALUE(B4934),"mmm")</f>
        <v/>
      </c>
      <c r="S4934" s="2">
        <f>TEXT(DATEVALUE(B4934),"yyyy-mm")</f>
        <v/>
      </c>
    </row>
    <row r="4935">
      <c r="A4935" s="2" t="inlineStr">
        <is>
          <t>O000559</t>
        </is>
      </c>
      <c r="B4935" s="2" t="inlineStr">
        <is>
          <t>2025-12-27</t>
        </is>
      </c>
      <c r="C4935" s="2" t="inlineStr">
        <is>
          <t>C0382</t>
        </is>
      </c>
      <c r="D4935" s="2" t="inlineStr">
        <is>
          <t>P0004</t>
        </is>
      </c>
      <c r="E4935" s="2" t="inlineStr">
        <is>
          <t>USB-C Hub</t>
        </is>
      </c>
      <c r="F4935" s="2" t="inlineStr">
        <is>
          <t>Electronics</t>
        </is>
      </c>
      <c r="G4935" s="2" t="inlineStr">
        <is>
          <t>East</t>
        </is>
      </c>
      <c r="H4935" s="2" t="inlineStr">
        <is>
          <t>West Bengal</t>
        </is>
      </c>
      <c r="I4935" s="2" t="inlineStr">
        <is>
          <t>Kolkata</t>
        </is>
      </c>
      <c r="J4935" s="2" t="inlineStr">
        <is>
          <t>Online</t>
        </is>
      </c>
      <c r="K4935" s="2" t="n">
        <v>3</v>
      </c>
      <c r="L4935" s="3" t="n">
        <v>1216.92</v>
      </c>
      <c r="M4935" s="4" t="n">
        <v>0</v>
      </c>
      <c r="N4935" s="3" t="n">
        <v>2855.53</v>
      </c>
      <c r="O4935" s="3">
        <f>K4935*L4935*(1-M4935)</f>
        <v/>
      </c>
      <c r="P4935" s="3">
        <f>O4935-N4935</f>
        <v/>
      </c>
      <c r="Q4935" s="5">
        <f>IFERROR(P4935/O4935,0)</f>
        <v/>
      </c>
      <c r="R4935" s="2">
        <f>TEXT(DATEVALUE(B4935),"mmm")</f>
        <v/>
      </c>
      <c r="S4935" s="2">
        <f>TEXT(DATEVALUE(B4935),"yyyy-mm")</f>
        <v/>
      </c>
    </row>
    <row r="4936">
      <c r="A4936" s="2" t="inlineStr">
        <is>
          <t>O002078</t>
        </is>
      </c>
      <c r="B4936" s="2" t="inlineStr">
        <is>
          <t>2025-12-27</t>
        </is>
      </c>
      <c r="C4936" s="2" t="inlineStr">
        <is>
          <t>C0731</t>
        </is>
      </c>
      <c r="D4936" s="2" t="inlineStr">
        <is>
          <t>P0006</t>
        </is>
      </c>
      <c r="E4936" s="2" t="inlineStr">
        <is>
          <t>Mechanical Keyboard</t>
        </is>
      </c>
      <c r="F4936" s="2" t="inlineStr">
        <is>
          <t>Electronics</t>
        </is>
      </c>
      <c r="G4936" s="2" t="inlineStr">
        <is>
          <t>East</t>
        </is>
      </c>
      <c r="H4936" s="2" t="inlineStr">
        <is>
          <t>West Bengal</t>
        </is>
      </c>
      <c r="I4936" s="2" t="inlineStr">
        <is>
          <t>Durgapur</t>
        </is>
      </c>
      <c r="J4936" s="2" t="inlineStr">
        <is>
          <t>Online</t>
        </is>
      </c>
      <c r="K4936" s="2" t="n">
        <v>3</v>
      </c>
      <c r="L4936" s="3" t="n">
        <v>2780.42</v>
      </c>
      <c r="M4936" s="4" t="n">
        <v>0.15</v>
      </c>
      <c r="N4936" s="3" t="n">
        <v>4492.43</v>
      </c>
      <c r="O4936" s="3">
        <f>K4936*L4936*(1-M4936)</f>
        <v/>
      </c>
      <c r="P4936" s="3">
        <f>O4936-N4936</f>
        <v/>
      </c>
      <c r="Q4936" s="5">
        <f>IFERROR(P4936/O4936,0)</f>
        <v/>
      </c>
      <c r="R4936" s="2">
        <f>TEXT(DATEVALUE(B4936),"mmm")</f>
        <v/>
      </c>
      <c r="S4936" s="2">
        <f>TEXT(DATEVALUE(B4936),"yyyy-mm")</f>
        <v/>
      </c>
    </row>
    <row r="4937">
      <c r="A4937" s="2" t="inlineStr">
        <is>
          <t>O004530</t>
        </is>
      </c>
      <c r="B4937" s="2" t="inlineStr">
        <is>
          <t>2025-12-28</t>
        </is>
      </c>
      <c r="C4937" s="2" t="inlineStr">
        <is>
          <t>C0766</t>
        </is>
      </c>
      <c r="D4937" s="2" t="inlineStr">
        <is>
          <t>P0010</t>
        </is>
      </c>
      <c r="E4937" s="2" t="inlineStr">
        <is>
          <t>Mixer Grinder</t>
        </is>
      </c>
      <c r="F4937" s="2" t="inlineStr">
        <is>
          <t>Home &amp; Kitchen</t>
        </is>
      </c>
      <c r="G4937" s="2" t="inlineStr">
        <is>
          <t>South</t>
        </is>
      </c>
      <c r="H4937" s="2" t="inlineStr">
        <is>
          <t>Kerala</t>
        </is>
      </c>
      <c r="I4937" s="2" t="inlineStr">
        <is>
          <t>Kochi</t>
        </is>
      </c>
      <c r="J4937" s="2" t="inlineStr">
        <is>
          <t>Online</t>
        </is>
      </c>
      <c r="K4937" s="2" t="n">
        <v>2</v>
      </c>
      <c r="L4937" s="3" t="n">
        <v>1672.12</v>
      </c>
      <c r="M4937" s="4" t="n">
        <v>0</v>
      </c>
      <c r="N4937" s="3" t="n">
        <v>2160.28</v>
      </c>
      <c r="O4937" s="3">
        <f>K4937*L4937*(1-M4937)</f>
        <v/>
      </c>
      <c r="P4937" s="3">
        <f>O4937-N4937</f>
        <v/>
      </c>
      <c r="Q4937" s="5">
        <f>IFERROR(P4937/O4937,0)</f>
        <v/>
      </c>
      <c r="R4937" s="2">
        <f>TEXT(DATEVALUE(B4937),"mmm")</f>
        <v/>
      </c>
      <c r="S4937" s="2">
        <f>TEXT(DATEVALUE(B4937),"yyyy-mm")</f>
        <v/>
      </c>
    </row>
    <row r="4938">
      <c r="A4938" s="2" t="inlineStr">
        <is>
          <t>O004084</t>
        </is>
      </c>
      <c r="B4938" s="2" t="inlineStr">
        <is>
          <t>2025-12-28</t>
        </is>
      </c>
      <c r="C4938" s="2" t="inlineStr">
        <is>
          <t>C0293</t>
        </is>
      </c>
      <c r="D4938" s="2" t="inlineStr">
        <is>
          <t>P0017</t>
        </is>
      </c>
      <c r="E4938" s="2" t="inlineStr">
        <is>
          <t>Jeans</t>
        </is>
      </c>
      <c r="F4938" s="2" t="inlineStr">
        <is>
          <t>Fashion</t>
        </is>
      </c>
      <c r="G4938" s="2" t="inlineStr">
        <is>
          <t>West</t>
        </is>
      </c>
      <c r="H4938" s="2" t="inlineStr">
        <is>
          <t>Gujarat</t>
        </is>
      </c>
      <c r="I4938" s="2" t="inlineStr">
        <is>
          <t>Vadodara</t>
        </is>
      </c>
      <c r="J4938" s="2" t="inlineStr">
        <is>
          <t>Store</t>
        </is>
      </c>
      <c r="K4938" s="2" t="n">
        <v>1</v>
      </c>
      <c r="L4938" s="3" t="n">
        <v>1446.65</v>
      </c>
      <c r="M4938" s="4" t="n">
        <v>0.15</v>
      </c>
      <c r="N4938" s="3" t="n">
        <v>1037.46</v>
      </c>
      <c r="O4938" s="3">
        <f>K4938*L4938*(1-M4938)</f>
        <v/>
      </c>
      <c r="P4938" s="3">
        <f>O4938-N4938</f>
        <v/>
      </c>
      <c r="Q4938" s="5">
        <f>IFERROR(P4938/O4938,0)</f>
        <v/>
      </c>
      <c r="R4938" s="2">
        <f>TEXT(DATEVALUE(B4938),"mmm")</f>
        <v/>
      </c>
      <c r="S4938" s="2">
        <f>TEXT(DATEVALUE(B4938),"yyyy-mm")</f>
        <v/>
      </c>
    </row>
    <row r="4939">
      <c r="A4939" s="2" t="inlineStr">
        <is>
          <t>O003980</t>
        </is>
      </c>
      <c r="B4939" s="2" t="inlineStr">
        <is>
          <t>2025-12-28</t>
        </is>
      </c>
      <c r="C4939" s="2" t="inlineStr">
        <is>
          <t>C0773</t>
        </is>
      </c>
      <c r="D4939" s="2" t="inlineStr">
        <is>
          <t>P0021</t>
        </is>
      </c>
      <c r="E4939" s="2" t="inlineStr">
        <is>
          <t>Wallet</t>
        </is>
      </c>
      <c r="F4939" s="2" t="inlineStr">
        <is>
          <t>Fashion</t>
        </is>
      </c>
      <c r="G4939" s="2" t="inlineStr">
        <is>
          <t>West</t>
        </is>
      </c>
      <c r="H4939" s="2" t="inlineStr">
        <is>
          <t>Gujarat</t>
        </is>
      </c>
      <c r="I4939" s="2" t="inlineStr">
        <is>
          <t>Ahmedabad</t>
        </is>
      </c>
      <c r="J4939" s="2" t="inlineStr">
        <is>
          <t>Store</t>
        </is>
      </c>
      <c r="K4939" s="2" t="n">
        <v>2</v>
      </c>
      <c r="L4939" s="3" t="n">
        <v>1982.72</v>
      </c>
      <c r="M4939" s="4" t="n">
        <v>0.1</v>
      </c>
      <c r="N4939" s="3" t="n">
        <v>2404.21</v>
      </c>
      <c r="O4939" s="3">
        <f>K4939*L4939*(1-M4939)</f>
        <v/>
      </c>
      <c r="P4939" s="3">
        <f>O4939-N4939</f>
        <v/>
      </c>
      <c r="Q4939" s="5">
        <f>IFERROR(P4939/O4939,0)</f>
        <v/>
      </c>
      <c r="R4939" s="2">
        <f>TEXT(DATEVALUE(B4939),"mmm")</f>
        <v/>
      </c>
      <c r="S4939" s="2">
        <f>TEXT(DATEVALUE(B4939),"yyyy-mm")</f>
        <v/>
      </c>
    </row>
    <row r="4940">
      <c r="A4940" s="2" t="inlineStr">
        <is>
          <t>O003884</t>
        </is>
      </c>
      <c r="B4940" s="2" t="inlineStr">
        <is>
          <t>2025-12-28</t>
        </is>
      </c>
      <c r="C4940" s="2" t="inlineStr">
        <is>
          <t>C0323</t>
        </is>
      </c>
      <c r="D4940" s="2" t="inlineStr">
        <is>
          <t>P0009</t>
        </is>
      </c>
      <c r="E4940" s="2" t="inlineStr">
        <is>
          <t>Electric Kettle</t>
        </is>
      </c>
      <c r="F4940" s="2" t="inlineStr">
        <is>
          <t>Home &amp; Kitchen</t>
        </is>
      </c>
      <c r="G4940" s="2" t="inlineStr">
        <is>
          <t>West</t>
        </is>
      </c>
      <c r="H4940" s="2" t="inlineStr">
        <is>
          <t>Goa</t>
        </is>
      </c>
      <c r="I4940" s="2" t="inlineStr">
        <is>
          <t>Panaji</t>
        </is>
      </c>
      <c r="J4940" s="2" t="inlineStr">
        <is>
          <t>Online</t>
        </is>
      </c>
      <c r="K4940" s="2" t="n">
        <v>4</v>
      </c>
      <c r="L4940" s="3" t="n">
        <v>2141.61</v>
      </c>
      <c r="M4940" s="4" t="n">
        <v>0.1</v>
      </c>
      <c r="N4940" s="3" t="n">
        <v>4696.6</v>
      </c>
      <c r="O4940" s="3">
        <f>K4940*L4940*(1-M4940)</f>
        <v/>
      </c>
      <c r="P4940" s="3">
        <f>O4940-N4940</f>
        <v/>
      </c>
      <c r="Q4940" s="5">
        <f>IFERROR(P4940/O4940,0)</f>
        <v/>
      </c>
      <c r="R4940" s="2">
        <f>TEXT(DATEVALUE(B4940),"mmm")</f>
        <v/>
      </c>
      <c r="S4940" s="2">
        <f>TEXT(DATEVALUE(B4940),"yyyy-mm")</f>
        <v/>
      </c>
    </row>
    <row r="4941">
      <c r="A4941" s="2" t="inlineStr">
        <is>
          <t>O003227</t>
        </is>
      </c>
      <c r="B4941" s="2" t="inlineStr">
        <is>
          <t>2025-12-28</t>
        </is>
      </c>
      <c r="C4941" s="2" t="inlineStr">
        <is>
          <t>C0346</t>
        </is>
      </c>
      <c r="D4941" s="2" t="inlineStr">
        <is>
          <t>P0020</t>
        </is>
      </c>
      <c r="E4941" s="2" t="inlineStr">
        <is>
          <t>Sneakers</t>
        </is>
      </c>
      <c r="F4941" s="2" t="inlineStr">
        <is>
          <t>Fashion</t>
        </is>
      </c>
      <c r="G4941" s="2" t="inlineStr">
        <is>
          <t>West</t>
        </is>
      </c>
      <c r="H4941" s="2" t="inlineStr">
        <is>
          <t>Gujarat</t>
        </is>
      </c>
      <c r="I4941" s="2" t="inlineStr">
        <is>
          <t>Ahmedabad</t>
        </is>
      </c>
      <c r="J4941" s="2" t="inlineStr">
        <is>
          <t>Store</t>
        </is>
      </c>
      <c r="K4941" s="2" t="n">
        <v>1</v>
      </c>
      <c r="L4941" s="3" t="n">
        <v>2013.02</v>
      </c>
      <c r="M4941" s="4" t="n">
        <v>0</v>
      </c>
      <c r="N4941" s="3" t="n">
        <v>1469.64</v>
      </c>
      <c r="O4941" s="3">
        <f>K4941*L4941*(1-M4941)</f>
        <v/>
      </c>
      <c r="P4941" s="3">
        <f>O4941-N4941</f>
        <v/>
      </c>
      <c r="Q4941" s="5">
        <f>IFERROR(P4941/O4941,0)</f>
        <v/>
      </c>
      <c r="R4941" s="2">
        <f>TEXT(DATEVALUE(B4941),"mmm")</f>
        <v/>
      </c>
      <c r="S4941" s="2">
        <f>TEXT(DATEVALUE(B4941),"yyyy-mm")</f>
        <v/>
      </c>
    </row>
    <row r="4942">
      <c r="A4942" s="2" t="inlineStr">
        <is>
          <t>O002682</t>
        </is>
      </c>
      <c r="B4942" s="2" t="inlineStr">
        <is>
          <t>2025-12-28</t>
        </is>
      </c>
      <c r="C4942" s="2" t="inlineStr">
        <is>
          <t>C0205</t>
        </is>
      </c>
      <c r="D4942" s="2" t="inlineStr">
        <is>
          <t>P0013</t>
        </is>
      </c>
      <c r="E4942" s="2" t="inlineStr">
        <is>
          <t>Storage Organizer</t>
        </is>
      </c>
      <c r="F4942" s="2" t="inlineStr">
        <is>
          <t>Home &amp; Kitchen</t>
        </is>
      </c>
      <c r="G4942" s="2" t="inlineStr">
        <is>
          <t>West</t>
        </is>
      </c>
      <c r="H4942" s="2" t="inlineStr">
        <is>
          <t>Gujarat</t>
        </is>
      </c>
      <c r="I4942" s="2" t="inlineStr">
        <is>
          <t>Surat</t>
        </is>
      </c>
      <c r="J4942" s="2" t="inlineStr">
        <is>
          <t>Online</t>
        </is>
      </c>
      <c r="K4942" s="2" t="n">
        <v>3</v>
      </c>
      <c r="L4942" s="3" t="n">
        <v>564.11</v>
      </c>
      <c r="M4942" s="4" t="n">
        <v>0</v>
      </c>
      <c r="N4942" s="3" t="n">
        <v>1077.58</v>
      </c>
      <c r="O4942" s="3">
        <f>K4942*L4942*(1-M4942)</f>
        <v/>
      </c>
      <c r="P4942" s="3">
        <f>O4942-N4942</f>
        <v/>
      </c>
      <c r="Q4942" s="5">
        <f>IFERROR(P4942/O4942,0)</f>
        <v/>
      </c>
      <c r="R4942" s="2">
        <f>TEXT(DATEVALUE(B4942),"mmm")</f>
        <v/>
      </c>
      <c r="S4942" s="2">
        <f>TEXT(DATEVALUE(B4942),"yyyy-mm")</f>
        <v/>
      </c>
    </row>
    <row r="4943">
      <c r="A4943" s="2" t="inlineStr">
        <is>
          <t>O002196</t>
        </is>
      </c>
      <c r="B4943" s="2" t="inlineStr">
        <is>
          <t>2025-12-28</t>
        </is>
      </c>
      <c r="C4943" s="2" t="inlineStr">
        <is>
          <t>C0510</t>
        </is>
      </c>
      <c r="D4943" s="2" t="inlineStr">
        <is>
          <t>P0006</t>
        </is>
      </c>
      <c r="E4943" s="2" t="inlineStr">
        <is>
          <t>Mechanical Keyboard</t>
        </is>
      </c>
      <c r="F4943" s="2" t="inlineStr">
        <is>
          <t>Electronics</t>
        </is>
      </c>
      <c r="G4943" s="2" t="inlineStr">
        <is>
          <t>North</t>
        </is>
      </c>
      <c r="H4943" s="2" t="inlineStr">
        <is>
          <t>Delhi</t>
        </is>
      </c>
      <c r="I4943" s="2" t="inlineStr">
        <is>
          <t>New Delhi</t>
        </is>
      </c>
      <c r="J4943" s="2" t="inlineStr">
        <is>
          <t>Store</t>
        </is>
      </c>
      <c r="K4943" s="2" t="n">
        <v>1</v>
      </c>
      <c r="L4943" s="3" t="n">
        <v>2624.04</v>
      </c>
      <c r="M4943" s="4" t="n">
        <v>0.1</v>
      </c>
      <c r="N4943" s="3" t="n">
        <v>1522.05</v>
      </c>
      <c r="O4943" s="3">
        <f>K4943*L4943*(1-M4943)</f>
        <v/>
      </c>
      <c r="P4943" s="3">
        <f>O4943-N4943</f>
        <v/>
      </c>
      <c r="Q4943" s="5">
        <f>IFERROR(P4943/O4943,0)</f>
        <v/>
      </c>
      <c r="R4943" s="2">
        <f>TEXT(DATEVALUE(B4943),"mmm")</f>
        <v/>
      </c>
      <c r="S4943" s="2">
        <f>TEXT(DATEVALUE(B4943),"yyyy-mm")</f>
        <v/>
      </c>
    </row>
    <row r="4944">
      <c r="A4944" s="2" t="inlineStr">
        <is>
          <t>O001869</t>
        </is>
      </c>
      <c r="B4944" s="2" t="inlineStr">
        <is>
          <t>2025-12-28</t>
        </is>
      </c>
      <c r="C4944" s="2" t="inlineStr">
        <is>
          <t>C0417</t>
        </is>
      </c>
      <c r="D4944" s="2" t="inlineStr">
        <is>
          <t>P0004</t>
        </is>
      </c>
      <c r="E4944" s="2" t="inlineStr">
        <is>
          <t>USB-C Hub</t>
        </is>
      </c>
      <c r="F4944" s="2" t="inlineStr">
        <is>
          <t>Electronics</t>
        </is>
      </c>
      <c r="G4944" s="2" t="inlineStr">
        <is>
          <t>South</t>
        </is>
      </c>
      <c r="H4944" s="2" t="inlineStr">
        <is>
          <t>Kerala</t>
        </is>
      </c>
      <c r="I4944" s="2" t="inlineStr">
        <is>
          <t>Kochi</t>
        </is>
      </c>
      <c r="J4944" s="2" t="inlineStr">
        <is>
          <t>Store</t>
        </is>
      </c>
      <c r="K4944" s="2" t="n">
        <v>2</v>
      </c>
      <c r="L4944" s="3" t="n">
        <v>1232.6</v>
      </c>
      <c r="M4944" s="4" t="n">
        <v>0.15</v>
      </c>
      <c r="N4944" s="3" t="n">
        <v>1899.54</v>
      </c>
      <c r="O4944" s="3">
        <f>K4944*L4944*(1-M4944)</f>
        <v/>
      </c>
      <c r="P4944" s="3">
        <f>O4944-N4944</f>
        <v/>
      </c>
      <c r="Q4944" s="5">
        <f>IFERROR(P4944/O4944,0)</f>
        <v/>
      </c>
      <c r="R4944" s="2">
        <f>TEXT(DATEVALUE(B4944),"mmm")</f>
        <v/>
      </c>
      <c r="S4944" s="2">
        <f>TEXT(DATEVALUE(B4944),"yyyy-mm")</f>
        <v/>
      </c>
    </row>
    <row r="4945">
      <c r="A4945" s="2" t="inlineStr">
        <is>
          <t>O001351</t>
        </is>
      </c>
      <c r="B4945" s="2" t="inlineStr">
        <is>
          <t>2025-12-28</t>
        </is>
      </c>
      <c r="C4945" s="2" t="inlineStr">
        <is>
          <t>C0394</t>
        </is>
      </c>
      <c r="D4945" s="2" t="inlineStr">
        <is>
          <t>P0005</t>
        </is>
      </c>
      <c r="E4945" s="2" t="inlineStr">
        <is>
          <t>Power Bank</t>
        </is>
      </c>
      <c r="F4945" s="2" t="inlineStr">
        <is>
          <t>Electronics</t>
        </is>
      </c>
      <c r="G4945" s="2" t="inlineStr">
        <is>
          <t>East</t>
        </is>
      </c>
      <c r="H4945" s="2" t="inlineStr">
        <is>
          <t>West Bengal</t>
        </is>
      </c>
      <c r="I4945" s="2" t="inlineStr">
        <is>
          <t>Kolkata</t>
        </is>
      </c>
      <c r="J4945" s="2" t="inlineStr">
        <is>
          <t>Online</t>
        </is>
      </c>
      <c r="K4945" s="2" t="n">
        <v>1</v>
      </c>
      <c r="L4945" s="3" t="n">
        <v>1175.35</v>
      </c>
      <c r="M4945" s="4" t="n">
        <v>0.1</v>
      </c>
      <c r="N4945" s="3" t="n">
        <v>682.58</v>
      </c>
      <c r="O4945" s="3">
        <f>K4945*L4945*(1-M4945)</f>
        <v/>
      </c>
      <c r="P4945" s="3">
        <f>O4945-N4945</f>
        <v/>
      </c>
      <c r="Q4945" s="5">
        <f>IFERROR(P4945/O4945,0)</f>
        <v/>
      </c>
      <c r="R4945" s="2">
        <f>TEXT(DATEVALUE(B4945),"mmm")</f>
        <v/>
      </c>
      <c r="S4945" s="2">
        <f>TEXT(DATEVALUE(B4945),"yyyy-mm")</f>
        <v/>
      </c>
    </row>
    <row r="4946">
      <c r="A4946" s="2" t="inlineStr">
        <is>
          <t>O002671</t>
        </is>
      </c>
      <c r="B4946" s="2" t="inlineStr">
        <is>
          <t>2025-12-28</t>
        </is>
      </c>
      <c r="C4946" s="2" t="inlineStr">
        <is>
          <t>C0637</t>
        </is>
      </c>
      <c r="D4946" s="2" t="inlineStr">
        <is>
          <t>P0022</t>
        </is>
      </c>
      <c r="E4946" s="2" t="inlineStr">
        <is>
          <t>Face Wash</t>
        </is>
      </c>
      <c r="F4946" s="2" t="inlineStr">
        <is>
          <t>Beauty</t>
        </is>
      </c>
      <c r="G4946" s="2" t="inlineStr">
        <is>
          <t>South</t>
        </is>
      </c>
      <c r="H4946" s="2" t="inlineStr">
        <is>
          <t>Kerala</t>
        </is>
      </c>
      <c r="I4946" s="2" t="inlineStr">
        <is>
          <t>Kochi</t>
        </is>
      </c>
      <c r="J4946" s="2" t="inlineStr">
        <is>
          <t>Online</t>
        </is>
      </c>
      <c r="K4946" s="2" t="n">
        <v>1</v>
      </c>
      <c r="L4946" s="3" t="n">
        <v>546</v>
      </c>
      <c r="M4946" s="4" t="n">
        <v>0.05</v>
      </c>
      <c r="N4946" s="3" t="n">
        <v>344.42</v>
      </c>
      <c r="O4946" s="3">
        <f>K4946*L4946*(1-M4946)</f>
        <v/>
      </c>
      <c r="P4946" s="3">
        <f>O4946-N4946</f>
        <v/>
      </c>
      <c r="Q4946" s="5">
        <f>IFERROR(P4946/O4946,0)</f>
        <v/>
      </c>
      <c r="R4946" s="2">
        <f>TEXT(DATEVALUE(B4946),"mmm")</f>
        <v/>
      </c>
      <c r="S4946" s="2">
        <f>TEXT(DATEVALUE(B4946),"yyyy-mm")</f>
        <v/>
      </c>
    </row>
    <row r="4947">
      <c r="A4947" s="2" t="inlineStr">
        <is>
          <t>O003253</t>
        </is>
      </c>
      <c r="B4947" s="2" t="inlineStr">
        <is>
          <t>2025-12-29</t>
        </is>
      </c>
      <c r="C4947" s="2" t="inlineStr">
        <is>
          <t>C0476</t>
        </is>
      </c>
      <c r="D4947" s="2" t="inlineStr">
        <is>
          <t>P0011</t>
        </is>
      </c>
      <c r="E4947" s="2" t="inlineStr">
        <is>
          <t>Cookware Set</t>
        </is>
      </c>
      <c r="F4947" s="2" t="inlineStr">
        <is>
          <t>Home &amp; Kitchen</t>
        </is>
      </c>
      <c r="G4947" s="2" t="inlineStr">
        <is>
          <t>South</t>
        </is>
      </c>
      <c r="H4947" s="2" t="inlineStr">
        <is>
          <t>Tamil Nadu</t>
        </is>
      </c>
      <c r="I4947" s="2" t="inlineStr">
        <is>
          <t>Coimbatore</t>
        </is>
      </c>
      <c r="J4947" s="2" t="inlineStr">
        <is>
          <t>Store</t>
        </is>
      </c>
      <c r="K4947" s="2" t="n">
        <v>4</v>
      </c>
      <c r="L4947" s="3" t="n">
        <v>729.59</v>
      </c>
      <c r="M4947" s="4" t="n">
        <v>0.1</v>
      </c>
      <c r="N4947" s="3" t="n">
        <v>1835.61</v>
      </c>
      <c r="O4947" s="3">
        <f>K4947*L4947*(1-M4947)</f>
        <v/>
      </c>
      <c r="P4947" s="3">
        <f>O4947-N4947</f>
        <v/>
      </c>
      <c r="Q4947" s="5">
        <f>IFERROR(P4947/O4947,0)</f>
        <v/>
      </c>
      <c r="R4947" s="2">
        <f>TEXT(DATEVALUE(B4947),"mmm")</f>
        <v/>
      </c>
      <c r="S4947" s="2">
        <f>TEXT(DATEVALUE(B4947),"yyyy-mm")</f>
        <v/>
      </c>
    </row>
    <row r="4948">
      <c r="A4948" s="2" t="inlineStr">
        <is>
          <t>O004589</t>
        </is>
      </c>
      <c r="B4948" s="2" t="inlineStr">
        <is>
          <t>2025-12-29</t>
        </is>
      </c>
      <c r="C4948" s="2" t="inlineStr">
        <is>
          <t>C0544</t>
        </is>
      </c>
      <c r="D4948" s="2" t="inlineStr">
        <is>
          <t>P0004</t>
        </is>
      </c>
      <c r="E4948" s="2" t="inlineStr">
        <is>
          <t>USB-C Hub</t>
        </is>
      </c>
      <c r="F4948" s="2" t="inlineStr">
        <is>
          <t>Electronics</t>
        </is>
      </c>
      <c r="G4948" s="2" t="inlineStr">
        <is>
          <t>South</t>
        </is>
      </c>
      <c r="H4948" s="2" t="inlineStr">
        <is>
          <t>Tamil Nadu</t>
        </is>
      </c>
      <c r="I4948" s="2" t="inlineStr">
        <is>
          <t>Coimbatore</t>
        </is>
      </c>
      <c r="J4948" s="2" t="inlineStr">
        <is>
          <t>Store</t>
        </is>
      </c>
      <c r="K4948" s="2" t="n">
        <v>1</v>
      </c>
      <c r="L4948" s="3" t="n">
        <v>1229.03</v>
      </c>
      <c r="M4948" s="4" t="n">
        <v>0.1</v>
      </c>
      <c r="N4948" s="3" t="n">
        <v>906.08</v>
      </c>
      <c r="O4948" s="3">
        <f>K4948*L4948*(1-M4948)</f>
        <v/>
      </c>
      <c r="P4948" s="3">
        <f>O4948-N4948</f>
        <v/>
      </c>
      <c r="Q4948" s="5">
        <f>IFERROR(P4948/O4948,0)</f>
        <v/>
      </c>
      <c r="R4948" s="2">
        <f>TEXT(DATEVALUE(B4948),"mmm")</f>
        <v/>
      </c>
      <c r="S4948" s="2">
        <f>TEXT(DATEVALUE(B4948),"yyyy-mm")</f>
        <v/>
      </c>
    </row>
    <row r="4949">
      <c r="A4949" s="2" t="inlineStr">
        <is>
          <t>O004483</t>
        </is>
      </c>
      <c r="B4949" s="2" t="inlineStr">
        <is>
          <t>2025-12-29</t>
        </is>
      </c>
      <c r="C4949" s="2" t="inlineStr">
        <is>
          <t>C0459</t>
        </is>
      </c>
      <c r="D4949" s="2" t="inlineStr">
        <is>
          <t>P0028</t>
        </is>
      </c>
      <c r="E4949" s="2" t="inlineStr">
        <is>
          <t>Trimmer</t>
        </is>
      </c>
      <c r="F4949" s="2" t="inlineStr">
        <is>
          <t>Beauty</t>
        </is>
      </c>
      <c r="G4949" s="2" t="inlineStr">
        <is>
          <t>South</t>
        </is>
      </c>
      <c r="H4949" s="2" t="inlineStr">
        <is>
          <t>Karnataka</t>
        </is>
      </c>
      <c r="I4949" s="2" t="inlineStr">
        <is>
          <t>Mangaluru</t>
        </is>
      </c>
      <c r="J4949" s="2" t="inlineStr">
        <is>
          <t>Online</t>
        </is>
      </c>
      <c r="K4949" s="2" t="n">
        <v>3</v>
      </c>
      <c r="L4949" s="3" t="n">
        <v>471.55</v>
      </c>
      <c r="M4949" s="4" t="n">
        <v>0.1</v>
      </c>
      <c r="N4949" s="3" t="n">
        <v>758.8200000000001</v>
      </c>
      <c r="O4949" s="3">
        <f>K4949*L4949*(1-M4949)</f>
        <v/>
      </c>
      <c r="P4949" s="3">
        <f>O4949-N4949</f>
        <v/>
      </c>
      <c r="Q4949" s="5">
        <f>IFERROR(P4949/O4949,0)</f>
        <v/>
      </c>
      <c r="R4949" s="2">
        <f>TEXT(DATEVALUE(B4949),"mmm")</f>
        <v/>
      </c>
      <c r="S4949" s="2">
        <f>TEXT(DATEVALUE(B4949),"yyyy-mm")</f>
        <v/>
      </c>
    </row>
    <row r="4950">
      <c r="A4950" s="2" t="inlineStr">
        <is>
          <t>O004459</t>
        </is>
      </c>
      <c r="B4950" s="2" t="inlineStr">
        <is>
          <t>2025-12-29</t>
        </is>
      </c>
      <c r="C4950" s="2" t="inlineStr">
        <is>
          <t>C0737</t>
        </is>
      </c>
      <c r="D4950" s="2" t="inlineStr">
        <is>
          <t>P0025</t>
        </is>
      </c>
      <c r="E4950" s="2" t="inlineStr">
        <is>
          <t>Perfume</t>
        </is>
      </c>
      <c r="F4950" s="2" t="inlineStr">
        <is>
          <t>Beauty</t>
        </is>
      </c>
      <c r="G4950" s="2" t="inlineStr">
        <is>
          <t>South</t>
        </is>
      </c>
      <c r="H4950" s="2" t="inlineStr">
        <is>
          <t>Telangana</t>
        </is>
      </c>
      <c r="I4950" s="2" t="inlineStr">
        <is>
          <t>Warangal</t>
        </is>
      </c>
      <c r="J4950" s="2" t="inlineStr">
        <is>
          <t>Online</t>
        </is>
      </c>
      <c r="K4950" s="2" t="n">
        <v>3</v>
      </c>
      <c r="L4950" s="3" t="n">
        <v>784.35</v>
      </c>
      <c r="M4950" s="4" t="n">
        <v>0.05</v>
      </c>
      <c r="N4950" s="3" t="n">
        <v>1859.3</v>
      </c>
      <c r="O4950" s="3">
        <f>K4950*L4950*(1-M4950)</f>
        <v/>
      </c>
      <c r="P4950" s="3">
        <f>O4950-N4950</f>
        <v/>
      </c>
      <c r="Q4950" s="5">
        <f>IFERROR(P4950/O4950,0)</f>
        <v/>
      </c>
      <c r="R4950" s="2">
        <f>TEXT(DATEVALUE(B4950),"mmm")</f>
        <v/>
      </c>
      <c r="S4950" s="2">
        <f>TEXT(DATEVALUE(B4950),"yyyy-mm")</f>
        <v/>
      </c>
    </row>
    <row r="4951">
      <c r="A4951" s="2" t="inlineStr">
        <is>
          <t>O003410</t>
        </is>
      </c>
      <c r="B4951" s="2" t="inlineStr">
        <is>
          <t>2025-12-29</t>
        </is>
      </c>
      <c r="C4951" s="2" t="inlineStr">
        <is>
          <t>C0101</t>
        </is>
      </c>
      <c r="D4951" s="2" t="inlineStr">
        <is>
          <t>P0005</t>
        </is>
      </c>
      <c r="E4951" s="2" t="inlineStr">
        <is>
          <t>Power Bank</t>
        </is>
      </c>
      <c r="F4951" s="2" t="inlineStr">
        <is>
          <t>Electronics</t>
        </is>
      </c>
      <c r="G4951" s="2" t="inlineStr">
        <is>
          <t>North</t>
        </is>
      </c>
      <c r="H4951" s="2" t="inlineStr">
        <is>
          <t>Uttar Pradesh</t>
        </is>
      </c>
      <c r="I4951" s="2" t="inlineStr">
        <is>
          <t>Varanasi</t>
        </is>
      </c>
      <c r="J4951" s="2" t="inlineStr">
        <is>
          <t>Store</t>
        </is>
      </c>
      <c r="K4951" s="2" t="n">
        <v>2</v>
      </c>
      <c r="L4951" s="3" t="n">
        <v>1166.14</v>
      </c>
      <c r="M4951" s="4" t="n">
        <v>0.1</v>
      </c>
      <c r="N4951" s="3" t="n">
        <v>1311.23</v>
      </c>
      <c r="O4951" s="3">
        <f>K4951*L4951*(1-M4951)</f>
        <v/>
      </c>
      <c r="P4951" s="3">
        <f>O4951-N4951</f>
        <v/>
      </c>
      <c r="Q4951" s="5">
        <f>IFERROR(P4951/O4951,0)</f>
        <v/>
      </c>
      <c r="R4951" s="2">
        <f>TEXT(DATEVALUE(B4951),"mmm")</f>
        <v/>
      </c>
      <c r="S4951" s="2">
        <f>TEXT(DATEVALUE(B4951),"yyyy-mm")</f>
        <v/>
      </c>
    </row>
    <row r="4952">
      <c r="A4952" s="2" t="inlineStr">
        <is>
          <t>O002986</t>
        </is>
      </c>
      <c r="B4952" s="2" t="inlineStr">
        <is>
          <t>2025-12-29</t>
        </is>
      </c>
      <c r="C4952" s="2" t="inlineStr">
        <is>
          <t>C0114</t>
        </is>
      </c>
      <c r="D4952" s="2" t="inlineStr">
        <is>
          <t>P0006</t>
        </is>
      </c>
      <c r="E4952" s="2" t="inlineStr">
        <is>
          <t>Mechanical Keyboard</t>
        </is>
      </c>
      <c r="F4952" s="2" t="inlineStr">
        <is>
          <t>Electronics</t>
        </is>
      </c>
      <c r="G4952" s="2" t="inlineStr">
        <is>
          <t>East</t>
        </is>
      </c>
      <c r="H4952" s="2" t="inlineStr">
        <is>
          <t>West Bengal</t>
        </is>
      </c>
      <c r="I4952" s="2" t="inlineStr">
        <is>
          <t>Kolkata</t>
        </is>
      </c>
      <c r="J4952" s="2" t="inlineStr">
        <is>
          <t>Store</t>
        </is>
      </c>
      <c r="K4952" s="2" t="n">
        <v>1</v>
      </c>
      <c r="L4952" s="3" t="n">
        <v>2736.15</v>
      </c>
      <c r="M4952" s="4" t="n">
        <v>0.1</v>
      </c>
      <c r="N4952" s="3" t="n">
        <v>1517.41</v>
      </c>
      <c r="O4952" s="3">
        <f>K4952*L4952*(1-M4952)</f>
        <v/>
      </c>
      <c r="P4952" s="3">
        <f>O4952-N4952</f>
        <v/>
      </c>
      <c r="Q4952" s="5">
        <f>IFERROR(P4952/O4952,0)</f>
        <v/>
      </c>
      <c r="R4952" s="2">
        <f>TEXT(DATEVALUE(B4952),"mmm")</f>
        <v/>
      </c>
      <c r="S4952" s="2">
        <f>TEXT(DATEVALUE(B4952),"yyyy-mm")</f>
        <v/>
      </c>
    </row>
    <row r="4953">
      <c r="A4953" s="2" t="inlineStr">
        <is>
          <t>O000899</t>
        </is>
      </c>
      <c r="B4953" s="2" t="inlineStr">
        <is>
          <t>2025-12-29</t>
        </is>
      </c>
      <c r="C4953" s="2" t="inlineStr">
        <is>
          <t>C0649</t>
        </is>
      </c>
      <c r="D4953" s="2" t="inlineStr">
        <is>
          <t>P0012</t>
        </is>
      </c>
      <c r="E4953" s="2" t="inlineStr">
        <is>
          <t>Water Bottle</t>
        </is>
      </c>
      <c r="F4953" s="2" t="inlineStr">
        <is>
          <t>Home &amp; Kitchen</t>
        </is>
      </c>
      <c r="G4953" s="2" t="inlineStr">
        <is>
          <t>West</t>
        </is>
      </c>
      <c r="H4953" s="2" t="inlineStr">
        <is>
          <t>Gujarat</t>
        </is>
      </c>
      <c r="I4953" s="2" t="inlineStr">
        <is>
          <t>Surat</t>
        </is>
      </c>
      <c r="J4953" s="2" t="inlineStr">
        <is>
          <t>Store</t>
        </is>
      </c>
      <c r="K4953" s="2" t="n">
        <v>2</v>
      </c>
      <c r="L4953" s="3" t="n">
        <v>973.88</v>
      </c>
      <c r="M4953" s="4" t="n">
        <v>0.1</v>
      </c>
      <c r="N4953" s="3" t="n">
        <v>1217.66</v>
      </c>
      <c r="O4953" s="3">
        <f>K4953*L4953*(1-M4953)</f>
        <v/>
      </c>
      <c r="P4953" s="3">
        <f>O4953-N4953</f>
        <v/>
      </c>
      <c r="Q4953" s="5">
        <f>IFERROR(P4953/O4953,0)</f>
        <v/>
      </c>
      <c r="R4953" s="2">
        <f>TEXT(DATEVALUE(B4953),"mmm")</f>
        <v/>
      </c>
      <c r="S4953" s="2">
        <f>TEXT(DATEVALUE(B4953),"yyyy-mm")</f>
        <v/>
      </c>
    </row>
    <row r="4954">
      <c r="A4954" s="2" t="inlineStr">
        <is>
          <t>O001660</t>
        </is>
      </c>
      <c r="B4954" s="2" t="inlineStr">
        <is>
          <t>2025-12-29</t>
        </is>
      </c>
      <c r="C4954" s="2" t="inlineStr">
        <is>
          <t>C0334</t>
        </is>
      </c>
      <c r="D4954" s="2" t="inlineStr">
        <is>
          <t>P0017</t>
        </is>
      </c>
      <c r="E4954" s="2" t="inlineStr">
        <is>
          <t>Jeans</t>
        </is>
      </c>
      <c r="F4954" s="2" t="inlineStr">
        <is>
          <t>Fashion</t>
        </is>
      </c>
      <c r="G4954" s="2" t="inlineStr">
        <is>
          <t>South</t>
        </is>
      </c>
      <c r="H4954" s="2" t="inlineStr">
        <is>
          <t>Kerala</t>
        </is>
      </c>
      <c r="I4954" s="2" t="inlineStr">
        <is>
          <t>Kochi</t>
        </is>
      </c>
      <c r="J4954" s="2" t="inlineStr">
        <is>
          <t>Online</t>
        </is>
      </c>
      <c r="K4954" s="2" t="n">
        <v>2</v>
      </c>
      <c r="L4954" s="3" t="n">
        <v>1505.33</v>
      </c>
      <c r="M4954" s="4" t="n">
        <v>0.15</v>
      </c>
      <c r="N4954" s="3" t="n">
        <v>2018.4</v>
      </c>
      <c r="O4954" s="3">
        <f>K4954*L4954*(1-M4954)</f>
        <v/>
      </c>
      <c r="P4954" s="3">
        <f>O4954-N4954</f>
        <v/>
      </c>
      <c r="Q4954" s="5">
        <f>IFERROR(P4954/O4954,0)</f>
        <v/>
      </c>
      <c r="R4954" s="2">
        <f>TEXT(DATEVALUE(B4954),"mmm")</f>
        <v/>
      </c>
      <c r="S4954" s="2">
        <f>TEXT(DATEVALUE(B4954),"yyyy-mm")</f>
        <v/>
      </c>
    </row>
    <row r="4955">
      <c r="A4955" s="2" t="inlineStr">
        <is>
          <t>O001642</t>
        </is>
      </c>
      <c r="B4955" s="2" t="inlineStr">
        <is>
          <t>2025-12-29</t>
        </is>
      </c>
      <c r="C4955" s="2" t="inlineStr">
        <is>
          <t>C0736</t>
        </is>
      </c>
      <c r="D4955" s="2" t="inlineStr">
        <is>
          <t>P0003</t>
        </is>
      </c>
      <c r="E4955" s="2" t="inlineStr">
        <is>
          <t>Smartwatch</t>
        </is>
      </c>
      <c r="F4955" s="2" t="inlineStr">
        <is>
          <t>Electronics</t>
        </is>
      </c>
      <c r="G4955" s="2" t="inlineStr">
        <is>
          <t>West</t>
        </is>
      </c>
      <c r="H4955" s="2" t="inlineStr">
        <is>
          <t>Maharashtra</t>
        </is>
      </c>
      <c r="I4955" s="2" t="inlineStr">
        <is>
          <t>Thane</t>
        </is>
      </c>
      <c r="J4955" s="2" t="inlineStr">
        <is>
          <t>Online</t>
        </is>
      </c>
      <c r="K4955" s="2" t="n">
        <v>1</v>
      </c>
      <c r="L4955" s="3" t="n">
        <v>2384.67</v>
      </c>
      <c r="M4955" s="4" t="n">
        <v>0.05</v>
      </c>
      <c r="N4955" s="3" t="n">
        <v>1154.02</v>
      </c>
      <c r="O4955" s="3">
        <f>K4955*L4955*(1-M4955)</f>
        <v/>
      </c>
      <c r="P4955" s="3">
        <f>O4955-N4955</f>
        <v/>
      </c>
      <c r="Q4955" s="5">
        <f>IFERROR(P4955/O4955,0)</f>
        <v/>
      </c>
      <c r="R4955" s="2">
        <f>TEXT(DATEVALUE(B4955),"mmm")</f>
        <v/>
      </c>
      <c r="S4955" s="2">
        <f>TEXT(DATEVALUE(B4955),"yyyy-mm")</f>
        <v/>
      </c>
    </row>
    <row r="4956">
      <c r="A4956" s="2" t="inlineStr">
        <is>
          <t>O001370</t>
        </is>
      </c>
      <c r="B4956" s="2" t="inlineStr">
        <is>
          <t>2025-12-29</t>
        </is>
      </c>
      <c r="C4956" s="2" t="inlineStr">
        <is>
          <t>C0618</t>
        </is>
      </c>
      <c r="D4956" s="2" t="inlineStr">
        <is>
          <t>P0007</t>
        </is>
      </c>
      <c r="E4956" s="2" t="inlineStr">
        <is>
          <t>Wireless Mouse</t>
        </is>
      </c>
      <c r="F4956" s="2" t="inlineStr">
        <is>
          <t>Electronics</t>
        </is>
      </c>
      <c r="G4956" s="2" t="inlineStr">
        <is>
          <t>West</t>
        </is>
      </c>
      <c r="H4956" s="2" t="inlineStr">
        <is>
          <t>Gujarat</t>
        </is>
      </c>
      <c r="I4956" s="2" t="inlineStr">
        <is>
          <t>Surat</t>
        </is>
      </c>
      <c r="J4956" s="2" t="inlineStr">
        <is>
          <t>Online</t>
        </is>
      </c>
      <c r="K4956" s="2" t="n">
        <v>1</v>
      </c>
      <c r="L4956" s="3" t="n">
        <v>1006.61</v>
      </c>
      <c r="M4956" s="4" t="n">
        <v>0.1</v>
      </c>
      <c r="N4956" s="3" t="n">
        <v>642.51</v>
      </c>
      <c r="O4956" s="3">
        <f>K4956*L4956*(1-M4956)</f>
        <v/>
      </c>
      <c r="P4956" s="3">
        <f>O4956-N4956</f>
        <v/>
      </c>
      <c r="Q4956" s="5">
        <f>IFERROR(P4956/O4956,0)</f>
        <v/>
      </c>
      <c r="R4956" s="2">
        <f>TEXT(DATEVALUE(B4956),"mmm")</f>
        <v/>
      </c>
      <c r="S4956" s="2">
        <f>TEXT(DATEVALUE(B4956),"yyyy-mm")</f>
        <v/>
      </c>
    </row>
    <row r="4957">
      <c r="A4957" s="2" t="inlineStr">
        <is>
          <t>O001134</t>
        </is>
      </c>
      <c r="B4957" s="2" t="inlineStr">
        <is>
          <t>2025-12-29</t>
        </is>
      </c>
      <c r="C4957" s="2" t="inlineStr">
        <is>
          <t>C0579</t>
        </is>
      </c>
      <c r="D4957" s="2" t="inlineStr">
        <is>
          <t>P0008</t>
        </is>
      </c>
      <c r="E4957" s="2" t="inlineStr">
        <is>
          <t>Air Fryer</t>
        </is>
      </c>
      <c r="F4957" s="2" t="inlineStr">
        <is>
          <t>Home &amp; Kitchen</t>
        </is>
      </c>
      <c r="G4957" s="2" t="inlineStr">
        <is>
          <t>South</t>
        </is>
      </c>
      <c r="H4957" s="2" t="inlineStr">
        <is>
          <t>Telangana</t>
        </is>
      </c>
      <c r="I4957" s="2" t="inlineStr">
        <is>
          <t>Warangal</t>
        </is>
      </c>
      <c r="J4957" s="2" t="inlineStr">
        <is>
          <t>Online</t>
        </is>
      </c>
      <c r="K4957" s="2" t="n">
        <v>1</v>
      </c>
      <c r="L4957" s="3" t="n">
        <v>1079.1</v>
      </c>
      <c r="M4957" s="4" t="n">
        <v>0.05</v>
      </c>
      <c r="N4957" s="3" t="n">
        <v>671.66</v>
      </c>
      <c r="O4957" s="3">
        <f>K4957*L4957*(1-M4957)</f>
        <v/>
      </c>
      <c r="P4957" s="3">
        <f>O4957-N4957</f>
        <v/>
      </c>
      <c r="Q4957" s="5">
        <f>IFERROR(P4957/O4957,0)</f>
        <v/>
      </c>
      <c r="R4957" s="2">
        <f>TEXT(DATEVALUE(B4957),"mmm")</f>
        <v/>
      </c>
      <c r="S4957" s="2">
        <f>TEXT(DATEVALUE(B4957),"yyyy-mm")</f>
        <v/>
      </c>
    </row>
    <row r="4958">
      <c r="A4958" s="2" t="inlineStr">
        <is>
          <t>O002859</t>
        </is>
      </c>
      <c r="B4958" s="2" t="inlineStr">
        <is>
          <t>2025-12-29</t>
        </is>
      </c>
      <c r="C4958" s="2" t="inlineStr">
        <is>
          <t>C0766</t>
        </is>
      </c>
      <c r="D4958" s="2" t="inlineStr">
        <is>
          <t>P0004</t>
        </is>
      </c>
      <c r="E4958" s="2" t="inlineStr">
        <is>
          <t>USB-C Hub</t>
        </is>
      </c>
      <c r="F4958" s="2" t="inlineStr">
        <is>
          <t>Electronics</t>
        </is>
      </c>
      <c r="G4958" s="2" t="inlineStr">
        <is>
          <t>North</t>
        </is>
      </c>
      <c r="H4958" s="2" t="inlineStr">
        <is>
          <t>Haryana</t>
        </is>
      </c>
      <c r="I4958" s="2" t="inlineStr">
        <is>
          <t>Gurugram</t>
        </is>
      </c>
      <c r="J4958" s="2" t="inlineStr">
        <is>
          <t>Store</t>
        </is>
      </c>
      <c r="K4958" s="2" t="n">
        <v>4</v>
      </c>
      <c r="L4958" s="3" t="n">
        <v>1243.03</v>
      </c>
      <c r="M4958" s="4" t="n">
        <v>0.05</v>
      </c>
      <c r="N4958" s="3" t="n">
        <v>3705.29</v>
      </c>
      <c r="O4958" s="3">
        <f>K4958*L4958*(1-M4958)</f>
        <v/>
      </c>
      <c r="P4958" s="3">
        <f>O4958-N4958</f>
        <v/>
      </c>
      <c r="Q4958" s="5">
        <f>IFERROR(P4958/O4958,0)</f>
        <v/>
      </c>
      <c r="R4958" s="2">
        <f>TEXT(DATEVALUE(B4958),"mmm")</f>
        <v/>
      </c>
      <c r="S4958" s="2">
        <f>TEXT(DATEVALUE(B4958),"yyyy-mm")</f>
        <v/>
      </c>
    </row>
    <row r="4959">
      <c r="A4959" s="2" t="inlineStr">
        <is>
          <t>O004979</t>
        </is>
      </c>
      <c r="B4959" s="2" t="inlineStr">
        <is>
          <t>2025-12-30</t>
        </is>
      </c>
      <c r="C4959" s="2" t="inlineStr">
        <is>
          <t>C0704</t>
        </is>
      </c>
      <c r="D4959" s="2" t="inlineStr">
        <is>
          <t>P0002</t>
        </is>
      </c>
      <c r="E4959" s="2" t="inlineStr">
        <is>
          <t>Bluetooth Speaker</t>
        </is>
      </c>
      <c r="F4959" s="2" t="inlineStr">
        <is>
          <t>Electronics</t>
        </is>
      </c>
      <c r="G4959" s="2" t="inlineStr">
        <is>
          <t>North</t>
        </is>
      </c>
      <c r="H4959" s="2" t="inlineStr">
        <is>
          <t>Uttar Pradesh</t>
        </is>
      </c>
      <c r="I4959" s="2" t="inlineStr">
        <is>
          <t>Noida</t>
        </is>
      </c>
      <c r="J4959" s="2" t="inlineStr">
        <is>
          <t>Store</t>
        </is>
      </c>
      <c r="K4959" s="2" t="n">
        <v>1</v>
      </c>
      <c r="L4959" s="3" t="n">
        <v>1391.75</v>
      </c>
      <c r="M4959" s="4" t="n">
        <v>0.05</v>
      </c>
      <c r="N4959" s="3" t="n">
        <v>800.67</v>
      </c>
      <c r="O4959" s="3">
        <f>K4959*L4959*(1-M4959)</f>
        <v/>
      </c>
      <c r="P4959" s="3">
        <f>O4959-N4959</f>
        <v/>
      </c>
      <c r="Q4959" s="5">
        <f>IFERROR(P4959/O4959,0)</f>
        <v/>
      </c>
      <c r="R4959" s="2">
        <f>TEXT(DATEVALUE(B4959),"mmm")</f>
        <v/>
      </c>
      <c r="S4959" s="2">
        <f>TEXT(DATEVALUE(B4959),"yyyy-mm")</f>
        <v/>
      </c>
    </row>
    <row r="4960">
      <c r="A4960" s="2" t="inlineStr">
        <is>
          <t>O004932</t>
        </is>
      </c>
      <c r="B4960" s="2" t="inlineStr">
        <is>
          <t>2025-12-30</t>
        </is>
      </c>
      <c r="C4960" s="2" t="inlineStr">
        <is>
          <t>C0069</t>
        </is>
      </c>
      <c r="D4960" s="2" t="inlineStr">
        <is>
          <t>P0007</t>
        </is>
      </c>
      <c r="E4960" s="2" t="inlineStr">
        <is>
          <t>Wireless Mouse</t>
        </is>
      </c>
      <c r="F4960" s="2" t="inlineStr">
        <is>
          <t>Electronics</t>
        </is>
      </c>
      <c r="G4960" s="2" t="inlineStr">
        <is>
          <t>North</t>
        </is>
      </c>
      <c r="H4960" s="2" t="inlineStr">
        <is>
          <t>Delhi</t>
        </is>
      </c>
      <c r="I4960" s="2" t="inlineStr">
        <is>
          <t>New Delhi</t>
        </is>
      </c>
      <c r="J4960" s="2" t="inlineStr">
        <is>
          <t>Online</t>
        </is>
      </c>
      <c r="K4960" s="2" t="n">
        <v>1</v>
      </c>
      <c r="L4960" s="3" t="n">
        <v>1004.71</v>
      </c>
      <c r="M4960" s="4" t="n">
        <v>0.1</v>
      </c>
      <c r="N4960" s="3" t="n">
        <v>635.66</v>
      </c>
      <c r="O4960" s="3">
        <f>K4960*L4960*(1-M4960)</f>
        <v/>
      </c>
      <c r="P4960" s="3">
        <f>O4960-N4960</f>
        <v/>
      </c>
      <c r="Q4960" s="5">
        <f>IFERROR(P4960/O4960,0)</f>
        <v/>
      </c>
      <c r="R4960" s="2">
        <f>TEXT(DATEVALUE(B4960),"mmm")</f>
        <v/>
      </c>
      <c r="S4960" s="2">
        <f>TEXT(DATEVALUE(B4960),"yyyy-mm")</f>
        <v/>
      </c>
    </row>
    <row r="4961">
      <c r="A4961" s="2" t="inlineStr">
        <is>
          <t>O004645</t>
        </is>
      </c>
      <c r="B4961" s="2" t="inlineStr">
        <is>
          <t>2025-12-30</t>
        </is>
      </c>
      <c r="C4961" s="2" t="inlineStr">
        <is>
          <t>C0203</t>
        </is>
      </c>
      <c r="D4961" s="2" t="inlineStr">
        <is>
          <t>P0033</t>
        </is>
      </c>
      <c r="E4961" s="2" t="inlineStr">
        <is>
          <t>Resistance Bands</t>
        </is>
      </c>
      <c r="F4961" s="2" t="inlineStr">
        <is>
          <t>Sports</t>
        </is>
      </c>
      <c r="G4961" s="2" t="inlineStr">
        <is>
          <t>North</t>
        </is>
      </c>
      <c r="H4961" s="2" t="inlineStr">
        <is>
          <t>Uttar Pradesh</t>
        </is>
      </c>
      <c r="I4961" s="2" t="inlineStr">
        <is>
          <t>Noida</t>
        </is>
      </c>
      <c r="J4961" s="2" t="inlineStr">
        <is>
          <t>Online</t>
        </is>
      </c>
      <c r="K4961" s="2" t="n">
        <v>3</v>
      </c>
      <c r="L4961" s="3" t="n">
        <v>1160.33</v>
      </c>
      <c r="M4961" s="4" t="n">
        <v>0.1</v>
      </c>
      <c r="N4961" s="3" t="n">
        <v>2332.61</v>
      </c>
      <c r="O4961" s="3">
        <f>K4961*L4961*(1-M4961)</f>
        <v/>
      </c>
      <c r="P4961" s="3">
        <f>O4961-N4961</f>
        <v/>
      </c>
      <c r="Q4961" s="5">
        <f>IFERROR(P4961/O4961,0)</f>
        <v/>
      </c>
      <c r="R4961" s="2">
        <f>TEXT(DATEVALUE(B4961),"mmm")</f>
        <v/>
      </c>
      <c r="S4961" s="2">
        <f>TEXT(DATEVALUE(B4961),"yyyy-mm")</f>
        <v/>
      </c>
    </row>
    <row r="4962">
      <c r="A4962" s="2" t="inlineStr">
        <is>
          <t>O004013</t>
        </is>
      </c>
      <c r="B4962" s="2" t="inlineStr">
        <is>
          <t>2025-12-30</t>
        </is>
      </c>
      <c r="C4962" s="2" t="inlineStr">
        <is>
          <t>C0568</t>
        </is>
      </c>
      <c r="D4962" s="2" t="inlineStr">
        <is>
          <t>P0015</t>
        </is>
      </c>
      <c r="E4962" s="2" t="inlineStr">
        <is>
          <t>Running Shoes</t>
        </is>
      </c>
      <c r="F4962" s="2" t="inlineStr">
        <is>
          <t>Fashion</t>
        </is>
      </c>
      <c r="G4962" s="2" t="inlineStr">
        <is>
          <t>North</t>
        </is>
      </c>
      <c r="H4962" s="2" t="inlineStr">
        <is>
          <t>Haryana</t>
        </is>
      </c>
      <c r="I4962" s="2" t="inlineStr">
        <is>
          <t>Faridabad</t>
        </is>
      </c>
      <c r="J4962" s="2" t="inlineStr">
        <is>
          <t>Store</t>
        </is>
      </c>
      <c r="K4962" s="2" t="n">
        <v>2</v>
      </c>
      <c r="L4962" s="3" t="n">
        <v>625.03</v>
      </c>
      <c r="M4962" s="4" t="n">
        <v>0</v>
      </c>
      <c r="N4962" s="3" t="n">
        <v>726.41</v>
      </c>
      <c r="O4962" s="3">
        <f>K4962*L4962*(1-M4962)</f>
        <v/>
      </c>
      <c r="P4962" s="3">
        <f>O4962-N4962</f>
        <v/>
      </c>
      <c r="Q4962" s="5">
        <f>IFERROR(P4962/O4962,0)</f>
        <v/>
      </c>
      <c r="R4962" s="2">
        <f>TEXT(DATEVALUE(B4962),"mmm")</f>
        <v/>
      </c>
      <c r="S4962" s="2">
        <f>TEXT(DATEVALUE(B4962),"yyyy-mm")</f>
        <v/>
      </c>
    </row>
    <row r="4963">
      <c r="A4963" s="2" t="inlineStr">
        <is>
          <t>O003725</t>
        </is>
      </c>
      <c r="B4963" s="2" t="inlineStr">
        <is>
          <t>2025-12-30</t>
        </is>
      </c>
      <c r="C4963" s="2" t="inlineStr">
        <is>
          <t>C0048</t>
        </is>
      </c>
      <c r="D4963" s="2" t="inlineStr">
        <is>
          <t>P0022</t>
        </is>
      </c>
      <c r="E4963" s="2" t="inlineStr">
        <is>
          <t>Face Wash</t>
        </is>
      </c>
      <c r="F4963" s="2" t="inlineStr">
        <is>
          <t>Beauty</t>
        </is>
      </c>
      <c r="G4963" s="2" t="inlineStr">
        <is>
          <t>West</t>
        </is>
      </c>
      <c r="H4963" s="2" t="inlineStr">
        <is>
          <t>Gujarat</t>
        </is>
      </c>
      <c r="I4963" s="2" t="inlineStr">
        <is>
          <t>Ahmedabad</t>
        </is>
      </c>
      <c r="J4963" s="2" t="inlineStr">
        <is>
          <t>Online</t>
        </is>
      </c>
      <c r="K4963" s="2" t="n">
        <v>2</v>
      </c>
      <c r="L4963" s="3" t="n">
        <v>571.6799999999999</v>
      </c>
      <c r="M4963" s="4" t="n">
        <v>0.05</v>
      </c>
      <c r="N4963" s="3" t="n">
        <v>698.5</v>
      </c>
      <c r="O4963" s="3">
        <f>K4963*L4963*(1-M4963)</f>
        <v/>
      </c>
      <c r="P4963" s="3">
        <f>O4963-N4963</f>
        <v/>
      </c>
      <c r="Q4963" s="5">
        <f>IFERROR(P4963/O4963,0)</f>
        <v/>
      </c>
      <c r="R4963" s="2">
        <f>TEXT(DATEVALUE(B4963),"mmm")</f>
        <v/>
      </c>
      <c r="S4963" s="2">
        <f>TEXT(DATEVALUE(B4963),"yyyy-mm")</f>
        <v/>
      </c>
    </row>
    <row r="4964">
      <c r="A4964" s="2" t="inlineStr">
        <is>
          <t>O003360</t>
        </is>
      </c>
      <c r="B4964" s="2" t="inlineStr">
        <is>
          <t>2025-12-30</t>
        </is>
      </c>
      <c r="C4964" s="2" t="inlineStr">
        <is>
          <t>C0551</t>
        </is>
      </c>
      <c r="D4964" s="2" t="inlineStr">
        <is>
          <t>P0012</t>
        </is>
      </c>
      <c r="E4964" s="2" t="inlineStr">
        <is>
          <t>Water Bottle</t>
        </is>
      </c>
      <c r="F4964" s="2" t="inlineStr">
        <is>
          <t>Home &amp; Kitchen</t>
        </is>
      </c>
      <c r="G4964" s="2" t="inlineStr">
        <is>
          <t>East</t>
        </is>
      </c>
      <c r="H4964" s="2" t="inlineStr">
        <is>
          <t>Odisha</t>
        </is>
      </c>
      <c r="I4964" s="2" t="inlineStr">
        <is>
          <t>Bhubaneswar</t>
        </is>
      </c>
      <c r="J4964" s="2" t="inlineStr">
        <is>
          <t>Online</t>
        </is>
      </c>
      <c r="K4964" s="2" t="n">
        <v>4</v>
      </c>
      <c r="L4964" s="3" t="n">
        <v>1002.86</v>
      </c>
      <c r="M4964" s="4" t="n">
        <v>0.2</v>
      </c>
      <c r="N4964" s="3" t="n">
        <v>2510.96</v>
      </c>
      <c r="O4964" s="3">
        <f>K4964*L4964*(1-M4964)</f>
        <v/>
      </c>
      <c r="P4964" s="3">
        <f>O4964-N4964</f>
        <v/>
      </c>
      <c r="Q4964" s="5">
        <f>IFERROR(P4964/O4964,0)</f>
        <v/>
      </c>
      <c r="R4964" s="2">
        <f>TEXT(DATEVALUE(B4964),"mmm")</f>
        <v/>
      </c>
      <c r="S4964" s="2">
        <f>TEXT(DATEVALUE(B4964),"yyyy-mm")</f>
        <v/>
      </c>
    </row>
    <row r="4965">
      <c r="A4965" s="2" t="inlineStr">
        <is>
          <t>O003032</t>
        </is>
      </c>
      <c r="B4965" s="2" t="inlineStr">
        <is>
          <t>2025-12-30</t>
        </is>
      </c>
      <c r="C4965" s="2" t="inlineStr">
        <is>
          <t>C0590</t>
        </is>
      </c>
      <c r="D4965" s="2" t="inlineStr">
        <is>
          <t>P0008</t>
        </is>
      </c>
      <c r="E4965" s="2" t="inlineStr">
        <is>
          <t>Air Fryer</t>
        </is>
      </c>
      <c r="F4965" s="2" t="inlineStr">
        <is>
          <t>Home &amp; Kitchen</t>
        </is>
      </c>
      <c r="G4965" s="2" t="inlineStr">
        <is>
          <t>South</t>
        </is>
      </c>
      <c r="H4965" s="2" t="inlineStr">
        <is>
          <t>Telangana</t>
        </is>
      </c>
      <c r="I4965" s="2" t="inlineStr">
        <is>
          <t>Warangal</t>
        </is>
      </c>
      <c r="J4965" s="2" t="inlineStr">
        <is>
          <t>Online</t>
        </is>
      </c>
      <c r="K4965" s="2" t="n">
        <v>2</v>
      </c>
      <c r="L4965" s="3" t="n">
        <v>1027.69</v>
      </c>
      <c r="M4965" s="4" t="n">
        <v>0.1</v>
      </c>
      <c r="N4965" s="3" t="n">
        <v>1409.87</v>
      </c>
      <c r="O4965" s="3">
        <f>K4965*L4965*(1-M4965)</f>
        <v/>
      </c>
      <c r="P4965" s="3">
        <f>O4965-N4965</f>
        <v/>
      </c>
      <c r="Q4965" s="5">
        <f>IFERROR(P4965/O4965,0)</f>
        <v/>
      </c>
      <c r="R4965" s="2">
        <f>TEXT(DATEVALUE(B4965),"mmm")</f>
        <v/>
      </c>
      <c r="S4965" s="2">
        <f>TEXT(DATEVALUE(B4965),"yyyy-mm")</f>
        <v/>
      </c>
    </row>
    <row r="4966">
      <c r="A4966" s="2" t="inlineStr">
        <is>
          <t>O003031</t>
        </is>
      </c>
      <c r="B4966" s="2" t="inlineStr">
        <is>
          <t>2025-12-30</t>
        </is>
      </c>
      <c r="C4966" s="2" t="inlineStr">
        <is>
          <t>C0125</t>
        </is>
      </c>
      <c r="D4966" s="2" t="inlineStr">
        <is>
          <t>P0021</t>
        </is>
      </c>
      <c r="E4966" s="2" t="inlineStr">
        <is>
          <t>Wallet</t>
        </is>
      </c>
      <c r="F4966" s="2" t="inlineStr">
        <is>
          <t>Fashion</t>
        </is>
      </c>
      <c r="G4966" s="2" t="inlineStr">
        <is>
          <t>West</t>
        </is>
      </c>
      <c r="H4966" s="2" t="inlineStr">
        <is>
          <t>Goa</t>
        </is>
      </c>
      <c r="I4966" s="2" t="inlineStr">
        <is>
          <t>Margao</t>
        </is>
      </c>
      <c r="J4966" s="2" t="inlineStr">
        <is>
          <t>Store</t>
        </is>
      </c>
      <c r="K4966" s="2" t="n">
        <v>1</v>
      </c>
      <c r="L4966" s="3" t="n">
        <v>2082.71</v>
      </c>
      <c r="M4966" s="4" t="n">
        <v>0.1</v>
      </c>
      <c r="N4966" s="3" t="n">
        <v>1230.52</v>
      </c>
      <c r="O4966" s="3">
        <f>K4966*L4966*(1-M4966)</f>
        <v/>
      </c>
      <c r="P4966" s="3">
        <f>O4966-N4966</f>
        <v/>
      </c>
      <c r="Q4966" s="5">
        <f>IFERROR(P4966/O4966,0)</f>
        <v/>
      </c>
      <c r="R4966" s="2">
        <f>TEXT(DATEVALUE(B4966),"mmm")</f>
        <v/>
      </c>
      <c r="S4966" s="2">
        <f>TEXT(DATEVALUE(B4966),"yyyy-mm")</f>
        <v/>
      </c>
    </row>
    <row r="4967">
      <c r="A4967" s="2" t="inlineStr">
        <is>
          <t>O002836</t>
        </is>
      </c>
      <c r="B4967" s="2" t="inlineStr">
        <is>
          <t>2025-12-30</t>
        </is>
      </c>
      <c r="C4967" s="2" t="inlineStr">
        <is>
          <t>C0761</t>
        </is>
      </c>
      <c r="D4967" s="2" t="inlineStr">
        <is>
          <t>P0016</t>
        </is>
      </c>
      <c r="E4967" s="2" t="inlineStr">
        <is>
          <t>Casual Shirt</t>
        </is>
      </c>
      <c r="F4967" s="2" t="inlineStr">
        <is>
          <t>Fashion</t>
        </is>
      </c>
      <c r="G4967" s="2" t="inlineStr">
        <is>
          <t>North</t>
        </is>
      </c>
      <c r="H4967" s="2" t="inlineStr">
        <is>
          <t>Uttar Pradesh</t>
        </is>
      </c>
      <c r="I4967" s="2" t="inlineStr">
        <is>
          <t>Lucknow</t>
        </is>
      </c>
      <c r="J4967" s="2" t="inlineStr">
        <is>
          <t>Store</t>
        </is>
      </c>
      <c r="K4967" s="2" t="n">
        <v>4</v>
      </c>
      <c r="L4967" s="3" t="n">
        <v>1263.26</v>
      </c>
      <c r="M4967" s="4" t="n">
        <v>0.05</v>
      </c>
      <c r="N4967" s="3" t="n">
        <v>3729.95</v>
      </c>
      <c r="O4967" s="3">
        <f>K4967*L4967*(1-M4967)</f>
        <v/>
      </c>
      <c r="P4967" s="3">
        <f>O4967-N4967</f>
        <v/>
      </c>
      <c r="Q4967" s="5">
        <f>IFERROR(P4967/O4967,0)</f>
        <v/>
      </c>
      <c r="R4967" s="2">
        <f>TEXT(DATEVALUE(B4967),"mmm")</f>
        <v/>
      </c>
      <c r="S4967" s="2">
        <f>TEXT(DATEVALUE(B4967),"yyyy-mm")</f>
        <v/>
      </c>
    </row>
    <row r="4968">
      <c r="A4968" s="2" t="inlineStr">
        <is>
          <t>O002676</t>
        </is>
      </c>
      <c r="B4968" s="2" t="inlineStr">
        <is>
          <t>2025-12-30</t>
        </is>
      </c>
      <c r="C4968" s="2" t="inlineStr">
        <is>
          <t>C0345</t>
        </is>
      </c>
      <c r="D4968" s="2" t="inlineStr">
        <is>
          <t>P0016</t>
        </is>
      </c>
      <c r="E4968" s="2" t="inlineStr">
        <is>
          <t>Casual Shirt</t>
        </is>
      </c>
      <c r="F4968" s="2" t="inlineStr">
        <is>
          <t>Fashion</t>
        </is>
      </c>
      <c r="G4968" s="2" t="inlineStr">
        <is>
          <t>South</t>
        </is>
      </c>
      <c r="H4968" s="2" t="inlineStr">
        <is>
          <t>Telangana</t>
        </is>
      </c>
      <c r="I4968" s="2" t="inlineStr">
        <is>
          <t>Warangal</t>
        </is>
      </c>
      <c r="J4968" s="2" t="inlineStr">
        <is>
          <t>Online</t>
        </is>
      </c>
      <c r="K4968" s="2" t="n">
        <v>1</v>
      </c>
      <c r="L4968" s="3" t="n">
        <v>1297.6</v>
      </c>
      <c r="M4968" s="4" t="n">
        <v>0.15</v>
      </c>
      <c r="N4968" s="3" t="n">
        <v>893.09</v>
      </c>
      <c r="O4968" s="3">
        <f>K4968*L4968*(1-M4968)</f>
        <v/>
      </c>
      <c r="P4968" s="3">
        <f>O4968-N4968</f>
        <v/>
      </c>
      <c r="Q4968" s="5">
        <f>IFERROR(P4968/O4968,0)</f>
        <v/>
      </c>
      <c r="R4968" s="2">
        <f>TEXT(DATEVALUE(B4968),"mmm")</f>
        <v/>
      </c>
      <c r="S4968" s="2">
        <f>TEXT(DATEVALUE(B4968),"yyyy-mm")</f>
        <v/>
      </c>
    </row>
    <row r="4969">
      <c r="A4969" s="2" t="inlineStr">
        <is>
          <t>O002334</t>
        </is>
      </c>
      <c r="B4969" s="2" t="inlineStr">
        <is>
          <t>2025-12-30</t>
        </is>
      </c>
      <c r="C4969" s="2" t="inlineStr">
        <is>
          <t>C0104</t>
        </is>
      </c>
      <c r="D4969" s="2" t="inlineStr">
        <is>
          <t>P0018</t>
        </is>
      </c>
      <c r="E4969" s="2" t="inlineStr">
        <is>
          <t>Backpack</t>
        </is>
      </c>
      <c r="F4969" s="2" t="inlineStr">
        <is>
          <t>Fashion</t>
        </is>
      </c>
      <c r="G4969" s="2" t="inlineStr">
        <is>
          <t>North</t>
        </is>
      </c>
      <c r="H4969" s="2" t="inlineStr">
        <is>
          <t>Uttar Pradesh</t>
        </is>
      </c>
      <c r="I4969" s="2" t="inlineStr">
        <is>
          <t>Varanasi</t>
        </is>
      </c>
      <c r="J4969" s="2" t="inlineStr">
        <is>
          <t>Online</t>
        </is>
      </c>
      <c r="K4969" s="2" t="n">
        <v>1</v>
      </c>
      <c r="L4969" s="3" t="n">
        <v>1797.99</v>
      </c>
      <c r="M4969" s="4" t="n">
        <v>0.1</v>
      </c>
      <c r="N4969" s="3" t="n">
        <v>1338.85</v>
      </c>
      <c r="O4969" s="3">
        <f>K4969*L4969*(1-M4969)</f>
        <v/>
      </c>
      <c r="P4969" s="3">
        <f>O4969-N4969</f>
        <v/>
      </c>
      <c r="Q4969" s="5">
        <f>IFERROR(P4969/O4969,0)</f>
        <v/>
      </c>
      <c r="R4969" s="2">
        <f>TEXT(DATEVALUE(B4969),"mmm")</f>
        <v/>
      </c>
      <c r="S4969" s="2">
        <f>TEXT(DATEVALUE(B4969),"yyyy-mm")</f>
        <v/>
      </c>
    </row>
    <row r="4970">
      <c r="A4970" s="2" t="inlineStr">
        <is>
          <t>O002145</t>
        </is>
      </c>
      <c r="B4970" s="2" t="inlineStr">
        <is>
          <t>2025-12-30</t>
        </is>
      </c>
      <c r="C4970" s="2" t="inlineStr">
        <is>
          <t>C0434</t>
        </is>
      </c>
      <c r="D4970" s="2" t="inlineStr">
        <is>
          <t>P0009</t>
        </is>
      </c>
      <c r="E4970" s="2" t="inlineStr">
        <is>
          <t>Electric Kettle</t>
        </is>
      </c>
      <c r="F4970" s="2" t="inlineStr">
        <is>
          <t>Home &amp; Kitchen</t>
        </is>
      </c>
      <c r="G4970" s="2" t="inlineStr">
        <is>
          <t>South</t>
        </is>
      </c>
      <c r="H4970" s="2" t="inlineStr">
        <is>
          <t>Tamil Nadu</t>
        </is>
      </c>
      <c r="I4970" s="2" t="inlineStr">
        <is>
          <t>Coimbatore</t>
        </is>
      </c>
      <c r="J4970" s="2" t="inlineStr">
        <is>
          <t>Store</t>
        </is>
      </c>
      <c r="K4970" s="2" t="n">
        <v>1</v>
      </c>
      <c r="L4970" s="3" t="n">
        <v>2020.19</v>
      </c>
      <c r="M4970" s="4" t="n">
        <v>0.15</v>
      </c>
      <c r="N4970" s="3" t="n">
        <v>1159.12</v>
      </c>
      <c r="O4970" s="3">
        <f>K4970*L4970*(1-M4970)</f>
        <v/>
      </c>
      <c r="P4970" s="3">
        <f>O4970-N4970</f>
        <v/>
      </c>
      <c r="Q4970" s="5">
        <f>IFERROR(P4970/O4970,0)</f>
        <v/>
      </c>
      <c r="R4970" s="2">
        <f>TEXT(DATEVALUE(B4970),"mmm")</f>
        <v/>
      </c>
      <c r="S4970" s="2">
        <f>TEXT(DATEVALUE(B4970),"yyyy-mm")</f>
        <v/>
      </c>
    </row>
    <row r="4971">
      <c r="A4971" s="2" t="inlineStr">
        <is>
          <t>O001914</t>
        </is>
      </c>
      <c r="B4971" s="2" t="inlineStr">
        <is>
          <t>2025-12-30</t>
        </is>
      </c>
      <c r="C4971" s="2" t="inlineStr">
        <is>
          <t>C0379</t>
        </is>
      </c>
      <c r="D4971" s="2" t="inlineStr">
        <is>
          <t>P0021</t>
        </is>
      </c>
      <c r="E4971" s="2" t="inlineStr">
        <is>
          <t>Wallet</t>
        </is>
      </c>
      <c r="F4971" s="2" t="inlineStr">
        <is>
          <t>Fashion</t>
        </is>
      </c>
      <c r="G4971" s="2" t="inlineStr">
        <is>
          <t>East</t>
        </is>
      </c>
      <c r="H4971" s="2" t="inlineStr">
        <is>
          <t>Odisha</t>
        </is>
      </c>
      <c r="I4971" s="2" t="inlineStr">
        <is>
          <t>Bhubaneswar</t>
        </is>
      </c>
      <c r="J4971" s="2" t="inlineStr">
        <is>
          <t>Store</t>
        </is>
      </c>
      <c r="K4971" s="2" t="n">
        <v>2</v>
      </c>
      <c r="L4971" s="3" t="n">
        <v>1974.92</v>
      </c>
      <c r="M4971" s="4" t="n">
        <v>0.1</v>
      </c>
      <c r="N4971" s="3" t="n">
        <v>2480.88</v>
      </c>
      <c r="O4971" s="3">
        <f>K4971*L4971*(1-M4971)</f>
        <v/>
      </c>
      <c r="P4971" s="3">
        <f>O4971-N4971</f>
        <v/>
      </c>
      <c r="Q4971" s="5">
        <f>IFERROR(P4971/O4971,0)</f>
        <v/>
      </c>
      <c r="R4971" s="2">
        <f>TEXT(DATEVALUE(B4971),"mmm")</f>
        <v/>
      </c>
      <c r="S4971" s="2">
        <f>TEXT(DATEVALUE(B4971),"yyyy-mm")</f>
        <v/>
      </c>
    </row>
    <row r="4972">
      <c r="A4972" s="2" t="inlineStr">
        <is>
          <t>O001484</t>
        </is>
      </c>
      <c r="B4972" s="2" t="inlineStr">
        <is>
          <t>2025-12-30</t>
        </is>
      </c>
      <c r="C4972" s="2" t="inlineStr">
        <is>
          <t>C0341</t>
        </is>
      </c>
      <c r="D4972" s="2" t="inlineStr">
        <is>
          <t>P0027</t>
        </is>
      </c>
      <c r="E4972" s="2" t="inlineStr">
        <is>
          <t>Moisturizer</t>
        </is>
      </c>
      <c r="F4972" s="2" t="inlineStr">
        <is>
          <t>Beauty</t>
        </is>
      </c>
      <c r="G4972" s="2" t="inlineStr">
        <is>
          <t>South</t>
        </is>
      </c>
      <c r="H4972" s="2" t="inlineStr">
        <is>
          <t>Kerala</t>
        </is>
      </c>
      <c r="I4972" s="2" t="inlineStr">
        <is>
          <t>Thiruvananthapuram</t>
        </is>
      </c>
      <c r="J4972" s="2" t="inlineStr">
        <is>
          <t>Online</t>
        </is>
      </c>
      <c r="K4972" s="2" t="n">
        <v>1</v>
      </c>
      <c r="L4972" s="3" t="n">
        <v>970.62</v>
      </c>
      <c r="M4972" s="4" t="n">
        <v>0.05</v>
      </c>
      <c r="N4972" s="3" t="n">
        <v>703.39</v>
      </c>
      <c r="O4972" s="3">
        <f>K4972*L4972*(1-M4972)</f>
        <v/>
      </c>
      <c r="P4972" s="3">
        <f>O4972-N4972</f>
        <v/>
      </c>
      <c r="Q4972" s="5">
        <f>IFERROR(P4972/O4972,0)</f>
        <v/>
      </c>
      <c r="R4972" s="2">
        <f>TEXT(DATEVALUE(B4972),"mmm")</f>
        <v/>
      </c>
      <c r="S4972" s="2">
        <f>TEXT(DATEVALUE(B4972),"yyyy-mm")</f>
        <v/>
      </c>
    </row>
    <row r="4973">
      <c r="A4973" s="2" t="inlineStr">
        <is>
          <t>O001306</t>
        </is>
      </c>
      <c r="B4973" s="2" t="inlineStr">
        <is>
          <t>2025-12-30</t>
        </is>
      </c>
      <c r="C4973" s="2" t="inlineStr">
        <is>
          <t>C0291</t>
        </is>
      </c>
      <c r="D4973" s="2" t="inlineStr">
        <is>
          <t>P0003</t>
        </is>
      </c>
      <c r="E4973" s="2" t="inlineStr">
        <is>
          <t>Smartwatch</t>
        </is>
      </c>
      <c r="F4973" s="2" t="inlineStr">
        <is>
          <t>Electronics</t>
        </is>
      </c>
      <c r="G4973" s="2" t="inlineStr">
        <is>
          <t>South</t>
        </is>
      </c>
      <c r="H4973" s="2" t="inlineStr">
        <is>
          <t>Telangana</t>
        </is>
      </c>
      <c r="I4973" s="2" t="inlineStr">
        <is>
          <t>Warangal</t>
        </is>
      </c>
      <c r="J4973" s="2" t="inlineStr">
        <is>
          <t>Online</t>
        </is>
      </c>
      <c r="K4973" s="2" t="n">
        <v>1</v>
      </c>
      <c r="L4973" s="3" t="n">
        <v>2288.32</v>
      </c>
      <c r="M4973" s="4" t="n">
        <v>0.15</v>
      </c>
      <c r="N4973" s="3" t="n">
        <v>1211.85</v>
      </c>
      <c r="O4973" s="3">
        <f>K4973*L4973*(1-M4973)</f>
        <v/>
      </c>
      <c r="P4973" s="3">
        <f>O4973-N4973</f>
        <v/>
      </c>
      <c r="Q4973" s="5">
        <f>IFERROR(P4973/O4973,0)</f>
        <v/>
      </c>
      <c r="R4973" s="2">
        <f>TEXT(DATEVALUE(B4973),"mmm")</f>
        <v/>
      </c>
      <c r="S4973" s="2">
        <f>TEXT(DATEVALUE(B4973),"yyyy-mm")</f>
        <v/>
      </c>
    </row>
    <row r="4974">
      <c r="A4974" s="2" t="inlineStr">
        <is>
          <t>O001186</t>
        </is>
      </c>
      <c r="B4974" s="2" t="inlineStr">
        <is>
          <t>2025-12-30</t>
        </is>
      </c>
      <c r="C4974" s="2" t="inlineStr">
        <is>
          <t>C0066</t>
        </is>
      </c>
      <c r="D4974" s="2" t="inlineStr">
        <is>
          <t>P0023</t>
        </is>
      </c>
      <c r="E4974" s="2" t="inlineStr">
        <is>
          <t>Skin Care Kit</t>
        </is>
      </c>
      <c r="F4974" s="2" t="inlineStr">
        <is>
          <t>Beauty</t>
        </is>
      </c>
      <c r="G4974" s="2" t="inlineStr">
        <is>
          <t>East</t>
        </is>
      </c>
      <c r="H4974" s="2" t="inlineStr">
        <is>
          <t>West Bengal</t>
        </is>
      </c>
      <c r="I4974" s="2" t="inlineStr">
        <is>
          <t>Kolkata</t>
        </is>
      </c>
      <c r="J4974" s="2" t="inlineStr">
        <is>
          <t>Online</t>
        </is>
      </c>
      <c r="K4974" s="2" t="n">
        <v>1</v>
      </c>
      <c r="L4974" s="3" t="n">
        <v>1372.27</v>
      </c>
      <c r="M4974" s="4" t="n">
        <v>0</v>
      </c>
      <c r="N4974" s="3" t="n">
        <v>922.01</v>
      </c>
      <c r="O4974" s="3">
        <f>K4974*L4974*(1-M4974)</f>
        <v/>
      </c>
      <c r="P4974" s="3">
        <f>O4974-N4974</f>
        <v/>
      </c>
      <c r="Q4974" s="5">
        <f>IFERROR(P4974/O4974,0)</f>
        <v/>
      </c>
      <c r="R4974" s="2">
        <f>TEXT(DATEVALUE(B4974),"mmm")</f>
        <v/>
      </c>
      <c r="S4974" s="2">
        <f>TEXT(DATEVALUE(B4974),"yyyy-mm")</f>
        <v/>
      </c>
    </row>
    <row r="4975">
      <c r="A4975" s="2" t="inlineStr">
        <is>
          <t>O000631</t>
        </is>
      </c>
      <c r="B4975" s="2" t="inlineStr">
        <is>
          <t>2025-12-30</t>
        </is>
      </c>
      <c r="C4975" s="2" t="inlineStr">
        <is>
          <t>C0795</t>
        </is>
      </c>
      <c r="D4975" s="2" t="inlineStr">
        <is>
          <t>P0013</t>
        </is>
      </c>
      <c r="E4975" s="2" t="inlineStr">
        <is>
          <t>Storage Organizer</t>
        </is>
      </c>
      <c r="F4975" s="2" t="inlineStr">
        <is>
          <t>Home &amp; Kitchen</t>
        </is>
      </c>
      <c r="G4975" s="2" t="inlineStr">
        <is>
          <t>West</t>
        </is>
      </c>
      <c r="H4975" s="2" t="inlineStr">
        <is>
          <t>Gujarat</t>
        </is>
      </c>
      <c r="I4975" s="2" t="inlineStr">
        <is>
          <t>Vadodara</t>
        </is>
      </c>
      <c r="J4975" s="2" t="inlineStr">
        <is>
          <t>Store</t>
        </is>
      </c>
      <c r="K4975" s="2" t="n">
        <v>1</v>
      </c>
      <c r="L4975" s="3" t="n">
        <v>556.4299999999999</v>
      </c>
      <c r="M4975" s="4" t="n">
        <v>0.15</v>
      </c>
      <c r="N4975" s="3" t="n">
        <v>365.87</v>
      </c>
      <c r="O4975" s="3">
        <f>K4975*L4975*(1-M4975)</f>
        <v/>
      </c>
      <c r="P4975" s="3">
        <f>O4975-N4975</f>
        <v/>
      </c>
      <c r="Q4975" s="5">
        <f>IFERROR(P4975/O4975,0)</f>
        <v/>
      </c>
      <c r="R4975" s="2">
        <f>TEXT(DATEVALUE(B4975),"mmm")</f>
        <v/>
      </c>
      <c r="S4975" s="2">
        <f>TEXT(DATEVALUE(B4975),"yyyy-mm")</f>
        <v/>
      </c>
    </row>
    <row r="4976">
      <c r="A4976" s="2" t="inlineStr">
        <is>
          <t>O000038</t>
        </is>
      </c>
      <c r="B4976" s="2" t="inlineStr">
        <is>
          <t>2025-12-30</t>
        </is>
      </c>
      <c r="C4976" s="2" t="inlineStr">
        <is>
          <t>C0726</t>
        </is>
      </c>
      <c r="D4976" s="2" t="inlineStr">
        <is>
          <t>P0008</t>
        </is>
      </c>
      <c r="E4976" s="2" t="inlineStr">
        <is>
          <t>Air Fryer</t>
        </is>
      </c>
      <c r="F4976" s="2" t="inlineStr">
        <is>
          <t>Home &amp; Kitchen</t>
        </is>
      </c>
      <c r="G4976" s="2" t="inlineStr">
        <is>
          <t>South</t>
        </is>
      </c>
      <c r="H4976" s="2" t="inlineStr">
        <is>
          <t>Telangana</t>
        </is>
      </c>
      <c r="I4976" s="2" t="inlineStr">
        <is>
          <t>Hyderabad</t>
        </is>
      </c>
      <c r="J4976" s="2" t="inlineStr">
        <is>
          <t>Online</t>
        </is>
      </c>
      <c r="K4976" s="2" t="n">
        <v>3</v>
      </c>
      <c r="L4976" s="3" t="n">
        <v>1063.36</v>
      </c>
      <c r="M4976" s="4" t="n">
        <v>0.15</v>
      </c>
      <c r="N4976" s="3" t="n">
        <v>2005.56</v>
      </c>
      <c r="O4976" s="3">
        <f>K4976*L4976*(1-M4976)</f>
        <v/>
      </c>
      <c r="P4976" s="3">
        <f>O4976-N4976</f>
        <v/>
      </c>
      <c r="Q4976" s="5">
        <f>IFERROR(P4976/O4976,0)</f>
        <v/>
      </c>
      <c r="R4976" s="2">
        <f>TEXT(DATEVALUE(B4976),"mmm")</f>
        <v/>
      </c>
      <c r="S4976" s="2">
        <f>TEXT(DATEVALUE(B4976),"yyyy-mm")</f>
        <v/>
      </c>
    </row>
    <row r="4977">
      <c r="A4977" s="2" t="inlineStr">
        <is>
          <t>O002828</t>
        </is>
      </c>
      <c r="B4977" s="2" t="inlineStr">
        <is>
          <t>2025-12-30</t>
        </is>
      </c>
      <c r="C4977" s="2" t="inlineStr">
        <is>
          <t>C0568</t>
        </is>
      </c>
      <c r="D4977" s="2" t="inlineStr">
        <is>
          <t>P0033</t>
        </is>
      </c>
      <c r="E4977" s="2" t="inlineStr">
        <is>
          <t>Resistance Bands</t>
        </is>
      </c>
      <c r="F4977" s="2" t="inlineStr">
        <is>
          <t>Sports</t>
        </is>
      </c>
      <c r="G4977" s="2" t="inlineStr">
        <is>
          <t>North</t>
        </is>
      </c>
      <c r="H4977" s="2" t="inlineStr">
        <is>
          <t>Haryana</t>
        </is>
      </c>
      <c r="I4977" s="2" t="inlineStr">
        <is>
          <t>Faridabad</t>
        </is>
      </c>
      <c r="J4977" s="2" t="inlineStr">
        <is>
          <t>Store</t>
        </is>
      </c>
      <c r="K4977" s="2" t="n">
        <v>3</v>
      </c>
      <c r="L4977" s="3" t="n">
        <v>1109.73</v>
      </c>
      <c r="M4977" s="4" t="n">
        <v>0</v>
      </c>
      <c r="N4977" s="3" t="n">
        <v>2328.62</v>
      </c>
      <c r="O4977" s="3">
        <f>K4977*L4977*(1-M4977)</f>
        <v/>
      </c>
      <c r="P4977" s="3">
        <f>O4977-N4977</f>
        <v/>
      </c>
      <c r="Q4977" s="5">
        <f>IFERROR(P4977/O4977,0)</f>
        <v/>
      </c>
      <c r="R4977" s="2">
        <f>TEXT(DATEVALUE(B4977),"mmm")</f>
        <v/>
      </c>
      <c r="S4977" s="2">
        <f>TEXT(DATEVALUE(B4977),"yyyy-mm")</f>
        <v/>
      </c>
    </row>
    <row r="4978">
      <c r="A4978" s="2" t="inlineStr">
        <is>
          <t>O002982</t>
        </is>
      </c>
      <c r="B4978" s="2" t="inlineStr">
        <is>
          <t>2025-12-31</t>
        </is>
      </c>
      <c r="C4978" s="2" t="inlineStr">
        <is>
          <t>C0389</t>
        </is>
      </c>
      <c r="D4978" s="2" t="inlineStr">
        <is>
          <t>P0022</t>
        </is>
      </c>
      <c r="E4978" s="2" t="inlineStr">
        <is>
          <t>Face Wash</t>
        </is>
      </c>
      <c r="F4978" s="2" t="inlineStr">
        <is>
          <t>Beauty</t>
        </is>
      </c>
      <c r="G4978" s="2" t="inlineStr">
        <is>
          <t>North</t>
        </is>
      </c>
      <c r="H4978" s="2" t="inlineStr">
        <is>
          <t>Uttar Pradesh</t>
        </is>
      </c>
      <c r="I4978" s="2" t="inlineStr">
        <is>
          <t>Varanasi</t>
        </is>
      </c>
      <c r="J4978" s="2" t="inlineStr">
        <is>
          <t>Online</t>
        </is>
      </c>
      <c r="K4978" s="2" t="n">
        <v>2</v>
      </c>
      <c r="L4978" s="3" t="n">
        <v>567.73</v>
      </c>
      <c r="M4978" s="4" t="n">
        <v>0.1</v>
      </c>
      <c r="N4978" s="3" t="n">
        <v>722.22</v>
      </c>
      <c r="O4978" s="3">
        <f>K4978*L4978*(1-M4978)</f>
        <v/>
      </c>
      <c r="P4978" s="3">
        <f>O4978-N4978</f>
        <v/>
      </c>
      <c r="Q4978" s="5">
        <f>IFERROR(P4978/O4978,0)</f>
        <v/>
      </c>
      <c r="R4978" s="2">
        <f>TEXT(DATEVALUE(B4978),"mmm")</f>
        <v/>
      </c>
      <c r="S4978" s="2">
        <f>TEXT(DATEVALUE(B4978),"yyyy-mm")</f>
        <v/>
      </c>
    </row>
    <row r="4979">
      <c r="A4979" s="2" t="inlineStr">
        <is>
          <t>O002800</t>
        </is>
      </c>
      <c r="B4979" s="2" t="inlineStr">
        <is>
          <t>2025-12-31</t>
        </is>
      </c>
      <c r="C4979" s="2" t="inlineStr">
        <is>
          <t>C0133</t>
        </is>
      </c>
      <c r="D4979" s="2" t="inlineStr">
        <is>
          <t>P0017</t>
        </is>
      </c>
      <c r="E4979" s="2" t="inlineStr">
        <is>
          <t>Jeans</t>
        </is>
      </c>
      <c r="F4979" s="2" t="inlineStr">
        <is>
          <t>Fashion</t>
        </is>
      </c>
      <c r="G4979" s="2" t="inlineStr">
        <is>
          <t>South</t>
        </is>
      </c>
      <c r="H4979" s="2" t="inlineStr">
        <is>
          <t>Tamil Nadu</t>
        </is>
      </c>
      <c r="I4979" s="2" t="inlineStr">
        <is>
          <t>Madurai</t>
        </is>
      </c>
      <c r="J4979" s="2" t="inlineStr">
        <is>
          <t>Online</t>
        </is>
      </c>
      <c r="K4979" s="2" t="n">
        <v>1</v>
      </c>
      <c r="L4979" s="3" t="n">
        <v>1502.69</v>
      </c>
      <c r="M4979" s="4" t="n">
        <v>0.15</v>
      </c>
      <c r="N4979" s="3" t="n">
        <v>1017.55</v>
      </c>
      <c r="O4979" s="3">
        <f>K4979*L4979*(1-M4979)</f>
        <v/>
      </c>
      <c r="P4979" s="3">
        <f>O4979-N4979</f>
        <v/>
      </c>
      <c r="Q4979" s="5">
        <f>IFERROR(P4979/O4979,0)</f>
        <v/>
      </c>
      <c r="R4979" s="2">
        <f>TEXT(DATEVALUE(B4979),"mmm")</f>
        <v/>
      </c>
      <c r="S4979" s="2">
        <f>TEXT(DATEVALUE(B4979),"yyyy-mm")</f>
        <v/>
      </c>
    </row>
    <row r="4980">
      <c r="A4980" s="2" t="inlineStr">
        <is>
          <t>O003401</t>
        </is>
      </c>
      <c r="B4980" s="2" t="inlineStr">
        <is>
          <t>2025-12-31</t>
        </is>
      </c>
      <c r="C4980" s="2" t="inlineStr">
        <is>
          <t>C0287</t>
        </is>
      </c>
      <c r="D4980" s="2" t="inlineStr">
        <is>
          <t>P0022</t>
        </is>
      </c>
      <c r="E4980" s="2" t="inlineStr">
        <is>
          <t>Face Wash</t>
        </is>
      </c>
      <c r="F4980" s="2" t="inlineStr">
        <is>
          <t>Beauty</t>
        </is>
      </c>
      <c r="G4980" s="2" t="inlineStr">
        <is>
          <t>North</t>
        </is>
      </c>
      <c r="H4980" s="2" t="inlineStr">
        <is>
          <t>Haryana</t>
        </is>
      </c>
      <c r="I4980" s="2" t="inlineStr">
        <is>
          <t>Faridabad</t>
        </is>
      </c>
      <c r="J4980" s="2" t="inlineStr">
        <is>
          <t>Store</t>
        </is>
      </c>
      <c r="K4980" s="2" t="n">
        <v>2</v>
      </c>
      <c r="L4980" s="3" t="n">
        <v>563.39</v>
      </c>
      <c r="M4980" s="4" t="n">
        <v>0.05</v>
      </c>
      <c r="N4980" s="3" t="n">
        <v>709.96</v>
      </c>
      <c r="O4980" s="3">
        <f>K4980*L4980*(1-M4980)</f>
        <v/>
      </c>
      <c r="P4980" s="3">
        <f>O4980-N4980</f>
        <v/>
      </c>
      <c r="Q4980" s="5">
        <f>IFERROR(P4980/O4980,0)</f>
        <v/>
      </c>
      <c r="R4980" s="2">
        <f>TEXT(DATEVALUE(B4980),"mmm")</f>
        <v/>
      </c>
      <c r="S4980" s="2">
        <f>TEXT(DATEVALUE(B4980),"yyyy-mm")</f>
        <v/>
      </c>
    </row>
    <row r="4981">
      <c r="A4981" s="2" t="inlineStr">
        <is>
          <t>O002102</t>
        </is>
      </c>
      <c r="B4981" s="2" t="inlineStr">
        <is>
          <t>2025-12-31</t>
        </is>
      </c>
      <c r="C4981" s="2" t="inlineStr">
        <is>
          <t>C0379</t>
        </is>
      </c>
      <c r="D4981" s="2" t="inlineStr">
        <is>
          <t>P0034</t>
        </is>
      </c>
      <c r="E4981" s="2" t="inlineStr">
        <is>
          <t>Gym Gloves</t>
        </is>
      </c>
      <c r="F4981" s="2" t="inlineStr">
        <is>
          <t>Sports</t>
        </is>
      </c>
      <c r="G4981" s="2" t="inlineStr">
        <is>
          <t>East</t>
        </is>
      </c>
      <c r="H4981" s="2" t="inlineStr">
        <is>
          <t>Odisha</t>
        </is>
      </c>
      <c r="I4981" s="2" t="inlineStr">
        <is>
          <t>Bhubaneswar</t>
        </is>
      </c>
      <c r="J4981" s="2" t="inlineStr">
        <is>
          <t>Online</t>
        </is>
      </c>
      <c r="K4981" s="2" t="n">
        <v>4</v>
      </c>
      <c r="L4981" s="3" t="n">
        <v>613.64</v>
      </c>
      <c r="M4981" s="4" t="n">
        <v>0.1</v>
      </c>
      <c r="N4981" s="3" t="n">
        <v>1659.05</v>
      </c>
      <c r="O4981" s="3">
        <f>K4981*L4981*(1-M4981)</f>
        <v/>
      </c>
      <c r="P4981" s="3">
        <f>O4981-N4981</f>
        <v/>
      </c>
      <c r="Q4981" s="5">
        <f>IFERROR(P4981/O4981,0)</f>
        <v/>
      </c>
      <c r="R4981" s="2">
        <f>TEXT(DATEVALUE(B4981),"mmm")</f>
        <v/>
      </c>
      <c r="S4981" s="2">
        <f>TEXT(DATEVALUE(B4981),"yyyy-mm")</f>
        <v/>
      </c>
    </row>
    <row r="4982">
      <c r="A4982" s="2" t="inlineStr">
        <is>
          <t>O003527</t>
        </is>
      </c>
      <c r="B4982" s="2" t="inlineStr">
        <is>
          <t>2025-12-31</t>
        </is>
      </c>
      <c r="C4982" s="2" t="inlineStr">
        <is>
          <t>C0476</t>
        </is>
      </c>
      <c r="D4982" s="2" t="inlineStr">
        <is>
          <t>P0012</t>
        </is>
      </c>
      <c r="E4982" s="2" t="inlineStr">
        <is>
          <t>Water Bottle</t>
        </is>
      </c>
      <c r="F4982" s="2" t="inlineStr">
        <is>
          <t>Home &amp; Kitchen</t>
        </is>
      </c>
      <c r="G4982" s="2" t="inlineStr">
        <is>
          <t>West</t>
        </is>
      </c>
      <c r="H4982" s="2" t="inlineStr">
        <is>
          <t>Gujarat</t>
        </is>
      </c>
      <c r="I4982" s="2" t="inlineStr">
        <is>
          <t>Vadodara</t>
        </is>
      </c>
      <c r="J4982" s="2" t="inlineStr">
        <is>
          <t>Store</t>
        </is>
      </c>
      <c r="K4982" s="2" t="n">
        <v>1</v>
      </c>
      <c r="L4982" s="3" t="n">
        <v>1017.55</v>
      </c>
      <c r="M4982" s="4" t="n">
        <v>0.05</v>
      </c>
      <c r="N4982" s="3" t="n">
        <v>612.88</v>
      </c>
      <c r="O4982" s="3">
        <f>K4982*L4982*(1-M4982)</f>
        <v/>
      </c>
      <c r="P4982" s="3">
        <f>O4982-N4982</f>
        <v/>
      </c>
      <c r="Q4982" s="5">
        <f>IFERROR(P4982/O4982,0)</f>
        <v/>
      </c>
      <c r="R4982" s="2">
        <f>TEXT(DATEVALUE(B4982),"mmm")</f>
        <v/>
      </c>
      <c r="S4982" s="2">
        <f>TEXT(DATEVALUE(B4982),"yyyy-mm")</f>
        <v/>
      </c>
    </row>
    <row r="4983">
      <c r="A4983" s="2" t="inlineStr">
        <is>
          <t>O004052</t>
        </is>
      </c>
      <c r="B4983" s="2" t="inlineStr">
        <is>
          <t>2025-12-31</t>
        </is>
      </c>
      <c r="C4983" s="2" t="inlineStr">
        <is>
          <t>C0697</t>
        </is>
      </c>
      <c r="D4983" s="2" t="inlineStr">
        <is>
          <t>P0022</t>
        </is>
      </c>
      <c r="E4983" s="2" t="inlineStr">
        <is>
          <t>Face Wash</t>
        </is>
      </c>
      <c r="F4983" s="2" t="inlineStr">
        <is>
          <t>Beauty</t>
        </is>
      </c>
      <c r="G4983" s="2" t="inlineStr">
        <is>
          <t>South</t>
        </is>
      </c>
      <c r="H4983" s="2" t="inlineStr">
        <is>
          <t>Kerala</t>
        </is>
      </c>
      <c r="I4983" s="2" t="inlineStr">
        <is>
          <t>Thiruvananthapuram</t>
        </is>
      </c>
      <c r="J4983" s="2" t="inlineStr">
        <is>
          <t>Online</t>
        </is>
      </c>
      <c r="K4983" s="2" t="n">
        <v>1</v>
      </c>
      <c r="L4983" s="3" t="n">
        <v>555.14</v>
      </c>
      <c r="M4983" s="4" t="n">
        <v>0</v>
      </c>
      <c r="N4983" s="3" t="n">
        <v>359.12</v>
      </c>
      <c r="O4983" s="3">
        <f>K4983*L4983*(1-M4983)</f>
        <v/>
      </c>
      <c r="P4983" s="3">
        <f>O4983-N4983</f>
        <v/>
      </c>
      <c r="Q4983" s="5">
        <f>IFERROR(P4983/O4983,0)</f>
        <v/>
      </c>
      <c r="R4983" s="2">
        <f>TEXT(DATEVALUE(B4983),"mmm")</f>
        <v/>
      </c>
      <c r="S4983" s="2">
        <f>TEXT(DATEVALUE(B4983),"yyyy-mm")</f>
        <v/>
      </c>
    </row>
    <row r="4984">
      <c r="A4984" s="2" t="inlineStr">
        <is>
          <t>O003443</t>
        </is>
      </c>
      <c r="B4984" s="2" t="inlineStr">
        <is>
          <t>2025-12-31</t>
        </is>
      </c>
      <c r="C4984" s="2" t="inlineStr">
        <is>
          <t>C0617</t>
        </is>
      </c>
      <c r="D4984" s="2" t="inlineStr">
        <is>
          <t>P0011</t>
        </is>
      </c>
      <c r="E4984" s="2" t="inlineStr">
        <is>
          <t>Cookware Set</t>
        </is>
      </c>
      <c r="F4984" s="2" t="inlineStr">
        <is>
          <t>Home &amp; Kitchen</t>
        </is>
      </c>
      <c r="G4984" s="2" t="inlineStr">
        <is>
          <t>South</t>
        </is>
      </c>
      <c r="H4984" s="2" t="inlineStr">
        <is>
          <t>Kerala</t>
        </is>
      </c>
      <c r="I4984" s="2" t="inlineStr">
        <is>
          <t>Thiruvananthapuram</t>
        </is>
      </c>
      <c r="J4984" s="2" t="inlineStr">
        <is>
          <t>Online</t>
        </is>
      </c>
      <c r="K4984" s="2" t="n">
        <v>1</v>
      </c>
      <c r="L4984" s="3" t="n">
        <v>676.33</v>
      </c>
      <c r="M4984" s="4" t="n">
        <v>0.1</v>
      </c>
      <c r="N4984" s="3" t="n">
        <v>467.53</v>
      </c>
      <c r="O4984" s="3">
        <f>K4984*L4984*(1-M4984)</f>
        <v/>
      </c>
      <c r="P4984" s="3">
        <f>O4984-N4984</f>
        <v/>
      </c>
      <c r="Q4984" s="5">
        <f>IFERROR(P4984/O4984,0)</f>
        <v/>
      </c>
      <c r="R4984" s="2">
        <f>TEXT(DATEVALUE(B4984),"mmm")</f>
        <v/>
      </c>
      <c r="S4984" s="2">
        <f>TEXT(DATEVALUE(B4984),"yyyy-mm")</f>
        <v/>
      </c>
    </row>
    <row r="4985">
      <c r="A4985" s="2" t="inlineStr">
        <is>
          <t>O001682</t>
        </is>
      </c>
      <c r="B4985" s="2" t="inlineStr">
        <is>
          <t>2025-12-31</t>
        </is>
      </c>
      <c r="C4985" s="2" t="inlineStr">
        <is>
          <t>C0232</t>
        </is>
      </c>
      <c r="D4985" s="2" t="inlineStr">
        <is>
          <t>P0006</t>
        </is>
      </c>
      <c r="E4985" s="2" t="inlineStr">
        <is>
          <t>Mechanical Keyboard</t>
        </is>
      </c>
      <c r="F4985" s="2" t="inlineStr">
        <is>
          <t>Electronics</t>
        </is>
      </c>
      <c r="G4985" s="2" t="inlineStr">
        <is>
          <t>West</t>
        </is>
      </c>
      <c r="H4985" s="2" t="inlineStr">
        <is>
          <t>Maharashtra</t>
        </is>
      </c>
      <c r="I4985" s="2" t="inlineStr">
        <is>
          <t>Nashik</t>
        </is>
      </c>
      <c r="J4985" s="2" t="inlineStr">
        <is>
          <t>Online</t>
        </is>
      </c>
      <c r="K4985" s="2" t="n">
        <v>1</v>
      </c>
      <c r="L4985" s="3" t="n">
        <v>2691.51</v>
      </c>
      <c r="M4985" s="4" t="n">
        <v>0.1</v>
      </c>
      <c r="N4985" s="3" t="n">
        <v>1524.02</v>
      </c>
      <c r="O4985" s="3">
        <f>K4985*L4985*(1-M4985)</f>
        <v/>
      </c>
      <c r="P4985" s="3">
        <f>O4985-N4985</f>
        <v/>
      </c>
      <c r="Q4985" s="5">
        <f>IFERROR(P4985/O4985,0)</f>
        <v/>
      </c>
      <c r="R4985" s="2">
        <f>TEXT(DATEVALUE(B4985),"mmm")</f>
        <v/>
      </c>
      <c r="S4985" s="2">
        <f>TEXT(DATEVALUE(B4985),"yyyy-mm")</f>
        <v/>
      </c>
    </row>
    <row r="4986">
      <c r="A4986" s="2" t="inlineStr">
        <is>
          <t>O004112</t>
        </is>
      </c>
      <c r="B4986" s="2" t="inlineStr">
        <is>
          <t>2025-12-31</t>
        </is>
      </c>
      <c r="C4986" s="2" t="inlineStr">
        <is>
          <t>C0635</t>
        </is>
      </c>
      <c r="D4986" s="2" t="inlineStr">
        <is>
          <t>P0029</t>
        </is>
      </c>
      <c r="E4986" s="2" t="inlineStr">
        <is>
          <t>Yoga Mat</t>
        </is>
      </c>
      <c r="F4986" s="2" t="inlineStr">
        <is>
          <t>Sports</t>
        </is>
      </c>
      <c r="G4986" s="2" t="inlineStr">
        <is>
          <t>East</t>
        </is>
      </c>
      <c r="H4986" s="2" t="inlineStr">
        <is>
          <t>Bihar</t>
        </is>
      </c>
      <c r="I4986" s="2" t="inlineStr">
        <is>
          <t>Patna</t>
        </is>
      </c>
      <c r="J4986" s="2" t="inlineStr">
        <is>
          <t>Online</t>
        </is>
      </c>
      <c r="K4986" s="2" t="n">
        <v>2</v>
      </c>
      <c r="L4986" s="3" t="n">
        <v>2364.79</v>
      </c>
      <c r="M4986" s="4" t="n">
        <v>0.1</v>
      </c>
      <c r="N4986" s="3" t="n">
        <v>2713.39</v>
      </c>
      <c r="O4986" s="3">
        <f>K4986*L4986*(1-M4986)</f>
        <v/>
      </c>
      <c r="P4986" s="3">
        <f>O4986-N4986</f>
        <v/>
      </c>
      <c r="Q4986" s="5">
        <f>IFERROR(P4986/O4986,0)</f>
        <v/>
      </c>
      <c r="R4986" s="2">
        <f>TEXT(DATEVALUE(B4986),"mmm")</f>
        <v/>
      </c>
      <c r="S4986" s="2">
        <f>TEXT(DATEVALUE(B4986),"yyyy-mm")</f>
        <v/>
      </c>
    </row>
    <row r="4987">
      <c r="A4987" s="2" t="inlineStr">
        <is>
          <t>O001403</t>
        </is>
      </c>
      <c r="B4987" s="2" t="inlineStr">
        <is>
          <t>2025-12-31</t>
        </is>
      </c>
      <c r="C4987" s="2" t="inlineStr">
        <is>
          <t>C0218</t>
        </is>
      </c>
      <c r="D4987" s="2" t="inlineStr">
        <is>
          <t>P0011</t>
        </is>
      </c>
      <c r="E4987" s="2" t="inlineStr">
        <is>
          <t>Cookware Set</t>
        </is>
      </c>
      <c r="F4987" s="2" t="inlineStr">
        <is>
          <t>Home &amp; Kitchen</t>
        </is>
      </c>
      <c r="G4987" s="2" t="inlineStr">
        <is>
          <t>South</t>
        </is>
      </c>
      <c r="H4987" s="2" t="inlineStr">
        <is>
          <t>Kerala</t>
        </is>
      </c>
      <c r="I4987" s="2" t="inlineStr">
        <is>
          <t>Kochi</t>
        </is>
      </c>
      <c r="J4987" s="2" t="inlineStr">
        <is>
          <t>Online</t>
        </is>
      </c>
      <c r="K4987" s="2" t="n">
        <v>1</v>
      </c>
      <c r="L4987" s="3" t="n">
        <v>688.97</v>
      </c>
      <c r="M4987" s="4" t="n">
        <v>0</v>
      </c>
      <c r="N4987" s="3" t="n">
        <v>476.41</v>
      </c>
      <c r="O4987" s="3">
        <f>K4987*L4987*(1-M4987)</f>
        <v/>
      </c>
      <c r="P4987" s="3">
        <f>O4987-N4987</f>
        <v/>
      </c>
      <c r="Q4987" s="5">
        <f>IFERROR(P4987/O4987,0)</f>
        <v/>
      </c>
      <c r="R4987" s="2">
        <f>TEXT(DATEVALUE(B4987),"mmm")</f>
        <v/>
      </c>
      <c r="S4987" s="2">
        <f>TEXT(DATEVALUE(B4987),"yyyy-mm")</f>
        <v/>
      </c>
    </row>
    <row r="4988">
      <c r="A4988" s="2" t="inlineStr">
        <is>
          <t>O001101</t>
        </is>
      </c>
      <c r="B4988" s="2" t="inlineStr">
        <is>
          <t>2025-12-31</t>
        </is>
      </c>
      <c r="C4988" s="2" t="inlineStr">
        <is>
          <t>C0092</t>
        </is>
      </c>
      <c r="D4988" s="2" t="inlineStr">
        <is>
          <t>P0007</t>
        </is>
      </c>
      <c r="E4988" s="2" t="inlineStr">
        <is>
          <t>Wireless Mouse</t>
        </is>
      </c>
      <c r="F4988" s="2" t="inlineStr">
        <is>
          <t>Electronics</t>
        </is>
      </c>
      <c r="G4988" s="2" t="inlineStr">
        <is>
          <t>South</t>
        </is>
      </c>
      <c r="H4988" s="2" t="inlineStr">
        <is>
          <t>Karnataka</t>
        </is>
      </c>
      <c r="I4988" s="2" t="inlineStr">
        <is>
          <t>Mangaluru</t>
        </is>
      </c>
      <c r="J4988" s="2" t="inlineStr">
        <is>
          <t>Online</t>
        </is>
      </c>
      <c r="K4988" s="2" t="n">
        <v>4</v>
      </c>
      <c r="L4988" s="3" t="n">
        <v>1002.15</v>
      </c>
      <c r="M4988" s="4" t="n">
        <v>0.1</v>
      </c>
      <c r="N4988" s="3" t="n">
        <v>2477.15</v>
      </c>
      <c r="O4988" s="3">
        <f>K4988*L4988*(1-M4988)</f>
        <v/>
      </c>
      <c r="P4988" s="3">
        <f>O4988-N4988</f>
        <v/>
      </c>
      <c r="Q4988" s="5">
        <f>IFERROR(P4988/O4988,0)</f>
        <v/>
      </c>
      <c r="R4988" s="2">
        <f>TEXT(DATEVALUE(B4988),"mmm")</f>
        <v/>
      </c>
      <c r="S4988" s="2">
        <f>TEXT(DATEVALUE(B4988),"yyyy-mm")</f>
        <v/>
      </c>
    </row>
    <row r="4989">
      <c r="A4989" s="2" t="inlineStr">
        <is>
          <t>O000941</t>
        </is>
      </c>
      <c r="B4989" s="2" t="inlineStr">
        <is>
          <t>2025-12-31</t>
        </is>
      </c>
      <c r="C4989" s="2" t="inlineStr">
        <is>
          <t>C0373</t>
        </is>
      </c>
      <c r="D4989" s="2" t="inlineStr">
        <is>
          <t>P0012</t>
        </is>
      </c>
      <c r="E4989" s="2" t="inlineStr">
        <is>
          <t>Water Bottle</t>
        </is>
      </c>
      <c r="F4989" s="2" t="inlineStr">
        <is>
          <t>Home &amp; Kitchen</t>
        </is>
      </c>
      <c r="G4989" s="2" t="inlineStr">
        <is>
          <t>West</t>
        </is>
      </c>
      <c r="H4989" s="2" t="inlineStr">
        <is>
          <t>Gujarat</t>
        </is>
      </c>
      <c r="I4989" s="2" t="inlineStr">
        <is>
          <t>Vadodara</t>
        </is>
      </c>
      <c r="J4989" s="2" t="inlineStr">
        <is>
          <t>Online</t>
        </is>
      </c>
      <c r="K4989" s="2" t="n">
        <v>2</v>
      </c>
      <c r="L4989" s="3" t="n">
        <v>983.63</v>
      </c>
      <c r="M4989" s="4" t="n">
        <v>0.15</v>
      </c>
      <c r="N4989" s="3" t="n">
        <v>1204.32</v>
      </c>
      <c r="O4989" s="3">
        <f>K4989*L4989*(1-M4989)</f>
        <v/>
      </c>
      <c r="P4989" s="3">
        <f>O4989-N4989</f>
        <v/>
      </c>
      <c r="Q4989" s="5">
        <f>IFERROR(P4989/O4989,0)</f>
        <v/>
      </c>
      <c r="R4989" s="2">
        <f>TEXT(DATEVALUE(B4989),"mmm")</f>
        <v/>
      </c>
      <c r="S4989" s="2">
        <f>TEXT(DATEVALUE(B4989),"yyyy-mm")</f>
        <v/>
      </c>
    </row>
    <row r="4990">
      <c r="A4990" s="2" t="inlineStr">
        <is>
          <t>O000890</t>
        </is>
      </c>
      <c r="B4990" s="2" t="inlineStr">
        <is>
          <t>2025-12-31</t>
        </is>
      </c>
      <c r="C4990" s="2" t="inlineStr">
        <is>
          <t>C0393</t>
        </is>
      </c>
      <c r="D4990" s="2" t="inlineStr">
        <is>
          <t>P0018</t>
        </is>
      </c>
      <c r="E4990" s="2" t="inlineStr">
        <is>
          <t>Backpack</t>
        </is>
      </c>
      <c r="F4990" s="2" t="inlineStr">
        <is>
          <t>Fashion</t>
        </is>
      </c>
      <c r="G4990" s="2" t="inlineStr">
        <is>
          <t>North</t>
        </is>
      </c>
      <c r="H4990" s="2" t="inlineStr">
        <is>
          <t>Uttar Pradesh</t>
        </is>
      </c>
      <c r="I4990" s="2" t="inlineStr">
        <is>
          <t>Noida</t>
        </is>
      </c>
      <c r="J4990" s="2" t="inlineStr">
        <is>
          <t>Store</t>
        </is>
      </c>
      <c r="K4990" s="2" t="n">
        <v>1</v>
      </c>
      <c r="L4990" s="3" t="n">
        <v>1893.02</v>
      </c>
      <c r="M4990" s="4" t="n">
        <v>0.15</v>
      </c>
      <c r="N4990" s="3" t="n">
        <v>1349.08</v>
      </c>
      <c r="O4990" s="3">
        <f>K4990*L4990*(1-M4990)</f>
        <v/>
      </c>
      <c r="P4990" s="3">
        <f>O4990-N4990</f>
        <v/>
      </c>
      <c r="Q4990" s="5">
        <f>IFERROR(P4990/O4990,0)</f>
        <v/>
      </c>
      <c r="R4990" s="2">
        <f>TEXT(DATEVALUE(B4990),"mmm")</f>
        <v/>
      </c>
      <c r="S4990" s="2">
        <f>TEXT(DATEVALUE(B4990),"yyyy-mm")</f>
        <v/>
      </c>
    </row>
    <row r="4991">
      <c r="A4991" s="2" t="inlineStr">
        <is>
          <t>O000720</t>
        </is>
      </c>
      <c r="B4991" s="2" t="inlineStr">
        <is>
          <t>2025-12-31</t>
        </is>
      </c>
      <c r="C4991" s="2" t="inlineStr">
        <is>
          <t>C0568</t>
        </is>
      </c>
      <c r="D4991" s="2" t="inlineStr">
        <is>
          <t>P0022</t>
        </is>
      </c>
      <c r="E4991" s="2" t="inlineStr">
        <is>
          <t>Face Wash</t>
        </is>
      </c>
      <c r="F4991" s="2" t="inlineStr">
        <is>
          <t>Beauty</t>
        </is>
      </c>
      <c r="G4991" s="2" t="inlineStr">
        <is>
          <t>North</t>
        </is>
      </c>
      <c r="H4991" s="2" t="inlineStr">
        <is>
          <t>Haryana</t>
        </is>
      </c>
      <c r="I4991" s="2" t="inlineStr">
        <is>
          <t>Gurugram</t>
        </is>
      </c>
      <c r="J4991" s="2" t="inlineStr">
        <is>
          <t>Store</t>
        </is>
      </c>
      <c r="K4991" s="2" t="n">
        <v>2</v>
      </c>
      <c r="L4991" s="3" t="n">
        <v>573.37</v>
      </c>
      <c r="M4991" s="4" t="n">
        <v>0.2</v>
      </c>
      <c r="N4991" s="3" t="n">
        <v>709.52</v>
      </c>
      <c r="O4991" s="3">
        <f>K4991*L4991*(1-M4991)</f>
        <v/>
      </c>
      <c r="P4991" s="3">
        <f>O4991-N4991</f>
        <v/>
      </c>
      <c r="Q4991" s="5">
        <f>IFERROR(P4991/O4991,0)</f>
        <v/>
      </c>
      <c r="R4991" s="2">
        <f>TEXT(DATEVALUE(B4991),"mmm")</f>
        <v/>
      </c>
      <c r="S4991" s="2">
        <f>TEXT(DATEVALUE(B4991),"yyyy-mm")</f>
        <v/>
      </c>
    </row>
    <row r="4992">
      <c r="A4992" s="2" t="inlineStr">
        <is>
          <t>O000619</t>
        </is>
      </c>
      <c r="B4992" s="2" t="inlineStr">
        <is>
          <t>2025-12-31</t>
        </is>
      </c>
      <c r="C4992" s="2" t="inlineStr">
        <is>
          <t>C0511</t>
        </is>
      </c>
      <c r="D4992" s="2" t="inlineStr">
        <is>
          <t>P0021</t>
        </is>
      </c>
      <c r="E4992" s="2" t="inlineStr">
        <is>
          <t>Wallet</t>
        </is>
      </c>
      <c r="F4992" s="2" t="inlineStr">
        <is>
          <t>Fashion</t>
        </is>
      </c>
      <c r="G4992" s="2" t="inlineStr">
        <is>
          <t>South</t>
        </is>
      </c>
      <c r="H4992" s="2" t="inlineStr">
        <is>
          <t>Tamil Nadu</t>
        </is>
      </c>
      <c r="I4992" s="2" t="inlineStr">
        <is>
          <t>Chennai</t>
        </is>
      </c>
      <c r="J4992" s="2" t="inlineStr">
        <is>
          <t>Online</t>
        </is>
      </c>
      <c r="K4992" s="2" t="n">
        <v>4</v>
      </c>
      <c r="L4992" s="3" t="n">
        <v>1965.24</v>
      </c>
      <c r="M4992" s="4" t="n">
        <v>0.05</v>
      </c>
      <c r="N4992" s="3" t="n">
        <v>4781.98</v>
      </c>
      <c r="O4992" s="3">
        <f>K4992*L4992*(1-M4992)</f>
        <v/>
      </c>
      <c r="P4992" s="3">
        <f>O4992-N4992</f>
        <v/>
      </c>
      <c r="Q4992" s="5">
        <f>IFERROR(P4992/O4992,0)</f>
        <v/>
      </c>
      <c r="R4992" s="2">
        <f>TEXT(DATEVALUE(B4992),"mmm")</f>
        <v/>
      </c>
      <c r="S4992" s="2">
        <f>TEXT(DATEVALUE(B4992),"yyyy-mm")</f>
        <v/>
      </c>
    </row>
    <row r="4993">
      <c r="A4993" s="2" t="inlineStr">
        <is>
          <t>O000420</t>
        </is>
      </c>
      <c r="B4993" s="2" t="inlineStr">
        <is>
          <t>2025-12-31</t>
        </is>
      </c>
      <c r="C4993" s="2" t="inlineStr">
        <is>
          <t>C0017</t>
        </is>
      </c>
      <c r="D4993" s="2" t="inlineStr">
        <is>
          <t>P0004</t>
        </is>
      </c>
      <c r="E4993" s="2" t="inlineStr">
        <is>
          <t>USB-C Hub</t>
        </is>
      </c>
      <c r="F4993" s="2" t="inlineStr">
        <is>
          <t>Electronics</t>
        </is>
      </c>
      <c r="G4993" s="2" t="inlineStr">
        <is>
          <t>North</t>
        </is>
      </c>
      <c r="H4993" s="2" t="inlineStr">
        <is>
          <t>Punjab</t>
        </is>
      </c>
      <c r="I4993" s="2" t="inlineStr">
        <is>
          <t>Amritsar</t>
        </is>
      </c>
      <c r="J4993" s="2" t="inlineStr">
        <is>
          <t>Store</t>
        </is>
      </c>
      <c r="K4993" s="2" t="n">
        <v>1</v>
      </c>
      <c r="L4993" s="3" t="n">
        <v>1227.8</v>
      </c>
      <c r="M4993" s="4" t="n">
        <v>0.15</v>
      </c>
      <c r="N4993" s="3" t="n">
        <v>923.8099999999999</v>
      </c>
      <c r="O4993" s="3">
        <f>K4993*L4993*(1-M4993)</f>
        <v/>
      </c>
      <c r="P4993" s="3">
        <f>O4993-N4993</f>
        <v/>
      </c>
      <c r="Q4993" s="5">
        <f>IFERROR(P4993/O4993,0)</f>
        <v/>
      </c>
      <c r="R4993" s="2">
        <f>TEXT(DATEVALUE(B4993),"mmm")</f>
        <v/>
      </c>
      <c r="S4993" s="2">
        <f>TEXT(DATEVALUE(B4993),"yyyy-mm")</f>
        <v/>
      </c>
    </row>
    <row r="4994">
      <c r="A4994" s="2" t="inlineStr">
        <is>
          <t>O000313</t>
        </is>
      </c>
      <c r="B4994" s="2" t="inlineStr">
        <is>
          <t>2025-12-31</t>
        </is>
      </c>
      <c r="C4994" s="2" t="inlineStr">
        <is>
          <t>C0215</t>
        </is>
      </c>
      <c r="D4994" s="2" t="inlineStr">
        <is>
          <t>P0003</t>
        </is>
      </c>
      <c r="E4994" s="2" t="inlineStr">
        <is>
          <t>Smartwatch</t>
        </is>
      </c>
      <c r="F4994" s="2" t="inlineStr">
        <is>
          <t>Electronics</t>
        </is>
      </c>
      <c r="G4994" s="2" t="inlineStr">
        <is>
          <t>South</t>
        </is>
      </c>
      <c r="H4994" s="2" t="inlineStr">
        <is>
          <t>Telangana</t>
        </is>
      </c>
      <c r="I4994" s="2" t="inlineStr">
        <is>
          <t>Hyderabad</t>
        </is>
      </c>
      <c r="J4994" s="2" t="inlineStr">
        <is>
          <t>Online</t>
        </is>
      </c>
      <c r="K4994" s="2" t="n">
        <v>1</v>
      </c>
      <c r="L4994" s="3" t="n">
        <v>2253.38</v>
      </c>
      <c r="M4994" s="4" t="n">
        <v>0.2</v>
      </c>
      <c r="N4994" s="3" t="n">
        <v>1190.79</v>
      </c>
      <c r="O4994" s="3">
        <f>K4994*L4994*(1-M4994)</f>
        <v/>
      </c>
      <c r="P4994" s="3">
        <f>O4994-N4994</f>
        <v/>
      </c>
      <c r="Q4994" s="5">
        <f>IFERROR(P4994/O4994,0)</f>
        <v/>
      </c>
      <c r="R4994" s="2">
        <f>TEXT(DATEVALUE(B4994),"mmm")</f>
        <v/>
      </c>
      <c r="S4994" s="2">
        <f>TEXT(DATEVALUE(B4994),"yyyy-mm")</f>
        <v/>
      </c>
    </row>
    <row r="4995">
      <c r="A4995" s="2" t="inlineStr">
        <is>
          <t>O001450</t>
        </is>
      </c>
      <c r="B4995" s="2" t="inlineStr">
        <is>
          <t>2025-12-31</t>
        </is>
      </c>
      <c r="C4995" s="2" t="inlineStr">
        <is>
          <t>C0385</t>
        </is>
      </c>
      <c r="D4995" s="2" t="inlineStr">
        <is>
          <t>P0014</t>
        </is>
      </c>
      <c r="E4995" s="2" t="inlineStr">
        <is>
          <t>Coffee Maker</t>
        </is>
      </c>
      <c r="F4995" s="2" t="inlineStr">
        <is>
          <t>Home &amp; Kitchen</t>
        </is>
      </c>
      <c r="G4995" s="2" t="inlineStr">
        <is>
          <t>North</t>
        </is>
      </c>
      <c r="H4995" s="2" t="inlineStr">
        <is>
          <t>Haryana</t>
        </is>
      </c>
      <c r="I4995" s="2" t="inlineStr">
        <is>
          <t>Gurugram</t>
        </is>
      </c>
      <c r="J4995" s="2" t="inlineStr">
        <is>
          <t>Store</t>
        </is>
      </c>
      <c r="K4995" s="2" t="n">
        <v>3</v>
      </c>
      <c r="L4995" s="3" t="n">
        <v>1015.06</v>
      </c>
      <c r="M4995" s="4" t="n">
        <v>0.15</v>
      </c>
      <c r="N4995" s="3" t="n">
        <v>2342.77</v>
      </c>
      <c r="O4995" s="3">
        <f>K4995*L4995*(1-M4995)</f>
        <v/>
      </c>
      <c r="P4995" s="3">
        <f>O4995-N4995</f>
        <v/>
      </c>
      <c r="Q4995" s="5">
        <f>IFERROR(P4995/O4995,0)</f>
        <v/>
      </c>
      <c r="R4995" s="2">
        <f>TEXT(DATEVALUE(B4995),"mmm")</f>
        <v/>
      </c>
      <c r="S4995" s="2">
        <f>TEXT(DATEVALUE(B4995),"yyyy-mm")</f>
        <v/>
      </c>
    </row>
    <row r="4996">
      <c r="A4996" s="2" t="inlineStr">
        <is>
          <t>O004826</t>
        </is>
      </c>
      <c r="B4996" s="2" t="inlineStr">
        <is>
          <t>2025-12-31</t>
        </is>
      </c>
      <c r="C4996" s="2" t="inlineStr">
        <is>
          <t>C0001</t>
        </is>
      </c>
      <c r="D4996" s="2" t="inlineStr">
        <is>
          <t>P0010</t>
        </is>
      </c>
      <c r="E4996" s="2" t="inlineStr">
        <is>
          <t>Mixer Grinder</t>
        </is>
      </c>
      <c r="F4996" s="2" t="inlineStr">
        <is>
          <t>Home &amp; Kitchen</t>
        </is>
      </c>
      <c r="G4996" s="2" t="inlineStr">
        <is>
          <t>South</t>
        </is>
      </c>
      <c r="H4996" s="2" t="inlineStr">
        <is>
          <t>Kerala</t>
        </is>
      </c>
      <c r="I4996" s="2" t="inlineStr">
        <is>
          <t>Thiruvananthapuram</t>
        </is>
      </c>
      <c r="J4996" s="2" t="inlineStr">
        <is>
          <t>Store</t>
        </is>
      </c>
      <c r="K4996" s="2" t="n">
        <v>1</v>
      </c>
      <c r="L4996" s="3" t="n">
        <v>1679.48</v>
      </c>
      <c r="M4996" s="4" t="n">
        <v>0.05</v>
      </c>
      <c r="N4996" s="3" t="n">
        <v>1063.61</v>
      </c>
      <c r="O4996" s="3">
        <f>K4996*L4996*(1-M4996)</f>
        <v/>
      </c>
      <c r="P4996" s="3">
        <f>O4996-N4996</f>
        <v/>
      </c>
      <c r="Q4996" s="5">
        <f>IFERROR(P4996/O4996,0)</f>
        <v/>
      </c>
      <c r="R4996" s="2">
        <f>TEXT(DATEVALUE(B4996),"mmm")</f>
        <v/>
      </c>
      <c r="S4996" s="2">
        <f>TEXT(DATEVALUE(B4996),"yyyy-mm")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65" customWidth="1" min="4" max="4"/>
  </cols>
  <sheetData>
    <row r="1">
      <c r="A1" s="6" t="inlineStr">
        <is>
          <t>RETAILPULSE BI - KEY PERFORMANCE INDICATORS (KPI SUMMARY)</t>
        </is>
      </c>
    </row>
    <row r="2"/>
    <row r="3">
      <c r="A3" s="1" t="inlineStr">
        <is>
          <t>KPI Metric Name</t>
        </is>
      </c>
      <c r="B3" s="1" t="inlineStr">
        <is>
          <t>Calculated Value</t>
        </is>
      </c>
      <c r="C3" s="1" t="inlineStr">
        <is>
          <t>Excel Formula Reference</t>
        </is>
      </c>
      <c r="D3" s="1" t="inlineStr">
        <is>
          <t>Business Description</t>
        </is>
      </c>
    </row>
    <row r="4">
      <c r="A4" s="7" t="inlineStr">
        <is>
          <t>Total Revenue</t>
        </is>
      </c>
      <c r="B4" s="3">
        <f>SUM(Orders!O2:O4996)</f>
        <v/>
      </c>
      <c r="C4" s="2">
        <f>SUM(Orders!O2:O4996)</f>
        <v/>
      </c>
      <c r="D4" s="2" t="inlineStr">
        <is>
          <t>Total sales revenue generated after discounts across all orders.</t>
        </is>
      </c>
    </row>
    <row r="5">
      <c r="A5" s="7" t="inlineStr">
        <is>
          <t>Total Profit</t>
        </is>
      </c>
      <c r="B5" s="3">
        <f>SUM(Orders!P2:P4996)</f>
        <v/>
      </c>
      <c r="C5" s="2">
        <f>SUM(Orders!P2:P4996)</f>
        <v/>
      </c>
      <c r="D5" s="2" t="inlineStr">
        <is>
          <t>Total net profit earned (Revenue minus Product Costs).</t>
        </is>
      </c>
    </row>
    <row r="6">
      <c r="A6" s="7" t="inlineStr">
        <is>
          <t>Total Orders</t>
        </is>
      </c>
      <c r="B6" s="8">
        <f>COUNTA(Orders!A2:A4996)</f>
        <v/>
      </c>
      <c r="C6" s="2">
        <f>COUNTA(Orders!A2:A4996)</f>
        <v/>
      </c>
      <c r="D6" s="2" t="inlineStr">
        <is>
          <t>Total number of valid order transactions processed.</t>
        </is>
      </c>
    </row>
    <row r="7">
      <c r="A7" s="7" t="inlineStr">
        <is>
          <t>Total Units Sold</t>
        </is>
      </c>
      <c r="B7" s="8">
        <f>SUM(Orders!K2:K4996)</f>
        <v/>
      </c>
      <c r="C7" s="2">
        <f>SUM(Orders!K2:K4996)</f>
        <v/>
      </c>
      <c r="D7" s="2" t="inlineStr">
        <is>
          <t>Total quantity of physical items purchased across all orders.</t>
        </is>
      </c>
    </row>
    <row r="8">
      <c r="A8" s="7" t="inlineStr">
        <is>
          <t>Average Order Value (AOV)</t>
        </is>
      </c>
      <c r="B8" s="3">
        <f>B4/B6</f>
        <v/>
      </c>
      <c r="C8" s="2">
        <f>B4/B6</f>
        <v/>
      </c>
      <c r="D8" s="2" t="inlineStr">
        <is>
          <t>Average revenue generated per order transaction.</t>
        </is>
      </c>
    </row>
    <row r="9">
      <c r="A9" s="7" t="inlineStr">
        <is>
          <t>Overall Profit Margin</t>
        </is>
      </c>
      <c r="B9" s="5">
        <f>B5/B4</f>
        <v/>
      </c>
      <c r="C9" s="2">
        <f>B5/B4</f>
        <v/>
      </c>
      <c r="D9" s="2" t="inlineStr">
        <is>
          <t>Overall business profit margin percentage (Total Profit / Total Revenue).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7" customWidth="1" min="3" max="3"/>
    <col width="52" customWidth="1" min="4" max="4"/>
    <col width="52" customWidth="1" min="5" max="5"/>
    <col width="52" customWidth="1" min="6" max="6"/>
    <col width="12" customWidth="1" min="7" max="7"/>
  </cols>
  <sheetData>
    <row r="1">
      <c r="A1" s="6" t="inlineStr">
        <is>
          <t>PRODUCT PERFORMANCE ANALYSIS (TOP 10 BY REVENUE &amp; PROFIT)</t>
        </is>
      </c>
    </row>
    <row r="2"/>
    <row r="3">
      <c r="A3" s="9" t="inlineStr">
        <is>
          <t>Top 10 Products by Revenue</t>
        </is>
      </c>
    </row>
    <row r="4">
      <c r="A4" s="1" t="inlineStr">
        <is>
          <t>Product ID</t>
        </is>
      </c>
      <c r="B4" s="1" t="inlineStr">
        <is>
          <t>Product Name</t>
        </is>
      </c>
      <c r="C4" s="1" t="inlineStr">
        <is>
          <t>Category</t>
        </is>
      </c>
      <c r="D4" s="1" t="inlineStr">
        <is>
          <t>Revenue</t>
        </is>
      </c>
      <c r="E4" s="1" t="inlineStr">
        <is>
          <t>Profit</t>
        </is>
      </c>
      <c r="F4" s="1" t="inlineStr">
        <is>
          <t>Units Sold</t>
        </is>
      </c>
      <c r="G4" s="1" t="inlineStr">
        <is>
          <t>Margin %</t>
        </is>
      </c>
    </row>
    <row r="5">
      <c r="A5" s="2" t="inlineStr">
        <is>
          <t>P0006</t>
        </is>
      </c>
      <c r="B5" s="2" t="inlineStr">
        <is>
          <t>Mechanical Keyboard</t>
        </is>
      </c>
      <c r="C5" s="2" t="inlineStr">
        <is>
          <t>Electronics</t>
        </is>
      </c>
      <c r="D5" s="3">
        <f>SUMIF(Orders!D$2:D$4996, A5, Orders!O$2:O$4996)</f>
        <v/>
      </c>
      <c r="E5" s="3">
        <f>SUMIF(Orders!D$2:D$4996, A5, Orders!P$2:P$4996)</f>
        <v/>
      </c>
      <c r="F5" s="8">
        <f>SUMIF(Orders!D$2:D$4996, A5, Orders!K$2:K$4996)</f>
        <v/>
      </c>
      <c r="G5" s="5">
        <f>E5/D5</f>
        <v/>
      </c>
    </row>
    <row r="6">
      <c r="A6" s="2" t="inlineStr">
        <is>
          <t>P0021</t>
        </is>
      </c>
      <c r="B6" s="2" t="inlineStr">
        <is>
          <t>Wallet</t>
        </is>
      </c>
      <c r="C6" s="2" t="inlineStr">
        <is>
          <t>Fashion</t>
        </is>
      </c>
      <c r="D6" s="3">
        <f>SUMIF(Orders!D$2:D$4996, A6, Orders!O$2:O$4996)</f>
        <v/>
      </c>
      <c r="E6" s="3">
        <f>SUMIF(Orders!D$2:D$4996, A6, Orders!P$2:P$4996)</f>
        <v/>
      </c>
      <c r="F6" s="8">
        <f>SUMIF(Orders!D$2:D$4996, A6, Orders!K$2:K$4996)</f>
        <v/>
      </c>
      <c r="G6" s="5">
        <f>E6/D6</f>
        <v/>
      </c>
    </row>
    <row r="7">
      <c r="A7" s="2" t="inlineStr">
        <is>
          <t>P0007</t>
        </is>
      </c>
      <c r="B7" s="2" t="inlineStr">
        <is>
          <t>Wireless Mouse</t>
        </is>
      </c>
      <c r="C7" s="2" t="inlineStr">
        <is>
          <t>Electronics</t>
        </is>
      </c>
      <c r="D7" s="3">
        <f>SUMIF(Orders!D$2:D$4996, A7, Orders!O$2:O$4996)</f>
        <v/>
      </c>
      <c r="E7" s="3">
        <f>SUMIF(Orders!D$2:D$4996, A7, Orders!P$2:P$4996)</f>
        <v/>
      </c>
      <c r="F7" s="8">
        <f>SUMIF(Orders!D$2:D$4996, A7, Orders!K$2:K$4996)</f>
        <v/>
      </c>
      <c r="G7" s="5">
        <f>E7/D7</f>
        <v/>
      </c>
    </row>
    <row r="8">
      <c r="A8" s="2" t="inlineStr">
        <is>
          <t>P0004</t>
        </is>
      </c>
      <c r="B8" s="2" t="inlineStr">
        <is>
          <t>USB-C Hub</t>
        </is>
      </c>
      <c r="C8" s="2" t="inlineStr">
        <is>
          <t>Electronics</t>
        </is>
      </c>
      <c r="D8" s="3">
        <f>SUMIF(Orders!D$2:D$4996, A8, Orders!O$2:O$4996)</f>
        <v/>
      </c>
      <c r="E8" s="3">
        <f>SUMIF(Orders!D$2:D$4996, A8, Orders!P$2:P$4996)</f>
        <v/>
      </c>
      <c r="F8" s="8">
        <f>SUMIF(Orders!D$2:D$4996, A8, Orders!K$2:K$4996)</f>
        <v/>
      </c>
      <c r="G8" s="5">
        <f>E8/D8</f>
        <v/>
      </c>
    </row>
    <row r="9">
      <c r="A9" s="2" t="inlineStr">
        <is>
          <t>P0016</t>
        </is>
      </c>
      <c r="B9" s="2" t="inlineStr">
        <is>
          <t>Casual Shirt</t>
        </is>
      </c>
      <c r="C9" s="2" t="inlineStr">
        <is>
          <t>Fashion</t>
        </is>
      </c>
      <c r="D9" s="3">
        <f>SUMIF(Orders!D$2:D$4996, A9, Orders!O$2:O$4996)</f>
        <v/>
      </c>
      <c r="E9" s="3">
        <f>SUMIF(Orders!D$2:D$4996, A9, Orders!P$2:P$4996)</f>
        <v/>
      </c>
      <c r="F9" s="8">
        <f>SUMIF(Orders!D$2:D$4996, A9, Orders!K$2:K$4996)</f>
        <v/>
      </c>
      <c r="G9" s="5">
        <f>E9/D9</f>
        <v/>
      </c>
    </row>
    <row r="10">
      <c r="A10" s="2" t="inlineStr">
        <is>
          <t>P0017</t>
        </is>
      </c>
      <c r="B10" s="2" t="inlineStr">
        <is>
          <t>Jeans</t>
        </is>
      </c>
      <c r="C10" s="2" t="inlineStr">
        <is>
          <t>Fashion</t>
        </is>
      </c>
      <c r="D10" s="3">
        <f>SUMIF(Orders!D$2:D$4996, A10, Orders!O$2:O$4996)</f>
        <v/>
      </c>
      <c r="E10" s="3">
        <f>SUMIF(Orders!D$2:D$4996, A10, Orders!P$2:P$4996)</f>
        <v/>
      </c>
      <c r="F10" s="8">
        <f>SUMIF(Orders!D$2:D$4996, A10, Orders!K$2:K$4996)</f>
        <v/>
      </c>
      <c r="G10" s="5">
        <f>E10/D10</f>
        <v/>
      </c>
    </row>
    <row r="11">
      <c r="A11" s="2" t="inlineStr">
        <is>
          <t>P0031</t>
        </is>
      </c>
      <c r="B11" s="2" t="inlineStr">
        <is>
          <t>Cricket Bat</t>
        </is>
      </c>
      <c r="C11" s="2" t="inlineStr">
        <is>
          <t>Sports</t>
        </is>
      </c>
      <c r="D11" s="3">
        <f>SUMIF(Orders!D$2:D$4996, A11, Orders!O$2:O$4996)</f>
        <v/>
      </c>
      <c r="E11" s="3">
        <f>SUMIF(Orders!D$2:D$4996, A11, Orders!P$2:P$4996)</f>
        <v/>
      </c>
      <c r="F11" s="8">
        <f>SUMIF(Orders!D$2:D$4996, A11, Orders!K$2:K$4996)</f>
        <v/>
      </c>
      <c r="G11" s="5">
        <f>E11/D11</f>
        <v/>
      </c>
    </row>
    <row r="12">
      <c r="A12" s="2" t="inlineStr">
        <is>
          <t>P0018</t>
        </is>
      </c>
      <c r="B12" s="2" t="inlineStr">
        <is>
          <t>Backpack</t>
        </is>
      </c>
      <c r="C12" s="2" t="inlineStr">
        <is>
          <t>Fashion</t>
        </is>
      </c>
      <c r="D12" s="3">
        <f>SUMIF(Orders!D$2:D$4996, A12, Orders!O$2:O$4996)</f>
        <v/>
      </c>
      <c r="E12" s="3">
        <f>SUMIF(Orders!D$2:D$4996, A12, Orders!P$2:P$4996)</f>
        <v/>
      </c>
      <c r="F12" s="8">
        <f>SUMIF(Orders!D$2:D$4996, A12, Orders!K$2:K$4996)</f>
        <v/>
      </c>
      <c r="G12" s="5">
        <f>E12/D12</f>
        <v/>
      </c>
    </row>
    <row r="13">
      <c r="A13" s="2" t="inlineStr">
        <is>
          <t>P0003</t>
        </is>
      </c>
      <c r="B13" s="2" t="inlineStr">
        <is>
          <t>Smartwatch</t>
        </is>
      </c>
      <c r="C13" s="2" t="inlineStr">
        <is>
          <t>Electronics</t>
        </is>
      </c>
      <c r="D13" s="3">
        <f>SUMIF(Orders!D$2:D$4996, A13, Orders!O$2:O$4996)</f>
        <v/>
      </c>
      <c r="E13" s="3">
        <f>SUMIF(Orders!D$2:D$4996, A13, Orders!P$2:P$4996)</f>
        <v/>
      </c>
      <c r="F13" s="8">
        <f>SUMIF(Orders!D$2:D$4996, A13, Orders!K$2:K$4996)</f>
        <v/>
      </c>
      <c r="G13" s="5">
        <f>E13/D13</f>
        <v/>
      </c>
    </row>
    <row r="14">
      <c r="A14" s="2" t="inlineStr">
        <is>
          <t>P0011</t>
        </is>
      </c>
      <c r="B14" s="2" t="inlineStr">
        <is>
          <t>Cookware Set</t>
        </is>
      </c>
      <c r="C14" s="2" t="inlineStr">
        <is>
          <t>Home &amp; Kitchen</t>
        </is>
      </c>
      <c r="D14" s="3">
        <f>SUMIF(Orders!D$2:D$4996, A14, Orders!O$2:O$4996)</f>
        <v/>
      </c>
      <c r="E14" s="3">
        <f>SUMIF(Orders!D$2:D$4996, A14, Orders!P$2:P$4996)</f>
        <v/>
      </c>
      <c r="F14" s="8">
        <f>SUMIF(Orders!D$2:D$4996, A14, Orders!K$2:K$4996)</f>
        <v/>
      </c>
      <c r="G14" s="5">
        <f>E14/D14</f>
        <v/>
      </c>
    </row>
    <row r="15"/>
    <row r="16"/>
    <row r="17">
      <c r="A17" s="9" t="inlineStr">
        <is>
          <t>Top 10 Products by Profit</t>
        </is>
      </c>
    </row>
    <row r="18">
      <c r="A18" s="1" t="inlineStr">
        <is>
          <t>Product ID</t>
        </is>
      </c>
      <c r="B18" s="1" t="inlineStr">
        <is>
          <t>Product Name</t>
        </is>
      </c>
      <c r="C18" s="1" t="inlineStr">
        <is>
          <t>Category</t>
        </is>
      </c>
      <c r="D18" s="1" t="inlineStr">
        <is>
          <t>Revenue</t>
        </is>
      </c>
      <c r="E18" s="1" t="inlineStr">
        <is>
          <t>Profit</t>
        </is>
      </c>
      <c r="F18" s="1" t="inlineStr">
        <is>
          <t>Units Sold</t>
        </is>
      </c>
      <c r="G18" s="1" t="inlineStr">
        <is>
          <t>Margin %</t>
        </is>
      </c>
    </row>
    <row r="19">
      <c r="A19" s="2" t="inlineStr">
        <is>
          <t>P0006</t>
        </is>
      </c>
      <c r="B19" s="2" t="inlineStr">
        <is>
          <t>Mechanical Keyboard</t>
        </is>
      </c>
      <c r="C19" s="2" t="inlineStr">
        <is>
          <t>Electronics</t>
        </is>
      </c>
      <c r="D19" s="3">
        <f>SUMIF(Orders!D$2:D$4996, A19, Orders!O$2:O$4996)</f>
        <v/>
      </c>
      <c r="E19" s="3">
        <f>SUMIF(Orders!D$2:D$4996, A19, Orders!P$2:P$4996)</f>
        <v/>
      </c>
      <c r="F19" s="8">
        <f>SUMIF(Orders!D$2:D$4996, A19, Orders!K$2:K$4996)</f>
        <v/>
      </c>
      <c r="G19" s="5">
        <f>E19/D19</f>
        <v/>
      </c>
    </row>
    <row r="20">
      <c r="A20" s="2" t="inlineStr">
        <is>
          <t>P0021</t>
        </is>
      </c>
      <c r="B20" s="2" t="inlineStr">
        <is>
          <t>Wallet</t>
        </is>
      </c>
      <c r="C20" s="2" t="inlineStr">
        <is>
          <t>Fashion</t>
        </is>
      </c>
      <c r="D20" s="3">
        <f>SUMIF(Orders!D$2:D$4996, A20, Orders!O$2:O$4996)</f>
        <v/>
      </c>
      <c r="E20" s="3">
        <f>SUMIF(Orders!D$2:D$4996, A20, Orders!P$2:P$4996)</f>
        <v/>
      </c>
      <c r="F20" s="8">
        <f>SUMIF(Orders!D$2:D$4996, A20, Orders!K$2:K$4996)</f>
        <v/>
      </c>
      <c r="G20" s="5">
        <f>E20/D20</f>
        <v/>
      </c>
    </row>
    <row r="21">
      <c r="A21" s="2" t="inlineStr">
        <is>
          <t>P0003</t>
        </is>
      </c>
      <c r="B21" s="2" t="inlineStr">
        <is>
          <t>Smartwatch</t>
        </is>
      </c>
      <c r="C21" s="2" t="inlineStr">
        <is>
          <t>Electronics</t>
        </is>
      </c>
      <c r="D21" s="3">
        <f>SUMIF(Orders!D$2:D$4996, A21, Orders!O$2:O$4996)</f>
        <v/>
      </c>
      <c r="E21" s="3">
        <f>SUMIF(Orders!D$2:D$4996, A21, Orders!P$2:P$4996)</f>
        <v/>
      </c>
      <c r="F21" s="8">
        <f>SUMIF(Orders!D$2:D$4996, A21, Orders!K$2:K$4996)</f>
        <v/>
      </c>
      <c r="G21" s="5">
        <f>E21/D21</f>
        <v/>
      </c>
    </row>
    <row r="22">
      <c r="A22" s="2" t="inlineStr">
        <is>
          <t>P0007</t>
        </is>
      </c>
      <c r="B22" s="2" t="inlineStr">
        <is>
          <t>Wireless Mouse</t>
        </is>
      </c>
      <c r="C22" s="2" t="inlineStr">
        <is>
          <t>Electronics</t>
        </is>
      </c>
      <c r="D22" s="3">
        <f>SUMIF(Orders!D$2:D$4996, A22, Orders!O$2:O$4996)</f>
        <v/>
      </c>
      <c r="E22" s="3">
        <f>SUMIF(Orders!D$2:D$4996, A22, Orders!P$2:P$4996)</f>
        <v/>
      </c>
      <c r="F22" s="8">
        <f>SUMIF(Orders!D$2:D$4996, A22, Orders!K$2:K$4996)</f>
        <v/>
      </c>
      <c r="G22" s="5">
        <f>E22/D22</f>
        <v/>
      </c>
    </row>
    <row r="23">
      <c r="A23" s="2" t="inlineStr">
        <is>
          <t>P0009</t>
        </is>
      </c>
      <c r="B23" s="2" t="inlineStr">
        <is>
          <t>Electric Kettle</t>
        </is>
      </c>
      <c r="C23" s="2" t="inlineStr">
        <is>
          <t>Home &amp; Kitchen</t>
        </is>
      </c>
      <c r="D23" s="3">
        <f>SUMIF(Orders!D$2:D$4996, A23, Orders!O$2:O$4996)</f>
        <v/>
      </c>
      <c r="E23" s="3">
        <f>SUMIF(Orders!D$2:D$4996, A23, Orders!P$2:P$4996)</f>
        <v/>
      </c>
      <c r="F23" s="8">
        <f>SUMIF(Orders!D$2:D$4996, A23, Orders!K$2:K$4996)</f>
        <v/>
      </c>
      <c r="G23" s="5">
        <f>E23/D23</f>
        <v/>
      </c>
    </row>
    <row r="24">
      <c r="A24" s="2" t="inlineStr">
        <is>
          <t>P0017</t>
        </is>
      </c>
      <c r="B24" s="2" t="inlineStr">
        <is>
          <t>Jeans</t>
        </is>
      </c>
      <c r="C24" s="2" t="inlineStr">
        <is>
          <t>Fashion</t>
        </is>
      </c>
      <c r="D24" s="3">
        <f>SUMIF(Orders!D$2:D$4996, A24, Orders!O$2:O$4996)</f>
        <v/>
      </c>
      <c r="E24" s="3">
        <f>SUMIF(Orders!D$2:D$4996, A24, Orders!P$2:P$4996)</f>
        <v/>
      </c>
      <c r="F24" s="8">
        <f>SUMIF(Orders!D$2:D$4996, A24, Orders!K$2:K$4996)</f>
        <v/>
      </c>
      <c r="G24" s="5">
        <f>E24/D24</f>
        <v/>
      </c>
    </row>
    <row r="25">
      <c r="A25" s="2" t="inlineStr">
        <is>
          <t>P0029</t>
        </is>
      </c>
      <c r="B25" s="2" t="inlineStr">
        <is>
          <t>Yoga Mat</t>
        </is>
      </c>
      <c r="C25" s="2" t="inlineStr">
        <is>
          <t>Sports</t>
        </is>
      </c>
      <c r="D25" s="3">
        <f>SUMIF(Orders!D$2:D$4996, A25, Orders!O$2:O$4996)</f>
        <v/>
      </c>
      <c r="E25" s="3">
        <f>SUMIF(Orders!D$2:D$4996, A25, Orders!P$2:P$4996)</f>
        <v/>
      </c>
      <c r="F25" s="8">
        <f>SUMIF(Orders!D$2:D$4996, A25, Orders!K$2:K$4996)</f>
        <v/>
      </c>
      <c r="G25" s="5">
        <f>E25/D25</f>
        <v/>
      </c>
    </row>
    <row r="26">
      <c r="A26" s="2" t="inlineStr">
        <is>
          <t>P0004</t>
        </is>
      </c>
      <c r="B26" s="2" t="inlineStr">
        <is>
          <t>USB-C Hub</t>
        </is>
      </c>
      <c r="C26" s="2" t="inlineStr">
        <is>
          <t>Electronics</t>
        </is>
      </c>
      <c r="D26" s="3">
        <f>SUMIF(Orders!D$2:D$4996, A26, Orders!O$2:O$4996)</f>
        <v/>
      </c>
      <c r="E26" s="3">
        <f>SUMIF(Orders!D$2:D$4996, A26, Orders!P$2:P$4996)</f>
        <v/>
      </c>
      <c r="F26" s="8">
        <f>SUMIF(Orders!D$2:D$4996, A26, Orders!K$2:K$4996)</f>
        <v/>
      </c>
      <c r="G26" s="5">
        <f>E26/D26</f>
        <v/>
      </c>
    </row>
    <row r="27">
      <c r="A27" s="2" t="inlineStr">
        <is>
          <t>P0016</t>
        </is>
      </c>
      <c r="B27" s="2" t="inlineStr">
        <is>
          <t>Casual Shirt</t>
        </is>
      </c>
      <c r="C27" s="2" t="inlineStr">
        <is>
          <t>Fashion</t>
        </is>
      </c>
      <c r="D27" s="3">
        <f>SUMIF(Orders!D$2:D$4996, A27, Orders!O$2:O$4996)</f>
        <v/>
      </c>
      <c r="E27" s="3">
        <f>SUMIF(Orders!D$2:D$4996, A27, Orders!P$2:P$4996)</f>
        <v/>
      </c>
      <c r="F27" s="8">
        <f>SUMIF(Orders!D$2:D$4996, A27, Orders!K$2:K$4996)</f>
        <v/>
      </c>
      <c r="G27" s="5">
        <f>E27/D27</f>
        <v/>
      </c>
    </row>
    <row r="28">
      <c r="A28" s="2" t="inlineStr">
        <is>
          <t>P0031</t>
        </is>
      </c>
      <c r="B28" s="2" t="inlineStr">
        <is>
          <t>Cricket Bat</t>
        </is>
      </c>
      <c r="C28" s="2" t="inlineStr">
        <is>
          <t>Sports</t>
        </is>
      </c>
      <c r="D28" s="3">
        <f>SUMIF(Orders!D$2:D$4996, A28, Orders!O$2:O$4996)</f>
        <v/>
      </c>
      <c r="E28" s="3">
        <f>SUMIF(Orders!D$2:D$4996, A28, Orders!P$2:P$4996)</f>
        <v/>
      </c>
      <c r="F28" s="8">
        <f>SUMIF(Orders!D$2:D$4996, A28, Orders!K$2:K$4996)</f>
        <v/>
      </c>
      <c r="G28" s="5">
        <f>E28/D28</f>
        <v/>
      </c>
    </row>
  </sheetData>
  <conditionalFormatting sqref="G5:G14">
    <cfRule type="colorScale" priority="1">
      <colorScale>
        <cfvo type="num" val="0.15"/>
        <cfvo type="num" val="0.3"/>
        <cfvo type="num" val="0.45"/>
        <color rgb="00F8696B"/>
        <color rgb="00FFEB84"/>
        <color rgb="0063BE7B"/>
      </colorScale>
    </cfRule>
  </conditionalFormatting>
  <conditionalFormatting sqref="G19:G28">
    <cfRule type="colorScale" priority="1">
      <colorScale>
        <cfvo type="num" val="0.15"/>
        <cfvo type="num" val="0.3"/>
        <cfvo type="num" val="0.4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51" customWidth="1" min="3" max="3"/>
    <col width="16" customWidth="1" min="4" max="4"/>
    <col width="34" customWidth="1" min="5" max="5"/>
    <col width="51" customWidth="1" min="6" max="6"/>
  </cols>
  <sheetData>
    <row r="1">
      <c r="A1" s="6" t="inlineStr">
        <is>
          <t>CATEGORY PERFORMANCE ANALYSIS (REVENUE &amp; PROFIT)</t>
        </is>
      </c>
    </row>
    <row r="2"/>
    <row r="3">
      <c r="A3" s="1" t="inlineStr">
        <is>
          <t>Category</t>
        </is>
      </c>
      <c r="B3" s="1" t="inlineStr">
        <is>
          <t>Revenue</t>
        </is>
      </c>
      <c r="C3" s="1" t="inlineStr">
        <is>
          <t>Profit</t>
        </is>
      </c>
      <c r="D3" s="1" t="inlineStr">
        <is>
          <t>Profit Margin</t>
        </is>
      </c>
      <c r="E3" s="1" t="inlineStr">
        <is>
          <t>Orders Count</t>
        </is>
      </c>
      <c r="F3" s="1" t="inlineStr">
        <is>
          <t>Units Sold</t>
        </is>
      </c>
    </row>
    <row r="4">
      <c r="A4" s="2" t="inlineStr">
        <is>
          <t>Electronics</t>
        </is>
      </c>
      <c r="B4" s="3">
        <f>SUMIF(Orders!F$2:F$4996, A4, Orders!O$2:O$4996)</f>
        <v/>
      </c>
      <c r="C4" s="3">
        <f>SUMIF(Orders!F$2:F$4996, A4, Orders!P$2:P$4996)</f>
        <v/>
      </c>
      <c r="D4" s="5">
        <f>C4/B4</f>
        <v/>
      </c>
      <c r="E4" s="8">
        <f>COUNTIF(Orders!F$2:F$4996, A4)</f>
        <v/>
      </c>
      <c r="F4" s="8">
        <f>SUMIF(Orders!F$2:F$4996, A4, Orders!K$2:K$4996)</f>
        <v/>
      </c>
    </row>
    <row r="5">
      <c r="A5" s="2" t="inlineStr">
        <is>
          <t>Fashion</t>
        </is>
      </c>
      <c r="B5" s="3">
        <f>SUMIF(Orders!F$2:F$4996, A5, Orders!O$2:O$4996)</f>
        <v/>
      </c>
      <c r="C5" s="3">
        <f>SUMIF(Orders!F$2:F$4996, A5, Orders!P$2:P$4996)</f>
        <v/>
      </c>
      <c r="D5" s="5">
        <f>C5/B5</f>
        <v/>
      </c>
      <c r="E5" s="8">
        <f>COUNTIF(Orders!F$2:F$4996, A5)</f>
        <v/>
      </c>
      <c r="F5" s="8">
        <f>SUMIF(Orders!F$2:F$4996, A5, Orders!K$2:K$4996)</f>
        <v/>
      </c>
    </row>
    <row r="6">
      <c r="A6" s="2" t="inlineStr">
        <is>
          <t>Home &amp; Kitchen</t>
        </is>
      </c>
      <c r="B6" s="3">
        <f>SUMIF(Orders!F$2:F$4996, A6, Orders!O$2:O$4996)</f>
        <v/>
      </c>
      <c r="C6" s="3">
        <f>SUMIF(Orders!F$2:F$4996, A6, Orders!P$2:P$4996)</f>
        <v/>
      </c>
      <c r="D6" s="5">
        <f>C6/B6</f>
        <v/>
      </c>
      <c r="E6" s="8">
        <f>COUNTIF(Orders!F$2:F$4996, A6)</f>
        <v/>
      </c>
      <c r="F6" s="8">
        <f>SUMIF(Orders!F$2:F$4996, A6, Orders!K$2:K$4996)</f>
        <v/>
      </c>
    </row>
    <row r="7">
      <c r="A7" s="2" t="inlineStr">
        <is>
          <t>Sports</t>
        </is>
      </c>
      <c r="B7" s="3">
        <f>SUMIF(Orders!F$2:F$4996, A7, Orders!O$2:O$4996)</f>
        <v/>
      </c>
      <c r="C7" s="3">
        <f>SUMIF(Orders!F$2:F$4996, A7, Orders!P$2:P$4996)</f>
        <v/>
      </c>
      <c r="D7" s="5">
        <f>C7/B7</f>
        <v/>
      </c>
      <c r="E7" s="8">
        <f>COUNTIF(Orders!F$2:F$4996, A7)</f>
        <v/>
      </c>
      <c r="F7" s="8">
        <f>SUMIF(Orders!F$2:F$4996, A7, Orders!K$2:K$4996)</f>
        <v/>
      </c>
    </row>
    <row r="8">
      <c r="A8" s="2" t="inlineStr">
        <is>
          <t>Beauty</t>
        </is>
      </c>
      <c r="B8" s="3">
        <f>SUMIF(Orders!F$2:F$4996, A8, Orders!O$2:O$4996)</f>
        <v/>
      </c>
      <c r="C8" s="3">
        <f>SUMIF(Orders!F$2:F$4996, A8, Orders!P$2:P$4996)</f>
        <v/>
      </c>
      <c r="D8" s="5">
        <f>C8/B8</f>
        <v/>
      </c>
      <c r="E8" s="8">
        <f>COUNTIF(Orders!F$2:F$4996, A8)</f>
        <v/>
      </c>
      <c r="F8" s="8">
        <f>SUMIF(Orders!F$2:F$4996, A8, Orders!K$2:K$4996)</f>
        <v/>
      </c>
    </row>
    <row r="9">
      <c r="A9" s="7" t="inlineStr">
        <is>
          <t>Total / Overall</t>
        </is>
      </c>
      <c r="B9" s="10">
        <f>SUM(B4:B8)</f>
        <v/>
      </c>
      <c r="C9" s="10">
        <f>SUM(C4:C8)</f>
        <v/>
      </c>
      <c r="D9" s="11">
        <f>C9/B9</f>
        <v/>
      </c>
      <c r="E9" s="12">
        <f>SUM(E4:E8)</f>
        <v/>
      </c>
      <c r="F9" s="12">
        <f>SUM(F4:F8)</f>
        <v/>
      </c>
    </row>
  </sheetData>
  <conditionalFormatting sqref="D4:D8">
    <cfRule type="colorScale" priority="1">
      <colorScale>
        <cfvo type="num" val="0.15"/>
        <cfvo type="num" val="0.3"/>
        <cfvo type="num" val="0.4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51" customWidth="1" min="2" max="2"/>
    <col width="51" customWidth="1" min="3" max="3"/>
    <col width="16" customWidth="1" min="4" max="4"/>
    <col width="34" customWidth="1" min="5" max="5"/>
    <col width="51" customWidth="1" min="6" max="6"/>
  </cols>
  <sheetData>
    <row r="1">
      <c r="A1" s="6" t="inlineStr">
        <is>
          <t>REGIONAL PERFORMANCE ANALYSIS (REVENUE &amp; PROFIT BY REGION)</t>
        </is>
      </c>
    </row>
    <row r="2"/>
    <row r="3">
      <c r="A3" s="1" t="inlineStr">
        <is>
          <t>Region</t>
        </is>
      </c>
      <c r="B3" s="1" t="inlineStr">
        <is>
          <t>Revenue</t>
        </is>
      </c>
      <c r="C3" s="1" t="inlineStr">
        <is>
          <t>Profit</t>
        </is>
      </c>
      <c r="D3" s="1" t="inlineStr">
        <is>
          <t>Profit Margin</t>
        </is>
      </c>
      <c r="E3" s="1" t="inlineStr">
        <is>
          <t>Orders Count</t>
        </is>
      </c>
      <c r="F3" s="1" t="inlineStr">
        <is>
          <t>Units Sold</t>
        </is>
      </c>
    </row>
    <row r="4">
      <c r="A4" s="2" t="inlineStr">
        <is>
          <t>West</t>
        </is>
      </c>
      <c r="B4" s="3">
        <f>SUMIF(Orders!G$2:G$4996, A4, Orders!O$2:O$4996)</f>
        <v/>
      </c>
      <c r="C4" s="3">
        <f>SUMIF(Orders!G$2:G$4996, A4, Orders!P$2:P$4996)</f>
        <v/>
      </c>
      <c r="D4" s="5">
        <f>C4/B4</f>
        <v/>
      </c>
      <c r="E4" s="8">
        <f>COUNTIF(Orders!G$2:G$4996, A4)</f>
        <v/>
      </c>
      <c r="F4" s="8">
        <f>SUMIF(Orders!G$2:G$4996, A4, Orders!K$2:K$4996)</f>
        <v/>
      </c>
    </row>
    <row r="5">
      <c r="A5" s="2" t="inlineStr">
        <is>
          <t>South</t>
        </is>
      </c>
      <c r="B5" s="3">
        <f>SUMIF(Orders!G$2:G$4996, A5, Orders!O$2:O$4996)</f>
        <v/>
      </c>
      <c r="C5" s="3">
        <f>SUMIF(Orders!G$2:G$4996, A5, Orders!P$2:P$4996)</f>
        <v/>
      </c>
      <c r="D5" s="5">
        <f>C5/B5</f>
        <v/>
      </c>
      <c r="E5" s="8">
        <f>COUNTIF(Orders!G$2:G$4996, A5)</f>
        <v/>
      </c>
      <c r="F5" s="8">
        <f>SUMIF(Orders!G$2:G$4996, A5, Orders!K$2:K$4996)</f>
        <v/>
      </c>
    </row>
    <row r="6">
      <c r="A6" s="2" t="inlineStr">
        <is>
          <t>North</t>
        </is>
      </c>
      <c r="B6" s="3">
        <f>SUMIF(Orders!G$2:G$4996, A6, Orders!O$2:O$4996)</f>
        <v/>
      </c>
      <c r="C6" s="3">
        <f>SUMIF(Orders!G$2:G$4996, A6, Orders!P$2:P$4996)</f>
        <v/>
      </c>
      <c r="D6" s="5">
        <f>C6/B6</f>
        <v/>
      </c>
      <c r="E6" s="8">
        <f>COUNTIF(Orders!G$2:G$4996, A6)</f>
        <v/>
      </c>
      <c r="F6" s="8">
        <f>SUMIF(Orders!G$2:G$4996, A6, Orders!K$2:K$4996)</f>
        <v/>
      </c>
    </row>
    <row r="7">
      <c r="A7" s="2" t="inlineStr">
        <is>
          <t>East</t>
        </is>
      </c>
      <c r="B7" s="3">
        <f>SUMIF(Orders!G$2:G$4996, A7, Orders!O$2:O$4996)</f>
        <v/>
      </c>
      <c r="C7" s="3">
        <f>SUMIF(Orders!G$2:G$4996, A7, Orders!P$2:P$4996)</f>
        <v/>
      </c>
      <c r="D7" s="5">
        <f>C7/B7</f>
        <v/>
      </c>
      <c r="E7" s="8">
        <f>COUNTIF(Orders!G$2:G$4996, A7)</f>
        <v/>
      </c>
      <c r="F7" s="8">
        <f>SUMIF(Orders!G$2:G$4996, A7, Orders!K$2:K$4996)</f>
        <v/>
      </c>
    </row>
    <row r="8">
      <c r="A8" s="7" t="inlineStr">
        <is>
          <t>Total / Overall</t>
        </is>
      </c>
      <c r="B8" s="10">
        <f>SUM(B4:B7)</f>
        <v/>
      </c>
      <c r="C8" s="10">
        <f>SUM(C4:C7)</f>
        <v/>
      </c>
      <c r="D8" s="11">
        <f>C8/B8</f>
        <v/>
      </c>
      <c r="E8" s="12">
        <f>SUM(E4:E7)</f>
        <v/>
      </c>
      <c r="F8" s="12">
        <f>SUM(F4:F7)</f>
        <v/>
      </c>
    </row>
  </sheetData>
  <conditionalFormatting sqref="D4:D7">
    <cfRule type="colorScale" priority="1">
      <colorScale>
        <cfvo type="num" val="0.15"/>
        <cfvo type="num" val="0.3"/>
        <cfvo type="num" val="0.4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2" customWidth="1" min="2" max="2"/>
    <col width="52" customWidth="1" min="3" max="3"/>
    <col width="16" customWidth="1" min="4" max="4"/>
    <col width="35" customWidth="1" min="5" max="5"/>
  </cols>
  <sheetData>
    <row r="1">
      <c r="A1" s="6" t="inlineStr">
        <is>
          <t>MONTHLY PERFORMANCE TREND ANALYSIS (REVENUE &amp; PROFIT BY MONTH)</t>
        </is>
      </c>
    </row>
    <row r="2"/>
    <row r="3">
      <c r="A3" s="1" t="inlineStr">
        <is>
          <t>Year-Month</t>
        </is>
      </c>
      <c r="B3" s="1" t="inlineStr">
        <is>
          <t>Revenue</t>
        </is>
      </c>
      <c r="C3" s="1" t="inlineStr">
        <is>
          <t>Profit</t>
        </is>
      </c>
      <c r="D3" s="1" t="inlineStr">
        <is>
          <t>Profit Margin</t>
        </is>
      </c>
      <c r="E3" s="1" t="inlineStr">
        <is>
          <t>Orders Count</t>
        </is>
      </c>
    </row>
    <row r="4">
      <c r="A4" s="2" t="inlineStr">
        <is>
          <t>2025-01</t>
        </is>
      </c>
      <c r="B4" s="3">
        <f>SUMIF(Orders!S$2:S$4996, A4, Orders!O$2:O$4996)</f>
        <v/>
      </c>
      <c r="C4" s="3">
        <f>SUMIF(Orders!S$2:S$4996, A4, Orders!P$2:P$4996)</f>
        <v/>
      </c>
      <c r="D4" s="5">
        <f>C4/B4</f>
        <v/>
      </c>
      <c r="E4" s="8">
        <f>COUNTIF(Orders!S$2:S$4996, A4)</f>
        <v/>
      </c>
    </row>
    <row r="5">
      <c r="A5" s="2" t="inlineStr">
        <is>
          <t>2025-02</t>
        </is>
      </c>
      <c r="B5" s="3">
        <f>SUMIF(Orders!S$2:S$4996, A5, Orders!O$2:O$4996)</f>
        <v/>
      </c>
      <c r="C5" s="3">
        <f>SUMIF(Orders!S$2:S$4996, A5, Orders!P$2:P$4996)</f>
        <v/>
      </c>
      <c r="D5" s="5">
        <f>C5/B5</f>
        <v/>
      </c>
      <c r="E5" s="8">
        <f>COUNTIF(Orders!S$2:S$4996, A5)</f>
        <v/>
      </c>
    </row>
    <row r="6">
      <c r="A6" s="2" t="inlineStr">
        <is>
          <t>2025-03</t>
        </is>
      </c>
      <c r="B6" s="3">
        <f>SUMIF(Orders!S$2:S$4996, A6, Orders!O$2:O$4996)</f>
        <v/>
      </c>
      <c r="C6" s="3">
        <f>SUMIF(Orders!S$2:S$4996, A6, Orders!P$2:P$4996)</f>
        <v/>
      </c>
      <c r="D6" s="5">
        <f>C6/B6</f>
        <v/>
      </c>
      <c r="E6" s="8">
        <f>COUNTIF(Orders!S$2:S$4996, A6)</f>
        <v/>
      </c>
    </row>
    <row r="7">
      <c r="A7" s="2" t="inlineStr">
        <is>
          <t>2025-04</t>
        </is>
      </c>
      <c r="B7" s="3">
        <f>SUMIF(Orders!S$2:S$4996, A7, Orders!O$2:O$4996)</f>
        <v/>
      </c>
      <c r="C7" s="3">
        <f>SUMIF(Orders!S$2:S$4996, A7, Orders!P$2:P$4996)</f>
        <v/>
      </c>
      <c r="D7" s="5">
        <f>C7/B7</f>
        <v/>
      </c>
      <c r="E7" s="8">
        <f>COUNTIF(Orders!S$2:S$4996, A7)</f>
        <v/>
      </c>
    </row>
    <row r="8">
      <c r="A8" s="2" t="inlineStr">
        <is>
          <t>2025-05</t>
        </is>
      </c>
      <c r="B8" s="3">
        <f>SUMIF(Orders!S$2:S$4996, A8, Orders!O$2:O$4996)</f>
        <v/>
      </c>
      <c r="C8" s="3">
        <f>SUMIF(Orders!S$2:S$4996, A8, Orders!P$2:P$4996)</f>
        <v/>
      </c>
      <c r="D8" s="5">
        <f>C8/B8</f>
        <v/>
      </c>
      <c r="E8" s="8">
        <f>COUNTIF(Orders!S$2:S$4996, A8)</f>
        <v/>
      </c>
    </row>
    <row r="9">
      <c r="A9" s="2" t="inlineStr">
        <is>
          <t>2025-06</t>
        </is>
      </c>
      <c r="B9" s="3">
        <f>SUMIF(Orders!S$2:S$4996, A9, Orders!O$2:O$4996)</f>
        <v/>
      </c>
      <c r="C9" s="3">
        <f>SUMIF(Orders!S$2:S$4996, A9, Orders!P$2:P$4996)</f>
        <v/>
      </c>
      <c r="D9" s="5">
        <f>C9/B9</f>
        <v/>
      </c>
      <c r="E9" s="8">
        <f>COUNTIF(Orders!S$2:S$4996, A9)</f>
        <v/>
      </c>
    </row>
    <row r="10">
      <c r="A10" s="2" t="inlineStr">
        <is>
          <t>2025-07</t>
        </is>
      </c>
      <c r="B10" s="3">
        <f>SUMIF(Orders!S$2:S$4996, A10, Orders!O$2:O$4996)</f>
        <v/>
      </c>
      <c r="C10" s="3">
        <f>SUMIF(Orders!S$2:S$4996, A10, Orders!P$2:P$4996)</f>
        <v/>
      </c>
      <c r="D10" s="5">
        <f>C10/B10</f>
        <v/>
      </c>
      <c r="E10" s="8">
        <f>COUNTIF(Orders!S$2:S$4996, A10)</f>
        <v/>
      </c>
    </row>
    <row r="11">
      <c r="A11" s="2" t="inlineStr">
        <is>
          <t>2025-08</t>
        </is>
      </c>
      <c r="B11" s="3">
        <f>SUMIF(Orders!S$2:S$4996, A11, Orders!O$2:O$4996)</f>
        <v/>
      </c>
      <c r="C11" s="3">
        <f>SUMIF(Orders!S$2:S$4996, A11, Orders!P$2:P$4996)</f>
        <v/>
      </c>
      <c r="D11" s="5">
        <f>C11/B11</f>
        <v/>
      </c>
      <c r="E11" s="8">
        <f>COUNTIF(Orders!S$2:S$4996, A11)</f>
        <v/>
      </c>
    </row>
    <row r="12">
      <c r="A12" s="2" t="inlineStr">
        <is>
          <t>2025-09</t>
        </is>
      </c>
      <c r="B12" s="3">
        <f>SUMIF(Orders!S$2:S$4996, A12, Orders!O$2:O$4996)</f>
        <v/>
      </c>
      <c r="C12" s="3">
        <f>SUMIF(Orders!S$2:S$4996, A12, Orders!P$2:P$4996)</f>
        <v/>
      </c>
      <c r="D12" s="5">
        <f>C12/B12</f>
        <v/>
      </c>
      <c r="E12" s="8">
        <f>COUNTIF(Orders!S$2:S$4996, A12)</f>
        <v/>
      </c>
    </row>
    <row r="13">
      <c r="A13" s="2" t="inlineStr">
        <is>
          <t>2025-10</t>
        </is>
      </c>
      <c r="B13" s="3">
        <f>SUMIF(Orders!S$2:S$4996, A13, Orders!O$2:O$4996)</f>
        <v/>
      </c>
      <c r="C13" s="3">
        <f>SUMIF(Orders!S$2:S$4996, A13, Orders!P$2:P$4996)</f>
        <v/>
      </c>
      <c r="D13" s="5">
        <f>C13/B13</f>
        <v/>
      </c>
      <c r="E13" s="8">
        <f>COUNTIF(Orders!S$2:S$4996, A13)</f>
        <v/>
      </c>
    </row>
    <row r="14">
      <c r="A14" s="2" t="inlineStr">
        <is>
          <t>2025-11</t>
        </is>
      </c>
      <c r="B14" s="3">
        <f>SUMIF(Orders!S$2:S$4996, A14, Orders!O$2:O$4996)</f>
        <v/>
      </c>
      <c r="C14" s="3">
        <f>SUMIF(Orders!S$2:S$4996, A14, Orders!P$2:P$4996)</f>
        <v/>
      </c>
      <c r="D14" s="5">
        <f>C14/B14</f>
        <v/>
      </c>
      <c r="E14" s="8">
        <f>COUNTIF(Orders!S$2:S$4996, A14)</f>
        <v/>
      </c>
    </row>
    <row r="15">
      <c r="A15" s="2" t="inlineStr">
        <is>
          <t>2025-12</t>
        </is>
      </c>
      <c r="B15" s="3">
        <f>SUMIF(Orders!S$2:S$4996, A15, Orders!O$2:O$4996)</f>
        <v/>
      </c>
      <c r="C15" s="3">
        <f>SUMIF(Orders!S$2:S$4996, A15, Orders!P$2:P$4996)</f>
        <v/>
      </c>
      <c r="D15" s="5">
        <f>C15/B15</f>
        <v/>
      </c>
      <c r="E15" s="8">
        <f>COUNTIF(Orders!S$2:S$4996, A15)</f>
        <v/>
      </c>
    </row>
    <row r="16">
      <c r="A16" s="7" t="inlineStr">
        <is>
          <t>Total / Overall</t>
        </is>
      </c>
      <c r="B16" s="10">
        <f>SUM(B4:B15)</f>
        <v/>
      </c>
      <c r="C16" s="10">
        <f>SUM(C4:C15)</f>
        <v/>
      </c>
      <c r="D16" s="11">
        <f>C16/B16</f>
        <v/>
      </c>
      <c r="E16" s="12">
        <f>SUM(E4:E15)</f>
        <v/>
      </c>
    </row>
  </sheetData>
  <conditionalFormatting sqref="D4:D15">
    <cfRule type="colorScale" priority="1">
      <colorScale>
        <cfvo type="num" val="0.15"/>
        <cfvo type="num" val="0.3"/>
        <cfvo type="num" val="0.4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8" customWidth="1" min="3" max="3"/>
    <col width="65" customWidth="1" min="4" max="4"/>
  </cols>
  <sheetData>
    <row r="1">
      <c r="A1" s="6" t="inlineStr">
        <is>
          <t>RETAILPULSE BI - DATA AUDIT &amp; QUALITY REPORT</t>
        </is>
      </c>
    </row>
    <row r="2"/>
    <row r="3">
      <c r="A3" s="1" t="inlineStr">
        <is>
          <t>Data Quality Check</t>
        </is>
      </c>
      <c r="B3" s="1" t="inlineStr">
        <is>
          <t>Records Affected</t>
        </is>
      </c>
      <c r="C3" s="1" t="inlineStr">
        <is>
          <t>Severity / Type</t>
        </is>
      </c>
      <c r="D3" s="1" t="inlineStr">
        <is>
          <t>Action Taken &amp; Resolution Details</t>
        </is>
      </c>
    </row>
    <row r="4">
      <c r="A4" s="2" t="inlineStr">
        <is>
          <t>Duplicate Orders</t>
        </is>
      </c>
      <c r="B4" s="13" t="n">
        <v>5</v>
      </c>
      <c r="C4" s="2" t="inlineStr">
        <is>
          <t>Medium</t>
        </is>
      </c>
      <c r="D4" s="2" t="inlineStr">
        <is>
          <t>Identified duplicate Order_IDs (O004545, O000758, O003407, O003625, O003236). Removed 5 duplicate rows to prevent double-counting revenue.</t>
        </is>
      </c>
    </row>
    <row r="5">
      <c r="A5" s="2" t="inlineStr">
        <is>
          <t>Missing Order Dates</t>
        </is>
      </c>
      <c r="B5" s="13" t="n">
        <v>5</v>
      </c>
      <c r="C5" s="2" t="inlineStr">
        <is>
          <t>High</t>
        </is>
      </c>
      <c r="D5" s="2" t="inlineStr">
        <is>
          <t>Found 5 rows at end of Orders sheet missing Order_Date (O000212, O002589, O003173, O003890, O004865). Removed rows as date is required for temporal analysis.</t>
        </is>
      </c>
    </row>
    <row r="6">
      <c r="A6" s="2" t="inlineStr">
        <is>
          <t>Missing Product IDs</t>
        </is>
      </c>
      <c r="B6" s="13" t="n">
        <v>5</v>
      </c>
      <c r="C6" s="2" t="inlineStr">
        <is>
          <t>Medium</t>
        </is>
      </c>
      <c r="D6" s="2" t="inlineStr">
        <is>
          <t>Found 5 order rows with Product_Name but missing Product_ID. Populated Product_IDs via lookup from Products sheet (P0007, P0017, P0021, P0015, P0027).</t>
        </is>
      </c>
    </row>
    <row r="7">
      <c r="A7" s="2" t="inlineStr">
        <is>
          <t>Missing Regions</t>
        </is>
      </c>
      <c r="B7" s="13" t="n">
        <v>10</v>
      </c>
      <c r="C7" s="2" t="inlineStr">
        <is>
          <t>Medium</t>
        </is>
      </c>
      <c r="D7" s="2" t="inlineStr">
        <is>
          <t>Found 10 order rows with missing Region. Resolved missing Region values via State/City mapping from Geography sheet (West, East, North).</t>
        </is>
      </c>
    </row>
    <row r="8">
      <c r="A8" s="2" t="inlineStr">
        <is>
          <t>Invalid Quantity (&lt;=0)</t>
        </is>
      </c>
      <c r="B8" s="13" t="n">
        <v>5</v>
      </c>
      <c r="C8" s="2" t="inlineStr">
        <is>
          <t>Low</t>
        </is>
      </c>
      <c r="D8" s="2" t="inlineStr">
        <is>
          <t>Found 5 orders with Quantity = -1. Corrected negative values to +1 (data entry typo correction).</t>
        </is>
      </c>
    </row>
    <row r="9">
      <c r="A9" s="2" t="inlineStr">
        <is>
          <t>Invalid Discount (&gt;100%)</t>
        </is>
      </c>
      <c r="B9" s="13" t="n">
        <v>5</v>
      </c>
      <c r="C9" s="2" t="inlineStr">
        <is>
          <t>Medium</t>
        </is>
      </c>
      <c r="D9" s="2" t="inlineStr">
        <is>
          <t>Found 5 orders with Discount = 1.5 (150%). Corrected to 0.15 (15%) based on standard discount scale.</t>
        </is>
      </c>
    </row>
    <row r="10">
      <c r="A10" s="7" t="inlineStr">
        <is>
          <t>Total Issues Audited</t>
        </is>
      </c>
      <c r="B10" s="14" t="n">
        <v>35</v>
      </c>
      <c r="C10" s="7" t="inlineStr">
        <is>
          <t>Summary</t>
        </is>
      </c>
      <c r="D10" s="7" t="inlineStr">
        <is>
          <t>Total dataset size reduced from 5,005 raw rows to 4,995 100% clean, production-ready rows for BI modeling.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63" customWidth="1" min="2" max="2"/>
    <col width="65" customWidth="1" min="3" max="3"/>
  </cols>
  <sheetData>
    <row r="1">
      <c r="A1" s="6" t="inlineStr">
        <is>
          <t>RETAILPULSE BI - BUSINESS QUESTIONS &amp; EXECUTIVE FINDINGS</t>
        </is>
      </c>
    </row>
    <row r="2"/>
    <row r="3">
      <c r="A3" s="1" t="inlineStr">
        <is>
          <t>Q#</t>
        </is>
      </c>
      <c r="B3" s="1" t="inlineStr">
        <is>
          <t>Business Question</t>
        </is>
      </c>
      <c r="C3" s="1" t="inlineStr">
        <is>
          <t>Data-Backed Answer &amp; Key Insight</t>
        </is>
      </c>
    </row>
    <row r="4">
      <c r="A4" s="15" t="inlineStr">
        <is>
          <t>Q1</t>
        </is>
      </c>
      <c r="B4" s="16" t="inlineStr">
        <is>
          <t>Which category generates the most revenue?</t>
        </is>
      </c>
      <c r="C4" s="16" t="inlineStr">
        <is>
          <t>Electronics is the top revenue generator at $3,696,120.55 (29.37% of total company revenue), followed by Fashion at $3,139,888.99.</t>
        </is>
      </c>
    </row>
    <row r="5">
      <c r="A5" s="15" t="inlineStr">
        <is>
          <t>Q2</t>
        </is>
      </c>
      <c r="B5" s="16" t="inlineStr">
        <is>
          <t>Which category generates the most profit?</t>
        </is>
      </c>
      <c r="C5" s="16" t="inlineStr">
        <is>
          <t>Electronics is also the most profitable category at $1,278,198.32, contributing 33.95% of total company profits.</t>
        </is>
      </c>
    </row>
    <row r="6">
      <c r="A6" s="15" t="inlineStr">
        <is>
          <t>Q3</t>
        </is>
      </c>
      <c r="B6" s="16" t="inlineStr">
        <is>
          <t>Is the highest-revenue category also the most profitable?</t>
        </is>
      </c>
      <c r="C6" s="16" t="inlineStr">
        <is>
          <t>Yes. Electronics leads both revenue ($3.70M) and profit ($1.28M) while maintaining the highest profit margin among all categories at 34.58%.</t>
        </is>
      </c>
    </row>
    <row r="7">
      <c r="A7" s="15" t="inlineStr">
        <is>
          <t>Q4</t>
        </is>
      </c>
      <c r="B7" s="16" t="inlineStr">
        <is>
          <t>Which region needs attention?</t>
        </is>
      </c>
      <c r="C7" s="16" t="inlineStr">
        <is>
          <t>East region needs strategic attention. It generates the lowest revenue ($1,900,923.74, only 15.1% share) and lowest order volume (758 orders), despite maintaining a healthy 30.24% margin.</t>
        </is>
      </c>
    </row>
    <row r="8">
      <c r="A8" s="15" t="inlineStr">
        <is>
          <t>Q5</t>
        </is>
      </c>
      <c r="B8" s="16" t="inlineStr">
        <is>
          <t>Which products generate strong sales but weak profitability?</t>
        </is>
      </c>
      <c r="C8" s="16" t="inlineStr">
        <is>
          <t>USB-C Hub ($688,009.15 revenue, 20.65% margin), Casual Shirt ($602,331.25 revenue, 22.73% margin), and Backpack ($541,522.25 revenue, 18.78% margin) suffer from margin leakage due to high discounting.</t>
        </is>
      </c>
    </row>
    <row r="9">
      <c r="A9" s="15" t="inlineStr">
        <is>
          <t>Q6</t>
        </is>
      </c>
      <c r="B9" s="16" t="inlineStr">
        <is>
          <t>Which month had the highest revenue?</t>
        </is>
      </c>
      <c r="C9" s="16" t="inlineStr">
        <is>
          <t>June 2025 recorded the highest monthly revenue at $1,192,417.47, closely followed by May 2025 ($1,143,317.55).</t>
        </is>
      </c>
    </row>
    <row r="10">
      <c r="A10" s="15" t="inlineStr">
        <is>
          <t>Q7</t>
        </is>
      </c>
      <c r="B10" s="16" t="inlineStr">
        <is>
          <t>Which month had the highest profit?</t>
        </is>
      </c>
      <c r="C10" s="16" t="inlineStr">
        <is>
          <t>June 2025 recorded the highest monthly profit at $350,167.99 (29.37% margin).</t>
        </is>
      </c>
    </row>
    <row r="11">
      <c r="A11" s="15" t="inlineStr">
        <is>
          <t>Q8</t>
        </is>
      </c>
      <c r="B11" s="16" t="inlineStr">
        <is>
          <t>Which sales channel performs better?</t>
        </is>
      </c>
      <c r="C11" s="16" t="inlineStr">
        <is>
          <t>Online channel dominates performance, generating $7,764,832.69 (61.7% of total revenue and 3,070 orders) vs. Store channel ($4,819,734.61, 1,925 orders). Both channels maintain similar ~30% profit margins.</t>
        </is>
      </c>
    </row>
    <row r="12">
      <c r="A12" s="15" t="inlineStr">
        <is>
          <t>Q9</t>
        </is>
      </c>
      <c r="B12" s="16" t="inlineStr">
        <is>
          <t>Who are the top 10 customers?</t>
        </is>
      </c>
      <c r="C12" s="16" t="inlineStr">
        <is>
          <t>Top 3 customers by revenue: C0568 ($208,136.93, 94 orders), C0694 ($205,307.75, 83 orders), and C0456 ($140,644.62, 65 orders).</t>
        </is>
      </c>
    </row>
    <row r="13">
      <c r="A13" s="15" t="inlineStr">
        <is>
          <t>Q10</t>
        </is>
      </c>
      <c r="B13" s="16" t="inlineStr">
        <is>
          <t>What are three actionable recommendations for management?</t>
        </is>
      </c>
      <c r="C13" s="16" t="inlineStr">
        <is>
          <t>1. DISCONTINUE/RESTRICT EXCESSIVE DISCOUNTS ON LOW-MARGIN HIGH-VOLUME ITEMS: Cap discounts on USB-C Hubs, Backpacks, and Sneakers to boost margin from ~18-20% up to 28%+.
2. EXPAND REGIONAL DISTRIBUTION &amp; MARKETING IN EAST REGION: Increase marketing and retail coverage in East region to elevate its 15.1% revenue contribution toward the 25% regional benchmark.
3. CAPITALIZE ON HIGH-MARGIN ELECTRONICS CROSS-SELLING: Bundle high-margin products (Mechanical Keyboards at 41% margin, Smartwatches at 44% margin) with high-volume purchases to maximize overall basket profitability.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2" customWidth="1" min="4" max="4"/>
  </cols>
  <sheetData>
    <row r="1">
      <c r="A1" s="1" t="inlineStr">
        <is>
          <t>Customer_ID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Region</t>
        </is>
      </c>
    </row>
    <row r="2">
      <c r="A2" s="2" t="inlineStr">
        <is>
          <t>C0001</t>
        </is>
      </c>
      <c r="B2" s="2" t="inlineStr">
        <is>
          <t>Karnataka</t>
        </is>
      </c>
      <c r="C2" s="2" t="inlineStr">
        <is>
          <t>Mysuru</t>
        </is>
      </c>
      <c r="D2" s="2" t="inlineStr">
        <is>
          <t>South</t>
        </is>
      </c>
    </row>
    <row r="3">
      <c r="A3" s="2" t="inlineStr">
        <is>
          <t>C0001</t>
        </is>
      </c>
      <c r="B3" s="2" t="inlineStr">
        <is>
          <t>Goa</t>
        </is>
      </c>
      <c r="C3" s="2" t="inlineStr">
        <is>
          <t>Panaji</t>
        </is>
      </c>
      <c r="D3" s="2" t="inlineStr">
        <is>
          <t>West</t>
        </is>
      </c>
    </row>
    <row r="4">
      <c r="A4" s="2" t="inlineStr">
        <is>
          <t>C0001</t>
        </is>
      </c>
      <c r="B4" s="2" t="inlineStr">
        <is>
          <t>Maharashtra</t>
        </is>
      </c>
      <c r="C4" s="2" t="inlineStr">
        <is>
          <t>Nagpur</t>
        </is>
      </c>
      <c r="D4" s="2" t="inlineStr">
        <is>
          <t>West</t>
        </is>
      </c>
    </row>
    <row r="5">
      <c r="A5" s="2" t="inlineStr">
        <is>
          <t>C0001</t>
        </is>
      </c>
      <c r="B5" s="2" t="inlineStr">
        <is>
          <t>Maharashtra</t>
        </is>
      </c>
      <c r="C5" s="2" t="inlineStr">
        <is>
          <t>Thane</t>
        </is>
      </c>
      <c r="D5" s="2" t="inlineStr">
        <is>
          <t>West</t>
        </is>
      </c>
    </row>
    <row r="6">
      <c r="A6" s="2" t="inlineStr">
        <is>
          <t>C0001</t>
        </is>
      </c>
      <c r="B6" s="2" t="inlineStr">
        <is>
          <t>Karnataka</t>
        </is>
      </c>
      <c r="C6" s="2" t="inlineStr">
        <is>
          <t>Bengaluru</t>
        </is>
      </c>
      <c r="D6" s="2" t="inlineStr">
        <is>
          <t>South</t>
        </is>
      </c>
    </row>
    <row r="7">
      <c r="A7" s="2" t="inlineStr">
        <is>
          <t>C0001</t>
        </is>
      </c>
      <c r="B7" s="2" t="inlineStr">
        <is>
          <t>Kerala</t>
        </is>
      </c>
      <c r="C7" s="2" t="inlineStr">
        <is>
          <t>Thiruvananthapuram</t>
        </is>
      </c>
      <c r="D7" s="2" t="inlineStr">
        <is>
          <t>South</t>
        </is>
      </c>
    </row>
    <row r="8">
      <c r="A8" s="2" t="inlineStr">
        <is>
          <t>C0001</t>
        </is>
      </c>
      <c r="B8" s="2" t="inlineStr">
        <is>
          <t>Uttar Pradesh</t>
        </is>
      </c>
      <c r="C8" s="2" t="inlineStr">
        <is>
          <t>Noida</t>
        </is>
      </c>
      <c r="D8" s="2" t="inlineStr">
        <is>
          <t>North</t>
        </is>
      </c>
    </row>
    <row r="9">
      <c r="A9" s="2" t="inlineStr">
        <is>
          <t>C0001</t>
        </is>
      </c>
      <c r="B9" s="2" t="inlineStr">
        <is>
          <t>Delhi</t>
        </is>
      </c>
      <c r="C9" s="2" t="inlineStr">
        <is>
          <t>New Delhi</t>
        </is>
      </c>
      <c r="D9" s="2" t="inlineStr">
        <is>
          <t>North</t>
        </is>
      </c>
    </row>
    <row r="10">
      <c r="A10" s="2" t="inlineStr">
        <is>
          <t>C0002</t>
        </is>
      </c>
      <c r="B10" s="2" t="inlineStr">
        <is>
          <t>West Bengal</t>
        </is>
      </c>
      <c r="C10" s="2" t="inlineStr">
        <is>
          <t>Durgapur</t>
        </is>
      </c>
      <c r="D10" s="2" t="inlineStr">
        <is>
          <t>East</t>
        </is>
      </c>
    </row>
    <row r="11">
      <c r="A11" s="2" t="inlineStr">
        <is>
          <t>C0002</t>
        </is>
      </c>
      <c r="B11" s="2" t="inlineStr">
        <is>
          <t>Bihar</t>
        </is>
      </c>
      <c r="C11" s="2" t="inlineStr">
        <is>
          <t>Gaya</t>
        </is>
      </c>
      <c r="D11" s="2" t="inlineStr">
        <is>
          <t>East</t>
        </is>
      </c>
    </row>
    <row r="12">
      <c r="A12" s="2" t="inlineStr">
        <is>
          <t>C0003</t>
        </is>
      </c>
      <c r="B12" s="2" t="inlineStr">
        <is>
          <t>West Bengal</t>
        </is>
      </c>
      <c r="C12" s="2" t="inlineStr">
        <is>
          <t>Durgapur</t>
        </is>
      </c>
      <c r="D12" s="2" t="inlineStr">
        <is>
          <t>East</t>
        </is>
      </c>
    </row>
    <row r="13">
      <c r="A13" s="2" t="inlineStr">
        <is>
          <t>C0003</t>
        </is>
      </c>
      <c r="B13" s="2" t="inlineStr">
        <is>
          <t>Punjab</t>
        </is>
      </c>
      <c r="C13" s="2" t="inlineStr">
        <is>
          <t>Ludhiana</t>
        </is>
      </c>
      <c r="D13" s="2" t="inlineStr">
        <is>
          <t>North</t>
        </is>
      </c>
    </row>
    <row r="14">
      <c r="A14" s="2" t="inlineStr">
        <is>
          <t>C0003</t>
        </is>
      </c>
      <c r="B14" s="2" t="inlineStr">
        <is>
          <t>Karnataka</t>
        </is>
      </c>
      <c r="C14" s="2" t="inlineStr">
        <is>
          <t>Bengaluru</t>
        </is>
      </c>
      <c r="D14" s="2" t="inlineStr">
        <is>
          <t>South</t>
        </is>
      </c>
    </row>
    <row r="15">
      <c r="A15" s="2" t="inlineStr">
        <is>
          <t>C0003</t>
        </is>
      </c>
      <c r="B15" s="2" t="inlineStr">
        <is>
          <t>Bihar</t>
        </is>
      </c>
      <c r="C15" s="2" t="inlineStr">
        <is>
          <t>Gaya</t>
        </is>
      </c>
      <c r="D15" s="2" t="inlineStr">
        <is>
          <t>East</t>
        </is>
      </c>
    </row>
    <row r="16">
      <c r="A16" s="2" t="inlineStr">
        <is>
          <t>C0003</t>
        </is>
      </c>
      <c r="B16" s="2" t="inlineStr">
        <is>
          <t>Karnataka</t>
        </is>
      </c>
      <c r="C16" s="2" t="inlineStr">
        <is>
          <t>Mangaluru</t>
        </is>
      </c>
      <c r="D16" s="2" t="inlineStr">
        <is>
          <t>South</t>
        </is>
      </c>
    </row>
    <row r="17">
      <c r="A17" s="2" t="inlineStr">
        <is>
          <t>C0003</t>
        </is>
      </c>
      <c r="B17" s="2" t="inlineStr">
        <is>
          <t>Odisha</t>
        </is>
      </c>
      <c r="C17" s="2" t="inlineStr">
        <is>
          <t>Cuttack</t>
        </is>
      </c>
      <c r="D17" s="2" t="inlineStr">
        <is>
          <t>East</t>
        </is>
      </c>
    </row>
    <row r="18">
      <c r="A18" s="2" t="inlineStr">
        <is>
          <t>C0003</t>
        </is>
      </c>
      <c r="B18" s="2" t="inlineStr">
        <is>
          <t>Uttar Pradesh</t>
        </is>
      </c>
      <c r="C18" s="2" t="inlineStr">
        <is>
          <t>Lucknow</t>
        </is>
      </c>
      <c r="D18" s="2" t="inlineStr">
        <is>
          <t>North</t>
        </is>
      </c>
    </row>
    <row r="19">
      <c r="A19" s="2" t="inlineStr">
        <is>
          <t>C0003</t>
        </is>
      </c>
      <c r="B19" s="2" t="inlineStr">
        <is>
          <t>Uttar Pradesh</t>
        </is>
      </c>
      <c r="C19" s="2" t="inlineStr">
        <is>
          <t>Varanasi</t>
        </is>
      </c>
      <c r="D19" s="2" t="inlineStr">
        <is>
          <t>North</t>
        </is>
      </c>
    </row>
    <row r="20">
      <c r="A20" s="2" t="inlineStr">
        <is>
          <t>C0003</t>
        </is>
      </c>
      <c r="B20" s="2" t="inlineStr">
        <is>
          <t>Telangana</t>
        </is>
      </c>
      <c r="C20" s="2" t="inlineStr">
        <is>
          <t>Warangal</t>
        </is>
      </c>
      <c r="D20" s="2" t="inlineStr">
        <is>
          <t>South</t>
        </is>
      </c>
    </row>
    <row r="21">
      <c r="A21" s="2" t="inlineStr">
        <is>
          <t>C0003</t>
        </is>
      </c>
      <c r="B21" s="2" t="inlineStr">
        <is>
          <t>Kerala</t>
        </is>
      </c>
      <c r="C21" s="2" t="inlineStr">
        <is>
          <t>Thiruvananthapuram</t>
        </is>
      </c>
      <c r="D21" s="2" t="inlineStr">
        <is>
          <t>South</t>
        </is>
      </c>
    </row>
    <row r="22">
      <c r="A22" s="2" t="inlineStr">
        <is>
          <t>C0004</t>
        </is>
      </c>
      <c r="B22" s="2" t="inlineStr">
        <is>
          <t>Gujarat</t>
        </is>
      </c>
      <c r="C22" s="2" t="inlineStr">
        <is>
          <t>Surat</t>
        </is>
      </c>
      <c r="D22" s="2" t="inlineStr">
        <is>
          <t>West</t>
        </is>
      </c>
    </row>
    <row r="23">
      <c r="A23" s="2" t="inlineStr">
        <is>
          <t>C0004</t>
        </is>
      </c>
      <c r="B23" s="2" t="inlineStr">
        <is>
          <t>Maharashtra</t>
        </is>
      </c>
      <c r="C23" s="2" t="inlineStr">
        <is>
          <t>Mumbai</t>
        </is>
      </c>
      <c r="D23" s="2" t="inlineStr">
        <is>
          <t>West</t>
        </is>
      </c>
    </row>
    <row r="24">
      <c r="A24" s="2" t="inlineStr">
        <is>
          <t>C0004</t>
        </is>
      </c>
      <c r="B24" s="2" t="inlineStr">
        <is>
          <t>Telangana</t>
        </is>
      </c>
      <c r="C24" s="2" t="inlineStr">
        <is>
          <t>Warangal</t>
        </is>
      </c>
      <c r="D24" s="2" t="inlineStr">
        <is>
          <t>South</t>
        </is>
      </c>
    </row>
    <row r="25">
      <c r="A25" s="2" t="inlineStr">
        <is>
          <t>C0004</t>
        </is>
      </c>
      <c r="B25" s="2" t="inlineStr">
        <is>
          <t>Karnataka</t>
        </is>
      </c>
      <c r="C25" s="2" t="inlineStr">
        <is>
          <t>Mangaluru</t>
        </is>
      </c>
      <c r="D25" s="2" t="inlineStr">
        <is>
          <t>South</t>
        </is>
      </c>
    </row>
    <row r="26">
      <c r="A26" s="2" t="inlineStr">
        <is>
          <t>C0004</t>
        </is>
      </c>
      <c r="B26" s="2" t="inlineStr">
        <is>
          <t>Odisha</t>
        </is>
      </c>
      <c r="C26" s="2" t="inlineStr">
        <is>
          <t>Cuttack</t>
        </is>
      </c>
      <c r="D26" s="2" t="inlineStr">
        <is>
          <t>East</t>
        </is>
      </c>
    </row>
    <row r="27">
      <c r="A27" s="2" t="inlineStr">
        <is>
          <t>C0004</t>
        </is>
      </c>
      <c r="B27" s="2" t="inlineStr">
        <is>
          <t>Goa</t>
        </is>
      </c>
      <c r="C27" s="2" t="inlineStr">
        <is>
          <t>Margao</t>
        </is>
      </c>
      <c r="D27" s="2" t="inlineStr">
        <is>
          <t>West</t>
        </is>
      </c>
    </row>
    <row r="28">
      <c r="A28" s="2" t="inlineStr">
        <is>
          <t>C0004</t>
        </is>
      </c>
      <c r="B28" s="2" t="inlineStr">
        <is>
          <t>Tamil Nadu</t>
        </is>
      </c>
      <c r="C28" s="2" t="inlineStr">
        <is>
          <t>Coimbatore</t>
        </is>
      </c>
      <c r="D28" s="2" t="inlineStr">
        <is>
          <t>South</t>
        </is>
      </c>
    </row>
    <row r="29">
      <c r="A29" s="2" t="inlineStr">
        <is>
          <t>C0004</t>
        </is>
      </c>
      <c r="B29" s="2" t="inlineStr">
        <is>
          <t>Delhi</t>
        </is>
      </c>
      <c r="C29" s="2" t="inlineStr">
        <is>
          <t>New Delhi</t>
        </is>
      </c>
      <c r="D29" s="2" t="inlineStr">
        <is>
          <t>North</t>
        </is>
      </c>
    </row>
    <row r="30">
      <c r="A30" s="2" t="inlineStr">
        <is>
          <t>C0004</t>
        </is>
      </c>
      <c r="B30" s="2" t="inlineStr">
        <is>
          <t>Tamil Nadu</t>
        </is>
      </c>
      <c r="C30" s="2" t="inlineStr">
        <is>
          <t>Chennai</t>
        </is>
      </c>
      <c r="D30" s="2" t="inlineStr">
        <is>
          <t>South</t>
        </is>
      </c>
    </row>
    <row r="31">
      <c r="A31" s="2" t="inlineStr">
        <is>
          <t>C0004</t>
        </is>
      </c>
      <c r="B31" s="2" t="inlineStr">
        <is>
          <t>Punjab</t>
        </is>
      </c>
      <c r="C31" s="2" t="inlineStr">
        <is>
          <t>Amritsar</t>
        </is>
      </c>
      <c r="D31" s="2" t="inlineStr">
        <is>
          <t>North</t>
        </is>
      </c>
    </row>
    <row r="32">
      <c r="A32" s="2" t="inlineStr">
        <is>
          <t>C0004</t>
        </is>
      </c>
      <c r="B32" s="2" t="inlineStr">
        <is>
          <t>Bihar</t>
        </is>
      </c>
      <c r="C32" s="2" t="inlineStr">
        <is>
          <t>Gaya</t>
        </is>
      </c>
      <c r="D32" s="2" t="inlineStr">
        <is>
          <t>East</t>
        </is>
      </c>
    </row>
    <row r="33">
      <c r="A33" s="2" t="inlineStr">
        <is>
          <t>C0004</t>
        </is>
      </c>
      <c r="B33" s="2" t="inlineStr">
        <is>
          <t>Maharashtra</t>
        </is>
      </c>
      <c r="C33" s="2" t="inlineStr">
        <is>
          <t>Nagpur</t>
        </is>
      </c>
      <c r="D33" s="2" t="inlineStr">
        <is>
          <t>West</t>
        </is>
      </c>
    </row>
    <row r="34">
      <c r="A34" s="2" t="inlineStr">
        <is>
          <t>C0004</t>
        </is>
      </c>
      <c r="B34" s="2" t="inlineStr">
        <is>
          <t>Karnataka</t>
        </is>
      </c>
      <c r="C34" s="2" t="inlineStr">
        <is>
          <t>Bengaluru</t>
        </is>
      </c>
      <c r="D34" s="2" t="inlineStr">
        <is>
          <t>South</t>
        </is>
      </c>
    </row>
    <row r="35">
      <c r="A35" s="2" t="inlineStr">
        <is>
          <t>C0004</t>
        </is>
      </c>
      <c r="B35" s="2" t="inlineStr">
        <is>
          <t>Karnataka</t>
        </is>
      </c>
      <c r="C35" s="2" t="inlineStr">
        <is>
          <t>Mysuru</t>
        </is>
      </c>
      <c r="D35" s="2" t="inlineStr">
        <is>
          <t>South</t>
        </is>
      </c>
    </row>
    <row r="36">
      <c r="A36" s="2" t="inlineStr">
        <is>
          <t>C0004</t>
        </is>
      </c>
      <c r="B36" s="2" t="inlineStr">
        <is>
          <t>Maharashtra</t>
        </is>
      </c>
      <c r="C36" s="2" t="inlineStr">
        <is>
          <t>Nashik</t>
        </is>
      </c>
      <c r="D36" s="2" t="inlineStr">
        <is>
          <t>West</t>
        </is>
      </c>
    </row>
    <row r="37">
      <c r="A37" s="2" t="inlineStr">
        <is>
          <t>C0004</t>
        </is>
      </c>
      <c r="B37" s="2" t="inlineStr">
        <is>
          <t>Maharashtra</t>
        </is>
      </c>
      <c r="C37" s="2" t="inlineStr">
        <is>
          <t>Thane</t>
        </is>
      </c>
      <c r="D37" s="2" t="inlineStr">
        <is>
          <t>West</t>
        </is>
      </c>
    </row>
    <row r="38">
      <c r="A38" s="2" t="inlineStr">
        <is>
          <t>C0004</t>
        </is>
      </c>
      <c r="B38" s="2" t="inlineStr">
        <is>
          <t>Kerala</t>
        </is>
      </c>
      <c r="C38" s="2" t="inlineStr">
        <is>
          <t>Kochi</t>
        </is>
      </c>
      <c r="D38" s="2" t="inlineStr">
        <is>
          <t>South</t>
        </is>
      </c>
    </row>
    <row r="39">
      <c r="A39" s="2" t="inlineStr">
        <is>
          <t>C0004</t>
        </is>
      </c>
      <c r="B39" s="2" t="inlineStr">
        <is>
          <t>Odisha</t>
        </is>
      </c>
      <c r="C39" s="2" t="inlineStr">
        <is>
          <t>Bhubaneswar</t>
        </is>
      </c>
      <c r="D39" s="2" t="inlineStr">
        <is>
          <t>East</t>
        </is>
      </c>
    </row>
    <row r="40">
      <c r="A40" s="2" t="inlineStr">
        <is>
          <t>C0004</t>
        </is>
      </c>
      <c r="B40" s="2" t="inlineStr">
        <is>
          <t>Goa</t>
        </is>
      </c>
      <c r="C40" s="2" t="inlineStr">
        <is>
          <t>Panaji</t>
        </is>
      </c>
      <c r="D40" s="2" t="inlineStr">
        <is>
          <t>West</t>
        </is>
      </c>
    </row>
    <row r="41">
      <c r="A41" s="2" t="inlineStr">
        <is>
          <t>C0005</t>
        </is>
      </c>
      <c r="B41" s="2" t="inlineStr">
        <is>
          <t>Tamil Nadu</t>
        </is>
      </c>
      <c r="C41" s="2" t="inlineStr">
        <is>
          <t>Coimbatore</t>
        </is>
      </c>
      <c r="D41" s="2" t="inlineStr">
        <is>
          <t>South</t>
        </is>
      </c>
    </row>
    <row r="42">
      <c r="A42" s="2" t="inlineStr">
        <is>
          <t>C0005</t>
        </is>
      </c>
      <c r="B42" s="2" t="inlineStr">
        <is>
          <t>Uttar Pradesh</t>
        </is>
      </c>
      <c r="C42" s="2" t="inlineStr">
        <is>
          <t>Noida</t>
        </is>
      </c>
      <c r="D42" s="2" t="inlineStr">
        <is>
          <t>North</t>
        </is>
      </c>
    </row>
    <row r="43">
      <c r="A43" s="2" t="inlineStr">
        <is>
          <t>C0005</t>
        </is>
      </c>
      <c r="B43" s="2" t="inlineStr">
        <is>
          <t>Goa</t>
        </is>
      </c>
      <c r="C43" s="2" t="inlineStr">
        <is>
          <t>Margao</t>
        </is>
      </c>
      <c r="D43" s="2" t="inlineStr">
        <is>
          <t>West</t>
        </is>
      </c>
    </row>
    <row r="44">
      <c r="A44" s="2" t="inlineStr">
        <is>
          <t>C0005</t>
        </is>
      </c>
      <c r="B44" s="2" t="inlineStr">
        <is>
          <t>Goa</t>
        </is>
      </c>
      <c r="C44" s="2" t="inlineStr">
        <is>
          <t>Panaji</t>
        </is>
      </c>
      <c r="D44" s="2" t="inlineStr">
        <is>
          <t>West</t>
        </is>
      </c>
    </row>
    <row r="45">
      <c r="A45" s="2" t="inlineStr">
        <is>
          <t>C0005</t>
        </is>
      </c>
      <c r="B45" s="2" t="inlineStr">
        <is>
          <t>Kerala</t>
        </is>
      </c>
      <c r="C45" s="2" t="inlineStr">
        <is>
          <t>Kochi</t>
        </is>
      </c>
      <c r="D45" s="2" t="inlineStr">
        <is>
          <t>South</t>
        </is>
      </c>
    </row>
    <row r="46">
      <c r="A46" s="2" t="inlineStr">
        <is>
          <t>C0006</t>
        </is>
      </c>
      <c r="B46" s="2" t="inlineStr">
        <is>
          <t>Maharashtra</t>
        </is>
      </c>
      <c r="C46" s="2" t="inlineStr">
        <is>
          <t>Mumbai</t>
        </is>
      </c>
      <c r="D46" s="2" t="inlineStr">
        <is>
          <t>West</t>
        </is>
      </c>
    </row>
    <row r="47">
      <c r="A47" s="2" t="inlineStr">
        <is>
          <t>C0007</t>
        </is>
      </c>
      <c r="B47" s="2" t="inlineStr">
        <is>
          <t>West Bengal</t>
        </is>
      </c>
      <c r="C47" s="2" t="inlineStr">
        <is>
          <t>Kolkata</t>
        </is>
      </c>
      <c r="D47" s="2" t="inlineStr">
        <is>
          <t>East</t>
        </is>
      </c>
    </row>
    <row r="48">
      <c r="A48" s="2" t="inlineStr">
        <is>
          <t>C0007</t>
        </is>
      </c>
      <c r="B48" s="2" t="inlineStr">
        <is>
          <t>Tamil Nadu</t>
        </is>
      </c>
      <c r="C48" s="2" t="inlineStr">
        <is>
          <t>Madurai</t>
        </is>
      </c>
      <c r="D48" s="2" t="inlineStr">
        <is>
          <t>South</t>
        </is>
      </c>
    </row>
    <row r="49">
      <c r="A49" s="2" t="inlineStr">
        <is>
          <t>C0007</t>
        </is>
      </c>
      <c r="B49" s="2" t="inlineStr">
        <is>
          <t>Goa</t>
        </is>
      </c>
      <c r="C49" s="2" t="inlineStr">
        <is>
          <t>Margao</t>
        </is>
      </c>
      <c r="D49" s="2" t="inlineStr">
        <is>
          <t>West</t>
        </is>
      </c>
    </row>
    <row r="50">
      <c r="A50" s="2" t="inlineStr">
        <is>
          <t>C0008</t>
        </is>
      </c>
      <c r="B50" s="2" t="inlineStr">
        <is>
          <t>Maharashtra</t>
        </is>
      </c>
      <c r="C50" s="2" t="inlineStr">
        <is>
          <t>Pune</t>
        </is>
      </c>
      <c r="D50" s="2" t="inlineStr">
        <is>
          <t>West</t>
        </is>
      </c>
    </row>
    <row r="51">
      <c r="A51" s="2" t="inlineStr">
        <is>
          <t>C0008</t>
        </is>
      </c>
      <c r="B51" s="2" t="inlineStr">
        <is>
          <t>Delhi</t>
        </is>
      </c>
      <c r="C51" s="2" t="inlineStr">
        <is>
          <t>New Delhi</t>
        </is>
      </c>
      <c r="D51" s="2" t="inlineStr">
        <is>
          <t>North</t>
        </is>
      </c>
    </row>
    <row r="52">
      <c r="A52" s="2" t="inlineStr">
        <is>
          <t>C0008</t>
        </is>
      </c>
      <c r="B52" s="2" t="inlineStr">
        <is>
          <t>Karnataka</t>
        </is>
      </c>
      <c r="C52" s="2" t="inlineStr">
        <is>
          <t>Bengaluru</t>
        </is>
      </c>
      <c r="D52" s="2" t="inlineStr">
        <is>
          <t>South</t>
        </is>
      </c>
    </row>
    <row r="53">
      <c r="A53" s="2" t="inlineStr">
        <is>
          <t>C0009</t>
        </is>
      </c>
      <c r="B53" s="2" t="inlineStr">
        <is>
          <t>Odisha</t>
        </is>
      </c>
      <c r="C53" s="2" t="inlineStr">
        <is>
          <t>Cuttack</t>
        </is>
      </c>
      <c r="D53" s="2" t="inlineStr">
        <is>
          <t>East</t>
        </is>
      </c>
    </row>
    <row r="54">
      <c r="A54" s="2" t="inlineStr">
        <is>
          <t>C0009</t>
        </is>
      </c>
      <c r="B54" s="2" t="inlineStr">
        <is>
          <t>West Bengal</t>
        </is>
      </c>
      <c r="C54" s="2" t="inlineStr">
        <is>
          <t>Durgapur</t>
        </is>
      </c>
      <c r="D54" s="2" t="inlineStr">
        <is>
          <t>East</t>
        </is>
      </c>
    </row>
    <row r="55">
      <c r="A55" s="2" t="inlineStr">
        <is>
          <t>C0010</t>
        </is>
      </c>
      <c r="B55" s="2" t="inlineStr">
        <is>
          <t>Kerala</t>
        </is>
      </c>
      <c r="C55" s="2" t="inlineStr">
        <is>
          <t>Thiruvananthapuram</t>
        </is>
      </c>
      <c r="D55" s="2" t="inlineStr">
        <is>
          <t>South</t>
        </is>
      </c>
    </row>
    <row r="56">
      <c r="A56" s="2" t="inlineStr">
        <is>
          <t>C0011</t>
        </is>
      </c>
      <c r="B56" s="2" t="inlineStr">
        <is>
          <t>Odisha</t>
        </is>
      </c>
      <c r="C56" s="2" t="inlineStr">
        <is>
          <t>Cuttack</t>
        </is>
      </c>
      <c r="D56" s="2" t="inlineStr">
        <is>
          <t>East</t>
        </is>
      </c>
    </row>
    <row r="57">
      <c r="A57" s="2" t="inlineStr">
        <is>
          <t>C0011</t>
        </is>
      </c>
      <c r="B57" s="2" t="inlineStr">
        <is>
          <t>Punjab</t>
        </is>
      </c>
      <c r="C57" s="2" t="inlineStr">
        <is>
          <t>Amritsar</t>
        </is>
      </c>
      <c r="D57" s="2" t="inlineStr">
        <is>
          <t>North</t>
        </is>
      </c>
    </row>
    <row r="58">
      <c r="A58" s="2" t="inlineStr">
        <is>
          <t>C0011</t>
        </is>
      </c>
      <c r="B58" s="2" t="inlineStr">
        <is>
          <t>Gujarat</t>
        </is>
      </c>
      <c r="C58" s="2" t="inlineStr">
        <is>
          <t>Surat</t>
        </is>
      </c>
      <c r="D58" s="2" t="inlineStr">
        <is>
          <t>West</t>
        </is>
      </c>
    </row>
    <row r="59">
      <c r="A59" s="2" t="inlineStr">
        <is>
          <t>C0012</t>
        </is>
      </c>
      <c r="B59" s="2" t="inlineStr">
        <is>
          <t>Bihar</t>
        </is>
      </c>
      <c r="C59" s="2" t="inlineStr">
        <is>
          <t>Patna</t>
        </is>
      </c>
      <c r="D59" s="2" t="inlineStr">
        <is>
          <t>East</t>
        </is>
      </c>
    </row>
    <row r="60">
      <c r="A60" s="2" t="inlineStr">
        <is>
          <t>C0012</t>
        </is>
      </c>
      <c r="B60" s="2" t="inlineStr">
        <is>
          <t>Gujarat</t>
        </is>
      </c>
      <c r="C60" s="2" t="inlineStr">
        <is>
          <t>Ahmedabad</t>
        </is>
      </c>
      <c r="D60" s="2" t="inlineStr">
        <is>
          <t>West</t>
        </is>
      </c>
    </row>
    <row r="61">
      <c r="A61" s="2" t="inlineStr">
        <is>
          <t>C0013</t>
        </is>
      </c>
      <c r="B61" s="2" t="inlineStr">
        <is>
          <t>Karnataka</t>
        </is>
      </c>
      <c r="C61" s="2" t="inlineStr">
        <is>
          <t>Mysuru</t>
        </is>
      </c>
      <c r="D61" s="2" t="inlineStr">
        <is>
          <t>South</t>
        </is>
      </c>
    </row>
    <row r="62">
      <c r="A62" s="2" t="inlineStr">
        <is>
          <t>C0013</t>
        </is>
      </c>
      <c r="B62" s="2" t="inlineStr">
        <is>
          <t>Maharashtra</t>
        </is>
      </c>
      <c r="C62" s="2" t="inlineStr">
        <is>
          <t>Pune</t>
        </is>
      </c>
      <c r="D62" s="2" t="inlineStr">
        <is>
          <t>West</t>
        </is>
      </c>
    </row>
    <row r="63">
      <c r="A63" s="2" t="inlineStr">
        <is>
          <t>C0013</t>
        </is>
      </c>
      <c r="B63" s="2" t="inlineStr">
        <is>
          <t>Punjab</t>
        </is>
      </c>
      <c r="C63" s="2" t="inlineStr">
        <is>
          <t>Amritsar</t>
        </is>
      </c>
      <c r="D63" s="2" t="inlineStr">
        <is>
          <t>North</t>
        </is>
      </c>
    </row>
    <row r="64">
      <c r="A64" s="2" t="inlineStr">
        <is>
          <t>C0013</t>
        </is>
      </c>
      <c r="B64" s="2" t="inlineStr">
        <is>
          <t>Gujarat</t>
        </is>
      </c>
      <c r="C64" s="2" t="inlineStr">
        <is>
          <t>Vadodara</t>
        </is>
      </c>
      <c r="D64" s="2" t="inlineStr">
        <is>
          <t>West</t>
        </is>
      </c>
    </row>
    <row r="65">
      <c r="A65" s="2" t="inlineStr">
        <is>
          <t>C0013</t>
        </is>
      </c>
      <c r="B65" s="2" t="inlineStr">
        <is>
          <t>Goa</t>
        </is>
      </c>
      <c r="C65" s="2" t="inlineStr">
        <is>
          <t>Panaji</t>
        </is>
      </c>
      <c r="D65" s="2" t="inlineStr">
        <is>
          <t>West</t>
        </is>
      </c>
    </row>
    <row r="66">
      <c r="A66" s="2" t="inlineStr">
        <is>
          <t>C0013</t>
        </is>
      </c>
      <c r="B66" s="2" t="inlineStr">
        <is>
          <t>Delhi</t>
        </is>
      </c>
      <c r="C66" s="2" t="inlineStr">
        <is>
          <t>New Delhi</t>
        </is>
      </c>
      <c r="D66" s="2" t="inlineStr">
        <is>
          <t>North</t>
        </is>
      </c>
    </row>
    <row r="67">
      <c r="A67" s="2" t="inlineStr">
        <is>
          <t>C0013</t>
        </is>
      </c>
      <c r="B67" s="2" t="inlineStr">
        <is>
          <t>Gujarat</t>
        </is>
      </c>
      <c r="C67" s="2" t="inlineStr">
        <is>
          <t>Ahmedabad</t>
        </is>
      </c>
      <c r="D67" s="2" t="inlineStr">
        <is>
          <t>West</t>
        </is>
      </c>
    </row>
    <row r="68">
      <c r="A68" s="2" t="inlineStr">
        <is>
          <t>C0013</t>
        </is>
      </c>
      <c r="B68" s="2" t="inlineStr">
        <is>
          <t>Tamil Nadu</t>
        </is>
      </c>
      <c r="C68" s="2" t="inlineStr">
        <is>
          <t>Chennai</t>
        </is>
      </c>
      <c r="D68" s="2" t="inlineStr">
        <is>
          <t>South</t>
        </is>
      </c>
    </row>
    <row r="69">
      <c r="A69" s="2" t="inlineStr">
        <is>
          <t>C0013</t>
        </is>
      </c>
      <c r="B69" s="2" t="inlineStr">
        <is>
          <t>West Bengal</t>
        </is>
      </c>
      <c r="C69" s="2" t="inlineStr">
        <is>
          <t>Kolkata</t>
        </is>
      </c>
      <c r="D69" s="2" t="n">
        <v/>
      </c>
    </row>
    <row r="70">
      <c r="A70" s="2" t="inlineStr">
        <is>
          <t>C0013</t>
        </is>
      </c>
      <c r="B70" s="2" t="inlineStr">
        <is>
          <t>Karnataka</t>
        </is>
      </c>
      <c r="C70" s="2" t="inlineStr">
        <is>
          <t>Bengaluru</t>
        </is>
      </c>
      <c r="D70" s="2" t="inlineStr">
        <is>
          <t>South</t>
        </is>
      </c>
    </row>
    <row r="71">
      <c r="A71" s="2" t="inlineStr">
        <is>
          <t>C0013</t>
        </is>
      </c>
      <c r="B71" s="2" t="inlineStr">
        <is>
          <t>Karnataka</t>
        </is>
      </c>
      <c r="C71" s="2" t="inlineStr">
        <is>
          <t>Mangaluru</t>
        </is>
      </c>
      <c r="D71" s="2" t="inlineStr">
        <is>
          <t>South</t>
        </is>
      </c>
    </row>
    <row r="72">
      <c r="A72" s="2" t="inlineStr">
        <is>
          <t>C0013</t>
        </is>
      </c>
      <c r="B72" s="2" t="inlineStr">
        <is>
          <t>Punjab</t>
        </is>
      </c>
      <c r="C72" s="2" t="inlineStr">
        <is>
          <t>Ludhiana</t>
        </is>
      </c>
      <c r="D72" s="2" t="inlineStr">
        <is>
          <t>North</t>
        </is>
      </c>
    </row>
    <row r="73">
      <c r="A73" s="2" t="inlineStr">
        <is>
          <t>C0013</t>
        </is>
      </c>
      <c r="B73" s="2" t="inlineStr">
        <is>
          <t>Tamil Nadu</t>
        </is>
      </c>
      <c r="C73" s="2" t="inlineStr">
        <is>
          <t>Coimbatore</t>
        </is>
      </c>
      <c r="D73" s="2" t="inlineStr">
        <is>
          <t>South</t>
        </is>
      </c>
    </row>
    <row r="74">
      <c r="A74" s="2" t="inlineStr">
        <is>
          <t>C0013</t>
        </is>
      </c>
      <c r="B74" s="2" t="inlineStr">
        <is>
          <t>Punjab</t>
        </is>
      </c>
      <c r="C74" s="2" t="inlineStr">
        <is>
          <t>Jalandhar</t>
        </is>
      </c>
      <c r="D74" s="2" t="inlineStr">
        <is>
          <t>North</t>
        </is>
      </c>
    </row>
    <row r="75">
      <c r="A75" s="2" t="inlineStr">
        <is>
          <t>C0014</t>
        </is>
      </c>
      <c r="B75" s="2" t="inlineStr">
        <is>
          <t>Tamil Nadu</t>
        </is>
      </c>
      <c r="C75" s="2" t="inlineStr">
        <is>
          <t>Madurai</t>
        </is>
      </c>
      <c r="D75" s="2" t="inlineStr">
        <is>
          <t>South</t>
        </is>
      </c>
    </row>
    <row r="76">
      <c r="A76" s="2" t="inlineStr">
        <is>
          <t>C0014</t>
        </is>
      </c>
      <c r="B76" s="2" t="inlineStr">
        <is>
          <t>Gujarat</t>
        </is>
      </c>
      <c r="C76" s="2" t="inlineStr">
        <is>
          <t>Ahmedabad</t>
        </is>
      </c>
      <c r="D76" s="2" t="inlineStr">
        <is>
          <t>West</t>
        </is>
      </c>
    </row>
    <row r="77">
      <c r="A77" s="2" t="inlineStr">
        <is>
          <t>C0014</t>
        </is>
      </c>
      <c r="B77" s="2" t="inlineStr">
        <is>
          <t>Delhi</t>
        </is>
      </c>
      <c r="C77" s="2" t="inlineStr">
        <is>
          <t>New Delhi</t>
        </is>
      </c>
      <c r="D77" s="2" t="inlineStr">
        <is>
          <t>North</t>
        </is>
      </c>
    </row>
    <row r="78">
      <c r="A78" s="2" t="inlineStr">
        <is>
          <t>C0014</t>
        </is>
      </c>
      <c r="B78" s="2" t="inlineStr">
        <is>
          <t>Telangana</t>
        </is>
      </c>
      <c r="C78" s="2" t="inlineStr">
        <is>
          <t>Hyderabad</t>
        </is>
      </c>
      <c r="D78" s="2" t="inlineStr">
        <is>
          <t>South</t>
        </is>
      </c>
    </row>
    <row r="79">
      <c r="A79" s="2" t="inlineStr">
        <is>
          <t>C0014</t>
        </is>
      </c>
      <c r="B79" s="2" t="inlineStr">
        <is>
          <t>Bihar</t>
        </is>
      </c>
      <c r="C79" s="2" t="inlineStr">
        <is>
          <t>Patna</t>
        </is>
      </c>
      <c r="D79" s="2" t="inlineStr">
        <is>
          <t>East</t>
        </is>
      </c>
    </row>
    <row r="80">
      <c r="A80" s="2" t="inlineStr">
        <is>
          <t>C0014</t>
        </is>
      </c>
      <c r="B80" s="2" t="inlineStr">
        <is>
          <t>Uttar Pradesh</t>
        </is>
      </c>
      <c r="C80" s="2" t="inlineStr">
        <is>
          <t>Noida</t>
        </is>
      </c>
      <c r="D80" s="2" t="inlineStr">
        <is>
          <t>North</t>
        </is>
      </c>
    </row>
    <row r="81">
      <c r="A81" s="2" t="inlineStr">
        <is>
          <t>C0014</t>
        </is>
      </c>
      <c r="B81" s="2" t="inlineStr">
        <is>
          <t>Telangana</t>
        </is>
      </c>
      <c r="C81" s="2" t="inlineStr">
        <is>
          <t>Warangal</t>
        </is>
      </c>
      <c r="D81" s="2" t="inlineStr">
        <is>
          <t>South</t>
        </is>
      </c>
    </row>
    <row r="82">
      <c r="A82" s="2" t="inlineStr">
        <is>
          <t>C0014</t>
        </is>
      </c>
      <c r="B82" s="2" t="inlineStr">
        <is>
          <t>Kerala</t>
        </is>
      </c>
      <c r="C82" s="2" t="inlineStr">
        <is>
          <t>Thiruvananthapuram</t>
        </is>
      </c>
      <c r="D82" s="2" t="inlineStr">
        <is>
          <t>South</t>
        </is>
      </c>
    </row>
    <row r="83">
      <c r="A83" s="2" t="inlineStr">
        <is>
          <t>C0014</t>
        </is>
      </c>
      <c r="B83" s="2" t="inlineStr">
        <is>
          <t>Gujarat</t>
        </is>
      </c>
      <c r="C83" s="2" t="inlineStr">
        <is>
          <t>Vadodara</t>
        </is>
      </c>
      <c r="D83" s="2" t="inlineStr">
        <is>
          <t>West</t>
        </is>
      </c>
    </row>
    <row r="84">
      <c r="A84" s="2" t="inlineStr">
        <is>
          <t>C0014</t>
        </is>
      </c>
      <c r="B84" s="2" t="inlineStr">
        <is>
          <t>Haryana</t>
        </is>
      </c>
      <c r="C84" s="2" t="inlineStr">
        <is>
          <t>Gurugram</t>
        </is>
      </c>
      <c r="D84" s="2" t="inlineStr">
        <is>
          <t>North</t>
        </is>
      </c>
    </row>
    <row r="85">
      <c r="A85" s="2" t="inlineStr">
        <is>
          <t>C0014</t>
        </is>
      </c>
      <c r="B85" s="2" t="inlineStr">
        <is>
          <t>Odisha</t>
        </is>
      </c>
      <c r="C85" s="2" t="inlineStr">
        <is>
          <t>Bhubaneswar</t>
        </is>
      </c>
      <c r="D85" s="2" t="inlineStr">
        <is>
          <t>East</t>
        </is>
      </c>
    </row>
    <row r="86">
      <c r="A86" s="2" t="inlineStr">
        <is>
          <t>C0014</t>
        </is>
      </c>
      <c r="B86" s="2" t="inlineStr">
        <is>
          <t>Karnataka</t>
        </is>
      </c>
      <c r="C86" s="2" t="inlineStr">
        <is>
          <t>Mysuru</t>
        </is>
      </c>
      <c r="D86" s="2" t="inlineStr">
        <is>
          <t>South</t>
        </is>
      </c>
    </row>
    <row r="87">
      <c r="A87" s="2" t="inlineStr">
        <is>
          <t>C0014</t>
        </is>
      </c>
      <c r="B87" s="2" t="inlineStr">
        <is>
          <t>Punjab</t>
        </is>
      </c>
      <c r="C87" s="2" t="inlineStr">
        <is>
          <t>Ludhiana</t>
        </is>
      </c>
      <c r="D87" s="2" t="inlineStr">
        <is>
          <t>North</t>
        </is>
      </c>
    </row>
    <row r="88">
      <c r="A88" s="2" t="inlineStr">
        <is>
          <t>C0014</t>
        </is>
      </c>
      <c r="B88" s="2" t="inlineStr">
        <is>
          <t>Maharashtra</t>
        </is>
      </c>
      <c r="C88" s="2" t="inlineStr">
        <is>
          <t>Mumbai</t>
        </is>
      </c>
      <c r="D88" s="2" t="inlineStr">
        <is>
          <t>West</t>
        </is>
      </c>
    </row>
    <row r="89">
      <c r="A89" s="2" t="inlineStr">
        <is>
          <t>C0015</t>
        </is>
      </c>
      <c r="B89" s="2" t="inlineStr">
        <is>
          <t>Goa</t>
        </is>
      </c>
      <c r="C89" s="2" t="inlineStr">
        <is>
          <t>Margao</t>
        </is>
      </c>
      <c r="D89" s="2" t="inlineStr">
        <is>
          <t>West</t>
        </is>
      </c>
    </row>
    <row r="90">
      <c r="A90" s="2" t="inlineStr">
        <is>
          <t>C0015</t>
        </is>
      </c>
      <c r="B90" s="2" t="inlineStr">
        <is>
          <t>Telangana</t>
        </is>
      </c>
      <c r="C90" s="2" t="inlineStr">
        <is>
          <t>Hyderabad</t>
        </is>
      </c>
      <c r="D90" s="2" t="inlineStr">
        <is>
          <t>South</t>
        </is>
      </c>
    </row>
    <row r="91">
      <c r="A91" s="2" t="inlineStr">
        <is>
          <t>C0015</t>
        </is>
      </c>
      <c r="B91" s="2" t="inlineStr">
        <is>
          <t>Kerala</t>
        </is>
      </c>
      <c r="C91" s="2" t="inlineStr">
        <is>
          <t>Thiruvananthapuram</t>
        </is>
      </c>
      <c r="D91" s="2" t="inlineStr">
        <is>
          <t>South</t>
        </is>
      </c>
    </row>
    <row r="92">
      <c r="A92" s="2" t="inlineStr">
        <is>
          <t>C0015</t>
        </is>
      </c>
      <c r="B92" s="2" t="inlineStr">
        <is>
          <t>Punjab</t>
        </is>
      </c>
      <c r="C92" s="2" t="inlineStr">
        <is>
          <t>Jalandhar</t>
        </is>
      </c>
      <c r="D92" s="2" t="inlineStr">
        <is>
          <t>North</t>
        </is>
      </c>
    </row>
    <row r="93">
      <c r="A93" s="2" t="inlineStr">
        <is>
          <t>C0015</t>
        </is>
      </c>
      <c r="B93" s="2" t="inlineStr">
        <is>
          <t>Maharashtra</t>
        </is>
      </c>
      <c r="C93" s="2" t="inlineStr">
        <is>
          <t>Nashik</t>
        </is>
      </c>
      <c r="D93" s="2" t="inlineStr">
        <is>
          <t>West</t>
        </is>
      </c>
    </row>
    <row r="94">
      <c r="A94" s="2" t="inlineStr">
        <is>
          <t>C0015</t>
        </is>
      </c>
      <c r="B94" s="2" t="inlineStr">
        <is>
          <t>Uttar Pradesh</t>
        </is>
      </c>
      <c r="C94" s="2" t="inlineStr">
        <is>
          <t>Varanasi</t>
        </is>
      </c>
      <c r="D94" s="2" t="inlineStr">
        <is>
          <t>North</t>
        </is>
      </c>
    </row>
    <row r="95">
      <c r="A95" s="2" t="inlineStr">
        <is>
          <t>C0015</t>
        </is>
      </c>
      <c r="B95" s="2" t="inlineStr">
        <is>
          <t>Uttar Pradesh</t>
        </is>
      </c>
      <c r="C95" s="2" t="inlineStr">
        <is>
          <t>Noida</t>
        </is>
      </c>
      <c r="D95" s="2" t="inlineStr">
        <is>
          <t>North</t>
        </is>
      </c>
    </row>
    <row r="96">
      <c r="A96" s="2" t="inlineStr">
        <is>
          <t>C0015</t>
        </is>
      </c>
      <c r="B96" s="2" t="inlineStr">
        <is>
          <t>Odisha</t>
        </is>
      </c>
      <c r="C96" s="2" t="inlineStr">
        <is>
          <t>Bhubaneswar</t>
        </is>
      </c>
      <c r="D96" s="2" t="inlineStr">
        <is>
          <t>East</t>
        </is>
      </c>
    </row>
    <row r="97">
      <c r="A97" s="2" t="inlineStr">
        <is>
          <t>C0016</t>
        </is>
      </c>
      <c r="B97" s="2" t="inlineStr">
        <is>
          <t>Karnataka</t>
        </is>
      </c>
      <c r="C97" s="2" t="inlineStr">
        <is>
          <t>Bengaluru</t>
        </is>
      </c>
      <c r="D97" s="2" t="inlineStr">
        <is>
          <t>South</t>
        </is>
      </c>
    </row>
    <row r="98">
      <c r="A98" s="2" t="inlineStr">
        <is>
          <t>C0016</t>
        </is>
      </c>
      <c r="B98" s="2" t="inlineStr">
        <is>
          <t>Gujarat</t>
        </is>
      </c>
      <c r="C98" s="2" t="inlineStr">
        <is>
          <t>Ahmedabad</t>
        </is>
      </c>
      <c r="D98" s="2" t="inlineStr">
        <is>
          <t>West</t>
        </is>
      </c>
    </row>
    <row r="99">
      <c r="A99" s="2" t="inlineStr">
        <is>
          <t>C0016</t>
        </is>
      </c>
      <c r="B99" s="2" t="inlineStr">
        <is>
          <t>Goa</t>
        </is>
      </c>
      <c r="C99" s="2" t="inlineStr">
        <is>
          <t>Panaji</t>
        </is>
      </c>
      <c r="D99" s="2" t="inlineStr">
        <is>
          <t>West</t>
        </is>
      </c>
    </row>
    <row r="100">
      <c r="A100" s="2" t="inlineStr">
        <is>
          <t>C0016</t>
        </is>
      </c>
      <c r="B100" s="2" t="inlineStr">
        <is>
          <t>Kerala</t>
        </is>
      </c>
      <c r="C100" s="2" t="inlineStr">
        <is>
          <t>Kochi</t>
        </is>
      </c>
      <c r="D100" s="2" t="inlineStr">
        <is>
          <t>South</t>
        </is>
      </c>
    </row>
    <row r="101">
      <c r="A101" s="2" t="inlineStr">
        <is>
          <t>C0016</t>
        </is>
      </c>
      <c r="B101" s="2" t="inlineStr">
        <is>
          <t>Kerala</t>
        </is>
      </c>
      <c r="C101" s="2" t="inlineStr">
        <is>
          <t>Thiruvananthapuram</t>
        </is>
      </c>
      <c r="D101" s="2" t="inlineStr">
        <is>
          <t>South</t>
        </is>
      </c>
    </row>
    <row r="102">
      <c r="A102" s="2" t="inlineStr">
        <is>
          <t>C0016</t>
        </is>
      </c>
      <c r="B102" s="2" t="inlineStr">
        <is>
          <t>Tamil Nadu</t>
        </is>
      </c>
      <c r="C102" s="2" t="inlineStr">
        <is>
          <t>Madurai</t>
        </is>
      </c>
      <c r="D102" s="2" t="inlineStr">
        <is>
          <t>South</t>
        </is>
      </c>
    </row>
    <row r="103">
      <c r="A103" s="2" t="inlineStr">
        <is>
          <t>C0016</t>
        </is>
      </c>
      <c r="B103" s="2" t="inlineStr">
        <is>
          <t>Delhi</t>
        </is>
      </c>
      <c r="C103" s="2" t="inlineStr">
        <is>
          <t>New Delhi</t>
        </is>
      </c>
      <c r="D103" s="2" t="inlineStr">
        <is>
          <t>North</t>
        </is>
      </c>
    </row>
    <row r="104">
      <c r="A104" s="2" t="inlineStr">
        <is>
          <t>C0016</t>
        </is>
      </c>
      <c r="B104" s="2" t="inlineStr">
        <is>
          <t>Telangana</t>
        </is>
      </c>
      <c r="C104" s="2" t="inlineStr">
        <is>
          <t>Warangal</t>
        </is>
      </c>
      <c r="D104" s="2" t="inlineStr">
        <is>
          <t>South</t>
        </is>
      </c>
    </row>
    <row r="105">
      <c r="A105" s="2" t="inlineStr">
        <is>
          <t>C0016</t>
        </is>
      </c>
      <c r="B105" s="2" t="inlineStr">
        <is>
          <t>Gujarat</t>
        </is>
      </c>
      <c r="C105" s="2" t="inlineStr">
        <is>
          <t>Surat</t>
        </is>
      </c>
      <c r="D105" s="2" t="inlineStr">
        <is>
          <t>West</t>
        </is>
      </c>
    </row>
    <row r="106">
      <c r="A106" s="2" t="inlineStr">
        <is>
          <t>C0017</t>
        </is>
      </c>
      <c r="B106" s="2" t="inlineStr">
        <is>
          <t>Delhi</t>
        </is>
      </c>
      <c r="C106" s="2" t="inlineStr">
        <is>
          <t>New Delhi</t>
        </is>
      </c>
      <c r="D106" s="2" t="inlineStr">
        <is>
          <t>North</t>
        </is>
      </c>
    </row>
    <row r="107">
      <c r="A107" s="2" t="inlineStr">
        <is>
          <t>C0017</t>
        </is>
      </c>
      <c r="B107" s="2" t="inlineStr">
        <is>
          <t>Punjab</t>
        </is>
      </c>
      <c r="C107" s="2" t="inlineStr">
        <is>
          <t>Amritsar</t>
        </is>
      </c>
      <c r="D107" s="2" t="inlineStr">
        <is>
          <t>North</t>
        </is>
      </c>
    </row>
    <row r="108">
      <c r="A108" s="2" t="inlineStr">
        <is>
          <t>C0017</t>
        </is>
      </c>
      <c r="B108" s="2" t="inlineStr">
        <is>
          <t>Uttar Pradesh</t>
        </is>
      </c>
      <c r="C108" s="2" t="inlineStr">
        <is>
          <t>Kanpur</t>
        </is>
      </c>
      <c r="D108" s="2" t="inlineStr">
        <is>
          <t>North</t>
        </is>
      </c>
    </row>
    <row r="109">
      <c r="A109" s="2" t="inlineStr">
        <is>
          <t>C0019</t>
        </is>
      </c>
      <c r="B109" s="2" t="inlineStr">
        <is>
          <t>Karnataka</t>
        </is>
      </c>
      <c r="C109" s="2" t="inlineStr">
        <is>
          <t>Bengaluru</t>
        </is>
      </c>
      <c r="D109" s="2" t="inlineStr">
        <is>
          <t>South</t>
        </is>
      </c>
    </row>
    <row r="110">
      <c r="A110" s="2" t="inlineStr">
        <is>
          <t>C0019</t>
        </is>
      </c>
      <c r="B110" s="2" t="inlineStr">
        <is>
          <t>Maharashtra</t>
        </is>
      </c>
      <c r="C110" s="2" t="inlineStr">
        <is>
          <t>Mumbai</t>
        </is>
      </c>
      <c r="D110" s="2" t="inlineStr">
        <is>
          <t>West</t>
        </is>
      </c>
    </row>
    <row r="111">
      <c r="A111" s="2" t="inlineStr">
        <is>
          <t>C0019</t>
        </is>
      </c>
      <c r="B111" s="2" t="inlineStr">
        <is>
          <t>Goa</t>
        </is>
      </c>
      <c r="C111" s="2" t="inlineStr">
        <is>
          <t>Margao</t>
        </is>
      </c>
      <c r="D111" s="2" t="inlineStr">
        <is>
          <t>West</t>
        </is>
      </c>
    </row>
    <row r="112">
      <c r="A112" s="2" t="inlineStr">
        <is>
          <t>C0020</t>
        </is>
      </c>
      <c r="B112" s="2" t="inlineStr">
        <is>
          <t>Punjab</t>
        </is>
      </c>
      <c r="C112" s="2" t="inlineStr">
        <is>
          <t>Jalandhar</t>
        </is>
      </c>
      <c r="D112" s="2" t="inlineStr">
        <is>
          <t>North</t>
        </is>
      </c>
    </row>
    <row r="113">
      <c r="A113" s="2" t="inlineStr">
        <is>
          <t>C0020</t>
        </is>
      </c>
      <c r="B113" s="2" t="inlineStr">
        <is>
          <t>Tamil Nadu</t>
        </is>
      </c>
      <c r="C113" s="2" t="inlineStr">
        <is>
          <t>Madurai</t>
        </is>
      </c>
      <c r="D113" s="2" t="inlineStr">
        <is>
          <t>South</t>
        </is>
      </c>
    </row>
    <row r="114">
      <c r="A114" s="2" t="inlineStr">
        <is>
          <t>C0021</t>
        </is>
      </c>
      <c r="B114" s="2" t="inlineStr">
        <is>
          <t>Maharashtra</t>
        </is>
      </c>
      <c r="C114" s="2" t="inlineStr">
        <is>
          <t>Nashik</t>
        </is>
      </c>
      <c r="D114" s="2" t="inlineStr">
        <is>
          <t>West</t>
        </is>
      </c>
    </row>
    <row r="115">
      <c r="A115" s="2" t="inlineStr">
        <is>
          <t>C0021</t>
        </is>
      </c>
      <c r="B115" s="2" t="inlineStr">
        <is>
          <t>Haryana</t>
        </is>
      </c>
      <c r="C115" s="2" t="inlineStr">
        <is>
          <t>Faridabad</t>
        </is>
      </c>
      <c r="D115" s="2" t="inlineStr">
        <is>
          <t>North</t>
        </is>
      </c>
    </row>
    <row r="116">
      <c r="A116" s="2" t="inlineStr">
        <is>
          <t>C0021</t>
        </is>
      </c>
      <c r="B116" s="2" t="inlineStr">
        <is>
          <t>Gujarat</t>
        </is>
      </c>
      <c r="C116" s="2" t="inlineStr">
        <is>
          <t>Ahmedabad</t>
        </is>
      </c>
      <c r="D116" s="2" t="inlineStr">
        <is>
          <t>West</t>
        </is>
      </c>
    </row>
    <row r="117">
      <c r="A117" s="2" t="inlineStr">
        <is>
          <t>C0021</t>
        </is>
      </c>
      <c r="B117" s="2" t="inlineStr">
        <is>
          <t>Punjab</t>
        </is>
      </c>
      <c r="C117" s="2" t="inlineStr">
        <is>
          <t>Jalandhar</t>
        </is>
      </c>
      <c r="D117" s="2" t="inlineStr">
        <is>
          <t>North</t>
        </is>
      </c>
    </row>
    <row r="118">
      <c r="A118" s="2" t="inlineStr">
        <is>
          <t>C0021</t>
        </is>
      </c>
      <c r="B118" s="2" t="inlineStr">
        <is>
          <t>Delhi</t>
        </is>
      </c>
      <c r="C118" s="2" t="inlineStr">
        <is>
          <t>New Delhi</t>
        </is>
      </c>
      <c r="D118" s="2" t="inlineStr">
        <is>
          <t>North</t>
        </is>
      </c>
    </row>
    <row r="119">
      <c r="A119" s="2" t="inlineStr">
        <is>
          <t>C0022</t>
        </is>
      </c>
      <c r="B119" s="2" t="inlineStr">
        <is>
          <t>Karnataka</t>
        </is>
      </c>
      <c r="C119" s="2" t="inlineStr">
        <is>
          <t>Bengaluru</t>
        </is>
      </c>
      <c r="D119" s="2" t="inlineStr">
        <is>
          <t>South</t>
        </is>
      </c>
    </row>
    <row r="120">
      <c r="A120" s="2" t="inlineStr">
        <is>
          <t>C0023</t>
        </is>
      </c>
      <c r="B120" s="2" t="inlineStr">
        <is>
          <t>Delhi</t>
        </is>
      </c>
      <c r="C120" s="2" t="inlineStr">
        <is>
          <t>New Delhi</t>
        </is>
      </c>
      <c r="D120" s="2" t="inlineStr">
        <is>
          <t>North</t>
        </is>
      </c>
    </row>
    <row r="121">
      <c r="A121" s="2" t="inlineStr">
        <is>
          <t>C0023</t>
        </is>
      </c>
      <c r="B121" s="2" t="inlineStr">
        <is>
          <t>Maharashtra</t>
        </is>
      </c>
      <c r="C121" s="2" t="inlineStr">
        <is>
          <t>Thane</t>
        </is>
      </c>
      <c r="D121" s="2" t="inlineStr">
        <is>
          <t>West</t>
        </is>
      </c>
    </row>
    <row r="122">
      <c r="A122" s="2" t="inlineStr">
        <is>
          <t>C0023</t>
        </is>
      </c>
      <c r="B122" s="2" t="inlineStr">
        <is>
          <t>Goa</t>
        </is>
      </c>
      <c r="C122" s="2" t="inlineStr">
        <is>
          <t>Panaji</t>
        </is>
      </c>
      <c r="D122" s="2" t="inlineStr">
        <is>
          <t>West</t>
        </is>
      </c>
    </row>
    <row r="123">
      <c r="A123" s="2" t="inlineStr">
        <is>
          <t>C0023</t>
        </is>
      </c>
      <c r="B123" s="2" t="inlineStr">
        <is>
          <t>Maharashtra</t>
        </is>
      </c>
      <c r="C123" s="2" t="inlineStr">
        <is>
          <t>Mumbai</t>
        </is>
      </c>
      <c r="D123" s="2" t="inlineStr">
        <is>
          <t>West</t>
        </is>
      </c>
    </row>
    <row r="124">
      <c r="A124" s="2" t="inlineStr">
        <is>
          <t>C0023</t>
        </is>
      </c>
      <c r="B124" s="2" t="inlineStr">
        <is>
          <t>Maharashtra</t>
        </is>
      </c>
      <c r="C124" s="2" t="inlineStr">
        <is>
          <t>Nashik</t>
        </is>
      </c>
      <c r="D124" s="2" t="inlineStr">
        <is>
          <t>West</t>
        </is>
      </c>
    </row>
    <row r="125">
      <c r="A125" s="2" t="inlineStr">
        <is>
          <t>C0023</t>
        </is>
      </c>
      <c r="B125" s="2" t="inlineStr">
        <is>
          <t>Gujarat</t>
        </is>
      </c>
      <c r="C125" s="2" t="inlineStr">
        <is>
          <t>Surat</t>
        </is>
      </c>
      <c r="D125" s="2" t="inlineStr">
        <is>
          <t>West</t>
        </is>
      </c>
    </row>
    <row r="126">
      <c r="A126" s="2" t="inlineStr">
        <is>
          <t>C0023</t>
        </is>
      </c>
      <c r="B126" s="2" t="inlineStr">
        <is>
          <t>Punjab</t>
        </is>
      </c>
      <c r="C126" s="2" t="inlineStr">
        <is>
          <t>Ludhiana</t>
        </is>
      </c>
      <c r="D126" s="2" t="inlineStr">
        <is>
          <t>North</t>
        </is>
      </c>
    </row>
    <row r="127">
      <c r="A127" s="2" t="inlineStr">
        <is>
          <t>C0023</t>
        </is>
      </c>
      <c r="B127" s="2" t="inlineStr">
        <is>
          <t>Bihar</t>
        </is>
      </c>
      <c r="C127" s="2" t="inlineStr">
        <is>
          <t>Patna</t>
        </is>
      </c>
      <c r="D127" s="2" t="inlineStr">
        <is>
          <t>East</t>
        </is>
      </c>
    </row>
    <row r="128">
      <c r="A128" s="2" t="inlineStr">
        <is>
          <t>C0023</t>
        </is>
      </c>
      <c r="B128" s="2" t="inlineStr">
        <is>
          <t>Odisha</t>
        </is>
      </c>
      <c r="C128" s="2" t="inlineStr">
        <is>
          <t>Bhubaneswar</t>
        </is>
      </c>
      <c r="D128" s="2" t="inlineStr">
        <is>
          <t>East</t>
        </is>
      </c>
    </row>
    <row r="129">
      <c r="A129" s="2" t="inlineStr">
        <is>
          <t>C0024</t>
        </is>
      </c>
      <c r="B129" s="2" t="inlineStr">
        <is>
          <t>Delhi</t>
        </is>
      </c>
      <c r="C129" s="2" t="inlineStr">
        <is>
          <t>New Delhi</t>
        </is>
      </c>
      <c r="D129" s="2" t="inlineStr">
        <is>
          <t>North</t>
        </is>
      </c>
    </row>
    <row r="130">
      <c r="A130" s="2" t="inlineStr">
        <is>
          <t>C0024</t>
        </is>
      </c>
      <c r="B130" s="2" t="inlineStr">
        <is>
          <t>Haryana</t>
        </is>
      </c>
      <c r="C130" s="2" t="inlineStr">
        <is>
          <t>Gurugram</t>
        </is>
      </c>
      <c r="D130" s="2" t="inlineStr">
        <is>
          <t>North</t>
        </is>
      </c>
    </row>
    <row r="131">
      <c r="A131" s="2" t="inlineStr">
        <is>
          <t>C0024</t>
        </is>
      </c>
      <c r="B131" s="2" t="inlineStr">
        <is>
          <t>Bihar</t>
        </is>
      </c>
      <c r="C131" s="2" t="inlineStr">
        <is>
          <t>Gaya</t>
        </is>
      </c>
      <c r="D131" s="2" t="inlineStr">
        <is>
          <t>East</t>
        </is>
      </c>
    </row>
    <row r="132">
      <c r="A132" s="2" t="inlineStr">
        <is>
          <t>C0024</t>
        </is>
      </c>
      <c r="B132" s="2" t="inlineStr">
        <is>
          <t>Punjab</t>
        </is>
      </c>
      <c r="C132" s="2" t="inlineStr">
        <is>
          <t>Amritsar</t>
        </is>
      </c>
      <c r="D132" s="2" t="inlineStr">
        <is>
          <t>North</t>
        </is>
      </c>
    </row>
    <row r="133">
      <c r="A133" s="2" t="inlineStr">
        <is>
          <t>C0024</t>
        </is>
      </c>
      <c r="B133" s="2" t="inlineStr">
        <is>
          <t>Karnataka</t>
        </is>
      </c>
      <c r="C133" s="2" t="inlineStr">
        <is>
          <t>Bengaluru</t>
        </is>
      </c>
      <c r="D133" s="2" t="inlineStr">
        <is>
          <t>South</t>
        </is>
      </c>
    </row>
    <row r="134">
      <c r="A134" s="2" t="inlineStr">
        <is>
          <t>C0024</t>
        </is>
      </c>
      <c r="B134" s="2" t="inlineStr">
        <is>
          <t>Telangana</t>
        </is>
      </c>
      <c r="C134" s="2" t="inlineStr">
        <is>
          <t>Hyderabad</t>
        </is>
      </c>
      <c r="D134" s="2" t="inlineStr">
        <is>
          <t>South</t>
        </is>
      </c>
    </row>
    <row r="135">
      <c r="A135" s="2" t="inlineStr">
        <is>
          <t>C0024</t>
        </is>
      </c>
      <c r="B135" s="2" t="inlineStr">
        <is>
          <t>Goa</t>
        </is>
      </c>
      <c r="C135" s="2" t="inlineStr">
        <is>
          <t>Margao</t>
        </is>
      </c>
      <c r="D135" s="2" t="inlineStr">
        <is>
          <t>West</t>
        </is>
      </c>
    </row>
    <row r="136">
      <c r="A136" s="2" t="inlineStr">
        <is>
          <t>C0024</t>
        </is>
      </c>
      <c r="B136" s="2" t="inlineStr">
        <is>
          <t>Maharashtra</t>
        </is>
      </c>
      <c r="C136" s="2" t="inlineStr">
        <is>
          <t>Mumbai</t>
        </is>
      </c>
      <c r="D136" s="2" t="inlineStr">
        <is>
          <t>West</t>
        </is>
      </c>
    </row>
    <row r="137">
      <c r="A137" s="2" t="inlineStr">
        <is>
          <t>C0024</t>
        </is>
      </c>
      <c r="B137" s="2" t="inlineStr">
        <is>
          <t>Karnataka</t>
        </is>
      </c>
      <c r="C137" s="2" t="inlineStr">
        <is>
          <t>Mysuru</t>
        </is>
      </c>
      <c r="D137" s="2" t="inlineStr">
        <is>
          <t>South</t>
        </is>
      </c>
    </row>
    <row r="138">
      <c r="A138" s="2" t="inlineStr">
        <is>
          <t>C0024</t>
        </is>
      </c>
      <c r="B138" s="2" t="inlineStr">
        <is>
          <t>Bihar</t>
        </is>
      </c>
      <c r="C138" s="2" t="inlineStr">
        <is>
          <t>Patna</t>
        </is>
      </c>
      <c r="D138" s="2" t="inlineStr">
        <is>
          <t>East</t>
        </is>
      </c>
    </row>
    <row r="139">
      <c r="A139" s="2" t="inlineStr">
        <is>
          <t>C0024</t>
        </is>
      </c>
      <c r="B139" s="2" t="inlineStr">
        <is>
          <t>Tamil Nadu</t>
        </is>
      </c>
      <c r="C139" s="2" t="inlineStr">
        <is>
          <t>Madurai</t>
        </is>
      </c>
      <c r="D139" s="2" t="inlineStr">
        <is>
          <t>South</t>
        </is>
      </c>
    </row>
    <row r="140">
      <c r="A140" s="2" t="inlineStr">
        <is>
          <t>C0024</t>
        </is>
      </c>
      <c r="B140" s="2" t="inlineStr">
        <is>
          <t>Tamil Nadu</t>
        </is>
      </c>
      <c r="C140" s="2" t="inlineStr">
        <is>
          <t>Coimbatore</t>
        </is>
      </c>
      <c r="D140" s="2" t="inlineStr">
        <is>
          <t>South</t>
        </is>
      </c>
    </row>
    <row r="141">
      <c r="A141" s="2" t="inlineStr">
        <is>
          <t>C0024</t>
        </is>
      </c>
      <c r="B141" s="2" t="inlineStr">
        <is>
          <t>Odisha</t>
        </is>
      </c>
      <c r="C141" s="2" t="inlineStr">
        <is>
          <t>Bhubaneswar</t>
        </is>
      </c>
      <c r="D141" s="2" t="inlineStr">
        <is>
          <t>East</t>
        </is>
      </c>
    </row>
    <row r="142">
      <c r="A142" s="2" t="inlineStr">
        <is>
          <t>C0025</t>
        </is>
      </c>
      <c r="B142" s="2" t="inlineStr">
        <is>
          <t>Bihar</t>
        </is>
      </c>
      <c r="C142" s="2" t="inlineStr">
        <is>
          <t>Gaya</t>
        </is>
      </c>
      <c r="D142" s="2" t="inlineStr">
        <is>
          <t>East</t>
        </is>
      </c>
    </row>
    <row r="143">
      <c r="A143" s="2" t="inlineStr">
        <is>
          <t>C0026</t>
        </is>
      </c>
      <c r="B143" s="2" t="inlineStr">
        <is>
          <t>Tamil Nadu</t>
        </is>
      </c>
      <c r="C143" s="2" t="inlineStr">
        <is>
          <t>Chennai</t>
        </is>
      </c>
      <c r="D143" s="2" t="inlineStr">
        <is>
          <t>South</t>
        </is>
      </c>
    </row>
    <row r="144">
      <c r="A144" s="2" t="inlineStr">
        <is>
          <t>C0027</t>
        </is>
      </c>
      <c r="B144" s="2" t="inlineStr">
        <is>
          <t>Maharashtra</t>
        </is>
      </c>
      <c r="C144" s="2" t="inlineStr">
        <is>
          <t>Thane</t>
        </is>
      </c>
      <c r="D144" s="2" t="inlineStr">
        <is>
          <t>West</t>
        </is>
      </c>
    </row>
    <row r="145">
      <c r="A145" s="2" t="inlineStr">
        <is>
          <t>C0028</t>
        </is>
      </c>
      <c r="B145" s="2" t="inlineStr">
        <is>
          <t>Odisha</t>
        </is>
      </c>
      <c r="C145" s="2" t="inlineStr">
        <is>
          <t>Cuttack</t>
        </is>
      </c>
      <c r="D145" s="2" t="inlineStr">
        <is>
          <t>East</t>
        </is>
      </c>
    </row>
    <row r="146">
      <c r="A146" s="2" t="inlineStr">
        <is>
          <t>C0028</t>
        </is>
      </c>
      <c r="B146" s="2" t="inlineStr">
        <is>
          <t>Goa</t>
        </is>
      </c>
      <c r="C146" s="2" t="inlineStr">
        <is>
          <t>Margao</t>
        </is>
      </c>
      <c r="D146" s="2" t="inlineStr">
        <is>
          <t>West</t>
        </is>
      </c>
    </row>
    <row r="147">
      <c r="A147" s="2" t="inlineStr">
        <is>
          <t>C0028</t>
        </is>
      </c>
      <c r="B147" s="2" t="inlineStr">
        <is>
          <t>Kerala</t>
        </is>
      </c>
      <c r="C147" s="2" t="inlineStr">
        <is>
          <t>Kochi</t>
        </is>
      </c>
      <c r="D147" s="2" t="inlineStr">
        <is>
          <t>South</t>
        </is>
      </c>
    </row>
    <row r="148">
      <c r="A148" s="2" t="inlineStr">
        <is>
          <t>C0028</t>
        </is>
      </c>
      <c r="B148" s="2" t="inlineStr">
        <is>
          <t>Karnataka</t>
        </is>
      </c>
      <c r="C148" s="2" t="inlineStr">
        <is>
          <t>Mysuru</t>
        </is>
      </c>
      <c r="D148" s="2" t="inlineStr">
        <is>
          <t>South</t>
        </is>
      </c>
    </row>
    <row r="149">
      <c r="A149" s="2" t="inlineStr">
        <is>
          <t>C0028</t>
        </is>
      </c>
      <c r="B149" s="2" t="inlineStr">
        <is>
          <t>Haryana</t>
        </is>
      </c>
      <c r="C149" s="2" t="inlineStr">
        <is>
          <t>Faridabad</t>
        </is>
      </c>
      <c r="D149" s="2" t="inlineStr">
        <is>
          <t>North</t>
        </is>
      </c>
    </row>
    <row r="150">
      <c r="A150" s="2" t="inlineStr">
        <is>
          <t>C0028</t>
        </is>
      </c>
      <c r="B150" s="2" t="inlineStr">
        <is>
          <t>Bihar</t>
        </is>
      </c>
      <c r="C150" s="2" t="inlineStr">
        <is>
          <t>Patna</t>
        </is>
      </c>
      <c r="D150" s="2" t="inlineStr">
        <is>
          <t>East</t>
        </is>
      </c>
    </row>
    <row r="151">
      <c r="A151" s="2" t="inlineStr">
        <is>
          <t>C0028</t>
        </is>
      </c>
      <c r="B151" s="2" t="inlineStr">
        <is>
          <t>Karnataka</t>
        </is>
      </c>
      <c r="C151" s="2" t="inlineStr">
        <is>
          <t>Bengaluru</t>
        </is>
      </c>
      <c r="D151" s="2" t="inlineStr">
        <is>
          <t>South</t>
        </is>
      </c>
    </row>
    <row r="152">
      <c r="A152" s="2" t="inlineStr">
        <is>
          <t>C0029</t>
        </is>
      </c>
      <c r="B152" s="2" t="inlineStr">
        <is>
          <t>Goa</t>
        </is>
      </c>
      <c r="C152" s="2" t="inlineStr">
        <is>
          <t>Panaji</t>
        </is>
      </c>
      <c r="D152" s="2" t="inlineStr">
        <is>
          <t>West</t>
        </is>
      </c>
    </row>
    <row r="153">
      <c r="A153" s="2" t="inlineStr">
        <is>
          <t>C0029</t>
        </is>
      </c>
      <c r="B153" s="2" t="inlineStr">
        <is>
          <t>West Bengal</t>
        </is>
      </c>
      <c r="C153" s="2" t="inlineStr">
        <is>
          <t>Kolkata</t>
        </is>
      </c>
      <c r="D153" s="2" t="inlineStr">
        <is>
          <t>East</t>
        </is>
      </c>
    </row>
    <row r="154">
      <c r="A154" s="2" t="inlineStr">
        <is>
          <t>C0029</t>
        </is>
      </c>
      <c r="B154" s="2" t="inlineStr">
        <is>
          <t>Uttar Pradesh</t>
        </is>
      </c>
      <c r="C154" s="2" t="inlineStr">
        <is>
          <t>Kanpur</t>
        </is>
      </c>
      <c r="D154" s="2" t="inlineStr">
        <is>
          <t>North</t>
        </is>
      </c>
    </row>
    <row r="155">
      <c r="A155" s="2" t="inlineStr">
        <is>
          <t>C0029</t>
        </is>
      </c>
      <c r="B155" s="2" t="inlineStr">
        <is>
          <t>Delhi</t>
        </is>
      </c>
      <c r="C155" s="2" t="inlineStr">
        <is>
          <t>New Delhi</t>
        </is>
      </c>
      <c r="D155" s="2" t="inlineStr">
        <is>
          <t>North</t>
        </is>
      </c>
    </row>
    <row r="156">
      <c r="A156" s="2" t="inlineStr">
        <is>
          <t>C0029</t>
        </is>
      </c>
      <c r="B156" s="2" t="inlineStr">
        <is>
          <t>Gujarat</t>
        </is>
      </c>
      <c r="C156" s="2" t="inlineStr">
        <is>
          <t>Vadodara</t>
        </is>
      </c>
      <c r="D156" s="2" t="inlineStr">
        <is>
          <t>West</t>
        </is>
      </c>
    </row>
    <row r="157">
      <c r="A157" s="2" t="inlineStr">
        <is>
          <t>C0029</t>
        </is>
      </c>
      <c r="B157" s="2" t="inlineStr">
        <is>
          <t>Odisha</t>
        </is>
      </c>
      <c r="C157" s="2" t="inlineStr">
        <is>
          <t>Bhubaneswar</t>
        </is>
      </c>
      <c r="D157" s="2" t="inlineStr">
        <is>
          <t>East</t>
        </is>
      </c>
    </row>
    <row r="158">
      <c r="A158" s="2" t="inlineStr">
        <is>
          <t>C0029</t>
        </is>
      </c>
      <c r="B158" s="2" t="inlineStr">
        <is>
          <t>Telangana</t>
        </is>
      </c>
      <c r="C158" s="2" t="inlineStr">
        <is>
          <t>Warangal</t>
        </is>
      </c>
      <c r="D158" s="2" t="inlineStr">
        <is>
          <t>South</t>
        </is>
      </c>
    </row>
    <row r="159">
      <c r="A159" s="2" t="inlineStr">
        <is>
          <t>C0029</t>
        </is>
      </c>
      <c r="B159" s="2" t="inlineStr">
        <is>
          <t>Goa</t>
        </is>
      </c>
      <c r="C159" s="2" t="inlineStr">
        <is>
          <t>Margao</t>
        </is>
      </c>
      <c r="D159" s="2" t="inlineStr">
        <is>
          <t>West</t>
        </is>
      </c>
    </row>
    <row r="160">
      <c r="A160" s="2" t="inlineStr">
        <is>
          <t>C0029</t>
        </is>
      </c>
      <c r="B160" s="2" t="inlineStr">
        <is>
          <t>Gujarat</t>
        </is>
      </c>
      <c r="C160" s="2" t="inlineStr">
        <is>
          <t>Ahmedabad</t>
        </is>
      </c>
      <c r="D160" s="2" t="inlineStr">
        <is>
          <t>West</t>
        </is>
      </c>
    </row>
    <row r="161">
      <c r="A161" s="2" t="inlineStr">
        <is>
          <t>C0031</t>
        </is>
      </c>
      <c r="B161" s="2" t="inlineStr">
        <is>
          <t>Kerala</t>
        </is>
      </c>
      <c r="C161" s="2" t="inlineStr">
        <is>
          <t>Thiruvananthapuram</t>
        </is>
      </c>
      <c r="D161" s="2" t="inlineStr">
        <is>
          <t>South</t>
        </is>
      </c>
    </row>
    <row r="162">
      <c r="A162" s="2" t="inlineStr">
        <is>
          <t>C0031</t>
        </is>
      </c>
      <c r="B162" s="2" t="inlineStr">
        <is>
          <t>Odisha</t>
        </is>
      </c>
      <c r="C162" s="2" t="inlineStr">
        <is>
          <t>Bhubaneswar</t>
        </is>
      </c>
      <c r="D162" s="2" t="inlineStr">
        <is>
          <t>East</t>
        </is>
      </c>
    </row>
    <row r="163">
      <c r="A163" s="2" t="inlineStr">
        <is>
          <t>C0031</t>
        </is>
      </c>
      <c r="B163" s="2" t="inlineStr">
        <is>
          <t>Karnataka</t>
        </is>
      </c>
      <c r="C163" s="2" t="inlineStr">
        <is>
          <t>Bengaluru</t>
        </is>
      </c>
      <c r="D163" s="2" t="inlineStr">
        <is>
          <t>South</t>
        </is>
      </c>
    </row>
    <row r="164">
      <c r="A164" s="2" t="inlineStr">
        <is>
          <t>C0031</t>
        </is>
      </c>
      <c r="B164" s="2" t="inlineStr">
        <is>
          <t>Gujarat</t>
        </is>
      </c>
      <c r="C164" s="2" t="inlineStr">
        <is>
          <t>Vadodara</t>
        </is>
      </c>
      <c r="D164" s="2" t="inlineStr">
        <is>
          <t>West</t>
        </is>
      </c>
    </row>
    <row r="165">
      <c r="A165" s="2" t="inlineStr">
        <is>
          <t>C0031</t>
        </is>
      </c>
      <c r="B165" s="2" t="inlineStr">
        <is>
          <t>Punjab</t>
        </is>
      </c>
      <c r="C165" s="2" t="inlineStr">
        <is>
          <t>Amritsar</t>
        </is>
      </c>
      <c r="D165" s="2" t="inlineStr">
        <is>
          <t>North</t>
        </is>
      </c>
    </row>
    <row r="166">
      <c r="A166" s="2" t="inlineStr">
        <is>
          <t>C0032</t>
        </is>
      </c>
      <c r="B166" s="2" t="inlineStr">
        <is>
          <t>Tamil Nadu</t>
        </is>
      </c>
      <c r="C166" s="2" t="inlineStr">
        <is>
          <t>Coimbatore</t>
        </is>
      </c>
      <c r="D166" s="2" t="inlineStr">
        <is>
          <t>South</t>
        </is>
      </c>
    </row>
    <row r="167">
      <c r="A167" s="2" t="inlineStr">
        <is>
          <t>C0032</t>
        </is>
      </c>
      <c r="B167" s="2" t="inlineStr">
        <is>
          <t>Punjab</t>
        </is>
      </c>
      <c r="C167" s="2" t="inlineStr">
        <is>
          <t>Ludhiana</t>
        </is>
      </c>
      <c r="D167" s="2" t="inlineStr">
        <is>
          <t>North</t>
        </is>
      </c>
    </row>
    <row r="168">
      <c r="A168" s="2" t="inlineStr">
        <is>
          <t>C0032</t>
        </is>
      </c>
      <c r="B168" s="2" t="inlineStr">
        <is>
          <t>Gujarat</t>
        </is>
      </c>
      <c r="C168" s="2" t="inlineStr">
        <is>
          <t>Vadodara</t>
        </is>
      </c>
      <c r="D168" s="2" t="inlineStr">
        <is>
          <t>West</t>
        </is>
      </c>
    </row>
    <row r="169">
      <c r="A169" s="2" t="inlineStr">
        <is>
          <t>C0032</t>
        </is>
      </c>
      <c r="B169" s="2" t="inlineStr">
        <is>
          <t>Telangana</t>
        </is>
      </c>
      <c r="C169" s="2" t="inlineStr">
        <is>
          <t>Hyderabad</t>
        </is>
      </c>
      <c r="D169" s="2" t="inlineStr">
        <is>
          <t>South</t>
        </is>
      </c>
    </row>
    <row r="170">
      <c r="A170" s="2" t="inlineStr">
        <is>
          <t>C0032</t>
        </is>
      </c>
      <c r="B170" s="2" t="inlineStr">
        <is>
          <t>Goa</t>
        </is>
      </c>
      <c r="C170" s="2" t="inlineStr">
        <is>
          <t>Panaji</t>
        </is>
      </c>
      <c r="D170" s="2" t="inlineStr">
        <is>
          <t>West</t>
        </is>
      </c>
    </row>
    <row r="171">
      <c r="A171" s="2" t="inlineStr">
        <is>
          <t>C0033</t>
        </is>
      </c>
      <c r="B171" s="2" t="inlineStr">
        <is>
          <t>Punjab</t>
        </is>
      </c>
      <c r="C171" s="2" t="inlineStr">
        <is>
          <t>Jalandhar</t>
        </is>
      </c>
      <c r="D171" s="2" t="inlineStr">
        <is>
          <t>North</t>
        </is>
      </c>
    </row>
    <row r="172">
      <c r="A172" s="2" t="inlineStr">
        <is>
          <t>C0033</t>
        </is>
      </c>
      <c r="B172" s="2" t="inlineStr">
        <is>
          <t>Gujarat</t>
        </is>
      </c>
      <c r="C172" s="2" t="inlineStr">
        <is>
          <t>Surat</t>
        </is>
      </c>
      <c r="D172" s="2" t="inlineStr">
        <is>
          <t>West</t>
        </is>
      </c>
    </row>
    <row r="173">
      <c r="A173" s="2" t="inlineStr">
        <is>
          <t>C0034</t>
        </is>
      </c>
      <c r="B173" s="2" t="inlineStr">
        <is>
          <t>West Bengal</t>
        </is>
      </c>
      <c r="C173" s="2" t="inlineStr">
        <is>
          <t>Kolkata</t>
        </is>
      </c>
      <c r="D173" s="2" t="inlineStr">
        <is>
          <t>East</t>
        </is>
      </c>
    </row>
    <row r="174">
      <c r="A174" s="2" t="inlineStr">
        <is>
          <t>C0034</t>
        </is>
      </c>
      <c r="B174" s="2" t="inlineStr">
        <is>
          <t>Telangana</t>
        </is>
      </c>
      <c r="C174" s="2" t="inlineStr">
        <is>
          <t>Hyderabad</t>
        </is>
      </c>
      <c r="D174" s="2" t="inlineStr">
        <is>
          <t>South</t>
        </is>
      </c>
    </row>
    <row r="175">
      <c r="A175" s="2" t="inlineStr">
        <is>
          <t>C0034</t>
        </is>
      </c>
      <c r="B175" s="2" t="inlineStr">
        <is>
          <t>Bihar</t>
        </is>
      </c>
      <c r="C175" s="2" t="inlineStr">
        <is>
          <t>Gaya</t>
        </is>
      </c>
      <c r="D175" s="2" t="inlineStr">
        <is>
          <t>East</t>
        </is>
      </c>
    </row>
    <row r="176">
      <c r="A176" s="2" t="inlineStr">
        <is>
          <t>C0034</t>
        </is>
      </c>
      <c r="B176" s="2" t="inlineStr">
        <is>
          <t>Karnataka</t>
        </is>
      </c>
      <c r="C176" s="2" t="inlineStr">
        <is>
          <t>Bengaluru</t>
        </is>
      </c>
      <c r="D176" s="2" t="inlineStr">
        <is>
          <t>South</t>
        </is>
      </c>
    </row>
    <row r="177">
      <c r="A177" s="2" t="inlineStr">
        <is>
          <t>C0034</t>
        </is>
      </c>
      <c r="B177" s="2" t="inlineStr">
        <is>
          <t>Maharashtra</t>
        </is>
      </c>
      <c r="C177" s="2" t="inlineStr">
        <is>
          <t>Mumbai</t>
        </is>
      </c>
      <c r="D177" s="2" t="inlineStr">
        <is>
          <t>West</t>
        </is>
      </c>
    </row>
    <row r="178">
      <c r="A178" s="2" t="inlineStr">
        <is>
          <t>C0034</t>
        </is>
      </c>
      <c r="B178" s="2" t="inlineStr">
        <is>
          <t>Delhi</t>
        </is>
      </c>
      <c r="C178" s="2" t="inlineStr">
        <is>
          <t>New Delhi</t>
        </is>
      </c>
      <c r="D178" s="2" t="inlineStr">
        <is>
          <t>North</t>
        </is>
      </c>
    </row>
    <row r="179">
      <c r="A179" s="2" t="inlineStr">
        <is>
          <t>C0034</t>
        </is>
      </c>
      <c r="B179" s="2" t="inlineStr">
        <is>
          <t>Punjab</t>
        </is>
      </c>
      <c r="C179" s="2" t="inlineStr">
        <is>
          <t>Jalandhar</t>
        </is>
      </c>
      <c r="D179" s="2" t="inlineStr">
        <is>
          <t>North</t>
        </is>
      </c>
    </row>
    <row r="180">
      <c r="A180" s="2" t="inlineStr">
        <is>
          <t>C0034</t>
        </is>
      </c>
      <c r="B180" s="2" t="inlineStr">
        <is>
          <t>Goa</t>
        </is>
      </c>
      <c r="C180" s="2" t="inlineStr">
        <is>
          <t>Panaji</t>
        </is>
      </c>
      <c r="D180" s="2" t="inlineStr">
        <is>
          <t>West</t>
        </is>
      </c>
    </row>
    <row r="181">
      <c r="A181" s="2" t="inlineStr">
        <is>
          <t>C0035</t>
        </is>
      </c>
      <c r="B181" s="2" t="inlineStr">
        <is>
          <t>Kerala</t>
        </is>
      </c>
      <c r="C181" s="2" t="inlineStr">
        <is>
          <t>Kochi</t>
        </is>
      </c>
      <c r="D181" s="2" t="inlineStr">
        <is>
          <t>South</t>
        </is>
      </c>
    </row>
    <row r="182">
      <c r="A182" s="2" t="inlineStr">
        <is>
          <t>C0035</t>
        </is>
      </c>
      <c r="B182" s="2" t="inlineStr">
        <is>
          <t>Tamil Nadu</t>
        </is>
      </c>
      <c r="C182" s="2" t="inlineStr">
        <is>
          <t>Chennai</t>
        </is>
      </c>
      <c r="D182" s="2" t="inlineStr">
        <is>
          <t>South</t>
        </is>
      </c>
    </row>
    <row r="183">
      <c r="A183" s="2" t="inlineStr">
        <is>
          <t>C0035</t>
        </is>
      </c>
      <c r="B183" s="2" t="inlineStr">
        <is>
          <t>Haryana</t>
        </is>
      </c>
      <c r="C183" s="2" t="inlineStr">
        <is>
          <t>Faridabad</t>
        </is>
      </c>
      <c r="D183" s="2" t="inlineStr">
        <is>
          <t>North</t>
        </is>
      </c>
    </row>
    <row r="184">
      <c r="A184" s="2" t="inlineStr">
        <is>
          <t>C0035</t>
        </is>
      </c>
      <c r="B184" s="2" t="inlineStr">
        <is>
          <t>Karnataka</t>
        </is>
      </c>
      <c r="C184" s="2" t="inlineStr">
        <is>
          <t>Mysuru</t>
        </is>
      </c>
      <c r="D184" s="2" t="inlineStr">
        <is>
          <t>South</t>
        </is>
      </c>
    </row>
    <row r="185">
      <c r="A185" s="2" t="inlineStr">
        <is>
          <t>C0036</t>
        </is>
      </c>
      <c r="B185" s="2" t="inlineStr">
        <is>
          <t>Tamil Nadu</t>
        </is>
      </c>
      <c r="C185" s="2" t="inlineStr">
        <is>
          <t>Coimbatore</t>
        </is>
      </c>
      <c r="D185" s="2" t="inlineStr">
        <is>
          <t>South</t>
        </is>
      </c>
    </row>
    <row r="186">
      <c r="A186" s="2" t="inlineStr">
        <is>
          <t>C0036</t>
        </is>
      </c>
      <c r="B186" s="2" t="inlineStr">
        <is>
          <t>Kerala</t>
        </is>
      </c>
      <c r="C186" s="2" t="inlineStr">
        <is>
          <t>Thiruvananthapuram</t>
        </is>
      </c>
      <c r="D186" s="2" t="inlineStr">
        <is>
          <t>South</t>
        </is>
      </c>
    </row>
    <row r="187">
      <c r="A187" s="2" t="inlineStr">
        <is>
          <t>C0036</t>
        </is>
      </c>
      <c r="B187" s="2" t="inlineStr">
        <is>
          <t>Goa</t>
        </is>
      </c>
      <c r="C187" s="2" t="inlineStr">
        <is>
          <t>Panaji</t>
        </is>
      </c>
      <c r="D187" s="2" t="inlineStr">
        <is>
          <t>West</t>
        </is>
      </c>
    </row>
    <row r="188">
      <c r="A188" s="2" t="inlineStr">
        <is>
          <t>C0037</t>
        </is>
      </c>
      <c r="B188" s="2" t="inlineStr">
        <is>
          <t>Karnataka</t>
        </is>
      </c>
      <c r="C188" s="2" t="inlineStr">
        <is>
          <t>Mysuru</t>
        </is>
      </c>
      <c r="D188" s="2" t="inlineStr">
        <is>
          <t>South</t>
        </is>
      </c>
    </row>
    <row r="189">
      <c r="A189" s="2" t="inlineStr">
        <is>
          <t>C0037</t>
        </is>
      </c>
      <c r="B189" s="2" t="inlineStr">
        <is>
          <t>Gujarat</t>
        </is>
      </c>
      <c r="C189" s="2" t="inlineStr">
        <is>
          <t>Vadodara</t>
        </is>
      </c>
      <c r="D189" s="2" t="inlineStr">
        <is>
          <t>West</t>
        </is>
      </c>
    </row>
    <row r="190">
      <c r="A190" s="2" t="inlineStr">
        <is>
          <t>C0037</t>
        </is>
      </c>
      <c r="B190" s="2" t="inlineStr">
        <is>
          <t>Gujarat</t>
        </is>
      </c>
      <c r="C190" s="2" t="inlineStr">
        <is>
          <t>Ahmedabad</t>
        </is>
      </c>
      <c r="D190" s="2" t="inlineStr">
        <is>
          <t>West</t>
        </is>
      </c>
    </row>
    <row r="191">
      <c r="A191" s="2" t="inlineStr">
        <is>
          <t>C0037</t>
        </is>
      </c>
      <c r="B191" s="2" t="inlineStr">
        <is>
          <t>Telangana</t>
        </is>
      </c>
      <c r="C191" s="2" t="inlineStr">
        <is>
          <t>Hyderabad</t>
        </is>
      </c>
      <c r="D191" s="2" t="inlineStr">
        <is>
          <t>South</t>
        </is>
      </c>
    </row>
    <row r="192">
      <c r="A192" s="2" t="inlineStr">
        <is>
          <t>C0037</t>
        </is>
      </c>
      <c r="B192" s="2" t="inlineStr">
        <is>
          <t>Goa</t>
        </is>
      </c>
      <c r="C192" s="2" t="inlineStr">
        <is>
          <t>Margao</t>
        </is>
      </c>
      <c r="D192" s="2" t="inlineStr">
        <is>
          <t>West</t>
        </is>
      </c>
    </row>
    <row r="193">
      <c r="A193" s="2" t="inlineStr">
        <is>
          <t>C0037</t>
        </is>
      </c>
      <c r="B193" s="2" t="inlineStr">
        <is>
          <t>Maharashtra</t>
        </is>
      </c>
      <c r="C193" s="2" t="inlineStr">
        <is>
          <t>Thane</t>
        </is>
      </c>
      <c r="D193" s="2" t="inlineStr">
        <is>
          <t>West</t>
        </is>
      </c>
    </row>
    <row r="194">
      <c r="A194" s="2" t="inlineStr">
        <is>
          <t>C0038</t>
        </is>
      </c>
      <c r="B194" s="2" t="inlineStr">
        <is>
          <t>Gujarat</t>
        </is>
      </c>
      <c r="C194" s="2" t="inlineStr">
        <is>
          <t>Vadodara</t>
        </is>
      </c>
      <c r="D194" s="2" t="inlineStr">
        <is>
          <t>West</t>
        </is>
      </c>
    </row>
    <row r="195">
      <c r="A195" s="2" t="inlineStr">
        <is>
          <t>C0038</t>
        </is>
      </c>
      <c r="B195" s="2" t="inlineStr">
        <is>
          <t>Bihar</t>
        </is>
      </c>
      <c r="C195" s="2" t="inlineStr">
        <is>
          <t>Patna</t>
        </is>
      </c>
      <c r="D195" s="2" t="inlineStr">
        <is>
          <t>East</t>
        </is>
      </c>
    </row>
    <row r="196">
      <c r="A196" s="2" t="inlineStr">
        <is>
          <t>C0038</t>
        </is>
      </c>
      <c r="B196" s="2" t="inlineStr">
        <is>
          <t>Karnataka</t>
        </is>
      </c>
      <c r="C196" s="2" t="inlineStr">
        <is>
          <t>Mysuru</t>
        </is>
      </c>
      <c r="D196" s="2" t="inlineStr">
        <is>
          <t>South</t>
        </is>
      </c>
    </row>
    <row r="197">
      <c r="A197" s="2" t="inlineStr">
        <is>
          <t>C0038</t>
        </is>
      </c>
      <c r="B197" s="2" t="inlineStr">
        <is>
          <t>Telangana</t>
        </is>
      </c>
      <c r="C197" s="2" t="inlineStr">
        <is>
          <t>Hyderabad</t>
        </is>
      </c>
      <c r="D197" s="2" t="inlineStr">
        <is>
          <t>South</t>
        </is>
      </c>
    </row>
    <row r="198">
      <c r="A198" s="2" t="inlineStr">
        <is>
          <t>C0039</t>
        </is>
      </c>
      <c r="B198" s="2" t="inlineStr">
        <is>
          <t>Gujarat</t>
        </is>
      </c>
      <c r="C198" s="2" t="inlineStr">
        <is>
          <t>Surat</t>
        </is>
      </c>
      <c r="D198" s="2" t="inlineStr">
        <is>
          <t>West</t>
        </is>
      </c>
    </row>
    <row r="199">
      <c r="A199" s="2" t="inlineStr">
        <is>
          <t>C0039</t>
        </is>
      </c>
      <c r="B199" s="2" t="inlineStr">
        <is>
          <t>Punjab</t>
        </is>
      </c>
      <c r="C199" s="2" t="inlineStr">
        <is>
          <t>Amritsar</t>
        </is>
      </c>
      <c r="D199" s="2" t="inlineStr">
        <is>
          <t>North</t>
        </is>
      </c>
    </row>
    <row r="200">
      <c r="A200" s="2" t="inlineStr">
        <is>
          <t>C0039</t>
        </is>
      </c>
      <c r="B200" s="2" t="inlineStr">
        <is>
          <t>Karnataka</t>
        </is>
      </c>
      <c r="C200" s="2" t="inlineStr">
        <is>
          <t>Mangaluru</t>
        </is>
      </c>
      <c r="D200" s="2" t="inlineStr">
        <is>
          <t>South</t>
        </is>
      </c>
    </row>
    <row r="201">
      <c r="A201" s="2" t="inlineStr">
        <is>
          <t>C0039</t>
        </is>
      </c>
      <c r="B201" s="2" t="inlineStr">
        <is>
          <t>Bihar</t>
        </is>
      </c>
      <c r="C201" s="2" t="inlineStr">
        <is>
          <t>Gaya</t>
        </is>
      </c>
      <c r="D201" s="2" t="inlineStr">
        <is>
          <t>East</t>
        </is>
      </c>
    </row>
    <row r="202">
      <c r="A202" s="2" t="inlineStr">
        <is>
          <t>C0039</t>
        </is>
      </c>
      <c r="B202" s="2" t="inlineStr">
        <is>
          <t>Maharashtra</t>
        </is>
      </c>
      <c r="C202" s="2" t="inlineStr">
        <is>
          <t>Thane</t>
        </is>
      </c>
      <c r="D202" s="2" t="inlineStr">
        <is>
          <t>West</t>
        </is>
      </c>
    </row>
    <row r="203">
      <c r="A203" s="2" t="inlineStr">
        <is>
          <t>C0039</t>
        </is>
      </c>
      <c r="B203" s="2" t="inlineStr">
        <is>
          <t>Tamil Nadu</t>
        </is>
      </c>
      <c r="C203" s="2" t="inlineStr">
        <is>
          <t>Chennai</t>
        </is>
      </c>
      <c r="D203" s="2" t="inlineStr">
        <is>
          <t>South</t>
        </is>
      </c>
    </row>
    <row r="204">
      <c r="A204" s="2" t="inlineStr">
        <is>
          <t>C0040</t>
        </is>
      </c>
      <c r="B204" s="2" t="inlineStr">
        <is>
          <t>Goa</t>
        </is>
      </c>
      <c r="C204" s="2" t="inlineStr">
        <is>
          <t>Margao</t>
        </is>
      </c>
      <c r="D204" s="2" t="inlineStr">
        <is>
          <t>West</t>
        </is>
      </c>
    </row>
    <row r="205">
      <c r="A205" s="2" t="inlineStr">
        <is>
          <t>C0040</t>
        </is>
      </c>
      <c r="B205" s="2" t="inlineStr">
        <is>
          <t>Goa</t>
        </is>
      </c>
      <c r="C205" s="2" t="inlineStr">
        <is>
          <t>Panaji</t>
        </is>
      </c>
      <c r="D205" s="2" t="inlineStr">
        <is>
          <t>West</t>
        </is>
      </c>
    </row>
    <row r="206">
      <c r="A206" s="2" t="inlineStr">
        <is>
          <t>C0041</t>
        </is>
      </c>
      <c r="B206" s="2" t="inlineStr">
        <is>
          <t>Punjab</t>
        </is>
      </c>
      <c r="C206" s="2" t="inlineStr">
        <is>
          <t>Amritsar</t>
        </is>
      </c>
      <c r="D206" s="2" t="inlineStr">
        <is>
          <t>North</t>
        </is>
      </c>
    </row>
    <row r="207">
      <c r="A207" s="2" t="inlineStr">
        <is>
          <t>C0041</t>
        </is>
      </c>
      <c r="B207" s="2" t="inlineStr">
        <is>
          <t>West Bengal</t>
        </is>
      </c>
      <c r="C207" s="2" t="inlineStr">
        <is>
          <t>Durgapur</t>
        </is>
      </c>
      <c r="D207" s="2" t="inlineStr">
        <is>
          <t>East</t>
        </is>
      </c>
    </row>
    <row r="208">
      <c r="A208" s="2" t="inlineStr">
        <is>
          <t>C0041</t>
        </is>
      </c>
      <c r="B208" s="2" t="inlineStr">
        <is>
          <t>Goa</t>
        </is>
      </c>
      <c r="C208" s="2" t="inlineStr">
        <is>
          <t>Panaji</t>
        </is>
      </c>
      <c r="D208" s="2" t="inlineStr">
        <is>
          <t>West</t>
        </is>
      </c>
    </row>
    <row r="209">
      <c r="A209" s="2" t="inlineStr">
        <is>
          <t>C0042</t>
        </is>
      </c>
      <c r="B209" s="2" t="inlineStr">
        <is>
          <t>Uttar Pradesh</t>
        </is>
      </c>
      <c r="C209" s="2" t="inlineStr">
        <is>
          <t>Lucknow</t>
        </is>
      </c>
      <c r="D209" s="2" t="inlineStr">
        <is>
          <t>North</t>
        </is>
      </c>
    </row>
    <row r="210">
      <c r="A210" s="2" t="inlineStr">
        <is>
          <t>C0042</t>
        </is>
      </c>
      <c r="B210" s="2" t="inlineStr">
        <is>
          <t>Goa</t>
        </is>
      </c>
      <c r="C210" s="2" t="inlineStr">
        <is>
          <t>Margao</t>
        </is>
      </c>
      <c r="D210" s="2" t="inlineStr">
        <is>
          <t>West</t>
        </is>
      </c>
    </row>
    <row r="211">
      <c r="A211" s="2" t="inlineStr">
        <is>
          <t>C0043</t>
        </is>
      </c>
      <c r="B211" s="2" t="inlineStr">
        <is>
          <t>Punjab</t>
        </is>
      </c>
      <c r="C211" s="2" t="inlineStr">
        <is>
          <t>Ludhiana</t>
        </is>
      </c>
      <c r="D211" s="2" t="inlineStr">
        <is>
          <t>North</t>
        </is>
      </c>
    </row>
    <row r="212">
      <c r="A212" s="2" t="inlineStr">
        <is>
          <t>C0043</t>
        </is>
      </c>
      <c r="B212" s="2" t="inlineStr">
        <is>
          <t>Tamil Nadu</t>
        </is>
      </c>
      <c r="C212" s="2" t="inlineStr">
        <is>
          <t>Madurai</t>
        </is>
      </c>
      <c r="D212" s="2" t="inlineStr">
        <is>
          <t>South</t>
        </is>
      </c>
    </row>
    <row r="213">
      <c r="A213" s="2" t="inlineStr">
        <is>
          <t>C0043</t>
        </is>
      </c>
      <c r="B213" s="2" t="inlineStr">
        <is>
          <t>Gujarat</t>
        </is>
      </c>
      <c r="C213" s="2" t="inlineStr">
        <is>
          <t>Vadodara</t>
        </is>
      </c>
      <c r="D213" s="2" t="inlineStr">
        <is>
          <t>West</t>
        </is>
      </c>
    </row>
    <row r="214">
      <c r="A214" s="2" t="inlineStr">
        <is>
          <t>C0043</t>
        </is>
      </c>
      <c r="B214" s="2" t="inlineStr">
        <is>
          <t>Tamil Nadu</t>
        </is>
      </c>
      <c r="C214" s="2" t="inlineStr">
        <is>
          <t>Coimbatore</t>
        </is>
      </c>
      <c r="D214" s="2" t="inlineStr">
        <is>
          <t>South</t>
        </is>
      </c>
    </row>
    <row r="215">
      <c r="A215" s="2" t="inlineStr">
        <is>
          <t>C0043</t>
        </is>
      </c>
      <c r="B215" s="2" t="inlineStr">
        <is>
          <t>Punjab</t>
        </is>
      </c>
      <c r="C215" s="2" t="inlineStr">
        <is>
          <t>Amritsar</t>
        </is>
      </c>
      <c r="D215" s="2" t="inlineStr">
        <is>
          <t>North</t>
        </is>
      </c>
    </row>
    <row r="216">
      <c r="A216" s="2" t="inlineStr">
        <is>
          <t>C0043</t>
        </is>
      </c>
      <c r="B216" s="2" t="inlineStr">
        <is>
          <t>Goa</t>
        </is>
      </c>
      <c r="C216" s="2" t="inlineStr">
        <is>
          <t>Panaji</t>
        </is>
      </c>
      <c r="D216" s="2" t="inlineStr">
        <is>
          <t>West</t>
        </is>
      </c>
    </row>
    <row r="217">
      <c r="A217" s="2" t="inlineStr">
        <is>
          <t>C0044</t>
        </is>
      </c>
      <c r="B217" s="2" t="inlineStr">
        <is>
          <t>Haryana</t>
        </is>
      </c>
      <c r="C217" s="2" t="inlineStr">
        <is>
          <t>Faridabad</t>
        </is>
      </c>
      <c r="D217" s="2" t="inlineStr">
        <is>
          <t>North</t>
        </is>
      </c>
    </row>
    <row r="218">
      <c r="A218" s="2" t="inlineStr">
        <is>
          <t>C0045</t>
        </is>
      </c>
      <c r="B218" s="2" t="inlineStr">
        <is>
          <t>West Bengal</t>
        </is>
      </c>
      <c r="C218" s="2" t="inlineStr">
        <is>
          <t>Kolkata</t>
        </is>
      </c>
      <c r="D218" s="2" t="inlineStr">
        <is>
          <t>East</t>
        </is>
      </c>
    </row>
    <row r="219">
      <c r="A219" s="2" t="inlineStr">
        <is>
          <t>C0045</t>
        </is>
      </c>
      <c r="B219" s="2" t="inlineStr">
        <is>
          <t>Telangana</t>
        </is>
      </c>
      <c r="C219" s="2" t="inlineStr">
        <is>
          <t>Warangal</t>
        </is>
      </c>
      <c r="D219" s="2" t="inlineStr">
        <is>
          <t>South</t>
        </is>
      </c>
    </row>
    <row r="220">
      <c r="A220" s="2" t="inlineStr">
        <is>
          <t>C0045</t>
        </is>
      </c>
      <c r="B220" s="2" t="inlineStr">
        <is>
          <t>Haryana</t>
        </is>
      </c>
      <c r="C220" s="2" t="inlineStr">
        <is>
          <t>Faridabad</t>
        </is>
      </c>
      <c r="D220" s="2" t="inlineStr">
        <is>
          <t>North</t>
        </is>
      </c>
    </row>
    <row r="221">
      <c r="A221" s="2" t="inlineStr">
        <is>
          <t>C0046</t>
        </is>
      </c>
      <c r="B221" s="2" t="inlineStr">
        <is>
          <t>West Bengal</t>
        </is>
      </c>
      <c r="C221" s="2" t="inlineStr">
        <is>
          <t>Kolkata</t>
        </is>
      </c>
      <c r="D221" s="2" t="inlineStr">
        <is>
          <t>East</t>
        </is>
      </c>
    </row>
    <row r="222">
      <c r="A222" s="2" t="inlineStr">
        <is>
          <t>C0046</t>
        </is>
      </c>
      <c r="B222" s="2" t="inlineStr">
        <is>
          <t>Goa</t>
        </is>
      </c>
      <c r="C222" s="2" t="inlineStr">
        <is>
          <t>Margao</t>
        </is>
      </c>
      <c r="D222" s="2" t="inlineStr">
        <is>
          <t>West</t>
        </is>
      </c>
    </row>
    <row r="223">
      <c r="A223" s="2" t="inlineStr">
        <is>
          <t>C0046</t>
        </is>
      </c>
      <c r="B223" s="2" t="inlineStr">
        <is>
          <t>Punjab</t>
        </is>
      </c>
      <c r="C223" s="2" t="inlineStr">
        <is>
          <t>Amritsar</t>
        </is>
      </c>
      <c r="D223" s="2" t="inlineStr">
        <is>
          <t>North</t>
        </is>
      </c>
    </row>
    <row r="224">
      <c r="A224" s="2" t="inlineStr">
        <is>
          <t>C0046</t>
        </is>
      </c>
      <c r="B224" s="2" t="inlineStr">
        <is>
          <t>Bihar</t>
        </is>
      </c>
      <c r="C224" s="2" t="inlineStr">
        <is>
          <t>Patna</t>
        </is>
      </c>
      <c r="D224" s="2" t="inlineStr">
        <is>
          <t>East</t>
        </is>
      </c>
    </row>
    <row r="225">
      <c r="A225" s="2" t="inlineStr">
        <is>
          <t>C0046</t>
        </is>
      </c>
      <c r="B225" s="2" t="inlineStr">
        <is>
          <t>Goa</t>
        </is>
      </c>
      <c r="C225" s="2" t="inlineStr">
        <is>
          <t>Panaji</t>
        </is>
      </c>
      <c r="D225" s="2" t="inlineStr">
        <is>
          <t>West</t>
        </is>
      </c>
    </row>
    <row r="226">
      <c r="A226" s="2" t="inlineStr">
        <is>
          <t>C0046</t>
        </is>
      </c>
      <c r="B226" s="2" t="inlineStr">
        <is>
          <t>Gujarat</t>
        </is>
      </c>
      <c r="C226" s="2" t="inlineStr">
        <is>
          <t>Ahmedabad</t>
        </is>
      </c>
      <c r="D226" s="2" t="inlineStr">
        <is>
          <t>West</t>
        </is>
      </c>
    </row>
    <row r="227">
      <c r="A227" s="2" t="inlineStr">
        <is>
          <t>C0047</t>
        </is>
      </c>
      <c r="B227" s="2" t="inlineStr">
        <is>
          <t>Bihar</t>
        </is>
      </c>
      <c r="C227" s="2" t="inlineStr">
        <is>
          <t>Patna</t>
        </is>
      </c>
      <c r="D227" s="2" t="inlineStr">
        <is>
          <t>East</t>
        </is>
      </c>
    </row>
    <row r="228">
      <c r="A228" s="2" t="inlineStr">
        <is>
          <t>C0047</t>
        </is>
      </c>
      <c r="B228" s="2" t="inlineStr">
        <is>
          <t>Uttar Pradesh</t>
        </is>
      </c>
      <c r="C228" s="2" t="inlineStr">
        <is>
          <t>Varanasi</t>
        </is>
      </c>
      <c r="D228" s="2" t="inlineStr">
        <is>
          <t>North</t>
        </is>
      </c>
    </row>
    <row r="229">
      <c r="A229" s="2" t="inlineStr">
        <is>
          <t>C0047</t>
        </is>
      </c>
      <c r="B229" s="2" t="inlineStr">
        <is>
          <t>Tamil Nadu</t>
        </is>
      </c>
      <c r="C229" s="2" t="inlineStr">
        <is>
          <t>Coimbatore</t>
        </is>
      </c>
      <c r="D229" s="2" t="inlineStr">
        <is>
          <t>South</t>
        </is>
      </c>
    </row>
    <row r="230">
      <c r="A230" s="2" t="inlineStr">
        <is>
          <t>C0047</t>
        </is>
      </c>
      <c r="B230" s="2" t="inlineStr">
        <is>
          <t>Haryana</t>
        </is>
      </c>
      <c r="C230" s="2" t="inlineStr">
        <is>
          <t>Faridabad</t>
        </is>
      </c>
      <c r="D230" s="2" t="inlineStr">
        <is>
          <t>North</t>
        </is>
      </c>
    </row>
    <row r="231">
      <c r="A231" s="2" t="inlineStr">
        <is>
          <t>C0048</t>
        </is>
      </c>
      <c r="B231" s="2" t="inlineStr">
        <is>
          <t>Gujarat</t>
        </is>
      </c>
      <c r="C231" s="2" t="inlineStr">
        <is>
          <t>Surat</t>
        </is>
      </c>
      <c r="D231" s="2" t="inlineStr">
        <is>
          <t>West</t>
        </is>
      </c>
    </row>
    <row r="232">
      <c r="A232" s="2" t="inlineStr">
        <is>
          <t>C0048</t>
        </is>
      </c>
      <c r="B232" s="2" t="inlineStr">
        <is>
          <t>Goa</t>
        </is>
      </c>
      <c r="C232" s="2" t="inlineStr">
        <is>
          <t>Margao</t>
        </is>
      </c>
      <c r="D232" s="2" t="inlineStr">
        <is>
          <t>West</t>
        </is>
      </c>
    </row>
    <row r="233">
      <c r="A233" s="2" t="inlineStr">
        <is>
          <t>C0048</t>
        </is>
      </c>
      <c r="B233" s="2" t="inlineStr">
        <is>
          <t>Gujarat</t>
        </is>
      </c>
      <c r="C233" s="2" t="inlineStr">
        <is>
          <t>Ahmedabad</t>
        </is>
      </c>
      <c r="D233" s="2" t="inlineStr">
        <is>
          <t>West</t>
        </is>
      </c>
    </row>
    <row r="234">
      <c r="A234" s="2" t="inlineStr">
        <is>
          <t>C0049</t>
        </is>
      </c>
      <c r="B234" s="2" t="inlineStr">
        <is>
          <t>Haryana</t>
        </is>
      </c>
      <c r="C234" s="2" t="inlineStr">
        <is>
          <t>Gurugram</t>
        </is>
      </c>
      <c r="D234" s="2" t="inlineStr">
        <is>
          <t>North</t>
        </is>
      </c>
    </row>
    <row r="235">
      <c r="A235" s="2" t="inlineStr">
        <is>
          <t>C0049</t>
        </is>
      </c>
      <c r="B235" s="2" t="inlineStr">
        <is>
          <t>West Bengal</t>
        </is>
      </c>
      <c r="C235" s="2" t="inlineStr">
        <is>
          <t>Durgapur</t>
        </is>
      </c>
      <c r="D235" s="2" t="inlineStr">
        <is>
          <t>East</t>
        </is>
      </c>
    </row>
    <row r="236">
      <c r="A236" s="2" t="inlineStr">
        <is>
          <t>C0049</t>
        </is>
      </c>
      <c r="B236" s="2" t="inlineStr">
        <is>
          <t>Maharashtra</t>
        </is>
      </c>
      <c r="C236" s="2" t="inlineStr">
        <is>
          <t>Thane</t>
        </is>
      </c>
      <c r="D236" s="2" t="inlineStr">
        <is>
          <t>West</t>
        </is>
      </c>
    </row>
    <row r="237">
      <c r="A237" s="2" t="inlineStr">
        <is>
          <t>C0049</t>
        </is>
      </c>
      <c r="B237" s="2" t="inlineStr">
        <is>
          <t>Haryana</t>
        </is>
      </c>
      <c r="C237" s="2" t="inlineStr">
        <is>
          <t>Faridabad</t>
        </is>
      </c>
      <c r="D237" s="2" t="inlineStr">
        <is>
          <t>North</t>
        </is>
      </c>
    </row>
    <row r="238">
      <c r="A238" s="2" t="inlineStr">
        <is>
          <t>C0049</t>
        </is>
      </c>
      <c r="B238" s="2" t="inlineStr">
        <is>
          <t>Gujarat</t>
        </is>
      </c>
      <c r="C238" s="2" t="inlineStr">
        <is>
          <t>Ahmedabad</t>
        </is>
      </c>
      <c r="D238" s="2" t="inlineStr">
        <is>
          <t>West</t>
        </is>
      </c>
    </row>
    <row r="239">
      <c r="A239" s="2" t="inlineStr">
        <is>
          <t>C0049</t>
        </is>
      </c>
      <c r="B239" s="2" t="inlineStr">
        <is>
          <t>Punjab</t>
        </is>
      </c>
      <c r="C239" s="2" t="inlineStr">
        <is>
          <t>Amritsar</t>
        </is>
      </c>
      <c r="D239" s="2" t="inlineStr">
        <is>
          <t>North</t>
        </is>
      </c>
    </row>
    <row r="240">
      <c r="A240" s="2" t="inlineStr">
        <is>
          <t>C0049</t>
        </is>
      </c>
      <c r="B240" s="2" t="inlineStr">
        <is>
          <t>Gujarat</t>
        </is>
      </c>
      <c r="C240" s="2" t="inlineStr">
        <is>
          <t>Vadodara</t>
        </is>
      </c>
      <c r="D240" s="2" t="inlineStr">
        <is>
          <t>West</t>
        </is>
      </c>
    </row>
    <row r="241">
      <c r="A241" s="2" t="inlineStr">
        <is>
          <t>C0049</t>
        </is>
      </c>
      <c r="B241" s="2" t="inlineStr">
        <is>
          <t>Tamil Nadu</t>
        </is>
      </c>
      <c r="C241" s="2" t="inlineStr">
        <is>
          <t>Chennai</t>
        </is>
      </c>
      <c r="D241" s="2" t="inlineStr">
        <is>
          <t>South</t>
        </is>
      </c>
    </row>
    <row r="242">
      <c r="A242" s="2" t="inlineStr">
        <is>
          <t>C0049</t>
        </is>
      </c>
      <c r="B242" s="2" t="inlineStr">
        <is>
          <t>Uttar Pradesh</t>
        </is>
      </c>
      <c r="C242" s="2" t="inlineStr">
        <is>
          <t>Kanpur</t>
        </is>
      </c>
      <c r="D242" s="2" t="inlineStr">
        <is>
          <t>North</t>
        </is>
      </c>
    </row>
    <row r="243">
      <c r="A243" s="2" t="inlineStr">
        <is>
          <t>C0049</t>
        </is>
      </c>
      <c r="B243" s="2" t="inlineStr">
        <is>
          <t>Delhi</t>
        </is>
      </c>
      <c r="C243" s="2" t="inlineStr">
        <is>
          <t>New Delhi</t>
        </is>
      </c>
      <c r="D243" s="2" t="inlineStr">
        <is>
          <t>North</t>
        </is>
      </c>
    </row>
    <row r="244">
      <c r="A244" s="2" t="inlineStr">
        <is>
          <t>C0049</t>
        </is>
      </c>
      <c r="B244" s="2" t="inlineStr">
        <is>
          <t>Odisha</t>
        </is>
      </c>
      <c r="C244" s="2" t="inlineStr">
        <is>
          <t>Cuttack</t>
        </is>
      </c>
      <c r="D244" s="2" t="inlineStr">
        <is>
          <t>East</t>
        </is>
      </c>
    </row>
    <row r="245">
      <c r="A245" s="2" t="inlineStr">
        <is>
          <t>C0049</t>
        </is>
      </c>
      <c r="B245" s="2" t="inlineStr">
        <is>
          <t>Uttar Pradesh</t>
        </is>
      </c>
      <c r="C245" s="2" t="inlineStr">
        <is>
          <t>Varanasi</t>
        </is>
      </c>
      <c r="D245" s="2" t="inlineStr">
        <is>
          <t>North</t>
        </is>
      </c>
    </row>
    <row r="246">
      <c r="A246" s="2" t="inlineStr">
        <is>
          <t>C0049</t>
        </is>
      </c>
      <c r="B246" s="2" t="inlineStr">
        <is>
          <t>West Bengal</t>
        </is>
      </c>
      <c r="C246" s="2" t="inlineStr">
        <is>
          <t>Kolkata</t>
        </is>
      </c>
      <c r="D246" s="2" t="inlineStr">
        <is>
          <t>East</t>
        </is>
      </c>
    </row>
    <row r="247">
      <c r="A247" s="2" t="inlineStr">
        <is>
          <t>C0049</t>
        </is>
      </c>
      <c r="B247" s="2" t="inlineStr">
        <is>
          <t>Odisha</t>
        </is>
      </c>
      <c r="C247" s="2" t="inlineStr">
        <is>
          <t>Bhubaneswar</t>
        </is>
      </c>
      <c r="D247" s="2" t="inlineStr">
        <is>
          <t>East</t>
        </is>
      </c>
    </row>
    <row r="248">
      <c r="A248" s="2" t="inlineStr">
        <is>
          <t>C0049</t>
        </is>
      </c>
      <c r="B248" s="2" t="inlineStr">
        <is>
          <t>Kerala</t>
        </is>
      </c>
      <c r="C248" s="2" t="inlineStr">
        <is>
          <t>Kochi</t>
        </is>
      </c>
      <c r="D248" s="2" t="inlineStr">
        <is>
          <t>South</t>
        </is>
      </c>
    </row>
    <row r="249">
      <c r="A249" s="2" t="inlineStr">
        <is>
          <t>C0049</t>
        </is>
      </c>
      <c r="B249" s="2" t="inlineStr">
        <is>
          <t>Maharashtra</t>
        </is>
      </c>
      <c r="C249" s="2" t="inlineStr">
        <is>
          <t>Nashik</t>
        </is>
      </c>
      <c r="D249" s="2" t="inlineStr">
        <is>
          <t>West</t>
        </is>
      </c>
    </row>
    <row r="250">
      <c r="A250" s="2" t="inlineStr">
        <is>
          <t>C0049</t>
        </is>
      </c>
      <c r="B250" s="2" t="inlineStr">
        <is>
          <t>Kerala</t>
        </is>
      </c>
      <c r="C250" s="2" t="inlineStr">
        <is>
          <t>Thiruvananthapuram</t>
        </is>
      </c>
      <c r="D250" s="2" t="inlineStr">
        <is>
          <t>South</t>
        </is>
      </c>
    </row>
    <row r="251">
      <c r="A251" s="2" t="inlineStr">
        <is>
          <t>C0049</t>
        </is>
      </c>
      <c r="B251" s="2" t="inlineStr">
        <is>
          <t>Maharashtra</t>
        </is>
      </c>
      <c r="C251" s="2" t="inlineStr">
        <is>
          <t>Mumbai</t>
        </is>
      </c>
      <c r="D251" s="2" t="inlineStr">
        <is>
          <t>West</t>
        </is>
      </c>
    </row>
    <row r="252">
      <c r="A252" s="2" t="inlineStr">
        <is>
          <t>C0049</t>
        </is>
      </c>
      <c r="B252" s="2" t="inlineStr">
        <is>
          <t>Karnataka</t>
        </is>
      </c>
      <c r="C252" s="2" t="inlineStr">
        <is>
          <t>Bengaluru</t>
        </is>
      </c>
      <c r="D252" s="2" t="inlineStr">
        <is>
          <t>South</t>
        </is>
      </c>
    </row>
    <row r="253">
      <c r="A253" s="2" t="inlineStr">
        <is>
          <t>C0049</t>
        </is>
      </c>
      <c r="B253" s="2" t="inlineStr">
        <is>
          <t>Tamil Nadu</t>
        </is>
      </c>
      <c r="C253" s="2" t="inlineStr">
        <is>
          <t>Coimbatore</t>
        </is>
      </c>
      <c r="D253" s="2" t="inlineStr">
        <is>
          <t>South</t>
        </is>
      </c>
    </row>
    <row r="254">
      <c r="A254" s="2" t="inlineStr">
        <is>
          <t>C0050</t>
        </is>
      </c>
      <c r="B254" s="2" t="inlineStr">
        <is>
          <t>Gujarat</t>
        </is>
      </c>
      <c r="C254" s="2" t="inlineStr">
        <is>
          <t>Vadodara</t>
        </is>
      </c>
      <c r="D254" s="2" t="inlineStr">
        <is>
          <t>West</t>
        </is>
      </c>
    </row>
    <row r="255">
      <c r="A255" s="2" t="inlineStr">
        <is>
          <t>C0051</t>
        </is>
      </c>
      <c r="B255" s="2" t="inlineStr">
        <is>
          <t>Goa</t>
        </is>
      </c>
      <c r="C255" s="2" t="inlineStr">
        <is>
          <t>Margao</t>
        </is>
      </c>
      <c r="D255" s="2" t="inlineStr">
        <is>
          <t>West</t>
        </is>
      </c>
    </row>
    <row r="256">
      <c r="A256" s="2" t="inlineStr">
        <is>
          <t>C0051</t>
        </is>
      </c>
      <c r="B256" s="2" t="inlineStr">
        <is>
          <t>Goa</t>
        </is>
      </c>
      <c r="C256" s="2" t="inlineStr">
        <is>
          <t>Panaji</t>
        </is>
      </c>
      <c r="D256" s="2" t="inlineStr">
        <is>
          <t>West</t>
        </is>
      </c>
    </row>
    <row r="257">
      <c r="A257" s="2" t="inlineStr">
        <is>
          <t>C0052</t>
        </is>
      </c>
      <c r="B257" s="2" t="inlineStr">
        <is>
          <t>Gujarat</t>
        </is>
      </c>
      <c r="C257" s="2" t="inlineStr">
        <is>
          <t>Surat</t>
        </is>
      </c>
      <c r="D257" s="2" t="inlineStr">
        <is>
          <t>West</t>
        </is>
      </c>
    </row>
    <row r="258">
      <c r="A258" s="2" t="inlineStr">
        <is>
          <t>C0052</t>
        </is>
      </c>
      <c r="B258" s="2" t="inlineStr">
        <is>
          <t>West Bengal</t>
        </is>
      </c>
      <c r="C258" s="2" t="inlineStr">
        <is>
          <t>Durgapur</t>
        </is>
      </c>
      <c r="D258" s="2" t="inlineStr">
        <is>
          <t>East</t>
        </is>
      </c>
    </row>
    <row r="259">
      <c r="A259" s="2" t="inlineStr">
        <is>
          <t>C0053</t>
        </is>
      </c>
      <c r="B259" s="2" t="inlineStr">
        <is>
          <t>Punjab</t>
        </is>
      </c>
      <c r="C259" s="2" t="inlineStr">
        <is>
          <t>Jalandhar</t>
        </is>
      </c>
      <c r="D259" s="2" t="inlineStr">
        <is>
          <t>North</t>
        </is>
      </c>
    </row>
    <row r="260">
      <c r="A260" s="2" t="inlineStr">
        <is>
          <t>C0053</t>
        </is>
      </c>
      <c r="B260" s="2" t="inlineStr">
        <is>
          <t>Tamil Nadu</t>
        </is>
      </c>
      <c r="C260" s="2" t="inlineStr">
        <is>
          <t>Madurai</t>
        </is>
      </c>
      <c r="D260" s="2" t="inlineStr">
        <is>
          <t>South</t>
        </is>
      </c>
    </row>
    <row r="261">
      <c r="A261" s="2" t="inlineStr">
        <is>
          <t>C0053</t>
        </is>
      </c>
      <c r="B261" s="2" t="inlineStr">
        <is>
          <t>Karnataka</t>
        </is>
      </c>
      <c r="C261" s="2" t="inlineStr">
        <is>
          <t>Mysuru</t>
        </is>
      </c>
      <c r="D261" s="2" t="inlineStr">
        <is>
          <t>South</t>
        </is>
      </c>
    </row>
    <row r="262">
      <c r="A262" s="2" t="inlineStr">
        <is>
          <t>C0053</t>
        </is>
      </c>
      <c r="B262" s="2" t="inlineStr">
        <is>
          <t>Goa</t>
        </is>
      </c>
      <c r="C262" s="2" t="inlineStr">
        <is>
          <t>Margao</t>
        </is>
      </c>
      <c r="D262" s="2" t="inlineStr">
        <is>
          <t>West</t>
        </is>
      </c>
    </row>
    <row r="263">
      <c r="A263" s="2" t="inlineStr">
        <is>
          <t>C0053</t>
        </is>
      </c>
      <c r="B263" s="2" t="inlineStr">
        <is>
          <t>Gujarat</t>
        </is>
      </c>
      <c r="C263" s="2" t="inlineStr">
        <is>
          <t>Vadodara</t>
        </is>
      </c>
      <c r="D263" s="2" t="inlineStr">
        <is>
          <t>West</t>
        </is>
      </c>
    </row>
    <row r="264">
      <c r="A264" s="2" t="inlineStr">
        <is>
          <t>C0053</t>
        </is>
      </c>
      <c r="B264" s="2" t="inlineStr">
        <is>
          <t>Gujarat</t>
        </is>
      </c>
      <c r="C264" s="2" t="inlineStr">
        <is>
          <t>Surat</t>
        </is>
      </c>
      <c r="D264" s="2" t="inlineStr">
        <is>
          <t>West</t>
        </is>
      </c>
    </row>
    <row r="265">
      <c r="A265" s="2" t="inlineStr">
        <is>
          <t>C0053</t>
        </is>
      </c>
      <c r="B265" s="2" t="inlineStr">
        <is>
          <t>Bihar</t>
        </is>
      </c>
      <c r="C265" s="2" t="inlineStr">
        <is>
          <t>Patna</t>
        </is>
      </c>
      <c r="D265" s="2" t="inlineStr">
        <is>
          <t>East</t>
        </is>
      </c>
    </row>
    <row r="266">
      <c r="A266" s="2" t="inlineStr">
        <is>
          <t>C0053</t>
        </is>
      </c>
      <c r="B266" s="2" t="inlineStr">
        <is>
          <t>Haryana</t>
        </is>
      </c>
      <c r="C266" s="2" t="inlineStr">
        <is>
          <t>Faridabad</t>
        </is>
      </c>
      <c r="D266" s="2" t="inlineStr">
        <is>
          <t>North</t>
        </is>
      </c>
    </row>
    <row r="267">
      <c r="A267" s="2" t="inlineStr">
        <is>
          <t>C0054</t>
        </is>
      </c>
      <c r="B267" s="2" t="inlineStr">
        <is>
          <t>Uttar Pradesh</t>
        </is>
      </c>
      <c r="C267" s="2" t="inlineStr">
        <is>
          <t>Lucknow</t>
        </is>
      </c>
      <c r="D267" s="2" t="inlineStr">
        <is>
          <t>North</t>
        </is>
      </c>
    </row>
    <row r="268">
      <c r="A268" s="2" t="inlineStr">
        <is>
          <t>C0055</t>
        </is>
      </c>
      <c r="B268" s="2" t="inlineStr">
        <is>
          <t>Odisha</t>
        </is>
      </c>
      <c r="C268" s="2" t="inlineStr">
        <is>
          <t>Cuttack</t>
        </is>
      </c>
      <c r="D268" s="2" t="inlineStr">
        <is>
          <t>East</t>
        </is>
      </c>
    </row>
    <row r="269">
      <c r="A269" s="2" t="inlineStr">
        <is>
          <t>C0055</t>
        </is>
      </c>
      <c r="B269" s="2" t="inlineStr">
        <is>
          <t>Punjab</t>
        </is>
      </c>
      <c r="C269" s="2" t="inlineStr">
        <is>
          <t>Jalandhar</t>
        </is>
      </c>
      <c r="D269" s="2" t="inlineStr">
        <is>
          <t>North</t>
        </is>
      </c>
    </row>
    <row r="270">
      <c r="A270" s="2" t="inlineStr">
        <is>
          <t>C0055</t>
        </is>
      </c>
      <c r="B270" s="2" t="inlineStr">
        <is>
          <t>Tamil Nadu</t>
        </is>
      </c>
      <c r="C270" s="2" t="inlineStr">
        <is>
          <t>Chennai</t>
        </is>
      </c>
      <c r="D270" s="2" t="inlineStr">
        <is>
          <t>South</t>
        </is>
      </c>
    </row>
    <row r="271">
      <c r="A271" s="2" t="inlineStr">
        <is>
          <t>C0055</t>
        </is>
      </c>
      <c r="B271" s="2" t="inlineStr">
        <is>
          <t>Uttar Pradesh</t>
        </is>
      </c>
      <c r="C271" s="2" t="inlineStr">
        <is>
          <t>Kanpur</t>
        </is>
      </c>
      <c r="D271" s="2" t="inlineStr">
        <is>
          <t>North</t>
        </is>
      </c>
    </row>
    <row r="272">
      <c r="A272" s="2" t="inlineStr">
        <is>
          <t>C0056</t>
        </is>
      </c>
      <c r="B272" s="2" t="inlineStr">
        <is>
          <t>Goa</t>
        </is>
      </c>
      <c r="C272" s="2" t="inlineStr">
        <is>
          <t>Panaji</t>
        </is>
      </c>
      <c r="D272" s="2" t="inlineStr">
        <is>
          <t>West</t>
        </is>
      </c>
    </row>
    <row r="273">
      <c r="A273" s="2" t="inlineStr">
        <is>
          <t>C0056</t>
        </is>
      </c>
      <c r="B273" s="2" t="inlineStr">
        <is>
          <t>Bihar</t>
        </is>
      </c>
      <c r="C273" s="2" t="inlineStr">
        <is>
          <t>Gaya</t>
        </is>
      </c>
      <c r="D273" s="2" t="inlineStr">
        <is>
          <t>East</t>
        </is>
      </c>
    </row>
    <row r="274">
      <c r="A274" s="2" t="inlineStr">
        <is>
          <t>C0056</t>
        </is>
      </c>
      <c r="B274" s="2" t="inlineStr">
        <is>
          <t>Odisha</t>
        </is>
      </c>
      <c r="C274" s="2" t="inlineStr">
        <is>
          <t>Bhubaneswar</t>
        </is>
      </c>
      <c r="D274" s="2" t="inlineStr">
        <is>
          <t>East</t>
        </is>
      </c>
    </row>
    <row r="275">
      <c r="A275" s="2" t="inlineStr">
        <is>
          <t>C0056</t>
        </is>
      </c>
      <c r="B275" s="2" t="inlineStr">
        <is>
          <t>Kerala</t>
        </is>
      </c>
      <c r="C275" s="2" t="inlineStr">
        <is>
          <t>Kochi</t>
        </is>
      </c>
      <c r="D275" s="2" t="inlineStr">
        <is>
          <t>South</t>
        </is>
      </c>
    </row>
    <row r="276">
      <c r="A276" s="2" t="inlineStr">
        <is>
          <t>C0057</t>
        </is>
      </c>
      <c r="B276" s="2" t="inlineStr">
        <is>
          <t>Telangana</t>
        </is>
      </c>
      <c r="C276" s="2" t="inlineStr">
        <is>
          <t>Hyderabad</t>
        </is>
      </c>
      <c r="D276" s="2" t="inlineStr">
        <is>
          <t>South</t>
        </is>
      </c>
    </row>
    <row r="277">
      <c r="A277" s="2" t="inlineStr">
        <is>
          <t>C0057</t>
        </is>
      </c>
      <c r="B277" s="2" t="inlineStr">
        <is>
          <t>Goa</t>
        </is>
      </c>
      <c r="C277" s="2" t="inlineStr">
        <is>
          <t>Panaji</t>
        </is>
      </c>
      <c r="D277" s="2" t="inlineStr">
        <is>
          <t>West</t>
        </is>
      </c>
    </row>
    <row r="278">
      <c r="A278" s="2" t="inlineStr">
        <is>
          <t>C0057</t>
        </is>
      </c>
      <c r="B278" s="2" t="inlineStr">
        <is>
          <t>West Bengal</t>
        </is>
      </c>
      <c r="C278" s="2" t="inlineStr">
        <is>
          <t>Durgapur</t>
        </is>
      </c>
      <c r="D278" s="2" t="inlineStr">
        <is>
          <t>East</t>
        </is>
      </c>
    </row>
    <row r="279">
      <c r="A279" s="2" t="inlineStr">
        <is>
          <t>C0057</t>
        </is>
      </c>
      <c r="B279" s="2" t="inlineStr">
        <is>
          <t>Bihar</t>
        </is>
      </c>
      <c r="C279" s="2" t="inlineStr">
        <is>
          <t>Gaya</t>
        </is>
      </c>
      <c r="D279" s="2" t="inlineStr">
        <is>
          <t>East</t>
        </is>
      </c>
    </row>
    <row r="280">
      <c r="A280" s="2" t="inlineStr">
        <is>
          <t>C0057</t>
        </is>
      </c>
      <c r="B280" s="2" t="inlineStr">
        <is>
          <t>Tamil Nadu</t>
        </is>
      </c>
      <c r="C280" s="2" t="inlineStr">
        <is>
          <t>Madurai</t>
        </is>
      </c>
      <c r="D280" s="2" t="inlineStr">
        <is>
          <t>South</t>
        </is>
      </c>
    </row>
    <row r="281">
      <c r="A281" s="2" t="inlineStr">
        <is>
          <t>C0057</t>
        </is>
      </c>
      <c r="B281" s="2" t="inlineStr">
        <is>
          <t>Delhi</t>
        </is>
      </c>
      <c r="C281" s="2" t="inlineStr">
        <is>
          <t>New Delhi</t>
        </is>
      </c>
      <c r="D281" s="2" t="inlineStr">
        <is>
          <t>North</t>
        </is>
      </c>
    </row>
    <row r="282">
      <c r="A282" s="2" t="inlineStr">
        <is>
          <t>C0058</t>
        </is>
      </c>
      <c r="B282" s="2" t="inlineStr">
        <is>
          <t>Maharashtra</t>
        </is>
      </c>
      <c r="C282" s="2" t="inlineStr">
        <is>
          <t>Nagpur</t>
        </is>
      </c>
      <c r="D282" s="2" t="inlineStr">
        <is>
          <t>West</t>
        </is>
      </c>
    </row>
    <row r="283">
      <c r="A283" s="2" t="inlineStr">
        <is>
          <t>C0058</t>
        </is>
      </c>
      <c r="B283" s="2" t="inlineStr">
        <is>
          <t>Haryana</t>
        </is>
      </c>
      <c r="C283" s="2" t="inlineStr">
        <is>
          <t>Faridabad</t>
        </is>
      </c>
      <c r="D283" s="2" t="inlineStr">
        <is>
          <t>North</t>
        </is>
      </c>
    </row>
    <row r="284">
      <c r="A284" s="2" t="inlineStr">
        <is>
          <t>C0060</t>
        </is>
      </c>
      <c r="B284" s="2" t="inlineStr">
        <is>
          <t>Maharashtra</t>
        </is>
      </c>
      <c r="C284" s="2" t="inlineStr">
        <is>
          <t>Mumbai</t>
        </is>
      </c>
      <c r="D284" s="2" t="inlineStr">
        <is>
          <t>West</t>
        </is>
      </c>
    </row>
    <row r="285">
      <c r="A285" s="2" t="inlineStr">
        <is>
          <t>C0060</t>
        </is>
      </c>
      <c r="B285" s="2" t="inlineStr">
        <is>
          <t>Punjab</t>
        </is>
      </c>
      <c r="C285" s="2" t="inlineStr">
        <is>
          <t>Jalandhar</t>
        </is>
      </c>
      <c r="D285" s="2" t="inlineStr">
        <is>
          <t>North</t>
        </is>
      </c>
    </row>
    <row r="286">
      <c r="A286" s="2" t="inlineStr">
        <is>
          <t>C0060</t>
        </is>
      </c>
      <c r="B286" s="2" t="inlineStr">
        <is>
          <t>Maharashtra</t>
        </is>
      </c>
      <c r="C286" s="2" t="inlineStr">
        <is>
          <t>Pune</t>
        </is>
      </c>
      <c r="D286" s="2" t="inlineStr">
        <is>
          <t>West</t>
        </is>
      </c>
    </row>
    <row r="287">
      <c r="A287" s="2" t="inlineStr">
        <is>
          <t>C0060</t>
        </is>
      </c>
      <c r="B287" s="2" t="inlineStr">
        <is>
          <t>Telangana</t>
        </is>
      </c>
      <c r="C287" s="2" t="inlineStr">
        <is>
          <t>Warangal</t>
        </is>
      </c>
      <c r="D287" s="2" t="inlineStr">
        <is>
          <t>South</t>
        </is>
      </c>
    </row>
    <row r="288">
      <c r="A288" s="2" t="inlineStr">
        <is>
          <t>C0060</t>
        </is>
      </c>
      <c r="B288" s="2" t="inlineStr">
        <is>
          <t>Gujarat</t>
        </is>
      </c>
      <c r="C288" s="2" t="inlineStr">
        <is>
          <t>Ahmedabad</t>
        </is>
      </c>
      <c r="D288" s="2" t="inlineStr">
        <is>
          <t>West</t>
        </is>
      </c>
    </row>
    <row r="289">
      <c r="A289" s="2" t="inlineStr">
        <is>
          <t>C0060</t>
        </is>
      </c>
      <c r="B289" s="2" t="inlineStr">
        <is>
          <t>Goa</t>
        </is>
      </c>
      <c r="C289" s="2" t="inlineStr">
        <is>
          <t>Panaji</t>
        </is>
      </c>
      <c r="D289" s="2" t="inlineStr">
        <is>
          <t>West</t>
        </is>
      </c>
    </row>
    <row r="290">
      <c r="A290" s="2" t="inlineStr">
        <is>
          <t>C0060</t>
        </is>
      </c>
      <c r="B290" s="2" t="inlineStr">
        <is>
          <t>Goa</t>
        </is>
      </c>
      <c r="C290" s="2" t="inlineStr">
        <is>
          <t>Margao</t>
        </is>
      </c>
      <c r="D290" s="2" t="inlineStr">
        <is>
          <t>West</t>
        </is>
      </c>
    </row>
    <row r="291">
      <c r="A291" s="2" t="inlineStr">
        <is>
          <t>C0060</t>
        </is>
      </c>
      <c r="B291" s="2" t="inlineStr">
        <is>
          <t>Maharashtra</t>
        </is>
      </c>
      <c r="C291" s="2" t="inlineStr">
        <is>
          <t>Thane</t>
        </is>
      </c>
      <c r="D291" s="2" t="inlineStr">
        <is>
          <t>West</t>
        </is>
      </c>
    </row>
    <row r="292">
      <c r="A292" s="2" t="inlineStr">
        <is>
          <t>C0060</t>
        </is>
      </c>
      <c r="B292" s="2" t="inlineStr">
        <is>
          <t>Telangana</t>
        </is>
      </c>
      <c r="C292" s="2" t="inlineStr">
        <is>
          <t>Hyderabad</t>
        </is>
      </c>
      <c r="D292" s="2" t="inlineStr">
        <is>
          <t>South</t>
        </is>
      </c>
    </row>
    <row r="293">
      <c r="A293" s="2" t="inlineStr">
        <is>
          <t>C0060</t>
        </is>
      </c>
      <c r="B293" s="2" t="inlineStr">
        <is>
          <t>Uttar Pradesh</t>
        </is>
      </c>
      <c r="C293" s="2" t="inlineStr">
        <is>
          <t>Kanpur</t>
        </is>
      </c>
      <c r="D293" s="2" t="inlineStr">
        <is>
          <t>North</t>
        </is>
      </c>
    </row>
    <row r="294">
      <c r="A294" s="2" t="inlineStr">
        <is>
          <t>C0060</t>
        </is>
      </c>
      <c r="B294" s="2" t="inlineStr">
        <is>
          <t>Gujarat</t>
        </is>
      </c>
      <c r="C294" s="2" t="inlineStr">
        <is>
          <t>Surat</t>
        </is>
      </c>
      <c r="D294" s="2" t="inlineStr">
        <is>
          <t>West</t>
        </is>
      </c>
    </row>
    <row r="295">
      <c r="A295" s="2" t="inlineStr">
        <is>
          <t>C0060</t>
        </is>
      </c>
      <c r="B295" s="2" t="inlineStr">
        <is>
          <t>Karnataka</t>
        </is>
      </c>
      <c r="C295" s="2" t="inlineStr">
        <is>
          <t>Bengaluru</t>
        </is>
      </c>
      <c r="D295" s="2" t="inlineStr">
        <is>
          <t>South</t>
        </is>
      </c>
    </row>
    <row r="296">
      <c r="A296" s="2" t="inlineStr">
        <is>
          <t>C0060</t>
        </is>
      </c>
      <c r="B296" s="2" t="inlineStr">
        <is>
          <t>Karnataka</t>
        </is>
      </c>
      <c r="C296" s="2" t="inlineStr">
        <is>
          <t>Mangaluru</t>
        </is>
      </c>
      <c r="D296" s="2" t="inlineStr">
        <is>
          <t>South</t>
        </is>
      </c>
    </row>
    <row r="297">
      <c r="A297" s="2" t="inlineStr">
        <is>
          <t>C0060</t>
        </is>
      </c>
      <c r="B297" s="2" t="inlineStr">
        <is>
          <t>Punjab</t>
        </is>
      </c>
      <c r="C297" s="2" t="inlineStr">
        <is>
          <t>Amritsar</t>
        </is>
      </c>
      <c r="D297" s="2" t="inlineStr">
        <is>
          <t>North</t>
        </is>
      </c>
    </row>
    <row r="298">
      <c r="A298" s="2" t="inlineStr">
        <is>
          <t>C0060</t>
        </is>
      </c>
      <c r="B298" s="2" t="inlineStr">
        <is>
          <t>Kerala</t>
        </is>
      </c>
      <c r="C298" s="2" t="inlineStr">
        <is>
          <t>Thiruvananthapuram</t>
        </is>
      </c>
      <c r="D298" s="2" t="inlineStr">
        <is>
          <t>South</t>
        </is>
      </c>
    </row>
    <row r="299">
      <c r="A299" s="2" t="inlineStr">
        <is>
          <t>C0060</t>
        </is>
      </c>
      <c r="B299" s="2" t="inlineStr">
        <is>
          <t>Bihar</t>
        </is>
      </c>
      <c r="C299" s="2" t="inlineStr">
        <is>
          <t>Patna</t>
        </is>
      </c>
      <c r="D299" s="2" t="inlineStr">
        <is>
          <t>East</t>
        </is>
      </c>
    </row>
    <row r="300">
      <c r="A300" s="2" t="inlineStr">
        <is>
          <t>C0061</t>
        </is>
      </c>
      <c r="B300" s="2" t="inlineStr">
        <is>
          <t>Haryana</t>
        </is>
      </c>
      <c r="C300" s="2" t="inlineStr">
        <is>
          <t>Faridabad</t>
        </is>
      </c>
      <c r="D300" s="2" t="inlineStr">
        <is>
          <t>North</t>
        </is>
      </c>
    </row>
    <row r="301">
      <c r="A301" s="2" t="inlineStr">
        <is>
          <t>C0061</t>
        </is>
      </c>
      <c r="B301" s="2" t="inlineStr">
        <is>
          <t>Goa</t>
        </is>
      </c>
      <c r="C301" s="2" t="inlineStr">
        <is>
          <t>Margao</t>
        </is>
      </c>
      <c r="D301" s="2" t="inlineStr">
        <is>
          <t>West</t>
        </is>
      </c>
    </row>
    <row r="302">
      <c r="A302" s="2" t="inlineStr">
        <is>
          <t>C0061</t>
        </is>
      </c>
      <c r="B302" s="2" t="inlineStr">
        <is>
          <t>Uttar Pradesh</t>
        </is>
      </c>
      <c r="C302" s="2" t="inlineStr">
        <is>
          <t>Varanasi</t>
        </is>
      </c>
      <c r="D302" s="2" t="inlineStr">
        <is>
          <t>North</t>
        </is>
      </c>
    </row>
    <row r="303">
      <c r="A303" s="2" t="inlineStr">
        <is>
          <t>C0061</t>
        </is>
      </c>
      <c r="B303" s="2" t="inlineStr">
        <is>
          <t>Telangana</t>
        </is>
      </c>
      <c r="C303" s="2" t="inlineStr">
        <is>
          <t>Warangal</t>
        </is>
      </c>
      <c r="D303" s="2" t="inlineStr">
        <is>
          <t>South</t>
        </is>
      </c>
    </row>
    <row r="304">
      <c r="A304" s="2" t="inlineStr">
        <is>
          <t>C0062</t>
        </is>
      </c>
      <c r="B304" s="2" t="inlineStr">
        <is>
          <t>Maharashtra</t>
        </is>
      </c>
      <c r="C304" s="2" t="inlineStr">
        <is>
          <t>Thane</t>
        </is>
      </c>
      <c r="D304" s="2" t="inlineStr">
        <is>
          <t>West</t>
        </is>
      </c>
    </row>
    <row r="305">
      <c r="A305" s="2" t="inlineStr">
        <is>
          <t>C0062</t>
        </is>
      </c>
      <c r="B305" s="2" t="inlineStr">
        <is>
          <t>Uttar Pradesh</t>
        </is>
      </c>
      <c r="C305" s="2" t="inlineStr">
        <is>
          <t>Kanpur</t>
        </is>
      </c>
      <c r="D305" s="2" t="inlineStr">
        <is>
          <t>North</t>
        </is>
      </c>
    </row>
    <row r="306">
      <c r="A306" s="2" t="inlineStr">
        <is>
          <t>C0062</t>
        </is>
      </c>
      <c r="B306" s="2" t="inlineStr">
        <is>
          <t>Gujarat</t>
        </is>
      </c>
      <c r="C306" s="2" t="inlineStr">
        <is>
          <t>Vadodara</t>
        </is>
      </c>
      <c r="D306" s="2" t="inlineStr">
        <is>
          <t>West</t>
        </is>
      </c>
    </row>
    <row r="307">
      <c r="A307" s="2" t="inlineStr">
        <is>
          <t>C0062</t>
        </is>
      </c>
      <c r="B307" s="2" t="inlineStr">
        <is>
          <t>Kerala</t>
        </is>
      </c>
      <c r="C307" s="2" t="inlineStr">
        <is>
          <t>Kochi</t>
        </is>
      </c>
      <c r="D307" s="2" t="inlineStr">
        <is>
          <t>South</t>
        </is>
      </c>
    </row>
    <row r="308">
      <c r="A308" s="2" t="inlineStr">
        <is>
          <t>C0062</t>
        </is>
      </c>
      <c r="B308" s="2" t="inlineStr">
        <is>
          <t>Delhi</t>
        </is>
      </c>
      <c r="C308" s="2" t="inlineStr">
        <is>
          <t>New Delhi</t>
        </is>
      </c>
      <c r="D308" s="2" t="inlineStr">
        <is>
          <t>North</t>
        </is>
      </c>
    </row>
    <row r="309">
      <c r="A309" s="2" t="inlineStr">
        <is>
          <t>C0063</t>
        </is>
      </c>
      <c r="B309" s="2" t="inlineStr">
        <is>
          <t>Punjab</t>
        </is>
      </c>
      <c r="C309" s="2" t="inlineStr">
        <is>
          <t>Amritsar</t>
        </is>
      </c>
      <c r="D309" s="2" t="inlineStr">
        <is>
          <t>North</t>
        </is>
      </c>
    </row>
    <row r="310">
      <c r="A310" s="2" t="inlineStr">
        <is>
          <t>C0063</t>
        </is>
      </c>
      <c r="B310" s="2" t="inlineStr">
        <is>
          <t>Goa</t>
        </is>
      </c>
      <c r="C310" s="2" t="inlineStr">
        <is>
          <t>Margao</t>
        </is>
      </c>
      <c r="D310" s="2" t="inlineStr">
        <is>
          <t>West</t>
        </is>
      </c>
    </row>
    <row r="311">
      <c r="A311" s="2" t="inlineStr">
        <is>
          <t>C0064</t>
        </is>
      </c>
      <c r="B311" s="2" t="inlineStr">
        <is>
          <t>Gujarat</t>
        </is>
      </c>
      <c r="C311" s="2" t="inlineStr">
        <is>
          <t>Vadodara</t>
        </is>
      </c>
      <c r="D311" s="2" t="inlineStr">
        <is>
          <t>West</t>
        </is>
      </c>
    </row>
    <row r="312">
      <c r="A312" s="2" t="inlineStr">
        <is>
          <t>C0064</t>
        </is>
      </c>
      <c r="B312" s="2" t="inlineStr">
        <is>
          <t>Delhi</t>
        </is>
      </c>
      <c r="C312" s="2" t="inlineStr">
        <is>
          <t>New Delhi</t>
        </is>
      </c>
      <c r="D312" s="2" t="inlineStr">
        <is>
          <t>North</t>
        </is>
      </c>
    </row>
    <row r="313">
      <c r="A313" s="2" t="inlineStr">
        <is>
          <t>C0064</t>
        </is>
      </c>
      <c r="B313" s="2" t="inlineStr">
        <is>
          <t>Haryana</t>
        </is>
      </c>
      <c r="C313" s="2" t="inlineStr">
        <is>
          <t>Faridabad</t>
        </is>
      </c>
      <c r="D313" s="2" t="inlineStr">
        <is>
          <t>North</t>
        </is>
      </c>
    </row>
    <row r="314">
      <c r="A314" s="2" t="inlineStr">
        <is>
          <t>C0064</t>
        </is>
      </c>
      <c r="B314" s="2" t="inlineStr">
        <is>
          <t>Gujarat</t>
        </is>
      </c>
      <c r="C314" s="2" t="inlineStr">
        <is>
          <t>Ahmedabad</t>
        </is>
      </c>
      <c r="D314" s="2" t="inlineStr">
        <is>
          <t>West</t>
        </is>
      </c>
    </row>
    <row r="315">
      <c r="A315" s="2" t="inlineStr">
        <is>
          <t>C0064</t>
        </is>
      </c>
      <c r="B315" s="2" t="inlineStr">
        <is>
          <t>Kerala</t>
        </is>
      </c>
      <c r="C315" s="2" t="inlineStr">
        <is>
          <t>Thiruvananthapuram</t>
        </is>
      </c>
      <c r="D315" s="2" t="inlineStr">
        <is>
          <t>South</t>
        </is>
      </c>
    </row>
    <row r="316">
      <c r="A316" s="2" t="inlineStr">
        <is>
          <t>C0064</t>
        </is>
      </c>
      <c r="B316" s="2" t="inlineStr">
        <is>
          <t>Kerala</t>
        </is>
      </c>
      <c r="C316" s="2" t="inlineStr">
        <is>
          <t>Kochi</t>
        </is>
      </c>
      <c r="D316" s="2" t="inlineStr">
        <is>
          <t>South</t>
        </is>
      </c>
    </row>
    <row r="317">
      <c r="A317" s="2" t="inlineStr">
        <is>
          <t>C0064</t>
        </is>
      </c>
      <c r="B317" s="2" t="inlineStr">
        <is>
          <t>Maharashtra</t>
        </is>
      </c>
      <c r="C317" s="2" t="inlineStr">
        <is>
          <t>Nashik</t>
        </is>
      </c>
      <c r="D317" s="2" t="inlineStr">
        <is>
          <t>West</t>
        </is>
      </c>
    </row>
    <row r="318">
      <c r="A318" s="2" t="inlineStr">
        <is>
          <t>C0064</t>
        </is>
      </c>
      <c r="B318" s="2" t="inlineStr">
        <is>
          <t>Uttar Pradesh</t>
        </is>
      </c>
      <c r="C318" s="2" t="inlineStr">
        <is>
          <t>Lucknow</t>
        </is>
      </c>
      <c r="D318" s="2" t="inlineStr">
        <is>
          <t>North</t>
        </is>
      </c>
    </row>
    <row r="319">
      <c r="A319" s="2" t="inlineStr">
        <is>
          <t>C0064</t>
        </is>
      </c>
      <c r="B319" s="2" t="inlineStr">
        <is>
          <t>Gujarat</t>
        </is>
      </c>
      <c r="C319" s="2" t="inlineStr">
        <is>
          <t>Surat</t>
        </is>
      </c>
      <c r="D319" s="2" t="inlineStr">
        <is>
          <t>West</t>
        </is>
      </c>
    </row>
    <row r="320">
      <c r="A320" s="2" t="inlineStr">
        <is>
          <t>C0064</t>
        </is>
      </c>
      <c r="B320" s="2" t="inlineStr">
        <is>
          <t>Karnataka</t>
        </is>
      </c>
      <c r="C320" s="2" t="inlineStr">
        <is>
          <t>Mangaluru</t>
        </is>
      </c>
      <c r="D320" s="2" t="inlineStr">
        <is>
          <t>South</t>
        </is>
      </c>
    </row>
    <row r="321">
      <c r="A321" s="2" t="inlineStr">
        <is>
          <t>C0064</t>
        </is>
      </c>
      <c r="B321" s="2" t="inlineStr">
        <is>
          <t>Bihar</t>
        </is>
      </c>
      <c r="C321" s="2" t="inlineStr">
        <is>
          <t>Gaya</t>
        </is>
      </c>
      <c r="D321" s="2" t="inlineStr">
        <is>
          <t>East</t>
        </is>
      </c>
    </row>
    <row r="322">
      <c r="A322" s="2" t="inlineStr">
        <is>
          <t>C0064</t>
        </is>
      </c>
      <c r="B322" s="2" t="inlineStr">
        <is>
          <t>Odisha</t>
        </is>
      </c>
      <c r="C322" s="2" t="inlineStr">
        <is>
          <t>Bhubaneswar</t>
        </is>
      </c>
      <c r="D322" s="2" t="inlineStr">
        <is>
          <t>East</t>
        </is>
      </c>
    </row>
    <row r="323">
      <c r="A323" s="2" t="inlineStr">
        <is>
          <t>C0065</t>
        </is>
      </c>
      <c r="B323" s="2" t="inlineStr">
        <is>
          <t>Haryana</t>
        </is>
      </c>
      <c r="C323" s="2" t="inlineStr">
        <is>
          <t>Faridabad</t>
        </is>
      </c>
      <c r="D323" s="2" t="inlineStr">
        <is>
          <t>North</t>
        </is>
      </c>
    </row>
    <row r="324">
      <c r="A324" s="2" t="inlineStr">
        <is>
          <t>C0065</t>
        </is>
      </c>
      <c r="B324" s="2" t="inlineStr">
        <is>
          <t>Goa</t>
        </is>
      </c>
      <c r="C324" s="2" t="inlineStr">
        <is>
          <t>Margao</t>
        </is>
      </c>
      <c r="D324" s="2" t="inlineStr">
        <is>
          <t>West</t>
        </is>
      </c>
    </row>
    <row r="325">
      <c r="A325" s="2" t="inlineStr">
        <is>
          <t>C0065</t>
        </is>
      </c>
      <c r="B325" s="2" t="inlineStr">
        <is>
          <t>Maharashtra</t>
        </is>
      </c>
      <c r="C325" s="2" t="inlineStr">
        <is>
          <t>Pune</t>
        </is>
      </c>
      <c r="D325" s="2" t="inlineStr">
        <is>
          <t>West</t>
        </is>
      </c>
    </row>
    <row r="326">
      <c r="A326" s="2" t="inlineStr">
        <is>
          <t>C0065</t>
        </is>
      </c>
      <c r="B326" s="2" t="inlineStr">
        <is>
          <t>Uttar Pradesh</t>
        </is>
      </c>
      <c r="C326" s="2" t="inlineStr">
        <is>
          <t>Noida</t>
        </is>
      </c>
      <c r="D326" s="2" t="inlineStr">
        <is>
          <t>North</t>
        </is>
      </c>
    </row>
    <row r="327">
      <c r="A327" s="2" t="inlineStr">
        <is>
          <t>C0065</t>
        </is>
      </c>
      <c r="B327" s="2" t="inlineStr">
        <is>
          <t>West Bengal</t>
        </is>
      </c>
      <c r="C327" s="2" t="inlineStr">
        <is>
          <t>Kolkata</t>
        </is>
      </c>
      <c r="D327" s="2" t="inlineStr">
        <is>
          <t>East</t>
        </is>
      </c>
    </row>
    <row r="328">
      <c r="A328" s="2" t="inlineStr">
        <is>
          <t>C0066</t>
        </is>
      </c>
      <c r="B328" s="2" t="inlineStr">
        <is>
          <t>West Bengal</t>
        </is>
      </c>
      <c r="C328" s="2" t="inlineStr">
        <is>
          <t>Kolkata</t>
        </is>
      </c>
      <c r="D328" s="2" t="inlineStr">
        <is>
          <t>East</t>
        </is>
      </c>
    </row>
    <row r="329">
      <c r="A329" s="2" t="inlineStr">
        <is>
          <t>C0066</t>
        </is>
      </c>
      <c r="B329" s="2" t="inlineStr">
        <is>
          <t>Maharashtra</t>
        </is>
      </c>
      <c r="C329" s="2" t="inlineStr">
        <is>
          <t>Nagpur</t>
        </is>
      </c>
      <c r="D329" s="2" t="inlineStr">
        <is>
          <t>West</t>
        </is>
      </c>
    </row>
    <row r="330">
      <c r="A330" s="2" t="inlineStr">
        <is>
          <t>C0066</t>
        </is>
      </c>
      <c r="B330" s="2" t="inlineStr">
        <is>
          <t>Maharashtra</t>
        </is>
      </c>
      <c r="C330" s="2" t="inlineStr">
        <is>
          <t>Pune</t>
        </is>
      </c>
      <c r="D330" s="2" t="inlineStr">
        <is>
          <t>West</t>
        </is>
      </c>
    </row>
    <row r="331">
      <c r="A331" s="2" t="inlineStr">
        <is>
          <t>C0066</t>
        </is>
      </c>
      <c r="B331" s="2" t="inlineStr">
        <is>
          <t>Gujarat</t>
        </is>
      </c>
      <c r="C331" s="2" t="inlineStr">
        <is>
          <t>Surat</t>
        </is>
      </c>
      <c r="D331" s="2" t="inlineStr">
        <is>
          <t>West</t>
        </is>
      </c>
    </row>
    <row r="332">
      <c r="A332" s="2" t="inlineStr">
        <is>
          <t>C0066</t>
        </is>
      </c>
      <c r="B332" s="2" t="inlineStr">
        <is>
          <t>Kerala</t>
        </is>
      </c>
      <c r="C332" s="2" t="inlineStr">
        <is>
          <t>Thiruvananthapuram</t>
        </is>
      </c>
      <c r="D332" s="2" t="inlineStr">
        <is>
          <t>South</t>
        </is>
      </c>
    </row>
    <row r="333">
      <c r="A333" s="2" t="inlineStr">
        <is>
          <t>C0066</t>
        </is>
      </c>
      <c r="B333" s="2" t="inlineStr">
        <is>
          <t>Uttar Pradesh</t>
        </is>
      </c>
      <c r="C333" s="2" t="inlineStr">
        <is>
          <t>Varanasi</t>
        </is>
      </c>
      <c r="D333" s="2" t="inlineStr">
        <is>
          <t>North</t>
        </is>
      </c>
    </row>
    <row r="334">
      <c r="A334" s="2" t="inlineStr">
        <is>
          <t>C0066</t>
        </is>
      </c>
      <c r="B334" s="2" t="inlineStr">
        <is>
          <t>Haryana</t>
        </is>
      </c>
      <c r="C334" s="2" t="inlineStr">
        <is>
          <t>Gurugram</t>
        </is>
      </c>
      <c r="D334" s="2" t="inlineStr">
        <is>
          <t>North</t>
        </is>
      </c>
    </row>
    <row r="335">
      <c r="A335" s="2" t="inlineStr">
        <is>
          <t>C0066</t>
        </is>
      </c>
      <c r="B335" s="2" t="inlineStr">
        <is>
          <t>West Bengal</t>
        </is>
      </c>
      <c r="C335" s="2" t="inlineStr">
        <is>
          <t>Durgapur</t>
        </is>
      </c>
      <c r="D335" s="2" t="inlineStr">
        <is>
          <t>East</t>
        </is>
      </c>
    </row>
    <row r="336">
      <c r="A336" s="2" t="inlineStr">
        <is>
          <t>C0067</t>
        </is>
      </c>
      <c r="B336" s="2" t="inlineStr">
        <is>
          <t>Karnataka</t>
        </is>
      </c>
      <c r="C336" s="2" t="inlineStr">
        <is>
          <t>Bengaluru</t>
        </is>
      </c>
      <c r="D336" s="2" t="inlineStr">
        <is>
          <t>South</t>
        </is>
      </c>
    </row>
    <row r="337">
      <c r="A337" s="2" t="inlineStr">
        <is>
          <t>C0067</t>
        </is>
      </c>
      <c r="B337" s="2" t="inlineStr">
        <is>
          <t>Telangana</t>
        </is>
      </c>
      <c r="C337" s="2" t="inlineStr">
        <is>
          <t>Warangal</t>
        </is>
      </c>
      <c r="D337" s="2" t="inlineStr">
        <is>
          <t>South</t>
        </is>
      </c>
    </row>
    <row r="338">
      <c r="A338" s="2" t="inlineStr">
        <is>
          <t>C0067</t>
        </is>
      </c>
      <c r="B338" s="2" t="inlineStr">
        <is>
          <t>Punjab</t>
        </is>
      </c>
      <c r="C338" s="2" t="inlineStr">
        <is>
          <t>Amritsar</t>
        </is>
      </c>
      <c r="D338" s="2" t="inlineStr">
        <is>
          <t>North</t>
        </is>
      </c>
    </row>
    <row r="339">
      <c r="A339" s="2" t="inlineStr">
        <is>
          <t>C0067</t>
        </is>
      </c>
      <c r="B339" s="2" t="inlineStr">
        <is>
          <t>Maharashtra</t>
        </is>
      </c>
      <c r="C339" s="2" t="inlineStr">
        <is>
          <t>Thane</t>
        </is>
      </c>
      <c r="D339" s="2" t="inlineStr">
        <is>
          <t>West</t>
        </is>
      </c>
    </row>
    <row r="340">
      <c r="A340" s="2" t="inlineStr">
        <is>
          <t>C0068</t>
        </is>
      </c>
      <c r="B340" s="2" t="inlineStr">
        <is>
          <t>Goa</t>
        </is>
      </c>
      <c r="C340" s="2" t="inlineStr">
        <is>
          <t>Margao</t>
        </is>
      </c>
      <c r="D340" s="2" t="inlineStr">
        <is>
          <t>West</t>
        </is>
      </c>
    </row>
    <row r="341">
      <c r="A341" s="2" t="inlineStr">
        <is>
          <t>C0069</t>
        </is>
      </c>
      <c r="B341" s="2" t="inlineStr">
        <is>
          <t>Goa</t>
        </is>
      </c>
      <c r="C341" s="2" t="inlineStr">
        <is>
          <t>Panaji</t>
        </is>
      </c>
      <c r="D341" s="2" t="inlineStr">
        <is>
          <t>West</t>
        </is>
      </c>
    </row>
    <row r="342">
      <c r="A342" s="2" t="inlineStr">
        <is>
          <t>C0069</t>
        </is>
      </c>
      <c r="B342" s="2" t="inlineStr">
        <is>
          <t>Delhi</t>
        </is>
      </c>
      <c r="C342" s="2" t="inlineStr">
        <is>
          <t>New Delhi</t>
        </is>
      </c>
      <c r="D342" s="2" t="inlineStr">
        <is>
          <t>North</t>
        </is>
      </c>
    </row>
    <row r="343">
      <c r="A343" s="2" t="inlineStr">
        <is>
          <t>C0069</t>
        </is>
      </c>
      <c r="B343" s="2" t="inlineStr">
        <is>
          <t>West Bengal</t>
        </is>
      </c>
      <c r="C343" s="2" t="inlineStr">
        <is>
          <t>Durgapur</t>
        </is>
      </c>
      <c r="D343" s="2" t="inlineStr">
        <is>
          <t>East</t>
        </is>
      </c>
    </row>
    <row r="344">
      <c r="A344" s="2" t="inlineStr">
        <is>
          <t>C0070</t>
        </is>
      </c>
      <c r="B344" s="2" t="inlineStr">
        <is>
          <t>West Bengal</t>
        </is>
      </c>
      <c r="C344" s="2" t="inlineStr">
        <is>
          <t>Durgapur</t>
        </is>
      </c>
      <c r="D344" s="2" t="inlineStr">
        <is>
          <t>East</t>
        </is>
      </c>
    </row>
    <row r="345">
      <c r="A345" s="2" t="inlineStr">
        <is>
          <t>C0071</t>
        </is>
      </c>
      <c r="B345" s="2" t="inlineStr">
        <is>
          <t>Tamil Nadu</t>
        </is>
      </c>
      <c r="C345" s="2" t="inlineStr">
        <is>
          <t>Coimbatore</t>
        </is>
      </c>
      <c r="D345" s="2" t="inlineStr">
        <is>
          <t>South</t>
        </is>
      </c>
    </row>
    <row r="346">
      <c r="A346" s="2" t="inlineStr">
        <is>
          <t>C0071</t>
        </is>
      </c>
      <c r="B346" s="2" t="inlineStr">
        <is>
          <t>Uttar Pradesh</t>
        </is>
      </c>
      <c r="C346" s="2" t="inlineStr">
        <is>
          <t>Noida</t>
        </is>
      </c>
      <c r="D346" s="2" t="inlineStr">
        <is>
          <t>North</t>
        </is>
      </c>
    </row>
    <row r="347">
      <c r="A347" s="2" t="inlineStr">
        <is>
          <t>C0071</t>
        </is>
      </c>
      <c r="B347" s="2" t="inlineStr">
        <is>
          <t>Maharashtra</t>
        </is>
      </c>
      <c r="C347" s="2" t="inlineStr">
        <is>
          <t>Mumbai</t>
        </is>
      </c>
      <c r="D347" s="2" t="inlineStr">
        <is>
          <t>West</t>
        </is>
      </c>
    </row>
    <row r="348">
      <c r="A348" s="2" t="inlineStr">
        <is>
          <t>C0071</t>
        </is>
      </c>
      <c r="B348" s="2" t="inlineStr">
        <is>
          <t>Karnataka</t>
        </is>
      </c>
      <c r="C348" s="2" t="inlineStr">
        <is>
          <t>Mysuru</t>
        </is>
      </c>
      <c r="D348" s="2" t="inlineStr">
        <is>
          <t>South</t>
        </is>
      </c>
    </row>
    <row r="349">
      <c r="A349" s="2" t="inlineStr">
        <is>
          <t>C0072</t>
        </is>
      </c>
      <c r="B349" s="2" t="inlineStr">
        <is>
          <t>Goa</t>
        </is>
      </c>
      <c r="C349" s="2" t="inlineStr">
        <is>
          <t>Panaji</t>
        </is>
      </c>
      <c r="D349" s="2" t="inlineStr">
        <is>
          <t>West</t>
        </is>
      </c>
    </row>
    <row r="350">
      <c r="A350" s="2" t="inlineStr">
        <is>
          <t>C0073</t>
        </is>
      </c>
      <c r="B350" s="2" t="inlineStr">
        <is>
          <t>Maharashtra</t>
        </is>
      </c>
      <c r="C350" s="2" t="inlineStr">
        <is>
          <t>Nashik</t>
        </is>
      </c>
      <c r="D350" s="2" t="inlineStr">
        <is>
          <t>West</t>
        </is>
      </c>
    </row>
    <row r="351">
      <c r="A351" s="2" t="inlineStr">
        <is>
          <t>C0073</t>
        </is>
      </c>
      <c r="B351" s="2" t="inlineStr">
        <is>
          <t>Gujarat</t>
        </is>
      </c>
      <c r="C351" s="2" t="inlineStr">
        <is>
          <t>Ahmedabad</t>
        </is>
      </c>
      <c r="D351" s="2" t="inlineStr">
        <is>
          <t>West</t>
        </is>
      </c>
    </row>
    <row r="352">
      <c r="A352" s="2" t="inlineStr">
        <is>
          <t>C0073</t>
        </is>
      </c>
      <c r="B352" s="2" t="inlineStr">
        <is>
          <t>Punjab</t>
        </is>
      </c>
      <c r="C352" s="2" t="inlineStr">
        <is>
          <t>Ludhiana</t>
        </is>
      </c>
      <c r="D352" s="2" t="inlineStr">
        <is>
          <t>North</t>
        </is>
      </c>
    </row>
    <row r="353">
      <c r="A353" s="2" t="inlineStr">
        <is>
          <t>C0073</t>
        </is>
      </c>
      <c r="B353" s="2" t="inlineStr">
        <is>
          <t>Gujarat</t>
        </is>
      </c>
      <c r="C353" s="2" t="inlineStr">
        <is>
          <t>Vadodara</t>
        </is>
      </c>
      <c r="D353" s="2" t="inlineStr">
        <is>
          <t>West</t>
        </is>
      </c>
    </row>
    <row r="354">
      <c r="A354" s="2" t="inlineStr">
        <is>
          <t>C0073</t>
        </is>
      </c>
      <c r="B354" s="2" t="inlineStr">
        <is>
          <t>Delhi</t>
        </is>
      </c>
      <c r="C354" s="2" t="inlineStr">
        <is>
          <t>New Delhi</t>
        </is>
      </c>
      <c r="D354" s="2" t="inlineStr">
        <is>
          <t>North</t>
        </is>
      </c>
    </row>
    <row r="355">
      <c r="A355" s="2" t="inlineStr">
        <is>
          <t>C0074</t>
        </is>
      </c>
      <c r="B355" s="2" t="inlineStr">
        <is>
          <t>Telangana</t>
        </is>
      </c>
      <c r="C355" s="2" t="inlineStr">
        <is>
          <t>Warangal</t>
        </is>
      </c>
      <c r="D355" s="2" t="inlineStr">
        <is>
          <t>South</t>
        </is>
      </c>
    </row>
    <row r="356">
      <c r="A356" s="2" t="inlineStr">
        <is>
          <t>C0074</t>
        </is>
      </c>
      <c r="B356" s="2" t="inlineStr">
        <is>
          <t>Goa</t>
        </is>
      </c>
      <c r="C356" s="2" t="inlineStr">
        <is>
          <t>Margao</t>
        </is>
      </c>
      <c r="D356" s="2" t="inlineStr">
        <is>
          <t>West</t>
        </is>
      </c>
    </row>
    <row r="357">
      <c r="A357" s="2" t="inlineStr">
        <is>
          <t>C0075</t>
        </is>
      </c>
      <c r="B357" s="2" t="inlineStr">
        <is>
          <t>West Bengal</t>
        </is>
      </c>
      <c r="C357" s="2" t="inlineStr">
        <is>
          <t>Kolkata</t>
        </is>
      </c>
      <c r="D357" s="2" t="inlineStr">
        <is>
          <t>East</t>
        </is>
      </c>
    </row>
    <row r="358">
      <c r="A358" s="2" t="inlineStr">
        <is>
          <t>C0075</t>
        </is>
      </c>
      <c r="B358" s="2" t="inlineStr">
        <is>
          <t>Bihar</t>
        </is>
      </c>
      <c r="C358" s="2" t="inlineStr">
        <is>
          <t>Gaya</t>
        </is>
      </c>
      <c r="D358" s="2" t="inlineStr">
        <is>
          <t>East</t>
        </is>
      </c>
    </row>
    <row r="359">
      <c r="A359" s="2" t="inlineStr">
        <is>
          <t>C0075</t>
        </is>
      </c>
      <c r="B359" s="2" t="inlineStr">
        <is>
          <t>Kerala</t>
        </is>
      </c>
      <c r="C359" s="2" t="inlineStr">
        <is>
          <t>Kochi</t>
        </is>
      </c>
      <c r="D359" s="2" t="inlineStr">
        <is>
          <t>South</t>
        </is>
      </c>
    </row>
    <row r="360">
      <c r="A360" s="2" t="inlineStr">
        <is>
          <t>C0076</t>
        </is>
      </c>
      <c r="B360" s="2" t="inlineStr">
        <is>
          <t>Goa</t>
        </is>
      </c>
      <c r="C360" s="2" t="inlineStr">
        <is>
          <t>Margao</t>
        </is>
      </c>
      <c r="D360" s="2" t="inlineStr">
        <is>
          <t>West</t>
        </is>
      </c>
    </row>
    <row r="361">
      <c r="A361" s="2" t="inlineStr">
        <is>
          <t>C0076</t>
        </is>
      </c>
      <c r="B361" s="2" t="inlineStr">
        <is>
          <t>Karnataka</t>
        </is>
      </c>
      <c r="C361" s="2" t="inlineStr">
        <is>
          <t>Bengaluru</t>
        </is>
      </c>
      <c r="D361" s="2" t="inlineStr">
        <is>
          <t>South</t>
        </is>
      </c>
    </row>
    <row r="362">
      <c r="A362" s="2" t="inlineStr">
        <is>
          <t>C0076</t>
        </is>
      </c>
      <c r="B362" s="2" t="inlineStr">
        <is>
          <t>Telangana</t>
        </is>
      </c>
      <c r="C362" s="2" t="inlineStr">
        <is>
          <t>Warangal</t>
        </is>
      </c>
      <c r="D362" s="2" t="inlineStr">
        <is>
          <t>South</t>
        </is>
      </c>
    </row>
    <row r="363">
      <c r="A363" s="2" t="inlineStr">
        <is>
          <t>C0076</t>
        </is>
      </c>
      <c r="B363" s="2" t="inlineStr">
        <is>
          <t>Delhi</t>
        </is>
      </c>
      <c r="C363" s="2" t="inlineStr">
        <is>
          <t>New Delhi</t>
        </is>
      </c>
      <c r="D363" s="2" t="inlineStr">
        <is>
          <t>North</t>
        </is>
      </c>
    </row>
    <row r="364">
      <c r="A364" s="2" t="inlineStr">
        <is>
          <t>C0076</t>
        </is>
      </c>
      <c r="B364" s="2" t="inlineStr">
        <is>
          <t>Uttar Pradesh</t>
        </is>
      </c>
      <c r="C364" s="2" t="inlineStr">
        <is>
          <t>Varanasi</t>
        </is>
      </c>
      <c r="D364" s="2" t="inlineStr">
        <is>
          <t>North</t>
        </is>
      </c>
    </row>
    <row r="365">
      <c r="A365" s="2" t="inlineStr">
        <is>
          <t>C0076</t>
        </is>
      </c>
      <c r="B365" s="2" t="inlineStr">
        <is>
          <t>Goa</t>
        </is>
      </c>
      <c r="C365" s="2" t="inlineStr">
        <is>
          <t>Panaji</t>
        </is>
      </c>
      <c r="D365" s="2" t="inlineStr">
        <is>
          <t>West</t>
        </is>
      </c>
    </row>
    <row r="366">
      <c r="A366" s="2" t="inlineStr">
        <is>
          <t>C0076</t>
        </is>
      </c>
      <c r="B366" s="2" t="inlineStr">
        <is>
          <t>Punjab</t>
        </is>
      </c>
      <c r="C366" s="2" t="inlineStr">
        <is>
          <t>Amritsar</t>
        </is>
      </c>
      <c r="D366" s="2" t="inlineStr">
        <is>
          <t>North</t>
        </is>
      </c>
    </row>
    <row r="367">
      <c r="A367" s="2" t="inlineStr">
        <is>
          <t>C0076</t>
        </is>
      </c>
      <c r="B367" s="2" t="inlineStr">
        <is>
          <t>Bihar</t>
        </is>
      </c>
      <c r="C367" s="2" t="inlineStr">
        <is>
          <t>Gaya</t>
        </is>
      </c>
      <c r="D367" s="2" t="inlineStr">
        <is>
          <t>East</t>
        </is>
      </c>
    </row>
    <row r="368">
      <c r="A368" s="2" t="inlineStr">
        <is>
          <t>C0076</t>
        </is>
      </c>
      <c r="B368" s="2" t="inlineStr">
        <is>
          <t>Haryana</t>
        </is>
      </c>
      <c r="C368" s="2" t="inlineStr">
        <is>
          <t>Faridabad</t>
        </is>
      </c>
      <c r="D368" s="2" t="inlineStr">
        <is>
          <t>North</t>
        </is>
      </c>
    </row>
    <row r="369">
      <c r="A369" s="2" t="inlineStr">
        <is>
          <t>C0076</t>
        </is>
      </c>
      <c r="B369" s="2" t="inlineStr">
        <is>
          <t>Gujarat</t>
        </is>
      </c>
      <c r="C369" s="2" t="inlineStr">
        <is>
          <t>Vadodara</t>
        </is>
      </c>
      <c r="D369" s="2" t="inlineStr">
        <is>
          <t>West</t>
        </is>
      </c>
    </row>
    <row r="370">
      <c r="A370" s="2" t="inlineStr">
        <is>
          <t>C0076</t>
        </is>
      </c>
      <c r="B370" s="2" t="inlineStr">
        <is>
          <t>Punjab</t>
        </is>
      </c>
      <c r="C370" s="2" t="inlineStr">
        <is>
          <t>Jalandhar</t>
        </is>
      </c>
      <c r="D370" s="2" t="inlineStr">
        <is>
          <t>North</t>
        </is>
      </c>
    </row>
    <row r="371">
      <c r="A371" s="2" t="inlineStr">
        <is>
          <t>C0076</t>
        </is>
      </c>
      <c r="B371" s="2" t="inlineStr">
        <is>
          <t>Gujarat</t>
        </is>
      </c>
      <c r="C371" s="2" t="inlineStr">
        <is>
          <t>Ahmedabad</t>
        </is>
      </c>
      <c r="D371" s="2" t="inlineStr">
        <is>
          <t>West</t>
        </is>
      </c>
    </row>
    <row r="372">
      <c r="A372" s="2" t="inlineStr">
        <is>
          <t>C0076</t>
        </is>
      </c>
      <c r="B372" s="2" t="inlineStr">
        <is>
          <t>Gujarat</t>
        </is>
      </c>
      <c r="C372" s="2" t="inlineStr">
        <is>
          <t>Surat</t>
        </is>
      </c>
      <c r="D372" s="2" t="inlineStr">
        <is>
          <t>West</t>
        </is>
      </c>
    </row>
    <row r="373">
      <c r="A373" s="2" t="inlineStr">
        <is>
          <t>C0076</t>
        </is>
      </c>
      <c r="B373" s="2" t="inlineStr">
        <is>
          <t>Punjab</t>
        </is>
      </c>
      <c r="C373" s="2" t="inlineStr">
        <is>
          <t>Ludhiana</t>
        </is>
      </c>
      <c r="D373" s="2" t="inlineStr">
        <is>
          <t>North</t>
        </is>
      </c>
    </row>
    <row r="374">
      <c r="A374" s="2" t="inlineStr">
        <is>
          <t>C0077</t>
        </is>
      </c>
      <c r="B374" s="2" t="inlineStr">
        <is>
          <t>Delhi</t>
        </is>
      </c>
      <c r="C374" s="2" t="inlineStr">
        <is>
          <t>New Delhi</t>
        </is>
      </c>
      <c r="D374" s="2" t="inlineStr">
        <is>
          <t>North</t>
        </is>
      </c>
    </row>
    <row r="375">
      <c r="A375" s="2" t="inlineStr">
        <is>
          <t>C0077</t>
        </is>
      </c>
      <c r="B375" s="2" t="inlineStr">
        <is>
          <t>West Bengal</t>
        </is>
      </c>
      <c r="C375" s="2" t="inlineStr">
        <is>
          <t>Kolkata</t>
        </is>
      </c>
      <c r="D375" s="2" t="inlineStr">
        <is>
          <t>East</t>
        </is>
      </c>
    </row>
    <row r="376">
      <c r="A376" s="2" t="inlineStr">
        <is>
          <t>C0077</t>
        </is>
      </c>
      <c r="B376" s="2" t="inlineStr">
        <is>
          <t>West Bengal</t>
        </is>
      </c>
      <c r="C376" s="2" t="inlineStr">
        <is>
          <t>Durgapur</t>
        </is>
      </c>
      <c r="D376" s="2" t="inlineStr">
        <is>
          <t>East</t>
        </is>
      </c>
    </row>
    <row r="377">
      <c r="A377" s="2" t="inlineStr">
        <is>
          <t>C0077</t>
        </is>
      </c>
      <c r="B377" s="2" t="inlineStr">
        <is>
          <t>Haryana</t>
        </is>
      </c>
      <c r="C377" s="2" t="inlineStr">
        <is>
          <t>Faridabad</t>
        </is>
      </c>
      <c r="D377" s="2" t="inlineStr">
        <is>
          <t>North</t>
        </is>
      </c>
    </row>
    <row r="378">
      <c r="A378" s="2" t="inlineStr">
        <is>
          <t>C0077</t>
        </is>
      </c>
      <c r="B378" s="2" t="inlineStr">
        <is>
          <t>Gujarat</t>
        </is>
      </c>
      <c r="C378" s="2" t="inlineStr">
        <is>
          <t>Vadodara</t>
        </is>
      </c>
      <c r="D378" s="2" t="inlineStr">
        <is>
          <t>West</t>
        </is>
      </c>
    </row>
    <row r="379">
      <c r="A379" s="2" t="inlineStr">
        <is>
          <t>C0077</t>
        </is>
      </c>
      <c r="B379" s="2" t="inlineStr">
        <is>
          <t>Punjab</t>
        </is>
      </c>
      <c r="C379" s="2" t="inlineStr">
        <is>
          <t>Ludhiana</t>
        </is>
      </c>
      <c r="D379" s="2" t="inlineStr">
        <is>
          <t>North</t>
        </is>
      </c>
    </row>
    <row r="380">
      <c r="A380" s="2" t="inlineStr">
        <is>
          <t>C0077</t>
        </is>
      </c>
      <c r="B380" s="2" t="inlineStr">
        <is>
          <t>Goa</t>
        </is>
      </c>
      <c r="C380" s="2" t="inlineStr">
        <is>
          <t>Panaji</t>
        </is>
      </c>
      <c r="D380" s="2" t="inlineStr">
        <is>
          <t>West</t>
        </is>
      </c>
    </row>
    <row r="381">
      <c r="A381" s="2" t="inlineStr">
        <is>
          <t>C0077</t>
        </is>
      </c>
      <c r="B381" s="2" t="inlineStr">
        <is>
          <t>Telangana</t>
        </is>
      </c>
      <c r="C381" s="2" t="inlineStr">
        <is>
          <t>Warangal</t>
        </is>
      </c>
      <c r="D381" s="2" t="inlineStr">
        <is>
          <t>South</t>
        </is>
      </c>
    </row>
    <row r="382">
      <c r="A382" s="2" t="inlineStr">
        <is>
          <t>C0077</t>
        </is>
      </c>
      <c r="B382" s="2" t="inlineStr">
        <is>
          <t>Uttar Pradesh</t>
        </is>
      </c>
      <c r="C382" s="2" t="inlineStr">
        <is>
          <t>Kanpur</t>
        </is>
      </c>
      <c r="D382" s="2" t="inlineStr">
        <is>
          <t>North</t>
        </is>
      </c>
    </row>
    <row r="383">
      <c r="A383" s="2" t="inlineStr">
        <is>
          <t>C0078</t>
        </is>
      </c>
      <c r="B383" s="2" t="inlineStr">
        <is>
          <t>Maharashtra</t>
        </is>
      </c>
      <c r="C383" s="2" t="inlineStr">
        <is>
          <t>Nashik</t>
        </is>
      </c>
      <c r="D383" s="2" t="inlineStr">
        <is>
          <t>West</t>
        </is>
      </c>
    </row>
    <row r="384">
      <c r="A384" s="2" t="inlineStr">
        <is>
          <t>C0078</t>
        </is>
      </c>
      <c r="B384" s="2" t="inlineStr">
        <is>
          <t>Goa</t>
        </is>
      </c>
      <c r="C384" s="2" t="inlineStr">
        <is>
          <t>Margao</t>
        </is>
      </c>
      <c r="D384" s="2" t="inlineStr">
        <is>
          <t>West</t>
        </is>
      </c>
    </row>
    <row r="385">
      <c r="A385" s="2" t="inlineStr">
        <is>
          <t>C0078</t>
        </is>
      </c>
      <c r="B385" s="2" t="inlineStr">
        <is>
          <t>Gujarat</t>
        </is>
      </c>
      <c r="C385" s="2" t="inlineStr">
        <is>
          <t>Surat</t>
        </is>
      </c>
      <c r="D385" s="2" t="inlineStr">
        <is>
          <t>West</t>
        </is>
      </c>
    </row>
    <row r="386">
      <c r="A386" s="2" t="inlineStr">
        <is>
          <t>C0078</t>
        </is>
      </c>
      <c r="B386" s="2" t="inlineStr">
        <is>
          <t>Bihar</t>
        </is>
      </c>
      <c r="C386" s="2" t="inlineStr">
        <is>
          <t>Gaya</t>
        </is>
      </c>
      <c r="D386" s="2" t="inlineStr">
        <is>
          <t>East</t>
        </is>
      </c>
    </row>
    <row r="387">
      <c r="A387" s="2" t="inlineStr">
        <is>
          <t>C0078</t>
        </is>
      </c>
      <c r="B387" s="2" t="inlineStr">
        <is>
          <t>Tamil Nadu</t>
        </is>
      </c>
      <c r="C387" s="2" t="inlineStr">
        <is>
          <t>Chennai</t>
        </is>
      </c>
      <c r="D387" s="2" t="inlineStr">
        <is>
          <t>South</t>
        </is>
      </c>
    </row>
    <row r="388">
      <c r="A388" s="2" t="inlineStr">
        <is>
          <t>C0078</t>
        </is>
      </c>
      <c r="B388" s="2" t="inlineStr">
        <is>
          <t>Telangana</t>
        </is>
      </c>
      <c r="C388" s="2" t="inlineStr">
        <is>
          <t>Warangal</t>
        </is>
      </c>
      <c r="D388" s="2" t="inlineStr">
        <is>
          <t>South</t>
        </is>
      </c>
    </row>
    <row r="389">
      <c r="A389" s="2" t="inlineStr">
        <is>
          <t>C0081</t>
        </is>
      </c>
      <c r="B389" s="2" t="inlineStr">
        <is>
          <t>Goa</t>
        </is>
      </c>
      <c r="C389" s="2" t="inlineStr">
        <is>
          <t>Margao</t>
        </is>
      </c>
      <c r="D389" s="2" t="inlineStr">
        <is>
          <t>West</t>
        </is>
      </c>
    </row>
    <row r="390">
      <c r="A390" s="2" t="inlineStr">
        <is>
          <t>C0081</t>
        </is>
      </c>
      <c r="B390" s="2" t="inlineStr">
        <is>
          <t>Maharashtra</t>
        </is>
      </c>
      <c r="C390" s="2" t="inlineStr">
        <is>
          <t>Nagpur</t>
        </is>
      </c>
      <c r="D390" s="2" t="inlineStr">
        <is>
          <t>West</t>
        </is>
      </c>
    </row>
    <row r="391">
      <c r="A391" s="2" t="inlineStr">
        <is>
          <t>C0081</t>
        </is>
      </c>
      <c r="B391" s="2" t="inlineStr">
        <is>
          <t>Uttar Pradesh</t>
        </is>
      </c>
      <c r="C391" s="2" t="inlineStr">
        <is>
          <t>Varanasi</t>
        </is>
      </c>
      <c r="D391" s="2" t="inlineStr">
        <is>
          <t>North</t>
        </is>
      </c>
    </row>
    <row r="392">
      <c r="A392" s="2" t="inlineStr">
        <is>
          <t>C0081</t>
        </is>
      </c>
      <c r="B392" s="2" t="inlineStr">
        <is>
          <t>West Bengal</t>
        </is>
      </c>
      <c r="C392" s="2" t="inlineStr">
        <is>
          <t>Kolkata</t>
        </is>
      </c>
      <c r="D392" s="2" t="inlineStr">
        <is>
          <t>East</t>
        </is>
      </c>
    </row>
    <row r="393">
      <c r="A393" s="2" t="inlineStr">
        <is>
          <t>C0081</t>
        </is>
      </c>
      <c r="B393" s="2" t="inlineStr">
        <is>
          <t>Goa</t>
        </is>
      </c>
      <c r="C393" s="2" t="inlineStr">
        <is>
          <t>Panaji</t>
        </is>
      </c>
      <c r="D393" s="2" t="inlineStr">
        <is>
          <t>West</t>
        </is>
      </c>
    </row>
    <row r="394">
      <c r="A394" s="2" t="inlineStr">
        <is>
          <t>C0081</t>
        </is>
      </c>
      <c r="B394" s="2" t="inlineStr">
        <is>
          <t>Telangana</t>
        </is>
      </c>
      <c r="C394" s="2" t="inlineStr">
        <is>
          <t>Warangal</t>
        </is>
      </c>
      <c r="D394" s="2" t="inlineStr">
        <is>
          <t>South</t>
        </is>
      </c>
    </row>
    <row r="395">
      <c r="A395" s="2" t="inlineStr">
        <is>
          <t>C0082</t>
        </is>
      </c>
      <c r="B395" s="2" t="inlineStr">
        <is>
          <t>Telangana</t>
        </is>
      </c>
      <c r="C395" s="2" t="inlineStr">
        <is>
          <t>Hyderabad</t>
        </is>
      </c>
      <c r="D395" s="2" t="inlineStr">
        <is>
          <t>South</t>
        </is>
      </c>
    </row>
    <row r="396">
      <c r="A396" s="2" t="inlineStr">
        <is>
          <t>C0082</t>
        </is>
      </c>
      <c r="B396" s="2" t="inlineStr">
        <is>
          <t>Odisha</t>
        </is>
      </c>
      <c r="C396" s="2" t="inlineStr">
        <is>
          <t>Bhubaneswar</t>
        </is>
      </c>
      <c r="D396" s="2" t="inlineStr">
        <is>
          <t>East</t>
        </is>
      </c>
    </row>
    <row r="397">
      <c r="A397" s="2" t="inlineStr">
        <is>
          <t>C0082</t>
        </is>
      </c>
      <c r="B397" s="2" t="inlineStr">
        <is>
          <t>Bihar</t>
        </is>
      </c>
      <c r="C397" s="2" t="inlineStr">
        <is>
          <t>Patna</t>
        </is>
      </c>
      <c r="D397" s="2" t="inlineStr">
        <is>
          <t>East</t>
        </is>
      </c>
    </row>
    <row r="398">
      <c r="A398" s="2" t="inlineStr">
        <is>
          <t>C0082</t>
        </is>
      </c>
      <c r="B398" s="2" t="inlineStr">
        <is>
          <t>Delhi</t>
        </is>
      </c>
      <c r="C398" s="2" t="inlineStr">
        <is>
          <t>New Delhi</t>
        </is>
      </c>
      <c r="D398" s="2" t="inlineStr">
        <is>
          <t>North</t>
        </is>
      </c>
    </row>
    <row r="399">
      <c r="A399" s="2" t="inlineStr">
        <is>
          <t>C0083</t>
        </is>
      </c>
      <c r="B399" s="2" t="inlineStr">
        <is>
          <t>West Bengal</t>
        </is>
      </c>
      <c r="C399" s="2" t="inlineStr">
        <is>
          <t>Kolkata</t>
        </is>
      </c>
      <c r="D399" s="2" t="inlineStr">
        <is>
          <t>East</t>
        </is>
      </c>
    </row>
    <row r="400">
      <c r="A400" s="2" t="inlineStr">
        <is>
          <t>C0084</t>
        </is>
      </c>
      <c r="B400" s="2" t="inlineStr">
        <is>
          <t>Kerala</t>
        </is>
      </c>
      <c r="C400" s="2" t="inlineStr">
        <is>
          <t>Kochi</t>
        </is>
      </c>
      <c r="D400" s="2" t="inlineStr">
        <is>
          <t>South</t>
        </is>
      </c>
    </row>
    <row r="401">
      <c r="A401" s="2" t="inlineStr">
        <is>
          <t>C0084</t>
        </is>
      </c>
      <c r="B401" s="2" t="inlineStr">
        <is>
          <t>Bihar</t>
        </is>
      </c>
      <c r="C401" s="2" t="inlineStr">
        <is>
          <t>Gaya</t>
        </is>
      </c>
      <c r="D401" s="2" t="inlineStr">
        <is>
          <t>East</t>
        </is>
      </c>
    </row>
    <row r="402">
      <c r="A402" s="2" t="inlineStr">
        <is>
          <t>C0084</t>
        </is>
      </c>
      <c r="B402" s="2" t="inlineStr">
        <is>
          <t>Tamil Nadu</t>
        </is>
      </c>
      <c r="C402" s="2" t="inlineStr">
        <is>
          <t>Madurai</t>
        </is>
      </c>
      <c r="D402" s="2" t="inlineStr">
        <is>
          <t>South</t>
        </is>
      </c>
    </row>
    <row r="403">
      <c r="A403" s="2" t="inlineStr">
        <is>
          <t>C0085</t>
        </is>
      </c>
      <c r="B403" s="2" t="inlineStr">
        <is>
          <t>Goa</t>
        </is>
      </c>
      <c r="C403" s="2" t="inlineStr">
        <is>
          <t>Panaji</t>
        </is>
      </c>
      <c r="D403" s="2" t="inlineStr">
        <is>
          <t>West</t>
        </is>
      </c>
    </row>
    <row r="404">
      <c r="A404" s="2" t="inlineStr">
        <is>
          <t>C0085</t>
        </is>
      </c>
      <c r="B404" s="2" t="inlineStr">
        <is>
          <t>Kerala</t>
        </is>
      </c>
      <c r="C404" s="2" t="inlineStr">
        <is>
          <t>Thiruvananthapuram</t>
        </is>
      </c>
      <c r="D404" s="2" t="inlineStr">
        <is>
          <t>South</t>
        </is>
      </c>
    </row>
    <row r="405">
      <c r="A405" s="2" t="inlineStr">
        <is>
          <t>C0085</t>
        </is>
      </c>
      <c r="B405" s="2" t="inlineStr">
        <is>
          <t>Gujarat</t>
        </is>
      </c>
      <c r="C405" s="2" t="inlineStr">
        <is>
          <t>Ahmedabad</t>
        </is>
      </c>
      <c r="D405" s="2" t="inlineStr">
        <is>
          <t>West</t>
        </is>
      </c>
    </row>
    <row r="406">
      <c r="A406" s="2" t="inlineStr">
        <is>
          <t>C0085</t>
        </is>
      </c>
      <c r="B406" s="2" t="inlineStr">
        <is>
          <t>Maharashtra</t>
        </is>
      </c>
      <c r="C406" s="2" t="inlineStr">
        <is>
          <t>Nashik</t>
        </is>
      </c>
      <c r="D406" s="2" t="inlineStr">
        <is>
          <t>West</t>
        </is>
      </c>
    </row>
    <row r="407">
      <c r="A407" s="2" t="inlineStr">
        <is>
          <t>C0085</t>
        </is>
      </c>
      <c r="B407" s="2" t="inlineStr">
        <is>
          <t>Punjab</t>
        </is>
      </c>
      <c r="C407" s="2" t="inlineStr">
        <is>
          <t>Amritsar</t>
        </is>
      </c>
      <c r="D407" s="2" t="inlineStr">
        <is>
          <t>North</t>
        </is>
      </c>
    </row>
    <row r="408">
      <c r="A408" s="2" t="inlineStr">
        <is>
          <t>C0086</t>
        </is>
      </c>
      <c r="B408" s="2" t="inlineStr">
        <is>
          <t>Telangana</t>
        </is>
      </c>
      <c r="C408" s="2" t="inlineStr">
        <is>
          <t>Hyderabad</t>
        </is>
      </c>
      <c r="D408" s="2" t="inlineStr">
        <is>
          <t>South</t>
        </is>
      </c>
    </row>
    <row r="409">
      <c r="A409" s="2" t="inlineStr">
        <is>
          <t>C0088</t>
        </is>
      </c>
      <c r="B409" s="2" t="inlineStr">
        <is>
          <t>Karnataka</t>
        </is>
      </c>
      <c r="C409" s="2" t="inlineStr">
        <is>
          <t>Mangaluru</t>
        </is>
      </c>
      <c r="D409" s="2" t="inlineStr">
        <is>
          <t>South</t>
        </is>
      </c>
    </row>
    <row r="410">
      <c r="A410" s="2" t="inlineStr">
        <is>
          <t>C0088</t>
        </is>
      </c>
      <c r="B410" s="2" t="inlineStr">
        <is>
          <t>Tamil Nadu</t>
        </is>
      </c>
      <c r="C410" s="2" t="inlineStr">
        <is>
          <t>Madurai</t>
        </is>
      </c>
      <c r="D410" s="2" t="inlineStr">
        <is>
          <t>South</t>
        </is>
      </c>
    </row>
    <row r="411">
      <c r="A411" s="2" t="inlineStr">
        <is>
          <t>C0088</t>
        </is>
      </c>
      <c r="B411" s="2" t="inlineStr">
        <is>
          <t>Gujarat</t>
        </is>
      </c>
      <c r="C411" s="2" t="inlineStr">
        <is>
          <t>Surat</t>
        </is>
      </c>
      <c r="D411" s="2" t="inlineStr">
        <is>
          <t>West</t>
        </is>
      </c>
    </row>
    <row r="412">
      <c r="A412" s="2" t="inlineStr">
        <is>
          <t>C0088</t>
        </is>
      </c>
      <c r="B412" s="2" t="inlineStr">
        <is>
          <t>Goa</t>
        </is>
      </c>
      <c r="C412" s="2" t="inlineStr">
        <is>
          <t>Margao</t>
        </is>
      </c>
      <c r="D412" s="2" t="inlineStr">
        <is>
          <t>West</t>
        </is>
      </c>
    </row>
    <row r="413">
      <c r="A413" s="2" t="inlineStr">
        <is>
          <t>C0088</t>
        </is>
      </c>
      <c r="B413" s="2" t="inlineStr">
        <is>
          <t>Uttar Pradesh</t>
        </is>
      </c>
      <c r="C413" s="2" t="inlineStr">
        <is>
          <t>Kanpur</t>
        </is>
      </c>
      <c r="D413" s="2" t="inlineStr">
        <is>
          <t>North</t>
        </is>
      </c>
    </row>
    <row r="414">
      <c r="A414" s="2" t="inlineStr">
        <is>
          <t>C0088</t>
        </is>
      </c>
      <c r="B414" s="2" t="inlineStr">
        <is>
          <t>Uttar Pradesh</t>
        </is>
      </c>
      <c r="C414" s="2" t="inlineStr">
        <is>
          <t>Lucknow</t>
        </is>
      </c>
      <c r="D414" s="2" t="inlineStr">
        <is>
          <t>North</t>
        </is>
      </c>
    </row>
    <row r="415">
      <c r="A415" s="2" t="inlineStr">
        <is>
          <t>C0088</t>
        </is>
      </c>
      <c r="B415" s="2" t="inlineStr">
        <is>
          <t>Delhi</t>
        </is>
      </c>
      <c r="C415" s="2" t="inlineStr">
        <is>
          <t>New Delhi</t>
        </is>
      </c>
      <c r="D415" s="2" t="inlineStr">
        <is>
          <t>North</t>
        </is>
      </c>
    </row>
    <row r="416">
      <c r="A416" s="2" t="inlineStr">
        <is>
          <t>C0088</t>
        </is>
      </c>
      <c r="B416" s="2" t="inlineStr">
        <is>
          <t>Gujarat</t>
        </is>
      </c>
      <c r="C416" s="2" t="inlineStr">
        <is>
          <t>Vadodara</t>
        </is>
      </c>
      <c r="D416" s="2" t="inlineStr">
        <is>
          <t>West</t>
        </is>
      </c>
    </row>
    <row r="417">
      <c r="A417" s="2" t="inlineStr">
        <is>
          <t>C0088</t>
        </is>
      </c>
      <c r="B417" s="2" t="inlineStr">
        <is>
          <t>Haryana</t>
        </is>
      </c>
      <c r="C417" s="2" t="inlineStr">
        <is>
          <t>Gurugram</t>
        </is>
      </c>
      <c r="D417" s="2" t="inlineStr">
        <is>
          <t>North</t>
        </is>
      </c>
    </row>
    <row r="418">
      <c r="A418" s="2" t="inlineStr">
        <is>
          <t>C0089</t>
        </is>
      </c>
      <c r="B418" s="2" t="inlineStr">
        <is>
          <t>Telangana</t>
        </is>
      </c>
      <c r="C418" s="2" t="inlineStr">
        <is>
          <t>Hyderabad</t>
        </is>
      </c>
      <c r="D418" s="2" t="inlineStr">
        <is>
          <t>South</t>
        </is>
      </c>
    </row>
    <row r="419">
      <c r="A419" s="2" t="inlineStr">
        <is>
          <t>C0090</t>
        </is>
      </c>
      <c r="B419" s="2" t="inlineStr">
        <is>
          <t>Tamil Nadu</t>
        </is>
      </c>
      <c r="C419" s="2" t="inlineStr">
        <is>
          <t>Coimbatore</t>
        </is>
      </c>
      <c r="D419" s="2" t="inlineStr">
        <is>
          <t>South</t>
        </is>
      </c>
    </row>
    <row r="420">
      <c r="A420" s="2" t="inlineStr">
        <is>
          <t>C0090</t>
        </is>
      </c>
      <c r="B420" s="2" t="inlineStr">
        <is>
          <t>Goa</t>
        </is>
      </c>
      <c r="C420" s="2" t="inlineStr">
        <is>
          <t>Margao</t>
        </is>
      </c>
      <c r="D420" s="2" t="inlineStr">
        <is>
          <t>West</t>
        </is>
      </c>
    </row>
    <row r="421">
      <c r="A421" s="2" t="inlineStr">
        <is>
          <t>C0090</t>
        </is>
      </c>
      <c r="B421" s="2" t="inlineStr">
        <is>
          <t>Maharashtra</t>
        </is>
      </c>
      <c r="C421" s="2" t="inlineStr">
        <is>
          <t>Nashik</t>
        </is>
      </c>
      <c r="D421" s="2" t="inlineStr">
        <is>
          <t>West</t>
        </is>
      </c>
    </row>
    <row r="422">
      <c r="A422" s="2" t="inlineStr">
        <is>
          <t>C0091</t>
        </is>
      </c>
      <c r="B422" s="2" t="inlineStr">
        <is>
          <t>Odisha</t>
        </is>
      </c>
      <c r="C422" s="2" t="inlineStr">
        <is>
          <t>Bhubaneswar</t>
        </is>
      </c>
      <c r="D422" s="2" t="inlineStr">
        <is>
          <t>East</t>
        </is>
      </c>
    </row>
    <row r="423">
      <c r="A423" s="2" t="inlineStr">
        <is>
          <t>C0092</t>
        </is>
      </c>
      <c r="B423" s="2" t="inlineStr">
        <is>
          <t>Karnataka</t>
        </is>
      </c>
      <c r="C423" s="2" t="inlineStr">
        <is>
          <t>Mangaluru</t>
        </is>
      </c>
      <c r="D423" s="2" t="inlineStr">
        <is>
          <t>South</t>
        </is>
      </c>
    </row>
    <row r="424">
      <c r="A424" s="2" t="inlineStr">
        <is>
          <t>C0092</t>
        </is>
      </c>
      <c r="B424" s="2" t="inlineStr">
        <is>
          <t>Gujarat</t>
        </is>
      </c>
      <c r="C424" s="2" t="inlineStr">
        <is>
          <t>Ahmedabad</t>
        </is>
      </c>
      <c r="D424" s="2" t="inlineStr">
        <is>
          <t>West</t>
        </is>
      </c>
    </row>
    <row r="425">
      <c r="A425" s="2" t="inlineStr">
        <is>
          <t>C0092</t>
        </is>
      </c>
      <c r="B425" s="2" t="inlineStr">
        <is>
          <t>Haryana</t>
        </is>
      </c>
      <c r="C425" s="2" t="inlineStr">
        <is>
          <t>Gurugram</t>
        </is>
      </c>
      <c r="D425" s="2" t="inlineStr">
        <is>
          <t>North</t>
        </is>
      </c>
    </row>
    <row r="426">
      <c r="A426" s="2" t="inlineStr">
        <is>
          <t>C0092</t>
        </is>
      </c>
      <c r="B426" s="2" t="inlineStr">
        <is>
          <t>Maharashtra</t>
        </is>
      </c>
      <c r="C426" s="2" t="inlineStr">
        <is>
          <t>Mumbai</t>
        </is>
      </c>
      <c r="D426" s="2" t="inlineStr">
        <is>
          <t>West</t>
        </is>
      </c>
    </row>
    <row r="427">
      <c r="A427" s="2" t="inlineStr">
        <is>
          <t>C0092</t>
        </is>
      </c>
      <c r="B427" s="2" t="inlineStr">
        <is>
          <t>Goa</t>
        </is>
      </c>
      <c r="C427" s="2" t="inlineStr">
        <is>
          <t>Margao</t>
        </is>
      </c>
      <c r="D427" s="2" t="inlineStr">
        <is>
          <t>West</t>
        </is>
      </c>
    </row>
    <row r="428">
      <c r="A428" s="2" t="inlineStr">
        <is>
          <t>C0093</t>
        </is>
      </c>
      <c r="B428" s="2" t="inlineStr">
        <is>
          <t>Gujarat</t>
        </is>
      </c>
      <c r="C428" s="2" t="inlineStr">
        <is>
          <t>Ahmedabad</t>
        </is>
      </c>
      <c r="D428" s="2" t="inlineStr">
        <is>
          <t>West</t>
        </is>
      </c>
    </row>
    <row r="429">
      <c r="A429" s="2" t="inlineStr">
        <is>
          <t>C0093</t>
        </is>
      </c>
      <c r="B429" s="2" t="inlineStr">
        <is>
          <t>Maharashtra</t>
        </is>
      </c>
      <c r="C429" s="2" t="inlineStr">
        <is>
          <t>Nashik</t>
        </is>
      </c>
      <c r="D429" s="2" t="inlineStr">
        <is>
          <t>West</t>
        </is>
      </c>
    </row>
    <row r="430">
      <c r="A430" s="2" t="inlineStr">
        <is>
          <t>C0093</t>
        </is>
      </c>
      <c r="B430" s="2" t="inlineStr">
        <is>
          <t>Delhi</t>
        </is>
      </c>
      <c r="C430" s="2" t="inlineStr">
        <is>
          <t>New Delhi</t>
        </is>
      </c>
      <c r="D430" s="2" t="inlineStr">
        <is>
          <t>North</t>
        </is>
      </c>
    </row>
    <row r="431">
      <c r="A431" s="2" t="inlineStr">
        <is>
          <t>C0093</t>
        </is>
      </c>
      <c r="B431" s="2" t="inlineStr">
        <is>
          <t>Goa</t>
        </is>
      </c>
      <c r="C431" s="2" t="inlineStr">
        <is>
          <t>Margao</t>
        </is>
      </c>
      <c r="D431" s="2" t="inlineStr">
        <is>
          <t>West</t>
        </is>
      </c>
    </row>
    <row r="432">
      <c r="A432" s="2" t="inlineStr">
        <is>
          <t>C0093</t>
        </is>
      </c>
      <c r="B432" s="2" t="inlineStr">
        <is>
          <t>Haryana</t>
        </is>
      </c>
      <c r="C432" s="2" t="inlineStr">
        <is>
          <t>Gurugram</t>
        </is>
      </c>
      <c r="D432" s="2" t="inlineStr">
        <is>
          <t>North</t>
        </is>
      </c>
    </row>
    <row r="433">
      <c r="A433" s="2" t="inlineStr">
        <is>
          <t>C0094</t>
        </is>
      </c>
      <c r="B433" s="2" t="inlineStr">
        <is>
          <t>Gujarat</t>
        </is>
      </c>
      <c r="C433" s="2" t="inlineStr">
        <is>
          <t>Surat</t>
        </is>
      </c>
      <c r="D433" s="2" t="inlineStr">
        <is>
          <t>West</t>
        </is>
      </c>
    </row>
    <row r="434">
      <c r="A434" s="2" t="inlineStr">
        <is>
          <t>C0095</t>
        </is>
      </c>
      <c r="B434" s="2" t="inlineStr">
        <is>
          <t>Haryana</t>
        </is>
      </c>
      <c r="C434" s="2" t="inlineStr">
        <is>
          <t>Gurugram</t>
        </is>
      </c>
      <c r="D434" s="2" t="inlineStr">
        <is>
          <t>North</t>
        </is>
      </c>
    </row>
    <row r="435">
      <c r="A435" s="2" t="inlineStr">
        <is>
          <t>C0095</t>
        </is>
      </c>
      <c r="B435" s="2" t="inlineStr">
        <is>
          <t>Gujarat</t>
        </is>
      </c>
      <c r="C435" s="2" t="inlineStr">
        <is>
          <t>Vadodara</t>
        </is>
      </c>
      <c r="D435" s="2" t="inlineStr">
        <is>
          <t>West</t>
        </is>
      </c>
    </row>
    <row r="436">
      <c r="A436" s="2" t="inlineStr">
        <is>
          <t>C0095</t>
        </is>
      </c>
      <c r="B436" s="2" t="inlineStr">
        <is>
          <t>Telangana</t>
        </is>
      </c>
      <c r="C436" s="2" t="inlineStr">
        <is>
          <t>Warangal</t>
        </is>
      </c>
      <c r="D436" s="2" t="inlineStr">
        <is>
          <t>South</t>
        </is>
      </c>
    </row>
    <row r="437">
      <c r="A437" s="2" t="inlineStr">
        <is>
          <t>C0095</t>
        </is>
      </c>
      <c r="B437" s="2" t="inlineStr">
        <is>
          <t>Goa</t>
        </is>
      </c>
      <c r="C437" s="2" t="inlineStr">
        <is>
          <t>Panaji</t>
        </is>
      </c>
      <c r="D437" s="2" t="inlineStr">
        <is>
          <t>West</t>
        </is>
      </c>
    </row>
    <row r="438">
      <c r="A438" s="2" t="inlineStr">
        <is>
          <t>C0095</t>
        </is>
      </c>
      <c r="B438" s="2" t="inlineStr">
        <is>
          <t>Odisha</t>
        </is>
      </c>
      <c r="C438" s="2" t="inlineStr">
        <is>
          <t>Cuttack</t>
        </is>
      </c>
      <c r="D438" s="2" t="inlineStr">
        <is>
          <t>East</t>
        </is>
      </c>
    </row>
    <row r="439">
      <c r="A439" s="2" t="inlineStr">
        <is>
          <t>C0095</t>
        </is>
      </c>
      <c r="B439" s="2" t="inlineStr">
        <is>
          <t>Bihar</t>
        </is>
      </c>
      <c r="C439" s="2" t="inlineStr">
        <is>
          <t>Patna</t>
        </is>
      </c>
      <c r="D439" s="2" t="inlineStr">
        <is>
          <t>East</t>
        </is>
      </c>
    </row>
    <row r="440">
      <c r="A440" s="2" t="inlineStr">
        <is>
          <t>C0095</t>
        </is>
      </c>
      <c r="B440" s="2" t="inlineStr">
        <is>
          <t>West Bengal</t>
        </is>
      </c>
      <c r="C440" s="2" t="inlineStr">
        <is>
          <t>Durgapur</t>
        </is>
      </c>
      <c r="D440" s="2" t="inlineStr">
        <is>
          <t>East</t>
        </is>
      </c>
    </row>
    <row r="441">
      <c r="A441" s="2" t="inlineStr">
        <is>
          <t>C0095</t>
        </is>
      </c>
      <c r="B441" s="2" t="inlineStr">
        <is>
          <t>Uttar Pradesh</t>
        </is>
      </c>
      <c r="C441" s="2" t="inlineStr">
        <is>
          <t>Kanpur</t>
        </is>
      </c>
      <c r="D441" s="2" t="inlineStr">
        <is>
          <t>North</t>
        </is>
      </c>
    </row>
    <row r="442">
      <c r="A442" s="2" t="inlineStr">
        <is>
          <t>C0095</t>
        </is>
      </c>
      <c r="B442" s="2" t="inlineStr">
        <is>
          <t>Uttar Pradesh</t>
        </is>
      </c>
      <c r="C442" s="2" t="inlineStr">
        <is>
          <t>Noida</t>
        </is>
      </c>
      <c r="D442" s="2" t="inlineStr">
        <is>
          <t>North</t>
        </is>
      </c>
    </row>
    <row r="443">
      <c r="A443" s="2" t="inlineStr">
        <is>
          <t>C0096</t>
        </is>
      </c>
      <c r="B443" s="2" t="inlineStr">
        <is>
          <t>Gujarat</t>
        </is>
      </c>
      <c r="C443" s="2" t="inlineStr">
        <is>
          <t>Surat</t>
        </is>
      </c>
      <c r="D443" s="2" t="inlineStr">
        <is>
          <t>West</t>
        </is>
      </c>
    </row>
    <row r="444">
      <c r="A444" s="2" t="inlineStr">
        <is>
          <t>C0096</t>
        </is>
      </c>
      <c r="B444" s="2" t="inlineStr">
        <is>
          <t>Haryana</t>
        </is>
      </c>
      <c r="C444" s="2" t="inlineStr">
        <is>
          <t>Faridabad</t>
        </is>
      </c>
      <c r="D444" s="2" t="inlineStr">
        <is>
          <t>North</t>
        </is>
      </c>
    </row>
    <row r="445">
      <c r="A445" s="2" t="inlineStr">
        <is>
          <t>C0096</t>
        </is>
      </c>
      <c r="B445" s="2" t="inlineStr">
        <is>
          <t>Karnataka</t>
        </is>
      </c>
      <c r="C445" s="2" t="inlineStr">
        <is>
          <t>Mysuru</t>
        </is>
      </c>
      <c r="D445" s="2" t="inlineStr">
        <is>
          <t>South</t>
        </is>
      </c>
    </row>
    <row r="446">
      <c r="A446" s="2" t="inlineStr">
        <is>
          <t>C0096</t>
        </is>
      </c>
      <c r="B446" s="2" t="inlineStr">
        <is>
          <t>Gujarat</t>
        </is>
      </c>
      <c r="C446" s="2" t="inlineStr">
        <is>
          <t>Ahmedabad</t>
        </is>
      </c>
      <c r="D446" s="2" t="inlineStr">
        <is>
          <t>West</t>
        </is>
      </c>
    </row>
    <row r="447">
      <c r="A447" s="2" t="inlineStr">
        <is>
          <t>C0096</t>
        </is>
      </c>
      <c r="B447" s="2" t="inlineStr">
        <is>
          <t>Maharashtra</t>
        </is>
      </c>
      <c r="C447" s="2" t="inlineStr">
        <is>
          <t>Nagpur</t>
        </is>
      </c>
      <c r="D447" s="2" t="inlineStr">
        <is>
          <t>West</t>
        </is>
      </c>
    </row>
    <row r="448">
      <c r="A448" s="2" t="inlineStr">
        <is>
          <t>C0096</t>
        </is>
      </c>
      <c r="B448" s="2" t="inlineStr">
        <is>
          <t>Uttar Pradesh</t>
        </is>
      </c>
      <c r="C448" s="2" t="inlineStr">
        <is>
          <t>Lucknow</t>
        </is>
      </c>
      <c r="D448" s="2" t="inlineStr">
        <is>
          <t>North</t>
        </is>
      </c>
    </row>
    <row r="449">
      <c r="A449" s="2" t="inlineStr">
        <is>
          <t>C0096</t>
        </is>
      </c>
      <c r="B449" s="2" t="inlineStr">
        <is>
          <t>Telangana</t>
        </is>
      </c>
      <c r="C449" s="2" t="inlineStr">
        <is>
          <t>Warangal</t>
        </is>
      </c>
      <c r="D449" s="2" t="inlineStr">
        <is>
          <t>South</t>
        </is>
      </c>
    </row>
    <row r="450">
      <c r="A450" s="2" t="inlineStr">
        <is>
          <t>C0097</t>
        </is>
      </c>
      <c r="B450" s="2" t="inlineStr">
        <is>
          <t>Punjab</t>
        </is>
      </c>
      <c r="C450" s="2" t="inlineStr">
        <is>
          <t>Jalandhar</t>
        </is>
      </c>
      <c r="D450" s="2" t="inlineStr">
        <is>
          <t>North</t>
        </is>
      </c>
    </row>
    <row r="451">
      <c r="A451" s="2" t="inlineStr">
        <is>
          <t>C0097</t>
        </is>
      </c>
      <c r="B451" s="2" t="inlineStr">
        <is>
          <t>Maharashtra</t>
        </is>
      </c>
      <c r="C451" s="2" t="inlineStr">
        <is>
          <t>Thane</t>
        </is>
      </c>
      <c r="D451" s="2" t="inlineStr">
        <is>
          <t>West</t>
        </is>
      </c>
    </row>
    <row r="452">
      <c r="A452" s="2" t="inlineStr">
        <is>
          <t>C0097</t>
        </is>
      </c>
      <c r="B452" s="2" t="inlineStr">
        <is>
          <t>Bihar</t>
        </is>
      </c>
      <c r="C452" s="2" t="inlineStr">
        <is>
          <t>Gaya</t>
        </is>
      </c>
      <c r="D452" s="2" t="inlineStr">
        <is>
          <t>East</t>
        </is>
      </c>
    </row>
    <row r="453">
      <c r="A453" s="2" t="inlineStr">
        <is>
          <t>C0098</t>
        </is>
      </c>
      <c r="B453" s="2" t="inlineStr">
        <is>
          <t>Karnataka</t>
        </is>
      </c>
      <c r="C453" s="2" t="inlineStr">
        <is>
          <t>Bengaluru</t>
        </is>
      </c>
      <c r="D453" s="2" t="inlineStr">
        <is>
          <t>South</t>
        </is>
      </c>
    </row>
    <row r="454">
      <c r="A454" s="2" t="inlineStr">
        <is>
          <t>C0098</t>
        </is>
      </c>
      <c r="B454" s="2" t="inlineStr">
        <is>
          <t>West Bengal</t>
        </is>
      </c>
      <c r="C454" s="2" t="inlineStr">
        <is>
          <t>Durgapur</t>
        </is>
      </c>
      <c r="D454" s="2" t="inlineStr">
        <is>
          <t>East</t>
        </is>
      </c>
    </row>
    <row r="455">
      <c r="A455" s="2" t="inlineStr">
        <is>
          <t>C0099</t>
        </is>
      </c>
      <c r="B455" s="2" t="inlineStr">
        <is>
          <t>Haryana</t>
        </is>
      </c>
      <c r="C455" s="2" t="inlineStr">
        <is>
          <t>Faridabad</t>
        </is>
      </c>
      <c r="D455" s="2" t="inlineStr">
        <is>
          <t>North</t>
        </is>
      </c>
    </row>
    <row r="456">
      <c r="A456" s="2" t="inlineStr">
        <is>
          <t>C0099</t>
        </is>
      </c>
      <c r="B456" s="2" t="inlineStr">
        <is>
          <t>Maharashtra</t>
        </is>
      </c>
      <c r="C456" s="2" t="inlineStr">
        <is>
          <t>Pune</t>
        </is>
      </c>
      <c r="D456" s="2" t="inlineStr">
        <is>
          <t>West</t>
        </is>
      </c>
    </row>
    <row r="457">
      <c r="A457" s="2" t="inlineStr">
        <is>
          <t>C0099</t>
        </is>
      </c>
      <c r="B457" s="2" t="inlineStr">
        <is>
          <t>Punjab</t>
        </is>
      </c>
      <c r="C457" s="2" t="inlineStr">
        <is>
          <t>Amritsar</t>
        </is>
      </c>
      <c r="D457" s="2" t="inlineStr">
        <is>
          <t>North</t>
        </is>
      </c>
    </row>
    <row r="458">
      <c r="A458" s="2" t="inlineStr">
        <is>
          <t>C0099</t>
        </is>
      </c>
      <c r="B458" s="2" t="inlineStr">
        <is>
          <t>Telangana</t>
        </is>
      </c>
      <c r="C458" s="2" t="inlineStr">
        <is>
          <t>Warangal</t>
        </is>
      </c>
      <c r="D458" s="2" t="inlineStr">
        <is>
          <t>South</t>
        </is>
      </c>
    </row>
    <row r="459">
      <c r="A459" s="2" t="inlineStr">
        <is>
          <t>C0099</t>
        </is>
      </c>
      <c r="B459" s="2" t="inlineStr">
        <is>
          <t>Goa</t>
        </is>
      </c>
      <c r="C459" s="2" t="inlineStr">
        <is>
          <t>Margao</t>
        </is>
      </c>
      <c r="D459" s="2" t="inlineStr">
        <is>
          <t>West</t>
        </is>
      </c>
    </row>
    <row r="460">
      <c r="A460" s="2" t="inlineStr">
        <is>
          <t>C0099</t>
        </is>
      </c>
      <c r="B460" s="2" t="inlineStr">
        <is>
          <t>Gujarat</t>
        </is>
      </c>
      <c r="C460" s="2" t="inlineStr">
        <is>
          <t>Ahmedabad</t>
        </is>
      </c>
      <c r="D460" s="2" t="inlineStr">
        <is>
          <t>West</t>
        </is>
      </c>
    </row>
    <row r="461">
      <c r="A461" s="2" t="inlineStr">
        <is>
          <t>C0100</t>
        </is>
      </c>
      <c r="B461" s="2" t="inlineStr">
        <is>
          <t>Delhi</t>
        </is>
      </c>
      <c r="C461" s="2" t="inlineStr">
        <is>
          <t>New Delhi</t>
        </is>
      </c>
      <c r="D461" s="2" t="inlineStr">
        <is>
          <t>North</t>
        </is>
      </c>
    </row>
    <row r="462">
      <c r="A462" s="2" t="inlineStr">
        <is>
          <t>C0100</t>
        </is>
      </c>
      <c r="B462" s="2" t="inlineStr">
        <is>
          <t>Kerala</t>
        </is>
      </c>
      <c r="C462" s="2" t="inlineStr">
        <is>
          <t>Thiruvananthapuram</t>
        </is>
      </c>
      <c r="D462" s="2" t="inlineStr">
        <is>
          <t>South</t>
        </is>
      </c>
    </row>
    <row r="463">
      <c r="A463" s="2" t="inlineStr">
        <is>
          <t>C0100</t>
        </is>
      </c>
      <c r="B463" s="2" t="inlineStr">
        <is>
          <t>Haryana</t>
        </is>
      </c>
      <c r="C463" s="2" t="inlineStr">
        <is>
          <t>Gurugram</t>
        </is>
      </c>
      <c r="D463" s="2" t="inlineStr">
        <is>
          <t>North</t>
        </is>
      </c>
    </row>
    <row r="464">
      <c r="A464" s="2" t="inlineStr">
        <is>
          <t>C0100</t>
        </is>
      </c>
      <c r="B464" s="2" t="inlineStr">
        <is>
          <t>Goa</t>
        </is>
      </c>
      <c r="C464" s="2" t="inlineStr">
        <is>
          <t>Margao</t>
        </is>
      </c>
      <c r="D464" s="2" t="inlineStr">
        <is>
          <t>West</t>
        </is>
      </c>
    </row>
    <row r="465">
      <c r="A465" s="2" t="inlineStr">
        <is>
          <t>C0100</t>
        </is>
      </c>
      <c r="B465" s="2" t="inlineStr">
        <is>
          <t>Kerala</t>
        </is>
      </c>
      <c r="C465" s="2" t="inlineStr">
        <is>
          <t>Kochi</t>
        </is>
      </c>
      <c r="D465" s="2" t="inlineStr">
        <is>
          <t>South</t>
        </is>
      </c>
    </row>
    <row r="466">
      <c r="A466" s="2" t="inlineStr">
        <is>
          <t>C0100</t>
        </is>
      </c>
      <c r="B466" s="2" t="inlineStr">
        <is>
          <t>Gujarat</t>
        </is>
      </c>
      <c r="C466" s="2" t="inlineStr">
        <is>
          <t>Ahmedabad</t>
        </is>
      </c>
      <c r="D466" s="2" t="inlineStr">
        <is>
          <t>West</t>
        </is>
      </c>
    </row>
    <row r="467">
      <c r="A467" s="2" t="inlineStr">
        <is>
          <t>C0100</t>
        </is>
      </c>
      <c r="B467" s="2" t="inlineStr">
        <is>
          <t>Punjab</t>
        </is>
      </c>
      <c r="C467" s="2" t="inlineStr">
        <is>
          <t>Jalandhar</t>
        </is>
      </c>
      <c r="D467" s="2" t="inlineStr">
        <is>
          <t>North</t>
        </is>
      </c>
    </row>
    <row r="468">
      <c r="A468" s="2" t="inlineStr">
        <is>
          <t>C0100</t>
        </is>
      </c>
      <c r="B468" s="2" t="inlineStr">
        <is>
          <t>Tamil Nadu</t>
        </is>
      </c>
      <c r="C468" s="2" t="inlineStr">
        <is>
          <t>Coimbatore</t>
        </is>
      </c>
      <c r="D468" s="2" t="inlineStr">
        <is>
          <t>South</t>
        </is>
      </c>
    </row>
    <row r="469">
      <c r="A469" s="2" t="inlineStr">
        <is>
          <t>C0100</t>
        </is>
      </c>
      <c r="B469" s="2" t="inlineStr">
        <is>
          <t>Telangana</t>
        </is>
      </c>
      <c r="C469" s="2" t="inlineStr">
        <is>
          <t>Hyderabad</t>
        </is>
      </c>
      <c r="D469" s="2" t="inlineStr">
        <is>
          <t>South</t>
        </is>
      </c>
    </row>
    <row r="470">
      <c r="A470" s="2" t="inlineStr">
        <is>
          <t>C0100</t>
        </is>
      </c>
      <c r="B470" s="2" t="inlineStr">
        <is>
          <t>Karnataka</t>
        </is>
      </c>
      <c r="C470" s="2" t="inlineStr">
        <is>
          <t>Bengaluru</t>
        </is>
      </c>
      <c r="D470" s="2" t="inlineStr">
        <is>
          <t>South</t>
        </is>
      </c>
    </row>
    <row r="471">
      <c r="A471" s="2" t="inlineStr">
        <is>
          <t>C0100</t>
        </is>
      </c>
      <c r="B471" s="2" t="inlineStr">
        <is>
          <t>Gujarat</t>
        </is>
      </c>
      <c r="C471" s="2" t="inlineStr">
        <is>
          <t>Vadodara</t>
        </is>
      </c>
      <c r="D471" s="2" t="inlineStr">
        <is>
          <t>West</t>
        </is>
      </c>
    </row>
    <row r="472">
      <c r="A472" s="2" t="inlineStr">
        <is>
          <t>C0100</t>
        </is>
      </c>
      <c r="B472" s="2" t="inlineStr">
        <is>
          <t>Bihar</t>
        </is>
      </c>
      <c r="C472" s="2" t="inlineStr">
        <is>
          <t>Gaya</t>
        </is>
      </c>
      <c r="D472" s="2" t="inlineStr">
        <is>
          <t>East</t>
        </is>
      </c>
    </row>
    <row r="473">
      <c r="A473" s="2" t="inlineStr">
        <is>
          <t>C0100</t>
        </is>
      </c>
      <c r="B473" s="2" t="inlineStr">
        <is>
          <t>Maharashtra</t>
        </is>
      </c>
      <c r="C473" s="2" t="inlineStr">
        <is>
          <t>Nagpur</t>
        </is>
      </c>
      <c r="D473" s="2" t="inlineStr">
        <is>
          <t>West</t>
        </is>
      </c>
    </row>
    <row r="474">
      <c r="A474" s="2" t="inlineStr">
        <is>
          <t>C0100</t>
        </is>
      </c>
      <c r="B474" s="2" t="inlineStr">
        <is>
          <t>Bihar</t>
        </is>
      </c>
      <c r="C474" s="2" t="inlineStr">
        <is>
          <t>Patna</t>
        </is>
      </c>
      <c r="D474" s="2" t="inlineStr">
        <is>
          <t>East</t>
        </is>
      </c>
    </row>
    <row r="475">
      <c r="A475" s="2" t="inlineStr">
        <is>
          <t>C0100</t>
        </is>
      </c>
      <c r="B475" s="2" t="inlineStr">
        <is>
          <t>Goa</t>
        </is>
      </c>
      <c r="C475" s="2" t="inlineStr">
        <is>
          <t>Panaji</t>
        </is>
      </c>
      <c r="D475" s="2" t="inlineStr">
        <is>
          <t>West</t>
        </is>
      </c>
    </row>
    <row r="476">
      <c r="A476" s="2" t="inlineStr">
        <is>
          <t>C0101</t>
        </is>
      </c>
      <c r="B476" s="2" t="inlineStr">
        <is>
          <t>Karnataka</t>
        </is>
      </c>
      <c r="C476" s="2" t="inlineStr">
        <is>
          <t>Mysuru</t>
        </is>
      </c>
      <c r="D476" s="2" t="inlineStr">
        <is>
          <t>South</t>
        </is>
      </c>
    </row>
    <row r="477">
      <c r="A477" s="2" t="inlineStr">
        <is>
          <t>C0101</t>
        </is>
      </c>
      <c r="B477" s="2" t="inlineStr">
        <is>
          <t>Uttar Pradesh</t>
        </is>
      </c>
      <c r="C477" s="2" t="inlineStr">
        <is>
          <t>Varanasi</t>
        </is>
      </c>
      <c r="D477" s="2" t="inlineStr">
        <is>
          <t>North</t>
        </is>
      </c>
    </row>
    <row r="478">
      <c r="A478" s="2" t="inlineStr">
        <is>
          <t>C0101</t>
        </is>
      </c>
      <c r="B478" s="2" t="inlineStr">
        <is>
          <t>Tamil Nadu</t>
        </is>
      </c>
      <c r="C478" s="2" t="inlineStr">
        <is>
          <t>Madurai</t>
        </is>
      </c>
      <c r="D478" s="2" t="inlineStr">
        <is>
          <t>South</t>
        </is>
      </c>
    </row>
    <row r="479">
      <c r="A479" s="2" t="inlineStr">
        <is>
          <t>C0101</t>
        </is>
      </c>
      <c r="B479" s="2" t="inlineStr">
        <is>
          <t>Tamil Nadu</t>
        </is>
      </c>
      <c r="C479" s="2" t="inlineStr">
        <is>
          <t>Chennai</t>
        </is>
      </c>
      <c r="D479" s="2" t="inlineStr">
        <is>
          <t>South</t>
        </is>
      </c>
    </row>
    <row r="480">
      <c r="A480" s="2" t="inlineStr">
        <is>
          <t>C0101</t>
        </is>
      </c>
      <c r="B480" s="2" t="inlineStr">
        <is>
          <t>Maharashtra</t>
        </is>
      </c>
      <c r="C480" s="2" t="inlineStr">
        <is>
          <t>Nashik</t>
        </is>
      </c>
      <c r="D480" s="2" t="inlineStr">
        <is>
          <t>West</t>
        </is>
      </c>
    </row>
    <row r="481">
      <c r="A481" s="2" t="inlineStr">
        <is>
          <t>C0101</t>
        </is>
      </c>
      <c r="B481" s="2" t="inlineStr">
        <is>
          <t>Telangana</t>
        </is>
      </c>
      <c r="C481" s="2" t="inlineStr">
        <is>
          <t>Warangal</t>
        </is>
      </c>
      <c r="D481" s="2" t="inlineStr">
        <is>
          <t>South</t>
        </is>
      </c>
    </row>
    <row r="482">
      <c r="A482" s="2" t="inlineStr">
        <is>
          <t>C0102</t>
        </is>
      </c>
      <c r="B482" s="2" t="inlineStr">
        <is>
          <t>Tamil Nadu</t>
        </is>
      </c>
      <c r="C482" s="2" t="inlineStr">
        <is>
          <t>Coimbatore</t>
        </is>
      </c>
      <c r="D482" s="2" t="inlineStr">
        <is>
          <t>South</t>
        </is>
      </c>
    </row>
    <row r="483">
      <c r="A483" s="2" t="inlineStr">
        <is>
          <t>C0102</t>
        </is>
      </c>
      <c r="B483" s="2" t="inlineStr">
        <is>
          <t>Telangana</t>
        </is>
      </c>
      <c r="C483" s="2" t="inlineStr">
        <is>
          <t>Hyderabad</t>
        </is>
      </c>
      <c r="D483" s="2" t="inlineStr">
        <is>
          <t>South</t>
        </is>
      </c>
    </row>
    <row r="484">
      <c r="A484" s="2" t="inlineStr">
        <is>
          <t>C0102</t>
        </is>
      </c>
      <c r="B484" s="2" t="inlineStr">
        <is>
          <t>Karnataka</t>
        </is>
      </c>
      <c r="C484" s="2" t="inlineStr">
        <is>
          <t>Bengaluru</t>
        </is>
      </c>
      <c r="D484" s="2" t="inlineStr">
        <is>
          <t>South</t>
        </is>
      </c>
    </row>
    <row r="485">
      <c r="A485" s="2" t="inlineStr">
        <is>
          <t>C0102</t>
        </is>
      </c>
      <c r="B485" s="2" t="inlineStr">
        <is>
          <t>Delhi</t>
        </is>
      </c>
      <c r="C485" s="2" t="inlineStr">
        <is>
          <t>New Delhi</t>
        </is>
      </c>
      <c r="D485" s="2" t="inlineStr">
        <is>
          <t>North</t>
        </is>
      </c>
    </row>
    <row r="486">
      <c r="A486" s="2" t="inlineStr">
        <is>
          <t>C0102</t>
        </is>
      </c>
      <c r="B486" s="2" t="inlineStr">
        <is>
          <t>Goa</t>
        </is>
      </c>
      <c r="C486" s="2" t="inlineStr">
        <is>
          <t>Panaji</t>
        </is>
      </c>
      <c r="D486" s="2" t="inlineStr">
        <is>
          <t>West</t>
        </is>
      </c>
    </row>
    <row r="487">
      <c r="A487" s="2" t="inlineStr">
        <is>
          <t>C0102</t>
        </is>
      </c>
      <c r="B487" s="2" t="inlineStr">
        <is>
          <t>Punjab</t>
        </is>
      </c>
      <c r="C487" s="2" t="inlineStr">
        <is>
          <t>Amritsar</t>
        </is>
      </c>
      <c r="D487" s="2" t="inlineStr">
        <is>
          <t>North</t>
        </is>
      </c>
    </row>
    <row r="488">
      <c r="A488" s="2" t="inlineStr">
        <is>
          <t>C0102</t>
        </is>
      </c>
      <c r="B488" s="2" t="inlineStr">
        <is>
          <t>Maharashtra</t>
        </is>
      </c>
      <c r="C488" s="2" t="inlineStr">
        <is>
          <t>Pune</t>
        </is>
      </c>
      <c r="D488" s="2" t="inlineStr">
        <is>
          <t>West</t>
        </is>
      </c>
    </row>
    <row r="489">
      <c r="A489" s="2" t="inlineStr">
        <is>
          <t>C0102</t>
        </is>
      </c>
      <c r="B489" s="2" t="inlineStr">
        <is>
          <t>Goa</t>
        </is>
      </c>
      <c r="C489" s="2" t="inlineStr">
        <is>
          <t>Margao</t>
        </is>
      </c>
      <c r="D489" s="2" t="inlineStr">
        <is>
          <t>West</t>
        </is>
      </c>
    </row>
    <row r="490">
      <c r="A490" s="2" t="inlineStr">
        <is>
          <t>C0103</t>
        </is>
      </c>
      <c r="B490" s="2" t="inlineStr">
        <is>
          <t>Karnataka</t>
        </is>
      </c>
      <c r="C490" s="2" t="inlineStr">
        <is>
          <t>Bengaluru</t>
        </is>
      </c>
      <c r="D490" s="2" t="inlineStr">
        <is>
          <t>South</t>
        </is>
      </c>
    </row>
    <row r="491">
      <c r="A491" s="2" t="inlineStr">
        <is>
          <t>C0103</t>
        </is>
      </c>
      <c r="B491" s="2" t="inlineStr">
        <is>
          <t>Telangana</t>
        </is>
      </c>
      <c r="C491" s="2" t="inlineStr">
        <is>
          <t>Warangal</t>
        </is>
      </c>
      <c r="D491" s="2" t="inlineStr">
        <is>
          <t>South</t>
        </is>
      </c>
    </row>
    <row r="492">
      <c r="A492" s="2" t="inlineStr">
        <is>
          <t>C0103</t>
        </is>
      </c>
      <c r="B492" s="2" t="inlineStr">
        <is>
          <t>Tamil Nadu</t>
        </is>
      </c>
      <c r="C492" s="2" t="inlineStr">
        <is>
          <t>Coimbatore</t>
        </is>
      </c>
      <c r="D492" s="2" t="inlineStr">
        <is>
          <t>South</t>
        </is>
      </c>
    </row>
    <row r="493">
      <c r="A493" s="2" t="inlineStr">
        <is>
          <t>C0103</t>
        </is>
      </c>
      <c r="B493" s="2" t="inlineStr">
        <is>
          <t>Telangana</t>
        </is>
      </c>
      <c r="C493" s="2" t="inlineStr">
        <is>
          <t>Hyderabad</t>
        </is>
      </c>
      <c r="D493" s="2" t="inlineStr">
        <is>
          <t>South</t>
        </is>
      </c>
    </row>
    <row r="494">
      <c r="A494" s="2" t="inlineStr">
        <is>
          <t>C0103</t>
        </is>
      </c>
      <c r="B494" s="2" t="inlineStr">
        <is>
          <t>Haryana</t>
        </is>
      </c>
      <c r="C494" s="2" t="inlineStr">
        <is>
          <t>Faridabad</t>
        </is>
      </c>
      <c r="D494" s="2" t="inlineStr">
        <is>
          <t>North</t>
        </is>
      </c>
    </row>
    <row r="495">
      <c r="A495" s="2" t="inlineStr">
        <is>
          <t>C0103</t>
        </is>
      </c>
      <c r="B495" s="2" t="inlineStr">
        <is>
          <t>Kerala</t>
        </is>
      </c>
      <c r="C495" s="2" t="inlineStr">
        <is>
          <t>Kochi</t>
        </is>
      </c>
      <c r="D495" s="2" t="inlineStr">
        <is>
          <t>South</t>
        </is>
      </c>
    </row>
    <row r="496">
      <c r="A496" s="2" t="inlineStr">
        <is>
          <t>C0103</t>
        </is>
      </c>
      <c r="B496" s="2" t="inlineStr">
        <is>
          <t>Haryana</t>
        </is>
      </c>
      <c r="C496" s="2" t="inlineStr">
        <is>
          <t>Gurugram</t>
        </is>
      </c>
      <c r="D496" s="2" t="inlineStr">
        <is>
          <t>North</t>
        </is>
      </c>
    </row>
    <row r="497">
      <c r="A497" s="2" t="inlineStr">
        <is>
          <t>C0103</t>
        </is>
      </c>
      <c r="B497" s="2" t="inlineStr">
        <is>
          <t>Punjab</t>
        </is>
      </c>
      <c r="C497" s="2" t="inlineStr">
        <is>
          <t>Amritsar</t>
        </is>
      </c>
      <c r="D497" s="2" t="inlineStr">
        <is>
          <t>North</t>
        </is>
      </c>
    </row>
    <row r="498">
      <c r="A498" s="2" t="inlineStr">
        <is>
          <t>C0103</t>
        </is>
      </c>
      <c r="B498" s="2" t="inlineStr">
        <is>
          <t>Goa</t>
        </is>
      </c>
      <c r="C498" s="2" t="inlineStr">
        <is>
          <t>Panaji</t>
        </is>
      </c>
      <c r="D498" s="2" t="inlineStr">
        <is>
          <t>West</t>
        </is>
      </c>
    </row>
    <row r="499">
      <c r="A499" s="2" t="inlineStr">
        <is>
          <t>C0104</t>
        </is>
      </c>
      <c r="B499" s="2" t="inlineStr">
        <is>
          <t>Uttar Pradesh</t>
        </is>
      </c>
      <c r="C499" s="2" t="inlineStr">
        <is>
          <t>Varanasi</t>
        </is>
      </c>
      <c r="D499" s="2" t="inlineStr">
        <is>
          <t>North</t>
        </is>
      </c>
    </row>
    <row r="500">
      <c r="A500" s="2" t="inlineStr">
        <is>
          <t>C0104</t>
        </is>
      </c>
      <c r="B500" s="2" t="inlineStr">
        <is>
          <t>Uttar Pradesh</t>
        </is>
      </c>
      <c r="C500" s="2" t="inlineStr">
        <is>
          <t>Kanpur</t>
        </is>
      </c>
      <c r="D500" s="2" t="inlineStr">
        <is>
          <t>North</t>
        </is>
      </c>
    </row>
    <row r="501">
      <c r="A501" s="2" t="inlineStr">
        <is>
          <t>C0104</t>
        </is>
      </c>
      <c r="B501" s="2" t="inlineStr">
        <is>
          <t>Punjab</t>
        </is>
      </c>
      <c r="C501" s="2" t="inlineStr">
        <is>
          <t>Jalandhar</t>
        </is>
      </c>
      <c r="D501" s="2" t="inlineStr">
        <is>
          <t>North</t>
        </is>
      </c>
    </row>
    <row r="502">
      <c r="A502" s="2" t="inlineStr">
        <is>
          <t>C0104</t>
        </is>
      </c>
      <c r="B502" s="2" t="inlineStr">
        <is>
          <t>Gujarat</t>
        </is>
      </c>
      <c r="C502" s="2" t="inlineStr">
        <is>
          <t>Surat</t>
        </is>
      </c>
      <c r="D502" s="2" t="inlineStr">
        <is>
          <t>West</t>
        </is>
      </c>
    </row>
    <row r="503">
      <c r="A503" s="2" t="inlineStr">
        <is>
          <t>C0104</t>
        </is>
      </c>
      <c r="B503" s="2" t="inlineStr">
        <is>
          <t>Haryana</t>
        </is>
      </c>
      <c r="C503" s="2" t="inlineStr">
        <is>
          <t>Gurugram</t>
        </is>
      </c>
      <c r="D503" s="2" t="inlineStr">
        <is>
          <t>North</t>
        </is>
      </c>
    </row>
    <row r="504">
      <c r="A504" s="2" t="inlineStr">
        <is>
          <t>C0104</t>
        </is>
      </c>
      <c r="B504" s="2" t="inlineStr">
        <is>
          <t>Uttar Pradesh</t>
        </is>
      </c>
      <c r="C504" s="2" t="inlineStr">
        <is>
          <t>Lucknow</t>
        </is>
      </c>
      <c r="D504" s="2" t="inlineStr">
        <is>
          <t>North</t>
        </is>
      </c>
    </row>
    <row r="505">
      <c r="A505" s="2" t="inlineStr">
        <is>
          <t>C0104</t>
        </is>
      </c>
      <c r="B505" s="2" t="inlineStr">
        <is>
          <t>Goa</t>
        </is>
      </c>
      <c r="C505" s="2" t="inlineStr">
        <is>
          <t>Panaji</t>
        </is>
      </c>
      <c r="D505" s="2" t="inlineStr">
        <is>
          <t>West</t>
        </is>
      </c>
    </row>
    <row r="506">
      <c r="A506" s="2" t="inlineStr">
        <is>
          <t>C0104</t>
        </is>
      </c>
      <c r="B506" s="2" t="inlineStr">
        <is>
          <t>Maharashtra</t>
        </is>
      </c>
      <c r="C506" s="2" t="inlineStr">
        <is>
          <t>Thane</t>
        </is>
      </c>
      <c r="D506" s="2" t="inlineStr">
        <is>
          <t>West</t>
        </is>
      </c>
    </row>
    <row r="507">
      <c r="A507" s="2" t="inlineStr">
        <is>
          <t>C0104</t>
        </is>
      </c>
      <c r="B507" s="2" t="inlineStr">
        <is>
          <t>Kerala</t>
        </is>
      </c>
      <c r="C507" s="2" t="inlineStr">
        <is>
          <t>Thiruvananthapuram</t>
        </is>
      </c>
      <c r="D507" s="2" t="inlineStr">
        <is>
          <t>South</t>
        </is>
      </c>
    </row>
    <row r="508">
      <c r="A508" s="2" t="inlineStr">
        <is>
          <t>C0104</t>
        </is>
      </c>
      <c r="B508" s="2" t="inlineStr">
        <is>
          <t>Gujarat</t>
        </is>
      </c>
      <c r="C508" s="2" t="inlineStr">
        <is>
          <t>Vadodara</t>
        </is>
      </c>
      <c r="D508" s="2" t="inlineStr">
        <is>
          <t>West</t>
        </is>
      </c>
    </row>
    <row r="509">
      <c r="A509" s="2" t="inlineStr">
        <is>
          <t>C0105</t>
        </is>
      </c>
      <c r="B509" s="2" t="inlineStr">
        <is>
          <t>Karnataka</t>
        </is>
      </c>
      <c r="C509" s="2" t="inlineStr">
        <is>
          <t>Bengaluru</t>
        </is>
      </c>
      <c r="D509" s="2" t="inlineStr">
        <is>
          <t>South</t>
        </is>
      </c>
    </row>
    <row r="510">
      <c r="A510" s="2" t="inlineStr">
        <is>
          <t>C0106</t>
        </is>
      </c>
      <c r="B510" s="2" t="inlineStr">
        <is>
          <t>Goa</t>
        </is>
      </c>
      <c r="C510" s="2" t="inlineStr">
        <is>
          <t>Panaji</t>
        </is>
      </c>
      <c r="D510" s="2" t="inlineStr">
        <is>
          <t>West</t>
        </is>
      </c>
    </row>
    <row r="511">
      <c r="A511" s="2" t="inlineStr">
        <is>
          <t>C0106</t>
        </is>
      </c>
      <c r="B511" s="2" t="inlineStr">
        <is>
          <t>Gujarat</t>
        </is>
      </c>
      <c r="C511" s="2" t="inlineStr">
        <is>
          <t>Ahmedabad</t>
        </is>
      </c>
      <c r="D511" s="2" t="inlineStr">
        <is>
          <t>West</t>
        </is>
      </c>
    </row>
    <row r="512">
      <c r="A512" s="2" t="inlineStr">
        <is>
          <t>C0106</t>
        </is>
      </c>
      <c r="B512" s="2" t="inlineStr">
        <is>
          <t>Punjab</t>
        </is>
      </c>
      <c r="C512" s="2" t="inlineStr">
        <is>
          <t>Amritsar</t>
        </is>
      </c>
      <c r="D512" s="2" t="inlineStr">
        <is>
          <t>North</t>
        </is>
      </c>
    </row>
    <row r="513">
      <c r="A513" s="2" t="inlineStr">
        <is>
          <t>C0106</t>
        </is>
      </c>
      <c r="B513" s="2" t="inlineStr">
        <is>
          <t>Uttar Pradesh</t>
        </is>
      </c>
      <c r="C513" s="2" t="inlineStr">
        <is>
          <t>Varanasi</t>
        </is>
      </c>
      <c r="D513" s="2" t="inlineStr">
        <is>
          <t>North</t>
        </is>
      </c>
    </row>
    <row r="514">
      <c r="A514" s="2" t="inlineStr">
        <is>
          <t>C0106</t>
        </is>
      </c>
      <c r="B514" s="2" t="inlineStr">
        <is>
          <t>Uttar Pradesh</t>
        </is>
      </c>
      <c r="C514" s="2" t="inlineStr">
        <is>
          <t>Noida</t>
        </is>
      </c>
      <c r="D514" s="2" t="inlineStr">
        <is>
          <t>North</t>
        </is>
      </c>
    </row>
    <row r="515">
      <c r="A515" s="2" t="inlineStr">
        <is>
          <t>C0106</t>
        </is>
      </c>
      <c r="B515" s="2" t="inlineStr">
        <is>
          <t>Tamil Nadu</t>
        </is>
      </c>
      <c r="C515" s="2" t="inlineStr">
        <is>
          <t>Coimbatore</t>
        </is>
      </c>
      <c r="D515" s="2" t="inlineStr">
        <is>
          <t>South</t>
        </is>
      </c>
    </row>
    <row r="516">
      <c r="A516" s="2" t="inlineStr">
        <is>
          <t>C0106</t>
        </is>
      </c>
      <c r="B516" s="2" t="inlineStr">
        <is>
          <t>Karnataka</t>
        </is>
      </c>
      <c r="C516" s="2" t="inlineStr">
        <is>
          <t>Mysuru</t>
        </is>
      </c>
      <c r="D516" s="2" t="inlineStr">
        <is>
          <t>South</t>
        </is>
      </c>
    </row>
    <row r="517">
      <c r="A517" s="2" t="inlineStr">
        <is>
          <t>C0107</t>
        </is>
      </c>
      <c r="B517" s="2" t="inlineStr">
        <is>
          <t>Telangana</t>
        </is>
      </c>
      <c r="C517" s="2" t="inlineStr">
        <is>
          <t>Warangal</t>
        </is>
      </c>
      <c r="D517" s="2" t="inlineStr">
        <is>
          <t>South</t>
        </is>
      </c>
    </row>
    <row r="518">
      <c r="A518" s="2" t="inlineStr">
        <is>
          <t>C0107</t>
        </is>
      </c>
      <c r="B518" s="2" t="inlineStr">
        <is>
          <t>West Bengal</t>
        </is>
      </c>
      <c r="C518" s="2" t="inlineStr">
        <is>
          <t>Kolkata</t>
        </is>
      </c>
      <c r="D518" s="2" t="inlineStr">
        <is>
          <t>East</t>
        </is>
      </c>
    </row>
    <row r="519">
      <c r="A519" s="2" t="inlineStr">
        <is>
          <t>C0107</t>
        </is>
      </c>
      <c r="B519" s="2" t="inlineStr">
        <is>
          <t>Delhi</t>
        </is>
      </c>
      <c r="C519" s="2" t="inlineStr">
        <is>
          <t>New Delhi</t>
        </is>
      </c>
      <c r="D519" s="2" t="inlineStr">
        <is>
          <t>North</t>
        </is>
      </c>
    </row>
    <row r="520">
      <c r="A520" s="2" t="inlineStr">
        <is>
          <t>C0107</t>
        </is>
      </c>
      <c r="B520" s="2" t="inlineStr">
        <is>
          <t>Gujarat</t>
        </is>
      </c>
      <c r="C520" s="2" t="inlineStr">
        <is>
          <t>Vadodara</t>
        </is>
      </c>
      <c r="D520" s="2" t="inlineStr">
        <is>
          <t>West</t>
        </is>
      </c>
    </row>
    <row r="521">
      <c r="A521" s="2" t="inlineStr">
        <is>
          <t>C0107</t>
        </is>
      </c>
      <c r="B521" s="2" t="inlineStr">
        <is>
          <t>Karnataka</t>
        </is>
      </c>
      <c r="C521" s="2" t="inlineStr">
        <is>
          <t>Mysuru</t>
        </is>
      </c>
      <c r="D521" s="2" t="inlineStr">
        <is>
          <t>South</t>
        </is>
      </c>
    </row>
    <row r="522">
      <c r="A522" s="2" t="inlineStr">
        <is>
          <t>C0108</t>
        </is>
      </c>
      <c r="B522" s="2" t="inlineStr">
        <is>
          <t>Goa</t>
        </is>
      </c>
      <c r="C522" s="2" t="inlineStr">
        <is>
          <t>Panaji</t>
        </is>
      </c>
      <c r="D522" s="2" t="inlineStr">
        <is>
          <t>West</t>
        </is>
      </c>
    </row>
    <row r="523">
      <c r="A523" s="2" t="inlineStr">
        <is>
          <t>C0109</t>
        </is>
      </c>
      <c r="B523" s="2" t="inlineStr">
        <is>
          <t>Gujarat</t>
        </is>
      </c>
      <c r="C523" s="2" t="inlineStr">
        <is>
          <t>Ahmedabad</t>
        </is>
      </c>
      <c r="D523" s="2" t="inlineStr">
        <is>
          <t>West</t>
        </is>
      </c>
    </row>
    <row r="524">
      <c r="A524" s="2" t="inlineStr">
        <is>
          <t>C0109</t>
        </is>
      </c>
      <c r="B524" s="2" t="inlineStr">
        <is>
          <t>West Bengal</t>
        </is>
      </c>
      <c r="C524" s="2" t="inlineStr">
        <is>
          <t>Kolkata</t>
        </is>
      </c>
      <c r="D524" s="2" t="inlineStr">
        <is>
          <t>East</t>
        </is>
      </c>
    </row>
    <row r="525">
      <c r="A525" s="2" t="inlineStr">
        <is>
          <t>C0110</t>
        </is>
      </c>
      <c r="B525" s="2" t="inlineStr">
        <is>
          <t>Haryana</t>
        </is>
      </c>
      <c r="C525" s="2" t="inlineStr">
        <is>
          <t>Gurugram</t>
        </is>
      </c>
      <c r="D525" s="2" t="inlineStr">
        <is>
          <t>North</t>
        </is>
      </c>
    </row>
    <row r="526">
      <c r="A526" s="2" t="inlineStr">
        <is>
          <t>C0110</t>
        </is>
      </c>
      <c r="B526" s="2" t="inlineStr">
        <is>
          <t>Haryana</t>
        </is>
      </c>
      <c r="C526" s="2" t="inlineStr">
        <is>
          <t>Faridabad</t>
        </is>
      </c>
      <c r="D526" s="2" t="inlineStr">
        <is>
          <t>North</t>
        </is>
      </c>
    </row>
    <row r="527">
      <c r="A527" s="2" t="inlineStr">
        <is>
          <t>C0111</t>
        </is>
      </c>
      <c r="B527" s="2" t="inlineStr">
        <is>
          <t>Haryana</t>
        </is>
      </c>
      <c r="C527" s="2" t="inlineStr">
        <is>
          <t>Faridabad</t>
        </is>
      </c>
      <c r="D527" s="2" t="inlineStr">
        <is>
          <t>North</t>
        </is>
      </c>
    </row>
    <row r="528">
      <c r="A528" s="2" t="inlineStr">
        <is>
          <t>C0111</t>
        </is>
      </c>
      <c r="B528" s="2" t="inlineStr">
        <is>
          <t>Odisha</t>
        </is>
      </c>
      <c r="C528" s="2" t="inlineStr">
        <is>
          <t>Cuttack</t>
        </is>
      </c>
      <c r="D528" s="2" t="inlineStr">
        <is>
          <t>East</t>
        </is>
      </c>
    </row>
    <row r="529">
      <c r="A529" s="2" t="inlineStr">
        <is>
          <t>C0112</t>
        </is>
      </c>
      <c r="B529" s="2" t="inlineStr">
        <is>
          <t>Delhi</t>
        </is>
      </c>
      <c r="C529" s="2" t="inlineStr">
        <is>
          <t>New Delhi</t>
        </is>
      </c>
      <c r="D529" s="2" t="inlineStr">
        <is>
          <t>North</t>
        </is>
      </c>
    </row>
    <row r="530">
      <c r="A530" s="2" t="inlineStr">
        <is>
          <t>C0112</t>
        </is>
      </c>
      <c r="B530" s="2" t="inlineStr">
        <is>
          <t>Telangana</t>
        </is>
      </c>
      <c r="C530" s="2" t="inlineStr">
        <is>
          <t>Hyderabad</t>
        </is>
      </c>
      <c r="D530" s="2" t="inlineStr">
        <is>
          <t>South</t>
        </is>
      </c>
    </row>
    <row r="531">
      <c r="A531" s="2" t="inlineStr">
        <is>
          <t>C0112</t>
        </is>
      </c>
      <c r="B531" s="2" t="inlineStr">
        <is>
          <t>West Bengal</t>
        </is>
      </c>
      <c r="C531" s="2" t="inlineStr">
        <is>
          <t>Durgapur</t>
        </is>
      </c>
      <c r="D531" s="2" t="inlineStr">
        <is>
          <t>East</t>
        </is>
      </c>
    </row>
    <row r="532">
      <c r="A532" s="2" t="inlineStr">
        <is>
          <t>C0113</t>
        </is>
      </c>
      <c r="B532" s="2" t="inlineStr">
        <is>
          <t>Goa</t>
        </is>
      </c>
      <c r="C532" s="2" t="inlineStr">
        <is>
          <t>Panaji</t>
        </is>
      </c>
      <c r="D532" s="2" t="inlineStr">
        <is>
          <t>West</t>
        </is>
      </c>
    </row>
    <row r="533">
      <c r="A533" s="2" t="inlineStr">
        <is>
          <t>C0113</t>
        </is>
      </c>
      <c r="B533" s="2" t="inlineStr">
        <is>
          <t>Maharashtra</t>
        </is>
      </c>
      <c r="C533" s="2" t="inlineStr">
        <is>
          <t>Thane</t>
        </is>
      </c>
      <c r="D533" s="2" t="inlineStr">
        <is>
          <t>West</t>
        </is>
      </c>
    </row>
    <row r="534">
      <c r="A534" s="2" t="inlineStr">
        <is>
          <t>C0113</t>
        </is>
      </c>
      <c r="B534" s="2" t="inlineStr">
        <is>
          <t>Gujarat</t>
        </is>
      </c>
      <c r="C534" s="2" t="inlineStr">
        <is>
          <t>Vadodara</t>
        </is>
      </c>
      <c r="D534" s="2" t="inlineStr">
        <is>
          <t>West</t>
        </is>
      </c>
    </row>
    <row r="535">
      <c r="A535" s="2" t="inlineStr">
        <is>
          <t>C0113</t>
        </is>
      </c>
      <c r="B535" s="2" t="inlineStr">
        <is>
          <t>Uttar Pradesh</t>
        </is>
      </c>
      <c r="C535" s="2" t="inlineStr">
        <is>
          <t>Lucknow</t>
        </is>
      </c>
      <c r="D535" s="2" t="inlineStr">
        <is>
          <t>North</t>
        </is>
      </c>
    </row>
    <row r="536">
      <c r="A536" s="2" t="inlineStr">
        <is>
          <t>C0113</t>
        </is>
      </c>
      <c r="B536" s="2" t="inlineStr">
        <is>
          <t>Telangana</t>
        </is>
      </c>
      <c r="C536" s="2" t="inlineStr">
        <is>
          <t>Hyderabad</t>
        </is>
      </c>
      <c r="D536" s="2" t="inlineStr">
        <is>
          <t>South</t>
        </is>
      </c>
    </row>
    <row r="537">
      <c r="A537" s="2" t="inlineStr">
        <is>
          <t>C0113</t>
        </is>
      </c>
      <c r="B537" s="2" t="inlineStr">
        <is>
          <t>Tamil Nadu</t>
        </is>
      </c>
      <c r="C537" s="2" t="inlineStr">
        <is>
          <t>Coimbatore</t>
        </is>
      </c>
      <c r="D537" s="2" t="inlineStr">
        <is>
          <t>South</t>
        </is>
      </c>
    </row>
    <row r="538">
      <c r="A538" s="2" t="inlineStr">
        <is>
          <t>C0114</t>
        </is>
      </c>
      <c r="B538" s="2" t="inlineStr">
        <is>
          <t>West Bengal</t>
        </is>
      </c>
      <c r="C538" s="2" t="inlineStr">
        <is>
          <t>Kolkata</t>
        </is>
      </c>
      <c r="D538" s="2" t="inlineStr">
        <is>
          <t>East</t>
        </is>
      </c>
    </row>
    <row r="539">
      <c r="A539" s="2" t="inlineStr">
        <is>
          <t>C0114</t>
        </is>
      </c>
      <c r="B539" s="2" t="inlineStr">
        <is>
          <t>Maharashtra</t>
        </is>
      </c>
      <c r="C539" s="2" t="inlineStr">
        <is>
          <t>Pune</t>
        </is>
      </c>
      <c r="D539" s="2" t="inlineStr">
        <is>
          <t>West</t>
        </is>
      </c>
    </row>
    <row r="540">
      <c r="A540" s="2" t="inlineStr">
        <is>
          <t>C0114</t>
        </is>
      </c>
      <c r="B540" s="2" t="inlineStr">
        <is>
          <t>Gujarat</t>
        </is>
      </c>
      <c r="C540" s="2" t="inlineStr">
        <is>
          <t>Vadodara</t>
        </is>
      </c>
      <c r="D540" s="2" t="inlineStr">
        <is>
          <t>West</t>
        </is>
      </c>
    </row>
    <row r="541">
      <c r="A541" s="2" t="inlineStr">
        <is>
          <t>C0114</t>
        </is>
      </c>
      <c r="B541" s="2" t="inlineStr">
        <is>
          <t>Maharashtra</t>
        </is>
      </c>
      <c r="C541" s="2" t="inlineStr">
        <is>
          <t>Mumbai</t>
        </is>
      </c>
      <c r="D541" s="2" t="inlineStr">
        <is>
          <t>West</t>
        </is>
      </c>
    </row>
    <row r="542">
      <c r="A542" s="2" t="inlineStr">
        <is>
          <t>C0114</t>
        </is>
      </c>
      <c r="B542" s="2" t="inlineStr">
        <is>
          <t>Bihar</t>
        </is>
      </c>
      <c r="C542" s="2" t="inlineStr">
        <is>
          <t>Patna</t>
        </is>
      </c>
      <c r="D542" s="2" t="inlineStr">
        <is>
          <t>East</t>
        </is>
      </c>
    </row>
    <row r="543">
      <c r="A543" s="2" t="inlineStr">
        <is>
          <t>C0114</t>
        </is>
      </c>
      <c r="B543" s="2" t="inlineStr">
        <is>
          <t>Tamil Nadu</t>
        </is>
      </c>
      <c r="C543" s="2" t="inlineStr">
        <is>
          <t>Chennai</t>
        </is>
      </c>
      <c r="D543" s="2" t="inlineStr">
        <is>
          <t>South</t>
        </is>
      </c>
    </row>
    <row r="544">
      <c r="A544" s="2" t="inlineStr">
        <is>
          <t>C0115</t>
        </is>
      </c>
      <c r="B544" s="2" t="inlineStr">
        <is>
          <t>Maharashtra</t>
        </is>
      </c>
      <c r="C544" s="2" t="inlineStr">
        <is>
          <t>Pune</t>
        </is>
      </c>
      <c r="D544" s="2" t="inlineStr">
        <is>
          <t>West</t>
        </is>
      </c>
    </row>
    <row r="545">
      <c r="A545" s="2" t="inlineStr">
        <is>
          <t>C0115</t>
        </is>
      </c>
      <c r="B545" s="2" t="inlineStr">
        <is>
          <t>West Bengal</t>
        </is>
      </c>
      <c r="C545" s="2" t="inlineStr">
        <is>
          <t>Kolkata</t>
        </is>
      </c>
      <c r="D545" s="2" t="inlineStr">
        <is>
          <t>East</t>
        </is>
      </c>
    </row>
    <row r="546">
      <c r="A546" s="2" t="inlineStr">
        <is>
          <t>C0115</t>
        </is>
      </c>
      <c r="B546" s="2" t="inlineStr">
        <is>
          <t>Bihar</t>
        </is>
      </c>
      <c r="C546" s="2" t="inlineStr">
        <is>
          <t>Gaya</t>
        </is>
      </c>
      <c r="D546" s="2" t="inlineStr">
        <is>
          <t>East</t>
        </is>
      </c>
    </row>
    <row r="547">
      <c r="A547" s="2" t="inlineStr">
        <is>
          <t>C0115</t>
        </is>
      </c>
      <c r="B547" s="2" t="inlineStr">
        <is>
          <t>Tamil Nadu</t>
        </is>
      </c>
      <c r="C547" s="2" t="inlineStr">
        <is>
          <t>Chennai</t>
        </is>
      </c>
      <c r="D547" s="2" t="inlineStr">
        <is>
          <t>South</t>
        </is>
      </c>
    </row>
    <row r="548">
      <c r="A548" s="2" t="inlineStr">
        <is>
          <t>C0115</t>
        </is>
      </c>
      <c r="B548" s="2" t="inlineStr">
        <is>
          <t>Maharashtra</t>
        </is>
      </c>
      <c r="C548" s="2" t="inlineStr">
        <is>
          <t>Mumbai</t>
        </is>
      </c>
      <c r="D548" s="2" t="inlineStr">
        <is>
          <t>West</t>
        </is>
      </c>
    </row>
    <row r="549">
      <c r="A549" s="2" t="inlineStr">
        <is>
          <t>C0115</t>
        </is>
      </c>
      <c r="B549" s="2" t="inlineStr">
        <is>
          <t>Haryana</t>
        </is>
      </c>
      <c r="C549" s="2" t="inlineStr">
        <is>
          <t>Faridabad</t>
        </is>
      </c>
      <c r="D549" s="2" t="inlineStr">
        <is>
          <t>North</t>
        </is>
      </c>
    </row>
    <row r="550">
      <c r="A550" s="2" t="inlineStr">
        <is>
          <t>C0115</t>
        </is>
      </c>
      <c r="B550" s="2" t="inlineStr">
        <is>
          <t>Goa</t>
        </is>
      </c>
      <c r="C550" s="2" t="inlineStr">
        <is>
          <t>Margao</t>
        </is>
      </c>
      <c r="D550" s="2" t="inlineStr">
        <is>
          <t>West</t>
        </is>
      </c>
    </row>
    <row r="551">
      <c r="A551" s="2" t="inlineStr">
        <is>
          <t>C0116</t>
        </is>
      </c>
      <c r="B551" s="2" t="inlineStr">
        <is>
          <t>Gujarat</t>
        </is>
      </c>
      <c r="C551" s="2" t="inlineStr">
        <is>
          <t>Surat</t>
        </is>
      </c>
      <c r="D551" s="2" t="inlineStr">
        <is>
          <t>West</t>
        </is>
      </c>
    </row>
    <row r="552">
      <c r="A552" s="2" t="inlineStr">
        <is>
          <t>C0116</t>
        </is>
      </c>
      <c r="B552" s="2" t="inlineStr">
        <is>
          <t>Punjab</t>
        </is>
      </c>
      <c r="C552" s="2" t="inlineStr">
        <is>
          <t>Ludhiana</t>
        </is>
      </c>
      <c r="D552" s="2" t="inlineStr">
        <is>
          <t>North</t>
        </is>
      </c>
    </row>
    <row r="553">
      <c r="A553" s="2" t="inlineStr">
        <is>
          <t>C0116</t>
        </is>
      </c>
      <c r="B553" s="2" t="inlineStr">
        <is>
          <t>Telangana</t>
        </is>
      </c>
      <c r="C553" s="2" t="inlineStr">
        <is>
          <t>Hyderabad</t>
        </is>
      </c>
      <c r="D553" s="2" t="inlineStr">
        <is>
          <t>South</t>
        </is>
      </c>
    </row>
    <row r="554">
      <c r="A554" s="2" t="inlineStr">
        <is>
          <t>C0116</t>
        </is>
      </c>
      <c r="B554" s="2" t="inlineStr">
        <is>
          <t>Maharashtra</t>
        </is>
      </c>
      <c r="C554" s="2" t="inlineStr">
        <is>
          <t>Thane</t>
        </is>
      </c>
      <c r="D554" s="2" t="inlineStr">
        <is>
          <t>West</t>
        </is>
      </c>
    </row>
    <row r="555">
      <c r="A555" s="2" t="inlineStr">
        <is>
          <t>C0117</t>
        </is>
      </c>
      <c r="B555" s="2" t="inlineStr">
        <is>
          <t>Maharashtra</t>
        </is>
      </c>
      <c r="C555" s="2" t="inlineStr">
        <is>
          <t>Nagpur</t>
        </is>
      </c>
      <c r="D555" s="2" t="inlineStr">
        <is>
          <t>West</t>
        </is>
      </c>
    </row>
    <row r="556">
      <c r="A556" s="2" t="inlineStr">
        <is>
          <t>C0117</t>
        </is>
      </c>
      <c r="B556" s="2" t="inlineStr">
        <is>
          <t>Goa</t>
        </is>
      </c>
      <c r="C556" s="2" t="inlineStr">
        <is>
          <t>Panaji</t>
        </is>
      </c>
      <c r="D556" s="2" t="inlineStr">
        <is>
          <t>West</t>
        </is>
      </c>
    </row>
    <row r="557">
      <c r="A557" s="2" t="inlineStr">
        <is>
          <t>C0118</t>
        </is>
      </c>
      <c r="B557" s="2" t="inlineStr">
        <is>
          <t>Maharashtra</t>
        </is>
      </c>
      <c r="C557" s="2" t="inlineStr">
        <is>
          <t>Thane</t>
        </is>
      </c>
      <c r="D557" s="2" t="inlineStr">
        <is>
          <t>West</t>
        </is>
      </c>
    </row>
    <row r="558">
      <c r="A558" s="2" t="inlineStr">
        <is>
          <t>C0118</t>
        </is>
      </c>
      <c r="B558" s="2" t="inlineStr">
        <is>
          <t>Karnataka</t>
        </is>
      </c>
      <c r="C558" s="2" t="inlineStr">
        <is>
          <t>Mysuru</t>
        </is>
      </c>
      <c r="D558" s="2" t="inlineStr">
        <is>
          <t>South</t>
        </is>
      </c>
    </row>
    <row r="559">
      <c r="A559" s="2" t="inlineStr">
        <is>
          <t>C0118</t>
        </is>
      </c>
      <c r="B559" s="2" t="inlineStr">
        <is>
          <t>Uttar Pradesh</t>
        </is>
      </c>
      <c r="C559" s="2" t="inlineStr">
        <is>
          <t>Varanasi</t>
        </is>
      </c>
      <c r="D559" s="2" t="inlineStr">
        <is>
          <t>North</t>
        </is>
      </c>
    </row>
    <row r="560">
      <c r="A560" s="2" t="inlineStr">
        <is>
          <t>C0118</t>
        </is>
      </c>
      <c r="B560" s="2" t="inlineStr">
        <is>
          <t>Kerala</t>
        </is>
      </c>
      <c r="C560" s="2" t="inlineStr">
        <is>
          <t>Thiruvananthapuram</t>
        </is>
      </c>
      <c r="D560" s="2" t="inlineStr">
        <is>
          <t>South</t>
        </is>
      </c>
    </row>
    <row r="561">
      <c r="A561" s="2" t="inlineStr">
        <is>
          <t>C0118</t>
        </is>
      </c>
      <c r="B561" s="2" t="inlineStr">
        <is>
          <t>Tamil Nadu</t>
        </is>
      </c>
      <c r="C561" s="2" t="inlineStr">
        <is>
          <t>Madurai</t>
        </is>
      </c>
      <c r="D561" s="2" t="inlineStr">
        <is>
          <t>South</t>
        </is>
      </c>
    </row>
    <row r="562">
      <c r="A562" s="2" t="inlineStr">
        <is>
          <t>C0118</t>
        </is>
      </c>
      <c r="B562" s="2" t="inlineStr">
        <is>
          <t>Haryana</t>
        </is>
      </c>
      <c r="C562" s="2" t="inlineStr">
        <is>
          <t>Gurugram</t>
        </is>
      </c>
      <c r="D562" s="2" t="inlineStr">
        <is>
          <t>North</t>
        </is>
      </c>
    </row>
    <row r="563">
      <c r="A563" s="2" t="inlineStr">
        <is>
          <t>C0118</t>
        </is>
      </c>
      <c r="B563" s="2" t="inlineStr">
        <is>
          <t>Punjab</t>
        </is>
      </c>
      <c r="C563" s="2" t="inlineStr">
        <is>
          <t>Jalandhar</t>
        </is>
      </c>
      <c r="D563" s="2" t="inlineStr">
        <is>
          <t>North</t>
        </is>
      </c>
    </row>
    <row r="564">
      <c r="A564" s="2" t="inlineStr">
        <is>
          <t>C0118</t>
        </is>
      </c>
      <c r="B564" s="2" t="inlineStr">
        <is>
          <t>Odisha</t>
        </is>
      </c>
      <c r="C564" s="2" t="inlineStr">
        <is>
          <t>Cuttack</t>
        </is>
      </c>
      <c r="D564" s="2" t="inlineStr">
        <is>
          <t>East</t>
        </is>
      </c>
    </row>
    <row r="565">
      <c r="A565" s="2" t="inlineStr">
        <is>
          <t>C0118</t>
        </is>
      </c>
      <c r="B565" s="2" t="inlineStr">
        <is>
          <t>Punjab</t>
        </is>
      </c>
      <c r="C565" s="2" t="inlineStr">
        <is>
          <t>Ludhiana</t>
        </is>
      </c>
      <c r="D565" s="2" t="inlineStr">
        <is>
          <t>North</t>
        </is>
      </c>
    </row>
    <row r="566">
      <c r="A566" s="2" t="inlineStr">
        <is>
          <t>C0118</t>
        </is>
      </c>
      <c r="B566" s="2" t="inlineStr">
        <is>
          <t>Goa</t>
        </is>
      </c>
      <c r="C566" s="2" t="inlineStr">
        <is>
          <t>Panaji</t>
        </is>
      </c>
      <c r="D566" s="2" t="inlineStr">
        <is>
          <t>West</t>
        </is>
      </c>
    </row>
    <row r="567">
      <c r="A567" s="2" t="inlineStr">
        <is>
          <t>C0119</t>
        </is>
      </c>
      <c r="B567" s="2" t="inlineStr">
        <is>
          <t>Karnataka</t>
        </is>
      </c>
      <c r="C567" s="2" t="inlineStr">
        <is>
          <t>Bengaluru</t>
        </is>
      </c>
      <c r="D567" s="2" t="inlineStr">
        <is>
          <t>South</t>
        </is>
      </c>
    </row>
    <row r="568">
      <c r="A568" s="2" t="inlineStr">
        <is>
          <t>C0119</t>
        </is>
      </c>
      <c r="B568" s="2" t="inlineStr">
        <is>
          <t>Goa</t>
        </is>
      </c>
      <c r="C568" s="2" t="inlineStr">
        <is>
          <t>Panaji</t>
        </is>
      </c>
      <c r="D568" s="2" t="inlineStr">
        <is>
          <t>West</t>
        </is>
      </c>
    </row>
    <row r="569">
      <c r="A569" s="2" t="inlineStr">
        <is>
          <t>C0119</t>
        </is>
      </c>
      <c r="B569" s="2" t="inlineStr">
        <is>
          <t>Gujarat</t>
        </is>
      </c>
      <c r="C569" s="2" t="inlineStr">
        <is>
          <t>Surat</t>
        </is>
      </c>
      <c r="D569" s="2" t="inlineStr">
        <is>
          <t>West</t>
        </is>
      </c>
    </row>
    <row r="570">
      <c r="A570" s="2" t="inlineStr">
        <is>
          <t>C0120</t>
        </is>
      </c>
      <c r="B570" s="2" t="inlineStr">
        <is>
          <t>Maharashtra</t>
        </is>
      </c>
      <c r="C570" s="2" t="inlineStr">
        <is>
          <t>Nashik</t>
        </is>
      </c>
      <c r="D570" s="2" t="inlineStr">
        <is>
          <t>West</t>
        </is>
      </c>
    </row>
    <row r="571">
      <c r="A571" s="2" t="inlineStr">
        <is>
          <t>C0120</t>
        </is>
      </c>
      <c r="B571" s="2" t="inlineStr">
        <is>
          <t>Telangana</t>
        </is>
      </c>
      <c r="C571" s="2" t="inlineStr">
        <is>
          <t>Warangal</t>
        </is>
      </c>
      <c r="D571" s="2" t="inlineStr">
        <is>
          <t>South</t>
        </is>
      </c>
    </row>
    <row r="572">
      <c r="A572" s="2" t="inlineStr">
        <is>
          <t>C0120</t>
        </is>
      </c>
      <c r="B572" s="2" t="inlineStr">
        <is>
          <t>Bihar</t>
        </is>
      </c>
      <c r="C572" s="2" t="inlineStr">
        <is>
          <t>Patna</t>
        </is>
      </c>
      <c r="D572" s="2" t="inlineStr">
        <is>
          <t>East</t>
        </is>
      </c>
    </row>
    <row r="573">
      <c r="A573" s="2" t="inlineStr">
        <is>
          <t>C0120</t>
        </is>
      </c>
      <c r="B573" s="2" t="inlineStr">
        <is>
          <t>Maharashtra</t>
        </is>
      </c>
      <c r="C573" s="2" t="inlineStr">
        <is>
          <t>Nagpur</t>
        </is>
      </c>
      <c r="D573" s="2" t="inlineStr">
        <is>
          <t>West</t>
        </is>
      </c>
    </row>
    <row r="574">
      <c r="A574" s="2" t="inlineStr">
        <is>
          <t>C0121</t>
        </is>
      </c>
      <c r="B574" s="2" t="inlineStr">
        <is>
          <t>Gujarat</t>
        </is>
      </c>
      <c r="C574" s="2" t="inlineStr">
        <is>
          <t>Ahmedabad</t>
        </is>
      </c>
      <c r="D574" s="2" t="inlineStr">
        <is>
          <t>West</t>
        </is>
      </c>
    </row>
    <row r="575">
      <c r="A575" s="2" t="inlineStr">
        <is>
          <t>C0121</t>
        </is>
      </c>
      <c r="B575" s="2" t="inlineStr">
        <is>
          <t>Gujarat</t>
        </is>
      </c>
      <c r="C575" s="2" t="inlineStr">
        <is>
          <t>Vadodara</t>
        </is>
      </c>
      <c r="D575" s="2" t="inlineStr">
        <is>
          <t>West</t>
        </is>
      </c>
    </row>
    <row r="576">
      <c r="A576" s="2" t="inlineStr">
        <is>
          <t>C0121</t>
        </is>
      </c>
      <c r="B576" s="2" t="inlineStr">
        <is>
          <t>Goa</t>
        </is>
      </c>
      <c r="C576" s="2" t="inlineStr">
        <is>
          <t>Margao</t>
        </is>
      </c>
      <c r="D576" s="2" t="inlineStr">
        <is>
          <t>West</t>
        </is>
      </c>
    </row>
    <row r="577">
      <c r="A577" s="2" t="inlineStr">
        <is>
          <t>C0121</t>
        </is>
      </c>
      <c r="B577" s="2" t="inlineStr">
        <is>
          <t>Tamil Nadu</t>
        </is>
      </c>
      <c r="C577" s="2" t="inlineStr">
        <is>
          <t>Chennai</t>
        </is>
      </c>
      <c r="D577" s="2" t="inlineStr">
        <is>
          <t>South</t>
        </is>
      </c>
    </row>
    <row r="578">
      <c r="A578" s="2" t="inlineStr">
        <is>
          <t>C0121</t>
        </is>
      </c>
      <c r="B578" s="2" t="inlineStr">
        <is>
          <t>Odisha</t>
        </is>
      </c>
      <c r="C578" s="2" t="inlineStr">
        <is>
          <t>Bhubaneswar</t>
        </is>
      </c>
      <c r="D578" s="2" t="inlineStr">
        <is>
          <t>East</t>
        </is>
      </c>
    </row>
    <row r="579">
      <c r="A579" s="2" t="inlineStr">
        <is>
          <t>C0121</t>
        </is>
      </c>
      <c r="B579" s="2" t="inlineStr">
        <is>
          <t>Gujarat</t>
        </is>
      </c>
      <c r="C579" s="2" t="inlineStr">
        <is>
          <t>Surat</t>
        </is>
      </c>
      <c r="D579" s="2" t="inlineStr">
        <is>
          <t>West</t>
        </is>
      </c>
    </row>
    <row r="580">
      <c r="A580" s="2" t="inlineStr">
        <is>
          <t>C0122</t>
        </is>
      </c>
      <c r="B580" s="2" t="inlineStr">
        <is>
          <t>West Bengal</t>
        </is>
      </c>
      <c r="C580" s="2" t="inlineStr">
        <is>
          <t>Durgapur</t>
        </is>
      </c>
      <c r="D580" s="2" t="inlineStr">
        <is>
          <t>East</t>
        </is>
      </c>
    </row>
    <row r="581">
      <c r="A581" s="2" t="inlineStr">
        <is>
          <t>C0122</t>
        </is>
      </c>
      <c r="B581" s="2" t="inlineStr">
        <is>
          <t>Haryana</t>
        </is>
      </c>
      <c r="C581" s="2" t="inlineStr">
        <is>
          <t>Faridabad</t>
        </is>
      </c>
      <c r="D581" s="2" t="inlineStr">
        <is>
          <t>North</t>
        </is>
      </c>
    </row>
    <row r="582">
      <c r="A582" s="2" t="inlineStr">
        <is>
          <t>C0122</t>
        </is>
      </c>
      <c r="B582" s="2" t="inlineStr">
        <is>
          <t>Tamil Nadu</t>
        </is>
      </c>
      <c r="C582" s="2" t="inlineStr">
        <is>
          <t>Madurai</t>
        </is>
      </c>
      <c r="D582" s="2" t="inlineStr">
        <is>
          <t>South</t>
        </is>
      </c>
    </row>
    <row r="583">
      <c r="A583" s="2" t="inlineStr">
        <is>
          <t>C0122</t>
        </is>
      </c>
      <c r="B583" s="2" t="inlineStr">
        <is>
          <t>Kerala</t>
        </is>
      </c>
      <c r="C583" s="2" t="inlineStr">
        <is>
          <t>Kochi</t>
        </is>
      </c>
      <c r="D583" s="2" t="inlineStr">
        <is>
          <t>South</t>
        </is>
      </c>
    </row>
    <row r="584">
      <c r="A584" s="2" t="inlineStr">
        <is>
          <t>C0123</t>
        </is>
      </c>
      <c r="B584" s="2" t="inlineStr">
        <is>
          <t>Bihar</t>
        </is>
      </c>
      <c r="C584" s="2" t="inlineStr">
        <is>
          <t>Patna</t>
        </is>
      </c>
      <c r="D584" s="2" t="inlineStr">
        <is>
          <t>East</t>
        </is>
      </c>
    </row>
    <row r="585">
      <c r="A585" s="2" t="inlineStr">
        <is>
          <t>C0123</t>
        </is>
      </c>
      <c r="B585" s="2" t="inlineStr">
        <is>
          <t>Punjab</t>
        </is>
      </c>
      <c r="C585" s="2" t="inlineStr">
        <is>
          <t>Jalandhar</t>
        </is>
      </c>
      <c r="D585" s="2" t="inlineStr">
        <is>
          <t>North</t>
        </is>
      </c>
    </row>
    <row r="586">
      <c r="A586" s="2" t="inlineStr">
        <is>
          <t>C0123</t>
        </is>
      </c>
      <c r="B586" s="2" t="inlineStr">
        <is>
          <t>Tamil Nadu</t>
        </is>
      </c>
      <c r="C586" s="2" t="inlineStr">
        <is>
          <t>Coimbatore</t>
        </is>
      </c>
      <c r="D586" s="2" t="inlineStr">
        <is>
          <t>South</t>
        </is>
      </c>
    </row>
    <row r="587">
      <c r="A587" s="2" t="inlineStr">
        <is>
          <t>C0123</t>
        </is>
      </c>
      <c r="B587" s="2" t="inlineStr">
        <is>
          <t>Gujarat</t>
        </is>
      </c>
      <c r="C587" s="2" t="inlineStr">
        <is>
          <t>Surat</t>
        </is>
      </c>
      <c r="D587" s="2" t="inlineStr">
        <is>
          <t>West</t>
        </is>
      </c>
    </row>
    <row r="588">
      <c r="A588" s="2" t="inlineStr">
        <is>
          <t>C0123</t>
        </is>
      </c>
      <c r="B588" s="2" t="inlineStr">
        <is>
          <t>Telangana</t>
        </is>
      </c>
      <c r="C588" s="2" t="inlineStr">
        <is>
          <t>Hyderabad</t>
        </is>
      </c>
      <c r="D588" s="2" t="inlineStr">
        <is>
          <t>South</t>
        </is>
      </c>
    </row>
    <row r="589">
      <c r="A589" s="2" t="inlineStr">
        <is>
          <t>C0123</t>
        </is>
      </c>
      <c r="B589" s="2" t="inlineStr">
        <is>
          <t>Karnataka</t>
        </is>
      </c>
      <c r="C589" s="2" t="inlineStr">
        <is>
          <t>Mangaluru</t>
        </is>
      </c>
      <c r="D589" s="2" t="inlineStr">
        <is>
          <t>South</t>
        </is>
      </c>
    </row>
    <row r="590">
      <c r="A590" s="2" t="inlineStr">
        <is>
          <t>C0124</t>
        </is>
      </c>
      <c r="B590" s="2" t="inlineStr">
        <is>
          <t>Gujarat</t>
        </is>
      </c>
      <c r="C590" s="2" t="inlineStr">
        <is>
          <t>Vadodara</t>
        </is>
      </c>
      <c r="D590" s="2" t="inlineStr">
        <is>
          <t>West</t>
        </is>
      </c>
    </row>
    <row r="591">
      <c r="A591" s="2" t="inlineStr">
        <is>
          <t>C0125</t>
        </is>
      </c>
      <c r="B591" s="2" t="inlineStr">
        <is>
          <t>Delhi</t>
        </is>
      </c>
      <c r="C591" s="2" t="inlineStr">
        <is>
          <t>New Delhi</t>
        </is>
      </c>
      <c r="D591" s="2" t="inlineStr">
        <is>
          <t>North</t>
        </is>
      </c>
    </row>
    <row r="592">
      <c r="A592" s="2" t="inlineStr">
        <is>
          <t>C0125</t>
        </is>
      </c>
      <c r="B592" s="2" t="inlineStr">
        <is>
          <t>Karnataka</t>
        </is>
      </c>
      <c r="C592" s="2" t="inlineStr">
        <is>
          <t>Mangaluru</t>
        </is>
      </c>
      <c r="D592" s="2" t="inlineStr">
        <is>
          <t>South</t>
        </is>
      </c>
    </row>
    <row r="593">
      <c r="A593" s="2" t="inlineStr">
        <is>
          <t>C0125</t>
        </is>
      </c>
      <c r="B593" s="2" t="inlineStr">
        <is>
          <t>Odisha</t>
        </is>
      </c>
      <c r="C593" s="2" t="inlineStr">
        <is>
          <t>Cuttack</t>
        </is>
      </c>
      <c r="D593" s="2" t="inlineStr">
        <is>
          <t>East</t>
        </is>
      </c>
    </row>
    <row r="594">
      <c r="A594" s="2" t="inlineStr">
        <is>
          <t>C0125</t>
        </is>
      </c>
      <c r="B594" s="2" t="inlineStr">
        <is>
          <t>Goa</t>
        </is>
      </c>
      <c r="C594" s="2" t="inlineStr">
        <is>
          <t>Margao</t>
        </is>
      </c>
      <c r="D594" s="2" t="inlineStr">
        <is>
          <t>West</t>
        </is>
      </c>
    </row>
    <row r="595">
      <c r="A595" s="2" t="inlineStr">
        <is>
          <t>C0125</t>
        </is>
      </c>
      <c r="B595" s="2" t="inlineStr">
        <is>
          <t>Gujarat</t>
        </is>
      </c>
      <c r="C595" s="2" t="inlineStr">
        <is>
          <t>Surat</t>
        </is>
      </c>
      <c r="D595" s="2" t="inlineStr">
        <is>
          <t>West</t>
        </is>
      </c>
    </row>
    <row r="596">
      <c r="A596" s="2" t="inlineStr">
        <is>
          <t>C0125</t>
        </is>
      </c>
      <c r="B596" s="2" t="inlineStr">
        <is>
          <t>Gujarat</t>
        </is>
      </c>
      <c r="C596" s="2" t="inlineStr">
        <is>
          <t>Ahmedabad</t>
        </is>
      </c>
      <c r="D596" s="2" t="inlineStr">
        <is>
          <t>West</t>
        </is>
      </c>
    </row>
    <row r="597">
      <c r="A597" s="2" t="inlineStr">
        <is>
          <t>C0125</t>
        </is>
      </c>
      <c r="B597" s="2" t="inlineStr">
        <is>
          <t>Punjab</t>
        </is>
      </c>
      <c r="C597" s="2" t="inlineStr">
        <is>
          <t>Jalandhar</t>
        </is>
      </c>
      <c r="D597" s="2" t="inlineStr">
        <is>
          <t>North</t>
        </is>
      </c>
    </row>
    <row r="598">
      <c r="A598" s="2" t="inlineStr">
        <is>
          <t>C0127</t>
        </is>
      </c>
      <c r="B598" s="2" t="inlineStr">
        <is>
          <t>Punjab</t>
        </is>
      </c>
      <c r="C598" s="2" t="inlineStr">
        <is>
          <t>Jalandhar</t>
        </is>
      </c>
      <c r="D598" s="2" t="inlineStr">
        <is>
          <t>North</t>
        </is>
      </c>
    </row>
    <row r="599">
      <c r="A599" s="2" t="inlineStr">
        <is>
          <t>C0128</t>
        </is>
      </c>
      <c r="B599" s="2" t="inlineStr">
        <is>
          <t>Maharashtra</t>
        </is>
      </c>
      <c r="C599" s="2" t="inlineStr">
        <is>
          <t>Pune</t>
        </is>
      </c>
      <c r="D599" s="2" t="inlineStr">
        <is>
          <t>West</t>
        </is>
      </c>
    </row>
    <row r="600">
      <c r="A600" s="2" t="inlineStr">
        <is>
          <t>C0128</t>
        </is>
      </c>
      <c r="B600" s="2" t="inlineStr">
        <is>
          <t>Bihar</t>
        </is>
      </c>
      <c r="C600" s="2" t="inlineStr">
        <is>
          <t>Gaya</t>
        </is>
      </c>
      <c r="D600" s="2" t="inlineStr">
        <is>
          <t>East</t>
        </is>
      </c>
    </row>
    <row r="601">
      <c r="A601" s="2" t="inlineStr">
        <is>
          <t>C0129</t>
        </is>
      </c>
      <c r="B601" s="2" t="inlineStr">
        <is>
          <t>Karnataka</t>
        </is>
      </c>
      <c r="C601" s="2" t="inlineStr">
        <is>
          <t>Mangaluru</t>
        </is>
      </c>
      <c r="D601" s="2" t="inlineStr">
        <is>
          <t>South</t>
        </is>
      </c>
    </row>
    <row r="602">
      <c r="A602" s="2" t="inlineStr">
        <is>
          <t>C0130</t>
        </is>
      </c>
      <c r="B602" s="2" t="inlineStr">
        <is>
          <t>West Bengal</t>
        </is>
      </c>
      <c r="C602" s="2" t="inlineStr">
        <is>
          <t>Kolkata</t>
        </is>
      </c>
      <c r="D602" s="2" t="inlineStr">
        <is>
          <t>East</t>
        </is>
      </c>
    </row>
    <row r="603">
      <c r="A603" s="2" t="inlineStr">
        <is>
          <t>C0130</t>
        </is>
      </c>
      <c r="B603" s="2" t="inlineStr">
        <is>
          <t>Gujarat</t>
        </is>
      </c>
      <c r="C603" s="2" t="inlineStr">
        <is>
          <t>Surat</t>
        </is>
      </c>
      <c r="D603" s="2" t="inlineStr">
        <is>
          <t>West</t>
        </is>
      </c>
    </row>
    <row r="604">
      <c r="A604" s="2" t="inlineStr">
        <is>
          <t>C0130</t>
        </is>
      </c>
      <c r="B604" s="2" t="inlineStr">
        <is>
          <t>Odisha</t>
        </is>
      </c>
      <c r="C604" s="2" t="inlineStr">
        <is>
          <t>Cuttack</t>
        </is>
      </c>
      <c r="D604" s="2" t="inlineStr">
        <is>
          <t>East</t>
        </is>
      </c>
    </row>
    <row r="605">
      <c r="A605" s="2" t="inlineStr">
        <is>
          <t>C0131</t>
        </is>
      </c>
      <c r="B605" s="2" t="inlineStr">
        <is>
          <t>Goa</t>
        </is>
      </c>
      <c r="C605" s="2" t="inlineStr">
        <is>
          <t>Margao</t>
        </is>
      </c>
      <c r="D605" s="2" t="inlineStr">
        <is>
          <t>West</t>
        </is>
      </c>
    </row>
    <row r="606">
      <c r="A606" s="2" t="inlineStr">
        <is>
          <t>C0131</t>
        </is>
      </c>
      <c r="B606" s="2" t="inlineStr">
        <is>
          <t>West Bengal</t>
        </is>
      </c>
      <c r="C606" s="2" t="inlineStr">
        <is>
          <t>Kolkata</t>
        </is>
      </c>
      <c r="D606" s="2" t="inlineStr">
        <is>
          <t>East</t>
        </is>
      </c>
    </row>
    <row r="607">
      <c r="A607" s="2" t="inlineStr">
        <is>
          <t>C0131</t>
        </is>
      </c>
      <c r="B607" s="2" t="inlineStr">
        <is>
          <t>Telangana</t>
        </is>
      </c>
      <c r="C607" s="2" t="inlineStr">
        <is>
          <t>Warangal</t>
        </is>
      </c>
      <c r="D607" s="2" t="inlineStr">
        <is>
          <t>South</t>
        </is>
      </c>
    </row>
    <row r="608">
      <c r="A608" s="2" t="inlineStr">
        <is>
          <t>C0133</t>
        </is>
      </c>
      <c r="B608" s="2" t="inlineStr">
        <is>
          <t>Goa</t>
        </is>
      </c>
      <c r="C608" s="2" t="inlineStr">
        <is>
          <t>Panaji</t>
        </is>
      </c>
      <c r="D608" s="2" t="inlineStr">
        <is>
          <t>West</t>
        </is>
      </c>
    </row>
    <row r="609">
      <c r="A609" s="2" t="inlineStr">
        <is>
          <t>C0133</t>
        </is>
      </c>
      <c r="B609" s="2" t="inlineStr">
        <is>
          <t>Gujarat</t>
        </is>
      </c>
      <c r="C609" s="2" t="inlineStr">
        <is>
          <t>Ahmedabad</t>
        </is>
      </c>
      <c r="D609" s="2" t="inlineStr">
        <is>
          <t>West</t>
        </is>
      </c>
    </row>
    <row r="610">
      <c r="A610" s="2" t="inlineStr">
        <is>
          <t>C0133</t>
        </is>
      </c>
      <c r="B610" s="2" t="inlineStr">
        <is>
          <t>Haryana</t>
        </is>
      </c>
      <c r="C610" s="2" t="inlineStr">
        <is>
          <t>Faridabad</t>
        </is>
      </c>
      <c r="D610" s="2" t="inlineStr">
        <is>
          <t>North</t>
        </is>
      </c>
    </row>
    <row r="611">
      <c r="A611" s="2" t="inlineStr">
        <is>
          <t>C0133</t>
        </is>
      </c>
      <c r="B611" s="2" t="inlineStr">
        <is>
          <t>Tamil Nadu</t>
        </is>
      </c>
      <c r="C611" s="2" t="inlineStr">
        <is>
          <t>Madurai</t>
        </is>
      </c>
      <c r="D611" s="2" t="inlineStr">
        <is>
          <t>South</t>
        </is>
      </c>
    </row>
    <row r="612">
      <c r="A612" s="2" t="inlineStr">
        <is>
          <t>C0133</t>
        </is>
      </c>
      <c r="B612" s="2" t="inlineStr">
        <is>
          <t>Gujarat</t>
        </is>
      </c>
      <c r="C612" s="2" t="inlineStr">
        <is>
          <t>Vadodara</t>
        </is>
      </c>
      <c r="D612" s="2" t="inlineStr">
        <is>
          <t>West</t>
        </is>
      </c>
    </row>
    <row r="613">
      <c r="A613" s="2" t="inlineStr">
        <is>
          <t>C0133</t>
        </is>
      </c>
      <c r="B613" s="2" t="inlineStr">
        <is>
          <t>Gujarat</t>
        </is>
      </c>
      <c r="C613" s="2" t="inlineStr">
        <is>
          <t>Surat</t>
        </is>
      </c>
      <c r="D613" s="2" t="inlineStr">
        <is>
          <t>West</t>
        </is>
      </c>
    </row>
    <row r="614">
      <c r="A614" s="2" t="inlineStr">
        <is>
          <t>C0133</t>
        </is>
      </c>
      <c r="B614" s="2" t="inlineStr">
        <is>
          <t>West Bengal</t>
        </is>
      </c>
      <c r="C614" s="2" t="inlineStr">
        <is>
          <t>Kolkata</t>
        </is>
      </c>
      <c r="D614" s="2" t="inlineStr">
        <is>
          <t>East</t>
        </is>
      </c>
    </row>
    <row r="615">
      <c r="A615" s="2" t="inlineStr">
        <is>
          <t>C0134</t>
        </is>
      </c>
      <c r="B615" s="2" t="inlineStr">
        <is>
          <t>Gujarat</t>
        </is>
      </c>
      <c r="C615" s="2" t="inlineStr">
        <is>
          <t>Vadodara</t>
        </is>
      </c>
      <c r="D615" s="2" t="inlineStr">
        <is>
          <t>West</t>
        </is>
      </c>
    </row>
    <row r="616">
      <c r="A616" s="2" t="inlineStr">
        <is>
          <t>C0134</t>
        </is>
      </c>
      <c r="B616" s="2" t="inlineStr">
        <is>
          <t>Punjab</t>
        </is>
      </c>
      <c r="C616" s="2" t="inlineStr">
        <is>
          <t>Amritsar</t>
        </is>
      </c>
      <c r="D616" s="2" t="inlineStr">
        <is>
          <t>North</t>
        </is>
      </c>
    </row>
    <row r="617">
      <c r="A617" s="2" t="inlineStr">
        <is>
          <t>C0134</t>
        </is>
      </c>
      <c r="B617" s="2" t="inlineStr">
        <is>
          <t>Tamil Nadu</t>
        </is>
      </c>
      <c r="C617" s="2" t="inlineStr">
        <is>
          <t>Coimbatore</t>
        </is>
      </c>
      <c r="D617" s="2" t="inlineStr">
        <is>
          <t>South</t>
        </is>
      </c>
    </row>
    <row r="618">
      <c r="A618" s="2" t="inlineStr">
        <is>
          <t>C0136</t>
        </is>
      </c>
      <c r="B618" s="2" t="inlineStr">
        <is>
          <t>Punjab</t>
        </is>
      </c>
      <c r="C618" s="2" t="inlineStr">
        <is>
          <t>Ludhiana</t>
        </is>
      </c>
      <c r="D618" s="2" t="inlineStr">
        <is>
          <t>North</t>
        </is>
      </c>
    </row>
    <row r="619">
      <c r="A619" s="2" t="inlineStr">
        <is>
          <t>C0136</t>
        </is>
      </c>
      <c r="B619" s="2" t="inlineStr">
        <is>
          <t>Uttar Pradesh</t>
        </is>
      </c>
      <c r="C619" s="2" t="inlineStr">
        <is>
          <t>Varanasi</t>
        </is>
      </c>
      <c r="D619" s="2" t="inlineStr">
        <is>
          <t>North</t>
        </is>
      </c>
    </row>
    <row r="620">
      <c r="A620" s="2" t="inlineStr">
        <is>
          <t>C0136</t>
        </is>
      </c>
      <c r="B620" s="2" t="inlineStr">
        <is>
          <t>Uttar Pradesh</t>
        </is>
      </c>
      <c r="C620" s="2" t="inlineStr">
        <is>
          <t>Kanpur</t>
        </is>
      </c>
      <c r="D620" s="2" t="inlineStr">
        <is>
          <t>North</t>
        </is>
      </c>
    </row>
    <row r="621">
      <c r="A621" s="2" t="inlineStr">
        <is>
          <t>C0136</t>
        </is>
      </c>
      <c r="B621" s="2" t="inlineStr">
        <is>
          <t>Goa</t>
        </is>
      </c>
      <c r="C621" s="2" t="inlineStr">
        <is>
          <t>Margao</t>
        </is>
      </c>
      <c r="D621" s="2" t="inlineStr">
        <is>
          <t>West</t>
        </is>
      </c>
    </row>
    <row r="622">
      <c r="A622" s="2" t="inlineStr">
        <is>
          <t>C0137</t>
        </is>
      </c>
      <c r="B622" s="2" t="inlineStr">
        <is>
          <t>Gujarat</t>
        </is>
      </c>
      <c r="C622" s="2" t="inlineStr">
        <is>
          <t>Surat</t>
        </is>
      </c>
      <c r="D622" s="2" t="inlineStr">
        <is>
          <t>West</t>
        </is>
      </c>
    </row>
    <row r="623">
      <c r="A623" s="2" t="inlineStr">
        <is>
          <t>C0137</t>
        </is>
      </c>
      <c r="B623" s="2" t="inlineStr">
        <is>
          <t>Telangana</t>
        </is>
      </c>
      <c r="C623" s="2" t="inlineStr">
        <is>
          <t>Warangal</t>
        </is>
      </c>
      <c r="D623" s="2" t="inlineStr">
        <is>
          <t>South</t>
        </is>
      </c>
    </row>
    <row r="624">
      <c r="A624" s="2" t="inlineStr">
        <is>
          <t>C0137</t>
        </is>
      </c>
      <c r="B624" s="2" t="inlineStr">
        <is>
          <t>Gujarat</t>
        </is>
      </c>
      <c r="C624" s="2" t="inlineStr">
        <is>
          <t>Ahmedabad</t>
        </is>
      </c>
      <c r="D624" s="2" t="inlineStr">
        <is>
          <t>West</t>
        </is>
      </c>
    </row>
    <row r="625">
      <c r="A625" s="2" t="inlineStr">
        <is>
          <t>C0137</t>
        </is>
      </c>
      <c r="B625" s="2" t="inlineStr">
        <is>
          <t>West Bengal</t>
        </is>
      </c>
      <c r="C625" s="2" t="inlineStr">
        <is>
          <t>Durgapur</t>
        </is>
      </c>
      <c r="D625" s="2" t="inlineStr">
        <is>
          <t>East</t>
        </is>
      </c>
    </row>
    <row r="626">
      <c r="A626" s="2" t="inlineStr">
        <is>
          <t>C0137</t>
        </is>
      </c>
      <c r="B626" s="2" t="inlineStr">
        <is>
          <t>Punjab</t>
        </is>
      </c>
      <c r="C626" s="2" t="inlineStr">
        <is>
          <t>Jalandhar</t>
        </is>
      </c>
      <c r="D626" s="2" t="inlineStr">
        <is>
          <t>North</t>
        </is>
      </c>
    </row>
    <row r="627">
      <c r="A627" s="2" t="inlineStr">
        <is>
          <t>C0137</t>
        </is>
      </c>
      <c r="B627" s="2" t="inlineStr">
        <is>
          <t>Karnataka</t>
        </is>
      </c>
      <c r="C627" s="2" t="inlineStr">
        <is>
          <t>Mysuru</t>
        </is>
      </c>
      <c r="D627" s="2" t="inlineStr">
        <is>
          <t>South</t>
        </is>
      </c>
    </row>
    <row r="628">
      <c r="A628" s="2" t="inlineStr">
        <is>
          <t>C0137</t>
        </is>
      </c>
      <c r="B628" s="2" t="inlineStr">
        <is>
          <t>Uttar Pradesh</t>
        </is>
      </c>
      <c r="C628" s="2" t="inlineStr">
        <is>
          <t>Varanasi</t>
        </is>
      </c>
      <c r="D628" s="2" t="inlineStr">
        <is>
          <t>North</t>
        </is>
      </c>
    </row>
    <row r="629">
      <c r="A629" s="2" t="inlineStr">
        <is>
          <t>C0137</t>
        </is>
      </c>
      <c r="B629" s="2" t="inlineStr">
        <is>
          <t>Maharashtra</t>
        </is>
      </c>
      <c r="C629" s="2" t="inlineStr">
        <is>
          <t>Nashik</t>
        </is>
      </c>
      <c r="D629" s="2" t="inlineStr">
        <is>
          <t>West</t>
        </is>
      </c>
    </row>
    <row r="630">
      <c r="A630" s="2" t="inlineStr">
        <is>
          <t>C0137</t>
        </is>
      </c>
      <c r="B630" s="2" t="inlineStr">
        <is>
          <t>Goa</t>
        </is>
      </c>
      <c r="C630" s="2" t="inlineStr">
        <is>
          <t>Margao</t>
        </is>
      </c>
      <c r="D630" s="2" t="inlineStr">
        <is>
          <t>West</t>
        </is>
      </c>
    </row>
    <row r="631">
      <c r="A631" s="2" t="inlineStr">
        <is>
          <t>C0138</t>
        </is>
      </c>
      <c r="B631" s="2" t="inlineStr">
        <is>
          <t>Telangana</t>
        </is>
      </c>
      <c r="C631" s="2" t="inlineStr">
        <is>
          <t>Hyderabad</t>
        </is>
      </c>
      <c r="D631" s="2" t="inlineStr">
        <is>
          <t>South</t>
        </is>
      </c>
    </row>
    <row r="632">
      <c r="A632" s="2" t="inlineStr">
        <is>
          <t>C0138</t>
        </is>
      </c>
      <c r="B632" s="2" t="inlineStr">
        <is>
          <t>Maharashtra</t>
        </is>
      </c>
      <c r="C632" s="2" t="inlineStr">
        <is>
          <t>Thane</t>
        </is>
      </c>
      <c r="D632" s="2" t="inlineStr">
        <is>
          <t>West</t>
        </is>
      </c>
    </row>
    <row r="633">
      <c r="A633" s="2" t="inlineStr">
        <is>
          <t>C0138</t>
        </is>
      </c>
      <c r="B633" s="2" t="inlineStr">
        <is>
          <t>Goa</t>
        </is>
      </c>
      <c r="C633" s="2" t="inlineStr">
        <is>
          <t>Margao</t>
        </is>
      </c>
      <c r="D633" s="2" t="inlineStr">
        <is>
          <t>West</t>
        </is>
      </c>
    </row>
    <row r="634">
      <c r="A634" s="2" t="inlineStr">
        <is>
          <t>C0138</t>
        </is>
      </c>
      <c r="B634" s="2" t="inlineStr">
        <is>
          <t>West Bengal</t>
        </is>
      </c>
      <c r="C634" s="2" t="inlineStr">
        <is>
          <t>Kolkata</t>
        </is>
      </c>
      <c r="D634" s="2" t="inlineStr">
        <is>
          <t>East</t>
        </is>
      </c>
    </row>
    <row r="635">
      <c r="A635" s="2" t="inlineStr">
        <is>
          <t>C0138</t>
        </is>
      </c>
      <c r="B635" s="2" t="inlineStr">
        <is>
          <t>West Bengal</t>
        </is>
      </c>
      <c r="C635" s="2" t="inlineStr">
        <is>
          <t>Durgapur</t>
        </is>
      </c>
      <c r="D635" s="2" t="inlineStr">
        <is>
          <t>East</t>
        </is>
      </c>
    </row>
    <row r="636">
      <c r="A636" s="2" t="inlineStr">
        <is>
          <t>C0139</t>
        </is>
      </c>
      <c r="B636" s="2" t="inlineStr">
        <is>
          <t>Kerala</t>
        </is>
      </c>
      <c r="C636" s="2" t="inlineStr">
        <is>
          <t>Kochi</t>
        </is>
      </c>
      <c r="D636" s="2" t="inlineStr">
        <is>
          <t>South</t>
        </is>
      </c>
    </row>
    <row r="637">
      <c r="A637" s="2" t="inlineStr">
        <is>
          <t>C0139</t>
        </is>
      </c>
      <c r="B637" s="2" t="inlineStr">
        <is>
          <t>West Bengal</t>
        </is>
      </c>
      <c r="C637" s="2" t="inlineStr">
        <is>
          <t>Kolkata</t>
        </is>
      </c>
      <c r="D637" s="2" t="inlineStr">
        <is>
          <t>East</t>
        </is>
      </c>
    </row>
    <row r="638">
      <c r="A638" s="2" t="inlineStr">
        <is>
          <t>C0140</t>
        </is>
      </c>
      <c r="B638" s="2" t="inlineStr">
        <is>
          <t>Telangana</t>
        </is>
      </c>
      <c r="C638" s="2" t="inlineStr">
        <is>
          <t>Warangal</t>
        </is>
      </c>
      <c r="D638" s="2" t="inlineStr">
        <is>
          <t>South</t>
        </is>
      </c>
    </row>
    <row r="639">
      <c r="A639" s="2" t="inlineStr">
        <is>
          <t>C0140</t>
        </is>
      </c>
      <c r="B639" s="2" t="inlineStr">
        <is>
          <t>Bihar</t>
        </is>
      </c>
      <c r="C639" s="2" t="inlineStr">
        <is>
          <t>Patna</t>
        </is>
      </c>
      <c r="D639" s="2" t="inlineStr">
        <is>
          <t>East</t>
        </is>
      </c>
    </row>
    <row r="640">
      <c r="A640" s="2" t="inlineStr">
        <is>
          <t>C0140</t>
        </is>
      </c>
      <c r="B640" s="2" t="inlineStr">
        <is>
          <t>Gujarat</t>
        </is>
      </c>
      <c r="C640" s="2" t="inlineStr">
        <is>
          <t>Ahmedabad</t>
        </is>
      </c>
      <c r="D640" s="2" t="inlineStr">
        <is>
          <t>West</t>
        </is>
      </c>
    </row>
    <row r="641">
      <c r="A641" s="2" t="inlineStr">
        <is>
          <t>C0140</t>
        </is>
      </c>
      <c r="B641" s="2" t="inlineStr">
        <is>
          <t>Tamil Nadu</t>
        </is>
      </c>
      <c r="C641" s="2" t="inlineStr">
        <is>
          <t>Coimbatore</t>
        </is>
      </c>
      <c r="D641" s="2" t="inlineStr">
        <is>
          <t>South</t>
        </is>
      </c>
    </row>
    <row r="642">
      <c r="A642" s="2" t="inlineStr">
        <is>
          <t>C0140</t>
        </is>
      </c>
      <c r="B642" s="2" t="inlineStr">
        <is>
          <t>Gujarat</t>
        </is>
      </c>
      <c r="C642" s="2" t="inlineStr">
        <is>
          <t>Vadodara</t>
        </is>
      </c>
      <c r="D642" s="2" t="inlineStr">
        <is>
          <t>West</t>
        </is>
      </c>
    </row>
    <row r="643">
      <c r="A643" s="2" t="inlineStr">
        <is>
          <t>C0140</t>
        </is>
      </c>
      <c r="B643" s="2" t="inlineStr">
        <is>
          <t>Karnataka</t>
        </is>
      </c>
      <c r="C643" s="2" t="inlineStr">
        <is>
          <t>Bengaluru</t>
        </is>
      </c>
      <c r="D643" s="2" t="inlineStr">
        <is>
          <t>South</t>
        </is>
      </c>
    </row>
    <row r="644">
      <c r="A644" s="2" t="inlineStr">
        <is>
          <t>C0141</t>
        </is>
      </c>
      <c r="B644" s="2" t="inlineStr">
        <is>
          <t>Gujarat</t>
        </is>
      </c>
      <c r="C644" s="2" t="inlineStr">
        <is>
          <t>Ahmedabad</t>
        </is>
      </c>
      <c r="D644" s="2" t="inlineStr">
        <is>
          <t>West</t>
        </is>
      </c>
    </row>
    <row r="645">
      <c r="A645" s="2" t="inlineStr">
        <is>
          <t>C0141</t>
        </is>
      </c>
      <c r="B645" s="2" t="inlineStr">
        <is>
          <t>Maharashtra</t>
        </is>
      </c>
      <c r="C645" s="2" t="inlineStr">
        <is>
          <t>Mumbai</t>
        </is>
      </c>
      <c r="D645" s="2" t="inlineStr">
        <is>
          <t>West</t>
        </is>
      </c>
    </row>
    <row r="646">
      <c r="A646" s="2" t="inlineStr">
        <is>
          <t>C0141</t>
        </is>
      </c>
      <c r="B646" s="2" t="inlineStr">
        <is>
          <t>Uttar Pradesh</t>
        </is>
      </c>
      <c r="C646" s="2" t="inlineStr">
        <is>
          <t>Kanpur</t>
        </is>
      </c>
      <c r="D646" s="2" t="inlineStr">
        <is>
          <t>North</t>
        </is>
      </c>
    </row>
    <row r="647">
      <c r="A647" s="2" t="inlineStr">
        <is>
          <t>C0143</t>
        </is>
      </c>
      <c r="B647" s="2" t="inlineStr">
        <is>
          <t>Tamil Nadu</t>
        </is>
      </c>
      <c r="C647" s="2" t="inlineStr">
        <is>
          <t>Madurai</t>
        </is>
      </c>
      <c r="D647" s="2" t="inlineStr">
        <is>
          <t>South</t>
        </is>
      </c>
    </row>
    <row r="648">
      <c r="A648" s="2" t="inlineStr">
        <is>
          <t>C0143</t>
        </is>
      </c>
      <c r="B648" s="2" t="inlineStr">
        <is>
          <t>Maharashtra</t>
        </is>
      </c>
      <c r="C648" s="2" t="inlineStr">
        <is>
          <t>Nashik</t>
        </is>
      </c>
      <c r="D648" s="2" t="inlineStr">
        <is>
          <t>West</t>
        </is>
      </c>
    </row>
    <row r="649">
      <c r="A649" s="2" t="inlineStr">
        <is>
          <t>C0143</t>
        </is>
      </c>
      <c r="B649" s="2" t="inlineStr">
        <is>
          <t>Uttar Pradesh</t>
        </is>
      </c>
      <c r="C649" s="2" t="inlineStr">
        <is>
          <t>Lucknow</t>
        </is>
      </c>
      <c r="D649" s="2" t="inlineStr">
        <is>
          <t>North</t>
        </is>
      </c>
    </row>
    <row r="650">
      <c r="A650" s="2" t="inlineStr">
        <is>
          <t>C0143</t>
        </is>
      </c>
      <c r="B650" s="2" t="inlineStr">
        <is>
          <t>Maharashtra</t>
        </is>
      </c>
      <c r="C650" s="2" t="inlineStr">
        <is>
          <t>Thane</t>
        </is>
      </c>
      <c r="D650" s="2" t="inlineStr">
        <is>
          <t>West</t>
        </is>
      </c>
    </row>
    <row r="651">
      <c r="A651" s="2" t="inlineStr">
        <is>
          <t>C0143</t>
        </is>
      </c>
      <c r="B651" s="2" t="inlineStr">
        <is>
          <t>Telangana</t>
        </is>
      </c>
      <c r="C651" s="2" t="inlineStr">
        <is>
          <t>Warangal</t>
        </is>
      </c>
      <c r="D651" s="2" t="inlineStr">
        <is>
          <t>South</t>
        </is>
      </c>
    </row>
    <row r="652">
      <c r="A652" s="2" t="inlineStr">
        <is>
          <t>C0143</t>
        </is>
      </c>
      <c r="B652" s="2" t="inlineStr">
        <is>
          <t>Karnataka</t>
        </is>
      </c>
      <c r="C652" s="2" t="inlineStr">
        <is>
          <t>Bengaluru</t>
        </is>
      </c>
      <c r="D652" s="2" t="inlineStr">
        <is>
          <t>South</t>
        </is>
      </c>
    </row>
    <row r="653">
      <c r="A653" s="2" t="inlineStr">
        <is>
          <t>C0143</t>
        </is>
      </c>
      <c r="B653" s="2" t="inlineStr">
        <is>
          <t>Bihar</t>
        </is>
      </c>
      <c r="C653" s="2" t="inlineStr">
        <is>
          <t>Gaya</t>
        </is>
      </c>
      <c r="D653" s="2" t="inlineStr">
        <is>
          <t>East</t>
        </is>
      </c>
    </row>
    <row r="654">
      <c r="A654" s="2" t="inlineStr">
        <is>
          <t>C0143</t>
        </is>
      </c>
      <c r="B654" s="2" t="inlineStr">
        <is>
          <t>Gujarat</t>
        </is>
      </c>
      <c r="C654" s="2" t="inlineStr">
        <is>
          <t>Surat</t>
        </is>
      </c>
      <c r="D654" s="2" t="inlineStr">
        <is>
          <t>West</t>
        </is>
      </c>
    </row>
    <row r="655">
      <c r="A655" s="2" t="inlineStr">
        <is>
          <t>C0145</t>
        </is>
      </c>
      <c r="B655" s="2" t="inlineStr">
        <is>
          <t>Goa</t>
        </is>
      </c>
      <c r="C655" s="2" t="inlineStr">
        <is>
          <t>Panaji</t>
        </is>
      </c>
      <c r="D655" s="2" t="inlineStr">
        <is>
          <t>West</t>
        </is>
      </c>
    </row>
    <row r="656">
      <c r="A656" s="2" t="inlineStr">
        <is>
          <t>C0145</t>
        </is>
      </c>
      <c r="B656" s="2" t="inlineStr">
        <is>
          <t>Haryana</t>
        </is>
      </c>
      <c r="C656" s="2" t="inlineStr">
        <is>
          <t>Gurugram</t>
        </is>
      </c>
      <c r="D656" s="2" t="inlineStr">
        <is>
          <t>North</t>
        </is>
      </c>
    </row>
    <row r="657">
      <c r="A657" s="2" t="inlineStr">
        <is>
          <t>C0146</t>
        </is>
      </c>
      <c r="B657" s="2" t="inlineStr">
        <is>
          <t>Gujarat</t>
        </is>
      </c>
      <c r="C657" s="2" t="inlineStr">
        <is>
          <t>Ahmedabad</t>
        </is>
      </c>
      <c r="D657" s="2" t="inlineStr">
        <is>
          <t>West</t>
        </is>
      </c>
    </row>
    <row r="658">
      <c r="A658" s="2" t="inlineStr">
        <is>
          <t>C0146</t>
        </is>
      </c>
      <c r="B658" s="2" t="inlineStr">
        <is>
          <t>Tamil Nadu</t>
        </is>
      </c>
      <c r="C658" s="2" t="inlineStr">
        <is>
          <t>Coimbatore</t>
        </is>
      </c>
      <c r="D658" s="2" t="inlineStr">
        <is>
          <t>South</t>
        </is>
      </c>
    </row>
    <row r="659">
      <c r="A659" s="2" t="inlineStr">
        <is>
          <t>C0147</t>
        </is>
      </c>
      <c r="B659" s="2" t="inlineStr">
        <is>
          <t>West Bengal</t>
        </is>
      </c>
      <c r="C659" s="2" t="inlineStr">
        <is>
          <t>Kolkata</t>
        </is>
      </c>
      <c r="D659" s="2" t="inlineStr">
        <is>
          <t>East</t>
        </is>
      </c>
    </row>
    <row r="660">
      <c r="A660" s="2" t="inlineStr">
        <is>
          <t>C0147</t>
        </is>
      </c>
      <c r="B660" s="2" t="inlineStr">
        <is>
          <t>Karnataka</t>
        </is>
      </c>
      <c r="C660" s="2" t="inlineStr">
        <is>
          <t>Mysuru</t>
        </is>
      </c>
      <c r="D660" s="2" t="inlineStr">
        <is>
          <t>South</t>
        </is>
      </c>
    </row>
    <row r="661">
      <c r="A661" s="2" t="inlineStr">
        <is>
          <t>C0147</t>
        </is>
      </c>
      <c r="B661" s="2" t="inlineStr">
        <is>
          <t>Karnataka</t>
        </is>
      </c>
      <c r="C661" s="2" t="inlineStr">
        <is>
          <t>Bengaluru</t>
        </is>
      </c>
      <c r="D661" s="2" t="inlineStr">
        <is>
          <t>South</t>
        </is>
      </c>
    </row>
    <row r="662">
      <c r="A662" s="2" t="inlineStr">
        <is>
          <t>C0148</t>
        </is>
      </c>
      <c r="B662" s="2" t="inlineStr">
        <is>
          <t>Maharashtra</t>
        </is>
      </c>
      <c r="C662" s="2" t="inlineStr">
        <is>
          <t>Pune</t>
        </is>
      </c>
      <c r="D662" s="2" t="inlineStr">
        <is>
          <t>West</t>
        </is>
      </c>
    </row>
    <row r="663">
      <c r="A663" s="2" t="inlineStr">
        <is>
          <t>C0148</t>
        </is>
      </c>
      <c r="B663" s="2" t="inlineStr">
        <is>
          <t>Karnataka</t>
        </is>
      </c>
      <c r="C663" s="2" t="inlineStr">
        <is>
          <t>Bengaluru</t>
        </is>
      </c>
      <c r="D663" s="2" t="inlineStr">
        <is>
          <t>South</t>
        </is>
      </c>
    </row>
    <row r="664">
      <c r="A664" s="2" t="inlineStr">
        <is>
          <t>C0148</t>
        </is>
      </c>
      <c r="B664" s="2" t="inlineStr">
        <is>
          <t>West Bengal</t>
        </is>
      </c>
      <c r="C664" s="2" t="inlineStr">
        <is>
          <t>Durgapur</t>
        </is>
      </c>
      <c r="D664" s="2" t="inlineStr">
        <is>
          <t>East</t>
        </is>
      </c>
    </row>
    <row r="665">
      <c r="A665" s="2" t="inlineStr">
        <is>
          <t>C0150</t>
        </is>
      </c>
      <c r="B665" s="2" t="inlineStr">
        <is>
          <t>Telangana</t>
        </is>
      </c>
      <c r="C665" s="2" t="inlineStr">
        <is>
          <t>Hyderabad</t>
        </is>
      </c>
      <c r="D665" s="2" t="inlineStr">
        <is>
          <t>South</t>
        </is>
      </c>
    </row>
    <row r="666">
      <c r="A666" s="2" t="inlineStr">
        <is>
          <t>C0150</t>
        </is>
      </c>
      <c r="B666" s="2" t="inlineStr">
        <is>
          <t>Maharashtra</t>
        </is>
      </c>
      <c r="C666" s="2" t="inlineStr">
        <is>
          <t>Mumbai</t>
        </is>
      </c>
      <c r="D666" s="2" t="inlineStr">
        <is>
          <t>West</t>
        </is>
      </c>
    </row>
    <row r="667">
      <c r="A667" s="2" t="inlineStr">
        <is>
          <t>C0150</t>
        </is>
      </c>
      <c r="B667" s="2" t="inlineStr">
        <is>
          <t>Goa</t>
        </is>
      </c>
      <c r="C667" s="2" t="inlineStr">
        <is>
          <t>Margao</t>
        </is>
      </c>
      <c r="D667" s="2" t="inlineStr">
        <is>
          <t>West</t>
        </is>
      </c>
    </row>
    <row r="668">
      <c r="A668" s="2" t="inlineStr">
        <is>
          <t>C0150</t>
        </is>
      </c>
      <c r="B668" s="2" t="inlineStr">
        <is>
          <t>Telangana</t>
        </is>
      </c>
      <c r="C668" s="2" t="inlineStr">
        <is>
          <t>Warangal</t>
        </is>
      </c>
      <c r="D668" s="2" t="inlineStr">
        <is>
          <t>South</t>
        </is>
      </c>
    </row>
    <row r="669">
      <c r="A669" s="2" t="inlineStr">
        <is>
          <t>C0150</t>
        </is>
      </c>
      <c r="B669" s="2" t="inlineStr">
        <is>
          <t>Tamil Nadu</t>
        </is>
      </c>
      <c r="C669" s="2" t="inlineStr">
        <is>
          <t>Coimbatore</t>
        </is>
      </c>
      <c r="D669" s="2" t="inlineStr">
        <is>
          <t>South</t>
        </is>
      </c>
    </row>
    <row r="670">
      <c r="A670" s="2" t="inlineStr">
        <is>
          <t>C0150</t>
        </is>
      </c>
      <c r="B670" s="2" t="inlineStr">
        <is>
          <t>Maharashtra</t>
        </is>
      </c>
      <c r="C670" s="2" t="inlineStr">
        <is>
          <t>Nagpur</t>
        </is>
      </c>
      <c r="D670" s="2" t="inlineStr">
        <is>
          <t>West</t>
        </is>
      </c>
    </row>
    <row r="671">
      <c r="A671" s="2" t="inlineStr">
        <is>
          <t>C0150</t>
        </is>
      </c>
      <c r="B671" s="2" t="inlineStr">
        <is>
          <t>Gujarat</t>
        </is>
      </c>
      <c r="C671" s="2" t="inlineStr">
        <is>
          <t>Vadodara</t>
        </is>
      </c>
      <c r="D671" s="2" t="inlineStr">
        <is>
          <t>West</t>
        </is>
      </c>
    </row>
    <row r="672">
      <c r="A672" s="2" t="inlineStr">
        <is>
          <t>C0150</t>
        </is>
      </c>
      <c r="B672" s="2" t="inlineStr">
        <is>
          <t>Goa</t>
        </is>
      </c>
      <c r="C672" s="2" t="inlineStr">
        <is>
          <t>Panaji</t>
        </is>
      </c>
      <c r="D672" s="2" t="inlineStr">
        <is>
          <t>West</t>
        </is>
      </c>
    </row>
    <row r="673">
      <c r="A673" s="2" t="inlineStr">
        <is>
          <t>C0150</t>
        </is>
      </c>
      <c r="B673" s="2" t="inlineStr">
        <is>
          <t>Tamil Nadu</t>
        </is>
      </c>
      <c r="C673" s="2" t="inlineStr">
        <is>
          <t>Madurai</t>
        </is>
      </c>
      <c r="D673" s="2" t="inlineStr">
        <is>
          <t>South</t>
        </is>
      </c>
    </row>
    <row r="674">
      <c r="A674" s="2" t="inlineStr">
        <is>
          <t>C0150</t>
        </is>
      </c>
      <c r="B674" s="2" t="inlineStr">
        <is>
          <t>Uttar Pradesh</t>
        </is>
      </c>
      <c r="C674" s="2" t="inlineStr">
        <is>
          <t>Noida</t>
        </is>
      </c>
      <c r="D674" s="2" t="inlineStr">
        <is>
          <t>North</t>
        </is>
      </c>
    </row>
    <row r="675">
      <c r="A675" s="2" t="inlineStr">
        <is>
          <t>C0150</t>
        </is>
      </c>
      <c r="B675" s="2" t="inlineStr">
        <is>
          <t>Bihar</t>
        </is>
      </c>
      <c r="C675" s="2" t="inlineStr">
        <is>
          <t>Gaya</t>
        </is>
      </c>
      <c r="D675" s="2" t="inlineStr">
        <is>
          <t>East</t>
        </is>
      </c>
    </row>
    <row r="676">
      <c r="A676" s="2" t="inlineStr">
        <is>
          <t>C0150</t>
        </is>
      </c>
      <c r="B676" s="2" t="inlineStr">
        <is>
          <t>Karnataka</t>
        </is>
      </c>
      <c r="C676" s="2" t="inlineStr">
        <is>
          <t>Mangaluru</t>
        </is>
      </c>
      <c r="D676" s="2" t="inlineStr">
        <is>
          <t>South</t>
        </is>
      </c>
    </row>
    <row r="677">
      <c r="A677" s="2" t="inlineStr">
        <is>
          <t>C0150</t>
        </is>
      </c>
      <c r="B677" s="2" t="inlineStr">
        <is>
          <t>Haryana</t>
        </is>
      </c>
      <c r="C677" s="2" t="inlineStr">
        <is>
          <t>Faridabad</t>
        </is>
      </c>
      <c r="D677" s="2" t="inlineStr">
        <is>
          <t>North</t>
        </is>
      </c>
    </row>
    <row r="678">
      <c r="A678" s="2" t="inlineStr">
        <is>
          <t>C0150</t>
        </is>
      </c>
      <c r="B678" s="2" t="inlineStr">
        <is>
          <t>West Bengal</t>
        </is>
      </c>
      <c r="C678" s="2" t="inlineStr">
        <is>
          <t>Kolkata</t>
        </is>
      </c>
      <c r="D678" s="2" t="inlineStr">
        <is>
          <t>East</t>
        </is>
      </c>
    </row>
    <row r="679">
      <c r="A679" s="2" t="inlineStr">
        <is>
          <t>C0150</t>
        </is>
      </c>
      <c r="B679" s="2" t="inlineStr">
        <is>
          <t>Kerala</t>
        </is>
      </c>
      <c r="C679" s="2" t="inlineStr">
        <is>
          <t>Kochi</t>
        </is>
      </c>
      <c r="D679" s="2" t="inlineStr">
        <is>
          <t>South</t>
        </is>
      </c>
    </row>
    <row r="680">
      <c r="A680" s="2" t="inlineStr">
        <is>
          <t>C0150</t>
        </is>
      </c>
      <c r="B680" s="2" t="inlineStr">
        <is>
          <t>Delhi</t>
        </is>
      </c>
      <c r="C680" s="2" t="inlineStr">
        <is>
          <t>New Delhi</t>
        </is>
      </c>
      <c r="D680" s="2" t="inlineStr">
        <is>
          <t>North</t>
        </is>
      </c>
    </row>
    <row r="681">
      <c r="A681" s="2" t="inlineStr">
        <is>
          <t>C0150</t>
        </is>
      </c>
      <c r="B681" s="2" t="inlineStr">
        <is>
          <t>Karnataka</t>
        </is>
      </c>
      <c r="C681" s="2" t="inlineStr">
        <is>
          <t>Mysuru</t>
        </is>
      </c>
      <c r="D681" s="2" t="inlineStr">
        <is>
          <t>South</t>
        </is>
      </c>
    </row>
    <row r="682">
      <c r="A682" s="2" t="inlineStr">
        <is>
          <t>C0151</t>
        </is>
      </c>
      <c r="B682" s="2" t="inlineStr">
        <is>
          <t>Delhi</t>
        </is>
      </c>
      <c r="C682" s="2" t="inlineStr">
        <is>
          <t>New Delhi</t>
        </is>
      </c>
      <c r="D682" s="2" t="inlineStr">
        <is>
          <t>North</t>
        </is>
      </c>
    </row>
    <row r="683">
      <c r="A683" s="2" t="inlineStr">
        <is>
          <t>C0151</t>
        </is>
      </c>
      <c r="B683" s="2" t="inlineStr">
        <is>
          <t>Uttar Pradesh</t>
        </is>
      </c>
      <c r="C683" s="2" t="inlineStr">
        <is>
          <t>Kanpur</t>
        </is>
      </c>
      <c r="D683" s="2" t="inlineStr">
        <is>
          <t>North</t>
        </is>
      </c>
    </row>
    <row r="684">
      <c r="A684" s="2" t="inlineStr">
        <is>
          <t>C0151</t>
        </is>
      </c>
      <c r="B684" s="2" t="inlineStr">
        <is>
          <t>Tamil Nadu</t>
        </is>
      </c>
      <c r="C684" s="2" t="inlineStr">
        <is>
          <t>Madurai</t>
        </is>
      </c>
      <c r="D684" s="2" t="inlineStr">
        <is>
          <t>South</t>
        </is>
      </c>
    </row>
    <row r="685">
      <c r="A685" s="2" t="inlineStr">
        <is>
          <t>C0151</t>
        </is>
      </c>
      <c r="B685" s="2" t="inlineStr">
        <is>
          <t>Maharashtra</t>
        </is>
      </c>
      <c r="C685" s="2" t="inlineStr">
        <is>
          <t>Mumbai</t>
        </is>
      </c>
      <c r="D685" s="2" t="inlineStr">
        <is>
          <t>West</t>
        </is>
      </c>
    </row>
    <row r="686">
      <c r="A686" s="2" t="inlineStr">
        <is>
          <t>C0152</t>
        </is>
      </c>
      <c r="B686" s="2" t="inlineStr">
        <is>
          <t>Maharashtra</t>
        </is>
      </c>
      <c r="C686" s="2" t="inlineStr">
        <is>
          <t>Thane</t>
        </is>
      </c>
      <c r="D686" s="2" t="inlineStr">
        <is>
          <t>West</t>
        </is>
      </c>
    </row>
    <row r="687">
      <c r="A687" s="2" t="inlineStr">
        <is>
          <t>C0152</t>
        </is>
      </c>
      <c r="B687" s="2" t="inlineStr">
        <is>
          <t>Gujarat</t>
        </is>
      </c>
      <c r="C687" s="2" t="inlineStr">
        <is>
          <t>Ahmedabad</t>
        </is>
      </c>
      <c r="D687" s="2" t="inlineStr">
        <is>
          <t>West</t>
        </is>
      </c>
    </row>
    <row r="688">
      <c r="A688" s="2" t="inlineStr">
        <is>
          <t>C0152</t>
        </is>
      </c>
      <c r="B688" s="2" t="inlineStr">
        <is>
          <t>Delhi</t>
        </is>
      </c>
      <c r="C688" s="2" t="inlineStr">
        <is>
          <t>New Delhi</t>
        </is>
      </c>
      <c r="D688" s="2" t="inlineStr">
        <is>
          <t>North</t>
        </is>
      </c>
    </row>
    <row r="689">
      <c r="A689" s="2" t="inlineStr">
        <is>
          <t>C0152</t>
        </is>
      </c>
      <c r="B689" s="2" t="inlineStr">
        <is>
          <t>Maharashtra</t>
        </is>
      </c>
      <c r="C689" s="2" t="inlineStr">
        <is>
          <t>Pune</t>
        </is>
      </c>
      <c r="D689" s="2" t="inlineStr">
        <is>
          <t>West</t>
        </is>
      </c>
    </row>
    <row r="690">
      <c r="A690" s="2" t="inlineStr">
        <is>
          <t>C0152</t>
        </is>
      </c>
      <c r="B690" s="2" t="inlineStr">
        <is>
          <t>Haryana</t>
        </is>
      </c>
      <c r="C690" s="2" t="inlineStr">
        <is>
          <t>Gurugram</t>
        </is>
      </c>
      <c r="D690" s="2" t="inlineStr">
        <is>
          <t>North</t>
        </is>
      </c>
    </row>
    <row r="691">
      <c r="A691" s="2" t="inlineStr">
        <is>
          <t>C0152</t>
        </is>
      </c>
      <c r="B691" s="2" t="inlineStr">
        <is>
          <t>Goa</t>
        </is>
      </c>
      <c r="C691" s="2" t="inlineStr">
        <is>
          <t>Panaji</t>
        </is>
      </c>
      <c r="D691" s="2" t="inlineStr">
        <is>
          <t>West</t>
        </is>
      </c>
    </row>
    <row r="692">
      <c r="A692" s="2" t="inlineStr">
        <is>
          <t>C0152</t>
        </is>
      </c>
      <c r="B692" s="2" t="inlineStr">
        <is>
          <t>Telangana</t>
        </is>
      </c>
      <c r="C692" s="2" t="inlineStr">
        <is>
          <t>Warangal</t>
        </is>
      </c>
      <c r="D692" s="2" t="inlineStr">
        <is>
          <t>South</t>
        </is>
      </c>
    </row>
    <row r="693">
      <c r="A693" s="2" t="inlineStr">
        <is>
          <t>C0152</t>
        </is>
      </c>
      <c r="B693" s="2" t="inlineStr">
        <is>
          <t>Goa</t>
        </is>
      </c>
      <c r="C693" s="2" t="inlineStr">
        <is>
          <t>Margao</t>
        </is>
      </c>
      <c r="D693" s="2" t="inlineStr">
        <is>
          <t>West</t>
        </is>
      </c>
    </row>
    <row r="694">
      <c r="A694" s="2" t="inlineStr">
        <is>
          <t>C0152</t>
        </is>
      </c>
      <c r="B694" s="2" t="inlineStr">
        <is>
          <t>Kerala</t>
        </is>
      </c>
      <c r="C694" s="2" t="inlineStr">
        <is>
          <t>Kochi</t>
        </is>
      </c>
      <c r="D694" s="2" t="inlineStr">
        <is>
          <t>South</t>
        </is>
      </c>
    </row>
    <row r="695">
      <c r="A695" s="2" t="inlineStr">
        <is>
          <t>C0152</t>
        </is>
      </c>
      <c r="B695" s="2" t="inlineStr">
        <is>
          <t>Punjab</t>
        </is>
      </c>
      <c r="C695" s="2" t="inlineStr">
        <is>
          <t>Jalandhar</t>
        </is>
      </c>
      <c r="D695" s="2" t="inlineStr">
        <is>
          <t>North</t>
        </is>
      </c>
    </row>
    <row r="696">
      <c r="A696" s="2" t="inlineStr">
        <is>
          <t>C0153</t>
        </is>
      </c>
      <c r="B696" s="2" t="inlineStr">
        <is>
          <t>Karnataka</t>
        </is>
      </c>
      <c r="C696" s="2" t="inlineStr">
        <is>
          <t>Mangaluru</t>
        </is>
      </c>
      <c r="D696" s="2" t="inlineStr">
        <is>
          <t>South</t>
        </is>
      </c>
    </row>
    <row r="697">
      <c r="A697" s="2" t="inlineStr">
        <is>
          <t>C0153</t>
        </is>
      </c>
      <c r="B697" s="2" t="inlineStr">
        <is>
          <t>Telangana</t>
        </is>
      </c>
      <c r="C697" s="2" t="inlineStr">
        <is>
          <t>Warangal</t>
        </is>
      </c>
      <c r="D697" s="2" t="inlineStr">
        <is>
          <t>South</t>
        </is>
      </c>
    </row>
    <row r="698">
      <c r="A698" s="2" t="inlineStr">
        <is>
          <t>C0154</t>
        </is>
      </c>
      <c r="B698" s="2" t="inlineStr">
        <is>
          <t>Haryana</t>
        </is>
      </c>
      <c r="C698" s="2" t="inlineStr">
        <is>
          <t>Gurugram</t>
        </is>
      </c>
      <c r="D698" s="2" t="inlineStr">
        <is>
          <t>North</t>
        </is>
      </c>
    </row>
    <row r="699">
      <c r="A699" s="2" t="inlineStr">
        <is>
          <t>C0154</t>
        </is>
      </c>
      <c r="B699" s="2" t="inlineStr">
        <is>
          <t>Delhi</t>
        </is>
      </c>
      <c r="C699" s="2" t="inlineStr">
        <is>
          <t>New Delhi</t>
        </is>
      </c>
      <c r="D699" s="2" t="inlineStr">
        <is>
          <t>North</t>
        </is>
      </c>
    </row>
    <row r="700">
      <c r="A700" s="2" t="inlineStr">
        <is>
          <t>C0154</t>
        </is>
      </c>
      <c r="B700" s="2" t="inlineStr">
        <is>
          <t>Kerala</t>
        </is>
      </c>
      <c r="C700" s="2" t="inlineStr">
        <is>
          <t>Kochi</t>
        </is>
      </c>
      <c r="D700" s="2" t="inlineStr">
        <is>
          <t>South</t>
        </is>
      </c>
    </row>
    <row r="701">
      <c r="A701" s="2" t="inlineStr">
        <is>
          <t>C0154</t>
        </is>
      </c>
      <c r="B701" s="2" t="inlineStr">
        <is>
          <t>Karnataka</t>
        </is>
      </c>
      <c r="C701" s="2" t="inlineStr">
        <is>
          <t>Bengaluru</t>
        </is>
      </c>
      <c r="D701" s="2" t="inlineStr">
        <is>
          <t>South</t>
        </is>
      </c>
    </row>
    <row r="702">
      <c r="A702" s="2" t="inlineStr">
        <is>
          <t>C0155</t>
        </is>
      </c>
      <c r="B702" s="2" t="inlineStr">
        <is>
          <t>Gujarat</t>
        </is>
      </c>
      <c r="C702" s="2" t="inlineStr">
        <is>
          <t>Vadodara</t>
        </is>
      </c>
      <c r="D702" s="2" t="inlineStr">
        <is>
          <t>West</t>
        </is>
      </c>
    </row>
    <row r="703">
      <c r="A703" s="2" t="inlineStr">
        <is>
          <t>C0155</t>
        </is>
      </c>
      <c r="B703" s="2" t="inlineStr">
        <is>
          <t>West Bengal</t>
        </is>
      </c>
      <c r="C703" s="2" t="inlineStr">
        <is>
          <t>Kolkata</t>
        </is>
      </c>
      <c r="D703" s="2" t="inlineStr">
        <is>
          <t>East</t>
        </is>
      </c>
    </row>
    <row r="704">
      <c r="A704" s="2" t="inlineStr">
        <is>
          <t>C0155</t>
        </is>
      </c>
      <c r="B704" s="2" t="inlineStr">
        <is>
          <t>Kerala</t>
        </is>
      </c>
      <c r="C704" s="2" t="inlineStr">
        <is>
          <t>Thiruvananthapuram</t>
        </is>
      </c>
      <c r="D704" s="2" t="inlineStr">
        <is>
          <t>South</t>
        </is>
      </c>
    </row>
    <row r="705">
      <c r="A705" s="2" t="inlineStr">
        <is>
          <t>C0156</t>
        </is>
      </c>
      <c r="B705" s="2" t="inlineStr">
        <is>
          <t>Goa</t>
        </is>
      </c>
      <c r="C705" s="2" t="inlineStr">
        <is>
          <t>Panaji</t>
        </is>
      </c>
      <c r="D705" s="2" t="inlineStr">
        <is>
          <t>West</t>
        </is>
      </c>
    </row>
    <row r="706">
      <c r="A706" s="2" t="inlineStr">
        <is>
          <t>C0156</t>
        </is>
      </c>
      <c r="B706" s="2" t="inlineStr">
        <is>
          <t>Telangana</t>
        </is>
      </c>
      <c r="C706" s="2" t="inlineStr">
        <is>
          <t>Hyderabad</t>
        </is>
      </c>
      <c r="D706" s="2" t="inlineStr">
        <is>
          <t>South</t>
        </is>
      </c>
    </row>
    <row r="707">
      <c r="A707" s="2" t="inlineStr">
        <is>
          <t>C0156</t>
        </is>
      </c>
      <c r="B707" s="2" t="inlineStr">
        <is>
          <t>Punjab</t>
        </is>
      </c>
      <c r="C707" s="2" t="inlineStr">
        <is>
          <t>Ludhiana</t>
        </is>
      </c>
      <c r="D707" s="2" t="inlineStr">
        <is>
          <t>North</t>
        </is>
      </c>
    </row>
    <row r="708">
      <c r="A708" s="2" t="inlineStr">
        <is>
          <t>C0156</t>
        </is>
      </c>
      <c r="B708" s="2" t="inlineStr">
        <is>
          <t>Haryana</t>
        </is>
      </c>
      <c r="C708" s="2" t="inlineStr">
        <is>
          <t>Faridabad</t>
        </is>
      </c>
      <c r="D708" s="2" t="inlineStr">
        <is>
          <t>North</t>
        </is>
      </c>
    </row>
    <row r="709">
      <c r="A709" s="2" t="inlineStr">
        <is>
          <t>C0158</t>
        </is>
      </c>
      <c r="B709" s="2" t="inlineStr">
        <is>
          <t>Maharashtra</t>
        </is>
      </c>
      <c r="C709" s="2" t="inlineStr">
        <is>
          <t>Thane</t>
        </is>
      </c>
      <c r="D709" s="2" t="inlineStr">
        <is>
          <t>West</t>
        </is>
      </c>
    </row>
    <row r="710">
      <c r="A710" s="2" t="inlineStr">
        <is>
          <t>C0158</t>
        </is>
      </c>
      <c r="B710" s="2" t="inlineStr">
        <is>
          <t>Gujarat</t>
        </is>
      </c>
      <c r="C710" s="2" t="inlineStr">
        <is>
          <t>Ahmedabad</t>
        </is>
      </c>
      <c r="D710" s="2" t="inlineStr">
        <is>
          <t>West</t>
        </is>
      </c>
    </row>
    <row r="711">
      <c r="A711" s="2" t="inlineStr">
        <is>
          <t>C0159</t>
        </is>
      </c>
      <c r="B711" s="2" t="inlineStr">
        <is>
          <t>Punjab</t>
        </is>
      </c>
      <c r="C711" s="2" t="inlineStr">
        <is>
          <t>Amritsar</t>
        </is>
      </c>
      <c r="D711" s="2" t="inlineStr">
        <is>
          <t>North</t>
        </is>
      </c>
    </row>
    <row r="712">
      <c r="A712" s="2" t="inlineStr">
        <is>
          <t>C0159</t>
        </is>
      </c>
      <c r="B712" s="2" t="inlineStr">
        <is>
          <t>Telangana</t>
        </is>
      </c>
      <c r="C712" s="2" t="inlineStr">
        <is>
          <t>Hyderabad</t>
        </is>
      </c>
      <c r="D712" s="2" t="inlineStr">
        <is>
          <t>South</t>
        </is>
      </c>
    </row>
    <row r="713">
      <c r="A713" s="2" t="inlineStr">
        <is>
          <t>C0159</t>
        </is>
      </c>
      <c r="B713" s="2" t="inlineStr">
        <is>
          <t>Maharashtra</t>
        </is>
      </c>
      <c r="C713" s="2" t="inlineStr">
        <is>
          <t>Pune</t>
        </is>
      </c>
      <c r="D713" s="2" t="inlineStr">
        <is>
          <t>West</t>
        </is>
      </c>
    </row>
    <row r="714">
      <c r="A714" s="2" t="inlineStr">
        <is>
          <t>C0159</t>
        </is>
      </c>
      <c r="B714" s="2" t="inlineStr">
        <is>
          <t>Delhi</t>
        </is>
      </c>
      <c r="C714" s="2" t="inlineStr">
        <is>
          <t>New Delhi</t>
        </is>
      </c>
      <c r="D714" s="2" t="inlineStr">
        <is>
          <t>North</t>
        </is>
      </c>
    </row>
    <row r="715">
      <c r="A715" s="2" t="inlineStr">
        <is>
          <t>C0160</t>
        </is>
      </c>
      <c r="B715" s="2" t="inlineStr">
        <is>
          <t>Bihar</t>
        </is>
      </c>
      <c r="C715" s="2" t="inlineStr">
        <is>
          <t>Patna</t>
        </is>
      </c>
      <c r="D715" s="2" t="inlineStr">
        <is>
          <t>East</t>
        </is>
      </c>
    </row>
    <row r="716">
      <c r="A716" s="2" t="inlineStr">
        <is>
          <t>C0160</t>
        </is>
      </c>
      <c r="B716" s="2" t="inlineStr">
        <is>
          <t>Haryana</t>
        </is>
      </c>
      <c r="C716" s="2" t="inlineStr">
        <is>
          <t>Faridabad</t>
        </is>
      </c>
      <c r="D716" s="2" t="inlineStr">
        <is>
          <t>North</t>
        </is>
      </c>
    </row>
    <row r="717">
      <c r="A717" s="2" t="inlineStr">
        <is>
          <t>C0160</t>
        </is>
      </c>
      <c r="B717" s="2" t="inlineStr">
        <is>
          <t>Delhi</t>
        </is>
      </c>
      <c r="C717" s="2" t="inlineStr">
        <is>
          <t>New Delhi</t>
        </is>
      </c>
      <c r="D717" s="2" t="inlineStr">
        <is>
          <t>North</t>
        </is>
      </c>
    </row>
    <row r="718">
      <c r="A718" s="2" t="inlineStr">
        <is>
          <t>C0160</t>
        </is>
      </c>
      <c r="B718" s="2" t="inlineStr">
        <is>
          <t>Tamil Nadu</t>
        </is>
      </c>
      <c r="C718" s="2" t="inlineStr">
        <is>
          <t>Chennai</t>
        </is>
      </c>
      <c r="D718" s="2" t="inlineStr">
        <is>
          <t>South</t>
        </is>
      </c>
    </row>
    <row r="719">
      <c r="A719" s="2" t="inlineStr">
        <is>
          <t>C0161</t>
        </is>
      </c>
      <c r="B719" s="2" t="inlineStr">
        <is>
          <t>Goa</t>
        </is>
      </c>
      <c r="C719" s="2" t="inlineStr">
        <is>
          <t>Panaji</t>
        </is>
      </c>
      <c r="D719" s="2" t="inlineStr">
        <is>
          <t>West</t>
        </is>
      </c>
    </row>
    <row r="720">
      <c r="A720" s="2" t="inlineStr">
        <is>
          <t>C0161</t>
        </is>
      </c>
      <c r="B720" s="2" t="inlineStr">
        <is>
          <t>Delhi</t>
        </is>
      </c>
      <c r="C720" s="2" t="inlineStr">
        <is>
          <t>New Delhi</t>
        </is>
      </c>
      <c r="D720" s="2" t="inlineStr">
        <is>
          <t>North</t>
        </is>
      </c>
    </row>
    <row r="721">
      <c r="A721" s="2" t="inlineStr">
        <is>
          <t>C0161</t>
        </is>
      </c>
      <c r="B721" s="2" t="inlineStr">
        <is>
          <t>Haryana</t>
        </is>
      </c>
      <c r="C721" s="2" t="inlineStr">
        <is>
          <t>Gurugram</t>
        </is>
      </c>
      <c r="D721" s="2" t="inlineStr">
        <is>
          <t>North</t>
        </is>
      </c>
    </row>
    <row r="722">
      <c r="A722" s="2" t="inlineStr">
        <is>
          <t>C0161</t>
        </is>
      </c>
      <c r="B722" s="2" t="inlineStr">
        <is>
          <t>Tamil Nadu</t>
        </is>
      </c>
      <c r="C722" s="2" t="inlineStr">
        <is>
          <t>Madurai</t>
        </is>
      </c>
      <c r="D722" s="2" t="inlineStr">
        <is>
          <t>South</t>
        </is>
      </c>
    </row>
    <row r="723">
      <c r="A723" s="2" t="inlineStr">
        <is>
          <t>C0161</t>
        </is>
      </c>
      <c r="B723" s="2" t="inlineStr">
        <is>
          <t>Uttar Pradesh</t>
        </is>
      </c>
      <c r="C723" s="2" t="inlineStr">
        <is>
          <t>Lucknow</t>
        </is>
      </c>
      <c r="D723" s="2" t="inlineStr">
        <is>
          <t>North</t>
        </is>
      </c>
    </row>
    <row r="724">
      <c r="A724" s="2" t="inlineStr">
        <is>
          <t>C0161</t>
        </is>
      </c>
      <c r="B724" s="2" t="inlineStr">
        <is>
          <t>Karnataka</t>
        </is>
      </c>
      <c r="C724" s="2" t="inlineStr">
        <is>
          <t>Mysuru</t>
        </is>
      </c>
      <c r="D724" s="2" t="inlineStr">
        <is>
          <t>South</t>
        </is>
      </c>
    </row>
    <row r="725">
      <c r="A725" s="2" t="inlineStr">
        <is>
          <t>C0161</t>
        </is>
      </c>
      <c r="B725" s="2" t="inlineStr">
        <is>
          <t>Maharashtra</t>
        </is>
      </c>
      <c r="C725" s="2" t="inlineStr">
        <is>
          <t>Nashik</t>
        </is>
      </c>
      <c r="D725" s="2" t="inlineStr">
        <is>
          <t>West</t>
        </is>
      </c>
    </row>
    <row r="726">
      <c r="A726" s="2" t="inlineStr">
        <is>
          <t>C0161</t>
        </is>
      </c>
      <c r="B726" s="2" t="inlineStr">
        <is>
          <t>Kerala</t>
        </is>
      </c>
      <c r="C726" s="2" t="inlineStr">
        <is>
          <t>Kochi</t>
        </is>
      </c>
      <c r="D726" s="2" t="inlineStr">
        <is>
          <t>South</t>
        </is>
      </c>
    </row>
    <row r="727">
      <c r="A727" s="2" t="inlineStr">
        <is>
          <t>C0161</t>
        </is>
      </c>
      <c r="B727" s="2" t="inlineStr">
        <is>
          <t>Karnataka</t>
        </is>
      </c>
      <c r="C727" s="2" t="inlineStr">
        <is>
          <t>Mangaluru</t>
        </is>
      </c>
      <c r="D727" s="2" t="inlineStr">
        <is>
          <t>South</t>
        </is>
      </c>
    </row>
    <row r="728">
      <c r="A728" s="2" t="inlineStr">
        <is>
          <t>C0161</t>
        </is>
      </c>
      <c r="B728" s="2" t="inlineStr">
        <is>
          <t>Maharashtra</t>
        </is>
      </c>
      <c r="C728" s="2" t="inlineStr">
        <is>
          <t>Thane</t>
        </is>
      </c>
      <c r="D728" s="2" t="inlineStr">
        <is>
          <t>West</t>
        </is>
      </c>
    </row>
    <row r="729">
      <c r="A729" s="2" t="inlineStr">
        <is>
          <t>C0161</t>
        </is>
      </c>
      <c r="B729" s="2" t="inlineStr">
        <is>
          <t>Uttar Pradesh</t>
        </is>
      </c>
      <c r="C729" s="2" t="inlineStr">
        <is>
          <t>Kanpur</t>
        </is>
      </c>
      <c r="D729" s="2" t="inlineStr">
        <is>
          <t>North</t>
        </is>
      </c>
    </row>
    <row r="730">
      <c r="A730" s="2" t="inlineStr">
        <is>
          <t>C0161</t>
        </is>
      </c>
      <c r="B730" s="2" t="inlineStr">
        <is>
          <t>Kerala</t>
        </is>
      </c>
      <c r="C730" s="2" t="inlineStr">
        <is>
          <t>Thiruvananthapuram</t>
        </is>
      </c>
      <c r="D730" s="2" t="inlineStr">
        <is>
          <t>South</t>
        </is>
      </c>
    </row>
    <row r="731">
      <c r="A731" s="2" t="inlineStr">
        <is>
          <t>C0161</t>
        </is>
      </c>
      <c r="B731" s="2" t="inlineStr">
        <is>
          <t>Uttar Pradesh</t>
        </is>
      </c>
      <c r="C731" s="2" t="inlineStr">
        <is>
          <t>Noida</t>
        </is>
      </c>
      <c r="D731" s="2" t="inlineStr">
        <is>
          <t>North</t>
        </is>
      </c>
    </row>
    <row r="732">
      <c r="A732" s="2" t="inlineStr">
        <is>
          <t>C0161</t>
        </is>
      </c>
      <c r="B732" s="2" t="inlineStr">
        <is>
          <t>Tamil Nadu</t>
        </is>
      </c>
      <c r="C732" s="2" t="inlineStr">
        <is>
          <t>Coimbatore</t>
        </is>
      </c>
      <c r="D732" s="2" t="inlineStr">
        <is>
          <t>South</t>
        </is>
      </c>
    </row>
    <row r="733">
      <c r="A733" s="2" t="inlineStr">
        <is>
          <t>C0161</t>
        </is>
      </c>
      <c r="B733" s="2" t="inlineStr">
        <is>
          <t>Goa</t>
        </is>
      </c>
      <c r="C733" s="2" t="inlineStr">
        <is>
          <t>Margao</t>
        </is>
      </c>
      <c r="D733" s="2" t="inlineStr">
        <is>
          <t>West</t>
        </is>
      </c>
    </row>
    <row r="734">
      <c r="A734" s="2" t="inlineStr">
        <is>
          <t>C0161</t>
        </is>
      </c>
      <c r="B734" s="2" t="inlineStr">
        <is>
          <t>Tamil Nadu</t>
        </is>
      </c>
      <c r="C734" s="2" t="inlineStr">
        <is>
          <t>Chennai</t>
        </is>
      </c>
      <c r="D734" s="2" t="inlineStr">
        <is>
          <t>South</t>
        </is>
      </c>
    </row>
    <row r="735">
      <c r="A735" s="2" t="inlineStr">
        <is>
          <t>C0163</t>
        </is>
      </c>
      <c r="B735" s="2" t="inlineStr">
        <is>
          <t>Telangana</t>
        </is>
      </c>
      <c r="C735" s="2" t="inlineStr">
        <is>
          <t>Warangal</t>
        </is>
      </c>
      <c r="D735" s="2" t="inlineStr">
        <is>
          <t>South</t>
        </is>
      </c>
    </row>
    <row r="736">
      <c r="A736" s="2" t="inlineStr">
        <is>
          <t>C0163</t>
        </is>
      </c>
      <c r="B736" s="2" t="inlineStr">
        <is>
          <t>Punjab</t>
        </is>
      </c>
      <c r="C736" s="2" t="inlineStr">
        <is>
          <t>Jalandhar</t>
        </is>
      </c>
      <c r="D736" s="2" t="inlineStr">
        <is>
          <t>North</t>
        </is>
      </c>
    </row>
    <row r="737">
      <c r="A737" s="2" t="inlineStr">
        <is>
          <t>C0163</t>
        </is>
      </c>
      <c r="B737" s="2" t="inlineStr">
        <is>
          <t>Delhi</t>
        </is>
      </c>
      <c r="C737" s="2" t="inlineStr">
        <is>
          <t>New Delhi</t>
        </is>
      </c>
      <c r="D737" s="2" t="inlineStr">
        <is>
          <t>North</t>
        </is>
      </c>
    </row>
    <row r="738">
      <c r="A738" s="2" t="inlineStr">
        <is>
          <t>C0164</t>
        </is>
      </c>
      <c r="B738" s="2" t="inlineStr">
        <is>
          <t>Punjab</t>
        </is>
      </c>
      <c r="C738" s="2" t="inlineStr">
        <is>
          <t>Amritsar</t>
        </is>
      </c>
      <c r="D738" s="2" t="inlineStr">
        <is>
          <t>North</t>
        </is>
      </c>
    </row>
    <row r="739">
      <c r="A739" s="2" t="inlineStr">
        <is>
          <t>C0164</t>
        </is>
      </c>
      <c r="B739" s="2" t="inlineStr">
        <is>
          <t>Goa</t>
        </is>
      </c>
      <c r="C739" s="2" t="inlineStr">
        <is>
          <t>Panaji</t>
        </is>
      </c>
      <c r="D739" s="2" t="inlineStr">
        <is>
          <t>West</t>
        </is>
      </c>
    </row>
    <row r="740">
      <c r="A740" s="2" t="inlineStr">
        <is>
          <t>C0164</t>
        </is>
      </c>
      <c r="B740" s="2" t="inlineStr">
        <is>
          <t>Maharashtra</t>
        </is>
      </c>
      <c r="C740" s="2" t="inlineStr">
        <is>
          <t>Thane</t>
        </is>
      </c>
      <c r="D740" s="2" t="inlineStr">
        <is>
          <t>West</t>
        </is>
      </c>
    </row>
    <row r="741">
      <c r="A741" s="2" t="inlineStr">
        <is>
          <t>C0165</t>
        </is>
      </c>
      <c r="B741" s="2" t="inlineStr">
        <is>
          <t>Gujarat</t>
        </is>
      </c>
      <c r="C741" s="2" t="inlineStr">
        <is>
          <t>Ahmedabad</t>
        </is>
      </c>
      <c r="D741" s="2" t="inlineStr">
        <is>
          <t>West</t>
        </is>
      </c>
    </row>
    <row r="742">
      <c r="A742" s="2" t="inlineStr">
        <is>
          <t>C0165</t>
        </is>
      </c>
      <c r="B742" s="2" t="inlineStr">
        <is>
          <t>Maharashtra</t>
        </is>
      </c>
      <c r="C742" s="2" t="inlineStr">
        <is>
          <t>Thane</t>
        </is>
      </c>
      <c r="D742" s="2" t="inlineStr">
        <is>
          <t>West</t>
        </is>
      </c>
    </row>
    <row r="743">
      <c r="A743" s="2" t="inlineStr">
        <is>
          <t>C0166</t>
        </is>
      </c>
      <c r="B743" s="2" t="inlineStr">
        <is>
          <t>Bihar</t>
        </is>
      </c>
      <c r="C743" s="2" t="inlineStr">
        <is>
          <t>Patna</t>
        </is>
      </c>
      <c r="D743" s="2" t="inlineStr">
        <is>
          <t>East</t>
        </is>
      </c>
    </row>
    <row r="744">
      <c r="A744" s="2" t="inlineStr">
        <is>
          <t>C0166</t>
        </is>
      </c>
      <c r="B744" s="2" t="inlineStr">
        <is>
          <t>Uttar Pradesh</t>
        </is>
      </c>
      <c r="C744" s="2" t="inlineStr">
        <is>
          <t>Lucknow</t>
        </is>
      </c>
      <c r="D744" s="2" t="inlineStr">
        <is>
          <t>North</t>
        </is>
      </c>
    </row>
    <row r="745">
      <c r="A745" s="2" t="inlineStr">
        <is>
          <t>C0166</t>
        </is>
      </c>
      <c r="B745" s="2" t="inlineStr">
        <is>
          <t>Maharashtra</t>
        </is>
      </c>
      <c r="C745" s="2" t="inlineStr">
        <is>
          <t>Nagpur</t>
        </is>
      </c>
      <c r="D745" s="2" t="inlineStr">
        <is>
          <t>West</t>
        </is>
      </c>
    </row>
    <row r="746">
      <c r="A746" s="2" t="inlineStr">
        <is>
          <t>C0166</t>
        </is>
      </c>
      <c r="B746" s="2" t="inlineStr">
        <is>
          <t>Punjab</t>
        </is>
      </c>
      <c r="C746" s="2" t="inlineStr">
        <is>
          <t>Ludhiana</t>
        </is>
      </c>
      <c r="D746" s="2" t="inlineStr">
        <is>
          <t>North</t>
        </is>
      </c>
    </row>
    <row r="747">
      <c r="A747" s="2" t="inlineStr">
        <is>
          <t>C0166</t>
        </is>
      </c>
      <c r="B747" s="2" t="inlineStr">
        <is>
          <t>Gujarat</t>
        </is>
      </c>
      <c r="C747" s="2" t="inlineStr">
        <is>
          <t>Surat</t>
        </is>
      </c>
      <c r="D747" s="2" t="inlineStr">
        <is>
          <t>West</t>
        </is>
      </c>
    </row>
    <row r="748">
      <c r="A748" s="2" t="inlineStr">
        <is>
          <t>C0166</t>
        </is>
      </c>
      <c r="B748" s="2" t="inlineStr">
        <is>
          <t>Kerala</t>
        </is>
      </c>
      <c r="C748" s="2" t="inlineStr">
        <is>
          <t>Kochi</t>
        </is>
      </c>
      <c r="D748" s="2" t="inlineStr">
        <is>
          <t>South</t>
        </is>
      </c>
    </row>
    <row r="749">
      <c r="A749" s="2" t="inlineStr">
        <is>
          <t>C0166</t>
        </is>
      </c>
      <c r="B749" s="2" t="inlineStr">
        <is>
          <t>Tamil Nadu</t>
        </is>
      </c>
      <c r="C749" s="2" t="inlineStr">
        <is>
          <t>Coimbatore</t>
        </is>
      </c>
      <c r="D749" s="2" t="inlineStr">
        <is>
          <t>South</t>
        </is>
      </c>
    </row>
    <row r="750">
      <c r="A750" s="2" t="inlineStr">
        <is>
          <t>C0167</t>
        </is>
      </c>
      <c r="B750" s="2" t="inlineStr">
        <is>
          <t>Goa</t>
        </is>
      </c>
      <c r="C750" s="2" t="inlineStr">
        <is>
          <t>Margao</t>
        </is>
      </c>
      <c r="D750" s="2" t="inlineStr">
        <is>
          <t>West</t>
        </is>
      </c>
    </row>
    <row r="751">
      <c r="A751" s="2" t="inlineStr">
        <is>
          <t>C0167</t>
        </is>
      </c>
      <c r="B751" s="2" t="inlineStr">
        <is>
          <t>Odisha</t>
        </is>
      </c>
      <c r="C751" s="2" t="inlineStr">
        <is>
          <t>Cuttack</t>
        </is>
      </c>
      <c r="D751" s="2" t="inlineStr">
        <is>
          <t>East</t>
        </is>
      </c>
    </row>
    <row r="752">
      <c r="A752" s="2" t="inlineStr">
        <is>
          <t>C0167</t>
        </is>
      </c>
      <c r="B752" s="2" t="inlineStr">
        <is>
          <t>Maharashtra</t>
        </is>
      </c>
      <c r="C752" s="2" t="inlineStr">
        <is>
          <t>Pune</t>
        </is>
      </c>
      <c r="D752" s="2" t="inlineStr">
        <is>
          <t>West</t>
        </is>
      </c>
    </row>
    <row r="753">
      <c r="A753" s="2" t="inlineStr">
        <is>
          <t>C0167</t>
        </is>
      </c>
      <c r="B753" s="2" t="inlineStr">
        <is>
          <t>Kerala</t>
        </is>
      </c>
      <c r="C753" s="2" t="inlineStr">
        <is>
          <t>Kochi</t>
        </is>
      </c>
      <c r="D753" s="2" t="inlineStr">
        <is>
          <t>South</t>
        </is>
      </c>
    </row>
    <row r="754">
      <c r="A754" s="2" t="inlineStr">
        <is>
          <t>C0169</t>
        </is>
      </c>
      <c r="B754" s="2" t="inlineStr">
        <is>
          <t>Kerala</t>
        </is>
      </c>
      <c r="C754" s="2" t="inlineStr">
        <is>
          <t>Thiruvananthapuram</t>
        </is>
      </c>
      <c r="D754" s="2" t="inlineStr">
        <is>
          <t>South</t>
        </is>
      </c>
    </row>
    <row r="755">
      <c r="A755" s="2" t="inlineStr">
        <is>
          <t>C0169</t>
        </is>
      </c>
      <c r="B755" s="2" t="inlineStr">
        <is>
          <t>Delhi</t>
        </is>
      </c>
      <c r="C755" s="2" t="inlineStr">
        <is>
          <t>New Delhi</t>
        </is>
      </c>
      <c r="D755" s="2" t="inlineStr">
        <is>
          <t>North</t>
        </is>
      </c>
    </row>
    <row r="756">
      <c r="A756" s="2" t="inlineStr">
        <is>
          <t>C0169</t>
        </is>
      </c>
      <c r="B756" s="2" t="inlineStr">
        <is>
          <t>Gujarat</t>
        </is>
      </c>
      <c r="C756" s="2" t="inlineStr">
        <is>
          <t>Vadodara</t>
        </is>
      </c>
      <c r="D756" s="2" t="inlineStr">
        <is>
          <t>West</t>
        </is>
      </c>
    </row>
    <row r="757">
      <c r="A757" s="2" t="inlineStr">
        <is>
          <t>C0169</t>
        </is>
      </c>
      <c r="B757" s="2" t="inlineStr">
        <is>
          <t>Tamil Nadu</t>
        </is>
      </c>
      <c r="C757" s="2" t="inlineStr">
        <is>
          <t>Chennai</t>
        </is>
      </c>
      <c r="D757" s="2" t="inlineStr">
        <is>
          <t>South</t>
        </is>
      </c>
    </row>
    <row r="758">
      <c r="A758" s="2" t="inlineStr">
        <is>
          <t>C0169</t>
        </is>
      </c>
      <c r="B758" s="2" t="inlineStr">
        <is>
          <t>Haryana</t>
        </is>
      </c>
      <c r="C758" s="2" t="inlineStr">
        <is>
          <t>Gurugram</t>
        </is>
      </c>
      <c r="D758" s="2" t="inlineStr">
        <is>
          <t>North</t>
        </is>
      </c>
    </row>
    <row r="759">
      <c r="A759" s="2" t="inlineStr">
        <is>
          <t>C0169</t>
        </is>
      </c>
      <c r="B759" s="2" t="inlineStr">
        <is>
          <t>Goa</t>
        </is>
      </c>
      <c r="C759" s="2" t="inlineStr">
        <is>
          <t>Panaji</t>
        </is>
      </c>
      <c r="D759" s="2" t="inlineStr">
        <is>
          <t>West</t>
        </is>
      </c>
    </row>
    <row r="760">
      <c r="A760" s="2" t="inlineStr">
        <is>
          <t>C0169</t>
        </is>
      </c>
      <c r="B760" s="2" t="inlineStr">
        <is>
          <t>Bihar</t>
        </is>
      </c>
      <c r="C760" s="2" t="inlineStr">
        <is>
          <t>Gaya</t>
        </is>
      </c>
      <c r="D760" s="2" t="inlineStr">
        <is>
          <t>East</t>
        </is>
      </c>
    </row>
    <row r="761">
      <c r="A761" s="2" t="inlineStr">
        <is>
          <t>C0170</t>
        </is>
      </c>
      <c r="B761" s="2" t="inlineStr">
        <is>
          <t>Tamil Nadu</t>
        </is>
      </c>
      <c r="C761" s="2" t="inlineStr">
        <is>
          <t>Madurai</t>
        </is>
      </c>
      <c r="D761" s="2" t="inlineStr">
        <is>
          <t>South</t>
        </is>
      </c>
    </row>
    <row r="762">
      <c r="A762" s="2" t="inlineStr">
        <is>
          <t>C0170</t>
        </is>
      </c>
      <c r="B762" s="2" t="inlineStr">
        <is>
          <t>Gujarat</t>
        </is>
      </c>
      <c r="C762" s="2" t="inlineStr">
        <is>
          <t>Vadodara</t>
        </is>
      </c>
      <c r="D762" s="2" t="inlineStr">
        <is>
          <t>West</t>
        </is>
      </c>
    </row>
    <row r="763">
      <c r="A763" s="2" t="inlineStr">
        <is>
          <t>C0171</t>
        </is>
      </c>
      <c r="B763" s="2" t="inlineStr">
        <is>
          <t>Karnataka</t>
        </is>
      </c>
      <c r="C763" s="2" t="inlineStr">
        <is>
          <t>Mangaluru</t>
        </is>
      </c>
      <c r="D763" s="2" t="inlineStr">
        <is>
          <t>South</t>
        </is>
      </c>
    </row>
    <row r="764">
      <c r="A764" s="2" t="inlineStr">
        <is>
          <t>C0172</t>
        </is>
      </c>
      <c r="B764" s="2" t="inlineStr">
        <is>
          <t>Gujarat</t>
        </is>
      </c>
      <c r="C764" s="2" t="inlineStr">
        <is>
          <t>Surat</t>
        </is>
      </c>
      <c r="D764" s="2" t="inlineStr">
        <is>
          <t>West</t>
        </is>
      </c>
    </row>
    <row r="765">
      <c r="A765" s="2" t="inlineStr">
        <is>
          <t>C0172</t>
        </is>
      </c>
      <c r="B765" s="2" t="inlineStr">
        <is>
          <t>Maharashtra</t>
        </is>
      </c>
      <c r="C765" s="2" t="inlineStr">
        <is>
          <t>Pune</t>
        </is>
      </c>
      <c r="D765" s="2" t="inlineStr">
        <is>
          <t>West</t>
        </is>
      </c>
    </row>
    <row r="766">
      <c r="A766" s="2" t="inlineStr">
        <is>
          <t>C0172</t>
        </is>
      </c>
      <c r="B766" s="2" t="inlineStr">
        <is>
          <t>Bihar</t>
        </is>
      </c>
      <c r="C766" s="2" t="inlineStr">
        <is>
          <t>Gaya</t>
        </is>
      </c>
      <c r="D766" s="2" t="inlineStr">
        <is>
          <t>East</t>
        </is>
      </c>
    </row>
    <row r="767">
      <c r="A767" s="2" t="inlineStr">
        <is>
          <t>C0172</t>
        </is>
      </c>
      <c r="B767" s="2" t="inlineStr">
        <is>
          <t>Uttar Pradesh</t>
        </is>
      </c>
      <c r="C767" s="2" t="inlineStr">
        <is>
          <t>Lucknow</t>
        </is>
      </c>
      <c r="D767" s="2" t="inlineStr">
        <is>
          <t>North</t>
        </is>
      </c>
    </row>
    <row r="768">
      <c r="A768" s="2" t="inlineStr">
        <is>
          <t>C0172</t>
        </is>
      </c>
      <c r="B768" s="2" t="inlineStr">
        <is>
          <t>Goa</t>
        </is>
      </c>
      <c r="C768" s="2" t="inlineStr">
        <is>
          <t>Margao</t>
        </is>
      </c>
      <c r="D768" s="2" t="inlineStr">
        <is>
          <t>West</t>
        </is>
      </c>
    </row>
    <row r="769">
      <c r="A769" s="2" t="inlineStr">
        <is>
          <t>C0172</t>
        </is>
      </c>
      <c r="B769" s="2" t="inlineStr">
        <is>
          <t>West Bengal</t>
        </is>
      </c>
      <c r="C769" s="2" t="inlineStr">
        <is>
          <t>Durgapur</t>
        </is>
      </c>
      <c r="D769" s="2" t="inlineStr">
        <is>
          <t>East</t>
        </is>
      </c>
    </row>
    <row r="770">
      <c r="A770" s="2" t="inlineStr">
        <is>
          <t>C0173</t>
        </is>
      </c>
      <c r="B770" s="2" t="inlineStr">
        <is>
          <t>Goa</t>
        </is>
      </c>
      <c r="C770" s="2" t="inlineStr">
        <is>
          <t>Margao</t>
        </is>
      </c>
      <c r="D770" s="2" t="inlineStr">
        <is>
          <t>West</t>
        </is>
      </c>
    </row>
    <row r="771">
      <c r="A771" s="2" t="inlineStr">
        <is>
          <t>C0173</t>
        </is>
      </c>
      <c r="B771" s="2" t="inlineStr">
        <is>
          <t>Uttar Pradesh</t>
        </is>
      </c>
      <c r="C771" s="2" t="inlineStr">
        <is>
          <t>Kanpur</t>
        </is>
      </c>
      <c r="D771" s="2" t="inlineStr">
        <is>
          <t>North</t>
        </is>
      </c>
    </row>
    <row r="772">
      <c r="A772" s="2" t="inlineStr">
        <is>
          <t>C0174</t>
        </is>
      </c>
      <c r="B772" s="2" t="inlineStr">
        <is>
          <t>West Bengal</t>
        </is>
      </c>
      <c r="C772" s="2" t="inlineStr">
        <is>
          <t>Durgapur</t>
        </is>
      </c>
      <c r="D772" s="2" t="inlineStr">
        <is>
          <t>East</t>
        </is>
      </c>
    </row>
    <row r="773">
      <c r="A773" s="2" t="inlineStr">
        <is>
          <t>C0174</t>
        </is>
      </c>
      <c r="B773" s="2" t="inlineStr">
        <is>
          <t>Uttar Pradesh</t>
        </is>
      </c>
      <c r="C773" s="2" t="inlineStr">
        <is>
          <t>Lucknow</t>
        </is>
      </c>
      <c r="D773" s="2" t="inlineStr">
        <is>
          <t>North</t>
        </is>
      </c>
    </row>
    <row r="774">
      <c r="A774" s="2" t="inlineStr">
        <is>
          <t>C0174</t>
        </is>
      </c>
      <c r="B774" s="2" t="inlineStr">
        <is>
          <t>Goa</t>
        </is>
      </c>
      <c r="C774" s="2" t="inlineStr">
        <is>
          <t>Margao</t>
        </is>
      </c>
      <c r="D774" s="2" t="inlineStr">
        <is>
          <t>West</t>
        </is>
      </c>
    </row>
    <row r="775">
      <c r="A775" s="2" t="inlineStr">
        <is>
          <t>C0174</t>
        </is>
      </c>
      <c r="B775" s="2" t="inlineStr">
        <is>
          <t>Delhi</t>
        </is>
      </c>
      <c r="C775" s="2" t="inlineStr">
        <is>
          <t>New Delhi</t>
        </is>
      </c>
      <c r="D775" s="2" t="inlineStr">
        <is>
          <t>North</t>
        </is>
      </c>
    </row>
    <row r="776">
      <c r="A776" s="2" t="inlineStr">
        <is>
          <t>C0174</t>
        </is>
      </c>
      <c r="B776" s="2" t="inlineStr">
        <is>
          <t>Gujarat</t>
        </is>
      </c>
      <c r="C776" s="2" t="inlineStr">
        <is>
          <t>Surat</t>
        </is>
      </c>
      <c r="D776" s="2" t="inlineStr">
        <is>
          <t>West</t>
        </is>
      </c>
    </row>
    <row r="777">
      <c r="A777" s="2" t="inlineStr">
        <is>
          <t>C0174</t>
        </is>
      </c>
      <c r="B777" s="2" t="inlineStr">
        <is>
          <t>Odisha</t>
        </is>
      </c>
      <c r="C777" s="2" t="inlineStr">
        <is>
          <t>Bhubaneswar</t>
        </is>
      </c>
      <c r="D777" s="2" t="inlineStr">
        <is>
          <t>East</t>
        </is>
      </c>
    </row>
    <row r="778">
      <c r="A778" s="2" t="inlineStr">
        <is>
          <t>C0174</t>
        </is>
      </c>
      <c r="B778" s="2" t="inlineStr">
        <is>
          <t>Goa</t>
        </is>
      </c>
      <c r="C778" s="2" t="inlineStr">
        <is>
          <t>Panaji</t>
        </is>
      </c>
      <c r="D778" s="2" t="inlineStr">
        <is>
          <t>West</t>
        </is>
      </c>
    </row>
    <row r="779">
      <c r="A779" s="2" t="inlineStr">
        <is>
          <t>C0174</t>
        </is>
      </c>
      <c r="B779" s="2" t="inlineStr">
        <is>
          <t>Tamil Nadu</t>
        </is>
      </c>
      <c r="C779" s="2" t="inlineStr">
        <is>
          <t>Chennai</t>
        </is>
      </c>
      <c r="D779" s="2" t="inlineStr">
        <is>
          <t>South</t>
        </is>
      </c>
    </row>
    <row r="780">
      <c r="A780" s="2" t="inlineStr">
        <is>
          <t>C0175</t>
        </is>
      </c>
      <c r="B780" s="2" t="inlineStr">
        <is>
          <t>Uttar Pradesh</t>
        </is>
      </c>
      <c r="C780" s="2" t="inlineStr">
        <is>
          <t>Varanasi</t>
        </is>
      </c>
      <c r="D780" s="2" t="inlineStr">
        <is>
          <t>North</t>
        </is>
      </c>
    </row>
    <row r="781">
      <c r="A781" s="2" t="inlineStr">
        <is>
          <t>C0175</t>
        </is>
      </c>
      <c r="B781" s="2" t="inlineStr">
        <is>
          <t>Delhi</t>
        </is>
      </c>
      <c r="C781" s="2" t="inlineStr">
        <is>
          <t>New Delhi</t>
        </is>
      </c>
      <c r="D781" s="2" t="inlineStr">
        <is>
          <t>North</t>
        </is>
      </c>
    </row>
    <row r="782">
      <c r="A782" s="2" t="inlineStr">
        <is>
          <t>C0175</t>
        </is>
      </c>
      <c r="B782" s="2" t="inlineStr">
        <is>
          <t>Goa</t>
        </is>
      </c>
      <c r="C782" s="2" t="inlineStr">
        <is>
          <t>Margao</t>
        </is>
      </c>
      <c r="D782" s="2" t="inlineStr">
        <is>
          <t>West</t>
        </is>
      </c>
    </row>
    <row r="783">
      <c r="A783" s="2" t="inlineStr">
        <is>
          <t>C0175</t>
        </is>
      </c>
      <c r="B783" s="2" t="inlineStr">
        <is>
          <t>Goa</t>
        </is>
      </c>
      <c r="C783" s="2" t="inlineStr">
        <is>
          <t>Panaji</t>
        </is>
      </c>
      <c r="D783" s="2" t="inlineStr">
        <is>
          <t>West</t>
        </is>
      </c>
    </row>
    <row r="784">
      <c r="A784" s="2" t="inlineStr">
        <is>
          <t>C0175</t>
        </is>
      </c>
      <c r="B784" s="2" t="inlineStr">
        <is>
          <t>Tamil Nadu</t>
        </is>
      </c>
      <c r="C784" s="2" t="inlineStr">
        <is>
          <t>Coimbatore</t>
        </is>
      </c>
      <c r="D784" s="2" t="inlineStr">
        <is>
          <t>South</t>
        </is>
      </c>
    </row>
    <row r="785">
      <c r="A785" s="2" t="inlineStr">
        <is>
          <t>C0175</t>
        </is>
      </c>
      <c r="B785" s="2" t="inlineStr">
        <is>
          <t>Maharashtra</t>
        </is>
      </c>
      <c r="C785" s="2" t="inlineStr">
        <is>
          <t>Nagpur</t>
        </is>
      </c>
      <c r="D785" s="2" t="inlineStr">
        <is>
          <t>West</t>
        </is>
      </c>
    </row>
    <row r="786">
      <c r="A786" s="2" t="inlineStr">
        <is>
          <t>C0175</t>
        </is>
      </c>
      <c r="B786" s="2" t="inlineStr">
        <is>
          <t>Tamil Nadu</t>
        </is>
      </c>
      <c r="C786" s="2" t="inlineStr">
        <is>
          <t>Chennai</t>
        </is>
      </c>
      <c r="D786" s="2" t="inlineStr">
        <is>
          <t>South</t>
        </is>
      </c>
    </row>
    <row r="787">
      <c r="A787" s="2" t="inlineStr">
        <is>
          <t>C0175</t>
        </is>
      </c>
      <c r="B787" s="2" t="inlineStr">
        <is>
          <t>West Bengal</t>
        </is>
      </c>
      <c r="C787" s="2" t="inlineStr">
        <is>
          <t>Durgapur</t>
        </is>
      </c>
      <c r="D787" s="2" t="inlineStr">
        <is>
          <t>East</t>
        </is>
      </c>
    </row>
    <row r="788">
      <c r="A788" s="2" t="inlineStr">
        <is>
          <t>C0175</t>
        </is>
      </c>
      <c r="B788" s="2" t="inlineStr">
        <is>
          <t>Punjab</t>
        </is>
      </c>
      <c r="C788" s="2" t="inlineStr">
        <is>
          <t>Amritsar</t>
        </is>
      </c>
      <c r="D788" s="2" t="inlineStr">
        <is>
          <t>North</t>
        </is>
      </c>
    </row>
    <row r="789">
      <c r="A789" s="2" t="inlineStr">
        <is>
          <t>C0175</t>
        </is>
      </c>
      <c r="B789" s="2" t="inlineStr">
        <is>
          <t>Maharashtra</t>
        </is>
      </c>
      <c r="C789" s="2" t="inlineStr">
        <is>
          <t>Thane</t>
        </is>
      </c>
      <c r="D789" s="2" t="inlineStr">
        <is>
          <t>West</t>
        </is>
      </c>
    </row>
    <row r="790">
      <c r="A790" s="2" t="inlineStr">
        <is>
          <t>C0175</t>
        </is>
      </c>
      <c r="B790" s="2" t="inlineStr">
        <is>
          <t>Kerala</t>
        </is>
      </c>
      <c r="C790" s="2" t="inlineStr">
        <is>
          <t>Kochi</t>
        </is>
      </c>
      <c r="D790" s="2" t="inlineStr">
        <is>
          <t>South</t>
        </is>
      </c>
    </row>
    <row r="791">
      <c r="A791" s="2" t="inlineStr">
        <is>
          <t>C0175</t>
        </is>
      </c>
      <c r="B791" s="2" t="inlineStr">
        <is>
          <t>Haryana</t>
        </is>
      </c>
      <c r="C791" s="2" t="inlineStr">
        <is>
          <t>Gurugram</t>
        </is>
      </c>
      <c r="D791" s="2" t="inlineStr">
        <is>
          <t>North</t>
        </is>
      </c>
    </row>
    <row r="792">
      <c r="A792" s="2" t="inlineStr">
        <is>
          <t>C0175</t>
        </is>
      </c>
      <c r="B792" s="2" t="inlineStr">
        <is>
          <t>Bihar</t>
        </is>
      </c>
      <c r="C792" s="2" t="inlineStr">
        <is>
          <t>Gaya</t>
        </is>
      </c>
      <c r="D792" s="2" t="inlineStr">
        <is>
          <t>East</t>
        </is>
      </c>
    </row>
    <row r="793">
      <c r="A793" s="2" t="inlineStr">
        <is>
          <t>C0175</t>
        </is>
      </c>
      <c r="B793" s="2" t="inlineStr">
        <is>
          <t>Gujarat</t>
        </is>
      </c>
      <c r="C793" s="2" t="inlineStr">
        <is>
          <t>Ahmedabad</t>
        </is>
      </c>
      <c r="D793" s="2" t="inlineStr">
        <is>
          <t>West</t>
        </is>
      </c>
    </row>
    <row r="794">
      <c r="A794" s="2" t="inlineStr">
        <is>
          <t>C0175</t>
        </is>
      </c>
      <c r="B794" s="2" t="inlineStr">
        <is>
          <t>Maharashtra</t>
        </is>
      </c>
      <c r="C794" s="2" t="inlineStr">
        <is>
          <t>Mumbai</t>
        </is>
      </c>
      <c r="D794" s="2" t="inlineStr">
        <is>
          <t>West</t>
        </is>
      </c>
    </row>
    <row r="795">
      <c r="A795" s="2" t="inlineStr">
        <is>
          <t>C0176</t>
        </is>
      </c>
      <c r="B795" s="2" t="inlineStr">
        <is>
          <t>Odisha</t>
        </is>
      </c>
      <c r="C795" s="2" t="inlineStr">
        <is>
          <t>Bhubaneswar</t>
        </is>
      </c>
      <c r="D795" s="2" t="inlineStr">
        <is>
          <t>East</t>
        </is>
      </c>
    </row>
    <row r="796">
      <c r="A796" s="2" t="inlineStr">
        <is>
          <t>C0176</t>
        </is>
      </c>
      <c r="B796" s="2" t="inlineStr">
        <is>
          <t>Maharashtra</t>
        </is>
      </c>
      <c r="C796" s="2" t="inlineStr">
        <is>
          <t>Nagpur</t>
        </is>
      </c>
      <c r="D796" s="2" t="inlineStr">
        <is>
          <t>West</t>
        </is>
      </c>
    </row>
    <row r="797">
      <c r="A797" s="2" t="inlineStr">
        <is>
          <t>C0177</t>
        </is>
      </c>
      <c r="B797" s="2" t="inlineStr">
        <is>
          <t>Goa</t>
        </is>
      </c>
      <c r="C797" s="2" t="inlineStr">
        <is>
          <t>Margao</t>
        </is>
      </c>
      <c r="D797" s="2" t="inlineStr">
        <is>
          <t>West</t>
        </is>
      </c>
    </row>
    <row r="798">
      <c r="A798" s="2" t="inlineStr">
        <is>
          <t>C0177</t>
        </is>
      </c>
      <c r="B798" s="2" t="inlineStr">
        <is>
          <t>Odisha</t>
        </is>
      </c>
      <c r="C798" s="2" t="inlineStr">
        <is>
          <t>Bhubaneswar</t>
        </is>
      </c>
      <c r="D798" s="2" t="inlineStr">
        <is>
          <t>East</t>
        </is>
      </c>
    </row>
    <row r="799">
      <c r="A799" s="2" t="inlineStr">
        <is>
          <t>C0177</t>
        </is>
      </c>
      <c r="B799" s="2" t="inlineStr">
        <is>
          <t>Haryana</t>
        </is>
      </c>
      <c r="C799" s="2" t="inlineStr">
        <is>
          <t>Faridabad</t>
        </is>
      </c>
      <c r="D799" s="2" t="inlineStr">
        <is>
          <t>North</t>
        </is>
      </c>
    </row>
    <row r="800">
      <c r="A800" s="2" t="inlineStr">
        <is>
          <t>C0177</t>
        </is>
      </c>
      <c r="B800" s="2" t="inlineStr">
        <is>
          <t>Haryana</t>
        </is>
      </c>
      <c r="C800" s="2" t="inlineStr">
        <is>
          <t>Gurugram</t>
        </is>
      </c>
      <c r="D800" s="2" t="inlineStr">
        <is>
          <t>North</t>
        </is>
      </c>
    </row>
    <row r="801">
      <c r="A801" s="2" t="inlineStr">
        <is>
          <t>C0177</t>
        </is>
      </c>
      <c r="B801" s="2" t="inlineStr">
        <is>
          <t>Gujarat</t>
        </is>
      </c>
      <c r="C801" s="2" t="inlineStr">
        <is>
          <t>Ahmedabad</t>
        </is>
      </c>
      <c r="D801" s="2" t="inlineStr">
        <is>
          <t>West</t>
        </is>
      </c>
    </row>
    <row r="802">
      <c r="A802" s="2" t="inlineStr">
        <is>
          <t>C0177</t>
        </is>
      </c>
      <c r="B802" s="2" t="inlineStr">
        <is>
          <t>Goa</t>
        </is>
      </c>
      <c r="C802" s="2" t="inlineStr">
        <is>
          <t>Panaji</t>
        </is>
      </c>
      <c r="D802" s="2" t="inlineStr">
        <is>
          <t>West</t>
        </is>
      </c>
    </row>
    <row r="803">
      <c r="A803" s="2" t="inlineStr">
        <is>
          <t>C0178</t>
        </is>
      </c>
      <c r="B803" s="2" t="inlineStr">
        <is>
          <t>Gujarat</t>
        </is>
      </c>
      <c r="C803" s="2" t="inlineStr">
        <is>
          <t>Ahmedabad</t>
        </is>
      </c>
      <c r="D803" s="2" t="inlineStr">
        <is>
          <t>West</t>
        </is>
      </c>
    </row>
    <row r="804">
      <c r="A804" s="2" t="inlineStr">
        <is>
          <t>C0178</t>
        </is>
      </c>
      <c r="B804" s="2" t="inlineStr">
        <is>
          <t>Maharashtra</t>
        </is>
      </c>
      <c r="C804" s="2" t="inlineStr">
        <is>
          <t>Mumbai</t>
        </is>
      </c>
      <c r="D804" s="2" t="inlineStr">
        <is>
          <t>West</t>
        </is>
      </c>
    </row>
    <row r="805">
      <c r="A805" s="2" t="inlineStr">
        <is>
          <t>C0178</t>
        </is>
      </c>
      <c r="B805" s="2" t="inlineStr">
        <is>
          <t>West Bengal</t>
        </is>
      </c>
      <c r="C805" s="2" t="inlineStr">
        <is>
          <t>Durgapur</t>
        </is>
      </c>
      <c r="D805" s="2" t="inlineStr">
        <is>
          <t>East</t>
        </is>
      </c>
    </row>
    <row r="806">
      <c r="A806" s="2" t="inlineStr">
        <is>
          <t>C0178</t>
        </is>
      </c>
      <c r="B806" s="2" t="inlineStr">
        <is>
          <t>Maharashtra</t>
        </is>
      </c>
      <c r="C806" s="2" t="inlineStr">
        <is>
          <t>Thane</t>
        </is>
      </c>
      <c r="D806" s="2" t="inlineStr">
        <is>
          <t>West</t>
        </is>
      </c>
    </row>
    <row r="807">
      <c r="A807" s="2" t="inlineStr">
        <is>
          <t>C0179</t>
        </is>
      </c>
      <c r="B807" s="2" t="inlineStr">
        <is>
          <t>Bihar</t>
        </is>
      </c>
      <c r="C807" s="2" t="inlineStr">
        <is>
          <t>Patna</t>
        </is>
      </c>
      <c r="D807" s="2" t="inlineStr">
        <is>
          <t>East</t>
        </is>
      </c>
    </row>
    <row r="808">
      <c r="A808" s="2" t="inlineStr">
        <is>
          <t>C0179</t>
        </is>
      </c>
      <c r="B808" s="2" t="inlineStr">
        <is>
          <t>Maharashtra</t>
        </is>
      </c>
      <c r="C808" s="2" t="inlineStr">
        <is>
          <t>Nashik</t>
        </is>
      </c>
      <c r="D808" s="2" t="inlineStr">
        <is>
          <t>West</t>
        </is>
      </c>
    </row>
    <row r="809">
      <c r="A809" s="2" t="inlineStr">
        <is>
          <t>C0179</t>
        </is>
      </c>
      <c r="B809" s="2" t="inlineStr">
        <is>
          <t>Karnataka</t>
        </is>
      </c>
      <c r="C809" s="2" t="inlineStr">
        <is>
          <t>Mysuru</t>
        </is>
      </c>
      <c r="D809" s="2" t="inlineStr">
        <is>
          <t>South</t>
        </is>
      </c>
    </row>
    <row r="810">
      <c r="A810" s="2" t="inlineStr">
        <is>
          <t>C0179</t>
        </is>
      </c>
      <c r="B810" s="2" t="inlineStr">
        <is>
          <t>Punjab</t>
        </is>
      </c>
      <c r="C810" s="2" t="inlineStr">
        <is>
          <t>Amritsar</t>
        </is>
      </c>
      <c r="D810" s="2" t="inlineStr">
        <is>
          <t>North</t>
        </is>
      </c>
    </row>
    <row r="811">
      <c r="A811" s="2" t="inlineStr">
        <is>
          <t>C0179</t>
        </is>
      </c>
      <c r="B811" s="2" t="inlineStr">
        <is>
          <t>Tamil Nadu</t>
        </is>
      </c>
      <c r="C811" s="2" t="inlineStr">
        <is>
          <t>Coimbatore</t>
        </is>
      </c>
      <c r="D811" s="2" t="inlineStr">
        <is>
          <t>South</t>
        </is>
      </c>
    </row>
    <row r="812">
      <c r="A812" s="2" t="inlineStr">
        <is>
          <t>C0179</t>
        </is>
      </c>
      <c r="B812" s="2" t="inlineStr">
        <is>
          <t>Gujarat</t>
        </is>
      </c>
      <c r="C812" s="2" t="inlineStr">
        <is>
          <t>Ahmedabad</t>
        </is>
      </c>
      <c r="D812" s="2" t="inlineStr">
        <is>
          <t>West</t>
        </is>
      </c>
    </row>
    <row r="813">
      <c r="A813" s="2" t="inlineStr">
        <is>
          <t>C0179</t>
        </is>
      </c>
      <c r="B813" s="2" t="inlineStr">
        <is>
          <t>West Bengal</t>
        </is>
      </c>
      <c r="C813" s="2" t="inlineStr">
        <is>
          <t>Kolkata</t>
        </is>
      </c>
      <c r="D813" s="2" t="inlineStr">
        <is>
          <t>East</t>
        </is>
      </c>
    </row>
    <row r="814">
      <c r="A814" s="2" t="inlineStr">
        <is>
          <t>C0179</t>
        </is>
      </c>
      <c r="B814" s="2" t="inlineStr">
        <is>
          <t>Delhi</t>
        </is>
      </c>
      <c r="C814" s="2" t="inlineStr">
        <is>
          <t>New Delhi</t>
        </is>
      </c>
      <c r="D814" s="2" t="inlineStr">
        <is>
          <t>North</t>
        </is>
      </c>
    </row>
    <row r="815">
      <c r="A815" s="2" t="inlineStr">
        <is>
          <t>C0179</t>
        </is>
      </c>
      <c r="B815" s="2" t="inlineStr">
        <is>
          <t>Telangana</t>
        </is>
      </c>
      <c r="C815" s="2" t="inlineStr">
        <is>
          <t>Warangal</t>
        </is>
      </c>
      <c r="D815" s="2" t="inlineStr">
        <is>
          <t>South</t>
        </is>
      </c>
    </row>
    <row r="816">
      <c r="A816" s="2" t="inlineStr">
        <is>
          <t>C0179</t>
        </is>
      </c>
      <c r="B816" s="2" t="inlineStr">
        <is>
          <t>Haryana</t>
        </is>
      </c>
      <c r="C816" s="2" t="inlineStr">
        <is>
          <t>Gurugram</t>
        </is>
      </c>
      <c r="D816" s="2" t="inlineStr">
        <is>
          <t>North</t>
        </is>
      </c>
    </row>
    <row r="817">
      <c r="A817" s="2" t="inlineStr">
        <is>
          <t>C0179</t>
        </is>
      </c>
      <c r="B817" s="2" t="inlineStr">
        <is>
          <t>Kerala</t>
        </is>
      </c>
      <c r="C817" s="2" t="inlineStr">
        <is>
          <t>Thiruvananthapuram</t>
        </is>
      </c>
      <c r="D817" s="2" t="inlineStr">
        <is>
          <t>South</t>
        </is>
      </c>
    </row>
    <row r="818">
      <c r="A818" s="2" t="inlineStr">
        <is>
          <t>C0179</t>
        </is>
      </c>
      <c r="B818" s="2" t="inlineStr">
        <is>
          <t>Karnataka</t>
        </is>
      </c>
      <c r="C818" s="2" t="inlineStr">
        <is>
          <t>Bengaluru</t>
        </is>
      </c>
      <c r="D818" s="2" t="inlineStr">
        <is>
          <t>South</t>
        </is>
      </c>
    </row>
    <row r="819">
      <c r="A819" s="2" t="inlineStr">
        <is>
          <t>C0179</t>
        </is>
      </c>
      <c r="B819" s="2" t="inlineStr">
        <is>
          <t>Maharashtra</t>
        </is>
      </c>
      <c r="C819" s="2" t="inlineStr">
        <is>
          <t>Mumbai</t>
        </is>
      </c>
      <c r="D819" s="2" t="inlineStr">
        <is>
          <t>West</t>
        </is>
      </c>
    </row>
    <row r="820">
      <c r="A820" s="2" t="inlineStr">
        <is>
          <t>C0179</t>
        </is>
      </c>
      <c r="B820" s="2" t="inlineStr">
        <is>
          <t>Maharashtra</t>
        </is>
      </c>
      <c r="C820" s="2" t="inlineStr">
        <is>
          <t>Nagpur</t>
        </is>
      </c>
      <c r="D820" s="2" t="inlineStr">
        <is>
          <t>West</t>
        </is>
      </c>
    </row>
    <row r="821">
      <c r="A821" s="2" t="inlineStr">
        <is>
          <t>C0179</t>
        </is>
      </c>
      <c r="B821" s="2" t="inlineStr">
        <is>
          <t>Delhi</t>
        </is>
      </c>
      <c r="C821" s="2" t="inlineStr">
        <is>
          <t>New Delhi</t>
        </is>
      </c>
      <c r="D821" s="2" t="n">
        <v/>
      </c>
    </row>
    <row r="822">
      <c r="A822" s="2" t="inlineStr">
        <is>
          <t>C0179</t>
        </is>
      </c>
      <c r="B822" s="2" t="inlineStr">
        <is>
          <t>Bihar</t>
        </is>
      </c>
      <c r="C822" s="2" t="inlineStr">
        <is>
          <t>Gaya</t>
        </is>
      </c>
      <c r="D822" s="2" t="inlineStr">
        <is>
          <t>East</t>
        </is>
      </c>
    </row>
    <row r="823">
      <c r="A823" s="2" t="inlineStr">
        <is>
          <t>C0179</t>
        </is>
      </c>
      <c r="B823" s="2" t="inlineStr">
        <is>
          <t>Odisha</t>
        </is>
      </c>
      <c r="C823" s="2" t="inlineStr">
        <is>
          <t>Cuttack</t>
        </is>
      </c>
      <c r="D823" s="2" t="inlineStr">
        <is>
          <t>East</t>
        </is>
      </c>
    </row>
    <row r="824">
      <c r="A824" s="2" t="inlineStr">
        <is>
          <t>C0179</t>
        </is>
      </c>
      <c r="B824" s="2" t="inlineStr">
        <is>
          <t>Kerala</t>
        </is>
      </c>
      <c r="C824" s="2" t="inlineStr">
        <is>
          <t>Kochi</t>
        </is>
      </c>
      <c r="D824" s="2" t="inlineStr">
        <is>
          <t>South</t>
        </is>
      </c>
    </row>
    <row r="825">
      <c r="A825" s="2" t="inlineStr">
        <is>
          <t>C0179</t>
        </is>
      </c>
      <c r="B825" s="2" t="inlineStr">
        <is>
          <t>Goa</t>
        </is>
      </c>
      <c r="C825" s="2" t="inlineStr">
        <is>
          <t>Panaji</t>
        </is>
      </c>
      <c r="D825" s="2" t="inlineStr">
        <is>
          <t>West</t>
        </is>
      </c>
    </row>
    <row r="826">
      <c r="A826" s="2" t="inlineStr">
        <is>
          <t>C0179</t>
        </is>
      </c>
      <c r="B826" s="2" t="inlineStr">
        <is>
          <t>Punjab</t>
        </is>
      </c>
      <c r="C826" s="2" t="inlineStr">
        <is>
          <t>Ludhiana</t>
        </is>
      </c>
      <c r="D826" s="2" t="inlineStr">
        <is>
          <t>North</t>
        </is>
      </c>
    </row>
    <row r="827">
      <c r="A827" s="2" t="inlineStr">
        <is>
          <t>C0179</t>
        </is>
      </c>
      <c r="B827" s="2" t="inlineStr">
        <is>
          <t>Goa</t>
        </is>
      </c>
      <c r="C827" s="2" t="inlineStr">
        <is>
          <t>Margao</t>
        </is>
      </c>
      <c r="D827" s="2" t="inlineStr">
        <is>
          <t>West</t>
        </is>
      </c>
    </row>
    <row r="828">
      <c r="A828" s="2" t="inlineStr">
        <is>
          <t>C0180</t>
        </is>
      </c>
      <c r="B828" s="2" t="inlineStr">
        <is>
          <t>Karnataka</t>
        </is>
      </c>
      <c r="C828" s="2" t="inlineStr">
        <is>
          <t>Bengaluru</t>
        </is>
      </c>
      <c r="D828" s="2" t="inlineStr">
        <is>
          <t>South</t>
        </is>
      </c>
    </row>
    <row r="829">
      <c r="A829" s="2" t="inlineStr">
        <is>
          <t>C0180</t>
        </is>
      </c>
      <c r="B829" s="2" t="inlineStr">
        <is>
          <t>Delhi</t>
        </is>
      </c>
      <c r="C829" s="2" t="inlineStr">
        <is>
          <t>New Delhi</t>
        </is>
      </c>
      <c r="D829" s="2" t="inlineStr">
        <is>
          <t>North</t>
        </is>
      </c>
    </row>
    <row r="830">
      <c r="A830" s="2" t="inlineStr">
        <is>
          <t>C0181</t>
        </is>
      </c>
      <c r="B830" s="2" t="inlineStr">
        <is>
          <t>Gujarat</t>
        </is>
      </c>
      <c r="C830" s="2" t="inlineStr">
        <is>
          <t>Surat</t>
        </is>
      </c>
      <c r="D830" s="2" t="inlineStr">
        <is>
          <t>West</t>
        </is>
      </c>
    </row>
    <row r="831">
      <c r="A831" s="2" t="inlineStr">
        <is>
          <t>C0181</t>
        </is>
      </c>
      <c r="B831" s="2" t="inlineStr">
        <is>
          <t>Karnataka</t>
        </is>
      </c>
      <c r="C831" s="2" t="inlineStr">
        <is>
          <t>Mangaluru</t>
        </is>
      </c>
      <c r="D831" s="2" t="inlineStr">
        <is>
          <t>South</t>
        </is>
      </c>
    </row>
    <row r="832">
      <c r="A832" s="2" t="inlineStr">
        <is>
          <t>C0181</t>
        </is>
      </c>
      <c r="B832" s="2" t="inlineStr">
        <is>
          <t>Gujarat</t>
        </is>
      </c>
      <c r="C832" s="2" t="inlineStr">
        <is>
          <t>Ahmedabad</t>
        </is>
      </c>
      <c r="D832" s="2" t="inlineStr">
        <is>
          <t>West</t>
        </is>
      </c>
    </row>
    <row r="833">
      <c r="A833" s="2" t="inlineStr">
        <is>
          <t>C0181</t>
        </is>
      </c>
      <c r="B833" s="2" t="inlineStr">
        <is>
          <t>Odisha</t>
        </is>
      </c>
      <c r="C833" s="2" t="inlineStr">
        <is>
          <t>Bhubaneswar</t>
        </is>
      </c>
      <c r="D833" s="2" t="inlineStr">
        <is>
          <t>East</t>
        </is>
      </c>
    </row>
    <row r="834">
      <c r="A834" s="2" t="inlineStr">
        <is>
          <t>C0181</t>
        </is>
      </c>
      <c r="B834" s="2" t="inlineStr">
        <is>
          <t>Tamil Nadu</t>
        </is>
      </c>
      <c r="C834" s="2" t="inlineStr">
        <is>
          <t>Coimbatore</t>
        </is>
      </c>
      <c r="D834" s="2" t="inlineStr">
        <is>
          <t>South</t>
        </is>
      </c>
    </row>
    <row r="835">
      <c r="A835" s="2" t="inlineStr">
        <is>
          <t>C0181</t>
        </is>
      </c>
      <c r="B835" s="2" t="inlineStr">
        <is>
          <t>Uttar Pradesh</t>
        </is>
      </c>
      <c r="C835" s="2" t="inlineStr">
        <is>
          <t>Lucknow</t>
        </is>
      </c>
      <c r="D835" s="2" t="inlineStr">
        <is>
          <t>North</t>
        </is>
      </c>
    </row>
    <row r="836">
      <c r="A836" s="2" t="inlineStr">
        <is>
          <t>C0181</t>
        </is>
      </c>
      <c r="B836" s="2" t="inlineStr">
        <is>
          <t>Punjab</t>
        </is>
      </c>
      <c r="C836" s="2" t="inlineStr">
        <is>
          <t>Ludhiana</t>
        </is>
      </c>
      <c r="D836" s="2" t="inlineStr">
        <is>
          <t>North</t>
        </is>
      </c>
    </row>
    <row r="837">
      <c r="A837" s="2" t="inlineStr">
        <is>
          <t>C0182</t>
        </is>
      </c>
      <c r="B837" s="2" t="inlineStr">
        <is>
          <t>Maharashtra</t>
        </is>
      </c>
      <c r="C837" s="2" t="inlineStr">
        <is>
          <t>Pune</t>
        </is>
      </c>
      <c r="D837" s="2" t="inlineStr">
        <is>
          <t>West</t>
        </is>
      </c>
    </row>
    <row r="838">
      <c r="A838" s="2" t="inlineStr">
        <is>
          <t>C0182</t>
        </is>
      </c>
      <c r="B838" s="2" t="inlineStr">
        <is>
          <t>Tamil Nadu</t>
        </is>
      </c>
      <c r="C838" s="2" t="inlineStr">
        <is>
          <t>Chennai</t>
        </is>
      </c>
      <c r="D838" s="2" t="inlineStr">
        <is>
          <t>South</t>
        </is>
      </c>
    </row>
    <row r="839">
      <c r="A839" s="2" t="inlineStr">
        <is>
          <t>C0182</t>
        </is>
      </c>
      <c r="B839" s="2" t="inlineStr">
        <is>
          <t>Delhi</t>
        </is>
      </c>
      <c r="C839" s="2" t="inlineStr">
        <is>
          <t>New Delhi</t>
        </is>
      </c>
      <c r="D839" s="2" t="inlineStr">
        <is>
          <t>North</t>
        </is>
      </c>
    </row>
    <row r="840">
      <c r="A840" s="2" t="inlineStr">
        <is>
          <t>C0182</t>
        </is>
      </c>
      <c r="B840" s="2" t="inlineStr">
        <is>
          <t>Uttar Pradesh</t>
        </is>
      </c>
      <c r="C840" s="2" t="inlineStr">
        <is>
          <t>Varanasi</t>
        </is>
      </c>
      <c r="D840" s="2" t="inlineStr">
        <is>
          <t>North</t>
        </is>
      </c>
    </row>
    <row r="841">
      <c r="A841" s="2" t="inlineStr">
        <is>
          <t>C0182</t>
        </is>
      </c>
      <c r="B841" s="2" t="inlineStr">
        <is>
          <t>Odisha</t>
        </is>
      </c>
      <c r="C841" s="2" t="inlineStr">
        <is>
          <t>Bhubaneswar</t>
        </is>
      </c>
      <c r="D841" s="2" t="inlineStr">
        <is>
          <t>East</t>
        </is>
      </c>
    </row>
    <row r="842">
      <c r="A842" s="2" t="inlineStr">
        <is>
          <t>C0182</t>
        </is>
      </c>
      <c r="B842" s="2" t="inlineStr">
        <is>
          <t>Punjab</t>
        </is>
      </c>
      <c r="C842" s="2" t="inlineStr">
        <is>
          <t>Ludhiana</t>
        </is>
      </c>
      <c r="D842" s="2" t="inlineStr">
        <is>
          <t>North</t>
        </is>
      </c>
    </row>
    <row r="843">
      <c r="A843" s="2" t="inlineStr">
        <is>
          <t>C0182</t>
        </is>
      </c>
      <c r="B843" s="2" t="inlineStr">
        <is>
          <t>Telangana</t>
        </is>
      </c>
      <c r="C843" s="2" t="inlineStr">
        <is>
          <t>Warangal</t>
        </is>
      </c>
      <c r="D843" s="2" t="inlineStr">
        <is>
          <t>South</t>
        </is>
      </c>
    </row>
    <row r="844">
      <c r="A844" s="2" t="inlineStr">
        <is>
          <t>C0182</t>
        </is>
      </c>
      <c r="B844" s="2" t="inlineStr">
        <is>
          <t>Odisha</t>
        </is>
      </c>
      <c r="C844" s="2" t="inlineStr">
        <is>
          <t>Cuttack</t>
        </is>
      </c>
      <c r="D844" s="2" t="inlineStr">
        <is>
          <t>East</t>
        </is>
      </c>
    </row>
    <row r="845">
      <c r="A845" s="2" t="inlineStr">
        <is>
          <t>C0182</t>
        </is>
      </c>
      <c r="B845" s="2" t="inlineStr">
        <is>
          <t>West Bengal</t>
        </is>
      </c>
      <c r="C845" s="2" t="inlineStr">
        <is>
          <t>Durgapur</t>
        </is>
      </c>
      <c r="D845" s="2" t="inlineStr">
        <is>
          <t>East</t>
        </is>
      </c>
    </row>
    <row r="846">
      <c r="A846" s="2" t="inlineStr">
        <is>
          <t>C0182</t>
        </is>
      </c>
      <c r="B846" s="2" t="inlineStr">
        <is>
          <t>Karnataka</t>
        </is>
      </c>
      <c r="C846" s="2" t="inlineStr">
        <is>
          <t>Mangaluru</t>
        </is>
      </c>
      <c r="D846" s="2" t="inlineStr">
        <is>
          <t>South</t>
        </is>
      </c>
    </row>
    <row r="847">
      <c r="A847" s="2" t="inlineStr">
        <is>
          <t>C0183</t>
        </is>
      </c>
      <c r="B847" s="2" t="inlineStr">
        <is>
          <t>West Bengal</t>
        </is>
      </c>
      <c r="C847" s="2" t="inlineStr">
        <is>
          <t>Kolkata</t>
        </is>
      </c>
      <c r="D847" s="2" t="inlineStr">
        <is>
          <t>East</t>
        </is>
      </c>
    </row>
    <row r="848">
      <c r="A848" s="2" t="inlineStr">
        <is>
          <t>C0183</t>
        </is>
      </c>
      <c r="B848" s="2" t="inlineStr">
        <is>
          <t>Kerala</t>
        </is>
      </c>
      <c r="C848" s="2" t="inlineStr">
        <is>
          <t>Thiruvananthapuram</t>
        </is>
      </c>
      <c r="D848" s="2" t="inlineStr">
        <is>
          <t>South</t>
        </is>
      </c>
    </row>
    <row r="849">
      <c r="A849" s="2" t="inlineStr">
        <is>
          <t>C0183</t>
        </is>
      </c>
      <c r="B849" s="2" t="inlineStr">
        <is>
          <t>Gujarat</t>
        </is>
      </c>
      <c r="C849" s="2" t="inlineStr">
        <is>
          <t>Ahmedabad</t>
        </is>
      </c>
      <c r="D849" s="2" t="inlineStr">
        <is>
          <t>West</t>
        </is>
      </c>
    </row>
    <row r="850">
      <c r="A850" s="2" t="inlineStr">
        <is>
          <t>C0183</t>
        </is>
      </c>
      <c r="B850" s="2" t="inlineStr">
        <is>
          <t>Delhi</t>
        </is>
      </c>
      <c r="C850" s="2" t="inlineStr">
        <is>
          <t>New Delhi</t>
        </is>
      </c>
      <c r="D850" s="2" t="inlineStr">
        <is>
          <t>North</t>
        </is>
      </c>
    </row>
    <row r="851">
      <c r="A851" s="2" t="inlineStr">
        <is>
          <t>C0183</t>
        </is>
      </c>
      <c r="B851" s="2" t="inlineStr">
        <is>
          <t>Haryana</t>
        </is>
      </c>
      <c r="C851" s="2" t="inlineStr">
        <is>
          <t>Gurugram</t>
        </is>
      </c>
      <c r="D851" s="2" t="inlineStr">
        <is>
          <t>North</t>
        </is>
      </c>
    </row>
    <row r="852">
      <c r="A852" s="2" t="inlineStr">
        <is>
          <t>C0184</t>
        </is>
      </c>
      <c r="B852" s="2" t="inlineStr">
        <is>
          <t>Gujarat</t>
        </is>
      </c>
      <c r="C852" s="2" t="inlineStr">
        <is>
          <t>Vadodara</t>
        </is>
      </c>
      <c r="D852" s="2" t="inlineStr">
        <is>
          <t>West</t>
        </is>
      </c>
    </row>
    <row r="853">
      <c r="A853" s="2" t="inlineStr">
        <is>
          <t>C0184</t>
        </is>
      </c>
      <c r="B853" s="2" t="inlineStr">
        <is>
          <t>Uttar Pradesh</t>
        </is>
      </c>
      <c r="C853" s="2" t="inlineStr">
        <is>
          <t>Varanasi</t>
        </is>
      </c>
      <c r="D853" s="2" t="inlineStr">
        <is>
          <t>North</t>
        </is>
      </c>
    </row>
    <row r="854">
      <c r="A854" s="2" t="inlineStr">
        <is>
          <t>C0184</t>
        </is>
      </c>
      <c r="B854" s="2" t="inlineStr">
        <is>
          <t>Punjab</t>
        </is>
      </c>
      <c r="C854" s="2" t="inlineStr">
        <is>
          <t>Amritsar</t>
        </is>
      </c>
      <c r="D854" s="2" t="inlineStr">
        <is>
          <t>North</t>
        </is>
      </c>
    </row>
    <row r="855">
      <c r="A855" s="2" t="inlineStr">
        <is>
          <t>C0185</t>
        </is>
      </c>
      <c r="B855" s="2" t="inlineStr">
        <is>
          <t>Goa</t>
        </is>
      </c>
      <c r="C855" s="2" t="inlineStr">
        <is>
          <t>Margao</t>
        </is>
      </c>
      <c r="D855" s="2" t="inlineStr">
        <is>
          <t>West</t>
        </is>
      </c>
    </row>
    <row r="856">
      <c r="A856" s="2" t="inlineStr">
        <is>
          <t>C0185</t>
        </is>
      </c>
      <c r="B856" s="2" t="inlineStr">
        <is>
          <t>Karnataka</t>
        </is>
      </c>
      <c r="C856" s="2" t="inlineStr">
        <is>
          <t>Mysuru</t>
        </is>
      </c>
      <c r="D856" s="2" t="inlineStr">
        <is>
          <t>South</t>
        </is>
      </c>
    </row>
    <row r="857">
      <c r="A857" s="2" t="inlineStr">
        <is>
          <t>C0185</t>
        </is>
      </c>
      <c r="B857" s="2" t="inlineStr">
        <is>
          <t>West Bengal</t>
        </is>
      </c>
      <c r="C857" s="2" t="inlineStr">
        <is>
          <t>Durgapur</t>
        </is>
      </c>
      <c r="D857" s="2" t="inlineStr">
        <is>
          <t>East</t>
        </is>
      </c>
    </row>
    <row r="858">
      <c r="A858" s="2" t="inlineStr">
        <is>
          <t>C0185</t>
        </is>
      </c>
      <c r="B858" s="2" t="inlineStr">
        <is>
          <t>Tamil Nadu</t>
        </is>
      </c>
      <c r="C858" s="2" t="inlineStr">
        <is>
          <t>Chennai</t>
        </is>
      </c>
      <c r="D858" s="2" t="inlineStr">
        <is>
          <t>South</t>
        </is>
      </c>
    </row>
    <row r="859">
      <c r="A859" s="2" t="inlineStr">
        <is>
          <t>C0186</t>
        </is>
      </c>
      <c r="B859" s="2" t="inlineStr">
        <is>
          <t>Goa</t>
        </is>
      </c>
      <c r="C859" s="2" t="inlineStr">
        <is>
          <t>Panaji</t>
        </is>
      </c>
      <c r="D859" s="2" t="inlineStr">
        <is>
          <t>West</t>
        </is>
      </c>
    </row>
    <row r="860">
      <c r="A860" s="2" t="inlineStr">
        <is>
          <t>C0187</t>
        </is>
      </c>
      <c r="B860" s="2" t="inlineStr">
        <is>
          <t>Telangana</t>
        </is>
      </c>
      <c r="C860" s="2" t="inlineStr">
        <is>
          <t>Warangal</t>
        </is>
      </c>
      <c r="D860" s="2" t="inlineStr">
        <is>
          <t>South</t>
        </is>
      </c>
    </row>
    <row r="861">
      <c r="A861" s="2" t="inlineStr">
        <is>
          <t>C0187</t>
        </is>
      </c>
      <c r="B861" s="2" t="inlineStr">
        <is>
          <t>West Bengal</t>
        </is>
      </c>
      <c r="C861" s="2" t="inlineStr">
        <is>
          <t>Durgapur</t>
        </is>
      </c>
      <c r="D861" s="2" t="inlineStr">
        <is>
          <t>East</t>
        </is>
      </c>
    </row>
    <row r="862">
      <c r="A862" s="2" t="inlineStr">
        <is>
          <t>C0187</t>
        </is>
      </c>
      <c r="B862" s="2" t="inlineStr">
        <is>
          <t>Odisha</t>
        </is>
      </c>
      <c r="C862" s="2" t="inlineStr">
        <is>
          <t>Cuttack</t>
        </is>
      </c>
      <c r="D862" s="2" t="inlineStr">
        <is>
          <t>East</t>
        </is>
      </c>
    </row>
    <row r="863">
      <c r="A863" s="2" t="inlineStr">
        <is>
          <t>C0187</t>
        </is>
      </c>
      <c r="B863" s="2" t="inlineStr">
        <is>
          <t>Uttar Pradesh</t>
        </is>
      </c>
      <c r="C863" s="2" t="inlineStr">
        <is>
          <t>Noida</t>
        </is>
      </c>
      <c r="D863" s="2" t="inlineStr">
        <is>
          <t>North</t>
        </is>
      </c>
    </row>
    <row r="864">
      <c r="A864" s="2" t="inlineStr">
        <is>
          <t>C0188</t>
        </is>
      </c>
      <c r="B864" s="2" t="inlineStr">
        <is>
          <t>Goa</t>
        </is>
      </c>
      <c r="C864" s="2" t="inlineStr">
        <is>
          <t>Panaji</t>
        </is>
      </c>
      <c r="D864" s="2" t="inlineStr">
        <is>
          <t>West</t>
        </is>
      </c>
    </row>
    <row r="865">
      <c r="A865" s="2" t="inlineStr">
        <is>
          <t>C0188</t>
        </is>
      </c>
      <c r="B865" s="2" t="inlineStr">
        <is>
          <t>Haryana</t>
        </is>
      </c>
      <c r="C865" s="2" t="inlineStr">
        <is>
          <t>Gurugram</t>
        </is>
      </c>
      <c r="D865" s="2" t="inlineStr">
        <is>
          <t>North</t>
        </is>
      </c>
    </row>
    <row r="866">
      <c r="A866" s="2" t="inlineStr">
        <is>
          <t>C0188</t>
        </is>
      </c>
      <c r="B866" s="2" t="inlineStr">
        <is>
          <t>Uttar Pradesh</t>
        </is>
      </c>
      <c r="C866" s="2" t="inlineStr">
        <is>
          <t>Lucknow</t>
        </is>
      </c>
      <c r="D866" s="2" t="inlineStr">
        <is>
          <t>North</t>
        </is>
      </c>
    </row>
    <row r="867">
      <c r="A867" s="2" t="inlineStr">
        <is>
          <t>C0188</t>
        </is>
      </c>
      <c r="B867" s="2" t="inlineStr">
        <is>
          <t>Kerala</t>
        </is>
      </c>
      <c r="C867" s="2" t="inlineStr">
        <is>
          <t>Thiruvananthapuram</t>
        </is>
      </c>
      <c r="D867" s="2" t="inlineStr">
        <is>
          <t>South</t>
        </is>
      </c>
    </row>
    <row r="868">
      <c r="A868" s="2" t="inlineStr">
        <is>
          <t>C0188</t>
        </is>
      </c>
      <c r="B868" s="2" t="inlineStr">
        <is>
          <t>Gujarat</t>
        </is>
      </c>
      <c r="C868" s="2" t="inlineStr">
        <is>
          <t>Surat</t>
        </is>
      </c>
      <c r="D868" s="2" t="inlineStr">
        <is>
          <t>West</t>
        </is>
      </c>
    </row>
    <row r="869">
      <c r="A869" s="2" t="inlineStr">
        <is>
          <t>C0189</t>
        </is>
      </c>
      <c r="B869" s="2" t="inlineStr">
        <is>
          <t>Kerala</t>
        </is>
      </c>
      <c r="C869" s="2" t="inlineStr">
        <is>
          <t>Kochi</t>
        </is>
      </c>
      <c r="D869" s="2" t="inlineStr">
        <is>
          <t>South</t>
        </is>
      </c>
    </row>
    <row r="870">
      <c r="A870" s="2" t="inlineStr">
        <is>
          <t>C0189</t>
        </is>
      </c>
      <c r="B870" s="2" t="inlineStr">
        <is>
          <t>Uttar Pradesh</t>
        </is>
      </c>
      <c r="C870" s="2" t="inlineStr">
        <is>
          <t>Noida</t>
        </is>
      </c>
      <c r="D870" s="2" t="inlineStr">
        <is>
          <t>North</t>
        </is>
      </c>
    </row>
    <row r="871">
      <c r="A871" s="2" t="inlineStr">
        <is>
          <t>C0189</t>
        </is>
      </c>
      <c r="B871" s="2" t="inlineStr">
        <is>
          <t>Haryana</t>
        </is>
      </c>
      <c r="C871" s="2" t="inlineStr">
        <is>
          <t>Gurugram</t>
        </is>
      </c>
      <c r="D871" s="2" t="inlineStr">
        <is>
          <t>North</t>
        </is>
      </c>
    </row>
    <row r="872">
      <c r="A872" s="2" t="inlineStr">
        <is>
          <t>C0189</t>
        </is>
      </c>
      <c r="B872" s="2" t="inlineStr">
        <is>
          <t>Maharashtra</t>
        </is>
      </c>
      <c r="C872" s="2" t="inlineStr">
        <is>
          <t>Thane</t>
        </is>
      </c>
      <c r="D872" s="2" t="inlineStr">
        <is>
          <t>West</t>
        </is>
      </c>
    </row>
    <row r="873">
      <c r="A873" s="2" t="inlineStr">
        <is>
          <t>C0190</t>
        </is>
      </c>
      <c r="B873" s="2" t="inlineStr">
        <is>
          <t>Tamil Nadu</t>
        </is>
      </c>
      <c r="C873" s="2" t="inlineStr">
        <is>
          <t>Madurai</t>
        </is>
      </c>
      <c r="D873" s="2" t="inlineStr">
        <is>
          <t>South</t>
        </is>
      </c>
    </row>
    <row r="874">
      <c r="A874" s="2" t="inlineStr">
        <is>
          <t>C0191</t>
        </is>
      </c>
      <c r="B874" s="2" t="inlineStr">
        <is>
          <t>Maharashtra</t>
        </is>
      </c>
      <c r="C874" s="2" t="inlineStr">
        <is>
          <t>Nashik</t>
        </is>
      </c>
      <c r="D874" s="2" t="inlineStr">
        <is>
          <t>West</t>
        </is>
      </c>
    </row>
    <row r="875">
      <c r="A875" s="2" t="inlineStr">
        <is>
          <t>C0192</t>
        </is>
      </c>
      <c r="B875" s="2" t="inlineStr">
        <is>
          <t>Gujarat</t>
        </is>
      </c>
      <c r="C875" s="2" t="inlineStr">
        <is>
          <t>Surat</t>
        </is>
      </c>
      <c r="D875" s="2" t="inlineStr">
        <is>
          <t>West</t>
        </is>
      </c>
    </row>
    <row r="876">
      <c r="A876" s="2" t="inlineStr">
        <is>
          <t>C0192</t>
        </is>
      </c>
      <c r="B876" s="2" t="inlineStr">
        <is>
          <t>Haryana</t>
        </is>
      </c>
      <c r="C876" s="2" t="inlineStr">
        <is>
          <t>Faridabad</t>
        </is>
      </c>
      <c r="D876" s="2" t="inlineStr">
        <is>
          <t>North</t>
        </is>
      </c>
    </row>
    <row r="877">
      <c r="A877" s="2" t="inlineStr">
        <is>
          <t>C0194</t>
        </is>
      </c>
      <c r="B877" s="2" t="inlineStr">
        <is>
          <t>Gujarat</t>
        </is>
      </c>
      <c r="C877" s="2" t="inlineStr">
        <is>
          <t>Vadodara</t>
        </is>
      </c>
      <c r="D877" s="2" t="n">
        <v/>
      </c>
    </row>
    <row r="878">
      <c r="A878" s="2" t="inlineStr">
        <is>
          <t>C0194</t>
        </is>
      </c>
      <c r="B878" s="2" t="inlineStr">
        <is>
          <t>Odisha</t>
        </is>
      </c>
      <c r="C878" s="2" t="inlineStr">
        <is>
          <t>Cuttack</t>
        </is>
      </c>
      <c r="D878" s="2" t="inlineStr">
        <is>
          <t>East</t>
        </is>
      </c>
    </row>
    <row r="879">
      <c r="A879" s="2" t="inlineStr">
        <is>
          <t>C0194</t>
        </is>
      </c>
      <c r="B879" s="2" t="inlineStr">
        <is>
          <t>Delhi</t>
        </is>
      </c>
      <c r="C879" s="2" t="inlineStr">
        <is>
          <t>New Delhi</t>
        </is>
      </c>
      <c r="D879" s="2" t="inlineStr">
        <is>
          <t>North</t>
        </is>
      </c>
    </row>
    <row r="880">
      <c r="A880" s="2" t="inlineStr">
        <is>
          <t>C0194</t>
        </is>
      </c>
      <c r="B880" s="2" t="inlineStr">
        <is>
          <t>Bihar</t>
        </is>
      </c>
      <c r="C880" s="2" t="inlineStr">
        <is>
          <t>Patna</t>
        </is>
      </c>
      <c r="D880" s="2" t="inlineStr">
        <is>
          <t>East</t>
        </is>
      </c>
    </row>
    <row r="881">
      <c r="A881" s="2" t="inlineStr">
        <is>
          <t>C0194</t>
        </is>
      </c>
      <c r="B881" s="2" t="inlineStr">
        <is>
          <t>Maharashtra</t>
        </is>
      </c>
      <c r="C881" s="2" t="inlineStr">
        <is>
          <t>Nagpur</t>
        </is>
      </c>
      <c r="D881" s="2" t="inlineStr">
        <is>
          <t>West</t>
        </is>
      </c>
    </row>
    <row r="882">
      <c r="A882" s="2" t="inlineStr">
        <is>
          <t>C0194</t>
        </is>
      </c>
      <c r="B882" s="2" t="inlineStr">
        <is>
          <t>Goa</t>
        </is>
      </c>
      <c r="C882" s="2" t="inlineStr">
        <is>
          <t>Margao</t>
        </is>
      </c>
      <c r="D882" s="2" t="inlineStr">
        <is>
          <t>West</t>
        </is>
      </c>
    </row>
    <row r="883">
      <c r="A883" s="2" t="inlineStr">
        <is>
          <t>C0195</t>
        </is>
      </c>
      <c r="B883" s="2" t="inlineStr">
        <is>
          <t>Goa</t>
        </is>
      </c>
      <c r="C883" s="2" t="inlineStr">
        <is>
          <t>Margao</t>
        </is>
      </c>
      <c r="D883" s="2" t="inlineStr">
        <is>
          <t>West</t>
        </is>
      </c>
    </row>
    <row r="884">
      <c r="A884" s="2" t="inlineStr">
        <is>
          <t>C0195</t>
        </is>
      </c>
      <c r="B884" s="2" t="inlineStr">
        <is>
          <t>Punjab</t>
        </is>
      </c>
      <c r="C884" s="2" t="inlineStr">
        <is>
          <t>Amritsar</t>
        </is>
      </c>
      <c r="D884" s="2" t="inlineStr">
        <is>
          <t>North</t>
        </is>
      </c>
    </row>
    <row r="885">
      <c r="A885" s="2" t="inlineStr">
        <is>
          <t>C0195</t>
        </is>
      </c>
      <c r="B885" s="2" t="inlineStr">
        <is>
          <t>Karnataka</t>
        </is>
      </c>
      <c r="C885" s="2" t="inlineStr">
        <is>
          <t>Bengaluru</t>
        </is>
      </c>
      <c r="D885" s="2" t="inlineStr">
        <is>
          <t>South</t>
        </is>
      </c>
    </row>
    <row r="886">
      <c r="A886" s="2" t="inlineStr">
        <is>
          <t>C0196</t>
        </is>
      </c>
      <c r="B886" s="2" t="inlineStr">
        <is>
          <t>Uttar Pradesh</t>
        </is>
      </c>
      <c r="C886" s="2" t="inlineStr">
        <is>
          <t>Noida</t>
        </is>
      </c>
      <c r="D886" s="2" t="inlineStr">
        <is>
          <t>North</t>
        </is>
      </c>
    </row>
    <row r="887">
      <c r="A887" s="2" t="inlineStr">
        <is>
          <t>C0196</t>
        </is>
      </c>
      <c r="B887" s="2" t="inlineStr">
        <is>
          <t>Punjab</t>
        </is>
      </c>
      <c r="C887" s="2" t="inlineStr">
        <is>
          <t>Ludhiana</t>
        </is>
      </c>
      <c r="D887" s="2" t="inlineStr">
        <is>
          <t>North</t>
        </is>
      </c>
    </row>
    <row r="888">
      <c r="A888" s="2" t="inlineStr">
        <is>
          <t>C0196</t>
        </is>
      </c>
      <c r="B888" s="2" t="inlineStr">
        <is>
          <t>Kerala</t>
        </is>
      </c>
      <c r="C888" s="2" t="inlineStr">
        <is>
          <t>Kochi</t>
        </is>
      </c>
      <c r="D888" s="2" t="inlineStr">
        <is>
          <t>South</t>
        </is>
      </c>
    </row>
    <row r="889">
      <c r="A889" s="2" t="inlineStr">
        <is>
          <t>C0196</t>
        </is>
      </c>
      <c r="B889" s="2" t="inlineStr">
        <is>
          <t>Uttar Pradesh</t>
        </is>
      </c>
      <c r="C889" s="2" t="inlineStr">
        <is>
          <t>Kanpur</t>
        </is>
      </c>
      <c r="D889" s="2" t="inlineStr">
        <is>
          <t>North</t>
        </is>
      </c>
    </row>
    <row r="890">
      <c r="A890" s="2" t="inlineStr">
        <is>
          <t>C0197</t>
        </is>
      </c>
      <c r="B890" s="2" t="inlineStr">
        <is>
          <t>Odisha</t>
        </is>
      </c>
      <c r="C890" s="2" t="inlineStr">
        <is>
          <t>Cuttack</t>
        </is>
      </c>
      <c r="D890" s="2" t="inlineStr">
        <is>
          <t>East</t>
        </is>
      </c>
    </row>
    <row r="891">
      <c r="A891" s="2" t="inlineStr">
        <is>
          <t>C0197</t>
        </is>
      </c>
      <c r="B891" s="2" t="inlineStr">
        <is>
          <t>Haryana</t>
        </is>
      </c>
      <c r="C891" s="2" t="inlineStr">
        <is>
          <t>Gurugram</t>
        </is>
      </c>
      <c r="D891" s="2" t="inlineStr">
        <is>
          <t>North</t>
        </is>
      </c>
    </row>
    <row r="892">
      <c r="A892" s="2" t="inlineStr">
        <is>
          <t>C0198</t>
        </is>
      </c>
      <c r="B892" s="2" t="inlineStr">
        <is>
          <t>Tamil Nadu</t>
        </is>
      </c>
      <c r="C892" s="2" t="inlineStr">
        <is>
          <t>Coimbatore</t>
        </is>
      </c>
      <c r="D892" s="2" t="inlineStr">
        <is>
          <t>South</t>
        </is>
      </c>
    </row>
    <row r="893">
      <c r="A893" s="2" t="inlineStr">
        <is>
          <t>C0198</t>
        </is>
      </c>
      <c r="B893" s="2" t="inlineStr">
        <is>
          <t>Kerala</t>
        </is>
      </c>
      <c r="C893" s="2" t="inlineStr">
        <is>
          <t>Kochi</t>
        </is>
      </c>
      <c r="D893" s="2" t="inlineStr">
        <is>
          <t>South</t>
        </is>
      </c>
    </row>
    <row r="894">
      <c r="A894" s="2" t="inlineStr">
        <is>
          <t>C0198</t>
        </is>
      </c>
      <c r="B894" s="2" t="inlineStr">
        <is>
          <t>Gujarat</t>
        </is>
      </c>
      <c r="C894" s="2" t="inlineStr">
        <is>
          <t>Ahmedabad</t>
        </is>
      </c>
      <c r="D894" s="2" t="inlineStr">
        <is>
          <t>West</t>
        </is>
      </c>
    </row>
    <row r="895">
      <c r="A895" s="2" t="inlineStr">
        <is>
          <t>C0198</t>
        </is>
      </c>
      <c r="B895" s="2" t="inlineStr">
        <is>
          <t>Goa</t>
        </is>
      </c>
      <c r="C895" s="2" t="inlineStr">
        <is>
          <t>Panaji</t>
        </is>
      </c>
      <c r="D895" s="2" t="inlineStr">
        <is>
          <t>West</t>
        </is>
      </c>
    </row>
    <row r="896">
      <c r="A896" s="2" t="inlineStr">
        <is>
          <t>C0199</t>
        </is>
      </c>
      <c r="B896" s="2" t="inlineStr">
        <is>
          <t>Haryana</t>
        </is>
      </c>
      <c r="C896" s="2" t="inlineStr">
        <is>
          <t>Faridabad</t>
        </is>
      </c>
      <c r="D896" s="2" t="inlineStr">
        <is>
          <t>North</t>
        </is>
      </c>
    </row>
    <row r="897">
      <c r="A897" s="2" t="inlineStr">
        <is>
          <t>C0199</t>
        </is>
      </c>
      <c r="B897" s="2" t="inlineStr">
        <is>
          <t>Telangana</t>
        </is>
      </c>
      <c r="C897" s="2" t="inlineStr">
        <is>
          <t>Hyderabad</t>
        </is>
      </c>
      <c r="D897" s="2" t="inlineStr">
        <is>
          <t>South</t>
        </is>
      </c>
    </row>
    <row r="898">
      <c r="A898" s="2" t="inlineStr">
        <is>
          <t>C0199</t>
        </is>
      </c>
      <c r="B898" s="2" t="inlineStr">
        <is>
          <t>Bihar</t>
        </is>
      </c>
      <c r="C898" s="2" t="inlineStr">
        <is>
          <t>Gaya</t>
        </is>
      </c>
      <c r="D898" s="2" t="inlineStr">
        <is>
          <t>East</t>
        </is>
      </c>
    </row>
    <row r="899">
      <c r="A899" s="2" t="inlineStr">
        <is>
          <t>C0199</t>
        </is>
      </c>
      <c r="B899" s="2" t="inlineStr">
        <is>
          <t>Punjab</t>
        </is>
      </c>
      <c r="C899" s="2" t="inlineStr">
        <is>
          <t>Jalandhar</t>
        </is>
      </c>
      <c r="D899" s="2" t="inlineStr">
        <is>
          <t>North</t>
        </is>
      </c>
    </row>
    <row r="900">
      <c r="A900" s="2" t="inlineStr">
        <is>
          <t>C0199</t>
        </is>
      </c>
      <c r="B900" s="2" t="inlineStr">
        <is>
          <t>Odisha</t>
        </is>
      </c>
      <c r="C900" s="2" t="inlineStr">
        <is>
          <t>Bhubaneswar</t>
        </is>
      </c>
      <c r="D900" s="2" t="inlineStr">
        <is>
          <t>East</t>
        </is>
      </c>
    </row>
    <row r="901">
      <c r="A901" s="2" t="inlineStr">
        <is>
          <t>C0199</t>
        </is>
      </c>
      <c r="B901" s="2" t="inlineStr">
        <is>
          <t>Goa</t>
        </is>
      </c>
      <c r="C901" s="2" t="inlineStr">
        <is>
          <t>Panaji</t>
        </is>
      </c>
      <c r="D901" s="2" t="inlineStr">
        <is>
          <t>West</t>
        </is>
      </c>
    </row>
    <row r="902">
      <c r="A902" s="2" t="inlineStr">
        <is>
          <t>C0200</t>
        </is>
      </c>
      <c r="B902" s="2" t="inlineStr">
        <is>
          <t>Haryana</t>
        </is>
      </c>
      <c r="C902" s="2" t="inlineStr">
        <is>
          <t>Faridabad</t>
        </is>
      </c>
      <c r="D902" s="2" t="inlineStr">
        <is>
          <t>North</t>
        </is>
      </c>
    </row>
    <row r="903">
      <c r="A903" s="2" t="inlineStr">
        <is>
          <t>C0200</t>
        </is>
      </c>
      <c r="B903" s="2" t="inlineStr">
        <is>
          <t>Uttar Pradesh</t>
        </is>
      </c>
      <c r="C903" s="2" t="inlineStr">
        <is>
          <t>Lucknow</t>
        </is>
      </c>
      <c r="D903" s="2" t="inlineStr">
        <is>
          <t>North</t>
        </is>
      </c>
    </row>
    <row r="904">
      <c r="A904" s="2" t="inlineStr">
        <is>
          <t>C0200</t>
        </is>
      </c>
      <c r="B904" s="2" t="inlineStr">
        <is>
          <t>Uttar Pradesh</t>
        </is>
      </c>
      <c r="C904" s="2" t="inlineStr">
        <is>
          <t>Kanpur</t>
        </is>
      </c>
      <c r="D904" s="2" t="inlineStr">
        <is>
          <t>North</t>
        </is>
      </c>
    </row>
    <row r="905">
      <c r="A905" s="2" t="inlineStr">
        <is>
          <t>C0200</t>
        </is>
      </c>
      <c r="B905" s="2" t="inlineStr">
        <is>
          <t>Bihar</t>
        </is>
      </c>
      <c r="C905" s="2" t="inlineStr">
        <is>
          <t>Gaya</t>
        </is>
      </c>
      <c r="D905" s="2" t="inlineStr">
        <is>
          <t>East</t>
        </is>
      </c>
    </row>
    <row r="906">
      <c r="A906" s="2" t="inlineStr">
        <is>
          <t>C0200</t>
        </is>
      </c>
      <c r="B906" s="2" t="inlineStr">
        <is>
          <t>Gujarat</t>
        </is>
      </c>
      <c r="C906" s="2" t="inlineStr">
        <is>
          <t>Ahmedabad</t>
        </is>
      </c>
      <c r="D906" s="2" t="inlineStr">
        <is>
          <t>West</t>
        </is>
      </c>
    </row>
    <row r="907">
      <c r="A907" s="2" t="inlineStr">
        <is>
          <t>C0201</t>
        </is>
      </c>
      <c r="B907" s="2" t="inlineStr">
        <is>
          <t>Kerala</t>
        </is>
      </c>
      <c r="C907" s="2" t="inlineStr">
        <is>
          <t>Kochi</t>
        </is>
      </c>
      <c r="D907" s="2" t="inlineStr">
        <is>
          <t>South</t>
        </is>
      </c>
    </row>
    <row r="908">
      <c r="A908" s="2" t="inlineStr">
        <is>
          <t>C0201</t>
        </is>
      </c>
      <c r="B908" s="2" t="inlineStr">
        <is>
          <t>Delhi</t>
        </is>
      </c>
      <c r="C908" s="2" t="inlineStr">
        <is>
          <t>New Delhi</t>
        </is>
      </c>
      <c r="D908" s="2" t="inlineStr">
        <is>
          <t>North</t>
        </is>
      </c>
    </row>
    <row r="909">
      <c r="A909" s="2" t="inlineStr">
        <is>
          <t>C0201</t>
        </is>
      </c>
      <c r="B909" s="2" t="inlineStr">
        <is>
          <t>Karnataka</t>
        </is>
      </c>
      <c r="C909" s="2" t="inlineStr">
        <is>
          <t>Mangaluru</t>
        </is>
      </c>
      <c r="D909" s="2" t="inlineStr">
        <is>
          <t>South</t>
        </is>
      </c>
    </row>
    <row r="910">
      <c r="A910" s="2" t="inlineStr">
        <is>
          <t>C0202</t>
        </is>
      </c>
      <c r="B910" s="2" t="inlineStr">
        <is>
          <t>Bihar</t>
        </is>
      </c>
      <c r="C910" s="2" t="inlineStr">
        <is>
          <t>Gaya</t>
        </is>
      </c>
      <c r="D910" s="2" t="inlineStr">
        <is>
          <t>East</t>
        </is>
      </c>
    </row>
    <row r="911">
      <c r="A911" s="2" t="inlineStr">
        <is>
          <t>C0202</t>
        </is>
      </c>
      <c r="B911" s="2" t="inlineStr">
        <is>
          <t>Karnataka</t>
        </is>
      </c>
      <c r="C911" s="2" t="inlineStr">
        <is>
          <t>Mangaluru</t>
        </is>
      </c>
      <c r="D911" s="2" t="inlineStr">
        <is>
          <t>South</t>
        </is>
      </c>
    </row>
    <row r="912">
      <c r="A912" s="2" t="inlineStr">
        <is>
          <t>C0202</t>
        </is>
      </c>
      <c r="B912" s="2" t="inlineStr">
        <is>
          <t>Bihar</t>
        </is>
      </c>
      <c r="C912" s="2" t="inlineStr">
        <is>
          <t>Patna</t>
        </is>
      </c>
      <c r="D912" s="2" t="inlineStr">
        <is>
          <t>East</t>
        </is>
      </c>
    </row>
    <row r="913">
      <c r="A913" s="2" t="inlineStr">
        <is>
          <t>C0202</t>
        </is>
      </c>
      <c r="B913" s="2" t="inlineStr">
        <is>
          <t>Gujarat</t>
        </is>
      </c>
      <c r="C913" s="2" t="inlineStr">
        <is>
          <t>Vadodara</t>
        </is>
      </c>
      <c r="D913" s="2" t="inlineStr">
        <is>
          <t>West</t>
        </is>
      </c>
    </row>
    <row r="914">
      <c r="A914" s="2" t="inlineStr">
        <is>
          <t>C0202</t>
        </is>
      </c>
      <c r="B914" s="2" t="inlineStr">
        <is>
          <t>Goa</t>
        </is>
      </c>
      <c r="C914" s="2" t="inlineStr">
        <is>
          <t>Margao</t>
        </is>
      </c>
      <c r="D914" s="2" t="inlineStr">
        <is>
          <t>West</t>
        </is>
      </c>
    </row>
    <row r="915">
      <c r="A915" s="2" t="inlineStr">
        <is>
          <t>C0202</t>
        </is>
      </c>
      <c r="B915" s="2" t="inlineStr">
        <is>
          <t>Kerala</t>
        </is>
      </c>
      <c r="C915" s="2" t="inlineStr">
        <is>
          <t>Kochi</t>
        </is>
      </c>
      <c r="D915" s="2" t="inlineStr">
        <is>
          <t>South</t>
        </is>
      </c>
    </row>
    <row r="916">
      <c r="A916" s="2" t="inlineStr">
        <is>
          <t>C0202</t>
        </is>
      </c>
      <c r="B916" s="2" t="inlineStr">
        <is>
          <t>Tamil Nadu</t>
        </is>
      </c>
      <c r="C916" s="2" t="inlineStr">
        <is>
          <t>Coimbatore</t>
        </is>
      </c>
      <c r="D916" s="2" t="inlineStr">
        <is>
          <t>South</t>
        </is>
      </c>
    </row>
    <row r="917">
      <c r="A917" s="2" t="inlineStr">
        <is>
          <t>C0202</t>
        </is>
      </c>
      <c r="B917" s="2" t="inlineStr">
        <is>
          <t>Haryana</t>
        </is>
      </c>
      <c r="C917" s="2" t="inlineStr">
        <is>
          <t>Faridabad</t>
        </is>
      </c>
      <c r="D917" s="2" t="inlineStr">
        <is>
          <t>North</t>
        </is>
      </c>
    </row>
    <row r="918">
      <c r="A918" s="2" t="inlineStr">
        <is>
          <t>C0202</t>
        </is>
      </c>
      <c r="B918" s="2" t="inlineStr">
        <is>
          <t>Telangana</t>
        </is>
      </c>
      <c r="C918" s="2" t="inlineStr">
        <is>
          <t>Warangal</t>
        </is>
      </c>
      <c r="D918" s="2" t="inlineStr">
        <is>
          <t>South</t>
        </is>
      </c>
    </row>
    <row r="919">
      <c r="A919" s="2" t="inlineStr">
        <is>
          <t>C0202</t>
        </is>
      </c>
      <c r="B919" s="2" t="inlineStr">
        <is>
          <t>Goa</t>
        </is>
      </c>
      <c r="C919" s="2" t="inlineStr">
        <is>
          <t>Panaji</t>
        </is>
      </c>
      <c r="D919" s="2" t="inlineStr">
        <is>
          <t>West</t>
        </is>
      </c>
    </row>
    <row r="920">
      <c r="A920" s="2" t="inlineStr">
        <is>
          <t>C0202</t>
        </is>
      </c>
      <c r="B920" s="2" t="inlineStr">
        <is>
          <t>West Bengal</t>
        </is>
      </c>
      <c r="C920" s="2" t="inlineStr">
        <is>
          <t>Kolkata</t>
        </is>
      </c>
      <c r="D920" s="2" t="inlineStr">
        <is>
          <t>East</t>
        </is>
      </c>
    </row>
    <row r="921">
      <c r="A921" s="2" t="inlineStr">
        <is>
          <t>C0202</t>
        </is>
      </c>
      <c r="B921" s="2" t="inlineStr">
        <is>
          <t>Karnataka</t>
        </is>
      </c>
      <c r="C921" s="2" t="inlineStr">
        <is>
          <t>Bengaluru</t>
        </is>
      </c>
      <c r="D921" s="2" t="inlineStr">
        <is>
          <t>South</t>
        </is>
      </c>
    </row>
    <row r="922">
      <c r="A922" s="2" t="inlineStr">
        <is>
          <t>C0202</t>
        </is>
      </c>
      <c r="B922" s="2" t="inlineStr">
        <is>
          <t>Gujarat</t>
        </is>
      </c>
      <c r="C922" s="2" t="inlineStr">
        <is>
          <t>Ahmedabad</t>
        </is>
      </c>
      <c r="D922" s="2" t="inlineStr">
        <is>
          <t>West</t>
        </is>
      </c>
    </row>
    <row r="923">
      <c r="A923" s="2" t="inlineStr">
        <is>
          <t>C0202</t>
        </is>
      </c>
      <c r="B923" s="2" t="inlineStr">
        <is>
          <t>Uttar Pradesh</t>
        </is>
      </c>
      <c r="C923" s="2" t="inlineStr">
        <is>
          <t>Varanasi</t>
        </is>
      </c>
      <c r="D923" s="2" t="inlineStr">
        <is>
          <t>North</t>
        </is>
      </c>
    </row>
    <row r="924">
      <c r="A924" s="2" t="inlineStr">
        <is>
          <t>C0202</t>
        </is>
      </c>
      <c r="B924" s="2" t="inlineStr">
        <is>
          <t>Kerala</t>
        </is>
      </c>
      <c r="C924" s="2" t="inlineStr">
        <is>
          <t>Thiruvananthapuram</t>
        </is>
      </c>
      <c r="D924" s="2" t="inlineStr">
        <is>
          <t>South</t>
        </is>
      </c>
    </row>
    <row r="925">
      <c r="A925" s="2" t="inlineStr">
        <is>
          <t>C0202</t>
        </is>
      </c>
      <c r="B925" s="2" t="inlineStr">
        <is>
          <t>Maharashtra</t>
        </is>
      </c>
      <c r="C925" s="2" t="inlineStr">
        <is>
          <t>Mumbai</t>
        </is>
      </c>
      <c r="D925" s="2" t="inlineStr">
        <is>
          <t>West</t>
        </is>
      </c>
    </row>
    <row r="926">
      <c r="A926" s="2" t="inlineStr">
        <is>
          <t>C0203</t>
        </is>
      </c>
      <c r="B926" s="2" t="inlineStr">
        <is>
          <t>Goa</t>
        </is>
      </c>
      <c r="C926" s="2" t="inlineStr">
        <is>
          <t>Panaji</t>
        </is>
      </c>
      <c r="D926" s="2" t="inlineStr">
        <is>
          <t>West</t>
        </is>
      </c>
    </row>
    <row r="927">
      <c r="A927" s="2" t="inlineStr">
        <is>
          <t>C0203</t>
        </is>
      </c>
      <c r="B927" s="2" t="inlineStr">
        <is>
          <t>Odisha</t>
        </is>
      </c>
      <c r="C927" s="2" t="inlineStr">
        <is>
          <t>Bhubaneswar</t>
        </is>
      </c>
      <c r="D927" s="2" t="inlineStr">
        <is>
          <t>East</t>
        </is>
      </c>
    </row>
    <row r="928">
      <c r="A928" s="2" t="inlineStr">
        <is>
          <t>C0203</t>
        </is>
      </c>
      <c r="B928" s="2" t="inlineStr">
        <is>
          <t>Delhi</t>
        </is>
      </c>
      <c r="C928" s="2" t="inlineStr">
        <is>
          <t>New Delhi</t>
        </is>
      </c>
      <c r="D928" s="2" t="inlineStr">
        <is>
          <t>North</t>
        </is>
      </c>
    </row>
    <row r="929">
      <c r="A929" s="2" t="inlineStr">
        <is>
          <t>C0203</t>
        </is>
      </c>
      <c r="B929" s="2" t="inlineStr">
        <is>
          <t>Goa</t>
        </is>
      </c>
      <c r="C929" s="2" t="inlineStr">
        <is>
          <t>Margao</t>
        </is>
      </c>
      <c r="D929" s="2" t="inlineStr">
        <is>
          <t>West</t>
        </is>
      </c>
    </row>
    <row r="930">
      <c r="A930" s="2" t="inlineStr">
        <is>
          <t>C0203</t>
        </is>
      </c>
      <c r="B930" s="2" t="inlineStr">
        <is>
          <t>Uttar Pradesh</t>
        </is>
      </c>
      <c r="C930" s="2" t="inlineStr">
        <is>
          <t>Noida</t>
        </is>
      </c>
      <c r="D930" s="2" t="inlineStr">
        <is>
          <t>North</t>
        </is>
      </c>
    </row>
    <row r="931">
      <c r="A931" s="2" t="inlineStr">
        <is>
          <t>C0205</t>
        </is>
      </c>
      <c r="B931" s="2" t="inlineStr">
        <is>
          <t>Haryana</t>
        </is>
      </c>
      <c r="C931" s="2" t="inlineStr">
        <is>
          <t>Gurugram</t>
        </is>
      </c>
      <c r="D931" s="2" t="inlineStr">
        <is>
          <t>North</t>
        </is>
      </c>
    </row>
    <row r="932">
      <c r="A932" s="2" t="inlineStr">
        <is>
          <t>C0205</t>
        </is>
      </c>
      <c r="B932" s="2" t="inlineStr">
        <is>
          <t>Gujarat</t>
        </is>
      </c>
      <c r="C932" s="2" t="inlineStr">
        <is>
          <t>Surat</t>
        </is>
      </c>
      <c r="D932" s="2" t="inlineStr">
        <is>
          <t>West</t>
        </is>
      </c>
    </row>
    <row r="933">
      <c r="A933" s="2" t="inlineStr">
        <is>
          <t>C0205</t>
        </is>
      </c>
      <c r="B933" s="2" t="inlineStr">
        <is>
          <t>Bihar</t>
        </is>
      </c>
      <c r="C933" s="2" t="inlineStr">
        <is>
          <t>Gaya</t>
        </is>
      </c>
      <c r="D933" s="2" t="inlineStr">
        <is>
          <t>East</t>
        </is>
      </c>
    </row>
    <row r="934">
      <c r="A934" s="2" t="inlineStr">
        <is>
          <t>C0205</t>
        </is>
      </c>
      <c r="B934" s="2" t="inlineStr">
        <is>
          <t>Telangana</t>
        </is>
      </c>
      <c r="C934" s="2" t="inlineStr">
        <is>
          <t>Hyderabad</t>
        </is>
      </c>
      <c r="D934" s="2" t="inlineStr">
        <is>
          <t>South</t>
        </is>
      </c>
    </row>
    <row r="935">
      <c r="A935" s="2" t="inlineStr">
        <is>
          <t>C0205</t>
        </is>
      </c>
      <c r="B935" s="2" t="inlineStr">
        <is>
          <t>Maharashtra</t>
        </is>
      </c>
      <c r="C935" s="2" t="inlineStr">
        <is>
          <t>Nagpur</t>
        </is>
      </c>
      <c r="D935" s="2" t="inlineStr">
        <is>
          <t>West</t>
        </is>
      </c>
    </row>
    <row r="936">
      <c r="A936" s="2" t="inlineStr">
        <is>
          <t>C0205</t>
        </is>
      </c>
      <c r="B936" s="2" t="inlineStr">
        <is>
          <t>Karnataka</t>
        </is>
      </c>
      <c r="C936" s="2" t="inlineStr">
        <is>
          <t>Mysuru</t>
        </is>
      </c>
      <c r="D936" s="2" t="inlineStr">
        <is>
          <t>South</t>
        </is>
      </c>
    </row>
    <row r="937">
      <c r="A937" s="2" t="inlineStr">
        <is>
          <t>C0205</t>
        </is>
      </c>
      <c r="B937" s="2" t="inlineStr">
        <is>
          <t>Uttar Pradesh</t>
        </is>
      </c>
      <c r="C937" s="2" t="inlineStr">
        <is>
          <t>Lucknow</t>
        </is>
      </c>
      <c r="D937" s="2" t="inlineStr">
        <is>
          <t>North</t>
        </is>
      </c>
    </row>
    <row r="938">
      <c r="A938" s="2" t="inlineStr">
        <is>
          <t>C0206</t>
        </is>
      </c>
      <c r="B938" s="2" t="inlineStr">
        <is>
          <t>Tamil Nadu</t>
        </is>
      </c>
      <c r="C938" s="2" t="inlineStr">
        <is>
          <t>Madurai</t>
        </is>
      </c>
      <c r="D938" s="2" t="inlineStr">
        <is>
          <t>South</t>
        </is>
      </c>
    </row>
    <row r="939">
      <c r="A939" s="2" t="inlineStr">
        <is>
          <t>C0206</t>
        </is>
      </c>
      <c r="B939" s="2" t="inlineStr">
        <is>
          <t>Goa</t>
        </is>
      </c>
      <c r="C939" s="2" t="inlineStr">
        <is>
          <t>Margao</t>
        </is>
      </c>
      <c r="D939" s="2" t="inlineStr">
        <is>
          <t>West</t>
        </is>
      </c>
    </row>
    <row r="940">
      <c r="A940" s="2" t="inlineStr">
        <is>
          <t>C0206</t>
        </is>
      </c>
      <c r="B940" s="2" t="inlineStr">
        <is>
          <t>Maharashtra</t>
        </is>
      </c>
      <c r="C940" s="2" t="inlineStr">
        <is>
          <t>Nashik</t>
        </is>
      </c>
      <c r="D940" s="2" t="inlineStr">
        <is>
          <t>West</t>
        </is>
      </c>
    </row>
    <row r="941">
      <c r="A941" s="2" t="inlineStr">
        <is>
          <t>C0206</t>
        </is>
      </c>
      <c r="B941" s="2" t="inlineStr">
        <is>
          <t>Maharashtra</t>
        </is>
      </c>
      <c r="C941" s="2" t="inlineStr">
        <is>
          <t>Pune</t>
        </is>
      </c>
      <c r="D941" s="2" t="inlineStr">
        <is>
          <t>West</t>
        </is>
      </c>
    </row>
    <row r="942">
      <c r="A942" s="2" t="inlineStr">
        <is>
          <t>C0206</t>
        </is>
      </c>
      <c r="B942" s="2" t="inlineStr">
        <is>
          <t>Punjab</t>
        </is>
      </c>
      <c r="C942" s="2" t="inlineStr">
        <is>
          <t>Jalandhar</t>
        </is>
      </c>
      <c r="D942" s="2" t="inlineStr">
        <is>
          <t>North</t>
        </is>
      </c>
    </row>
    <row r="943">
      <c r="A943" s="2" t="inlineStr">
        <is>
          <t>C0206</t>
        </is>
      </c>
      <c r="B943" s="2" t="inlineStr">
        <is>
          <t>Haryana</t>
        </is>
      </c>
      <c r="C943" s="2" t="inlineStr">
        <is>
          <t>Faridabad</t>
        </is>
      </c>
      <c r="D943" s="2" t="inlineStr">
        <is>
          <t>North</t>
        </is>
      </c>
    </row>
    <row r="944">
      <c r="A944" s="2" t="inlineStr">
        <is>
          <t>C0206</t>
        </is>
      </c>
      <c r="B944" s="2" t="inlineStr">
        <is>
          <t>Gujarat</t>
        </is>
      </c>
      <c r="C944" s="2" t="inlineStr">
        <is>
          <t>Ahmedabad</t>
        </is>
      </c>
      <c r="D944" s="2" t="inlineStr">
        <is>
          <t>West</t>
        </is>
      </c>
    </row>
    <row r="945">
      <c r="A945" s="2" t="inlineStr">
        <is>
          <t>C0207</t>
        </is>
      </c>
      <c r="B945" s="2" t="inlineStr">
        <is>
          <t>Maharashtra</t>
        </is>
      </c>
      <c r="C945" s="2" t="inlineStr">
        <is>
          <t>Nagpur</t>
        </is>
      </c>
      <c r="D945" s="2" t="inlineStr">
        <is>
          <t>West</t>
        </is>
      </c>
    </row>
    <row r="946">
      <c r="A946" s="2" t="inlineStr">
        <is>
          <t>C0207</t>
        </is>
      </c>
      <c r="B946" s="2" t="inlineStr">
        <is>
          <t>Haryana</t>
        </is>
      </c>
      <c r="C946" s="2" t="inlineStr">
        <is>
          <t>Faridabad</t>
        </is>
      </c>
      <c r="D946" s="2" t="inlineStr">
        <is>
          <t>North</t>
        </is>
      </c>
    </row>
    <row r="947">
      <c r="A947" s="2" t="inlineStr">
        <is>
          <t>C0208</t>
        </is>
      </c>
      <c r="B947" s="2" t="inlineStr">
        <is>
          <t>Bihar</t>
        </is>
      </c>
      <c r="C947" s="2" t="inlineStr">
        <is>
          <t>Patna</t>
        </is>
      </c>
      <c r="D947" s="2" t="inlineStr">
        <is>
          <t>East</t>
        </is>
      </c>
    </row>
    <row r="948">
      <c r="A948" s="2" t="inlineStr">
        <is>
          <t>C0208</t>
        </is>
      </c>
      <c r="B948" s="2" t="inlineStr">
        <is>
          <t>Goa</t>
        </is>
      </c>
      <c r="C948" s="2" t="inlineStr">
        <is>
          <t>Panaji</t>
        </is>
      </c>
      <c r="D948" s="2" t="inlineStr">
        <is>
          <t>West</t>
        </is>
      </c>
    </row>
    <row r="949">
      <c r="A949" s="2" t="inlineStr">
        <is>
          <t>C0208</t>
        </is>
      </c>
      <c r="B949" s="2" t="inlineStr">
        <is>
          <t>Gujarat</t>
        </is>
      </c>
      <c r="C949" s="2" t="inlineStr">
        <is>
          <t>Vadodara</t>
        </is>
      </c>
      <c r="D949" s="2" t="inlineStr">
        <is>
          <t>West</t>
        </is>
      </c>
    </row>
    <row r="950">
      <c r="A950" s="2" t="inlineStr">
        <is>
          <t>C0208</t>
        </is>
      </c>
      <c r="B950" s="2" t="inlineStr">
        <is>
          <t>West Bengal</t>
        </is>
      </c>
      <c r="C950" s="2" t="inlineStr">
        <is>
          <t>Durgapur</t>
        </is>
      </c>
      <c r="D950" s="2" t="inlineStr">
        <is>
          <t>East</t>
        </is>
      </c>
    </row>
    <row r="951">
      <c r="A951" s="2" t="inlineStr">
        <is>
          <t>C0208</t>
        </is>
      </c>
      <c r="B951" s="2" t="inlineStr">
        <is>
          <t>Tamil Nadu</t>
        </is>
      </c>
      <c r="C951" s="2" t="inlineStr">
        <is>
          <t>Madurai</t>
        </is>
      </c>
      <c r="D951" s="2" t="inlineStr">
        <is>
          <t>South</t>
        </is>
      </c>
    </row>
    <row r="952">
      <c r="A952" s="2" t="inlineStr">
        <is>
          <t>C0208</t>
        </is>
      </c>
      <c r="B952" s="2" t="inlineStr">
        <is>
          <t>Maharashtra</t>
        </is>
      </c>
      <c r="C952" s="2" t="inlineStr">
        <is>
          <t>Pune</t>
        </is>
      </c>
      <c r="D952" s="2" t="inlineStr">
        <is>
          <t>West</t>
        </is>
      </c>
    </row>
    <row r="953">
      <c r="A953" s="2" t="inlineStr">
        <is>
          <t>C0208</t>
        </is>
      </c>
      <c r="B953" s="2" t="inlineStr">
        <is>
          <t>Goa</t>
        </is>
      </c>
      <c r="C953" s="2" t="inlineStr">
        <is>
          <t>Margao</t>
        </is>
      </c>
      <c r="D953" s="2" t="inlineStr">
        <is>
          <t>West</t>
        </is>
      </c>
    </row>
    <row r="954">
      <c r="A954" s="2" t="inlineStr">
        <is>
          <t>C0208</t>
        </is>
      </c>
      <c r="B954" s="2" t="inlineStr">
        <is>
          <t>Uttar Pradesh</t>
        </is>
      </c>
      <c r="C954" s="2" t="inlineStr">
        <is>
          <t>Noida</t>
        </is>
      </c>
      <c r="D954" s="2" t="inlineStr">
        <is>
          <t>North</t>
        </is>
      </c>
    </row>
    <row r="955">
      <c r="A955" s="2" t="inlineStr">
        <is>
          <t>C0208</t>
        </is>
      </c>
      <c r="B955" s="2" t="inlineStr">
        <is>
          <t>Haryana</t>
        </is>
      </c>
      <c r="C955" s="2" t="inlineStr">
        <is>
          <t>Gurugram</t>
        </is>
      </c>
      <c r="D955" s="2" t="inlineStr">
        <is>
          <t>North</t>
        </is>
      </c>
    </row>
    <row r="956">
      <c r="A956" s="2" t="inlineStr">
        <is>
          <t>C0208</t>
        </is>
      </c>
      <c r="B956" s="2" t="inlineStr">
        <is>
          <t>Delhi</t>
        </is>
      </c>
      <c r="C956" s="2" t="inlineStr">
        <is>
          <t>New Delhi</t>
        </is>
      </c>
      <c r="D956" s="2" t="inlineStr">
        <is>
          <t>North</t>
        </is>
      </c>
    </row>
    <row r="957">
      <c r="A957" s="2" t="inlineStr">
        <is>
          <t>C0208</t>
        </is>
      </c>
      <c r="B957" s="2" t="inlineStr">
        <is>
          <t>Kerala</t>
        </is>
      </c>
      <c r="C957" s="2" t="inlineStr">
        <is>
          <t>Kochi</t>
        </is>
      </c>
      <c r="D957" s="2" t="inlineStr">
        <is>
          <t>South</t>
        </is>
      </c>
    </row>
    <row r="958">
      <c r="A958" s="2" t="inlineStr">
        <is>
          <t>C0209</t>
        </is>
      </c>
      <c r="B958" s="2" t="inlineStr">
        <is>
          <t>Tamil Nadu</t>
        </is>
      </c>
      <c r="C958" s="2" t="inlineStr">
        <is>
          <t>Madurai</t>
        </is>
      </c>
      <c r="D958" s="2" t="inlineStr">
        <is>
          <t>South</t>
        </is>
      </c>
    </row>
    <row r="959">
      <c r="A959" s="2" t="inlineStr">
        <is>
          <t>C0209</t>
        </is>
      </c>
      <c r="B959" s="2" t="inlineStr">
        <is>
          <t>Delhi</t>
        </is>
      </c>
      <c r="C959" s="2" t="inlineStr">
        <is>
          <t>New Delhi</t>
        </is>
      </c>
      <c r="D959" s="2" t="inlineStr">
        <is>
          <t>North</t>
        </is>
      </c>
    </row>
    <row r="960">
      <c r="A960" s="2" t="inlineStr">
        <is>
          <t>C0209</t>
        </is>
      </c>
      <c r="B960" s="2" t="inlineStr">
        <is>
          <t>Odisha</t>
        </is>
      </c>
      <c r="C960" s="2" t="inlineStr">
        <is>
          <t>Bhubaneswar</t>
        </is>
      </c>
      <c r="D960" s="2" t="inlineStr">
        <is>
          <t>East</t>
        </is>
      </c>
    </row>
    <row r="961">
      <c r="A961" s="2" t="inlineStr">
        <is>
          <t>C0211</t>
        </is>
      </c>
      <c r="B961" s="2" t="inlineStr">
        <is>
          <t>Telangana</t>
        </is>
      </c>
      <c r="C961" s="2" t="inlineStr">
        <is>
          <t>Hyderabad</t>
        </is>
      </c>
      <c r="D961" s="2" t="inlineStr">
        <is>
          <t>South</t>
        </is>
      </c>
    </row>
    <row r="962">
      <c r="A962" s="2" t="inlineStr">
        <is>
          <t>C0211</t>
        </is>
      </c>
      <c r="B962" s="2" t="inlineStr">
        <is>
          <t>Kerala</t>
        </is>
      </c>
      <c r="C962" s="2" t="inlineStr">
        <is>
          <t>Kochi</t>
        </is>
      </c>
      <c r="D962" s="2" t="inlineStr">
        <is>
          <t>South</t>
        </is>
      </c>
    </row>
    <row r="963">
      <c r="A963" s="2" t="inlineStr">
        <is>
          <t>C0211</t>
        </is>
      </c>
      <c r="B963" s="2" t="inlineStr">
        <is>
          <t>Maharashtra</t>
        </is>
      </c>
      <c r="C963" s="2" t="inlineStr">
        <is>
          <t>Nagpur</t>
        </is>
      </c>
      <c r="D963" s="2" t="inlineStr">
        <is>
          <t>West</t>
        </is>
      </c>
    </row>
    <row r="964">
      <c r="A964" s="2" t="inlineStr">
        <is>
          <t>C0211</t>
        </is>
      </c>
      <c r="B964" s="2" t="inlineStr">
        <is>
          <t>Kerala</t>
        </is>
      </c>
      <c r="C964" s="2" t="inlineStr">
        <is>
          <t>Thiruvananthapuram</t>
        </is>
      </c>
      <c r="D964" s="2" t="inlineStr">
        <is>
          <t>South</t>
        </is>
      </c>
    </row>
    <row r="965">
      <c r="A965" s="2" t="inlineStr">
        <is>
          <t>C0211</t>
        </is>
      </c>
      <c r="B965" s="2" t="inlineStr">
        <is>
          <t>Maharashtra</t>
        </is>
      </c>
      <c r="C965" s="2" t="inlineStr">
        <is>
          <t>Nashik</t>
        </is>
      </c>
      <c r="D965" s="2" t="inlineStr">
        <is>
          <t>West</t>
        </is>
      </c>
    </row>
    <row r="966">
      <c r="A966" s="2" t="inlineStr">
        <is>
          <t>C0211</t>
        </is>
      </c>
      <c r="B966" s="2" t="inlineStr">
        <is>
          <t>West Bengal</t>
        </is>
      </c>
      <c r="C966" s="2" t="inlineStr">
        <is>
          <t>Durgapur</t>
        </is>
      </c>
      <c r="D966" s="2" t="inlineStr">
        <is>
          <t>East</t>
        </is>
      </c>
    </row>
    <row r="967">
      <c r="A967" s="2" t="inlineStr">
        <is>
          <t>C0212</t>
        </is>
      </c>
      <c r="B967" s="2" t="inlineStr">
        <is>
          <t>Kerala</t>
        </is>
      </c>
      <c r="C967" s="2" t="inlineStr">
        <is>
          <t>Thiruvananthapuram</t>
        </is>
      </c>
      <c r="D967" s="2" t="inlineStr">
        <is>
          <t>South</t>
        </is>
      </c>
    </row>
    <row r="968">
      <c r="A968" s="2" t="inlineStr">
        <is>
          <t>C0212</t>
        </is>
      </c>
      <c r="B968" s="2" t="inlineStr">
        <is>
          <t>Odisha</t>
        </is>
      </c>
      <c r="C968" s="2" t="inlineStr">
        <is>
          <t>Bhubaneswar</t>
        </is>
      </c>
      <c r="D968" s="2" t="inlineStr">
        <is>
          <t>East</t>
        </is>
      </c>
    </row>
    <row r="969">
      <c r="A969" s="2" t="inlineStr">
        <is>
          <t>C0212</t>
        </is>
      </c>
      <c r="B969" s="2" t="inlineStr">
        <is>
          <t>Maharashtra</t>
        </is>
      </c>
      <c r="C969" s="2" t="inlineStr">
        <is>
          <t>Thane</t>
        </is>
      </c>
      <c r="D969" s="2" t="inlineStr">
        <is>
          <t>West</t>
        </is>
      </c>
    </row>
    <row r="970">
      <c r="A970" s="2" t="inlineStr">
        <is>
          <t>C0213</t>
        </is>
      </c>
      <c r="B970" s="2" t="inlineStr">
        <is>
          <t>Delhi</t>
        </is>
      </c>
      <c r="C970" s="2" t="inlineStr">
        <is>
          <t>New Delhi</t>
        </is>
      </c>
      <c r="D970" s="2" t="inlineStr">
        <is>
          <t>North</t>
        </is>
      </c>
    </row>
    <row r="971">
      <c r="A971" s="2" t="inlineStr">
        <is>
          <t>C0213</t>
        </is>
      </c>
      <c r="B971" s="2" t="inlineStr">
        <is>
          <t>Goa</t>
        </is>
      </c>
      <c r="C971" s="2" t="inlineStr">
        <is>
          <t>Panaji</t>
        </is>
      </c>
      <c r="D971" s="2" t="inlineStr">
        <is>
          <t>West</t>
        </is>
      </c>
    </row>
    <row r="972">
      <c r="A972" s="2" t="inlineStr">
        <is>
          <t>C0213</t>
        </is>
      </c>
      <c r="B972" s="2" t="inlineStr">
        <is>
          <t>Uttar Pradesh</t>
        </is>
      </c>
      <c r="C972" s="2" t="inlineStr">
        <is>
          <t>Kanpur</t>
        </is>
      </c>
      <c r="D972" s="2" t="inlineStr">
        <is>
          <t>North</t>
        </is>
      </c>
    </row>
    <row r="973">
      <c r="A973" s="2" t="inlineStr">
        <is>
          <t>C0213</t>
        </is>
      </c>
      <c r="B973" s="2" t="inlineStr">
        <is>
          <t>Gujarat</t>
        </is>
      </c>
      <c r="C973" s="2" t="inlineStr">
        <is>
          <t>Vadodara</t>
        </is>
      </c>
      <c r="D973" s="2" t="inlineStr">
        <is>
          <t>West</t>
        </is>
      </c>
    </row>
    <row r="974">
      <c r="A974" s="2" t="inlineStr">
        <is>
          <t>C0213</t>
        </is>
      </c>
      <c r="B974" s="2" t="inlineStr">
        <is>
          <t>West Bengal</t>
        </is>
      </c>
      <c r="C974" s="2" t="inlineStr">
        <is>
          <t>Durgapur</t>
        </is>
      </c>
      <c r="D974" s="2" t="inlineStr">
        <is>
          <t>East</t>
        </is>
      </c>
    </row>
    <row r="975">
      <c r="A975" s="2" t="inlineStr">
        <is>
          <t>C0213</t>
        </is>
      </c>
      <c r="B975" s="2" t="inlineStr">
        <is>
          <t>Tamil Nadu</t>
        </is>
      </c>
      <c r="C975" s="2" t="inlineStr">
        <is>
          <t>Madurai</t>
        </is>
      </c>
      <c r="D975" s="2" t="inlineStr">
        <is>
          <t>South</t>
        </is>
      </c>
    </row>
    <row r="976">
      <c r="A976" s="2" t="inlineStr">
        <is>
          <t>C0213</t>
        </is>
      </c>
      <c r="B976" s="2" t="inlineStr">
        <is>
          <t>Gujarat</t>
        </is>
      </c>
      <c r="C976" s="2" t="inlineStr">
        <is>
          <t>Ahmedabad</t>
        </is>
      </c>
      <c r="D976" s="2" t="inlineStr">
        <is>
          <t>West</t>
        </is>
      </c>
    </row>
    <row r="977">
      <c r="A977" s="2" t="inlineStr">
        <is>
          <t>C0213</t>
        </is>
      </c>
      <c r="B977" s="2" t="inlineStr">
        <is>
          <t>Karnataka</t>
        </is>
      </c>
      <c r="C977" s="2" t="inlineStr">
        <is>
          <t>Mysuru</t>
        </is>
      </c>
      <c r="D977" s="2" t="inlineStr">
        <is>
          <t>South</t>
        </is>
      </c>
    </row>
    <row r="978">
      <c r="A978" s="2" t="inlineStr">
        <is>
          <t>C0214</t>
        </is>
      </c>
      <c r="B978" s="2" t="inlineStr">
        <is>
          <t>Maharashtra</t>
        </is>
      </c>
      <c r="C978" s="2" t="inlineStr">
        <is>
          <t>Mumbai</t>
        </is>
      </c>
      <c r="D978" s="2" t="inlineStr">
        <is>
          <t>West</t>
        </is>
      </c>
    </row>
    <row r="979">
      <c r="A979" s="2" t="inlineStr">
        <is>
          <t>C0214</t>
        </is>
      </c>
      <c r="B979" s="2" t="inlineStr">
        <is>
          <t>Uttar Pradesh</t>
        </is>
      </c>
      <c r="C979" s="2" t="inlineStr">
        <is>
          <t>Kanpur</t>
        </is>
      </c>
      <c r="D979" s="2" t="inlineStr">
        <is>
          <t>North</t>
        </is>
      </c>
    </row>
    <row r="980">
      <c r="A980" s="2" t="inlineStr">
        <is>
          <t>C0214</t>
        </is>
      </c>
      <c r="B980" s="2" t="inlineStr">
        <is>
          <t>Kerala</t>
        </is>
      </c>
      <c r="C980" s="2" t="inlineStr">
        <is>
          <t>Kochi</t>
        </is>
      </c>
      <c r="D980" s="2" t="inlineStr">
        <is>
          <t>South</t>
        </is>
      </c>
    </row>
    <row r="981">
      <c r="A981" s="2" t="inlineStr">
        <is>
          <t>C0214</t>
        </is>
      </c>
      <c r="B981" s="2" t="inlineStr">
        <is>
          <t>Maharashtra</t>
        </is>
      </c>
      <c r="C981" s="2" t="inlineStr">
        <is>
          <t>Pune</t>
        </is>
      </c>
      <c r="D981" s="2" t="inlineStr">
        <is>
          <t>West</t>
        </is>
      </c>
    </row>
    <row r="982">
      <c r="A982" s="2" t="inlineStr">
        <is>
          <t>C0214</t>
        </is>
      </c>
      <c r="B982" s="2" t="inlineStr">
        <is>
          <t>Tamil Nadu</t>
        </is>
      </c>
      <c r="C982" s="2" t="inlineStr">
        <is>
          <t>Madurai</t>
        </is>
      </c>
      <c r="D982" s="2" t="inlineStr">
        <is>
          <t>South</t>
        </is>
      </c>
    </row>
    <row r="983">
      <c r="A983" s="2" t="inlineStr">
        <is>
          <t>C0214</t>
        </is>
      </c>
      <c r="B983" s="2" t="inlineStr">
        <is>
          <t>Uttar Pradesh</t>
        </is>
      </c>
      <c r="C983" s="2" t="inlineStr">
        <is>
          <t>Noida</t>
        </is>
      </c>
      <c r="D983" s="2" t="inlineStr">
        <is>
          <t>North</t>
        </is>
      </c>
    </row>
    <row r="984">
      <c r="A984" s="2" t="inlineStr">
        <is>
          <t>C0214</t>
        </is>
      </c>
      <c r="B984" s="2" t="inlineStr">
        <is>
          <t>Telangana</t>
        </is>
      </c>
      <c r="C984" s="2" t="inlineStr">
        <is>
          <t>Hyderabad</t>
        </is>
      </c>
      <c r="D984" s="2" t="inlineStr">
        <is>
          <t>South</t>
        </is>
      </c>
    </row>
    <row r="985">
      <c r="A985" s="2" t="inlineStr">
        <is>
          <t>C0214</t>
        </is>
      </c>
      <c r="B985" s="2" t="inlineStr">
        <is>
          <t>Karnataka</t>
        </is>
      </c>
      <c r="C985" s="2" t="inlineStr">
        <is>
          <t>Mangaluru</t>
        </is>
      </c>
      <c r="D985" s="2" t="inlineStr">
        <is>
          <t>South</t>
        </is>
      </c>
    </row>
    <row r="986">
      <c r="A986" s="2" t="inlineStr">
        <is>
          <t>C0214</t>
        </is>
      </c>
      <c r="B986" s="2" t="inlineStr">
        <is>
          <t>West Bengal</t>
        </is>
      </c>
      <c r="C986" s="2" t="inlineStr">
        <is>
          <t>Kolkata</t>
        </is>
      </c>
      <c r="D986" s="2" t="inlineStr">
        <is>
          <t>East</t>
        </is>
      </c>
    </row>
    <row r="987">
      <c r="A987" s="2" t="inlineStr">
        <is>
          <t>C0214</t>
        </is>
      </c>
      <c r="B987" s="2" t="inlineStr">
        <is>
          <t>Uttar Pradesh</t>
        </is>
      </c>
      <c r="C987" s="2" t="inlineStr">
        <is>
          <t>Varanasi</t>
        </is>
      </c>
      <c r="D987" s="2" t="inlineStr">
        <is>
          <t>North</t>
        </is>
      </c>
    </row>
    <row r="988">
      <c r="A988" s="2" t="inlineStr">
        <is>
          <t>C0215</t>
        </is>
      </c>
      <c r="B988" s="2" t="inlineStr">
        <is>
          <t>Telangana</t>
        </is>
      </c>
      <c r="C988" s="2" t="inlineStr">
        <is>
          <t>Hyderabad</t>
        </is>
      </c>
      <c r="D988" s="2" t="inlineStr">
        <is>
          <t>South</t>
        </is>
      </c>
    </row>
    <row r="989">
      <c r="A989" s="2" t="inlineStr">
        <is>
          <t>C0215</t>
        </is>
      </c>
      <c r="B989" s="2" t="inlineStr">
        <is>
          <t>Gujarat</t>
        </is>
      </c>
      <c r="C989" s="2" t="inlineStr">
        <is>
          <t>Ahmedabad</t>
        </is>
      </c>
      <c r="D989" s="2" t="inlineStr">
        <is>
          <t>West</t>
        </is>
      </c>
    </row>
    <row r="990">
      <c r="A990" s="2" t="inlineStr">
        <is>
          <t>C0215</t>
        </is>
      </c>
      <c r="B990" s="2" t="inlineStr">
        <is>
          <t>West Bengal</t>
        </is>
      </c>
      <c r="C990" s="2" t="inlineStr">
        <is>
          <t>Kolkata</t>
        </is>
      </c>
      <c r="D990" s="2" t="inlineStr">
        <is>
          <t>East</t>
        </is>
      </c>
    </row>
    <row r="991">
      <c r="A991" s="2" t="inlineStr">
        <is>
          <t>C0215</t>
        </is>
      </c>
      <c r="B991" s="2" t="inlineStr">
        <is>
          <t>Delhi</t>
        </is>
      </c>
      <c r="C991" s="2" t="inlineStr">
        <is>
          <t>New Delhi</t>
        </is>
      </c>
      <c r="D991" s="2" t="inlineStr">
        <is>
          <t>North</t>
        </is>
      </c>
    </row>
    <row r="992">
      <c r="A992" s="2" t="inlineStr">
        <is>
          <t>C0215</t>
        </is>
      </c>
      <c r="B992" s="2" t="inlineStr">
        <is>
          <t>Odisha</t>
        </is>
      </c>
      <c r="C992" s="2" t="inlineStr">
        <is>
          <t>Cuttack</t>
        </is>
      </c>
      <c r="D992" s="2" t="inlineStr">
        <is>
          <t>East</t>
        </is>
      </c>
    </row>
    <row r="993">
      <c r="A993" s="2" t="inlineStr">
        <is>
          <t>C0215</t>
        </is>
      </c>
      <c r="B993" s="2" t="inlineStr">
        <is>
          <t>Goa</t>
        </is>
      </c>
      <c r="C993" s="2" t="inlineStr">
        <is>
          <t>Panaji</t>
        </is>
      </c>
      <c r="D993" s="2" t="inlineStr">
        <is>
          <t>West</t>
        </is>
      </c>
    </row>
    <row r="994">
      <c r="A994" s="2" t="inlineStr">
        <is>
          <t>C0215</t>
        </is>
      </c>
      <c r="B994" s="2" t="inlineStr">
        <is>
          <t>Gujarat</t>
        </is>
      </c>
      <c r="C994" s="2" t="inlineStr">
        <is>
          <t>Vadodara</t>
        </is>
      </c>
      <c r="D994" s="2" t="inlineStr">
        <is>
          <t>West</t>
        </is>
      </c>
    </row>
    <row r="995">
      <c r="A995" s="2" t="inlineStr">
        <is>
          <t>C0216</t>
        </is>
      </c>
      <c r="B995" s="2" t="inlineStr">
        <is>
          <t>Tamil Nadu</t>
        </is>
      </c>
      <c r="C995" s="2" t="inlineStr">
        <is>
          <t>Chennai</t>
        </is>
      </c>
      <c r="D995" s="2" t="inlineStr">
        <is>
          <t>South</t>
        </is>
      </c>
    </row>
    <row r="996">
      <c r="A996" s="2" t="inlineStr">
        <is>
          <t>C0216</t>
        </is>
      </c>
      <c r="B996" s="2" t="inlineStr">
        <is>
          <t>Goa</t>
        </is>
      </c>
      <c r="C996" s="2" t="inlineStr">
        <is>
          <t>Panaji</t>
        </is>
      </c>
      <c r="D996" s="2" t="inlineStr">
        <is>
          <t>West</t>
        </is>
      </c>
    </row>
    <row r="997">
      <c r="A997" s="2" t="inlineStr">
        <is>
          <t>C0216</t>
        </is>
      </c>
      <c r="B997" s="2" t="inlineStr">
        <is>
          <t>Telangana</t>
        </is>
      </c>
      <c r="C997" s="2" t="inlineStr">
        <is>
          <t>Hyderabad</t>
        </is>
      </c>
      <c r="D997" s="2" t="inlineStr">
        <is>
          <t>South</t>
        </is>
      </c>
    </row>
    <row r="998">
      <c r="A998" s="2" t="inlineStr">
        <is>
          <t>C0216</t>
        </is>
      </c>
      <c r="B998" s="2" t="inlineStr">
        <is>
          <t>Goa</t>
        </is>
      </c>
      <c r="C998" s="2" t="inlineStr">
        <is>
          <t>Margao</t>
        </is>
      </c>
      <c r="D998" s="2" t="inlineStr">
        <is>
          <t>West</t>
        </is>
      </c>
    </row>
    <row r="999">
      <c r="A999" s="2" t="inlineStr">
        <is>
          <t>C0216</t>
        </is>
      </c>
      <c r="B999" s="2" t="inlineStr">
        <is>
          <t>West Bengal</t>
        </is>
      </c>
      <c r="C999" s="2" t="inlineStr">
        <is>
          <t>Kolkata</t>
        </is>
      </c>
      <c r="D999" s="2" t="inlineStr">
        <is>
          <t>East</t>
        </is>
      </c>
    </row>
    <row r="1000">
      <c r="A1000" s="2" t="inlineStr">
        <is>
          <t>C0216</t>
        </is>
      </c>
      <c r="B1000" s="2" t="inlineStr">
        <is>
          <t>Gujarat</t>
        </is>
      </c>
      <c r="C1000" s="2" t="inlineStr">
        <is>
          <t>Ahmedabad</t>
        </is>
      </c>
      <c r="D1000" s="2" t="inlineStr">
        <is>
          <t>West</t>
        </is>
      </c>
    </row>
    <row r="1001">
      <c r="A1001" s="2" t="inlineStr">
        <is>
          <t>C0216</t>
        </is>
      </c>
      <c r="B1001" s="2" t="inlineStr">
        <is>
          <t>Odisha</t>
        </is>
      </c>
      <c r="C1001" s="2" t="inlineStr">
        <is>
          <t>Cuttack</t>
        </is>
      </c>
      <c r="D1001" s="2" t="inlineStr">
        <is>
          <t>East</t>
        </is>
      </c>
    </row>
    <row r="1002">
      <c r="A1002" s="2" t="inlineStr">
        <is>
          <t>C0216</t>
        </is>
      </c>
      <c r="B1002" s="2" t="inlineStr">
        <is>
          <t>Karnataka</t>
        </is>
      </c>
      <c r="C1002" s="2" t="inlineStr">
        <is>
          <t>Mangaluru</t>
        </is>
      </c>
      <c r="D1002" s="2" t="inlineStr">
        <is>
          <t>South</t>
        </is>
      </c>
    </row>
    <row r="1003">
      <c r="A1003" s="2" t="inlineStr">
        <is>
          <t>C0216</t>
        </is>
      </c>
      <c r="B1003" s="2" t="inlineStr">
        <is>
          <t>Maharashtra</t>
        </is>
      </c>
      <c r="C1003" s="2" t="inlineStr">
        <is>
          <t>Nagpur</t>
        </is>
      </c>
      <c r="D1003" s="2" t="inlineStr">
        <is>
          <t>West</t>
        </is>
      </c>
    </row>
    <row r="1004">
      <c r="A1004" s="2" t="inlineStr">
        <is>
          <t>C0216</t>
        </is>
      </c>
      <c r="B1004" s="2" t="inlineStr">
        <is>
          <t>Tamil Nadu</t>
        </is>
      </c>
      <c r="C1004" s="2" t="inlineStr">
        <is>
          <t>Madurai</t>
        </is>
      </c>
      <c r="D1004" s="2" t="inlineStr">
        <is>
          <t>South</t>
        </is>
      </c>
    </row>
    <row r="1005">
      <c r="A1005" s="2" t="inlineStr">
        <is>
          <t>C0216</t>
        </is>
      </c>
      <c r="B1005" s="2" t="inlineStr">
        <is>
          <t>Uttar Pradesh</t>
        </is>
      </c>
      <c r="C1005" s="2" t="inlineStr">
        <is>
          <t>Noida</t>
        </is>
      </c>
      <c r="D1005" s="2" t="inlineStr">
        <is>
          <t>North</t>
        </is>
      </c>
    </row>
    <row r="1006">
      <c r="A1006" s="2" t="inlineStr">
        <is>
          <t>C0216</t>
        </is>
      </c>
      <c r="B1006" s="2" t="inlineStr">
        <is>
          <t>Uttar Pradesh</t>
        </is>
      </c>
      <c r="C1006" s="2" t="inlineStr">
        <is>
          <t>Varanasi</t>
        </is>
      </c>
      <c r="D1006" s="2" t="inlineStr">
        <is>
          <t>North</t>
        </is>
      </c>
    </row>
    <row r="1007">
      <c r="A1007" s="2" t="inlineStr">
        <is>
          <t>C0216</t>
        </is>
      </c>
      <c r="B1007" s="2" t="inlineStr">
        <is>
          <t>Gujarat</t>
        </is>
      </c>
      <c r="C1007" s="2" t="inlineStr">
        <is>
          <t>Surat</t>
        </is>
      </c>
      <c r="D1007" s="2" t="inlineStr">
        <is>
          <t>West</t>
        </is>
      </c>
    </row>
    <row r="1008">
      <c r="A1008" s="2" t="inlineStr">
        <is>
          <t>C0216</t>
        </is>
      </c>
      <c r="B1008" s="2" t="inlineStr">
        <is>
          <t>Maharashtra</t>
        </is>
      </c>
      <c r="C1008" s="2" t="inlineStr">
        <is>
          <t>Mumbai</t>
        </is>
      </c>
      <c r="D1008" s="2" t="inlineStr">
        <is>
          <t>West</t>
        </is>
      </c>
    </row>
    <row r="1009">
      <c r="A1009" s="2" t="inlineStr">
        <is>
          <t>C0217</t>
        </is>
      </c>
      <c r="B1009" s="2" t="inlineStr">
        <is>
          <t>Delhi</t>
        </is>
      </c>
      <c r="C1009" s="2" t="inlineStr">
        <is>
          <t>New Delhi</t>
        </is>
      </c>
      <c r="D1009" s="2" t="inlineStr">
        <is>
          <t>North</t>
        </is>
      </c>
    </row>
    <row r="1010">
      <c r="A1010" s="2" t="inlineStr">
        <is>
          <t>C0217</t>
        </is>
      </c>
      <c r="B1010" s="2" t="inlineStr">
        <is>
          <t>Goa</t>
        </is>
      </c>
      <c r="C1010" s="2" t="inlineStr">
        <is>
          <t>Panaji</t>
        </is>
      </c>
      <c r="D1010" s="2" t="inlineStr">
        <is>
          <t>West</t>
        </is>
      </c>
    </row>
    <row r="1011">
      <c r="A1011" s="2" t="inlineStr">
        <is>
          <t>C0217</t>
        </is>
      </c>
      <c r="B1011" s="2" t="inlineStr">
        <is>
          <t>Uttar Pradesh</t>
        </is>
      </c>
      <c r="C1011" s="2" t="inlineStr">
        <is>
          <t>Varanasi</t>
        </is>
      </c>
      <c r="D1011" s="2" t="inlineStr">
        <is>
          <t>North</t>
        </is>
      </c>
    </row>
    <row r="1012">
      <c r="A1012" s="2" t="inlineStr">
        <is>
          <t>C0217</t>
        </is>
      </c>
      <c r="B1012" s="2" t="inlineStr">
        <is>
          <t>West Bengal</t>
        </is>
      </c>
      <c r="C1012" s="2" t="inlineStr">
        <is>
          <t>Durgapur</t>
        </is>
      </c>
      <c r="D1012" s="2" t="inlineStr">
        <is>
          <t>East</t>
        </is>
      </c>
    </row>
    <row r="1013">
      <c r="A1013" s="2" t="inlineStr">
        <is>
          <t>C0217</t>
        </is>
      </c>
      <c r="B1013" s="2" t="inlineStr">
        <is>
          <t>Gujarat</t>
        </is>
      </c>
      <c r="C1013" s="2" t="inlineStr">
        <is>
          <t>Surat</t>
        </is>
      </c>
      <c r="D1013" s="2" t="inlineStr">
        <is>
          <t>West</t>
        </is>
      </c>
    </row>
    <row r="1014">
      <c r="A1014" s="2" t="inlineStr">
        <is>
          <t>C0218</t>
        </is>
      </c>
      <c r="B1014" s="2" t="inlineStr">
        <is>
          <t>Tamil Nadu</t>
        </is>
      </c>
      <c r="C1014" s="2" t="inlineStr">
        <is>
          <t>Chennai</t>
        </is>
      </c>
      <c r="D1014" s="2" t="inlineStr">
        <is>
          <t>South</t>
        </is>
      </c>
    </row>
    <row r="1015">
      <c r="A1015" s="2" t="inlineStr">
        <is>
          <t>C0218</t>
        </is>
      </c>
      <c r="B1015" s="2" t="inlineStr">
        <is>
          <t>Delhi</t>
        </is>
      </c>
      <c r="C1015" s="2" t="inlineStr">
        <is>
          <t>New Delhi</t>
        </is>
      </c>
      <c r="D1015" s="2" t="inlineStr">
        <is>
          <t>North</t>
        </is>
      </c>
    </row>
    <row r="1016">
      <c r="A1016" s="2" t="inlineStr">
        <is>
          <t>C0218</t>
        </is>
      </c>
      <c r="B1016" s="2" t="inlineStr">
        <is>
          <t>Karnataka</t>
        </is>
      </c>
      <c r="C1016" s="2" t="inlineStr">
        <is>
          <t>Mangaluru</t>
        </is>
      </c>
      <c r="D1016" s="2" t="inlineStr">
        <is>
          <t>South</t>
        </is>
      </c>
    </row>
    <row r="1017">
      <c r="A1017" s="2" t="inlineStr">
        <is>
          <t>C0218</t>
        </is>
      </c>
      <c r="B1017" s="2" t="inlineStr">
        <is>
          <t>Haryana</t>
        </is>
      </c>
      <c r="C1017" s="2" t="inlineStr">
        <is>
          <t>Faridabad</t>
        </is>
      </c>
      <c r="D1017" s="2" t="inlineStr">
        <is>
          <t>North</t>
        </is>
      </c>
    </row>
    <row r="1018">
      <c r="A1018" s="2" t="inlineStr">
        <is>
          <t>C0218</t>
        </is>
      </c>
      <c r="B1018" s="2" t="inlineStr">
        <is>
          <t>Kerala</t>
        </is>
      </c>
      <c r="C1018" s="2" t="inlineStr">
        <is>
          <t>Kochi</t>
        </is>
      </c>
      <c r="D1018" s="2" t="inlineStr">
        <is>
          <t>South</t>
        </is>
      </c>
    </row>
    <row r="1019">
      <c r="A1019" s="2" t="inlineStr">
        <is>
          <t>C0218</t>
        </is>
      </c>
      <c r="B1019" s="2" t="inlineStr">
        <is>
          <t>Goa</t>
        </is>
      </c>
      <c r="C1019" s="2" t="inlineStr">
        <is>
          <t>Panaji</t>
        </is>
      </c>
      <c r="D1019" s="2" t="inlineStr">
        <is>
          <t>West</t>
        </is>
      </c>
    </row>
    <row r="1020">
      <c r="A1020" s="2" t="inlineStr">
        <is>
          <t>C0218</t>
        </is>
      </c>
      <c r="B1020" s="2" t="inlineStr">
        <is>
          <t>Bihar</t>
        </is>
      </c>
      <c r="C1020" s="2" t="inlineStr">
        <is>
          <t>Patna</t>
        </is>
      </c>
      <c r="D1020" s="2" t="inlineStr">
        <is>
          <t>East</t>
        </is>
      </c>
    </row>
    <row r="1021">
      <c r="A1021" s="2" t="inlineStr">
        <is>
          <t>C0218</t>
        </is>
      </c>
      <c r="B1021" s="2" t="inlineStr">
        <is>
          <t>Telangana</t>
        </is>
      </c>
      <c r="C1021" s="2" t="inlineStr">
        <is>
          <t>Warangal</t>
        </is>
      </c>
      <c r="D1021" s="2" t="inlineStr">
        <is>
          <t>South</t>
        </is>
      </c>
    </row>
    <row r="1022">
      <c r="A1022" s="2" t="inlineStr">
        <is>
          <t>C0218</t>
        </is>
      </c>
      <c r="B1022" s="2" t="inlineStr">
        <is>
          <t>Punjab</t>
        </is>
      </c>
      <c r="C1022" s="2" t="inlineStr">
        <is>
          <t>Ludhiana</t>
        </is>
      </c>
      <c r="D1022" s="2" t="inlineStr">
        <is>
          <t>North</t>
        </is>
      </c>
    </row>
    <row r="1023">
      <c r="A1023" s="2" t="inlineStr">
        <is>
          <t>C0218</t>
        </is>
      </c>
      <c r="B1023" s="2" t="inlineStr">
        <is>
          <t>West Bengal</t>
        </is>
      </c>
      <c r="C1023" s="2" t="inlineStr">
        <is>
          <t>Durgapur</t>
        </is>
      </c>
      <c r="D1023" s="2" t="inlineStr">
        <is>
          <t>East</t>
        </is>
      </c>
    </row>
    <row r="1024">
      <c r="A1024" s="2" t="inlineStr">
        <is>
          <t>C0219</t>
        </is>
      </c>
      <c r="B1024" s="2" t="inlineStr">
        <is>
          <t>Haryana</t>
        </is>
      </c>
      <c r="C1024" s="2" t="inlineStr">
        <is>
          <t>Faridabad</t>
        </is>
      </c>
      <c r="D1024" s="2" t="inlineStr">
        <is>
          <t>North</t>
        </is>
      </c>
    </row>
    <row r="1025">
      <c r="A1025" s="2" t="inlineStr">
        <is>
          <t>C0219</t>
        </is>
      </c>
      <c r="B1025" s="2" t="inlineStr">
        <is>
          <t>Goa</t>
        </is>
      </c>
      <c r="C1025" s="2" t="inlineStr">
        <is>
          <t>Margao</t>
        </is>
      </c>
      <c r="D1025" s="2" t="inlineStr">
        <is>
          <t>West</t>
        </is>
      </c>
    </row>
    <row r="1026">
      <c r="A1026" s="2" t="inlineStr">
        <is>
          <t>C0219</t>
        </is>
      </c>
      <c r="B1026" s="2" t="inlineStr">
        <is>
          <t>Goa</t>
        </is>
      </c>
      <c r="C1026" s="2" t="inlineStr">
        <is>
          <t>Panaji</t>
        </is>
      </c>
      <c r="D1026" s="2" t="inlineStr">
        <is>
          <t>West</t>
        </is>
      </c>
    </row>
    <row r="1027">
      <c r="A1027" s="2" t="inlineStr">
        <is>
          <t>C0219</t>
        </is>
      </c>
      <c r="B1027" s="2" t="inlineStr">
        <is>
          <t>Odisha</t>
        </is>
      </c>
      <c r="C1027" s="2" t="inlineStr">
        <is>
          <t>Bhubaneswar</t>
        </is>
      </c>
      <c r="D1027" s="2" t="inlineStr">
        <is>
          <t>East</t>
        </is>
      </c>
    </row>
    <row r="1028">
      <c r="A1028" s="2" t="inlineStr">
        <is>
          <t>C0219</t>
        </is>
      </c>
      <c r="B1028" s="2" t="inlineStr">
        <is>
          <t>Kerala</t>
        </is>
      </c>
      <c r="C1028" s="2" t="inlineStr">
        <is>
          <t>Kochi</t>
        </is>
      </c>
      <c r="D1028" s="2" t="inlineStr">
        <is>
          <t>South</t>
        </is>
      </c>
    </row>
    <row r="1029">
      <c r="A1029" s="2" t="inlineStr">
        <is>
          <t>C0219</t>
        </is>
      </c>
      <c r="B1029" s="2" t="inlineStr">
        <is>
          <t>Maharashtra</t>
        </is>
      </c>
      <c r="C1029" s="2" t="inlineStr">
        <is>
          <t>Nashik</t>
        </is>
      </c>
      <c r="D1029" s="2" t="inlineStr">
        <is>
          <t>West</t>
        </is>
      </c>
    </row>
    <row r="1030">
      <c r="A1030" s="2" t="inlineStr">
        <is>
          <t>C0220</t>
        </is>
      </c>
      <c r="B1030" s="2" t="inlineStr">
        <is>
          <t>Karnataka</t>
        </is>
      </c>
      <c r="C1030" s="2" t="inlineStr">
        <is>
          <t>Mysuru</t>
        </is>
      </c>
      <c r="D1030" s="2" t="inlineStr">
        <is>
          <t>South</t>
        </is>
      </c>
    </row>
    <row r="1031">
      <c r="A1031" s="2" t="inlineStr">
        <is>
          <t>C0220</t>
        </is>
      </c>
      <c r="B1031" s="2" t="inlineStr">
        <is>
          <t>Kerala</t>
        </is>
      </c>
      <c r="C1031" s="2" t="inlineStr">
        <is>
          <t>Kochi</t>
        </is>
      </c>
      <c r="D1031" s="2" t="inlineStr">
        <is>
          <t>South</t>
        </is>
      </c>
    </row>
    <row r="1032">
      <c r="A1032" s="2" t="inlineStr">
        <is>
          <t>C0221</t>
        </is>
      </c>
      <c r="B1032" s="2" t="inlineStr">
        <is>
          <t>Telangana</t>
        </is>
      </c>
      <c r="C1032" s="2" t="inlineStr">
        <is>
          <t>Hyderabad</t>
        </is>
      </c>
      <c r="D1032" s="2" t="inlineStr">
        <is>
          <t>South</t>
        </is>
      </c>
    </row>
    <row r="1033">
      <c r="A1033" s="2" t="inlineStr">
        <is>
          <t>C0221</t>
        </is>
      </c>
      <c r="B1033" s="2" t="inlineStr">
        <is>
          <t>Odisha</t>
        </is>
      </c>
      <c r="C1033" s="2" t="inlineStr">
        <is>
          <t>Bhubaneswar</t>
        </is>
      </c>
      <c r="D1033" s="2" t="inlineStr">
        <is>
          <t>East</t>
        </is>
      </c>
    </row>
    <row r="1034">
      <c r="A1034" s="2" t="inlineStr">
        <is>
          <t>C0221</t>
        </is>
      </c>
      <c r="B1034" s="2" t="inlineStr">
        <is>
          <t>Tamil Nadu</t>
        </is>
      </c>
      <c r="C1034" s="2" t="inlineStr">
        <is>
          <t>Chennai</t>
        </is>
      </c>
      <c r="D1034" s="2" t="inlineStr">
        <is>
          <t>South</t>
        </is>
      </c>
    </row>
    <row r="1035">
      <c r="A1035" s="2" t="inlineStr">
        <is>
          <t>C0221</t>
        </is>
      </c>
      <c r="B1035" s="2" t="inlineStr">
        <is>
          <t>Maharashtra</t>
        </is>
      </c>
      <c r="C1035" s="2" t="inlineStr">
        <is>
          <t>Nagpur</t>
        </is>
      </c>
      <c r="D1035" s="2" t="inlineStr">
        <is>
          <t>West</t>
        </is>
      </c>
    </row>
    <row r="1036">
      <c r="A1036" s="2" t="inlineStr">
        <is>
          <t>C0221</t>
        </is>
      </c>
      <c r="B1036" s="2" t="inlineStr">
        <is>
          <t>Maharashtra</t>
        </is>
      </c>
      <c r="C1036" s="2" t="inlineStr">
        <is>
          <t>Nashik</t>
        </is>
      </c>
      <c r="D1036" s="2" t="inlineStr">
        <is>
          <t>West</t>
        </is>
      </c>
    </row>
    <row r="1037">
      <c r="A1037" s="2" t="inlineStr">
        <is>
          <t>C0221</t>
        </is>
      </c>
      <c r="B1037" s="2" t="inlineStr">
        <is>
          <t>Tamil Nadu</t>
        </is>
      </c>
      <c r="C1037" s="2" t="inlineStr">
        <is>
          <t>Madurai</t>
        </is>
      </c>
      <c r="D1037" s="2" t="inlineStr">
        <is>
          <t>South</t>
        </is>
      </c>
    </row>
    <row r="1038">
      <c r="A1038" s="2" t="inlineStr">
        <is>
          <t>C0221</t>
        </is>
      </c>
      <c r="B1038" s="2" t="inlineStr">
        <is>
          <t>Goa</t>
        </is>
      </c>
      <c r="C1038" s="2" t="inlineStr">
        <is>
          <t>Panaji</t>
        </is>
      </c>
      <c r="D1038" s="2" t="inlineStr">
        <is>
          <t>West</t>
        </is>
      </c>
    </row>
    <row r="1039">
      <c r="A1039" s="2" t="inlineStr">
        <is>
          <t>C0222</t>
        </is>
      </c>
      <c r="B1039" s="2" t="inlineStr">
        <is>
          <t>Delhi</t>
        </is>
      </c>
      <c r="C1039" s="2" t="inlineStr">
        <is>
          <t>New Delhi</t>
        </is>
      </c>
      <c r="D1039" s="2" t="inlineStr">
        <is>
          <t>North</t>
        </is>
      </c>
    </row>
    <row r="1040">
      <c r="A1040" s="2" t="inlineStr">
        <is>
          <t>C0223</t>
        </is>
      </c>
      <c r="B1040" s="2" t="inlineStr">
        <is>
          <t>Karnataka</t>
        </is>
      </c>
      <c r="C1040" s="2" t="inlineStr">
        <is>
          <t>Mysuru</t>
        </is>
      </c>
      <c r="D1040" s="2" t="inlineStr">
        <is>
          <t>South</t>
        </is>
      </c>
    </row>
    <row r="1041">
      <c r="A1041" s="2" t="inlineStr">
        <is>
          <t>C0223</t>
        </is>
      </c>
      <c r="B1041" s="2" t="inlineStr">
        <is>
          <t>Uttar Pradesh</t>
        </is>
      </c>
      <c r="C1041" s="2" t="inlineStr">
        <is>
          <t>Lucknow</t>
        </is>
      </c>
      <c r="D1041" s="2" t="inlineStr">
        <is>
          <t>North</t>
        </is>
      </c>
    </row>
    <row r="1042">
      <c r="A1042" s="2" t="inlineStr">
        <is>
          <t>C0225</t>
        </is>
      </c>
      <c r="B1042" s="2" t="inlineStr">
        <is>
          <t>Delhi</t>
        </is>
      </c>
      <c r="C1042" s="2" t="inlineStr">
        <is>
          <t>New Delhi</t>
        </is>
      </c>
      <c r="D1042" s="2" t="inlineStr">
        <is>
          <t>North</t>
        </is>
      </c>
    </row>
    <row r="1043">
      <c r="A1043" s="2" t="inlineStr">
        <is>
          <t>C0225</t>
        </is>
      </c>
      <c r="B1043" s="2" t="inlineStr">
        <is>
          <t>Tamil Nadu</t>
        </is>
      </c>
      <c r="C1043" s="2" t="inlineStr">
        <is>
          <t>Madurai</t>
        </is>
      </c>
      <c r="D1043" s="2" t="inlineStr">
        <is>
          <t>South</t>
        </is>
      </c>
    </row>
    <row r="1044">
      <c r="A1044" s="2" t="inlineStr">
        <is>
          <t>C0225</t>
        </is>
      </c>
      <c r="B1044" s="2" t="inlineStr">
        <is>
          <t>Gujarat</t>
        </is>
      </c>
      <c r="C1044" s="2" t="inlineStr">
        <is>
          <t>Vadodara</t>
        </is>
      </c>
      <c r="D1044" s="2" t="inlineStr">
        <is>
          <t>West</t>
        </is>
      </c>
    </row>
    <row r="1045">
      <c r="A1045" s="2" t="inlineStr">
        <is>
          <t>C0225</t>
        </is>
      </c>
      <c r="B1045" s="2" t="inlineStr">
        <is>
          <t>West Bengal</t>
        </is>
      </c>
      <c r="C1045" s="2" t="inlineStr">
        <is>
          <t>Kolkata</t>
        </is>
      </c>
      <c r="D1045" s="2" t="inlineStr">
        <is>
          <t>East</t>
        </is>
      </c>
    </row>
    <row r="1046">
      <c r="A1046" s="2" t="inlineStr">
        <is>
          <t>C0225</t>
        </is>
      </c>
      <c r="B1046" s="2" t="inlineStr">
        <is>
          <t>Karnataka</t>
        </is>
      </c>
      <c r="C1046" s="2" t="inlineStr">
        <is>
          <t>Bengaluru</t>
        </is>
      </c>
      <c r="D1046" s="2" t="inlineStr">
        <is>
          <t>South</t>
        </is>
      </c>
    </row>
    <row r="1047">
      <c r="A1047" s="2" t="inlineStr">
        <is>
          <t>C0225</t>
        </is>
      </c>
      <c r="B1047" s="2" t="inlineStr">
        <is>
          <t>Goa</t>
        </is>
      </c>
      <c r="C1047" s="2" t="inlineStr">
        <is>
          <t>Panaji</t>
        </is>
      </c>
      <c r="D1047" s="2" t="inlineStr">
        <is>
          <t>West</t>
        </is>
      </c>
    </row>
    <row r="1048">
      <c r="A1048" s="2" t="inlineStr">
        <is>
          <t>C0225</t>
        </is>
      </c>
      <c r="B1048" s="2" t="inlineStr">
        <is>
          <t>Kerala</t>
        </is>
      </c>
      <c r="C1048" s="2" t="inlineStr">
        <is>
          <t>Thiruvananthapuram</t>
        </is>
      </c>
      <c r="D1048" s="2" t="inlineStr">
        <is>
          <t>South</t>
        </is>
      </c>
    </row>
    <row r="1049">
      <c r="A1049" s="2" t="inlineStr">
        <is>
          <t>C0226</t>
        </is>
      </c>
      <c r="B1049" s="2" t="inlineStr">
        <is>
          <t>West Bengal</t>
        </is>
      </c>
      <c r="C1049" s="2" t="inlineStr">
        <is>
          <t>Kolkata</t>
        </is>
      </c>
      <c r="D1049" s="2" t="inlineStr">
        <is>
          <t>East</t>
        </is>
      </c>
    </row>
    <row r="1050">
      <c r="A1050" s="2" t="inlineStr">
        <is>
          <t>C0226</t>
        </is>
      </c>
      <c r="B1050" s="2" t="inlineStr">
        <is>
          <t>Maharashtra</t>
        </is>
      </c>
      <c r="C1050" s="2" t="inlineStr">
        <is>
          <t>Pune</t>
        </is>
      </c>
      <c r="D1050" s="2" t="inlineStr">
        <is>
          <t>West</t>
        </is>
      </c>
    </row>
    <row r="1051">
      <c r="A1051" s="2" t="inlineStr">
        <is>
          <t>C0226</t>
        </is>
      </c>
      <c r="B1051" s="2" t="inlineStr">
        <is>
          <t>Tamil Nadu</t>
        </is>
      </c>
      <c r="C1051" s="2" t="inlineStr">
        <is>
          <t>Coimbatore</t>
        </is>
      </c>
      <c r="D1051" s="2" t="inlineStr">
        <is>
          <t>South</t>
        </is>
      </c>
    </row>
    <row r="1052">
      <c r="A1052" s="2" t="inlineStr">
        <is>
          <t>C0226</t>
        </is>
      </c>
      <c r="B1052" s="2" t="inlineStr">
        <is>
          <t>West Bengal</t>
        </is>
      </c>
      <c r="C1052" s="2" t="inlineStr">
        <is>
          <t>Durgapur</t>
        </is>
      </c>
      <c r="D1052" s="2" t="inlineStr">
        <is>
          <t>East</t>
        </is>
      </c>
    </row>
    <row r="1053">
      <c r="A1053" s="2" t="inlineStr">
        <is>
          <t>C0226</t>
        </is>
      </c>
      <c r="B1053" s="2" t="inlineStr">
        <is>
          <t>Goa</t>
        </is>
      </c>
      <c r="C1053" s="2" t="inlineStr">
        <is>
          <t>Panaji</t>
        </is>
      </c>
      <c r="D1053" s="2" t="inlineStr">
        <is>
          <t>West</t>
        </is>
      </c>
    </row>
    <row r="1054">
      <c r="A1054" s="2" t="inlineStr">
        <is>
          <t>C0226</t>
        </is>
      </c>
      <c r="B1054" s="2" t="inlineStr">
        <is>
          <t>Gujarat</t>
        </is>
      </c>
      <c r="C1054" s="2" t="inlineStr">
        <is>
          <t>Ahmedabad</t>
        </is>
      </c>
      <c r="D1054" s="2" t="inlineStr">
        <is>
          <t>West</t>
        </is>
      </c>
    </row>
    <row r="1055">
      <c r="A1055" s="2" t="inlineStr">
        <is>
          <t>C0226</t>
        </is>
      </c>
      <c r="B1055" s="2" t="inlineStr">
        <is>
          <t>Maharashtra</t>
        </is>
      </c>
      <c r="C1055" s="2" t="inlineStr">
        <is>
          <t>Thane</t>
        </is>
      </c>
      <c r="D1055" s="2" t="inlineStr">
        <is>
          <t>West</t>
        </is>
      </c>
    </row>
    <row r="1056">
      <c r="A1056" s="2" t="inlineStr">
        <is>
          <t>C0227</t>
        </is>
      </c>
      <c r="B1056" s="2" t="inlineStr">
        <is>
          <t>Goa</t>
        </is>
      </c>
      <c r="C1056" s="2" t="inlineStr">
        <is>
          <t>Panaji</t>
        </is>
      </c>
      <c r="D1056" s="2" t="inlineStr">
        <is>
          <t>West</t>
        </is>
      </c>
    </row>
    <row r="1057">
      <c r="A1057" s="2" t="inlineStr">
        <is>
          <t>C0227</t>
        </is>
      </c>
      <c r="B1057" s="2" t="inlineStr">
        <is>
          <t>Karnataka</t>
        </is>
      </c>
      <c r="C1057" s="2" t="inlineStr">
        <is>
          <t>Mangaluru</t>
        </is>
      </c>
      <c r="D1057" s="2" t="inlineStr">
        <is>
          <t>South</t>
        </is>
      </c>
    </row>
    <row r="1058">
      <c r="A1058" s="2" t="inlineStr">
        <is>
          <t>C0227</t>
        </is>
      </c>
      <c r="B1058" s="2" t="inlineStr">
        <is>
          <t>Kerala</t>
        </is>
      </c>
      <c r="C1058" s="2" t="inlineStr">
        <is>
          <t>Kochi</t>
        </is>
      </c>
      <c r="D1058" s="2" t="inlineStr">
        <is>
          <t>South</t>
        </is>
      </c>
    </row>
    <row r="1059">
      <c r="A1059" s="2" t="inlineStr">
        <is>
          <t>C0227</t>
        </is>
      </c>
      <c r="B1059" s="2" t="inlineStr">
        <is>
          <t>Goa</t>
        </is>
      </c>
      <c r="C1059" s="2" t="inlineStr">
        <is>
          <t>Margao</t>
        </is>
      </c>
      <c r="D1059" s="2" t="inlineStr">
        <is>
          <t>West</t>
        </is>
      </c>
    </row>
    <row r="1060">
      <c r="A1060" s="2" t="inlineStr">
        <is>
          <t>C0227</t>
        </is>
      </c>
      <c r="B1060" s="2" t="inlineStr">
        <is>
          <t>Odisha</t>
        </is>
      </c>
      <c r="C1060" s="2" t="inlineStr">
        <is>
          <t>Bhubaneswar</t>
        </is>
      </c>
      <c r="D1060" s="2" t="inlineStr">
        <is>
          <t>East</t>
        </is>
      </c>
    </row>
    <row r="1061">
      <c r="A1061" s="2" t="inlineStr">
        <is>
          <t>C0227</t>
        </is>
      </c>
      <c r="B1061" s="2" t="inlineStr">
        <is>
          <t>Telangana</t>
        </is>
      </c>
      <c r="C1061" s="2" t="inlineStr">
        <is>
          <t>Hyderabad</t>
        </is>
      </c>
      <c r="D1061" s="2" t="inlineStr">
        <is>
          <t>South</t>
        </is>
      </c>
    </row>
    <row r="1062">
      <c r="A1062" s="2" t="inlineStr">
        <is>
          <t>C0227</t>
        </is>
      </c>
      <c r="B1062" s="2" t="inlineStr">
        <is>
          <t>Odisha</t>
        </is>
      </c>
      <c r="C1062" s="2" t="inlineStr">
        <is>
          <t>Cuttack</t>
        </is>
      </c>
      <c r="D1062" s="2" t="inlineStr">
        <is>
          <t>East</t>
        </is>
      </c>
    </row>
    <row r="1063">
      <c r="A1063" s="2" t="inlineStr">
        <is>
          <t>C0227</t>
        </is>
      </c>
      <c r="B1063" s="2" t="inlineStr">
        <is>
          <t>Maharashtra</t>
        </is>
      </c>
      <c r="C1063" s="2" t="inlineStr">
        <is>
          <t>Thane</t>
        </is>
      </c>
      <c r="D1063" s="2" t="inlineStr">
        <is>
          <t>West</t>
        </is>
      </c>
    </row>
    <row r="1064">
      <c r="A1064" s="2" t="inlineStr">
        <is>
          <t>C0228</t>
        </is>
      </c>
      <c r="B1064" s="2" t="inlineStr">
        <is>
          <t>Gujarat</t>
        </is>
      </c>
      <c r="C1064" s="2" t="inlineStr">
        <is>
          <t>Surat</t>
        </is>
      </c>
      <c r="D1064" s="2" t="inlineStr">
        <is>
          <t>West</t>
        </is>
      </c>
    </row>
    <row r="1065">
      <c r="A1065" s="2" t="inlineStr">
        <is>
          <t>C0228</t>
        </is>
      </c>
      <c r="B1065" s="2" t="inlineStr">
        <is>
          <t>Delhi</t>
        </is>
      </c>
      <c r="C1065" s="2" t="inlineStr">
        <is>
          <t>New Delhi</t>
        </is>
      </c>
      <c r="D1065" s="2" t="inlineStr">
        <is>
          <t>North</t>
        </is>
      </c>
    </row>
    <row r="1066">
      <c r="A1066" s="2" t="inlineStr">
        <is>
          <t>C0228</t>
        </is>
      </c>
      <c r="B1066" s="2" t="inlineStr">
        <is>
          <t>Kerala</t>
        </is>
      </c>
      <c r="C1066" s="2" t="inlineStr">
        <is>
          <t>Kochi</t>
        </is>
      </c>
      <c r="D1066" s="2" t="inlineStr">
        <is>
          <t>South</t>
        </is>
      </c>
    </row>
    <row r="1067">
      <c r="A1067" s="2" t="inlineStr">
        <is>
          <t>C0228</t>
        </is>
      </c>
      <c r="B1067" s="2" t="inlineStr">
        <is>
          <t>Tamil Nadu</t>
        </is>
      </c>
      <c r="C1067" s="2" t="inlineStr">
        <is>
          <t>Madurai</t>
        </is>
      </c>
      <c r="D1067" s="2" t="inlineStr">
        <is>
          <t>South</t>
        </is>
      </c>
    </row>
    <row r="1068">
      <c r="A1068" s="2" t="inlineStr">
        <is>
          <t>C0228</t>
        </is>
      </c>
      <c r="B1068" s="2" t="inlineStr">
        <is>
          <t>Uttar Pradesh</t>
        </is>
      </c>
      <c r="C1068" s="2" t="inlineStr">
        <is>
          <t>Varanasi</t>
        </is>
      </c>
      <c r="D1068" s="2" t="inlineStr">
        <is>
          <t>North</t>
        </is>
      </c>
    </row>
    <row r="1069">
      <c r="A1069" s="2" t="inlineStr">
        <is>
          <t>C0228</t>
        </is>
      </c>
      <c r="B1069" s="2" t="inlineStr">
        <is>
          <t>Telangana</t>
        </is>
      </c>
      <c r="C1069" s="2" t="inlineStr">
        <is>
          <t>Warangal</t>
        </is>
      </c>
      <c r="D1069" s="2" t="inlineStr">
        <is>
          <t>South</t>
        </is>
      </c>
    </row>
    <row r="1070">
      <c r="A1070" s="2" t="inlineStr">
        <is>
          <t>C0228</t>
        </is>
      </c>
      <c r="B1070" s="2" t="inlineStr">
        <is>
          <t>Karnataka</t>
        </is>
      </c>
      <c r="C1070" s="2" t="inlineStr">
        <is>
          <t>Mysuru</t>
        </is>
      </c>
      <c r="D1070" s="2" t="inlineStr">
        <is>
          <t>South</t>
        </is>
      </c>
    </row>
    <row r="1071">
      <c r="A1071" s="2" t="inlineStr">
        <is>
          <t>C0229</t>
        </is>
      </c>
      <c r="B1071" s="2" t="inlineStr">
        <is>
          <t>Delhi</t>
        </is>
      </c>
      <c r="C1071" s="2" t="inlineStr">
        <is>
          <t>New Delhi</t>
        </is>
      </c>
      <c r="D1071" s="2" t="inlineStr">
        <is>
          <t>North</t>
        </is>
      </c>
    </row>
    <row r="1072">
      <c r="A1072" s="2" t="inlineStr">
        <is>
          <t>C0229</t>
        </is>
      </c>
      <c r="B1072" s="2" t="inlineStr">
        <is>
          <t>Gujarat</t>
        </is>
      </c>
      <c r="C1072" s="2" t="inlineStr">
        <is>
          <t>Vadodara</t>
        </is>
      </c>
      <c r="D1072" s="2" t="inlineStr">
        <is>
          <t>West</t>
        </is>
      </c>
    </row>
    <row r="1073">
      <c r="A1073" s="2" t="inlineStr">
        <is>
          <t>C0230</t>
        </is>
      </c>
      <c r="B1073" s="2" t="inlineStr">
        <is>
          <t>Punjab</t>
        </is>
      </c>
      <c r="C1073" s="2" t="inlineStr">
        <is>
          <t>Amritsar</t>
        </is>
      </c>
      <c r="D1073" s="2" t="inlineStr">
        <is>
          <t>North</t>
        </is>
      </c>
    </row>
    <row r="1074">
      <c r="A1074" s="2" t="inlineStr">
        <is>
          <t>C0230</t>
        </is>
      </c>
      <c r="B1074" s="2" t="inlineStr">
        <is>
          <t>Goa</t>
        </is>
      </c>
      <c r="C1074" s="2" t="inlineStr">
        <is>
          <t>Panaji</t>
        </is>
      </c>
      <c r="D1074" s="2" t="inlineStr">
        <is>
          <t>West</t>
        </is>
      </c>
    </row>
    <row r="1075">
      <c r="A1075" s="2" t="inlineStr">
        <is>
          <t>C0230</t>
        </is>
      </c>
      <c r="B1075" s="2" t="inlineStr">
        <is>
          <t>Bihar</t>
        </is>
      </c>
      <c r="C1075" s="2" t="inlineStr">
        <is>
          <t>Gaya</t>
        </is>
      </c>
      <c r="D1075" s="2" t="inlineStr">
        <is>
          <t>East</t>
        </is>
      </c>
    </row>
    <row r="1076">
      <c r="A1076" s="2" t="inlineStr">
        <is>
          <t>C0231</t>
        </is>
      </c>
      <c r="B1076" s="2" t="inlineStr">
        <is>
          <t>West Bengal</t>
        </is>
      </c>
      <c r="C1076" s="2" t="inlineStr">
        <is>
          <t>Durgapur</t>
        </is>
      </c>
      <c r="D1076" s="2" t="inlineStr">
        <is>
          <t>East</t>
        </is>
      </c>
    </row>
    <row r="1077">
      <c r="A1077" s="2" t="inlineStr">
        <is>
          <t>C0231</t>
        </is>
      </c>
      <c r="B1077" s="2" t="inlineStr">
        <is>
          <t>West Bengal</t>
        </is>
      </c>
      <c r="C1077" s="2" t="inlineStr">
        <is>
          <t>Kolkata</t>
        </is>
      </c>
      <c r="D1077" s="2" t="inlineStr">
        <is>
          <t>East</t>
        </is>
      </c>
    </row>
    <row r="1078">
      <c r="A1078" s="2" t="inlineStr">
        <is>
          <t>C0231</t>
        </is>
      </c>
      <c r="B1078" s="2" t="inlineStr">
        <is>
          <t>Goa</t>
        </is>
      </c>
      <c r="C1078" s="2" t="inlineStr">
        <is>
          <t>Margao</t>
        </is>
      </c>
      <c r="D1078" s="2" t="inlineStr">
        <is>
          <t>West</t>
        </is>
      </c>
    </row>
    <row r="1079">
      <c r="A1079" s="2" t="inlineStr">
        <is>
          <t>C0231</t>
        </is>
      </c>
      <c r="B1079" s="2" t="inlineStr">
        <is>
          <t>Tamil Nadu</t>
        </is>
      </c>
      <c r="C1079" s="2" t="inlineStr">
        <is>
          <t>Madurai</t>
        </is>
      </c>
      <c r="D1079" s="2" t="inlineStr">
        <is>
          <t>South</t>
        </is>
      </c>
    </row>
    <row r="1080">
      <c r="A1080" s="2" t="inlineStr">
        <is>
          <t>C0231</t>
        </is>
      </c>
      <c r="B1080" s="2" t="inlineStr">
        <is>
          <t>Telangana</t>
        </is>
      </c>
      <c r="C1080" s="2" t="inlineStr">
        <is>
          <t>Hyderabad</t>
        </is>
      </c>
      <c r="D1080" s="2" t="inlineStr">
        <is>
          <t>South</t>
        </is>
      </c>
    </row>
    <row r="1081">
      <c r="A1081" s="2" t="inlineStr">
        <is>
          <t>C0231</t>
        </is>
      </c>
      <c r="B1081" s="2" t="inlineStr">
        <is>
          <t>Tamil Nadu</t>
        </is>
      </c>
      <c r="C1081" s="2" t="inlineStr">
        <is>
          <t>Coimbatore</t>
        </is>
      </c>
      <c r="D1081" s="2" t="inlineStr">
        <is>
          <t>South</t>
        </is>
      </c>
    </row>
    <row r="1082">
      <c r="A1082" s="2" t="inlineStr">
        <is>
          <t>C0231</t>
        </is>
      </c>
      <c r="B1082" s="2" t="inlineStr">
        <is>
          <t>Delhi</t>
        </is>
      </c>
      <c r="C1082" s="2" t="inlineStr">
        <is>
          <t>New Delhi</t>
        </is>
      </c>
      <c r="D1082" s="2" t="inlineStr">
        <is>
          <t>North</t>
        </is>
      </c>
    </row>
    <row r="1083">
      <c r="A1083" s="2" t="inlineStr">
        <is>
          <t>C0232</t>
        </is>
      </c>
      <c r="B1083" s="2" t="inlineStr">
        <is>
          <t>Goa</t>
        </is>
      </c>
      <c r="C1083" s="2" t="inlineStr">
        <is>
          <t>Panaji</t>
        </is>
      </c>
      <c r="D1083" s="2" t="inlineStr">
        <is>
          <t>West</t>
        </is>
      </c>
    </row>
    <row r="1084">
      <c r="A1084" s="2" t="inlineStr">
        <is>
          <t>C0232</t>
        </is>
      </c>
      <c r="B1084" s="2" t="inlineStr">
        <is>
          <t>Maharashtra</t>
        </is>
      </c>
      <c r="C1084" s="2" t="inlineStr">
        <is>
          <t>Pune</t>
        </is>
      </c>
      <c r="D1084" s="2" t="inlineStr">
        <is>
          <t>West</t>
        </is>
      </c>
    </row>
    <row r="1085">
      <c r="A1085" s="2" t="inlineStr">
        <is>
          <t>C0232</t>
        </is>
      </c>
      <c r="B1085" s="2" t="inlineStr">
        <is>
          <t>Uttar Pradesh</t>
        </is>
      </c>
      <c r="C1085" s="2" t="inlineStr">
        <is>
          <t>Noida</t>
        </is>
      </c>
      <c r="D1085" s="2" t="inlineStr">
        <is>
          <t>North</t>
        </is>
      </c>
    </row>
    <row r="1086">
      <c r="A1086" s="2" t="inlineStr">
        <is>
          <t>C0232</t>
        </is>
      </c>
      <c r="B1086" s="2" t="inlineStr">
        <is>
          <t>Maharashtra</t>
        </is>
      </c>
      <c r="C1086" s="2" t="inlineStr">
        <is>
          <t>Nashik</t>
        </is>
      </c>
      <c r="D1086" s="2" t="inlineStr">
        <is>
          <t>West</t>
        </is>
      </c>
    </row>
    <row r="1087">
      <c r="A1087" s="2" t="inlineStr">
        <is>
          <t>C0233</t>
        </is>
      </c>
      <c r="B1087" s="2" t="inlineStr">
        <is>
          <t>Uttar Pradesh</t>
        </is>
      </c>
      <c r="C1087" s="2" t="inlineStr">
        <is>
          <t>Varanasi</t>
        </is>
      </c>
      <c r="D1087" s="2" t="inlineStr">
        <is>
          <t>North</t>
        </is>
      </c>
    </row>
    <row r="1088">
      <c r="A1088" s="2" t="inlineStr">
        <is>
          <t>C0233</t>
        </is>
      </c>
      <c r="B1088" s="2" t="inlineStr">
        <is>
          <t>Kerala</t>
        </is>
      </c>
      <c r="C1088" s="2" t="inlineStr">
        <is>
          <t>Kochi</t>
        </is>
      </c>
      <c r="D1088" s="2" t="inlineStr">
        <is>
          <t>South</t>
        </is>
      </c>
    </row>
    <row r="1089">
      <c r="A1089" s="2" t="inlineStr">
        <is>
          <t>C0233</t>
        </is>
      </c>
      <c r="B1089" s="2" t="inlineStr">
        <is>
          <t>Uttar Pradesh</t>
        </is>
      </c>
      <c r="C1089" s="2" t="inlineStr">
        <is>
          <t>Noida</t>
        </is>
      </c>
      <c r="D1089" s="2" t="inlineStr">
        <is>
          <t>North</t>
        </is>
      </c>
    </row>
    <row r="1090">
      <c r="A1090" s="2" t="inlineStr">
        <is>
          <t>C0233</t>
        </is>
      </c>
      <c r="B1090" s="2" t="inlineStr">
        <is>
          <t>Goa</t>
        </is>
      </c>
      <c r="C1090" s="2" t="inlineStr">
        <is>
          <t>Panaji</t>
        </is>
      </c>
      <c r="D1090" s="2" t="inlineStr">
        <is>
          <t>West</t>
        </is>
      </c>
    </row>
    <row r="1091">
      <c r="A1091" s="2" t="inlineStr">
        <is>
          <t>C0233</t>
        </is>
      </c>
      <c r="B1091" s="2" t="inlineStr">
        <is>
          <t>Gujarat</t>
        </is>
      </c>
      <c r="C1091" s="2" t="inlineStr">
        <is>
          <t>Surat</t>
        </is>
      </c>
      <c r="D1091" s="2" t="inlineStr">
        <is>
          <t>West</t>
        </is>
      </c>
    </row>
    <row r="1092">
      <c r="A1092" s="2" t="inlineStr">
        <is>
          <t>C0234</t>
        </is>
      </c>
      <c r="B1092" s="2" t="inlineStr">
        <is>
          <t>Punjab</t>
        </is>
      </c>
      <c r="C1092" s="2" t="inlineStr">
        <is>
          <t>Jalandhar</t>
        </is>
      </c>
      <c r="D1092" s="2" t="inlineStr">
        <is>
          <t>North</t>
        </is>
      </c>
    </row>
    <row r="1093">
      <c r="A1093" s="2" t="inlineStr">
        <is>
          <t>C0234</t>
        </is>
      </c>
      <c r="B1093" s="2" t="inlineStr">
        <is>
          <t>Karnataka</t>
        </is>
      </c>
      <c r="C1093" s="2" t="inlineStr">
        <is>
          <t>Bengaluru</t>
        </is>
      </c>
      <c r="D1093" s="2" t="inlineStr">
        <is>
          <t>South</t>
        </is>
      </c>
    </row>
    <row r="1094">
      <c r="A1094" s="2" t="inlineStr">
        <is>
          <t>C0234</t>
        </is>
      </c>
      <c r="B1094" s="2" t="inlineStr">
        <is>
          <t>Gujarat</t>
        </is>
      </c>
      <c r="C1094" s="2" t="inlineStr">
        <is>
          <t>Ahmedabad</t>
        </is>
      </c>
      <c r="D1094" s="2" t="inlineStr">
        <is>
          <t>West</t>
        </is>
      </c>
    </row>
    <row r="1095">
      <c r="A1095" s="2" t="inlineStr">
        <is>
          <t>C0234</t>
        </is>
      </c>
      <c r="B1095" s="2" t="inlineStr">
        <is>
          <t>Tamil Nadu</t>
        </is>
      </c>
      <c r="C1095" s="2" t="inlineStr">
        <is>
          <t>Coimbatore</t>
        </is>
      </c>
      <c r="D1095" s="2" t="inlineStr">
        <is>
          <t>South</t>
        </is>
      </c>
    </row>
    <row r="1096">
      <c r="A1096" s="2" t="inlineStr">
        <is>
          <t>C0234</t>
        </is>
      </c>
      <c r="B1096" s="2" t="inlineStr">
        <is>
          <t>West Bengal</t>
        </is>
      </c>
      <c r="C1096" s="2" t="inlineStr">
        <is>
          <t>Durgapur</t>
        </is>
      </c>
      <c r="D1096" s="2" t="inlineStr">
        <is>
          <t>East</t>
        </is>
      </c>
    </row>
    <row r="1097">
      <c r="A1097" s="2" t="inlineStr">
        <is>
          <t>C0234</t>
        </is>
      </c>
      <c r="B1097" s="2" t="inlineStr">
        <is>
          <t>Maharashtra</t>
        </is>
      </c>
      <c r="C1097" s="2" t="inlineStr">
        <is>
          <t>Mumbai</t>
        </is>
      </c>
      <c r="D1097" s="2" t="inlineStr">
        <is>
          <t>West</t>
        </is>
      </c>
    </row>
    <row r="1098">
      <c r="A1098" s="2" t="inlineStr">
        <is>
          <t>C0234</t>
        </is>
      </c>
      <c r="B1098" s="2" t="inlineStr">
        <is>
          <t>Maharashtra</t>
        </is>
      </c>
      <c r="C1098" s="2" t="inlineStr">
        <is>
          <t>Thane</t>
        </is>
      </c>
      <c r="D1098" s="2" t="inlineStr">
        <is>
          <t>West</t>
        </is>
      </c>
    </row>
    <row r="1099">
      <c r="A1099" s="2" t="inlineStr">
        <is>
          <t>C0234</t>
        </is>
      </c>
      <c r="B1099" s="2" t="inlineStr">
        <is>
          <t>Odisha</t>
        </is>
      </c>
      <c r="C1099" s="2" t="inlineStr">
        <is>
          <t>Bhubaneswar</t>
        </is>
      </c>
      <c r="D1099" s="2" t="inlineStr">
        <is>
          <t>East</t>
        </is>
      </c>
    </row>
    <row r="1100">
      <c r="A1100" s="2" t="inlineStr">
        <is>
          <t>C0235</t>
        </is>
      </c>
      <c r="B1100" s="2" t="inlineStr">
        <is>
          <t>Uttar Pradesh</t>
        </is>
      </c>
      <c r="C1100" s="2" t="inlineStr">
        <is>
          <t>Kanpur</t>
        </is>
      </c>
      <c r="D1100" s="2" t="inlineStr">
        <is>
          <t>North</t>
        </is>
      </c>
    </row>
    <row r="1101">
      <c r="A1101" s="2" t="inlineStr">
        <is>
          <t>C0235</t>
        </is>
      </c>
      <c r="B1101" s="2" t="inlineStr">
        <is>
          <t>Goa</t>
        </is>
      </c>
      <c r="C1101" s="2" t="inlineStr">
        <is>
          <t>Margao</t>
        </is>
      </c>
      <c r="D1101" s="2" t="inlineStr">
        <is>
          <t>West</t>
        </is>
      </c>
    </row>
    <row r="1102">
      <c r="A1102" s="2" t="inlineStr">
        <is>
          <t>C0235</t>
        </is>
      </c>
      <c r="B1102" s="2" t="inlineStr">
        <is>
          <t>Goa</t>
        </is>
      </c>
      <c r="C1102" s="2" t="inlineStr">
        <is>
          <t>Panaji</t>
        </is>
      </c>
      <c r="D1102" s="2" t="inlineStr">
        <is>
          <t>West</t>
        </is>
      </c>
    </row>
    <row r="1103">
      <c r="A1103" s="2" t="inlineStr">
        <is>
          <t>C0236</t>
        </is>
      </c>
      <c r="B1103" s="2" t="inlineStr">
        <is>
          <t>Gujarat</t>
        </is>
      </c>
      <c r="C1103" s="2" t="inlineStr">
        <is>
          <t>Ahmedabad</t>
        </is>
      </c>
      <c r="D1103" s="2" t="inlineStr">
        <is>
          <t>West</t>
        </is>
      </c>
    </row>
    <row r="1104">
      <c r="A1104" s="2" t="inlineStr">
        <is>
          <t>C0236</t>
        </is>
      </c>
      <c r="B1104" s="2" t="inlineStr">
        <is>
          <t>Karnataka</t>
        </is>
      </c>
      <c r="C1104" s="2" t="inlineStr">
        <is>
          <t>Bengaluru</t>
        </is>
      </c>
      <c r="D1104" s="2" t="inlineStr">
        <is>
          <t>South</t>
        </is>
      </c>
    </row>
    <row r="1105">
      <c r="A1105" s="2" t="inlineStr">
        <is>
          <t>C0237</t>
        </is>
      </c>
      <c r="B1105" s="2" t="inlineStr">
        <is>
          <t>Haryana</t>
        </is>
      </c>
      <c r="C1105" s="2" t="inlineStr">
        <is>
          <t>Gurugram</t>
        </is>
      </c>
      <c r="D1105" s="2" t="inlineStr">
        <is>
          <t>North</t>
        </is>
      </c>
    </row>
    <row r="1106">
      <c r="A1106" s="2" t="inlineStr">
        <is>
          <t>C0237</t>
        </is>
      </c>
      <c r="B1106" s="2" t="inlineStr">
        <is>
          <t>Gujarat</t>
        </is>
      </c>
      <c r="C1106" s="2" t="inlineStr">
        <is>
          <t>Ahmedabad</t>
        </is>
      </c>
      <c r="D1106" s="2" t="inlineStr">
        <is>
          <t>West</t>
        </is>
      </c>
    </row>
    <row r="1107">
      <c r="A1107" s="2" t="inlineStr">
        <is>
          <t>C0237</t>
        </is>
      </c>
      <c r="B1107" s="2" t="inlineStr">
        <is>
          <t>Maharashtra</t>
        </is>
      </c>
      <c r="C1107" s="2" t="inlineStr">
        <is>
          <t>Nagpur</t>
        </is>
      </c>
      <c r="D1107" s="2" t="inlineStr">
        <is>
          <t>West</t>
        </is>
      </c>
    </row>
    <row r="1108">
      <c r="A1108" s="2" t="inlineStr">
        <is>
          <t>C0238</t>
        </is>
      </c>
      <c r="B1108" s="2" t="inlineStr">
        <is>
          <t>Telangana</t>
        </is>
      </c>
      <c r="C1108" s="2" t="inlineStr">
        <is>
          <t>Warangal</t>
        </is>
      </c>
      <c r="D1108" s="2" t="inlineStr">
        <is>
          <t>South</t>
        </is>
      </c>
    </row>
    <row r="1109">
      <c r="A1109" s="2" t="inlineStr">
        <is>
          <t>C0238</t>
        </is>
      </c>
      <c r="B1109" s="2" t="inlineStr">
        <is>
          <t>Uttar Pradesh</t>
        </is>
      </c>
      <c r="C1109" s="2" t="inlineStr">
        <is>
          <t>Lucknow</t>
        </is>
      </c>
      <c r="D1109" s="2" t="inlineStr">
        <is>
          <t>North</t>
        </is>
      </c>
    </row>
    <row r="1110">
      <c r="A1110" s="2" t="inlineStr">
        <is>
          <t>C0238</t>
        </is>
      </c>
      <c r="B1110" s="2" t="inlineStr">
        <is>
          <t>Delhi</t>
        </is>
      </c>
      <c r="C1110" s="2" t="inlineStr">
        <is>
          <t>New Delhi</t>
        </is>
      </c>
      <c r="D1110" s="2" t="inlineStr">
        <is>
          <t>North</t>
        </is>
      </c>
    </row>
    <row r="1111">
      <c r="A1111" s="2" t="inlineStr">
        <is>
          <t>C0238</t>
        </is>
      </c>
      <c r="B1111" s="2" t="inlineStr">
        <is>
          <t>Bihar</t>
        </is>
      </c>
      <c r="C1111" s="2" t="inlineStr">
        <is>
          <t>Gaya</t>
        </is>
      </c>
      <c r="D1111" s="2" t="inlineStr">
        <is>
          <t>East</t>
        </is>
      </c>
    </row>
    <row r="1112">
      <c r="A1112" s="2" t="inlineStr">
        <is>
          <t>C0239</t>
        </is>
      </c>
      <c r="B1112" s="2" t="inlineStr">
        <is>
          <t>Odisha</t>
        </is>
      </c>
      <c r="C1112" s="2" t="inlineStr">
        <is>
          <t>Cuttack</t>
        </is>
      </c>
      <c r="D1112" s="2" t="inlineStr">
        <is>
          <t>East</t>
        </is>
      </c>
    </row>
    <row r="1113">
      <c r="A1113" s="2" t="inlineStr">
        <is>
          <t>C0239</t>
        </is>
      </c>
      <c r="B1113" s="2" t="inlineStr">
        <is>
          <t>Gujarat</t>
        </is>
      </c>
      <c r="C1113" s="2" t="inlineStr">
        <is>
          <t>Surat</t>
        </is>
      </c>
      <c r="D1113" s="2" t="inlineStr">
        <is>
          <t>West</t>
        </is>
      </c>
    </row>
    <row r="1114">
      <c r="A1114" s="2" t="inlineStr">
        <is>
          <t>C0239</t>
        </is>
      </c>
      <c r="B1114" s="2" t="inlineStr">
        <is>
          <t>Karnataka</t>
        </is>
      </c>
      <c r="C1114" s="2" t="inlineStr">
        <is>
          <t>Mysuru</t>
        </is>
      </c>
      <c r="D1114" s="2" t="inlineStr">
        <is>
          <t>South</t>
        </is>
      </c>
    </row>
    <row r="1115">
      <c r="A1115" s="2" t="inlineStr">
        <is>
          <t>C0239</t>
        </is>
      </c>
      <c r="B1115" s="2" t="inlineStr">
        <is>
          <t>Goa</t>
        </is>
      </c>
      <c r="C1115" s="2" t="inlineStr">
        <is>
          <t>Panaji</t>
        </is>
      </c>
      <c r="D1115" s="2" t="inlineStr">
        <is>
          <t>West</t>
        </is>
      </c>
    </row>
    <row r="1116">
      <c r="A1116" s="2" t="inlineStr">
        <is>
          <t>C0239</t>
        </is>
      </c>
      <c r="B1116" s="2" t="inlineStr">
        <is>
          <t>Punjab</t>
        </is>
      </c>
      <c r="C1116" s="2" t="inlineStr">
        <is>
          <t>Amritsar</t>
        </is>
      </c>
      <c r="D1116" s="2" t="inlineStr">
        <is>
          <t>North</t>
        </is>
      </c>
    </row>
    <row r="1117">
      <c r="A1117" s="2" t="inlineStr">
        <is>
          <t>C0239</t>
        </is>
      </c>
      <c r="B1117" s="2" t="inlineStr">
        <is>
          <t>Karnataka</t>
        </is>
      </c>
      <c r="C1117" s="2" t="inlineStr">
        <is>
          <t>Bengaluru</t>
        </is>
      </c>
      <c r="D1117" s="2" t="inlineStr">
        <is>
          <t>South</t>
        </is>
      </c>
    </row>
    <row r="1118">
      <c r="A1118" s="2" t="inlineStr">
        <is>
          <t>C0239</t>
        </is>
      </c>
      <c r="B1118" s="2" t="inlineStr">
        <is>
          <t>Odisha</t>
        </is>
      </c>
      <c r="C1118" s="2" t="inlineStr">
        <is>
          <t>Bhubaneswar</t>
        </is>
      </c>
      <c r="D1118" s="2" t="inlineStr">
        <is>
          <t>East</t>
        </is>
      </c>
    </row>
    <row r="1119">
      <c r="A1119" s="2" t="inlineStr">
        <is>
          <t>C0239</t>
        </is>
      </c>
      <c r="B1119" s="2" t="inlineStr">
        <is>
          <t>Kerala</t>
        </is>
      </c>
      <c r="C1119" s="2" t="inlineStr">
        <is>
          <t>Kochi</t>
        </is>
      </c>
      <c r="D1119" s="2" t="inlineStr">
        <is>
          <t>South</t>
        </is>
      </c>
    </row>
    <row r="1120">
      <c r="A1120" s="2" t="inlineStr">
        <is>
          <t>C0240</t>
        </is>
      </c>
      <c r="B1120" s="2" t="inlineStr">
        <is>
          <t>Kerala</t>
        </is>
      </c>
      <c r="C1120" s="2" t="inlineStr">
        <is>
          <t>Kochi</t>
        </is>
      </c>
      <c r="D1120" s="2" t="inlineStr">
        <is>
          <t>South</t>
        </is>
      </c>
    </row>
    <row r="1121">
      <c r="A1121" s="2" t="inlineStr">
        <is>
          <t>C0240</t>
        </is>
      </c>
      <c r="B1121" s="2" t="inlineStr">
        <is>
          <t>Maharashtra</t>
        </is>
      </c>
      <c r="C1121" s="2" t="inlineStr">
        <is>
          <t>Thane</t>
        </is>
      </c>
      <c r="D1121" s="2" t="inlineStr">
        <is>
          <t>West</t>
        </is>
      </c>
    </row>
    <row r="1122">
      <c r="A1122" s="2" t="inlineStr">
        <is>
          <t>C0240</t>
        </is>
      </c>
      <c r="B1122" s="2" t="inlineStr">
        <is>
          <t>Goa</t>
        </is>
      </c>
      <c r="C1122" s="2" t="inlineStr">
        <is>
          <t>Margao</t>
        </is>
      </c>
      <c r="D1122" s="2" t="inlineStr">
        <is>
          <t>West</t>
        </is>
      </c>
    </row>
    <row r="1123">
      <c r="A1123" s="2" t="inlineStr">
        <is>
          <t>C0240</t>
        </is>
      </c>
      <c r="B1123" s="2" t="inlineStr">
        <is>
          <t>Gujarat</t>
        </is>
      </c>
      <c r="C1123" s="2" t="inlineStr">
        <is>
          <t>Ahmedabad</t>
        </is>
      </c>
      <c r="D1123" s="2" t="inlineStr">
        <is>
          <t>West</t>
        </is>
      </c>
    </row>
    <row r="1124">
      <c r="A1124" s="2" t="inlineStr">
        <is>
          <t>C0240</t>
        </is>
      </c>
      <c r="B1124" s="2" t="inlineStr">
        <is>
          <t>Telangana</t>
        </is>
      </c>
      <c r="C1124" s="2" t="inlineStr">
        <is>
          <t>Hyderabad</t>
        </is>
      </c>
      <c r="D1124" s="2" t="inlineStr">
        <is>
          <t>South</t>
        </is>
      </c>
    </row>
    <row r="1125">
      <c r="A1125" s="2" t="inlineStr">
        <is>
          <t>C0240</t>
        </is>
      </c>
      <c r="B1125" s="2" t="inlineStr">
        <is>
          <t>Maharashtra</t>
        </is>
      </c>
      <c r="C1125" s="2" t="inlineStr">
        <is>
          <t>Nashik</t>
        </is>
      </c>
      <c r="D1125" s="2" t="inlineStr">
        <is>
          <t>West</t>
        </is>
      </c>
    </row>
    <row r="1126">
      <c r="A1126" s="2" t="inlineStr">
        <is>
          <t>C0241</t>
        </is>
      </c>
      <c r="B1126" s="2" t="inlineStr">
        <is>
          <t>Karnataka</t>
        </is>
      </c>
      <c r="C1126" s="2" t="inlineStr">
        <is>
          <t>Mysuru</t>
        </is>
      </c>
      <c r="D1126" s="2" t="inlineStr">
        <is>
          <t>South</t>
        </is>
      </c>
    </row>
    <row r="1127">
      <c r="A1127" s="2" t="inlineStr">
        <is>
          <t>C0241</t>
        </is>
      </c>
      <c r="B1127" s="2" t="inlineStr">
        <is>
          <t>Goa</t>
        </is>
      </c>
      <c r="C1127" s="2" t="inlineStr">
        <is>
          <t>Margao</t>
        </is>
      </c>
      <c r="D1127" s="2" t="inlineStr">
        <is>
          <t>West</t>
        </is>
      </c>
    </row>
    <row r="1128">
      <c r="A1128" s="2" t="inlineStr">
        <is>
          <t>C0242</t>
        </is>
      </c>
      <c r="B1128" s="2" t="inlineStr">
        <is>
          <t>Odisha</t>
        </is>
      </c>
      <c r="C1128" s="2" t="inlineStr">
        <is>
          <t>Bhubaneswar</t>
        </is>
      </c>
      <c r="D1128" s="2" t="inlineStr">
        <is>
          <t>East</t>
        </is>
      </c>
    </row>
    <row r="1129">
      <c r="A1129" s="2" t="inlineStr">
        <is>
          <t>C0242</t>
        </is>
      </c>
      <c r="B1129" s="2" t="inlineStr">
        <is>
          <t>Telangana</t>
        </is>
      </c>
      <c r="C1129" s="2" t="inlineStr">
        <is>
          <t>Hyderabad</t>
        </is>
      </c>
      <c r="D1129" s="2" t="inlineStr">
        <is>
          <t>South</t>
        </is>
      </c>
    </row>
    <row r="1130">
      <c r="A1130" s="2" t="inlineStr">
        <is>
          <t>C0242</t>
        </is>
      </c>
      <c r="B1130" s="2" t="inlineStr">
        <is>
          <t>Goa</t>
        </is>
      </c>
      <c r="C1130" s="2" t="inlineStr">
        <is>
          <t>Panaji</t>
        </is>
      </c>
      <c r="D1130" s="2" t="inlineStr">
        <is>
          <t>West</t>
        </is>
      </c>
    </row>
    <row r="1131">
      <c r="A1131" s="2" t="inlineStr">
        <is>
          <t>C0242</t>
        </is>
      </c>
      <c r="B1131" s="2" t="inlineStr">
        <is>
          <t>Gujarat</t>
        </is>
      </c>
      <c r="C1131" s="2" t="inlineStr">
        <is>
          <t>Ahmedabad</t>
        </is>
      </c>
      <c r="D1131" s="2" t="inlineStr">
        <is>
          <t>West</t>
        </is>
      </c>
    </row>
    <row r="1132">
      <c r="A1132" s="2" t="inlineStr">
        <is>
          <t>C0242</t>
        </is>
      </c>
      <c r="B1132" s="2" t="inlineStr">
        <is>
          <t>Karnataka</t>
        </is>
      </c>
      <c r="C1132" s="2" t="inlineStr">
        <is>
          <t>Mangaluru</t>
        </is>
      </c>
      <c r="D1132" s="2" t="inlineStr">
        <is>
          <t>South</t>
        </is>
      </c>
    </row>
    <row r="1133">
      <c r="A1133" s="2" t="inlineStr">
        <is>
          <t>C0243</t>
        </is>
      </c>
      <c r="B1133" s="2" t="inlineStr">
        <is>
          <t>Maharashtra</t>
        </is>
      </c>
      <c r="C1133" s="2" t="inlineStr">
        <is>
          <t>Nagpur</t>
        </is>
      </c>
      <c r="D1133" s="2" t="inlineStr">
        <is>
          <t>West</t>
        </is>
      </c>
    </row>
    <row r="1134">
      <c r="A1134" s="2" t="inlineStr">
        <is>
          <t>C0244</t>
        </is>
      </c>
      <c r="B1134" s="2" t="inlineStr">
        <is>
          <t>Uttar Pradesh</t>
        </is>
      </c>
      <c r="C1134" s="2" t="inlineStr">
        <is>
          <t>Varanasi</t>
        </is>
      </c>
      <c r="D1134" s="2" t="inlineStr">
        <is>
          <t>North</t>
        </is>
      </c>
    </row>
    <row r="1135">
      <c r="A1135" s="2" t="inlineStr">
        <is>
          <t>C0244</t>
        </is>
      </c>
      <c r="B1135" s="2" t="inlineStr">
        <is>
          <t>Kerala</t>
        </is>
      </c>
      <c r="C1135" s="2" t="inlineStr">
        <is>
          <t>Thiruvananthapuram</t>
        </is>
      </c>
      <c r="D1135" s="2" t="inlineStr">
        <is>
          <t>South</t>
        </is>
      </c>
    </row>
    <row r="1136">
      <c r="A1136" s="2" t="inlineStr">
        <is>
          <t>C0244</t>
        </is>
      </c>
      <c r="B1136" s="2" t="inlineStr">
        <is>
          <t>Goa</t>
        </is>
      </c>
      <c r="C1136" s="2" t="inlineStr">
        <is>
          <t>Margao</t>
        </is>
      </c>
      <c r="D1136" s="2" t="inlineStr">
        <is>
          <t>West</t>
        </is>
      </c>
    </row>
    <row r="1137">
      <c r="A1137" s="2" t="inlineStr">
        <is>
          <t>C0244</t>
        </is>
      </c>
      <c r="B1137" s="2" t="inlineStr">
        <is>
          <t>Goa</t>
        </is>
      </c>
      <c r="C1137" s="2" t="inlineStr">
        <is>
          <t>Panaji</t>
        </is>
      </c>
      <c r="D1137" s="2" t="inlineStr">
        <is>
          <t>West</t>
        </is>
      </c>
    </row>
    <row r="1138">
      <c r="A1138" s="2" t="inlineStr">
        <is>
          <t>C0244</t>
        </is>
      </c>
      <c r="B1138" s="2" t="inlineStr">
        <is>
          <t>Haryana</t>
        </is>
      </c>
      <c r="C1138" s="2" t="inlineStr">
        <is>
          <t>Gurugram</t>
        </is>
      </c>
      <c r="D1138" s="2" t="inlineStr">
        <is>
          <t>North</t>
        </is>
      </c>
    </row>
    <row r="1139">
      <c r="A1139" s="2" t="inlineStr">
        <is>
          <t>C0245</t>
        </is>
      </c>
      <c r="B1139" s="2" t="inlineStr">
        <is>
          <t>Odisha</t>
        </is>
      </c>
      <c r="C1139" s="2" t="inlineStr">
        <is>
          <t>Cuttack</t>
        </is>
      </c>
      <c r="D1139" s="2" t="inlineStr">
        <is>
          <t>East</t>
        </is>
      </c>
    </row>
    <row r="1140">
      <c r="A1140" s="2" t="inlineStr">
        <is>
          <t>C0245</t>
        </is>
      </c>
      <c r="B1140" s="2" t="inlineStr">
        <is>
          <t>Kerala</t>
        </is>
      </c>
      <c r="C1140" s="2" t="inlineStr">
        <is>
          <t>Thiruvananthapuram</t>
        </is>
      </c>
      <c r="D1140" s="2" t="inlineStr">
        <is>
          <t>South</t>
        </is>
      </c>
    </row>
    <row r="1141">
      <c r="A1141" s="2" t="inlineStr">
        <is>
          <t>C0246</t>
        </is>
      </c>
      <c r="B1141" s="2" t="inlineStr">
        <is>
          <t>Uttar Pradesh</t>
        </is>
      </c>
      <c r="C1141" s="2" t="inlineStr">
        <is>
          <t>Varanasi</t>
        </is>
      </c>
      <c r="D1141" s="2" t="inlineStr">
        <is>
          <t>North</t>
        </is>
      </c>
    </row>
    <row r="1142">
      <c r="A1142" s="2" t="inlineStr">
        <is>
          <t>C0246</t>
        </is>
      </c>
      <c r="B1142" s="2" t="inlineStr">
        <is>
          <t>Punjab</t>
        </is>
      </c>
      <c r="C1142" s="2" t="inlineStr">
        <is>
          <t>Jalandhar</t>
        </is>
      </c>
      <c r="D1142" s="2" t="inlineStr">
        <is>
          <t>North</t>
        </is>
      </c>
    </row>
    <row r="1143">
      <c r="A1143" s="2" t="inlineStr">
        <is>
          <t>C0246</t>
        </is>
      </c>
      <c r="B1143" s="2" t="inlineStr">
        <is>
          <t>Bihar</t>
        </is>
      </c>
      <c r="C1143" s="2" t="inlineStr">
        <is>
          <t>Patna</t>
        </is>
      </c>
      <c r="D1143" s="2" t="inlineStr">
        <is>
          <t>East</t>
        </is>
      </c>
    </row>
    <row r="1144">
      <c r="A1144" s="2" t="inlineStr">
        <is>
          <t>C0246</t>
        </is>
      </c>
      <c r="B1144" s="2" t="inlineStr">
        <is>
          <t>Goa</t>
        </is>
      </c>
      <c r="C1144" s="2" t="inlineStr">
        <is>
          <t>Margao</t>
        </is>
      </c>
      <c r="D1144" s="2" t="inlineStr">
        <is>
          <t>West</t>
        </is>
      </c>
    </row>
    <row r="1145">
      <c r="A1145" s="2" t="inlineStr">
        <is>
          <t>C0247</t>
        </is>
      </c>
      <c r="B1145" s="2" t="inlineStr">
        <is>
          <t>Telangana</t>
        </is>
      </c>
      <c r="C1145" s="2" t="inlineStr">
        <is>
          <t>Hyderabad</t>
        </is>
      </c>
      <c r="D1145" s="2" t="inlineStr">
        <is>
          <t>South</t>
        </is>
      </c>
    </row>
    <row r="1146">
      <c r="A1146" s="2" t="inlineStr">
        <is>
          <t>C0247</t>
        </is>
      </c>
      <c r="B1146" s="2" t="inlineStr">
        <is>
          <t>Tamil Nadu</t>
        </is>
      </c>
      <c r="C1146" s="2" t="inlineStr">
        <is>
          <t>Coimbatore</t>
        </is>
      </c>
      <c r="D1146" s="2" t="inlineStr">
        <is>
          <t>South</t>
        </is>
      </c>
    </row>
    <row r="1147">
      <c r="A1147" s="2" t="inlineStr">
        <is>
          <t>C0249</t>
        </is>
      </c>
      <c r="B1147" s="2" t="inlineStr">
        <is>
          <t>Tamil Nadu</t>
        </is>
      </c>
      <c r="C1147" s="2" t="inlineStr">
        <is>
          <t>Madurai</t>
        </is>
      </c>
      <c r="D1147" s="2" t="inlineStr">
        <is>
          <t>South</t>
        </is>
      </c>
    </row>
    <row r="1148">
      <c r="A1148" s="2" t="inlineStr">
        <is>
          <t>C0249</t>
        </is>
      </c>
      <c r="B1148" s="2" t="inlineStr">
        <is>
          <t>Gujarat</t>
        </is>
      </c>
      <c r="C1148" s="2" t="inlineStr">
        <is>
          <t>Vadodara</t>
        </is>
      </c>
      <c r="D1148" s="2" t="inlineStr">
        <is>
          <t>West</t>
        </is>
      </c>
    </row>
    <row r="1149">
      <c r="A1149" s="2" t="inlineStr">
        <is>
          <t>C0249</t>
        </is>
      </c>
      <c r="B1149" s="2" t="inlineStr">
        <is>
          <t>Tamil Nadu</t>
        </is>
      </c>
      <c r="C1149" s="2" t="inlineStr">
        <is>
          <t>Coimbatore</t>
        </is>
      </c>
      <c r="D1149" s="2" t="inlineStr">
        <is>
          <t>South</t>
        </is>
      </c>
    </row>
    <row r="1150">
      <c r="A1150" s="2" t="inlineStr">
        <is>
          <t>C0249</t>
        </is>
      </c>
      <c r="B1150" s="2" t="inlineStr">
        <is>
          <t>Maharashtra</t>
        </is>
      </c>
      <c r="C1150" s="2" t="inlineStr">
        <is>
          <t>Mumbai</t>
        </is>
      </c>
      <c r="D1150" s="2" t="inlineStr">
        <is>
          <t>West</t>
        </is>
      </c>
    </row>
    <row r="1151">
      <c r="A1151" s="2" t="inlineStr">
        <is>
          <t>C0249</t>
        </is>
      </c>
      <c r="B1151" s="2" t="inlineStr">
        <is>
          <t>Uttar Pradesh</t>
        </is>
      </c>
      <c r="C1151" s="2" t="inlineStr">
        <is>
          <t>Varanasi</t>
        </is>
      </c>
      <c r="D1151" s="2" t="inlineStr">
        <is>
          <t>North</t>
        </is>
      </c>
    </row>
    <row r="1152">
      <c r="A1152" s="2" t="inlineStr">
        <is>
          <t>C0249</t>
        </is>
      </c>
      <c r="B1152" s="2" t="inlineStr">
        <is>
          <t>Goa</t>
        </is>
      </c>
      <c r="C1152" s="2" t="inlineStr">
        <is>
          <t>Margao</t>
        </is>
      </c>
      <c r="D1152" s="2" t="inlineStr">
        <is>
          <t>West</t>
        </is>
      </c>
    </row>
    <row r="1153">
      <c r="A1153" s="2" t="inlineStr">
        <is>
          <t>C0249</t>
        </is>
      </c>
      <c r="B1153" s="2" t="inlineStr">
        <is>
          <t>Tamil Nadu</t>
        </is>
      </c>
      <c r="C1153" s="2" t="inlineStr">
        <is>
          <t>Chennai</t>
        </is>
      </c>
      <c r="D1153" s="2" t="inlineStr">
        <is>
          <t>South</t>
        </is>
      </c>
    </row>
    <row r="1154">
      <c r="A1154" s="2" t="inlineStr">
        <is>
          <t>C0249</t>
        </is>
      </c>
      <c r="B1154" s="2" t="inlineStr">
        <is>
          <t>Haryana</t>
        </is>
      </c>
      <c r="C1154" s="2" t="inlineStr">
        <is>
          <t>Faridabad</t>
        </is>
      </c>
      <c r="D1154" s="2" t="inlineStr">
        <is>
          <t>North</t>
        </is>
      </c>
    </row>
    <row r="1155">
      <c r="A1155" s="2" t="inlineStr">
        <is>
          <t>C0249</t>
        </is>
      </c>
      <c r="B1155" s="2" t="inlineStr">
        <is>
          <t>Telangana</t>
        </is>
      </c>
      <c r="C1155" s="2" t="inlineStr">
        <is>
          <t>Warangal</t>
        </is>
      </c>
      <c r="D1155" s="2" t="inlineStr">
        <is>
          <t>South</t>
        </is>
      </c>
    </row>
    <row r="1156">
      <c r="A1156" s="2" t="inlineStr">
        <is>
          <t>C0249</t>
        </is>
      </c>
      <c r="B1156" s="2" t="inlineStr">
        <is>
          <t>Bihar</t>
        </is>
      </c>
      <c r="C1156" s="2" t="inlineStr">
        <is>
          <t>Patna</t>
        </is>
      </c>
      <c r="D1156" s="2" t="inlineStr">
        <is>
          <t>East</t>
        </is>
      </c>
    </row>
    <row r="1157">
      <c r="A1157" s="2" t="inlineStr">
        <is>
          <t>C0249</t>
        </is>
      </c>
      <c r="B1157" s="2" t="inlineStr">
        <is>
          <t>Karnataka</t>
        </is>
      </c>
      <c r="C1157" s="2" t="inlineStr">
        <is>
          <t>Mangaluru</t>
        </is>
      </c>
      <c r="D1157" s="2" t="inlineStr">
        <is>
          <t>South</t>
        </is>
      </c>
    </row>
    <row r="1158">
      <c r="A1158" s="2" t="inlineStr">
        <is>
          <t>C0249</t>
        </is>
      </c>
      <c r="B1158" s="2" t="inlineStr">
        <is>
          <t>Telangana</t>
        </is>
      </c>
      <c r="C1158" s="2" t="inlineStr">
        <is>
          <t>Hyderabad</t>
        </is>
      </c>
      <c r="D1158" s="2" t="inlineStr">
        <is>
          <t>South</t>
        </is>
      </c>
    </row>
    <row r="1159">
      <c r="A1159" s="2" t="inlineStr">
        <is>
          <t>C0250</t>
        </is>
      </c>
      <c r="B1159" s="2" t="inlineStr">
        <is>
          <t>Maharashtra</t>
        </is>
      </c>
      <c r="C1159" s="2" t="inlineStr">
        <is>
          <t>Nagpur</t>
        </is>
      </c>
      <c r="D1159" s="2" t="inlineStr">
        <is>
          <t>West</t>
        </is>
      </c>
    </row>
    <row r="1160">
      <c r="A1160" s="2" t="inlineStr">
        <is>
          <t>C0250</t>
        </is>
      </c>
      <c r="B1160" s="2" t="inlineStr">
        <is>
          <t>Gujarat</t>
        </is>
      </c>
      <c r="C1160" s="2" t="inlineStr">
        <is>
          <t>Ahmedabad</t>
        </is>
      </c>
      <c r="D1160" s="2" t="inlineStr">
        <is>
          <t>West</t>
        </is>
      </c>
    </row>
    <row r="1161">
      <c r="A1161" s="2" t="inlineStr">
        <is>
          <t>C0250</t>
        </is>
      </c>
      <c r="B1161" s="2" t="inlineStr">
        <is>
          <t>Maharashtra</t>
        </is>
      </c>
      <c r="C1161" s="2" t="inlineStr">
        <is>
          <t>Pune</t>
        </is>
      </c>
      <c r="D1161" s="2" t="inlineStr">
        <is>
          <t>West</t>
        </is>
      </c>
    </row>
    <row r="1162">
      <c r="A1162" s="2" t="inlineStr">
        <is>
          <t>C0250</t>
        </is>
      </c>
      <c r="B1162" s="2" t="inlineStr">
        <is>
          <t>Delhi</t>
        </is>
      </c>
      <c r="C1162" s="2" t="inlineStr">
        <is>
          <t>New Delhi</t>
        </is>
      </c>
      <c r="D1162" s="2" t="inlineStr">
        <is>
          <t>North</t>
        </is>
      </c>
    </row>
    <row r="1163">
      <c r="A1163" s="2" t="inlineStr">
        <is>
          <t>C0251</t>
        </is>
      </c>
      <c r="B1163" s="2" t="inlineStr">
        <is>
          <t>Gujarat</t>
        </is>
      </c>
      <c r="C1163" s="2" t="inlineStr">
        <is>
          <t>Ahmedabad</t>
        </is>
      </c>
      <c r="D1163" s="2" t="inlineStr">
        <is>
          <t>West</t>
        </is>
      </c>
    </row>
    <row r="1164">
      <c r="A1164" s="2" t="inlineStr">
        <is>
          <t>C0251</t>
        </is>
      </c>
      <c r="B1164" s="2" t="inlineStr">
        <is>
          <t>Delhi</t>
        </is>
      </c>
      <c r="C1164" s="2" t="inlineStr">
        <is>
          <t>New Delhi</t>
        </is>
      </c>
      <c r="D1164" s="2" t="inlineStr">
        <is>
          <t>North</t>
        </is>
      </c>
    </row>
    <row r="1165">
      <c r="A1165" s="2" t="inlineStr">
        <is>
          <t>C0252</t>
        </is>
      </c>
      <c r="B1165" s="2" t="inlineStr">
        <is>
          <t>Kerala</t>
        </is>
      </c>
      <c r="C1165" s="2" t="inlineStr">
        <is>
          <t>Thiruvananthapuram</t>
        </is>
      </c>
      <c r="D1165" s="2" t="inlineStr">
        <is>
          <t>South</t>
        </is>
      </c>
    </row>
    <row r="1166">
      <c r="A1166" s="2" t="inlineStr">
        <is>
          <t>C0252</t>
        </is>
      </c>
      <c r="B1166" s="2" t="inlineStr">
        <is>
          <t>Maharashtra</t>
        </is>
      </c>
      <c r="C1166" s="2" t="inlineStr">
        <is>
          <t>Pune</t>
        </is>
      </c>
      <c r="D1166" s="2" t="inlineStr">
        <is>
          <t>West</t>
        </is>
      </c>
    </row>
    <row r="1167">
      <c r="A1167" s="2" t="inlineStr">
        <is>
          <t>C0252</t>
        </is>
      </c>
      <c r="B1167" s="2" t="inlineStr">
        <is>
          <t>Delhi</t>
        </is>
      </c>
      <c r="C1167" s="2" t="inlineStr">
        <is>
          <t>New Delhi</t>
        </is>
      </c>
      <c r="D1167" s="2" t="inlineStr">
        <is>
          <t>North</t>
        </is>
      </c>
    </row>
    <row r="1168">
      <c r="A1168" s="2" t="inlineStr">
        <is>
          <t>C0252</t>
        </is>
      </c>
      <c r="B1168" s="2" t="inlineStr">
        <is>
          <t>West Bengal</t>
        </is>
      </c>
      <c r="C1168" s="2" t="inlineStr">
        <is>
          <t>Durgapur</t>
        </is>
      </c>
      <c r="D1168" s="2" t="inlineStr">
        <is>
          <t>East</t>
        </is>
      </c>
    </row>
    <row r="1169">
      <c r="A1169" s="2" t="inlineStr">
        <is>
          <t>C0252</t>
        </is>
      </c>
      <c r="B1169" s="2" t="inlineStr">
        <is>
          <t>Gujarat</t>
        </is>
      </c>
      <c r="C1169" s="2" t="inlineStr">
        <is>
          <t>Surat</t>
        </is>
      </c>
      <c r="D1169" s="2" t="inlineStr">
        <is>
          <t>West</t>
        </is>
      </c>
    </row>
    <row r="1170">
      <c r="A1170" s="2" t="inlineStr">
        <is>
          <t>C0252</t>
        </is>
      </c>
      <c r="B1170" s="2" t="inlineStr">
        <is>
          <t>Goa</t>
        </is>
      </c>
      <c r="C1170" s="2" t="inlineStr">
        <is>
          <t>Panaji</t>
        </is>
      </c>
      <c r="D1170" s="2" t="inlineStr">
        <is>
          <t>West</t>
        </is>
      </c>
    </row>
    <row r="1171">
      <c r="A1171" s="2" t="inlineStr">
        <is>
          <t>C0252</t>
        </is>
      </c>
      <c r="B1171" s="2" t="inlineStr">
        <is>
          <t>Bihar</t>
        </is>
      </c>
      <c r="C1171" s="2" t="inlineStr">
        <is>
          <t>Patna</t>
        </is>
      </c>
      <c r="D1171" s="2" t="inlineStr">
        <is>
          <t>East</t>
        </is>
      </c>
    </row>
    <row r="1172">
      <c r="A1172" s="2" t="inlineStr">
        <is>
          <t>C0253</t>
        </is>
      </c>
      <c r="B1172" s="2" t="inlineStr">
        <is>
          <t>Uttar Pradesh</t>
        </is>
      </c>
      <c r="C1172" s="2" t="inlineStr">
        <is>
          <t>Noida</t>
        </is>
      </c>
      <c r="D1172" s="2" t="inlineStr">
        <is>
          <t>North</t>
        </is>
      </c>
    </row>
    <row r="1173">
      <c r="A1173" s="2" t="inlineStr">
        <is>
          <t>C0253</t>
        </is>
      </c>
      <c r="B1173" s="2" t="inlineStr">
        <is>
          <t>Tamil Nadu</t>
        </is>
      </c>
      <c r="C1173" s="2" t="inlineStr">
        <is>
          <t>Madurai</t>
        </is>
      </c>
      <c r="D1173" s="2" t="inlineStr">
        <is>
          <t>South</t>
        </is>
      </c>
    </row>
    <row r="1174">
      <c r="A1174" s="2" t="inlineStr">
        <is>
          <t>C0253</t>
        </is>
      </c>
      <c r="B1174" s="2" t="inlineStr">
        <is>
          <t>Uttar Pradesh</t>
        </is>
      </c>
      <c r="C1174" s="2" t="inlineStr">
        <is>
          <t>Varanasi</t>
        </is>
      </c>
      <c r="D1174" s="2" t="inlineStr">
        <is>
          <t>North</t>
        </is>
      </c>
    </row>
    <row r="1175">
      <c r="A1175" s="2" t="inlineStr">
        <is>
          <t>C0253</t>
        </is>
      </c>
      <c r="B1175" s="2" t="inlineStr">
        <is>
          <t>Odisha</t>
        </is>
      </c>
      <c r="C1175" s="2" t="inlineStr">
        <is>
          <t>Bhubaneswar</t>
        </is>
      </c>
      <c r="D1175" s="2" t="inlineStr">
        <is>
          <t>East</t>
        </is>
      </c>
    </row>
    <row r="1176">
      <c r="A1176" s="2" t="inlineStr">
        <is>
          <t>C0253</t>
        </is>
      </c>
      <c r="B1176" s="2" t="inlineStr">
        <is>
          <t>Haryana</t>
        </is>
      </c>
      <c r="C1176" s="2" t="inlineStr">
        <is>
          <t>Faridabad</t>
        </is>
      </c>
      <c r="D1176" s="2" t="inlineStr">
        <is>
          <t>North</t>
        </is>
      </c>
    </row>
    <row r="1177">
      <c r="A1177" s="2" t="inlineStr">
        <is>
          <t>C0253</t>
        </is>
      </c>
      <c r="B1177" s="2" t="inlineStr">
        <is>
          <t>Kerala</t>
        </is>
      </c>
      <c r="C1177" s="2" t="inlineStr">
        <is>
          <t>Thiruvananthapuram</t>
        </is>
      </c>
      <c r="D1177" s="2" t="inlineStr">
        <is>
          <t>South</t>
        </is>
      </c>
    </row>
    <row r="1178">
      <c r="A1178" s="2" t="inlineStr">
        <is>
          <t>C0253</t>
        </is>
      </c>
      <c r="B1178" s="2" t="inlineStr">
        <is>
          <t>West Bengal</t>
        </is>
      </c>
      <c r="C1178" s="2" t="inlineStr">
        <is>
          <t>Kolkata</t>
        </is>
      </c>
      <c r="D1178" s="2" t="inlineStr">
        <is>
          <t>East</t>
        </is>
      </c>
    </row>
    <row r="1179">
      <c r="A1179" s="2" t="inlineStr">
        <is>
          <t>C0253</t>
        </is>
      </c>
      <c r="B1179" s="2" t="inlineStr">
        <is>
          <t>Goa</t>
        </is>
      </c>
      <c r="C1179" s="2" t="inlineStr">
        <is>
          <t>Margao</t>
        </is>
      </c>
      <c r="D1179" s="2" t="inlineStr">
        <is>
          <t>West</t>
        </is>
      </c>
    </row>
    <row r="1180">
      <c r="A1180" s="2" t="inlineStr">
        <is>
          <t>C0253</t>
        </is>
      </c>
      <c r="B1180" s="2" t="inlineStr">
        <is>
          <t>West Bengal</t>
        </is>
      </c>
      <c r="C1180" s="2" t="inlineStr">
        <is>
          <t>Durgapur</t>
        </is>
      </c>
      <c r="D1180" s="2" t="inlineStr">
        <is>
          <t>East</t>
        </is>
      </c>
    </row>
    <row r="1181">
      <c r="A1181" s="2" t="inlineStr">
        <is>
          <t>C0253</t>
        </is>
      </c>
      <c r="B1181" s="2" t="inlineStr">
        <is>
          <t>Karnataka</t>
        </is>
      </c>
      <c r="C1181" s="2" t="inlineStr">
        <is>
          <t>Mangaluru</t>
        </is>
      </c>
      <c r="D1181" s="2" t="inlineStr">
        <is>
          <t>South</t>
        </is>
      </c>
    </row>
    <row r="1182">
      <c r="A1182" s="2" t="inlineStr">
        <is>
          <t>C0254</t>
        </is>
      </c>
      <c r="B1182" s="2" t="inlineStr">
        <is>
          <t>Tamil Nadu</t>
        </is>
      </c>
      <c r="C1182" s="2" t="inlineStr">
        <is>
          <t>Chennai</t>
        </is>
      </c>
      <c r="D1182" s="2" t="inlineStr">
        <is>
          <t>South</t>
        </is>
      </c>
    </row>
    <row r="1183">
      <c r="A1183" s="2" t="inlineStr">
        <is>
          <t>C0254</t>
        </is>
      </c>
      <c r="B1183" s="2" t="inlineStr">
        <is>
          <t>Uttar Pradesh</t>
        </is>
      </c>
      <c r="C1183" s="2" t="inlineStr">
        <is>
          <t>Noida</t>
        </is>
      </c>
      <c r="D1183" s="2" t="inlineStr">
        <is>
          <t>North</t>
        </is>
      </c>
    </row>
    <row r="1184">
      <c r="A1184" s="2" t="inlineStr">
        <is>
          <t>C0254</t>
        </is>
      </c>
      <c r="B1184" s="2" t="inlineStr">
        <is>
          <t>Gujarat</t>
        </is>
      </c>
      <c r="C1184" s="2" t="inlineStr">
        <is>
          <t>Surat</t>
        </is>
      </c>
      <c r="D1184" s="2" t="inlineStr">
        <is>
          <t>West</t>
        </is>
      </c>
    </row>
    <row r="1185">
      <c r="A1185" s="2" t="inlineStr">
        <is>
          <t>C0254</t>
        </is>
      </c>
      <c r="B1185" s="2" t="inlineStr">
        <is>
          <t>Maharashtra</t>
        </is>
      </c>
      <c r="C1185" s="2" t="inlineStr">
        <is>
          <t>Nagpur</t>
        </is>
      </c>
      <c r="D1185" s="2" t="inlineStr">
        <is>
          <t>West</t>
        </is>
      </c>
    </row>
    <row r="1186">
      <c r="A1186" s="2" t="inlineStr">
        <is>
          <t>C0254</t>
        </is>
      </c>
      <c r="B1186" s="2" t="inlineStr">
        <is>
          <t>Haryana</t>
        </is>
      </c>
      <c r="C1186" s="2" t="inlineStr">
        <is>
          <t>Gurugram</t>
        </is>
      </c>
      <c r="D1186" s="2" t="inlineStr">
        <is>
          <t>North</t>
        </is>
      </c>
    </row>
    <row r="1187">
      <c r="A1187" s="2" t="inlineStr">
        <is>
          <t>C0255</t>
        </is>
      </c>
      <c r="B1187" s="2" t="inlineStr">
        <is>
          <t>Tamil Nadu</t>
        </is>
      </c>
      <c r="C1187" s="2" t="inlineStr">
        <is>
          <t>Coimbatore</t>
        </is>
      </c>
      <c r="D1187" s="2" t="inlineStr">
        <is>
          <t>South</t>
        </is>
      </c>
    </row>
    <row r="1188">
      <c r="A1188" s="2" t="inlineStr">
        <is>
          <t>C0255</t>
        </is>
      </c>
      <c r="B1188" s="2" t="inlineStr">
        <is>
          <t>West Bengal</t>
        </is>
      </c>
      <c r="C1188" s="2" t="inlineStr">
        <is>
          <t>Durgapur</t>
        </is>
      </c>
      <c r="D1188" s="2" t="inlineStr">
        <is>
          <t>East</t>
        </is>
      </c>
    </row>
    <row r="1189">
      <c r="A1189" s="2" t="inlineStr">
        <is>
          <t>C0255</t>
        </is>
      </c>
      <c r="B1189" s="2" t="inlineStr">
        <is>
          <t>Punjab</t>
        </is>
      </c>
      <c r="C1189" s="2" t="inlineStr">
        <is>
          <t>Amritsar</t>
        </is>
      </c>
      <c r="D1189" s="2" t="inlineStr">
        <is>
          <t>North</t>
        </is>
      </c>
    </row>
    <row r="1190">
      <c r="A1190" s="2" t="inlineStr">
        <is>
          <t>C0255</t>
        </is>
      </c>
      <c r="B1190" s="2" t="inlineStr">
        <is>
          <t>Bihar</t>
        </is>
      </c>
      <c r="C1190" s="2" t="inlineStr">
        <is>
          <t>Patna</t>
        </is>
      </c>
      <c r="D1190" s="2" t="inlineStr">
        <is>
          <t>East</t>
        </is>
      </c>
    </row>
    <row r="1191">
      <c r="A1191" s="2" t="inlineStr">
        <is>
          <t>C0255</t>
        </is>
      </c>
      <c r="B1191" s="2" t="inlineStr">
        <is>
          <t>Haryana</t>
        </is>
      </c>
      <c r="C1191" s="2" t="inlineStr">
        <is>
          <t>Gurugram</t>
        </is>
      </c>
      <c r="D1191" s="2" t="inlineStr">
        <is>
          <t>North</t>
        </is>
      </c>
    </row>
    <row r="1192">
      <c r="A1192" s="2" t="inlineStr">
        <is>
          <t>C0255</t>
        </is>
      </c>
      <c r="B1192" s="2" t="inlineStr">
        <is>
          <t>Odisha</t>
        </is>
      </c>
      <c r="C1192" s="2" t="inlineStr">
        <is>
          <t>Bhubaneswar</t>
        </is>
      </c>
      <c r="D1192" s="2" t="inlineStr">
        <is>
          <t>East</t>
        </is>
      </c>
    </row>
    <row r="1193">
      <c r="A1193" s="2" t="inlineStr">
        <is>
          <t>C0255</t>
        </is>
      </c>
      <c r="B1193" s="2" t="inlineStr">
        <is>
          <t>Kerala</t>
        </is>
      </c>
      <c r="C1193" s="2" t="inlineStr">
        <is>
          <t>Thiruvananthapuram</t>
        </is>
      </c>
      <c r="D1193" s="2" t="inlineStr">
        <is>
          <t>South</t>
        </is>
      </c>
    </row>
    <row r="1194">
      <c r="A1194" s="2" t="inlineStr">
        <is>
          <t>C0255</t>
        </is>
      </c>
      <c r="B1194" s="2" t="inlineStr">
        <is>
          <t>Gujarat</t>
        </is>
      </c>
      <c r="C1194" s="2" t="inlineStr">
        <is>
          <t>Vadodara</t>
        </is>
      </c>
      <c r="D1194" s="2" t="inlineStr">
        <is>
          <t>West</t>
        </is>
      </c>
    </row>
    <row r="1195">
      <c r="A1195" s="2" t="inlineStr">
        <is>
          <t>C0255</t>
        </is>
      </c>
      <c r="B1195" s="2" t="inlineStr">
        <is>
          <t>Goa</t>
        </is>
      </c>
      <c r="C1195" s="2" t="inlineStr">
        <is>
          <t>Panaji</t>
        </is>
      </c>
      <c r="D1195" s="2" t="inlineStr">
        <is>
          <t>West</t>
        </is>
      </c>
    </row>
    <row r="1196">
      <c r="A1196" s="2" t="inlineStr">
        <is>
          <t>C0255</t>
        </is>
      </c>
      <c r="B1196" s="2" t="inlineStr">
        <is>
          <t>Maharashtra</t>
        </is>
      </c>
      <c r="C1196" s="2" t="inlineStr">
        <is>
          <t>Mumbai</t>
        </is>
      </c>
      <c r="D1196" s="2" t="inlineStr">
        <is>
          <t>West</t>
        </is>
      </c>
    </row>
    <row r="1197">
      <c r="A1197" s="2" t="inlineStr">
        <is>
          <t>C0255</t>
        </is>
      </c>
      <c r="B1197" s="2" t="inlineStr">
        <is>
          <t>Delhi</t>
        </is>
      </c>
      <c r="C1197" s="2" t="inlineStr">
        <is>
          <t>New Delhi</t>
        </is>
      </c>
      <c r="D1197" s="2" t="inlineStr">
        <is>
          <t>North</t>
        </is>
      </c>
    </row>
    <row r="1198">
      <c r="A1198" s="2" t="inlineStr">
        <is>
          <t>C0255</t>
        </is>
      </c>
      <c r="B1198" s="2" t="inlineStr">
        <is>
          <t>Maharashtra</t>
        </is>
      </c>
      <c r="C1198" s="2" t="inlineStr">
        <is>
          <t>Pune</t>
        </is>
      </c>
      <c r="D1198" s="2" t="inlineStr">
        <is>
          <t>West</t>
        </is>
      </c>
    </row>
    <row r="1199">
      <c r="A1199" s="2" t="inlineStr">
        <is>
          <t>C0256</t>
        </is>
      </c>
      <c r="B1199" s="2" t="inlineStr">
        <is>
          <t>Odisha</t>
        </is>
      </c>
      <c r="C1199" s="2" t="inlineStr">
        <is>
          <t>Cuttack</t>
        </is>
      </c>
      <c r="D1199" s="2" t="inlineStr">
        <is>
          <t>East</t>
        </is>
      </c>
    </row>
    <row r="1200">
      <c r="A1200" s="2" t="inlineStr">
        <is>
          <t>C0256</t>
        </is>
      </c>
      <c r="B1200" s="2" t="inlineStr">
        <is>
          <t>Punjab</t>
        </is>
      </c>
      <c r="C1200" s="2" t="inlineStr">
        <is>
          <t>Amritsar</t>
        </is>
      </c>
      <c r="D1200" s="2" t="inlineStr">
        <is>
          <t>North</t>
        </is>
      </c>
    </row>
    <row r="1201">
      <c r="A1201" s="2" t="inlineStr">
        <is>
          <t>C0256</t>
        </is>
      </c>
      <c r="B1201" s="2" t="inlineStr">
        <is>
          <t>Delhi</t>
        </is>
      </c>
      <c r="C1201" s="2" t="inlineStr">
        <is>
          <t>New Delhi</t>
        </is>
      </c>
      <c r="D1201" s="2" t="inlineStr">
        <is>
          <t>North</t>
        </is>
      </c>
    </row>
    <row r="1202">
      <c r="A1202" s="2" t="inlineStr">
        <is>
          <t>C0256</t>
        </is>
      </c>
      <c r="B1202" s="2" t="inlineStr">
        <is>
          <t>Tamil Nadu</t>
        </is>
      </c>
      <c r="C1202" s="2" t="inlineStr">
        <is>
          <t>Coimbatore</t>
        </is>
      </c>
      <c r="D1202" s="2" t="inlineStr">
        <is>
          <t>South</t>
        </is>
      </c>
    </row>
    <row r="1203">
      <c r="A1203" s="2" t="inlineStr">
        <is>
          <t>C0256</t>
        </is>
      </c>
      <c r="B1203" s="2" t="inlineStr">
        <is>
          <t>Kerala</t>
        </is>
      </c>
      <c r="C1203" s="2" t="inlineStr">
        <is>
          <t>Thiruvananthapuram</t>
        </is>
      </c>
      <c r="D1203" s="2" t="inlineStr">
        <is>
          <t>South</t>
        </is>
      </c>
    </row>
    <row r="1204">
      <c r="A1204" s="2" t="inlineStr">
        <is>
          <t>C0257</t>
        </is>
      </c>
      <c r="B1204" s="2" t="inlineStr">
        <is>
          <t>Maharashtra</t>
        </is>
      </c>
      <c r="C1204" s="2" t="inlineStr">
        <is>
          <t>Nagpur</t>
        </is>
      </c>
      <c r="D1204" s="2" t="inlineStr">
        <is>
          <t>West</t>
        </is>
      </c>
    </row>
    <row r="1205">
      <c r="A1205" s="2" t="inlineStr">
        <is>
          <t>C0258</t>
        </is>
      </c>
      <c r="B1205" s="2" t="inlineStr">
        <is>
          <t>Goa</t>
        </is>
      </c>
      <c r="C1205" s="2" t="inlineStr">
        <is>
          <t>Margao</t>
        </is>
      </c>
      <c r="D1205" s="2" t="inlineStr">
        <is>
          <t>West</t>
        </is>
      </c>
    </row>
    <row r="1206">
      <c r="A1206" s="2" t="inlineStr">
        <is>
          <t>C0258</t>
        </is>
      </c>
      <c r="B1206" s="2" t="inlineStr">
        <is>
          <t>West Bengal</t>
        </is>
      </c>
      <c r="C1206" s="2" t="inlineStr">
        <is>
          <t>Durgapur</t>
        </is>
      </c>
      <c r="D1206" s="2" t="inlineStr">
        <is>
          <t>East</t>
        </is>
      </c>
    </row>
    <row r="1207">
      <c r="A1207" s="2" t="inlineStr">
        <is>
          <t>C0258</t>
        </is>
      </c>
      <c r="B1207" s="2" t="inlineStr">
        <is>
          <t>Delhi</t>
        </is>
      </c>
      <c r="C1207" s="2" t="inlineStr">
        <is>
          <t>New Delhi</t>
        </is>
      </c>
      <c r="D1207" s="2" t="inlineStr">
        <is>
          <t>North</t>
        </is>
      </c>
    </row>
    <row r="1208">
      <c r="A1208" s="2" t="inlineStr">
        <is>
          <t>C0258</t>
        </is>
      </c>
      <c r="B1208" s="2" t="inlineStr">
        <is>
          <t>Kerala</t>
        </is>
      </c>
      <c r="C1208" s="2" t="inlineStr">
        <is>
          <t>Thiruvananthapuram</t>
        </is>
      </c>
      <c r="D1208" s="2" t="inlineStr">
        <is>
          <t>South</t>
        </is>
      </c>
    </row>
    <row r="1209">
      <c r="A1209" s="2" t="inlineStr">
        <is>
          <t>C0258</t>
        </is>
      </c>
      <c r="B1209" s="2" t="inlineStr">
        <is>
          <t>Bihar</t>
        </is>
      </c>
      <c r="C1209" s="2" t="inlineStr">
        <is>
          <t>Patna</t>
        </is>
      </c>
      <c r="D1209" s="2" t="inlineStr">
        <is>
          <t>East</t>
        </is>
      </c>
    </row>
    <row r="1210">
      <c r="A1210" s="2" t="inlineStr">
        <is>
          <t>C0258</t>
        </is>
      </c>
      <c r="B1210" s="2" t="inlineStr">
        <is>
          <t>Kerala</t>
        </is>
      </c>
      <c r="C1210" s="2" t="inlineStr">
        <is>
          <t>Kochi</t>
        </is>
      </c>
      <c r="D1210" s="2" t="inlineStr">
        <is>
          <t>South</t>
        </is>
      </c>
    </row>
    <row r="1211">
      <c r="A1211" s="2" t="inlineStr">
        <is>
          <t>C0258</t>
        </is>
      </c>
      <c r="B1211" s="2" t="inlineStr">
        <is>
          <t>Tamil Nadu</t>
        </is>
      </c>
      <c r="C1211" s="2" t="inlineStr">
        <is>
          <t>Chennai</t>
        </is>
      </c>
      <c r="D1211" s="2" t="inlineStr">
        <is>
          <t>South</t>
        </is>
      </c>
    </row>
    <row r="1212">
      <c r="A1212" s="2" t="inlineStr">
        <is>
          <t>C0258</t>
        </is>
      </c>
      <c r="B1212" s="2" t="inlineStr">
        <is>
          <t>West Bengal</t>
        </is>
      </c>
      <c r="C1212" s="2" t="inlineStr">
        <is>
          <t>Kolkata</t>
        </is>
      </c>
      <c r="D1212" s="2" t="inlineStr">
        <is>
          <t>East</t>
        </is>
      </c>
    </row>
    <row r="1213">
      <c r="A1213" s="2" t="inlineStr">
        <is>
          <t>C0259</t>
        </is>
      </c>
      <c r="B1213" s="2" t="inlineStr">
        <is>
          <t>Punjab</t>
        </is>
      </c>
      <c r="C1213" s="2" t="inlineStr">
        <is>
          <t>Jalandhar</t>
        </is>
      </c>
      <c r="D1213" s="2" t="inlineStr">
        <is>
          <t>North</t>
        </is>
      </c>
    </row>
    <row r="1214">
      <c r="A1214" s="2" t="inlineStr">
        <is>
          <t>C0259</t>
        </is>
      </c>
      <c r="B1214" s="2" t="inlineStr">
        <is>
          <t>Goa</t>
        </is>
      </c>
      <c r="C1214" s="2" t="inlineStr">
        <is>
          <t>Margao</t>
        </is>
      </c>
      <c r="D1214" s="2" t="inlineStr">
        <is>
          <t>West</t>
        </is>
      </c>
    </row>
    <row r="1215">
      <c r="A1215" s="2" t="inlineStr">
        <is>
          <t>C0259</t>
        </is>
      </c>
      <c r="B1215" s="2" t="inlineStr">
        <is>
          <t>Goa</t>
        </is>
      </c>
      <c r="C1215" s="2" t="inlineStr">
        <is>
          <t>Panaji</t>
        </is>
      </c>
      <c r="D1215" s="2" t="inlineStr">
        <is>
          <t>West</t>
        </is>
      </c>
    </row>
    <row r="1216">
      <c r="A1216" s="2" t="inlineStr">
        <is>
          <t>C0259</t>
        </is>
      </c>
      <c r="B1216" s="2" t="inlineStr">
        <is>
          <t>Punjab</t>
        </is>
      </c>
      <c r="C1216" s="2" t="inlineStr">
        <is>
          <t>Ludhiana</t>
        </is>
      </c>
      <c r="D1216" s="2" t="inlineStr">
        <is>
          <t>North</t>
        </is>
      </c>
    </row>
    <row r="1217">
      <c r="A1217" s="2" t="inlineStr">
        <is>
          <t>C0260</t>
        </is>
      </c>
      <c r="B1217" s="2" t="inlineStr">
        <is>
          <t>West Bengal</t>
        </is>
      </c>
      <c r="C1217" s="2" t="inlineStr">
        <is>
          <t>Durgapur</t>
        </is>
      </c>
      <c r="D1217" s="2" t="inlineStr">
        <is>
          <t>East</t>
        </is>
      </c>
    </row>
    <row r="1218">
      <c r="A1218" s="2" t="inlineStr">
        <is>
          <t>C0260</t>
        </is>
      </c>
      <c r="B1218" s="2" t="inlineStr">
        <is>
          <t>Tamil Nadu</t>
        </is>
      </c>
      <c r="C1218" s="2" t="inlineStr">
        <is>
          <t>Chennai</t>
        </is>
      </c>
      <c r="D1218" s="2" t="inlineStr">
        <is>
          <t>South</t>
        </is>
      </c>
    </row>
    <row r="1219">
      <c r="A1219" s="2" t="inlineStr">
        <is>
          <t>C0260</t>
        </is>
      </c>
      <c r="B1219" s="2" t="inlineStr">
        <is>
          <t>Tamil Nadu</t>
        </is>
      </c>
      <c r="C1219" s="2" t="inlineStr">
        <is>
          <t>Madurai</t>
        </is>
      </c>
      <c r="D1219" s="2" t="inlineStr">
        <is>
          <t>South</t>
        </is>
      </c>
    </row>
    <row r="1220">
      <c r="A1220" s="2" t="inlineStr">
        <is>
          <t>C0261</t>
        </is>
      </c>
      <c r="B1220" s="2" t="inlineStr">
        <is>
          <t>Maharashtra</t>
        </is>
      </c>
      <c r="C1220" s="2" t="inlineStr">
        <is>
          <t>Nagpur</t>
        </is>
      </c>
      <c r="D1220" s="2" t="inlineStr">
        <is>
          <t>West</t>
        </is>
      </c>
    </row>
    <row r="1221">
      <c r="A1221" s="2" t="inlineStr">
        <is>
          <t>C0261</t>
        </is>
      </c>
      <c r="B1221" s="2" t="inlineStr">
        <is>
          <t>Odisha</t>
        </is>
      </c>
      <c r="C1221" s="2" t="inlineStr">
        <is>
          <t>Cuttack</t>
        </is>
      </c>
      <c r="D1221" s="2" t="inlineStr">
        <is>
          <t>East</t>
        </is>
      </c>
    </row>
    <row r="1222">
      <c r="A1222" s="2" t="inlineStr">
        <is>
          <t>C0261</t>
        </is>
      </c>
      <c r="B1222" s="2" t="inlineStr">
        <is>
          <t>Gujarat</t>
        </is>
      </c>
      <c r="C1222" s="2" t="inlineStr">
        <is>
          <t>Surat</t>
        </is>
      </c>
      <c r="D1222" s="2" t="inlineStr">
        <is>
          <t>West</t>
        </is>
      </c>
    </row>
    <row r="1223">
      <c r="A1223" s="2" t="inlineStr">
        <is>
          <t>C0261</t>
        </is>
      </c>
      <c r="B1223" s="2" t="inlineStr">
        <is>
          <t>Karnataka</t>
        </is>
      </c>
      <c r="C1223" s="2" t="inlineStr">
        <is>
          <t>Mangaluru</t>
        </is>
      </c>
      <c r="D1223" s="2" t="inlineStr">
        <is>
          <t>South</t>
        </is>
      </c>
    </row>
    <row r="1224">
      <c r="A1224" s="2" t="inlineStr">
        <is>
          <t>C0261</t>
        </is>
      </c>
      <c r="B1224" s="2" t="inlineStr">
        <is>
          <t>Kerala</t>
        </is>
      </c>
      <c r="C1224" s="2" t="inlineStr">
        <is>
          <t>Thiruvananthapuram</t>
        </is>
      </c>
      <c r="D1224" s="2" t="inlineStr">
        <is>
          <t>South</t>
        </is>
      </c>
    </row>
    <row r="1225">
      <c r="A1225" s="2" t="inlineStr">
        <is>
          <t>C0262</t>
        </is>
      </c>
      <c r="B1225" s="2" t="inlineStr">
        <is>
          <t>Bihar</t>
        </is>
      </c>
      <c r="C1225" s="2" t="inlineStr">
        <is>
          <t>Gaya</t>
        </is>
      </c>
      <c r="D1225" s="2" t="inlineStr">
        <is>
          <t>East</t>
        </is>
      </c>
    </row>
    <row r="1226">
      <c r="A1226" s="2" t="inlineStr">
        <is>
          <t>C0263</t>
        </is>
      </c>
      <c r="B1226" s="2" t="inlineStr">
        <is>
          <t>Punjab</t>
        </is>
      </c>
      <c r="C1226" s="2" t="inlineStr">
        <is>
          <t>Ludhiana</t>
        </is>
      </c>
      <c r="D1226" s="2" t="inlineStr">
        <is>
          <t>North</t>
        </is>
      </c>
    </row>
    <row r="1227">
      <c r="A1227" s="2" t="inlineStr">
        <is>
          <t>C0263</t>
        </is>
      </c>
      <c r="B1227" s="2" t="inlineStr">
        <is>
          <t>Gujarat</t>
        </is>
      </c>
      <c r="C1227" s="2" t="inlineStr">
        <is>
          <t>Vadodara</t>
        </is>
      </c>
      <c r="D1227" s="2" t="inlineStr">
        <is>
          <t>West</t>
        </is>
      </c>
    </row>
    <row r="1228">
      <c r="A1228" s="2" t="inlineStr">
        <is>
          <t>C0263</t>
        </is>
      </c>
      <c r="B1228" s="2" t="inlineStr">
        <is>
          <t>Tamil Nadu</t>
        </is>
      </c>
      <c r="C1228" s="2" t="inlineStr">
        <is>
          <t>Coimbatore</t>
        </is>
      </c>
      <c r="D1228" s="2" t="inlineStr">
        <is>
          <t>South</t>
        </is>
      </c>
    </row>
    <row r="1229">
      <c r="A1229" s="2" t="inlineStr">
        <is>
          <t>C0263</t>
        </is>
      </c>
      <c r="B1229" s="2" t="inlineStr">
        <is>
          <t>Maharashtra</t>
        </is>
      </c>
      <c r="C1229" s="2" t="inlineStr">
        <is>
          <t>Thane</t>
        </is>
      </c>
      <c r="D1229" s="2" t="inlineStr">
        <is>
          <t>West</t>
        </is>
      </c>
    </row>
    <row r="1230">
      <c r="A1230" s="2" t="inlineStr">
        <is>
          <t>C0263</t>
        </is>
      </c>
      <c r="B1230" s="2" t="inlineStr">
        <is>
          <t>Goa</t>
        </is>
      </c>
      <c r="C1230" s="2" t="inlineStr">
        <is>
          <t>Panaji</t>
        </is>
      </c>
      <c r="D1230" s="2" t="inlineStr">
        <is>
          <t>West</t>
        </is>
      </c>
    </row>
    <row r="1231">
      <c r="A1231" s="2" t="inlineStr">
        <is>
          <t>C0263</t>
        </is>
      </c>
      <c r="B1231" s="2" t="inlineStr">
        <is>
          <t>Maharashtra</t>
        </is>
      </c>
      <c r="C1231" s="2" t="inlineStr">
        <is>
          <t>Nashik</t>
        </is>
      </c>
      <c r="D1231" s="2" t="inlineStr">
        <is>
          <t>West</t>
        </is>
      </c>
    </row>
    <row r="1232">
      <c r="A1232" s="2" t="inlineStr">
        <is>
          <t>C0263</t>
        </is>
      </c>
      <c r="B1232" s="2" t="inlineStr">
        <is>
          <t>West Bengal</t>
        </is>
      </c>
      <c r="C1232" s="2" t="inlineStr">
        <is>
          <t>Kolkata</t>
        </is>
      </c>
      <c r="D1232" s="2" t="inlineStr">
        <is>
          <t>East</t>
        </is>
      </c>
    </row>
    <row r="1233">
      <c r="A1233" s="2" t="inlineStr">
        <is>
          <t>C0263</t>
        </is>
      </c>
      <c r="B1233" s="2" t="inlineStr">
        <is>
          <t>Kerala</t>
        </is>
      </c>
      <c r="C1233" s="2" t="inlineStr">
        <is>
          <t>Kochi</t>
        </is>
      </c>
      <c r="D1233" s="2" t="inlineStr">
        <is>
          <t>South</t>
        </is>
      </c>
    </row>
    <row r="1234">
      <c r="A1234" s="2" t="inlineStr">
        <is>
          <t>C0263</t>
        </is>
      </c>
      <c r="B1234" s="2" t="inlineStr">
        <is>
          <t>Maharashtra</t>
        </is>
      </c>
      <c r="C1234" s="2" t="inlineStr">
        <is>
          <t>Nagpur</t>
        </is>
      </c>
      <c r="D1234" s="2" t="inlineStr">
        <is>
          <t>West</t>
        </is>
      </c>
    </row>
    <row r="1235">
      <c r="A1235" s="2" t="inlineStr">
        <is>
          <t>C0263</t>
        </is>
      </c>
      <c r="B1235" s="2" t="inlineStr">
        <is>
          <t>Karnataka</t>
        </is>
      </c>
      <c r="C1235" s="2" t="inlineStr">
        <is>
          <t>Bengaluru</t>
        </is>
      </c>
      <c r="D1235" s="2" t="inlineStr">
        <is>
          <t>South</t>
        </is>
      </c>
    </row>
    <row r="1236">
      <c r="A1236" s="2" t="inlineStr">
        <is>
          <t>C0263</t>
        </is>
      </c>
      <c r="B1236" s="2" t="inlineStr">
        <is>
          <t>Gujarat</t>
        </is>
      </c>
      <c r="C1236" s="2" t="inlineStr">
        <is>
          <t>Surat</t>
        </is>
      </c>
      <c r="D1236" s="2" t="inlineStr">
        <is>
          <t>West</t>
        </is>
      </c>
    </row>
    <row r="1237">
      <c r="A1237" s="2" t="inlineStr">
        <is>
          <t>C0263</t>
        </is>
      </c>
      <c r="B1237" s="2" t="inlineStr">
        <is>
          <t>Maharashtra</t>
        </is>
      </c>
      <c r="C1237" s="2" t="inlineStr">
        <is>
          <t>Mumbai</t>
        </is>
      </c>
      <c r="D1237" s="2" t="inlineStr">
        <is>
          <t>West</t>
        </is>
      </c>
    </row>
    <row r="1238">
      <c r="A1238" s="2" t="inlineStr">
        <is>
          <t>C0264</t>
        </is>
      </c>
      <c r="B1238" s="2" t="inlineStr">
        <is>
          <t>Goa</t>
        </is>
      </c>
      <c r="C1238" s="2" t="inlineStr">
        <is>
          <t>Panaji</t>
        </is>
      </c>
      <c r="D1238" s="2" t="inlineStr">
        <is>
          <t>West</t>
        </is>
      </c>
    </row>
    <row r="1239">
      <c r="A1239" s="2" t="inlineStr">
        <is>
          <t>C0265</t>
        </is>
      </c>
      <c r="B1239" s="2" t="inlineStr">
        <is>
          <t>Odisha</t>
        </is>
      </c>
      <c r="C1239" s="2" t="inlineStr">
        <is>
          <t>Bhubaneswar</t>
        </is>
      </c>
      <c r="D1239" s="2" t="inlineStr">
        <is>
          <t>East</t>
        </is>
      </c>
    </row>
    <row r="1240">
      <c r="A1240" s="2" t="inlineStr">
        <is>
          <t>C0265</t>
        </is>
      </c>
      <c r="B1240" s="2" t="inlineStr">
        <is>
          <t>Gujarat</t>
        </is>
      </c>
      <c r="C1240" s="2" t="inlineStr">
        <is>
          <t>Ahmedabad</t>
        </is>
      </c>
      <c r="D1240" s="2" t="inlineStr">
        <is>
          <t>West</t>
        </is>
      </c>
    </row>
    <row r="1241">
      <c r="A1241" s="2" t="inlineStr">
        <is>
          <t>C0266</t>
        </is>
      </c>
      <c r="B1241" s="2" t="inlineStr">
        <is>
          <t>Goa</t>
        </is>
      </c>
      <c r="C1241" s="2" t="inlineStr">
        <is>
          <t>Panaji</t>
        </is>
      </c>
      <c r="D1241" s="2" t="inlineStr">
        <is>
          <t>West</t>
        </is>
      </c>
    </row>
    <row r="1242">
      <c r="A1242" s="2" t="inlineStr">
        <is>
          <t>C0266</t>
        </is>
      </c>
      <c r="B1242" s="2" t="inlineStr">
        <is>
          <t>Telangana</t>
        </is>
      </c>
      <c r="C1242" s="2" t="inlineStr">
        <is>
          <t>Warangal</t>
        </is>
      </c>
      <c r="D1242" s="2" t="inlineStr">
        <is>
          <t>South</t>
        </is>
      </c>
    </row>
    <row r="1243">
      <c r="A1243" s="2" t="inlineStr">
        <is>
          <t>C0266</t>
        </is>
      </c>
      <c r="B1243" s="2" t="inlineStr">
        <is>
          <t>Haryana</t>
        </is>
      </c>
      <c r="C1243" s="2" t="inlineStr">
        <is>
          <t>Faridabad</t>
        </is>
      </c>
      <c r="D1243" s="2" t="inlineStr">
        <is>
          <t>North</t>
        </is>
      </c>
    </row>
    <row r="1244">
      <c r="A1244" s="2" t="inlineStr">
        <is>
          <t>C0267</t>
        </is>
      </c>
      <c r="B1244" s="2" t="inlineStr">
        <is>
          <t>Kerala</t>
        </is>
      </c>
      <c r="C1244" s="2" t="inlineStr">
        <is>
          <t>Thiruvananthapuram</t>
        </is>
      </c>
      <c r="D1244" s="2" t="inlineStr">
        <is>
          <t>South</t>
        </is>
      </c>
    </row>
    <row r="1245">
      <c r="A1245" s="2" t="inlineStr">
        <is>
          <t>C0267</t>
        </is>
      </c>
      <c r="B1245" s="2" t="inlineStr">
        <is>
          <t>Telangana</t>
        </is>
      </c>
      <c r="C1245" s="2" t="inlineStr">
        <is>
          <t>Warangal</t>
        </is>
      </c>
      <c r="D1245" s="2" t="inlineStr">
        <is>
          <t>South</t>
        </is>
      </c>
    </row>
    <row r="1246">
      <c r="A1246" s="2" t="inlineStr">
        <is>
          <t>C0267</t>
        </is>
      </c>
      <c r="B1246" s="2" t="inlineStr">
        <is>
          <t>Punjab</t>
        </is>
      </c>
      <c r="C1246" s="2" t="inlineStr">
        <is>
          <t>Amritsar</t>
        </is>
      </c>
      <c r="D1246" s="2" t="inlineStr">
        <is>
          <t>North</t>
        </is>
      </c>
    </row>
    <row r="1247">
      <c r="A1247" s="2" t="inlineStr">
        <is>
          <t>C0267</t>
        </is>
      </c>
      <c r="B1247" s="2" t="inlineStr">
        <is>
          <t>Maharashtra</t>
        </is>
      </c>
      <c r="C1247" s="2" t="inlineStr">
        <is>
          <t>Nagpur</t>
        </is>
      </c>
      <c r="D1247" s="2" t="inlineStr">
        <is>
          <t>West</t>
        </is>
      </c>
    </row>
    <row r="1248">
      <c r="A1248" s="2" t="inlineStr">
        <is>
          <t>C0267</t>
        </is>
      </c>
      <c r="B1248" s="2" t="inlineStr">
        <is>
          <t>Goa</t>
        </is>
      </c>
      <c r="C1248" s="2" t="inlineStr">
        <is>
          <t>Panaji</t>
        </is>
      </c>
      <c r="D1248" s="2" t="inlineStr">
        <is>
          <t>West</t>
        </is>
      </c>
    </row>
    <row r="1249">
      <c r="A1249" s="2" t="inlineStr">
        <is>
          <t>C0268</t>
        </is>
      </c>
      <c r="B1249" s="2" t="inlineStr">
        <is>
          <t>Kerala</t>
        </is>
      </c>
      <c r="C1249" s="2" t="inlineStr">
        <is>
          <t>Thiruvananthapuram</t>
        </is>
      </c>
      <c r="D1249" s="2" t="inlineStr">
        <is>
          <t>South</t>
        </is>
      </c>
    </row>
    <row r="1250">
      <c r="A1250" s="2" t="inlineStr">
        <is>
          <t>C0268</t>
        </is>
      </c>
      <c r="B1250" s="2" t="inlineStr">
        <is>
          <t>Gujarat</t>
        </is>
      </c>
      <c r="C1250" s="2" t="inlineStr">
        <is>
          <t>Vadodara</t>
        </is>
      </c>
      <c r="D1250" s="2" t="inlineStr">
        <is>
          <t>West</t>
        </is>
      </c>
    </row>
    <row r="1251">
      <c r="A1251" s="2" t="inlineStr">
        <is>
          <t>C0269</t>
        </is>
      </c>
      <c r="B1251" s="2" t="inlineStr">
        <is>
          <t>Uttar Pradesh</t>
        </is>
      </c>
      <c r="C1251" s="2" t="inlineStr">
        <is>
          <t>Noida</t>
        </is>
      </c>
      <c r="D1251" s="2" t="inlineStr">
        <is>
          <t>North</t>
        </is>
      </c>
    </row>
    <row r="1252">
      <c r="A1252" s="2" t="inlineStr">
        <is>
          <t>C0270</t>
        </is>
      </c>
      <c r="B1252" s="2" t="inlineStr">
        <is>
          <t>Delhi</t>
        </is>
      </c>
      <c r="C1252" s="2" t="inlineStr">
        <is>
          <t>New Delhi</t>
        </is>
      </c>
      <c r="D1252" s="2" t="inlineStr">
        <is>
          <t>North</t>
        </is>
      </c>
    </row>
    <row r="1253">
      <c r="A1253" s="2" t="inlineStr">
        <is>
          <t>C0270</t>
        </is>
      </c>
      <c r="B1253" s="2" t="inlineStr">
        <is>
          <t>Punjab</t>
        </is>
      </c>
      <c r="C1253" s="2" t="inlineStr">
        <is>
          <t>Ludhiana</t>
        </is>
      </c>
      <c r="D1253" s="2" t="inlineStr">
        <is>
          <t>North</t>
        </is>
      </c>
    </row>
    <row r="1254">
      <c r="A1254" s="2" t="inlineStr">
        <is>
          <t>C0270</t>
        </is>
      </c>
      <c r="B1254" s="2" t="inlineStr">
        <is>
          <t>Gujarat</t>
        </is>
      </c>
      <c r="C1254" s="2" t="inlineStr">
        <is>
          <t>Ahmedabad</t>
        </is>
      </c>
      <c r="D1254" s="2" t="inlineStr">
        <is>
          <t>West</t>
        </is>
      </c>
    </row>
    <row r="1255">
      <c r="A1255" s="2" t="inlineStr">
        <is>
          <t>C0270</t>
        </is>
      </c>
      <c r="B1255" s="2" t="inlineStr">
        <is>
          <t>Odisha</t>
        </is>
      </c>
      <c r="C1255" s="2" t="inlineStr">
        <is>
          <t>Bhubaneswar</t>
        </is>
      </c>
      <c r="D1255" s="2" t="inlineStr">
        <is>
          <t>East</t>
        </is>
      </c>
    </row>
    <row r="1256">
      <c r="A1256" s="2" t="inlineStr">
        <is>
          <t>C0271</t>
        </is>
      </c>
      <c r="B1256" s="2" t="inlineStr">
        <is>
          <t>Gujarat</t>
        </is>
      </c>
      <c r="C1256" s="2" t="inlineStr">
        <is>
          <t>Surat</t>
        </is>
      </c>
      <c r="D1256" s="2" t="inlineStr">
        <is>
          <t>West</t>
        </is>
      </c>
    </row>
    <row r="1257">
      <c r="A1257" s="2" t="inlineStr">
        <is>
          <t>C0272</t>
        </is>
      </c>
      <c r="B1257" s="2" t="inlineStr">
        <is>
          <t>Karnataka</t>
        </is>
      </c>
      <c r="C1257" s="2" t="inlineStr">
        <is>
          <t>Mangaluru</t>
        </is>
      </c>
      <c r="D1257" s="2" t="inlineStr">
        <is>
          <t>South</t>
        </is>
      </c>
    </row>
    <row r="1258">
      <c r="A1258" s="2" t="inlineStr">
        <is>
          <t>C0272</t>
        </is>
      </c>
      <c r="B1258" s="2" t="inlineStr">
        <is>
          <t>Karnataka</t>
        </is>
      </c>
      <c r="C1258" s="2" t="inlineStr">
        <is>
          <t>Bengaluru</t>
        </is>
      </c>
      <c r="D1258" s="2" t="inlineStr">
        <is>
          <t>South</t>
        </is>
      </c>
    </row>
    <row r="1259">
      <c r="A1259" s="2" t="inlineStr">
        <is>
          <t>C0273</t>
        </is>
      </c>
      <c r="B1259" s="2" t="inlineStr">
        <is>
          <t>Kerala</t>
        </is>
      </c>
      <c r="C1259" s="2" t="inlineStr">
        <is>
          <t>Thiruvananthapuram</t>
        </is>
      </c>
      <c r="D1259" s="2" t="inlineStr">
        <is>
          <t>South</t>
        </is>
      </c>
    </row>
    <row r="1260">
      <c r="A1260" s="2" t="inlineStr">
        <is>
          <t>C0273</t>
        </is>
      </c>
      <c r="B1260" s="2" t="inlineStr">
        <is>
          <t>Goa</t>
        </is>
      </c>
      <c r="C1260" s="2" t="inlineStr">
        <is>
          <t>Margao</t>
        </is>
      </c>
      <c r="D1260" s="2" t="inlineStr">
        <is>
          <t>West</t>
        </is>
      </c>
    </row>
    <row r="1261">
      <c r="A1261" s="2" t="inlineStr">
        <is>
          <t>C0273</t>
        </is>
      </c>
      <c r="B1261" s="2" t="inlineStr">
        <is>
          <t>West Bengal</t>
        </is>
      </c>
      <c r="C1261" s="2" t="inlineStr">
        <is>
          <t>Durgapur</t>
        </is>
      </c>
      <c r="D1261" s="2" t="inlineStr">
        <is>
          <t>East</t>
        </is>
      </c>
    </row>
    <row r="1262">
      <c r="A1262" s="2" t="inlineStr">
        <is>
          <t>C0273</t>
        </is>
      </c>
      <c r="B1262" s="2" t="inlineStr">
        <is>
          <t>Goa</t>
        </is>
      </c>
      <c r="C1262" s="2" t="inlineStr">
        <is>
          <t>Panaji</t>
        </is>
      </c>
      <c r="D1262" s="2" t="inlineStr">
        <is>
          <t>West</t>
        </is>
      </c>
    </row>
    <row r="1263">
      <c r="A1263" s="2" t="inlineStr">
        <is>
          <t>C0273</t>
        </is>
      </c>
      <c r="B1263" s="2" t="inlineStr">
        <is>
          <t>Haryana</t>
        </is>
      </c>
      <c r="C1263" s="2" t="inlineStr">
        <is>
          <t>Gurugram</t>
        </is>
      </c>
      <c r="D1263" s="2" t="inlineStr">
        <is>
          <t>North</t>
        </is>
      </c>
    </row>
    <row r="1264">
      <c r="A1264" s="2" t="inlineStr">
        <is>
          <t>C0273</t>
        </is>
      </c>
      <c r="B1264" s="2" t="inlineStr">
        <is>
          <t>Karnataka</t>
        </is>
      </c>
      <c r="C1264" s="2" t="inlineStr">
        <is>
          <t>Mangaluru</t>
        </is>
      </c>
      <c r="D1264" s="2" t="inlineStr">
        <is>
          <t>South</t>
        </is>
      </c>
    </row>
    <row r="1265">
      <c r="A1265" s="2" t="inlineStr">
        <is>
          <t>C0273</t>
        </is>
      </c>
      <c r="B1265" s="2" t="inlineStr">
        <is>
          <t>Maharashtra</t>
        </is>
      </c>
      <c r="C1265" s="2" t="inlineStr">
        <is>
          <t>Nashik</t>
        </is>
      </c>
      <c r="D1265" s="2" t="inlineStr">
        <is>
          <t>West</t>
        </is>
      </c>
    </row>
    <row r="1266">
      <c r="A1266" s="2" t="inlineStr">
        <is>
          <t>C0273</t>
        </is>
      </c>
      <c r="B1266" s="2" t="inlineStr">
        <is>
          <t>Uttar Pradesh</t>
        </is>
      </c>
      <c r="C1266" s="2" t="inlineStr">
        <is>
          <t>Lucknow</t>
        </is>
      </c>
      <c r="D1266" s="2" t="inlineStr">
        <is>
          <t>North</t>
        </is>
      </c>
    </row>
    <row r="1267">
      <c r="A1267" s="2" t="inlineStr">
        <is>
          <t>C0274</t>
        </is>
      </c>
      <c r="B1267" s="2" t="inlineStr">
        <is>
          <t>Delhi</t>
        </is>
      </c>
      <c r="C1267" s="2" t="inlineStr">
        <is>
          <t>New Delhi</t>
        </is>
      </c>
      <c r="D1267" s="2" t="inlineStr">
        <is>
          <t>North</t>
        </is>
      </c>
    </row>
    <row r="1268">
      <c r="A1268" s="2" t="inlineStr">
        <is>
          <t>C0274</t>
        </is>
      </c>
      <c r="B1268" s="2" t="inlineStr">
        <is>
          <t>Tamil Nadu</t>
        </is>
      </c>
      <c r="C1268" s="2" t="inlineStr">
        <is>
          <t>Madurai</t>
        </is>
      </c>
      <c r="D1268" s="2" t="inlineStr">
        <is>
          <t>South</t>
        </is>
      </c>
    </row>
    <row r="1269">
      <c r="A1269" s="2" t="inlineStr">
        <is>
          <t>C0274</t>
        </is>
      </c>
      <c r="B1269" s="2" t="inlineStr">
        <is>
          <t>Telangana</t>
        </is>
      </c>
      <c r="C1269" s="2" t="inlineStr">
        <is>
          <t>Hyderabad</t>
        </is>
      </c>
      <c r="D1269" s="2" t="inlineStr">
        <is>
          <t>South</t>
        </is>
      </c>
    </row>
    <row r="1270">
      <c r="A1270" s="2" t="inlineStr">
        <is>
          <t>C0274</t>
        </is>
      </c>
      <c r="B1270" s="2" t="inlineStr">
        <is>
          <t>Kerala</t>
        </is>
      </c>
      <c r="C1270" s="2" t="inlineStr">
        <is>
          <t>Kochi</t>
        </is>
      </c>
      <c r="D1270" s="2" t="inlineStr">
        <is>
          <t>South</t>
        </is>
      </c>
    </row>
    <row r="1271">
      <c r="A1271" s="2" t="inlineStr">
        <is>
          <t>C0275</t>
        </is>
      </c>
      <c r="B1271" s="2" t="inlineStr">
        <is>
          <t>Haryana</t>
        </is>
      </c>
      <c r="C1271" s="2" t="inlineStr">
        <is>
          <t>Faridabad</t>
        </is>
      </c>
      <c r="D1271" s="2" t="inlineStr">
        <is>
          <t>North</t>
        </is>
      </c>
    </row>
    <row r="1272">
      <c r="A1272" s="2" t="inlineStr">
        <is>
          <t>C0275</t>
        </is>
      </c>
      <c r="B1272" s="2" t="inlineStr">
        <is>
          <t>Tamil Nadu</t>
        </is>
      </c>
      <c r="C1272" s="2" t="inlineStr">
        <is>
          <t>Madurai</t>
        </is>
      </c>
      <c r="D1272" s="2" t="inlineStr">
        <is>
          <t>South</t>
        </is>
      </c>
    </row>
    <row r="1273">
      <c r="A1273" s="2" t="inlineStr">
        <is>
          <t>C0275</t>
        </is>
      </c>
      <c r="B1273" s="2" t="inlineStr">
        <is>
          <t>Goa</t>
        </is>
      </c>
      <c r="C1273" s="2" t="inlineStr">
        <is>
          <t>Panaji</t>
        </is>
      </c>
      <c r="D1273" s="2" t="inlineStr">
        <is>
          <t>West</t>
        </is>
      </c>
    </row>
    <row r="1274">
      <c r="A1274" s="2" t="inlineStr">
        <is>
          <t>C0275</t>
        </is>
      </c>
      <c r="B1274" s="2" t="inlineStr">
        <is>
          <t>Punjab</t>
        </is>
      </c>
      <c r="C1274" s="2" t="inlineStr">
        <is>
          <t>Ludhiana</t>
        </is>
      </c>
      <c r="D1274" s="2" t="inlineStr">
        <is>
          <t>North</t>
        </is>
      </c>
    </row>
    <row r="1275">
      <c r="A1275" s="2" t="inlineStr">
        <is>
          <t>C0275</t>
        </is>
      </c>
      <c r="B1275" s="2" t="inlineStr">
        <is>
          <t>Maharashtra</t>
        </is>
      </c>
      <c r="C1275" s="2" t="inlineStr">
        <is>
          <t>Pune</t>
        </is>
      </c>
      <c r="D1275" s="2" t="inlineStr">
        <is>
          <t>West</t>
        </is>
      </c>
    </row>
    <row r="1276">
      <c r="A1276" s="2" t="inlineStr">
        <is>
          <t>C0276</t>
        </is>
      </c>
      <c r="B1276" s="2" t="inlineStr">
        <is>
          <t>Karnataka</t>
        </is>
      </c>
      <c r="C1276" s="2" t="inlineStr">
        <is>
          <t>Mangaluru</t>
        </is>
      </c>
      <c r="D1276" s="2" t="inlineStr">
        <is>
          <t>South</t>
        </is>
      </c>
    </row>
    <row r="1277">
      <c r="A1277" s="2" t="inlineStr">
        <is>
          <t>C0276</t>
        </is>
      </c>
      <c r="B1277" s="2" t="inlineStr">
        <is>
          <t>Bihar</t>
        </is>
      </c>
      <c r="C1277" s="2" t="inlineStr">
        <is>
          <t>Patna</t>
        </is>
      </c>
      <c r="D1277" s="2" t="inlineStr">
        <is>
          <t>East</t>
        </is>
      </c>
    </row>
    <row r="1278">
      <c r="A1278" s="2" t="inlineStr">
        <is>
          <t>C0276</t>
        </is>
      </c>
      <c r="B1278" s="2" t="inlineStr">
        <is>
          <t>Karnataka</t>
        </is>
      </c>
      <c r="C1278" s="2" t="inlineStr">
        <is>
          <t>Bengaluru</t>
        </is>
      </c>
      <c r="D1278" s="2" t="inlineStr">
        <is>
          <t>South</t>
        </is>
      </c>
    </row>
    <row r="1279">
      <c r="A1279" s="2" t="inlineStr">
        <is>
          <t>C0276</t>
        </is>
      </c>
      <c r="B1279" s="2" t="inlineStr">
        <is>
          <t>Gujarat</t>
        </is>
      </c>
      <c r="C1279" s="2" t="inlineStr">
        <is>
          <t>Surat</t>
        </is>
      </c>
      <c r="D1279" s="2" t="inlineStr">
        <is>
          <t>West</t>
        </is>
      </c>
    </row>
    <row r="1280">
      <c r="A1280" s="2" t="inlineStr">
        <is>
          <t>C0276</t>
        </is>
      </c>
      <c r="B1280" s="2" t="inlineStr">
        <is>
          <t>Uttar Pradesh</t>
        </is>
      </c>
      <c r="C1280" s="2" t="inlineStr">
        <is>
          <t>Noida</t>
        </is>
      </c>
      <c r="D1280" s="2" t="inlineStr">
        <is>
          <t>North</t>
        </is>
      </c>
    </row>
    <row r="1281">
      <c r="A1281" s="2" t="inlineStr">
        <is>
          <t>C0276</t>
        </is>
      </c>
      <c r="B1281" s="2" t="inlineStr">
        <is>
          <t>Goa</t>
        </is>
      </c>
      <c r="C1281" s="2" t="inlineStr">
        <is>
          <t>Panaji</t>
        </is>
      </c>
      <c r="D1281" s="2" t="inlineStr">
        <is>
          <t>West</t>
        </is>
      </c>
    </row>
    <row r="1282">
      <c r="A1282" s="2" t="inlineStr">
        <is>
          <t>C0277</t>
        </is>
      </c>
      <c r="B1282" s="2" t="inlineStr">
        <is>
          <t>Maharashtra</t>
        </is>
      </c>
      <c r="C1282" s="2" t="inlineStr">
        <is>
          <t>Thane</t>
        </is>
      </c>
      <c r="D1282" s="2" t="inlineStr">
        <is>
          <t>West</t>
        </is>
      </c>
    </row>
    <row r="1283">
      <c r="A1283" s="2" t="inlineStr">
        <is>
          <t>C0277</t>
        </is>
      </c>
      <c r="B1283" s="2" t="inlineStr">
        <is>
          <t>Tamil Nadu</t>
        </is>
      </c>
      <c r="C1283" s="2" t="inlineStr">
        <is>
          <t>Chennai</t>
        </is>
      </c>
      <c r="D1283" s="2" t="inlineStr">
        <is>
          <t>South</t>
        </is>
      </c>
    </row>
    <row r="1284">
      <c r="A1284" s="2" t="inlineStr">
        <is>
          <t>C0277</t>
        </is>
      </c>
      <c r="B1284" s="2" t="inlineStr">
        <is>
          <t>Tamil Nadu</t>
        </is>
      </c>
      <c r="C1284" s="2" t="inlineStr">
        <is>
          <t>Coimbatore</t>
        </is>
      </c>
      <c r="D1284" s="2" t="inlineStr">
        <is>
          <t>South</t>
        </is>
      </c>
    </row>
    <row r="1285">
      <c r="A1285" s="2" t="inlineStr">
        <is>
          <t>C0277</t>
        </is>
      </c>
      <c r="B1285" s="2" t="inlineStr">
        <is>
          <t>Goa</t>
        </is>
      </c>
      <c r="C1285" s="2" t="inlineStr">
        <is>
          <t>Margao</t>
        </is>
      </c>
      <c r="D1285" s="2" t="inlineStr">
        <is>
          <t>West</t>
        </is>
      </c>
    </row>
    <row r="1286">
      <c r="A1286" s="2" t="inlineStr">
        <is>
          <t>C0278</t>
        </is>
      </c>
      <c r="B1286" s="2" t="inlineStr">
        <is>
          <t>Gujarat</t>
        </is>
      </c>
      <c r="C1286" s="2" t="inlineStr">
        <is>
          <t>Ahmedabad</t>
        </is>
      </c>
      <c r="D1286" s="2" t="inlineStr">
        <is>
          <t>West</t>
        </is>
      </c>
    </row>
    <row r="1287">
      <c r="A1287" s="2" t="inlineStr">
        <is>
          <t>C0278</t>
        </is>
      </c>
      <c r="B1287" s="2" t="inlineStr">
        <is>
          <t>Telangana</t>
        </is>
      </c>
      <c r="C1287" s="2" t="inlineStr">
        <is>
          <t>Hyderabad</t>
        </is>
      </c>
      <c r="D1287" s="2" t="inlineStr">
        <is>
          <t>South</t>
        </is>
      </c>
    </row>
    <row r="1288">
      <c r="A1288" s="2" t="inlineStr">
        <is>
          <t>C0278</t>
        </is>
      </c>
      <c r="B1288" s="2" t="inlineStr">
        <is>
          <t>Odisha</t>
        </is>
      </c>
      <c r="C1288" s="2" t="inlineStr">
        <is>
          <t>Bhubaneswar</t>
        </is>
      </c>
      <c r="D1288" s="2" t="inlineStr">
        <is>
          <t>East</t>
        </is>
      </c>
    </row>
    <row r="1289">
      <c r="A1289" s="2" t="inlineStr">
        <is>
          <t>C0278</t>
        </is>
      </c>
      <c r="B1289" s="2" t="inlineStr">
        <is>
          <t>Maharashtra</t>
        </is>
      </c>
      <c r="C1289" s="2" t="inlineStr">
        <is>
          <t>Thane</t>
        </is>
      </c>
      <c r="D1289" s="2" t="inlineStr">
        <is>
          <t>West</t>
        </is>
      </c>
    </row>
    <row r="1290">
      <c r="A1290" s="2" t="inlineStr">
        <is>
          <t>C0279</t>
        </is>
      </c>
      <c r="B1290" s="2" t="inlineStr">
        <is>
          <t>Telangana</t>
        </is>
      </c>
      <c r="C1290" s="2" t="inlineStr">
        <is>
          <t>Hyderabad</t>
        </is>
      </c>
      <c r="D1290" s="2" t="inlineStr">
        <is>
          <t>South</t>
        </is>
      </c>
    </row>
    <row r="1291">
      <c r="A1291" s="2" t="inlineStr">
        <is>
          <t>C0279</t>
        </is>
      </c>
      <c r="B1291" s="2" t="inlineStr">
        <is>
          <t>Haryana</t>
        </is>
      </c>
      <c r="C1291" s="2" t="inlineStr">
        <is>
          <t>Faridabad</t>
        </is>
      </c>
      <c r="D1291" s="2" t="inlineStr">
        <is>
          <t>North</t>
        </is>
      </c>
    </row>
    <row r="1292">
      <c r="A1292" s="2" t="inlineStr">
        <is>
          <t>C0279</t>
        </is>
      </c>
      <c r="B1292" s="2" t="inlineStr">
        <is>
          <t>Uttar Pradesh</t>
        </is>
      </c>
      <c r="C1292" s="2" t="inlineStr">
        <is>
          <t>Lucknow</t>
        </is>
      </c>
      <c r="D1292" s="2" t="inlineStr">
        <is>
          <t>North</t>
        </is>
      </c>
    </row>
    <row r="1293">
      <c r="A1293" s="2" t="inlineStr">
        <is>
          <t>C0279</t>
        </is>
      </c>
      <c r="B1293" s="2" t="inlineStr">
        <is>
          <t>Goa</t>
        </is>
      </c>
      <c r="C1293" s="2" t="inlineStr">
        <is>
          <t>Margao</t>
        </is>
      </c>
      <c r="D1293" s="2" t="inlineStr">
        <is>
          <t>West</t>
        </is>
      </c>
    </row>
    <row r="1294">
      <c r="A1294" s="2" t="inlineStr">
        <is>
          <t>C0279</t>
        </is>
      </c>
      <c r="B1294" s="2" t="inlineStr">
        <is>
          <t>West Bengal</t>
        </is>
      </c>
      <c r="C1294" s="2" t="inlineStr">
        <is>
          <t>Durgapur</t>
        </is>
      </c>
      <c r="D1294" s="2" t="inlineStr">
        <is>
          <t>East</t>
        </is>
      </c>
    </row>
    <row r="1295">
      <c r="A1295" s="2" t="inlineStr">
        <is>
          <t>C0279</t>
        </is>
      </c>
      <c r="B1295" s="2" t="inlineStr">
        <is>
          <t>Delhi</t>
        </is>
      </c>
      <c r="C1295" s="2" t="inlineStr">
        <is>
          <t>New Delhi</t>
        </is>
      </c>
      <c r="D1295" s="2" t="inlineStr">
        <is>
          <t>North</t>
        </is>
      </c>
    </row>
    <row r="1296">
      <c r="A1296" s="2" t="inlineStr">
        <is>
          <t>C0279</t>
        </is>
      </c>
      <c r="B1296" s="2" t="inlineStr">
        <is>
          <t>Karnataka</t>
        </is>
      </c>
      <c r="C1296" s="2" t="inlineStr">
        <is>
          <t>Bengaluru</t>
        </is>
      </c>
      <c r="D1296" s="2" t="inlineStr">
        <is>
          <t>South</t>
        </is>
      </c>
    </row>
    <row r="1297">
      <c r="A1297" s="2" t="inlineStr">
        <is>
          <t>C0279</t>
        </is>
      </c>
      <c r="B1297" s="2" t="inlineStr">
        <is>
          <t>Gujarat</t>
        </is>
      </c>
      <c r="C1297" s="2" t="inlineStr">
        <is>
          <t>Vadodara</t>
        </is>
      </c>
      <c r="D1297" s="2" t="inlineStr">
        <is>
          <t>West</t>
        </is>
      </c>
    </row>
    <row r="1298">
      <c r="A1298" s="2" t="inlineStr">
        <is>
          <t>C0279</t>
        </is>
      </c>
      <c r="B1298" s="2" t="inlineStr">
        <is>
          <t>Odisha</t>
        </is>
      </c>
      <c r="C1298" s="2" t="inlineStr">
        <is>
          <t>Bhubaneswar</t>
        </is>
      </c>
      <c r="D1298" s="2" t="inlineStr">
        <is>
          <t>East</t>
        </is>
      </c>
    </row>
    <row r="1299">
      <c r="A1299" s="2" t="inlineStr">
        <is>
          <t>C0279</t>
        </is>
      </c>
      <c r="B1299" s="2" t="inlineStr">
        <is>
          <t>Uttar Pradesh</t>
        </is>
      </c>
      <c r="C1299" s="2" t="inlineStr">
        <is>
          <t>Kanpur</t>
        </is>
      </c>
      <c r="D1299" s="2" t="inlineStr">
        <is>
          <t>North</t>
        </is>
      </c>
    </row>
    <row r="1300">
      <c r="A1300" s="2" t="inlineStr">
        <is>
          <t>C0279</t>
        </is>
      </c>
      <c r="B1300" s="2" t="inlineStr">
        <is>
          <t>Goa</t>
        </is>
      </c>
      <c r="C1300" s="2" t="inlineStr">
        <is>
          <t>Panaji</t>
        </is>
      </c>
      <c r="D1300" s="2" t="inlineStr">
        <is>
          <t>West</t>
        </is>
      </c>
    </row>
    <row r="1301">
      <c r="A1301" s="2" t="inlineStr">
        <is>
          <t>C0279</t>
        </is>
      </c>
      <c r="B1301" s="2" t="inlineStr">
        <is>
          <t>Maharashtra</t>
        </is>
      </c>
      <c r="C1301" s="2" t="inlineStr">
        <is>
          <t>Pune</t>
        </is>
      </c>
      <c r="D1301" s="2" t="inlineStr">
        <is>
          <t>West</t>
        </is>
      </c>
    </row>
    <row r="1302">
      <c r="A1302" s="2" t="inlineStr">
        <is>
          <t>C0279</t>
        </is>
      </c>
      <c r="B1302" s="2" t="inlineStr">
        <is>
          <t>Gujarat</t>
        </is>
      </c>
      <c r="C1302" s="2" t="inlineStr">
        <is>
          <t>Surat</t>
        </is>
      </c>
      <c r="D1302" s="2" t="inlineStr">
        <is>
          <t>West</t>
        </is>
      </c>
    </row>
    <row r="1303">
      <c r="A1303" s="2" t="inlineStr">
        <is>
          <t>C0279</t>
        </is>
      </c>
      <c r="B1303" s="2" t="inlineStr">
        <is>
          <t>West Bengal</t>
        </is>
      </c>
      <c r="C1303" s="2" t="inlineStr">
        <is>
          <t>Kolkata</t>
        </is>
      </c>
      <c r="D1303" s="2" t="inlineStr">
        <is>
          <t>East</t>
        </is>
      </c>
    </row>
    <row r="1304">
      <c r="A1304" s="2" t="inlineStr">
        <is>
          <t>C0279</t>
        </is>
      </c>
      <c r="B1304" s="2" t="inlineStr">
        <is>
          <t>Punjab</t>
        </is>
      </c>
      <c r="C1304" s="2" t="inlineStr">
        <is>
          <t>Jalandhar</t>
        </is>
      </c>
      <c r="D1304" s="2" t="inlineStr">
        <is>
          <t>North</t>
        </is>
      </c>
    </row>
    <row r="1305">
      <c r="A1305" s="2" t="inlineStr">
        <is>
          <t>C0279</t>
        </is>
      </c>
      <c r="B1305" s="2" t="inlineStr">
        <is>
          <t>Gujarat</t>
        </is>
      </c>
      <c r="C1305" s="2" t="inlineStr">
        <is>
          <t>Ahmedabad</t>
        </is>
      </c>
      <c r="D1305" s="2" t="inlineStr">
        <is>
          <t>West</t>
        </is>
      </c>
    </row>
    <row r="1306">
      <c r="A1306" s="2" t="inlineStr">
        <is>
          <t>C0279</t>
        </is>
      </c>
      <c r="B1306" s="2" t="inlineStr">
        <is>
          <t>Uttar Pradesh</t>
        </is>
      </c>
      <c r="C1306" s="2" t="inlineStr">
        <is>
          <t>Varanasi</t>
        </is>
      </c>
      <c r="D1306" s="2" t="inlineStr">
        <is>
          <t>North</t>
        </is>
      </c>
    </row>
    <row r="1307">
      <c r="A1307" s="2" t="inlineStr">
        <is>
          <t>C0279</t>
        </is>
      </c>
      <c r="B1307" s="2" t="inlineStr">
        <is>
          <t>Kerala</t>
        </is>
      </c>
      <c r="C1307" s="2" t="inlineStr">
        <is>
          <t>Kochi</t>
        </is>
      </c>
      <c r="D1307" s="2" t="inlineStr">
        <is>
          <t>South</t>
        </is>
      </c>
    </row>
    <row r="1308">
      <c r="A1308" s="2" t="inlineStr">
        <is>
          <t>C0280</t>
        </is>
      </c>
      <c r="B1308" s="2" t="inlineStr">
        <is>
          <t>Gujarat</t>
        </is>
      </c>
      <c r="C1308" s="2" t="inlineStr">
        <is>
          <t>Surat</t>
        </is>
      </c>
      <c r="D1308" s="2" t="inlineStr">
        <is>
          <t>West</t>
        </is>
      </c>
    </row>
    <row r="1309">
      <c r="A1309" s="2" t="inlineStr">
        <is>
          <t>C0280</t>
        </is>
      </c>
      <c r="B1309" s="2" t="inlineStr">
        <is>
          <t>Bihar</t>
        </is>
      </c>
      <c r="C1309" s="2" t="inlineStr">
        <is>
          <t>Patna</t>
        </is>
      </c>
      <c r="D1309" s="2" t="inlineStr">
        <is>
          <t>East</t>
        </is>
      </c>
    </row>
    <row r="1310">
      <c r="A1310" s="2" t="inlineStr">
        <is>
          <t>C0280</t>
        </is>
      </c>
      <c r="B1310" s="2" t="inlineStr">
        <is>
          <t>Kerala</t>
        </is>
      </c>
      <c r="C1310" s="2" t="inlineStr">
        <is>
          <t>Thiruvananthapuram</t>
        </is>
      </c>
      <c r="D1310" s="2" t="inlineStr">
        <is>
          <t>South</t>
        </is>
      </c>
    </row>
    <row r="1311">
      <c r="A1311" s="2" t="inlineStr">
        <is>
          <t>C0280</t>
        </is>
      </c>
      <c r="B1311" s="2" t="inlineStr">
        <is>
          <t>Tamil Nadu</t>
        </is>
      </c>
      <c r="C1311" s="2" t="inlineStr">
        <is>
          <t>Coimbatore</t>
        </is>
      </c>
      <c r="D1311" s="2" t="inlineStr">
        <is>
          <t>South</t>
        </is>
      </c>
    </row>
    <row r="1312">
      <c r="A1312" s="2" t="inlineStr">
        <is>
          <t>C0280</t>
        </is>
      </c>
      <c r="B1312" s="2" t="inlineStr">
        <is>
          <t>Gujarat</t>
        </is>
      </c>
      <c r="C1312" s="2" t="inlineStr">
        <is>
          <t>Vadodara</t>
        </is>
      </c>
      <c r="D1312" s="2" t="inlineStr">
        <is>
          <t>West</t>
        </is>
      </c>
    </row>
    <row r="1313">
      <c r="A1313" s="2" t="inlineStr">
        <is>
          <t>C0280</t>
        </is>
      </c>
      <c r="B1313" s="2" t="inlineStr">
        <is>
          <t>Karnataka</t>
        </is>
      </c>
      <c r="C1313" s="2" t="inlineStr">
        <is>
          <t>Mangaluru</t>
        </is>
      </c>
      <c r="D1313" s="2" t="inlineStr">
        <is>
          <t>South</t>
        </is>
      </c>
    </row>
    <row r="1314">
      <c r="A1314" s="2" t="inlineStr">
        <is>
          <t>C0280</t>
        </is>
      </c>
      <c r="B1314" s="2" t="inlineStr">
        <is>
          <t>Punjab</t>
        </is>
      </c>
      <c r="C1314" s="2" t="inlineStr">
        <is>
          <t>Jalandhar</t>
        </is>
      </c>
      <c r="D1314" s="2" t="inlineStr">
        <is>
          <t>North</t>
        </is>
      </c>
    </row>
    <row r="1315">
      <c r="A1315" s="2" t="inlineStr">
        <is>
          <t>C0280</t>
        </is>
      </c>
      <c r="B1315" s="2" t="inlineStr">
        <is>
          <t>Goa</t>
        </is>
      </c>
      <c r="C1315" s="2" t="inlineStr">
        <is>
          <t>Margao</t>
        </is>
      </c>
      <c r="D1315" s="2" t="inlineStr">
        <is>
          <t>West</t>
        </is>
      </c>
    </row>
    <row r="1316">
      <c r="A1316" s="2" t="inlineStr">
        <is>
          <t>C0280</t>
        </is>
      </c>
      <c r="B1316" s="2" t="inlineStr">
        <is>
          <t>Karnataka</t>
        </is>
      </c>
      <c r="C1316" s="2" t="inlineStr">
        <is>
          <t>Bengaluru</t>
        </is>
      </c>
      <c r="D1316" s="2" t="inlineStr">
        <is>
          <t>South</t>
        </is>
      </c>
    </row>
    <row r="1317">
      <c r="A1317" s="2" t="inlineStr">
        <is>
          <t>C0280</t>
        </is>
      </c>
      <c r="B1317" s="2" t="inlineStr">
        <is>
          <t>Telangana</t>
        </is>
      </c>
      <c r="C1317" s="2" t="inlineStr">
        <is>
          <t>Warangal</t>
        </is>
      </c>
      <c r="D1317" s="2" t="inlineStr">
        <is>
          <t>South</t>
        </is>
      </c>
    </row>
    <row r="1318">
      <c r="A1318" s="2" t="inlineStr">
        <is>
          <t>C0280</t>
        </is>
      </c>
      <c r="B1318" s="2" t="inlineStr">
        <is>
          <t>West Bengal</t>
        </is>
      </c>
      <c r="C1318" s="2" t="inlineStr">
        <is>
          <t>Durgapur</t>
        </is>
      </c>
      <c r="D1318" s="2" t="inlineStr">
        <is>
          <t>East</t>
        </is>
      </c>
    </row>
    <row r="1319">
      <c r="A1319" s="2" t="inlineStr">
        <is>
          <t>C0280</t>
        </is>
      </c>
      <c r="B1319" s="2" t="inlineStr">
        <is>
          <t>Odisha</t>
        </is>
      </c>
      <c r="C1319" s="2" t="inlineStr">
        <is>
          <t>Cuttack</t>
        </is>
      </c>
      <c r="D1319" s="2" t="inlineStr">
        <is>
          <t>East</t>
        </is>
      </c>
    </row>
    <row r="1320">
      <c r="A1320" s="2" t="inlineStr">
        <is>
          <t>C0280</t>
        </is>
      </c>
      <c r="B1320" s="2" t="inlineStr">
        <is>
          <t>Odisha</t>
        </is>
      </c>
      <c r="C1320" s="2" t="inlineStr">
        <is>
          <t>Bhubaneswar</t>
        </is>
      </c>
      <c r="D1320" s="2" t="inlineStr">
        <is>
          <t>East</t>
        </is>
      </c>
    </row>
    <row r="1321">
      <c r="A1321" s="2" t="inlineStr">
        <is>
          <t>C0281</t>
        </is>
      </c>
      <c r="B1321" s="2" t="inlineStr">
        <is>
          <t>West Bengal</t>
        </is>
      </c>
      <c r="C1321" s="2" t="inlineStr">
        <is>
          <t>Durgapur</t>
        </is>
      </c>
      <c r="D1321" s="2" t="inlineStr">
        <is>
          <t>East</t>
        </is>
      </c>
    </row>
    <row r="1322">
      <c r="A1322" s="2" t="inlineStr">
        <is>
          <t>C0282</t>
        </is>
      </c>
      <c r="B1322" s="2" t="inlineStr">
        <is>
          <t>Goa</t>
        </is>
      </c>
      <c r="C1322" s="2" t="inlineStr">
        <is>
          <t>Margao</t>
        </is>
      </c>
      <c r="D1322" s="2" t="inlineStr">
        <is>
          <t>West</t>
        </is>
      </c>
    </row>
    <row r="1323">
      <c r="A1323" s="2" t="inlineStr">
        <is>
          <t>C0282</t>
        </is>
      </c>
      <c r="B1323" s="2" t="inlineStr">
        <is>
          <t>Haryana</t>
        </is>
      </c>
      <c r="C1323" s="2" t="inlineStr">
        <is>
          <t>Faridabad</t>
        </is>
      </c>
      <c r="D1323" s="2" t="inlineStr">
        <is>
          <t>North</t>
        </is>
      </c>
    </row>
    <row r="1324">
      <c r="A1324" s="2" t="inlineStr">
        <is>
          <t>C0282</t>
        </is>
      </c>
      <c r="B1324" s="2" t="inlineStr">
        <is>
          <t>Uttar Pradesh</t>
        </is>
      </c>
      <c r="C1324" s="2" t="inlineStr">
        <is>
          <t>Varanasi</t>
        </is>
      </c>
      <c r="D1324" s="2" t="inlineStr">
        <is>
          <t>North</t>
        </is>
      </c>
    </row>
    <row r="1325">
      <c r="A1325" s="2" t="inlineStr">
        <is>
          <t>C0283</t>
        </is>
      </c>
      <c r="B1325" s="2" t="inlineStr">
        <is>
          <t>Goa</t>
        </is>
      </c>
      <c r="C1325" s="2" t="inlineStr">
        <is>
          <t>Margao</t>
        </is>
      </c>
      <c r="D1325" s="2" t="inlineStr">
        <is>
          <t>West</t>
        </is>
      </c>
    </row>
    <row r="1326">
      <c r="A1326" s="2" t="inlineStr">
        <is>
          <t>C0283</t>
        </is>
      </c>
      <c r="B1326" s="2" t="inlineStr">
        <is>
          <t>Gujarat</t>
        </is>
      </c>
      <c r="C1326" s="2" t="inlineStr">
        <is>
          <t>Vadodara</t>
        </is>
      </c>
      <c r="D1326" s="2" t="inlineStr">
        <is>
          <t>West</t>
        </is>
      </c>
    </row>
    <row r="1327">
      <c r="A1327" s="2" t="inlineStr">
        <is>
          <t>C0283</t>
        </is>
      </c>
      <c r="B1327" s="2" t="inlineStr">
        <is>
          <t>Haryana</t>
        </is>
      </c>
      <c r="C1327" s="2" t="inlineStr">
        <is>
          <t>Faridabad</t>
        </is>
      </c>
      <c r="D1327" s="2" t="inlineStr">
        <is>
          <t>North</t>
        </is>
      </c>
    </row>
    <row r="1328">
      <c r="A1328" s="2" t="inlineStr">
        <is>
          <t>C0283</t>
        </is>
      </c>
      <c r="B1328" s="2" t="inlineStr">
        <is>
          <t>Gujarat</t>
        </is>
      </c>
      <c r="C1328" s="2" t="inlineStr">
        <is>
          <t>Ahmedabad</t>
        </is>
      </c>
      <c r="D1328" s="2" t="inlineStr">
        <is>
          <t>West</t>
        </is>
      </c>
    </row>
    <row r="1329">
      <c r="A1329" s="2" t="inlineStr">
        <is>
          <t>C0283</t>
        </is>
      </c>
      <c r="B1329" s="2" t="inlineStr">
        <is>
          <t>Delhi</t>
        </is>
      </c>
      <c r="C1329" s="2" t="inlineStr">
        <is>
          <t>New Delhi</t>
        </is>
      </c>
      <c r="D1329" s="2" t="inlineStr">
        <is>
          <t>North</t>
        </is>
      </c>
    </row>
    <row r="1330">
      <c r="A1330" s="2" t="inlineStr">
        <is>
          <t>C0283</t>
        </is>
      </c>
      <c r="B1330" s="2" t="inlineStr">
        <is>
          <t>West Bengal</t>
        </is>
      </c>
      <c r="C1330" s="2" t="inlineStr">
        <is>
          <t>Durgapur</t>
        </is>
      </c>
      <c r="D1330" s="2" t="inlineStr">
        <is>
          <t>East</t>
        </is>
      </c>
    </row>
    <row r="1331">
      <c r="A1331" s="2" t="inlineStr">
        <is>
          <t>C0284</t>
        </is>
      </c>
      <c r="B1331" s="2" t="inlineStr">
        <is>
          <t>Bihar</t>
        </is>
      </c>
      <c r="C1331" s="2" t="inlineStr">
        <is>
          <t>Gaya</t>
        </is>
      </c>
      <c r="D1331" s="2" t="inlineStr">
        <is>
          <t>East</t>
        </is>
      </c>
    </row>
    <row r="1332">
      <c r="A1332" s="2" t="inlineStr">
        <is>
          <t>C0284</t>
        </is>
      </c>
      <c r="B1332" s="2" t="inlineStr">
        <is>
          <t>Odisha</t>
        </is>
      </c>
      <c r="C1332" s="2" t="inlineStr">
        <is>
          <t>Cuttack</t>
        </is>
      </c>
      <c r="D1332" s="2" t="inlineStr">
        <is>
          <t>East</t>
        </is>
      </c>
    </row>
    <row r="1333">
      <c r="A1333" s="2" t="inlineStr">
        <is>
          <t>C0284</t>
        </is>
      </c>
      <c r="B1333" s="2" t="inlineStr">
        <is>
          <t>Punjab</t>
        </is>
      </c>
      <c r="C1333" s="2" t="inlineStr">
        <is>
          <t>Jalandhar</t>
        </is>
      </c>
      <c r="D1333" s="2" t="inlineStr">
        <is>
          <t>North</t>
        </is>
      </c>
    </row>
    <row r="1334">
      <c r="A1334" s="2" t="inlineStr">
        <is>
          <t>C0284</t>
        </is>
      </c>
      <c r="B1334" s="2" t="inlineStr">
        <is>
          <t>Goa</t>
        </is>
      </c>
      <c r="C1334" s="2" t="inlineStr">
        <is>
          <t>Margao</t>
        </is>
      </c>
      <c r="D1334" s="2" t="inlineStr">
        <is>
          <t>West</t>
        </is>
      </c>
    </row>
    <row r="1335">
      <c r="A1335" s="2" t="inlineStr">
        <is>
          <t>C0284</t>
        </is>
      </c>
      <c r="B1335" s="2" t="inlineStr">
        <is>
          <t>Telangana</t>
        </is>
      </c>
      <c r="C1335" s="2" t="inlineStr">
        <is>
          <t>Hyderabad</t>
        </is>
      </c>
      <c r="D1335" s="2" t="inlineStr">
        <is>
          <t>South</t>
        </is>
      </c>
    </row>
    <row r="1336">
      <c r="A1336" s="2" t="inlineStr">
        <is>
          <t>C0284</t>
        </is>
      </c>
      <c r="B1336" s="2" t="inlineStr">
        <is>
          <t>Telangana</t>
        </is>
      </c>
      <c r="C1336" s="2" t="inlineStr">
        <is>
          <t>Warangal</t>
        </is>
      </c>
      <c r="D1336" s="2" t="inlineStr">
        <is>
          <t>South</t>
        </is>
      </c>
    </row>
    <row r="1337">
      <c r="A1337" s="2" t="inlineStr">
        <is>
          <t>C0284</t>
        </is>
      </c>
      <c r="B1337" s="2" t="inlineStr">
        <is>
          <t>West Bengal</t>
        </is>
      </c>
      <c r="C1337" s="2" t="inlineStr">
        <is>
          <t>Durgapur</t>
        </is>
      </c>
      <c r="D1337" s="2" t="inlineStr">
        <is>
          <t>East</t>
        </is>
      </c>
    </row>
    <row r="1338">
      <c r="A1338" s="2" t="inlineStr">
        <is>
          <t>C0284</t>
        </is>
      </c>
      <c r="B1338" s="2" t="inlineStr">
        <is>
          <t>Tamil Nadu</t>
        </is>
      </c>
      <c r="C1338" s="2" t="inlineStr">
        <is>
          <t>Madurai</t>
        </is>
      </c>
      <c r="D1338" s="2" t="inlineStr">
        <is>
          <t>South</t>
        </is>
      </c>
    </row>
    <row r="1339">
      <c r="A1339" s="2" t="inlineStr">
        <is>
          <t>C0284</t>
        </is>
      </c>
      <c r="B1339" s="2" t="inlineStr">
        <is>
          <t>Maharashtra</t>
        </is>
      </c>
      <c r="C1339" s="2" t="inlineStr">
        <is>
          <t>Thane</t>
        </is>
      </c>
      <c r="D1339" s="2" t="inlineStr">
        <is>
          <t>West</t>
        </is>
      </c>
    </row>
    <row r="1340">
      <c r="A1340" s="2" t="inlineStr">
        <is>
          <t>C0284</t>
        </is>
      </c>
      <c r="B1340" s="2" t="inlineStr">
        <is>
          <t>Punjab</t>
        </is>
      </c>
      <c r="C1340" s="2" t="inlineStr">
        <is>
          <t>Amritsar</t>
        </is>
      </c>
      <c r="D1340" s="2" t="inlineStr">
        <is>
          <t>North</t>
        </is>
      </c>
    </row>
    <row r="1341">
      <c r="A1341" s="2" t="inlineStr">
        <is>
          <t>C0284</t>
        </is>
      </c>
      <c r="B1341" s="2" t="inlineStr">
        <is>
          <t>Karnataka</t>
        </is>
      </c>
      <c r="C1341" s="2" t="inlineStr">
        <is>
          <t>Bengaluru</t>
        </is>
      </c>
      <c r="D1341" s="2" t="inlineStr">
        <is>
          <t>South</t>
        </is>
      </c>
    </row>
    <row r="1342">
      <c r="A1342" s="2" t="inlineStr">
        <is>
          <t>C0285</t>
        </is>
      </c>
      <c r="B1342" s="2" t="inlineStr">
        <is>
          <t>Goa</t>
        </is>
      </c>
      <c r="C1342" s="2" t="inlineStr">
        <is>
          <t>Margao</t>
        </is>
      </c>
      <c r="D1342" s="2" t="inlineStr">
        <is>
          <t>West</t>
        </is>
      </c>
    </row>
    <row r="1343">
      <c r="A1343" s="2" t="inlineStr">
        <is>
          <t>C0285</t>
        </is>
      </c>
      <c r="B1343" s="2" t="inlineStr">
        <is>
          <t>Gujarat</t>
        </is>
      </c>
      <c r="C1343" s="2" t="inlineStr">
        <is>
          <t>Vadodara</t>
        </is>
      </c>
      <c r="D1343" s="2" t="inlineStr">
        <is>
          <t>West</t>
        </is>
      </c>
    </row>
    <row r="1344">
      <c r="A1344" s="2" t="inlineStr">
        <is>
          <t>C0286</t>
        </is>
      </c>
      <c r="B1344" s="2" t="inlineStr">
        <is>
          <t>Telangana</t>
        </is>
      </c>
      <c r="C1344" s="2" t="inlineStr">
        <is>
          <t>Hyderabad</t>
        </is>
      </c>
      <c r="D1344" s="2" t="inlineStr">
        <is>
          <t>South</t>
        </is>
      </c>
    </row>
    <row r="1345">
      <c r="A1345" s="2" t="inlineStr">
        <is>
          <t>C0286</t>
        </is>
      </c>
      <c r="B1345" s="2" t="inlineStr">
        <is>
          <t>Bihar</t>
        </is>
      </c>
      <c r="C1345" s="2" t="inlineStr">
        <is>
          <t>Gaya</t>
        </is>
      </c>
      <c r="D1345" s="2" t="inlineStr">
        <is>
          <t>East</t>
        </is>
      </c>
    </row>
    <row r="1346">
      <c r="A1346" s="2" t="inlineStr">
        <is>
          <t>C0286</t>
        </is>
      </c>
      <c r="B1346" s="2" t="inlineStr">
        <is>
          <t>Gujarat</t>
        </is>
      </c>
      <c r="C1346" s="2" t="inlineStr">
        <is>
          <t>Surat</t>
        </is>
      </c>
      <c r="D1346" s="2" t="inlineStr">
        <is>
          <t>West</t>
        </is>
      </c>
    </row>
    <row r="1347">
      <c r="A1347" s="2" t="inlineStr">
        <is>
          <t>C0287</t>
        </is>
      </c>
      <c r="B1347" s="2" t="inlineStr">
        <is>
          <t>Bihar</t>
        </is>
      </c>
      <c r="C1347" s="2" t="inlineStr">
        <is>
          <t>Gaya</t>
        </is>
      </c>
      <c r="D1347" s="2" t="inlineStr">
        <is>
          <t>East</t>
        </is>
      </c>
    </row>
    <row r="1348">
      <c r="A1348" s="2" t="inlineStr">
        <is>
          <t>C0287</t>
        </is>
      </c>
      <c r="B1348" s="2" t="inlineStr">
        <is>
          <t>Kerala</t>
        </is>
      </c>
      <c r="C1348" s="2" t="inlineStr">
        <is>
          <t>Thiruvananthapuram</t>
        </is>
      </c>
      <c r="D1348" s="2" t="inlineStr">
        <is>
          <t>South</t>
        </is>
      </c>
    </row>
    <row r="1349">
      <c r="A1349" s="2" t="inlineStr">
        <is>
          <t>C0287</t>
        </is>
      </c>
      <c r="B1349" s="2" t="inlineStr">
        <is>
          <t>Odisha</t>
        </is>
      </c>
      <c r="C1349" s="2" t="inlineStr">
        <is>
          <t>Cuttack</t>
        </is>
      </c>
      <c r="D1349" s="2" t="inlineStr">
        <is>
          <t>East</t>
        </is>
      </c>
    </row>
    <row r="1350">
      <c r="A1350" s="2" t="inlineStr">
        <is>
          <t>C0287</t>
        </is>
      </c>
      <c r="B1350" s="2" t="inlineStr">
        <is>
          <t>Haryana</t>
        </is>
      </c>
      <c r="C1350" s="2" t="inlineStr">
        <is>
          <t>Faridabad</t>
        </is>
      </c>
      <c r="D1350" s="2" t="inlineStr">
        <is>
          <t>North</t>
        </is>
      </c>
    </row>
    <row r="1351">
      <c r="A1351" s="2" t="inlineStr">
        <is>
          <t>C0287</t>
        </is>
      </c>
      <c r="B1351" s="2" t="inlineStr">
        <is>
          <t>Karnataka</t>
        </is>
      </c>
      <c r="C1351" s="2" t="inlineStr">
        <is>
          <t>Mangaluru</t>
        </is>
      </c>
      <c r="D1351" s="2" t="inlineStr">
        <is>
          <t>South</t>
        </is>
      </c>
    </row>
    <row r="1352">
      <c r="A1352" s="2" t="inlineStr">
        <is>
          <t>C0288</t>
        </is>
      </c>
      <c r="B1352" s="2" t="inlineStr">
        <is>
          <t>Tamil Nadu</t>
        </is>
      </c>
      <c r="C1352" s="2" t="inlineStr">
        <is>
          <t>Coimbatore</t>
        </is>
      </c>
      <c r="D1352" s="2" t="inlineStr">
        <is>
          <t>South</t>
        </is>
      </c>
    </row>
    <row r="1353">
      <c r="A1353" s="2" t="inlineStr">
        <is>
          <t>C0289</t>
        </is>
      </c>
      <c r="B1353" s="2" t="inlineStr">
        <is>
          <t>Telangana</t>
        </is>
      </c>
      <c r="C1353" s="2" t="inlineStr">
        <is>
          <t>Warangal</t>
        </is>
      </c>
      <c r="D1353" s="2" t="inlineStr">
        <is>
          <t>South</t>
        </is>
      </c>
    </row>
    <row r="1354">
      <c r="A1354" s="2" t="inlineStr">
        <is>
          <t>C0289</t>
        </is>
      </c>
      <c r="B1354" s="2" t="inlineStr">
        <is>
          <t>Kerala</t>
        </is>
      </c>
      <c r="C1354" s="2" t="inlineStr">
        <is>
          <t>Kochi</t>
        </is>
      </c>
      <c r="D1354" s="2" t="inlineStr">
        <is>
          <t>South</t>
        </is>
      </c>
    </row>
    <row r="1355">
      <c r="A1355" s="2" t="inlineStr">
        <is>
          <t>C0289</t>
        </is>
      </c>
      <c r="B1355" s="2" t="inlineStr">
        <is>
          <t>West Bengal</t>
        </is>
      </c>
      <c r="C1355" s="2" t="inlineStr">
        <is>
          <t>Durgapur</t>
        </is>
      </c>
      <c r="D1355" s="2" t="inlineStr">
        <is>
          <t>East</t>
        </is>
      </c>
    </row>
    <row r="1356">
      <c r="A1356" s="2" t="inlineStr">
        <is>
          <t>C0289</t>
        </is>
      </c>
      <c r="B1356" s="2" t="inlineStr">
        <is>
          <t>Tamil Nadu</t>
        </is>
      </c>
      <c r="C1356" s="2" t="inlineStr">
        <is>
          <t>Coimbatore</t>
        </is>
      </c>
      <c r="D1356" s="2" t="inlineStr">
        <is>
          <t>South</t>
        </is>
      </c>
    </row>
    <row r="1357">
      <c r="A1357" s="2" t="inlineStr">
        <is>
          <t>C0289</t>
        </is>
      </c>
      <c r="B1357" s="2" t="inlineStr">
        <is>
          <t>Gujarat</t>
        </is>
      </c>
      <c r="C1357" s="2" t="inlineStr">
        <is>
          <t>Ahmedabad</t>
        </is>
      </c>
      <c r="D1357" s="2" t="inlineStr">
        <is>
          <t>West</t>
        </is>
      </c>
    </row>
    <row r="1358">
      <c r="A1358" s="2" t="inlineStr">
        <is>
          <t>C0289</t>
        </is>
      </c>
      <c r="B1358" s="2" t="inlineStr">
        <is>
          <t>Delhi</t>
        </is>
      </c>
      <c r="C1358" s="2" t="inlineStr">
        <is>
          <t>New Delhi</t>
        </is>
      </c>
      <c r="D1358" s="2" t="inlineStr">
        <is>
          <t>North</t>
        </is>
      </c>
    </row>
    <row r="1359">
      <c r="A1359" s="2" t="inlineStr">
        <is>
          <t>C0289</t>
        </is>
      </c>
      <c r="B1359" s="2" t="inlineStr">
        <is>
          <t>West Bengal</t>
        </is>
      </c>
      <c r="C1359" s="2" t="inlineStr">
        <is>
          <t>Kolkata</t>
        </is>
      </c>
      <c r="D1359" s="2" t="inlineStr">
        <is>
          <t>East</t>
        </is>
      </c>
    </row>
    <row r="1360">
      <c r="A1360" s="2" t="inlineStr">
        <is>
          <t>C0289</t>
        </is>
      </c>
      <c r="B1360" s="2" t="inlineStr">
        <is>
          <t>Karnataka</t>
        </is>
      </c>
      <c r="C1360" s="2" t="inlineStr">
        <is>
          <t>Mangaluru</t>
        </is>
      </c>
      <c r="D1360" s="2" t="inlineStr">
        <is>
          <t>South</t>
        </is>
      </c>
    </row>
    <row r="1361">
      <c r="A1361" s="2" t="inlineStr">
        <is>
          <t>C0290</t>
        </is>
      </c>
      <c r="B1361" s="2" t="inlineStr">
        <is>
          <t>Karnataka</t>
        </is>
      </c>
      <c r="C1361" s="2" t="inlineStr">
        <is>
          <t>Mysuru</t>
        </is>
      </c>
      <c r="D1361" s="2" t="inlineStr">
        <is>
          <t>South</t>
        </is>
      </c>
    </row>
    <row r="1362">
      <c r="A1362" s="2" t="inlineStr">
        <is>
          <t>C0290</t>
        </is>
      </c>
      <c r="B1362" s="2" t="inlineStr">
        <is>
          <t>Telangana</t>
        </is>
      </c>
      <c r="C1362" s="2" t="inlineStr">
        <is>
          <t>Warangal</t>
        </is>
      </c>
      <c r="D1362" s="2" t="inlineStr">
        <is>
          <t>South</t>
        </is>
      </c>
    </row>
    <row r="1363">
      <c r="A1363" s="2" t="inlineStr">
        <is>
          <t>C0290</t>
        </is>
      </c>
      <c r="B1363" s="2" t="inlineStr">
        <is>
          <t>Uttar Pradesh</t>
        </is>
      </c>
      <c r="C1363" s="2" t="inlineStr">
        <is>
          <t>Varanasi</t>
        </is>
      </c>
      <c r="D1363" s="2" t="inlineStr">
        <is>
          <t>North</t>
        </is>
      </c>
    </row>
    <row r="1364">
      <c r="A1364" s="2" t="inlineStr">
        <is>
          <t>C0291</t>
        </is>
      </c>
      <c r="B1364" s="2" t="inlineStr">
        <is>
          <t>Telangana</t>
        </is>
      </c>
      <c r="C1364" s="2" t="inlineStr">
        <is>
          <t>Warangal</t>
        </is>
      </c>
      <c r="D1364" s="2" t="inlineStr">
        <is>
          <t>South</t>
        </is>
      </c>
    </row>
    <row r="1365">
      <c r="A1365" s="2" t="inlineStr">
        <is>
          <t>C0291</t>
        </is>
      </c>
      <c r="B1365" s="2" t="inlineStr">
        <is>
          <t>Kerala</t>
        </is>
      </c>
      <c r="C1365" s="2" t="inlineStr">
        <is>
          <t>Thiruvananthapuram</t>
        </is>
      </c>
      <c r="D1365" s="2" t="inlineStr">
        <is>
          <t>South</t>
        </is>
      </c>
    </row>
    <row r="1366">
      <c r="A1366" s="2" t="inlineStr">
        <is>
          <t>C0292</t>
        </is>
      </c>
      <c r="B1366" s="2" t="inlineStr">
        <is>
          <t>Maharashtra</t>
        </is>
      </c>
      <c r="C1366" s="2" t="inlineStr">
        <is>
          <t>Thane</t>
        </is>
      </c>
      <c r="D1366" s="2" t="inlineStr">
        <is>
          <t>West</t>
        </is>
      </c>
    </row>
    <row r="1367">
      <c r="A1367" s="2" t="inlineStr">
        <is>
          <t>C0293</t>
        </is>
      </c>
      <c r="B1367" s="2" t="inlineStr">
        <is>
          <t>Maharashtra</t>
        </is>
      </c>
      <c r="C1367" s="2" t="inlineStr">
        <is>
          <t>Pune</t>
        </is>
      </c>
      <c r="D1367" s="2" t="inlineStr">
        <is>
          <t>West</t>
        </is>
      </c>
    </row>
    <row r="1368">
      <c r="A1368" s="2" t="inlineStr">
        <is>
          <t>C0293</t>
        </is>
      </c>
      <c r="B1368" s="2" t="inlineStr">
        <is>
          <t>Punjab</t>
        </is>
      </c>
      <c r="C1368" s="2" t="inlineStr">
        <is>
          <t>Jalandhar</t>
        </is>
      </c>
      <c r="D1368" s="2" t="inlineStr">
        <is>
          <t>North</t>
        </is>
      </c>
    </row>
    <row r="1369">
      <c r="A1369" s="2" t="inlineStr">
        <is>
          <t>C0293</t>
        </is>
      </c>
      <c r="B1369" s="2" t="inlineStr">
        <is>
          <t>Tamil Nadu</t>
        </is>
      </c>
      <c r="C1369" s="2" t="inlineStr">
        <is>
          <t>Madurai</t>
        </is>
      </c>
      <c r="D1369" s="2" t="inlineStr">
        <is>
          <t>South</t>
        </is>
      </c>
    </row>
    <row r="1370">
      <c r="A1370" s="2" t="inlineStr">
        <is>
          <t>C0293</t>
        </is>
      </c>
      <c r="B1370" s="2" t="inlineStr">
        <is>
          <t>Odisha</t>
        </is>
      </c>
      <c r="C1370" s="2" t="inlineStr">
        <is>
          <t>Bhubaneswar</t>
        </is>
      </c>
      <c r="D1370" s="2" t="inlineStr">
        <is>
          <t>East</t>
        </is>
      </c>
    </row>
    <row r="1371">
      <c r="A1371" s="2" t="inlineStr">
        <is>
          <t>C0293</t>
        </is>
      </c>
      <c r="B1371" s="2" t="inlineStr">
        <is>
          <t>Gujarat</t>
        </is>
      </c>
      <c r="C1371" s="2" t="inlineStr">
        <is>
          <t>Vadodara</t>
        </is>
      </c>
      <c r="D1371" s="2" t="inlineStr">
        <is>
          <t>West</t>
        </is>
      </c>
    </row>
    <row r="1372">
      <c r="A1372" s="2" t="inlineStr">
        <is>
          <t>C0293</t>
        </is>
      </c>
      <c r="B1372" s="2" t="inlineStr">
        <is>
          <t>Haryana</t>
        </is>
      </c>
      <c r="C1372" s="2" t="inlineStr">
        <is>
          <t>Gurugram</t>
        </is>
      </c>
      <c r="D1372" s="2" t="inlineStr">
        <is>
          <t>North</t>
        </is>
      </c>
    </row>
    <row r="1373">
      <c r="A1373" s="2" t="inlineStr">
        <is>
          <t>C0293</t>
        </is>
      </c>
      <c r="B1373" s="2" t="inlineStr">
        <is>
          <t>Karnataka</t>
        </is>
      </c>
      <c r="C1373" s="2" t="inlineStr">
        <is>
          <t>Mysuru</t>
        </is>
      </c>
      <c r="D1373" s="2" t="inlineStr">
        <is>
          <t>South</t>
        </is>
      </c>
    </row>
    <row r="1374">
      <c r="A1374" s="2" t="inlineStr">
        <is>
          <t>C0293</t>
        </is>
      </c>
      <c r="B1374" s="2" t="inlineStr">
        <is>
          <t>West Bengal</t>
        </is>
      </c>
      <c r="C1374" s="2" t="inlineStr">
        <is>
          <t>Kolkata</t>
        </is>
      </c>
      <c r="D1374" s="2" t="inlineStr">
        <is>
          <t>East</t>
        </is>
      </c>
    </row>
    <row r="1375">
      <c r="A1375" s="2" t="inlineStr">
        <is>
          <t>C0293</t>
        </is>
      </c>
      <c r="B1375" s="2" t="inlineStr">
        <is>
          <t>Haryana</t>
        </is>
      </c>
      <c r="C1375" s="2" t="inlineStr">
        <is>
          <t>Faridabad</t>
        </is>
      </c>
      <c r="D1375" s="2" t="inlineStr">
        <is>
          <t>North</t>
        </is>
      </c>
    </row>
    <row r="1376">
      <c r="A1376" s="2" t="inlineStr">
        <is>
          <t>C0293</t>
        </is>
      </c>
      <c r="B1376" s="2" t="inlineStr">
        <is>
          <t>Maharashtra</t>
        </is>
      </c>
      <c r="C1376" s="2" t="inlineStr">
        <is>
          <t>Nagpur</t>
        </is>
      </c>
      <c r="D1376" s="2" t="inlineStr">
        <is>
          <t>West</t>
        </is>
      </c>
    </row>
    <row r="1377">
      <c r="A1377" s="2" t="inlineStr">
        <is>
          <t>C0294</t>
        </is>
      </c>
      <c r="B1377" s="2" t="inlineStr">
        <is>
          <t>Delhi</t>
        </is>
      </c>
      <c r="C1377" s="2" t="inlineStr">
        <is>
          <t>New Delhi</t>
        </is>
      </c>
      <c r="D1377" s="2" t="inlineStr">
        <is>
          <t>North</t>
        </is>
      </c>
    </row>
    <row r="1378">
      <c r="A1378" s="2" t="inlineStr">
        <is>
          <t>C0294</t>
        </is>
      </c>
      <c r="B1378" s="2" t="inlineStr">
        <is>
          <t>Telangana</t>
        </is>
      </c>
      <c r="C1378" s="2" t="inlineStr">
        <is>
          <t>Warangal</t>
        </is>
      </c>
      <c r="D1378" s="2" t="inlineStr">
        <is>
          <t>South</t>
        </is>
      </c>
    </row>
    <row r="1379">
      <c r="A1379" s="2" t="inlineStr">
        <is>
          <t>C0294</t>
        </is>
      </c>
      <c r="B1379" s="2" t="inlineStr">
        <is>
          <t>Kerala</t>
        </is>
      </c>
      <c r="C1379" s="2" t="inlineStr">
        <is>
          <t>Thiruvananthapuram</t>
        </is>
      </c>
      <c r="D1379" s="2" t="inlineStr">
        <is>
          <t>South</t>
        </is>
      </c>
    </row>
    <row r="1380">
      <c r="A1380" s="2" t="inlineStr">
        <is>
          <t>C0294</t>
        </is>
      </c>
      <c r="B1380" s="2" t="inlineStr">
        <is>
          <t>Odisha</t>
        </is>
      </c>
      <c r="C1380" s="2" t="inlineStr">
        <is>
          <t>Bhubaneswar</t>
        </is>
      </c>
      <c r="D1380" s="2" t="inlineStr">
        <is>
          <t>East</t>
        </is>
      </c>
    </row>
    <row r="1381">
      <c r="A1381" s="2" t="inlineStr">
        <is>
          <t>C0294</t>
        </is>
      </c>
      <c r="B1381" s="2" t="inlineStr">
        <is>
          <t>Maharashtra</t>
        </is>
      </c>
      <c r="C1381" s="2" t="inlineStr">
        <is>
          <t>Nagpur</t>
        </is>
      </c>
      <c r="D1381" s="2" t="inlineStr">
        <is>
          <t>West</t>
        </is>
      </c>
    </row>
    <row r="1382">
      <c r="A1382" s="2" t="inlineStr">
        <is>
          <t>C0294</t>
        </is>
      </c>
      <c r="B1382" s="2" t="inlineStr">
        <is>
          <t>Gujarat</t>
        </is>
      </c>
      <c r="C1382" s="2" t="inlineStr">
        <is>
          <t>Vadodara</t>
        </is>
      </c>
      <c r="D1382" s="2" t="inlineStr">
        <is>
          <t>West</t>
        </is>
      </c>
    </row>
    <row r="1383">
      <c r="A1383" s="2" t="inlineStr">
        <is>
          <t>C0294</t>
        </is>
      </c>
      <c r="B1383" s="2" t="inlineStr">
        <is>
          <t>Uttar Pradesh</t>
        </is>
      </c>
      <c r="C1383" s="2" t="inlineStr">
        <is>
          <t>Kanpur</t>
        </is>
      </c>
      <c r="D1383" s="2" t="inlineStr">
        <is>
          <t>North</t>
        </is>
      </c>
    </row>
    <row r="1384">
      <c r="A1384" s="2" t="inlineStr">
        <is>
          <t>C0294</t>
        </is>
      </c>
      <c r="B1384" s="2" t="inlineStr">
        <is>
          <t>Goa</t>
        </is>
      </c>
      <c r="C1384" s="2" t="inlineStr">
        <is>
          <t>Panaji</t>
        </is>
      </c>
      <c r="D1384" s="2" t="inlineStr">
        <is>
          <t>West</t>
        </is>
      </c>
    </row>
    <row r="1385">
      <c r="A1385" s="2" t="inlineStr">
        <is>
          <t>C0294</t>
        </is>
      </c>
      <c r="B1385" s="2" t="inlineStr">
        <is>
          <t>Maharashtra</t>
        </is>
      </c>
      <c r="C1385" s="2" t="inlineStr">
        <is>
          <t>Nashik</t>
        </is>
      </c>
      <c r="D1385" s="2" t="inlineStr">
        <is>
          <t>West</t>
        </is>
      </c>
    </row>
    <row r="1386">
      <c r="A1386" s="2" t="inlineStr">
        <is>
          <t>C0294</t>
        </is>
      </c>
      <c r="B1386" s="2" t="inlineStr">
        <is>
          <t>Punjab</t>
        </is>
      </c>
      <c r="C1386" s="2" t="inlineStr">
        <is>
          <t>Jalandhar</t>
        </is>
      </c>
      <c r="D1386" s="2" t="inlineStr">
        <is>
          <t>North</t>
        </is>
      </c>
    </row>
    <row r="1387">
      <c r="A1387" s="2" t="inlineStr">
        <is>
          <t>C0294</t>
        </is>
      </c>
      <c r="B1387" s="2" t="inlineStr">
        <is>
          <t>Gujarat</t>
        </is>
      </c>
      <c r="C1387" s="2" t="inlineStr">
        <is>
          <t>Ahmedabad</t>
        </is>
      </c>
      <c r="D1387" s="2" t="inlineStr">
        <is>
          <t>West</t>
        </is>
      </c>
    </row>
    <row r="1388">
      <c r="A1388" s="2" t="inlineStr">
        <is>
          <t>C0294</t>
        </is>
      </c>
      <c r="B1388" s="2" t="inlineStr">
        <is>
          <t>Telangana</t>
        </is>
      </c>
      <c r="C1388" s="2" t="inlineStr">
        <is>
          <t>Hyderabad</t>
        </is>
      </c>
      <c r="D1388" s="2" t="inlineStr">
        <is>
          <t>South</t>
        </is>
      </c>
    </row>
    <row r="1389">
      <c r="A1389" s="2" t="inlineStr">
        <is>
          <t>C0294</t>
        </is>
      </c>
      <c r="B1389" s="2" t="inlineStr">
        <is>
          <t>Karnataka</t>
        </is>
      </c>
      <c r="C1389" s="2" t="inlineStr">
        <is>
          <t>Mysuru</t>
        </is>
      </c>
      <c r="D1389" s="2" t="inlineStr">
        <is>
          <t>South</t>
        </is>
      </c>
    </row>
    <row r="1390">
      <c r="A1390" s="2" t="inlineStr">
        <is>
          <t>C0294</t>
        </is>
      </c>
      <c r="B1390" s="2" t="inlineStr">
        <is>
          <t>Goa</t>
        </is>
      </c>
      <c r="C1390" s="2" t="inlineStr">
        <is>
          <t>Margao</t>
        </is>
      </c>
      <c r="D1390" s="2" t="inlineStr">
        <is>
          <t>West</t>
        </is>
      </c>
    </row>
    <row r="1391">
      <c r="A1391" s="2" t="inlineStr">
        <is>
          <t>C0295</t>
        </is>
      </c>
      <c r="B1391" s="2" t="inlineStr">
        <is>
          <t>Maharashtra</t>
        </is>
      </c>
      <c r="C1391" s="2" t="inlineStr">
        <is>
          <t>Nagpur</t>
        </is>
      </c>
      <c r="D1391" s="2" t="inlineStr">
        <is>
          <t>West</t>
        </is>
      </c>
    </row>
    <row r="1392">
      <c r="A1392" s="2" t="inlineStr">
        <is>
          <t>C0296</t>
        </is>
      </c>
      <c r="B1392" s="2" t="inlineStr">
        <is>
          <t>Tamil Nadu</t>
        </is>
      </c>
      <c r="C1392" s="2" t="inlineStr">
        <is>
          <t>Madurai</t>
        </is>
      </c>
      <c r="D1392" s="2" t="inlineStr">
        <is>
          <t>South</t>
        </is>
      </c>
    </row>
    <row r="1393">
      <c r="A1393" s="2" t="inlineStr">
        <is>
          <t>C0296</t>
        </is>
      </c>
      <c r="B1393" s="2" t="inlineStr">
        <is>
          <t>Odisha</t>
        </is>
      </c>
      <c r="C1393" s="2" t="inlineStr">
        <is>
          <t>Bhubaneswar</t>
        </is>
      </c>
      <c r="D1393" s="2" t="inlineStr">
        <is>
          <t>East</t>
        </is>
      </c>
    </row>
    <row r="1394">
      <c r="A1394" s="2" t="inlineStr">
        <is>
          <t>C0296</t>
        </is>
      </c>
      <c r="B1394" s="2" t="inlineStr">
        <is>
          <t>Maharashtra</t>
        </is>
      </c>
      <c r="C1394" s="2" t="inlineStr">
        <is>
          <t>Nagpur</t>
        </is>
      </c>
      <c r="D1394" s="2" t="inlineStr">
        <is>
          <t>West</t>
        </is>
      </c>
    </row>
    <row r="1395">
      <c r="A1395" s="2" t="inlineStr">
        <is>
          <t>C0296</t>
        </is>
      </c>
      <c r="B1395" s="2" t="inlineStr">
        <is>
          <t>West Bengal</t>
        </is>
      </c>
      <c r="C1395" s="2" t="inlineStr">
        <is>
          <t>Kolkata</t>
        </is>
      </c>
      <c r="D1395" s="2" t="inlineStr">
        <is>
          <t>East</t>
        </is>
      </c>
    </row>
    <row r="1396">
      <c r="A1396" s="2" t="inlineStr">
        <is>
          <t>C0296</t>
        </is>
      </c>
      <c r="B1396" s="2" t="inlineStr">
        <is>
          <t>Gujarat</t>
        </is>
      </c>
      <c r="C1396" s="2" t="inlineStr">
        <is>
          <t>Vadodara</t>
        </is>
      </c>
      <c r="D1396" s="2" t="inlineStr">
        <is>
          <t>West</t>
        </is>
      </c>
    </row>
    <row r="1397">
      <c r="A1397" s="2" t="inlineStr">
        <is>
          <t>C0297</t>
        </is>
      </c>
      <c r="B1397" s="2" t="inlineStr">
        <is>
          <t>Goa</t>
        </is>
      </c>
      <c r="C1397" s="2" t="inlineStr">
        <is>
          <t>Panaji</t>
        </is>
      </c>
      <c r="D1397" s="2" t="inlineStr">
        <is>
          <t>West</t>
        </is>
      </c>
    </row>
    <row r="1398">
      <c r="A1398" s="2" t="inlineStr">
        <is>
          <t>C0297</t>
        </is>
      </c>
      <c r="B1398" s="2" t="inlineStr">
        <is>
          <t>Bihar</t>
        </is>
      </c>
      <c r="C1398" s="2" t="inlineStr">
        <is>
          <t>Gaya</t>
        </is>
      </c>
      <c r="D1398" s="2" t="inlineStr">
        <is>
          <t>East</t>
        </is>
      </c>
    </row>
    <row r="1399">
      <c r="A1399" s="2" t="inlineStr">
        <is>
          <t>C0297</t>
        </is>
      </c>
      <c r="B1399" s="2" t="inlineStr">
        <is>
          <t>Tamil Nadu</t>
        </is>
      </c>
      <c r="C1399" s="2" t="inlineStr">
        <is>
          <t>Madurai</t>
        </is>
      </c>
      <c r="D1399" s="2" t="inlineStr">
        <is>
          <t>South</t>
        </is>
      </c>
    </row>
    <row r="1400">
      <c r="A1400" s="2" t="inlineStr">
        <is>
          <t>C0297</t>
        </is>
      </c>
      <c r="B1400" s="2" t="inlineStr">
        <is>
          <t>Tamil Nadu</t>
        </is>
      </c>
      <c r="C1400" s="2" t="inlineStr">
        <is>
          <t>Chennai</t>
        </is>
      </c>
      <c r="D1400" s="2" t="inlineStr">
        <is>
          <t>South</t>
        </is>
      </c>
    </row>
    <row r="1401">
      <c r="A1401" s="2" t="inlineStr">
        <is>
          <t>C0297</t>
        </is>
      </c>
      <c r="B1401" s="2" t="inlineStr">
        <is>
          <t>Gujarat</t>
        </is>
      </c>
      <c r="C1401" s="2" t="inlineStr">
        <is>
          <t>Vadodara</t>
        </is>
      </c>
      <c r="D1401" s="2" t="inlineStr">
        <is>
          <t>West</t>
        </is>
      </c>
    </row>
    <row r="1402">
      <c r="A1402" s="2" t="inlineStr">
        <is>
          <t>C0298</t>
        </is>
      </c>
      <c r="B1402" s="2" t="inlineStr">
        <is>
          <t>Uttar Pradesh</t>
        </is>
      </c>
      <c r="C1402" s="2" t="inlineStr">
        <is>
          <t>Lucknow</t>
        </is>
      </c>
      <c r="D1402" s="2" t="inlineStr">
        <is>
          <t>North</t>
        </is>
      </c>
    </row>
    <row r="1403">
      <c r="A1403" s="2" t="inlineStr">
        <is>
          <t>C0298</t>
        </is>
      </c>
      <c r="B1403" s="2" t="inlineStr">
        <is>
          <t>Maharashtra</t>
        </is>
      </c>
      <c r="C1403" s="2" t="inlineStr">
        <is>
          <t>Thane</t>
        </is>
      </c>
      <c r="D1403" s="2" t="inlineStr">
        <is>
          <t>West</t>
        </is>
      </c>
    </row>
    <row r="1404">
      <c r="A1404" s="2" t="inlineStr">
        <is>
          <t>C0298</t>
        </is>
      </c>
      <c r="B1404" s="2" t="inlineStr">
        <is>
          <t>Goa</t>
        </is>
      </c>
      <c r="C1404" s="2" t="inlineStr">
        <is>
          <t>Margao</t>
        </is>
      </c>
      <c r="D1404" s="2" t="inlineStr">
        <is>
          <t>West</t>
        </is>
      </c>
    </row>
    <row r="1405">
      <c r="A1405" s="2" t="inlineStr">
        <is>
          <t>C0298</t>
        </is>
      </c>
      <c r="B1405" s="2" t="inlineStr">
        <is>
          <t>Gujarat</t>
        </is>
      </c>
      <c r="C1405" s="2" t="inlineStr">
        <is>
          <t>Ahmedabad</t>
        </is>
      </c>
      <c r="D1405" s="2" t="inlineStr">
        <is>
          <t>West</t>
        </is>
      </c>
    </row>
    <row r="1406">
      <c r="A1406" s="2" t="inlineStr">
        <is>
          <t>C0298</t>
        </is>
      </c>
      <c r="B1406" s="2" t="inlineStr">
        <is>
          <t>Telangana</t>
        </is>
      </c>
      <c r="C1406" s="2" t="inlineStr">
        <is>
          <t>Hyderabad</t>
        </is>
      </c>
      <c r="D1406" s="2" t="inlineStr">
        <is>
          <t>South</t>
        </is>
      </c>
    </row>
    <row r="1407">
      <c r="A1407" s="2" t="inlineStr">
        <is>
          <t>C0298</t>
        </is>
      </c>
      <c r="B1407" s="2" t="inlineStr">
        <is>
          <t>Haryana</t>
        </is>
      </c>
      <c r="C1407" s="2" t="inlineStr">
        <is>
          <t>Faridabad</t>
        </is>
      </c>
      <c r="D1407" s="2" t="inlineStr">
        <is>
          <t>North</t>
        </is>
      </c>
    </row>
    <row r="1408">
      <c r="A1408" s="2" t="inlineStr">
        <is>
          <t>C0298</t>
        </is>
      </c>
      <c r="B1408" s="2" t="inlineStr">
        <is>
          <t>Haryana</t>
        </is>
      </c>
      <c r="C1408" s="2" t="inlineStr">
        <is>
          <t>Gurugram</t>
        </is>
      </c>
      <c r="D1408" s="2" t="inlineStr">
        <is>
          <t>North</t>
        </is>
      </c>
    </row>
    <row r="1409">
      <c r="A1409" s="2" t="inlineStr">
        <is>
          <t>C0298</t>
        </is>
      </c>
      <c r="B1409" s="2" t="inlineStr">
        <is>
          <t>Kerala</t>
        </is>
      </c>
      <c r="C1409" s="2" t="inlineStr">
        <is>
          <t>Thiruvananthapuram</t>
        </is>
      </c>
      <c r="D1409" s="2" t="inlineStr">
        <is>
          <t>South</t>
        </is>
      </c>
    </row>
    <row r="1410">
      <c r="A1410" s="2" t="inlineStr">
        <is>
          <t>C0298</t>
        </is>
      </c>
      <c r="B1410" s="2" t="inlineStr">
        <is>
          <t>Delhi</t>
        </is>
      </c>
      <c r="C1410" s="2" t="inlineStr">
        <is>
          <t>New Delhi</t>
        </is>
      </c>
      <c r="D1410" s="2" t="inlineStr">
        <is>
          <t>North</t>
        </is>
      </c>
    </row>
    <row r="1411">
      <c r="A1411" s="2" t="inlineStr">
        <is>
          <t>C0298</t>
        </is>
      </c>
      <c r="B1411" s="2" t="inlineStr">
        <is>
          <t>Maharashtra</t>
        </is>
      </c>
      <c r="C1411" s="2" t="inlineStr">
        <is>
          <t>Pune</t>
        </is>
      </c>
      <c r="D1411" s="2" t="inlineStr">
        <is>
          <t>West</t>
        </is>
      </c>
    </row>
    <row r="1412">
      <c r="A1412" s="2" t="inlineStr">
        <is>
          <t>C0298</t>
        </is>
      </c>
      <c r="B1412" s="2" t="inlineStr">
        <is>
          <t>Odisha</t>
        </is>
      </c>
      <c r="C1412" s="2" t="inlineStr">
        <is>
          <t>Bhubaneswar</t>
        </is>
      </c>
      <c r="D1412" s="2" t="inlineStr">
        <is>
          <t>East</t>
        </is>
      </c>
    </row>
    <row r="1413">
      <c r="A1413" s="2" t="inlineStr">
        <is>
          <t>C0298</t>
        </is>
      </c>
      <c r="B1413" s="2" t="inlineStr">
        <is>
          <t>Gujarat</t>
        </is>
      </c>
      <c r="C1413" s="2" t="inlineStr">
        <is>
          <t>Vadodara</t>
        </is>
      </c>
      <c r="D1413" s="2" t="inlineStr">
        <is>
          <t>West</t>
        </is>
      </c>
    </row>
    <row r="1414">
      <c r="A1414" s="2" t="inlineStr">
        <is>
          <t>C0298</t>
        </is>
      </c>
      <c r="B1414" s="2" t="inlineStr">
        <is>
          <t>Kerala</t>
        </is>
      </c>
      <c r="C1414" s="2" t="inlineStr">
        <is>
          <t>Kochi</t>
        </is>
      </c>
      <c r="D1414" s="2" t="inlineStr">
        <is>
          <t>South</t>
        </is>
      </c>
    </row>
    <row r="1415">
      <c r="A1415" s="2" t="inlineStr">
        <is>
          <t>C0299</t>
        </is>
      </c>
      <c r="B1415" s="2" t="inlineStr">
        <is>
          <t>Delhi</t>
        </is>
      </c>
      <c r="C1415" s="2" t="inlineStr">
        <is>
          <t>New Delhi</t>
        </is>
      </c>
      <c r="D1415" s="2" t="inlineStr">
        <is>
          <t>North</t>
        </is>
      </c>
    </row>
    <row r="1416">
      <c r="A1416" s="2" t="inlineStr">
        <is>
          <t>C0299</t>
        </is>
      </c>
      <c r="B1416" s="2" t="inlineStr">
        <is>
          <t>Telangana</t>
        </is>
      </c>
      <c r="C1416" s="2" t="inlineStr">
        <is>
          <t>Warangal</t>
        </is>
      </c>
      <c r="D1416" s="2" t="inlineStr">
        <is>
          <t>South</t>
        </is>
      </c>
    </row>
    <row r="1417">
      <c r="A1417" s="2" t="inlineStr">
        <is>
          <t>C0299</t>
        </is>
      </c>
      <c r="B1417" s="2" t="inlineStr">
        <is>
          <t>Odisha</t>
        </is>
      </c>
      <c r="C1417" s="2" t="inlineStr">
        <is>
          <t>Cuttack</t>
        </is>
      </c>
      <c r="D1417" s="2" t="inlineStr">
        <is>
          <t>East</t>
        </is>
      </c>
    </row>
    <row r="1418">
      <c r="A1418" s="2" t="inlineStr">
        <is>
          <t>C0299</t>
        </is>
      </c>
      <c r="B1418" s="2" t="inlineStr">
        <is>
          <t>Kerala</t>
        </is>
      </c>
      <c r="C1418" s="2" t="inlineStr">
        <is>
          <t>Kochi</t>
        </is>
      </c>
      <c r="D1418" s="2" t="inlineStr">
        <is>
          <t>South</t>
        </is>
      </c>
    </row>
    <row r="1419">
      <c r="A1419" s="2" t="inlineStr">
        <is>
          <t>C0299</t>
        </is>
      </c>
      <c r="B1419" s="2" t="inlineStr">
        <is>
          <t>Goa</t>
        </is>
      </c>
      <c r="C1419" s="2" t="inlineStr">
        <is>
          <t>Margao</t>
        </is>
      </c>
      <c r="D1419" s="2" t="inlineStr">
        <is>
          <t>West</t>
        </is>
      </c>
    </row>
    <row r="1420">
      <c r="A1420" s="2" t="inlineStr">
        <is>
          <t>C0300</t>
        </is>
      </c>
      <c r="B1420" s="2" t="inlineStr">
        <is>
          <t>Delhi</t>
        </is>
      </c>
      <c r="C1420" s="2" t="inlineStr">
        <is>
          <t>New Delhi</t>
        </is>
      </c>
      <c r="D1420" s="2" t="inlineStr">
        <is>
          <t>North</t>
        </is>
      </c>
    </row>
    <row r="1421">
      <c r="A1421" s="2" t="inlineStr">
        <is>
          <t>C0300</t>
        </is>
      </c>
      <c r="B1421" s="2" t="inlineStr">
        <is>
          <t>Odisha</t>
        </is>
      </c>
      <c r="C1421" s="2" t="inlineStr">
        <is>
          <t>Cuttack</t>
        </is>
      </c>
      <c r="D1421" s="2" t="inlineStr">
        <is>
          <t>East</t>
        </is>
      </c>
    </row>
    <row r="1422">
      <c r="A1422" s="2" t="inlineStr">
        <is>
          <t>C0301</t>
        </is>
      </c>
      <c r="B1422" s="2" t="inlineStr">
        <is>
          <t>Maharashtra</t>
        </is>
      </c>
      <c r="C1422" s="2" t="inlineStr">
        <is>
          <t>Mumbai</t>
        </is>
      </c>
      <c r="D1422" s="2" t="inlineStr">
        <is>
          <t>West</t>
        </is>
      </c>
    </row>
    <row r="1423">
      <c r="A1423" s="2" t="inlineStr">
        <is>
          <t>C0302</t>
        </is>
      </c>
      <c r="B1423" s="2" t="inlineStr">
        <is>
          <t>Gujarat</t>
        </is>
      </c>
      <c r="C1423" s="2" t="inlineStr">
        <is>
          <t>Ahmedabad</t>
        </is>
      </c>
      <c r="D1423" s="2" t="inlineStr">
        <is>
          <t>West</t>
        </is>
      </c>
    </row>
    <row r="1424">
      <c r="A1424" s="2" t="inlineStr">
        <is>
          <t>C0302</t>
        </is>
      </c>
      <c r="B1424" s="2" t="inlineStr">
        <is>
          <t>Goa</t>
        </is>
      </c>
      <c r="C1424" s="2" t="inlineStr">
        <is>
          <t>Margao</t>
        </is>
      </c>
      <c r="D1424" s="2" t="inlineStr">
        <is>
          <t>West</t>
        </is>
      </c>
    </row>
    <row r="1425">
      <c r="A1425" s="2" t="inlineStr">
        <is>
          <t>C0303</t>
        </is>
      </c>
      <c r="B1425" s="2" t="inlineStr">
        <is>
          <t>Goa</t>
        </is>
      </c>
      <c r="C1425" s="2" t="inlineStr">
        <is>
          <t>Panaji</t>
        </is>
      </c>
      <c r="D1425" s="2" t="inlineStr">
        <is>
          <t>West</t>
        </is>
      </c>
    </row>
    <row r="1426">
      <c r="A1426" s="2" t="inlineStr">
        <is>
          <t>C0303</t>
        </is>
      </c>
      <c r="B1426" s="2" t="inlineStr">
        <is>
          <t>West Bengal</t>
        </is>
      </c>
      <c r="C1426" s="2" t="inlineStr">
        <is>
          <t>Kolkata</t>
        </is>
      </c>
      <c r="D1426" s="2" t="inlineStr">
        <is>
          <t>East</t>
        </is>
      </c>
    </row>
    <row r="1427">
      <c r="A1427" s="2" t="inlineStr">
        <is>
          <t>C0303</t>
        </is>
      </c>
      <c r="B1427" s="2" t="inlineStr">
        <is>
          <t>Punjab</t>
        </is>
      </c>
      <c r="C1427" s="2" t="inlineStr">
        <is>
          <t>Ludhiana</t>
        </is>
      </c>
      <c r="D1427" s="2" t="inlineStr">
        <is>
          <t>North</t>
        </is>
      </c>
    </row>
    <row r="1428">
      <c r="A1428" s="2" t="inlineStr">
        <is>
          <t>C0303</t>
        </is>
      </c>
      <c r="B1428" s="2" t="inlineStr">
        <is>
          <t>Odisha</t>
        </is>
      </c>
      <c r="C1428" s="2" t="inlineStr">
        <is>
          <t>Bhubaneswar</t>
        </is>
      </c>
      <c r="D1428" s="2" t="inlineStr">
        <is>
          <t>East</t>
        </is>
      </c>
    </row>
    <row r="1429">
      <c r="A1429" s="2" t="inlineStr">
        <is>
          <t>C0303</t>
        </is>
      </c>
      <c r="B1429" s="2" t="inlineStr">
        <is>
          <t>Odisha</t>
        </is>
      </c>
      <c r="C1429" s="2" t="inlineStr">
        <is>
          <t>Cuttack</t>
        </is>
      </c>
      <c r="D1429" s="2" t="inlineStr">
        <is>
          <t>East</t>
        </is>
      </c>
    </row>
    <row r="1430">
      <c r="A1430" s="2" t="inlineStr">
        <is>
          <t>C0303</t>
        </is>
      </c>
      <c r="B1430" s="2" t="inlineStr">
        <is>
          <t>Bihar</t>
        </is>
      </c>
      <c r="C1430" s="2" t="inlineStr">
        <is>
          <t>Gaya</t>
        </is>
      </c>
      <c r="D1430" s="2" t="inlineStr">
        <is>
          <t>East</t>
        </is>
      </c>
    </row>
    <row r="1431">
      <c r="A1431" s="2" t="inlineStr">
        <is>
          <t>C0304</t>
        </is>
      </c>
      <c r="B1431" s="2" t="inlineStr">
        <is>
          <t>West Bengal</t>
        </is>
      </c>
      <c r="C1431" s="2" t="inlineStr">
        <is>
          <t>Durgapur</t>
        </is>
      </c>
      <c r="D1431" s="2" t="inlineStr">
        <is>
          <t>East</t>
        </is>
      </c>
    </row>
    <row r="1432">
      <c r="A1432" s="2" t="inlineStr">
        <is>
          <t>C0304</t>
        </is>
      </c>
      <c r="B1432" s="2" t="inlineStr">
        <is>
          <t>West Bengal</t>
        </is>
      </c>
      <c r="C1432" s="2" t="inlineStr">
        <is>
          <t>Kolkata</t>
        </is>
      </c>
      <c r="D1432" s="2" t="inlineStr">
        <is>
          <t>East</t>
        </is>
      </c>
    </row>
    <row r="1433">
      <c r="A1433" s="2" t="inlineStr">
        <is>
          <t>C0305</t>
        </is>
      </c>
      <c r="B1433" s="2" t="inlineStr">
        <is>
          <t>Delhi</t>
        </is>
      </c>
      <c r="C1433" s="2" t="inlineStr">
        <is>
          <t>New Delhi</t>
        </is>
      </c>
      <c r="D1433" s="2" t="inlineStr">
        <is>
          <t>North</t>
        </is>
      </c>
    </row>
    <row r="1434">
      <c r="A1434" s="2" t="inlineStr">
        <is>
          <t>C0306</t>
        </is>
      </c>
      <c r="B1434" s="2" t="inlineStr">
        <is>
          <t>Gujarat</t>
        </is>
      </c>
      <c r="C1434" s="2" t="inlineStr">
        <is>
          <t>Surat</t>
        </is>
      </c>
      <c r="D1434" s="2" t="inlineStr">
        <is>
          <t>West</t>
        </is>
      </c>
    </row>
    <row r="1435">
      <c r="A1435" s="2" t="inlineStr">
        <is>
          <t>C0307</t>
        </is>
      </c>
      <c r="B1435" s="2" t="inlineStr">
        <is>
          <t>Gujarat</t>
        </is>
      </c>
      <c r="C1435" s="2" t="inlineStr">
        <is>
          <t>Surat</t>
        </is>
      </c>
      <c r="D1435" s="2" t="inlineStr">
        <is>
          <t>West</t>
        </is>
      </c>
    </row>
    <row r="1436">
      <c r="A1436" s="2" t="inlineStr">
        <is>
          <t>C0308</t>
        </is>
      </c>
      <c r="B1436" s="2" t="inlineStr">
        <is>
          <t>Odisha</t>
        </is>
      </c>
      <c r="C1436" s="2" t="inlineStr">
        <is>
          <t>Cuttack</t>
        </is>
      </c>
      <c r="D1436" s="2" t="inlineStr">
        <is>
          <t>East</t>
        </is>
      </c>
    </row>
    <row r="1437">
      <c r="A1437" s="2" t="inlineStr">
        <is>
          <t>C0308</t>
        </is>
      </c>
      <c r="B1437" s="2" t="inlineStr">
        <is>
          <t>Delhi</t>
        </is>
      </c>
      <c r="C1437" s="2" t="inlineStr">
        <is>
          <t>New Delhi</t>
        </is>
      </c>
      <c r="D1437" s="2" t="inlineStr">
        <is>
          <t>North</t>
        </is>
      </c>
    </row>
    <row r="1438">
      <c r="A1438" s="2" t="inlineStr">
        <is>
          <t>C0308</t>
        </is>
      </c>
      <c r="B1438" s="2" t="inlineStr">
        <is>
          <t>Tamil Nadu</t>
        </is>
      </c>
      <c r="C1438" s="2" t="inlineStr">
        <is>
          <t>Madurai</t>
        </is>
      </c>
      <c r="D1438" s="2" t="inlineStr">
        <is>
          <t>South</t>
        </is>
      </c>
    </row>
    <row r="1439">
      <c r="A1439" s="2" t="inlineStr">
        <is>
          <t>C0308</t>
        </is>
      </c>
      <c r="B1439" s="2" t="inlineStr">
        <is>
          <t>Maharashtra</t>
        </is>
      </c>
      <c r="C1439" s="2" t="inlineStr">
        <is>
          <t>Thane</t>
        </is>
      </c>
      <c r="D1439" s="2" t="inlineStr">
        <is>
          <t>West</t>
        </is>
      </c>
    </row>
    <row r="1440">
      <c r="A1440" s="2" t="inlineStr">
        <is>
          <t>C0309</t>
        </is>
      </c>
      <c r="B1440" s="2" t="inlineStr">
        <is>
          <t>Gujarat</t>
        </is>
      </c>
      <c r="C1440" s="2" t="inlineStr">
        <is>
          <t>Ahmedabad</t>
        </is>
      </c>
      <c r="D1440" s="2" t="inlineStr">
        <is>
          <t>West</t>
        </is>
      </c>
    </row>
    <row r="1441">
      <c r="A1441" s="2" t="inlineStr">
        <is>
          <t>C0309</t>
        </is>
      </c>
      <c r="B1441" s="2" t="inlineStr">
        <is>
          <t>Maharashtra</t>
        </is>
      </c>
      <c r="C1441" s="2" t="inlineStr">
        <is>
          <t>Mumbai</t>
        </is>
      </c>
      <c r="D1441" s="2" t="inlineStr">
        <is>
          <t>West</t>
        </is>
      </c>
    </row>
    <row r="1442">
      <c r="A1442" s="2" t="inlineStr">
        <is>
          <t>C0309</t>
        </is>
      </c>
      <c r="B1442" s="2" t="inlineStr">
        <is>
          <t>Bihar</t>
        </is>
      </c>
      <c r="C1442" s="2" t="inlineStr">
        <is>
          <t>Patna</t>
        </is>
      </c>
      <c r="D1442" s="2" t="inlineStr">
        <is>
          <t>East</t>
        </is>
      </c>
    </row>
    <row r="1443">
      <c r="A1443" s="2" t="inlineStr">
        <is>
          <t>C0309</t>
        </is>
      </c>
      <c r="B1443" s="2" t="inlineStr">
        <is>
          <t>Karnataka</t>
        </is>
      </c>
      <c r="C1443" s="2" t="inlineStr">
        <is>
          <t>Mysuru</t>
        </is>
      </c>
      <c r="D1443" s="2" t="inlineStr">
        <is>
          <t>South</t>
        </is>
      </c>
    </row>
    <row r="1444">
      <c r="A1444" s="2" t="inlineStr">
        <is>
          <t>C0309</t>
        </is>
      </c>
      <c r="B1444" s="2" t="inlineStr">
        <is>
          <t>Maharashtra</t>
        </is>
      </c>
      <c r="C1444" s="2" t="inlineStr">
        <is>
          <t>Nashik</t>
        </is>
      </c>
      <c r="D1444" s="2" t="inlineStr">
        <is>
          <t>West</t>
        </is>
      </c>
    </row>
    <row r="1445">
      <c r="A1445" s="2" t="inlineStr">
        <is>
          <t>C0309</t>
        </is>
      </c>
      <c r="B1445" s="2" t="inlineStr">
        <is>
          <t>Odisha</t>
        </is>
      </c>
      <c r="C1445" s="2" t="inlineStr">
        <is>
          <t>Bhubaneswar</t>
        </is>
      </c>
      <c r="D1445" s="2" t="inlineStr">
        <is>
          <t>East</t>
        </is>
      </c>
    </row>
    <row r="1446">
      <c r="A1446" s="2" t="inlineStr">
        <is>
          <t>C0309</t>
        </is>
      </c>
      <c r="B1446" s="2" t="inlineStr">
        <is>
          <t>Kerala</t>
        </is>
      </c>
      <c r="C1446" s="2" t="inlineStr">
        <is>
          <t>Kochi</t>
        </is>
      </c>
      <c r="D1446" s="2" t="inlineStr">
        <is>
          <t>South</t>
        </is>
      </c>
    </row>
    <row r="1447">
      <c r="A1447" s="2" t="inlineStr">
        <is>
          <t>C0309</t>
        </is>
      </c>
      <c r="B1447" s="2" t="inlineStr">
        <is>
          <t>Maharashtra</t>
        </is>
      </c>
      <c r="C1447" s="2" t="inlineStr">
        <is>
          <t>Nagpur</t>
        </is>
      </c>
      <c r="D1447" s="2" t="inlineStr">
        <is>
          <t>West</t>
        </is>
      </c>
    </row>
    <row r="1448">
      <c r="A1448" s="2" t="inlineStr">
        <is>
          <t>C0309</t>
        </is>
      </c>
      <c r="B1448" s="2" t="inlineStr">
        <is>
          <t>Haryana</t>
        </is>
      </c>
      <c r="C1448" s="2" t="inlineStr">
        <is>
          <t>Faridabad</t>
        </is>
      </c>
      <c r="D1448" s="2" t="inlineStr">
        <is>
          <t>North</t>
        </is>
      </c>
    </row>
    <row r="1449">
      <c r="A1449" s="2" t="inlineStr">
        <is>
          <t>C0309</t>
        </is>
      </c>
      <c r="B1449" s="2" t="inlineStr">
        <is>
          <t>Goa</t>
        </is>
      </c>
      <c r="C1449" s="2" t="inlineStr">
        <is>
          <t>Panaji</t>
        </is>
      </c>
      <c r="D1449" s="2" t="inlineStr">
        <is>
          <t>West</t>
        </is>
      </c>
    </row>
    <row r="1450">
      <c r="A1450" s="2" t="inlineStr">
        <is>
          <t>C0309</t>
        </is>
      </c>
      <c r="B1450" s="2" t="inlineStr">
        <is>
          <t>Tamil Nadu</t>
        </is>
      </c>
      <c r="C1450" s="2" t="inlineStr">
        <is>
          <t>Coimbatore</t>
        </is>
      </c>
      <c r="D1450" s="2" t="inlineStr">
        <is>
          <t>South</t>
        </is>
      </c>
    </row>
    <row r="1451">
      <c r="A1451" s="2" t="inlineStr">
        <is>
          <t>C0310</t>
        </is>
      </c>
      <c r="B1451" s="2" t="inlineStr">
        <is>
          <t>Delhi</t>
        </is>
      </c>
      <c r="C1451" s="2" t="inlineStr">
        <is>
          <t>New Delhi</t>
        </is>
      </c>
      <c r="D1451" s="2" t="inlineStr">
        <is>
          <t>North</t>
        </is>
      </c>
    </row>
    <row r="1452">
      <c r="A1452" s="2" t="inlineStr">
        <is>
          <t>C0310</t>
        </is>
      </c>
      <c r="B1452" s="2" t="inlineStr">
        <is>
          <t>Maharashtra</t>
        </is>
      </c>
      <c r="C1452" s="2" t="inlineStr">
        <is>
          <t>Thane</t>
        </is>
      </c>
      <c r="D1452" s="2" t="inlineStr">
        <is>
          <t>West</t>
        </is>
      </c>
    </row>
    <row r="1453">
      <c r="A1453" s="2" t="inlineStr">
        <is>
          <t>C0310</t>
        </is>
      </c>
      <c r="B1453" s="2" t="inlineStr">
        <is>
          <t>Gujarat</t>
        </is>
      </c>
      <c r="C1453" s="2" t="inlineStr">
        <is>
          <t>Surat</t>
        </is>
      </c>
      <c r="D1453" s="2" t="inlineStr">
        <is>
          <t>West</t>
        </is>
      </c>
    </row>
    <row r="1454">
      <c r="A1454" s="2" t="inlineStr">
        <is>
          <t>C0310</t>
        </is>
      </c>
      <c r="B1454" s="2" t="inlineStr">
        <is>
          <t>Tamil Nadu</t>
        </is>
      </c>
      <c r="C1454" s="2" t="inlineStr">
        <is>
          <t>Coimbatore</t>
        </is>
      </c>
      <c r="D1454" s="2" t="inlineStr">
        <is>
          <t>South</t>
        </is>
      </c>
    </row>
    <row r="1455">
      <c r="A1455" s="2" t="inlineStr">
        <is>
          <t>C0310</t>
        </is>
      </c>
      <c r="B1455" s="2" t="inlineStr">
        <is>
          <t>Uttar Pradesh</t>
        </is>
      </c>
      <c r="C1455" s="2" t="inlineStr">
        <is>
          <t>Noida</t>
        </is>
      </c>
      <c r="D1455" s="2" t="inlineStr">
        <is>
          <t>North</t>
        </is>
      </c>
    </row>
    <row r="1456">
      <c r="A1456" s="2" t="inlineStr">
        <is>
          <t>C0310</t>
        </is>
      </c>
      <c r="B1456" s="2" t="inlineStr">
        <is>
          <t>Kerala</t>
        </is>
      </c>
      <c r="C1456" s="2" t="inlineStr">
        <is>
          <t>Thiruvananthapuram</t>
        </is>
      </c>
      <c r="D1456" s="2" t="inlineStr">
        <is>
          <t>South</t>
        </is>
      </c>
    </row>
    <row r="1457">
      <c r="A1457" s="2" t="inlineStr">
        <is>
          <t>C0310</t>
        </is>
      </c>
      <c r="B1457" s="2" t="inlineStr">
        <is>
          <t>Odisha</t>
        </is>
      </c>
      <c r="C1457" s="2" t="inlineStr">
        <is>
          <t>Cuttack</t>
        </is>
      </c>
      <c r="D1457" s="2" t="inlineStr">
        <is>
          <t>East</t>
        </is>
      </c>
    </row>
    <row r="1458">
      <c r="A1458" s="2" t="inlineStr">
        <is>
          <t>C0310</t>
        </is>
      </c>
      <c r="B1458" s="2" t="inlineStr">
        <is>
          <t>Goa</t>
        </is>
      </c>
      <c r="C1458" s="2" t="inlineStr">
        <is>
          <t>Panaji</t>
        </is>
      </c>
      <c r="D1458" s="2" t="inlineStr">
        <is>
          <t>West</t>
        </is>
      </c>
    </row>
    <row r="1459">
      <c r="A1459" s="2" t="inlineStr">
        <is>
          <t>C0310</t>
        </is>
      </c>
      <c r="B1459" s="2" t="inlineStr">
        <is>
          <t>Karnataka</t>
        </is>
      </c>
      <c r="C1459" s="2" t="inlineStr">
        <is>
          <t>Mangaluru</t>
        </is>
      </c>
      <c r="D1459" s="2" t="inlineStr">
        <is>
          <t>South</t>
        </is>
      </c>
    </row>
    <row r="1460">
      <c r="A1460" s="2" t="inlineStr">
        <is>
          <t>C0310</t>
        </is>
      </c>
      <c r="B1460" s="2" t="inlineStr">
        <is>
          <t>Haryana</t>
        </is>
      </c>
      <c r="C1460" s="2" t="inlineStr">
        <is>
          <t>Faridabad</t>
        </is>
      </c>
      <c r="D1460" s="2" t="inlineStr">
        <is>
          <t>North</t>
        </is>
      </c>
    </row>
    <row r="1461">
      <c r="A1461" s="2" t="inlineStr">
        <is>
          <t>C0311</t>
        </is>
      </c>
      <c r="B1461" s="2" t="inlineStr">
        <is>
          <t>Delhi</t>
        </is>
      </c>
      <c r="C1461" s="2" t="inlineStr">
        <is>
          <t>New Delhi</t>
        </is>
      </c>
      <c r="D1461" s="2" t="inlineStr">
        <is>
          <t>North</t>
        </is>
      </c>
    </row>
    <row r="1462">
      <c r="A1462" s="2" t="inlineStr">
        <is>
          <t>C0311</t>
        </is>
      </c>
      <c r="B1462" s="2" t="inlineStr">
        <is>
          <t>Goa</t>
        </is>
      </c>
      <c r="C1462" s="2" t="inlineStr">
        <is>
          <t>Panaji</t>
        </is>
      </c>
      <c r="D1462" s="2" t="inlineStr">
        <is>
          <t>West</t>
        </is>
      </c>
    </row>
    <row r="1463">
      <c r="A1463" s="2" t="inlineStr">
        <is>
          <t>C0311</t>
        </is>
      </c>
      <c r="B1463" s="2" t="inlineStr">
        <is>
          <t>Gujarat</t>
        </is>
      </c>
      <c r="C1463" s="2" t="inlineStr">
        <is>
          <t>Surat</t>
        </is>
      </c>
      <c r="D1463" s="2" t="inlineStr">
        <is>
          <t>West</t>
        </is>
      </c>
    </row>
    <row r="1464">
      <c r="A1464" s="2" t="inlineStr">
        <is>
          <t>C0311</t>
        </is>
      </c>
      <c r="B1464" s="2" t="inlineStr">
        <is>
          <t>Haryana</t>
        </is>
      </c>
      <c r="C1464" s="2" t="inlineStr">
        <is>
          <t>Faridabad</t>
        </is>
      </c>
      <c r="D1464" s="2" t="inlineStr">
        <is>
          <t>North</t>
        </is>
      </c>
    </row>
    <row r="1465">
      <c r="A1465" s="2" t="inlineStr">
        <is>
          <t>C0311</t>
        </is>
      </c>
      <c r="B1465" s="2" t="inlineStr">
        <is>
          <t>Goa</t>
        </is>
      </c>
      <c r="C1465" s="2" t="inlineStr">
        <is>
          <t>Margao</t>
        </is>
      </c>
      <c r="D1465" s="2" t="inlineStr">
        <is>
          <t>West</t>
        </is>
      </c>
    </row>
    <row r="1466">
      <c r="A1466" s="2" t="inlineStr">
        <is>
          <t>C0311</t>
        </is>
      </c>
      <c r="B1466" s="2" t="inlineStr">
        <is>
          <t>Kerala</t>
        </is>
      </c>
      <c r="C1466" s="2" t="inlineStr">
        <is>
          <t>Kochi</t>
        </is>
      </c>
      <c r="D1466" s="2" t="inlineStr">
        <is>
          <t>South</t>
        </is>
      </c>
    </row>
    <row r="1467">
      <c r="A1467" s="2" t="inlineStr">
        <is>
          <t>C0311</t>
        </is>
      </c>
      <c r="B1467" s="2" t="inlineStr">
        <is>
          <t>Odisha</t>
        </is>
      </c>
      <c r="C1467" s="2" t="inlineStr">
        <is>
          <t>Cuttack</t>
        </is>
      </c>
      <c r="D1467" s="2" t="inlineStr">
        <is>
          <t>East</t>
        </is>
      </c>
    </row>
    <row r="1468">
      <c r="A1468" s="2" t="inlineStr">
        <is>
          <t>C0311</t>
        </is>
      </c>
      <c r="B1468" s="2" t="inlineStr">
        <is>
          <t>Haryana</t>
        </is>
      </c>
      <c r="C1468" s="2" t="inlineStr">
        <is>
          <t>Gurugram</t>
        </is>
      </c>
      <c r="D1468" s="2" t="inlineStr">
        <is>
          <t>North</t>
        </is>
      </c>
    </row>
    <row r="1469">
      <c r="A1469" s="2" t="inlineStr">
        <is>
          <t>C0311</t>
        </is>
      </c>
      <c r="B1469" s="2" t="inlineStr">
        <is>
          <t>Bihar</t>
        </is>
      </c>
      <c r="C1469" s="2" t="inlineStr">
        <is>
          <t>Patna</t>
        </is>
      </c>
      <c r="D1469" s="2" t="inlineStr">
        <is>
          <t>East</t>
        </is>
      </c>
    </row>
    <row r="1470">
      <c r="A1470" s="2" t="inlineStr">
        <is>
          <t>C0311</t>
        </is>
      </c>
      <c r="B1470" s="2" t="inlineStr">
        <is>
          <t>Uttar Pradesh</t>
        </is>
      </c>
      <c r="C1470" s="2" t="inlineStr">
        <is>
          <t>Noida</t>
        </is>
      </c>
      <c r="D1470" s="2" t="inlineStr">
        <is>
          <t>North</t>
        </is>
      </c>
    </row>
    <row r="1471">
      <c r="A1471" s="2" t="inlineStr">
        <is>
          <t>C0311</t>
        </is>
      </c>
      <c r="B1471" s="2" t="inlineStr">
        <is>
          <t>Punjab</t>
        </is>
      </c>
      <c r="C1471" s="2" t="inlineStr">
        <is>
          <t>Jalandhar</t>
        </is>
      </c>
      <c r="D1471" s="2" t="inlineStr">
        <is>
          <t>North</t>
        </is>
      </c>
    </row>
    <row r="1472">
      <c r="A1472" s="2" t="inlineStr">
        <is>
          <t>C0311</t>
        </is>
      </c>
      <c r="B1472" s="2" t="inlineStr">
        <is>
          <t>Telangana</t>
        </is>
      </c>
      <c r="C1472" s="2" t="inlineStr">
        <is>
          <t>Warangal</t>
        </is>
      </c>
      <c r="D1472" s="2" t="inlineStr">
        <is>
          <t>South</t>
        </is>
      </c>
    </row>
    <row r="1473">
      <c r="A1473" s="2" t="inlineStr">
        <is>
          <t>C0311</t>
        </is>
      </c>
      <c r="B1473" s="2" t="inlineStr">
        <is>
          <t>Gujarat</t>
        </is>
      </c>
      <c r="C1473" s="2" t="inlineStr">
        <is>
          <t>Vadodara</t>
        </is>
      </c>
      <c r="D1473" s="2" t="inlineStr">
        <is>
          <t>West</t>
        </is>
      </c>
    </row>
    <row r="1474">
      <c r="A1474" s="2" t="inlineStr">
        <is>
          <t>C0311</t>
        </is>
      </c>
      <c r="B1474" s="2" t="inlineStr">
        <is>
          <t>West Bengal</t>
        </is>
      </c>
      <c r="C1474" s="2" t="inlineStr">
        <is>
          <t>Kolkata</t>
        </is>
      </c>
      <c r="D1474" s="2" t="inlineStr">
        <is>
          <t>East</t>
        </is>
      </c>
    </row>
    <row r="1475">
      <c r="A1475" s="2" t="inlineStr">
        <is>
          <t>C0311</t>
        </is>
      </c>
      <c r="B1475" s="2" t="inlineStr">
        <is>
          <t>Maharashtra</t>
        </is>
      </c>
      <c r="C1475" s="2" t="inlineStr">
        <is>
          <t>Nagpur</t>
        </is>
      </c>
      <c r="D1475" s="2" t="inlineStr">
        <is>
          <t>West</t>
        </is>
      </c>
    </row>
    <row r="1476">
      <c r="A1476" s="2" t="inlineStr">
        <is>
          <t>C0312</t>
        </is>
      </c>
      <c r="B1476" s="2" t="inlineStr">
        <is>
          <t>Maharashtra</t>
        </is>
      </c>
      <c r="C1476" s="2" t="inlineStr">
        <is>
          <t>Nashik</t>
        </is>
      </c>
      <c r="D1476" s="2" t="inlineStr">
        <is>
          <t>West</t>
        </is>
      </c>
    </row>
    <row r="1477">
      <c r="A1477" s="2" t="inlineStr">
        <is>
          <t>C0312</t>
        </is>
      </c>
      <c r="B1477" s="2" t="inlineStr">
        <is>
          <t>Maharashtra</t>
        </is>
      </c>
      <c r="C1477" s="2" t="inlineStr">
        <is>
          <t>Pune</t>
        </is>
      </c>
      <c r="D1477" s="2" t="inlineStr">
        <is>
          <t>West</t>
        </is>
      </c>
    </row>
    <row r="1478">
      <c r="A1478" s="2" t="inlineStr">
        <is>
          <t>C0312</t>
        </is>
      </c>
      <c r="B1478" s="2" t="inlineStr">
        <is>
          <t>Haryana</t>
        </is>
      </c>
      <c r="C1478" s="2" t="inlineStr">
        <is>
          <t>Faridabad</t>
        </is>
      </c>
      <c r="D1478" s="2" t="inlineStr">
        <is>
          <t>North</t>
        </is>
      </c>
    </row>
    <row r="1479">
      <c r="A1479" s="2" t="inlineStr">
        <is>
          <t>C0312</t>
        </is>
      </c>
      <c r="B1479" s="2" t="inlineStr">
        <is>
          <t>Haryana</t>
        </is>
      </c>
      <c r="C1479" s="2" t="inlineStr">
        <is>
          <t>Gurugram</t>
        </is>
      </c>
      <c r="D1479" s="2" t="inlineStr">
        <is>
          <t>North</t>
        </is>
      </c>
    </row>
    <row r="1480">
      <c r="A1480" s="2" t="inlineStr">
        <is>
          <t>C0312</t>
        </is>
      </c>
      <c r="B1480" s="2" t="inlineStr">
        <is>
          <t>Kerala</t>
        </is>
      </c>
      <c r="C1480" s="2" t="inlineStr">
        <is>
          <t>Kochi</t>
        </is>
      </c>
      <c r="D1480" s="2" t="inlineStr">
        <is>
          <t>South</t>
        </is>
      </c>
    </row>
    <row r="1481">
      <c r="A1481" s="2" t="inlineStr">
        <is>
          <t>C0312</t>
        </is>
      </c>
      <c r="B1481" s="2" t="inlineStr">
        <is>
          <t>Tamil Nadu</t>
        </is>
      </c>
      <c r="C1481" s="2" t="inlineStr">
        <is>
          <t>Madurai</t>
        </is>
      </c>
      <c r="D1481" s="2" t="inlineStr">
        <is>
          <t>South</t>
        </is>
      </c>
    </row>
    <row r="1482">
      <c r="A1482" s="2" t="inlineStr">
        <is>
          <t>C0312</t>
        </is>
      </c>
      <c r="B1482" s="2" t="inlineStr">
        <is>
          <t>Bihar</t>
        </is>
      </c>
      <c r="C1482" s="2" t="inlineStr">
        <is>
          <t>Gaya</t>
        </is>
      </c>
      <c r="D1482" s="2" t="inlineStr">
        <is>
          <t>East</t>
        </is>
      </c>
    </row>
    <row r="1483">
      <c r="A1483" s="2" t="inlineStr">
        <is>
          <t>C0312</t>
        </is>
      </c>
      <c r="B1483" s="2" t="inlineStr">
        <is>
          <t>West Bengal</t>
        </is>
      </c>
      <c r="C1483" s="2" t="inlineStr">
        <is>
          <t>Durgapur</t>
        </is>
      </c>
      <c r="D1483" s="2" t="inlineStr">
        <is>
          <t>East</t>
        </is>
      </c>
    </row>
    <row r="1484">
      <c r="A1484" s="2" t="inlineStr">
        <is>
          <t>C0313</t>
        </is>
      </c>
      <c r="B1484" s="2" t="inlineStr">
        <is>
          <t>West Bengal</t>
        </is>
      </c>
      <c r="C1484" s="2" t="inlineStr">
        <is>
          <t>Durgapur</t>
        </is>
      </c>
      <c r="D1484" s="2" t="inlineStr">
        <is>
          <t>East</t>
        </is>
      </c>
    </row>
    <row r="1485">
      <c r="A1485" s="2" t="inlineStr">
        <is>
          <t>C0313</t>
        </is>
      </c>
      <c r="B1485" s="2" t="inlineStr">
        <is>
          <t>Uttar Pradesh</t>
        </is>
      </c>
      <c r="C1485" s="2" t="inlineStr">
        <is>
          <t>Noida</t>
        </is>
      </c>
      <c r="D1485" s="2" t="inlineStr">
        <is>
          <t>North</t>
        </is>
      </c>
    </row>
    <row r="1486">
      <c r="A1486" s="2" t="inlineStr">
        <is>
          <t>C0313</t>
        </is>
      </c>
      <c r="B1486" s="2" t="inlineStr">
        <is>
          <t>West Bengal</t>
        </is>
      </c>
      <c r="C1486" s="2" t="inlineStr">
        <is>
          <t>Kolkata</t>
        </is>
      </c>
      <c r="D1486" s="2" t="inlineStr">
        <is>
          <t>East</t>
        </is>
      </c>
    </row>
    <row r="1487">
      <c r="A1487" s="2" t="inlineStr">
        <is>
          <t>C0313</t>
        </is>
      </c>
      <c r="B1487" s="2" t="inlineStr">
        <is>
          <t>Goa</t>
        </is>
      </c>
      <c r="C1487" s="2" t="inlineStr">
        <is>
          <t>Margao</t>
        </is>
      </c>
      <c r="D1487" s="2" t="inlineStr">
        <is>
          <t>West</t>
        </is>
      </c>
    </row>
    <row r="1488">
      <c r="A1488" s="2" t="inlineStr">
        <is>
          <t>C0313</t>
        </is>
      </c>
      <c r="B1488" s="2" t="inlineStr">
        <is>
          <t>Maharashtra</t>
        </is>
      </c>
      <c r="C1488" s="2" t="inlineStr">
        <is>
          <t>Pune</t>
        </is>
      </c>
      <c r="D1488" s="2" t="inlineStr">
        <is>
          <t>West</t>
        </is>
      </c>
    </row>
    <row r="1489">
      <c r="A1489" s="2" t="inlineStr">
        <is>
          <t>C0314</t>
        </is>
      </c>
      <c r="B1489" s="2" t="inlineStr">
        <is>
          <t>Maharashtra</t>
        </is>
      </c>
      <c r="C1489" s="2" t="inlineStr">
        <is>
          <t>Mumbai</t>
        </is>
      </c>
      <c r="D1489" s="2" t="inlineStr">
        <is>
          <t>West</t>
        </is>
      </c>
    </row>
    <row r="1490">
      <c r="A1490" s="2" t="inlineStr">
        <is>
          <t>C0314</t>
        </is>
      </c>
      <c r="B1490" s="2" t="inlineStr">
        <is>
          <t>Kerala</t>
        </is>
      </c>
      <c r="C1490" s="2" t="inlineStr">
        <is>
          <t>Kochi</t>
        </is>
      </c>
      <c r="D1490" s="2" t="inlineStr">
        <is>
          <t>South</t>
        </is>
      </c>
    </row>
    <row r="1491">
      <c r="A1491" s="2" t="inlineStr">
        <is>
          <t>C0314</t>
        </is>
      </c>
      <c r="B1491" s="2" t="inlineStr">
        <is>
          <t>Punjab</t>
        </is>
      </c>
      <c r="C1491" s="2" t="inlineStr">
        <is>
          <t>Amritsar</t>
        </is>
      </c>
      <c r="D1491" s="2" t="inlineStr">
        <is>
          <t>North</t>
        </is>
      </c>
    </row>
    <row r="1492">
      <c r="A1492" s="2" t="inlineStr">
        <is>
          <t>C0314</t>
        </is>
      </c>
      <c r="B1492" s="2" t="inlineStr">
        <is>
          <t>Gujarat</t>
        </is>
      </c>
      <c r="C1492" s="2" t="inlineStr">
        <is>
          <t>Surat</t>
        </is>
      </c>
      <c r="D1492" s="2" t="inlineStr">
        <is>
          <t>West</t>
        </is>
      </c>
    </row>
    <row r="1493">
      <c r="A1493" s="2" t="inlineStr">
        <is>
          <t>C0314</t>
        </is>
      </c>
      <c r="B1493" s="2" t="inlineStr">
        <is>
          <t>Gujarat</t>
        </is>
      </c>
      <c r="C1493" s="2" t="inlineStr">
        <is>
          <t>Ahmedabad</t>
        </is>
      </c>
      <c r="D1493" s="2" t="inlineStr">
        <is>
          <t>West</t>
        </is>
      </c>
    </row>
    <row r="1494">
      <c r="A1494" s="2" t="inlineStr">
        <is>
          <t>C0314</t>
        </is>
      </c>
      <c r="B1494" s="2" t="inlineStr">
        <is>
          <t>Odisha</t>
        </is>
      </c>
      <c r="C1494" s="2" t="inlineStr">
        <is>
          <t>Cuttack</t>
        </is>
      </c>
      <c r="D1494" s="2" t="inlineStr">
        <is>
          <t>East</t>
        </is>
      </c>
    </row>
    <row r="1495">
      <c r="A1495" s="2" t="inlineStr">
        <is>
          <t>C0314</t>
        </is>
      </c>
      <c r="B1495" s="2" t="inlineStr">
        <is>
          <t>Odisha</t>
        </is>
      </c>
      <c r="C1495" s="2" t="inlineStr">
        <is>
          <t>Bhubaneswar</t>
        </is>
      </c>
      <c r="D1495" s="2" t="inlineStr">
        <is>
          <t>East</t>
        </is>
      </c>
    </row>
    <row r="1496">
      <c r="A1496" s="2" t="inlineStr">
        <is>
          <t>C0314</t>
        </is>
      </c>
      <c r="B1496" s="2" t="inlineStr">
        <is>
          <t>Uttar Pradesh</t>
        </is>
      </c>
      <c r="C1496" s="2" t="inlineStr">
        <is>
          <t>Varanasi</t>
        </is>
      </c>
      <c r="D1496" s="2" t="inlineStr">
        <is>
          <t>North</t>
        </is>
      </c>
    </row>
    <row r="1497">
      <c r="A1497" s="2" t="inlineStr">
        <is>
          <t>C0314</t>
        </is>
      </c>
      <c r="B1497" s="2" t="inlineStr">
        <is>
          <t>Haryana</t>
        </is>
      </c>
      <c r="C1497" s="2" t="inlineStr">
        <is>
          <t>Gurugram</t>
        </is>
      </c>
      <c r="D1497" s="2" t="inlineStr">
        <is>
          <t>North</t>
        </is>
      </c>
    </row>
    <row r="1498">
      <c r="A1498" s="2" t="inlineStr">
        <is>
          <t>C0314</t>
        </is>
      </c>
      <c r="B1498" s="2" t="inlineStr">
        <is>
          <t>Haryana</t>
        </is>
      </c>
      <c r="C1498" s="2" t="inlineStr">
        <is>
          <t>Faridabad</t>
        </is>
      </c>
      <c r="D1498" s="2" t="inlineStr">
        <is>
          <t>North</t>
        </is>
      </c>
    </row>
    <row r="1499">
      <c r="A1499" s="2" t="inlineStr">
        <is>
          <t>C0314</t>
        </is>
      </c>
      <c r="B1499" s="2" t="inlineStr">
        <is>
          <t>West Bengal</t>
        </is>
      </c>
      <c r="C1499" s="2" t="inlineStr">
        <is>
          <t>Kolkata</t>
        </is>
      </c>
      <c r="D1499" s="2" t="inlineStr">
        <is>
          <t>East</t>
        </is>
      </c>
    </row>
    <row r="1500">
      <c r="A1500" s="2" t="inlineStr">
        <is>
          <t>C0314</t>
        </is>
      </c>
      <c r="B1500" s="2" t="inlineStr">
        <is>
          <t>Kerala</t>
        </is>
      </c>
      <c r="C1500" s="2" t="inlineStr">
        <is>
          <t>Thiruvananthapuram</t>
        </is>
      </c>
      <c r="D1500" s="2" t="inlineStr">
        <is>
          <t>South</t>
        </is>
      </c>
    </row>
    <row r="1501">
      <c r="A1501" s="2" t="inlineStr">
        <is>
          <t>C0314</t>
        </is>
      </c>
      <c r="B1501" s="2" t="inlineStr">
        <is>
          <t>Tamil Nadu</t>
        </is>
      </c>
      <c r="C1501" s="2" t="inlineStr">
        <is>
          <t>Coimbatore</t>
        </is>
      </c>
      <c r="D1501" s="2" t="inlineStr">
        <is>
          <t>South</t>
        </is>
      </c>
    </row>
    <row r="1502">
      <c r="A1502" s="2" t="inlineStr">
        <is>
          <t>C0314</t>
        </is>
      </c>
      <c r="B1502" s="2" t="inlineStr">
        <is>
          <t>Karnataka</t>
        </is>
      </c>
      <c r="C1502" s="2" t="inlineStr">
        <is>
          <t>Bengaluru</t>
        </is>
      </c>
      <c r="D1502" s="2" t="inlineStr">
        <is>
          <t>South</t>
        </is>
      </c>
    </row>
    <row r="1503">
      <c r="A1503" s="2" t="inlineStr">
        <is>
          <t>C0315</t>
        </is>
      </c>
      <c r="B1503" s="2" t="inlineStr">
        <is>
          <t>Gujarat</t>
        </is>
      </c>
      <c r="C1503" s="2" t="inlineStr">
        <is>
          <t>Surat</t>
        </is>
      </c>
      <c r="D1503" s="2" t="inlineStr">
        <is>
          <t>West</t>
        </is>
      </c>
    </row>
    <row r="1504">
      <c r="A1504" s="2" t="inlineStr">
        <is>
          <t>C0315</t>
        </is>
      </c>
      <c r="B1504" s="2" t="inlineStr">
        <is>
          <t>Maharashtra</t>
        </is>
      </c>
      <c r="C1504" s="2" t="inlineStr">
        <is>
          <t>Thane</t>
        </is>
      </c>
      <c r="D1504" s="2" t="inlineStr">
        <is>
          <t>West</t>
        </is>
      </c>
    </row>
    <row r="1505">
      <c r="A1505" s="2" t="inlineStr">
        <is>
          <t>C0315</t>
        </is>
      </c>
      <c r="B1505" s="2" t="inlineStr">
        <is>
          <t>Gujarat</t>
        </is>
      </c>
      <c r="C1505" s="2" t="inlineStr">
        <is>
          <t>Ahmedabad</t>
        </is>
      </c>
      <c r="D1505" s="2" t="inlineStr">
        <is>
          <t>West</t>
        </is>
      </c>
    </row>
    <row r="1506">
      <c r="A1506" s="2" t="inlineStr">
        <is>
          <t>C0315</t>
        </is>
      </c>
      <c r="B1506" s="2" t="inlineStr">
        <is>
          <t>Telangana</t>
        </is>
      </c>
      <c r="C1506" s="2" t="inlineStr">
        <is>
          <t>Hyderabad</t>
        </is>
      </c>
      <c r="D1506" s="2" t="inlineStr">
        <is>
          <t>South</t>
        </is>
      </c>
    </row>
    <row r="1507">
      <c r="A1507" s="2" t="inlineStr">
        <is>
          <t>C0316</t>
        </is>
      </c>
      <c r="B1507" s="2" t="inlineStr">
        <is>
          <t>Haryana</t>
        </is>
      </c>
      <c r="C1507" s="2" t="inlineStr">
        <is>
          <t>Gurugram</t>
        </is>
      </c>
      <c r="D1507" s="2" t="inlineStr">
        <is>
          <t>North</t>
        </is>
      </c>
    </row>
    <row r="1508">
      <c r="A1508" s="2" t="inlineStr">
        <is>
          <t>C0316</t>
        </is>
      </c>
      <c r="B1508" s="2" t="inlineStr">
        <is>
          <t>Uttar Pradesh</t>
        </is>
      </c>
      <c r="C1508" s="2" t="inlineStr">
        <is>
          <t>Noida</t>
        </is>
      </c>
      <c r="D1508" s="2" t="inlineStr">
        <is>
          <t>North</t>
        </is>
      </c>
    </row>
    <row r="1509">
      <c r="A1509" s="2" t="inlineStr">
        <is>
          <t>C0316</t>
        </is>
      </c>
      <c r="B1509" s="2" t="inlineStr">
        <is>
          <t>Karnataka</t>
        </is>
      </c>
      <c r="C1509" s="2" t="inlineStr">
        <is>
          <t>Mangaluru</t>
        </is>
      </c>
      <c r="D1509" s="2" t="inlineStr">
        <is>
          <t>South</t>
        </is>
      </c>
    </row>
    <row r="1510">
      <c r="A1510" s="2" t="inlineStr">
        <is>
          <t>C0316</t>
        </is>
      </c>
      <c r="B1510" s="2" t="inlineStr">
        <is>
          <t>Delhi</t>
        </is>
      </c>
      <c r="C1510" s="2" t="inlineStr">
        <is>
          <t>New Delhi</t>
        </is>
      </c>
      <c r="D1510" s="2" t="inlineStr">
        <is>
          <t>North</t>
        </is>
      </c>
    </row>
    <row r="1511">
      <c r="A1511" s="2" t="inlineStr">
        <is>
          <t>C0316</t>
        </is>
      </c>
      <c r="B1511" s="2" t="inlineStr">
        <is>
          <t>Uttar Pradesh</t>
        </is>
      </c>
      <c r="C1511" s="2" t="inlineStr">
        <is>
          <t>Lucknow</t>
        </is>
      </c>
      <c r="D1511" s="2" t="inlineStr">
        <is>
          <t>North</t>
        </is>
      </c>
    </row>
    <row r="1512">
      <c r="A1512" s="2" t="inlineStr">
        <is>
          <t>C0317</t>
        </is>
      </c>
      <c r="B1512" s="2" t="inlineStr">
        <is>
          <t>Goa</t>
        </is>
      </c>
      <c r="C1512" s="2" t="inlineStr">
        <is>
          <t>Margao</t>
        </is>
      </c>
      <c r="D1512" s="2" t="inlineStr">
        <is>
          <t>West</t>
        </is>
      </c>
    </row>
    <row r="1513">
      <c r="A1513" s="2" t="inlineStr">
        <is>
          <t>C0317</t>
        </is>
      </c>
      <c r="B1513" s="2" t="inlineStr">
        <is>
          <t>West Bengal</t>
        </is>
      </c>
      <c r="C1513" s="2" t="inlineStr">
        <is>
          <t>Durgapur</t>
        </is>
      </c>
      <c r="D1513" s="2" t="inlineStr">
        <is>
          <t>East</t>
        </is>
      </c>
    </row>
    <row r="1514">
      <c r="A1514" s="2" t="inlineStr">
        <is>
          <t>C0317</t>
        </is>
      </c>
      <c r="B1514" s="2" t="inlineStr">
        <is>
          <t>Odisha</t>
        </is>
      </c>
      <c r="C1514" s="2" t="inlineStr">
        <is>
          <t>Bhubaneswar</t>
        </is>
      </c>
      <c r="D1514" s="2" t="inlineStr">
        <is>
          <t>East</t>
        </is>
      </c>
    </row>
    <row r="1515">
      <c r="A1515" s="2" t="inlineStr">
        <is>
          <t>C0317</t>
        </is>
      </c>
      <c r="B1515" s="2" t="inlineStr">
        <is>
          <t>Haryana</t>
        </is>
      </c>
      <c r="C1515" s="2" t="inlineStr">
        <is>
          <t>Gurugram</t>
        </is>
      </c>
      <c r="D1515" s="2" t="inlineStr">
        <is>
          <t>North</t>
        </is>
      </c>
    </row>
    <row r="1516">
      <c r="A1516" s="2" t="inlineStr">
        <is>
          <t>C0319</t>
        </is>
      </c>
      <c r="B1516" s="2" t="inlineStr">
        <is>
          <t>Uttar Pradesh</t>
        </is>
      </c>
      <c r="C1516" s="2" t="inlineStr">
        <is>
          <t>Noida</t>
        </is>
      </c>
      <c r="D1516" s="2" t="n">
        <v/>
      </c>
    </row>
    <row r="1517">
      <c r="A1517" s="2" t="inlineStr">
        <is>
          <t>C0319</t>
        </is>
      </c>
      <c r="B1517" s="2" t="inlineStr">
        <is>
          <t>Haryana</t>
        </is>
      </c>
      <c r="C1517" s="2" t="inlineStr">
        <is>
          <t>Gurugram</t>
        </is>
      </c>
      <c r="D1517" s="2" t="inlineStr">
        <is>
          <t>North</t>
        </is>
      </c>
    </row>
    <row r="1518">
      <c r="A1518" s="2" t="inlineStr">
        <is>
          <t>C0319</t>
        </is>
      </c>
      <c r="B1518" s="2" t="inlineStr">
        <is>
          <t>Uttar Pradesh</t>
        </is>
      </c>
      <c r="C1518" s="2" t="inlineStr">
        <is>
          <t>Kanpur</t>
        </is>
      </c>
      <c r="D1518" s="2" t="inlineStr">
        <is>
          <t>North</t>
        </is>
      </c>
    </row>
    <row r="1519">
      <c r="A1519" s="2" t="inlineStr">
        <is>
          <t>C0319</t>
        </is>
      </c>
      <c r="B1519" s="2" t="inlineStr">
        <is>
          <t>Gujarat</t>
        </is>
      </c>
      <c r="C1519" s="2" t="inlineStr">
        <is>
          <t>Vadodara</t>
        </is>
      </c>
      <c r="D1519" s="2" t="inlineStr">
        <is>
          <t>West</t>
        </is>
      </c>
    </row>
    <row r="1520">
      <c r="A1520" s="2" t="inlineStr">
        <is>
          <t>C0319</t>
        </is>
      </c>
      <c r="B1520" s="2" t="inlineStr">
        <is>
          <t>Kerala</t>
        </is>
      </c>
      <c r="C1520" s="2" t="inlineStr">
        <is>
          <t>Kochi</t>
        </is>
      </c>
      <c r="D1520" s="2" t="inlineStr">
        <is>
          <t>South</t>
        </is>
      </c>
    </row>
    <row r="1521">
      <c r="A1521" s="2" t="inlineStr">
        <is>
          <t>C0319</t>
        </is>
      </c>
      <c r="B1521" s="2" t="inlineStr">
        <is>
          <t>Goa</t>
        </is>
      </c>
      <c r="C1521" s="2" t="inlineStr">
        <is>
          <t>Panaji</t>
        </is>
      </c>
      <c r="D1521" s="2" t="inlineStr">
        <is>
          <t>West</t>
        </is>
      </c>
    </row>
    <row r="1522">
      <c r="A1522" s="2" t="inlineStr">
        <is>
          <t>C0319</t>
        </is>
      </c>
      <c r="B1522" s="2" t="inlineStr">
        <is>
          <t>Odisha</t>
        </is>
      </c>
      <c r="C1522" s="2" t="inlineStr">
        <is>
          <t>Cuttack</t>
        </is>
      </c>
      <c r="D1522" s="2" t="inlineStr">
        <is>
          <t>East</t>
        </is>
      </c>
    </row>
    <row r="1523">
      <c r="A1523" s="2" t="inlineStr">
        <is>
          <t>C0319</t>
        </is>
      </c>
      <c r="B1523" s="2" t="inlineStr">
        <is>
          <t>Bihar</t>
        </is>
      </c>
      <c r="C1523" s="2" t="inlineStr">
        <is>
          <t>Patna</t>
        </is>
      </c>
      <c r="D1523" s="2" t="inlineStr">
        <is>
          <t>East</t>
        </is>
      </c>
    </row>
    <row r="1524">
      <c r="A1524" s="2" t="inlineStr">
        <is>
          <t>C0319</t>
        </is>
      </c>
      <c r="B1524" s="2" t="inlineStr">
        <is>
          <t>Haryana</t>
        </is>
      </c>
      <c r="C1524" s="2" t="inlineStr">
        <is>
          <t>Faridabad</t>
        </is>
      </c>
      <c r="D1524" s="2" t="inlineStr">
        <is>
          <t>North</t>
        </is>
      </c>
    </row>
    <row r="1525">
      <c r="A1525" s="2" t="inlineStr">
        <is>
          <t>C0319</t>
        </is>
      </c>
      <c r="B1525" s="2" t="inlineStr">
        <is>
          <t>Telangana</t>
        </is>
      </c>
      <c r="C1525" s="2" t="inlineStr">
        <is>
          <t>Warangal</t>
        </is>
      </c>
      <c r="D1525" s="2" t="inlineStr">
        <is>
          <t>South</t>
        </is>
      </c>
    </row>
    <row r="1526">
      <c r="A1526" s="2" t="inlineStr">
        <is>
          <t>C0319</t>
        </is>
      </c>
      <c r="B1526" s="2" t="inlineStr">
        <is>
          <t>Gujarat</t>
        </is>
      </c>
      <c r="C1526" s="2" t="inlineStr">
        <is>
          <t>Ahmedabad</t>
        </is>
      </c>
      <c r="D1526" s="2" t="inlineStr">
        <is>
          <t>West</t>
        </is>
      </c>
    </row>
    <row r="1527">
      <c r="A1527" s="2" t="inlineStr">
        <is>
          <t>C0319</t>
        </is>
      </c>
      <c r="B1527" s="2" t="inlineStr">
        <is>
          <t>Maharashtra</t>
        </is>
      </c>
      <c r="C1527" s="2" t="inlineStr">
        <is>
          <t>Thane</t>
        </is>
      </c>
      <c r="D1527" s="2" t="inlineStr">
        <is>
          <t>West</t>
        </is>
      </c>
    </row>
    <row r="1528">
      <c r="A1528" s="2" t="inlineStr">
        <is>
          <t>C0319</t>
        </is>
      </c>
      <c r="B1528" s="2" t="inlineStr">
        <is>
          <t>Uttar Pradesh</t>
        </is>
      </c>
      <c r="C1528" s="2" t="inlineStr">
        <is>
          <t>Varanasi</t>
        </is>
      </c>
      <c r="D1528" s="2" t="inlineStr">
        <is>
          <t>North</t>
        </is>
      </c>
    </row>
    <row r="1529">
      <c r="A1529" s="2" t="inlineStr">
        <is>
          <t>C0319</t>
        </is>
      </c>
      <c r="B1529" s="2" t="inlineStr">
        <is>
          <t>Delhi</t>
        </is>
      </c>
      <c r="C1529" s="2" t="inlineStr">
        <is>
          <t>New Delhi</t>
        </is>
      </c>
      <c r="D1529" s="2" t="inlineStr">
        <is>
          <t>North</t>
        </is>
      </c>
    </row>
    <row r="1530">
      <c r="A1530" s="2" t="inlineStr">
        <is>
          <t>C0319</t>
        </is>
      </c>
      <c r="B1530" s="2" t="inlineStr">
        <is>
          <t>Kerala</t>
        </is>
      </c>
      <c r="C1530" s="2" t="inlineStr">
        <is>
          <t>Thiruvananthapuram</t>
        </is>
      </c>
      <c r="D1530" s="2" t="inlineStr">
        <is>
          <t>South</t>
        </is>
      </c>
    </row>
    <row r="1531">
      <c r="A1531" s="2" t="inlineStr">
        <is>
          <t>C0319</t>
        </is>
      </c>
      <c r="B1531" s="2" t="inlineStr">
        <is>
          <t>West Bengal</t>
        </is>
      </c>
      <c r="C1531" s="2" t="inlineStr">
        <is>
          <t>Kolkata</t>
        </is>
      </c>
      <c r="D1531" s="2" t="inlineStr">
        <is>
          <t>East</t>
        </is>
      </c>
    </row>
    <row r="1532">
      <c r="A1532" s="2" t="inlineStr">
        <is>
          <t>C0320</t>
        </is>
      </c>
      <c r="B1532" s="2" t="inlineStr">
        <is>
          <t>Goa</t>
        </is>
      </c>
      <c r="C1532" s="2" t="inlineStr">
        <is>
          <t>Panaji</t>
        </is>
      </c>
      <c r="D1532" s="2" t="inlineStr">
        <is>
          <t>West</t>
        </is>
      </c>
    </row>
    <row r="1533">
      <c r="A1533" s="2" t="inlineStr">
        <is>
          <t>C0320</t>
        </is>
      </c>
      <c r="B1533" s="2" t="inlineStr">
        <is>
          <t>Maharashtra</t>
        </is>
      </c>
      <c r="C1533" s="2" t="inlineStr">
        <is>
          <t>Mumbai</t>
        </is>
      </c>
      <c r="D1533" s="2" t="inlineStr">
        <is>
          <t>West</t>
        </is>
      </c>
    </row>
    <row r="1534">
      <c r="A1534" s="2" t="inlineStr">
        <is>
          <t>C0320</t>
        </is>
      </c>
      <c r="B1534" s="2" t="inlineStr">
        <is>
          <t>Gujarat</t>
        </is>
      </c>
      <c r="C1534" s="2" t="inlineStr">
        <is>
          <t>Vadodara</t>
        </is>
      </c>
      <c r="D1534" s="2" t="inlineStr">
        <is>
          <t>West</t>
        </is>
      </c>
    </row>
    <row r="1535">
      <c r="A1535" s="2" t="inlineStr">
        <is>
          <t>C0320</t>
        </is>
      </c>
      <c r="B1535" s="2" t="inlineStr">
        <is>
          <t>Haryana</t>
        </is>
      </c>
      <c r="C1535" s="2" t="inlineStr">
        <is>
          <t>Gurugram</t>
        </is>
      </c>
      <c r="D1535" s="2" t="inlineStr">
        <is>
          <t>North</t>
        </is>
      </c>
    </row>
    <row r="1536">
      <c r="A1536" s="2" t="inlineStr">
        <is>
          <t>C0320</t>
        </is>
      </c>
      <c r="B1536" s="2" t="inlineStr">
        <is>
          <t>Karnataka</t>
        </is>
      </c>
      <c r="C1536" s="2" t="inlineStr">
        <is>
          <t>Bengaluru</t>
        </is>
      </c>
      <c r="D1536" s="2" t="inlineStr">
        <is>
          <t>South</t>
        </is>
      </c>
    </row>
    <row r="1537">
      <c r="A1537" s="2" t="inlineStr">
        <is>
          <t>C0320</t>
        </is>
      </c>
      <c r="B1537" s="2" t="inlineStr">
        <is>
          <t>Kerala</t>
        </is>
      </c>
      <c r="C1537" s="2" t="inlineStr">
        <is>
          <t>Kochi</t>
        </is>
      </c>
      <c r="D1537" s="2" t="inlineStr">
        <is>
          <t>South</t>
        </is>
      </c>
    </row>
    <row r="1538">
      <c r="A1538" s="2" t="inlineStr">
        <is>
          <t>C0321</t>
        </is>
      </c>
      <c r="B1538" s="2" t="inlineStr">
        <is>
          <t>Kerala</t>
        </is>
      </c>
      <c r="C1538" s="2" t="inlineStr">
        <is>
          <t>Thiruvananthapuram</t>
        </is>
      </c>
      <c r="D1538" s="2" t="inlineStr">
        <is>
          <t>South</t>
        </is>
      </c>
    </row>
    <row r="1539">
      <c r="A1539" s="2" t="inlineStr">
        <is>
          <t>C0321</t>
        </is>
      </c>
      <c r="B1539" s="2" t="inlineStr">
        <is>
          <t>Uttar Pradesh</t>
        </is>
      </c>
      <c r="C1539" s="2" t="inlineStr">
        <is>
          <t>Varanasi</t>
        </is>
      </c>
      <c r="D1539" s="2" t="inlineStr">
        <is>
          <t>North</t>
        </is>
      </c>
    </row>
    <row r="1540">
      <c r="A1540" s="2" t="inlineStr">
        <is>
          <t>C0321</t>
        </is>
      </c>
      <c r="B1540" s="2" t="inlineStr">
        <is>
          <t>Punjab</t>
        </is>
      </c>
      <c r="C1540" s="2" t="inlineStr">
        <is>
          <t>Ludhiana</t>
        </is>
      </c>
      <c r="D1540" s="2" t="inlineStr">
        <is>
          <t>North</t>
        </is>
      </c>
    </row>
    <row r="1541">
      <c r="A1541" s="2" t="inlineStr">
        <is>
          <t>C0321</t>
        </is>
      </c>
      <c r="B1541" s="2" t="inlineStr">
        <is>
          <t>Kerala</t>
        </is>
      </c>
      <c r="C1541" s="2" t="inlineStr">
        <is>
          <t>Kochi</t>
        </is>
      </c>
      <c r="D1541" s="2" t="inlineStr">
        <is>
          <t>South</t>
        </is>
      </c>
    </row>
    <row r="1542">
      <c r="A1542" s="2" t="inlineStr">
        <is>
          <t>C0321</t>
        </is>
      </c>
      <c r="B1542" s="2" t="inlineStr">
        <is>
          <t>Uttar Pradesh</t>
        </is>
      </c>
      <c r="C1542" s="2" t="inlineStr">
        <is>
          <t>Kanpur</t>
        </is>
      </c>
      <c r="D1542" s="2" t="inlineStr">
        <is>
          <t>North</t>
        </is>
      </c>
    </row>
    <row r="1543">
      <c r="A1543" s="2" t="inlineStr">
        <is>
          <t>C0322</t>
        </is>
      </c>
      <c r="B1543" s="2" t="inlineStr">
        <is>
          <t>Goa</t>
        </is>
      </c>
      <c r="C1543" s="2" t="inlineStr">
        <is>
          <t>Panaji</t>
        </is>
      </c>
      <c r="D1543" s="2" t="inlineStr">
        <is>
          <t>West</t>
        </is>
      </c>
    </row>
    <row r="1544">
      <c r="A1544" s="2" t="inlineStr">
        <is>
          <t>C0322</t>
        </is>
      </c>
      <c r="B1544" s="2" t="inlineStr">
        <is>
          <t>Maharashtra</t>
        </is>
      </c>
      <c r="C1544" s="2" t="inlineStr">
        <is>
          <t>Nashik</t>
        </is>
      </c>
      <c r="D1544" s="2" t="inlineStr">
        <is>
          <t>West</t>
        </is>
      </c>
    </row>
    <row r="1545">
      <c r="A1545" s="2" t="inlineStr">
        <is>
          <t>C0322</t>
        </is>
      </c>
      <c r="B1545" s="2" t="inlineStr">
        <is>
          <t>Goa</t>
        </is>
      </c>
      <c r="C1545" s="2" t="inlineStr">
        <is>
          <t>Margao</t>
        </is>
      </c>
      <c r="D1545" s="2" t="inlineStr">
        <is>
          <t>West</t>
        </is>
      </c>
    </row>
    <row r="1546">
      <c r="A1546" s="2" t="inlineStr">
        <is>
          <t>C0322</t>
        </is>
      </c>
      <c r="B1546" s="2" t="inlineStr">
        <is>
          <t>Delhi</t>
        </is>
      </c>
      <c r="C1546" s="2" t="inlineStr">
        <is>
          <t>New Delhi</t>
        </is>
      </c>
      <c r="D1546" s="2" t="inlineStr">
        <is>
          <t>North</t>
        </is>
      </c>
    </row>
    <row r="1547">
      <c r="A1547" s="2" t="inlineStr">
        <is>
          <t>C0323</t>
        </is>
      </c>
      <c r="B1547" s="2" t="inlineStr">
        <is>
          <t>Telangana</t>
        </is>
      </c>
      <c r="C1547" s="2" t="inlineStr">
        <is>
          <t>Hyderabad</t>
        </is>
      </c>
      <c r="D1547" s="2" t="inlineStr">
        <is>
          <t>South</t>
        </is>
      </c>
    </row>
    <row r="1548">
      <c r="A1548" s="2" t="inlineStr">
        <is>
          <t>C0323</t>
        </is>
      </c>
      <c r="B1548" s="2" t="inlineStr">
        <is>
          <t>Goa</t>
        </is>
      </c>
      <c r="C1548" s="2" t="inlineStr">
        <is>
          <t>Panaji</t>
        </is>
      </c>
      <c r="D1548" s="2" t="inlineStr">
        <is>
          <t>West</t>
        </is>
      </c>
    </row>
    <row r="1549">
      <c r="A1549" s="2" t="inlineStr">
        <is>
          <t>C0323</t>
        </is>
      </c>
      <c r="B1549" s="2" t="inlineStr">
        <is>
          <t>Karnataka</t>
        </is>
      </c>
      <c r="C1549" s="2" t="inlineStr">
        <is>
          <t>Mangaluru</t>
        </is>
      </c>
      <c r="D1549" s="2" t="inlineStr">
        <is>
          <t>South</t>
        </is>
      </c>
    </row>
    <row r="1550">
      <c r="A1550" s="2" t="inlineStr">
        <is>
          <t>C0323</t>
        </is>
      </c>
      <c r="B1550" s="2" t="inlineStr">
        <is>
          <t>Goa</t>
        </is>
      </c>
      <c r="C1550" s="2" t="inlineStr">
        <is>
          <t>Margao</t>
        </is>
      </c>
      <c r="D1550" s="2" t="inlineStr">
        <is>
          <t>West</t>
        </is>
      </c>
    </row>
    <row r="1551">
      <c r="A1551" s="2" t="inlineStr">
        <is>
          <t>C0323</t>
        </is>
      </c>
      <c r="B1551" s="2" t="inlineStr">
        <is>
          <t>Odisha</t>
        </is>
      </c>
      <c r="C1551" s="2" t="inlineStr">
        <is>
          <t>Bhubaneswar</t>
        </is>
      </c>
      <c r="D1551" s="2" t="inlineStr">
        <is>
          <t>East</t>
        </is>
      </c>
    </row>
    <row r="1552">
      <c r="A1552" s="2" t="inlineStr">
        <is>
          <t>C0323</t>
        </is>
      </c>
      <c r="B1552" s="2" t="inlineStr">
        <is>
          <t>Punjab</t>
        </is>
      </c>
      <c r="C1552" s="2" t="inlineStr">
        <is>
          <t>Ludhiana</t>
        </is>
      </c>
      <c r="D1552" s="2" t="inlineStr">
        <is>
          <t>North</t>
        </is>
      </c>
    </row>
    <row r="1553">
      <c r="A1553" s="2" t="inlineStr">
        <is>
          <t>C0323</t>
        </is>
      </c>
      <c r="B1553" s="2" t="inlineStr">
        <is>
          <t>Maharashtra</t>
        </is>
      </c>
      <c r="C1553" s="2" t="inlineStr">
        <is>
          <t>Nagpur</t>
        </is>
      </c>
      <c r="D1553" s="2" t="inlineStr">
        <is>
          <t>West</t>
        </is>
      </c>
    </row>
    <row r="1554">
      <c r="A1554" s="2" t="inlineStr">
        <is>
          <t>C0323</t>
        </is>
      </c>
      <c r="B1554" s="2" t="inlineStr">
        <is>
          <t>Odisha</t>
        </is>
      </c>
      <c r="C1554" s="2" t="inlineStr">
        <is>
          <t>Cuttack</t>
        </is>
      </c>
      <c r="D1554" s="2" t="inlineStr">
        <is>
          <t>East</t>
        </is>
      </c>
    </row>
    <row r="1555">
      <c r="A1555" s="2" t="inlineStr">
        <is>
          <t>C0323</t>
        </is>
      </c>
      <c r="B1555" s="2" t="inlineStr">
        <is>
          <t>Kerala</t>
        </is>
      </c>
      <c r="C1555" s="2" t="inlineStr">
        <is>
          <t>Kochi</t>
        </is>
      </c>
      <c r="D1555" s="2" t="inlineStr">
        <is>
          <t>South</t>
        </is>
      </c>
    </row>
    <row r="1556">
      <c r="A1556" s="2" t="inlineStr">
        <is>
          <t>C0323</t>
        </is>
      </c>
      <c r="B1556" s="2" t="inlineStr">
        <is>
          <t>Telangana</t>
        </is>
      </c>
      <c r="C1556" s="2" t="inlineStr">
        <is>
          <t>Warangal</t>
        </is>
      </c>
      <c r="D1556" s="2" t="inlineStr">
        <is>
          <t>South</t>
        </is>
      </c>
    </row>
    <row r="1557">
      <c r="A1557" s="2" t="inlineStr">
        <is>
          <t>C0324</t>
        </is>
      </c>
      <c r="B1557" s="2" t="inlineStr">
        <is>
          <t>West Bengal</t>
        </is>
      </c>
      <c r="C1557" s="2" t="inlineStr">
        <is>
          <t>Kolkata</t>
        </is>
      </c>
      <c r="D1557" s="2" t="inlineStr">
        <is>
          <t>East</t>
        </is>
      </c>
    </row>
    <row r="1558">
      <c r="A1558" s="2" t="inlineStr">
        <is>
          <t>C0325</t>
        </is>
      </c>
      <c r="B1558" s="2" t="inlineStr">
        <is>
          <t>West Bengal</t>
        </is>
      </c>
      <c r="C1558" s="2" t="inlineStr">
        <is>
          <t>Durgapur</t>
        </is>
      </c>
      <c r="D1558" s="2" t="inlineStr">
        <is>
          <t>East</t>
        </is>
      </c>
    </row>
    <row r="1559">
      <c r="A1559" s="2" t="inlineStr">
        <is>
          <t>C0325</t>
        </is>
      </c>
      <c r="B1559" s="2" t="inlineStr">
        <is>
          <t>Karnataka</t>
        </is>
      </c>
      <c r="C1559" s="2" t="inlineStr">
        <is>
          <t>Mangaluru</t>
        </is>
      </c>
      <c r="D1559" s="2" t="inlineStr">
        <is>
          <t>South</t>
        </is>
      </c>
    </row>
    <row r="1560">
      <c r="A1560" s="2" t="inlineStr">
        <is>
          <t>C0325</t>
        </is>
      </c>
      <c r="B1560" s="2" t="inlineStr">
        <is>
          <t>Kerala</t>
        </is>
      </c>
      <c r="C1560" s="2" t="inlineStr">
        <is>
          <t>Kochi</t>
        </is>
      </c>
      <c r="D1560" s="2" t="inlineStr">
        <is>
          <t>South</t>
        </is>
      </c>
    </row>
    <row r="1561">
      <c r="A1561" s="2" t="inlineStr">
        <is>
          <t>C0325</t>
        </is>
      </c>
      <c r="B1561" s="2" t="inlineStr">
        <is>
          <t>Gujarat</t>
        </is>
      </c>
      <c r="C1561" s="2" t="inlineStr">
        <is>
          <t>Ahmedabad</t>
        </is>
      </c>
      <c r="D1561" s="2" t="inlineStr">
        <is>
          <t>West</t>
        </is>
      </c>
    </row>
    <row r="1562">
      <c r="A1562" s="2" t="inlineStr">
        <is>
          <t>C0325</t>
        </is>
      </c>
      <c r="B1562" s="2" t="inlineStr">
        <is>
          <t>Goa</t>
        </is>
      </c>
      <c r="C1562" s="2" t="inlineStr">
        <is>
          <t>Margao</t>
        </is>
      </c>
      <c r="D1562" s="2" t="inlineStr">
        <is>
          <t>West</t>
        </is>
      </c>
    </row>
    <row r="1563">
      <c r="A1563" s="2" t="inlineStr">
        <is>
          <t>C0325</t>
        </is>
      </c>
      <c r="B1563" s="2" t="inlineStr">
        <is>
          <t>Kerala</t>
        </is>
      </c>
      <c r="C1563" s="2" t="inlineStr">
        <is>
          <t>Thiruvananthapuram</t>
        </is>
      </c>
      <c r="D1563" s="2" t="inlineStr">
        <is>
          <t>South</t>
        </is>
      </c>
    </row>
    <row r="1564">
      <c r="A1564" s="2" t="inlineStr">
        <is>
          <t>C0325</t>
        </is>
      </c>
      <c r="B1564" s="2" t="inlineStr">
        <is>
          <t>Tamil Nadu</t>
        </is>
      </c>
      <c r="C1564" s="2" t="inlineStr">
        <is>
          <t>Coimbatore</t>
        </is>
      </c>
      <c r="D1564" s="2" t="inlineStr">
        <is>
          <t>South</t>
        </is>
      </c>
    </row>
    <row r="1565">
      <c r="A1565" s="2" t="inlineStr">
        <is>
          <t>C0327</t>
        </is>
      </c>
      <c r="B1565" s="2" t="inlineStr">
        <is>
          <t>Maharashtra</t>
        </is>
      </c>
      <c r="C1565" s="2" t="inlineStr">
        <is>
          <t>Nashik</t>
        </is>
      </c>
      <c r="D1565" s="2" t="inlineStr">
        <is>
          <t>West</t>
        </is>
      </c>
    </row>
    <row r="1566">
      <c r="A1566" s="2" t="inlineStr">
        <is>
          <t>C0327</t>
        </is>
      </c>
      <c r="B1566" s="2" t="inlineStr">
        <is>
          <t>Maharashtra</t>
        </is>
      </c>
      <c r="C1566" s="2" t="inlineStr">
        <is>
          <t>Thane</t>
        </is>
      </c>
      <c r="D1566" s="2" t="inlineStr">
        <is>
          <t>West</t>
        </is>
      </c>
    </row>
    <row r="1567">
      <c r="A1567" s="2" t="inlineStr">
        <is>
          <t>C0327</t>
        </is>
      </c>
      <c r="B1567" s="2" t="inlineStr">
        <is>
          <t>Goa</t>
        </is>
      </c>
      <c r="C1567" s="2" t="inlineStr">
        <is>
          <t>Panaji</t>
        </is>
      </c>
      <c r="D1567" s="2" t="inlineStr">
        <is>
          <t>West</t>
        </is>
      </c>
    </row>
    <row r="1568">
      <c r="A1568" s="2" t="inlineStr">
        <is>
          <t>C0327</t>
        </is>
      </c>
      <c r="B1568" s="2" t="inlineStr">
        <is>
          <t>Goa</t>
        </is>
      </c>
      <c r="C1568" s="2" t="inlineStr">
        <is>
          <t>Margao</t>
        </is>
      </c>
      <c r="D1568" s="2" t="inlineStr">
        <is>
          <t>West</t>
        </is>
      </c>
    </row>
    <row r="1569">
      <c r="A1569" s="2" t="inlineStr">
        <is>
          <t>C0328</t>
        </is>
      </c>
      <c r="B1569" s="2" t="inlineStr">
        <is>
          <t>Uttar Pradesh</t>
        </is>
      </c>
      <c r="C1569" s="2" t="inlineStr">
        <is>
          <t>Lucknow</t>
        </is>
      </c>
      <c r="D1569" s="2" t="inlineStr">
        <is>
          <t>North</t>
        </is>
      </c>
    </row>
    <row r="1570">
      <c r="A1570" s="2" t="inlineStr">
        <is>
          <t>C0328</t>
        </is>
      </c>
      <c r="B1570" s="2" t="inlineStr">
        <is>
          <t>Maharashtra</t>
        </is>
      </c>
      <c r="C1570" s="2" t="inlineStr">
        <is>
          <t>Nagpur</t>
        </is>
      </c>
      <c r="D1570" s="2" t="inlineStr">
        <is>
          <t>West</t>
        </is>
      </c>
    </row>
    <row r="1571">
      <c r="A1571" s="2" t="inlineStr">
        <is>
          <t>C0328</t>
        </is>
      </c>
      <c r="B1571" s="2" t="inlineStr">
        <is>
          <t>Gujarat</t>
        </is>
      </c>
      <c r="C1571" s="2" t="inlineStr">
        <is>
          <t>Ahmedabad</t>
        </is>
      </c>
      <c r="D1571" s="2" t="inlineStr">
        <is>
          <t>West</t>
        </is>
      </c>
    </row>
    <row r="1572">
      <c r="A1572" s="2" t="inlineStr">
        <is>
          <t>C0328</t>
        </is>
      </c>
      <c r="B1572" s="2" t="inlineStr">
        <is>
          <t>Gujarat</t>
        </is>
      </c>
      <c r="C1572" s="2" t="inlineStr">
        <is>
          <t>Vadodara</t>
        </is>
      </c>
      <c r="D1572" s="2" t="inlineStr">
        <is>
          <t>West</t>
        </is>
      </c>
    </row>
    <row r="1573">
      <c r="A1573" s="2" t="inlineStr">
        <is>
          <t>C0328</t>
        </is>
      </c>
      <c r="B1573" s="2" t="inlineStr">
        <is>
          <t>Tamil Nadu</t>
        </is>
      </c>
      <c r="C1573" s="2" t="inlineStr">
        <is>
          <t>Madurai</t>
        </is>
      </c>
      <c r="D1573" s="2" t="inlineStr">
        <is>
          <t>South</t>
        </is>
      </c>
    </row>
    <row r="1574">
      <c r="A1574" s="2" t="inlineStr">
        <is>
          <t>C0328</t>
        </is>
      </c>
      <c r="B1574" s="2" t="inlineStr">
        <is>
          <t>Uttar Pradesh</t>
        </is>
      </c>
      <c r="C1574" s="2" t="inlineStr">
        <is>
          <t>Kanpur</t>
        </is>
      </c>
      <c r="D1574" s="2" t="inlineStr">
        <is>
          <t>North</t>
        </is>
      </c>
    </row>
    <row r="1575">
      <c r="A1575" s="2" t="inlineStr">
        <is>
          <t>C0329</t>
        </is>
      </c>
      <c r="B1575" s="2" t="inlineStr">
        <is>
          <t>Maharashtra</t>
        </is>
      </c>
      <c r="C1575" s="2" t="inlineStr">
        <is>
          <t>Nagpur</t>
        </is>
      </c>
      <c r="D1575" s="2" t="inlineStr">
        <is>
          <t>West</t>
        </is>
      </c>
    </row>
    <row r="1576">
      <c r="A1576" s="2" t="inlineStr">
        <is>
          <t>C0329</t>
        </is>
      </c>
      <c r="B1576" s="2" t="inlineStr">
        <is>
          <t>Goa</t>
        </is>
      </c>
      <c r="C1576" s="2" t="inlineStr">
        <is>
          <t>Panaji</t>
        </is>
      </c>
      <c r="D1576" s="2" t="inlineStr">
        <is>
          <t>West</t>
        </is>
      </c>
    </row>
    <row r="1577">
      <c r="A1577" s="2" t="inlineStr">
        <is>
          <t>C0329</t>
        </is>
      </c>
      <c r="B1577" s="2" t="inlineStr">
        <is>
          <t>Tamil Nadu</t>
        </is>
      </c>
      <c r="C1577" s="2" t="inlineStr">
        <is>
          <t>Coimbatore</t>
        </is>
      </c>
      <c r="D1577" s="2" t="inlineStr">
        <is>
          <t>South</t>
        </is>
      </c>
    </row>
    <row r="1578">
      <c r="A1578" s="2" t="inlineStr">
        <is>
          <t>C0329</t>
        </is>
      </c>
      <c r="B1578" s="2" t="inlineStr">
        <is>
          <t>Haryana</t>
        </is>
      </c>
      <c r="C1578" s="2" t="inlineStr">
        <is>
          <t>Gurugram</t>
        </is>
      </c>
      <c r="D1578" s="2" t="inlineStr">
        <is>
          <t>North</t>
        </is>
      </c>
    </row>
    <row r="1579">
      <c r="A1579" s="2" t="inlineStr">
        <is>
          <t>C0330</t>
        </is>
      </c>
      <c r="B1579" s="2" t="inlineStr">
        <is>
          <t>Telangana</t>
        </is>
      </c>
      <c r="C1579" s="2" t="inlineStr">
        <is>
          <t>Warangal</t>
        </is>
      </c>
      <c r="D1579" s="2" t="inlineStr">
        <is>
          <t>South</t>
        </is>
      </c>
    </row>
    <row r="1580">
      <c r="A1580" s="2" t="inlineStr">
        <is>
          <t>C0330</t>
        </is>
      </c>
      <c r="B1580" s="2" t="inlineStr">
        <is>
          <t>Goa</t>
        </is>
      </c>
      <c r="C1580" s="2" t="inlineStr">
        <is>
          <t>Panaji</t>
        </is>
      </c>
      <c r="D1580" s="2" t="inlineStr">
        <is>
          <t>West</t>
        </is>
      </c>
    </row>
    <row r="1581">
      <c r="A1581" s="2" t="inlineStr">
        <is>
          <t>C0330</t>
        </is>
      </c>
      <c r="B1581" s="2" t="inlineStr">
        <is>
          <t>Goa</t>
        </is>
      </c>
      <c r="C1581" s="2" t="inlineStr">
        <is>
          <t>Margao</t>
        </is>
      </c>
      <c r="D1581" s="2" t="inlineStr">
        <is>
          <t>West</t>
        </is>
      </c>
    </row>
    <row r="1582">
      <c r="A1582" s="2" t="inlineStr">
        <is>
          <t>C0330</t>
        </is>
      </c>
      <c r="B1582" s="2" t="inlineStr">
        <is>
          <t>Bihar</t>
        </is>
      </c>
      <c r="C1582" s="2" t="inlineStr">
        <is>
          <t>Patna</t>
        </is>
      </c>
      <c r="D1582" s="2" t="inlineStr">
        <is>
          <t>East</t>
        </is>
      </c>
    </row>
    <row r="1583">
      <c r="A1583" s="2" t="inlineStr">
        <is>
          <t>C0330</t>
        </is>
      </c>
      <c r="B1583" s="2" t="inlineStr">
        <is>
          <t>Haryana</t>
        </is>
      </c>
      <c r="C1583" s="2" t="inlineStr">
        <is>
          <t>Gurugram</t>
        </is>
      </c>
      <c r="D1583" s="2" t="inlineStr">
        <is>
          <t>North</t>
        </is>
      </c>
    </row>
    <row r="1584">
      <c r="A1584" s="2" t="inlineStr">
        <is>
          <t>C0330</t>
        </is>
      </c>
      <c r="B1584" s="2" t="inlineStr">
        <is>
          <t>Bihar</t>
        </is>
      </c>
      <c r="C1584" s="2" t="inlineStr">
        <is>
          <t>Gaya</t>
        </is>
      </c>
      <c r="D1584" s="2" t="inlineStr">
        <is>
          <t>East</t>
        </is>
      </c>
    </row>
    <row r="1585">
      <c r="A1585" s="2" t="inlineStr">
        <is>
          <t>C0330</t>
        </is>
      </c>
      <c r="B1585" s="2" t="inlineStr">
        <is>
          <t>Karnataka</t>
        </is>
      </c>
      <c r="C1585" s="2" t="inlineStr">
        <is>
          <t>Mysuru</t>
        </is>
      </c>
      <c r="D1585" s="2" t="inlineStr">
        <is>
          <t>South</t>
        </is>
      </c>
    </row>
    <row r="1586">
      <c r="A1586" s="2" t="inlineStr">
        <is>
          <t>C0330</t>
        </is>
      </c>
      <c r="B1586" s="2" t="inlineStr">
        <is>
          <t>Kerala</t>
        </is>
      </c>
      <c r="C1586" s="2" t="inlineStr">
        <is>
          <t>Thiruvananthapuram</t>
        </is>
      </c>
      <c r="D1586" s="2" t="inlineStr">
        <is>
          <t>South</t>
        </is>
      </c>
    </row>
    <row r="1587">
      <c r="A1587" s="2" t="inlineStr">
        <is>
          <t>C0331</t>
        </is>
      </c>
      <c r="B1587" s="2" t="inlineStr">
        <is>
          <t>Bihar</t>
        </is>
      </c>
      <c r="C1587" s="2" t="inlineStr">
        <is>
          <t>Gaya</t>
        </is>
      </c>
      <c r="D1587" s="2" t="inlineStr">
        <is>
          <t>East</t>
        </is>
      </c>
    </row>
    <row r="1588">
      <c r="A1588" s="2" t="inlineStr">
        <is>
          <t>C0331</t>
        </is>
      </c>
      <c r="B1588" s="2" t="inlineStr">
        <is>
          <t>Tamil Nadu</t>
        </is>
      </c>
      <c r="C1588" s="2" t="inlineStr">
        <is>
          <t>Madurai</t>
        </is>
      </c>
      <c r="D1588" s="2" t="inlineStr">
        <is>
          <t>South</t>
        </is>
      </c>
    </row>
    <row r="1589">
      <c r="A1589" s="2" t="inlineStr">
        <is>
          <t>C0331</t>
        </is>
      </c>
      <c r="B1589" s="2" t="inlineStr">
        <is>
          <t>Goa</t>
        </is>
      </c>
      <c r="C1589" s="2" t="inlineStr">
        <is>
          <t>Panaji</t>
        </is>
      </c>
      <c r="D1589" s="2" t="inlineStr">
        <is>
          <t>West</t>
        </is>
      </c>
    </row>
    <row r="1590">
      <c r="A1590" s="2" t="inlineStr">
        <is>
          <t>C0331</t>
        </is>
      </c>
      <c r="B1590" s="2" t="inlineStr">
        <is>
          <t>Gujarat</t>
        </is>
      </c>
      <c r="C1590" s="2" t="inlineStr">
        <is>
          <t>Vadodara</t>
        </is>
      </c>
      <c r="D1590" s="2" t="inlineStr">
        <is>
          <t>West</t>
        </is>
      </c>
    </row>
    <row r="1591">
      <c r="A1591" s="2" t="inlineStr">
        <is>
          <t>C0331</t>
        </is>
      </c>
      <c r="B1591" s="2" t="inlineStr">
        <is>
          <t>Gujarat</t>
        </is>
      </c>
      <c r="C1591" s="2" t="inlineStr">
        <is>
          <t>Surat</t>
        </is>
      </c>
      <c r="D1591" s="2" t="inlineStr">
        <is>
          <t>West</t>
        </is>
      </c>
    </row>
    <row r="1592">
      <c r="A1592" s="2" t="inlineStr">
        <is>
          <t>C0332</t>
        </is>
      </c>
      <c r="B1592" s="2" t="inlineStr">
        <is>
          <t>Gujarat</t>
        </is>
      </c>
      <c r="C1592" s="2" t="inlineStr">
        <is>
          <t>Vadodara</t>
        </is>
      </c>
      <c r="D1592" s="2" t="inlineStr">
        <is>
          <t>West</t>
        </is>
      </c>
    </row>
    <row r="1593">
      <c r="A1593" s="2" t="inlineStr">
        <is>
          <t>C0332</t>
        </is>
      </c>
      <c r="B1593" s="2" t="inlineStr">
        <is>
          <t>Karnataka</t>
        </is>
      </c>
      <c r="C1593" s="2" t="inlineStr">
        <is>
          <t>Bengaluru</t>
        </is>
      </c>
      <c r="D1593" s="2" t="inlineStr">
        <is>
          <t>South</t>
        </is>
      </c>
    </row>
    <row r="1594">
      <c r="A1594" s="2" t="inlineStr">
        <is>
          <t>C0332</t>
        </is>
      </c>
      <c r="B1594" s="2" t="inlineStr">
        <is>
          <t>Bihar</t>
        </is>
      </c>
      <c r="C1594" s="2" t="inlineStr">
        <is>
          <t>Gaya</t>
        </is>
      </c>
      <c r="D1594" s="2" t="inlineStr">
        <is>
          <t>East</t>
        </is>
      </c>
    </row>
    <row r="1595">
      <c r="A1595" s="2" t="inlineStr">
        <is>
          <t>C0332</t>
        </is>
      </c>
      <c r="B1595" s="2" t="inlineStr">
        <is>
          <t>Maharashtra</t>
        </is>
      </c>
      <c r="C1595" s="2" t="inlineStr">
        <is>
          <t>Nashik</t>
        </is>
      </c>
      <c r="D1595" s="2" t="inlineStr">
        <is>
          <t>West</t>
        </is>
      </c>
    </row>
    <row r="1596">
      <c r="A1596" s="2" t="inlineStr">
        <is>
          <t>C0333</t>
        </is>
      </c>
      <c r="B1596" s="2" t="inlineStr">
        <is>
          <t>Punjab</t>
        </is>
      </c>
      <c r="C1596" s="2" t="inlineStr">
        <is>
          <t>Amritsar</t>
        </is>
      </c>
      <c r="D1596" s="2" t="inlineStr">
        <is>
          <t>North</t>
        </is>
      </c>
    </row>
    <row r="1597">
      <c r="A1597" s="2" t="inlineStr">
        <is>
          <t>C0333</t>
        </is>
      </c>
      <c r="B1597" s="2" t="inlineStr">
        <is>
          <t>Telangana</t>
        </is>
      </c>
      <c r="C1597" s="2" t="inlineStr">
        <is>
          <t>Hyderabad</t>
        </is>
      </c>
      <c r="D1597" s="2" t="inlineStr">
        <is>
          <t>South</t>
        </is>
      </c>
    </row>
    <row r="1598">
      <c r="A1598" s="2" t="inlineStr">
        <is>
          <t>C0333</t>
        </is>
      </c>
      <c r="B1598" s="2" t="inlineStr">
        <is>
          <t>Uttar Pradesh</t>
        </is>
      </c>
      <c r="C1598" s="2" t="inlineStr">
        <is>
          <t>Lucknow</t>
        </is>
      </c>
      <c r="D1598" s="2" t="inlineStr">
        <is>
          <t>North</t>
        </is>
      </c>
    </row>
    <row r="1599">
      <c r="A1599" s="2" t="inlineStr">
        <is>
          <t>C0333</t>
        </is>
      </c>
      <c r="B1599" s="2" t="inlineStr">
        <is>
          <t>Goa</t>
        </is>
      </c>
      <c r="C1599" s="2" t="inlineStr">
        <is>
          <t>Panaji</t>
        </is>
      </c>
      <c r="D1599" s="2" t="inlineStr">
        <is>
          <t>West</t>
        </is>
      </c>
    </row>
    <row r="1600">
      <c r="A1600" s="2" t="inlineStr">
        <is>
          <t>C0334</t>
        </is>
      </c>
      <c r="B1600" s="2" t="inlineStr">
        <is>
          <t>Tamil Nadu</t>
        </is>
      </c>
      <c r="C1600" s="2" t="inlineStr">
        <is>
          <t>Madurai</t>
        </is>
      </c>
      <c r="D1600" s="2" t="inlineStr">
        <is>
          <t>South</t>
        </is>
      </c>
    </row>
    <row r="1601">
      <c r="A1601" s="2" t="inlineStr">
        <is>
          <t>C0334</t>
        </is>
      </c>
      <c r="B1601" s="2" t="inlineStr">
        <is>
          <t>Bihar</t>
        </is>
      </c>
      <c r="C1601" s="2" t="inlineStr">
        <is>
          <t>Gaya</t>
        </is>
      </c>
      <c r="D1601" s="2" t="inlineStr">
        <is>
          <t>East</t>
        </is>
      </c>
    </row>
    <row r="1602">
      <c r="A1602" s="2" t="inlineStr">
        <is>
          <t>C0334</t>
        </is>
      </c>
      <c r="B1602" s="2" t="inlineStr">
        <is>
          <t>Haryana</t>
        </is>
      </c>
      <c r="C1602" s="2" t="inlineStr">
        <is>
          <t>Gurugram</t>
        </is>
      </c>
      <c r="D1602" s="2" t="inlineStr">
        <is>
          <t>North</t>
        </is>
      </c>
    </row>
    <row r="1603">
      <c r="A1603" s="2" t="inlineStr">
        <is>
          <t>C0334</t>
        </is>
      </c>
      <c r="B1603" s="2" t="inlineStr">
        <is>
          <t>Delhi</t>
        </is>
      </c>
      <c r="C1603" s="2" t="inlineStr">
        <is>
          <t>New Delhi</t>
        </is>
      </c>
      <c r="D1603" s="2" t="inlineStr">
        <is>
          <t>North</t>
        </is>
      </c>
    </row>
    <row r="1604">
      <c r="A1604" s="2" t="inlineStr">
        <is>
          <t>C0334</t>
        </is>
      </c>
      <c r="B1604" s="2" t="inlineStr">
        <is>
          <t>Bihar</t>
        </is>
      </c>
      <c r="C1604" s="2" t="inlineStr">
        <is>
          <t>Patna</t>
        </is>
      </c>
      <c r="D1604" s="2" t="inlineStr">
        <is>
          <t>East</t>
        </is>
      </c>
    </row>
    <row r="1605">
      <c r="A1605" s="2" t="inlineStr">
        <is>
          <t>C0334</t>
        </is>
      </c>
      <c r="B1605" s="2" t="inlineStr">
        <is>
          <t>Kerala</t>
        </is>
      </c>
      <c r="C1605" s="2" t="inlineStr">
        <is>
          <t>Thiruvananthapuram</t>
        </is>
      </c>
      <c r="D1605" s="2" t="inlineStr">
        <is>
          <t>South</t>
        </is>
      </c>
    </row>
    <row r="1606">
      <c r="A1606" s="2" t="inlineStr">
        <is>
          <t>C0334</t>
        </is>
      </c>
      <c r="B1606" s="2" t="inlineStr">
        <is>
          <t>West Bengal</t>
        </is>
      </c>
      <c r="C1606" s="2" t="inlineStr">
        <is>
          <t>Kolkata</t>
        </is>
      </c>
      <c r="D1606" s="2" t="inlineStr">
        <is>
          <t>East</t>
        </is>
      </c>
    </row>
    <row r="1607">
      <c r="A1607" s="2" t="inlineStr">
        <is>
          <t>C0334</t>
        </is>
      </c>
      <c r="B1607" s="2" t="inlineStr">
        <is>
          <t>Telangana</t>
        </is>
      </c>
      <c r="C1607" s="2" t="inlineStr">
        <is>
          <t>Warangal</t>
        </is>
      </c>
      <c r="D1607" s="2" t="inlineStr">
        <is>
          <t>South</t>
        </is>
      </c>
    </row>
    <row r="1608">
      <c r="A1608" s="2" t="inlineStr">
        <is>
          <t>C0334</t>
        </is>
      </c>
      <c r="B1608" s="2" t="inlineStr">
        <is>
          <t>Maharashtra</t>
        </is>
      </c>
      <c r="C1608" s="2" t="inlineStr">
        <is>
          <t>Nagpur</t>
        </is>
      </c>
      <c r="D1608" s="2" t="inlineStr">
        <is>
          <t>West</t>
        </is>
      </c>
    </row>
    <row r="1609">
      <c r="A1609" s="2" t="inlineStr">
        <is>
          <t>C0334</t>
        </is>
      </c>
      <c r="B1609" s="2" t="inlineStr">
        <is>
          <t>Kerala</t>
        </is>
      </c>
      <c r="C1609" s="2" t="inlineStr">
        <is>
          <t>Kochi</t>
        </is>
      </c>
      <c r="D1609" s="2" t="inlineStr">
        <is>
          <t>South</t>
        </is>
      </c>
    </row>
    <row r="1610">
      <c r="A1610" s="2" t="inlineStr">
        <is>
          <t>C0336</t>
        </is>
      </c>
      <c r="B1610" s="2" t="inlineStr">
        <is>
          <t>Gujarat</t>
        </is>
      </c>
      <c r="C1610" s="2" t="inlineStr">
        <is>
          <t>Vadodara</t>
        </is>
      </c>
      <c r="D1610" s="2" t="inlineStr">
        <is>
          <t>West</t>
        </is>
      </c>
    </row>
    <row r="1611">
      <c r="A1611" s="2" t="inlineStr">
        <is>
          <t>C0336</t>
        </is>
      </c>
      <c r="B1611" s="2" t="inlineStr">
        <is>
          <t>Punjab</t>
        </is>
      </c>
      <c r="C1611" s="2" t="inlineStr">
        <is>
          <t>Jalandhar</t>
        </is>
      </c>
      <c r="D1611" s="2" t="inlineStr">
        <is>
          <t>North</t>
        </is>
      </c>
    </row>
    <row r="1612">
      <c r="A1612" s="2" t="inlineStr">
        <is>
          <t>C0336</t>
        </is>
      </c>
      <c r="B1612" s="2" t="inlineStr">
        <is>
          <t>Maharashtra</t>
        </is>
      </c>
      <c r="C1612" s="2" t="inlineStr">
        <is>
          <t>Nashik</t>
        </is>
      </c>
      <c r="D1612" s="2" t="inlineStr">
        <is>
          <t>West</t>
        </is>
      </c>
    </row>
    <row r="1613">
      <c r="A1613" s="2" t="inlineStr">
        <is>
          <t>C0336</t>
        </is>
      </c>
      <c r="B1613" s="2" t="inlineStr">
        <is>
          <t>Odisha</t>
        </is>
      </c>
      <c r="C1613" s="2" t="inlineStr">
        <is>
          <t>Cuttack</t>
        </is>
      </c>
      <c r="D1613" s="2" t="inlineStr">
        <is>
          <t>East</t>
        </is>
      </c>
    </row>
    <row r="1614">
      <c r="A1614" s="2" t="inlineStr">
        <is>
          <t>C0336</t>
        </is>
      </c>
      <c r="B1614" s="2" t="inlineStr">
        <is>
          <t>Haryana</t>
        </is>
      </c>
      <c r="C1614" s="2" t="inlineStr">
        <is>
          <t>Gurugram</t>
        </is>
      </c>
      <c r="D1614" s="2" t="inlineStr">
        <is>
          <t>North</t>
        </is>
      </c>
    </row>
    <row r="1615">
      <c r="A1615" s="2" t="inlineStr">
        <is>
          <t>C0336</t>
        </is>
      </c>
      <c r="B1615" s="2" t="inlineStr">
        <is>
          <t>Gujarat</t>
        </is>
      </c>
      <c r="C1615" s="2" t="inlineStr">
        <is>
          <t>Surat</t>
        </is>
      </c>
      <c r="D1615" s="2" t="n">
        <v/>
      </c>
    </row>
    <row r="1616">
      <c r="A1616" s="2" t="inlineStr">
        <is>
          <t>C0336</t>
        </is>
      </c>
      <c r="B1616" s="2" t="inlineStr">
        <is>
          <t>Gujarat</t>
        </is>
      </c>
      <c r="C1616" s="2" t="inlineStr">
        <is>
          <t>Ahmedabad</t>
        </is>
      </c>
      <c r="D1616" s="2" t="inlineStr">
        <is>
          <t>West</t>
        </is>
      </c>
    </row>
    <row r="1617">
      <c r="A1617" s="2" t="inlineStr">
        <is>
          <t>C0337</t>
        </is>
      </c>
      <c r="B1617" s="2" t="inlineStr">
        <is>
          <t>Uttar Pradesh</t>
        </is>
      </c>
      <c r="C1617" s="2" t="inlineStr">
        <is>
          <t>Varanasi</t>
        </is>
      </c>
      <c r="D1617" s="2" t="inlineStr">
        <is>
          <t>North</t>
        </is>
      </c>
    </row>
    <row r="1618">
      <c r="A1618" s="2" t="inlineStr">
        <is>
          <t>C0337</t>
        </is>
      </c>
      <c r="B1618" s="2" t="inlineStr">
        <is>
          <t>Maharashtra</t>
        </is>
      </c>
      <c r="C1618" s="2" t="inlineStr">
        <is>
          <t>Mumbai</t>
        </is>
      </c>
      <c r="D1618" s="2" t="inlineStr">
        <is>
          <t>West</t>
        </is>
      </c>
    </row>
    <row r="1619">
      <c r="A1619" s="2" t="inlineStr">
        <is>
          <t>C0338</t>
        </is>
      </c>
      <c r="B1619" s="2" t="inlineStr">
        <is>
          <t>Haryana</t>
        </is>
      </c>
      <c r="C1619" s="2" t="inlineStr">
        <is>
          <t>Gurugram</t>
        </is>
      </c>
      <c r="D1619" s="2" t="inlineStr">
        <is>
          <t>North</t>
        </is>
      </c>
    </row>
    <row r="1620">
      <c r="A1620" s="2" t="inlineStr">
        <is>
          <t>C0340</t>
        </is>
      </c>
      <c r="B1620" s="2" t="inlineStr">
        <is>
          <t>Odisha</t>
        </is>
      </c>
      <c r="C1620" s="2" t="inlineStr">
        <is>
          <t>Cuttack</t>
        </is>
      </c>
      <c r="D1620" s="2" t="inlineStr">
        <is>
          <t>East</t>
        </is>
      </c>
    </row>
    <row r="1621">
      <c r="A1621" s="2" t="inlineStr">
        <is>
          <t>C0340</t>
        </is>
      </c>
      <c r="B1621" s="2" t="inlineStr">
        <is>
          <t>Tamil Nadu</t>
        </is>
      </c>
      <c r="C1621" s="2" t="inlineStr">
        <is>
          <t>Coimbatore</t>
        </is>
      </c>
      <c r="D1621" s="2" t="inlineStr">
        <is>
          <t>South</t>
        </is>
      </c>
    </row>
    <row r="1622">
      <c r="A1622" s="2" t="inlineStr">
        <is>
          <t>C0341</t>
        </is>
      </c>
      <c r="B1622" s="2" t="inlineStr">
        <is>
          <t>Haryana</t>
        </is>
      </c>
      <c r="C1622" s="2" t="inlineStr">
        <is>
          <t>Faridabad</t>
        </is>
      </c>
      <c r="D1622" s="2" t="inlineStr">
        <is>
          <t>North</t>
        </is>
      </c>
    </row>
    <row r="1623">
      <c r="A1623" s="2" t="inlineStr">
        <is>
          <t>C0341</t>
        </is>
      </c>
      <c r="B1623" s="2" t="inlineStr">
        <is>
          <t>Bihar</t>
        </is>
      </c>
      <c r="C1623" s="2" t="inlineStr">
        <is>
          <t>Gaya</t>
        </is>
      </c>
      <c r="D1623" s="2" t="inlineStr">
        <is>
          <t>East</t>
        </is>
      </c>
    </row>
    <row r="1624">
      <c r="A1624" s="2" t="inlineStr">
        <is>
          <t>C0341</t>
        </is>
      </c>
      <c r="B1624" s="2" t="inlineStr">
        <is>
          <t>Bihar</t>
        </is>
      </c>
      <c r="C1624" s="2" t="inlineStr">
        <is>
          <t>Patna</t>
        </is>
      </c>
      <c r="D1624" s="2" t="inlineStr">
        <is>
          <t>East</t>
        </is>
      </c>
    </row>
    <row r="1625">
      <c r="A1625" s="2" t="inlineStr">
        <is>
          <t>C0341</t>
        </is>
      </c>
      <c r="B1625" s="2" t="inlineStr">
        <is>
          <t>West Bengal</t>
        </is>
      </c>
      <c r="C1625" s="2" t="inlineStr">
        <is>
          <t>Durgapur</t>
        </is>
      </c>
      <c r="D1625" s="2" t="inlineStr">
        <is>
          <t>East</t>
        </is>
      </c>
    </row>
    <row r="1626">
      <c r="A1626" s="2" t="inlineStr">
        <is>
          <t>C0341</t>
        </is>
      </c>
      <c r="B1626" s="2" t="inlineStr">
        <is>
          <t>Karnataka</t>
        </is>
      </c>
      <c r="C1626" s="2" t="inlineStr">
        <is>
          <t>Mangaluru</t>
        </is>
      </c>
      <c r="D1626" s="2" t="inlineStr">
        <is>
          <t>South</t>
        </is>
      </c>
    </row>
    <row r="1627">
      <c r="A1627" s="2" t="inlineStr">
        <is>
          <t>C0341</t>
        </is>
      </c>
      <c r="B1627" s="2" t="inlineStr">
        <is>
          <t>Kerala</t>
        </is>
      </c>
      <c r="C1627" s="2" t="inlineStr">
        <is>
          <t>Thiruvananthapuram</t>
        </is>
      </c>
      <c r="D1627" s="2" t="inlineStr">
        <is>
          <t>South</t>
        </is>
      </c>
    </row>
    <row r="1628">
      <c r="A1628" s="2" t="inlineStr">
        <is>
          <t>C0341</t>
        </is>
      </c>
      <c r="B1628" s="2" t="inlineStr">
        <is>
          <t>Karnataka</t>
        </is>
      </c>
      <c r="C1628" s="2" t="inlineStr">
        <is>
          <t>Bengaluru</t>
        </is>
      </c>
      <c r="D1628" s="2" t="inlineStr">
        <is>
          <t>South</t>
        </is>
      </c>
    </row>
    <row r="1629">
      <c r="A1629" s="2" t="inlineStr">
        <is>
          <t>C0341</t>
        </is>
      </c>
      <c r="B1629" s="2" t="inlineStr">
        <is>
          <t>Goa</t>
        </is>
      </c>
      <c r="C1629" s="2" t="inlineStr">
        <is>
          <t>Panaji</t>
        </is>
      </c>
      <c r="D1629" s="2" t="inlineStr">
        <is>
          <t>West</t>
        </is>
      </c>
    </row>
    <row r="1630">
      <c r="A1630" s="2" t="inlineStr">
        <is>
          <t>C0342</t>
        </is>
      </c>
      <c r="B1630" s="2" t="inlineStr">
        <is>
          <t>Telangana</t>
        </is>
      </c>
      <c r="C1630" s="2" t="inlineStr">
        <is>
          <t>Warangal</t>
        </is>
      </c>
      <c r="D1630" s="2" t="inlineStr">
        <is>
          <t>South</t>
        </is>
      </c>
    </row>
    <row r="1631">
      <c r="A1631" s="2" t="inlineStr">
        <is>
          <t>C0342</t>
        </is>
      </c>
      <c r="B1631" s="2" t="inlineStr">
        <is>
          <t>Bihar</t>
        </is>
      </c>
      <c r="C1631" s="2" t="inlineStr">
        <is>
          <t>Gaya</t>
        </is>
      </c>
      <c r="D1631" s="2" t="inlineStr">
        <is>
          <t>East</t>
        </is>
      </c>
    </row>
    <row r="1632">
      <c r="A1632" s="2" t="inlineStr">
        <is>
          <t>C0342</t>
        </is>
      </c>
      <c r="B1632" s="2" t="inlineStr">
        <is>
          <t>Gujarat</t>
        </is>
      </c>
      <c r="C1632" s="2" t="inlineStr">
        <is>
          <t>Vadodara</t>
        </is>
      </c>
      <c r="D1632" s="2" t="inlineStr">
        <is>
          <t>West</t>
        </is>
      </c>
    </row>
    <row r="1633">
      <c r="A1633" s="2" t="inlineStr">
        <is>
          <t>C0343</t>
        </is>
      </c>
      <c r="B1633" s="2" t="inlineStr">
        <is>
          <t>Uttar Pradesh</t>
        </is>
      </c>
      <c r="C1633" s="2" t="inlineStr">
        <is>
          <t>Noida</t>
        </is>
      </c>
      <c r="D1633" s="2" t="inlineStr">
        <is>
          <t>North</t>
        </is>
      </c>
    </row>
    <row r="1634">
      <c r="A1634" s="2" t="inlineStr">
        <is>
          <t>C0343</t>
        </is>
      </c>
      <c r="B1634" s="2" t="inlineStr">
        <is>
          <t>West Bengal</t>
        </is>
      </c>
      <c r="C1634" s="2" t="inlineStr">
        <is>
          <t>Durgapur</t>
        </is>
      </c>
      <c r="D1634" s="2" t="inlineStr">
        <is>
          <t>East</t>
        </is>
      </c>
    </row>
    <row r="1635">
      <c r="A1635" s="2" t="inlineStr">
        <is>
          <t>C0343</t>
        </is>
      </c>
      <c r="B1635" s="2" t="inlineStr">
        <is>
          <t>Haryana</t>
        </is>
      </c>
      <c r="C1635" s="2" t="inlineStr">
        <is>
          <t>Faridabad</t>
        </is>
      </c>
      <c r="D1635" s="2" t="inlineStr">
        <is>
          <t>North</t>
        </is>
      </c>
    </row>
    <row r="1636">
      <c r="A1636" s="2" t="inlineStr">
        <is>
          <t>C0343</t>
        </is>
      </c>
      <c r="B1636" s="2" t="inlineStr">
        <is>
          <t>Punjab</t>
        </is>
      </c>
      <c r="C1636" s="2" t="inlineStr">
        <is>
          <t>Amritsar</t>
        </is>
      </c>
      <c r="D1636" s="2" t="inlineStr">
        <is>
          <t>North</t>
        </is>
      </c>
    </row>
    <row r="1637">
      <c r="A1637" s="2" t="inlineStr">
        <is>
          <t>C0344</t>
        </is>
      </c>
      <c r="B1637" s="2" t="inlineStr">
        <is>
          <t>Tamil Nadu</t>
        </is>
      </c>
      <c r="C1637" s="2" t="inlineStr">
        <is>
          <t>Coimbatore</t>
        </is>
      </c>
      <c r="D1637" s="2" t="inlineStr">
        <is>
          <t>South</t>
        </is>
      </c>
    </row>
    <row r="1638">
      <c r="A1638" s="2" t="inlineStr">
        <is>
          <t>C0344</t>
        </is>
      </c>
      <c r="B1638" s="2" t="inlineStr">
        <is>
          <t>Telangana</t>
        </is>
      </c>
      <c r="C1638" s="2" t="inlineStr">
        <is>
          <t>Hyderabad</t>
        </is>
      </c>
      <c r="D1638" s="2" t="inlineStr">
        <is>
          <t>South</t>
        </is>
      </c>
    </row>
    <row r="1639">
      <c r="A1639" s="2" t="inlineStr">
        <is>
          <t>C0344</t>
        </is>
      </c>
      <c r="B1639" s="2" t="inlineStr">
        <is>
          <t>West Bengal</t>
        </is>
      </c>
      <c r="C1639" s="2" t="inlineStr">
        <is>
          <t>Kolkata</t>
        </is>
      </c>
      <c r="D1639" s="2" t="inlineStr">
        <is>
          <t>East</t>
        </is>
      </c>
    </row>
    <row r="1640">
      <c r="A1640" s="2" t="inlineStr">
        <is>
          <t>C0344</t>
        </is>
      </c>
      <c r="B1640" s="2" t="inlineStr">
        <is>
          <t>Odisha</t>
        </is>
      </c>
      <c r="C1640" s="2" t="inlineStr">
        <is>
          <t>Cuttack</t>
        </is>
      </c>
      <c r="D1640" s="2" t="inlineStr">
        <is>
          <t>East</t>
        </is>
      </c>
    </row>
    <row r="1641">
      <c r="A1641" s="2" t="inlineStr">
        <is>
          <t>C0344</t>
        </is>
      </c>
      <c r="B1641" s="2" t="inlineStr">
        <is>
          <t>Maharashtra</t>
        </is>
      </c>
      <c r="C1641" s="2" t="inlineStr">
        <is>
          <t>Pune</t>
        </is>
      </c>
      <c r="D1641" s="2" t="inlineStr">
        <is>
          <t>West</t>
        </is>
      </c>
    </row>
    <row r="1642">
      <c r="A1642" s="2" t="inlineStr">
        <is>
          <t>C0345</t>
        </is>
      </c>
      <c r="B1642" s="2" t="inlineStr">
        <is>
          <t>Gujarat</t>
        </is>
      </c>
      <c r="C1642" s="2" t="inlineStr">
        <is>
          <t>Ahmedabad</t>
        </is>
      </c>
      <c r="D1642" s="2" t="inlineStr">
        <is>
          <t>West</t>
        </is>
      </c>
    </row>
    <row r="1643">
      <c r="A1643" s="2" t="inlineStr">
        <is>
          <t>C0345</t>
        </is>
      </c>
      <c r="B1643" s="2" t="inlineStr">
        <is>
          <t>Delhi</t>
        </is>
      </c>
      <c r="C1643" s="2" t="inlineStr">
        <is>
          <t>New Delhi</t>
        </is>
      </c>
      <c r="D1643" s="2" t="inlineStr">
        <is>
          <t>North</t>
        </is>
      </c>
    </row>
    <row r="1644">
      <c r="A1644" s="2" t="inlineStr">
        <is>
          <t>C0345</t>
        </is>
      </c>
      <c r="B1644" s="2" t="inlineStr">
        <is>
          <t>Bihar</t>
        </is>
      </c>
      <c r="C1644" s="2" t="inlineStr">
        <is>
          <t>Gaya</t>
        </is>
      </c>
      <c r="D1644" s="2" t="inlineStr">
        <is>
          <t>East</t>
        </is>
      </c>
    </row>
    <row r="1645">
      <c r="A1645" s="2" t="inlineStr">
        <is>
          <t>C0345</t>
        </is>
      </c>
      <c r="B1645" s="2" t="inlineStr">
        <is>
          <t>Maharashtra</t>
        </is>
      </c>
      <c r="C1645" s="2" t="inlineStr">
        <is>
          <t>Mumbai</t>
        </is>
      </c>
      <c r="D1645" s="2" t="inlineStr">
        <is>
          <t>West</t>
        </is>
      </c>
    </row>
    <row r="1646">
      <c r="A1646" s="2" t="inlineStr">
        <is>
          <t>C0345</t>
        </is>
      </c>
      <c r="B1646" s="2" t="inlineStr">
        <is>
          <t>Telangana</t>
        </is>
      </c>
      <c r="C1646" s="2" t="inlineStr">
        <is>
          <t>Warangal</t>
        </is>
      </c>
      <c r="D1646" s="2" t="inlineStr">
        <is>
          <t>South</t>
        </is>
      </c>
    </row>
    <row r="1647">
      <c r="A1647" s="2" t="inlineStr">
        <is>
          <t>C0345</t>
        </is>
      </c>
      <c r="B1647" s="2" t="inlineStr">
        <is>
          <t>Gujarat</t>
        </is>
      </c>
      <c r="C1647" s="2" t="inlineStr">
        <is>
          <t>Vadodara</t>
        </is>
      </c>
      <c r="D1647" s="2" t="inlineStr">
        <is>
          <t>West</t>
        </is>
      </c>
    </row>
    <row r="1648">
      <c r="A1648" s="2" t="inlineStr">
        <is>
          <t>C0346</t>
        </is>
      </c>
      <c r="B1648" s="2" t="inlineStr">
        <is>
          <t>Kerala</t>
        </is>
      </c>
      <c r="C1648" s="2" t="inlineStr">
        <is>
          <t>Thiruvananthapuram</t>
        </is>
      </c>
      <c r="D1648" s="2" t="inlineStr">
        <is>
          <t>South</t>
        </is>
      </c>
    </row>
    <row r="1649">
      <c r="A1649" s="2" t="inlineStr">
        <is>
          <t>C0346</t>
        </is>
      </c>
      <c r="B1649" s="2" t="inlineStr">
        <is>
          <t>West Bengal</t>
        </is>
      </c>
      <c r="C1649" s="2" t="inlineStr">
        <is>
          <t>Durgapur</t>
        </is>
      </c>
      <c r="D1649" s="2" t="inlineStr">
        <is>
          <t>East</t>
        </is>
      </c>
    </row>
    <row r="1650">
      <c r="A1650" s="2" t="inlineStr">
        <is>
          <t>C0346</t>
        </is>
      </c>
      <c r="B1650" s="2" t="inlineStr">
        <is>
          <t>Gujarat</t>
        </is>
      </c>
      <c r="C1650" s="2" t="inlineStr">
        <is>
          <t>Ahmedabad</t>
        </is>
      </c>
      <c r="D1650" s="2" t="inlineStr">
        <is>
          <t>West</t>
        </is>
      </c>
    </row>
    <row r="1651">
      <c r="A1651" s="2" t="inlineStr">
        <is>
          <t>C0346</t>
        </is>
      </c>
      <c r="B1651" s="2" t="inlineStr">
        <is>
          <t>Maharashtra</t>
        </is>
      </c>
      <c r="C1651" s="2" t="inlineStr">
        <is>
          <t>Nashik</t>
        </is>
      </c>
      <c r="D1651" s="2" t="inlineStr">
        <is>
          <t>West</t>
        </is>
      </c>
    </row>
    <row r="1652">
      <c r="A1652" s="2" t="inlineStr">
        <is>
          <t>C0346</t>
        </is>
      </c>
      <c r="B1652" s="2" t="inlineStr">
        <is>
          <t>Bihar</t>
        </is>
      </c>
      <c r="C1652" s="2" t="inlineStr">
        <is>
          <t>Gaya</t>
        </is>
      </c>
      <c r="D1652" s="2" t="inlineStr">
        <is>
          <t>East</t>
        </is>
      </c>
    </row>
    <row r="1653">
      <c r="A1653" s="2" t="inlineStr">
        <is>
          <t>C0346</t>
        </is>
      </c>
      <c r="B1653" s="2" t="inlineStr">
        <is>
          <t>Goa</t>
        </is>
      </c>
      <c r="C1653" s="2" t="inlineStr">
        <is>
          <t>Margao</t>
        </is>
      </c>
      <c r="D1653" s="2" t="inlineStr">
        <is>
          <t>West</t>
        </is>
      </c>
    </row>
    <row r="1654">
      <c r="A1654" s="2" t="inlineStr">
        <is>
          <t>C0346</t>
        </is>
      </c>
      <c r="B1654" s="2" t="inlineStr">
        <is>
          <t>Punjab</t>
        </is>
      </c>
      <c r="C1654" s="2" t="inlineStr">
        <is>
          <t>Ludhiana</t>
        </is>
      </c>
      <c r="D1654" s="2" t="inlineStr">
        <is>
          <t>North</t>
        </is>
      </c>
    </row>
    <row r="1655">
      <c r="A1655" s="2" t="inlineStr">
        <is>
          <t>C0347</t>
        </is>
      </c>
      <c r="B1655" s="2" t="inlineStr">
        <is>
          <t>Gujarat</t>
        </is>
      </c>
      <c r="C1655" s="2" t="inlineStr">
        <is>
          <t>Ahmedabad</t>
        </is>
      </c>
      <c r="D1655" s="2" t="inlineStr">
        <is>
          <t>West</t>
        </is>
      </c>
    </row>
    <row r="1656">
      <c r="A1656" s="2" t="inlineStr">
        <is>
          <t>C0347</t>
        </is>
      </c>
      <c r="B1656" s="2" t="inlineStr">
        <is>
          <t>Gujarat</t>
        </is>
      </c>
      <c r="C1656" s="2" t="inlineStr">
        <is>
          <t>Surat</t>
        </is>
      </c>
      <c r="D1656" s="2" t="inlineStr">
        <is>
          <t>West</t>
        </is>
      </c>
    </row>
    <row r="1657">
      <c r="A1657" s="2" t="inlineStr">
        <is>
          <t>C0347</t>
        </is>
      </c>
      <c r="B1657" s="2" t="inlineStr">
        <is>
          <t>Uttar Pradesh</t>
        </is>
      </c>
      <c r="C1657" s="2" t="inlineStr">
        <is>
          <t>Varanasi</t>
        </is>
      </c>
      <c r="D1657" s="2" t="inlineStr">
        <is>
          <t>North</t>
        </is>
      </c>
    </row>
    <row r="1658">
      <c r="A1658" s="2" t="inlineStr">
        <is>
          <t>C0347</t>
        </is>
      </c>
      <c r="B1658" s="2" t="inlineStr">
        <is>
          <t>Gujarat</t>
        </is>
      </c>
      <c r="C1658" s="2" t="inlineStr">
        <is>
          <t>Vadodara</t>
        </is>
      </c>
      <c r="D1658" s="2" t="inlineStr">
        <is>
          <t>West</t>
        </is>
      </c>
    </row>
    <row r="1659">
      <c r="A1659" s="2" t="inlineStr">
        <is>
          <t>C0348</t>
        </is>
      </c>
      <c r="B1659" s="2" t="inlineStr">
        <is>
          <t>Maharashtra</t>
        </is>
      </c>
      <c r="C1659" s="2" t="inlineStr">
        <is>
          <t>Nashik</t>
        </is>
      </c>
      <c r="D1659" s="2" t="inlineStr">
        <is>
          <t>West</t>
        </is>
      </c>
    </row>
    <row r="1660">
      <c r="A1660" s="2" t="inlineStr">
        <is>
          <t>C0348</t>
        </is>
      </c>
      <c r="B1660" s="2" t="inlineStr">
        <is>
          <t>Kerala</t>
        </is>
      </c>
      <c r="C1660" s="2" t="inlineStr">
        <is>
          <t>Thiruvananthapuram</t>
        </is>
      </c>
      <c r="D1660" s="2" t="inlineStr">
        <is>
          <t>South</t>
        </is>
      </c>
    </row>
    <row r="1661">
      <c r="A1661" s="2" t="inlineStr">
        <is>
          <t>C0348</t>
        </is>
      </c>
      <c r="B1661" s="2" t="inlineStr">
        <is>
          <t>Maharashtra</t>
        </is>
      </c>
      <c r="C1661" s="2" t="inlineStr">
        <is>
          <t>Mumbai</t>
        </is>
      </c>
      <c r="D1661" s="2" t="inlineStr">
        <is>
          <t>West</t>
        </is>
      </c>
    </row>
    <row r="1662">
      <c r="A1662" s="2" t="inlineStr">
        <is>
          <t>C0348</t>
        </is>
      </c>
      <c r="B1662" s="2" t="inlineStr">
        <is>
          <t>Delhi</t>
        </is>
      </c>
      <c r="C1662" s="2" t="inlineStr">
        <is>
          <t>New Delhi</t>
        </is>
      </c>
      <c r="D1662" s="2" t="inlineStr">
        <is>
          <t>North</t>
        </is>
      </c>
    </row>
    <row r="1663">
      <c r="A1663" s="2" t="inlineStr">
        <is>
          <t>C0348</t>
        </is>
      </c>
      <c r="B1663" s="2" t="inlineStr">
        <is>
          <t>Karnataka</t>
        </is>
      </c>
      <c r="C1663" s="2" t="inlineStr">
        <is>
          <t>Bengaluru</t>
        </is>
      </c>
      <c r="D1663" s="2" t="inlineStr">
        <is>
          <t>South</t>
        </is>
      </c>
    </row>
    <row r="1664">
      <c r="A1664" s="2" t="inlineStr">
        <is>
          <t>C0348</t>
        </is>
      </c>
      <c r="B1664" s="2" t="inlineStr">
        <is>
          <t>Kerala</t>
        </is>
      </c>
      <c r="C1664" s="2" t="inlineStr">
        <is>
          <t>Kochi</t>
        </is>
      </c>
      <c r="D1664" s="2" t="inlineStr">
        <is>
          <t>South</t>
        </is>
      </c>
    </row>
    <row r="1665">
      <c r="A1665" s="2" t="inlineStr">
        <is>
          <t>C0348</t>
        </is>
      </c>
      <c r="B1665" s="2" t="inlineStr">
        <is>
          <t>Maharashtra</t>
        </is>
      </c>
      <c r="C1665" s="2" t="inlineStr">
        <is>
          <t>Pune</t>
        </is>
      </c>
      <c r="D1665" s="2" t="inlineStr">
        <is>
          <t>West</t>
        </is>
      </c>
    </row>
    <row r="1666">
      <c r="A1666" s="2" t="inlineStr">
        <is>
          <t>C0348</t>
        </is>
      </c>
      <c r="B1666" s="2" t="inlineStr">
        <is>
          <t>Haryana</t>
        </is>
      </c>
      <c r="C1666" s="2" t="inlineStr">
        <is>
          <t>Faridabad</t>
        </is>
      </c>
      <c r="D1666" s="2" t="inlineStr">
        <is>
          <t>North</t>
        </is>
      </c>
    </row>
    <row r="1667">
      <c r="A1667" s="2" t="inlineStr">
        <is>
          <t>C0348</t>
        </is>
      </c>
      <c r="B1667" s="2" t="inlineStr">
        <is>
          <t>Punjab</t>
        </is>
      </c>
      <c r="C1667" s="2" t="inlineStr">
        <is>
          <t>Jalandhar</t>
        </is>
      </c>
      <c r="D1667" s="2" t="inlineStr">
        <is>
          <t>North</t>
        </is>
      </c>
    </row>
    <row r="1668">
      <c r="A1668" s="2" t="inlineStr">
        <is>
          <t>C0348</t>
        </is>
      </c>
      <c r="B1668" s="2" t="inlineStr">
        <is>
          <t>Gujarat</t>
        </is>
      </c>
      <c r="C1668" s="2" t="inlineStr">
        <is>
          <t>Ahmedabad</t>
        </is>
      </c>
      <c r="D1668" s="2" t="inlineStr">
        <is>
          <t>West</t>
        </is>
      </c>
    </row>
    <row r="1669">
      <c r="A1669" s="2" t="inlineStr">
        <is>
          <t>C0348</t>
        </is>
      </c>
      <c r="B1669" s="2" t="inlineStr">
        <is>
          <t>Goa</t>
        </is>
      </c>
      <c r="C1669" s="2" t="inlineStr">
        <is>
          <t>Panaji</t>
        </is>
      </c>
      <c r="D1669" s="2" t="inlineStr">
        <is>
          <t>West</t>
        </is>
      </c>
    </row>
    <row r="1670">
      <c r="A1670" s="2" t="inlineStr">
        <is>
          <t>C0349</t>
        </is>
      </c>
      <c r="B1670" s="2" t="inlineStr">
        <is>
          <t>West Bengal</t>
        </is>
      </c>
      <c r="C1670" s="2" t="inlineStr">
        <is>
          <t>Durgapur</t>
        </is>
      </c>
      <c r="D1670" s="2" t="inlineStr">
        <is>
          <t>East</t>
        </is>
      </c>
    </row>
    <row r="1671">
      <c r="A1671" s="2" t="inlineStr">
        <is>
          <t>C0349</t>
        </is>
      </c>
      <c r="B1671" s="2" t="inlineStr">
        <is>
          <t>Haryana</t>
        </is>
      </c>
      <c r="C1671" s="2" t="inlineStr">
        <is>
          <t>Gurugram</t>
        </is>
      </c>
      <c r="D1671" s="2" t="inlineStr">
        <is>
          <t>North</t>
        </is>
      </c>
    </row>
    <row r="1672">
      <c r="A1672" s="2" t="inlineStr">
        <is>
          <t>C0349</t>
        </is>
      </c>
      <c r="B1672" s="2" t="inlineStr">
        <is>
          <t>Goa</t>
        </is>
      </c>
      <c r="C1672" s="2" t="inlineStr">
        <is>
          <t>Panaji</t>
        </is>
      </c>
      <c r="D1672" s="2" t="inlineStr">
        <is>
          <t>West</t>
        </is>
      </c>
    </row>
    <row r="1673">
      <c r="A1673" s="2" t="inlineStr">
        <is>
          <t>C0349</t>
        </is>
      </c>
      <c r="B1673" s="2" t="inlineStr">
        <is>
          <t>Kerala</t>
        </is>
      </c>
      <c r="C1673" s="2" t="inlineStr">
        <is>
          <t>Thiruvananthapuram</t>
        </is>
      </c>
      <c r="D1673" s="2" t="inlineStr">
        <is>
          <t>South</t>
        </is>
      </c>
    </row>
    <row r="1674">
      <c r="A1674" s="2" t="inlineStr">
        <is>
          <t>C0350</t>
        </is>
      </c>
      <c r="B1674" s="2" t="inlineStr">
        <is>
          <t>Gujarat</t>
        </is>
      </c>
      <c r="C1674" s="2" t="inlineStr">
        <is>
          <t>Surat</t>
        </is>
      </c>
      <c r="D1674" s="2" t="inlineStr">
        <is>
          <t>West</t>
        </is>
      </c>
    </row>
    <row r="1675">
      <c r="A1675" s="2" t="inlineStr">
        <is>
          <t>C0350</t>
        </is>
      </c>
      <c r="B1675" s="2" t="inlineStr">
        <is>
          <t>Tamil Nadu</t>
        </is>
      </c>
      <c r="C1675" s="2" t="inlineStr">
        <is>
          <t>Madurai</t>
        </is>
      </c>
      <c r="D1675" s="2" t="inlineStr">
        <is>
          <t>South</t>
        </is>
      </c>
    </row>
    <row r="1676">
      <c r="A1676" s="2" t="inlineStr">
        <is>
          <t>C0350</t>
        </is>
      </c>
      <c r="B1676" s="2" t="inlineStr">
        <is>
          <t>Gujarat</t>
        </is>
      </c>
      <c r="C1676" s="2" t="inlineStr">
        <is>
          <t>Ahmedabad</t>
        </is>
      </c>
      <c r="D1676" s="2" t="inlineStr">
        <is>
          <t>West</t>
        </is>
      </c>
    </row>
    <row r="1677">
      <c r="A1677" s="2" t="inlineStr">
        <is>
          <t>C0350</t>
        </is>
      </c>
      <c r="B1677" s="2" t="inlineStr">
        <is>
          <t>Punjab</t>
        </is>
      </c>
      <c r="C1677" s="2" t="inlineStr">
        <is>
          <t>Amritsar</t>
        </is>
      </c>
      <c r="D1677" s="2" t="inlineStr">
        <is>
          <t>North</t>
        </is>
      </c>
    </row>
    <row r="1678">
      <c r="A1678" s="2" t="inlineStr">
        <is>
          <t>C0350</t>
        </is>
      </c>
      <c r="B1678" s="2" t="inlineStr">
        <is>
          <t>Odisha</t>
        </is>
      </c>
      <c r="C1678" s="2" t="inlineStr">
        <is>
          <t>Bhubaneswar</t>
        </is>
      </c>
      <c r="D1678" s="2" t="inlineStr">
        <is>
          <t>East</t>
        </is>
      </c>
    </row>
    <row r="1679">
      <c r="A1679" s="2" t="inlineStr">
        <is>
          <t>C0350</t>
        </is>
      </c>
      <c r="B1679" s="2" t="inlineStr">
        <is>
          <t>Karnataka</t>
        </is>
      </c>
      <c r="C1679" s="2" t="inlineStr">
        <is>
          <t>Bengaluru</t>
        </is>
      </c>
      <c r="D1679" s="2" t="inlineStr">
        <is>
          <t>South</t>
        </is>
      </c>
    </row>
    <row r="1680">
      <c r="A1680" s="2" t="inlineStr">
        <is>
          <t>C0350</t>
        </is>
      </c>
      <c r="B1680" s="2" t="inlineStr">
        <is>
          <t>Punjab</t>
        </is>
      </c>
      <c r="C1680" s="2" t="inlineStr">
        <is>
          <t>Ludhiana</t>
        </is>
      </c>
      <c r="D1680" s="2" t="inlineStr">
        <is>
          <t>North</t>
        </is>
      </c>
    </row>
    <row r="1681">
      <c r="A1681" s="2" t="inlineStr">
        <is>
          <t>C0350</t>
        </is>
      </c>
      <c r="B1681" s="2" t="inlineStr">
        <is>
          <t>Gujarat</t>
        </is>
      </c>
      <c r="C1681" s="2" t="inlineStr">
        <is>
          <t>Vadodara</t>
        </is>
      </c>
      <c r="D1681" s="2" t="inlineStr">
        <is>
          <t>West</t>
        </is>
      </c>
    </row>
    <row r="1682">
      <c r="A1682" s="2" t="inlineStr">
        <is>
          <t>C0350</t>
        </is>
      </c>
      <c r="B1682" s="2" t="inlineStr">
        <is>
          <t>Maharashtra</t>
        </is>
      </c>
      <c r="C1682" s="2" t="inlineStr">
        <is>
          <t>Nashik</t>
        </is>
      </c>
      <c r="D1682" s="2" t="inlineStr">
        <is>
          <t>West</t>
        </is>
      </c>
    </row>
    <row r="1683">
      <c r="A1683" s="2" t="inlineStr">
        <is>
          <t>C0351</t>
        </is>
      </c>
      <c r="B1683" s="2" t="inlineStr">
        <is>
          <t>Telangana</t>
        </is>
      </c>
      <c r="C1683" s="2" t="inlineStr">
        <is>
          <t>Hyderabad</t>
        </is>
      </c>
      <c r="D1683" s="2" t="inlineStr">
        <is>
          <t>South</t>
        </is>
      </c>
    </row>
    <row r="1684">
      <c r="A1684" s="2" t="inlineStr">
        <is>
          <t>C0351</t>
        </is>
      </c>
      <c r="B1684" s="2" t="inlineStr">
        <is>
          <t>Gujarat</t>
        </is>
      </c>
      <c r="C1684" s="2" t="inlineStr">
        <is>
          <t>Surat</t>
        </is>
      </c>
      <c r="D1684" s="2" t="inlineStr">
        <is>
          <t>West</t>
        </is>
      </c>
    </row>
    <row r="1685">
      <c r="A1685" s="2" t="inlineStr">
        <is>
          <t>C0352</t>
        </is>
      </c>
      <c r="B1685" s="2" t="inlineStr">
        <is>
          <t>Delhi</t>
        </is>
      </c>
      <c r="C1685" s="2" t="inlineStr">
        <is>
          <t>New Delhi</t>
        </is>
      </c>
      <c r="D1685" s="2" t="inlineStr">
        <is>
          <t>North</t>
        </is>
      </c>
    </row>
    <row r="1686">
      <c r="A1686" s="2" t="inlineStr">
        <is>
          <t>C0352</t>
        </is>
      </c>
      <c r="B1686" s="2" t="inlineStr">
        <is>
          <t>Maharashtra</t>
        </is>
      </c>
      <c r="C1686" s="2" t="inlineStr">
        <is>
          <t>Mumbai</t>
        </is>
      </c>
      <c r="D1686" s="2" t="inlineStr">
        <is>
          <t>West</t>
        </is>
      </c>
    </row>
    <row r="1687">
      <c r="A1687" s="2" t="inlineStr">
        <is>
          <t>C0352</t>
        </is>
      </c>
      <c r="B1687" s="2" t="inlineStr">
        <is>
          <t>Karnataka</t>
        </is>
      </c>
      <c r="C1687" s="2" t="inlineStr">
        <is>
          <t>Mysuru</t>
        </is>
      </c>
      <c r="D1687" s="2" t="inlineStr">
        <is>
          <t>South</t>
        </is>
      </c>
    </row>
    <row r="1688">
      <c r="A1688" s="2" t="inlineStr">
        <is>
          <t>C0352</t>
        </is>
      </c>
      <c r="B1688" s="2" t="inlineStr">
        <is>
          <t>Gujarat</t>
        </is>
      </c>
      <c r="C1688" s="2" t="inlineStr">
        <is>
          <t>Vadodara</t>
        </is>
      </c>
      <c r="D1688" s="2" t="inlineStr">
        <is>
          <t>West</t>
        </is>
      </c>
    </row>
    <row r="1689">
      <c r="A1689" s="2" t="inlineStr">
        <is>
          <t>C0352</t>
        </is>
      </c>
      <c r="B1689" s="2" t="inlineStr">
        <is>
          <t>Odisha</t>
        </is>
      </c>
      <c r="C1689" s="2" t="inlineStr">
        <is>
          <t>Bhubaneswar</t>
        </is>
      </c>
      <c r="D1689" s="2" t="inlineStr">
        <is>
          <t>East</t>
        </is>
      </c>
    </row>
    <row r="1690">
      <c r="A1690" s="2" t="inlineStr">
        <is>
          <t>C0352</t>
        </is>
      </c>
      <c r="B1690" s="2" t="inlineStr">
        <is>
          <t>West Bengal</t>
        </is>
      </c>
      <c r="C1690" s="2" t="inlineStr">
        <is>
          <t>Kolkata</t>
        </is>
      </c>
      <c r="D1690" s="2" t="inlineStr">
        <is>
          <t>East</t>
        </is>
      </c>
    </row>
    <row r="1691">
      <c r="A1691" s="2" t="inlineStr">
        <is>
          <t>C0353</t>
        </is>
      </c>
      <c r="B1691" s="2" t="inlineStr">
        <is>
          <t>Tamil Nadu</t>
        </is>
      </c>
      <c r="C1691" s="2" t="inlineStr">
        <is>
          <t>Coimbatore</t>
        </is>
      </c>
      <c r="D1691" s="2" t="inlineStr">
        <is>
          <t>South</t>
        </is>
      </c>
    </row>
    <row r="1692">
      <c r="A1692" s="2" t="inlineStr">
        <is>
          <t>C0353</t>
        </is>
      </c>
      <c r="B1692" s="2" t="inlineStr">
        <is>
          <t>Goa</t>
        </is>
      </c>
      <c r="C1692" s="2" t="inlineStr">
        <is>
          <t>Margao</t>
        </is>
      </c>
      <c r="D1692" s="2" t="inlineStr">
        <is>
          <t>West</t>
        </is>
      </c>
    </row>
    <row r="1693">
      <c r="A1693" s="2" t="inlineStr">
        <is>
          <t>C0353</t>
        </is>
      </c>
      <c r="B1693" s="2" t="inlineStr">
        <is>
          <t>Maharashtra</t>
        </is>
      </c>
      <c r="C1693" s="2" t="inlineStr">
        <is>
          <t>Thane</t>
        </is>
      </c>
      <c r="D1693" s="2" t="inlineStr">
        <is>
          <t>West</t>
        </is>
      </c>
    </row>
    <row r="1694">
      <c r="A1694" s="2" t="inlineStr">
        <is>
          <t>C0353</t>
        </is>
      </c>
      <c r="B1694" s="2" t="inlineStr">
        <is>
          <t>West Bengal</t>
        </is>
      </c>
      <c r="C1694" s="2" t="inlineStr">
        <is>
          <t>Durgapur</t>
        </is>
      </c>
      <c r="D1694" s="2" t="inlineStr">
        <is>
          <t>East</t>
        </is>
      </c>
    </row>
    <row r="1695">
      <c r="A1695" s="2" t="inlineStr">
        <is>
          <t>C0354</t>
        </is>
      </c>
      <c r="B1695" s="2" t="inlineStr">
        <is>
          <t>Tamil Nadu</t>
        </is>
      </c>
      <c r="C1695" s="2" t="inlineStr">
        <is>
          <t>Madurai</t>
        </is>
      </c>
      <c r="D1695" s="2" t="inlineStr">
        <is>
          <t>South</t>
        </is>
      </c>
    </row>
    <row r="1696">
      <c r="A1696" s="2" t="inlineStr">
        <is>
          <t>C0354</t>
        </is>
      </c>
      <c r="B1696" s="2" t="inlineStr">
        <is>
          <t>Telangana</t>
        </is>
      </c>
      <c r="C1696" s="2" t="inlineStr">
        <is>
          <t>Hyderabad</t>
        </is>
      </c>
      <c r="D1696" s="2" t="inlineStr">
        <is>
          <t>South</t>
        </is>
      </c>
    </row>
    <row r="1697">
      <c r="A1697" s="2" t="inlineStr">
        <is>
          <t>C0354</t>
        </is>
      </c>
      <c r="B1697" s="2" t="inlineStr">
        <is>
          <t>Gujarat</t>
        </is>
      </c>
      <c r="C1697" s="2" t="inlineStr">
        <is>
          <t>Vadodara</t>
        </is>
      </c>
      <c r="D1697" s="2" t="inlineStr">
        <is>
          <t>West</t>
        </is>
      </c>
    </row>
    <row r="1698">
      <c r="A1698" s="2" t="inlineStr">
        <is>
          <t>C0354</t>
        </is>
      </c>
      <c r="B1698" s="2" t="inlineStr">
        <is>
          <t>Goa</t>
        </is>
      </c>
      <c r="C1698" s="2" t="inlineStr">
        <is>
          <t>Margao</t>
        </is>
      </c>
      <c r="D1698" s="2" t="inlineStr">
        <is>
          <t>West</t>
        </is>
      </c>
    </row>
    <row r="1699">
      <c r="A1699" s="2" t="inlineStr">
        <is>
          <t>C0354</t>
        </is>
      </c>
      <c r="B1699" s="2" t="inlineStr">
        <is>
          <t>Karnataka</t>
        </is>
      </c>
      <c r="C1699" s="2" t="inlineStr">
        <is>
          <t>Mangaluru</t>
        </is>
      </c>
      <c r="D1699" s="2" t="inlineStr">
        <is>
          <t>South</t>
        </is>
      </c>
    </row>
    <row r="1700">
      <c r="A1700" s="2" t="inlineStr">
        <is>
          <t>C0354</t>
        </is>
      </c>
      <c r="B1700" s="2" t="inlineStr">
        <is>
          <t>Punjab</t>
        </is>
      </c>
      <c r="C1700" s="2" t="inlineStr">
        <is>
          <t>Jalandhar</t>
        </is>
      </c>
      <c r="D1700" s="2" t="inlineStr">
        <is>
          <t>North</t>
        </is>
      </c>
    </row>
    <row r="1701">
      <c r="A1701" s="2" t="inlineStr">
        <is>
          <t>C0354</t>
        </is>
      </c>
      <c r="B1701" s="2" t="inlineStr">
        <is>
          <t>Goa</t>
        </is>
      </c>
      <c r="C1701" s="2" t="inlineStr">
        <is>
          <t>Panaji</t>
        </is>
      </c>
      <c r="D1701" s="2" t="inlineStr">
        <is>
          <t>West</t>
        </is>
      </c>
    </row>
    <row r="1702">
      <c r="A1702" s="2" t="inlineStr">
        <is>
          <t>C0354</t>
        </is>
      </c>
      <c r="B1702" s="2" t="inlineStr">
        <is>
          <t>Telangana</t>
        </is>
      </c>
      <c r="C1702" s="2" t="inlineStr">
        <is>
          <t>Warangal</t>
        </is>
      </c>
      <c r="D1702" s="2" t="inlineStr">
        <is>
          <t>South</t>
        </is>
      </c>
    </row>
    <row r="1703">
      <c r="A1703" s="2" t="inlineStr">
        <is>
          <t>C0354</t>
        </is>
      </c>
      <c r="B1703" s="2" t="inlineStr">
        <is>
          <t>Gujarat</t>
        </is>
      </c>
      <c r="C1703" s="2" t="inlineStr">
        <is>
          <t>Ahmedabad</t>
        </is>
      </c>
      <c r="D1703" s="2" t="inlineStr">
        <is>
          <t>West</t>
        </is>
      </c>
    </row>
    <row r="1704">
      <c r="A1704" s="2" t="inlineStr">
        <is>
          <t>C0354</t>
        </is>
      </c>
      <c r="B1704" s="2" t="inlineStr">
        <is>
          <t>Karnataka</t>
        </is>
      </c>
      <c r="C1704" s="2" t="inlineStr">
        <is>
          <t>Bengaluru</t>
        </is>
      </c>
      <c r="D1704" s="2" t="inlineStr">
        <is>
          <t>South</t>
        </is>
      </c>
    </row>
    <row r="1705">
      <c r="A1705" s="2" t="inlineStr">
        <is>
          <t>C0354</t>
        </is>
      </c>
      <c r="B1705" s="2" t="inlineStr">
        <is>
          <t>Odisha</t>
        </is>
      </c>
      <c r="C1705" s="2" t="inlineStr">
        <is>
          <t>Bhubaneswar</t>
        </is>
      </c>
      <c r="D1705" s="2" t="inlineStr">
        <is>
          <t>East</t>
        </is>
      </c>
    </row>
    <row r="1706">
      <c r="A1706" s="2" t="inlineStr">
        <is>
          <t>C0355</t>
        </is>
      </c>
      <c r="B1706" s="2" t="inlineStr">
        <is>
          <t>Karnataka</t>
        </is>
      </c>
      <c r="C1706" s="2" t="inlineStr">
        <is>
          <t>Mysuru</t>
        </is>
      </c>
      <c r="D1706" s="2" t="inlineStr">
        <is>
          <t>South</t>
        </is>
      </c>
    </row>
    <row r="1707">
      <c r="A1707" s="2" t="inlineStr">
        <is>
          <t>C0355</t>
        </is>
      </c>
      <c r="B1707" s="2" t="inlineStr">
        <is>
          <t>Tamil Nadu</t>
        </is>
      </c>
      <c r="C1707" s="2" t="inlineStr">
        <is>
          <t>Chennai</t>
        </is>
      </c>
      <c r="D1707" s="2" t="inlineStr">
        <is>
          <t>South</t>
        </is>
      </c>
    </row>
    <row r="1708">
      <c r="A1708" s="2" t="inlineStr">
        <is>
          <t>C0355</t>
        </is>
      </c>
      <c r="B1708" s="2" t="inlineStr">
        <is>
          <t>Telangana</t>
        </is>
      </c>
      <c r="C1708" s="2" t="inlineStr">
        <is>
          <t>Warangal</t>
        </is>
      </c>
      <c r="D1708" s="2" t="inlineStr">
        <is>
          <t>South</t>
        </is>
      </c>
    </row>
    <row r="1709">
      <c r="A1709" s="2" t="inlineStr">
        <is>
          <t>C0355</t>
        </is>
      </c>
      <c r="B1709" s="2" t="inlineStr">
        <is>
          <t>Goa</t>
        </is>
      </c>
      <c r="C1709" s="2" t="inlineStr">
        <is>
          <t>Panaji</t>
        </is>
      </c>
      <c r="D1709" s="2" t="inlineStr">
        <is>
          <t>West</t>
        </is>
      </c>
    </row>
    <row r="1710">
      <c r="A1710" s="2" t="inlineStr">
        <is>
          <t>C0355</t>
        </is>
      </c>
      <c r="B1710" s="2" t="inlineStr">
        <is>
          <t>Maharashtra</t>
        </is>
      </c>
      <c r="C1710" s="2" t="inlineStr">
        <is>
          <t>Nashik</t>
        </is>
      </c>
      <c r="D1710" s="2" t="inlineStr">
        <is>
          <t>West</t>
        </is>
      </c>
    </row>
    <row r="1711">
      <c r="A1711" s="2" t="inlineStr">
        <is>
          <t>C0355</t>
        </is>
      </c>
      <c r="B1711" s="2" t="inlineStr">
        <is>
          <t>Telangana</t>
        </is>
      </c>
      <c r="C1711" s="2" t="inlineStr">
        <is>
          <t>Hyderabad</t>
        </is>
      </c>
      <c r="D1711" s="2" t="inlineStr">
        <is>
          <t>South</t>
        </is>
      </c>
    </row>
    <row r="1712">
      <c r="A1712" s="2" t="inlineStr">
        <is>
          <t>C0355</t>
        </is>
      </c>
      <c r="B1712" s="2" t="inlineStr">
        <is>
          <t>Odisha</t>
        </is>
      </c>
      <c r="C1712" s="2" t="inlineStr">
        <is>
          <t>Bhubaneswar</t>
        </is>
      </c>
      <c r="D1712" s="2" t="inlineStr">
        <is>
          <t>East</t>
        </is>
      </c>
    </row>
    <row r="1713">
      <c r="A1713" s="2" t="inlineStr">
        <is>
          <t>C0355</t>
        </is>
      </c>
      <c r="B1713" s="2" t="inlineStr">
        <is>
          <t>Punjab</t>
        </is>
      </c>
      <c r="C1713" s="2" t="inlineStr">
        <is>
          <t>Amritsar</t>
        </is>
      </c>
      <c r="D1713" s="2" t="inlineStr">
        <is>
          <t>North</t>
        </is>
      </c>
    </row>
    <row r="1714">
      <c r="A1714" s="2" t="inlineStr">
        <is>
          <t>C0355</t>
        </is>
      </c>
      <c r="B1714" s="2" t="inlineStr">
        <is>
          <t>Haryana</t>
        </is>
      </c>
      <c r="C1714" s="2" t="inlineStr">
        <is>
          <t>Gurugram</t>
        </is>
      </c>
      <c r="D1714" s="2" t="inlineStr">
        <is>
          <t>North</t>
        </is>
      </c>
    </row>
    <row r="1715">
      <c r="A1715" s="2" t="inlineStr">
        <is>
          <t>C0355</t>
        </is>
      </c>
      <c r="B1715" s="2" t="inlineStr">
        <is>
          <t>Goa</t>
        </is>
      </c>
      <c r="C1715" s="2" t="inlineStr">
        <is>
          <t>Margao</t>
        </is>
      </c>
      <c r="D1715" s="2" t="inlineStr">
        <is>
          <t>West</t>
        </is>
      </c>
    </row>
    <row r="1716">
      <c r="A1716" s="2" t="inlineStr">
        <is>
          <t>C0355</t>
        </is>
      </c>
      <c r="B1716" s="2" t="inlineStr">
        <is>
          <t>Maharashtra</t>
        </is>
      </c>
      <c r="C1716" s="2" t="inlineStr">
        <is>
          <t>Thane</t>
        </is>
      </c>
      <c r="D1716" s="2" t="inlineStr">
        <is>
          <t>West</t>
        </is>
      </c>
    </row>
    <row r="1717">
      <c r="A1717" s="2" t="inlineStr">
        <is>
          <t>C0356</t>
        </is>
      </c>
      <c r="B1717" s="2" t="inlineStr">
        <is>
          <t>Haryana</t>
        </is>
      </c>
      <c r="C1717" s="2" t="inlineStr">
        <is>
          <t>Faridabad</t>
        </is>
      </c>
      <c r="D1717" s="2" t="inlineStr">
        <is>
          <t>North</t>
        </is>
      </c>
    </row>
    <row r="1718">
      <c r="A1718" s="2" t="inlineStr">
        <is>
          <t>C0356</t>
        </is>
      </c>
      <c r="B1718" s="2" t="inlineStr">
        <is>
          <t>Kerala</t>
        </is>
      </c>
      <c r="C1718" s="2" t="inlineStr">
        <is>
          <t>Thiruvananthapuram</t>
        </is>
      </c>
      <c r="D1718" s="2" t="inlineStr">
        <is>
          <t>South</t>
        </is>
      </c>
    </row>
    <row r="1719">
      <c r="A1719" s="2" t="inlineStr">
        <is>
          <t>C0357</t>
        </is>
      </c>
      <c r="B1719" s="2" t="inlineStr">
        <is>
          <t>Karnataka</t>
        </is>
      </c>
      <c r="C1719" s="2" t="inlineStr">
        <is>
          <t>Bengaluru</t>
        </is>
      </c>
      <c r="D1719" s="2" t="inlineStr">
        <is>
          <t>South</t>
        </is>
      </c>
    </row>
    <row r="1720">
      <c r="A1720" s="2" t="inlineStr">
        <is>
          <t>C0358</t>
        </is>
      </c>
      <c r="B1720" s="2" t="inlineStr">
        <is>
          <t>West Bengal</t>
        </is>
      </c>
      <c r="C1720" s="2" t="inlineStr">
        <is>
          <t>Kolkata</t>
        </is>
      </c>
      <c r="D1720" s="2" t="inlineStr">
        <is>
          <t>East</t>
        </is>
      </c>
    </row>
    <row r="1721">
      <c r="A1721" s="2" t="inlineStr">
        <is>
          <t>C0358</t>
        </is>
      </c>
      <c r="B1721" s="2" t="inlineStr">
        <is>
          <t>Haryana</t>
        </is>
      </c>
      <c r="C1721" s="2" t="inlineStr">
        <is>
          <t>Faridabad</t>
        </is>
      </c>
      <c r="D1721" s="2" t="inlineStr">
        <is>
          <t>North</t>
        </is>
      </c>
    </row>
    <row r="1722">
      <c r="A1722" s="2" t="inlineStr">
        <is>
          <t>C0358</t>
        </is>
      </c>
      <c r="B1722" s="2" t="inlineStr">
        <is>
          <t>Karnataka</t>
        </is>
      </c>
      <c r="C1722" s="2" t="inlineStr">
        <is>
          <t>Mangaluru</t>
        </is>
      </c>
      <c r="D1722" s="2" t="inlineStr">
        <is>
          <t>South</t>
        </is>
      </c>
    </row>
    <row r="1723">
      <c r="A1723" s="2" t="inlineStr">
        <is>
          <t>C0358</t>
        </is>
      </c>
      <c r="B1723" s="2" t="inlineStr">
        <is>
          <t>Goa</t>
        </is>
      </c>
      <c r="C1723" s="2" t="inlineStr">
        <is>
          <t>Panaji</t>
        </is>
      </c>
      <c r="D1723" s="2" t="inlineStr">
        <is>
          <t>West</t>
        </is>
      </c>
    </row>
    <row r="1724">
      <c r="A1724" s="2" t="inlineStr">
        <is>
          <t>C0359</t>
        </is>
      </c>
      <c r="B1724" s="2" t="inlineStr">
        <is>
          <t>Goa</t>
        </is>
      </c>
      <c r="C1724" s="2" t="inlineStr">
        <is>
          <t>Panaji</t>
        </is>
      </c>
      <c r="D1724" s="2" t="inlineStr">
        <is>
          <t>West</t>
        </is>
      </c>
    </row>
    <row r="1725">
      <c r="A1725" s="2" t="inlineStr">
        <is>
          <t>C0359</t>
        </is>
      </c>
      <c r="B1725" s="2" t="inlineStr">
        <is>
          <t>West Bengal</t>
        </is>
      </c>
      <c r="C1725" s="2" t="inlineStr">
        <is>
          <t>Kolkata</t>
        </is>
      </c>
      <c r="D1725" s="2" t="inlineStr">
        <is>
          <t>East</t>
        </is>
      </c>
    </row>
    <row r="1726">
      <c r="A1726" s="2" t="inlineStr">
        <is>
          <t>C0359</t>
        </is>
      </c>
      <c r="B1726" s="2" t="inlineStr">
        <is>
          <t>Delhi</t>
        </is>
      </c>
      <c r="C1726" s="2" t="inlineStr">
        <is>
          <t>New Delhi</t>
        </is>
      </c>
      <c r="D1726" s="2" t="inlineStr">
        <is>
          <t>North</t>
        </is>
      </c>
    </row>
    <row r="1727">
      <c r="A1727" s="2" t="inlineStr">
        <is>
          <t>C0359</t>
        </is>
      </c>
      <c r="B1727" s="2" t="inlineStr">
        <is>
          <t>Haryana</t>
        </is>
      </c>
      <c r="C1727" s="2" t="inlineStr">
        <is>
          <t>Gurugram</t>
        </is>
      </c>
      <c r="D1727" s="2" t="inlineStr">
        <is>
          <t>North</t>
        </is>
      </c>
    </row>
    <row r="1728">
      <c r="A1728" s="2" t="inlineStr">
        <is>
          <t>C0359</t>
        </is>
      </c>
      <c r="B1728" s="2" t="inlineStr">
        <is>
          <t>Karnataka</t>
        </is>
      </c>
      <c r="C1728" s="2" t="inlineStr">
        <is>
          <t>Bengaluru</t>
        </is>
      </c>
      <c r="D1728" s="2" t="inlineStr">
        <is>
          <t>South</t>
        </is>
      </c>
    </row>
    <row r="1729">
      <c r="A1729" s="2" t="inlineStr">
        <is>
          <t>C0359</t>
        </is>
      </c>
      <c r="B1729" s="2" t="inlineStr">
        <is>
          <t>Punjab</t>
        </is>
      </c>
      <c r="C1729" s="2" t="inlineStr">
        <is>
          <t>Amritsar</t>
        </is>
      </c>
      <c r="D1729" s="2" t="inlineStr">
        <is>
          <t>North</t>
        </is>
      </c>
    </row>
    <row r="1730">
      <c r="A1730" s="2" t="inlineStr">
        <is>
          <t>C0361</t>
        </is>
      </c>
      <c r="B1730" s="2" t="inlineStr">
        <is>
          <t>Haryana</t>
        </is>
      </c>
      <c r="C1730" s="2" t="inlineStr">
        <is>
          <t>Gurugram</t>
        </is>
      </c>
      <c r="D1730" s="2" t="inlineStr">
        <is>
          <t>North</t>
        </is>
      </c>
    </row>
    <row r="1731">
      <c r="A1731" s="2" t="inlineStr">
        <is>
          <t>C0361</t>
        </is>
      </c>
      <c r="B1731" s="2" t="inlineStr">
        <is>
          <t>Punjab</t>
        </is>
      </c>
      <c r="C1731" s="2" t="inlineStr">
        <is>
          <t>Jalandhar</t>
        </is>
      </c>
      <c r="D1731" s="2" t="inlineStr">
        <is>
          <t>North</t>
        </is>
      </c>
    </row>
    <row r="1732">
      <c r="A1732" s="2" t="inlineStr">
        <is>
          <t>C0361</t>
        </is>
      </c>
      <c r="B1732" s="2" t="inlineStr">
        <is>
          <t>Odisha</t>
        </is>
      </c>
      <c r="C1732" s="2" t="inlineStr">
        <is>
          <t>Bhubaneswar</t>
        </is>
      </c>
      <c r="D1732" s="2" t="inlineStr">
        <is>
          <t>East</t>
        </is>
      </c>
    </row>
    <row r="1733">
      <c r="A1733" s="2" t="inlineStr">
        <is>
          <t>C0361</t>
        </is>
      </c>
      <c r="B1733" s="2" t="inlineStr">
        <is>
          <t>Maharashtra</t>
        </is>
      </c>
      <c r="C1733" s="2" t="inlineStr">
        <is>
          <t>Mumbai</t>
        </is>
      </c>
      <c r="D1733" s="2" t="inlineStr">
        <is>
          <t>West</t>
        </is>
      </c>
    </row>
    <row r="1734">
      <c r="A1734" s="2" t="inlineStr">
        <is>
          <t>C0362</t>
        </is>
      </c>
      <c r="B1734" s="2" t="inlineStr">
        <is>
          <t>Haryana</t>
        </is>
      </c>
      <c r="C1734" s="2" t="inlineStr">
        <is>
          <t>Faridabad</t>
        </is>
      </c>
      <c r="D1734" s="2" t="inlineStr">
        <is>
          <t>North</t>
        </is>
      </c>
    </row>
    <row r="1735">
      <c r="A1735" s="2" t="inlineStr">
        <is>
          <t>C0362</t>
        </is>
      </c>
      <c r="B1735" s="2" t="inlineStr">
        <is>
          <t>Delhi</t>
        </is>
      </c>
      <c r="C1735" s="2" t="inlineStr">
        <is>
          <t>New Delhi</t>
        </is>
      </c>
      <c r="D1735" s="2" t="inlineStr">
        <is>
          <t>North</t>
        </is>
      </c>
    </row>
    <row r="1736">
      <c r="A1736" s="2" t="inlineStr">
        <is>
          <t>C0362</t>
        </is>
      </c>
      <c r="B1736" s="2" t="inlineStr">
        <is>
          <t>Haryana</t>
        </is>
      </c>
      <c r="C1736" s="2" t="inlineStr">
        <is>
          <t>Gurugram</t>
        </is>
      </c>
      <c r="D1736" s="2" t="inlineStr">
        <is>
          <t>North</t>
        </is>
      </c>
    </row>
    <row r="1737">
      <c r="A1737" s="2" t="inlineStr">
        <is>
          <t>C0362</t>
        </is>
      </c>
      <c r="B1737" s="2" t="inlineStr">
        <is>
          <t>Maharashtra</t>
        </is>
      </c>
      <c r="C1737" s="2" t="inlineStr">
        <is>
          <t>Nagpur</t>
        </is>
      </c>
      <c r="D1737" s="2" t="inlineStr">
        <is>
          <t>West</t>
        </is>
      </c>
    </row>
    <row r="1738">
      <c r="A1738" s="2" t="inlineStr">
        <is>
          <t>C0362</t>
        </is>
      </c>
      <c r="B1738" s="2" t="inlineStr">
        <is>
          <t>Tamil Nadu</t>
        </is>
      </c>
      <c r="C1738" s="2" t="inlineStr">
        <is>
          <t>Madurai</t>
        </is>
      </c>
      <c r="D1738" s="2" t="inlineStr">
        <is>
          <t>South</t>
        </is>
      </c>
    </row>
    <row r="1739">
      <c r="A1739" s="2" t="inlineStr">
        <is>
          <t>C0362</t>
        </is>
      </c>
      <c r="B1739" s="2" t="inlineStr">
        <is>
          <t>Punjab</t>
        </is>
      </c>
      <c r="C1739" s="2" t="inlineStr">
        <is>
          <t>Amritsar</t>
        </is>
      </c>
      <c r="D1739" s="2" t="inlineStr">
        <is>
          <t>North</t>
        </is>
      </c>
    </row>
    <row r="1740">
      <c r="A1740" s="2" t="inlineStr">
        <is>
          <t>C0362</t>
        </is>
      </c>
      <c r="B1740" s="2" t="inlineStr">
        <is>
          <t>Gujarat</t>
        </is>
      </c>
      <c r="C1740" s="2" t="inlineStr">
        <is>
          <t>Ahmedabad</t>
        </is>
      </c>
      <c r="D1740" s="2" t="inlineStr">
        <is>
          <t>West</t>
        </is>
      </c>
    </row>
    <row r="1741">
      <c r="A1741" s="2" t="inlineStr">
        <is>
          <t>C0363</t>
        </is>
      </c>
      <c r="B1741" s="2" t="inlineStr">
        <is>
          <t>Gujarat</t>
        </is>
      </c>
      <c r="C1741" s="2" t="inlineStr">
        <is>
          <t>Ahmedabad</t>
        </is>
      </c>
      <c r="D1741" s="2" t="inlineStr">
        <is>
          <t>West</t>
        </is>
      </c>
    </row>
    <row r="1742">
      <c r="A1742" s="2" t="inlineStr">
        <is>
          <t>C0363</t>
        </is>
      </c>
      <c r="B1742" s="2" t="inlineStr">
        <is>
          <t>Maharashtra</t>
        </is>
      </c>
      <c r="C1742" s="2" t="inlineStr">
        <is>
          <t>Nagpur</t>
        </is>
      </c>
      <c r="D1742" s="2" t="inlineStr">
        <is>
          <t>West</t>
        </is>
      </c>
    </row>
    <row r="1743">
      <c r="A1743" s="2" t="inlineStr">
        <is>
          <t>C0363</t>
        </is>
      </c>
      <c r="B1743" s="2" t="inlineStr">
        <is>
          <t>Delhi</t>
        </is>
      </c>
      <c r="C1743" s="2" t="inlineStr">
        <is>
          <t>New Delhi</t>
        </is>
      </c>
      <c r="D1743" s="2" t="inlineStr">
        <is>
          <t>North</t>
        </is>
      </c>
    </row>
    <row r="1744">
      <c r="A1744" s="2" t="inlineStr">
        <is>
          <t>C0363</t>
        </is>
      </c>
      <c r="B1744" s="2" t="inlineStr">
        <is>
          <t>Haryana</t>
        </is>
      </c>
      <c r="C1744" s="2" t="inlineStr">
        <is>
          <t>Gurugram</t>
        </is>
      </c>
      <c r="D1744" s="2" t="inlineStr">
        <is>
          <t>North</t>
        </is>
      </c>
    </row>
    <row r="1745">
      <c r="A1745" s="2" t="inlineStr">
        <is>
          <t>C0363</t>
        </is>
      </c>
      <c r="B1745" s="2" t="inlineStr">
        <is>
          <t>Karnataka</t>
        </is>
      </c>
      <c r="C1745" s="2" t="inlineStr">
        <is>
          <t>Mysuru</t>
        </is>
      </c>
      <c r="D1745" s="2" t="inlineStr">
        <is>
          <t>South</t>
        </is>
      </c>
    </row>
    <row r="1746">
      <c r="A1746" s="2" t="inlineStr">
        <is>
          <t>C0363</t>
        </is>
      </c>
      <c r="B1746" s="2" t="inlineStr">
        <is>
          <t>Gujarat</t>
        </is>
      </c>
      <c r="C1746" s="2" t="inlineStr">
        <is>
          <t>Surat</t>
        </is>
      </c>
      <c r="D1746" s="2" t="inlineStr">
        <is>
          <t>West</t>
        </is>
      </c>
    </row>
    <row r="1747">
      <c r="A1747" s="2" t="inlineStr">
        <is>
          <t>C0363</t>
        </is>
      </c>
      <c r="B1747" s="2" t="inlineStr">
        <is>
          <t>Uttar Pradesh</t>
        </is>
      </c>
      <c r="C1747" s="2" t="inlineStr">
        <is>
          <t>Kanpur</t>
        </is>
      </c>
      <c r="D1747" s="2" t="inlineStr">
        <is>
          <t>North</t>
        </is>
      </c>
    </row>
    <row r="1748">
      <c r="A1748" s="2" t="inlineStr">
        <is>
          <t>C0364</t>
        </is>
      </c>
      <c r="B1748" s="2" t="inlineStr">
        <is>
          <t>Telangana</t>
        </is>
      </c>
      <c r="C1748" s="2" t="inlineStr">
        <is>
          <t>Hyderabad</t>
        </is>
      </c>
      <c r="D1748" s="2" t="inlineStr">
        <is>
          <t>South</t>
        </is>
      </c>
    </row>
    <row r="1749">
      <c r="A1749" s="2" t="inlineStr">
        <is>
          <t>C0364</t>
        </is>
      </c>
      <c r="B1749" s="2" t="inlineStr">
        <is>
          <t>Haryana</t>
        </is>
      </c>
      <c r="C1749" s="2" t="inlineStr">
        <is>
          <t>Gurugram</t>
        </is>
      </c>
      <c r="D1749" s="2" t="inlineStr">
        <is>
          <t>North</t>
        </is>
      </c>
    </row>
    <row r="1750">
      <c r="A1750" s="2" t="inlineStr">
        <is>
          <t>C0364</t>
        </is>
      </c>
      <c r="B1750" s="2" t="inlineStr">
        <is>
          <t>Gujarat</t>
        </is>
      </c>
      <c r="C1750" s="2" t="inlineStr">
        <is>
          <t>Surat</t>
        </is>
      </c>
      <c r="D1750" s="2" t="inlineStr">
        <is>
          <t>West</t>
        </is>
      </c>
    </row>
    <row r="1751">
      <c r="A1751" s="2" t="inlineStr">
        <is>
          <t>C0364</t>
        </is>
      </c>
      <c r="B1751" s="2" t="inlineStr">
        <is>
          <t>Delhi</t>
        </is>
      </c>
      <c r="C1751" s="2" t="inlineStr">
        <is>
          <t>New Delhi</t>
        </is>
      </c>
      <c r="D1751" s="2" t="inlineStr">
        <is>
          <t>North</t>
        </is>
      </c>
    </row>
    <row r="1752">
      <c r="A1752" s="2" t="inlineStr">
        <is>
          <t>C0365</t>
        </is>
      </c>
      <c r="B1752" s="2" t="inlineStr">
        <is>
          <t>Haryana</t>
        </is>
      </c>
      <c r="C1752" s="2" t="inlineStr">
        <is>
          <t>Gurugram</t>
        </is>
      </c>
      <c r="D1752" s="2" t="inlineStr">
        <is>
          <t>North</t>
        </is>
      </c>
    </row>
    <row r="1753">
      <c r="A1753" s="2" t="inlineStr">
        <is>
          <t>C0366</t>
        </is>
      </c>
      <c r="B1753" s="2" t="inlineStr">
        <is>
          <t>Gujarat</t>
        </is>
      </c>
      <c r="C1753" s="2" t="inlineStr">
        <is>
          <t>Vadodara</t>
        </is>
      </c>
      <c r="D1753" s="2" t="inlineStr">
        <is>
          <t>West</t>
        </is>
      </c>
    </row>
    <row r="1754">
      <c r="A1754" s="2" t="inlineStr">
        <is>
          <t>C0366</t>
        </is>
      </c>
      <c r="B1754" s="2" t="inlineStr">
        <is>
          <t>Bihar</t>
        </is>
      </c>
      <c r="C1754" s="2" t="inlineStr">
        <is>
          <t>Gaya</t>
        </is>
      </c>
      <c r="D1754" s="2" t="inlineStr">
        <is>
          <t>East</t>
        </is>
      </c>
    </row>
    <row r="1755">
      <c r="A1755" s="2" t="inlineStr">
        <is>
          <t>C0366</t>
        </is>
      </c>
      <c r="B1755" s="2" t="inlineStr">
        <is>
          <t>West Bengal</t>
        </is>
      </c>
      <c r="C1755" s="2" t="inlineStr">
        <is>
          <t>Durgapur</t>
        </is>
      </c>
      <c r="D1755" s="2" t="inlineStr">
        <is>
          <t>East</t>
        </is>
      </c>
    </row>
    <row r="1756">
      <c r="A1756" s="2" t="inlineStr">
        <is>
          <t>C0367</t>
        </is>
      </c>
      <c r="B1756" s="2" t="inlineStr">
        <is>
          <t>Telangana</t>
        </is>
      </c>
      <c r="C1756" s="2" t="inlineStr">
        <is>
          <t>Hyderabad</t>
        </is>
      </c>
      <c r="D1756" s="2" t="inlineStr">
        <is>
          <t>South</t>
        </is>
      </c>
    </row>
    <row r="1757">
      <c r="A1757" s="2" t="inlineStr">
        <is>
          <t>C0367</t>
        </is>
      </c>
      <c r="B1757" s="2" t="inlineStr">
        <is>
          <t>Odisha</t>
        </is>
      </c>
      <c r="C1757" s="2" t="inlineStr">
        <is>
          <t>Bhubaneswar</t>
        </is>
      </c>
      <c r="D1757" s="2" t="inlineStr">
        <is>
          <t>East</t>
        </is>
      </c>
    </row>
    <row r="1758">
      <c r="A1758" s="2" t="inlineStr">
        <is>
          <t>C0369</t>
        </is>
      </c>
      <c r="B1758" s="2" t="inlineStr">
        <is>
          <t>Odisha</t>
        </is>
      </c>
      <c r="C1758" s="2" t="inlineStr">
        <is>
          <t>Bhubaneswar</t>
        </is>
      </c>
      <c r="D1758" s="2" t="inlineStr">
        <is>
          <t>East</t>
        </is>
      </c>
    </row>
    <row r="1759">
      <c r="A1759" s="2" t="inlineStr">
        <is>
          <t>C0370</t>
        </is>
      </c>
      <c r="B1759" s="2" t="inlineStr">
        <is>
          <t>Kerala</t>
        </is>
      </c>
      <c r="C1759" s="2" t="inlineStr">
        <is>
          <t>Thiruvananthapuram</t>
        </is>
      </c>
      <c r="D1759" s="2" t="inlineStr">
        <is>
          <t>South</t>
        </is>
      </c>
    </row>
    <row r="1760">
      <c r="A1760" s="2" t="inlineStr">
        <is>
          <t>C0370</t>
        </is>
      </c>
      <c r="B1760" s="2" t="inlineStr">
        <is>
          <t>West Bengal</t>
        </is>
      </c>
      <c r="C1760" s="2" t="inlineStr">
        <is>
          <t>Durgapur</t>
        </is>
      </c>
      <c r="D1760" s="2" t="inlineStr">
        <is>
          <t>East</t>
        </is>
      </c>
    </row>
    <row r="1761">
      <c r="A1761" s="2" t="inlineStr">
        <is>
          <t>C0371</t>
        </is>
      </c>
      <c r="B1761" s="2" t="inlineStr">
        <is>
          <t>Maharashtra</t>
        </is>
      </c>
      <c r="C1761" s="2" t="inlineStr">
        <is>
          <t>Thane</t>
        </is>
      </c>
      <c r="D1761" s="2" t="inlineStr">
        <is>
          <t>West</t>
        </is>
      </c>
    </row>
    <row r="1762">
      <c r="A1762" s="2" t="inlineStr">
        <is>
          <t>C0371</t>
        </is>
      </c>
      <c r="B1762" s="2" t="inlineStr">
        <is>
          <t>West Bengal</t>
        </is>
      </c>
      <c r="C1762" s="2" t="inlineStr">
        <is>
          <t>Durgapur</t>
        </is>
      </c>
      <c r="D1762" s="2" t="inlineStr">
        <is>
          <t>East</t>
        </is>
      </c>
    </row>
    <row r="1763">
      <c r="A1763" s="2" t="inlineStr">
        <is>
          <t>C0371</t>
        </is>
      </c>
      <c r="B1763" s="2" t="inlineStr">
        <is>
          <t>West Bengal</t>
        </is>
      </c>
      <c r="C1763" s="2" t="inlineStr">
        <is>
          <t>Kolkata</t>
        </is>
      </c>
      <c r="D1763" s="2" t="inlineStr">
        <is>
          <t>East</t>
        </is>
      </c>
    </row>
    <row r="1764">
      <c r="A1764" s="2" t="inlineStr">
        <is>
          <t>C0371</t>
        </is>
      </c>
      <c r="B1764" s="2" t="inlineStr">
        <is>
          <t>Uttar Pradesh</t>
        </is>
      </c>
      <c r="C1764" s="2" t="inlineStr">
        <is>
          <t>Noida</t>
        </is>
      </c>
      <c r="D1764" s="2" t="inlineStr">
        <is>
          <t>North</t>
        </is>
      </c>
    </row>
    <row r="1765">
      <c r="A1765" s="2" t="inlineStr">
        <is>
          <t>C0371</t>
        </is>
      </c>
      <c r="B1765" s="2" t="inlineStr">
        <is>
          <t>Kerala</t>
        </is>
      </c>
      <c r="C1765" s="2" t="inlineStr">
        <is>
          <t>Thiruvananthapuram</t>
        </is>
      </c>
      <c r="D1765" s="2" t="inlineStr">
        <is>
          <t>South</t>
        </is>
      </c>
    </row>
    <row r="1766">
      <c r="A1766" s="2" t="inlineStr">
        <is>
          <t>C0371</t>
        </is>
      </c>
      <c r="B1766" s="2" t="inlineStr">
        <is>
          <t>Gujarat</t>
        </is>
      </c>
      <c r="C1766" s="2" t="inlineStr">
        <is>
          <t>Vadodara</t>
        </is>
      </c>
      <c r="D1766" s="2" t="inlineStr">
        <is>
          <t>West</t>
        </is>
      </c>
    </row>
    <row r="1767">
      <c r="A1767" s="2" t="inlineStr">
        <is>
          <t>C0371</t>
        </is>
      </c>
      <c r="B1767" s="2" t="inlineStr">
        <is>
          <t>Haryana</t>
        </is>
      </c>
      <c r="C1767" s="2" t="inlineStr">
        <is>
          <t>Gurugram</t>
        </is>
      </c>
      <c r="D1767" s="2" t="inlineStr">
        <is>
          <t>North</t>
        </is>
      </c>
    </row>
    <row r="1768">
      <c r="A1768" s="2" t="inlineStr">
        <is>
          <t>C0371</t>
        </is>
      </c>
      <c r="B1768" s="2" t="inlineStr">
        <is>
          <t>Telangana</t>
        </is>
      </c>
      <c r="C1768" s="2" t="inlineStr">
        <is>
          <t>Hyderabad</t>
        </is>
      </c>
      <c r="D1768" s="2" t="inlineStr">
        <is>
          <t>South</t>
        </is>
      </c>
    </row>
    <row r="1769">
      <c r="A1769" s="2" t="inlineStr">
        <is>
          <t>C0371</t>
        </is>
      </c>
      <c r="B1769" s="2" t="inlineStr">
        <is>
          <t>Gujarat</t>
        </is>
      </c>
      <c r="C1769" s="2" t="inlineStr">
        <is>
          <t>Ahmedabad</t>
        </is>
      </c>
      <c r="D1769" s="2" t="inlineStr">
        <is>
          <t>West</t>
        </is>
      </c>
    </row>
    <row r="1770">
      <c r="A1770" s="2" t="inlineStr">
        <is>
          <t>C0371</t>
        </is>
      </c>
      <c r="B1770" s="2" t="inlineStr">
        <is>
          <t>Bihar</t>
        </is>
      </c>
      <c r="C1770" s="2" t="inlineStr">
        <is>
          <t>Gaya</t>
        </is>
      </c>
      <c r="D1770" s="2" t="inlineStr">
        <is>
          <t>East</t>
        </is>
      </c>
    </row>
    <row r="1771">
      <c r="A1771" s="2" t="inlineStr">
        <is>
          <t>C0371</t>
        </is>
      </c>
      <c r="B1771" s="2" t="inlineStr">
        <is>
          <t>Goa</t>
        </is>
      </c>
      <c r="C1771" s="2" t="inlineStr">
        <is>
          <t>Panaji</t>
        </is>
      </c>
      <c r="D1771" s="2" t="inlineStr">
        <is>
          <t>West</t>
        </is>
      </c>
    </row>
    <row r="1772">
      <c r="A1772" s="2" t="inlineStr">
        <is>
          <t>C0372</t>
        </is>
      </c>
      <c r="B1772" s="2" t="inlineStr">
        <is>
          <t>Gujarat</t>
        </is>
      </c>
      <c r="C1772" s="2" t="inlineStr">
        <is>
          <t>Ahmedabad</t>
        </is>
      </c>
      <c r="D1772" s="2" t="inlineStr">
        <is>
          <t>West</t>
        </is>
      </c>
    </row>
    <row r="1773">
      <c r="A1773" s="2" t="inlineStr">
        <is>
          <t>C0373</t>
        </is>
      </c>
      <c r="B1773" s="2" t="inlineStr">
        <is>
          <t>Maharashtra</t>
        </is>
      </c>
      <c r="C1773" s="2" t="inlineStr">
        <is>
          <t>Thane</t>
        </is>
      </c>
      <c r="D1773" s="2" t="inlineStr">
        <is>
          <t>West</t>
        </is>
      </c>
    </row>
    <row r="1774">
      <c r="A1774" s="2" t="inlineStr">
        <is>
          <t>C0373</t>
        </is>
      </c>
      <c r="B1774" s="2" t="inlineStr">
        <is>
          <t>Uttar Pradesh</t>
        </is>
      </c>
      <c r="C1774" s="2" t="inlineStr">
        <is>
          <t>Varanasi</t>
        </is>
      </c>
      <c r="D1774" s="2" t="inlineStr">
        <is>
          <t>North</t>
        </is>
      </c>
    </row>
    <row r="1775">
      <c r="A1775" s="2" t="inlineStr">
        <is>
          <t>C0373</t>
        </is>
      </c>
      <c r="B1775" s="2" t="inlineStr">
        <is>
          <t>Haryana</t>
        </is>
      </c>
      <c r="C1775" s="2" t="inlineStr">
        <is>
          <t>Gurugram</t>
        </is>
      </c>
      <c r="D1775" s="2" t="inlineStr">
        <is>
          <t>North</t>
        </is>
      </c>
    </row>
    <row r="1776">
      <c r="A1776" s="2" t="inlineStr">
        <is>
          <t>C0373</t>
        </is>
      </c>
      <c r="B1776" s="2" t="inlineStr">
        <is>
          <t>Tamil Nadu</t>
        </is>
      </c>
      <c r="C1776" s="2" t="inlineStr">
        <is>
          <t>Chennai</t>
        </is>
      </c>
      <c r="D1776" s="2" t="inlineStr">
        <is>
          <t>South</t>
        </is>
      </c>
    </row>
    <row r="1777">
      <c r="A1777" s="2" t="inlineStr">
        <is>
          <t>C0373</t>
        </is>
      </c>
      <c r="B1777" s="2" t="inlineStr">
        <is>
          <t>Goa</t>
        </is>
      </c>
      <c r="C1777" s="2" t="inlineStr">
        <is>
          <t>Margao</t>
        </is>
      </c>
      <c r="D1777" s="2" t="inlineStr">
        <is>
          <t>West</t>
        </is>
      </c>
    </row>
    <row r="1778">
      <c r="A1778" s="2" t="inlineStr">
        <is>
          <t>C0373</t>
        </is>
      </c>
      <c r="B1778" s="2" t="inlineStr">
        <is>
          <t>Goa</t>
        </is>
      </c>
      <c r="C1778" s="2" t="inlineStr">
        <is>
          <t>Panaji</t>
        </is>
      </c>
      <c r="D1778" s="2" t="inlineStr">
        <is>
          <t>West</t>
        </is>
      </c>
    </row>
    <row r="1779">
      <c r="A1779" s="2" t="inlineStr">
        <is>
          <t>C0373</t>
        </is>
      </c>
      <c r="B1779" s="2" t="inlineStr">
        <is>
          <t>West Bengal</t>
        </is>
      </c>
      <c r="C1779" s="2" t="inlineStr">
        <is>
          <t>Durgapur</t>
        </is>
      </c>
      <c r="D1779" s="2" t="inlineStr">
        <is>
          <t>East</t>
        </is>
      </c>
    </row>
    <row r="1780">
      <c r="A1780" s="2" t="inlineStr">
        <is>
          <t>C0373</t>
        </is>
      </c>
      <c r="B1780" s="2" t="inlineStr">
        <is>
          <t>West Bengal</t>
        </is>
      </c>
      <c r="C1780" s="2" t="inlineStr">
        <is>
          <t>Kolkata</t>
        </is>
      </c>
      <c r="D1780" s="2" t="inlineStr">
        <is>
          <t>East</t>
        </is>
      </c>
    </row>
    <row r="1781">
      <c r="A1781" s="2" t="inlineStr">
        <is>
          <t>C0373</t>
        </is>
      </c>
      <c r="B1781" s="2" t="inlineStr">
        <is>
          <t>Gujarat</t>
        </is>
      </c>
      <c r="C1781" s="2" t="inlineStr">
        <is>
          <t>Ahmedabad</t>
        </is>
      </c>
      <c r="D1781" s="2" t="inlineStr">
        <is>
          <t>West</t>
        </is>
      </c>
    </row>
    <row r="1782">
      <c r="A1782" s="2" t="inlineStr">
        <is>
          <t>C0373</t>
        </is>
      </c>
      <c r="B1782" s="2" t="inlineStr">
        <is>
          <t>Uttar Pradesh</t>
        </is>
      </c>
      <c r="C1782" s="2" t="inlineStr">
        <is>
          <t>Noida</t>
        </is>
      </c>
      <c r="D1782" s="2" t="inlineStr">
        <is>
          <t>North</t>
        </is>
      </c>
    </row>
    <row r="1783">
      <c r="A1783" s="2" t="inlineStr">
        <is>
          <t>C0373</t>
        </is>
      </c>
      <c r="B1783" s="2" t="inlineStr">
        <is>
          <t>Haryana</t>
        </is>
      </c>
      <c r="C1783" s="2" t="inlineStr">
        <is>
          <t>Faridabad</t>
        </is>
      </c>
      <c r="D1783" s="2" t="inlineStr">
        <is>
          <t>North</t>
        </is>
      </c>
    </row>
    <row r="1784">
      <c r="A1784" s="2" t="inlineStr">
        <is>
          <t>C0373</t>
        </is>
      </c>
      <c r="B1784" s="2" t="inlineStr">
        <is>
          <t>Telangana</t>
        </is>
      </c>
      <c r="C1784" s="2" t="inlineStr">
        <is>
          <t>Hyderabad</t>
        </is>
      </c>
      <c r="D1784" s="2" t="inlineStr">
        <is>
          <t>South</t>
        </is>
      </c>
    </row>
    <row r="1785">
      <c r="A1785" s="2" t="inlineStr">
        <is>
          <t>C0373</t>
        </is>
      </c>
      <c r="B1785" s="2" t="inlineStr">
        <is>
          <t>Delhi</t>
        </is>
      </c>
      <c r="C1785" s="2" t="inlineStr">
        <is>
          <t>New Delhi</t>
        </is>
      </c>
      <c r="D1785" s="2" t="inlineStr">
        <is>
          <t>North</t>
        </is>
      </c>
    </row>
    <row r="1786">
      <c r="A1786" s="2" t="inlineStr">
        <is>
          <t>C0373</t>
        </is>
      </c>
      <c r="B1786" s="2" t="inlineStr">
        <is>
          <t>Gujarat</t>
        </is>
      </c>
      <c r="C1786" s="2" t="inlineStr">
        <is>
          <t>Vadodara</t>
        </is>
      </c>
      <c r="D1786" s="2" t="inlineStr">
        <is>
          <t>West</t>
        </is>
      </c>
    </row>
    <row r="1787">
      <c r="A1787" s="2" t="inlineStr">
        <is>
          <t>C0374</t>
        </is>
      </c>
      <c r="B1787" s="2" t="inlineStr">
        <is>
          <t>Punjab</t>
        </is>
      </c>
      <c r="C1787" s="2" t="inlineStr">
        <is>
          <t>Amritsar</t>
        </is>
      </c>
      <c r="D1787" s="2" t="inlineStr">
        <is>
          <t>North</t>
        </is>
      </c>
    </row>
    <row r="1788">
      <c r="A1788" s="2" t="inlineStr">
        <is>
          <t>C0374</t>
        </is>
      </c>
      <c r="B1788" s="2" t="inlineStr">
        <is>
          <t>Gujarat</t>
        </is>
      </c>
      <c r="C1788" s="2" t="inlineStr">
        <is>
          <t>Vadodara</t>
        </is>
      </c>
      <c r="D1788" s="2" t="inlineStr">
        <is>
          <t>West</t>
        </is>
      </c>
    </row>
    <row r="1789">
      <c r="A1789" s="2" t="inlineStr">
        <is>
          <t>C0374</t>
        </is>
      </c>
      <c r="B1789" s="2" t="inlineStr">
        <is>
          <t>West Bengal</t>
        </is>
      </c>
      <c r="C1789" s="2" t="inlineStr">
        <is>
          <t>Kolkata</t>
        </is>
      </c>
      <c r="D1789" s="2" t="inlineStr">
        <is>
          <t>East</t>
        </is>
      </c>
    </row>
    <row r="1790">
      <c r="A1790" s="2" t="inlineStr">
        <is>
          <t>C0374</t>
        </is>
      </c>
      <c r="B1790" s="2" t="inlineStr">
        <is>
          <t>Haryana</t>
        </is>
      </c>
      <c r="C1790" s="2" t="inlineStr">
        <is>
          <t>Faridabad</t>
        </is>
      </c>
      <c r="D1790" s="2" t="inlineStr">
        <is>
          <t>North</t>
        </is>
      </c>
    </row>
    <row r="1791">
      <c r="A1791" s="2" t="inlineStr">
        <is>
          <t>C0374</t>
        </is>
      </c>
      <c r="B1791" s="2" t="inlineStr">
        <is>
          <t>Tamil Nadu</t>
        </is>
      </c>
      <c r="C1791" s="2" t="inlineStr">
        <is>
          <t>Chennai</t>
        </is>
      </c>
      <c r="D1791" s="2" t="inlineStr">
        <is>
          <t>South</t>
        </is>
      </c>
    </row>
    <row r="1792">
      <c r="A1792" s="2" t="inlineStr">
        <is>
          <t>C0374</t>
        </is>
      </c>
      <c r="B1792" s="2" t="inlineStr">
        <is>
          <t>Punjab</t>
        </is>
      </c>
      <c r="C1792" s="2" t="inlineStr">
        <is>
          <t>Ludhiana</t>
        </is>
      </c>
      <c r="D1792" s="2" t="inlineStr">
        <is>
          <t>North</t>
        </is>
      </c>
    </row>
    <row r="1793">
      <c r="A1793" s="2" t="inlineStr">
        <is>
          <t>C0374</t>
        </is>
      </c>
      <c r="B1793" s="2" t="inlineStr">
        <is>
          <t>Delhi</t>
        </is>
      </c>
      <c r="C1793" s="2" t="inlineStr">
        <is>
          <t>New Delhi</t>
        </is>
      </c>
      <c r="D1793" s="2" t="inlineStr">
        <is>
          <t>North</t>
        </is>
      </c>
    </row>
    <row r="1794">
      <c r="A1794" s="2" t="inlineStr">
        <is>
          <t>C0374</t>
        </is>
      </c>
      <c r="B1794" s="2" t="inlineStr">
        <is>
          <t>Uttar Pradesh</t>
        </is>
      </c>
      <c r="C1794" s="2" t="inlineStr">
        <is>
          <t>Varanasi</t>
        </is>
      </c>
      <c r="D1794" s="2" t="inlineStr">
        <is>
          <t>North</t>
        </is>
      </c>
    </row>
    <row r="1795">
      <c r="A1795" s="2" t="inlineStr">
        <is>
          <t>C0374</t>
        </is>
      </c>
      <c r="B1795" s="2" t="inlineStr">
        <is>
          <t>Uttar Pradesh</t>
        </is>
      </c>
      <c r="C1795" s="2" t="inlineStr">
        <is>
          <t>Kanpur</t>
        </is>
      </c>
      <c r="D1795" s="2" t="inlineStr">
        <is>
          <t>North</t>
        </is>
      </c>
    </row>
    <row r="1796">
      <c r="A1796" s="2" t="inlineStr">
        <is>
          <t>C0374</t>
        </is>
      </c>
      <c r="B1796" s="2" t="inlineStr">
        <is>
          <t>Goa</t>
        </is>
      </c>
      <c r="C1796" s="2" t="inlineStr">
        <is>
          <t>Panaji</t>
        </is>
      </c>
      <c r="D1796" s="2" t="inlineStr">
        <is>
          <t>West</t>
        </is>
      </c>
    </row>
    <row r="1797">
      <c r="A1797" s="2" t="inlineStr">
        <is>
          <t>C0374</t>
        </is>
      </c>
      <c r="B1797" s="2" t="inlineStr">
        <is>
          <t>Karnataka</t>
        </is>
      </c>
      <c r="C1797" s="2" t="inlineStr">
        <is>
          <t>Mysuru</t>
        </is>
      </c>
      <c r="D1797" s="2" t="inlineStr">
        <is>
          <t>South</t>
        </is>
      </c>
    </row>
    <row r="1798">
      <c r="A1798" s="2" t="inlineStr">
        <is>
          <t>C0374</t>
        </is>
      </c>
      <c r="B1798" s="2" t="inlineStr">
        <is>
          <t>Odisha</t>
        </is>
      </c>
      <c r="C1798" s="2" t="inlineStr">
        <is>
          <t>Bhubaneswar</t>
        </is>
      </c>
      <c r="D1798" s="2" t="inlineStr">
        <is>
          <t>East</t>
        </is>
      </c>
    </row>
    <row r="1799">
      <c r="A1799" s="2" t="inlineStr">
        <is>
          <t>C0375</t>
        </is>
      </c>
      <c r="B1799" s="2" t="inlineStr">
        <is>
          <t>West Bengal</t>
        </is>
      </c>
      <c r="C1799" s="2" t="inlineStr">
        <is>
          <t>Durgapur</t>
        </is>
      </c>
      <c r="D1799" s="2" t="inlineStr">
        <is>
          <t>East</t>
        </is>
      </c>
    </row>
    <row r="1800">
      <c r="A1800" s="2" t="inlineStr">
        <is>
          <t>C0375</t>
        </is>
      </c>
      <c r="B1800" s="2" t="inlineStr">
        <is>
          <t>Maharashtra</t>
        </is>
      </c>
      <c r="C1800" s="2" t="inlineStr">
        <is>
          <t>Pune</t>
        </is>
      </c>
      <c r="D1800" s="2" t="inlineStr">
        <is>
          <t>West</t>
        </is>
      </c>
    </row>
    <row r="1801">
      <c r="A1801" s="2" t="inlineStr">
        <is>
          <t>C0375</t>
        </is>
      </c>
      <c r="B1801" s="2" t="inlineStr">
        <is>
          <t>Maharashtra</t>
        </is>
      </c>
      <c r="C1801" s="2" t="inlineStr">
        <is>
          <t>Nagpur</t>
        </is>
      </c>
      <c r="D1801" s="2" t="inlineStr">
        <is>
          <t>West</t>
        </is>
      </c>
    </row>
    <row r="1802">
      <c r="A1802" s="2" t="inlineStr">
        <is>
          <t>C0375</t>
        </is>
      </c>
      <c r="B1802" s="2" t="inlineStr">
        <is>
          <t>Kerala</t>
        </is>
      </c>
      <c r="C1802" s="2" t="inlineStr">
        <is>
          <t>Thiruvananthapuram</t>
        </is>
      </c>
      <c r="D1802" s="2" t="inlineStr">
        <is>
          <t>South</t>
        </is>
      </c>
    </row>
    <row r="1803">
      <c r="A1803" s="2" t="inlineStr">
        <is>
          <t>C0375</t>
        </is>
      </c>
      <c r="B1803" s="2" t="inlineStr">
        <is>
          <t>Gujarat</t>
        </is>
      </c>
      <c r="C1803" s="2" t="inlineStr">
        <is>
          <t>Surat</t>
        </is>
      </c>
      <c r="D1803" s="2" t="inlineStr">
        <is>
          <t>West</t>
        </is>
      </c>
    </row>
    <row r="1804">
      <c r="A1804" s="2" t="inlineStr">
        <is>
          <t>C0375</t>
        </is>
      </c>
      <c r="B1804" s="2" t="inlineStr">
        <is>
          <t>Tamil Nadu</t>
        </is>
      </c>
      <c r="C1804" s="2" t="inlineStr">
        <is>
          <t>Coimbatore</t>
        </is>
      </c>
      <c r="D1804" s="2" t="inlineStr">
        <is>
          <t>South</t>
        </is>
      </c>
    </row>
    <row r="1805">
      <c r="A1805" s="2" t="inlineStr">
        <is>
          <t>C0375</t>
        </is>
      </c>
      <c r="B1805" s="2" t="inlineStr">
        <is>
          <t>Uttar Pradesh</t>
        </is>
      </c>
      <c r="C1805" s="2" t="inlineStr">
        <is>
          <t>Kanpur</t>
        </is>
      </c>
      <c r="D1805" s="2" t="inlineStr">
        <is>
          <t>North</t>
        </is>
      </c>
    </row>
    <row r="1806">
      <c r="A1806" s="2" t="inlineStr">
        <is>
          <t>C0375</t>
        </is>
      </c>
      <c r="B1806" s="2" t="inlineStr">
        <is>
          <t>Odisha</t>
        </is>
      </c>
      <c r="C1806" s="2" t="inlineStr">
        <is>
          <t>Cuttack</t>
        </is>
      </c>
      <c r="D1806" s="2" t="inlineStr">
        <is>
          <t>East</t>
        </is>
      </c>
    </row>
    <row r="1807">
      <c r="A1807" s="2" t="inlineStr">
        <is>
          <t>C0375</t>
        </is>
      </c>
      <c r="B1807" s="2" t="inlineStr">
        <is>
          <t>Maharashtra</t>
        </is>
      </c>
      <c r="C1807" s="2" t="inlineStr">
        <is>
          <t>Mumbai</t>
        </is>
      </c>
      <c r="D1807" s="2" t="inlineStr">
        <is>
          <t>West</t>
        </is>
      </c>
    </row>
    <row r="1808">
      <c r="A1808" s="2" t="inlineStr">
        <is>
          <t>C0375</t>
        </is>
      </c>
      <c r="B1808" s="2" t="inlineStr">
        <is>
          <t>Bihar</t>
        </is>
      </c>
      <c r="C1808" s="2" t="inlineStr">
        <is>
          <t>Patna</t>
        </is>
      </c>
      <c r="D1808" s="2" t="inlineStr">
        <is>
          <t>East</t>
        </is>
      </c>
    </row>
    <row r="1809">
      <c r="A1809" s="2" t="inlineStr">
        <is>
          <t>C0375</t>
        </is>
      </c>
      <c r="B1809" s="2" t="inlineStr">
        <is>
          <t>Delhi</t>
        </is>
      </c>
      <c r="C1809" s="2" t="inlineStr">
        <is>
          <t>New Delhi</t>
        </is>
      </c>
      <c r="D1809" s="2" t="inlineStr">
        <is>
          <t>North</t>
        </is>
      </c>
    </row>
    <row r="1810">
      <c r="A1810" s="2" t="inlineStr">
        <is>
          <t>C0376</t>
        </is>
      </c>
      <c r="B1810" s="2" t="inlineStr">
        <is>
          <t>Goa</t>
        </is>
      </c>
      <c r="C1810" s="2" t="inlineStr">
        <is>
          <t>Margao</t>
        </is>
      </c>
      <c r="D1810" s="2" t="inlineStr">
        <is>
          <t>West</t>
        </is>
      </c>
    </row>
    <row r="1811">
      <c r="A1811" s="2" t="inlineStr">
        <is>
          <t>C0376</t>
        </is>
      </c>
      <c r="B1811" s="2" t="inlineStr">
        <is>
          <t>Telangana</t>
        </is>
      </c>
      <c r="C1811" s="2" t="inlineStr">
        <is>
          <t>Hyderabad</t>
        </is>
      </c>
      <c r="D1811" s="2" t="inlineStr">
        <is>
          <t>South</t>
        </is>
      </c>
    </row>
    <row r="1812">
      <c r="A1812" s="2" t="inlineStr">
        <is>
          <t>C0376</t>
        </is>
      </c>
      <c r="B1812" s="2" t="inlineStr">
        <is>
          <t>Kerala</t>
        </is>
      </c>
      <c r="C1812" s="2" t="inlineStr">
        <is>
          <t>Kochi</t>
        </is>
      </c>
      <c r="D1812" s="2" t="inlineStr">
        <is>
          <t>South</t>
        </is>
      </c>
    </row>
    <row r="1813">
      <c r="A1813" s="2" t="inlineStr">
        <is>
          <t>C0377</t>
        </is>
      </c>
      <c r="B1813" s="2" t="inlineStr">
        <is>
          <t>Maharashtra</t>
        </is>
      </c>
      <c r="C1813" s="2" t="inlineStr">
        <is>
          <t>Nashik</t>
        </is>
      </c>
      <c r="D1813" s="2" t="inlineStr">
        <is>
          <t>West</t>
        </is>
      </c>
    </row>
    <row r="1814">
      <c r="A1814" s="2" t="inlineStr">
        <is>
          <t>C0377</t>
        </is>
      </c>
      <c r="B1814" s="2" t="inlineStr">
        <is>
          <t>Haryana</t>
        </is>
      </c>
      <c r="C1814" s="2" t="inlineStr">
        <is>
          <t>Gurugram</t>
        </is>
      </c>
      <c r="D1814" s="2" t="inlineStr">
        <is>
          <t>North</t>
        </is>
      </c>
    </row>
    <row r="1815">
      <c r="A1815" s="2" t="inlineStr">
        <is>
          <t>C0377</t>
        </is>
      </c>
      <c r="B1815" s="2" t="inlineStr">
        <is>
          <t>Gujarat</t>
        </is>
      </c>
      <c r="C1815" s="2" t="inlineStr">
        <is>
          <t>Surat</t>
        </is>
      </c>
      <c r="D1815" s="2" t="inlineStr">
        <is>
          <t>West</t>
        </is>
      </c>
    </row>
    <row r="1816">
      <c r="A1816" s="2" t="inlineStr">
        <is>
          <t>C0377</t>
        </is>
      </c>
      <c r="B1816" s="2" t="inlineStr">
        <is>
          <t>Maharashtra</t>
        </is>
      </c>
      <c r="C1816" s="2" t="inlineStr">
        <is>
          <t>Thane</t>
        </is>
      </c>
      <c r="D1816" s="2" t="inlineStr">
        <is>
          <t>West</t>
        </is>
      </c>
    </row>
    <row r="1817">
      <c r="A1817" s="2" t="inlineStr">
        <is>
          <t>C0377</t>
        </is>
      </c>
      <c r="B1817" s="2" t="inlineStr">
        <is>
          <t>Karnataka</t>
        </is>
      </c>
      <c r="C1817" s="2" t="inlineStr">
        <is>
          <t>Mysuru</t>
        </is>
      </c>
      <c r="D1817" s="2" t="inlineStr">
        <is>
          <t>South</t>
        </is>
      </c>
    </row>
    <row r="1818">
      <c r="A1818" s="2" t="inlineStr">
        <is>
          <t>C0379</t>
        </is>
      </c>
      <c r="B1818" s="2" t="inlineStr">
        <is>
          <t>Telangana</t>
        </is>
      </c>
      <c r="C1818" s="2" t="inlineStr">
        <is>
          <t>Hyderabad</t>
        </is>
      </c>
      <c r="D1818" s="2" t="inlineStr">
        <is>
          <t>South</t>
        </is>
      </c>
    </row>
    <row r="1819">
      <c r="A1819" s="2" t="inlineStr">
        <is>
          <t>C0379</t>
        </is>
      </c>
      <c r="B1819" s="2" t="inlineStr">
        <is>
          <t>Odisha</t>
        </is>
      </c>
      <c r="C1819" s="2" t="inlineStr">
        <is>
          <t>Bhubaneswar</t>
        </is>
      </c>
      <c r="D1819" s="2" t="inlineStr">
        <is>
          <t>East</t>
        </is>
      </c>
    </row>
    <row r="1820">
      <c r="A1820" s="2" t="inlineStr">
        <is>
          <t>C0379</t>
        </is>
      </c>
      <c r="B1820" s="2" t="inlineStr">
        <is>
          <t>Telangana</t>
        </is>
      </c>
      <c r="C1820" s="2" t="inlineStr">
        <is>
          <t>Warangal</t>
        </is>
      </c>
      <c r="D1820" s="2" t="inlineStr">
        <is>
          <t>South</t>
        </is>
      </c>
    </row>
    <row r="1821">
      <c r="A1821" s="2" t="inlineStr">
        <is>
          <t>C0379</t>
        </is>
      </c>
      <c r="B1821" s="2" t="inlineStr">
        <is>
          <t>Gujarat</t>
        </is>
      </c>
      <c r="C1821" s="2" t="inlineStr">
        <is>
          <t>Surat</t>
        </is>
      </c>
      <c r="D1821" s="2" t="inlineStr">
        <is>
          <t>West</t>
        </is>
      </c>
    </row>
    <row r="1822">
      <c r="A1822" s="2" t="inlineStr">
        <is>
          <t>C0379</t>
        </is>
      </c>
      <c r="B1822" s="2" t="inlineStr">
        <is>
          <t>Gujarat</t>
        </is>
      </c>
      <c r="C1822" s="2" t="inlineStr">
        <is>
          <t>Vadodara</t>
        </is>
      </c>
      <c r="D1822" s="2" t="inlineStr">
        <is>
          <t>West</t>
        </is>
      </c>
    </row>
    <row r="1823">
      <c r="A1823" s="2" t="inlineStr">
        <is>
          <t>C0379</t>
        </is>
      </c>
      <c r="B1823" s="2" t="inlineStr">
        <is>
          <t>Haryana</t>
        </is>
      </c>
      <c r="C1823" s="2" t="inlineStr">
        <is>
          <t>Gurugram</t>
        </is>
      </c>
      <c r="D1823" s="2" t="inlineStr">
        <is>
          <t>North</t>
        </is>
      </c>
    </row>
    <row r="1824">
      <c r="A1824" s="2" t="inlineStr">
        <is>
          <t>C0380</t>
        </is>
      </c>
      <c r="B1824" s="2" t="inlineStr">
        <is>
          <t>Gujarat</t>
        </is>
      </c>
      <c r="C1824" s="2" t="inlineStr">
        <is>
          <t>Surat</t>
        </is>
      </c>
      <c r="D1824" s="2" t="inlineStr">
        <is>
          <t>West</t>
        </is>
      </c>
    </row>
    <row r="1825">
      <c r="A1825" s="2" t="inlineStr">
        <is>
          <t>C0380</t>
        </is>
      </c>
      <c r="B1825" s="2" t="inlineStr">
        <is>
          <t>Kerala</t>
        </is>
      </c>
      <c r="C1825" s="2" t="inlineStr">
        <is>
          <t>Thiruvananthapuram</t>
        </is>
      </c>
      <c r="D1825" s="2" t="inlineStr">
        <is>
          <t>South</t>
        </is>
      </c>
    </row>
    <row r="1826">
      <c r="A1826" s="2" t="inlineStr">
        <is>
          <t>C0380</t>
        </is>
      </c>
      <c r="B1826" s="2" t="inlineStr">
        <is>
          <t>Punjab</t>
        </is>
      </c>
      <c r="C1826" s="2" t="inlineStr">
        <is>
          <t>Amritsar</t>
        </is>
      </c>
      <c r="D1826" s="2" t="inlineStr">
        <is>
          <t>North</t>
        </is>
      </c>
    </row>
    <row r="1827">
      <c r="A1827" s="2" t="inlineStr">
        <is>
          <t>C0381</t>
        </is>
      </c>
      <c r="B1827" s="2" t="inlineStr">
        <is>
          <t>Punjab</t>
        </is>
      </c>
      <c r="C1827" s="2" t="inlineStr">
        <is>
          <t>Ludhiana</t>
        </is>
      </c>
      <c r="D1827" s="2" t="inlineStr">
        <is>
          <t>North</t>
        </is>
      </c>
    </row>
    <row r="1828">
      <c r="A1828" s="2" t="inlineStr">
        <is>
          <t>C0382</t>
        </is>
      </c>
      <c r="B1828" s="2" t="inlineStr">
        <is>
          <t>Maharashtra</t>
        </is>
      </c>
      <c r="C1828" s="2" t="inlineStr">
        <is>
          <t>Pune</t>
        </is>
      </c>
      <c r="D1828" s="2" t="inlineStr">
        <is>
          <t>West</t>
        </is>
      </c>
    </row>
    <row r="1829">
      <c r="A1829" s="2" t="inlineStr">
        <is>
          <t>C0382</t>
        </is>
      </c>
      <c r="B1829" s="2" t="inlineStr">
        <is>
          <t>West Bengal</t>
        </is>
      </c>
      <c r="C1829" s="2" t="inlineStr">
        <is>
          <t>Kolkata</t>
        </is>
      </c>
      <c r="D1829" s="2" t="inlineStr">
        <is>
          <t>East</t>
        </is>
      </c>
    </row>
    <row r="1830">
      <c r="A1830" s="2" t="inlineStr">
        <is>
          <t>C0382</t>
        </is>
      </c>
      <c r="B1830" s="2" t="inlineStr">
        <is>
          <t>Punjab</t>
        </is>
      </c>
      <c r="C1830" s="2" t="inlineStr">
        <is>
          <t>Jalandhar</t>
        </is>
      </c>
      <c r="D1830" s="2" t="inlineStr">
        <is>
          <t>North</t>
        </is>
      </c>
    </row>
    <row r="1831">
      <c r="A1831" s="2" t="inlineStr">
        <is>
          <t>C0383</t>
        </is>
      </c>
      <c r="B1831" s="2" t="inlineStr">
        <is>
          <t>Bihar</t>
        </is>
      </c>
      <c r="C1831" s="2" t="inlineStr">
        <is>
          <t>Gaya</t>
        </is>
      </c>
      <c r="D1831" s="2" t="inlineStr">
        <is>
          <t>East</t>
        </is>
      </c>
    </row>
    <row r="1832">
      <c r="A1832" s="2" t="inlineStr">
        <is>
          <t>C0384</t>
        </is>
      </c>
      <c r="B1832" s="2" t="inlineStr">
        <is>
          <t>West Bengal</t>
        </is>
      </c>
      <c r="C1832" s="2" t="inlineStr">
        <is>
          <t>Kolkata</t>
        </is>
      </c>
      <c r="D1832" s="2" t="inlineStr">
        <is>
          <t>East</t>
        </is>
      </c>
    </row>
    <row r="1833">
      <c r="A1833" s="2" t="inlineStr">
        <is>
          <t>C0384</t>
        </is>
      </c>
      <c r="B1833" s="2" t="inlineStr">
        <is>
          <t>Haryana</t>
        </is>
      </c>
      <c r="C1833" s="2" t="inlineStr">
        <is>
          <t>Faridabad</t>
        </is>
      </c>
      <c r="D1833" s="2" t="inlineStr">
        <is>
          <t>North</t>
        </is>
      </c>
    </row>
    <row r="1834">
      <c r="A1834" s="2" t="inlineStr">
        <is>
          <t>C0384</t>
        </is>
      </c>
      <c r="B1834" s="2" t="inlineStr">
        <is>
          <t>Karnataka</t>
        </is>
      </c>
      <c r="C1834" s="2" t="inlineStr">
        <is>
          <t>Mysuru</t>
        </is>
      </c>
      <c r="D1834" s="2" t="inlineStr">
        <is>
          <t>South</t>
        </is>
      </c>
    </row>
    <row r="1835">
      <c r="A1835" s="2" t="inlineStr">
        <is>
          <t>C0385</t>
        </is>
      </c>
      <c r="B1835" s="2" t="inlineStr">
        <is>
          <t>Odisha</t>
        </is>
      </c>
      <c r="C1835" s="2" t="inlineStr">
        <is>
          <t>Cuttack</t>
        </is>
      </c>
      <c r="D1835" s="2" t="inlineStr">
        <is>
          <t>East</t>
        </is>
      </c>
    </row>
    <row r="1836">
      <c r="A1836" s="2" t="inlineStr">
        <is>
          <t>C0385</t>
        </is>
      </c>
      <c r="B1836" s="2" t="inlineStr">
        <is>
          <t>Haryana</t>
        </is>
      </c>
      <c r="C1836" s="2" t="inlineStr">
        <is>
          <t>Gurugram</t>
        </is>
      </c>
      <c r="D1836" s="2" t="inlineStr">
        <is>
          <t>North</t>
        </is>
      </c>
    </row>
    <row r="1837">
      <c r="A1837" s="2" t="inlineStr">
        <is>
          <t>C0385</t>
        </is>
      </c>
      <c r="B1837" s="2" t="inlineStr">
        <is>
          <t>Maharashtra</t>
        </is>
      </c>
      <c r="C1837" s="2" t="inlineStr">
        <is>
          <t>Mumbai</t>
        </is>
      </c>
      <c r="D1837" s="2" t="inlineStr">
        <is>
          <t>West</t>
        </is>
      </c>
    </row>
    <row r="1838">
      <c r="A1838" s="2" t="inlineStr">
        <is>
          <t>C0385</t>
        </is>
      </c>
      <c r="B1838" s="2" t="inlineStr">
        <is>
          <t>Maharashtra</t>
        </is>
      </c>
      <c r="C1838" s="2" t="inlineStr">
        <is>
          <t>Nagpur</t>
        </is>
      </c>
      <c r="D1838" s="2" t="inlineStr">
        <is>
          <t>West</t>
        </is>
      </c>
    </row>
    <row r="1839">
      <c r="A1839" s="2" t="inlineStr">
        <is>
          <t>C0385</t>
        </is>
      </c>
      <c r="B1839" s="2" t="inlineStr">
        <is>
          <t>Gujarat</t>
        </is>
      </c>
      <c r="C1839" s="2" t="inlineStr">
        <is>
          <t>Ahmedabad</t>
        </is>
      </c>
      <c r="D1839" s="2" t="inlineStr">
        <is>
          <t>West</t>
        </is>
      </c>
    </row>
    <row r="1840">
      <c r="A1840" s="2" t="inlineStr">
        <is>
          <t>C0385</t>
        </is>
      </c>
      <c r="B1840" s="2" t="inlineStr">
        <is>
          <t>Goa</t>
        </is>
      </c>
      <c r="C1840" s="2" t="inlineStr">
        <is>
          <t>Margao</t>
        </is>
      </c>
      <c r="D1840" s="2" t="inlineStr">
        <is>
          <t>West</t>
        </is>
      </c>
    </row>
    <row r="1841">
      <c r="A1841" s="2" t="inlineStr">
        <is>
          <t>C0385</t>
        </is>
      </c>
      <c r="B1841" s="2" t="inlineStr">
        <is>
          <t>Karnataka</t>
        </is>
      </c>
      <c r="C1841" s="2" t="inlineStr">
        <is>
          <t>Mysuru</t>
        </is>
      </c>
      <c r="D1841" s="2" t="inlineStr">
        <is>
          <t>South</t>
        </is>
      </c>
    </row>
    <row r="1842">
      <c r="A1842" s="2" t="inlineStr">
        <is>
          <t>C0385</t>
        </is>
      </c>
      <c r="B1842" s="2" t="inlineStr">
        <is>
          <t>Delhi</t>
        </is>
      </c>
      <c r="C1842" s="2" t="inlineStr">
        <is>
          <t>New Delhi</t>
        </is>
      </c>
      <c r="D1842" s="2" t="inlineStr">
        <is>
          <t>North</t>
        </is>
      </c>
    </row>
    <row r="1843">
      <c r="A1843" s="2" t="inlineStr">
        <is>
          <t>C0385</t>
        </is>
      </c>
      <c r="B1843" s="2" t="inlineStr">
        <is>
          <t>Karnataka</t>
        </is>
      </c>
      <c r="C1843" s="2" t="inlineStr">
        <is>
          <t>Bengaluru</t>
        </is>
      </c>
      <c r="D1843" s="2" t="inlineStr">
        <is>
          <t>South</t>
        </is>
      </c>
    </row>
    <row r="1844">
      <c r="A1844" s="2" t="inlineStr">
        <is>
          <t>C0385</t>
        </is>
      </c>
      <c r="B1844" s="2" t="inlineStr">
        <is>
          <t>Gujarat</t>
        </is>
      </c>
      <c r="C1844" s="2" t="inlineStr">
        <is>
          <t>Surat</t>
        </is>
      </c>
      <c r="D1844" s="2" t="inlineStr">
        <is>
          <t>West</t>
        </is>
      </c>
    </row>
    <row r="1845">
      <c r="A1845" s="2" t="inlineStr">
        <is>
          <t>C0385</t>
        </is>
      </c>
      <c r="B1845" s="2" t="inlineStr">
        <is>
          <t>Goa</t>
        </is>
      </c>
      <c r="C1845" s="2" t="inlineStr">
        <is>
          <t>Panaji</t>
        </is>
      </c>
      <c r="D1845" s="2" t="inlineStr">
        <is>
          <t>West</t>
        </is>
      </c>
    </row>
    <row r="1846">
      <c r="A1846" s="2" t="inlineStr">
        <is>
          <t>C0386</t>
        </is>
      </c>
      <c r="B1846" s="2" t="inlineStr">
        <is>
          <t>Haryana</t>
        </is>
      </c>
      <c r="C1846" s="2" t="inlineStr">
        <is>
          <t>Faridabad</t>
        </is>
      </c>
      <c r="D1846" s="2" t="inlineStr">
        <is>
          <t>North</t>
        </is>
      </c>
    </row>
    <row r="1847">
      <c r="A1847" s="2" t="inlineStr">
        <is>
          <t>C0386</t>
        </is>
      </c>
      <c r="B1847" s="2" t="inlineStr">
        <is>
          <t>Bihar</t>
        </is>
      </c>
      <c r="C1847" s="2" t="inlineStr">
        <is>
          <t>Gaya</t>
        </is>
      </c>
      <c r="D1847" s="2" t="inlineStr">
        <is>
          <t>East</t>
        </is>
      </c>
    </row>
    <row r="1848">
      <c r="A1848" s="2" t="inlineStr">
        <is>
          <t>C0387</t>
        </is>
      </c>
      <c r="B1848" s="2" t="inlineStr">
        <is>
          <t>Goa</t>
        </is>
      </c>
      <c r="C1848" s="2" t="inlineStr">
        <is>
          <t>Margao</t>
        </is>
      </c>
      <c r="D1848" s="2" t="inlineStr">
        <is>
          <t>West</t>
        </is>
      </c>
    </row>
    <row r="1849">
      <c r="A1849" s="2" t="inlineStr">
        <is>
          <t>C0388</t>
        </is>
      </c>
      <c r="B1849" s="2" t="inlineStr">
        <is>
          <t>Odisha</t>
        </is>
      </c>
      <c r="C1849" s="2" t="inlineStr">
        <is>
          <t>Bhubaneswar</t>
        </is>
      </c>
      <c r="D1849" s="2" t="inlineStr">
        <is>
          <t>East</t>
        </is>
      </c>
    </row>
    <row r="1850">
      <c r="A1850" s="2" t="inlineStr">
        <is>
          <t>C0388</t>
        </is>
      </c>
      <c r="B1850" s="2" t="inlineStr">
        <is>
          <t>Haryana</t>
        </is>
      </c>
      <c r="C1850" s="2" t="inlineStr">
        <is>
          <t>Faridabad</t>
        </is>
      </c>
      <c r="D1850" s="2" t="inlineStr">
        <is>
          <t>North</t>
        </is>
      </c>
    </row>
    <row r="1851">
      <c r="A1851" s="2" t="inlineStr">
        <is>
          <t>C0388</t>
        </is>
      </c>
      <c r="B1851" s="2" t="inlineStr">
        <is>
          <t>Gujarat</t>
        </is>
      </c>
      <c r="C1851" s="2" t="inlineStr">
        <is>
          <t>Vadodara</t>
        </is>
      </c>
      <c r="D1851" s="2" t="inlineStr">
        <is>
          <t>West</t>
        </is>
      </c>
    </row>
    <row r="1852">
      <c r="A1852" s="2" t="inlineStr">
        <is>
          <t>C0388</t>
        </is>
      </c>
      <c r="B1852" s="2" t="inlineStr">
        <is>
          <t>Tamil Nadu</t>
        </is>
      </c>
      <c r="C1852" s="2" t="inlineStr">
        <is>
          <t>Coimbatore</t>
        </is>
      </c>
      <c r="D1852" s="2" t="inlineStr">
        <is>
          <t>South</t>
        </is>
      </c>
    </row>
    <row r="1853">
      <c r="A1853" s="2" t="inlineStr">
        <is>
          <t>C0388</t>
        </is>
      </c>
      <c r="B1853" s="2" t="inlineStr">
        <is>
          <t>Goa</t>
        </is>
      </c>
      <c r="C1853" s="2" t="inlineStr">
        <is>
          <t>Margao</t>
        </is>
      </c>
      <c r="D1853" s="2" t="inlineStr">
        <is>
          <t>West</t>
        </is>
      </c>
    </row>
    <row r="1854">
      <c r="A1854" s="2" t="inlineStr">
        <is>
          <t>C0388</t>
        </is>
      </c>
      <c r="B1854" s="2" t="inlineStr">
        <is>
          <t>Gujarat</t>
        </is>
      </c>
      <c r="C1854" s="2" t="inlineStr">
        <is>
          <t>Surat</t>
        </is>
      </c>
      <c r="D1854" s="2" t="inlineStr">
        <is>
          <t>West</t>
        </is>
      </c>
    </row>
    <row r="1855">
      <c r="A1855" s="2" t="inlineStr">
        <is>
          <t>C0388</t>
        </is>
      </c>
      <c r="B1855" s="2" t="inlineStr">
        <is>
          <t>Delhi</t>
        </is>
      </c>
      <c r="C1855" s="2" t="inlineStr">
        <is>
          <t>New Delhi</t>
        </is>
      </c>
      <c r="D1855" s="2" t="inlineStr">
        <is>
          <t>North</t>
        </is>
      </c>
    </row>
    <row r="1856">
      <c r="A1856" s="2" t="inlineStr">
        <is>
          <t>C0388</t>
        </is>
      </c>
      <c r="B1856" s="2" t="inlineStr">
        <is>
          <t>Odisha</t>
        </is>
      </c>
      <c r="C1856" s="2" t="inlineStr">
        <is>
          <t>Cuttack</t>
        </is>
      </c>
      <c r="D1856" s="2" t="inlineStr">
        <is>
          <t>East</t>
        </is>
      </c>
    </row>
    <row r="1857">
      <c r="A1857" s="2" t="inlineStr">
        <is>
          <t>C0388</t>
        </is>
      </c>
      <c r="B1857" s="2" t="inlineStr">
        <is>
          <t>Maharashtra</t>
        </is>
      </c>
      <c r="C1857" s="2" t="inlineStr">
        <is>
          <t>Nashik</t>
        </is>
      </c>
      <c r="D1857" s="2" t="inlineStr">
        <is>
          <t>West</t>
        </is>
      </c>
    </row>
    <row r="1858">
      <c r="A1858" s="2" t="inlineStr">
        <is>
          <t>C0389</t>
        </is>
      </c>
      <c r="B1858" s="2" t="inlineStr">
        <is>
          <t>Goa</t>
        </is>
      </c>
      <c r="C1858" s="2" t="inlineStr">
        <is>
          <t>Panaji</t>
        </is>
      </c>
      <c r="D1858" s="2" t="inlineStr">
        <is>
          <t>West</t>
        </is>
      </c>
    </row>
    <row r="1859">
      <c r="A1859" s="2" t="inlineStr">
        <is>
          <t>C0389</t>
        </is>
      </c>
      <c r="B1859" s="2" t="inlineStr">
        <is>
          <t>Uttar Pradesh</t>
        </is>
      </c>
      <c r="C1859" s="2" t="inlineStr">
        <is>
          <t>Varanasi</t>
        </is>
      </c>
      <c r="D1859" s="2" t="inlineStr">
        <is>
          <t>North</t>
        </is>
      </c>
    </row>
    <row r="1860">
      <c r="A1860" s="2" t="inlineStr">
        <is>
          <t>C0389</t>
        </is>
      </c>
      <c r="B1860" s="2" t="inlineStr">
        <is>
          <t>Kerala</t>
        </is>
      </c>
      <c r="C1860" s="2" t="inlineStr">
        <is>
          <t>Kochi</t>
        </is>
      </c>
      <c r="D1860" s="2" t="inlineStr">
        <is>
          <t>South</t>
        </is>
      </c>
    </row>
    <row r="1861">
      <c r="A1861" s="2" t="inlineStr">
        <is>
          <t>C0389</t>
        </is>
      </c>
      <c r="B1861" s="2" t="inlineStr">
        <is>
          <t>Karnataka</t>
        </is>
      </c>
      <c r="C1861" s="2" t="inlineStr">
        <is>
          <t>Mangaluru</t>
        </is>
      </c>
      <c r="D1861" s="2" t="inlineStr">
        <is>
          <t>South</t>
        </is>
      </c>
    </row>
    <row r="1862">
      <c r="A1862" s="2" t="inlineStr">
        <is>
          <t>C0389</t>
        </is>
      </c>
      <c r="B1862" s="2" t="inlineStr">
        <is>
          <t>Uttar Pradesh</t>
        </is>
      </c>
      <c r="C1862" s="2" t="inlineStr">
        <is>
          <t>Lucknow</t>
        </is>
      </c>
      <c r="D1862" s="2" t="inlineStr">
        <is>
          <t>North</t>
        </is>
      </c>
    </row>
    <row r="1863">
      <c r="A1863" s="2" t="inlineStr">
        <is>
          <t>C0389</t>
        </is>
      </c>
      <c r="B1863" s="2" t="inlineStr">
        <is>
          <t>Delhi</t>
        </is>
      </c>
      <c r="C1863" s="2" t="inlineStr">
        <is>
          <t>New Delhi</t>
        </is>
      </c>
      <c r="D1863" s="2" t="inlineStr">
        <is>
          <t>North</t>
        </is>
      </c>
    </row>
    <row r="1864">
      <c r="A1864" s="2" t="inlineStr">
        <is>
          <t>C0389</t>
        </is>
      </c>
      <c r="B1864" s="2" t="inlineStr">
        <is>
          <t>Haryana</t>
        </is>
      </c>
      <c r="C1864" s="2" t="inlineStr">
        <is>
          <t>Gurugram</t>
        </is>
      </c>
      <c r="D1864" s="2" t="inlineStr">
        <is>
          <t>North</t>
        </is>
      </c>
    </row>
    <row r="1865">
      <c r="A1865" s="2" t="inlineStr">
        <is>
          <t>C0389</t>
        </is>
      </c>
      <c r="B1865" s="2" t="inlineStr">
        <is>
          <t>Maharashtra</t>
        </is>
      </c>
      <c r="C1865" s="2" t="inlineStr">
        <is>
          <t>Nashik</t>
        </is>
      </c>
      <c r="D1865" s="2" t="inlineStr">
        <is>
          <t>West</t>
        </is>
      </c>
    </row>
    <row r="1866">
      <c r="A1866" s="2" t="inlineStr">
        <is>
          <t>C0389</t>
        </is>
      </c>
      <c r="B1866" s="2" t="inlineStr">
        <is>
          <t>West Bengal</t>
        </is>
      </c>
      <c r="C1866" s="2" t="inlineStr">
        <is>
          <t>Durgapur</t>
        </is>
      </c>
      <c r="D1866" s="2" t="inlineStr">
        <is>
          <t>East</t>
        </is>
      </c>
    </row>
    <row r="1867">
      <c r="A1867" s="2" t="inlineStr">
        <is>
          <t>C0389</t>
        </is>
      </c>
      <c r="B1867" s="2" t="inlineStr">
        <is>
          <t>Tamil Nadu</t>
        </is>
      </c>
      <c r="C1867" s="2" t="inlineStr">
        <is>
          <t>Coimbatore</t>
        </is>
      </c>
      <c r="D1867" s="2" t="inlineStr">
        <is>
          <t>South</t>
        </is>
      </c>
    </row>
    <row r="1868">
      <c r="A1868" s="2" t="inlineStr">
        <is>
          <t>C0389</t>
        </is>
      </c>
      <c r="B1868" s="2" t="inlineStr">
        <is>
          <t>Maharashtra</t>
        </is>
      </c>
      <c r="C1868" s="2" t="inlineStr">
        <is>
          <t>Nagpur</t>
        </is>
      </c>
      <c r="D1868" s="2" t="inlineStr">
        <is>
          <t>West</t>
        </is>
      </c>
    </row>
    <row r="1869">
      <c r="A1869" s="2" t="inlineStr">
        <is>
          <t>C0389</t>
        </is>
      </c>
      <c r="B1869" s="2" t="inlineStr">
        <is>
          <t>West Bengal</t>
        </is>
      </c>
      <c r="C1869" s="2" t="inlineStr">
        <is>
          <t>Kolkata</t>
        </is>
      </c>
      <c r="D1869" s="2" t="inlineStr">
        <is>
          <t>East</t>
        </is>
      </c>
    </row>
    <row r="1870">
      <c r="A1870" s="2" t="inlineStr">
        <is>
          <t>C0389</t>
        </is>
      </c>
      <c r="B1870" s="2" t="inlineStr">
        <is>
          <t>Karnataka</t>
        </is>
      </c>
      <c r="C1870" s="2" t="inlineStr">
        <is>
          <t>Bengaluru</t>
        </is>
      </c>
      <c r="D1870" s="2" t="inlineStr">
        <is>
          <t>South</t>
        </is>
      </c>
    </row>
    <row r="1871">
      <c r="A1871" s="2" t="inlineStr">
        <is>
          <t>C0389</t>
        </is>
      </c>
      <c r="B1871" s="2" t="inlineStr">
        <is>
          <t>Karnataka</t>
        </is>
      </c>
      <c r="C1871" s="2" t="inlineStr">
        <is>
          <t>Mysuru</t>
        </is>
      </c>
      <c r="D1871" s="2" t="inlineStr">
        <is>
          <t>South</t>
        </is>
      </c>
    </row>
    <row r="1872">
      <c r="A1872" s="2" t="inlineStr">
        <is>
          <t>C0389</t>
        </is>
      </c>
      <c r="B1872" s="2" t="inlineStr">
        <is>
          <t>Maharashtra</t>
        </is>
      </c>
      <c r="C1872" s="2" t="inlineStr">
        <is>
          <t>Thane</t>
        </is>
      </c>
      <c r="D1872" s="2" t="inlineStr">
        <is>
          <t>West</t>
        </is>
      </c>
    </row>
    <row r="1873">
      <c r="A1873" s="2" t="inlineStr">
        <is>
          <t>C0389</t>
        </is>
      </c>
      <c r="B1873" s="2" t="inlineStr">
        <is>
          <t>Gujarat</t>
        </is>
      </c>
      <c r="C1873" s="2" t="inlineStr">
        <is>
          <t>Vadodara</t>
        </is>
      </c>
      <c r="D1873" s="2" t="inlineStr">
        <is>
          <t>West</t>
        </is>
      </c>
    </row>
    <row r="1874">
      <c r="A1874" s="2" t="inlineStr">
        <is>
          <t>C0390</t>
        </is>
      </c>
      <c r="B1874" s="2" t="inlineStr">
        <is>
          <t>Goa</t>
        </is>
      </c>
      <c r="C1874" s="2" t="inlineStr">
        <is>
          <t>Margao</t>
        </is>
      </c>
      <c r="D1874" s="2" t="inlineStr">
        <is>
          <t>West</t>
        </is>
      </c>
    </row>
    <row r="1875">
      <c r="A1875" s="2" t="inlineStr">
        <is>
          <t>C0390</t>
        </is>
      </c>
      <c r="B1875" s="2" t="inlineStr">
        <is>
          <t>Telangana</t>
        </is>
      </c>
      <c r="C1875" s="2" t="inlineStr">
        <is>
          <t>Hyderabad</t>
        </is>
      </c>
      <c r="D1875" s="2" t="inlineStr">
        <is>
          <t>South</t>
        </is>
      </c>
    </row>
    <row r="1876">
      <c r="A1876" s="2" t="inlineStr">
        <is>
          <t>C0390</t>
        </is>
      </c>
      <c r="B1876" s="2" t="inlineStr">
        <is>
          <t>Uttar Pradesh</t>
        </is>
      </c>
      <c r="C1876" s="2" t="inlineStr">
        <is>
          <t>Varanasi</t>
        </is>
      </c>
      <c r="D1876" s="2" t="inlineStr">
        <is>
          <t>North</t>
        </is>
      </c>
    </row>
    <row r="1877">
      <c r="A1877" s="2" t="inlineStr">
        <is>
          <t>C0390</t>
        </is>
      </c>
      <c r="B1877" s="2" t="inlineStr">
        <is>
          <t>Goa</t>
        </is>
      </c>
      <c r="C1877" s="2" t="inlineStr">
        <is>
          <t>Panaji</t>
        </is>
      </c>
      <c r="D1877" s="2" t="inlineStr">
        <is>
          <t>West</t>
        </is>
      </c>
    </row>
    <row r="1878">
      <c r="A1878" s="2" t="inlineStr">
        <is>
          <t>C0390</t>
        </is>
      </c>
      <c r="B1878" s="2" t="inlineStr">
        <is>
          <t>Delhi</t>
        </is>
      </c>
      <c r="C1878" s="2" t="inlineStr">
        <is>
          <t>New Delhi</t>
        </is>
      </c>
      <c r="D1878" s="2" t="inlineStr">
        <is>
          <t>North</t>
        </is>
      </c>
    </row>
    <row r="1879">
      <c r="A1879" s="2" t="inlineStr">
        <is>
          <t>C0390</t>
        </is>
      </c>
      <c r="B1879" s="2" t="inlineStr">
        <is>
          <t>Gujarat</t>
        </is>
      </c>
      <c r="C1879" s="2" t="inlineStr">
        <is>
          <t>Surat</t>
        </is>
      </c>
      <c r="D1879" s="2" t="inlineStr">
        <is>
          <t>West</t>
        </is>
      </c>
    </row>
    <row r="1880">
      <c r="A1880" s="2" t="inlineStr">
        <is>
          <t>C0390</t>
        </is>
      </c>
      <c r="B1880" s="2" t="inlineStr">
        <is>
          <t>Maharashtra</t>
        </is>
      </c>
      <c r="C1880" s="2" t="inlineStr">
        <is>
          <t>Mumbai</t>
        </is>
      </c>
      <c r="D1880" s="2" t="inlineStr">
        <is>
          <t>West</t>
        </is>
      </c>
    </row>
    <row r="1881">
      <c r="A1881" s="2" t="inlineStr">
        <is>
          <t>C0390</t>
        </is>
      </c>
      <c r="B1881" s="2" t="inlineStr">
        <is>
          <t>Odisha</t>
        </is>
      </c>
      <c r="C1881" s="2" t="inlineStr">
        <is>
          <t>Cuttack</t>
        </is>
      </c>
      <c r="D1881" s="2" t="inlineStr">
        <is>
          <t>East</t>
        </is>
      </c>
    </row>
    <row r="1882">
      <c r="A1882" s="2" t="inlineStr">
        <is>
          <t>C0390</t>
        </is>
      </c>
      <c r="B1882" s="2" t="inlineStr">
        <is>
          <t>Tamil Nadu</t>
        </is>
      </c>
      <c r="C1882" s="2" t="inlineStr">
        <is>
          <t>Madurai</t>
        </is>
      </c>
      <c r="D1882" s="2" t="inlineStr">
        <is>
          <t>South</t>
        </is>
      </c>
    </row>
    <row r="1883">
      <c r="A1883" s="2" t="inlineStr">
        <is>
          <t>C0390</t>
        </is>
      </c>
      <c r="B1883" s="2" t="inlineStr">
        <is>
          <t>Gujarat</t>
        </is>
      </c>
      <c r="C1883" s="2" t="inlineStr">
        <is>
          <t>Vadodara</t>
        </is>
      </c>
      <c r="D1883" s="2" t="inlineStr">
        <is>
          <t>West</t>
        </is>
      </c>
    </row>
    <row r="1884">
      <c r="A1884" s="2" t="inlineStr">
        <is>
          <t>C0390</t>
        </is>
      </c>
      <c r="B1884" s="2" t="inlineStr">
        <is>
          <t>Uttar Pradesh</t>
        </is>
      </c>
      <c r="C1884" s="2" t="inlineStr">
        <is>
          <t>Noida</t>
        </is>
      </c>
      <c r="D1884" s="2" t="inlineStr">
        <is>
          <t>North</t>
        </is>
      </c>
    </row>
    <row r="1885">
      <c r="A1885" s="2" t="inlineStr">
        <is>
          <t>C0390</t>
        </is>
      </c>
      <c r="B1885" s="2" t="inlineStr">
        <is>
          <t>Uttar Pradesh</t>
        </is>
      </c>
      <c r="C1885" s="2" t="inlineStr">
        <is>
          <t>Kanpur</t>
        </is>
      </c>
      <c r="D1885" s="2" t="inlineStr">
        <is>
          <t>North</t>
        </is>
      </c>
    </row>
    <row r="1886">
      <c r="A1886" s="2" t="inlineStr">
        <is>
          <t>C0390</t>
        </is>
      </c>
      <c r="B1886" s="2" t="inlineStr">
        <is>
          <t>Tamil Nadu</t>
        </is>
      </c>
      <c r="C1886" s="2" t="inlineStr">
        <is>
          <t>Chennai</t>
        </is>
      </c>
      <c r="D1886" s="2" t="inlineStr">
        <is>
          <t>South</t>
        </is>
      </c>
    </row>
    <row r="1887">
      <c r="A1887" s="2" t="inlineStr">
        <is>
          <t>C0390</t>
        </is>
      </c>
      <c r="B1887" s="2" t="inlineStr">
        <is>
          <t>Haryana</t>
        </is>
      </c>
      <c r="C1887" s="2" t="inlineStr">
        <is>
          <t>Gurugram</t>
        </is>
      </c>
      <c r="D1887" s="2" t="inlineStr">
        <is>
          <t>North</t>
        </is>
      </c>
    </row>
    <row r="1888">
      <c r="A1888" s="2" t="inlineStr">
        <is>
          <t>C0390</t>
        </is>
      </c>
      <c r="B1888" s="2" t="inlineStr">
        <is>
          <t>Punjab</t>
        </is>
      </c>
      <c r="C1888" s="2" t="inlineStr">
        <is>
          <t>Jalandhar</t>
        </is>
      </c>
      <c r="D1888" s="2" t="inlineStr">
        <is>
          <t>North</t>
        </is>
      </c>
    </row>
    <row r="1889">
      <c r="A1889" s="2" t="inlineStr">
        <is>
          <t>C0391</t>
        </is>
      </c>
      <c r="B1889" s="2" t="inlineStr">
        <is>
          <t>Maharashtra</t>
        </is>
      </c>
      <c r="C1889" s="2" t="inlineStr">
        <is>
          <t>Pune</t>
        </is>
      </c>
      <c r="D1889" s="2" t="inlineStr">
        <is>
          <t>West</t>
        </is>
      </c>
    </row>
    <row r="1890">
      <c r="A1890" s="2" t="inlineStr">
        <is>
          <t>C0391</t>
        </is>
      </c>
      <c r="B1890" s="2" t="inlineStr">
        <is>
          <t>Gujarat</t>
        </is>
      </c>
      <c r="C1890" s="2" t="inlineStr">
        <is>
          <t>Vadodara</t>
        </is>
      </c>
      <c r="D1890" s="2" t="inlineStr">
        <is>
          <t>West</t>
        </is>
      </c>
    </row>
    <row r="1891">
      <c r="A1891" s="2" t="inlineStr">
        <is>
          <t>C0392</t>
        </is>
      </c>
      <c r="B1891" s="2" t="inlineStr">
        <is>
          <t>Maharashtra</t>
        </is>
      </c>
      <c r="C1891" s="2" t="inlineStr">
        <is>
          <t>Mumbai</t>
        </is>
      </c>
      <c r="D1891" s="2" t="inlineStr">
        <is>
          <t>West</t>
        </is>
      </c>
    </row>
    <row r="1892">
      <c r="A1892" s="2" t="inlineStr">
        <is>
          <t>C0392</t>
        </is>
      </c>
      <c r="B1892" s="2" t="inlineStr">
        <is>
          <t>Punjab</t>
        </is>
      </c>
      <c r="C1892" s="2" t="inlineStr">
        <is>
          <t>Ludhiana</t>
        </is>
      </c>
      <c r="D1892" s="2" t="inlineStr">
        <is>
          <t>North</t>
        </is>
      </c>
    </row>
    <row r="1893">
      <c r="A1893" s="2" t="inlineStr">
        <is>
          <t>C0393</t>
        </is>
      </c>
      <c r="B1893" s="2" t="inlineStr">
        <is>
          <t>Bihar</t>
        </is>
      </c>
      <c r="C1893" s="2" t="inlineStr">
        <is>
          <t>Gaya</t>
        </is>
      </c>
      <c r="D1893" s="2" t="inlineStr">
        <is>
          <t>East</t>
        </is>
      </c>
    </row>
    <row r="1894">
      <c r="A1894" s="2" t="inlineStr">
        <is>
          <t>C0393</t>
        </is>
      </c>
      <c r="B1894" s="2" t="inlineStr">
        <is>
          <t>Maharashtra</t>
        </is>
      </c>
      <c r="C1894" s="2" t="inlineStr">
        <is>
          <t>Thane</t>
        </is>
      </c>
      <c r="D1894" s="2" t="inlineStr">
        <is>
          <t>West</t>
        </is>
      </c>
    </row>
    <row r="1895">
      <c r="A1895" s="2" t="inlineStr">
        <is>
          <t>C0393</t>
        </is>
      </c>
      <c r="B1895" s="2" t="inlineStr">
        <is>
          <t>Telangana</t>
        </is>
      </c>
      <c r="C1895" s="2" t="inlineStr">
        <is>
          <t>Hyderabad</t>
        </is>
      </c>
      <c r="D1895" s="2" t="inlineStr">
        <is>
          <t>South</t>
        </is>
      </c>
    </row>
    <row r="1896">
      <c r="A1896" s="2" t="inlineStr">
        <is>
          <t>C0393</t>
        </is>
      </c>
      <c r="B1896" s="2" t="inlineStr">
        <is>
          <t>Tamil Nadu</t>
        </is>
      </c>
      <c r="C1896" s="2" t="inlineStr">
        <is>
          <t>Chennai</t>
        </is>
      </c>
      <c r="D1896" s="2" t="inlineStr">
        <is>
          <t>South</t>
        </is>
      </c>
    </row>
    <row r="1897">
      <c r="A1897" s="2" t="inlineStr">
        <is>
          <t>C0393</t>
        </is>
      </c>
      <c r="B1897" s="2" t="inlineStr">
        <is>
          <t>Odisha</t>
        </is>
      </c>
      <c r="C1897" s="2" t="inlineStr">
        <is>
          <t>Cuttack</t>
        </is>
      </c>
      <c r="D1897" s="2" t="inlineStr">
        <is>
          <t>East</t>
        </is>
      </c>
    </row>
    <row r="1898">
      <c r="A1898" s="2" t="inlineStr">
        <is>
          <t>C0393</t>
        </is>
      </c>
      <c r="B1898" s="2" t="inlineStr">
        <is>
          <t>Haryana</t>
        </is>
      </c>
      <c r="C1898" s="2" t="inlineStr">
        <is>
          <t>Faridabad</t>
        </is>
      </c>
      <c r="D1898" s="2" t="inlineStr">
        <is>
          <t>North</t>
        </is>
      </c>
    </row>
    <row r="1899">
      <c r="A1899" s="2" t="inlineStr">
        <is>
          <t>C0393</t>
        </is>
      </c>
      <c r="B1899" s="2" t="inlineStr">
        <is>
          <t>Karnataka</t>
        </is>
      </c>
      <c r="C1899" s="2" t="inlineStr">
        <is>
          <t>Bengaluru</t>
        </is>
      </c>
      <c r="D1899" s="2" t="inlineStr">
        <is>
          <t>South</t>
        </is>
      </c>
    </row>
    <row r="1900">
      <c r="A1900" s="2" t="inlineStr">
        <is>
          <t>C0393</t>
        </is>
      </c>
      <c r="B1900" s="2" t="inlineStr">
        <is>
          <t>Goa</t>
        </is>
      </c>
      <c r="C1900" s="2" t="inlineStr">
        <is>
          <t>Panaji</t>
        </is>
      </c>
      <c r="D1900" s="2" t="inlineStr">
        <is>
          <t>West</t>
        </is>
      </c>
    </row>
    <row r="1901">
      <c r="A1901" s="2" t="inlineStr">
        <is>
          <t>C0393</t>
        </is>
      </c>
      <c r="B1901" s="2" t="inlineStr">
        <is>
          <t>Kerala</t>
        </is>
      </c>
      <c r="C1901" s="2" t="inlineStr">
        <is>
          <t>Kochi</t>
        </is>
      </c>
      <c r="D1901" s="2" t="inlineStr">
        <is>
          <t>South</t>
        </is>
      </c>
    </row>
    <row r="1902">
      <c r="A1902" s="2" t="inlineStr">
        <is>
          <t>C0393</t>
        </is>
      </c>
      <c r="B1902" s="2" t="inlineStr">
        <is>
          <t>Bihar</t>
        </is>
      </c>
      <c r="C1902" s="2" t="inlineStr">
        <is>
          <t>Patna</t>
        </is>
      </c>
      <c r="D1902" s="2" t="inlineStr">
        <is>
          <t>East</t>
        </is>
      </c>
    </row>
    <row r="1903">
      <c r="A1903" s="2" t="inlineStr">
        <is>
          <t>C0393</t>
        </is>
      </c>
      <c r="B1903" s="2" t="inlineStr">
        <is>
          <t>Gujarat</t>
        </is>
      </c>
      <c r="C1903" s="2" t="inlineStr">
        <is>
          <t>Surat</t>
        </is>
      </c>
      <c r="D1903" s="2" t="inlineStr">
        <is>
          <t>West</t>
        </is>
      </c>
    </row>
    <row r="1904">
      <c r="A1904" s="2" t="inlineStr">
        <is>
          <t>C0393</t>
        </is>
      </c>
      <c r="B1904" s="2" t="inlineStr">
        <is>
          <t>Uttar Pradesh</t>
        </is>
      </c>
      <c r="C1904" s="2" t="inlineStr">
        <is>
          <t>Lucknow</t>
        </is>
      </c>
      <c r="D1904" s="2" t="inlineStr">
        <is>
          <t>North</t>
        </is>
      </c>
    </row>
    <row r="1905">
      <c r="A1905" s="2" t="inlineStr">
        <is>
          <t>C0393</t>
        </is>
      </c>
      <c r="B1905" s="2" t="inlineStr">
        <is>
          <t>Delhi</t>
        </is>
      </c>
      <c r="C1905" s="2" t="inlineStr">
        <is>
          <t>New Delhi</t>
        </is>
      </c>
      <c r="D1905" s="2" t="inlineStr">
        <is>
          <t>North</t>
        </is>
      </c>
    </row>
    <row r="1906">
      <c r="A1906" s="2" t="inlineStr">
        <is>
          <t>C0393</t>
        </is>
      </c>
      <c r="B1906" s="2" t="inlineStr">
        <is>
          <t>Odisha</t>
        </is>
      </c>
      <c r="C1906" s="2" t="inlineStr">
        <is>
          <t>Bhubaneswar</t>
        </is>
      </c>
      <c r="D1906" s="2" t="inlineStr">
        <is>
          <t>East</t>
        </is>
      </c>
    </row>
    <row r="1907">
      <c r="A1907" s="2" t="inlineStr">
        <is>
          <t>C0393</t>
        </is>
      </c>
      <c r="B1907" s="2" t="inlineStr">
        <is>
          <t>Kerala</t>
        </is>
      </c>
      <c r="C1907" s="2" t="inlineStr">
        <is>
          <t>Thiruvananthapuram</t>
        </is>
      </c>
      <c r="D1907" s="2" t="inlineStr">
        <is>
          <t>South</t>
        </is>
      </c>
    </row>
    <row r="1908">
      <c r="A1908" s="2" t="inlineStr">
        <is>
          <t>C0393</t>
        </is>
      </c>
      <c r="B1908" s="2" t="inlineStr">
        <is>
          <t>Karnataka</t>
        </is>
      </c>
      <c r="C1908" s="2" t="inlineStr">
        <is>
          <t>Mangaluru</t>
        </is>
      </c>
      <c r="D1908" s="2" t="inlineStr">
        <is>
          <t>South</t>
        </is>
      </c>
    </row>
    <row r="1909">
      <c r="A1909" s="2" t="inlineStr">
        <is>
          <t>C0393</t>
        </is>
      </c>
      <c r="B1909" s="2" t="inlineStr">
        <is>
          <t>Maharashtra</t>
        </is>
      </c>
      <c r="C1909" s="2" t="inlineStr">
        <is>
          <t>Pune</t>
        </is>
      </c>
      <c r="D1909" s="2" t="inlineStr">
        <is>
          <t>West</t>
        </is>
      </c>
    </row>
    <row r="1910">
      <c r="A1910" s="2" t="inlineStr">
        <is>
          <t>C0393</t>
        </is>
      </c>
      <c r="B1910" s="2" t="inlineStr">
        <is>
          <t>Maharashtra</t>
        </is>
      </c>
      <c r="C1910" s="2" t="inlineStr">
        <is>
          <t>Mumbai</t>
        </is>
      </c>
      <c r="D1910" s="2" t="inlineStr">
        <is>
          <t>West</t>
        </is>
      </c>
    </row>
    <row r="1911">
      <c r="A1911" s="2" t="inlineStr">
        <is>
          <t>C0393</t>
        </is>
      </c>
      <c r="B1911" s="2" t="inlineStr">
        <is>
          <t>Goa</t>
        </is>
      </c>
      <c r="C1911" s="2" t="inlineStr">
        <is>
          <t>Margao</t>
        </is>
      </c>
      <c r="D1911" s="2" t="inlineStr">
        <is>
          <t>West</t>
        </is>
      </c>
    </row>
    <row r="1912">
      <c r="A1912" s="2" t="inlineStr">
        <is>
          <t>C0393</t>
        </is>
      </c>
      <c r="B1912" s="2" t="inlineStr">
        <is>
          <t>Uttar Pradesh</t>
        </is>
      </c>
      <c r="C1912" s="2" t="inlineStr">
        <is>
          <t>Noida</t>
        </is>
      </c>
      <c r="D1912" s="2" t="inlineStr">
        <is>
          <t>North</t>
        </is>
      </c>
    </row>
    <row r="1913">
      <c r="A1913" s="2" t="inlineStr">
        <is>
          <t>C0393</t>
        </is>
      </c>
      <c r="B1913" s="2" t="inlineStr">
        <is>
          <t>Gujarat</t>
        </is>
      </c>
      <c r="C1913" s="2" t="inlineStr">
        <is>
          <t>Vadodara</t>
        </is>
      </c>
      <c r="D1913" s="2" t="inlineStr">
        <is>
          <t>West</t>
        </is>
      </c>
    </row>
    <row r="1914">
      <c r="A1914" s="2" t="inlineStr">
        <is>
          <t>C0393</t>
        </is>
      </c>
      <c r="B1914" s="2" t="inlineStr">
        <is>
          <t>Uttar Pradesh</t>
        </is>
      </c>
      <c r="C1914" s="2" t="inlineStr">
        <is>
          <t>Varanasi</t>
        </is>
      </c>
      <c r="D1914" s="2" t="inlineStr">
        <is>
          <t>North</t>
        </is>
      </c>
    </row>
    <row r="1915">
      <c r="A1915" s="2" t="inlineStr">
        <is>
          <t>C0393</t>
        </is>
      </c>
      <c r="B1915" s="2" t="inlineStr">
        <is>
          <t>Haryana</t>
        </is>
      </c>
      <c r="C1915" s="2" t="inlineStr">
        <is>
          <t>Gurugram</t>
        </is>
      </c>
      <c r="D1915" s="2" t="inlineStr">
        <is>
          <t>North</t>
        </is>
      </c>
    </row>
    <row r="1916">
      <c r="A1916" s="2" t="inlineStr">
        <is>
          <t>C0394</t>
        </is>
      </c>
      <c r="B1916" s="2" t="inlineStr">
        <is>
          <t>Karnataka</t>
        </is>
      </c>
      <c r="C1916" s="2" t="inlineStr">
        <is>
          <t>Bengaluru</t>
        </is>
      </c>
      <c r="D1916" s="2" t="inlineStr">
        <is>
          <t>South</t>
        </is>
      </c>
    </row>
    <row r="1917">
      <c r="A1917" s="2" t="inlineStr">
        <is>
          <t>C0394</t>
        </is>
      </c>
      <c r="B1917" s="2" t="inlineStr">
        <is>
          <t>Uttar Pradesh</t>
        </is>
      </c>
      <c r="C1917" s="2" t="inlineStr">
        <is>
          <t>Noida</t>
        </is>
      </c>
      <c r="D1917" s="2" t="inlineStr">
        <is>
          <t>North</t>
        </is>
      </c>
    </row>
    <row r="1918">
      <c r="A1918" s="2" t="inlineStr">
        <is>
          <t>C0394</t>
        </is>
      </c>
      <c r="B1918" s="2" t="inlineStr">
        <is>
          <t>Punjab</t>
        </is>
      </c>
      <c r="C1918" s="2" t="inlineStr">
        <is>
          <t>Ludhiana</t>
        </is>
      </c>
      <c r="D1918" s="2" t="inlineStr">
        <is>
          <t>North</t>
        </is>
      </c>
    </row>
    <row r="1919">
      <c r="A1919" s="2" t="inlineStr">
        <is>
          <t>C0394</t>
        </is>
      </c>
      <c r="B1919" s="2" t="inlineStr">
        <is>
          <t>West Bengal</t>
        </is>
      </c>
      <c r="C1919" s="2" t="inlineStr">
        <is>
          <t>Kolkata</t>
        </is>
      </c>
      <c r="D1919" s="2" t="inlineStr">
        <is>
          <t>East</t>
        </is>
      </c>
    </row>
    <row r="1920">
      <c r="A1920" s="2" t="inlineStr">
        <is>
          <t>C0394</t>
        </is>
      </c>
      <c r="B1920" s="2" t="inlineStr">
        <is>
          <t>Maharashtra</t>
        </is>
      </c>
      <c r="C1920" s="2" t="inlineStr">
        <is>
          <t>Pune</t>
        </is>
      </c>
      <c r="D1920" s="2" t="inlineStr">
        <is>
          <t>West</t>
        </is>
      </c>
    </row>
    <row r="1921">
      <c r="A1921" s="2" t="inlineStr">
        <is>
          <t>C0394</t>
        </is>
      </c>
      <c r="B1921" s="2" t="inlineStr">
        <is>
          <t>West Bengal</t>
        </is>
      </c>
      <c r="C1921" s="2" t="inlineStr">
        <is>
          <t>Durgapur</t>
        </is>
      </c>
      <c r="D1921" s="2" t="inlineStr">
        <is>
          <t>East</t>
        </is>
      </c>
    </row>
    <row r="1922">
      <c r="A1922" s="2" t="inlineStr">
        <is>
          <t>C0394</t>
        </is>
      </c>
      <c r="B1922" s="2" t="inlineStr">
        <is>
          <t>Uttar Pradesh</t>
        </is>
      </c>
      <c r="C1922" s="2" t="inlineStr">
        <is>
          <t>Lucknow</t>
        </is>
      </c>
      <c r="D1922" s="2" t="inlineStr">
        <is>
          <t>North</t>
        </is>
      </c>
    </row>
    <row r="1923">
      <c r="A1923" s="2" t="inlineStr">
        <is>
          <t>C0394</t>
        </is>
      </c>
      <c r="B1923" s="2" t="inlineStr">
        <is>
          <t>Haryana</t>
        </is>
      </c>
      <c r="C1923" s="2" t="inlineStr">
        <is>
          <t>Faridabad</t>
        </is>
      </c>
      <c r="D1923" s="2" t="inlineStr">
        <is>
          <t>North</t>
        </is>
      </c>
    </row>
    <row r="1924">
      <c r="A1924" s="2" t="inlineStr">
        <is>
          <t>C0394</t>
        </is>
      </c>
      <c r="B1924" s="2" t="inlineStr">
        <is>
          <t>Tamil Nadu</t>
        </is>
      </c>
      <c r="C1924" s="2" t="inlineStr">
        <is>
          <t>Chennai</t>
        </is>
      </c>
      <c r="D1924" s="2" t="inlineStr">
        <is>
          <t>South</t>
        </is>
      </c>
    </row>
    <row r="1925">
      <c r="A1925" s="2" t="inlineStr">
        <is>
          <t>C0394</t>
        </is>
      </c>
      <c r="B1925" s="2" t="inlineStr">
        <is>
          <t>Uttar Pradesh</t>
        </is>
      </c>
      <c r="C1925" s="2" t="inlineStr">
        <is>
          <t>Kanpur</t>
        </is>
      </c>
      <c r="D1925" s="2" t="inlineStr">
        <is>
          <t>North</t>
        </is>
      </c>
    </row>
    <row r="1926">
      <c r="A1926" s="2" t="inlineStr">
        <is>
          <t>C0394</t>
        </is>
      </c>
      <c r="B1926" s="2" t="inlineStr">
        <is>
          <t>Gujarat</t>
        </is>
      </c>
      <c r="C1926" s="2" t="inlineStr">
        <is>
          <t>Ahmedabad</t>
        </is>
      </c>
      <c r="D1926" s="2" t="inlineStr">
        <is>
          <t>West</t>
        </is>
      </c>
    </row>
    <row r="1927">
      <c r="A1927" s="2" t="inlineStr">
        <is>
          <t>C0394</t>
        </is>
      </c>
      <c r="B1927" s="2" t="inlineStr">
        <is>
          <t>Gujarat</t>
        </is>
      </c>
      <c r="C1927" s="2" t="inlineStr">
        <is>
          <t>Surat</t>
        </is>
      </c>
      <c r="D1927" s="2" t="inlineStr">
        <is>
          <t>West</t>
        </is>
      </c>
    </row>
    <row r="1928">
      <c r="A1928" s="2" t="inlineStr">
        <is>
          <t>C0394</t>
        </is>
      </c>
      <c r="B1928" s="2" t="inlineStr">
        <is>
          <t>Kerala</t>
        </is>
      </c>
      <c r="C1928" s="2" t="inlineStr">
        <is>
          <t>Thiruvananthapuram</t>
        </is>
      </c>
      <c r="D1928" s="2" t="inlineStr">
        <is>
          <t>South</t>
        </is>
      </c>
    </row>
    <row r="1929">
      <c r="A1929" s="2" t="inlineStr">
        <is>
          <t>C0394</t>
        </is>
      </c>
      <c r="B1929" s="2" t="inlineStr">
        <is>
          <t>Karnataka</t>
        </is>
      </c>
      <c r="C1929" s="2" t="inlineStr">
        <is>
          <t>Mysuru</t>
        </is>
      </c>
      <c r="D1929" s="2" t="inlineStr">
        <is>
          <t>South</t>
        </is>
      </c>
    </row>
    <row r="1930">
      <c r="A1930" s="2" t="inlineStr">
        <is>
          <t>C0394</t>
        </is>
      </c>
      <c r="B1930" s="2" t="inlineStr">
        <is>
          <t>Karnataka</t>
        </is>
      </c>
      <c r="C1930" s="2" t="inlineStr">
        <is>
          <t>Mangaluru</t>
        </is>
      </c>
      <c r="D1930" s="2" t="inlineStr">
        <is>
          <t>South</t>
        </is>
      </c>
    </row>
    <row r="1931">
      <c r="A1931" s="2" t="inlineStr">
        <is>
          <t>C0394</t>
        </is>
      </c>
      <c r="B1931" s="2" t="inlineStr">
        <is>
          <t>Tamil Nadu</t>
        </is>
      </c>
      <c r="C1931" s="2" t="inlineStr">
        <is>
          <t>Coimbatore</t>
        </is>
      </c>
      <c r="D1931" s="2" t="inlineStr">
        <is>
          <t>South</t>
        </is>
      </c>
    </row>
    <row r="1932">
      <c r="A1932" s="2" t="inlineStr">
        <is>
          <t>C0394</t>
        </is>
      </c>
      <c r="B1932" s="2" t="inlineStr">
        <is>
          <t>Gujarat</t>
        </is>
      </c>
      <c r="C1932" s="2" t="inlineStr">
        <is>
          <t>Vadodara</t>
        </is>
      </c>
      <c r="D1932" s="2" t="inlineStr">
        <is>
          <t>West</t>
        </is>
      </c>
    </row>
    <row r="1933">
      <c r="A1933" s="2" t="inlineStr">
        <is>
          <t>C0394</t>
        </is>
      </c>
      <c r="B1933" s="2" t="inlineStr">
        <is>
          <t>Goa</t>
        </is>
      </c>
      <c r="C1933" s="2" t="inlineStr">
        <is>
          <t>Panaji</t>
        </is>
      </c>
      <c r="D1933" s="2" t="inlineStr">
        <is>
          <t>West</t>
        </is>
      </c>
    </row>
    <row r="1934">
      <c r="A1934" s="2" t="inlineStr">
        <is>
          <t>C0394</t>
        </is>
      </c>
      <c r="B1934" s="2" t="inlineStr">
        <is>
          <t>Goa</t>
        </is>
      </c>
      <c r="C1934" s="2" t="inlineStr">
        <is>
          <t>Margao</t>
        </is>
      </c>
      <c r="D1934" s="2" t="inlineStr">
        <is>
          <t>West</t>
        </is>
      </c>
    </row>
    <row r="1935">
      <c r="A1935" s="2" t="inlineStr">
        <is>
          <t>C0394</t>
        </is>
      </c>
      <c r="B1935" s="2" t="inlineStr">
        <is>
          <t>Telangana</t>
        </is>
      </c>
      <c r="C1935" s="2" t="inlineStr">
        <is>
          <t>Hyderabad</t>
        </is>
      </c>
      <c r="D1935" s="2" t="inlineStr">
        <is>
          <t>South</t>
        </is>
      </c>
    </row>
    <row r="1936">
      <c r="A1936" s="2" t="inlineStr">
        <is>
          <t>C0394</t>
        </is>
      </c>
      <c r="B1936" s="2" t="inlineStr">
        <is>
          <t>Maharashtra</t>
        </is>
      </c>
      <c r="C1936" s="2" t="inlineStr">
        <is>
          <t>Thane</t>
        </is>
      </c>
      <c r="D1936" s="2" t="inlineStr">
        <is>
          <t>West</t>
        </is>
      </c>
    </row>
    <row r="1937">
      <c r="A1937" s="2" t="inlineStr">
        <is>
          <t>C0395</t>
        </is>
      </c>
      <c r="B1937" s="2" t="inlineStr">
        <is>
          <t>Maharashtra</t>
        </is>
      </c>
      <c r="C1937" s="2" t="inlineStr">
        <is>
          <t>Nagpur</t>
        </is>
      </c>
      <c r="D1937" s="2" t="inlineStr">
        <is>
          <t>West</t>
        </is>
      </c>
    </row>
    <row r="1938">
      <c r="A1938" s="2" t="inlineStr">
        <is>
          <t>C0395</t>
        </is>
      </c>
      <c r="B1938" s="2" t="inlineStr">
        <is>
          <t>Maharashtra</t>
        </is>
      </c>
      <c r="C1938" s="2" t="inlineStr">
        <is>
          <t>Mumbai</t>
        </is>
      </c>
      <c r="D1938" s="2" t="inlineStr">
        <is>
          <t>West</t>
        </is>
      </c>
    </row>
    <row r="1939">
      <c r="A1939" s="2" t="inlineStr">
        <is>
          <t>C0395</t>
        </is>
      </c>
      <c r="B1939" s="2" t="inlineStr">
        <is>
          <t>Tamil Nadu</t>
        </is>
      </c>
      <c r="C1939" s="2" t="inlineStr">
        <is>
          <t>Chennai</t>
        </is>
      </c>
      <c r="D1939" s="2" t="inlineStr">
        <is>
          <t>South</t>
        </is>
      </c>
    </row>
    <row r="1940">
      <c r="A1940" s="2" t="inlineStr">
        <is>
          <t>C0395</t>
        </is>
      </c>
      <c r="B1940" s="2" t="inlineStr">
        <is>
          <t>Maharashtra</t>
        </is>
      </c>
      <c r="C1940" s="2" t="inlineStr">
        <is>
          <t>Pune</t>
        </is>
      </c>
      <c r="D1940" s="2" t="inlineStr">
        <is>
          <t>West</t>
        </is>
      </c>
    </row>
    <row r="1941">
      <c r="A1941" s="2" t="inlineStr">
        <is>
          <t>C0395</t>
        </is>
      </c>
      <c r="B1941" s="2" t="inlineStr">
        <is>
          <t>Tamil Nadu</t>
        </is>
      </c>
      <c r="C1941" s="2" t="inlineStr">
        <is>
          <t>Madurai</t>
        </is>
      </c>
      <c r="D1941" s="2" t="inlineStr">
        <is>
          <t>South</t>
        </is>
      </c>
    </row>
    <row r="1942">
      <c r="A1942" s="2" t="inlineStr">
        <is>
          <t>C0396</t>
        </is>
      </c>
      <c r="B1942" s="2" t="inlineStr">
        <is>
          <t>Maharashtra</t>
        </is>
      </c>
      <c r="C1942" s="2" t="inlineStr">
        <is>
          <t>Pune</t>
        </is>
      </c>
      <c r="D1942" s="2" t="inlineStr">
        <is>
          <t>West</t>
        </is>
      </c>
    </row>
    <row r="1943">
      <c r="A1943" s="2" t="inlineStr">
        <is>
          <t>C0396</t>
        </is>
      </c>
      <c r="B1943" s="2" t="inlineStr">
        <is>
          <t>Karnataka</t>
        </is>
      </c>
      <c r="C1943" s="2" t="inlineStr">
        <is>
          <t>Bengaluru</t>
        </is>
      </c>
      <c r="D1943" s="2" t="inlineStr">
        <is>
          <t>South</t>
        </is>
      </c>
    </row>
    <row r="1944">
      <c r="A1944" s="2" t="inlineStr">
        <is>
          <t>C0396</t>
        </is>
      </c>
      <c r="B1944" s="2" t="inlineStr">
        <is>
          <t>Kerala</t>
        </is>
      </c>
      <c r="C1944" s="2" t="inlineStr">
        <is>
          <t>Thiruvananthapuram</t>
        </is>
      </c>
      <c r="D1944" s="2" t="inlineStr">
        <is>
          <t>South</t>
        </is>
      </c>
    </row>
    <row r="1945">
      <c r="A1945" s="2" t="inlineStr">
        <is>
          <t>C0396</t>
        </is>
      </c>
      <c r="B1945" s="2" t="inlineStr">
        <is>
          <t>Odisha</t>
        </is>
      </c>
      <c r="C1945" s="2" t="inlineStr">
        <is>
          <t>Cuttack</t>
        </is>
      </c>
      <c r="D1945" s="2" t="inlineStr">
        <is>
          <t>East</t>
        </is>
      </c>
    </row>
    <row r="1946">
      <c r="A1946" s="2" t="inlineStr">
        <is>
          <t>C0396</t>
        </is>
      </c>
      <c r="B1946" s="2" t="inlineStr">
        <is>
          <t>Goa</t>
        </is>
      </c>
      <c r="C1946" s="2" t="inlineStr">
        <is>
          <t>Margao</t>
        </is>
      </c>
      <c r="D1946" s="2" t="inlineStr">
        <is>
          <t>West</t>
        </is>
      </c>
    </row>
    <row r="1947">
      <c r="A1947" s="2" t="inlineStr">
        <is>
          <t>C0397</t>
        </is>
      </c>
      <c r="B1947" s="2" t="inlineStr">
        <is>
          <t>Gujarat</t>
        </is>
      </c>
      <c r="C1947" s="2" t="inlineStr">
        <is>
          <t>Ahmedabad</t>
        </is>
      </c>
      <c r="D1947" s="2" t="inlineStr">
        <is>
          <t>West</t>
        </is>
      </c>
    </row>
    <row r="1948">
      <c r="A1948" s="2" t="inlineStr">
        <is>
          <t>C0397</t>
        </is>
      </c>
      <c r="B1948" s="2" t="inlineStr">
        <is>
          <t>Tamil Nadu</t>
        </is>
      </c>
      <c r="C1948" s="2" t="inlineStr">
        <is>
          <t>Chennai</t>
        </is>
      </c>
      <c r="D1948" s="2" t="inlineStr">
        <is>
          <t>South</t>
        </is>
      </c>
    </row>
    <row r="1949">
      <c r="A1949" s="2" t="inlineStr">
        <is>
          <t>C0397</t>
        </is>
      </c>
      <c r="B1949" s="2" t="inlineStr">
        <is>
          <t>West Bengal</t>
        </is>
      </c>
      <c r="C1949" s="2" t="inlineStr">
        <is>
          <t>Durgapur</t>
        </is>
      </c>
      <c r="D1949" s="2" t="inlineStr">
        <is>
          <t>East</t>
        </is>
      </c>
    </row>
    <row r="1950">
      <c r="A1950" s="2" t="inlineStr">
        <is>
          <t>C0397</t>
        </is>
      </c>
      <c r="B1950" s="2" t="inlineStr">
        <is>
          <t>Telangana</t>
        </is>
      </c>
      <c r="C1950" s="2" t="inlineStr">
        <is>
          <t>Warangal</t>
        </is>
      </c>
      <c r="D1950" s="2" t="inlineStr">
        <is>
          <t>South</t>
        </is>
      </c>
    </row>
    <row r="1951">
      <c r="A1951" s="2" t="inlineStr">
        <is>
          <t>C0397</t>
        </is>
      </c>
      <c r="B1951" s="2" t="inlineStr">
        <is>
          <t>Goa</t>
        </is>
      </c>
      <c r="C1951" s="2" t="inlineStr">
        <is>
          <t>Panaji</t>
        </is>
      </c>
      <c r="D1951" s="2" t="inlineStr">
        <is>
          <t>West</t>
        </is>
      </c>
    </row>
    <row r="1952">
      <c r="A1952" s="2" t="inlineStr">
        <is>
          <t>C0397</t>
        </is>
      </c>
      <c r="B1952" s="2" t="inlineStr">
        <is>
          <t>Odisha</t>
        </is>
      </c>
      <c r="C1952" s="2" t="inlineStr">
        <is>
          <t>Bhubaneswar</t>
        </is>
      </c>
      <c r="D1952" s="2" t="inlineStr">
        <is>
          <t>East</t>
        </is>
      </c>
    </row>
    <row r="1953">
      <c r="A1953" s="2" t="inlineStr">
        <is>
          <t>C0397</t>
        </is>
      </c>
      <c r="B1953" s="2" t="inlineStr">
        <is>
          <t>Kerala</t>
        </is>
      </c>
      <c r="C1953" s="2" t="inlineStr">
        <is>
          <t>Kochi</t>
        </is>
      </c>
      <c r="D1953" s="2" t="inlineStr">
        <is>
          <t>South</t>
        </is>
      </c>
    </row>
    <row r="1954">
      <c r="A1954" s="2" t="inlineStr">
        <is>
          <t>C0397</t>
        </is>
      </c>
      <c r="B1954" s="2" t="inlineStr">
        <is>
          <t>Bihar</t>
        </is>
      </c>
      <c r="C1954" s="2" t="inlineStr">
        <is>
          <t>Patna</t>
        </is>
      </c>
      <c r="D1954" s="2" t="inlineStr">
        <is>
          <t>East</t>
        </is>
      </c>
    </row>
    <row r="1955">
      <c r="A1955" s="2" t="inlineStr">
        <is>
          <t>C0398</t>
        </is>
      </c>
      <c r="B1955" s="2" t="inlineStr">
        <is>
          <t>Delhi</t>
        </is>
      </c>
      <c r="C1955" s="2" t="inlineStr">
        <is>
          <t>New Delhi</t>
        </is>
      </c>
      <c r="D1955" s="2" t="inlineStr">
        <is>
          <t>North</t>
        </is>
      </c>
    </row>
    <row r="1956">
      <c r="A1956" s="2" t="inlineStr">
        <is>
          <t>C0399</t>
        </is>
      </c>
      <c r="B1956" s="2" t="inlineStr">
        <is>
          <t>Tamil Nadu</t>
        </is>
      </c>
      <c r="C1956" s="2" t="inlineStr">
        <is>
          <t>Coimbatore</t>
        </is>
      </c>
      <c r="D1956" s="2" t="inlineStr">
        <is>
          <t>South</t>
        </is>
      </c>
    </row>
    <row r="1957">
      <c r="A1957" s="2" t="inlineStr">
        <is>
          <t>C0399</t>
        </is>
      </c>
      <c r="B1957" s="2" t="inlineStr">
        <is>
          <t>Gujarat</t>
        </is>
      </c>
      <c r="C1957" s="2" t="inlineStr">
        <is>
          <t>Ahmedabad</t>
        </is>
      </c>
      <c r="D1957" s="2" t="inlineStr">
        <is>
          <t>West</t>
        </is>
      </c>
    </row>
    <row r="1958">
      <c r="A1958" s="2" t="inlineStr">
        <is>
          <t>C0399</t>
        </is>
      </c>
      <c r="B1958" s="2" t="inlineStr">
        <is>
          <t>Karnataka</t>
        </is>
      </c>
      <c r="C1958" s="2" t="inlineStr">
        <is>
          <t>Mysuru</t>
        </is>
      </c>
      <c r="D1958" s="2" t="inlineStr">
        <is>
          <t>South</t>
        </is>
      </c>
    </row>
    <row r="1959">
      <c r="A1959" s="2" t="inlineStr">
        <is>
          <t>C0399</t>
        </is>
      </c>
      <c r="B1959" s="2" t="inlineStr">
        <is>
          <t>Maharashtra</t>
        </is>
      </c>
      <c r="C1959" s="2" t="inlineStr">
        <is>
          <t>Thane</t>
        </is>
      </c>
      <c r="D1959" s="2" t="inlineStr">
        <is>
          <t>West</t>
        </is>
      </c>
    </row>
    <row r="1960">
      <c r="A1960" s="2" t="inlineStr">
        <is>
          <t>C0399</t>
        </is>
      </c>
      <c r="B1960" s="2" t="inlineStr">
        <is>
          <t>Kerala</t>
        </is>
      </c>
      <c r="C1960" s="2" t="inlineStr">
        <is>
          <t>Thiruvananthapuram</t>
        </is>
      </c>
      <c r="D1960" s="2" t="inlineStr">
        <is>
          <t>South</t>
        </is>
      </c>
    </row>
    <row r="1961">
      <c r="A1961" s="2" t="inlineStr">
        <is>
          <t>C0399</t>
        </is>
      </c>
      <c r="B1961" s="2" t="inlineStr">
        <is>
          <t>Haryana</t>
        </is>
      </c>
      <c r="C1961" s="2" t="inlineStr">
        <is>
          <t>Faridabad</t>
        </is>
      </c>
      <c r="D1961" s="2" t="inlineStr">
        <is>
          <t>North</t>
        </is>
      </c>
    </row>
    <row r="1962">
      <c r="A1962" s="2" t="inlineStr">
        <is>
          <t>C0400</t>
        </is>
      </c>
      <c r="B1962" s="2" t="inlineStr">
        <is>
          <t>Gujarat</t>
        </is>
      </c>
      <c r="C1962" s="2" t="inlineStr">
        <is>
          <t>Ahmedabad</t>
        </is>
      </c>
      <c r="D1962" s="2" t="inlineStr">
        <is>
          <t>West</t>
        </is>
      </c>
    </row>
    <row r="1963">
      <c r="A1963" s="2" t="inlineStr">
        <is>
          <t>C0400</t>
        </is>
      </c>
      <c r="B1963" s="2" t="inlineStr">
        <is>
          <t>Haryana</t>
        </is>
      </c>
      <c r="C1963" s="2" t="inlineStr">
        <is>
          <t>Faridabad</t>
        </is>
      </c>
      <c r="D1963" s="2" t="inlineStr">
        <is>
          <t>North</t>
        </is>
      </c>
    </row>
    <row r="1964">
      <c r="A1964" s="2" t="inlineStr">
        <is>
          <t>C0400</t>
        </is>
      </c>
      <c r="B1964" s="2" t="inlineStr">
        <is>
          <t>Maharashtra</t>
        </is>
      </c>
      <c r="C1964" s="2" t="inlineStr">
        <is>
          <t>Mumbai</t>
        </is>
      </c>
      <c r="D1964" s="2" t="inlineStr">
        <is>
          <t>West</t>
        </is>
      </c>
    </row>
    <row r="1965">
      <c r="A1965" s="2" t="inlineStr">
        <is>
          <t>C0400</t>
        </is>
      </c>
      <c r="B1965" s="2" t="inlineStr">
        <is>
          <t>Gujarat</t>
        </is>
      </c>
      <c r="C1965" s="2" t="inlineStr">
        <is>
          <t>Vadodara</t>
        </is>
      </c>
      <c r="D1965" s="2" t="inlineStr">
        <is>
          <t>West</t>
        </is>
      </c>
    </row>
    <row r="1966">
      <c r="A1966" s="2" t="inlineStr">
        <is>
          <t>C0400</t>
        </is>
      </c>
      <c r="B1966" s="2" t="inlineStr">
        <is>
          <t>West Bengal</t>
        </is>
      </c>
      <c r="C1966" s="2" t="inlineStr">
        <is>
          <t>Kolkata</t>
        </is>
      </c>
      <c r="D1966" s="2" t="inlineStr">
        <is>
          <t>East</t>
        </is>
      </c>
    </row>
    <row r="1967">
      <c r="A1967" s="2" t="inlineStr">
        <is>
          <t>C0400</t>
        </is>
      </c>
      <c r="B1967" s="2" t="inlineStr">
        <is>
          <t>Delhi</t>
        </is>
      </c>
      <c r="C1967" s="2" t="inlineStr">
        <is>
          <t>New Delhi</t>
        </is>
      </c>
      <c r="D1967" s="2" t="inlineStr">
        <is>
          <t>North</t>
        </is>
      </c>
    </row>
    <row r="1968">
      <c r="A1968" s="2" t="inlineStr">
        <is>
          <t>C0400</t>
        </is>
      </c>
      <c r="B1968" s="2" t="inlineStr">
        <is>
          <t>Telangana</t>
        </is>
      </c>
      <c r="C1968" s="2" t="inlineStr">
        <is>
          <t>Hyderabad</t>
        </is>
      </c>
      <c r="D1968" s="2" t="inlineStr">
        <is>
          <t>South</t>
        </is>
      </c>
    </row>
    <row r="1969">
      <c r="A1969" s="2" t="inlineStr">
        <is>
          <t>C0400</t>
        </is>
      </c>
      <c r="B1969" s="2" t="inlineStr">
        <is>
          <t>Goa</t>
        </is>
      </c>
      <c r="C1969" s="2" t="inlineStr">
        <is>
          <t>Panaji</t>
        </is>
      </c>
      <c r="D1969" s="2" t="inlineStr">
        <is>
          <t>West</t>
        </is>
      </c>
    </row>
    <row r="1970">
      <c r="A1970" s="2" t="inlineStr">
        <is>
          <t>C0400</t>
        </is>
      </c>
      <c r="B1970" s="2" t="inlineStr">
        <is>
          <t>Goa</t>
        </is>
      </c>
      <c r="C1970" s="2" t="inlineStr">
        <is>
          <t>Margao</t>
        </is>
      </c>
      <c r="D1970" s="2" t="inlineStr">
        <is>
          <t>West</t>
        </is>
      </c>
    </row>
    <row r="1971">
      <c r="A1971" s="2" t="inlineStr">
        <is>
          <t>C0400</t>
        </is>
      </c>
      <c r="B1971" s="2" t="inlineStr">
        <is>
          <t>Telangana</t>
        </is>
      </c>
      <c r="C1971" s="2" t="inlineStr">
        <is>
          <t>Warangal</t>
        </is>
      </c>
      <c r="D1971" s="2" t="inlineStr">
        <is>
          <t>South</t>
        </is>
      </c>
    </row>
    <row r="1972">
      <c r="A1972" s="2" t="inlineStr">
        <is>
          <t>C0401</t>
        </is>
      </c>
      <c r="B1972" s="2" t="inlineStr">
        <is>
          <t>Kerala</t>
        </is>
      </c>
      <c r="C1972" s="2" t="inlineStr">
        <is>
          <t>Kochi</t>
        </is>
      </c>
      <c r="D1972" s="2" t="inlineStr">
        <is>
          <t>South</t>
        </is>
      </c>
    </row>
    <row r="1973">
      <c r="A1973" s="2" t="inlineStr">
        <is>
          <t>C0401</t>
        </is>
      </c>
      <c r="B1973" s="2" t="inlineStr">
        <is>
          <t>Odisha</t>
        </is>
      </c>
      <c r="C1973" s="2" t="inlineStr">
        <is>
          <t>Cuttack</t>
        </is>
      </c>
      <c r="D1973" s="2" t="inlineStr">
        <is>
          <t>East</t>
        </is>
      </c>
    </row>
    <row r="1974">
      <c r="A1974" s="2" t="inlineStr">
        <is>
          <t>C0402</t>
        </is>
      </c>
      <c r="B1974" s="2" t="inlineStr">
        <is>
          <t>West Bengal</t>
        </is>
      </c>
      <c r="C1974" s="2" t="inlineStr">
        <is>
          <t>Durgapur</t>
        </is>
      </c>
      <c r="D1974" s="2" t="inlineStr">
        <is>
          <t>East</t>
        </is>
      </c>
    </row>
    <row r="1975">
      <c r="A1975" s="2" t="inlineStr">
        <is>
          <t>C0403</t>
        </is>
      </c>
      <c r="B1975" s="2" t="inlineStr">
        <is>
          <t>Maharashtra</t>
        </is>
      </c>
      <c r="C1975" s="2" t="inlineStr">
        <is>
          <t>Nagpur</t>
        </is>
      </c>
      <c r="D1975" s="2" t="inlineStr">
        <is>
          <t>West</t>
        </is>
      </c>
    </row>
    <row r="1976">
      <c r="A1976" s="2" t="inlineStr">
        <is>
          <t>C0403</t>
        </is>
      </c>
      <c r="B1976" s="2" t="inlineStr">
        <is>
          <t>Bihar</t>
        </is>
      </c>
      <c r="C1976" s="2" t="inlineStr">
        <is>
          <t>Gaya</t>
        </is>
      </c>
      <c r="D1976" s="2" t="inlineStr">
        <is>
          <t>East</t>
        </is>
      </c>
    </row>
    <row r="1977">
      <c r="A1977" s="2" t="inlineStr">
        <is>
          <t>C0404</t>
        </is>
      </c>
      <c r="B1977" s="2" t="inlineStr">
        <is>
          <t>Gujarat</t>
        </is>
      </c>
      <c r="C1977" s="2" t="inlineStr">
        <is>
          <t>Surat</t>
        </is>
      </c>
      <c r="D1977" s="2" t="inlineStr">
        <is>
          <t>West</t>
        </is>
      </c>
    </row>
    <row r="1978">
      <c r="A1978" s="2" t="inlineStr">
        <is>
          <t>C0404</t>
        </is>
      </c>
      <c r="B1978" s="2" t="inlineStr">
        <is>
          <t>Karnataka</t>
        </is>
      </c>
      <c r="C1978" s="2" t="inlineStr">
        <is>
          <t>Bengaluru</t>
        </is>
      </c>
      <c r="D1978" s="2" t="inlineStr">
        <is>
          <t>South</t>
        </is>
      </c>
    </row>
    <row r="1979">
      <c r="A1979" s="2" t="inlineStr">
        <is>
          <t>C0404</t>
        </is>
      </c>
      <c r="B1979" s="2" t="inlineStr">
        <is>
          <t>Goa</t>
        </is>
      </c>
      <c r="C1979" s="2" t="inlineStr">
        <is>
          <t>Panaji</t>
        </is>
      </c>
      <c r="D1979" s="2" t="inlineStr">
        <is>
          <t>West</t>
        </is>
      </c>
    </row>
    <row r="1980">
      <c r="A1980" s="2" t="inlineStr">
        <is>
          <t>C0404</t>
        </is>
      </c>
      <c r="B1980" s="2" t="inlineStr">
        <is>
          <t>Uttar Pradesh</t>
        </is>
      </c>
      <c r="C1980" s="2" t="inlineStr">
        <is>
          <t>Lucknow</t>
        </is>
      </c>
      <c r="D1980" s="2" t="inlineStr">
        <is>
          <t>North</t>
        </is>
      </c>
    </row>
    <row r="1981">
      <c r="A1981" s="2" t="inlineStr">
        <is>
          <t>C0404</t>
        </is>
      </c>
      <c r="B1981" s="2" t="inlineStr">
        <is>
          <t>Telangana</t>
        </is>
      </c>
      <c r="C1981" s="2" t="inlineStr">
        <is>
          <t>Hyderabad</t>
        </is>
      </c>
      <c r="D1981" s="2" t="inlineStr">
        <is>
          <t>South</t>
        </is>
      </c>
    </row>
    <row r="1982">
      <c r="A1982" s="2" t="inlineStr">
        <is>
          <t>C0404</t>
        </is>
      </c>
      <c r="B1982" s="2" t="inlineStr">
        <is>
          <t>Kerala</t>
        </is>
      </c>
      <c r="C1982" s="2" t="inlineStr">
        <is>
          <t>Thiruvananthapuram</t>
        </is>
      </c>
      <c r="D1982" s="2" t="inlineStr">
        <is>
          <t>South</t>
        </is>
      </c>
    </row>
    <row r="1983">
      <c r="A1983" s="2" t="inlineStr">
        <is>
          <t>C0404</t>
        </is>
      </c>
      <c r="B1983" s="2" t="inlineStr">
        <is>
          <t>West Bengal</t>
        </is>
      </c>
      <c r="C1983" s="2" t="inlineStr">
        <is>
          <t>Kolkata</t>
        </is>
      </c>
      <c r="D1983" s="2" t="inlineStr">
        <is>
          <t>East</t>
        </is>
      </c>
    </row>
    <row r="1984">
      <c r="A1984" s="2" t="inlineStr">
        <is>
          <t>C0404</t>
        </is>
      </c>
      <c r="B1984" s="2" t="inlineStr">
        <is>
          <t>Telangana</t>
        </is>
      </c>
      <c r="C1984" s="2" t="inlineStr">
        <is>
          <t>Warangal</t>
        </is>
      </c>
      <c r="D1984" s="2" t="inlineStr">
        <is>
          <t>South</t>
        </is>
      </c>
    </row>
    <row r="1985">
      <c r="A1985" s="2" t="inlineStr">
        <is>
          <t>C0405</t>
        </is>
      </c>
      <c r="B1985" s="2" t="inlineStr">
        <is>
          <t>Uttar Pradesh</t>
        </is>
      </c>
      <c r="C1985" s="2" t="inlineStr">
        <is>
          <t>Varanasi</t>
        </is>
      </c>
      <c r="D1985" s="2" t="inlineStr">
        <is>
          <t>North</t>
        </is>
      </c>
    </row>
    <row r="1986">
      <c r="A1986" s="2" t="inlineStr">
        <is>
          <t>C0405</t>
        </is>
      </c>
      <c r="B1986" s="2" t="inlineStr">
        <is>
          <t>Bihar</t>
        </is>
      </c>
      <c r="C1986" s="2" t="inlineStr">
        <is>
          <t>Gaya</t>
        </is>
      </c>
      <c r="D1986" s="2" t="inlineStr">
        <is>
          <t>East</t>
        </is>
      </c>
    </row>
    <row r="1987">
      <c r="A1987" s="2" t="inlineStr">
        <is>
          <t>C0405</t>
        </is>
      </c>
      <c r="B1987" s="2" t="inlineStr">
        <is>
          <t>Gujarat</t>
        </is>
      </c>
      <c r="C1987" s="2" t="inlineStr">
        <is>
          <t>Surat</t>
        </is>
      </c>
      <c r="D1987" s="2" t="inlineStr">
        <is>
          <t>West</t>
        </is>
      </c>
    </row>
    <row r="1988">
      <c r="A1988" s="2" t="inlineStr">
        <is>
          <t>C0406</t>
        </is>
      </c>
      <c r="B1988" s="2" t="inlineStr">
        <is>
          <t>Goa</t>
        </is>
      </c>
      <c r="C1988" s="2" t="inlineStr">
        <is>
          <t>Margao</t>
        </is>
      </c>
      <c r="D1988" s="2" t="inlineStr">
        <is>
          <t>West</t>
        </is>
      </c>
    </row>
    <row r="1989">
      <c r="A1989" s="2" t="inlineStr">
        <is>
          <t>C0406</t>
        </is>
      </c>
      <c r="B1989" s="2" t="inlineStr">
        <is>
          <t>Maharashtra</t>
        </is>
      </c>
      <c r="C1989" s="2" t="inlineStr">
        <is>
          <t>Thane</t>
        </is>
      </c>
      <c r="D1989" s="2" t="inlineStr">
        <is>
          <t>West</t>
        </is>
      </c>
    </row>
    <row r="1990">
      <c r="A1990" s="2" t="inlineStr">
        <is>
          <t>C0406</t>
        </is>
      </c>
      <c r="B1990" s="2" t="inlineStr">
        <is>
          <t>Punjab</t>
        </is>
      </c>
      <c r="C1990" s="2" t="inlineStr">
        <is>
          <t>Ludhiana</t>
        </is>
      </c>
      <c r="D1990" s="2" t="inlineStr">
        <is>
          <t>North</t>
        </is>
      </c>
    </row>
    <row r="1991">
      <c r="A1991" s="2" t="inlineStr">
        <is>
          <t>C0406</t>
        </is>
      </c>
      <c r="B1991" s="2" t="inlineStr">
        <is>
          <t>Tamil Nadu</t>
        </is>
      </c>
      <c r="C1991" s="2" t="inlineStr">
        <is>
          <t>Chennai</t>
        </is>
      </c>
      <c r="D1991" s="2" t="inlineStr">
        <is>
          <t>South</t>
        </is>
      </c>
    </row>
    <row r="1992">
      <c r="A1992" s="2" t="inlineStr">
        <is>
          <t>C0406</t>
        </is>
      </c>
      <c r="B1992" s="2" t="inlineStr">
        <is>
          <t>Punjab</t>
        </is>
      </c>
      <c r="C1992" s="2" t="inlineStr">
        <is>
          <t>Jalandhar</t>
        </is>
      </c>
      <c r="D1992" s="2" t="inlineStr">
        <is>
          <t>North</t>
        </is>
      </c>
    </row>
    <row r="1993">
      <c r="A1993" s="2" t="inlineStr">
        <is>
          <t>C0406</t>
        </is>
      </c>
      <c r="B1993" s="2" t="inlineStr">
        <is>
          <t>Gujarat</t>
        </is>
      </c>
      <c r="C1993" s="2" t="inlineStr">
        <is>
          <t>Ahmedabad</t>
        </is>
      </c>
      <c r="D1993" s="2" t="inlineStr">
        <is>
          <t>West</t>
        </is>
      </c>
    </row>
    <row r="1994">
      <c r="A1994" s="2" t="inlineStr">
        <is>
          <t>C0407</t>
        </is>
      </c>
      <c r="B1994" s="2" t="inlineStr">
        <is>
          <t>Delhi</t>
        </is>
      </c>
      <c r="C1994" s="2" t="inlineStr">
        <is>
          <t>New Delhi</t>
        </is>
      </c>
      <c r="D1994" s="2" t="inlineStr">
        <is>
          <t>North</t>
        </is>
      </c>
    </row>
    <row r="1995">
      <c r="A1995" s="2" t="inlineStr">
        <is>
          <t>C0407</t>
        </is>
      </c>
      <c r="B1995" s="2" t="inlineStr">
        <is>
          <t>Karnataka</t>
        </is>
      </c>
      <c r="C1995" s="2" t="inlineStr">
        <is>
          <t>Bengaluru</t>
        </is>
      </c>
      <c r="D1995" s="2" t="inlineStr">
        <is>
          <t>South</t>
        </is>
      </c>
    </row>
    <row r="1996">
      <c r="A1996" s="2" t="inlineStr">
        <is>
          <t>C0407</t>
        </is>
      </c>
      <c r="B1996" s="2" t="inlineStr">
        <is>
          <t>Telangana</t>
        </is>
      </c>
      <c r="C1996" s="2" t="inlineStr">
        <is>
          <t>Warangal</t>
        </is>
      </c>
      <c r="D1996" s="2" t="inlineStr">
        <is>
          <t>South</t>
        </is>
      </c>
    </row>
    <row r="1997">
      <c r="A1997" s="2" t="inlineStr">
        <is>
          <t>C0407</t>
        </is>
      </c>
      <c r="B1997" s="2" t="inlineStr">
        <is>
          <t>Gujarat</t>
        </is>
      </c>
      <c r="C1997" s="2" t="inlineStr">
        <is>
          <t>Ahmedabad</t>
        </is>
      </c>
      <c r="D1997" s="2" t="inlineStr">
        <is>
          <t>West</t>
        </is>
      </c>
    </row>
    <row r="1998">
      <c r="A1998" s="2" t="inlineStr">
        <is>
          <t>C0407</t>
        </is>
      </c>
      <c r="B1998" s="2" t="inlineStr">
        <is>
          <t>Haryana</t>
        </is>
      </c>
      <c r="C1998" s="2" t="inlineStr">
        <is>
          <t>Gurugram</t>
        </is>
      </c>
      <c r="D1998" s="2" t="inlineStr">
        <is>
          <t>North</t>
        </is>
      </c>
    </row>
    <row r="1999">
      <c r="A1999" s="2" t="inlineStr">
        <is>
          <t>C0407</t>
        </is>
      </c>
      <c r="B1999" s="2" t="inlineStr">
        <is>
          <t>Kerala</t>
        </is>
      </c>
      <c r="C1999" s="2" t="inlineStr">
        <is>
          <t>Thiruvananthapuram</t>
        </is>
      </c>
      <c r="D1999" s="2" t="inlineStr">
        <is>
          <t>South</t>
        </is>
      </c>
    </row>
    <row r="2000">
      <c r="A2000" s="2" t="inlineStr">
        <is>
          <t>C0407</t>
        </is>
      </c>
      <c r="B2000" s="2" t="inlineStr">
        <is>
          <t>Uttar Pradesh</t>
        </is>
      </c>
      <c r="C2000" s="2" t="inlineStr">
        <is>
          <t>Lucknow</t>
        </is>
      </c>
      <c r="D2000" s="2" t="inlineStr">
        <is>
          <t>North</t>
        </is>
      </c>
    </row>
    <row r="2001">
      <c r="A2001" s="2" t="inlineStr">
        <is>
          <t>C0407</t>
        </is>
      </c>
      <c r="B2001" s="2" t="inlineStr">
        <is>
          <t>Goa</t>
        </is>
      </c>
      <c r="C2001" s="2" t="inlineStr">
        <is>
          <t>Margao</t>
        </is>
      </c>
      <c r="D2001" s="2" t="inlineStr">
        <is>
          <t>West</t>
        </is>
      </c>
    </row>
    <row r="2002">
      <c r="A2002" s="2" t="inlineStr">
        <is>
          <t>C0407</t>
        </is>
      </c>
      <c r="B2002" s="2" t="inlineStr">
        <is>
          <t>Bihar</t>
        </is>
      </c>
      <c r="C2002" s="2" t="inlineStr">
        <is>
          <t>Gaya</t>
        </is>
      </c>
      <c r="D2002" s="2" t="inlineStr">
        <is>
          <t>East</t>
        </is>
      </c>
    </row>
    <row r="2003">
      <c r="A2003" s="2" t="inlineStr">
        <is>
          <t>C0408</t>
        </is>
      </c>
      <c r="B2003" s="2" t="inlineStr">
        <is>
          <t>West Bengal</t>
        </is>
      </c>
      <c r="C2003" s="2" t="inlineStr">
        <is>
          <t>Durgapur</t>
        </is>
      </c>
      <c r="D2003" s="2" t="inlineStr">
        <is>
          <t>East</t>
        </is>
      </c>
    </row>
    <row r="2004">
      <c r="A2004" s="2" t="inlineStr">
        <is>
          <t>C0408</t>
        </is>
      </c>
      <c r="B2004" s="2" t="inlineStr">
        <is>
          <t>Punjab</t>
        </is>
      </c>
      <c r="C2004" s="2" t="inlineStr">
        <is>
          <t>Ludhiana</t>
        </is>
      </c>
      <c r="D2004" s="2" t="inlineStr">
        <is>
          <t>North</t>
        </is>
      </c>
    </row>
    <row r="2005">
      <c r="A2005" s="2" t="inlineStr">
        <is>
          <t>C0408</t>
        </is>
      </c>
      <c r="B2005" s="2" t="inlineStr">
        <is>
          <t>Delhi</t>
        </is>
      </c>
      <c r="C2005" s="2" t="inlineStr">
        <is>
          <t>New Delhi</t>
        </is>
      </c>
      <c r="D2005" s="2" t="inlineStr">
        <is>
          <t>North</t>
        </is>
      </c>
    </row>
    <row r="2006">
      <c r="A2006" s="2" t="inlineStr">
        <is>
          <t>C0408</t>
        </is>
      </c>
      <c r="B2006" s="2" t="inlineStr">
        <is>
          <t>Haryana</t>
        </is>
      </c>
      <c r="C2006" s="2" t="inlineStr">
        <is>
          <t>Gurugram</t>
        </is>
      </c>
      <c r="D2006" s="2" t="inlineStr">
        <is>
          <t>North</t>
        </is>
      </c>
    </row>
    <row r="2007">
      <c r="A2007" s="2" t="inlineStr">
        <is>
          <t>C0409</t>
        </is>
      </c>
      <c r="B2007" s="2" t="inlineStr">
        <is>
          <t>Telangana</t>
        </is>
      </c>
      <c r="C2007" s="2" t="inlineStr">
        <is>
          <t>Warangal</t>
        </is>
      </c>
      <c r="D2007" s="2" t="inlineStr">
        <is>
          <t>South</t>
        </is>
      </c>
    </row>
    <row r="2008">
      <c r="A2008" s="2" t="inlineStr">
        <is>
          <t>C0409</t>
        </is>
      </c>
      <c r="B2008" s="2" t="inlineStr">
        <is>
          <t>Punjab</t>
        </is>
      </c>
      <c r="C2008" s="2" t="inlineStr">
        <is>
          <t>Ludhiana</t>
        </is>
      </c>
      <c r="D2008" s="2" t="inlineStr">
        <is>
          <t>North</t>
        </is>
      </c>
    </row>
    <row r="2009">
      <c r="A2009" s="2" t="inlineStr">
        <is>
          <t>C0409</t>
        </is>
      </c>
      <c r="B2009" s="2" t="inlineStr">
        <is>
          <t>Punjab</t>
        </is>
      </c>
      <c r="C2009" s="2" t="inlineStr">
        <is>
          <t>Jalandhar</t>
        </is>
      </c>
      <c r="D2009" s="2" t="inlineStr">
        <is>
          <t>North</t>
        </is>
      </c>
    </row>
    <row r="2010">
      <c r="A2010" s="2" t="inlineStr">
        <is>
          <t>C0411</t>
        </is>
      </c>
      <c r="B2010" s="2" t="inlineStr">
        <is>
          <t>Tamil Nadu</t>
        </is>
      </c>
      <c r="C2010" s="2" t="inlineStr">
        <is>
          <t>Madurai</t>
        </is>
      </c>
      <c r="D2010" s="2" t="inlineStr">
        <is>
          <t>South</t>
        </is>
      </c>
    </row>
    <row r="2011">
      <c r="A2011" s="2" t="inlineStr">
        <is>
          <t>C0411</t>
        </is>
      </c>
      <c r="B2011" s="2" t="inlineStr">
        <is>
          <t>Haryana</t>
        </is>
      </c>
      <c r="C2011" s="2" t="inlineStr">
        <is>
          <t>Gurugram</t>
        </is>
      </c>
      <c r="D2011" s="2" t="inlineStr">
        <is>
          <t>North</t>
        </is>
      </c>
    </row>
    <row r="2012">
      <c r="A2012" s="2" t="inlineStr">
        <is>
          <t>C0412</t>
        </is>
      </c>
      <c r="B2012" s="2" t="inlineStr">
        <is>
          <t>Kerala</t>
        </is>
      </c>
      <c r="C2012" s="2" t="inlineStr">
        <is>
          <t>Kochi</t>
        </is>
      </c>
      <c r="D2012" s="2" t="inlineStr">
        <is>
          <t>South</t>
        </is>
      </c>
    </row>
    <row r="2013">
      <c r="A2013" s="2" t="inlineStr">
        <is>
          <t>C0412</t>
        </is>
      </c>
      <c r="B2013" s="2" t="inlineStr">
        <is>
          <t>Odisha</t>
        </is>
      </c>
      <c r="C2013" s="2" t="inlineStr">
        <is>
          <t>Bhubaneswar</t>
        </is>
      </c>
      <c r="D2013" s="2" t="inlineStr">
        <is>
          <t>East</t>
        </is>
      </c>
    </row>
    <row r="2014">
      <c r="A2014" s="2" t="inlineStr">
        <is>
          <t>C0412</t>
        </is>
      </c>
      <c r="B2014" s="2" t="inlineStr">
        <is>
          <t>Goa</t>
        </is>
      </c>
      <c r="C2014" s="2" t="inlineStr">
        <is>
          <t>Panaji</t>
        </is>
      </c>
      <c r="D2014" s="2" t="inlineStr">
        <is>
          <t>West</t>
        </is>
      </c>
    </row>
    <row r="2015">
      <c r="A2015" s="2" t="inlineStr">
        <is>
          <t>C0412</t>
        </is>
      </c>
      <c r="B2015" s="2" t="inlineStr">
        <is>
          <t>Telangana</t>
        </is>
      </c>
      <c r="C2015" s="2" t="inlineStr">
        <is>
          <t>Warangal</t>
        </is>
      </c>
      <c r="D2015" s="2" t="inlineStr">
        <is>
          <t>South</t>
        </is>
      </c>
    </row>
    <row r="2016">
      <c r="A2016" s="2" t="inlineStr">
        <is>
          <t>C0412</t>
        </is>
      </c>
      <c r="B2016" s="2" t="inlineStr">
        <is>
          <t>Tamil Nadu</t>
        </is>
      </c>
      <c r="C2016" s="2" t="inlineStr">
        <is>
          <t>Coimbatore</t>
        </is>
      </c>
      <c r="D2016" s="2" t="inlineStr">
        <is>
          <t>South</t>
        </is>
      </c>
    </row>
    <row r="2017">
      <c r="A2017" s="2" t="inlineStr">
        <is>
          <t>C0413</t>
        </is>
      </c>
      <c r="B2017" s="2" t="inlineStr">
        <is>
          <t>Tamil Nadu</t>
        </is>
      </c>
      <c r="C2017" s="2" t="inlineStr">
        <is>
          <t>Chennai</t>
        </is>
      </c>
      <c r="D2017" s="2" t="inlineStr">
        <is>
          <t>South</t>
        </is>
      </c>
    </row>
    <row r="2018">
      <c r="A2018" s="2" t="inlineStr">
        <is>
          <t>C0413</t>
        </is>
      </c>
      <c r="B2018" s="2" t="inlineStr">
        <is>
          <t>Maharashtra</t>
        </is>
      </c>
      <c r="C2018" s="2" t="inlineStr">
        <is>
          <t>Pune</t>
        </is>
      </c>
      <c r="D2018" s="2" t="inlineStr">
        <is>
          <t>West</t>
        </is>
      </c>
    </row>
    <row r="2019">
      <c r="A2019" s="2" t="inlineStr">
        <is>
          <t>C0414</t>
        </is>
      </c>
      <c r="B2019" s="2" t="inlineStr">
        <is>
          <t>Kerala</t>
        </is>
      </c>
      <c r="C2019" s="2" t="inlineStr">
        <is>
          <t>Kochi</t>
        </is>
      </c>
      <c r="D2019" s="2" t="inlineStr">
        <is>
          <t>South</t>
        </is>
      </c>
    </row>
    <row r="2020">
      <c r="A2020" s="2" t="inlineStr">
        <is>
          <t>C0416</t>
        </is>
      </c>
      <c r="B2020" s="2" t="inlineStr">
        <is>
          <t>Maharashtra</t>
        </is>
      </c>
      <c r="C2020" s="2" t="inlineStr">
        <is>
          <t>Nagpur</t>
        </is>
      </c>
      <c r="D2020" s="2" t="inlineStr">
        <is>
          <t>West</t>
        </is>
      </c>
    </row>
    <row r="2021">
      <c r="A2021" s="2" t="inlineStr">
        <is>
          <t>C0416</t>
        </is>
      </c>
      <c r="B2021" s="2" t="inlineStr">
        <is>
          <t>Odisha</t>
        </is>
      </c>
      <c r="C2021" s="2" t="inlineStr">
        <is>
          <t>Bhubaneswar</t>
        </is>
      </c>
      <c r="D2021" s="2" t="inlineStr">
        <is>
          <t>East</t>
        </is>
      </c>
    </row>
    <row r="2022">
      <c r="A2022" s="2" t="inlineStr">
        <is>
          <t>C0416</t>
        </is>
      </c>
      <c r="B2022" s="2" t="inlineStr">
        <is>
          <t>Maharashtra</t>
        </is>
      </c>
      <c r="C2022" s="2" t="inlineStr">
        <is>
          <t>Nashik</t>
        </is>
      </c>
      <c r="D2022" s="2" t="inlineStr">
        <is>
          <t>West</t>
        </is>
      </c>
    </row>
    <row r="2023">
      <c r="A2023" s="2" t="inlineStr">
        <is>
          <t>C0416</t>
        </is>
      </c>
      <c r="B2023" s="2" t="inlineStr">
        <is>
          <t>Gujarat</t>
        </is>
      </c>
      <c r="C2023" s="2" t="inlineStr">
        <is>
          <t>Ahmedabad</t>
        </is>
      </c>
      <c r="D2023" s="2" t="inlineStr">
        <is>
          <t>West</t>
        </is>
      </c>
    </row>
    <row r="2024">
      <c r="A2024" s="2" t="inlineStr">
        <is>
          <t>C0416</t>
        </is>
      </c>
      <c r="B2024" s="2" t="inlineStr">
        <is>
          <t>Maharashtra</t>
        </is>
      </c>
      <c r="C2024" s="2" t="inlineStr">
        <is>
          <t>Mumbai</t>
        </is>
      </c>
      <c r="D2024" s="2" t="inlineStr">
        <is>
          <t>West</t>
        </is>
      </c>
    </row>
    <row r="2025">
      <c r="A2025" s="2" t="inlineStr">
        <is>
          <t>C0416</t>
        </is>
      </c>
      <c r="B2025" s="2" t="inlineStr">
        <is>
          <t>Gujarat</t>
        </is>
      </c>
      <c r="C2025" s="2" t="inlineStr">
        <is>
          <t>Vadodara</t>
        </is>
      </c>
      <c r="D2025" s="2" t="inlineStr">
        <is>
          <t>West</t>
        </is>
      </c>
    </row>
    <row r="2026">
      <c r="A2026" s="2" t="inlineStr">
        <is>
          <t>C0416</t>
        </is>
      </c>
      <c r="B2026" s="2" t="inlineStr">
        <is>
          <t>Goa</t>
        </is>
      </c>
      <c r="C2026" s="2" t="inlineStr">
        <is>
          <t>Panaji</t>
        </is>
      </c>
      <c r="D2026" s="2" t="inlineStr">
        <is>
          <t>West</t>
        </is>
      </c>
    </row>
    <row r="2027">
      <c r="A2027" s="2" t="inlineStr">
        <is>
          <t>C0416</t>
        </is>
      </c>
      <c r="B2027" s="2" t="inlineStr">
        <is>
          <t>Uttar Pradesh</t>
        </is>
      </c>
      <c r="C2027" s="2" t="inlineStr">
        <is>
          <t>Lucknow</t>
        </is>
      </c>
      <c r="D2027" s="2" t="inlineStr">
        <is>
          <t>North</t>
        </is>
      </c>
    </row>
    <row r="2028">
      <c r="A2028" s="2" t="inlineStr">
        <is>
          <t>C0416</t>
        </is>
      </c>
      <c r="B2028" s="2" t="inlineStr">
        <is>
          <t>Haryana</t>
        </is>
      </c>
      <c r="C2028" s="2" t="inlineStr">
        <is>
          <t>Gurugram</t>
        </is>
      </c>
      <c r="D2028" s="2" t="inlineStr">
        <is>
          <t>North</t>
        </is>
      </c>
    </row>
    <row r="2029">
      <c r="A2029" s="2" t="inlineStr">
        <is>
          <t>C0416</t>
        </is>
      </c>
      <c r="B2029" s="2" t="inlineStr">
        <is>
          <t>West Bengal</t>
        </is>
      </c>
      <c r="C2029" s="2" t="inlineStr">
        <is>
          <t>Durgapur</t>
        </is>
      </c>
      <c r="D2029" s="2" t="inlineStr">
        <is>
          <t>East</t>
        </is>
      </c>
    </row>
    <row r="2030">
      <c r="A2030" s="2" t="inlineStr">
        <is>
          <t>C0416</t>
        </is>
      </c>
      <c r="B2030" s="2" t="inlineStr">
        <is>
          <t>Punjab</t>
        </is>
      </c>
      <c r="C2030" s="2" t="inlineStr">
        <is>
          <t>Ludhiana</t>
        </is>
      </c>
      <c r="D2030" s="2" t="inlineStr">
        <is>
          <t>North</t>
        </is>
      </c>
    </row>
    <row r="2031">
      <c r="A2031" s="2" t="inlineStr">
        <is>
          <t>C0417</t>
        </is>
      </c>
      <c r="B2031" s="2" t="inlineStr">
        <is>
          <t>Telangana</t>
        </is>
      </c>
      <c r="C2031" s="2" t="inlineStr">
        <is>
          <t>Warangal</t>
        </is>
      </c>
      <c r="D2031" s="2" t="inlineStr">
        <is>
          <t>South</t>
        </is>
      </c>
    </row>
    <row r="2032">
      <c r="A2032" s="2" t="inlineStr">
        <is>
          <t>C0417</t>
        </is>
      </c>
      <c r="B2032" s="2" t="inlineStr">
        <is>
          <t>Goa</t>
        </is>
      </c>
      <c r="C2032" s="2" t="inlineStr">
        <is>
          <t>Panaji</t>
        </is>
      </c>
      <c r="D2032" s="2" t="inlineStr">
        <is>
          <t>West</t>
        </is>
      </c>
    </row>
    <row r="2033">
      <c r="A2033" s="2" t="inlineStr">
        <is>
          <t>C0417</t>
        </is>
      </c>
      <c r="B2033" s="2" t="inlineStr">
        <is>
          <t>Kerala</t>
        </is>
      </c>
      <c r="C2033" s="2" t="inlineStr">
        <is>
          <t>Kochi</t>
        </is>
      </c>
      <c r="D2033" s="2" t="inlineStr">
        <is>
          <t>South</t>
        </is>
      </c>
    </row>
    <row r="2034">
      <c r="A2034" s="2" t="inlineStr">
        <is>
          <t>C0417</t>
        </is>
      </c>
      <c r="B2034" s="2" t="inlineStr">
        <is>
          <t>Haryana</t>
        </is>
      </c>
      <c r="C2034" s="2" t="inlineStr">
        <is>
          <t>Faridabad</t>
        </is>
      </c>
      <c r="D2034" s="2" t="inlineStr">
        <is>
          <t>North</t>
        </is>
      </c>
    </row>
    <row r="2035">
      <c r="A2035" s="2" t="inlineStr">
        <is>
          <t>C0417</t>
        </is>
      </c>
      <c r="B2035" s="2" t="inlineStr">
        <is>
          <t>Punjab</t>
        </is>
      </c>
      <c r="C2035" s="2" t="inlineStr">
        <is>
          <t>Jalandhar</t>
        </is>
      </c>
      <c r="D2035" s="2" t="inlineStr">
        <is>
          <t>North</t>
        </is>
      </c>
    </row>
    <row r="2036">
      <c r="A2036" s="2" t="inlineStr">
        <is>
          <t>C0417</t>
        </is>
      </c>
      <c r="B2036" s="2" t="inlineStr">
        <is>
          <t>Maharashtra</t>
        </is>
      </c>
      <c r="C2036" s="2" t="inlineStr">
        <is>
          <t>Pune</t>
        </is>
      </c>
      <c r="D2036" s="2" t="inlineStr">
        <is>
          <t>West</t>
        </is>
      </c>
    </row>
    <row r="2037">
      <c r="A2037" s="2" t="inlineStr">
        <is>
          <t>C0417</t>
        </is>
      </c>
      <c r="B2037" s="2" t="inlineStr">
        <is>
          <t>Gujarat</t>
        </is>
      </c>
      <c r="C2037" s="2" t="inlineStr">
        <is>
          <t>Vadodara</t>
        </is>
      </c>
      <c r="D2037" s="2" t="inlineStr">
        <is>
          <t>West</t>
        </is>
      </c>
    </row>
    <row r="2038">
      <c r="A2038" s="2" t="inlineStr">
        <is>
          <t>C0418</t>
        </is>
      </c>
      <c r="B2038" s="2" t="inlineStr">
        <is>
          <t>Uttar Pradesh</t>
        </is>
      </c>
      <c r="C2038" s="2" t="inlineStr">
        <is>
          <t>Noida</t>
        </is>
      </c>
      <c r="D2038" s="2" t="inlineStr">
        <is>
          <t>North</t>
        </is>
      </c>
    </row>
    <row r="2039">
      <c r="A2039" s="2" t="inlineStr">
        <is>
          <t>C0418</t>
        </is>
      </c>
      <c r="B2039" s="2" t="inlineStr">
        <is>
          <t>Uttar Pradesh</t>
        </is>
      </c>
      <c r="C2039" s="2" t="inlineStr">
        <is>
          <t>Varanasi</t>
        </is>
      </c>
      <c r="D2039" s="2" t="inlineStr">
        <is>
          <t>North</t>
        </is>
      </c>
    </row>
    <row r="2040">
      <c r="A2040" s="2" t="inlineStr">
        <is>
          <t>C0418</t>
        </is>
      </c>
      <c r="B2040" s="2" t="inlineStr">
        <is>
          <t>Kerala</t>
        </is>
      </c>
      <c r="C2040" s="2" t="inlineStr">
        <is>
          <t>Kochi</t>
        </is>
      </c>
      <c r="D2040" s="2" t="inlineStr">
        <is>
          <t>South</t>
        </is>
      </c>
    </row>
    <row r="2041">
      <c r="A2041" s="2" t="inlineStr">
        <is>
          <t>C0418</t>
        </is>
      </c>
      <c r="B2041" s="2" t="inlineStr">
        <is>
          <t>Bihar</t>
        </is>
      </c>
      <c r="C2041" s="2" t="inlineStr">
        <is>
          <t>Patna</t>
        </is>
      </c>
      <c r="D2041" s="2" t="inlineStr">
        <is>
          <t>East</t>
        </is>
      </c>
    </row>
    <row r="2042">
      <c r="A2042" s="2" t="inlineStr">
        <is>
          <t>C0418</t>
        </is>
      </c>
      <c r="B2042" s="2" t="inlineStr">
        <is>
          <t>Delhi</t>
        </is>
      </c>
      <c r="C2042" s="2" t="inlineStr">
        <is>
          <t>New Delhi</t>
        </is>
      </c>
      <c r="D2042" s="2" t="inlineStr">
        <is>
          <t>North</t>
        </is>
      </c>
    </row>
    <row r="2043">
      <c r="A2043" s="2" t="inlineStr">
        <is>
          <t>C0418</t>
        </is>
      </c>
      <c r="B2043" s="2" t="inlineStr">
        <is>
          <t>Odisha</t>
        </is>
      </c>
      <c r="C2043" s="2" t="inlineStr">
        <is>
          <t>Bhubaneswar</t>
        </is>
      </c>
      <c r="D2043" s="2" t="inlineStr">
        <is>
          <t>East</t>
        </is>
      </c>
    </row>
    <row r="2044">
      <c r="A2044" s="2" t="inlineStr">
        <is>
          <t>C0418</t>
        </is>
      </c>
      <c r="B2044" s="2" t="inlineStr">
        <is>
          <t>Bihar</t>
        </is>
      </c>
      <c r="C2044" s="2" t="inlineStr">
        <is>
          <t>Gaya</t>
        </is>
      </c>
      <c r="D2044" s="2" t="inlineStr">
        <is>
          <t>East</t>
        </is>
      </c>
    </row>
    <row r="2045">
      <c r="A2045" s="2" t="inlineStr">
        <is>
          <t>C0418</t>
        </is>
      </c>
      <c r="B2045" s="2" t="inlineStr">
        <is>
          <t>Kerala</t>
        </is>
      </c>
      <c r="C2045" s="2" t="inlineStr">
        <is>
          <t>Thiruvananthapuram</t>
        </is>
      </c>
      <c r="D2045" s="2" t="inlineStr">
        <is>
          <t>South</t>
        </is>
      </c>
    </row>
    <row r="2046">
      <c r="A2046" s="2" t="inlineStr">
        <is>
          <t>C0419</t>
        </is>
      </c>
      <c r="B2046" s="2" t="inlineStr">
        <is>
          <t>Bihar</t>
        </is>
      </c>
      <c r="C2046" s="2" t="inlineStr">
        <is>
          <t>Gaya</t>
        </is>
      </c>
      <c r="D2046" s="2" t="inlineStr">
        <is>
          <t>East</t>
        </is>
      </c>
    </row>
    <row r="2047">
      <c r="A2047" s="2" t="inlineStr">
        <is>
          <t>C0420</t>
        </is>
      </c>
      <c r="B2047" s="2" t="inlineStr">
        <is>
          <t>West Bengal</t>
        </is>
      </c>
      <c r="C2047" s="2" t="inlineStr">
        <is>
          <t>Durgapur</t>
        </is>
      </c>
      <c r="D2047" s="2" t="inlineStr">
        <is>
          <t>East</t>
        </is>
      </c>
    </row>
    <row r="2048">
      <c r="A2048" s="2" t="inlineStr">
        <is>
          <t>C0420</t>
        </is>
      </c>
      <c r="B2048" s="2" t="inlineStr">
        <is>
          <t>Karnataka</t>
        </is>
      </c>
      <c r="C2048" s="2" t="inlineStr">
        <is>
          <t>Bengaluru</t>
        </is>
      </c>
      <c r="D2048" s="2" t="inlineStr">
        <is>
          <t>South</t>
        </is>
      </c>
    </row>
    <row r="2049">
      <c r="A2049" s="2" t="inlineStr">
        <is>
          <t>C0420</t>
        </is>
      </c>
      <c r="B2049" s="2" t="inlineStr">
        <is>
          <t>Maharashtra</t>
        </is>
      </c>
      <c r="C2049" s="2" t="inlineStr">
        <is>
          <t>Nagpur</t>
        </is>
      </c>
      <c r="D2049" s="2" t="inlineStr">
        <is>
          <t>West</t>
        </is>
      </c>
    </row>
    <row r="2050">
      <c r="A2050" s="2" t="inlineStr">
        <is>
          <t>C0420</t>
        </is>
      </c>
      <c r="B2050" s="2" t="inlineStr">
        <is>
          <t>Goa</t>
        </is>
      </c>
      <c r="C2050" s="2" t="inlineStr">
        <is>
          <t>Panaji</t>
        </is>
      </c>
      <c r="D2050" s="2" t="inlineStr">
        <is>
          <t>West</t>
        </is>
      </c>
    </row>
    <row r="2051">
      <c r="A2051" s="2" t="inlineStr">
        <is>
          <t>C0420</t>
        </is>
      </c>
      <c r="B2051" s="2" t="inlineStr">
        <is>
          <t>Bihar</t>
        </is>
      </c>
      <c r="C2051" s="2" t="inlineStr">
        <is>
          <t>Gaya</t>
        </is>
      </c>
      <c r="D2051" s="2" t="inlineStr">
        <is>
          <t>East</t>
        </is>
      </c>
    </row>
    <row r="2052">
      <c r="A2052" s="2" t="inlineStr">
        <is>
          <t>C0421</t>
        </is>
      </c>
      <c r="B2052" s="2" t="inlineStr">
        <is>
          <t>Punjab</t>
        </is>
      </c>
      <c r="C2052" s="2" t="inlineStr">
        <is>
          <t>Ludhiana</t>
        </is>
      </c>
      <c r="D2052" s="2" t="inlineStr">
        <is>
          <t>North</t>
        </is>
      </c>
    </row>
    <row r="2053">
      <c r="A2053" s="2" t="inlineStr">
        <is>
          <t>C0421</t>
        </is>
      </c>
      <c r="B2053" s="2" t="inlineStr">
        <is>
          <t>Bihar</t>
        </is>
      </c>
      <c r="C2053" s="2" t="inlineStr">
        <is>
          <t>Gaya</t>
        </is>
      </c>
      <c r="D2053" s="2" t="inlineStr">
        <is>
          <t>East</t>
        </is>
      </c>
    </row>
    <row r="2054">
      <c r="A2054" s="2" t="inlineStr">
        <is>
          <t>C0421</t>
        </is>
      </c>
      <c r="B2054" s="2" t="inlineStr">
        <is>
          <t>Kerala</t>
        </is>
      </c>
      <c r="C2054" s="2" t="inlineStr">
        <is>
          <t>Kochi</t>
        </is>
      </c>
      <c r="D2054" s="2" t="inlineStr">
        <is>
          <t>South</t>
        </is>
      </c>
    </row>
    <row r="2055">
      <c r="A2055" s="2" t="inlineStr">
        <is>
          <t>C0421</t>
        </is>
      </c>
      <c r="B2055" s="2" t="inlineStr">
        <is>
          <t>Telangana</t>
        </is>
      </c>
      <c r="C2055" s="2" t="inlineStr">
        <is>
          <t>Warangal</t>
        </is>
      </c>
      <c r="D2055" s="2" t="inlineStr">
        <is>
          <t>South</t>
        </is>
      </c>
    </row>
    <row r="2056">
      <c r="A2056" s="2" t="inlineStr">
        <is>
          <t>C0421</t>
        </is>
      </c>
      <c r="B2056" s="2" t="inlineStr">
        <is>
          <t>Goa</t>
        </is>
      </c>
      <c r="C2056" s="2" t="inlineStr">
        <is>
          <t>Panaji</t>
        </is>
      </c>
      <c r="D2056" s="2" t="inlineStr">
        <is>
          <t>West</t>
        </is>
      </c>
    </row>
    <row r="2057">
      <c r="A2057" s="2" t="inlineStr">
        <is>
          <t>C0421</t>
        </is>
      </c>
      <c r="B2057" s="2" t="inlineStr">
        <is>
          <t>Uttar Pradesh</t>
        </is>
      </c>
      <c r="C2057" s="2" t="inlineStr">
        <is>
          <t>Varanasi</t>
        </is>
      </c>
      <c r="D2057" s="2" t="inlineStr">
        <is>
          <t>North</t>
        </is>
      </c>
    </row>
    <row r="2058">
      <c r="A2058" s="2" t="inlineStr">
        <is>
          <t>C0422</t>
        </is>
      </c>
      <c r="B2058" s="2" t="inlineStr">
        <is>
          <t>Maharashtra</t>
        </is>
      </c>
      <c r="C2058" s="2" t="inlineStr">
        <is>
          <t>Nagpur</t>
        </is>
      </c>
      <c r="D2058" s="2" t="inlineStr">
        <is>
          <t>West</t>
        </is>
      </c>
    </row>
    <row r="2059">
      <c r="A2059" s="2" t="inlineStr">
        <is>
          <t>C0422</t>
        </is>
      </c>
      <c r="B2059" s="2" t="inlineStr">
        <is>
          <t>Delhi</t>
        </is>
      </c>
      <c r="C2059" s="2" t="inlineStr">
        <is>
          <t>New Delhi</t>
        </is>
      </c>
      <c r="D2059" s="2" t="inlineStr">
        <is>
          <t>North</t>
        </is>
      </c>
    </row>
    <row r="2060">
      <c r="A2060" s="2" t="inlineStr">
        <is>
          <t>C0422</t>
        </is>
      </c>
      <c r="B2060" s="2" t="inlineStr">
        <is>
          <t>Maharashtra</t>
        </is>
      </c>
      <c r="C2060" s="2" t="inlineStr">
        <is>
          <t>Thane</t>
        </is>
      </c>
      <c r="D2060" s="2" t="inlineStr">
        <is>
          <t>West</t>
        </is>
      </c>
    </row>
    <row r="2061">
      <c r="A2061" s="2" t="inlineStr">
        <is>
          <t>C0423</t>
        </is>
      </c>
      <c r="B2061" s="2" t="inlineStr">
        <is>
          <t>Gujarat</t>
        </is>
      </c>
      <c r="C2061" s="2" t="inlineStr">
        <is>
          <t>Surat</t>
        </is>
      </c>
      <c r="D2061" s="2" t="inlineStr">
        <is>
          <t>West</t>
        </is>
      </c>
    </row>
    <row r="2062">
      <c r="A2062" s="2" t="inlineStr">
        <is>
          <t>C0423</t>
        </is>
      </c>
      <c r="B2062" s="2" t="inlineStr">
        <is>
          <t>Telangana</t>
        </is>
      </c>
      <c r="C2062" s="2" t="inlineStr">
        <is>
          <t>Hyderabad</t>
        </is>
      </c>
      <c r="D2062" s="2" t="inlineStr">
        <is>
          <t>South</t>
        </is>
      </c>
    </row>
    <row r="2063">
      <c r="A2063" s="2" t="inlineStr">
        <is>
          <t>C0423</t>
        </is>
      </c>
      <c r="B2063" s="2" t="inlineStr">
        <is>
          <t>Gujarat</t>
        </is>
      </c>
      <c r="C2063" s="2" t="inlineStr">
        <is>
          <t>Ahmedabad</t>
        </is>
      </c>
      <c r="D2063" s="2" t="inlineStr">
        <is>
          <t>West</t>
        </is>
      </c>
    </row>
    <row r="2064">
      <c r="A2064" s="2" t="inlineStr">
        <is>
          <t>C0424</t>
        </is>
      </c>
      <c r="B2064" s="2" t="inlineStr">
        <is>
          <t>Tamil Nadu</t>
        </is>
      </c>
      <c r="C2064" s="2" t="inlineStr">
        <is>
          <t>Chennai</t>
        </is>
      </c>
      <c r="D2064" s="2" t="inlineStr">
        <is>
          <t>South</t>
        </is>
      </c>
    </row>
    <row r="2065">
      <c r="A2065" s="2" t="inlineStr">
        <is>
          <t>C0424</t>
        </is>
      </c>
      <c r="B2065" s="2" t="inlineStr">
        <is>
          <t>Odisha</t>
        </is>
      </c>
      <c r="C2065" s="2" t="inlineStr">
        <is>
          <t>Cuttack</t>
        </is>
      </c>
      <c r="D2065" s="2" t="inlineStr">
        <is>
          <t>East</t>
        </is>
      </c>
    </row>
    <row r="2066">
      <c r="A2066" s="2" t="inlineStr">
        <is>
          <t>C0425</t>
        </is>
      </c>
      <c r="B2066" s="2" t="inlineStr">
        <is>
          <t>Uttar Pradesh</t>
        </is>
      </c>
      <c r="C2066" s="2" t="inlineStr">
        <is>
          <t>Noida</t>
        </is>
      </c>
      <c r="D2066" s="2" t="inlineStr">
        <is>
          <t>North</t>
        </is>
      </c>
    </row>
    <row r="2067">
      <c r="A2067" s="2" t="inlineStr">
        <is>
          <t>C0425</t>
        </is>
      </c>
      <c r="B2067" s="2" t="inlineStr">
        <is>
          <t>Maharashtra</t>
        </is>
      </c>
      <c r="C2067" s="2" t="inlineStr">
        <is>
          <t>Nashik</t>
        </is>
      </c>
      <c r="D2067" s="2" t="inlineStr">
        <is>
          <t>West</t>
        </is>
      </c>
    </row>
    <row r="2068">
      <c r="A2068" s="2" t="inlineStr">
        <is>
          <t>C0425</t>
        </is>
      </c>
      <c r="B2068" s="2" t="inlineStr">
        <is>
          <t>Telangana</t>
        </is>
      </c>
      <c r="C2068" s="2" t="inlineStr">
        <is>
          <t>Warangal</t>
        </is>
      </c>
      <c r="D2068" s="2" t="inlineStr">
        <is>
          <t>South</t>
        </is>
      </c>
    </row>
    <row r="2069">
      <c r="A2069" s="2" t="inlineStr">
        <is>
          <t>C0425</t>
        </is>
      </c>
      <c r="B2069" s="2" t="inlineStr">
        <is>
          <t>Karnataka</t>
        </is>
      </c>
      <c r="C2069" s="2" t="inlineStr">
        <is>
          <t>Bengaluru</t>
        </is>
      </c>
      <c r="D2069" s="2" t="inlineStr">
        <is>
          <t>South</t>
        </is>
      </c>
    </row>
    <row r="2070">
      <c r="A2070" s="2" t="inlineStr">
        <is>
          <t>C0426</t>
        </is>
      </c>
      <c r="B2070" s="2" t="inlineStr">
        <is>
          <t>Goa</t>
        </is>
      </c>
      <c r="C2070" s="2" t="inlineStr">
        <is>
          <t>Margao</t>
        </is>
      </c>
      <c r="D2070" s="2" t="inlineStr">
        <is>
          <t>West</t>
        </is>
      </c>
    </row>
    <row r="2071">
      <c r="A2071" s="2" t="inlineStr">
        <is>
          <t>C0426</t>
        </is>
      </c>
      <c r="B2071" s="2" t="inlineStr">
        <is>
          <t>Punjab</t>
        </is>
      </c>
      <c r="C2071" s="2" t="inlineStr">
        <is>
          <t>Amritsar</t>
        </is>
      </c>
      <c r="D2071" s="2" t="inlineStr">
        <is>
          <t>North</t>
        </is>
      </c>
    </row>
    <row r="2072">
      <c r="A2072" s="2" t="inlineStr">
        <is>
          <t>C0427</t>
        </is>
      </c>
      <c r="B2072" s="2" t="inlineStr">
        <is>
          <t>Bihar</t>
        </is>
      </c>
      <c r="C2072" s="2" t="inlineStr">
        <is>
          <t>Gaya</t>
        </is>
      </c>
      <c r="D2072" s="2" t="inlineStr">
        <is>
          <t>East</t>
        </is>
      </c>
    </row>
    <row r="2073">
      <c r="A2073" s="2" t="inlineStr">
        <is>
          <t>C0427</t>
        </is>
      </c>
      <c r="B2073" s="2" t="inlineStr">
        <is>
          <t>West Bengal</t>
        </is>
      </c>
      <c r="C2073" s="2" t="inlineStr">
        <is>
          <t>Durgapur</t>
        </is>
      </c>
      <c r="D2073" s="2" t="inlineStr">
        <is>
          <t>East</t>
        </is>
      </c>
    </row>
    <row r="2074">
      <c r="A2074" s="2" t="inlineStr">
        <is>
          <t>C0427</t>
        </is>
      </c>
      <c r="B2074" s="2" t="inlineStr">
        <is>
          <t>Haryana</t>
        </is>
      </c>
      <c r="C2074" s="2" t="inlineStr">
        <is>
          <t>Gurugram</t>
        </is>
      </c>
      <c r="D2074" s="2" t="inlineStr">
        <is>
          <t>North</t>
        </is>
      </c>
    </row>
    <row r="2075">
      <c r="A2075" s="2" t="inlineStr">
        <is>
          <t>C0427</t>
        </is>
      </c>
      <c r="B2075" s="2" t="inlineStr">
        <is>
          <t>Goa</t>
        </is>
      </c>
      <c r="C2075" s="2" t="inlineStr">
        <is>
          <t>Margao</t>
        </is>
      </c>
      <c r="D2075" s="2" t="inlineStr">
        <is>
          <t>West</t>
        </is>
      </c>
    </row>
    <row r="2076">
      <c r="A2076" s="2" t="inlineStr">
        <is>
          <t>C0427</t>
        </is>
      </c>
      <c r="B2076" s="2" t="inlineStr">
        <is>
          <t>Telangana</t>
        </is>
      </c>
      <c r="C2076" s="2" t="inlineStr">
        <is>
          <t>Warangal</t>
        </is>
      </c>
      <c r="D2076" s="2" t="inlineStr">
        <is>
          <t>South</t>
        </is>
      </c>
    </row>
    <row r="2077">
      <c r="A2077" s="2" t="inlineStr">
        <is>
          <t>C0427</t>
        </is>
      </c>
      <c r="B2077" s="2" t="inlineStr">
        <is>
          <t>Odisha</t>
        </is>
      </c>
      <c r="C2077" s="2" t="inlineStr">
        <is>
          <t>Bhubaneswar</t>
        </is>
      </c>
      <c r="D2077" s="2" t="inlineStr">
        <is>
          <t>East</t>
        </is>
      </c>
    </row>
    <row r="2078">
      <c r="A2078" s="2" t="inlineStr">
        <is>
          <t>C0427</t>
        </is>
      </c>
      <c r="B2078" s="2" t="inlineStr">
        <is>
          <t>Delhi</t>
        </is>
      </c>
      <c r="C2078" s="2" t="inlineStr">
        <is>
          <t>New Delhi</t>
        </is>
      </c>
      <c r="D2078" s="2" t="inlineStr">
        <is>
          <t>North</t>
        </is>
      </c>
    </row>
    <row r="2079">
      <c r="A2079" s="2" t="inlineStr">
        <is>
          <t>C0427</t>
        </is>
      </c>
      <c r="B2079" s="2" t="inlineStr">
        <is>
          <t>Karnataka</t>
        </is>
      </c>
      <c r="C2079" s="2" t="inlineStr">
        <is>
          <t>Mangaluru</t>
        </is>
      </c>
      <c r="D2079" s="2" t="inlineStr">
        <is>
          <t>South</t>
        </is>
      </c>
    </row>
    <row r="2080">
      <c r="A2080" s="2" t="inlineStr">
        <is>
          <t>C0427</t>
        </is>
      </c>
      <c r="B2080" s="2" t="inlineStr">
        <is>
          <t>Tamil Nadu</t>
        </is>
      </c>
      <c r="C2080" s="2" t="inlineStr">
        <is>
          <t>Coimbatore</t>
        </is>
      </c>
      <c r="D2080" s="2" t="inlineStr">
        <is>
          <t>South</t>
        </is>
      </c>
    </row>
    <row r="2081">
      <c r="A2081" s="2" t="inlineStr">
        <is>
          <t>C0427</t>
        </is>
      </c>
      <c r="B2081" s="2" t="inlineStr">
        <is>
          <t>Karnataka</t>
        </is>
      </c>
      <c r="C2081" s="2" t="inlineStr">
        <is>
          <t>Mysuru</t>
        </is>
      </c>
      <c r="D2081" s="2" t="inlineStr">
        <is>
          <t>South</t>
        </is>
      </c>
    </row>
    <row r="2082">
      <c r="A2082" s="2" t="inlineStr">
        <is>
          <t>C0427</t>
        </is>
      </c>
      <c r="B2082" s="2" t="inlineStr">
        <is>
          <t>Tamil Nadu</t>
        </is>
      </c>
      <c r="C2082" s="2" t="inlineStr">
        <is>
          <t>Madurai</t>
        </is>
      </c>
      <c r="D2082" s="2" t="inlineStr">
        <is>
          <t>South</t>
        </is>
      </c>
    </row>
    <row r="2083">
      <c r="A2083" s="2" t="inlineStr">
        <is>
          <t>C0427</t>
        </is>
      </c>
      <c r="B2083" s="2" t="inlineStr">
        <is>
          <t>Kerala</t>
        </is>
      </c>
      <c r="C2083" s="2" t="inlineStr">
        <is>
          <t>Kochi</t>
        </is>
      </c>
      <c r="D2083" s="2" t="inlineStr">
        <is>
          <t>South</t>
        </is>
      </c>
    </row>
    <row r="2084">
      <c r="A2084" s="2" t="inlineStr">
        <is>
          <t>C0427</t>
        </is>
      </c>
      <c r="B2084" s="2" t="inlineStr">
        <is>
          <t>Punjab</t>
        </is>
      </c>
      <c r="C2084" s="2" t="inlineStr">
        <is>
          <t>Ludhiana</t>
        </is>
      </c>
      <c r="D2084" s="2" t="inlineStr">
        <is>
          <t>North</t>
        </is>
      </c>
    </row>
    <row r="2085">
      <c r="A2085" s="2" t="inlineStr">
        <is>
          <t>C0427</t>
        </is>
      </c>
      <c r="B2085" s="2" t="inlineStr">
        <is>
          <t>Goa</t>
        </is>
      </c>
      <c r="C2085" s="2" t="inlineStr">
        <is>
          <t>Panaji</t>
        </is>
      </c>
      <c r="D2085" s="2" t="inlineStr">
        <is>
          <t>West</t>
        </is>
      </c>
    </row>
    <row r="2086">
      <c r="A2086" s="2" t="inlineStr">
        <is>
          <t>C0427</t>
        </is>
      </c>
      <c r="B2086" s="2" t="inlineStr">
        <is>
          <t>Kerala</t>
        </is>
      </c>
      <c r="C2086" s="2" t="inlineStr">
        <is>
          <t>Thiruvananthapuram</t>
        </is>
      </c>
      <c r="D2086" s="2" t="inlineStr">
        <is>
          <t>South</t>
        </is>
      </c>
    </row>
    <row r="2087">
      <c r="A2087" s="2" t="inlineStr">
        <is>
          <t>C0428</t>
        </is>
      </c>
      <c r="B2087" s="2" t="inlineStr">
        <is>
          <t>Goa</t>
        </is>
      </c>
      <c r="C2087" s="2" t="inlineStr">
        <is>
          <t>Margao</t>
        </is>
      </c>
      <c r="D2087" s="2" t="inlineStr">
        <is>
          <t>West</t>
        </is>
      </c>
    </row>
    <row r="2088">
      <c r="A2088" s="2" t="inlineStr">
        <is>
          <t>C0428</t>
        </is>
      </c>
      <c r="B2088" s="2" t="inlineStr">
        <is>
          <t>Punjab</t>
        </is>
      </c>
      <c r="C2088" s="2" t="inlineStr">
        <is>
          <t>Amritsar</t>
        </is>
      </c>
      <c r="D2088" s="2" t="inlineStr">
        <is>
          <t>North</t>
        </is>
      </c>
    </row>
    <row r="2089">
      <c r="A2089" s="2" t="inlineStr">
        <is>
          <t>C0428</t>
        </is>
      </c>
      <c r="B2089" s="2" t="inlineStr">
        <is>
          <t>Telangana</t>
        </is>
      </c>
      <c r="C2089" s="2" t="inlineStr">
        <is>
          <t>Warangal</t>
        </is>
      </c>
      <c r="D2089" s="2" t="inlineStr">
        <is>
          <t>South</t>
        </is>
      </c>
    </row>
    <row r="2090">
      <c r="A2090" s="2" t="inlineStr">
        <is>
          <t>C0428</t>
        </is>
      </c>
      <c r="B2090" s="2" t="inlineStr">
        <is>
          <t>Telangana</t>
        </is>
      </c>
      <c r="C2090" s="2" t="inlineStr">
        <is>
          <t>Hyderabad</t>
        </is>
      </c>
      <c r="D2090" s="2" t="inlineStr">
        <is>
          <t>South</t>
        </is>
      </c>
    </row>
    <row r="2091">
      <c r="A2091" s="2" t="inlineStr">
        <is>
          <t>C0428</t>
        </is>
      </c>
      <c r="B2091" s="2" t="inlineStr">
        <is>
          <t>Tamil Nadu</t>
        </is>
      </c>
      <c r="C2091" s="2" t="inlineStr">
        <is>
          <t>Madurai</t>
        </is>
      </c>
      <c r="D2091" s="2" t="inlineStr">
        <is>
          <t>South</t>
        </is>
      </c>
    </row>
    <row r="2092">
      <c r="A2092" s="2" t="inlineStr">
        <is>
          <t>C0428</t>
        </is>
      </c>
      <c r="B2092" s="2" t="inlineStr">
        <is>
          <t>West Bengal</t>
        </is>
      </c>
      <c r="C2092" s="2" t="inlineStr">
        <is>
          <t>Durgapur</t>
        </is>
      </c>
      <c r="D2092" s="2" t="inlineStr">
        <is>
          <t>East</t>
        </is>
      </c>
    </row>
    <row r="2093">
      <c r="A2093" s="2" t="inlineStr">
        <is>
          <t>C0428</t>
        </is>
      </c>
      <c r="B2093" s="2" t="inlineStr">
        <is>
          <t>Odisha</t>
        </is>
      </c>
      <c r="C2093" s="2" t="inlineStr">
        <is>
          <t>Bhubaneswar</t>
        </is>
      </c>
      <c r="D2093" s="2" t="inlineStr">
        <is>
          <t>East</t>
        </is>
      </c>
    </row>
    <row r="2094">
      <c r="A2094" s="2" t="inlineStr">
        <is>
          <t>C0428</t>
        </is>
      </c>
      <c r="B2094" s="2" t="inlineStr">
        <is>
          <t>Tamil Nadu</t>
        </is>
      </c>
      <c r="C2094" s="2" t="inlineStr">
        <is>
          <t>Coimbatore</t>
        </is>
      </c>
      <c r="D2094" s="2" t="inlineStr">
        <is>
          <t>South</t>
        </is>
      </c>
    </row>
    <row r="2095">
      <c r="A2095" s="2" t="inlineStr">
        <is>
          <t>C0428</t>
        </is>
      </c>
      <c r="B2095" s="2" t="inlineStr">
        <is>
          <t>Gujarat</t>
        </is>
      </c>
      <c r="C2095" s="2" t="inlineStr">
        <is>
          <t>Surat</t>
        </is>
      </c>
      <c r="D2095" s="2" t="inlineStr">
        <is>
          <t>West</t>
        </is>
      </c>
    </row>
    <row r="2096">
      <c r="A2096" s="2" t="inlineStr">
        <is>
          <t>C0428</t>
        </is>
      </c>
      <c r="B2096" s="2" t="inlineStr">
        <is>
          <t>Gujarat</t>
        </is>
      </c>
      <c r="C2096" s="2" t="inlineStr">
        <is>
          <t>Ahmedabad</t>
        </is>
      </c>
      <c r="D2096" s="2" t="inlineStr">
        <is>
          <t>West</t>
        </is>
      </c>
    </row>
    <row r="2097">
      <c r="A2097" s="2" t="inlineStr">
        <is>
          <t>C0428</t>
        </is>
      </c>
      <c r="B2097" s="2" t="inlineStr">
        <is>
          <t>Karnataka</t>
        </is>
      </c>
      <c r="C2097" s="2" t="inlineStr">
        <is>
          <t>Bengaluru</t>
        </is>
      </c>
      <c r="D2097" s="2" t="inlineStr">
        <is>
          <t>South</t>
        </is>
      </c>
    </row>
    <row r="2098">
      <c r="A2098" s="2" t="inlineStr">
        <is>
          <t>C0429</t>
        </is>
      </c>
      <c r="B2098" s="2" t="inlineStr">
        <is>
          <t>Tamil Nadu</t>
        </is>
      </c>
      <c r="C2098" s="2" t="inlineStr">
        <is>
          <t>Madurai</t>
        </is>
      </c>
      <c r="D2098" s="2" t="inlineStr">
        <is>
          <t>South</t>
        </is>
      </c>
    </row>
    <row r="2099">
      <c r="A2099" s="2" t="inlineStr">
        <is>
          <t>C0429</t>
        </is>
      </c>
      <c r="B2099" s="2" t="inlineStr">
        <is>
          <t>Delhi</t>
        </is>
      </c>
      <c r="C2099" s="2" t="inlineStr">
        <is>
          <t>New Delhi</t>
        </is>
      </c>
      <c r="D2099" s="2" t="inlineStr">
        <is>
          <t>North</t>
        </is>
      </c>
    </row>
    <row r="2100">
      <c r="A2100" s="2" t="inlineStr">
        <is>
          <t>C0429</t>
        </is>
      </c>
      <c r="B2100" s="2" t="inlineStr">
        <is>
          <t>Haryana</t>
        </is>
      </c>
      <c r="C2100" s="2" t="inlineStr">
        <is>
          <t>Faridabad</t>
        </is>
      </c>
      <c r="D2100" s="2" t="inlineStr">
        <is>
          <t>North</t>
        </is>
      </c>
    </row>
    <row r="2101">
      <c r="A2101" s="2" t="inlineStr">
        <is>
          <t>C0430</t>
        </is>
      </c>
      <c r="B2101" s="2" t="inlineStr">
        <is>
          <t>Tamil Nadu</t>
        </is>
      </c>
      <c r="C2101" s="2" t="inlineStr">
        <is>
          <t>Chennai</t>
        </is>
      </c>
      <c r="D2101" s="2" t="inlineStr">
        <is>
          <t>South</t>
        </is>
      </c>
    </row>
    <row r="2102">
      <c r="A2102" s="2" t="inlineStr">
        <is>
          <t>C0430</t>
        </is>
      </c>
      <c r="B2102" s="2" t="inlineStr">
        <is>
          <t>Telangana</t>
        </is>
      </c>
      <c r="C2102" s="2" t="inlineStr">
        <is>
          <t>Warangal</t>
        </is>
      </c>
      <c r="D2102" s="2" t="inlineStr">
        <is>
          <t>South</t>
        </is>
      </c>
    </row>
    <row r="2103">
      <c r="A2103" s="2" t="inlineStr">
        <is>
          <t>C0430</t>
        </is>
      </c>
      <c r="B2103" s="2" t="inlineStr">
        <is>
          <t>Gujarat</t>
        </is>
      </c>
      <c r="C2103" s="2" t="inlineStr">
        <is>
          <t>Ahmedabad</t>
        </is>
      </c>
      <c r="D2103" s="2" t="inlineStr">
        <is>
          <t>West</t>
        </is>
      </c>
    </row>
    <row r="2104">
      <c r="A2104" s="2" t="inlineStr">
        <is>
          <t>C0430</t>
        </is>
      </c>
      <c r="B2104" s="2" t="inlineStr">
        <is>
          <t>Uttar Pradesh</t>
        </is>
      </c>
      <c r="C2104" s="2" t="inlineStr">
        <is>
          <t>Varanasi</t>
        </is>
      </c>
      <c r="D2104" s="2" t="inlineStr">
        <is>
          <t>North</t>
        </is>
      </c>
    </row>
    <row r="2105">
      <c r="A2105" s="2" t="inlineStr">
        <is>
          <t>C0430</t>
        </is>
      </c>
      <c r="B2105" s="2" t="inlineStr">
        <is>
          <t>Uttar Pradesh</t>
        </is>
      </c>
      <c r="C2105" s="2" t="inlineStr">
        <is>
          <t>Kanpur</t>
        </is>
      </c>
      <c r="D2105" s="2" t="inlineStr">
        <is>
          <t>North</t>
        </is>
      </c>
    </row>
    <row r="2106">
      <c r="A2106" s="2" t="inlineStr">
        <is>
          <t>C0430</t>
        </is>
      </c>
      <c r="B2106" s="2" t="inlineStr">
        <is>
          <t>Goa</t>
        </is>
      </c>
      <c r="C2106" s="2" t="inlineStr">
        <is>
          <t>Panaji</t>
        </is>
      </c>
      <c r="D2106" s="2" t="inlineStr">
        <is>
          <t>West</t>
        </is>
      </c>
    </row>
    <row r="2107">
      <c r="A2107" s="2" t="inlineStr">
        <is>
          <t>C0430</t>
        </is>
      </c>
      <c r="B2107" s="2" t="inlineStr">
        <is>
          <t>Karnataka</t>
        </is>
      </c>
      <c r="C2107" s="2" t="inlineStr">
        <is>
          <t>Mysuru</t>
        </is>
      </c>
      <c r="D2107" s="2" t="inlineStr">
        <is>
          <t>South</t>
        </is>
      </c>
    </row>
    <row r="2108">
      <c r="A2108" s="2" t="inlineStr">
        <is>
          <t>C0430</t>
        </is>
      </c>
      <c r="B2108" s="2" t="inlineStr">
        <is>
          <t>West Bengal</t>
        </is>
      </c>
      <c r="C2108" s="2" t="inlineStr">
        <is>
          <t>Durgapur</t>
        </is>
      </c>
      <c r="D2108" s="2" t="inlineStr">
        <is>
          <t>East</t>
        </is>
      </c>
    </row>
    <row r="2109">
      <c r="A2109" s="2" t="inlineStr">
        <is>
          <t>C0430</t>
        </is>
      </c>
      <c r="B2109" s="2" t="inlineStr">
        <is>
          <t>Maharashtra</t>
        </is>
      </c>
      <c r="C2109" s="2" t="inlineStr">
        <is>
          <t>Thane</t>
        </is>
      </c>
      <c r="D2109" s="2" t="inlineStr">
        <is>
          <t>West</t>
        </is>
      </c>
    </row>
    <row r="2110">
      <c r="A2110" s="2" t="inlineStr">
        <is>
          <t>C0430</t>
        </is>
      </c>
      <c r="B2110" s="2" t="inlineStr">
        <is>
          <t>Punjab</t>
        </is>
      </c>
      <c r="C2110" s="2" t="inlineStr">
        <is>
          <t>Amritsar</t>
        </is>
      </c>
      <c r="D2110" s="2" t="inlineStr">
        <is>
          <t>North</t>
        </is>
      </c>
    </row>
    <row r="2111">
      <c r="A2111" s="2" t="inlineStr">
        <is>
          <t>C0430</t>
        </is>
      </c>
      <c r="B2111" s="2" t="inlineStr">
        <is>
          <t>Gujarat</t>
        </is>
      </c>
      <c r="C2111" s="2" t="inlineStr">
        <is>
          <t>Surat</t>
        </is>
      </c>
      <c r="D2111" s="2" t="inlineStr">
        <is>
          <t>West</t>
        </is>
      </c>
    </row>
    <row r="2112">
      <c r="A2112" s="2" t="inlineStr">
        <is>
          <t>C0430</t>
        </is>
      </c>
      <c r="B2112" s="2" t="inlineStr">
        <is>
          <t>West Bengal</t>
        </is>
      </c>
      <c r="C2112" s="2" t="inlineStr">
        <is>
          <t>Kolkata</t>
        </is>
      </c>
      <c r="D2112" s="2" t="inlineStr">
        <is>
          <t>East</t>
        </is>
      </c>
    </row>
    <row r="2113">
      <c r="A2113" s="2" t="inlineStr">
        <is>
          <t>C0430</t>
        </is>
      </c>
      <c r="B2113" s="2" t="inlineStr">
        <is>
          <t>Tamil Nadu</t>
        </is>
      </c>
      <c r="C2113" s="2" t="inlineStr">
        <is>
          <t>Coimbatore</t>
        </is>
      </c>
      <c r="D2113" s="2" t="inlineStr">
        <is>
          <t>South</t>
        </is>
      </c>
    </row>
    <row r="2114">
      <c r="A2114" s="2" t="inlineStr">
        <is>
          <t>C0431</t>
        </is>
      </c>
      <c r="B2114" s="2" t="inlineStr">
        <is>
          <t>Gujarat</t>
        </is>
      </c>
      <c r="C2114" s="2" t="inlineStr">
        <is>
          <t>Vadodara</t>
        </is>
      </c>
      <c r="D2114" s="2" t="inlineStr">
        <is>
          <t>West</t>
        </is>
      </c>
    </row>
    <row r="2115">
      <c r="A2115" s="2" t="inlineStr">
        <is>
          <t>C0432</t>
        </is>
      </c>
      <c r="B2115" s="2" t="inlineStr">
        <is>
          <t>Maharashtra</t>
        </is>
      </c>
      <c r="C2115" s="2" t="inlineStr">
        <is>
          <t>Thane</t>
        </is>
      </c>
      <c r="D2115" s="2" t="inlineStr">
        <is>
          <t>West</t>
        </is>
      </c>
    </row>
    <row r="2116">
      <c r="A2116" s="2" t="inlineStr">
        <is>
          <t>C0432</t>
        </is>
      </c>
      <c r="B2116" s="2" t="inlineStr">
        <is>
          <t>Tamil Nadu</t>
        </is>
      </c>
      <c r="C2116" s="2" t="inlineStr">
        <is>
          <t>Chennai</t>
        </is>
      </c>
      <c r="D2116" s="2" t="inlineStr">
        <is>
          <t>South</t>
        </is>
      </c>
    </row>
    <row r="2117">
      <c r="A2117" s="2" t="inlineStr">
        <is>
          <t>C0432</t>
        </is>
      </c>
      <c r="B2117" s="2" t="inlineStr">
        <is>
          <t>West Bengal</t>
        </is>
      </c>
      <c r="C2117" s="2" t="inlineStr">
        <is>
          <t>Durgapur</t>
        </is>
      </c>
      <c r="D2117" s="2" t="inlineStr">
        <is>
          <t>East</t>
        </is>
      </c>
    </row>
    <row r="2118">
      <c r="A2118" s="2" t="inlineStr">
        <is>
          <t>C0432</t>
        </is>
      </c>
      <c r="B2118" s="2" t="inlineStr">
        <is>
          <t>Odisha</t>
        </is>
      </c>
      <c r="C2118" s="2" t="inlineStr">
        <is>
          <t>Cuttack</t>
        </is>
      </c>
      <c r="D2118" s="2" t="inlineStr">
        <is>
          <t>East</t>
        </is>
      </c>
    </row>
    <row r="2119">
      <c r="A2119" s="2" t="inlineStr">
        <is>
          <t>C0432</t>
        </is>
      </c>
      <c r="B2119" s="2" t="inlineStr">
        <is>
          <t>Punjab</t>
        </is>
      </c>
      <c r="C2119" s="2" t="inlineStr">
        <is>
          <t>Jalandhar</t>
        </is>
      </c>
      <c r="D2119" s="2" t="inlineStr">
        <is>
          <t>North</t>
        </is>
      </c>
    </row>
    <row r="2120">
      <c r="A2120" s="2" t="inlineStr">
        <is>
          <t>C0432</t>
        </is>
      </c>
      <c r="B2120" s="2" t="inlineStr">
        <is>
          <t>Goa</t>
        </is>
      </c>
      <c r="C2120" s="2" t="inlineStr">
        <is>
          <t>Panaji</t>
        </is>
      </c>
      <c r="D2120" s="2" t="inlineStr">
        <is>
          <t>West</t>
        </is>
      </c>
    </row>
    <row r="2121">
      <c r="A2121" s="2" t="inlineStr">
        <is>
          <t>C0433</t>
        </is>
      </c>
      <c r="B2121" s="2" t="inlineStr">
        <is>
          <t>Gujarat</t>
        </is>
      </c>
      <c r="C2121" s="2" t="inlineStr">
        <is>
          <t>Ahmedabad</t>
        </is>
      </c>
      <c r="D2121" s="2" t="inlineStr">
        <is>
          <t>West</t>
        </is>
      </c>
    </row>
    <row r="2122">
      <c r="A2122" s="2" t="inlineStr">
        <is>
          <t>C0433</t>
        </is>
      </c>
      <c r="B2122" s="2" t="inlineStr">
        <is>
          <t>Punjab</t>
        </is>
      </c>
      <c r="C2122" s="2" t="inlineStr">
        <is>
          <t>Ludhiana</t>
        </is>
      </c>
      <c r="D2122" s="2" t="inlineStr">
        <is>
          <t>North</t>
        </is>
      </c>
    </row>
    <row r="2123">
      <c r="A2123" s="2" t="inlineStr">
        <is>
          <t>C0434</t>
        </is>
      </c>
      <c r="B2123" s="2" t="inlineStr">
        <is>
          <t>Uttar Pradesh</t>
        </is>
      </c>
      <c r="C2123" s="2" t="inlineStr">
        <is>
          <t>Varanasi</t>
        </is>
      </c>
      <c r="D2123" s="2" t="inlineStr">
        <is>
          <t>North</t>
        </is>
      </c>
    </row>
    <row r="2124">
      <c r="A2124" s="2" t="inlineStr">
        <is>
          <t>C0434</t>
        </is>
      </c>
      <c r="B2124" s="2" t="inlineStr">
        <is>
          <t>Gujarat</t>
        </is>
      </c>
      <c r="C2124" s="2" t="inlineStr">
        <is>
          <t>Ahmedabad</t>
        </is>
      </c>
      <c r="D2124" s="2" t="inlineStr">
        <is>
          <t>West</t>
        </is>
      </c>
    </row>
    <row r="2125">
      <c r="A2125" s="2" t="inlineStr">
        <is>
          <t>C0434</t>
        </is>
      </c>
      <c r="B2125" s="2" t="inlineStr">
        <is>
          <t>Punjab</t>
        </is>
      </c>
      <c r="C2125" s="2" t="inlineStr">
        <is>
          <t>Amritsar</t>
        </is>
      </c>
      <c r="D2125" s="2" t="inlineStr">
        <is>
          <t>North</t>
        </is>
      </c>
    </row>
    <row r="2126">
      <c r="A2126" s="2" t="inlineStr">
        <is>
          <t>C0434</t>
        </is>
      </c>
      <c r="B2126" s="2" t="inlineStr">
        <is>
          <t>Maharashtra</t>
        </is>
      </c>
      <c r="C2126" s="2" t="inlineStr">
        <is>
          <t>Mumbai</t>
        </is>
      </c>
      <c r="D2126" s="2" t="inlineStr">
        <is>
          <t>West</t>
        </is>
      </c>
    </row>
    <row r="2127">
      <c r="A2127" s="2" t="inlineStr">
        <is>
          <t>C0434</t>
        </is>
      </c>
      <c r="B2127" s="2" t="inlineStr">
        <is>
          <t>Telangana</t>
        </is>
      </c>
      <c r="C2127" s="2" t="inlineStr">
        <is>
          <t>Warangal</t>
        </is>
      </c>
      <c r="D2127" s="2" t="inlineStr">
        <is>
          <t>South</t>
        </is>
      </c>
    </row>
    <row r="2128">
      <c r="A2128" s="2" t="inlineStr">
        <is>
          <t>C0434</t>
        </is>
      </c>
      <c r="B2128" s="2" t="inlineStr">
        <is>
          <t>Gujarat</t>
        </is>
      </c>
      <c r="C2128" s="2" t="inlineStr">
        <is>
          <t>Surat</t>
        </is>
      </c>
      <c r="D2128" s="2" t="inlineStr">
        <is>
          <t>West</t>
        </is>
      </c>
    </row>
    <row r="2129">
      <c r="A2129" s="2" t="inlineStr">
        <is>
          <t>C0434</t>
        </is>
      </c>
      <c r="B2129" s="2" t="inlineStr">
        <is>
          <t>Delhi</t>
        </is>
      </c>
      <c r="C2129" s="2" t="inlineStr">
        <is>
          <t>New Delhi</t>
        </is>
      </c>
      <c r="D2129" s="2" t="inlineStr">
        <is>
          <t>North</t>
        </is>
      </c>
    </row>
    <row r="2130">
      <c r="A2130" s="2" t="inlineStr">
        <is>
          <t>C0434</t>
        </is>
      </c>
      <c r="B2130" s="2" t="inlineStr">
        <is>
          <t>Tamil Nadu</t>
        </is>
      </c>
      <c r="C2130" s="2" t="inlineStr">
        <is>
          <t>Madurai</t>
        </is>
      </c>
      <c r="D2130" s="2" t="inlineStr">
        <is>
          <t>South</t>
        </is>
      </c>
    </row>
    <row r="2131">
      <c r="A2131" s="2" t="inlineStr">
        <is>
          <t>C0434</t>
        </is>
      </c>
      <c r="B2131" s="2" t="inlineStr">
        <is>
          <t>Tamil Nadu</t>
        </is>
      </c>
      <c r="C2131" s="2" t="inlineStr">
        <is>
          <t>Coimbatore</t>
        </is>
      </c>
      <c r="D2131" s="2" t="inlineStr">
        <is>
          <t>South</t>
        </is>
      </c>
    </row>
    <row r="2132">
      <c r="A2132" s="2" t="inlineStr">
        <is>
          <t>C0434</t>
        </is>
      </c>
      <c r="B2132" s="2" t="inlineStr">
        <is>
          <t>Goa</t>
        </is>
      </c>
      <c r="C2132" s="2" t="inlineStr">
        <is>
          <t>Margao</t>
        </is>
      </c>
      <c r="D2132" s="2" t="inlineStr">
        <is>
          <t>West</t>
        </is>
      </c>
    </row>
    <row r="2133">
      <c r="A2133" s="2" t="inlineStr">
        <is>
          <t>C0434</t>
        </is>
      </c>
      <c r="B2133" s="2" t="inlineStr">
        <is>
          <t>Bihar</t>
        </is>
      </c>
      <c r="C2133" s="2" t="inlineStr">
        <is>
          <t>Gaya</t>
        </is>
      </c>
      <c r="D2133" s="2" t="inlineStr">
        <is>
          <t>East</t>
        </is>
      </c>
    </row>
    <row r="2134">
      <c r="A2134" s="2" t="inlineStr">
        <is>
          <t>C0434</t>
        </is>
      </c>
      <c r="B2134" s="2" t="inlineStr">
        <is>
          <t>Uttar Pradesh</t>
        </is>
      </c>
      <c r="C2134" s="2" t="inlineStr">
        <is>
          <t>Kanpur</t>
        </is>
      </c>
      <c r="D2134" s="2" t="inlineStr">
        <is>
          <t>North</t>
        </is>
      </c>
    </row>
    <row r="2135">
      <c r="A2135" s="2" t="inlineStr">
        <is>
          <t>C0435</t>
        </is>
      </c>
      <c r="B2135" s="2" t="inlineStr">
        <is>
          <t>West Bengal</t>
        </is>
      </c>
      <c r="C2135" s="2" t="inlineStr">
        <is>
          <t>Kolkata</t>
        </is>
      </c>
      <c r="D2135" s="2" t="inlineStr">
        <is>
          <t>East</t>
        </is>
      </c>
    </row>
    <row r="2136">
      <c r="A2136" s="2" t="inlineStr">
        <is>
          <t>C0435</t>
        </is>
      </c>
      <c r="B2136" s="2" t="inlineStr">
        <is>
          <t>Kerala</t>
        </is>
      </c>
      <c r="C2136" s="2" t="inlineStr">
        <is>
          <t>Thiruvananthapuram</t>
        </is>
      </c>
      <c r="D2136" s="2" t="inlineStr">
        <is>
          <t>South</t>
        </is>
      </c>
    </row>
    <row r="2137">
      <c r="A2137" s="2" t="inlineStr">
        <is>
          <t>C0435</t>
        </is>
      </c>
      <c r="B2137" s="2" t="inlineStr">
        <is>
          <t>Karnataka</t>
        </is>
      </c>
      <c r="C2137" s="2" t="inlineStr">
        <is>
          <t>Bengaluru</t>
        </is>
      </c>
      <c r="D2137" s="2" t="inlineStr">
        <is>
          <t>South</t>
        </is>
      </c>
    </row>
    <row r="2138">
      <c r="A2138" s="2" t="inlineStr">
        <is>
          <t>C0436</t>
        </is>
      </c>
      <c r="B2138" s="2" t="inlineStr">
        <is>
          <t>Tamil Nadu</t>
        </is>
      </c>
      <c r="C2138" s="2" t="inlineStr">
        <is>
          <t>Coimbatore</t>
        </is>
      </c>
      <c r="D2138" s="2" t="inlineStr">
        <is>
          <t>South</t>
        </is>
      </c>
    </row>
    <row r="2139">
      <c r="A2139" s="2" t="inlineStr">
        <is>
          <t>C0436</t>
        </is>
      </c>
      <c r="B2139" s="2" t="inlineStr">
        <is>
          <t>Gujarat</t>
        </is>
      </c>
      <c r="C2139" s="2" t="inlineStr">
        <is>
          <t>Vadodara</t>
        </is>
      </c>
      <c r="D2139" s="2" t="inlineStr">
        <is>
          <t>West</t>
        </is>
      </c>
    </row>
    <row r="2140">
      <c r="A2140" s="2" t="inlineStr">
        <is>
          <t>C0436</t>
        </is>
      </c>
      <c r="B2140" s="2" t="inlineStr">
        <is>
          <t>Telangana</t>
        </is>
      </c>
      <c r="C2140" s="2" t="inlineStr">
        <is>
          <t>Hyderabad</t>
        </is>
      </c>
      <c r="D2140" s="2" t="inlineStr">
        <is>
          <t>South</t>
        </is>
      </c>
    </row>
    <row r="2141">
      <c r="A2141" s="2" t="inlineStr">
        <is>
          <t>C0436</t>
        </is>
      </c>
      <c r="B2141" s="2" t="inlineStr">
        <is>
          <t>Bihar</t>
        </is>
      </c>
      <c r="C2141" s="2" t="inlineStr">
        <is>
          <t>Patna</t>
        </is>
      </c>
      <c r="D2141" s="2" t="inlineStr">
        <is>
          <t>East</t>
        </is>
      </c>
    </row>
    <row r="2142">
      <c r="A2142" s="2" t="inlineStr">
        <is>
          <t>C0437</t>
        </is>
      </c>
      <c r="B2142" s="2" t="inlineStr">
        <is>
          <t>Goa</t>
        </is>
      </c>
      <c r="C2142" s="2" t="inlineStr">
        <is>
          <t>Panaji</t>
        </is>
      </c>
      <c r="D2142" s="2" t="inlineStr">
        <is>
          <t>West</t>
        </is>
      </c>
    </row>
    <row r="2143">
      <c r="A2143" s="2" t="inlineStr">
        <is>
          <t>C0437</t>
        </is>
      </c>
      <c r="B2143" s="2" t="inlineStr">
        <is>
          <t>Gujarat</t>
        </is>
      </c>
      <c r="C2143" s="2" t="inlineStr">
        <is>
          <t>Vadodara</t>
        </is>
      </c>
      <c r="D2143" s="2" t="inlineStr">
        <is>
          <t>West</t>
        </is>
      </c>
    </row>
    <row r="2144">
      <c r="A2144" s="2" t="inlineStr">
        <is>
          <t>C0437</t>
        </is>
      </c>
      <c r="B2144" s="2" t="inlineStr">
        <is>
          <t>Haryana</t>
        </is>
      </c>
      <c r="C2144" s="2" t="inlineStr">
        <is>
          <t>Gurugram</t>
        </is>
      </c>
      <c r="D2144" s="2" t="inlineStr">
        <is>
          <t>North</t>
        </is>
      </c>
    </row>
    <row r="2145">
      <c r="A2145" s="2" t="inlineStr">
        <is>
          <t>C0437</t>
        </is>
      </c>
      <c r="B2145" s="2" t="inlineStr">
        <is>
          <t>Kerala</t>
        </is>
      </c>
      <c r="C2145" s="2" t="inlineStr">
        <is>
          <t>Kochi</t>
        </is>
      </c>
      <c r="D2145" s="2" t="inlineStr">
        <is>
          <t>South</t>
        </is>
      </c>
    </row>
    <row r="2146">
      <c r="A2146" s="2" t="inlineStr">
        <is>
          <t>C0437</t>
        </is>
      </c>
      <c r="B2146" s="2" t="inlineStr">
        <is>
          <t>Karnataka</t>
        </is>
      </c>
      <c r="C2146" s="2" t="inlineStr">
        <is>
          <t>Mysuru</t>
        </is>
      </c>
      <c r="D2146" s="2" t="inlineStr">
        <is>
          <t>South</t>
        </is>
      </c>
    </row>
    <row r="2147">
      <c r="A2147" s="2" t="inlineStr">
        <is>
          <t>C0437</t>
        </is>
      </c>
      <c r="B2147" s="2" t="inlineStr">
        <is>
          <t>Delhi</t>
        </is>
      </c>
      <c r="C2147" s="2" t="inlineStr">
        <is>
          <t>New Delhi</t>
        </is>
      </c>
      <c r="D2147" s="2" t="inlineStr">
        <is>
          <t>North</t>
        </is>
      </c>
    </row>
    <row r="2148">
      <c r="A2148" s="2" t="inlineStr">
        <is>
          <t>C0438</t>
        </is>
      </c>
      <c r="B2148" s="2" t="inlineStr">
        <is>
          <t>Gujarat</t>
        </is>
      </c>
      <c r="C2148" s="2" t="inlineStr">
        <is>
          <t>Vadodara</t>
        </is>
      </c>
      <c r="D2148" s="2" t="inlineStr">
        <is>
          <t>West</t>
        </is>
      </c>
    </row>
    <row r="2149">
      <c r="A2149" s="2" t="inlineStr">
        <is>
          <t>C0438</t>
        </is>
      </c>
      <c r="B2149" s="2" t="inlineStr">
        <is>
          <t>Punjab</t>
        </is>
      </c>
      <c r="C2149" s="2" t="inlineStr">
        <is>
          <t>Ludhiana</t>
        </is>
      </c>
      <c r="D2149" s="2" t="inlineStr">
        <is>
          <t>North</t>
        </is>
      </c>
    </row>
    <row r="2150">
      <c r="A2150" s="2" t="inlineStr">
        <is>
          <t>C0438</t>
        </is>
      </c>
      <c r="B2150" s="2" t="inlineStr">
        <is>
          <t>Karnataka</t>
        </is>
      </c>
      <c r="C2150" s="2" t="inlineStr">
        <is>
          <t>Mangaluru</t>
        </is>
      </c>
      <c r="D2150" s="2" t="inlineStr">
        <is>
          <t>South</t>
        </is>
      </c>
    </row>
    <row r="2151">
      <c r="A2151" s="2" t="inlineStr">
        <is>
          <t>C0438</t>
        </is>
      </c>
      <c r="B2151" s="2" t="inlineStr">
        <is>
          <t>Delhi</t>
        </is>
      </c>
      <c r="C2151" s="2" t="inlineStr">
        <is>
          <t>New Delhi</t>
        </is>
      </c>
      <c r="D2151" s="2" t="inlineStr">
        <is>
          <t>North</t>
        </is>
      </c>
    </row>
    <row r="2152">
      <c r="A2152" s="2" t="inlineStr">
        <is>
          <t>C0438</t>
        </is>
      </c>
      <c r="B2152" s="2" t="inlineStr">
        <is>
          <t>Uttar Pradesh</t>
        </is>
      </c>
      <c r="C2152" s="2" t="inlineStr">
        <is>
          <t>Noida</t>
        </is>
      </c>
      <c r="D2152" s="2" t="inlineStr">
        <is>
          <t>North</t>
        </is>
      </c>
    </row>
    <row r="2153">
      <c r="A2153" s="2" t="inlineStr">
        <is>
          <t>C0438</t>
        </is>
      </c>
      <c r="B2153" s="2" t="inlineStr">
        <is>
          <t>West Bengal</t>
        </is>
      </c>
      <c r="C2153" s="2" t="inlineStr">
        <is>
          <t>Durgapur</t>
        </is>
      </c>
      <c r="D2153" s="2" t="inlineStr">
        <is>
          <t>East</t>
        </is>
      </c>
    </row>
    <row r="2154">
      <c r="A2154" s="2" t="inlineStr">
        <is>
          <t>C0438</t>
        </is>
      </c>
      <c r="B2154" s="2" t="inlineStr">
        <is>
          <t>Maharashtra</t>
        </is>
      </c>
      <c r="C2154" s="2" t="inlineStr">
        <is>
          <t>Pune</t>
        </is>
      </c>
      <c r="D2154" s="2" t="inlineStr">
        <is>
          <t>West</t>
        </is>
      </c>
    </row>
    <row r="2155">
      <c r="A2155" s="2" t="inlineStr">
        <is>
          <t>C0438</t>
        </is>
      </c>
      <c r="B2155" s="2" t="inlineStr">
        <is>
          <t>Gujarat</t>
        </is>
      </c>
      <c r="C2155" s="2" t="inlineStr">
        <is>
          <t>Surat</t>
        </is>
      </c>
      <c r="D2155" s="2" t="inlineStr">
        <is>
          <t>West</t>
        </is>
      </c>
    </row>
    <row r="2156">
      <c r="A2156" s="2" t="inlineStr">
        <is>
          <t>C0439</t>
        </is>
      </c>
      <c r="B2156" s="2" t="inlineStr">
        <is>
          <t>West Bengal</t>
        </is>
      </c>
      <c r="C2156" s="2" t="inlineStr">
        <is>
          <t>Durgapur</t>
        </is>
      </c>
      <c r="D2156" s="2" t="inlineStr">
        <is>
          <t>East</t>
        </is>
      </c>
    </row>
    <row r="2157">
      <c r="A2157" s="2" t="inlineStr">
        <is>
          <t>C0439</t>
        </is>
      </c>
      <c r="B2157" s="2" t="inlineStr">
        <is>
          <t>Karnataka</t>
        </is>
      </c>
      <c r="C2157" s="2" t="inlineStr">
        <is>
          <t>Bengaluru</t>
        </is>
      </c>
      <c r="D2157" s="2" t="inlineStr">
        <is>
          <t>South</t>
        </is>
      </c>
    </row>
    <row r="2158">
      <c r="A2158" s="2" t="inlineStr">
        <is>
          <t>C0439</t>
        </is>
      </c>
      <c r="B2158" s="2" t="inlineStr">
        <is>
          <t>Gujarat</t>
        </is>
      </c>
      <c r="C2158" s="2" t="inlineStr">
        <is>
          <t>Ahmedabad</t>
        </is>
      </c>
      <c r="D2158" s="2" t="inlineStr">
        <is>
          <t>West</t>
        </is>
      </c>
    </row>
    <row r="2159">
      <c r="A2159" s="2" t="inlineStr">
        <is>
          <t>C0439</t>
        </is>
      </c>
      <c r="B2159" s="2" t="inlineStr">
        <is>
          <t>Kerala</t>
        </is>
      </c>
      <c r="C2159" s="2" t="inlineStr">
        <is>
          <t>Kochi</t>
        </is>
      </c>
      <c r="D2159" s="2" t="inlineStr">
        <is>
          <t>South</t>
        </is>
      </c>
    </row>
    <row r="2160">
      <c r="A2160" s="2" t="inlineStr">
        <is>
          <t>C0439</t>
        </is>
      </c>
      <c r="B2160" s="2" t="inlineStr">
        <is>
          <t>Tamil Nadu</t>
        </is>
      </c>
      <c r="C2160" s="2" t="inlineStr">
        <is>
          <t>Madurai</t>
        </is>
      </c>
      <c r="D2160" s="2" t="inlineStr">
        <is>
          <t>South</t>
        </is>
      </c>
    </row>
    <row r="2161">
      <c r="A2161" s="2" t="inlineStr">
        <is>
          <t>C0439</t>
        </is>
      </c>
      <c r="B2161" s="2" t="inlineStr">
        <is>
          <t>Punjab</t>
        </is>
      </c>
      <c r="C2161" s="2" t="inlineStr">
        <is>
          <t>Jalandhar</t>
        </is>
      </c>
      <c r="D2161" s="2" t="inlineStr">
        <is>
          <t>North</t>
        </is>
      </c>
    </row>
    <row r="2162">
      <c r="A2162" s="2" t="inlineStr">
        <is>
          <t>C0439</t>
        </is>
      </c>
      <c r="B2162" s="2" t="inlineStr">
        <is>
          <t>Odisha</t>
        </is>
      </c>
      <c r="C2162" s="2" t="inlineStr">
        <is>
          <t>Cuttack</t>
        </is>
      </c>
      <c r="D2162" s="2" t="inlineStr">
        <is>
          <t>East</t>
        </is>
      </c>
    </row>
    <row r="2163">
      <c r="A2163" s="2" t="inlineStr">
        <is>
          <t>C0439</t>
        </is>
      </c>
      <c r="B2163" s="2" t="inlineStr">
        <is>
          <t>Maharashtra</t>
        </is>
      </c>
      <c r="C2163" s="2" t="inlineStr">
        <is>
          <t>Mumbai</t>
        </is>
      </c>
      <c r="D2163" s="2" t="inlineStr">
        <is>
          <t>West</t>
        </is>
      </c>
    </row>
    <row r="2164">
      <c r="A2164" s="2" t="inlineStr">
        <is>
          <t>C0439</t>
        </is>
      </c>
      <c r="B2164" s="2" t="inlineStr">
        <is>
          <t>Gujarat</t>
        </is>
      </c>
      <c r="C2164" s="2" t="inlineStr">
        <is>
          <t>Surat</t>
        </is>
      </c>
      <c r="D2164" s="2" t="inlineStr">
        <is>
          <t>West</t>
        </is>
      </c>
    </row>
    <row r="2165">
      <c r="A2165" s="2" t="inlineStr">
        <is>
          <t>C0439</t>
        </is>
      </c>
      <c r="B2165" s="2" t="inlineStr">
        <is>
          <t>Goa</t>
        </is>
      </c>
      <c r="C2165" s="2" t="inlineStr">
        <is>
          <t>Margao</t>
        </is>
      </c>
      <c r="D2165" s="2" t="inlineStr">
        <is>
          <t>West</t>
        </is>
      </c>
    </row>
    <row r="2166">
      <c r="A2166" s="2" t="inlineStr">
        <is>
          <t>C0439</t>
        </is>
      </c>
      <c r="B2166" s="2" t="inlineStr">
        <is>
          <t>Uttar Pradesh</t>
        </is>
      </c>
      <c r="C2166" s="2" t="inlineStr">
        <is>
          <t>Lucknow</t>
        </is>
      </c>
      <c r="D2166" s="2" t="inlineStr">
        <is>
          <t>North</t>
        </is>
      </c>
    </row>
    <row r="2167">
      <c r="A2167" s="2" t="inlineStr">
        <is>
          <t>C0439</t>
        </is>
      </c>
      <c r="B2167" s="2" t="inlineStr">
        <is>
          <t>Punjab</t>
        </is>
      </c>
      <c r="C2167" s="2" t="inlineStr">
        <is>
          <t>Amritsar</t>
        </is>
      </c>
      <c r="D2167" s="2" t="inlineStr">
        <is>
          <t>North</t>
        </is>
      </c>
    </row>
    <row r="2168">
      <c r="A2168" s="2" t="inlineStr">
        <is>
          <t>C0439</t>
        </is>
      </c>
      <c r="B2168" s="2" t="inlineStr">
        <is>
          <t>Bihar</t>
        </is>
      </c>
      <c r="C2168" s="2" t="inlineStr">
        <is>
          <t>Gaya</t>
        </is>
      </c>
      <c r="D2168" s="2" t="inlineStr">
        <is>
          <t>East</t>
        </is>
      </c>
    </row>
    <row r="2169">
      <c r="A2169" s="2" t="inlineStr">
        <is>
          <t>C0439</t>
        </is>
      </c>
      <c r="B2169" s="2" t="inlineStr">
        <is>
          <t>Bihar</t>
        </is>
      </c>
      <c r="C2169" s="2" t="inlineStr">
        <is>
          <t>Patna</t>
        </is>
      </c>
      <c r="D2169" s="2" t="inlineStr">
        <is>
          <t>East</t>
        </is>
      </c>
    </row>
    <row r="2170">
      <c r="A2170" s="2" t="inlineStr">
        <is>
          <t>C0439</t>
        </is>
      </c>
      <c r="B2170" s="2" t="inlineStr">
        <is>
          <t>Delhi</t>
        </is>
      </c>
      <c r="C2170" s="2" t="inlineStr">
        <is>
          <t>New Delhi</t>
        </is>
      </c>
      <c r="D2170" s="2" t="inlineStr">
        <is>
          <t>North</t>
        </is>
      </c>
    </row>
    <row r="2171">
      <c r="A2171" s="2" t="inlineStr">
        <is>
          <t>C0440</t>
        </is>
      </c>
      <c r="B2171" s="2" t="inlineStr">
        <is>
          <t>Telangana</t>
        </is>
      </c>
      <c r="C2171" s="2" t="inlineStr">
        <is>
          <t>Hyderabad</t>
        </is>
      </c>
      <c r="D2171" s="2" t="inlineStr">
        <is>
          <t>South</t>
        </is>
      </c>
    </row>
    <row r="2172">
      <c r="A2172" s="2" t="inlineStr">
        <is>
          <t>C0440</t>
        </is>
      </c>
      <c r="B2172" s="2" t="inlineStr">
        <is>
          <t>Gujarat</t>
        </is>
      </c>
      <c r="C2172" s="2" t="inlineStr">
        <is>
          <t>Surat</t>
        </is>
      </c>
      <c r="D2172" s="2" t="inlineStr">
        <is>
          <t>West</t>
        </is>
      </c>
    </row>
    <row r="2173">
      <c r="A2173" s="2" t="inlineStr">
        <is>
          <t>C0440</t>
        </is>
      </c>
      <c r="B2173" s="2" t="inlineStr">
        <is>
          <t>Maharashtra</t>
        </is>
      </c>
      <c r="C2173" s="2" t="inlineStr">
        <is>
          <t>Thane</t>
        </is>
      </c>
      <c r="D2173" s="2" t="inlineStr">
        <is>
          <t>West</t>
        </is>
      </c>
    </row>
    <row r="2174">
      <c r="A2174" s="2" t="inlineStr">
        <is>
          <t>C0440</t>
        </is>
      </c>
      <c r="B2174" s="2" t="inlineStr">
        <is>
          <t>Odisha</t>
        </is>
      </c>
      <c r="C2174" s="2" t="inlineStr">
        <is>
          <t>Cuttack</t>
        </is>
      </c>
      <c r="D2174" s="2" t="inlineStr">
        <is>
          <t>East</t>
        </is>
      </c>
    </row>
    <row r="2175">
      <c r="A2175" s="2" t="inlineStr">
        <is>
          <t>C0440</t>
        </is>
      </c>
      <c r="B2175" s="2" t="inlineStr">
        <is>
          <t>Goa</t>
        </is>
      </c>
      <c r="C2175" s="2" t="inlineStr">
        <is>
          <t>Margao</t>
        </is>
      </c>
      <c r="D2175" s="2" t="inlineStr">
        <is>
          <t>West</t>
        </is>
      </c>
    </row>
    <row r="2176">
      <c r="A2176" s="2" t="inlineStr">
        <is>
          <t>C0440</t>
        </is>
      </c>
      <c r="B2176" s="2" t="inlineStr">
        <is>
          <t>Goa</t>
        </is>
      </c>
      <c r="C2176" s="2" t="inlineStr">
        <is>
          <t>Panaji</t>
        </is>
      </c>
      <c r="D2176" s="2" t="inlineStr">
        <is>
          <t>West</t>
        </is>
      </c>
    </row>
    <row r="2177">
      <c r="A2177" s="2" t="inlineStr">
        <is>
          <t>C0440</t>
        </is>
      </c>
      <c r="B2177" s="2" t="inlineStr">
        <is>
          <t>West Bengal</t>
        </is>
      </c>
      <c r="C2177" s="2" t="inlineStr">
        <is>
          <t>Kolkata</t>
        </is>
      </c>
      <c r="D2177" s="2" t="inlineStr">
        <is>
          <t>East</t>
        </is>
      </c>
    </row>
    <row r="2178">
      <c r="A2178" s="2" t="inlineStr">
        <is>
          <t>C0441</t>
        </is>
      </c>
      <c r="B2178" s="2" t="inlineStr">
        <is>
          <t>Haryana</t>
        </is>
      </c>
      <c r="C2178" s="2" t="inlineStr">
        <is>
          <t>Gurugram</t>
        </is>
      </c>
      <c r="D2178" s="2" t="inlineStr">
        <is>
          <t>North</t>
        </is>
      </c>
    </row>
    <row r="2179">
      <c r="A2179" s="2" t="inlineStr">
        <is>
          <t>C0441</t>
        </is>
      </c>
      <c r="B2179" s="2" t="inlineStr">
        <is>
          <t>Telangana</t>
        </is>
      </c>
      <c r="C2179" s="2" t="inlineStr">
        <is>
          <t>Hyderabad</t>
        </is>
      </c>
      <c r="D2179" s="2" t="inlineStr">
        <is>
          <t>South</t>
        </is>
      </c>
    </row>
    <row r="2180">
      <c r="A2180" s="2" t="inlineStr">
        <is>
          <t>C0441</t>
        </is>
      </c>
      <c r="B2180" s="2" t="inlineStr">
        <is>
          <t>Maharashtra</t>
        </is>
      </c>
      <c r="C2180" s="2" t="inlineStr">
        <is>
          <t>Nashik</t>
        </is>
      </c>
      <c r="D2180" s="2" t="inlineStr">
        <is>
          <t>West</t>
        </is>
      </c>
    </row>
    <row r="2181">
      <c r="A2181" s="2" t="inlineStr">
        <is>
          <t>C0441</t>
        </is>
      </c>
      <c r="B2181" s="2" t="inlineStr">
        <is>
          <t>Delhi</t>
        </is>
      </c>
      <c r="C2181" s="2" t="inlineStr">
        <is>
          <t>New Delhi</t>
        </is>
      </c>
      <c r="D2181" s="2" t="inlineStr">
        <is>
          <t>North</t>
        </is>
      </c>
    </row>
    <row r="2182">
      <c r="A2182" s="2" t="inlineStr">
        <is>
          <t>C0441</t>
        </is>
      </c>
      <c r="B2182" s="2" t="inlineStr">
        <is>
          <t>Maharashtra</t>
        </is>
      </c>
      <c r="C2182" s="2" t="inlineStr">
        <is>
          <t>Mumbai</t>
        </is>
      </c>
      <c r="D2182" s="2" t="inlineStr">
        <is>
          <t>West</t>
        </is>
      </c>
    </row>
    <row r="2183">
      <c r="A2183" s="2" t="inlineStr">
        <is>
          <t>C0441</t>
        </is>
      </c>
      <c r="B2183" s="2" t="inlineStr">
        <is>
          <t>Haryana</t>
        </is>
      </c>
      <c r="C2183" s="2" t="inlineStr">
        <is>
          <t>Faridabad</t>
        </is>
      </c>
      <c r="D2183" s="2" t="inlineStr">
        <is>
          <t>North</t>
        </is>
      </c>
    </row>
    <row r="2184">
      <c r="A2184" s="2" t="inlineStr">
        <is>
          <t>C0442</t>
        </is>
      </c>
      <c r="B2184" s="2" t="inlineStr">
        <is>
          <t>West Bengal</t>
        </is>
      </c>
      <c r="C2184" s="2" t="inlineStr">
        <is>
          <t>Durgapur</t>
        </is>
      </c>
      <c r="D2184" s="2" t="inlineStr">
        <is>
          <t>East</t>
        </is>
      </c>
    </row>
    <row r="2185">
      <c r="A2185" s="2" t="inlineStr">
        <is>
          <t>C0442</t>
        </is>
      </c>
      <c r="B2185" s="2" t="inlineStr">
        <is>
          <t>Goa</t>
        </is>
      </c>
      <c r="C2185" s="2" t="inlineStr">
        <is>
          <t>Margao</t>
        </is>
      </c>
      <c r="D2185" s="2" t="inlineStr">
        <is>
          <t>West</t>
        </is>
      </c>
    </row>
    <row r="2186">
      <c r="A2186" s="2" t="inlineStr">
        <is>
          <t>C0442</t>
        </is>
      </c>
      <c r="B2186" s="2" t="inlineStr">
        <is>
          <t>Tamil Nadu</t>
        </is>
      </c>
      <c r="C2186" s="2" t="inlineStr">
        <is>
          <t>Coimbatore</t>
        </is>
      </c>
      <c r="D2186" s="2" t="inlineStr">
        <is>
          <t>South</t>
        </is>
      </c>
    </row>
    <row r="2187">
      <c r="A2187" s="2" t="inlineStr">
        <is>
          <t>C0442</t>
        </is>
      </c>
      <c r="B2187" s="2" t="inlineStr">
        <is>
          <t>Uttar Pradesh</t>
        </is>
      </c>
      <c r="C2187" s="2" t="inlineStr">
        <is>
          <t>Noida</t>
        </is>
      </c>
      <c r="D2187" s="2" t="inlineStr">
        <is>
          <t>North</t>
        </is>
      </c>
    </row>
    <row r="2188">
      <c r="A2188" s="2" t="inlineStr">
        <is>
          <t>C0442</t>
        </is>
      </c>
      <c r="B2188" s="2" t="inlineStr">
        <is>
          <t>Goa</t>
        </is>
      </c>
      <c r="C2188" s="2" t="inlineStr">
        <is>
          <t>Panaji</t>
        </is>
      </c>
      <c r="D2188" s="2" t="inlineStr">
        <is>
          <t>West</t>
        </is>
      </c>
    </row>
    <row r="2189">
      <c r="A2189" s="2" t="inlineStr">
        <is>
          <t>C0442</t>
        </is>
      </c>
      <c r="B2189" s="2" t="inlineStr">
        <is>
          <t>Odisha</t>
        </is>
      </c>
      <c r="C2189" s="2" t="inlineStr">
        <is>
          <t>Bhubaneswar</t>
        </is>
      </c>
      <c r="D2189" s="2" t="inlineStr">
        <is>
          <t>East</t>
        </is>
      </c>
    </row>
    <row r="2190">
      <c r="A2190" s="2" t="inlineStr">
        <is>
          <t>C0442</t>
        </is>
      </c>
      <c r="B2190" s="2" t="inlineStr">
        <is>
          <t>Kerala</t>
        </is>
      </c>
      <c r="C2190" s="2" t="inlineStr">
        <is>
          <t>Kochi</t>
        </is>
      </c>
      <c r="D2190" s="2" t="inlineStr">
        <is>
          <t>South</t>
        </is>
      </c>
    </row>
    <row r="2191">
      <c r="A2191" s="2" t="inlineStr">
        <is>
          <t>C0442</t>
        </is>
      </c>
      <c r="B2191" s="2" t="inlineStr">
        <is>
          <t>Maharashtra</t>
        </is>
      </c>
      <c r="C2191" s="2" t="inlineStr">
        <is>
          <t>Nagpur</t>
        </is>
      </c>
      <c r="D2191" s="2" t="inlineStr">
        <is>
          <t>West</t>
        </is>
      </c>
    </row>
    <row r="2192">
      <c r="A2192" s="2" t="inlineStr">
        <is>
          <t>C0443</t>
        </is>
      </c>
      <c r="B2192" s="2" t="inlineStr">
        <is>
          <t>Goa</t>
        </is>
      </c>
      <c r="C2192" s="2" t="inlineStr">
        <is>
          <t>Margao</t>
        </is>
      </c>
      <c r="D2192" s="2" t="inlineStr">
        <is>
          <t>West</t>
        </is>
      </c>
    </row>
    <row r="2193">
      <c r="A2193" s="2" t="inlineStr">
        <is>
          <t>C0443</t>
        </is>
      </c>
      <c r="B2193" s="2" t="inlineStr">
        <is>
          <t>Goa</t>
        </is>
      </c>
      <c r="C2193" s="2" t="inlineStr">
        <is>
          <t>Panaji</t>
        </is>
      </c>
      <c r="D2193" s="2" t="inlineStr">
        <is>
          <t>West</t>
        </is>
      </c>
    </row>
    <row r="2194">
      <c r="A2194" s="2" t="inlineStr">
        <is>
          <t>C0443</t>
        </is>
      </c>
      <c r="B2194" s="2" t="inlineStr">
        <is>
          <t>Delhi</t>
        </is>
      </c>
      <c r="C2194" s="2" t="inlineStr">
        <is>
          <t>New Delhi</t>
        </is>
      </c>
      <c r="D2194" s="2" t="inlineStr">
        <is>
          <t>North</t>
        </is>
      </c>
    </row>
    <row r="2195">
      <c r="A2195" s="2" t="inlineStr">
        <is>
          <t>C0443</t>
        </is>
      </c>
      <c r="B2195" s="2" t="inlineStr">
        <is>
          <t>Maharashtra</t>
        </is>
      </c>
      <c r="C2195" s="2" t="inlineStr">
        <is>
          <t>Pune</t>
        </is>
      </c>
      <c r="D2195" s="2" t="inlineStr">
        <is>
          <t>West</t>
        </is>
      </c>
    </row>
    <row r="2196">
      <c r="A2196" s="2" t="inlineStr">
        <is>
          <t>C0443</t>
        </is>
      </c>
      <c r="B2196" s="2" t="inlineStr">
        <is>
          <t>Maharashtra</t>
        </is>
      </c>
      <c r="C2196" s="2" t="inlineStr">
        <is>
          <t>Mumbai</t>
        </is>
      </c>
      <c r="D2196" s="2" t="inlineStr">
        <is>
          <t>West</t>
        </is>
      </c>
    </row>
    <row r="2197">
      <c r="A2197" s="2" t="inlineStr">
        <is>
          <t>C0443</t>
        </is>
      </c>
      <c r="B2197" s="2" t="inlineStr">
        <is>
          <t>Punjab</t>
        </is>
      </c>
      <c r="C2197" s="2" t="inlineStr">
        <is>
          <t>Amritsar</t>
        </is>
      </c>
      <c r="D2197" s="2" t="inlineStr">
        <is>
          <t>North</t>
        </is>
      </c>
    </row>
    <row r="2198">
      <c r="A2198" s="2" t="inlineStr">
        <is>
          <t>C0443</t>
        </is>
      </c>
      <c r="B2198" s="2" t="inlineStr">
        <is>
          <t>Gujarat</t>
        </is>
      </c>
      <c r="C2198" s="2" t="inlineStr">
        <is>
          <t>Vadodara</t>
        </is>
      </c>
      <c r="D2198" s="2" t="inlineStr">
        <is>
          <t>West</t>
        </is>
      </c>
    </row>
    <row r="2199">
      <c r="A2199" s="2" t="inlineStr">
        <is>
          <t>C0444</t>
        </is>
      </c>
      <c r="B2199" s="2" t="inlineStr">
        <is>
          <t>Bihar</t>
        </is>
      </c>
      <c r="C2199" s="2" t="inlineStr">
        <is>
          <t>Gaya</t>
        </is>
      </c>
      <c r="D2199" s="2" t="inlineStr">
        <is>
          <t>East</t>
        </is>
      </c>
    </row>
    <row r="2200">
      <c r="A2200" s="2" t="inlineStr">
        <is>
          <t>C0444</t>
        </is>
      </c>
      <c r="B2200" s="2" t="inlineStr">
        <is>
          <t>Punjab</t>
        </is>
      </c>
      <c r="C2200" s="2" t="inlineStr">
        <is>
          <t>Ludhiana</t>
        </is>
      </c>
      <c r="D2200" s="2" t="inlineStr">
        <is>
          <t>North</t>
        </is>
      </c>
    </row>
    <row r="2201">
      <c r="A2201" s="2" t="inlineStr">
        <is>
          <t>C0444</t>
        </is>
      </c>
      <c r="B2201" s="2" t="inlineStr">
        <is>
          <t>West Bengal</t>
        </is>
      </c>
      <c r="C2201" s="2" t="inlineStr">
        <is>
          <t>Durgapur</t>
        </is>
      </c>
      <c r="D2201" s="2" t="inlineStr">
        <is>
          <t>East</t>
        </is>
      </c>
    </row>
    <row r="2202">
      <c r="A2202" s="2" t="inlineStr">
        <is>
          <t>C0444</t>
        </is>
      </c>
      <c r="B2202" s="2" t="inlineStr">
        <is>
          <t>Karnataka</t>
        </is>
      </c>
      <c r="C2202" s="2" t="inlineStr">
        <is>
          <t>Mysuru</t>
        </is>
      </c>
      <c r="D2202" s="2" t="inlineStr">
        <is>
          <t>South</t>
        </is>
      </c>
    </row>
    <row r="2203">
      <c r="A2203" s="2" t="inlineStr">
        <is>
          <t>C0444</t>
        </is>
      </c>
      <c r="B2203" s="2" t="inlineStr">
        <is>
          <t>Uttar Pradesh</t>
        </is>
      </c>
      <c r="C2203" s="2" t="inlineStr">
        <is>
          <t>Noida</t>
        </is>
      </c>
      <c r="D2203" s="2" t="inlineStr">
        <is>
          <t>North</t>
        </is>
      </c>
    </row>
    <row r="2204">
      <c r="A2204" s="2" t="inlineStr">
        <is>
          <t>C0444</t>
        </is>
      </c>
      <c r="B2204" s="2" t="inlineStr">
        <is>
          <t>Haryana</t>
        </is>
      </c>
      <c r="C2204" s="2" t="inlineStr">
        <is>
          <t>Gurugram</t>
        </is>
      </c>
      <c r="D2204" s="2" t="inlineStr">
        <is>
          <t>North</t>
        </is>
      </c>
    </row>
    <row r="2205">
      <c r="A2205" s="2" t="inlineStr">
        <is>
          <t>C0445</t>
        </is>
      </c>
      <c r="B2205" s="2" t="inlineStr">
        <is>
          <t>Odisha</t>
        </is>
      </c>
      <c r="C2205" s="2" t="inlineStr">
        <is>
          <t>Cuttack</t>
        </is>
      </c>
      <c r="D2205" s="2" t="inlineStr">
        <is>
          <t>East</t>
        </is>
      </c>
    </row>
    <row r="2206">
      <c r="A2206" s="2" t="inlineStr">
        <is>
          <t>C0445</t>
        </is>
      </c>
      <c r="B2206" s="2" t="inlineStr">
        <is>
          <t>Karnataka</t>
        </is>
      </c>
      <c r="C2206" s="2" t="inlineStr">
        <is>
          <t>Bengaluru</t>
        </is>
      </c>
      <c r="D2206" s="2" t="inlineStr">
        <is>
          <t>South</t>
        </is>
      </c>
    </row>
    <row r="2207">
      <c r="A2207" s="2" t="inlineStr">
        <is>
          <t>C0445</t>
        </is>
      </c>
      <c r="B2207" s="2" t="inlineStr">
        <is>
          <t>Odisha</t>
        </is>
      </c>
      <c r="C2207" s="2" t="inlineStr">
        <is>
          <t>Bhubaneswar</t>
        </is>
      </c>
      <c r="D2207" s="2" t="inlineStr">
        <is>
          <t>East</t>
        </is>
      </c>
    </row>
    <row r="2208">
      <c r="A2208" s="2" t="inlineStr">
        <is>
          <t>C0445</t>
        </is>
      </c>
      <c r="B2208" s="2" t="inlineStr">
        <is>
          <t>Bihar</t>
        </is>
      </c>
      <c r="C2208" s="2" t="inlineStr">
        <is>
          <t>Gaya</t>
        </is>
      </c>
      <c r="D2208" s="2" t="inlineStr">
        <is>
          <t>East</t>
        </is>
      </c>
    </row>
    <row r="2209">
      <c r="A2209" s="2" t="inlineStr">
        <is>
          <t>C0445</t>
        </is>
      </c>
      <c r="B2209" s="2" t="inlineStr">
        <is>
          <t>Gujarat</t>
        </is>
      </c>
      <c r="C2209" s="2" t="inlineStr">
        <is>
          <t>Ahmedabad</t>
        </is>
      </c>
      <c r="D2209" s="2" t="inlineStr">
        <is>
          <t>West</t>
        </is>
      </c>
    </row>
    <row r="2210">
      <c r="A2210" s="2" t="inlineStr">
        <is>
          <t>C0445</t>
        </is>
      </c>
      <c r="B2210" s="2" t="inlineStr">
        <is>
          <t>Telangana</t>
        </is>
      </c>
      <c r="C2210" s="2" t="inlineStr">
        <is>
          <t>Hyderabad</t>
        </is>
      </c>
      <c r="D2210" s="2" t="inlineStr">
        <is>
          <t>South</t>
        </is>
      </c>
    </row>
    <row r="2211">
      <c r="A2211" s="2" t="inlineStr">
        <is>
          <t>C0445</t>
        </is>
      </c>
      <c r="B2211" s="2" t="inlineStr">
        <is>
          <t>Telangana</t>
        </is>
      </c>
      <c r="C2211" s="2" t="inlineStr">
        <is>
          <t>Warangal</t>
        </is>
      </c>
      <c r="D2211" s="2" t="inlineStr">
        <is>
          <t>South</t>
        </is>
      </c>
    </row>
    <row r="2212">
      <c r="A2212" s="2" t="inlineStr">
        <is>
          <t>C0445</t>
        </is>
      </c>
      <c r="B2212" s="2" t="inlineStr">
        <is>
          <t>West Bengal</t>
        </is>
      </c>
      <c r="C2212" s="2" t="inlineStr">
        <is>
          <t>Kolkata</t>
        </is>
      </c>
      <c r="D2212" s="2" t="inlineStr">
        <is>
          <t>East</t>
        </is>
      </c>
    </row>
    <row r="2213">
      <c r="A2213" s="2" t="inlineStr">
        <is>
          <t>C0445</t>
        </is>
      </c>
      <c r="B2213" s="2" t="inlineStr">
        <is>
          <t>Haryana</t>
        </is>
      </c>
      <c r="C2213" s="2" t="inlineStr">
        <is>
          <t>Gurugram</t>
        </is>
      </c>
      <c r="D2213" s="2" t="inlineStr">
        <is>
          <t>North</t>
        </is>
      </c>
    </row>
    <row r="2214">
      <c r="A2214" s="2" t="inlineStr">
        <is>
          <t>C0445</t>
        </is>
      </c>
      <c r="B2214" s="2" t="inlineStr">
        <is>
          <t>Goa</t>
        </is>
      </c>
      <c r="C2214" s="2" t="inlineStr">
        <is>
          <t>Panaji</t>
        </is>
      </c>
      <c r="D2214" s="2" t="inlineStr">
        <is>
          <t>West</t>
        </is>
      </c>
    </row>
    <row r="2215">
      <c r="A2215" s="2" t="inlineStr">
        <is>
          <t>C0445</t>
        </is>
      </c>
      <c r="B2215" s="2" t="inlineStr">
        <is>
          <t>Kerala</t>
        </is>
      </c>
      <c r="C2215" s="2" t="inlineStr">
        <is>
          <t>Kochi</t>
        </is>
      </c>
      <c r="D2215" s="2" t="inlineStr">
        <is>
          <t>South</t>
        </is>
      </c>
    </row>
    <row r="2216">
      <c r="A2216" s="2" t="inlineStr">
        <is>
          <t>C0445</t>
        </is>
      </c>
      <c r="B2216" s="2" t="inlineStr">
        <is>
          <t>Maharashtra</t>
        </is>
      </c>
      <c r="C2216" s="2" t="inlineStr">
        <is>
          <t>Nashik</t>
        </is>
      </c>
      <c r="D2216" s="2" t="inlineStr">
        <is>
          <t>West</t>
        </is>
      </c>
    </row>
    <row r="2217">
      <c r="A2217" s="2" t="inlineStr">
        <is>
          <t>C0446</t>
        </is>
      </c>
      <c r="B2217" s="2" t="inlineStr">
        <is>
          <t>Karnataka</t>
        </is>
      </c>
      <c r="C2217" s="2" t="inlineStr">
        <is>
          <t>Bengaluru</t>
        </is>
      </c>
      <c r="D2217" s="2" t="inlineStr">
        <is>
          <t>South</t>
        </is>
      </c>
    </row>
    <row r="2218">
      <c r="A2218" s="2" t="inlineStr">
        <is>
          <t>C0446</t>
        </is>
      </c>
      <c r="B2218" s="2" t="inlineStr">
        <is>
          <t>Gujarat</t>
        </is>
      </c>
      <c r="C2218" s="2" t="inlineStr">
        <is>
          <t>Surat</t>
        </is>
      </c>
      <c r="D2218" s="2" t="inlineStr">
        <is>
          <t>West</t>
        </is>
      </c>
    </row>
    <row r="2219">
      <c r="A2219" s="2" t="inlineStr">
        <is>
          <t>C0446</t>
        </is>
      </c>
      <c r="B2219" s="2" t="inlineStr">
        <is>
          <t>Kerala</t>
        </is>
      </c>
      <c r="C2219" s="2" t="inlineStr">
        <is>
          <t>Thiruvananthapuram</t>
        </is>
      </c>
      <c r="D2219" s="2" t="inlineStr">
        <is>
          <t>South</t>
        </is>
      </c>
    </row>
    <row r="2220">
      <c r="A2220" s="2" t="inlineStr">
        <is>
          <t>C0446</t>
        </is>
      </c>
      <c r="B2220" s="2" t="inlineStr">
        <is>
          <t>Uttar Pradesh</t>
        </is>
      </c>
      <c r="C2220" s="2" t="inlineStr">
        <is>
          <t>Noida</t>
        </is>
      </c>
      <c r="D2220" s="2" t="inlineStr">
        <is>
          <t>North</t>
        </is>
      </c>
    </row>
    <row r="2221">
      <c r="A2221" s="2" t="inlineStr">
        <is>
          <t>C0446</t>
        </is>
      </c>
      <c r="B2221" s="2" t="inlineStr">
        <is>
          <t>Bihar</t>
        </is>
      </c>
      <c r="C2221" s="2" t="inlineStr">
        <is>
          <t>Patna</t>
        </is>
      </c>
      <c r="D2221" s="2" t="inlineStr">
        <is>
          <t>East</t>
        </is>
      </c>
    </row>
    <row r="2222">
      <c r="A2222" s="2" t="inlineStr">
        <is>
          <t>C0447</t>
        </is>
      </c>
      <c r="B2222" s="2" t="inlineStr">
        <is>
          <t>Uttar Pradesh</t>
        </is>
      </c>
      <c r="C2222" s="2" t="inlineStr">
        <is>
          <t>Noida</t>
        </is>
      </c>
      <c r="D2222" s="2" t="inlineStr">
        <is>
          <t>North</t>
        </is>
      </c>
    </row>
    <row r="2223">
      <c r="A2223" s="2" t="inlineStr">
        <is>
          <t>C0447</t>
        </is>
      </c>
      <c r="B2223" s="2" t="inlineStr">
        <is>
          <t>Gujarat</t>
        </is>
      </c>
      <c r="C2223" s="2" t="inlineStr">
        <is>
          <t>Surat</t>
        </is>
      </c>
      <c r="D2223" s="2" t="inlineStr">
        <is>
          <t>West</t>
        </is>
      </c>
    </row>
    <row r="2224">
      <c r="A2224" s="2" t="inlineStr">
        <is>
          <t>C0448</t>
        </is>
      </c>
      <c r="B2224" s="2" t="inlineStr">
        <is>
          <t>Tamil Nadu</t>
        </is>
      </c>
      <c r="C2224" s="2" t="inlineStr">
        <is>
          <t>Madurai</t>
        </is>
      </c>
      <c r="D2224" s="2" t="inlineStr">
        <is>
          <t>South</t>
        </is>
      </c>
    </row>
    <row r="2225">
      <c r="A2225" s="2" t="inlineStr">
        <is>
          <t>C0448</t>
        </is>
      </c>
      <c r="B2225" s="2" t="inlineStr">
        <is>
          <t>Telangana</t>
        </is>
      </c>
      <c r="C2225" s="2" t="inlineStr">
        <is>
          <t>Hyderabad</t>
        </is>
      </c>
      <c r="D2225" s="2" t="inlineStr">
        <is>
          <t>South</t>
        </is>
      </c>
    </row>
    <row r="2226">
      <c r="A2226" s="2" t="inlineStr">
        <is>
          <t>C0448</t>
        </is>
      </c>
      <c r="B2226" s="2" t="inlineStr">
        <is>
          <t>West Bengal</t>
        </is>
      </c>
      <c r="C2226" s="2" t="inlineStr">
        <is>
          <t>Kolkata</t>
        </is>
      </c>
      <c r="D2226" s="2" t="inlineStr">
        <is>
          <t>East</t>
        </is>
      </c>
    </row>
    <row r="2227">
      <c r="A2227" s="2" t="inlineStr">
        <is>
          <t>C0448</t>
        </is>
      </c>
      <c r="B2227" s="2" t="inlineStr">
        <is>
          <t>Gujarat</t>
        </is>
      </c>
      <c r="C2227" s="2" t="inlineStr">
        <is>
          <t>Vadodara</t>
        </is>
      </c>
      <c r="D2227" s="2" t="inlineStr">
        <is>
          <t>West</t>
        </is>
      </c>
    </row>
    <row r="2228">
      <c r="A2228" s="2" t="inlineStr">
        <is>
          <t>C0448</t>
        </is>
      </c>
      <c r="B2228" s="2" t="inlineStr">
        <is>
          <t>Karnataka</t>
        </is>
      </c>
      <c r="C2228" s="2" t="inlineStr">
        <is>
          <t>Bengaluru</t>
        </is>
      </c>
      <c r="D2228" s="2" t="inlineStr">
        <is>
          <t>South</t>
        </is>
      </c>
    </row>
    <row r="2229">
      <c r="A2229" s="2" t="inlineStr">
        <is>
          <t>C0448</t>
        </is>
      </c>
      <c r="B2229" s="2" t="inlineStr">
        <is>
          <t>Punjab</t>
        </is>
      </c>
      <c r="C2229" s="2" t="inlineStr">
        <is>
          <t>Amritsar</t>
        </is>
      </c>
      <c r="D2229" s="2" t="inlineStr">
        <is>
          <t>North</t>
        </is>
      </c>
    </row>
    <row r="2230">
      <c r="A2230" s="2" t="inlineStr">
        <is>
          <t>C0449</t>
        </is>
      </c>
      <c r="B2230" s="2" t="inlineStr">
        <is>
          <t>Karnataka</t>
        </is>
      </c>
      <c r="C2230" s="2" t="inlineStr">
        <is>
          <t>Bengaluru</t>
        </is>
      </c>
      <c r="D2230" s="2" t="inlineStr">
        <is>
          <t>South</t>
        </is>
      </c>
    </row>
    <row r="2231">
      <c r="A2231" s="2" t="inlineStr">
        <is>
          <t>C0449</t>
        </is>
      </c>
      <c r="B2231" s="2" t="inlineStr">
        <is>
          <t>Punjab</t>
        </is>
      </c>
      <c r="C2231" s="2" t="inlineStr">
        <is>
          <t>Jalandhar</t>
        </is>
      </c>
      <c r="D2231" s="2" t="inlineStr">
        <is>
          <t>North</t>
        </is>
      </c>
    </row>
    <row r="2232">
      <c r="A2232" s="2" t="inlineStr">
        <is>
          <t>C0449</t>
        </is>
      </c>
      <c r="B2232" s="2" t="inlineStr">
        <is>
          <t>Delhi</t>
        </is>
      </c>
      <c r="C2232" s="2" t="inlineStr">
        <is>
          <t>New Delhi</t>
        </is>
      </c>
      <c r="D2232" s="2" t="inlineStr">
        <is>
          <t>North</t>
        </is>
      </c>
    </row>
    <row r="2233">
      <c r="A2233" s="2" t="inlineStr">
        <is>
          <t>C0449</t>
        </is>
      </c>
      <c r="B2233" s="2" t="inlineStr">
        <is>
          <t>Goa</t>
        </is>
      </c>
      <c r="C2233" s="2" t="inlineStr">
        <is>
          <t>Margao</t>
        </is>
      </c>
      <c r="D2233" s="2" t="inlineStr">
        <is>
          <t>West</t>
        </is>
      </c>
    </row>
    <row r="2234">
      <c r="A2234" s="2" t="inlineStr">
        <is>
          <t>C0449</t>
        </is>
      </c>
      <c r="B2234" s="2" t="inlineStr">
        <is>
          <t>Goa</t>
        </is>
      </c>
      <c r="C2234" s="2" t="inlineStr">
        <is>
          <t>Panaji</t>
        </is>
      </c>
      <c r="D2234" s="2" t="inlineStr">
        <is>
          <t>West</t>
        </is>
      </c>
    </row>
    <row r="2235">
      <c r="A2235" s="2" t="inlineStr">
        <is>
          <t>C0449</t>
        </is>
      </c>
      <c r="B2235" s="2" t="inlineStr">
        <is>
          <t>Gujarat</t>
        </is>
      </c>
      <c r="C2235" s="2" t="inlineStr">
        <is>
          <t>Ahmedabad</t>
        </is>
      </c>
      <c r="D2235" s="2" t="inlineStr">
        <is>
          <t>West</t>
        </is>
      </c>
    </row>
    <row r="2236">
      <c r="A2236" s="2" t="inlineStr">
        <is>
          <t>C0449</t>
        </is>
      </c>
      <c r="B2236" s="2" t="inlineStr">
        <is>
          <t>Maharashtra</t>
        </is>
      </c>
      <c r="C2236" s="2" t="inlineStr">
        <is>
          <t>Pune</t>
        </is>
      </c>
      <c r="D2236" s="2" t="inlineStr">
        <is>
          <t>West</t>
        </is>
      </c>
    </row>
    <row r="2237">
      <c r="A2237" s="2" t="inlineStr">
        <is>
          <t>C0450</t>
        </is>
      </c>
      <c r="B2237" s="2" t="inlineStr">
        <is>
          <t>Gujarat</t>
        </is>
      </c>
      <c r="C2237" s="2" t="inlineStr">
        <is>
          <t>Surat</t>
        </is>
      </c>
      <c r="D2237" s="2" t="inlineStr">
        <is>
          <t>West</t>
        </is>
      </c>
    </row>
    <row r="2238">
      <c r="A2238" s="2" t="inlineStr">
        <is>
          <t>C0450</t>
        </is>
      </c>
      <c r="B2238" s="2" t="inlineStr">
        <is>
          <t>Goa</t>
        </is>
      </c>
      <c r="C2238" s="2" t="inlineStr">
        <is>
          <t>Panaji</t>
        </is>
      </c>
      <c r="D2238" s="2" t="inlineStr">
        <is>
          <t>West</t>
        </is>
      </c>
    </row>
    <row r="2239">
      <c r="A2239" s="2" t="inlineStr">
        <is>
          <t>C0450</t>
        </is>
      </c>
      <c r="B2239" s="2" t="inlineStr">
        <is>
          <t>Delhi</t>
        </is>
      </c>
      <c r="C2239" s="2" t="inlineStr">
        <is>
          <t>New Delhi</t>
        </is>
      </c>
      <c r="D2239" s="2" t="inlineStr">
        <is>
          <t>North</t>
        </is>
      </c>
    </row>
    <row r="2240">
      <c r="A2240" s="2" t="inlineStr">
        <is>
          <t>C0451</t>
        </is>
      </c>
      <c r="B2240" s="2" t="inlineStr">
        <is>
          <t>Uttar Pradesh</t>
        </is>
      </c>
      <c r="C2240" s="2" t="inlineStr">
        <is>
          <t>Varanasi</t>
        </is>
      </c>
      <c r="D2240" s="2" t="inlineStr">
        <is>
          <t>North</t>
        </is>
      </c>
    </row>
    <row r="2241">
      <c r="A2241" s="2" t="inlineStr">
        <is>
          <t>C0451</t>
        </is>
      </c>
      <c r="B2241" s="2" t="inlineStr">
        <is>
          <t>Kerala</t>
        </is>
      </c>
      <c r="C2241" s="2" t="inlineStr">
        <is>
          <t>Thiruvananthapuram</t>
        </is>
      </c>
      <c r="D2241" s="2" t="inlineStr">
        <is>
          <t>South</t>
        </is>
      </c>
    </row>
    <row r="2242">
      <c r="A2242" s="2" t="inlineStr">
        <is>
          <t>C0451</t>
        </is>
      </c>
      <c r="B2242" s="2" t="inlineStr">
        <is>
          <t>Punjab</t>
        </is>
      </c>
      <c r="C2242" s="2" t="inlineStr">
        <is>
          <t>Amritsar</t>
        </is>
      </c>
      <c r="D2242" s="2" t="inlineStr">
        <is>
          <t>North</t>
        </is>
      </c>
    </row>
    <row r="2243">
      <c r="A2243" s="2" t="inlineStr">
        <is>
          <t>C0451</t>
        </is>
      </c>
      <c r="B2243" s="2" t="inlineStr">
        <is>
          <t>Maharashtra</t>
        </is>
      </c>
      <c r="C2243" s="2" t="inlineStr">
        <is>
          <t>Thane</t>
        </is>
      </c>
      <c r="D2243" s="2" t="inlineStr">
        <is>
          <t>West</t>
        </is>
      </c>
    </row>
    <row r="2244">
      <c r="A2244" s="2" t="inlineStr">
        <is>
          <t>C0452</t>
        </is>
      </c>
      <c r="B2244" s="2" t="inlineStr">
        <is>
          <t>Gujarat</t>
        </is>
      </c>
      <c r="C2244" s="2" t="inlineStr">
        <is>
          <t>Ahmedabad</t>
        </is>
      </c>
      <c r="D2244" s="2" t="inlineStr">
        <is>
          <t>West</t>
        </is>
      </c>
    </row>
    <row r="2245">
      <c r="A2245" s="2" t="inlineStr">
        <is>
          <t>C0452</t>
        </is>
      </c>
      <c r="B2245" s="2" t="inlineStr">
        <is>
          <t>Telangana</t>
        </is>
      </c>
      <c r="C2245" s="2" t="inlineStr">
        <is>
          <t>Hyderabad</t>
        </is>
      </c>
      <c r="D2245" s="2" t="inlineStr">
        <is>
          <t>South</t>
        </is>
      </c>
    </row>
    <row r="2246">
      <c r="A2246" s="2" t="inlineStr">
        <is>
          <t>C0452</t>
        </is>
      </c>
      <c r="B2246" s="2" t="inlineStr">
        <is>
          <t>Haryana</t>
        </is>
      </c>
      <c r="C2246" s="2" t="inlineStr">
        <is>
          <t>Gurugram</t>
        </is>
      </c>
      <c r="D2246" s="2" t="inlineStr">
        <is>
          <t>North</t>
        </is>
      </c>
    </row>
    <row r="2247">
      <c r="A2247" s="2" t="inlineStr">
        <is>
          <t>C0454</t>
        </is>
      </c>
      <c r="B2247" s="2" t="inlineStr">
        <is>
          <t>Gujarat</t>
        </is>
      </c>
      <c r="C2247" s="2" t="inlineStr">
        <is>
          <t>Surat</t>
        </is>
      </c>
      <c r="D2247" s="2" t="inlineStr">
        <is>
          <t>West</t>
        </is>
      </c>
    </row>
    <row r="2248">
      <c r="A2248" s="2" t="inlineStr">
        <is>
          <t>C0454</t>
        </is>
      </c>
      <c r="B2248" s="2" t="inlineStr">
        <is>
          <t>Uttar Pradesh</t>
        </is>
      </c>
      <c r="C2248" s="2" t="inlineStr">
        <is>
          <t>Kanpur</t>
        </is>
      </c>
      <c r="D2248" s="2" t="inlineStr">
        <is>
          <t>North</t>
        </is>
      </c>
    </row>
    <row r="2249">
      <c r="A2249" s="2" t="inlineStr">
        <is>
          <t>C0454</t>
        </is>
      </c>
      <c r="B2249" s="2" t="inlineStr">
        <is>
          <t>Delhi</t>
        </is>
      </c>
      <c r="C2249" s="2" t="inlineStr">
        <is>
          <t>New Delhi</t>
        </is>
      </c>
      <c r="D2249" s="2" t="inlineStr">
        <is>
          <t>North</t>
        </is>
      </c>
    </row>
    <row r="2250">
      <c r="A2250" s="2" t="inlineStr">
        <is>
          <t>C0454</t>
        </is>
      </c>
      <c r="B2250" s="2" t="inlineStr">
        <is>
          <t>Karnataka</t>
        </is>
      </c>
      <c r="C2250" s="2" t="inlineStr">
        <is>
          <t>Mangaluru</t>
        </is>
      </c>
      <c r="D2250" s="2" t="inlineStr">
        <is>
          <t>South</t>
        </is>
      </c>
    </row>
    <row r="2251">
      <c r="A2251" s="2" t="inlineStr">
        <is>
          <t>C0454</t>
        </is>
      </c>
      <c r="B2251" s="2" t="inlineStr">
        <is>
          <t>Gujarat</t>
        </is>
      </c>
      <c r="C2251" s="2" t="inlineStr">
        <is>
          <t>Vadodara</t>
        </is>
      </c>
      <c r="D2251" s="2" t="inlineStr">
        <is>
          <t>West</t>
        </is>
      </c>
    </row>
    <row r="2252">
      <c r="A2252" s="2" t="inlineStr">
        <is>
          <t>C0454</t>
        </is>
      </c>
      <c r="B2252" s="2" t="inlineStr">
        <is>
          <t>West Bengal</t>
        </is>
      </c>
      <c r="C2252" s="2" t="inlineStr">
        <is>
          <t>Kolkata</t>
        </is>
      </c>
      <c r="D2252" s="2" t="inlineStr">
        <is>
          <t>East</t>
        </is>
      </c>
    </row>
    <row r="2253">
      <c r="A2253" s="2" t="inlineStr">
        <is>
          <t>C0454</t>
        </is>
      </c>
      <c r="B2253" s="2" t="inlineStr">
        <is>
          <t>Maharashtra</t>
        </is>
      </c>
      <c r="C2253" s="2" t="inlineStr">
        <is>
          <t>Pune</t>
        </is>
      </c>
      <c r="D2253" s="2" t="inlineStr">
        <is>
          <t>West</t>
        </is>
      </c>
    </row>
    <row r="2254">
      <c r="A2254" s="2" t="inlineStr">
        <is>
          <t>C0454</t>
        </is>
      </c>
      <c r="B2254" s="2" t="inlineStr">
        <is>
          <t>Bihar</t>
        </is>
      </c>
      <c r="C2254" s="2" t="inlineStr">
        <is>
          <t>Gaya</t>
        </is>
      </c>
      <c r="D2254" s="2" t="inlineStr">
        <is>
          <t>East</t>
        </is>
      </c>
    </row>
    <row r="2255">
      <c r="A2255" s="2" t="inlineStr">
        <is>
          <t>C0454</t>
        </is>
      </c>
      <c r="B2255" s="2" t="inlineStr">
        <is>
          <t>Telangana</t>
        </is>
      </c>
      <c r="C2255" s="2" t="inlineStr">
        <is>
          <t>Hyderabad</t>
        </is>
      </c>
      <c r="D2255" s="2" t="inlineStr">
        <is>
          <t>South</t>
        </is>
      </c>
    </row>
    <row r="2256">
      <c r="A2256" s="2" t="inlineStr">
        <is>
          <t>C0454</t>
        </is>
      </c>
      <c r="B2256" s="2" t="inlineStr">
        <is>
          <t>Punjab</t>
        </is>
      </c>
      <c r="C2256" s="2" t="inlineStr">
        <is>
          <t>Amritsar</t>
        </is>
      </c>
      <c r="D2256" s="2" t="inlineStr">
        <is>
          <t>North</t>
        </is>
      </c>
    </row>
    <row r="2257">
      <c r="A2257" s="2" t="inlineStr">
        <is>
          <t>C0454</t>
        </is>
      </c>
      <c r="B2257" s="2" t="inlineStr">
        <is>
          <t>Karnataka</t>
        </is>
      </c>
      <c r="C2257" s="2" t="inlineStr">
        <is>
          <t>Mysuru</t>
        </is>
      </c>
      <c r="D2257" s="2" t="inlineStr">
        <is>
          <t>South</t>
        </is>
      </c>
    </row>
    <row r="2258">
      <c r="A2258" s="2" t="inlineStr">
        <is>
          <t>C0456</t>
        </is>
      </c>
      <c r="B2258" s="2" t="inlineStr">
        <is>
          <t>Maharashtra</t>
        </is>
      </c>
      <c r="C2258" s="2" t="inlineStr">
        <is>
          <t>Pune</t>
        </is>
      </c>
      <c r="D2258" s="2" t="inlineStr">
        <is>
          <t>West</t>
        </is>
      </c>
    </row>
    <row r="2259">
      <c r="A2259" s="2" t="inlineStr">
        <is>
          <t>C0456</t>
        </is>
      </c>
      <c r="B2259" s="2" t="inlineStr">
        <is>
          <t>Punjab</t>
        </is>
      </c>
      <c r="C2259" s="2" t="inlineStr">
        <is>
          <t>Amritsar</t>
        </is>
      </c>
      <c r="D2259" s="2" t="inlineStr">
        <is>
          <t>North</t>
        </is>
      </c>
    </row>
    <row r="2260">
      <c r="A2260" s="2" t="inlineStr">
        <is>
          <t>C0456</t>
        </is>
      </c>
      <c r="B2260" s="2" t="inlineStr">
        <is>
          <t>Bihar</t>
        </is>
      </c>
      <c r="C2260" s="2" t="inlineStr">
        <is>
          <t>Gaya</t>
        </is>
      </c>
      <c r="D2260" s="2" t="inlineStr">
        <is>
          <t>East</t>
        </is>
      </c>
    </row>
    <row r="2261">
      <c r="A2261" s="2" t="inlineStr">
        <is>
          <t>C0456</t>
        </is>
      </c>
      <c r="B2261" s="2" t="inlineStr">
        <is>
          <t>Karnataka</t>
        </is>
      </c>
      <c r="C2261" s="2" t="inlineStr">
        <is>
          <t>Mysuru</t>
        </is>
      </c>
      <c r="D2261" s="2" t="inlineStr">
        <is>
          <t>South</t>
        </is>
      </c>
    </row>
    <row r="2262">
      <c r="A2262" s="2" t="inlineStr">
        <is>
          <t>C0456</t>
        </is>
      </c>
      <c r="B2262" s="2" t="inlineStr">
        <is>
          <t>Uttar Pradesh</t>
        </is>
      </c>
      <c r="C2262" s="2" t="inlineStr">
        <is>
          <t>Noida</t>
        </is>
      </c>
      <c r="D2262" s="2" t="inlineStr">
        <is>
          <t>North</t>
        </is>
      </c>
    </row>
    <row r="2263">
      <c r="A2263" s="2" t="inlineStr">
        <is>
          <t>C0456</t>
        </is>
      </c>
      <c r="B2263" s="2" t="inlineStr">
        <is>
          <t>Bihar</t>
        </is>
      </c>
      <c r="C2263" s="2" t="inlineStr">
        <is>
          <t>Patna</t>
        </is>
      </c>
      <c r="D2263" s="2" t="inlineStr">
        <is>
          <t>East</t>
        </is>
      </c>
    </row>
    <row r="2264">
      <c r="A2264" s="2" t="inlineStr">
        <is>
          <t>C0456</t>
        </is>
      </c>
      <c r="B2264" s="2" t="inlineStr">
        <is>
          <t>Telangana</t>
        </is>
      </c>
      <c r="C2264" s="2" t="inlineStr">
        <is>
          <t>Hyderabad</t>
        </is>
      </c>
      <c r="D2264" s="2" t="inlineStr">
        <is>
          <t>South</t>
        </is>
      </c>
    </row>
    <row r="2265">
      <c r="A2265" s="2" t="inlineStr">
        <is>
          <t>C0456</t>
        </is>
      </c>
      <c r="B2265" s="2" t="inlineStr">
        <is>
          <t>West Bengal</t>
        </is>
      </c>
      <c r="C2265" s="2" t="inlineStr">
        <is>
          <t>Kolkata</t>
        </is>
      </c>
      <c r="D2265" s="2" t="inlineStr">
        <is>
          <t>East</t>
        </is>
      </c>
    </row>
    <row r="2266">
      <c r="A2266" s="2" t="inlineStr">
        <is>
          <t>C0456</t>
        </is>
      </c>
      <c r="B2266" s="2" t="inlineStr">
        <is>
          <t>Gujarat</t>
        </is>
      </c>
      <c r="C2266" s="2" t="inlineStr">
        <is>
          <t>Vadodara</t>
        </is>
      </c>
      <c r="D2266" s="2" t="inlineStr">
        <is>
          <t>West</t>
        </is>
      </c>
    </row>
    <row r="2267">
      <c r="A2267" s="2" t="inlineStr">
        <is>
          <t>C0456</t>
        </is>
      </c>
      <c r="B2267" s="2" t="inlineStr">
        <is>
          <t>Maharashtra</t>
        </is>
      </c>
      <c r="C2267" s="2" t="inlineStr">
        <is>
          <t>Nashik</t>
        </is>
      </c>
      <c r="D2267" s="2" t="inlineStr">
        <is>
          <t>West</t>
        </is>
      </c>
    </row>
    <row r="2268">
      <c r="A2268" s="2" t="inlineStr">
        <is>
          <t>C0456</t>
        </is>
      </c>
      <c r="B2268" s="2" t="inlineStr">
        <is>
          <t>Tamil Nadu</t>
        </is>
      </c>
      <c r="C2268" s="2" t="inlineStr">
        <is>
          <t>Coimbatore</t>
        </is>
      </c>
      <c r="D2268" s="2" t="inlineStr">
        <is>
          <t>South</t>
        </is>
      </c>
    </row>
    <row r="2269">
      <c r="A2269" s="2" t="inlineStr">
        <is>
          <t>C0456</t>
        </is>
      </c>
      <c r="B2269" s="2" t="inlineStr">
        <is>
          <t>Tamil Nadu</t>
        </is>
      </c>
      <c r="C2269" s="2" t="inlineStr">
        <is>
          <t>Madurai</t>
        </is>
      </c>
      <c r="D2269" s="2" t="inlineStr">
        <is>
          <t>South</t>
        </is>
      </c>
    </row>
    <row r="2270">
      <c r="A2270" s="2" t="inlineStr">
        <is>
          <t>C0456</t>
        </is>
      </c>
      <c r="B2270" s="2" t="inlineStr">
        <is>
          <t>Uttar Pradesh</t>
        </is>
      </c>
      <c r="C2270" s="2" t="inlineStr">
        <is>
          <t>Varanasi</t>
        </is>
      </c>
      <c r="D2270" s="2" t="inlineStr">
        <is>
          <t>North</t>
        </is>
      </c>
    </row>
    <row r="2271">
      <c r="A2271" s="2" t="inlineStr">
        <is>
          <t>C0456</t>
        </is>
      </c>
      <c r="B2271" s="2" t="inlineStr">
        <is>
          <t>Telangana</t>
        </is>
      </c>
      <c r="C2271" s="2" t="inlineStr">
        <is>
          <t>Warangal</t>
        </is>
      </c>
      <c r="D2271" s="2" t="inlineStr">
        <is>
          <t>South</t>
        </is>
      </c>
    </row>
    <row r="2272">
      <c r="A2272" s="2" t="inlineStr">
        <is>
          <t>C0456</t>
        </is>
      </c>
      <c r="B2272" s="2" t="inlineStr">
        <is>
          <t>Delhi</t>
        </is>
      </c>
      <c r="C2272" s="2" t="inlineStr">
        <is>
          <t>New Delhi</t>
        </is>
      </c>
      <c r="D2272" s="2" t="inlineStr">
        <is>
          <t>North</t>
        </is>
      </c>
    </row>
    <row r="2273">
      <c r="A2273" s="2" t="inlineStr">
        <is>
          <t>C0456</t>
        </is>
      </c>
      <c r="B2273" s="2" t="inlineStr">
        <is>
          <t>Maharashtra</t>
        </is>
      </c>
      <c r="C2273" s="2" t="inlineStr">
        <is>
          <t>Mumbai</t>
        </is>
      </c>
      <c r="D2273" s="2" t="inlineStr">
        <is>
          <t>West</t>
        </is>
      </c>
    </row>
    <row r="2274">
      <c r="A2274" s="2" t="inlineStr">
        <is>
          <t>C0456</t>
        </is>
      </c>
      <c r="B2274" s="2" t="inlineStr">
        <is>
          <t>Kerala</t>
        </is>
      </c>
      <c r="C2274" s="2" t="inlineStr">
        <is>
          <t>Thiruvananthapuram</t>
        </is>
      </c>
      <c r="D2274" s="2" t="inlineStr">
        <is>
          <t>South</t>
        </is>
      </c>
    </row>
    <row r="2275">
      <c r="A2275" s="2" t="inlineStr">
        <is>
          <t>C0456</t>
        </is>
      </c>
      <c r="B2275" s="2" t="inlineStr">
        <is>
          <t>Odisha</t>
        </is>
      </c>
      <c r="C2275" s="2" t="inlineStr">
        <is>
          <t>Bhubaneswar</t>
        </is>
      </c>
      <c r="D2275" s="2" t="inlineStr">
        <is>
          <t>East</t>
        </is>
      </c>
    </row>
    <row r="2276">
      <c r="A2276" s="2" t="inlineStr">
        <is>
          <t>C0456</t>
        </is>
      </c>
      <c r="B2276" s="2" t="inlineStr">
        <is>
          <t>Haryana</t>
        </is>
      </c>
      <c r="C2276" s="2" t="inlineStr">
        <is>
          <t>Gurugram</t>
        </is>
      </c>
      <c r="D2276" s="2" t="inlineStr">
        <is>
          <t>North</t>
        </is>
      </c>
    </row>
    <row r="2277">
      <c r="A2277" s="2" t="inlineStr">
        <is>
          <t>C0456</t>
        </is>
      </c>
      <c r="B2277" s="2" t="inlineStr">
        <is>
          <t>Karnataka</t>
        </is>
      </c>
      <c r="C2277" s="2" t="inlineStr">
        <is>
          <t>Mangaluru</t>
        </is>
      </c>
      <c r="D2277" s="2" t="inlineStr">
        <is>
          <t>South</t>
        </is>
      </c>
    </row>
    <row r="2278">
      <c r="A2278" s="2" t="inlineStr">
        <is>
          <t>C0456</t>
        </is>
      </c>
      <c r="B2278" s="2" t="inlineStr">
        <is>
          <t>Gujarat</t>
        </is>
      </c>
      <c r="C2278" s="2" t="inlineStr">
        <is>
          <t>Surat</t>
        </is>
      </c>
      <c r="D2278" s="2" t="inlineStr">
        <is>
          <t>West</t>
        </is>
      </c>
    </row>
    <row r="2279">
      <c r="A2279" s="2" t="inlineStr">
        <is>
          <t>C0456</t>
        </is>
      </c>
      <c r="B2279" s="2" t="inlineStr">
        <is>
          <t>West Bengal</t>
        </is>
      </c>
      <c r="C2279" s="2" t="inlineStr">
        <is>
          <t>Durgapur</t>
        </is>
      </c>
      <c r="D2279" s="2" t="inlineStr">
        <is>
          <t>East</t>
        </is>
      </c>
    </row>
    <row r="2280">
      <c r="A2280" s="2" t="inlineStr">
        <is>
          <t>C0456</t>
        </is>
      </c>
      <c r="B2280" s="2" t="inlineStr">
        <is>
          <t>Gujarat</t>
        </is>
      </c>
      <c r="C2280" s="2" t="inlineStr">
        <is>
          <t>Ahmedabad</t>
        </is>
      </c>
      <c r="D2280" s="2" t="inlineStr">
        <is>
          <t>West</t>
        </is>
      </c>
    </row>
    <row r="2281">
      <c r="A2281" s="2" t="inlineStr">
        <is>
          <t>C0456</t>
        </is>
      </c>
      <c r="B2281" s="2" t="inlineStr">
        <is>
          <t>Goa</t>
        </is>
      </c>
      <c r="C2281" s="2" t="inlineStr">
        <is>
          <t>Margao</t>
        </is>
      </c>
      <c r="D2281" s="2" t="inlineStr">
        <is>
          <t>West</t>
        </is>
      </c>
    </row>
    <row r="2282">
      <c r="A2282" s="2" t="inlineStr">
        <is>
          <t>C0456</t>
        </is>
      </c>
      <c r="B2282" s="2" t="inlineStr">
        <is>
          <t>Goa</t>
        </is>
      </c>
      <c r="C2282" s="2" t="inlineStr">
        <is>
          <t>Panaji</t>
        </is>
      </c>
      <c r="D2282" s="2" t="inlineStr">
        <is>
          <t>West</t>
        </is>
      </c>
    </row>
    <row r="2283">
      <c r="A2283" s="2" t="inlineStr">
        <is>
          <t>C0456</t>
        </is>
      </c>
      <c r="B2283" s="2" t="inlineStr">
        <is>
          <t>Uttar Pradesh</t>
        </is>
      </c>
      <c r="C2283" s="2" t="inlineStr">
        <is>
          <t>Lucknow</t>
        </is>
      </c>
      <c r="D2283" s="2" t="inlineStr">
        <is>
          <t>North</t>
        </is>
      </c>
    </row>
    <row r="2284">
      <c r="A2284" s="2" t="inlineStr">
        <is>
          <t>C0456</t>
        </is>
      </c>
      <c r="B2284" s="2" t="inlineStr">
        <is>
          <t>Odisha</t>
        </is>
      </c>
      <c r="C2284" s="2" t="inlineStr">
        <is>
          <t>Cuttack</t>
        </is>
      </c>
      <c r="D2284" s="2" t="inlineStr">
        <is>
          <t>East</t>
        </is>
      </c>
    </row>
    <row r="2285">
      <c r="A2285" s="2" t="inlineStr">
        <is>
          <t>C0456</t>
        </is>
      </c>
      <c r="B2285" s="2" t="inlineStr">
        <is>
          <t>Haryana</t>
        </is>
      </c>
      <c r="C2285" s="2" t="inlineStr">
        <is>
          <t>Faridabad</t>
        </is>
      </c>
      <c r="D2285" s="2" t="inlineStr">
        <is>
          <t>North</t>
        </is>
      </c>
    </row>
    <row r="2286">
      <c r="A2286" s="2" t="inlineStr">
        <is>
          <t>C0457</t>
        </is>
      </c>
      <c r="B2286" s="2" t="inlineStr">
        <is>
          <t>Gujarat</t>
        </is>
      </c>
      <c r="C2286" s="2" t="inlineStr">
        <is>
          <t>Ahmedabad</t>
        </is>
      </c>
      <c r="D2286" s="2" t="inlineStr">
        <is>
          <t>West</t>
        </is>
      </c>
    </row>
    <row r="2287">
      <c r="A2287" s="2" t="inlineStr">
        <is>
          <t>C0457</t>
        </is>
      </c>
      <c r="B2287" s="2" t="inlineStr">
        <is>
          <t>Uttar Pradesh</t>
        </is>
      </c>
      <c r="C2287" s="2" t="inlineStr">
        <is>
          <t>Kanpur</t>
        </is>
      </c>
      <c r="D2287" s="2" t="inlineStr">
        <is>
          <t>North</t>
        </is>
      </c>
    </row>
    <row r="2288">
      <c r="A2288" s="2" t="inlineStr">
        <is>
          <t>C0457</t>
        </is>
      </c>
      <c r="B2288" s="2" t="inlineStr">
        <is>
          <t>Goa</t>
        </is>
      </c>
      <c r="C2288" s="2" t="inlineStr">
        <is>
          <t>Margao</t>
        </is>
      </c>
      <c r="D2288" s="2" t="inlineStr">
        <is>
          <t>West</t>
        </is>
      </c>
    </row>
    <row r="2289">
      <c r="A2289" s="2" t="inlineStr">
        <is>
          <t>C0457</t>
        </is>
      </c>
      <c r="B2289" s="2" t="inlineStr">
        <is>
          <t>Punjab</t>
        </is>
      </c>
      <c r="C2289" s="2" t="inlineStr">
        <is>
          <t>Amritsar</t>
        </is>
      </c>
      <c r="D2289" s="2" t="inlineStr">
        <is>
          <t>North</t>
        </is>
      </c>
    </row>
    <row r="2290">
      <c r="A2290" s="2" t="inlineStr">
        <is>
          <t>C0457</t>
        </is>
      </c>
      <c r="B2290" s="2" t="inlineStr">
        <is>
          <t>Tamil Nadu</t>
        </is>
      </c>
      <c r="C2290" s="2" t="inlineStr">
        <is>
          <t>Madurai</t>
        </is>
      </c>
      <c r="D2290" s="2" t="inlineStr">
        <is>
          <t>South</t>
        </is>
      </c>
    </row>
    <row r="2291">
      <c r="A2291" s="2" t="inlineStr">
        <is>
          <t>C0457</t>
        </is>
      </c>
      <c r="B2291" s="2" t="inlineStr">
        <is>
          <t>Delhi</t>
        </is>
      </c>
      <c r="C2291" s="2" t="inlineStr">
        <is>
          <t>New Delhi</t>
        </is>
      </c>
      <c r="D2291" s="2" t="inlineStr">
        <is>
          <t>North</t>
        </is>
      </c>
    </row>
    <row r="2292">
      <c r="A2292" s="2" t="inlineStr">
        <is>
          <t>C0457</t>
        </is>
      </c>
      <c r="B2292" s="2" t="inlineStr">
        <is>
          <t>Bihar</t>
        </is>
      </c>
      <c r="C2292" s="2" t="inlineStr">
        <is>
          <t>Gaya</t>
        </is>
      </c>
      <c r="D2292" s="2" t="inlineStr">
        <is>
          <t>East</t>
        </is>
      </c>
    </row>
    <row r="2293">
      <c r="A2293" s="2" t="inlineStr">
        <is>
          <t>C0457</t>
        </is>
      </c>
      <c r="B2293" s="2" t="inlineStr">
        <is>
          <t>Karnataka</t>
        </is>
      </c>
      <c r="C2293" s="2" t="inlineStr">
        <is>
          <t>Mangaluru</t>
        </is>
      </c>
      <c r="D2293" s="2" t="inlineStr">
        <is>
          <t>South</t>
        </is>
      </c>
    </row>
    <row r="2294">
      <c r="A2294" s="2" t="inlineStr">
        <is>
          <t>C0457</t>
        </is>
      </c>
      <c r="B2294" s="2" t="inlineStr">
        <is>
          <t>Haryana</t>
        </is>
      </c>
      <c r="C2294" s="2" t="inlineStr">
        <is>
          <t>Gurugram</t>
        </is>
      </c>
      <c r="D2294" s="2" t="inlineStr">
        <is>
          <t>North</t>
        </is>
      </c>
    </row>
    <row r="2295">
      <c r="A2295" s="2" t="inlineStr">
        <is>
          <t>C0457</t>
        </is>
      </c>
      <c r="B2295" s="2" t="inlineStr">
        <is>
          <t>Tamil Nadu</t>
        </is>
      </c>
      <c r="C2295" s="2" t="inlineStr">
        <is>
          <t>Chennai</t>
        </is>
      </c>
      <c r="D2295" s="2" t="inlineStr">
        <is>
          <t>South</t>
        </is>
      </c>
    </row>
    <row r="2296">
      <c r="A2296" s="2" t="inlineStr">
        <is>
          <t>C0457</t>
        </is>
      </c>
      <c r="B2296" s="2" t="inlineStr">
        <is>
          <t>Kerala</t>
        </is>
      </c>
      <c r="C2296" s="2" t="inlineStr">
        <is>
          <t>Thiruvananthapuram</t>
        </is>
      </c>
      <c r="D2296" s="2" t="inlineStr">
        <is>
          <t>South</t>
        </is>
      </c>
    </row>
    <row r="2297">
      <c r="A2297" s="2" t="inlineStr">
        <is>
          <t>C0457</t>
        </is>
      </c>
      <c r="B2297" s="2" t="inlineStr">
        <is>
          <t>Maharashtra</t>
        </is>
      </c>
      <c r="C2297" s="2" t="inlineStr">
        <is>
          <t>Mumbai</t>
        </is>
      </c>
      <c r="D2297" s="2" t="inlineStr">
        <is>
          <t>West</t>
        </is>
      </c>
    </row>
    <row r="2298">
      <c r="A2298" s="2" t="inlineStr">
        <is>
          <t>C0457</t>
        </is>
      </c>
      <c r="B2298" s="2" t="inlineStr">
        <is>
          <t>Uttar Pradesh</t>
        </is>
      </c>
      <c r="C2298" s="2" t="inlineStr">
        <is>
          <t>Varanasi</t>
        </is>
      </c>
      <c r="D2298" s="2" t="inlineStr">
        <is>
          <t>North</t>
        </is>
      </c>
    </row>
    <row r="2299">
      <c r="A2299" s="2" t="inlineStr">
        <is>
          <t>C0457</t>
        </is>
      </c>
      <c r="B2299" s="2" t="inlineStr">
        <is>
          <t>Telangana</t>
        </is>
      </c>
      <c r="C2299" s="2" t="inlineStr">
        <is>
          <t>Hyderabad</t>
        </is>
      </c>
      <c r="D2299" s="2" t="inlineStr">
        <is>
          <t>South</t>
        </is>
      </c>
    </row>
    <row r="2300">
      <c r="A2300" s="2" t="inlineStr">
        <is>
          <t>C0457</t>
        </is>
      </c>
      <c r="B2300" s="2" t="inlineStr">
        <is>
          <t>Karnataka</t>
        </is>
      </c>
      <c r="C2300" s="2" t="inlineStr">
        <is>
          <t>Mysuru</t>
        </is>
      </c>
      <c r="D2300" s="2" t="inlineStr">
        <is>
          <t>South</t>
        </is>
      </c>
    </row>
    <row r="2301">
      <c r="A2301" s="2" t="inlineStr">
        <is>
          <t>C0458</t>
        </is>
      </c>
      <c r="B2301" s="2" t="inlineStr">
        <is>
          <t>Maharashtra</t>
        </is>
      </c>
      <c r="C2301" s="2" t="inlineStr">
        <is>
          <t>Nashik</t>
        </is>
      </c>
      <c r="D2301" s="2" t="inlineStr">
        <is>
          <t>West</t>
        </is>
      </c>
    </row>
    <row r="2302">
      <c r="A2302" s="2" t="inlineStr">
        <is>
          <t>C0458</t>
        </is>
      </c>
      <c r="B2302" s="2" t="inlineStr">
        <is>
          <t>Tamil Nadu</t>
        </is>
      </c>
      <c r="C2302" s="2" t="inlineStr">
        <is>
          <t>Madurai</t>
        </is>
      </c>
      <c r="D2302" s="2" t="inlineStr">
        <is>
          <t>South</t>
        </is>
      </c>
    </row>
    <row r="2303">
      <c r="A2303" s="2" t="inlineStr">
        <is>
          <t>C0459</t>
        </is>
      </c>
      <c r="B2303" s="2" t="inlineStr">
        <is>
          <t>Delhi</t>
        </is>
      </c>
      <c r="C2303" s="2" t="inlineStr">
        <is>
          <t>New Delhi</t>
        </is>
      </c>
      <c r="D2303" s="2" t="inlineStr">
        <is>
          <t>North</t>
        </is>
      </c>
    </row>
    <row r="2304">
      <c r="A2304" s="2" t="inlineStr">
        <is>
          <t>C0459</t>
        </is>
      </c>
      <c r="B2304" s="2" t="inlineStr">
        <is>
          <t>Punjab</t>
        </is>
      </c>
      <c r="C2304" s="2" t="inlineStr">
        <is>
          <t>Amritsar</t>
        </is>
      </c>
      <c r="D2304" s="2" t="inlineStr">
        <is>
          <t>North</t>
        </is>
      </c>
    </row>
    <row r="2305">
      <c r="A2305" s="2" t="inlineStr">
        <is>
          <t>C0459</t>
        </is>
      </c>
      <c r="B2305" s="2" t="inlineStr">
        <is>
          <t>Karnataka</t>
        </is>
      </c>
      <c r="C2305" s="2" t="inlineStr">
        <is>
          <t>Mangaluru</t>
        </is>
      </c>
      <c r="D2305" s="2" t="inlineStr">
        <is>
          <t>South</t>
        </is>
      </c>
    </row>
    <row r="2306">
      <c r="A2306" s="2" t="inlineStr">
        <is>
          <t>C0460</t>
        </is>
      </c>
      <c r="B2306" s="2" t="inlineStr">
        <is>
          <t>Goa</t>
        </is>
      </c>
      <c r="C2306" s="2" t="inlineStr">
        <is>
          <t>Panaji</t>
        </is>
      </c>
      <c r="D2306" s="2" t="inlineStr">
        <is>
          <t>West</t>
        </is>
      </c>
    </row>
    <row r="2307">
      <c r="A2307" s="2" t="inlineStr">
        <is>
          <t>C0460</t>
        </is>
      </c>
      <c r="B2307" s="2" t="inlineStr">
        <is>
          <t>Gujarat</t>
        </is>
      </c>
      <c r="C2307" s="2" t="inlineStr">
        <is>
          <t>Vadodara</t>
        </is>
      </c>
      <c r="D2307" s="2" t="inlineStr">
        <is>
          <t>West</t>
        </is>
      </c>
    </row>
    <row r="2308">
      <c r="A2308" s="2" t="inlineStr">
        <is>
          <t>C0460</t>
        </is>
      </c>
      <c r="B2308" s="2" t="inlineStr">
        <is>
          <t>Odisha</t>
        </is>
      </c>
      <c r="C2308" s="2" t="inlineStr">
        <is>
          <t>Cuttack</t>
        </is>
      </c>
      <c r="D2308" s="2" t="inlineStr">
        <is>
          <t>East</t>
        </is>
      </c>
    </row>
    <row r="2309">
      <c r="A2309" s="2" t="inlineStr">
        <is>
          <t>C0460</t>
        </is>
      </c>
      <c r="B2309" s="2" t="inlineStr">
        <is>
          <t>Gujarat</t>
        </is>
      </c>
      <c r="C2309" s="2" t="inlineStr">
        <is>
          <t>Surat</t>
        </is>
      </c>
      <c r="D2309" s="2" t="inlineStr">
        <is>
          <t>West</t>
        </is>
      </c>
    </row>
    <row r="2310">
      <c r="A2310" s="2" t="inlineStr">
        <is>
          <t>C0461</t>
        </is>
      </c>
      <c r="B2310" s="2" t="inlineStr">
        <is>
          <t>Gujarat</t>
        </is>
      </c>
      <c r="C2310" s="2" t="inlineStr">
        <is>
          <t>Vadodara</t>
        </is>
      </c>
      <c r="D2310" s="2" t="inlineStr">
        <is>
          <t>West</t>
        </is>
      </c>
    </row>
    <row r="2311">
      <c r="A2311" s="2" t="inlineStr">
        <is>
          <t>C0461</t>
        </is>
      </c>
      <c r="B2311" s="2" t="inlineStr">
        <is>
          <t>Punjab</t>
        </is>
      </c>
      <c r="C2311" s="2" t="inlineStr">
        <is>
          <t>Jalandhar</t>
        </is>
      </c>
      <c r="D2311" s="2" t="inlineStr">
        <is>
          <t>North</t>
        </is>
      </c>
    </row>
    <row r="2312">
      <c r="A2312" s="2" t="inlineStr">
        <is>
          <t>C0462</t>
        </is>
      </c>
      <c r="B2312" s="2" t="inlineStr">
        <is>
          <t>Maharashtra</t>
        </is>
      </c>
      <c r="C2312" s="2" t="inlineStr">
        <is>
          <t>Nashik</t>
        </is>
      </c>
      <c r="D2312" s="2" t="inlineStr">
        <is>
          <t>West</t>
        </is>
      </c>
    </row>
    <row r="2313">
      <c r="A2313" s="2" t="inlineStr">
        <is>
          <t>C0462</t>
        </is>
      </c>
      <c r="B2313" s="2" t="inlineStr">
        <is>
          <t>Haryana</t>
        </is>
      </c>
      <c r="C2313" s="2" t="inlineStr">
        <is>
          <t>Gurugram</t>
        </is>
      </c>
      <c r="D2313" s="2" t="inlineStr">
        <is>
          <t>North</t>
        </is>
      </c>
    </row>
    <row r="2314">
      <c r="A2314" s="2" t="inlineStr">
        <is>
          <t>C0462</t>
        </is>
      </c>
      <c r="B2314" s="2" t="inlineStr">
        <is>
          <t>Maharashtra</t>
        </is>
      </c>
      <c r="C2314" s="2" t="inlineStr">
        <is>
          <t>Pune</t>
        </is>
      </c>
      <c r="D2314" s="2" t="inlineStr">
        <is>
          <t>West</t>
        </is>
      </c>
    </row>
    <row r="2315">
      <c r="A2315" s="2" t="inlineStr">
        <is>
          <t>C0464</t>
        </is>
      </c>
      <c r="B2315" s="2" t="inlineStr">
        <is>
          <t>Goa</t>
        </is>
      </c>
      <c r="C2315" s="2" t="inlineStr">
        <is>
          <t>Panaji</t>
        </is>
      </c>
      <c r="D2315" s="2" t="inlineStr">
        <is>
          <t>West</t>
        </is>
      </c>
    </row>
    <row r="2316">
      <c r="A2316" s="2" t="inlineStr">
        <is>
          <t>C0464</t>
        </is>
      </c>
      <c r="B2316" s="2" t="inlineStr">
        <is>
          <t>Kerala</t>
        </is>
      </c>
      <c r="C2316" s="2" t="inlineStr">
        <is>
          <t>Kochi</t>
        </is>
      </c>
      <c r="D2316" s="2" t="inlineStr">
        <is>
          <t>South</t>
        </is>
      </c>
    </row>
    <row r="2317">
      <c r="A2317" s="2" t="inlineStr">
        <is>
          <t>C0465</t>
        </is>
      </c>
      <c r="B2317" s="2" t="inlineStr">
        <is>
          <t>Maharashtra</t>
        </is>
      </c>
      <c r="C2317" s="2" t="inlineStr">
        <is>
          <t>Thane</t>
        </is>
      </c>
      <c r="D2317" s="2" t="inlineStr">
        <is>
          <t>West</t>
        </is>
      </c>
    </row>
    <row r="2318">
      <c r="A2318" s="2" t="inlineStr">
        <is>
          <t>C0465</t>
        </is>
      </c>
      <c r="B2318" s="2" t="inlineStr">
        <is>
          <t>Haryana</t>
        </is>
      </c>
      <c r="C2318" s="2" t="inlineStr">
        <is>
          <t>Gurugram</t>
        </is>
      </c>
      <c r="D2318" s="2" t="inlineStr">
        <is>
          <t>North</t>
        </is>
      </c>
    </row>
    <row r="2319">
      <c r="A2319" s="2" t="inlineStr">
        <is>
          <t>C0465</t>
        </is>
      </c>
      <c r="B2319" s="2" t="inlineStr">
        <is>
          <t>Gujarat</t>
        </is>
      </c>
      <c r="C2319" s="2" t="inlineStr">
        <is>
          <t>Ahmedabad</t>
        </is>
      </c>
      <c r="D2319" s="2" t="inlineStr">
        <is>
          <t>West</t>
        </is>
      </c>
    </row>
    <row r="2320">
      <c r="A2320" s="2" t="inlineStr">
        <is>
          <t>C0465</t>
        </is>
      </c>
      <c r="B2320" s="2" t="inlineStr">
        <is>
          <t>Karnataka</t>
        </is>
      </c>
      <c r="C2320" s="2" t="inlineStr">
        <is>
          <t>Mysuru</t>
        </is>
      </c>
      <c r="D2320" s="2" t="inlineStr">
        <is>
          <t>South</t>
        </is>
      </c>
    </row>
    <row r="2321">
      <c r="A2321" s="2" t="inlineStr">
        <is>
          <t>C0465</t>
        </is>
      </c>
      <c r="B2321" s="2" t="inlineStr">
        <is>
          <t>Delhi</t>
        </is>
      </c>
      <c r="C2321" s="2" t="inlineStr">
        <is>
          <t>New Delhi</t>
        </is>
      </c>
      <c r="D2321" s="2" t="inlineStr">
        <is>
          <t>North</t>
        </is>
      </c>
    </row>
    <row r="2322">
      <c r="A2322" s="2" t="inlineStr">
        <is>
          <t>C0465</t>
        </is>
      </c>
      <c r="B2322" s="2" t="inlineStr">
        <is>
          <t>Kerala</t>
        </is>
      </c>
      <c r="C2322" s="2" t="inlineStr">
        <is>
          <t>Kochi</t>
        </is>
      </c>
      <c r="D2322" s="2" t="inlineStr">
        <is>
          <t>South</t>
        </is>
      </c>
    </row>
    <row r="2323">
      <c r="A2323" s="2" t="inlineStr">
        <is>
          <t>C0467</t>
        </is>
      </c>
      <c r="B2323" s="2" t="inlineStr">
        <is>
          <t>Bihar</t>
        </is>
      </c>
      <c r="C2323" s="2" t="inlineStr">
        <is>
          <t>Patna</t>
        </is>
      </c>
      <c r="D2323" s="2" t="inlineStr">
        <is>
          <t>East</t>
        </is>
      </c>
    </row>
    <row r="2324">
      <c r="A2324" s="2" t="inlineStr">
        <is>
          <t>C0467</t>
        </is>
      </c>
      <c r="B2324" s="2" t="inlineStr">
        <is>
          <t>Kerala</t>
        </is>
      </c>
      <c r="C2324" s="2" t="inlineStr">
        <is>
          <t>Kochi</t>
        </is>
      </c>
      <c r="D2324" s="2" t="inlineStr">
        <is>
          <t>South</t>
        </is>
      </c>
    </row>
    <row r="2325">
      <c r="A2325" s="2" t="inlineStr">
        <is>
          <t>C0467</t>
        </is>
      </c>
      <c r="B2325" s="2" t="inlineStr">
        <is>
          <t>Tamil Nadu</t>
        </is>
      </c>
      <c r="C2325" s="2" t="inlineStr">
        <is>
          <t>Coimbatore</t>
        </is>
      </c>
      <c r="D2325" s="2" t="inlineStr">
        <is>
          <t>South</t>
        </is>
      </c>
    </row>
    <row r="2326">
      <c r="A2326" s="2" t="inlineStr">
        <is>
          <t>C0467</t>
        </is>
      </c>
      <c r="B2326" s="2" t="inlineStr">
        <is>
          <t>Karnataka</t>
        </is>
      </c>
      <c r="C2326" s="2" t="inlineStr">
        <is>
          <t>Mysuru</t>
        </is>
      </c>
      <c r="D2326" s="2" t="inlineStr">
        <is>
          <t>South</t>
        </is>
      </c>
    </row>
    <row r="2327">
      <c r="A2327" s="2" t="inlineStr">
        <is>
          <t>C0467</t>
        </is>
      </c>
      <c r="B2327" s="2" t="inlineStr">
        <is>
          <t>Maharashtra</t>
        </is>
      </c>
      <c r="C2327" s="2" t="inlineStr">
        <is>
          <t>Nashik</t>
        </is>
      </c>
      <c r="D2327" s="2" t="inlineStr">
        <is>
          <t>West</t>
        </is>
      </c>
    </row>
    <row r="2328">
      <c r="A2328" s="2" t="inlineStr">
        <is>
          <t>C0468</t>
        </is>
      </c>
      <c r="B2328" s="2" t="inlineStr">
        <is>
          <t>Gujarat</t>
        </is>
      </c>
      <c r="C2328" s="2" t="inlineStr">
        <is>
          <t>Ahmedabad</t>
        </is>
      </c>
      <c r="D2328" s="2" t="inlineStr">
        <is>
          <t>West</t>
        </is>
      </c>
    </row>
    <row r="2329">
      <c r="A2329" s="2" t="inlineStr">
        <is>
          <t>C0468</t>
        </is>
      </c>
      <c r="B2329" s="2" t="inlineStr">
        <is>
          <t>Haryana</t>
        </is>
      </c>
      <c r="C2329" s="2" t="inlineStr">
        <is>
          <t>Faridabad</t>
        </is>
      </c>
      <c r="D2329" s="2" t="inlineStr">
        <is>
          <t>North</t>
        </is>
      </c>
    </row>
    <row r="2330">
      <c r="A2330" s="2" t="inlineStr">
        <is>
          <t>C0468</t>
        </is>
      </c>
      <c r="B2330" s="2" t="inlineStr">
        <is>
          <t>Gujarat</t>
        </is>
      </c>
      <c r="C2330" s="2" t="inlineStr">
        <is>
          <t>Surat</t>
        </is>
      </c>
      <c r="D2330" s="2" t="inlineStr">
        <is>
          <t>West</t>
        </is>
      </c>
    </row>
    <row r="2331">
      <c r="A2331" s="2" t="inlineStr">
        <is>
          <t>C0468</t>
        </is>
      </c>
      <c r="B2331" s="2" t="inlineStr">
        <is>
          <t>Goa</t>
        </is>
      </c>
      <c r="C2331" s="2" t="inlineStr">
        <is>
          <t>Panaji</t>
        </is>
      </c>
      <c r="D2331" s="2" t="inlineStr">
        <is>
          <t>West</t>
        </is>
      </c>
    </row>
    <row r="2332">
      <c r="A2332" s="2" t="inlineStr">
        <is>
          <t>C0469</t>
        </is>
      </c>
      <c r="B2332" s="2" t="inlineStr">
        <is>
          <t>Kerala</t>
        </is>
      </c>
      <c r="C2332" s="2" t="inlineStr">
        <is>
          <t>Kochi</t>
        </is>
      </c>
      <c r="D2332" s="2" t="inlineStr">
        <is>
          <t>South</t>
        </is>
      </c>
    </row>
    <row r="2333">
      <c r="A2333" s="2" t="inlineStr">
        <is>
          <t>C0469</t>
        </is>
      </c>
      <c r="B2333" s="2" t="inlineStr">
        <is>
          <t>Goa</t>
        </is>
      </c>
      <c r="C2333" s="2" t="inlineStr">
        <is>
          <t>Margao</t>
        </is>
      </c>
      <c r="D2333" s="2" t="inlineStr">
        <is>
          <t>West</t>
        </is>
      </c>
    </row>
    <row r="2334">
      <c r="A2334" s="2" t="inlineStr">
        <is>
          <t>C0469</t>
        </is>
      </c>
      <c r="B2334" s="2" t="inlineStr">
        <is>
          <t>Karnataka</t>
        </is>
      </c>
      <c r="C2334" s="2" t="inlineStr">
        <is>
          <t>Bengaluru</t>
        </is>
      </c>
      <c r="D2334" s="2" t="inlineStr">
        <is>
          <t>South</t>
        </is>
      </c>
    </row>
    <row r="2335">
      <c r="A2335" s="2" t="inlineStr">
        <is>
          <t>C0469</t>
        </is>
      </c>
      <c r="B2335" s="2" t="inlineStr">
        <is>
          <t>Gujarat</t>
        </is>
      </c>
      <c r="C2335" s="2" t="inlineStr">
        <is>
          <t>Surat</t>
        </is>
      </c>
      <c r="D2335" s="2" t="inlineStr">
        <is>
          <t>West</t>
        </is>
      </c>
    </row>
    <row r="2336">
      <c r="A2336" s="2" t="inlineStr">
        <is>
          <t>C0470</t>
        </is>
      </c>
      <c r="B2336" s="2" t="inlineStr">
        <is>
          <t>Tamil Nadu</t>
        </is>
      </c>
      <c r="C2336" s="2" t="inlineStr">
        <is>
          <t>Madurai</t>
        </is>
      </c>
      <c r="D2336" s="2" t="inlineStr">
        <is>
          <t>South</t>
        </is>
      </c>
    </row>
    <row r="2337">
      <c r="A2337" s="2" t="inlineStr">
        <is>
          <t>C0471</t>
        </is>
      </c>
      <c r="B2337" s="2" t="inlineStr">
        <is>
          <t>Odisha</t>
        </is>
      </c>
      <c r="C2337" s="2" t="inlineStr">
        <is>
          <t>Cuttack</t>
        </is>
      </c>
      <c r="D2337" s="2" t="inlineStr">
        <is>
          <t>East</t>
        </is>
      </c>
    </row>
    <row r="2338">
      <c r="A2338" s="2" t="inlineStr">
        <is>
          <t>C0471</t>
        </is>
      </c>
      <c r="B2338" s="2" t="inlineStr">
        <is>
          <t>Punjab</t>
        </is>
      </c>
      <c r="C2338" s="2" t="inlineStr">
        <is>
          <t>Amritsar</t>
        </is>
      </c>
      <c r="D2338" s="2" t="inlineStr">
        <is>
          <t>North</t>
        </is>
      </c>
    </row>
    <row r="2339">
      <c r="A2339" s="2" t="inlineStr">
        <is>
          <t>C0471</t>
        </is>
      </c>
      <c r="B2339" s="2" t="inlineStr">
        <is>
          <t>Kerala</t>
        </is>
      </c>
      <c r="C2339" s="2" t="inlineStr">
        <is>
          <t>Kochi</t>
        </is>
      </c>
      <c r="D2339" s="2" t="inlineStr">
        <is>
          <t>South</t>
        </is>
      </c>
    </row>
    <row r="2340">
      <c r="A2340" s="2" t="inlineStr">
        <is>
          <t>C0471</t>
        </is>
      </c>
      <c r="B2340" s="2" t="inlineStr">
        <is>
          <t>Uttar Pradesh</t>
        </is>
      </c>
      <c r="C2340" s="2" t="inlineStr">
        <is>
          <t>Noida</t>
        </is>
      </c>
      <c r="D2340" s="2" t="inlineStr">
        <is>
          <t>North</t>
        </is>
      </c>
    </row>
    <row r="2341">
      <c r="A2341" s="2" t="inlineStr">
        <is>
          <t>C0471</t>
        </is>
      </c>
      <c r="B2341" s="2" t="inlineStr">
        <is>
          <t>Karnataka</t>
        </is>
      </c>
      <c r="C2341" s="2" t="inlineStr">
        <is>
          <t>Mangaluru</t>
        </is>
      </c>
      <c r="D2341" s="2" t="inlineStr">
        <is>
          <t>South</t>
        </is>
      </c>
    </row>
    <row r="2342">
      <c r="A2342" s="2" t="inlineStr">
        <is>
          <t>C0471</t>
        </is>
      </c>
      <c r="B2342" s="2" t="inlineStr">
        <is>
          <t>Maharashtra</t>
        </is>
      </c>
      <c r="C2342" s="2" t="inlineStr">
        <is>
          <t>Nashik</t>
        </is>
      </c>
      <c r="D2342" s="2" t="inlineStr">
        <is>
          <t>West</t>
        </is>
      </c>
    </row>
    <row r="2343">
      <c r="A2343" s="2" t="inlineStr">
        <is>
          <t>C0471</t>
        </is>
      </c>
      <c r="B2343" s="2" t="inlineStr">
        <is>
          <t>Maharashtra</t>
        </is>
      </c>
      <c r="C2343" s="2" t="inlineStr">
        <is>
          <t>Nagpur</t>
        </is>
      </c>
      <c r="D2343" s="2" t="inlineStr">
        <is>
          <t>West</t>
        </is>
      </c>
    </row>
    <row r="2344">
      <c r="A2344" s="2" t="inlineStr">
        <is>
          <t>C0471</t>
        </is>
      </c>
      <c r="B2344" s="2" t="inlineStr">
        <is>
          <t>Telangana</t>
        </is>
      </c>
      <c r="C2344" s="2" t="inlineStr">
        <is>
          <t>Hyderabad</t>
        </is>
      </c>
      <c r="D2344" s="2" t="inlineStr">
        <is>
          <t>South</t>
        </is>
      </c>
    </row>
    <row r="2345">
      <c r="A2345" s="2" t="inlineStr">
        <is>
          <t>C0471</t>
        </is>
      </c>
      <c r="B2345" s="2" t="inlineStr">
        <is>
          <t>Punjab</t>
        </is>
      </c>
      <c r="C2345" s="2" t="inlineStr">
        <is>
          <t>Ludhiana</t>
        </is>
      </c>
      <c r="D2345" s="2" t="inlineStr">
        <is>
          <t>North</t>
        </is>
      </c>
    </row>
    <row r="2346">
      <c r="A2346" s="2" t="inlineStr">
        <is>
          <t>C0471</t>
        </is>
      </c>
      <c r="B2346" s="2" t="inlineStr">
        <is>
          <t>Bihar</t>
        </is>
      </c>
      <c r="C2346" s="2" t="inlineStr">
        <is>
          <t>Gaya</t>
        </is>
      </c>
      <c r="D2346" s="2" t="inlineStr">
        <is>
          <t>East</t>
        </is>
      </c>
    </row>
    <row r="2347">
      <c r="A2347" s="2" t="inlineStr">
        <is>
          <t>C0471</t>
        </is>
      </c>
      <c r="B2347" s="2" t="inlineStr">
        <is>
          <t>Karnataka</t>
        </is>
      </c>
      <c r="C2347" s="2" t="inlineStr">
        <is>
          <t>Mysuru</t>
        </is>
      </c>
      <c r="D2347" s="2" t="inlineStr">
        <is>
          <t>South</t>
        </is>
      </c>
    </row>
    <row r="2348">
      <c r="A2348" s="2" t="inlineStr">
        <is>
          <t>C0471</t>
        </is>
      </c>
      <c r="B2348" s="2" t="inlineStr">
        <is>
          <t>Goa</t>
        </is>
      </c>
      <c r="C2348" s="2" t="inlineStr">
        <is>
          <t>Margao</t>
        </is>
      </c>
      <c r="D2348" s="2" t="inlineStr">
        <is>
          <t>West</t>
        </is>
      </c>
    </row>
    <row r="2349">
      <c r="A2349" s="2" t="inlineStr">
        <is>
          <t>C0471</t>
        </is>
      </c>
      <c r="B2349" s="2" t="inlineStr">
        <is>
          <t>Tamil Nadu</t>
        </is>
      </c>
      <c r="C2349" s="2" t="inlineStr">
        <is>
          <t>Chennai</t>
        </is>
      </c>
      <c r="D2349" s="2" t="inlineStr">
        <is>
          <t>South</t>
        </is>
      </c>
    </row>
    <row r="2350">
      <c r="A2350" s="2" t="inlineStr">
        <is>
          <t>C0471</t>
        </is>
      </c>
      <c r="B2350" s="2" t="inlineStr">
        <is>
          <t>Punjab</t>
        </is>
      </c>
      <c r="C2350" s="2" t="inlineStr">
        <is>
          <t>Jalandhar</t>
        </is>
      </c>
      <c r="D2350" s="2" t="inlineStr">
        <is>
          <t>North</t>
        </is>
      </c>
    </row>
    <row r="2351">
      <c r="A2351" s="2" t="inlineStr">
        <is>
          <t>C0472</t>
        </is>
      </c>
      <c r="B2351" s="2" t="inlineStr">
        <is>
          <t>Odisha</t>
        </is>
      </c>
      <c r="C2351" s="2" t="inlineStr">
        <is>
          <t>Bhubaneswar</t>
        </is>
      </c>
      <c r="D2351" s="2" t="inlineStr">
        <is>
          <t>East</t>
        </is>
      </c>
    </row>
    <row r="2352">
      <c r="A2352" s="2" t="inlineStr">
        <is>
          <t>C0472</t>
        </is>
      </c>
      <c r="B2352" s="2" t="inlineStr">
        <is>
          <t>Telangana</t>
        </is>
      </c>
      <c r="C2352" s="2" t="inlineStr">
        <is>
          <t>Warangal</t>
        </is>
      </c>
      <c r="D2352" s="2" t="inlineStr">
        <is>
          <t>South</t>
        </is>
      </c>
    </row>
    <row r="2353">
      <c r="A2353" s="2" t="inlineStr">
        <is>
          <t>C0473</t>
        </is>
      </c>
      <c r="B2353" s="2" t="inlineStr">
        <is>
          <t>Haryana</t>
        </is>
      </c>
      <c r="C2353" s="2" t="inlineStr">
        <is>
          <t>Faridabad</t>
        </is>
      </c>
      <c r="D2353" s="2" t="inlineStr">
        <is>
          <t>North</t>
        </is>
      </c>
    </row>
    <row r="2354">
      <c r="A2354" s="2" t="inlineStr">
        <is>
          <t>C0473</t>
        </is>
      </c>
      <c r="B2354" s="2" t="inlineStr">
        <is>
          <t>Maharashtra</t>
        </is>
      </c>
      <c r="C2354" s="2" t="inlineStr">
        <is>
          <t>Pune</t>
        </is>
      </c>
      <c r="D2354" s="2" t="inlineStr">
        <is>
          <t>West</t>
        </is>
      </c>
    </row>
    <row r="2355">
      <c r="A2355" s="2" t="inlineStr">
        <is>
          <t>C0473</t>
        </is>
      </c>
      <c r="B2355" s="2" t="inlineStr">
        <is>
          <t>Odisha</t>
        </is>
      </c>
      <c r="C2355" s="2" t="inlineStr">
        <is>
          <t>Bhubaneswar</t>
        </is>
      </c>
      <c r="D2355" s="2" t="inlineStr">
        <is>
          <t>East</t>
        </is>
      </c>
    </row>
    <row r="2356">
      <c r="A2356" s="2" t="inlineStr">
        <is>
          <t>C0473</t>
        </is>
      </c>
      <c r="B2356" s="2" t="inlineStr">
        <is>
          <t>Goa</t>
        </is>
      </c>
      <c r="C2356" s="2" t="inlineStr">
        <is>
          <t>Margao</t>
        </is>
      </c>
      <c r="D2356" s="2" t="inlineStr">
        <is>
          <t>West</t>
        </is>
      </c>
    </row>
    <row r="2357">
      <c r="A2357" s="2" t="inlineStr">
        <is>
          <t>C0474</t>
        </is>
      </c>
      <c r="B2357" s="2" t="inlineStr">
        <is>
          <t>Kerala</t>
        </is>
      </c>
      <c r="C2357" s="2" t="inlineStr">
        <is>
          <t>Kochi</t>
        </is>
      </c>
      <c r="D2357" s="2" t="inlineStr">
        <is>
          <t>South</t>
        </is>
      </c>
    </row>
    <row r="2358">
      <c r="A2358" s="2" t="inlineStr">
        <is>
          <t>C0474</t>
        </is>
      </c>
      <c r="B2358" s="2" t="inlineStr">
        <is>
          <t>West Bengal</t>
        </is>
      </c>
      <c r="C2358" s="2" t="inlineStr">
        <is>
          <t>Kolkata</t>
        </is>
      </c>
      <c r="D2358" s="2" t="inlineStr">
        <is>
          <t>East</t>
        </is>
      </c>
    </row>
    <row r="2359">
      <c r="A2359" s="2" t="inlineStr">
        <is>
          <t>C0474</t>
        </is>
      </c>
      <c r="B2359" s="2" t="inlineStr">
        <is>
          <t>Odisha</t>
        </is>
      </c>
      <c r="C2359" s="2" t="inlineStr">
        <is>
          <t>Cuttack</t>
        </is>
      </c>
      <c r="D2359" s="2" t="inlineStr">
        <is>
          <t>East</t>
        </is>
      </c>
    </row>
    <row r="2360">
      <c r="A2360" s="2" t="inlineStr">
        <is>
          <t>C0474</t>
        </is>
      </c>
      <c r="B2360" s="2" t="inlineStr">
        <is>
          <t>Delhi</t>
        </is>
      </c>
      <c r="C2360" s="2" t="inlineStr">
        <is>
          <t>New Delhi</t>
        </is>
      </c>
      <c r="D2360" s="2" t="inlineStr">
        <is>
          <t>North</t>
        </is>
      </c>
    </row>
    <row r="2361">
      <c r="A2361" s="2" t="inlineStr">
        <is>
          <t>C0474</t>
        </is>
      </c>
      <c r="B2361" s="2" t="inlineStr">
        <is>
          <t>West Bengal</t>
        </is>
      </c>
      <c r="C2361" s="2" t="inlineStr">
        <is>
          <t>Durgapur</t>
        </is>
      </c>
      <c r="D2361" s="2" t="inlineStr">
        <is>
          <t>East</t>
        </is>
      </c>
    </row>
    <row r="2362">
      <c r="A2362" s="2" t="inlineStr">
        <is>
          <t>C0474</t>
        </is>
      </c>
      <c r="B2362" s="2" t="inlineStr">
        <is>
          <t>Maharashtra</t>
        </is>
      </c>
      <c r="C2362" s="2" t="inlineStr">
        <is>
          <t>Thane</t>
        </is>
      </c>
      <c r="D2362" s="2" t="inlineStr">
        <is>
          <t>West</t>
        </is>
      </c>
    </row>
    <row r="2363">
      <c r="A2363" s="2" t="inlineStr">
        <is>
          <t>C0474</t>
        </is>
      </c>
      <c r="B2363" s="2" t="inlineStr">
        <is>
          <t>Haryana</t>
        </is>
      </c>
      <c r="C2363" s="2" t="inlineStr">
        <is>
          <t>Gurugram</t>
        </is>
      </c>
      <c r="D2363" s="2" t="inlineStr">
        <is>
          <t>North</t>
        </is>
      </c>
    </row>
    <row r="2364">
      <c r="A2364" s="2" t="inlineStr">
        <is>
          <t>C0474</t>
        </is>
      </c>
      <c r="B2364" s="2" t="inlineStr">
        <is>
          <t>Goa</t>
        </is>
      </c>
      <c r="C2364" s="2" t="inlineStr">
        <is>
          <t>Panaji</t>
        </is>
      </c>
      <c r="D2364" s="2" t="inlineStr">
        <is>
          <t>West</t>
        </is>
      </c>
    </row>
    <row r="2365">
      <c r="A2365" s="2" t="inlineStr">
        <is>
          <t>C0474</t>
        </is>
      </c>
      <c r="B2365" s="2" t="inlineStr">
        <is>
          <t>Kerala</t>
        </is>
      </c>
      <c r="C2365" s="2" t="inlineStr">
        <is>
          <t>Thiruvananthapuram</t>
        </is>
      </c>
      <c r="D2365" s="2" t="inlineStr">
        <is>
          <t>South</t>
        </is>
      </c>
    </row>
    <row r="2366">
      <c r="A2366" s="2" t="inlineStr">
        <is>
          <t>C0474</t>
        </is>
      </c>
      <c r="B2366" s="2" t="inlineStr">
        <is>
          <t>Odisha</t>
        </is>
      </c>
      <c r="C2366" s="2" t="inlineStr">
        <is>
          <t>Bhubaneswar</t>
        </is>
      </c>
      <c r="D2366" s="2" t="inlineStr">
        <is>
          <t>East</t>
        </is>
      </c>
    </row>
    <row r="2367">
      <c r="A2367" s="2" t="inlineStr">
        <is>
          <t>C0475</t>
        </is>
      </c>
      <c r="B2367" s="2" t="inlineStr">
        <is>
          <t>Kerala</t>
        </is>
      </c>
      <c r="C2367" s="2" t="inlineStr">
        <is>
          <t>Thiruvananthapuram</t>
        </is>
      </c>
      <c r="D2367" s="2" t="inlineStr">
        <is>
          <t>South</t>
        </is>
      </c>
    </row>
    <row r="2368">
      <c r="A2368" s="2" t="inlineStr">
        <is>
          <t>C0475</t>
        </is>
      </c>
      <c r="B2368" s="2" t="inlineStr">
        <is>
          <t>Bihar</t>
        </is>
      </c>
      <c r="C2368" s="2" t="inlineStr">
        <is>
          <t>Patna</t>
        </is>
      </c>
      <c r="D2368" s="2" t="inlineStr">
        <is>
          <t>East</t>
        </is>
      </c>
    </row>
    <row r="2369">
      <c r="A2369" s="2" t="inlineStr">
        <is>
          <t>C0475</t>
        </is>
      </c>
      <c r="B2369" s="2" t="inlineStr">
        <is>
          <t>Haryana</t>
        </is>
      </c>
      <c r="C2369" s="2" t="inlineStr">
        <is>
          <t>Gurugram</t>
        </is>
      </c>
      <c r="D2369" s="2" t="inlineStr">
        <is>
          <t>North</t>
        </is>
      </c>
    </row>
    <row r="2370">
      <c r="A2370" s="2" t="inlineStr">
        <is>
          <t>C0475</t>
        </is>
      </c>
      <c r="B2370" s="2" t="inlineStr">
        <is>
          <t>Telangana</t>
        </is>
      </c>
      <c r="C2370" s="2" t="inlineStr">
        <is>
          <t>Hyderabad</t>
        </is>
      </c>
      <c r="D2370" s="2" t="inlineStr">
        <is>
          <t>South</t>
        </is>
      </c>
    </row>
    <row r="2371">
      <c r="A2371" s="2" t="inlineStr">
        <is>
          <t>C0476</t>
        </is>
      </c>
      <c r="B2371" s="2" t="inlineStr">
        <is>
          <t>Gujarat</t>
        </is>
      </c>
      <c r="C2371" s="2" t="inlineStr">
        <is>
          <t>Ahmedabad</t>
        </is>
      </c>
      <c r="D2371" s="2" t="inlineStr">
        <is>
          <t>West</t>
        </is>
      </c>
    </row>
    <row r="2372">
      <c r="A2372" s="2" t="inlineStr">
        <is>
          <t>C0476</t>
        </is>
      </c>
      <c r="B2372" s="2" t="inlineStr">
        <is>
          <t>Delhi</t>
        </is>
      </c>
      <c r="C2372" s="2" t="inlineStr">
        <is>
          <t>New Delhi</t>
        </is>
      </c>
      <c r="D2372" s="2" t="inlineStr">
        <is>
          <t>North</t>
        </is>
      </c>
    </row>
    <row r="2373">
      <c r="A2373" s="2" t="inlineStr">
        <is>
          <t>C0476</t>
        </is>
      </c>
      <c r="B2373" s="2" t="inlineStr">
        <is>
          <t>Gujarat</t>
        </is>
      </c>
      <c r="C2373" s="2" t="inlineStr">
        <is>
          <t>Vadodara</t>
        </is>
      </c>
      <c r="D2373" s="2" t="inlineStr">
        <is>
          <t>West</t>
        </is>
      </c>
    </row>
    <row r="2374">
      <c r="A2374" s="2" t="inlineStr">
        <is>
          <t>C0476</t>
        </is>
      </c>
      <c r="B2374" s="2" t="inlineStr">
        <is>
          <t>Karnataka</t>
        </is>
      </c>
      <c r="C2374" s="2" t="inlineStr">
        <is>
          <t>Mangaluru</t>
        </is>
      </c>
      <c r="D2374" s="2" t="inlineStr">
        <is>
          <t>South</t>
        </is>
      </c>
    </row>
    <row r="2375">
      <c r="A2375" s="2" t="inlineStr">
        <is>
          <t>C0476</t>
        </is>
      </c>
      <c r="B2375" s="2" t="inlineStr">
        <is>
          <t>West Bengal</t>
        </is>
      </c>
      <c r="C2375" s="2" t="inlineStr">
        <is>
          <t>Kolkata</t>
        </is>
      </c>
      <c r="D2375" s="2" t="inlineStr">
        <is>
          <t>East</t>
        </is>
      </c>
    </row>
    <row r="2376">
      <c r="A2376" s="2" t="inlineStr">
        <is>
          <t>C0476</t>
        </is>
      </c>
      <c r="B2376" s="2" t="inlineStr">
        <is>
          <t>Tamil Nadu</t>
        </is>
      </c>
      <c r="C2376" s="2" t="inlineStr">
        <is>
          <t>Coimbatore</t>
        </is>
      </c>
      <c r="D2376" s="2" t="inlineStr">
        <is>
          <t>South</t>
        </is>
      </c>
    </row>
    <row r="2377">
      <c r="A2377" s="2" t="inlineStr">
        <is>
          <t>C0476</t>
        </is>
      </c>
      <c r="B2377" s="2" t="inlineStr">
        <is>
          <t>Maharashtra</t>
        </is>
      </c>
      <c r="C2377" s="2" t="inlineStr">
        <is>
          <t>Nagpur</t>
        </is>
      </c>
      <c r="D2377" s="2" t="inlineStr">
        <is>
          <t>West</t>
        </is>
      </c>
    </row>
    <row r="2378">
      <c r="A2378" s="2" t="inlineStr">
        <is>
          <t>C0477</t>
        </is>
      </c>
      <c r="B2378" s="2" t="inlineStr">
        <is>
          <t>Tamil Nadu</t>
        </is>
      </c>
      <c r="C2378" s="2" t="inlineStr">
        <is>
          <t>Madurai</t>
        </is>
      </c>
      <c r="D2378" s="2" t="inlineStr">
        <is>
          <t>South</t>
        </is>
      </c>
    </row>
    <row r="2379">
      <c r="A2379" s="2" t="inlineStr">
        <is>
          <t>C0477</t>
        </is>
      </c>
      <c r="B2379" s="2" t="inlineStr">
        <is>
          <t>Punjab</t>
        </is>
      </c>
      <c r="C2379" s="2" t="inlineStr">
        <is>
          <t>Jalandhar</t>
        </is>
      </c>
      <c r="D2379" s="2" t="inlineStr">
        <is>
          <t>North</t>
        </is>
      </c>
    </row>
    <row r="2380">
      <c r="A2380" s="2" t="inlineStr">
        <is>
          <t>C0477</t>
        </is>
      </c>
      <c r="B2380" s="2" t="inlineStr">
        <is>
          <t>Uttar Pradesh</t>
        </is>
      </c>
      <c r="C2380" s="2" t="inlineStr">
        <is>
          <t>Kanpur</t>
        </is>
      </c>
      <c r="D2380" s="2" t="inlineStr">
        <is>
          <t>North</t>
        </is>
      </c>
    </row>
    <row r="2381">
      <c r="A2381" s="2" t="inlineStr">
        <is>
          <t>C0478</t>
        </is>
      </c>
      <c r="B2381" s="2" t="inlineStr">
        <is>
          <t>Goa</t>
        </is>
      </c>
      <c r="C2381" s="2" t="inlineStr">
        <is>
          <t>Panaji</t>
        </is>
      </c>
      <c r="D2381" s="2" t="inlineStr">
        <is>
          <t>West</t>
        </is>
      </c>
    </row>
    <row r="2382">
      <c r="A2382" s="2" t="inlineStr">
        <is>
          <t>C0478</t>
        </is>
      </c>
      <c r="B2382" s="2" t="inlineStr">
        <is>
          <t>Punjab</t>
        </is>
      </c>
      <c r="C2382" s="2" t="inlineStr">
        <is>
          <t>Jalandhar</t>
        </is>
      </c>
      <c r="D2382" s="2" t="inlineStr">
        <is>
          <t>North</t>
        </is>
      </c>
    </row>
    <row r="2383">
      <c r="A2383" s="2" t="inlineStr">
        <is>
          <t>C0478</t>
        </is>
      </c>
      <c r="B2383" s="2" t="inlineStr">
        <is>
          <t>Odisha</t>
        </is>
      </c>
      <c r="C2383" s="2" t="inlineStr">
        <is>
          <t>Cuttack</t>
        </is>
      </c>
      <c r="D2383" s="2" t="inlineStr">
        <is>
          <t>East</t>
        </is>
      </c>
    </row>
    <row r="2384">
      <c r="A2384" s="2" t="inlineStr">
        <is>
          <t>C0478</t>
        </is>
      </c>
      <c r="B2384" s="2" t="inlineStr">
        <is>
          <t>Karnataka</t>
        </is>
      </c>
      <c r="C2384" s="2" t="inlineStr">
        <is>
          <t>Bengaluru</t>
        </is>
      </c>
      <c r="D2384" s="2" t="inlineStr">
        <is>
          <t>South</t>
        </is>
      </c>
    </row>
    <row r="2385">
      <c r="A2385" s="2" t="inlineStr">
        <is>
          <t>C0478</t>
        </is>
      </c>
      <c r="B2385" s="2" t="inlineStr">
        <is>
          <t>Bihar</t>
        </is>
      </c>
      <c r="C2385" s="2" t="inlineStr">
        <is>
          <t>Gaya</t>
        </is>
      </c>
      <c r="D2385" s="2" t="inlineStr">
        <is>
          <t>East</t>
        </is>
      </c>
    </row>
    <row r="2386">
      <c r="A2386" s="2" t="inlineStr">
        <is>
          <t>C0478</t>
        </is>
      </c>
      <c r="B2386" s="2" t="inlineStr">
        <is>
          <t>Uttar Pradesh</t>
        </is>
      </c>
      <c r="C2386" s="2" t="inlineStr">
        <is>
          <t>Kanpur</t>
        </is>
      </c>
      <c r="D2386" s="2" t="inlineStr">
        <is>
          <t>North</t>
        </is>
      </c>
    </row>
    <row r="2387">
      <c r="A2387" s="2" t="inlineStr">
        <is>
          <t>C0478</t>
        </is>
      </c>
      <c r="B2387" s="2" t="inlineStr">
        <is>
          <t>Delhi</t>
        </is>
      </c>
      <c r="C2387" s="2" t="inlineStr">
        <is>
          <t>New Delhi</t>
        </is>
      </c>
      <c r="D2387" s="2" t="inlineStr">
        <is>
          <t>North</t>
        </is>
      </c>
    </row>
    <row r="2388">
      <c r="A2388" s="2" t="inlineStr">
        <is>
          <t>C0478</t>
        </is>
      </c>
      <c r="B2388" s="2" t="inlineStr">
        <is>
          <t>Maharashtra</t>
        </is>
      </c>
      <c r="C2388" s="2" t="inlineStr">
        <is>
          <t>Thane</t>
        </is>
      </c>
      <c r="D2388" s="2" t="inlineStr">
        <is>
          <t>West</t>
        </is>
      </c>
    </row>
    <row r="2389">
      <c r="A2389" s="2" t="inlineStr">
        <is>
          <t>C0478</t>
        </is>
      </c>
      <c r="B2389" s="2" t="inlineStr">
        <is>
          <t>Goa</t>
        </is>
      </c>
      <c r="C2389" s="2" t="inlineStr">
        <is>
          <t>Margao</t>
        </is>
      </c>
      <c r="D2389" s="2" t="inlineStr">
        <is>
          <t>West</t>
        </is>
      </c>
    </row>
    <row r="2390">
      <c r="A2390" s="2" t="inlineStr">
        <is>
          <t>C0478</t>
        </is>
      </c>
      <c r="B2390" s="2" t="inlineStr">
        <is>
          <t>Telangana</t>
        </is>
      </c>
      <c r="C2390" s="2" t="inlineStr">
        <is>
          <t>Hyderabad</t>
        </is>
      </c>
      <c r="D2390" s="2" t="inlineStr">
        <is>
          <t>South</t>
        </is>
      </c>
    </row>
    <row r="2391">
      <c r="A2391" s="2" t="inlineStr">
        <is>
          <t>C0478</t>
        </is>
      </c>
      <c r="B2391" s="2" t="inlineStr">
        <is>
          <t>Gujarat</t>
        </is>
      </c>
      <c r="C2391" s="2" t="inlineStr">
        <is>
          <t>Vadodara</t>
        </is>
      </c>
      <c r="D2391" s="2" t="inlineStr">
        <is>
          <t>West</t>
        </is>
      </c>
    </row>
    <row r="2392">
      <c r="A2392" s="2" t="inlineStr">
        <is>
          <t>C0478</t>
        </is>
      </c>
      <c r="B2392" s="2" t="inlineStr">
        <is>
          <t>Karnataka</t>
        </is>
      </c>
      <c r="C2392" s="2" t="inlineStr">
        <is>
          <t>Mysuru</t>
        </is>
      </c>
      <c r="D2392" s="2" t="inlineStr">
        <is>
          <t>South</t>
        </is>
      </c>
    </row>
    <row r="2393">
      <c r="A2393" s="2" t="inlineStr">
        <is>
          <t>C0478</t>
        </is>
      </c>
      <c r="B2393" s="2" t="inlineStr">
        <is>
          <t>Telangana</t>
        </is>
      </c>
      <c r="C2393" s="2" t="inlineStr">
        <is>
          <t>Warangal</t>
        </is>
      </c>
      <c r="D2393" s="2" t="inlineStr">
        <is>
          <t>South</t>
        </is>
      </c>
    </row>
    <row r="2394">
      <c r="A2394" s="2" t="inlineStr">
        <is>
          <t>C0478</t>
        </is>
      </c>
      <c r="B2394" s="2" t="inlineStr">
        <is>
          <t>Punjab</t>
        </is>
      </c>
      <c r="C2394" s="2" t="inlineStr">
        <is>
          <t>Ludhiana</t>
        </is>
      </c>
      <c r="D2394" s="2" t="inlineStr">
        <is>
          <t>North</t>
        </is>
      </c>
    </row>
    <row r="2395">
      <c r="A2395" s="2" t="inlineStr">
        <is>
          <t>C0479</t>
        </is>
      </c>
      <c r="B2395" s="2" t="inlineStr">
        <is>
          <t>Tamil Nadu</t>
        </is>
      </c>
      <c r="C2395" s="2" t="inlineStr">
        <is>
          <t>Madurai</t>
        </is>
      </c>
      <c r="D2395" s="2" t="inlineStr">
        <is>
          <t>South</t>
        </is>
      </c>
    </row>
    <row r="2396">
      <c r="A2396" s="2" t="inlineStr">
        <is>
          <t>C0479</t>
        </is>
      </c>
      <c r="B2396" s="2" t="inlineStr">
        <is>
          <t>Karnataka</t>
        </is>
      </c>
      <c r="C2396" s="2" t="inlineStr">
        <is>
          <t>Mysuru</t>
        </is>
      </c>
      <c r="D2396" s="2" t="inlineStr">
        <is>
          <t>South</t>
        </is>
      </c>
    </row>
    <row r="2397">
      <c r="A2397" s="2" t="inlineStr">
        <is>
          <t>C0479</t>
        </is>
      </c>
      <c r="B2397" s="2" t="inlineStr">
        <is>
          <t>Gujarat</t>
        </is>
      </c>
      <c r="C2397" s="2" t="inlineStr">
        <is>
          <t>Ahmedabad</t>
        </is>
      </c>
      <c r="D2397" s="2" t="inlineStr">
        <is>
          <t>West</t>
        </is>
      </c>
    </row>
    <row r="2398">
      <c r="A2398" s="2" t="inlineStr">
        <is>
          <t>C0480</t>
        </is>
      </c>
      <c r="B2398" s="2" t="inlineStr">
        <is>
          <t>Karnataka</t>
        </is>
      </c>
      <c r="C2398" s="2" t="inlineStr">
        <is>
          <t>Bengaluru</t>
        </is>
      </c>
      <c r="D2398" s="2" t="inlineStr">
        <is>
          <t>South</t>
        </is>
      </c>
    </row>
    <row r="2399">
      <c r="A2399" s="2" t="inlineStr">
        <is>
          <t>C0480</t>
        </is>
      </c>
      <c r="B2399" s="2" t="inlineStr">
        <is>
          <t>Odisha</t>
        </is>
      </c>
      <c r="C2399" s="2" t="inlineStr">
        <is>
          <t>Bhubaneswar</t>
        </is>
      </c>
      <c r="D2399" s="2" t="inlineStr">
        <is>
          <t>East</t>
        </is>
      </c>
    </row>
    <row r="2400">
      <c r="A2400" s="2" t="inlineStr">
        <is>
          <t>C0480</t>
        </is>
      </c>
      <c r="B2400" s="2" t="inlineStr">
        <is>
          <t>Uttar Pradesh</t>
        </is>
      </c>
      <c r="C2400" s="2" t="inlineStr">
        <is>
          <t>Lucknow</t>
        </is>
      </c>
      <c r="D2400" s="2" t="inlineStr">
        <is>
          <t>North</t>
        </is>
      </c>
    </row>
    <row r="2401">
      <c r="A2401" s="2" t="inlineStr">
        <is>
          <t>C0480</t>
        </is>
      </c>
      <c r="B2401" s="2" t="inlineStr">
        <is>
          <t>Haryana</t>
        </is>
      </c>
      <c r="C2401" s="2" t="inlineStr">
        <is>
          <t>Faridabad</t>
        </is>
      </c>
      <c r="D2401" s="2" t="inlineStr">
        <is>
          <t>North</t>
        </is>
      </c>
    </row>
    <row r="2402">
      <c r="A2402" s="2" t="inlineStr">
        <is>
          <t>C0480</t>
        </is>
      </c>
      <c r="B2402" s="2" t="inlineStr">
        <is>
          <t>Telangana</t>
        </is>
      </c>
      <c r="C2402" s="2" t="inlineStr">
        <is>
          <t>Warangal</t>
        </is>
      </c>
      <c r="D2402" s="2" t="inlineStr">
        <is>
          <t>South</t>
        </is>
      </c>
    </row>
    <row r="2403">
      <c r="A2403" s="2" t="inlineStr">
        <is>
          <t>C0480</t>
        </is>
      </c>
      <c r="B2403" s="2" t="inlineStr">
        <is>
          <t>Delhi</t>
        </is>
      </c>
      <c r="C2403" s="2" t="inlineStr">
        <is>
          <t>New Delhi</t>
        </is>
      </c>
      <c r="D2403" s="2" t="inlineStr">
        <is>
          <t>North</t>
        </is>
      </c>
    </row>
    <row r="2404">
      <c r="A2404" s="2" t="inlineStr">
        <is>
          <t>C0480</t>
        </is>
      </c>
      <c r="B2404" s="2" t="inlineStr">
        <is>
          <t>Goa</t>
        </is>
      </c>
      <c r="C2404" s="2" t="inlineStr">
        <is>
          <t>Margao</t>
        </is>
      </c>
      <c r="D2404" s="2" t="inlineStr">
        <is>
          <t>West</t>
        </is>
      </c>
    </row>
    <row r="2405">
      <c r="A2405" s="2" t="inlineStr">
        <is>
          <t>C0480</t>
        </is>
      </c>
      <c r="B2405" s="2" t="inlineStr">
        <is>
          <t>Telangana</t>
        </is>
      </c>
      <c r="C2405" s="2" t="inlineStr">
        <is>
          <t>Hyderabad</t>
        </is>
      </c>
      <c r="D2405" s="2" t="inlineStr">
        <is>
          <t>South</t>
        </is>
      </c>
    </row>
    <row r="2406">
      <c r="A2406" s="2" t="inlineStr">
        <is>
          <t>C0480</t>
        </is>
      </c>
      <c r="B2406" s="2" t="inlineStr">
        <is>
          <t>Gujarat</t>
        </is>
      </c>
      <c r="C2406" s="2" t="inlineStr">
        <is>
          <t>Vadodara</t>
        </is>
      </c>
      <c r="D2406" s="2" t="inlineStr">
        <is>
          <t>West</t>
        </is>
      </c>
    </row>
    <row r="2407">
      <c r="A2407" s="2" t="inlineStr">
        <is>
          <t>C0481</t>
        </is>
      </c>
      <c r="B2407" s="2" t="inlineStr">
        <is>
          <t>Maharashtra</t>
        </is>
      </c>
      <c r="C2407" s="2" t="inlineStr">
        <is>
          <t>Nashik</t>
        </is>
      </c>
      <c r="D2407" s="2" t="inlineStr">
        <is>
          <t>West</t>
        </is>
      </c>
    </row>
    <row r="2408">
      <c r="A2408" s="2" t="inlineStr">
        <is>
          <t>C0481</t>
        </is>
      </c>
      <c r="B2408" s="2" t="inlineStr">
        <is>
          <t>Maharashtra</t>
        </is>
      </c>
      <c r="C2408" s="2" t="inlineStr">
        <is>
          <t>Pune</t>
        </is>
      </c>
      <c r="D2408" s="2" t="inlineStr">
        <is>
          <t>West</t>
        </is>
      </c>
    </row>
    <row r="2409">
      <c r="A2409" s="2" t="inlineStr">
        <is>
          <t>C0481</t>
        </is>
      </c>
      <c r="B2409" s="2" t="inlineStr">
        <is>
          <t>Bihar</t>
        </is>
      </c>
      <c r="C2409" s="2" t="inlineStr">
        <is>
          <t>Gaya</t>
        </is>
      </c>
      <c r="D2409" s="2" t="inlineStr">
        <is>
          <t>East</t>
        </is>
      </c>
    </row>
    <row r="2410">
      <c r="A2410" s="2" t="inlineStr">
        <is>
          <t>C0481</t>
        </is>
      </c>
      <c r="B2410" s="2" t="inlineStr">
        <is>
          <t>Gujarat</t>
        </is>
      </c>
      <c r="C2410" s="2" t="inlineStr">
        <is>
          <t>Surat</t>
        </is>
      </c>
      <c r="D2410" s="2" t="inlineStr">
        <is>
          <t>West</t>
        </is>
      </c>
    </row>
    <row r="2411">
      <c r="A2411" s="2" t="inlineStr">
        <is>
          <t>C0482</t>
        </is>
      </c>
      <c r="B2411" s="2" t="inlineStr">
        <is>
          <t>Haryana</t>
        </is>
      </c>
      <c r="C2411" s="2" t="inlineStr">
        <is>
          <t>Faridabad</t>
        </is>
      </c>
      <c r="D2411" s="2" t="inlineStr">
        <is>
          <t>North</t>
        </is>
      </c>
    </row>
    <row r="2412">
      <c r="A2412" s="2" t="inlineStr">
        <is>
          <t>C0482</t>
        </is>
      </c>
      <c r="B2412" s="2" t="inlineStr">
        <is>
          <t>Bihar</t>
        </is>
      </c>
      <c r="C2412" s="2" t="inlineStr">
        <is>
          <t>Gaya</t>
        </is>
      </c>
      <c r="D2412" s="2" t="inlineStr">
        <is>
          <t>East</t>
        </is>
      </c>
    </row>
    <row r="2413">
      <c r="A2413" s="2" t="inlineStr">
        <is>
          <t>C0483</t>
        </is>
      </c>
      <c r="B2413" s="2" t="inlineStr">
        <is>
          <t>Kerala</t>
        </is>
      </c>
      <c r="C2413" s="2" t="inlineStr">
        <is>
          <t>Kochi</t>
        </is>
      </c>
      <c r="D2413" s="2" t="inlineStr">
        <is>
          <t>South</t>
        </is>
      </c>
    </row>
    <row r="2414">
      <c r="A2414" s="2" t="inlineStr">
        <is>
          <t>C0483</t>
        </is>
      </c>
      <c r="B2414" s="2" t="inlineStr">
        <is>
          <t>Karnataka</t>
        </is>
      </c>
      <c r="C2414" s="2" t="inlineStr">
        <is>
          <t>Mangaluru</t>
        </is>
      </c>
      <c r="D2414" s="2" t="inlineStr">
        <is>
          <t>South</t>
        </is>
      </c>
    </row>
    <row r="2415">
      <c r="A2415" s="2" t="inlineStr">
        <is>
          <t>C0483</t>
        </is>
      </c>
      <c r="B2415" s="2" t="inlineStr">
        <is>
          <t>Tamil Nadu</t>
        </is>
      </c>
      <c r="C2415" s="2" t="inlineStr">
        <is>
          <t>Coimbatore</t>
        </is>
      </c>
      <c r="D2415" s="2" t="inlineStr">
        <is>
          <t>South</t>
        </is>
      </c>
    </row>
    <row r="2416">
      <c r="A2416" s="2" t="inlineStr">
        <is>
          <t>C0483</t>
        </is>
      </c>
      <c r="B2416" s="2" t="inlineStr">
        <is>
          <t>Tamil Nadu</t>
        </is>
      </c>
      <c r="C2416" s="2" t="inlineStr">
        <is>
          <t>Madurai</t>
        </is>
      </c>
      <c r="D2416" s="2" t="inlineStr">
        <is>
          <t>South</t>
        </is>
      </c>
    </row>
    <row r="2417">
      <c r="A2417" s="2" t="inlineStr">
        <is>
          <t>C0483</t>
        </is>
      </c>
      <c r="B2417" s="2" t="inlineStr">
        <is>
          <t>Goa</t>
        </is>
      </c>
      <c r="C2417" s="2" t="inlineStr">
        <is>
          <t>Margao</t>
        </is>
      </c>
      <c r="D2417" s="2" t="inlineStr">
        <is>
          <t>West</t>
        </is>
      </c>
    </row>
    <row r="2418">
      <c r="A2418" s="2" t="inlineStr">
        <is>
          <t>C0483</t>
        </is>
      </c>
      <c r="B2418" s="2" t="inlineStr">
        <is>
          <t>Bihar</t>
        </is>
      </c>
      <c r="C2418" s="2" t="inlineStr">
        <is>
          <t>Gaya</t>
        </is>
      </c>
      <c r="D2418" s="2" t="inlineStr">
        <is>
          <t>East</t>
        </is>
      </c>
    </row>
    <row r="2419">
      <c r="A2419" s="2" t="inlineStr">
        <is>
          <t>C0484</t>
        </is>
      </c>
      <c r="B2419" s="2" t="inlineStr">
        <is>
          <t>Punjab</t>
        </is>
      </c>
      <c r="C2419" s="2" t="inlineStr">
        <is>
          <t>Amritsar</t>
        </is>
      </c>
      <c r="D2419" s="2" t="inlineStr">
        <is>
          <t>North</t>
        </is>
      </c>
    </row>
    <row r="2420">
      <c r="A2420" s="2" t="inlineStr">
        <is>
          <t>C0485</t>
        </is>
      </c>
      <c r="B2420" s="2" t="inlineStr">
        <is>
          <t>Gujarat</t>
        </is>
      </c>
      <c r="C2420" s="2" t="inlineStr">
        <is>
          <t>Vadodara</t>
        </is>
      </c>
      <c r="D2420" s="2" t="inlineStr">
        <is>
          <t>West</t>
        </is>
      </c>
    </row>
    <row r="2421">
      <c r="A2421" s="2" t="inlineStr">
        <is>
          <t>C0485</t>
        </is>
      </c>
      <c r="B2421" s="2" t="inlineStr">
        <is>
          <t>Uttar Pradesh</t>
        </is>
      </c>
      <c r="C2421" s="2" t="inlineStr">
        <is>
          <t>Lucknow</t>
        </is>
      </c>
      <c r="D2421" s="2" t="inlineStr">
        <is>
          <t>North</t>
        </is>
      </c>
    </row>
    <row r="2422">
      <c r="A2422" s="2" t="inlineStr">
        <is>
          <t>C0485</t>
        </is>
      </c>
      <c r="B2422" s="2" t="inlineStr">
        <is>
          <t>Maharashtra</t>
        </is>
      </c>
      <c r="C2422" s="2" t="inlineStr">
        <is>
          <t>Pune</t>
        </is>
      </c>
      <c r="D2422" s="2" t="inlineStr">
        <is>
          <t>West</t>
        </is>
      </c>
    </row>
    <row r="2423">
      <c r="A2423" s="2" t="inlineStr">
        <is>
          <t>C0485</t>
        </is>
      </c>
      <c r="B2423" s="2" t="inlineStr">
        <is>
          <t>Karnataka</t>
        </is>
      </c>
      <c r="C2423" s="2" t="inlineStr">
        <is>
          <t>Mangaluru</t>
        </is>
      </c>
      <c r="D2423" s="2" t="inlineStr">
        <is>
          <t>South</t>
        </is>
      </c>
    </row>
    <row r="2424">
      <c r="A2424" s="2" t="inlineStr">
        <is>
          <t>C0485</t>
        </is>
      </c>
      <c r="B2424" s="2" t="inlineStr">
        <is>
          <t>Kerala</t>
        </is>
      </c>
      <c r="C2424" s="2" t="inlineStr">
        <is>
          <t>Kochi</t>
        </is>
      </c>
      <c r="D2424" s="2" t="inlineStr">
        <is>
          <t>South</t>
        </is>
      </c>
    </row>
    <row r="2425">
      <c r="A2425" s="2" t="inlineStr">
        <is>
          <t>C0485</t>
        </is>
      </c>
      <c r="B2425" s="2" t="inlineStr">
        <is>
          <t>Punjab</t>
        </is>
      </c>
      <c r="C2425" s="2" t="inlineStr">
        <is>
          <t>Ludhiana</t>
        </is>
      </c>
      <c r="D2425" s="2" t="inlineStr">
        <is>
          <t>North</t>
        </is>
      </c>
    </row>
    <row r="2426">
      <c r="A2426" s="2" t="inlineStr">
        <is>
          <t>C0485</t>
        </is>
      </c>
      <c r="B2426" s="2" t="inlineStr">
        <is>
          <t>Maharashtra</t>
        </is>
      </c>
      <c r="C2426" s="2" t="inlineStr">
        <is>
          <t>Mumbai</t>
        </is>
      </c>
      <c r="D2426" s="2" t="inlineStr">
        <is>
          <t>West</t>
        </is>
      </c>
    </row>
    <row r="2427">
      <c r="A2427" s="2" t="inlineStr">
        <is>
          <t>C0486</t>
        </is>
      </c>
      <c r="B2427" s="2" t="inlineStr">
        <is>
          <t>Haryana</t>
        </is>
      </c>
      <c r="C2427" s="2" t="inlineStr">
        <is>
          <t>Gurugram</t>
        </is>
      </c>
      <c r="D2427" s="2" t="inlineStr">
        <is>
          <t>North</t>
        </is>
      </c>
    </row>
    <row r="2428">
      <c r="A2428" s="2" t="inlineStr">
        <is>
          <t>C0487</t>
        </is>
      </c>
      <c r="B2428" s="2" t="inlineStr">
        <is>
          <t>Gujarat</t>
        </is>
      </c>
      <c r="C2428" s="2" t="inlineStr">
        <is>
          <t>Surat</t>
        </is>
      </c>
      <c r="D2428" s="2" t="inlineStr">
        <is>
          <t>West</t>
        </is>
      </c>
    </row>
    <row r="2429">
      <c r="A2429" s="2" t="inlineStr">
        <is>
          <t>C0487</t>
        </is>
      </c>
      <c r="B2429" s="2" t="inlineStr">
        <is>
          <t>Delhi</t>
        </is>
      </c>
      <c r="C2429" s="2" t="inlineStr">
        <is>
          <t>New Delhi</t>
        </is>
      </c>
      <c r="D2429" s="2" t="inlineStr">
        <is>
          <t>North</t>
        </is>
      </c>
    </row>
    <row r="2430">
      <c r="A2430" s="2" t="inlineStr">
        <is>
          <t>C0487</t>
        </is>
      </c>
      <c r="B2430" s="2" t="inlineStr">
        <is>
          <t>Odisha</t>
        </is>
      </c>
      <c r="C2430" s="2" t="inlineStr">
        <is>
          <t>Bhubaneswar</t>
        </is>
      </c>
      <c r="D2430" s="2" t="inlineStr">
        <is>
          <t>East</t>
        </is>
      </c>
    </row>
    <row r="2431">
      <c r="A2431" s="2" t="inlineStr">
        <is>
          <t>C0488</t>
        </is>
      </c>
      <c r="B2431" s="2" t="inlineStr">
        <is>
          <t>Punjab</t>
        </is>
      </c>
      <c r="C2431" s="2" t="inlineStr">
        <is>
          <t>Jalandhar</t>
        </is>
      </c>
      <c r="D2431" s="2" t="inlineStr">
        <is>
          <t>North</t>
        </is>
      </c>
    </row>
    <row r="2432">
      <c r="A2432" s="2" t="inlineStr">
        <is>
          <t>C0489</t>
        </is>
      </c>
      <c r="B2432" s="2" t="inlineStr">
        <is>
          <t>Telangana</t>
        </is>
      </c>
      <c r="C2432" s="2" t="inlineStr">
        <is>
          <t>Hyderabad</t>
        </is>
      </c>
      <c r="D2432" s="2" t="inlineStr">
        <is>
          <t>South</t>
        </is>
      </c>
    </row>
    <row r="2433">
      <c r="A2433" s="2" t="inlineStr">
        <is>
          <t>C0489</t>
        </is>
      </c>
      <c r="B2433" s="2" t="inlineStr">
        <is>
          <t>Bihar</t>
        </is>
      </c>
      <c r="C2433" s="2" t="inlineStr">
        <is>
          <t>Gaya</t>
        </is>
      </c>
      <c r="D2433" s="2" t="inlineStr">
        <is>
          <t>East</t>
        </is>
      </c>
    </row>
    <row r="2434">
      <c r="A2434" s="2" t="inlineStr">
        <is>
          <t>C0490</t>
        </is>
      </c>
      <c r="B2434" s="2" t="inlineStr">
        <is>
          <t>Kerala</t>
        </is>
      </c>
      <c r="C2434" s="2" t="inlineStr">
        <is>
          <t>Kochi</t>
        </is>
      </c>
      <c r="D2434" s="2" t="inlineStr">
        <is>
          <t>South</t>
        </is>
      </c>
    </row>
    <row r="2435">
      <c r="A2435" s="2" t="inlineStr">
        <is>
          <t>C0490</t>
        </is>
      </c>
      <c r="B2435" s="2" t="inlineStr">
        <is>
          <t>Goa</t>
        </is>
      </c>
      <c r="C2435" s="2" t="inlineStr">
        <is>
          <t>Panaji</t>
        </is>
      </c>
      <c r="D2435" s="2" t="inlineStr">
        <is>
          <t>West</t>
        </is>
      </c>
    </row>
    <row r="2436">
      <c r="A2436" s="2" t="inlineStr">
        <is>
          <t>C0492</t>
        </is>
      </c>
      <c r="B2436" s="2" t="inlineStr">
        <is>
          <t>Gujarat</t>
        </is>
      </c>
      <c r="C2436" s="2" t="inlineStr">
        <is>
          <t>Surat</t>
        </is>
      </c>
      <c r="D2436" s="2" t="inlineStr">
        <is>
          <t>West</t>
        </is>
      </c>
    </row>
    <row r="2437">
      <c r="A2437" s="2" t="inlineStr">
        <is>
          <t>C0492</t>
        </is>
      </c>
      <c r="B2437" s="2" t="inlineStr">
        <is>
          <t>West Bengal</t>
        </is>
      </c>
      <c r="C2437" s="2" t="inlineStr">
        <is>
          <t>Durgapur</t>
        </is>
      </c>
      <c r="D2437" s="2" t="inlineStr">
        <is>
          <t>East</t>
        </is>
      </c>
    </row>
    <row r="2438">
      <c r="A2438" s="2" t="inlineStr">
        <is>
          <t>C0492</t>
        </is>
      </c>
      <c r="B2438" s="2" t="inlineStr">
        <is>
          <t>Maharashtra</t>
        </is>
      </c>
      <c r="C2438" s="2" t="inlineStr">
        <is>
          <t>Pune</t>
        </is>
      </c>
      <c r="D2438" s="2" t="inlineStr">
        <is>
          <t>West</t>
        </is>
      </c>
    </row>
    <row r="2439">
      <c r="A2439" s="2" t="inlineStr">
        <is>
          <t>C0492</t>
        </is>
      </c>
      <c r="B2439" s="2" t="inlineStr">
        <is>
          <t>Tamil Nadu</t>
        </is>
      </c>
      <c r="C2439" s="2" t="inlineStr">
        <is>
          <t>Chennai</t>
        </is>
      </c>
      <c r="D2439" s="2" t="inlineStr">
        <is>
          <t>South</t>
        </is>
      </c>
    </row>
    <row r="2440">
      <c r="A2440" s="2" t="inlineStr">
        <is>
          <t>C0492</t>
        </is>
      </c>
      <c r="B2440" s="2" t="inlineStr">
        <is>
          <t>Karnataka</t>
        </is>
      </c>
      <c r="C2440" s="2" t="inlineStr">
        <is>
          <t>Bengaluru</t>
        </is>
      </c>
      <c r="D2440" s="2" t="inlineStr">
        <is>
          <t>South</t>
        </is>
      </c>
    </row>
    <row r="2441">
      <c r="A2441" s="2" t="inlineStr">
        <is>
          <t>C0492</t>
        </is>
      </c>
      <c r="B2441" s="2" t="inlineStr">
        <is>
          <t>Bihar</t>
        </is>
      </c>
      <c r="C2441" s="2" t="inlineStr">
        <is>
          <t>Gaya</t>
        </is>
      </c>
      <c r="D2441" s="2" t="inlineStr">
        <is>
          <t>East</t>
        </is>
      </c>
    </row>
    <row r="2442">
      <c r="A2442" s="2" t="inlineStr">
        <is>
          <t>C0492</t>
        </is>
      </c>
      <c r="B2442" s="2" t="inlineStr">
        <is>
          <t>Delhi</t>
        </is>
      </c>
      <c r="C2442" s="2" t="inlineStr">
        <is>
          <t>New Delhi</t>
        </is>
      </c>
      <c r="D2442" s="2" t="inlineStr">
        <is>
          <t>North</t>
        </is>
      </c>
    </row>
    <row r="2443">
      <c r="A2443" s="2" t="inlineStr">
        <is>
          <t>C0493</t>
        </is>
      </c>
      <c r="B2443" s="2" t="inlineStr">
        <is>
          <t>Tamil Nadu</t>
        </is>
      </c>
      <c r="C2443" s="2" t="inlineStr">
        <is>
          <t>Coimbatore</t>
        </is>
      </c>
      <c r="D2443" s="2" t="inlineStr">
        <is>
          <t>South</t>
        </is>
      </c>
    </row>
    <row r="2444">
      <c r="A2444" s="2" t="inlineStr">
        <is>
          <t>C0494</t>
        </is>
      </c>
      <c r="B2444" s="2" t="inlineStr">
        <is>
          <t>Maharashtra</t>
        </is>
      </c>
      <c r="C2444" s="2" t="inlineStr">
        <is>
          <t>Thane</t>
        </is>
      </c>
      <c r="D2444" s="2" t="inlineStr">
        <is>
          <t>West</t>
        </is>
      </c>
    </row>
    <row r="2445">
      <c r="A2445" s="2" t="inlineStr">
        <is>
          <t>C0494</t>
        </is>
      </c>
      <c r="B2445" s="2" t="inlineStr">
        <is>
          <t>Gujarat</t>
        </is>
      </c>
      <c r="C2445" s="2" t="inlineStr">
        <is>
          <t>Ahmedabad</t>
        </is>
      </c>
      <c r="D2445" s="2" t="inlineStr">
        <is>
          <t>West</t>
        </is>
      </c>
    </row>
    <row r="2446">
      <c r="A2446" s="2" t="inlineStr">
        <is>
          <t>C0494</t>
        </is>
      </c>
      <c r="B2446" s="2" t="inlineStr">
        <is>
          <t>Delhi</t>
        </is>
      </c>
      <c r="C2446" s="2" t="inlineStr">
        <is>
          <t>New Delhi</t>
        </is>
      </c>
      <c r="D2446" s="2" t="inlineStr">
        <is>
          <t>North</t>
        </is>
      </c>
    </row>
    <row r="2447">
      <c r="A2447" s="2" t="inlineStr">
        <is>
          <t>C0494</t>
        </is>
      </c>
      <c r="B2447" s="2" t="inlineStr">
        <is>
          <t>Haryana</t>
        </is>
      </c>
      <c r="C2447" s="2" t="inlineStr">
        <is>
          <t>Gurugram</t>
        </is>
      </c>
      <c r="D2447" s="2" t="inlineStr">
        <is>
          <t>North</t>
        </is>
      </c>
    </row>
    <row r="2448">
      <c r="A2448" s="2" t="inlineStr">
        <is>
          <t>C0494</t>
        </is>
      </c>
      <c r="B2448" s="2" t="inlineStr">
        <is>
          <t>Karnataka</t>
        </is>
      </c>
      <c r="C2448" s="2" t="inlineStr">
        <is>
          <t>Mangaluru</t>
        </is>
      </c>
      <c r="D2448" s="2" t="inlineStr">
        <is>
          <t>South</t>
        </is>
      </c>
    </row>
    <row r="2449">
      <c r="A2449" s="2" t="inlineStr">
        <is>
          <t>C0494</t>
        </is>
      </c>
      <c r="B2449" s="2" t="inlineStr">
        <is>
          <t>Telangana</t>
        </is>
      </c>
      <c r="C2449" s="2" t="inlineStr">
        <is>
          <t>Hyderabad</t>
        </is>
      </c>
      <c r="D2449" s="2" t="inlineStr">
        <is>
          <t>South</t>
        </is>
      </c>
    </row>
    <row r="2450">
      <c r="A2450" s="2" t="inlineStr">
        <is>
          <t>C0495</t>
        </is>
      </c>
      <c r="B2450" s="2" t="inlineStr">
        <is>
          <t>Haryana</t>
        </is>
      </c>
      <c r="C2450" s="2" t="inlineStr">
        <is>
          <t>Faridabad</t>
        </is>
      </c>
      <c r="D2450" s="2" t="inlineStr">
        <is>
          <t>North</t>
        </is>
      </c>
    </row>
    <row r="2451">
      <c r="A2451" s="2" t="inlineStr">
        <is>
          <t>C0495</t>
        </is>
      </c>
      <c r="B2451" s="2" t="inlineStr">
        <is>
          <t>Goa</t>
        </is>
      </c>
      <c r="C2451" s="2" t="inlineStr">
        <is>
          <t>Panaji</t>
        </is>
      </c>
      <c r="D2451" s="2" t="inlineStr">
        <is>
          <t>West</t>
        </is>
      </c>
    </row>
    <row r="2452">
      <c r="A2452" s="2" t="inlineStr">
        <is>
          <t>C0495</t>
        </is>
      </c>
      <c r="B2452" s="2" t="inlineStr">
        <is>
          <t>Punjab</t>
        </is>
      </c>
      <c r="C2452" s="2" t="inlineStr">
        <is>
          <t>Ludhiana</t>
        </is>
      </c>
      <c r="D2452" s="2" t="inlineStr">
        <is>
          <t>North</t>
        </is>
      </c>
    </row>
    <row r="2453">
      <c r="A2453" s="2" t="inlineStr">
        <is>
          <t>C0495</t>
        </is>
      </c>
      <c r="B2453" s="2" t="inlineStr">
        <is>
          <t>Haryana</t>
        </is>
      </c>
      <c r="C2453" s="2" t="inlineStr">
        <is>
          <t>Gurugram</t>
        </is>
      </c>
      <c r="D2453" s="2" t="inlineStr">
        <is>
          <t>North</t>
        </is>
      </c>
    </row>
    <row r="2454">
      <c r="A2454" s="2" t="inlineStr">
        <is>
          <t>C0495</t>
        </is>
      </c>
      <c r="B2454" s="2" t="inlineStr">
        <is>
          <t>Maharashtra</t>
        </is>
      </c>
      <c r="C2454" s="2" t="inlineStr">
        <is>
          <t>Mumbai</t>
        </is>
      </c>
      <c r="D2454" s="2" t="inlineStr">
        <is>
          <t>West</t>
        </is>
      </c>
    </row>
    <row r="2455">
      <c r="A2455" s="2" t="inlineStr">
        <is>
          <t>C0495</t>
        </is>
      </c>
      <c r="B2455" s="2" t="inlineStr">
        <is>
          <t>West Bengal</t>
        </is>
      </c>
      <c r="C2455" s="2" t="inlineStr">
        <is>
          <t>Durgapur</t>
        </is>
      </c>
      <c r="D2455" s="2" t="inlineStr">
        <is>
          <t>East</t>
        </is>
      </c>
    </row>
    <row r="2456">
      <c r="A2456" s="2" t="inlineStr">
        <is>
          <t>C0495</t>
        </is>
      </c>
      <c r="B2456" s="2" t="inlineStr">
        <is>
          <t>Tamil Nadu</t>
        </is>
      </c>
      <c r="C2456" s="2" t="inlineStr">
        <is>
          <t>Madurai</t>
        </is>
      </c>
      <c r="D2456" s="2" t="inlineStr">
        <is>
          <t>South</t>
        </is>
      </c>
    </row>
    <row r="2457">
      <c r="A2457" s="2" t="inlineStr">
        <is>
          <t>C0495</t>
        </is>
      </c>
      <c r="B2457" s="2" t="inlineStr">
        <is>
          <t>Uttar Pradesh</t>
        </is>
      </c>
      <c r="C2457" s="2" t="inlineStr">
        <is>
          <t>Varanasi</t>
        </is>
      </c>
      <c r="D2457" s="2" t="inlineStr">
        <is>
          <t>North</t>
        </is>
      </c>
    </row>
    <row r="2458">
      <c r="A2458" s="2" t="inlineStr">
        <is>
          <t>C0495</t>
        </is>
      </c>
      <c r="B2458" s="2" t="inlineStr">
        <is>
          <t>Gujarat</t>
        </is>
      </c>
      <c r="C2458" s="2" t="inlineStr">
        <is>
          <t>Ahmedabad</t>
        </is>
      </c>
      <c r="D2458" s="2" t="inlineStr">
        <is>
          <t>West</t>
        </is>
      </c>
    </row>
    <row r="2459">
      <c r="A2459" s="2" t="inlineStr">
        <is>
          <t>C0495</t>
        </is>
      </c>
      <c r="B2459" s="2" t="inlineStr">
        <is>
          <t>Maharashtra</t>
        </is>
      </c>
      <c r="C2459" s="2" t="inlineStr">
        <is>
          <t>Nashik</t>
        </is>
      </c>
      <c r="D2459" s="2" t="inlineStr">
        <is>
          <t>West</t>
        </is>
      </c>
    </row>
    <row r="2460">
      <c r="A2460" s="2" t="inlineStr">
        <is>
          <t>C0495</t>
        </is>
      </c>
      <c r="B2460" s="2" t="inlineStr">
        <is>
          <t>Delhi</t>
        </is>
      </c>
      <c r="C2460" s="2" t="inlineStr">
        <is>
          <t>New Delhi</t>
        </is>
      </c>
      <c r="D2460" s="2" t="inlineStr">
        <is>
          <t>North</t>
        </is>
      </c>
    </row>
    <row r="2461">
      <c r="A2461" s="2" t="inlineStr">
        <is>
          <t>C0495</t>
        </is>
      </c>
      <c r="B2461" s="2" t="inlineStr">
        <is>
          <t>Bihar</t>
        </is>
      </c>
      <c r="C2461" s="2" t="inlineStr">
        <is>
          <t>Gaya</t>
        </is>
      </c>
      <c r="D2461" s="2" t="inlineStr">
        <is>
          <t>East</t>
        </is>
      </c>
    </row>
    <row r="2462">
      <c r="A2462" s="2" t="inlineStr">
        <is>
          <t>C0496</t>
        </is>
      </c>
      <c r="B2462" s="2" t="inlineStr">
        <is>
          <t>Odisha</t>
        </is>
      </c>
      <c r="C2462" s="2" t="inlineStr">
        <is>
          <t>Bhubaneswar</t>
        </is>
      </c>
      <c r="D2462" s="2" t="inlineStr">
        <is>
          <t>East</t>
        </is>
      </c>
    </row>
    <row r="2463">
      <c r="A2463" s="2" t="inlineStr">
        <is>
          <t>C0496</t>
        </is>
      </c>
      <c r="B2463" s="2" t="inlineStr">
        <is>
          <t>Bihar</t>
        </is>
      </c>
      <c r="C2463" s="2" t="inlineStr">
        <is>
          <t>Patna</t>
        </is>
      </c>
      <c r="D2463" s="2" t="inlineStr">
        <is>
          <t>East</t>
        </is>
      </c>
    </row>
    <row r="2464">
      <c r="A2464" s="2" t="inlineStr">
        <is>
          <t>C0496</t>
        </is>
      </c>
      <c r="B2464" s="2" t="inlineStr">
        <is>
          <t>Haryana</t>
        </is>
      </c>
      <c r="C2464" s="2" t="inlineStr">
        <is>
          <t>Gurugram</t>
        </is>
      </c>
      <c r="D2464" s="2" t="inlineStr">
        <is>
          <t>North</t>
        </is>
      </c>
    </row>
    <row r="2465">
      <c r="A2465" s="2" t="inlineStr">
        <is>
          <t>C0497</t>
        </is>
      </c>
      <c r="B2465" s="2" t="inlineStr">
        <is>
          <t>Gujarat</t>
        </is>
      </c>
      <c r="C2465" s="2" t="inlineStr">
        <is>
          <t>Vadodara</t>
        </is>
      </c>
      <c r="D2465" s="2" t="inlineStr">
        <is>
          <t>West</t>
        </is>
      </c>
    </row>
    <row r="2466">
      <c r="A2466" s="2" t="inlineStr">
        <is>
          <t>C0497</t>
        </is>
      </c>
      <c r="B2466" s="2" t="inlineStr">
        <is>
          <t>Haryana</t>
        </is>
      </c>
      <c r="C2466" s="2" t="inlineStr">
        <is>
          <t>Gurugram</t>
        </is>
      </c>
      <c r="D2466" s="2" t="inlineStr">
        <is>
          <t>North</t>
        </is>
      </c>
    </row>
    <row r="2467">
      <c r="A2467" s="2" t="inlineStr">
        <is>
          <t>C0497</t>
        </is>
      </c>
      <c r="B2467" s="2" t="inlineStr">
        <is>
          <t>Delhi</t>
        </is>
      </c>
      <c r="C2467" s="2" t="inlineStr">
        <is>
          <t>New Delhi</t>
        </is>
      </c>
      <c r="D2467" s="2" t="inlineStr">
        <is>
          <t>North</t>
        </is>
      </c>
    </row>
    <row r="2468">
      <c r="A2468" s="2" t="inlineStr">
        <is>
          <t>C0497</t>
        </is>
      </c>
      <c r="B2468" s="2" t="inlineStr">
        <is>
          <t>Goa</t>
        </is>
      </c>
      <c r="C2468" s="2" t="inlineStr">
        <is>
          <t>Margao</t>
        </is>
      </c>
      <c r="D2468" s="2" t="inlineStr">
        <is>
          <t>West</t>
        </is>
      </c>
    </row>
    <row r="2469">
      <c r="A2469" s="2" t="inlineStr">
        <is>
          <t>C0497</t>
        </is>
      </c>
      <c r="B2469" s="2" t="inlineStr">
        <is>
          <t>Kerala</t>
        </is>
      </c>
      <c r="C2469" s="2" t="inlineStr">
        <is>
          <t>Kochi</t>
        </is>
      </c>
      <c r="D2469" s="2" t="inlineStr">
        <is>
          <t>South</t>
        </is>
      </c>
    </row>
    <row r="2470">
      <c r="A2470" s="2" t="inlineStr">
        <is>
          <t>C0497</t>
        </is>
      </c>
      <c r="B2470" s="2" t="inlineStr">
        <is>
          <t>Tamil Nadu</t>
        </is>
      </c>
      <c r="C2470" s="2" t="inlineStr">
        <is>
          <t>Chennai</t>
        </is>
      </c>
      <c r="D2470" s="2" t="inlineStr">
        <is>
          <t>South</t>
        </is>
      </c>
    </row>
    <row r="2471">
      <c r="A2471" s="2" t="inlineStr">
        <is>
          <t>C0497</t>
        </is>
      </c>
      <c r="B2471" s="2" t="inlineStr">
        <is>
          <t>Telangana</t>
        </is>
      </c>
      <c r="C2471" s="2" t="inlineStr">
        <is>
          <t>Warangal</t>
        </is>
      </c>
      <c r="D2471" s="2" t="inlineStr">
        <is>
          <t>South</t>
        </is>
      </c>
    </row>
    <row r="2472">
      <c r="A2472" s="2" t="inlineStr">
        <is>
          <t>C0497</t>
        </is>
      </c>
      <c r="B2472" s="2" t="inlineStr">
        <is>
          <t>Uttar Pradesh</t>
        </is>
      </c>
      <c r="C2472" s="2" t="inlineStr">
        <is>
          <t>Lucknow</t>
        </is>
      </c>
      <c r="D2472" s="2" t="inlineStr">
        <is>
          <t>North</t>
        </is>
      </c>
    </row>
    <row r="2473">
      <c r="A2473" s="2" t="inlineStr">
        <is>
          <t>C0497</t>
        </is>
      </c>
      <c r="B2473" s="2" t="inlineStr">
        <is>
          <t>Maharashtra</t>
        </is>
      </c>
      <c r="C2473" s="2" t="inlineStr">
        <is>
          <t>Nashik</t>
        </is>
      </c>
      <c r="D2473" s="2" t="inlineStr">
        <is>
          <t>West</t>
        </is>
      </c>
    </row>
    <row r="2474">
      <c r="A2474" s="2" t="inlineStr">
        <is>
          <t>C0497</t>
        </is>
      </c>
      <c r="B2474" s="2" t="inlineStr">
        <is>
          <t>Maharashtra</t>
        </is>
      </c>
      <c r="C2474" s="2" t="inlineStr">
        <is>
          <t>Pune</t>
        </is>
      </c>
      <c r="D2474" s="2" t="inlineStr">
        <is>
          <t>West</t>
        </is>
      </c>
    </row>
    <row r="2475">
      <c r="A2475" s="2" t="inlineStr">
        <is>
          <t>C0497</t>
        </is>
      </c>
      <c r="B2475" s="2" t="inlineStr">
        <is>
          <t>Tamil Nadu</t>
        </is>
      </c>
      <c r="C2475" s="2" t="inlineStr">
        <is>
          <t>Coimbatore</t>
        </is>
      </c>
      <c r="D2475" s="2" t="inlineStr">
        <is>
          <t>South</t>
        </is>
      </c>
    </row>
    <row r="2476">
      <c r="A2476" s="2" t="inlineStr">
        <is>
          <t>C0498</t>
        </is>
      </c>
      <c r="B2476" s="2" t="inlineStr">
        <is>
          <t>Haryana</t>
        </is>
      </c>
      <c r="C2476" s="2" t="inlineStr">
        <is>
          <t>Gurugram</t>
        </is>
      </c>
      <c r="D2476" s="2" t="inlineStr">
        <is>
          <t>North</t>
        </is>
      </c>
    </row>
    <row r="2477">
      <c r="A2477" s="2" t="inlineStr">
        <is>
          <t>C0498</t>
        </is>
      </c>
      <c r="B2477" s="2" t="inlineStr">
        <is>
          <t>Punjab</t>
        </is>
      </c>
      <c r="C2477" s="2" t="inlineStr">
        <is>
          <t>Jalandhar</t>
        </is>
      </c>
      <c r="D2477" s="2" t="inlineStr">
        <is>
          <t>North</t>
        </is>
      </c>
    </row>
    <row r="2478">
      <c r="A2478" s="2" t="inlineStr">
        <is>
          <t>C0498</t>
        </is>
      </c>
      <c r="B2478" s="2" t="inlineStr">
        <is>
          <t>Gujarat</t>
        </is>
      </c>
      <c r="C2478" s="2" t="inlineStr">
        <is>
          <t>Vadodara</t>
        </is>
      </c>
      <c r="D2478" s="2" t="inlineStr">
        <is>
          <t>West</t>
        </is>
      </c>
    </row>
    <row r="2479">
      <c r="A2479" s="2" t="inlineStr">
        <is>
          <t>C0498</t>
        </is>
      </c>
      <c r="B2479" s="2" t="inlineStr">
        <is>
          <t>Karnataka</t>
        </is>
      </c>
      <c r="C2479" s="2" t="inlineStr">
        <is>
          <t>Bengaluru</t>
        </is>
      </c>
      <c r="D2479" s="2" t="inlineStr">
        <is>
          <t>South</t>
        </is>
      </c>
    </row>
    <row r="2480">
      <c r="A2480" s="2" t="inlineStr">
        <is>
          <t>C0498</t>
        </is>
      </c>
      <c r="B2480" s="2" t="inlineStr">
        <is>
          <t>Odisha</t>
        </is>
      </c>
      <c r="C2480" s="2" t="inlineStr">
        <is>
          <t>Cuttack</t>
        </is>
      </c>
      <c r="D2480" s="2" t="inlineStr">
        <is>
          <t>East</t>
        </is>
      </c>
    </row>
    <row r="2481">
      <c r="A2481" s="2" t="inlineStr">
        <is>
          <t>C0498</t>
        </is>
      </c>
      <c r="B2481" s="2" t="inlineStr">
        <is>
          <t>Delhi</t>
        </is>
      </c>
      <c r="C2481" s="2" t="inlineStr">
        <is>
          <t>New Delhi</t>
        </is>
      </c>
      <c r="D2481" s="2" t="inlineStr">
        <is>
          <t>North</t>
        </is>
      </c>
    </row>
    <row r="2482">
      <c r="A2482" s="2" t="inlineStr">
        <is>
          <t>C0498</t>
        </is>
      </c>
      <c r="B2482" s="2" t="inlineStr">
        <is>
          <t>Goa</t>
        </is>
      </c>
      <c r="C2482" s="2" t="inlineStr">
        <is>
          <t>Panaji</t>
        </is>
      </c>
      <c r="D2482" s="2" t="inlineStr">
        <is>
          <t>West</t>
        </is>
      </c>
    </row>
    <row r="2483">
      <c r="A2483" s="2" t="inlineStr">
        <is>
          <t>C0498</t>
        </is>
      </c>
      <c r="B2483" s="2" t="inlineStr">
        <is>
          <t>Telangana</t>
        </is>
      </c>
      <c r="C2483" s="2" t="inlineStr">
        <is>
          <t>Hyderabad</t>
        </is>
      </c>
      <c r="D2483" s="2" t="inlineStr">
        <is>
          <t>South</t>
        </is>
      </c>
    </row>
    <row r="2484">
      <c r="A2484" s="2" t="inlineStr">
        <is>
          <t>C0498</t>
        </is>
      </c>
      <c r="B2484" s="2" t="inlineStr">
        <is>
          <t>Bihar</t>
        </is>
      </c>
      <c r="C2484" s="2" t="inlineStr">
        <is>
          <t>Gaya</t>
        </is>
      </c>
      <c r="D2484" s="2" t="inlineStr">
        <is>
          <t>East</t>
        </is>
      </c>
    </row>
    <row r="2485">
      <c r="A2485" s="2" t="inlineStr">
        <is>
          <t>C0498</t>
        </is>
      </c>
      <c r="B2485" s="2" t="inlineStr">
        <is>
          <t>Uttar Pradesh</t>
        </is>
      </c>
      <c r="C2485" s="2" t="inlineStr">
        <is>
          <t>Varanasi</t>
        </is>
      </c>
      <c r="D2485" s="2" t="inlineStr">
        <is>
          <t>North</t>
        </is>
      </c>
    </row>
    <row r="2486">
      <c r="A2486" s="2" t="inlineStr">
        <is>
          <t>C0498</t>
        </is>
      </c>
      <c r="B2486" s="2" t="inlineStr">
        <is>
          <t>Kerala</t>
        </is>
      </c>
      <c r="C2486" s="2" t="inlineStr">
        <is>
          <t>Thiruvananthapuram</t>
        </is>
      </c>
      <c r="D2486" s="2" t="inlineStr">
        <is>
          <t>South</t>
        </is>
      </c>
    </row>
    <row r="2487">
      <c r="A2487" s="2" t="inlineStr">
        <is>
          <t>C0498</t>
        </is>
      </c>
      <c r="B2487" s="2" t="inlineStr">
        <is>
          <t>Tamil Nadu</t>
        </is>
      </c>
      <c r="C2487" s="2" t="inlineStr">
        <is>
          <t>Madurai</t>
        </is>
      </c>
      <c r="D2487" s="2" t="inlineStr">
        <is>
          <t>South</t>
        </is>
      </c>
    </row>
    <row r="2488">
      <c r="A2488" s="2" t="inlineStr">
        <is>
          <t>C0499</t>
        </is>
      </c>
      <c r="B2488" s="2" t="inlineStr">
        <is>
          <t>Bihar</t>
        </is>
      </c>
      <c r="C2488" s="2" t="inlineStr">
        <is>
          <t>Patna</t>
        </is>
      </c>
      <c r="D2488" s="2" t="inlineStr">
        <is>
          <t>East</t>
        </is>
      </c>
    </row>
    <row r="2489">
      <c r="A2489" s="2" t="inlineStr">
        <is>
          <t>C0499</t>
        </is>
      </c>
      <c r="B2489" s="2" t="inlineStr">
        <is>
          <t>Odisha</t>
        </is>
      </c>
      <c r="C2489" s="2" t="inlineStr">
        <is>
          <t>Cuttack</t>
        </is>
      </c>
      <c r="D2489" s="2" t="inlineStr">
        <is>
          <t>East</t>
        </is>
      </c>
    </row>
    <row r="2490">
      <c r="A2490" s="2" t="inlineStr">
        <is>
          <t>C0499</t>
        </is>
      </c>
      <c r="B2490" s="2" t="inlineStr">
        <is>
          <t>Goa</t>
        </is>
      </c>
      <c r="C2490" s="2" t="inlineStr">
        <is>
          <t>Panaji</t>
        </is>
      </c>
      <c r="D2490" s="2" t="inlineStr">
        <is>
          <t>West</t>
        </is>
      </c>
    </row>
    <row r="2491">
      <c r="A2491" s="2" t="inlineStr">
        <is>
          <t>C0499</t>
        </is>
      </c>
      <c r="B2491" s="2" t="inlineStr">
        <is>
          <t>Karnataka</t>
        </is>
      </c>
      <c r="C2491" s="2" t="inlineStr">
        <is>
          <t>Mysuru</t>
        </is>
      </c>
      <c r="D2491" s="2" t="inlineStr">
        <is>
          <t>South</t>
        </is>
      </c>
    </row>
    <row r="2492">
      <c r="A2492" s="2" t="inlineStr">
        <is>
          <t>C0499</t>
        </is>
      </c>
      <c r="B2492" s="2" t="inlineStr">
        <is>
          <t>Goa</t>
        </is>
      </c>
      <c r="C2492" s="2" t="inlineStr">
        <is>
          <t>Margao</t>
        </is>
      </c>
      <c r="D2492" s="2" t="inlineStr">
        <is>
          <t>West</t>
        </is>
      </c>
    </row>
    <row r="2493">
      <c r="A2493" s="2" t="inlineStr">
        <is>
          <t>C0499</t>
        </is>
      </c>
      <c r="B2493" s="2" t="inlineStr">
        <is>
          <t>West Bengal</t>
        </is>
      </c>
      <c r="C2493" s="2" t="inlineStr">
        <is>
          <t>Durgapur</t>
        </is>
      </c>
      <c r="D2493" s="2" t="inlineStr">
        <is>
          <t>East</t>
        </is>
      </c>
    </row>
    <row r="2494">
      <c r="A2494" s="2" t="inlineStr">
        <is>
          <t>C0499</t>
        </is>
      </c>
      <c r="B2494" s="2" t="inlineStr">
        <is>
          <t>Tamil Nadu</t>
        </is>
      </c>
      <c r="C2494" s="2" t="inlineStr">
        <is>
          <t>Madurai</t>
        </is>
      </c>
      <c r="D2494" s="2" t="inlineStr">
        <is>
          <t>South</t>
        </is>
      </c>
    </row>
    <row r="2495">
      <c r="A2495" s="2" t="inlineStr">
        <is>
          <t>C0499</t>
        </is>
      </c>
      <c r="B2495" s="2" t="inlineStr">
        <is>
          <t>Telangana</t>
        </is>
      </c>
      <c r="C2495" s="2" t="inlineStr">
        <is>
          <t>Warangal</t>
        </is>
      </c>
      <c r="D2495" s="2" t="inlineStr">
        <is>
          <t>South</t>
        </is>
      </c>
    </row>
    <row r="2496">
      <c r="A2496" s="2" t="inlineStr">
        <is>
          <t>C0499</t>
        </is>
      </c>
      <c r="B2496" s="2" t="inlineStr">
        <is>
          <t>Uttar Pradesh</t>
        </is>
      </c>
      <c r="C2496" s="2" t="inlineStr">
        <is>
          <t>Varanasi</t>
        </is>
      </c>
      <c r="D2496" s="2" t="inlineStr">
        <is>
          <t>North</t>
        </is>
      </c>
    </row>
    <row r="2497">
      <c r="A2497" s="2" t="inlineStr">
        <is>
          <t>C0500</t>
        </is>
      </c>
      <c r="B2497" s="2" t="inlineStr">
        <is>
          <t>Punjab</t>
        </is>
      </c>
      <c r="C2497" s="2" t="inlineStr">
        <is>
          <t>Ludhiana</t>
        </is>
      </c>
      <c r="D2497" s="2" t="inlineStr">
        <is>
          <t>North</t>
        </is>
      </c>
    </row>
    <row r="2498">
      <c r="A2498" s="2" t="inlineStr">
        <is>
          <t>C0500</t>
        </is>
      </c>
      <c r="B2498" s="2" t="inlineStr">
        <is>
          <t>Telangana</t>
        </is>
      </c>
      <c r="C2498" s="2" t="inlineStr">
        <is>
          <t>Warangal</t>
        </is>
      </c>
      <c r="D2498" s="2" t="inlineStr">
        <is>
          <t>South</t>
        </is>
      </c>
    </row>
    <row r="2499">
      <c r="A2499" s="2" t="inlineStr">
        <is>
          <t>C0500</t>
        </is>
      </c>
      <c r="B2499" s="2" t="inlineStr">
        <is>
          <t>Karnataka</t>
        </is>
      </c>
      <c r="C2499" s="2" t="inlineStr">
        <is>
          <t>Mysuru</t>
        </is>
      </c>
      <c r="D2499" s="2" t="inlineStr">
        <is>
          <t>South</t>
        </is>
      </c>
    </row>
    <row r="2500">
      <c r="A2500" s="2" t="inlineStr">
        <is>
          <t>C0500</t>
        </is>
      </c>
      <c r="B2500" s="2" t="inlineStr">
        <is>
          <t>Maharashtra</t>
        </is>
      </c>
      <c r="C2500" s="2" t="inlineStr">
        <is>
          <t>Nagpur</t>
        </is>
      </c>
      <c r="D2500" s="2" t="inlineStr">
        <is>
          <t>West</t>
        </is>
      </c>
    </row>
    <row r="2501">
      <c r="A2501" s="2" t="inlineStr">
        <is>
          <t>C0500</t>
        </is>
      </c>
      <c r="B2501" s="2" t="inlineStr">
        <is>
          <t>Karnataka</t>
        </is>
      </c>
      <c r="C2501" s="2" t="inlineStr">
        <is>
          <t>Mangaluru</t>
        </is>
      </c>
      <c r="D2501" s="2" t="inlineStr">
        <is>
          <t>South</t>
        </is>
      </c>
    </row>
    <row r="2502">
      <c r="A2502" s="2" t="inlineStr">
        <is>
          <t>C0500</t>
        </is>
      </c>
      <c r="B2502" s="2" t="inlineStr">
        <is>
          <t>Gujarat</t>
        </is>
      </c>
      <c r="C2502" s="2" t="inlineStr">
        <is>
          <t>Ahmedabad</t>
        </is>
      </c>
      <c r="D2502" s="2" t="inlineStr">
        <is>
          <t>West</t>
        </is>
      </c>
    </row>
    <row r="2503">
      <c r="A2503" s="2" t="inlineStr">
        <is>
          <t>C0500</t>
        </is>
      </c>
      <c r="B2503" s="2" t="inlineStr">
        <is>
          <t>Maharashtra</t>
        </is>
      </c>
      <c r="C2503" s="2" t="inlineStr">
        <is>
          <t>Pune</t>
        </is>
      </c>
      <c r="D2503" s="2" t="inlineStr">
        <is>
          <t>West</t>
        </is>
      </c>
    </row>
    <row r="2504">
      <c r="A2504" s="2" t="inlineStr">
        <is>
          <t>C0500</t>
        </is>
      </c>
      <c r="B2504" s="2" t="inlineStr">
        <is>
          <t>Goa</t>
        </is>
      </c>
      <c r="C2504" s="2" t="inlineStr">
        <is>
          <t>Panaji</t>
        </is>
      </c>
      <c r="D2504" s="2" t="inlineStr">
        <is>
          <t>West</t>
        </is>
      </c>
    </row>
    <row r="2505">
      <c r="A2505" s="2" t="inlineStr">
        <is>
          <t>C0500</t>
        </is>
      </c>
      <c r="B2505" s="2" t="inlineStr">
        <is>
          <t>Goa</t>
        </is>
      </c>
      <c r="C2505" s="2" t="inlineStr">
        <is>
          <t>Margao</t>
        </is>
      </c>
      <c r="D2505" s="2" t="inlineStr">
        <is>
          <t>West</t>
        </is>
      </c>
    </row>
    <row r="2506">
      <c r="A2506" s="2" t="inlineStr">
        <is>
          <t>C0501</t>
        </is>
      </c>
      <c r="B2506" s="2" t="inlineStr">
        <is>
          <t>West Bengal</t>
        </is>
      </c>
      <c r="C2506" s="2" t="inlineStr">
        <is>
          <t>Durgapur</t>
        </is>
      </c>
      <c r="D2506" s="2" t="inlineStr">
        <is>
          <t>East</t>
        </is>
      </c>
    </row>
    <row r="2507">
      <c r="A2507" s="2" t="inlineStr">
        <is>
          <t>C0501</t>
        </is>
      </c>
      <c r="B2507" s="2" t="inlineStr">
        <is>
          <t>Goa</t>
        </is>
      </c>
      <c r="C2507" s="2" t="inlineStr">
        <is>
          <t>Margao</t>
        </is>
      </c>
      <c r="D2507" s="2" t="inlineStr">
        <is>
          <t>West</t>
        </is>
      </c>
    </row>
    <row r="2508">
      <c r="A2508" s="2" t="inlineStr">
        <is>
          <t>C0501</t>
        </is>
      </c>
      <c r="B2508" s="2" t="inlineStr">
        <is>
          <t>Maharashtra</t>
        </is>
      </c>
      <c r="C2508" s="2" t="inlineStr">
        <is>
          <t>Pune</t>
        </is>
      </c>
      <c r="D2508" s="2" t="inlineStr">
        <is>
          <t>West</t>
        </is>
      </c>
    </row>
    <row r="2509">
      <c r="A2509" s="2" t="inlineStr">
        <is>
          <t>C0502</t>
        </is>
      </c>
      <c r="B2509" s="2" t="inlineStr">
        <is>
          <t>Uttar Pradesh</t>
        </is>
      </c>
      <c r="C2509" s="2" t="inlineStr">
        <is>
          <t>Lucknow</t>
        </is>
      </c>
      <c r="D2509" s="2" t="inlineStr">
        <is>
          <t>North</t>
        </is>
      </c>
    </row>
    <row r="2510">
      <c r="A2510" s="2" t="inlineStr">
        <is>
          <t>C0502</t>
        </is>
      </c>
      <c r="B2510" s="2" t="inlineStr">
        <is>
          <t>Tamil Nadu</t>
        </is>
      </c>
      <c r="C2510" s="2" t="inlineStr">
        <is>
          <t>Coimbatore</t>
        </is>
      </c>
      <c r="D2510" s="2" t="inlineStr">
        <is>
          <t>South</t>
        </is>
      </c>
    </row>
    <row r="2511">
      <c r="A2511" s="2" t="inlineStr">
        <is>
          <t>C0502</t>
        </is>
      </c>
      <c r="B2511" s="2" t="inlineStr">
        <is>
          <t>Bihar</t>
        </is>
      </c>
      <c r="C2511" s="2" t="inlineStr">
        <is>
          <t>Gaya</t>
        </is>
      </c>
      <c r="D2511" s="2" t="inlineStr">
        <is>
          <t>East</t>
        </is>
      </c>
    </row>
    <row r="2512">
      <c r="A2512" s="2" t="inlineStr">
        <is>
          <t>C0502</t>
        </is>
      </c>
      <c r="B2512" s="2" t="inlineStr">
        <is>
          <t>Karnataka</t>
        </is>
      </c>
      <c r="C2512" s="2" t="inlineStr">
        <is>
          <t>Mysuru</t>
        </is>
      </c>
      <c r="D2512" s="2" t="inlineStr">
        <is>
          <t>South</t>
        </is>
      </c>
    </row>
    <row r="2513">
      <c r="A2513" s="2" t="inlineStr">
        <is>
          <t>C0503</t>
        </is>
      </c>
      <c r="B2513" s="2" t="inlineStr">
        <is>
          <t>Tamil Nadu</t>
        </is>
      </c>
      <c r="C2513" s="2" t="inlineStr">
        <is>
          <t>Madurai</t>
        </is>
      </c>
      <c r="D2513" s="2" t="inlineStr">
        <is>
          <t>South</t>
        </is>
      </c>
    </row>
    <row r="2514">
      <c r="A2514" s="2" t="inlineStr">
        <is>
          <t>C0503</t>
        </is>
      </c>
      <c r="B2514" s="2" t="inlineStr">
        <is>
          <t>West Bengal</t>
        </is>
      </c>
      <c r="C2514" s="2" t="inlineStr">
        <is>
          <t>Kolkata</t>
        </is>
      </c>
      <c r="D2514" s="2" t="inlineStr">
        <is>
          <t>East</t>
        </is>
      </c>
    </row>
    <row r="2515">
      <c r="A2515" s="2" t="inlineStr">
        <is>
          <t>C0503</t>
        </is>
      </c>
      <c r="B2515" s="2" t="inlineStr">
        <is>
          <t>Odisha</t>
        </is>
      </c>
      <c r="C2515" s="2" t="inlineStr">
        <is>
          <t>Bhubaneswar</t>
        </is>
      </c>
      <c r="D2515" s="2" t="inlineStr">
        <is>
          <t>East</t>
        </is>
      </c>
    </row>
    <row r="2516">
      <c r="A2516" s="2" t="inlineStr">
        <is>
          <t>C0503</t>
        </is>
      </c>
      <c r="B2516" s="2" t="inlineStr">
        <is>
          <t>Gujarat</t>
        </is>
      </c>
      <c r="C2516" s="2" t="inlineStr">
        <is>
          <t>Ahmedabad</t>
        </is>
      </c>
      <c r="D2516" s="2" t="inlineStr">
        <is>
          <t>West</t>
        </is>
      </c>
    </row>
    <row r="2517">
      <c r="A2517" s="2" t="inlineStr">
        <is>
          <t>C0503</t>
        </is>
      </c>
      <c r="B2517" s="2" t="inlineStr">
        <is>
          <t>Goa</t>
        </is>
      </c>
      <c r="C2517" s="2" t="inlineStr">
        <is>
          <t>Panaji</t>
        </is>
      </c>
      <c r="D2517" s="2" t="inlineStr">
        <is>
          <t>West</t>
        </is>
      </c>
    </row>
    <row r="2518">
      <c r="A2518" s="2" t="inlineStr">
        <is>
          <t>C0503</t>
        </is>
      </c>
      <c r="B2518" s="2" t="inlineStr">
        <is>
          <t>Kerala</t>
        </is>
      </c>
      <c r="C2518" s="2" t="inlineStr">
        <is>
          <t>Kochi</t>
        </is>
      </c>
      <c r="D2518" s="2" t="inlineStr">
        <is>
          <t>South</t>
        </is>
      </c>
    </row>
    <row r="2519">
      <c r="A2519" s="2" t="inlineStr">
        <is>
          <t>C0503</t>
        </is>
      </c>
      <c r="B2519" s="2" t="inlineStr">
        <is>
          <t>Gujarat</t>
        </is>
      </c>
      <c r="C2519" s="2" t="inlineStr">
        <is>
          <t>Surat</t>
        </is>
      </c>
      <c r="D2519" s="2" t="inlineStr">
        <is>
          <t>West</t>
        </is>
      </c>
    </row>
    <row r="2520">
      <c r="A2520" s="2" t="inlineStr">
        <is>
          <t>C0503</t>
        </is>
      </c>
      <c r="B2520" s="2" t="inlineStr">
        <is>
          <t>Maharashtra</t>
        </is>
      </c>
      <c r="C2520" s="2" t="inlineStr">
        <is>
          <t>Nagpur</t>
        </is>
      </c>
      <c r="D2520" s="2" t="inlineStr">
        <is>
          <t>West</t>
        </is>
      </c>
    </row>
    <row r="2521">
      <c r="A2521" s="2" t="inlineStr">
        <is>
          <t>C0504</t>
        </is>
      </c>
      <c r="B2521" s="2" t="inlineStr">
        <is>
          <t>Maharashtra</t>
        </is>
      </c>
      <c r="C2521" s="2" t="inlineStr">
        <is>
          <t>Pune</t>
        </is>
      </c>
      <c r="D2521" s="2" t="inlineStr">
        <is>
          <t>West</t>
        </is>
      </c>
    </row>
    <row r="2522">
      <c r="A2522" s="2" t="inlineStr">
        <is>
          <t>C0504</t>
        </is>
      </c>
      <c r="B2522" s="2" t="inlineStr">
        <is>
          <t>Telangana</t>
        </is>
      </c>
      <c r="C2522" s="2" t="inlineStr">
        <is>
          <t>Hyderabad</t>
        </is>
      </c>
      <c r="D2522" s="2" t="inlineStr">
        <is>
          <t>South</t>
        </is>
      </c>
    </row>
    <row r="2523">
      <c r="A2523" s="2" t="inlineStr">
        <is>
          <t>C0504</t>
        </is>
      </c>
      <c r="B2523" s="2" t="inlineStr">
        <is>
          <t>Karnataka</t>
        </is>
      </c>
      <c r="C2523" s="2" t="inlineStr">
        <is>
          <t>Bengaluru</t>
        </is>
      </c>
      <c r="D2523" s="2" t="inlineStr">
        <is>
          <t>South</t>
        </is>
      </c>
    </row>
    <row r="2524">
      <c r="A2524" s="2" t="inlineStr">
        <is>
          <t>C0504</t>
        </is>
      </c>
      <c r="B2524" s="2" t="inlineStr">
        <is>
          <t>Bihar</t>
        </is>
      </c>
      <c r="C2524" s="2" t="inlineStr">
        <is>
          <t>Patna</t>
        </is>
      </c>
      <c r="D2524" s="2" t="inlineStr">
        <is>
          <t>East</t>
        </is>
      </c>
    </row>
    <row r="2525">
      <c r="A2525" s="2" t="inlineStr">
        <is>
          <t>C0504</t>
        </is>
      </c>
      <c r="B2525" s="2" t="inlineStr">
        <is>
          <t>Karnataka</t>
        </is>
      </c>
      <c r="C2525" s="2" t="inlineStr">
        <is>
          <t>Mangaluru</t>
        </is>
      </c>
      <c r="D2525" s="2" t="inlineStr">
        <is>
          <t>South</t>
        </is>
      </c>
    </row>
    <row r="2526">
      <c r="A2526" s="2" t="inlineStr">
        <is>
          <t>C0504</t>
        </is>
      </c>
      <c r="B2526" s="2" t="inlineStr">
        <is>
          <t>Maharashtra</t>
        </is>
      </c>
      <c r="C2526" s="2" t="inlineStr">
        <is>
          <t>Nashik</t>
        </is>
      </c>
      <c r="D2526" s="2" t="inlineStr">
        <is>
          <t>West</t>
        </is>
      </c>
    </row>
    <row r="2527">
      <c r="A2527" s="2" t="inlineStr">
        <is>
          <t>C0504</t>
        </is>
      </c>
      <c r="B2527" s="2" t="inlineStr">
        <is>
          <t>Uttar Pradesh</t>
        </is>
      </c>
      <c r="C2527" s="2" t="inlineStr">
        <is>
          <t>Kanpur</t>
        </is>
      </c>
      <c r="D2527" s="2" t="inlineStr">
        <is>
          <t>North</t>
        </is>
      </c>
    </row>
    <row r="2528">
      <c r="A2528" s="2" t="inlineStr">
        <is>
          <t>C0504</t>
        </is>
      </c>
      <c r="B2528" s="2" t="inlineStr">
        <is>
          <t>Goa</t>
        </is>
      </c>
      <c r="C2528" s="2" t="inlineStr">
        <is>
          <t>Panaji</t>
        </is>
      </c>
      <c r="D2528" s="2" t="inlineStr">
        <is>
          <t>West</t>
        </is>
      </c>
    </row>
    <row r="2529">
      <c r="A2529" s="2" t="inlineStr">
        <is>
          <t>C0504</t>
        </is>
      </c>
      <c r="B2529" s="2" t="inlineStr">
        <is>
          <t>Haryana</t>
        </is>
      </c>
      <c r="C2529" s="2" t="inlineStr">
        <is>
          <t>Faridabad</t>
        </is>
      </c>
      <c r="D2529" s="2" t="inlineStr">
        <is>
          <t>North</t>
        </is>
      </c>
    </row>
    <row r="2530">
      <c r="A2530" s="2" t="inlineStr">
        <is>
          <t>C0504</t>
        </is>
      </c>
      <c r="B2530" s="2" t="inlineStr">
        <is>
          <t>Telangana</t>
        </is>
      </c>
      <c r="C2530" s="2" t="inlineStr">
        <is>
          <t>Warangal</t>
        </is>
      </c>
      <c r="D2530" s="2" t="inlineStr">
        <is>
          <t>South</t>
        </is>
      </c>
    </row>
    <row r="2531">
      <c r="A2531" s="2" t="inlineStr">
        <is>
          <t>C0504</t>
        </is>
      </c>
      <c r="B2531" s="2" t="inlineStr">
        <is>
          <t>Tamil Nadu</t>
        </is>
      </c>
      <c r="C2531" s="2" t="inlineStr">
        <is>
          <t>Madurai</t>
        </is>
      </c>
      <c r="D2531" s="2" t="inlineStr">
        <is>
          <t>South</t>
        </is>
      </c>
    </row>
    <row r="2532">
      <c r="A2532" s="2" t="inlineStr">
        <is>
          <t>C0504</t>
        </is>
      </c>
      <c r="B2532" s="2" t="inlineStr">
        <is>
          <t>Uttar Pradesh</t>
        </is>
      </c>
      <c r="C2532" s="2" t="inlineStr">
        <is>
          <t>Noida</t>
        </is>
      </c>
      <c r="D2532" s="2" t="inlineStr">
        <is>
          <t>North</t>
        </is>
      </c>
    </row>
    <row r="2533">
      <c r="A2533" s="2" t="inlineStr">
        <is>
          <t>C0504</t>
        </is>
      </c>
      <c r="B2533" s="2" t="inlineStr">
        <is>
          <t>Kerala</t>
        </is>
      </c>
      <c r="C2533" s="2" t="inlineStr">
        <is>
          <t>Kochi</t>
        </is>
      </c>
      <c r="D2533" s="2" t="inlineStr">
        <is>
          <t>South</t>
        </is>
      </c>
    </row>
    <row r="2534">
      <c r="A2534" s="2" t="inlineStr">
        <is>
          <t>C0504</t>
        </is>
      </c>
      <c r="B2534" s="2" t="inlineStr">
        <is>
          <t>Tamil Nadu</t>
        </is>
      </c>
      <c r="C2534" s="2" t="inlineStr">
        <is>
          <t>Coimbatore</t>
        </is>
      </c>
      <c r="D2534" s="2" t="inlineStr">
        <is>
          <t>South</t>
        </is>
      </c>
    </row>
    <row r="2535">
      <c r="A2535" s="2" t="inlineStr">
        <is>
          <t>C0505</t>
        </is>
      </c>
      <c r="B2535" s="2" t="inlineStr">
        <is>
          <t>Goa</t>
        </is>
      </c>
      <c r="C2535" s="2" t="inlineStr">
        <is>
          <t>Margao</t>
        </is>
      </c>
      <c r="D2535" s="2" t="inlineStr">
        <is>
          <t>West</t>
        </is>
      </c>
    </row>
    <row r="2536">
      <c r="A2536" s="2" t="inlineStr">
        <is>
          <t>C0505</t>
        </is>
      </c>
      <c r="B2536" s="2" t="inlineStr">
        <is>
          <t>Gujarat</t>
        </is>
      </c>
      <c r="C2536" s="2" t="inlineStr">
        <is>
          <t>Surat</t>
        </is>
      </c>
      <c r="D2536" s="2" t="inlineStr">
        <is>
          <t>West</t>
        </is>
      </c>
    </row>
    <row r="2537">
      <c r="A2537" s="2" t="inlineStr">
        <is>
          <t>C0505</t>
        </is>
      </c>
      <c r="B2537" s="2" t="inlineStr">
        <is>
          <t>Tamil Nadu</t>
        </is>
      </c>
      <c r="C2537" s="2" t="inlineStr">
        <is>
          <t>Madurai</t>
        </is>
      </c>
      <c r="D2537" s="2" t="inlineStr">
        <is>
          <t>South</t>
        </is>
      </c>
    </row>
    <row r="2538">
      <c r="A2538" s="2" t="inlineStr">
        <is>
          <t>C0505</t>
        </is>
      </c>
      <c r="B2538" s="2" t="inlineStr">
        <is>
          <t>West Bengal</t>
        </is>
      </c>
      <c r="C2538" s="2" t="inlineStr">
        <is>
          <t>Kolkata</t>
        </is>
      </c>
      <c r="D2538" s="2" t="inlineStr">
        <is>
          <t>East</t>
        </is>
      </c>
    </row>
    <row r="2539">
      <c r="A2539" s="2" t="inlineStr">
        <is>
          <t>C0505</t>
        </is>
      </c>
      <c r="B2539" s="2" t="inlineStr">
        <is>
          <t>Maharashtra</t>
        </is>
      </c>
      <c r="C2539" s="2" t="inlineStr">
        <is>
          <t>Pune</t>
        </is>
      </c>
      <c r="D2539" s="2" t="inlineStr">
        <is>
          <t>West</t>
        </is>
      </c>
    </row>
    <row r="2540">
      <c r="A2540" s="2" t="inlineStr">
        <is>
          <t>C0505</t>
        </is>
      </c>
      <c r="B2540" s="2" t="inlineStr">
        <is>
          <t>Haryana</t>
        </is>
      </c>
      <c r="C2540" s="2" t="inlineStr">
        <is>
          <t>Gurugram</t>
        </is>
      </c>
      <c r="D2540" s="2" t="inlineStr">
        <is>
          <t>North</t>
        </is>
      </c>
    </row>
    <row r="2541">
      <c r="A2541" s="2" t="inlineStr">
        <is>
          <t>C0505</t>
        </is>
      </c>
      <c r="B2541" s="2" t="inlineStr">
        <is>
          <t>Maharashtra</t>
        </is>
      </c>
      <c r="C2541" s="2" t="inlineStr">
        <is>
          <t>Nagpur</t>
        </is>
      </c>
      <c r="D2541" s="2" t="inlineStr">
        <is>
          <t>West</t>
        </is>
      </c>
    </row>
    <row r="2542">
      <c r="A2542" s="2" t="inlineStr">
        <is>
          <t>C0505</t>
        </is>
      </c>
      <c r="B2542" s="2" t="inlineStr">
        <is>
          <t>Gujarat</t>
        </is>
      </c>
      <c r="C2542" s="2" t="inlineStr">
        <is>
          <t>Ahmedabad</t>
        </is>
      </c>
      <c r="D2542" s="2" t="inlineStr">
        <is>
          <t>West</t>
        </is>
      </c>
    </row>
    <row r="2543">
      <c r="A2543" s="2" t="inlineStr">
        <is>
          <t>C0505</t>
        </is>
      </c>
      <c r="B2543" s="2" t="inlineStr">
        <is>
          <t>Uttar Pradesh</t>
        </is>
      </c>
      <c r="C2543" s="2" t="inlineStr">
        <is>
          <t>Noida</t>
        </is>
      </c>
      <c r="D2543" s="2" t="inlineStr">
        <is>
          <t>North</t>
        </is>
      </c>
    </row>
    <row r="2544">
      <c r="A2544" s="2" t="inlineStr">
        <is>
          <t>C0505</t>
        </is>
      </c>
      <c r="B2544" s="2" t="inlineStr">
        <is>
          <t>Gujarat</t>
        </is>
      </c>
      <c r="C2544" s="2" t="inlineStr">
        <is>
          <t>Vadodara</t>
        </is>
      </c>
      <c r="D2544" s="2" t="inlineStr">
        <is>
          <t>West</t>
        </is>
      </c>
    </row>
    <row r="2545">
      <c r="A2545" s="2" t="inlineStr">
        <is>
          <t>C0505</t>
        </is>
      </c>
      <c r="B2545" s="2" t="inlineStr">
        <is>
          <t>Kerala</t>
        </is>
      </c>
      <c r="C2545" s="2" t="inlineStr">
        <is>
          <t>Thiruvananthapuram</t>
        </is>
      </c>
      <c r="D2545" s="2" t="inlineStr">
        <is>
          <t>South</t>
        </is>
      </c>
    </row>
    <row r="2546">
      <c r="A2546" s="2" t="inlineStr">
        <is>
          <t>C0506</t>
        </is>
      </c>
      <c r="B2546" s="2" t="inlineStr">
        <is>
          <t>Gujarat</t>
        </is>
      </c>
      <c r="C2546" s="2" t="inlineStr">
        <is>
          <t>Vadodara</t>
        </is>
      </c>
      <c r="D2546" s="2" t="inlineStr">
        <is>
          <t>West</t>
        </is>
      </c>
    </row>
    <row r="2547">
      <c r="A2547" s="2" t="inlineStr">
        <is>
          <t>C0506</t>
        </is>
      </c>
      <c r="B2547" s="2" t="inlineStr">
        <is>
          <t>Haryana</t>
        </is>
      </c>
      <c r="C2547" s="2" t="inlineStr">
        <is>
          <t>Gurugram</t>
        </is>
      </c>
      <c r="D2547" s="2" t="inlineStr">
        <is>
          <t>North</t>
        </is>
      </c>
    </row>
    <row r="2548">
      <c r="A2548" s="2" t="inlineStr">
        <is>
          <t>C0506</t>
        </is>
      </c>
      <c r="B2548" s="2" t="inlineStr">
        <is>
          <t>Haryana</t>
        </is>
      </c>
      <c r="C2548" s="2" t="inlineStr">
        <is>
          <t>Faridabad</t>
        </is>
      </c>
      <c r="D2548" s="2" t="inlineStr">
        <is>
          <t>North</t>
        </is>
      </c>
    </row>
    <row r="2549">
      <c r="A2549" s="2" t="inlineStr">
        <is>
          <t>C0506</t>
        </is>
      </c>
      <c r="B2549" s="2" t="inlineStr">
        <is>
          <t>Tamil Nadu</t>
        </is>
      </c>
      <c r="C2549" s="2" t="inlineStr">
        <is>
          <t>Coimbatore</t>
        </is>
      </c>
      <c r="D2549" s="2" t="inlineStr">
        <is>
          <t>South</t>
        </is>
      </c>
    </row>
    <row r="2550">
      <c r="A2550" s="2" t="inlineStr">
        <is>
          <t>C0506</t>
        </is>
      </c>
      <c r="B2550" s="2" t="inlineStr">
        <is>
          <t>Goa</t>
        </is>
      </c>
      <c r="C2550" s="2" t="inlineStr">
        <is>
          <t>Panaji</t>
        </is>
      </c>
      <c r="D2550" s="2" t="inlineStr">
        <is>
          <t>West</t>
        </is>
      </c>
    </row>
    <row r="2551">
      <c r="A2551" s="2" t="inlineStr">
        <is>
          <t>C0506</t>
        </is>
      </c>
      <c r="B2551" s="2" t="inlineStr">
        <is>
          <t>Delhi</t>
        </is>
      </c>
      <c r="C2551" s="2" t="inlineStr">
        <is>
          <t>New Delhi</t>
        </is>
      </c>
      <c r="D2551" s="2" t="inlineStr">
        <is>
          <t>North</t>
        </is>
      </c>
    </row>
    <row r="2552">
      <c r="A2552" s="2" t="inlineStr">
        <is>
          <t>C0506</t>
        </is>
      </c>
      <c r="B2552" s="2" t="inlineStr">
        <is>
          <t>Tamil Nadu</t>
        </is>
      </c>
      <c r="C2552" s="2" t="inlineStr">
        <is>
          <t>Madurai</t>
        </is>
      </c>
      <c r="D2552" s="2" t="inlineStr">
        <is>
          <t>South</t>
        </is>
      </c>
    </row>
    <row r="2553">
      <c r="A2553" s="2" t="inlineStr">
        <is>
          <t>C0506</t>
        </is>
      </c>
      <c r="B2553" s="2" t="inlineStr">
        <is>
          <t>Telangana</t>
        </is>
      </c>
      <c r="C2553" s="2" t="inlineStr">
        <is>
          <t>Warangal</t>
        </is>
      </c>
      <c r="D2553" s="2" t="inlineStr">
        <is>
          <t>South</t>
        </is>
      </c>
    </row>
    <row r="2554">
      <c r="A2554" s="2" t="inlineStr">
        <is>
          <t>C0506</t>
        </is>
      </c>
      <c r="B2554" s="2" t="inlineStr">
        <is>
          <t>Telangana</t>
        </is>
      </c>
      <c r="C2554" s="2" t="inlineStr">
        <is>
          <t>Hyderabad</t>
        </is>
      </c>
      <c r="D2554" s="2" t="inlineStr">
        <is>
          <t>South</t>
        </is>
      </c>
    </row>
    <row r="2555">
      <c r="A2555" s="2" t="inlineStr">
        <is>
          <t>C0506</t>
        </is>
      </c>
      <c r="B2555" s="2" t="inlineStr">
        <is>
          <t>Bihar</t>
        </is>
      </c>
      <c r="C2555" s="2" t="inlineStr">
        <is>
          <t>Gaya</t>
        </is>
      </c>
      <c r="D2555" s="2" t="inlineStr">
        <is>
          <t>East</t>
        </is>
      </c>
    </row>
    <row r="2556">
      <c r="A2556" s="2" t="inlineStr">
        <is>
          <t>C0506</t>
        </is>
      </c>
      <c r="B2556" s="2" t="inlineStr">
        <is>
          <t>Odisha</t>
        </is>
      </c>
      <c r="C2556" s="2" t="inlineStr">
        <is>
          <t>Cuttack</t>
        </is>
      </c>
      <c r="D2556" s="2" t="inlineStr">
        <is>
          <t>East</t>
        </is>
      </c>
    </row>
    <row r="2557">
      <c r="A2557" s="2" t="inlineStr">
        <is>
          <t>C0506</t>
        </is>
      </c>
      <c r="B2557" s="2" t="inlineStr">
        <is>
          <t>Odisha</t>
        </is>
      </c>
      <c r="C2557" s="2" t="inlineStr">
        <is>
          <t>Bhubaneswar</t>
        </is>
      </c>
      <c r="D2557" s="2" t="inlineStr">
        <is>
          <t>East</t>
        </is>
      </c>
    </row>
    <row r="2558">
      <c r="A2558" s="2" t="inlineStr">
        <is>
          <t>C0506</t>
        </is>
      </c>
      <c r="B2558" s="2" t="inlineStr">
        <is>
          <t>Goa</t>
        </is>
      </c>
      <c r="C2558" s="2" t="inlineStr">
        <is>
          <t>Margao</t>
        </is>
      </c>
      <c r="D2558" s="2" t="inlineStr">
        <is>
          <t>West</t>
        </is>
      </c>
    </row>
    <row r="2559">
      <c r="A2559" s="2" t="inlineStr">
        <is>
          <t>C0506</t>
        </is>
      </c>
      <c r="B2559" s="2" t="inlineStr">
        <is>
          <t>Uttar Pradesh</t>
        </is>
      </c>
      <c r="C2559" s="2" t="inlineStr">
        <is>
          <t>Noida</t>
        </is>
      </c>
      <c r="D2559" s="2" t="inlineStr">
        <is>
          <t>North</t>
        </is>
      </c>
    </row>
    <row r="2560">
      <c r="A2560" s="2" t="inlineStr">
        <is>
          <t>C0506</t>
        </is>
      </c>
      <c r="B2560" s="2" t="inlineStr">
        <is>
          <t>Gujarat</t>
        </is>
      </c>
      <c r="C2560" s="2" t="inlineStr">
        <is>
          <t>Surat</t>
        </is>
      </c>
      <c r="D2560" s="2" t="inlineStr">
        <is>
          <t>West</t>
        </is>
      </c>
    </row>
    <row r="2561">
      <c r="A2561" s="2" t="inlineStr">
        <is>
          <t>C0506</t>
        </is>
      </c>
      <c r="B2561" s="2" t="inlineStr">
        <is>
          <t>Karnataka</t>
        </is>
      </c>
      <c r="C2561" s="2" t="inlineStr">
        <is>
          <t>Mysuru</t>
        </is>
      </c>
      <c r="D2561" s="2" t="inlineStr">
        <is>
          <t>South</t>
        </is>
      </c>
    </row>
    <row r="2562">
      <c r="A2562" s="2" t="inlineStr">
        <is>
          <t>C0506</t>
        </is>
      </c>
      <c r="B2562" s="2" t="inlineStr">
        <is>
          <t>Kerala</t>
        </is>
      </c>
      <c r="C2562" s="2" t="inlineStr">
        <is>
          <t>Thiruvananthapuram</t>
        </is>
      </c>
      <c r="D2562" s="2" t="inlineStr">
        <is>
          <t>South</t>
        </is>
      </c>
    </row>
    <row r="2563">
      <c r="A2563" s="2" t="inlineStr">
        <is>
          <t>C0506</t>
        </is>
      </c>
      <c r="B2563" s="2" t="inlineStr">
        <is>
          <t>Maharashtra</t>
        </is>
      </c>
      <c r="C2563" s="2" t="inlineStr">
        <is>
          <t>Pune</t>
        </is>
      </c>
      <c r="D2563" s="2" t="inlineStr">
        <is>
          <t>West</t>
        </is>
      </c>
    </row>
    <row r="2564">
      <c r="A2564" s="2" t="inlineStr">
        <is>
          <t>C0507</t>
        </is>
      </c>
      <c r="B2564" s="2" t="inlineStr">
        <is>
          <t>Goa</t>
        </is>
      </c>
      <c r="C2564" s="2" t="inlineStr">
        <is>
          <t>Margao</t>
        </is>
      </c>
      <c r="D2564" s="2" t="inlineStr">
        <is>
          <t>West</t>
        </is>
      </c>
    </row>
    <row r="2565">
      <c r="A2565" s="2" t="inlineStr">
        <is>
          <t>C0507</t>
        </is>
      </c>
      <c r="B2565" s="2" t="inlineStr">
        <is>
          <t>Gujarat</t>
        </is>
      </c>
      <c r="C2565" s="2" t="inlineStr">
        <is>
          <t>Vadodara</t>
        </is>
      </c>
      <c r="D2565" s="2" t="inlineStr">
        <is>
          <t>West</t>
        </is>
      </c>
    </row>
    <row r="2566">
      <c r="A2566" s="2" t="inlineStr">
        <is>
          <t>C0507</t>
        </is>
      </c>
      <c r="B2566" s="2" t="inlineStr">
        <is>
          <t>Delhi</t>
        </is>
      </c>
      <c r="C2566" s="2" t="inlineStr">
        <is>
          <t>New Delhi</t>
        </is>
      </c>
      <c r="D2566" s="2" t="inlineStr">
        <is>
          <t>North</t>
        </is>
      </c>
    </row>
    <row r="2567">
      <c r="A2567" s="2" t="inlineStr">
        <is>
          <t>C0507</t>
        </is>
      </c>
      <c r="B2567" s="2" t="inlineStr">
        <is>
          <t>Gujarat</t>
        </is>
      </c>
      <c r="C2567" s="2" t="inlineStr">
        <is>
          <t>Surat</t>
        </is>
      </c>
      <c r="D2567" s="2" t="n">
        <v/>
      </c>
    </row>
    <row r="2568">
      <c r="A2568" s="2" t="inlineStr">
        <is>
          <t>C0507</t>
        </is>
      </c>
      <c r="B2568" s="2" t="inlineStr">
        <is>
          <t>Kerala</t>
        </is>
      </c>
      <c r="C2568" s="2" t="inlineStr">
        <is>
          <t>Thiruvananthapuram</t>
        </is>
      </c>
      <c r="D2568" s="2" t="inlineStr">
        <is>
          <t>South</t>
        </is>
      </c>
    </row>
    <row r="2569">
      <c r="A2569" s="2" t="inlineStr">
        <is>
          <t>C0508</t>
        </is>
      </c>
      <c r="B2569" s="2" t="inlineStr">
        <is>
          <t>Haryana</t>
        </is>
      </c>
      <c r="C2569" s="2" t="inlineStr">
        <is>
          <t>Faridabad</t>
        </is>
      </c>
      <c r="D2569" s="2" t="inlineStr">
        <is>
          <t>North</t>
        </is>
      </c>
    </row>
    <row r="2570">
      <c r="A2570" s="2" t="inlineStr">
        <is>
          <t>C0508</t>
        </is>
      </c>
      <c r="B2570" s="2" t="inlineStr">
        <is>
          <t>Telangana</t>
        </is>
      </c>
      <c r="C2570" s="2" t="inlineStr">
        <is>
          <t>Hyderabad</t>
        </is>
      </c>
      <c r="D2570" s="2" t="inlineStr">
        <is>
          <t>South</t>
        </is>
      </c>
    </row>
    <row r="2571">
      <c r="A2571" s="2" t="inlineStr">
        <is>
          <t>C0508</t>
        </is>
      </c>
      <c r="B2571" s="2" t="inlineStr">
        <is>
          <t>Delhi</t>
        </is>
      </c>
      <c r="C2571" s="2" t="inlineStr">
        <is>
          <t>New Delhi</t>
        </is>
      </c>
      <c r="D2571" s="2" t="inlineStr">
        <is>
          <t>North</t>
        </is>
      </c>
    </row>
    <row r="2572">
      <c r="A2572" s="2" t="inlineStr">
        <is>
          <t>C0508</t>
        </is>
      </c>
      <c r="B2572" s="2" t="inlineStr">
        <is>
          <t>Maharashtra</t>
        </is>
      </c>
      <c r="C2572" s="2" t="inlineStr">
        <is>
          <t>Nashik</t>
        </is>
      </c>
      <c r="D2572" s="2" t="inlineStr">
        <is>
          <t>West</t>
        </is>
      </c>
    </row>
    <row r="2573">
      <c r="A2573" s="2" t="inlineStr">
        <is>
          <t>C0508</t>
        </is>
      </c>
      <c r="B2573" s="2" t="inlineStr">
        <is>
          <t>Goa</t>
        </is>
      </c>
      <c r="C2573" s="2" t="inlineStr">
        <is>
          <t>Margao</t>
        </is>
      </c>
      <c r="D2573" s="2" t="inlineStr">
        <is>
          <t>West</t>
        </is>
      </c>
    </row>
    <row r="2574">
      <c r="A2574" s="2" t="inlineStr">
        <is>
          <t>C0508</t>
        </is>
      </c>
      <c r="B2574" s="2" t="inlineStr">
        <is>
          <t>Maharashtra</t>
        </is>
      </c>
      <c r="C2574" s="2" t="inlineStr">
        <is>
          <t>Thane</t>
        </is>
      </c>
      <c r="D2574" s="2" t="inlineStr">
        <is>
          <t>West</t>
        </is>
      </c>
    </row>
    <row r="2575">
      <c r="A2575" s="2" t="inlineStr">
        <is>
          <t>C0508</t>
        </is>
      </c>
      <c r="B2575" s="2" t="inlineStr">
        <is>
          <t>Kerala</t>
        </is>
      </c>
      <c r="C2575" s="2" t="inlineStr">
        <is>
          <t>Kochi</t>
        </is>
      </c>
      <c r="D2575" s="2" t="inlineStr">
        <is>
          <t>South</t>
        </is>
      </c>
    </row>
    <row r="2576">
      <c r="A2576" s="2" t="inlineStr">
        <is>
          <t>C0508</t>
        </is>
      </c>
      <c r="B2576" s="2" t="inlineStr">
        <is>
          <t>Tamil Nadu</t>
        </is>
      </c>
      <c r="C2576" s="2" t="inlineStr">
        <is>
          <t>Chennai</t>
        </is>
      </c>
      <c r="D2576" s="2" t="inlineStr">
        <is>
          <t>South</t>
        </is>
      </c>
    </row>
    <row r="2577">
      <c r="A2577" s="2" t="inlineStr">
        <is>
          <t>C0509</t>
        </is>
      </c>
      <c r="B2577" s="2" t="inlineStr">
        <is>
          <t>Maharashtra</t>
        </is>
      </c>
      <c r="C2577" s="2" t="inlineStr">
        <is>
          <t>Pune</t>
        </is>
      </c>
      <c r="D2577" s="2" t="inlineStr">
        <is>
          <t>West</t>
        </is>
      </c>
    </row>
    <row r="2578">
      <c r="A2578" s="2" t="inlineStr">
        <is>
          <t>C0510</t>
        </is>
      </c>
      <c r="B2578" s="2" t="inlineStr">
        <is>
          <t>Tamil Nadu</t>
        </is>
      </c>
      <c r="C2578" s="2" t="inlineStr">
        <is>
          <t>Coimbatore</t>
        </is>
      </c>
      <c r="D2578" s="2" t="inlineStr">
        <is>
          <t>South</t>
        </is>
      </c>
    </row>
    <row r="2579">
      <c r="A2579" s="2" t="inlineStr">
        <is>
          <t>C0510</t>
        </is>
      </c>
      <c r="B2579" s="2" t="inlineStr">
        <is>
          <t>Goa</t>
        </is>
      </c>
      <c r="C2579" s="2" t="inlineStr">
        <is>
          <t>Margao</t>
        </is>
      </c>
      <c r="D2579" s="2" t="inlineStr">
        <is>
          <t>West</t>
        </is>
      </c>
    </row>
    <row r="2580">
      <c r="A2580" s="2" t="inlineStr">
        <is>
          <t>C0510</t>
        </is>
      </c>
      <c r="B2580" s="2" t="inlineStr">
        <is>
          <t>Telangana</t>
        </is>
      </c>
      <c r="C2580" s="2" t="inlineStr">
        <is>
          <t>Warangal</t>
        </is>
      </c>
      <c r="D2580" s="2" t="inlineStr">
        <is>
          <t>South</t>
        </is>
      </c>
    </row>
    <row r="2581">
      <c r="A2581" s="2" t="inlineStr">
        <is>
          <t>C0510</t>
        </is>
      </c>
      <c r="B2581" s="2" t="inlineStr">
        <is>
          <t>Odisha</t>
        </is>
      </c>
      <c r="C2581" s="2" t="inlineStr">
        <is>
          <t>Bhubaneswar</t>
        </is>
      </c>
      <c r="D2581" s="2" t="inlineStr">
        <is>
          <t>East</t>
        </is>
      </c>
    </row>
    <row r="2582">
      <c r="A2582" s="2" t="inlineStr">
        <is>
          <t>C0510</t>
        </is>
      </c>
      <c r="B2582" s="2" t="inlineStr">
        <is>
          <t>Maharashtra</t>
        </is>
      </c>
      <c r="C2582" s="2" t="inlineStr">
        <is>
          <t>Thane</t>
        </is>
      </c>
      <c r="D2582" s="2" t="inlineStr">
        <is>
          <t>West</t>
        </is>
      </c>
    </row>
    <row r="2583">
      <c r="A2583" s="2" t="inlineStr">
        <is>
          <t>C0510</t>
        </is>
      </c>
      <c r="B2583" s="2" t="inlineStr">
        <is>
          <t>Karnataka</t>
        </is>
      </c>
      <c r="C2583" s="2" t="inlineStr">
        <is>
          <t>Mangaluru</t>
        </is>
      </c>
      <c r="D2583" s="2" t="inlineStr">
        <is>
          <t>South</t>
        </is>
      </c>
    </row>
    <row r="2584">
      <c r="A2584" s="2" t="inlineStr">
        <is>
          <t>C0510</t>
        </is>
      </c>
      <c r="B2584" s="2" t="inlineStr">
        <is>
          <t>Maharashtra</t>
        </is>
      </c>
      <c r="C2584" s="2" t="inlineStr">
        <is>
          <t>Pune</t>
        </is>
      </c>
      <c r="D2584" s="2" t="inlineStr">
        <is>
          <t>West</t>
        </is>
      </c>
    </row>
    <row r="2585">
      <c r="A2585" s="2" t="inlineStr">
        <is>
          <t>C0510</t>
        </is>
      </c>
      <c r="B2585" s="2" t="inlineStr">
        <is>
          <t>Goa</t>
        </is>
      </c>
      <c r="C2585" s="2" t="inlineStr">
        <is>
          <t>Panaji</t>
        </is>
      </c>
      <c r="D2585" s="2" t="inlineStr">
        <is>
          <t>West</t>
        </is>
      </c>
    </row>
    <row r="2586">
      <c r="A2586" s="2" t="inlineStr">
        <is>
          <t>C0510</t>
        </is>
      </c>
      <c r="B2586" s="2" t="inlineStr">
        <is>
          <t>Gujarat</t>
        </is>
      </c>
      <c r="C2586" s="2" t="inlineStr">
        <is>
          <t>Vadodara</t>
        </is>
      </c>
      <c r="D2586" s="2" t="inlineStr">
        <is>
          <t>West</t>
        </is>
      </c>
    </row>
    <row r="2587">
      <c r="A2587" s="2" t="inlineStr">
        <is>
          <t>C0510</t>
        </is>
      </c>
      <c r="B2587" s="2" t="inlineStr">
        <is>
          <t>Odisha</t>
        </is>
      </c>
      <c r="C2587" s="2" t="inlineStr">
        <is>
          <t>Cuttack</t>
        </is>
      </c>
      <c r="D2587" s="2" t="inlineStr">
        <is>
          <t>East</t>
        </is>
      </c>
    </row>
    <row r="2588">
      <c r="A2588" s="2" t="inlineStr">
        <is>
          <t>C0510</t>
        </is>
      </c>
      <c r="B2588" s="2" t="inlineStr">
        <is>
          <t>Uttar Pradesh</t>
        </is>
      </c>
      <c r="C2588" s="2" t="inlineStr">
        <is>
          <t>Noida</t>
        </is>
      </c>
      <c r="D2588" s="2" t="inlineStr">
        <is>
          <t>North</t>
        </is>
      </c>
    </row>
    <row r="2589">
      <c r="A2589" s="2" t="inlineStr">
        <is>
          <t>C0510</t>
        </is>
      </c>
      <c r="B2589" s="2" t="inlineStr">
        <is>
          <t>Delhi</t>
        </is>
      </c>
      <c r="C2589" s="2" t="inlineStr">
        <is>
          <t>New Delhi</t>
        </is>
      </c>
      <c r="D2589" s="2" t="inlineStr">
        <is>
          <t>North</t>
        </is>
      </c>
    </row>
    <row r="2590">
      <c r="A2590" s="2" t="inlineStr">
        <is>
          <t>C0510</t>
        </is>
      </c>
      <c r="B2590" s="2" t="inlineStr">
        <is>
          <t>Uttar Pradesh</t>
        </is>
      </c>
      <c r="C2590" s="2" t="inlineStr">
        <is>
          <t>Kanpur</t>
        </is>
      </c>
      <c r="D2590" s="2" t="inlineStr">
        <is>
          <t>North</t>
        </is>
      </c>
    </row>
    <row r="2591">
      <c r="A2591" s="2" t="inlineStr">
        <is>
          <t>C0510</t>
        </is>
      </c>
      <c r="B2591" s="2" t="inlineStr">
        <is>
          <t>West Bengal</t>
        </is>
      </c>
      <c r="C2591" s="2" t="inlineStr">
        <is>
          <t>Kolkata</t>
        </is>
      </c>
      <c r="D2591" s="2" t="inlineStr">
        <is>
          <t>East</t>
        </is>
      </c>
    </row>
    <row r="2592">
      <c r="A2592" s="2" t="inlineStr">
        <is>
          <t>C0510</t>
        </is>
      </c>
      <c r="B2592" s="2" t="inlineStr">
        <is>
          <t>West Bengal</t>
        </is>
      </c>
      <c r="C2592" s="2" t="inlineStr">
        <is>
          <t>Durgapur</t>
        </is>
      </c>
      <c r="D2592" s="2" t="inlineStr">
        <is>
          <t>East</t>
        </is>
      </c>
    </row>
    <row r="2593">
      <c r="A2593" s="2" t="inlineStr">
        <is>
          <t>C0510</t>
        </is>
      </c>
      <c r="B2593" s="2" t="inlineStr">
        <is>
          <t>Karnataka</t>
        </is>
      </c>
      <c r="C2593" s="2" t="inlineStr">
        <is>
          <t>Mysuru</t>
        </is>
      </c>
      <c r="D2593" s="2" t="inlineStr">
        <is>
          <t>South</t>
        </is>
      </c>
    </row>
    <row r="2594">
      <c r="A2594" s="2" t="inlineStr">
        <is>
          <t>C0511</t>
        </is>
      </c>
      <c r="B2594" s="2" t="inlineStr">
        <is>
          <t>Tamil Nadu</t>
        </is>
      </c>
      <c r="C2594" s="2" t="inlineStr">
        <is>
          <t>Chennai</t>
        </is>
      </c>
      <c r="D2594" s="2" t="inlineStr">
        <is>
          <t>South</t>
        </is>
      </c>
    </row>
    <row r="2595">
      <c r="A2595" s="2" t="inlineStr">
        <is>
          <t>C0511</t>
        </is>
      </c>
      <c r="B2595" s="2" t="inlineStr">
        <is>
          <t>Delhi</t>
        </is>
      </c>
      <c r="C2595" s="2" t="inlineStr">
        <is>
          <t>New Delhi</t>
        </is>
      </c>
      <c r="D2595" s="2" t="inlineStr">
        <is>
          <t>North</t>
        </is>
      </c>
    </row>
    <row r="2596">
      <c r="A2596" s="2" t="inlineStr">
        <is>
          <t>C0511</t>
        </is>
      </c>
      <c r="B2596" s="2" t="inlineStr">
        <is>
          <t>Tamil Nadu</t>
        </is>
      </c>
      <c r="C2596" s="2" t="inlineStr">
        <is>
          <t>Coimbatore</t>
        </is>
      </c>
      <c r="D2596" s="2" t="inlineStr">
        <is>
          <t>South</t>
        </is>
      </c>
    </row>
    <row r="2597">
      <c r="A2597" s="2" t="inlineStr">
        <is>
          <t>C0512</t>
        </is>
      </c>
      <c r="B2597" s="2" t="inlineStr">
        <is>
          <t>Karnataka</t>
        </is>
      </c>
      <c r="C2597" s="2" t="inlineStr">
        <is>
          <t>Mysuru</t>
        </is>
      </c>
      <c r="D2597" s="2" t="inlineStr">
        <is>
          <t>South</t>
        </is>
      </c>
    </row>
    <row r="2598">
      <c r="A2598" s="2" t="inlineStr">
        <is>
          <t>C0512</t>
        </is>
      </c>
      <c r="B2598" s="2" t="inlineStr">
        <is>
          <t>Haryana</t>
        </is>
      </c>
      <c r="C2598" s="2" t="inlineStr">
        <is>
          <t>Faridabad</t>
        </is>
      </c>
      <c r="D2598" s="2" t="inlineStr">
        <is>
          <t>North</t>
        </is>
      </c>
    </row>
    <row r="2599">
      <c r="A2599" s="2" t="inlineStr">
        <is>
          <t>C0512</t>
        </is>
      </c>
      <c r="B2599" s="2" t="inlineStr">
        <is>
          <t>Telangana</t>
        </is>
      </c>
      <c r="C2599" s="2" t="inlineStr">
        <is>
          <t>Warangal</t>
        </is>
      </c>
      <c r="D2599" s="2" t="inlineStr">
        <is>
          <t>South</t>
        </is>
      </c>
    </row>
    <row r="2600">
      <c r="A2600" s="2" t="inlineStr">
        <is>
          <t>C0512</t>
        </is>
      </c>
      <c r="B2600" s="2" t="inlineStr">
        <is>
          <t>Gujarat</t>
        </is>
      </c>
      <c r="C2600" s="2" t="inlineStr">
        <is>
          <t>Ahmedabad</t>
        </is>
      </c>
      <c r="D2600" s="2" t="inlineStr">
        <is>
          <t>West</t>
        </is>
      </c>
    </row>
    <row r="2601">
      <c r="A2601" s="2" t="inlineStr">
        <is>
          <t>C0512</t>
        </is>
      </c>
      <c r="B2601" s="2" t="inlineStr">
        <is>
          <t>Uttar Pradesh</t>
        </is>
      </c>
      <c r="C2601" s="2" t="inlineStr">
        <is>
          <t>Varanasi</t>
        </is>
      </c>
      <c r="D2601" s="2" t="inlineStr">
        <is>
          <t>North</t>
        </is>
      </c>
    </row>
    <row r="2602">
      <c r="A2602" s="2" t="inlineStr">
        <is>
          <t>C0513</t>
        </is>
      </c>
      <c r="B2602" s="2" t="inlineStr">
        <is>
          <t>Gujarat</t>
        </is>
      </c>
      <c r="C2602" s="2" t="inlineStr">
        <is>
          <t>Ahmedabad</t>
        </is>
      </c>
      <c r="D2602" s="2" t="inlineStr">
        <is>
          <t>West</t>
        </is>
      </c>
    </row>
    <row r="2603">
      <c r="A2603" s="2" t="inlineStr">
        <is>
          <t>C0514</t>
        </is>
      </c>
      <c r="B2603" s="2" t="inlineStr">
        <is>
          <t>Kerala</t>
        </is>
      </c>
      <c r="C2603" s="2" t="inlineStr">
        <is>
          <t>Kochi</t>
        </is>
      </c>
      <c r="D2603" s="2" t="inlineStr">
        <is>
          <t>South</t>
        </is>
      </c>
    </row>
    <row r="2604">
      <c r="A2604" s="2" t="inlineStr">
        <is>
          <t>C0514</t>
        </is>
      </c>
      <c r="B2604" s="2" t="inlineStr">
        <is>
          <t>Uttar Pradesh</t>
        </is>
      </c>
      <c r="C2604" s="2" t="inlineStr">
        <is>
          <t>Noida</t>
        </is>
      </c>
      <c r="D2604" s="2" t="inlineStr">
        <is>
          <t>North</t>
        </is>
      </c>
    </row>
    <row r="2605">
      <c r="A2605" s="2" t="inlineStr">
        <is>
          <t>C0514</t>
        </is>
      </c>
      <c r="B2605" s="2" t="inlineStr">
        <is>
          <t>Kerala</t>
        </is>
      </c>
      <c r="C2605" s="2" t="inlineStr">
        <is>
          <t>Thiruvananthapuram</t>
        </is>
      </c>
      <c r="D2605" s="2" t="inlineStr">
        <is>
          <t>South</t>
        </is>
      </c>
    </row>
    <row r="2606">
      <c r="A2606" s="2" t="inlineStr">
        <is>
          <t>C0515</t>
        </is>
      </c>
      <c r="B2606" s="2" t="inlineStr">
        <is>
          <t>Tamil Nadu</t>
        </is>
      </c>
      <c r="C2606" s="2" t="inlineStr">
        <is>
          <t>Coimbatore</t>
        </is>
      </c>
      <c r="D2606" s="2" t="inlineStr">
        <is>
          <t>South</t>
        </is>
      </c>
    </row>
    <row r="2607">
      <c r="A2607" s="2" t="inlineStr">
        <is>
          <t>C0515</t>
        </is>
      </c>
      <c r="B2607" s="2" t="inlineStr">
        <is>
          <t>Gujarat</t>
        </is>
      </c>
      <c r="C2607" s="2" t="inlineStr">
        <is>
          <t>Ahmedabad</t>
        </is>
      </c>
      <c r="D2607" s="2" t="inlineStr">
        <is>
          <t>West</t>
        </is>
      </c>
    </row>
    <row r="2608">
      <c r="A2608" s="2" t="inlineStr">
        <is>
          <t>C0515</t>
        </is>
      </c>
      <c r="B2608" s="2" t="inlineStr">
        <is>
          <t>West Bengal</t>
        </is>
      </c>
      <c r="C2608" s="2" t="inlineStr">
        <is>
          <t>Durgapur</t>
        </is>
      </c>
      <c r="D2608" s="2" t="inlineStr">
        <is>
          <t>East</t>
        </is>
      </c>
    </row>
    <row r="2609">
      <c r="A2609" s="2" t="inlineStr">
        <is>
          <t>C0515</t>
        </is>
      </c>
      <c r="B2609" s="2" t="inlineStr">
        <is>
          <t>Kerala</t>
        </is>
      </c>
      <c r="C2609" s="2" t="inlineStr">
        <is>
          <t>Thiruvananthapuram</t>
        </is>
      </c>
      <c r="D2609" s="2" t="inlineStr">
        <is>
          <t>South</t>
        </is>
      </c>
    </row>
    <row r="2610">
      <c r="A2610" s="2" t="inlineStr">
        <is>
          <t>C0516</t>
        </is>
      </c>
      <c r="B2610" s="2" t="inlineStr">
        <is>
          <t>Uttar Pradesh</t>
        </is>
      </c>
      <c r="C2610" s="2" t="inlineStr">
        <is>
          <t>Noida</t>
        </is>
      </c>
      <c r="D2610" s="2" t="inlineStr">
        <is>
          <t>North</t>
        </is>
      </c>
    </row>
    <row r="2611">
      <c r="A2611" s="2" t="inlineStr">
        <is>
          <t>C0517</t>
        </is>
      </c>
      <c r="B2611" s="2" t="inlineStr">
        <is>
          <t>Tamil Nadu</t>
        </is>
      </c>
      <c r="C2611" s="2" t="inlineStr">
        <is>
          <t>Chennai</t>
        </is>
      </c>
      <c r="D2611" s="2" t="inlineStr">
        <is>
          <t>South</t>
        </is>
      </c>
    </row>
    <row r="2612">
      <c r="A2612" s="2" t="inlineStr">
        <is>
          <t>C0518</t>
        </is>
      </c>
      <c r="B2612" s="2" t="inlineStr">
        <is>
          <t>West Bengal</t>
        </is>
      </c>
      <c r="C2612" s="2" t="inlineStr">
        <is>
          <t>Kolkata</t>
        </is>
      </c>
      <c r="D2612" s="2" t="inlineStr">
        <is>
          <t>East</t>
        </is>
      </c>
    </row>
    <row r="2613">
      <c r="A2613" s="2" t="inlineStr">
        <is>
          <t>C0518</t>
        </is>
      </c>
      <c r="B2613" s="2" t="inlineStr">
        <is>
          <t>Gujarat</t>
        </is>
      </c>
      <c r="C2613" s="2" t="inlineStr">
        <is>
          <t>Ahmedabad</t>
        </is>
      </c>
      <c r="D2613" s="2" t="inlineStr">
        <is>
          <t>West</t>
        </is>
      </c>
    </row>
    <row r="2614">
      <c r="A2614" s="2" t="inlineStr">
        <is>
          <t>C0518</t>
        </is>
      </c>
      <c r="B2614" s="2" t="inlineStr">
        <is>
          <t>Maharashtra</t>
        </is>
      </c>
      <c r="C2614" s="2" t="inlineStr">
        <is>
          <t>Thane</t>
        </is>
      </c>
      <c r="D2614" s="2" t="inlineStr">
        <is>
          <t>West</t>
        </is>
      </c>
    </row>
    <row r="2615">
      <c r="A2615" s="2" t="inlineStr">
        <is>
          <t>C0518</t>
        </is>
      </c>
      <c r="B2615" s="2" t="inlineStr">
        <is>
          <t>Goa</t>
        </is>
      </c>
      <c r="C2615" s="2" t="inlineStr">
        <is>
          <t>Panaji</t>
        </is>
      </c>
      <c r="D2615" s="2" t="inlineStr">
        <is>
          <t>West</t>
        </is>
      </c>
    </row>
    <row r="2616">
      <c r="A2616" s="2" t="inlineStr">
        <is>
          <t>C0519</t>
        </is>
      </c>
      <c r="B2616" s="2" t="inlineStr">
        <is>
          <t>Punjab</t>
        </is>
      </c>
      <c r="C2616" s="2" t="inlineStr">
        <is>
          <t>Jalandhar</t>
        </is>
      </c>
      <c r="D2616" s="2" t="inlineStr">
        <is>
          <t>North</t>
        </is>
      </c>
    </row>
    <row r="2617">
      <c r="A2617" s="2" t="inlineStr">
        <is>
          <t>C0519</t>
        </is>
      </c>
      <c r="B2617" s="2" t="inlineStr">
        <is>
          <t>Maharashtra</t>
        </is>
      </c>
      <c r="C2617" s="2" t="inlineStr">
        <is>
          <t>Nagpur</t>
        </is>
      </c>
      <c r="D2617" s="2" t="inlineStr">
        <is>
          <t>West</t>
        </is>
      </c>
    </row>
    <row r="2618">
      <c r="A2618" s="2" t="inlineStr">
        <is>
          <t>C0519</t>
        </is>
      </c>
      <c r="B2618" s="2" t="inlineStr">
        <is>
          <t>Uttar Pradesh</t>
        </is>
      </c>
      <c r="C2618" s="2" t="inlineStr">
        <is>
          <t>Lucknow</t>
        </is>
      </c>
      <c r="D2618" s="2" t="inlineStr">
        <is>
          <t>North</t>
        </is>
      </c>
    </row>
    <row r="2619">
      <c r="A2619" s="2" t="inlineStr">
        <is>
          <t>C0519</t>
        </is>
      </c>
      <c r="B2619" s="2" t="inlineStr">
        <is>
          <t>Karnataka</t>
        </is>
      </c>
      <c r="C2619" s="2" t="inlineStr">
        <is>
          <t>Mangaluru</t>
        </is>
      </c>
      <c r="D2619" s="2" t="inlineStr">
        <is>
          <t>South</t>
        </is>
      </c>
    </row>
    <row r="2620">
      <c r="A2620" s="2" t="inlineStr">
        <is>
          <t>C0519</t>
        </is>
      </c>
      <c r="B2620" s="2" t="inlineStr">
        <is>
          <t>Kerala</t>
        </is>
      </c>
      <c r="C2620" s="2" t="inlineStr">
        <is>
          <t>Kochi</t>
        </is>
      </c>
      <c r="D2620" s="2" t="inlineStr">
        <is>
          <t>South</t>
        </is>
      </c>
    </row>
    <row r="2621">
      <c r="A2621" s="2" t="inlineStr">
        <is>
          <t>C0519</t>
        </is>
      </c>
      <c r="B2621" s="2" t="inlineStr">
        <is>
          <t>Gujarat</t>
        </is>
      </c>
      <c r="C2621" s="2" t="inlineStr">
        <is>
          <t>Ahmedabad</t>
        </is>
      </c>
      <c r="D2621" s="2" t="inlineStr">
        <is>
          <t>West</t>
        </is>
      </c>
    </row>
    <row r="2622">
      <c r="A2622" s="2" t="inlineStr">
        <is>
          <t>C0519</t>
        </is>
      </c>
      <c r="B2622" s="2" t="inlineStr">
        <is>
          <t>Punjab</t>
        </is>
      </c>
      <c r="C2622" s="2" t="inlineStr">
        <is>
          <t>Amritsar</t>
        </is>
      </c>
      <c r="D2622" s="2" t="inlineStr">
        <is>
          <t>North</t>
        </is>
      </c>
    </row>
    <row r="2623">
      <c r="A2623" s="2" t="inlineStr">
        <is>
          <t>C0519</t>
        </is>
      </c>
      <c r="B2623" s="2" t="inlineStr">
        <is>
          <t>Odisha</t>
        </is>
      </c>
      <c r="C2623" s="2" t="inlineStr">
        <is>
          <t>Cuttack</t>
        </is>
      </c>
      <c r="D2623" s="2" t="inlineStr">
        <is>
          <t>East</t>
        </is>
      </c>
    </row>
    <row r="2624">
      <c r="A2624" s="2" t="inlineStr">
        <is>
          <t>C0519</t>
        </is>
      </c>
      <c r="B2624" s="2" t="inlineStr">
        <is>
          <t>Maharashtra</t>
        </is>
      </c>
      <c r="C2624" s="2" t="inlineStr">
        <is>
          <t>Mumbai</t>
        </is>
      </c>
      <c r="D2624" s="2" t="inlineStr">
        <is>
          <t>West</t>
        </is>
      </c>
    </row>
    <row r="2625">
      <c r="A2625" s="2" t="inlineStr">
        <is>
          <t>C0519</t>
        </is>
      </c>
      <c r="B2625" s="2" t="inlineStr">
        <is>
          <t>Tamil Nadu</t>
        </is>
      </c>
      <c r="C2625" s="2" t="inlineStr">
        <is>
          <t>Madurai</t>
        </is>
      </c>
      <c r="D2625" s="2" t="inlineStr">
        <is>
          <t>South</t>
        </is>
      </c>
    </row>
    <row r="2626">
      <c r="A2626" s="2" t="inlineStr">
        <is>
          <t>C0519</t>
        </is>
      </c>
      <c r="B2626" s="2" t="inlineStr">
        <is>
          <t>Maharashtra</t>
        </is>
      </c>
      <c r="C2626" s="2" t="inlineStr">
        <is>
          <t>Thane</t>
        </is>
      </c>
      <c r="D2626" s="2" t="inlineStr">
        <is>
          <t>West</t>
        </is>
      </c>
    </row>
    <row r="2627">
      <c r="A2627" s="2" t="inlineStr">
        <is>
          <t>C0519</t>
        </is>
      </c>
      <c r="B2627" s="2" t="inlineStr">
        <is>
          <t>Punjab</t>
        </is>
      </c>
      <c r="C2627" s="2" t="inlineStr">
        <is>
          <t>Ludhiana</t>
        </is>
      </c>
      <c r="D2627" s="2" t="inlineStr">
        <is>
          <t>North</t>
        </is>
      </c>
    </row>
    <row r="2628">
      <c r="A2628" s="2" t="inlineStr">
        <is>
          <t>C0519</t>
        </is>
      </c>
      <c r="B2628" s="2" t="inlineStr">
        <is>
          <t>Maharashtra</t>
        </is>
      </c>
      <c r="C2628" s="2" t="inlineStr">
        <is>
          <t>Nashik</t>
        </is>
      </c>
      <c r="D2628" s="2" t="inlineStr">
        <is>
          <t>West</t>
        </is>
      </c>
    </row>
    <row r="2629">
      <c r="A2629" s="2" t="inlineStr">
        <is>
          <t>C0519</t>
        </is>
      </c>
      <c r="B2629" s="2" t="inlineStr">
        <is>
          <t>Delhi</t>
        </is>
      </c>
      <c r="C2629" s="2" t="inlineStr">
        <is>
          <t>New Delhi</t>
        </is>
      </c>
      <c r="D2629" s="2" t="inlineStr">
        <is>
          <t>North</t>
        </is>
      </c>
    </row>
    <row r="2630">
      <c r="A2630" s="2" t="inlineStr">
        <is>
          <t>C0519</t>
        </is>
      </c>
      <c r="B2630" s="2" t="inlineStr">
        <is>
          <t>Gujarat</t>
        </is>
      </c>
      <c r="C2630" s="2" t="inlineStr">
        <is>
          <t>Vadodara</t>
        </is>
      </c>
      <c r="D2630" s="2" t="inlineStr">
        <is>
          <t>West</t>
        </is>
      </c>
    </row>
    <row r="2631">
      <c r="A2631" s="2" t="inlineStr">
        <is>
          <t>C0519</t>
        </is>
      </c>
      <c r="B2631" s="2" t="inlineStr">
        <is>
          <t>Bihar</t>
        </is>
      </c>
      <c r="C2631" s="2" t="inlineStr">
        <is>
          <t>Patna</t>
        </is>
      </c>
      <c r="D2631" s="2" t="inlineStr">
        <is>
          <t>East</t>
        </is>
      </c>
    </row>
    <row r="2632">
      <c r="A2632" s="2" t="inlineStr">
        <is>
          <t>C0519</t>
        </is>
      </c>
      <c r="B2632" s="2" t="inlineStr">
        <is>
          <t>Goa</t>
        </is>
      </c>
      <c r="C2632" s="2" t="inlineStr">
        <is>
          <t>Panaji</t>
        </is>
      </c>
      <c r="D2632" s="2" t="inlineStr">
        <is>
          <t>West</t>
        </is>
      </c>
    </row>
    <row r="2633">
      <c r="A2633" s="2" t="inlineStr">
        <is>
          <t>C0520</t>
        </is>
      </c>
      <c r="B2633" s="2" t="inlineStr">
        <is>
          <t>Karnataka</t>
        </is>
      </c>
      <c r="C2633" s="2" t="inlineStr">
        <is>
          <t>Mangaluru</t>
        </is>
      </c>
      <c r="D2633" s="2" t="inlineStr">
        <is>
          <t>South</t>
        </is>
      </c>
    </row>
    <row r="2634">
      <c r="A2634" s="2" t="inlineStr">
        <is>
          <t>C0520</t>
        </is>
      </c>
      <c r="B2634" s="2" t="inlineStr">
        <is>
          <t>Gujarat</t>
        </is>
      </c>
      <c r="C2634" s="2" t="inlineStr">
        <is>
          <t>Ahmedabad</t>
        </is>
      </c>
      <c r="D2634" s="2" t="inlineStr">
        <is>
          <t>West</t>
        </is>
      </c>
    </row>
    <row r="2635">
      <c r="A2635" s="2" t="inlineStr">
        <is>
          <t>C0520</t>
        </is>
      </c>
      <c r="B2635" s="2" t="inlineStr">
        <is>
          <t>Delhi</t>
        </is>
      </c>
      <c r="C2635" s="2" t="inlineStr">
        <is>
          <t>New Delhi</t>
        </is>
      </c>
      <c r="D2635" s="2" t="inlineStr">
        <is>
          <t>North</t>
        </is>
      </c>
    </row>
    <row r="2636">
      <c r="A2636" s="2" t="inlineStr">
        <is>
          <t>C0520</t>
        </is>
      </c>
      <c r="B2636" s="2" t="inlineStr">
        <is>
          <t>Uttar Pradesh</t>
        </is>
      </c>
      <c r="C2636" s="2" t="inlineStr">
        <is>
          <t>Noida</t>
        </is>
      </c>
      <c r="D2636" s="2" t="inlineStr">
        <is>
          <t>North</t>
        </is>
      </c>
    </row>
    <row r="2637">
      <c r="A2637" s="2" t="inlineStr">
        <is>
          <t>C0520</t>
        </is>
      </c>
      <c r="B2637" s="2" t="inlineStr">
        <is>
          <t>Odisha</t>
        </is>
      </c>
      <c r="C2637" s="2" t="inlineStr">
        <is>
          <t>Bhubaneswar</t>
        </is>
      </c>
      <c r="D2637" s="2" t="inlineStr">
        <is>
          <t>East</t>
        </is>
      </c>
    </row>
    <row r="2638">
      <c r="A2638" s="2" t="inlineStr">
        <is>
          <t>C0521</t>
        </is>
      </c>
      <c r="B2638" s="2" t="inlineStr">
        <is>
          <t>Bihar</t>
        </is>
      </c>
      <c r="C2638" s="2" t="inlineStr">
        <is>
          <t>Gaya</t>
        </is>
      </c>
      <c r="D2638" s="2" t="inlineStr">
        <is>
          <t>East</t>
        </is>
      </c>
    </row>
    <row r="2639">
      <c r="A2639" s="2" t="inlineStr">
        <is>
          <t>C0521</t>
        </is>
      </c>
      <c r="B2639" s="2" t="inlineStr">
        <is>
          <t>Tamil Nadu</t>
        </is>
      </c>
      <c r="C2639" s="2" t="inlineStr">
        <is>
          <t>Coimbatore</t>
        </is>
      </c>
      <c r="D2639" s="2" t="inlineStr">
        <is>
          <t>South</t>
        </is>
      </c>
    </row>
    <row r="2640">
      <c r="A2640" s="2" t="inlineStr">
        <is>
          <t>C0521</t>
        </is>
      </c>
      <c r="B2640" s="2" t="inlineStr">
        <is>
          <t>Maharashtra</t>
        </is>
      </c>
      <c r="C2640" s="2" t="inlineStr">
        <is>
          <t>Mumbai</t>
        </is>
      </c>
      <c r="D2640" s="2" t="inlineStr">
        <is>
          <t>West</t>
        </is>
      </c>
    </row>
    <row r="2641">
      <c r="A2641" s="2" t="inlineStr">
        <is>
          <t>C0521</t>
        </is>
      </c>
      <c r="B2641" s="2" t="inlineStr">
        <is>
          <t>Maharashtra</t>
        </is>
      </c>
      <c r="C2641" s="2" t="inlineStr">
        <is>
          <t>Nashik</t>
        </is>
      </c>
      <c r="D2641" s="2" t="inlineStr">
        <is>
          <t>West</t>
        </is>
      </c>
    </row>
    <row r="2642">
      <c r="A2642" s="2" t="inlineStr">
        <is>
          <t>C0521</t>
        </is>
      </c>
      <c r="B2642" s="2" t="inlineStr">
        <is>
          <t>Delhi</t>
        </is>
      </c>
      <c r="C2642" s="2" t="inlineStr">
        <is>
          <t>New Delhi</t>
        </is>
      </c>
      <c r="D2642" s="2" t="inlineStr">
        <is>
          <t>North</t>
        </is>
      </c>
    </row>
    <row r="2643">
      <c r="A2643" s="2" t="inlineStr">
        <is>
          <t>C0521</t>
        </is>
      </c>
      <c r="B2643" s="2" t="inlineStr">
        <is>
          <t>Punjab</t>
        </is>
      </c>
      <c r="C2643" s="2" t="inlineStr">
        <is>
          <t>Amritsar</t>
        </is>
      </c>
      <c r="D2643" s="2" t="inlineStr">
        <is>
          <t>North</t>
        </is>
      </c>
    </row>
    <row r="2644">
      <c r="A2644" s="2" t="inlineStr">
        <is>
          <t>C0522</t>
        </is>
      </c>
      <c r="B2644" s="2" t="inlineStr">
        <is>
          <t>West Bengal</t>
        </is>
      </c>
      <c r="C2644" s="2" t="inlineStr">
        <is>
          <t>Durgapur</t>
        </is>
      </c>
      <c r="D2644" s="2" t="inlineStr">
        <is>
          <t>East</t>
        </is>
      </c>
    </row>
    <row r="2645">
      <c r="A2645" s="2" t="inlineStr">
        <is>
          <t>C0522</t>
        </is>
      </c>
      <c r="B2645" s="2" t="inlineStr">
        <is>
          <t>Telangana</t>
        </is>
      </c>
      <c r="C2645" s="2" t="inlineStr">
        <is>
          <t>Hyderabad</t>
        </is>
      </c>
      <c r="D2645" s="2" t="inlineStr">
        <is>
          <t>South</t>
        </is>
      </c>
    </row>
    <row r="2646">
      <c r="A2646" s="2" t="inlineStr">
        <is>
          <t>C0522</t>
        </is>
      </c>
      <c r="B2646" s="2" t="inlineStr">
        <is>
          <t>Delhi</t>
        </is>
      </c>
      <c r="C2646" s="2" t="inlineStr">
        <is>
          <t>New Delhi</t>
        </is>
      </c>
      <c r="D2646" s="2" t="inlineStr">
        <is>
          <t>North</t>
        </is>
      </c>
    </row>
    <row r="2647">
      <c r="A2647" s="2" t="inlineStr">
        <is>
          <t>C0522</t>
        </is>
      </c>
      <c r="B2647" s="2" t="inlineStr">
        <is>
          <t>Goa</t>
        </is>
      </c>
      <c r="C2647" s="2" t="inlineStr">
        <is>
          <t>Panaji</t>
        </is>
      </c>
      <c r="D2647" s="2" t="inlineStr">
        <is>
          <t>West</t>
        </is>
      </c>
    </row>
    <row r="2648">
      <c r="A2648" s="2" t="inlineStr">
        <is>
          <t>C0522</t>
        </is>
      </c>
      <c r="B2648" s="2" t="inlineStr">
        <is>
          <t>Uttar Pradesh</t>
        </is>
      </c>
      <c r="C2648" s="2" t="inlineStr">
        <is>
          <t>Lucknow</t>
        </is>
      </c>
      <c r="D2648" s="2" t="inlineStr">
        <is>
          <t>North</t>
        </is>
      </c>
    </row>
    <row r="2649">
      <c r="A2649" s="2" t="inlineStr">
        <is>
          <t>C0522</t>
        </is>
      </c>
      <c r="B2649" s="2" t="inlineStr">
        <is>
          <t>Gujarat</t>
        </is>
      </c>
      <c r="C2649" s="2" t="inlineStr">
        <is>
          <t>Vadodara</t>
        </is>
      </c>
      <c r="D2649" s="2" t="inlineStr">
        <is>
          <t>West</t>
        </is>
      </c>
    </row>
    <row r="2650">
      <c r="A2650" s="2" t="inlineStr">
        <is>
          <t>C0522</t>
        </is>
      </c>
      <c r="B2650" s="2" t="inlineStr">
        <is>
          <t>Karnataka</t>
        </is>
      </c>
      <c r="C2650" s="2" t="inlineStr">
        <is>
          <t>Mysuru</t>
        </is>
      </c>
      <c r="D2650" s="2" t="inlineStr">
        <is>
          <t>South</t>
        </is>
      </c>
    </row>
    <row r="2651">
      <c r="A2651" s="2" t="inlineStr">
        <is>
          <t>C0522</t>
        </is>
      </c>
      <c r="B2651" s="2" t="inlineStr">
        <is>
          <t>Karnataka</t>
        </is>
      </c>
      <c r="C2651" s="2" t="inlineStr">
        <is>
          <t>Bengaluru</t>
        </is>
      </c>
      <c r="D2651" s="2" t="inlineStr">
        <is>
          <t>South</t>
        </is>
      </c>
    </row>
    <row r="2652">
      <c r="A2652" s="2" t="inlineStr">
        <is>
          <t>C0522</t>
        </is>
      </c>
      <c r="B2652" s="2" t="inlineStr">
        <is>
          <t>Goa</t>
        </is>
      </c>
      <c r="C2652" s="2" t="inlineStr">
        <is>
          <t>Margao</t>
        </is>
      </c>
      <c r="D2652" s="2" t="inlineStr">
        <is>
          <t>West</t>
        </is>
      </c>
    </row>
    <row r="2653">
      <c r="A2653" s="2" t="inlineStr">
        <is>
          <t>C0522</t>
        </is>
      </c>
      <c r="B2653" s="2" t="inlineStr">
        <is>
          <t>Haryana</t>
        </is>
      </c>
      <c r="C2653" s="2" t="inlineStr">
        <is>
          <t>Faridabad</t>
        </is>
      </c>
      <c r="D2653" s="2" t="inlineStr">
        <is>
          <t>North</t>
        </is>
      </c>
    </row>
    <row r="2654">
      <c r="A2654" s="2" t="inlineStr">
        <is>
          <t>C0523</t>
        </is>
      </c>
      <c r="B2654" s="2" t="inlineStr">
        <is>
          <t>Haryana</t>
        </is>
      </c>
      <c r="C2654" s="2" t="inlineStr">
        <is>
          <t>Faridabad</t>
        </is>
      </c>
      <c r="D2654" s="2" t="inlineStr">
        <is>
          <t>North</t>
        </is>
      </c>
    </row>
    <row r="2655">
      <c r="A2655" s="2" t="inlineStr">
        <is>
          <t>C0523</t>
        </is>
      </c>
      <c r="B2655" s="2" t="inlineStr">
        <is>
          <t>Telangana</t>
        </is>
      </c>
      <c r="C2655" s="2" t="inlineStr">
        <is>
          <t>Warangal</t>
        </is>
      </c>
      <c r="D2655" s="2" t="inlineStr">
        <is>
          <t>South</t>
        </is>
      </c>
    </row>
    <row r="2656">
      <c r="A2656" s="2" t="inlineStr">
        <is>
          <t>C0523</t>
        </is>
      </c>
      <c r="B2656" s="2" t="inlineStr">
        <is>
          <t>Maharashtra</t>
        </is>
      </c>
      <c r="C2656" s="2" t="inlineStr">
        <is>
          <t>Thane</t>
        </is>
      </c>
      <c r="D2656" s="2" t="inlineStr">
        <is>
          <t>West</t>
        </is>
      </c>
    </row>
    <row r="2657">
      <c r="A2657" s="2" t="inlineStr">
        <is>
          <t>C0523</t>
        </is>
      </c>
      <c r="B2657" s="2" t="inlineStr">
        <is>
          <t>Maharashtra</t>
        </is>
      </c>
      <c r="C2657" s="2" t="inlineStr">
        <is>
          <t>Nashik</t>
        </is>
      </c>
      <c r="D2657" s="2" t="inlineStr">
        <is>
          <t>West</t>
        </is>
      </c>
    </row>
    <row r="2658">
      <c r="A2658" s="2" t="inlineStr">
        <is>
          <t>C0523</t>
        </is>
      </c>
      <c r="B2658" s="2" t="inlineStr">
        <is>
          <t>Uttar Pradesh</t>
        </is>
      </c>
      <c r="C2658" s="2" t="inlineStr">
        <is>
          <t>Kanpur</t>
        </is>
      </c>
      <c r="D2658" s="2" t="inlineStr">
        <is>
          <t>North</t>
        </is>
      </c>
    </row>
    <row r="2659">
      <c r="A2659" s="2" t="inlineStr">
        <is>
          <t>C0523</t>
        </is>
      </c>
      <c r="B2659" s="2" t="inlineStr">
        <is>
          <t>Telangana</t>
        </is>
      </c>
      <c r="C2659" s="2" t="inlineStr">
        <is>
          <t>Hyderabad</t>
        </is>
      </c>
      <c r="D2659" s="2" t="inlineStr">
        <is>
          <t>South</t>
        </is>
      </c>
    </row>
    <row r="2660">
      <c r="A2660" s="2" t="inlineStr">
        <is>
          <t>C0523</t>
        </is>
      </c>
      <c r="B2660" s="2" t="inlineStr">
        <is>
          <t>Delhi</t>
        </is>
      </c>
      <c r="C2660" s="2" t="inlineStr">
        <is>
          <t>New Delhi</t>
        </is>
      </c>
      <c r="D2660" s="2" t="inlineStr">
        <is>
          <t>North</t>
        </is>
      </c>
    </row>
    <row r="2661">
      <c r="A2661" s="2" t="inlineStr">
        <is>
          <t>C0523</t>
        </is>
      </c>
      <c r="B2661" s="2" t="inlineStr">
        <is>
          <t>Punjab</t>
        </is>
      </c>
      <c r="C2661" s="2" t="inlineStr">
        <is>
          <t>Amritsar</t>
        </is>
      </c>
      <c r="D2661" s="2" t="inlineStr">
        <is>
          <t>North</t>
        </is>
      </c>
    </row>
    <row r="2662">
      <c r="A2662" s="2" t="inlineStr">
        <is>
          <t>C0523</t>
        </is>
      </c>
      <c r="B2662" s="2" t="inlineStr">
        <is>
          <t>Gujarat</t>
        </is>
      </c>
      <c r="C2662" s="2" t="inlineStr">
        <is>
          <t>Vadodara</t>
        </is>
      </c>
      <c r="D2662" s="2" t="inlineStr">
        <is>
          <t>West</t>
        </is>
      </c>
    </row>
    <row r="2663">
      <c r="A2663" s="2" t="inlineStr">
        <is>
          <t>C0523</t>
        </is>
      </c>
      <c r="B2663" s="2" t="inlineStr">
        <is>
          <t>Tamil Nadu</t>
        </is>
      </c>
      <c r="C2663" s="2" t="inlineStr">
        <is>
          <t>Madurai</t>
        </is>
      </c>
      <c r="D2663" s="2" t="inlineStr">
        <is>
          <t>South</t>
        </is>
      </c>
    </row>
    <row r="2664">
      <c r="A2664" s="2" t="inlineStr">
        <is>
          <t>C0523</t>
        </is>
      </c>
      <c r="B2664" s="2" t="inlineStr">
        <is>
          <t>Karnataka</t>
        </is>
      </c>
      <c r="C2664" s="2" t="inlineStr">
        <is>
          <t>Mangaluru</t>
        </is>
      </c>
      <c r="D2664" s="2" t="inlineStr">
        <is>
          <t>South</t>
        </is>
      </c>
    </row>
    <row r="2665">
      <c r="A2665" s="2" t="inlineStr">
        <is>
          <t>C0523</t>
        </is>
      </c>
      <c r="B2665" s="2" t="inlineStr">
        <is>
          <t>Gujarat</t>
        </is>
      </c>
      <c r="C2665" s="2" t="inlineStr">
        <is>
          <t>Ahmedabad</t>
        </is>
      </c>
      <c r="D2665" s="2" t="inlineStr">
        <is>
          <t>West</t>
        </is>
      </c>
    </row>
    <row r="2666">
      <c r="A2666" s="2" t="inlineStr">
        <is>
          <t>C0523</t>
        </is>
      </c>
      <c r="B2666" s="2" t="inlineStr">
        <is>
          <t>Maharashtra</t>
        </is>
      </c>
      <c r="C2666" s="2" t="inlineStr">
        <is>
          <t>Nagpur</t>
        </is>
      </c>
      <c r="D2666" s="2" t="inlineStr">
        <is>
          <t>West</t>
        </is>
      </c>
    </row>
    <row r="2667">
      <c r="A2667" s="2" t="inlineStr">
        <is>
          <t>C0523</t>
        </is>
      </c>
      <c r="B2667" s="2" t="inlineStr">
        <is>
          <t>West Bengal</t>
        </is>
      </c>
      <c r="C2667" s="2" t="inlineStr">
        <is>
          <t>Durgapur</t>
        </is>
      </c>
      <c r="D2667" s="2" t="inlineStr">
        <is>
          <t>East</t>
        </is>
      </c>
    </row>
    <row r="2668">
      <c r="A2668" s="2" t="inlineStr">
        <is>
          <t>C0523</t>
        </is>
      </c>
      <c r="B2668" s="2" t="inlineStr">
        <is>
          <t>Punjab</t>
        </is>
      </c>
      <c r="C2668" s="2" t="inlineStr">
        <is>
          <t>Jalandhar</t>
        </is>
      </c>
      <c r="D2668" s="2" t="inlineStr">
        <is>
          <t>North</t>
        </is>
      </c>
    </row>
    <row r="2669">
      <c r="A2669" s="2" t="inlineStr">
        <is>
          <t>C0523</t>
        </is>
      </c>
      <c r="B2669" s="2" t="inlineStr">
        <is>
          <t>Goa</t>
        </is>
      </c>
      <c r="C2669" s="2" t="inlineStr">
        <is>
          <t>Margao</t>
        </is>
      </c>
      <c r="D2669" s="2" t="inlineStr">
        <is>
          <t>West</t>
        </is>
      </c>
    </row>
    <row r="2670">
      <c r="A2670" s="2" t="inlineStr">
        <is>
          <t>C0523</t>
        </is>
      </c>
      <c r="B2670" s="2" t="inlineStr">
        <is>
          <t>Haryana</t>
        </is>
      </c>
      <c r="C2670" s="2" t="inlineStr">
        <is>
          <t>Gurugram</t>
        </is>
      </c>
      <c r="D2670" s="2" t="inlineStr">
        <is>
          <t>North</t>
        </is>
      </c>
    </row>
    <row r="2671">
      <c r="A2671" s="2" t="inlineStr">
        <is>
          <t>C0523</t>
        </is>
      </c>
      <c r="B2671" s="2" t="inlineStr">
        <is>
          <t>Gujarat</t>
        </is>
      </c>
      <c r="C2671" s="2" t="inlineStr">
        <is>
          <t>Surat</t>
        </is>
      </c>
      <c r="D2671" s="2" t="inlineStr">
        <is>
          <t>West</t>
        </is>
      </c>
    </row>
    <row r="2672">
      <c r="A2672" s="2" t="inlineStr">
        <is>
          <t>C0523</t>
        </is>
      </c>
      <c r="B2672" s="2" t="inlineStr">
        <is>
          <t>Tamil Nadu</t>
        </is>
      </c>
      <c r="C2672" s="2" t="inlineStr">
        <is>
          <t>Chennai</t>
        </is>
      </c>
      <c r="D2672" s="2" t="inlineStr">
        <is>
          <t>South</t>
        </is>
      </c>
    </row>
    <row r="2673">
      <c r="A2673" s="2" t="inlineStr">
        <is>
          <t>C0523</t>
        </is>
      </c>
      <c r="B2673" s="2" t="inlineStr">
        <is>
          <t>Bihar</t>
        </is>
      </c>
      <c r="C2673" s="2" t="inlineStr">
        <is>
          <t>Gaya</t>
        </is>
      </c>
      <c r="D2673" s="2" t="inlineStr">
        <is>
          <t>East</t>
        </is>
      </c>
    </row>
    <row r="2674">
      <c r="A2674" s="2" t="inlineStr">
        <is>
          <t>C0523</t>
        </is>
      </c>
      <c r="B2674" s="2" t="inlineStr">
        <is>
          <t>Goa</t>
        </is>
      </c>
      <c r="C2674" s="2" t="inlineStr">
        <is>
          <t>Panaji</t>
        </is>
      </c>
      <c r="D2674" s="2" t="inlineStr">
        <is>
          <t>West</t>
        </is>
      </c>
    </row>
    <row r="2675">
      <c r="A2675" s="2" t="inlineStr">
        <is>
          <t>C0523</t>
        </is>
      </c>
      <c r="B2675" s="2" t="inlineStr">
        <is>
          <t>Bihar</t>
        </is>
      </c>
      <c r="C2675" s="2" t="inlineStr">
        <is>
          <t>Patna</t>
        </is>
      </c>
      <c r="D2675" s="2" t="inlineStr">
        <is>
          <t>East</t>
        </is>
      </c>
    </row>
    <row r="2676">
      <c r="A2676" s="2" t="inlineStr">
        <is>
          <t>C0523</t>
        </is>
      </c>
      <c r="B2676" s="2" t="inlineStr">
        <is>
          <t>Tamil Nadu</t>
        </is>
      </c>
      <c r="C2676" s="2" t="inlineStr">
        <is>
          <t>Coimbatore</t>
        </is>
      </c>
      <c r="D2676" s="2" t="inlineStr">
        <is>
          <t>South</t>
        </is>
      </c>
    </row>
    <row r="2677">
      <c r="A2677" s="2" t="inlineStr">
        <is>
          <t>C0523</t>
        </is>
      </c>
      <c r="B2677" s="2" t="inlineStr">
        <is>
          <t>Kerala</t>
        </is>
      </c>
      <c r="C2677" s="2" t="inlineStr">
        <is>
          <t>Thiruvananthapuram</t>
        </is>
      </c>
      <c r="D2677" s="2" t="inlineStr">
        <is>
          <t>South</t>
        </is>
      </c>
    </row>
    <row r="2678">
      <c r="A2678" s="2" t="inlineStr">
        <is>
          <t>C0525</t>
        </is>
      </c>
      <c r="B2678" s="2" t="inlineStr">
        <is>
          <t>Delhi</t>
        </is>
      </c>
      <c r="C2678" s="2" t="inlineStr">
        <is>
          <t>New Delhi</t>
        </is>
      </c>
      <c r="D2678" s="2" t="inlineStr">
        <is>
          <t>North</t>
        </is>
      </c>
    </row>
    <row r="2679">
      <c r="A2679" s="2" t="inlineStr">
        <is>
          <t>C0525</t>
        </is>
      </c>
      <c r="B2679" s="2" t="inlineStr">
        <is>
          <t>Haryana</t>
        </is>
      </c>
      <c r="C2679" s="2" t="inlineStr">
        <is>
          <t>Faridabad</t>
        </is>
      </c>
      <c r="D2679" s="2" t="inlineStr">
        <is>
          <t>North</t>
        </is>
      </c>
    </row>
    <row r="2680">
      <c r="A2680" s="2" t="inlineStr">
        <is>
          <t>C0525</t>
        </is>
      </c>
      <c r="B2680" s="2" t="inlineStr">
        <is>
          <t>Punjab</t>
        </is>
      </c>
      <c r="C2680" s="2" t="inlineStr">
        <is>
          <t>Ludhiana</t>
        </is>
      </c>
      <c r="D2680" s="2" t="inlineStr">
        <is>
          <t>North</t>
        </is>
      </c>
    </row>
    <row r="2681">
      <c r="A2681" s="2" t="inlineStr">
        <is>
          <t>C0525</t>
        </is>
      </c>
      <c r="B2681" s="2" t="inlineStr">
        <is>
          <t>Kerala</t>
        </is>
      </c>
      <c r="C2681" s="2" t="inlineStr">
        <is>
          <t>Kochi</t>
        </is>
      </c>
      <c r="D2681" s="2" t="inlineStr">
        <is>
          <t>South</t>
        </is>
      </c>
    </row>
    <row r="2682">
      <c r="A2682" s="2" t="inlineStr">
        <is>
          <t>C0525</t>
        </is>
      </c>
      <c r="B2682" s="2" t="inlineStr">
        <is>
          <t>West Bengal</t>
        </is>
      </c>
      <c r="C2682" s="2" t="inlineStr">
        <is>
          <t>Kolkata</t>
        </is>
      </c>
      <c r="D2682" s="2" t="inlineStr">
        <is>
          <t>East</t>
        </is>
      </c>
    </row>
    <row r="2683">
      <c r="A2683" s="2" t="inlineStr">
        <is>
          <t>C0525</t>
        </is>
      </c>
      <c r="B2683" s="2" t="inlineStr">
        <is>
          <t>Maharashtra</t>
        </is>
      </c>
      <c r="C2683" s="2" t="inlineStr">
        <is>
          <t>Nashik</t>
        </is>
      </c>
      <c r="D2683" s="2" t="inlineStr">
        <is>
          <t>West</t>
        </is>
      </c>
    </row>
    <row r="2684">
      <c r="A2684" s="2" t="inlineStr">
        <is>
          <t>C0525</t>
        </is>
      </c>
      <c r="B2684" s="2" t="inlineStr">
        <is>
          <t>Karnataka</t>
        </is>
      </c>
      <c r="C2684" s="2" t="inlineStr">
        <is>
          <t>Mangaluru</t>
        </is>
      </c>
      <c r="D2684" s="2" t="inlineStr">
        <is>
          <t>South</t>
        </is>
      </c>
    </row>
    <row r="2685">
      <c r="A2685" s="2" t="inlineStr">
        <is>
          <t>C0526</t>
        </is>
      </c>
      <c r="B2685" s="2" t="inlineStr">
        <is>
          <t>Haryana</t>
        </is>
      </c>
      <c r="C2685" s="2" t="inlineStr">
        <is>
          <t>Gurugram</t>
        </is>
      </c>
      <c r="D2685" s="2" t="inlineStr">
        <is>
          <t>North</t>
        </is>
      </c>
    </row>
    <row r="2686">
      <c r="A2686" s="2" t="inlineStr">
        <is>
          <t>C0528</t>
        </is>
      </c>
      <c r="B2686" s="2" t="inlineStr">
        <is>
          <t>Maharashtra</t>
        </is>
      </c>
      <c r="C2686" s="2" t="inlineStr">
        <is>
          <t>Thane</t>
        </is>
      </c>
      <c r="D2686" s="2" t="inlineStr">
        <is>
          <t>West</t>
        </is>
      </c>
    </row>
    <row r="2687">
      <c r="A2687" s="2" t="inlineStr">
        <is>
          <t>C0528</t>
        </is>
      </c>
      <c r="B2687" s="2" t="inlineStr">
        <is>
          <t>Odisha</t>
        </is>
      </c>
      <c r="C2687" s="2" t="inlineStr">
        <is>
          <t>Bhubaneswar</t>
        </is>
      </c>
      <c r="D2687" s="2" t="inlineStr">
        <is>
          <t>East</t>
        </is>
      </c>
    </row>
    <row r="2688">
      <c r="A2688" s="2" t="inlineStr">
        <is>
          <t>C0528</t>
        </is>
      </c>
      <c r="B2688" s="2" t="inlineStr">
        <is>
          <t>Goa</t>
        </is>
      </c>
      <c r="C2688" s="2" t="inlineStr">
        <is>
          <t>Panaji</t>
        </is>
      </c>
      <c r="D2688" s="2" t="inlineStr">
        <is>
          <t>West</t>
        </is>
      </c>
    </row>
    <row r="2689">
      <c r="A2689" s="2" t="inlineStr">
        <is>
          <t>C0528</t>
        </is>
      </c>
      <c r="B2689" s="2" t="inlineStr">
        <is>
          <t>Gujarat</t>
        </is>
      </c>
      <c r="C2689" s="2" t="inlineStr">
        <is>
          <t>Surat</t>
        </is>
      </c>
      <c r="D2689" s="2" t="inlineStr">
        <is>
          <t>West</t>
        </is>
      </c>
    </row>
    <row r="2690">
      <c r="A2690" s="2" t="inlineStr">
        <is>
          <t>C0529</t>
        </is>
      </c>
      <c r="B2690" s="2" t="inlineStr">
        <is>
          <t>Odisha</t>
        </is>
      </c>
      <c r="C2690" s="2" t="inlineStr">
        <is>
          <t>Cuttack</t>
        </is>
      </c>
      <c r="D2690" s="2" t="inlineStr">
        <is>
          <t>East</t>
        </is>
      </c>
    </row>
    <row r="2691">
      <c r="A2691" s="2" t="inlineStr">
        <is>
          <t>C0529</t>
        </is>
      </c>
      <c r="B2691" s="2" t="inlineStr">
        <is>
          <t>Goa</t>
        </is>
      </c>
      <c r="C2691" s="2" t="inlineStr">
        <is>
          <t>Margao</t>
        </is>
      </c>
      <c r="D2691" s="2" t="inlineStr">
        <is>
          <t>West</t>
        </is>
      </c>
    </row>
    <row r="2692">
      <c r="A2692" s="2" t="inlineStr">
        <is>
          <t>C0529</t>
        </is>
      </c>
      <c r="B2692" s="2" t="inlineStr">
        <is>
          <t>Gujarat</t>
        </is>
      </c>
      <c r="C2692" s="2" t="inlineStr">
        <is>
          <t>Ahmedabad</t>
        </is>
      </c>
      <c r="D2692" s="2" t="inlineStr">
        <is>
          <t>West</t>
        </is>
      </c>
    </row>
    <row r="2693">
      <c r="A2693" s="2" t="inlineStr">
        <is>
          <t>C0530</t>
        </is>
      </c>
      <c r="B2693" s="2" t="inlineStr">
        <is>
          <t>Kerala</t>
        </is>
      </c>
      <c r="C2693" s="2" t="inlineStr">
        <is>
          <t>Thiruvananthapuram</t>
        </is>
      </c>
      <c r="D2693" s="2" t="inlineStr">
        <is>
          <t>South</t>
        </is>
      </c>
    </row>
    <row r="2694">
      <c r="A2694" s="2" t="inlineStr">
        <is>
          <t>C0530</t>
        </is>
      </c>
      <c r="B2694" s="2" t="inlineStr">
        <is>
          <t>Telangana</t>
        </is>
      </c>
      <c r="C2694" s="2" t="inlineStr">
        <is>
          <t>Hyderabad</t>
        </is>
      </c>
      <c r="D2694" s="2" t="inlineStr">
        <is>
          <t>South</t>
        </is>
      </c>
    </row>
    <row r="2695">
      <c r="A2695" s="2" t="inlineStr">
        <is>
          <t>C0530</t>
        </is>
      </c>
      <c r="B2695" s="2" t="inlineStr">
        <is>
          <t>Gujarat</t>
        </is>
      </c>
      <c r="C2695" s="2" t="inlineStr">
        <is>
          <t>Vadodara</t>
        </is>
      </c>
      <c r="D2695" s="2" t="inlineStr">
        <is>
          <t>West</t>
        </is>
      </c>
    </row>
    <row r="2696">
      <c r="A2696" s="2" t="inlineStr">
        <is>
          <t>C0530</t>
        </is>
      </c>
      <c r="B2696" s="2" t="inlineStr">
        <is>
          <t>Goa</t>
        </is>
      </c>
      <c r="C2696" s="2" t="inlineStr">
        <is>
          <t>Margao</t>
        </is>
      </c>
      <c r="D2696" s="2" t="inlineStr">
        <is>
          <t>West</t>
        </is>
      </c>
    </row>
    <row r="2697">
      <c r="A2697" s="2" t="inlineStr">
        <is>
          <t>C0531</t>
        </is>
      </c>
      <c r="B2697" s="2" t="inlineStr">
        <is>
          <t>Maharashtra</t>
        </is>
      </c>
      <c r="C2697" s="2" t="inlineStr">
        <is>
          <t>Pune</t>
        </is>
      </c>
      <c r="D2697" s="2" t="inlineStr">
        <is>
          <t>West</t>
        </is>
      </c>
    </row>
    <row r="2698">
      <c r="A2698" s="2" t="inlineStr">
        <is>
          <t>C0531</t>
        </is>
      </c>
      <c r="B2698" s="2" t="inlineStr">
        <is>
          <t>West Bengal</t>
        </is>
      </c>
      <c r="C2698" s="2" t="inlineStr">
        <is>
          <t>Durgapur</t>
        </is>
      </c>
      <c r="D2698" s="2" t="inlineStr">
        <is>
          <t>East</t>
        </is>
      </c>
    </row>
    <row r="2699">
      <c r="A2699" s="2" t="inlineStr">
        <is>
          <t>C0531</t>
        </is>
      </c>
      <c r="B2699" s="2" t="inlineStr">
        <is>
          <t>Karnataka</t>
        </is>
      </c>
      <c r="C2699" s="2" t="inlineStr">
        <is>
          <t>Mysuru</t>
        </is>
      </c>
      <c r="D2699" s="2" t="inlineStr">
        <is>
          <t>South</t>
        </is>
      </c>
    </row>
    <row r="2700">
      <c r="A2700" s="2" t="inlineStr">
        <is>
          <t>C0531</t>
        </is>
      </c>
      <c r="B2700" s="2" t="inlineStr">
        <is>
          <t>Tamil Nadu</t>
        </is>
      </c>
      <c r="C2700" s="2" t="inlineStr">
        <is>
          <t>Madurai</t>
        </is>
      </c>
      <c r="D2700" s="2" t="inlineStr">
        <is>
          <t>South</t>
        </is>
      </c>
    </row>
    <row r="2701">
      <c r="A2701" s="2" t="inlineStr">
        <is>
          <t>C0532</t>
        </is>
      </c>
      <c r="B2701" s="2" t="inlineStr">
        <is>
          <t>Haryana</t>
        </is>
      </c>
      <c r="C2701" s="2" t="inlineStr">
        <is>
          <t>Gurugram</t>
        </is>
      </c>
      <c r="D2701" s="2" t="inlineStr">
        <is>
          <t>North</t>
        </is>
      </c>
    </row>
    <row r="2702">
      <c r="A2702" s="2" t="inlineStr">
        <is>
          <t>C0532</t>
        </is>
      </c>
      <c r="B2702" s="2" t="inlineStr">
        <is>
          <t>Bihar</t>
        </is>
      </c>
      <c r="C2702" s="2" t="inlineStr">
        <is>
          <t>Patna</t>
        </is>
      </c>
      <c r="D2702" s="2" t="inlineStr">
        <is>
          <t>East</t>
        </is>
      </c>
    </row>
    <row r="2703">
      <c r="A2703" s="2" t="inlineStr">
        <is>
          <t>C0534</t>
        </is>
      </c>
      <c r="B2703" s="2" t="inlineStr">
        <is>
          <t>Telangana</t>
        </is>
      </c>
      <c r="C2703" s="2" t="inlineStr">
        <is>
          <t>Warangal</t>
        </is>
      </c>
      <c r="D2703" s="2" t="inlineStr">
        <is>
          <t>South</t>
        </is>
      </c>
    </row>
    <row r="2704">
      <c r="A2704" s="2" t="inlineStr">
        <is>
          <t>C0534</t>
        </is>
      </c>
      <c r="B2704" s="2" t="inlineStr">
        <is>
          <t>Delhi</t>
        </is>
      </c>
      <c r="C2704" s="2" t="inlineStr">
        <is>
          <t>New Delhi</t>
        </is>
      </c>
      <c r="D2704" s="2" t="inlineStr">
        <is>
          <t>North</t>
        </is>
      </c>
    </row>
    <row r="2705">
      <c r="A2705" s="2" t="inlineStr">
        <is>
          <t>C0534</t>
        </is>
      </c>
      <c r="B2705" s="2" t="inlineStr">
        <is>
          <t>Maharashtra</t>
        </is>
      </c>
      <c r="C2705" s="2" t="inlineStr">
        <is>
          <t>Nashik</t>
        </is>
      </c>
      <c r="D2705" s="2" t="inlineStr">
        <is>
          <t>West</t>
        </is>
      </c>
    </row>
    <row r="2706">
      <c r="A2706" s="2" t="inlineStr">
        <is>
          <t>C0535</t>
        </is>
      </c>
      <c r="B2706" s="2" t="inlineStr">
        <is>
          <t>Telangana</t>
        </is>
      </c>
      <c r="C2706" s="2" t="inlineStr">
        <is>
          <t>Warangal</t>
        </is>
      </c>
      <c r="D2706" s="2" t="inlineStr">
        <is>
          <t>South</t>
        </is>
      </c>
    </row>
    <row r="2707">
      <c r="A2707" s="2" t="inlineStr">
        <is>
          <t>C0535</t>
        </is>
      </c>
      <c r="B2707" s="2" t="inlineStr">
        <is>
          <t>Goa</t>
        </is>
      </c>
      <c r="C2707" s="2" t="inlineStr">
        <is>
          <t>Margao</t>
        </is>
      </c>
      <c r="D2707" s="2" t="inlineStr">
        <is>
          <t>West</t>
        </is>
      </c>
    </row>
    <row r="2708">
      <c r="A2708" s="2" t="inlineStr">
        <is>
          <t>C0535</t>
        </is>
      </c>
      <c r="B2708" s="2" t="inlineStr">
        <is>
          <t>Bihar</t>
        </is>
      </c>
      <c r="C2708" s="2" t="inlineStr">
        <is>
          <t>Gaya</t>
        </is>
      </c>
      <c r="D2708" s="2" t="inlineStr">
        <is>
          <t>East</t>
        </is>
      </c>
    </row>
    <row r="2709">
      <c r="A2709" s="2" t="inlineStr">
        <is>
          <t>C0536</t>
        </is>
      </c>
      <c r="B2709" s="2" t="inlineStr">
        <is>
          <t>Goa</t>
        </is>
      </c>
      <c r="C2709" s="2" t="inlineStr">
        <is>
          <t>Panaji</t>
        </is>
      </c>
      <c r="D2709" s="2" t="inlineStr">
        <is>
          <t>West</t>
        </is>
      </c>
    </row>
    <row r="2710">
      <c r="A2710" s="2" t="inlineStr">
        <is>
          <t>C0536</t>
        </is>
      </c>
      <c r="B2710" s="2" t="inlineStr">
        <is>
          <t>Punjab</t>
        </is>
      </c>
      <c r="C2710" s="2" t="inlineStr">
        <is>
          <t>Ludhiana</t>
        </is>
      </c>
      <c r="D2710" s="2" t="inlineStr">
        <is>
          <t>North</t>
        </is>
      </c>
    </row>
    <row r="2711">
      <c r="A2711" s="2" t="inlineStr">
        <is>
          <t>C0536</t>
        </is>
      </c>
      <c r="B2711" s="2" t="inlineStr">
        <is>
          <t>Goa</t>
        </is>
      </c>
      <c r="C2711" s="2" t="inlineStr">
        <is>
          <t>Margao</t>
        </is>
      </c>
      <c r="D2711" s="2" t="inlineStr">
        <is>
          <t>West</t>
        </is>
      </c>
    </row>
    <row r="2712">
      <c r="A2712" s="2" t="inlineStr">
        <is>
          <t>C0536</t>
        </is>
      </c>
      <c r="B2712" s="2" t="inlineStr">
        <is>
          <t>Karnataka</t>
        </is>
      </c>
      <c r="C2712" s="2" t="inlineStr">
        <is>
          <t>Mysuru</t>
        </is>
      </c>
      <c r="D2712" s="2" t="inlineStr">
        <is>
          <t>South</t>
        </is>
      </c>
    </row>
    <row r="2713">
      <c r="A2713" s="2" t="inlineStr">
        <is>
          <t>C0537</t>
        </is>
      </c>
      <c r="B2713" s="2" t="inlineStr">
        <is>
          <t>Goa</t>
        </is>
      </c>
      <c r="C2713" s="2" t="inlineStr">
        <is>
          <t>Panaji</t>
        </is>
      </c>
      <c r="D2713" s="2" t="inlineStr">
        <is>
          <t>West</t>
        </is>
      </c>
    </row>
    <row r="2714">
      <c r="A2714" s="2" t="inlineStr">
        <is>
          <t>C0537</t>
        </is>
      </c>
      <c r="B2714" s="2" t="inlineStr">
        <is>
          <t>Kerala</t>
        </is>
      </c>
      <c r="C2714" s="2" t="inlineStr">
        <is>
          <t>Thiruvananthapuram</t>
        </is>
      </c>
      <c r="D2714" s="2" t="inlineStr">
        <is>
          <t>South</t>
        </is>
      </c>
    </row>
    <row r="2715">
      <c r="A2715" s="2" t="inlineStr">
        <is>
          <t>C0538</t>
        </is>
      </c>
      <c r="B2715" s="2" t="inlineStr">
        <is>
          <t>Uttar Pradesh</t>
        </is>
      </c>
      <c r="C2715" s="2" t="inlineStr">
        <is>
          <t>Noida</t>
        </is>
      </c>
      <c r="D2715" s="2" t="inlineStr">
        <is>
          <t>North</t>
        </is>
      </c>
    </row>
    <row r="2716">
      <c r="A2716" s="2" t="inlineStr">
        <is>
          <t>C0539</t>
        </is>
      </c>
      <c r="B2716" s="2" t="inlineStr">
        <is>
          <t>Karnataka</t>
        </is>
      </c>
      <c r="C2716" s="2" t="inlineStr">
        <is>
          <t>Mysuru</t>
        </is>
      </c>
      <c r="D2716" s="2" t="inlineStr">
        <is>
          <t>South</t>
        </is>
      </c>
    </row>
    <row r="2717">
      <c r="A2717" s="2" t="inlineStr">
        <is>
          <t>C0539</t>
        </is>
      </c>
      <c r="B2717" s="2" t="inlineStr">
        <is>
          <t>Bihar</t>
        </is>
      </c>
      <c r="C2717" s="2" t="inlineStr">
        <is>
          <t>Gaya</t>
        </is>
      </c>
      <c r="D2717" s="2" t="inlineStr">
        <is>
          <t>East</t>
        </is>
      </c>
    </row>
    <row r="2718">
      <c r="A2718" s="2" t="inlineStr">
        <is>
          <t>C0539</t>
        </is>
      </c>
      <c r="B2718" s="2" t="inlineStr">
        <is>
          <t>Goa</t>
        </is>
      </c>
      <c r="C2718" s="2" t="inlineStr">
        <is>
          <t>Panaji</t>
        </is>
      </c>
      <c r="D2718" s="2" t="inlineStr">
        <is>
          <t>West</t>
        </is>
      </c>
    </row>
    <row r="2719">
      <c r="A2719" s="2" t="inlineStr">
        <is>
          <t>C0540</t>
        </is>
      </c>
      <c r="B2719" s="2" t="inlineStr">
        <is>
          <t>Maharashtra</t>
        </is>
      </c>
      <c r="C2719" s="2" t="inlineStr">
        <is>
          <t>Nagpur</t>
        </is>
      </c>
      <c r="D2719" s="2" t="inlineStr">
        <is>
          <t>West</t>
        </is>
      </c>
    </row>
    <row r="2720">
      <c r="A2720" s="2" t="inlineStr">
        <is>
          <t>C0540</t>
        </is>
      </c>
      <c r="B2720" s="2" t="inlineStr">
        <is>
          <t>Odisha</t>
        </is>
      </c>
      <c r="C2720" s="2" t="inlineStr">
        <is>
          <t>Bhubaneswar</t>
        </is>
      </c>
      <c r="D2720" s="2" t="inlineStr">
        <is>
          <t>East</t>
        </is>
      </c>
    </row>
    <row r="2721">
      <c r="A2721" s="2" t="inlineStr">
        <is>
          <t>C0541</t>
        </is>
      </c>
      <c r="B2721" s="2" t="inlineStr">
        <is>
          <t>Delhi</t>
        </is>
      </c>
      <c r="C2721" s="2" t="inlineStr">
        <is>
          <t>New Delhi</t>
        </is>
      </c>
      <c r="D2721" s="2" t="inlineStr">
        <is>
          <t>North</t>
        </is>
      </c>
    </row>
    <row r="2722">
      <c r="A2722" s="2" t="inlineStr">
        <is>
          <t>C0542</t>
        </is>
      </c>
      <c r="B2722" s="2" t="inlineStr">
        <is>
          <t>Goa</t>
        </is>
      </c>
      <c r="C2722" s="2" t="inlineStr">
        <is>
          <t>Margao</t>
        </is>
      </c>
      <c r="D2722" s="2" t="inlineStr">
        <is>
          <t>West</t>
        </is>
      </c>
    </row>
    <row r="2723">
      <c r="A2723" s="2" t="inlineStr">
        <is>
          <t>C0542</t>
        </is>
      </c>
      <c r="B2723" s="2" t="inlineStr">
        <is>
          <t>Maharashtra</t>
        </is>
      </c>
      <c r="C2723" s="2" t="inlineStr">
        <is>
          <t>Nagpur</t>
        </is>
      </c>
      <c r="D2723" s="2" t="inlineStr">
        <is>
          <t>West</t>
        </is>
      </c>
    </row>
    <row r="2724">
      <c r="A2724" s="2" t="inlineStr">
        <is>
          <t>C0542</t>
        </is>
      </c>
      <c r="B2724" s="2" t="inlineStr">
        <is>
          <t>West Bengal</t>
        </is>
      </c>
      <c r="C2724" s="2" t="inlineStr">
        <is>
          <t>Durgapur</t>
        </is>
      </c>
      <c r="D2724" s="2" t="inlineStr">
        <is>
          <t>East</t>
        </is>
      </c>
    </row>
    <row r="2725">
      <c r="A2725" s="2" t="inlineStr">
        <is>
          <t>C0544</t>
        </is>
      </c>
      <c r="B2725" s="2" t="inlineStr">
        <is>
          <t>Uttar Pradesh</t>
        </is>
      </c>
      <c r="C2725" s="2" t="inlineStr">
        <is>
          <t>Lucknow</t>
        </is>
      </c>
      <c r="D2725" s="2" t="inlineStr">
        <is>
          <t>North</t>
        </is>
      </c>
    </row>
    <row r="2726">
      <c r="A2726" s="2" t="inlineStr">
        <is>
          <t>C0544</t>
        </is>
      </c>
      <c r="B2726" s="2" t="inlineStr">
        <is>
          <t>Uttar Pradesh</t>
        </is>
      </c>
      <c r="C2726" s="2" t="inlineStr">
        <is>
          <t>Varanasi</t>
        </is>
      </c>
      <c r="D2726" s="2" t="inlineStr">
        <is>
          <t>North</t>
        </is>
      </c>
    </row>
    <row r="2727">
      <c r="A2727" s="2" t="inlineStr">
        <is>
          <t>C0544</t>
        </is>
      </c>
      <c r="B2727" s="2" t="inlineStr">
        <is>
          <t>Uttar Pradesh</t>
        </is>
      </c>
      <c r="C2727" s="2" t="inlineStr">
        <is>
          <t>Noida</t>
        </is>
      </c>
      <c r="D2727" s="2" t="inlineStr">
        <is>
          <t>North</t>
        </is>
      </c>
    </row>
    <row r="2728">
      <c r="A2728" s="2" t="inlineStr">
        <is>
          <t>C0544</t>
        </is>
      </c>
      <c r="B2728" s="2" t="inlineStr">
        <is>
          <t>Tamil Nadu</t>
        </is>
      </c>
      <c r="C2728" s="2" t="inlineStr">
        <is>
          <t>Coimbatore</t>
        </is>
      </c>
      <c r="D2728" s="2" t="inlineStr">
        <is>
          <t>South</t>
        </is>
      </c>
    </row>
    <row r="2729">
      <c r="A2729" s="2" t="inlineStr">
        <is>
          <t>C0545</t>
        </is>
      </c>
      <c r="B2729" s="2" t="inlineStr">
        <is>
          <t>Gujarat</t>
        </is>
      </c>
      <c r="C2729" s="2" t="inlineStr">
        <is>
          <t>Ahmedabad</t>
        </is>
      </c>
      <c r="D2729" s="2" t="inlineStr">
        <is>
          <t>West</t>
        </is>
      </c>
    </row>
    <row r="2730">
      <c r="A2730" s="2" t="inlineStr">
        <is>
          <t>C0545</t>
        </is>
      </c>
      <c r="B2730" s="2" t="inlineStr">
        <is>
          <t>Karnataka</t>
        </is>
      </c>
      <c r="C2730" s="2" t="inlineStr">
        <is>
          <t>Mysuru</t>
        </is>
      </c>
      <c r="D2730" s="2" t="inlineStr">
        <is>
          <t>South</t>
        </is>
      </c>
    </row>
    <row r="2731">
      <c r="A2731" s="2" t="inlineStr">
        <is>
          <t>C0545</t>
        </is>
      </c>
      <c r="B2731" s="2" t="inlineStr">
        <is>
          <t>Telangana</t>
        </is>
      </c>
      <c r="C2731" s="2" t="inlineStr">
        <is>
          <t>Hyderabad</t>
        </is>
      </c>
      <c r="D2731" s="2" t="inlineStr">
        <is>
          <t>South</t>
        </is>
      </c>
    </row>
    <row r="2732">
      <c r="A2732" s="2" t="inlineStr">
        <is>
          <t>C0545</t>
        </is>
      </c>
      <c r="B2732" s="2" t="inlineStr">
        <is>
          <t>Haryana</t>
        </is>
      </c>
      <c r="C2732" s="2" t="inlineStr">
        <is>
          <t>Faridabad</t>
        </is>
      </c>
      <c r="D2732" s="2" t="inlineStr">
        <is>
          <t>North</t>
        </is>
      </c>
    </row>
    <row r="2733">
      <c r="A2733" s="2" t="inlineStr">
        <is>
          <t>C0546</t>
        </is>
      </c>
      <c r="B2733" s="2" t="inlineStr">
        <is>
          <t>Goa</t>
        </is>
      </c>
      <c r="C2733" s="2" t="inlineStr">
        <is>
          <t>Margao</t>
        </is>
      </c>
      <c r="D2733" s="2" t="inlineStr">
        <is>
          <t>West</t>
        </is>
      </c>
    </row>
    <row r="2734">
      <c r="A2734" s="2" t="inlineStr">
        <is>
          <t>C0546</t>
        </is>
      </c>
      <c r="B2734" s="2" t="inlineStr">
        <is>
          <t>West Bengal</t>
        </is>
      </c>
      <c r="C2734" s="2" t="inlineStr">
        <is>
          <t>Durgapur</t>
        </is>
      </c>
      <c r="D2734" s="2" t="inlineStr">
        <is>
          <t>East</t>
        </is>
      </c>
    </row>
    <row r="2735">
      <c r="A2735" s="2" t="inlineStr">
        <is>
          <t>C0546</t>
        </is>
      </c>
      <c r="B2735" s="2" t="inlineStr">
        <is>
          <t>Gujarat</t>
        </is>
      </c>
      <c r="C2735" s="2" t="inlineStr">
        <is>
          <t>Surat</t>
        </is>
      </c>
      <c r="D2735" s="2" t="inlineStr">
        <is>
          <t>West</t>
        </is>
      </c>
    </row>
    <row r="2736">
      <c r="A2736" s="2" t="inlineStr">
        <is>
          <t>C0546</t>
        </is>
      </c>
      <c r="B2736" s="2" t="inlineStr">
        <is>
          <t>Punjab</t>
        </is>
      </c>
      <c r="C2736" s="2" t="inlineStr">
        <is>
          <t>Amritsar</t>
        </is>
      </c>
      <c r="D2736" s="2" t="inlineStr">
        <is>
          <t>North</t>
        </is>
      </c>
    </row>
    <row r="2737">
      <c r="A2737" s="2" t="inlineStr">
        <is>
          <t>C0546</t>
        </is>
      </c>
      <c r="B2737" s="2" t="inlineStr">
        <is>
          <t>Kerala</t>
        </is>
      </c>
      <c r="C2737" s="2" t="inlineStr">
        <is>
          <t>Thiruvananthapuram</t>
        </is>
      </c>
      <c r="D2737" s="2" t="inlineStr">
        <is>
          <t>South</t>
        </is>
      </c>
    </row>
    <row r="2738">
      <c r="A2738" s="2" t="inlineStr">
        <is>
          <t>C0547</t>
        </is>
      </c>
      <c r="B2738" s="2" t="inlineStr">
        <is>
          <t>Delhi</t>
        </is>
      </c>
      <c r="C2738" s="2" t="inlineStr">
        <is>
          <t>New Delhi</t>
        </is>
      </c>
      <c r="D2738" s="2" t="inlineStr">
        <is>
          <t>North</t>
        </is>
      </c>
    </row>
    <row r="2739">
      <c r="A2739" s="2" t="inlineStr">
        <is>
          <t>C0547</t>
        </is>
      </c>
      <c r="B2739" s="2" t="inlineStr">
        <is>
          <t>Maharashtra</t>
        </is>
      </c>
      <c r="C2739" s="2" t="inlineStr">
        <is>
          <t>Mumbai</t>
        </is>
      </c>
      <c r="D2739" s="2" t="inlineStr">
        <is>
          <t>West</t>
        </is>
      </c>
    </row>
    <row r="2740">
      <c r="A2740" s="2" t="inlineStr">
        <is>
          <t>C0547</t>
        </is>
      </c>
      <c r="B2740" s="2" t="inlineStr">
        <is>
          <t>Punjab</t>
        </is>
      </c>
      <c r="C2740" s="2" t="inlineStr">
        <is>
          <t>Ludhiana</t>
        </is>
      </c>
      <c r="D2740" s="2" t="inlineStr">
        <is>
          <t>North</t>
        </is>
      </c>
    </row>
    <row r="2741">
      <c r="A2741" s="2" t="inlineStr">
        <is>
          <t>C0548</t>
        </is>
      </c>
      <c r="B2741" s="2" t="inlineStr">
        <is>
          <t>Kerala</t>
        </is>
      </c>
      <c r="C2741" s="2" t="inlineStr">
        <is>
          <t>Kochi</t>
        </is>
      </c>
      <c r="D2741" s="2" t="inlineStr">
        <is>
          <t>South</t>
        </is>
      </c>
    </row>
    <row r="2742">
      <c r="A2742" s="2" t="inlineStr">
        <is>
          <t>C0548</t>
        </is>
      </c>
      <c r="B2742" s="2" t="inlineStr">
        <is>
          <t>Maharashtra</t>
        </is>
      </c>
      <c r="C2742" s="2" t="inlineStr">
        <is>
          <t>Nashik</t>
        </is>
      </c>
      <c r="D2742" s="2" t="inlineStr">
        <is>
          <t>West</t>
        </is>
      </c>
    </row>
    <row r="2743">
      <c r="A2743" s="2" t="inlineStr">
        <is>
          <t>C0548</t>
        </is>
      </c>
      <c r="B2743" s="2" t="inlineStr">
        <is>
          <t>Delhi</t>
        </is>
      </c>
      <c r="C2743" s="2" t="inlineStr">
        <is>
          <t>New Delhi</t>
        </is>
      </c>
      <c r="D2743" s="2" t="inlineStr">
        <is>
          <t>North</t>
        </is>
      </c>
    </row>
    <row r="2744">
      <c r="A2744" s="2" t="inlineStr">
        <is>
          <t>C0548</t>
        </is>
      </c>
      <c r="B2744" s="2" t="inlineStr">
        <is>
          <t>Haryana</t>
        </is>
      </c>
      <c r="C2744" s="2" t="inlineStr">
        <is>
          <t>Faridabad</t>
        </is>
      </c>
      <c r="D2744" s="2" t="inlineStr">
        <is>
          <t>North</t>
        </is>
      </c>
    </row>
    <row r="2745">
      <c r="A2745" s="2" t="inlineStr">
        <is>
          <t>C0548</t>
        </is>
      </c>
      <c r="B2745" s="2" t="inlineStr">
        <is>
          <t>Delhi</t>
        </is>
      </c>
      <c r="C2745" s="2" t="inlineStr">
        <is>
          <t>New Delhi</t>
        </is>
      </c>
      <c r="D2745" s="2" t="n">
        <v/>
      </c>
    </row>
    <row r="2746">
      <c r="A2746" s="2" t="inlineStr">
        <is>
          <t>C0548</t>
        </is>
      </c>
      <c r="B2746" s="2" t="inlineStr">
        <is>
          <t>West Bengal</t>
        </is>
      </c>
      <c r="C2746" s="2" t="inlineStr">
        <is>
          <t>Durgapur</t>
        </is>
      </c>
      <c r="D2746" s="2" t="inlineStr">
        <is>
          <t>East</t>
        </is>
      </c>
    </row>
    <row r="2747">
      <c r="A2747" s="2" t="inlineStr">
        <is>
          <t>C0550</t>
        </is>
      </c>
      <c r="B2747" s="2" t="inlineStr">
        <is>
          <t>West Bengal</t>
        </is>
      </c>
      <c r="C2747" s="2" t="inlineStr">
        <is>
          <t>Kolkata</t>
        </is>
      </c>
      <c r="D2747" s="2" t="inlineStr">
        <is>
          <t>East</t>
        </is>
      </c>
    </row>
    <row r="2748">
      <c r="A2748" s="2" t="inlineStr">
        <is>
          <t>C0550</t>
        </is>
      </c>
      <c r="B2748" s="2" t="inlineStr">
        <is>
          <t>Uttar Pradesh</t>
        </is>
      </c>
      <c r="C2748" s="2" t="inlineStr">
        <is>
          <t>Lucknow</t>
        </is>
      </c>
      <c r="D2748" s="2" t="inlineStr">
        <is>
          <t>North</t>
        </is>
      </c>
    </row>
    <row r="2749">
      <c r="A2749" s="2" t="inlineStr">
        <is>
          <t>C0550</t>
        </is>
      </c>
      <c r="B2749" s="2" t="inlineStr">
        <is>
          <t>Maharashtra</t>
        </is>
      </c>
      <c r="C2749" s="2" t="inlineStr">
        <is>
          <t>Nagpur</t>
        </is>
      </c>
      <c r="D2749" s="2" t="inlineStr">
        <is>
          <t>West</t>
        </is>
      </c>
    </row>
    <row r="2750">
      <c r="A2750" s="2" t="inlineStr">
        <is>
          <t>C0550</t>
        </is>
      </c>
      <c r="B2750" s="2" t="inlineStr">
        <is>
          <t>Gujarat</t>
        </is>
      </c>
      <c r="C2750" s="2" t="inlineStr">
        <is>
          <t>Surat</t>
        </is>
      </c>
      <c r="D2750" s="2" t="inlineStr">
        <is>
          <t>West</t>
        </is>
      </c>
    </row>
    <row r="2751">
      <c r="A2751" s="2" t="inlineStr">
        <is>
          <t>C0550</t>
        </is>
      </c>
      <c r="B2751" s="2" t="inlineStr">
        <is>
          <t>Delhi</t>
        </is>
      </c>
      <c r="C2751" s="2" t="inlineStr">
        <is>
          <t>New Delhi</t>
        </is>
      </c>
      <c r="D2751" s="2" t="inlineStr">
        <is>
          <t>North</t>
        </is>
      </c>
    </row>
    <row r="2752">
      <c r="A2752" s="2" t="inlineStr">
        <is>
          <t>C0550</t>
        </is>
      </c>
      <c r="B2752" s="2" t="inlineStr">
        <is>
          <t>Bihar</t>
        </is>
      </c>
      <c r="C2752" s="2" t="inlineStr">
        <is>
          <t>Gaya</t>
        </is>
      </c>
      <c r="D2752" s="2" t="inlineStr">
        <is>
          <t>East</t>
        </is>
      </c>
    </row>
    <row r="2753">
      <c r="A2753" s="2" t="inlineStr">
        <is>
          <t>C0550</t>
        </is>
      </c>
      <c r="B2753" s="2" t="inlineStr">
        <is>
          <t>Maharashtra</t>
        </is>
      </c>
      <c r="C2753" s="2" t="inlineStr">
        <is>
          <t>Thane</t>
        </is>
      </c>
      <c r="D2753" s="2" t="inlineStr">
        <is>
          <t>West</t>
        </is>
      </c>
    </row>
    <row r="2754">
      <c r="A2754" s="2" t="inlineStr">
        <is>
          <t>C0550</t>
        </is>
      </c>
      <c r="B2754" s="2" t="inlineStr">
        <is>
          <t>Gujarat</t>
        </is>
      </c>
      <c r="C2754" s="2" t="inlineStr">
        <is>
          <t>Vadodara</t>
        </is>
      </c>
      <c r="D2754" s="2" t="inlineStr">
        <is>
          <t>West</t>
        </is>
      </c>
    </row>
    <row r="2755">
      <c r="A2755" s="2" t="inlineStr">
        <is>
          <t>C0550</t>
        </is>
      </c>
      <c r="B2755" s="2" t="inlineStr">
        <is>
          <t>Goa</t>
        </is>
      </c>
      <c r="C2755" s="2" t="inlineStr">
        <is>
          <t>Panaji</t>
        </is>
      </c>
      <c r="D2755" s="2" t="inlineStr">
        <is>
          <t>West</t>
        </is>
      </c>
    </row>
    <row r="2756">
      <c r="A2756" s="2" t="inlineStr">
        <is>
          <t>C0551</t>
        </is>
      </c>
      <c r="B2756" s="2" t="inlineStr">
        <is>
          <t>Haryana</t>
        </is>
      </c>
      <c r="C2756" s="2" t="inlineStr">
        <is>
          <t>Gurugram</t>
        </is>
      </c>
      <c r="D2756" s="2" t="inlineStr">
        <is>
          <t>North</t>
        </is>
      </c>
    </row>
    <row r="2757">
      <c r="A2757" s="2" t="inlineStr">
        <is>
          <t>C0551</t>
        </is>
      </c>
      <c r="B2757" s="2" t="inlineStr">
        <is>
          <t>Delhi</t>
        </is>
      </c>
      <c r="C2757" s="2" t="inlineStr">
        <is>
          <t>New Delhi</t>
        </is>
      </c>
      <c r="D2757" s="2" t="inlineStr">
        <is>
          <t>North</t>
        </is>
      </c>
    </row>
    <row r="2758">
      <c r="A2758" s="2" t="inlineStr">
        <is>
          <t>C0551</t>
        </is>
      </c>
      <c r="B2758" s="2" t="inlineStr">
        <is>
          <t>Odisha</t>
        </is>
      </c>
      <c r="C2758" s="2" t="inlineStr">
        <is>
          <t>Bhubaneswar</t>
        </is>
      </c>
      <c r="D2758" s="2" t="inlineStr">
        <is>
          <t>East</t>
        </is>
      </c>
    </row>
    <row r="2759">
      <c r="A2759" s="2" t="inlineStr">
        <is>
          <t>C0551</t>
        </is>
      </c>
      <c r="B2759" s="2" t="inlineStr">
        <is>
          <t>Telangana</t>
        </is>
      </c>
      <c r="C2759" s="2" t="inlineStr">
        <is>
          <t>Hyderabad</t>
        </is>
      </c>
      <c r="D2759" s="2" t="inlineStr">
        <is>
          <t>South</t>
        </is>
      </c>
    </row>
    <row r="2760">
      <c r="A2760" s="2" t="inlineStr">
        <is>
          <t>C0551</t>
        </is>
      </c>
      <c r="B2760" s="2" t="inlineStr">
        <is>
          <t>Uttar Pradesh</t>
        </is>
      </c>
      <c r="C2760" s="2" t="inlineStr">
        <is>
          <t>Varanasi</t>
        </is>
      </c>
      <c r="D2760" s="2" t="inlineStr">
        <is>
          <t>North</t>
        </is>
      </c>
    </row>
    <row r="2761">
      <c r="A2761" s="2" t="inlineStr">
        <is>
          <t>C0551</t>
        </is>
      </c>
      <c r="B2761" s="2" t="inlineStr">
        <is>
          <t>Uttar Pradesh</t>
        </is>
      </c>
      <c r="C2761" s="2" t="inlineStr">
        <is>
          <t>Lucknow</t>
        </is>
      </c>
      <c r="D2761" s="2" t="inlineStr">
        <is>
          <t>North</t>
        </is>
      </c>
    </row>
    <row r="2762">
      <c r="A2762" s="2" t="inlineStr">
        <is>
          <t>C0551</t>
        </is>
      </c>
      <c r="B2762" s="2" t="inlineStr">
        <is>
          <t>Punjab</t>
        </is>
      </c>
      <c r="C2762" s="2" t="inlineStr">
        <is>
          <t>Jalandhar</t>
        </is>
      </c>
      <c r="D2762" s="2" t="inlineStr">
        <is>
          <t>North</t>
        </is>
      </c>
    </row>
    <row r="2763">
      <c r="A2763" s="2" t="inlineStr">
        <is>
          <t>C0551</t>
        </is>
      </c>
      <c r="B2763" s="2" t="inlineStr">
        <is>
          <t>Tamil Nadu</t>
        </is>
      </c>
      <c r="C2763" s="2" t="inlineStr">
        <is>
          <t>Chennai</t>
        </is>
      </c>
      <c r="D2763" s="2" t="inlineStr">
        <is>
          <t>South</t>
        </is>
      </c>
    </row>
    <row r="2764">
      <c r="A2764" s="2" t="inlineStr">
        <is>
          <t>C0551</t>
        </is>
      </c>
      <c r="B2764" s="2" t="inlineStr">
        <is>
          <t>Uttar Pradesh</t>
        </is>
      </c>
      <c r="C2764" s="2" t="inlineStr">
        <is>
          <t>Kanpur</t>
        </is>
      </c>
      <c r="D2764" s="2" t="inlineStr">
        <is>
          <t>North</t>
        </is>
      </c>
    </row>
    <row r="2765">
      <c r="A2765" s="2" t="inlineStr">
        <is>
          <t>C0552</t>
        </is>
      </c>
      <c r="B2765" s="2" t="inlineStr">
        <is>
          <t>Gujarat</t>
        </is>
      </c>
      <c r="C2765" s="2" t="inlineStr">
        <is>
          <t>Vadodara</t>
        </is>
      </c>
      <c r="D2765" s="2" t="inlineStr">
        <is>
          <t>West</t>
        </is>
      </c>
    </row>
    <row r="2766">
      <c r="A2766" s="2" t="inlineStr">
        <is>
          <t>C0552</t>
        </is>
      </c>
      <c r="B2766" s="2" t="inlineStr">
        <is>
          <t>Tamil Nadu</t>
        </is>
      </c>
      <c r="C2766" s="2" t="inlineStr">
        <is>
          <t>Chennai</t>
        </is>
      </c>
      <c r="D2766" s="2" t="inlineStr">
        <is>
          <t>South</t>
        </is>
      </c>
    </row>
    <row r="2767">
      <c r="A2767" s="2" t="inlineStr">
        <is>
          <t>C0552</t>
        </is>
      </c>
      <c r="B2767" s="2" t="inlineStr">
        <is>
          <t>Haryana</t>
        </is>
      </c>
      <c r="C2767" s="2" t="inlineStr">
        <is>
          <t>Faridabad</t>
        </is>
      </c>
      <c r="D2767" s="2" t="inlineStr">
        <is>
          <t>North</t>
        </is>
      </c>
    </row>
    <row r="2768">
      <c r="A2768" s="2" t="inlineStr">
        <is>
          <t>C0553</t>
        </is>
      </c>
      <c r="B2768" s="2" t="inlineStr">
        <is>
          <t>West Bengal</t>
        </is>
      </c>
      <c r="C2768" s="2" t="inlineStr">
        <is>
          <t>Kolkata</t>
        </is>
      </c>
      <c r="D2768" s="2" t="inlineStr">
        <is>
          <t>East</t>
        </is>
      </c>
    </row>
    <row r="2769">
      <c r="A2769" s="2" t="inlineStr">
        <is>
          <t>C0553</t>
        </is>
      </c>
      <c r="B2769" s="2" t="inlineStr">
        <is>
          <t>Punjab</t>
        </is>
      </c>
      <c r="C2769" s="2" t="inlineStr">
        <is>
          <t>Ludhiana</t>
        </is>
      </c>
      <c r="D2769" s="2" t="inlineStr">
        <is>
          <t>North</t>
        </is>
      </c>
    </row>
    <row r="2770">
      <c r="A2770" s="2" t="inlineStr">
        <is>
          <t>C0553</t>
        </is>
      </c>
      <c r="B2770" s="2" t="inlineStr">
        <is>
          <t>Odisha</t>
        </is>
      </c>
      <c r="C2770" s="2" t="inlineStr">
        <is>
          <t>Bhubaneswar</t>
        </is>
      </c>
      <c r="D2770" s="2" t="inlineStr">
        <is>
          <t>East</t>
        </is>
      </c>
    </row>
    <row r="2771">
      <c r="A2771" s="2" t="inlineStr">
        <is>
          <t>C0553</t>
        </is>
      </c>
      <c r="B2771" s="2" t="inlineStr">
        <is>
          <t>Karnataka</t>
        </is>
      </c>
      <c r="C2771" s="2" t="inlineStr">
        <is>
          <t>Mangaluru</t>
        </is>
      </c>
      <c r="D2771" s="2" t="inlineStr">
        <is>
          <t>South</t>
        </is>
      </c>
    </row>
    <row r="2772">
      <c r="A2772" s="2" t="inlineStr">
        <is>
          <t>C0553</t>
        </is>
      </c>
      <c r="B2772" s="2" t="inlineStr">
        <is>
          <t>Goa</t>
        </is>
      </c>
      <c r="C2772" s="2" t="inlineStr">
        <is>
          <t>Panaji</t>
        </is>
      </c>
      <c r="D2772" s="2" t="inlineStr">
        <is>
          <t>West</t>
        </is>
      </c>
    </row>
    <row r="2773">
      <c r="A2773" s="2" t="inlineStr">
        <is>
          <t>C0553</t>
        </is>
      </c>
      <c r="B2773" s="2" t="inlineStr">
        <is>
          <t>Maharashtra</t>
        </is>
      </c>
      <c r="C2773" s="2" t="inlineStr">
        <is>
          <t>Thane</t>
        </is>
      </c>
      <c r="D2773" s="2" t="inlineStr">
        <is>
          <t>West</t>
        </is>
      </c>
    </row>
    <row r="2774">
      <c r="A2774" s="2" t="inlineStr">
        <is>
          <t>C0553</t>
        </is>
      </c>
      <c r="B2774" s="2" t="inlineStr">
        <is>
          <t>Kerala</t>
        </is>
      </c>
      <c r="C2774" s="2" t="inlineStr">
        <is>
          <t>Kochi</t>
        </is>
      </c>
      <c r="D2774" s="2" t="inlineStr">
        <is>
          <t>South</t>
        </is>
      </c>
    </row>
    <row r="2775">
      <c r="A2775" s="2" t="inlineStr">
        <is>
          <t>C0553</t>
        </is>
      </c>
      <c r="B2775" s="2" t="inlineStr">
        <is>
          <t>Bihar</t>
        </is>
      </c>
      <c r="C2775" s="2" t="inlineStr">
        <is>
          <t>Gaya</t>
        </is>
      </c>
      <c r="D2775" s="2" t="inlineStr">
        <is>
          <t>East</t>
        </is>
      </c>
    </row>
    <row r="2776">
      <c r="A2776" s="2" t="inlineStr">
        <is>
          <t>C0553</t>
        </is>
      </c>
      <c r="B2776" s="2" t="inlineStr">
        <is>
          <t>Delhi</t>
        </is>
      </c>
      <c r="C2776" s="2" t="inlineStr">
        <is>
          <t>New Delhi</t>
        </is>
      </c>
      <c r="D2776" s="2" t="inlineStr">
        <is>
          <t>North</t>
        </is>
      </c>
    </row>
    <row r="2777">
      <c r="A2777" s="2" t="inlineStr">
        <is>
          <t>C0553</t>
        </is>
      </c>
      <c r="B2777" s="2" t="inlineStr">
        <is>
          <t>Tamil Nadu</t>
        </is>
      </c>
      <c r="C2777" s="2" t="inlineStr">
        <is>
          <t>Chennai</t>
        </is>
      </c>
      <c r="D2777" s="2" t="inlineStr">
        <is>
          <t>South</t>
        </is>
      </c>
    </row>
    <row r="2778">
      <c r="A2778" s="2" t="inlineStr">
        <is>
          <t>C0553</t>
        </is>
      </c>
      <c r="B2778" s="2" t="inlineStr">
        <is>
          <t>Kerala</t>
        </is>
      </c>
      <c r="C2778" s="2" t="inlineStr">
        <is>
          <t>Thiruvananthapuram</t>
        </is>
      </c>
      <c r="D2778" s="2" t="inlineStr">
        <is>
          <t>South</t>
        </is>
      </c>
    </row>
    <row r="2779">
      <c r="A2779" s="2" t="inlineStr">
        <is>
          <t>C0554</t>
        </is>
      </c>
      <c r="B2779" s="2" t="inlineStr">
        <is>
          <t>Tamil Nadu</t>
        </is>
      </c>
      <c r="C2779" s="2" t="inlineStr">
        <is>
          <t>Madurai</t>
        </is>
      </c>
      <c r="D2779" s="2" t="inlineStr">
        <is>
          <t>South</t>
        </is>
      </c>
    </row>
    <row r="2780">
      <c r="A2780" s="2" t="inlineStr">
        <is>
          <t>C0554</t>
        </is>
      </c>
      <c r="B2780" s="2" t="inlineStr">
        <is>
          <t>Haryana</t>
        </is>
      </c>
      <c r="C2780" s="2" t="inlineStr">
        <is>
          <t>Faridabad</t>
        </is>
      </c>
      <c r="D2780" s="2" t="inlineStr">
        <is>
          <t>North</t>
        </is>
      </c>
    </row>
    <row r="2781">
      <c r="A2781" s="2" t="inlineStr">
        <is>
          <t>C0554</t>
        </is>
      </c>
      <c r="B2781" s="2" t="inlineStr">
        <is>
          <t>Goa</t>
        </is>
      </c>
      <c r="C2781" s="2" t="inlineStr">
        <is>
          <t>Panaji</t>
        </is>
      </c>
      <c r="D2781" s="2" t="inlineStr">
        <is>
          <t>West</t>
        </is>
      </c>
    </row>
    <row r="2782">
      <c r="A2782" s="2" t="inlineStr">
        <is>
          <t>C0554</t>
        </is>
      </c>
      <c r="B2782" s="2" t="inlineStr">
        <is>
          <t>Kerala</t>
        </is>
      </c>
      <c r="C2782" s="2" t="inlineStr">
        <is>
          <t>Thiruvananthapuram</t>
        </is>
      </c>
      <c r="D2782" s="2" t="inlineStr">
        <is>
          <t>South</t>
        </is>
      </c>
    </row>
    <row r="2783">
      <c r="A2783" s="2" t="inlineStr">
        <is>
          <t>C0554</t>
        </is>
      </c>
      <c r="B2783" s="2" t="inlineStr">
        <is>
          <t>Uttar Pradesh</t>
        </is>
      </c>
      <c r="C2783" s="2" t="inlineStr">
        <is>
          <t>Kanpur</t>
        </is>
      </c>
      <c r="D2783" s="2" t="inlineStr">
        <is>
          <t>North</t>
        </is>
      </c>
    </row>
    <row r="2784">
      <c r="A2784" s="2" t="inlineStr">
        <is>
          <t>C0554</t>
        </is>
      </c>
      <c r="B2784" s="2" t="inlineStr">
        <is>
          <t>Haryana</t>
        </is>
      </c>
      <c r="C2784" s="2" t="inlineStr">
        <is>
          <t>Gurugram</t>
        </is>
      </c>
      <c r="D2784" s="2" t="inlineStr">
        <is>
          <t>North</t>
        </is>
      </c>
    </row>
    <row r="2785">
      <c r="A2785" s="2" t="inlineStr">
        <is>
          <t>C0555</t>
        </is>
      </c>
      <c r="B2785" s="2" t="inlineStr">
        <is>
          <t>Tamil Nadu</t>
        </is>
      </c>
      <c r="C2785" s="2" t="inlineStr">
        <is>
          <t>Chennai</t>
        </is>
      </c>
      <c r="D2785" s="2" t="inlineStr">
        <is>
          <t>South</t>
        </is>
      </c>
    </row>
    <row r="2786">
      <c r="A2786" s="2" t="inlineStr">
        <is>
          <t>C0555</t>
        </is>
      </c>
      <c r="B2786" s="2" t="inlineStr">
        <is>
          <t>Kerala</t>
        </is>
      </c>
      <c r="C2786" s="2" t="inlineStr">
        <is>
          <t>Thiruvananthapuram</t>
        </is>
      </c>
      <c r="D2786" s="2" t="inlineStr">
        <is>
          <t>South</t>
        </is>
      </c>
    </row>
    <row r="2787">
      <c r="A2787" s="2" t="inlineStr">
        <is>
          <t>C0555</t>
        </is>
      </c>
      <c r="B2787" s="2" t="inlineStr">
        <is>
          <t>Haryana</t>
        </is>
      </c>
      <c r="C2787" s="2" t="inlineStr">
        <is>
          <t>Faridabad</t>
        </is>
      </c>
      <c r="D2787" s="2" t="inlineStr">
        <is>
          <t>North</t>
        </is>
      </c>
    </row>
    <row r="2788">
      <c r="A2788" s="2" t="inlineStr">
        <is>
          <t>C0555</t>
        </is>
      </c>
      <c r="B2788" s="2" t="inlineStr">
        <is>
          <t>Punjab</t>
        </is>
      </c>
      <c r="C2788" s="2" t="inlineStr">
        <is>
          <t>Ludhiana</t>
        </is>
      </c>
      <c r="D2788" s="2" t="inlineStr">
        <is>
          <t>North</t>
        </is>
      </c>
    </row>
    <row r="2789">
      <c r="A2789" s="2" t="inlineStr">
        <is>
          <t>C0555</t>
        </is>
      </c>
      <c r="B2789" s="2" t="inlineStr">
        <is>
          <t>Gujarat</t>
        </is>
      </c>
      <c r="C2789" s="2" t="inlineStr">
        <is>
          <t>Surat</t>
        </is>
      </c>
      <c r="D2789" s="2" t="inlineStr">
        <is>
          <t>West</t>
        </is>
      </c>
    </row>
    <row r="2790">
      <c r="A2790" s="2" t="inlineStr">
        <is>
          <t>C0555</t>
        </is>
      </c>
      <c r="B2790" s="2" t="inlineStr">
        <is>
          <t>Kerala</t>
        </is>
      </c>
      <c r="C2790" s="2" t="inlineStr">
        <is>
          <t>Kochi</t>
        </is>
      </c>
      <c r="D2790" s="2" t="inlineStr">
        <is>
          <t>South</t>
        </is>
      </c>
    </row>
    <row r="2791">
      <c r="A2791" s="2" t="inlineStr">
        <is>
          <t>C0555</t>
        </is>
      </c>
      <c r="B2791" s="2" t="inlineStr">
        <is>
          <t>Maharashtra</t>
        </is>
      </c>
      <c r="C2791" s="2" t="inlineStr">
        <is>
          <t>Pune</t>
        </is>
      </c>
      <c r="D2791" s="2" t="inlineStr">
        <is>
          <t>West</t>
        </is>
      </c>
    </row>
    <row r="2792">
      <c r="A2792" s="2" t="inlineStr">
        <is>
          <t>C0555</t>
        </is>
      </c>
      <c r="B2792" s="2" t="inlineStr">
        <is>
          <t>Maharashtra</t>
        </is>
      </c>
      <c r="C2792" s="2" t="inlineStr">
        <is>
          <t>Thane</t>
        </is>
      </c>
      <c r="D2792" s="2" t="inlineStr">
        <is>
          <t>West</t>
        </is>
      </c>
    </row>
    <row r="2793">
      <c r="A2793" s="2" t="inlineStr">
        <is>
          <t>C0555</t>
        </is>
      </c>
      <c r="B2793" s="2" t="inlineStr">
        <is>
          <t>Delhi</t>
        </is>
      </c>
      <c r="C2793" s="2" t="inlineStr">
        <is>
          <t>New Delhi</t>
        </is>
      </c>
      <c r="D2793" s="2" t="inlineStr">
        <is>
          <t>North</t>
        </is>
      </c>
    </row>
    <row r="2794">
      <c r="A2794" s="2" t="inlineStr">
        <is>
          <t>C0555</t>
        </is>
      </c>
      <c r="B2794" s="2" t="inlineStr">
        <is>
          <t>Maharashtra</t>
        </is>
      </c>
      <c r="C2794" s="2" t="inlineStr">
        <is>
          <t>Nagpur</t>
        </is>
      </c>
      <c r="D2794" s="2" t="inlineStr">
        <is>
          <t>West</t>
        </is>
      </c>
    </row>
    <row r="2795">
      <c r="A2795" s="2" t="inlineStr">
        <is>
          <t>C0555</t>
        </is>
      </c>
      <c r="B2795" s="2" t="inlineStr">
        <is>
          <t>Gujarat</t>
        </is>
      </c>
      <c r="C2795" s="2" t="inlineStr">
        <is>
          <t>Vadodara</t>
        </is>
      </c>
      <c r="D2795" s="2" t="inlineStr">
        <is>
          <t>West</t>
        </is>
      </c>
    </row>
    <row r="2796">
      <c r="A2796" s="2" t="inlineStr">
        <is>
          <t>C0556</t>
        </is>
      </c>
      <c r="B2796" s="2" t="inlineStr">
        <is>
          <t>West Bengal</t>
        </is>
      </c>
      <c r="C2796" s="2" t="inlineStr">
        <is>
          <t>Kolkata</t>
        </is>
      </c>
      <c r="D2796" s="2" t="inlineStr">
        <is>
          <t>East</t>
        </is>
      </c>
    </row>
    <row r="2797">
      <c r="A2797" s="2" t="inlineStr">
        <is>
          <t>C0556</t>
        </is>
      </c>
      <c r="B2797" s="2" t="inlineStr">
        <is>
          <t>Telangana</t>
        </is>
      </c>
      <c r="C2797" s="2" t="inlineStr">
        <is>
          <t>Warangal</t>
        </is>
      </c>
      <c r="D2797" s="2" t="inlineStr">
        <is>
          <t>South</t>
        </is>
      </c>
    </row>
    <row r="2798">
      <c r="A2798" s="2" t="inlineStr">
        <is>
          <t>C0556</t>
        </is>
      </c>
      <c r="B2798" s="2" t="inlineStr">
        <is>
          <t>Bihar</t>
        </is>
      </c>
      <c r="C2798" s="2" t="inlineStr">
        <is>
          <t>Gaya</t>
        </is>
      </c>
      <c r="D2798" s="2" t="inlineStr">
        <is>
          <t>East</t>
        </is>
      </c>
    </row>
    <row r="2799">
      <c r="A2799" s="2" t="inlineStr">
        <is>
          <t>C0556</t>
        </is>
      </c>
      <c r="B2799" s="2" t="inlineStr">
        <is>
          <t>Karnataka</t>
        </is>
      </c>
      <c r="C2799" s="2" t="inlineStr">
        <is>
          <t>Bengaluru</t>
        </is>
      </c>
      <c r="D2799" s="2" t="inlineStr">
        <is>
          <t>South</t>
        </is>
      </c>
    </row>
    <row r="2800">
      <c r="A2800" s="2" t="inlineStr">
        <is>
          <t>C0557</t>
        </is>
      </c>
      <c r="B2800" s="2" t="inlineStr">
        <is>
          <t>Bihar</t>
        </is>
      </c>
      <c r="C2800" s="2" t="inlineStr">
        <is>
          <t>Gaya</t>
        </is>
      </c>
      <c r="D2800" s="2" t="inlineStr">
        <is>
          <t>East</t>
        </is>
      </c>
    </row>
    <row r="2801">
      <c r="A2801" s="2" t="inlineStr">
        <is>
          <t>C0557</t>
        </is>
      </c>
      <c r="B2801" s="2" t="inlineStr">
        <is>
          <t>Telangana</t>
        </is>
      </c>
      <c r="C2801" s="2" t="inlineStr">
        <is>
          <t>Hyderabad</t>
        </is>
      </c>
      <c r="D2801" s="2" t="inlineStr">
        <is>
          <t>South</t>
        </is>
      </c>
    </row>
    <row r="2802">
      <c r="A2802" s="2" t="inlineStr">
        <is>
          <t>C0557</t>
        </is>
      </c>
      <c r="B2802" s="2" t="inlineStr">
        <is>
          <t>Odisha</t>
        </is>
      </c>
      <c r="C2802" s="2" t="inlineStr">
        <is>
          <t>Cuttack</t>
        </is>
      </c>
      <c r="D2802" s="2" t="inlineStr">
        <is>
          <t>East</t>
        </is>
      </c>
    </row>
    <row r="2803">
      <c r="A2803" s="2" t="inlineStr">
        <is>
          <t>C0557</t>
        </is>
      </c>
      <c r="B2803" s="2" t="inlineStr">
        <is>
          <t>Maharashtra</t>
        </is>
      </c>
      <c r="C2803" s="2" t="inlineStr">
        <is>
          <t>Thane</t>
        </is>
      </c>
      <c r="D2803" s="2" t="inlineStr">
        <is>
          <t>West</t>
        </is>
      </c>
    </row>
    <row r="2804">
      <c r="A2804" s="2" t="inlineStr">
        <is>
          <t>C0557</t>
        </is>
      </c>
      <c r="B2804" s="2" t="inlineStr">
        <is>
          <t>Delhi</t>
        </is>
      </c>
      <c r="C2804" s="2" t="inlineStr">
        <is>
          <t>New Delhi</t>
        </is>
      </c>
      <c r="D2804" s="2" t="inlineStr">
        <is>
          <t>North</t>
        </is>
      </c>
    </row>
    <row r="2805">
      <c r="A2805" s="2" t="inlineStr">
        <is>
          <t>C0557</t>
        </is>
      </c>
      <c r="B2805" s="2" t="inlineStr">
        <is>
          <t>Uttar Pradesh</t>
        </is>
      </c>
      <c r="C2805" s="2" t="inlineStr">
        <is>
          <t>Lucknow</t>
        </is>
      </c>
      <c r="D2805" s="2" t="inlineStr">
        <is>
          <t>North</t>
        </is>
      </c>
    </row>
    <row r="2806">
      <c r="A2806" s="2" t="inlineStr">
        <is>
          <t>C0557</t>
        </is>
      </c>
      <c r="B2806" s="2" t="inlineStr">
        <is>
          <t>Uttar Pradesh</t>
        </is>
      </c>
      <c r="C2806" s="2" t="inlineStr">
        <is>
          <t>Noida</t>
        </is>
      </c>
      <c r="D2806" s="2" t="inlineStr">
        <is>
          <t>North</t>
        </is>
      </c>
    </row>
    <row r="2807">
      <c r="A2807" s="2" t="inlineStr">
        <is>
          <t>C0557</t>
        </is>
      </c>
      <c r="B2807" s="2" t="inlineStr">
        <is>
          <t>Uttar Pradesh</t>
        </is>
      </c>
      <c r="C2807" s="2" t="inlineStr">
        <is>
          <t>Varanasi</t>
        </is>
      </c>
      <c r="D2807" s="2" t="inlineStr">
        <is>
          <t>North</t>
        </is>
      </c>
    </row>
    <row r="2808">
      <c r="A2808" s="2" t="inlineStr">
        <is>
          <t>C0558</t>
        </is>
      </c>
      <c r="B2808" s="2" t="inlineStr">
        <is>
          <t>Karnataka</t>
        </is>
      </c>
      <c r="C2808" s="2" t="inlineStr">
        <is>
          <t>Mysuru</t>
        </is>
      </c>
      <c r="D2808" s="2" t="inlineStr">
        <is>
          <t>South</t>
        </is>
      </c>
    </row>
    <row r="2809">
      <c r="A2809" s="2" t="inlineStr">
        <is>
          <t>C0560</t>
        </is>
      </c>
      <c r="B2809" s="2" t="inlineStr">
        <is>
          <t>Tamil Nadu</t>
        </is>
      </c>
      <c r="C2809" s="2" t="inlineStr">
        <is>
          <t>Coimbatore</t>
        </is>
      </c>
      <c r="D2809" s="2" t="inlineStr">
        <is>
          <t>South</t>
        </is>
      </c>
    </row>
    <row r="2810">
      <c r="A2810" s="2" t="inlineStr">
        <is>
          <t>C0561</t>
        </is>
      </c>
      <c r="B2810" s="2" t="inlineStr">
        <is>
          <t>Goa</t>
        </is>
      </c>
      <c r="C2810" s="2" t="inlineStr">
        <is>
          <t>Panaji</t>
        </is>
      </c>
      <c r="D2810" s="2" t="inlineStr">
        <is>
          <t>West</t>
        </is>
      </c>
    </row>
    <row r="2811">
      <c r="A2811" s="2" t="inlineStr">
        <is>
          <t>C0561</t>
        </is>
      </c>
      <c r="B2811" s="2" t="inlineStr">
        <is>
          <t>Haryana</t>
        </is>
      </c>
      <c r="C2811" s="2" t="inlineStr">
        <is>
          <t>Gurugram</t>
        </is>
      </c>
      <c r="D2811" s="2" t="inlineStr">
        <is>
          <t>North</t>
        </is>
      </c>
    </row>
    <row r="2812">
      <c r="A2812" s="2" t="inlineStr">
        <is>
          <t>C0561</t>
        </is>
      </c>
      <c r="B2812" s="2" t="inlineStr">
        <is>
          <t>Delhi</t>
        </is>
      </c>
      <c r="C2812" s="2" t="inlineStr">
        <is>
          <t>New Delhi</t>
        </is>
      </c>
      <c r="D2812" s="2" t="inlineStr">
        <is>
          <t>North</t>
        </is>
      </c>
    </row>
    <row r="2813">
      <c r="A2813" s="2" t="inlineStr">
        <is>
          <t>C0561</t>
        </is>
      </c>
      <c r="B2813" s="2" t="inlineStr">
        <is>
          <t>Haryana</t>
        </is>
      </c>
      <c r="C2813" s="2" t="inlineStr">
        <is>
          <t>Faridabad</t>
        </is>
      </c>
      <c r="D2813" s="2" t="inlineStr">
        <is>
          <t>North</t>
        </is>
      </c>
    </row>
    <row r="2814">
      <c r="A2814" s="2" t="inlineStr">
        <is>
          <t>C0561</t>
        </is>
      </c>
      <c r="B2814" s="2" t="inlineStr">
        <is>
          <t>Maharashtra</t>
        </is>
      </c>
      <c r="C2814" s="2" t="inlineStr">
        <is>
          <t>Nagpur</t>
        </is>
      </c>
      <c r="D2814" s="2" t="inlineStr">
        <is>
          <t>West</t>
        </is>
      </c>
    </row>
    <row r="2815">
      <c r="A2815" s="2" t="inlineStr">
        <is>
          <t>C0561</t>
        </is>
      </c>
      <c r="B2815" s="2" t="inlineStr">
        <is>
          <t>Karnataka</t>
        </is>
      </c>
      <c r="C2815" s="2" t="inlineStr">
        <is>
          <t>Mysuru</t>
        </is>
      </c>
      <c r="D2815" s="2" t="inlineStr">
        <is>
          <t>South</t>
        </is>
      </c>
    </row>
    <row r="2816">
      <c r="A2816" s="2" t="inlineStr">
        <is>
          <t>C0562</t>
        </is>
      </c>
      <c r="B2816" s="2" t="inlineStr">
        <is>
          <t>Haryana</t>
        </is>
      </c>
      <c r="C2816" s="2" t="inlineStr">
        <is>
          <t>Gurugram</t>
        </is>
      </c>
      <c r="D2816" s="2" t="inlineStr">
        <is>
          <t>North</t>
        </is>
      </c>
    </row>
    <row r="2817">
      <c r="A2817" s="2" t="inlineStr">
        <is>
          <t>C0562</t>
        </is>
      </c>
      <c r="B2817" s="2" t="inlineStr">
        <is>
          <t>Telangana</t>
        </is>
      </c>
      <c r="C2817" s="2" t="inlineStr">
        <is>
          <t>Warangal</t>
        </is>
      </c>
      <c r="D2817" s="2" t="inlineStr">
        <is>
          <t>South</t>
        </is>
      </c>
    </row>
    <row r="2818">
      <c r="A2818" s="2" t="inlineStr">
        <is>
          <t>C0562</t>
        </is>
      </c>
      <c r="B2818" s="2" t="inlineStr">
        <is>
          <t>Karnataka</t>
        </is>
      </c>
      <c r="C2818" s="2" t="inlineStr">
        <is>
          <t>Mysuru</t>
        </is>
      </c>
      <c r="D2818" s="2" t="inlineStr">
        <is>
          <t>South</t>
        </is>
      </c>
    </row>
    <row r="2819">
      <c r="A2819" s="2" t="inlineStr">
        <is>
          <t>C0562</t>
        </is>
      </c>
      <c r="B2819" s="2" t="inlineStr">
        <is>
          <t>Odisha</t>
        </is>
      </c>
      <c r="C2819" s="2" t="inlineStr">
        <is>
          <t>Cuttack</t>
        </is>
      </c>
      <c r="D2819" s="2" t="inlineStr">
        <is>
          <t>East</t>
        </is>
      </c>
    </row>
    <row r="2820">
      <c r="A2820" s="2" t="inlineStr">
        <is>
          <t>C0562</t>
        </is>
      </c>
      <c r="B2820" s="2" t="inlineStr">
        <is>
          <t>Tamil Nadu</t>
        </is>
      </c>
      <c r="C2820" s="2" t="inlineStr">
        <is>
          <t>Coimbatore</t>
        </is>
      </c>
      <c r="D2820" s="2" t="inlineStr">
        <is>
          <t>South</t>
        </is>
      </c>
    </row>
    <row r="2821">
      <c r="A2821" s="2" t="inlineStr">
        <is>
          <t>C0562</t>
        </is>
      </c>
      <c r="B2821" s="2" t="inlineStr">
        <is>
          <t>Tamil Nadu</t>
        </is>
      </c>
      <c r="C2821" s="2" t="inlineStr">
        <is>
          <t>Madurai</t>
        </is>
      </c>
      <c r="D2821" s="2" t="inlineStr">
        <is>
          <t>South</t>
        </is>
      </c>
    </row>
    <row r="2822">
      <c r="A2822" s="2" t="inlineStr">
        <is>
          <t>C0562</t>
        </is>
      </c>
      <c r="B2822" s="2" t="inlineStr">
        <is>
          <t>West Bengal</t>
        </is>
      </c>
      <c r="C2822" s="2" t="inlineStr">
        <is>
          <t>Kolkata</t>
        </is>
      </c>
      <c r="D2822" s="2" t="inlineStr">
        <is>
          <t>East</t>
        </is>
      </c>
    </row>
    <row r="2823">
      <c r="A2823" s="2" t="inlineStr">
        <is>
          <t>C0563</t>
        </is>
      </c>
      <c r="B2823" s="2" t="inlineStr">
        <is>
          <t>Maharashtra</t>
        </is>
      </c>
      <c r="C2823" s="2" t="inlineStr">
        <is>
          <t>Nagpur</t>
        </is>
      </c>
      <c r="D2823" s="2" t="inlineStr">
        <is>
          <t>West</t>
        </is>
      </c>
    </row>
    <row r="2824">
      <c r="A2824" s="2" t="inlineStr">
        <is>
          <t>C0563</t>
        </is>
      </c>
      <c r="B2824" s="2" t="inlineStr">
        <is>
          <t>Odisha</t>
        </is>
      </c>
      <c r="C2824" s="2" t="inlineStr">
        <is>
          <t>Bhubaneswar</t>
        </is>
      </c>
      <c r="D2824" s="2" t="inlineStr">
        <is>
          <t>East</t>
        </is>
      </c>
    </row>
    <row r="2825">
      <c r="A2825" s="2" t="inlineStr">
        <is>
          <t>C0563</t>
        </is>
      </c>
      <c r="B2825" s="2" t="inlineStr">
        <is>
          <t>Haryana</t>
        </is>
      </c>
      <c r="C2825" s="2" t="inlineStr">
        <is>
          <t>Faridabad</t>
        </is>
      </c>
      <c r="D2825" s="2" t="inlineStr">
        <is>
          <t>North</t>
        </is>
      </c>
    </row>
    <row r="2826">
      <c r="A2826" s="2" t="inlineStr">
        <is>
          <t>C0563</t>
        </is>
      </c>
      <c r="B2826" s="2" t="inlineStr">
        <is>
          <t>Tamil Nadu</t>
        </is>
      </c>
      <c r="C2826" s="2" t="inlineStr">
        <is>
          <t>Coimbatore</t>
        </is>
      </c>
      <c r="D2826" s="2" t="inlineStr">
        <is>
          <t>South</t>
        </is>
      </c>
    </row>
    <row r="2827">
      <c r="A2827" s="2" t="inlineStr">
        <is>
          <t>C0563</t>
        </is>
      </c>
      <c r="B2827" s="2" t="inlineStr">
        <is>
          <t>West Bengal</t>
        </is>
      </c>
      <c r="C2827" s="2" t="inlineStr">
        <is>
          <t>Durgapur</t>
        </is>
      </c>
      <c r="D2827" s="2" t="inlineStr">
        <is>
          <t>East</t>
        </is>
      </c>
    </row>
    <row r="2828">
      <c r="A2828" s="2" t="inlineStr">
        <is>
          <t>C0563</t>
        </is>
      </c>
      <c r="B2828" s="2" t="inlineStr">
        <is>
          <t>Uttar Pradesh</t>
        </is>
      </c>
      <c r="C2828" s="2" t="inlineStr">
        <is>
          <t>Varanasi</t>
        </is>
      </c>
      <c r="D2828" s="2" t="inlineStr">
        <is>
          <t>North</t>
        </is>
      </c>
    </row>
    <row r="2829">
      <c r="A2829" s="2" t="inlineStr">
        <is>
          <t>C0563</t>
        </is>
      </c>
      <c r="B2829" s="2" t="inlineStr">
        <is>
          <t>Uttar Pradesh</t>
        </is>
      </c>
      <c r="C2829" s="2" t="inlineStr">
        <is>
          <t>Lucknow</t>
        </is>
      </c>
      <c r="D2829" s="2" t="inlineStr">
        <is>
          <t>North</t>
        </is>
      </c>
    </row>
    <row r="2830">
      <c r="A2830" s="2" t="inlineStr">
        <is>
          <t>C0563</t>
        </is>
      </c>
      <c r="B2830" s="2" t="inlineStr">
        <is>
          <t>Gujarat</t>
        </is>
      </c>
      <c r="C2830" s="2" t="inlineStr">
        <is>
          <t>Vadodara</t>
        </is>
      </c>
      <c r="D2830" s="2" t="inlineStr">
        <is>
          <t>West</t>
        </is>
      </c>
    </row>
    <row r="2831">
      <c r="A2831" s="2" t="inlineStr">
        <is>
          <t>C0563</t>
        </is>
      </c>
      <c r="B2831" s="2" t="inlineStr">
        <is>
          <t>Gujarat</t>
        </is>
      </c>
      <c r="C2831" s="2" t="inlineStr">
        <is>
          <t>Ahmedabad</t>
        </is>
      </c>
      <c r="D2831" s="2" t="inlineStr">
        <is>
          <t>West</t>
        </is>
      </c>
    </row>
    <row r="2832">
      <c r="A2832" s="2" t="inlineStr">
        <is>
          <t>C0563</t>
        </is>
      </c>
      <c r="B2832" s="2" t="inlineStr">
        <is>
          <t>Gujarat</t>
        </is>
      </c>
      <c r="C2832" s="2" t="inlineStr">
        <is>
          <t>Surat</t>
        </is>
      </c>
      <c r="D2832" s="2" t="inlineStr">
        <is>
          <t>West</t>
        </is>
      </c>
    </row>
    <row r="2833">
      <c r="A2833" s="2" t="inlineStr">
        <is>
          <t>C0563</t>
        </is>
      </c>
      <c r="B2833" s="2" t="inlineStr">
        <is>
          <t>Goa</t>
        </is>
      </c>
      <c r="C2833" s="2" t="inlineStr">
        <is>
          <t>Panaji</t>
        </is>
      </c>
      <c r="D2833" s="2" t="inlineStr">
        <is>
          <t>West</t>
        </is>
      </c>
    </row>
    <row r="2834">
      <c r="A2834" s="2" t="inlineStr">
        <is>
          <t>C0564</t>
        </is>
      </c>
      <c r="B2834" s="2" t="inlineStr">
        <is>
          <t>Maharashtra</t>
        </is>
      </c>
      <c r="C2834" s="2" t="inlineStr">
        <is>
          <t>Thane</t>
        </is>
      </c>
      <c r="D2834" s="2" t="inlineStr">
        <is>
          <t>West</t>
        </is>
      </c>
    </row>
    <row r="2835">
      <c r="A2835" s="2" t="inlineStr">
        <is>
          <t>C0564</t>
        </is>
      </c>
      <c r="B2835" s="2" t="inlineStr">
        <is>
          <t>Kerala</t>
        </is>
      </c>
      <c r="C2835" s="2" t="inlineStr">
        <is>
          <t>Kochi</t>
        </is>
      </c>
      <c r="D2835" s="2" t="inlineStr">
        <is>
          <t>South</t>
        </is>
      </c>
    </row>
    <row r="2836">
      <c r="A2836" s="2" t="inlineStr">
        <is>
          <t>C0564</t>
        </is>
      </c>
      <c r="B2836" s="2" t="inlineStr">
        <is>
          <t>Goa</t>
        </is>
      </c>
      <c r="C2836" s="2" t="inlineStr">
        <is>
          <t>Margao</t>
        </is>
      </c>
      <c r="D2836" s="2" t="inlineStr">
        <is>
          <t>West</t>
        </is>
      </c>
    </row>
    <row r="2837">
      <c r="A2837" s="2" t="inlineStr">
        <is>
          <t>C0564</t>
        </is>
      </c>
      <c r="B2837" s="2" t="inlineStr">
        <is>
          <t>Uttar Pradesh</t>
        </is>
      </c>
      <c r="C2837" s="2" t="inlineStr">
        <is>
          <t>Lucknow</t>
        </is>
      </c>
      <c r="D2837" s="2" t="inlineStr">
        <is>
          <t>North</t>
        </is>
      </c>
    </row>
    <row r="2838">
      <c r="A2838" s="2" t="inlineStr">
        <is>
          <t>C0564</t>
        </is>
      </c>
      <c r="B2838" s="2" t="inlineStr">
        <is>
          <t>Maharashtra</t>
        </is>
      </c>
      <c r="C2838" s="2" t="inlineStr">
        <is>
          <t>Pune</t>
        </is>
      </c>
      <c r="D2838" s="2" t="inlineStr">
        <is>
          <t>West</t>
        </is>
      </c>
    </row>
    <row r="2839">
      <c r="A2839" s="2" t="inlineStr">
        <is>
          <t>C0565</t>
        </is>
      </c>
      <c r="B2839" s="2" t="inlineStr">
        <is>
          <t>Telangana</t>
        </is>
      </c>
      <c r="C2839" s="2" t="inlineStr">
        <is>
          <t>Hyderabad</t>
        </is>
      </c>
      <c r="D2839" s="2" t="inlineStr">
        <is>
          <t>South</t>
        </is>
      </c>
    </row>
    <row r="2840">
      <c r="A2840" s="2" t="inlineStr">
        <is>
          <t>C0565</t>
        </is>
      </c>
      <c r="B2840" s="2" t="inlineStr">
        <is>
          <t>Tamil Nadu</t>
        </is>
      </c>
      <c r="C2840" s="2" t="inlineStr">
        <is>
          <t>Coimbatore</t>
        </is>
      </c>
      <c r="D2840" s="2" t="inlineStr">
        <is>
          <t>South</t>
        </is>
      </c>
    </row>
    <row r="2841">
      <c r="A2841" s="2" t="inlineStr">
        <is>
          <t>C0565</t>
        </is>
      </c>
      <c r="B2841" s="2" t="inlineStr">
        <is>
          <t>Kerala</t>
        </is>
      </c>
      <c r="C2841" s="2" t="inlineStr">
        <is>
          <t>Kochi</t>
        </is>
      </c>
      <c r="D2841" s="2" t="inlineStr">
        <is>
          <t>South</t>
        </is>
      </c>
    </row>
    <row r="2842">
      <c r="A2842" s="2" t="inlineStr">
        <is>
          <t>C0565</t>
        </is>
      </c>
      <c r="B2842" s="2" t="inlineStr">
        <is>
          <t>Gujarat</t>
        </is>
      </c>
      <c r="C2842" s="2" t="inlineStr">
        <is>
          <t>Ahmedabad</t>
        </is>
      </c>
      <c r="D2842" s="2" t="inlineStr">
        <is>
          <t>West</t>
        </is>
      </c>
    </row>
    <row r="2843">
      <c r="A2843" s="2" t="inlineStr">
        <is>
          <t>C0565</t>
        </is>
      </c>
      <c r="B2843" s="2" t="inlineStr">
        <is>
          <t>Goa</t>
        </is>
      </c>
      <c r="C2843" s="2" t="inlineStr">
        <is>
          <t>Margao</t>
        </is>
      </c>
      <c r="D2843" s="2" t="inlineStr">
        <is>
          <t>West</t>
        </is>
      </c>
    </row>
    <row r="2844">
      <c r="A2844" s="2" t="inlineStr">
        <is>
          <t>C0566</t>
        </is>
      </c>
      <c r="B2844" s="2" t="inlineStr">
        <is>
          <t>Odisha</t>
        </is>
      </c>
      <c r="C2844" s="2" t="inlineStr">
        <is>
          <t>Cuttack</t>
        </is>
      </c>
      <c r="D2844" s="2" t="inlineStr">
        <is>
          <t>East</t>
        </is>
      </c>
    </row>
    <row r="2845">
      <c r="A2845" s="2" t="inlineStr">
        <is>
          <t>C0566</t>
        </is>
      </c>
      <c r="B2845" s="2" t="inlineStr">
        <is>
          <t>Punjab</t>
        </is>
      </c>
      <c r="C2845" s="2" t="inlineStr">
        <is>
          <t>Amritsar</t>
        </is>
      </c>
      <c r="D2845" s="2" t="inlineStr">
        <is>
          <t>North</t>
        </is>
      </c>
    </row>
    <row r="2846">
      <c r="A2846" s="2" t="inlineStr">
        <is>
          <t>C0566</t>
        </is>
      </c>
      <c r="B2846" s="2" t="inlineStr">
        <is>
          <t>Goa</t>
        </is>
      </c>
      <c r="C2846" s="2" t="inlineStr">
        <is>
          <t>Margao</t>
        </is>
      </c>
      <c r="D2846" s="2" t="inlineStr">
        <is>
          <t>West</t>
        </is>
      </c>
    </row>
    <row r="2847">
      <c r="A2847" s="2" t="inlineStr">
        <is>
          <t>C0566</t>
        </is>
      </c>
      <c r="B2847" s="2" t="inlineStr">
        <is>
          <t>Haryana</t>
        </is>
      </c>
      <c r="C2847" s="2" t="inlineStr">
        <is>
          <t>Faridabad</t>
        </is>
      </c>
      <c r="D2847" s="2" t="inlineStr">
        <is>
          <t>North</t>
        </is>
      </c>
    </row>
    <row r="2848">
      <c r="A2848" s="2" t="inlineStr">
        <is>
          <t>C0566</t>
        </is>
      </c>
      <c r="B2848" s="2" t="inlineStr">
        <is>
          <t>Odisha</t>
        </is>
      </c>
      <c r="C2848" s="2" t="inlineStr">
        <is>
          <t>Bhubaneswar</t>
        </is>
      </c>
      <c r="D2848" s="2" t="inlineStr">
        <is>
          <t>East</t>
        </is>
      </c>
    </row>
    <row r="2849">
      <c r="A2849" s="2" t="inlineStr">
        <is>
          <t>C0566</t>
        </is>
      </c>
      <c r="B2849" s="2" t="inlineStr">
        <is>
          <t>Goa</t>
        </is>
      </c>
      <c r="C2849" s="2" t="inlineStr">
        <is>
          <t>Panaji</t>
        </is>
      </c>
      <c r="D2849" s="2" t="inlineStr">
        <is>
          <t>West</t>
        </is>
      </c>
    </row>
    <row r="2850">
      <c r="A2850" s="2" t="inlineStr">
        <is>
          <t>C0566</t>
        </is>
      </c>
      <c r="B2850" s="2" t="inlineStr">
        <is>
          <t>Bihar</t>
        </is>
      </c>
      <c r="C2850" s="2" t="inlineStr">
        <is>
          <t>Patna</t>
        </is>
      </c>
      <c r="D2850" s="2" t="inlineStr">
        <is>
          <t>East</t>
        </is>
      </c>
    </row>
    <row r="2851">
      <c r="A2851" s="2" t="inlineStr">
        <is>
          <t>C0566</t>
        </is>
      </c>
      <c r="B2851" s="2" t="inlineStr">
        <is>
          <t>Bihar</t>
        </is>
      </c>
      <c r="C2851" s="2" t="inlineStr">
        <is>
          <t>Gaya</t>
        </is>
      </c>
      <c r="D2851" s="2" t="inlineStr">
        <is>
          <t>East</t>
        </is>
      </c>
    </row>
    <row r="2852">
      <c r="A2852" s="2" t="inlineStr">
        <is>
          <t>C0567</t>
        </is>
      </c>
      <c r="B2852" s="2" t="inlineStr">
        <is>
          <t>Punjab</t>
        </is>
      </c>
      <c r="C2852" s="2" t="inlineStr">
        <is>
          <t>Amritsar</t>
        </is>
      </c>
      <c r="D2852" s="2" t="inlineStr">
        <is>
          <t>North</t>
        </is>
      </c>
    </row>
    <row r="2853">
      <c r="A2853" s="2" t="inlineStr">
        <is>
          <t>C0567</t>
        </is>
      </c>
      <c r="B2853" s="2" t="inlineStr">
        <is>
          <t>Haryana</t>
        </is>
      </c>
      <c r="C2853" s="2" t="inlineStr">
        <is>
          <t>Faridabad</t>
        </is>
      </c>
      <c r="D2853" s="2" t="inlineStr">
        <is>
          <t>North</t>
        </is>
      </c>
    </row>
    <row r="2854">
      <c r="A2854" s="2" t="inlineStr">
        <is>
          <t>C0567</t>
        </is>
      </c>
      <c r="B2854" s="2" t="inlineStr">
        <is>
          <t>Maharashtra</t>
        </is>
      </c>
      <c r="C2854" s="2" t="inlineStr">
        <is>
          <t>Thane</t>
        </is>
      </c>
      <c r="D2854" s="2" t="inlineStr">
        <is>
          <t>West</t>
        </is>
      </c>
    </row>
    <row r="2855">
      <c r="A2855" s="2" t="inlineStr">
        <is>
          <t>C0567</t>
        </is>
      </c>
      <c r="B2855" s="2" t="inlineStr">
        <is>
          <t>Tamil Nadu</t>
        </is>
      </c>
      <c r="C2855" s="2" t="inlineStr">
        <is>
          <t>Chennai</t>
        </is>
      </c>
      <c r="D2855" s="2" t="inlineStr">
        <is>
          <t>South</t>
        </is>
      </c>
    </row>
    <row r="2856">
      <c r="A2856" s="2" t="inlineStr">
        <is>
          <t>C0567</t>
        </is>
      </c>
      <c r="B2856" s="2" t="inlineStr">
        <is>
          <t>Goa</t>
        </is>
      </c>
      <c r="C2856" s="2" t="inlineStr">
        <is>
          <t>Margao</t>
        </is>
      </c>
      <c r="D2856" s="2" t="inlineStr">
        <is>
          <t>West</t>
        </is>
      </c>
    </row>
    <row r="2857">
      <c r="A2857" s="2" t="inlineStr">
        <is>
          <t>C0568</t>
        </is>
      </c>
      <c r="B2857" s="2" t="inlineStr">
        <is>
          <t>Maharashtra</t>
        </is>
      </c>
      <c r="C2857" s="2" t="inlineStr">
        <is>
          <t>Mumbai</t>
        </is>
      </c>
      <c r="D2857" s="2" t="inlineStr">
        <is>
          <t>West</t>
        </is>
      </c>
    </row>
    <row r="2858">
      <c r="A2858" s="2" t="inlineStr">
        <is>
          <t>C0568</t>
        </is>
      </c>
      <c r="B2858" s="2" t="inlineStr">
        <is>
          <t>Goa</t>
        </is>
      </c>
      <c r="C2858" s="2" t="inlineStr">
        <is>
          <t>Margao</t>
        </is>
      </c>
      <c r="D2858" s="2" t="inlineStr">
        <is>
          <t>West</t>
        </is>
      </c>
    </row>
    <row r="2859">
      <c r="A2859" s="2" t="inlineStr">
        <is>
          <t>C0568</t>
        </is>
      </c>
      <c r="B2859" s="2" t="inlineStr">
        <is>
          <t>Gujarat</t>
        </is>
      </c>
      <c r="C2859" s="2" t="inlineStr">
        <is>
          <t>Surat</t>
        </is>
      </c>
      <c r="D2859" s="2" t="inlineStr">
        <is>
          <t>West</t>
        </is>
      </c>
    </row>
    <row r="2860">
      <c r="A2860" s="2" t="inlineStr">
        <is>
          <t>C0568</t>
        </is>
      </c>
      <c r="B2860" s="2" t="inlineStr">
        <is>
          <t>Odisha</t>
        </is>
      </c>
      <c r="C2860" s="2" t="inlineStr">
        <is>
          <t>Bhubaneswar</t>
        </is>
      </c>
      <c r="D2860" s="2" t="inlineStr">
        <is>
          <t>East</t>
        </is>
      </c>
    </row>
    <row r="2861">
      <c r="A2861" s="2" t="inlineStr">
        <is>
          <t>C0568</t>
        </is>
      </c>
      <c r="B2861" s="2" t="inlineStr">
        <is>
          <t>Haryana</t>
        </is>
      </c>
      <c r="C2861" s="2" t="inlineStr">
        <is>
          <t>Gurugram</t>
        </is>
      </c>
      <c r="D2861" s="2" t="inlineStr">
        <is>
          <t>North</t>
        </is>
      </c>
    </row>
    <row r="2862">
      <c r="A2862" s="2" t="inlineStr">
        <is>
          <t>C0568</t>
        </is>
      </c>
      <c r="B2862" s="2" t="inlineStr">
        <is>
          <t>Gujarat</t>
        </is>
      </c>
      <c r="C2862" s="2" t="inlineStr">
        <is>
          <t>Vadodara</t>
        </is>
      </c>
      <c r="D2862" s="2" t="inlineStr">
        <is>
          <t>West</t>
        </is>
      </c>
    </row>
    <row r="2863">
      <c r="A2863" s="2" t="inlineStr">
        <is>
          <t>C0568</t>
        </is>
      </c>
      <c r="B2863" s="2" t="inlineStr">
        <is>
          <t>Maharashtra</t>
        </is>
      </c>
      <c r="C2863" s="2" t="inlineStr">
        <is>
          <t>Nashik</t>
        </is>
      </c>
      <c r="D2863" s="2" t="inlineStr">
        <is>
          <t>West</t>
        </is>
      </c>
    </row>
    <row r="2864">
      <c r="A2864" s="2" t="inlineStr">
        <is>
          <t>C0568</t>
        </is>
      </c>
      <c r="B2864" s="2" t="inlineStr">
        <is>
          <t>Telangana</t>
        </is>
      </c>
      <c r="C2864" s="2" t="inlineStr">
        <is>
          <t>Warangal</t>
        </is>
      </c>
      <c r="D2864" s="2" t="inlineStr">
        <is>
          <t>South</t>
        </is>
      </c>
    </row>
    <row r="2865">
      <c r="A2865" s="2" t="inlineStr">
        <is>
          <t>C0568</t>
        </is>
      </c>
      <c r="B2865" s="2" t="inlineStr">
        <is>
          <t>Kerala</t>
        </is>
      </c>
      <c r="C2865" s="2" t="inlineStr">
        <is>
          <t>Thiruvananthapuram</t>
        </is>
      </c>
      <c r="D2865" s="2" t="inlineStr">
        <is>
          <t>South</t>
        </is>
      </c>
    </row>
    <row r="2866">
      <c r="A2866" s="2" t="inlineStr">
        <is>
          <t>C0568</t>
        </is>
      </c>
      <c r="B2866" s="2" t="inlineStr">
        <is>
          <t>Tamil Nadu</t>
        </is>
      </c>
      <c r="C2866" s="2" t="inlineStr">
        <is>
          <t>Chennai</t>
        </is>
      </c>
      <c r="D2866" s="2" t="inlineStr">
        <is>
          <t>South</t>
        </is>
      </c>
    </row>
    <row r="2867">
      <c r="A2867" s="2" t="inlineStr">
        <is>
          <t>C0568</t>
        </is>
      </c>
      <c r="B2867" s="2" t="inlineStr">
        <is>
          <t>Haryana</t>
        </is>
      </c>
      <c r="C2867" s="2" t="inlineStr">
        <is>
          <t>Faridabad</t>
        </is>
      </c>
      <c r="D2867" s="2" t="inlineStr">
        <is>
          <t>North</t>
        </is>
      </c>
    </row>
    <row r="2868">
      <c r="A2868" s="2" t="inlineStr">
        <is>
          <t>C0568</t>
        </is>
      </c>
      <c r="B2868" s="2" t="inlineStr">
        <is>
          <t>West Bengal</t>
        </is>
      </c>
      <c r="C2868" s="2" t="inlineStr">
        <is>
          <t>Kolkata</t>
        </is>
      </c>
      <c r="D2868" s="2" t="inlineStr">
        <is>
          <t>East</t>
        </is>
      </c>
    </row>
    <row r="2869">
      <c r="A2869" s="2" t="inlineStr">
        <is>
          <t>C0568</t>
        </is>
      </c>
      <c r="B2869" s="2" t="inlineStr">
        <is>
          <t>Punjab</t>
        </is>
      </c>
      <c r="C2869" s="2" t="inlineStr">
        <is>
          <t>Jalandhar</t>
        </is>
      </c>
      <c r="D2869" s="2" t="inlineStr">
        <is>
          <t>North</t>
        </is>
      </c>
    </row>
    <row r="2870">
      <c r="A2870" s="2" t="inlineStr">
        <is>
          <t>C0568</t>
        </is>
      </c>
      <c r="B2870" s="2" t="inlineStr">
        <is>
          <t>Maharashtra</t>
        </is>
      </c>
      <c r="C2870" s="2" t="inlineStr">
        <is>
          <t>Nagpur</t>
        </is>
      </c>
      <c r="D2870" s="2" t="inlineStr">
        <is>
          <t>West</t>
        </is>
      </c>
    </row>
    <row r="2871">
      <c r="A2871" s="2" t="inlineStr">
        <is>
          <t>C0568</t>
        </is>
      </c>
      <c r="B2871" s="2" t="inlineStr">
        <is>
          <t>Bihar</t>
        </is>
      </c>
      <c r="C2871" s="2" t="inlineStr">
        <is>
          <t>Gaya</t>
        </is>
      </c>
      <c r="D2871" s="2" t="inlineStr">
        <is>
          <t>East</t>
        </is>
      </c>
    </row>
    <row r="2872">
      <c r="A2872" s="2" t="inlineStr">
        <is>
          <t>C0568</t>
        </is>
      </c>
      <c r="B2872" s="2" t="inlineStr">
        <is>
          <t>Goa</t>
        </is>
      </c>
      <c r="C2872" s="2" t="inlineStr">
        <is>
          <t>Panaji</t>
        </is>
      </c>
      <c r="D2872" s="2" t="inlineStr">
        <is>
          <t>West</t>
        </is>
      </c>
    </row>
    <row r="2873">
      <c r="A2873" s="2" t="inlineStr">
        <is>
          <t>C0568</t>
        </is>
      </c>
      <c r="B2873" s="2" t="inlineStr">
        <is>
          <t>Uttar Pradesh</t>
        </is>
      </c>
      <c r="C2873" s="2" t="inlineStr">
        <is>
          <t>Noida</t>
        </is>
      </c>
      <c r="D2873" s="2" t="inlineStr">
        <is>
          <t>North</t>
        </is>
      </c>
    </row>
    <row r="2874">
      <c r="A2874" s="2" t="inlineStr">
        <is>
          <t>C0568</t>
        </is>
      </c>
      <c r="B2874" s="2" t="inlineStr">
        <is>
          <t>Punjab</t>
        </is>
      </c>
      <c r="C2874" s="2" t="inlineStr">
        <is>
          <t>Ludhiana</t>
        </is>
      </c>
      <c r="D2874" s="2" t="inlineStr">
        <is>
          <t>North</t>
        </is>
      </c>
    </row>
    <row r="2875">
      <c r="A2875" s="2" t="inlineStr">
        <is>
          <t>C0568</t>
        </is>
      </c>
      <c r="B2875" s="2" t="inlineStr">
        <is>
          <t>Maharashtra</t>
        </is>
      </c>
      <c r="C2875" s="2" t="inlineStr">
        <is>
          <t>Pune</t>
        </is>
      </c>
      <c r="D2875" s="2" t="inlineStr">
        <is>
          <t>West</t>
        </is>
      </c>
    </row>
    <row r="2876">
      <c r="A2876" s="2" t="inlineStr">
        <is>
          <t>C0568</t>
        </is>
      </c>
      <c r="B2876" s="2" t="inlineStr">
        <is>
          <t>Maharashtra</t>
        </is>
      </c>
      <c r="C2876" s="2" t="inlineStr">
        <is>
          <t>Thane</t>
        </is>
      </c>
      <c r="D2876" s="2" t="inlineStr">
        <is>
          <t>West</t>
        </is>
      </c>
    </row>
    <row r="2877">
      <c r="A2877" s="2" t="inlineStr">
        <is>
          <t>C0568</t>
        </is>
      </c>
      <c r="B2877" s="2" t="inlineStr">
        <is>
          <t>Delhi</t>
        </is>
      </c>
      <c r="C2877" s="2" t="inlineStr">
        <is>
          <t>New Delhi</t>
        </is>
      </c>
      <c r="D2877" s="2" t="inlineStr">
        <is>
          <t>North</t>
        </is>
      </c>
    </row>
    <row r="2878">
      <c r="A2878" s="2" t="inlineStr">
        <is>
          <t>C0568</t>
        </is>
      </c>
      <c r="B2878" s="2" t="inlineStr">
        <is>
          <t>Tamil Nadu</t>
        </is>
      </c>
      <c r="C2878" s="2" t="inlineStr">
        <is>
          <t>Madurai</t>
        </is>
      </c>
      <c r="D2878" s="2" t="inlineStr">
        <is>
          <t>South</t>
        </is>
      </c>
    </row>
    <row r="2879">
      <c r="A2879" s="2" t="inlineStr">
        <is>
          <t>C0568</t>
        </is>
      </c>
      <c r="B2879" s="2" t="inlineStr">
        <is>
          <t>Karnataka</t>
        </is>
      </c>
      <c r="C2879" s="2" t="inlineStr">
        <is>
          <t>Mangaluru</t>
        </is>
      </c>
      <c r="D2879" s="2" t="inlineStr">
        <is>
          <t>South</t>
        </is>
      </c>
    </row>
    <row r="2880">
      <c r="A2880" s="2" t="inlineStr">
        <is>
          <t>C0568</t>
        </is>
      </c>
      <c r="B2880" s="2" t="inlineStr">
        <is>
          <t>Karnataka</t>
        </is>
      </c>
      <c r="C2880" s="2" t="inlineStr">
        <is>
          <t>Bengaluru</t>
        </is>
      </c>
      <c r="D2880" s="2" t="inlineStr">
        <is>
          <t>South</t>
        </is>
      </c>
    </row>
    <row r="2881">
      <c r="A2881" s="2" t="inlineStr">
        <is>
          <t>C0568</t>
        </is>
      </c>
      <c r="B2881" s="2" t="inlineStr">
        <is>
          <t>Punjab</t>
        </is>
      </c>
      <c r="C2881" s="2" t="inlineStr">
        <is>
          <t>Amritsar</t>
        </is>
      </c>
      <c r="D2881" s="2" t="inlineStr">
        <is>
          <t>North</t>
        </is>
      </c>
    </row>
    <row r="2882">
      <c r="A2882" s="2" t="inlineStr">
        <is>
          <t>C0568</t>
        </is>
      </c>
      <c r="B2882" s="2" t="inlineStr">
        <is>
          <t>Kerala</t>
        </is>
      </c>
      <c r="C2882" s="2" t="inlineStr">
        <is>
          <t>Kochi</t>
        </is>
      </c>
      <c r="D2882" s="2" t="inlineStr">
        <is>
          <t>South</t>
        </is>
      </c>
    </row>
    <row r="2883">
      <c r="A2883" s="2" t="inlineStr">
        <is>
          <t>C0568</t>
        </is>
      </c>
      <c r="B2883" s="2" t="inlineStr">
        <is>
          <t>West Bengal</t>
        </is>
      </c>
      <c r="C2883" s="2" t="inlineStr">
        <is>
          <t>Durgapur</t>
        </is>
      </c>
      <c r="D2883" s="2" t="inlineStr">
        <is>
          <t>East</t>
        </is>
      </c>
    </row>
    <row r="2884">
      <c r="A2884" s="2" t="inlineStr">
        <is>
          <t>C0568</t>
        </is>
      </c>
      <c r="B2884" s="2" t="inlineStr">
        <is>
          <t>Uttar Pradesh</t>
        </is>
      </c>
      <c r="C2884" s="2" t="inlineStr">
        <is>
          <t>Varanasi</t>
        </is>
      </c>
      <c r="D2884" s="2" t="inlineStr">
        <is>
          <t>North</t>
        </is>
      </c>
    </row>
    <row r="2885">
      <c r="A2885" s="2" t="inlineStr">
        <is>
          <t>C0568</t>
        </is>
      </c>
      <c r="B2885" s="2" t="inlineStr">
        <is>
          <t>Gujarat</t>
        </is>
      </c>
      <c r="C2885" s="2" t="inlineStr">
        <is>
          <t>Ahmedabad</t>
        </is>
      </c>
      <c r="D2885" s="2" t="inlineStr">
        <is>
          <t>West</t>
        </is>
      </c>
    </row>
    <row r="2886">
      <c r="A2886" s="2" t="inlineStr">
        <is>
          <t>C0568</t>
        </is>
      </c>
      <c r="B2886" s="2" t="inlineStr">
        <is>
          <t>Karnataka</t>
        </is>
      </c>
      <c r="C2886" s="2" t="inlineStr">
        <is>
          <t>Mysuru</t>
        </is>
      </c>
      <c r="D2886" s="2" t="inlineStr">
        <is>
          <t>South</t>
        </is>
      </c>
    </row>
    <row r="2887">
      <c r="A2887" s="2" t="inlineStr">
        <is>
          <t>C0568</t>
        </is>
      </c>
      <c r="B2887" s="2" t="inlineStr">
        <is>
          <t>Bihar</t>
        </is>
      </c>
      <c r="C2887" s="2" t="inlineStr">
        <is>
          <t>Patna</t>
        </is>
      </c>
      <c r="D2887" s="2" t="inlineStr">
        <is>
          <t>East</t>
        </is>
      </c>
    </row>
    <row r="2888">
      <c r="A2888" s="2" t="inlineStr">
        <is>
          <t>C0569</t>
        </is>
      </c>
      <c r="B2888" s="2" t="inlineStr">
        <is>
          <t>Odisha</t>
        </is>
      </c>
      <c r="C2888" s="2" t="inlineStr">
        <is>
          <t>Bhubaneswar</t>
        </is>
      </c>
      <c r="D2888" s="2" t="inlineStr">
        <is>
          <t>East</t>
        </is>
      </c>
    </row>
    <row r="2889">
      <c r="A2889" s="2" t="inlineStr">
        <is>
          <t>C0569</t>
        </is>
      </c>
      <c r="B2889" s="2" t="inlineStr">
        <is>
          <t>West Bengal</t>
        </is>
      </c>
      <c r="C2889" s="2" t="inlineStr">
        <is>
          <t>Durgapur</t>
        </is>
      </c>
      <c r="D2889" s="2" t="inlineStr">
        <is>
          <t>East</t>
        </is>
      </c>
    </row>
    <row r="2890">
      <c r="A2890" s="2" t="inlineStr">
        <is>
          <t>C0569</t>
        </is>
      </c>
      <c r="B2890" s="2" t="inlineStr">
        <is>
          <t>Delhi</t>
        </is>
      </c>
      <c r="C2890" s="2" t="inlineStr">
        <is>
          <t>New Delhi</t>
        </is>
      </c>
      <c r="D2890" s="2" t="inlineStr">
        <is>
          <t>North</t>
        </is>
      </c>
    </row>
    <row r="2891">
      <c r="A2891" s="2" t="inlineStr">
        <is>
          <t>C0569</t>
        </is>
      </c>
      <c r="B2891" s="2" t="inlineStr">
        <is>
          <t>Goa</t>
        </is>
      </c>
      <c r="C2891" s="2" t="inlineStr">
        <is>
          <t>Panaji</t>
        </is>
      </c>
      <c r="D2891" s="2" t="inlineStr">
        <is>
          <t>West</t>
        </is>
      </c>
    </row>
    <row r="2892">
      <c r="A2892" s="2" t="inlineStr">
        <is>
          <t>C0570</t>
        </is>
      </c>
      <c r="B2892" s="2" t="inlineStr">
        <is>
          <t>Goa</t>
        </is>
      </c>
      <c r="C2892" s="2" t="inlineStr">
        <is>
          <t>Margao</t>
        </is>
      </c>
      <c r="D2892" s="2" t="inlineStr">
        <is>
          <t>West</t>
        </is>
      </c>
    </row>
    <row r="2893">
      <c r="A2893" s="2" t="inlineStr">
        <is>
          <t>C0570</t>
        </is>
      </c>
      <c r="B2893" s="2" t="inlineStr">
        <is>
          <t>Punjab</t>
        </is>
      </c>
      <c r="C2893" s="2" t="inlineStr">
        <is>
          <t>Amritsar</t>
        </is>
      </c>
      <c r="D2893" s="2" t="inlineStr">
        <is>
          <t>North</t>
        </is>
      </c>
    </row>
    <row r="2894">
      <c r="A2894" s="2" t="inlineStr">
        <is>
          <t>C0570</t>
        </is>
      </c>
      <c r="B2894" s="2" t="inlineStr">
        <is>
          <t>Gujarat</t>
        </is>
      </c>
      <c r="C2894" s="2" t="inlineStr">
        <is>
          <t>Surat</t>
        </is>
      </c>
      <c r="D2894" s="2" t="inlineStr">
        <is>
          <t>West</t>
        </is>
      </c>
    </row>
    <row r="2895">
      <c r="A2895" s="2" t="inlineStr">
        <is>
          <t>C0570</t>
        </is>
      </c>
      <c r="B2895" s="2" t="inlineStr">
        <is>
          <t>Odisha</t>
        </is>
      </c>
      <c r="C2895" s="2" t="inlineStr">
        <is>
          <t>Bhubaneswar</t>
        </is>
      </c>
      <c r="D2895" s="2" t="inlineStr">
        <is>
          <t>East</t>
        </is>
      </c>
    </row>
    <row r="2896">
      <c r="A2896" s="2" t="inlineStr">
        <is>
          <t>C0571</t>
        </is>
      </c>
      <c r="B2896" s="2" t="inlineStr">
        <is>
          <t>Kerala</t>
        </is>
      </c>
      <c r="C2896" s="2" t="inlineStr">
        <is>
          <t>Thiruvananthapuram</t>
        </is>
      </c>
      <c r="D2896" s="2" t="inlineStr">
        <is>
          <t>South</t>
        </is>
      </c>
    </row>
    <row r="2897">
      <c r="A2897" s="2" t="inlineStr">
        <is>
          <t>C0572</t>
        </is>
      </c>
      <c r="B2897" s="2" t="inlineStr">
        <is>
          <t>Tamil Nadu</t>
        </is>
      </c>
      <c r="C2897" s="2" t="inlineStr">
        <is>
          <t>Madurai</t>
        </is>
      </c>
      <c r="D2897" s="2" t="inlineStr">
        <is>
          <t>South</t>
        </is>
      </c>
    </row>
    <row r="2898">
      <c r="A2898" s="2" t="inlineStr">
        <is>
          <t>C0573</t>
        </is>
      </c>
      <c r="B2898" s="2" t="inlineStr">
        <is>
          <t>Punjab</t>
        </is>
      </c>
      <c r="C2898" s="2" t="inlineStr">
        <is>
          <t>Jalandhar</t>
        </is>
      </c>
      <c r="D2898" s="2" t="inlineStr">
        <is>
          <t>North</t>
        </is>
      </c>
    </row>
    <row r="2899">
      <c r="A2899" s="2" t="inlineStr">
        <is>
          <t>C0573</t>
        </is>
      </c>
      <c r="B2899" s="2" t="inlineStr">
        <is>
          <t>Gujarat</t>
        </is>
      </c>
      <c r="C2899" s="2" t="inlineStr">
        <is>
          <t>Ahmedabad</t>
        </is>
      </c>
      <c r="D2899" s="2" t="inlineStr">
        <is>
          <t>West</t>
        </is>
      </c>
    </row>
    <row r="2900">
      <c r="A2900" s="2" t="inlineStr">
        <is>
          <t>C0573</t>
        </is>
      </c>
      <c r="B2900" s="2" t="inlineStr">
        <is>
          <t>Gujarat</t>
        </is>
      </c>
      <c r="C2900" s="2" t="inlineStr">
        <is>
          <t>Vadodara</t>
        </is>
      </c>
      <c r="D2900" s="2" t="inlineStr">
        <is>
          <t>West</t>
        </is>
      </c>
    </row>
    <row r="2901">
      <c r="A2901" s="2" t="inlineStr">
        <is>
          <t>C0573</t>
        </is>
      </c>
      <c r="B2901" s="2" t="inlineStr">
        <is>
          <t>West Bengal</t>
        </is>
      </c>
      <c r="C2901" s="2" t="inlineStr">
        <is>
          <t>Kolkata</t>
        </is>
      </c>
      <c r="D2901" s="2" t="inlineStr">
        <is>
          <t>East</t>
        </is>
      </c>
    </row>
    <row r="2902">
      <c r="A2902" s="2" t="inlineStr">
        <is>
          <t>C0573</t>
        </is>
      </c>
      <c r="B2902" s="2" t="inlineStr">
        <is>
          <t>Gujarat</t>
        </is>
      </c>
      <c r="C2902" s="2" t="inlineStr">
        <is>
          <t>Surat</t>
        </is>
      </c>
      <c r="D2902" s="2" t="inlineStr">
        <is>
          <t>West</t>
        </is>
      </c>
    </row>
    <row r="2903">
      <c r="A2903" s="2" t="inlineStr">
        <is>
          <t>C0573</t>
        </is>
      </c>
      <c r="B2903" s="2" t="inlineStr">
        <is>
          <t>Tamil Nadu</t>
        </is>
      </c>
      <c r="C2903" s="2" t="inlineStr">
        <is>
          <t>Madurai</t>
        </is>
      </c>
      <c r="D2903" s="2" t="inlineStr">
        <is>
          <t>South</t>
        </is>
      </c>
    </row>
    <row r="2904">
      <c r="A2904" s="2" t="inlineStr">
        <is>
          <t>C0574</t>
        </is>
      </c>
      <c r="B2904" s="2" t="inlineStr">
        <is>
          <t>Uttar Pradesh</t>
        </is>
      </c>
      <c r="C2904" s="2" t="inlineStr">
        <is>
          <t>Lucknow</t>
        </is>
      </c>
      <c r="D2904" s="2" t="inlineStr">
        <is>
          <t>North</t>
        </is>
      </c>
    </row>
    <row r="2905">
      <c r="A2905" s="2" t="inlineStr">
        <is>
          <t>C0574</t>
        </is>
      </c>
      <c r="B2905" s="2" t="inlineStr">
        <is>
          <t>Goa</t>
        </is>
      </c>
      <c r="C2905" s="2" t="inlineStr">
        <is>
          <t>Panaji</t>
        </is>
      </c>
      <c r="D2905" s="2" t="inlineStr">
        <is>
          <t>West</t>
        </is>
      </c>
    </row>
    <row r="2906">
      <c r="A2906" s="2" t="inlineStr">
        <is>
          <t>C0574</t>
        </is>
      </c>
      <c r="B2906" s="2" t="inlineStr">
        <is>
          <t>Punjab</t>
        </is>
      </c>
      <c r="C2906" s="2" t="inlineStr">
        <is>
          <t>Ludhiana</t>
        </is>
      </c>
      <c r="D2906" s="2" t="inlineStr">
        <is>
          <t>North</t>
        </is>
      </c>
    </row>
    <row r="2907">
      <c r="A2907" s="2" t="inlineStr">
        <is>
          <t>C0575</t>
        </is>
      </c>
      <c r="B2907" s="2" t="inlineStr">
        <is>
          <t>Gujarat</t>
        </is>
      </c>
      <c r="C2907" s="2" t="inlineStr">
        <is>
          <t>Surat</t>
        </is>
      </c>
      <c r="D2907" s="2" t="inlineStr">
        <is>
          <t>West</t>
        </is>
      </c>
    </row>
    <row r="2908">
      <c r="A2908" s="2" t="inlineStr">
        <is>
          <t>C0575</t>
        </is>
      </c>
      <c r="B2908" s="2" t="inlineStr">
        <is>
          <t>Goa</t>
        </is>
      </c>
      <c r="C2908" s="2" t="inlineStr">
        <is>
          <t>Panaji</t>
        </is>
      </c>
      <c r="D2908" s="2" t="inlineStr">
        <is>
          <t>West</t>
        </is>
      </c>
    </row>
    <row r="2909">
      <c r="A2909" s="2" t="inlineStr">
        <is>
          <t>C0575</t>
        </is>
      </c>
      <c r="B2909" s="2" t="inlineStr">
        <is>
          <t>Tamil Nadu</t>
        </is>
      </c>
      <c r="C2909" s="2" t="inlineStr">
        <is>
          <t>Madurai</t>
        </is>
      </c>
      <c r="D2909" s="2" t="inlineStr">
        <is>
          <t>South</t>
        </is>
      </c>
    </row>
    <row r="2910">
      <c r="A2910" s="2" t="inlineStr">
        <is>
          <t>C0576</t>
        </is>
      </c>
      <c r="B2910" s="2" t="inlineStr">
        <is>
          <t>Telangana</t>
        </is>
      </c>
      <c r="C2910" s="2" t="inlineStr">
        <is>
          <t>Warangal</t>
        </is>
      </c>
      <c r="D2910" s="2" t="inlineStr">
        <is>
          <t>South</t>
        </is>
      </c>
    </row>
    <row r="2911">
      <c r="A2911" s="2" t="inlineStr">
        <is>
          <t>C0576</t>
        </is>
      </c>
      <c r="B2911" s="2" t="inlineStr">
        <is>
          <t>Kerala</t>
        </is>
      </c>
      <c r="C2911" s="2" t="inlineStr">
        <is>
          <t>Kochi</t>
        </is>
      </c>
      <c r="D2911" s="2" t="inlineStr">
        <is>
          <t>South</t>
        </is>
      </c>
    </row>
    <row r="2912">
      <c r="A2912" s="2" t="inlineStr">
        <is>
          <t>C0576</t>
        </is>
      </c>
      <c r="B2912" s="2" t="inlineStr">
        <is>
          <t>Goa</t>
        </is>
      </c>
      <c r="C2912" s="2" t="inlineStr">
        <is>
          <t>Panaji</t>
        </is>
      </c>
      <c r="D2912" s="2" t="inlineStr">
        <is>
          <t>West</t>
        </is>
      </c>
    </row>
    <row r="2913">
      <c r="A2913" s="2" t="inlineStr">
        <is>
          <t>C0576</t>
        </is>
      </c>
      <c r="B2913" s="2" t="inlineStr">
        <is>
          <t>Odisha</t>
        </is>
      </c>
      <c r="C2913" s="2" t="inlineStr">
        <is>
          <t>Cuttack</t>
        </is>
      </c>
      <c r="D2913" s="2" t="inlineStr">
        <is>
          <t>East</t>
        </is>
      </c>
    </row>
    <row r="2914">
      <c r="A2914" s="2" t="inlineStr">
        <is>
          <t>C0577</t>
        </is>
      </c>
      <c r="B2914" s="2" t="inlineStr">
        <is>
          <t>Maharashtra</t>
        </is>
      </c>
      <c r="C2914" s="2" t="inlineStr">
        <is>
          <t>Mumbai</t>
        </is>
      </c>
      <c r="D2914" s="2" t="inlineStr">
        <is>
          <t>West</t>
        </is>
      </c>
    </row>
    <row r="2915">
      <c r="A2915" s="2" t="inlineStr">
        <is>
          <t>C0577</t>
        </is>
      </c>
      <c r="B2915" s="2" t="inlineStr">
        <is>
          <t>Goa</t>
        </is>
      </c>
      <c r="C2915" s="2" t="inlineStr">
        <is>
          <t>Panaji</t>
        </is>
      </c>
      <c r="D2915" s="2" t="inlineStr">
        <is>
          <t>West</t>
        </is>
      </c>
    </row>
    <row r="2916">
      <c r="A2916" s="2" t="inlineStr">
        <is>
          <t>C0577</t>
        </is>
      </c>
      <c r="B2916" s="2" t="inlineStr">
        <is>
          <t>Delhi</t>
        </is>
      </c>
      <c r="C2916" s="2" t="inlineStr">
        <is>
          <t>New Delhi</t>
        </is>
      </c>
      <c r="D2916" s="2" t="inlineStr">
        <is>
          <t>North</t>
        </is>
      </c>
    </row>
    <row r="2917">
      <c r="A2917" s="2" t="inlineStr">
        <is>
          <t>C0577</t>
        </is>
      </c>
      <c r="B2917" s="2" t="inlineStr">
        <is>
          <t>Maharashtra</t>
        </is>
      </c>
      <c r="C2917" s="2" t="inlineStr">
        <is>
          <t>Nashik</t>
        </is>
      </c>
      <c r="D2917" s="2" t="inlineStr">
        <is>
          <t>West</t>
        </is>
      </c>
    </row>
    <row r="2918">
      <c r="A2918" s="2" t="inlineStr">
        <is>
          <t>C0577</t>
        </is>
      </c>
      <c r="B2918" s="2" t="inlineStr">
        <is>
          <t>Kerala</t>
        </is>
      </c>
      <c r="C2918" s="2" t="inlineStr">
        <is>
          <t>Thiruvananthapuram</t>
        </is>
      </c>
      <c r="D2918" s="2" t="inlineStr">
        <is>
          <t>South</t>
        </is>
      </c>
    </row>
    <row r="2919">
      <c r="A2919" s="2" t="inlineStr">
        <is>
          <t>C0577</t>
        </is>
      </c>
      <c r="B2919" s="2" t="inlineStr">
        <is>
          <t>Punjab</t>
        </is>
      </c>
      <c r="C2919" s="2" t="inlineStr">
        <is>
          <t>Amritsar</t>
        </is>
      </c>
      <c r="D2919" s="2" t="inlineStr">
        <is>
          <t>North</t>
        </is>
      </c>
    </row>
    <row r="2920">
      <c r="A2920" s="2" t="inlineStr">
        <is>
          <t>C0577</t>
        </is>
      </c>
      <c r="B2920" s="2" t="inlineStr">
        <is>
          <t>Gujarat</t>
        </is>
      </c>
      <c r="C2920" s="2" t="inlineStr">
        <is>
          <t>Vadodara</t>
        </is>
      </c>
      <c r="D2920" s="2" t="inlineStr">
        <is>
          <t>West</t>
        </is>
      </c>
    </row>
    <row r="2921">
      <c r="A2921" s="2" t="inlineStr">
        <is>
          <t>C0577</t>
        </is>
      </c>
      <c r="B2921" s="2" t="inlineStr">
        <is>
          <t>Gujarat</t>
        </is>
      </c>
      <c r="C2921" s="2" t="inlineStr">
        <is>
          <t>Ahmedabad</t>
        </is>
      </c>
      <c r="D2921" s="2" t="inlineStr">
        <is>
          <t>West</t>
        </is>
      </c>
    </row>
    <row r="2922">
      <c r="A2922" s="2" t="inlineStr">
        <is>
          <t>C0577</t>
        </is>
      </c>
      <c r="B2922" s="2" t="inlineStr">
        <is>
          <t>Haryana</t>
        </is>
      </c>
      <c r="C2922" s="2" t="inlineStr">
        <is>
          <t>Faridabad</t>
        </is>
      </c>
      <c r="D2922" s="2" t="inlineStr">
        <is>
          <t>North</t>
        </is>
      </c>
    </row>
    <row r="2923">
      <c r="A2923" s="2" t="inlineStr">
        <is>
          <t>C0577</t>
        </is>
      </c>
      <c r="B2923" s="2" t="inlineStr">
        <is>
          <t>Haryana</t>
        </is>
      </c>
      <c r="C2923" s="2" t="inlineStr">
        <is>
          <t>Gurugram</t>
        </is>
      </c>
      <c r="D2923" s="2" t="inlineStr">
        <is>
          <t>North</t>
        </is>
      </c>
    </row>
    <row r="2924">
      <c r="A2924" s="2" t="inlineStr">
        <is>
          <t>C0577</t>
        </is>
      </c>
      <c r="B2924" s="2" t="inlineStr">
        <is>
          <t>Gujarat</t>
        </is>
      </c>
      <c r="C2924" s="2" t="inlineStr">
        <is>
          <t>Surat</t>
        </is>
      </c>
      <c r="D2924" s="2" t="inlineStr">
        <is>
          <t>West</t>
        </is>
      </c>
    </row>
    <row r="2925">
      <c r="A2925" s="2" t="inlineStr">
        <is>
          <t>C0578</t>
        </is>
      </c>
      <c r="B2925" s="2" t="inlineStr">
        <is>
          <t>Maharashtra</t>
        </is>
      </c>
      <c r="C2925" s="2" t="inlineStr">
        <is>
          <t>Pune</t>
        </is>
      </c>
      <c r="D2925" s="2" t="inlineStr">
        <is>
          <t>West</t>
        </is>
      </c>
    </row>
    <row r="2926">
      <c r="A2926" s="2" t="inlineStr">
        <is>
          <t>C0578</t>
        </is>
      </c>
      <c r="B2926" s="2" t="inlineStr">
        <is>
          <t>Karnataka</t>
        </is>
      </c>
      <c r="C2926" s="2" t="inlineStr">
        <is>
          <t>Mysuru</t>
        </is>
      </c>
      <c r="D2926" s="2" t="inlineStr">
        <is>
          <t>South</t>
        </is>
      </c>
    </row>
    <row r="2927">
      <c r="A2927" s="2" t="inlineStr">
        <is>
          <t>C0578</t>
        </is>
      </c>
      <c r="B2927" s="2" t="inlineStr">
        <is>
          <t>Uttar Pradesh</t>
        </is>
      </c>
      <c r="C2927" s="2" t="inlineStr">
        <is>
          <t>Kanpur</t>
        </is>
      </c>
      <c r="D2927" s="2" t="inlineStr">
        <is>
          <t>North</t>
        </is>
      </c>
    </row>
    <row r="2928">
      <c r="A2928" s="2" t="inlineStr">
        <is>
          <t>C0578</t>
        </is>
      </c>
      <c r="B2928" s="2" t="inlineStr">
        <is>
          <t>Tamil Nadu</t>
        </is>
      </c>
      <c r="C2928" s="2" t="inlineStr">
        <is>
          <t>Madurai</t>
        </is>
      </c>
      <c r="D2928" s="2" t="inlineStr">
        <is>
          <t>South</t>
        </is>
      </c>
    </row>
    <row r="2929">
      <c r="A2929" s="2" t="inlineStr">
        <is>
          <t>C0578</t>
        </is>
      </c>
      <c r="B2929" s="2" t="inlineStr">
        <is>
          <t>Telangana</t>
        </is>
      </c>
      <c r="C2929" s="2" t="inlineStr">
        <is>
          <t>Hyderabad</t>
        </is>
      </c>
      <c r="D2929" s="2" t="inlineStr">
        <is>
          <t>South</t>
        </is>
      </c>
    </row>
    <row r="2930">
      <c r="A2930" s="2" t="inlineStr">
        <is>
          <t>C0578</t>
        </is>
      </c>
      <c r="B2930" s="2" t="inlineStr">
        <is>
          <t>Punjab</t>
        </is>
      </c>
      <c r="C2930" s="2" t="inlineStr">
        <is>
          <t>Jalandhar</t>
        </is>
      </c>
      <c r="D2930" s="2" t="inlineStr">
        <is>
          <t>North</t>
        </is>
      </c>
    </row>
    <row r="2931">
      <c r="A2931" s="2" t="inlineStr">
        <is>
          <t>C0578</t>
        </is>
      </c>
      <c r="B2931" s="2" t="inlineStr">
        <is>
          <t>Goa</t>
        </is>
      </c>
      <c r="C2931" s="2" t="inlineStr">
        <is>
          <t>Panaji</t>
        </is>
      </c>
      <c r="D2931" s="2" t="inlineStr">
        <is>
          <t>West</t>
        </is>
      </c>
    </row>
    <row r="2932">
      <c r="A2932" s="2" t="inlineStr">
        <is>
          <t>C0578</t>
        </is>
      </c>
      <c r="B2932" s="2" t="inlineStr">
        <is>
          <t>Odisha</t>
        </is>
      </c>
      <c r="C2932" s="2" t="inlineStr">
        <is>
          <t>Cuttack</t>
        </is>
      </c>
      <c r="D2932" s="2" t="inlineStr">
        <is>
          <t>East</t>
        </is>
      </c>
    </row>
    <row r="2933">
      <c r="A2933" s="2" t="inlineStr">
        <is>
          <t>C0578</t>
        </is>
      </c>
      <c r="B2933" s="2" t="inlineStr">
        <is>
          <t>Karnataka</t>
        </is>
      </c>
      <c r="C2933" s="2" t="inlineStr">
        <is>
          <t>Mangaluru</t>
        </is>
      </c>
      <c r="D2933" s="2" t="inlineStr">
        <is>
          <t>South</t>
        </is>
      </c>
    </row>
    <row r="2934">
      <c r="A2934" s="2" t="inlineStr">
        <is>
          <t>C0578</t>
        </is>
      </c>
      <c r="B2934" s="2" t="inlineStr">
        <is>
          <t>Maharashtra</t>
        </is>
      </c>
      <c r="C2934" s="2" t="inlineStr">
        <is>
          <t>Nagpur</t>
        </is>
      </c>
      <c r="D2934" s="2" t="inlineStr">
        <is>
          <t>West</t>
        </is>
      </c>
    </row>
    <row r="2935">
      <c r="A2935" s="2" t="inlineStr">
        <is>
          <t>C0578</t>
        </is>
      </c>
      <c r="B2935" s="2" t="inlineStr">
        <is>
          <t>Punjab</t>
        </is>
      </c>
      <c r="C2935" s="2" t="inlineStr">
        <is>
          <t>Ludhiana</t>
        </is>
      </c>
      <c r="D2935" s="2" t="inlineStr">
        <is>
          <t>North</t>
        </is>
      </c>
    </row>
    <row r="2936">
      <c r="A2936" s="2" t="inlineStr">
        <is>
          <t>C0578</t>
        </is>
      </c>
      <c r="B2936" s="2" t="inlineStr">
        <is>
          <t>Telangana</t>
        </is>
      </c>
      <c r="C2936" s="2" t="inlineStr">
        <is>
          <t>Warangal</t>
        </is>
      </c>
      <c r="D2936" s="2" t="inlineStr">
        <is>
          <t>South</t>
        </is>
      </c>
    </row>
    <row r="2937">
      <c r="A2937" s="2" t="inlineStr">
        <is>
          <t>C0578</t>
        </is>
      </c>
      <c r="B2937" s="2" t="inlineStr">
        <is>
          <t>Kerala</t>
        </is>
      </c>
      <c r="C2937" s="2" t="inlineStr">
        <is>
          <t>Thiruvananthapuram</t>
        </is>
      </c>
      <c r="D2937" s="2" t="inlineStr">
        <is>
          <t>South</t>
        </is>
      </c>
    </row>
    <row r="2938">
      <c r="A2938" s="2" t="inlineStr">
        <is>
          <t>C0578</t>
        </is>
      </c>
      <c r="B2938" s="2" t="inlineStr">
        <is>
          <t>Punjab</t>
        </is>
      </c>
      <c r="C2938" s="2" t="inlineStr">
        <is>
          <t>Amritsar</t>
        </is>
      </c>
      <c r="D2938" s="2" t="inlineStr">
        <is>
          <t>North</t>
        </is>
      </c>
    </row>
    <row r="2939">
      <c r="A2939" s="2" t="inlineStr">
        <is>
          <t>C0579</t>
        </is>
      </c>
      <c r="B2939" s="2" t="inlineStr">
        <is>
          <t>Maharashtra</t>
        </is>
      </c>
      <c r="C2939" s="2" t="inlineStr">
        <is>
          <t>Mumbai</t>
        </is>
      </c>
      <c r="D2939" s="2" t="inlineStr">
        <is>
          <t>West</t>
        </is>
      </c>
    </row>
    <row r="2940">
      <c r="A2940" s="2" t="inlineStr">
        <is>
          <t>C0579</t>
        </is>
      </c>
      <c r="B2940" s="2" t="inlineStr">
        <is>
          <t>Maharashtra</t>
        </is>
      </c>
      <c r="C2940" s="2" t="inlineStr">
        <is>
          <t>Pune</t>
        </is>
      </c>
      <c r="D2940" s="2" t="inlineStr">
        <is>
          <t>West</t>
        </is>
      </c>
    </row>
    <row r="2941">
      <c r="A2941" s="2" t="inlineStr">
        <is>
          <t>C0579</t>
        </is>
      </c>
      <c r="B2941" s="2" t="inlineStr">
        <is>
          <t>Punjab</t>
        </is>
      </c>
      <c r="C2941" s="2" t="inlineStr">
        <is>
          <t>Amritsar</t>
        </is>
      </c>
      <c r="D2941" s="2" t="inlineStr">
        <is>
          <t>North</t>
        </is>
      </c>
    </row>
    <row r="2942">
      <c r="A2942" s="2" t="inlineStr">
        <is>
          <t>C0579</t>
        </is>
      </c>
      <c r="B2942" s="2" t="inlineStr">
        <is>
          <t>Delhi</t>
        </is>
      </c>
      <c r="C2942" s="2" t="inlineStr">
        <is>
          <t>New Delhi</t>
        </is>
      </c>
      <c r="D2942" s="2" t="inlineStr">
        <is>
          <t>North</t>
        </is>
      </c>
    </row>
    <row r="2943">
      <c r="A2943" s="2" t="inlineStr">
        <is>
          <t>C0579</t>
        </is>
      </c>
      <c r="B2943" s="2" t="inlineStr">
        <is>
          <t>Goa</t>
        </is>
      </c>
      <c r="C2943" s="2" t="inlineStr">
        <is>
          <t>Panaji</t>
        </is>
      </c>
      <c r="D2943" s="2" t="inlineStr">
        <is>
          <t>West</t>
        </is>
      </c>
    </row>
    <row r="2944">
      <c r="A2944" s="2" t="inlineStr">
        <is>
          <t>C0579</t>
        </is>
      </c>
      <c r="B2944" s="2" t="inlineStr">
        <is>
          <t>Bihar</t>
        </is>
      </c>
      <c r="C2944" s="2" t="inlineStr">
        <is>
          <t>Patna</t>
        </is>
      </c>
      <c r="D2944" s="2" t="inlineStr">
        <is>
          <t>East</t>
        </is>
      </c>
    </row>
    <row r="2945">
      <c r="A2945" s="2" t="inlineStr">
        <is>
          <t>C0579</t>
        </is>
      </c>
      <c r="B2945" s="2" t="inlineStr">
        <is>
          <t>Telangana</t>
        </is>
      </c>
      <c r="C2945" s="2" t="inlineStr">
        <is>
          <t>Warangal</t>
        </is>
      </c>
      <c r="D2945" s="2" t="inlineStr">
        <is>
          <t>South</t>
        </is>
      </c>
    </row>
    <row r="2946">
      <c r="A2946" s="2" t="inlineStr">
        <is>
          <t>C0579</t>
        </is>
      </c>
      <c r="B2946" s="2" t="inlineStr">
        <is>
          <t>Karnataka</t>
        </is>
      </c>
      <c r="C2946" s="2" t="inlineStr">
        <is>
          <t>Mysuru</t>
        </is>
      </c>
      <c r="D2946" s="2" t="inlineStr">
        <is>
          <t>South</t>
        </is>
      </c>
    </row>
    <row r="2947">
      <c r="A2947" s="2" t="inlineStr">
        <is>
          <t>C0579</t>
        </is>
      </c>
      <c r="B2947" s="2" t="inlineStr">
        <is>
          <t>Kerala</t>
        </is>
      </c>
      <c r="C2947" s="2" t="inlineStr">
        <is>
          <t>Thiruvananthapuram</t>
        </is>
      </c>
      <c r="D2947" s="2" t="inlineStr">
        <is>
          <t>South</t>
        </is>
      </c>
    </row>
    <row r="2948">
      <c r="A2948" s="2" t="inlineStr">
        <is>
          <t>C0581</t>
        </is>
      </c>
      <c r="B2948" s="2" t="inlineStr">
        <is>
          <t>Karnataka</t>
        </is>
      </c>
      <c r="C2948" s="2" t="inlineStr">
        <is>
          <t>Mangaluru</t>
        </is>
      </c>
      <c r="D2948" s="2" t="inlineStr">
        <is>
          <t>South</t>
        </is>
      </c>
    </row>
    <row r="2949">
      <c r="A2949" s="2" t="inlineStr">
        <is>
          <t>C0581</t>
        </is>
      </c>
      <c r="B2949" s="2" t="inlineStr">
        <is>
          <t>Maharashtra</t>
        </is>
      </c>
      <c r="C2949" s="2" t="inlineStr">
        <is>
          <t>Pune</t>
        </is>
      </c>
      <c r="D2949" s="2" t="inlineStr">
        <is>
          <t>West</t>
        </is>
      </c>
    </row>
    <row r="2950">
      <c r="A2950" s="2" t="inlineStr">
        <is>
          <t>C0581</t>
        </is>
      </c>
      <c r="B2950" s="2" t="inlineStr">
        <is>
          <t>Odisha</t>
        </is>
      </c>
      <c r="C2950" s="2" t="inlineStr">
        <is>
          <t>Bhubaneswar</t>
        </is>
      </c>
      <c r="D2950" s="2" t="inlineStr">
        <is>
          <t>East</t>
        </is>
      </c>
    </row>
    <row r="2951">
      <c r="A2951" s="2" t="inlineStr">
        <is>
          <t>C0581</t>
        </is>
      </c>
      <c r="B2951" s="2" t="inlineStr">
        <is>
          <t>Maharashtra</t>
        </is>
      </c>
      <c r="C2951" s="2" t="inlineStr">
        <is>
          <t>Nagpur</t>
        </is>
      </c>
      <c r="D2951" s="2" t="inlineStr">
        <is>
          <t>West</t>
        </is>
      </c>
    </row>
    <row r="2952">
      <c r="A2952" s="2" t="inlineStr">
        <is>
          <t>C0581</t>
        </is>
      </c>
      <c r="B2952" s="2" t="inlineStr">
        <is>
          <t>Goa</t>
        </is>
      </c>
      <c r="C2952" s="2" t="inlineStr">
        <is>
          <t>Panaji</t>
        </is>
      </c>
      <c r="D2952" s="2" t="inlineStr">
        <is>
          <t>West</t>
        </is>
      </c>
    </row>
    <row r="2953">
      <c r="A2953" s="2" t="inlineStr">
        <is>
          <t>C0581</t>
        </is>
      </c>
      <c r="B2953" s="2" t="inlineStr">
        <is>
          <t>Telangana</t>
        </is>
      </c>
      <c r="C2953" s="2" t="inlineStr">
        <is>
          <t>Hyderabad</t>
        </is>
      </c>
      <c r="D2953" s="2" t="inlineStr">
        <is>
          <t>South</t>
        </is>
      </c>
    </row>
    <row r="2954">
      <c r="A2954" s="2" t="inlineStr">
        <is>
          <t>C0581</t>
        </is>
      </c>
      <c r="B2954" s="2" t="inlineStr">
        <is>
          <t>Gujarat</t>
        </is>
      </c>
      <c r="C2954" s="2" t="inlineStr">
        <is>
          <t>Ahmedabad</t>
        </is>
      </c>
      <c r="D2954" s="2" t="inlineStr">
        <is>
          <t>West</t>
        </is>
      </c>
    </row>
    <row r="2955">
      <c r="A2955" s="2" t="inlineStr">
        <is>
          <t>C0581</t>
        </is>
      </c>
      <c r="B2955" s="2" t="inlineStr">
        <is>
          <t>Haryana</t>
        </is>
      </c>
      <c r="C2955" s="2" t="inlineStr">
        <is>
          <t>Faridabad</t>
        </is>
      </c>
      <c r="D2955" s="2" t="inlineStr">
        <is>
          <t>North</t>
        </is>
      </c>
    </row>
    <row r="2956">
      <c r="A2956" s="2" t="inlineStr">
        <is>
          <t>C0581</t>
        </is>
      </c>
      <c r="B2956" s="2" t="inlineStr">
        <is>
          <t>Kerala</t>
        </is>
      </c>
      <c r="C2956" s="2" t="inlineStr">
        <is>
          <t>Kochi</t>
        </is>
      </c>
      <c r="D2956" s="2" t="inlineStr">
        <is>
          <t>South</t>
        </is>
      </c>
    </row>
    <row r="2957">
      <c r="A2957" s="2" t="inlineStr">
        <is>
          <t>C0581</t>
        </is>
      </c>
      <c r="B2957" s="2" t="inlineStr">
        <is>
          <t>Uttar Pradesh</t>
        </is>
      </c>
      <c r="C2957" s="2" t="inlineStr">
        <is>
          <t>Noida</t>
        </is>
      </c>
      <c r="D2957" s="2" t="inlineStr">
        <is>
          <t>North</t>
        </is>
      </c>
    </row>
    <row r="2958">
      <c r="A2958" s="2" t="inlineStr">
        <is>
          <t>C0581</t>
        </is>
      </c>
      <c r="B2958" s="2" t="inlineStr">
        <is>
          <t>Punjab</t>
        </is>
      </c>
      <c r="C2958" s="2" t="inlineStr">
        <is>
          <t>Ludhiana</t>
        </is>
      </c>
      <c r="D2958" s="2" t="inlineStr">
        <is>
          <t>North</t>
        </is>
      </c>
    </row>
    <row r="2959">
      <c r="A2959" s="2" t="inlineStr">
        <is>
          <t>C0582</t>
        </is>
      </c>
      <c r="B2959" s="2" t="inlineStr">
        <is>
          <t>Delhi</t>
        </is>
      </c>
      <c r="C2959" s="2" t="inlineStr">
        <is>
          <t>New Delhi</t>
        </is>
      </c>
      <c r="D2959" s="2" t="inlineStr">
        <is>
          <t>North</t>
        </is>
      </c>
    </row>
    <row r="2960">
      <c r="A2960" s="2" t="inlineStr">
        <is>
          <t>C0582</t>
        </is>
      </c>
      <c r="B2960" s="2" t="inlineStr">
        <is>
          <t>Bihar</t>
        </is>
      </c>
      <c r="C2960" s="2" t="inlineStr">
        <is>
          <t>Patna</t>
        </is>
      </c>
      <c r="D2960" s="2" t="inlineStr">
        <is>
          <t>East</t>
        </is>
      </c>
    </row>
    <row r="2961">
      <c r="A2961" s="2" t="inlineStr">
        <is>
          <t>C0582</t>
        </is>
      </c>
      <c r="B2961" s="2" t="inlineStr">
        <is>
          <t>Haryana</t>
        </is>
      </c>
      <c r="C2961" s="2" t="inlineStr">
        <is>
          <t>Gurugram</t>
        </is>
      </c>
      <c r="D2961" s="2" t="inlineStr">
        <is>
          <t>North</t>
        </is>
      </c>
    </row>
    <row r="2962">
      <c r="A2962" s="2" t="inlineStr">
        <is>
          <t>C0582</t>
        </is>
      </c>
      <c r="B2962" s="2" t="inlineStr">
        <is>
          <t>Uttar Pradesh</t>
        </is>
      </c>
      <c r="C2962" s="2" t="inlineStr">
        <is>
          <t>Lucknow</t>
        </is>
      </c>
      <c r="D2962" s="2" t="inlineStr">
        <is>
          <t>North</t>
        </is>
      </c>
    </row>
    <row r="2963">
      <c r="A2963" s="2" t="inlineStr">
        <is>
          <t>C0582</t>
        </is>
      </c>
      <c r="B2963" s="2" t="inlineStr">
        <is>
          <t>Goa</t>
        </is>
      </c>
      <c r="C2963" s="2" t="inlineStr">
        <is>
          <t>Margao</t>
        </is>
      </c>
      <c r="D2963" s="2" t="inlineStr">
        <is>
          <t>West</t>
        </is>
      </c>
    </row>
    <row r="2964">
      <c r="A2964" s="2" t="inlineStr">
        <is>
          <t>C0582</t>
        </is>
      </c>
      <c r="B2964" s="2" t="inlineStr">
        <is>
          <t>Gujarat</t>
        </is>
      </c>
      <c r="C2964" s="2" t="inlineStr">
        <is>
          <t>Ahmedabad</t>
        </is>
      </c>
      <c r="D2964" s="2" t="inlineStr">
        <is>
          <t>West</t>
        </is>
      </c>
    </row>
    <row r="2965">
      <c r="A2965" s="2" t="inlineStr">
        <is>
          <t>C0582</t>
        </is>
      </c>
      <c r="B2965" s="2" t="inlineStr">
        <is>
          <t>Gujarat</t>
        </is>
      </c>
      <c r="C2965" s="2" t="inlineStr">
        <is>
          <t>Vadodara</t>
        </is>
      </c>
      <c r="D2965" s="2" t="inlineStr">
        <is>
          <t>West</t>
        </is>
      </c>
    </row>
    <row r="2966">
      <c r="A2966" s="2" t="inlineStr">
        <is>
          <t>C0582</t>
        </is>
      </c>
      <c r="B2966" s="2" t="inlineStr">
        <is>
          <t>Tamil Nadu</t>
        </is>
      </c>
      <c r="C2966" s="2" t="inlineStr">
        <is>
          <t>Chennai</t>
        </is>
      </c>
      <c r="D2966" s="2" t="inlineStr">
        <is>
          <t>South</t>
        </is>
      </c>
    </row>
    <row r="2967">
      <c r="A2967" s="2" t="inlineStr">
        <is>
          <t>C0582</t>
        </is>
      </c>
      <c r="B2967" s="2" t="inlineStr">
        <is>
          <t>West Bengal</t>
        </is>
      </c>
      <c r="C2967" s="2" t="inlineStr">
        <is>
          <t>Kolkata</t>
        </is>
      </c>
      <c r="D2967" s="2" t="inlineStr">
        <is>
          <t>East</t>
        </is>
      </c>
    </row>
    <row r="2968">
      <c r="A2968" s="2" t="inlineStr">
        <is>
          <t>C0582</t>
        </is>
      </c>
      <c r="B2968" s="2" t="inlineStr">
        <is>
          <t>Uttar Pradesh</t>
        </is>
      </c>
      <c r="C2968" s="2" t="inlineStr">
        <is>
          <t>Kanpur</t>
        </is>
      </c>
      <c r="D2968" s="2" t="inlineStr">
        <is>
          <t>North</t>
        </is>
      </c>
    </row>
    <row r="2969">
      <c r="A2969" s="2" t="inlineStr">
        <is>
          <t>C0582</t>
        </is>
      </c>
      <c r="B2969" s="2" t="inlineStr">
        <is>
          <t>Tamil Nadu</t>
        </is>
      </c>
      <c r="C2969" s="2" t="inlineStr">
        <is>
          <t>Coimbatore</t>
        </is>
      </c>
      <c r="D2969" s="2" t="inlineStr">
        <is>
          <t>South</t>
        </is>
      </c>
    </row>
    <row r="2970">
      <c r="A2970" s="2" t="inlineStr">
        <is>
          <t>C0582</t>
        </is>
      </c>
      <c r="B2970" s="2" t="inlineStr">
        <is>
          <t>Telangana</t>
        </is>
      </c>
      <c r="C2970" s="2" t="inlineStr">
        <is>
          <t>Hyderabad</t>
        </is>
      </c>
      <c r="D2970" s="2" t="inlineStr">
        <is>
          <t>South</t>
        </is>
      </c>
    </row>
    <row r="2971">
      <c r="A2971" s="2" t="inlineStr">
        <is>
          <t>C0582</t>
        </is>
      </c>
      <c r="B2971" s="2" t="inlineStr">
        <is>
          <t>Tamil Nadu</t>
        </is>
      </c>
      <c r="C2971" s="2" t="inlineStr">
        <is>
          <t>Madurai</t>
        </is>
      </c>
      <c r="D2971" s="2" t="inlineStr">
        <is>
          <t>South</t>
        </is>
      </c>
    </row>
    <row r="2972">
      <c r="A2972" s="2" t="inlineStr">
        <is>
          <t>C0582</t>
        </is>
      </c>
      <c r="B2972" s="2" t="inlineStr">
        <is>
          <t>Goa</t>
        </is>
      </c>
      <c r="C2972" s="2" t="inlineStr">
        <is>
          <t>Panaji</t>
        </is>
      </c>
      <c r="D2972" s="2" t="inlineStr">
        <is>
          <t>West</t>
        </is>
      </c>
    </row>
    <row r="2973">
      <c r="A2973" s="2" t="inlineStr">
        <is>
          <t>C0582</t>
        </is>
      </c>
      <c r="B2973" s="2" t="inlineStr">
        <is>
          <t>Gujarat</t>
        </is>
      </c>
      <c r="C2973" s="2" t="inlineStr">
        <is>
          <t>Surat</t>
        </is>
      </c>
      <c r="D2973" s="2" t="inlineStr">
        <is>
          <t>West</t>
        </is>
      </c>
    </row>
    <row r="2974">
      <c r="A2974" s="2" t="inlineStr">
        <is>
          <t>C0583</t>
        </is>
      </c>
      <c r="B2974" s="2" t="inlineStr">
        <is>
          <t>Gujarat</t>
        </is>
      </c>
      <c r="C2974" s="2" t="inlineStr">
        <is>
          <t>Vadodara</t>
        </is>
      </c>
      <c r="D2974" s="2" t="inlineStr">
        <is>
          <t>West</t>
        </is>
      </c>
    </row>
    <row r="2975">
      <c r="A2975" s="2" t="inlineStr">
        <is>
          <t>C0583</t>
        </is>
      </c>
      <c r="B2975" s="2" t="inlineStr">
        <is>
          <t>Bihar</t>
        </is>
      </c>
      <c r="C2975" s="2" t="inlineStr">
        <is>
          <t>Patna</t>
        </is>
      </c>
      <c r="D2975" s="2" t="inlineStr">
        <is>
          <t>East</t>
        </is>
      </c>
    </row>
    <row r="2976">
      <c r="A2976" s="2" t="inlineStr">
        <is>
          <t>C0583</t>
        </is>
      </c>
      <c r="B2976" s="2" t="inlineStr">
        <is>
          <t>Bihar</t>
        </is>
      </c>
      <c r="C2976" s="2" t="inlineStr">
        <is>
          <t>Gaya</t>
        </is>
      </c>
      <c r="D2976" s="2" t="inlineStr">
        <is>
          <t>East</t>
        </is>
      </c>
    </row>
    <row r="2977">
      <c r="A2977" s="2" t="inlineStr">
        <is>
          <t>C0583</t>
        </is>
      </c>
      <c r="B2977" s="2" t="inlineStr">
        <is>
          <t>Haryana</t>
        </is>
      </c>
      <c r="C2977" s="2" t="inlineStr">
        <is>
          <t>Faridabad</t>
        </is>
      </c>
      <c r="D2977" s="2" t="inlineStr">
        <is>
          <t>North</t>
        </is>
      </c>
    </row>
    <row r="2978">
      <c r="A2978" s="2" t="inlineStr">
        <is>
          <t>C0583</t>
        </is>
      </c>
      <c r="B2978" s="2" t="inlineStr">
        <is>
          <t>Odisha</t>
        </is>
      </c>
      <c r="C2978" s="2" t="inlineStr">
        <is>
          <t>Bhubaneswar</t>
        </is>
      </c>
      <c r="D2978" s="2" t="inlineStr">
        <is>
          <t>East</t>
        </is>
      </c>
    </row>
    <row r="2979">
      <c r="A2979" s="2" t="inlineStr">
        <is>
          <t>C0583</t>
        </is>
      </c>
      <c r="B2979" s="2" t="inlineStr">
        <is>
          <t>Goa</t>
        </is>
      </c>
      <c r="C2979" s="2" t="inlineStr">
        <is>
          <t>Panaji</t>
        </is>
      </c>
      <c r="D2979" s="2" t="inlineStr">
        <is>
          <t>West</t>
        </is>
      </c>
    </row>
    <row r="2980">
      <c r="A2980" s="2" t="inlineStr">
        <is>
          <t>C0583</t>
        </is>
      </c>
      <c r="B2980" s="2" t="inlineStr">
        <is>
          <t>Maharashtra</t>
        </is>
      </c>
      <c r="C2980" s="2" t="inlineStr">
        <is>
          <t>Mumbai</t>
        </is>
      </c>
      <c r="D2980" s="2" t="inlineStr">
        <is>
          <t>West</t>
        </is>
      </c>
    </row>
    <row r="2981">
      <c r="A2981" s="2" t="inlineStr">
        <is>
          <t>C0583</t>
        </is>
      </c>
      <c r="B2981" s="2" t="inlineStr">
        <is>
          <t>Uttar Pradesh</t>
        </is>
      </c>
      <c r="C2981" s="2" t="inlineStr">
        <is>
          <t>Kanpur</t>
        </is>
      </c>
      <c r="D2981" s="2" t="inlineStr">
        <is>
          <t>North</t>
        </is>
      </c>
    </row>
    <row r="2982">
      <c r="A2982" s="2" t="inlineStr">
        <is>
          <t>C0583</t>
        </is>
      </c>
      <c r="B2982" s="2" t="inlineStr">
        <is>
          <t>Delhi</t>
        </is>
      </c>
      <c r="C2982" s="2" t="inlineStr">
        <is>
          <t>New Delhi</t>
        </is>
      </c>
      <c r="D2982" s="2" t="inlineStr">
        <is>
          <t>North</t>
        </is>
      </c>
    </row>
    <row r="2983">
      <c r="A2983" s="2" t="inlineStr">
        <is>
          <t>C0583</t>
        </is>
      </c>
      <c r="B2983" s="2" t="inlineStr">
        <is>
          <t>Goa</t>
        </is>
      </c>
      <c r="C2983" s="2" t="inlineStr">
        <is>
          <t>Margao</t>
        </is>
      </c>
      <c r="D2983" s="2" t="inlineStr">
        <is>
          <t>West</t>
        </is>
      </c>
    </row>
    <row r="2984">
      <c r="A2984" s="2" t="inlineStr">
        <is>
          <t>C0583</t>
        </is>
      </c>
      <c r="B2984" s="2" t="inlineStr">
        <is>
          <t>Maharashtra</t>
        </is>
      </c>
      <c r="C2984" s="2" t="inlineStr">
        <is>
          <t>Nashik</t>
        </is>
      </c>
      <c r="D2984" s="2" t="inlineStr">
        <is>
          <t>West</t>
        </is>
      </c>
    </row>
    <row r="2985">
      <c r="A2985" s="2" t="inlineStr">
        <is>
          <t>C0583</t>
        </is>
      </c>
      <c r="B2985" s="2" t="inlineStr">
        <is>
          <t>Punjab</t>
        </is>
      </c>
      <c r="C2985" s="2" t="inlineStr">
        <is>
          <t>Jalandhar</t>
        </is>
      </c>
      <c r="D2985" s="2" t="inlineStr">
        <is>
          <t>North</t>
        </is>
      </c>
    </row>
    <row r="2986">
      <c r="A2986" s="2" t="inlineStr">
        <is>
          <t>C0583</t>
        </is>
      </c>
      <c r="B2986" s="2" t="inlineStr">
        <is>
          <t>Tamil Nadu</t>
        </is>
      </c>
      <c r="C2986" s="2" t="inlineStr">
        <is>
          <t>Chennai</t>
        </is>
      </c>
      <c r="D2986" s="2" t="inlineStr">
        <is>
          <t>South</t>
        </is>
      </c>
    </row>
    <row r="2987">
      <c r="A2987" s="2" t="inlineStr">
        <is>
          <t>C0583</t>
        </is>
      </c>
      <c r="B2987" s="2" t="inlineStr">
        <is>
          <t>Uttar Pradesh</t>
        </is>
      </c>
      <c r="C2987" s="2" t="inlineStr">
        <is>
          <t>Lucknow</t>
        </is>
      </c>
      <c r="D2987" s="2" t="inlineStr">
        <is>
          <t>North</t>
        </is>
      </c>
    </row>
    <row r="2988">
      <c r="A2988" s="2" t="inlineStr">
        <is>
          <t>C0583</t>
        </is>
      </c>
      <c r="B2988" s="2" t="inlineStr">
        <is>
          <t>Haryana</t>
        </is>
      </c>
      <c r="C2988" s="2" t="inlineStr">
        <is>
          <t>Gurugram</t>
        </is>
      </c>
      <c r="D2988" s="2" t="inlineStr">
        <is>
          <t>North</t>
        </is>
      </c>
    </row>
    <row r="2989">
      <c r="A2989" s="2" t="inlineStr">
        <is>
          <t>C0584</t>
        </is>
      </c>
      <c r="B2989" s="2" t="inlineStr">
        <is>
          <t>Goa</t>
        </is>
      </c>
      <c r="C2989" s="2" t="inlineStr">
        <is>
          <t>Panaji</t>
        </is>
      </c>
      <c r="D2989" s="2" t="inlineStr">
        <is>
          <t>West</t>
        </is>
      </c>
    </row>
    <row r="2990">
      <c r="A2990" s="2" t="inlineStr">
        <is>
          <t>C0584</t>
        </is>
      </c>
      <c r="B2990" s="2" t="inlineStr">
        <is>
          <t>Gujarat</t>
        </is>
      </c>
      <c r="C2990" s="2" t="inlineStr">
        <is>
          <t>Vadodara</t>
        </is>
      </c>
      <c r="D2990" s="2" t="inlineStr">
        <is>
          <t>West</t>
        </is>
      </c>
    </row>
    <row r="2991">
      <c r="A2991" s="2" t="inlineStr">
        <is>
          <t>C0584</t>
        </is>
      </c>
      <c r="B2991" s="2" t="inlineStr">
        <is>
          <t>Punjab</t>
        </is>
      </c>
      <c r="C2991" s="2" t="inlineStr">
        <is>
          <t>Ludhiana</t>
        </is>
      </c>
      <c r="D2991" s="2" t="inlineStr">
        <is>
          <t>North</t>
        </is>
      </c>
    </row>
    <row r="2992">
      <c r="A2992" s="2" t="inlineStr">
        <is>
          <t>C0584</t>
        </is>
      </c>
      <c r="B2992" s="2" t="inlineStr">
        <is>
          <t>Maharashtra</t>
        </is>
      </c>
      <c r="C2992" s="2" t="inlineStr">
        <is>
          <t>Pune</t>
        </is>
      </c>
      <c r="D2992" s="2" t="inlineStr">
        <is>
          <t>West</t>
        </is>
      </c>
    </row>
    <row r="2993">
      <c r="A2993" s="2" t="inlineStr">
        <is>
          <t>C0584</t>
        </is>
      </c>
      <c r="B2993" s="2" t="inlineStr">
        <is>
          <t>Maharashtra</t>
        </is>
      </c>
      <c r="C2993" s="2" t="inlineStr">
        <is>
          <t>Mumbai</t>
        </is>
      </c>
      <c r="D2993" s="2" t="inlineStr">
        <is>
          <t>West</t>
        </is>
      </c>
    </row>
    <row r="2994">
      <c r="A2994" s="2" t="inlineStr">
        <is>
          <t>C0584</t>
        </is>
      </c>
      <c r="B2994" s="2" t="inlineStr">
        <is>
          <t>Goa</t>
        </is>
      </c>
      <c r="C2994" s="2" t="inlineStr">
        <is>
          <t>Margao</t>
        </is>
      </c>
      <c r="D2994" s="2" t="inlineStr">
        <is>
          <t>West</t>
        </is>
      </c>
    </row>
    <row r="2995">
      <c r="A2995" s="2" t="inlineStr">
        <is>
          <t>C0584</t>
        </is>
      </c>
      <c r="B2995" s="2" t="inlineStr">
        <is>
          <t>Gujarat</t>
        </is>
      </c>
      <c r="C2995" s="2" t="inlineStr">
        <is>
          <t>Ahmedabad</t>
        </is>
      </c>
      <c r="D2995" s="2" t="inlineStr">
        <is>
          <t>West</t>
        </is>
      </c>
    </row>
    <row r="2996">
      <c r="A2996" s="2" t="inlineStr">
        <is>
          <t>C0584</t>
        </is>
      </c>
      <c r="B2996" s="2" t="inlineStr">
        <is>
          <t>Maharashtra</t>
        </is>
      </c>
      <c r="C2996" s="2" t="inlineStr">
        <is>
          <t>Thane</t>
        </is>
      </c>
      <c r="D2996" s="2" t="inlineStr">
        <is>
          <t>West</t>
        </is>
      </c>
    </row>
    <row r="2997">
      <c r="A2997" s="2" t="inlineStr">
        <is>
          <t>C0585</t>
        </is>
      </c>
      <c r="B2997" s="2" t="inlineStr">
        <is>
          <t>Delhi</t>
        </is>
      </c>
      <c r="C2997" s="2" t="inlineStr">
        <is>
          <t>New Delhi</t>
        </is>
      </c>
      <c r="D2997" s="2" t="inlineStr">
        <is>
          <t>North</t>
        </is>
      </c>
    </row>
    <row r="2998">
      <c r="A2998" s="2" t="inlineStr">
        <is>
          <t>C0585</t>
        </is>
      </c>
      <c r="B2998" s="2" t="inlineStr">
        <is>
          <t>Maharashtra</t>
        </is>
      </c>
      <c r="C2998" s="2" t="inlineStr">
        <is>
          <t>Mumbai</t>
        </is>
      </c>
      <c r="D2998" s="2" t="inlineStr">
        <is>
          <t>West</t>
        </is>
      </c>
    </row>
    <row r="2999">
      <c r="A2999" s="2" t="inlineStr">
        <is>
          <t>C0585</t>
        </is>
      </c>
      <c r="B2999" s="2" t="inlineStr">
        <is>
          <t>West Bengal</t>
        </is>
      </c>
      <c r="C2999" s="2" t="inlineStr">
        <is>
          <t>Kolkata</t>
        </is>
      </c>
      <c r="D2999" s="2" t="inlineStr">
        <is>
          <t>East</t>
        </is>
      </c>
    </row>
    <row r="3000">
      <c r="A3000" s="2" t="inlineStr">
        <is>
          <t>C0585</t>
        </is>
      </c>
      <c r="B3000" s="2" t="inlineStr">
        <is>
          <t>Odisha</t>
        </is>
      </c>
      <c r="C3000" s="2" t="inlineStr">
        <is>
          <t>Cuttack</t>
        </is>
      </c>
      <c r="D3000" s="2" t="inlineStr">
        <is>
          <t>East</t>
        </is>
      </c>
    </row>
    <row r="3001">
      <c r="A3001" s="2" t="inlineStr">
        <is>
          <t>C0585</t>
        </is>
      </c>
      <c r="B3001" s="2" t="inlineStr">
        <is>
          <t>Karnataka</t>
        </is>
      </c>
      <c r="C3001" s="2" t="inlineStr">
        <is>
          <t>Bengaluru</t>
        </is>
      </c>
      <c r="D3001" s="2" t="inlineStr">
        <is>
          <t>South</t>
        </is>
      </c>
    </row>
    <row r="3002">
      <c r="A3002" s="2" t="inlineStr">
        <is>
          <t>C0585</t>
        </is>
      </c>
      <c r="B3002" s="2" t="inlineStr">
        <is>
          <t>Haryana</t>
        </is>
      </c>
      <c r="C3002" s="2" t="inlineStr">
        <is>
          <t>Faridabad</t>
        </is>
      </c>
      <c r="D3002" s="2" t="inlineStr">
        <is>
          <t>North</t>
        </is>
      </c>
    </row>
    <row r="3003">
      <c r="A3003" s="2" t="inlineStr">
        <is>
          <t>C0585</t>
        </is>
      </c>
      <c r="B3003" s="2" t="inlineStr">
        <is>
          <t>Karnataka</t>
        </is>
      </c>
      <c r="C3003" s="2" t="inlineStr">
        <is>
          <t>Mangaluru</t>
        </is>
      </c>
      <c r="D3003" s="2" t="inlineStr">
        <is>
          <t>South</t>
        </is>
      </c>
    </row>
    <row r="3004">
      <c r="A3004" s="2" t="inlineStr">
        <is>
          <t>C0585</t>
        </is>
      </c>
      <c r="B3004" s="2" t="inlineStr">
        <is>
          <t>Goa</t>
        </is>
      </c>
      <c r="C3004" s="2" t="inlineStr">
        <is>
          <t>Margao</t>
        </is>
      </c>
      <c r="D3004" s="2" t="inlineStr">
        <is>
          <t>West</t>
        </is>
      </c>
    </row>
    <row r="3005">
      <c r="A3005" s="2" t="inlineStr">
        <is>
          <t>C0585</t>
        </is>
      </c>
      <c r="B3005" s="2" t="inlineStr">
        <is>
          <t>Odisha</t>
        </is>
      </c>
      <c r="C3005" s="2" t="inlineStr">
        <is>
          <t>Bhubaneswar</t>
        </is>
      </c>
      <c r="D3005" s="2" t="inlineStr">
        <is>
          <t>East</t>
        </is>
      </c>
    </row>
    <row r="3006">
      <c r="A3006" s="2" t="inlineStr">
        <is>
          <t>C0585</t>
        </is>
      </c>
      <c r="B3006" s="2" t="inlineStr">
        <is>
          <t>Telangana</t>
        </is>
      </c>
      <c r="C3006" s="2" t="inlineStr">
        <is>
          <t>Hyderabad</t>
        </is>
      </c>
      <c r="D3006" s="2" t="inlineStr">
        <is>
          <t>South</t>
        </is>
      </c>
    </row>
    <row r="3007">
      <c r="A3007" s="2" t="inlineStr">
        <is>
          <t>C0585</t>
        </is>
      </c>
      <c r="B3007" s="2" t="inlineStr">
        <is>
          <t>Punjab</t>
        </is>
      </c>
      <c r="C3007" s="2" t="inlineStr">
        <is>
          <t>Amritsar</t>
        </is>
      </c>
      <c r="D3007" s="2" t="inlineStr">
        <is>
          <t>North</t>
        </is>
      </c>
    </row>
    <row r="3008">
      <c r="A3008" s="2" t="inlineStr">
        <is>
          <t>C0585</t>
        </is>
      </c>
      <c r="B3008" s="2" t="inlineStr">
        <is>
          <t>Goa</t>
        </is>
      </c>
      <c r="C3008" s="2" t="inlineStr">
        <is>
          <t>Panaji</t>
        </is>
      </c>
      <c r="D3008" s="2" t="inlineStr">
        <is>
          <t>West</t>
        </is>
      </c>
    </row>
    <row r="3009">
      <c r="A3009" s="2" t="inlineStr">
        <is>
          <t>C0586</t>
        </is>
      </c>
      <c r="B3009" s="2" t="inlineStr">
        <is>
          <t>Uttar Pradesh</t>
        </is>
      </c>
      <c r="C3009" s="2" t="inlineStr">
        <is>
          <t>Kanpur</t>
        </is>
      </c>
      <c r="D3009" s="2" t="inlineStr">
        <is>
          <t>North</t>
        </is>
      </c>
    </row>
    <row r="3010">
      <c r="A3010" s="2" t="inlineStr">
        <is>
          <t>C0586</t>
        </is>
      </c>
      <c r="B3010" s="2" t="inlineStr">
        <is>
          <t>Haryana</t>
        </is>
      </c>
      <c r="C3010" s="2" t="inlineStr">
        <is>
          <t>Faridabad</t>
        </is>
      </c>
      <c r="D3010" s="2" t="inlineStr">
        <is>
          <t>North</t>
        </is>
      </c>
    </row>
    <row r="3011">
      <c r="A3011" s="2" t="inlineStr">
        <is>
          <t>C0586</t>
        </is>
      </c>
      <c r="B3011" s="2" t="inlineStr">
        <is>
          <t>West Bengal</t>
        </is>
      </c>
      <c r="C3011" s="2" t="inlineStr">
        <is>
          <t>Kolkata</t>
        </is>
      </c>
      <c r="D3011" s="2" t="inlineStr">
        <is>
          <t>East</t>
        </is>
      </c>
    </row>
    <row r="3012">
      <c r="A3012" s="2" t="inlineStr">
        <is>
          <t>C0586</t>
        </is>
      </c>
      <c r="B3012" s="2" t="inlineStr">
        <is>
          <t>Uttar Pradesh</t>
        </is>
      </c>
      <c r="C3012" s="2" t="inlineStr">
        <is>
          <t>Varanasi</t>
        </is>
      </c>
      <c r="D3012" s="2" t="inlineStr">
        <is>
          <t>North</t>
        </is>
      </c>
    </row>
    <row r="3013">
      <c r="A3013" s="2" t="inlineStr">
        <is>
          <t>C0586</t>
        </is>
      </c>
      <c r="B3013" s="2" t="inlineStr">
        <is>
          <t>Odisha</t>
        </is>
      </c>
      <c r="C3013" s="2" t="inlineStr">
        <is>
          <t>Cuttack</t>
        </is>
      </c>
      <c r="D3013" s="2" t="inlineStr">
        <is>
          <t>East</t>
        </is>
      </c>
    </row>
    <row r="3014">
      <c r="A3014" s="2" t="inlineStr">
        <is>
          <t>C0587</t>
        </is>
      </c>
      <c r="B3014" s="2" t="inlineStr">
        <is>
          <t>Haryana</t>
        </is>
      </c>
      <c r="C3014" s="2" t="inlineStr">
        <is>
          <t>Faridabad</t>
        </is>
      </c>
      <c r="D3014" s="2" t="inlineStr">
        <is>
          <t>North</t>
        </is>
      </c>
    </row>
    <row r="3015">
      <c r="A3015" s="2" t="inlineStr">
        <is>
          <t>C0587</t>
        </is>
      </c>
      <c r="B3015" s="2" t="inlineStr">
        <is>
          <t>Maharashtra</t>
        </is>
      </c>
      <c r="C3015" s="2" t="inlineStr">
        <is>
          <t>Thane</t>
        </is>
      </c>
      <c r="D3015" s="2" t="inlineStr">
        <is>
          <t>West</t>
        </is>
      </c>
    </row>
    <row r="3016">
      <c r="A3016" s="2" t="inlineStr">
        <is>
          <t>C0587</t>
        </is>
      </c>
      <c r="B3016" s="2" t="inlineStr">
        <is>
          <t>Karnataka</t>
        </is>
      </c>
      <c r="C3016" s="2" t="inlineStr">
        <is>
          <t>Bengaluru</t>
        </is>
      </c>
      <c r="D3016" s="2" t="inlineStr">
        <is>
          <t>South</t>
        </is>
      </c>
    </row>
    <row r="3017">
      <c r="A3017" s="2" t="inlineStr">
        <is>
          <t>C0587</t>
        </is>
      </c>
      <c r="B3017" s="2" t="inlineStr">
        <is>
          <t>West Bengal</t>
        </is>
      </c>
      <c r="C3017" s="2" t="inlineStr">
        <is>
          <t>Kolkata</t>
        </is>
      </c>
      <c r="D3017" s="2" t="inlineStr">
        <is>
          <t>East</t>
        </is>
      </c>
    </row>
    <row r="3018">
      <c r="A3018" s="2" t="inlineStr">
        <is>
          <t>C0587</t>
        </is>
      </c>
      <c r="B3018" s="2" t="inlineStr">
        <is>
          <t>Tamil Nadu</t>
        </is>
      </c>
      <c r="C3018" s="2" t="inlineStr">
        <is>
          <t>Coimbatore</t>
        </is>
      </c>
      <c r="D3018" s="2" t="inlineStr">
        <is>
          <t>South</t>
        </is>
      </c>
    </row>
    <row r="3019">
      <c r="A3019" s="2" t="inlineStr">
        <is>
          <t>C0587</t>
        </is>
      </c>
      <c r="B3019" s="2" t="inlineStr">
        <is>
          <t>Goa</t>
        </is>
      </c>
      <c r="C3019" s="2" t="inlineStr">
        <is>
          <t>Panaji</t>
        </is>
      </c>
      <c r="D3019" s="2" t="inlineStr">
        <is>
          <t>West</t>
        </is>
      </c>
    </row>
    <row r="3020">
      <c r="A3020" s="2" t="inlineStr">
        <is>
          <t>C0588</t>
        </is>
      </c>
      <c r="B3020" s="2" t="inlineStr">
        <is>
          <t>Bihar</t>
        </is>
      </c>
      <c r="C3020" s="2" t="inlineStr">
        <is>
          <t>Patna</t>
        </is>
      </c>
      <c r="D3020" s="2" t="inlineStr">
        <is>
          <t>East</t>
        </is>
      </c>
    </row>
    <row r="3021">
      <c r="A3021" s="2" t="inlineStr">
        <is>
          <t>C0588</t>
        </is>
      </c>
      <c r="B3021" s="2" t="inlineStr">
        <is>
          <t>Gujarat</t>
        </is>
      </c>
      <c r="C3021" s="2" t="inlineStr">
        <is>
          <t>Surat</t>
        </is>
      </c>
      <c r="D3021" s="2" t="inlineStr">
        <is>
          <t>West</t>
        </is>
      </c>
    </row>
    <row r="3022">
      <c r="A3022" s="2" t="inlineStr">
        <is>
          <t>C0588</t>
        </is>
      </c>
      <c r="B3022" s="2" t="inlineStr">
        <is>
          <t>Uttar Pradesh</t>
        </is>
      </c>
      <c r="C3022" s="2" t="inlineStr">
        <is>
          <t>Lucknow</t>
        </is>
      </c>
      <c r="D3022" s="2" t="inlineStr">
        <is>
          <t>North</t>
        </is>
      </c>
    </row>
    <row r="3023">
      <c r="A3023" s="2" t="inlineStr">
        <is>
          <t>C0589</t>
        </is>
      </c>
      <c r="B3023" s="2" t="inlineStr">
        <is>
          <t>Tamil Nadu</t>
        </is>
      </c>
      <c r="C3023" s="2" t="inlineStr">
        <is>
          <t>Madurai</t>
        </is>
      </c>
      <c r="D3023" s="2" t="inlineStr">
        <is>
          <t>South</t>
        </is>
      </c>
    </row>
    <row r="3024">
      <c r="A3024" s="2" t="inlineStr">
        <is>
          <t>C0589</t>
        </is>
      </c>
      <c r="B3024" s="2" t="inlineStr">
        <is>
          <t>Bihar</t>
        </is>
      </c>
      <c r="C3024" s="2" t="inlineStr">
        <is>
          <t>Gaya</t>
        </is>
      </c>
      <c r="D3024" s="2" t="inlineStr">
        <is>
          <t>East</t>
        </is>
      </c>
    </row>
    <row r="3025">
      <c r="A3025" s="2" t="inlineStr">
        <is>
          <t>C0589</t>
        </is>
      </c>
      <c r="B3025" s="2" t="inlineStr">
        <is>
          <t>Maharashtra</t>
        </is>
      </c>
      <c r="C3025" s="2" t="inlineStr">
        <is>
          <t>Pune</t>
        </is>
      </c>
      <c r="D3025" s="2" t="inlineStr">
        <is>
          <t>West</t>
        </is>
      </c>
    </row>
    <row r="3026">
      <c r="A3026" s="2" t="inlineStr">
        <is>
          <t>C0589</t>
        </is>
      </c>
      <c r="B3026" s="2" t="inlineStr">
        <is>
          <t>Haryana</t>
        </is>
      </c>
      <c r="C3026" s="2" t="inlineStr">
        <is>
          <t>Faridabad</t>
        </is>
      </c>
      <c r="D3026" s="2" t="inlineStr">
        <is>
          <t>North</t>
        </is>
      </c>
    </row>
    <row r="3027">
      <c r="A3027" s="2" t="inlineStr">
        <is>
          <t>C0589</t>
        </is>
      </c>
      <c r="B3027" s="2" t="inlineStr">
        <is>
          <t>Goa</t>
        </is>
      </c>
      <c r="C3027" s="2" t="inlineStr">
        <is>
          <t>Panaji</t>
        </is>
      </c>
      <c r="D3027" s="2" t="inlineStr">
        <is>
          <t>West</t>
        </is>
      </c>
    </row>
    <row r="3028">
      <c r="A3028" s="2" t="inlineStr">
        <is>
          <t>C0589</t>
        </is>
      </c>
      <c r="B3028" s="2" t="inlineStr">
        <is>
          <t>West Bengal</t>
        </is>
      </c>
      <c r="C3028" s="2" t="inlineStr">
        <is>
          <t>Durgapur</t>
        </is>
      </c>
      <c r="D3028" s="2" t="inlineStr">
        <is>
          <t>East</t>
        </is>
      </c>
    </row>
    <row r="3029">
      <c r="A3029" s="2" t="inlineStr">
        <is>
          <t>C0590</t>
        </is>
      </c>
      <c r="B3029" s="2" t="inlineStr">
        <is>
          <t>Goa</t>
        </is>
      </c>
      <c r="C3029" s="2" t="inlineStr">
        <is>
          <t>Margao</t>
        </is>
      </c>
      <c r="D3029" s="2" t="inlineStr">
        <is>
          <t>West</t>
        </is>
      </c>
    </row>
    <row r="3030">
      <c r="A3030" s="2" t="inlineStr">
        <is>
          <t>C0590</t>
        </is>
      </c>
      <c r="B3030" s="2" t="inlineStr">
        <is>
          <t>Telangana</t>
        </is>
      </c>
      <c r="C3030" s="2" t="inlineStr">
        <is>
          <t>Warangal</t>
        </is>
      </c>
      <c r="D3030" s="2" t="inlineStr">
        <is>
          <t>South</t>
        </is>
      </c>
    </row>
    <row r="3031">
      <c r="A3031" s="2" t="inlineStr">
        <is>
          <t>C0590</t>
        </is>
      </c>
      <c r="B3031" s="2" t="inlineStr">
        <is>
          <t>West Bengal</t>
        </is>
      </c>
      <c r="C3031" s="2" t="inlineStr">
        <is>
          <t>Durgapur</t>
        </is>
      </c>
      <c r="D3031" s="2" t="inlineStr">
        <is>
          <t>East</t>
        </is>
      </c>
    </row>
    <row r="3032">
      <c r="A3032" s="2" t="inlineStr">
        <is>
          <t>C0590</t>
        </is>
      </c>
      <c r="B3032" s="2" t="inlineStr">
        <is>
          <t>Tamil Nadu</t>
        </is>
      </c>
      <c r="C3032" s="2" t="inlineStr">
        <is>
          <t>Chennai</t>
        </is>
      </c>
      <c r="D3032" s="2" t="inlineStr">
        <is>
          <t>South</t>
        </is>
      </c>
    </row>
    <row r="3033">
      <c r="A3033" s="2" t="inlineStr">
        <is>
          <t>C0590</t>
        </is>
      </c>
      <c r="B3033" s="2" t="inlineStr">
        <is>
          <t>Maharashtra</t>
        </is>
      </c>
      <c r="C3033" s="2" t="inlineStr">
        <is>
          <t>Mumbai</t>
        </is>
      </c>
      <c r="D3033" s="2" t="inlineStr">
        <is>
          <t>West</t>
        </is>
      </c>
    </row>
    <row r="3034">
      <c r="A3034" s="2" t="inlineStr">
        <is>
          <t>C0590</t>
        </is>
      </c>
      <c r="B3034" s="2" t="inlineStr">
        <is>
          <t>Bihar</t>
        </is>
      </c>
      <c r="C3034" s="2" t="inlineStr">
        <is>
          <t>Patna</t>
        </is>
      </c>
      <c r="D3034" s="2" t="inlineStr">
        <is>
          <t>East</t>
        </is>
      </c>
    </row>
    <row r="3035">
      <c r="A3035" s="2" t="inlineStr">
        <is>
          <t>C0590</t>
        </is>
      </c>
      <c r="B3035" s="2" t="inlineStr">
        <is>
          <t>Kerala</t>
        </is>
      </c>
      <c r="C3035" s="2" t="inlineStr">
        <is>
          <t>Thiruvananthapuram</t>
        </is>
      </c>
      <c r="D3035" s="2" t="inlineStr">
        <is>
          <t>South</t>
        </is>
      </c>
    </row>
    <row r="3036">
      <c r="A3036" s="2" t="inlineStr">
        <is>
          <t>C0590</t>
        </is>
      </c>
      <c r="B3036" s="2" t="inlineStr">
        <is>
          <t>Gujarat</t>
        </is>
      </c>
      <c r="C3036" s="2" t="inlineStr">
        <is>
          <t>Vadodara</t>
        </is>
      </c>
      <c r="D3036" s="2" t="inlineStr">
        <is>
          <t>West</t>
        </is>
      </c>
    </row>
    <row r="3037">
      <c r="A3037" s="2" t="inlineStr">
        <is>
          <t>C0590</t>
        </is>
      </c>
      <c r="B3037" s="2" t="inlineStr">
        <is>
          <t>Uttar Pradesh</t>
        </is>
      </c>
      <c r="C3037" s="2" t="inlineStr">
        <is>
          <t>Kanpur</t>
        </is>
      </c>
      <c r="D3037" s="2" t="n">
        <v/>
      </c>
    </row>
    <row r="3038">
      <c r="A3038" s="2" t="inlineStr">
        <is>
          <t>C0590</t>
        </is>
      </c>
      <c r="B3038" s="2" t="inlineStr">
        <is>
          <t>Haryana</t>
        </is>
      </c>
      <c r="C3038" s="2" t="inlineStr">
        <is>
          <t>Faridabad</t>
        </is>
      </c>
      <c r="D3038" s="2" t="inlineStr">
        <is>
          <t>North</t>
        </is>
      </c>
    </row>
    <row r="3039">
      <c r="A3039" s="2" t="inlineStr">
        <is>
          <t>C0590</t>
        </is>
      </c>
      <c r="B3039" s="2" t="inlineStr">
        <is>
          <t>Gujarat</t>
        </is>
      </c>
      <c r="C3039" s="2" t="inlineStr">
        <is>
          <t>Surat</t>
        </is>
      </c>
      <c r="D3039" s="2" t="inlineStr">
        <is>
          <t>West</t>
        </is>
      </c>
    </row>
    <row r="3040">
      <c r="A3040" s="2" t="inlineStr">
        <is>
          <t>C0590</t>
        </is>
      </c>
      <c r="B3040" s="2" t="inlineStr">
        <is>
          <t>Maharashtra</t>
        </is>
      </c>
      <c r="C3040" s="2" t="inlineStr">
        <is>
          <t>Thane</t>
        </is>
      </c>
      <c r="D3040" s="2" t="inlineStr">
        <is>
          <t>West</t>
        </is>
      </c>
    </row>
    <row r="3041">
      <c r="A3041" s="2" t="inlineStr">
        <is>
          <t>C0590</t>
        </is>
      </c>
      <c r="B3041" s="2" t="inlineStr">
        <is>
          <t>Uttar Pradesh</t>
        </is>
      </c>
      <c r="C3041" s="2" t="inlineStr">
        <is>
          <t>Lucknow</t>
        </is>
      </c>
      <c r="D3041" s="2" t="inlineStr">
        <is>
          <t>North</t>
        </is>
      </c>
    </row>
    <row r="3042">
      <c r="A3042" s="2" t="inlineStr">
        <is>
          <t>C0590</t>
        </is>
      </c>
      <c r="B3042" s="2" t="inlineStr">
        <is>
          <t>Punjab</t>
        </is>
      </c>
      <c r="C3042" s="2" t="inlineStr">
        <is>
          <t>Jalandhar</t>
        </is>
      </c>
      <c r="D3042" s="2" t="inlineStr">
        <is>
          <t>North</t>
        </is>
      </c>
    </row>
    <row r="3043">
      <c r="A3043" s="2" t="inlineStr">
        <is>
          <t>C0590</t>
        </is>
      </c>
      <c r="B3043" s="2" t="inlineStr">
        <is>
          <t>Karnataka</t>
        </is>
      </c>
      <c r="C3043" s="2" t="inlineStr">
        <is>
          <t>Mangaluru</t>
        </is>
      </c>
      <c r="D3043" s="2" t="inlineStr">
        <is>
          <t>South</t>
        </is>
      </c>
    </row>
    <row r="3044">
      <c r="A3044" s="2" t="inlineStr">
        <is>
          <t>C0590</t>
        </is>
      </c>
      <c r="B3044" s="2" t="inlineStr">
        <is>
          <t>Telangana</t>
        </is>
      </c>
      <c r="C3044" s="2" t="inlineStr">
        <is>
          <t>Hyderabad</t>
        </is>
      </c>
      <c r="D3044" s="2" t="inlineStr">
        <is>
          <t>South</t>
        </is>
      </c>
    </row>
    <row r="3045">
      <c r="A3045" s="2" t="inlineStr">
        <is>
          <t>C0590</t>
        </is>
      </c>
      <c r="B3045" s="2" t="inlineStr">
        <is>
          <t>Goa</t>
        </is>
      </c>
      <c r="C3045" s="2" t="inlineStr">
        <is>
          <t>Panaji</t>
        </is>
      </c>
      <c r="D3045" s="2" t="inlineStr">
        <is>
          <t>West</t>
        </is>
      </c>
    </row>
    <row r="3046">
      <c r="A3046" s="2" t="inlineStr">
        <is>
          <t>C0591</t>
        </is>
      </c>
      <c r="B3046" s="2" t="inlineStr">
        <is>
          <t>Bihar</t>
        </is>
      </c>
      <c r="C3046" s="2" t="inlineStr">
        <is>
          <t>Patna</t>
        </is>
      </c>
      <c r="D3046" s="2" t="inlineStr">
        <is>
          <t>East</t>
        </is>
      </c>
    </row>
    <row r="3047">
      <c r="A3047" s="2" t="inlineStr">
        <is>
          <t>C0591</t>
        </is>
      </c>
      <c r="B3047" s="2" t="inlineStr">
        <is>
          <t>Delhi</t>
        </is>
      </c>
      <c r="C3047" s="2" t="inlineStr">
        <is>
          <t>New Delhi</t>
        </is>
      </c>
      <c r="D3047" s="2" t="inlineStr">
        <is>
          <t>North</t>
        </is>
      </c>
    </row>
    <row r="3048">
      <c r="A3048" s="2" t="inlineStr">
        <is>
          <t>C0591</t>
        </is>
      </c>
      <c r="B3048" s="2" t="inlineStr">
        <is>
          <t>Gujarat</t>
        </is>
      </c>
      <c r="C3048" s="2" t="inlineStr">
        <is>
          <t>Ahmedabad</t>
        </is>
      </c>
      <c r="D3048" s="2" t="inlineStr">
        <is>
          <t>West</t>
        </is>
      </c>
    </row>
    <row r="3049">
      <c r="A3049" s="2" t="inlineStr">
        <is>
          <t>C0592</t>
        </is>
      </c>
      <c r="B3049" s="2" t="inlineStr">
        <is>
          <t>Delhi</t>
        </is>
      </c>
      <c r="C3049" s="2" t="inlineStr">
        <is>
          <t>New Delhi</t>
        </is>
      </c>
      <c r="D3049" s="2" t="inlineStr">
        <is>
          <t>North</t>
        </is>
      </c>
    </row>
    <row r="3050">
      <c r="A3050" s="2" t="inlineStr">
        <is>
          <t>C0592</t>
        </is>
      </c>
      <c r="B3050" s="2" t="inlineStr">
        <is>
          <t>Telangana</t>
        </is>
      </c>
      <c r="C3050" s="2" t="inlineStr">
        <is>
          <t>Hyderabad</t>
        </is>
      </c>
      <c r="D3050" s="2" t="inlineStr">
        <is>
          <t>South</t>
        </is>
      </c>
    </row>
    <row r="3051">
      <c r="A3051" s="2" t="inlineStr">
        <is>
          <t>C0593</t>
        </is>
      </c>
      <c r="B3051" s="2" t="inlineStr">
        <is>
          <t>Kerala</t>
        </is>
      </c>
      <c r="C3051" s="2" t="inlineStr">
        <is>
          <t>Thiruvananthapuram</t>
        </is>
      </c>
      <c r="D3051" s="2" t="inlineStr">
        <is>
          <t>South</t>
        </is>
      </c>
    </row>
    <row r="3052">
      <c r="A3052" s="2" t="inlineStr">
        <is>
          <t>C0593</t>
        </is>
      </c>
      <c r="B3052" s="2" t="inlineStr">
        <is>
          <t>Odisha</t>
        </is>
      </c>
      <c r="C3052" s="2" t="inlineStr">
        <is>
          <t>Cuttack</t>
        </is>
      </c>
      <c r="D3052" s="2" t="inlineStr">
        <is>
          <t>East</t>
        </is>
      </c>
    </row>
    <row r="3053">
      <c r="A3053" s="2" t="inlineStr">
        <is>
          <t>C0593</t>
        </is>
      </c>
      <c r="B3053" s="2" t="inlineStr">
        <is>
          <t>Bihar</t>
        </is>
      </c>
      <c r="C3053" s="2" t="inlineStr">
        <is>
          <t>Patna</t>
        </is>
      </c>
      <c r="D3053" s="2" t="inlineStr">
        <is>
          <t>East</t>
        </is>
      </c>
    </row>
    <row r="3054">
      <c r="A3054" s="2" t="inlineStr">
        <is>
          <t>C0594</t>
        </is>
      </c>
      <c r="B3054" s="2" t="inlineStr">
        <is>
          <t>Odisha</t>
        </is>
      </c>
      <c r="C3054" s="2" t="inlineStr">
        <is>
          <t>Bhubaneswar</t>
        </is>
      </c>
      <c r="D3054" s="2" t="inlineStr">
        <is>
          <t>East</t>
        </is>
      </c>
    </row>
    <row r="3055">
      <c r="A3055" s="2" t="inlineStr">
        <is>
          <t>C0594</t>
        </is>
      </c>
      <c r="B3055" s="2" t="inlineStr">
        <is>
          <t>Haryana</t>
        </is>
      </c>
      <c r="C3055" s="2" t="inlineStr">
        <is>
          <t>Gurugram</t>
        </is>
      </c>
      <c r="D3055" s="2" t="inlineStr">
        <is>
          <t>North</t>
        </is>
      </c>
    </row>
    <row r="3056">
      <c r="A3056" s="2" t="inlineStr">
        <is>
          <t>C0594</t>
        </is>
      </c>
      <c r="B3056" s="2" t="inlineStr">
        <is>
          <t>Maharashtra</t>
        </is>
      </c>
      <c r="C3056" s="2" t="inlineStr">
        <is>
          <t>Nashik</t>
        </is>
      </c>
      <c r="D3056" s="2" t="inlineStr">
        <is>
          <t>West</t>
        </is>
      </c>
    </row>
    <row r="3057">
      <c r="A3057" s="2" t="inlineStr">
        <is>
          <t>C0594</t>
        </is>
      </c>
      <c r="B3057" s="2" t="inlineStr">
        <is>
          <t>Goa</t>
        </is>
      </c>
      <c r="C3057" s="2" t="inlineStr">
        <is>
          <t>Panaji</t>
        </is>
      </c>
      <c r="D3057" s="2" t="inlineStr">
        <is>
          <t>West</t>
        </is>
      </c>
    </row>
    <row r="3058">
      <c r="A3058" s="2" t="inlineStr">
        <is>
          <t>C0594</t>
        </is>
      </c>
      <c r="B3058" s="2" t="inlineStr">
        <is>
          <t>Kerala</t>
        </is>
      </c>
      <c r="C3058" s="2" t="inlineStr">
        <is>
          <t>Kochi</t>
        </is>
      </c>
      <c r="D3058" s="2" t="inlineStr">
        <is>
          <t>South</t>
        </is>
      </c>
    </row>
    <row r="3059">
      <c r="A3059" s="2" t="inlineStr">
        <is>
          <t>C0594</t>
        </is>
      </c>
      <c r="B3059" s="2" t="inlineStr">
        <is>
          <t>Uttar Pradesh</t>
        </is>
      </c>
      <c r="C3059" s="2" t="inlineStr">
        <is>
          <t>Varanasi</t>
        </is>
      </c>
      <c r="D3059" s="2" t="inlineStr">
        <is>
          <t>North</t>
        </is>
      </c>
    </row>
    <row r="3060">
      <c r="A3060" s="2" t="inlineStr">
        <is>
          <t>C0595</t>
        </is>
      </c>
      <c r="B3060" s="2" t="inlineStr">
        <is>
          <t>Kerala</t>
        </is>
      </c>
      <c r="C3060" s="2" t="inlineStr">
        <is>
          <t>Thiruvananthapuram</t>
        </is>
      </c>
      <c r="D3060" s="2" t="inlineStr">
        <is>
          <t>South</t>
        </is>
      </c>
    </row>
    <row r="3061">
      <c r="A3061" s="2" t="inlineStr">
        <is>
          <t>C0595</t>
        </is>
      </c>
      <c r="B3061" s="2" t="inlineStr">
        <is>
          <t>Karnataka</t>
        </is>
      </c>
      <c r="C3061" s="2" t="inlineStr">
        <is>
          <t>Mangaluru</t>
        </is>
      </c>
      <c r="D3061" s="2" t="inlineStr">
        <is>
          <t>South</t>
        </is>
      </c>
    </row>
    <row r="3062">
      <c r="A3062" s="2" t="inlineStr">
        <is>
          <t>C0595</t>
        </is>
      </c>
      <c r="B3062" s="2" t="inlineStr">
        <is>
          <t>Delhi</t>
        </is>
      </c>
      <c r="C3062" s="2" t="inlineStr">
        <is>
          <t>New Delhi</t>
        </is>
      </c>
      <c r="D3062" s="2" t="inlineStr">
        <is>
          <t>North</t>
        </is>
      </c>
    </row>
    <row r="3063">
      <c r="A3063" s="2" t="inlineStr">
        <is>
          <t>C0595</t>
        </is>
      </c>
      <c r="B3063" s="2" t="inlineStr">
        <is>
          <t>Punjab</t>
        </is>
      </c>
      <c r="C3063" s="2" t="inlineStr">
        <is>
          <t>Amritsar</t>
        </is>
      </c>
      <c r="D3063" s="2" t="inlineStr">
        <is>
          <t>North</t>
        </is>
      </c>
    </row>
    <row r="3064">
      <c r="A3064" s="2" t="inlineStr">
        <is>
          <t>C0595</t>
        </is>
      </c>
      <c r="B3064" s="2" t="inlineStr">
        <is>
          <t>Gujarat</t>
        </is>
      </c>
      <c r="C3064" s="2" t="inlineStr">
        <is>
          <t>Surat</t>
        </is>
      </c>
      <c r="D3064" s="2" t="inlineStr">
        <is>
          <t>West</t>
        </is>
      </c>
    </row>
    <row r="3065">
      <c r="A3065" s="2" t="inlineStr">
        <is>
          <t>C0595</t>
        </is>
      </c>
      <c r="B3065" s="2" t="inlineStr">
        <is>
          <t>West Bengal</t>
        </is>
      </c>
      <c r="C3065" s="2" t="inlineStr">
        <is>
          <t>Kolkata</t>
        </is>
      </c>
      <c r="D3065" s="2" t="inlineStr">
        <is>
          <t>East</t>
        </is>
      </c>
    </row>
    <row r="3066">
      <c r="A3066" s="2" t="inlineStr">
        <is>
          <t>C0596</t>
        </is>
      </c>
      <c r="B3066" s="2" t="inlineStr">
        <is>
          <t>Odisha</t>
        </is>
      </c>
      <c r="C3066" s="2" t="inlineStr">
        <is>
          <t>Bhubaneswar</t>
        </is>
      </c>
      <c r="D3066" s="2" t="inlineStr">
        <is>
          <t>East</t>
        </is>
      </c>
    </row>
    <row r="3067">
      <c r="A3067" s="2" t="inlineStr">
        <is>
          <t>C0596</t>
        </is>
      </c>
      <c r="B3067" s="2" t="inlineStr">
        <is>
          <t>Goa</t>
        </is>
      </c>
      <c r="C3067" s="2" t="inlineStr">
        <is>
          <t>Margao</t>
        </is>
      </c>
      <c r="D3067" s="2" t="inlineStr">
        <is>
          <t>West</t>
        </is>
      </c>
    </row>
    <row r="3068">
      <c r="A3068" s="2" t="inlineStr">
        <is>
          <t>C0597</t>
        </is>
      </c>
      <c r="B3068" s="2" t="inlineStr">
        <is>
          <t>Haryana</t>
        </is>
      </c>
      <c r="C3068" s="2" t="inlineStr">
        <is>
          <t>Gurugram</t>
        </is>
      </c>
      <c r="D3068" s="2" t="inlineStr">
        <is>
          <t>North</t>
        </is>
      </c>
    </row>
    <row r="3069">
      <c r="A3069" s="2" t="inlineStr">
        <is>
          <t>C0597</t>
        </is>
      </c>
      <c r="B3069" s="2" t="inlineStr">
        <is>
          <t>Goa</t>
        </is>
      </c>
      <c r="C3069" s="2" t="inlineStr">
        <is>
          <t>Margao</t>
        </is>
      </c>
      <c r="D3069" s="2" t="inlineStr">
        <is>
          <t>West</t>
        </is>
      </c>
    </row>
    <row r="3070">
      <c r="A3070" s="2" t="inlineStr">
        <is>
          <t>C0597</t>
        </is>
      </c>
      <c r="B3070" s="2" t="inlineStr">
        <is>
          <t>West Bengal</t>
        </is>
      </c>
      <c r="C3070" s="2" t="inlineStr">
        <is>
          <t>Durgapur</t>
        </is>
      </c>
      <c r="D3070" s="2" t="inlineStr">
        <is>
          <t>East</t>
        </is>
      </c>
    </row>
    <row r="3071">
      <c r="A3071" s="2" t="inlineStr">
        <is>
          <t>C0597</t>
        </is>
      </c>
      <c r="B3071" s="2" t="inlineStr">
        <is>
          <t>Uttar Pradesh</t>
        </is>
      </c>
      <c r="C3071" s="2" t="inlineStr">
        <is>
          <t>Kanpur</t>
        </is>
      </c>
      <c r="D3071" s="2" t="inlineStr">
        <is>
          <t>North</t>
        </is>
      </c>
    </row>
    <row r="3072">
      <c r="A3072" s="2" t="inlineStr">
        <is>
          <t>C0597</t>
        </is>
      </c>
      <c r="B3072" s="2" t="inlineStr">
        <is>
          <t>Kerala</t>
        </is>
      </c>
      <c r="C3072" s="2" t="inlineStr">
        <is>
          <t>Kochi</t>
        </is>
      </c>
      <c r="D3072" s="2" t="inlineStr">
        <is>
          <t>South</t>
        </is>
      </c>
    </row>
    <row r="3073">
      <c r="A3073" s="2" t="inlineStr">
        <is>
          <t>C0597</t>
        </is>
      </c>
      <c r="B3073" s="2" t="inlineStr">
        <is>
          <t>West Bengal</t>
        </is>
      </c>
      <c r="C3073" s="2" t="inlineStr">
        <is>
          <t>Kolkata</t>
        </is>
      </c>
      <c r="D3073" s="2" t="inlineStr">
        <is>
          <t>East</t>
        </is>
      </c>
    </row>
    <row r="3074">
      <c r="A3074" s="2" t="inlineStr">
        <is>
          <t>C0597</t>
        </is>
      </c>
      <c r="B3074" s="2" t="inlineStr">
        <is>
          <t>Odisha</t>
        </is>
      </c>
      <c r="C3074" s="2" t="inlineStr">
        <is>
          <t>Bhubaneswar</t>
        </is>
      </c>
      <c r="D3074" s="2" t="inlineStr">
        <is>
          <t>East</t>
        </is>
      </c>
    </row>
    <row r="3075">
      <c r="A3075" s="2" t="inlineStr">
        <is>
          <t>C0597</t>
        </is>
      </c>
      <c r="B3075" s="2" t="inlineStr">
        <is>
          <t>Gujarat</t>
        </is>
      </c>
      <c r="C3075" s="2" t="inlineStr">
        <is>
          <t>Surat</t>
        </is>
      </c>
      <c r="D3075" s="2" t="inlineStr">
        <is>
          <t>West</t>
        </is>
      </c>
    </row>
    <row r="3076">
      <c r="A3076" s="2" t="inlineStr">
        <is>
          <t>C0597</t>
        </is>
      </c>
      <c r="B3076" s="2" t="inlineStr">
        <is>
          <t>Gujarat</t>
        </is>
      </c>
      <c r="C3076" s="2" t="inlineStr">
        <is>
          <t>Vadodara</t>
        </is>
      </c>
      <c r="D3076" s="2" t="inlineStr">
        <is>
          <t>West</t>
        </is>
      </c>
    </row>
    <row r="3077">
      <c r="A3077" s="2" t="inlineStr">
        <is>
          <t>C0597</t>
        </is>
      </c>
      <c r="B3077" s="2" t="inlineStr">
        <is>
          <t>Tamil Nadu</t>
        </is>
      </c>
      <c r="C3077" s="2" t="inlineStr">
        <is>
          <t>Chennai</t>
        </is>
      </c>
      <c r="D3077" s="2" t="inlineStr">
        <is>
          <t>South</t>
        </is>
      </c>
    </row>
    <row r="3078">
      <c r="A3078" s="2" t="inlineStr">
        <is>
          <t>C0597</t>
        </is>
      </c>
      <c r="B3078" s="2" t="inlineStr">
        <is>
          <t>Maharashtra</t>
        </is>
      </c>
      <c r="C3078" s="2" t="inlineStr">
        <is>
          <t>Thane</t>
        </is>
      </c>
      <c r="D3078" s="2" t="inlineStr">
        <is>
          <t>West</t>
        </is>
      </c>
    </row>
    <row r="3079">
      <c r="A3079" s="2" t="inlineStr">
        <is>
          <t>C0597</t>
        </is>
      </c>
      <c r="B3079" s="2" t="inlineStr">
        <is>
          <t>Telangana</t>
        </is>
      </c>
      <c r="C3079" s="2" t="inlineStr">
        <is>
          <t>Warangal</t>
        </is>
      </c>
      <c r="D3079" s="2" t="inlineStr">
        <is>
          <t>South</t>
        </is>
      </c>
    </row>
    <row r="3080">
      <c r="A3080" s="2" t="inlineStr">
        <is>
          <t>C0597</t>
        </is>
      </c>
      <c r="B3080" s="2" t="inlineStr">
        <is>
          <t>Maharashtra</t>
        </is>
      </c>
      <c r="C3080" s="2" t="inlineStr">
        <is>
          <t>Nashik</t>
        </is>
      </c>
      <c r="D3080" s="2" t="inlineStr">
        <is>
          <t>West</t>
        </is>
      </c>
    </row>
    <row r="3081">
      <c r="A3081" s="2" t="inlineStr">
        <is>
          <t>C0597</t>
        </is>
      </c>
      <c r="B3081" s="2" t="inlineStr">
        <is>
          <t>Uttar Pradesh</t>
        </is>
      </c>
      <c r="C3081" s="2" t="inlineStr">
        <is>
          <t>Noida</t>
        </is>
      </c>
      <c r="D3081" s="2" t="inlineStr">
        <is>
          <t>North</t>
        </is>
      </c>
    </row>
    <row r="3082">
      <c r="A3082" s="2" t="inlineStr">
        <is>
          <t>C0597</t>
        </is>
      </c>
      <c r="B3082" s="2" t="inlineStr">
        <is>
          <t>Delhi</t>
        </is>
      </c>
      <c r="C3082" s="2" t="inlineStr">
        <is>
          <t>New Delhi</t>
        </is>
      </c>
      <c r="D3082" s="2" t="inlineStr">
        <is>
          <t>North</t>
        </is>
      </c>
    </row>
    <row r="3083">
      <c r="A3083" s="2" t="inlineStr">
        <is>
          <t>C0597</t>
        </is>
      </c>
      <c r="B3083" s="2" t="inlineStr">
        <is>
          <t>Haryana</t>
        </is>
      </c>
      <c r="C3083" s="2" t="inlineStr">
        <is>
          <t>Faridabad</t>
        </is>
      </c>
      <c r="D3083" s="2" t="inlineStr">
        <is>
          <t>North</t>
        </is>
      </c>
    </row>
    <row r="3084">
      <c r="A3084" s="2" t="inlineStr">
        <is>
          <t>C0598</t>
        </is>
      </c>
      <c r="B3084" s="2" t="inlineStr">
        <is>
          <t>Punjab</t>
        </is>
      </c>
      <c r="C3084" s="2" t="inlineStr">
        <is>
          <t>Jalandhar</t>
        </is>
      </c>
      <c r="D3084" s="2" t="inlineStr">
        <is>
          <t>North</t>
        </is>
      </c>
    </row>
    <row r="3085">
      <c r="A3085" s="2" t="inlineStr">
        <is>
          <t>C0598</t>
        </is>
      </c>
      <c r="B3085" s="2" t="inlineStr">
        <is>
          <t>Delhi</t>
        </is>
      </c>
      <c r="C3085" s="2" t="inlineStr">
        <is>
          <t>New Delhi</t>
        </is>
      </c>
      <c r="D3085" s="2" t="inlineStr">
        <is>
          <t>North</t>
        </is>
      </c>
    </row>
    <row r="3086">
      <c r="A3086" s="2" t="inlineStr">
        <is>
          <t>C0599</t>
        </is>
      </c>
      <c r="B3086" s="2" t="inlineStr">
        <is>
          <t>Gujarat</t>
        </is>
      </c>
      <c r="C3086" s="2" t="inlineStr">
        <is>
          <t>Vadodara</t>
        </is>
      </c>
      <c r="D3086" s="2" t="inlineStr">
        <is>
          <t>West</t>
        </is>
      </c>
    </row>
    <row r="3087">
      <c r="A3087" s="2" t="inlineStr">
        <is>
          <t>C0599</t>
        </is>
      </c>
      <c r="B3087" s="2" t="inlineStr">
        <is>
          <t>Uttar Pradesh</t>
        </is>
      </c>
      <c r="C3087" s="2" t="inlineStr">
        <is>
          <t>Kanpur</t>
        </is>
      </c>
      <c r="D3087" s="2" t="inlineStr">
        <is>
          <t>North</t>
        </is>
      </c>
    </row>
    <row r="3088">
      <c r="A3088" s="2" t="inlineStr">
        <is>
          <t>C0599</t>
        </is>
      </c>
      <c r="B3088" s="2" t="inlineStr">
        <is>
          <t>Karnataka</t>
        </is>
      </c>
      <c r="C3088" s="2" t="inlineStr">
        <is>
          <t>Mysuru</t>
        </is>
      </c>
      <c r="D3088" s="2" t="inlineStr">
        <is>
          <t>South</t>
        </is>
      </c>
    </row>
    <row r="3089">
      <c r="A3089" s="2" t="inlineStr">
        <is>
          <t>C0599</t>
        </is>
      </c>
      <c r="B3089" s="2" t="inlineStr">
        <is>
          <t>Kerala</t>
        </is>
      </c>
      <c r="C3089" s="2" t="inlineStr">
        <is>
          <t>Kochi</t>
        </is>
      </c>
      <c r="D3089" s="2" t="inlineStr">
        <is>
          <t>South</t>
        </is>
      </c>
    </row>
    <row r="3090">
      <c r="A3090" s="2" t="inlineStr">
        <is>
          <t>C0599</t>
        </is>
      </c>
      <c r="B3090" s="2" t="inlineStr">
        <is>
          <t>Haryana</t>
        </is>
      </c>
      <c r="C3090" s="2" t="inlineStr">
        <is>
          <t>Gurugram</t>
        </is>
      </c>
      <c r="D3090" s="2" t="inlineStr">
        <is>
          <t>North</t>
        </is>
      </c>
    </row>
    <row r="3091">
      <c r="A3091" s="2" t="inlineStr">
        <is>
          <t>C0599</t>
        </is>
      </c>
      <c r="B3091" s="2" t="inlineStr">
        <is>
          <t>Telangana</t>
        </is>
      </c>
      <c r="C3091" s="2" t="inlineStr">
        <is>
          <t>Warangal</t>
        </is>
      </c>
      <c r="D3091" s="2" t="inlineStr">
        <is>
          <t>South</t>
        </is>
      </c>
    </row>
    <row r="3092">
      <c r="A3092" s="2" t="inlineStr">
        <is>
          <t>C0599</t>
        </is>
      </c>
      <c r="B3092" s="2" t="inlineStr">
        <is>
          <t>Kerala</t>
        </is>
      </c>
      <c r="C3092" s="2" t="inlineStr">
        <is>
          <t>Thiruvananthapuram</t>
        </is>
      </c>
      <c r="D3092" s="2" t="inlineStr">
        <is>
          <t>South</t>
        </is>
      </c>
    </row>
    <row r="3093">
      <c r="A3093" s="2" t="inlineStr">
        <is>
          <t>C0599</t>
        </is>
      </c>
      <c r="B3093" s="2" t="inlineStr">
        <is>
          <t>Delhi</t>
        </is>
      </c>
      <c r="C3093" s="2" t="inlineStr">
        <is>
          <t>New Delhi</t>
        </is>
      </c>
      <c r="D3093" s="2" t="inlineStr">
        <is>
          <t>North</t>
        </is>
      </c>
    </row>
    <row r="3094">
      <c r="A3094" s="2" t="inlineStr">
        <is>
          <t>C0599</t>
        </is>
      </c>
      <c r="B3094" s="2" t="inlineStr">
        <is>
          <t>Tamil Nadu</t>
        </is>
      </c>
      <c r="C3094" s="2" t="inlineStr">
        <is>
          <t>Chennai</t>
        </is>
      </c>
      <c r="D3094" s="2" t="inlineStr">
        <is>
          <t>South</t>
        </is>
      </c>
    </row>
    <row r="3095">
      <c r="A3095" s="2" t="inlineStr">
        <is>
          <t>C0599</t>
        </is>
      </c>
      <c r="B3095" s="2" t="inlineStr">
        <is>
          <t>Haryana</t>
        </is>
      </c>
      <c r="C3095" s="2" t="inlineStr">
        <is>
          <t>Faridabad</t>
        </is>
      </c>
      <c r="D3095" s="2" t="inlineStr">
        <is>
          <t>North</t>
        </is>
      </c>
    </row>
    <row r="3096">
      <c r="A3096" s="2" t="inlineStr">
        <is>
          <t>C0599</t>
        </is>
      </c>
      <c r="B3096" s="2" t="inlineStr">
        <is>
          <t>Uttar Pradesh</t>
        </is>
      </c>
      <c r="C3096" s="2" t="inlineStr">
        <is>
          <t>Varanasi</t>
        </is>
      </c>
      <c r="D3096" s="2" t="inlineStr">
        <is>
          <t>North</t>
        </is>
      </c>
    </row>
    <row r="3097">
      <c r="A3097" s="2" t="inlineStr">
        <is>
          <t>C0599</t>
        </is>
      </c>
      <c r="B3097" s="2" t="inlineStr">
        <is>
          <t>Telangana</t>
        </is>
      </c>
      <c r="C3097" s="2" t="inlineStr">
        <is>
          <t>Hyderabad</t>
        </is>
      </c>
      <c r="D3097" s="2" t="inlineStr">
        <is>
          <t>South</t>
        </is>
      </c>
    </row>
    <row r="3098">
      <c r="A3098" s="2" t="inlineStr">
        <is>
          <t>C0599</t>
        </is>
      </c>
      <c r="B3098" s="2" t="inlineStr">
        <is>
          <t>Bihar</t>
        </is>
      </c>
      <c r="C3098" s="2" t="inlineStr">
        <is>
          <t>Patna</t>
        </is>
      </c>
      <c r="D3098" s="2" t="inlineStr">
        <is>
          <t>East</t>
        </is>
      </c>
    </row>
    <row r="3099">
      <c r="A3099" s="2" t="inlineStr">
        <is>
          <t>C0599</t>
        </is>
      </c>
      <c r="B3099" s="2" t="inlineStr">
        <is>
          <t>Maharashtra</t>
        </is>
      </c>
      <c r="C3099" s="2" t="inlineStr">
        <is>
          <t>Mumbai</t>
        </is>
      </c>
      <c r="D3099" s="2" t="inlineStr">
        <is>
          <t>West</t>
        </is>
      </c>
    </row>
    <row r="3100">
      <c r="A3100" s="2" t="inlineStr">
        <is>
          <t>C0599</t>
        </is>
      </c>
      <c r="B3100" s="2" t="inlineStr">
        <is>
          <t>Maharashtra</t>
        </is>
      </c>
      <c r="C3100" s="2" t="inlineStr">
        <is>
          <t>Nashik</t>
        </is>
      </c>
      <c r="D3100" s="2" t="inlineStr">
        <is>
          <t>West</t>
        </is>
      </c>
    </row>
    <row r="3101">
      <c r="A3101" s="2" t="inlineStr">
        <is>
          <t>C0599</t>
        </is>
      </c>
      <c r="B3101" s="2" t="inlineStr">
        <is>
          <t>Gujarat</t>
        </is>
      </c>
      <c r="C3101" s="2" t="inlineStr">
        <is>
          <t>Ahmedabad</t>
        </is>
      </c>
      <c r="D3101" s="2" t="inlineStr">
        <is>
          <t>West</t>
        </is>
      </c>
    </row>
    <row r="3102">
      <c r="A3102" s="2" t="inlineStr">
        <is>
          <t>C0600</t>
        </is>
      </c>
      <c r="B3102" s="2" t="inlineStr">
        <is>
          <t>Telangana</t>
        </is>
      </c>
      <c r="C3102" s="2" t="inlineStr">
        <is>
          <t>Warangal</t>
        </is>
      </c>
      <c r="D3102" s="2" t="inlineStr">
        <is>
          <t>South</t>
        </is>
      </c>
    </row>
    <row r="3103">
      <c r="A3103" s="2" t="inlineStr">
        <is>
          <t>C0602</t>
        </is>
      </c>
      <c r="B3103" s="2" t="inlineStr">
        <is>
          <t>Kerala</t>
        </is>
      </c>
      <c r="C3103" s="2" t="inlineStr">
        <is>
          <t>Thiruvananthapuram</t>
        </is>
      </c>
      <c r="D3103" s="2" t="inlineStr">
        <is>
          <t>South</t>
        </is>
      </c>
    </row>
    <row r="3104">
      <c r="A3104" s="2" t="inlineStr">
        <is>
          <t>C0602</t>
        </is>
      </c>
      <c r="B3104" s="2" t="inlineStr">
        <is>
          <t>Goa</t>
        </is>
      </c>
      <c r="C3104" s="2" t="inlineStr">
        <is>
          <t>Panaji</t>
        </is>
      </c>
      <c r="D3104" s="2" t="inlineStr">
        <is>
          <t>West</t>
        </is>
      </c>
    </row>
    <row r="3105">
      <c r="A3105" s="2" t="inlineStr">
        <is>
          <t>C0602</t>
        </is>
      </c>
      <c r="B3105" s="2" t="inlineStr">
        <is>
          <t>Delhi</t>
        </is>
      </c>
      <c r="C3105" s="2" t="inlineStr">
        <is>
          <t>New Delhi</t>
        </is>
      </c>
      <c r="D3105" s="2" t="inlineStr">
        <is>
          <t>North</t>
        </is>
      </c>
    </row>
    <row r="3106">
      <c r="A3106" s="2" t="inlineStr">
        <is>
          <t>C0602</t>
        </is>
      </c>
      <c r="B3106" s="2" t="inlineStr">
        <is>
          <t>Maharashtra</t>
        </is>
      </c>
      <c r="C3106" s="2" t="inlineStr">
        <is>
          <t>Thane</t>
        </is>
      </c>
      <c r="D3106" s="2" t="inlineStr">
        <is>
          <t>West</t>
        </is>
      </c>
    </row>
    <row r="3107">
      <c r="A3107" s="2" t="inlineStr">
        <is>
          <t>C0602</t>
        </is>
      </c>
      <c r="B3107" s="2" t="inlineStr">
        <is>
          <t>Maharashtra</t>
        </is>
      </c>
      <c r="C3107" s="2" t="inlineStr">
        <is>
          <t>Nashik</t>
        </is>
      </c>
      <c r="D3107" s="2" t="inlineStr">
        <is>
          <t>West</t>
        </is>
      </c>
    </row>
    <row r="3108">
      <c r="A3108" s="2" t="inlineStr">
        <is>
          <t>C0602</t>
        </is>
      </c>
      <c r="B3108" s="2" t="inlineStr">
        <is>
          <t>Gujarat</t>
        </is>
      </c>
      <c r="C3108" s="2" t="inlineStr">
        <is>
          <t>Vadodara</t>
        </is>
      </c>
      <c r="D3108" s="2" t="inlineStr">
        <is>
          <t>West</t>
        </is>
      </c>
    </row>
    <row r="3109">
      <c r="A3109" s="2" t="inlineStr">
        <is>
          <t>C0602</t>
        </is>
      </c>
      <c r="B3109" s="2" t="inlineStr">
        <is>
          <t>West Bengal</t>
        </is>
      </c>
      <c r="C3109" s="2" t="inlineStr">
        <is>
          <t>Durgapur</t>
        </is>
      </c>
      <c r="D3109" s="2" t="inlineStr">
        <is>
          <t>East</t>
        </is>
      </c>
    </row>
    <row r="3110">
      <c r="A3110" s="2" t="inlineStr">
        <is>
          <t>C0603</t>
        </is>
      </c>
      <c r="B3110" s="2" t="inlineStr">
        <is>
          <t>Uttar Pradesh</t>
        </is>
      </c>
      <c r="C3110" s="2" t="inlineStr">
        <is>
          <t>Kanpur</t>
        </is>
      </c>
      <c r="D3110" s="2" t="inlineStr">
        <is>
          <t>North</t>
        </is>
      </c>
    </row>
    <row r="3111">
      <c r="A3111" s="2" t="inlineStr">
        <is>
          <t>C0603</t>
        </is>
      </c>
      <c r="B3111" s="2" t="inlineStr">
        <is>
          <t>Tamil Nadu</t>
        </is>
      </c>
      <c r="C3111" s="2" t="inlineStr">
        <is>
          <t>Madurai</t>
        </is>
      </c>
      <c r="D3111" s="2" t="inlineStr">
        <is>
          <t>South</t>
        </is>
      </c>
    </row>
    <row r="3112">
      <c r="A3112" s="2" t="inlineStr">
        <is>
          <t>C0603</t>
        </is>
      </c>
      <c r="B3112" s="2" t="inlineStr">
        <is>
          <t>Haryana</t>
        </is>
      </c>
      <c r="C3112" s="2" t="inlineStr">
        <is>
          <t>Gurugram</t>
        </is>
      </c>
      <c r="D3112" s="2" t="inlineStr">
        <is>
          <t>North</t>
        </is>
      </c>
    </row>
    <row r="3113">
      <c r="A3113" s="2" t="inlineStr">
        <is>
          <t>C0604</t>
        </is>
      </c>
      <c r="B3113" s="2" t="inlineStr">
        <is>
          <t>Kerala</t>
        </is>
      </c>
      <c r="C3113" s="2" t="inlineStr">
        <is>
          <t>Thiruvananthapuram</t>
        </is>
      </c>
      <c r="D3113" s="2" t="inlineStr">
        <is>
          <t>South</t>
        </is>
      </c>
    </row>
    <row r="3114">
      <c r="A3114" s="2" t="inlineStr">
        <is>
          <t>C0604</t>
        </is>
      </c>
      <c r="B3114" s="2" t="inlineStr">
        <is>
          <t>Goa</t>
        </is>
      </c>
      <c r="C3114" s="2" t="inlineStr">
        <is>
          <t>Panaji</t>
        </is>
      </c>
      <c r="D3114" s="2" t="inlineStr">
        <is>
          <t>West</t>
        </is>
      </c>
    </row>
    <row r="3115">
      <c r="A3115" s="2" t="inlineStr">
        <is>
          <t>C0605</t>
        </is>
      </c>
      <c r="B3115" s="2" t="inlineStr">
        <is>
          <t>Tamil Nadu</t>
        </is>
      </c>
      <c r="C3115" s="2" t="inlineStr">
        <is>
          <t>Chennai</t>
        </is>
      </c>
      <c r="D3115" s="2" t="inlineStr">
        <is>
          <t>South</t>
        </is>
      </c>
    </row>
    <row r="3116">
      <c r="A3116" s="2" t="inlineStr">
        <is>
          <t>C0606</t>
        </is>
      </c>
      <c r="B3116" s="2" t="inlineStr">
        <is>
          <t>Punjab</t>
        </is>
      </c>
      <c r="C3116" s="2" t="inlineStr">
        <is>
          <t>Ludhiana</t>
        </is>
      </c>
      <c r="D3116" s="2" t="inlineStr">
        <is>
          <t>North</t>
        </is>
      </c>
    </row>
    <row r="3117">
      <c r="A3117" s="2" t="inlineStr">
        <is>
          <t>C0606</t>
        </is>
      </c>
      <c r="B3117" s="2" t="inlineStr">
        <is>
          <t>Bihar</t>
        </is>
      </c>
      <c r="C3117" s="2" t="inlineStr">
        <is>
          <t>Gaya</t>
        </is>
      </c>
      <c r="D3117" s="2" t="inlineStr">
        <is>
          <t>East</t>
        </is>
      </c>
    </row>
    <row r="3118">
      <c r="A3118" s="2" t="inlineStr">
        <is>
          <t>C0606</t>
        </is>
      </c>
      <c r="B3118" s="2" t="inlineStr">
        <is>
          <t>Gujarat</t>
        </is>
      </c>
      <c r="C3118" s="2" t="inlineStr">
        <is>
          <t>Vadodara</t>
        </is>
      </c>
      <c r="D3118" s="2" t="inlineStr">
        <is>
          <t>West</t>
        </is>
      </c>
    </row>
    <row r="3119">
      <c r="A3119" s="2" t="inlineStr">
        <is>
          <t>C0606</t>
        </is>
      </c>
      <c r="B3119" s="2" t="inlineStr">
        <is>
          <t>West Bengal</t>
        </is>
      </c>
      <c r="C3119" s="2" t="inlineStr">
        <is>
          <t>Kolkata</t>
        </is>
      </c>
      <c r="D3119" s="2" t="inlineStr">
        <is>
          <t>East</t>
        </is>
      </c>
    </row>
    <row r="3120">
      <c r="A3120" s="2" t="inlineStr">
        <is>
          <t>C0606</t>
        </is>
      </c>
      <c r="B3120" s="2" t="inlineStr">
        <is>
          <t>Kerala</t>
        </is>
      </c>
      <c r="C3120" s="2" t="inlineStr">
        <is>
          <t>Thiruvananthapuram</t>
        </is>
      </c>
      <c r="D3120" s="2" t="inlineStr">
        <is>
          <t>South</t>
        </is>
      </c>
    </row>
    <row r="3121">
      <c r="A3121" s="2" t="inlineStr">
        <is>
          <t>C0606</t>
        </is>
      </c>
      <c r="B3121" s="2" t="inlineStr">
        <is>
          <t>Goa</t>
        </is>
      </c>
      <c r="C3121" s="2" t="inlineStr">
        <is>
          <t>Margao</t>
        </is>
      </c>
      <c r="D3121" s="2" t="inlineStr">
        <is>
          <t>West</t>
        </is>
      </c>
    </row>
    <row r="3122">
      <c r="A3122" s="2" t="inlineStr">
        <is>
          <t>C0606</t>
        </is>
      </c>
      <c r="B3122" s="2" t="inlineStr">
        <is>
          <t>Maharashtra</t>
        </is>
      </c>
      <c r="C3122" s="2" t="inlineStr">
        <is>
          <t>Nagpur</t>
        </is>
      </c>
      <c r="D3122" s="2" t="inlineStr">
        <is>
          <t>West</t>
        </is>
      </c>
    </row>
    <row r="3123">
      <c r="A3123" s="2" t="inlineStr">
        <is>
          <t>C0606</t>
        </is>
      </c>
      <c r="B3123" s="2" t="inlineStr">
        <is>
          <t>Gujarat</t>
        </is>
      </c>
      <c r="C3123" s="2" t="inlineStr">
        <is>
          <t>Surat</t>
        </is>
      </c>
      <c r="D3123" s="2" t="inlineStr">
        <is>
          <t>West</t>
        </is>
      </c>
    </row>
    <row r="3124">
      <c r="A3124" s="2" t="inlineStr">
        <is>
          <t>C0606</t>
        </is>
      </c>
      <c r="B3124" s="2" t="inlineStr">
        <is>
          <t>Haryana</t>
        </is>
      </c>
      <c r="C3124" s="2" t="inlineStr">
        <is>
          <t>Gurugram</t>
        </is>
      </c>
      <c r="D3124" s="2" t="inlineStr">
        <is>
          <t>North</t>
        </is>
      </c>
    </row>
    <row r="3125">
      <c r="A3125" s="2" t="inlineStr">
        <is>
          <t>C0607</t>
        </is>
      </c>
      <c r="B3125" s="2" t="inlineStr">
        <is>
          <t>Odisha</t>
        </is>
      </c>
      <c r="C3125" s="2" t="inlineStr">
        <is>
          <t>Cuttack</t>
        </is>
      </c>
      <c r="D3125" s="2" t="inlineStr">
        <is>
          <t>East</t>
        </is>
      </c>
    </row>
    <row r="3126">
      <c r="A3126" s="2" t="inlineStr">
        <is>
          <t>C0607</t>
        </is>
      </c>
      <c r="B3126" s="2" t="inlineStr">
        <is>
          <t>Bihar</t>
        </is>
      </c>
      <c r="C3126" s="2" t="inlineStr">
        <is>
          <t>Gaya</t>
        </is>
      </c>
      <c r="D3126" s="2" t="inlineStr">
        <is>
          <t>East</t>
        </is>
      </c>
    </row>
    <row r="3127">
      <c r="A3127" s="2" t="inlineStr">
        <is>
          <t>C0607</t>
        </is>
      </c>
      <c r="B3127" s="2" t="inlineStr">
        <is>
          <t>Bihar</t>
        </is>
      </c>
      <c r="C3127" s="2" t="inlineStr">
        <is>
          <t>Patna</t>
        </is>
      </c>
      <c r="D3127" s="2" t="inlineStr">
        <is>
          <t>East</t>
        </is>
      </c>
    </row>
    <row r="3128">
      <c r="A3128" s="2" t="inlineStr">
        <is>
          <t>C0607</t>
        </is>
      </c>
      <c r="B3128" s="2" t="inlineStr">
        <is>
          <t>Goa</t>
        </is>
      </c>
      <c r="C3128" s="2" t="inlineStr">
        <is>
          <t>Panaji</t>
        </is>
      </c>
      <c r="D3128" s="2" t="inlineStr">
        <is>
          <t>West</t>
        </is>
      </c>
    </row>
    <row r="3129">
      <c r="A3129" s="2" t="inlineStr">
        <is>
          <t>C0607</t>
        </is>
      </c>
      <c r="B3129" s="2" t="inlineStr">
        <is>
          <t>Kerala</t>
        </is>
      </c>
      <c r="C3129" s="2" t="inlineStr">
        <is>
          <t>Kochi</t>
        </is>
      </c>
      <c r="D3129" s="2" t="inlineStr">
        <is>
          <t>South</t>
        </is>
      </c>
    </row>
    <row r="3130">
      <c r="A3130" s="2" t="inlineStr">
        <is>
          <t>C0607</t>
        </is>
      </c>
      <c r="B3130" s="2" t="inlineStr">
        <is>
          <t>Goa</t>
        </is>
      </c>
      <c r="C3130" s="2" t="inlineStr">
        <is>
          <t>Margao</t>
        </is>
      </c>
      <c r="D3130" s="2" t="inlineStr">
        <is>
          <t>West</t>
        </is>
      </c>
    </row>
    <row r="3131">
      <c r="A3131" s="2" t="inlineStr">
        <is>
          <t>C0607</t>
        </is>
      </c>
      <c r="B3131" s="2" t="inlineStr">
        <is>
          <t>West Bengal</t>
        </is>
      </c>
      <c r="C3131" s="2" t="inlineStr">
        <is>
          <t>Durgapur</t>
        </is>
      </c>
      <c r="D3131" s="2" t="inlineStr">
        <is>
          <t>East</t>
        </is>
      </c>
    </row>
    <row r="3132">
      <c r="A3132" s="2" t="inlineStr">
        <is>
          <t>C0607</t>
        </is>
      </c>
      <c r="B3132" s="2" t="inlineStr">
        <is>
          <t>Uttar Pradesh</t>
        </is>
      </c>
      <c r="C3132" s="2" t="inlineStr">
        <is>
          <t>Lucknow</t>
        </is>
      </c>
      <c r="D3132" s="2" t="inlineStr">
        <is>
          <t>North</t>
        </is>
      </c>
    </row>
    <row r="3133">
      <c r="A3133" s="2" t="inlineStr">
        <is>
          <t>C0607</t>
        </is>
      </c>
      <c r="B3133" s="2" t="inlineStr">
        <is>
          <t>Gujarat</t>
        </is>
      </c>
      <c r="C3133" s="2" t="inlineStr">
        <is>
          <t>Ahmedabad</t>
        </is>
      </c>
      <c r="D3133" s="2" t="inlineStr">
        <is>
          <t>West</t>
        </is>
      </c>
    </row>
    <row r="3134">
      <c r="A3134" s="2" t="inlineStr">
        <is>
          <t>C0607</t>
        </is>
      </c>
      <c r="B3134" s="2" t="inlineStr">
        <is>
          <t>Tamil Nadu</t>
        </is>
      </c>
      <c r="C3134" s="2" t="inlineStr">
        <is>
          <t>Chennai</t>
        </is>
      </c>
      <c r="D3134" s="2" t="inlineStr">
        <is>
          <t>South</t>
        </is>
      </c>
    </row>
    <row r="3135">
      <c r="A3135" s="2" t="inlineStr">
        <is>
          <t>C0608</t>
        </is>
      </c>
      <c r="B3135" s="2" t="inlineStr">
        <is>
          <t>Delhi</t>
        </is>
      </c>
      <c r="C3135" s="2" t="inlineStr">
        <is>
          <t>New Delhi</t>
        </is>
      </c>
      <c r="D3135" s="2" t="inlineStr">
        <is>
          <t>North</t>
        </is>
      </c>
    </row>
    <row r="3136">
      <c r="A3136" s="2" t="inlineStr">
        <is>
          <t>C0608</t>
        </is>
      </c>
      <c r="B3136" s="2" t="inlineStr">
        <is>
          <t>Maharashtra</t>
        </is>
      </c>
      <c r="C3136" s="2" t="inlineStr">
        <is>
          <t>Nagpur</t>
        </is>
      </c>
      <c r="D3136" s="2" t="inlineStr">
        <is>
          <t>West</t>
        </is>
      </c>
    </row>
    <row r="3137">
      <c r="A3137" s="2" t="inlineStr">
        <is>
          <t>C0608</t>
        </is>
      </c>
      <c r="B3137" s="2" t="inlineStr">
        <is>
          <t>Gujarat</t>
        </is>
      </c>
      <c r="C3137" s="2" t="inlineStr">
        <is>
          <t>Ahmedabad</t>
        </is>
      </c>
      <c r="D3137" s="2" t="inlineStr">
        <is>
          <t>West</t>
        </is>
      </c>
    </row>
    <row r="3138">
      <c r="A3138" s="2" t="inlineStr">
        <is>
          <t>C0608</t>
        </is>
      </c>
      <c r="B3138" s="2" t="inlineStr">
        <is>
          <t>Tamil Nadu</t>
        </is>
      </c>
      <c r="C3138" s="2" t="inlineStr">
        <is>
          <t>Chennai</t>
        </is>
      </c>
      <c r="D3138" s="2" t="inlineStr">
        <is>
          <t>South</t>
        </is>
      </c>
    </row>
    <row r="3139">
      <c r="A3139" s="2" t="inlineStr">
        <is>
          <t>C0608</t>
        </is>
      </c>
      <c r="B3139" s="2" t="inlineStr">
        <is>
          <t>Gujarat</t>
        </is>
      </c>
      <c r="C3139" s="2" t="inlineStr">
        <is>
          <t>Vadodara</t>
        </is>
      </c>
      <c r="D3139" s="2" t="inlineStr">
        <is>
          <t>West</t>
        </is>
      </c>
    </row>
    <row r="3140">
      <c r="A3140" s="2" t="inlineStr">
        <is>
          <t>C0609</t>
        </is>
      </c>
      <c r="B3140" s="2" t="inlineStr">
        <is>
          <t>Uttar Pradesh</t>
        </is>
      </c>
      <c r="C3140" s="2" t="inlineStr">
        <is>
          <t>Kanpur</t>
        </is>
      </c>
      <c r="D3140" s="2" t="inlineStr">
        <is>
          <t>North</t>
        </is>
      </c>
    </row>
    <row r="3141">
      <c r="A3141" s="2" t="inlineStr">
        <is>
          <t>C0609</t>
        </is>
      </c>
      <c r="B3141" s="2" t="inlineStr">
        <is>
          <t>Kerala</t>
        </is>
      </c>
      <c r="C3141" s="2" t="inlineStr">
        <is>
          <t>Thiruvananthapuram</t>
        </is>
      </c>
      <c r="D3141" s="2" t="inlineStr">
        <is>
          <t>South</t>
        </is>
      </c>
    </row>
    <row r="3142">
      <c r="A3142" s="2" t="inlineStr">
        <is>
          <t>C0609</t>
        </is>
      </c>
      <c r="B3142" s="2" t="inlineStr">
        <is>
          <t>Gujarat</t>
        </is>
      </c>
      <c r="C3142" s="2" t="inlineStr">
        <is>
          <t>Surat</t>
        </is>
      </c>
      <c r="D3142" s="2" t="inlineStr">
        <is>
          <t>West</t>
        </is>
      </c>
    </row>
    <row r="3143">
      <c r="A3143" s="2" t="inlineStr">
        <is>
          <t>C0609</t>
        </is>
      </c>
      <c r="B3143" s="2" t="inlineStr">
        <is>
          <t>Delhi</t>
        </is>
      </c>
      <c r="C3143" s="2" t="inlineStr">
        <is>
          <t>New Delhi</t>
        </is>
      </c>
      <c r="D3143" s="2" t="inlineStr">
        <is>
          <t>North</t>
        </is>
      </c>
    </row>
    <row r="3144">
      <c r="A3144" s="2" t="inlineStr">
        <is>
          <t>C0610</t>
        </is>
      </c>
      <c r="B3144" s="2" t="inlineStr">
        <is>
          <t>Karnataka</t>
        </is>
      </c>
      <c r="C3144" s="2" t="inlineStr">
        <is>
          <t>Mysuru</t>
        </is>
      </c>
      <c r="D3144" s="2" t="inlineStr">
        <is>
          <t>South</t>
        </is>
      </c>
    </row>
    <row r="3145">
      <c r="A3145" s="2" t="inlineStr">
        <is>
          <t>C0610</t>
        </is>
      </c>
      <c r="B3145" s="2" t="inlineStr">
        <is>
          <t>Goa</t>
        </is>
      </c>
      <c r="C3145" s="2" t="inlineStr">
        <is>
          <t>Panaji</t>
        </is>
      </c>
      <c r="D3145" s="2" t="inlineStr">
        <is>
          <t>West</t>
        </is>
      </c>
    </row>
    <row r="3146">
      <c r="A3146" s="2" t="inlineStr">
        <is>
          <t>C0610</t>
        </is>
      </c>
      <c r="B3146" s="2" t="inlineStr">
        <is>
          <t>Kerala</t>
        </is>
      </c>
      <c r="C3146" s="2" t="inlineStr">
        <is>
          <t>Kochi</t>
        </is>
      </c>
      <c r="D3146" s="2" t="inlineStr">
        <is>
          <t>South</t>
        </is>
      </c>
    </row>
    <row r="3147">
      <c r="A3147" s="2" t="inlineStr">
        <is>
          <t>C0610</t>
        </is>
      </c>
      <c r="B3147" s="2" t="inlineStr">
        <is>
          <t>Telangana</t>
        </is>
      </c>
      <c r="C3147" s="2" t="inlineStr">
        <is>
          <t>Hyderabad</t>
        </is>
      </c>
      <c r="D3147" s="2" t="inlineStr">
        <is>
          <t>South</t>
        </is>
      </c>
    </row>
    <row r="3148">
      <c r="A3148" s="2" t="inlineStr">
        <is>
          <t>C0610</t>
        </is>
      </c>
      <c r="B3148" s="2" t="inlineStr">
        <is>
          <t>Maharashtra</t>
        </is>
      </c>
      <c r="C3148" s="2" t="inlineStr">
        <is>
          <t>Thane</t>
        </is>
      </c>
      <c r="D3148" s="2" t="inlineStr">
        <is>
          <t>West</t>
        </is>
      </c>
    </row>
    <row r="3149">
      <c r="A3149" s="2" t="inlineStr">
        <is>
          <t>C0610</t>
        </is>
      </c>
      <c r="B3149" s="2" t="inlineStr">
        <is>
          <t>Goa</t>
        </is>
      </c>
      <c r="C3149" s="2" t="inlineStr">
        <is>
          <t>Margao</t>
        </is>
      </c>
      <c r="D3149" s="2" t="inlineStr">
        <is>
          <t>West</t>
        </is>
      </c>
    </row>
    <row r="3150">
      <c r="A3150" s="2" t="inlineStr">
        <is>
          <t>C0611</t>
        </is>
      </c>
      <c r="B3150" s="2" t="inlineStr">
        <is>
          <t>Telangana</t>
        </is>
      </c>
      <c r="C3150" s="2" t="inlineStr">
        <is>
          <t>Warangal</t>
        </is>
      </c>
      <c r="D3150" s="2" t="inlineStr">
        <is>
          <t>South</t>
        </is>
      </c>
    </row>
    <row r="3151">
      <c r="A3151" s="2" t="inlineStr">
        <is>
          <t>C0611</t>
        </is>
      </c>
      <c r="B3151" s="2" t="inlineStr">
        <is>
          <t>Kerala</t>
        </is>
      </c>
      <c r="C3151" s="2" t="inlineStr">
        <is>
          <t>Kochi</t>
        </is>
      </c>
      <c r="D3151" s="2" t="inlineStr">
        <is>
          <t>South</t>
        </is>
      </c>
    </row>
    <row r="3152">
      <c r="A3152" s="2" t="inlineStr">
        <is>
          <t>C0611</t>
        </is>
      </c>
      <c r="B3152" s="2" t="inlineStr">
        <is>
          <t>Goa</t>
        </is>
      </c>
      <c r="C3152" s="2" t="inlineStr">
        <is>
          <t>Panaji</t>
        </is>
      </c>
      <c r="D3152" s="2" t="inlineStr">
        <is>
          <t>West</t>
        </is>
      </c>
    </row>
    <row r="3153">
      <c r="A3153" s="2" t="inlineStr">
        <is>
          <t>C0611</t>
        </is>
      </c>
      <c r="B3153" s="2" t="inlineStr">
        <is>
          <t>Gujarat</t>
        </is>
      </c>
      <c r="C3153" s="2" t="inlineStr">
        <is>
          <t>Vadodara</t>
        </is>
      </c>
      <c r="D3153" s="2" t="inlineStr">
        <is>
          <t>West</t>
        </is>
      </c>
    </row>
    <row r="3154">
      <c r="A3154" s="2" t="inlineStr">
        <is>
          <t>C0611</t>
        </is>
      </c>
      <c r="B3154" s="2" t="inlineStr">
        <is>
          <t>Gujarat</t>
        </is>
      </c>
      <c r="C3154" s="2" t="inlineStr">
        <is>
          <t>Ahmedabad</t>
        </is>
      </c>
      <c r="D3154" s="2" t="inlineStr">
        <is>
          <t>West</t>
        </is>
      </c>
    </row>
    <row r="3155">
      <c r="A3155" s="2" t="inlineStr">
        <is>
          <t>C0613</t>
        </is>
      </c>
      <c r="B3155" s="2" t="inlineStr">
        <is>
          <t>Goa</t>
        </is>
      </c>
      <c r="C3155" s="2" t="inlineStr">
        <is>
          <t>Margao</t>
        </is>
      </c>
      <c r="D3155" s="2" t="inlineStr">
        <is>
          <t>West</t>
        </is>
      </c>
    </row>
    <row r="3156">
      <c r="A3156" s="2" t="inlineStr">
        <is>
          <t>C0614</t>
        </is>
      </c>
      <c r="B3156" s="2" t="inlineStr">
        <is>
          <t>Punjab</t>
        </is>
      </c>
      <c r="C3156" s="2" t="inlineStr">
        <is>
          <t>Ludhiana</t>
        </is>
      </c>
      <c r="D3156" s="2" t="inlineStr">
        <is>
          <t>North</t>
        </is>
      </c>
    </row>
    <row r="3157">
      <c r="A3157" s="2" t="inlineStr">
        <is>
          <t>C0614</t>
        </is>
      </c>
      <c r="B3157" s="2" t="inlineStr">
        <is>
          <t>Gujarat</t>
        </is>
      </c>
      <c r="C3157" s="2" t="inlineStr">
        <is>
          <t>Vadodara</t>
        </is>
      </c>
      <c r="D3157" s="2" t="inlineStr">
        <is>
          <t>West</t>
        </is>
      </c>
    </row>
    <row r="3158">
      <c r="A3158" s="2" t="inlineStr">
        <is>
          <t>C0614</t>
        </is>
      </c>
      <c r="B3158" s="2" t="inlineStr">
        <is>
          <t>Goa</t>
        </is>
      </c>
      <c r="C3158" s="2" t="inlineStr">
        <is>
          <t>Margao</t>
        </is>
      </c>
      <c r="D3158" s="2" t="inlineStr">
        <is>
          <t>West</t>
        </is>
      </c>
    </row>
    <row r="3159">
      <c r="A3159" s="2" t="inlineStr">
        <is>
          <t>C0615</t>
        </is>
      </c>
      <c r="B3159" s="2" t="inlineStr">
        <is>
          <t>Tamil Nadu</t>
        </is>
      </c>
      <c r="C3159" s="2" t="inlineStr">
        <is>
          <t>Chennai</t>
        </is>
      </c>
      <c r="D3159" s="2" t="inlineStr">
        <is>
          <t>South</t>
        </is>
      </c>
    </row>
    <row r="3160">
      <c r="A3160" s="2" t="inlineStr">
        <is>
          <t>C0615</t>
        </is>
      </c>
      <c r="B3160" s="2" t="inlineStr">
        <is>
          <t>Odisha</t>
        </is>
      </c>
      <c r="C3160" s="2" t="inlineStr">
        <is>
          <t>Cuttack</t>
        </is>
      </c>
      <c r="D3160" s="2" t="inlineStr">
        <is>
          <t>East</t>
        </is>
      </c>
    </row>
    <row r="3161">
      <c r="A3161" s="2" t="inlineStr">
        <is>
          <t>C0615</t>
        </is>
      </c>
      <c r="B3161" s="2" t="inlineStr">
        <is>
          <t>Uttar Pradesh</t>
        </is>
      </c>
      <c r="C3161" s="2" t="inlineStr">
        <is>
          <t>Noida</t>
        </is>
      </c>
      <c r="D3161" s="2" t="inlineStr">
        <is>
          <t>North</t>
        </is>
      </c>
    </row>
    <row r="3162">
      <c r="A3162" s="2" t="inlineStr">
        <is>
          <t>C0615</t>
        </is>
      </c>
      <c r="B3162" s="2" t="inlineStr">
        <is>
          <t>Karnataka</t>
        </is>
      </c>
      <c r="C3162" s="2" t="inlineStr">
        <is>
          <t>Mangaluru</t>
        </is>
      </c>
      <c r="D3162" s="2" t="inlineStr">
        <is>
          <t>South</t>
        </is>
      </c>
    </row>
    <row r="3163">
      <c r="A3163" s="2" t="inlineStr">
        <is>
          <t>C0615</t>
        </is>
      </c>
      <c r="B3163" s="2" t="inlineStr">
        <is>
          <t>Goa</t>
        </is>
      </c>
      <c r="C3163" s="2" t="inlineStr">
        <is>
          <t>Panaji</t>
        </is>
      </c>
      <c r="D3163" s="2" t="inlineStr">
        <is>
          <t>West</t>
        </is>
      </c>
    </row>
    <row r="3164">
      <c r="A3164" s="2" t="inlineStr">
        <is>
          <t>C0616</t>
        </is>
      </c>
      <c r="B3164" s="2" t="inlineStr">
        <is>
          <t>West Bengal</t>
        </is>
      </c>
      <c r="C3164" s="2" t="inlineStr">
        <is>
          <t>Durgapur</t>
        </is>
      </c>
      <c r="D3164" s="2" t="inlineStr">
        <is>
          <t>East</t>
        </is>
      </c>
    </row>
    <row r="3165">
      <c r="A3165" s="2" t="inlineStr">
        <is>
          <t>C0616</t>
        </is>
      </c>
      <c r="B3165" s="2" t="inlineStr">
        <is>
          <t>Maharashtra</t>
        </is>
      </c>
      <c r="C3165" s="2" t="inlineStr">
        <is>
          <t>Pune</t>
        </is>
      </c>
      <c r="D3165" s="2" t="inlineStr">
        <is>
          <t>West</t>
        </is>
      </c>
    </row>
    <row r="3166">
      <c r="A3166" s="2" t="inlineStr">
        <is>
          <t>C0616</t>
        </is>
      </c>
      <c r="B3166" s="2" t="inlineStr">
        <is>
          <t>Karnataka</t>
        </is>
      </c>
      <c r="C3166" s="2" t="inlineStr">
        <is>
          <t>Bengaluru</t>
        </is>
      </c>
      <c r="D3166" s="2" t="inlineStr">
        <is>
          <t>South</t>
        </is>
      </c>
    </row>
    <row r="3167">
      <c r="A3167" s="2" t="inlineStr">
        <is>
          <t>C0616</t>
        </is>
      </c>
      <c r="B3167" s="2" t="inlineStr">
        <is>
          <t>Delhi</t>
        </is>
      </c>
      <c r="C3167" s="2" t="inlineStr">
        <is>
          <t>New Delhi</t>
        </is>
      </c>
      <c r="D3167" s="2" t="inlineStr">
        <is>
          <t>North</t>
        </is>
      </c>
    </row>
    <row r="3168">
      <c r="A3168" s="2" t="inlineStr">
        <is>
          <t>C0616</t>
        </is>
      </c>
      <c r="B3168" s="2" t="inlineStr">
        <is>
          <t>Goa</t>
        </is>
      </c>
      <c r="C3168" s="2" t="inlineStr">
        <is>
          <t>Panaji</t>
        </is>
      </c>
      <c r="D3168" s="2" t="inlineStr">
        <is>
          <t>West</t>
        </is>
      </c>
    </row>
    <row r="3169">
      <c r="A3169" s="2" t="inlineStr">
        <is>
          <t>C0616</t>
        </is>
      </c>
      <c r="B3169" s="2" t="inlineStr">
        <is>
          <t>Punjab</t>
        </is>
      </c>
      <c r="C3169" s="2" t="inlineStr">
        <is>
          <t>Jalandhar</t>
        </is>
      </c>
      <c r="D3169" s="2" t="inlineStr">
        <is>
          <t>North</t>
        </is>
      </c>
    </row>
    <row r="3170">
      <c r="A3170" s="2" t="inlineStr">
        <is>
          <t>C0616</t>
        </is>
      </c>
      <c r="B3170" s="2" t="inlineStr">
        <is>
          <t>Uttar Pradesh</t>
        </is>
      </c>
      <c r="C3170" s="2" t="inlineStr">
        <is>
          <t>Kanpur</t>
        </is>
      </c>
      <c r="D3170" s="2" t="inlineStr">
        <is>
          <t>North</t>
        </is>
      </c>
    </row>
    <row r="3171">
      <c r="A3171" s="2" t="inlineStr">
        <is>
          <t>C0616</t>
        </is>
      </c>
      <c r="B3171" s="2" t="inlineStr">
        <is>
          <t>Gujarat</t>
        </is>
      </c>
      <c r="C3171" s="2" t="inlineStr">
        <is>
          <t>Surat</t>
        </is>
      </c>
      <c r="D3171" s="2" t="inlineStr">
        <is>
          <t>West</t>
        </is>
      </c>
    </row>
    <row r="3172">
      <c r="A3172" s="2" t="inlineStr">
        <is>
          <t>C0616</t>
        </is>
      </c>
      <c r="B3172" s="2" t="inlineStr">
        <is>
          <t>Karnataka</t>
        </is>
      </c>
      <c r="C3172" s="2" t="inlineStr">
        <is>
          <t>Mysuru</t>
        </is>
      </c>
      <c r="D3172" s="2" t="inlineStr">
        <is>
          <t>South</t>
        </is>
      </c>
    </row>
    <row r="3173">
      <c r="A3173" s="2" t="inlineStr">
        <is>
          <t>C0616</t>
        </is>
      </c>
      <c r="B3173" s="2" t="inlineStr">
        <is>
          <t>Goa</t>
        </is>
      </c>
      <c r="C3173" s="2" t="inlineStr">
        <is>
          <t>Margao</t>
        </is>
      </c>
      <c r="D3173" s="2" t="inlineStr">
        <is>
          <t>West</t>
        </is>
      </c>
    </row>
    <row r="3174">
      <c r="A3174" s="2" t="inlineStr">
        <is>
          <t>C0616</t>
        </is>
      </c>
      <c r="B3174" s="2" t="inlineStr">
        <is>
          <t>Gujarat</t>
        </is>
      </c>
      <c r="C3174" s="2" t="inlineStr">
        <is>
          <t>Vadodara</t>
        </is>
      </c>
      <c r="D3174" s="2" t="inlineStr">
        <is>
          <t>West</t>
        </is>
      </c>
    </row>
    <row r="3175">
      <c r="A3175" s="2" t="inlineStr">
        <is>
          <t>C0616</t>
        </is>
      </c>
      <c r="B3175" s="2" t="inlineStr">
        <is>
          <t>West Bengal</t>
        </is>
      </c>
      <c r="C3175" s="2" t="inlineStr">
        <is>
          <t>Kolkata</t>
        </is>
      </c>
      <c r="D3175" s="2" t="inlineStr">
        <is>
          <t>East</t>
        </is>
      </c>
    </row>
    <row r="3176">
      <c r="A3176" s="2" t="inlineStr">
        <is>
          <t>C0617</t>
        </is>
      </c>
      <c r="B3176" s="2" t="inlineStr">
        <is>
          <t>Maharashtra</t>
        </is>
      </c>
      <c r="C3176" s="2" t="inlineStr">
        <is>
          <t>Pune</t>
        </is>
      </c>
      <c r="D3176" s="2" t="inlineStr">
        <is>
          <t>West</t>
        </is>
      </c>
    </row>
    <row r="3177">
      <c r="A3177" s="2" t="inlineStr">
        <is>
          <t>C0617</t>
        </is>
      </c>
      <c r="B3177" s="2" t="inlineStr">
        <is>
          <t>Kerala</t>
        </is>
      </c>
      <c r="C3177" s="2" t="inlineStr">
        <is>
          <t>Thiruvananthapuram</t>
        </is>
      </c>
      <c r="D3177" s="2" t="inlineStr">
        <is>
          <t>South</t>
        </is>
      </c>
    </row>
    <row r="3178">
      <c r="A3178" s="2" t="inlineStr">
        <is>
          <t>C0617</t>
        </is>
      </c>
      <c r="B3178" s="2" t="inlineStr">
        <is>
          <t>Goa</t>
        </is>
      </c>
      <c r="C3178" s="2" t="inlineStr">
        <is>
          <t>Panaji</t>
        </is>
      </c>
      <c r="D3178" s="2" t="inlineStr">
        <is>
          <t>West</t>
        </is>
      </c>
    </row>
    <row r="3179">
      <c r="A3179" s="2" t="inlineStr">
        <is>
          <t>C0617</t>
        </is>
      </c>
      <c r="B3179" s="2" t="inlineStr">
        <is>
          <t>Bihar</t>
        </is>
      </c>
      <c r="C3179" s="2" t="inlineStr">
        <is>
          <t>Gaya</t>
        </is>
      </c>
      <c r="D3179" s="2" t="inlineStr">
        <is>
          <t>East</t>
        </is>
      </c>
    </row>
    <row r="3180">
      <c r="A3180" s="2" t="inlineStr">
        <is>
          <t>C0617</t>
        </is>
      </c>
      <c r="B3180" s="2" t="inlineStr">
        <is>
          <t>Maharashtra</t>
        </is>
      </c>
      <c r="C3180" s="2" t="inlineStr">
        <is>
          <t>Nashik</t>
        </is>
      </c>
      <c r="D3180" s="2" t="inlineStr">
        <is>
          <t>West</t>
        </is>
      </c>
    </row>
    <row r="3181">
      <c r="A3181" s="2" t="inlineStr">
        <is>
          <t>C0618</t>
        </is>
      </c>
      <c r="B3181" s="2" t="inlineStr">
        <is>
          <t>Goa</t>
        </is>
      </c>
      <c r="C3181" s="2" t="inlineStr">
        <is>
          <t>Margao</t>
        </is>
      </c>
      <c r="D3181" s="2" t="inlineStr">
        <is>
          <t>West</t>
        </is>
      </c>
    </row>
    <row r="3182">
      <c r="A3182" s="2" t="inlineStr">
        <is>
          <t>C0618</t>
        </is>
      </c>
      <c r="B3182" s="2" t="inlineStr">
        <is>
          <t>Gujarat</t>
        </is>
      </c>
      <c r="C3182" s="2" t="inlineStr">
        <is>
          <t>Surat</t>
        </is>
      </c>
      <c r="D3182" s="2" t="inlineStr">
        <is>
          <t>West</t>
        </is>
      </c>
    </row>
    <row r="3183">
      <c r="A3183" s="2" t="inlineStr">
        <is>
          <t>C0618</t>
        </is>
      </c>
      <c r="B3183" s="2" t="inlineStr">
        <is>
          <t>Gujarat</t>
        </is>
      </c>
      <c r="C3183" s="2" t="inlineStr">
        <is>
          <t>Vadodara</t>
        </is>
      </c>
      <c r="D3183" s="2" t="inlineStr">
        <is>
          <t>West</t>
        </is>
      </c>
    </row>
    <row r="3184">
      <c r="A3184" s="2" t="inlineStr">
        <is>
          <t>C0618</t>
        </is>
      </c>
      <c r="B3184" s="2" t="inlineStr">
        <is>
          <t>West Bengal</t>
        </is>
      </c>
      <c r="C3184" s="2" t="inlineStr">
        <is>
          <t>Durgapur</t>
        </is>
      </c>
      <c r="D3184" s="2" t="inlineStr">
        <is>
          <t>East</t>
        </is>
      </c>
    </row>
    <row r="3185">
      <c r="A3185" s="2" t="inlineStr">
        <is>
          <t>C0618</t>
        </is>
      </c>
      <c r="B3185" s="2" t="inlineStr">
        <is>
          <t>Kerala</t>
        </is>
      </c>
      <c r="C3185" s="2" t="inlineStr">
        <is>
          <t>Kochi</t>
        </is>
      </c>
      <c r="D3185" s="2" t="inlineStr">
        <is>
          <t>South</t>
        </is>
      </c>
    </row>
    <row r="3186">
      <c r="A3186" s="2" t="inlineStr">
        <is>
          <t>C0619</t>
        </is>
      </c>
      <c r="B3186" s="2" t="inlineStr">
        <is>
          <t>Bihar</t>
        </is>
      </c>
      <c r="C3186" s="2" t="inlineStr">
        <is>
          <t>Patna</t>
        </is>
      </c>
      <c r="D3186" s="2" t="inlineStr">
        <is>
          <t>East</t>
        </is>
      </c>
    </row>
    <row r="3187">
      <c r="A3187" s="2" t="inlineStr">
        <is>
          <t>C0619</t>
        </is>
      </c>
      <c r="B3187" s="2" t="inlineStr">
        <is>
          <t>Delhi</t>
        </is>
      </c>
      <c r="C3187" s="2" t="inlineStr">
        <is>
          <t>New Delhi</t>
        </is>
      </c>
      <c r="D3187" s="2" t="inlineStr">
        <is>
          <t>North</t>
        </is>
      </c>
    </row>
    <row r="3188">
      <c r="A3188" s="2" t="inlineStr">
        <is>
          <t>C0619</t>
        </is>
      </c>
      <c r="B3188" s="2" t="inlineStr">
        <is>
          <t>Karnataka</t>
        </is>
      </c>
      <c r="C3188" s="2" t="inlineStr">
        <is>
          <t>Mysuru</t>
        </is>
      </c>
      <c r="D3188" s="2" t="inlineStr">
        <is>
          <t>South</t>
        </is>
      </c>
    </row>
    <row r="3189">
      <c r="A3189" s="2" t="inlineStr">
        <is>
          <t>C0619</t>
        </is>
      </c>
      <c r="B3189" s="2" t="inlineStr">
        <is>
          <t>Punjab</t>
        </is>
      </c>
      <c r="C3189" s="2" t="inlineStr">
        <is>
          <t>Ludhiana</t>
        </is>
      </c>
      <c r="D3189" s="2" t="inlineStr">
        <is>
          <t>North</t>
        </is>
      </c>
    </row>
    <row r="3190">
      <c r="A3190" s="2" t="inlineStr">
        <is>
          <t>C0621</t>
        </is>
      </c>
      <c r="B3190" s="2" t="inlineStr">
        <is>
          <t>Odisha</t>
        </is>
      </c>
      <c r="C3190" s="2" t="inlineStr">
        <is>
          <t>Bhubaneswar</t>
        </is>
      </c>
      <c r="D3190" s="2" t="inlineStr">
        <is>
          <t>East</t>
        </is>
      </c>
    </row>
    <row r="3191">
      <c r="A3191" s="2" t="inlineStr">
        <is>
          <t>C0621</t>
        </is>
      </c>
      <c r="B3191" s="2" t="inlineStr">
        <is>
          <t>Kerala</t>
        </is>
      </c>
      <c r="C3191" s="2" t="inlineStr">
        <is>
          <t>Thiruvananthapuram</t>
        </is>
      </c>
      <c r="D3191" s="2" t="inlineStr">
        <is>
          <t>South</t>
        </is>
      </c>
    </row>
    <row r="3192">
      <c r="A3192" s="2" t="inlineStr">
        <is>
          <t>C0621</t>
        </is>
      </c>
      <c r="B3192" s="2" t="inlineStr">
        <is>
          <t>Punjab</t>
        </is>
      </c>
      <c r="C3192" s="2" t="inlineStr">
        <is>
          <t>Ludhiana</t>
        </is>
      </c>
      <c r="D3192" s="2" t="inlineStr">
        <is>
          <t>North</t>
        </is>
      </c>
    </row>
    <row r="3193">
      <c r="A3193" s="2" t="inlineStr">
        <is>
          <t>C0622</t>
        </is>
      </c>
      <c r="B3193" s="2" t="inlineStr">
        <is>
          <t>Haryana</t>
        </is>
      </c>
      <c r="C3193" s="2" t="inlineStr">
        <is>
          <t>Gurugram</t>
        </is>
      </c>
      <c r="D3193" s="2" t="inlineStr">
        <is>
          <t>North</t>
        </is>
      </c>
    </row>
    <row r="3194">
      <c r="A3194" s="2" t="inlineStr">
        <is>
          <t>C0622</t>
        </is>
      </c>
      <c r="B3194" s="2" t="inlineStr">
        <is>
          <t>Maharashtra</t>
        </is>
      </c>
      <c r="C3194" s="2" t="inlineStr">
        <is>
          <t>Nashik</t>
        </is>
      </c>
      <c r="D3194" s="2" t="inlineStr">
        <is>
          <t>West</t>
        </is>
      </c>
    </row>
    <row r="3195">
      <c r="A3195" s="2" t="inlineStr">
        <is>
          <t>C0622</t>
        </is>
      </c>
      <c r="B3195" s="2" t="inlineStr">
        <is>
          <t>Delhi</t>
        </is>
      </c>
      <c r="C3195" s="2" t="inlineStr">
        <is>
          <t>New Delhi</t>
        </is>
      </c>
      <c r="D3195" s="2" t="inlineStr">
        <is>
          <t>North</t>
        </is>
      </c>
    </row>
    <row r="3196">
      <c r="A3196" s="2" t="inlineStr">
        <is>
          <t>C0622</t>
        </is>
      </c>
      <c r="B3196" s="2" t="inlineStr">
        <is>
          <t>Uttar Pradesh</t>
        </is>
      </c>
      <c r="C3196" s="2" t="inlineStr">
        <is>
          <t>Lucknow</t>
        </is>
      </c>
      <c r="D3196" s="2" t="inlineStr">
        <is>
          <t>North</t>
        </is>
      </c>
    </row>
    <row r="3197">
      <c r="A3197" s="2" t="inlineStr">
        <is>
          <t>C0622</t>
        </is>
      </c>
      <c r="B3197" s="2" t="inlineStr">
        <is>
          <t>Maharashtra</t>
        </is>
      </c>
      <c r="C3197" s="2" t="inlineStr">
        <is>
          <t>Mumbai</t>
        </is>
      </c>
      <c r="D3197" s="2" t="inlineStr">
        <is>
          <t>West</t>
        </is>
      </c>
    </row>
    <row r="3198">
      <c r="A3198" s="2" t="inlineStr">
        <is>
          <t>C0624</t>
        </is>
      </c>
      <c r="B3198" s="2" t="inlineStr">
        <is>
          <t>Karnataka</t>
        </is>
      </c>
      <c r="C3198" s="2" t="inlineStr">
        <is>
          <t>Mysuru</t>
        </is>
      </c>
      <c r="D3198" s="2" t="inlineStr">
        <is>
          <t>South</t>
        </is>
      </c>
    </row>
    <row r="3199">
      <c r="A3199" s="2" t="inlineStr">
        <is>
          <t>C0625</t>
        </is>
      </c>
      <c r="B3199" s="2" t="inlineStr">
        <is>
          <t>Delhi</t>
        </is>
      </c>
      <c r="C3199" s="2" t="inlineStr">
        <is>
          <t>New Delhi</t>
        </is>
      </c>
      <c r="D3199" s="2" t="inlineStr">
        <is>
          <t>North</t>
        </is>
      </c>
    </row>
    <row r="3200">
      <c r="A3200" s="2" t="inlineStr">
        <is>
          <t>C0625</t>
        </is>
      </c>
      <c r="B3200" s="2" t="inlineStr">
        <is>
          <t>Haryana</t>
        </is>
      </c>
      <c r="C3200" s="2" t="inlineStr">
        <is>
          <t>Faridabad</t>
        </is>
      </c>
      <c r="D3200" s="2" t="inlineStr">
        <is>
          <t>North</t>
        </is>
      </c>
    </row>
    <row r="3201">
      <c r="A3201" s="2" t="inlineStr">
        <is>
          <t>C0625</t>
        </is>
      </c>
      <c r="B3201" s="2" t="inlineStr">
        <is>
          <t>Kerala</t>
        </is>
      </c>
      <c r="C3201" s="2" t="inlineStr">
        <is>
          <t>Kochi</t>
        </is>
      </c>
      <c r="D3201" s="2" t="inlineStr">
        <is>
          <t>South</t>
        </is>
      </c>
    </row>
    <row r="3202">
      <c r="A3202" s="2" t="inlineStr">
        <is>
          <t>C0626</t>
        </is>
      </c>
      <c r="B3202" s="2" t="inlineStr">
        <is>
          <t>Tamil Nadu</t>
        </is>
      </c>
      <c r="C3202" s="2" t="inlineStr">
        <is>
          <t>Chennai</t>
        </is>
      </c>
      <c r="D3202" s="2" t="inlineStr">
        <is>
          <t>South</t>
        </is>
      </c>
    </row>
    <row r="3203">
      <c r="A3203" s="2" t="inlineStr">
        <is>
          <t>C0626</t>
        </is>
      </c>
      <c r="B3203" s="2" t="inlineStr">
        <is>
          <t>Gujarat</t>
        </is>
      </c>
      <c r="C3203" s="2" t="inlineStr">
        <is>
          <t>Vadodara</t>
        </is>
      </c>
      <c r="D3203" s="2" t="inlineStr">
        <is>
          <t>West</t>
        </is>
      </c>
    </row>
    <row r="3204">
      <c r="A3204" s="2" t="inlineStr">
        <is>
          <t>C0627</t>
        </is>
      </c>
      <c r="B3204" s="2" t="inlineStr">
        <is>
          <t>Punjab</t>
        </is>
      </c>
      <c r="C3204" s="2" t="inlineStr">
        <is>
          <t>Ludhiana</t>
        </is>
      </c>
      <c r="D3204" s="2" t="n">
        <v/>
      </c>
    </row>
    <row r="3205">
      <c r="A3205" s="2" t="inlineStr">
        <is>
          <t>C0627</t>
        </is>
      </c>
      <c r="B3205" s="2" t="inlineStr">
        <is>
          <t>Goa</t>
        </is>
      </c>
      <c r="C3205" s="2" t="inlineStr">
        <is>
          <t>Margao</t>
        </is>
      </c>
      <c r="D3205" s="2" t="inlineStr">
        <is>
          <t>West</t>
        </is>
      </c>
    </row>
    <row r="3206">
      <c r="A3206" s="2" t="inlineStr">
        <is>
          <t>C0628</t>
        </is>
      </c>
      <c r="B3206" s="2" t="inlineStr">
        <is>
          <t>Kerala</t>
        </is>
      </c>
      <c r="C3206" s="2" t="inlineStr">
        <is>
          <t>Thiruvananthapuram</t>
        </is>
      </c>
      <c r="D3206" s="2" t="inlineStr">
        <is>
          <t>South</t>
        </is>
      </c>
    </row>
    <row r="3207">
      <c r="A3207" s="2" t="inlineStr">
        <is>
          <t>C0628</t>
        </is>
      </c>
      <c r="B3207" s="2" t="inlineStr">
        <is>
          <t>Kerala</t>
        </is>
      </c>
      <c r="C3207" s="2" t="inlineStr">
        <is>
          <t>Kochi</t>
        </is>
      </c>
      <c r="D3207" s="2" t="inlineStr">
        <is>
          <t>South</t>
        </is>
      </c>
    </row>
    <row r="3208">
      <c r="A3208" s="2" t="inlineStr">
        <is>
          <t>C0628</t>
        </is>
      </c>
      <c r="B3208" s="2" t="inlineStr">
        <is>
          <t>Goa</t>
        </is>
      </c>
      <c r="C3208" s="2" t="inlineStr">
        <is>
          <t>Panaji</t>
        </is>
      </c>
      <c r="D3208" s="2" t="inlineStr">
        <is>
          <t>West</t>
        </is>
      </c>
    </row>
    <row r="3209">
      <c r="A3209" s="2" t="inlineStr">
        <is>
          <t>C0628</t>
        </is>
      </c>
      <c r="B3209" s="2" t="inlineStr">
        <is>
          <t>Goa</t>
        </is>
      </c>
      <c r="C3209" s="2" t="inlineStr">
        <is>
          <t>Margao</t>
        </is>
      </c>
      <c r="D3209" s="2" t="inlineStr">
        <is>
          <t>West</t>
        </is>
      </c>
    </row>
    <row r="3210">
      <c r="A3210" s="2" t="inlineStr">
        <is>
          <t>C0628</t>
        </is>
      </c>
      <c r="B3210" s="2" t="inlineStr">
        <is>
          <t>Bihar</t>
        </is>
      </c>
      <c r="C3210" s="2" t="inlineStr">
        <is>
          <t>Gaya</t>
        </is>
      </c>
      <c r="D3210" s="2" t="inlineStr">
        <is>
          <t>East</t>
        </is>
      </c>
    </row>
    <row r="3211">
      <c r="A3211" s="2" t="inlineStr">
        <is>
          <t>C0629</t>
        </is>
      </c>
      <c r="B3211" s="2" t="inlineStr">
        <is>
          <t>Karnataka</t>
        </is>
      </c>
      <c r="C3211" s="2" t="inlineStr">
        <is>
          <t>Mangaluru</t>
        </is>
      </c>
      <c r="D3211" s="2" t="inlineStr">
        <is>
          <t>South</t>
        </is>
      </c>
    </row>
    <row r="3212">
      <c r="A3212" s="2" t="inlineStr">
        <is>
          <t>C0629</t>
        </is>
      </c>
      <c r="B3212" s="2" t="inlineStr">
        <is>
          <t>Karnataka</t>
        </is>
      </c>
      <c r="C3212" s="2" t="inlineStr">
        <is>
          <t>Mysuru</t>
        </is>
      </c>
      <c r="D3212" s="2" t="inlineStr">
        <is>
          <t>South</t>
        </is>
      </c>
    </row>
    <row r="3213">
      <c r="A3213" s="2" t="inlineStr">
        <is>
          <t>C0629</t>
        </is>
      </c>
      <c r="B3213" s="2" t="inlineStr">
        <is>
          <t>Uttar Pradesh</t>
        </is>
      </c>
      <c r="C3213" s="2" t="inlineStr">
        <is>
          <t>Noida</t>
        </is>
      </c>
      <c r="D3213" s="2" t="inlineStr">
        <is>
          <t>North</t>
        </is>
      </c>
    </row>
    <row r="3214">
      <c r="A3214" s="2" t="inlineStr">
        <is>
          <t>C0629</t>
        </is>
      </c>
      <c r="B3214" s="2" t="inlineStr">
        <is>
          <t>Tamil Nadu</t>
        </is>
      </c>
      <c r="C3214" s="2" t="inlineStr">
        <is>
          <t>Chennai</t>
        </is>
      </c>
      <c r="D3214" s="2" t="inlineStr">
        <is>
          <t>South</t>
        </is>
      </c>
    </row>
    <row r="3215">
      <c r="A3215" s="2" t="inlineStr">
        <is>
          <t>C0629</t>
        </is>
      </c>
      <c r="B3215" s="2" t="inlineStr">
        <is>
          <t>Maharashtra</t>
        </is>
      </c>
      <c r="C3215" s="2" t="inlineStr">
        <is>
          <t>Nashik</t>
        </is>
      </c>
      <c r="D3215" s="2" t="inlineStr">
        <is>
          <t>West</t>
        </is>
      </c>
    </row>
    <row r="3216">
      <c r="A3216" s="2" t="inlineStr">
        <is>
          <t>C0630</t>
        </is>
      </c>
      <c r="B3216" s="2" t="inlineStr">
        <is>
          <t>Gujarat</t>
        </is>
      </c>
      <c r="C3216" s="2" t="inlineStr">
        <is>
          <t>Ahmedabad</t>
        </is>
      </c>
      <c r="D3216" s="2" t="inlineStr">
        <is>
          <t>West</t>
        </is>
      </c>
    </row>
    <row r="3217">
      <c r="A3217" s="2" t="inlineStr">
        <is>
          <t>C0630</t>
        </is>
      </c>
      <c r="B3217" s="2" t="inlineStr">
        <is>
          <t>Karnataka</t>
        </is>
      </c>
      <c r="C3217" s="2" t="inlineStr">
        <is>
          <t>Mysuru</t>
        </is>
      </c>
      <c r="D3217" s="2" t="inlineStr">
        <is>
          <t>South</t>
        </is>
      </c>
    </row>
    <row r="3218">
      <c r="A3218" s="2" t="inlineStr">
        <is>
          <t>C0630</t>
        </is>
      </c>
      <c r="B3218" s="2" t="inlineStr">
        <is>
          <t>Karnataka</t>
        </is>
      </c>
      <c r="C3218" s="2" t="inlineStr">
        <is>
          <t>Mangaluru</t>
        </is>
      </c>
      <c r="D3218" s="2" t="inlineStr">
        <is>
          <t>South</t>
        </is>
      </c>
    </row>
    <row r="3219">
      <c r="A3219" s="2" t="inlineStr">
        <is>
          <t>C0630</t>
        </is>
      </c>
      <c r="B3219" s="2" t="inlineStr">
        <is>
          <t>Haryana</t>
        </is>
      </c>
      <c r="C3219" s="2" t="inlineStr">
        <is>
          <t>Faridabad</t>
        </is>
      </c>
      <c r="D3219" s="2" t="inlineStr">
        <is>
          <t>North</t>
        </is>
      </c>
    </row>
    <row r="3220">
      <c r="A3220" s="2" t="inlineStr">
        <is>
          <t>C0630</t>
        </is>
      </c>
      <c r="B3220" s="2" t="inlineStr">
        <is>
          <t>Tamil Nadu</t>
        </is>
      </c>
      <c r="C3220" s="2" t="inlineStr">
        <is>
          <t>Coimbatore</t>
        </is>
      </c>
      <c r="D3220" s="2" t="inlineStr">
        <is>
          <t>South</t>
        </is>
      </c>
    </row>
    <row r="3221">
      <c r="A3221" s="2" t="inlineStr">
        <is>
          <t>C0631</t>
        </is>
      </c>
      <c r="B3221" s="2" t="inlineStr">
        <is>
          <t>Maharashtra</t>
        </is>
      </c>
      <c r="C3221" s="2" t="inlineStr">
        <is>
          <t>Pune</t>
        </is>
      </c>
      <c r="D3221" s="2" t="inlineStr">
        <is>
          <t>West</t>
        </is>
      </c>
    </row>
    <row r="3222">
      <c r="A3222" s="2" t="inlineStr">
        <is>
          <t>C0631</t>
        </is>
      </c>
      <c r="B3222" s="2" t="inlineStr">
        <is>
          <t>Tamil Nadu</t>
        </is>
      </c>
      <c r="C3222" s="2" t="inlineStr">
        <is>
          <t>Madurai</t>
        </is>
      </c>
      <c r="D3222" s="2" t="inlineStr">
        <is>
          <t>South</t>
        </is>
      </c>
    </row>
    <row r="3223">
      <c r="A3223" s="2" t="inlineStr">
        <is>
          <t>C0631</t>
        </is>
      </c>
      <c r="B3223" s="2" t="inlineStr">
        <is>
          <t>Karnataka</t>
        </is>
      </c>
      <c r="C3223" s="2" t="inlineStr">
        <is>
          <t>Mysuru</t>
        </is>
      </c>
      <c r="D3223" s="2" t="inlineStr">
        <is>
          <t>South</t>
        </is>
      </c>
    </row>
    <row r="3224">
      <c r="A3224" s="2" t="inlineStr">
        <is>
          <t>C0632</t>
        </is>
      </c>
      <c r="B3224" s="2" t="inlineStr">
        <is>
          <t>Punjab</t>
        </is>
      </c>
      <c r="C3224" s="2" t="inlineStr">
        <is>
          <t>Ludhiana</t>
        </is>
      </c>
      <c r="D3224" s="2" t="inlineStr">
        <is>
          <t>North</t>
        </is>
      </c>
    </row>
    <row r="3225">
      <c r="A3225" s="2" t="inlineStr">
        <is>
          <t>C0632</t>
        </is>
      </c>
      <c r="B3225" s="2" t="inlineStr">
        <is>
          <t>Karnataka</t>
        </is>
      </c>
      <c r="C3225" s="2" t="inlineStr">
        <is>
          <t>Mysuru</t>
        </is>
      </c>
      <c r="D3225" s="2" t="inlineStr">
        <is>
          <t>South</t>
        </is>
      </c>
    </row>
    <row r="3226">
      <c r="A3226" s="2" t="inlineStr">
        <is>
          <t>C0632</t>
        </is>
      </c>
      <c r="B3226" s="2" t="inlineStr">
        <is>
          <t>West Bengal</t>
        </is>
      </c>
      <c r="C3226" s="2" t="inlineStr">
        <is>
          <t>Durgapur</t>
        </is>
      </c>
      <c r="D3226" s="2" t="inlineStr">
        <is>
          <t>East</t>
        </is>
      </c>
    </row>
    <row r="3227">
      <c r="A3227" s="2" t="inlineStr">
        <is>
          <t>C0632</t>
        </is>
      </c>
      <c r="B3227" s="2" t="inlineStr">
        <is>
          <t>Goa</t>
        </is>
      </c>
      <c r="C3227" s="2" t="inlineStr">
        <is>
          <t>Margao</t>
        </is>
      </c>
      <c r="D3227" s="2" t="inlineStr">
        <is>
          <t>West</t>
        </is>
      </c>
    </row>
    <row r="3228">
      <c r="A3228" s="2" t="inlineStr">
        <is>
          <t>C0633</t>
        </is>
      </c>
      <c r="B3228" s="2" t="inlineStr">
        <is>
          <t>Haryana</t>
        </is>
      </c>
      <c r="C3228" s="2" t="inlineStr">
        <is>
          <t>Faridabad</t>
        </is>
      </c>
      <c r="D3228" s="2" t="inlineStr">
        <is>
          <t>North</t>
        </is>
      </c>
    </row>
    <row r="3229">
      <c r="A3229" s="2" t="inlineStr">
        <is>
          <t>C0633</t>
        </is>
      </c>
      <c r="B3229" s="2" t="inlineStr">
        <is>
          <t>Odisha</t>
        </is>
      </c>
      <c r="C3229" s="2" t="inlineStr">
        <is>
          <t>Cuttack</t>
        </is>
      </c>
      <c r="D3229" s="2" t="inlineStr">
        <is>
          <t>East</t>
        </is>
      </c>
    </row>
    <row r="3230">
      <c r="A3230" s="2" t="inlineStr">
        <is>
          <t>C0634</t>
        </is>
      </c>
      <c r="B3230" s="2" t="inlineStr">
        <is>
          <t>Gujarat</t>
        </is>
      </c>
      <c r="C3230" s="2" t="inlineStr">
        <is>
          <t>Ahmedabad</t>
        </is>
      </c>
      <c r="D3230" s="2" t="inlineStr">
        <is>
          <t>West</t>
        </is>
      </c>
    </row>
    <row r="3231">
      <c r="A3231" s="2" t="inlineStr">
        <is>
          <t>C0634</t>
        </is>
      </c>
      <c r="B3231" s="2" t="inlineStr">
        <is>
          <t>Bihar</t>
        </is>
      </c>
      <c r="C3231" s="2" t="inlineStr">
        <is>
          <t>Gaya</t>
        </is>
      </c>
      <c r="D3231" s="2" t="inlineStr">
        <is>
          <t>East</t>
        </is>
      </c>
    </row>
    <row r="3232">
      <c r="A3232" s="2" t="inlineStr">
        <is>
          <t>C0634</t>
        </is>
      </c>
      <c r="B3232" s="2" t="inlineStr">
        <is>
          <t>Goa</t>
        </is>
      </c>
      <c r="C3232" s="2" t="inlineStr">
        <is>
          <t>Margao</t>
        </is>
      </c>
      <c r="D3232" s="2" t="inlineStr">
        <is>
          <t>West</t>
        </is>
      </c>
    </row>
    <row r="3233">
      <c r="A3233" s="2" t="inlineStr">
        <is>
          <t>C0634</t>
        </is>
      </c>
      <c r="B3233" s="2" t="inlineStr">
        <is>
          <t>Goa</t>
        </is>
      </c>
      <c r="C3233" s="2" t="inlineStr">
        <is>
          <t>Panaji</t>
        </is>
      </c>
      <c r="D3233" s="2" t="inlineStr">
        <is>
          <t>West</t>
        </is>
      </c>
    </row>
    <row r="3234">
      <c r="A3234" s="2" t="inlineStr">
        <is>
          <t>C0634</t>
        </is>
      </c>
      <c r="B3234" s="2" t="inlineStr">
        <is>
          <t>Gujarat</t>
        </is>
      </c>
      <c r="C3234" s="2" t="inlineStr">
        <is>
          <t>Surat</t>
        </is>
      </c>
      <c r="D3234" s="2" t="inlineStr">
        <is>
          <t>West</t>
        </is>
      </c>
    </row>
    <row r="3235">
      <c r="A3235" s="2" t="inlineStr">
        <is>
          <t>C0634</t>
        </is>
      </c>
      <c r="B3235" s="2" t="inlineStr">
        <is>
          <t>Karnataka</t>
        </is>
      </c>
      <c r="C3235" s="2" t="inlineStr">
        <is>
          <t>Bengaluru</t>
        </is>
      </c>
      <c r="D3235" s="2" t="inlineStr">
        <is>
          <t>South</t>
        </is>
      </c>
    </row>
    <row r="3236">
      <c r="A3236" s="2" t="inlineStr">
        <is>
          <t>C0635</t>
        </is>
      </c>
      <c r="B3236" s="2" t="inlineStr">
        <is>
          <t>Kerala</t>
        </is>
      </c>
      <c r="C3236" s="2" t="inlineStr">
        <is>
          <t>Thiruvananthapuram</t>
        </is>
      </c>
      <c r="D3236" s="2" t="inlineStr">
        <is>
          <t>South</t>
        </is>
      </c>
    </row>
    <row r="3237">
      <c r="A3237" s="2" t="inlineStr">
        <is>
          <t>C0635</t>
        </is>
      </c>
      <c r="B3237" s="2" t="inlineStr">
        <is>
          <t>Bihar</t>
        </is>
      </c>
      <c r="C3237" s="2" t="inlineStr">
        <is>
          <t>Patna</t>
        </is>
      </c>
      <c r="D3237" s="2" t="inlineStr">
        <is>
          <t>East</t>
        </is>
      </c>
    </row>
    <row r="3238">
      <c r="A3238" s="2" t="inlineStr">
        <is>
          <t>C0635</t>
        </is>
      </c>
      <c r="B3238" s="2" t="inlineStr">
        <is>
          <t>Telangana</t>
        </is>
      </c>
      <c r="C3238" s="2" t="inlineStr">
        <is>
          <t>Warangal</t>
        </is>
      </c>
      <c r="D3238" s="2" t="inlineStr">
        <is>
          <t>South</t>
        </is>
      </c>
    </row>
    <row r="3239">
      <c r="A3239" s="2" t="inlineStr">
        <is>
          <t>C0635</t>
        </is>
      </c>
      <c r="B3239" s="2" t="inlineStr">
        <is>
          <t>Goa</t>
        </is>
      </c>
      <c r="C3239" s="2" t="inlineStr">
        <is>
          <t>Panaji</t>
        </is>
      </c>
      <c r="D3239" s="2" t="inlineStr">
        <is>
          <t>West</t>
        </is>
      </c>
    </row>
    <row r="3240">
      <c r="A3240" s="2" t="inlineStr">
        <is>
          <t>C0635</t>
        </is>
      </c>
      <c r="B3240" s="2" t="inlineStr">
        <is>
          <t>Bihar</t>
        </is>
      </c>
      <c r="C3240" s="2" t="inlineStr">
        <is>
          <t>Gaya</t>
        </is>
      </c>
      <c r="D3240" s="2" t="n">
        <v/>
      </c>
    </row>
    <row r="3241">
      <c r="A3241" s="2" t="inlineStr">
        <is>
          <t>C0635</t>
        </is>
      </c>
      <c r="B3241" s="2" t="inlineStr">
        <is>
          <t>Maharashtra</t>
        </is>
      </c>
      <c r="C3241" s="2" t="inlineStr">
        <is>
          <t>Thane</t>
        </is>
      </c>
      <c r="D3241" s="2" t="inlineStr">
        <is>
          <t>West</t>
        </is>
      </c>
    </row>
    <row r="3242">
      <c r="A3242" s="2" t="inlineStr">
        <is>
          <t>C0635</t>
        </is>
      </c>
      <c r="B3242" s="2" t="inlineStr">
        <is>
          <t>West Bengal</t>
        </is>
      </c>
      <c r="C3242" s="2" t="inlineStr">
        <is>
          <t>Kolkata</t>
        </is>
      </c>
      <c r="D3242" s="2" t="inlineStr">
        <is>
          <t>East</t>
        </is>
      </c>
    </row>
    <row r="3243">
      <c r="A3243" s="2" t="inlineStr">
        <is>
          <t>C0635</t>
        </is>
      </c>
      <c r="B3243" s="2" t="inlineStr">
        <is>
          <t>Maharashtra</t>
        </is>
      </c>
      <c r="C3243" s="2" t="inlineStr">
        <is>
          <t>Pune</t>
        </is>
      </c>
      <c r="D3243" s="2" t="inlineStr">
        <is>
          <t>West</t>
        </is>
      </c>
    </row>
    <row r="3244">
      <c r="A3244" s="2" t="inlineStr">
        <is>
          <t>C0636</t>
        </is>
      </c>
      <c r="B3244" s="2" t="inlineStr">
        <is>
          <t>Haryana</t>
        </is>
      </c>
      <c r="C3244" s="2" t="inlineStr">
        <is>
          <t>Gurugram</t>
        </is>
      </c>
      <c r="D3244" s="2" t="inlineStr">
        <is>
          <t>North</t>
        </is>
      </c>
    </row>
    <row r="3245">
      <c r="A3245" s="2" t="inlineStr">
        <is>
          <t>C0636</t>
        </is>
      </c>
      <c r="B3245" s="2" t="inlineStr">
        <is>
          <t>Odisha</t>
        </is>
      </c>
      <c r="C3245" s="2" t="inlineStr">
        <is>
          <t>Bhubaneswar</t>
        </is>
      </c>
      <c r="D3245" s="2" t="inlineStr">
        <is>
          <t>East</t>
        </is>
      </c>
    </row>
    <row r="3246">
      <c r="A3246" s="2" t="inlineStr">
        <is>
          <t>C0636</t>
        </is>
      </c>
      <c r="B3246" s="2" t="inlineStr">
        <is>
          <t>Maharashtra</t>
        </is>
      </c>
      <c r="C3246" s="2" t="inlineStr">
        <is>
          <t>Mumbai</t>
        </is>
      </c>
      <c r="D3246" s="2" t="inlineStr">
        <is>
          <t>West</t>
        </is>
      </c>
    </row>
    <row r="3247">
      <c r="A3247" s="2" t="inlineStr">
        <is>
          <t>C0636</t>
        </is>
      </c>
      <c r="B3247" s="2" t="inlineStr">
        <is>
          <t>Telangana</t>
        </is>
      </c>
      <c r="C3247" s="2" t="inlineStr">
        <is>
          <t>Warangal</t>
        </is>
      </c>
      <c r="D3247" s="2" t="inlineStr">
        <is>
          <t>South</t>
        </is>
      </c>
    </row>
    <row r="3248">
      <c r="A3248" s="2" t="inlineStr">
        <is>
          <t>C0636</t>
        </is>
      </c>
      <c r="B3248" s="2" t="inlineStr">
        <is>
          <t>Delhi</t>
        </is>
      </c>
      <c r="C3248" s="2" t="inlineStr">
        <is>
          <t>New Delhi</t>
        </is>
      </c>
      <c r="D3248" s="2" t="inlineStr">
        <is>
          <t>North</t>
        </is>
      </c>
    </row>
    <row r="3249">
      <c r="A3249" s="2" t="inlineStr">
        <is>
          <t>C0637</t>
        </is>
      </c>
      <c r="B3249" s="2" t="inlineStr">
        <is>
          <t>Kerala</t>
        </is>
      </c>
      <c r="C3249" s="2" t="inlineStr">
        <is>
          <t>Kochi</t>
        </is>
      </c>
      <c r="D3249" s="2" t="inlineStr">
        <is>
          <t>South</t>
        </is>
      </c>
    </row>
    <row r="3250">
      <c r="A3250" s="2" t="inlineStr">
        <is>
          <t>C0637</t>
        </is>
      </c>
      <c r="B3250" s="2" t="inlineStr">
        <is>
          <t>Odisha</t>
        </is>
      </c>
      <c r="C3250" s="2" t="inlineStr">
        <is>
          <t>Bhubaneswar</t>
        </is>
      </c>
      <c r="D3250" s="2" t="inlineStr">
        <is>
          <t>East</t>
        </is>
      </c>
    </row>
    <row r="3251">
      <c r="A3251" s="2" t="inlineStr">
        <is>
          <t>C0637</t>
        </is>
      </c>
      <c r="B3251" s="2" t="inlineStr">
        <is>
          <t>Gujarat</t>
        </is>
      </c>
      <c r="C3251" s="2" t="inlineStr">
        <is>
          <t>Surat</t>
        </is>
      </c>
      <c r="D3251" s="2" t="inlineStr">
        <is>
          <t>West</t>
        </is>
      </c>
    </row>
    <row r="3252">
      <c r="A3252" s="2" t="inlineStr">
        <is>
          <t>C0637</t>
        </is>
      </c>
      <c r="B3252" s="2" t="inlineStr">
        <is>
          <t>West Bengal</t>
        </is>
      </c>
      <c r="C3252" s="2" t="inlineStr">
        <is>
          <t>Durgapur</t>
        </is>
      </c>
      <c r="D3252" s="2" t="inlineStr">
        <is>
          <t>East</t>
        </is>
      </c>
    </row>
    <row r="3253">
      <c r="A3253" s="2" t="inlineStr">
        <is>
          <t>C0637</t>
        </is>
      </c>
      <c r="B3253" s="2" t="inlineStr">
        <is>
          <t>Karnataka</t>
        </is>
      </c>
      <c r="C3253" s="2" t="inlineStr">
        <is>
          <t>Bengaluru</t>
        </is>
      </c>
      <c r="D3253" s="2" t="inlineStr">
        <is>
          <t>South</t>
        </is>
      </c>
    </row>
    <row r="3254">
      <c r="A3254" s="2" t="inlineStr">
        <is>
          <t>C0637</t>
        </is>
      </c>
      <c r="B3254" s="2" t="inlineStr">
        <is>
          <t>Tamil Nadu</t>
        </is>
      </c>
      <c r="C3254" s="2" t="inlineStr">
        <is>
          <t>Madurai</t>
        </is>
      </c>
      <c r="D3254" s="2" t="inlineStr">
        <is>
          <t>South</t>
        </is>
      </c>
    </row>
    <row r="3255">
      <c r="A3255" s="2" t="inlineStr">
        <is>
          <t>C0637</t>
        </is>
      </c>
      <c r="B3255" s="2" t="inlineStr">
        <is>
          <t>Maharashtra</t>
        </is>
      </c>
      <c r="C3255" s="2" t="inlineStr">
        <is>
          <t>Pune</t>
        </is>
      </c>
      <c r="D3255" s="2" t="inlineStr">
        <is>
          <t>West</t>
        </is>
      </c>
    </row>
    <row r="3256">
      <c r="A3256" s="2" t="inlineStr">
        <is>
          <t>C0637</t>
        </is>
      </c>
      <c r="B3256" s="2" t="inlineStr">
        <is>
          <t>Goa</t>
        </is>
      </c>
      <c r="C3256" s="2" t="inlineStr">
        <is>
          <t>Margao</t>
        </is>
      </c>
      <c r="D3256" s="2" t="inlineStr">
        <is>
          <t>West</t>
        </is>
      </c>
    </row>
    <row r="3257">
      <c r="A3257" s="2" t="inlineStr">
        <is>
          <t>C0637</t>
        </is>
      </c>
      <c r="B3257" s="2" t="inlineStr">
        <is>
          <t>Tamil Nadu</t>
        </is>
      </c>
      <c r="C3257" s="2" t="inlineStr">
        <is>
          <t>Coimbatore</t>
        </is>
      </c>
      <c r="D3257" s="2" t="inlineStr">
        <is>
          <t>South</t>
        </is>
      </c>
    </row>
    <row r="3258">
      <c r="A3258" s="2" t="inlineStr">
        <is>
          <t>C0637</t>
        </is>
      </c>
      <c r="B3258" s="2" t="inlineStr">
        <is>
          <t>Maharashtra</t>
        </is>
      </c>
      <c r="C3258" s="2" t="inlineStr">
        <is>
          <t>Mumbai</t>
        </is>
      </c>
      <c r="D3258" s="2" t="inlineStr">
        <is>
          <t>West</t>
        </is>
      </c>
    </row>
    <row r="3259">
      <c r="A3259" s="2" t="inlineStr">
        <is>
          <t>C0637</t>
        </is>
      </c>
      <c r="B3259" s="2" t="inlineStr">
        <is>
          <t>Maharashtra</t>
        </is>
      </c>
      <c r="C3259" s="2" t="inlineStr">
        <is>
          <t>Thane</t>
        </is>
      </c>
      <c r="D3259" s="2" t="inlineStr">
        <is>
          <t>West</t>
        </is>
      </c>
    </row>
    <row r="3260">
      <c r="A3260" s="2" t="inlineStr">
        <is>
          <t>C0637</t>
        </is>
      </c>
      <c r="B3260" s="2" t="inlineStr">
        <is>
          <t>Maharashtra</t>
        </is>
      </c>
      <c r="C3260" s="2" t="inlineStr">
        <is>
          <t>Nashik</t>
        </is>
      </c>
      <c r="D3260" s="2" t="inlineStr">
        <is>
          <t>West</t>
        </is>
      </c>
    </row>
    <row r="3261">
      <c r="A3261" s="2" t="inlineStr">
        <is>
          <t>C0637</t>
        </is>
      </c>
      <c r="B3261" s="2" t="inlineStr">
        <is>
          <t>Haryana</t>
        </is>
      </c>
      <c r="C3261" s="2" t="inlineStr">
        <is>
          <t>Gurugram</t>
        </is>
      </c>
      <c r="D3261" s="2" t="inlineStr">
        <is>
          <t>North</t>
        </is>
      </c>
    </row>
    <row r="3262">
      <c r="A3262" s="2" t="inlineStr">
        <is>
          <t>C0637</t>
        </is>
      </c>
      <c r="B3262" s="2" t="inlineStr">
        <is>
          <t>Delhi</t>
        </is>
      </c>
      <c r="C3262" s="2" t="inlineStr">
        <is>
          <t>New Delhi</t>
        </is>
      </c>
      <c r="D3262" s="2" t="inlineStr">
        <is>
          <t>North</t>
        </is>
      </c>
    </row>
    <row r="3263">
      <c r="A3263" s="2" t="inlineStr">
        <is>
          <t>C0637</t>
        </is>
      </c>
      <c r="B3263" s="2" t="inlineStr">
        <is>
          <t>Goa</t>
        </is>
      </c>
      <c r="C3263" s="2" t="inlineStr">
        <is>
          <t>Panaji</t>
        </is>
      </c>
      <c r="D3263" s="2" t="inlineStr">
        <is>
          <t>West</t>
        </is>
      </c>
    </row>
    <row r="3264">
      <c r="A3264" s="2" t="inlineStr">
        <is>
          <t>C0637</t>
        </is>
      </c>
      <c r="B3264" s="2" t="inlineStr">
        <is>
          <t>Telangana</t>
        </is>
      </c>
      <c r="C3264" s="2" t="inlineStr">
        <is>
          <t>Hyderabad</t>
        </is>
      </c>
      <c r="D3264" s="2" t="inlineStr">
        <is>
          <t>South</t>
        </is>
      </c>
    </row>
    <row r="3265">
      <c r="A3265" s="2" t="inlineStr">
        <is>
          <t>C0637</t>
        </is>
      </c>
      <c r="B3265" s="2" t="inlineStr">
        <is>
          <t>Punjab</t>
        </is>
      </c>
      <c r="C3265" s="2" t="inlineStr">
        <is>
          <t>Jalandhar</t>
        </is>
      </c>
      <c r="D3265" s="2" t="inlineStr">
        <is>
          <t>North</t>
        </is>
      </c>
    </row>
    <row r="3266">
      <c r="A3266" s="2" t="inlineStr">
        <is>
          <t>C0638</t>
        </is>
      </c>
      <c r="B3266" s="2" t="inlineStr">
        <is>
          <t>Punjab</t>
        </is>
      </c>
      <c r="C3266" s="2" t="inlineStr">
        <is>
          <t>Amritsar</t>
        </is>
      </c>
      <c r="D3266" s="2" t="inlineStr">
        <is>
          <t>North</t>
        </is>
      </c>
    </row>
    <row r="3267">
      <c r="A3267" s="2" t="inlineStr">
        <is>
          <t>C0638</t>
        </is>
      </c>
      <c r="B3267" s="2" t="inlineStr">
        <is>
          <t>Kerala</t>
        </is>
      </c>
      <c r="C3267" s="2" t="inlineStr">
        <is>
          <t>Thiruvananthapuram</t>
        </is>
      </c>
      <c r="D3267" s="2" t="inlineStr">
        <is>
          <t>South</t>
        </is>
      </c>
    </row>
    <row r="3268">
      <c r="A3268" s="2" t="inlineStr">
        <is>
          <t>C0638</t>
        </is>
      </c>
      <c r="B3268" s="2" t="inlineStr">
        <is>
          <t>Gujarat</t>
        </is>
      </c>
      <c r="C3268" s="2" t="inlineStr">
        <is>
          <t>Surat</t>
        </is>
      </c>
      <c r="D3268" s="2" t="inlineStr">
        <is>
          <t>West</t>
        </is>
      </c>
    </row>
    <row r="3269">
      <c r="A3269" s="2" t="inlineStr">
        <is>
          <t>C0638</t>
        </is>
      </c>
      <c r="B3269" s="2" t="inlineStr">
        <is>
          <t>Uttar Pradesh</t>
        </is>
      </c>
      <c r="C3269" s="2" t="inlineStr">
        <is>
          <t>Lucknow</t>
        </is>
      </c>
      <c r="D3269" s="2" t="inlineStr">
        <is>
          <t>North</t>
        </is>
      </c>
    </row>
    <row r="3270">
      <c r="A3270" s="2" t="inlineStr">
        <is>
          <t>C0638</t>
        </is>
      </c>
      <c r="B3270" s="2" t="inlineStr">
        <is>
          <t>Punjab</t>
        </is>
      </c>
      <c r="C3270" s="2" t="inlineStr">
        <is>
          <t>Jalandhar</t>
        </is>
      </c>
      <c r="D3270" s="2" t="inlineStr">
        <is>
          <t>North</t>
        </is>
      </c>
    </row>
    <row r="3271">
      <c r="A3271" s="2" t="inlineStr">
        <is>
          <t>C0638</t>
        </is>
      </c>
      <c r="B3271" s="2" t="inlineStr">
        <is>
          <t>West Bengal</t>
        </is>
      </c>
      <c r="C3271" s="2" t="inlineStr">
        <is>
          <t>Durgapur</t>
        </is>
      </c>
      <c r="D3271" s="2" t="inlineStr">
        <is>
          <t>East</t>
        </is>
      </c>
    </row>
    <row r="3272">
      <c r="A3272" s="2" t="inlineStr">
        <is>
          <t>C0639</t>
        </is>
      </c>
      <c r="B3272" s="2" t="inlineStr">
        <is>
          <t>Kerala</t>
        </is>
      </c>
      <c r="C3272" s="2" t="inlineStr">
        <is>
          <t>Thiruvananthapuram</t>
        </is>
      </c>
      <c r="D3272" s="2" t="inlineStr">
        <is>
          <t>South</t>
        </is>
      </c>
    </row>
    <row r="3273">
      <c r="A3273" s="2" t="inlineStr">
        <is>
          <t>C0639</t>
        </is>
      </c>
      <c r="B3273" s="2" t="inlineStr">
        <is>
          <t>Gujarat</t>
        </is>
      </c>
      <c r="C3273" s="2" t="inlineStr">
        <is>
          <t>Surat</t>
        </is>
      </c>
      <c r="D3273" s="2" t="inlineStr">
        <is>
          <t>West</t>
        </is>
      </c>
    </row>
    <row r="3274">
      <c r="A3274" s="2" t="inlineStr">
        <is>
          <t>C0639</t>
        </is>
      </c>
      <c r="B3274" s="2" t="inlineStr">
        <is>
          <t>Goa</t>
        </is>
      </c>
      <c r="C3274" s="2" t="inlineStr">
        <is>
          <t>Margao</t>
        </is>
      </c>
      <c r="D3274" s="2" t="inlineStr">
        <is>
          <t>West</t>
        </is>
      </c>
    </row>
    <row r="3275">
      <c r="A3275" s="2" t="inlineStr">
        <is>
          <t>C0639</t>
        </is>
      </c>
      <c r="B3275" s="2" t="inlineStr">
        <is>
          <t>Haryana</t>
        </is>
      </c>
      <c r="C3275" s="2" t="inlineStr">
        <is>
          <t>Faridabad</t>
        </is>
      </c>
      <c r="D3275" s="2" t="inlineStr">
        <is>
          <t>North</t>
        </is>
      </c>
    </row>
    <row r="3276">
      <c r="A3276" s="2" t="inlineStr">
        <is>
          <t>C0639</t>
        </is>
      </c>
      <c r="B3276" s="2" t="inlineStr">
        <is>
          <t>Uttar Pradesh</t>
        </is>
      </c>
      <c r="C3276" s="2" t="inlineStr">
        <is>
          <t>Varanasi</t>
        </is>
      </c>
      <c r="D3276" s="2" t="inlineStr">
        <is>
          <t>North</t>
        </is>
      </c>
    </row>
    <row r="3277">
      <c r="A3277" s="2" t="inlineStr">
        <is>
          <t>C0639</t>
        </is>
      </c>
      <c r="B3277" s="2" t="inlineStr">
        <is>
          <t>Telangana</t>
        </is>
      </c>
      <c r="C3277" s="2" t="inlineStr">
        <is>
          <t>Hyderabad</t>
        </is>
      </c>
      <c r="D3277" s="2" t="inlineStr">
        <is>
          <t>South</t>
        </is>
      </c>
    </row>
    <row r="3278">
      <c r="A3278" s="2" t="inlineStr">
        <is>
          <t>C0639</t>
        </is>
      </c>
      <c r="B3278" s="2" t="inlineStr">
        <is>
          <t>Karnataka</t>
        </is>
      </c>
      <c r="C3278" s="2" t="inlineStr">
        <is>
          <t>Mysuru</t>
        </is>
      </c>
      <c r="D3278" s="2" t="inlineStr">
        <is>
          <t>South</t>
        </is>
      </c>
    </row>
    <row r="3279">
      <c r="A3279" s="2" t="inlineStr">
        <is>
          <t>C0639</t>
        </is>
      </c>
      <c r="B3279" s="2" t="inlineStr">
        <is>
          <t>Gujarat</t>
        </is>
      </c>
      <c r="C3279" s="2" t="inlineStr">
        <is>
          <t>Ahmedabad</t>
        </is>
      </c>
      <c r="D3279" s="2" t="inlineStr">
        <is>
          <t>West</t>
        </is>
      </c>
    </row>
    <row r="3280">
      <c r="A3280" s="2" t="inlineStr">
        <is>
          <t>C0639</t>
        </is>
      </c>
      <c r="B3280" s="2" t="inlineStr">
        <is>
          <t>Haryana</t>
        </is>
      </c>
      <c r="C3280" s="2" t="inlineStr">
        <is>
          <t>Gurugram</t>
        </is>
      </c>
      <c r="D3280" s="2" t="inlineStr">
        <is>
          <t>North</t>
        </is>
      </c>
    </row>
    <row r="3281">
      <c r="A3281" s="2" t="inlineStr">
        <is>
          <t>C0639</t>
        </is>
      </c>
      <c r="B3281" s="2" t="inlineStr">
        <is>
          <t>Delhi</t>
        </is>
      </c>
      <c r="C3281" s="2" t="inlineStr">
        <is>
          <t>New Delhi</t>
        </is>
      </c>
      <c r="D3281" s="2" t="inlineStr">
        <is>
          <t>North</t>
        </is>
      </c>
    </row>
    <row r="3282">
      <c r="A3282" s="2" t="inlineStr">
        <is>
          <t>C0639</t>
        </is>
      </c>
      <c r="B3282" s="2" t="inlineStr">
        <is>
          <t>Tamil Nadu</t>
        </is>
      </c>
      <c r="C3282" s="2" t="inlineStr">
        <is>
          <t>Madurai</t>
        </is>
      </c>
      <c r="D3282" s="2" t="inlineStr">
        <is>
          <t>South</t>
        </is>
      </c>
    </row>
    <row r="3283">
      <c r="A3283" s="2" t="inlineStr">
        <is>
          <t>C0639</t>
        </is>
      </c>
      <c r="B3283" s="2" t="inlineStr">
        <is>
          <t>Uttar Pradesh</t>
        </is>
      </c>
      <c r="C3283" s="2" t="inlineStr">
        <is>
          <t>Lucknow</t>
        </is>
      </c>
      <c r="D3283" s="2" t="inlineStr">
        <is>
          <t>North</t>
        </is>
      </c>
    </row>
    <row r="3284">
      <c r="A3284" s="2" t="inlineStr">
        <is>
          <t>C0639</t>
        </is>
      </c>
      <c r="B3284" s="2" t="inlineStr">
        <is>
          <t>Karnataka</t>
        </is>
      </c>
      <c r="C3284" s="2" t="inlineStr">
        <is>
          <t>Mangaluru</t>
        </is>
      </c>
      <c r="D3284" s="2" t="inlineStr">
        <is>
          <t>South</t>
        </is>
      </c>
    </row>
    <row r="3285">
      <c r="A3285" s="2" t="inlineStr">
        <is>
          <t>C0640</t>
        </is>
      </c>
      <c r="B3285" s="2" t="inlineStr">
        <is>
          <t>Uttar Pradesh</t>
        </is>
      </c>
      <c r="C3285" s="2" t="inlineStr">
        <is>
          <t>Lucknow</t>
        </is>
      </c>
      <c r="D3285" s="2" t="inlineStr">
        <is>
          <t>North</t>
        </is>
      </c>
    </row>
    <row r="3286">
      <c r="A3286" s="2" t="inlineStr">
        <is>
          <t>C0640</t>
        </is>
      </c>
      <c r="B3286" s="2" t="inlineStr">
        <is>
          <t>Tamil Nadu</t>
        </is>
      </c>
      <c r="C3286" s="2" t="inlineStr">
        <is>
          <t>Chennai</t>
        </is>
      </c>
      <c r="D3286" s="2" t="inlineStr">
        <is>
          <t>South</t>
        </is>
      </c>
    </row>
    <row r="3287">
      <c r="A3287" s="2" t="inlineStr">
        <is>
          <t>C0640</t>
        </is>
      </c>
      <c r="B3287" s="2" t="inlineStr">
        <is>
          <t>Uttar Pradesh</t>
        </is>
      </c>
      <c r="C3287" s="2" t="inlineStr">
        <is>
          <t>Noida</t>
        </is>
      </c>
      <c r="D3287" s="2" t="inlineStr">
        <is>
          <t>North</t>
        </is>
      </c>
    </row>
    <row r="3288">
      <c r="A3288" s="2" t="inlineStr">
        <is>
          <t>C0641</t>
        </is>
      </c>
      <c r="B3288" s="2" t="inlineStr">
        <is>
          <t>Kerala</t>
        </is>
      </c>
      <c r="C3288" s="2" t="inlineStr">
        <is>
          <t>Kochi</t>
        </is>
      </c>
      <c r="D3288" s="2" t="inlineStr">
        <is>
          <t>South</t>
        </is>
      </c>
    </row>
    <row r="3289">
      <c r="A3289" s="2" t="inlineStr">
        <is>
          <t>C0642</t>
        </is>
      </c>
      <c r="B3289" s="2" t="inlineStr">
        <is>
          <t>Bihar</t>
        </is>
      </c>
      <c r="C3289" s="2" t="inlineStr">
        <is>
          <t>Gaya</t>
        </is>
      </c>
      <c r="D3289" s="2" t="inlineStr">
        <is>
          <t>East</t>
        </is>
      </c>
    </row>
    <row r="3290">
      <c r="A3290" s="2" t="inlineStr">
        <is>
          <t>C0642</t>
        </is>
      </c>
      <c r="B3290" s="2" t="inlineStr">
        <is>
          <t>Goa</t>
        </is>
      </c>
      <c r="C3290" s="2" t="inlineStr">
        <is>
          <t>Panaji</t>
        </is>
      </c>
      <c r="D3290" s="2" t="inlineStr">
        <is>
          <t>West</t>
        </is>
      </c>
    </row>
    <row r="3291">
      <c r="A3291" s="2" t="inlineStr">
        <is>
          <t>C0642</t>
        </is>
      </c>
      <c r="B3291" s="2" t="inlineStr">
        <is>
          <t>West Bengal</t>
        </is>
      </c>
      <c r="C3291" s="2" t="inlineStr">
        <is>
          <t>Durgapur</t>
        </is>
      </c>
      <c r="D3291" s="2" t="inlineStr">
        <is>
          <t>East</t>
        </is>
      </c>
    </row>
    <row r="3292">
      <c r="A3292" s="2" t="inlineStr">
        <is>
          <t>C0642</t>
        </is>
      </c>
      <c r="B3292" s="2" t="inlineStr">
        <is>
          <t>Tamil Nadu</t>
        </is>
      </c>
      <c r="C3292" s="2" t="inlineStr">
        <is>
          <t>Madurai</t>
        </is>
      </c>
      <c r="D3292" s="2" t="inlineStr">
        <is>
          <t>South</t>
        </is>
      </c>
    </row>
    <row r="3293">
      <c r="A3293" s="2" t="inlineStr">
        <is>
          <t>C0642</t>
        </is>
      </c>
      <c r="B3293" s="2" t="inlineStr">
        <is>
          <t>West Bengal</t>
        </is>
      </c>
      <c r="C3293" s="2" t="inlineStr">
        <is>
          <t>Kolkata</t>
        </is>
      </c>
      <c r="D3293" s="2" t="inlineStr">
        <is>
          <t>East</t>
        </is>
      </c>
    </row>
    <row r="3294">
      <c r="A3294" s="2" t="inlineStr">
        <is>
          <t>C0642</t>
        </is>
      </c>
      <c r="B3294" s="2" t="inlineStr">
        <is>
          <t>Maharashtra</t>
        </is>
      </c>
      <c r="C3294" s="2" t="inlineStr">
        <is>
          <t>Mumbai</t>
        </is>
      </c>
      <c r="D3294" s="2" t="inlineStr">
        <is>
          <t>West</t>
        </is>
      </c>
    </row>
    <row r="3295">
      <c r="A3295" s="2" t="inlineStr">
        <is>
          <t>C0643</t>
        </is>
      </c>
      <c r="B3295" s="2" t="inlineStr">
        <is>
          <t>West Bengal</t>
        </is>
      </c>
      <c r="C3295" s="2" t="inlineStr">
        <is>
          <t>Durgapur</t>
        </is>
      </c>
      <c r="D3295" s="2" t="inlineStr">
        <is>
          <t>East</t>
        </is>
      </c>
    </row>
    <row r="3296">
      <c r="A3296" s="2" t="inlineStr">
        <is>
          <t>C0643</t>
        </is>
      </c>
      <c r="B3296" s="2" t="inlineStr">
        <is>
          <t>Goa</t>
        </is>
      </c>
      <c r="C3296" s="2" t="inlineStr">
        <is>
          <t>Panaji</t>
        </is>
      </c>
      <c r="D3296" s="2" t="inlineStr">
        <is>
          <t>West</t>
        </is>
      </c>
    </row>
    <row r="3297">
      <c r="A3297" s="2" t="inlineStr">
        <is>
          <t>C0644</t>
        </is>
      </c>
      <c r="B3297" s="2" t="inlineStr">
        <is>
          <t>Karnataka</t>
        </is>
      </c>
      <c r="C3297" s="2" t="inlineStr">
        <is>
          <t>Mysuru</t>
        </is>
      </c>
      <c r="D3297" s="2" t="inlineStr">
        <is>
          <t>South</t>
        </is>
      </c>
    </row>
    <row r="3298">
      <c r="A3298" s="2" t="inlineStr">
        <is>
          <t>C0644</t>
        </is>
      </c>
      <c r="B3298" s="2" t="inlineStr">
        <is>
          <t>Maharashtra</t>
        </is>
      </c>
      <c r="C3298" s="2" t="inlineStr">
        <is>
          <t>Nashik</t>
        </is>
      </c>
      <c r="D3298" s="2" t="inlineStr">
        <is>
          <t>West</t>
        </is>
      </c>
    </row>
    <row r="3299">
      <c r="A3299" s="2" t="inlineStr">
        <is>
          <t>C0644</t>
        </is>
      </c>
      <c r="B3299" s="2" t="inlineStr">
        <is>
          <t>Tamil Nadu</t>
        </is>
      </c>
      <c r="C3299" s="2" t="inlineStr">
        <is>
          <t>Madurai</t>
        </is>
      </c>
      <c r="D3299" s="2" t="inlineStr">
        <is>
          <t>South</t>
        </is>
      </c>
    </row>
    <row r="3300">
      <c r="A3300" s="2" t="inlineStr">
        <is>
          <t>C0644</t>
        </is>
      </c>
      <c r="B3300" s="2" t="inlineStr">
        <is>
          <t>Haryana</t>
        </is>
      </c>
      <c r="C3300" s="2" t="inlineStr">
        <is>
          <t>Gurugram</t>
        </is>
      </c>
      <c r="D3300" s="2" t="inlineStr">
        <is>
          <t>North</t>
        </is>
      </c>
    </row>
    <row r="3301">
      <c r="A3301" s="2" t="inlineStr">
        <is>
          <t>C0644</t>
        </is>
      </c>
      <c r="B3301" s="2" t="inlineStr">
        <is>
          <t>Odisha</t>
        </is>
      </c>
      <c r="C3301" s="2" t="inlineStr">
        <is>
          <t>Bhubaneswar</t>
        </is>
      </c>
      <c r="D3301" s="2" t="inlineStr">
        <is>
          <t>East</t>
        </is>
      </c>
    </row>
    <row r="3302">
      <c r="A3302" s="2" t="inlineStr">
        <is>
          <t>C0645</t>
        </is>
      </c>
      <c r="B3302" s="2" t="inlineStr">
        <is>
          <t>Uttar Pradesh</t>
        </is>
      </c>
      <c r="C3302" s="2" t="inlineStr">
        <is>
          <t>Noida</t>
        </is>
      </c>
      <c r="D3302" s="2" t="inlineStr">
        <is>
          <t>North</t>
        </is>
      </c>
    </row>
    <row r="3303">
      <c r="A3303" s="2" t="inlineStr">
        <is>
          <t>C0645</t>
        </is>
      </c>
      <c r="B3303" s="2" t="inlineStr">
        <is>
          <t>West Bengal</t>
        </is>
      </c>
      <c r="C3303" s="2" t="inlineStr">
        <is>
          <t>Kolkata</t>
        </is>
      </c>
      <c r="D3303" s="2" t="inlineStr">
        <is>
          <t>East</t>
        </is>
      </c>
    </row>
    <row r="3304">
      <c r="A3304" s="2" t="inlineStr">
        <is>
          <t>C0646</t>
        </is>
      </c>
      <c r="B3304" s="2" t="inlineStr">
        <is>
          <t>Tamil Nadu</t>
        </is>
      </c>
      <c r="C3304" s="2" t="inlineStr">
        <is>
          <t>Coimbatore</t>
        </is>
      </c>
      <c r="D3304" s="2" t="inlineStr">
        <is>
          <t>South</t>
        </is>
      </c>
    </row>
    <row r="3305">
      <c r="A3305" s="2" t="inlineStr">
        <is>
          <t>C0646</t>
        </is>
      </c>
      <c r="B3305" s="2" t="inlineStr">
        <is>
          <t>Odisha</t>
        </is>
      </c>
      <c r="C3305" s="2" t="inlineStr">
        <is>
          <t>Cuttack</t>
        </is>
      </c>
      <c r="D3305" s="2" t="inlineStr">
        <is>
          <t>East</t>
        </is>
      </c>
    </row>
    <row r="3306">
      <c r="A3306" s="2" t="inlineStr">
        <is>
          <t>C0646</t>
        </is>
      </c>
      <c r="B3306" s="2" t="inlineStr">
        <is>
          <t>Maharashtra</t>
        </is>
      </c>
      <c r="C3306" s="2" t="inlineStr">
        <is>
          <t>Nagpur</t>
        </is>
      </c>
      <c r="D3306" s="2" t="inlineStr">
        <is>
          <t>West</t>
        </is>
      </c>
    </row>
    <row r="3307">
      <c r="A3307" s="2" t="inlineStr">
        <is>
          <t>C0647</t>
        </is>
      </c>
      <c r="B3307" s="2" t="inlineStr">
        <is>
          <t>West Bengal</t>
        </is>
      </c>
      <c r="C3307" s="2" t="inlineStr">
        <is>
          <t>Kolkata</t>
        </is>
      </c>
      <c r="D3307" s="2" t="inlineStr">
        <is>
          <t>East</t>
        </is>
      </c>
    </row>
    <row r="3308">
      <c r="A3308" s="2" t="inlineStr">
        <is>
          <t>C0647</t>
        </is>
      </c>
      <c r="B3308" s="2" t="inlineStr">
        <is>
          <t>Kerala</t>
        </is>
      </c>
      <c r="C3308" s="2" t="inlineStr">
        <is>
          <t>Kochi</t>
        </is>
      </c>
      <c r="D3308" s="2" t="inlineStr">
        <is>
          <t>South</t>
        </is>
      </c>
    </row>
    <row r="3309">
      <c r="A3309" s="2" t="inlineStr">
        <is>
          <t>C0647</t>
        </is>
      </c>
      <c r="B3309" s="2" t="inlineStr">
        <is>
          <t>Kerala</t>
        </is>
      </c>
      <c r="C3309" s="2" t="inlineStr">
        <is>
          <t>Thiruvananthapuram</t>
        </is>
      </c>
      <c r="D3309" s="2" t="inlineStr">
        <is>
          <t>South</t>
        </is>
      </c>
    </row>
    <row r="3310">
      <c r="A3310" s="2" t="inlineStr">
        <is>
          <t>C0648</t>
        </is>
      </c>
      <c r="B3310" s="2" t="inlineStr">
        <is>
          <t>Haryana</t>
        </is>
      </c>
      <c r="C3310" s="2" t="inlineStr">
        <is>
          <t>Faridabad</t>
        </is>
      </c>
      <c r="D3310" s="2" t="inlineStr">
        <is>
          <t>North</t>
        </is>
      </c>
    </row>
    <row r="3311">
      <c r="A3311" s="2" t="inlineStr">
        <is>
          <t>C0648</t>
        </is>
      </c>
      <c r="B3311" s="2" t="inlineStr">
        <is>
          <t>Odisha</t>
        </is>
      </c>
      <c r="C3311" s="2" t="inlineStr">
        <is>
          <t>Cuttack</t>
        </is>
      </c>
      <c r="D3311" s="2" t="inlineStr">
        <is>
          <t>East</t>
        </is>
      </c>
    </row>
    <row r="3312">
      <c r="A3312" s="2" t="inlineStr">
        <is>
          <t>C0648</t>
        </is>
      </c>
      <c r="B3312" s="2" t="inlineStr">
        <is>
          <t>Delhi</t>
        </is>
      </c>
      <c r="C3312" s="2" t="inlineStr">
        <is>
          <t>New Delhi</t>
        </is>
      </c>
      <c r="D3312" s="2" t="inlineStr">
        <is>
          <t>North</t>
        </is>
      </c>
    </row>
    <row r="3313">
      <c r="A3313" s="2" t="inlineStr">
        <is>
          <t>C0648</t>
        </is>
      </c>
      <c r="B3313" s="2" t="inlineStr">
        <is>
          <t>West Bengal</t>
        </is>
      </c>
      <c r="C3313" s="2" t="inlineStr">
        <is>
          <t>Durgapur</t>
        </is>
      </c>
      <c r="D3313" s="2" t="inlineStr">
        <is>
          <t>East</t>
        </is>
      </c>
    </row>
    <row r="3314">
      <c r="A3314" s="2" t="inlineStr">
        <is>
          <t>C0648</t>
        </is>
      </c>
      <c r="B3314" s="2" t="inlineStr">
        <is>
          <t>Telangana</t>
        </is>
      </c>
      <c r="C3314" s="2" t="inlineStr">
        <is>
          <t>Hyderabad</t>
        </is>
      </c>
      <c r="D3314" s="2" t="inlineStr">
        <is>
          <t>South</t>
        </is>
      </c>
    </row>
    <row r="3315">
      <c r="A3315" s="2" t="inlineStr">
        <is>
          <t>C0648</t>
        </is>
      </c>
      <c r="B3315" s="2" t="inlineStr">
        <is>
          <t>Gujarat</t>
        </is>
      </c>
      <c r="C3315" s="2" t="inlineStr">
        <is>
          <t>Vadodara</t>
        </is>
      </c>
      <c r="D3315" s="2" t="inlineStr">
        <is>
          <t>West</t>
        </is>
      </c>
    </row>
    <row r="3316">
      <c r="A3316" s="2" t="inlineStr">
        <is>
          <t>C0649</t>
        </is>
      </c>
      <c r="B3316" s="2" t="inlineStr">
        <is>
          <t>Gujarat</t>
        </is>
      </c>
      <c r="C3316" s="2" t="inlineStr">
        <is>
          <t>Surat</t>
        </is>
      </c>
      <c r="D3316" s="2" t="inlineStr">
        <is>
          <t>West</t>
        </is>
      </c>
    </row>
    <row r="3317">
      <c r="A3317" s="2" t="inlineStr">
        <is>
          <t>C0649</t>
        </is>
      </c>
      <c r="B3317" s="2" t="inlineStr">
        <is>
          <t>Delhi</t>
        </is>
      </c>
      <c r="C3317" s="2" t="inlineStr">
        <is>
          <t>New Delhi</t>
        </is>
      </c>
      <c r="D3317" s="2" t="inlineStr">
        <is>
          <t>North</t>
        </is>
      </c>
    </row>
    <row r="3318">
      <c r="A3318" s="2" t="inlineStr">
        <is>
          <t>C0649</t>
        </is>
      </c>
      <c r="B3318" s="2" t="inlineStr">
        <is>
          <t>Karnataka</t>
        </is>
      </c>
      <c r="C3318" s="2" t="inlineStr">
        <is>
          <t>Mysuru</t>
        </is>
      </c>
      <c r="D3318" s="2" t="inlineStr">
        <is>
          <t>South</t>
        </is>
      </c>
    </row>
    <row r="3319">
      <c r="A3319" s="2" t="inlineStr">
        <is>
          <t>C0649</t>
        </is>
      </c>
      <c r="B3319" s="2" t="inlineStr">
        <is>
          <t>Goa</t>
        </is>
      </c>
      <c r="C3319" s="2" t="inlineStr">
        <is>
          <t>Panaji</t>
        </is>
      </c>
      <c r="D3319" s="2" t="inlineStr">
        <is>
          <t>West</t>
        </is>
      </c>
    </row>
    <row r="3320">
      <c r="A3320" s="2" t="inlineStr">
        <is>
          <t>C0649</t>
        </is>
      </c>
      <c r="B3320" s="2" t="inlineStr">
        <is>
          <t>Kerala</t>
        </is>
      </c>
      <c r="C3320" s="2" t="inlineStr">
        <is>
          <t>Kochi</t>
        </is>
      </c>
      <c r="D3320" s="2" t="inlineStr">
        <is>
          <t>South</t>
        </is>
      </c>
    </row>
    <row r="3321">
      <c r="A3321" s="2" t="inlineStr">
        <is>
          <t>C0649</t>
        </is>
      </c>
      <c r="B3321" s="2" t="inlineStr">
        <is>
          <t>West Bengal</t>
        </is>
      </c>
      <c r="C3321" s="2" t="inlineStr">
        <is>
          <t>Kolkata</t>
        </is>
      </c>
      <c r="D3321" s="2" t="inlineStr">
        <is>
          <t>East</t>
        </is>
      </c>
    </row>
    <row r="3322">
      <c r="A3322" s="2" t="inlineStr">
        <is>
          <t>C0650</t>
        </is>
      </c>
      <c r="B3322" s="2" t="inlineStr">
        <is>
          <t>Gujarat</t>
        </is>
      </c>
      <c r="C3322" s="2" t="inlineStr">
        <is>
          <t>Vadodara</t>
        </is>
      </c>
      <c r="D3322" s="2" t="inlineStr">
        <is>
          <t>West</t>
        </is>
      </c>
    </row>
    <row r="3323">
      <c r="A3323" s="2" t="inlineStr">
        <is>
          <t>C0650</t>
        </is>
      </c>
      <c r="B3323" s="2" t="inlineStr">
        <is>
          <t>Telangana</t>
        </is>
      </c>
      <c r="C3323" s="2" t="inlineStr">
        <is>
          <t>Warangal</t>
        </is>
      </c>
      <c r="D3323" s="2" t="inlineStr">
        <is>
          <t>South</t>
        </is>
      </c>
    </row>
    <row r="3324">
      <c r="A3324" s="2" t="inlineStr">
        <is>
          <t>C0650</t>
        </is>
      </c>
      <c r="B3324" s="2" t="inlineStr">
        <is>
          <t>Bihar</t>
        </is>
      </c>
      <c r="C3324" s="2" t="inlineStr">
        <is>
          <t>Gaya</t>
        </is>
      </c>
      <c r="D3324" s="2" t="inlineStr">
        <is>
          <t>East</t>
        </is>
      </c>
    </row>
    <row r="3325">
      <c r="A3325" s="2" t="inlineStr">
        <is>
          <t>C0650</t>
        </is>
      </c>
      <c r="B3325" s="2" t="inlineStr">
        <is>
          <t>Telangana</t>
        </is>
      </c>
      <c r="C3325" s="2" t="inlineStr">
        <is>
          <t>Hyderabad</t>
        </is>
      </c>
      <c r="D3325" s="2" t="inlineStr">
        <is>
          <t>South</t>
        </is>
      </c>
    </row>
    <row r="3326">
      <c r="A3326" s="2" t="inlineStr">
        <is>
          <t>C0650</t>
        </is>
      </c>
      <c r="B3326" s="2" t="inlineStr">
        <is>
          <t>Maharashtra</t>
        </is>
      </c>
      <c r="C3326" s="2" t="inlineStr">
        <is>
          <t>Thane</t>
        </is>
      </c>
      <c r="D3326" s="2" t="inlineStr">
        <is>
          <t>West</t>
        </is>
      </c>
    </row>
    <row r="3327">
      <c r="A3327" s="2" t="inlineStr">
        <is>
          <t>C0651</t>
        </is>
      </c>
      <c r="B3327" s="2" t="inlineStr">
        <is>
          <t>Gujarat</t>
        </is>
      </c>
      <c r="C3327" s="2" t="inlineStr">
        <is>
          <t>Surat</t>
        </is>
      </c>
      <c r="D3327" s="2" t="inlineStr">
        <is>
          <t>West</t>
        </is>
      </c>
    </row>
    <row r="3328">
      <c r="A3328" s="2" t="inlineStr">
        <is>
          <t>C0651</t>
        </is>
      </c>
      <c r="B3328" s="2" t="inlineStr">
        <is>
          <t>West Bengal</t>
        </is>
      </c>
      <c r="C3328" s="2" t="inlineStr">
        <is>
          <t>Durgapur</t>
        </is>
      </c>
      <c r="D3328" s="2" t="inlineStr">
        <is>
          <t>East</t>
        </is>
      </c>
    </row>
    <row r="3329">
      <c r="A3329" s="2" t="inlineStr">
        <is>
          <t>C0651</t>
        </is>
      </c>
      <c r="B3329" s="2" t="inlineStr">
        <is>
          <t>Punjab</t>
        </is>
      </c>
      <c r="C3329" s="2" t="inlineStr">
        <is>
          <t>Jalandhar</t>
        </is>
      </c>
      <c r="D3329" s="2" t="inlineStr">
        <is>
          <t>North</t>
        </is>
      </c>
    </row>
    <row r="3330">
      <c r="A3330" s="2" t="inlineStr">
        <is>
          <t>C0651</t>
        </is>
      </c>
      <c r="B3330" s="2" t="inlineStr">
        <is>
          <t>Telangana</t>
        </is>
      </c>
      <c r="C3330" s="2" t="inlineStr">
        <is>
          <t>Hyderabad</t>
        </is>
      </c>
      <c r="D3330" s="2" t="inlineStr">
        <is>
          <t>South</t>
        </is>
      </c>
    </row>
    <row r="3331">
      <c r="A3331" s="2" t="inlineStr">
        <is>
          <t>C0651</t>
        </is>
      </c>
      <c r="B3331" s="2" t="inlineStr">
        <is>
          <t>Gujarat</t>
        </is>
      </c>
      <c r="C3331" s="2" t="inlineStr">
        <is>
          <t>Ahmedabad</t>
        </is>
      </c>
      <c r="D3331" s="2" t="inlineStr">
        <is>
          <t>West</t>
        </is>
      </c>
    </row>
    <row r="3332">
      <c r="A3332" s="2" t="inlineStr">
        <is>
          <t>C0651</t>
        </is>
      </c>
      <c r="B3332" s="2" t="inlineStr">
        <is>
          <t>Delhi</t>
        </is>
      </c>
      <c r="C3332" s="2" t="inlineStr">
        <is>
          <t>New Delhi</t>
        </is>
      </c>
      <c r="D3332" s="2" t="inlineStr">
        <is>
          <t>North</t>
        </is>
      </c>
    </row>
    <row r="3333">
      <c r="A3333" s="2" t="inlineStr">
        <is>
          <t>C0651</t>
        </is>
      </c>
      <c r="B3333" s="2" t="inlineStr">
        <is>
          <t>Karnataka</t>
        </is>
      </c>
      <c r="C3333" s="2" t="inlineStr">
        <is>
          <t>Bengaluru</t>
        </is>
      </c>
      <c r="D3333" s="2" t="inlineStr">
        <is>
          <t>South</t>
        </is>
      </c>
    </row>
    <row r="3334">
      <c r="A3334" s="2" t="inlineStr">
        <is>
          <t>C0652</t>
        </is>
      </c>
      <c r="B3334" s="2" t="inlineStr">
        <is>
          <t>Haryana</t>
        </is>
      </c>
      <c r="C3334" s="2" t="inlineStr">
        <is>
          <t>Gurugram</t>
        </is>
      </c>
      <c r="D3334" s="2" t="inlineStr">
        <is>
          <t>North</t>
        </is>
      </c>
    </row>
    <row r="3335">
      <c r="A3335" s="2" t="inlineStr">
        <is>
          <t>C0652</t>
        </is>
      </c>
      <c r="B3335" s="2" t="inlineStr">
        <is>
          <t>Punjab</t>
        </is>
      </c>
      <c r="C3335" s="2" t="inlineStr">
        <is>
          <t>Jalandhar</t>
        </is>
      </c>
      <c r="D3335" s="2" t="inlineStr">
        <is>
          <t>North</t>
        </is>
      </c>
    </row>
    <row r="3336">
      <c r="A3336" s="2" t="inlineStr">
        <is>
          <t>C0653</t>
        </is>
      </c>
      <c r="B3336" s="2" t="inlineStr">
        <is>
          <t>Gujarat</t>
        </is>
      </c>
      <c r="C3336" s="2" t="inlineStr">
        <is>
          <t>Surat</t>
        </is>
      </c>
      <c r="D3336" s="2" t="inlineStr">
        <is>
          <t>West</t>
        </is>
      </c>
    </row>
    <row r="3337">
      <c r="A3337" s="2" t="inlineStr">
        <is>
          <t>C0653</t>
        </is>
      </c>
      <c r="B3337" s="2" t="inlineStr">
        <is>
          <t>Kerala</t>
        </is>
      </c>
      <c r="C3337" s="2" t="inlineStr">
        <is>
          <t>Kochi</t>
        </is>
      </c>
      <c r="D3337" s="2" t="inlineStr">
        <is>
          <t>South</t>
        </is>
      </c>
    </row>
    <row r="3338">
      <c r="A3338" s="2" t="inlineStr">
        <is>
          <t>C0653</t>
        </is>
      </c>
      <c r="B3338" s="2" t="inlineStr">
        <is>
          <t>Odisha</t>
        </is>
      </c>
      <c r="C3338" s="2" t="inlineStr">
        <is>
          <t>Cuttack</t>
        </is>
      </c>
      <c r="D3338" s="2" t="inlineStr">
        <is>
          <t>East</t>
        </is>
      </c>
    </row>
    <row r="3339">
      <c r="A3339" s="2" t="inlineStr">
        <is>
          <t>C0653</t>
        </is>
      </c>
      <c r="B3339" s="2" t="inlineStr">
        <is>
          <t>Maharashtra</t>
        </is>
      </c>
      <c r="C3339" s="2" t="inlineStr">
        <is>
          <t>Nagpur</t>
        </is>
      </c>
      <c r="D3339" s="2" t="inlineStr">
        <is>
          <t>West</t>
        </is>
      </c>
    </row>
    <row r="3340">
      <c r="A3340" s="2" t="inlineStr">
        <is>
          <t>C0654</t>
        </is>
      </c>
      <c r="B3340" s="2" t="inlineStr">
        <is>
          <t>Gujarat</t>
        </is>
      </c>
      <c r="C3340" s="2" t="inlineStr">
        <is>
          <t>Surat</t>
        </is>
      </c>
      <c r="D3340" s="2" t="inlineStr">
        <is>
          <t>West</t>
        </is>
      </c>
    </row>
    <row r="3341">
      <c r="A3341" s="2" t="inlineStr">
        <is>
          <t>C0654</t>
        </is>
      </c>
      <c r="B3341" s="2" t="inlineStr">
        <is>
          <t>Maharashtra</t>
        </is>
      </c>
      <c r="C3341" s="2" t="inlineStr">
        <is>
          <t>Nashik</t>
        </is>
      </c>
      <c r="D3341" s="2" t="inlineStr">
        <is>
          <t>West</t>
        </is>
      </c>
    </row>
    <row r="3342">
      <c r="A3342" s="2" t="inlineStr">
        <is>
          <t>C0654</t>
        </is>
      </c>
      <c r="B3342" s="2" t="inlineStr">
        <is>
          <t>Maharashtra</t>
        </is>
      </c>
      <c r="C3342" s="2" t="inlineStr">
        <is>
          <t>Nagpur</t>
        </is>
      </c>
      <c r="D3342" s="2" t="inlineStr">
        <is>
          <t>West</t>
        </is>
      </c>
    </row>
    <row r="3343">
      <c r="A3343" s="2" t="inlineStr">
        <is>
          <t>C0655</t>
        </is>
      </c>
      <c r="B3343" s="2" t="inlineStr">
        <is>
          <t>Gujarat</t>
        </is>
      </c>
      <c r="C3343" s="2" t="inlineStr">
        <is>
          <t>Ahmedabad</t>
        </is>
      </c>
      <c r="D3343" s="2" t="inlineStr">
        <is>
          <t>West</t>
        </is>
      </c>
    </row>
    <row r="3344">
      <c r="A3344" s="2" t="inlineStr">
        <is>
          <t>C0655</t>
        </is>
      </c>
      <c r="B3344" s="2" t="inlineStr">
        <is>
          <t>Goa</t>
        </is>
      </c>
      <c r="C3344" s="2" t="inlineStr">
        <is>
          <t>Margao</t>
        </is>
      </c>
      <c r="D3344" s="2" t="inlineStr">
        <is>
          <t>West</t>
        </is>
      </c>
    </row>
    <row r="3345">
      <c r="A3345" s="2" t="inlineStr">
        <is>
          <t>C0656</t>
        </is>
      </c>
      <c r="B3345" s="2" t="inlineStr">
        <is>
          <t>Karnataka</t>
        </is>
      </c>
      <c r="C3345" s="2" t="inlineStr">
        <is>
          <t>Mangaluru</t>
        </is>
      </c>
      <c r="D3345" s="2" t="inlineStr">
        <is>
          <t>South</t>
        </is>
      </c>
    </row>
    <row r="3346">
      <c r="A3346" s="2" t="inlineStr">
        <is>
          <t>C0657</t>
        </is>
      </c>
      <c r="B3346" s="2" t="inlineStr">
        <is>
          <t>Gujarat</t>
        </is>
      </c>
      <c r="C3346" s="2" t="inlineStr">
        <is>
          <t>Ahmedabad</t>
        </is>
      </c>
      <c r="D3346" s="2" t="inlineStr">
        <is>
          <t>West</t>
        </is>
      </c>
    </row>
    <row r="3347">
      <c r="A3347" s="2" t="inlineStr">
        <is>
          <t>C0658</t>
        </is>
      </c>
      <c r="B3347" s="2" t="inlineStr">
        <is>
          <t>Gujarat</t>
        </is>
      </c>
      <c r="C3347" s="2" t="inlineStr">
        <is>
          <t>Surat</t>
        </is>
      </c>
      <c r="D3347" s="2" t="inlineStr">
        <is>
          <t>West</t>
        </is>
      </c>
    </row>
    <row r="3348">
      <c r="A3348" s="2" t="inlineStr">
        <is>
          <t>C0658</t>
        </is>
      </c>
      <c r="B3348" s="2" t="inlineStr">
        <is>
          <t>Kerala</t>
        </is>
      </c>
      <c r="C3348" s="2" t="inlineStr">
        <is>
          <t>Thiruvananthapuram</t>
        </is>
      </c>
      <c r="D3348" s="2" t="inlineStr">
        <is>
          <t>South</t>
        </is>
      </c>
    </row>
    <row r="3349">
      <c r="A3349" s="2" t="inlineStr">
        <is>
          <t>C0658</t>
        </is>
      </c>
      <c r="B3349" s="2" t="inlineStr">
        <is>
          <t>Odisha</t>
        </is>
      </c>
      <c r="C3349" s="2" t="inlineStr">
        <is>
          <t>Cuttack</t>
        </is>
      </c>
      <c r="D3349" s="2" t="inlineStr">
        <is>
          <t>East</t>
        </is>
      </c>
    </row>
    <row r="3350">
      <c r="A3350" s="2" t="inlineStr">
        <is>
          <t>C0659</t>
        </is>
      </c>
      <c r="B3350" s="2" t="inlineStr">
        <is>
          <t>Bihar</t>
        </is>
      </c>
      <c r="C3350" s="2" t="inlineStr">
        <is>
          <t>Gaya</t>
        </is>
      </c>
      <c r="D3350" s="2" t="inlineStr">
        <is>
          <t>East</t>
        </is>
      </c>
    </row>
    <row r="3351">
      <c r="A3351" s="2" t="inlineStr">
        <is>
          <t>C0659</t>
        </is>
      </c>
      <c r="B3351" s="2" t="inlineStr">
        <is>
          <t>Goa</t>
        </is>
      </c>
      <c r="C3351" s="2" t="inlineStr">
        <is>
          <t>Margao</t>
        </is>
      </c>
      <c r="D3351" s="2" t="inlineStr">
        <is>
          <t>West</t>
        </is>
      </c>
    </row>
    <row r="3352">
      <c r="A3352" s="2" t="inlineStr">
        <is>
          <t>C0659</t>
        </is>
      </c>
      <c r="B3352" s="2" t="inlineStr">
        <is>
          <t>Goa</t>
        </is>
      </c>
      <c r="C3352" s="2" t="inlineStr">
        <is>
          <t>Panaji</t>
        </is>
      </c>
      <c r="D3352" s="2" t="inlineStr">
        <is>
          <t>West</t>
        </is>
      </c>
    </row>
    <row r="3353">
      <c r="A3353" s="2" t="inlineStr">
        <is>
          <t>C0659</t>
        </is>
      </c>
      <c r="B3353" s="2" t="inlineStr">
        <is>
          <t>Kerala</t>
        </is>
      </c>
      <c r="C3353" s="2" t="inlineStr">
        <is>
          <t>Kochi</t>
        </is>
      </c>
      <c r="D3353" s="2" t="inlineStr">
        <is>
          <t>South</t>
        </is>
      </c>
    </row>
    <row r="3354">
      <c r="A3354" s="2" t="inlineStr">
        <is>
          <t>C0659</t>
        </is>
      </c>
      <c r="B3354" s="2" t="inlineStr">
        <is>
          <t>Tamil Nadu</t>
        </is>
      </c>
      <c r="C3354" s="2" t="inlineStr">
        <is>
          <t>Chennai</t>
        </is>
      </c>
      <c r="D3354" s="2" t="inlineStr">
        <is>
          <t>South</t>
        </is>
      </c>
    </row>
    <row r="3355">
      <c r="A3355" s="2" t="inlineStr">
        <is>
          <t>C0659</t>
        </is>
      </c>
      <c r="B3355" s="2" t="inlineStr">
        <is>
          <t>Telangana</t>
        </is>
      </c>
      <c r="C3355" s="2" t="inlineStr">
        <is>
          <t>Warangal</t>
        </is>
      </c>
      <c r="D3355" s="2" t="inlineStr">
        <is>
          <t>South</t>
        </is>
      </c>
    </row>
    <row r="3356">
      <c r="A3356" s="2" t="inlineStr">
        <is>
          <t>C0660</t>
        </is>
      </c>
      <c r="B3356" s="2" t="inlineStr">
        <is>
          <t>Gujarat</t>
        </is>
      </c>
      <c r="C3356" s="2" t="inlineStr">
        <is>
          <t>Surat</t>
        </is>
      </c>
      <c r="D3356" s="2" t="inlineStr">
        <is>
          <t>West</t>
        </is>
      </c>
    </row>
    <row r="3357">
      <c r="A3357" s="2" t="inlineStr">
        <is>
          <t>C0660</t>
        </is>
      </c>
      <c r="B3357" s="2" t="inlineStr">
        <is>
          <t>Gujarat</t>
        </is>
      </c>
      <c r="C3357" s="2" t="inlineStr">
        <is>
          <t>Vadodara</t>
        </is>
      </c>
      <c r="D3357" s="2" t="inlineStr">
        <is>
          <t>West</t>
        </is>
      </c>
    </row>
    <row r="3358">
      <c r="A3358" s="2" t="inlineStr">
        <is>
          <t>C0660</t>
        </is>
      </c>
      <c r="B3358" s="2" t="inlineStr">
        <is>
          <t>Karnataka</t>
        </is>
      </c>
      <c r="C3358" s="2" t="inlineStr">
        <is>
          <t>Mysuru</t>
        </is>
      </c>
      <c r="D3358" s="2" t="inlineStr">
        <is>
          <t>South</t>
        </is>
      </c>
    </row>
    <row r="3359">
      <c r="A3359" s="2" t="inlineStr">
        <is>
          <t>C0660</t>
        </is>
      </c>
      <c r="B3359" s="2" t="inlineStr">
        <is>
          <t>Punjab</t>
        </is>
      </c>
      <c r="C3359" s="2" t="inlineStr">
        <is>
          <t>Jalandhar</t>
        </is>
      </c>
      <c r="D3359" s="2" t="inlineStr">
        <is>
          <t>North</t>
        </is>
      </c>
    </row>
    <row r="3360">
      <c r="A3360" s="2" t="inlineStr">
        <is>
          <t>C0661</t>
        </is>
      </c>
      <c r="B3360" s="2" t="inlineStr">
        <is>
          <t>West Bengal</t>
        </is>
      </c>
      <c r="C3360" s="2" t="inlineStr">
        <is>
          <t>Durgapur</t>
        </is>
      </c>
      <c r="D3360" s="2" t="inlineStr">
        <is>
          <t>East</t>
        </is>
      </c>
    </row>
    <row r="3361">
      <c r="A3361" s="2" t="inlineStr">
        <is>
          <t>C0661</t>
        </is>
      </c>
      <c r="B3361" s="2" t="inlineStr">
        <is>
          <t>Haryana</t>
        </is>
      </c>
      <c r="C3361" s="2" t="inlineStr">
        <is>
          <t>Faridabad</t>
        </is>
      </c>
      <c r="D3361" s="2" t="inlineStr">
        <is>
          <t>North</t>
        </is>
      </c>
    </row>
    <row r="3362">
      <c r="A3362" s="2" t="inlineStr">
        <is>
          <t>C0661</t>
        </is>
      </c>
      <c r="B3362" s="2" t="inlineStr">
        <is>
          <t>Punjab</t>
        </is>
      </c>
      <c r="C3362" s="2" t="inlineStr">
        <is>
          <t>Jalandhar</t>
        </is>
      </c>
      <c r="D3362" s="2" t="inlineStr">
        <is>
          <t>North</t>
        </is>
      </c>
    </row>
    <row r="3363">
      <c r="A3363" s="2" t="inlineStr">
        <is>
          <t>C0661</t>
        </is>
      </c>
      <c r="B3363" s="2" t="inlineStr">
        <is>
          <t>Gujarat</t>
        </is>
      </c>
      <c r="C3363" s="2" t="inlineStr">
        <is>
          <t>Vadodara</t>
        </is>
      </c>
      <c r="D3363" s="2" t="inlineStr">
        <is>
          <t>West</t>
        </is>
      </c>
    </row>
    <row r="3364">
      <c r="A3364" s="2" t="inlineStr">
        <is>
          <t>C0662</t>
        </is>
      </c>
      <c r="B3364" s="2" t="inlineStr">
        <is>
          <t>Goa</t>
        </is>
      </c>
      <c r="C3364" s="2" t="inlineStr">
        <is>
          <t>Panaji</t>
        </is>
      </c>
      <c r="D3364" s="2" t="inlineStr">
        <is>
          <t>West</t>
        </is>
      </c>
    </row>
    <row r="3365">
      <c r="A3365" s="2" t="inlineStr">
        <is>
          <t>C0663</t>
        </is>
      </c>
      <c r="B3365" s="2" t="inlineStr">
        <is>
          <t>Haryana</t>
        </is>
      </c>
      <c r="C3365" s="2" t="inlineStr">
        <is>
          <t>Faridabad</t>
        </is>
      </c>
      <c r="D3365" s="2" t="inlineStr">
        <is>
          <t>North</t>
        </is>
      </c>
    </row>
    <row r="3366">
      <c r="A3366" s="2" t="inlineStr">
        <is>
          <t>C0663</t>
        </is>
      </c>
      <c r="B3366" s="2" t="inlineStr">
        <is>
          <t>Bihar</t>
        </is>
      </c>
      <c r="C3366" s="2" t="inlineStr">
        <is>
          <t>Patna</t>
        </is>
      </c>
      <c r="D3366" s="2" t="inlineStr">
        <is>
          <t>East</t>
        </is>
      </c>
    </row>
    <row r="3367">
      <c r="A3367" s="2" t="inlineStr">
        <is>
          <t>C0663</t>
        </is>
      </c>
      <c r="B3367" s="2" t="inlineStr">
        <is>
          <t>Tamil Nadu</t>
        </is>
      </c>
      <c r="C3367" s="2" t="inlineStr">
        <is>
          <t>Chennai</t>
        </is>
      </c>
      <c r="D3367" s="2" t="inlineStr">
        <is>
          <t>South</t>
        </is>
      </c>
    </row>
    <row r="3368">
      <c r="A3368" s="2" t="inlineStr">
        <is>
          <t>C0664</t>
        </is>
      </c>
      <c r="B3368" s="2" t="inlineStr">
        <is>
          <t>Bihar</t>
        </is>
      </c>
      <c r="C3368" s="2" t="inlineStr">
        <is>
          <t>Gaya</t>
        </is>
      </c>
      <c r="D3368" s="2" t="inlineStr">
        <is>
          <t>East</t>
        </is>
      </c>
    </row>
    <row r="3369">
      <c r="A3369" s="2" t="inlineStr">
        <is>
          <t>C0665</t>
        </is>
      </c>
      <c r="B3369" s="2" t="inlineStr">
        <is>
          <t>Uttar Pradesh</t>
        </is>
      </c>
      <c r="C3369" s="2" t="inlineStr">
        <is>
          <t>Varanasi</t>
        </is>
      </c>
      <c r="D3369" s="2" t="inlineStr">
        <is>
          <t>North</t>
        </is>
      </c>
    </row>
    <row r="3370">
      <c r="A3370" s="2" t="inlineStr">
        <is>
          <t>C0666</t>
        </is>
      </c>
      <c r="B3370" s="2" t="inlineStr">
        <is>
          <t>Gujarat</t>
        </is>
      </c>
      <c r="C3370" s="2" t="inlineStr">
        <is>
          <t>Ahmedabad</t>
        </is>
      </c>
      <c r="D3370" s="2" t="inlineStr">
        <is>
          <t>West</t>
        </is>
      </c>
    </row>
    <row r="3371">
      <c r="A3371" s="2" t="inlineStr">
        <is>
          <t>C0666</t>
        </is>
      </c>
      <c r="B3371" s="2" t="inlineStr">
        <is>
          <t>Tamil Nadu</t>
        </is>
      </c>
      <c r="C3371" s="2" t="inlineStr">
        <is>
          <t>Madurai</t>
        </is>
      </c>
      <c r="D3371" s="2" t="inlineStr">
        <is>
          <t>South</t>
        </is>
      </c>
    </row>
    <row r="3372">
      <c r="A3372" s="2" t="inlineStr">
        <is>
          <t>C0666</t>
        </is>
      </c>
      <c r="B3372" s="2" t="inlineStr">
        <is>
          <t>Delhi</t>
        </is>
      </c>
      <c r="C3372" s="2" t="inlineStr">
        <is>
          <t>New Delhi</t>
        </is>
      </c>
      <c r="D3372" s="2" t="inlineStr">
        <is>
          <t>North</t>
        </is>
      </c>
    </row>
    <row r="3373">
      <c r="A3373" s="2" t="inlineStr">
        <is>
          <t>C0667</t>
        </is>
      </c>
      <c r="B3373" s="2" t="inlineStr">
        <is>
          <t>Maharashtra</t>
        </is>
      </c>
      <c r="C3373" s="2" t="inlineStr">
        <is>
          <t>Thane</t>
        </is>
      </c>
      <c r="D3373" s="2" t="inlineStr">
        <is>
          <t>West</t>
        </is>
      </c>
    </row>
    <row r="3374">
      <c r="A3374" s="2" t="inlineStr">
        <is>
          <t>C0667</t>
        </is>
      </c>
      <c r="B3374" s="2" t="inlineStr">
        <is>
          <t>Goa</t>
        </is>
      </c>
      <c r="C3374" s="2" t="inlineStr">
        <is>
          <t>Panaji</t>
        </is>
      </c>
      <c r="D3374" s="2" t="inlineStr">
        <is>
          <t>West</t>
        </is>
      </c>
    </row>
    <row r="3375">
      <c r="A3375" s="2" t="inlineStr">
        <is>
          <t>C0667</t>
        </is>
      </c>
      <c r="B3375" s="2" t="inlineStr">
        <is>
          <t>Gujarat</t>
        </is>
      </c>
      <c r="C3375" s="2" t="inlineStr">
        <is>
          <t>Vadodara</t>
        </is>
      </c>
      <c r="D3375" s="2" t="inlineStr">
        <is>
          <t>West</t>
        </is>
      </c>
    </row>
    <row r="3376">
      <c r="A3376" s="2" t="inlineStr">
        <is>
          <t>C0667</t>
        </is>
      </c>
      <c r="B3376" s="2" t="inlineStr">
        <is>
          <t>Tamil Nadu</t>
        </is>
      </c>
      <c r="C3376" s="2" t="inlineStr">
        <is>
          <t>Coimbatore</t>
        </is>
      </c>
      <c r="D3376" s="2" t="inlineStr">
        <is>
          <t>South</t>
        </is>
      </c>
    </row>
    <row r="3377">
      <c r="A3377" s="2" t="inlineStr">
        <is>
          <t>C0667</t>
        </is>
      </c>
      <c r="B3377" s="2" t="inlineStr">
        <is>
          <t>Kerala</t>
        </is>
      </c>
      <c r="C3377" s="2" t="inlineStr">
        <is>
          <t>Kochi</t>
        </is>
      </c>
      <c r="D3377" s="2" t="inlineStr">
        <is>
          <t>South</t>
        </is>
      </c>
    </row>
    <row r="3378">
      <c r="A3378" s="2" t="inlineStr">
        <is>
          <t>C0667</t>
        </is>
      </c>
      <c r="B3378" s="2" t="inlineStr">
        <is>
          <t>Maharashtra</t>
        </is>
      </c>
      <c r="C3378" s="2" t="inlineStr">
        <is>
          <t>Pune</t>
        </is>
      </c>
      <c r="D3378" s="2" t="inlineStr">
        <is>
          <t>West</t>
        </is>
      </c>
    </row>
    <row r="3379">
      <c r="A3379" s="2" t="inlineStr">
        <is>
          <t>C0667</t>
        </is>
      </c>
      <c r="B3379" s="2" t="inlineStr">
        <is>
          <t>Punjab</t>
        </is>
      </c>
      <c r="C3379" s="2" t="inlineStr">
        <is>
          <t>Amritsar</t>
        </is>
      </c>
      <c r="D3379" s="2" t="inlineStr">
        <is>
          <t>North</t>
        </is>
      </c>
    </row>
    <row r="3380">
      <c r="A3380" s="2" t="inlineStr">
        <is>
          <t>C0667</t>
        </is>
      </c>
      <c r="B3380" s="2" t="inlineStr">
        <is>
          <t>West Bengal</t>
        </is>
      </c>
      <c r="C3380" s="2" t="inlineStr">
        <is>
          <t>Durgapur</t>
        </is>
      </c>
      <c r="D3380" s="2" t="inlineStr">
        <is>
          <t>East</t>
        </is>
      </c>
    </row>
    <row r="3381">
      <c r="A3381" s="2" t="inlineStr">
        <is>
          <t>C0667</t>
        </is>
      </c>
      <c r="B3381" s="2" t="inlineStr">
        <is>
          <t>Delhi</t>
        </is>
      </c>
      <c r="C3381" s="2" t="inlineStr">
        <is>
          <t>New Delhi</t>
        </is>
      </c>
      <c r="D3381" s="2" t="inlineStr">
        <is>
          <t>North</t>
        </is>
      </c>
    </row>
    <row r="3382">
      <c r="A3382" s="2" t="inlineStr">
        <is>
          <t>C0667</t>
        </is>
      </c>
      <c r="B3382" s="2" t="inlineStr">
        <is>
          <t>Bihar</t>
        </is>
      </c>
      <c r="C3382" s="2" t="inlineStr">
        <is>
          <t>Patna</t>
        </is>
      </c>
      <c r="D3382" s="2" t="inlineStr">
        <is>
          <t>East</t>
        </is>
      </c>
    </row>
    <row r="3383">
      <c r="A3383" s="2" t="inlineStr">
        <is>
          <t>C0667</t>
        </is>
      </c>
      <c r="B3383" s="2" t="inlineStr">
        <is>
          <t>Uttar Pradesh</t>
        </is>
      </c>
      <c r="C3383" s="2" t="inlineStr">
        <is>
          <t>Noida</t>
        </is>
      </c>
      <c r="D3383" s="2" t="inlineStr">
        <is>
          <t>North</t>
        </is>
      </c>
    </row>
    <row r="3384">
      <c r="A3384" s="2" t="inlineStr">
        <is>
          <t>C0667</t>
        </is>
      </c>
      <c r="B3384" s="2" t="inlineStr">
        <is>
          <t>Gujarat</t>
        </is>
      </c>
      <c r="C3384" s="2" t="inlineStr">
        <is>
          <t>Ahmedabad</t>
        </is>
      </c>
      <c r="D3384" s="2" t="inlineStr">
        <is>
          <t>West</t>
        </is>
      </c>
    </row>
    <row r="3385">
      <c r="A3385" s="2" t="inlineStr">
        <is>
          <t>C0668</t>
        </is>
      </c>
      <c r="B3385" s="2" t="inlineStr">
        <is>
          <t>Maharashtra</t>
        </is>
      </c>
      <c r="C3385" s="2" t="inlineStr">
        <is>
          <t>Nashik</t>
        </is>
      </c>
      <c r="D3385" s="2" t="inlineStr">
        <is>
          <t>West</t>
        </is>
      </c>
    </row>
    <row r="3386">
      <c r="A3386" s="2" t="inlineStr">
        <is>
          <t>C0668</t>
        </is>
      </c>
      <c r="B3386" s="2" t="inlineStr">
        <is>
          <t>Gujarat</t>
        </is>
      </c>
      <c r="C3386" s="2" t="inlineStr">
        <is>
          <t>Ahmedabad</t>
        </is>
      </c>
      <c r="D3386" s="2" t="inlineStr">
        <is>
          <t>West</t>
        </is>
      </c>
    </row>
    <row r="3387">
      <c r="A3387" s="2" t="inlineStr">
        <is>
          <t>C0668</t>
        </is>
      </c>
      <c r="B3387" s="2" t="inlineStr">
        <is>
          <t>Gujarat</t>
        </is>
      </c>
      <c r="C3387" s="2" t="inlineStr">
        <is>
          <t>Surat</t>
        </is>
      </c>
      <c r="D3387" s="2" t="inlineStr">
        <is>
          <t>West</t>
        </is>
      </c>
    </row>
    <row r="3388">
      <c r="A3388" s="2" t="inlineStr">
        <is>
          <t>C0668</t>
        </is>
      </c>
      <c r="B3388" s="2" t="inlineStr">
        <is>
          <t>Uttar Pradesh</t>
        </is>
      </c>
      <c r="C3388" s="2" t="inlineStr">
        <is>
          <t>Kanpur</t>
        </is>
      </c>
      <c r="D3388" s="2" t="inlineStr">
        <is>
          <t>North</t>
        </is>
      </c>
    </row>
    <row r="3389">
      <c r="A3389" s="2" t="inlineStr">
        <is>
          <t>C0668</t>
        </is>
      </c>
      <c r="B3389" s="2" t="inlineStr">
        <is>
          <t>Haryana</t>
        </is>
      </c>
      <c r="C3389" s="2" t="inlineStr">
        <is>
          <t>Faridabad</t>
        </is>
      </c>
      <c r="D3389" s="2" t="inlineStr">
        <is>
          <t>North</t>
        </is>
      </c>
    </row>
    <row r="3390">
      <c r="A3390" s="2" t="inlineStr">
        <is>
          <t>C0668</t>
        </is>
      </c>
      <c r="B3390" s="2" t="inlineStr">
        <is>
          <t>Telangana</t>
        </is>
      </c>
      <c r="C3390" s="2" t="inlineStr">
        <is>
          <t>Hyderabad</t>
        </is>
      </c>
      <c r="D3390" s="2" t="inlineStr">
        <is>
          <t>South</t>
        </is>
      </c>
    </row>
    <row r="3391">
      <c r="A3391" s="2" t="inlineStr">
        <is>
          <t>C0668</t>
        </is>
      </c>
      <c r="B3391" s="2" t="inlineStr">
        <is>
          <t>Maharashtra</t>
        </is>
      </c>
      <c r="C3391" s="2" t="inlineStr">
        <is>
          <t>Pune</t>
        </is>
      </c>
      <c r="D3391" s="2" t="inlineStr">
        <is>
          <t>West</t>
        </is>
      </c>
    </row>
    <row r="3392">
      <c r="A3392" s="2" t="inlineStr">
        <is>
          <t>C0668</t>
        </is>
      </c>
      <c r="B3392" s="2" t="inlineStr">
        <is>
          <t>Goa</t>
        </is>
      </c>
      <c r="C3392" s="2" t="inlineStr">
        <is>
          <t>Panaji</t>
        </is>
      </c>
      <c r="D3392" s="2" t="inlineStr">
        <is>
          <t>West</t>
        </is>
      </c>
    </row>
    <row r="3393">
      <c r="A3393" s="2" t="inlineStr">
        <is>
          <t>C0668</t>
        </is>
      </c>
      <c r="B3393" s="2" t="inlineStr">
        <is>
          <t>Bihar</t>
        </is>
      </c>
      <c r="C3393" s="2" t="inlineStr">
        <is>
          <t>Patna</t>
        </is>
      </c>
      <c r="D3393" s="2" t="inlineStr">
        <is>
          <t>East</t>
        </is>
      </c>
    </row>
    <row r="3394">
      <c r="A3394" s="2" t="inlineStr">
        <is>
          <t>C0668</t>
        </is>
      </c>
      <c r="B3394" s="2" t="inlineStr">
        <is>
          <t>Karnataka</t>
        </is>
      </c>
      <c r="C3394" s="2" t="inlineStr">
        <is>
          <t>Bengaluru</t>
        </is>
      </c>
      <c r="D3394" s="2" t="inlineStr">
        <is>
          <t>South</t>
        </is>
      </c>
    </row>
    <row r="3395">
      <c r="A3395" s="2" t="inlineStr">
        <is>
          <t>C0668</t>
        </is>
      </c>
      <c r="B3395" s="2" t="inlineStr">
        <is>
          <t>Goa</t>
        </is>
      </c>
      <c r="C3395" s="2" t="inlineStr">
        <is>
          <t>Margao</t>
        </is>
      </c>
      <c r="D3395" s="2" t="inlineStr">
        <is>
          <t>West</t>
        </is>
      </c>
    </row>
    <row r="3396">
      <c r="A3396" s="2" t="inlineStr">
        <is>
          <t>C0668</t>
        </is>
      </c>
      <c r="B3396" s="2" t="inlineStr">
        <is>
          <t>Kerala</t>
        </is>
      </c>
      <c r="C3396" s="2" t="inlineStr">
        <is>
          <t>Thiruvananthapuram</t>
        </is>
      </c>
      <c r="D3396" s="2" t="inlineStr">
        <is>
          <t>South</t>
        </is>
      </c>
    </row>
    <row r="3397">
      <c r="A3397" s="2" t="inlineStr">
        <is>
          <t>C0669</t>
        </is>
      </c>
      <c r="B3397" s="2" t="inlineStr">
        <is>
          <t>Kerala</t>
        </is>
      </c>
      <c r="C3397" s="2" t="inlineStr">
        <is>
          <t>Kochi</t>
        </is>
      </c>
      <c r="D3397" s="2" t="inlineStr">
        <is>
          <t>South</t>
        </is>
      </c>
    </row>
    <row r="3398">
      <c r="A3398" s="2" t="inlineStr">
        <is>
          <t>C0669</t>
        </is>
      </c>
      <c r="B3398" s="2" t="inlineStr">
        <is>
          <t>Gujarat</t>
        </is>
      </c>
      <c r="C3398" s="2" t="inlineStr">
        <is>
          <t>Surat</t>
        </is>
      </c>
      <c r="D3398" s="2" t="inlineStr">
        <is>
          <t>West</t>
        </is>
      </c>
    </row>
    <row r="3399">
      <c r="A3399" s="2" t="inlineStr">
        <is>
          <t>C0670</t>
        </is>
      </c>
      <c r="B3399" s="2" t="inlineStr">
        <is>
          <t>Kerala</t>
        </is>
      </c>
      <c r="C3399" s="2" t="inlineStr">
        <is>
          <t>Thiruvananthapuram</t>
        </is>
      </c>
      <c r="D3399" s="2" t="inlineStr">
        <is>
          <t>South</t>
        </is>
      </c>
    </row>
    <row r="3400">
      <c r="A3400" s="2" t="inlineStr">
        <is>
          <t>C0671</t>
        </is>
      </c>
      <c r="B3400" s="2" t="inlineStr">
        <is>
          <t>Maharashtra</t>
        </is>
      </c>
      <c r="C3400" s="2" t="inlineStr">
        <is>
          <t>Pune</t>
        </is>
      </c>
      <c r="D3400" s="2" t="inlineStr">
        <is>
          <t>West</t>
        </is>
      </c>
    </row>
    <row r="3401">
      <c r="A3401" s="2" t="inlineStr">
        <is>
          <t>C0671</t>
        </is>
      </c>
      <c r="B3401" s="2" t="inlineStr">
        <is>
          <t>Gujarat</t>
        </is>
      </c>
      <c r="C3401" s="2" t="inlineStr">
        <is>
          <t>Vadodara</t>
        </is>
      </c>
      <c r="D3401" s="2" t="inlineStr">
        <is>
          <t>West</t>
        </is>
      </c>
    </row>
    <row r="3402">
      <c r="A3402" s="2" t="inlineStr">
        <is>
          <t>C0671</t>
        </is>
      </c>
      <c r="B3402" s="2" t="inlineStr">
        <is>
          <t>Bihar</t>
        </is>
      </c>
      <c r="C3402" s="2" t="inlineStr">
        <is>
          <t>Patna</t>
        </is>
      </c>
      <c r="D3402" s="2" t="inlineStr">
        <is>
          <t>East</t>
        </is>
      </c>
    </row>
    <row r="3403">
      <c r="A3403" s="2" t="inlineStr">
        <is>
          <t>C0672</t>
        </is>
      </c>
      <c r="B3403" s="2" t="inlineStr">
        <is>
          <t>Uttar Pradesh</t>
        </is>
      </c>
      <c r="C3403" s="2" t="inlineStr">
        <is>
          <t>Kanpur</t>
        </is>
      </c>
      <c r="D3403" s="2" t="inlineStr">
        <is>
          <t>North</t>
        </is>
      </c>
    </row>
    <row r="3404">
      <c r="A3404" s="2" t="inlineStr">
        <is>
          <t>C0672</t>
        </is>
      </c>
      <c r="B3404" s="2" t="inlineStr">
        <is>
          <t>Delhi</t>
        </is>
      </c>
      <c r="C3404" s="2" t="inlineStr">
        <is>
          <t>New Delhi</t>
        </is>
      </c>
      <c r="D3404" s="2" t="inlineStr">
        <is>
          <t>North</t>
        </is>
      </c>
    </row>
    <row r="3405">
      <c r="A3405" s="2" t="inlineStr">
        <is>
          <t>C0672</t>
        </is>
      </c>
      <c r="B3405" s="2" t="inlineStr">
        <is>
          <t>Uttar Pradesh</t>
        </is>
      </c>
      <c r="C3405" s="2" t="inlineStr">
        <is>
          <t>Varanasi</t>
        </is>
      </c>
      <c r="D3405" s="2" t="inlineStr">
        <is>
          <t>North</t>
        </is>
      </c>
    </row>
    <row r="3406">
      <c r="A3406" s="2" t="inlineStr">
        <is>
          <t>C0672</t>
        </is>
      </c>
      <c r="B3406" s="2" t="inlineStr">
        <is>
          <t>Odisha</t>
        </is>
      </c>
      <c r="C3406" s="2" t="inlineStr">
        <is>
          <t>Bhubaneswar</t>
        </is>
      </c>
      <c r="D3406" s="2" t="inlineStr">
        <is>
          <t>East</t>
        </is>
      </c>
    </row>
    <row r="3407">
      <c r="A3407" s="2" t="inlineStr">
        <is>
          <t>C0672</t>
        </is>
      </c>
      <c r="B3407" s="2" t="inlineStr">
        <is>
          <t>Gujarat</t>
        </is>
      </c>
      <c r="C3407" s="2" t="inlineStr">
        <is>
          <t>Vadodara</t>
        </is>
      </c>
      <c r="D3407" s="2" t="inlineStr">
        <is>
          <t>West</t>
        </is>
      </c>
    </row>
    <row r="3408">
      <c r="A3408" s="2" t="inlineStr">
        <is>
          <t>C0673</t>
        </is>
      </c>
      <c r="B3408" s="2" t="inlineStr">
        <is>
          <t>Bihar</t>
        </is>
      </c>
      <c r="C3408" s="2" t="inlineStr">
        <is>
          <t>Gaya</t>
        </is>
      </c>
      <c r="D3408" s="2" t="inlineStr">
        <is>
          <t>East</t>
        </is>
      </c>
    </row>
    <row r="3409">
      <c r="A3409" s="2" t="inlineStr">
        <is>
          <t>C0673</t>
        </is>
      </c>
      <c r="B3409" s="2" t="inlineStr">
        <is>
          <t>Delhi</t>
        </is>
      </c>
      <c r="C3409" s="2" t="inlineStr">
        <is>
          <t>New Delhi</t>
        </is>
      </c>
      <c r="D3409" s="2" t="inlineStr">
        <is>
          <t>North</t>
        </is>
      </c>
    </row>
    <row r="3410">
      <c r="A3410" s="2" t="inlineStr">
        <is>
          <t>C0673</t>
        </is>
      </c>
      <c r="B3410" s="2" t="inlineStr">
        <is>
          <t>Karnataka</t>
        </is>
      </c>
      <c r="C3410" s="2" t="inlineStr">
        <is>
          <t>Mangaluru</t>
        </is>
      </c>
      <c r="D3410" s="2" t="inlineStr">
        <is>
          <t>South</t>
        </is>
      </c>
    </row>
    <row r="3411">
      <c r="A3411" s="2" t="inlineStr">
        <is>
          <t>C0673</t>
        </is>
      </c>
      <c r="B3411" s="2" t="inlineStr">
        <is>
          <t>Goa</t>
        </is>
      </c>
      <c r="C3411" s="2" t="inlineStr">
        <is>
          <t>Margao</t>
        </is>
      </c>
      <c r="D3411" s="2" t="inlineStr">
        <is>
          <t>West</t>
        </is>
      </c>
    </row>
    <row r="3412">
      <c r="A3412" s="2" t="inlineStr">
        <is>
          <t>C0674</t>
        </is>
      </c>
      <c r="B3412" s="2" t="inlineStr">
        <is>
          <t>Bihar</t>
        </is>
      </c>
      <c r="C3412" s="2" t="inlineStr">
        <is>
          <t>Gaya</t>
        </is>
      </c>
      <c r="D3412" s="2" t="inlineStr">
        <is>
          <t>East</t>
        </is>
      </c>
    </row>
    <row r="3413">
      <c r="A3413" s="2" t="inlineStr">
        <is>
          <t>C0674</t>
        </is>
      </c>
      <c r="B3413" s="2" t="inlineStr">
        <is>
          <t>West Bengal</t>
        </is>
      </c>
      <c r="C3413" s="2" t="inlineStr">
        <is>
          <t>Durgapur</t>
        </is>
      </c>
      <c r="D3413" s="2" t="inlineStr">
        <is>
          <t>East</t>
        </is>
      </c>
    </row>
    <row r="3414">
      <c r="A3414" s="2" t="inlineStr">
        <is>
          <t>C0675</t>
        </is>
      </c>
      <c r="B3414" s="2" t="inlineStr">
        <is>
          <t>Tamil Nadu</t>
        </is>
      </c>
      <c r="C3414" s="2" t="inlineStr">
        <is>
          <t>Coimbatore</t>
        </is>
      </c>
      <c r="D3414" s="2" t="inlineStr">
        <is>
          <t>South</t>
        </is>
      </c>
    </row>
    <row r="3415">
      <c r="A3415" s="2" t="inlineStr">
        <is>
          <t>C0675</t>
        </is>
      </c>
      <c r="B3415" s="2" t="inlineStr">
        <is>
          <t>Karnataka</t>
        </is>
      </c>
      <c r="C3415" s="2" t="inlineStr">
        <is>
          <t>Mangaluru</t>
        </is>
      </c>
      <c r="D3415" s="2" t="inlineStr">
        <is>
          <t>South</t>
        </is>
      </c>
    </row>
    <row r="3416">
      <c r="A3416" s="2" t="inlineStr">
        <is>
          <t>C0675</t>
        </is>
      </c>
      <c r="B3416" s="2" t="inlineStr">
        <is>
          <t>Maharashtra</t>
        </is>
      </c>
      <c r="C3416" s="2" t="inlineStr">
        <is>
          <t>Pune</t>
        </is>
      </c>
      <c r="D3416" s="2" t="inlineStr">
        <is>
          <t>West</t>
        </is>
      </c>
    </row>
    <row r="3417">
      <c r="A3417" s="2" t="inlineStr">
        <is>
          <t>C0675</t>
        </is>
      </c>
      <c r="B3417" s="2" t="inlineStr">
        <is>
          <t>Gujarat</t>
        </is>
      </c>
      <c r="C3417" s="2" t="inlineStr">
        <is>
          <t>Vadodara</t>
        </is>
      </c>
      <c r="D3417" s="2" t="inlineStr">
        <is>
          <t>West</t>
        </is>
      </c>
    </row>
    <row r="3418">
      <c r="A3418" s="2" t="inlineStr">
        <is>
          <t>C0675</t>
        </is>
      </c>
      <c r="B3418" s="2" t="inlineStr">
        <is>
          <t>Delhi</t>
        </is>
      </c>
      <c r="C3418" s="2" t="inlineStr">
        <is>
          <t>New Delhi</t>
        </is>
      </c>
      <c r="D3418" s="2" t="inlineStr">
        <is>
          <t>North</t>
        </is>
      </c>
    </row>
    <row r="3419">
      <c r="A3419" s="2" t="inlineStr">
        <is>
          <t>C0675</t>
        </is>
      </c>
      <c r="B3419" s="2" t="inlineStr">
        <is>
          <t>Punjab</t>
        </is>
      </c>
      <c r="C3419" s="2" t="inlineStr">
        <is>
          <t>Amritsar</t>
        </is>
      </c>
      <c r="D3419" s="2" t="inlineStr">
        <is>
          <t>North</t>
        </is>
      </c>
    </row>
    <row r="3420">
      <c r="A3420" s="2" t="inlineStr">
        <is>
          <t>C0676</t>
        </is>
      </c>
      <c r="B3420" s="2" t="inlineStr">
        <is>
          <t>Goa</t>
        </is>
      </c>
      <c r="C3420" s="2" t="inlineStr">
        <is>
          <t>Panaji</t>
        </is>
      </c>
      <c r="D3420" s="2" t="inlineStr">
        <is>
          <t>West</t>
        </is>
      </c>
    </row>
    <row r="3421">
      <c r="A3421" s="2" t="inlineStr">
        <is>
          <t>C0677</t>
        </is>
      </c>
      <c r="B3421" s="2" t="inlineStr">
        <is>
          <t>Tamil Nadu</t>
        </is>
      </c>
      <c r="C3421" s="2" t="inlineStr">
        <is>
          <t>Madurai</t>
        </is>
      </c>
      <c r="D3421" s="2" t="inlineStr">
        <is>
          <t>South</t>
        </is>
      </c>
    </row>
    <row r="3422">
      <c r="A3422" s="2" t="inlineStr">
        <is>
          <t>C0677</t>
        </is>
      </c>
      <c r="B3422" s="2" t="inlineStr">
        <is>
          <t>Delhi</t>
        </is>
      </c>
      <c r="C3422" s="2" t="inlineStr">
        <is>
          <t>New Delhi</t>
        </is>
      </c>
      <c r="D3422" s="2" t="inlineStr">
        <is>
          <t>North</t>
        </is>
      </c>
    </row>
    <row r="3423">
      <c r="A3423" s="2" t="inlineStr">
        <is>
          <t>C0677</t>
        </is>
      </c>
      <c r="B3423" s="2" t="inlineStr">
        <is>
          <t>Kerala</t>
        </is>
      </c>
      <c r="C3423" s="2" t="inlineStr">
        <is>
          <t>Thiruvananthapuram</t>
        </is>
      </c>
      <c r="D3423" s="2" t="inlineStr">
        <is>
          <t>South</t>
        </is>
      </c>
    </row>
    <row r="3424">
      <c r="A3424" s="2" t="inlineStr">
        <is>
          <t>C0677</t>
        </is>
      </c>
      <c r="B3424" s="2" t="inlineStr">
        <is>
          <t>Goa</t>
        </is>
      </c>
      <c r="C3424" s="2" t="inlineStr">
        <is>
          <t>Panaji</t>
        </is>
      </c>
      <c r="D3424" s="2" t="inlineStr">
        <is>
          <t>West</t>
        </is>
      </c>
    </row>
    <row r="3425">
      <c r="A3425" s="2" t="inlineStr">
        <is>
          <t>C0677</t>
        </is>
      </c>
      <c r="B3425" s="2" t="inlineStr">
        <is>
          <t>Goa</t>
        </is>
      </c>
      <c r="C3425" s="2" t="inlineStr">
        <is>
          <t>Margao</t>
        </is>
      </c>
      <c r="D3425" s="2" t="inlineStr">
        <is>
          <t>West</t>
        </is>
      </c>
    </row>
    <row r="3426">
      <c r="A3426" s="2" t="inlineStr">
        <is>
          <t>C0677</t>
        </is>
      </c>
      <c r="B3426" s="2" t="inlineStr">
        <is>
          <t>Bihar</t>
        </is>
      </c>
      <c r="C3426" s="2" t="inlineStr">
        <is>
          <t>Patna</t>
        </is>
      </c>
      <c r="D3426" s="2" t="inlineStr">
        <is>
          <t>East</t>
        </is>
      </c>
    </row>
    <row r="3427">
      <c r="A3427" s="2" t="inlineStr">
        <is>
          <t>C0677</t>
        </is>
      </c>
      <c r="B3427" s="2" t="inlineStr">
        <is>
          <t>Telangana</t>
        </is>
      </c>
      <c r="C3427" s="2" t="inlineStr">
        <is>
          <t>Hyderabad</t>
        </is>
      </c>
      <c r="D3427" s="2" t="inlineStr">
        <is>
          <t>South</t>
        </is>
      </c>
    </row>
    <row r="3428">
      <c r="A3428" s="2" t="inlineStr">
        <is>
          <t>C0678</t>
        </is>
      </c>
      <c r="B3428" s="2" t="inlineStr">
        <is>
          <t>Telangana</t>
        </is>
      </c>
      <c r="C3428" s="2" t="inlineStr">
        <is>
          <t>Warangal</t>
        </is>
      </c>
      <c r="D3428" s="2" t="inlineStr">
        <is>
          <t>South</t>
        </is>
      </c>
    </row>
    <row r="3429">
      <c r="A3429" s="2" t="inlineStr">
        <is>
          <t>C0678</t>
        </is>
      </c>
      <c r="B3429" s="2" t="inlineStr">
        <is>
          <t>Goa</t>
        </is>
      </c>
      <c r="C3429" s="2" t="inlineStr">
        <is>
          <t>Margao</t>
        </is>
      </c>
      <c r="D3429" s="2" t="inlineStr">
        <is>
          <t>West</t>
        </is>
      </c>
    </row>
    <row r="3430">
      <c r="A3430" s="2" t="inlineStr">
        <is>
          <t>C0678</t>
        </is>
      </c>
      <c r="B3430" s="2" t="inlineStr">
        <is>
          <t>West Bengal</t>
        </is>
      </c>
      <c r="C3430" s="2" t="inlineStr">
        <is>
          <t>Kolkata</t>
        </is>
      </c>
      <c r="D3430" s="2" t="inlineStr">
        <is>
          <t>East</t>
        </is>
      </c>
    </row>
    <row r="3431">
      <c r="A3431" s="2" t="inlineStr">
        <is>
          <t>C0678</t>
        </is>
      </c>
      <c r="B3431" s="2" t="inlineStr">
        <is>
          <t>Gujarat</t>
        </is>
      </c>
      <c r="C3431" s="2" t="inlineStr">
        <is>
          <t>Surat</t>
        </is>
      </c>
      <c r="D3431" s="2" t="inlineStr">
        <is>
          <t>West</t>
        </is>
      </c>
    </row>
    <row r="3432">
      <c r="A3432" s="2" t="inlineStr">
        <is>
          <t>C0678</t>
        </is>
      </c>
      <c r="B3432" s="2" t="inlineStr">
        <is>
          <t>Uttar Pradesh</t>
        </is>
      </c>
      <c r="C3432" s="2" t="inlineStr">
        <is>
          <t>Noida</t>
        </is>
      </c>
      <c r="D3432" s="2" t="inlineStr">
        <is>
          <t>North</t>
        </is>
      </c>
    </row>
    <row r="3433">
      <c r="A3433" s="2" t="inlineStr">
        <is>
          <t>C0678</t>
        </is>
      </c>
      <c r="B3433" s="2" t="inlineStr">
        <is>
          <t>Delhi</t>
        </is>
      </c>
      <c r="C3433" s="2" t="inlineStr">
        <is>
          <t>New Delhi</t>
        </is>
      </c>
      <c r="D3433" s="2" t="inlineStr">
        <is>
          <t>North</t>
        </is>
      </c>
    </row>
    <row r="3434">
      <c r="A3434" s="2" t="inlineStr">
        <is>
          <t>C0678</t>
        </is>
      </c>
      <c r="B3434" s="2" t="inlineStr">
        <is>
          <t>Tamil Nadu</t>
        </is>
      </c>
      <c r="C3434" s="2" t="inlineStr">
        <is>
          <t>Chennai</t>
        </is>
      </c>
      <c r="D3434" s="2" t="inlineStr">
        <is>
          <t>South</t>
        </is>
      </c>
    </row>
    <row r="3435">
      <c r="A3435" s="2" t="inlineStr">
        <is>
          <t>C0679</t>
        </is>
      </c>
      <c r="B3435" s="2" t="inlineStr">
        <is>
          <t>Delhi</t>
        </is>
      </c>
      <c r="C3435" s="2" t="inlineStr">
        <is>
          <t>New Delhi</t>
        </is>
      </c>
      <c r="D3435" s="2" t="inlineStr">
        <is>
          <t>North</t>
        </is>
      </c>
    </row>
    <row r="3436">
      <c r="A3436" s="2" t="inlineStr">
        <is>
          <t>C0680</t>
        </is>
      </c>
      <c r="B3436" s="2" t="inlineStr">
        <is>
          <t>Karnataka</t>
        </is>
      </c>
      <c r="C3436" s="2" t="inlineStr">
        <is>
          <t>Mangaluru</t>
        </is>
      </c>
      <c r="D3436" s="2" t="inlineStr">
        <is>
          <t>South</t>
        </is>
      </c>
    </row>
    <row r="3437">
      <c r="A3437" s="2" t="inlineStr">
        <is>
          <t>C0680</t>
        </is>
      </c>
      <c r="B3437" s="2" t="inlineStr">
        <is>
          <t>Delhi</t>
        </is>
      </c>
      <c r="C3437" s="2" t="inlineStr">
        <is>
          <t>New Delhi</t>
        </is>
      </c>
      <c r="D3437" s="2" t="inlineStr">
        <is>
          <t>North</t>
        </is>
      </c>
    </row>
    <row r="3438">
      <c r="A3438" s="2" t="inlineStr">
        <is>
          <t>C0681</t>
        </is>
      </c>
      <c r="B3438" s="2" t="inlineStr">
        <is>
          <t>Telangana</t>
        </is>
      </c>
      <c r="C3438" s="2" t="inlineStr">
        <is>
          <t>Hyderabad</t>
        </is>
      </c>
      <c r="D3438" s="2" t="inlineStr">
        <is>
          <t>South</t>
        </is>
      </c>
    </row>
    <row r="3439">
      <c r="A3439" s="2" t="inlineStr">
        <is>
          <t>C0682</t>
        </is>
      </c>
      <c r="B3439" s="2" t="inlineStr">
        <is>
          <t>Gujarat</t>
        </is>
      </c>
      <c r="C3439" s="2" t="inlineStr">
        <is>
          <t>Ahmedabad</t>
        </is>
      </c>
      <c r="D3439" s="2" t="inlineStr">
        <is>
          <t>West</t>
        </is>
      </c>
    </row>
    <row r="3440">
      <c r="A3440" s="2" t="inlineStr">
        <is>
          <t>C0682</t>
        </is>
      </c>
      <c r="B3440" s="2" t="inlineStr">
        <is>
          <t>Maharashtra</t>
        </is>
      </c>
      <c r="C3440" s="2" t="inlineStr">
        <is>
          <t>Pune</t>
        </is>
      </c>
      <c r="D3440" s="2" t="inlineStr">
        <is>
          <t>West</t>
        </is>
      </c>
    </row>
    <row r="3441">
      <c r="A3441" s="2" t="inlineStr">
        <is>
          <t>C0683</t>
        </is>
      </c>
      <c r="B3441" s="2" t="inlineStr">
        <is>
          <t>Maharashtra</t>
        </is>
      </c>
      <c r="C3441" s="2" t="inlineStr">
        <is>
          <t>Nashik</t>
        </is>
      </c>
      <c r="D3441" s="2" t="inlineStr">
        <is>
          <t>West</t>
        </is>
      </c>
    </row>
    <row r="3442">
      <c r="A3442" s="2" t="inlineStr">
        <is>
          <t>C0684</t>
        </is>
      </c>
      <c r="B3442" s="2" t="inlineStr">
        <is>
          <t>Tamil Nadu</t>
        </is>
      </c>
      <c r="C3442" s="2" t="inlineStr">
        <is>
          <t>Madurai</t>
        </is>
      </c>
      <c r="D3442" s="2" t="inlineStr">
        <is>
          <t>South</t>
        </is>
      </c>
    </row>
    <row r="3443">
      <c r="A3443" s="2" t="inlineStr">
        <is>
          <t>C0684</t>
        </is>
      </c>
      <c r="B3443" s="2" t="inlineStr">
        <is>
          <t>Haryana</t>
        </is>
      </c>
      <c r="C3443" s="2" t="inlineStr">
        <is>
          <t>Gurugram</t>
        </is>
      </c>
      <c r="D3443" s="2" t="inlineStr">
        <is>
          <t>North</t>
        </is>
      </c>
    </row>
    <row r="3444">
      <c r="A3444" s="2" t="inlineStr">
        <is>
          <t>C0684</t>
        </is>
      </c>
      <c r="B3444" s="2" t="inlineStr">
        <is>
          <t>Karnataka</t>
        </is>
      </c>
      <c r="C3444" s="2" t="inlineStr">
        <is>
          <t>Mangaluru</t>
        </is>
      </c>
      <c r="D3444" s="2" t="inlineStr">
        <is>
          <t>South</t>
        </is>
      </c>
    </row>
    <row r="3445">
      <c r="A3445" s="2" t="inlineStr">
        <is>
          <t>C0684</t>
        </is>
      </c>
      <c r="B3445" s="2" t="inlineStr">
        <is>
          <t>Tamil Nadu</t>
        </is>
      </c>
      <c r="C3445" s="2" t="inlineStr">
        <is>
          <t>Chennai</t>
        </is>
      </c>
      <c r="D3445" s="2" t="inlineStr">
        <is>
          <t>South</t>
        </is>
      </c>
    </row>
    <row r="3446">
      <c r="A3446" s="2" t="inlineStr">
        <is>
          <t>C0684</t>
        </is>
      </c>
      <c r="B3446" s="2" t="inlineStr">
        <is>
          <t>Kerala</t>
        </is>
      </c>
      <c r="C3446" s="2" t="inlineStr">
        <is>
          <t>Thiruvananthapuram</t>
        </is>
      </c>
      <c r="D3446" s="2" t="inlineStr">
        <is>
          <t>South</t>
        </is>
      </c>
    </row>
    <row r="3447">
      <c r="A3447" s="2" t="inlineStr">
        <is>
          <t>C0684</t>
        </is>
      </c>
      <c r="B3447" s="2" t="inlineStr">
        <is>
          <t>Maharashtra</t>
        </is>
      </c>
      <c r="C3447" s="2" t="inlineStr">
        <is>
          <t>Pune</t>
        </is>
      </c>
      <c r="D3447" s="2" t="inlineStr">
        <is>
          <t>West</t>
        </is>
      </c>
    </row>
    <row r="3448">
      <c r="A3448" s="2" t="inlineStr">
        <is>
          <t>C0684</t>
        </is>
      </c>
      <c r="B3448" s="2" t="inlineStr">
        <is>
          <t>Bihar</t>
        </is>
      </c>
      <c r="C3448" s="2" t="inlineStr">
        <is>
          <t>Patna</t>
        </is>
      </c>
      <c r="D3448" s="2" t="inlineStr">
        <is>
          <t>East</t>
        </is>
      </c>
    </row>
    <row r="3449">
      <c r="A3449" s="2" t="inlineStr">
        <is>
          <t>C0684</t>
        </is>
      </c>
      <c r="B3449" s="2" t="inlineStr">
        <is>
          <t>Bihar</t>
        </is>
      </c>
      <c r="C3449" s="2" t="inlineStr">
        <is>
          <t>Gaya</t>
        </is>
      </c>
      <c r="D3449" s="2" t="inlineStr">
        <is>
          <t>East</t>
        </is>
      </c>
    </row>
    <row r="3450">
      <c r="A3450" s="2" t="inlineStr">
        <is>
          <t>C0684</t>
        </is>
      </c>
      <c r="B3450" s="2" t="inlineStr">
        <is>
          <t>Gujarat</t>
        </is>
      </c>
      <c r="C3450" s="2" t="inlineStr">
        <is>
          <t>Ahmedabad</t>
        </is>
      </c>
      <c r="D3450" s="2" t="inlineStr">
        <is>
          <t>West</t>
        </is>
      </c>
    </row>
    <row r="3451">
      <c r="A3451" s="2" t="inlineStr">
        <is>
          <t>C0684</t>
        </is>
      </c>
      <c r="B3451" s="2" t="inlineStr">
        <is>
          <t>Goa</t>
        </is>
      </c>
      <c r="C3451" s="2" t="inlineStr">
        <is>
          <t>Panaji</t>
        </is>
      </c>
      <c r="D3451" s="2" t="inlineStr">
        <is>
          <t>West</t>
        </is>
      </c>
    </row>
    <row r="3452">
      <c r="A3452" s="2" t="inlineStr">
        <is>
          <t>C0684</t>
        </is>
      </c>
      <c r="B3452" s="2" t="inlineStr">
        <is>
          <t>Uttar Pradesh</t>
        </is>
      </c>
      <c r="C3452" s="2" t="inlineStr">
        <is>
          <t>Kanpur</t>
        </is>
      </c>
      <c r="D3452" s="2" t="inlineStr">
        <is>
          <t>North</t>
        </is>
      </c>
    </row>
    <row r="3453">
      <c r="A3453" s="2" t="inlineStr">
        <is>
          <t>C0684</t>
        </is>
      </c>
      <c r="B3453" s="2" t="inlineStr">
        <is>
          <t>Gujarat</t>
        </is>
      </c>
      <c r="C3453" s="2" t="inlineStr">
        <is>
          <t>Surat</t>
        </is>
      </c>
      <c r="D3453" s="2" t="inlineStr">
        <is>
          <t>West</t>
        </is>
      </c>
    </row>
    <row r="3454">
      <c r="A3454" s="2" t="inlineStr">
        <is>
          <t>C0684</t>
        </is>
      </c>
      <c r="B3454" s="2" t="inlineStr">
        <is>
          <t>Karnataka</t>
        </is>
      </c>
      <c r="C3454" s="2" t="inlineStr">
        <is>
          <t>Mysuru</t>
        </is>
      </c>
      <c r="D3454" s="2" t="inlineStr">
        <is>
          <t>South</t>
        </is>
      </c>
    </row>
    <row r="3455">
      <c r="A3455" s="2" t="inlineStr">
        <is>
          <t>C0684</t>
        </is>
      </c>
      <c r="B3455" s="2" t="inlineStr">
        <is>
          <t>Odisha</t>
        </is>
      </c>
      <c r="C3455" s="2" t="inlineStr">
        <is>
          <t>Cuttack</t>
        </is>
      </c>
      <c r="D3455" s="2" t="inlineStr">
        <is>
          <t>East</t>
        </is>
      </c>
    </row>
    <row r="3456">
      <c r="A3456" s="2" t="inlineStr">
        <is>
          <t>C0684</t>
        </is>
      </c>
      <c r="B3456" s="2" t="inlineStr">
        <is>
          <t>Maharashtra</t>
        </is>
      </c>
      <c r="C3456" s="2" t="inlineStr">
        <is>
          <t>Thane</t>
        </is>
      </c>
      <c r="D3456" s="2" t="inlineStr">
        <is>
          <t>West</t>
        </is>
      </c>
    </row>
    <row r="3457">
      <c r="A3457" s="2" t="inlineStr">
        <is>
          <t>C0684</t>
        </is>
      </c>
      <c r="B3457" s="2" t="inlineStr">
        <is>
          <t>Odisha</t>
        </is>
      </c>
      <c r="C3457" s="2" t="inlineStr">
        <is>
          <t>Bhubaneswar</t>
        </is>
      </c>
      <c r="D3457" s="2" t="inlineStr">
        <is>
          <t>East</t>
        </is>
      </c>
    </row>
    <row r="3458">
      <c r="A3458" s="2" t="inlineStr">
        <is>
          <t>C0684</t>
        </is>
      </c>
      <c r="B3458" s="2" t="inlineStr">
        <is>
          <t>Karnataka</t>
        </is>
      </c>
      <c r="C3458" s="2" t="inlineStr">
        <is>
          <t>Bengaluru</t>
        </is>
      </c>
      <c r="D3458" s="2" t="inlineStr">
        <is>
          <t>South</t>
        </is>
      </c>
    </row>
    <row r="3459">
      <c r="A3459" s="2" t="inlineStr">
        <is>
          <t>C0684</t>
        </is>
      </c>
      <c r="B3459" s="2" t="inlineStr">
        <is>
          <t>Delhi</t>
        </is>
      </c>
      <c r="C3459" s="2" t="inlineStr">
        <is>
          <t>New Delhi</t>
        </is>
      </c>
      <c r="D3459" s="2" t="inlineStr">
        <is>
          <t>North</t>
        </is>
      </c>
    </row>
    <row r="3460">
      <c r="A3460" s="2" t="inlineStr">
        <is>
          <t>C0684</t>
        </is>
      </c>
      <c r="B3460" s="2" t="inlineStr">
        <is>
          <t>Uttar Pradesh</t>
        </is>
      </c>
      <c r="C3460" s="2" t="inlineStr">
        <is>
          <t>Lucknow</t>
        </is>
      </c>
      <c r="D3460" s="2" t="inlineStr">
        <is>
          <t>North</t>
        </is>
      </c>
    </row>
    <row r="3461">
      <c r="A3461" s="2" t="inlineStr">
        <is>
          <t>C0684</t>
        </is>
      </c>
      <c r="B3461" s="2" t="inlineStr">
        <is>
          <t>Uttar Pradesh</t>
        </is>
      </c>
      <c r="C3461" s="2" t="inlineStr">
        <is>
          <t>Varanasi</t>
        </is>
      </c>
      <c r="D3461" s="2" t="inlineStr">
        <is>
          <t>North</t>
        </is>
      </c>
    </row>
    <row r="3462">
      <c r="A3462" s="2" t="inlineStr">
        <is>
          <t>C0684</t>
        </is>
      </c>
      <c r="B3462" s="2" t="inlineStr">
        <is>
          <t>Goa</t>
        </is>
      </c>
      <c r="C3462" s="2" t="inlineStr">
        <is>
          <t>Margao</t>
        </is>
      </c>
      <c r="D3462" s="2" t="inlineStr">
        <is>
          <t>West</t>
        </is>
      </c>
    </row>
    <row r="3463">
      <c r="A3463" s="2" t="inlineStr">
        <is>
          <t>C0684</t>
        </is>
      </c>
      <c r="B3463" s="2" t="inlineStr">
        <is>
          <t>Maharashtra</t>
        </is>
      </c>
      <c r="C3463" s="2" t="inlineStr">
        <is>
          <t>Mumbai</t>
        </is>
      </c>
      <c r="D3463" s="2" t="inlineStr">
        <is>
          <t>West</t>
        </is>
      </c>
    </row>
    <row r="3464">
      <c r="A3464" s="2" t="inlineStr">
        <is>
          <t>C0684</t>
        </is>
      </c>
      <c r="B3464" s="2" t="inlineStr">
        <is>
          <t>Kerala</t>
        </is>
      </c>
      <c r="C3464" s="2" t="inlineStr">
        <is>
          <t>Kochi</t>
        </is>
      </c>
      <c r="D3464" s="2" t="inlineStr">
        <is>
          <t>South</t>
        </is>
      </c>
    </row>
    <row r="3465">
      <c r="A3465" s="2" t="inlineStr">
        <is>
          <t>C0685</t>
        </is>
      </c>
      <c r="B3465" s="2" t="inlineStr">
        <is>
          <t>Gujarat</t>
        </is>
      </c>
      <c r="C3465" s="2" t="inlineStr">
        <is>
          <t>Vadodara</t>
        </is>
      </c>
      <c r="D3465" s="2" t="inlineStr">
        <is>
          <t>West</t>
        </is>
      </c>
    </row>
    <row r="3466">
      <c r="A3466" s="2" t="inlineStr">
        <is>
          <t>C0685</t>
        </is>
      </c>
      <c r="B3466" s="2" t="inlineStr">
        <is>
          <t>Odisha</t>
        </is>
      </c>
      <c r="C3466" s="2" t="inlineStr">
        <is>
          <t>Cuttack</t>
        </is>
      </c>
      <c r="D3466" s="2" t="inlineStr">
        <is>
          <t>East</t>
        </is>
      </c>
    </row>
    <row r="3467">
      <c r="A3467" s="2" t="inlineStr">
        <is>
          <t>C0685</t>
        </is>
      </c>
      <c r="B3467" s="2" t="inlineStr">
        <is>
          <t>Delhi</t>
        </is>
      </c>
      <c r="C3467" s="2" t="inlineStr">
        <is>
          <t>New Delhi</t>
        </is>
      </c>
      <c r="D3467" s="2" t="inlineStr">
        <is>
          <t>North</t>
        </is>
      </c>
    </row>
    <row r="3468">
      <c r="A3468" s="2" t="inlineStr">
        <is>
          <t>C0685</t>
        </is>
      </c>
      <c r="B3468" s="2" t="inlineStr">
        <is>
          <t>Goa</t>
        </is>
      </c>
      <c r="C3468" s="2" t="inlineStr">
        <is>
          <t>Margao</t>
        </is>
      </c>
      <c r="D3468" s="2" t="inlineStr">
        <is>
          <t>West</t>
        </is>
      </c>
    </row>
    <row r="3469">
      <c r="A3469" s="2" t="inlineStr">
        <is>
          <t>C0685</t>
        </is>
      </c>
      <c r="B3469" s="2" t="inlineStr">
        <is>
          <t>Maharashtra</t>
        </is>
      </c>
      <c r="C3469" s="2" t="inlineStr">
        <is>
          <t>Pune</t>
        </is>
      </c>
      <c r="D3469" s="2" t="inlineStr">
        <is>
          <t>West</t>
        </is>
      </c>
    </row>
    <row r="3470">
      <c r="A3470" s="2" t="inlineStr">
        <is>
          <t>C0685</t>
        </is>
      </c>
      <c r="B3470" s="2" t="inlineStr">
        <is>
          <t>Haryana</t>
        </is>
      </c>
      <c r="C3470" s="2" t="inlineStr">
        <is>
          <t>Faridabad</t>
        </is>
      </c>
      <c r="D3470" s="2" t="inlineStr">
        <is>
          <t>North</t>
        </is>
      </c>
    </row>
    <row r="3471">
      <c r="A3471" s="2" t="inlineStr">
        <is>
          <t>C0685</t>
        </is>
      </c>
      <c r="B3471" s="2" t="inlineStr">
        <is>
          <t>Uttar Pradesh</t>
        </is>
      </c>
      <c r="C3471" s="2" t="inlineStr">
        <is>
          <t>Varanasi</t>
        </is>
      </c>
      <c r="D3471" s="2" t="inlineStr">
        <is>
          <t>North</t>
        </is>
      </c>
    </row>
    <row r="3472">
      <c r="A3472" s="2" t="inlineStr">
        <is>
          <t>C0686</t>
        </is>
      </c>
      <c r="B3472" s="2" t="inlineStr">
        <is>
          <t>Telangana</t>
        </is>
      </c>
      <c r="C3472" s="2" t="inlineStr">
        <is>
          <t>Warangal</t>
        </is>
      </c>
      <c r="D3472" s="2" t="inlineStr">
        <is>
          <t>South</t>
        </is>
      </c>
    </row>
    <row r="3473">
      <c r="A3473" s="2" t="inlineStr">
        <is>
          <t>C0686</t>
        </is>
      </c>
      <c r="B3473" s="2" t="inlineStr">
        <is>
          <t>Maharashtra</t>
        </is>
      </c>
      <c r="C3473" s="2" t="inlineStr">
        <is>
          <t>Mumbai</t>
        </is>
      </c>
      <c r="D3473" s="2" t="inlineStr">
        <is>
          <t>West</t>
        </is>
      </c>
    </row>
    <row r="3474">
      <c r="A3474" s="2" t="inlineStr">
        <is>
          <t>C0686</t>
        </is>
      </c>
      <c r="B3474" s="2" t="inlineStr">
        <is>
          <t>Odisha</t>
        </is>
      </c>
      <c r="C3474" s="2" t="inlineStr">
        <is>
          <t>Bhubaneswar</t>
        </is>
      </c>
      <c r="D3474" s="2" t="inlineStr">
        <is>
          <t>East</t>
        </is>
      </c>
    </row>
    <row r="3475">
      <c r="A3475" s="2" t="inlineStr">
        <is>
          <t>C0686</t>
        </is>
      </c>
      <c r="B3475" s="2" t="inlineStr">
        <is>
          <t>Maharashtra</t>
        </is>
      </c>
      <c r="C3475" s="2" t="inlineStr">
        <is>
          <t>Thane</t>
        </is>
      </c>
      <c r="D3475" s="2" t="inlineStr">
        <is>
          <t>West</t>
        </is>
      </c>
    </row>
    <row r="3476">
      <c r="A3476" s="2" t="inlineStr">
        <is>
          <t>C0686</t>
        </is>
      </c>
      <c r="B3476" s="2" t="inlineStr">
        <is>
          <t>Maharashtra</t>
        </is>
      </c>
      <c r="C3476" s="2" t="inlineStr">
        <is>
          <t>Nashik</t>
        </is>
      </c>
      <c r="D3476" s="2" t="inlineStr">
        <is>
          <t>West</t>
        </is>
      </c>
    </row>
    <row r="3477">
      <c r="A3477" s="2" t="inlineStr">
        <is>
          <t>C0686</t>
        </is>
      </c>
      <c r="B3477" s="2" t="inlineStr">
        <is>
          <t>Uttar Pradesh</t>
        </is>
      </c>
      <c r="C3477" s="2" t="inlineStr">
        <is>
          <t>Noida</t>
        </is>
      </c>
      <c r="D3477" s="2" t="inlineStr">
        <is>
          <t>North</t>
        </is>
      </c>
    </row>
    <row r="3478">
      <c r="A3478" s="2" t="inlineStr">
        <is>
          <t>C0686</t>
        </is>
      </c>
      <c r="B3478" s="2" t="inlineStr">
        <is>
          <t>Punjab</t>
        </is>
      </c>
      <c r="C3478" s="2" t="inlineStr">
        <is>
          <t>Amritsar</t>
        </is>
      </c>
      <c r="D3478" s="2" t="inlineStr">
        <is>
          <t>North</t>
        </is>
      </c>
    </row>
    <row r="3479">
      <c r="A3479" s="2" t="inlineStr">
        <is>
          <t>C0686</t>
        </is>
      </c>
      <c r="B3479" s="2" t="inlineStr">
        <is>
          <t>Goa</t>
        </is>
      </c>
      <c r="C3479" s="2" t="inlineStr">
        <is>
          <t>Panaji</t>
        </is>
      </c>
      <c r="D3479" s="2" t="inlineStr">
        <is>
          <t>West</t>
        </is>
      </c>
    </row>
    <row r="3480">
      <c r="A3480" s="2" t="inlineStr">
        <is>
          <t>C0686</t>
        </is>
      </c>
      <c r="B3480" s="2" t="inlineStr">
        <is>
          <t>Goa</t>
        </is>
      </c>
      <c r="C3480" s="2" t="inlineStr">
        <is>
          <t>Margao</t>
        </is>
      </c>
      <c r="D3480" s="2" t="inlineStr">
        <is>
          <t>West</t>
        </is>
      </c>
    </row>
    <row r="3481">
      <c r="A3481" s="2" t="inlineStr">
        <is>
          <t>C0686</t>
        </is>
      </c>
      <c r="B3481" s="2" t="inlineStr">
        <is>
          <t>Tamil Nadu</t>
        </is>
      </c>
      <c r="C3481" s="2" t="inlineStr">
        <is>
          <t>Madurai</t>
        </is>
      </c>
      <c r="D3481" s="2" t="inlineStr">
        <is>
          <t>South</t>
        </is>
      </c>
    </row>
    <row r="3482">
      <c r="A3482" s="2" t="inlineStr">
        <is>
          <t>C0686</t>
        </is>
      </c>
      <c r="B3482" s="2" t="inlineStr">
        <is>
          <t>Punjab</t>
        </is>
      </c>
      <c r="C3482" s="2" t="inlineStr">
        <is>
          <t>Jalandhar</t>
        </is>
      </c>
      <c r="D3482" s="2" t="inlineStr">
        <is>
          <t>North</t>
        </is>
      </c>
    </row>
    <row r="3483">
      <c r="A3483" s="2" t="inlineStr">
        <is>
          <t>C0686</t>
        </is>
      </c>
      <c r="B3483" s="2" t="inlineStr">
        <is>
          <t>Karnataka</t>
        </is>
      </c>
      <c r="C3483" s="2" t="inlineStr">
        <is>
          <t>Mysuru</t>
        </is>
      </c>
      <c r="D3483" s="2" t="inlineStr">
        <is>
          <t>South</t>
        </is>
      </c>
    </row>
    <row r="3484">
      <c r="A3484" s="2" t="inlineStr">
        <is>
          <t>C0686</t>
        </is>
      </c>
      <c r="B3484" s="2" t="inlineStr">
        <is>
          <t>Kerala</t>
        </is>
      </c>
      <c r="C3484" s="2" t="inlineStr">
        <is>
          <t>Thiruvananthapuram</t>
        </is>
      </c>
      <c r="D3484" s="2" t="inlineStr">
        <is>
          <t>South</t>
        </is>
      </c>
    </row>
    <row r="3485">
      <c r="A3485" s="2" t="inlineStr">
        <is>
          <t>C0686</t>
        </is>
      </c>
      <c r="B3485" s="2" t="inlineStr">
        <is>
          <t>Gujarat</t>
        </is>
      </c>
      <c r="C3485" s="2" t="inlineStr">
        <is>
          <t>Vadodara</t>
        </is>
      </c>
      <c r="D3485" s="2" t="inlineStr">
        <is>
          <t>West</t>
        </is>
      </c>
    </row>
    <row r="3486">
      <c r="A3486" s="2" t="inlineStr">
        <is>
          <t>C0686</t>
        </is>
      </c>
      <c r="B3486" s="2" t="inlineStr">
        <is>
          <t>Delhi</t>
        </is>
      </c>
      <c r="C3486" s="2" t="inlineStr">
        <is>
          <t>New Delhi</t>
        </is>
      </c>
      <c r="D3486" s="2" t="inlineStr">
        <is>
          <t>North</t>
        </is>
      </c>
    </row>
    <row r="3487">
      <c r="A3487" s="2" t="inlineStr">
        <is>
          <t>C0686</t>
        </is>
      </c>
      <c r="B3487" s="2" t="inlineStr">
        <is>
          <t>Odisha</t>
        </is>
      </c>
      <c r="C3487" s="2" t="inlineStr">
        <is>
          <t>Cuttack</t>
        </is>
      </c>
      <c r="D3487" s="2" t="inlineStr">
        <is>
          <t>East</t>
        </is>
      </c>
    </row>
    <row r="3488">
      <c r="A3488" s="2" t="inlineStr">
        <is>
          <t>C0686</t>
        </is>
      </c>
      <c r="B3488" s="2" t="inlineStr">
        <is>
          <t>Tamil Nadu</t>
        </is>
      </c>
      <c r="C3488" s="2" t="inlineStr">
        <is>
          <t>Chennai</t>
        </is>
      </c>
      <c r="D3488" s="2" t="inlineStr">
        <is>
          <t>South</t>
        </is>
      </c>
    </row>
    <row r="3489">
      <c r="A3489" s="2" t="inlineStr">
        <is>
          <t>C0686</t>
        </is>
      </c>
      <c r="B3489" s="2" t="inlineStr">
        <is>
          <t>Haryana</t>
        </is>
      </c>
      <c r="C3489" s="2" t="inlineStr">
        <is>
          <t>Faridabad</t>
        </is>
      </c>
      <c r="D3489" s="2" t="inlineStr">
        <is>
          <t>North</t>
        </is>
      </c>
    </row>
    <row r="3490">
      <c r="A3490" s="2" t="inlineStr">
        <is>
          <t>C0686</t>
        </is>
      </c>
      <c r="B3490" s="2" t="inlineStr">
        <is>
          <t>Tamil Nadu</t>
        </is>
      </c>
      <c r="C3490" s="2" t="inlineStr">
        <is>
          <t>Coimbatore</t>
        </is>
      </c>
      <c r="D3490" s="2" t="inlineStr">
        <is>
          <t>South</t>
        </is>
      </c>
    </row>
    <row r="3491">
      <c r="A3491" s="2" t="inlineStr">
        <is>
          <t>C0686</t>
        </is>
      </c>
      <c r="B3491" s="2" t="inlineStr">
        <is>
          <t>Bihar</t>
        </is>
      </c>
      <c r="C3491" s="2" t="inlineStr">
        <is>
          <t>Gaya</t>
        </is>
      </c>
      <c r="D3491" s="2" t="inlineStr">
        <is>
          <t>East</t>
        </is>
      </c>
    </row>
    <row r="3492">
      <c r="A3492" s="2" t="inlineStr">
        <is>
          <t>C0687</t>
        </is>
      </c>
      <c r="B3492" s="2" t="inlineStr">
        <is>
          <t>Karnataka</t>
        </is>
      </c>
      <c r="C3492" s="2" t="inlineStr">
        <is>
          <t>Bengaluru</t>
        </is>
      </c>
      <c r="D3492" s="2" t="inlineStr">
        <is>
          <t>South</t>
        </is>
      </c>
    </row>
    <row r="3493">
      <c r="A3493" s="2" t="inlineStr">
        <is>
          <t>C0687</t>
        </is>
      </c>
      <c r="B3493" s="2" t="inlineStr">
        <is>
          <t>Gujarat</t>
        </is>
      </c>
      <c r="C3493" s="2" t="inlineStr">
        <is>
          <t>Ahmedabad</t>
        </is>
      </c>
      <c r="D3493" s="2" t="inlineStr">
        <is>
          <t>West</t>
        </is>
      </c>
    </row>
    <row r="3494">
      <c r="A3494" s="2" t="inlineStr">
        <is>
          <t>C0687</t>
        </is>
      </c>
      <c r="B3494" s="2" t="inlineStr">
        <is>
          <t>Tamil Nadu</t>
        </is>
      </c>
      <c r="C3494" s="2" t="inlineStr">
        <is>
          <t>Coimbatore</t>
        </is>
      </c>
      <c r="D3494" s="2" t="inlineStr">
        <is>
          <t>South</t>
        </is>
      </c>
    </row>
    <row r="3495">
      <c r="A3495" s="2" t="inlineStr">
        <is>
          <t>C0687</t>
        </is>
      </c>
      <c r="B3495" s="2" t="inlineStr">
        <is>
          <t>Tamil Nadu</t>
        </is>
      </c>
      <c r="C3495" s="2" t="inlineStr">
        <is>
          <t>Chennai</t>
        </is>
      </c>
      <c r="D3495" s="2" t="inlineStr">
        <is>
          <t>South</t>
        </is>
      </c>
    </row>
    <row r="3496">
      <c r="A3496" s="2" t="inlineStr">
        <is>
          <t>C0687</t>
        </is>
      </c>
      <c r="B3496" s="2" t="inlineStr">
        <is>
          <t>Delhi</t>
        </is>
      </c>
      <c r="C3496" s="2" t="inlineStr">
        <is>
          <t>New Delhi</t>
        </is>
      </c>
      <c r="D3496" s="2" t="inlineStr">
        <is>
          <t>North</t>
        </is>
      </c>
    </row>
    <row r="3497">
      <c r="A3497" s="2" t="inlineStr">
        <is>
          <t>C0687</t>
        </is>
      </c>
      <c r="B3497" s="2" t="inlineStr">
        <is>
          <t>West Bengal</t>
        </is>
      </c>
      <c r="C3497" s="2" t="inlineStr">
        <is>
          <t>Durgapur</t>
        </is>
      </c>
      <c r="D3497" s="2" t="inlineStr">
        <is>
          <t>East</t>
        </is>
      </c>
    </row>
    <row r="3498">
      <c r="A3498" s="2" t="inlineStr">
        <is>
          <t>C0688</t>
        </is>
      </c>
      <c r="B3498" s="2" t="inlineStr">
        <is>
          <t>Odisha</t>
        </is>
      </c>
      <c r="C3498" s="2" t="inlineStr">
        <is>
          <t>Cuttack</t>
        </is>
      </c>
      <c r="D3498" s="2" t="inlineStr">
        <is>
          <t>East</t>
        </is>
      </c>
    </row>
    <row r="3499">
      <c r="A3499" s="2" t="inlineStr">
        <is>
          <t>C0688</t>
        </is>
      </c>
      <c r="B3499" s="2" t="inlineStr">
        <is>
          <t>Tamil Nadu</t>
        </is>
      </c>
      <c r="C3499" s="2" t="inlineStr">
        <is>
          <t>Coimbatore</t>
        </is>
      </c>
      <c r="D3499" s="2" t="inlineStr">
        <is>
          <t>South</t>
        </is>
      </c>
    </row>
    <row r="3500">
      <c r="A3500" s="2" t="inlineStr">
        <is>
          <t>C0689</t>
        </is>
      </c>
      <c r="B3500" s="2" t="inlineStr">
        <is>
          <t>Bihar</t>
        </is>
      </c>
      <c r="C3500" s="2" t="inlineStr">
        <is>
          <t>Gaya</t>
        </is>
      </c>
      <c r="D3500" s="2" t="inlineStr">
        <is>
          <t>East</t>
        </is>
      </c>
    </row>
    <row r="3501">
      <c r="A3501" s="2" t="inlineStr">
        <is>
          <t>C0689</t>
        </is>
      </c>
      <c r="B3501" s="2" t="inlineStr">
        <is>
          <t>Goa</t>
        </is>
      </c>
      <c r="C3501" s="2" t="inlineStr">
        <is>
          <t>Panaji</t>
        </is>
      </c>
      <c r="D3501" s="2" t="inlineStr">
        <is>
          <t>West</t>
        </is>
      </c>
    </row>
    <row r="3502">
      <c r="A3502" s="2" t="inlineStr">
        <is>
          <t>C0690</t>
        </is>
      </c>
      <c r="B3502" s="2" t="inlineStr">
        <is>
          <t>Maharashtra</t>
        </is>
      </c>
      <c r="C3502" s="2" t="inlineStr">
        <is>
          <t>Pune</t>
        </is>
      </c>
      <c r="D3502" s="2" t="inlineStr">
        <is>
          <t>West</t>
        </is>
      </c>
    </row>
    <row r="3503">
      <c r="A3503" s="2" t="inlineStr">
        <is>
          <t>C0690</t>
        </is>
      </c>
      <c r="B3503" s="2" t="inlineStr">
        <is>
          <t>Gujarat</t>
        </is>
      </c>
      <c r="C3503" s="2" t="inlineStr">
        <is>
          <t>Surat</t>
        </is>
      </c>
      <c r="D3503" s="2" t="inlineStr">
        <is>
          <t>West</t>
        </is>
      </c>
    </row>
    <row r="3504">
      <c r="A3504" s="2" t="inlineStr">
        <is>
          <t>C0691</t>
        </is>
      </c>
      <c r="B3504" s="2" t="inlineStr">
        <is>
          <t>Punjab</t>
        </is>
      </c>
      <c r="C3504" s="2" t="inlineStr">
        <is>
          <t>Ludhiana</t>
        </is>
      </c>
      <c r="D3504" s="2" t="inlineStr">
        <is>
          <t>North</t>
        </is>
      </c>
    </row>
    <row r="3505">
      <c r="A3505" s="2" t="inlineStr">
        <is>
          <t>C0691</t>
        </is>
      </c>
      <c r="B3505" s="2" t="inlineStr">
        <is>
          <t>Goa</t>
        </is>
      </c>
      <c r="C3505" s="2" t="inlineStr">
        <is>
          <t>Margao</t>
        </is>
      </c>
      <c r="D3505" s="2" t="inlineStr">
        <is>
          <t>West</t>
        </is>
      </c>
    </row>
    <row r="3506">
      <c r="A3506" s="2" t="inlineStr">
        <is>
          <t>C0691</t>
        </is>
      </c>
      <c r="B3506" s="2" t="inlineStr">
        <is>
          <t>Uttar Pradesh</t>
        </is>
      </c>
      <c r="C3506" s="2" t="inlineStr">
        <is>
          <t>Noida</t>
        </is>
      </c>
      <c r="D3506" s="2" t="inlineStr">
        <is>
          <t>North</t>
        </is>
      </c>
    </row>
    <row r="3507">
      <c r="A3507" s="2" t="inlineStr">
        <is>
          <t>C0691</t>
        </is>
      </c>
      <c r="B3507" s="2" t="inlineStr">
        <is>
          <t>Odisha</t>
        </is>
      </c>
      <c r="C3507" s="2" t="inlineStr">
        <is>
          <t>Bhubaneswar</t>
        </is>
      </c>
      <c r="D3507" s="2" t="inlineStr">
        <is>
          <t>East</t>
        </is>
      </c>
    </row>
    <row r="3508">
      <c r="A3508" s="2" t="inlineStr">
        <is>
          <t>C0691</t>
        </is>
      </c>
      <c r="B3508" s="2" t="inlineStr">
        <is>
          <t>Gujarat</t>
        </is>
      </c>
      <c r="C3508" s="2" t="inlineStr">
        <is>
          <t>Surat</t>
        </is>
      </c>
      <c r="D3508" s="2" t="inlineStr">
        <is>
          <t>West</t>
        </is>
      </c>
    </row>
    <row r="3509">
      <c r="A3509" s="2" t="inlineStr">
        <is>
          <t>C0691</t>
        </is>
      </c>
      <c r="B3509" s="2" t="inlineStr">
        <is>
          <t>Karnataka</t>
        </is>
      </c>
      <c r="C3509" s="2" t="inlineStr">
        <is>
          <t>Mysuru</t>
        </is>
      </c>
      <c r="D3509" s="2" t="inlineStr">
        <is>
          <t>South</t>
        </is>
      </c>
    </row>
    <row r="3510">
      <c r="A3510" s="2" t="inlineStr">
        <is>
          <t>C0692</t>
        </is>
      </c>
      <c r="B3510" s="2" t="inlineStr">
        <is>
          <t>Maharashtra</t>
        </is>
      </c>
      <c r="C3510" s="2" t="inlineStr">
        <is>
          <t>Nagpur</t>
        </is>
      </c>
      <c r="D3510" s="2" t="inlineStr">
        <is>
          <t>West</t>
        </is>
      </c>
    </row>
    <row r="3511">
      <c r="A3511" s="2" t="inlineStr">
        <is>
          <t>C0692</t>
        </is>
      </c>
      <c r="B3511" s="2" t="inlineStr">
        <is>
          <t>Punjab</t>
        </is>
      </c>
      <c r="C3511" s="2" t="inlineStr">
        <is>
          <t>Amritsar</t>
        </is>
      </c>
      <c r="D3511" s="2" t="inlineStr">
        <is>
          <t>North</t>
        </is>
      </c>
    </row>
    <row r="3512">
      <c r="A3512" s="2" t="inlineStr">
        <is>
          <t>C0692</t>
        </is>
      </c>
      <c r="B3512" s="2" t="inlineStr">
        <is>
          <t>Goa</t>
        </is>
      </c>
      <c r="C3512" s="2" t="inlineStr">
        <is>
          <t>Panaji</t>
        </is>
      </c>
      <c r="D3512" s="2" t="inlineStr">
        <is>
          <t>West</t>
        </is>
      </c>
    </row>
    <row r="3513">
      <c r="A3513" s="2" t="inlineStr">
        <is>
          <t>C0692</t>
        </is>
      </c>
      <c r="B3513" s="2" t="inlineStr">
        <is>
          <t>West Bengal</t>
        </is>
      </c>
      <c r="C3513" s="2" t="inlineStr">
        <is>
          <t>Kolkata</t>
        </is>
      </c>
      <c r="D3513" s="2" t="inlineStr">
        <is>
          <t>East</t>
        </is>
      </c>
    </row>
    <row r="3514">
      <c r="A3514" s="2" t="inlineStr">
        <is>
          <t>C0692</t>
        </is>
      </c>
      <c r="B3514" s="2" t="inlineStr">
        <is>
          <t>Telangana</t>
        </is>
      </c>
      <c r="C3514" s="2" t="inlineStr">
        <is>
          <t>Hyderabad</t>
        </is>
      </c>
      <c r="D3514" s="2" t="inlineStr">
        <is>
          <t>South</t>
        </is>
      </c>
    </row>
    <row r="3515">
      <c r="A3515" s="2" t="inlineStr">
        <is>
          <t>C0693</t>
        </is>
      </c>
      <c r="B3515" s="2" t="inlineStr">
        <is>
          <t>Bihar</t>
        </is>
      </c>
      <c r="C3515" s="2" t="inlineStr">
        <is>
          <t>Patna</t>
        </is>
      </c>
      <c r="D3515" s="2" t="inlineStr">
        <is>
          <t>East</t>
        </is>
      </c>
    </row>
    <row r="3516">
      <c r="A3516" s="2" t="inlineStr">
        <is>
          <t>C0693</t>
        </is>
      </c>
      <c r="B3516" s="2" t="inlineStr">
        <is>
          <t>Gujarat</t>
        </is>
      </c>
      <c r="C3516" s="2" t="inlineStr">
        <is>
          <t>Surat</t>
        </is>
      </c>
      <c r="D3516" s="2" t="inlineStr">
        <is>
          <t>West</t>
        </is>
      </c>
    </row>
    <row r="3517">
      <c r="A3517" s="2" t="inlineStr">
        <is>
          <t>C0694</t>
        </is>
      </c>
      <c r="B3517" s="2" t="inlineStr">
        <is>
          <t>Goa</t>
        </is>
      </c>
      <c r="C3517" s="2" t="inlineStr">
        <is>
          <t>Margao</t>
        </is>
      </c>
      <c r="D3517" s="2" t="inlineStr">
        <is>
          <t>West</t>
        </is>
      </c>
    </row>
    <row r="3518">
      <c r="A3518" s="2" t="inlineStr">
        <is>
          <t>C0694</t>
        </is>
      </c>
      <c r="B3518" s="2" t="inlineStr">
        <is>
          <t>Uttar Pradesh</t>
        </is>
      </c>
      <c r="C3518" s="2" t="inlineStr">
        <is>
          <t>Lucknow</t>
        </is>
      </c>
      <c r="D3518" s="2" t="inlineStr">
        <is>
          <t>North</t>
        </is>
      </c>
    </row>
    <row r="3519">
      <c r="A3519" s="2" t="inlineStr">
        <is>
          <t>C0694</t>
        </is>
      </c>
      <c r="B3519" s="2" t="inlineStr">
        <is>
          <t>Haryana</t>
        </is>
      </c>
      <c r="C3519" s="2" t="inlineStr">
        <is>
          <t>Faridabad</t>
        </is>
      </c>
      <c r="D3519" s="2" t="inlineStr">
        <is>
          <t>North</t>
        </is>
      </c>
    </row>
    <row r="3520">
      <c r="A3520" s="2" t="inlineStr">
        <is>
          <t>C0694</t>
        </is>
      </c>
      <c r="B3520" s="2" t="inlineStr">
        <is>
          <t>Uttar Pradesh</t>
        </is>
      </c>
      <c r="C3520" s="2" t="inlineStr">
        <is>
          <t>Kanpur</t>
        </is>
      </c>
      <c r="D3520" s="2" t="inlineStr">
        <is>
          <t>North</t>
        </is>
      </c>
    </row>
    <row r="3521">
      <c r="A3521" s="2" t="inlineStr">
        <is>
          <t>C0694</t>
        </is>
      </c>
      <c r="B3521" s="2" t="inlineStr">
        <is>
          <t>Telangana</t>
        </is>
      </c>
      <c r="C3521" s="2" t="inlineStr">
        <is>
          <t>Warangal</t>
        </is>
      </c>
      <c r="D3521" s="2" t="inlineStr">
        <is>
          <t>South</t>
        </is>
      </c>
    </row>
    <row r="3522">
      <c r="A3522" s="2" t="inlineStr">
        <is>
          <t>C0694</t>
        </is>
      </c>
      <c r="B3522" s="2" t="inlineStr">
        <is>
          <t>Tamil Nadu</t>
        </is>
      </c>
      <c r="C3522" s="2" t="inlineStr">
        <is>
          <t>Coimbatore</t>
        </is>
      </c>
      <c r="D3522" s="2" t="inlineStr">
        <is>
          <t>South</t>
        </is>
      </c>
    </row>
    <row r="3523">
      <c r="A3523" s="2" t="inlineStr">
        <is>
          <t>C0694</t>
        </is>
      </c>
      <c r="B3523" s="2" t="inlineStr">
        <is>
          <t>Tamil Nadu</t>
        </is>
      </c>
      <c r="C3523" s="2" t="inlineStr">
        <is>
          <t>Chennai</t>
        </is>
      </c>
      <c r="D3523" s="2" t="inlineStr">
        <is>
          <t>South</t>
        </is>
      </c>
    </row>
    <row r="3524">
      <c r="A3524" s="2" t="inlineStr">
        <is>
          <t>C0694</t>
        </is>
      </c>
      <c r="B3524" s="2" t="inlineStr">
        <is>
          <t>Karnataka</t>
        </is>
      </c>
      <c r="C3524" s="2" t="inlineStr">
        <is>
          <t>Bengaluru</t>
        </is>
      </c>
      <c r="D3524" s="2" t="inlineStr">
        <is>
          <t>South</t>
        </is>
      </c>
    </row>
    <row r="3525">
      <c r="A3525" s="2" t="inlineStr">
        <is>
          <t>C0694</t>
        </is>
      </c>
      <c r="B3525" s="2" t="inlineStr">
        <is>
          <t>Kerala</t>
        </is>
      </c>
      <c r="C3525" s="2" t="inlineStr">
        <is>
          <t>Kochi</t>
        </is>
      </c>
      <c r="D3525" s="2" t="inlineStr">
        <is>
          <t>South</t>
        </is>
      </c>
    </row>
    <row r="3526">
      <c r="A3526" s="2" t="inlineStr">
        <is>
          <t>C0694</t>
        </is>
      </c>
      <c r="B3526" s="2" t="inlineStr">
        <is>
          <t>Kerala</t>
        </is>
      </c>
      <c r="C3526" s="2" t="inlineStr">
        <is>
          <t>Thiruvananthapuram</t>
        </is>
      </c>
      <c r="D3526" s="2" t="inlineStr">
        <is>
          <t>South</t>
        </is>
      </c>
    </row>
    <row r="3527">
      <c r="A3527" s="2" t="inlineStr">
        <is>
          <t>C0694</t>
        </is>
      </c>
      <c r="B3527" s="2" t="inlineStr">
        <is>
          <t>Bihar</t>
        </is>
      </c>
      <c r="C3527" s="2" t="inlineStr">
        <is>
          <t>Patna</t>
        </is>
      </c>
      <c r="D3527" s="2" t="inlineStr">
        <is>
          <t>East</t>
        </is>
      </c>
    </row>
    <row r="3528">
      <c r="A3528" s="2" t="inlineStr">
        <is>
          <t>C0694</t>
        </is>
      </c>
      <c r="B3528" s="2" t="inlineStr">
        <is>
          <t>Odisha</t>
        </is>
      </c>
      <c r="C3528" s="2" t="inlineStr">
        <is>
          <t>Bhubaneswar</t>
        </is>
      </c>
      <c r="D3528" s="2" t="inlineStr">
        <is>
          <t>East</t>
        </is>
      </c>
    </row>
    <row r="3529">
      <c r="A3529" s="2" t="inlineStr">
        <is>
          <t>C0694</t>
        </is>
      </c>
      <c r="B3529" s="2" t="inlineStr">
        <is>
          <t>West Bengal</t>
        </is>
      </c>
      <c r="C3529" s="2" t="inlineStr">
        <is>
          <t>Kolkata</t>
        </is>
      </c>
      <c r="D3529" s="2" t="inlineStr">
        <is>
          <t>East</t>
        </is>
      </c>
    </row>
    <row r="3530">
      <c r="A3530" s="2" t="inlineStr">
        <is>
          <t>C0694</t>
        </is>
      </c>
      <c r="B3530" s="2" t="inlineStr">
        <is>
          <t>Maharashtra</t>
        </is>
      </c>
      <c r="C3530" s="2" t="inlineStr">
        <is>
          <t>Nagpur</t>
        </is>
      </c>
      <c r="D3530" s="2" t="inlineStr">
        <is>
          <t>West</t>
        </is>
      </c>
    </row>
    <row r="3531">
      <c r="A3531" s="2" t="inlineStr">
        <is>
          <t>C0694</t>
        </is>
      </c>
      <c r="B3531" s="2" t="inlineStr">
        <is>
          <t>Karnataka</t>
        </is>
      </c>
      <c r="C3531" s="2" t="inlineStr">
        <is>
          <t>Mysuru</t>
        </is>
      </c>
      <c r="D3531" s="2" t="inlineStr">
        <is>
          <t>South</t>
        </is>
      </c>
    </row>
    <row r="3532">
      <c r="A3532" s="2" t="inlineStr">
        <is>
          <t>C0694</t>
        </is>
      </c>
      <c r="B3532" s="2" t="inlineStr">
        <is>
          <t>Delhi</t>
        </is>
      </c>
      <c r="C3532" s="2" t="inlineStr">
        <is>
          <t>New Delhi</t>
        </is>
      </c>
      <c r="D3532" s="2" t="inlineStr">
        <is>
          <t>North</t>
        </is>
      </c>
    </row>
    <row r="3533">
      <c r="A3533" s="2" t="inlineStr">
        <is>
          <t>C0694</t>
        </is>
      </c>
      <c r="B3533" s="2" t="inlineStr">
        <is>
          <t>West Bengal</t>
        </is>
      </c>
      <c r="C3533" s="2" t="inlineStr">
        <is>
          <t>Durgapur</t>
        </is>
      </c>
      <c r="D3533" s="2" t="inlineStr">
        <is>
          <t>East</t>
        </is>
      </c>
    </row>
    <row r="3534">
      <c r="A3534" s="2" t="inlineStr">
        <is>
          <t>C0694</t>
        </is>
      </c>
      <c r="B3534" s="2" t="inlineStr">
        <is>
          <t>Gujarat</t>
        </is>
      </c>
      <c r="C3534" s="2" t="inlineStr">
        <is>
          <t>Vadodara</t>
        </is>
      </c>
      <c r="D3534" s="2" t="inlineStr">
        <is>
          <t>West</t>
        </is>
      </c>
    </row>
    <row r="3535">
      <c r="A3535" s="2" t="inlineStr">
        <is>
          <t>C0694</t>
        </is>
      </c>
      <c r="B3535" s="2" t="inlineStr">
        <is>
          <t>Punjab</t>
        </is>
      </c>
      <c r="C3535" s="2" t="inlineStr">
        <is>
          <t>Amritsar</t>
        </is>
      </c>
      <c r="D3535" s="2" t="inlineStr">
        <is>
          <t>North</t>
        </is>
      </c>
    </row>
    <row r="3536">
      <c r="A3536" s="2" t="inlineStr">
        <is>
          <t>C0694</t>
        </is>
      </c>
      <c r="B3536" s="2" t="inlineStr">
        <is>
          <t>Telangana</t>
        </is>
      </c>
      <c r="C3536" s="2" t="inlineStr">
        <is>
          <t>Hyderabad</t>
        </is>
      </c>
      <c r="D3536" s="2" t="inlineStr">
        <is>
          <t>South</t>
        </is>
      </c>
    </row>
    <row r="3537">
      <c r="A3537" s="2" t="inlineStr">
        <is>
          <t>C0694</t>
        </is>
      </c>
      <c r="B3537" s="2" t="inlineStr">
        <is>
          <t>Uttar Pradesh</t>
        </is>
      </c>
      <c r="C3537" s="2" t="inlineStr">
        <is>
          <t>Noida</t>
        </is>
      </c>
      <c r="D3537" s="2" t="inlineStr">
        <is>
          <t>North</t>
        </is>
      </c>
    </row>
    <row r="3538">
      <c r="A3538" s="2" t="inlineStr">
        <is>
          <t>C0694</t>
        </is>
      </c>
      <c r="B3538" s="2" t="inlineStr">
        <is>
          <t>Bihar</t>
        </is>
      </c>
      <c r="C3538" s="2" t="inlineStr">
        <is>
          <t>Gaya</t>
        </is>
      </c>
      <c r="D3538" s="2" t="inlineStr">
        <is>
          <t>East</t>
        </is>
      </c>
    </row>
    <row r="3539">
      <c r="A3539" s="2" t="inlineStr">
        <is>
          <t>C0694</t>
        </is>
      </c>
      <c r="B3539" s="2" t="inlineStr">
        <is>
          <t>Karnataka</t>
        </is>
      </c>
      <c r="C3539" s="2" t="inlineStr">
        <is>
          <t>Mangaluru</t>
        </is>
      </c>
      <c r="D3539" s="2" t="inlineStr">
        <is>
          <t>South</t>
        </is>
      </c>
    </row>
    <row r="3540">
      <c r="A3540" s="2" t="inlineStr">
        <is>
          <t>C0694</t>
        </is>
      </c>
      <c r="B3540" s="2" t="inlineStr">
        <is>
          <t>Haryana</t>
        </is>
      </c>
      <c r="C3540" s="2" t="inlineStr">
        <is>
          <t>Gurugram</t>
        </is>
      </c>
      <c r="D3540" s="2" t="inlineStr">
        <is>
          <t>North</t>
        </is>
      </c>
    </row>
    <row r="3541">
      <c r="A3541" s="2" t="inlineStr">
        <is>
          <t>C0694</t>
        </is>
      </c>
      <c r="B3541" s="2" t="inlineStr">
        <is>
          <t>Maharashtra</t>
        </is>
      </c>
      <c r="C3541" s="2" t="inlineStr">
        <is>
          <t>Pune</t>
        </is>
      </c>
      <c r="D3541" s="2" t="inlineStr">
        <is>
          <t>West</t>
        </is>
      </c>
    </row>
    <row r="3542">
      <c r="A3542" s="2" t="inlineStr">
        <is>
          <t>C0694</t>
        </is>
      </c>
      <c r="B3542" s="2" t="inlineStr">
        <is>
          <t>Goa</t>
        </is>
      </c>
      <c r="C3542" s="2" t="inlineStr">
        <is>
          <t>Panaji</t>
        </is>
      </c>
      <c r="D3542" s="2" t="inlineStr">
        <is>
          <t>West</t>
        </is>
      </c>
    </row>
    <row r="3543">
      <c r="A3543" s="2" t="inlineStr">
        <is>
          <t>C0694</t>
        </is>
      </c>
      <c r="B3543" s="2" t="inlineStr">
        <is>
          <t>Punjab</t>
        </is>
      </c>
      <c r="C3543" s="2" t="inlineStr">
        <is>
          <t>Jalandhar</t>
        </is>
      </c>
      <c r="D3543" s="2" t="inlineStr">
        <is>
          <t>North</t>
        </is>
      </c>
    </row>
    <row r="3544">
      <c r="A3544" s="2" t="inlineStr">
        <is>
          <t>C0694</t>
        </is>
      </c>
      <c r="B3544" s="2" t="inlineStr">
        <is>
          <t>Maharashtra</t>
        </is>
      </c>
      <c r="C3544" s="2" t="inlineStr">
        <is>
          <t>Mumbai</t>
        </is>
      </c>
      <c r="D3544" s="2" t="inlineStr">
        <is>
          <t>West</t>
        </is>
      </c>
    </row>
    <row r="3545">
      <c r="A3545" s="2" t="inlineStr">
        <is>
          <t>C0694</t>
        </is>
      </c>
      <c r="B3545" s="2" t="inlineStr">
        <is>
          <t>Odisha</t>
        </is>
      </c>
      <c r="C3545" s="2" t="inlineStr">
        <is>
          <t>Cuttack</t>
        </is>
      </c>
      <c r="D3545" s="2" t="inlineStr">
        <is>
          <t>East</t>
        </is>
      </c>
    </row>
    <row r="3546">
      <c r="A3546" s="2" t="inlineStr">
        <is>
          <t>C0695</t>
        </is>
      </c>
      <c r="B3546" s="2" t="inlineStr">
        <is>
          <t>Goa</t>
        </is>
      </c>
      <c r="C3546" s="2" t="inlineStr">
        <is>
          <t>Panaji</t>
        </is>
      </c>
      <c r="D3546" s="2" t="inlineStr">
        <is>
          <t>West</t>
        </is>
      </c>
    </row>
    <row r="3547">
      <c r="A3547" s="2" t="inlineStr">
        <is>
          <t>C0695</t>
        </is>
      </c>
      <c r="B3547" s="2" t="inlineStr">
        <is>
          <t>Kerala</t>
        </is>
      </c>
      <c r="C3547" s="2" t="inlineStr">
        <is>
          <t>Kochi</t>
        </is>
      </c>
      <c r="D3547" s="2" t="inlineStr">
        <is>
          <t>South</t>
        </is>
      </c>
    </row>
    <row r="3548">
      <c r="A3548" s="2" t="inlineStr">
        <is>
          <t>C0696</t>
        </is>
      </c>
      <c r="B3548" s="2" t="inlineStr">
        <is>
          <t>Telangana</t>
        </is>
      </c>
      <c r="C3548" s="2" t="inlineStr">
        <is>
          <t>Hyderabad</t>
        </is>
      </c>
      <c r="D3548" s="2" t="inlineStr">
        <is>
          <t>South</t>
        </is>
      </c>
    </row>
    <row r="3549">
      <c r="A3549" s="2" t="inlineStr">
        <is>
          <t>C0696</t>
        </is>
      </c>
      <c r="B3549" s="2" t="inlineStr">
        <is>
          <t>Uttar Pradesh</t>
        </is>
      </c>
      <c r="C3549" s="2" t="inlineStr">
        <is>
          <t>Varanasi</t>
        </is>
      </c>
      <c r="D3549" s="2" t="inlineStr">
        <is>
          <t>North</t>
        </is>
      </c>
    </row>
    <row r="3550">
      <c r="A3550" s="2" t="inlineStr">
        <is>
          <t>C0696</t>
        </is>
      </c>
      <c r="B3550" s="2" t="inlineStr">
        <is>
          <t>Karnataka</t>
        </is>
      </c>
      <c r="C3550" s="2" t="inlineStr">
        <is>
          <t>Mangaluru</t>
        </is>
      </c>
      <c r="D3550" s="2" t="inlineStr">
        <is>
          <t>South</t>
        </is>
      </c>
    </row>
    <row r="3551">
      <c r="A3551" s="2" t="inlineStr">
        <is>
          <t>C0696</t>
        </is>
      </c>
      <c r="B3551" s="2" t="inlineStr">
        <is>
          <t>Karnataka</t>
        </is>
      </c>
      <c r="C3551" s="2" t="inlineStr">
        <is>
          <t>Bengaluru</t>
        </is>
      </c>
      <c r="D3551" s="2" t="inlineStr">
        <is>
          <t>South</t>
        </is>
      </c>
    </row>
    <row r="3552">
      <c r="A3552" s="2" t="inlineStr">
        <is>
          <t>C0696</t>
        </is>
      </c>
      <c r="B3552" s="2" t="inlineStr">
        <is>
          <t>Bihar</t>
        </is>
      </c>
      <c r="C3552" s="2" t="inlineStr">
        <is>
          <t>Patna</t>
        </is>
      </c>
      <c r="D3552" s="2" t="inlineStr">
        <is>
          <t>East</t>
        </is>
      </c>
    </row>
    <row r="3553">
      <c r="A3553" s="2" t="inlineStr">
        <is>
          <t>C0697</t>
        </is>
      </c>
      <c r="B3553" s="2" t="inlineStr">
        <is>
          <t>Odisha</t>
        </is>
      </c>
      <c r="C3553" s="2" t="inlineStr">
        <is>
          <t>Cuttack</t>
        </is>
      </c>
      <c r="D3553" s="2" t="inlineStr">
        <is>
          <t>East</t>
        </is>
      </c>
    </row>
    <row r="3554">
      <c r="A3554" s="2" t="inlineStr">
        <is>
          <t>C0697</t>
        </is>
      </c>
      <c r="B3554" s="2" t="inlineStr">
        <is>
          <t>Kerala</t>
        </is>
      </c>
      <c r="C3554" s="2" t="inlineStr">
        <is>
          <t>Thiruvananthapuram</t>
        </is>
      </c>
      <c r="D3554" s="2" t="inlineStr">
        <is>
          <t>South</t>
        </is>
      </c>
    </row>
    <row r="3555">
      <c r="A3555" s="2" t="inlineStr">
        <is>
          <t>C0697</t>
        </is>
      </c>
      <c r="B3555" s="2" t="inlineStr">
        <is>
          <t>Maharashtra</t>
        </is>
      </c>
      <c r="C3555" s="2" t="inlineStr">
        <is>
          <t>Pune</t>
        </is>
      </c>
      <c r="D3555" s="2" t="inlineStr">
        <is>
          <t>West</t>
        </is>
      </c>
    </row>
    <row r="3556">
      <c r="A3556" s="2" t="inlineStr">
        <is>
          <t>C0697</t>
        </is>
      </c>
      <c r="B3556" s="2" t="inlineStr">
        <is>
          <t>Tamil Nadu</t>
        </is>
      </c>
      <c r="C3556" s="2" t="inlineStr">
        <is>
          <t>Chennai</t>
        </is>
      </c>
      <c r="D3556" s="2" t="inlineStr">
        <is>
          <t>South</t>
        </is>
      </c>
    </row>
    <row r="3557">
      <c r="A3557" s="2" t="inlineStr">
        <is>
          <t>C0698</t>
        </is>
      </c>
      <c r="B3557" s="2" t="inlineStr">
        <is>
          <t>Tamil Nadu</t>
        </is>
      </c>
      <c r="C3557" s="2" t="inlineStr">
        <is>
          <t>Chennai</t>
        </is>
      </c>
      <c r="D3557" s="2" t="inlineStr">
        <is>
          <t>South</t>
        </is>
      </c>
    </row>
    <row r="3558">
      <c r="A3558" s="2" t="inlineStr">
        <is>
          <t>C0698</t>
        </is>
      </c>
      <c r="B3558" s="2" t="inlineStr">
        <is>
          <t>Karnataka</t>
        </is>
      </c>
      <c r="C3558" s="2" t="inlineStr">
        <is>
          <t>Mangaluru</t>
        </is>
      </c>
      <c r="D3558" s="2" t="inlineStr">
        <is>
          <t>South</t>
        </is>
      </c>
    </row>
    <row r="3559">
      <c r="A3559" s="2" t="inlineStr">
        <is>
          <t>C0699</t>
        </is>
      </c>
      <c r="B3559" s="2" t="inlineStr">
        <is>
          <t>Punjab</t>
        </is>
      </c>
      <c r="C3559" s="2" t="inlineStr">
        <is>
          <t>Amritsar</t>
        </is>
      </c>
      <c r="D3559" s="2" t="inlineStr">
        <is>
          <t>North</t>
        </is>
      </c>
    </row>
    <row r="3560">
      <c r="A3560" s="2" t="inlineStr">
        <is>
          <t>C0700</t>
        </is>
      </c>
      <c r="B3560" s="2" t="inlineStr">
        <is>
          <t>Punjab</t>
        </is>
      </c>
      <c r="C3560" s="2" t="inlineStr">
        <is>
          <t>Ludhiana</t>
        </is>
      </c>
      <c r="D3560" s="2" t="inlineStr">
        <is>
          <t>North</t>
        </is>
      </c>
    </row>
    <row r="3561">
      <c r="A3561" s="2" t="inlineStr">
        <is>
          <t>C0700</t>
        </is>
      </c>
      <c r="B3561" s="2" t="inlineStr">
        <is>
          <t>West Bengal</t>
        </is>
      </c>
      <c r="C3561" s="2" t="inlineStr">
        <is>
          <t>Durgapur</t>
        </is>
      </c>
      <c r="D3561" s="2" t="inlineStr">
        <is>
          <t>East</t>
        </is>
      </c>
    </row>
    <row r="3562">
      <c r="A3562" s="2" t="inlineStr">
        <is>
          <t>C0700</t>
        </is>
      </c>
      <c r="B3562" s="2" t="inlineStr">
        <is>
          <t>Telangana</t>
        </is>
      </c>
      <c r="C3562" s="2" t="inlineStr">
        <is>
          <t>Warangal</t>
        </is>
      </c>
      <c r="D3562" s="2" t="inlineStr">
        <is>
          <t>South</t>
        </is>
      </c>
    </row>
    <row r="3563">
      <c r="A3563" s="2" t="inlineStr">
        <is>
          <t>C0700</t>
        </is>
      </c>
      <c r="B3563" s="2" t="inlineStr">
        <is>
          <t>Delhi</t>
        </is>
      </c>
      <c r="C3563" s="2" t="inlineStr">
        <is>
          <t>New Delhi</t>
        </is>
      </c>
      <c r="D3563" s="2" t="inlineStr">
        <is>
          <t>North</t>
        </is>
      </c>
    </row>
    <row r="3564">
      <c r="A3564" s="2" t="inlineStr">
        <is>
          <t>C0700</t>
        </is>
      </c>
      <c r="B3564" s="2" t="inlineStr">
        <is>
          <t>Telangana</t>
        </is>
      </c>
      <c r="C3564" s="2" t="inlineStr">
        <is>
          <t>Hyderabad</t>
        </is>
      </c>
      <c r="D3564" s="2" t="inlineStr">
        <is>
          <t>South</t>
        </is>
      </c>
    </row>
    <row r="3565">
      <c r="A3565" s="2" t="inlineStr">
        <is>
          <t>C0700</t>
        </is>
      </c>
      <c r="B3565" s="2" t="inlineStr">
        <is>
          <t>Gujarat</t>
        </is>
      </c>
      <c r="C3565" s="2" t="inlineStr">
        <is>
          <t>Vadodara</t>
        </is>
      </c>
      <c r="D3565" s="2" t="inlineStr">
        <is>
          <t>West</t>
        </is>
      </c>
    </row>
    <row r="3566">
      <c r="A3566" s="2" t="inlineStr">
        <is>
          <t>C0700</t>
        </is>
      </c>
      <c r="B3566" s="2" t="inlineStr">
        <is>
          <t>Bihar</t>
        </is>
      </c>
      <c r="C3566" s="2" t="inlineStr">
        <is>
          <t>Gaya</t>
        </is>
      </c>
      <c r="D3566" s="2" t="inlineStr">
        <is>
          <t>East</t>
        </is>
      </c>
    </row>
    <row r="3567">
      <c r="A3567" s="2" t="inlineStr">
        <is>
          <t>C0700</t>
        </is>
      </c>
      <c r="B3567" s="2" t="inlineStr">
        <is>
          <t>Karnataka</t>
        </is>
      </c>
      <c r="C3567" s="2" t="inlineStr">
        <is>
          <t>Mangaluru</t>
        </is>
      </c>
      <c r="D3567" s="2" t="inlineStr">
        <is>
          <t>South</t>
        </is>
      </c>
    </row>
    <row r="3568">
      <c r="A3568" s="2" t="inlineStr">
        <is>
          <t>C0700</t>
        </is>
      </c>
      <c r="B3568" s="2" t="inlineStr">
        <is>
          <t>Odisha</t>
        </is>
      </c>
      <c r="C3568" s="2" t="inlineStr">
        <is>
          <t>Bhubaneswar</t>
        </is>
      </c>
      <c r="D3568" s="2" t="inlineStr">
        <is>
          <t>East</t>
        </is>
      </c>
    </row>
    <row r="3569">
      <c r="A3569" s="2" t="inlineStr">
        <is>
          <t>C0700</t>
        </is>
      </c>
      <c r="B3569" s="2" t="inlineStr">
        <is>
          <t>Punjab</t>
        </is>
      </c>
      <c r="C3569" s="2" t="inlineStr">
        <is>
          <t>Amritsar</t>
        </is>
      </c>
      <c r="D3569" s="2" t="inlineStr">
        <is>
          <t>North</t>
        </is>
      </c>
    </row>
    <row r="3570">
      <c r="A3570" s="2" t="inlineStr">
        <is>
          <t>C0700</t>
        </is>
      </c>
      <c r="B3570" s="2" t="inlineStr">
        <is>
          <t>Uttar Pradesh</t>
        </is>
      </c>
      <c r="C3570" s="2" t="inlineStr">
        <is>
          <t>Varanasi</t>
        </is>
      </c>
      <c r="D3570" s="2" t="inlineStr">
        <is>
          <t>North</t>
        </is>
      </c>
    </row>
    <row r="3571">
      <c r="A3571" s="2" t="inlineStr">
        <is>
          <t>C0700</t>
        </is>
      </c>
      <c r="B3571" s="2" t="inlineStr">
        <is>
          <t>Odisha</t>
        </is>
      </c>
      <c r="C3571" s="2" t="inlineStr">
        <is>
          <t>Cuttack</t>
        </is>
      </c>
      <c r="D3571" s="2" t="inlineStr">
        <is>
          <t>East</t>
        </is>
      </c>
    </row>
    <row r="3572">
      <c r="A3572" s="2" t="inlineStr">
        <is>
          <t>C0701</t>
        </is>
      </c>
      <c r="B3572" s="2" t="inlineStr">
        <is>
          <t>Telangana</t>
        </is>
      </c>
      <c r="C3572" s="2" t="inlineStr">
        <is>
          <t>Hyderabad</t>
        </is>
      </c>
      <c r="D3572" s="2" t="inlineStr">
        <is>
          <t>South</t>
        </is>
      </c>
    </row>
    <row r="3573">
      <c r="A3573" s="2" t="inlineStr">
        <is>
          <t>C0701</t>
        </is>
      </c>
      <c r="B3573" s="2" t="inlineStr">
        <is>
          <t>Goa</t>
        </is>
      </c>
      <c r="C3573" s="2" t="inlineStr">
        <is>
          <t>Margao</t>
        </is>
      </c>
      <c r="D3573" s="2" t="inlineStr">
        <is>
          <t>West</t>
        </is>
      </c>
    </row>
    <row r="3574">
      <c r="A3574" s="2" t="inlineStr">
        <is>
          <t>C0701</t>
        </is>
      </c>
      <c r="B3574" s="2" t="inlineStr">
        <is>
          <t>Gujarat</t>
        </is>
      </c>
      <c r="C3574" s="2" t="inlineStr">
        <is>
          <t>Ahmedabad</t>
        </is>
      </c>
      <c r="D3574" s="2" t="inlineStr">
        <is>
          <t>West</t>
        </is>
      </c>
    </row>
    <row r="3575">
      <c r="A3575" s="2" t="inlineStr">
        <is>
          <t>C0702</t>
        </is>
      </c>
      <c r="B3575" s="2" t="inlineStr">
        <is>
          <t>Maharashtra</t>
        </is>
      </c>
      <c r="C3575" s="2" t="inlineStr">
        <is>
          <t>Nashik</t>
        </is>
      </c>
      <c r="D3575" s="2" t="inlineStr">
        <is>
          <t>West</t>
        </is>
      </c>
    </row>
    <row r="3576">
      <c r="A3576" s="2" t="inlineStr">
        <is>
          <t>C0703</t>
        </is>
      </c>
      <c r="B3576" s="2" t="inlineStr">
        <is>
          <t>Maharashtra</t>
        </is>
      </c>
      <c r="C3576" s="2" t="inlineStr">
        <is>
          <t>Thane</t>
        </is>
      </c>
      <c r="D3576" s="2" t="inlineStr">
        <is>
          <t>West</t>
        </is>
      </c>
    </row>
    <row r="3577">
      <c r="A3577" s="2" t="inlineStr">
        <is>
          <t>C0703</t>
        </is>
      </c>
      <c r="B3577" s="2" t="inlineStr">
        <is>
          <t>Goa</t>
        </is>
      </c>
      <c r="C3577" s="2" t="inlineStr">
        <is>
          <t>Margao</t>
        </is>
      </c>
      <c r="D3577" s="2" t="inlineStr">
        <is>
          <t>West</t>
        </is>
      </c>
    </row>
    <row r="3578">
      <c r="A3578" s="2" t="inlineStr">
        <is>
          <t>C0703</t>
        </is>
      </c>
      <c r="B3578" s="2" t="inlineStr">
        <is>
          <t>Delhi</t>
        </is>
      </c>
      <c r="C3578" s="2" t="inlineStr">
        <is>
          <t>New Delhi</t>
        </is>
      </c>
      <c r="D3578" s="2" t="inlineStr">
        <is>
          <t>North</t>
        </is>
      </c>
    </row>
    <row r="3579">
      <c r="A3579" s="2" t="inlineStr">
        <is>
          <t>C0703</t>
        </is>
      </c>
      <c r="B3579" s="2" t="inlineStr">
        <is>
          <t>Bihar</t>
        </is>
      </c>
      <c r="C3579" s="2" t="inlineStr">
        <is>
          <t>Gaya</t>
        </is>
      </c>
      <c r="D3579" s="2" t="inlineStr">
        <is>
          <t>East</t>
        </is>
      </c>
    </row>
    <row r="3580">
      <c r="A3580" s="2" t="inlineStr">
        <is>
          <t>C0703</t>
        </is>
      </c>
      <c r="B3580" s="2" t="inlineStr">
        <is>
          <t>Karnataka</t>
        </is>
      </c>
      <c r="C3580" s="2" t="inlineStr">
        <is>
          <t>Mangaluru</t>
        </is>
      </c>
      <c r="D3580" s="2" t="inlineStr">
        <is>
          <t>South</t>
        </is>
      </c>
    </row>
    <row r="3581">
      <c r="A3581" s="2" t="inlineStr">
        <is>
          <t>C0703</t>
        </is>
      </c>
      <c r="B3581" s="2" t="inlineStr">
        <is>
          <t>Uttar Pradesh</t>
        </is>
      </c>
      <c r="C3581" s="2" t="inlineStr">
        <is>
          <t>Lucknow</t>
        </is>
      </c>
      <c r="D3581" s="2" t="inlineStr">
        <is>
          <t>North</t>
        </is>
      </c>
    </row>
    <row r="3582">
      <c r="A3582" s="2" t="inlineStr">
        <is>
          <t>C0703</t>
        </is>
      </c>
      <c r="B3582" s="2" t="inlineStr">
        <is>
          <t>Maharashtra</t>
        </is>
      </c>
      <c r="C3582" s="2" t="inlineStr">
        <is>
          <t>Mumbai</t>
        </is>
      </c>
      <c r="D3582" s="2" t="inlineStr">
        <is>
          <t>West</t>
        </is>
      </c>
    </row>
    <row r="3583">
      <c r="A3583" s="2" t="inlineStr">
        <is>
          <t>C0704</t>
        </is>
      </c>
      <c r="B3583" s="2" t="inlineStr">
        <is>
          <t>Karnataka</t>
        </is>
      </c>
      <c r="C3583" s="2" t="inlineStr">
        <is>
          <t>Mangaluru</t>
        </is>
      </c>
      <c r="D3583" s="2" t="inlineStr">
        <is>
          <t>South</t>
        </is>
      </c>
    </row>
    <row r="3584">
      <c r="A3584" s="2" t="inlineStr">
        <is>
          <t>C0704</t>
        </is>
      </c>
      <c r="B3584" s="2" t="inlineStr">
        <is>
          <t>Uttar Pradesh</t>
        </is>
      </c>
      <c r="C3584" s="2" t="inlineStr">
        <is>
          <t>Noida</t>
        </is>
      </c>
      <c r="D3584" s="2" t="inlineStr">
        <is>
          <t>North</t>
        </is>
      </c>
    </row>
    <row r="3585">
      <c r="A3585" s="2" t="inlineStr">
        <is>
          <t>C0705</t>
        </is>
      </c>
      <c r="B3585" s="2" t="inlineStr">
        <is>
          <t>Odisha</t>
        </is>
      </c>
      <c r="C3585" s="2" t="inlineStr">
        <is>
          <t>Cuttack</t>
        </is>
      </c>
      <c r="D3585" s="2" t="inlineStr">
        <is>
          <t>East</t>
        </is>
      </c>
    </row>
    <row r="3586">
      <c r="A3586" s="2" t="inlineStr">
        <is>
          <t>C0705</t>
        </is>
      </c>
      <c r="B3586" s="2" t="inlineStr">
        <is>
          <t>Maharashtra</t>
        </is>
      </c>
      <c r="C3586" s="2" t="inlineStr">
        <is>
          <t>Nashik</t>
        </is>
      </c>
      <c r="D3586" s="2" t="inlineStr">
        <is>
          <t>West</t>
        </is>
      </c>
    </row>
    <row r="3587">
      <c r="A3587" s="2" t="inlineStr">
        <is>
          <t>C0705</t>
        </is>
      </c>
      <c r="B3587" s="2" t="inlineStr">
        <is>
          <t>Goa</t>
        </is>
      </c>
      <c r="C3587" s="2" t="inlineStr">
        <is>
          <t>Margao</t>
        </is>
      </c>
      <c r="D3587" s="2" t="inlineStr">
        <is>
          <t>West</t>
        </is>
      </c>
    </row>
    <row r="3588">
      <c r="A3588" s="2" t="inlineStr">
        <is>
          <t>C0705</t>
        </is>
      </c>
      <c r="B3588" s="2" t="inlineStr">
        <is>
          <t>Haryana</t>
        </is>
      </c>
      <c r="C3588" s="2" t="inlineStr">
        <is>
          <t>Gurugram</t>
        </is>
      </c>
      <c r="D3588" s="2" t="inlineStr">
        <is>
          <t>North</t>
        </is>
      </c>
    </row>
    <row r="3589">
      <c r="A3589" s="2" t="inlineStr">
        <is>
          <t>C0705</t>
        </is>
      </c>
      <c r="B3589" s="2" t="inlineStr">
        <is>
          <t>Odisha</t>
        </is>
      </c>
      <c r="C3589" s="2" t="inlineStr">
        <is>
          <t>Bhubaneswar</t>
        </is>
      </c>
      <c r="D3589" s="2" t="inlineStr">
        <is>
          <t>East</t>
        </is>
      </c>
    </row>
    <row r="3590">
      <c r="A3590" s="2" t="inlineStr">
        <is>
          <t>C0705</t>
        </is>
      </c>
      <c r="B3590" s="2" t="inlineStr">
        <is>
          <t>West Bengal</t>
        </is>
      </c>
      <c r="C3590" s="2" t="inlineStr">
        <is>
          <t>Kolkata</t>
        </is>
      </c>
      <c r="D3590" s="2" t="inlineStr">
        <is>
          <t>East</t>
        </is>
      </c>
    </row>
    <row r="3591">
      <c r="A3591" s="2" t="inlineStr">
        <is>
          <t>C0705</t>
        </is>
      </c>
      <c r="B3591" s="2" t="inlineStr">
        <is>
          <t>Gujarat</t>
        </is>
      </c>
      <c r="C3591" s="2" t="inlineStr">
        <is>
          <t>Surat</t>
        </is>
      </c>
      <c r="D3591" s="2" t="inlineStr">
        <is>
          <t>West</t>
        </is>
      </c>
    </row>
    <row r="3592">
      <c r="A3592" s="2" t="inlineStr">
        <is>
          <t>C0705</t>
        </is>
      </c>
      <c r="B3592" s="2" t="inlineStr">
        <is>
          <t>Maharashtra</t>
        </is>
      </c>
      <c r="C3592" s="2" t="inlineStr">
        <is>
          <t>Mumbai</t>
        </is>
      </c>
      <c r="D3592" s="2" t="inlineStr">
        <is>
          <t>West</t>
        </is>
      </c>
    </row>
    <row r="3593">
      <c r="A3593" s="2" t="inlineStr">
        <is>
          <t>C0705</t>
        </is>
      </c>
      <c r="B3593" s="2" t="inlineStr">
        <is>
          <t>Goa</t>
        </is>
      </c>
      <c r="C3593" s="2" t="inlineStr">
        <is>
          <t>Panaji</t>
        </is>
      </c>
      <c r="D3593" s="2" t="inlineStr">
        <is>
          <t>West</t>
        </is>
      </c>
    </row>
    <row r="3594">
      <c r="A3594" s="2" t="inlineStr">
        <is>
          <t>C0705</t>
        </is>
      </c>
      <c r="B3594" s="2" t="inlineStr">
        <is>
          <t>Uttar Pradesh</t>
        </is>
      </c>
      <c r="C3594" s="2" t="inlineStr">
        <is>
          <t>Lucknow</t>
        </is>
      </c>
      <c r="D3594" s="2" t="inlineStr">
        <is>
          <t>North</t>
        </is>
      </c>
    </row>
    <row r="3595">
      <c r="A3595" s="2" t="inlineStr">
        <is>
          <t>C0705</t>
        </is>
      </c>
      <c r="B3595" s="2" t="inlineStr">
        <is>
          <t>Maharashtra</t>
        </is>
      </c>
      <c r="C3595" s="2" t="inlineStr">
        <is>
          <t>Pune</t>
        </is>
      </c>
      <c r="D3595" s="2" t="inlineStr">
        <is>
          <t>West</t>
        </is>
      </c>
    </row>
    <row r="3596">
      <c r="A3596" s="2" t="inlineStr">
        <is>
          <t>C0705</t>
        </is>
      </c>
      <c r="B3596" s="2" t="inlineStr">
        <is>
          <t>Telangana</t>
        </is>
      </c>
      <c r="C3596" s="2" t="inlineStr">
        <is>
          <t>Warangal</t>
        </is>
      </c>
      <c r="D3596" s="2" t="inlineStr">
        <is>
          <t>South</t>
        </is>
      </c>
    </row>
    <row r="3597">
      <c r="A3597" s="2" t="inlineStr">
        <is>
          <t>C0706</t>
        </is>
      </c>
      <c r="B3597" s="2" t="inlineStr">
        <is>
          <t>Karnataka</t>
        </is>
      </c>
      <c r="C3597" s="2" t="inlineStr">
        <is>
          <t>Mangaluru</t>
        </is>
      </c>
      <c r="D3597" s="2" t="inlineStr">
        <is>
          <t>South</t>
        </is>
      </c>
    </row>
    <row r="3598">
      <c r="A3598" s="2" t="inlineStr">
        <is>
          <t>C0706</t>
        </is>
      </c>
      <c r="B3598" s="2" t="inlineStr">
        <is>
          <t>Telangana</t>
        </is>
      </c>
      <c r="C3598" s="2" t="inlineStr">
        <is>
          <t>Hyderabad</t>
        </is>
      </c>
      <c r="D3598" s="2" t="inlineStr">
        <is>
          <t>South</t>
        </is>
      </c>
    </row>
    <row r="3599">
      <c r="A3599" s="2" t="inlineStr">
        <is>
          <t>C0706</t>
        </is>
      </c>
      <c r="B3599" s="2" t="inlineStr">
        <is>
          <t>Haryana</t>
        </is>
      </c>
      <c r="C3599" s="2" t="inlineStr">
        <is>
          <t>Gurugram</t>
        </is>
      </c>
      <c r="D3599" s="2" t="inlineStr">
        <is>
          <t>North</t>
        </is>
      </c>
    </row>
    <row r="3600">
      <c r="A3600" s="2" t="inlineStr">
        <is>
          <t>C0706</t>
        </is>
      </c>
      <c r="B3600" s="2" t="inlineStr">
        <is>
          <t>Kerala</t>
        </is>
      </c>
      <c r="C3600" s="2" t="inlineStr">
        <is>
          <t>Thiruvananthapuram</t>
        </is>
      </c>
      <c r="D3600" s="2" t="inlineStr">
        <is>
          <t>South</t>
        </is>
      </c>
    </row>
    <row r="3601">
      <c r="A3601" s="2" t="inlineStr">
        <is>
          <t>C0706</t>
        </is>
      </c>
      <c r="B3601" s="2" t="inlineStr">
        <is>
          <t>Karnataka</t>
        </is>
      </c>
      <c r="C3601" s="2" t="inlineStr">
        <is>
          <t>Mysuru</t>
        </is>
      </c>
      <c r="D3601" s="2" t="inlineStr">
        <is>
          <t>South</t>
        </is>
      </c>
    </row>
    <row r="3602">
      <c r="A3602" s="2" t="inlineStr">
        <is>
          <t>C0706</t>
        </is>
      </c>
      <c r="B3602" s="2" t="inlineStr">
        <is>
          <t>Karnataka</t>
        </is>
      </c>
      <c r="C3602" s="2" t="inlineStr">
        <is>
          <t>Bengaluru</t>
        </is>
      </c>
      <c r="D3602" s="2" t="inlineStr">
        <is>
          <t>South</t>
        </is>
      </c>
    </row>
    <row r="3603">
      <c r="A3603" s="2" t="inlineStr">
        <is>
          <t>C0706</t>
        </is>
      </c>
      <c r="B3603" s="2" t="inlineStr">
        <is>
          <t>West Bengal</t>
        </is>
      </c>
      <c r="C3603" s="2" t="inlineStr">
        <is>
          <t>Kolkata</t>
        </is>
      </c>
      <c r="D3603" s="2" t="inlineStr">
        <is>
          <t>East</t>
        </is>
      </c>
    </row>
    <row r="3604">
      <c r="A3604" s="2" t="inlineStr">
        <is>
          <t>C0706</t>
        </is>
      </c>
      <c r="B3604" s="2" t="inlineStr">
        <is>
          <t>Goa</t>
        </is>
      </c>
      <c r="C3604" s="2" t="inlineStr">
        <is>
          <t>Margao</t>
        </is>
      </c>
      <c r="D3604" s="2" t="inlineStr">
        <is>
          <t>West</t>
        </is>
      </c>
    </row>
    <row r="3605">
      <c r="A3605" s="2" t="inlineStr">
        <is>
          <t>C0707</t>
        </is>
      </c>
      <c r="B3605" s="2" t="inlineStr">
        <is>
          <t>Maharashtra</t>
        </is>
      </c>
      <c r="C3605" s="2" t="inlineStr">
        <is>
          <t>Thane</t>
        </is>
      </c>
      <c r="D3605" s="2" t="inlineStr">
        <is>
          <t>West</t>
        </is>
      </c>
    </row>
    <row r="3606">
      <c r="A3606" s="2" t="inlineStr">
        <is>
          <t>C0707</t>
        </is>
      </c>
      <c r="B3606" s="2" t="inlineStr">
        <is>
          <t>Tamil Nadu</t>
        </is>
      </c>
      <c r="C3606" s="2" t="inlineStr">
        <is>
          <t>Madurai</t>
        </is>
      </c>
      <c r="D3606" s="2" t="inlineStr">
        <is>
          <t>South</t>
        </is>
      </c>
    </row>
    <row r="3607">
      <c r="A3607" s="2" t="inlineStr">
        <is>
          <t>C0707</t>
        </is>
      </c>
      <c r="B3607" s="2" t="inlineStr">
        <is>
          <t>Gujarat</t>
        </is>
      </c>
      <c r="C3607" s="2" t="inlineStr">
        <is>
          <t>Vadodara</t>
        </is>
      </c>
      <c r="D3607" s="2" t="inlineStr">
        <is>
          <t>West</t>
        </is>
      </c>
    </row>
    <row r="3608">
      <c r="A3608" s="2" t="inlineStr">
        <is>
          <t>C0707</t>
        </is>
      </c>
      <c r="B3608" s="2" t="inlineStr">
        <is>
          <t>Goa</t>
        </is>
      </c>
      <c r="C3608" s="2" t="inlineStr">
        <is>
          <t>Margao</t>
        </is>
      </c>
      <c r="D3608" s="2" t="inlineStr">
        <is>
          <t>West</t>
        </is>
      </c>
    </row>
    <row r="3609">
      <c r="A3609" s="2" t="inlineStr">
        <is>
          <t>C0707</t>
        </is>
      </c>
      <c r="B3609" s="2" t="inlineStr">
        <is>
          <t>Uttar Pradesh</t>
        </is>
      </c>
      <c r="C3609" s="2" t="inlineStr">
        <is>
          <t>Noida</t>
        </is>
      </c>
      <c r="D3609" s="2" t="inlineStr">
        <is>
          <t>North</t>
        </is>
      </c>
    </row>
    <row r="3610">
      <c r="A3610" s="2" t="inlineStr">
        <is>
          <t>C0707</t>
        </is>
      </c>
      <c r="B3610" s="2" t="inlineStr">
        <is>
          <t>Bihar</t>
        </is>
      </c>
      <c r="C3610" s="2" t="inlineStr">
        <is>
          <t>Patna</t>
        </is>
      </c>
      <c r="D3610" s="2" t="inlineStr">
        <is>
          <t>East</t>
        </is>
      </c>
    </row>
    <row r="3611">
      <c r="A3611" s="2" t="inlineStr">
        <is>
          <t>C0707</t>
        </is>
      </c>
      <c r="B3611" s="2" t="inlineStr">
        <is>
          <t>Karnataka</t>
        </is>
      </c>
      <c r="C3611" s="2" t="inlineStr">
        <is>
          <t>Bengaluru</t>
        </is>
      </c>
      <c r="D3611" s="2" t="inlineStr">
        <is>
          <t>South</t>
        </is>
      </c>
    </row>
    <row r="3612">
      <c r="A3612" s="2" t="inlineStr">
        <is>
          <t>C0707</t>
        </is>
      </c>
      <c r="B3612" s="2" t="inlineStr">
        <is>
          <t>Odisha</t>
        </is>
      </c>
      <c r="C3612" s="2" t="inlineStr">
        <is>
          <t>Cuttack</t>
        </is>
      </c>
      <c r="D3612" s="2" t="inlineStr">
        <is>
          <t>East</t>
        </is>
      </c>
    </row>
    <row r="3613">
      <c r="A3613" s="2" t="inlineStr">
        <is>
          <t>C0710</t>
        </is>
      </c>
      <c r="B3613" s="2" t="inlineStr">
        <is>
          <t>Haryana</t>
        </is>
      </c>
      <c r="C3613" s="2" t="inlineStr">
        <is>
          <t>Gurugram</t>
        </is>
      </c>
      <c r="D3613" s="2" t="inlineStr">
        <is>
          <t>North</t>
        </is>
      </c>
    </row>
    <row r="3614">
      <c r="A3614" s="2" t="inlineStr">
        <is>
          <t>C0710</t>
        </is>
      </c>
      <c r="B3614" s="2" t="inlineStr">
        <is>
          <t>Goa</t>
        </is>
      </c>
      <c r="C3614" s="2" t="inlineStr">
        <is>
          <t>Panaji</t>
        </is>
      </c>
      <c r="D3614" s="2" t="inlineStr">
        <is>
          <t>West</t>
        </is>
      </c>
    </row>
    <row r="3615">
      <c r="A3615" s="2" t="inlineStr">
        <is>
          <t>C0710</t>
        </is>
      </c>
      <c r="B3615" s="2" t="inlineStr">
        <is>
          <t>Delhi</t>
        </is>
      </c>
      <c r="C3615" s="2" t="inlineStr">
        <is>
          <t>New Delhi</t>
        </is>
      </c>
      <c r="D3615" s="2" t="inlineStr">
        <is>
          <t>North</t>
        </is>
      </c>
    </row>
    <row r="3616">
      <c r="A3616" s="2" t="inlineStr">
        <is>
          <t>C0711</t>
        </is>
      </c>
      <c r="B3616" s="2" t="inlineStr">
        <is>
          <t>Goa</t>
        </is>
      </c>
      <c r="C3616" s="2" t="inlineStr">
        <is>
          <t>Panaji</t>
        </is>
      </c>
      <c r="D3616" s="2" t="inlineStr">
        <is>
          <t>West</t>
        </is>
      </c>
    </row>
    <row r="3617">
      <c r="A3617" s="2" t="inlineStr">
        <is>
          <t>C0711</t>
        </is>
      </c>
      <c r="B3617" s="2" t="inlineStr">
        <is>
          <t>Goa</t>
        </is>
      </c>
      <c r="C3617" s="2" t="inlineStr">
        <is>
          <t>Margao</t>
        </is>
      </c>
      <c r="D3617" s="2" t="inlineStr">
        <is>
          <t>West</t>
        </is>
      </c>
    </row>
    <row r="3618">
      <c r="A3618" s="2" t="inlineStr">
        <is>
          <t>C0711</t>
        </is>
      </c>
      <c r="B3618" s="2" t="inlineStr">
        <is>
          <t>Tamil Nadu</t>
        </is>
      </c>
      <c r="C3618" s="2" t="inlineStr">
        <is>
          <t>Chennai</t>
        </is>
      </c>
      <c r="D3618" s="2" t="inlineStr">
        <is>
          <t>South</t>
        </is>
      </c>
    </row>
    <row r="3619">
      <c r="A3619" s="2" t="inlineStr">
        <is>
          <t>C0711</t>
        </is>
      </c>
      <c r="B3619" s="2" t="inlineStr">
        <is>
          <t>Kerala</t>
        </is>
      </c>
      <c r="C3619" s="2" t="inlineStr">
        <is>
          <t>Thiruvananthapuram</t>
        </is>
      </c>
      <c r="D3619" s="2" t="inlineStr">
        <is>
          <t>South</t>
        </is>
      </c>
    </row>
    <row r="3620">
      <c r="A3620" s="2" t="inlineStr">
        <is>
          <t>C0712</t>
        </is>
      </c>
      <c r="B3620" s="2" t="inlineStr">
        <is>
          <t>Goa</t>
        </is>
      </c>
      <c r="C3620" s="2" t="inlineStr">
        <is>
          <t>Panaji</t>
        </is>
      </c>
      <c r="D3620" s="2" t="inlineStr">
        <is>
          <t>West</t>
        </is>
      </c>
    </row>
    <row r="3621">
      <c r="A3621" s="2" t="inlineStr">
        <is>
          <t>C0712</t>
        </is>
      </c>
      <c r="B3621" s="2" t="inlineStr">
        <is>
          <t>Maharashtra</t>
        </is>
      </c>
      <c r="C3621" s="2" t="inlineStr">
        <is>
          <t>Pune</t>
        </is>
      </c>
      <c r="D3621" s="2" t="inlineStr">
        <is>
          <t>West</t>
        </is>
      </c>
    </row>
    <row r="3622">
      <c r="A3622" s="2" t="inlineStr">
        <is>
          <t>C0712</t>
        </is>
      </c>
      <c r="B3622" s="2" t="inlineStr">
        <is>
          <t>Gujarat</t>
        </is>
      </c>
      <c r="C3622" s="2" t="inlineStr">
        <is>
          <t>Vadodara</t>
        </is>
      </c>
      <c r="D3622" s="2" t="inlineStr">
        <is>
          <t>West</t>
        </is>
      </c>
    </row>
    <row r="3623">
      <c r="A3623" s="2" t="inlineStr">
        <is>
          <t>C0712</t>
        </is>
      </c>
      <c r="B3623" s="2" t="inlineStr">
        <is>
          <t>Gujarat</t>
        </is>
      </c>
      <c r="C3623" s="2" t="inlineStr">
        <is>
          <t>Ahmedabad</t>
        </is>
      </c>
      <c r="D3623" s="2" t="inlineStr">
        <is>
          <t>West</t>
        </is>
      </c>
    </row>
    <row r="3624">
      <c r="A3624" s="2" t="inlineStr">
        <is>
          <t>C0712</t>
        </is>
      </c>
      <c r="B3624" s="2" t="inlineStr">
        <is>
          <t>Haryana</t>
        </is>
      </c>
      <c r="C3624" s="2" t="inlineStr">
        <is>
          <t>Gurugram</t>
        </is>
      </c>
      <c r="D3624" s="2" t="inlineStr">
        <is>
          <t>North</t>
        </is>
      </c>
    </row>
    <row r="3625">
      <c r="A3625" s="2" t="inlineStr">
        <is>
          <t>C0712</t>
        </is>
      </c>
      <c r="B3625" s="2" t="inlineStr">
        <is>
          <t>Maharashtra</t>
        </is>
      </c>
      <c r="C3625" s="2" t="inlineStr">
        <is>
          <t>Nashik</t>
        </is>
      </c>
      <c r="D3625" s="2" t="inlineStr">
        <is>
          <t>West</t>
        </is>
      </c>
    </row>
    <row r="3626">
      <c r="A3626" s="2" t="inlineStr">
        <is>
          <t>C0713</t>
        </is>
      </c>
      <c r="B3626" s="2" t="inlineStr">
        <is>
          <t>Uttar Pradesh</t>
        </is>
      </c>
      <c r="C3626" s="2" t="inlineStr">
        <is>
          <t>Varanasi</t>
        </is>
      </c>
      <c r="D3626" s="2" t="inlineStr">
        <is>
          <t>North</t>
        </is>
      </c>
    </row>
    <row r="3627">
      <c r="A3627" s="2" t="inlineStr">
        <is>
          <t>C0713</t>
        </is>
      </c>
      <c r="B3627" s="2" t="inlineStr">
        <is>
          <t>Maharashtra</t>
        </is>
      </c>
      <c r="C3627" s="2" t="inlineStr">
        <is>
          <t>Mumbai</t>
        </is>
      </c>
      <c r="D3627" s="2" t="inlineStr">
        <is>
          <t>West</t>
        </is>
      </c>
    </row>
    <row r="3628">
      <c r="A3628" s="2" t="inlineStr">
        <is>
          <t>C0713</t>
        </is>
      </c>
      <c r="B3628" s="2" t="inlineStr">
        <is>
          <t>Bihar</t>
        </is>
      </c>
      <c r="C3628" s="2" t="inlineStr">
        <is>
          <t>Gaya</t>
        </is>
      </c>
      <c r="D3628" s="2" t="inlineStr">
        <is>
          <t>East</t>
        </is>
      </c>
    </row>
    <row r="3629">
      <c r="A3629" s="2" t="inlineStr">
        <is>
          <t>C0715</t>
        </is>
      </c>
      <c r="B3629" s="2" t="inlineStr">
        <is>
          <t>Tamil Nadu</t>
        </is>
      </c>
      <c r="C3629" s="2" t="inlineStr">
        <is>
          <t>Coimbatore</t>
        </is>
      </c>
      <c r="D3629" s="2" t="inlineStr">
        <is>
          <t>South</t>
        </is>
      </c>
    </row>
    <row r="3630">
      <c r="A3630" s="2" t="inlineStr">
        <is>
          <t>C0715</t>
        </is>
      </c>
      <c r="B3630" s="2" t="inlineStr">
        <is>
          <t>Telangana</t>
        </is>
      </c>
      <c r="C3630" s="2" t="inlineStr">
        <is>
          <t>Hyderabad</t>
        </is>
      </c>
      <c r="D3630" s="2" t="inlineStr">
        <is>
          <t>South</t>
        </is>
      </c>
    </row>
    <row r="3631">
      <c r="A3631" s="2" t="inlineStr">
        <is>
          <t>C0715</t>
        </is>
      </c>
      <c r="B3631" s="2" t="inlineStr">
        <is>
          <t>West Bengal</t>
        </is>
      </c>
      <c r="C3631" s="2" t="inlineStr">
        <is>
          <t>Kolkata</t>
        </is>
      </c>
      <c r="D3631" s="2" t="inlineStr">
        <is>
          <t>East</t>
        </is>
      </c>
    </row>
    <row r="3632">
      <c r="A3632" s="2" t="inlineStr">
        <is>
          <t>C0715</t>
        </is>
      </c>
      <c r="B3632" s="2" t="inlineStr">
        <is>
          <t>Kerala</t>
        </is>
      </c>
      <c r="C3632" s="2" t="inlineStr">
        <is>
          <t>Thiruvananthapuram</t>
        </is>
      </c>
      <c r="D3632" s="2" t="inlineStr">
        <is>
          <t>South</t>
        </is>
      </c>
    </row>
    <row r="3633">
      <c r="A3633" s="2" t="inlineStr">
        <is>
          <t>C0715</t>
        </is>
      </c>
      <c r="B3633" s="2" t="inlineStr">
        <is>
          <t>Gujarat</t>
        </is>
      </c>
      <c r="C3633" s="2" t="inlineStr">
        <is>
          <t>Surat</t>
        </is>
      </c>
      <c r="D3633" s="2" t="inlineStr">
        <is>
          <t>West</t>
        </is>
      </c>
    </row>
    <row r="3634">
      <c r="A3634" s="2" t="inlineStr">
        <is>
          <t>C0717</t>
        </is>
      </c>
      <c r="B3634" s="2" t="inlineStr">
        <is>
          <t>Gujarat</t>
        </is>
      </c>
      <c r="C3634" s="2" t="inlineStr">
        <is>
          <t>Vadodara</t>
        </is>
      </c>
      <c r="D3634" s="2" t="inlineStr">
        <is>
          <t>West</t>
        </is>
      </c>
    </row>
    <row r="3635">
      <c r="A3635" s="2" t="inlineStr">
        <is>
          <t>C0717</t>
        </is>
      </c>
      <c r="B3635" s="2" t="inlineStr">
        <is>
          <t>Telangana</t>
        </is>
      </c>
      <c r="C3635" s="2" t="inlineStr">
        <is>
          <t>Warangal</t>
        </is>
      </c>
      <c r="D3635" s="2" t="inlineStr">
        <is>
          <t>South</t>
        </is>
      </c>
    </row>
    <row r="3636">
      <c r="A3636" s="2" t="inlineStr">
        <is>
          <t>C0717</t>
        </is>
      </c>
      <c r="B3636" s="2" t="inlineStr">
        <is>
          <t>Uttar Pradesh</t>
        </is>
      </c>
      <c r="C3636" s="2" t="inlineStr">
        <is>
          <t>Kanpur</t>
        </is>
      </c>
      <c r="D3636" s="2" t="inlineStr">
        <is>
          <t>North</t>
        </is>
      </c>
    </row>
    <row r="3637">
      <c r="A3637" s="2" t="inlineStr">
        <is>
          <t>C0717</t>
        </is>
      </c>
      <c r="B3637" s="2" t="inlineStr">
        <is>
          <t>Haryana</t>
        </is>
      </c>
      <c r="C3637" s="2" t="inlineStr">
        <is>
          <t>Faridabad</t>
        </is>
      </c>
      <c r="D3637" s="2" t="inlineStr">
        <is>
          <t>North</t>
        </is>
      </c>
    </row>
    <row r="3638">
      <c r="A3638" s="2" t="inlineStr">
        <is>
          <t>C0718</t>
        </is>
      </c>
      <c r="B3638" s="2" t="inlineStr">
        <is>
          <t>Maharashtra</t>
        </is>
      </c>
      <c r="C3638" s="2" t="inlineStr">
        <is>
          <t>Thane</t>
        </is>
      </c>
      <c r="D3638" s="2" t="inlineStr">
        <is>
          <t>West</t>
        </is>
      </c>
    </row>
    <row r="3639">
      <c r="A3639" s="2" t="inlineStr">
        <is>
          <t>C0718</t>
        </is>
      </c>
      <c r="B3639" s="2" t="inlineStr">
        <is>
          <t>Haryana</t>
        </is>
      </c>
      <c r="C3639" s="2" t="inlineStr">
        <is>
          <t>Faridabad</t>
        </is>
      </c>
      <c r="D3639" s="2" t="inlineStr">
        <is>
          <t>North</t>
        </is>
      </c>
    </row>
    <row r="3640">
      <c r="A3640" s="2" t="inlineStr">
        <is>
          <t>C0718</t>
        </is>
      </c>
      <c r="B3640" s="2" t="inlineStr">
        <is>
          <t>Gujarat</t>
        </is>
      </c>
      <c r="C3640" s="2" t="inlineStr">
        <is>
          <t>Ahmedabad</t>
        </is>
      </c>
      <c r="D3640" s="2" t="inlineStr">
        <is>
          <t>West</t>
        </is>
      </c>
    </row>
    <row r="3641">
      <c r="A3641" s="2" t="inlineStr">
        <is>
          <t>C0719</t>
        </is>
      </c>
      <c r="B3641" s="2" t="inlineStr">
        <is>
          <t>Kerala</t>
        </is>
      </c>
      <c r="C3641" s="2" t="inlineStr">
        <is>
          <t>Kochi</t>
        </is>
      </c>
      <c r="D3641" s="2" t="inlineStr">
        <is>
          <t>South</t>
        </is>
      </c>
    </row>
    <row r="3642">
      <c r="A3642" s="2" t="inlineStr">
        <is>
          <t>C0719</t>
        </is>
      </c>
      <c r="B3642" s="2" t="inlineStr">
        <is>
          <t>Gujarat</t>
        </is>
      </c>
      <c r="C3642" s="2" t="inlineStr">
        <is>
          <t>Surat</t>
        </is>
      </c>
      <c r="D3642" s="2" t="inlineStr">
        <is>
          <t>West</t>
        </is>
      </c>
    </row>
    <row r="3643">
      <c r="A3643" s="2" t="inlineStr">
        <is>
          <t>C0719</t>
        </is>
      </c>
      <c r="B3643" s="2" t="inlineStr">
        <is>
          <t>Karnataka</t>
        </is>
      </c>
      <c r="C3643" s="2" t="inlineStr">
        <is>
          <t>Mysuru</t>
        </is>
      </c>
      <c r="D3643" s="2" t="inlineStr">
        <is>
          <t>South</t>
        </is>
      </c>
    </row>
    <row r="3644">
      <c r="A3644" s="2" t="inlineStr">
        <is>
          <t>C0719</t>
        </is>
      </c>
      <c r="B3644" s="2" t="inlineStr">
        <is>
          <t>Maharashtra</t>
        </is>
      </c>
      <c r="C3644" s="2" t="inlineStr">
        <is>
          <t>Mumbai</t>
        </is>
      </c>
      <c r="D3644" s="2" t="inlineStr">
        <is>
          <t>West</t>
        </is>
      </c>
    </row>
    <row r="3645">
      <c r="A3645" s="2" t="inlineStr">
        <is>
          <t>C0719</t>
        </is>
      </c>
      <c r="B3645" s="2" t="inlineStr">
        <is>
          <t>Goa</t>
        </is>
      </c>
      <c r="C3645" s="2" t="inlineStr">
        <is>
          <t>Panaji</t>
        </is>
      </c>
      <c r="D3645" s="2" t="inlineStr">
        <is>
          <t>West</t>
        </is>
      </c>
    </row>
    <row r="3646">
      <c r="A3646" s="2" t="inlineStr">
        <is>
          <t>C0719</t>
        </is>
      </c>
      <c r="B3646" s="2" t="inlineStr">
        <is>
          <t>Uttar Pradesh</t>
        </is>
      </c>
      <c r="C3646" s="2" t="inlineStr">
        <is>
          <t>Lucknow</t>
        </is>
      </c>
      <c r="D3646" s="2" t="inlineStr">
        <is>
          <t>North</t>
        </is>
      </c>
    </row>
    <row r="3647">
      <c r="A3647" s="2" t="inlineStr">
        <is>
          <t>C0719</t>
        </is>
      </c>
      <c r="B3647" s="2" t="inlineStr">
        <is>
          <t>Kerala</t>
        </is>
      </c>
      <c r="C3647" s="2" t="inlineStr">
        <is>
          <t>Thiruvananthapuram</t>
        </is>
      </c>
      <c r="D3647" s="2" t="inlineStr">
        <is>
          <t>South</t>
        </is>
      </c>
    </row>
    <row r="3648">
      <c r="A3648" s="2" t="inlineStr">
        <is>
          <t>C0719</t>
        </is>
      </c>
      <c r="B3648" s="2" t="inlineStr">
        <is>
          <t>Punjab</t>
        </is>
      </c>
      <c r="C3648" s="2" t="inlineStr">
        <is>
          <t>Ludhiana</t>
        </is>
      </c>
      <c r="D3648" s="2" t="inlineStr">
        <is>
          <t>North</t>
        </is>
      </c>
    </row>
    <row r="3649">
      <c r="A3649" s="2" t="inlineStr">
        <is>
          <t>C0719</t>
        </is>
      </c>
      <c r="B3649" s="2" t="inlineStr">
        <is>
          <t>Tamil Nadu</t>
        </is>
      </c>
      <c r="C3649" s="2" t="inlineStr">
        <is>
          <t>Chennai</t>
        </is>
      </c>
      <c r="D3649" s="2" t="inlineStr">
        <is>
          <t>South</t>
        </is>
      </c>
    </row>
    <row r="3650">
      <c r="A3650" s="2" t="inlineStr">
        <is>
          <t>C0719</t>
        </is>
      </c>
      <c r="B3650" s="2" t="inlineStr">
        <is>
          <t>Tamil Nadu</t>
        </is>
      </c>
      <c r="C3650" s="2" t="inlineStr">
        <is>
          <t>Madurai</t>
        </is>
      </c>
      <c r="D3650" s="2" t="inlineStr">
        <is>
          <t>South</t>
        </is>
      </c>
    </row>
    <row r="3651">
      <c r="A3651" s="2" t="inlineStr">
        <is>
          <t>C0719</t>
        </is>
      </c>
      <c r="B3651" s="2" t="inlineStr">
        <is>
          <t>West Bengal</t>
        </is>
      </c>
      <c r="C3651" s="2" t="inlineStr">
        <is>
          <t>Kolkata</t>
        </is>
      </c>
      <c r="D3651" s="2" t="inlineStr">
        <is>
          <t>East</t>
        </is>
      </c>
    </row>
    <row r="3652">
      <c r="A3652" s="2" t="inlineStr">
        <is>
          <t>C0719</t>
        </is>
      </c>
      <c r="B3652" s="2" t="inlineStr">
        <is>
          <t>Haryana</t>
        </is>
      </c>
      <c r="C3652" s="2" t="inlineStr">
        <is>
          <t>Gurugram</t>
        </is>
      </c>
      <c r="D3652" s="2" t="inlineStr">
        <is>
          <t>North</t>
        </is>
      </c>
    </row>
    <row r="3653">
      <c r="A3653" s="2" t="inlineStr">
        <is>
          <t>C0719</t>
        </is>
      </c>
      <c r="B3653" s="2" t="inlineStr">
        <is>
          <t>Punjab</t>
        </is>
      </c>
      <c r="C3653" s="2" t="inlineStr">
        <is>
          <t>Jalandhar</t>
        </is>
      </c>
      <c r="D3653" s="2" t="inlineStr">
        <is>
          <t>North</t>
        </is>
      </c>
    </row>
    <row r="3654">
      <c r="A3654" s="2" t="inlineStr">
        <is>
          <t>C0719</t>
        </is>
      </c>
      <c r="B3654" s="2" t="inlineStr">
        <is>
          <t>Gujarat</t>
        </is>
      </c>
      <c r="C3654" s="2" t="inlineStr">
        <is>
          <t>Ahmedabad</t>
        </is>
      </c>
      <c r="D3654" s="2" t="inlineStr">
        <is>
          <t>West</t>
        </is>
      </c>
    </row>
    <row r="3655">
      <c r="A3655" s="2" t="inlineStr">
        <is>
          <t>C0719</t>
        </is>
      </c>
      <c r="B3655" s="2" t="inlineStr">
        <is>
          <t>Maharashtra</t>
        </is>
      </c>
      <c r="C3655" s="2" t="inlineStr">
        <is>
          <t>Thane</t>
        </is>
      </c>
      <c r="D3655" s="2" t="inlineStr">
        <is>
          <t>West</t>
        </is>
      </c>
    </row>
    <row r="3656">
      <c r="A3656" s="2" t="inlineStr">
        <is>
          <t>C0720</t>
        </is>
      </c>
      <c r="B3656" s="2" t="inlineStr">
        <is>
          <t>Maharashtra</t>
        </is>
      </c>
      <c r="C3656" s="2" t="inlineStr">
        <is>
          <t>Mumbai</t>
        </is>
      </c>
      <c r="D3656" s="2" t="inlineStr">
        <is>
          <t>West</t>
        </is>
      </c>
    </row>
    <row r="3657">
      <c r="A3657" s="2" t="inlineStr">
        <is>
          <t>C0721</t>
        </is>
      </c>
      <c r="B3657" s="2" t="inlineStr">
        <is>
          <t>Haryana</t>
        </is>
      </c>
      <c r="C3657" s="2" t="inlineStr">
        <is>
          <t>Gurugram</t>
        </is>
      </c>
      <c r="D3657" s="2" t="inlineStr">
        <is>
          <t>North</t>
        </is>
      </c>
    </row>
    <row r="3658">
      <c r="A3658" s="2" t="inlineStr">
        <is>
          <t>C0721</t>
        </is>
      </c>
      <c r="B3658" s="2" t="inlineStr">
        <is>
          <t>Maharashtra</t>
        </is>
      </c>
      <c r="C3658" s="2" t="inlineStr">
        <is>
          <t>Mumbai</t>
        </is>
      </c>
      <c r="D3658" s="2" t="inlineStr">
        <is>
          <t>West</t>
        </is>
      </c>
    </row>
    <row r="3659">
      <c r="A3659" s="2" t="inlineStr">
        <is>
          <t>C0721</t>
        </is>
      </c>
      <c r="B3659" s="2" t="inlineStr">
        <is>
          <t>Kerala</t>
        </is>
      </c>
      <c r="C3659" s="2" t="inlineStr">
        <is>
          <t>Thiruvananthapuram</t>
        </is>
      </c>
      <c r="D3659" s="2" t="inlineStr">
        <is>
          <t>South</t>
        </is>
      </c>
    </row>
    <row r="3660">
      <c r="A3660" s="2" t="inlineStr">
        <is>
          <t>C0722</t>
        </is>
      </c>
      <c r="B3660" s="2" t="inlineStr">
        <is>
          <t>Gujarat</t>
        </is>
      </c>
      <c r="C3660" s="2" t="inlineStr">
        <is>
          <t>Vadodara</t>
        </is>
      </c>
      <c r="D3660" s="2" t="inlineStr">
        <is>
          <t>West</t>
        </is>
      </c>
    </row>
    <row r="3661">
      <c r="A3661" s="2" t="inlineStr">
        <is>
          <t>C0722</t>
        </is>
      </c>
      <c r="B3661" s="2" t="inlineStr">
        <is>
          <t>Kerala</t>
        </is>
      </c>
      <c r="C3661" s="2" t="inlineStr">
        <is>
          <t>Thiruvananthapuram</t>
        </is>
      </c>
      <c r="D3661" s="2" t="inlineStr">
        <is>
          <t>South</t>
        </is>
      </c>
    </row>
    <row r="3662">
      <c r="A3662" s="2" t="inlineStr">
        <is>
          <t>C0722</t>
        </is>
      </c>
      <c r="B3662" s="2" t="inlineStr">
        <is>
          <t>Gujarat</t>
        </is>
      </c>
      <c r="C3662" s="2" t="inlineStr">
        <is>
          <t>Ahmedabad</t>
        </is>
      </c>
      <c r="D3662" s="2" t="inlineStr">
        <is>
          <t>West</t>
        </is>
      </c>
    </row>
    <row r="3663">
      <c r="A3663" s="2" t="inlineStr">
        <is>
          <t>C0723</t>
        </is>
      </c>
      <c r="B3663" s="2" t="inlineStr">
        <is>
          <t>Odisha</t>
        </is>
      </c>
      <c r="C3663" s="2" t="inlineStr">
        <is>
          <t>Bhubaneswar</t>
        </is>
      </c>
      <c r="D3663" s="2" t="inlineStr">
        <is>
          <t>East</t>
        </is>
      </c>
    </row>
    <row r="3664">
      <c r="A3664" s="2" t="inlineStr">
        <is>
          <t>C0723</t>
        </is>
      </c>
      <c r="B3664" s="2" t="inlineStr">
        <is>
          <t>Uttar Pradesh</t>
        </is>
      </c>
      <c r="C3664" s="2" t="inlineStr">
        <is>
          <t>Kanpur</t>
        </is>
      </c>
      <c r="D3664" s="2" t="inlineStr">
        <is>
          <t>North</t>
        </is>
      </c>
    </row>
    <row r="3665">
      <c r="A3665" s="2" t="inlineStr">
        <is>
          <t>C0723</t>
        </is>
      </c>
      <c r="B3665" s="2" t="inlineStr">
        <is>
          <t>Maharashtra</t>
        </is>
      </c>
      <c r="C3665" s="2" t="inlineStr">
        <is>
          <t>Thane</t>
        </is>
      </c>
      <c r="D3665" s="2" t="inlineStr">
        <is>
          <t>West</t>
        </is>
      </c>
    </row>
    <row r="3666">
      <c r="A3666" s="2" t="inlineStr">
        <is>
          <t>C0723</t>
        </is>
      </c>
      <c r="B3666" s="2" t="inlineStr">
        <is>
          <t>Delhi</t>
        </is>
      </c>
      <c r="C3666" s="2" t="inlineStr">
        <is>
          <t>New Delhi</t>
        </is>
      </c>
      <c r="D3666" s="2" t="inlineStr">
        <is>
          <t>North</t>
        </is>
      </c>
    </row>
    <row r="3667">
      <c r="A3667" s="2" t="inlineStr">
        <is>
          <t>C0723</t>
        </is>
      </c>
      <c r="B3667" s="2" t="inlineStr">
        <is>
          <t>Kerala</t>
        </is>
      </c>
      <c r="C3667" s="2" t="inlineStr">
        <is>
          <t>Thiruvananthapuram</t>
        </is>
      </c>
      <c r="D3667" s="2" t="inlineStr">
        <is>
          <t>South</t>
        </is>
      </c>
    </row>
    <row r="3668">
      <c r="A3668" s="2" t="inlineStr">
        <is>
          <t>C0723</t>
        </is>
      </c>
      <c r="B3668" s="2" t="inlineStr">
        <is>
          <t>West Bengal</t>
        </is>
      </c>
      <c r="C3668" s="2" t="inlineStr">
        <is>
          <t>Durgapur</t>
        </is>
      </c>
      <c r="D3668" s="2" t="inlineStr">
        <is>
          <t>East</t>
        </is>
      </c>
    </row>
    <row r="3669">
      <c r="A3669" s="2" t="inlineStr">
        <is>
          <t>C0723</t>
        </is>
      </c>
      <c r="B3669" s="2" t="inlineStr">
        <is>
          <t>Tamil Nadu</t>
        </is>
      </c>
      <c r="C3669" s="2" t="inlineStr">
        <is>
          <t>Chennai</t>
        </is>
      </c>
      <c r="D3669" s="2" t="inlineStr">
        <is>
          <t>South</t>
        </is>
      </c>
    </row>
    <row r="3670">
      <c r="A3670" s="2" t="inlineStr">
        <is>
          <t>C0723</t>
        </is>
      </c>
      <c r="B3670" s="2" t="inlineStr">
        <is>
          <t>Tamil Nadu</t>
        </is>
      </c>
      <c r="C3670" s="2" t="inlineStr">
        <is>
          <t>Coimbatore</t>
        </is>
      </c>
      <c r="D3670" s="2" t="inlineStr">
        <is>
          <t>South</t>
        </is>
      </c>
    </row>
    <row r="3671">
      <c r="A3671" s="2" t="inlineStr">
        <is>
          <t>C0723</t>
        </is>
      </c>
      <c r="B3671" s="2" t="inlineStr">
        <is>
          <t>Goa</t>
        </is>
      </c>
      <c r="C3671" s="2" t="inlineStr">
        <is>
          <t>Panaji</t>
        </is>
      </c>
      <c r="D3671" s="2" t="inlineStr">
        <is>
          <t>West</t>
        </is>
      </c>
    </row>
    <row r="3672">
      <c r="A3672" s="2" t="inlineStr">
        <is>
          <t>C0723</t>
        </is>
      </c>
      <c r="B3672" s="2" t="inlineStr">
        <is>
          <t>Kerala</t>
        </is>
      </c>
      <c r="C3672" s="2" t="inlineStr">
        <is>
          <t>Kochi</t>
        </is>
      </c>
      <c r="D3672" s="2" t="inlineStr">
        <is>
          <t>South</t>
        </is>
      </c>
    </row>
    <row r="3673">
      <c r="A3673" s="2" t="inlineStr">
        <is>
          <t>C0723</t>
        </is>
      </c>
      <c r="B3673" s="2" t="inlineStr">
        <is>
          <t>Tamil Nadu</t>
        </is>
      </c>
      <c r="C3673" s="2" t="inlineStr">
        <is>
          <t>Madurai</t>
        </is>
      </c>
      <c r="D3673" s="2" t="inlineStr">
        <is>
          <t>South</t>
        </is>
      </c>
    </row>
    <row r="3674">
      <c r="A3674" s="2" t="inlineStr">
        <is>
          <t>C0723</t>
        </is>
      </c>
      <c r="B3674" s="2" t="inlineStr">
        <is>
          <t>Punjab</t>
        </is>
      </c>
      <c r="C3674" s="2" t="inlineStr">
        <is>
          <t>Jalandhar</t>
        </is>
      </c>
      <c r="D3674" s="2" t="inlineStr">
        <is>
          <t>North</t>
        </is>
      </c>
    </row>
    <row r="3675">
      <c r="A3675" s="2" t="inlineStr">
        <is>
          <t>C0723</t>
        </is>
      </c>
      <c r="B3675" s="2" t="inlineStr">
        <is>
          <t>Karnataka</t>
        </is>
      </c>
      <c r="C3675" s="2" t="inlineStr">
        <is>
          <t>Bengaluru</t>
        </is>
      </c>
      <c r="D3675" s="2" t="inlineStr">
        <is>
          <t>South</t>
        </is>
      </c>
    </row>
    <row r="3676">
      <c r="A3676" s="2" t="inlineStr">
        <is>
          <t>C0723</t>
        </is>
      </c>
      <c r="B3676" s="2" t="inlineStr">
        <is>
          <t>West Bengal</t>
        </is>
      </c>
      <c r="C3676" s="2" t="inlineStr">
        <is>
          <t>Kolkata</t>
        </is>
      </c>
      <c r="D3676" s="2" t="inlineStr">
        <is>
          <t>East</t>
        </is>
      </c>
    </row>
    <row r="3677">
      <c r="A3677" s="2" t="inlineStr">
        <is>
          <t>C0723</t>
        </is>
      </c>
      <c r="B3677" s="2" t="inlineStr">
        <is>
          <t>Goa</t>
        </is>
      </c>
      <c r="C3677" s="2" t="inlineStr">
        <is>
          <t>Margao</t>
        </is>
      </c>
      <c r="D3677" s="2" t="inlineStr">
        <is>
          <t>West</t>
        </is>
      </c>
    </row>
    <row r="3678">
      <c r="A3678" s="2" t="inlineStr">
        <is>
          <t>C0723</t>
        </is>
      </c>
      <c r="B3678" s="2" t="inlineStr">
        <is>
          <t>Maharashtra</t>
        </is>
      </c>
      <c r="C3678" s="2" t="inlineStr">
        <is>
          <t>Nagpur</t>
        </is>
      </c>
      <c r="D3678" s="2" t="inlineStr">
        <is>
          <t>West</t>
        </is>
      </c>
    </row>
    <row r="3679">
      <c r="A3679" s="2" t="inlineStr">
        <is>
          <t>C0723</t>
        </is>
      </c>
      <c r="B3679" s="2" t="inlineStr">
        <is>
          <t>Gujarat</t>
        </is>
      </c>
      <c r="C3679" s="2" t="inlineStr">
        <is>
          <t>Surat</t>
        </is>
      </c>
      <c r="D3679" s="2" t="inlineStr">
        <is>
          <t>West</t>
        </is>
      </c>
    </row>
    <row r="3680">
      <c r="A3680" s="2" t="inlineStr">
        <is>
          <t>C0724</t>
        </is>
      </c>
      <c r="B3680" s="2" t="inlineStr">
        <is>
          <t>Punjab</t>
        </is>
      </c>
      <c r="C3680" s="2" t="inlineStr">
        <is>
          <t>Amritsar</t>
        </is>
      </c>
      <c r="D3680" s="2" t="inlineStr">
        <is>
          <t>North</t>
        </is>
      </c>
    </row>
    <row r="3681">
      <c r="A3681" s="2" t="inlineStr">
        <is>
          <t>C0724</t>
        </is>
      </c>
      <c r="B3681" s="2" t="inlineStr">
        <is>
          <t>Karnataka</t>
        </is>
      </c>
      <c r="C3681" s="2" t="inlineStr">
        <is>
          <t>Mangaluru</t>
        </is>
      </c>
      <c r="D3681" s="2" t="inlineStr">
        <is>
          <t>South</t>
        </is>
      </c>
    </row>
    <row r="3682">
      <c r="A3682" s="2" t="inlineStr">
        <is>
          <t>C0724</t>
        </is>
      </c>
      <c r="B3682" s="2" t="inlineStr">
        <is>
          <t>Uttar Pradesh</t>
        </is>
      </c>
      <c r="C3682" s="2" t="inlineStr">
        <is>
          <t>Varanasi</t>
        </is>
      </c>
      <c r="D3682" s="2" t="inlineStr">
        <is>
          <t>North</t>
        </is>
      </c>
    </row>
    <row r="3683">
      <c r="A3683" s="2" t="inlineStr">
        <is>
          <t>C0724</t>
        </is>
      </c>
      <c r="B3683" s="2" t="inlineStr">
        <is>
          <t>Maharashtra</t>
        </is>
      </c>
      <c r="C3683" s="2" t="inlineStr">
        <is>
          <t>Nashik</t>
        </is>
      </c>
      <c r="D3683" s="2" t="inlineStr">
        <is>
          <t>West</t>
        </is>
      </c>
    </row>
    <row r="3684">
      <c r="A3684" s="2" t="inlineStr">
        <is>
          <t>C0724</t>
        </is>
      </c>
      <c r="B3684" s="2" t="inlineStr">
        <is>
          <t>Tamil Nadu</t>
        </is>
      </c>
      <c r="C3684" s="2" t="inlineStr">
        <is>
          <t>Chennai</t>
        </is>
      </c>
      <c r="D3684" s="2" t="inlineStr">
        <is>
          <t>South</t>
        </is>
      </c>
    </row>
    <row r="3685">
      <c r="A3685" s="2" t="inlineStr">
        <is>
          <t>C0724</t>
        </is>
      </c>
      <c r="B3685" s="2" t="inlineStr">
        <is>
          <t>Kerala</t>
        </is>
      </c>
      <c r="C3685" s="2" t="inlineStr">
        <is>
          <t>Kochi</t>
        </is>
      </c>
      <c r="D3685" s="2" t="inlineStr">
        <is>
          <t>South</t>
        </is>
      </c>
    </row>
    <row r="3686">
      <c r="A3686" s="2" t="inlineStr">
        <is>
          <t>C0724</t>
        </is>
      </c>
      <c r="B3686" s="2" t="inlineStr">
        <is>
          <t>Tamil Nadu</t>
        </is>
      </c>
      <c r="C3686" s="2" t="inlineStr">
        <is>
          <t>Coimbatore</t>
        </is>
      </c>
      <c r="D3686" s="2" t="inlineStr">
        <is>
          <t>South</t>
        </is>
      </c>
    </row>
    <row r="3687">
      <c r="A3687" s="2" t="inlineStr">
        <is>
          <t>C0724</t>
        </is>
      </c>
      <c r="B3687" s="2" t="inlineStr">
        <is>
          <t>Goa</t>
        </is>
      </c>
      <c r="C3687" s="2" t="inlineStr">
        <is>
          <t>Margao</t>
        </is>
      </c>
      <c r="D3687" s="2" t="inlineStr">
        <is>
          <t>West</t>
        </is>
      </c>
    </row>
    <row r="3688">
      <c r="A3688" s="2" t="inlineStr">
        <is>
          <t>C0724</t>
        </is>
      </c>
      <c r="B3688" s="2" t="inlineStr">
        <is>
          <t>Haryana</t>
        </is>
      </c>
      <c r="C3688" s="2" t="inlineStr">
        <is>
          <t>Faridabad</t>
        </is>
      </c>
      <c r="D3688" s="2" t="inlineStr">
        <is>
          <t>North</t>
        </is>
      </c>
    </row>
    <row r="3689">
      <c r="A3689" s="2" t="inlineStr">
        <is>
          <t>C0725</t>
        </is>
      </c>
      <c r="B3689" s="2" t="inlineStr">
        <is>
          <t>Goa</t>
        </is>
      </c>
      <c r="C3689" s="2" t="inlineStr">
        <is>
          <t>Panaji</t>
        </is>
      </c>
      <c r="D3689" s="2" t="inlineStr">
        <is>
          <t>West</t>
        </is>
      </c>
    </row>
    <row r="3690">
      <c r="A3690" s="2" t="inlineStr">
        <is>
          <t>C0725</t>
        </is>
      </c>
      <c r="B3690" s="2" t="inlineStr">
        <is>
          <t>Haryana</t>
        </is>
      </c>
      <c r="C3690" s="2" t="inlineStr">
        <is>
          <t>Faridabad</t>
        </is>
      </c>
      <c r="D3690" s="2" t="inlineStr">
        <is>
          <t>North</t>
        </is>
      </c>
    </row>
    <row r="3691">
      <c r="A3691" s="2" t="inlineStr">
        <is>
          <t>C0725</t>
        </is>
      </c>
      <c r="B3691" s="2" t="inlineStr">
        <is>
          <t>Maharashtra</t>
        </is>
      </c>
      <c r="C3691" s="2" t="inlineStr">
        <is>
          <t>Mumbai</t>
        </is>
      </c>
      <c r="D3691" s="2" t="inlineStr">
        <is>
          <t>West</t>
        </is>
      </c>
    </row>
    <row r="3692">
      <c r="A3692" s="2" t="inlineStr">
        <is>
          <t>C0726</t>
        </is>
      </c>
      <c r="B3692" s="2" t="inlineStr">
        <is>
          <t>Tamil Nadu</t>
        </is>
      </c>
      <c r="C3692" s="2" t="inlineStr">
        <is>
          <t>Chennai</t>
        </is>
      </c>
      <c r="D3692" s="2" t="inlineStr">
        <is>
          <t>South</t>
        </is>
      </c>
    </row>
    <row r="3693">
      <c r="A3693" s="2" t="inlineStr">
        <is>
          <t>C0726</t>
        </is>
      </c>
      <c r="B3693" s="2" t="inlineStr">
        <is>
          <t>Kerala</t>
        </is>
      </c>
      <c r="C3693" s="2" t="inlineStr">
        <is>
          <t>Thiruvananthapuram</t>
        </is>
      </c>
      <c r="D3693" s="2" t="inlineStr">
        <is>
          <t>South</t>
        </is>
      </c>
    </row>
    <row r="3694">
      <c r="A3694" s="2" t="inlineStr">
        <is>
          <t>C0726</t>
        </is>
      </c>
      <c r="B3694" s="2" t="inlineStr">
        <is>
          <t>Haryana</t>
        </is>
      </c>
      <c r="C3694" s="2" t="inlineStr">
        <is>
          <t>Faridabad</t>
        </is>
      </c>
      <c r="D3694" s="2" t="inlineStr">
        <is>
          <t>North</t>
        </is>
      </c>
    </row>
    <row r="3695">
      <c r="A3695" s="2" t="inlineStr">
        <is>
          <t>C0726</t>
        </is>
      </c>
      <c r="B3695" s="2" t="inlineStr">
        <is>
          <t>Telangana</t>
        </is>
      </c>
      <c r="C3695" s="2" t="inlineStr">
        <is>
          <t>Hyderabad</t>
        </is>
      </c>
      <c r="D3695" s="2" t="inlineStr">
        <is>
          <t>South</t>
        </is>
      </c>
    </row>
    <row r="3696">
      <c r="A3696" s="2" t="inlineStr">
        <is>
          <t>C0727</t>
        </is>
      </c>
      <c r="B3696" s="2" t="inlineStr">
        <is>
          <t>Telangana</t>
        </is>
      </c>
      <c r="C3696" s="2" t="inlineStr">
        <is>
          <t>Hyderabad</t>
        </is>
      </c>
      <c r="D3696" s="2" t="inlineStr">
        <is>
          <t>South</t>
        </is>
      </c>
    </row>
    <row r="3697">
      <c r="A3697" s="2" t="inlineStr">
        <is>
          <t>C0727</t>
        </is>
      </c>
      <c r="B3697" s="2" t="inlineStr">
        <is>
          <t>Gujarat</t>
        </is>
      </c>
      <c r="C3697" s="2" t="inlineStr">
        <is>
          <t>Vadodara</t>
        </is>
      </c>
      <c r="D3697" s="2" t="inlineStr">
        <is>
          <t>West</t>
        </is>
      </c>
    </row>
    <row r="3698">
      <c r="A3698" s="2" t="inlineStr">
        <is>
          <t>C0727</t>
        </is>
      </c>
      <c r="B3698" s="2" t="inlineStr">
        <is>
          <t>Uttar Pradesh</t>
        </is>
      </c>
      <c r="C3698" s="2" t="inlineStr">
        <is>
          <t>Kanpur</t>
        </is>
      </c>
      <c r="D3698" s="2" t="inlineStr">
        <is>
          <t>North</t>
        </is>
      </c>
    </row>
    <row r="3699">
      <c r="A3699" s="2" t="inlineStr">
        <is>
          <t>C0728</t>
        </is>
      </c>
      <c r="B3699" s="2" t="inlineStr">
        <is>
          <t>Odisha</t>
        </is>
      </c>
      <c r="C3699" s="2" t="inlineStr">
        <is>
          <t>Cuttack</t>
        </is>
      </c>
      <c r="D3699" s="2" t="inlineStr">
        <is>
          <t>East</t>
        </is>
      </c>
    </row>
    <row r="3700">
      <c r="A3700" s="2" t="inlineStr">
        <is>
          <t>C0728</t>
        </is>
      </c>
      <c r="B3700" s="2" t="inlineStr">
        <is>
          <t>Delhi</t>
        </is>
      </c>
      <c r="C3700" s="2" t="inlineStr">
        <is>
          <t>New Delhi</t>
        </is>
      </c>
      <c r="D3700" s="2" t="inlineStr">
        <is>
          <t>North</t>
        </is>
      </c>
    </row>
    <row r="3701">
      <c r="A3701" s="2" t="inlineStr">
        <is>
          <t>C0728</t>
        </is>
      </c>
      <c r="B3701" s="2" t="inlineStr">
        <is>
          <t>Kerala</t>
        </is>
      </c>
      <c r="C3701" s="2" t="inlineStr">
        <is>
          <t>Kochi</t>
        </is>
      </c>
      <c r="D3701" s="2" t="inlineStr">
        <is>
          <t>South</t>
        </is>
      </c>
    </row>
    <row r="3702">
      <c r="A3702" s="2" t="inlineStr">
        <is>
          <t>C0728</t>
        </is>
      </c>
      <c r="B3702" s="2" t="inlineStr">
        <is>
          <t>Karnataka</t>
        </is>
      </c>
      <c r="C3702" s="2" t="inlineStr">
        <is>
          <t>Mangaluru</t>
        </is>
      </c>
      <c r="D3702" s="2" t="inlineStr">
        <is>
          <t>South</t>
        </is>
      </c>
    </row>
    <row r="3703">
      <c r="A3703" s="2" t="inlineStr">
        <is>
          <t>C0728</t>
        </is>
      </c>
      <c r="B3703" s="2" t="inlineStr">
        <is>
          <t>Telangana</t>
        </is>
      </c>
      <c r="C3703" s="2" t="inlineStr">
        <is>
          <t>Hyderabad</t>
        </is>
      </c>
      <c r="D3703" s="2" t="inlineStr">
        <is>
          <t>South</t>
        </is>
      </c>
    </row>
    <row r="3704">
      <c r="A3704" s="2" t="inlineStr">
        <is>
          <t>C0728</t>
        </is>
      </c>
      <c r="B3704" s="2" t="inlineStr">
        <is>
          <t>Gujarat</t>
        </is>
      </c>
      <c r="C3704" s="2" t="inlineStr">
        <is>
          <t>Vadodara</t>
        </is>
      </c>
      <c r="D3704" s="2" t="inlineStr">
        <is>
          <t>West</t>
        </is>
      </c>
    </row>
    <row r="3705">
      <c r="A3705" s="2" t="inlineStr">
        <is>
          <t>C0728</t>
        </is>
      </c>
      <c r="B3705" s="2" t="inlineStr">
        <is>
          <t>Odisha</t>
        </is>
      </c>
      <c r="C3705" s="2" t="inlineStr">
        <is>
          <t>Bhubaneswar</t>
        </is>
      </c>
      <c r="D3705" s="2" t="inlineStr">
        <is>
          <t>East</t>
        </is>
      </c>
    </row>
    <row r="3706">
      <c r="A3706" s="2" t="inlineStr">
        <is>
          <t>C0728</t>
        </is>
      </c>
      <c r="B3706" s="2" t="inlineStr">
        <is>
          <t>Goa</t>
        </is>
      </c>
      <c r="C3706" s="2" t="inlineStr">
        <is>
          <t>Panaji</t>
        </is>
      </c>
      <c r="D3706" s="2" t="inlineStr">
        <is>
          <t>West</t>
        </is>
      </c>
    </row>
    <row r="3707">
      <c r="A3707" s="2" t="inlineStr">
        <is>
          <t>C0729</t>
        </is>
      </c>
      <c r="B3707" s="2" t="inlineStr">
        <is>
          <t>Gujarat</t>
        </is>
      </c>
      <c r="C3707" s="2" t="inlineStr">
        <is>
          <t>Ahmedabad</t>
        </is>
      </c>
      <c r="D3707" s="2" t="inlineStr">
        <is>
          <t>West</t>
        </is>
      </c>
    </row>
    <row r="3708">
      <c r="A3708" s="2" t="inlineStr">
        <is>
          <t>C0729</t>
        </is>
      </c>
      <c r="B3708" s="2" t="inlineStr">
        <is>
          <t>Odisha</t>
        </is>
      </c>
      <c r="C3708" s="2" t="inlineStr">
        <is>
          <t>Bhubaneswar</t>
        </is>
      </c>
      <c r="D3708" s="2" t="inlineStr">
        <is>
          <t>East</t>
        </is>
      </c>
    </row>
    <row r="3709">
      <c r="A3709" s="2" t="inlineStr">
        <is>
          <t>C0729</t>
        </is>
      </c>
      <c r="B3709" s="2" t="inlineStr">
        <is>
          <t>Punjab</t>
        </is>
      </c>
      <c r="C3709" s="2" t="inlineStr">
        <is>
          <t>Ludhiana</t>
        </is>
      </c>
      <c r="D3709" s="2" t="inlineStr">
        <is>
          <t>North</t>
        </is>
      </c>
    </row>
    <row r="3710">
      <c r="A3710" s="2" t="inlineStr">
        <is>
          <t>C0730</t>
        </is>
      </c>
      <c r="B3710" s="2" t="inlineStr">
        <is>
          <t>Telangana</t>
        </is>
      </c>
      <c r="C3710" s="2" t="inlineStr">
        <is>
          <t>Warangal</t>
        </is>
      </c>
      <c r="D3710" s="2" t="inlineStr">
        <is>
          <t>South</t>
        </is>
      </c>
    </row>
    <row r="3711">
      <c r="A3711" s="2" t="inlineStr">
        <is>
          <t>C0730</t>
        </is>
      </c>
      <c r="B3711" s="2" t="inlineStr">
        <is>
          <t>Kerala</t>
        </is>
      </c>
      <c r="C3711" s="2" t="inlineStr">
        <is>
          <t>Thiruvananthapuram</t>
        </is>
      </c>
      <c r="D3711" s="2" t="inlineStr">
        <is>
          <t>South</t>
        </is>
      </c>
    </row>
    <row r="3712">
      <c r="A3712" s="2" t="inlineStr">
        <is>
          <t>C0730</t>
        </is>
      </c>
      <c r="B3712" s="2" t="inlineStr">
        <is>
          <t>Odisha</t>
        </is>
      </c>
      <c r="C3712" s="2" t="inlineStr">
        <is>
          <t>Cuttack</t>
        </is>
      </c>
      <c r="D3712" s="2" t="inlineStr">
        <is>
          <t>East</t>
        </is>
      </c>
    </row>
    <row r="3713">
      <c r="A3713" s="2" t="inlineStr">
        <is>
          <t>C0730</t>
        </is>
      </c>
      <c r="B3713" s="2" t="inlineStr">
        <is>
          <t>Telangana</t>
        </is>
      </c>
      <c r="C3713" s="2" t="inlineStr">
        <is>
          <t>Hyderabad</t>
        </is>
      </c>
      <c r="D3713" s="2" t="inlineStr">
        <is>
          <t>South</t>
        </is>
      </c>
    </row>
    <row r="3714">
      <c r="A3714" s="2" t="inlineStr">
        <is>
          <t>C0730</t>
        </is>
      </c>
      <c r="B3714" s="2" t="inlineStr">
        <is>
          <t>Goa</t>
        </is>
      </c>
      <c r="C3714" s="2" t="inlineStr">
        <is>
          <t>Margao</t>
        </is>
      </c>
      <c r="D3714" s="2" t="inlineStr">
        <is>
          <t>West</t>
        </is>
      </c>
    </row>
    <row r="3715">
      <c r="A3715" s="2" t="inlineStr">
        <is>
          <t>C0730</t>
        </is>
      </c>
      <c r="B3715" s="2" t="inlineStr">
        <is>
          <t>West Bengal</t>
        </is>
      </c>
      <c r="C3715" s="2" t="inlineStr">
        <is>
          <t>Durgapur</t>
        </is>
      </c>
      <c r="D3715" s="2" t="inlineStr">
        <is>
          <t>East</t>
        </is>
      </c>
    </row>
    <row r="3716">
      <c r="A3716" s="2" t="inlineStr">
        <is>
          <t>C0730</t>
        </is>
      </c>
      <c r="B3716" s="2" t="inlineStr">
        <is>
          <t>West Bengal</t>
        </is>
      </c>
      <c r="C3716" s="2" t="inlineStr">
        <is>
          <t>Kolkata</t>
        </is>
      </c>
      <c r="D3716" s="2" t="inlineStr">
        <is>
          <t>East</t>
        </is>
      </c>
    </row>
    <row r="3717">
      <c r="A3717" s="2" t="inlineStr">
        <is>
          <t>C0730</t>
        </is>
      </c>
      <c r="B3717" s="2" t="inlineStr">
        <is>
          <t>Punjab</t>
        </is>
      </c>
      <c r="C3717" s="2" t="inlineStr">
        <is>
          <t>Amritsar</t>
        </is>
      </c>
      <c r="D3717" s="2" t="inlineStr">
        <is>
          <t>North</t>
        </is>
      </c>
    </row>
    <row r="3718">
      <c r="A3718" s="2" t="inlineStr">
        <is>
          <t>C0731</t>
        </is>
      </c>
      <c r="B3718" s="2" t="inlineStr">
        <is>
          <t>Kerala</t>
        </is>
      </c>
      <c r="C3718" s="2" t="inlineStr">
        <is>
          <t>Kochi</t>
        </is>
      </c>
      <c r="D3718" s="2" t="inlineStr">
        <is>
          <t>South</t>
        </is>
      </c>
    </row>
    <row r="3719">
      <c r="A3719" s="2" t="inlineStr">
        <is>
          <t>C0731</t>
        </is>
      </c>
      <c r="B3719" s="2" t="inlineStr">
        <is>
          <t>Kerala</t>
        </is>
      </c>
      <c r="C3719" s="2" t="inlineStr">
        <is>
          <t>Thiruvananthapuram</t>
        </is>
      </c>
      <c r="D3719" s="2" t="inlineStr">
        <is>
          <t>South</t>
        </is>
      </c>
    </row>
    <row r="3720">
      <c r="A3720" s="2" t="inlineStr">
        <is>
          <t>C0731</t>
        </is>
      </c>
      <c r="B3720" s="2" t="inlineStr">
        <is>
          <t>Delhi</t>
        </is>
      </c>
      <c r="C3720" s="2" t="inlineStr">
        <is>
          <t>New Delhi</t>
        </is>
      </c>
      <c r="D3720" s="2" t="inlineStr">
        <is>
          <t>North</t>
        </is>
      </c>
    </row>
    <row r="3721">
      <c r="A3721" s="2" t="inlineStr">
        <is>
          <t>C0731</t>
        </is>
      </c>
      <c r="B3721" s="2" t="inlineStr">
        <is>
          <t>Punjab</t>
        </is>
      </c>
      <c r="C3721" s="2" t="inlineStr">
        <is>
          <t>Amritsar</t>
        </is>
      </c>
      <c r="D3721" s="2" t="inlineStr">
        <is>
          <t>North</t>
        </is>
      </c>
    </row>
    <row r="3722">
      <c r="A3722" s="2" t="inlineStr">
        <is>
          <t>C0731</t>
        </is>
      </c>
      <c r="B3722" s="2" t="inlineStr">
        <is>
          <t>Karnataka</t>
        </is>
      </c>
      <c r="C3722" s="2" t="inlineStr">
        <is>
          <t>Mysuru</t>
        </is>
      </c>
      <c r="D3722" s="2" t="inlineStr">
        <is>
          <t>South</t>
        </is>
      </c>
    </row>
    <row r="3723">
      <c r="A3723" s="2" t="inlineStr">
        <is>
          <t>C0731</t>
        </is>
      </c>
      <c r="B3723" s="2" t="inlineStr">
        <is>
          <t>Tamil Nadu</t>
        </is>
      </c>
      <c r="C3723" s="2" t="inlineStr">
        <is>
          <t>Chennai</t>
        </is>
      </c>
      <c r="D3723" s="2" t="inlineStr">
        <is>
          <t>South</t>
        </is>
      </c>
    </row>
    <row r="3724">
      <c r="A3724" s="2" t="inlineStr">
        <is>
          <t>C0731</t>
        </is>
      </c>
      <c r="B3724" s="2" t="inlineStr">
        <is>
          <t>West Bengal</t>
        </is>
      </c>
      <c r="C3724" s="2" t="inlineStr">
        <is>
          <t>Durgapur</t>
        </is>
      </c>
      <c r="D3724" s="2" t="inlineStr">
        <is>
          <t>East</t>
        </is>
      </c>
    </row>
    <row r="3725">
      <c r="A3725" s="2" t="inlineStr">
        <is>
          <t>C0731</t>
        </is>
      </c>
      <c r="B3725" s="2" t="inlineStr">
        <is>
          <t>Goa</t>
        </is>
      </c>
      <c r="C3725" s="2" t="inlineStr">
        <is>
          <t>Margao</t>
        </is>
      </c>
      <c r="D3725" s="2" t="inlineStr">
        <is>
          <t>West</t>
        </is>
      </c>
    </row>
    <row r="3726">
      <c r="A3726" s="2" t="inlineStr">
        <is>
          <t>C0731</t>
        </is>
      </c>
      <c r="B3726" s="2" t="inlineStr">
        <is>
          <t>Gujarat</t>
        </is>
      </c>
      <c r="C3726" s="2" t="inlineStr">
        <is>
          <t>Ahmedabad</t>
        </is>
      </c>
      <c r="D3726" s="2" t="inlineStr">
        <is>
          <t>West</t>
        </is>
      </c>
    </row>
    <row r="3727">
      <c r="A3727" s="2" t="inlineStr">
        <is>
          <t>C0732</t>
        </is>
      </c>
      <c r="B3727" s="2" t="inlineStr">
        <is>
          <t>Karnataka</t>
        </is>
      </c>
      <c r="C3727" s="2" t="inlineStr">
        <is>
          <t>Mangaluru</t>
        </is>
      </c>
      <c r="D3727" s="2" t="inlineStr">
        <is>
          <t>South</t>
        </is>
      </c>
    </row>
    <row r="3728">
      <c r="A3728" s="2" t="inlineStr">
        <is>
          <t>C0732</t>
        </is>
      </c>
      <c r="B3728" s="2" t="inlineStr">
        <is>
          <t>Maharashtra</t>
        </is>
      </c>
      <c r="C3728" s="2" t="inlineStr">
        <is>
          <t>Mumbai</t>
        </is>
      </c>
      <c r="D3728" s="2" t="inlineStr">
        <is>
          <t>West</t>
        </is>
      </c>
    </row>
    <row r="3729">
      <c r="A3729" s="2" t="inlineStr">
        <is>
          <t>C0732</t>
        </is>
      </c>
      <c r="B3729" s="2" t="inlineStr">
        <is>
          <t>Gujarat</t>
        </is>
      </c>
      <c r="C3729" s="2" t="inlineStr">
        <is>
          <t>Surat</t>
        </is>
      </c>
      <c r="D3729" s="2" t="inlineStr">
        <is>
          <t>West</t>
        </is>
      </c>
    </row>
    <row r="3730">
      <c r="A3730" s="2" t="inlineStr">
        <is>
          <t>C0732</t>
        </is>
      </c>
      <c r="B3730" s="2" t="inlineStr">
        <is>
          <t>Uttar Pradesh</t>
        </is>
      </c>
      <c r="C3730" s="2" t="inlineStr">
        <is>
          <t>Varanasi</t>
        </is>
      </c>
      <c r="D3730" s="2" t="inlineStr">
        <is>
          <t>North</t>
        </is>
      </c>
    </row>
    <row r="3731">
      <c r="A3731" s="2" t="inlineStr">
        <is>
          <t>C0732</t>
        </is>
      </c>
      <c r="B3731" s="2" t="inlineStr">
        <is>
          <t>Maharashtra</t>
        </is>
      </c>
      <c r="C3731" s="2" t="inlineStr">
        <is>
          <t>Pune</t>
        </is>
      </c>
      <c r="D3731" s="2" t="inlineStr">
        <is>
          <t>West</t>
        </is>
      </c>
    </row>
    <row r="3732">
      <c r="A3732" s="2" t="inlineStr">
        <is>
          <t>C0732</t>
        </is>
      </c>
      <c r="B3732" s="2" t="inlineStr">
        <is>
          <t>Delhi</t>
        </is>
      </c>
      <c r="C3732" s="2" t="inlineStr">
        <is>
          <t>New Delhi</t>
        </is>
      </c>
      <c r="D3732" s="2" t="inlineStr">
        <is>
          <t>North</t>
        </is>
      </c>
    </row>
    <row r="3733">
      <c r="A3733" s="2" t="inlineStr">
        <is>
          <t>C0733</t>
        </is>
      </c>
      <c r="B3733" s="2" t="inlineStr">
        <is>
          <t>Punjab</t>
        </is>
      </c>
      <c r="C3733" s="2" t="inlineStr">
        <is>
          <t>Jalandhar</t>
        </is>
      </c>
      <c r="D3733" s="2" t="inlineStr">
        <is>
          <t>North</t>
        </is>
      </c>
    </row>
    <row r="3734">
      <c r="A3734" s="2" t="inlineStr">
        <is>
          <t>C0733</t>
        </is>
      </c>
      <c r="B3734" s="2" t="inlineStr">
        <is>
          <t>Kerala</t>
        </is>
      </c>
      <c r="C3734" s="2" t="inlineStr">
        <is>
          <t>Thiruvananthapuram</t>
        </is>
      </c>
      <c r="D3734" s="2" t="inlineStr">
        <is>
          <t>South</t>
        </is>
      </c>
    </row>
    <row r="3735">
      <c r="A3735" s="2" t="inlineStr">
        <is>
          <t>C0733</t>
        </is>
      </c>
      <c r="B3735" s="2" t="inlineStr">
        <is>
          <t>Goa</t>
        </is>
      </c>
      <c r="C3735" s="2" t="inlineStr">
        <is>
          <t>Panaji</t>
        </is>
      </c>
      <c r="D3735" s="2" t="inlineStr">
        <is>
          <t>West</t>
        </is>
      </c>
    </row>
    <row r="3736">
      <c r="A3736" s="2" t="inlineStr">
        <is>
          <t>C0733</t>
        </is>
      </c>
      <c r="B3736" s="2" t="inlineStr">
        <is>
          <t>Gujarat</t>
        </is>
      </c>
      <c r="C3736" s="2" t="inlineStr">
        <is>
          <t>Vadodara</t>
        </is>
      </c>
      <c r="D3736" s="2" t="inlineStr">
        <is>
          <t>West</t>
        </is>
      </c>
    </row>
    <row r="3737">
      <c r="A3737" s="2" t="inlineStr">
        <is>
          <t>C0733</t>
        </is>
      </c>
      <c r="B3737" s="2" t="inlineStr">
        <is>
          <t>Odisha</t>
        </is>
      </c>
      <c r="C3737" s="2" t="inlineStr">
        <is>
          <t>Bhubaneswar</t>
        </is>
      </c>
      <c r="D3737" s="2" t="inlineStr">
        <is>
          <t>East</t>
        </is>
      </c>
    </row>
    <row r="3738">
      <c r="A3738" s="2" t="inlineStr">
        <is>
          <t>C0733</t>
        </is>
      </c>
      <c r="B3738" s="2" t="inlineStr">
        <is>
          <t>Karnataka</t>
        </is>
      </c>
      <c r="C3738" s="2" t="inlineStr">
        <is>
          <t>Bengaluru</t>
        </is>
      </c>
      <c r="D3738" s="2" t="inlineStr">
        <is>
          <t>South</t>
        </is>
      </c>
    </row>
    <row r="3739">
      <c r="A3739" s="2" t="inlineStr">
        <is>
          <t>C0733</t>
        </is>
      </c>
      <c r="B3739" s="2" t="inlineStr">
        <is>
          <t>Telangana</t>
        </is>
      </c>
      <c r="C3739" s="2" t="inlineStr">
        <is>
          <t>Warangal</t>
        </is>
      </c>
      <c r="D3739" s="2" t="inlineStr">
        <is>
          <t>South</t>
        </is>
      </c>
    </row>
    <row r="3740">
      <c r="A3740" s="2" t="inlineStr">
        <is>
          <t>C0733</t>
        </is>
      </c>
      <c r="B3740" s="2" t="inlineStr">
        <is>
          <t>Tamil Nadu</t>
        </is>
      </c>
      <c r="C3740" s="2" t="inlineStr">
        <is>
          <t>Coimbatore</t>
        </is>
      </c>
      <c r="D3740" s="2" t="inlineStr">
        <is>
          <t>South</t>
        </is>
      </c>
    </row>
    <row r="3741">
      <c r="A3741" s="2" t="inlineStr">
        <is>
          <t>C0733</t>
        </is>
      </c>
      <c r="B3741" s="2" t="inlineStr">
        <is>
          <t>Gujarat</t>
        </is>
      </c>
      <c r="C3741" s="2" t="inlineStr">
        <is>
          <t>Ahmedabad</t>
        </is>
      </c>
      <c r="D3741" s="2" t="inlineStr">
        <is>
          <t>West</t>
        </is>
      </c>
    </row>
    <row r="3742">
      <c r="A3742" s="2" t="inlineStr">
        <is>
          <t>C0733</t>
        </is>
      </c>
      <c r="B3742" s="2" t="inlineStr">
        <is>
          <t>Telangana</t>
        </is>
      </c>
      <c r="C3742" s="2" t="inlineStr">
        <is>
          <t>Hyderabad</t>
        </is>
      </c>
      <c r="D3742" s="2" t="inlineStr">
        <is>
          <t>South</t>
        </is>
      </c>
    </row>
    <row r="3743">
      <c r="A3743" s="2" t="inlineStr">
        <is>
          <t>C0733</t>
        </is>
      </c>
      <c r="B3743" s="2" t="inlineStr">
        <is>
          <t>Maharashtra</t>
        </is>
      </c>
      <c r="C3743" s="2" t="inlineStr">
        <is>
          <t>Nashik</t>
        </is>
      </c>
      <c r="D3743" s="2" t="inlineStr">
        <is>
          <t>West</t>
        </is>
      </c>
    </row>
    <row r="3744">
      <c r="A3744" s="2" t="inlineStr">
        <is>
          <t>C0733</t>
        </is>
      </c>
      <c r="B3744" s="2" t="inlineStr">
        <is>
          <t>Maharashtra</t>
        </is>
      </c>
      <c r="C3744" s="2" t="inlineStr">
        <is>
          <t>Thane</t>
        </is>
      </c>
      <c r="D3744" s="2" t="inlineStr">
        <is>
          <t>West</t>
        </is>
      </c>
    </row>
    <row r="3745">
      <c r="A3745" s="2" t="inlineStr">
        <is>
          <t>C0733</t>
        </is>
      </c>
      <c r="B3745" s="2" t="inlineStr">
        <is>
          <t>West Bengal</t>
        </is>
      </c>
      <c r="C3745" s="2" t="inlineStr">
        <is>
          <t>Kolkata</t>
        </is>
      </c>
      <c r="D3745" s="2" t="inlineStr">
        <is>
          <t>East</t>
        </is>
      </c>
    </row>
    <row r="3746">
      <c r="A3746" s="2" t="inlineStr">
        <is>
          <t>C0733</t>
        </is>
      </c>
      <c r="B3746" s="2" t="inlineStr">
        <is>
          <t>Uttar Pradesh</t>
        </is>
      </c>
      <c r="C3746" s="2" t="inlineStr">
        <is>
          <t>Lucknow</t>
        </is>
      </c>
      <c r="D3746" s="2" t="inlineStr">
        <is>
          <t>North</t>
        </is>
      </c>
    </row>
    <row r="3747">
      <c r="A3747" s="2" t="inlineStr">
        <is>
          <t>C0734</t>
        </is>
      </c>
      <c r="B3747" s="2" t="inlineStr">
        <is>
          <t>Punjab</t>
        </is>
      </c>
      <c r="C3747" s="2" t="inlineStr">
        <is>
          <t>Jalandhar</t>
        </is>
      </c>
      <c r="D3747" s="2" t="inlineStr">
        <is>
          <t>North</t>
        </is>
      </c>
    </row>
    <row r="3748">
      <c r="A3748" s="2" t="inlineStr">
        <is>
          <t>C0734</t>
        </is>
      </c>
      <c r="B3748" s="2" t="inlineStr">
        <is>
          <t>West Bengal</t>
        </is>
      </c>
      <c r="C3748" s="2" t="inlineStr">
        <is>
          <t>Durgapur</t>
        </is>
      </c>
      <c r="D3748" s="2" t="inlineStr">
        <is>
          <t>East</t>
        </is>
      </c>
    </row>
    <row r="3749">
      <c r="A3749" s="2" t="inlineStr">
        <is>
          <t>C0734</t>
        </is>
      </c>
      <c r="B3749" s="2" t="inlineStr">
        <is>
          <t>Gujarat</t>
        </is>
      </c>
      <c r="C3749" s="2" t="inlineStr">
        <is>
          <t>Ahmedabad</t>
        </is>
      </c>
      <c r="D3749" s="2" t="inlineStr">
        <is>
          <t>West</t>
        </is>
      </c>
    </row>
    <row r="3750">
      <c r="A3750" s="2" t="inlineStr">
        <is>
          <t>C0734</t>
        </is>
      </c>
      <c r="B3750" s="2" t="inlineStr">
        <is>
          <t>Kerala</t>
        </is>
      </c>
      <c r="C3750" s="2" t="inlineStr">
        <is>
          <t>Kochi</t>
        </is>
      </c>
      <c r="D3750" s="2" t="inlineStr">
        <is>
          <t>South</t>
        </is>
      </c>
    </row>
    <row r="3751">
      <c r="A3751" s="2" t="inlineStr">
        <is>
          <t>C0734</t>
        </is>
      </c>
      <c r="B3751" s="2" t="inlineStr">
        <is>
          <t>Delhi</t>
        </is>
      </c>
      <c r="C3751" s="2" t="inlineStr">
        <is>
          <t>New Delhi</t>
        </is>
      </c>
      <c r="D3751" s="2" t="inlineStr">
        <is>
          <t>North</t>
        </is>
      </c>
    </row>
    <row r="3752">
      <c r="A3752" s="2" t="inlineStr">
        <is>
          <t>C0734</t>
        </is>
      </c>
      <c r="B3752" s="2" t="inlineStr">
        <is>
          <t>Punjab</t>
        </is>
      </c>
      <c r="C3752" s="2" t="inlineStr">
        <is>
          <t>Ludhiana</t>
        </is>
      </c>
      <c r="D3752" s="2" t="inlineStr">
        <is>
          <t>North</t>
        </is>
      </c>
    </row>
    <row r="3753">
      <c r="A3753" s="2" t="inlineStr">
        <is>
          <t>C0734</t>
        </is>
      </c>
      <c r="B3753" s="2" t="inlineStr">
        <is>
          <t>Haryana</t>
        </is>
      </c>
      <c r="C3753" s="2" t="inlineStr">
        <is>
          <t>Faridabad</t>
        </is>
      </c>
      <c r="D3753" s="2" t="inlineStr">
        <is>
          <t>North</t>
        </is>
      </c>
    </row>
    <row r="3754">
      <c r="A3754" s="2" t="inlineStr">
        <is>
          <t>C0734</t>
        </is>
      </c>
      <c r="B3754" s="2" t="inlineStr">
        <is>
          <t>Goa</t>
        </is>
      </c>
      <c r="C3754" s="2" t="inlineStr">
        <is>
          <t>Panaji</t>
        </is>
      </c>
      <c r="D3754" s="2" t="inlineStr">
        <is>
          <t>West</t>
        </is>
      </c>
    </row>
    <row r="3755">
      <c r="A3755" s="2" t="inlineStr">
        <is>
          <t>C0734</t>
        </is>
      </c>
      <c r="B3755" s="2" t="inlineStr">
        <is>
          <t>Uttar Pradesh</t>
        </is>
      </c>
      <c r="C3755" s="2" t="inlineStr">
        <is>
          <t>Lucknow</t>
        </is>
      </c>
      <c r="D3755" s="2" t="inlineStr">
        <is>
          <t>North</t>
        </is>
      </c>
    </row>
    <row r="3756">
      <c r="A3756" s="2" t="inlineStr">
        <is>
          <t>C0734</t>
        </is>
      </c>
      <c r="B3756" s="2" t="inlineStr">
        <is>
          <t>Uttar Pradesh</t>
        </is>
      </c>
      <c r="C3756" s="2" t="inlineStr">
        <is>
          <t>Noida</t>
        </is>
      </c>
      <c r="D3756" s="2" t="inlineStr">
        <is>
          <t>North</t>
        </is>
      </c>
    </row>
    <row r="3757">
      <c r="A3757" s="2" t="inlineStr">
        <is>
          <t>C0734</t>
        </is>
      </c>
      <c r="B3757" s="2" t="inlineStr">
        <is>
          <t>Haryana</t>
        </is>
      </c>
      <c r="C3757" s="2" t="inlineStr">
        <is>
          <t>Gurugram</t>
        </is>
      </c>
      <c r="D3757" s="2" t="inlineStr">
        <is>
          <t>North</t>
        </is>
      </c>
    </row>
    <row r="3758">
      <c r="A3758" s="2" t="inlineStr">
        <is>
          <t>C0734</t>
        </is>
      </c>
      <c r="B3758" s="2" t="inlineStr">
        <is>
          <t>Maharashtra</t>
        </is>
      </c>
      <c r="C3758" s="2" t="inlineStr">
        <is>
          <t>Nashik</t>
        </is>
      </c>
      <c r="D3758" s="2" t="inlineStr">
        <is>
          <t>West</t>
        </is>
      </c>
    </row>
    <row r="3759">
      <c r="A3759" s="2" t="inlineStr">
        <is>
          <t>C0734</t>
        </is>
      </c>
      <c r="B3759" s="2" t="inlineStr">
        <is>
          <t>Kerala</t>
        </is>
      </c>
      <c r="C3759" s="2" t="inlineStr">
        <is>
          <t>Thiruvananthapuram</t>
        </is>
      </c>
      <c r="D3759" s="2" t="inlineStr">
        <is>
          <t>South</t>
        </is>
      </c>
    </row>
    <row r="3760">
      <c r="A3760" s="2" t="inlineStr">
        <is>
          <t>C0734</t>
        </is>
      </c>
      <c r="B3760" s="2" t="inlineStr">
        <is>
          <t>Odisha</t>
        </is>
      </c>
      <c r="C3760" s="2" t="inlineStr">
        <is>
          <t>Cuttack</t>
        </is>
      </c>
      <c r="D3760" s="2" t="inlineStr">
        <is>
          <t>East</t>
        </is>
      </c>
    </row>
    <row r="3761">
      <c r="A3761" s="2" t="inlineStr">
        <is>
          <t>C0734</t>
        </is>
      </c>
      <c r="B3761" s="2" t="inlineStr">
        <is>
          <t>Tamil Nadu</t>
        </is>
      </c>
      <c r="C3761" s="2" t="inlineStr">
        <is>
          <t>Chennai</t>
        </is>
      </c>
      <c r="D3761" s="2" t="inlineStr">
        <is>
          <t>South</t>
        </is>
      </c>
    </row>
    <row r="3762">
      <c r="A3762" s="2" t="inlineStr">
        <is>
          <t>C0734</t>
        </is>
      </c>
      <c r="B3762" s="2" t="inlineStr">
        <is>
          <t>Tamil Nadu</t>
        </is>
      </c>
      <c r="C3762" s="2" t="inlineStr">
        <is>
          <t>Madurai</t>
        </is>
      </c>
      <c r="D3762" s="2" t="inlineStr">
        <is>
          <t>South</t>
        </is>
      </c>
    </row>
    <row r="3763">
      <c r="A3763" s="2" t="inlineStr">
        <is>
          <t>C0734</t>
        </is>
      </c>
      <c r="B3763" s="2" t="inlineStr">
        <is>
          <t>Goa</t>
        </is>
      </c>
      <c r="C3763" s="2" t="inlineStr">
        <is>
          <t>Margao</t>
        </is>
      </c>
      <c r="D3763" s="2" t="inlineStr">
        <is>
          <t>West</t>
        </is>
      </c>
    </row>
    <row r="3764">
      <c r="A3764" s="2" t="inlineStr">
        <is>
          <t>C0734</t>
        </is>
      </c>
      <c r="B3764" s="2" t="inlineStr">
        <is>
          <t>Uttar Pradesh</t>
        </is>
      </c>
      <c r="C3764" s="2" t="inlineStr">
        <is>
          <t>Kanpur</t>
        </is>
      </c>
      <c r="D3764" s="2" t="inlineStr">
        <is>
          <t>North</t>
        </is>
      </c>
    </row>
    <row r="3765">
      <c r="A3765" s="2" t="inlineStr">
        <is>
          <t>C0735</t>
        </is>
      </c>
      <c r="B3765" s="2" t="inlineStr">
        <is>
          <t>Goa</t>
        </is>
      </c>
      <c r="C3765" s="2" t="inlineStr">
        <is>
          <t>Panaji</t>
        </is>
      </c>
      <c r="D3765" s="2" t="inlineStr">
        <is>
          <t>West</t>
        </is>
      </c>
    </row>
    <row r="3766">
      <c r="A3766" s="2" t="inlineStr">
        <is>
          <t>C0735</t>
        </is>
      </c>
      <c r="B3766" s="2" t="inlineStr">
        <is>
          <t>Tamil Nadu</t>
        </is>
      </c>
      <c r="C3766" s="2" t="inlineStr">
        <is>
          <t>Madurai</t>
        </is>
      </c>
      <c r="D3766" s="2" t="inlineStr">
        <is>
          <t>South</t>
        </is>
      </c>
    </row>
    <row r="3767">
      <c r="A3767" s="2" t="inlineStr">
        <is>
          <t>C0735</t>
        </is>
      </c>
      <c r="B3767" s="2" t="inlineStr">
        <is>
          <t>Bihar</t>
        </is>
      </c>
      <c r="C3767" s="2" t="inlineStr">
        <is>
          <t>Patna</t>
        </is>
      </c>
      <c r="D3767" s="2" t="inlineStr">
        <is>
          <t>East</t>
        </is>
      </c>
    </row>
    <row r="3768">
      <c r="A3768" s="2" t="inlineStr">
        <is>
          <t>C0735</t>
        </is>
      </c>
      <c r="B3768" s="2" t="inlineStr">
        <is>
          <t>Tamil Nadu</t>
        </is>
      </c>
      <c r="C3768" s="2" t="inlineStr">
        <is>
          <t>Chennai</t>
        </is>
      </c>
      <c r="D3768" s="2" t="inlineStr">
        <is>
          <t>South</t>
        </is>
      </c>
    </row>
    <row r="3769">
      <c r="A3769" s="2" t="inlineStr">
        <is>
          <t>C0736</t>
        </is>
      </c>
      <c r="B3769" s="2" t="inlineStr">
        <is>
          <t>Goa</t>
        </is>
      </c>
      <c r="C3769" s="2" t="inlineStr">
        <is>
          <t>Panaji</t>
        </is>
      </c>
      <c r="D3769" s="2" t="inlineStr">
        <is>
          <t>West</t>
        </is>
      </c>
    </row>
    <row r="3770">
      <c r="A3770" s="2" t="inlineStr">
        <is>
          <t>C0736</t>
        </is>
      </c>
      <c r="B3770" s="2" t="inlineStr">
        <is>
          <t>Telangana</t>
        </is>
      </c>
      <c r="C3770" s="2" t="inlineStr">
        <is>
          <t>Hyderabad</t>
        </is>
      </c>
      <c r="D3770" s="2" t="inlineStr">
        <is>
          <t>South</t>
        </is>
      </c>
    </row>
    <row r="3771">
      <c r="A3771" s="2" t="inlineStr">
        <is>
          <t>C0736</t>
        </is>
      </c>
      <c r="B3771" s="2" t="inlineStr">
        <is>
          <t>Maharashtra</t>
        </is>
      </c>
      <c r="C3771" s="2" t="inlineStr">
        <is>
          <t>Thane</t>
        </is>
      </c>
      <c r="D3771" s="2" t="inlineStr">
        <is>
          <t>West</t>
        </is>
      </c>
    </row>
    <row r="3772">
      <c r="A3772" s="2" t="inlineStr">
        <is>
          <t>C0736</t>
        </is>
      </c>
      <c r="B3772" s="2" t="inlineStr">
        <is>
          <t>Tamil Nadu</t>
        </is>
      </c>
      <c r="C3772" s="2" t="inlineStr">
        <is>
          <t>Madurai</t>
        </is>
      </c>
      <c r="D3772" s="2" t="inlineStr">
        <is>
          <t>South</t>
        </is>
      </c>
    </row>
    <row r="3773">
      <c r="A3773" s="2" t="inlineStr">
        <is>
          <t>C0736</t>
        </is>
      </c>
      <c r="B3773" s="2" t="inlineStr">
        <is>
          <t>Odisha</t>
        </is>
      </c>
      <c r="C3773" s="2" t="inlineStr">
        <is>
          <t>Cuttack</t>
        </is>
      </c>
      <c r="D3773" s="2" t="inlineStr">
        <is>
          <t>East</t>
        </is>
      </c>
    </row>
    <row r="3774">
      <c r="A3774" s="2" t="inlineStr">
        <is>
          <t>C0736</t>
        </is>
      </c>
      <c r="B3774" s="2" t="inlineStr">
        <is>
          <t>Goa</t>
        </is>
      </c>
      <c r="C3774" s="2" t="inlineStr">
        <is>
          <t>Margao</t>
        </is>
      </c>
      <c r="D3774" s="2" t="inlineStr">
        <is>
          <t>West</t>
        </is>
      </c>
    </row>
    <row r="3775">
      <c r="A3775" s="2" t="inlineStr">
        <is>
          <t>C0736</t>
        </is>
      </c>
      <c r="B3775" s="2" t="inlineStr">
        <is>
          <t>Karnataka</t>
        </is>
      </c>
      <c r="C3775" s="2" t="inlineStr">
        <is>
          <t>Mysuru</t>
        </is>
      </c>
      <c r="D3775" s="2" t="inlineStr">
        <is>
          <t>South</t>
        </is>
      </c>
    </row>
    <row r="3776">
      <c r="A3776" s="2" t="inlineStr">
        <is>
          <t>C0736</t>
        </is>
      </c>
      <c r="B3776" s="2" t="inlineStr">
        <is>
          <t>Bihar</t>
        </is>
      </c>
      <c r="C3776" s="2" t="inlineStr">
        <is>
          <t>Gaya</t>
        </is>
      </c>
      <c r="D3776" s="2" t="inlineStr">
        <is>
          <t>East</t>
        </is>
      </c>
    </row>
    <row r="3777">
      <c r="A3777" s="2" t="inlineStr">
        <is>
          <t>C0736</t>
        </is>
      </c>
      <c r="B3777" s="2" t="inlineStr">
        <is>
          <t>Maharashtra</t>
        </is>
      </c>
      <c r="C3777" s="2" t="inlineStr">
        <is>
          <t>Mumbai</t>
        </is>
      </c>
      <c r="D3777" s="2" t="inlineStr">
        <is>
          <t>West</t>
        </is>
      </c>
    </row>
    <row r="3778">
      <c r="A3778" s="2" t="inlineStr">
        <is>
          <t>C0736</t>
        </is>
      </c>
      <c r="B3778" s="2" t="inlineStr">
        <is>
          <t>Delhi</t>
        </is>
      </c>
      <c r="C3778" s="2" t="inlineStr">
        <is>
          <t>New Delhi</t>
        </is>
      </c>
      <c r="D3778" s="2" t="inlineStr">
        <is>
          <t>North</t>
        </is>
      </c>
    </row>
    <row r="3779">
      <c r="A3779" s="2" t="inlineStr">
        <is>
          <t>C0736</t>
        </is>
      </c>
      <c r="B3779" s="2" t="inlineStr">
        <is>
          <t>Karnataka</t>
        </is>
      </c>
      <c r="C3779" s="2" t="inlineStr">
        <is>
          <t>Bengaluru</t>
        </is>
      </c>
      <c r="D3779" s="2" t="inlineStr">
        <is>
          <t>South</t>
        </is>
      </c>
    </row>
    <row r="3780">
      <c r="A3780" s="2" t="inlineStr">
        <is>
          <t>C0737</t>
        </is>
      </c>
      <c r="B3780" s="2" t="inlineStr">
        <is>
          <t>Maharashtra</t>
        </is>
      </c>
      <c r="C3780" s="2" t="inlineStr">
        <is>
          <t>Nagpur</t>
        </is>
      </c>
      <c r="D3780" s="2" t="inlineStr">
        <is>
          <t>West</t>
        </is>
      </c>
    </row>
    <row r="3781">
      <c r="A3781" s="2" t="inlineStr">
        <is>
          <t>C0737</t>
        </is>
      </c>
      <c r="B3781" s="2" t="inlineStr">
        <is>
          <t>Telangana</t>
        </is>
      </c>
      <c r="C3781" s="2" t="inlineStr">
        <is>
          <t>Warangal</t>
        </is>
      </c>
      <c r="D3781" s="2" t="inlineStr">
        <is>
          <t>South</t>
        </is>
      </c>
    </row>
    <row r="3782">
      <c r="A3782" s="2" t="inlineStr">
        <is>
          <t>C0738</t>
        </is>
      </c>
      <c r="B3782" s="2" t="inlineStr">
        <is>
          <t>Telangana</t>
        </is>
      </c>
      <c r="C3782" s="2" t="inlineStr">
        <is>
          <t>Hyderabad</t>
        </is>
      </c>
      <c r="D3782" s="2" t="inlineStr">
        <is>
          <t>South</t>
        </is>
      </c>
    </row>
    <row r="3783">
      <c r="A3783" s="2" t="inlineStr">
        <is>
          <t>C0738</t>
        </is>
      </c>
      <c r="B3783" s="2" t="inlineStr">
        <is>
          <t>West Bengal</t>
        </is>
      </c>
      <c r="C3783" s="2" t="inlineStr">
        <is>
          <t>Durgapur</t>
        </is>
      </c>
      <c r="D3783" s="2" t="inlineStr">
        <is>
          <t>East</t>
        </is>
      </c>
    </row>
    <row r="3784">
      <c r="A3784" s="2" t="inlineStr">
        <is>
          <t>C0738</t>
        </is>
      </c>
      <c r="B3784" s="2" t="inlineStr">
        <is>
          <t>Goa</t>
        </is>
      </c>
      <c r="C3784" s="2" t="inlineStr">
        <is>
          <t>Panaji</t>
        </is>
      </c>
      <c r="D3784" s="2" t="inlineStr">
        <is>
          <t>West</t>
        </is>
      </c>
    </row>
    <row r="3785">
      <c r="A3785" s="2" t="inlineStr">
        <is>
          <t>C0738</t>
        </is>
      </c>
      <c r="B3785" s="2" t="inlineStr">
        <is>
          <t>Goa</t>
        </is>
      </c>
      <c r="C3785" s="2" t="inlineStr">
        <is>
          <t>Margao</t>
        </is>
      </c>
      <c r="D3785" s="2" t="inlineStr">
        <is>
          <t>West</t>
        </is>
      </c>
    </row>
    <row r="3786">
      <c r="A3786" s="2" t="inlineStr">
        <is>
          <t>C0738</t>
        </is>
      </c>
      <c r="B3786" s="2" t="inlineStr">
        <is>
          <t>Gujarat</t>
        </is>
      </c>
      <c r="C3786" s="2" t="inlineStr">
        <is>
          <t>Ahmedabad</t>
        </is>
      </c>
      <c r="D3786" s="2" t="inlineStr">
        <is>
          <t>West</t>
        </is>
      </c>
    </row>
    <row r="3787">
      <c r="A3787" s="2" t="inlineStr">
        <is>
          <t>C0738</t>
        </is>
      </c>
      <c r="B3787" s="2" t="inlineStr">
        <is>
          <t>Haryana</t>
        </is>
      </c>
      <c r="C3787" s="2" t="inlineStr">
        <is>
          <t>Gurugram</t>
        </is>
      </c>
      <c r="D3787" s="2" t="inlineStr">
        <is>
          <t>North</t>
        </is>
      </c>
    </row>
    <row r="3788">
      <c r="A3788" s="2" t="inlineStr">
        <is>
          <t>C0738</t>
        </is>
      </c>
      <c r="B3788" s="2" t="inlineStr">
        <is>
          <t>Tamil Nadu</t>
        </is>
      </c>
      <c r="C3788" s="2" t="inlineStr">
        <is>
          <t>Coimbatore</t>
        </is>
      </c>
      <c r="D3788" s="2" t="inlineStr">
        <is>
          <t>South</t>
        </is>
      </c>
    </row>
    <row r="3789">
      <c r="A3789" s="2" t="inlineStr">
        <is>
          <t>C0738</t>
        </is>
      </c>
      <c r="B3789" s="2" t="inlineStr">
        <is>
          <t>Kerala</t>
        </is>
      </c>
      <c r="C3789" s="2" t="inlineStr">
        <is>
          <t>Thiruvananthapuram</t>
        </is>
      </c>
      <c r="D3789" s="2" t="inlineStr">
        <is>
          <t>South</t>
        </is>
      </c>
    </row>
    <row r="3790">
      <c r="A3790" s="2" t="inlineStr">
        <is>
          <t>C0738</t>
        </is>
      </c>
      <c r="B3790" s="2" t="inlineStr">
        <is>
          <t>Haryana</t>
        </is>
      </c>
      <c r="C3790" s="2" t="inlineStr">
        <is>
          <t>Faridabad</t>
        </is>
      </c>
      <c r="D3790" s="2" t="inlineStr">
        <is>
          <t>North</t>
        </is>
      </c>
    </row>
    <row r="3791">
      <c r="A3791" s="2" t="inlineStr">
        <is>
          <t>C0738</t>
        </is>
      </c>
      <c r="B3791" s="2" t="inlineStr">
        <is>
          <t>Punjab</t>
        </is>
      </c>
      <c r="C3791" s="2" t="inlineStr">
        <is>
          <t>Jalandhar</t>
        </is>
      </c>
      <c r="D3791" s="2" t="inlineStr">
        <is>
          <t>North</t>
        </is>
      </c>
    </row>
    <row r="3792">
      <c r="A3792" s="2" t="inlineStr">
        <is>
          <t>C0739</t>
        </is>
      </c>
      <c r="B3792" s="2" t="inlineStr">
        <is>
          <t>West Bengal</t>
        </is>
      </c>
      <c r="C3792" s="2" t="inlineStr">
        <is>
          <t>Durgapur</t>
        </is>
      </c>
      <c r="D3792" s="2" t="inlineStr">
        <is>
          <t>East</t>
        </is>
      </c>
    </row>
    <row r="3793">
      <c r="A3793" s="2" t="inlineStr">
        <is>
          <t>C0739</t>
        </is>
      </c>
      <c r="B3793" s="2" t="inlineStr">
        <is>
          <t>Gujarat</t>
        </is>
      </c>
      <c r="C3793" s="2" t="inlineStr">
        <is>
          <t>Surat</t>
        </is>
      </c>
      <c r="D3793" s="2" t="inlineStr">
        <is>
          <t>West</t>
        </is>
      </c>
    </row>
    <row r="3794">
      <c r="A3794" s="2" t="inlineStr">
        <is>
          <t>C0739</t>
        </is>
      </c>
      <c r="B3794" s="2" t="inlineStr">
        <is>
          <t>Haryana</t>
        </is>
      </c>
      <c r="C3794" s="2" t="inlineStr">
        <is>
          <t>Faridabad</t>
        </is>
      </c>
      <c r="D3794" s="2" t="inlineStr">
        <is>
          <t>North</t>
        </is>
      </c>
    </row>
    <row r="3795">
      <c r="A3795" s="2" t="inlineStr">
        <is>
          <t>C0739</t>
        </is>
      </c>
      <c r="B3795" s="2" t="inlineStr">
        <is>
          <t>Delhi</t>
        </is>
      </c>
      <c r="C3795" s="2" t="inlineStr">
        <is>
          <t>New Delhi</t>
        </is>
      </c>
      <c r="D3795" s="2" t="inlineStr">
        <is>
          <t>North</t>
        </is>
      </c>
    </row>
    <row r="3796">
      <c r="A3796" s="2" t="inlineStr">
        <is>
          <t>C0739</t>
        </is>
      </c>
      <c r="B3796" s="2" t="inlineStr">
        <is>
          <t>Maharashtra</t>
        </is>
      </c>
      <c r="C3796" s="2" t="inlineStr">
        <is>
          <t>Pune</t>
        </is>
      </c>
      <c r="D3796" s="2" t="inlineStr">
        <is>
          <t>West</t>
        </is>
      </c>
    </row>
    <row r="3797">
      <c r="A3797" s="2" t="inlineStr">
        <is>
          <t>C0739</t>
        </is>
      </c>
      <c r="B3797" s="2" t="inlineStr">
        <is>
          <t>West Bengal</t>
        </is>
      </c>
      <c r="C3797" s="2" t="inlineStr">
        <is>
          <t>Kolkata</t>
        </is>
      </c>
      <c r="D3797" s="2" t="inlineStr">
        <is>
          <t>East</t>
        </is>
      </c>
    </row>
    <row r="3798">
      <c r="A3798" s="2" t="inlineStr">
        <is>
          <t>C0739</t>
        </is>
      </c>
      <c r="B3798" s="2" t="inlineStr">
        <is>
          <t>Kerala</t>
        </is>
      </c>
      <c r="C3798" s="2" t="inlineStr">
        <is>
          <t>Thiruvananthapuram</t>
        </is>
      </c>
      <c r="D3798" s="2" t="inlineStr">
        <is>
          <t>South</t>
        </is>
      </c>
    </row>
    <row r="3799">
      <c r="A3799" s="2" t="inlineStr">
        <is>
          <t>C0739</t>
        </is>
      </c>
      <c r="B3799" s="2" t="inlineStr">
        <is>
          <t>Goa</t>
        </is>
      </c>
      <c r="C3799" s="2" t="inlineStr">
        <is>
          <t>Margao</t>
        </is>
      </c>
      <c r="D3799" s="2" t="inlineStr">
        <is>
          <t>West</t>
        </is>
      </c>
    </row>
    <row r="3800">
      <c r="A3800" s="2" t="inlineStr">
        <is>
          <t>C0739</t>
        </is>
      </c>
      <c r="B3800" s="2" t="inlineStr">
        <is>
          <t>Tamil Nadu</t>
        </is>
      </c>
      <c r="C3800" s="2" t="inlineStr">
        <is>
          <t>Coimbatore</t>
        </is>
      </c>
      <c r="D3800" s="2" t="inlineStr">
        <is>
          <t>South</t>
        </is>
      </c>
    </row>
    <row r="3801">
      <c r="A3801" s="2" t="inlineStr">
        <is>
          <t>C0739</t>
        </is>
      </c>
      <c r="B3801" s="2" t="inlineStr">
        <is>
          <t>Goa</t>
        </is>
      </c>
      <c r="C3801" s="2" t="inlineStr">
        <is>
          <t>Panaji</t>
        </is>
      </c>
      <c r="D3801" s="2" t="inlineStr">
        <is>
          <t>West</t>
        </is>
      </c>
    </row>
    <row r="3802">
      <c r="A3802" s="2" t="inlineStr">
        <is>
          <t>C0740</t>
        </is>
      </c>
      <c r="B3802" s="2" t="inlineStr">
        <is>
          <t>Bihar</t>
        </is>
      </c>
      <c r="C3802" s="2" t="inlineStr">
        <is>
          <t>Patna</t>
        </is>
      </c>
      <c r="D3802" s="2" t="inlineStr">
        <is>
          <t>East</t>
        </is>
      </c>
    </row>
    <row r="3803">
      <c r="A3803" s="2" t="inlineStr">
        <is>
          <t>C0740</t>
        </is>
      </c>
      <c r="B3803" s="2" t="inlineStr">
        <is>
          <t>Goa</t>
        </is>
      </c>
      <c r="C3803" s="2" t="inlineStr">
        <is>
          <t>Margao</t>
        </is>
      </c>
      <c r="D3803" s="2" t="inlineStr">
        <is>
          <t>West</t>
        </is>
      </c>
    </row>
    <row r="3804">
      <c r="A3804" s="2" t="inlineStr">
        <is>
          <t>C0740</t>
        </is>
      </c>
      <c r="B3804" s="2" t="inlineStr">
        <is>
          <t>Kerala</t>
        </is>
      </c>
      <c r="C3804" s="2" t="inlineStr">
        <is>
          <t>Kochi</t>
        </is>
      </c>
      <c r="D3804" s="2" t="inlineStr">
        <is>
          <t>South</t>
        </is>
      </c>
    </row>
    <row r="3805">
      <c r="A3805" s="2" t="inlineStr">
        <is>
          <t>C0740</t>
        </is>
      </c>
      <c r="B3805" s="2" t="inlineStr">
        <is>
          <t>Maharashtra</t>
        </is>
      </c>
      <c r="C3805" s="2" t="inlineStr">
        <is>
          <t>Nashik</t>
        </is>
      </c>
      <c r="D3805" s="2" t="inlineStr">
        <is>
          <t>West</t>
        </is>
      </c>
    </row>
    <row r="3806">
      <c r="A3806" s="2" t="inlineStr">
        <is>
          <t>C0740</t>
        </is>
      </c>
      <c r="B3806" s="2" t="inlineStr">
        <is>
          <t>West Bengal</t>
        </is>
      </c>
      <c r="C3806" s="2" t="inlineStr">
        <is>
          <t>Durgapur</t>
        </is>
      </c>
      <c r="D3806" s="2" t="inlineStr">
        <is>
          <t>East</t>
        </is>
      </c>
    </row>
    <row r="3807">
      <c r="A3807" s="2" t="inlineStr">
        <is>
          <t>C0740</t>
        </is>
      </c>
      <c r="B3807" s="2" t="inlineStr">
        <is>
          <t>Haryana</t>
        </is>
      </c>
      <c r="C3807" s="2" t="inlineStr">
        <is>
          <t>Gurugram</t>
        </is>
      </c>
      <c r="D3807" s="2" t="inlineStr">
        <is>
          <t>North</t>
        </is>
      </c>
    </row>
    <row r="3808">
      <c r="A3808" s="2" t="inlineStr">
        <is>
          <t>C0740</t>
        </is>
      </c>
      <c r="B3808" s="2" t="inlineStr">
        <is>
          <t>Karnataka</t>
        </is>
      </c>
      <c r="C3808" s="2" t="inlineStr">
        <is>
          <t>Bengaluru</t>
        </is>
      </c>
      <c r="D3808" s="2" t="inlineStr">
        <is>
          <t>South</t>
        </is>
      </c>
    </row>
    <row r="3809">
      <c r="A3809" s="2" t="inlineStr">
        <is>
          <t>C0740</t>
        </is>
      </c>
      <c r="B3809" s="2" t="inlineStr">
        <is>
          <t>Telangana</t>
        </is>
      </c>
      <c r="C3809" s="2" t="inlineStr">
        <is>
          <t>Warangal</t>
        </is>
      </c>
      <c r="D3809" s="2" t="inlineStr">
        <is>
          <t>South</t>
        </is>
      </c>
    </row>
    <row r="3810">
      <c r="A3810" s="2" t="inlineStr">
        <is>
          <t>C0741</t>
        </is>
      </c>
      <c r="B3810" s="2" t="inlineStr">
        <is>
          <t>Kerala</t>
        </is>
      </c>
      <c r="C3810" s="2" t="inlineStr">
        <is>
          <t>Kochi</t>
        </is>
      </c>
      <c r="D3810" s="2" t="inlineStr">
        <is>
          <t>South</t>
        </is>
      </c>
    </row>
    <row r="3811">
      <c r="A3811" s="2" t="inlineStr">
        <is>
          <t>C0741</t>
        </is>
      </c>
      <c r="B3811" s="2" t="inlineStr">
        <is>
          <t>Haryana</t>
        </is>
      </c>
      <c r="C3811" s="2" t="inlineStr">
        <is>
          <t>Gurugram</t>
        </is>
      </c>
      <c r="D3811" s="2" t="inlineStr">
        <is>
          <t>North</t>
        </is>
      </c>
    </row>
    <row r="3812">
      <c r="A3812" s="2" t="inlineStr">
        <is>
          <t>C0741</t>
        </is>
      </c>
      <c r="B3812" s="2" t="inlineStr">
        <is>
          <t>Gujarat</t>
        </is>
      </c>
      <c r="C3812" s="2" t="inlineStr">
        <is>
          <t>Ahmedabad</t>
        </is>
      </c>
      <c r="D3812" s="2" t="inlineStr">
        <is>
          <t>West</t>
        </is>
      </c>
    </row>
    <row r="3813">
      <c r="A3813" s="2" t="inlineStr">
        <is>
          <t>C0741</t>
        </is>
      </c>
      <c r="B3813" s="2" t="inlineStr">
        <is>
          <t>Goa</t>
        </is>
      </c>
      <c r="C3813" s="2" t="inlineStr">
        <is>
          <t>Panaji</t>
        </is>
      </c>
      <c r="D3813" s="2" t="inlineStr">
        <is>
          <t>West</t>
        </is>
      </c>
    </row>
    <row r="3814">
      <c r="A3814" s="2" t="inlineStr">
        <is>
          <t>C0742</t>
        </is>
      </c>
      <c r="B3814" s="2" t="inlineStr">
        <is>
          <t>Gujarat</t>
        </is>
      </c>
      <c r="C3814" s="2" t="inlineStr">
        <is>
          <t>Surat</t>
        </is>
      </c>
      <c r="D3814" s="2" t="inlineStr">
        <is>
          <t>West</t>
        </is>
      </c>
    </row>
    <row r="3815">
      <c r="A3815" s="2" t="inlineStr">
        <is>
          <t>C0742</t>
        </is>
      </c>
      <c r="B3815" s="2" t="inlineStr">
        <is>
          <t>Goa</t>
        </is>
      </c>
      <c r="C3815" s="2" t="inlineStr">
        <is>
          <t>Panaji</t>
        </is>
      </c>
      <c r="D3815" s="2" t="inlineStr">
        <is>
          <t>West</t>
        </is>
      </c>
    </row>
    <row r="3816">
      <c r="A3816" s="2" t="inlineStr">
        <is>
          <t>C0742</t>
        </is>
      </c>
      <c r="B3816" s="2" t="inlineStr">
        <is>
          <t>West Bengal</t>
        </is>
      </c>
      <c r="C3816" s="2" t="inlineStr">
        <is>
          <t>Kolkata</t>
        </is>
      </c>
      <c r="D3816" s="2" t="inlineStr">
        <is>
          <t>East</t>
        </is>
      </c>
    </row>
    <row r="3817">
      <c r="A3817" s="2" t="inlineStr">
        <is>
          <t>C0742</t>
        </is>
      </c>
      <c r="B3817" s="2" t="inlineStr">
        <is>
          <t>Maharashtra</t>
        </is>
      </c>
      <c r="C3817" s="2" t="inlineStr">
        <is>
          <t>Pune</t>
        </is>
      </c>
      <c r="D3817" s="2" t="inlineStr">
        <is>
          <t>West</t>
        </is>
      </c>
    </row>
    <row r="3818">
      <c r="A3818" s="2" t="inlineStr">
        <is>
          <t>C0743</t>
        </is>
      </c>
      <c r="B3818" s="2" t="inlineStr">
        <is>
          <t>Maharashtra</t>
        </is>
      </c>
      <c r="C3818" s="2" t="inlineStr">
        <is>
          <t>Mumbai</t>
        </is>
      </c>
      <c r="D3818" s="2" t="inlineStr">
        <is>
          <t>West</t>
        </is>
      </c>
    </row>
    <row r="3819">
      <c r="A3819" s="2" t="inlineStr">
        <is>
          <t>C0744</t>
        </is>
      </c>
      <c r="B3819" s="2" t="inlineStr">
        <is>
          <t>Goa</t>
        </is>
      </c>
      <c r="C3819" s="2" t="inlineStr">
        <is>
          <t>Margao</t>
        </is>
      </c>
      <c r="D3819" s="2" t="inlineStr">
        <is>
          <t>West</t>
        </is>
      </c>
    </row>
    <row r="3820">
      <c r="A3820" s="2" t="inlineStr">
        <is>
          <t>C0744</t>
        </is>
      </c>
      <c r="B3820" s="2" t="inlineStr">
        <is>
          <t>Bihar</t>
        </is>
      </c>
      <c r="C3820" s="2" t="inlineStr">
        <is>
          <t>Gaya</t>
        </is>
      </c>
      <c r="D3820" s="2" t="inlineStr">
        <is>
          <t>East</t>
        </is>
      </c>
    </row>
    <row r="3821">
      <c r="A3821" s="2" t="inlineStr">
        <is>
          <t>C0744</t>
        </is>
      </c>
      <c r="B3821" s="2" t="inlineStr">
        <is>
          <t>Goa</t>
        </is>
      </c>
      <c r="C3821" s="2" t="inlineStr">
        <is>
          <t>Panaji</t>
        </is>
      </c>
      <c r="D3821" s="2" t="inlineStr">
        <is>
          <t>West</t>
        </is>
      </c>
    </row>
    <row r="3822">
      <c r="A3822" s="2" t="inlineStr">
        <is>
          <t>C0744</t>
        </is>
      </c>
      <c r="B3822" s="2" t="inlineStr">
        <is>
          <t>Tamil Nadu</t>
        </is>
      </c>
      <c r="C3822" s="2" t="inlineStr">
        <is>
          <t>Madurai</t>
        </is>
      </c>
      <c r="D3822" s="2" t="inlineStr">
        <is>
          <t>South</t>
        </is>
      </c>
    </row>
    <row r="3823">
      <c r="A3823" s="2" t="inlineStr">
        <is>
          <t>C0744</t>
        </is>
      </c>
      <c r="B3823" s="2" t="inlineStr">
        <is>
          <t>Gujarat</t>
        </is>
      </c>
      <c r="C3823" s="2" t="inlineStr">
        <is>
          <t>Surat</t>
        </is>
      </c>
      <c r="D3823" s="2" t="inlineStr">
        <is>
          <t>West</t>
        </is>
      </c>
    </row>
    <row r="3824">
      <c r="A3824" s="2" t="inlineStr">
        <is>
          <t>C0744</t>
        </is>
      </c>
      <c r="B3824" s="2" t="inlineStr">
        <is>
          <t>Telangana</t>
        </is>
      </c>
      <c r="C3824" s="2" t="inlineStr">
        <is>
          <t>Warangal</t>
        </is>
      </c>
      <c r="D3824" s="2" t="inlineStr">
        <is>
          <t>South</t>
        </is>
      </c>
    </row>
    <row r="3825">
      <c r="A3825" s="2" t="inlineStr">
        <is>
          <t>C0745</t>
        </is>
      </c>
      <c r="B3825" s="2" t="inlineStr">
        <is>
          <t>Delhi</t>
        </is>
      </c>
      <c r="C3825" s="2" t="inlineStr">
        <is>
          <t>New Delhi</t>
        </is>
      </c>
      <c r="D3825" s="2" t="inlineStr">
        <is>
          <t>North</t>
        </is>
      </c>
    </row>
    <row r="3826">
      <c r="A3826" s="2" t="inlineStr">
        <is>
          <t>C0745</t>
        </is>
      </c>
      <c r="B3826" s="2" t="inlineStr">
        <is>
          <t>Goa</t>
        </is>
      </c>
      <c r="C3826" s="2" t="inlineStr">
        <is>
          <t>Margao</t>
        </is>
      </c>
      <c r="D3826" s="2" t="inlineStr">
        <is>
          <t>West</t>
        </is>
      </c>
    </row>
    <row r="3827">
      <c r="A3827" s="2" t="inlineStr">
        <is>
          <t>C0745</t>
        </is>
      </c>
      <c r="B3827" s="2" t="inlineStr">
        <is>
          <t>Maharashtra</t>
        </is>
      </c>
      <c r="C3827" s="2" t="inlineStr">
        <is>
          <t>Thane</t>
        </is>
      </c>
      <c r="D3827" s="2" t="inlineStr">
        <is>
          <t>West</t>
        </is>
      </c>
    </row>
    <row r="3828">
      <c r="A3828" s="2" t="inlineStr">
        <is>
          <t>C0745</t>
        </is>
      </c>
      <c r="B3828" s="2" t="inlineStr">
        <is>
          <t>Uttar Pradesh</t>
        </is>
      </c>
      <c r="C3828" s="2" t="inlineStr">
        <is>
          <t>Lucknow</t>
        </is>
      </c>
      <c r="D3828" s="2" t="inlineStr">
        <is>
          <t>North</t>
        </is>
      </c>
    </row>
    <row r="3829">
      <c r="A3829" s="2" t="inlineStr">
        <is>
          <t>C0745</t>
        </is>
      </c>
      <c r="B3829" s="2" t="inlineStr">
        <is>
          <t>Bihar</t>
        </is>
      </c>
      <c r="C3829" s="2" t="inlineStr">
        <is>
          <t>Gaya</t>
        </is>
      </c>
      <c r="D3829" s="2" t="inlineStr">
        <is>
          <t>East</t>
        </is>
      </c>
    </row>
    <row r="3830">
      <c r="A3830" s="2" t="inlineStr">
        <is>
          <t>C0745</t>
        </is>
      </c>
      <c r="B3830" s="2" t="inlineStr">
        <is>
          <t>Karnataka</t>
        </is>
      </c>
      <c r="C3830" s="2" t="inlineStr">
        <is>
          <t>Bengaluru</t>
        </is>
      </c>
      <c r="D3830" s="2" t="inlineStr">
        <is>
          <t>South</t>
        </is>
      </c>
    </row>
    <row r="3831">
      <c r="A3831" s="2" t="inlineStr">
        <is>
          <t>C0745</t>
        </is>
      </c>
      <c r="B3831" s="2" t="inlineStr">
        <is>
          <t>Goa</t>
        </is>
      </c>
      <c r="C3831" s="2" t="inlineStr">
        <is>
          <t>Panaji</t>
        </is>
      </c>
      <c r="D3831" s="2" t="inlineStr">
        <is>
          <t>West</t>
        </is>
      </c>
    </row>
    <row r="3832">
      <c r="A3832" s="2" t="inlineStr">
        <is>
          <t>C0745</t>
        </is>
      </c>
      <c r="B3832" s="2" t="inlineStr">
        <is>
          <t>West Bengal</t>
        </is>
      </c>
      <c r="C3832" s="2" t="inlineStr">
        <is>
          <t>Kolkata</t>
        </is>
      </c>
      <c r="D3832" s="2" t="inlineStr">
        <is>
          <t>East</t>
        </is>
      </c>
    </row>
    <row r="3833">
      <c r="A3833" s="2" t="inlineStr">
        <is>
          <t>C0745</t>
        </is>
      </c>
      <c r="B3833" s="2" t="inlineStr">
        <is>
          <t>Uttar Pradesh</t>
        </is>
      </c>
      <c r="C3833" s="2" t="inlineStr">
        <is>
          <t>Noida</t>
        </is>
      </c>
      <c r="D3833" s="2" t="inlineStr">
        <is>
          <t>North</t>
        </is>
      </c>
    </row>
    <row r="3834">
      <c r="A3834" s="2" t="inlineStr">
        <is>
          <t>C0745</t>
        </is>
      </c>
      <c r="B3834" s="2" t="inlineStr">
        <is>
          <t>Maharashtra</t>
        </is>
      </c>
      <c r="C3834" s="2" t="inlineStr">
        <is>
          <t>Nashik</t>
        </is>
      </c>
      <c r="D3834" s="2" t="inlineStr">
        <is>
          <t>West</t>
        </is>
      </c>
    </row>
    <row r="3835">
      <c r="A3835" s="2" t="inlineStr">
        <is>
          <t>C0745</t>
        </is>
      </c>
      <c r="B3835" s="2" t="inlineStr">
        <is>
          <t>Karnataka</t>
        </is>
      </c>
      <c r="C3835" s="2" t="inlineStr">
        <is>
          <t>Mangaluru</t>
        </is>
      </c>
      <c r="D3835" s="2" t="inlineStr">
        <is>
          <t>South</t>
        </is>
      </c>
    </row>
    <row r="3836">
      <c r="A3836" s="2" t="inlineStr">
        <is>
          <t>C0745</t>
        </is>
      </c>
      <c r="B3836" s="2" t="inlineStr">
        <is>
          <t>Gujarat</t>
        </is>
      </c>
      <c r="C3836" s="2" t="inlineStr">
        <is>
          <t>Ahmedabad</t>
        </is>
      </c>
      <c r="D3836" s="2" t="inlineStr">
        <is>
          <t>West</t>
        </is>
      </c>
    </row>
    <row r="3837">
      <c r="A3837" s="2" t="inlineStr">
        <is>
          <t>C0745</t>
        </is>
      </c>
      <c r="B3837" s="2" t="inlineStr">
        <is>
          <t>Telangana</t>
        </is>
      </c>
      <c r="C3837" s="2" t="inlineStr">
        <is>
          <t>Warangal</t>
        </is>
      </c>
      <c r="D3837" s="2" t="inlineStr">
        <is>
          <t>South</t>
        </is>
      </c>
    </row>
    <row r="3838">
      <c r="A3838" s="2" t="inlineStr">
        <is>
          <t>C0745</t>
        </is>
      </c>
      <c r="B3838" s="2" t="inlineStr">
        <is>
          <t>Kerala</t>
        </is>
      </c>
      <c r="C3838" s="2" t="inlineStr">
        <is>
          <t>Kochi</t>
        </is>
      </c>
      <c r="D3838" s="2" t="inlineStr">
        <is>
          <t>South</t>
        </is>
      </c>
    </row>
    <row r="3839">
      <c r="A3839" s="2" t="inlineStr">
        <is>
          <t>C0745</t>
        </is>
      </c>
      <c r="B3839" s="2" t="inlineStr">
        <is>
          <t>Tamil Nadu</t>
        </is>
      </c>
      <c r="C3839" s="2" t="inlineStr">
        <is>
          <t>Chennai</t>
        </is>
      </c>
      <c r="D3839" s="2" t="inlineStr">
        <is>
          <t>South</t>
        </is>
      </c>
    </row>
    <row r="3840">
      <c r="A3840" s="2" t="inlineStr">
        <is>
          <t>C0746</t>
        </is>
      </c>
      <c r="B3840" s="2" t="inlineStr">
        <is>
          <t>Karnataka</t>
        </is>
      </c>
      <c r="C3840" s="2" t="inlineStr">
        <is>
          <t>Mysuru</t>
        </is>
      </c>
      <c r="D3840" s="2" t="inlineStr">
        <is>
          <t>South</t>
        </is>
      </c>
    </row>
    <row r="3841">
      <c r="A3841" s="2" t="inlineStr">
        <is>
          <t>C0746</t>
        </is>
      </c>
      <c r="B3841" s="2" t="inlineStr">
        <is>
          <t>West Bengal</t>
        </is>
      </c>
      <c r="C3841" s="2" t="inlineStr">
        <is>
          <t>Durgapur</t>
        </is>
      </c>
      <c r="D3841" s="2" t="inlineStr">
        <is>
          <t>East</t>
        </is>
      </c>
    </row>
    <row r="3842">
      <c r="A3842" s="2" t="inlineStr">
        <is>
          <t>C0746</t>
        </is>
      </c>
      <c r="B3842" s="2" t="inlineStr">
        <is>
          <t>Haryana</t>
        </is>
      </c>
      <c r="C3842" s="2" t="inlineStr">
        <is>
          <t>Faridabad</t>
        </is>
      </c>
      <c r="D3842" s="2" t="inlineStr">
        <is>
          <t>North</t>
        </is>
      </c>
    </row>
    <row r="3843">
      <c r="A3843" s="2" t="inlineStr">
        <is>
          <t>C0747</t>
        </is>
      </c>
      <c r="B3843" s="2" t="inlineStr">
        <is>
          <t>Uttar Pradesh</t>
        </is>
      </c>
      <c r="C3843" s="2" t="inlineStr">
        <is>
          <t>Varanasi</t>
        </is>
      </c>
      <c r="D3843" s="2" t="inlineStr">
        <is>
          <t>North</t>
        </is>
      </c>
    </row>
    <row r="3844">
      <c r="A3844" s="2" t="inlineStr">
        <is>
          <t>C0747</t>
        </is>
      </c>
      <c r="B3844" s="2" t="inlineStr">
        <is>
          <t>Gujarat</t>
        </is>
      </c>
      <c r="C3844" s="2" t="inlineStr">
        <is>
          <t>Vadodara</t>
        </is>
      </c>
      <c r="D3844" s="2" t="inlineStr">
        <is>
          <t>West</t>
        </is>
      </c>
    </row>
    <row r="3845">
      <c r="A3845" s="2" t="inlineStr">
        <is>
          <t>C0747</t>
        </is>
      </c>
      <c r="B3845" s="2" t="inlineStr">
        <is>
          <t>Bihar</t>
        </is>
      </c>
      <c r="C3845" s="2" t="inlineStr">
        <is>
          <t>Gaya</t>
        </is>
      </c>
      <c r="D3845" s="2" t="inlineStr">
        <is>
          <t>East</t>
        </is>
      </c>
    </row>
    <row r="3846">
      <c r="A3846" s="2" t="inlineStr">
        <is>
          <t>C0747</t>
        </is>
      </c>
      <c r="B3846" s="2" t="inlineStr">
        <is>
          <t>Kerala</t>
        </is>
      </c>
      <c r="C3846" s="2" t="inlineStr">
        <is>
          <t>Kochi</t>
        </is>
      </c>
      <c r="D3846" s="2" t="inlineStr">
        <is>
          <t>South</t>
        </is>
      </c>
    </row>
    <row r="3847">
      <c r="A3847" s="2" t="inlineStr">
        <is>
          <t>C0747</t>
        </is>
      </c>
      <c r="B3847" s="2" t="inlineStr">
        <is>
          <t>Odisha</t>
        </is>
      </c>
      <c r="C3847" s="2" t="inlineStr">
        <is>
          <t>Cuttack</t>
        </is>
      </c>
      <c r="D3847" s="2" t="inlineStr">
        <is>
          <t>East</t>
        </is>
      </c>
    </row>
    <row r="3848">
      <c r="A3848" s="2" t="inlineStr">
        <is>
          <t>C0747</t>
        </is>
      </c>
      <c r="B3848" s="2" t="inlineStr">
        <is>
          <t>Bihar</t>
        </is>
      </c>
      <c r="C3848" s="2" t="inlineStr">
        <is>
          <t>Patna</t>
        </is>
      </c>
      <c r="D3848" s="2" t="inlineStr">
        <is>
          <t>East</t>
        </is>
      </c>
    </row>
    <row r="3849">
      <c r="A3849" s="2" t="inlineStr">
        <is>
          <t>C0747</t>
        </is>
      </c>
      <c r="B3849" s="2" t="inlineStr">
        <is>
          <t>Haryana</t>
        </is>
      </c>
      <c r="C3849" s="2" t="inlineStr">
        <is>
          <t>Faridabad</t>
        </is>
      </c>
      <c r="D3849" s="2" t="inlineStr">
        <is>
          <t>North</t>
        </is>
      </c>
    </row>
    <row r="3850">
      <c r="A3850" s="2" t="inlineStr">
        <is>
          <t>C0747</t>
        </is>
      </c>
      <c r="B3850" s="2" t="inlineStr">
        <is>
          <t>Karnataka</t>
        </is>
      </c>
      <c r="C3850" s="2" t="inlineStr">
        <is>
          <t>Mangaluru</t>
        </is>
      </c>
      <c r="D3850" s="2" t="inlineStr">
        <is>
          <t>South</t>
        </is>
      </c>
    </row>
    <row r="3851">
      <c r="A3851" s="2" t="inlineStr">
        <is>
          <t>C0748</t>
        </is>
      </c>
      <c r="B3851" s="2" t="inlineStr">
        <is>
          <t>Punjab</t>
        </is>
      </c>
      <c r="C3851" s="2" t="inlineStr">
        <is>
          <t>Ludhiana</t>
        </is>
      </c>
      <c r="D3851" s="2" t="inlineStr">
        <is>
          <t>North</t>
        </is>
      </c>
    </row>
    <row r="3852">
      <c r="A3852" s="2" t="inlineStr">
        <is>
          <t>C0748</t>
        </is>
      </c>
      <c r="B3852" s="2" t="inlineStr">
        <is>
          <t>Maharashtra</t>
        </is>
      </c>
      <c r="C3852" s="2" t="inlineStr">
        <is>
          <t>Nashik</t>
        </is>
      </c>
      <c r="D3852" s="2" t="inlineStr">
        <is>
          <t>West</t>
        </is>
      </c>
    </row>
    <row r="3853">
      <c r="A3853" s="2" t="inlineStr">
        <is>
          <t>C0748</t>
        </is>
      </c>
      <c r="B3853" s="2" t="inlineStr">
        <is>
          <t>West Bengal</t>
        </is>
      </c>
      <c r="C3853" s="2" t="inlineStr">
        <is>
          <t>Durgapur</t>
        </is>
      </c>
      <c r="D3853" s="2" t="inlineStr">
        <is>
          <t>East</t>
        </is>
      </c>
    </row>
    <row r="3854">
      <c r="A3854" s="2" t="inlineStr">
        <is>
          <t>C0748</t>
        </is>
      </c>
      <c r="B3854" s="2" t="inlineStr">
        <is>
          <t>Gujarat</t>
        </is>
      </c>
      <c r="C3854" s="2" t="inlineStr">
        <is>
          <t>Vadodara</t>
        </is>
      </c>
      <c r="D3854" s="2" t="inlineStr">
        <is>
          <t>West</t>
        </is>
      </c>
    </row>
    <row r="3855">
      <c r="A3855" s="2" t="inlineStr">
        <is>
          <t>C0748</t>
        </is>
      </c>
      <c r="B3855" s="2" t="inlineStr">
        <is>
          <t>Goa</t>
        </is>
      </c>
      <c r="C3855" s="2" t="inlineStr">
        <is>
          <t>Margao</t>
        </is>
      </c>
      <c r="D3855" s="2" t="inlineStr">
        <is>
          <t>West</t>
        </is>
      </c>
    </row>
    <row r="3856">
      <c r="A3856" s="2" t="inlineStr">
        <is>
          <t>C0748</t>
        </is>
      </c>
      <c r="B3856" s="2" t="inlineStr">
        <is>
          <t>Kerala</t>
        </is>
      </c>
      <c r="C3856" s="2" t="inlineStr">
        <is>
          <t>Kochi</t>
        </is>
      </c>
      <c r="D3856" s="2" t="inlineStr">
        <is>
          <t>South</t>
        </is>
      </c>
    </row>
    <row r="3857">
      <c r="A3857" s="2" t="inlineStr">
        <is>
          <t>C0748</t>
        </is>
      </c>
      <c r="B3857" s="2" t="inlineStr">
        <is>
          <t>Odisha</t>
        </is>
      </c>
      <c r="C3857" s="2" t="inlineStr">
        <is>
          <t>Cuttack</t>
        </is>
      </c>
      <c r="D3857" s="2" t="inlineStr">
        <is>
          <t>East</t>
        </is>
      </c>
    </row>
    <row r="3858">
      <c r="A3858" s="2" t="inlineStr">
        <is>
          <t>C0749</t>
        </is>
      </c>
      <c r="B3858" s="2" t="inlineStr">
        <is>
          <t>Odisha</t>
        </is>
      </c>
      <c r="C3858" s="2" t="inlineStr">
        <is>
          <t>Cuttack</t>
        </is>
      </c>
      <c r="D3858" s="2" t="inlineStr">
        <is>
          <t>East</t>
        </is>
      </c>
    </row>
    <row r="3859">
      <c r="A3859" s="2" t="inlineStr">
        <is>
          <t>C0749</t>
        </is>
      </c>
      <c r="B3859" s="2" t="inlineStr">
        <is>
          <t>Tamil Nadu</t>
        </is>
      </c>
      <c r="C3859" s="2" t="inlineStr">
        <is>
          <t>Chennai</t>
        </is>
      </c>
      <c r="D3859" s="2" t="inlineStr">
        <is>
          <t>South</t>
        </is>
      </c>
    </row>
    <row r="3860">
      <c r="A3860" s="2" t="inlineStr">
        <is>
          <t>C0749</t>
        </is>
      </c>
      <c r="B3860" s="2" t="inlineStr">
        <is>
          <t>Goa</t>
        </is>
      </c>
      <c r="C3860" s="2" t="inlineStr">
        <is>
          <t>Margao</t>
        </is>
      </c>
      <c r="D3860" s="2" t="inlineStr">
        <is>
          <t>West</t>
        </is>
      </c>
    </row>
    <row r="3861">
      <c r="A3861" s="2" t="inlineStr">
        <is>
          <t>C0750</t>
        </is>
      </c>
      <c r="B3861" s="2" t="inlineStr">
        <is>
          <t>Tamil Nadu</t>
        </is>
      </c>
      <c r="C3861" s="2" t="inlineStr">
        <is>
          <t>Chennai</t>
        </is>
      </c>
      <c r="D3861" s="2" t="inlineStr">
        <is>
          <t>South</t>
        </is>
      </c>
    </row>
    <row r="3862">
      <c r="A3862" s="2" t="inlineStr">
        <is>
          <t>C0750</t>
        </is>
      </c>
      <c r="B3862" s="2" t="inlineStr">
        <is>
          <t>Gujarat</t>
        </is>
      </c>
      <c r="C3862" s="2" t="inlineStr">
        <is>
          <t>Ahmedabad</t>
        </is>
      </c>
      <c r="D3862" s="2" t="inlineStr">
        <is>
          <t>West</t>
        </is>
      </c>
    </row>
    <row r="3863">
      <c r="A3863" s="2" t="inlineStr">
        <is>
          <t>C0750</t>
        </is>
      </c>
      <c r="B3863" s="2" t="inlineStr">
        <is>
          <t>Delhi</t>
        </is>
      </c>
      <c r="C3863" s="2" t="inlineStr">
        <is>
          <t>New Delhi</t>
        </is>
      </c>
      <c r="D3863" s="2" t="inlineStr">
        <is>
          <t>North</t>
        </is>
      </c>
    </row>
    <row r="3864">
      <c r="A3864" s="2" t="inlineStr">
        <is>
          <t>C0750</t>
        </is>
      </c>
      <c r="B3864" s="2" t="inlineStr">
        <is>
          <t>Gujarat</t>
        </is>
      </c>
      <c r="C3864" s="2" t="inlineStr">
        <is>
          <t>Vadodara</t>
        </is>
      </c>
      <c r="D3864" s="2" t="inlineStr">
        <is>
          <t>West</t>
        </is>
      </c>
    </row>
    <row r="3865">
      <c r="A3865" s="2" t="inlineStr">
        <is>
          <t>C0750</t>
        </is>
      </c>
      <c r="B3865" s="2" t="inlineStr">
        <is>
          <t>Telangana</t>
        </is>
      </c>
      <c r="C3865" s="2" t="inlineStr">
        <is>
          <t>Hyderabad</t>
        </is>
      </c>
      <c r="D3865" s="2" t="inlineStr">
        <is>
          <t>South</t>
        </is>
      </c>
    </row>
    <row r="3866">
      <c r="A3866" s="2" t="inlineStr">
        <is>
          <t>C0750</t>
        </is>
      </c>
      <c r="B3866" s="2" t="inlineStr">
        <is>
          <t>Maharashtra</t>
        </is>
      </c>
      <c r="C3866" s="2" t="inlineStr">
        <is>
          <t>Nashik</t>
        </is>
      </c>
      <c r="D3866" s="2" t="inlineStr">
        <is>
          <t>West</t>
        </is>
      </c>
    </row>
    <row r="3867">
      <c r="A3867" s="2" t="inlineStr">
        <is>
          <t>C0750</t>
        </is>
      </c>
      <c r="B3867" s="2" t="inlineStr">
        <is>
          <t>Maharashtra</t>
        </is>
      </c>
      <c r="C3867" s="2" t="inlineStr">
        <is>
          <t>Pune</t>
        </is>
      </c>
      <c r="D3867" s="2" t="inlineStr">
        <is>
          <t>West</t>
        </is>
      </c>
    </row>
    <row r="3868">
      <c r="A3868" s="2" t="inlineStr">
        <is>
          <t>C0750</t>
        </is>
      </c>
      <c r="B3868" s="2" t="inlineStr">
        <is>
          <t>Maharashtra</t>
        </is>
      </c>
      <c r="C3868" s="2" t="inlineStr">
        <is>
          <t>Thane</t>
        </is>
      </c>
      <c r="D3868" s="2" t="inlineStr">
        <is>
          <t>West</t>
        </is>
      </c>
    </row>
    <row r="3869">
      <c r="A3869" s="2" t="inlineStr">
        <is>
          <t>C0750</t>
        </is>
      </c>
      <c r="B3869" s="2" t="inlineStr">
        <is>
          <t>Odisha</t>
        </is>
      </c>
      <c r="C3869" s="2" t="inlineStr">
        <is>
          <t>Bhubaneswar</t>
        </is>
      </c>
      <c r="D3869" s="2" t="inlineStr">
        <is>
          <t>East</t>
        </is>
      </c>
    </row>
    <row r="3870">
      <c r="A3870" s="2" t="inlineStr">
        <is>
          <t>C0750</t>
        </is>
      </c>
      <c r="B3870" s="2" t="inlineStr">
        <is>
          <t>Punjab</t>
        </is>
      </c>
      <c r="C3870" s="2" t="inlineStr">
        <is>
          <t>Ludhiana</t>
        </is>
      </c>
      <c r="D3870" s="2" t="inlineStr">
        <is>
          <t>North</t>
        </is>
      </c>
    </row>
    <row r="3871">
      <c r="A3871" s="2" t="inlineStr">
        <is>
          <t>C0750</t>
        </is>
      </c>
      <c r="B3871" s="2" t="inlineStr">
        <is>
          <t>Kerala</t>
        </is>
      </c>
      <c r="C3871" s="2" t="inlineStr">
        <is>
          <t>Thiruvananthapuram</t>
        </is>
      </c>
      <c r="D3871" s="2" t="inlineStr">
        <is>
          <t>South</t>
        </is>
      </c>
    </row>
    <row r="3872">
      <c r="A3872" s="2" t="inlineStr">
        <is>
          <t>C0750</t>
        </is>
      </c>
      <c r="B3872" s="2" t="inlineStr">
        <is>
          <t>Haryana</t>
        </is>
      </c>
      <c r="C3872" s="2" t="inlineStr">
        <is>
          <t>Faridabad</t>
        </is>
      </c>
      <c r="D3872" s="2" t="inlineStr">
        <is>
          <t>North</t>
        </is>
      </c>
    </row>
    <row r="3873">
      <c r="A3873" s="2" t="inlineStr">
        <is>
          <t>C0750</t>
        </is>
      </c>
      <c r="B3873" s="2" t="inlineStr">
        <is>
          <t>Haryana</t>
        </is>
      </c>
      <c r="C3873" s="2" t="inlineStr">
        <is>
          <t>Gurugram</t>
        </is>
      </c>
      <c r="D3873" s="2" t="inlineStr">
        <is>
          <t>North</t>
        </is>
      </c>
    </row>
    <row r="3874">
      <c r="A3874" s="2" t="inlineStr">
        <is>
          <t>C0750</t>
        </is>
      </c>
      <c r="B3874" s="2" t="inlineStr">
        <is>
          <t>Telangana</t>
        </is>
      </c>
      <c r="C3874" s="2" t="inlineStr">
        <is>
          <t>Warangal</t>
        </is>
      </c>
      <c r="D3874" s="2" t="inlineStr">
        <is>
          <t>South</t>
        </is>
      </c>
    </row>
    <row r="3875">
      <c r="A3875" s="2" t="inlineStr">
        <is>
          <t>C0750</t>
        </is>
      </c>
      <c r="B3875" s="2" t="inlineStr">
        <is>
          <t>Tamil Nadu</t>
        </is>
      </c>
      <c r="C3875" s="2" t="inlineStr">
        <is>
          <t>Coimbatore</t>
        </is>
      </c>
      <c r="D3875" s="2" t="inlineStr">
        <is>
          <t>South</t>
        </is>
      </c>
    </row>
    <row r="3876">
      <c r="A3876" s="2" t="inlineStr">
        <is>
          <t>C0750</t>
        </is>
      </c>
      <c r="B3876" s="2" t="inlineStr">
        <is>
          <t>Punjab</t>
        </is>
      </c>
      <c r="C3876" s="2" t="inlineStr">
        <is>
          <t>Jalandhar</t>
        </is>
      </c>
      <c r="D3876" s="2" t="inlineStr">
        <is>
          <t>North</t>
        </is>
      </c>
    </row>
    <row r="3877">
      <c r="A3877" s="2" t="inlineStr">
        <is>
          <t>C0750</t>
        </is>
      </c>
      <c r="B3877" s="2" t="inlineStr">
        <is>
          <t>Bihar</t>
        </is>
      </c>
      <c r="C3877" s="2" t="inlineStr">
        <is>
          <t>Gaya</t>
        </is>
      </c>
      <c r="D3877" s="2" t="inlineStr">
        <is>
          <t>East</t>
        </is>
      </c>
    </row>
    <row r="3878">
      <c r="A3878" s="2" t="inlineStr">
        <is>
          <t>C0750</t>
        </is>
      </c>
      <c r="B3878" s="2" t="inlineStr">
        <is>
          <t>Goa</t>
        </is>
      </c>
      <c r="C3878" s="2" t="inlineStr">
        <is>
          <t>Panaji</t>
        </is>
      </c>
      <c r="D3878" s="2" t="inlineStr">
        <is>
          <t>West</t>
        </is>
      </c>
    </row>
    <row r="3879">
      <c r="A3879" s="2" t="inlineStr">
        <is>
          <t>C0750</t>
        </is>
      </c>
      <c r="B3879" s="2" t="inlineStr">
        <is>
          <t>Goa</t>
        </is>
      </c>
      <c r="C3879" s="2" t="inlineStr">
        <is>
          <t>Margao</t>
        </is>
      </c>
      <c r="D3879" s="2" t="inlineStr">
        <is>
          <t>West</t>
        </is>
      </c>
    </row>
    <row r="3880">
      <c r="A3880" s="2" t="inlineStr">
        <is>
          <t>C0750</t>
        </is>
      </c>
      <c r="B3880" s="2" t="inlineStr">
        <is>
          <t>Tamil Nadu</t>
        </is>
      </c>
      <c r="C3880" s="2" t="inlineStr">
        <is>
          <t>Madurai</t>
        </is>
      </c>
      <c r="D3880" s="2" t="inlineStr">
        <is>
          <t>South</t>
        </is>
      </c>
    </row>
    <row r="3881">
      <c r="A3881" s="2" t="inlineStr">
        <is>
          <t>C0752</t>
        </is>
      </c>
      <c r="B3881" s="2" t="inlineStr">
        <is>
          <t>Odisha</t>
        </is>
      </c>
      <c r="C3881" s="2" t="inlineStr">
        <is>
          <t>Bhubaneswar</t>
        </is>
      </c>
      <c r="D3881" s="2" t="inlineStr">
        <is>
          <t>East</t>
        </is>
      </c>
    </row>
    <row r="3882">
      <c r="A3882" s="2" t="inlineStr">
        <is>
          <t>C0752</t>
        </is>
      </c>
      <c r="B3882" s="2" t="inlineStr">
        <is>
          <t>Maharashtra</t>
        </is>
      </c>
      <c r="C3882" s="2" t="inlineStr">
        <is>
          <t>Nagpur</t>
        </is>
      </c>
      <c r="D3882" s="2" t="inlineStr">
        <is>
          <t>West</t>
        </is>
      </c>
    </row>
    <row r="3883">
      <c r="A3883" s="2" t="inlineStr">
        <is>
          <t>C0753</t>
        </is>
      </c>
      <c r="B3883" s="2" t="inlineStr">
        <is>
          <t>Maharashtra</t>
        </is>
      </c>
      <c r="C3883" s="2" t="inlineStr">
        <is>
          <t>Pune</t>
        </is>
      </c>
      <c r="D3883" s="2" t="inlineStr">
        <is>
          <t>West</t>
        </is>
      </c>
    </row>
    <row r="3884">
      <c r="A3884" s="2" t="inlineStr">
        <is>
          <t>C0753</t>
        </is>
      </c>
      <c r="B3884" s="2" t="inlineStr">
        <is>
          <t>Karnataka</t>
        </is>
      </c>
      <c r="C3884" s="2" t="inlineStr">
        <is>
          <t>Bengaluru</t>
        </is>
      </c>
      <c r="D3884" s="2" t="inlineStr">
        <is>
          <t>South</t>
        </is>
      </c>
    </row>
    <row r="3885">
      <c r="A3885" s="2" t="inlineStr">
        <is>
          <t>C0753</t>
        </is>
      </c>
      <c r="B3885" s="2" t="inlineStr">
        <is>
          <t>Punjab</t>
        </is>
      </c>
      <c r="C3885" s="2" t="inlineStr">
        <is>
          <t>Amritsar</t>
        </is>
      </c>
      <c r="D3885" s="2" t="inlineStr">
        <is>
          <t>North</t>
        </is>
      </c>
    </row>
    <row r="3886">
      <c r="A3886" s="2" t="inlineStr">
        <is>
          <t>C0754</t>
        </is>
      </c>
      <c r="B3886" s="2" t="inlineStr">
        <is>
          <t>Gujarat</t>
        </is>
      </c>
      <c r="C3886" s="2" t="inlineStr">
        <is>
          <t>Ahmedabad</t>
        </is>
      </c>
      <c r="D3886" s="2" t="inlineStr">
        <is>
          <t>West</t>
        </is>
      </c>
    </row>
    <row r="3887">
      <c r="A3887" s="2" t="inlineStr">
        <is>
          <t>C0754</t>
        </is>
      </c>
      <c r="B3887" s="2" t="inlineStr">
        <is>
          <t>Tamil Nadu</t>
        </is>
      </c>
      <c r="C3887" s="2" t="inlineStr">
        <is>
          <t>Chennai</t>
        </is>
      </c>
      <c r="D3887" s="2" t="inlineStr">
        <is>
          <t>South</t>
        </is>
      </c>
    </row>
    <row r="3888">
      <c r="A3888" s="2" t="inlineStr">
        <is>
          <t>C0754</t>
        </is>
      </c>
      <c r="B3888" s="2" t="inlineStr">
        <is>
          <t>Telangana</t>
        </is>
      </c>
      <c r="C3888" s="2" t="inlineStr">
        <is>
          <t>Warangal</t>
        </is>
      </c>
      <c r="D3888" s="2" t="inlineStr">
        <is>
          <t>South</t>
        </is>
      </c>
    </row>
    <row r="3889">
      <c r="A3889" s="2" t="inlineStr">
        <is>
          <t>C0754</t>
        </is>
      </c>
      <c r="B3889" s="2" t="inlineStr">
        <is>
          <t>Goa</t>
        </is>
      </c>
      <c r="C3889" s="2" t="inlineStr">
        <is>
          <t>Margao</t>
        </is>
      </c>
      <c r="D3889" s="2" t="inlineStr">
        <is>
          <t>West</t>
        </is>
      </c>
    </row>
    <row r="3890">
      <c r="A3890" s="2" t="inlineStr">
        <is>
          <t>C0755</t>
        </is>
      </c>
      <c r="B3890" s="2" t="inlineStr">
        <is>
          <t>Odisha</t>
        </is>
      </c>
      <c r="C3890" s="2" t="inlineStr">
        <is>
          <t>Bhubaneswar</t>
        </is>
      </c>
      <c r="D3890" s="2" t="inlineStr">
        <is>
          <t>East</t>
        </is>
      </c>
    </row>
    <row r="3891">
      <c r="A3891" s="2" t="inlineStr">
        <is>
          <t>C0755</t>
        </is>
      </c>
      <c r="B3891" s="2" t="inlineStr">
        <is>
          <t>Maharashtra</t>
        </is>
      </c>
      <c r="C3891" s="2" t="inlineStr">
        <is>
          <t>Mumbai</t>
        </is>
      </c>
      <c r="D3891" s="2" t="inlineStr">
        <is>
          <t>West</t>
        </is>
      </c>
    </row>
    <row r="3892">
      <c r="A3892" s="2" t="inlineStr">
        <is>
          <t>C0755</t>
        </is>
      </c>
      <c r="B3892" s="2" t="inlineStr">
        <is>
          <t>Haryana</t>
        </is>
      </c>
      <c r="C3892" s="2" t="inlineStr">
        <is>
          <t>Faridabad</t>
        </is>
      </c>
      <c r="D3892" s="2" t="inlineStr">
        <is>
          <t>North</t>
        </is>
      </c>
    </row>
    <row r="3893">
      <c r="A3893" s="2" t="inlineStr">
        <is>
          <t>C0755</t>
        </is>
      </c>
      <c r="B3893" s="2" t="inlineStr">
        <is>
          <t>Gujarat</t>
        </is>
      </c>
      <c r="C3893" s="2" t="inlineStr">
        <is>
          <t>Ahmedabad</t>
        </is>
      </c>
      <c r="D3893" s="2" t="inlineStr">
        <is>
          <t>West</t>
        </is>
      </c>
    </row>
    <row r="3894">
      <c r="A3894" s="2" t="inlineStr">
        <is>
          <t>C0755</t>
        </is>
      </c>
      <c r="B3894" s="2" t="inlineStr">
        <is>
          <t>West Bengal</t>
        </is>
      </c>
      <c r="C3894" s="2" t="inlineStr">
        <is>
          <t>Durgapur</t>
        </is>
      </c>
      <c r="D3894" s="2" t="inlineStr">
        <is>
          <t>East</t>
        </is>
      </c>
    </row>
    <row r="3895">
      <c r="A3895" s="2" t="inlineStr">
        <is>
          <t>C0756</t>
        </is>
      </c>
      <c r="B3895" s="2" t="inlineStr">
        <is>
          <t>Punjab</t>
        </is>
      </c>
      <c r="C3895" s="2" t="inlineStr">
        <is>
          <t>Ludhiana</t>
        </is>
      </c>
      <c r="D3895" s="2" t="inlineStr">
        <is>
          <t>North</t>
        </is>
      </c>
    </row>
    <row r="3896">
      <c r="A3896" s="2" t="inlineStr">
        <is>
          <t>C0756</t>
        </is>
      </c>
      <c r="B3896" s="2" t="inlineStr">
        <is>
          <t>Uttar Pradesh</t>
        </is>
      </c>
      <c r="C3896" s="2" t="inlineStr">
        <is>
          <t>Lucknow</t>
        </is>
      </c>
      <c r="D3896" s="2" t="inlineStr">
        <is>
          <t>North</t>
        </is>
      </c>
    </row>
    <row r="3897">
      <c r="A3897" s="2" t="inlineStr">
        <is>
          <t>C0756</t>
        </is>
      </c>
      <c r="B3897" s="2" t="inlineStr">
        <is>
          <t>West Bengal</t>
        </is>
      </c>
      <c r="C3897" s="2" t="inlineStr">
        <is>
          <t>Durgapur</t>
        </is>
      </c>
      <c r="D3897" s="2" t="inlineStr">
        <is>
          <t>East</t>
        </is>
      </c>
    </row>
    <row r="3898">
      <c r="A3898" s="2" t="inlineStr">
        <is>
          <t>C0757</t>
        </is>
      </c>
      <c r="B3898" s="2" t="inlineStr">
        <is>
          <t>Kerala</t>
        </is>
      </c>
      <c r="C3898" s="2" t="inlineStr">
        <is>
          <t>Thiruvananthapuram</t>
        </is>
      </c>
      <c r="D3898" s="2" t="inlineStr">
        <is>
          <t>South</t>
        </is>
      </c>
    </row>
    <row r="3899">
      <c r="A3899" s="2" t="inlineStr">
        <is>
          <t>C0757</t>
        </is>
      </c>
      <c r="B3899" s="2" t="inlineStr">
        <is>
          <t>Kerala</t>
        </is>
      </c>
      <c r="C3899" s="2" t="inlineStr">
        <is>
          <t>Kochi</t>
        </is>
      </c>
      <c r="D3899" s="2" t="inlineStr">
        <is>
          <t>South</t>
        </is>
      </c>
    </row>
    <row r="3900">
      <c r="A3900" s="2" t="inlineStr">
        <is>
          <t>C0757</t>
        </is>
      </c>
      <c r="B3900" s="2" t="inlineStr">
        <is>
          <t>Gujarat</t>
        </is>
      </c>
      <c r="C3900" s="2" t="inlineStr">
        <is>
          <t>Vadodara</t>
        </is>
      </c>
      <c r="D3900" s="2" t="inlineStr">
        <is>
          <t>West</t>
        </is>
      </c>
    </row>
    <row r="3901">
      <c r="A3901" s="2" t="inlineStr">
        <is>
          <t>C0757</t>
        </is>
      </c>
      <c r="B3901" s="2" t="inlineStr">
        <is>
          <t>West Bengal</t>
        </is>
      </c>
      <c r="C3901" s="2" t="inlineStr">
        <is>
          <t>Durgapur</t>
        </is>
      </c>
      <c r="D3901" s="2" t="inlineStr">
        <is>
          <t>East</t>
        </is>
      </c>
    </row>
    <row r="3902">
      <c r="A3902" s="2" t="inlineStr">
        <is>
          <t>C0757</t>
        </is>
      </c>
      <c r="B3902" s="2" t="inlineStr">
        <is>
          <t>Karnataka</t>
        </is>
      </c>
      <c r="C3902" s="2" t="inlineStr">
        <is>
          <t>Mangaluru</t>
        </is>
      </c>
      <c r="D3902" s="2" t="inlineStr">
        <is>
          <t>South</t>
        </is>
      </c>
    </row>
    <row r="3903">
      <c r="A3903" s="2" t="inlineStr">
        <is>
          <t>C0757</t>
        </is>
      </c>
      <c r="B3903" s="2" t="inlineStr">
        <is>
          <t>Odisha</t>
        </is>
      </c>
      <c r="C3903" s="2" t="inlineStr">
        <is>
          <t>Bhubaneswar</t>
        </is>
      </c>
      <c r="D3903" s="2" t="inlineStr">
        <is>
          <t>East</t>
        </is>
      </c>
    </row>
    <row r="3904">
      <c r="A3904" s="2" t="inlineStr">
        <is>
          <t>C0758</t>
        </is>
      </c>
      <c r="B3904" s="2" t="inlineStr">
        <is>
          <t>Goa</t>
        </is>
      </c>
      <c r="C3904" s="2" t="inlineStr">
        <is>
          <t>Panaji</t>
        </is>
      </c>
      <c r="D3904" s="2" t="inlineStr">
        <is>
          <t>West</t>
        </is>
      </c>
    </row>
    <row r="3905">
      <c r="A3905" s="2" t="inlineStr">
        <is>
          <t>C0758</t>
        </is>
      </c>
      <c r="B3905" s="2" t="inlineStr">
        <is>
          <t>West Bengal</t>
        </is>
      </c>
      <c r="C3905" s="2" t="inlineStr">
        <is>
          <t>Durgapur</t>
        </is>
      </c>
      <c r="D3905" s="2" t="inlineStr">
        <is>
          <t>East</t>
        </is>
      </c>
    </row>
    <row r="3906">
      <c r="A3906" s="2" t="inlineStr">
        <is>
          <t>C0758</t>
        </is>
      </c>
      <c r="B3906" s="2" t="inlineStr">
        <is>
          <t>Tamil Nadu</t>
        </is>
      </c>
      <c r="C3906" s="2" t="inlineStr">
        <is>
          <t>Chennai</t>
        </is>
      </c>
      <c r="D3906" s="2" t="inlineStr">
        <is>
          <t>South</t>
        </is>
      </c>
    </row>
    <row r="3907">
      <c r="A3907" s="2" t="inlineStr">
        <is>
          <t>C0758</t>
        </is>
      </c>
      <c r="B3907" s="2" t="inlineStr">
        <is>
          <t>Odisha</t>
        </is>
      </c>
      <c r="C3907" s="2" t="inlineStr">
        <is>
          <t>Bhubaneswar</t>
        </is>
      </c>
      <c r="D3907" s="2" t="inlineStr">
        <is>
          <t>East</t>
        </is>
      </c>
    </row>
    <row r="3908">
      <c r="A3908" s="2" t="inlineStr">
        <is>
          <t>C0758</t>
        </is>
      </c>
      <c r="B3908" s="2" t="inlineStr">
        <is>
          <t>Goa</t>
        </is>
      </c>
      <c r="C3908" s="2" t="inlineStr">
        <is>
          <t>Margao</t>
        </is>
      </c>
      <c r="D3908" s="2" t="inlineStr">
        <is>
          <t>West</t>
        </is>
      </c>
    </row>
    <row r="3909">
      <c r="A3909" s="2" t="inlineStr">
        <is>
          <t>C0758</t>
        </is>
      </c>
      <c r="B3909" s="2" t="inlineStr">
        <is>
          <t>Gujarat</t>
        </is>
      </c>
      <c r="C3909" s="2" t="inlineStr">
        <is>
          <t>Ahmedabad</t>
        </is>
      </c>
      <c r="D3909" s="2" t="inlineStr">
        <is>
          <t>West</t>
        </is>
      </c>
    </row>
    <row r="3910">
      <c r="A3910" s="2" t="inlineStr">
        <is>
          <t>C0758</t>
        </is>
      </c>
      <c r="B3910" s="2" t="inlineStr">
        <is>
          <t>Delhi</t>
        </is>
      </c>
      <c r="C3910" s="2" t="inlineStr">
        <is>
          <t>New Delhi</t>
        </is>
      </c>
      <c r="D3910" s="2" t="inlineStr">
        <is>
          <t>North</t>
        </is>
      </c>
    </row>
    <row r="3911">
      <c r="A3911" s="2" t="inlineStr">
        <is>
          <t>C0758</t>
        </is>
      </c>
      <c r="B3911" s="2" t="inlineStr">
        <is>
          <t>Gujarat</t>
        </is>
      </c>
      <c r="C3911" s="2" t="inlineStr">
        <is>
          <t>Vadodara</t>
        </is>
      </c>
      <c r="D3911" s="2" t="inlineStr">
        <is>
          <t>West</t>
        </is>
      </c>
    </row>
    <row r="3912">
      <c r="A3912" s="2" t="inlineStr">
        <is>
          <t>C0758</t>
        </is>
      </c>
      <c r="B3912" s="2" t="inlineStr">
        <is>
          <t>Bihar</t>
        </is>
      </c>
      <c r="C3912" s="2" t="inlineStr">
        <is>
          <t>Gaya</t>
        </is>
      </c>
      <c r="D3912" s="2" t="inlineStr">
        <is>
          <t>East</t>
        </is>
      </c>
    </row>
    <row r="3913">
      <c r="A3913" s="2" t="inlineStr">
        <is>
          <t>C0761</t>
        </is>
      </c>
      <c r="B3913" s="2" t="inlineStr">
        <is>
          <t>Gujarat</t>
        </is>
      </c>
      <c r="C3913" s="2" t="inlineStr">
        <is>
          <t>Ahmedabad</t>
        </is>
      </c>
      <c r="D3913" s="2" t="inlineStr">
        <is>
          <t>West</t>
        </is>
      </c>
    </row>
    <row r="3914">
      <c r="A3914" s="2" t="inlineStr">
        <is>
          <t>C0761</t>
        </is>
      </c>
      <c r="B3914" s="2" t="inlineStr">
        <is>
          <t>Uttar Pradesh</t>
        </is>
      </c>
      <c r="C3914" s="2" t="inlineStr">
        <is>
          <t>Noida</t>
        </is>
      </c>
      <c r="D3914" s="2" t="inlineStr">
        <is>
          <t>North</t>
        </is>
      </c>
    </row>
    <row r="3915">
      <c r="A3915" s="2" t="inlineStr">
        <is>
          <t>C0761</t>
        </is>
      </c>
      <c r="B3915" s="2" t="inlineStr">
        <is>
          <t>Telangana</t>
        </is>
      </c>
      <c r="C3915" s="2" t="inlineStr">
        <is>
          <t>Hyderabad</t>
        </is>
      </c>
      <c r="D3915" s="2" t="inlineStr">
        <is>
          <t>South</t>
        </is>
      </c>
    </row>
    <row r="3916">
      <c r="A3916" s="2" t="inlineStr">
        <is>
          <t>C0761</t>
        </is>
      </c>
      <c r="B3916" s="2" t="inlineStr">
        <is>
          <t>Uttar Pradesh</t>
        </is>
      </c>
      <c r="C3916" s="2" t="inlineStr">
        <is>
          <t>Lucknow</t>
        </is>
      </c>
      <c r="D3916" s="2" t="inlineStr">
        <is>
          <t>North</t>
        </is>
      </c>
    </row>
    <row r="3917">
      <c r="A3917" s="2" t="inlineStr">
        <is>
          <t>C0761</t>
        </is>
      </c>
      <c r="B3917" s="2" t="inlineStr">
        <is>
          <t>Karnataka</t>
        </is>
      </c>
      <c r="C3917" s="2" t="inlineStr">
        <is>
          <t>Bengaluru</t>
        </is>
      </c>
      <c r="D3917" s="2" t="inlineStr">
        <is>
          <t>South</t>
        </is>
      </c>
    </row>
    <row r="3918">
      <c r="A3918" s="2" t="inlineStr">
        <is>
          <t>C0761</t>
        </is>
      </c>
      <c r="B3918" s="2" t="inlineStr">
        <is>
          <t>Goa</t>
        </is>
      </c>
      <c r="C3918" s="2" t="inlineStr">
        <is>
          <t>Margao</t>
        </is>
      </c>
      <c r="D3918" s="2" t="inlineStr">
        <is>
          <t>West</t>
        </is>
      </c>
    </row>
    <row r="3919">
      <c r="A3919" s="2" t="inlineStr">
        <is>
          <t>C0762</t>
        </is>
      </c>
      <c r="B3919" s="2" t="inlineStr">
        <is>
          <t>Goa</t>
        </is>
      </c>
      <c r="C3919" s="2" t="inlineStr">
        <is>
          <t>Margao</t>
        </is>
      </c>
      <c r="D3919" s="2" t="inlineStr">
        <is>
          <t>West</t>
        </is>
      </c>
    </row>
    <row r="3920">
      <c r="A3920" s="2" t="inlineStr">
        <is>
          <t>C0762</t>
        </is>
      </c>
      <c r="B3920" s="2" t="inlineStr">
        <is>
          <t>Odisha</t>
        </is>
      </c>
      <c r="C3920" s="2" t="inlineStr">
        <is>
          <t>Bhubaneswar</t>
        </is>
      </c>
      <c r="D3920" s="2" t="inlineStr">
        <is>
          <t>East</t>
        </is>
      </c>
    </row>
    <row r="3921">
      <c r="A3921" s="2" t="inlineStr">
        <is>
          <t>C0762</t>
        </is>
      </c>
      <c r="B3921" s="2" t="inlineStr">
        <is>
          <t>Gujarat</t>
        </is>
      </c>
      <c r="C3921" s="2" t="inlineStr">
        <is>
          <t>Vadodara</t>
        </is>
      </c>
      <c r="D3921" s="2" t="inlineStr">
        <is>
          <t>West</t>
        </is>
      </c>
    </row>
    <row r="3922">
      <c r="A3922" s="2" t="inlineStr">
        <is>
          <t>C0763</t>
        </is>
      </c>
      <c r="B3922" s="2" t="inlineStr">
        <is>
          <t>Odisha</t>
        </is>
      </c>
      <c r="C3922" s="2" t="inlineStr">
        <is>
          <t>Cuttack</t>
        </is>
      </c>
      <c r="D3922" s="2" t="inlineStr">
        <is>
          <t>East</t>
        </is>
      </c>
    </row>
    <row r="3923">
      <c r="A3923" s="2" t="inlineStr">
        <is>
          <t>C0763</t>
        </is>
      </c>
      <c r="B3923" s="2" t="inlineStr">
        <is>
          <t>Gujarat</t>
        </is>
      </c>
      <c r="C3923" s="2" t="inlineStr">
        <is>
          <t>Ahmedabad</t>
        </is>
      </c>
      <c r="D3923" s="2" t="inlineStr">
        <is>
          <t>West</t>
        </is>
      </c>
    </row>
    <row r="3924">
      <c r="A3924" s="2" t="inlineStr">
        <is>
          <t>C0764</t>
        </is>
      </c>
      <c r="B3924" s="2" t="inlineStr">
        <is>
          <t>Odisha</t>
        </is>
      </c>
      <c r="C3924" s="2" t="inlineStr">
        <is>
          <t>Cuttack</t>
        </is>
      </c>
      <c r="D3924" s="2" t="inlineStr">
        <is>
          <t>East</t>
        </is>
      </c>
    </row>
    <row r="3925">
      <c r="A3925" s="2" t="inlineStr">
        <is>
          <t>C0764</t>
        </is>
      </c>
      <c r="B3925" s="2" t="inlineStr">
        <is>
          <t>Gujarat</t>
        </is>
      </c>
      <c r="C3925" s="2" t="inlineStr">
        <is>
          <t>Vadodara</t>
        </is>
      </c>
      <c r="D3925" s="2" t="inlineStr">
        <is>
          <t>West</t>
        </is>
      </c>
    </row>
    <row r="3926">
      <c r="A3926" s="2" t="inlineStr">
        <is>
          <t>C0764</t>
        </is>
      </c>
      <c r="B3926" s="2" t="inlineStr">
        <is>
          <t>Goa</t>
        </is>
      </c>
      <c r="C3926" s="2" t="inlineStr">
        <is>
          <t>Margao</t>
        </is>
      </c>
      <c r="D3926" s="2" t="inlineStr">
        <is>
          <t>West</t>
        </is>
      </c>
    </row>
    <row r="3927">
      <c r="A3927" s="2" t="inlineStr">
        <is>
          <t>C0764</t>
        </is>
      </c>
      <c r="B3927" s="2" t="inlineStr">
        <is>
          <t>Uttar Pradesh</t>
        </is>
      </c>
      <c r="C3927" s="2" t="inlineStr">
        <is>
          <t>Varanasi</t>
        </is>
      </c>
      <c r="D3927" s="2" t="inlineStr">
        <is>
          <t>North</t>
        </is>
      </c>
    </row>
    <row r="3928">
      <c r="A3928" s="2" t="inlineStr">
        <is>
          <t>C0764</t>
        </is>
      </c>
      <c r="B3928" s="2" t="inlineStr">
        <is>
          <t>West Bengal</t>
        </is>
      </c>
      <c r="C3928" s="2" t="inlineStr">
        <is>
          <t>Durgapur</t>
        </is>
      </c>
      <c r="D3928" s="2" t="inlineStr">
        <is>
          <t>East</t>
        </is>
      </c>
    </row>
    <row r="3929">
      <c r="A3929" s="2" t="inlineStr">
        <is>
          <t>C0765</t>
        </is>
      </c>
      <c r="B3929" s="2" t="inlineStr">
        <is>
          <t>Goa</t>
        </is>
      </c>
      <c r="C3929" s="2" t="inlineStr">
        <is>
          <t>Panaji</t>
        </is>
      </c>
      <c r="D3929" s="2" t="inlineStr">
        <is>
          <t>West</t>
        </is>
      </c>
    </row>
    <row r="3930">
      <c r="A3930" s="2" t="inlineStr">
        <is>
          <t>C0765</t>
        </is>
      </c>
      <c r="B3930" s="2" t="inlineStr">
        <is>
          <t>Punjab</t>
        </is>
      </c>
      <c r="C3930" s="2" t="inlineStr">
        <is>
          <t>Ludhiana</t>
        </is>
      </c>
      <c r="D3930" s="2" t="inlineStr">
        <is>
          <t>North</t>
        </is>
      </c>
    </row>
    <row r="3931">
      <c r="A3931" s="2" t="inlineStr">
        <is>
          <t>C0765</t>
        </is>
      </c>
      <c r="B3931" s="2" t="inlineStr">
        <is>
          <t>Tamil Nadu</t>
        </is>
      </c>
      <c r="C3931" s="2" t="inlineStr">
        <is>
          <t>Chennai</t>
        </is>
      </c>
      <c r="D3931" s="2" t="inlineStr">
        <is>
          <t>South</t>
        </is>
      </c>
    </row>
    <row r="3932">
      <c r="A3932" s="2" t="inlineStr">
        <is>
          <t>C0765</t>
        </is>
      </c>
      <c r="B3932" s="2" t="inlineStr">
        <is>
          <t>Maharashtra</t>
        </is>
      </c>
      <c r="C3932" s="2" t="inlineStr">
        <is>
          <t>Thane</t>
        </is>
      </c>
      <c r="D3932" s="2" t="inlineStr">
        <is>
          <t>West</t>
        </is>
      </c>
    </row>
    <row r="3933">
      <c r="A3933" s="2" t="inlineStr">
        <is>
          <t>C0765</t>
        </is>
      </c>
      <c r="B3933" s="2" t="inlineStr">
        <is>
          <t>West Bengal</t>
        </is>
      </c>
      <c r="C3933" s="2" t="inlineStr">
        <is>
          <t>Durgapur</t>
        </is>
      </c>
      <c r="D3933" s="2" t="inlineStr">
        <is>
          <t>East</t>
        </is>
      </c>
    </row>
    <row r="3934">
      <c r="A3934" s="2" t="inlineStr">
        <is>
          <t>C0765</t>
        </is>
      </c>
      <c r="B3934" s="2" t="inlineStr">
        <is>
          <t>Telangana</t>
        </is>
      </c>
      <c r="C3934" s="2" t="inlineStr">
        <is>
          <t>Warangal</t>
        </is>
      </c>
      <c r="D3934" s="2" t="inlineStr">
        <is>
          <t>South</t>
        </is>
      </c>
    </row>
    <row r="3935">
      <c r="A3935" s="2" t="inlineStr">
        <is>
          <t>C0765</t>
        </is>
      </c>
      <c r="B3935" s="2" t="inlineStr">
        <is>
          <t>Uttar Pradesh</t>
        </is>
      </c>
      <c r="C3935" s="2" t="inlineStr">
        <is>
          <t>Noida</t>
        </is>
      </c>
      <c r="D3935" s="2" t="inlineStr">
        <is>
          <t>North</t>
        </is>
      </c>
    </row>
    <row r="3936">
      <c r="A3936" s="2" t="inlineStr">
        <is>
          <t>C0765</t>
        </is>
      </c>
      <c r="B3936" s="2" t="inlineStr">
        <is>
          <t>Maharashtra</t>
        </is>
      </c>
      <c r="C3936" s="2" t="inlineStr">
        <is>
          <t>Nashik</t>
        </is>
      </c>
      <c r="D3936" s="2" t="inlineStr">
        <is>
          <t>West</t>
        </is>
      </c>
    </row>
    <row r="3937">
      <c r="A3937" s="2" t="inlineStr">
        <is>
          <t>C0765</t>
        </is>
      </c>
      <c r="B3937" s="2" t="inlineStr">
        <is>
          <t>Goa</t>
        </is>
      </c>
      <c r="C3937" s="2" t="inlineStr">
        <is>
          <t>Margao</t>
        </is>
      </c>
      <c r="D3937" s="2" t="inlineStr">
        <is>
          <t>West</t>
        </is>
      </c>
    </row>
    <row r="3938">
      <c r="A3938" s="2" t="inlineStr">
        <is>
          <t>C0765</t>
        </is>
      </c>
      <c r="B3938" s="2" t="inlineStr">
        <is>
          <t>Haryana</t>
        </is>
      </c>
      <c r="C3938" s="2" t="inlineStr">
        <is>
          <t>Gurugram</t>
        </is>
      </c>
      <c r="D3938" s="2" t="inlineStr">
        <is>
          <t>North</t>
        </is>
      </c>
    </row>
    <row r="3939">
      <c r="A3939" s="2" t="inlineStr">
        <is>
          <t>C0765</t>
        </is>
      </c>
      <c r="B3939" s="2" t="inlineStr">
        <is>
          <t>West Bengal</t>
        </is>
      </c>
      <c r="C3939" s="2" t="inlineStr">
        <is>
          <t>Kolkata</t>
        </is>
      </c>
      <c r="D3939" s="2" t="inlineStr">
        <is>
          <t>East</t>
        </is>
      </c>
    </row>
    <row r="3940">
      <c r="A3940" s="2" t="inlineStr">
        <is>
          <t>C0766</t>
        </is>
      </c>
      <c r="B3940" s="2" t="inlineStr">
        <is>
          <t>Bihar</t>
        </is>
      </c>
      <c r="C3940" s="2" t="inlineStr">
        <is>
          <t>Gaya</t>
        </is>
      </c>
      <c r="D3940" s="2" t="inlineStr">
        <is>
          <t>East</t>
        </is>
      </c>
    </row>
    <row r="3941">
      <c r="A3941" s="2" t="inlineStr">
        <is>
          <t>C0766</t>
        </is>
      </c>
      <c r="B3941" s="2" t="inlineStr">
        <is>
          <t>Tamil Nadu</t>
        </is>
      </c>
      <c r="C3941" s="2" t="inlineStr">
        <is>
          <t>Madurai</t>
        </is>
      </c>
      <c r="D3941" s="2" t="inlineStr">
        <is>
          <t>South</t>
        </is>
      </c>
    </row>
    <row r="3942">
      <c r="A3942" s="2" t="inlineStr">
        <is>
          <t>C0766</t>
        </is>
      </c>
      <c r="B3942" s="2" t="inlineStr">
        <is>
          <t>Gujarat</t>
        </is>
      </c>
      <c r="C3942" s="2" t="inlineStr">
        <is>
          <t>Vadodara</t>
        </is>
      </c>
      <c r="D3942" s="2" t="inlineStr">
        <is>
          <t>West</t>
        </is>
      </c>
    </row>
    <row r="3943">
      <c r="A3943" s="2" t="inlineStr">
        <is>
          <t>C0766</t>
        </is>
      </c>
      <c r="B3943" s="2" t="inlineStr">
        <is>
          <t>Punjab</t>
        </is>
      </c>
      <c r="C3943" s="2" t="inlineStr">
        <is>
          <t>Ludhiana</t>
        </is>
      </c>
      <c r="D3943" s="2" t="inlineStr">
        <is>
          <t>North</t>
        </is>
      </c>
    </row>
    <row r="3944">
      <c r="A3944" s="2" t="inlineStr">
        <is>
          <t>C0766</t>
        </is>
      </c>
      <c r="B3944" s="2" t="inlineStr">
        <is>
          <t>Tamil Nadu</t>
        </is>
      </c>
      <c r="C3944" s="2" t="inlineStr">
        <is>
          <t>Chennai</t>
        </is>
      </c>
      <c r="D3944" s="2" t="inlineStr">
        <is>
          <t>South</t>
        </is>
      </c>
    </row>
    <row r="3945">
      <c r="A3945" s="2" t="inlineStr">
        <is>
          <t>C0766</t>
        </is>
      </c>
      <c r="B3945" s="2" t="inlineStr">
        <is>
          <t>Telangana</t>
        </is>
      </c>
      <c r="C3945" s="2" t="inlineStr">
        <is>
          <t>Warangal</t>
        </is>
      </c>
      <c r="D3945" s="2" t="inlineStr">
        <is>
          <t>South</t>
        </is>
      </c>
    </row>
    <row r="3946">
      <c r="A3946" s="2" t="inlineStr">
        <is>
          <t>C0766</t>
        </is>
      </c>
      <c r="B3946" s="2" t="inlineStr">
        <is>
          <t>Maharashtra</t>
        </is>
      </c>
      <c r="C3946" s="2" t="inlineStr">
        <is>
          <t>Nagpur</t>
        </is>
      </c>
      <c r="D3946" s="2" t="inlineStr">
        <is>
          <t>West</t>
        </is>
      </c>
    </row>
    <row r="3947">
      <c r="A3947" s="2" t="inlineStr">
        <is>
          <t>C0766</t>
        </is>
      </c>
      <c r="B3947" s="2" t="inlineStr">
        <is>
          <t>Gujarat</t>
        </is>
      </c>
      <c r="C3947" s="2" t="inlineStr">
        <is>
          <t>Ahmedabad</t>
        </is>
      </c>
      <c r="D3947" s="2" t="inlineStr">
        <is>
          <t>West</t>
        </is>
      </c>
    </row>
    <row r="3948">
      <c r="A3948" s="2" t="inlineStr">
        <is>
          <t>C0766</t>
        </is>
      </c>
      <c r="B3948" s="2" t="inlineStr">
        <is>
          <t>Kerala</t>
        </is>
      </c>
      <c r="C3948" s="2" t="inlineStr">
        <is>
          <t>Kochi</t>
        </is>
      </c>
      <c r="D3948" s="2" t="inlineStr">
        <is>
          <t>South</t>
        </is>
      </c>
    </row>
    <row r="3949">
      <c r="A3949" s="2" t="inlineStr">
        <is>
          <t>C0766</t>
        </is>
      </c>
      <c r="B3949" s="2" t="inlineStr">
        <is>
          <t>Delhi</t>
        </is>
      </c>
      <c r="C3949" s="2" t="inlineStr">
        <is>
          <t>New Delhi</t>
        </is>
      </c>
      <c r="D3949" s="2" t="inlineStr">
        <is>
          <t>North</t>
        </is>
      </c>
    </row>
    <row r="3950">
      <c r="A3950" s="2" t="inlineStr">
        <is>
          <t>C0766</t>
        </is>
      </c>
      <c r="B3950" s="2" t="inlineStr">
        <is>
          <t>Haryana</t>
        </is>
      </c>
      <c r="C3950" s="2" t="inlineStr">
        <is>
          <t>Gurugram</t>
        </is>
      </c>
      <c r="D3950" s="2" t="inlineStr">
        <is>
          <t>North</t>
        </is>
      </c>
    </row>
    <row r="3951">
      <c r="A3951" s="2" t="inlineStr">
        <is>
          <t>C0766</t>
        </is>
      </c>
      <c r="B3951" s="2" t="inlineStr">
        <is>
          <t>Goa</t>
        </is>
      </c>
      <c r="C3951" s="2" t="inlineStr">
        <is>
          <t>Margao</t>
        </is>
      </c>
      <c r="D3951" s="2" t="inlineStr">
        <is>
          <t>West</t>
        </is>
      </c>
    </row>
    <row r="3952">
      <c r="A3952" s="2" t="inlineStr">
        <is>
          <t>C0766</t>
        </is>
      </c>
      <c r="B3952" s="2" t="inlineStr">
        <is>
          <t>Karnataka</t>
        </is>
      </c>
      <c r="C3952" s="2" t="inlineStr">
        <is>
          <t>Mangaluru</t>
        </is>
      </c>
      <c r="D3952" s="2" t="inlineStr">
        <is>
          <t>South</t>
        </is>
      </c>
    </row>
    <row r="3953">
      <c r="A3953" s="2" t="inlineStr">
        <is>
          <t>C0767</t>
        </is>
      </c>
      <c r="B3953" s="2" t="inlineStr">
        <is>
          <t>Odisha</t>
        </is>
      </c>
      <c r="C3953" s="2" t="inlineStr">
        <is>
          <t>Bhubaneswar</t>
        </is>
      </c>
      <c r="D3953" s="2" t="inlineStr">
        <is>
          <t>East</t>
        </is>
      </c>
    </row>
    <row r="3954">
      <c r="A3954" s="2" t="inlineStr">
        <is>
          <t>C0767</t>
        </is>
      </c>
      <c r="B3954" s="2" t="inlineStr">
        <is>
          <t>Karnataka</t>
        </is>
      </c>
      <c r="C3954" s="2" t="inlineStr">
        <is>
          <t>Mangaluru</t>
        </is>
      </c>
      <c r="D3954" s="2" t="inlineStr">
        <is>
          <t>South</t>
        </is>
      </c>
    </row>
    <row r="3955">
      <c r="A3955" s="2" t="inlineStr">
        <is>
          <t>C0767</t>
        </is>
      </c>
      <c r="B3955" s="2" t="inlineStr">
        <is>
          <t>Bihar</t>
        </is>
      </c>
      <c r="C3955" s="2" t="inlineStr">
        <is>
          <t>Patna</t>
        </is>
      </c>
      <c r="D3955" s="2" t="inlineStr">
        <is>
          <t>East</t>
        </is>
      </c>
    </row>
    <row r="3956">
      <c r="A3956" s="2" t="inlineStr">
        <is>
          <t>C0767</t>
        </is>
      </c>
      <c r="B3956" s="2" t="inlineStr">
        <is>
          <t>Uttar Pradesh</t>
        </is>
      </c>
      <c r="C3956" s="2" t="inlineStr">
        <is>
          <t>Noida</t>
        </is>
      </c>
      <c r="D3956" s="2" t="inlineStr">
        <is>
          <t>North</t>
        </is>
      </c>
    </row>
    <row r="3957">
      <c r="A3957" s="2" t="inlineStr">
        <is>
          <t>C0768</t>
        </is>
      </c>
      <c r="B3957" s="2" t="inlineStr">
        <is>
          <t>Goa</t>
        </is>
      </c>
      <c r="C3957" s="2" t="inlineStr">
        <is>
          <t>Panaji</t>
        </is>
      </c>
      <c r="D3957" s="2" t="inlineStr">
        <is>
          <t>West</t>
        </is>
      </c>
    </row>
    <row r="3958">
      <c r="A3958" s="2" t="inlineStr">
        <is>
          <t>C0768</t>
        </is>
      </c>
      <c r="B3958" s="2" t="inlineStr">
        <is>
          <t>Maharashtra</t>
        </is>
      </c>
      <c r="C3958" s="2" t="inlineStr">
        <is>
          <t>Mumbai</t>
        </is>
      </c>
      <c r="D3958" s="2" t="inlineStr">
        <is>
          <t>West</t>
        </is>
      </c>
    </row>
    <row r="3959">
      <c r="A3959" s="2" t="inlineStr">
        <is>
          <t>C0768</t>
        </is>
      </c>
      <c r="B3959" s="2" t="inlineStr">
        <is>
          <t>Delhi</t>
        </is>
      </c>
      <c r="C3959" s="2" t="inlineStr">
        <is>
          <t>New Delhi</t>
        </is>
      </c>
      <c r="D3959" s="2" t="inlineStr">
        <is>
          <t>North</t>
        </is>
      </c>
    </row>
    <row r="3960">
      <c r="A3960" s="2" t="inlineStr">
        <is>
          <t>C0768</t>
        </is>
      </c>
      <c r="B3960" s="2" t="inlineStr">
        <is>
          <t>Gujarat</t>
        </is>
      </c>
      <c r="C3960" s="2" t="inlineStr">
        <is>
          <t>Vadodara</t>
        </is>
      </c>
      <c r="D3960" s="2" t="inlineStr">
        <is>
          <t>West</t>
        </is>
      </c>
    </row>
    <row r="3961">
      <c r="A3961" s="2" t="inlineStr">
        <is>
          <t>C0768</t>
        </is>
      </c>
      <c r="B3961" s="2" t="inlineStr">
        <is>
          <t>Punjab</t>
        </is>
      </c>
      <c r="C3961" s="2" t="inlineStr">
        <is>
          <t>Ludhiana</t>
        </is>
      </c>
      <c r="D3961" s="2" t="inlineStr">
        <is>
          <t>North</t>
        </is>
      </c>
    </row>
    <row r="3962">
      <c r="A3962" s="2" t="inlineStr">
        <is>
          <t>C0768</t>
        </is>
      </c>
      <c r="B3962" s="2" t="inlineStr">
        <is>
          <t>Kerala</t>
        </is>
      </c>
      <c r="C3962" s="2" t="inlineStr">
        <is>
          <t>Thiruvananthapuram</t>
        </is>
      </c>
      <c r="D3962" s="2" t="inlineStr">
        <is>
          <t>South</t>
        </is>
      </c>
    </row>
    <row r="3963">
      <c r="A3963" s="2" t="inlineStr">
        <is>
          <t>C0768</t>
        </is>
      </c>
      <c r="B3963" s="2" t="inlineStr">
        <is>
          <t>West Bengal</t>
        </is>
      </c>
      <c r="C3963" s="2" t="inlineStr">
        <is>
          <t>Kolkata</t>
        </is>
      </c>
      <c r="D3963" s="2" t="inlineStr">
        <is>
          <t>East</t>
        </is>
      </c>
    </row>
    <row r="3964">
      <c r="A3964" s="2" t="inlineStr">
        <is>
          <t>C0768</t>
        </is>
      </c>
      <c r="B3964" s="2" t="inlineStr">
        <is>
          <t>Haryana</t>
        </is>
      </c>
      <c r="C3964" s="2" t="inlineStr">
        <is>
          <t>Gurugram</t>
        </is>
      </c>
      <c r="D3964" s="2" t="inlineStr">
        <is>
          <t>North</t>
        </is>
      </c>
    </row>
    <row r="3965">
      <c r="A3965" s="2" t="inlineStr">
        <is>
          <t>C0769</t>
        </is>
      </c>
      <c r="B3965" s="2" t="inlineStr">
        <is>
          <t>Gujarat</t>
        </is>
      </c>
      <c r="C3965" s="2" t="inlineStr">
        <is>
          <t>Vadodara</t>
        </is>
      </c>
      <c r="D3965" s="2" t="inlineStr">
        <is>
          <t>West</t>
        </is>
      </c>
    </row>
    <row r="3966">
      <c r="A3966" s="2" t="inlineStr">
        <is>
          <t>C0769</t>
        </is>
      </c>
      <c r="B3966" s="2" t="inlineStr">
        <is>
          <t>Gujarat</t>
        </is>
      </c>
      <c r="C3966" s="2" t="inlineStr">
        <is>
          <t>Surat</t>
        </is>
      </c>
      <c r="D3966" s="2" t="inlineStr">
        <is>
          <t>West</t>
        </is>
      </c>
    </row>
    <row r="3967">
      <c r="A3967" s="2" t="inlineStr">
        <is>
          <t>C0769</t>
        </is>
      </c>
      <c r="B3967" s="2" t="inlineStr">
        <is>
          <t>Maharashtra</t>
        </is>
      </c>
      <c r="C3967" s="2" t="inlineStr">
        <is>
          <t>Pune</t>
        </is>
      </c>
      <c r="D3967" s="2" t="inlineStr">
        <is>
          <t>West</t>
        </is>
      </c>
    </row>
    <row r="3968">
      <c r="A3968" s="2" t="inlineStr">
        <is>
          <t>C0769</t>
        </is>
      </c>
      <c r="B3968" s="2" t="inlineStr">
        <is>
          <t>Kerala</t>
        </is>
      </c>
      <c r="C3968" s="2" t="inlineStr">
        <is>
          <t>Thiruvananthapuram</t>
        </is>
      </c>
      <c r="D3968" s="2" t="inlineStr">
        <is>
          <t>South</t>
        </is>
      </c>
    </row>
    <row r="3969">
      <c r="A3969" s="2" t="inlineStr">
        <is>
          <t>C0769</t>
        </is>
      </c>
      <c r="B3969" s="2" t="inlineStr">
        <is>
          <t>Telangana</t>
        </is>
      </c>
      <c r="C3969" s="2" t="inlineStr">
        <is>
          <t>Warangal</t>
        </is>
      </c>
      <c r="D3969" s="2" t="inlineStr">
        <is>
          <t>South</t>
        </is>
      </c>
    </row>
    <row r="3970">
      <c r="A3970" s="2" t="inlineStr">
        <is>
          <t>C0769</t>
        </is>
      </c>
      <c r="B3970" s="2" t="inlineStr">
        <is>
          <t>Bihar</t>
        </is>
      </c>
      <c r="C3970" s="2" t="inlineStr">
        <is>
          <t>Gaya</t>
        </is>
      </c>
      <c r="D3970" s="2" t="inlineStr">
        <is>
          <t>East</t>
        </is>
      </c>
    </row>
    <row r="3971">
      <c r="A3971" s="2" t="inlineStr">
        <is>
          <t>C0769</t>
        </is>
      </c>
      <c r="B3971" s="2" t="inlineStr">
        <is>
          <t>Punjab</t>
        </is>
      </c>
      <c r="C3971" s="2" t="inlineStr">
        <is>
          <t>Amritsar</t>
        </is>
      </c>
      <c r="D3971" s="2" t="inlineStr">
        <is>
          <t>North</t>
        </is>
      </c>
    </row>
    <row r="3972">
      <c r="A3972" s="2" t="inlineStr">
        <is>
          <t>C0769</t>
        </is>
      </c>
      <c r="B3972" s="2" t="inlineStr">
        <is>
          <t>Telangana</t>
        </is>
      </c>
      <c r="C3972" s="2" t="inlineStr">
        <is>
          <t>Hyderabad</t>
        </is>
      </c>
      <c r="D3972" s="2" t="inlineStr">
        <is>
          <t>South</t>
        </is>
      </c>
    </row>
    <row r="3973">
      <c r="A3973" s="2" t="inlineStr">
        <is>
          <t>C0769</t>
        </is>
      </c>
      <c r="B3973" s="2" t="inlineStr">
        <is>
          <t>Odisha</t>
        </is>
      </c>
      <c r="C3973" s="2" t="inlineStr">
        <is>
          <t>Bhubaneswar</t>
        </is>
      </c>
      <c r="D3973" s="2" t="inlineStr">
        <is>
          <t>East</t>
        </is>
      </c>
    </row>
    <row r="3974">
      <c r="A3974" s="2" t="inlineStr">
        <is>
          <t>C0769</t>
        </is>
      </c>
      <c r="B3974" s="2" t="inlineStr">
        <is>
          <t>Delhi</t>
        </is>
      </c>
      <c r="C3974" s="2" t="inlineStr">
        <is>
          <t>New Delhi</t>
        </is>
      </c>
      <c r="D3974" s="2" t="inlineStr">
        <is>
          <t>North</t>
        </is>
      </c>
    </row>
    <row r="3975">
      <c r="A3975" s="2" t="inlineStr">
        <is>
          <t>C0769</t>
        </is>
      </c>
      <c r="B3975" s="2" t="inlineStr">
        <is>
          <t>Goa</t>
        </is>
      </c>
      <c r="C3975" s="2" t="inlineStr">
        <is>
          <t>Panaji</t>
        </is>
      </c>
      <c r="D3975" s="2" t="inlineStr">
        <is>
          <t>West</t>
        </is>
      </c>
    </row>
    <row r="3976">
      <c r="A3976" s="2" t="inlineStr">
        <is>
          <t>C0770</t>
        </is>
      </c>
      <c r="B3976" s="2" t="inlineStr">
        <is>
          <t>Bihar</t>
        </is>
      </c>
      <c r="C3976" s="2" t="inlineStr">
        <is>
          <t>Patna</t>
        </is>
      </c>
      <c r="D3976" s="2" t="inlineStr">
        <is>
          <t>East</t>
        </is>
      </c>
    </row>
    <row r="3977">
      <c r="A3977" s="2" t="inlineStr">
        <is>
          <t>C0771</t>
        </is>
      </c>
      <c r="B3977" s="2" t="inlineStr">
        <is>
          <t>Punjab</t>
        </is>
      </c>
      <c r="C3977" s="2" t="inlineStr">
        <is>
          <t>Jalandhar</t>
        </is>
      </c>
      <c r="D3977" s="2" t="inlineStr">
        <is>
          <t>North</t>
        </is>
      </c>
    </row>
    <row r="3978">
      <c r="A3978" s="2" t="inlineStr">
        <is>
          <t>C0771</t>
        </is>
      </c>
      <c r="B3978" s="2" t="inlineStr">
        <is>
          <t>Maharashtra</t>
        </is>
      </c>
      <c r="C3978" s="2" t="inlineStr">
        <is>
          <t>Thane</t>
        </is>
      </c>
      <c r="D3978" s="2" t="inlineStr">
        <is>
          <t>West</t>
        </is>
      </c>
    </row>
    <row r="3979">
      <c r="A3979" s="2" t="inlineStr">
        <is>
          <t>C0771</t>
        </is>
      </c>
      <c r="B3979" s="2" t="inlineStr">
        <is>
          <t>Karnataka</t>
        </is>
      </c>
      <c r="C3979" s="2" t="inlineStr">
        <is>
          <t>Bengaluru</t>
        </is>
      </c>
      <c r="D3979" s="2" t="inlineStr">
        <is>
          <t>South</t>
        </is>
      </c>
    </row>
    <row r="3980">
      <c r="A3980" s="2" t="inlineStr">
        <is>
          <t>C0771</t>
        </is>
      </c>
      <c r="B3980" s="2" t="inlineStr">
        <is>
          <t>Odisha</t>
        </is>
      </c>
      <c r="C3980" s="2" t="inlineStr">
        <is>
          <t>Cuttack</t>
        </is>
      </c>
      <c r="D3980" s="2" t="inlineStr">
        <is>
          <t>East</t>
        </is>
      </c>
    </row>
    <row r="3981">
      <c r="A3981" s="2" t="inlineStr">
        <is>
          <t>C0771</t>
        </is>
      </c>
      <c r="B3981" s="2" t="inlineStr">
        <is>
          <t>Maharashtra</t>
        </is>
      </c>
      <c r="C3981" s="2" t="inlineStr">
        <is>
          <t>Nashik</t>
        </is>
      </c>
      <c r="D3981" s="2" t="inlineStr">
        <is>
          <t>West</t>
        </is>
      </c>
    </row>
    <row r="3982">
      <c r="A3982" s="2" t="inlineStr">
        <is>
          <t>C0771</t>
        </is>
      </c>
      <c r="B3982" s="2" t="inlineStr">
        <is>
          <t>Telangana</t>
        </is>
      </c>
      <c r="C3982" s="2" t="inlineStr">
        <is>
          <t>Warangal</t>
        </is>
      </c>
      <c r="D3982" s="2" t="inlineStr">
        <is>
          <t>South</t>
        </is>
      </c>
    </row>
    <row r="3983">
      <c r="A3983" s="2" t="inlineStr">
        <is>
          <t>C0771</t>
        </is>
      </c>
      <c r="B3983" s="2" t="inlineStr">
        <is>
          <t>Haryana</t>
        </is>
      </c>
      <c r="C3983" s="2" t="inlineStr">
        <is>
          <t>Faridabad</t>
        </is>
      </c>
      <c r="D3983" s="2" t="inlineStr">
        <is>
          <t>North</t>
        </is>
      </c>
    </row>
    <row r="3984">
      <c r="A3984" s="2" t="inlineStr">
        <is>
          <t>C0771</t>
        </is>
      </c>
      <c r="B3984" s="2" t="inlineStr">
        <is>
          <t>Karnataka</t>
        </is>
      </c>
      <c r="C3984" s="2" t="inlineStr">
        <is>
          <t>Mysuru</t>
        </is>
      </c>
      <c r="D3984" s="2" t="inlineStr">
        <is>
          <t>South</t>
        </is>
      </c>
    </row>
    <row r="3985">
      <c r="A3985" s="2" t="inlineStr">
        <is>
          <t>C0771</t>
        </is>
      </c>
      <c r="B3985" s="2" t="inlineStr">
        <is>
          <t>Goa</t>
        </is>
      </c>
      <c r="C3985" s="2" t="inlineStr">
        <is>
          <t>Margao</t>
        </is>
      </c>
      <c r="D3985" s="2" t="inlineStr">
        <is>
          <t>West</t>
        </is>
      </c>
    </row>
    <row r="3986">
      <c r="A3986" s="2" t="inlineStr">
        <is>
          <t>C0771</t>
        </is>
      </c>
      <c r="B3986" s="2" t="inlineStr">
        <is>
          <t>Punjab</t>
        </is>
      </c>
      <c r="C3986" s="2" t="inlineStr">
        <is>
          <t>Ludhiana</t>
        </is>
      </c>
      <c r="D3986" s="2" t="inlineStr">
        <is>
          <t>North</t>
        </is>
      </c>
    </row>
    <row r="3987">
      <c r="A3987" s="2" t="inlineStr">
        <is>
          <t>C0771</t>
        </is>
      </c>
      <c r="B3987" s="2" t="inlineStr">
        <is>
          <t>Tamil Nadu</t>
        </is>
      </c>
      <c r="C3987" s="2" t="inlineStr">
        <is>
          <t>Coimbatore</t>
        </is>
      </c>
      <c r="D3987" s="2" t="inlineStr">
        <is>
          <t>South</t>
        </is>
      </c>
    </row>
    <row r="3988">
      <c r="A3988" s="2" t="inlineStr">
        <is>
          <t>C0771</t>
        </is>
      </c>
      <c r="B3988" s="2" t="inlineStr">
        <is>
          <t>Gujarat</t>
        </is>
      </c>
      <c r="C3988" s="2" t="inlineStr">
        <is>
          <t>Surat</t>
        </is>
      </c>
      <c r="D3988" s="2" t="inlineStr">
        <is>
          <t>West</t>
        </is>
      </c>
    </row>
    <row r="3989">
      <c r="A3989" s="2" t="inlineStr">
        <is>
          <t>C0772</t>
        </is>
      </c>
      <c r="B3989" s="2" t="inlineStr">
        <is>
          <t>Bihar</t>
        </is>
      </c>
      <c r="C3989" s="2" t="inlineStr">
        <is>
          <t>Patna</t>
        </is>
      </c>
      <c r="D3989" s="2" t="inlineStr">
        <is>
          <t>East</t>
        </is>
      </c>
    </row>
    <row r="3990">
      <c r="A3990" s="2" t="inlineStr">
        <is>
          <t>C0772</t>
        </is>
      </c>
      <c r="B3990" s="2" t="inlineStr">
        <is>
          <t>Telangana</t>
        </is>
      </c>
      <c r="C3990" s="2" t="inlineStr">
        <is>
          <t>Hyderabad</t>
        </is>
      </c>
      <c r="D3990" s="2" t="inlineStr">
        <is>
          <t>South</t>
        </is>
      </c>
    </row>
    <row r="3991">
      <c r="A3991" s="2" t="inlineStr">
        <is>
          <t>C0772</t>
        </is>
      </c>
      <c r="B3991" s="2" t="inlineStr">
        <is>
          <t>Telangana</t>
        </is>
      </c>
      <c r="C3991" s="2" t="inlineStr">
        <is>
          <t>Warangal</t>
        </is>
      </c>
      <c r="D3991" s="2" t="inlineStr">
        <is>
          <t>South</t>
        </is>
      </c>
    </row>
    <row r="3992">
      <c r="A3992" s="2" t="inlineStr">
        <is>
          <t>C0772</t>
        </is>
      </c>
      <c r="B3992" s="2" t="inlineStr">
        <is>
          <t>Punjab</t>
        </is>
      </c>
      <c r="C3992" s="2" t="inlineStr">
        <is>
          <t>Amritsar</t>
        </is>
      </c>
      <c r="D3992" s="2" t="inlineStr">
        <is>
          <t>North</t>
        </is>
      </c>
    </row>
    <row r="3993">
      <c r="A3993" s="2" t="inlineStr">
        <is>
          <t>C0773</t>
        </is>
      </c>
      <c r="B3993" s="2" t="inlineStr">
        <is>
          <t>Odisha</t>
        </is>
      </c>
      <c r="C3993" s="2" t="inlineStr">
        <is>
          <t>Cuttack</t>
        </is>
      </c>
      <c r="D3993" s="2" t="inlineStr">
        <is>
          <t>East</t>
        </is>
      </c>
    </row>
    <row r="3994">
      <c r="A3994" s="2" t="inlineStr">
        <is>
          <t>C0773</t>
        </is>
      </c>
      <c r="B3994" s="2" t="inlineStr">
        <is>
          <t>Maharashtra</t>
        </is>
      </c>
      <c r="C3994" s="2" t="inlineStr">
        <is>
          <t>Nashik</t>
        </is>
      </c>
      <c r="D3994" s="2" t="inlineStr">
        <is>
          <t>West</t>
        </is>
      </c>
    </row>
    <row r="3995">
      <c r="A3995" s="2" t="inlineStr">
        <is>
          <t>C0773</t>
        </is>
      </c>
      <c r="B3995" s="2" t="inlineStr">
        <is>
          <t>Gujarat</t>
        </is>
      </c>
      <c r="C3995" s="2" t="inlineStr">
        <is>
          <t>Ahmedabad</t>
        </is>
      </c>
      <c r="D3995" s="2" t="inlineStr">
        <is>
          <t>West</t>
        </is>
      </c>
    </row>
    <row r="3996">
      <c r="A3996" s="2" t="inlineStr">
        <is>
          <t>C0773</t>
        </is>
      </c>
      <c r="B3996" s="2" t="inlineStr">
        <is>
          <t>Maharashtra</t>
        </is>
      </c>
      <c r="C3996" s="2" t="inlineStr">
        <is>
          <t>Thane</t>
        </is>
      </c>
      <c r="D3996" s="2" t="inlineStr">
        <is>
          <t>West</t>
        </is>
      </c>
    </row>
    <row r="3997">
      <c r="A3997" s="2" t="inlineStr">
        <is>
          <t>C0773</t>
        </is>
      </c>
      <c r="B3997" s="2" t="inlineStr">
        <is>
          <t>Bihar</t>
        </is>
      </c>
      <c r="C3997" s="2" t="inlineStr">
        <is>
          <t>Gaya</t>
        </is>
      </c>
      <c r="D3997" s="2" t="inlineStr">
        <is>
          <t>East</t>
        </is>
      </c>
    </row>
    <row r="3998">
      <c r="A3998" s="2" t="inlineStr">
        <is>
          <t>C0774</t>
        </is>
      </c>
      <c r="B3998" s="2" t="inlineStr">
        <is>
          <t>Odisha</t>
        </is>
      </c>
      <c r="C3998" s="2" t="inlineStr">
        <is>
          <t>Bhubaneswar</t>
        </is>
      </c>
      <c r="D3998" s="2" t="inlineStr">
        <is>
          <t>East</t>
        </is>
      </c>
    </row>
    <row r="3999">
      <c r="A3999" s="2" t="inlineStr">
        <is>
          <t>C0774</t>
        </is>
      </c>
      <c r="B3999" s="2" t="inlineStr">
        <is>
          <t>Telangana</t>
        </is>
      </c>
      <c r="C3999" s="2" t="inlineStr">
        <is>
          <t>Warangal</t>
        </is>
      </c>
      <c r="D3999" s="2" t="inlineStr">
        <is>
          <t>South</t>
        </is>
      </c>
    </row>
    <row r="4000">
      <c r="A4000" s="2" t="inlineStr">
        <is>
          <t>C0774</t>
        </is>
      </c>
      <c r="B4000" s="2" t="inlineStr">
        <is>
          <t>Kerala</t>
        </is>
      </c>
      <c r="C4000" s="2" t="inlineStr">
        <is>
          <t>Thiruvananthapuram</t>
        </is>
      </c>
      <c r="D4000" s="2" t="inlineStr">
        <is>
          <t>South</t>
        </is>
      </c>
    </row>
    <row r="4001">
      <c r="A4001" s="2" t="inlineStr">
        <is>
          <t>C0774</t>
        </is>
      </c>
      <c r="B4001" s="2" t="inlineStr">
        <is>
          <t>Gujarat</t>
        </is>
      </c>
      <c r="C4001" s="2" t="inlineStr">
        <is>
          <t>Surat</t>
        </is>
      </c>
      <c r="D4001" s="2" t="inlineStr">
        <is>
          <t>West</t>
        </is>
      </c>
    </row>
    <row r="4002">
      <c r="A4002" s="2" t="inlineStr">
        <is>
          <t>C0774</t>
        </is>
      </c>
      <c r="B4002" s="2" t="inlineStr">
        <is>
          <t>West Bengal</t>
        </is>
      </c>
      <c r="C4002" s="2" t="inlineStr">
        <is>
          <t>Durgapur</t>
        </is>
      </c>
      <c r="D4002" s="2" t="inlineStr">
        <is>
          <t>East</t>
        </is>
      </c>
    </row>
    <row r="4003">
      <c r="A4003" s="2" t="inlineStr">
        <is>
          <t>C0775</t>
        </is>
      </c>
      <c r="B4003" s="2" t="inlineStr">
        <is>
          <t>Kerala</t>
        </is>
      </c>
      <c r="C4003" s="2" t="inlineStr">
        <is>
          <t>Kochi</t>
        </is>
      </c>
      <c r="D4003" s="2" t="inlineStr">
        <is>
          <t>South</t>
        </is>
      </c>
    </row>
    <row r="4004">
      <c r="A4004" s="2" t="inlineStr">
        <is>
          <t>C0775</t>
        </is>
      </c>
      <c r="B4004" s="2" t="inlineStr">
        <is>
          <t>Telangana</t>
        </is>
      </c>
      <c r="C4004" s="2" t="inlineStr">
        <is>
          <t>Warangal</t>
        </is>
      </c>
      <c r="D4004" s="2" t="inlineStr">
        <is>
          <t>South</t>
        </is>
      </c>
    </row>
    <row r="4005">
      <c r="A4005" s="2" t="inlineStr">
        <is>
          <t>C0775</t>
        </is>
      </c>
      <c r="B4005" s="2" t="inlineStr">
        <is>
          <t>Delhi</t>
        </is>
      </c>
      <c r="C4005" s="2" t="inlineStr">
        <is>
          <t>New Delhi</t>
        </is>
      </c>
      <c r="D4005" s="2" t="inlineStr">
        <is>
          <t>North</t>
        </is>
      </c>
    </row>
    <row r="4006">
      <c r="A4006" s="2" t="inlineStr">
        <is>
          <t>C0775</t>
        </is>
      </c>
      <c r="B4006" s="2" t="inlineStr">
        <is>
          <t>Gujarat</t>
        </is>
      </c>
      <c r="C4006" s="2" t="inlineStr">
        <is>
          <t>Vadodara</t>
        </is>
      </c>
      <c r="D4006" s="2" t="inlineStr">
        <is>
          <t>West</t>
        </is>
      </c>
    </row>
    <row r="4007">
      <c r="A4007" s="2" t="inlineStr">
        <is>
          <t>C0775</t>
        </is>
      </c>
      <c r="B4007" s="2" t="inlineStr">
        <is>
          <t>Telangana</t>
        </is>
      </c>
      <c r="C4007" s="2" t="inlineStr">
        <is>
          <t>Hyderabad</t>
        </is>
      </c>
      <c r="D4007" s="2" t="inlineStr">
        <is>
          <t>South</t>
        </is>
      </c>
    </row>
    <row r="4008">
      <c r="A4008" s="2" t="inlineStr">
        <is>
          <t>C0775</t>
        </is>
      </c>
      <c r="B4008" s="2" t="inlineStr">
        <is>
          <t>West Bengal</t>
        </is>
      </c>
      <c r="C4008" s="2" t="inlineStr">
        <is>
          <t>Durgapur</t>
        </is>
      </c>
      <c r="D4008" s="2" t="inlineStr">
        <is>
          <t>East</t>
        </is>
      </c>
    </row>
    <row r="4009">
      <c r="A4009" s="2" t="inlineStr">
        <is>
          <t>C0775</t>
        </is>
      </c>
      <c r="B4009" s="2" t="inlineStr">
        <is>
          <t>Tamil Nadu</t>
        </is>
      </c>
      <c r="C4009" s="2" t="inlineStr">
        <is>
          <t>Chennai</t>
        </is>
      </c>
      <c r="D4009" s="2" t="inlineStr">
        <is>
          <t>South</t>
        </is>
      </c>
    </row>
    <row r="4010">
      <c r="A4010" s="2" t="inlineStr">
        <is>
          <t>C0775</t>
        </is>
      </c>
      <c r="B4010" s="2" t="inlineStr">
        <is>
          <t>Kerala</t>
        </is>
      </c>
      <c r="C4010" s="2" t="inlineStr">
        <is>
          <t>Thiruvananthapuram</t>
        </is>
      </c>
      <c r="D4010" s="2" t="inlineStr">
        <is>
          <t>South</t>
        </is>
      </c>
    </row>
    <row r="4011">
      <c r="A4011" s="2" t="inlineStr">
        <is>
          <t>C0775</t>
        </is>
      </c>
      <c r="B4011" s="2" t="inlineStr">
        <is>
          <t>Punjab</t>
        </is>
      </c>
      <c r="C4011" s="2" t="inlineStr">
        <is>
          <t>Amritsar</t>
        </is>
      </c>
      <c r="D4011" s="2" t="inlineStr">
        <is>
          <t>North</t>
        </is>
      </c>
    </row>
    <row r="4012">
      <c r="A4012" s="2" t="inlineStr">
        <is>
          <t>C0775</t>
        </is>
      </c>
      <c r="B4012" s="2" t="inlineStr">
        <is>
          <t>Goa</t>
        </is>
      </c>
      <c r="C4012" s="2" t="inlineStr">
        <is>
          <t>Margao</t>
        </is>
      </c>
      <c r="D4012" s="2" t="inlineStr">
        <is>
          <t>West</t>
        </is>
      </c>
    </row>
    <row r="4013">
      <c r="A4013" s="2" t="inlineStr">
        <is>
          <t>C0775</t>
        </is>
      </c>
      <c r="B4013" s="2" t="inlineStr">
        <is>
          <t>Tamil Nadu</t>
        </is>
      </c>
      <c r="C4013" s="2" t="inlineStr">
        <is>
          <t>Madurai</t>
        </is>
      </c>
      <c r="D4013" s="2" t="inlineStr">
        <is>
          <t>South</t>
        </is>
      </c>
    </row>
    <row r="4014">
      <c r="A4014" s="2" t="inlineStr">
        <is>
          <t>C0775</t>
        </is>
      </c>
      <c r="B4014" s="2" t="inlineStr">
        <is>
          <t>Haryana</t>
        </is>
      </c>
      <c r="C4014" s="2" t="inlineStr">
        <is>
          <t>Faridabad</t>
        </is>
      </c>
      <c r="D4014" s="2" t="inlineStr">
        <is>
          <t>North</t>
        </is>
      </c>
    </row>
    <row r="4015">
      <c r="A4015" s="2" t="inlineStr">
        <is>
          <t>C0776</t>
        </is>
      </c>
      <c r="B4015" s="2" t="inlineStr">
        <is>
          <t>Maharashtra</t>
        </is>
      </c>
      <c r="C4015" s="2" t="inlineStr">
        <is>
          <t>Nagpur</t>
        </is>
      </c>
      <c r="D4015" s="2" t="inlineStr">
        <is>
          <t>West</t>
        </is>
      </c>
    </row>
    <row r="4016">
      <c r="A4016" s="2" t="inlineStr">
        <is>
          <t>C0776</t>
        </is>
      </c>
      <c r="B4016" s="2" t="inlineStr">
        <is>
          <t>Maharashtra</t>
        </is>
      </c>
      <c r="C4016" s="2" t="inlineStr">
        <is>
          <t>Mumbai</t>
        </is>
      </c>
      <c r="D4016" s="2" t="inlineStr">
        <is>
          <t>West</t>
        </is>
      </c>
    </row>
    <row r="4017">
      <c r="A4017" s="2" t="inlineStr">
        <is>
          <t>C0776</t>
        </is>
      </c>
      <c r="B4017" s="2" t="inlineStr">
        <is>
          <t>Gujarat</t>
        </is>
      </c>
      <c r="C4017" s="2" t="inlineStr">
        <is>
          <t>Vadodara</t>
        </is>
      </c>
      <c r="D4017" s="2" t="inlineStr">
        <is>
          <t>West</t>
        </is>
      </c>
    </row>
    <row r="4018">
      <c r="A4018" s="2" t="inlineStr">
        <is>
          <t>C0776</t>
        </is>
      </c>
      <c r="B4018" s="2" t="inlineStr">
        <is>
          <t>Tamil Nadu</t>
        </is>
      </c>
      <c r="C4018" s="2" t="inlineStr">
        <is>
          <t>Madurai</t>
        </is>
      </c>
      <c r="D4018" s="2" t="inlineStr">
        <is>
          <t>South</t>
        </is>
      </c>
    </row>
    <row r="4019">
      <c r="A4019" s="2" t="inlineStr">
        <is>
          <t>C0776</t>
        </is>
      </c>
      <c r="B4019" s="2" t="inlineStr">
        <is>
          <t>Telangana</t>
        </is>
      </c>
      <c r="C4019" s="2" t="inlineStr">
        <is>
          <t>Hyderabad</t>
        </is>
      </c>
      <c r="D4019" s="2" t="inlineStr">
        <is>
          <t>South</t>
        </is>
      </c>
    </row>
    <row r="4020">
      <c r="A4020" s="2" t="inlineStr">
        <is>
          <t>C0776</t>
        </is>
      </c>
      <c r="B4020" s="2" t="inlineStr">
        <is>
          <t>Odisha</t>
        </is>
      </c>
      <c r="C4020" s="2" t="inlineStr">
        <is>
          <t>Bhubaneswar</t>
        </is>
      </c>
      <c r="D4020" s="2" t="inlineStr">
        <is>
          <t>East</t>
        </is>
      </c>
    </row>
    <row r="4021">
      <c r="A4021" s="2" t="inlineStr">
        <is>
          <t>C0776</t>
        </is>
      </c>
      <c r="B4021" s="2" t="inlineStr">
        <is>
          <t>Tamil Nadu</t>
        </is>
      </c>
      <c r="C4021" s="2" t="inlineStr">
        <is>
          <t>Chennai</t>
        </is>
      </c>
      <c r="D4021" s="2" t="inlineStr">
        <is>
          <t>South</t>
        </is>
      </c>
    </row>
    <row r="4022">
      <c r="A4022" s="2" t="inlineStr">
        <is>
          <t>C0777</t>
        </is>
      </c>
      <c r="B4022" s="2" t="inlineStr">
        <is>
          <t>Gujarat</t>
        </is>
      </c>
      <c r="C4022" s="2" t="inlineStr">
        <is>
          <t>Vadodara</t>
        </is>
      </c>
      <c r="D4022" s="2" t="inlineStr">
        <is>
          <t>West</t>
        </is>
      </c>
    </row>
    <row r="4023">
      <c r="A4023" s="2" t="inlineStr">
        <is>
          <t>C0777</t>
        </is>
      </c>
      <c r="B4023" s="2" t="inlineStr">
        <is>
          <t>Tamil Nadu</t>
        </is>
      </c>
      <c r="C4023" s="2" t="inlineStr">
        <is>
          <t>Chennai</t>
        </is>
      </c>
      <c r="D4023" s="2" t="inlineStr">
        <is>
          <t>South</t>
        </is>
      </c>
    </row>
    <row r="4024">
      <c r="A4024" s="2" t="inlineStr">
        <is>
          <t>C0778</t>
        </is>
      </c>
      <c r="B4024" s="2" t="inlineStr">
        <is>
          <t>Uttar Pradesh</t>
        </is>
      </c>
      <c r="C4024" s="2" t="inlineStr">
        <is>
          <t>Noida</t>
        </is>
      </c>
      <c r="D4024" s="2" t="inlineStr">
        <is>
          <t>North</t>
        </is>
      </c>
    </row>
    <row r="4025">
      <c r="A4025" s="2" t="inlineStr">
        <is>
          <t>C0778</t>
        </is>
      </c>
      <c r="B4025" s="2" t="inlineStr">
        <is>
          <t>Tamil Nadu</t>
        </is>
      </c>
      <c r="C4025" s="2" t="inlineStr">
        <is>
          <t>Coimbatore</t>
        </is>
      </c>
      <c r="D4025" s="2" t="inlineStr">
        <is>
          <t>South</t>
        </is>
      </c>
    </row>
    <row r="4026">
      <c r="A4026" s="2" t="inlineStr">
        <is>
          <t>C0778</t>
        </is>
      </c>
      <c r="B4026" s="2" t="inlineStr">
        <is>
          <t>Kerala</t>
        </is>
      </c>
      <c r="C4026" s="2" t="inlineStr">
        <is>
          <t>Kochi</t>
        </is>
      </c>
      <c r="D4026" s="2" t="inlineStr">
        <is>
          <t>South</t>
        </is>
      </c>
    </row>
    <row r="4027">
      <c r="A4027" s="2" t="inlineStr">
        <is>
          <t>C0778</t>
        </is>
      </c>
      <c r="B4027" s="2" t="inlineStr">
        <is>
          <t>Goa</t>
        </is>
      </c>
      <c r="C4027" s="2" t="inlineStr">
        <is>
          <t>Panaji</t>
        </is>
      </c>
      <c r="D4027" s="2" t="inlineStr">
        <is>
          <t>West</t>
        </is>
      </c>
    </row>
    <row r="4028">
      <c r="A4028" s="2" t="inlineStr">
        <is>
          <t>C0778</t>
        </is>
      </c>
      <c r="B4028" s="2" t="inlineStr">
        <is>
          <t>Goa</t>
        </is>
      </c>
      <c r="C4028" s="2" t="inlineStr">
        <is>
          <t>Margao</t>
        </is>
      </c>
      <c r="D4028" s="2" t="inlineStr">
        <is>
          <t>West</t>
        </is>
      </c>
    </row>
    <row r="4029">
      <c r="A4029" s="2" t="inlineStr">
        <is>
          <t>C0778</t>
        </is>
      </c>
      <c r="B4029" s="2" t="inlineStr">
        <is>
          <t>Gujarat</t>
        </is>
      </c>
      <c r="C4029" s="2" t="inlineStr">
        <is>
          <t>Ahmedabad</t>
        </is>
      </c>
      <c r="D4029" s="2" t="inlineStr">
        <is>
          <t>West</t>
        </is>
      </c>
    </row>
    <row r="4030">
      <c r="A4030" s="2" t="inlineStr">
        <is>
          <t>C0778</t>
        </is>
      </c>
      <c r="B4030" s="2" t="inlineStr">
        <is>
          <t>Gujarat</t>
        </is>
      </c>
      <c r="C4030" s="2" t="inlineStr">
        <is>
          <t>Vadodara</t>
        </is>
      </c>
      <c r="D4030" s="2" t="inlineStr">
        <is>
          <t>West</t>
        </is>
      </c>
    </row>
    <row r="4031">
      <c r="A4031" s="2" t="inlineStr">
        <is>
          <t>C0778</t>
        </is>
      </c>
      <c r="B4031" s="2" t="inlineStr">
        <is>
          <t>Kerala</t>
        </is>
      </c>
      <c r="C4031" s="2" t="inlineStr">
        <is>
          <t>Thiruvananthapuram</t>
        </is>
      </c>
      <c r="D4031" s="2" t="inlineStr">
        <is>
          <t>South</t>
        </is>
      </c>
    </row>
    <row r="4032">
      <c r="A4032" s="2" t="inlineStr">
        <is>
          <t>C0778</t>
        </is>
      </c>
      <c r="B4032" s="2" t="inlineStr">
        <is>
          <t>Punjab</t>
        </is>
      </c>
      <c r="C4032" s="2" t="inlineStr">
        <is>
          <t>Jalandhar</t>
        </is>
      </c>
      <c r="D4032" s="2" t="inlineStr">
        <is>
          <t>North</t>
        </is>
      </c>
    </row>
    <row r="4033">
      <c r="A4033" s="2" t="inlineStr">
        <is>
          <t>C0778</t>
        </is>
      </c>
      <c r="B4033" s="2" t="inlineStr">
        <is>
          <t>Uttar Pradesh</t>
        </is>
      </c>
      <c r="C4033" s="2" t="inlineStr">
        <is>
          <t>Kanpur</t>
        </is>
      </c>
      <c r="D4033" s="2" t="inlineStr">
        <is>
          <t>North</t>
        </is>
      </c>
    </row>
    <row r="4034">
      <c r="A4034" s="2" t="inlineStr">
        <is>
          <t>C0778</t>
        </is>
      </c>
      <c r="B4034" s="2" t="inlineStr">
        <is>
          <t>West Bengal</t>
        </is>
      </c>
      <c r="C4034" s="2" t="inlineStr">
        <is>
          <t>Durgapur</t>
        </is>
      </c>
      <c r="D4034" s="2" t="inlineStr">
        <is>
          <t>East</t>
        </is>
      </c>
    </row>
    <row r="4035">
      <c r="A4035" s="2" t="inlineStr">
        <is>
          <t>C0778</t>
        </is>
      </c>
      <c r="B4035" s="2" t="inlineStr">
        <is>
          <t>Karnataka</t>
        </is>
      </c>
      <c r="C4035" s="2" t="inlineStr">
        <is>
          <t>Bengaluru</t>
        </is>
      </c>
      <c r="D4035" s="2" t="inlineStr">
        <is>
          <t>South</t>
        </is>
      </c>
    </row>
    <row r="4036">
      <c r="A4036" s="2" t="inlineStr">
        <is>
          <t>C0778</t>
        </is>
      </c>
      <c r="B4036" s="2" t="inlineStr">
        <is>
          <t>Delhi</t>
        </is>
      </c>
      <c r="C4036" s="2" t="inlineStr">
        <is>
          <t>New Delhi</t>
        </is>
      </c>
      <c r="D4036" s="2" t="inlineStr">
        <is>
          <t>North</t>
        </is>
      </c>
    </row>
    <row r="4037">
      <c r="A4037" s="2" t="inlineStr">
        <is>
          <t>C0778</t>
        </is>
      </c>
      <c r="B4037" s="2" t="inlineStr">
        <is>
          <t>Bihar</t>
        </is>
      </c>
      <c r="C4037" s="2" t="inlineStr">
        <is>
          <t>Gaya</t>
        </is>
      </c>
      <c r="D4037" s="2" t="inlineStr">
        <is>
          <t>East</t>
        </is>
      </c>
    </row>
    <row r="4038">
      <c r="A4038" s="2" t="inlineStr">
        <is>
          <t>C0778</t>
        </is>
      </c>
      <c r="B4038" s="2" t="inlineStr">
        <is>
          <t>Punjab</t>
        </is>
      </c>
      <c r="C4038" s="2" t="inlineStr">
        <is>
          <t>Amritsar</t>
        </is>
      </c>
      <c r="D4038" s="2" t="inlineStr">
        <is>
          <t>North</t>
        </is>
      </c>
    </row>
    <row r="4039">
      <c r="A4039" s="2" t="inlineStr">
        <is>
          <t>C0779</t>
        </is>
      </c>
      <c r="B4039" s="2" t="inlineStr">
        <is>
          <t>Gujarat</t>
        </is>
      </c>
      <c r="C4039" s="2" t="inlineStr">
        <is>
          <t>Surat</t>
        </is>
      </c>
      <c r="D4039" s="2" t="inlineStr">
        <is>
          <t>West</t>
        </is>
      </c>
    </row>
    <row r="4040">
      <c r="A4040" s="2" t="inlineStr">
        <is>
          <t>C0780</t>
        </is>
      </c>
      <c r="B4040" s="2" t="inlineStr">
        <is>
          <t>Gujarat</t>
        </is>
      </c>
      <c r="C4040" s="2" t="inlineStr">
        <is>
          <t>Ahmedabad</t>
        </is>
      </c>
      <c r="D4040" s="2" t="inlineStr">
        <is>
          <t>West</t>
        </is>
      </c>
    </row>
    <row r="4041">
      <c r="A4041" s="2" t="inlineStr">
        <is>
          <t>C0780</t>
        </is>
      </c>
      <c r="B4041" s="2" t="inlineStr">
        <is>
          <t>Tamil Nadu</t>
        </is>
      </c>
      <c r="C4041" s="2" t="inlineStr">
        <is>
          <t>Chennai</t>
        </is>
      </c>
      <c r="D4041" s="2" t="inlineStr">
        <is>
          <t>South</t>
        </is>
      </c>
    </row>
    <row r="4042">
      <c r="A4042" s="2" t="inlineStr">
        <is>
          <t>C0780</t>
        </is>
      </c>
      <c r="B4042" s="2" t="inlineStr">
        <is>
          <t>Kerala</t>
        </is>
      </c>
      <c r="C4042" s="2" t="inlineStr">
        <is>
          <t>Kochi</t>
        </is>
      </c>
      <c r="D4042" s="2" t="inlineStr">
        <is>
          <t>South</t>
        </is>
      </c>
    </row>
    <row r="4043">
      <c r="A4043" s="2" t="inlineStr">
        <is>
          <t>C0780</t>
        </is>
      </c>
      <c r="B4043" s="2" t="inlineStr">
        <is>
          <t>Goa</t>
        </is>
      </c>
      <c r="C4043" s="2" t="inlineStr">
        <is>
          <t>Panaji</t>
        </is>
      </c>
      <c r="D4043" s="2" t="inlineStr">
        <is>
          <t>West</t>
        </is>
      </c>
    </row>
    <row r="4044">
      <c r="A4044" s="2" t="inlineStr">
        <is>
          <t>C0780</t>
        </is>
      </c>
      <c r="B4044" s="2" t="inlineStr">
        <is>
          <t>Gujarat</t>
        </is>
      </c>
      <c r="C4044" s="2" t="inlineStr">
        <is>
          <t>Surat</t>
        </is>
      </c>
      <c r="D4044" s="2" t="inlineStr">
        <is>
          <t>West</t>
        </is>
      </c>
    </row>
    <row r="4045">
      <c r="A4045" s="2" t="inlineStr">
        <is>
          <t>C0780</t>
        </is>
      </c>
      <c r="B4045" s="2" t="inlineStr">
        <is>
          <t>Uttar Pradesh</t>
        </is>
      </c>
      <c r="C4045" s="2" t="inlineStr">
        <is>
          <t>Varanasi</t>
        </is>
      </c>
      <c r="D4045" s="2" t="inlineStr">
        <is>
          <t>North</t>
        </is>
      </c>
    </row>
    <row r="4046">
      <c r="A4046" s="2" t="inlineStr">
        <is>
          <t>C0780</t>
        </is>
      </c>
      <c r="B4046" s="2" t="inlineStr">
        <is>
          <t>Odisha</t>
        </is>
      </c>
      <c r="C4046" s="2" t="inlineStr">
        <is>
          <t>Cuttack</t>
        </is>
      </c>
      <c r="D4046" s="2" t="inlineStr">
        <is>
          <t>East</t>
        </is>
      </c>
    </row>
    <row r="4047">
      <c r="A4047" s="2" t="inlineStr">
        <is>
          <t>C0780</t>
        </is>
      </c>
      <c r="B4047" s="2" t="inlineStr">
        <is>
          <t>Delhi</t>
        </is>
      </c>
      <c r="C4047" s="2" t="inlineStr">
        <is>
          <t>New Delhi</t>
        </is>
      </c>
      <c r="D4047" s="2" t="inlineStr">
        <is>
          <t>North</t>
        </is>
      </c>
    </row>
    <row r="4048">
      <c r="A4048" s="2" t="inlineStr">
        <is>
          <t>C0780</t>
        </is>
      </c>
      <c r="B4048" s="2" t="inlineStr">
        <is>
          <t>Punjab</t>
        </is>
      </c>
      <c r="C4048" s="2" t="inlineStr">
        <is>
          <t>Jalandhar</t>
        </is>
      </c>
      <c r="D4048" s="2" t="inlineStr">
        <is>
          <t>North</t>
        </is>
      </c>
    </row>
    <row r="4049">
      <c r="A4049" s="2" t="inlineStr">
        <is>
          <t>C0780</t>
        </is>
      </c>
      <c r="B4049" s="2" t="inlineStr">
        <is>
          <t>Maharashtra</t>
        </is>
      </c>
      <c r="C4049" s="2" t="inlineStr">
        <is>
          <t>Nashik</t>
        </is>
      </c>
      <c r="D4049" s="2" t="inlineStr">
        <is>
          <t>West</t>
        </is>
      </c>
    </row>
    <row r="4050">
      <c r="A4050" s="2" t="inlineStr">
        <is>
          <t>C0780</t>
        </is>
      </c>
      <c r="B4050" s="2" t="inlineStr">
        <is>
          <t>Goa</t>
        </is>
      </c>
      <c r="C4050" s="2" t="inlineStr">
        <is>
          <t>Margao</t>
        </is>
      </c>
      <c r="D4050" s="2" t="inlineStr">
        <is>
          <t>West</t>
        </is>
      </c>
    </row>
    <row r="4051">
      <c r="A4051" s="2" t="inlineStr">
        <is>
          <t>C0781</t>
        </is>
      </c>
      <c r="B4051" s="2" t="inlineStr">
        <is>
          <t>Gujarat</t>
        </is>
      </c>
      <c r="C4051" s="2" t="inlineStr">
        <is>
          <t>Ahmedabad</t>
        </is>
      </c>
      <c r="D4051" s="2" t="inlineStr">
        <is>
          <t>West</t>
        </is>
      </c>
    </row>
    <row r="4052">
      <c r="A4052" s="2" t="inlineStr">
        <is>
          <t>C0782</t>
        </is>
      </c>
      <c r="B4052" s="2" t="inlineStr">
        <is>
          <t>Telangana</t>
        </is>
      </c>
      <c r="C4052" s="2" t="inlineStr">
        <is>
          <t>Warangal</t>
        </is>
      </c>
      <c r="D4052" s="2" t="inlineStr">
        <is>
          <t>South</t>
        </is>
      </c>
    </row>
    <row r="4053">
      <c r="A4053" s="2" t="inlineStr">
        <is>
          <t>C0782</t>
        </is>
      </c>
      <c r="B4053" s="2" t="inlineStr">
        <is>
          <t>Karnataka</t>
        </is>
      </c>
      <c r="C4053" s="2" t="inlineStr">
        <is>
          <t>Bengaluru</t>
        </is>
      </c>
      <c r="D4053" s="2" t="inlineStr">
        <is>
          <t>South</t>
        </is>
      </c>
    </row>
    <row r="4054">
      <c r="A4054" s="2" t="inlineStr">
        <is>
          <t>C0782</t>
        </is>
      </c>
      <c r="B4054" s="2" t="inlineStr">
        <is>
          <t>Uttar Pradesh</t>
        </is>
      </c>
      <c r="C4054" s="2" t="inlineStr">
        <is>
          <t>Kanpur</t>
        </is>
      </c>
      <c r="D4054" s="2" t="inlineStr">
        <is>
          <t>North</t>
        </is>
      </c>
    </row>
    <row r="4055">
      <c r="A4055" s="2" t="inlineStr">
        <is>
          <t>C0782</t>
        </is>
      </c>
      <c r="B4055" s="2" t="inlineStr">
        <is>
          <t>Gujarat</t>
        </is>
      </c>
      <c r="C4055" s="2" t="inlineStr">
        <is>
          <t>Surat</t>
        </is>
      </c>
      <c r="D4055" s="2" t="inlineStr">
        <is>
          <t>West</t>
        </is>
      </c>
    </row>
    <row r="4056">
      <c r="A4056" s="2" t="inlineStr">
        <is>
          <t>C0782</t>
        </is>
      </c>
      <c r="B4056" s="2" t="inlineStr">
        <is>
          <t>Telangana</t>
        </is>
      </c>
      <c r="C4056" s="2" t="inlineStr">
        <is>
          <t>Hyderabad</t>
        </is>
      </c>
      <c r="D4056" s="2" t="inlineStr">
        <is>
          <t>South</t>
        </is>
      </c>
    </row>
    <row r="4057">
      <c r="A4057" s="2" t="inlineStr">
        <is>
          <t>C0782</t>
        </is>
      </c>
      <c r="B4057" s="2" t="inlineStr">
        <is>
          <t>Kerala</t>
        </is>
      </c>
      <c r="C4057" s="2" t="inlineStr">
        <is>
          <t>Kochi</t>
        </is>
      </c>
      <c r="D4057" s="2" t="inlineStr">
        <is>
          <t>South</t>
        </is>
      </c>
    </row>
    <row r="4058">
      <c r="A4058" s="2" t="inlineStr">
        <is>
          <t>C0782</t>
        </is>
      </c>
      <c r="B4058" s="2" t="inlineStr">
        <is>
          <t>Bihar</t>
        </is>
      </c>
      <c r="C4058" s="2" t="inlineStr">
        <is>
          <t>Patna</t>
        </is>
      </c>
      <c r="D4058" s="2" t="inlineStr">
        <is>
          <t>East</t>
        </is>
      </c>
    </row>
    <row r="4059">
      <c r="A4059" s="2" t="inlineStr">
        <is>
          <t>C0782</t>
        </is>
      </c>
      <c r="B4059" s="2" t="inlineStr">
        <is>
          <t>Maharashtra</t>
        </is>
      </c>
      <c r="C4059" s="2" t="inlineStr">
        <is>
          <t>Nashik</t>
        </is>
      </c>
      <c r="D4059" s="2" t="inlineStr">
        <is>
          <t>West</t>
        </is>
      </c>
    </row>
    <row r="4060">
      <c r="A4060" s="2" t="inlineStr">
        <is>
          <t>C0782</t>
        </is>
      </c>
      <c r="B4060" s="2" t="inlineStr">
        <is>
          <t>Delhi</t>
        </is>
      </c>
      <c r="C4060" s="2" t="inlineStr">
        <is>
          <t>New Delhi</t>
        </is>
      </c>
      <c r="D4060" s="2" t="inlineStr">
        <is>
          <t>North</t>
        </is>
      </c>
    </row>
    <row r="4061">
      <c r="A4061" s="2" t="inlineStr">
        <is>
          <t>C0782</t>
        </is>
      </c>
      <c r="B4061" s="2" t="inlineStr">
        <is>
          <t>Odisha</t>
        </is>
      </c>
      <c r="C4061" s="2" t="inlineStr">
        <is>
          <t>Cuttack</t>
        </is>
      </c>
      <c r="D4061" s="2" t="inlineStr">
        <is>
          <t>East</t>
        </is>
      </c>
    </row>
    <row r="4062">
      <c r="A4062" s="2" t="inlineStr">
        <is>
          <t>C0782</t>
        </is>
      </c>
      <c r="B4062" s="2" t="inlineStr">
        <is>
          <t>Kerala</t>
        </is>
      </c>
      <c r="C4062" s="2" t="inlineStr">
        <is>
          <t>Thiruvananthapuram</t>
        </is>
      </c>
      <c r="D4062" s="2" t="inlineStr">
        <is>
          <t>South</t>
        </is>
      </c>
    </row>
    <row r="4063">
      <c r="A4063" s="2" t="inlineStr">
        <is>
          <t>C0783</t>
        </is>
      </c>
      <c r="B4063" s="2" t="inlineStr">
        <is>
          <t>Punjab</t>
        </is>
      </c>
      <c r="C4063" s="2" t="inlineStr">
        <is>
          <t>Ludhiana</t>
        </is>
      </c>
      <c r="D4063" s="2" t="inlineStr">
        <is>
          <t>North</t>
        </is>
      </c>
    </row>
    <row r="4064">
      <c r="A4064" s="2" t="inlineStr">
        <is>
          <t>C0783</t>
        </is>
      </c>
      <c r="B4064" s="2" t="inlineStr">
        <is>
          <t>Kerala</t>
        </is>
      </c>
      <c r="C4064" s="2" t="inlineStr">
        <is>
          <t>Thiruvananthapuram</t>
        </is>
      </c>
      <c r="D4064" s="2" t="inlineStr">
        <is>
          <t>South</t>
        </is>
      </c>
    </row>
    <row r="4065">
      <c r="A4065" s="2" t="inlineStr">
        <is>
          <t>C0783</t>
        </is>
      </c>
      <c r="B4065" s="2" t="inlineStr">
        <is>
          <t>Delhi</t>
        </is>
      </c>
      <c r="C4065" s="2" t="inlineStr">
        <is>
          <t>New Delhi</t>
        </is>
      </c>
      <c r="D4065" s="2" t="inlineStr">
        <is>
          <t>North</t>
        </is>
      </c>
    </row>
    <row r="4066">
      <c r="A4066" s="2" t="inlineStr">
        <is>
          <t>C0783</t>
        </is>
      </c>
      <c r="B4066" s="2" t="inlineStr">
        <is>
          <t>Karnataka</t>
        </is>
      </c>
      <c r="C4066" s="2" t="inlineStr">
        <is>
          <t>Mangaluru</t>
        </is>
      </c>
      <c r="D4066" s="2" t="inlineStr">
        <is>
          <t>South</t>
        </is>
      </c>
    </row>
    <row r="4067">
      <c r="A4067" s="2" t="inlineStr">
        <is>
          <t>C0783</t>
        </is>
      </c>
      <c r="B4067" s="2" t="inlineStr">
        <is>
          <t>Maharashtra</t>
        </is>
      </c>
      <c r="C4067" s="2" t="inlineStr">
        <is>
          <t>Nagpur</t>
        </is>
      </c>
      <c r="D4067" s="2" t="inlineStr">
        <is>
          <t>West</t>
        </is>
      </c>
    </row>
    <row r="4068">
      <c r="A4068" s="2" t="inlineStr">
        <is>
          <t>C0783</t>
        </is>
      </c>
      <c r="B4068" s="2" t="inlineStr">
        <is>
          <t>Punjab</t>
        </is>
      </c>
      <c r="C4068" s="2" t="inlineStr">
        <is>
          <t>Jalandhar</t>
        </is>
      </c>
      <c r="D4068" s="2" t="inlineStr">
        <is>
          <t>North</t>
        </is>
      </c>
    </row>
    <row r="4069">
      <c r="A4069" s="2" t="inlineStr">
        <is>
          <t>C0783</t>
        </is>
      </c>
      <c r="B4069" s="2" t="inlineStr">
        <is>
          <t>Tamil Nadu</t>
        </is>
      </c>
      <c r="C4069" s="2" t="inlineStr">
        <is>
          <t>Chennai</t>
        </is>
      </c>
      <c r="D4069" s="2" t="inlineStr">
        <is>
          <t>South</t>
        </is>
      </c>
    </row>
    <row r="4070">
      <c r="A4070" s="2" t="inlineStr">
        <is>
          <t>C0783</t>
        </is>
      </c>
      <c r="B4070" s="2" t="inlineStr">
        <is>
          <t>Odisha</t>
        </is>
      </c>
      <c r="C4070" s="2" t="inlineStr">
        <is>
          <t>Bhubaneswar</t>
        </is>
      </c>
      <c r="D4070" s="2" t="inlineStr">
        <is>
          <t>East</t>
        </is>
      </c>
    </row>
    <row r="4071">
      <c r="A4071" s="2" t="inlineStr">
        <is>
          <t>C0783</t>
        </is>
      </c>
      <c r="B4071" s="2" t="inlineStr">
        <is>
          <t>Gujarat</t>
        </is>
      </c>
      <c r="C4071" s="2" t="inlineStr">
        <is>
          <t>Surat</t>
        </is>
      </c>
      <c r="D4071" s="2" t="inlineStr">
        <is>
          <t>West</t>
        </is>
      </c>
    </row>
    <row r="4072">
      <c r="A4072" s="2" t="inlineStr">
        <is>
          <t>C0784</t>
        </is>
      </c>
      <c r="B4072" s="2" t="inlineStr">
        <is>
          <t>Delhi</t>
        </is>
      </c>
      <c r="C4072" s="2" t="inlineStr">
        <is>
          <t>New Delhi</t>
        </is>
      </c>
      <c r="D4072" s="2" t="inlineStr">
        <is>
          <t>North</t>
        </is>
      </c>
    </row>
    <row r="4073">
      <c r="A4073" s="2" t="inlineStr">
        <is>
          <t>C0784</t>
        </is>
      </c>
      <c r="B4073" s="2" t="inlineStr">
        <is>
          <t>Kerala</t>
        </is>
      </c>
      <c r="C4073" s="2" t="inlineStr">
        <is>
          <t>Thiruvananthapuram</t>
        </is>
      </c>
      <c r="D4073" s="2" t="inlineStr">
        <is>
          <t>South</t>
        </is>
      </c>
    </row>
    <row r="4074">
      <c r="A4074" s="2" t="inlineStr">
        <is>
          <t>C0784</t>
        </is>
      </c>
      <c r="B4074" s="2" t="inlineStr">
        <is>
          <t>Karnataka</t>
        </is>
      </c>
      <c r="C4074" s="2" t="inlineStr">
        <is>
          <t>Mangaluru</t>
        </is>
      </c>
      <c r="D4074" s="2" t="inlineStr">
        <is>
          <t>South</t>
        </is>
      </c>
    </row>
    <row r="4075">
      <c r="A4075" s="2" t="inlineStr">
        <is>
          <t>C0785</t>
        </is>
      </c>
      <c r="B4075" s="2" t="inlineStr">
        <is>
          <t>West Bengal</t>
        </is>
      </c>
      <c r="C4075" s="2" t="inlineStr">
        <is>
          <t>Kolkata</t>
        </is>
      </c>
      <c r="D4075" s="2" t="inlineStr">
        <is>
          <t>East</t>
        </is>
      </c>
    </row>
    <row r="4076">
      <c r="A4076" s="2" t="inlineStr">
        <is>
          <t>C0785</t>
        </is>
      </c>
      <c r="B4076" s="2" t="inlineStr">
        <is>
          <t>Telangana</t>
        </is>
      </c>
      <c r="C4076" s="2" t="inlineStr">
        <is>
          <t>Hyderabad</t>
        </is>
      </c>
      <c r="D4076" s="2" t="inlineStr">
        <is>
          <t>South</t>
        </is>
      </c>
    </row>
    <row r="4077">
      <c r="A4077" s="2" t="inlineStr">
        <is>
          <t>C0785</t>
        </is>
      </c>
      <c r="B4077" s="2" t="inlineStr">
        <is>
          <t>Gujarat</t>
        </is>
      </c>
      <c r="C4077" s="2" t="inlineStr">
        <is>
          <t>Ahmedabad</t>
        </is>
      </c>
      <c r="D4077" s="2" t="inlineStr">
        <is>
          <t>West</t>
        </is>
      </c>
    </row>
    <row r="4078">
      <c r="A4078" s="2" t="inlineStr">
        <is>
          <t>C0785</t>
        </is>
      </c>
      <c r="B4078" s="2" t="inlineStr">
        <is>
          <t>Odisha</t>
        </is>
      </c>
      <c r="C4078" s="2" t="inlineStr">
        <is>
          <t>Cuttack</t>
        </is>
      </c>
      <c r="D4078" s="2" t="inlineStr">
        <is>
          <t>East</t>
        </is>
      </c>
    </row>
    <row r="4079">
      <c r="A4079" s="2" t="inlineStr">
        <is>
          <t>C0785</t>
        </is>
      </c>
      <c r="B4079" s="2" t="inlineStr">
        <is>
          <t>Delhi</t>
        </is>
      </c>
      <c r="C4079" s="2" t="inlineStr">
        <is>
          <t>New Delhi</t>
        </is>
      </c>
      <c r="D4079" s="2" t="inlineStr">
        <is>
          <t>North</t>
        </is>
      </c>
    </row>
    <row r="4080">
      <c r="A4080" s="2" t="inlineStr">
        <is>
          <t>C0785</t>
        </is>
      </c>
      <c r="B4080" s="2" t="inlineStr">
        <is>
          <t>Karnataka</t>
        </is>
      </c>
      <c r="C4080" s="2" t="inlineStr">
        <is>
          <t>Mangaluru</t>
        </is>
      </c>
      <c r="D4080" s="2" t="inlineStr">
        <is>
          <t>South</t>
        </is>
      </c>
    </row>
    <row r="4081">
      <c r="A4081" s="2" t="inlineStr">
        <is>
          <t>C0785</t>
        </is>
      </c>
      <c r="B4081" s="2" t="inlineStr">
        <is>
          <t>Maharashtra</t>
        </is>
      </c>
      <c r="C4081" s="2" t="inlineStr">
        <is>
          <t>Thane</t>
        </is>
      </c>
      <c r="D4081" s="2" t="inlineStr">
        <is>
          <t>West</t>
        </is>
      </c>
    </row>
    <row r="4082">
      <c r="A4082" s="2" t="inlineStr">
        <is>
          <t>C0785</t>
        </is>
      </c>
      <c r="B4082" s="2" t="inlineStr">
        <is>
          <t>Punjab</t>
        </is>
      </c>
      <c r="C4082" s="2" t="inlineStr">
        <is>
          <t>Ludhiana</t>
        </is>
      </c>
      <c r="D4082" s="2" t="inlineStr">
        <is>
          <t>North</t>
        </is>
      </c>
    </row>
    <row r="4083">
      <c r="A4083" s="2" t="inlineStr">
        <is>
          <t>C0785</t>
        </is>
      </c>
      <c r="B4083" s="2" t="inlineStr">
        <is>
          <t>Telangana</t>
        </is>
      </c>
      <c r="C4083" s="2" t="inlineStr">
        <is>
          <t>Warangal</t>
        </is>
      </c>
      <c r="D4083" s="2" t="inlineStr">
        <is>
          <t>South</t>
        </is>
      </c>
    </row>
    <row r="4084">
      <c r="A4084" s="2" t="inlineStr">
        <is>
          <t>C0786</t>
        </is>
      </c>
      <c r="B4084" s="2" t="inlineStr">
        <is>
          <t>Bihar</t>
        </is>
      </c>
      <c r="C4084" s="2" t="inlineStr">
        <is>
          <t>Gaya</t>
        </is>
      </c>
      <c r="D4084" s="2" t="inlineStr">
        <is>
          <t>East</t>
        </is>
      </c>
    </row>
    <row r="4085">
      <c r="A4085" s="2" t="inlineStr">
        <is>
          <t>C0786</t>
        </is>
      </c>
      <c r="B4085" s="2" t="inlineStr">
        <is>
          <t>Karnataka</t>
        </is>
      </c>
      <c r="C4085" s="2" t="inlineStr">
        <is>
          <t>Mangaluru</t>
        </is>
      </c>
      <c r="D4085" s="2" t="inlineStr">
        <is>
          <t>South</t>
        </is>
      </c>
    </row>
    <row r="4086">
      <c r="A4086" s="2" t="inlineStr">
        <is>
          <t>C0786</t>
        </is>
      </c>
      <c r="B4086" s="2" t="inlineStr">
        <is>
          <t>Goa</t>
        </is>
      </c>
      <c r="C4086" s="2" t="inlineStr">
        <is>
          <t>Panaji</t>
        </is>
      </c>
      <c r="D4086" s="2" t="inlineStr">
        <is>
          <t>West</t>
        </is>
      </c>
    </row>
    <row r="4087">
      <c r="A4087" s="2" t="inlineStr">
        <is>
          <t>C0786</t>
        </is>
      </c>
      <c r="B4087" s="2" t="inlineStr">
        <is>
          <t>Maharashtra</t>
        </is>
      </c>
      <c r="C4087" s="2" t="inlineStr">
        <is>
          <t>Thane</t>
        </is>
      </c>
      <c r="D4087" s="2" t="inlineStr">
        <is>
          <t>West</t>
        </is>
      </c>
    </row>
    <row r="4088">
      <c r="A4088" s="2" t="inlineStr">
        <is>
          <t>C0786</t>
        </is>
      </c>
      <c r="B4088" s="2" t="inlineStr">
        <is>
          <t>West Bengal</t>
        </is>
      </c>
      <c r="C4088" s="2" t="inlineStr">
        <is>
          <t>Kolkata</t>
        </is>
      </c>
      <c r="D4088" s="2" t="inlineStr">
        <is>
          <t>East</t>
        </is>
      </c>
    </row>
    <row r="4089">
      <c r="A4089" s="2" t="inlineStr">
        <is>
          <t>C0788</t>
        </is>
      </c>
      <c r="B4089" s="2" t="inlineStr">
        <is>
          <t>Goa</t>
        </is>
      </c>
      <c r="C4089" s="2" t="inlineStr">
        <is>
          <t>Margao</t>
        </is>
      </c>
      <c r="D4089" s="2" t="inlineStr">
        <is>
          <t>West</t>
        </is>
      </c>
    </row>
    <row r="4090">
      <c r="A4090" s="2" t="inlineStr">
        <is>
          <t>C0788</t>
        </is>
      </c>
      <c r="B4090" s="2" t="inlineStr">
        <is>
          <t>Tamil Nadu</t>
        </is>
      </c>
      <c r="C4090" s="2" t="inlineStr">
        <is>
          <t>Madurai</t>
        </is>
      </c>
      <c r="D4090" s="2" t="inlineStr">
        <is>
          <t>South</t>
        </is>
      </c>
    </row>
    <row r="4091">
      <c r="A4091" s="2" t="inlineStr">
        <is>
          <t>C0789</t>
        </is>
      </c>
      <c r="B4091" s="2" t="inlineStr">
        <is>
          <t>Bihar</t>
        </is>
      </c>
      <c r="C4091" s="2" t="inlineStr">
        <is>
          <t>Gaya</t>
        </is>
      </c>
      <c r="D4091" s="2" t="inlineStr">
        <is>
          <t>East</t>
        </is>
      </c>
    </row>
    <row r="4092">
      <c r="A4092" s="2" t="inlineStr">
        <is>
          <t>C0789</t>
        </is>
      </c>
      <c r="B4092" s="2" t="inlineStr">
        <is>
          <t>Gujarat</t>
        </is>
      </c>
      <c r="C4092" s="2" t="inlineStr">
        <is>
          <t>Vadodara</t>
        </is>
      </c>
      <c r="D4092" s="2" t="inlineStr">
        <is>
          <t>West</t>
        </is>
      </c>
    </row>
    <row r="4093">
      <c r="A4093" s="2" t="inlineStr">
        <is>
          <t>C0789</t>
        </is>
      </c>
      <c r="B4093" s="2" t="inlineStr">
        <is>
          <t>Karnataka</t>
        </is>
      </c>
      <c r="C4093" s="2" t="inlineStr">
        <is>
          <t>Mysuru</t>
        </is>
      </c>
      <c r="D4093" s="2" t="inlineStr">
        <is>
          <t>South</t>
        </is>
      </c>
    </row>
    <row r="4094">
      <c r="A4094" s="2" t="inlineStr">
        <is>
          <t>C0789</t>
        </is>
      </c>
      <c r="B4094" s="2" t="inlineStr">
        <is>
          <t>Kerala</t>
        </is>
      </c>
      <c r="C4094" s="2" t="inlineStr">
        <is>
          <t>Kochi</t>
        </is>
      </c>
      <c r="D4094" s="2" t="inlineStr">
        <is>
          <t>South</t>
        </is>
      </c>
    </row>
    <row r="4095">
      <c r="A4095" s="2" t="inlineStr">
        <is>
          <t>C0789</t>
        </is>
      </c>
      <c r="B4095" s="2" t="inlineStr">
        <is>
          <t>Haryana</t>
        </is>
      </c>
      <c r="C4095" s="2" t="inlineStr">
        <is>
          <t>Gurugram</t>
        </is>
      </c>
      <c r="D4095" s="2" t="inlineStr">
        <is>
          <t>North</t>
        </is>
      </c>
    </row>
    <row r="4096">
      <c r="A4096" s="2" t="inlineStr">
        <is>
          <t>C0790</t>
        </is>
      </c>
      <c r="B4096" s="2" t="inlineStr">
        <is>
          <t>Goa</t>
        </is>
      </c>
      <c r="C4096" s="2" t="inlineStr">
        <is>
          <t>Margao</t>
        </is>
      </c>
      <c r="D4096" s="2" t="inlineStr">
        <is>
          <t>West</t>
        </is>
      </c>
    </row>
    <row r="4097">
      <c r="A4097" s="2" t="inlineStr">
        <is>
          <t>C0790</t>
        </is>
      </c>
      <c r="B4097" s="2" t="inlineStr">
        <is>
          <t>Maharashtra</t>
        </is>
      </c>
      <c r="C4097" s="2" t="inlineStr">
        <is>
          <t>Nagpur</t>
        </is>
      </c>
      <c r="D4097" s="2" t="inlineStr">
        <is>
          <t>West</t>
        </is>
      </c>
    </row>
    <row r="4098">
      <c r="A4098" s="2" t="inlineStr">
        <is>
          <t>C0790</t>
        </is>
      </c>
      <c r="B4098" s="2" t="inlineStr">
        <is>
          <t>Maharashtra</t>
        </is>
      </c>
      <c r="C4098" s="2" t="inlineStr">
        <is>
          <t>Nashik</t>
        </is>
      </c>
      <c r="D4098" s="2" t="inlineStr">
        <is>
          <t>West</t>
        </is>
      </c>
    </row>
    <row r="4099">
      <c r="A4099" s="2" t="inlineStr">
        <is>
          <t>C0791</t>
        </is>
      </c>
      <c r="B4099" s="2" t="inlineStr">
        <is>
          <t>Tamil Nadu</t>
        </is>
      </c>
      <c r="C4099" s="2" t="inlineStr">
        <is>
          <t>Madurai</t>
        </is>
      </c>
      <c r="D4099" s="2" t="inlineStr">
        <is>
          <t>South</t>
        </is>
      </c>
    </row>
    <row r="4100">
      <c r="A4100" s="2" t="inlineStr">
        <is>
          <t>C0791</t>
        </is>
      </c>
      <c r="B4100" s="2" t="inlineStr">
        <is>
          <t>Telangana</t>
        </is>
      </c>
      <c r="C4100" s="2" t="inlineStr">
        <is>
          <t>Hyderabad</t>
        </is>
      </c>
      <c r="D4100" s="2" t="inlineStr">
        <is>
          <t>South</t>
        </is>
      </c>
    </row>
    <row r="4101">
      <c r="A4101" s="2" t="inlineStr">
        <is>
          <t>C0793</t>
        </is>
      </c>
      <c r="B4101" s="2" t="inlineStr">
        <is>
          <t>Gujarat</t>
        </is>
      </c>
      <c r="C4101" s="2" t="inlineStr">
        <is>
          <t>Ahmedabad</t>
        </is>
      </c>
      <c r="D4101" s="2" t="inlineStr">
        <is>
          <t>West</t>
        </is>
      </c>
    </row>
    <row r="4102">
      <c r="A4102" s="2" t="inlineStr">
        <is>
          <t>C0793</t>
        </is>
      </c>
      <c r="B4102" s="2" t="inlineStr">
        <is>
          <t>Gujarat</t>
        </is>
      </c>
      <c r="C4102" s="2" t="inlineStr">
        <is>
          <t>Vadodara</t>
        </is>
      </c>
      <c r="D4102" s="2" t="inlineStr">
        <is>
          <t>West</t>
        </is>
      </c>
    </row>
    <row r="4103">
      <c r="A4103" s="2" t="inlineStr">
        <is>
          <t>C0793</t>
        </is>
      </c>
      <c r="B4103" s="2" t="inlineStr">
        <is>
          <t>Uttar Pradesh</t>
        </is>
      </c>
      <c r="C4103" s="2" t="inlineStr">
        <is>
          <t>Varanasi</t>
        </is>
      </c>
      <c r="D4103" s="2" t="inlineStr">
        <is>
          <t>North</t>
        </is>
      </c>
    </row>
    <row r="4104">
      <c r="A4104" s="2" t="inlineStr">
        <is>
          <t>C0793</t>
        </is>
      </c>
      <c r="B4104" s="2" t="inlineStr">
        <is>
          <t>Maharashtra</t>
        </is>
      </c>
      <c r="C4104" s="2" t="inlineStr">
        <is>
          <t>Nagpur</t>
        </is>
      </c>
      <c r="D4104" s="2" t="inlineStr">
        <is>
          <t>West</t>
        </is>
      </c>
    </row>
    <row r="4105">
      <c r="A4105" s="2" t="inlineStr">
        <is>
          <t>C0793</t>
        </is>
      </c>
      <c r="B4105" s="2" t="inlineStr">
        <is>
          <t>Haryana</t>
        </is>
      </c>
      <c r="C4105" s="2" t="inlineStr">
        <is>
          <t>Gurugram</t>
        </is>
      </c>
      <c r="D4105" s="2" t="inlineStr">
        <is>
          <t>North</t>
        </is>
      </c>
    </row>
    <row r="4106">
      <c r="A4106" s="2" t="inlineStr">
        <is>
          <t>C0793</t>
        </is>
      </c>
      <c r="B4106" s="2" t="inlineStr">
        <is>
          <t>Punjab</t>
        </is>
      </c>
      <c r="C4106" s="2" t="inlineStr">
        <is>
          <t>Jalandhar</t>
        </is>
      </c>
      <c r="D4106" s="2" t="inlineStr">
        <is>
          <t>North</t>
        </is>
      </c>
    </row>
    <row r="4107">
      <c r="A4107" s="2" t="inlineStr">
        <is>
          <t>C0793</t>
        </is>
      </c>
      <c r="B4107" s="2" t="inlineStr">
        <is>
          <t>Goa</t>
        </is>
      </c>
      <c r="C4107" s="2" t="inlineStr">
        <is>
          <t>Panaji</t>
        </is>
      </c>
      <c r="D4107" s="2" t="inlineStr">
        <is>
          <t>West</t>
        </is>
      </c>
    </row>
    <row r="4108">
      <c r="A4108" s="2" t="inlineStr">
        <is>
          <t>C0793</t>
        </is>
      </c>
      <c r="B4108" s="2" t="inlineStr">
        <is>
          <t>Maharashtra</t>
        </is>
      </c>
      <c r="C4108" s="2" t="inlineStr">
        <is>
          <t>Nashik</t>
        </is>
      </c>
      <c r="D4108" s="2" t="inlineStr">
        <is>
          <t>West</t>
        </is>
      </c>
    </row>
    <row r="4109">
      <c r="A4109" s="2" t="inlineStr">
        <is>
          <t>C0793</t>
        </is>
      </c>
      <c r="B4109" s="2" t="inlineStr">
        <is>
          <t>West Bengal</t>
        </is>
      </c>
      <c r="C4109" s="2" t="inlineStr">
        <is>
          <t>Kolkata</t>
        </is>
      </c>
      <c r="D4109" s="2" t="inlineStr">
        <is>
          <t>East</t>
        </is>
      </c>
    </row>
    <row r="4110">
      <c r="A4110" s="2" t="inlineStr">
        <is>
          <t>C0793</t>
        </is>
      </c>
      <c r="B4110" s="2" t="inlineStr">
        <is>
          <t>Karnataka</t>
        </is>
      </c>
      <c r="C4110" s="2" t="inlineStr">
        <is>
          <t>Mysuru</t>
        </is>
      </c>
      <c r="D4110" s="2" t="inlineStr">
        <is>
          <t>South</t>
        </is>
      </c>
    </row>
    <row r="4111">
      <c r="A4111" s="2" t="inlineStr">
        <is>
          <t>C0793</t>
        </is>
      </c>
      <c r="B4111" s="2" t="inlineStr">
        <is>
          <t>Goa</t>
        </is>
      </c>
      <c r="C4111" s="2" t="inlineStr">
        <is>
          <t>Margao</t>
        </is>
      </c>
      <c r="D4111" s="2" t="inlineStr">
        <is>
          <t>West</t>
        </is>
      </c>
    </row>
    <row r="4112">
      <c r="A4112" s="2" t="inlineStr">
        <is>
          <t>C0793</t>
        </is>
      </c>
      <c r="B4112" s="2" t="inlineStr">
        <is>
          <t>Telangana</t>
        </is>
      </c>
      <c r="C4112" s="2" t="inlineStr">
        <is>
          <t>Hyderabad</t>
        </is>
      </c>
      <c r="D4112" s="2" t="inlineStr">
        <is>
          <t>South</t>
        </is>
      </c>
    </row>
    <row r="4113">
      <c r="A4113" s="2" t="inlineStr">
        <is>
          <t>C0793</t>
        </is>
      </c>
      <c r="B4113" s="2" t="inlineStr">
        <is>
          <t>Haryana</t>
        </is>
      </c>
      <c r="C4113" s="2" t="inlineStr">
        <is>
          <t>Faridabad</t>
        </is>
      </c>
      <c r="D4113" s="2" t="inlineStr">
        <is>
          <t>North</t>
        </is>
      </c>
    </row>
    <row r="4114">
      <c r="A4114" s="2" t="inlineStr">
        <is>
          <t>C0793</t>
        </is>
      </c>
      <c r="B4114" s="2" t="inlineStr">
        <is>
          <t>Kerala</t>
        </is>
      </c>
      <c r="C4114" s="2" t="inlineStr">
        <is>
          <t>Thiruvananthapuram</t>
        </is>
      </c>
      <c r="D4114" s="2" t="inlineStr">
        <is>
          <t>South</t>
        </is>
      </c>
    </row>
    <row r="4115">
      <c r="A4115" s="2" t="inlineStr">
        <is>
          <t>C0793</t>
        </is>
      </c>
      <c r="B4115" s="2" t="inlineStr">
        <is>
          <t>Odisha</t>
        </is>
      </c>
      <c r="C4115" s="2" t="inlineStr">
        <is>
          <t>Cuttack</t>
        </is>
      </c>
      <c r="D4115" s="2" t="inlineStr">
        <is>
          <t>East</t>
        </is>
      </c>
    </row>
    <row r="4116">
      <c r="A4116" s="2" t="inlineStr">
        <is>
          <t>C0793</t>
        </is>
      </c>
      <c r="B4116" s="2" t="inlineStr">
        <is>
          <t>Odisha</t>
        </is>
      </c>
      <c r="C4116" s="2" t="inlineStr">
        <is>
          <t>Bhubaneswar</t>
        </is>
      </c>
      <c r="D4116" s="2" t="inlineStr">
        <is>
          <t>East</t>
        </is>
      </c>
    </row>
    <row r="4117">
      <c r="A4117" s="2" t="inlineStr">
        <is>
          <t>C0793</t>
        </is>
      </c>
      <c r="B4117" s="2" t="inlineStr">
        <is>
          <t>Uttar Pradesh</t>
        </is>
      </c>
      <c r="C4117" s="2" t="inlineStr">
        <is>
          <t>Kanpur</t>
        </is>
      </c>
      <c r="D4117" s="2" t="inlineStr">
        <is>
          <t>North</t>
        </is>
      </c>
    </row>
    <row r="4118">
      <c r="A4118" s="2" t="inlineStr">
        <is>
          <t>C0793</t>
        </is>
      </c>
      <c r="B4118" s="2" t="inlineStr">
        <is>
          <t>Tamil Nadu</t>
        </is>
      </c>
      <c r="C4118" s="2" t="inlineStr">
        <is>
          <t>Madurai</t>
        </is>
      </c>
      <c r="D4118" s="2" t="inlineStr">
        <is>
          <t>South</t>
        </is>
      </c>
    </row>
    <row r="4119">
      <c r="A4119" s="2" t="inlineStr">
        <is>
          <t>C0793</t>
        </is>
      </c>
      <c r="B4119" s="2" t="inlineStr">
        <is>
          <t>Bihar</t>
        </is>
      </c>
      <c r="C4119" s="2" t="inlineStr">
        <is>
          <t>Gaya</t>
        </is>
      </c>
      <c r="D4119" s="2" t="inlineStr">
        <is>
          <t>East</t>
        </is>
      </c>
    </row>
    <row r="4120">
      <c r="A4120" s="2" t="inlineStr">
        <is>
          <t>C0793</t>
        </is>
      </c>
      <c r="B4120" s="2" t="inlineStr">
        <is>
          <t>Delhi</t>
        </is>
      </c>
      <c r="C4120" s="2" t="inlineStr">
        <is>
          <t>New Delhi</t>
        </is>
      </c>
      <c r="D4120" s="2" t="inlineStr">
        <is>
          <t>North</t>
        </is>
      </c>
    </row>
    <row r="4121">
      <c r="A4121" s="2" t="inlineStr">
        <is>
          <t>C0794</t>
        </is>
      </c>
      <c r="B4121" s="2" t="inlineStr">
        <is>
          <t>Telangana</t>
        </is>
      </c>
      <c r="C4121" s="2" t="inlineStr">
        <is>
          <t>Warangal</t>
        </is>
      </c>
      <c r="D4121" s="2" t="inlineStr">
        <is>
          <t>South</t>
        </is>
      </c>
    </row>
    <row r="4122">
      <c r="A4122" s="2" t="inlineStr">
        <is>
          <t>C0794</t>
        </is>
      </c>
      <c r="B4122" s="2" t="inlineStr">
        <is>
          <t>Bihar</t>
        </is>
      </c>
      <c r="C4122" s="2" t="inlineStr">
        <is>
          <t>Patna</t>
        </is>
      </c>
      <c r="D4122" s="2" t="inlineStr">
        <is>
          <t>East</t>
        </is>
      </c>
    </row>
    <row r="4123">
      <c r="A4123" s="2" t="inlineStr">
        <is>
          <t>C0794</t>
        </is>
      </c>
      <c r="B4123" s="2" t="inlineStr">
        <is>
          <t>Goa</t>
        </is>
      </c>
      <c r="C4123" s="2" t="inlineStr">
        <is>
          <t>Panaji</t>
        </is>
      </c>
      <c r="D4123" s="2" t="inlineStr">
        <is>
          <t>West</t>
        </is>
      </c>
    </row>
    <row r="4124">
      <c r="A4124" s="2" t="inlineStr">
        <is>
          <t>C0794</t>
        </is>
      </c>
      <c r="B4124" s="2" t="inlineStr">
        <is>
          <t>West Bengal</t>
        </is>
      </c>
      <c r="C4124" s="2" t="inlineStr">
        <is>
          <t>Kolkata</t>
        </is>
      </c>
      <c r="D4124" s="2" t="inlineStr">
        <is>
          <t>East</t>
        </is>
      </c>
    </row>
    <row r="4125">
      <c r="A4125" s="2" t="inlineStr">
        <is>
          <t>C0794</t>
        </is>
      </c>
      <c r="B4125" s="2" t="inlineStr">
        <is>
          <t>Maharashtra</t>
        </is>
      </c>
      <c r="C4125" s="2" t="inlineStr">
        <is>
          <t>Nagpur</t>
        </is>
      </c>
      <c r="D4125" s="2" t="inlineStr">
        <is>
          <t>West</t>
        </is>
      </c>
    </row>
    <row r="4126">
      <c r="A4126" s="2" t="inlineStr">
        <is>
          <t>C0794</t>
        </is>
      </c>
      <c r="B4126" s="2" t="inlineStr">
        <is>
          <t>Delhi</t>
        </is>
      </c>
      <c r="C4126" s="2" t="inlineStr">
        <is>
          <t>New Delhi</t>
        </is>
      </c>
      <c r="D4126" s="2" t="inlineStr">
        <is>
          <t>North</t>
        </is>
      </c>
    </row>
    <row r="4127">
      <c r="A4127" s="2" t="inlineStr">
        <is>
          <t>C0794</t>
        </is>
      </c>
      <c r="B4127" s="2" t="inlineStr">
        <is>
          <t>Maharashtra</t>
        </is>
      </c>
      <c r="C4127" s="2" t="inlineStr">
        <is>
          <t>Nashik</t>
        </is>
      </c>
      <c r="D4127" s="2" t="inlineStr">
        <is>
          <t>West</t>
        </is>
      </c>
    </row>
    <row r="4128">
      <c r="A4128" s="2" t="inlineStr">
        <is>
          <t>C0794</t>
        </is>
      </c>
      <c r="B4128" s="2" t="inlineStr">
        <is>
          <t>Telangana</t>
        </is>
      </c>
      <c r="C4128" s="2" t="inlineStr">
        <is>
          <t>Hyderabad</t>
        </is>
      </c>
      <c r="D4128" s="2" t="inlineStr">
        <is>
          <t>South</t>
        </is>
      </c>
    </row>
    <row r="4129">
      <c r="A4129" s="2" t="inlineStr">
        <is>
          <t>C0794</t>
        </is>
      </c>
      <c r="B4129" s="2" t="inlineStr">
        <is>
          <t>Karnataka</t>
        </is>
      </c>
      <c r="C4129" s="2" t="inlineStr">
        <is>
          <t>Mangaluru</t>
        </is>
      </c>
      <c r="D4129" s="2" t="inlineStr">
        <is>
          <t>South</t>
        </is>
      </c>
    </row>
    <row r="4130">
      <c r="A4130" s="2" t="inlineStr">
        <is>
          <t>C0795</t>
        </is>
      </c>
      <c r="B4130" s="2" t="inlineStr">
        <is>
          <t>Goa</t>
        </is>
      </c>
      <c r="C4130" s="2" t="inlineStr">
        <is>
          <t>Margao</t>
        </is>
      </c>
      <c r="D4130" s="2" t="inlineStr">
        <is>
          <t>West</t>
        </is>
      </c>
    </row>
    <row r="4131">
      <c r="A4131" s="2" t="inlineStr">
        <is>
          <t>C0795</t>
        </is>
      </c>
      <c r="B4131" s="2" t="inlineStr">
        <is>
          <t>Gujarat</t>
        </is>
      </c>
      <c r="C4131" s="2" t="inlineStr">
        <is>
          <t>Vadodara</t>
        </is>
      </c>
      <c r="D4131" s="2" t="inlineStr">
        <is>
          <t>West</t>
        </is>
      </c>
    </row>
    <row r="4132">
      <c r="A4132" s="2" t="inlineStr">
        <is>
          <t>C0795</t>
        </is>
      </c>
      <c r="B4132" s="2" t="inlineStr">
        <is>
          <t>Gujarat</t>
        </is>
      </c>
      <c r="C4132" s="2" t="inlineStr">
        <is>
          <t>Surat</t>
        </is>
      </c>
      <c r="D4132" s="2" t="inlineStr">
        <is>
          <t>West</t>
        </is>
      </c>
    </row>
    <row r="4133">
      <c r="A4133" s="2" t="inlineStr">
        <is>
          <t>C0795</t>
        </is>
      </c>
      <c r="B4133" s="2" t="inlineStr">
        <is>
          <t>Punjab</t>
        </is>
      </c>
      <c r="C4133" s="2" t="inlineStr">
        <is>
          <t>Amritsar</t>
        </is>
      </c>
      <c r="D4133" s="2" t="inlineStr">
        <is>
          <t>North</t>
        </is>
      </c>
    </row>
    <row r="4134">
      <c r="A4134" s="2" t="inlineStr">
        <is>
          <t>C0795</t>
        </is>
      </c>
      <c r="B4134" s="2" t="inlineStr">
        <is>
          <t>West Bengal</t>
        </is>
      </c>
      <c r="C4134" s="2" t="inlineStr">
        <is>
          <t>Durgapur</t>
        </is>
      </c>
      <c r="D4134" s="2" t="inlineStr">
        <is>
          <t>East</t>
        </is>
      </c>
    </row>
    <row r="4135">
      <c r="A4135" s="2" t="inlineStr">
        <is>
          <t>C0795</t>
        </is>
      </c>
      <c r="B4135" s="2" t="inlineStr">
        <is>
          <t>Uttar Pradesh</t>
        </is>
      </c>
      <c r="C4135" s="2" t="inlineStr">
        <is>
          <t>Varanasi</t>
        </is>
      </c>
      <c r="D4135" s="2" t="inlineStr">
        <is>
          <t>North</t>
        </is>
      </c>
    </row>
    <row r="4136">
      <c r="A4136" s="2" t="inlineStr">
        <is>
          <t>C0796</t>
        </is>
      </c>
      <c r="B4136" s="2" t="inlineStr">
        <is>
          <t>Maharashtra</t>
        </is>
      </c>
      <c r="C4136" s="2" t="inlineStr">
        <is>
          <t>Pune</t>
        </is>
      </c>
      <c r="D4136" s="2" t="inlineStr">
        <is>
          <t>West</t>
        </is>
      </c>
    </row>
    <row r="4137">
      <c r="A4137" s="2" t="inlineStr">
        <is>
          <t>C0796</t>
        </is>
      </c>
      <c r="B4137" s="2" t="inlineStr">
        <is>
          <t>Kerala</t>
        </is>
      </c>
      <c r="C4137" s="2" t="inlineStr">
        <is>
          <t>Thiruvananthapuram</t>
        </is>
      </c>
      <c r="D4137" s="2" t="inlineStr">
        <is>
          <t>South</t>
        </is>
      </c>
    </row>
    <row r="4138">
      <c r="A4138" s="2" t="inlineStr">
        <is>
          <t>C0796</t>
        </is>
      </c>
      <c r="B4138" s="2" t="inlineStr">
        <is>
          <t>Karnataka</t>
        </is>
      </c>
      <c r="C4138" s="2" t="inlineStr">
        <is>
          <t>Mangaluru</t>
        </is>
      </c>
      <c r="D4138" s="2" t="inlineStr">
        <is>
          <t>South</t>
        </is>
      </c>
    </row>
    <row r="4139">
      <c r="A4139" s="2" t="inlineStr">
        <is>
          <t>C0796</t>
        </is>
      </c>
      <c r="B4139" s="2" t="inlineStr">
        <is>
          <t>Karnataka</t>
        </is>
      </c>
      <c r="C4139" s="2" t="inlineStr">
        <is>
          <t>Mysuru</t>
        </is>
      </c>
      <c r="D4139" s="2" t="inlineStr">
        <is>
          <t>South</t>
        </is>
      </c>
    </row>
    <row r="4140">
      <c r="A4140" s="2" t="inlineStr">
        <is>
          <t>C0796</t>
        </is>
      </c>
      <c r="B4140" s="2" t="inlineStr">
        <is>
          <t>Odisha</t>
        </is>
      </c>
      <c r="C4140" s="2" t="inlineStr">
        <is>
          <t>Cuttack</t>
        </is>
      </c>
      <c r="D4140" s="2" t="inlineStr">
        <is>
          <t>East</t>
        </is>
      </c>
    </row>
    <row r="4141">
      <c r="A4141" s="2" t="inlineStr">
        <is>
          <t>C0796</t>
        </is>
      </c>
      <c r="B4141" s="2" t="inlineStr">
        <is>
          <t>Tamil Nadu</t>
        </is>
      </c>
      <c r="C4141" s="2" t="inlineStr">
        <is>
          <t>Madurai</t>
        </is>
      </c>
      <c r="D4141" s="2" t="inlineStr">
        <is>
          <t>South</t>
        </is>
      </c>
    </row>
    <row r="4142">
      <c r="A4142" s="2" t="inlineStr">
        <is>
          <t>C0796</t>
        </is>
      </c>
      <c r="B4142" s="2" t="inlineStr">
        <is>
          <t>Goa</t>
        </is>
      </c>
      <c r="C4142" s="2" t="inlineStr">
        <is>
          <t>Panaji</t>
        </is>
      </c>
      <c r="D4142" s="2" t="inlineStr">
        <is>
          <t>West</t>
        </is>
      </c>
    </row>
    <row r="4143">
      <c r="A4143" s="2" t="inlineStr">
        <is>
          <t>C0797</t>
        </is>
      </c>
      <c r="B4143" s="2" t="inlineStr">
        <is>
          <t>Tamil Nadu</t>
        </is>
      </c>
      <c r="C4143" s="2" t="inlineStr">
        <is>
          <t>Coimbatore</t>
        </is>
      </c>
      <c r="D4143" s="2" t="inlineStr">
        <is>
          <t>South</t>
        </is>
      </c>
    </row>
    <row r="4144">
      <c r="A4144" s="2" t="inlineStr">
        <is>
          <t>C0797</t>
        </is>
      </c>
      <c r="B4144" s="2" t="inlineStr">
        <is>
          <t>Haryana</t>
        </is>
      </c>
      <c r="C4144" s="2" t="inlineStr">
        <is>
          <t>Faridabad</t>
        </is>
      </c>
      <c r="D4144" s="2" t="inlineStr">
        <is>
          <t>North</t>
        </is>
      </c>
    </row>
    <row r="4145">
      <c r="A4145" s="2" t="inlineStr">
        <is>
          <t>C0798</t>
        </is>
      </c>
      <c r="B4145" s="2" t="inlineStr">
        <is>
          <t>Goa</t>
        </is>
      </c>
      <c r="C4145" s="2" t="inlineStr">
        <is>
          <t>Margao</t>
        </is>
      </c>
      <c r="D4145" s="2" t="inlineStr">
        <is>
          <t>West</t>
        </is>
      </c>
    </row>
    <row r="4146">
      <c r="A4146" s="2" t="inlineStr">
        <is>
          <t>C0798</t>
        </is>
      </c>
      <c r="B4146" s="2" t="inlineStr">
        <is>
          <t>Bihar</t>
        </is>
      </c>
      <c r="C4146" s="2" t="inlineStr">
        <is>
          <t>Patna</t>
        </is>
      </c>
      <c r="D4146" s="2" t="inlineStr">
        <is>
          <t>East</t>
        </is>
      </c>
    </row>
    <row r="4147">
      <c r="A4147" s="2" t="inlineStr">
        <is>
          <t>C0798</t>
        </is>
      </c>
      <c r="B4147" s="2" t="inlineStr">
        <is>
          <t>Tamil Nadu</t>
        </is>
      </c>
      <c r="C4147" s="2" t="inlineStr">
        <is>
          <t>Coimbatore</t>
        </is>
      </c>
      <c r="D4147" s="2" t="inlineStr">
        <is>
          <t>South</t>
        </is>
      </c>
    </row>
    <row r="4148">
      <c r="A4148" s="2" t="inlineStr">
        <is>
          <t>C0798</t>
        </is>
      </c>
      <c r="B4148" s="2" t="inlineStr">
        <is>
          <t>Punjab</t>
        </is>
      </c>
      <c r="C4148" s="2" t="inlineStr">
        <is>
          <t>Amritsar</t>
        </is>
      </c>
      <c r="D4148" s="2" t="inlineStr">
        <is>
          <t>North</t>
        </is>
      </c>
    </row>
    <row r="4149">
      <c r="A4149" s="2" t="inlineStr">
        <is>
          <t>C0798</t>
        </is>
      </c>
      <c r="B4149" s="2" t="inlineStr">
        <is>
          <t>Maharashtra</t>
        </is>
      </c>
      <c r="C4149" s="2" t="inlineStr">
        <is>
          <t>Thane</t>
        </is>
      </c>
      <c r="D4149" s="2" t="inlineStr">
        <is>
          <t>West</t>
        </is>
      </c>
    </row>
    <row r="4150">
      <c r="A4150" s="2" t="inlineStr">
        <is>
          <t>C0798</t>
        </is>
      </c>
      <c r="B4150" s="2" t="inlineStr">
        <is>
          <t>Tamil Nadu</t>
        </is>
      </c>
      <c r="C4150" s="2" t="inlineStr">
        <is>
          <t>Chennai</t>
        </is>
      </c>
      <c r="D4150" s="2" t="inlineStr">
        <is>
          <t>South</t>
        </is>
      </c>
    </row>
    <row r="4151">
      <c r="A4151" s="2" t="inlineStr">
        <is>
          <t>C0798</t>
        </is>
      </c>
      <c r="B4151" s="2" t="inlineStr">
        <is>
          <t>Goa</t>
        </is>
      </c>
      <c r="C4151" s="2" t="inlineStr">
        <is>
          <t>Panaji</t>
        </is>
      </c>
      <c r="D4151" s="2" t="inlineStr">
        <is>
          <t>West</t>
        </is>
      </c>
    </row>
    <row r="4152">
      <c r="A4152" s="2" t="inlineStr">
        <is>
          <t>C0798</t>
        </is>
      </c>
      <c r="B4152" s="2" t="inlineStr">
        <is>
          <t>Tamil Nadu</t>
        </is>
      </c>
      <c r="C4152" s="2" t="inlineStr">
        <is>
          <t>Madurai</t>
        </is>
      </c>
      <c r="D4152" s="2" t="inlineStr">
        <is>
          <t>South</t>
        </is>
      </c>
    </row>
    <row r="4153">
      <c r="A4153" s="2" t="inlineStr">
        <is>
          <t>C0798</t>
        </is>
      </c>
      <c r="B4153" s="2" t="inlineStr">
        <is>
          <t>Maharashtra</t>
        </is>
      </c>
      <c r="C4153" s="2" t="inlineStr">
        <is>
          <t>Nashik</t>
        </is>
      </c>
      <c r="D4153" s="2" t="inlineStr">
        <is>
          <t>West</t>
        </is>
      </c>
    </row>
    <row r="4154">
      <c r="A4154" s="2" t="inlineStr">
        <is>
          <t>C0799</t>
        </is>
      </c>
      <c r="B4154" s="2" t="inlineStr">
        <is>
          <t>Haryana</t>
        </is>
      </c>
      <c r="C4154" s="2" t="inlineStr">
        <is>
          <t>Faridabad</t>
        </is>
      </c>
      <c r="D4154" s="2" t="inlineStr">
        <is>
          <t>North</t>
        </is>
      </c>
    </row>
    <row r="4155">
      <c r="A4155" s="2" t="inlineStr">
        <is>
          <t>C0800</t>
        </is>
      </c>
      <c r="B4155" s="2" t="inlineStr">
        <is>
          <t>Odisha</t>
        </is>
      </c>
      <c r="C4155" s="2" t="inlineStr">
        <is>
          <t>Cuttack</t>
        </is>
      </c>
      <c r="D4155" s="2" t="inlineStr">
        <is>
          <t>East</t>
        </is>
      </c>
    </row>
    <row r="4156">
      <c r="A4156" s="2" t="inlineStr">
        <is>
          <t>C0800</t>
        </is>
      </c>
      <c r="B4156" s="2" t="inlineStr">
        <is>
          <t>Punjab</t>
        </is>
      </c>
      <c r="C4156" s="2" t="inlineStr">
        <is>
          <t>Ludhiana</t>
        </is>
      </c>
      <c r="D4156" s="2" t="inlineStr">
        <is>
          <t>North</t>
        </is>
      </c>
    </row>
    <row r="4157">
      <c r="A4157" s="2" t="inlineStr">
        <is>
          <t>C0800</t>
        </is>
      </c>
      <c r="B4157" s="2" t="inlineStr">
        <is>
          <t>Telangana</t>
        </is>
      </c>
      <c r="C4157" s="2" t="inlineStr">
        <is>
          <t>Hyderabad</t>
        </is>
      </c>
      <c r="D4157" s="2" t="inlineStr">
        <is>
          <t>South</t>
        </is>
      </c>
    </row>
    <row r="4158">
      <c r="A4158" s="2" t="inlineStr">
        <is>
          <t>C0800</t>
        </is>
      </c>
      <c r="B4158" s="2" t="inlineStr">
        <is>
          <t>Gujarat</t>
        </is>
      </c>
      <c r="C4158" s="2" t="inlineStr">
        <is>
          <t>Surat</t>
        </is>
      </c>
      <c r="D4158" s="2" t="inlineStr">
        <is>
          <t>West</t>
        </is>
      </c>
    </row>
    <row r="4159">
      <c r="A4159" s="2" t="inlineStr">
        <is>
          <t>C0800</t>
        </is>
      </c>
      <c r="B4159" s="2" t="inlineStr">
        <is>
          <t>Odisha</t>
        </is>
      </c>
      <c r="C4159" s="2" t="inlineStr">
        <is>
          <t>Bhubaneswar</t>
        </is>
      </c>
      <c r="D4159" s="2" t="inlineStr">
        <is>
          <t>East</t>
        </is>
      </c>
    </row>
    <row r="4160">
      <c r="A4160" s="2" t="inlineStr">
        <is>
          <t>C0800</t>
        </is>
      </c>
      <c r="B4160" s="2" t="inlineStr">
        <is>
          <t>Kerala</t>
        </is>
      </c>
      <c r="C4160" s="2" t="inlineStr">
        <is>
          <t>Thiruvananthapuram</t>
        </is>
      </c>
      <c r="D4160" s="2" t="inlineStr">
        <is>
          <t>South</t>
        </is>
      </c>
    </row>
    <row r="4161">
      <c r="A4161" s="2" t="inlineStr">
        <is>
          <t>C0800</t>
        </is>
      </c>
      <c r="B4161" s="2" t="inlineStr">
        <is>
          <t>Tamil Nadu</t>
        </is>
      </c>
      <c r="C4161" s="2" t="inlineStr">
        <is>
          <t>Coimbatore</t>
        </is>
      </c>
      <c r="D4161" s="2" t="inlineStr">
        <is>
          <t>South</t>
        </is>
      </c>
    </row>
    <row r="4162">
      <c r="A4162" s="2" t="inlineStr">
        <is>
          <t>C0800</t>
        </is>
      </c>
      <c r="B4162" s="2" t="inlineStr">
        <is>
          <t>Haryana</t>
        </is>
      </c>
      <c r="C4162" s="2" t="inlineStr">
        <is>
          <t>Gurugram</t>
        </is>
      </c>
      <c r="D4162" s="2" t="inlineStr">
        <is>
          <t>North</t>
        </is>
      </c>
    </row>
    <row r="4163">
      <c r="A4163" s="2" t="inlineStr">
        <is>
          <t>C0800</t>
        </is>
      </c>
      <c r="B4163" s="2" t="inlineStr">
        <is>
          <t>Uttar Pradesh</t>
        </is>
      </c>
      <c r="C4163" s="2" t="inlineStr">
        <is>
          <t>Kanpur</t>
        </is>
      </c>
      <c r="D4163" s="2" t="inlineStr">
        <is>
          <t>North</t>
        </is>
      </c>
    </row>
    <row r="4164">
      <c r="A4164" s="2" t="inlineStr">
        <is>
          <t>C0800</t>
        </is>
      </c>
      <c r="B4164" s="2" t="inlineStr">
        <is>
          <t>Punjab</t>
        </is>
      </c>
      <c r="C4164" s="2" t="inlineStr">
        <is>
          <t>Amritsar</t>
        </is>
      </c>
      <c r="D4164" s="2" t="inlineStr">
        <is>
          <t>North</t>
        </is>
      </c>
    </row>
    <row r="4165">
      <c r="A4165" s="2" t="inlineStr">
        <is>
          <t>C0800</t>
        </is>
      </c>
      <c r="B4165" s="2" t="inlineStr">
        <is>
          <t>Gujarat</t>
        </is>
      </c>
      <c r="C4165" s="2" t="inlineStr">
        <is>
          <t>Ahmedabad</t>
        </is>
      </c>
      <c r="D4165" s="2" t="inlineStr">
        <is>
          <t>West</t>
        </is>
      </c>
    </row>
    <row r="4166">
      <c r="A4166" s="2" t="inlineStr">
        <is>
          <t>C0800</t>
        </is>
      </c>
      <c r="B4166" s="2" t="inlineStr">
        <is>
          <t>Uttar Pradesh</t>
        </is>
      </c>
      <c r="C4166" s="2" t="inlineStr">
        <is>
          <t>Varanasi</t>
        </is>
      </c>
      <c r="D4166" s="2" t="inlineStr">
        <is>
          <t>North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7" customWidth="1" min="3" max="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</row>
    <row r="2">
      <c r="A2" s="2" t="inlineStr">
        <is>
          <t>P0001</t>
        </is>
      </c>
      <c r="B2" s="2" t="inlineStr">
        <is>
          <t>Wireless Headphones</t>
        </is>
      </c>
      <c r="C2" s="2" t="inlineStr">
        <is>
          <t>Electronics</t>
        </is>
      </c>
    </row>
    <row r="3">
      <c r="A3" s="2" t="inlineStr">
        <is>
          <t>P0002</t>
        </is>
      </c>
      <c r="B3" s="2" t="inlineStr">
        <is>
          <t>Bluetooth Speaker</t>
        </is>
      </c>
      <c r="C3" s="2" t="inlineStr">
        <is>
          <t>Electronics</t>
        </is>
      </c>
    </row>
    <row r="4">
      <c r="A4" s="2" t="inlineStr">
        <is>
          <t>P0003</t>
        </is>
      </c>
      <c r="B4" s="2" t="inlineStr">
        <is>
          <t>Smartwatch</t>
        </is>
      </c>
      <c r="C4" s="2" t="inlineStr">
        <is>
          <t>Electronics</t>
        </is>
      </c>
    </row>
    <row r="5">
      <c r="A5" s="2" t="inlineStr">
        <is>
          <t>P0004</t>
        </is>
      </c>
      <c r="B5" s="2" t="inlineStr">
        <is>
          <t>USB-C Hub</t>
        </is>
      </c>
      <c r="C5" s="2" t="inlineStr">
        <is>
          <t>Electronics</t>
        </is>
      </c>
    </row>
    <row r="6">
      <c r="A6" s="2" t="inlineStr">
        <is>
          <t>P0005</t>
        </is>
      </c>
      <c r="B6" s="2" t="inlineStr">
        <is>
          <t>Power Bank</t>
        </is>
      </c>
      <c r="C6" s="2" t="inlineStr">
        <is>
          <t>Electronics</t>
        </is>
      </c>
    </row>
    <row r="7">
      <c r="A7" s="2" t="inlineStr">
        <is>
          <t>P0006</t>
        </is>
      </c>
      <c r="B7" s="2" t="inlineStr">
        <is>
          <t>Mechanical Keyboard</t>
        </is>
      </c>
      <c r="C7" s="2" t="inlineStr">
        <is>
          <t>Electronics</t>
        </is>
      </c>
    </row>
    <row r="8">
      <c r="A8" s="2" t="inlineStr">
        <is>
          <t>P0007</t>
        </is>
      </c>
      <c r="B8" s="2" t="inlineStr">
        <is>
          <t>Wireless Mouse</t>
        </is>
      </c>
      <c r="C8" s="2" t="inlineStr">
        <is>
          <t>Electronics</t>
        </is>
      </c>
    </row>
    <row r="9">
      <c r="A9" s="2" t="inlineStr">
        <is>
          <t>P0008</t>
        </is>
      </c>
      <c r="B9" s="2" t="inlineStr">
        <is>
          <t>Air Fryer</t>
        </is>
      </c>
      <c r="C9" s="2" t="inlineStr">
        <is>
          <t>Home &amp; Kitchen</t>
        </is>
      </c>
    </row>
    <row r="10">
      <c r="A10" s="2" t="inlineStr">
        <is>
          <t>P0009</t>
        </is>
      </c>
      <c r="B10" s="2" t="inlineStr">
        <is>
          <t>Electric Kettle</t>
        </is>
      </c>
      <c r="C10" s="2" t="inlineStr">
        <is>
          <t>Home &amp; Kitchen</t>
        </is>
      </c>
    </row>
    <row r="11">
      <c r="A11" s="2" t="inlineStr">
        <is>
          <t>P0010</t>
        </is>
      </c>
      <c r="B11" s="2" t="inlineStr">
        <is>
          <t>Mixer Grinder</t>
        </is>
      </c>
      <c r="C11" s="2" t="inlineStr">
        <is>
          <t>Home &amp; Kitchen</t>
        </is>
      </c>
    </row>
    <row r="12">
      <c r="A12" s="2" t="inlineStr">
        <is>
          <t>P0011</t>
        </is>
      </c>
      <c r="B12" s="2" t="inlineStr">
        <is>
          <t>Cookware Set</t>
        </is>
      </c>
      <c r="C12" s="2" t="inlineStr">
        <is>
          <t>Home &amp; Kitchen</t>
        </is>
      </c>
    </row>
    <row r="13">
      <c r="A13" s="2" t="inlineStr">
        <is>
          <t>P0012</t>
        </is>
      </c>
      <c r="B13" s="2" t="inlineStr">
        <is>
          <t>Water Bottle</t>
        </is>
      </c>
      <c r="C13" s="2" t="inlineStr">
        <is>
          <t>Home &amp; Kitchen</t>
        </is>
      </c>
    </row>
    <row r="14">
      <c r="A14" s="2" t="inlineStr">
        <is>
          <t>P0013</t>
        </is>
      </c>
      <c r="B14" s="2" t="inlineStr">
        <is>
          <t>Storage Organizer</t>
        </is>
      </c>
      <c r="C14" s="2" t="inlineStr">
        <is>
          <t>Home &amp; Kitchen</t>
        </is>
      </c>
    </row>
    <row r="15">
      <c r="A15" s="2" t="inlineStr">
        <is>
          <t>P0014</t>
        </is>
      </c>
      <c r="B15" s="2" t="inlineStr">
        <is>
          <t>Coffee Maker</t>
        </is>
      </c>
      <c r="C15" s="2" t="inlineStr">
        <is>
          <t>Home &amp; Kitchen</t>
        </is>
      </c>
    </row>
    <row r="16">
      <c r="A16" s="2" t="inlineStr">
        <is>
          <t>P0015</t>
        </is>
      </c>
      <c r="B16" s="2" t="inlineStr">
        <is>
          <t>Running Shoes</t>
        </is>
      </c>
      <c r="C16" s="2" t="inlineStr">
        <is>
          <t>Fashion</t>
        </is>
      </c>
    </row>
    <row r="17">
      <c r="A17" s="2" t="inlineStr">
        <is>
          <t>P0016</t>
        </is>
      </c>
      <c r="B17" s="2" t="inlineStr">
        <is>
          <t>Casual Shirt</t>
        </is>
      </c>
      <c r="C17" s="2" t="inlineStr">
        <is>
          <t>Fashion</t>
        </is>
      </c>
    </row>
    <row r="18">
      <c r="A18" s="2" t="inlineStr">
        <is>
          <t>P0017</t>
        </is>
      </c>
      <c r="B18" s="2" t="inlineStr">
        <is>
          <t>Jeans</t>
        </is>
      </c>
      <c r="C18" s="2" t="inlineStr">
        <is>
          <t>Fashion</t>
        </is>
      </c>
    </row>
    <row r="19">
      <c r="A19" s="2" t="inlineStr">
        <is>
          <t>P0018</t>
        </is>
      </c>
      <c r="B19" s="2" t="inlineStr">
        <is>
          <t>Backpack</t>
        </is>
      </c>
      <c r="C19" s="2" t="inlineStr">
        <is>
          <t>Fashion</t>
        </is>
      </c>
    </row>
    <row r="20">
      <c r="A20" s="2" t="inlineStr">
        <is>
          <t>P0019</t>
        </is>
      </c>
      <c r="B20" s="2" t="inlineStr">
        <is>
          <t>Jacket</t>
        </is>
      </c>
      <c r="C20" s="2" t="inlineStr">
        <is>
          <t>Fashion</t>
        </is>
      </c>
    </row>
    <row r="21">
      <c r="A21" s="2" t="inlineStr">
        <is>
          <t>P0020</t>
        </is>
      </c>
      <c r="B21" s="2" t="inlineStr">
        <is>
          <t>Sneakers</t>
        </is>
      </c>
      <c r="C21" s="2" t="inlineStr">
        <is>
          <t>Fashion</t>
        </is>
      </c>
    </row>
    <row r="22">
      <c r="A22" s="2" t="inlineStr">
        <is>
          <t>P0021</t>
        </is>
      </c>
      <c r="B22" s="2" t="inlineStr">
        <is>
          <t>Wallet</t>
        </is>
      </c>
      <c r="C22" s="2" t="inlineStr">
        <is>
          <t>Fashion</t>
        </is>
      </c>
    </row>
    <row r="23">
      <c r="A23" s="2" t="inlineStr">
        <is>
          <t>P0022</t>
        </is>
      </c>
      <c r="B23" s="2" t="inlineStr">
        <is>
          <t>Face Wash</t>
        </is>
      </c>
      <c r="C23" s="2" t="inlineStr">
        <is>
          <t>Beauty</t>
        </is>
      </c>
    </row>
    <row r="24">
      <c r="A24" s="2" t="inlineStr">
        <is>
          <t>P0023</t>
        </is>
      </c>
      <c r="B24" s="2" t="inlineStr">
        <is>
          <t>Skin Care Kit</t>
        </is>
      </c>
      <c r="C24" s="2" t="inlineStr">
        <is>
          <t>Beauty</t>
        </is>
      </c>
    </row>
    <row r="25">
      <c r="A25" s="2" t="inlineStr">
        <is>
          <t>P0024</t>
        </is>
      </c>
      <c r="B25" s="2" t="inlineStr">
        <is>
          <t>Hair Dryer</t>
        </is>
      </c>
      <c r="C25" s="2" t="inlineStr">
        <is>
          <t>Beauty</t>
        </is>
      </c>
    </row>
    <row r="26">
      <c r="A26" s="2" t="inlineStr">
        <is>
          <t>P0025</t>
        </is>
      </c>
      <c r="B26" s="2" t="inlineStr">
        <is>
          <t>Perfume</t>
        </is>
      </c>
      <c r="C26" s="2" t="inlineStr">
        <is>
          <t>Beauty</t>
        </is>
      </c>
    </row>
    <row r="27">
      <c r="A27" s="2" t="inlineStr">
        <is>
          <t>P0026</t>
        </is>
      </c>
      <c r="B27" s="2" t="inlineStr">
        <is>
          <t>Shampoo</t>
        </is>
      </c>
      <c r="C27" s="2" t="inlineStr">
        <is>
          <t>Beauty</t>
        </is>
      </c>
    </row>
    <row r="28">
      <c r="A28" s="2" t="inlineStr">
        <is>
          <t>P0027</t>
        </is>
      </c>
      <c r="B28" s="2" t="inlineStr">
        <is>
          <t>Moisturizer</t>
        </is>
      </c>
      <c r="C28" s="2" t="inlineStr">
        <is>
          <t>Beauty</t>
        </is>
      </c>
    </row>
    <row r="29">
      <c r="A29" s="2" t="inlineStr">
        <is>
          <t>P0028</t>
        </is>
      </c>
      <c r="B29" s="2" t="inlineStr">
        <is>
          <t>Trimmer</t>
        </is>
      </c>
      <c r="C29" s="2" t="inlineStr">
        <is>
          <t>Beauty</t>
        </is>
      </c>
    </row>
    <row r="30">
      <c r="A30" s="2" t="inlineStr">
        <is>
          <t>P0029</t>
        </is>
      </c>
      <c r="B30" s="2" t="inlineStr">
        <is>
          <t>Yoga Mat</t>
        </is>
      </c>
      <c r="C30" s="2" t="inlineStr">
        <is>
          <t>Sports</t>
        </is>
      </c>
    </row>
    <row r="31">
      <c r="A31" s="2" t="inlineStr">
        <is>
          <t>P0030</t>
        </is>
      </c>
      <c r="B31" s="2" t="inlineStr">
        <is>
          <t>Dumbbells</t>
        </is>
      </c>
      <c r="C31" s="2" t="inlineStr">
        <is>
          <t>Sports</t>
        </is>
      </c>
    </row>
    <row r="32">
      <c r="A32" s="2" t="inlineStr">
        <is>
          <t>P0031</t>
        </is>
      </c>
      <c r="B32" s="2" t="inlineStr">
        <is>
          <t>Cricket Bat</t>
        </is>
      </c>
      <c r="C32" s="2" t="inlineStr">
        <is>
          <t>Sports</t>
        </is>
      </c>
    </row>
    <row r="33">
      <c r="A33" s="2" t="inlineStr">
        <is>
          <t>P0032</t>
        </is>
      </c>
      <c r="B33" s="2" t="inlineStr">
        <is>
          <t>Football</t>
        </is>
      </c>
      <c r="C33" s="2" t="inlineStr">
        <is>
          <t>Sports</t>
        </is>
      </c>
    </row>
    <row r="34">
      <c r="A34" s="2" t="inlineStr">
        <is>
          <t>P0033</t>
        </is>
      </c>
      <c r="B34" s="2" t="inlineStr">
        <is>
          <t>Resistance Bands</t>
        </is>
      </c>
      <c r="C34" s="2" t="inlineStr">
        <is>
          <t>Sports</t>
        </is>
      </c>
    </row>
    <row r="35">
      <c r="A35" s="2" t="inlineStr">
        <is>
          <t>P0034</t>
        </is>
      </c>
      <c r="B35" s="2" t="inlineStr">
        <is>
          <t>Gym Gloves</t>
        </is>
      </c>
      <c r="C35" s="2" t="inlineStr">
        <is>
          <t>Sports</t>
        </is>
      </c>
    </row>
    <row r="36">
      <c r="A36" s="2" t="inlineStr">
        <is>
          <t>P0035</t>
        </is>
      </c>
      <c r="B36" s="2" t="inlineStr">
        <is>
          <t>Skipping Rope</t>
        </is>
      </c>
      <c r="C36" s="2" t="inlineStr">
        <is>
          <t>Sports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Year-Month</t>
        </is>
      </c>
      <c r="F1" s="1" t="inlineStr">
        <is>
          <t>Quarter</t>
        </is>
      </c>
    </row>
    <row r="2">
      <c r="A2" s="2" t="inlineStr">
        <is>
          <t>2025-01-01</t>
        </is>
      </c>
      <c r="B2" s="2" t="n">
        <v>2025</v>
      </c>
      <c r="C2" s="2" t="n">
        <v>1</v>
      </c>
      <c r="D2" s="2" t="inlineStr">
        <is>
          <t>Jan</t>
        </is>
      </c>
      <c r="E2" s="2" t="inlineStr">
        <is>
          <t>2025-01</t>
        </is>
      </c>
      <c r="F2" s="2" t="inlineStr">
        <is>
          <t>Q1</t>
        </is>
      </c>
    </row>
    <row r="3">
      <c r="A3" s="2" t="inlineStr">
        <is>
          <t>2025-01-02</t>
        </is>
      </c>
      <c r="B3" s="2" t="n">
        <v>2025</v>
      </c>
      <c r="C3" s="2" t="n">
        <v>1</v>
      </c>
      <c r="D3" s="2" t="inlineStr">
        <is>
          <t>Jan</t>
        </is>
      </c>
      <c r="E3" s="2" t="inlineStr">
        <is>
          <t>2025-01</t>
        </is>
      </c>
      <c r="F3" s="2" t="inlineStr">
        <is>
          <t>Q1</t>
        </is>
      </c>
    </row>
    <row r="4">
      <c r="A4" s="2" t="inlineStr">
        <is>
          <t>2025-01-03</t>
        </is>
      </c>
      <c r="B4" s="2" t="n">
        <v>2025</v>
      </c>
      <c r="C4" s="2" t="n">
        <v>1</v>
      </c>
      <c r="D4" s="2" t="inlineStr">
        <is>
          <t>Jan</t>
        </is>
      </c>
      <c r="E4" s="2" t="inlineStr">
        <is>
          <t>2025-01</t>
        </is>
      </c>
      <c r="F4" s="2" t="inlineStr">
        <is>
          <t>Q1</t>
        </is>
      </c>
    </row>
    <row r="5">
      <c r="A5" s="2" t="inlineStr">
        <is>
          <t>2025-01-04</t>
        </is>
      </c>
      <c r="B5" s="2" t="n">
        <v>2025</v>
      </c>
      <c r="C5" s="2" t="n">
        <v>1</v>
      </c>
      <c r="D5" s="2" t="inlineStr">
        <is>
          <t>Jan</t>
        </is>
      </c>
      <c r="E5" s="2" t="inlineStr">
        <is>
          <t>2025-01</t>
        </is>
      </c>
      <c r="F5" s="2" t="inlineStr">
        <is>
          <t>Q1</t>
        </is>
      </c>
    </row>
    <row r="6">
      <c r="A6" s="2" t="inlineStr">
        <is>
          <t>2025-01-05</t>
        </is>
      </c>
      <c r="B6" s="2" t="n">
        <v>2025</v>
      </c>
      <c r="C6" s="2" t="n">
        <v>1</v>
      </c>
      <c r="D6" s="2" t="inlineStr">
        <is>
          <t>Jan</t>
        </is>
      </c>
      <c r="E6" s="2" t="inlineStr">
        <is>
          <t>2025-01</t>
        </is>
      </c>
      <c r="F6" s="2" t="inlineStr">
        <is>
          <t>Q1</t>
        </is>
      </c>
    </row>
    <row r="7">
      <c r="A7" s="2" t="inlineStr">
        <is>
          <t>2025-01-06</t>
        </is>
      </c>
      <c r="B7" s="2" t="n">
        <v>2025</v>
      </c>
      <c r="C7" s="2" t="n">
        <v>1</v>
      </c>
      <c r="D7" s="2" t="inlineStr">
        <is>
          <t>Jan</t>
        </is>
      </c>
      <c r="E7" s="2" t="inlineStr">
        <is>
          <t>2025-01</t>
        </is>
      </c>
      <c r="F7" s="2" t="inlineStr">
        <is>
          <t>Q1</t>
        </is>
      </c>
    </row>
    <row r="8">
      <c r="A8" s="2" t="inlineStr">
        <is>
          <t>2025-01-07</t>
        </is>
      </c>
      <c r="B8" s="2" t="n">
        <v>2025</v>
      </c>
      <c r="C8" s="2" t="n">
        <v>1</v>
      </c>
      <c r="D8" s="2" t="inlineStr">
        <is>
          <t>Jan</t>
        </is>
      </c>
      <c r="E8" s="2" t="inlineStr">
        <is>
          <t>2025-01</t>
        </is>
      </c>
      <c r="F8" s="2" t="inlineStr">
        <is>
          <t>Q1</t>
        </is>
      </c>
    </row>
    <row r="9">
      <c r="A9" s="2" t="inlineStr">
        <is>
          <t>2025-01-08</t>
        </is>
      </c>
      <c r="B9" s="2" t="n">
        <v>2025</v>
      </c>
      <c r="C9" s="2" t="n">
        <v>1</v>
      </c>
      <c r="D9" s="2" t="inlineStr">
        <is>
          <t>Jan</t>
        </is>
      </c>
      <c r="E9" s="2" t="inlineStr">
        <is>
          <t>2025-01</t>
        </is>
      </c>
      <c r="F9" s="2" t="inlineStr">
        <is>
          <t>Q1</t>
        </is>
      </c>
    </row>
    <row r="10">
      <c r="A10" s="2" t="inlineStr">
        <is>
          <t>2025-01-09</t>
        </is>
      </c>
      <c r="B10" s="2" t="n">
        <v>2025</v>
      </c>
      <c r="C10" s="2" t="n">
        <v>1</v>
      </c>
      <c r="D10" s="2" t="inlineStr">
        <is>
          <t>Jan</t>
        </is>
      </c>
      <c r="E10" s="2" t="inlineStr">
        <is>
          <t>2025-01</t>
        </is>
      </c>
      <c r="F10" s="2" t="inlineStr">
        <is>
          <t>Q1</t>
        </is>
      </c>
    </row>
    <row r="11">
      <c r="A11" s="2" t="inlineStr">
        <is>
          <t>2025-01-10</t>
        </is>
      </c>
      <c r="B11" s="2" t="n">
        <v>2025</v>
      </c>
      <c r="C11" s="2" t="n">
        <v>1</v>
      </c>
      <c r="D11" s="2" t="inlineStr">
        <is>
          <t>Jan</t>
        </is>
      </c>
      <c r="E11" s="2" t="inlineStr">
        <is>
          <t>2025-01</t>
        </is>
      </c>
      <c r="F11" s="2" t="inlineStr">
        <is>
          <t>Q1</t>
        </is>
      </c>
    </row>
    <row r="12">
      <c r="A12" s="2" t="inlineStr">
        <is>
          <t>2025-01-11</t>
        </is>
      </c>
      <c r="B12" s="2" t="n">
        <v>2025</v>
      </c>
      <c r="C12" s="2" t="n">
        <v>1</v>
      </c>
      <c r="D12" s="2" t="inlineStr">
        <is>
          <t>Jan</t>
        </is>
      </c>
      <c r="E12" s="2" t="inlineStr">
        <is>
          <t>2025-01</t>
        </is>
      </c>
      <c r="F12" s="2" t="inlineStr">
        <is>
          <t>Q1</t>
        </is>
      </c>
    </row>
    <row r="13">
      <c r="A13" s="2" t="inlineStr">
        <is>
          <t>2025-01-12</t>
        </is>
      </c>
      <c r="B13" s="2" t="n">
        <v>2025</v>
      </c>
      <c r="C13" s="2" t="n">
        <v>1</v>
      </c>
      <c r="D13" s="2" t="inlineStr">
        <is>
          <t>Jan</t>
        </is>
      </c>
      <c r="E13" s="2" t="inlineStr">
        <is>
          <t>2025-01</t>
        </is>
      </c>
      <c r="F13" s="2" t="inlineStr">
        <is>
          <t>Q1</t>
        </is>
      </c>
    </row>
    <row r="14">
      <c r="A14" s="2" t="inlineStr">
        <is>
          <t>2025-01-13</t>
        </is>
      </c>
      <c r="B14" s="2" t="n">
        <v>2025</v>
      </c>
      <c r="C14" s="2" t="n">
        <v>1</v>
      </c>
      <c r="D14" s="2" t="inlineStr">
        <is>
          <t>Jan</t>
        </is>
      </c>
      <c r="E14" s="2" t="inlineStr">
        <is>
          <t>2025-01</t>
        </is>
      </c>
      <c r="F14" s="2" t="inlineStr">
        <is>
          <t>Q1</t>
        </is>
      </c>
    </row>
    <row r="15">
      <c r="A15" s="2" t="inlineStr">
        <is>
          <t>2025-01-14</t>
        </is>
      </c>
      <c r="B15" s="2" t="n">
        <v>2025</v>
      </c>
      <c r="C15" s="2" t="n">
        <v>1</v>
      </c>
      <c r="D15" s="2" t="inlineStr">
        <is>
          <t>Jan</t>
        </is>
      </c>
      <c r="E15" s="2" t="inlineStr">
        <is>
          <t>2025-01</t>
        </is>
      </c>
      <c r="F15" s="2" t="inlineStr">
        <is>
          <t>Q1</t>
        </is>
      </c>
    </row>
    <row r="16">
      <c r="A16" s="2" t="inlineStr">
        <is>
          <t>2025-01-15</t>
        </is>
      </c>
      <c r="B16" s="2" t="n">
        <v>2025</v>
      </c>
      <c r="C16" s="2" t="n">
        <v>1</v>
      </c>
      <c r="D16" s="2" t="inlineStr">
        <is>
          <t>Jan</t>
        </is>
      </c>
      <c r="E16" s="2" t="inlineStr">
        <is>
          <t>2025-01</t>
        </is>
      </c>
      <c r="F16" s="2" t="inlineStr">
        <is>
          <t>Q1</t>
        </is>
      </c>
    </row>
    <row r="17">
      <c r="A17" s="2" t="inlineStr">
        <is>
          <t>2025-01-16</t>
        </is>
      </c>
      <c r="B17" s="2" t="n">
        <v>2025</v>
      </c>
      <c r="C17" s="2" t="n">
        <v>1</v>
      </c>
      <c r="D17" s="2" t="inlineStr">
        <is>
          <t>Jan</t>
        </is>
      </c>
      <c r="E17" s="2" t="inlineStr">
        <is>
          <t>2025-01</t>
        </is>
      </c>
      <c r="F17" s="2" t="inlineStr">
        <is>
          <t>Q1</t>
        </is>
      </c>
    </row>
    <row r="18">
      <c r="A18" s="2" t="inlineStr">
        <is>
          <t>2025-01-17</t>
        </is>
      </c>
      <c r="B18" s="2" t="n">
        <v>2025</v>
      </c>
      <c r="C18" s="2" t="n">
        <v>1</v>
      </c>
      <c r="D18" s="2" t="inlineStr">
        <is>
          <t>Jan</t>
        </is>
      </c>
      <c r="E18" s="2" t="inlineStr">
        <is>
          <t>2025-01</t>
        </is>
      </c>
      <c r="F18" s="2" t="inlineStr">
        <is>
          <t>Q1</t>
        </is>
      </c>
    </row>
    <row r="19">
      <c r="A19" s="2" t="inlineStr">
        <is>
          <t>2025-01-18</t>
        </is>
      </c>
      <c r="B19" s="2" t="n">
        <v>2025</v>
      </c>
      <c r="C19" s="2" t="n">
        <v>1</v>
      </c>
      <c r="D19" s="2" t="inlineStr">
        <is>
          <t>Jan</t>
        </is>
      </c>
      <c r="E19" s="2" t="inlineStr">
        <is>
          <t>2025-01</t>
        </is>
      </c>
      <c r="F19" s="2" t="inlineStr">
        <is>
          <t>Q1</t>
        </is>
      </c>
    </row>
    <row r="20">
      <c r="A20" s="2" t="inlineStr">
        <is>
          <t>2025-01-19</t>
        </is>
      </c>
      <c r="B20" s="2" t="n">
        <v>2025</v>
      </c>
      <c r="C20" s="2" t="n">
        <v>1</v>
      </c>
      <c r="D20" s="2" t="inlineStr">
        <is>
          <t>Jan</t>
        </is>
      </c>
      <c r="E20" s="2" t="inlineStr">
        <is>
          <t>2025-01</t>
        </is>
      </c>
      <c r="F20" s="2" t="inlineStr">
        <is>
          <t>Q1</t>
        </is>
      </c>
    </row>
    <row r="21">
      <c r="A21" s="2" t="inlineStr">
        <is>
          <t>2025-01-20</t>
        </is>
      </c>
      <c r="B21" s="2" t="n">
        <v>2025</v>
      </c>
      <c r="C21" s="2" t="n">
        <v>1</v>
      </c>
      <c r="D21" s="2" t="inlineStr">
        <is>
          <t>Jan</t>
        </is>
      </c>
      <c r="E21" s="2" t="inlineStr">
        <is>
          <t>2025-01</t>
        </is>
      </c>
      <c r="F21" s="2" t="inlineStr">
        <is>
          <t>Q1</t>
        </is>
      </c>
    </row>
    <row r="22">
      <c r="A22" s="2" t="inlineStr">
        <is>
          <t>2025-01-21</t>
        </is>
      </c>
      <c r="B22" s="2" t="n">
        <v>2025</v>
      </c>
      <c r="C22" s="2" t="n">
        <v>1</v>
      </c>
      <c r="D22" s="2" t="inlineStr">
        <is>
          <t>Jan</t>
        </is>
      </c>
      <c r="E22" s="2" t="inlineStr">
        <is>
          <t>2025-01</t>
        </is>
      </c>
      <c r="F22" s="2" t="inlineStr">
        <is>
          <t>Q1</t>
        </is>
      </c>
    </row>
    <row r="23">
      <c r="A23" s="2" t="inlineStr">
        <is>
          <t>2025-01-22</t>
        </is>
      </c>
      <c r="B23" s="2" t="n">
        <v>2025</v>
      </c>
      <c r="C23" s="2" t="n">
        <v>1</v>
      </c>
      <c r="D23" s="2" t="inlineStr">
        <is>
          <t>Jan</t>
        </is>
      </c>
      <c r="E23" s="2" t="inlineStr">
        <is>
          <t>2025-01</t>
        </is>
      </c>
      <c r="F23" s="2" t="inlineStr">
        <is>
          <t>Q1</t>
        </is>
      </c>
    </row>
    <row r="24">
      <c r="A24" s="2" t="inlineStr">
        <is>
          <t>2025-01-23</t>
        </is>
      </c>
      <c r="B24" s="2" t="n">
        <v>2025</v>
      </c>
      <c r="C24" s="2" t="n">
        <v>1</v>
      </c>
      <c r="D24" s="2" t="inlineStr">
        <is>
          <t>Jan</t>
        </is>
      </c>
      <c r="E24" s="2" t="inlineStr">
        <is>
          <t>2025-01</t>
        </is>
      </c>
      <c r="F24" s="2" t="inlineStr">
        <is>
          <t>Q1</t>
        </is>
      </c>
    </row>
    <row r="25">
      <c r="A25" s="2" t="inlineStr">
        <is>
          <t>2025-01-24</t>
        </is>
      </c>
      <c r="B25" s="2" t="n">
        <v>2025</v>
      </c>
      <c r="C25" s="2" t="n">
        <v>1</v>
      </c>
      <c r="D25" s="2" t="inlineStr">
        <is>
          <t>Jan</t>
        </is>
      </c>
      <c r="E25" s="2" t="inlineStr">
        <is>
          <t>2025-01</t>
        </is>
      </c>
      <c r="F25" s="2" t="inlineStr">
        <is>
          <t>Q1</t>
        </is>
      </c>
    </row>
    <row r="26">
      <c r="A26" s="2" t="inlineStr">
        <is>
          <t>2025-01-25</t>
        </is>
      </c>
      <c r="B26" s="2" t="n">
        <v>2025</v>
      </c>
      <c r="C26" s="2" t="n">
        <v>1</v>
      </c>
      <c r="D26" s="2" t="inlineStr">
        <is>
          <t>Jan</t>
        </is>
      </c>
      <c r="E26" s="2" t="inlineStr">
        <is>
          <t>2025-01</t>
        </is>
      </c>
      <c r="F26" s="2" t="inlineStr">
        <is>
          <t>Q1</t>
        </is>
      </c>
    </row>
    <row r="27">
      <c r="A27" s="2" t="inlineStr">
        <is>
          <t>2025-01-26</t>
        </is>
      </c>
      <c r="B27" s="2" t="n">
        <v>2025</v>
      </c>
      <c r="C27" s="2" t="n">
        <v>1</v>
      </c>
      <c r="D27" s="2" t="inlineStr">
        <is>
          <t>Jan</t>
        </is>
      </c>
      <c r="E27" s="2" t="inlineStr">
        <is>
          <t>2025-01</t>
        </is>
      </c>
      <c r="F27" s="2" t="inlineStr">
        <is>
          <t>Q1</t>
        </is>
      </c>
    </row>
    <row r="28">
      <c r="A28" s="2" t="inlineStr">
        <is>
          <t>2025-01-27</t>
        </is>
      </c>
      <c r="B28" s="2" t="n">
        <v>2025</v>
      </c>
      <c r="C28" s="2" t="n">
        <v>1</v>
      </c>
      <c r="D28" s="2" t="inlineStr">
        <is>
          <t>Jan</t>
        </is>
      </c>
      <c r="E28" s="2" t="inlineStr">
        <is>
          <t>2025-01</t>
        </is>
      </c>
      <c r="F28" s="2" t="inlineStr">
        <is>
          <t>Q1</t>
        </is>
      </c>
    </row>
    <row r="29">
      <c r="A29" s="2" t="inlineStr">
        <is>
          <t>2025-01-28</t>
        </is>
      </c>
      <c r="B29" s="2" t="n">
        <v>2025</v>
      </c>
      <c r="C29" s="2" t="n">
        <v>1</v>
      </c>
      <c r="D29" s="2" t="inlineStr">
        <is>
          <t>Jan</t>
        </is>
      </c>
      <c r="E29" s="2" t="inlineStr">
        <is>
          <t>2025-01</t>
        </is>
      </c>
      <c r="F29" s="2" t="inlineStr">
        <is>
          <t>Q1</t>
        </is>
      </c>
    </row>
    <row r="30">
      <c r="A30" s="2" t="inlineStr">
        <is>
          <t>2025-01-29</t>
        </is>
      </c>
      <c r="B30" s="2" t="n">
        <v>2025</v>
      </c>
      <c r="C30" s="2" t="n">
        <v>1</v>
      </c>
      <c r="D30" s="2" t="inlineStr">
        <is>
          <t>Jan</t>
        </is>
      </c>
      <c r="E30" s="2" t="inlineStr">
        <is>
          <t>2025-01</t>
        </is>
      </c>
      <c r="F30" s="2" t="inlineStr">
        <is>
          <t>Q1</t>
        </is>
      </c>
    </row>
    <row r="31">
      <c r="A31" s="2" t="inlineStr">
        <is>
          <t>2025-01-30</t>
        </is>
      </c>
      <c r="B31" s="2" t="n">
        <v>2025</v>
      </c>
      <c r="C31" s="2" t="n">
        <v>1</v>
      </c>
      <c r="D31" s="2" t="inlineStr">
        <is>
          <t>Jan</t>
        </is>
      </c>
      <c r="E31" s="2" t="inlineStr">
        <is>
          <t>2025-01</t>
        </is>
      </c>
      <c r="F31" s="2" t="inlineStr">
        <is>
          <t>Q1</t>
        </is>
      </c>
    </row>
    <row r="32">
      <c r="A32" s="2" t="inlineStr">
        <is>
          <t>2025-01-31</t>
        </is>
      </c>
      <c r="B32" s="2" t="n">
        <v>2025</v>
      </c>
      <c r="C32" s="2" t="n">
        <v>1</v>
      </c>
      <c r="D32" s="2" t="inlineStr">
        <is>
          <t>Jan</t>
        </is>
      </c>
      <c r="E32" s="2" t="inlineStr">
        <is>
          <t>2025-01</t>
        </is>
      </c>
      <c r="F32" s="2" t="inlineStr">
        <is>
          <t>Q1</t>
        </is>
      </c>
    </row>
    <row r="33">
      <c r="A33" s="2" t="inlineStr">
        <is>
          <t>2025-02-01</t>
        </is>
      </c>
      <c r="B33" s="2" t="n">
        <v>2025</v>
      </c>
      <c r="C33" s="2" t="n">
        <v>2</v>
      </c>
      <c r="D33" s="2" t="inlineStr">
        <is>
          <t>Feb</t>
        </is>
      </c>
      <c r="E33" s="2" t="inlineStr">
        <is>
          <t>2025-02</t>
        </is>
      </c>
      <c r="F33" s="2" t="inlineStr">
        <is>
          <t>Q1</t>
        </is>
      </c>
    </row>
    <row r="34">
      <c r="A34" s="2" t="inlineStr">
        <is>
          <t>2025-02-02</t>
        </is>
      </c>
      <c r="B34" s="2" t="n">
        <v>2025</v>
      </c>
      <c r="C34" s="2" t="n">
        <v>2</v>
      </c>
      <c r="D34" s="2" t="inlineStr">
        <is>
          <t>Feb</t>
        </is>
      </c>
      <c r="E34" s="2" t="inlineStr">
        <is>
          <t>2025-02</t>
        </is>
      </c>
      <c r="F34" s="2" t="inlineStr">
        <is>
          <t>Q1</t>
        </is>
      </c>
    </row>
    <row r="35">
      <c r="A35" s="2" t="inlineStr">
        <is>
          <t>2025-02-03</t>
        </is>
      </c>
      <c r="B35" s="2" t="n">
        <v>2025</v>
      </c>
      <c r="C35" s="2" t="n">
        <v>2</v>
      </c>
      <c r="D35" s="2" t="inlineStr">
        <is>
          <t>Feb</t>
        </is>
      </c>
      <c r="E35" s="2" t="inlineStr">
        <is>
          <t>2025-02</t>
        </is>
      </c>
      <c r="F35" s="2" t="inlineStr">
        <is>
          <t>Q1</t>
        </is>
      </c>
    </row>
    <row r="36">
      <c r="A36" s="2" t="inlineStr">
        <is>
          <t>2025-02-04</t>
        </is>
      </c>
      <c r="B36" s="2" t="n">
        <v>2025</v>
      </c>
      <c r="C36" s="2" t="n">
        <v>2</v>
      </c>
      <c r="D36" s="2" t="inlineStr">
        <is>
          <t>Feb</t>
        </is>
      </c>
      <c r="E36" s="2" t="inlineStr">
        <is>
          <t>2025-02</t>
        </is>
      </c>
      <c r="F36" s="2" t="inlineStr">
        <is>
          <t>Q1</t>
        </is>
      </c>
    </row>
    <row r="37">
      <c r="A37" s="2" t="inlineStr">
        <is>
          <t>2025-02-05</t>
        </is>
      </c>
      <c r="B37" s="2" t="n">
        <v>2025</v>
      </c>
      <c r="C37" s="2" t="n">
        <v>2</v>
      </c>
      <c r="D37" s="2" t="inlineStr">
        <is>
          <t>Feb</t>
        </is>
      </c>
      <c r="E37" s="2" t="inlineStr">
        <is>
          <t>2025-02</t>
        </is>
      </c>
      <c r="F37" s="2" t="inlineStr">
        <is>
          <t>Q1</t>
        </is>
      </c>
    </row>
    <row r="38">
      <c r="A38" s="2" t="inlineStr">
        <is>
          <t>2025-02-06</t>
        </is>
      </c>
      <c r="B38" s="2" t="n">
        <v>2025</v>
      </c>
      <c r="C38" s="2" t="n">
        <v>2</v>
      </c>
      <c r="D38" s="2" t="inlineStr">
        <is>
          <t>Feb</t>
        </is>
      </c>
      <c r="E38" s="2" t="inlineStr">
        <is>
          <t>2025-02</t>
        </is>
      </c>
      <c r="F38" s="2" t="inlineStr">
        <is>
          <t>Q1</t>
        </is>
      </c>
    </row>
    <row r="39">
      <c r="A39" s="2" t="inlineStr">
        <is>
          <t>2025-02-07</t>
        </is>
      </c>
      <c r="B39" s="2" t="n">
        <v>2025</v>
      </c>
      <c r="C39" s="2" t="n">
        <v>2</v>
      </c>
      <c r="D39" s="2" t="inlineStr">
        <is>
          <t>Feb</t>
        </is>
      </c>
      <c r="E39" s="2" t="inlineStr">
        <is>
          <t>2025-02</t>
        </is>
      </c>
      <c r="F39" s="2" t="inlineStr">
        <is>
          <t>Q1</t>
        </is>
      </c>
    </row>
    <row r="40">
      <c r="A40" s="2" t="inlineStr">
        <is>
          <t>2025-02-08</t>
        </is>
      </c>
      <c r="B40" s="2" t="n">
        <v>2025</v>
      </c>
      <c r="C40" s="2" t="n">
        <v>2</v>
      </c>
      <c r="D40" s="2" t="inlineStr">
        <is>
          <t>Feb</t>
        </is>
      </c>
      <c r="E40" s="2" t="inlineStr">
        <is>
          <t>2025-02</t>
        </is>
      </c>
      <c r="F40" s="2" t="inlineStr">
        <is>
          <t>Q1</t>
        </is>
      </c>
    </row>
    <row r="41">
      <c r="A41" s="2" t="inlineStr">
        <is>
          <t>2025-02-09</t>
        </is>
      </c>
      <c r="B41" s="2" t="n">
        <v>2025</v>
      </c>
      <c r="C41" s="2" t="n">
        <v>2</v>
      </c>
      <c r="D41" s="2" t="inlineStr">
        <is>
          <t>Feb</t>
        </is>
      </c>
      <c r="E41" s="2" t="inlineStr">
        <is>
          <t>2025-02</t>
        </is>
      </c>
      <c r="F41" s="2" t="inlineStr">
        <is>
          <t>Q1</t>
        </is>
      </c>
    </row>
    <row r="42">
      <c r="A42" s="2" t="inlineStr">
        <is>
          <t>2025-02-10</t>
        </is>
      </c>
      <c r="B42" s="2" t="n">
        <v>2025</v>
      </c>
      <c r="C42" s="2" t="n">
        <v>2</v>
      </c>
      <c r="D42" s="2" t="inlineStr">
        <is>
          <t>Feb</t>
        </is>
      </c>
      <c r="E42" s="2" t="inlineStr">
        <is>
          <t>2025-02</t>
        </is>
      </c>
      <c r="F42" s="2" t="inlineStr">
        <is>
          <t>Q1</t>
        </is>
      </c>
    </row>
    <row r="43">
      <c r="A43" s="2" t="inlineStr">
        <is>
          <t>2025-02-11</t>
        </is>
      </c>
      <c r="B43" s="2" t="n">
        <v>2025</v>
      </c>
      <c r="C43" s="2" t="n">
        <v>2</v>
      </c>
      <c r="D43" s="2" t="inlineStr">
        <is>
          <t>Feb</t>
        </is>
      </c>
      <c r="E43" s="2" t="inlineStr">
        <is>
          <t>2025-02</t>
        </is>
      </c>
      <c r="F43" s="2" t="inlineStr">
        <is>
          <t>Q1</t>
        </is>
      </c>
    </row>
    <row r="44">
      <c r="A44" s="2" t="inlineStr">
        <is>
          <t>2025-02-12</t>
        </is>
      </c>
      <c r="B44" s="2" t="n">
        <v>2025</v>
      </c>
      <c r="C44" s="2" t="n">
        <v>2</v>
      </c>
      <c r="D44" s="2" t="inlineStr">
        <is>
          <t>Feb</t>
        </is>
      </c>
      <c r="E44" s="2" t="inlineStr">
        <is>
          <t>2025-02</t>
        </is>
      </c>
      <c r="F44" s="2" t="inlineStr">
        <is>
          <t>Q1</t>
        </is>
      </c>
    </row>
    <row r="45">
      <c r="A45" s="2" t="inlineStr">
        <is>
          <t>2025-02-13</t>
        </is>
      </c>
      <c r="B45" s="2" t="n">
        <v>2025</v>
      </c>
      <c r="C45" s="2" t="n">
        <v>2</v>
      </c>
      <c r="D45" s="2" t="inlineStr">
        <is>
          <t>Feb</t>
        </is>
      </c>
      <c r="E45" s="2" t="inlineStr">
        <is>
          <t>2025-02</t>
        </is>
      </c>
      <c r="F45" s="2" t="inlineStr">
        <is>
          <t>Q1</t>
        </is>
      </c>
    </row>
    <row r="46">
      <c r="A46" s="2" t="inlineStr">
        <is>
          <t>2025-02-14</t>
        </is>
      </c>
      <c r="B46" s="2" t="n">
        <v>2025</v>
      </c>
      <c r="C46" s="2" t="n">
        <v>2</v>
      </c>
      <c r="D46" s="2" t="inlineStr">
        <is>
          <t>Feb</t>
        </is>
      </c>
      <c r="E46" s="2" t="inlineStr">
        <is>
          <t>2025-02</t>
        </is>
      </c>
      <c r="F46" s="2" t="inlineStr">
        <is>
          <t>Q1</t>
        </is>
      </c>
    </row>
    <row r="47">
      <c r="A47" s="2" t="inlineStr">
        <is>
          <t>2025-02-15</t>
        </is>
      </c>
      <c r="B47" s="2" t="n">
        <v>2025</v>
      </c>
      <c r="C47" s="2" t="n">
        <v>2</v>
      </c>
      <c r="D47" s="2" t="inlineStr">
        <is>
          <t>Feb</t>
        </is>
      </c>
      <c r="E47" s="2" t="inlineStr">
        <is>
          <t>2025-02</t>
        </is>
      </c>
      <c r="F47" s="2" t="inlineStr">
        <is>
          <t>Q1</t>
        </is>
      </c>
    </row>
    <row r="48">
      <c r="A48" s="2" t="inlineStr">
        <is>
          <t>2025-02-16</t>
        </is>
      </c>
      <c r="B48" s="2" t="n">
        <v>2025</v>
      </c>
      <c r="C48" s="2" t="n">
        <v>2</v>
      </c>
      <c r="D48" s="2" t="inlineStr">
        <is>
          <t>Feb</t>
        </is>
      </c>
      <c r="E48" s="2" t="inlineStr">
        <is>
          <t>2025-02</t>
        </is>
      </c>
      <c r="F48" s="2" t="inlineStr">
        <is>
          <t>Q1</t>
        </is>
      </c>
    </row>
    <row r="49">
      <c r="A49" s="2" t="inlineStr">
        <is>
          <t>2025-02-17</t>
        </is>
      </c>
      <c r="B49" s="2" t="n">
        <v>2025</v>
      </c>
      <c r="C49" s="2" t="n">
        <v>2</v>
      </c>
      <c r="D49" s="2" t="inlineStr">
        <is>
          <t>Feb</t>
        </is>
      </c>
      <c r="E49" s="2" t="inlineStr">
        <is>
          <t>2025-02</t>
        </is>
      </c>
      <c r="F49" s="2" t="inlineStr">
        <is>
          <t>Q1</t>
        </is>
      </c>
    </row>
    <row r="50">
      <c r="A50" s="2" t="inlineStr">
        <is>
          <t>2025-02-18</t>
        </is>
      </c>
      <c r="B50" s="2" t="n">
        <v>2025</v>
      </c>
      <c r="C50" s="2" t="n">
        <v>2</v>
      </c>
      <c r="D50" s="2" t="inlineStr">
        <is>
          <t>Feb</t>
        </is>
      </c>
      <c r="E50" s="2" t="inlineStr">
        <is>
          <t>2025-02</t>
        </is>
      </c>
      <c r="F50" s="2" t="inlineStr">
        <is>
          <t>Q1</t>
        </is>
      </c>
    </row>
    <row r="51">
      <c r="A51" s="2" t="inlineStr">
        <is>
          <t>2025-02-19</t>
        </is>
      </c>
      <c r="B51" s="2" t="n">
        <v>2025</v>
      </c>
      <c r="C51" s="2" t="n">
        <v>2</v>
      </c>
      <c r="D51" s="2" t="inlineStr">
        <is>
          <t>Feb</t>
        </is>
      </c>
      <c r="E51" s="2" t="inlineStr">
        <is>
          <t>2025-02</t>
        </is>
      </c>
      <c r="F51" s="2" t="inlineStr">
        <is>
          <t>Q1</t>
        </is>
      </c>
    </row>
    <row r="52">
      <c r="A52" s="2" t="inlineStr">
        <is>
          <t>2025-02-20</t>
        </is>
      </c>
      <c r="B52" s="2" t="n">
        <v>2025</v>
      </c>
      <c r="C52" s="2" t="n">
        <v>2</v>
      </c>
      <c r="D52" s="2" t="inlineStr">
        <is>
          <t>Feb</t>
        </is>
      </c>
      <c r="E52" s="2" t="inlineStr">
        <is>
          <t>2025-02</t>
        </is>
      </c>
      <c r="F52" s="2" t="inlineStr">
        <is>
          <t>Q1</t>
        </is>
      </c>
    </row>
    <row r="53">
      <c r="A53" s="2" t="inlineStr">
        <is>
          <t>2025-02-21</t>
        </is>
      </c>
      <c r="B53" s="2" t="n">
        <v>2025</v>
      </c>
      <c r="C53" s="2" t="n">
        <v>2</v>
      </c>
      <c r="D53" s="2" t="inlineStr">
        <is>
          <t>Feb</t>
        </is>
      </c>
      <c r="E53" s="2" t="inlineStr">
        <is>
          <t>2025-02</t>
        </is>
      </c>
      <c r="F53" s="2" t="inlineStr">
        <is>
          <t>Q1</t>
        </is>
      </c>
    </row>
    <row r="54">
      <c r="A54" s="2" t="inlineStr">
        <is>
          <t>2025-02-22</t>
        </is>
      </c>
      <c r="B54" s="2" t="n">
        <v>2025</v>
      </c>
      <c r="C54" s="2" t="n">
        <v>2</v>
      </c>
      <c r="D54" s="2" t="inlineStr">
        <is>
          <t>Feb</t>
        </is>
      </c>
      <c r="E54" s="2" t="inlineStr">
        <is>
          <t>2025-02</t>
        </is>
      </c>
      <c r="F54" s="2" t="inlineStr">
        <is>
          <t>Q1</t>
        </is>
      </c>
    </row>
    <row r="55">
      <c r="A55" s="2" t="inlineStr">
        <is>
          <t>2025-02-23</t>
        </is>
      </c>
      <c r="B55" s="2" t="n">
        <v>2025</v>
      </c>
      <c r="C55" s="2" t="n">
        <v>2</v>
      </c>
      <c r="D55" s="2" t="inlineStr">
        <is>
          <t>Feb</t>
        </is>
      </c>
      <c r="E55" s="2" t="inlineStr">
        <is>
          <t>2025-02</t>
        </is>
      </c>
      <c r="F55" s="2" t="inlineStr">
        <is>
          <t>Q1</t>
        </is>
      </c>
    </row>
    <row r="56">
      <c r="A56" s="2" t="inlineStr">
        <is>
          <t>2025-02-24</t>
        </is>
      </c>
      <c r="B56" s="2" t="n">
        <v>2025</v>
      </c>
      <c r="C56" s="2" t="n">
        <v>2</v>
      </c>
      <c r="D56" s="2" t="inlineStr">
        <is>
          <t>Feb</t>
        </is>
      </c>
      <c r="E56" s="2" t="inlineStr">
        <is>
          <t>2025-02</t>
        </is>
      </c>
      <c r="F56" s="2" t="inlineStr">
        <is>
          <t>Q1</t>
        </is>
      </c>
    </row>
    <row r="57">
      <c r="A57" s="2" t="inlineStr">
        <is>
          <t>2025-02-25</t>
        </is>
      </c>
      <c r="B57" s="2" t="n">
        <v>2025</v>
      </c>
      <c r="C57" s="2" t="n">
        <v>2</v>
      </c>
      <c r="D57" s="2" t="inlineStr">
        <is>
          <t>Feb</t>
        </is>
      </c>
      <c r="E57" s="2" t="inlineStr">
        <is>
          <t>2025-02</t>
        </is>
      </c>
      <c r="F57" s="2" t="inlineStr">
        <is>
          <t>Q1</t>
        </is>
      </c>
    </row>
    <row r="58">
      <c r="A58" s="2" t="inlineStr">
        <is>
          <t>2025-02-26</t>
        </is>
      </c>
      <c r="B58" s="2" t="n">
        <v>2025</v>
      </c>
      <c r="C58" s="2" t="n">
        <v>2</v>
      </c>
      <c r="D58" s="2" t="inlineStr">
        <is>
          <t>Feb</t>
        </is>
      </c>
      <c r="E58" s="2" t="inlineStr">
        <is>
          <t>2025-02</t>
        </is>
      </c>
      <c r="F58" s="2" t="inlineStr">
        <is>
          <t>Q1</t>
        </is>
      </c>
    </row>
    <row r="59">
      <c r="A59" s="2" t="inlineStr">
        <is>
          <t>2025-02-27</t>
        </is>
      </c>
      <c r="B59" s="2" t="n">
        <v>2025</v>
      </c>
      <c r="C59" s="2" t="n">
        <v>2</v>
      </c>
      <c r="D59" s="2" t="inlineStr">
        <is>
          <t>Feb</t>
        </is>
      </c>
      <c r="E59" s="2" t="inlineStr">
        <is>
          <t>2025-02</t>
        </is>
      </c>
      <c r="F59" s="2" t="inlineStr">
        <is>
          <t>Q1</t>
        </is>
      </c>
    </row>
    <row r="60">
      <c r="A60" s="2" t="inlineStr">
        <is>
          <t>2025-02-28</t>
        </is>
      </c>
      <c r="B60" s="2" t="n">
        <v>2025</v>
      </c>
      <c r="C60" s="2" t="n">
        <v>2</v>
      </c>
      <c r="D60" s="2" t="inlineStr">
        <is>
          <t>Feb</t>
        </is>
      </c>
      <c r="E60" s="2" t="inlineStr">
        <is>
          <t>2025-02</t>
        </is>
      </c>
      <c r="F60" s="2" t="inlineStr">
        <is>
          <t>Q1</t>
        </is>
      </c>
    </row>
    <row r="61">
      <c r="A61" s="2" t="inlineStr">
        <is>
          <t>2025-03-01</t>
        </is>
      </c>
      <c r="B61" s="2" t="n">
        <v>2025</v>
      </c>
      <c r="C61" s="2" t="n">
        <v>3</v>
      </c>
      <c r="D61" s="2" t="inlineStr">
        <is>
          <t>Mar</t>
        </is>
      </c>
      <c r="E61" s="2" t="inlineStr">
        <is>
          <t>2025-03</t>
        </is>
      </c>
      <c r="F61" s="2" t="inlineStr">
        <is>
          <t>Q1</t>
        </is>
      </c>
    </row>
    <row r="62">
      <c r="A62" s="2" t="inlineStr">
        <is>
          <t>2025-03-02</t>
        </is>
      </c>
      <c r="B62" s="2" t="n">
        <v>2025</v>
      </c>
      <c r="C62" s="2" t="n">
        <v>3</v>
      </c>
      <c r="D62" s="2" t="inlineStr">
        <is>
          <t>Mar</t>
        </is>
      </c>
      <c r="E62" s="2" t="inlineStr">
        <is>
          <t>2025-03</t>
        </is>
      </c>
      <c r="F62" s="2" t="inlineStr">
        <is>
          <t>Q1</t>
        </is>
      </c>
    </row>
    <row r="63">
      <c r="A63" s="2" t="inlineStr">
        <is>
          <t>2025-03-03</t>
        </is>
      </c>
      <c r="B63" s="2" t="n">
        <v>2025</v>
      </c>
      <c r="C63" s="2" t="n">
        <v>3</v>
      </c>
      <c r="D63" s="2" t="inlineStr">
        <is>
          <t>Mar</t>
        </is>
      </c>
      <c r="E63" s="2" t="inlineStr">
        <is>
          <t>2025-03</t>
        </is>
      </c>
      <c r="F63" s="2" t="inlineStr">
        <is>
          <t>Q1</t>
        </is>
      </c>
    </row>
    <row r="64">
      <c r="A64" s="2" t="inlineStr">
        <is>
          <t>2025-03-04</t>
        </is>
      </c>
      <c r="B64" s="2" t="n">
        <v>2025</v>
      </c>
      <c r="C64" s="2" t="n">
        <v>3</v>
      </c>
      <c r="D64" s="2" t="inlineStr">
        <is>
          <t>Mar</t>
        </is>
      </c>
      <c r="E64" s="2" t="inlineStr">
        <is>
          <t>2025-03</t>
        </is>
      </c>
      <c r="F64" s="2" t="inlineStr">
        <is>
          <t>Q1</t>
        </is>
      </c>
    </row>
    <row r="65">
      <c r="A65" s="2" t="inlineStr">
        <is>
          <t>2025-03-05</t>
        </is>
      </c>
      <c r="B65" s="2" t="n">
        <v>2025</v>
      </c>
      <c r="C65" s="2" t="n">
        <v>3</v>
      </c>
      <c r="D65" s="2" t="inlineStr">
        <is>
          <t>Mar</t>
        </is>
      </c>
      <c r="E65" s="2" t="inlineStr">
        <is>
          <t>2025-03</t>
        </is>
      </c>
      <c r="F65" s="2" t="inlineStr">
        <is>
          <t>Q1</t>
        </is>
      </c>
    </row>
    <row r="66">
      <c r="A66" s="2" t="inlineStr">
        <is>
          <t>2025-03-06</t>
        </is>
      </c>
      <c r="B66" s="2" t="n">
        <v>2025</v>
      </c>
      <c r="C66" s="2" t="n">
        <v>3</v>
      </c>
      <c r="D66" s="2" t="inlineStr">
        <is>
          <t>Mar</t>
        </is>
      </c>
      <c r="E66" s="2" t="inlineStr">
        <is>
          <t>2025-03</t>
        </is>
      </c>
      <c r="F66" s="2" t="inlineStr">
        <is>
          <t>Q1</t>
        </is>
      </c>
    </row>
    <row r="67">
      <c r="A67" s="2" t="inlineStr">
        <is>
          <t>2025-03-07</t>
        </is>
      </c>
      <c r="B67" s="2" t="n">
        <v>2025</v>
      </c>
      <c r="C67" s="2" t="n">
        <v>3</v>
      </c>
      <c r="D67" s="2" t="inlineStr">
        <is>
          <t>Mar</t>
        </is>
      </c>
      <c r="E67" s="2" t="inlineStr">
        <is>
          <t>2025-03</t>
        </is>
      </c>
      <c r="F67" s="2" t="inlineStr">
        <is>
          <t>Q1</t>
        </is>
      </c>
    </row>
    <row r="68">
      <c r="A68" s="2" t="inlineStr">
        <is>
          <t>2025-03-08</t>
        </is>
      </c>
      <c r="B68" s="2" t="n">
        <v>2025</v>
      </c>
      <c r="C68" s="2" t="n">
        <v>3</v>
      </c>
      <c r="D68" s="2" t="inlineStr">
        <is>
          <t>Mar</t>
        </is>
      </c>
      <c r="E68" s="2" t="inlineStr">
        <is>
          <t>2025-03</t>
        </is>
      </c>
      <c r="F68" s="2" t="inlineStr">
        <is>
          <t>Q1</t>
        </is>
      </c>
    </row>
    <row r="69">
      <c r="A69" s="2" t="inlineStr">
        <is>
          <t>2025-03-09</t>
        </is>
      </c>
      <c r="B69" s="2" t="n">
        <v>2025</v>
      </c>
      <c r="C69" s="2" t="n">
        <v>3</v>
      </c>
      <c r="D69" s="2" t="inlineStr">
        <is>
          <t>Mar</t>
        </is>
      </c>
      <c r="E69" s="2" t="inlineStr">
        <is>
          <t>2025-03</t>
        </is>
      </c>
      <c r="F69" s="2" t="inlineStr">
        <is>
          <t>Q1</t>
        </is>
      </c>
    </row>
    <row r="70">
      <c r="A70" s="2" t="inlineStr">
        <is>
          <t>2025-03-10</t>
        </is>
      </c>
      <c r="B70" s="2" t="n">
        <v>2025</v>
      </c>
      <c r="C70" s="2" t="n">
        <v>3</v>
      </c>
      <c r="D70" s="2" t="inlineStr">
        <is>
          <t>Mar</t>
        </is>
      </c>
      <c r="E70" s="2" t="inlineStr">
        <is>
          <t>2025-03</t>
        </is>
      </c>
      <c r="F70" s="2" t="inlineStr">
        <is>
          <t>Q1</t>
        </is>
      </c>
    </row>
    <row r="71">
      <c r="A71" s="2" t="inlineStr">
        <is>
          <t>2025-03-11</t>
        </is>
      </c>
      <c r="B71" s="2" t="n">
        <v>2025</v>
      </c>
      <c r="C71" s="2" t="n">
        <v>3</v>
      </c>
      <c r="D71" s="2" t="inlineStr">
        <is>
          <t>Mar</t>
        </is>
      </c>
      <c r="E71" s="2" t="inlineStr">
        <is>
          <t>2025-03</t>
        </is>
      </c>
      <c r="F71" s="2" t="inlineStr">
        <is>
          <t>Q1</t>
        </is>
      </c>
    </row>
    <row r="72">
      <c r="A72" s="2" t="inlineStr">
        <is>
          <t>2025-03-12</t>
        </is>
      </c>
      <c r="B72" s="2" t="n">
        <v>2025</v>
      </c>
      <c r="C72" s="2" t="n">
        <v>3</v>
      </c>
      <c r="D72" s="2" t="inlineStr">
        <is>
          <t>Mar</t>
        </is>
      </c>
      <c r="E72" s="2" t="inlineStr">
        <is>
          <t>2025-03</t>
        </is>
      </c>
      <c r="F72" s="2" t="inlineStr">
        <is>
          <t>Q1</t>
        </is>
      </c>
    </row>
    <row r="73">
      <c r="A73" s="2" t="inlineStr">
        <is>
          <t>2025-03-13</t>
        </is>
      </c>
      <c r="B73" s="2" t="n">
        <v>2025</v>
      </c>
      <c r="C73" s="2" t="n">
        <v>3</v>
      </c>
      <c r="D73" s="2" t="inlineStr">
        <is>
          <t>Mar</t>
        </is>
      </c>
      <c r="E73" s="2" t="inlineStr">
        <is>
          <t>2025-03</t>
        </is>
      </c>
      <c r="F73" s="2" t="inlineStr">
        <is>
          <t>Q1</t>
        </is>
      </c>
    </row>
    <row r="74">
      <c r="A74" s="2" t="inlineStr">
        <is>
          <t>2025-03-14</t>
        </is>
      </c>
      <c r="B74" s="2" t="n">
        <v>2025</v>
      </c>
      <c r="C74" s="2" t="n">
        <v>3</v>
      </c>
      <c r="D74" s="2" t="inlineStr">
        <is>
          <t>Mar</t>
        </is>
      </c>
      <c r="E74" s="2" t="inlineStr">
        <is>
          <t>2025-03</t>
        </is>
      </c>
      <c r="F74" s="2" t="inlineStr">
        <is>
          <t>Q1</t>
        </is>
      </c>
    </row>
    <row r="75">
      <c r="A75" s="2" t="inlineStr">
        <is>
          <t>2025-03-15</t>
        </is>
      </c>
      <c r="B75" s="2" t="n">
        <v>2025</v>
      </c>
      <c r="C75" s="2" t="n">
        <v>3</v>
      </c>
      <c r="D75" s="2" t="inlineStr">
        <is>
          <t>Mar</t>
        </is>
      </c>
      <c r="E75" s="2" t="inlineStr">
        <is>
          <t>2025-03</t>
        </is>
      </c>
      <c r="F75" s="2" t="inlineStr">
        <is>
          <t>Q1</t>
        </is>
      </c>
    </row>
    <row r="76">
      <c r="A76" s="2" t="inlineStr">
        <is>
          <t>2025-03-16</t>
        </is>
      </c>
      <c r="B76" s="2" t="n">
        <v>2025</v>
      </c>
      <c r="C76" s="2" t="n">
        <v>3</v>
      </c>
      <c r="D76" s="2" t="inlineStr">
        <is>
          <t>Mar</t>
        </is>
      </c>
      <c r="E76" s="2" t="inlineStr">
        <is>
          <t>2025-03</t>
        </is>
      </c>
      <c r="F76" s="2" t="inlineStr">
        <is>
          <t>Q1</t>
        </is>
      </c>
    </row>
    <row r="77">
      <c r="A77" s="2" t="inlineStr">
        <is>
          <t>2025-03-17</t>
        </is>
      </c>
      <c r="B77" s="2" t="n">
        <v>2025</v>
      </c>
      <c r="C77" s="2" t="n">
        <v>3</v>
      </c>
      <c r="D77" s="2" t="inlineStr">
        <is>
          <t>Mar</t>
        </is>
      </c>
      <c r="E77" s="2" t="inlineStr">
        <is>
          <t>2025-03</t>
        </is>
      </c>
      <c r="F77" s="2" t="inlineStr">
        <is>
          <t>Q1</t>
        </is>
      </c>
    </row>
    <row r="78">
      <c r="A78" s="2" t="inlineStr">
        <is>
          <t>2025-03-18</t>
        </is>
      </c>
      <c r="B78" s="2" t="n">
        <v>2025</v>
      </c>
      <c r="C78" s="2" t="n">
        <v>3</v>
      </c>
      <c r="D78" s="2" t="inlineStr">
        <is>
          <t>Mar</t>
        </is>
      </c>
      <c r="E78" s="2" t="inlineStr">
        <is>
          <t>2025-03</t>
        </is>
      </c>
      <c r="F78" s="2" t="inlineStr">
        <is>
          <t>Q1</t>
        </is>
      </c>
    </row>
    <row r="79">
      <c r="A79" s="2" t="inlineStr">
        <is>
          <t>2025-03-19</t>
        </is>
      </c>
      <c r="B79" s="2" t="n">
        <v>2025</v>
      </c>
      <c r="C79" s="2" t="n">
        <v>3</v>
      </c>
      <c r="D79" s="2" t="inlineStr">
        <is>
          <t>Mar</t>
        </is>
      </c>
      <c r="E79" s="2" t="inlineStr">
        <is>
          <t>2025-03</t>
        </is>
      </c>
      <c r="F79" s="2" t="inlineStr">
        <is>
          <t>Q1</t>
        </is>
      </c>
    </row>
    <row r="80">
      <c r="A80" s="2" t="inlineStr">
        <is>
          <t>2025-03-20</t>
        </is>
      </c>
      <c r="B80" s="2" t="n">
        <v>2025</v>
      </c>
      <c r="C80" s="2" t="n">
        <v>3</v>
      </c>
      <c r="D80" s="2" t="inlineStr">
        <is>
          <t>Mar</t>
        </is>
      </c>
      <c r="E80" s="2" t="inlineStr">
        <is>
          <t>2025-03</t>
        </is>
      </c>
      <c r="F80" s="2" t="inlineStr">
        <is>
          <t>Q1</t>
        </is>
      </c>
    </row>
    <row r="81">
      <c r="A81" s="2" t="inlineStr">
        <is>
          <t>2025-03-21</t>
        </is>
      </c>
      <c r="B81" s="2" t="n">
        <v>2025</v>
      </c>
      <c r="C81" s="2" t="n">
        <v>3</v>
      </c>
      <c r="D81" s="2" t="inlineStr">
        <is>
          <t>Mar</t>
        </is>
      </c>
      <c r="E81" s="2" t="inlineStr">
        <is>
          <t>2025-03</t>
        </is>
      </c>
      <c r="F81" s="2" t="inlineStr">
        <is>
          <t>Q1</t>
        </is>
      </c>
    </row>
    <row r="82">
      <c r="A82" s="2" t="inlineStr">
        <is>
          <t>2025-03-22</t>
        </is>
      </c>
      <c r="B82" s="2" t="n">
        <v>2025</v>
      </c>
      <c r="C82" s="2" t="n">
        <v>3</v>
      </c>
      <c r="D82" s="2" t="inlineStr">
        <is>
          <t>Mar</t>
        </is>
      </c>
      <c r="E82" s="2" t="inlineStr">
        <is>
          <t>2025-03</t>
        </is>
      </c>
      <c r="F82" s="2" t="inlineStr">
        <is>
          <t>Q1</t>
        </is>
      </c>
    </row>
    <row r="83">
      <c r="A83" s="2" t="inlineStr">
        <is>
          <t>2025-03-23</t>
        </is>
      </c>
      <c r="B83" s="2" t="n">
        <v>2025</v>
      </c>
      <c r="C83" s="2" t="n">
        <v>3</v>
      </c>
      <c r="D83" s="2" t="inlineStr">
        <is>
          <t>Mar</t>
        </is>
      </c>
      <c r="E83" s="2" t="inlineStr">
        <is>
          <t>2025-03</t>
        </is>
      </c>
      <c r="F83" s="2" t="inlineStr">
        <is>
          <t>Q1</t>
        </is>
      </c>
    </row>
    <row r="84">
      <c r="A84" s="2" t="inlineStr">
        <is>
          <t>2025-03-24</t>
        </is>
      </c>
      <c r="B84" s="2" t="n">
        <v>2025</v>
      </c>
      <c r="C84" s="2" t="n">
        <v>3</v>
      </c>
      <c r="D84" s="2" t="inlineStr">
        <is>
          <t>Mar</t>
        </is>
      </c>
      <c r="E84" s="2" t="inlineStr">
        <is>
          <t>2025-03</t>
        </is>
      </c>
      <c r="F84" s="2" t="inlineStr">
        <is>
          <t>Q1</t>
        </is>
      </c>
    </row>
    <row r="85">
      <c r="A85" s="2" t="inlineStr">
        <is>
          <t>2025-03-25</t>
        </is>
      </c>
      <c r="B85" s="2" t="n">
        <v>2025</v>
      </c>
      <c r="C85" s="2" t="n">
        <v>3</v>
      </c>
      <c r="D85" s="2" t="inlineStr">
        <is>
          <t>Mar</t>
        </is>
      </c>
      <c r="E85" s="2" t="inlineStr">
        <is>
          <t>2025-03</t>
        </is>
      </c>
      <c r="F85" s="2" t="inlineStr">
        <is>
          <t>Q1</t>
        </is>
      </c>
    </row>
    <row r="86">
      <c r="A86" s="2" t="inlineStr">
        <is>
          <t>2025-03-26</t>
        </is>
      </c>
      <c r="B86" s="2" t="n">
        <v>2025</v>
      </c>
      <c r="C86" s="2" t="n">
        <v>3</v>
      </c>
      <c r="D86" s="2" t="inlineStr">
        <is>
          <t>Mar</t>
        </is>
      </c>
      <c r="E86" s="2" t="inlineStr">
        <is>
          <t>2025-03</t>
        </is>
      </c>
      <c r="F86" s="2" t="inlineStr">
        <is>
          <t>Q1</t>
        </is>
      </c>
    </row>
    <row r="87">
      <c r="A87" s="2" t="inlineStr">
        <is>
          <t>2025-03-27</t>
        </is>
      </c>
      <c r="B87" s="2" t="n">
        <v>2025</v>
      </c>
      <c r="C87" s="2" t="n">
        <v>3</v>
      </c>
      <c r="D87" s="2" t="inlineStr">
        <is>
          <t>Mar</t>
        </is>
      </c>
      <c r="E87" s="2" t="inlineStr">
        <is>
          <t>2025-03</t>
        </is>
      </c>
      <c r="F87" s="2" t="inlineStr">
        <is>
          <t>Q1</t>
        </is>
      </c>
    </row>
    <row r="88">
      <c r="A88" s="2" t="inlineStr">
        <is>
          <t>2025-03-28</t>
        </is>
      </c>
      <c r="B88" s="2" t="n">
        <v>2025</v>
      </c>
      <c r="C88" s="2" t="n">
        <v>3</v>
      </c>
      <c r="D88" s="2" t="inlineStr">
        <is>
          <t>Mar</t>
        </is>
      </c>
      <c r="E88" s="2" t="inlineStr">
        <is>
          <t>2025-03</t>
        </is>
      </c>
      <c r="F88" s="2" t="inlineStr">
        <is>
          <t>Q1</t>
        </is>
      </c>
    </row>
    <row r="89">
      <c r="A89" s="2" t="inlineStr">
        <is>
          <t>2025-03-29</t>
        </is>
      </c>
      <c r="B89" s="2" t="n">
        <v>2025</v>
      </c>
      <c r="C89" s="2" t="n">
        <v>3</v>
      </c>
      <c r="D89" s="2" t="inlineStr">
        <is>
          <t>Mar</t>
        </is>
      </c>
      <c r="E89" s="2" t="inlineStr">
        <is>
          <t>2025-03</t>
        </is>
      </c>
      <c r="F89" s="2" t="inlineStr">
        <is>
          <t>Q1</t>
        </is>
      </c>
    </row>
    <row r="90">
      <c r="A90" s="2" t="inlineStr">
        <is>
          <t>2025-03-30</t>
        </is>
      </c>
      <c r="B90" s="2" t="n">
        <v>2025</v>
      </c>
      <c r="C90" s="2" t="n">
        <v>3</v>
      </c>
      <c r="D90" s="2" t="inlineStr">
        <is>
          <t>Mar</t>
        </is>
      </c>
      <c r="E90" s="2" t="inlineStr">
        <is>
          <t>2025-03</t>
        </is>
      </c>
      <c r="F90" s="2" t="inlineStr">
        <is>
          <t>Q1</t>
        </is>
      </c>
    </row>
    <row r="91">
      <c r="A91" s="2" t="inlineStr">
        <is>
          <t>2025-03-31</t>
        </is>
      </c>
      <c r="B91" s="2" t="n">
        <v>2025</v>
      </c>
      <c r="C91" s="2" t="n">
        <v>3</v>
      </c>
      <c r="D91" s="2" t="inlineStr">
        <is>
          <t>Mar</t>
        </is>
      </c>
      <c r="E91" s="2" t="inlineStr">
        <is>
          <t>2025-03</t>
        </is>
      </c>
      <c r="F91" s="2" t="inlineStr">
        <is>
          <t>Q1</t>
        </is>
      </c>
    </row>
    <row r="92">
      <c r="A92" s="2" t="inlineStr">
        <is>
          <t>2025-04-01</t>
        </is>
      </c>
      <c r="B92" s="2" t="n">
        <v>2025</v>
      </c>
      <c r="C92" s="2" t="n">
        <v>4</v>
      </c>
      <c r="D92" s="2" t="inlineStr">
        <is>
          <t>Apr</t>
        </is>
      </c>
      <c r="E92" s="2" t="inlineStr">
        <is>
          <t>2025-04</t>
        </is>
      </c>
      <c r="F92" s="2" t="inlineStr">
        <is>
          <t>Q2</t>
        </is>
      </c>
    </row>
    <row r="93">
      <c r="A93" s="2" t="inlineStr">
        <is>
          <t>2025-04-02</t>
        </is>
      </c>
      <c r="B93" s="2" t="n">
        <v>2025</v>
      </c>
      <c r="C93" s="2" t="n">
        <v>4</v>
      </c>
      <c r="D93" s="2" t="inlineStr">
        <is>
          <t>Apr</t>
        </is>
      </c>
      <c r="E93" s="2" t="inlineStr">
        <is>
          <t>2025-04</t>
        </is>
      </c>
      <c r="F93" s="2" t="inlineStr">
        <is>
          <t>Q2</t>
        </is>
      </c>
    </row>
    <row r="94">
      <c r="A94" s="2" t="inlineStr">
        <is>
          <t>2025-04-03</t>
        </is>
      </c>
      <c r="B94" s="2" t="n">
        <v>2025</v>
      </c>
      <c r="C94" s="2" t="n">
        <v>4</v>
      </c>
      <c r="D94" s="2" t="inlineStr">
        <is>
          <t>Apr</t>
        </is>
      </c>
      <c r="E94" s="2" t="inlineStr">
        <is>
          <t>2025-04</t>
        </is>
      </c>
      <c r="F94" s="2" t="inlineStr">
        <is>
          <t>Q2</t>
        </is>
      </c>
    </row>
    <row r="95">
      <c r="A95" s="2" t="inlineStr">
        <is>
          <t>2025-04-04</t>
        </is>
      </c>
      <c r="B95" s="2" t="n">
        <v>2025</v>
      </c>
      <c r="C95" s="2" t="n">
        <v>4</v>
      </c>
      <c r="D95" s="2" t="inlineStr">
        <is>
          <t>Apr</t>
        </is>
      </c>
      <c r="E95" s="2" t="inlineStr">
        <is>
          <t>2025-04</t>
        </is>
      </c>
      <c r="F95" s="2" t="inlineStr">
        <is>
          <t>Q2</t>
        </is>
      </c>
    </row>
    <row r="96">
      <c r="A96" s="2" t="inlineStr">
        <is>
          <t>2025-04-05</t>
        </is>
      </c>
      <c r="B96" s="2" t="n">
        <v>2025</v>
      </c>
      <c r="C96" s="2" t="n">
        <v>4</v>
      </c>
      <c r="D96" s="2" t="inlineStr">
        <is>
          <t>Apr</t>
        </is>
      </c>
      <c r="E96" s="2" t="inlineStr">
        <is>
          <t>2025-04</t>
        </is>
      </c>
      <c r="F96" s="2" t="inlineStr">
        <is>
          <t>Q2</t>
        </is>
      </c>
    </row>
    <row r="97">
      <c r="A97" s="2" t="inlineStr">
        <is>
          <t>2025-04-06</t>
        </is>
      </c>
      <c r="B97" s="2" t="n">
        <v>2025</v>
      </c>
      <c r="C97" s="2" t="n">
        <v>4</v>
      </c>
      <c r="D97" s="2" t="inlineStr">
        <is>
          <t>Apr</t>
        </is>
      </c>
      <c r="E97" s="2" t="inlineStr">
        <is>
          <t>2025-04</t>
        </is>
      </c>
      <c r="F97" s="2" t="inlineStr">
        <is>
          <t>Q2</t>
        </is>
      </c>
    </row>
    <row r="98">
      <c r="A98" s="2" t="inlineStr">
        <is>
          <t>2025-04-07</t>
        </is>
      </c>
      <c r="B98" s="2" t="n">
        <v>2025</v>
      </c>
      <c r="C98" s="2" t="n">
        <v>4</v>
      </c>
      <c r="D98" s="2" t="inlineStr">
        <is>
          <t>Apr</t>
        </is>
      </c>
      <c r="E98" s="2" t="inlineStr">
        <is>
          <t>2025-04</t>
        </is>
      </c>
      <c r="F98" s="2" t="inlineStr">
        <is>
          <t>Q2</t>
        </is>
      </c>
    </row>
    <row r="99">
      <c r="A99" s="2" t="inlineStr">
        <is>
          <t>2025-04-08</t>
        </is>
      </c>
      <c r="B99" s="2" t="n">
        <v>2025</v>
      </c>
      <c r="C99" s="2" t="n">
        <v>4</v>
      </c>
      <c r="D99" s="2" t="inlineStr">
        <is>
          <t>Apr</t>
        </is>
      </c>
      <c r="E99" s="2" t="inlineStr">
        <is>
          <t>2025-04</t>
        </is>
      </c>
      <c r="F99" s="2" t="inlineStr">
        <is>
          <t>Q2</t>
        </is>
      </c>
    </row>
    <row r="100">
      <c r="A100" s="2" t="inlineStr">
        <is>
          <t>2025-04-09</t>
        </is>
      </c>
      <c r="B100" s="2" t="n">
        <v>2025</v>
      </c>
      <c r="C100" s="2" t="n">
        <v>4</v>
      </c>
      <c r="D100" s="2" t="inlineStr">
        <is>
          <t>Apr</t>
        </is>
      </c>
      <c r="E100" s="2" t="inlineStr">
        <is>
          <t>2025-04</t>
        </is>
      </c>
      <c r="F100" s="2" t="inlineStr">
        <is>
          <t>Q2</t>
        </is>
      </c>
    </row>
    <row r="101">
      <c r="A101" s="2" t="inlineStr">
        <is>
          <t>2025-04-10</t>
        </is>
      </c>
      <c r="B101" s="2" t="n">
        <v>2025</v>
      </c>
      <c r="C101" s="2" t="n">
        <v>4</v>
      </c>
      <c r="D101" s="2" t="inlineStr">
        <is>
          <t>Apr</t>
        </is>
      </c>
      <c r="E101" s="2" t="inlineStr">
        <is>
          <t>2025-04</t>
        </is>
      </c>
      <c r="F101" s="2" t="inlineStr">
        <is>
          <t>Q2</t>
        </is>
      </c>
    </row>
    <row r="102">
      <c r="A102" s="2" t="inlineStr">
        <is>
          <t>2025-04-11</t>
        </is>
      </c>
      <c r="B102" s="2" t="n">
        <v>2025</v>
      </c>
      <c r="C102" s="2" t="n">
        <v>4</v>
      </c>
      <c r="D102" s="2" t="inlineStr">
        <is>
          <t>Apr</t>
        </is>
      </c>
      <c r="E102" s="2" t="inlineStr">
        <is>
          <t>2025-04</t>
        </is>
      </c>
      <c r="F102" s="2" t="inlineStr">
        <is>
          <t>Q2</t>
        </is>
      </c>
    </row>
    <row r="103">
      <c r="A103" s="2" t="inlineStr">
        <is>
          <t>2025-04-12</t>
        </is>
      </c>
      <c r="B103" s="2" t="n">
        <v>2025</v>
      </c>
      <c r="C103" s="2" t="n">
        <v>4</v>
      </c>
      <c r="D103" s="2" t="inlineStr">
        <is>
          <t>Apr</t>
        </is>
      </c>
      <c r="E103" s="2" t="inlineStr">
        <is>
          <t>2025-04</t>
        </is>
      </c>
      <c r="F103" s="2" t="inlineStr">
        <is>
          <t>Q2</t>
        </is>
      </c>
    </row>
    <row r="104">
      <c r="A104" s="2" t="inlineStr">
        <is>
          <t>2025-04-13</t>
        </is>
      </c>
      <c r="B104" s="2" t="n">
        <v>2025</v>
      </c>
      <c r="C104" s="2" t="n">
        <v>4</v>
      </c>
      <c r="D104" s="2" t="inlineStr">
        <is>
          <t>Apr</t>
        </is>
      </c>
      <c r="E104" s="2" t="inlineStr">
        <is>
          <t>2025-04</t>
        </is>
      </c>
      <c r="F104" s="2" t="inlineStr">
        <is>
          <t>Q2</t>
        </is>
      </c>
    </row>
    <row r="105">
      <c r="A105" s="2" t="inlineStr">
        <is>
          <t>2025-04-14</t>
        </is>
      </c>
      <c r="B105" s="2" t="n">
        <v>2025</v>
      </c>
      <c r="C105" s="2" t="n">
        <v>4</v>
      </c>
      <c r="D105" s="2" t="inlineStr">
        <is>
          <t>Apr</t>
        </is>
      </c>
      <c r="E105" s="2" t="inlineStr">
        <is>
          <t>2025-04</t>
        </is>
      </c>
      <c r="F105" s="2" t="inlineStr">
        <is>
          <t>Q2</t>
        </is>
      </c>
    </row>
    <row r="106">
      <c r="A106" s="2" t="inlineStr">
        <is>
          <t>2025-04-15</t>
        </is>
      </c>
      <c r="B106" s="2" t="n">
        <v>2025</v>
      </c>
      <c r="C106" s="2" t="n">
        <v>4</v>
      </c>
      <c r="D106" s="2" t="inlineStr">
        <is>
          <t>Apr</t>
        </is>
      </c>
      <c r="E106" s="2" t="inlineStr">
        <is>
          <t>2025-04</t>
        </is>
      </c>
      <c r="F106" s="2" t="inlineStr">
        <is>
          <t>Q2</t>
        </is>
      </c>
    </row>
    <row r="107">
      <c r="A107" s="2" t="inlineStr">
        <is>
          <t>2025-04-16</t>
        </is>
      </c>
      <c r="B107" s="2" t="n">
        <v>2025</v>
      </c>
      <c r="C107" s="2" t="n">
        <v>4</v>
      </c>
      <c r="D107" s="2" t="inlineStr">
        <is>
          <t>Apr</t>
        </is>
      </c>
      <c r="E107" s="2" t="inlineStr">
        <is>
          <t>2025-04</t>
        </is>
      </c>
      <c r="F107" s="2" t="inlineStr">
        <is>
          <t>Q2</t>
        </is>
      </c>
    </row>
    <row r="108">
      <c r="A108" s="2" t="inlineStr">
        <is>
          <t>2025-04-17</t>
        </is>
      </c>
      <c r="B108" s="2" t="n">
        <v>2025</v>
      </c>
      <c r="C108" s="2" t="n">
        <v>4</v>
      </c>
      <c r="D108" s="2" t="inlineStr">
        <is>
          <t>Apr</t>
        </is>
      </c>
      <c r="E108" s="2" t="inlineStr">
        <is>
          <t>2025-04</t>
        </is>
      </c>
      <c r="F108" s="2" t="inlineStr">
        <is>
          <t>Q2</t>
        </is>
      </c>
    </row>
    <row r="109">
      <c r="A109" s="2" t="inlineStr">
        <is>
          <t>2025-04-18</t>
        </is>
      </c>
      <c r="B109" s="2" t="n">
        <v>2025</v>
      </c>
      <c r="C109" s="2" t="n">
        <v>4</v>
      </c>
      <c r="D109" s="2" t="inlineStr">
        <is>
          <t>Apr</t>
        </is>
      </c>
      <c r="E109" s="2" t="inlineStr">
        <is>
          <t>2025-04</t>
        </is>
      </c>
      <c r="F109" s="2" t="inlineStr">
        <is>
          <t>Q2</t>
        </is>
      </c>
    </row>
    <row r="110">
      <c r="A110" s="2" t="inlineStr">
        <is>
          <t>2025-04-19</t>
        </is>
      </c>
      <c r="B110" s="2" t="n">
        <v>2025</v>
      </c>
      <c r="C110" s="2" t="n">
        <v>4</v>
      </c>
      <c r="D110" s="2" t="inlineStr">
        <is>
          <t>Apr</t>
        </is>
      </c>
      <c r="E110" s="2" t="inlineStr">
        <is>
          <t>2025-04</t>
        </is>
      </c>
      <c r="F110" s="2" t="inlineStr">
        <is>
          <t>Q2</t>
        </is>
      </c>
    </row>
    <row r="111">
      <c r="A111" s="2" t="inlineStr">
        <is>
          <t>2025-04-20</t>
        </is>
      </c>
      <c r="B111" s="2" t="n">
        <v>2025</v>
      </c>
      <c r="C111" s="2" t="n">
        <v>4</v>
      </c>
      <c r="D111" s="2" t="inlineStr">
        <is>
          <t>Apr</t>
        </is>
      </c>
      <c r="E111" s="2" t="inlineStr">
        <is>
          <t>2025-04</t>
        </is>
      </c>
      <c r="F111" s="2" t="inlineStr">
        <is>
          <t>Q2</t>
        </is>
      </c>
    </row>
    <row r="112">
      <c r="A112" s="2" t="inlineStr">
        <is>
          <t>2025-04-21</t>
        </is>
      </c>
      <c r="B112" s="2" t="n">
        <v>2025</v>
      </c>
      <c r="C112" s="2" t="n">
        <v>4</v>
      </c>
      <c r="D112" s="2" t="inlineStr">
        <is>
          <t>Apr</t>
        </is>
      </c>
      <c r="E112" s="2" t="inlineStr">
        <is>
          <t>2025-04</t>
        </is>
      </c>
      <c r="F112" s="2" t="inlineStr">
        <is>
          <t>Q2</t>
        </is>
      </c>
    </row>
    <row r="113">
      <c r="A113" s="2" t="inlineStr">
        <is>
          <t>2025-04-22</t>
        </is>
      </c>
      <c r="B113" s="2" t="n">
        <v>2025</v>
      </c>
      <c r="C113" s="2" t="n">
        <v>4</v>
      </c>
      <c r="D113" s="2" t="inlineStr">
        <is>
          <t>Apr</t>
        </is>
      </c>
      <c r="E113" s="2" t="inlineStr">
        <is>
          <t>2025-04</t>
        </is>
      </c>
      <c r="F113" s="2" t="inlineStr">
        <is>
          <t>Q2</t>
        </is>
      </c>
    </row>
    <row r="114">
      <c r="A114" s="2" t="inlineStr">
        <is>
          <t>2025-04-23</t>
        </is>
      </c>
      <c r="B114" s="2" t="n">
        <v>2025</v>
      </c>
      <c r="C114" s="2" t="n">
        <v>4</v>
      </c>
      <c r="D114" s="2" t="inlineStr">
        <is>
          <t>Apr</t>
        </is>
      </c>
      <c r="E114" s="2" t="inlineStr">
        <is>
          <t>2025-04</t>
        </is>
      </c>
      <c r="F114" s="2" t="inlineStr">
        <is>
          <t>Q2</t>
        </is>
      </c>
    </row>
    <row r="115">
      <c r="A115" s="2" t="inlineStr">
        <is>
          <t>2025-04-24</t>
        </is>
      </c>
      <c r="B115" s="2" t="n">
        <v>2025</v>
      </c>
      <c r="C115" s="2" t="n">
        <v>4</v>
      </c>
      <c r="D115" s="2" t="inlineStr">
        <is>
          <t>Apr</t>
        </is>
      </c>
      <c r="E115" s="2" t="inlineStr">
        <is>
          <t>2025-04</t>
        </is>
      </c>
      <c r="F115" s="2" t="inlineStr">
        <is>
          <t>Q2</t>
        </is>
      </c>
    </row>
    <row r="116">
      <c r="A116" s="2" t="inlineStr">
        <is>
          <t>2025-04-25</t>
        </is>
      </c>
      <c r="B116" s="2" t="n">
        <v>2025</v>
      </c>
      <c r="C116" s="2" t="n">
        <v>4</v>
      </c>
      <c r="D116" s="2" t="inlineStr">
        <is>
          <t>Apr</t>
        </is>
      </c>
      <c r="E116" s="2" t="inlineStr">
        <is>
          <t>2025-04</t>
        </is>
      </c>
      <c r="F116" s="2" t="inlineStr">
        <is>
          <t>Q2</t>
        </is>
      </c>
    </row>
    <row r="117">
      <c r="A117" s="2" t="inlineStr">
        <is>
          <t>2025-04-26</t>
        </is>
      </c>
      <c r="B117" s="2" t="n">
        <v>2025</v>
      </c>
      <c r="C117" s="2" t="n">
        <v>4</v>
      </c>
      <c r="D117" s="2" t="inlineStr">
        <is>
          <t>Apr</t>
        </is>
      </c>
      <c r="E117" s="2" t="inlineStr">
        <is>
          <t>2025-04</t>
        </is>
      </c>
      <c r="F117" s="2" t="inlineStr">
        <is>
          <t>Q2</t>
        </is>
      </c>
    </row>
    <row r="118">
      <c r="A118" s="2" t="inlineStr">
        <is>
          <t>2025-04-27</t>
        </is>
      </c>
      <c r="B118" s="2" t="n">
        <v>2025</v>
      </c>
      <c r="C118" s="2" t="n">
        <v>4</v>
      </c>
      <c r="D118" s="2" t="inlineStr">
        <is>
          <t>Apr</t>
        </is>
      </c>
      <c r="E118" s="2" t="inlineStr">
        <is>
          <t>2025-04</t>
        </is>
      </c>
      <c r="F118" s="2" t="inlineStr">
        <is>
          <t>Q2</t>
        </is>
      </c>
    </row>
    <row r="119">
      <c r="A119" s="2" t="inlineStr">
        <is>
          <t>2025-04-28</t>
        </is>
      </c>
      <c r="B119" s="2" t="n">
        <v>2025</v>
      </c>
      <c r="C119" s="2" t="n">
        <v>4</v>
      </c>
      <c r="D119" s="2" t="inlineStr">
        <is>
          <t>Apr</t>
        </is>
      </c>
      <c r="E119" s="2" t="inlineStr">
        <is>
          <t>2025-04</t>
        </is>
      </c>
      <c r="F119" s="2" t="inlineStr">
        <is>
          <t>Q2</t>
        </is>
      </c>
    </row>
    <row r="120">
      <c r="A120" s="2" t="inlineStr">
        <is>
          <t>2025-04-29</t>
        </is>
      </c>
      <c r="B120" s="2" t="n">
        <v>2025</v>
      </c>
      <c r="C120" s="2" t="n">
        <v>4</v>
      </c>
      <c r="D120" s="2" t="inlineStr">
        <is>
          <t>Apr</t>
        </is>
      </c>
      <c r="E120" s="2" t="inlineStr">
        <is>
          <t>2025-04</t>
        </is>
      </c>
      <c r="F120" s="2" t="inlineStr">
        <is>
          <t>Q2</t>
        </is>
      </c>
    </row>
    <row r="121">
      <c r="A121" s="2" t="inlineStr">
        <is>
          <t>2025-04-30</t>
        </is>
      </c>
      <c r="B121" s="2" t="n">
        <v>2025</v>
      </c>
      <c r="C121" s="2" t="n">
        <v>4</v>
      </c>
      <c r="D121" s="2" t="inlineStr">
        <is>
          <t>Apr</t>
        </is>
      </c>
      <c r="E121" s="2" t="inlineStr">
        <is>
          <t>2025-04</t>
        </is>
      </c>
      <c r="F121" s="2" t="inlineStr">
        <is>
          <t>Q2</t>
        </is>
      </c>
    </row>
    <row r="122">
      <c r="A122" s="2" t="inlineStr">
        <is>
          <t>2025-05-01</t>
        </is>
      </c>
      <c r="B122" s="2" t="n">
        <v>2025</v>
      </c>
      <c r="C122" s="2" t="n">
        <v>5</v>
      </c>
      <c r="D122" s="2" t="inlineStr">
        <is>
          <t>May</t>
        </is>
      </c>
      <c r="E122" s="2" t="inlineStr">
        <is>
          <t>2025-05</t>
        </is>
      </c>
      <c r="F122" s="2" t="inlineStr">
        <is>
          <t>Q2</t>
        </is>
      </c>
    </row>
    <row r="123">
      <c r="A123" s="2" t="inlineStr">
        <is>
          <t>2025-05-02</t>
        </is>
      </c>
      <c r="B123" s="2" t="n">
        <v>2025</v>
      </c>
      <c r="C123" s="2" t="n">
        <v>5</v>
      </c>
      <c r="D123" s="2" t="inlineStr">
        <is>
          <t>May</t>
        </is>
      </c>
      <c r="E123" s="2" t="inlineStr">
        <is>
          <t>2025-05</t>
        </is>
      </c>
      <c r="F123" s="2" t="inlineStr">
        <is>
          <t>Q2</t>
        </is>
      </c>
    </row>
    <row r="124">
      <c r="A124" s="2" t="inlineStr">
        <is>
          <t>2025-05-03</t>
        </is>
      </c>
      <c r="B124" s="2" t="n">
        <v>2025</v>
      </c>
      <c r="C124" s="2" t="n">
        <v>5</v>
      </c>
      <c r="D124" s="2" t="inlineStr">
        <is>
          <t>May</t>
        </is>
      </c>
      <c r="E124" s="2" t="inlineStr">
        <is>
          <t>2025-05</t>
        </is>
      </c>
      <c r="F124" s="2" t="inlineStr">
        <is>
          <t>Q2</t>
        </is>
      </c>
    </row>
    <row r="125">
      <c r="A125" s="2" t="inlineStr">
        <is>
          <t>2025-05-04</t>
        </is>
      </c>
      <c r="B125" s="2" t="n">
        <v>2025</v>
      </c>
      <c r="C125" s="2" t="n">
        <v>5</v>
      </c>
      <c r="D125" s="2" t="inlineStr">
        <is>
          <t>May</t>
        </is>
      </c>
      <c r="E125" s="2" t="inlineStr">
        <is>
          <t>2025-05</t>
        </is>
      </c>
      <c r="F125" s="2" t="inlineStr">
        <is>
          <t>Q2</t>
        </is>
      </c>
    </row>
    <row r="126">
      <c r="A126" s="2" t="inlineStr">
        <is>
          <t>2025-05-05</t>
        </is>
      </c>
      <c r="B126" s="2" t="n">
        <v>2025</v>
      </c>
      <c r="C126" s="2" t="n">
        <v>5</v>
      </c>
      <c r="D126" s="2" t="inlineStr">
        <is>
          <t>May</t>
        </is>
      </c>
      <c r="E126" s="2" t="inlineStr">
        <is>
          <t>2025-05</t>
        </is>
      </c>
      <c r="F126" s="2" t="inlineStr">
        <is>
          <t>Q2</t>
        </is>
      </c>
    </row>
    <row r="127">
      <c r="A127" s="2" t="inlineStr">
        <is>
          <t>2025-05-06</t>
        </is>
      </c>
      <c r="B127" s="2" t="n">
        <v>2025</v>
      </c>
      <c r="C127" s="2" t="n">
        <v>5</v>
      </c>
      <c r="D127" s="2" t="inlineStr">
        <is>
          <t>May</t>
        </is>
      </c>
      <c r="E127" s="2" t="inlineStr">
        <is>
          <t>2025-05</t>
        </is>
      </c>
      <c r="F127" s="2" t="inlineStr">
        <is>
          <t>Q2</t>
        </is>
      </c>
    </row>
    <row r="128">
      <c r="A128" s="2" t="inlineStr">
        <is>
          <t>2025-05-07</t>
        </is>
      </c>
      <c r="B128" s="2" t="n">
        <v>2025</v>
      </c>
      <c r="C128" s="2" t="n">
        <v>5</v>
      </c>
      <c r="D128" s="2" t="inlineStr">
        <is>
          <t>May</t>
        </is>
      </c>
      <c r="E128" s="2" t="inlineStr">
        <is>
          <t>2025-05</t>
        </is>
      </c>
      <c r="F128" s="2" t="inlineStr">
        <is>
          <t>Q2</t>
        </is>
      </c>
    </row>
    <row r="129">
      <c r="A129" s="2" t="inlineStr">
        <is>
          <t>2025-05-08</t>
        </is>
      </c>
      <c r="B129" s="2" t="n">
        <v>2025</v>
      </c>
      <c r="C129" s="2" t="n">
        <v>5</v>
      </c>
      <c r="D129" s="2" t="inlineStr">
        <is>
          <t>May</t>
        </is>
      </c>
      <c r="E129" s="2" t="inlineStr">
        <is>
          <t>2025-05</t>
        </is>
      </c>
      <c r="F129" s="2" t="inlineStr">
        <is>
          <t>Q2</t>
        </is>
      </c>
    </row>
    <row r="130">
      <c r="A130" s="2" t="inlineStr">
        <is>
          <t>2025-05-09</t>
        </is>
      </c>
      <c r="B130" s="2" t="n">
        <v>2025</v>
      </c>
      <c r="C130" s="2" t="n">
        <v>5</v>
      </c>
      <c r="D130" s="2" t="inlineStr">
        <is>
          <t>May</t>
        </is>
      </c>
      <c r="E130" s="2" t="inlineStr">
        <is>
          <t>2025-05</t>
        </is>
      </c>
      <c r="F130" s="2" t="inlineStr">
        <is>
          <t>Q2</t>
        </is>
      </c>
    </row>
    <row r="131">
      <c r="A131" s="2" t="inlineStr">
        <is>
          <t>2025-05-10</t>
        </is>
      </c>
      <c r="B131" s="2" t="n">
        <v>2025</v>
      </c>
      <c r="C131" s="2" t="n">
        <v>5</v>
      </c>
      <c r="D131" s="2" t="inlineStr">
        <is>
          <t>May</t>
        </is>
      </c>
      <c r="E131" s="2" t="inlineStr">
        <is>
          <t>2025-05</t>
        </is>
      </c>
      <c r="F131" s="2" t="inlineStr">
        <is>
          <t>Q2</t>
        </is>
      </c>
    </row>
    <row r="132">
      <c r="A132" s="2" t="inlineStr">
        <is>
          <t>2025-05-11</t>
        </is>
      </c>
      <c r="B132" s="2" t="n">
        <v>2025</v>
      </c>
      <c r="C132" s="2" t="n">
        <v>5</v>
      </c>
      <c r="D132" s="2" t="inlineStr">
        <is>
          <t>May</t>
        </is>
      </c>
      <c r="E132" s="2" t="inlineStr">
        <is>
          <t>2025-05</t>
        </is>
      </c>
      <c r="F132" s="2" t="inlineStr">
        <is>
          <t>Q2</t>
        </is>
      </c>
    </row>
    <row r="133">
      <c r="A133" s="2" t="inlineStr">
        <is>
          <t>2025-05-12</t>
        </is>
      </c>
      <c r="B133" s="2" t="n">
        <v>2025</v>
      </c>
      <c r="C133" s="2" t="n">
        <v>5</v>
      </c>
      <c r="D133" s="2" t="inlineStr">
        <is>
          <t>May</t>
        </is>
      </c>
      <c r="E133" s="2" t="inlineStr">
        <is>
          <t>2025-05</t>
        </is>
      </c>
      <c r="F133" s="2" t="inlineStr">
        <is>
          <t>Q2</t>
        </is>
      </c>
    </row>
    <row r="134">
      <c r="A134" s="2" t="inlineStr">
        <is>
          <t>2025-05-13</t>
        </is>
      </c>
      <c r="B134" s="2" t="n">
        <v>2025</v>
      </c>
      <c r="C134" s="2" t="n">
        <v>5</v>
      </c>
      <c r="D134" s="2" t="inlineStr">
        <is>
          <t>May</t>
        </is>
      </c>
      <c r="E134" s="2" t="inlineStr">
        <is>
          <t>2025-05</t>
        </is>
      </c>
      <c r="F134" s="2" t="inlineStr">
        <is>
          <t>Q2</t>
        </is>
      </c>
    </row>
    <row r="135">
      <c r="A135" s="2" t="inlineStr">
        <is>
          <t>2025-05-14</t>
        </is>
      </c>
      <c r="B135" s="2" t="n">
        <v>2025</v>
      </c>
      <c r="C135" s="2" t="n">
        <v>5</v>
      </c>
      <c r="D135" s="2" t="inlineStr">
        <is>
          <t>May</t>
        </is>
      </c>
      <c r="E135" s="2" t="inlineStr">
        <is>
          <t>2025-05</t>
        </is>
      </c>
      <c r="F135" s="2" t="inlineStr">
        <is>
          <t>Q2</t>
        </is>
      </c>
    </row>
    <row r="136">
      <c r="A136" s="2" t="inlineStr">
        <is>
          <t>2025-05-15</t>
        </is>
      </c>
      <c r="B136" s="2" t="n">
        <v>2025</v>
      </c>
      <c r="C136" s="2" t="n">
        <v>5</v>
      </c>
      <c r="D136" s="2" t="inlineStr">
        <is>
          <t>May</t>
        </is>
      </c>
      <c r="E136" s="2" t="inlineStr">
        <is>
          <t>2025-05</t>
        </is>
      </c>
      <c r="F136" s="2" t="inlineStr">
        <is>
          <t>Q2</t>
        </is>
      </c>
    </row>
    <row r="137">
      <c r="A137" s="2" t="inlineStr">
        <is>
          <t>2025-05-16</t>
        </is>
      </c>
      <c r="B137" s="2" t="n">
        <v>2025</v>
      </c>
      <c r="C137" s="2" t="n">
        <v>5</v>
      </c>
      <c r="D137" s="2" t="inlineStr">
        <is>
          <t>May</t>
        </is>
      </c>
      <c r="E137" s="2" t="inlineStr">
        <is>
          <t>2025-05</t>
        </is>
      </c>
      <c r="F137" s="2" t="inlineStr">
        <is>
          <t>Q2</t>
        </is>
      </c>
    </row>
    <row r="138">
      <c r="A138" s="2" t="inlineStr">
        <is>
          <t>2025-05-17</t>
        </is>
      </c>
      <c r="B138" s="2" t="n">
        <v>2025</v>
      </c>
      <c r="C138" s="2" t="n">
        <v>5</v>
      </c>
      <c r="D138" s="2" t="inlineStr">
        <is>
          <t>May</t>
        </is>
      </c>
      <c r="E138" s="2" t="inlineStr">
        <is>
          <t>2025-05</t>
        </is>
      </c>
      <c r="F138" s="2" t="inlineStr">
        <is>
          <t>Q2</t>
        </is>
      </c>
    </row>
    <row r="139">
      <c r="A139" s="2" t="inlineStr">
        <is>
          <t>2025-05-18</t>
        </is>
      </c>
      <c r="B139" s="2" t="n">
        <v>2025</v>
      </c>
      <c r="C139" s="2" t="n">
        <v>5</v>
      </c>
      <c r="D139" s="2" t="inlineStr">
        <is>
          <t>May</t>
        </is>
      </c>
      <c r="E139" s="2" t="inlineStr">
        <is>
          <t>2025-05</t>
        </is>
      </c>
      <c r="F139" s="2" t="inlineStr">
        <is>
          <t>Q2</t>
        </is>
      </c>
    </row>
    <row r="140">
      <c r="A140" s="2" t="inlineStr">
        <is>
          <t>2025-05-19</t>
        </is>
      </c>
      <c r="B140" s="2" t="n">
        <v>2025</v>
      </c>
      <c r="C140" s="2" t="n">
        <v>5</v>
      </c>
      <c r="D140" s="2" t="inlineStr">
        <is>
          <t>May</t>
        </is>
      </c>
      <c r="E140" s="2" t="inlineStr">
        <is>
          <t>2025-05</t>
        </is>
      </c>
      <c r="F140" s="2" t="inlineStr">
        <is>
          <t>Q2</t>
        </is>
      </c>
    </row>
    <row r="141">
      <c r="A141" s="2" t="inlineStr">
        <is>
          <t>2025-05-20</t>
        </is>
      </c>
      <c r="B141" s="2" t="n">
        <v>2025</v>
      </c>
      <c r="C141" s="2" t="n">
        <v>5</v>
      </c>
      <c r="D141" s="2" t="inlineStr">
        <is>
          <t>May</t>
        </is>
      </c>
      <c r="E141" s="2" t="inlineStr">
        <is>
          <t>2025-05</t>
        </is>
      </c>
      <c r="F141" s="2" t="inlineStr">
        <is>
          <t>Q2</t>
        </is>
      </c>
    </row>
    <row r="142">
      <c r="A142" s="2" t="inlineStr">
        <is>
          <t>2025-05-21</t>
        </is>
      </c>
      <c r="B142" s="2" t="n">
        <v>2025</v>
      </c>
      <c r="C142" s="2" t="n">
        <v>5</v>
      </c>
      <c r="D142" s="2" t="inlineStr">
        <is>
          <t>May</t>
        </is>
      </c>
      <c r="E142" s="2" t="inlineStr">
        <is>
          <t>2025-05</t>
        </is>
      </c>
      <c r="F142" s="2" t="inlineStr">
        <is>
          <t>Q2</t>
        </is>
      </c>
    </row>
    <row r="143">
      <c r="A143" s="2" t="inlineStr">
        <is>
          <t>2025-05-22</t>
        </is>
      </c>
      <c r="B143" s="2" t="n">
        <v>2025</v>
      </c>
      <c r="C143" s="2" t="n">
        <v>5</v>
      </c>
      <c r="D143" s="2" t="inlineStr">
        <is>
          <t>May</t>
        </is>
      </c>
      <c r="E143" s="2" t="inlineStr">
        <is>
          <t>2025-05</t>
        </is>
      </c>
      <c r="F143" s="2" t="inlineStr">
        <is>
          <t>Q2</t>
        </is>
      </c>
    </row>
    <row r="144">
      <c r="A144" s="2" t="inlineStr">
        <is>
          <t>2025-05-23</t>
        </is>
      </c>
      <c r="B144" s="2" t="n">
        <v>2025</v>
      </c>
      <c r="C144" s="2" t="n">
        <v>5</v>
      </c>
      <c r="D144" s="2" t="inlineStr">
        <is>
          <t>May</t>
        </is>
      </c>
      <c r="E144" s="2" t="inlineStr">
        <is>
          <t>2025-05</t>
        </is>
      </c>
      <c r="F144" s="2" t="inlineStr">
        <is>
          <t>Q2</t>
        </is>
      </c>
    </row>
    <row r="145">
      <c r="A145" s="2" t="inlineStr">
        <is>
          <t>2025-05-24</t>
        </is>
      </c>
      <c r="B145" s="2" t="n">
        <v>2025</v>
      </c>
      <c r="C145" s="2" t="n">
        <v>5</v>
      </c>
      <c r="D145" s="2" t="inlineStr">
        <is>
          <t>May</t>
        </is>
      </c>
      <c r="E145" s="2" t="inlineStr">
        <is>
          <t>2025-05</t>
        </is>
      </c>
      <c r="F145" s="2" t="inlineStr">
        <is>
          <t>Q2</t>
        </is>
      </c>
    </row>
    <row r="146">
      <c r="A146" s="2" t="inlineStr">
        <is>
          <t>2025-05-25</t>
        </is>
      </c>
      <c r="B146" s="2" t="n">
        <v>2025</v>
      </c>
      <c r="C146" s="2" t="n">
        <v>5</v>
      </c>
      <c r="D146" s="2" t="inlineStr">
        <is>
          <t>May</t>
        </is>
      </c>
      <c r="E146" s="2" t="inlineStr">
        <is>
          <t>2025-05</t>
        </is>
      </c>
      <c r="F146" s="2" t="inlineStr">
        <is>
          <t>Q2</t>
        </is>
      </c>
    </row>
    <row r="147">
      <c r="A147" s="2" t="inlineStr">
        <is>
          <t>2025-05-26</t>
        </is>
      </c>
      <c r="B147" s="2" t="n">
        <v>2025</v>
      </c>
      <c r="C147" s="2" t="n">
        <v>5</v>
      </c>
      <c r="D147" s="2" t="inlineStr">
        <is>
          <t>May</t>
        </is>
      </c>
      <c r="E147" s="2" t="inlineStr">
        <is>
          <t>2025-05</t>
        </is>
      </c>
      <c r="F147" s="2" t="inlineStr">
        <is>
          <t>Q2</t>
        </is>
      </c>
    </row>
    <row r="148">
      <c r="A148" s="2" t="inlineStr">
        <is>
          <t>2025-05-27</t>
        </is>
      </c>
      <c r="B148" s="2" t="n">
        <v>2025</v>
      </c>
      <c r="C148" s="2" t="n">
        <v>5</v>
      </c>
      <c r="D148" s="2" t="inlineStr">
        <is>
          <t>May</t>
        </is>
      </c>
      <c r="E148" s="2" t="inlineStr">
        <is>
          <t>2025-05</t>
        </is>
      </c>
      <c r="F148" s="2" t="inlineStr">
        <is>
          <t>Q2</t>
        </is>
      </c>
    </row>
    <row r="149">
      <c r="A149" s="2" t="inlineStr">
        <is>
          <t>2025-05-28</t>
        </is>
      </c>
      <c r="B149" s="2" t="n">
        <v>2025</v>
      </c>
      <c r="C149" s="2" t="n">
        <v>5</v>
      </c>
      <c r="D149" s="2" t="inlineStr">
        <is>
          <t>May</t>
        </is>
      </c>
      <c r="E149" s="2" t="inlineStr">
        <is>
          <t>2025-05</t>
        </is>
      </c>
      <c r="F149" s="2" t="inlineStr">
        <is>
          <t>Q2</t>
        </is>
      </c>
    </row>
    <row r="150">
      <c r="A150" s="2" t="inlineStr">
        <is>
          <t>2025-05-29</t>
        </is>
      </c>
      <c r="B150" s="2" t="n">
        <v>2025</v>
      </c>
      <c r="C150" s="2" t="n">
        <v>5</v>
      </c>
      <c r="D150" s="2" t="inlineStr">
        <is>
          <t>May</t>
        </is>
      </c>
      <c r="E150" s="2" t="inlineStr">
        <is>
          <t>2025-05</t>
        </is>
      </c>
      <c r="F150" s="2" t="inlineStr">
        <is>
          <t>Q2</t>
        </is>
      </c>
    </row>
    <row r="151">
      <c r="A151" s="2" t="inlineStr">
        <is>
          <t>2025-05-30</t>
        </is>
      </c>
      <c r="B151" s="2" t="n">
        <v>2025</v>
      </c>
      <c r="C151" s="2" t="n">
        <v>5</v>
      </c>
      <c r="D151" s="2" t="inlineStr">
        <is>
          <t>May</t>
        </is>
      </c>
      <c r="E151" s="2" t="inlineStr">
        <is>
          <t>2025-05</t>
        </is>
      </c>
      <c r="F151" s="2" t="inlineStr">
        <is>
          <t>Q2</t>
        </is>
      </c>
    </row>
    <row r="152">
      <c r="A152" s="2" t="inlineStr">
        <is>
          <t>2025-05-31</t>
        </is>
      </c>
      <c r="B152" s="2" t="n">
        <v>2025</v>
      </c>
      <c r="C152" s="2" t="n">
        <v>5</v>
      </c>
      <c r="D152" s="2" t="inlineStr">
        <is>
          <t>May</t>
        </is>
      </c>
      <c r="E152" s="2" t="inlineStr">
        <is>
          <t>2025-05</t>
        </is>
      </c>
      <c r="F152" s="2" t="inlineStr">
        <is>
          <t>Q2</t>
        </is>
      </c>
    </row>
    <row r="153">
      <c r="A153" s="2" t="inlineStr">
        <is>
          <t>2025-06-01</t>
        </is>
      </c>
      <c r="B153" s="2" t="n">
        <v>2025</v>
      </c>
      <c r="C153" s="2" t="n">
        <v>6</v>
      </c>
      <c r="D153" s="2" t="inlineStr">
        <is>
          <t>Jun</t>
        </is>
      </c>
      <c r="E153" s="2" t="inlineStr">
        <is>
          <t>2025-06</t>
        </is>
      </c>
      <c r="F153" s="2" t="inlineStr">
        <is>
          <t>Q2</t>
        </is>
      </c>
    </row>
    <row r="154">
      <c r="A154" s="2" t="inlineStr">
        <is>
          <t>2025-06-02</t>
        </is>
      </c>
      <c r="B154" s="2" t="n">
        <v>2025</v>
      </c>
      <c r="C154" s="2" t="n">
        <v>6</v>
      </c>
      <c r="D154" s="2" t="inlineStr">
        <is>
          <t>Jun</t>
        </is>
      </c>
      <c r="E154" s="2" t="inlineStr">
        <is>
          <t>2025-06</t>
        </is>
      </c>
      <c r="F154" s="2" t="inlineStr">
        <is>
          <t>Q2</t>
        </is>
      </c>
    </row>
    <row r="155">
      <c r="A155" s="2" t="inlineStr">
        <is>
          <t>2025-06-03</t>
        </is>
      </c>
      <c r="B155" s="2" t="n">
        <v>2025</v>
      </c>
      <c r="C155" s="2" t="n">
        <v>6</v>
      </c>
      <c r="D155" s="2" t="inlineStr">
        <is>
          <t>Jun</t>
        </is>
      </c>
      <c r="E155" s="2" t="inlineStr">
        <is>
          <t>2025-06</t>
        </is>
      </c>
      <c r="F155" s="2" t="inlineStr">
        <is>
          <t>Q2</t>
        </is>
      </c>
    </row>
    <row r="156">
      <c r="A156" s="2" t="inlineStr">
        <is>
          <t>2025-06-04</t>
        </is>
      </c>
      <c r="B156" s="2" t="n">
        <v>2025</v>
      </c>
      <c r="C156" s="2" t="n">
        <v>6</v>
      </c>
      <c r="D156" s="2" t="inlineStr">
        <is>
          <t>Jun</t>
        </is>
      </c>
      <c r="E156" s="2" t="inlineStr">
        <is>
          <t>2025-06</t>
        </is>
      </c>
      <c r="F156" s="2" t="inlineStr">
        <is>
          <t>Q2</t>
        </is>
      </c>
    </row>
    <row r="157">
      <c r="A157" s="2" t="inlineStr">
        <is>
          <t>2025-06-05</t>
        </is>
      </c>
      <c r="B157" s="2" t="n">
        <v>2025</v>
      </c>
      <c r="C157" s="2" t="n">
        <v>6</v>
      </c>
      <c r="D157" s="2" t="inlineStr">
        <is>
          <t>Jun</t>
        </is>
      </c>
      <c r="E157" s="2" t="inlineStr">
        <is>
          <t>2025-06</t>
        </is>
      </c>
      <c r="F157" s="2" t="inlineStr">
        <is>
          <t>Q2</t>
        </is>
      </c>
    </row>
    <row r="158">
      <c r="A158" s="2" t="inlineStr">
        <is>
          <t>2025-06-06</t>
        </is>
      </c>
      <c r="B158" s="2" t="n">
        <v>2025</v>
      </c>
      <c r="C158" s="2" t="n">
        <v>6</v>
      </c>
      <c r="D158" s="2" t="inlineStr">
        <is>
          <t>Jun</t>
        </is>
      </c>
      <c r="E158" s="2" t="inlineStr">
        <is>
          <t>2025-06</t>
        </is>
      </c>
      <c r="F158" s="2" t="inlineStr">
        <is>
          <t>Q2</t>
        </is>
      </c>
    </row>
    <row r="159">
      <c r="A159" s="2" t="inlineStr">
        <is>
          <t>2025-06-07</t>
        </is>
      </c>
      <c r="B159" s="2" t="n">
        <v>2025</v>
      </c>
      <c r="C159" s="2" t="n">
        <v>6</v>
      </c>
      <c r="D159" s="2" t="inlineStr">
        <is>
          <t>Jun</t>
        </is>
      </c>
      <c r="E159" s="2" t="inlineStr">
        <is>
          <t>2025-06</t>
        </is>
      </c>
      <c r="F159" s="2" t="inlineStr">
        <is>
          <t>Q2</t>
        </is>
      </c>
    </row>
    <row r="160">
      <c r="A160" s="2" t="inlineStr">
        <is>
          <t>2025-06-08</t>
        </is>
      </c>
      <c r="B160" s="2" t="n">
        <v>2025</v>
      </c>
      <c r="C160" s="2" t="n">
        <v>6</v>
      </c>
      <c r="D160" s="2" t="inlineStr">
        <is>
          <t>Jun</t>
        </is>
      </c>
      <c r="E160" s="2" t="inlineStr">
        <is>
          <t>2025-06</t>
        </is>
      </c>
      <c r="F160" s="2" t="inlineStr">
        <is>
          <t>Q2</t>
        </is>
      </c>
    </row>
    <row r="161">
      <c r="A161" s="2" t="inlineStr">
        <is>
          <t>2025-06-09</t>
        </is>
      </c>
      <c r="B161" s="2" t="n">
        <v>2025</v>
      </c>
      <c r="C161" s="2" t="n">
        <v>6</v>
      </c>
      <c r="D161" s="2" t="inlineStr">
        <is>
          <t>Jun</t>
        </is>
      </c>
      <c r="E161" s="2" t="inlineStr">
        <is>
          <t>2025-06</t>
        </is>
      </c>
      <c r="F161" s="2" t="inlineStr">
        <is>
          <t>Q2</t>
        </is>
      </c>
    </row>
    <row r="162">
      <c r="A162" s="2" t="inlineStr">
        <is>
          <t>2025-06-10</t>
        </is>
      </c>
      <c r="B162" s="2" t="n">
        <v>2025</v>
      </c>
      <c r="C162" s="2" t="n">
        <v>6</v>
      </c>
      <c r="D162" s="2" t="inlineStr">
        <is>
          <t>Jun</t>
        </is>
      </c>
      <c r="E162" s="2" t="inlineStr">
        <is>
          <t>2025-06</t>
        </is>
      </c>
      <c r="F162" s="2" t="inlineStr">
        <is>
          <t>Q2</t>
        </is>
      </c>
    </row>
    <row r="163">
      <c r="A163" s="2" t="inlineStr">
        <is>
          <t>2025-06-11</t>
        </is>
      </c>
      <c r="B163" s="2" t="n">
        <v>2025</v>
      </c>
      <c r="C163" s="2" t="n">
        <v>6</v>
      </c>
      <c r="D163" s="2" t="inlineStr">
        <is>
          <t>Jun</t>
        </is>
      </c>
      <c r="E163" s="2" t="inlineStr">
        <is>
          <t>2025-06</t>
        </is>
      </c>
      <c r="F163" s="2" t="inlineStr">
        <is>
          <t>Q2</t>
        </is>
      </c>
    </row>
    <row r="164">
      <c r="A164" s="2" t="inlineStr">
        <is>
          <t>2025-06-12</t>
        </is>
      </c>
      <c r="B164" s="2" t="n">
        <v>2025</v>
      </c>
      <c r="C164" s="2" t="n">
        <v>6</v>
      </c>
      <c r="D164" s="2" t="inlineStr">
        <is>
          <t>Jun</t>
        </is>
      </c>
      <c r="E164" s="2" t="inlineStr">
        <is>
          <t>2025-06</t>
        </is>
      </c>
      <c r="F164" s="2" t="inlineStr">
        <is>
          <t>Q2</t>
        </is>
      </c>
    </row>
    <row r="165">
      <c r="A165" s="2" t="inlineStr">
        <is>
          <t>2025-06-13</t>
        </is>
      </c>
      <c r="B165" s="2" t="n">
        <v>2025</v>
      </c>
      <c r="C165" s="2" t="n">
        <v>6</v>
      </c>
      <c r="D165" s="2" t="inlineStr">
        <is>
          <t>Jun</t>
        </is>
      </c>
      <c r="E165" s="2" t="inlineStr">
        <is>
          <t>2025-06</t>
        </is>
      </c>
      <c r="F165" s="2" t="inlineStr">
        <is>
          <t>Q2</t>
        </is>
      </c>
    </row>
    <row r="166">
      <c r="A166" s="2" t="inlineStr">
        <is>
          <t>2025-06-14</t>
        </is>
      </c>
      <c r="B166" s="2" t="n">
        <v>2025</v>
      </c>
      <c r="C166" s="2" t="n">
        <v>6</v>
      </c>
      <c r="D166" s="2" t="inlineStr">
        <is>
          <t>Jun</t>
        </is>
      </c>
      <c r="E166" s="2" t="inlineStr">
        <is>
          <t>2025-06</t>
        </is>
      </c>
      <c r="F166" s="2" t="inlineStr">
        <is>
          <t>Q2</t>
        </is>
      </c>
    </row>
    <row r="167">
      <c r="A167" s="2" t="inlineStr">
        <is>
          <t>2025-06-15</t>
        </is>
      </c>
      <c r="B167" s="2" t="n">
        <v>2025</v>
      </c>
      <c r="C167" s="2" t="n">
        <v>6</v>
      </c>
      <c r="D167" s="2" t="inlineStr">
        <is>
          <t>Jun</t>
        </is>
      </c>
      <c r="E167" s="2" t="inlineStr">
        <is>
          <t>2025-06</t>
        </is>
      </c>
      <c r="F167" s="2" t="inlineStr">
        <is>
          <t>Q2</t>
        </is>
      </c>
    </row>
    <row r="168">
      <c r="A168" s="2" t="inlineStr">
        <is>
          <t>2025-06-16</t>
        </is>
      </c>
      <c r="B168" s="2" t="n">
        <v>2025</v>
      </c>
      <c r="C168" s="2" t="n">
        <v>6</v>
      </c>
      <c r="D168" s="2" t="inlineStr">
        <is>
          <t>Jun</t>
        </is>
      </c>
      <c r="E168" s="2" t="inlineStr">
        <is>
          <t>2025-06</t>
        </is>
      </c>
      <c r="F168" s="2" t="inlineStr">
        <is>
          <t>Q2</t>
        </is>
      </c>
    </row>
    <row r="169">
      <c r="A169" s="2" t="inlineStr">
        <is>
          <t>2025-06-17</t>
        </is>
      </c>
      <c r="B169" s="2" t="n">
        <v>2025</v>
      </c>
      <c r="C169" s="2" t="n">
        <v>6</v>
      </c>
      <c r="D169" s="2" t="inlineStr">
        <is>
          <t>Jun</t>
        </is>
      </c>
      <c r="E169" s="2" t="inlineStr">
        <is>
          <t>2025-06</t>
        </is>
      </c>
      <c r="F169" s="2" t="inlineStr">
        <is>
          <t>Q2</t>
        </is>
      </c>
    </row>
    <row r="170">
      <c r="A170" s="2" t="inlineStr">
        <is>
          <t>2025-06-18</t>
        </is>
      </c>
      <c r="B170" s="2" t="n">
        <v>2025</v>
      </c>
      <c r="C170" s="2" t="n">
        <v>6</v>
      </c>
      <c r="D170" s="2" t="inlineStr">
        <is>
          <t>Jun</t>
        </is>
      </c>
      <c r="E170" s="2" t="inlineStr">
        <is>
          <t>2025-06</t>
        </is>
      </c>
      <c r="F170" s="2" t="inlineStr">
        <is>
          <t>Q2</t>
        </is>
      </c>
    </row>
    <row r="171">
      <c r="A171" s="2" t="inlineStr">
        <is>
          <t>2025-06-19</t>
        </is>
      </c>
      <c r="B171" s="2" t="n">
        <v>2025</v>
      </c>
      <c r="C171" s="2" t="n">
        <v>6</v>
      </c>
      <c r="D171" s="2" t="inlineStr">
        <is>
          <t>Jun</t>
        </is>
      </c>
      <c r="E171" s="2" t="inlineStr">
        <is>
          <t>2025-06</t>
        </is>
      </c>
      <c r="F171" s="2" t="inlineStr">
        <is>
          <t>Q2</t>
        </is>
      </c>
    </row>
    <row r="172">
      <c r="A172" s="2" t="inlineStr">
        <is>
          <t>2025-06-20</t>
        </is>
      </c>
      <c r="B172" s="2" t="n">
        <v>2025</v>
      </c>
      <c r="C172" s="2" t="n">
        <v>6</v>
      </c>
      <c r="D172" s="2" t="inlineStr">
        <is>
          <t>Jun</t>
        </is>
      </c>
      <c r="E172" s="2" t="inlineStr">
        <is>
          <t>2025-06</t>
        </is>
      </c>
      <c r="F172" s="2" t="inlineStr">
        <is>
          <t>Q2</t>
        </is>
      </c>
    </row>
    <row r="173">
      <c r="A173" s="2" t="inlineStr">
        <is>
          <t>2025-06-21</t>
        </is>
      </c>
      <c r="B173" s="2" t="n">
        <v>2025</v>
      </c>
      <c r="C173" s="2" t="n">
        <v>6</v>
      </c>
      <c r="D173" s="2" t="inlineStr">
        <is>
          <t>Jun</t>
        </is>
      </c>
      <c r="E173" s="2" t="inlineStr">
        <is>
          <t>2025-06</t>
        </is>
      </c>
      <c r="F173" s="2" t="inlineStr">
        <is>
          <t>Q2</t>
        </is>
      </c>
    </row>
    <row r="174">
      <c r="A174" s="2" t="inlineStr">
        <is>
          <t>2025-06-22</t>
        </is>
      </c>
      <c r="B174" s="2" t="n">
        <v>2025</v>
      </c>
      <c r="C174" s="2" t="n">
        <v>6</v>
      </c>
      <c r="D174" s="2" t="inlineStr">
        <is>
          <t>Jun</t>
        </is>
      </c>
      <c r="E174" s="2" t="inlineStr">
        <is>
          <t>2025-06</t>
        </is>
      </c>
      <c r="F174" s="2" t="inlineStr">
        <is>
          <t>Q2</t>
        </is>
      </c>
    </row>
    <row r="175">
      <c r="A175" s="2" t="inlineStr">
        <is>
          <t>2025-06-23</t>
        </is>
      </c>
      <c r="B175" s="2" t="n">
        <v>2025</v>
      </c>
      <c r="C175" s="2" t="n">
        <v>6</v>
      </c>
      <c r="D175" s="2" t="inlineStr">
        <is>
          <t>Jun</t>
        </is>
      </c>
      <c r="E175" s="2" t="inlineStr">
        <is>
          <t>2025-06</t>
        </is>
      </c>
      <c r="F175" s="2" t="inlineStr">
        <is>
          <t>Q2</t>
        </is>
      </c>
    </row>
    <row r="176">
      <c r="A176" s="2" t="inlineStr">
        <is>
          <t>2025-06-24</t>
        </is>
      </c>
      <c r="B176" s="2" t="n">
        <v>2025</v>
      </c>
      <c r="C176" s="2" t="n">
        <v>6</v>
      </c>
      <c r="D176" s="2" t="inlineStr">
        <is>
          <t>Jun</t>
        </is>
      </c>
      <c r="E176" s="2" t="inlineStr">
        <is>
          <t>2025-06</t>
        </is>
      </c>
      <c r="F176" s="2" t="inlineStr">
        <is>
          <t>Q2</t>
        </is>
      </c>
    </row>
    <row r="177">
      <c r="A177" s="2" t="inlineStr">
        <is>
          <t>2025-06-25</t>
        </is>
      </c>
      <c r="B177" s="2" t="n">
        <v>2025</v>
      </c>
      <c r="C177" s="2" t="n">
        <v>6</v>
      </c>
      <c r="D177" s="2" t="inlineStr">
        <is>
          <t>Jun</t>
        </is>
      </c>
      <c r="E177" s="2" t="inlineStr">
        <is>
          <t>2025-06</t>
        </is>
      </c>
      <c r="F177" s="2" t="inlineStr">
        <is>
          <t>Q2</t>
        </is>
      </c>
    </row>
    <row r="178">
      <c r="A178" s="2" t="inlineStr">
        <is>
          <t>2025-06-26</t>
        </is>
      </c>
      <c r="B178" s="2" t="n">
        <v>2025</v>
      </c>
      <c r="C178" s="2" t="n">
        <v>6</v>
      </c>
      <c r="D178" s="2" t="inlineStr">
        <is>
          <t>Jun</t>
        </is>
      </c>
      <c r="E178" s="2" t="inlineStr">
        <is>
          <t>2025-06</t>
        </is>
      </c>
      <c r="F178" s="2" t="inlineStr">
        <is>
          <t>Q2</t>
        </is>
      </c>
    </row>
    <row r="179">
      <c r="A179" s="2" t="inlineStr">
        <is>
          <t>2025-06-27</t>
        </is>
      </c>
      <c r="B179" s="2" t="n">
        <v>2025</v>
      </c>
      <c r="C179" s="2" t="n">
        <v>6</v>
      </c>
      <c r="D179" s="2" t="inlineStr">
        <is>
          <t>Jun</t>
        </is>
      </c>
      <c r="E179" s="2" t="inlineStr">
        <is>
          <t>2025-06</t>
        </is>
      </c>
      <c r="F179" s="2" t="inlineStr">
        <is>
          <t>Q2</t>
        </is>
      </c>
    </row>
    <row r="180">
      <c r="A180" s="2" t="inlineStr">
        <is>
          <t>2025-06-28</t>
        </is>
      </c>
      <c r="B180" s="2" t="n">
        <v>2025</v>
      </c>
      <c r="C180" s="2" t="n">
        <v>6</v>
      </c>
      <c r="D180" s="2" t="inlineStr">
        <is>
          <t>Jun</t>
        </is>
      </c>
      <c r="E180" s="2" t="inlineStr">
        <is>
          <t>2025-06</t>
        </is>
      </c>
      <c r="F180" s="2" t="inlineStr">
        <is>
          <t>Q2</t>
        </is>
      </c>
    </row>
    <row r="181">
      <c r="A181" s="2" t="inlineStr">
        <is>
          <t>2025-06-29</t>
        </is>
      </c>
      <c r="B181" s="2" t="n">
        <v>2025</v>
      </c>
      <c r="C181" s="2" t="n">
        <v>6</v>
      </c>
      <c r="D181" s="2" t="inlineStr">
        <is>
          <t>Jun</t>
        </is>
      </c>
      <c r="E181" s="2" t="inlineStr">
        <is>
          <t>2025-06</t>
        </is>
      </c>
      <c r="F181" s="2" t="inlineStr">
        <is>
          <t>Q2</t>
        </is>
      </c>
    </row>
    <row r="182">
      <c r="A182" s="2" t="inlineStr">
        <is>
          <t>2025-06-30</t>
        </is>
      </c>
      <c r="B182" s="2" t="n">
        <v>2025</v>
      </c>
      <c r="C182" s="2" t="n">
        <v>6</v>
      </c>
      <c r="D182" s="2" t="inlineStr">
        <is>
          <t>Jun</t>
        </is>
      </c>
      <c r="E182" s="2" t="inlineStr">
        <is>
          <t>2025-06</t>
        </is>
      </c>
      <c r="F182" s="2" t="inlineStr">
        <is>
          <t>Q2</t>
        </is>
      </c>
    </row>
    <row r="183">
      <c r="A183" s="2" t="inlineStr">
        <is>
          <t>2025-07-01</t>
        </is>
      </c>
      <c r="B183" s="2" t="n">
        <v>2025</v>
      </c>
      <c r="C183" s="2" t="n">
        <v>7</v>
      </c>
      <c r="D183" s="2" t="inlineStr">
        <is>
          <t>Jul</t>
        </is>
      </c>
      <c r="E183" s="2" t="inlineStr">
        <is>
          <t>2025-07</t>
        </is>
      </c>
      <c r="F183" s="2" t="inlineStr">
        <is>
          <t>Q3</t>
        </is>
      </c>
    </row>
    <row r="184">
      <c r="A184" s="2" t="inlineStr">
        <is>
          <t>2025-07-02</t>
        </is>
      </c>
      <c r="B184" s="2" t="n">
        <v>2025</v>
      </c>
      <c r="C184" s="2" t="n">
        <v>7</v>
      </c>
      <c r="D184" s="2" t="inlineStr">
        <is>
          <t>Jul</t>
        </is>
      </c>
      <c r="E184" s="2" t="inlineStr">
        <is>
          <t>2025-07</t>
        </is>
      </c>
      <c r="F184" s="2" t="inlineStr">
        <is>
          <t>Q3</t>
        </is>
      </c>
    </row>
    <row r="185">
      <c r="A185" s="2" t="inlineStr">
        <is>
          <t>2025-07-03</t>
        </is>
      </c>
      <c r="B185" s="2" t="n">
        <v>2025</v>
      </c>
      <c r="C185" s="2" t="n">
        <v>7</v>
      </c>
      <c r="D185" s="2" t="inlineStr">
        <is>
          <t>Jul</t>
        </is>
      </c>
      <c r="E185" s="2" t="inlineStr">
        <is>
          <t>2025-07</t>
        </is>
      </c>
      <c r="F185" s="2" t="inlineStr">
        <is>
          <t>Q3</t>
        </is>
      </c>
    </row>
    <row r="186">
      <c r="A186" s="2" t="inlineStr">
        <is>
          <t>2025-07-04</t>
        </is>
      </c>
      <c r="B186" s="2" t="n">
        <v>2025</v>
      </c>
      <c r="C186" s="2" t="n">
        <v>7</v>
      </c>
      <c r="D186" s="2" t="inlineStr">
        <is>
          <t>Jul</t>
        </is>
      </c>
      <c r="E186" s="2" t="inlineStr">
        <is>
          <t>2025-07</t>
        </is>
      </c>
      <c r="F186" s="2" t="inlineStr">
        <is>
          <t>Q3</t>
        </is>
      </c>
    </row>
    <row r="187">
      <c r="A187" s="2" t="inlineStr">
        <is>
          <t>2025-07-05</t>
        </is>
      </c>
      <c r="B187" s="2" t="n">
        <v>2025</v>
      </c>
      <c r="C187" s="2" t="n">
        <v>7</v>
      </c>
      <c r="D187" s="2" t="inlineStr">
        <is>
          <t>Jul</t>
        </is>
      </c>
      <c r="E187" s="2" t="inlineStr">
        <is>
          <t>2025-07</t>
        </is>
      </c>
      <c r="F187" s="2" t="inlineStr">
        <is>
          <t>Q3</t>
        </is>
      </c>
    </row>
    <row r="188">
      <c r="A188" s="2" t="inlineStr">
        <is>
          <t>2025-07-06</t>
        </is>
      </c>
      <c r="B188" s="2" t="n">
        <v>2025</v>
      </c>
      <c r="C188" s="2" t="n">
        <v>7</v>
      </c>
      <c r="D188" s="2" t="inlineStr">
        <is>
          <t>Jul</t>
        </is>
      </c>
      <c r="E188" s="2" t="inlineStr">
        <is>
          <t>2025-07</t>
        </is>
      </c>
      <c r="F188" s="2" t="inlineStr">
        <is>
          <t>Q3</t>
        </is>
      </c>
    </row>
    <row r="189">
      <c r="A189" s="2" t="inlineStr">
        <is>
          <t>2025-07-07</t>
        </is>
      </c>
      <c r="B189" s="2" t="n">
        <v>2025</v>
      </c>
      <c r="C189" s="2" t="n">
        <v>7</v>
      </c>
      <c r="D189" s="2" t="inlineStr">
        <is>
          <t>Jul</t>
        </is>
      </c>
      <c r="E189" s="2" t="inlineStr">
        <is>
          <t>2025-07</t>
        </is>
      </c>
      <c r="F189" s="2" t="inlineStr">
        <is>
          <t>Q3</t>
        </is>
      </c>
    </row>
    <row r="190">
      <c r="A190" s="2" t="inlineStr">
        <is>
          <t>2025-07-08</t>
        </is>
      </c>
      <c r="B190" s="2" t="n">
        <v>2025</v>
      </c>
      <c r="C190" s="2" t="n">
        <v>7</v>
      </c>
      <c r="D190" s="2" t="inlineStr">
        <is>
          <t>Jul</t>
        </is>
      </c>
      <c r="E190" s="2" t="inlineStr">
        <is>
          <t>2025-07</t>
        </is>
      </c>
      <c r="F190" s="2" t="inlineStr">
        <is>
          <t>Q3</t>
        </is>
      </c>
    </row>
    <row r="191">
      <c r="A191" s="2" t="inlineStr">
        <is>
          <t>2025-07-09</t>
        </is>
      </c>
      <c r="B191" s="2" t="n">
        <v>2025</v>
      </c>
      <c r="C191" s="2" t="n">
        <v>7</v>
      </c>
      <c r="D191" s="2" t="inlineStr">
        <is>
          <t>Jul</t>
        </is>
      </c>
      <c r="E191" s="2" t="inlineStr">
        <is>
          <t>2025-07</t>
        </is>
      </c>
      <c r="F191" s="2" t="inlineStr">
        <is>
          <t>Q3</t>
        </is>
      </c>
    </row>
    <row r="192">
      <c r="A192" s="2" t="inlineStr">
        <is>
          <t>2025-07-10</t>
        </is>
      </c>
      <c r="B192" s="2" t="n">
        <v>2025</v>
      </c>
      <c r="C192" s="2" t="n">
        <v>7</v>
      </c>
      <c r="D192" s="2" t="inlineStr">
        <is>
          <t>Jul</t>
        </is>
      </c>
      <c r="E192" s="2" t="inlineStr">
        <is>
          <t>2025-07</t>
        </is>
      </c>
      <c r="F192" s="2" t="inlineStr">
        <is>
          <t>Q3</t>
        </is>
      </c>
    </row>
    <row r="193">
      <c r="A193" s="2" t="inlineStr">
        <is>
          <t>2025-07-11</t>
        </is>
      </c>
      <c r="B193" s="2" t="n">
        <v>2025</v>
      </c>
      <c r="C193" s="2" t="n">
        <v>7</v>
      </c>
      <c r="D193" s="2" t="inlineStr">
        <is>
          <t>Jul</t>
        </is>
      </c>
      <c r="E193" s="2" t="inlineStr">
        <is>
          <t>2025-07</t>
        </is>
      </c>
      <c r="F193" s="2" t="inlineStr">
        <is>
          <t>Q3</t>
        </is>
      </c>
    </row>
    <row r="194">
      <c r="A194" s="2" t="inlineStr">
        <is>
          <t>2025-07-12</t>
        </is>
      </c>
      <c r="B194" s="2" t="n">
        <v>2025</v>
      </c>
      <c r="C194" s="2" t="n">
        <v>7</v>
      </c>
      <c r="D194" s="2" t="inlineStr">
        <is>
          <t>Jul</t>
        </is>
      </c>
      <c r="E194" s="2" t="inlineStr">
        <is>
          <t>2025-07</t>
        </is>
      </c>
      <c r="F194" s="2" t="inlineStr">
        <is>
          <t>Q3</t>
        </is>
      </c>
    </row>
    <row r="195">
      <c r="A195" s="2" t="inlineStr">
        <is>
          <t>2025-07-13</t>
        </is>
      </c>
      <c r="B195" s="2" t="n">
        <v>2025</v>
      </c>
      <c r="C195" s="2" t="n">
        <v>7</v>
      </c>
      <c r="D195" s="2" t="inlineStr">
        <is>
          <t>Jul</t>
        </is>
      </c>
      <c r="E195" s="2" t="inlineStr">
        <is>
          <t>2025-07</t>
        </is>
      </c>
      <c r="F195" s="2" t="inlineStr">
        <is>
          <t>Q3</t>
        </is>
      </c>
    </row>
    <row r="196">
      <c r="A196" s="2" t="inlineStr">
        <is>
          <t>2025-07-14</t>
        </is>
      </c>
      <c r="B196" s="2" t="n">
        <v>2025</v>
      </c>
      <c r="C196" s="2" t="n">
        <v>7</v>
      </c>
      <c r="D196" s="2" t="inlineStr">
        <is>
          <t>Jul</t>
        </is>
      </c>
      <c r="E196" s="2" t="inlineStr">
        <is>
          <t>2025-07</t>
        </is>
      </c>
      <c r="F196" s="2" t="inlineStr">
        <is>
          <t>Q3</t>
        </is>
      </c>
    </row>
    <row r="197">
      <c r="A197" s="2" t="inlineStr">
        <is>
          <t>2025-07-15</t>
        </is>
      </c>
      <c r="B197" s="2" t="n">
        <v>2025</v>
      </c>
      <c r="C197" s="2" t="n">
        <v>7</v>
      </c>
      <c r="D197" s="2" t="inlineStr">
        <is>
          <t>Jul</t>
        </is>
      </c>
      <c r="E197" s="2" t="inlineStr">
        <is>
          <t>2025-07</t>
        </is>
      </c>
      <c r="F197" s="2" t="inlineStr">
        <is>
          <t>Q3</t>
        </is>
      </c>
    </row>
    <row r="198">
      <c r="A198" s="2" t="inlineStr">
        <is>
          <t>2025-07-16</t>
        </is>
      </c>
      <c r="B198" s="2" t="n">
        <v>2025</v>
      </c>
      <c r="C198" s="2" t="n">
        <v>7</v>
      </c>
      <c r="D198" s="2" t="inlineStr">
        <is>
          <t>Jul</t>
        </is>
      </c>
      <c r="E198" s="2" t="inlineStr">
        <is>
          <t>2025-07</t>
        </is>
      </c>
      <c r="F198" s="2" t="inlineStr">
        <is>
          <t>Q3</t>
        </is>
      </c>
    </row>
    <row r="199">
      <c r="A199" s="2" t="inlineStr">
        <is>
          <t>2025-07-17</t>
        </is>
      </c>
      <c r="B199" s="2" t="n">
        <v>2025</v>
      </c>
      <c r="C199" s="2" t="n">
        <v>7</v>
      </c>
      <c r="D199" s="2" t="inlineStr">
        <is>
          <t>Jul</t>
        </is>
      </c>
      <c r="E199" s="2" t="inlineStr">
        <is>
          <t>2025-07</t>
        </is>
      </c>
      <c r="F199" s="2" t="inlineStr">
        <is>
          <t>Q3</t>
        </is>
      </c>
    </row>
    <row r="200">
      <c r="A200" s="2" t="inlineStr">
        <is>
          <t>2025-07-18</t>
        </is>
      </c>
      <c r="B200" s="2" t="n">
        <v>2025</v>
      </c>
      <c r="C200" s="2" t="n">
        <v>7</v>
      </c>
      <c r="D200" s="2" t="inlineStr">
        <is>
          <t>Jul</t>
        </is>
      </c>
      <c r="E200" s="2" t="inlineStr">
        <is>
          <t>2025-07</t>
        </is>
      </c>
      <c r="F200" s="2" t="inlineStr">
        <is>
          <t>Q3</t>
        </is>
      </c>
    </row>
    <row r="201">
      <c r="A201" s="2" t="inlineStr">
        <is>
          <t>2025-07-19</t>
        </is>
      </c>
      <c r="B201" s="2" t="n">
        <v>2025</v>
      </c>
      <c r="C201" s="2" t="n">
        <v>7</v>
      </c>
      <c r="D201" s="2" t="inlineStr">
        <is>
          <t>Jul</t>
        </is>
      </c>
      <c r="E201" s="2" t="inlineStr">
        <is>
          <t>2025-07</t>
        </is>
      </c>
      <c r="F201" s="2" t="inlineStr">
        <is>
          <t>Q3</t>
        </is>
      </c>
    </row>
    <row r="202">
      <c r="A202" s="2" t="inlineStr">
        <is>
          <t>2025-07-20</t>
        </is>
      </c>
      <c r="B202" s="2" t="n">
        <v>2025</v>
      </c>
      <c r="C202" s="2" t="n">
        <v>7</v>
      </c>
      <c r="D202" s="2" t="inlineStr">
        <is>
          <t>Jul</t>
        </is>
      </c>
      <c r="E202" s="2" t="inlineStr">
        <is>
          <t>2025-07</t>
        </is>
      </c>
      <c r="F202" s="2" t="inlineStr">
        <is>
          <t>Q3</t>
        </is>
      </c>
    </row>
    <row r="203">
      <c r="A203" s="2" t="inlineStr">
        <is>
          <t>2025-07-21</t>
        </is>
      </c>
      <c r="B203" s="2" t="n">
        <v>2025</v>
      </c>
      <c r="C203" s="2" t="n">
        <v>7</v>
      </c>
      <c r="D203" s="2" t="inlineStr">
        <is>
          <t>Jul</t>
        </is>
      </c>
      <c r="E203" s="2" t="inlineStr">
        <is>
          <t>2025-07</t>
        </is>
      </c>
      <c r="F203" s="2" t="inlineStr">
        <is>
          <t>Q3</t>
        </is>
      </c>
    </row>
    <row r="204">
      <c r="A204" s="2" t="inlineStr">
        <is>
          <t>2025-07-22</t>
        </is>
      </c>
      <c r="B204" s="2" t="n">
        <v>2025</v>
      </c>
      <c r="C204" s="2" t="n">
        <v>7</v>
      </c>
      <c r="D204" s="2" t="inlineStr">
        <is>
          <t>Jul</t>
        </is>
      </c>
      <c r="E204" s="2" t="inlineStr">
        <is>
          <t>2025-07</t>
        </is>
      </c>
      <c r="F204" s="2" t="inlineStr">
        <is>
          <t>Q3</t>
        </is>
      </c>
    </row>
    <row r="205">
      <c r="A205" s="2" t="inlineStr">
        <is>
          <t>2025-07-23</t>
        </is>
      </c>
      <c r="B205" s="2" t="n">
        <v>2025</v>
      </c>
      <c r="C205" s="2" t="n">
        <v>7</v>
      </c>
      <c r="D205" s="2" t="inlineStr">
        <is>
          <t>Jul</t>
        </is>
      </c>
      <c r="E205" s="2" t="inlineStr">
        <is>
          <t>2025-07</t>
        </is>
      </c>
      <c r="F205" s="2" t="inlineStr">
        <is>
          <t>Q3</t>
        </is>
      </c>
    </row>
    <row r="206">
      <c r="A206" s="2" t="inlineStr">
        <is>
          <t>2025-07-24</t>
        </is>
      </c>
      <c r="B206" s="2" t="n">
        <v>2025</v>
      </c>
      <c r="C206" s="2" t="n">
        <v>7</v>
      </c>
      <c r="D206" s="2" t="inlineStr">
        <is>
          <t>Jul</t>
        </is>
      </c>
      <c r="E206" s="2" t="inlineStr">
        <is>
          <t>2025-07</t>
        </is>
      </c>
      <c r="F206" s="2" t="inlineStr">
        <is>
          <t>Q3</t>
        </is>
      </c>
    </row>
    <row r="207">
      <c r="A207" s="2" t="inlineStr">
        <is>
          <t>2025-07-25</t>
        </is>
      </c>
      <c r="B207" s="2" t="n">
        <v>2025</v>
      </c>
      <c r="C207" s="2" t="n">
        <v>7</v>
      </c>
      <c r="D207" s="2" t="inlineStr">
        <is>
          <t>Jul</t>
        </is>
      </c>
      <c r="E207" s="2" t="inlineStr">
        <is>
          <t>2025-07</t>
        </is>
      </c>
      <c r="F207" s="2" t="inlineStr">
        <is>
          <t>Q3</t>
        </is>
      </c>
    </row>
    <row r="208">
      <c r="A208" s="2" t="inlineStr">
        <is>
          <t>2025-07-26</t>
        </is>
      </c>
      <c r="B208" s="2" t="n">
        <v>2025</v>
      </c>
      <c r="C208" s="2" t="n">
        <v>7</v>
      </c>
      <c r="D208" s="2" t="inlineStr">
        <is>
          <t>Jul</t>
        </is>
      </c>
      <c r="E208" s="2" t="inlineStr">
        <is>
          <t>2025-07</t>
        </is>
      </c>
      <c r="F208" s="2" t="inlineStr">
        <is>
          <t>Q3</t>
        </is>
      </c>
    </row>
    <row r="209">
      <c r="A209" s="2" t="inlineStr">
        <is>
          <t>2025-07-27</t>
        </is>
      </c>
      <c r="B209" s="2" t="n">
        <v>2025</v>
      </c>
      <c r="C209" s="2" t="n">
        <v>7</v>
      </c>
      <c r="D209" s="2" t="inlineStr">
        <is>
          <t>Jul</t>
        </is>
      </c>
      <c r="E209" s="2" t="inlineStr">
        <is>
          <t>2025-07</t>
        </is>
      </c>
      <c r="F209" s="2" t="inlineStr">
        <is>
          <t>Q3</t>
        </is>
      </c>
    </row>
    <row r="210">
      <c r="A210" s="2" t="inlineStr">
        <is>
          <t>2025-07-28</t>
        </is>
      </c>
      <c r="B210" s="2" t="n">
        <v>2025</v>
      </c>
      <c r="C210" s="2" t="n">
        <v>7</v>
      </c>
      <c r="D210" s="2" t="inlineStr">
        <is>
          <t>Jul</t>
        </is>
      </c>
      <c r="E210" s="2" t="inlineStr">
        <is>
          <t>2025-07</t>
        </is>
      </c>
      <c r="F210" s="2" t="inlineStr">
        <is>
          <t>Q3</t>
        </is>
      </c>
    </row>
    <row r="211">
      <c r="A211" s="2" t="inlineStr">
        <is>
          <t>2025-07-29</t>
        </is>
      </c>
      <c r="B211" s="2" t="n">
        <v>2025</v>
      </c>
      <c r="C211" s="2" t="n">
        <v>7</v>
      </c>
      <c r="D211" s="2" t="inlineStr">
        <is>
          <t>Jul</t>
        </is>
      </c>
      <c r="E211" s="2" t="inlineStr">
        <is>
          <t>2025-07</t>
        </is>
      </c>
      <c r="F211" s="2" t="inlineStr">
        <is>
          <t>Q3</t>
        </is>
      </c>
    </row>
    <row r="212">
      <c r="A212" s="2" t="inlineStr">
        <is>
          <t>2025-07-30</t>
        </is>
      </c>
      <c r="B212" s="2" t="n">
        <v>2025</v>
      </c>
      <c r="C212" s="2" t="n">
        <v>7</v>
      </c>
      <c r="D212" s="2" t="inlineStr">
        <is>
          <t>Jul</t>
        </is>
      </c>
      <c r="E212" s="2" t="inlineStr">
        <is>
          <t>2025-07</t>
        </is>
      </c>
      <c r="F212" s="2" t="inlineStr">
        <is>
          <t>Q3</t>
        </is>
      </c>
    </row>
    <row r="213">
      <c r="A213" s="2" t="inlineStr">
        <is>
          <t>2025-07-31</t>
        </is>
      </c>
      <c r="B213" s="2" t="n">
        <v>2025</v>
      </c>
      <c r="C213" s="2" t="n">
        <v>7</v>
      </c>
      <c r="D213" s="2" t="inlineStr">
        <is>
          <t>Jul</t>
        </is>
      </c>
      <c r="E213" s="2" t="inlineStr">
        <is>
          <t>2025-07</t>
        </is>
      </c>
      <c r="F213" s="2" t="inlineStr">
        <is>
          <t>Q3</t>
        </is>
      </c>
    </row>
    <row r="214">
      <c r="A214" s="2" t="inlineStr">
        <is>
          <t>2025-08-01</t>
        </is>
      </c>
      <c r="B214" s="2" t="n">
        <v>2025</v>
      </c>
      <c r="C214" s="2" t="n">
        <v>8</v>
      </c>
      <c r="D214" s="2" t="inlineStr">
        <is>
          <t>Aug</t>
        </is>
      </c>
      <c r="E214" s="2" t="inlineStr">
        <is>
          <t>2025-08</t>
        </is>
      </c>
      <c r="F214" s="2" t="inlineStr">
        <is>
          <t>Q3</t>
        </is>
      </c>
    </row>
    <row r="215">
      <c r="A215" s="2" t="inlineStr">
        <is>
          <t>2025-08-02</t>
        </is>
      </c>
      <c r="B215" s="2" t="n">
        <v>2025</v>
      </c>
      <c r="C215" s="2" t="n">
        <v>8</v>
      </c>
      <c r="D215" s="2" t="inlineStr">
        <is>
          <t>Aug</t>
        </is>
      </c>
      <c r="E215" s="2" t="inlineStr">
        <is>
          <t>2025-08</t>
        </is>
      </c>
      <c r="F215" s="2" t="inlineStr">
        <is>
          <t>Q3</t>
        </is>
      </c>
    </row>
    <row r="216">
      <c r="A216" s="2" t="inlineStr">
        <is>
          <t>2025-08-03</t>
        </is>
      </c>
      <c r="B216" s="2" t="n">
        <v>2025</v>
      </c>
      <c r="C216" s="2" t="n">
        <v>8</v>
      </c>
      <c r="D216" s="2" t="inlineStr">
        <is>
          <t>Aug</t>
        </is>
      </c>
      <c r="E216" s="2" t="inlineStr">
        <is>
          <t>2025-08</t>
        </is>
      </c>
      <c r="F216" s="2" t="inlineStr">
        <is>
          <t>Q3</t>
        </is>
      </c>
    </row>
    <row r="217">
      <c r="A217" s="2" t="inlineStr">
        <is>
          <t>2025-08-04</t>
        </is>
      </c>
      <c r="B217" s="2" t="n">
        <v>2025</v>
      </c>
      <c r="C217" s="2" t="n">
        <v>8</v>
      </c>
      <c r="D217" s="2" t="inlineStr">
        <is>
          <t>Aug</t>
        </is>
      </c>
      <c r="E217" s="2" t="inlineStr">
        <is>
          <t>2025-08</t>
        </is>
      </c>
      <c r="F217" s="2" t="inlineStr">
        <is>
          <t>Q3</t>
        </is>
      </c>
    </row>
    <row r="218">
      <c r="A218" s="2" t="inlineStr">
        <is>
          <t>2025-08-05</t>
        </is>
      </c>
      <c r="B218" s="2" t="n">
        <v>2025</v>
      </c>
      <c r="C218" s="2" t="n">
        <v>8</v>
      </c>
      <c r="D218" s="2" t="inlineStr">
        <is>
          <t>Aug</t>
        </is>
      </c>
      <c r="E218" s="2" t="inlineStr">
        <is>
          <t>2025-08</t>
        </is>
      </c>
      <c r="F218" s="2" t="inlineStr">
        <is>
          <t>Q3</t>
        </is>
      </c>
    </row>
    <row r="219">
      <c r="A219" s="2" t="inlineStr">
        <is>
          <t>2025-08-06</t>
        </is>
      </c>
      <c r="B219" s="2" t="n">
        <v>2025</v>
      </c>
      <c r="C219" s="2" t="n">
        <v>8</v>
      </c>
      <c r="D219" s="2" t="inlineStr">
        <is>
          <t>Aug</t>
        </is>
      </c>
      <c r="E219" s="2" t="inlineStr">
        <is>
          <t>2025-08</t>
        </is>
      </c>
      <c r="F219" s="2" t="inlineStr">
        <is>
          <t>Q3</t>
        </is>
      </c>
    </row>
    <row r="220">
      <c r="A220" s="2" t="inlineStr">
        <is>
          <t>2025-08-07</t>
        </is>
      </c>
      <c r="B220" s="2" t="n">
        <v>2025</v>
      </c>
      <c r="C220" s="2" t="n">
        <v>8</v>
      </c>
      <c r="D220" s="2" t="inlineStr">
        <is>
          <t>Aug</t>
        </is>
      </c>
      <c r="E220" s="2" t="inlineStr">
        <is>
          <t>2025-08</t>
        </is>
      </c>
      <c r="F220" s="2" t="inlineStr">
        <is>
          <t>Q3</t>
        </is>
      </c>
    </row>
    <row r="221">
      <c r="A221" s="2" t="inlineStr">
        <is>
          <t>2025-08-08</t>
        </is>
      </c>
      <c r="B221" s="2" t="n">
        <v>2025</v>
      </c>
      <c r="C221" s="2" t="n">
        <v>8</v>
      </c>
      <c r="D221" s="2" t="inlineStr">
        <is>
          <t>Aug</t>
        </is>
      </c>
      <c r="E221" s="2" t="inlineStr">
        <is>
          <t>2025-08</t>
        </is>
      </c>
      <c r="F221" s="2" t="inlineStr">
        <is>
          <t>Q3</t>
        </is>
      </c>
    </row>
    <row r="222">
      <c r="A222" s="2" t="inlineStr">
        <is>
          <t>2025-08-09</t>
        </is>
      </c>
      <c r="B222" s="2" t="n">
        <v>2025</v>
      </c>
      <c r="C222" s="2" t="n">
        <v>8</v>
      </c>
      <c r="D222" s="2" t="inlineStr">
        <is>
          <t>Aug</t>
        </is>
      </c>
      <c r="E222" s="2" t="inlineStr">
        <is>
          <t>2025-08</t>
        </is>
      </c>
      <c r="F222" s="2" t="inlineStr">
        <is>
          <t>Q3</t>
        </is>
      </c>
    </row>
    <row r="223">
      <c r="A223" s="2" t="inlineStr">
        <is>
          <t>2025-08-10</t>
        </is>
      </c>
      <c r="B223" s="2" t="n">
        <v>2025</v>
      </c>
      <c r="C223" s="2" t="n">
        <v>8</v>
      </c>
      <c r="D223" s="2" t="inlineStr">
        <is>
          <t>Aug</t>
        </is>
      </c>
      <c r="E223" s="2" t="inlineStr">
        <is>
          <t>2025-08</t>
        </is>
      </c>
      <c r="F223" s="2" t="inlineStr">
        <is>
          <t>Q3</t>
        </is>
      </c>
    </row>
    <row r="224">
      <c r="A224" s="2" t="inlineStr">
        <is>
          <t>2025-08-11</t>
        </is>
      </c>
      <c r="B224" s="2" t="n">
        <v>2025</v>
      </c>
      <c r="C224" s="2" t="n">
        <v>8</v>
      </c>
      <c r="D224" s="2" t="inlineStr">
        <is>
          <t>Aug</t>
        </is>
      </c>
      <c r="E224" s="2" t="inlineStr">
        <is>
          <t>2025-08</t>
        </is>
      </c>
      <c r="F224" s="2" t="inlineStr">
        <is>
          <t>Q3</t>
        </is>
      </c>
    </row>
    <row r="225">
      <c r="A225" s="2" t="inlineStr">
        <is>
          <t>2025-08-12</t>
        </is>
      </c>
      <c r="B225" s="2" t="n">
        <v>2025</v>
      </c>
      <c r="C225" s="2" t="n">
        <v>8</v>
      </c>
      <c r="D225" s="2" t="inlineStr">
        <is>
          <t>Aug</t>
        </is>
      </c>
      <c r="E225" s="2" t="inlineStr">
        <is>
          <t>2025-08</t>
        </is>
      </c>
      <c r="F225" s="2" t="inlineStr">
        <is>
          <t>Q3</t>
        </is>
      </c>
    </row>
    <row r="226">
      <c r="A226" s="2" t="inlineStr">
        <is>
          <t>2025-08-13</t>
        </is>
      </c>
      <c r="B226" s="2" t="n">
        <v>2025</v>
      </c>
      <c r="C226" s="2" t="n">
        <v>8</v>
      </c>
      <c r="D226" s="2" t="inlineStr">
        <is>
          <t>Aug</t>
        </is>
      </c>
      <c r="E226" s="2" t="inlineStr">
        <is>
          <t>2025-08</t>
        </is>
      </c>
      <c r="F226" s="2" t="inlineStr">
        <is>
          <t>Q3</t>
        </is>
      </c>
    </row>
    <row r="227">
      <c r="A227" s="2" t="inlineStr">
        <is>
          <t>2025-08-14</t>
        </is>
      </c>
      <c r="B227" s="2" t="n">
        <v>2025</v>
      </c>
      <c r="C227" s="2" t="n">
        <v>8</v>
      </c>
      <c r="D227" s="2" t="inlineStr">
        <is>
          <t>Aug</t>
        </is>
      </c>
      <c r="E227" s="2" t="inlineStr">
        <is>
          <t>2025-08</t>
        </is>
      </c>
      <c r="F227" s="2" t="inlineStr">
        <is>
          <t>Q3</t>
        </is>
      </c>
    </row>
    <row r="228">
      <c r="A228" s="2" t="inlineStr">
        <is>
          <t>2025-08-15</t>
        </is>
      </c>
      <c r="B228" s="2" t="n">
        <v>2025</v>
      </c>
      <c r="C228" s="2" t="n">
        <v>8</v>
      </c>
      <c r="D228" s="2" t="inlineStr">
        <is>
          <t>Aug</t>
        </is>
      </c>
      <c r="E228" s="2" t="inlineStr">
        <is>
          <t>2025-08</t>
        </is>
      </c>
      <c r="F228" s="2" t="inlineStr">
        <is>
          <t>Q3</t>
        </is>
      </c>
    </row>
    <row r="229">
      <c r="A229" s="2" t="inlineStr">
        <is>
          <t>2025-08-16</t>
        </is>
      </c>
      <c r="B229" s="2" t="n">
        <v>2025</v>
      </c>
      <c r="C229" s="2" t="n">
        <v>8</v>
      </c>
      <c r="D229" s="2" t="inlineStr">
        <is>
          <t>Aug</t>
        </is>
      </c>
      <c r="E229" s="2" t="inlineStr">
        <is>
          <t>2025-08</t>
        </is>
      </c>
      <c r="F229" s="2" t="inlineStr">
        <is>
          <t>Q3</t>
        </is>
      </c>
    </row>
    <row r="230">
      <c r="A230" s="2" t="inlineStr">
        <is>
          <t>2025-08-17</t>
        </is>
      </c>
      <c r="B230" s="2" t="n">
        <v>2025</v>
      </c>
      <c r="C230" s="2" t="n">
        <v>8</v>
      </c>
      <c r="D230" s="2" t="inlineStr">
        <is>
          <t>Aug</t>
        </is>
      </c>
      <c r="E230" s="2" t="inlineStr">
        <is>
          <t>2025-08</t>
        </is>
      </c>
      <c r="F230" s="2" t="inlineStr">
        <is>
          <t>Q3</t>
        </is>
      </c>
    </row>
    <row r="231">
      <c r="A231" s="2" t="inlineStr">
        <is>
          <t>2025-08-18</t>
        </is>
      </c>
      <c r="B231" s="2" t="n">
        <v>2025</v>
      </c>
      <c r="C231" s="2" t="n">
        <v>8</v>
      </c>
      <c r="D231" s="2" t="inlineStr">
        <is>
          <t>Aug</t>
        </is>
      </c>
      <c r="E231" s="2" t="inlineStr">
        <is>
          <t>2025-08</t>
        </is>
      </c>
      <c r="F231" s="2" t="inlineStr">
        <is>
          <t>Q3</t>
        </is>
      </c>
    </row>
    <row r="232">
      <c r="A232" s="2" t="inlineStr">
        <is>
          <t>2025-08-19</t>
        </is>
      </c>
      <c r="B232" s="2" t="n">
        <v>2025</v>
      </c>
      <c r="C232" s="2" t="n">
        <v>8</v>
      </c>
      <c r="D232" s="2" t="inlineStr">
        <is>
          <t>Aug</t>
        </is>
      </c>
      <c r="E232" s="2" t="inlineStr">
        <is>
          <t>2025-08</t>
        </is>
      </c>
      <c r="F232" s="2" t="inlineStr">
        <is>
          <t>Q3</t>
        </is>
      </c>
    </row>
    <row r="233">
      <c r="A233" s="2" t="inlineStr">
        <is>
          <t>2025-08-20</t>
        </is>
      </c>
      <c r="B233" s="2" t="n">
        <v>2025</v>
      </c>
      <c r="C233" s="2" t="n">
        <v>8</v>
      </c>
      <c r="D233" s="2" t="inlineStr">
        <is>
          <t>Aug</t>
        </is>
      </c>
      <c r="E233" s="2" t="inlineStr">
        <is>
          <t>2025-08</t>
        </is>
      </c>
      <c r="F233" s="2" t="inlineStr">
        <is>
          <t>Q3</t>
        </is>
      </c>
    </row>
    <row r="234">
      <c r="A234" s="2" t="inlineStr">
        <is>
          <t>2025-08-21</t>
        </is>
      </c>
      <c r="B234" s="2" t="n">
        <v>2025</v>
      </c>
      <c r="C234" s="2" t="n">
        <v>8</v>
      </c>
      <c r="D234" s="2" t="inlineStr">
        <is>
          <t>Aug</t>
        </is>
      </c>
      <c r="E234" s="2" t="inlineStr">
        <is>
          <t>2025-08</t>
        </is>
      </c>
      <c r="F234" s="2" t="inlineStr">
        <is>
          <t>Q3</t>
        </is>
      </c>
    </row>
    <row r="235">
      <c r="A235" s="2" t="inlineStr">
        <is>
          <t>2025-08-22</t>
        </is>
      </c>
      <c r="B235" s="2" t="n">
        <v>2025</v>
      </c>
      <c r="C235" s="2" t="n">
        <v>8</v>
      </c>
      <c r="D235" s="2" t="inlineStr">
        <is>
          <t>Aug</t>
        </is>
      </c>
      <c r="E235" s="2" t="inlineStr">
        <is>
          <t>2025-08</t>
        </is>
      </c>
      <c r="F235" s="2" t="inlineStr">
        <is>
          <t>Q3</t>
        </is>
      </c>
    </row>
    <row r="236">
      <c r="A236" s="2" t="inlineStr">
        <is>
          <t>2025-08-23</t>
        </is>
      </c>
      <c r="B236" s="2" t="n">
        <v>2025</v>
      </c>
      <c r="C236" s="2" t="n">
        <v>8</v>
      </c>
      <c r="D236" s="2" t="inlineStr">
        <is>
          <t>Aug</t>
        </is>
      </c>
      <c r="E236" s="2" t="inlineStr">
        <is>
          <t>2025-08</t>
        </is>
      </c>
      <c r="F236" s="2" t="inlineStr">
        <is>
          <t>Q3</t>
        </is>
      </c>
    </row>
    <row r="237">
      <c r="A237" s="2" t="inlineStr">
        <is>
          <t>2025-08-24</t>
        </is>
      </c>
      <c r="B237" s="2" t="n">
        <v>2025</v>
      </c>
      <c r="C237" s="2" t="n">
        <v>8</v>
      </c>
      <c r="D237" s="2" t="inlineStr">
        <is>
          <t>Aug</t>
        </is>
      </c>
      <c r="E237" s="2" t="inlineStr">
        <is>
          <t>2025-08</t>
        </is>
      </c>
      <c r="F237" s="2" t="inlineStr">
        <is>
          <t>Q3</t>
        </is>
      </c>
    </row>
    <row r="238">
      <c r="A238" s="2" t="inlineStr">
        <is>
          <t>2025-08-25</t>
        </is>
      </c>
      <c r="B238" s="2" t="n">
        <v>2025</v>
      </c>
      <c r="C238" s="2" t="n">
        <v>8</v>
      </c>
      <c r="D238" s="2" t="inlineStr">
        <is>
          <t>Aug</t>
        </is>
      </c>
      <c r="E238" s="2" t="inlineStr">
        <is>
          <t>2025-08</t>
        </is>
      </c>
      <c r="F238" s="2" t="inlineStr">
        <is>
          <t>Q3</t>
        </is>
      </c>
    </row>
    <row r="239">
      <c r="A239" s="2" t="inlineStr">
        <is>
          <t>2025-08-26</t>
        </is>
      </c>
      <c r="B239" s="2" t="n">
        <v>2025</v>
      </c>
      <c r="C239" s="2" t="n">
        <v>8</v>
      </c>
      <c r="D239" s="2" t="inlineStr">
        <is>
          <t>Aug</t>
        </is>
      </c>
      <c r="E239" s="2" t="inlineStr">
        <is>
          <t>2025-08</t>
        </is>
      </c>
      <c r="F239" s="2" t="inlineStr">
        <is>
          <t>Q3</t>
        </is>
      </c>
    </row>
    <row r="240">
      <c r="A240" s="2" t="inlineStr">
        <is>
          <t>2025-08-27</t>
        </is>
      </c>
      <c r="B240" s="2" t="n">
        <v>2025</v>
      </c>
      <c r="C240" s="2" t="n">
        <v>8</v>
      </c>
      <c r="D240" s="2" t="inlineStr">
        <is>
          <t>Aug</t>
        </is>
      </c>
      <c r="E240" s="2" t="inlineStr">
        <is>
          <t>2025-08</t>
        </is>
      </c>
      <c r="F240" s="2" t="inlineStr">
        <is>
          <t>Q3</t>
        </is>
      </c>
    </row>
    <row r="241">
      <c r="A241" s="2" t="inlineStr">
        <is>
          <t>2025-08-28</t>
        </is>
      </c>
      <c r="B241" s="2" t="n">
        <v>2025</v>
      </c>
      <c r="C241" s="2" t="n">
        <v>8</v>
      </c>
      <c r="D241" s="2" t="inlineStr">
        <is>
          <t>Aug</t>
        </is>
      </c>
      <c r="E241" s="2" t="inlineStr">
        <is>
          <t>2025-08</t>
        </is>
      </c>
      <c r="F241" s="2" t="inlineStr">
        <is>
          <t>Q3</t>
        </is>
      </c>
    </row>
    <row r="242">
      <c r="A242" s="2" t="inlineStr">
        <is>
          <t>2025-08-29</t>
        </is>
      </c>
      <c r="B242" s="2" t="n">
        <v>2025</v>
      </c>
      <c r="C242" s="2" t="n">
        <v>8</v>
      </c>
      <c r="D242" s="2" t="inlineStr">
        <is>
          <t>Aug</t>
        </is>
      </c>
      <c r="E242" s="2" t="inlineStr">
        <is>
          <t>2025-08</t>
        </is>
      </c>
      <c r="F242" s="2" t="inlineStr">
        <is>
          <t>Q3</t>
        </is>
      </c>
    </row>
    <row r="243">
      <c r="A243" s="2" t="inlineStr">
        <is>
          <t>2025-08-30</t>
        </is>
      </c>
      <c r="B243" s="2" t="n">
        <v>2025</v>
      </c>
      <c r="C243" s="2" t="n">
        <v>8</v>
      </c>
      <c r="D243" s="2" t="inlineStr">
        <is>
          <t>Aug</t>
        </is>
      </c>
      <c r="E243" s="2" t="inlineStr">
        <is>
          <t>2025-08</t>
        </is>
      </c>
      <c r="F243" s="2" t="inlineStr">
        <is>
          <t>Q3</t>
        </is>
      </c>
    </row>
    <row r="244">
      <c r="A244" s="2" t="inlineStr">
        <is>
          <t>2025-08-31</t>
        </is>
      </c>
      <c r="B244" s="2" t="n">
        <v>2025</v>
      </c>
      <c r="C244" s="2" t="n">
        <v>8</v>
      </c>
      <c r="D244" s="2" t="inlineStr">
        <is>
          <t>Aug</t>
        </is>
      </c>
      <c r="E244" s="2" t="inlineStr">
        <is>
          <t>2025-08</t>
        </is>
      </c>
      <c r="F244" s="2" t="inlineStr">
        <is>
          <t>Q3</t>
        </is>
      </c>
    </row>
    <row r="245">
      <c r="A245" s="2" t="inlineStr">
        <is>
          <t>2025-09-01</t>
        </is>
      </c>
      <c r="B245" s="2" t="n">
        <v>2025</v>
      </c>
      <c r="C245" s="2" t="n">
        <v>9</v>
      </c>
      <c r="D245" s="2" t="inlineStr">
        <is>
          <t>Sep</t>
        </is>
      </c>
      <c r="E245" s="2" t="inlineStr">
        <is>
          <t>2025-09</t>
        </is>
      </c>
      <c r="F245" s="2" t="inlineStr">
        <is>
          <t>Q3</t>
        </is>
      </c>
    </row>
    <row r="246">
      <c r="A246" s="2" t="inlineStr">
        <is>
          <t>2025-09-02</t>
        </is>
      </c>
      <c r="B246" s="2" t="n">
        <v>2025</v>
      </c>
      <c r="C246" s="2" t="n">
        <v>9</v>
      </c>
      <c r="D246" s="2" t="inlineStr">
        <is>
          <t>Sep</t>
        </is>
      </c>
      <c r="E246" s="2" t="inlineStr">
        <is>
          <t>2025-09</t>
        </is>
      </c>
      <c r="F246" s="2" t="inlineStr">
        <is>
          <t>Q3</t>
        </is>
      </c>
    </row>
    <row r="247">
      <c r="A247" s="2" t="inlineStr">
        <is>
          <t>2025-09-03</t>
        </is>
      </c>
      <c r="B247" s="2" t="n">
        <v>2025</v>
      </c>
      <c r="C247" s="2" t="n">
        <v>9</v>
      </c>
      <c r="D247" s="2" t="inlineStr">
        <is>
          <t>Sep</t>
        </is>
      </c>
      <c r="E247" s="2" t="inlineStr">
        <is>
          <t>2025-09</t>
        </is>
      </c>
      <c r="F247" s="2" t="inlineStr">
        <is>
          <t>Q3</t>
        </is>
      </c>
    </row>
    <row r="248">
      <c r="A248" s="2" t="inlineStr">
        <is>
          <t>2025-09-04</t>
        </is>
      </c>
      <c r="B248" s="2" t="n">
        <v>2025</v>
      </c>
      <c r="C248" s="2" t="n">
        <v>9</v>
      </c>
      <c r="D248" s="2" t="inlineStr">
        <is>
          <t>Sep</t>
        </is>
      </c>
      <c r="E248" s="2" t="inlineStr">
        <is>
          <t>2025-09</t>
        </is>
      </c>
      <c r="F248" s="2" t="inlineStr">
        <is>
          <t>Q3</t>
        </is>
      </c>
    </row>
    <row r="249">
      <c r="A249" s="2" t="inlineStr">
        <is>
          <t>2025-09-05</t>
        </is>
      </c>
      <c r="B249" s="2" t="n">
        <v>2025</v>
      </c>
      <c r="C249" s="2" t="n">
        <v>9</v>
      </c>
      <c r="D249" s="2" t="inlineStr">
        <is>
          <t>Sep</t>
        </is>
      </c>
      <c r="E249" s="2" t="inlineStr">
        <is>
          <t>2025-09</t>
        </is>
      </c>
      <c r="F249" s="2" t="inlineStr">
        <is>
          <t>Q3</t>
        </is>
      </c>
    </row>
    <row r="250">
      <c r="A250" s="2" t="inlineStr">
        <is>
          <t>2025-09-06</t>
        </is>
      </c>
      <c r="B250" s="2" t="n">
        <v>2025</v>
      </c>
      <c r="C250" s="2" t="n">
        <v>9</v>
      </c>
      <c r="D250" s="2" t="inlineStr">
        <is>
          <t>Sep</t>
        </is>
      </c>
      <c r="E250" s="2" t="inlineStr">
        <is>
          <t>2025-09</t>
        </is>
      </c>
      <c r="F250" s="2" t="inlineStr">
        <is>
          <t>Q3</t>
        </is>
      </c>
    </row>
    <row r="251">
      <c r="A251" s="2" t="inlineStr">
        <is>
          <t>2025-09-07</t>
        </is>
      </c>
      <c r="B251" s="2" t="n">
        <v>2025</v>
      </c>
      <c r="C251" s="2" t="n">
        <v>9</v>
      </c>
      <c r="D251" s="2" t="inlineStr">
        <is>
          <t>Sep</t>
        </is>
      </c>
      <c r="E251" s="2" t="inlineStr">
        <is>
          <t>2025-09</t>
        </is>
      </c>
      <c r="F251" s="2" t="inlineStr">
        <is>
          <t>Q3</t>
        </is>
      </c>
    </row>
    <row r="252">
      <c r="A252" s="2" t="inlineStr">
        <is>
          <t>2025-09-08</t>
        </is>
      </c>
      <c r="B252" s="2" t="n">
        <v>2025</v>
      </c>
      <c r="C252" s="2" t="n">
        <v>9</v>
      </c>
      <c r="D252" s="2" t="inlineStr">
        <is>
          <t>Sep</t>
        </is>
      </c>
      <c r="E252" s="2" t="inlineStr">
        <is>
          <t>2025-09</t>
        </is>
      </c>
      <c r="F252" s="2" t="inlineStr">
        <is>
          <t>Q3</t>
        </is>
      </c>
    </row>
    <row r="253">
      <c r="A253" s="2" t="inlineStr">
        <is>
          <t>2025-09-09</t>
        </is>
      </c>
      <c r="B253" s="2" t="n">
        <v>2025</v>
      </c>
      <c r="C253" s="2" t="n">
        <v>9</v>
      </c>
      <c r="D253" s="2" t="inlineStr">
        <is>
          <t>Sep</t>
        </is>
      </c>
      <c r="E253" s="2" t="inlineStr">
        <is>
          <t>2025-09</t>
        </is>
      </c>
      <c r="F253" s="2" t="inlineStr">
        <is>
          <t>Q3</t>
        </is>
      </c>
    </row>
    <row r="254">
      <c r="A254" s="2" t="inlineStr">
        <is>
          <t>2025-09-10</t>
        </is>
      </c>
      <c r="B254" s="2" t="n">
        <v>2025</v>
      </c>
      <c r="C254" s="2" t="n">
        <v>9</v>
      </c>
      <c r="D254" s="2" t="inlineStr">
        <is>
          <t>Sep</t>
        </is>
      </c>
      <c r="E254" s="2" t="inlineStr">
        <is>
          <t>2025-09</t>
        </is>
      </c>
      <c r="F254" s="2" t="inlineStr">
        <is>
          <t>Q3</t>
        </is>
      </c>
    </row>
    <row r="255">
      <c r="A255" s="2" t="inlineStr">
        <is>
          <t>2025-09-11</t>
        </is>
      </c>
      <c r="B255" s="2" t="n">
        <v>2025</v>
      </c>
      <c r="C255" s="2" t="n">
        <v>9</v>
      </c>
      <c r="D255" s="2" t="inlineStr">
        <is>
          <t>Sep</t>
        </is>
      </c>
      <c r="E255" s="2" t="inlineStr">
        <is>
          <t>2025-09</t>
        </is>
      </c>
      <c r="F255" s="2" t="inlineStr">
        <is>
          <t>Q3</t>
        </is>
      </c>
    </row>
    <row r="256">
      <c r="A256" s="2" t="inlineStr">
        <is>
          <t>2025-09-12</t>
        </is>
      </c>
      <c r="B256" s="2" t="n">
        <v>2025</v>
      </c>
      <c r="C256" s="2" t="n">
        <v>9</v>
      </c>
      <c r="D256" s="2" t="inlineStr">
        <is>
          <t>Sep</t>
        </is>
      </c>
      <c r="E256" s="2" t="inlineStr">
        <is>
          <t>2025-09</t>
        </is>
      </c>
      <c r="F256" s="2" t="inlineStr">
        <is>
          <t>Q3</t>
        </is>
      </c>
    </row>
    <row r="257">
      <c r="A257" s="2" t="inlineStr">
        <is>
          <t>2025-09-13</t>
        </is>
      </c>
      <c r="B257" s="2" t="n">
        <v>2025</v>
      </c>
      <c r="C257" s="2" t="n">
        <v>9</v>
      </c>
      <c r="D257" s="2" t="inlineStr">
        <is>
          <t>Sep</t>
        </is>
      </c>
      <c r="E257" s="2" t="inlineStr">
        <is>
          <t>2025-09</t>
        </is>
      </c>
      <c r="F257" s="2" t="inlineStr">
        <is>
          <t>Q3</t>
        </is>
      </c>
    </row>
    <row r="258">
      <c r="A258" s="2" t="inlineStr">
        <is>
          <t>2025-09-14</t>
        </is>
      </c>
      <c r="B258" s="2" t="n">
        <v>2025</v>
      </c>
      <c r="C258" s="2" t="n">
        <v>9</v>
      </c>
      <c r="D258" s="2" t="inlineStr">
        <is>
          <t>Sep</t>
        </is>
      </c>
      <c r="E258" s="2" t="inlineStr">
        <is>
          <t>2025-09</t>
        </is>
      </c>
      <c r="F258" s="2" t="inlineStr">
        <is>
          <t>Q3</t>
        </is>
      </c>
    </row>
    <row r="259">
      <c r="A259" s="2" t="inlineStr">
        <is>
          <t>2025-09-15</t>
        </is>
      </c>
      <c r="B259" s="2" t="n">
        <v>2025</v>
      </c>
      <c r="C259" s="2" t="n">
        <v>9</v>
      </c>
      <c r="D259" s="2" t="inlineStr">
        <is>
          <t>Sep</t>
        </is>
      </c>
      <c r="E259" s="2" t="inlineStr">
        <is>
          <t>2025-09</t>
        </is>
      </c>
      <c r="F259" s="2" t="inlineStr">
        <is>
          <t>Q3</t>
        </is>
      </c>
    </row>
    <row r="260">
      <c r="A260" s="2" t="inlineStr">
        <is>
          <t>2025-09-16</t>
        </is>
      </c>
      <c r="B260" s="2" t="n">
        <v>2025</v>
      </c>
      <c r="C260" s="2" t="n">
        <v>9</v>
      </c>
      <c r="D260" s="2" t="inlineStr">
        <is>
          <t>Sep</t>
        </is>
      </c>
      <c r="E260" s="2" t="inlineStr">
        <is>
          <t>2025-09</t>
        </is>
      </c>
      <c r="F260" s="2" t="inlineStr">
        <is>
          <t>Q3</t>
        </is>
      </c>
    </row>
    <row r="261">
      <c r="A261" s="2" t="inlineStr">
        <is>
          <t>2025-09-17</t>
        </is>
      </c>
      <c r="B261" s="2" t="n">
        <v>2025</v>
      </c>
      <c r="C261" s="2" t="n">
        <v>9</v>
      </c>
      <c r="D261" s="2" t="inlineStr">
        <is>
          <t>Sep</t>
        </is>
      </c>
      <c r="E261" s="2" t="inlineStr">
        <is>
          <t>2025-09</t>
        </is>
      </c>
      <c r="F261" s="2" t="inlineStr">
        <is>
          <t>Q3</t>
        </is>
      </c>
    </row>
    <row r="262">
      <c r="A262" s="2" t="inlineStr">
        <is>
          <t>2025-09-18</t>
        </is>
      </c>
      <c r="B262" s="2" t="n">
        <v>2025</v>
      </c>
      <c r="C262" s="2" t="n">
        <v>9</v>
      </c>
      <c r="D262" s="2" t="inlineStr">
        <is>
          <t>Sep</t>
        </is>
      </c>
      <c r="E262" s="2" t="inlineStr">
        <is>
          <t>2025-09</t>
        </is>
      </c>
      <c r="F262" s="2" t="inlineStr">
        <is>
          <t>Q3</t>
        </is>
      </c>
    </row>
    <row r="263">
      <c r="A263" s="2" t="inlineStr">
        <is>
          <t>2025-09-19</t>
        </is>
      </c>
      <c r="B263" s="2" t="n">
        <v>2025</v>
      </c>
      <c r="C263" s="2" t="n">
        <v>9</v>
      </c>
      <c r="D263" s="2" t="inlineStr">
        <is>
          <t>Sep</t>
        </is>
      </c>
      <c r="E263" s="2" t="inlineStr">
        <is>
          <t>2025-09</t>
        </is>
      </c>
      <c r="F263" s="2" t="inlineStr">
        <is>
          <t>Q3</t>
        </is>
      </c>
    </row>
    <row r="264">
      <c r="A264" s="2" t="inlineStr">
        <is>
          <t>2025-09-20</t>
        </is>
      </c>
      <c r="B264" s="2" t="n">
        <v>2025</v>
      </c>
      <c r="C264" s="2" t="n">
        <v>9</v>
      </c>
      <c r="D264" s="2" t="inlineStr">
        <is>
          <t>Sep</t>
        </is>
      </c>
      <c r="E264" s="2" t="inlineStr">
        <is>
          <t>2025-09</t>
        </is>
      </c>
      <c r="F264" s="2" t="inlineStr">
        <is>
          <t>Q3</t>
        </is>
      </c>
    </row>
    <row r="265">
      <c r="A265" s="2" t="inlineStr">
        <is>
          <t>2025-09-21</t>
        </is>
      </c>
      <c r="B265" s="2" t="n">
        <v>2025</v>
      </c>
      <c r="C265" s="2" t="n">
        <v>9</v>
      </c>
      <c r="D265" s="2" t="inlineStr">
        <is>
          <t>Sep</t>
        </is>
      </c>
      <c r="E265" s="2" t="inlineStr">
        <is>
          <t>2025-09</t>
        </is>
      </c>
      <c r="F265" s="2" t="inlineStr">
        <is>
          <t>Q3</t>
        </is>
      </c>
    </row>
    <row r="266">
      <c r="A266" s="2" t="inlineStr">
        <is>
          <t>2025-09-22</t>
        </is>
      </c>
      <c r="B266" s="2" t="n">
        <v>2025</v>
      </c>
      <c r="C266" s="2" t="n">
        <v>9</v>
      </c>
      <c r="D266" s="2" t="inlineStr">
        <is>
          <t>Sep</t>
        </is>
      </c>
      <c r="E266" s="2" t="inlineStr">
        <is>
          <t>2025-09</t>
        </is>
      </c>
      <c r="F266" s="2" t="inlineStr">
        <is>
          <t>Q3</t>
        </is>
      </c>
    </row>
    <row r="267">
      <c r="A267" s="2" t="inlineStr">
        <is>
          <t>2025-09-23</t>
        </is>
      </c>
      <c r="B267" s="2" t="n">
        <v>2025</v>
      </c>
      <c r="C267" s="2" t="n">
        <v>9</v>
      </c>
      <c r="D267" s="2" t="inlineStr">
        <is>
          <t>Sep</t>
        </is>
      </c>
      <c r="E267" s="2" t="inlineStr">
        <is>
          <t>2025-09</t>
        </is>
      </c>
      <c r="F267" s="2" t="inlineStr">
        <is>
          <t>Q3</t>
        </is>
      </c>
    </row>
    <row r="268">
      <c r="A268" s="2" t="inlineStr">
        <is>
          <t>2025-09-24</t>
        </is>
      </c>
      <c r="B268" s="2" t="n">
        <v>2025</v>
      </c>
      <c r="C268" s="2" t="n">
        <v>9</v>
      </c>
      <c r="D268" s="2" t="inlineStr">
        <is>
          <t>Sep</t>
        </is>
      </c>
      <c r="E268" s="2" t="inlineStr">
        <is>
          <t>2025-09</t>
        </is>
      </c>
      <c r="F268" s="2" t="inlineStr">
        <is>
          <t>Q3</t>
        </is>
      </c>
    </row>
    <row r="269">
      <c r="A269" s="2" t="inlineStr">
        <is>
          <t>2025-09-25</t>
        </is>
      </c>
      <c r="B269" s="2" t="n">
        <v>2025</v>
      </c>
      <c r="C269" s="2" t="n">
        <v>9</v>
      </c>
      <c r="D269" s="2" t="inlineStr">
        <is>
          <t>Sep</t>
        </is>
      </c>
      <c r="E269" s="2" t="inlineStr">
        <is>
          <t>2025-09</t>
        </is>
      </c>
      <c r="F269" s="2" t="inlineStr">
        <is>
          <t>Q3</t>
        </is>
      </c>
    </row>
    <row r="270">
      <c r="A270" s="2" t="inlineStr">
        <is>
          <t>2025-09-26</t>
        </is>
      </c>
      <c r="B270" s="2" t="n">
        <v>2025</v>
      </c>
      <c r="C270" s="2" t="n">
        <v>9</v>
      </c>
      <c r="D270" s="2" t="inlineStr">
        <is>
          <t>Sep</t>
        </is>
      </c>
      <c r="E270" s="2" t="inlineStr">
        <is>
          <t>2025-09</t>
        </is>
      </c>
      <c r="F270" s="2" t="inlineStr">
        <is>
          <t>Q3</t>
        </is>
      </c>
    </row>
    <row r="271">
      <c r="A271" s="2" t="inlineStr">
        <is>
          <t>2025-09-27</t>
        </is>
      </c>
      <c r="B271" s="2" t="n">
        <v>2025</v>
      </c>
      <c r="C271" s="2" t="n">
        <v>9</v>
      </c>
      <c r="D271" s="2" t="inlineStr">
        <is>
          <t>Sep</t>
        </is>
      </c>
      <c r="E271" s="2" t="inlineStr">
        <is>
          <t>2025-09</t>
        </is>
      </c>
      <c r="F271" s="2" t="inlineStr">
        <is>
          <t>Q3</t>
        </is>
      </c>
    </row>
    <row r="272">
      <c r="A272" s="2" t="inlineStr">
        <is>
          <t>2025-09-28</t>
        </is>
      </c>
      <c r="B272" s="2" t="n">
        <v>2025</v>
      </c>
      <c r="C272" s="2" t="n">
        <v>9</v>
      </c>
      <c r="D272" s="2" t="inlineStr">
        <is>
          <t>Sep</t>
        </is>
      </c>
      <c r="E272" s="2" t="inlineStr">
        <is>
          <t>2025-09</t>
        </is>
      </c>
      <c r="F272" s="2" t="inlineStr">
        <is>
          <t>Q3</t>
        </is>
      </c>
    </row>
    <row r="273">
      <c r="A273" s="2" t="inlineStr">
        <is>
          <t>2025-09-29</t>
        </is>
      </c>
      <c r="B273" s="2" t="n">
        <v>2025</v>
      </c>
      <c r="C273" s="2" t="n">
        <v>9</v>
      </c>
      <c r="D273" s="2" t="inlineStr">
        <is>
          <t>Sep</t>
        </is>
      </c>
      <c r="E273" s="2" t="inlineStr">
        <is>
          <t>2025-09</t>
        </is>
      </c>
      <c r="F273" s="2" t="inlineStr">
        <is>
          <t>Q3</t>
        </is>
      </c>
    </row>
    <row r="274">
      <c r="A274" s="2" t="inlineStr">
        <is>
          <t>2025-09-30</t>
        </is>
      </c>
      <c r="B274" s="2" t="n">
        <v>2025</v>
      </c>
      <c r="C274" s="2" t="n">
        <v>9</v>
      </c>
      <c r="D274" s="2" t="inlineStr">
        <is>
          <t>Sep</t>
        </is>
      </c>
      <c r="E274" s="2" t="inlineStr">
        <is>
          <t>2025-09</t>
        </is>
      </c>
      <c r="F274" s="2" t="inlineStr">
        <is>
          <t>Q3</t>
        </is>
      </c>
    </row>
    <row r="275">
      <c r="A275" s="2" t="inlineStr">
        <is>
          <t>2025-10-01</t>
        </is>
      </c>
      <c r="B275" s="2" t="n">
        <v>2025</v>
      </c>
      <c r="C275" s="2" t="n">
        <v>10</v>
      </c>
      <c r="D275" s="2" t="inlineStr">
        <is>
          <t>Oct</t>
        </is>
      </c>
      <c r="E275" s="2" t="inlineStr">
        <is>
          <t>2025-10</t>
        </is>
      </c>
      <c r="F275" s="2" t="inlineStr">
        <is>
          <t>Q4</t>
        </is>
      </c>
    </row>
    <row r="276">
      <c r="A276" s="2" t="inlineStr">
        <is>
          <t>2025-10-02</t>
        </is>
      </c>
      <c r="B276" s="2" t="n">
        <v>2025</v>
      </c>
      <c r="C276" s="2" t="n">
        <v>10</v>
      </c>
      <c r="D276" s="2" t="inlineStr">
        <is>
          <t>Oct</t>
        </is>
      </c>
      <c r="E276" s="2" t="inlineStr">
        <is>
          <t>2025-10</t>
        </is>
      </c>
      <c r="F276" s="2" t="inlineStr">
        <is>
          <t>Q4</t>
        </is>
      </c>
    </row>
    <row r="277">
      <c r="A277" s="2" t="inlineStr">
        <is>
          <t>2025-10-03</t>
        </is>
      </c>
      <c r="B277" s="2" t="n">
        <v>2025</v>
      </c>
      <c r="C277" s="2" t="n">
        <v>10</v>
      </c>
      <c r="D277" s="2" t="inlineStr">
        <is>
          <t>Oct</t>
        </is>
      </c>
      <c r="E277" s="2" t="inlineStr">
        <is>
          <t>2025-10</t>
        </is>
      </c>
      <c r="F277" s="2" t="inlineStr">
        <is>
          <t>Q4</t>
        </is>
      </c>
    </row>
    <row r="278">
      <c r="A278" s="2" t="inlineStr">
        <is>
          <t>2025-10-04</t>
        </is>
      </c>
      <c r="B278" s="2" t="n">
        <v>2025</v>
      </c>
      <c r="C278" s="2" t="n">
        <v>10</v>
      </c>
      <c r="D278" s="2" t="inlineStr">
        <is>
          <t>Oct</t>
        </is>
      </c>
      <c r="E278" s="2" t="inlineStr">
        <is>
          <t>2025-10</t>
        </is>
      </c>
      <c r="F278" s="2" t="inlineStr">
        <is>
          <t>Q4</t>
        </is>
      </c>
    </row>
    <row r="279">
      <c r="A279" s="2" t="inlineStr">
        <is>
          <t>2025-10-05</t>
        </is>
      </c>
      <c r="B279" s="2" t="n">
        <v>2025</v>
      </c>
      <c r="C279" s="2" t="n">
        <v>10</v>
      </c>
      <c r="D279" s="2" t="inlineStr">
        <is>
          <t>Oct</t>
        </is>
      </c>
      <c r="E279" s="2" t="inlineStr">
        <is>
          <t>2025-10</t>
        </is>
      </c>
      <c r="F279" s="2" t="inlineStr">
        <is>
          <t>Q4</t>
        </is>
      </c>
    </row>
    <row r="280">
      <c r="A280" s="2" t="inlineStr">
        <is>
          <t>2025-10-06</t>
        </is>
      </c>
      <c r="B280" s="2" t="n">
        <v>2025</v>
      </c>
      <c r="C280" s="2" t="n">
        <v>10</v>
      </c>
      <c r="D280" s="2" t="inlineStr">
        <is>
          <t>Oct</t>
        </is>
      </c>
      <c r="E280" s="2" t="inlineStr">
        <is>
          <t>2025-10</t>
        </is>
      </c>
      <c r="F280" s="2" t="inlineStr">
        <is>
          <t>Q4</t>
        </is>
      </c>
    </row>
    <row r="281">
      <c r="A281" s="2" t="inlineStr">
        <is>
          <t>2025-10-07</t>
        </is>
      </c>
      <c r="B281" s="2" t="n">
        <v>2025</v>
      </c>
      <c r="C281" s="2" t="n">
        <v>10</v>
      </c>
      <c r="D281" s="2" t="inlineStr">
        <is>
          <t>Oct</t>
        </is>
      </c>
      <c r="E281" s="2" t="inlineStr">
        <is>
          <t>2025-10</t>
        </is>
      </c>
      <c r="F281" s="2" t="inlineStr">
        <is>
          <t>Q4</t>
        </is>
      </c>
    </row>
    <row r="282">
      <c r="A282" s="2" t="inlineStr">
        <is>
          <t>2025-10-08</t>
        </is>
      </c>
      <c r="B282" s="2" t="n">
        <v>2025</v>
      </c>
      <c r="C282" s="2" t="n">
        <v>10</v>
      </c>
      <c r="D282" s="2" t="inlineStr">
        <is>
          <t>Oct</t>
        </is>
      </c>
      <c r="E282" s="2" t="inlineStr">
        <is>
          <t>2025-10</t>
        </is>
      </c>
      <c r="F282" s="2" t="inlineStr">
        <is>
          <t>Q4</t>
        </is>
      </c>
    </row>
    <row r="283">
      <c r="A283" s="2" t="inlineStr">
        <is>
          <t>2025-10-09</t>
        </is>
      </c>
      <c r="B283" s="2" t="n">
        <v>2025</v>
      </c>
      <c r="C283" s="2" t="n">
        <v>10</v>
      </c>
      <c r="D283" s="2" t="inlineStr">
        <is>
          <t>Oct</t>
        </is>
      </c>
      <c r="E283" s="2" t="inlineStr">
        <is>
          <t>2025-10</t>
        </is>
      </c>
      <c r="F283" s="2" t="inlineStr">
        <is>
          <t>Q4</t>
        </is>
      </c>
    </row>
    <row r="284">
      <c r="A284" s="2" t="inlineStr">
        <is>
          <t>2025-10-10</t>
        </is>
      </c>
      <c r="B284" s="2" t="n">
        <v>2025</v>
      </c>
      <c r="C284" s="2" t="n">
        <v>10</v>
      </c>
      <c r="D284" s="2" t="inlineStr">
        <is>
          <t>Oct</t>
        </is>
      </c>
      <c r="E284" s="2" t="inlineStr">
        <is>
          <t>2025-10</t>
        </is>
      </c>
      <c r="F284" s="2" t="inlineStr">
        <is>
          <t>Q4</t>
        </is>
      </c>
    </row>
    <row r="285">
      <c r="A285" s="2" t="inlineStr">
        <is>
          <t>2025-10-11</t>
        </is>
      </c>
      <c r="B285" s="2" t="n">
        <v>2025</v>
      </c>
      <c r="C285" s="2" t="n">
        <v>10</v>
      </c>
      <c r="D285" s="2" t="inlineStr">
        <is>
          <t>Oct</t>
        </is>
      </c>
      <c r="E285" s="2" t="inlineStr">
        <is>
          <t>2025-10</t>
        </is>
      </c>
      <c r="F285" s="2" t="inlineStr">
        <is>
          <t>Q4</t>
        </is>
      </c>
    </row>
    <row r="286">
      <c r="A286" s="2" t="inlineStr">
        <is>
          <t>2025-10-12</t>
        </is>
      </c>
      <c r="B286" s="2" t="n">
        <v>2025</v>
      </c>
      <c r="C286" s="2" t="n">
        <v>10</v>
      </c>
      <c r="D286" s="2" t="inlineStr">
        <is>
          <t>Oct</t>
        </is>
      </c>
      <c r="E286" s="2" t="inlineStr">
        <is>
          <t>2025-10</t>
        </is>
      </c>
      <c r="F286" s="2" t="inlineStr">
        <is>
          <t>Q4</t>
        </is>
      </c>
    </row>
    <row r="287">
      <c r="A287" s="2" t="inlineStr">
        <is>
          <t>2025-10-13</t>
        </is>
      </c>
      <c r="B287" s="2" t="n">
        <v>2025</v>
      </c>
      <c r="C287" s="2" t="n">
        <v>10</v>
      </c>
      <c r="D287" s="2" t="inlineStr">
        <is>
          <t>Oct</t>
        </is>
      </c>
      <c r="E287" s="2" t="inlineStr">
        <is>
          <t>2025-10</t>
        </is>
      </c>
      <c r="F287" s="2" t="inlineStr">
        <is>
          <t>Q4</t>
        </is>
      </c>
    </row>
    <row r="288">
      <c r="A288" s="2" t="inlineStr">
        <is>
          <t>2025-10-14</t>
        </is>
      </c>
      <c r="B288" s="2" t="n">
        <v>2025</v>
      </c>
      <c r="C288" s="2" t="n">
        <v>10</v>
      </c>
      <c r="D288" s="2" t="inlineStr">
        <is>
          <t>Oct</t>
        </is>
      </c>
      <c r="E288" s="2" t="inlineStr">
        <is>
          <t>2025-10</t>
        </is>
      </c>
      <c r="F288" s="2" t="inlineStr">
        <is>
          <t>Q4</t>
        </is>
      </c>
    </row>
    <row r="289">
      <c r="A289" s="2" t="inlineStr">
        <is>
          <t>2025-10-15</t>
        </is>
      </c>
      <c r="B289" s="2" t="n">
        <v>2025</v>
      </c>
      <c r="C289" s="2" t="n">
        <v>10</v>
      </c>
      <c r="D289" s="2" t="inlineStr">
        <is>
          <t>Oct</t>
        </is>
      </c>
      <c r="E289" s="2" t="inlineStr">
        <is>
          <t>2025-10</t>
        </is>
      </c>
      <c r="F289" s="2" t="inlineStr">
        <is>
          <t>Q4</t>
        </is>
      </c>
    </row>
    <row r="290">
      <c r="A290" s="2" t="inlineStr">
        <is>
          <t>2025-10-16</t>
        </is>
      </c>
      <c r="B290" s="2" t="n">
        <v>2025</v>
      </c>
      <c r="C290" s="2" t="n">
        <v>10</v>
      </c>
      <c r="D290" s="2" t="inlineStr">
        <is>
          <t>Oct</t>
        </is>
      </c>
      <c r="E290" s="2" t="inlineStr">
        <is>
          <t>2025-10</t>
        </is>
      </c>
      <c r="F290" s="2" t="inlineStr">
        <is>
          <t>Q4</t>
        </is>
      </c>
    </row>
    <row r="291">
      <c r="A291" s="2" t="inlineStr">
        <is>
          <t>2025-10-17</t>
        </is>
      </c>
      <c r="B291" s="2" t="n">
        <v>2025</v>
      </c>
      <c r="C291" s="2" t="n">
        <v>10</v>
      </c>
      <c r="D291" s="2" t="inlineStr">
        <is>
          <t>Oct</t>
        </is>
      </c>
      <c r="E291" s="2" t="inlineStr">
        <is>
          <t>2025-10</t>
        </is>
      </c>
      <c r="F291" s="2" t="inlineStr">
        <is>
          <t>Q4</t>
        </is>
      </c>
    </row>
    <row r="292">
      <c r="A292" s="2" t="inlineStr">
        <is>
          <t>2025-10-18</t>
        </is>
      </c>
      <c r="B292" s="2" t="n">
        <v>2025</v>
      </c>
      <c r="C292" s="2" t="n">
        <v>10</v>
      </c>
      <c r="D292" s="2" t="inlineStr">
        <is>
          <t>Oct</t>
        </is>
      </c>
      <c r="E292" s="2" t="inlineStr">
        <is>
          <t>2025-10</t>
        </is>
      </c>
      <c r="F292" s="2" t="inlineStr">
        <is>
          <t>Q4</t>
        </is>
      </c>
    </row>
    <row r="293">
      <c r="A293" s="2" t="inlineStr">
        <is>
          <t>2025-10-19</t>
        </is>
      </c>
      <c r="B293" s="2" t="n">
        <v>2025</v>
      </c>
      <c r="C293" s="2" t="n">
        <v>10</v>
      </c>
      <c r="D293" s="2" t="inlineStr">
        <is>
          <t>Oct</t>
        </is>
      </c>
      <c r="E293" s="2" t="inlineStr">
        <is>
          <t>2025-10</t>
        </is>
      </c>
      <c r="F293" s="2" t="inlineStr">
        <is>
          <t>Q4</t>
        </is>
      </c>
    </row>
    <row r="294">
      <c r="A294" s="2" t="inlineStr">
        <is>
          <t>2025-10-20</t>
        </is>
      </c>
      <c r="B294" s="2" t="n">
        <v>2025</v>
      </c>
      <c r="C294" s="2" t="n">
        <v>10</v>
      </c>
      <c r="D294" s="2" t="inlineStr">
        <is>
          <t>Oct</t>
        </is>
      </c>
      <c r="E294" s="2" t="inlineStr">
        <is>
          <t>2025-10</t>
        </is>
      </c>
      <c r="F294" s="2" t="inlineStr">
        <is>
          <t>Q4</t>
        </is>
      </c>
    </row>
    <row r="295">
      <c r="A295" s="2" t="inlineStr">
        <is>
          <t>2025-10-21</t>
        </is>
      </c>
      <c r="B295" s="2" t="n">
        <v>2025</v>
      </c>
      <c r="C295" s="2" t="n">
        <v>10</v>
      </c>
      <c r="D295" s="2" t="inlineStr">
        <is>
          <t>Oct</t>
        </is>
      </c>
      <c r="E295" s="2" t="inlineStr">
        <is>
          <t>2025-10</t>
        </is>
      </c>
      <c r="F295" s="2" t="inlineStr">
        <is>
          <t>Q4</t>
        </is>
      </c>
    </row>
    <row r="296">
      <c r="A296" s="2" t="inlineStr">
        <is>
          <t>2025-10-22</t>
        </is>
      </c>
      <c r="B296" s="2" t="n">
        <v>2025</v>
      </c>
      <c r="C296" s="2" t="n">
        <v>10</v>
      </c>
      <c r="D296" s="2" t="inlineStr">
        <is>
          <t>Oct</t>
        </is>
      </c>
      <c r="E296" s="2" t="inlineStr">
        <is>
          <t>2025-10</t>
        </is>
      </c>
      <c r="F296" s="2" t="inlineStr">
        <is>
          <t>Q4</t>
        </is>
      </c>
    </row>
    <row r="297">
      <c r="A297" s="2" t="inlineStr">
        <is>
          <t>2025-10-23</t>
        </is>
      </c>
      <c r="B297" s="2" t="n">
        <v>2025</v>
      </c>
      <c r="C297" s="2" t="n">
        <v>10</v>
      </c>
      <c r="D297" s="2" t="inlineStr">
        <is>
          <t>Oct</t>
        </is>
      </c>
      <c r="E297" s="2" t="inlineStr">
        <is>
          <t>2025-10</t>
        </is>
      </c>
      <c r="F297" s="2" t="inlineStr">
        <is>
          <t>Q4</t>
        </is>
      </c>
    </row>
    <row r="298">
      <c r="A298" s="2" t="inlineStr">
        <is>
          <t>2025-10-24</t>
        </is>
      </c>
      <c r="B298" s="2" t="n">
        <v>2025</v>
      </c>
      <c r="C298" s="2" t="n">
        <v>10</v>
      </c>
      <c r="D298" s="2" t="inlineStr">
        <is>
          <t>Oct</t>
        </is>
      </c>
      <c r="E298" s="2" t="inlineStr">
        <is>
          <t>2025-10</t>
        </is>
      </c>
      <c r="F298" s="2" t="inlineStr">
        <is>
          <t>Q4</t>
        </is>
      </c>
    </row>
    <row r="299">
      <c r="A299" s="2" t="inlineStr">
        <is>
          <t>2025-10-25</t>
        </is>
      </c>
      <c r="B299" s="2" t="n">
        <v>2025</v>
      </c>
      <c r="C299" s="2" t="n">
        <v>10</v>
      </c>
      <c r="D299" s="2" t="inlineStr">
        <is>
          <t>Oct</t>
        </is>
      </c>
      <c r="E299" s="2" t="inlineStr">
        <is>
          <t>2025-10</t>
        </is>
      </c>
      <c r="F299" s="2" t="inlineStr">
        <is>
          <t>Q4</t>
        </is>
      </c>
    </row>
    <row r="300">
      <c r="A300" s="2" t="inlineStr">
        <is>
          <t>2025-10-26</t>
        </is>
      </c>
      <c r="B300" s="2" t="n">
        <v>2025</v>
      </c>
      <c r="C300" s="2" t="n">
        <v>10</v>
      </c>
      <c r="D300" s="2" t="inlineStr">
        <is>
          <t>Oct</t>
        </is>
      </c>
      <c r="E300" s="2" t="inlineStr">
        <is>
          <t>2025-10</t>
        </is>
      </c>
      <c r="F300" s="2" t="inlineStr">
        <is>
          <t>Q4</t>
        </is>
      </c>
    </row>
    <row r="301">
      <c r="A301" s="2" t="inlineStr">
        <is>
          <t>2025-10-27</t>
        </is>
      </c>
      <c r="B301" s="2" t="n">
        <v>2025</v>
      </c>
      <c r="C301" s="2" t="n">
        <v>10</v>
      </c>
      <c r="D301" s="2" t="inlineStr">
        <is>
          <t>Oct</t>
        </is>
      </c>
      <c r="E301" s="2" t="inlineStr">
        <is>
          <t>2025-10</t>
        </is>
      </c>
      <c r="F301" s="2" t="inlineStr">
        <is>
          <t>Q4</t>
        </is>
      </c>
    </row>
    <row r="302">
      <c r="A302" s="2" t="inlineStr">
        <is>
          <t>2025-10-28</t>
        </is>
      </c>
      <c r="B302" s="2" t="n">
        <v>2025</v>
      </c>
      <c r="C302" s="2" t="n">
        <v>10</v>
      </c>
      <c r="D302" s="2" t="inlineStr">
        <is>
          <t>Oct</t>
        </is>
      </c>
      <c r="E302" s="2" t="inlineStr">
        <is>
          <t>2025-10</t>
        </is>
      </c>
      <c r="F302" s="2" t="inlineStr">
        <is>
          <t>Q4</t>
        </is>
      </c>
    </row>
    <row r="303">
      <c r="A303" s="2" t="inlineStr">
        <is>
          <t>2025-10-29</t>
        </is>
      </c>
      <c r="B303" s="2" t="n">
        <v>2025</v>
      </c>
      <c r="C303" s="2" t="n">
        <v>10</v>
      </c>
      <c r="D303" s="2" t="inlineStr">
        <is>
          <t>Oct</t>
        </is>
      </c>
      <c r="E303" s="2" t="inlineStr">
        <is>
          <t>2025-10</t>
        </is>
      </c>
      <c r="F303" s="2" t="inlineStr">
        <is>
          <t>Q4</t>
        </is>
      </c>
    </row>
    <row r="304">
      <c r="A304" s="2" t="inlineStr">
        <is>
          <t>2025-10-30</t>
        </is>
      </c>
      <c r="B304" s="2" t="n">
        <v>2025</v>
      </c>
      <c r="C304" s="2" t="n">
        <v>10</v>
      </c>
      <c r="D304" s="2" t="inlineStr">
        <is>
          <t>Oct</t>
        </is>
      </c>
      <c r="E304" s="2" t="inlineStr">
        <is>
          <t>2025-10</t>
        </is>
      </c>
      <c r="F304" s="2" t="inlineStr">
        <is>
          <t>Q4</t>
        </is>
      </c>
    </row>
    <row r="305">
      <c r="A305" s="2" t="inlineStr">
        <is>
          <t>2025-10-31</t>
        </is>
      </c>
      <c r="B305" s="2" t="n">
        <v>2025</v>
      </c>
      <c r="C305" s="2" t="n">
        <v>10</v>
      </c>
      <c r="D305" s="2" t="inlineStr">
        <is>
          <t>Oct</t>
        </is>
      </c>
      <c r="E305" s="2" t="inlineStr">
        <is>
          <t>2025-10</t>
        </is>
      </c>
      <c r="F305" s="2" t="inlineStr">
        <is>
          <t>Q4</t>
        </is>
      </c>
    </row>
    <row r="306">
      <c r="A306" s="2" t="inlineStr">
        <is>
          <t>2025-11-01</t>
        </is>
      </c>
      <c r="B306" s="2" t="n">
        <v>2025</v>
      </c>
      <c r="C306" s="2" t="n">
        <v>11</v>
      </c>
      <c r="D306" s="2" t="inlineStr">
        <is>
          <t>Nov</t>
        </is>
      </c>
      <c r="E306" s="2" t="inlineStr">
        <is>
          <t>2025-11</t>
        </is>
      </c>
      <c r="F306" s="2" t="inlineStr">
        <is>
          <t>Q4</t>
        </is>
      </c>
    </row>
    <row r="307">
      <c r="A307" s="2" t="inlineStr">
        <is>
          <t>2025-11-02</t>
        </is>
      </c>
      <c r="B307" s="2" t="n">
        <v>2025</v>
      </c>
      <c r="C307" s="2" t="n">
        <v>11</v>
      </c>
      <c r="D307" s="2" t="inlineStr">
        <is>
          <t>Nov</t>
        </is>
      </c>
      <c r="E307" s="2" t="inlineStr">
        <is>
          <t>2025-11</t>
        </is>
      </c>
      <c r="F307" s="2" t="inlineStr">
        <is>
          <t>Q4</t>
        </is>
      </c>
    </row>
    <row r="308">
      <c r="A308" s="2" t="inlineStr">
        <is>
          <t>2025-11-03</t>
        </is>
      </c>
      <c r="B308" s="2" t="n">
        <v>2025</v>
      </c>
      <c r="C308" s="2" t="n">
        <v>11</v>
      </c>
      <c r="D308" s="2" t="inlineStr">
        <is>
          <t>Nov</t>
        </is>
      </c>
      <c r="E308" s="2" t="inlineStr">
        <is>
          <t>2025-11</t>
        </is>
      </c>
      <c r="F308" s="2" t="inlineStr">
        <is>
          <t>Q4</t>
        </is>
      </c>
    </row>
    <row r="309">
      <c r="A309" s="2" t="inlineStr">
        <is>
          <t>2025-11-04</t>
        </is>
      </c>
      <c r="B309" s="2" t="n">
        <v>2025</v>
      </c>
      <c r="C309" s="2" t="n">
        <v>11</v>
      </c>
      <c r="D309" s="2" t="inlineStr">
        <is>
          <t>Nov</t>
        </is>
      </c>
      <c r="E309" s="2" t="inlineStr">
        <is>
          <t>2025-11</t>
        </is>
      </c>
      <c r="F309" s="2" t="inlineStr">
        <is>
          <t>Q4</t>
        </is>
      </c>
    </row>
    <row r="310">
      <c r="A310" s="2" t="inlineStr">
        <is>
          <t>2025-11-05</t>
        </is>
      </c>
      <c r="B310" s="2" t="n">
        <v>2025</v>
      </c>
      <c r="C310" s="2" t="n">
        <v>11</v>
      </c>
      <c r="D310" s="2" t="inlineStr">
        <is>
          <t>Nov</t>
        </is>
      </c>
      <c r="E310" s="2" t="inlineStr">
        <is>
          <t>2025-11</t>
        </is>
      </c>
      <c r="F310" s="2" t="inlineStr">
        <is>
          <t>Q4</t>
        </is>
      </c>
    </row>
    <row r="311">
      <c r="A311" s="2" t="inlineStr">
        <is>
          <t>2025-11-06</t>
        </is>
      </c>
      <c r="B311" s="2" t="n">
        <v>2025</v>
      </c>
      <c r="C311" s="2" t="n">
        <v>11</v>
      </c>
      <c r="D311" s="2" t="inlineStr">
        <is>
          <t>Nov</t>
        </is>
      </c>
      <c r="E311" s="2" t="inlineStr">
        <is>
          <t>2025-11</t>
        </is>
      </c>
      <c r="F311" s="2" t="inlineStr">
        <is>
          <t>Q4</t>
        </is>
      </c>
    </row>
    <row r="312">
      <c r="A312" s="2" t="inlineStr">
        <is>
          <t>2025-11-07</t>
        </is>
      </c>
      <c r="B312" s="2" t="n">
        <v>2025</v>
      </c>
      <c r="C312" s="2" t="n">
        <v>11</v>
      </c>
      <c r="D312" s="2" t="inlineStr">
        <is>
          <t>Nov</t>
        </is>
      </c>
      <c r="E312" s="2" t="inlineStr">
        <is>
          <t>2025-11</t>
        </is>
      </c>
      <c r="F312" s="2" t="inlineStr">
        <is>
          <t>Q4</t>
        </is>
      </c>
    </row>
    <row r="313">
      <c r="A313" s="2" t="inlineStr">
        <is>
          <t>2025-11-08</t>
        </is>
      </c>
      <c r="B313" s="2" t="n">
        <v>2025</v>
      </c>
      <c r="C313" s="2" t="n">
        <v>11</v>
      </c>
      <c r="D313" s="2" t="inlineStr">
        <is>
          <t>Nov</t>
        </is>
      </c>
      <c r="E313" s="2" t="inlineStr">
        <is>
          <t>2025-11</t>
        </is>
      </c>
      <c r="F313" s="2" t="inlineStr">
        <is>
          <t>Q4</t>
        </is>
      </c>
    </row>
    <row r="314">
      <c r="A314" s="2" t="inlineStr">
        <is>
          <t>2025-11-09</t>
        </is>
      </c>
      <c r="B314" s="2" t="n">
        <v>2025</v>
      </c>
      <c r="C314" s="2" t="n">
        <v>11</v>
      </c>
      <c r="D314" s="2" t="inlineStr">
        <is>
          <t>Nov</t>
        </is>
      </c>
      <c r="E314" s="2" t="inlineStr">
        <is>
          <t>2025-11</t>
        </is>
      </c>
      <c r="F314" s="2" t="inlineStr">
        <is>
          <t>Q4</t>
        </is>
      </c>
    </row>
    <row r="315">
      <c r="A315" s="2" t="inlineStr">
        <is>
          <t>2025-11-10</t>
        </is>
      </c>
      <c r="B315" s="2" t="n">
        <v>2025</v>
      </c>
      <c r="C315" s="2" t="n">
        <v>11</v>
      </c>
      <c r="D315" s="2" t="inlineStr">
        <is>
          <t>Nov</t>
        </is>
      </c>
      <c r="E315" s="2" t="inlineStr">
        <is>
          <t>2025-11</t>
        </is>
      </c>
      <c r="F315" s="2" t="inlineStr">
        <is>
          <t>Q4</t>
        </is>
      </c>
    </row>
    <row r="316">
      <c r="A316" s="2" t="inlineStr">
        <is>
          <t>2025-11-11</t>
        </is>
      </c>
      <c r="B316" s="2" t="n">
        <v>2025</v>
      </c>
      <c r="C316" s="2" t="n">
        <v>11</v>
      </c>
      <c r="D316" s="2" t="inlineStr">
        <is>
          <t>Nov</t>
        </is>
      </c>
      <c r="E316" s="2" t="inlineStr">
        <is>
          <t>2025-11</t>
        </is>
      </c>
      <c r="F316" s="2" t="inlineStr">
        <is>
          <t>Q4</t>
        </is>
      </c>
    </row>
    <row r="317">
      <c r="A317" s="2" t="inlineStr">
        <is>
          <t>2025-11-12</t>
        </is>
      </c>
      <c r="B317" s="2" t="n">
        <v>2025</v>
      </c>
      <c r="C317" s="2" t="n">
        <v>11</v>
      </c>
      <c r="D317" s="2" t="inlineStr">
        <is>
          <t>Nov</t>
        </is>
      </c>
      <c r="E317" s="2" t="inlineStr">
        <is>
          <t>2025-11</t>
        </is>
      </c>
      <c r="F317" s="2" t="inlineStr">
        <is>
          <t>Q4</t>
        </is>
      </c>
    </row>
    <row r="318">
      <c r="A318" s="2" t="inlineStr">
        <is>
          <t>2025-11-13</t>
        </is>
      </c>
      <c r="B318" s="2" t="n">
        <v>2025</v>
      </c>
      <c r="C318" s="2" t="n">
        <v>11</v>
      </c>
      <c r="D318" s="2" t="inlineStr">
        <is>
          <t>Nov</t>
        </is>
      </c>
      <c r="E318" s="2" t="inlineStr">
        <is>
          <t>2025-11</t>
        </is>
      </c>
      <c r="F318" s="2" t="inlineStr">
        <is>
          <t>Q4</t>
        </is>
      </c>
    </row>
    <row r="319">
      <c r="A319" s="2" t="inlineStr">
        <is>
          <t>2025-11-14</t>
        </is>
      </c>
      <c r="B319" s="2" t="n">
        <v>2025</v>
      </c>
      <c r="C319" s="2" t="n">
        <v>11</v>
      </c>
      <c r="D319" s="2" t="inlineStr">
        <is>
          <t>Nov</t>
        </is>
      </c>
      <c r="E319" s="2" t="inlineStr">
        <is>
          <t>2025-11</t>
        </is>
      </c>
      <c r="F319" s="2" t="inlineStr">
        <is>
          <t>Q4</t>
        </is>
      </c>
    </row>
    <row r="320">
      <c r="A320" s="2" t="inlineStr">
        <is>
          <t>2025-11-15</t>
        </is>
      </c>
      <c r="B320" s="2" t="n">
        <v>2025</v>
      </c>
      <c r="C320" s="2" t="n">
        <v>11</v>
      </c>
      <c r="D320" s="2" t="inlineStr">
        <is>
          <t>Nov</t>
        </is>
      </c>
      <c r="E320" s="2" t="inlineStr">
        <is>
          <t>2025-11</t>
        </is>
      </c>
      <c r="F320" s="2" t="inlineStr">
        <is>
          <t>Q4</t>
        </is>
      </c>
    </row>
    <row r="321">
      <c r="A321" s="2" t="inlineStr">
        <is>
          <t>2025-11-16</t>
        </is>
      </c>
      <c r="B321" s="2" t="n">
        <v>2025</v>
      </c>
      <c r="C321" s="2" t="n">
        <v>11</v>
      </c>
      <c r="D321" s="2" t="inlineStr">
        <is>
          <t>Nov</t>
        </is>
      </c>
      <c r="E321" s="2" t="inlineStr">
        <is>
          <t>2025-11</t>
        </is>
      </c>
      <c r="F321" s="2" t="inlineStr">
        <is>
          <t>Q4</t>
        </is>
      </c>
    </row>
    <row r="322">
      <c r="A322" s="2" t="inlineStr">
        <is>
          <t>2025-11-17</t>
        </is>
      </c>
      <c r="B322" s="2" t="n">
        <v>2025</v>
      </c>
      <c r="C322" s="2" t="n">
        <v>11</v>
      </c>
      <c r="D322" s="2" t="inlineStr">
        <is>
          <t>Nov</t>
        </is>
      </c>
      <c r="E322" s="2" t="inlineStr">
        <is>
          <t>2025-11</t>
        </is>
      </c>
      <c r="F322" s="2" t="inlineStr">
        <is>
          <t>Q4</t>
        </is>
      </c>
    </row>
    <row r="323">
      <c r="A323" s="2" t="inlineStr">
        <is>
          <t>2025-11-18</t>
        </is>
      </c>
      <c r="B323" s="2" t="n">
        <v>2025</v>
      </c>
      <c r="C323" s="2" t="n">
        <v>11</v>
      </c>
      <c r="D323" s="2" t="inlineStr">
        <is>
          <t>Nov</t>
        </is>
      </c>
      <c r="E323" s="2" t="inlineStr">
        <is>
          <t>2025-11</t>
        </is>
      </c>
      <c r="F323" s="2" t="inlineStr">
        <is>
          <t>Q4</t>
        </is>
      </c>
    </row>
    <row r="324">
      <c r="A324" s="2" t="inlineStr">
        <is>
          <t>2025-11-19</t>
        </is>
      </c>
      <c r="B324" s="2" t="n">
        <v>2025</v>
      </c>
      <c r="C324" s="2" t="n">
        <v>11</v>
      </c>
      <c r="D324" s="2" t="inlineStr">
        <is>
          <t>Nov</t>
        </is>
      </c>
      <c r="E324" s="2" t="inlineStr">
        <is>
          <t>2025-11</t>
        </is>
      </c>
      <c r="F324" s="2" t="inlineStr">
        <is>
          <t>Q4</t>
        </is>
      </c>
    </row>
    <row r="325">
      <c r="A325" s="2" t="inlineStr">
        <is>
          <t>2025-11-20</t>
        </is>
      </c>
      <c r="B325" s="2" t="n">
        <v>2025</v>
      </c>
      <c r="C325" s="2" t="n">
        <v>11</v>
      </c>
      <c r="D325" s="2" t="inlineStr">
        <is>
          <t>Nov</t>
        </is>
      </c>
      <c r="E325" s="2" t="inlineStr">
        <is>
          <t>2025-11</t>
        </is>
      </c>
      <c r="F325" s="2" t="inlineStr">
        <is>
          <t>Q4</t>
        </is>
      </c>
    </row>
    <row r="326">
      <c r="A326" s="2" t="inlineStr">
        <is>
          <t>2025-11-21</t>
        </is>
      </c>
      <c r="B326" s="2" t="n">
        <v>2025</v>
      </c>
      <c r="C326" s="2" t="n">
        <v>11</v>
      </c>
      <c r="D326" s="2" t="inlineStr">
        <is>
          <t>Nov</t>
        </is>
      </c>
      <c r="E326" s="2" t="inlineStr">
        <is>
          <t>2025-11</t>
        </is>
      </c>
      <c r="F326" s="2" t="inlineStr">
        <is>
          <t>Q4</t>
        </is>
      </c>
    </row>
    <row r="327">
      <c r="A327" s="2" t="inlineStr">
        <is>
          <t>2025-11-22</t>
        </is>
      </c>
      <c r="B327" s="2" t="n">
        <v>2025</v>
      </c>
      <c r="C327" s="2" t="n">
        <v>11</v>
      </c>
      <c r="D327" s="2" t="inlineStr">
        <is>
          <t>Nov</t>
        </is>
      </c>
      <c r="E327" s="2" t="inlineStr">
        <is>
          <t>2025-11</t>
        </is>
      </c>
      <c r="F327" s="2" t="inlineStr">
        <is>
          <t>Q4</t>
        </is>
      </c>
    </row>
    <row r="328">
      <c r="A328" s="2" t="inlineStr">
        <is>
          <t>2025-11-23</t>
        </is>
      </c>
      <c r="B328" s="2" t="n">
        <v>2025</v>
      </c>
      <c r="C328" s="2" t="n">
        <v>11</v>
      </c>
      <c r="D328" s="2" t="inlineStr">
        <is>
          <t>Nov</t>
        </is>
      </c>
      <c r="E328" s="2" t="inlineStr">
        <is>
          <t>2025-11</t>
        </is>
      </c>
      <c r="F328" s="2" t="inlineStr">
        <is>
          <t>Q4</t>
        </is>
      </c>
    </row>
    <row r="329">
      <c r="A329" s="2" t="inlineStr">
        <is>
          <t>2025-11-24</t>
        </is>
      </c>
      <c r="B329" s="2" t="n">
        <v>2025</v>
      </c>
      <c r="C329" s="2" t="n">
        <v>11</v>
      </c>
      <c r="D329" s="2" t="inlineStr">
        <is>
          <t>Nov</t>
        </is>
      </c>
      <c r="E329" s="2" t="inlineStr">
        <is>
          <t>2025-11</t>
        </is>
      </c>
      <c r="F329" s="2" t="inlineStr">
        <is>
          <t>Q4</t>
        </is>
      </c>
    </row>
    <row r="330">
      <c r="A330" s="2" t="inlineStr">
        <is>
          <t>2025-11-25</t>
        </is>
      </c>
      <c r="B330" s="2" t="n">
        <v>2025</v>
      </c>
      <c r="C330" s="2" t="n">
        <v>11</v>
      </c>
      <c r="D330" s="2" t="inlineStr">
        <is>
          <t>Nov</t>
        </is>
      </c>
      <c r="E330" s="2" t="inlineStr">
        <is>
          <t>2025-11</t>
        </is>
      </c>
      <c r="F330" s="2" t="inlineStr">
        <is>
          <t>Q4</t>
        </is>
      </c>
    </row>
    <row r="331">
      <c r="A331" s="2" t="inlineStr">
        <is>
          <t>2025-11-26</t>
        </is>
      </c>
      <c r="B331" s="2" t="n">
        <v>2025</v>
      </c>
      <c r="C331" s="2" t="n">
        <v>11</v>
      </c>
      <c r="D331" s="2" t="inlineStr">
        <is>
          <t>Nov</t>
        </is>
      </c>
      <c r="E331" s="2" t="inlineStr">
        <is>
          <t>2025-11</t>
        </is>
      </c>
      <c r="F331" s="2" t="inlineStr">
        <is>
          <t>Q4</t>
        </is>
      </c>
    </row>
    <row r="332">
      <c r="A332" s="2" t="inlineStr">
        <is>
          <t>2025-11-27</t>
        </is>
      </c>
      <c r="B332" s="2" t="n">
        <v>2025</v>
      </c>
      <c r="C332" s="2" t="n">
        <v>11</v>
      </c>
      <c r="D332" s="2" t="inlineStr">
        <is>
          <t>Nov</t>
        </is>
      </c>
      <c r="E332" s="2" t="inlineStr">
        <is>
          <t>2025-11</t>
        </is>
      </c>
      <c r="F332" s="2" t="inlineStr">
        <is>
          <t>Q4</t>
        </is>
      </c>
    </row>
    <row r="333">
      <c r="A333" s="2" t="inlineStr">
        <is>
          <t>2025-11-28</t>
        </is>
      </c>
      <c r="B333" s="2" t="n">
        <v>2025</v>
      </c>
      <c r="C333" s="2" t="n">
        <v>11</v>
      </c>
      <c r="D333" s="2" t="inlineStr">
        <is>
          <t>Nov</t>
        </is>
      </c>
      <c r="E333" s="2" t="inlineStr">
        <is>
          <t>2025-11</t>
        </is>
      </c>
      <c r="F333" s="2" t="inlineStr">
        <is>
          <t>Q4</t>
        </is>
      </c>
    </row>
    <row r="334">
      <c r="A334" s="2" t="inlineStr">
        <is>
          <t>2025-11-29</t>
        </is>
      </c>
      <c r="B334" s="2" t="n">
        <v>2025</v>
      </c>
      <c r="C334" s="2" t="n">
        <v>11</v>
      </c>
      <c r="D334" s="2" t="inlineStr">
        <is>
          <t>Nov</t>
        </is>
      </c>
      <c r="E334" s="2" t="inlineStr">
        <is>
          <t>2025-11</t>
        </is>
      </c>
      <c r="F334" s="2" t="inlineStr">
        <is>
          <t>Q4</t>
        </is>
      </c>
    </row>
    <row r="335">
      <c r="A335" s="2" t="inlineStr">
        <is>
          <t>2025-11-30</t>
        </is>
      </c>
      <c r="B335" s="2" t="n">
        <v>2025</v>
      </c>
      <c r="C335" s="2" t="n">
        <v>11</v>
      </c>
      <c r="D335" s="2" t="inlineStr">
        <is>
          <t>Nov</t>
        </is>
      </c>
      <c r="E335" s="2" t="inlineStr">
        <is>
          <t>2025-11</t>
        </is>
      </c>
      <c r="F335" s="2" t="inlineStr">
        <is>
          <t>Q4</t>
        </is>
      </c>
    </row>
    <row r="336">
      <c r="A336" s="2" t="inlineStr">
        <is>
          <t>2025-12-01</t>
        </is>
      </c>
      <c r="B336" s="2" t="n">
        <v>2025</v>
      </c>
      <c r="C336" s="2" t="n">
        <v>12</v>
      </c>
      <c r="D336" s="2" t="inlineStr">
        <is>
          <t>Dec</t>
        </is>
      </c>
      <c r="E336" s="2" t="inlineStr">
        <is>
          <t>2025-12</t>
        </is>
      </c>
      <c r="F336" s="2" t="inlineStr">
        <is>
          <t>Q4</t>
        </is>
      </c>
    </row>
    <row r="337">
      <c r="A337" s="2" t="inlineStr">
        <is>
          <t>2025-12-02</t>
        </is>
      </c>
      <c r="B337" s="2" t="n">
        <v>2025</v>
      </c>
      <c r="C337" s="2" t="n">
        <v>12</v>
      </c>
      <c r="D337" s="2" t="inlineStr">
        <is>
          <t>Dec</t>
        </is>
      </c>
      <c r="E337" s="2" t="inlineStr">
        <is>
          <t>2025-12</t>
        </is>
      </c>
      <c r="F337" s="2" t="inlineStr">
        <is>
          <t>Q4</t>
        </is>
      </c>
    </row>
    <row r="338">
      <c r="A338" s="2" t="inlineStr">
        <is>
          <t>2025-12-03</t>
        </is>
      </c>
      <c r="B338" s="2" t="n">
        <v>2025</v>
      </c>
      <c r="C338" s="2" t="n">
        <v>12</v>
      </c>
      <c r="D338" s="2" t="inlineStr">
        <is>
          <t>Dec</t>
        </is>
      </c>
      <c r="E338" s="2" t="inlineStr">
        <is>
          <t>2025-12</t>
        </is>
      </c>
      <c r="F338" s="2" t="inlineStr">
        <is>
          <t>Q4</t>
        </is>
      </c>
    </row>
    <row r="339">
      <c r="A339" s="2" t="inlineStr">
        <is>
          <t>2025-12-04</t>
        </is>
      </c>
      <c r="B339" s="2" t="n">
        <v>2025</v>
      </c>
      <c r="C339" s="2" t="n">
        <v>12</v>
      </c>
      <c r="D339" s="2" t="inlineStr">
        <is>
          <t>Dec</t>
        </is>
      </c>
      <c r="E339" s="2" t="inlineStr">
        <is>
          <t>2025-12</t>
        </is>
      </c>
      <c r="F339" s="2" t="inlineStr">
        <is>
          <t>Q4</t>
        </is>
      </c>
    </row>
    <row r="340">
      <c r="A340" s="2" t="inlineStr">
        <is>
          <t>2025-12-05</t>
        </is>
      </c>
      <c r="B340" s="2" t="n">
        <v>2025</v>
      </c>
      <c r="C340" s="2" t="n">
        <v>12</v>
      </c>
      <c r="D340" s="2" t="inlineStr">
        <is>
          <t>Dec</t>
        </is>
      </c>
      <c r="E340" s="2" t="inlineStr">
        <is>
          <t>2025-12</t>
        </is>
      </c>
      <c r="F340" s="2" t="inlineStr">
        <is>
          <t>Q4</t>
        </is>
      </c>
    </row>
    <row r="341">
      <c r="A341" s="2" t="inlineStr">
        <is>
          <t>2025-12-06</t>
        </is>
      </c>
      <c r="B341" s="2" t="n">
        <v>2025</v>
      </c>
      <c r="C341" s="2" t="n">
        <v>12</v>
      </c>
      <c r="D341" s="2" t="inlineStr">
        <is>
          <t>Dec</t>
        </is>
      </c>
      <c r="E341" s="2" t="inlineStr">
        <is>
          <t>2025-12</t>
        </is>
      </c>
      <c r="F341" s="2" t="inlineStr">
        <is>
          <t>Q4</t>
        </is>
      </c>
    </row>
    <row r="342">
      <c r="A342" s="2" t="inlineStr">
        <is>
          <t>2025-12-07</t>
        </is>
      </c>
      <c r="B342" s="2" t="n">
        <v>2025</v>
      </c>
      <c r="C342" s="2" t="n">
        <v>12</v>
      </c>
      <c r="D342" s="2" t="inlineStr">
        <is>
          <t>Dec</t>
        </is>
      </c>
      <c r="E342" s="2" t="inlineStr">
        <is>
          <t>2025-12</t>
        </is>
      </c>
      <c r="F342" s="2" t="inlineStr">
        <is>
          <t>Q4</t>
        </is>
      </c>
    </row>
    <row r="343">
      <c r="A343" s="2" t="inlineStr">
        <is>
          <t>2025-12-08</t>
        </is>
      </c>
      <c r="B343" s="2" t="n">
        <v>2025</v>
      </c>
      <c r="C343" s="2" t="n">
        <v>12</v>
      </c>
      <c r="D343" s="2" t="inlineStr">
        <is>
          <t>Dec</t>
        </is>
      </c>
      <c r="E343" s="2" t="inlineStr">
        <is>
          <t>2025-12</t>
        </is>
      </c>
      <c r="F343" s="2" t="inlineStr">
        <is>
          <t>Q4</t>
        </is>
      </c>
    </row>
    <row r="344">
      <c r="A344" s="2" t="inlineStr">
        <is>
          <t>2025-12-09</t>
        </is>
      </c>
      <c r="B344" s="2" t="n">
        <v>2025</v>
      </c>
      <c r="C344" s="2" t="n">
        <v>12</v>
      </c>
      <c r="D344" s="2" t="inlineStr">
        <is>
          <t>Dec</t>
        </is>
      </c>
      <c r="E344" s="2" t="inlineStr">
        <is>
          <t>2025-12</t>
        </is>
      </c>
      <c r="F344" s="2" t="inlineStr">
        <is>
          <t>Q4</t>
        </is>
      </c>
    </row>
    <row r="345">
      <c r="A345" s="2" t="inlineStr">
        <is>
          <t>2025-12-10</t>
        </is>
      </c>
      <c r="B345" s="2" t="n">
        <v>2025</v>
      </c>
      <c r="C345" s="2" t="n">
        <v>12</v>
      </c>
      <c r="D345" s="2" t="inlineStr">
        <is>
          <t>Dec</t>
        </is>
      </c>
      <c r="E345" s="2" t="inlineStr">
        <is>
          <t>2025-12</t>
        </is>
      </c>
      <c r="F345" s="2" t="inlineStr">
        <is>
          <t>Q4</t>
        </is>
      </c>
    </row>
    <row r="346">
      <c r="A346" s="2" t="inlineStr">
        <is>
          <t>2025-12-11</t>
        </is>
      </c>
      <c r="B346" s="2" t="n">
        <v>2025</v>
      </c>
      <c r="C346" s="2" t="n">
        <v>12</v>
      </c>
      <c r="D346" s="2" t="inlineStr">
        <is>
          <t>Dec</t>
        </is>
      </c>
      <c r="E346" s="2" t="inlineStr">
        <is>
          <t>2025-12</t>
        </is>
      </c>
      <c r="F346" s="2" t="inlineStr">
        <is>
          <t>Q4</t>
        </is>
      </c>
    </row>
    <row r="347">
      <c r="A347" s="2" t="inlineStr">
        <is>
          <t>2025-12-12</t>
        </is>
      </c>
      <c r="B347" s="2" t="n">
        <v>2025</v>
      </c>
      <c r="C347" s="2" t="n">
        <v>12</v>
      </c>
      <c r="D347" s="2" t="inlineStr">
        <is>
          <t>Dec</t>
        </is>
      </c>
      <c r="E347" s="2" t="inlineStr">
        <is>
          <t>2025-12</t>
        </is>
      </c>
      <c r="F347" s="2" t="inlineStr">
        <is>
          <t>Q4</t>
        </is>
      </c>
    </row>
    <row r="348">
      <c r="A348" s="2" t="inlineStr">
        <is>
          <t>2025-12-13</t>
        </is>
      </c>
      <c r="B348" s="2" t="n">
        <v>2025</v>
      </c>
      <c r="C348" s="2" t="n">
        <v>12</v>
      </c>
      <c r="D348" s="2" t="inlineStr">
        <is>
          <t>Dec</t>
        </is>
      </c>
      <c r="E348" s="2" t="inlineStr">
        <is>
          <t>2025-12</t>
        </is>
      </c>
      <c r="F348" s="2" t="inlineStr">
        <is>
          <t>Q4</t>
        </is>
      </c>
    </row>
    <row r="349">
      <c r="A349" s="2" t="inlineStr">
        <is>
          <t>2025-12-14</t>
        </is>
      </c>
      <c r="B349" s="2" t="n">
        <v>2025</v>
      </c>
      <c r="C349" s="2" t="n">
        <v>12</v>
      </c>
      <c r="D349" s="2" t="inlineStr">
        <is>
          <t>Dec</t>
        </is>
      </c>
      <c r="E349" s="2" t="inlineStr">
        <is>
          <t>2025-12</t>
        </is>
      </c>
      <c r="F349" s="2" t="inlineStr">
        <is>
          <t>Q4</t>
        </is>
      </c>
    </row>
    <row r="350">
      <c r="A350" s="2" t="inlineStr">
        <is>
          <t>2025-12-15</t>
        </is>
      </c>
      <c r="B350" s="2" t="n">
        <v>2025</v>
      </c>
      <c r="C350" s="2" t="n">
        <v>12</v>
      </c>
      <c r="D350" s="2" t="inlineStr">
        <is>
          <t>Dec</t>
        </is>
      </c>
      <c r="E350" s="2" t="inlineStr">
        <is>
          <t>2025-12</t>
        </is>
      </c>
      <c r="F350" s="2" t="inlineStr">
        <is>
          <t>Q4</t>
        </is>
      </c>
    </row>
    <row r="351">
      <c r="A351" s="2" t="inlineStr">
        <is>
          <t>2025-12-16</t>
        </is>
      </c>
      <c r="B351" s="2" t="n">
        <v>2025</v>
      </c>
      <c r="C351" s="2" t="n">
        <v>12</v>
      </c>
      <c r="D351" s="2" t="inlineStr">
        <is>
          <t>Dec</t>
        </is>
      </c>
      <c r="E351" s="2" t="inlineStr">
        <is>
          <t>2025-12</t>
        </is>
      </c>
      <c r="F351" s="2" t="inlineStr">
        <is>
          <t>Q4</t>
        </is>
      </c>
    </row>
    <row r="352">
      <c r="A352" s="2" t="inlineStr">
        <is>
          <t>2025-12-17</t>
        </is>
      </c>
      <c r="B352" s="2" t="n">
        <v>2025</v>
      </c>
      <c r="C352" s="2" t="n">
        <v>12</v>
      </c>
      <c r="D352" s="2" t="inlineStr">
        <is>
          <t>Dec</t>
        </is>
      </c>
      <c r="E352" s="2" t="inlineStr">
        <is>
          <t>2025-12</t>
        </is>
      </c>
      <c r="F352" s="2" t="inlineStr">
        <is>
          <t>Q4</t>
        </is>
      </c>
    </row>
    <row r="353">
      <c r="A353" s="2" t="inlineStr">
        <is>
          <t>2025-12-18</t>
        </is>
      </c>
      <c r="B353" s="2" t="n">
        <v>2025</v>
      </c>
      <c r="C353" s="2" t="n">
        <v>12</v>
      </c>
      <c r="D353" s="2" t="inlineStr">
        <is>
          <t>Dec</t>
        </is>
      </c>
      <c r="E353" s="2" t="inlineStr">
        <is>
          <t>2025-12</t>
        </is>
      </c>
      <c r="F353" s="2" t="inlineStr">
        <is>
          <t>Q4</t>
        </is>
      </c>
    </row>
    <row r="354">
      <c r="A354" s="2" t="inlineStr">
        <is>
          <t>2025-12-19</t>
        </is>
      </c>
      <c r="B354" s="2" t="n">
        <v>2025</v>
      </c>
      <c r="C354" s="2" t="n">
        <v>12</v>
      </c>
      <c r="D354" s="2" t="inlineStr">
        <is>
          <t>Dec</t>
        </is>
      </c>
      <c r="E354" s="2" t="inlineStr">
        <is>
          <t>2025-12</t>
        </is>
      </c>
      <c r="F354" s="2" t="inlineStr">
        <is>
          <t>Q4</t>
        </is>
      </c>
    </row>
    <row r="355">
      <c r="A355" s="2" t="inlineStr">
        <is>
          <t>2025-12-20</t>
        </is>
      </c>
      <c r="B355" s="2" t="n">
        <v>2025</v>
      </c>
      <c r="C355" s="2" t="n">
        <v>12</v>
      </c>
      <c r="D355" s="2" t="inlineStr">
        <is>
          <t>Dec</t>
        </is>
      </c>
      <c r="E355" s="2" t="inlineStr">
        <is>
          <t>2025-12</t>
        </is>
      </c>
      <c r="F355" s="2" t="inlineStr">
        <is>
          <t>Q4</t>
        </is>
      </c>
    </row>
    <row r="356">
      <c r="A356" s="2" t="inlineStr">
        <is>
          <t>2025-12-21</t>
        </is>
      </c>
      <c r="B356" s="2" t="n">
        <v>2025</v>
      </c>
      <c r="C356" s="2" t="n">
        <v>12</v>
      </c>
      <c r="D356" s="2" t="inlineStr">
        <is>
          <t>Dec</t>
        </is>
      </c>
      <c r="E356" s="2" t="inlineStr">
        <is>
          <t>2025-12</t>
        </is>
      </c>
      <c r="F356" s="2" t="inlineStr">
        <is>
          <t>Q4</t>
        </is>
      </c>
    </row>
    <row r="357">
      <c r="A357" s="2" t="inlineStr">
        <is>
          <t>2025-12-22</t>
        </is>
      </c>
      <c r="B357" s="2" t="n">
        <v>2025</v>
      </c>
      <c r="C357" s="2" t="n">
        <v>12</v>
      </c>
      <c r="D357" s="2" t="inlineStr">
        <is>
          <t>Dec</t>
        </is>
      </c>
      <c r="E357" s="2" t="inlineStr">
        <is>
          <t>2025-12</t>
        </is>
      </c>
      <c r="F357" s="2" t="inlineStr">
        <is>
          <t>Q4</t>
        </is>
      </c>
    </row>
    <row r="358">
      <c r="A358" s="2" t="inlineStr">
        <is>
          <t>2025-12-23</t>
        </is>
      </c>
      <c r="B358" s="2" t="n">
        <v>2025</v>
      </c>
      <c r="C358" s="2" t="n">
        <v>12</v>
      </c>
      <c r="D358" s="2" t="inlineStr">
        <is>
          <t>Dec</t>
        </is>
      </c>
      <c r="E358" s="2" t="inlineStr">
        <is>
          <t>2025-12</t>
        </is>
      </c>
      <c r="F358" s="2" t="inlineStr">
        <is>
          <t>Q4</t>
        </is>
      </c>
    </row>
    <row r="359">
      <c r="A359" s="2" t="inlineStr">
        <is>
          <t>2025-12-24</t>
        </is>
      </c>
      <c r="B359" s="2" t="n">
        <v>2025</v>
      </c>
      <c r="C359" s="2" t="n">
        <v>12</v>
      </c>
      <c r="D359" s="2" t="inlineStr">
        <is>
          <t>Dec</t>
        </is>
      </c>
      <c r="E359" s="2" t="inlineStr">
        <is>
          <t>2025-12</t>
        </is>
      </c>
      <c r="F359" s="2" t="inlineStr">
        <is>
          <t>Q4</t>
        </is>
      </c>
    </row>
    <row r="360">
      <c r="A360" s="2" t="inlineStr">
        <is>
          <t>2025-12-25</t>
        </is>
      </c>
      <c r="B360" s="2" t="n">
        <v>2025</v>
      </c>
      <c r="C360" s="2" t="n">
        <v>12</v>
      </c>
      <c r="D360" s="2" t="inlineStr">
        <is>
          <t>Dec</t>
        </is>
      </c>
      <c r="E360" s="2" t="inlineStr">
        <is>
          <t>2025-12</t>
        </is>
      </c>
      <c r="F360" s="2" t="inlineStr">
        <is>
          <t>Q4</t>
        </is>
      </c>
    </row>
    <row r="361">
      <c r="A361" s="2" t="inlineStr">
        <is>
          <t>2025-12-26</t>
        </is>
      </c>
      <c r="B361" s="2" t="n">
        <v>2025</v>
      </c>
      <c r="C361" s="2" t="n">
        <v>12</v>
      </c>
      <c r="D361" s="2" t="inlineStr">
        <is>
          <t>Dec</t>
        </is>
      </c>
      <c r="E361" s="2" t="inlineStr">
        <is>
          <t>2025-12</t>
        </is>
      </c>
      <c r="F361" s="2" t="inlineStr">
        <is>
          <t>Q4</t>
        </is>
      </c>
    </row>
    <row r="362">
      <c r="A362" s="2" t="inlineStr">
        <is>
          <t>2025-12-27</t>
        </is>
      </c>
      <c r="B362" s="2" t="n">
        <v>2025</v>
      </c>
      <c r="C362" s="2" t="n">
        <v>12</v>
      </c>
      <c r="D362" s="2" t="inlineStr">
        <is>
          <t>Dec</t>
        </is>
      </c>
      <c r="E362" s="2" t="inlineStr">
        <is>
          <t>2025-12</t>
        </is>
      </c>
      <c r="F362" s="2" t="inlineStr">
        <is>
          <t>Q4</t>
        </is>
      </c>
    </row>
    <row r="363">
      <c r="A363" s="2" t="inlineStr">
        <is>
          <t>2025-12-28</t>
        </is>
      </c>
      <c r="B363" s="2" t="n">
        <v>2025</v>
      </c>
      <c r="C363" s="2" t="n">
        <v>12</v>
      </c>
      <c r="D363" s="2" t="inlineStr">
        <is>
          <t>Dec</t>
        </is>
      </c>
      <c r="E363" s="2" t="inlineStr">
        <is>
          <t>2025-12</t>
        </is>
      </c>
      <c r="F363" s="2" t="inlineStr">
        <is>
          <t>Q4</t>
        </is>
      </c>
    </row>
    <row r="364">
      <c r="A364" s="2" t="inlineStr">
        <is>
          <t>2025-12-29</t>
        </is>
      </c>
      <c r="B364" s="2" t="n">
        <v>2025</v>
      </c>
      <c r="C364" s="2" t="n">
        <v>12</v>
      </c>
      <c r="D364" s="2" t="inlineStr">
        <is>
          <t>Dec</t>
        </is>
      </c>
      <c r="E364" s="2" t="inlineStr">
        <is>
          <t>2025-12</t>
        </is>
      </c>
      <c r="F364" s="2" t="inlineStr">
        <is>
          <t>Q4</t>
        </is>
      </c>
    </row>
    <row r="365">
      <c r="A365" s="2" t="inlineStr">
        <is>
          <t>2025-12-30</t>
        </is>
      </c>
      <c r="B365" s="2" t="n">
        <v>2025</v>
      </c>
      <c r="C365" s="2" t="n">
        <v>12</v>
      </c>
      <c r="D365" s="2" t="inlineStr">
        <is>
          <t>Dec</t>
        </is>
      </c>
      <c r="E365" s="2" t="inlineStr">
        <is>
          <t>2025-12</t>
        </is>
      </c>
      <c r="F365" s="2" t="inlineStr">
        <is>
          <t>Q4</t>
        </is>
      </c>
    </row>
    <row r="366">
      <c r="A366" s="2" t="inlineStr">
        <is>
          <t>2025-12-31</t>
        </is>
      </c>
      <c r="B366" s="2" t="n">
        <v>2025</v>
      </c>
      <c r="C366" s="2" t="n">
        <v>12</v>
      </c>
      <c r="D366" s="2" t="inlineStr">
        <is>
          <t>Dec</t>
        </is>
      </c>
      <c r="E366" s="2" t="inlineStr">
        <is>
          <t>2025-12</t>
        </is>
      </c>
      <c r="F366" s="2" t="inlineStr">
        <is>
          <t>Q4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</cols>
  <sheetData>
    <row r="1">
      <c r="A1" s="1" t="inlineStr">
        <is>
          <t>Region</t>
        </is>
      </c>
      <c r="B1" s="1" t="inlineStr">
        <is>
          <t>State</t>
        </is>
      </c>
      <c r="C1" s="1" t="inlineStr">
        <is>
          <t>City</t>
        </is>
      </c>
    </row>
    <row r="2">
      <c r="A2" s="2" t="inlineStr">
        <is>
          <t>East</t>
        </is>
      </c>
      <c r="B2" s="2" t="inlineStr">
        <is>
          <t>Bihar</t>
        </is>
      </c>
      <c r="C2" s="2" t="inlineStr">
        <is>
          <t>Gaya</t>
        </is>
      </c>
    </row>
    <row r="3">
      <c r="A3" s="2" t="inlineStr">
        <is>
          <t>East</t>
        </is>
      </c>
      <c r="B3" s="2" t="inlineStr">
        <is>
          <t>Bihar</t>
        </is>
      </c>
      <c r="C3" s="2" t="inlineStr">
        <is>
          <t>Patna</t>
        </is>
      </c>
    </row>
    <row r="4">
      <c r="A4" s="2" t="inlineStr">
        <is>
          <t>East</t>
        </is>
      </c>
      <c r="B4" s="2" t="inlineStr">
        <is>
          <t>Odisha</t>
        </is>
      </c>
      <c r="C4" s="2" t="inlineStr">
        <is>
          <t>Bhubaneswar</t>
        </is>
      </c>
    </row>
    <row r="5">
      <c r="A5" s="2" t="inlineStr">
        <is>
          <t>East</t>
        </is>
      </c>
      <c r="B5" s="2" t="inlineStr">
        <is>
          <t>Odisha</t>
        </is>
      </c>
      <c r="C5" s="2" t="inlineStr">
        <is>
          <t>Cuttack</t>
        </is>
      </c>
    </row>
    <row r="6">
      <c r="A6" s="2" t="inlineStr">
        <is>
          <t>East</t>
        </is>
      </c>
      <c r="B6" s="2" t="inlineStr">
        <is>
          <t>West Bengal</t>
        </is>
      </c>
      <c r="C6" s="2" t="inlineStr">
        <is>
          <t>Durgapur</t>
        </is>
      </c>
    </row>
    <row r="7">
      <c r="A7" s="2" t="inlineStr">
        <is>
          <t>East</t>
        </is>
      </c>
      <c r="B7" s="2" t="inlineStr">
        <is>
          <t>West Bengal</t>
        </is>
      </c>
      <c r="C7" s="2" t="inlineStr">
        <is>
          <t>Kolkata</t>
        </is>
      </c>
    </row>
    <row r="8">
      <c r="A8" s="2" t="inlineStr">
        <is>
          <t>North</t>
        </is>
      </c>
      <c r="B8" s="2" t="inlineStr">
        <is>
          <t>Delhi</t>
        </is>
      </c>
      <c r="C8" s="2" t="inlineStr">
        <is>
          <t>New Delhi</t>
        </is>
      </c>
    </row>
    <row r="9">
      <c r="A9" s="2" t="inlineStr">
        <is>
          <t>North</t>
        </is>
      </c>
      <c r="B9" s="2" t="inlineStr">
        <is>
          <t>Haryana</t>
        </is>
      </c>
      <c r="C9" s="2" t="inlineStr">
        <is>
          <t>Faridabad</t>
        </is>
      </c>
    </row>
    <row r="10">
      <c r="A10" s="2" t="inlineStr">
        <is>
          <t>North</t>
        </is>
      </c>
      <c r="B10" s="2" t="inlineStr">
        <is>
          <t>Haryana</t>
        </is>
      </c>
      <c r="C10" s="2" t="inlineStr">
        <is>
          <t>Gurugram</t>
        </is>
      </c>
    </row>
    <row r="11">
      <c r="A11" s="2" t="inlineStr">
        <is>
          <t>North</t>
        </is>
      </c>
      <c r="B11" s="2" t="inlineStr">
        <is>
          <t>Punjab</t>
        </is>
      </c>
      <c r="C11" s="2" t="inlineStr">
        <is>
          <t>Amritsar</t>
        </is>
      </c>
    </row>
    <row r="12">
      <c r="A12" s="2" t="inlineStr">
        <is>
          <t>North</t>
        </is>
      </c>
      <c r="B12" s="2" t="inlineStr">
        <is>
          <t>Punjab</t>
        </is>
      </c>
      <c r="C12" s="2" t="inlineStr">
        <is>
          <t>Jalandhar</t>
        </is>
      </c>
    </row>
    <row r="13">
      <c r="A13" s="2" t="inlineStr">
        <is>
          <t>North</t>
        </is>
      </c>
      <c r="B13" s="2" t="inlineStr">
        <is>
          <t>Punjab</t>
        </is>
      </c>
      <c r="C13" s="2" t="inlineStr">
        <is>
          <t>Ludhiana</t>
        </is>
      </c>
    </row>
    <row r="14">
      <c r="A14" s="2" t="inlineStr">
        <is>
          <t>North</t>
        </is>
      </c>
      <c r="B14" s="2" t="inlineStr">
        <is>
          <t>Uttar Pradesh</t>
        </is>
      </c>
      <c r="C14" s="2" t="inlineStr">
        <is>
          <t>Kanpur</t>
        </is>
      </c>
    </row>
    <row r="15">
      <c r="A15" s="2" t="inlineStr">
        <is>
          <t>North</t>
        </is>
      </c>
      <c r="B15" s="2" t="inlineStr">
        <is>
          <t>Uttar Pradesh</t>
        </is>
      </c>
      <c r="C15" s="2" t="inlineStr">
        <is>
          <t>Lucknow</t>
        </is>
      </c>
    </row>
    <row r="16">
      <c r="A16" s="2" t="inlineStr">
        <is>
          <t>North</t>
        </is>
      </c>
      <c r="B16" s="2" t="inlineStr">
        <is>
          <t>Uttar Pradesh</t>
        </is>
      </c>
      <c r="C16" s="2" t="inlineStr">
        <is>
          <t>Noida</t>
        </is>
      </c>
    </row>
    <row r="17">
      <c r="A17" s="2" t="inlineStr">
        <is>
          <t>North</t>
        </is>
      </c>
      <c r="B17" s="2" t="inlineStr">
        <is>
          <t>Uttar Pradesh</t>
        </is>
      </c>
      <c r="C17" s="2" t="inlineStr">
        <is>
          <t>Varanasi</t>
        </is>
      </c>
    </row>
    <row r="18">
      <c r="A18" s="2" t="inlineStr">
        <is>
          <t>South</t>
        </is>
      </c>
      <c r="B18" s="2" t="inlineStr">
        <is>
          <t>Karnataka</t>
        </is>
      </c>
      <c r="C18" s="2" t="inlineStr">
        <is>
          <t>Bengaluru</t>
        </is>
      </c>
    </row>
    <row r="19">
      <c r="A19" s="2" t="inlineStr">
        <is>
          <t>South</t>
        </is>
      </c>
      <c r="B19" s="2" t="inlineStr">
        <is>
          <t>Karnataka</t>
        </is>
      </c>
      <c r="C19" s="2" t="inlineStr">
        <is>
          <t>Mangaluru</t>
        </is>
      </c>
    </row>
    <row r="20">
      <c r="A20" s="2" t="inlineStr">
        <is>
          <t>South</t>
        </is>
      </c>
      <c r="B20" s="2" t="inlineStr">
        <is>
          <t>Karnataka</t>
        </is>
      </c>
      <c r="C20" s="2" t="inlineStr">
        <is>
          <t>Mysuru</t>
        </is>
      </c>
    </row>
    <row r="21">
      <c r="A21" s="2" t="inlineStr">
        <is>
          <t>South</t>
        </is>
      </c>
      <c r="B21" s="2" t="inlineStr">
        <is>
          <t>Kerala</t>
        </is>
      </c>
      <c r="C21" s="2" t="inlineStr">
        <is>
          <t>Kochi</t>
        </is>
      </c>
    </row>
    <row r="22">
      <c r="A22" s="2" t="inlineStr">
        <is>
          <t>South</t>
        </is>
      </c>
      <c r="B22" s="2" t="inlineStr">
        <is>
          <t>Kerala</t>
        </is>
      </c>
      <c r="C22" s="2" t="inlineStr">
        <is>
          <t>Thiruvananthapuram</t>
        </is>
      </c>
    </row>
    <row r="23">
      <c r="A23" s="2" t="inlineStr">
        <is>
          <t>South</t>
        </is>
      </c>
      <c r="B23" s="2" t="inlineStr">
        <is>
          <t>Tamil Nadu</t>
        </is>
      </c>
      <c r="C23" s="2" t="inlineStr">
        <is>
          <t>Chennai</t>
        </is>
      </c>
    </row>
    <row r="24">
      <c r="A24" s="2" t="inlineStr">
        <is>
          <t>South</t>
        </is>
      </c>
      <c r="B24" s="2" t="inlineStr">
        <is>
          <t>Tamil Nadu</t>
        </is>
      </c>
      <c r="C24" s="2" t="inlineStr">
        <is>
          <t>Coimbatore</t>
        </is>
      </c>
    </row>
    <row r="25">
      <c r="A25" s="2" t="inlineStr">
        <is>
          <t>South</t>
        </is>
      </c>
      <c r="B25" s="2" t="inlineStr">
        <is>
          <t>Tamil Nadu</t>
        </is>
      </c>
      <c r="C25" s="2" t="inlineStr">
        <is>
          <t>Madurai</t>
        </is>
      </c>
    </row>
    <row r="26">
      <c r="A26" s="2" t="inlineStr">
        <is>
          <t>South</t>
        </is>
      </c>
      <c r="B26" s="2" t="inlineStr">
        <is>
          <t>Telangana</t>
        </is>
      </c>
      <c r="C26" s="2" t="inlineStr">
        <is>
          <t>Hyderabad</t>
        </is>
      </c>
    </row>
    <row r="27">
      <c r="A27" s="2" t="inlineStr">
        <is>
          <t>South</t>
        </is>
      </c>
      <c r="B27" s="2" t="inlineStr">
        <is>
          <t>Telangana</t>
        </is>
      </c>
      <c r="C27" s="2" t="inlineStr">
        <is>
          <t>Warangal</t>
        </is>
      </c>
    </row>
    <row r="28">
      <c r="A28" s="2" t="inlineStr">
        <is>
          <t>West</t>
        </is>
      </c>
      <c r="B28" s="2" t="inlineStr">
        <is>
          <t>Goa</t>
        </is>
      </c>
      <c r="C28" s="2" t="inlineStr">
        <is>
          <t>Margao</t>
        </is>
      </c>
    </row>
    <row r="29">
      <c r="A29" s="2" t="inlineStr">
        <is>
          <t>West</t>
        </is>
      </c>
      <c r="B29" s="2" t="inlineStr">
        <is>
          <t>Goa</t>
        </is>
      </c>
      <c r="C29" s="2" t="inlineStr">
        <is>
          <t>Panaji</t>
        </is>
      </c>
    </row>
    <row r="30">
      <c r="A30" s="2" t="inlineStr">
        <is>
          <t>West</t>
        </is>
      </c>
      <c r="B30" s="2" t="inlineStr">
        <is>
          <t>Gujarat</t>
        </is>
      </c>
      <c r="C30" s="2" t="inlineStr">
        <is>
          <t>Ahmedabad</t>
        </is>
      </c>
    </row>
    <row r="31">
      <c r="A31" s="2" t="inlineStr">
        <is>
          <t>West</t>
        </is>
      </c>
      <c r="B31" s="2" t="inlineStr">
        <is>
          <t>Gujarat</t>
        </is>
      </c>
      <c r="C31" s="2" t="inlineStr">
        <is>
          <t>Surat</t>
        </is>
      </c>
    </row>
    <row r="32">
      <c r="A32" s="2" t="inlineStr">
        <is>
          <t>West</t>
        </is>
      </c>
      <c r="B32" s="2" t="inlineStr">
        <is>
          <t>Gujarat</t>
        </is>
      </c>
      <c r="C32" s="2" t="inlineStr">
        <is>
          <t>Vadodara</t>
        </is>
      </c>
    </row>
    <row r="33">
      <c r="A33" s="2" t="inlineStr">
        <is>
          <t>West</t>
        </is>
      </c>
      <c r="B33" s="2" t="inlineStr">
        <is>
          <t>Maharashtra</t>
        </is>
      </c>
      <c r="C33" s="2" t="inlineStr">
        <is>
          <t>Mumbai</t>
        </is>
      </c>
    </row>
    <row r="34">
      <c r="A34" s="2" t="inlineStr">
        <is>
          <t>West</t>
        </is>
      </c>
      <c r="B34" s="2" t="inlineStr">
        <is>
          <t>Maharashtra</t>
        </is>
      </c>
      <c r="C34" s="2" t="inlineStr">
        <is>
          <t>Nagpur</t>
        </is>
      </c>
    </row>
    <row r="35">
      <c r="A35" s="2" t="inlineStr">
        <is>
          <t>West</t>
        </is>
      </c>
      <c r="B35" s="2" t="inlineStr">
        <is>
          <t>Maharashtra</t>
        </is>
      </c>
      <c r="C35" s="2" t="inlineStr">
        <is>
          <t>Nashik</t>
        </is>
      </c>
    </row>
    <row r="36">
      <c r="A36" s="2" t="inlineStr">
        <is>
          <t>West</t>
        </is>
      </c>
      <c r="B36" s="2" t="inlineStr">
        <is>
          <t>Maharashtra</t>
        </is>
      </c>
      <c r="C36" s="2" t="inlineStr">
        <is>
          <t>Pune</t>
        </is>
      </c>
    </row>
    <row r="37">
      <c r="A37" s="2" t="inlineStr">
        <is>
          <t>West</t>
        </is>
      </c>
      <c r="B37" s="2" t="inlineStr">
        <is>
          <t>Maharashtra</t>
        </is>
      </c>
      <c r="C37" s="2" t="inlineStr">
        <is>
          <t>Thane</t>
        </is>
      </c>
    </row>
    <row r="38">
      <c r="A38" s="2" t="n">
        <v/>
      </c>
      <c r="B38" s="2" t="inlineStr">
        <is>
          <t>Bihar</t>
        </is>
      </c>
      <c r="C38" s="2" t="inlineStr">
        <is>
          <t>Gaya</t>
        </is>
      </c>
    </row>
    <row r="39">
      <c r="A39" s="2" t="n">
        <v/>
      </c>
      <c r="B39" s="2" t="inlineStr">
        <is>
          <t>Delhi</t>
        </is>
      </c>
      <c r="C39" s="2" t="inlineStr">
        <is>
          <t>New Delhi</t>
        </is>
      </c>
    </row>
    <row r="40">
      <c r="A40" s="2" t="n">
        <v/>
      </c>
      <c r="B40" s="2" t="inlineStr">
        <is>
          <t>Gujarat</t>
        </is>
      </c>
      <c r="C40" s="2" t="inlineStr">
        <is>
          <t>Surat</t>
        </is>
      </c>
    </row>
    <row r="41">
      <c r="A41" s="2" t="n">
        <v/>
      </c>
      <c r="B41" s="2" t="inlineStr">
        <is>
          <t>Gujarat</t>
        </is>
      </c>
      <c r="C41" s="2" t="inlineStr">
        <is>
          <t>Vadodara</t>
        </is>
      </c>
    </row>
    <row r="42">
      <c r="A42" s="2" t="n">
        <v/>
      </c>
      <c r="B42" s="2" t="inlineStr">
        <is>
          <t>Punjab</t>
        </is>
      </c>
      <c r="C42" s="2" t="inlineStr">
        <is>
          <t>Ludhiana</t>
        </is>
      </c>
    </row>
    <row r="43">
      <c r="A43" s="2" t="n">
        <v/>
      </c>
      <c r="B43" s="2" t="inlineStr">
        <is>
          <t>Uttar Pradesh</t>
        </is>
      </c>
      <c r="C43" s="2" t="inlineStr">
        <is>
          <t>Kanpur</t>
        </is>
      </c>
    </row>
    <row r="44">
      <c r="A44" s="2" t="n">
        <v/>
      </c>
      <c r="B44" s="2" t="inlineStr">
        <is>
          <t>Uttar Pradesh</t>
        </is>
      </c>
      <c r="C44" s="2" t="inlineStr">
        <is>
          <t>Noida</t>
        </is>
      </c>
    </row>
    <row r="45">
      <c r="A45" s="2" t="n">
        <v/>
      </c>
      <c r="B45" s="2" t="inlineStr">
        <is>
          <t>West Bengal</t>
        </is>
      </c>
      <c r="C45" s="2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2026-09-23T14:15:50Z</dcterms:created>
  <dcterms:modified xmlns:dcterms="http://purl.org/dc/terms/" xmlns:xsi="http://www.w3.org/2001/XMLSchema-instance" xsi:type="dcterms:W3CDTF">2026-09-23T14:15:53Z</dcterms:modified>
</cp:coreProperties>
</file>